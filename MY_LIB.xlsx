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8cf55871d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исторы" sheetId="1" r:id="R0430ce75210c49ce"/>
    <x:sheet xmlns:r="http://schemas.openxmlformats.org/officeDocument/2006/relationships" name="Конденсаторы" sheetId="2" r:id="Rbba3e315b5494708"/>
    <x:sheet xmlns:r="http://schemas.openxmlformats.org/officeDocument/2006/relationships" name="Микросхемы" sheetId="3" r:id="Re4eec79500f64e79"/>
    <x:sheet xmlns:r="http://schemas.openxmlformats.org/officeDocument/2006/relationships" name="Разъёмы" sheetId="4" r:id="Rd8a3ce608cf14b6f"/>
    <x:sheet xmlns:r="http://schemas.openxmlformats.org/officeDocument/2006/relationships" name="Переключатели" sheetId="5" r:id="R9a1c01c2f7b84d4e"/>
    <x:sheet xmlns:r="http://schemas.openxmlformats.org/officeDocument/2006/relationships" name="Светодиоды" sheetId="6" r:id="rId_LED_20261023"/>
    <x:sheet xmlns:r="http://schemas.openxmlformats.org/officeDocument/2006/relationships" name="Тестовые точки" sheetId="7" r:id="rId_TestPoints_20261023"/>
    <x:sheet xmlns:r="http://schemas.openxmlformats.org/officeDocument/2006/relationships" name="Ферриты" sheetId="8" r:id="rId_Ferrites_20261027"/>
    <x:sheet xmlns:r="http://schemas.openxmlformats.org/officeDocument/2006/relationships" name="Диоды" sheetId="9" r:id="rId_Diodes_2026102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<x:sst xmlns:x="http://schemas.openxmlformats.org/spreadsheetml/2006/main">
  <x:si>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</x:si>
  <x:si>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Type</x:t>
  </x:si>
  <x:si>
    <x:t xml:space="preserve">Value</x:t>
  </x:si>
  <x:si>
    <x:t xml:space="preserve">ESKD_value</x:t>
  </x:si>
  <x:si>
    <x:t xml:space="preserve">Tolerance</x:t>
  </x:si>
  <x:si>
    <x:t xml:space="preserve">Power</x:t>
  </x:si>
  <x:si>
    <x:t xml:space="preserve">Voltage</x:t>
  </x:si>
  <x:si>
    <x:t xml:space="preserve">Package</x:t>
  </x:si>
  <x:si>
    <x:t xml:space="preserve">Manufacturer</x:t>
  </x:si>
  <x:si>
    <x:t xml:space="preserve">MPN</x:t>
  </x:si>
  <x:si>
    <x:t xml:space="preserve">CommentBase</x:t>
  </x:si>
  <x:si>
    <x:t xml:space="preserve">Library Ref</x:t>
  </x:si>
  <x:si>
    <x:t xml:space="preserve">Library Path</x:t>
  </x:si>
  <x:si>
    <x:t xml:space="preserve">Footprint Ref</x:t>
  </x:si>
  <x:si>
    <x:t xml:space="preserve">Footprint Path</x:t>
  </x:si>
  <x:si>
    <x:t xml:space="preserve">Notes</x:t>
  </x:si>
  <x:si>
    <x:t xml:space="preserve">Dielectric</x:t>
  </x:si>
  <x:si>
    <x:t xml:space="preserve">R0001</x:t>
  </x:si>
  <x:si>
    <x:t xml:space="preserve">Резистор</x:t>
  </x:si>
  <x:si>
    <x:t xml:space="preserve">10k</x:t>
  </x:si>
  <x:si>
    <x:t xml:space="preserve">±1%</x:t>
  </x:si>
  <x:si>
    <x:t xml:space="preserve">0,125 Вт</x:t>
  </x:si>
  <x:si>
    <x:t xml:space="preserve">0805</x:t>
  </x:si>
  <x:si>
    <x:t xml:space="preserve">Базовый пример</x:t>
  </x:si>
  <x:si>
    <x:t xml:space="preserve">R0002</x:t>
  </x:si>
  <x:si>
    <x:t xml:space="preserve">4.7k</x:t>
  </x:si>
  <x:si>
    <x:t xml:space="preserve">4,7 кОм</x:t>
  </x:si>
  <x:si>
    <x:t xml:space="preserve">0,1 Вт</x:t>
  </x:si>
  <x:si>
    <x:t xml:space="preserve">0603</x:t>
  </x:si>
  <x:si>
    <x:t xml:space="preserve">R0003</x:t>
  </x:si>
  <x:si>
    <x:t xml:space="preserve">100R</x:t>
  </x:si>
  <x:si>
    <x:t xml:space="preserve">100 Ом</x:t>
  </x:si>
  <x:si>
    <x:t xml:space="preserve">R0004</x:t>
  </x:si>
  <x:si>
    <x:t xml:space="preserve">1k</x:t>
  </x:si>
  <x:si>
    <x:t xml:space="preserve">1 кОм</x:t>
  </x:si>
  <x:si>
    <x:t xml:space="preserve">±5%</x:t>
  </x:si>
  <x:si>
    <x:t xml:space="preserve">0,25 Вт</x:t>
  </x:si>
  <x:si>
    <x:t xml:space="preserve">1206</x:t>
  </x:si>
  <x:si>
    <x:t xml:space="preserve">R0005</x:t>
  </x:si>
  <x:si>
    <x:t xml:space="preserve">0R</x:t>
  </x:si>
  <x:si>
    <x:t xml:space="preserve">0 Ом</x:t>
  </x:si>
  <x:si>
    <x:t xml:space="preserve">Перемычка: формула без допуска</x:t>
  </x:si>
  <x:si>
    <x:t xml:space="preserve">R0006</x:t>
  </x:si>
  <x:si>
    <x:t xml:space="preserve">1meg</x:t>
  </x:si>
  <x:si>
    <x:t xml:space="preserve">1 МОм</x:t>
  </x:si>
  <x:si>
    <x:t xml:space="preserve">R0007</x:t>
  </x:si>
  <x:si>
    <x:t xml:space="preserve">0.1R</x:t>
  </x:si>
  <x:si>
    <x:t xml:space="preserve">0,1 Ом</x:t>
  </x:si>
  <x:si>
    <x:t xml:space="preserve">Мощность и корпус — отдельные требования</x:t>
  </x:si>
  <x:si>
    <x:t xml:space="preserve">R0008</x:t>
  </x:si>
  <x:si>
    <x:t xml:space="preserve">2.2meg</x:t>
  </x:si>
  <x:si>
    <x:t xml:space="preserve">2,2 МОм</x:t>
  </x:si>
  <x:si>
    <x:t xml:space="preserve">C0001</x:t>
  </x:si>
  <x:si>
    <x:t xml:space="preserve">Конденсатор</x:t>
  </x:si>
  <x:si>
    <x:t xml:space="preserve">100n</x:t>
  </x:si>
  <x:si>
    <x:t xml:space="preserve">±10%</x:t>
  </x:si>
  <x:si>
    <x:t xml:space="preserve">50 В</x:t>
  </x:si>
  <x:si>
    <x:t xml:space="preserve">X7R</x:t>
  </x:si>
  <x:si>
    <x:t xml:space="preserve">Пример: диэлектрик уточнить перед выбором</x:t>
  </x:si>
  <x:si>
    <x:t xml:space="preserve">C0002</x:t>
  </x:si>
  <x:si>
    <x:t xml:space="preserve">4.7u</x:t>
  </x:si>
  <x:si>
    <x:t xml:space="preserve">25 В</x:t>
  </x:si>
</x:sst>
</file>

<file path=xl/styles.xml><?xml version="1.0" encoding="utf-8"?>
<x:styleSheet xmlns:x="http://schemas.openxmlformats.org/spreadsheetml/2006/main">
  <x:numFmts count="2">
    <x:numFmt numFmtId="164" formatCode="0000"/>
    <x:numFmt numFmtId="200" formatCode="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name val="Carlito"/>
    </x:font>
    <x:font>
      <x:u val="single"/>
      <x:sz val="11"/>
      <x:color rgb="FF0563C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E6F2E9"/>
      </x:patternFill>
    </x:fill>
    <x:fill>
      <x:patternFill patternType="solid">
        <x:fgColor rgb="FFFFF0CF"/>
      </x:patternFill>
    </x:fill>
    <x:fill>
      <x:patternFill patternType="solid">
        <x:fgColor rgb="FFFFF6E2"/>
      </x:patternFill>
    </x:fill>
    <x:fill>
      <x:patternFill patternType="solid">
        <x:fgColor rgb="FF24435B"/>
      </x:patternFill>
    </x:fill>
  </x:fills>
  <x:borders count="1">
    <x:border>
      <x:left/>
      <x:right/>
      <x:top/>
      <x:bottom/>
      <x:diagonal/>
    </x:border>
  </x:borders>
  <x:cellStyleXfs count="3">
    <x:xf numFmtId="0" fontId="3" fillId="0" borderId="0"/>
    <x:xf numFmtId="0" fontId="3" fillId="0" borderId="0"/>
    <x:xf numFmtId="0" fontId="0" fillId="0" borderId="0"/>
  </x:cellStyleXfs>
  <x:cellXfs count="49">
    <x:xf numFmtId="0" fontId="0" fillId="0" borderId="0" xfId="0"/>
    <x:xf numFmtId="49" fontId="1" fillId="2" borderId="0" xfId="1" applyAlignment="1">
      <x:alignment horizontal="left" vertical="center"/>
    </x:xf>
    <x:xf numFmtId="164" fontId="1" fillId="2" borderId="0" xfId="1" applyAlignment="1">
      <x:alignment horizontal="left" vertical="center"/>
    </x:xf>
    <x:xf numFmtId="49" fontId="1" fillId="3" borderId="0" xfId="1" applyAlignment="1">
      <x:alignment horizontal="left" vertical="center"/>
    </x:xf>
    <x:xf numFmtId="164" fontId="1" fillId="3" borderId="0" xfId="1" applyAlignment="1">
      <x:alignment horizontal="left" vertical="center"/>
    </x:xf>
    <x:xf numFmtId="0" fontId="1" fillId="4" borderId="0" xfId="1" applyAlignment="1">
      <x:alignment horizontal="left" vertical="center"/>
    </x:xf>
    <x:xf numFmtId="0" fontId="1" fillId="5" borderId="0" xfId="1" applyAlignment="1">
      <x:alignment horizontal="left" vertical="center"/>
    </x:xf>
    <x:xf numFmtId="49" fontId="1" fillId="6" borderId="0" xfId="1" applyAlignment="1">
      <x:alignment horizontal="left" vertical="center"/>
    </x:xf>
    <x:xf numFmtId="49" fontId="2" fillId="7" borderId="0" xfId="1" applyAlignment="1">
      <x:alignment horizontal="center" vertical="center"/>
    </x:xf>
    <x:xf numFmtId="49" fontId="2" fillId="7" borderId="0" xfId="0" applyAlignment="1">
      <x:alignment horizontal="center" vertical="center"/>
    </x:xf>
    <x:xf numFmtId="49" fontId="1" fillId="2" borderId="0" xfId="0" applyAlignment="1">
      <x:alignment horizontal="left" vertical="center"/>
    </x:xf>
    <x:xf numFmtId="0" fontId="1" fillId="4" borderId="0" xfId="0" applyAlignment="1">
      <x:alignment horizontal="left" vertical="center"/>
    </x:xf>
    <x:xf numFmtId="164" fontId="1" fillId="2" borderId="0" xfId="0" applyAlignment="1">
      <x:alignment horizontal="left" vertical="center"/>
    </x:xf>
    <x:xf numFmtId="49" fontId="1" fillId="6" borderId="0" xfId="0" applyAlignment="1">
      <x:alignment horizontal="left" vertical="center"/>
    </x:xf>
    <x:xf numFmtId="49" fontId="1" fillId="3" borderId="0" xfId="0" applyAlignment="1">
      <x:alignment horizontal="left" vertical="center"/>
    </x:xf>
    <x:xf numFmtId="164" fontId="1" fillId="3" borderId="0" xfId="0" applyAlignment="1">
      <x:alignment horizontal="left" vertical="center"/>
    </x:xf>
    <x:xf numFmtId="0" fontId="1" fillId="5" borderId="0" xfId="0" applyAlignment="1">
      <x:alignment horizontal="left" vertical="center"/>
    </x:xf>
    <x:xf numFmtId="49" fontId="2" fillId="7" borderId="0" xfId="1" applyAlignment="1">
      <x:alignment horizontal="center" vertical="center" wrapText="1"/>
    </x:xf>
    <x:xf numFmtId="49" fontId="1" fillId="2" borderId="0" xfId="1" applyAlignment="1">
      <x:alignment vertical="top" wrapText="1"/>
    </x:xf>
    <x:xf numFmtId="0" fontId="1" fillId="4" borderId="0" xfId="1" applyAlignment="1">
      <x:alignment vertical="top" wrapText="1"/>
    </x:xf>
    <x:xf numFmtId="164" fontId="1" fillId="2" borderId="0" xfId="1" applyAlignment="1">
      <x:alignment vertical="top" wrapText="1"/>
    </x:xf>
    <x:xf numFmtId="0" fontId="1" fillId="5" borderId="0" xfId="1" applyAlignment="1">
      <x:alignment vertical="top" wrapText="1"/>
    </x:xf>
    <x:xf numFmtId="49" fontId="1" fillId="6" borderId="0" xfId="1" applyAlignment="1">
      <x:alignment vertical="top" wrapText="1"/>
    </x:xf>
    <x:xf numFmtId="0" fontId="1" fillId="4" borderId="0" xfId="0" applyAlignment="1">
      <x:alignment vertical="top" wrapText="1"/>
    </x:xf>
    <x:xf numFmtId="0" fontId="1" fillId="5" borderId="0" xfId="0" applyAlignment="1">
      <x:alignment vertical="top" wrapText="1"/>
    </x:xf>
    <x:xf numFmtId="1" fontId="1" fillId="5" borderId="0" xfId="0" applyAlignment="1">
      <x:alignment vertical="top" wrapText="1"/>
    </x:xf>
    <x:xf numFmtId="0" fontId="4" fillId="5" borderId="0" xfId="0" applyAlignment="1">
      <x:alignment vertical="top" wrapText="1"/>
    </x:xf>
    <x:xf numFmtId="49" fontId="2" fillId="7" borderId="0" xfId="2" applyAlignment="1">
      <x:alignment horizontal="center" vertical="center"/>
    </x:xf>
    <x:xf numFmtId="49" fontId="1" fillId="2" borderId="0" xfId="2" applyAlignment="1">
      <x:alignment horizontal="left" vertical="center"/>
    </x:xf>
    <x:xf numFmtId="0" fontId="1" fillId="4" borderId="0" xfId="2" applyAlignment="1">
      <x:alignment horizontal="left" vertical="center"/>
    </x:xf>
    <x:xf numFmtId="164" fontId="1" fillId="2" borderId="0" xfId="2" applyAlignment="1">
      <x:alignment horizontal="left" vertical="center"/>
    </x:xf>
    <x:xf numFmtId="49" fontId="1" fillId="6" borderId="0" xfId="2" applyAlignment="1">
      <x:alignment horizontal="left" vertical="center"/>
    </x:xf>
    <x:xf numFmtId="49" fontId="2" fillId="7" borderId="0" xfId="0" applyNumberFormat="1" applyFont="1" applyFill="1" applyBorder="1" applyAlignment="1">
      <x:alignment horizontal="center" vertical="center" wrapText="1"/>
    </x:xf>
    <x:xf numFmtId="49" fontId="1" fillId="2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164" fontId="1" fillId="2" borderId="0" xfId="0" applyNumberFormat="1" applyFont="1" applyFill="1" applyBorder="1" applyAlignment="1">
      <x:alignment horizontal="left" vertical="center" wrapText="1"/>
    </x:xf>
    <x:xf numFmtId="49" fontId="1" fillId="6" borderId="0" xfId="0" applyNumberFormat="1" applyFont="1" applyFill="1" applyBorder="1" applyAlignment="1">
      <x:alignment horizontal="left" vertical="center" wrapText="1"/>
    </x:xf>
    <x:xf numFmtId="49" fontId="1" fillId="2" borderId="0" xfId="2" applyAlignment="1">
      <x:alignment vertical="top" wrapText="1"/>
    </x:xf>
    <x:xf numFmtId="0" fontId="1" fillId="4" borderId="0" xfId="2" applyAlignment="1">
      <x:alignment vertical="top" wrapText="1"/>
    </x:xf>
    <x:xf numFmtId="164" fontId="1" fillId="2" borderId="0" xfId="2" applyAlignment="1">
      <x:alignment vertical="top" wrapText="1"/>
    </x:xf>
    <x:xf numFmtId="0" fontId="1" fillId="5" borderId="0" xfId="2" applyAlignment="1">
      <x:alignment vertical="top" wrapText="1"/>
    </x:xf>
    <x:xf numFmtId="49" fontId="1" fillId="6" borderId="0" xfId="2" applyAlignment="1">
      <x:alignment vertical="top" wrapText="1"/>
    </x:xf>
    <x:xf numFmtId="1" fontId="1" fillId="5" borderId="0" xfId="2" applyAlignment="1">
      <x:alignment vertical="top" wrapText="1"/>
    </x:xf>
    <x:xf numFmtId="49" fontId="2" fillId="7" borderId="0" xfId="2" applyNumberFormat="1" applyFont="1" applyFill="1" applyBorder="1" applyAlignment="1">
      <x:alignment horizontal="center" vertical="center" wrapText="1"/>
    </x:xf>
    <x:xf numFmtId="49" fontId="1" fillId="2" borderId="0" xfId="2" applyNumberFormat="1" applyFont="1" applyFill="1" applyBorder="1" applyAlignment="1">
      <x:alignment horizontal="left" vertical="center" wrapText="1"/>
    </x:xf>
    <x:xf numFmtId="0" fontId="1" fillId="4" borderId="0" xfId="2" applyNumberFormat="1" applyFont="1" applyFill="1" applyBorder="1" applyAlignment="1">
      <x:alignment horizontal="left" vertical="center" wrapText="1"/>
    </x:xf>
    <x:xf numFmtId="164" fontId="1" fillId="2" borderId="0" xfId="2" applyNumberFormat="1" applyFont="1" applyFill="1" applyBorder="1" applyAlignment="1">
      <x:alignment horizontal="left" vertical="center" wrapText="1"/>
    </x:xf>
    <x:xf numFmtId="49" fontId="1" fillId="6" borderId="0" xfId="2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</x:cellXfs>
  <x:cellStyles count="2">
    <x:cellStyle name="Обычный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28ff79fcd41d1" /><Relationship Type="http://schemas.openxmlformats.org/officeDocument/2006/relationships/theme" Target="/xl/theme/theme1.xml" Id="Rd01b636bbb4d4e59" /><Relationship Type="http://schemas.openxmlformats.org/officeDocument/2006/relationships/sharedStrings" Target="/xl/sharedStrings.xml" Id="Rf3e9e13aa62d4701" /><Relationship Type="http://schemas.openxmlformats.org/officeDocument/2006/relationships/worksheet" Target="/xl/worksheets/sheet1.xml" Id="R0430ce75210c49ce" /><Relationship Type="http://schemas.openxmlformats.org/officeDocument/2006/relationships/worksheet" Target="/xl/worksheets/sheet2.xml" Id="Rbba3e315b5494708" /><Relationship Type="http://schemas.openxmlformats.org/officeDocument/2006/relationships/worksheet" Target="/xl/worksheets/sheet3.xml" Id="Re4eec79500f64e79" /><Relationship Type="http://schemas.openxmlformats.org/officeDocument/2006/relationships/worksheet" Target="/xl/worksheets/sheet4.xml" Id="Rd8a3ce608cf14b6f" /><Relationship Type="http://schemas.openxmlformats.org/officeDocument/2006/relationships/worksheet" Target="/xl/worksheets/sheet5.xml" Id="R9a1c01c2f7b84d4e" /><Relationship Id="rId_LED_20261023" Type="http://schemas.openxmlformats.org/officeDocument/2006/relationships/worksheet" Target="worksheets/sheet6.xml"/><Relationship Id="rId_TestPoints_20261023" Type="http://schemas.openxmlformats.org/officeDocument/2006/relationships/worksheet" Target="worksheets/sheet7.xml"/><Relationship Id="rId_Ferrites_20261027" Type="http://schemas.openxmlformats.org/officeDocument/2006/relationships/worksheet" Target="worksheets/sheet8.xml"/><Relationship Id="rId_Diodes_20261028" Type="http://schemas.openxmlformats.org/officeDocument/2006/relationships/worksheet" Target="worksheets/sheet9.xml"/></Relationships>
</file>

<file path=xl/tables/table1.xml><?xml version="1.0" encoding="utf-8"?>
<ns0:table xmlns:ns0="http://schemas.openxmlformats.org/spreadsheetml/2006/main" id="8" name="MY_LIB_Resistors" displayName="MY_LIB_Resistors" ref="A1:AH583" headerRowCount="1" totalsRowCount="0" totalsRowShown="0">
  <ns0:autoFilter ref="A1:AH583"/>
  <ns0:tableColumns count="34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Package"/>
    <ns0:tableColumn id="9" name="Manufacturer"/>
    <ns0:tableColumn id="10" name="MPN"/>
    <ns0:tableColumn id="11" name="CommentBase"/>
    <ns0:tableColumn id="12" name="Library Ref"/>
    <ns0:tableColumn id="13" name="Library Path"/>
    <ns0:tableColumn id="14" name="Footprint Ref"/>
    <ns0:tableColumn id="15" name="Footprint Path"/>
    <ns0:tableColumn id="16" name="Notes"/>
    <ns0:tableColumn id="17" name="Dielectric"/>
    <ns0:tableColumn id="18" name="Comment"/>
    <ns0:tableColumn id="19" name="Description"/>
    <ns0:tableColumn id="20" name="Datasheet"/>
    <ns0:tableColumn id="21" name="ComponentLink1Description"/>
    <ns0:tableColumn id="22" name="ComponentLink1URL"/>
    <ns0:tableColumn id="23" name="ComponentLink2Description"/>
    <ns0:tableColumn id="24" name="ComponentLink2URL"/>
    <ns0:tableColumn id="25" name="HelpURL"/>
    <ns0:tableColumn id="26" name="Sim Model Name"/>
    <ns0:tableColumn id="27" name="Sim Description"/>
    <ns0:tableColumn id="28" name="Sim Kind"/>
    <ns0:tableColumn id="29" name="Sim SubKind"/>
    <ns0:tableColumn id="30" name="Sim Netlist"/>
    <ns0:tableColumn id="31" name="Sim Spice Prefix"/>
    <ns0:tableColumn id="32" name="Sim Port Map"/>
    <ns0:tableColumn id="33" name="Sim File"/>
    <ns0:tableColumn id="34" name="TCR"/>
  </ns0:tableColumns>
  <ns0:tableStyleInfo name="TableStyleMedium2" showFirstColumn="0" showLastColumn="0" showRowStripes="1" showColumnStripes="0"/>
</ns0:table>
</file>

<file path=xl/tables/table2.xml><?xml version="1.0" encoding="utf-8"?>
<ns0:table xmlns:ns0="http://schemas.openxmlformats.org/spreadsheetml/2006/main" id="9" name="MY_LIB_Capacitors" displayName="MY_LIB_Capacitors" ref="A1:AQ277" headerRowCount="1" totalsRowCount="0" totalsRowShown="0">
  <ns0:autoFilter ref="A1:AQ277"/>
  <ns0:tableColumns count="43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Dielectric"/>
    <ns0:tableColumn id="9" name="Package"/>
    <ns0:tableColumn id="10" name="Manufacturer"/>
    <ns0:tableColumn id="11" name="MPN"/>
    <ns0:tableColumn id="12" name="CommentBase"/>
    <ns0:tableColumn id="13" name="Library Ref"/>
    <ns0:tableColumn id="14" name="Library Path"/>
    <ns0:tableColumn id="15" name="Footprint Ref"/>
    <ns0:tableColumn id="16" name="Footprint Path"/>
    <ns0:tableColumn id="17" name="Notes"/>
    <ns0:tableColumn id="18" name="Comment"/>
    <ns0:tableColumn id="19" name="Description"/>
    <ns0:tableColumn id="20" name="Datasheet"/>
    <ns0:tableColumn id="21" name="ComponentLink1Description"/>
    <ns0:tableColumn id="22" name="ComponentLink1URL"/>
    <ns0:tableColumn id="23" name="ComponentLink2Description"/>
    <ns0:tableColumn id="24" name="ComponentLink2URL"/>
    <ns0:tableColumn id="25" name="HelpURL"/>
    <ns0:tableColumn id="26" name="CapacitanceNominalF"/>
    <ns0:tableColumn id="27" name="DissipationFactorMax"/>
    <ns0:tableColumn id="28" name="DFTestFrequencyHz"/>
    <ns0:tableColumn id="29" name="DFTestVoltageVrms"/>
    <ns0:tableColumn id="30" name="DFTestTemperatureC"/>
    <ns0:tableColumn id="31" name="InsulationTimeConstantMinS"/>
    <ns0:tableColumn id="32" name="InsulationResistanceMinOhm"/>
    <ns0:tableColumn id="33" name="InsulationTestVoltageV"/>
    <ns0:tableColumn id="34" name="InsulationTestDurationS"/>
    <ns0:tableColumn id="35" name="EquivalentSeriesResistanceOhm"/>
    <ns0:tableColumn id="36" name="Sim Model Name"/>
    <ns0:tableColumn id="37" name="Sim Description"/>
    <ns0:tableColumn id="38" name="Sim Kind"/>
    <ns0:tableColumn id="39" name="Sim SubKind"/>
    <ns0:tableColumn id="40" name="Sim Netlist"/>
    <ns0:tableColumn id="41" name="Sim Spice Prefix"/>
    <ns0:tableColumn id="42" name="Sim Port Map"/>
    <ns0:tableColumn id="43" name="Sim File"/>
  </ns0:tableColumns>
  <ns0:tableStyleInfo name="TableStyleMedium2" showFirstColumn="0" showLastColumn="0" showRowStripes="1" showColumnStripes="0"/>
</ns0:table>
</file>

<file path=xl/tables/table3.xml><?xml version="1.0" encoding="utf-8"?>
<x:table xmlns:x="http://schemas.openxmlformats.org/spreadsheetml/2006/main" id="3" name="MY_LIB_ICs" displayName="MY_LIB_ICs" ref="A1:AG5" headerRowCount="1" totalsRowCount="0" totalsRowShown="0">
  <x:autoFilter ref="A1:AG5"/>
  <x:tableColumns count="33">
    <x:tableColumn id="1" name="ID"/>
    <x:tableColumn id="2" name="Type"/>
    <x:tableColumn id="3" name="Value"/>
    <x:tableColumn id="4" name="ESKD_value"/>
    <x:tableColumn id="5" name="Tolerance"/>
    <x:tableColumn id="6" name="Power"/>
    <x:tableColumn id="7" name="Voltage"/>
    <x:tableColumn id="8" name="Package"/>
    <x:tableColumn id="9" name="Manufacturer"/>
    <x:tableColumn id="10" name="MPN"/>
    <x:tableColumn id="11" name="CommentBase"/>
    <x:tableColumn id="12" name="Library Ref"/>
    <x:tableColumn id="13" name="Library Path"/>
    <x:tableColumn id="14" name="Footprint Ref"/>
    <x:tableColumn id="15" name="Footprint Path"/>
    <x:tableColumn id="16" name="Notes"/>
    <x:tableColumn id="17" name="Dielectric"/>
    <x:tableColumn id="18" name="Comment"/>
    <x:tableColumn id="19" name="Description"/>
    <x:tableColumn id="20" name="OperatingTemperatureMin"/>
    <x:tableColumn id="21" name="OperatingTemperatureMax"/>
    <x:tableColumn id="22" name="TemperatureReference"/>
    <x:tableColumn id="23" name="StorageTemperatureMin"/>
    <x:tableColumn id="24" name="StorageTemperatureMax"/>
    <x:tableColumn id="25" name="JunctionTemperatureMin"/>
    <x:tableColumn id="26" name="JunctionTemperatureMax"/>
    <x:tableColumn id="27" name="Datasheet"/>
    <x:tableColumn id="28" name="DatasheetRevision"/>
    <x:tableColumn id="29" name="ComponentLink1Description"/>
    <x:tableColumn id="30" name="ComponentLink1URL"/>
    <x:tableColumn id="31" name="ComponentLink2Description"/>
    <x:tableColumn id="32" name="ComponentLink2URL"/>
    <x:tableColumn id="33" name="Help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MY_LIB_Connectors" displayName="MY_LIB_Connectors" ref="A1:Z359" headerRowCount="1" totalsRowCount="0" totalsRowShown="0">
  <x:tableColumns count="26">
    <x:tableColumn id="1" name="ID"/>
    <x:tableColumn id="2" name="Type"/>
    <x:tableColumn id="3" name="Value"/>
    <x:tableColumn id="4" name="ESKD_value"/>
    <x:tableColumn id="5" name="Tolerance"/>
    <x:tableColumn id="6" name="Power"/>
    <x:tableColumn id="7" name="Voltage"/>
    <x:tableColumn id="8" name="Package"/>
    <x:tableColumn id="9" name="Manufacturer"/>
    <x:tableColumn id="10" name="MPN"/>
    <x:tableColumn id="11" name="CommentBase"/>
    <x:tableColumn id="12" name="Library Ref"/>
    <x:tableColumn id="13" name="Library Path"/>
    <x:tableColumn id="14" name="Footprint Ref"/>
    <x:tableColumn id="15" name="Footprint Path"/>
    <x:tableColumn id="16" name="Notes"/>
    <x:tableColumn id="17" name="Dielectric"/>
    <x:tableColumn id="18" name="Comment"/>
    <x:tableColumn id="19" name="Description"/>
    <x:tableColumn id="20" name="Datasheet"/>
    <x:tableColumn id="21" name="DatasheetRevision"/>
    <x:tableColumn id="22" name="ComponentLink1Description"/>
    <x:tableColumn id="23" name="ComponentLink1URL"/>
    <x:tableColumn id="24" name="ComponentLink2Description"/>
    <x:tableColumn id="25" name="ComponentLink2URL"/>
    <x:tableColumn id="26" name="Help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MY_LIB_Switches" displayName="MY_LIB_Switches" ref="A1:AF2" headerRowCount="1" totalsRowCount="0" totalsRowShown="0">
  <x:tableColumns count="32">
    <x:tableColumn id="1" name="ID"/>
    <x:tableColumn id="2" name="Type"/>
    <x:tableColumn id="3" name="Value"/>
    <x:tableColumn id="4" name="ESKD_value"/>
    <x:tableColumn id="5" name="Tolerance"/>
    <x:tableColumn id="6" name="Power"/>
    <x:tableColumn id="7" name="Voltage"/>
    <x:tableColumn id="8" name="Package"/>
    <x:tableColumn id="9" name="Manufacturer"/>
    <x:tableColumn id="10" name="MPN"/>
    <x:tableColumn id="11" name="CommentBase"/>
    <x:tableColumn id="12" name="Library Ref"/>
    <x:tableColumn id="13" name="Library Path"/>
    <x:tableColumn id="14" name="Footprint Ref"/>
    <x:tableColumn id="15" name="Footprint Path"/>
    <x:tableColumn id="16" name="Notes"/>
    <x:tableColumn id="17" name="Dielectric"/>
    <x:tableColumn id="18" name="Comment"/>
    <x:tableColumn id="19" name="Description"/>
    <x:tableColumn id="20" name="Datasheet"/>
    <x:tableColumn id="21" name="DatasheetRevision"/>
    <x:tableColumn id="22" name="ComponentLink1Description"/>
    <x:tableColumn id="23" name="ComponentLink1URL"/>
    <x:tableColumn id="24" name="CurrentRating"/>
    <x:tableColumn id="25" name="OperatingTemperatureMin"/>
    <x:tableColumn id="26" name="OperatingTemperatureMax"/>
    <x:tableColumn id="27" name="TemperatureReference"/>
    <x:tableColumn id="28" name="ContactForm"/>
    <x:tableColumn id="29" name="Positions"/>
    <x:tableColumn id="30" name="ComponentLink2Description"/>
    <x:tableColumn id="31" name="ComponentLink2URL"/>
    <x:tableColumn id="32" name="HelpURL"/>
  </x:tableColumns>
  <x:tableStyleInfo name="TableStyleMedium2" showFirstColumn="0" showLastColumn="0" showRowStripes="1" showColumnStripes="0"/>
</x:table>
</file>

<file path=xl/tables/table6.xml><?xml version="1.0" encoding="utf-8"?>
<ns0:table xmlns:ns0="http://schemas.openxmlformats.org/spreadsheetml/2006/main" id="6" name="MY_LIB_LEDs" displayName="MY_LIB_LEDs" ref="A1:AK15" headerRowCount="1" totalsRowCount="0" totalsRowShown="0">
  <ns0:tableColumns count="37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Package"/>
    <ns0:tableColumn id="9" name="Manufacturer"/>
    <ns0:tableColumn id="10" name="MPN"/>
    <ns0:tableColumn id="11" name="CommentBase"/>
    <ns0:tableColumn id="12" name="Library Ref"/>
    <ns0:tableColumn id="13" name="Library Path"/>
    <ns0:tableColumn id="14" name="Footprint Ref"/>
    <ns0:tableColumn id="15" name="Footprint Path"/>
    <ns0:tableColumn id="16" name="Notes"/>
    <ns0:tableColumn id="17" name="Dielectric"/>
    <ns0:tableColumn id="18" name="Comment"/>
    <ns0:tableColumn id="19" name="Description"/>
    <ns0:tableColumn id="20" name="Datasheet"/>
    <ns0:tableColumn id="21" name="DatasheetRevision"/>
    <ns0:tableColumn id="22" name="ComponentLink1Description"/>
    <ns0:tableColumn id="23" name="ComponentLink1URL"/>
    <ns0:tableColumn id="24" name="Color"/>
    <ns0:tableColumn id="25" name="WavelengthNm"/>
    <ns0:tableColumn id="26" name="ForwardVoltageTypicalV"/>
    <ns0:tableColumn id="27" name="ForwardVoltageMaxV"/>
    <ns0:tableColumn id="28" name="TestCurrentMa"/>
    <ns0:tableColumn id="29" name="ViewingAngleDeg"/>
    <ns0:tableColumn id="30" name="IntensityMinMcd"/>
    <ns0:tableColumn id="31" name="IntensityTypicalMcd"/>
    <ns0:tableColumn id="32" name="PinMapping"/>
    <ns0:tableColumn id="33" name="ChipMaterial"/>
    <ns0:tableColumn id="34" name="Family"/>
    <ns0:tableColumn id="35" name="ComponentLink2Description"/>
    <ns0:tableColumn id="36" name="ComponentLink2URL"/>
    <ns0:tableColumn id="37" name="HelpURL"/>
  </ns0:tableColumns>
  <ns0:tableStyleInfo name="TableStyleMedium2" showFirstColumn="0" showLastColumn="0" showRowStripes="1" showColumnStripes="0"/>
</ns0:table>
</file>

<file path=xl/tables/table7.xml><?xml version="1.0" encoding="utf-8"?>
<ns0:table xmlns:ns0="http://schemas.openxmlformats.org/spreadsheetml/2006/main" id="7" name="MY_LIB_TestPoints" displayName="MY_LIB_TestPoints" ref="A1:Y4" headerRowCount="1" totalsRowCount="0" totalsRowShown="0">
  <ns0:tableColumns count="25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Package"/>
    <ns0:tableColumn id="9" name="Manufacturer"/>
    <ns0:tableColumn id="10" name="MPN"/>
    <ns0:tableColumn id="11" name="CommentBase"/>
    <ns0:tableColumn id="12" name="Library Ref"/>
    <ns0:tableColumn id="13" name="Library Path"/>
    <ns0:tableColumn id="14" name="Footprint Ref"/>
    <ns0:tableColumn id="15" name="Footprint Path"/>
    <ns0:tableColumn id="16" name="Notes"/>
    <ns0:tableColumn id="17" name="Dielectric"/>
    <ns0:tableColumn id="18" name="Comment"/>
    <ns0:tableColumn id="19" name="Description"/>
    <ns0:tableColumn id="20" name="Datasheet"/>
    <ns0:tableColumn id="21" name="DatasheetRevision"/>
    <ns0:tableColumn id="22" name="ComponentLink1Description"/>
    <ns0:tableColumn id="23" name="ComponentLink1URL"/>
    <ns0:tableColumn id="24" name="DiameterMm"/>
    <ns0:tableColumn id="25" name="ComponentType"/>
  </ns0:tableColumns>
  <ns0:tableStyleInfo name="TableStyleMedium2" showFirstColumn="0" showLastColumn="0" showRowStripes="1" showColumnStripes="0"/>
</ns0:table>
</file>

<file path=xl/tables/table8.xml><?xml version="1.0" encoding="utf-8"?>
<ns0:table xmlns:ns0="http://schemas.openxmlformats.org/spreadsheetml/2006/main" id="12" name="MY_LIB_Ferrites" displayName="MY_LIB_Ferrites" ref="A1:AL79" headerRowCount="1" totalsRowCount="0" totalsRowShown="0">
  <ns0:tableColumns count="38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Package"/>
    <ns0:tableColumn id="9" name="Manufacturer"/>
    <ns0:tableColumn id="10" name="MPN"/>
    <ns0:tableColumn id="11" name="CommentBase"/>
    <ns0:tableColumn id="12" name="Library Ref"/>
    <ns0:tableColumn id="13" name="Library Path"/>
    <ns0:tableColumn id="14" name="Footprint Ref"/>
    <ns0:tableColumn id="15" name="Footprint Path"/>
    <ns0:tableColumn id="16" name="Notes"/>
    <ns0:tableColumn id="17" name="Dielectric"/>
    <ns0:tableColumn id="18" name="Comment"/>
    <ns0:tableColumn id="19" name="Description"/>
    <ns0:tableColumn id="20" name="Datasheet"/>
    <ns0:tableColumn id="21" name="ComponentLink1Description"/>
    <ns0:tableColumn id="22" name="ComponentLink1URL"/>
    <ns0:tableColumn id="23" name="ComponentLink2Description"/>
    <ns0:tableColumn id="24" name="ComponentLink2URL"/>
    <ns0:tableColumn id="25" name="HelpURL"/>
    <ns0:tableColumn id="26" name="ImpedanceOhm"/>
    <ns0:tableColumn id="27" name="TestFrequencyMHz"/>
    <ns0:tableColumn id="28" name="RatedCurrentA"/>
    <ns0:tableColumn id="29" name="RatedCurrent125CA"/>
    <ns0:tableColumn id="30" name="DCResistanceMaxOhm"/>
    <ns0:tableColumn id="31" name="OperatingTemperatureMin"/>
    <ns0:tableColumn id="32" name="OperatingTemperatureMax"/>
    <ns0:tableColumn id="33" name="TemperatureReference"/>
    <ns0:tableColumn id="34" name="Family"/>
    <ns0:tableColumn id="35" name="Grade"/>
    <ns0:tableColumn id="36" name="Packaging"/>
    <ns0:tableColumn id="37" name="PackagingQuantity"/>
    <ns0:tableColumn id="38" name="DatasheetRevision"/>
  </ns0:tableColumns>
  <ns0:tableStyleInfo name="TableStyleMedium2" showFirstColumn="0" showLastColumn="0" showRowStripes="1" showColumnStripes="0"/>
</ns0:table>
</file>

<file path=xl/tables/table9.xml><?xml version="1.0" encoding="utf-8"?>
<ns0:table xmlns:ns0="http://schemas.openxmlformats.org/spreadsheetml/2006/main" id="13" name="MY_LIB_Diodes" displayName="MY_LIB_Diodes" ref="A1:AJ236" headerRowCount="1" totalsRowCount="0" totalsRowShown="0">
  <ns0:tableColumns count="36">
    <ns0:tableColumn id="1" name="ID"/>
    <ns0:tableColumn id="2" name="Type"/>
    <ns0:tableColumn id="3" name="Value"/>
    <ns0:tableColumn id="4" name="ESKD_value"/>
    <ns0:tableColumn id="5" name="Tolerance"/>
    <ns0:tableColumn id="6" name="Power"/>
    <ns0:tableColumn id="7" name="Voltage"/>
    <ns0:tableColumn id="8" name="Package"/>
    <ns0:tableColumn id="9" name="Manufacturer"/>
    <ns0:tableColumn id="10" name="MPN"/>
    <ns0:tableColumn id="11" name="CommentBase"/>
    <ns0:tableColumn id="12" name="Library Ref"/>
    <ns0:tableColumn id="13" name="Library Path"/>
    <ns0:tableColumn id="14" name="Footprint Ref"/>
    <ns0:tableColumn id="15" name="Footprint Path"/>
    <ns0:tableColumn id="16" name="Notes"/>
    <ns0:tableColumn id="17" name="Dielectric"/>
    <ns0:tableColumn id="18" name="Comment"/>
    <ns0:tableColumn id="19" name="Description"/>
    <ns0:tableColumn id="20" name="Datasheet"/>
    <ns0:tableColumn id="21" name="DatasheetRevision"/>
    <ns0:tableColumn id="22" name="ComponentLink1Description"/>
    <ns0:tableColumn id="23" name="ComponentLink1URL"/>
    <ns0:tableColumn id="24" name="ComponentLink2Description"/>
    <ns0:tableColumn id="25" name="ComponentLink2URL"/>
    <ns0:tableColumn id="26" name="HelpURL"/>
    <ns0:tableColumn id="27" name="Family"/>
    <ns0:tableColumn id="28" name="Configuration"/>
    <ns0:tableColumn id="29" name="PinMapping"/>
    <ns0:tableColumn id="30" name="RatedCurrentA"/>
    <ns0:tableColumn id="31" name="ReverseVoltageMaxV"/>
    <ns0:tableColumn id="32" name="ZenerVoltageNominalV"/>
    <ns0:tableColumn id="33" name="TestCurrentMa"/>
    <ns0:tableColumn id="34" name="ForwardVoltageMaxV"/>
    <ns0:tableColumn id="35" name="ReverseRecoveryTimeMaxNs"/>
    <ns0:tableColumn id="36" name="PowerCondition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5285ebd89b4f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f0e18cae8f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silabs.com/documents/public/data-sheets/cp2102n-datasheet.pdf" TargetMode="External" Id="R1c4bca6533874f2f" /><Relationship Type="http://schemas.openxmlformats.org/officeDocument/2006/relationships/hyperlink" Target="https://www.silabs.com/documents/public/data-sheets/cp2102n-datasheet.pdf" TargetMode="External" Id="R9095a22ed94f4365" /><Relationship Type="http://schemas.openxmlformats.org/officeDocument/2006/relationships/hyperlink" Target="https://www.st.com/resource/en/datasheet/usblc6-2.pdf" TargetMode="External" Id="Rdb1e5dea436940a3" /><Relationship Type="http://schemas.openxmlformats.org/officeDocument/2006/relationships/hyperlink" Target="https://www.st.com/resource/en/datasheet/usblc6-2.pdf" TargetMode="External" Id="Rcf817795add64a6d" /><Relationship Type="http://schemas.openxmlformats.org/officeDocument/2006/relationships/table" Target="/xl/tables/table3.xml" Id="Rad05b27715d349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27cb023ce740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d681b1c0d9423d" /></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table" Target="../tables/table6.xml" Id="R2bee39e30b9d406e" /></ns0:Relationships>
</file>

<file path=xl/worksheets/_rels/sheet7.xml.rels><?xml version='1.0' encoding='utf-8'?>
<ns0:Relationships xmlns:ns0="http://schemas.openxmlformats.org/package/2006/relationships"><ns0:Relationship Type="http://schemas.openxmlformats.org/officeDocument/2006/relationships/table" Target="../tables/table7.xml" Id="Rbd9ae99f35be42d0" /></ns0:Relationships>
</file>

<file path=xl/worksheets/_rels/sheet8.xml.rels><?xml version='1.0' encoding='utf-8'?>
<ns0:Relationships xmlns:ns0="http://schemas.openxmlformats.org/package/2006/relationships"><ns0:Relationship Type="http://schemas.openxmlformats.org/officeDocument/2006/relationships/table" Target="../tables/table8.xml" Id="R79e348f13b904b60" /></ns0:Relationships>
</file>

<file path=xl/worksheets/_rels/sheet9.xml.rels><?xml version='1.0' encoding='utf-8'?>
<ns0:Relationships xmlns:ns0="http://schemas.openxmlformats.org/package/2006/relationships"><ns0:Relationship Type="http://schemas.openxmlformats.org/officeDocument/2006/relationships/table" Target="../tables/table9.xml" Id="R56b1b29232b64877" /></ns0:Relationships>
</file>

<file path=xl/worksheets/sheet1.xml><?xml version="1.0" encoding="utf-8"?>
<x:worksheet xmlns:x="http://schemas.openxmlformats.org/spreadsheetml/2006/main">
  <x:sheetPr>
    <x:tabColor rgb="FF24435B"/>
  </x:sheetPr>
  <x:sheetViews>
    <x:sheetView showGridLines="0" workbookViewId="0">
      <x:pane xSplit="2" ySplit="1" topLeftCell="C2" activePane="bottomRight" state="frozen"/>
    </x:sheetView>
  </x:sheetViews>
  <x:sheetFormatPr defaultRowHeight="14.25"/>
  <x:cols>
    <x:col min="1" max="1" width="12" customWidth="1"/>
    <x:col min="2" max="2" width="20" customWidth="1"/>
    <x:col min="3" max="3" width="13" customWidth="1"/>
    <x:col min="4" max="4" width="19" customWidth="1"/>
    <x:col min="5" max="5" width="15" customWidth="1"/>
    <x:col min="6" max="6" width="16" customWidth="1"/>
    <x:col min="7" max="8" width="14" customWidth="1"/>
    <x:col min="9" max="9" width="24" customWidth="1"/>
    <x:col min="10" max="10" width="22" customWidth="1"/>
    <x:col min="11" max="11" width="61" customWidth="1"/>
    <x:col min="12" max="12" width="22" customWidth="1"/>
    <x:col min="13" max="13" width="34" hidden="0" customWidth="1"/>
    <x:col min="14" max="14" width="22" customWidth="1"/>
    <x:col min="15" max="15" width="43" hidden="0" customWidth="1"/>
    <x:col min="16" max="16" width="62" customWidth="1"/>
    <x:col min="17" max="17" width="18" customWidth="1"/>
    <x:col min="18" max="18" width="20" hidden="0" customWidth="1"/>
    <x:col min="19" max="19" width="60" hidden="0" customWidth="1"/>
    <x:col min="20" max="20" width="45" customWidth="1"/>
    <x:col min="21" max="21" width="45" customWidth="1"/>
    <x:col min="22" max="22" width="45" customWidth="1"/>
    <x:col min="23" max="23" width="45" customWidth="1"/>
    <x:col min="24" max="24" width="45" customWidth="1"/>
    <x:col min="25" max="25" width="45" customWidth="1"/>
    <x:col min="26" max="26" width="26" customWidth="1"/>
    <x:col min="27" max="27" width="76" customWidth="1"/>
    <x:col min="28" max="28" width="18" customWidth="1"/>
    <x:col min="29" max="29" width="22" customWidth="1"/>
    <x:col min="30" max="30" width="78" customWidth="1"/>
    <x:col min="31" max="31" width="19" customWidth="1"/>
    <x:col min="32" max="32" width="23" customWidth="1"/>
    <x:col min="33" max="33" width="62" customWidth="1"/>
    <x:col min="34" max="34" width="24" customWidth="1"/>
  </x:cols>
  <ns0:sheetData xmlns:ns0="http://schemas.openxmlformats.org/spreadsheetml/2006/main">
    <ns0:row r="1" ht="34.04999923706055" customHeight="1">
      <ns0:c r="A1" t="inlineStr" s="8">
        <ns0:is>
          <ns0:t>ID</ns0:t>
        </ns0:is>
      </ns0:c>
      <ns0:c r="B1" t="inlineStr" s="8">
        <ns0:is>
          <ns0:t>Type</ns0:t>
        </ns0:is>
      </ns0:c>
      <ns0:c r="C1" t="inlineStr" s="8">
        <ns0:is>
          <ns0:t>Value</ns0:t>
        </ns0:is>
      </ns0:c>
      <ns0:c r="D1" t="inlineStr" s="8">
        <ns0:is>
          <ns0:t>ESKD_value</ns0:t>
        </ns0:is>
      </ns0:c>
      <ns0:c r="E1" t="inlineStr" s="8">
        <ns0:is>
          <ns0:t>Tolerance</ns0:t>
        </ns0:is>
      </ns0:c>
      <ns0:c r="F1" t="inlineStr" s="8">
        <ns0:is>
          <ns0:t>Power</ns0:t>
        </ns0:is>
      </ns0:c>
      <ns0:c r="G1" t="inlineStr" s="8">
        <ns0:is>
          <ns0:t>Voltage</ns0:t>
        </ns0:is>
      </ns0:c>
      <ns0:c r="H1" t="inlineStr" s="8">
        <ns0:is>
          <ns0:t>Package</ns0:t>
        </ns0:is>
      </ns0:c>
      <ns0:c r="I1" t="inlineStr" s="8">
        <ns0:is>
          <ns0:t>Manufacturer</ns0:t>
        </ns0:is>
      </ns0:c>
      <ns0:c r="J1" t="inlineStr" s="8">
        <ns0:is>
          <ns0:t>MPN</ns0:t>
        </ns0:is>
      </ns0:c>
      <ns0:c r="K1" t="inlineStr" s="8">
        <ns0:is>
          <ns0:t>CommentBase</ns0:t>
        </ns0:is>
      </ns0:c>
      <ns0:c r="L1" t="inlineStr" s="8">
        <ns0:is>
          <ns0:t>Library Ref</ns0:t>
        </ns0:is>
      </ns0:c>
      <ns0:c r="M1" t="inlineStr" s="8">
        <ns0:is>
          <ns0:t>Library Path</ns0:t>
        </ns0:is>
      </ns0:c>
      <ns0:c r="N1" t="inlineStr" s="8">
        <ns0:is>
          <ns0:t>Footprint Ref</ns0:t>
        </ns0:is>
      </ns0:c>
      <ns0:c r="O1" t="inlineStr" s="8">
        <ns0:is>
          <ns0:t>Footprint Path</ns0:t>
        </ns0:is>
      </ns0:c>
      <ns0:c r="P1" t="inlineStr" s="8">
        <ns0:is>
          <ns0:t>Notes</ns0:t>
        </ns0:is>
      </ns0:c>
      <ns0:c r="Q1" t="inlineStr" s="8">
        <ns0:is>
          <ns0:t>Dielectric</ns0:t>
        </ns0:is>
      </ns0:c>
      <ns0:c r="R1" t="str" s="9">
        <ns0:v>Comment</ns0:v>
      </ns0:c>
      <ns0:c r="S1" t="str" s="9">
        <ns0:v>Description</ns0:v>
      </ns0:c>
      <x:c xmlns:x="http://schemas.openxmlformats.org/spreadsheetml/2006/main" r="T1" t="str" s="9">
        <x:v>Datasheet</x:v>
      </x:c>
      <x:c xmlns:x="http://schemas.openxmlformats.org/spreadsheetml/2006/main" r="U1" t="str" s="9">
        <x:v>ComponentLink1Description</x:v>
      </x:c>
      <x:c xmlns:x="http://schemas.openxmlformats.org/spreadsheetml/2006/main" r="V1" t="str" s="9">
        <x:v>ComponentLink1URL</x:v>
      </x:c>
      <x:c xmlns:x="http://schemas.openxmlformats.org/spreadsheetml/2006/main" r="W1" t="str" s="9">
        <x:v>ComponentLink2Description</x:v>
      </x:c>
      <x:c xmlns:x="http://schemas.openxmlformats.org/spreadsheetml/2006/main" r="X1" t="str" s="9">
        <x:v>ComponentLink2URL</x:v>
      </x:c>
      <x:c xmlns:x="http://schemas.openxmlformats.org/spreadsheetml/2006/main" r="Y1" t="str" s="9">
        <x:v>HelpURL</x:v>
      </x:c>
      <ns0:c xmlns:ns0="http://schemas.openxmlformats.org/spreadsheetml/2006/main" r="Z1" s="9" t="str">
        <ns0:v>Sim Model Name</ns0:v>
      </ns0:c>
      <ns0:c xmlns:ns0="http://schemas.openxmlformats.org/spreadsheetml/2006/main" r="AA1" s="9" t="str">
        <ns0:v>Sim Description</ns0:v>
      </ns0:c>
      <ns0:c xmlns:ns0="http://schemas.openxmlformats.org/spreadsheetml/2006/main" r="AB1" s="9" t="str">
        <ns0:v>Sim Kind</ns0:v>
      </ns0:c>
      <ns0:c xmlns:ns0="http://schemas.openxmlformats.org/spreadsheetml/2006/main" r="AC1" s="9" t="str">
        <ns0:v>Sim SubKind</ns0:v>
      </ns0:c>
      <ns0:c xmlns:ns0="http://schemas.openxmlformats.org/spreadsheetml/2006/main" r="AD1" s="9" t="str">
        <ns0:v>Sim Netlist</ns0:v>
      </ns0:c>
      <ns0:c xmlns:ns0="http://schemas.openxmlformats.org/spreadsheetml/2006/main" r="AE1" s="9" t="str">
        <ns0:v>Sim Spice Prefix</ns0:v>
      </ns0:c>
      <ns0:c xmlns:ns0="http://schemas.openxmlformats.org/spreadsheetml/2006/main" r="AF1" s="9" t="str">
        <ns0:v>Sim Port Map</ns0:v>
      </ns0:c>
      <ns0:c xmlns:ns0="http://schemas.openxmlformats.org/spreadsheetml/2006/main" r="AG1" s="9" t="inlineStr">
        <ns0:is>
          <ns0:t>Sim File</ns0:t>
        </ns0:is>
      </ns0:c>
      <ns0:c xmlns:ns0="http://schemas.openxmlformats.org/spreadsheetml/2006/main" r="AH1" s="9" t="inlineStr">
        <ns0:is>
          <ns0:t>TCR</ns0:t>
        </ns0:is>
      </ns0:c>
    </ns0:row>
    <ns0:row r="2" ht="30" customHeight="1">
      <ns0:c r="A2" t="str" s="1">
        <ns0:v>R0005</ns0:v>
      </ns0:c>
      <ns0:c r="B2" t="str" s="1">
        <ns0:v>Резистор</ns0:v>
      </ns0:c>
      <ns0:c r="C2" t="str" s="1">
        <ns0:v>0R</ns0:v>
      </ns0:c>
      <ns0:c r="D2" t="str" s="5">
        <ns0:f>SUBSTITUTE(SUBSTITUTE(SUBSTITUTE(SUBSTITUTE(C2,"meg"," МОм"),"k"," кОм"),"R"," Ом"),".",",")</ns0:f>
        <ns0:v>0 Ом</ns0:v>
      </ns0:c>
      <ns0:c r="E2" s="1"/>
      <ns0:c r="F2" t="str" s="1">
        <ns0:v>0,125 Вт</ns0:v>
      </ns0:c>
      <ns0:c r="G2" s="1"/>
      <ns0:c r="H2" t="str" s="2">
        <ns0:v>0805</ns0:v>
      </ns0:c>
      <ns0:c r="I2" t="str" s="1">
        <ns0:v>YAGEO</ns0:v>
      </ns0:c>
      <ns0:c r="J2" t="str" s="1">
        <ns0:v>RC0805JR-070RL</ns0:v>
      </ns0:c>
      <ns0:c r="K2" t="str" s="6">
        <ns0:f>B2&amp;" "&amp;D2&amp;" "&amp;H2</ns0:f>
        <ns0:v>Резистор 0 Ом 0805</ns0:v>
      </ns0:c>
      <ns0:c r="L2" t="str" s="7">
        <ns0:v>R</ns0:v>
      </ns0:c>
      <ns0:c r="M2" t="str" s="7">
        <ns0:v>Symbols\MY_LIB_Resistors.SchLib</ns0:v>
      </ns0:c>
      <ns0:c r="N2" t="str" s="7">
        <ns0:v>RESC2012X70N</ns0:v>
      </ns0:c>
      <ns0:c r="O2" t="str" s="7">
        <ns0:v>Footprints\PBL - SMD Packages.PcbLib</ns0:v>
      </ns0:c>
      <ns0:c xmlns:ns0="http://schemas.openxmlformats.org/spreadsheetml/2006/main" r="P2" s="1" t="inlineStr">
        <ns0:is>
          <ns0:t>Перемычка RC_L; R &lt; 50 мОм; номинальный ток 2 А; J — код заказа перемычки, процентный допуск не применяется. Источник: https://www.yageogroup.com/content/datasheet/asset/file/PYU-RC_GROUP_51_ROHS_L; SPICE: ТКС перемычек не указан в RC_L; R=0,05 Ом сохранено, температурная зависимость не моделируется.</ns0:t>
        </ns0:is>
      </ns0:c>
      <ns0:c r="Q2" s="1"/>
      <ns0:c r="R2" t="str" s="11">
        <ns0:f>D2</ns0:f>
        <ns0:v>0 Ом</ns0:v>
      </ns0:c>
      <ns0:c r="S2" t="str" s="16">
        <ns0:f>K2</ns0:f>
        <ns0:v>Резистор 0 Ом 0805</ns0:v>
      </ns0:c>
      <x:c xmlns:x="http://schemas.openxmlformats.org/spreadsheetml/2006/main" r="T2" t="str" s="16">
        <x:v>C:\Users\Nomatin\Documents\Altium\MY_LIB\MY_LIB\Datasheets\YAGEO_RC_L.pdf</x:v>
      </x:c>
      <x:c xmlns:x="http://schemas.openxmlformats.org/spreadsheetml/2006/main" r="U2" t="str" s="16">
        <x:v>Даташит — локальный</x:v>
      </x:c>
      <x:c xmlns:x="http://schemas.openxmlformats.org/spreadsheetml/2006/main" r="V2" t="str" s="16">
        <x:v>C:\Users\Nomatin\Documents\Altium\MY_LIB\MY_LIB\Datasheets\YAGEO_RC_L.pdf</x:v>
      </x:c>
      <x:c xmlns:x="http://schemas.openxmlformats.org/spreadsheetml/2006/main" r="W2" t="str" s="16">
        <x:v>Даташит — производитель</x:v>
      </x:c>
      <x:c xmlns:x="http://schemas.openxmlformats.org/spreadsheetml/2006/main" r="X2" t="str" s="16">
        <x:v>https://yageogroup.com/content/datasheet/asset/file/PYU-RC_GROUP_51_ROHS_L</x:v>
      </x:c>
      <x:c xmlns:x="http://schemas.openxmlformats.org/spreadsheetml/2006/main" r="Y2" t="str" s="16">
        <x:v>C:\Users\Nomatin\Documents\Altium\MY_LIB\MY_LIB\Datasheets\YAGEO_RC_L.pdf</x:v>
      </x:c>
      <ns0:c xmlns:ns0="http://schemas.openxmlformats.org/spreadsheetml/2006/main" r="Z2" s="16" t="inlineStr">
        <ns0:is>
          <ns0:t>MY_LIB_IDEAL_R</ns0:t>
        </ns0:is>
      </ns0:c>
      <ns0:c xmlns:ns0="http://schemas.openxmlformats.org/spreadsheetml/2006/main" r="AA2" s="16" t="inlineStr">
        <ns0:is>
          <ns0:t>0R at 0.05 Ohm; jumper TCR not specified by RC_L</ns0:t>
        </ns0:is>
      </ns0:c>
      <ns0:c xmlns:ns0="http://schemas.openxmlformats.org/spreadsheetml/2006/main" r="AB2" s="16" t="str">
        <ns0:v>General</ns0:v>
      </ns0:c>
      <ns0:c xmlns:ns0="http://schemas.openxmlformats.org/spreadsheetml/2006/main" r="AC2" s="16" t="inlineStr">
        <ns0:is>
          <ns0:t>Spice Subcircuit</ns0:t>
        </ns0:is>
      </ns0:c>
      <ns0:c xmlns:ns0="http://schemas.openxmlformats.org/spreadsheetml/2006/main" r="AD2" s="16" t="inlineStr">
        <ns0:is>
          <ns0:t>@DESIGNATOR %1 %2 @MODEL PARAMS: Rvalue=0.05</ns0:t>
        </ns0:is>
      </ns0:c>
      <ns0:c xmlns:ns0="http://schemas.openxmlformats.org/spreadsheetml/2006/main" r="AE2" s="16" t="inlineStr">
        <ns0:is>
          <ns0:t>X</ns0:t>
        </ns0:is>
      </ns0:c>
      <ns0:c xmlns:ns0="http://schemas.openxmlformats.org/spreadsheetml/2006/main" r="AF2" s="16" t="str">
        <ns0:v>(1:1),(2:2)</ns0:v>
      </ns0:c>
      <ns0:c xmlns:ns0="http://schemas.openxmlformats.org/spreadsheetml/2006/main" r="AG2" s="16" t="inlineStr">
        <ns0:is>
          <ns0:t>Simulation\Resistors\MY_LIB_IDEAL_R.ckt</ns0:t>
        </ns0:is>
      </ns0:c>
      <ns0:c xmlns:ns0="http://schemas.openxmlformats.org/spreadsheetml/2006/main" r="AH2" s="16" t="inlineStr">
        <ns0:is>
          <ns0:t>Не указан</ns0:t>
        </ns0:is>
      </ns0:c>
    </ns0:row>
    <ns0:row r="3" ht="30" customHeight="1">
      <ns0:c r="A3" t="str" s="10">
        <ns0:v>R0009</ns0:v>
      </ns0:c>
      <ns0:c r="B3" t="str" s="10">
        <ns0:v>Резистор</ns0:v>
      </ns0:c>
      <ns0:c r="C3" t="str" s="10">
        <ns0:v>1R</ns0:v>
      </ns0:c>
      <ns0:c r="D3" t="str" s="11">
        <ns0:f>SUBSTITUTE(SUBSTITUTE(SUBSTITUTE(SUBSTITUTE(C3,"meg"," МОм"),"k"," кОм"),"R"," Ом"),".",",")</ns0:f>
        <ns0:v>1 Ом</ns0:v>
      </ns0:c>
      <ns0:c r="E3" t="str" s="10">
        <ns0:v>±5%</ns0:v>
      </ns0:c>
      <ns0:c r="F3" t="str" s="10">
        <ns0:v>0,1 Вт</ns0:v>
      </ns0:c>
      <ns0:c r="G3" t="str" s="10">
        <ns0:v>75 В макс.</ns0:v>
      </ns0:c>
      <ns0:c r="H3" t="str" s="12">
        <ns0:v>0603</ns0:v>
      </ns0:c>
      <ns0:c r="I3" t="str" s="10">
        <ns0:v>YAGEO</ns0:v>
      </ns0:c>
      <ns0:c r="J3" t="str" s="10">
        <ns0:v>RC0603JR-071RL</ns0:v>
      </ns0:c>
      <ns0:c r="K3" t="str" s="11">
        <ns0:f>B3&amp;" "&amp;D3&amp;" "&amp;E3&amp;" "&amp;H3</ns0:f>
        <ns0:v>Резистор 1 Ом ±5% 0603</ns0:v>
      </ns0:c>
      <ns0:c r="L3" t="str" s="13">
        <ns0:v>R</ns0:v>
      </ns0:c>
      <ns0:c r="M3" t="str" s="13">
        <ns0:v>Symbols\MY_LIB_Resistors.SchLib</ns0:v>
      </ns0:c>
      <ns0:c r="N3" t="str" s="13">
        <ns0:v>RESC1608X55N</ns0:v>
      </ns0:c>
      <ns0:c r="O3" t="str" s="13">
        <ns0:v>Footprints\PBL - SMD Packages.PcbLib</ns0:v>
      </ns0:c>
      <ns0:c xmlns:ns0="http://schemas.openxmlformats.org/spreadsheetml/2006/main" r="P3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3" s="10"/>
      <ns0:c r="R3" t="str" s="11">
        <ns0:f>D3</ns0:f>
        <ns0:v>1 Ом</ns0:v>
      </ns0:c>
      <ns0:c r="S3" t="str" s="11">
        <ns0:f>K3</ns0:f>
        <ns0:v>Резистор 1 Ом ±5% 0603</ns0:v>
      </ns0:c>
      <x:c xmlns:x="http://schemas.openxmlformats.org/spreadsheetml/2006/main" r="T3" t="str" s="11">
        <x:v>C:\Users\Nomatin\Documents\Altium\MY_LIB\MY_LIB\Datasheets\YAGEO_RC_L.pdf</x:v>
      </x:c>
      <x:c xmlns:x="http://schemas.openxmlformats.org/spreadsheetml/2006/main" r="U3" t="str" s="11">
        <x:v>Даташит — локальный</x:v>
      </x:c>
      <x:c xmlns:x="http://schemas.openxmlformats.org/spreadsheetml/2006/main" r="V3" t="str" s="11">
        <x:v>C:\Users\Nomatin\Documents\Altium\MY_LIB\MY_LIB\Datasheets\YAGEO_RC_L.pdf</x:v>
      </x:c>
      <x:c xmlns:x="http://schemas.openxmlformats.org/spreadsheetml/2006/main" r="W3" t="str" s="11">
        <x:v>Даташит — производитель</x:v>
      </x:c>
      <x:c xmlns:x="http://schemas.openxmlformats.org/spreadsheetml/2006/main" r="X3" t="str" s="11">
        <x:v>https://yageogroup.com/content/datasheet/asset/file/PYU-RC_GROUP_51_ROHS_L</x:v>
      </x:c>
      <x:c xmlns:x="http://schemas.openxmlformats.org/spreadsheetml/2006/main" r="Y3" t="str" s="11">
        <x:v>C:\Users\Nomatin\Documents\Altium\MY_LIB\MY_LIB\Datasheets\YAGEO_RC_L.pdf</x:v>
      </x:c>
      <ns0:c xmlns:ns0="http://schemas.openxmlformats.org/spreadsheetml/2006/main" r="Z3" s="16" t="inlineStr">
        <ns0:is>
          <ns0:t>MY_LIB_R_TCR</ns0:t>
        </ns0:is>
      </ns0:c>
      <ns0:c xmlns:ns0="http://schemas.openxmlformats.org/spreadsheetml/2006/main" r="AA3" s="16" t="inlineStr">
        <ns0:is>
          <ns0:t>R(T), +200 ppm/C at 25 C; positive datasheet limit</ns0:t>
        </ns0:is>
      </ns0:c>
      <ns0:c xmlns:ns0="http://schemas.openxmlformats.org/spreadsheetml/2006/main" r="AB3" s="16" t="str">
        <ns0:v>General</ns0:v>
      </ns0:c>
      <ns0:c xmlns:ns0="http://schemas.openxmlformats.org/spreadsheetml/2006/main" r="AC3" s="16" t="inlineStr">
        <ns0:is>
          <ns0:t>Spice Subcircuit</ns0:t>
        </ns0:is>
      </ns0:c>
      <ns0:c xmlns:ns0="http://schemas.openxmlformats.org/spreadsheetml/2006/main" r="AD3" s="16" t="inlineStr">
        <ns0:is>
          <ns0:t>@DESIGNATOR %1 %2 @MODEL PARAMS: Rvalue=@VALUE TC1value=200u</ns0:t>
        </ns0:is>
      </ns0:c>
      <ns0:c xmlns:ns0="http://schemas.openxmlformats.org/spreadsheetml/2006/main" r="AE3" s="16" t="inlineStr">
        <ns0:is>
          <ns0:t>X</ns0:t>
        </ns0:is>
      </ns0:c>
      <ns0:c xmlns:ns0="http://schemas.openxmlformats.org/spreadsheetml/2006/main" r="AF3" s="16" t="str">
        <ns0:v>(1:1),(2:2)</ns0:v>
      </ns0:c>
      <ns0:c xmlns:ns0="http://schemas.openxmlformats.org/spreadsheetml/2006/main" r="AG3" s="16" t="inlineStr">
        <ns0:is>
          <ns0:t>Simulation\Resistors\MY_LIB_R_TCR.ckt</ns0:t>
        </ns0:is>
      </ns0:c>
      <ns0:c xmlns:ns0="http://schemas.openxmlformats.org/spreadsheetml/2006/main" r="AH3" s="16" t="inlineStr">
        <ns0:is>
          <ns0:t>±200 ppm/°C</ns0:t>
        </ns0:is>
      </ns0:c>
    </ns0:row>
    <ns0:row r="4" ht="30" customHeight="1">
      <ns0:c r="A4" t="str" s="10">
        <ns0:v>R0010</ns0:v>
      </ns0:c>
      <ns0:c r="B4" t="str" s="10">
        <ns0:v>Резистор</ns0:v>
      </ns0:c>
      <ns0:c r="C4" t="str" s="10">
        <ns0:v>1.1R</ns0:v>
      </ns0:c>
      <ns0:c r="D4" t="str" s="11">
        <ns0:f>SUBSTITUTE(SUBSTITUTE(SUBSTITUTE(SUBSTITUTE(C4,"meg"," МОм"),"k"," кОм"),"R"," Ом"),".",",")</ns0:f>
        <ns0:v>1,1 Ом</ns0:v>
      </ns0:c>
      <ns0:c r="E4" t="str" s="10">
        <ns0:v>±5%</ns0:v>
      </ns0:c>
      <ns0:c r="F4" t="str" s="10">
        <ns0:v>0,1 Вт</ns0:v>
      </ns0:c>
      <ns0:c r="G4" t="str" s="10">
        <ns0:v>75 В макс.</ns0:v>
      </ns0:c>
      <ns0:c r="H4" t="str" s="12">
        <ns0:v>0603</ns0:v>
      </ns0:c>
      <ns0:c r="I4" t="str" s="10">
        <ns0:v>YAGEO</ns0:v>
      </ns0:c>
      <ns0:c r="J4" t="str" s="10">
        <ns0:v>RC0603JR-071R1L</ns0:v>
      </ns0:c>
      <ns0:c r="K4" t="str" s="11">
        <ns0:f>B4&amp;" "&amp;D4&amp;" "&amp;E4&amp;" "&amp;H4</ns0:f>
        <ns0:v>Резистор 1,1 Ом ±5% 0603</ns0:v>
      </ns0:c>
      <ns0:c r="L4" t="str" s="13">
        <ns0:v>R</ns0:v>
      </ns0:c>
      <ns0:c r="M4" t="str" s="13">
        <ns0:v>Symbols\MY_LIB_Resistors.SchLib</ns0:v>
      </ns0:c>
      <ns0:c r="N4" t="str" s="13">
        <ns0:v>RESC1608X55N</ns0:v>
      </ns0:c>
      <ns0:c r="O4" t="str" s="13">
        <ns0:v>Footprints\PBL - SMD Packages.PcbLib</ns0:v>
      </ns0:c>
      <ns0:c xmlns:ns0="http://schemas.openxmlformats.org/spreadsheetml/2006/main" r="P4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4" s="10"/>
      <ns0:c r="R4" t="str" s="11">
        <ns0:f>D4</ns0:f>
        <ns0:v>1,1 Ом</ns0:v>
      </ns0:c>
      <ns0:c r="S4" t="str" s="11">
        <ns0:f>K4</ns0:f>
        <ns0:v>Резистор 1,1 Ом ±5% 0603</ns0:v>
      </ns0:c>
      <x:c xmlns:x="http://schemas.openxmlformats.org/spreadsheetml/2006/main" r="T4" t="str" s="11">
        <x:v>C:\Users\Nomatin\Documents\Altium\MY_LIB\MY_LIB\Datasheets\YAGEO_RC_L.pdf</x:v>
      </x:c>
      <x:c xmlns:x="http://schemas.openxmlformats.org/spreadsheetml/2006/main" r="U4" t="str" s="11">
        <x:v>Даташит — локальный</x:v>
      </x:c>
      <x:c xmlns:x="http://schemas.openxmlformats.org/spreadsheetml/2006/main" r="V4" t="str" s="11">
        <x:v>C:\Users\Nomatin\Documents\Altium\MY_LIB\MY_LIB\Datasheets\YAGEO_RC_L.pdf</x:v>
      </x:c>
      <x:c xmlns:x="http://schemas.openxmlformats.org/spreadsheetml/2006/main" r="W4" t="str" s="11">
        <x:v>Даташит — производитель</x:v>
      </x:c>
      <x:c xmlns:x="http://schemas.openxmlformats.org/spreadsheetml/2006/main" r="X4" t="str" s="11">
        <x:v>https://yageogroup.com/content/datasheet/asset/file/PYU-RC_GROUP_51_ROHS_L</x:v>
      </x:c>
      <x:c xmlns:x="http://schemas.openxmlformats.org/spreadsheetml/2006/main" r="Y4" t="str" s="11">
        <x:v>C:\Users\Nomatin\Documents\Altium\MY_LIB\MY_LIB\Datasheets\YAGEO_RC_L.pdf</x:v>
      </x:c>
      <ns0:c xmlns:ns0="http://schemas.openxmlformats.org/spreadsheetml/2006/main" r="Z4" s="16" t="inlineStr">
        <ns0:is>
          <ns0:t>MY_LIB_R_TCR</ns0:t>
        </ns0:is>
      </ns0:c>
      <ns0:c xmlns:ns0="http://schemas.openxmlformats.org/spreadsheetml/2006/main" r="AA4" s="16" t="inlineStr">
        <ns0:is>
          <ns0:t>R(T), +200 ppm/C at 25 C; positive datasheet limit</ns0:t>
        </ns0:is>
      </ns0:c>
      <ns0:c xmlns:ns0="http://schemas.openxmlformats.org/spreadsheetml/2006/main" r="AB4" s="16" t="str">
        <ns0:v>General</ns0:v>
      </ns0:c>
      <ns0:c xmlns:ns0="http://schemas.openxmlformats.org/spreadsheetml/2006/main" r="AC4" s="16" t="inlineStr">
        <ns0:is>
          <ns0:t>Spice Subcircuit</ns0:t>
        </ns0:is>
      </ns0:c>
      <ns0:c xmlns:ns0="http://schemas.openxmlformats.org/spreadsheetml/2006/main" r="AD4" s="16" t="inlineStr">
        <ns0:is>
          <ns0:t>@DESIGNATOR %1 %2 @MODEL PARAMS: Rvalue=@VALUE TC1value=200u</ns0:t>
        </ns0:is>
      </ns0:c>
      <ns0:c xmlns:ns0="http://schemas.openxmlformats.org/spreadsheetml/2006/main" r="AE4" s="16" t="inlineStr">
        <ns0:is>
          <ns0:t>X</ns0:t>
        </ns0:is>
      </ns0:c>
      <ns0:c xmlns:ns0="http://schemas.openxmlformats.org/spreadsheetml/2006/main" r="AF4" s="16" t="str">
        <ns0:v>(1:1),(2:2)</ns0:v>
      </ns0:c>
      <ns0:c xmlns:ns0="http://schemas.openxmlformats.org/spreadsheetml/2006/main" r="AG4" s="16" t="inlineStr">
        <ns0:is>
          <ns0:t>Simulation\Resistors\MY_LIB_R_TCR.ckt</ns0:t>
        </ns0:is>
      </ns0:c>
      <ns0:c xmlns:ns0="http://schemas.openxmlformats.org/spreadsheetml/2006/main" r="AH4" s="16" t="inlineStr">
        <ns0:is>
          <ns0:t>±200 ppm/°C</ns0:t>
        </ns0:is>
      </ns0:c>
    </ns0:row>
    <ns0:row r="5" ht="30" customHeight="1">
      <ns0:c r="A5" t="str" s="10">
        <ns0:v>R0011</ns0:v>
      </ns0:c>
      <ns0:c r="B5" t="str" s="10">
        <ns0:v>Резистор</ns0:v>
      </ns0:c>
      <ns0:c r="C5" t="str" s="10">
        <ns0:v>1.2R</ns0:v>
      </ns0:c>
      <ns0:c r="D5" t="str" s="11">
        <ns0:f>SUBSTITUTE(SUBSTITUTE(SUBSTITUTE(SUBSTITUTE(C5,"meg"," МОм"),"k"," кОм"),"R"," Ом"),".",",")</ns0:f>
        <ns0:v>1,2 Ом</ns0:v>
      </ns0:c>
      <ns0:c r="E5" t="str" s="10">
        <ns0:v>±5%</ns0:v>
      </ns0:c>
      <ns0:c r="F5" t="str" s="10">
        <ns0:v>0,1 Вт</ns0:v>
      </ns0:c>
      <ns0:c r="G5" t="str" s="10">
        <ns0:v>75 В макс.</ns0:v>
      </ns0:c>
      <ns0:c r="H5" t="str" s="12">
        <ns0:v>0603</ns0:v>
      </ns0:c>
      <ns0:c r="I5" t="str" s="10">
        <ns0:v>YAGEO</ns0:v>
      </ns0:c>
      <ns0:c r="J5" t="str" s="10">
        <ns0:v>RC0603JR-071R2L</ns0:v>
      </ns0:c>
      <ns0:c r="K5" t="str" s="11">
        <ns0:f>B5&amp;" "&amp;D5&amp;" "&amp;E5&amp;" "&amp;H5</ns0:f>
        <ns0:v>Резистор 1,2 Ом ±5% 0603</ns0:v>
      </ns0:c>
      <ns0:c r="L5" t="str" s="13">
        <ns0:v>R</ns0:v>
      </ns0:c>
      <ns0:c r="M5" t="str" s="13">
        <ns0:v>Symbols\MY_LIB_Resistors.SchLib</ns0:v>
      </ns0:c>
      <ns0:c r="N5" t="str" s="13">
        <ns0:v>RESC1608X55N</ns0:v>
      </ns0:c>
      <ns0:c r="O5" t="str" s="13">
        <ns0:v>Footprints\PBL - SMD Packages.PcbLib</ns0:v>
      </ns0:c>
      <ns0:c xmlns:ns0="http://schemas.openxmlformats.org/spreadsheetml/2006/main" r="P5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5" s="10"/>
      <ns0:c r="R5" t="str" s="11">
        <ns0:f>D5</ns0:f>
        <ns0:v>1,2 Ом</ns0:v>
      </ns0:c>
      <ns0:c r="S5" t="str" s="11">
        <ns0:f>K5</ns0:f>
        <ns0:v>Резистор 1,2 Ом ±5% 0603</ns0:v>
      </ns0:c>
      <x:c xmlns:x="http://schemas.openxmlformats.org/spreadsheetml/2006/main" r="T5" t="str" s="11">
        <x:v>C:\Users\Nomatin\Documents\Altium\MY_LIB\MY_LIB\Datasheets\YAGEO_RC_L.pdf</x:v>
      </x:c>
      <x:c xmlns:x="http://schemas.openxmlformats.org/spreadsheetml/2006/main" r="U5" t="str" s="11">
        <x:v>Даташит — локальный</x:v>
      </x:c>
      <x:c xmlns:x="http://schemas.openxmlformats.org/spreadsheetml/2006/main" r="V5" t="str" s="11">
        <x:v>C:\Users\Nomatin\Documents\Altium\MY_LIB\MY_LIB\Datasheets\YAGEO_RC_L.pdf</x:v>
      </x:c>
      <x:c xmlns:x="http://schemas.openxmlformats.org/spreadsheetml/2006/main" r="W5" t="str" s="11">
        <x:v>Даташит — производитель</x:v>
      </x:c>
      <x:c xmlns:x="http://schemas.openxmlformats.org/spreadsheetml/2006/main" r="X5" t="str" s="11">
        <x:v>https://yageogroup.com/content/datasheet/asset/file/PYU-RC_GROUP_51_ROHS_L</x:v>
      </x:c>
      <x:c xmlns:x="http://schemas.openxmlformats.org/spreadsheetml/2006/main" r="Y5" t="str" s="11">
        <x:v>C:\Users\Nomatin\Documents\Altium\MY_LIB\MY_LIB\Datasheets\YAGEO_RC_L.pdf</x:v>
      </x:c>
      <ns0:c xmlns:ns0="http://schemas.openxmlformats.org/spreadsheetml/2006/main" r="Z5" s="16" t="inlineStr">
        <ns0:is>
          <ns0:t>MY_LIB_R_TCR</ns0:t>
        </ns0:is>
      </ns0:c>
      <ns0:c xmlns:ns0="http://schemas.openxmlformats.org/spreadsheetml/2006/main" r="AA5" s="16" t="inlineStr">
        <ns0:is>
          <ns0:t>R(T), +200 ppm/C at 25 C; positive datasheet limit</ns0:t>
        </ns0:is>
      </ns0:c>
      <ns0:c xmlns:ns0="http://schemas.openxmlformats.org/spreadsheetml/2006/main" r="AB5" s="16" t="str">
        <ns0:v>General</ns0:v>
      </ns0:c>
      <ns0:c xmlns:ns0="http://schemas.openxmlformats.org/spreadsheetml/2006/main" r="AC5" s="16" t="inlineStr">
        <ns0:is>
          <ns0:t>Spice Subcircuit</ns0:t>
        </ns0:is>
      </ns0:c>
      <ns0:c xmlns:ns0="http://schemas.openxmlformats.org/spreadsheetml/2006/main" r="AD5" s="16" t="inlineStr">
        <ns0:is>
          <ns0:t>@DESIGNATOR %1 %2 @MODEL PARAMS: Rvalue=@VALUE TC1value=200u</ns0:t>
        </ns0:is>
      </ns0:c>
      <ns0:c xmlns:ns0="http://schemas.openxmlformats.org/spreadsheetml/2006/main" r="AE5" s="16" t="inlineStr">
        <ns0:is>
          <ns0:t>X</ns0:t>
        </ns0:is>
      </ns0:c>
      <ns0:c xmlns:ns0="http://schemas.openxmlformats.org/spreadsheetml/2006/main" r="AF5" s="16" t="str">
        <ns0:v>(1:1),(2:2)</ns0:v>
      </ns0:c>
      <ns0:c xmlns:ns0="http://schemas.openxmlformats.org/spreadsheetml/2006/main" r="AG5" s="16" t="inlineStr">
        <ns0:is>
          <ns0:t>Simulation\Resistors\MY_LIB_R_TCR.ckt</ns0:t>
        </ns0:is>
      </ns0:c>
      <ns0:c xmlns:ns0="http://schemas.openxmlformats.org/spreadsheetml/2006/main" r="AH5" s="16" t="inlineStr">
        <ns0:is>
          <ns0:t>±200 ppm/°C</ns0:t>
        </ns0:is>
      </ns0:c>
    </ns0:row>
    <ns0:row r="6" ht="30" customHeight="1">
      <ns0:c r="A6" t="str" s="10">
        <ns0:v>R0012</ns0:v>
      </ns0:c>
      <ns0:c r="B6" t="str" s="10">
        <ns0:v>Резистор</ns0:v>
      </ns0:c>
      <ns0:c r="C6" t="str" s="10">
        <ns0:v>1.3R</ns0:v>
      </ns0:c>
      <ns0:c r="D6" t="str" s="11">
        <ns0:f>SUBSTITUTE(SUBSTITUTE(SUBSTITUTE(SUBSTITUTE(C6,"meg"," МОм"),"k"," кОм"),"R"," Ом"),".",",")</ns0:f>
        <ns0:v>1,3 Ом</ns0:v>
      </ns0:c>
      <ns0:c r="E6" t="str" s="10">
        <ns0:v>±5%</ns0:v>
      </ns0:c>
      <ns0:c r="F6" t="str" s="10">
        <ns0:v>0,1 Вт</ns0:v>
      </ns0:c>
      <ns0:c r="G6" t="str" s="10">
        <ns0:v>75 В макс.</ns0:v>
      </ns0:c>
      <ns0:c r="H6" t="str" s="12">
        <ns0:v>0603</ns0:v>
      </ns0:c>
      <ns0:c r="I6" t="str" s="10">
        <ns0:v>YAGEO</ns0:v>
      </ns0:c>
      <ns0:c r="J6" t="str" s="10">
        <ns0:v>RC0603JR-071R3L</ns0:v>
      </ns0:c>
      <ns0:c r="K6" t="str" s="11">
        <ns0:f>B6&amp;" "&amp;D6&amp;" "&amp;E6&amp;" "&amp;H6</ns0:f>
        <ns0:v>Резистор 1,3 Ом ±5% 0603</ns0:v>
      </ns0:c>
      <ns0:c r="L6" t="str" s="13">
        <ns0:v>R</ns0:v>
      </ns0:c>
      <ns0:c r="M6" t="str" s="13">
        <ns0:v>Symbols\MY_LIB_Resistors.SchLib</ns0:v>
      </ns0:c>
      <ns0:c r="N6" t="str" s="13">
        <ns0:v>RESC1608X55N</ns0:v>
      </ns0:c>
      <ns0:c r="O6" t="str" s="13">
        <ns0:v>Footprints\PBL - SMD Packages.PcbLib</ns0:v>
      </ns0:c>
      <ns0:c xmlns:ns0="http://schemas.openxmlformats.org/spreadsheetml/2006/main" r="P6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6" s="10"/>
      <ns0:c r="R6" t="str" s="11">
        <ns0:f>D6</ns0:f>
        <ns0:v>1,3 Ом</ns0:v>
      </ns0:c>
      <ns0:c r="S6" t="str" s="11">
        <ns0:f>K6</ns0:f>
        <ns0:v>Резистор 1,3 Ом ±5% 0603</ns0:v>
      </ns0:c>
      <x:c xmlns:x="http://schemas.openxmlformats.org/spreadsheetml/2006/main" r="T6" t="str" s="11">
        <x:v>C:\Users\Nomatin\Documents\Altium\MY_LIB\MY_LIB\Datasheets\YAGEO_RC_L.pdf</x:v>
      </x:c>
      <x:c xmlns:x="http://schemas.openxmlformats.org/spreadsheetml/2006/main" r="U6" t="str" s="11">
        <x:v>Даташит — локальный</x:v>
      </x:c>
      <x:c xmlns:x="http://schemas.openxmlformats.org/spreadsheetml/2006/main" r="V6" t="str" s="11">
        <x:v>C:\Users\Nomatin\Documents\Altium\MY_LIB\MY_LIB\Datasheets\YAGEO_RC_L.pdf</x:v>
      </x:c>
      <x:c xmlns:x="http://schemas.openxmlformats.org/spreadsheetml/2006/main" r="W6" t="str" s="11">
        <x:v>Даташит — производитель</x:v>
      </x:c>
      <x:c xmlns:x="http://schemas.openxmlformats.org/spreadsheetml/2006/main" r="X6" t="str" s="11">
        <x:v>https://yageogroup.com/content/datasheet/asset/file/PYU-RC_GROUP_51_ROHS_L</x:v>
      </x:c>
      <x:c xmlns:x="http://schemas.openxmlformats.org/spreadsheetml/2006/main" r="Y6" t="str" s="11">
        <x:v>C:\Users\Nomatin\Documents\Altium\MY_LIB\MY_LIB\Datasheets\YAGEO_RC_L.pdf</x:v>
      </x:c>
      <ns0:c xmlns:ns0="http://schemas.openxmlformats.org/spreadsheetml/2006/main" r="Z6" s="16" t="inlineStr">
        <ns0:is>
          <ns0:t>MY_LIB_R_TCR</ns0:t>
        </ns0:is>
      </ns0:c>
      <ns0:c xmlns:ns0="http://schemas.openxmlformats.org/spreadsheetml/2006/main" r="AA6" s="16" t="inlineStr">
        <ns0:is>
          <ns0:t>R(T), +200 ppm/C at 25 C; positive datasheet limit</ns0:t>
        </ns0:is>
      </ns0:c>
      <ns0:c xmlns:ns0="http://schemas.openxmlformats.org/spreadsheetml/2006/main" r="AB6" s="16" t="str">
        <ns0:v>General</ns0:v>
      </ns0:c>
      <ns0:c xmlns:ns0="http://schemas.openxmlformats.org/spreadsheetml/2006/main" r="AC6" s="16" t="inlineStr">
        <ns0:is>
          <ns0:t>Spice Subcircuit</ns0:t>
        </ns0:is>
      </ns0:c>
      <ns0:c xmlns:ns0="http://schemas.openxmlformats.org/spreadsheetml/2006/main" r="AD6" s="16" t="inlineStr">
        <ns0:is>
          <ns0:t>@DESIGNATOR %1 %2 @MODEL PARAMS: Rvalue=@VALUE TC1value=200u</ns0:t>
        </ns0:is>
      </ns0:c>
      <ns0:c xmlns:ns0="http://schemas.openxmlformats.org/spreadsheetml/2006/main" r="AE6" s="16" t="inlineStr">
        <ns0:is>
          <ns0:t>X</ns0:t>
        </ns0:is>
      </ns0:c>
      <ns0:c xmlns:ns0="http://schemas.openxmlformats.org/spreadsheetml/2006/main" r="AF6" s="16" t="str">
        <ns0:v>(1:1),(2:2)</ns0:v>
      </ns0:c>
      <ns0:c xmlns:ns0="http://schemas.openxmlformats.org/spreadsheetml/2006/main" r="AG6" s="16" t="inlineStr">
        <ns0:is>
          <ns0:t>Simulation\Resistors\MY_LIB_R_TCR.ckt</ns0:t>
        </ns0:is>
      </ns0:c>
      <ns0:c xmlns:ns0="http://schemas.openxmlformats.org/spreadsheetml/2006/main" r="AH6" s="16" t="inlineStr">
        <ns0:is>
          <ns0:t>±200 ppm/°C</ns0:t>
        </ns0:is>
      </ns0:c>
    </ns0:row>
    <ns0:row r="7" ht="30" customHeight="1">
      <ns0:c r="A7" t="str" s="10">
        <ns0:v>R0013</ns0:v>
      </ns0:c>
      <ns0:c r="B7" t="str" s="10">
        <ns0:v>Резистор</ns0:v>
      </ns0:c>
      <ns0:c r="C7" t="str" s="10">
        <ns0:v>1.5R</ns0:v>
      </ns0:c>
      <ns0:c r="D7" t="str" s="11">
        <ns0:f>SUBSTITUTE(SUBSTITUTE(SUBSTITUTE(SUBSTITUTE(C7,"meg"," МОм"),"k"," кОм"),"R"," Ом"),".",",")</ns0:f>
        <ns0:v>1,5 Ом</ns0:v>
      </ns0:c>
      <ns0:c r="E7" t="str" s="10">
        <ns0:v>±5%</ns0:v>
      </ns0:c>
      <ns0:c r="F7" t="str" s="10">
        <ns0:v>0,1 Вт</ns0:v>
      </ns0:c>
      <ns0:c r="G7" t="str" s="10">
        <ns0:v>75 В макс.</ns0:v>
      </ns0:c>
      <ns0:c r="H7" t="str" s="12">
        <ns0:v>0603</ns0:v>
      </ns0:c>
      <ns0:c r="I7" t="str" s="10">
        <ns0:v>YAGEO</ns0:v>
      </ns0:c>
      <ns0:c r="J7" t="str" s="10">
        <ns0:v>RC0603JR-071R5L</ns0:v>
      </ns0:c>
      <ns0:c r="K7" t="str" s="11">
        <ns0:f>B7&amp;" "&amp;D7&amp;" "&amp;E7&amp;" "&amp;H7</ns0:f>
        <ns0:v>Резистор 1,5 Ом ±5% 0603</ns0:v>
      </ns0:c>
      <ns0:c r="L7" t="str" s="13">
        <ns0:v>R</ns0:v>
      </ns0:c>
      <ns0:c r="M7" t="str" s="13">
        <ns0:v>Symbols\MY_LIB_Resistors.SchLib</ns0:v>
      </ns0:c>
      <ns0:c r="N7" t="str" s="13">
        <ns0:v>RESC1608X55N</ns0:v>
      </ns0:c>
      <ns0:c r="O7" t="str" s="13">
        <ns0:v>Footprints\PBL - SMD Packages.PcbLib</ns0:v>
      </ns0:c>
      <ns0:c xmlns:ns0="http://schemas.openxmlformats.org/spreadsheetml/2006/main" r="P7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7" s="10"/>
      <ns0:c r="R7" t="str" s="11">
        <ns0:f>D7</ns0:f>
        <ns0:v>1,5 Ом</ns0:v>
      </ns0:c>
      <ns0:c r="S7" t="str" s="11">
        <ns0:f>K7</ns0:f>
        <ns0:v>Резистор 1,5 Ом ±5% 0603</ns0:v>
      </ns0:c>
      <x:c xmlns:x="http://schemas.openxmlformats.org/spreadsheetml/2006/main" r="T7" t="str" s="11">
        <x:v>C:\Users\Nomatin\Documents\Altium\MY_LIB\MY_LIB\Datasheets\YAGEO_RC_L.pdf</x:v>
      </x:c>
      <x:c xmlns:x="http://schemas.openxmlformats.org/spreadsheetml/2006/main" r="U7" t="str" s="11">
        <x:v>Даташит — локальный</x:v>
      </x:c>
      <x:c xmlns:x="http://schemas.openxmlformats.org/spreadsheetml/2006/main" r="V7" t="str" s="11">
        <x:v>C:\Users\Nomatin\Documents\Altium\MY_LIB\MY_LIB\Datasheets\YAGEO_RC_L.pdf</x:v>
      </x:c>
      <x:c xmlns:x="http://schemas.openxmlformats.org/spreadsheetml/2006/main" r="W7" t="str" s="11">
        <x:v>Даташит — производитель</x:v>
      </x:c>
      <x:c xmlns:x="http://schemas.openxmlformats.org/spreadsheetml/2006/main" r="X7" t="str" s="11">
        <x:v>https://yageogroup.com/content/datasheet/asset/file/PYU-RC_GROUP_51_ROHS_L</x:v>
      </x:c>
      <x:c xmlns:x="http://schemas.openxmlformats.org/spreadsheetml/2006/main" r="Y7" t="str" s="11">
        <x:v>C:\Users\Nomatin\Documents\Altium\MY_LIB\MY_LIB\Datasheets\YAGEO_RC_L.pdf</x:v>
      </x:c>
      <ns0:c xmlns:ns0="http://schemas.openxmlformats.org/spreadsheetml/2006/main" r="Z7" s="16" t="inlineStr">
        <ns0:is>
          <ns0:t>MY_LIB_R_TCR</ns0:t>
        </ns0:is>
      </ns0:c>
      <ns0:c xmlns:ns0="http://schemas.openxmlformats.org/spreadsheetml/2006/main" r="AA7" s="16" t="inlineStr">
        <ns0:is>
          <ns0:t>R(T), +200 ppm/C at 25 C; positive datasheet limit</ns0:t>
        </ns0:is>
      </ns0:c>
      <ns0:c xmlns:ns0="http://schemas.openxmlformats.org/spreadsheetml/2006/main" r="AB7" s="16" t="str">
        <ns0:v>General</ns0:v>
      </ns0:c>
      <ns0:c xmlns:ns0="http://schemas.openxmlformats.org/spreadsheetml/2006/main" r="AC7" s="16" t="inlineStr">
        <ns0:is>
          <ns0:t>Spice Subcircuit</ns0:t>
        </ns0:is>
      </ns0:c>
      <ns0:c xmlns:ns0="http://schemas.openxmlformats.org/spreadsheetml/2006/main" r="AD7" s="16" t="inlineStr">
        <ns0:is>
          <ns0:t>@DESIGNATOR %1 %2 @MODEL PARAMS: Rvalue=@VALUE TC1value=200u</ns0:t>
        </ns0:is>
      </ns0:c>
      <ns0:c xmlns:ns0="http://schemas.openxmlformats.org/spreadsheetml/2006/main" r="AE7" s="16" t="inlineStr">
        <ns0:is>
          <ns0:t>X</ns0:t>
        </ns0:is>
      </ns0:c>
      <ns0:c xmlns:ns0="http://schemas.openxmlformats.org/spreadsheetml/2006/main" r="AF7" s="16" t="str">
        <ns0:v>(1:1),(2:2)</ns0:v>
      </ns0:c>
      <ns0:c xmlns:ns0="http://schemas.openxmlformats.org/spreadsheetml/2006/main" r="AG7" s="16" t="inlineStr">
        <ns0:is>
          <ns0:t>Simulation\Resistors\MY_LIB_R_TCR.ckt</ns0:t>
        </ns0:is>
      </ns0:c>
      <ns0:c xmlns:ns0="http://schemas.openxmlformats.org/spreadsheetml/2006/main" r="AH7" s="16" t="inlineStr">
        <ns0:is>
          <ns0:t>±200 ppm/°C</ns0:t>
        </ns0:is>
      </ns0:c>
    </ns0:row>
    <ns0:row r="8" ht="30" customHeight="1">
      <ns0:c r="A8" t="str" s="10">
        <ns0:v>R0014</ns0:v>
      </ns0:c>
      <ns0:c r="B8" t="str" s="10">
        <ns0:v>Резистор</ns0:v>
      </ns0:c>
      <ns0:c r="C8" t="str" s="10">
        <ns0:v>1.6R</ns0:v>
      </ns0:c>
      <ns0:c r="D8" t="str" s="11">
        <ns0:f>SUBSTITUTE(SUBSTITUTE(SUBSTITUTE(SUBSTITUTE(C8,"meg"," МОм"),"k"," кОм"),"R"," Ом"),".",",")</ns0:f>
        <ns0:v>1,6 Ом</ns0:v>
      </ns0:c>
      <ns0:c r="E8" t="str" s="10">
        <ns0:v>±5%</ns0:v>
      </ns0:c>
      <ns0:c r="F8" t="str" s="10">
        <ns0:v>0,1 Вт</ns0:v>
      </ns0:c>
      <ns0:c r="G8" t="str" s="10">
        <ns0:v>75 В макс.</ns0:v>
      </ns0:c>
      <ns0:c r="H8" t="str" s="12">
        <ns0:v>0603</ns0:v>
      </ns0:c>
      <ns0:c r="I8" t="str" s="10">
        <ns0:v>YAGEO</ns0:v>
      </ns0:c>
      <ns0:c r="J8" t="str" s="10">
        <ns0:v>RC0603JR-071R6L</ns0:v>
      </ns0:c>
      <ns0:c r="K8" t="str" s="11">
        <ns0:f>B8&amp;" "&amp;D8&amp;" "&amp;E8&amp;" "&amp;H8</ns0:f>
        <ns0:v>Резистор 1,6 Ом ±5% 0603</ns0:v>
      </ns0:c>
      <ns0:c r="L8" t="str" s="13">
        <ns0:v>R</ns0:v>
      </ns0:c>
      <ns0:c r="M8" t="str" s="13">
        <ns0:v>Symbols\MY_LIB_Resistors.SchLib</ns0:v>
      </ns0:c>
      <ns0:c r="N8" t="str" s="13">
        <ns0:v>RESC1608X55N</ns0:v>
      </ns0:c>
      <ns0:c r="O8" t="str" s="13">
        <ns0:v>Footprints\PBL - SMD Packages.PcbLib</ns0:v>
      </ns0:c>
      <ns0:c xmlns:ns0="http://schemas.openxmlformats.org/spreadsheetml/2006/main" r="P8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8" s="10"/>
      <ns0:c r="R8" t="str" s="11">
        <ns0:f>D8</ns0:f>
        <ns0:v>1,6 Ом</ns0:v>
      </ns0:c>
      <ns0:c r="S8" t="str" s="11">
        <ns0:f>K8</ns0:f>
        <ns0:v>Резистор 1,6 Ом ±5% 0603</ns0:v>
      </ns0:c>
      <x:c xmlns:x="http://schemas.openxmlformats.org/spreadsheetml/2006/main" r="T8" t="str" s="11">
        <x:v>C:\Users\Nomatin\Documents\Altium\MY_LIB\MY_LIB\Datasheets\YAGEO_RC_L.pdf</x:v>
      </x:c>
      <x:c xmlns:x="http://schemas.openxmlformats.org/spreadsheetml/2006/main" r="U8" t="str" s="11">
        <x:v>Даташит — локальный</x:v>
      </x:c>
      <x:c xmlns:x="http://schemas.openxmlformats.org/spreadsheetml/2006/main" r="V8" t="str" s="11">
        <x:v>C:\Users\Nomatin\Documents\Altium\MY_LIB\MY_LIB\Datasheets\YAGEO_RC_L.pdf</x:v>
      </x:c>
      <x:c xmlns:x="http://schemas.openxmlformats.org/spreadsheetml/2006/main" r="W8" t="str" s="11">
        <x:v>Даташит — производитель</x:v>
      </x:c>
      <x:c xmlns:x="http://schemas.openxmlformats.org/spreadsheetml/2006/main" r="X8" t="str" s="11">
        <x:v>https://yageogroup.com/content/datasheet/asset/file/PYU-RC_GROUP_51_ROHS_L</x:v>
      </x:c>
      <x:c xmlns:x="http://schemas.openxmlformats.org/spreadsheetml/2006/main" r="Y8" t="str" s="11">
        <x:v>C:\Users\Nomatin\Documents\Altium\MY_LIB\MY_LIB\Datasheets\YAGEO_RC_L.pdf</x:v>
      </x:c>
      <ns0:c xmlns:ns0="http://schemas.openxmlformats.org/spreadsheetml/2006/main" r="Z8" s="16" t="inlineStr">
        <ns0:is>
          <ns0:t>MY_LIB_R_TCR</ns0:t>
        </ns0:is>
      </ns0:c>
      <ns0:c xmlns:ns0="http://schemas.openxmlformats.org/spreadsheetml/2006/main" r="AA8" s="16" t="inlineStr">
        <ns0:is>
          <ns0:t>R(T), +200 ppm/C at 25 C; positive datasheet limit</ns0:t>
        </ns0:is>
      </ns0:c>
      <ns0:c xmlns:ns0="http://schemas.openxmlformats.org/spreadsheetml/2006/main" r="AB8" s="16" t="str">
        <ns0:v>General</ns0:v>
      </ns0:c>
      <ns0:c xmlns:ns0="http://schemas.openxmlformats.org/spreadsheetml/2006/main" r="AC8" s="16" t="inlineStr">
        <ns0:is>
          <ns0:t>Spice Subcircuit</ns0:t>
        </ns0:is>
      </ns0:c>
      <ns0:c xmlns:ns0="http://schemas.openxmlformats.org/spreadsheetml/2006/main" r="AD8" s="16" t="inlineStr">
        <ns0:is>
          <ns0:t>@DESIGNATOR %1 %2 @MODEL PARAMS: Rvalue=@VALUE TC1value=200u</ns0:t>
        </ns0:is>
      </ns0:c>
      <ns0:c xmlns:ns0="http://schemas.openxmlformats.org/spreadsheetml/2006/main" r="AE8" s="16" t="inlineStr">
        <ns0:is>
          <ns0:t>X</ns0:t>
        </ns0:is>
      </ns0:c>
      <ns0:c xmlns:ns0="http://schemas.openxmlformats.org/spreadsheetml/2006/main" r="AF8" s="16" t="str">
        <ns0:v>(1:1),(2:2)</ns0:v>
      </ns0:c>
      <ns0:c xmlns:ns0="http://schemas.openxmlformats.org/spreadsheetml/2006/main" r="AG8" s="16" t="inlineStr">
        <ns0:is>
          <ns0:t>Simulation\Resistors\MY_LIB_R_TCR.ckt</ns0:t>
        </ns0:is>
      </ns0:c>
      <ns0:c xmlns:ns0="http://schemas.openxmlformats.org/spreadsheetml/2006/main" r="AH8" s="16" t="inlineStr">
        <ns0:is>
          <ns0:t>±200 ppm/°C</ns0:t>
        </ns0:is>
      </ns0:c>
    </ns0:row>
    <ns0:row r="9" ht="30" customHeight="1">
      <ns0:c r="A9" t="str" s="10">
        <ns0:v>R0015</ns0:v>
      </ns0:c>
      <ns0:c r="B9" t="str" s="10">
        <ns0:v>Резистор</ns0:v>
      </ns0:c>
      <ns0:c r="C9" t="str" s="10">
        <ns0:v>1.8R</ns0:v>
      </ns0:c>
      <ns0:c r="D9" t="str" s="11">
        <ns0:f>SUBSTITUTE(SUBSTITUTE(SUBSTITUTE(SUBSTITUTE(C9,"meg"," МОм"),"k"," кОм"),"R"," Ом"),".",",")</ns0:f>
        <ns0:v>1,8 Ом</ns0:v>
      </ns0:c>
      <ns0:c r="E9" t="str" s="10">
        <ns0:v>±5%</ns0:v>
      </ns0:c>
      <ns0:c r="F9" t="str" s="10">
        <ns0:v>0,1 Вт</ns0:v>
      </ns0:c>
      <ns0:c r="G9" t="str" s="10">
        <ns0:v>75 В макс.</ns0:v>
      </ns0:c>
      <ns0:c r="H9" t="str" s="12">
        <ns0:v>0603</ns0:v>
      </ns0:c>
      <ns0:c r="I9" t="str" s="10">
        <ns0:v>YAGEO</ns0:v>
      </ns0:c>
      <ns0:c r="J9" t="str" s="10">
        <ns0:v>RC0603JR-071R8L</ns0:v>
      </ns0:c>
      <ns0:c r="K9" t="str" s="11">
        <ns0:f>B9&amp;" "&amp;D9&amp;" "&amp;E9&amp;" "&amp;H9</ns0:f>
        <ns0:v>Резистор 1,8 Ом ±5% 0603</ns0:v>
      </ns0:c>
      <ns0:c r="L9" t="str" s="13">
        <ns0:v>R</ns0:v>
      </ns0:c>
      <ns0:c r="M9" t="str" s="13">
        <ns0:v>Symbols\MY_LIB_Resistors.SchLib</ns0:v>
      </ns0:c>
      <ns0:c r="N9" t="str" s="13">
        <ns0:v>RESC1608X55N</ns0:v>
      </ns0:c>
      <ns0:c r="O9" t="str" s="13">
        <ns0:v>Footprints\PBL - SMD Packages.PcbLib</ns0:v>
      </ns0:c>
      <ns0:c xmlns:ns0="http://schemas.openxmlformats.org/spreadsheetml/2006/main" r="P9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9" s="10"/>
      <ns0:c r="R9" t="str" s="11">
        <ns0:f>D9</ns0:f>
        <ns0:v>1,8 Ом</ns0:v>
      </ns0:c>
      <ns0:c r="S9" t="str" s="11">
        <ns0:f>K9</ns0:f>
        <ns0:v>Резистор 1,8 Ом ±5% 0603</ns0:v>
      </ns0:c>
      <x:c xmlns:x="http://schemas.openxmlformats.org/spreadsheetml/2006/main" r="T9" t="str" s="11">
        <x:v>C:\Users\Nomatin\Documents\Altium\MY_LIB\MY_LIB\Datasheets\YAGEO_RC_L.pdf</x:v>
      </x:c>
      <x:c xmlns:x="http://schemas.openxmlformats.org/spreadsheetml/2006/main" r="U9" t="str" s="11">
        <x:v>Даташит — локальный</x:v>
      </x:c>
      <x:c xmlns:x="http://schemas.openxmlformats.org/spreadsheetml/2006/main" r="V9" t="str" s="11">
        <x:v>C:\Users\Nomatin\Documents\Altium\MY_LIB\MY_LIB\Datasheets\YAGEO_RC_L.pdf</x:v>
      </x:c>
      <x:c xmlns:x="http://schemas.openxmlformats.org/spreadsheetml/2006/main" r="W9" t="str" s="11">
        <x:v>Даташит — производитель</x:v>
      </x:c>
      <x:c xmlns:x="http://schemas.openxmlformats.org/spreadsheetml/2006/main" r="X9" t="str" s="11">
        <x:v>https://yageogroup.com/content/datasheet/asset/file/PYU-RC_GROUP_51_ROHS_L</x:v>
      </x:c>
      <x:c xmlns:x="http://schemas.openxmlformats.org/spreadsheetml/2006/main" r="Y9" t="str" s="11">
        <x:v>C:\Users\Nomatin\Documents\Altium\MY_LIB\MY_LIB\Datasheets\YAGEO_RC_L.pdf</x:v>
      </x:c>
      <ns0:c xmlns:ns0="http://schemas.openxmlformats.org/spreadsheetml/2006/main" r="Z9" s="16" t="inlineStr">
        <ns0:is>
          <ns0:t>MY_LIB_R_TCR</ns0:t>
        </ns0:is>
      </ns0:c>
      <ns0:c xmlns:ns0="http://schemas.openxmlformats.org/spreadsheetml/2006/main" r="AA9" s="16" t="inlineStr">
        <ns0:is>
          <ns0:t>R(T), +200 ppm/C at 25 C; positive datasheet limit</ns0:t>
        </ns0:is>
      </ns0:c>
      <ns0:c xmlns:ns0="http://schemas.openxmlformats.org/spreadsheetml/2006/main" r="AB9" s="16" t="str">
        <ns0:v>General</ns0:v>
      </ns0:c>
      <ns0:c xmlns:ns0="http://schemas.openxmlformats.org/spreadsheetml/2006/main" r="AC9" s="16" t="inlineStr">
        <ns0:is>
          <ns0:t>Spice Subcircuit</ns0:t>
        </ns0:is>
      </ns0:c>
      <ns0:c xmlns:ns0="http://schemas.openxmlformats.org/spreadsheetml/2006/main" r="AD9" s="16" t="inlineStr">
        <ns0:is>
          <ns0:t>@DESIGNATOR %1 %2 @MODEL PARAMS: Rvalue=@VALUE TC1value=200u</ns0:t>
        </ns0:is>
      </ns0:c>
      <ns0:c xmlns:ns0="http://schemas.openxmlformats.org/spreadsheetml/2006/main" r="AE9" s="16" t="inlineStr">
        <ns0:is>
          <ns0:t>X</ns0:t>
        </ns0:is>
      </ns0:c>
      <ns0:c xmlns:ns0="http://schemas.openxmlformats.org/spreadsheetml/2006/main" r="AF9" s="16" t="str">
        <ns0:v>(1:1),(2:2)</ns0:v>
      </ns0:c>
      <ns0:c xmlns:ns0="http://schemas.openxmlformats.org/spreadsheetml/2006/main" r="AG9" s="16" t="inlineStr">
        <ns0:is>
          <ns0:t>Simulation\Resistors\MY_LIB_R_TCR.ckt</ns0:t>
        </ns0:is>
      </ns0:c>
      <ns0:c xmlns:ns0="http://schemas.openxmlformats.org/spreadsheetml/2006/main" r="AH9" s="16" t="inlineStr">
        <ns0:is>
          <ns0:t>±200 ppm/°C</ns0:t>
        </ns0:is>
      </ns0:c>
    </ns0:row>
    <ns0:row r="10" ht="30" customHeight="1">
      <ns0:c r="A10" t="str" s="10">
        <ns0:v>R0016</ns0:v>
      </ns0:c>
      <ns0:c r="B10" t="str" s="10">
        <ns0:v>Резистор</ns0:v>
      </ns0:c>
      <ns0:c r="C10" t="str" s="10">
        <ns0:v>2R</ns0:v>
      </ns0:c>
      <ns0:c r="D10" t="str" s="11">
        <ns0:f>SUBSTITUTE(SUBSTITUTE(SUBSTITUTE(SUBSTITUTE(C10,"meg"," МОм"),"k"," кОм"),"R"," Ом"),".",",")</ns0:f>
        <ns0:v>2 Ом</ns0:v>
      </ns0:c>
      <ns0:c r="E10" t="str" s="10">
        <ns0:v>±5%</ns0:v>
      </ns0:c>
      <ns0:c r="F10" t="str" s="10">
        <ns0:v>0,1 Вт</ns0:v>
      </ns0:c>
      <ns0:c r="G10" t="str" s="10">
        <ns0:v>75 В макс.</ns0:v>
      </ns0:c>
      <ns0:c r="H10" t="str" s="12">
        <ns0:v>0603</ns0:v>
      </ns0:c>
      <ns0:c r="I10" t="str" s="10">
        <ns0:v>YAGEO</ns0:v>
      </ns0:c>
      <ns0:c r="J10" t="str" s="10">
        <ns0:v>RC0603JR-072RL</ns0:v>
      </ns0:c>
      <ns0:c r="K10" t="str" s="11">
        <ns0:f>B10&amp;" "&amp;D10&amp;" "&amp;E10&amp;" "&amp;H10</ns0:f>
        <ns0:v>Резистор 2 Ом ±5% 0603</ns0:v>
      </ns0:c>
      <ns0:c r="L10" t="str" s="13">
        <ns0:v>R</ns0:v>
      </ns0:c>
      <ns0:c r="M10" t="str" s="13">
        <ns0:v>Symbols\MY_LIB_Resistors.SchLib</ns0:v>
      </ns0:c>
      <ns0:c r="N10" t="str" s="13">
        <ns0:v>RESC1608X55N</ns0:v>
      </ns0:c>
      <ns0:c r="O10" t="str" s="13">
        <ns0:v>Footprints\PBL - SMD Packages.PcbLib</ns0:v>
      </ns0:c>
      <ns0:c xmlns:ns0="http://schemas.openxmlformats.org/spreadsheetml/2006/main" r="P10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0" s="10"/>
      <ns0:c r="R10" t="str" s="11">
        <ns0:f>D10</ns0:f>
        <ns0:v>2 Ом</ns0:v>
      </ns0:c>
      <ns0:c r="S10" t="str" s="11">
        <ns0:f>K10</ns0:f>
        <ns0:v>Резистор 2 Ом ±5% 0603</ns0:v>
      </ns0:c>
      <x:c xmlns:x="http://schemas.openxmlformats.org/spreadsheetml/2006/main" r="T10" t="str" s="11">
        <x:v>C:\Users\Nomatin\Documents\Altium\MY_LIB\MY_LIB\Datasheets\YAGEO_RC_L.pdf</x:v>
      </x:c>
      <x:c xmlns:x="http://schemas.openxmlformats.org/spreadsheetml/2006/main" r="U10" t="str" s="11">
        <x:v>Даташит — локальный</x:v>
      </x:c>
      <x:c xmlns:x="http://schemas.openxmlformats.org/spreadsheetml/2006/main" r="V10" t="str" s="11">
        <x:v>C:\Users\Nomatin\Documents\Altium\MY_LIB\MY_LIB\Datasheets\YAGEO_RC_L.pdf</x:v>
      </x:c>
      <x:c xmlns:x="http://schemas.openxmlformats.org/spreadsheetml/2006/main" r="W10" t="str" s="11">
        <x:v>Даташит — производитель</x:v>
      </x:c>
      <x:c xmlns:x="http://schemas.openxmlformats.org/spreadsheetml/2006/main" r="X10" t="str" s="11">
        <x:v>https://yageogroup.com/content/datasheet/asset/file/PYU-RC_GROUP_51_ROHS_L</x:v>
      </x:c>
      <x:c xmlns:x="http://schemas.openxmlformats.org/spreadsheetml/2006/main" r="Y10" t="str" s="11">
        <x:v>C:\Users\Nomatin\Documents\Altium\MY_LIB\MY_LIB\Datasheets\YAGEO_RC_L.pdf</x:v>
      </x:c>
      <ns0:c xmlns:ns0="http://schemas.openxmlformats.org/spreadsheetml/2006/main" r="Z10" s="16" t="inlineStr">
        <ns0:is>
          <ns0:t>MY_LIB_R_TCR</ns0:t>
        </ns0:is>
      </ns0:c>
      <ns0:c xmlns:ns0="http://schemas.openxmlformats.org/spreadsheetml/2006/main" r="AA10" s="16" t="inlineStr">
        <ns0:is>
          <ns0:t>R(T), +200 ppm/C at 25 C; positive datasheet limit</ns0:t>
        </ns0:is>
      </ns0:c>
      <ns0:c xmlns:ns0="http://schemas.openxmlformats.org/spreadsheetml/2006/main" r="AB10" s="16" t="str">
        <ns0:v>General</ns0:v>
      </ns0:c>
      <ns0:c xmlns:ns0="http://schemas.openxmlformats.org/spreadsheetml/2006/main" r="AC10" s="16" t="inlineStr">
        <ns0:is>
          <ns0:t>Spice Subcircuit</ns0:t>
        </ns0:is>
      </ns0:c>
      <ns0:c xmlns:ns0="http://schemas.openxmlformats.org/spreadsheetml/2006/main" r="AD10" s="16" t="inlineStr">
        <ns0:is>
          <ns0:t>@DESIGNATOR %1 %2 @MODEL PARAMS: Rvalue=@VALUE TC1value=200u</ns0:t>
        </ns0:is>
      </ns0:c>
      <ns0:c xmlns:ns0="http://schemas.openxmlformats.org/spreadsheetml/2006/main" r="AE10" s="16" t="inlineStr">
        <ns0:is>
          <ns0:t>X</ns0:t>
        </ns0:is>
      </ns0:c>
      <ns0:c xmlns:ns0="http://schemas.openxmlformats.org/spreadsheetml/2006/main" r="AF10" s="16" t="str">
        <ns0:v>(1:1),(2:2)</ns0:v>
      </ns0:c>
      <ns0:c xmlns:ns0="http://schemas.openxmlformats.org/spreadsheetml/2006/main" r="AG10" s="16" t="inlineStr">
        <ns0:is>
          <ns0:t>Simulation\Resistors\MY_LIB_R_TCR.ckt</ns0:t>
        </ns0:is>
      </ns0:c>
      <ns0:c xmlns:ns0="http://schemas.openxmlformats.org/spreadsheetml/2006/main" r="AH10" s="16" t="inlineStr">
        <ns0:is>
          <ns0:t>±200 ppm/°C</ns0:t>
        </ns0:is>
      </ns0:c>
    </ns0:row>
    <ns0:row r="11" ht="30" customHeight="1">
      <ns0:c r="A11" t="str" s="10">
        <ns0:v>R0017</ns0:v>
      </ns0:c>
      <ns0:c r="B11" t="str" s="10">
        <ns0:v>Резистор</ns0:v>
      </ns0:c>
      <ns0:c r="C11" t="str" s="10">
        <ns0:v>2.2R</ns0:v>
      </ns0:c>
      <ns0:c r="D11" t="str" s="11">
        <ns0:f>SUBSTITUTE(SUBSTITUTE(SUBSTITUTE(SUBSTITUTE(C11,"meg"," МОм"),"k"," кОм"),"R"," Ом"),".",",")</ns0:f>
        <ns0:v>2,2 Ом</ns0:v>
      </ns0:c>
      <ns0:c r="E11" t="str" s="10">
        <ns0:v>±5%</ns0:v>
      </ns0:c>
      <ns0:c r="F11" t="str" s="10">
        <ns0:v>0,1 Вт</ns0:v>
      </ns0:c>
      <ns0:c r="G11" t="str" s="10">
        <ns0:v>75 В макс.</ns0:v>
      </ns0:c>
      <ns0:c r="H11" t="str" s="12">
        <ns0:v>0603</ns0:v>
      </ns0:c>
      <ns0:c r="I11" t="str" s="10">
        <ns0:v>YAGEO</ns0:v>
      </ns0:c>
      <ns0:c r="J11" t="str" s="10">
        <ns0:v>RC0603JR-072R2L</ns0:v>
      </ns0:c>
      <ns0:c r="K11" t="str" s="11">
        <ns0:f>B11&amp;" "&amp;D11&amp;" "&amp;E11&amp;" "&amp;H11</ns0:f>
        <ns0:v>Резистор 2,2 Ом ±5% 0603</ns0:v>
      </ns0:c>
      <ns0:c r="L11" t="str" s="13">
        <ns0:v>R</ns0:v>
      </ns0:c>
      <ns0:c r="M11" t="str" s="13">
        <ns0:v>Symbols\MY_LIB_Resistors.SchLib</ns0:v>
      </ns0:c>
      <ns0:c r="N11" t="str" s="13">
        <ns0:v>RESC1608X55N</ns0:v>
      </ns0:c>
      <ns0:c r="O11" t="str" s="13">
        <ns0:v>Footprints\PBL - SMD Packages.PcbLib</ns0:v>
      </ns0:c>
      <ns0:c xmlns:ns0="http://schemas.openxmlformats.org/spreadsheetml/2006/main" r="P11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1" s="10"/>
      <ns0:c r="R11" t="str" s="11">
        <ns0:f>D11</ns0:f>
        <ns0:v>2,2 Ом</ns0:v>
      </ns0:c>
      <ns0:c r="S11" t="str" s="11">
        <ns0:f>K11</ns0:f>
        <ns0:v>Резистор 2,2 Ом ±5% 0603</ns0:v>
      </ns0:c>
      <x:c xmlns:x="http://schemas.openxmlformats.org/spreadsheetml/2006/main" r="T11" t="str" s="11">
        <x:v>C:\Users\Nomatin\Documents\Altium\MY_LIB\MY_LIB\Datasheets\YAGEO_RC_L.pdf</x:v>
      </x:c>
      <x:c xmlns:x="http://schemas.openxmlformats.org/spreadsheetml/2006/main" r="U11" t="str" s="11">
        <x:v>Даташит — локальный</x:v>
      </x:c>
      <x:c xmlns:x="http://schemas.openxmlformats.org/spreadsheetml/2006/main" r="V11" t="str" s="11">
        <x:v>C:\Users\Nomatin\Documents\Altium\MY_LIB\MY_LIB\Datasheets\YAGEO_RC_L.pdf</x:v>
      </x:c>
      <x:c xmlns:x="http://schemas.openxmlformats.org/spreadsheetml/2006/main" r="W11" t="str" s="11">
        <x:v>Даташит — производитель</x:v>
      </x:c>
      <x:c xmlns:x="http://schemas.openxmlformats.org/spreadsheetml/2006/main" r="X11" t="str" s="11">
        <x:v>https://yageogroup.com/content/datasheet/asset/file/PYU-RC_GROUP_51_ROHS_L</x:v>
      </x:c>
      <x:c xmlns:x="http://schemas.openxmlformats.org/spreadsheetml/2006/main" r="Y11" t="str" s="11">
        <x:v>C:\Users\Nomatin\Documents\Altium\MY_LIB\MY_LIB\Datasheets\YAGEO_RC_L.pdf</x:v>
      </x:c>
      <ns0:c xmlns:ns0="http://schemas.openxmlformats.org/spreadsheetml/2006/main" r="Z11" s="16" t="inlineStr">
        <ns0:is>
          <ns0:t>MY_LIB_R_TCR</ns0:t>
        </ns0:is>
      </ns0:c>
      <ns0:c xmlns:ns0="http://schemas.openxmlformats.org/spreadsheetml/2006/main" r="AA11" s="16" t="inlineStr">
        <ns0:is>
          <ns0:t>R(T), +200 ppm/C at 25 C; positive datasheet limit</ns0:t>
        </ns0:is>
      </ns0:c>
      <ns0:c xmlns:ns0="http://schemas.openxmlformats.org/spreadsheetml/2006/main" r="AB11" s="16" t="str">
        <ns0:v>General</ns0:v>
      </ns0:c>
      <ns0:c xmlns:ns0="http://schemas.openxmlformats.org/spreadsheetml/2006/main" r="AC11" s="16" t="inlineStr">
        <ns0:is>
          <ns0:t>Spice Subcircuit</ns0:t>
        </ns0:is>
      </ns0:c>
      <ns0:c xmlns:ns0="http://schemas.openxmlformats.org/spreadsheetml/2006/main" r="AD11" s="16" t="inlineStr">
        <ns0:is>
          <ns0:t>@DESIGNATOR %1 %2 @MODEL PARAMS: Rvalue=@VALUE TC1value=200u</ns0:t>
        </ns0:is>
      </ns0:c>
      <ns0:c xmlns:ns0="http://schemas.openxmlformats.org/spreadsheetml/2006/main" r="AE11" s="16" t="inlineStr">
        <ns0:is>
          <ns0:t>X</ns0:t>
        </ns0:is>
      </ns0:c>
      <ns0:c xmlns:ns0="http://schemas.openxmlformats.org/spreadsheetml/2006/main" r="AF11" s="16" t="str">
        <ns0:v>(1:1),(2:2)</ns0:v>
      </ns0:c>
      <ns0:c xmlns:ns0="http://schemas.openxmlformats.org/spreadsheetml/2006/main" r="AG11" s="16" t="inlineStr">
        <ns0:is>
          <ns0:t>Simulation\Resistors\MY_LIB_R_TCR.ckt</ns0:t>
        </ns0:is>
      </ns0:c>
      <ns0:c xmlns:ns0="http://schemas.openxmlformats.org/spreadsheetml/2006/main" r="AH11" s="16" t="inlineStr">
        <ns0:is>
          <ns0:t>±200 ppm/°C</ns0:t>
        </ns0:is>
      </ns0:c>
    </ns0:row>
    <ns0:row r="12" ht="30" customHeight="1">
      <ns0:c r="A12" t="str" s="10">
        <ns0:v>R0018</ns0:v>
      </ns0:c>
      <ns0:c r="B12" t="str" s="10">
        <ns0:v>Резистор</ns0:v>
      </ns0:c>
      <ns0:c r="C12" t="str" s="10">
        <ns0:v>2.4R</ns0:v>
      </ns0:c>
      <ns0:c r="D12" t="str" s="11">
        <ns0:f>SUBSTITUTE(SUBSTITUTE(SUBSTITUTE(SUBSTITUTE(C12,"meg"," МОм"),"k"," кОм"),"R"," Ом"),".",",")</ns0:f>
        <ns0:v>2,4 Ом</ns0:v>
      </ns0:c>
      <ns0:c r="E12" t="str" s="10">
        <ns0:v>±5%</ns0:v>
      </ns0:c>
      <ns0:c r="F12" t="str" s="10">
        <ns0:v>0,1 Вт</ns0:v>
      </ns0:c>
      <ns0:c r="G12" t="str" s="10">
        <ns0:v>75 В макс.</ns0:v>
      </ns0:c>
      <ns0:c r="H12" t="str" s="12">
        <ns0:v>0603</ns0:v>
      </ns0:c>
      <ns0:c r="I12" t="str" s="10">
        <ns0:v>YAGEO</ns0:v>
      </ns0:c>
      <ns0:c r="J12" t="str" s="10">
        <ns0:v>RC0603JR-072R4L</ns0:v>
      </ns0:c>
      <ns0:c r="K12" t="str" s="11">
        <ns0:f>B12&amp;" "&amp;D12&amp;" "&amp;E12&amp;" "&amp;H12</ns0:f>
        <ns0:v>Резистор 2,4 Ом ±5% 0603</ns0:v>
      </ns0:c>
      <ns0:c r="L12" t="str" s="13">
        <ns0:v>R</ns0:v>
      </ns0:c>
      <ns0:c r="M12" t="str" s="13">
        <ns0:v>Symbols\MY_LIB_Resistors.SchLib</ns0:v>
      </ns0:c>
      <ns0:c r="N12" t="str" s="13">
        <ns0:v>RESC1608X55N</ns0:v>
      </ns0:c>
      <ns0:c r="O12" t="str" s="13">
        <ns0:v>Footprints\PBL - SMD Packages.PcbLib</ns0:v>
      </ns0:c>
      <ns0:c xmlns:ns0="http://schemas.openxmlformats.org/spreadsheetml/2006/main" r="P12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2" s="10"/>
      <ns0:c r="R12" t="str" s="11">
        <ns0:f>D12</ns0:f>
        <ns0:v>2,4 Ом</ns0:v>
      </ns0:c>
      <ns0:c r="S12" t="str" s="11">
        <ns0:f>K12</ns0:f>
        <ns0:v>Резистор 2,4 Ом ±5% 0603</ns0:v>
      </ns0:c>
      <x:c xmlns:x="http://schemas.openxmlformats.org/spreadsheetml/2006/main" r="T12" t="str" s="11">
        <x:v>C:\Users\Nomatin\Documents\Altium\MY_LIB\MY_LIB\Datasheets\YAGEO_RC_L.pdf</x:v>
      </x:c>
      <x:c xmlns:x="http://schemas.openxmlformats.org/spreadsheetml/2006/main" r="U12" t="str" s="11">
        <x:v>Даташит — локальный</x:v>
      </x:c>
      <x:c xmlns:x="http://schemas.openxmlformats.org/spreadsheetml/2006/main" r="V12" t="str" s="11">
        <x:v>C:\Users\Nomatin\Documents\Altium\MY_LIB\MY_LIB\Datasheets\YAGEO_RC_L.pdf</x:v>
      </x:c>
      <x:c xmlns:x="http://schemas.openxmlformats.org/spreadsheetml/2006/main" r="W12" t="str" s="11">
        <x:v>Даташит — производитель</x:v>
      </x:c>
      <x:c xmlns:x="http://schemas.openxmlformats.org/spreadsheetml/2006/main" r="X12" t="str" s="11">
        <x:v>https://yageogroup.com/content/datasheet/asset/file/PYU-RC_GROUP_51_ROHS_L</x:v>
      </x:c>
      <x:c xmlns:x="http://schemas.openxmlformats.org/spreadsheetml/2006/main" r="Y12" t="str" s="11">
        <x:v>C:\Users\Nomatin\Documents\Altium\MY_LIB\MY_LIB\Datasheets\YAGEO_RC_L.pdf</x:v>
      </x:c>
      <ns0:c xmlns:ns0="http://schemas.openxmlformats.org/spreadsheetml/2006/main" r="Z12" s="16" t="inlineStr">
        <ns0:is>
          <ns0:t>MY_LIB_R_TCR</ns0:t>
        </ns0:is>
      </ns0:c>
      <ns0:c xmlns:ns0="http://schemas.openxmlformats.org/spreadsheetml/2006/main" r="AA12" s="16" t="inlineStr">
        <ns0:is>
          <ns0:t>R(T), +200 ppm/C at 25 C; positive datasheet limit</ns0:t>
        </ns0:is>
      </ns0:c>
      <ns0:c xmlns:ns0="http://schemas.openxmlformats.org/spreadsheetml/2006/main" r="AB12" s="16" t="str">
        <ns0:v>General</ns0:v>
      </ns0:c>
      <ns0:c xmlns:ns0="http://schemas.openxmlformats.org/spreadsheetml/2006/main" r="AC12" s="16" t="inlineStr">
        <ns0:is>
          <ns0:t>Spice Subcircuit</ns0:t>
        </ns0:is>
      </ns0:c>
      <ns0:c xmlns:ns0="http://schemas.openxmlformats.org/spreadsheetml/2006/main" r="AD12" s="16" t="inlineStr">
        <ns0:is>
          <ns0:t>@DESIGNATOR %1 %2 @MODEL PARAMS: Rvalue=@VALUE TC1value=200u</ns0:t>
        </ns0:is>
      </ns0:c>
      <ns0:c xmlns:ns0="http://schemas.openxmlformats.org/spreadsheetml/2006/main" r="AE12" s="16" t="inlineStr">
        <ns0:is>
          <ns0:t>X</ns0:t>
        </ns0:is>
      </ns0:c>
      <ns0:c xmlns:ns0="http://schemas.openxmlformats.org/spreadsheetml/2006/main" r="AF12" s="16" t="str">
        <ns0:v>(1:1),(2:2)</ns0:v>
      </ns0:c>
      <ns0:c xmlns:ns0="http://schemas.openxmlformats.org/spreadsheetml/2006/main" r="AG12" s="16" t="inlineStr">
        <ns0:is>
          <ns0:t>Simulation\Resistors\MY_LIB_R_TCR.ckt</ns0:t>
        </ns0:is>
      </ns0:c>
      <ns0:c xmlns:ns0="http://schemas.openxmlformats.org/spreadsheetml/2006/main" r="AH12" s="16" t="inlineStr">
        <ns0:is>
          <ns0:t>±200 ppm/°C</ns0:t>
        </ns0:is>
      </ns0:c>
    </ns0:row>
    <ns0:row r="13" ht="30" customHeight="1">
      <ns0:c r="A13" t="str" s="10">
        <ns0:v>R0019</ns0:v>
      </ns0:c>
      <ns0:c r="B13" t="str" s="10">
        <ns0:v>Резистор</ns0:v>
      </ns0:c>
      <ns0:c r="C13" t="str" s="10">
        <ns0:v>2.7R</ns0:v>
      </ns0:c>
      <ns0:c r="D13" t="str" s="11">
        <ns0:f>SUBSTITUTE(SUBSTITUTE(SUBSTITUTE(SUBSTITUTE(C13,"meg"," МОм"),"k"," кОм"),"R"," Ом"),".",",")</ns0:f>
        <ns0:v>2,7 Ом</ns0:v>
      </ns0:c>
      <ns0:c r="E13" t="str" s="10">
        <ns0:v>±5%</ns0:v>
      </ns0:c>
      <ns0:c r="F13" t="str" s="10">
        <ns0:v>0,1 Вт</ns0:v>
      </ns0:c>
      <ns0:c r="G13" t="str" s="10">
        <ns0:v>75 В макс.</ns0:v>
      </ns0:c>
      <ns0:c r="H13" t="str" s="12">
        <ns0:v>0603</ns0:v>
      </ns0:c>
      <ns0:c r="I13" t="str" s="10">
        <ns0:v>YAGEO</ns0:v>
      </ns0:c>
      <ns0:c r="J13" t="str" s="10">
        <ns0:v>RC0603JR-072R7L</ns0:v>
      </ns0:c>
      <ns0:c r="K13" t="str" s="11">
        <ns0:f>B13&amp;" "&amp;D13&amp;" "&amp;E13&amp;" "&amp;H13</ns0:f>
        <ns0:v>Резистор 2,7 Ом ±5% 0603</ns0:v>
      </ns0:c>
      <ns0:c r="L13" t="str" s="13">
        <ns0:v>R</ns0:v>
      </ns0:c>
      <ns0:c r="M13" t="str" s="13">
        <ns0:v>Symbols\MY_LIB_Resistors.SchLib</ns0:v>
      </ns0:c>
      <ns0:c r="N13" t="str" s="13">
        <ns0:v>RESC1608X55N</ns0:v>
      </ns0:c>
      <ns0:c r="O13" t="str" s="13">
        <ns0:v>Footprints\PBL - SMD Packages.PcbLib</ns0:v>
      </ns0:c>
      <ns0:c xmlns:ns0="http://schemas.openxmlformats.org/spreadsheetml/2006/main" r="P13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3" s="10"/>
      <ns0:c r="R13" t="str" s="11">
        <ns0:f>D13</ns0:f>
        <ns0:v>2,7 Ом</ns0:v>
      </ns0:c>
      <ns0:c r="S13" t="str" s="11">
        <ns0:f>K13</ns0:f>
        <ns0:v>Резистор 2,7 Ом ±5% 0603</ns0:v>
      </ns0:c>
      <x:c xmlns:x="http://schemas.openxmlformats.org/spreadsheetml/2006/main" r="T13" t="str" s="11">
        <x:v>C:\Users\Nomatin\Documents\Altium\MY_LIB\MY_LIB\Datasheets\YAGEO_RC_L.pdf</x:v>
      </x:c>
      <x:c xmlns:x="http://schemas.openxmlformats.org/spreadsheetml/2006/main" r="U13" t="str" s="11">
        <x:v>Даташит — локальный</x:v>
      </x:c>
      <x:c xmlns:x="http://schemas.openxmlformats.org/spreadsheetml/2006/main" r="V13" t="str" s="11">
        <x:v>C:\Users\Nomatin\Documents\Altium\MY_LIB\MY_LIB\Datasheets\YAGEO_RC_L.pdf</x:v>
      </x:c>
      <x:c xmlns:x="http://schemas.openxmlformats.org/spreadsheetml/2006/main" r="W13" t="str" s="11">
        <x:v>Даташит — производитель</x:v>
      </x:c>
      <x:c xmlns:x="http://schemas.openxmlformats.org/spreadsheetml/2006/main" r="X13" t="str" s="11">
        <x:v>https://yageogroup.com/content/datasheet/asset/file/PYU-RC_GROUP_51_ROHS_L</x:v>
      </x:c>
      <x:c xmlns:x="http://schemas.openxmlformats.org/spreadsheetml/2006/main" r="Y13" t="str" s="11">
        <x:v>C:\Users\Nomatin\Documents\Altium\MY_LIB\MY_LIB\Datasheets\YAGEO_RC_L.pdf</x:v>
      </x:c>
      <ns0:c xmlns:ns0="http://schemas.openxmlformats.org/spreadsheetml/2006/main" r="Z13" s="16" t="inlineStr">
        <ns0:is>
          <ns0:t>MY_LIB_R_TCR</ns0:t>
        </ns0:is>
      </ns0:c>
      <ns0:c xmlns:ns0="http://schemas.openxmlformats.org/spreadsheetml/2006/main" r="AA13" s="16" t="inlineStr">
        <ns0:is>
          <ns0:t>R(T), +200 ppm/C at 25 C; positive datasheet limit</ns0:t>
        </ns0:is>
      </ns0:c>
      <ns0:c xmlns:ns0="http://schemas.openxmlformats.org/spreadsheetml/2006/main" r="AB13" s="16" t="str">
        <ns0:v>General</ns0:v>
      </ns0:c>
      <ns0:c xmlns:ns0="http://schemas.openxmlformats.org/spreadsheetml/2006/main" r="AC13" s="16" t="inlineStr">
        <ns0:is>
          <ns0:t>Spice Subcircuit</ns0:t>
        </ns0:is>
      </ns0:c>
      <ns0:c xmlns:ns0="http://schemas.openxmlformats.org/spreadsheetml/2006/main" r="AD13" s="16" t="inlineStr">
        <ns0:is>
          <ns0:t>@DESIGNATOR %1 %2 @MODEL PARAMS: Rvalue=@VALUE TC1value=200u</ns0:t>
        </ns0:is>
      </ns0:c>
      <ns0:c xmlns:ns0="http://schemas.openxmlformats.org/spreadsheetml/2006/main" r="AE13" s="16" t="inlineStr">
        <ns0:is>
          <ns0:t>X</ns0:t>
        </ns0:is>
      </ns0:c>
      <ns0:c xmlns:ns0="http://schemas.openxmlformats.org/spreadsheetml/2006/main" r="AF13" s="16" t="str">
        <ns0:v>(1:1),(2:2)</ns0:v>
      </ns0:c>
      <ns0:c xmlns:ns0="http://schemas.openxmlformats.org/spreadsheetml/2006/main" r="AG13" s="16" t="inlineStr">
        <ns0:is>
          <ns0:t>Simulation\Resistors\MY_LIB_R_TCR.ckt</ns0:t>
        </ns0:is>
      </ns0:c>
      <ns0:c xmlns:ns0="http://schemas.openxmlformats.org/spreadsheetml/2006/main" r="AH13" s="16" t="inlineStr">
        <ns0:is>
          <ns0:t>±200 ppm/°C</ns0:t>
        </ns0:is>
      </ns0:c>
    </ns0:row>
    <ns0:row r="14" ht="30" customHeight="1">
      <ns0:c r="A14" t="str" s="10">
        <ns0:v>R0020</ns0:v>
      </ns0:c>
      <ns0:c r="B14" t="str" s="10">
        <ns0:v>Резистор</ns0:v>
      </ns0:c>
      <ns0:c r="C14" t="str" s="10">
        <ns0:v>3R</ns0:v>
      </ns0:c>
      <ns0:c r="D14" t="str" s="11">
        <ns0:f>SUBSTITUTE(SUBSTITUTE(SUBSTITUTE(SUBSTITUTE(C14,"meg"," МОм"),"k"," кОм"),"R"," Ом"),".",",")</ns0:f>
        <ns0:v>3 Ом</ns0:v>
      </ns0:c>
      <ns0:c r="E14" t="str" s="10">
        <ns0:v>±5%</ns0:v>
      </ns0:c>
      <ns0:c r="F14" t="str" s="10">
        <ns0:v>0,1 Вт</ns0:v>
      </ns0:c>
      <ns0:c r="G14" t="str" s="10">
        <ns0:v>75 В макс.</ns0:v>
      </ns0:c>
      <ns0:c r="H14" t="str" s="12">
        <ns0:v>0603</ns0:v>
      </ns0:c>
      <ns0:c r="I14" t="str" s="10">
        <ns0:v>YAGEO</ns0:v>
      </ns0:c>
      <ns0:c r="J14" t="str" s="10">
        <ns0:v>RC0603JR-073RL</ns0:v>
      </ns0:c>
      <ns0:c r="K14" t="str" s="11">
        <ns0:f>B14&amp;" "&amp;D14&amp;" "&amp;E14&amp;" "&amp;H14</ns0:f>
        <ns0:v>Резистор 3 Ом ±5% 0603</ns0:v>
      </ns0:c>
      <ns0:c r="L14" t="str" s="13">
        <ns0:v>R</ns0:v>
      </ns0:c>
      <ns0:c r="M14" t="str" s="13">
        <ns0:v>Symbols\MY_LIB_Resistors.SchLib</ns0:v>
      </ns0:c>
      <ns0:c r="N14" t="str" s="13">
        <ns0:v>RESC1608X55N</ns0:v>
      </ns0:c>
      <ns0:c r="O14" t="str" s="13">
        <ns0:v>Footprints\PBL - SMD Packages.PcbLib</ns0:v>
      </ns0:c>
      <ns0:c xmlns:ns0="http://schemas.openxmlformats.org/spreadsheetml/2006/main" r="P14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4" s="10"/>
      <ns0:c r="R14" t="str" s="11">
        <ns0:f>D14</ns0:f>
        <ns0:v>3 Ом</ns0:v>
      </ns0:c>
      <ns0:c r="S14" t="str" s="11">
        <ns0:f>K14</ns0:f>
        <ns0:v>Резистор 3 Ом ±5% 0603</ns0:v>
      </ns0:c>
      <x:c xmlns:x="http://schemas.openxmlformats.org/spreadsheetml/2006/main" r="T14" t="str" s="11">
        <x:v>C:\Users\Nomatin\Documents\Altium\MY_LIB\MY_LIB\Datasheets\YAGEO_RC_L.pdf</x:v>
      </x:c>
      <x:c xmlns:x="http://schemas.openxmlformats.org/spreadsheetml/2006/main" r="U14" t="str" s="11">
        <x:v>Даташит — локальный</x:v>
      </x:c>
      <x:c xmlns:x="http://schemas.openxmlformats.org/spreadsheetml/2006/main" r="V14" t="str" s="11">
        <x:v>C:\Users\Nomatin\Documents\Altium\MY_LIB\MY_LIB\Datasheets\YAGEO_RC_L.pdf</x:v>
      </x:c>
      <x:c xmlns:x="http://schemas.openxmlformats.org/spreadsheetml/2006/main" r="W14" t="str" s="11">
        <x:v>Даташит — производитель</x:v>
      </x:c>
      <x:c xmlns:x="http://schemas.openxmlformats.org/spreadsheetml/2006/main" r="X14" t="str" s="11">
        <x:v>https://yageogroup.com/content/datasheet/asset/file/PYU-RC_GROUP_51_ROHS_L</x:v>
      </x:c>
      <x:c xmlns:x="http://schemas.openxmlformats.org/spreadsheetml/2006/main" r="Y14" t="str" s="11">
        <x:v>C:\Users\Nomatin\Documents\Altium\MY_LIB\MY_LIB\Datasheets\YAGEO_RC_L.pdf</x:v>
      </x:c>
      <ns0:c xmlns:ns0="http://schemas.openxmlformats.org/spreadsheetml/2006/main" r="Z14" s="16" t="inlineStr">
        <ns0:is>
          <ns0:t>MY_LIB_R_TCR</ns0:t>
        </ns0:is>
      </ns0:c>
      <ns0:c xmlns:ns0="http://schemas.openxmlformats.org/spreadsheetml/2006/main" r="AA14" s="16" t="inlineStr">
        <ns0:is>
          <ns0:t>R(T), +200 ppm/C at 25 C; positive datasheet limit</ns0:t>
        </ns0:is>
      </ns0:c>
      <ns0:c xmlns:ns0="http://schemas.openxmlformats.org/spreadsheetml/2006/main" r="AB14" s="16" t="str">
        <ns0:v>General</ns0:v>
      </ns0:c>
      <ns0:c xmlns:ns0="http://schemas.openxmlformats.org/spreadsheetml/2006/main" r="AC14" s="16" t="inlineStr">
        <ns0:is>
          <ns0:t>Spice Subcircuit</ns0:t>
        </ns0:is>
      </ns0:c>
      <ns0:c xmlns:ns0="http://schemas.openxmlformats.org/spreadsheetml/2006/main" r="AD14" s="16" t="inlineStr">
        <ns0:is>
          <ns0:t>@DESIGNATOR %1 %2 @MODEL PARAMS: Rvalue=@VALUE TC1value=200u</ns0:t>
        </ns0:is>
      </ns0:c>
      <ns0:c xmlns:ns0="http://schemas.openxmlformats.org/spreadsheetml/2006/main" r="AE14" s="16" t="inlineStr">
        <ns0:is>
          <ns0:t>X</ns0:t>
        </ns0:is>
      </ns0:c>
      <ns0:c xmlns:ns0="http://schemas.openxmlformats.org/spreadsheetml/2006/main" r="AF14" s="16" t="str">
        <ns0:v>(1:1),(2:2)</ns0:v>
      </ns0:c>
      <ns0:c xmlns:ns0="http://schemas.openxmlformats.org/spreadsheetml/2006/main" r="AG14" s="16" t="inlineStr">
        <ns0:is>
          <ns0:t>Simulation\Resistors\MY_LIB_R_TCR.ckt</ns0:t>
        </ns0:is>
      </ns0:c>
      <ns0:c xmlns:ns0="http://schemas.openxmlformats.org/spreadsheetml/2006/main" r="AH14" s="16" t="inlineStr">
        <ns0:is>
          <ns0:t>±200 ppm/°C</ns0:t>
        </ns0:is>
      </ns0:c>
    </ns0:row>
    <ns0:row r="15" ht="30" customHeight="1">
      <ns0:c r="A15" t="str" s="10">
        <ns0:v>R0021</ns0:v>
      </ns0:c>
      <ns0:c r="B15" t="str" s="10">
        <ns0:v>Резистор</ns0:v>
      </ns0:c>
      <ns0:c r="C15" t="str" s="10">
        <ns0:v>3.3R</ns0:v>
      </ns0:c>
      <ns0:c r="D15" t="str" s="11">
        <ns0:f>SUBSTITUTE(SUBSTITUTE(SUBSTITUTE(SUBSTITUTE(C15,"meg"," МОм"),"k"," кОм"),"R"," Ом"),".",",")</ns0:f>
        <ns0:v>3,3 Ом</ns0:v>
      </ns0:c>
      <ns0:c r="E15" t="str" s="10">
        <ns0:v>±5%</ns0:v>
      </ns0:c>
      <ns0:c r="F15" t="str" s="10">
        <ns0:v>0,1 Вт</ns0:v>
      </ns0:c>
      <ns0:c r="G15" t="str" s="10">
        <ns0:v>75 В макс.</ns0:v>
      </ns0:c>
      <ns0:c r="H15" t="str" s="12">
        <ns0:v>0603</ns0:v>
      </ns0:c>
      <ns0:c r="I15" t="str" s="10">
        <ns0:v>YAGEO</ns0:v>
      </ns0:c>
      <ns0:c r="J15" t="str" s="10">
        <ns0:v>RC0603JR-073R3L</ns0:v>
      </ns0:c>
      <ns0:c r="K15" t="str" s="11">
        <ns0:f>B15&amp;" "&amp;D15&amp;" "&amp;E15&amp;" "&amp;H15</ns0:f>
        <ns0:v>Резистор 3,3 Ом ±5% 0603</ns0:v>
      </ns0:c>
      <ns0:c r="L15" t="str" s="13">
        <ns0:v>R</ns0:v>
      </ns0:c>
      <ns0:c r="M15" t="str" s="13">
        <ns0:v>Symbols\MY_LIB_Resistors.SchLib</ns0:v>
      </ns0:c>
      <ns0:c r="N15" t="str" s="13">
        <ns0:v>RESC1608X55N</ns0:v>
      </ns0:c>
      <ns0:c r="O15" t="str" s="13">
        <ns0:v>Footprints\PBL - SMD Packages.PcbLib</ns0:v>
      </ns0:c>
      <ns0:c xmlns:ns0="http://schemas.openxmlformats.org/spreadsheetml/2006/main" r="P15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" s="10"/>
      <ns0:c r="R15" t="str" s="11">
        <ns0:f>D15</ns0:f>
        <ns0:v>3,3 Ом</ns0:v>
      </ns0:c>
      <ns0:c r="S15" t="str" s="11">
        <ns0:f>K15</ns0:f>
        <ns0:v>Резистор 3,3 Ом ±5% 0603</ns0:v>
      </ns0:c>
      <x:c xmlns:x="http://schemas.openxmlformats.org/spreadsheetml/2006/main" r="T15" t="str" s="11">
        <x:v>C:\Users\Nomatin\Documents\Altium\MY_LIB\MY_LIB\Datasheets\YAGEO_RC_L.pdf</x:v>
      </x:c>
      <x:c xmlns:x="http://schemas.openxmlformats.org/spreadsheetml/2006/main" r="U15" t="str" s="11">
        <x:v>Даташит — локальный</x:v>
      </x:c>
      <x:c xmlns:x="http://schemas.openxmlformats.org/spreadsheetml/2006/main" r="V15" t="str" s="11">
        <x:v>C:\Users\Nomatin\Documents\Altium\MY_LIB\MY_LIB\Datasheets\YAGEO_RC_L.pdf</x:v>
      </x:c>
      <x:c xmlns:x="http://schemas.openxmlformats.org/spreadsheetml/2006/main" r="W15" t="str" s="11">
        <x:v>Даташит — производитель</x:v>
      </x:c>
      <x:c xmlns:x="http://schemas.openxmlformats.org/spreadsheetml/2006/main" r="X15" t="str" s="11">
        <x:v>https://yageogroup.com/content/datasheet/asset/file/PYU-RC_GROUP_51_ROHS_L</x:v>
      </x:c>
      <x:c xmlns:x="http://schemas.openxmlformats.org/spreadsheetml/2006/main" r="Y15" t="str" s="11">
        <x:v>C:\Users\Nomatin\Documents\Altium\MY_LIB\MY_LIB\Datasheets\YAGEO_RC_L.pdf</x:v>
      </x:c>
      <ns0:c xmlns:ns0="http://schemas.openxmlformats.org/spreadsheetml/2006/main" r="Z15" s="16" t="inlineStr">
        <ns0:is>
          <ns0:t>MY_LIB_R_TCR</ns0:t>
        </ns0:is>
      </ns0:c>
      <ns0:c xmlns:ns0="http://schemas.openxmlformats.org/spreadsheetml/2006/main" r="AA15" s="16" t="inlineStr">
        <ns0:is>
          <ns0:t>R(T), +200 ppm/C at 25 C; positive datasheet limit</ns0:t>
        </ns0:is>
      </ns0:c>
      <ns0:c xmlns:ns0="http://schemas.openxmlformats.org/spreadsheetml/2006/main" r="AB15" s="16" t="str">
        <ns0:v>General</ns0:v>
      </ns0:c>
      <ns0:c xmlns:ns0="http://schemas.openxmlformats.org/spreadsheetml/2006/main" r="AC15" s="16" t="inlineStr">
        <ns0:is>
          <ns0:t>Spice Subcircuit</ns0:t>
        </ns0:is>
      </ns0:c>
      <ns0:c xmlns:ns0="http://schemas.openxmlformats.org/spreadsheetml/2006/main" r="AD15" s="16" t="inlineStr">
        <ns0:is>
          <ns0:t>@DESIGNATOR %1 %2 @MODEL PARAMS: Rvalue=@VALUE TC1value=200u</ns0:t>
        </ns0:is>
      </ns0:c>
      <ns0:c xmlns:ns0="http://schemas.openxmlformats.org/spreadsheetml/2006/main" r="AE15" s="16" t="inlineStr">
        <ns0:is>
          <ns0:t>X</ns0:t>
        </ns0:is>
      </ns0:c>
      <ns0:c xmlns:ns0="http://schemas.openxmlformats.org/spreadsheetml/2006/main" r="AF15" s="16" t="str">
        <ns0:v>(1:1),(2:2)</ns0:v>
      </ns0:c>
      <ns0:c xmlns:ns0="http://schemas.openxmlformats.org/spreadsheetml/2006/main" r="AG15" s="16" t="inlineStr">
        <ns0:is>
          <ns0:t>Simulation\Resistors\MY_LIB_R_TCR.ckt</ns0:t>
        </ns0:is>
      </ns0:c>
      <ns0:c xmlns:ns0="http://schemas.openxmlformats.org/spreadsheetml/2006/main" r="AH15" s="16" t="inlineStr">
        <ns0:is>
          <ns0:t>±200 ppm/°C</ns0:t>
        </ns0:is>
      </ns0:c>
    </ns0:row>
    <ns0:row r="16" ht="30" customHeight="1">
      <ns0:c r="A16" t="str" s="10">
        <ns0:v>R0022</ns0:v>
      </ns0:c>
      <ns0:c r="B16" t="str" s="10">
        <ns0:v>Резистор</ns0:v>
      </ns0:c>
      <ns0:c r="C16" t="str" s="10">
        <ns0:v>3.6R</ns0:v>
      </ns0:c>
      <ns0:c r="D16" t="str" s="11">
        <ns0:f>SUBSTITUTE(SUBSTITUTE(SUBSTITUTE(SUBSTITUTE(C16,"meg"," МОм"),"k"," кОм"),"R"," Ом"),".",",")</ns0:f>
        <ns0:v>3,6 Ом</ns0:v>
      </ns0:c>
      <ns0:c r="E16" t="str" s="10">
        <ns0:v>±5%</ns0:v>
      </ns0:c>
      <ns0:c r="F16" t="str" s="10">
        <ns0:v>0,1 Вт</ns0:v>
      </ns0:c>
      <ns0:c r="G16" t="str" s="10">
        <ns0:v>75 В макс.</ns0:v>
      </ns0:c>
      <ns0:c r="H16" t="str" s="12">
        <ns0:v>0603</ns0:v>
      </ns0:c>
      <ns0:c r="I16" t="str" s="10">
        <ns0:v>YAGEO</ns0:v>
      </ns0:c>
      <ns0:c r="J16" t="str" s="10">
        <ns0:v>RC0603JR-073R6L</ns0:v>
      </ns0:c>
      <ns0:c r="K16" t="str" s="11">
        <ns0:f>B16&amp;" "&amp;D16&amp;" "&amp;E16&amp;" "&amp;H16</ns0:f>
        <ns0:v>Резистор 3,6 Ом ±5% 0603</ns0:v>
      </ns0:c>
      <ns0:c r="L16" t="str" s="13">
        <ns0:v>R</ns0:v>
      </ns0:c>
      <ns0:c r="M16" t="str" s="13">
        <ns0:v>Symbols\MY_LIB_Resistors.SchLib</ns0:v>
      </ns0:c>
      <ns0:c r="N16" t="str" s="13">
        <ns0:v>RESC1608X55N</ns0:v>
      </ns0:c>
      <ns0:c r="O16" t="str" s="13">
        <ns0:v>Footprints\PBL - SMD Packages.PcbLib</ns0:v>
      </ns0:c>
      <ns0:c xmlns:ns0="http://schemas.openxmlformats.org/spreadsheetml/2006/main" r="P16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" s="10"/>
      <ns0:c r="R16" t="str" s="11">
        <ns0:f>D16</ns0:f>
        <ns0:v>3,6 Ом</ns0:v>
      </ns0:c>
      <ns0:c r="S16" t="str" s="11">
        <ns0:f>K16</ns0:f>
        <ns0:v>Резистор 3,6 Ом ±5% 0603</ns0:v>
      </ns0:c>
      <x:c xmlns:x="http://schemas.openxmlformats.org/spreadsheetml/2006/main" r="T16" t="str" s="11">
        <x:v>C:\Users\Nomatin\Documents\Altium\MY_LIB\MY_LIB\Datasheets\YAGEO_RC_L.pdf</x:v>
      </x:c>
      <x:c xmlns:x="http://schemas.openxmlformats.org/spreadsheetml/2006/main" r="U16" t="str" s="11">
        <x:v>Даташит — локальный</x:v>
      </x:c>
      <x:c xmlns:x="http://schemas.openxmlformats.org/spreadsheetml/2006/main" r="V16" t="str" s="11">
        <x:v>C:\Users\Nomatin\Documents\Altium\MY_LIB\MY_LIB\Datasheets\YAGEO_RC_L.pdf</x:v>
      </x:c>
      <x:c xmlns:x="http://schemas.openxmlformats.org/spreadsheetml/2006/main" r="W16" t="str" s="11">
        <x:v>Даташит — производитель</x:v>
      </x:c>
      <x:c xmlns:x="http://schemas.openxmlformats.org/spreadsheetml/2006/main" r="X16" t="str" s="11">
        <x:v>https://yageogroup.com/content/datasheet/asset/file/PYU-RC_GROUP_51_ROHS_L</x:v>
      </x:c>
      <x:c xmlns:x="http://schemas.openxmlformats.org/spreadsheetml/2006/main" r="Y16" t="str" s="11">
        <x:v>C:\Users\Nomatin\Documents\Altium\MY_LIB\MY_LIB\Datasheets\YAGEO_RC_L.pdf</x:v>
      </x:c>
      <ns0:c xmlns:ns0="http://schemas.openxmlformats.org/spreadsheetml/2006/main" r="Z16" s="16" t="inlineStr">
        <ns0:is>
          <ns0:t>MY_LIB_R_TCR</ns0:t>
        </ns0:is>
      </ns0:c>
      <ns0:c xmlns:ns0="http://schemas.openxmlformats.org/spreadsheetml/2006/main" r="AA16" s="16" t="inlineStr">
        <ns0:is>
          <ns0:t>R(T), +200 ppm/C at 25 C; positive datasheet limit</ns0:t>
        </ns0:is>
      </ns0:c>
      <ns0:c xmlns:ns0="http://schemas.openxmlformats.org/spreadsheetml/2006/main" r="AB16" s="16" t="str">
        <ns0:v>General</ns0:v>
      </ns0:c>
      <ns0:c xmlns:ns0="http://schemas.openxmlformats.org/spreadsheetml/2006/main" r="AC16" s="16" t="inlineStr">
        <ns0:is>
          <ns0:t>Spice Subcircuit</ns0:t>
        </ns0:is>
      </ns0:c>
      <ns0:c xmlns:ns0="http://schemas.openxmlformats.org/spreadsheetml/2006/main" r="AD16" s="16" t="inlineStr">
        <ns0:is>
          <ns0:t>@DESIGNATOR %1 %2 @MODEL PARAMS: Rvalue=@VALUE TC1value=200u</ns0:t>
        </ns0:is>
      </ns0:c>
      <ns0:c xmlns:ns0="http://schemas.openxmlformats.org/spreadsheetml/2006/main" r="AE16" s="16" t="inlineStr">
        <ns0:is>
          <ns0:t>X</ns0:t>
        </ns0:is>
      </ns0:c>
      <ns0:c xmlns:ns0="http://schemas.openxmlformats.org/spreadsheetml/2006/main" r="AF16" s="16" t="str">
        <ns0:v>(1:1),(2:2)</ns0:v>
      </ns0:c>
      <ns0:c xmlns:ns0="http://schemas.openxmlformats.org/spreadsheetml/2006/main" r="AG16" s="16" t="inlineStr">
        <ns0:is>
          <ns0:t>Simulation\Resistors\MY_LIB_R_TCR.ckt</ns0:t>
        </ns0:is>
      </ns0:c>
      <ns0:c xmlns:ns0="http://schemas.openxmlformats.org/spreadsheetml/2006/main" r="AH16" s="16" t="inlineStr">
        <ns0:is>
          <ns0:t>±200 ppm/°C</ns0:t>
        </ns0:is>
      </ns0:c>
    </ns0:row>
    <ns0:row r="17" ht="30" customHeight="1">
      <ns0:c r="A17" t="str" s="10">
        <ns0:v>R0023</ns0:v>
      </ns0:c>
      <ns0:c r="B17" t="str" s="10">
        <ns0:v>Резистор</ns0:v>
      </ns0:c>
      <ns0:c r="C17" t="str" s="10">
        <ns0:v>3.9R</ns0:v>
      </ns0:c>
      <ns0:c r="D17" t="str" s="11">
        <ns0:f>SUBSTITUTE(SUBSTITUTE(SUBSTITUTE(SUBSTITUTE(C17,"meg"," МОм"),"k"," кОм"),"R"," Ом"),".",",")</ns0:f>
        <ns0:v>3,9 Ом</ns0:v>
      </ns0:c>
      <ns0:c r="E17" t="str" s="10">
        <ns0:v>±5%</ns0:v>
      </ns0:c>
      <ns0:c r="F17" t="str" s="10">
        <ns0:v>0,1 Вт</ns0:v>
      </ns0:c>
      <ns0:c r="G17" t="str" s="10">
        <ns0:v>75 В макс.</ns0:v>
      </ns0:c>
      <ns0:c r="H17" t="str" s="12">
        <ns0:v>0603</ns0:v>
      </ns0:c>
      <ns0:c r="I17" t="str" s="10">
        <ns0:v>YAGEO</ns0:v>
      </ns0:c>
      <ns0:c r="J17" t="str" s="10">
        <ns0:v>RC0603JR-073R9L</ns0:v>
      </ns0:c>
      <ns0:c r="K17" t="str" s="11">
        <ns0:f>B17&amp;" "&amp;D17&amp;" "&amp;E17&amp;" "&amp;H17</ns0:f>
        <ns0:v>Резистор 3,9 Ом ±5% 0603</ns0:v>
      </ns0:c>
      <ns0:c r="L17" t="str" s="13">
        <ns0:v>R</ns0:v>
      </ns0:c>
      <ns0:c r="M17" t="str" s="13">
        <ns0:v>Symbols\MY_LIB_Resistors.SchLib</ns0:v>
      </ns0:c>
      <ns0:c r="N17" t="str" s="13">
        <ns0:v>RESC1608X55N</ns0:v>
      </ns0:c>
      <ns0:c r="O17" t="str" s="13">
        <ns0:v>Footprints\PBL - SMD Packages.PcbLib</ns0:v>
      </ns0:c>
      <ns0:c xmlns:ns0="http://schemas.openxmlformats.org/spreadsheetml/2006/main" r="P17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7" s="10"/>
      <ns0:c r="R17" t="str" s="11">
        <ns0:f>D17</ns0:f>
        <ns0:v>3,9 Ом</ns0:v>
      </ns0:c>
      <ns0:c r="S17" t="str" s="11">
        <ns0:f>K17</ns0:f>
        <ns0:v>Резистор 3,9 Ом ±5% 0603</ns0:v>
      </ns0:c>
      <x:c xmlns:x="http://schemas.openxmlformats.org/spreadsheetml/2006/main" r="T17" t="str" s="11">
        <x:v>C:\Users\Nomatin\Documents\Altium\MY_LIB\MY_LIB\Datasheets\YAGEO_RC_L.pdf</x:v>
      </x:c>
      <x:c xmlns:x="http://schemas.openxmlformats.org/spreadsheetml/2006/main" r="U17" t="str" s="11">
        <x:v>Даташит — локальный</x:v>
      </x:c>
      <x:c xmlns:x="http://schemas.openxmlformats.org/spreadsheetml/2006/main" r="V17" t="str" s="11">
        <x:v>C:\Users\Nomatin\Documents\Altium\MY_LIB\MY_LIB\Datasheets\YAGEO_RC_L.pdf</x:v>
      </x:c>
      <x:c xmlns:x="http://schemas.openxmlformats.org/spreadsheetml/2006/main" r="W17" t="str" s="11">
        <x:v>Даташит — производитель</x:v>
      </x:c>
      <x:c xmlns:x="http://schemas.openxmlformats.org/spreadsheetml/2006/main" r="X17" t="str" s="11">
        <x:v>https://yageogroup.com/content/datasheet/asset/file/PYU-RC_GROUP_51_ROHS_L</x:v>
      </x:c>
      <x:c xmlns:x="http://schemas.openxmlformats.org/spreadsheetml/2006/main" r="Y17" t="str" s="11">
        <x:v>C:\Users\Nomatin\Documents\Altium\MY_LIB\MY_LIB\Datasheets\YAGEO_RC_L.pdf</x:v>
      </x:c>
      <ns0:c xmlns:ns0="http://schemas.openxmlformats.org/spreadsheetml/2006/main" r="Z17" s="16" t="inlineStr">
        <ns0:is>
          <ns0:t>MY_LIB_R_TCR</ns0:t>
        </ns0:is>
      </ns0:c>
      <ns0:c xmlns:ns0="http://schemas.openxmlformats.org/spreadsheetml/2006/main" r="AA17" s="16" t="inlineStr">
        <ns0:is>
          <ns0:t>R(T), +200 ppm/C at 25 C; positive datasheet limit</ns0:t>
        </ns0:is>
      </ns0:c>
      <ns0:c xmlns:ns0="http://schemas.openxmlformats.org/spreadsheetml/2006/main" r="AB17" s="16" t="str">
        <ns0:v>General</ns0:v>
      </ns0:c>
      <ns0:c xmlns:ns0="http://schemas.openxmlformats.org/spreadsheetml/2006/main" r="AC17" s="16" t="inlineStr">
        <ns0:is>
          <ns0:t>Spice Subcircuit</ns0:t>
        </ns0:is>
      </ns0:c>
      <ns0:c xmlns:ns0="http://schemas.openxmlformats.org/spreadsheetml/2006/main" r="AD17" s="16" t="inlineStr">
        <ns0:is>
          <ns0:t>@DESIGNATOR %1 %2 @MODEL PARAMS: Rvalue=@VALUE TC1value=200u</ns0:t>
        </ns0:is>
      </ns0:c>
      <ns0:c xmlns:ns0="http://schemas.openxmlformats.org/spreadsheetml/2006/main" r="AE17" s="16" t="inlineStr">
        <ns0:is>
          <ns0:t>X</ns0:t>
        </ns0:is>
      </ns0:c>
      <ns0:c xmlns:ns0="http://schemas.openxmlformats.org/spreadsheetml/2006/main" r="AF17" s="16" t="str">
        <ns0:v>(1:1),(2:2)</ns0:v>
      </ns0:c>
      <ns0:c xmlns:ns0="http://schemas.openxmlformats.org/spreadsheetml/2006/main" r="AG17" s="16" t="inlineStr">
        <ns0:is>
          <ns0:t>Simulation\Resistors\MY_LIB_R_TCR.ckt</ns0:t>
        </ns0:is>
      </ns0:c>
      <ns0:c xmlns:ns0="http://schemas.openxmlformats.org/spreadsheetml/2006/main" r="AH17" s="16" t="inlineStr">
        <ns0:is>
          <ns0:t>±200 ppm/°C</ns0:t>
        </ns0:is>
      </ns0:c>
    </ns0:row>
    <ns0:row r="18" ht="30" customHeight="1">
      <ns0:c r="A18" t="str" s="10">
        <ns0:v>R0024</ns0:v>
      </ns0:c>
      <ns0:c r="B18" t="str" s="10">
        <ns0:v>Резистор</ns0:v>
      </ns0:c>
      <ns0:c r="C18" t="str" s="10">
        <ns0:v>4.3R</ns0:v>
      </ns0:c>
      <ns0:c r="D18" t="str" s="11">
        <ns0:f>SUBSTITUTE(SUBSTITUTE(SUBSTITUTE(SUBSTITUTE(C18,"meg"," МОм"),"k"," кОм"),"R"," Ом"),".",",")</ns0:f>
        <ns0:v>4,3 Ом</ns0:v>
      </ns0:c>
      <ns0:c r="E18" t="str" s="10">
        <ns0:v>±5%</ns0:v>
      </ns0:c>
      <ns0:c r="F18" t="str" s="10">
        <ns0:v>0,1 Вт</ns0:v>
      </ns0:c>
      <ns0:c r="G18" t="str" s="10">
        <ns0:v>75 В макс.</ns0:v>
      </ns0:c>
      <ns0:c r="H18" t="str" s="12">
        <ns0:v>0603</ns0:v>
      </ns0:c>
      <ns0:c r="I18" t="str" s="10">
        <ns0:v>YAGEO</ns0:v>
      </ns0:c>
      <ns0:c r="J18" t="str" s="10">
        <ns0:v>RC0603JR-074R3L</ns0:v>
      </ns0:c>
      <ns0:c r="K18" t="str" s="11">
        <ns0:f>B18&amp;" "&amp;D18&amp;" "&amp;E18&amp;" "&amp;H18</ns0:f>
        <ns0:v>Резистор 4,3 Ом ±5% 0603</ns0:v>
      </ns0:c>
      <ns0:c r="L18" t="str" s="13">
        <ns0:v>R</ns0:v>
      </ns0:c>
      <ns0:c r="M18" t="str" s="13">
        <ns0:v>Symbols\MY_LIB_Resistors.SchLib</ns0:v>
      </ns0:c>
      <ns0:c r="N18" t="str" s="13">
        <ns0:v>RESC1608X55N</ns0:v>
      </ns0:c>
      <ns0:c r="O18" t="str" s="13">
        <ns0:v>Footprints\PBL - SMD Packages.PcbLib</ns0:v>
      </ns0:c>
      <ns0:c xmlns:ns0="http://schemas.openxmlformats.org/spreadsheetml/2006/main" r="P18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8" s="10"/>
      <ns0:c r="R18" t="str" s="11">
        <ns0:f>D18</ns0:f>
        <ns0:v>4,3 Ом</ns0:v>
      </ns0:c>
      <ns0:c r="S18" t="str" s="11">
        <ns0:f>K18</ns0:f>
        <ns0:v>Резистор 4,3 Ом ±5% 0603</ns0:v>
      </ns0:c>
      <x:c xmlns:x="http://schemas.openxmlformats.org/spreadsheetml/2006/main" r="T18" t="str" s="11">
        <x:v>C:\Users\Nomatin\Documents\Altium\MY_LIB\MY_LIB\Datasheets\YAGEO_RC_L.pdf</x:v>
      </x:c>
      <x:c xmlns:x="http://schemas.openxmlformats.org/spreadsheetml/2006/main" r="U18" t="str" s="11">
        <x:v>Даташит — локальный</x:v>
      </x:c>
      <x:c xmlns:x="http://schemas.openxmlformats.org/spreadsheetml/2006/main" r="V18" t="str" s="11">
        <x:v>C:\Users\Nomatin\Documents\Altium\MY_LIB\MY_LIB\Datasheets\YAGEO_RC_L.pdf</x:v>
      </x:c>
      <x:c xmlns:x="http://schemas.openxmlformats.org/spreadsheetml/2006/main" r="W18" t="str" s="11">
        <x:v>Даташит — производитель</x:v>
      </x:c>
      <x:c xmlns:x="http://schemas.openxmlformats.org/spreadsheetml/2006/main" r="X18" t="str" s="11">
        <x:v>https://yageogroup.com/content/datasheet/asset/file/PYU-RC_GROUP_51_ROHS_L</x:v>
      </x:c>
      <x:c xmlns:x="http://schemas.openxmlformats.org/spreadsheetml/2006/main" r="Y18" t="str" s="11">
        <x:v>C:\Users\Nomatin\Documents\Altium\MY_LIB\MY_LIB\Datasheets\YAGEO_RC_L.pdf</x:v>
      </x:c>
      <ns0:c xmlns:ns0="http://schemas.openxmlformats.org/spreadsheetml/2006/main" r="Z18" s="16" t="inlineStr">
        <ns0:is>
          <ns0:t>MY_LIB_R_TCR</ns0:t>
        </ns0:is>
      </ns0:c>
      <ns0:c xmlns:ns0="http://schemas.openxmlformats.org/spreadsheetml/2006/main" r="AA18" s="16" t="inlineStr">
        <ns0:is>
          <ns0:t>R(T), +200 ppm/C at 25 C; positive datasheet limit</ns0:t>
        </ns0:is>
      </ns0:c>
      <ns0:c xmlns:ns0="http://schemas.openxmlformats.org/spreadsheetml/2006/main" r="AB18" s="16" t="str">
        <ns0:v>General</ns0:v>
      </ns0:c>
      <ns0:c xmlns:ns0="http://schemas.openxmlformats.org/spreadsheetml/2006/main" r="AC18" s="16" t="inlineStr">
        <ns0:is>
          <ns0:t>Spice Subcircuit</ns0:t>
        </ns0:is>
      </ns0:c>
      <ns0:c xmlns:ns0="http://schemas.openxmlformats.org/spreadsheetml/2006/main" r="AD18" s="16" t="inlineStr">
        <ns0:is>
          <ns0:t>@DESIGNATOR %1 %2 @MODEL PARAMS: Rvalue=@VALUE TC1value=200u</ns0:t>
        </ns0:is>
      </ns0:c>
      <ns0:c xmlns:ns0="http://schemas.openxmlformats.org/spreadsheetml/2006/main" r="AE18" s="16" t="inlineStr">
        <ns0:is>
          <ns0:t>X</ns0:t>
        </ns0:is>
      </ns0:c>
      <ns0:c xmlns:ns0="http://schemas.openxmlformats.org/spreadsheetml/2006/main" r="AF18" s="16" t="str">
        <ns0:v>(1:1),(2:2)</ns0:v>
      </ns0:c>
      <ns0:c xmlns:ns0="http://schemas.openxmlformats.org/spreadsheetml/2006/main" r="AG18" s="16" t="inlineStr">
        <ns0:is>
          <ns0:t>Simulation\Resistors\MY_LIB_R_TCR.ckt</ns0:t>
        </ns0:is>
      </ns0:c>
      <ns0:c xmlns:ns0="http://schemas.openxmlformats.org/spreadsheetml/2006/main" r="AH18" s="16" t="inlineStr">
        <ns0:is>
          <ns0:t>±200 ppm/°C</ns0:t>
        </ns0:is>
      </ns0:c>
    </ns0:row>
    <ns0:row r="19" ht="30" customHeight="1">
      <ns0:c r="A19" t="str" s="10">
        <ns0:v>R0025</ns0:v>
      </ns0:c>
      <ns0:c r="B19" t="str" s="10">
        <ns0:v>Резистор</ns0:v>
      </ns0:c>
      <ns0:c r="C19" t="str" s="10">
        <ns0:v>4.7R</ns0:v>
      </ns0:c>
      <ns0:c r="D19" t="str" s="11">
        <ns0:f>SUBSTITUTE(SUBSTITUTE(SUBSTITUTE(SUBSTITUTE(C19,"meg"," МОм"),"k"," кОм"),"R"," Ом"),".",",")</ns0:f>
        <ns0:v>4,7 Ом</ns0:v>
      </ns0:c>
      <ns0:c r="E19" t="str" s="10">
        <ns0:v>±5%</ns0:v>
      </ns0:c>
      <ns0:c r="F19" t="str" s="10">
        <ns0:v>0,1 Вт</ns0:v>
      </ns0:c>
      <ns0:c r="G19" t="str" s="10">
        <ns0:v>75 В макс.</ns0:v>
      </ns0:c>
      <ns0:c r="H19" t="str" s="12">
        <ns0:v>0603</ns0:v>
      </ns0:c>
      <ns0:c r="I19" t="str" s="10">
        <ns0:v>YAGEO</ns0:v>
      </ns0:c>
      <ns0:c r="J19" t="str" s="10">
        <ns0:v>RC0603JR-074R7L</ns0:v>
      </ns0:c>
      <ns0:c r="K19" t="str" s="11">
        <ns0:f>B19&amp;" "&amp;D19&amp;" "&amp;E19&amp;" "&amp;H19</ns0:f>
        <ns0:v>Резистор 4,7 Ом ±5% 0603</ns0:v>
      </ns0:c>
      <ns0:c r="L19" t="str" s="13">
        <ns0:v>R</ns0:v>
      </ns0:c>
      <ns0:c r="M19" t="str" s="13">
        <ns0:v>Symbols\MY_LIB_Resistors.SchLib</ns0:v>
      </ns0:c>
      <ns0:c r="N19" t="str" s="13">
        <ns0:v>RESC1608X55N</ns0:v>
      </ns0:c>
      <ns0:c r="O19" t="str" s="13">
        <ns0:v>Footprints\PBL - SMD Packages.PcbLib</ns0:v>
      </ns0:c>
      <ns0:c xmlns:ns0="http://schemas.openxmlformats.org/spreadsheetml/2006/main" r="P19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9" s="10"/>
      <ns0:c r="R19" t="str" s="11">
        <ns0:f>D19</ns0:f>
        <ns0:v>4,7 Ом</ns0:v>
      </ns0:c>
      <ns0:c r="S19" t="str" s="11">
        <ns0:f>K19</ns0:f>
        <ns0:v>Резистор 4,7 Ом ±5% 0603</ns0:v>
      </ns0:c>
      <x:c xmlns:x="http://schemas.openxmlformats.org/spreadsheetml/2006/main" r="T19" t="str" s="11">
        <x:v>C:\Users\Nomatin\Documents\Altium\MY_LIB\MY_LIB\Datasheets\YAGEO_RC_L.pdf</x:v>
      </x:c>
      <x:c xmlns:x="http://schemas.openxmlformats.org/spreadsheetml/2006/main" r="U19" t="str" s="11">
        <x:v>Даташит — локальный</x:v>
      </x:c>
      <x:c xmlns:x="http://schemas.openxmlformats.org/spreadsheetml/2006/main" r="V19" t="str" s="11">
        <x:v>C:\Users\Nomatin\Documents\Altium\MY_LIB\MY_LIB\Datasheets\YAGEO_RC_L.pdf</x:v>
      </x:c>
      <x:c xmlns:x="http://schemas.openxmlformats.org/spreadsheetml/2006/main" r="W19" t="str" s="11">
        <x:v>Даташит — производитель</x:v>
      </x:c>
      <x:c xmlns:x="http://schemas.openxmlformats.org/spreadsheetml/2006/main" r="X19" t="str" s="11">
        <x:v>https://yageogroup.com/content/datasheet/asset/file/PYU-RC_GROUP_51_ROHS_L</x:v>
      </x:c>
      <x:c xmlns:x="http://schemas.openxmlformats.org/spreadsheetml/2006/main" r="Y19" t="str" s="11">
        <x:v>C:\Users\Nomatin\Documents\Altium\MY_LIB\MY_LIB\Datasheets\YAGEO_RC_L.pdf</x:v>
      </x:c>
      <ns0:c xmlns:ns0="http://schemas.openxmlformats.org/spreadsheetml/2006/main" r="Z19" s="16" t="inlineStr">
        <ns0:is>
          <ns0:t>MY_LIB_R_TCR</ns0:t>
        </ns0:is>
      </ns0:c>
      <ns0:c xmlns:ns0="http://schemas.openxmlformats.org/spreadsheetml/2006/main" r="AA19" s="16" t="inlineStr">
        <ns0:is>
          <ns0:t>R(T), +200 ppm/C at 25 C; positive datasheet limit</ns0:t>
        </ns0:is>
      </ns0:c>
      <ns0:c xmlns:ns0="http://schemas.openxmlformats.org/spreadsheetml/2006/main" r="AB19" s="16" t="str">
        <ns0:v>General</ns0:v>
      </ns0:c>
      <ns0:c xmlns:ns0="http://schemas.openxmlformats.org/spreadsheetml/2006/main" r="AC19" s="16" t="inlineStr">
        <ns0:is>
          <ns0:t>Spice Subcircuit</ns0:t>
        </ns0:is>
      </ns0:c>
      <ns0:c xmlns:ns0="http://schemas.openxmlformats.org/spreadsheetml/2006/main" r="AD19" s="16" t="inlineStr">
        <ns0:is>
          <ns0:t>@DESIGNATOR %1 %2 @MODEL PARAMS: Rvalue=@VALUE TC1value=200u</ns0:t>
        </ns0:is>
      </ns0:c>
      <ns0:c xmlns:ns0="http://schemas.openxmlformats.org/spreadsheetml/2006/main" r="AE19" s="16" t="inlineStr">
        <ns0:is>
          <ns0:t>X</ns0:t>
        </ns0:is>
      </ns0:c>
      <ns0:c xmlns:ns0="http://schemas.openxmlformats.org/spreadsheetml/2006/main" r="AF19" s="16" t="str">
        <ns0:v>(1:1),(2:2)</ns0:v>
      </ns0:c>
      <ns0:c xmlns:ns0="http://schemas.openxmlformats.org/spreadsheetml/2006/main" r="AG19" s="16" t="inlineStr">
        <ns0:is>
          <ns0:t>Simulation\Resistors\MY_LIB_R_TCR.ckt</ns0:t>
        </ns0:is>
      </ns0:c>
      <ns0:c xmlns:ns0="http://schemas.openxmlformats.org/spreadsheetml/2006/main" r="AH19" s="16" t="inlineStr">
        <ns0:is>
          <ns0:t>±200 ppm/°C</ns0:t>
        </ns0:is>
      </ns0:c>
    </ns0:row>
    <ns0:row r="20" ht="30" customHeight="1">
      <ns0:c r="A20" t="str" s="10">
        <ns0:v>R0026</ns0:v>
      </ns0:c>
      <ns0:c r="B20" t="str" s="10">
        <ns0:v>Резистор</ns0:v>
      </ns0:c>
      <ns0:c r="C20" t="str" s="10">
        <ns0:v>5.1R</ns0:v>
      </ns0:c>
      <ns0:c r="D20" t="str" s="11">
        <ns0:f>SUBSTITUTE(SUBSTITUTE(SUBSTITUTE(SUBSTITUTE(C20,"meg"," МОм"),"k"," кОм"),"R"," Ом"),".",",")</ns0:f>
        <ns0:v>5,1 Ом</ns0:v>
      </ns0:c>
      <ns0:c r="E20" t="str" s="10">
        <ns0:v>±5%</ns0:v>
      </ns0:c>
      <ns0:c r="F20" t="str" s="10">
        <ns0:v>0,1 Вт</ns0:v>
      </ns0:c>
      <ns0:c r="G20" t="str" s="10">
        <ns0:v>75 В макс.</ns0:v>
      </ns0:c>
      <ns0:c r="H20" t="str" s="12">
        <ns0:v>0603</ns0:v>
      </ns0:c>
      <ns0:c r="I20" t="str" s="10">
        <ns0:v>YAGEO</ns0:v>
      </ns0:c>
      <ns0:c r="J20" t="str" s="10">
        <ns0:v>RC0603JR-075R1L</ns0:v>
      </ns0:c>
      <ns0:c r="K20" t="str" s="11">
        <ns0:f>B20&amp;" "&amp;D20&amp;" "&amp;E20&amp;" "&amp;H20</ns0:f>
        <ns0:v>Резистор 5,1 Ом ±5% 0603</ns0:v>
      </ns0:c>
      <ns0:c r="L20" t="str" s="13">
        <ns0:v>R</ns0:v>
      </ns0:c>
      <ns0:c r="M20" t="str" s="13">
        <ns0:v>Symbols\MY_LIB_Resistors.SchLib</ns0:v>
      </ns0:c>
      <ns0:c r="N20" t="str" s="13">
        <ns0:v>RESC1608X55N</ns0:v>
      </ns0:c>
      <ns0:c r="O20" t="str" s="13">
        <ns0:v>Footprints\PBL - SMD Packages.PcbLib</ns0:v>
      </ns0:c>
      <ns0:c xmlns:ns0="http://schemas.openxmlformats.org/spreadsheetml/2006/main" r="P20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0" s="10"/>
      <ns0:c r="R20" t="str" s="11">
        <ns0:f>D20</ns0:f>
        <ns0:v>5,1 Ом</ns0:v>
      </ns0:c>
      <ns0:c r="S20" t="str" s="11">
        <ns0:f>K20</ns0:f>
        <ns0:v>Резистор 5,1 Ом ±5% 0603</ns0:v>
      </ns0:c>
      <x:c xmlns:x="http://schemas.openxmlformats.org/spreadsheetml/2006/main" r="T20" t="str" s="11">
        <x:v>C:\Users\Nomatin\Documents\Altium\MY_LIB\MY_LIB\Datasheets\YAGEO_RC_L.pdf</x:v>
      </x:c>
      <x:c xmlns:x="http://schemas.openxmlformats.org/spreadsheetml/2006/main" r="U20" t="str" s="11">
        <x:v>Даташит — локальный</x:v>
      </x:c>
      <x:c xmlns:x="http://schemas.openxmlformats.org/spreadsheetml/2006/main" r="V20" t="str" s="11">
        <x:v>C:\Users\Nomatin\Documents\Altium\MY_LIB\MY_LIB\Datasheets\YAGEO_RC_L.pdf</x:v>
      </x:c>
      <x:c xmlns:x="http://schemas.openxmlformats.org/spreadsheetml/2006/main" r="W20" t="str" s="11">
        <x:v>Даташит — производитель</x:v>
      </x:c>
      <x:c xmlns:x="http://schemas.openxmlformats.org/spreadsheetml/2006/main" r="X20" t="str" s="11">
        <x:v>https://yageogroup.com/content/datasheet/asset/file/PYU-RC_GROUP_51_ROHS_L</x:v>
      </x:c>
      <x:c xmlns:x="http://schemas.openxmlformats.org/spreadsheetml/2006/main" r="Y20" t="str" s="11">
        <x:v>C:\Users\Nomatin\Documents\Altium\MY_LIB\MY_LIB\Datasheets\YAGEO_RC_L.pdf</x:v>
      </x:c>
      <ns0:c xmlns:ns0="http://schemas.openxmlformats.org/spreadsheetml/2006/main" r="Z20" s="16" t="inlineStr">
        <ns0:is>
          <ns0:t>MY_LIB_R_TCR</ns0:t>
        </ns0:is>
      </ns0:c>
      <ns0:c xmlns:ns0="http://schemas.openxmlformats.org/spreadsheetml/2006/main" r="AA20" s="16" t="inlineStr">
        <ns0:is>
          <ns0:t>R(T), +200 ppm/C at 25 C; positive datasheet limit</ns0:t>
        </ns0:is>
      </ns0:c>
      <ns0:c xmlns:ns0="http://schemas.openxmlformats.org/spreadsheetml/2006/main" r="AB20" s="16" t="str">
        <ns0:v>General</ns0:v>
      </ns0:c>
      <ns0:c xmlns:ns0="http://schemas.openxmlformats.org/spreadsheetml/2006/main" r="AC20" s="16" t="inlineStr">
        <ns0:is>
          <ns0:t>Spice Subcircuit</ns0:t>
        </ns0:is>
      </ns0:c>
      <ns0:c xmlns:ns0="http://schemas.openxmlformats.org/spreadsheetml/2006/main" r="AD20" s="16" t="inlineStr">
        <ns0:is>
          <ns0:t>@DESIGNATOR %1 %2 @MODEL PARAMS: Rvalue=@VALUE TC1value=200u</ns0:t>
        </ns0:is>
      </ns0:c>
      <ns0:c xmlns:ns0="http://schemas.openxmlformats.org/spreadsheetml/2006/main" r="AE20" s="16" t="inlineStr">
        <ns0:is>
          <ns0:t>X</ns0:t>
        </ns0:is>
      </ns0:c>
      <ns0:c xmlns:ns0="http://schemas.openxmlformats.org/spreadsheetml/2006/main" r="AF20" s="16" t="str">
        <ns0:v>(1:1),(2:2)</ns0:v>
      </ns0:c>
      <ns0:c xmlns:ns0="http://schemas.openxmlformats.org/spreadsheetml/2006/main" r="AG20" s="16" t="inlineStr">
        <ns0:is>
          <ns0:t>Simulation\Resistors\MY_LIB_R_TCR.ckt</ns0:t>
        </ns0:is>
      </ns0:c>
      <ns0:c xmlns:ns0="http://schemas.openxmlformats.org/spreadsheetml/2006/main" r="AH20" s="16" t="inlineStr">
        <ns0:is>
          <ns0:t>±200 ppm/°C</ns0:t>
        </ns0:is>
      </ns0:c>
    </ns0:row>
    <ns0:row r="21" ht="30" customHeight="1">
      <ns0:c r="A21" t="str" s="10">
        <ns0:v>R0027</ns0:v>
      </ns0:c>
      <ns0:c r="B21" t="str" s="10">
        <ns0:v>Резистор</ns0:v>
      </ns0:c>
      <ns0:c r="C21" t="str" s="10">
        <ns0:v>5.6R</ns0:v>
      </ns0:c>
      <ns0:c r="D21" t="str" s="11">
        <ns0:f>SUBSTITUTE(SUBSTITUTE(SUBSTITUTE(SUBSTITUTE(C21,"meg"," МОм"),"k"," кОм"),"R"," Ом"),".",",")</ns0:f>
        <ns0:v>5,6 Ом</ns0:v>
      </ns0:c>
      <ns0:c r="E21" t="str" s="10">
        <ns0:v>±5%</ns0:v>
      </ns0:c>
      <ns0:c r="F21" t="str" s="10">
        <ns0:v>0,1 Вт</ns0:v>
      </ns0:c>
      <ns0:c r="G21" t="str" s="10">
        <ns0:v>75 В макс.</ns0:v>
      </ns0:c>
      <ns0:c r="H21" t="str" s="12">
        <ns0:v>0603</ns0:v>
      </ns0:c>
      <ns0:c r="I21" t="str" s="10">
        <ns0:v>YAGEO</ns0:v>
      </ns0:c>
      <ns0:c r="J21" t="str" s="10">
        <ns0:v>RC0603JR-075R6L</ns0:v>
      </ns0:c>
      <ns0:c r="K21" t="str" s="11">
        <ns0:f>B21&amp;" "&amp;D21&amp;" "&amp;E21&amp;" "&amp;H21</ns0:f>
        <ns0:v>Резистор 5,6 Ом ±5% 0603</ns0:v>
      </ns0:c>
      <ns0:c r="L21" t="str" s="13">
        <ns0:v>R</ns0:v>
      </ns0:c>
      <ns0:c r="M21" t="str" s="13">
        <ns0:v>Symbols\MY_LIB_Resistors.SchLib</ns0:v>
      </ns0:c>
      <ns0:c r="N21" t="str" s="13">
        <ns0:v>RESC1608X55N</ns0:v>
      </ns0:c>
      <ns0:c r="O21" t="str" s="13">
        <ns0:v>Footprints\PBL - SMD Packages.PcbLib</ns0:v>
      </ns0:c>
      <ns0:c xmlns:ns0="http://schemas.openxmlformats.org/spreadsheetml/2006/main" r="P21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1" s="10"/>
      <ns0:c r="R21" t="str" s="11">
        <ns0:f>D21</ns0:f>
        <ns0:v>5,6 Ом</ns0:v>
      </ns0:c>
      <ns0:c r="S21" t="str" s="11">
        <ns0:f>K21</ns0:f>
        <ns0:v>Резистор 5,6 Ом ±5% 0603</ns0:v>
      </ns0:c>
      <x:c xmlns:x="http://schemas.openxmlformats.org/spreadsheetml/2006/main" r="T21" t="str" s="11">
        <x:v>C:\Users\Nomatin\Documents\Altium\MY_LIB\MY_LIB\Datasheets\YAGEO_RC_L.pdf</x:v>
      </x:c>
      <x:c xmlns:x="http://schemas.openxmlformats.org/spreadsheetml/2006/main" r="U21" t="str" s="11">
        <x:v>Даташит — локальный</x:v>
      </x:c>
      <x:c xmlns:x="http://schemas.openxmlformats.org/spreadsheetml/2006/main" r="V21" t="str" s="11">
        <x:v>C:\Users\Nomatin\Documents\Altium\MY_LIB\MY_LIB\Datasheets\YAGEO_RC_L.pdf</x:v>
      </x:c>
      <x:c xmlns:x="http://schemas.openxmlformats.org/spreadsheetml/2006/main" r="W21" t="str" s="11">
        <x:v>Даташит — производитель</x:v>
      </x:c>
      <x:c xmlns:x="http://schemas.openxmlformats.org/spreadsheetml/2006/main" r="X21" t="str" s="11">
        <x:v>https://yageogroup.com/content/datasheet/asset/file/PYU-RC_GROUP_51_ROHS_L</x:v>
      </x:c>
      <x:c xmlns:x="http://schemas.openxmlformats.org/spreadsheetml/2006/main" r="Y21" t="str" s="11">
        <x:v>C:\Users\Nomatin\Documents\Altium\MY_LIB\MY_LIB\Datasheets\YAGEO_RC_L.pdf</x:v>
      </x:c>
      <ns0:c xmlns:ns0="http://schemas.openxmlformats.org/spreadsheetml/2006/main" r="Z21" s="16" t="inlineStr">
        <ns0:is>
          <ns0:t>MY_LIB_R_TCR</ns0:t>
        </ns0:is>
      </ns0:c>
      <ns0:c xmlns:ns0="http://schemas.openxmlformats.org/spreadsheetml/2006/main" r="AA21" s="16" t="inlineStr">
        <ns0:is>
          <ns0:t>R(T), +200 ppm/C at 25 C; positive datasheet limit</ns0:t>
        </ns0:is>
      </ns0:c>
      <ns0:c xmlns:ns0="http://schemas.openxmlformats.org/spreadsheetml/2006/main" r="AB21" s="16" t="str">
        <ns0:v>General</ns0:v>
      </ns0:c>
      <ns0:c xmlns:ns0="http://schemas.openxmlformats.org/spreadsheetml/2006/main" r="AC21" s="16" t="inlineStr">
        <ns0:is>
          <ns0:t>Spice Subcircuit</ns0:t>
        </ns0:is>
      </ns0:c>
      <ns0:c xmlns:ns0="http://schemas.openxmlformats.org/spreadsheetml/2006/main" r="AD21" s="16" t="inlineStr">
        <ns0:is>
          <ns0:t>@DESIGNATOR %1 %2 @MODEL PARAMS: Rvalue=@VALUE TC1value=200u</ns0:t>
        </ns0:is>
      </ns0:c>
      <ns0:c xmlns:ns0="http://schemas.openxmlformats.org/spreadsheetml/2006/main" r="AE21" s="16" t="inlineStr">
        <ns0:is>
          <ns0:t>X</ns0:t>
        </ns0:is>
      </ns0:c>
      <ns0:c xmlns:ns0="http://schemas.openxmlformats.org/spreadsheetml/2006/main" r="AF21" s="16" t="str">
        <ns0:v>(1:1),(2:2)</ns0:v>
      </ns0:c>
      <ns0:c xmlns:ns0="http://schemas.openxmlformats.org/spreadsheetml/2006/main" r="AG21" s="16" t="inlineStr">
        <ns0:is>
          <ns0:t>Simulation\Resistors\MY_LIB_R_TCR.ckt</ns0:t>
        </ns0:is>
      </ns0:c>
      <ns0:c xmlns:ns0="http://schemas.openxmlformats.org/spreadsheetml/2006/main" r="AH21" s="16" t="inlineStr">
        <ns0:is>
          <ns0:t>±200 ppm/°C</ns0:t>
        </ns0:is>
      </ns0:c>
    </ns0:row>
    <ns0:row r="22" ht="30" customHeight="1">
      <ns0:c r="A22" t="str" s="10">
        <ns0:v>R0028</ns0:v>
      </ns0:c>
      <ns0:c r="B22" t="str" s="10">
        <ns0:v>Резистор</ns0:v>
      </ns0:c>
      <ns0:c r="C22" t="str" s="10">
        <ns0:v>6.2R</ns0:v>
      </ns0:c>
      <ns0:c r="D22" t="str" s="11">
        <ns0:f>SUBSTITUTE(SUBSTITUTE(SUBSTITUTE(SUBSTITUTE(C22,"meg"," МОм"),"k"," кОм"),"R"," Ом"),".",",")</ns0:f>
        <ns0:v>6,2 Ом</ns0:v>
      </ns0:c>
      <ns0:c r="E22" t="str" s="10">
        <ns0:v>±5%</ns0:v>
      </ns0:c>
      <ns0:c r="F22" t="str" s="10">
        <ns0:v>0,1 Вт</ns0:v>
      </ns0:c>
      <ns0:c r="G22" t="str" s="10">
        <ns0:v>75 В макс.</ns0:v>
      </ns0:c>
      <ns0:c r="H22" t="str" s="12">
        <ns0:v>0603</ns0:v>
      </ns0:c>
      <ns0:c r="I22" t="str" s="10">
        <ns0:v>YAGEO</ns0:v>
      </ns0:c>
      <ns0:c r="J22" t="str" s="10">
        <ns0:v>RC0603JR-076R2L</ns0:v>
      </ns0:c>
      <ns0:c r="K22" t="str" s="11">
        <ns0:f>B22&amp;" "&amp;D22&amp;" "&amp;E22&amp;" "&amp;H22</ns0:f>
        <ns0:v>Резистор 6,2 Ом ±5% 0603</ns0:v>
      </ns0:c>
      <ns0:c r="L22" t="str" s="13">
        <ns0:v>R</ns0:v>
      </ns0:c>
      <ns0:c r="M22" t="str" s="13">
        <ns0:v>Symbols\MY_LIB_Resistors.SchLib</ns0:v>
      </ns0:c>
      <ns0:c r="N22" t="str" s="13">
        <ns0:v>RESC1608X55N</ns0:v>
      </ns0:c>
      <ns0:c r="O22" t="str" s="13">
        <ns0:v>Footprints\PBL - SMD Packages.PcbLib</ns0:v>
      </ns0:c>
      <ns0:c xmlns:ns0="http://schemas.openxmlformats.org/spreadsheetml/2006/main" r="P22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2" s="10"/>
      <ns0:c r="R22" t="str" s="11">
        <ns0:f>D22</ns0:f>
        <ns0:v>6,2 Ом</ns0:v>
      </ns0:c>
      <ns0:c r="S22" t="str" s="11">
        <ns0:f>K22</ns0:f>
        <ns0:v>Резистор 6,2 Ом ±5% 0603</ns0:v>
      </ns0:c>
      <x:c xmlns:x="http://schemas.openxmlformats.org/spreadsheetml/2006/main" r="T22" t="str" s="11">
        <x:v>C:\Users\Nomatin\Documents\Altium\MY_LIB\MY_LIB\Datasheets\YAGEO_RC_L.pdf</x:v>
      </x:c>
      <x:c xmlns:x="http://schemas.openxmlformats.org/spreadsheetml/2006/main" r="U22" t="str" s="11">
        <x:v>Даташит — локальный</x:v>
      </x:c>
      <x:c xmlns:x="http://schemas.openxmlformats.org/spreadsheetml/2006/main" r="V22" t="str" s="11">
        <x:v>C:\Users\Nomatin\Documents\Altium\MY_LIB\MY_LIB\Datasheets\YAGEO_RC_L.pdf</x:v>
      </x:c>
      <x:c xmlns:x="http://schemas.openxmlformats.org/spreadsheetml/2006/main" r="W22" t="str" s="11">
        <x:v>Даташит — производитель</x:v>
      </x:c>
      <x:c xmlns:x="http://schemas.openxmlformats.org/spreadsheetml/2006/main" r="X22" t="str" s="11">
        <x:v>https://yageogroup.com/content/datasheet/asset/file/PYU-RC_GROUP_51_ROHS_L</x:v>
      </x:c>
      <x:c xmlns:x="http://schemas.openxmlformats.org/spreadsheetml/2006/main" r="Y22" t="str" s="11">
        <x:v>C:\Users\Nomatin\Documents\Altium\MY_LIB\MY_LIB\Datasheets\YAGEO_RC_L.pdf</x:v>
      </x:c>
      <ns0:c xmlns:ns0="http://schemas.openxmlformats.org/spreadsheetml/2006/main" r="Z22" s="16" t="inlineStr">
        <ns0:is>
          <ns0:t>MY_LIB_R_TCR</ns0:t>
        </ns0:is>
      </ns0:c>
      <ns0:c xmlns:ns0="http://schemas.openxmlformats.org/spreadsheetml/2006/main" r="AA22" s="16" t="inlineStr">
        <ns0:is>
          <ns0:t>R(T), +200 ppm/C at 25 C; positive datasheet limit</ns0:t>
        </ns0:is>
      </ns0:c>
      <ns0:c xmlns:ns0="http://schemas.openxmlformats.org/spreadsheetml/2006/main" r="AB22" s="16" t="str">
        <ns0:v>General</ns0:v>
      </ns0:c>
      <ns0:c xmlns:ns0="http://schemas.openxmlformats.org/spreadsheetml/2006/main" r="AC22" s="16" t="inlineStr">
        <ns0:is>
          <ns0:t>Spice Subcircuit</ns0:t>
        </ns0:is>
      </ns0:c>
      <ns0:c xmlns:ns0="http://schemas.openxmlformats.org/spreadsheetml/2006/main" r="AD22" s="16" t="inlineStr">
        <ns0:is>
          <ns0:t>@DESIGNATOR %1 %2 @MODEL PARAMS: Rvalue=@VALUE TC1value=200u</ns0:t>
        </ns0:is>
      </ns0:c>
      <ns0:c xmlns:ns0="http://schemas.openxmlformats.org/spreadsheetml/2006/main" r="AE22" s="16" t="inlineStr">
        <ns0:is>
          <ns0:t>X</ns0:t>
        </ns0:is>
      </ns0:c>
      <ns0:c xmlns:ns0="http://schemas.openxmlformats.org/spreadsheetml/2006/main" r="AF22" s="16" t="str">
        <ns0:v>(1:1),(2:2)</ns0:v>
      </ns0:c>
      <ns0:c xmlns:ns0="http://schemas.openxmlformats.org/spreadsheetml/2006/main" r="AG22" s="16" t="inlineStr">
        <ns0:is>
          <ns0:t>Simulation\Resistors\MY_LIB_R_TCR.ckt</ns0:t>
        </ns0:is>
      </ns0:c>
      <ns0:c xmlns:ns0="http://schemas.openxmlformats.org/spreadsheetml/2006/main" r="AH22" s="16" t="inlineStr">
        <ns0:is>
          <ns0:t>±200 ppm/°C</ns0:t>
        </ns0:is>
      </ns0:c>
    </ns0:row>
    <ns0:row r="23" ht="30" customHeight="1">
      <ns0:c r="A23" t="str" s="10">
        <ns0:v>R0029</ns0:v>
      </ns0:c>
      <ns0:c r="B23" t="str" s="10">
        <ns0:v>Резистор</ns0:v>
      </ns0:c>
      <ns0:c r="C23" t="str" s="10">
        <ns0:v>6.8R</ns0:v>
      </ns0:c>
      <ns0:c r="D23" t="str" s="11">
        <ns0:f>SUBSTITUTE(SUBSTITUTE(SUBSTITUTE(SUBSTITUTE(C23,"meg"," МОм"),"k"," кОм"),"R"," Ом"),".",",")</ns0:f>
        <ns0:v>6,8 Ом</ns0:v>
      </ns0:c>
      <ns0:c r="E23" t="str" s="10">
        <ns0:v>±5%</ns0:v>
      </ns0:c>
      <ns0:c r="F23" t="str" s="10">
        <ns0:v>0,1 Вт</ns0:v>
      </ns0:c>
      <ns0:c r="G23" t="str" s="10">
        <ns0:v>75 В макс.</ns0:v>
      </ns0:c>
      <ns0:c r="H23" t="str" s="12">
        <ns0:v>0603</ns0:v>
      </ns0:c>
      <ns0:c r="I23" t="str" s="10">
        <ns0:v>YAGEO</ns0:v>
      </ns0:c>
      <ns0:c r="J23" t="str" s="10">
        <ns0:v>RC0603JR-076R8L</ns0:v>
      </ns0:c>
      <ns0:c r="K23" t="str" s="11">
        <ns0:f>B23&amp;" "&amp;D23&amp;" "&amp;E23&amp;" "&amp;H23</ns0:f>
        <ns0:v>Резистор 6,8 Ом ±5% 0603</ns0:v>
      </ns0:c>
      <ns0:c r="L23" t="str" s="13">
        <ns0:v>R</ns0:v>
      </ns0:c>
      <ns0:c r="M23" t="str" s="13">
        <ns0:v>Symbols\MY_LIB_Resistors.SchLib</ns0:v>
      </ns0:c>
      <ns0:c r="N23" t="str" s="13">
        <ns0:v>RESC1608X55N</ns0:v>
      </ns0:c>
      <ns0:c r="O23" t="str" s="13">
        <ns0:v>Footprints\PBL - SMD Packages.PcbLib</ns0:v>
      </ns0:c>
      <ns0:c xmlns:ns0="http://schemas.openxmlformats.org/spreadsheetml/2006/main" r="P23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3" s="10"/>
      <ns0:c r="R23" t="str" s="11">
        <ns0:f>D23</ns0:f>
        <ns0:v>6,8 Ом</ns0:v>
      </ns0:c>
      <ns0:c r="S23" t="str" s="11">
        <ns0:f>K23</ns0:f>
        <ns0:v>Резистор 6,8 Ом ±5% 0603</ns0:v>
      </ns0:c>
      <x:c xmlns:x="http://schemas.openxmlformats.org/spreadsheetml/2006/main" r="T23" t="str" s="11">
        <x:v>C:\Users\Nomatin\Documents\Altium\MY_LIB\MY_LIB\Datasheets\YAGEO_RC_L.pdf</x:v>
      </x:c>
      <x:c xmlns:x="http://schemas.openxmlformats.org/spreadsheetml/2006/main" r="U23" t="str" s="11">
        <x:v>Даташит — локальный</x:v>
      </x:c>
      <x:c xmlns:x="http://schemas.openxmlformats.org/spreadsheetml/2006/main" r="V23" t="str" s="11">
        <x:v>C:\Users\Nomatin\Documents\Altium\MY_LIB\MY_LIB\Datasheets\YAGEO_RC_L.pdf</x:v>
      </x:c>
      <x:c xmlns:x="http://schemas.openxmlformats.org/spreadsheetml/2006/main" r="W23" t="str" s="11">
        <x:v>Даташит — производитель</x:v>
      </x:c>
      <x:c xmlns:x="http://schemas.openxmlformats.org/spreadsheetml/2006/main" r="X23" t="str" s="11">
        <x:v>https://yageogroup.com/content/datasheet/asset/file/PYU-RC_GROUP_51_ROHS_L</x:v>
      </x:c>
      <x:c xmlns:x="http://schemas.openxmlformats.org/spreadsheetml/2006/main" r="Y23" t="str" s="11">
        <x:v>C:\Users\Nomatin\Documents\Altium\MY_LIB\MY_LIB\Datasheets\YAGEO_RC_L.pdf</x:v>
      </x:c>
      <ns0:c xmlns:ns0="http://schemas.openxmlformats.org/spreadsheetml/2006/main" r="Z23" s="16" t="inlineStr">
        <ns0:is>
          <ns0:t>MY_LIB_R_TCR</ns0:t>
        </ns0:is>
      </ns0:c>
      <ns0:c xmlns:ns0="http://schemas.openxmlformats.org/spreadsheetml/2006/main" r="AA23" s="16" t="inlineStr">
        <ns0:is>
          <ns0:t>R(T), +200 ppm/C at 25 C; positive datasheet limit</ns0:t>
        </ns0:is>
      </ns0:c>
      <ns0:c xmlns:ns0="http://schemas.openxmlformats.org/spreadsheetml/2006/main" r="AB23" s="16" t="str">
        <ns0:v>General</ns0:v>
      </ns0:c>
      <ns0:c xmlns:ns0="http://schemas.openxmlformats.org/spreadsheetml/2006/main" r="AC23" s="16" t="inlineStr">
        <ns0:is>
          <ns0:t>Spice Subcircuit</ns0:t>
        </ns0:is>
      </ns0:c>
      <ns0:c xmlns:ns0="http://schemas.openxmlformats.org/spreadsheetml/2006/main" r="AD23" s="16" t="inlineStr">
        <ns0:is>
          <ns0:t>@DESIGNATOR %1 %2 @MODEL PARAMS: Rvalue=@VALUE TC1value=200u</ns0:t>
        </ns0:is>
      </ns0:c>
      <ns0:c xmlns:ns0="http://schemas.openxmlformats.org/spreadsheetml/2006/main" r="AE23" s="16" t="inlineStr">
        <ns0:is>
          <ns0:t>X</ns0:t>
        </ns0:is>
      </ns0:c>
      <ns0:c xmlns:ns0="http://schemas.openxmlformats.org/spreadsheetml/2006/main" r="AF23" s="16" t="str">
        <ns0:v>(1:1),(2:2)</ns0:v>
      </ns0:c>
      <ns0:c xmlns:ns0="http://schemas.openxmlformats.org/spreadsheetml/2006/main" r="AG23" s="16" t="inlineStr">
        <ns0:is>
          <ns0:t>Simulation\Resistors\MY_LIB_R_TCR.ckt</ns0:t>
        </ns0:is>
      </ns0:c>
      <ns0:c xmlns:ns0="http://schemas.openxmlformats.org/spreadsheetml/2006/main" r="AH23" s="16" t="inlineStr">
        <ns0:is>
          <ns0:t>±200 ppm/°C</ns0:t>
        </ns0:is>
      </ns0:c>
    </ns0:row>
    <ns0:row r="24" ht="30" customHeight="1">
      <ns0:c r="A24" t="str" s="10">
        <ns0:v>R0030</ns0:v>
      </ns0:c>
      <ns0:c r="B24" t="str" s="10">
        <ns0:v>Резистор</ns0:v>
      </ns0:c>
      <ns0:c r="C24" t="str" s="10">
        <ns0:v>7.5R</ns0:v>
      </ns0:c>
      <ns0:c r="D24" t="str" s="11">
        <ns0:f>SUBSTITUTE(SUBSTITUTE(SUBSTITUTE(SUBSTITUTE(C24,"meg"," МОм"),"k"," кОм"),"R"," Ом"),".",",")</ns0:f>
        <ns0:v>7,5 Ом</ns0:v>
      </ns0:c>
      <ns0:c r="E24" t="str" s="10">
        <ns0:v>±5%</ns0:v>
      </ns0:c>
      <ns0:c r="F24" t="str" s="10">
        <ns0:v>0,1 Вт</ns0:v>
      </ns0:c>
      <ns0:c r="G24" t="str" s="10">
        <ns0:v>75 В макс.</ns0:v>
      </ns0:c>
      <ns0:c r="H24" t="str" s="12">
        <ns0:v>0603</ns0:v>
      </ns0:c>
      <ns0:c r="I24" t="str" s="10">
        <ns0:v>YAGEO</ns0:v>
      </ns0:c>
      <ns0:c r="J24" t="str" s="10">
        <ns0:v>RC0603JR-077R5L</ns0:v>
      </ns0:c>
      <ns0:c r="K24" t="str" s="11">
        <ns0:f>B24&amp;" "&amp;D24&amp;" "&amp;E24&amp;" "&amp;H24</ns0:f>
        <ns0:v>Резистор 7,5 Ом ±5% 0603</ns0:v>
      </ns0:c>
      <ns0:c r="L24" t="str" s="13">
        <ns0:v>R</ns0:v>
      </ns0:c>
      <ns0:c r="M24" t="str" s="13">
        <ns0:v>Symbols\MY_LIB_Resistors.SchLib</ns0:v>
      </ns0:c>
      <ns0:c r="N24" t="str" s="13">
        <ns0:v>RESC1608X55N</ns0:v>
      </ns0:c>
      <ns0:c r="O24" t="str" s="13">
        <ns0:v>Footprints\PBL - SMD Packages.PcbLib</ns0:v>
      </ns0:c>
      <ns0:c xmlns:ns0="http://schemas.openxmlformats.org/spreadsheetml/2006/main" r="P24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4" s="10"/>
      <ns0:c r="R24" t="str" s="11">
        <ns0:f>D24</ns0:f>
        <ns0:v>7,5 Ом</ns0:v>
      </ns0:c>
      <ns0:c r="S24" t="str" s="11">
        <ns0:f>K24</ns0:f>
        <ns0:v>Резистор 7,5 Ом ±5% 0603</ns0:v>
      </ns0:c>
      <x:c xmlns:x="http://schemas.openxmlformats.org/spreadsheetml/2006/main" r="T24" t="str" s="11">
        <x:v>C:\Users\Nomatin\Documents\Altium\MY_LIB\MY_LIB\Datasheets\YAGEO_RC_L.pdf</x:v>
      </x:c>
      <x:c xmlns:x="http://schemas.openxmlformats.org/spreadsheetml/2006/main" r="U24" t="str" s="11">
        <x:v>Даташит — локальный</x:v>
      </x:c>
      <x:c xmlns:x="http://schemas.openxmlformats.org/spreadsheetml/2006/main" r="V24" t="str" s="11">
        <x:v>C:\Users\Nomatin\Documents\Altium\MY_LIB\MY_LIB\Datasheets\YAGEO_RC_L.pdf</x:v>
      </x:c>
      <x:c xmlns:x="http://schemas.openxmlformats.org/spreadsheetml/2006/main" r="W24" t="str" s="11">
        <x:v>Даташит — производитель</x:v>
      </x:c>
      <x:c xmlns:x="http://schemas.openxmlformats.org/spreadsheetml/2006/main" r="X24" t="str" s="11">
        <x:v>https://yageogroup.com/content/datasheet/asset/file/PYU-RC_GROUP_51_ROHS_L</x:v>
      </x:c>
      <x:c xmlns:x="http://schemas.openxmlformats.org/spreadsheetml/2006/main" r="Y24" t="str" s="11">
        <x:v>C:\Users\Nomatin\Documents\Altium\MY_LIB\MY_LIB\Datasheets\YAGEO_RC_L.pdf</x:v>
      </x:c>
      <ns0:c xmlns:ns0="http://schemas.openxmlformats.org/spreadsheetml/2006/main" r="Z24" s="16" t="inlineStr">
        <ns0:is>
          <ns0:t>MY_LIB_R_TCR</ns0:t>
        </ns0:is>
      </ns0:c>
      <ns0:c xmlns:ns0="http://schemas.openxmlformats.org/spreadsheetml/2006/main" r="AA24" s="16" t="inlineStr">
        <ns0:is>
          <ns0:t>R(T), +200 ppm/C at 25 C; positive datasheet limit</ns0:t>
        </ns0:is>
      </ns0:c>
      <ns0:c xmlns:ns0="http://schemas.openxmlformats.org/spreadsheetml/2006/main" r="AB24" s="16" t="str">
        <ns0:v>General</ns0:v>
      </ns0:c>
      <ns0:c xmlns:ns0="http://schemas.openxmlformats.org/spreadsheetml/2006/main" r="AC24" s="16" t="inlineStr">
        <ns0:is>
          <ns0:t>Spice Subcircuit</ns0:t>
        </ns0:is>
      </ns0:c>
      <ns0:c xmlns:ns0="http://schemas.openxmlformats.org/spreadsheetml/2006/main" r="AD24" s="16" t="inlineStr">
        <ns0:is>
          <ns0:t>@DESIGNATOR %1 %2 @MODEL PARAMS: Rvalue=@VALUE TC1value=200u</ns0:t>
        </ns0:is>
      </ns0:c>
      <ns0:c xmlns:ns0="http://schemas.openxmlformats.org/spreadsheetml/2006/main" r="AE24" s="16" t="inlineStr">
        <ns0:is>
          <ns0:t>X</ns0:t>
        </ns0:is>
      </ns0:c>
      <ns0:c xmlns:ns0="http://schemas.openxmlformats.org/spreadsheetml/2006/main" r="AF24" s="16" t="str">
        <ns0:v>(1:1),(2:2)</ns0:v>
      </ns0:c>
      <ns0:c xmlns:ns0="http://schemas.openxmlformats.org/spreadsheetml/2006/main" r="AG24" s="16" t="inlineStr">
        <ns0:is>
          <ns0:t>Simulation\Resistors\MY_LIB_R_TCR.ckt</ns0:t>
        </ns0:is>
      </ns0:c>
      <ns0:c xmlns:ns0="http://schemas.openxmlformats.org/spreadsheetml/2006/main" r="AH24" s="16" t="inlineStr">
        <ns0:is>
          <ns0:t>±200 ppm/°C</ns0:t>
        </ns0:is>
      </ns0:c>
    </ns0:row>
    <ns0:row r="25" ht="30" customHeight="1">
      <ns0:c r="A25" t="str" s="10">
        <ns0:v>R0031</ns0:v>
      </ns0:c>
      <ns0:c r="B25" t="str" s="10">
        <ns0:v>Резистор</ns0:v>
      </ns0:c>
      <ns0:c r="C25" t="str" s="10">
        <ns0:v>8.2R</ns0:v>
      </ns0:c>
      <ns0:c r="D25" t="str" s="11">
        <ns0:f>SUBSTITUTE(SUBSTITUTE(SUBSTITUTE(SUBSTITUTE(C25,"meg"," МОм"),"k"," кОм"),"R"," Ом"),".",",")</ns0:f>
        <ns0:v>8,2 Ом</ns0:v>
      </ns0:c>
      <ns0:c r="E25" t="str" s="10">
        <ns0:v>±5%</ns0:v>
      </ns0:c>
      <ns0:c r="F25" t="str" s="10">
        <ns0:v>0,1 Вт</ns0:v>
      </ns0:c>
      <ns0:c r="G25" t="str" s="10">
        <ns0:v>75 В макс.</ns0:v>
      </ns0:c>
      <ns0:c r="H25" t="str" s="12">
        <ns0:v>0603</ns0:v>
      </ns0:c>
      <ns0:c r="I25" t="str" s="10">
        <ns0:v>YAGEO</ns0:v>
      </ns0:c>
      <ns0:c r="J25" t="str" s="10">
        <ns0:v>RC0603JR-078R2L</ns0:v>
      </ns0:c>
      <ns0:c r="K25" t="str" s="11">
        <ns0:f>B25&amp;" "&amp;D25&amp;" "&amp;E25&amp;" "&amp;H25</ns0:f>
        <ns0:v>Резистор 8,2 Ом ±5% 0603</ns0:v>
      </ns0:c>
      <ns0:c r="L25" t="str" s="13">
        <ns0:v>R</ns0:v>
      </ns0:c>
      <ns0:c r="M25" t="str" s="13">
        <ns0:v>Symbols\MY_LIB_Resistors.SchLib</ns0:v>
      </ns0:c>
      <ns0:c r="N25" t="str" s="13">
        <ns0:v>RESC1608X55N</ns0:v>
      </ns0:c>
      <ns0:c r="O25" t="str" s="13">
        <ns0:v>Footprints\PBL - SMD Packages.PcbLib</ns0:v>
      </ns0:c>
      <ns0:c xmlns:ns0="http://schemas.openxmlformats.org/spreadsheetml/2006/main" r="P25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5" s="10"/>
      <ns0:c r="R25" t="str" s="11">
        <ns0:f>D25</ns0:f>
        <ns0:v>8,2 Ом</ns0:v>
      </ns0:c>
      <ns0:c r="S25" t="str" s="11">
        <ns0:f>K25</ns0:f>
        <ns0:v>Резистор 8,2 Ом ±5% 0603</ns0:v>
      </ns0:c>
      <x:c xmlns:x="http://schemas.openxmlformats.org/spreadsheetml/2006/main" r="T25" t="str" s="11">
        <x:v>C:\Users\Nomatin\Documents\Altium\MY_LIB\MY_LIB\Datasheets\YAGEO_RC_L.pdf</x:v>
      </x:c>
      <x:c xmlns:x="http://schemas.openxmlformats.org/spreadsheetml/2006/main" r="U25" t="str" s="11">
        <x:v>Даташит — локальный</x:v>
      </x:c>
      <x:c xmlns:x="http://schemas.openxmlformats.org/spreadsheetml/2006/main" r="V25" t="str" s="11">
        <x:v>C:\Users\Nomatin\Documents\Altium\MY_LIB\MY_LIB\Datasheets\YAGEO_RC_L.pdf</x:v>
      </x:c>
      <x:c xmlns:x="http://schemas.openxmlformats.org/spreadsheetml/2006/main" r="W25" t="str" s="11">
        <x:v>Даташит — производитель</x:v>
      </x:c>
      <x:c xmlns:x="http://schemas.openxmlformats.org/spreadsheetml/2006/main" r="X25" t="str" s="11">
        <x:v>https://yageogroup.com/content/datasheet/asset/file/PYU-RC_GROUP_51_ROHS_L</x:v>
      </x:c>
      <x:c xmlns:x="http://schemas.openxmlformats.org/spreadsheetml/2006/main" r="Y25" t="str" s="11">
        <x:v>C:\Users\Nomatin\Documents\Altium\MY_LIB\MY_LIB\Datasheets\YAGEO_RC_L.pdf</x:v>
      </x:c>
      <ns0:c xmlns:ns0="http://schemas.openxmlformats.org/spreadsheetml/2006/main" r="Z25" s="16" t="inlineStr">
        <ns0:is>
          <ns0:t>MY_LIB_R_TCR</ns0:t>
        </ns0:is>
      </ns0:c>
      <ns0:c xmlns:ns0="http://schemas.openxmlformats.org/spreadsheetml/2006/main" r="AA25" s="16" t="inlineStr">
        <ns0:is>
          <ns0:t>R(T), +200 ppm/C at 25 C; positive datasheet limit</ns0:t>
        </ns0:is>
      </ns0:c>
      <ns0:c xmlns:ns0="http://schemas.openxmlformats.org/spreadsheetml/2006/main" r="AB25" s="16" t="str">
        <ns0:v>General</ns0:v>
      </ns0:c>
      <ns0:c xmlns:ns0="http://schemas.openxmlformats.org/spreadsheetml/2006/main" r="AC25" s="16" t="inlineStr">
        <ns0:is>
          <ns0:t>Spice Subcircuit</ns0:t>
        </ns0:is>
      </ns0:c>
      <ns0:c xmlns:ns0="http://schemas.openxmlformats.org/spreadsheetml/2006/main" r="AD25" s="16" t="inlineStr">
        <ns0:is>
          <ns0:t>@DESIGNATOR %1 %2 @MODEL PARAMS: Rvalue=@VALUE TC1value=200u</ns0:t>
        </ns0:is>
      </ns0:c>
      <ns0:c xmlns:ns0="http://schemas.openxmlformats.org/spreadsheetml/2006/main" r="AE25" s="16" t="inlineStr">
        <ns0:is>
          <ns0:t>X</ns0:t>
        </ns0:is>
      </ns0:c>
      <ns0:c xmlns:ns0="http://schemas.openxmlformats.org/spreadsheetml/2006/main" r="AF25" s="16" t="str">
        <ns0:v>(1:1),(2:2)</ns0:v>
      </ns0:c>
      <ns0:c xmlns:ns0="http://schemas.openxmlformats.org/spreadsheetml/2006/main" r="AG25" s="16" t="inlineStr">
        <ns0:is>
          <ns0:t>Simulation\Resistors\MY_LIB_R_TCR.ckt</ns0:t>
        </ns0:is>
      </ns0:c>
      <ns0:c xmlns:ns0="http://schemas.openxmlformats.org/spreadsheetml/2006/main" r="AH25" s="16" t="inlineStr">
        <ns0:is>
          <ns0:t>±200 ppm/°C</ns0:t>
        </ns0:is>
      </ns0:c>
    </ns0:row>
    <ns0:row r="26" ht="30" customHeight="1">
      <ns0:c r="A26" t="str" s="10">
        <ns0:v>R0032</ns0:v>
      </ns0:c>
      <ns0:c r="B26" t="str" s="10">
        <ns0:v>Резистор</ns0:v>
      </ns0:c>
      <ns0:c r="C26" t="str" s="10">
        <ns0:v>9.1R</ns0:v>
      </ns0:c>
      <ns0:c r="D26" t="str" s="11">
        <ns0:f>SUBSTITUTE(SUBSTITUTE(SUBSTITUTE(SUBSTITUTE(C26,"meg"," МОм"),"k"," кОм"),"R"," Ом"),".",",")</ns0:f>
        <ns0:v>9,1 Ом</ns0:v>
      </ns0:c>
      <ns0:c r="E26" t="str" s="10">
        <ns0:v>±5%</ns0:v>
      </ns0:c>
      <ns0:c r="F26" t="str" s="10">
        <ns0:v>0,1 Вт</ns0:v>
      </ns0:c>
      <ns0:c r="G26" t="str" s="10">
        <ns0:v>75 В макс.</ns0:v>
      </ns0:c>
      <ns0:c r="H26" t="str" s="12">
        <ns0:v>0603</ns0:v>
      </ns0:c>
      <ns0:c r="I26" t="str" s="10">
        <ns0:v>YAGEO</ns0:v>
      </ns0:c>
      <ns0:c r="J26" t="str" s="10">
        <ns0:v>RC0603JR-079R1L</ns0:v>
      </ns0:c>
      <ns0:c r="K26" t="str" s="11">
        <ns0:f>B26&amp;" "&amp;D26&amp;" "&amp;E26&amp;" "&amp;H26</ns0:f>
        <ns0:v>Резистор 9,1 Ом ±5% 0603</ns0:v>
      </ns0:c>
      <ns0:c r="L26" t="str" s="13">
        <ns0:v>R</ns0:v>
      </ns0:c>
      <ns0:c r="M26" t="str" s="13">
        <ns0:v>Symbols\MY_LIB_Resistors.SchLib</ns0:v>
      </ns0:c>
      <ns0:c r="N26" t="str" s="13">
        <ns0:v>RESC1608X55N</ns0:v>
      </ns0:c>
      <ns0:c r="O26" t="str" s="13">
        <ns0:v>Footprints\PBL - SMD Packages.PcbLib</ns0:v>
      </ns0:c>
      <ns0:c xmlns:ns0="http://schemas.openxmlformats.org/spreadsheetml/2006/main" r="P26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6" s="10"/>
      <ns0:c r="R26" t="str" s="11">
        <ns0:f>D26</ns0:f>
        <ns0:v>9,1 Ом</ns0:v>
      </ns0:c>
      <ns0:c r="S26" t="str" s="11">
        <ns0:f>K26</ns0:f>
        <ns0:v>Резистор 9,1 Ом ±5% 0603</ns0:v>
      </ns0:c>
      <x:c xmlns:x="http://schemas.openxmlformats.org/spreadsheetml/2006/main" r="T26" t="str" s="11">
        <x:v>C:\Users\Nomatin\Documents\Altium\MY_LIB\MY_LIB\Datasheets\YAGEO_RC_L.pdf</x:v>
      </x:c>
      <x:c xmlns:x="http://schemas.openxmlformats.org/spreadsheetml/2006/main" r="U26" t="str" s="11">
        <x:v>Даташит — локальный</x:v>
      </x:c>
      <x:c xmlns:x="http://schemas.openxmlformats.org/spreadsheetml/2006/main" r="V26" t="str" s="11">
        <x:v>C:\Users\Nomatin\Documents\Altium\MY_LIB\MY_LIB\Datasheets\YAGEO_RC_L.pdf</x:v>
      </x:c>
      <x:c xmlns:x="http://schemas.openxmlformats.org/spreadsheetml/2006/main" r="W26" t="str" s="11">
        <x:v>Даташит — производитель</x:v>
      </x:c>
      <x:c xmlns:x="http://schemas.openxmlformats.org/spreadsheetml/2006/main" r="X26" t="str" s="11">
        <x:v>https://yageogroup.com/content/datasheet/asset/file/PYU-RC_GROUP_51_ROHS_L</x:v>
      </x:c>
      <x:c xmlns:x="http://schemas.openxmlformats.org/spreadsheetml/2006/main" r="Y26" t="str" s="11">
        <x:v>C:\Users\Nomatin\Documents\Altium\MY_LIB\MY_LIB\Datasheets\YAGEO_RC_L.pdf</x:v>
      </x:c>
      <ns0:c xmlns:ns0="http://schemas.openxmlformats.org/spreadsheetml/2006/main" r="Z26" s="16" t="inlineStr">
        <ns0:is>
          <ns0:t>MY_LIB_R_TCR</ns0:t>
        </ns0:is>
      </ns0:c>
      <ns0:c xmlns:ns0="http://schemas.openxmlformats.org/spreadsheetml/2006/main" r="AA26" s="16" t="inlineStr">
        <ns0:is>
          <ns0:t>R(T), +200 ppm/C at 25 C; positive datasheet limit</ns0:t>
        </ns0:is>
      </ns0:c>
      <ns0:c xmlns:ns0="http://schemas.openxmlformats.org/spreadsheetml/2006/main" r="AB26" s="16" t="str">
        <ns0:v>General</ns0:v>
      </ns0:c>
      <ns0:c xmlns:ns0="http://schemas.openxmlformats.org/spreadsheetml/2006/main" r="AC26" s="16" t="inlineStr">
        <ns0:is>
          <ns0:t>Spice Subcircuit</ns0:t>
        </ns0:is>
      </ns0:c>
      <ns0:c xmlns:ns0="http://schemas.openxmlformats.org/spreadsheetml/2006/main" r="AD26" s="16" t="inlineStr">
        <ns0:is>
          <ns0:t>@DESIGNATOR %1 %2 @MODEL PARAMS: Rvalue=@VALUE TC1value=200u</ns0:t>
        </ns0:is>
      </ns0:c>
      <ns0:c xmlns:ns0="http://schemas.openxmlformats.org/spreadsheetml/2006/main" r="AE26" s="16" t="inlineStr">
        <ns0:is>
          <ns0:t>X</ns0:t>
        </ns0:is>
      </ns0:c>
      <ns0:c xmlns:ns0="http://schemas.openxmlformats.org/spreadsheetml/2006/main" r="AF26" s="16" t="str">
        <ns0:v>(1:1),(2:2)</ns0:v>
      </ns0:c>
      <ns0:c xmlns:ns0="http://schemas.openxmlformats.org/spreadsheetml/2006/main" r="AG26" s="16" t="inlineStr">
        <ns0:is>
          <ns0:t>Simulation\Resistors\MY_LIB_R_TCR.ckt</ns0:t>
        </ns0:is>
      </ns0:c>
      <ns0:c xmlns:ns0="http://schemas.openxmlformats.org/spreadsheetml/2006/main" r="AH26" s="16" t="inlineStr">
        <ns0:is>
          <ns0:t>±200 ppm/°C</ns0:t>
        </ns0:is>
      </ns0:c>
    </ns0:row>
    <ns0:row r="27" ht="30" customHeight="1">
      <ns0:c r="A27" t="str" s="10">
        <ns0:v>R0033</ns0:v>
      </ns0:c>
      <ns0:c r="B27" t="str" s="10">
        <ns0:v>Резистор</ns0:v>
      </ns0:c>
      <ns0:c r="C27" t="str" s="10">
        <ns0:v>10R</ns0:v>
      </ns0:c>
      <ns0:c r="D27" t="str" s="11">
        <ns0:f>SUBSTITUTE(SUBSTITUTE(SUBSTITUTE(SUBSTITUTE(C27,"meg"," МОм"),"k"," кОм"),"R"," Ом"),".",",")</ns0:f>
        <ns0:v>10 Ом</ns0:v>
      </ns0:c>
      <ns0:c r="E27" t="str" s="10">
        <ns0:v>±5%</ns0:v>
      </ns0:c>
      <ns0:c r="F27" t="str" s="10">
        <ns0:v>0,1 Вт</ns0:v>
      </ns0:c>
      <ns0:c r="G27" t="str" s="10">
        <ns0:v>75 В макс.</ns0:v>
      </ns0:c>
      <ns0:c r="H27" t="str" s="12">
        <ns0:v>0603</ns0:v>
      </ns0:c>
      <ns0:c r="I27" t="str" s="10">
        <ns0:v>YAGEO</ns0:v>
      </ns0:c>
      <ns0:c r="J27" t="str" s="10">
        <ns0:v>RC0603JR-0710RL</ns0:v>
      </ns0:c>
      <ns0:c r="K27" t="str" s="11">
        <ns0:f>B27&amp;" "&amp;D27&amp;" "&amp;E27&amp;" "&amp;H27</ns0:f>
        <ns0:v>Резистор 10 Ом ±5% 0603</ns0:v>
      </ns0:c>
      <ns0:c r="L27" t="str" s="13">
        <ns0:v>R</ns0:v>
      </ns0:c>
      <ns0:c r="M27" t="str" s="13">
        <ns0:v>Symbols\MY_LIB_Resistors.SchLib</ns0:v>
      </ns0:c>
      <ns0:c r="N27" t="str" s="13">
        <ns0:v>RESC1608X55N</ns0:v>
      </ns0:c>
      <ns0:c r="O27" t="str" s="13">
        <ns0:v>Footprints\PBL - SMD Packages.PcbLib</ns0:v>
      </ns0:c>
      <ns0:c xmlns:ns0="http://schemas.openxmlformats.org/spreadsheetml/2006/main" r="P27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27" s="10"/>
      <ns0:c r="R27" t="str" s="11">
        <ns0:f>D27</ns0:f>
        <ns0:v>10 Ом</ns0:v>
      </ns0:c>
      <ns0:c r="S27" t="str" s="11">
        <ns0:f>K27</ns0:f>
        <ns0:v>Резистор 10 Ом ±5% 0603</ns0:v>
      </ns0:c>
      <x:c xmlns:x="http://schemas.openxmlformats.org/spreadsheetml/2006/main" r="T27" t="str" s="11">
        <x:v>C:\Users\Nomatin\Documents\Altium\MY_LIB\MY_LIB\Datasheets\YAGEO_RC_L.pdf</x:v>
      </x:c>
      <x:c xmlns:x="http://schemas.openxmlformats.org/spreadsheetml/2006/main" r="U27" t="str" s="11">
        <x:v>Даташит — локальный</x:v>
      </x:c>
      <x:c xmlns:x="http://schemas.openxmlformats.org/spreadsheetml/2006/main" r="V27" t="str" s="11">
        <x:v>C:\Users\Nomatin\Documents\Altium\MY_LIB\MY_LIB\Datasheets\YAGEO_RC_L.pdf</x:v>
      </x:c>
      <x:c xmlns:x="http://schemas.openxmlformats.org/spreadsheetml/2006/main" r="W27" t="str" s="11">
        <x:v>Даташит — производитель</x:v>
      </x:c>
      <x:c xmlns:x="http://schemas.openxmlformats.org/spreadsheetml/2006/main" r="X27" t="str" s="11">
        <x:v>https://yageogroup.com/content/datasheet/asset/file/PYU-RC_GROUP_51_ROHS_L</x:v>
      </x:c>
      <x:c xmlns:x="http://schemas.openxmlformats.org/spreadsheetml/2006/main" r="Y27" t="str" s="11">
        <x:v>C:\Users\Nomatin\Documents\Altium\MY_LIB\MY_LIB\Datasheets\YAGEO_RC_L.pdf</x:v>
      </x:c>
      <ns0:c xmlns:ns0="http://schemas.openxmlformats.org/spreadsheetml/2006/main" r="Z27" s="16" t="inlineStr">
        <ns0:is>
          <ns0:t>MY_LIB_R_TCR</ns0:t>
        </ns0:is>
      </ns0:c>
      <ns0:c xmlns:ns0="http://schemas.openxmlformats.org/spreadsheetml/2006/main" r="AA27" s="16" t="inlineStr">
        <ns0:is>
          <ns0:t>R(T), +200 ppm/C at 25 C; positive datasheet limit</ns0:t>
        </ns0:is>
      </ns0:c>
      <ns0:c xmlns:ns0="http://schemas.openxmlformats.org/spreadsheetml/2006/main" r="AB27" s="16" t="str">
        <ns0:v>General</ns0:v>
      </ns0:c>
      <ns0:c xmlns:ns0="http://schemas.openxmlformats.org/spreadsheetml/2006/main" r="AC27" s="16" t="inlineStr">
        <ns0:is>
          <ns0:t>Spice Subcircuit</ns0:t>
        </ns0:is>
      </ns0:c>
      <ns0:c xmlns:ns0="http://schemas.openxmlformats.org/spreadsheetml/2006/main" r="AD27" s="16" t="inlineStr">
        <ns0:is>
          <ns0:t>@DESIGNATOR %1 %2 @MODEL PARAMS: Rvalue=@VALUE TC1value=200u</ns0:t>
        </ns0:is>
      </ns0:c>
      <ns0:c xmlns:ns0="http://schemas.openxmlformats.org/spreadsheetml/2006/main" r="AE27" s="16" t="inlineStr">
        <ns0:is>
          <ns0:t>X</ns0:t>
        </ns0:is>
      </ns0:c>
      <ns0:c xmlns:ns0="http://schemas.openxmlformats.org/spreadsheetml/2006/main" r="AF27" s="16" t="str">
        <ns0:v>(1:1),(2:2)</ns0:v>
      </ns0:c>
      <ns0:c xmlns:ns0="http://schemas.openxmlformats.org/spreadsheetml/2006/main" r="AG27" s="16" t="inlineStr">
        <ns0:is>
          <ns0:t>Simulation\Resistors\MY_LIB_R_TCR.ckt</ns0:t>
        </ns0:is>
      </ns0:c>
      <ns0:c xmlns:ns0="http://schemas.openxmlformats.org/spreadsheetml/2006/main" r="AH27" s="16" t="inlineStr">
        <ns0:is>
          <ns0:t>±200 ppm/°C</ns0:t>
        </ns0:is>
      </ns0:c>
    </ns0:row>
    <ns0:row r="28" ht="30" customHeight="1">
      <ns0:c r="A28" t="str" s="10">
        <ns0:v>R0034</ns0:v>
      </ns0:c>
      <ns0:c r="B28" t="str" s="10">
        <ns0:v>Резистор</ns0:v>
      </ns0:c>
      <ns0:c r="C28" t="str" s="10">
        <ns0:v>11R</ns0:v>
      </ns0:c>
      <ns0:c r="D28" t="str" s="11">
        <ns0:f>SUBSTITUTE(SUBSTITUTE(SUBSTITUTE(SUBSTITUTE(C28,"meg"," МОм"),"k"," кОм"),"R"," Ом"),".",",")</ns0:f>
        <ns0:v>11 Ом</ns0:v>
      </ns0:c>
      <ns0:c r="E28" t="str" s="10">
        <ns0:v>±5%</ns0:v>
      </ns0:c>
      <ns0:c r="F28" t="str" s="10">
        <ns0:v>0,1 Вт</ns0:v>
      </ns0:c>
      <ns0:c r="G28" t="str" s="10">
        <ns0:v>75 В макс.</ns0:v>
      </ns0:c>
      <ns0:c r="H28" t="str" s="12">
        <ns0:v>0603</ns0:v>
      </ns0:c>
      <ns0:c r="I28" t="str" s="10">
        <ns0:v>YAGEO</ns0:v>
      </ns0:c>
      <ns0:c r="J28" t="str" s="10">
        <ns0:v>RC0603JR-0711RL</ns0:v>
      </ns0:c>
      <ns0:c r="K28" t="str" s="11">
        <ns0:f>B28&amp;" "&amp;D28&amp;" "&amp;E28&amp;" "&amp;H28</ns0:f>
        <ns0:v>Резистор 11 Ом ±5% 0603</ns0:v>
      </ns0:c>
      <ns0:c r="L28" t="str" s="13">
        <ns0:v>R</ns0:v>
      </ns0:c>
      <ns0:c r="M28" t="str" s="13">
        <ns0:v>Symbols\MY_LIB_Resistors.SchLib</ns0:v>
      </ns0:c>
      <ns0:c r="N28" t="str" s="13">
        <ns0:v>RESC1608X55N</ns0:v>
      </ns0:c>
      <ns0:c r="O28" t="str" s="13">
        <ns0:v>Footprints\PBL - SMD Packages.PcbLib</ns0:v>
      </ns0:c>
      <ns0:c xmlns:ns0="http://schemas.openxmlformats.org/spreadsheetml/2006/main" r="P2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" s="10"/>
      <ns0:c r="R28" t="str" s="11">
        <ns0:f>D28</ns0:f>
        <ns0:v>11 Ом</ns0:v>
      </ns0:c>
      <ns0:c r="S28" t="str" s="11">
        <ns0:f>K28</ns0:f>
        <ns0:v>Резистор 11 Ом ±5% 0603</ns0:v>
      </ns0:c>
      <x:c xmlns:x="http://schemas.openxmlformats.org/spreadsheetml/2006/main" r="T28" t="str" s="11">
        <x:v>C:\Users\Nomatin\Documents\Altium\MY_LIB\MY_LIB\Datasheets\YAGEO_RC_L.pdf</x:v>
      </x:c>
      <x:c xmlns:x="http://schemas.openxmlformats.org/spreadsheetml/2006/main" r="U28" t="str" s="11">
        <x:v>Даташит — локальный</x:v>
      </x:c>
      <x:c xmlns:x="http://schemas.openxmlformats.org/spreadsheetml/2006/main" r="V28" t="str" s="11">
        <x:v>C:\Users\Nomatin\Documents\Altium\MY_LIB\MY_LIB\Datasheets\YAGEO_RC_L.pdf</x:v>
      </x:c>
      <x:c xmlns:x="http://schemas.openxmlformats.org/spreadsheetml/2006/main" r="W28" t="str" s="11">
        <x:v>Даташит — производитель</x:v>
      </x:c>
      <x:c xmlns:x="http://schemas.openxmlformats.org/spreadsheetml/2006/main" r="X28" t="str" s="11">
        <x:v>https://yageogroup.com/content/datasheet/asset/file/PYU-RC_GROUP_51_ROHS_L</x:v>
      </x:c>
      <x:c xmlns:x="http://schemas.openxmlformats.org/spreadsheetml/2006/main" r="Y28" t="str" s="11">
        <x:v>C:\Users\Nomatin\Documents\Altium\MY_LIB\MY_LIB\Datasheets\YAGEO_RC_L.pdf</x:v>
      </x:c>
      <ns0:c xmlns:ns0="http://schemas.openxmlformats.org/spreadsheetml/2006/main" r="Z28" s="16" t="inlineStr">
        <ns0:is>
          <ns0:t>MY_LIB_R_TCR</ns0:t>
        </ns0:is>
      </ns0:c>
      <ns0:c xmlns:ns0="http://schemas.openxmlformats.org/spreadsheetml/2006/main" r="AA28" s="16" t="inlineStr">
        <ns0:is>
          <ns0:t>R(T), +100 ppm/C at 25 C; positive datasheet limit</ns0:t>
        </ns0:is>
      </ns0:c>
      <ns0:c xmlns:ns0="http://schemas.openxmlformats.org/spreadsheetml/2006/main" r="AB28" s="16" t="str">
        <ns0:v>General</ns0:v>
      </ns0:c>
      <ns0:c xmlns:ns0="http://schemas.openxmlformats.org/spreadsheetml/2006/main" r="AC28" s="16" t="inlineStr">
        <ns0:is>
          <ns0:t>Spice Subcircuit</ns0:t>
        </ns0:is>
      </ns0:c>
      <ns0:c xmlns:ns0="http://schemas.openxmlformats.org/spreadsheetml/2006/main" r="AD28" s="16" t="inlineStr">
        <ns0:is>
          <ns0:t>@DESIGNATOR %1 %2 @MODEL PARAMS: Rvalue=@VALUE TC1value=100u</ns0:t>
        </ns0:is>
      </ns0:c>
      <ns0:c xmlns:ns0="http://schemas.openxmlformats.org/spreadsheetml/2006/main" r="AE28" s="16" t="inlineStr">
        <ns0:is>
          <ns0:t>X</ns0:t>
        </ns0:is>
      </ns0:c>
      <ns0:c xmlns:ns0="http://schemas.openxmlformats.org/spreadsheetml/2006/main" r="AF28" s="16" t="str">
        <ns0:v>(1:1),(2:2)</ns0:v>
      </ns0:c>
      <ns0:c xmlns:ns0="http://schemas.openxmlformats.org/spreadsheetml/2006/main" r="AG28" s="16" t="inlineStr">
        <ns0:is>
          <ns0:t>Simulation\Resistors\MY_LIB_R_TCR.ckt</ns0:t>
        </ns0:is>
      </ns0:c>
      <ns0:c xmlns:ns0="http://schemas.openxmlformats.org/spreadsheetml/2006/main" r="AH28" s="16" t="inlineStr">
        <ns0:is>
          <ns0:t>±100 ppm/°C</ns0:t>
        </ns0:is>
      </ns0:c>
    </ns0:row>
    <ns0:row r="29" ht="30" customHeight="1">
      <ns0:c r="A29" t="str" s="10">
        <ns0:v>R0035</ns0:v>
      </ns0:c>
      <ns0:c r="B29" t="str" s="10">
        <ns0:v>Резистор</ns0:v>
      </ns0:c>
      <ns0:c r="C29" t="str" s="10">
        <ns0:v>12R</ns0:v>
      </ns0:c>
      <ns0:c r="D29" t="str" s="11">
        <ns0:f>SUBSTITUTE(SUBSTITUTE(SUBSTITUTE(SUBSTITUTE(C29,"meg"," МОм"),"k"," кОм"),"R"," Ом"),".",",")</ns0:f>
        <ns0:v>12 Ом</ns0:v>
      </ns0:c>
      <ns0:c r="E29" t="str" s="10">
        <ns0:v>±5%</ns0:v>
      </ns0:c>
      <ns0:c r="F29" t="str" s="10">
        <ns0:v>0,1 Вт</ns0:v>
      </ns0:c>
      <ns0:c r="G29" t="str" s="10">
        <ns0:v>75 В макс.</ns0:v>
      </ns0:c>
      <ns0:c r="H29" t="str" s="12">
        <ns0:v>0603</ns0:v>
      </ns0:c>
      <ns0:c r="I29" t="str" s="10">
        <ns0:v>YAGEO</ns0:v>
      </ns0:c>
      <ns0:c r="J29" t="str" s="10">
        <ns0:v>RC0603JR-0712RL</ns0:v>
      </ns0:c>
      <ns0:c r="K29" t="str" s="11">
        <ns0:f>B29&amp;" "&amp;D29&amp;" "&amp;E29&amp;" "&amp;H29</ns0:f>
        <ns0:v>Резистор 12 Ом ±5% 0603</ns0:v>
      </ns0:c>
      <ns0:c r="L29" t="str" s="13">
        <ns0:v>R</ns0:v>
      </ns0:c>
      <ns0:c r="M29" t="str" s="13">
        <ns0:v>Symbols\MY_LIB_Resistors.SchLib</ns0:v>
      </ns0:c>
      <ns0:c r="N29" t="str" s="13">
        <ns0:v>RESC1608X55N</ns0:v>
      </ns0:c>
      <ns0:c r="O29" t="str" s="13">
        <ns0:v>Footprints\PBL - SMD Packages.PcbLib</ns0:v>
      </ns0:c>
      <ns0:c xmlns:ns0="http://schemas.openxmlformats.org/spreadsheetml/2006/main" r="P2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9" s="10"/>
      <ns0:c r="R29" t="str" s="11">
        <ns0:f>D29</ns0:f>
        <ns0:v>12 Ом</ns0:v>
      </ns0:c>
      <ns0:c r="S29" t="str" s="11">
        <ns0:f>K29</ns0:f>
        <ns0:v>Резистор 12 Ом ±5% 0603</ns0:v>
      </ns0:c>
      <x:c xmlns:x="http://schemas.openxmlformats.org/spreadsheetml/2006/main" r="T29" t="str" s="11">
        <x:v>C:\Users\Nomatin\Documents\Altium\MY_LIB\MY_LIB\Datasheets\YAGEO_RC_L.pdf</x:v>
      </x:c>
      <x:c xmlns:x="http://schemas.openxmlformats.org/spreadsheetml/2006/main" r="U29" t="str" s="11">
        <x:v>Даташит — локальный</x:v>
      </x:c>
      <x:c xmlns:x="http://schemas.openxmlformats.org/spreadsheetml/2006/main" r="V29" t="str" s="11">
        <x:v>C:\Users\Nomatin\Documents\Altium\MY_LIB\MY_LIB\Datasheets\YAGEO_RC_L.pdf</x:v>
      </x:c>
      <x:c xmlns:x="http://schemas.openxmlformats.org/spreadsheetml/2006/main" r="W29" t="str" s="11">
        <x:v>Даташит — производитель</x:v>
      </x:c>
      <x:c xmlns:x="http://schemas.openxmlformats.org/spreadsheetml/2006/main" r="X29" t="str" s="11">
        <x:v>https://yageogroup.com/content/datasheet/asset/file/PYU-RC_GROUP_51_ROHS_L</x:v>
      </x:c>
      <x:c xmlns:x="http://schemas.openxmlformats.org/spreadsheetml/2006/main" r="Y29" t="str" s="11">
        <x:v>C:\Users\Nomatin\Documents\Altium\MY_LIB\MY_LIB\Datasheets\YAGEO_RC_L.pdf</x:v>
      </x:c>
      <ns0:c xmlns:ns0="http://schemas.openxmlformats.org/spreadsheetml/2006/main" r="Z29" s="16" t="inlineStr">
        <ns0:is>
          <ns0:t>MY_LIB_R_TCR</ns0:t>
        </ns0:is>
      </ns0:c>
      <ns0:c xmlns:ns0="http://schemas.openxmlformats.org/spreadsheetml/2006/main" r="AA29" s="16" t="inlineStr">
        <ns0:is>
          <ns0:t>R(T), +100 ppm/C at 25 C; positive datasheet limit</ns0:t>
        </ns0:is>
      </ns0:c>
      <ns0:c xmlns:ns0="http://schemas.openxmlformats.org/spreadsheetml/2006/main" r="AB29" s="16" t="str">
        <ns0:v>General</ns0:v>
      </ns0:c>
      <ns0:c xmlns:ns0="http://schemas.openxmlformats.org/spreadsheetml/2006/main" r="AC29" s="16" t="inlineStr">
        <ns0:is>
          <ns0:t>Spice Subcircuit</ns0:t>
        </ns0:is>
      </ns0:c>
      <ns0:c xmlns:ns0="http://schemas.openxmlformats.org/spreadsheetml/2006/main" r="AD29" s="16" t="inlineStr">
        <ns0:is>
          <ns0:t>@DESIGNATOR %1 %2 @MODEL PARAMS: Rvalue=@VALUE TC1value=100u</ns0:t>
        </ns0:is>
      </ns0:c>
      <ns0:c xmlns:ns0="http://schemas.openxmlformats.org/spreadsheetml/2006/main" r="AE29" s="16" t="inlineStr">
        <ns0:is>
          <ns0:t>X</ns0:t>
        </ns0:is>
      </ns0:c>
      <ns0:c xmlns:ns0="http://schemas.openxmlformats.org/spreadsheetml/2006/main" r="AF29" s="16" t="str">
        <ns0:v>(1:1),(2:2)</ns0:v>
      </ns0:c>
      <ns0:c xmlns:ns0="http://schemas.openxmlformats.org/spreadsheetml/2006/main" r="AG29" s="16" t="inlineStr">
        <ns0:is>
          <ns0:t>Simulation\Resistors\MY_LIB_R_TCR.ckt</ns0:t>
        </ns0:is>
      </ns0:c>
      <ns0:c xmlns:ns0="http://schemas.openxmlformats.org/spreadsheetml/2006/main" r="AH29" s="16" t="inlineStr">
        <ns0:is>
          <ns0:t>±100 ppm/°C</ns0:t>
        </ns0:is>
      </ns0:c>
    </ns0:row>
    <ns0:row r="30" ht="30" customHeight="1">
      <ns0:c r="A30" t="str" s="10">
        <ns0:v>R0036</ns0:v>
      </ns0:c>
      <ns0:c r="B30" t="str" s="10">
        <ns0:v>Резистор</ns0:v>
      </ns0:c>
      <ns0:c r="C30" t="str" s="10">
        <ns0:v>13R</ns0:v>
      </ns0:c>
      <ns0:c r="D30" t="str" s="11">
        <ns0:f>SUBSTITUTE(SUBSTITUTE(SUBSTITUTE(SUBSTITUTE(C30,"meg"," МОм"),"k"," кОм"),"R"," Ом"),".",",")</ns0:f>
        <ns0:v>13 Ом</ns0:v>
      </ns0:c>
      <ns0:c r="E30" t="str" s="10">
        <ns0:v>±5%</ns0:v>
      </ns0:c>
      <ns0:c r="F30" t="str" s="10">
        <ns0:v>0,1 Вт</ns0:v>
      </ns0:c>
      <ns0:c r="G30" t="str" s="10">
        <ns0:v>75 В макс.</ns0:v>
      </ns0:c>
      <ns0:c r="H30" t="str" s="12">
        <ns0:v>0603</ns0:v>
      </ns0:c>
      <ns0:c r="I30" t="str" s="10">
        <ns0:v>YAGEO</ns0:v>
      </ns0:c>
      <ns0:c r="J30" t="str" s="10">
        <ns0:v>RC0603JR-0713RL</ns0:v>
      </ns0:c>
      <ns0:c r="K30" t="str" s="11">
        <ns0:f>B30&amp;" "&amp;D30&amp;" "&amp;E30&amp;" "&amp;H30</ns0:f>
        <ns0:v>Резистор 13 Ом ±5% 0603</ns0:v>
      </ns0:c>
      <ns0:c r="L30" t="str" s="13">
        <ns0:v>R</ns0:v>
      </ns0:c>
      <ns0:c r="M30" t="str" s="13">
        <ns0:v>Symbols\MY_LIB_Resistors.SchLib</ns0:v>
      </ns0:c>
      <ns0:c r="N30" t="str" s="13">
        <ns0:v>RESC1608X55N</ns0:v>
      </ns0:c>
      <ns0:c r="O30" t="str" s="13">
        <ns0:v>Footprints\PBL - SMD Packages.PcbLib</ns0:v>
      </ns0:c>
      <ns0:c xmlns:ns0="http://schemas.openxmlformats.org/spreadsheetml/2006/main" r="P3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0" s="10"/>
      <ns0:c r="R30" t="str" s="11">
        <ns0:f>D30</ns0:f>
        <ns0:v>13 Ом</ns0:v>
      </ns0:c>
      <ns0:c r="S30" t="str" s="11">
        <ns0:f>K30</ns0:f>
        <ns0:v>Резистор 13 Ом ±5% 0603</ns0:v>
      </ns0:c>
      <x:c xmlns:x="http://schemas.openxmlformats.org/spreadsheetml/2006/main" r="T30" t="str" s="11">
        <x:v>C:\Users\Nomatin\Documents\Altium\MY_LIB\MY_LIB\Datasheets\YAGEO_RC_L.pdf</x:v>
      </x:c>
      <x:c xmlns:x="http://schemas.openxmlformats.org/spreadsheetml/2006/main" r="U30" t="str" s="11">
        <x:v>Даташит — локальный</x:v>
      </x:c>
      <x:c xmlns:x="http://schemas.openxmlformats.org/spreadsheetml/2006/main" r="V30" t="str" s="11">
        <x:v>C:\Users\Nomatin\Documents\Altium\MY_LIB\MY_LIB\Datasheets\YAGEO_RC_L.pdf</x:v>
      </x:c>
      <x:c xmlns:x="http://schemas.openxmlformats.org/spreadsheetml/2006/main" r="W30" t="str" s="11">
        <x:v>Даташит — производитель</x:v>
      </x:c>
      <x:c xmlns:x="http://schemas.openxmlformats.org/spreadsheetml/2006/main" r="X30" t="str" s="11">
        <x:v>https://yageogroup.com/content/datasheet/asset/file/PYU-RC_GROUP_51_ROHS_L</x:v>
      </x:c>
      <x:c xmlns:x="http://schemas.openxmlformats.org/spreadsheetml/2006/main" r="Y30" t="str" s="11">
        <x:v>C:\Users\Nomatin\Documents\Altium\MY_LIB\MY_LIB\Datasheets\YAGEO_RC_L.pdf</x:v>
      </x:c>
      <ns0:c xmlns:ns0="http://schemas.openxmlformats.org/spreadsheetml/2006/main" r="Z30" s="16" t="inlineStr">
        <ns0:is>
          <ns0:t>MY_LIB_R_TCR</ns0:t>
        </ns0:is>
      </ns0:c>
      <ns0:c xmlns:ns0="http://schemas.openxmlformats.org/spreadsheetml/2006/main" r="AA30" s="16" t="inlineStr">
        <ns0:is>
          <ns0:t>R(T), +100 ppm/C at 25 C; positive datasheet limit</ns0:t>
        </ns0:is>
      </ns0:c>
      <ns0:c xmlns:ns0="http://schemas.openxmlformats.org/spreadsheetml/2006/main" r="AB30" s="16" t="str">
        <ns0:v>General</ns0:v>
      </ns0:c>
      <ns0:c xmlns:ns0="http://schemas.openxmlformats.org/spreadsheetml/2006/main" r="AC30" s="16" t="inlineStr">
        <ns0:is>
          <ns0:t>Spice Subcircuit</ns0:t>
        </ns0:is>
      </ns0:c>
      <ns0:c xmlns:ns0="http://schemas.openxmlformats.org/spreadsheetml/2006/main" r="AD30" s="16" t="inlineStr">
        <ns0:is>
          <ns0:t>@DESIGNATOR %1 %2 @MODEL PARAMS: Rvalue=@VALUE TC1value=100u</ns0:t>
        </ns0:is>
      </ns0:c>
      <ns0:c xmlns:ns0="http://schemas.openxmlformats.org/spreadsheetml/2006/main" r="AE30" s="16" t="inlineStr">
        <ns0:is>
          <ns0:t>X</ns0:t>
        </ns0:is>
      </ns0:c>
      <ns0:c xmlns:ns0="http://schemas.openxmlformats.org/spreadsheetml/2006/main" r="AF30" s="16" t="str">
        <ns0:v>(1:1),(2:2)</ns0:v>
      </ns0:c>
      <ns0:c xmlns:ns0="http://schemas.openxmlformats.org/spreadsheetml/2006/main" r="AG30" s="16" t="inlineStr">
        <ns0:is>
          <ns0:t>Simulation\Resistors\MY_LIB_R_TCR.ckt</ns0:t>
        </ns0:is>
      </ns0:c>
      <ns0:c xmlns:ns0="http://schemas.openxmlformats.org/spreadsheetml/2006/main" r="AH30" s="16" t="inlineStr">
        <ns0:is>
          <ns0:t>±100 ppm/°C</ns0:t>
        </ns0:is>
      </ns0:c>
    </ns0:row>
    <ns0:row r="31" ht="30" customHeight="1">
      <ns0:c r="A31" t="str" s="10">
        <ns0:v>R0037</ns0:v>
      </ns0:c>
      <ns0:c r="B31" t="str" s="10">
        <ns0:v>Резистор</ns0:v>
      </ns0:c>
      <ns0:c r="C31" t="str" s="10">
        <ns0:v>15R</ns0:v>
      </ns0:c>
      <ns0:c r="D31" t="str" s="11">
        <ns0:f>SUBSTITUTE(SUBSTITUTE(SUBSTITUTE(SUBSTITUTE(C31,"meg"," МОм"),"k"," кОм"),"R"," Ом"),".",",")</ns0:f>
        <ns0:v>15 Ом</ns0:v>
      </ns0:c>
      <ns0:c r="E31" t="str" s="10">
        <ns0:v>±5%</ns0:v>
      </ns0:c>
      <ns0:c r="F31" t="str" s="10">
        <ns0:v>0,1 Вт</ns0:v>
      </ns0:c>
      <ns0:c r="G31" t="str" s="10">
        <ns0:v>75 В макс.</ns0:v>
      </ns0:c>
      <ns0:c r="H31" t="str" s="12">
        <ns0:v>0603</ns0:v>
      </ns0:c>
      <ns0:c r="I31" t="str" s="10">
        <ns0:v>YAGEO</ns0:v>
      </ns0:c>
      <ns0:c r="J31" t="str" s="10">
        <ns0:v>RC0603JR-0715RL</ns0:v>
      </ns0:c>
      <ns0:c r="K31" t="str" s="11">
        <ns0:f>B31&amp;" "&amp;D31&amp;" "&amp;E31&amp;" "&amp;H31</ns0:f>
        <ns0:v>Резистор 15 Ом ±5% 0603</ns0:v>
      </ns0:c>
      <ns0:c r="L31" t="str" s="13">
        <ns0:v>R</ns0:v>
      </ns0:c>
      <ns0:c r="M31" t="str" s="13">
        <ns0:v>Symbols\MY_LIB_Resistors.SchLib</ns0:v>
      </ns0:c>
      <ns0:c r="N31" t="str" s="13">
        <ns0:v>RESC1608X55N</ns0:v>
      </ns0:c>
      <ns0:c r="O31" t="str" s="13">
        <ns0:v>Footprints\PBL - SMD Packages.PcbLib</ns0:v>
      </ns0:c>
      <ns0:c xmlns:ns0="http://schemas.openxmlformats.org/spreadsheetml/2006/main" r="P3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1" s="10"/>
      <ns0:c r="R31" t="str" s="11">
        <ns0:f>D31</ns0:f>
        <ns0:v>15 Ом</ns0:v>
      </ns0:c>
      <ns0:c r="S31" t="str" s="11">
        <ns0:f>K31</ns0:f>
        <ns0:v>Резистор 15 Ом ±5% 0603</ns0:v>
      </ns0:c>
      <x:c xmlns:x="http://schemas.openxmlformats.org/spreadsheetml/2006/main" r="T31" t="str" s="11">
        <x:v>C:\Users\Nomatin\Documents\Altium\MY_LIB\MY_LIB\Datasheets\YAGEO_RC_L.pdf</x:v>
      </x:c>
      <x:c xmlns:x="http://schemas.openxmlformats.org/spreadsheetml/2006/main" r="U31" t="str" s="11">
        <x:v>Даташит — локальный</x:v>
      </x:c>
      <x:c xmlns:x="http://schemas.openxmlformats.org/spreadsheetml/2006/main" r="V31" t="str" s="11">
        <x:v>C:\Users\Nomatin\Documents\Altium\MY_LIB\MY_LIB\Datasheets\YAGEO_RC_L.pdf</x:v>
      </x:c>
      <x:c xmlns:x="http://schemas.openxmlformats.org/spreadsheetml/2006/main" r="W31" t="str" s="11">
        <x:v>Даташит — производитель</x:v>
      </x:c>
      <x:c xmlns:x="http://schemas.openxmlformats.org/spreadsheetml/2006/main" r="X31" t="str" s="11">
        <x:v>https://yageogroup.com/content/datasheet/asset/file/PYU-RC_GROUP_51_ROHS_L</x:v>
      </x:c>
      <x:c xmlns:x="http://schemas.openxmlformats.org/spreadsheetml/2006/main" r="Y31" t="str" s="11">
        <x:v>C:\Users\Nomatin\Documents\Altium\MY_LIB\MY_LIB\Datasheets\YAGEO_RC_L.pdf</x:v>
      </x:c>
      <ns0:c xmlns:ns0="http://schemas.openxmlformats.org/spreadsheetml/2006/main" r="Z31" s="16" t="inlineStr">
        <ns0:is>
          <ns0:t>MY_LIB_R_TCR</ns0:t>
        </ns0:is>
      </ns0:c>
      <ns0:c xmlns:ns0="http://schemas.openxmlformats.org/spreadsheetml/2006/main" r="AA31" s="16" t="inlineStr">
        <ns0:is>
          <ns0:t>R(T), +100 ppm/C at 25 C; positive datasheet limit</ns0:t>
        </ns0:is>
      </ns0:c>
      <ns0:c xmlns:ns0="http://schemas.openxmlformats.org/spreadsheetml/2006/main" r="AB31" s="16" t="str">
        <ns0:v>General</ns0:v>
      </ns0:c>
      <ns0:c xmlns:ns0="http://schemas.openxmlformats.org/spreadsheetml/2006/main" r="AC31" s="16" t="inlineStr">
        <ns0:is>
          <ns0:t>Spice Subcircuit</ns0:t>
        </ns0:is>
      </ns0:c>
      <ns0:c xmlns:ns0="http://schemas.openxmlformats.org/spreadsheetml/2006/main" r="AD31" s="16" t="inlineStr">
        <ns0:is>
          <ns0:t>@DESIGNATOR %1 %2 @MODEL PARAMS: Rvalue=@VALUE TC1value=100u</ns0:t>
        </ns0:is>
      </ns0:c>
      <ns0:c xmlns:ns0="http://schemas.openxmlformats.org/spreadsheetml/2006/main" r="AE31" s="16" t="inlineStr">
        <ns0:is>
          <ns0:t>X</ns0:t>
        </ns0:is>
      </ns0:c>
      <ns0:c xmlns:ns0="http://schemas.openxmlformats.org/spreadsheetml/2006/main" r="AF31" s="16" t="str">
        <ns0:v>(1:1),(2:2)</ns0:v>
      </ns0:c>
      <ns0:c xmlns:ns0="http://schemas.openxmlformats.org/spreadsheetml/2006/main" r="AG31" s="16" t="inlineStr">
        <ns0:is>
          <ns0:t>Simulation\Resistors\MY_LIB_R_TCR.ckt</ns0:t>
        </ns0:is>
      </ns0:c>
      <ns0:c xmlns:ns0="http://schemas.openxmlformats.org/spreadsheetml/2006/main" r="AH31" s="16" t="inlineStr">
        <ns0:is>
          <ns0:t>±100 ppm/°C</ns0:t>
        </ns0:is>
      </ns0:c>
    </ns0:row>
    <ns0:row r="32" ht="30" customHeight="1">
      <ns0:c r="A32" t="str" s="10">
        <ns0:v>R0038</ns0:v>
      </ns0:c>
      <ns0:c r="B32" t="str" s="10">
        <ns0:v>Резистор</ns0:v>
      </ns0:c>
      <ns0:c r="C32" t="str" s="10">
        <ns0:v>16R</ns0:v>
      </ns0:c>
      <ns0:c r="D32" t="str" s="11">
        <ns0:f>SUBSTITUTE(SUBSTITUTE(SUBSTITUTE(SUBSTITUTE(C32,"meg"," МОм"),"k"," кОм"),"R"," Ом"),".",",")</ns0:f>
        <ns0:v>16 Ом</ns0:v>
      </ns0:c>
      <ns0:c r="E32" t="str" s="10">
        <ns0:v>±5%</ns0:v>
      </ns0:c>
      <ns0:c r="F32" t="str" s="10">
        <ns0:v>0,1 Вт</ns0:v>
      </ns0:c>
      <ns0:c r="G32" t="str" s="10">
        <ns0:v>75 В макс.</ns0:v>
      </ns0:c>
      <ns0:c r="H32" t="str" s="12">
        <ns0:v>0603</ns0:v>
      </ns0:c>
      <ns0:c r="I32" t="str" s="10">
        <ns0:v>YAGEO</ns0:v>
      </ns0:c>
      <ns0:c r="J32" t="str" s="10">
        <ns0:v>RC0603JR-0716RL</ns0:v>
      </ns0:c>
      <ns0:c r="K32" t="str" s="11">
        <ns0:f>B32&amp;" "&amp;D32&amp;" "&amp;E32&amp;" "&amp;H32</ns0:f>
        <ns0:v>Резистор 16 Ом ±5% 0603</ns0:v>
      </ns0:c>
      <ns0:c r="L32" t="str" s="13">
        <ns0:v>R</ns0:v>
      </ns0:c>
      <ns0:c r="M32" t="str" s="13">
        <ns0:v>Symbols\MY_LIB_Resistors.SchLib</ns0:v>
      </ns0:c>
      <ns0:c r="N32" t="str" s="13">
        <ns0:v>RESC1608X55N</ns0:v>
      </ns0:c>
      <ns0:c r="O32" t="str" s="13">
        <ns0:v>Footprints\PBL - SMD Packages.PcbLib</ns0:v>
      </ns0:c>
      <ns0:c xmlns:ns0="http://schemas.openxmlformats.org/spreadsheetml/2006/main" r="P3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2" s="10"/>
      <ns0:c r="R32" t="str" s="11">
        <ns0:f>D32</ns0:f>
        <ns0:v>16 Ом</ns0:v>
      </ns0:c>
      <ns0:c r="S32" t="str" s="11">
        <ns0:f>K32</ns0:f>
        <ns0:v>Резистор 16 Ом ±5% 0603</ns0:v>
      </ns0:c>
      <x:c xmlns:x="http://schemas.openxmlformats.org/spreadsheetml/2006/main" r="T32" t="str" s="11">
        <x:v>C:\Users\Nomatin\Documents\Altium\MY_LIB\MY_LIB\Datasheets\YAGEO_RC_L.pdf</x:v>
      </x:c>
      <x:c xmlns:x="http://schemas.openxmlformats.org/spreadsheetml/2006/main" r="U32" t="str" s="11">
        <x:v>Даташит — локальный</x:v>
      </x:c>
      <x:c xmlns:x="http://schemas.openxmlformats.org/spreadsheetml/2006/main" r="V32" t="str" s="11">
        <x:v>C:\Users\Nomatin\Documents\Altium\MY_LIB\MY_LIB\Datasheets\YAGEO_RC_L.pdf</x:v>
      </x:c>
      <x:c xmlns:x="http://schemas.openxmlformats.org/spreadsheetml/2006/main" r="W32" t="str" s="11">
        <x:v>Даташит — производитель</x:v>
      </x:c>
      <x:c xmlns:x="http://schemas.openxmlformats.org/spreadsheetml/2006/main" r="X32" t="str" s="11">
        <x:v>https://yageogroup.com/content/datasheet/asset/file/PYU-RC_GROUP_51_ROHS_L</x:v>
      </x:c>
      <x:c xmlns:x="http://schemas.openxmlformats.org/spreadsheetml/2006/main" r="Y32" t="str" s="11">
        <x:v>C:\Users\Nomatin\Documents\Altium\MY_LIB\MY_LIB\Datasheets\YAGEO_RC_L.pdf</x:v>
      </x:c>
      <ns0:c xmlns:ns0="http://schemas.openxmlformats.org/spreadsheetml/2006/main" r="Z32" s="16" t="inlineStr">
        <ns0:is>
          <ns0:t>MY_LIB_R_TCR</ns0:t>
        </ns0:is>
      </ns0:c>
      <ns0:c xmlns:ns0="http://schemas.openxmlformats.org/spreadsheetml/2006/main" r="AA32" s="16" t="inlineStr">
        <ns0:is>
          <ns0:t>R(T), +100 ppm/C at 25 C; positive datasheet limit</ns0:t>
        </ns0:is>
      </ns0:c>
      <ns0:c xmlns:ns0="http://schemas.openxmlformats.org/spreadsheetml/2006/main" r="AB32" s="16" t="str">
        <ns0:v>General</ns0:v>
      </ns0:c>
      <ns0:c xmlns:ns0="http://schemas.openxmlformats.org/spreadsheetml/2006/main" r="AC32" s="16" t="inlineStr">
        <ns0:is>
          <ns0:t>Spice Subcircuit</ns0:t>
        </ns0:is>
      </ns0:c>
      <ns0:c xmlns:ns0="http://schemas.openxmlformats.org/spreadsheetml/2006/main" r="AD32" s="16" t="inlineStr">
        <ns0:is>
          <ns0:t>@DESIGNATOR %1 %2 @MODEL PARAMS: Rvalue=@VALUE TC1value=100u</ns0:t>
        </ns0:is>
      </ns0:c>
      <ns0:c xmlns:ns0="http://schemas.openxmlformats.org/spreadsheetml/2006/main" r="AE32" s="16" t="inlineStr">
        <ns0:is>
          <ns0:t>X</ns0:t>
        </ns0:is>
      </ns0:c>
      <ns0:c xmlns:ns0="http://schemas.openxmlformats.org/spreadsheetml/2006/main" r="AF32" s="16" t="str">
        <ns0:v>(1:1),(2:2)</ns0:v>
      </ns0:c>
      <ns0:c xmlns:ns0="http://schemas.openxmlformats.org/spreadsheetml/2006/main" r="AG32" s="16" t="inlineStr">
        <ns0:is>
          <ns0:t>Simulation\Resistors\MY_LIB_R_TCR.ckt</ns0:t>
        </ns0:is>
      </ns0:c>
      <ns0:c xmlns:ns0="http://schemas.openxmlformats.org/spreadsheetml/2006/main" r="AH32" s="16" t="inlineStr">
        <ns0:is>
          <ns0:t>±100 ppm/°C</ns0:t>
        </ns0:is>
      </ns0:c>
    </ns0:row>
    <ns0:row r="33" ht="30" customHeight="1">
      <ns0:c r="A33" t="str" s="10">
        <ns0:v>R0039</ns0:v>
      </ns0:c>
      <ns0:c r="B33" t="str" s="10">
        <ns0:v>Резистор</ns0:v>
      </ns0:c>
      <ns0:c r="C33" t="str" s="10">
        <ns0:v>18R</ns0:v>
      </ns0:c>
      <ns0:c r="D33" t="str" s="11">
        <ns0:f>SUBSTITUTE(SUBSTITUTE(SUBSTITUTE(SUBSTITUTE(C33,"meg"," МОм"),"k"," кОм"),"R"," Ом"),".",",")</ns0:f>
        <ns0:v>18 Ом</ns0:v>
      </ns0:c>
      <ns0:c r="E33" t="str" s="10">
        <ns0:v>±5%</ns0:v>
      </ns0:c>
      <ns0:c r="F33" t="str" s="10">
        <ns0:v>0,1 Вт</ns0:v>
      </ns0:c>
      <ns0:c r="G33" t="str" s="10">
        <ns0:v>75 В макс.</ns0:v>
      </ns0:c>
      <ns0:c r="H33" t="str" s="12">
        <ns0:v>0603</ns0:v>
      </ns0:c>
      <ns0:c r="I33" t="str" s="10">
        <ns0:v>YAGEO</ns0:v>
      </ns0:c>
      <ns0:c r="J33" t="str" s="10">
        <ns0:v>RC0603JR-0718RL</ns0:v>
      </ns0:c>
      <ns0:c r="K33" t="str" s="11">
        <ns0:f>B33&amp;" "&amp;D33&amp;" "&amp;E33&amp;" "&amp;H33</ns0:f>
        <ns0:v>Резистор 18 Ом ±5% 0603</ns0:v>
      </ns0:c>
      <ns0:c r="L33" t="str" s="13">
        <ns0:v>R</ns0:v>
      </ns0:c>
      <ns0:c r="M33" t="str" s="13">
        <ns0:v>Symbols\MY_LIB_Resistors.SchLib</ns0:v>
      </ns0:c>
      <ns0:c r="N33" t="str" s="13">
        <ns0:v>RESC1608X55N</ns0:v>
      </ns0:c>
      <ns0:c r="O33" t="str" s="13">
        <ns0:v>Footprints\PBL - SMD Packages.PcbLib</ns0:v>
      </ns0:c>
      <ns0:c xmlns:ns0="http://schemas.openxmlformats.org/spreadsheetml/2006/main" r="P3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3" s="10"/>
      <ns0:c r="R33" t="str" s="11">
        <ns0:f>D33</ns0:f>
        <ns0:v>18 Ом</ns0:v>
      </ns0:c>
      <ns0:c r="S33" t="str" s="11">
        <ns0:f>K33</ns0:f>
        <ns0:v>Резистор 18 Ом ±5% 0603</ns0:v>
      </ns0:c>
      <x:c xmlns:x="http://schemas.openxmlformats.org/spreadsheetml/2006/main" r="T33" t="str" s="11">
        <x:v>C:\Users\Nomatin\Documents\Altium\MY_LIB\MY_LIB\Datasheets\YAGEO_RC_L.pdf</x:v>
      </x:c>
      <x:c xmlns:x="http://schemas.openxmlformats.org/spreadsheetml/2006/main" r="U33" t="str" s="11">
        <x:v>Даташит — локальный</x:v>
      </x:c>
      <x:c xmlns:x="http://schemas.openxmlformats.org/spreadsheetml/2006/main" r="V33" t="str" s="11">
        <x:v>C:\Users\Nomatin\Documents\Altium\MY_LIB\MY_LIB\Datasheets\YAGEO_RC_L.pdf</x:v>
      </x:c>
      <x:c xmlns:x="http://schemas.openxmlformats.org/spreadsheetml/2006/main" r="W33" t="str" s="11">
        <x:v>Даташит — производитель</x:v>
      </x:c>
      <x:c xmlns:x="http://schemas.openxmlformats.org/spreadsheetml/2006/main" r="X33" t="str" s="11">
        <x:v>https://yageogroup.com/content/datasheet/asset/file/PYU-RC_GROUP_51_ROHS_L</x:v>
      </x:c>
      <x:c xmlns:x="http://schemas.openxmlformats.org/spreadsheetml/2006/main" r="Y33" t="str" s="11">
        <x:v>C:\Users\Nomatin\Documents\Altium\MY_LIB\MY_LIB\Datasheets\YAGEO_RC_L.pdf</x:v>
      </x:c>
      <ns0:c xmlns:ns0="http://schemas.openxmlformats.org/spreadsheetml/2006/main" r="Z33" s="16" t="inlineStr">
        <ns0:is>
          <ns0:t>MY_LIB_R_TCR</ns0:t>
        </ns0:is>
      </ns0:c>
      <ns0:c xmlns:ns0="http://schemas.openxmlformats.org/spreadsheetml/2006/main" r="AA33" s="16" t="inlineStr">
        <ns0:is>
          <ns0:t>R(T), +100 ppm/C at 25 C; positive datasheet limit</ns0:t>
        </ns0:is>
      </ns0:c>
      <ns0:c xmlns:ns0="http://schemas.openxmlformats.org/spreadsheetml/2006/main" r="AB33" s="16" t="str">
        <ns0:v>General</ns0:v>
      </ns0:c>
      <ns0:c xmlns:ns0="http://schemas.openxmlformats.org/spreadsheetml/2006/main" r="AC33" s="16" t="inlineStr">
        <ns0:is>
          <ns0:t>Spice Subcircuit</ns0:t>
        </ns0:is>
      </ns0:c>
      <ns0:c xmlns:ns0="http://schemas.openxmlformats.org/spreadsheetml/2006/main" r="AD33" s="16" t="inlineStr">
        <ns0:is>
          <ns0:t>@DESIGNATOR %1 %2 @MODEL PARAMS: Rvalue=@VALUE TC1value=100u</ns0:t>
        </ns0:is>
      </ns0:c>
      <ns0:c xmlns:ns0="http://schemas.openxmlformats.org/spreadsheetml/2006/main" r="AE33" s="16" t="inlineStr">
        <ns0:is>
          <ns0:t>X</ns0:t>
        </ns0:is>
      </ns0:c>
      <ns0:c xmlns:ns0="http://schemas.openxmlformats.org/spreadsheetml/2006/main" r="AF33" s="16" t="str">
        <ns0:v>(1:1),(2:2)</ns0:v>
      </ns0:c>
      <ns0:c xmlns:ns0="http://schemas.openxmlformats.org/spreadsheetml/2006/main" r="AG33" s="16" t="inlineStr">
        <ns0:is>
          <ns0:t>Simulation\Resistors\MY_LIB_R_TCR.ckt</ns0:t>
        </ns0:is>
      </ns0:c>
      <ns0:c xmlns:ns0="http://schemas.openxmlformats.org/spreadsheetml/2006/main" r="AH33" s="16" t="inlineStr">
        <ns0:is>
          <ns0:t>±100 ppm/°C</ns0:t>
        </ns0:is>
      </ns0:c>
    </ns0:row>
    <ns0:row r="34" ht="30" customHeight="1">
      <ns0:c r="A34" t="str" s="10">
        <ns0:v>R0040</ns0:v>
      </ns0:c>
      <ns0:c r="B34" t="str" s="10">
        <ns0:v>Резистор</ns0:v>
      </ns0:c>
      <ns0:c r="C34" t="str" s="10">
        <ns0:v>20R</ns0:v>
      </ns0:c>
      <ns0:c r="D34" t="str" s="11">
        <ns0:f>SUBSTITUTE(SUBSTITUTE(SUBSTITUTE(SUBSTITUTE(C34,"meg"," МОм"),"k"," кОм"),"R"," Ом"),".",",")</ns0:f>
        <ns0:v>20 Ом</ns0:v>
      </ns0:c>
      <ns0:c r="E34" t="str" s="10">
        <ns0:v>±5%</ns0:v>
      </ns0:c>
      <ns0:c r="F34" t="str" s="10">
        <ns0:v>0,1 Вт</ns0:v>
      </ns0:c>
      <ns0:c r="G34" t="str" s="10">
        <ns0:v>75 В макс.</ns0:v>
      </ns0:c>
      <ns0:c r="H34" t="str" s="12">
        <ns0:v>0603</ns0:v>
      </ns0:c>
      <ns0:c r="I34" t="str" s="10">
        <ns0:v>YAGEO</ns0:v>
      </ns0:c>
      <ns0:c r="J34" t="str" s="10">
        <ns0:v>RC0603JR-0720RL</ns0:v>
      </ns0:c>
      <ns0:c r="K34" t="str" s="11">
        <ns0:f>B34&amp;" "&amp;D34&amp;" "&amp;E34&amp;" "&amp;H34</ns0:f>
        <ns0:v>Резистор 20 Ом ±5% 0603</ns0:v>
      </ns0:c>
      <ns0:c r="L34" t="str" s="13">
        <ns0:v>R</ns0:v>
      </ns0:c>
      <ns0:c r="M34" t="str" s="13">
        <ns0:v>Symbols\MY_LIB_Resistors.SchLib</ns0:v>
      </ns0:c>
      <ns0:c r="N34" t="str" s="13">
        <ns0:v>RESC1608X55N</ns0:v>
      </ns0:c>
      <ns0:c r="O34" t="str" s="13">
        <ns0:v>Footprints\PBL - SMD Packages.PcbLib</ns0:v>
      </ns0:c>
      <ns0:c xmlns:ns0="http://schemas.openxmlformats.org/spreadsheetml/2006/main" r="P3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4" s="10"/>
      <ns0:c r="R34" t="str" s="11">
        <ns0:f>D34</ns0:f>
        <ns0:v>20 Ом</ns0:v>
      </ns0:c>
      <ns0:c r="S34" t="str" s="11">
        <ns0:f>K34</ns0:f>
        <ns0:v>Резистор 20 Ом ±5% 0603</ns0:v>
      </ns0:c>
      <x:c xmlns:x="http://schemas.openxmlformats.org/spreadsheetml/2006/main" r="T34" t="str" s="11">
        <x:v>C:\Users\Nomatin\Documents\Altium\MY_LIB\MY_LIB\Datasheets\YAGEO_RC_L.pdf</x:v>
      </x:c>
      <x:c xmlns:x="http://schemas.openxmlformats.org/spreadsheetml/2006/main" r="U34" t="str" s="11">
        <x:v>Даташит — локальный</x:v>
      </x:c>
      <x:c xmlns:x="http://schemas.openxmlformats.org/spreadsheetml/2006/main" r="V34" t="str" s="11">
        <x:v>C:\Users\Nomatin\Documents\Altium\MY_LIB\MY_LIB\Datasheets\YAGEO_RC_L.pdf</x:v>
      </x:c>
      <x:c xmlns:x="http://schemas.openxmlformats.org/spreadsheetml/2006/main" r="W34" t="str" s="11">
        <x:v>Даташит — производитель</x:v>
      </x:c>
      <x:c xmlns:x="http://schemas.openxmlformats.org/spreadsheetml/2006/main" r="X34" t="str" s="11">
        <x:v>https://yageogroup.com/content/datasheet/asset/file/PYU-RC_GROUP_51_ROHS_L</x:v>
      </x:c>
      <x:c xmlns:x="http://schemas.openxmlformats.org/spreadsheetml/2006/main" r="Y34" t="str" s="11">
        <x:v>C:\Users\Nomatin\Documents\Altium\MY_LIB\MY_LIB\Datasheets\YAGEO_RC_L.pdf</x:v>
      </x:c>
      <ns0:c xmlns:ns0="http://schemas.openxmlformats.org/spreadsheetml/2006/main" r="Z34" s="16" t="inlineStr">
        <ns0:is>
          <ns0:t>MY_LIB_R_TCR</ns0:t>
        </ns0:is>
      </ns0:c>
      <ns0:c xmlns:ns0="http://schemas.openxmlformats.org/spreadsheetml/2006/main" r="AA34" s="16" t="inlineStr">
        <ns0:is>
          <ns0:t>R(T), +100 ppm/C at 25 C; positive datasheet limit</ns0:t>
        </ns0:is>
      </ns0:c>
      <ns0:c xmlns:ns0="http://schemas.openxmlformats.org/spreadsheetml/2006/main" r="AB34" s="16" t="str">
        <ns0:v>General</ns0:v>
      </ns0:c>
      <ns0:c xmlns:ns0="http://schemas.openxmlformats.org/spreadsheetml/2006/main" r="AC34" s="16" t="inlineStr">
        <ns0:is>
          <ns0:t>Spice Subcircuit</ns0:t>
        </ns0:is>
      </ns0:c>
      <ns0:c xmlns:ns0="http://schemas.openxmlformats.org/spreadsheetml/2006/main" r="AD34" s="16" t="inlineStr">
        <ns0:is>
          <ns0:t>@DESIGNATOR %1 %2 @MODEL PARAMS: Rvalue=@VALUE TC1value=100u</ns0:t>
        </ns0:is>
      </ns0:c>
      <ns0:c xmlns:ns0="http://schemas.openxmlformats.org/spreadsheetml/2006/main" r="AE34" s="16" t="inlineStr">
        <ns0:is>
          <ns0:t>X</ns0:t>
        </ns0:is>
      </ns0:c>
      <ns0:c xmlns:ns0="http://schemas.openxmlformats.org/spreadsheetml/2006/main" r="AF34" s="16" t="str">
        <ns0:v>(1:1),(2:2)</ns0:v>
      </ns0:c>
      <ns0:c xmlns:ns0="http://schemas.openxmlformats.org/spreadsheetml/2006/main" r="AG34" s="16" t="inlineStr">
        <ns0:is>
          <ns0:t>Simulation\Resistors\MY_LIB_R_TCR.ckt</ns0:t>
        </ns0:is>
      </ns0:c>
      <ns0:c xmlns:ns0="http://schemas.openxmlformats.org/spreadsheetml/2006/main" r="AH34" s="16" t="inlineStr">
        <ns0:is>
          <ns0:t>±100 ppm/°C</ns0:t>
        </ns0:is>
      </ns0:c>
    </ns0:row>
    <ns0:row r="35" ht="30" customHeight="1">
      <ns0:c r="A35" t="str" s="10">
        <ns0:v>R0041</ns0:v>
      </ns0:c>
      <ns0:c r="B35" t="str" s="10">
        <ns0:v>Резистор</ns0:v>
      </ns0:c>
      <ns0:c r="C35" t="str" s="10">
        <ns0:v>22R</ns0:v>
      </ns0:c>
      <ns0:c r="D35" t="str" s="11">
        <ns0:f>SUBSTITUTE(SUBSTITUTE(SUBSTITUTE(SUBSTITUTE(C35,"meg"," МОм"),"k"," кОм"),"R"," Ом"),".",",")</ns0:f>
        <ns0:v>22 Ом</ns0:v>
      </ns0:c>
      <ns0:c r="E35" t="str" s="10">
        <ns0:v>±5%</ns0:v>
      </ns0:c>
      <ns0:c r="F35" t="str" s="10">
        <ns0:v>0,1 Вт</ns0:v>
      </ns0:c>
      <ns0:c r="G35" t="str" s="10">
        <ns0:v>75 В макс.</ns0:v>
      </ns0:c>
      <ns0:c r="H35" t="str" s="12">
        <ns0:v>0603</ns0:v>
      </ns0:c>
      <ns0:c r="I35" t="str" s="10">
        <ns0:v>YAGEO</ns0:v>
      </ns0:c>
      <ns0:c r="J35" t="str" s="10">
        <ns0:v>RC0603JR-0722RL</ns0:v>
      </ns0:c>
      <ns0:c r="K35" t="str" s="11">
        <ns0:f>B35&amp;" "&amp;D35&amp;" "&amp;E35&amp;" "&amp;H35</ns0:f>
        <ns0:v>Резистор 22 Ом ±5% 0603</ns0:v>
      </ns0:c>
      <ns0:c r="L35" t="str" s="13">
        <ns0:v>R</ns0:v>
      </ns0:c>
      <ns0:c r="M35" t="str" s="13">
        <ns0:v>Symbols\MY_LIB_Resistors.SchLib</ns0:v>
      </ns0:c>
      <ns0:c r="N35" t="str" s="13">
        <ns0:v>RESC1608X55N</ns0:v>
      </ns0:c>
      <ns0:c r="O35" t="str" s="13">
        <ns0:v>Footprints\PBL - SMD Packages.PcbLib</ns0:v>
      </ns0:c>
      <ns0:c xmlns:ns0="http://schemas.openxmlformats.org/spreadsheetml/2006/main" r="P3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5" s="10"/>
      <ns0:c r="R35" t="str" s="11">
        <ns0:f>D35</ns0:f>
        <ns0:v>22 Ом</ns0:v>
      </ns0:c>
      <ns0:c r="S35" t="str" s="11">
        <ns0:f>K35</ns0:f>
        <ns0:v>Резистор 22 Ом ±5% 0603</ns0:v>
      </ns0:c>
      <x:c xmlns:x="http://schemas.openxmlformats.org/spreadsheetml/2006/main" r="T35" t="str" s="11">
        <x:v>C:\Users\Nomatin\Documents\Altium\MY_LIB\MY_LIB\Datasheets\YAGEO_RC_L.pdf</x:v>
      </x:c>
      <x:c xmlns:x="http://schemas.openxmlformats.org/spreadsheetml/2006/main" r="U35" t="str" s="11">
        <x:v>Даташит — локальный</x:v>
      </x:c>
      <x:c xmlns:x="http://schemas.openxmlformats.org/spreadsheetml/2006/main" r="V35" t="str" s="11">
        <x:v>C:\Users\Nomatin\Documents\Altium\MY_LIB\MY_LIB\Datasheets\YAGEO_RC_L.pdf</x:v>
      </x:c>
      <x:c xmlns:x="http://schemas.openxmlformats.org/spreadsheetml/2006/main" r="W35" t="str" s="11">
        <x:v>Даташит — производитель</x:v>
      </x:c>
      <x:c xmlns:x="http://schemas.openxmlformats.org/spreadsheetml/2006/main" r="X35" t="str" s="11">
        <x:v>https://yageogroup.com/content/datasheet/asset/file/PYU-RC_GROUP_51_ROHS_L</x:v>
      </x:c>
      <x:c xmlns:x="http://schemas.openxmlformats.org/spreadsheetml/2006/main" r="Y35" t="str" s="11">
        <x:v>C:\Users\Nomatin\Documents\Altium\MY_LIB\MY_LIB\Datasheets\YAGEO_RC_L.pdf</x:v>
      </x:c>
      <ns0:c xmlns:ns0="http://schemas.openxmlformats.org/spreadsheetml/2006/main" r="Z35" s="16" t="inlineStr">
        <ns0:is>
          <ns0:t>MY_LIB_R_TCR</ns0:t>
        </ns0:is>
      </ns0:c>
      <ns0:c xmlns:ns0="http://schemas.openxmlformats.org/spreadsheetml/2006/main" r="AA35" s="16" t="inlineStr">
        <ns0:is>
          <ns0:t>R(T), +100 ppm/C at 25 C; positive datasheet limit</ns0:t>
        </ns0:is>
      </ns0:c>
      <ns0:c xmlns:ns0="http://schemas.openxmlformats.org/spreadsheetml/2006/main" r="AB35" s="16" t="str">
        <ns0:v>General</ns0:v>
      </ns0:c>
      <ns0:c xmlns:ns0="http://schemas.openxmlformats.org/spreadsheetml/2006/main" r="AC35" s="16" t="inlineStr">
        <ns0:is>
          <ns0:t>Spice Subcircuit</ns0:t>
        </ns0:is>
      </ns0:c>
      <ns0:c xmlns:ns0="http://schemas.openxmlformats.org/spreadsheetml/2006/main" r="AD35" s="16" t="inlineStr">
        <ns0:is>
          <ns0:t>@DESIGNATOR %1 %2 @MODEL PARAMS: Rvalue=@VALUE TC1value=100u</ns0:t>
        </ns0:is>
      </ns0:c>
      <ns0:c xmlns:ns0="http://schemas.openxmlformats.org/spreadsheetml/2006/main" r="AE35" s="16" t="inlineStr">
        <ns0:is>
          <ns0:t>X</ns0:t>
        </ns0:is>
      </ns0:c>
      <ns0:c xmlns:ns0="http://schemas.openxmlformats.org/spreadsheetml/2006/main" r="AF35" s="16" t="str">
        <ns0:v>(1:1),(2:2)</ns0:v>
      </ns0:c>
      <ns0:c xmlns:ns0="http://schemas.openxmlformats.org/spreadsheetml/2006/main" r="AG35" s="16" t="inlineStr">
        <ns0:is>
          <ns0:t>Simulation\Resistors\MY_LIB_R_TCR.ckt</ns0:t>
        </ns0:is>
      </ns0:c>
      <ns0:c xmlns:ns0="http://schemas.openxmlformats.org/spreadsheetml/2006/main" r="AH35" s="16" t="inlineStr">
        <ns0:is>
          <ns0:t>±100 ppm/°C</ns0:t>
        </ns0:is>
      </ns0:c>
    </ns0:row>
    <ns0:row r="36" ht="30" customHeight="1">
      <ns0:c r="A36" t="str" s="10">
        <ns0:v>R0042</ns0:v>
      </ns0:c>
      <ns0:c r="B36" t="str" s="10">
        <ns0:v>Резистор</ns0:v>
      </ns0:c>
      <ns0:c r="C36" t="str" s="10">
        <ns0:v>24R</ns0:v>
      </ns0:c>
      <ns0:c r="D36" t="str" s="11">
        <ns0:f>SUBSTITUTE(SUBSTITUTE(SUBSTITUTE(SUBSTITUTE(C36,"meg"," МОм"),"k"," кОм"),"R"," Ом"),".",",")</ns0:f>
        <ns0:v>24 Ом</ns0:v>
      </ns0:c>
      <ns0:c r="E36" t="str" s="10">
        <ns0:v>±5%</ns0:v>
      </ns0:c>
      <ns0:c r="F36" t="str" s="10">
        <ns0:v>0,1 Вт</ns0:v>
      </ns0:c>
      <ns0:c r="G36" t="str" s="10">
        <ns0:v>75 В макс.</ns0:v>
      </ns0:c>
      <ns0:c r="H36" t="str" s="12">
        <ns0:v>0603</ns0:v>
      </ns0:c>
      <ns0:c r="I36" t="str" s="10">
        <ns0:v>YAGEO</ns0:v>
      </ns0:c>
      <ns0:c r="J36" t="str" s="10">
        <ns0:v>RC0603JR-0724RL</ns0:v>
      </ns0:c>
      <ns0:c r="K36" t="str" s="11">
        <ns0:f>B36&amp;" "&amp;D36&amp;" "&amp;E36&amp;" "&amp;H36</ns0:f>
        <ns0:v>Резистор 24 Ом ±5% 0603</ns0:v>
      </ns0:c>
      <ns0:c r="L36" t="str" s="13">
        <ns0:v>R</ns0:v>
      </ns0:c>
      <ns0:c r="M36" t="str" s="13">
        <ns0:v>Symbols\MY_LIB_Resistors.SchLib</ns0:v>
      </ns0:c>
      <ns0:c r="N36" t="str" s="13">
        <ns0:v>RESC1608X55N</ns0:v>
      </ns0:c>
      <ns0:c r="O36" t="str" s="13">
        <ns0:v>Footprints\PBL - SMD Packages.PcbLib</ns0:v>
      </ns0:c>
      <ns0:c xmlns:ns0="http://schemas.openxmlformats.org/spreadsheetml/2006/main" r="P3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6" s="10"/>
      <ns0:c r="R36" t="str" s="11">
        <ns0:f>D36</ns0:f>
        <ns0:v>24 Ом</ns0:v>
      </ns0:c>
      <ns0:c r="S36" t="str" s="11">
        <ns0:f>K36</ns0:f>
        <ns0:v>Резистор 24 Ом ±5% 0603</ns0:v>
      </ns0:c>
      <x:c xmlns:x="http://schemas.openxmlformats.org/spreadsheetml/2006/main" r="T36" t="str" s="11">
        <x:v>C:\Users\Nomatin\Documents\Altium\MY_LIB\MY_LIB\Datasheets\YAGEO_RC_L.pdf</x:v>
      </x:c>
      <x:c xmlns:x="http://schemas.openxmlformats.org/spreadsheetml/2006/main" r="U36" t="str" s="11">
        <x:v>Даташит — локальный</x:v>
      </x:c>
      <x:c xmlns:x="http://schemas.openxmlformats.org/spreadsheetml/2006/main" r="V36" t="str" s="11">
        <x:v>C:\Users\Nomatin\Documents\Altium\MY_LIB\MY_LIB\Datasheets\YAGEO_RC_L.pdf</x:v>
      </x:c>
      <x:c xmlns:x="http://schemas.openxmlformats.org/spreadsheetml/2006/main" r="W36" t="str" s="11">
        <x:v>Даташит — производитель</x:v>
      </x:c>
      <x:c xmlns:x="http://schemas.openxmlformats.org/spreadsheetml/2006/main" r="X36" t="str" s="11">
        <x:v>https://yageogroup.com/content/datasheet/asset/file/PYU-RC_GROUP_51_ROHS_L</x:v>
      </x:c>
      <x:c xmlns:x="http://schemas.openxmlformats.org/spreadsheetml/2006/main" r="Y36" t="str" s="11">
        <x:v>C:\Users\Nomatin\Documents\Altium\MY_LIB\MY_LIB\Datasheets\YAGEO_RC_L.pdf</x:v>
      </x:c>
      <ns0:c xmlns:ns0="http://schemas.openxmlformats.org/spreadsheetml/2006/main" r="Z36" s="16" t="inlineStr">
        <ns0:is>
          <ns0:t>MY_LIB_R_TCR</ns0:t>
        </ns0:is>
      </ns0:c>
      <ns0:c xmlns:ns0="http://schemas.openxmlformats.org/spreadsheetml/2006/main" r="AA36" s="16" t="inlineStr">
        <ns0:is>
          <ns0:t>R(T), +100 ppm/C at 25 C; positive datasheet limit</ns0:t>
        </ns0:is>
      </ns0:c>
      <ns0:c xmlns:ns0="http://schemas.openxmlformats.org/spreadsheetml/2006/main" r="AB36" s="16" t="str">
        <ns0:v>General</ns0:v>
      </ns0:c>
      <ns0:c xmlns:ns0="http://schemas.openxmlformats.org/spreadsheetml/2006/main" r="AC36" s="16" t="inlineStr">
        <ns0:is>
          <ns0:t>Spice Subcircuit</ns0:t>
        </ns0:is>
      </ns0:c>
      <ns0:c xmlns:ns0="http://schemas.openxmlformats.org/spreadsheetml/2006/main" r="AD36" s="16" t="inlineStr">
        <ns0:is>
          <ns0:t>@DESIGNATOR %1 %2 @MODEL PARAMS: Rvalue=@VALUE TC1value=100u</ns0:t>
        </ns0:is>
      </ns0:c>
      <ns0:c xmlns:ns0="http://schemas.openxmlformats.org/spreadsheetml/2006/main" r="AE36" s="16" t="inlineStr">
        <ns0:is>
          <ns0:t>X</ns0:t>
        </ns0:is>
      </ns0:c>
      <ns0:c xmlns:ns0="http://schemas.openxmlformats.org/spreadsheetml/2006/main" r="AF36" s="16" t="str">
        <ns0:v>(1:1),(2:2)</ns0:v>
      </ns0:c>
      <ns0:c xmlns:ns0="http://schemas.openxmlformats.org/spreadsheetml/2006/main" r="AG36" s="16" t="inlineStr">
        <ns0:is>
          <ns0:t>Simulation\Resistors\MY_LIB_R_TCR.ckt</ns0:t>
        </ns0:is>
      </ns0:c>
      <ns0:c xmlns:ns0="http://schemas.openxmlformats.org/spreadsheetml/2006/main" r="AH36" s="16" t="inlineStr">
        <ns0:is>
          <ns0:t>±100 ppm/°C</ns0:t>
        </ns0:is>
      </ns0:c>
    </ns0:row>
    <ns0:row r="37" ht="30" customHeight="1">
      <ns0:c r="A37" t="str" s="10">
        <ns0:v>R0043</ns0:v>
      </ns0:c>
      <ns0:c r="B37" t="str" s="10">
        <ns0:v>Резистор</ns0:v>
      </ns0:c>
      <ns0:c r="C37" t="str" s="10">
        <ns0:v>27R</ns0:v>
      </ns0:c>
      <ns0:c r="D37" t="str" s="11">
        <ns0:f>SUBSTITUTE(SUBSTITUTE(SUBSTITUTE(SUBSTITUTE(C37,"meg"," МОм"),"k"," кОм"),"R"," Ом"),".",",")</ns0:f>
        <ns0:v>27 Ом</ns0:v>
      </ns0:c>
      <ns0:c r="E37" t="str" s="10">
        <ns0:v>±5%</ns0:v>
      </ns0:c>
      <ns0:c r="F37" t="str" s="10">
        <ns0:v>0,1 Вт</ns0:v>
      </ns0:c>
      <ns0:c r="G37" t="str" s="10">
        <ns0:v>75 В макс.</ns0:v>
      </ns0:c>
      <ns0:c r="H37" t="str" s="12">
        <ns0:v>0603</ns0:v>
      </ns0:c>
      <ns0:c r="I37" t="str" s="10">
        <ns0:v>YAGEO</ns0:v>
      </ns0:c>
      <ns0:c r="J37" t="str" s="10">
        <ns0:v>RC0603JR-0727RL</ns0:v>
      </ns0:c>
      <ns0:c r="K37" t="str" s="11">
        <ns0:f>B37&amp;" "&amp;D37&amp;" "&amp;E37&amp;" "&amp;H37</ns0:f>
        <ns0:v>Резистор 27 Ом ±5% 0603</ns0:v>
      </ns0:c>
      <ns0:c r="L37" t="str" s="13">
        <ns0:v>R</ns0:v>
      </ns0:c>
      <ns0:c r="M37" t="str" s="13">
        <ns0:v>Symbols\MY_LIB_Resistors.SchLib</ns0:v>
      </ns0:c>
      <ns0:c r="N37" t="str" s="13">
        <ns0:v>RESC1608X55N</ns0:v>
      </ns0:c>
      <ns0:c r="O37" t="str" s="13">
        <ns0:v>Footprints\PBL - SMD Packages.PcbLib</ns0:v>
      </ns0:c>
      <ns0:c xmlns:ns0="http://schemas.openxmlformats.org/spreadsheetml/2006/main" r="P3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7" s="10"/>
      <ns0:c r="R37" t="str" s="11">
        <ns0:f>D37</ns0:f>
        <ns0:v>27 Ом</ns0:v>
      </ns0:c>
      <ns0:c r="S37" t="str" s="11">
        <ns0:f>K37</ns0:f>
        <ns0:v>Резистор 27 Ом ±5% 0603</ns0:v>
      </ns0:c>
      <x:c xmlns:x="http://schemas.openxmlformats.org/spreadsheetml/2006/main" r="T37" t="str" s="11">
        <x:v>C:\Users\Nomatin\Documents\Altium\MY_LIB\MY_LIB\Datasheets\YAGEO_RC_L.pdf</x:v>
      </x:c>
      <x:c xmlns:x="http://schemas.openxmlformats.org/spreadsheetml/2006/main" r="U37" t="str" s="11">
        <x:v>Даташит — локальный</x:v>
      </x:c>
      <x:c xmlns:x="http://schemas.openxmlformats.org/spreadsheetml/2006/main" r="V37" t="str" s="11">
        <x:v>C:\Users\Nomatin\Documents\Altium\MY_LIB\MY_LIB\Datasheets\YAGEO_RC_L.pdf</x:v>
      </x:c>
      <x:c xmlns:x="http://schemas.openxmlformats.org/spreadsheetml/2006/main" r="W37" t="str" s="11">
        <x:v>Даташит — производитель</x:v>
      </x:c>
      <x:c xmlns:x="http://schemas.openxmlformats.org/spreadsheetml/2006/main" r="X37" t="str" s="11">
        <x:v>https://yageogroup.com/content/datasheet/asset/file/PYU-RC_GROUP_51_ROHS_L</x:v>
      </x:c>
      <x:c xmlns:x="http://schemas.openxmlformats.org/spreadsheetml/2006/main" r="Y37" t="str" s="11">
        <x:v>C:\Users\Nomatin\Documents\Altium\MY_LIB\MY_LIB\Datasheets\YAGEO_RC_L.pdf</x:v>
      </x:c>
      <ns0:c xmlns:ns0="http://schemas.openxmlformats.org/spreadsheetml/2006/main" r="Z37" s="16" t="inlineStr">
        <ns0:is>
          <ns0:t>MY_LIB_R_TCR</ns0:t>
        </ns0:is>
      </ns0:c>
      <ns0:c xmlns:ns0="http://schemas.openxmlformats.org/spreadsheetml/2006/main" r="AA37" s="16" t="inlineStr">
        <ns0:is>
          <ns0:t>R(T), +100 ppm/C at 25 C; positive datasheet limit</ns0:t>
        </ns0:is>
      </ns0:c>
      <ns0:c xmlns:ns0="http://schemas.openxmlformats.org/spreadsheetml/2006/main" r="AB37" s="16" t="str">
        <ns0:v>General</ns0:v>
      </ns0:c>
      <ns0:c xmlns:ns0="http://schemas.openxmlformats.org/spreadsheetml/2006/main" r="AC37" s="16" t="inlineStr">
        <ns0:is>
          <ns0:t>Spice Subcircuit</ns0:t>
        </ns0:is>
      </ns0:c>
      <ns0:c xmlns:ns0="http://schemas.openxmlformats.org/spreadsheetml/2006/main" r="AD37" s="16" t="inlineStr">
        <ns0:is>
          <ns0:t>@DESIGNATOR %1 %2 @MODEL PARAMS: Rvalue=@VALUE TC1value=100u</ns0:t>
        </ns0:is>
      </ns0:c>
      <ns0:c xmlns:ns0="http://schemas.openxmlformats.org/spreadsheetml/2006/main" r="AE37" s="16" t="inlineStr">
        <ns0:is>
          <ns0:t>X</ns0:t>
        </ns0:is>
      </ns0:c>
      <ns0:c xmlns:ns0="http://schemas.openxmlformats.org/spreadsheetml/2006/main" r="AF37" s="16" t="str">
        <ns0:v>(1:1),(2:2)</ns0:v>
      </ns0:c>
      <ns0:c xmlns:ns0="http://schemas.openxmlformats.org/spreadsheetml/2006/main" r="AG37" s="16" t="inlineStr">
        <ns0:is>
          <ns0:t>Simulation\Resistors\MY_LIB_R_TCR.ckt</ns0:t>
        </ns0:is>
      </ns0:c>
      <ns0:c xmlns:ns0="http://schemas.openxmlformats.org/spreadsheetml/2006/main" r="AH37" s="16" t="inlineStr">
        <ns0:is>
          <ns0:t>±100 ppm/°C</ns0:t>
        </ns0:is>
      </ns0:c>
    </ns0:row>
    <ns0:row r="38" ht="30" customHeight="1">
      <ns0:c r="A38" t="str" s="10">
        <ns0:v>R0044</ns0:v>
      </ns0:c>
      <ns0:c r="B38" t="str" s="10">
        <ns0:v>Резистор</ns0:v>
      </ns0:c>
      <ns0:c r="C38" t="str" s="10">
        <ns0:v>30R</ns0:v>
      </ns0:c>
      <ns0:c r="D38" t="str" s="11">
        <ns0:f>SUBSTITUTE(SUBSTITUTE(SUBSTITUTE(SUBSTITUTE(C38,"meg"," МОм"),"k"," кОм"),"R"," Ом"),".",",")</ns0:f>
        <ns0:v>30 Ом</ns0:v>
      </ns0:c>
      <ns0:c r="E38" t="str" s="10">
        <ns0:v>±5%</ns0:v>
      </ns0:c>
      <ns0:c r="F38" t="str" s="10">
        <ns0:v>0,1 Вт</ns0:v>
      </ns0:c>
      <ns0:c r="G38" t="str" s="10">
        <ns0:v>75 В макс.</ns0:v>
      </ns0:c>
      <ns0:c r="H38" t="str" s="12">
        <ns0:v>0603</ns0:v>
      </ns0:c>
      <ns0:c r="I38" t="str" s="10">
        <ns0:v>YAGEO</ns0:v>
      </ns0:c>
      <ns0:c r="J38" t="str" s="10">
        <ns0:v>RC0603JR-0730RL</ns0:v>
      </ns0:c>
      <ns0:c r="K38" t="str" s="11">
        <ns0:f>B38&amp;" "&amp;D38&amp;" "&amp;E38&amp;" "&amp;H38</ns0:f>
        <ns0:v>Резистор 30 Ом ±5% 0603</ns0:v>
      </ns0:c>
      <ns0:c r="L38" t="str" s="13">
        <ns0:v>R</ns0:v>
      </ns0:c>
      <ns0:c r="M38" t="str" s="13">
        <ns0:v>Symbols\MY_LIB_Resistors.SchLib</ns0:v>
      </ns0:c>
      <ns0:c r="N38" t="str" s="13">
        <ns0:v>RESC1608X55N</ns0:v>
      </ns0:c>
      <ns0:c r="O38" t="str" s="13">
        <ns0:v>Footprints\PBL - SMD Packages.PcbLib</ns0:v>
      </ns0:c>
      <ns0:c xmlns:ns0="http://schemas.openxmlformats.org/spreadsheetml/2006/main" r="P3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8" s="10"/>
      <ns0:c r="R38" t="str" s="11">
        <ns0:f>D38</ns0:f>
        <ns0:v>30 Ом</ns0:v>
      </ns0:c>
      <ns0:c r="S38" t="str" s="11">
        <ns0:f>K38</ns0:f>
        <ns0:v>Резистор 30 Ом ±5% 0603</ns0:v>
      </ns0:c>
      <x:c xmlns:x="http://schemas.openxmlformats.org/spreadsheetml/2006/main" r="T38" t="str" s="11">
        <x:v>C:\Users\Nomatin\Documents\Altium\MY_LIB\MY_LIB\Datasheets\YAGEO_RC_L.pdf</x:v>
      </x:c>
      <x:c xmlns:x="http://schemas.openxmlformats.org/spreadsheetml/2006/main" r="U38" t="str" s="11">
        <x:v>Даташит — локальный</x:v>
      </x:c>
      <x:c xmlns:x="http://schemas.openxmlformats.org/spreadsheetml/2006/main" r="V38" t="str" s="11">
        <x:v>C:\Users\Nomatin\Documents\Altium\MY_LIB\MY_LIB\Datasheets\YAGEO_RC_L.pdf</x:v>
      </x:c>
      <x:c xmlns:x="http://schemas.openxmlformats.org/spreadsheetml/2006/main" r="W38" t="str" s="11">
        <x:v>Даташит — производитель</x:v>
      </x:c>
      <x:c xmlns:x="http://schemas.openxmlformats.org/spreadsheetml/2006/main" r="X38" t="str" s="11">
        <x:v>https://yageogroup.com/content/datasheet/asset/file/PYU-RC_GROUP_51_ROHS_L</x:v>
      </x:c>
      <x:c xmlns:x="http://schemas.openxmlformats.org/spreadsheetml/2006/main" r="Y38" t="str" s="11">
        <x:v>C:\Users\Nomatin\Documents\Altium\MY_LIB\MY_LIB\Datasheets\YAGEO_RC_L.pdf</x:v>
      </x:c>
      <ns0:c xmlns:ns0="http://schemas.openxmlformats.org/spreadsheetml/2006/main" r="Z38" s="16" t="inlineStr">
        <ns0:is>
          <ns0:t>MY_LIB_R_TCR</ns0:t>
        </ns0:is>
      </ns0:c>
      <ns0:c xmlns:ns0="http://schemas.openxmlformats.org/spreadsheetml/2006/main" r="AA38" s="16" t="inlineStr">
        <ns0:is>
          <ns0:t>R(T), +100 ppm/C at 25 C; positive datasheet limit</ns0:t>
        </ns0:is>
      </ns0:c>
      <ns0:c xmlns:ns0="http://schemas.openxmlformats.org/spreadsheetml/2006/main" r="AB38" s="16" t="str">
        <ns0:v>General</ns0:v>
      </ns0:c>
      <ns0:c xmlns:ns0="http://schemas.openxmlformats.org/spreadsheetml/2006/main" r="AC38" s="16" t="inlineStr">
        <ns0:is>
          <ns0:t>Spice Subcircuit</ns0:t>
        </ns0:is>
      </ns0:c>
      <ns0:c xmlns:ns0="http://schemas.openxmlformats.org/spreadsheetml/2006/main" r="AD38" s="16" t="inlineStr">
        <ns0:is>
          <ns0:t>@DESIGNATOR %1 %2 @MODEL PARAMS: Rvalue=@VALUE TC1value=100u</ns0:t>
        </ns0:is>
      </ns0:c>
      <ns0:c xmlns:ns0="http://schemas.openxmlformats.org/spreadsheetml/2006/main" r="AE38" s="16" t="inlineStr">
        <ns0:is>
          <ns0:t>X</ns0:t>
        </ns0:is>
      </ns0:c>
      <ns0:c xmlns:ns0="http://schemas.openxmlformats.org/spreadsheetml/2006/main" r="AF38" s="16" t="str">
        <ns0:v>(1:1),(2:2)</ns0:v>
      </ns0:c>
      <ns0:c xmlns:ns0="http://schemas.openxmlformats.org/spreadsheetml/2006/main" r="AG38" s="16" t="inlineStr">
        <ns0:is>
          <ns0:t>Simulation\Resistors\MY_LIB_R_TCR.ckt</ns0:t>
        </ns0:is>
      </ns0:c>
      <ns0:c xmlns:ns0="http://schemas.openxmlformats.org/spreadsheetml/2006/main" r="AH38" s="16" t="inlineStr">
        <ns0:is>
          <ns0:t>±100 ppm/°C</ns0:t>
        </ns0:is>
      </ns0:c>
    </ns0:row>
    <ns0:row r="39" ht="30" customHeight="1">
      <ns0:c r="A39" t="str" s="10">
        <ns0:v>R0045</ns0:v>
      </ns0:c>
      <ns0:c r="B39" t="str" s="10">
        <ns0:v>Резистор</ns0:v>
      </ns0:c>
      <ns0:c r="C39" t="str" s="10">
        <ns0:v>33R</ns0:v>
      </ns0:c>
      <ns0:c r="D39" t="str" s="11">
        <ns0:f>SUBSTITUTE(SUBSTITUTE(SUBSTITUTE(SUBSTITUTE(C39,"meg"," МОм"),"k"," кОм"),"R"," Ом"),".",",")</ns0:f>
        <ns0:v>33 Ом</ns0:v>
      </ns0:c>
      <ns0:c r="E39" t="str" s="10">
        <ns0:v>±5%</ns0:v>
      </ns0:c>
      <ns0:c r="F39" t="str" s="10">
        <ns0:v>0,1 Вт</ns0:v>
      </ns0:c>
      <ns0:c r="G39" t="str" s="10">
        <ns0:v>75 В макс.</ns0:v>
      </ns0:c>
      <ns0:c r="H39" t="str" s="12">
        <ns0:v>0603</ns0:v>
      </ns0:c>
      <ns0:c r="I39" t="str" s="10">
        <ns0:v>YAGEO</ns0:v>
      </ns0:c>
      <ns0:c r="J39" t="str" s="10">
        <ns0:v>RC0603JR-0733RL</ns0:v>
      </ns0:c>
      <ns0:c r="K39" t="str" s="11">
        <ns0:f>B39&amp;" "&amp;D39&amp;" "&amp;E39&amp;" "&amp;H39</ns0:f>
        <ns0:v>Резистор 33 Ом ±5% 0603</ns0:v>
      </ns0:c>
      <ns0:c r="L39" t="str" s="13">
        <ns0:v>R</ns0:v>
      </ns0:c>
      <ns0:c r="M39" t="str" s="13">
        <ns0:v>Symbols\MY_LIB_Resistors.SchLib</ns0:v>
      </ns0:c>
      <ns0:c r="N39" t="str" s="13">
        <ns0:v>RESC1608X55N</ns0:v>
      </ns0:c>
      <ns0:c r="O39" t="str" s="13">
        <ns0:v>Footprints\PBL - SMD Packages.PcbLib</ns0:v>
      </ns0:c>
      <ns0:c xmlns:ns0="http://schemas.openxmlformats.org/spreadsheetml/2006/main" r="P3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39" s="10"/>
      <ns0:c r="R39" t="str" s="11">
        <ns0:f>D39</ns0:f>
        <ns0:v>33 Ом</ns0:v>
      </ns0:c>
      <ns0:c r="S39" t="str" s="11">
        <ns0:f>K39</ns0:f>
        <ns0:v>Резистор 33 Ом ±5% 0603</ns0:v>
      </ns0:c>
      <x:c xmlns:x="http://schemas.openxmlformats.org/spreadsheetml/2006/main" r="T39" t="str" s="11">
        <x:v>C:\Users\Nomatin\Documents\Altium\MY_LIB\MY_LIB\Datasheets\YAGEO_RC_L.pdf</x:v>
      </x:c>
      <x:c xmlns:x="http://schemas.openxmlformats.org/spreadsheetml/2006/main" r="U39" t="str" s="11">
        <x:v>Даташит — локальный</x:v>
      </x:c>
      <x:c xmlns:x="http://schemas.openxmlformats.org/spreadsheetml/2006/main" r="V39" t="str" s="11">
        <x:v>C:\Users\Nomatin\Documents\Altium\MY_LIB\MY_LIB\Datasheets\YAGEO_RC_L.pdf</x:v>
      </x:c>
      <x:c xmlns:x="http://schemas.openxmlformats.org/spreadsheetml/2006/main" r="W39" t="str" s="11">
        <x:v>Даташит — производитель</x:v>
      </x:c>
      <x:c xmlns:x="http://schemas.openxmlformats.org/spreadsheetml/2006/main" r="X39" t="str" s="11">
        <x:v>https://yageogroup.com/content/datasheet/asset/file/PYU-RC_GROUP_51_ROHS_L</x:v>
      </x:c>
      <x:c xmlns:x="http://schemas.openxmlformats.org/spreadsheetml/2006/main" r="Y39" t="str" s="11">
        <x:v>C:\Users\Nomatin\Documents\Altium\MY_LIB\MY_LIB\Datasheets\YAGEO_RC_L.pdf</x:v>
      </x:c>
      <ns0:c xmlns:ns0="http://schemas.openxmlformats.org/spreadsheetml/2006/main" r="Z39" s="16" t="inlineStr">
        <ns0:is>
          <ns0:t>MY_LIB_R_TCR</ns0:t>
        </ns0:is>
      </ns0:c>
      <ns0:c xmlns:ns0="http://schemas.openxmlformats.org/spreadsheetml/2006/main" r="AA39" s="16" t="inlineStr">
        <ns0:is>
          <ns0:t>R(T), +100 ppm/C at 25 C; positive datasheet limit</ns0:t>
        </ns0:is>
      </ns0:c>
      <ns0:c xmlns:ns0="http://schemas.openxmlformats.org/spreadsheetml/2006/main" r="AB39" s="16" t="str">
        <ns0:v>General</ns0:v>
      </ns0:c>
      <ns0:c xmlns:ns0="http://schemas.openxmlformats.org/spreadsheetml/2006/main" r="AC39" s="16" t="inlineStr">
        <ns0:is>
          <ns0:t>Spice Subcircuit</ns0:t>
        </ns0:is>
      </ns0:c>
      <ns0:c xmlns:ns0="http://schemas.openxmlformats.org/spreadsheetml/2006/main" r="AD39" s="16" t="inlineStr">
        <ns0:is>
          <ns0:t>@DESIGNATOR %1 %2 @MODEL PARAMS: Rvalue=@VALUE TC1value=100u</ns0:t>
        </ns0:is>
      </ns0:c>
      <ns0:c xmlns:ns0="http://schemas.openxmlformats.org/spreadsheetml/2006/main" r="AE39" s="16" t="inlineStr">
        <ns0:is>
          <ns0:t>X</ns0:t>
        </ns0:is>
      </ns0:c>
      <ns0:c xmlns:ns0="http://schemas.openxmlformats.org/spreadsheetml/2006/main" r="AF39" s="16" t="str">
        <ns0:v>(1:1),(2:2)</ns0:v>
      </ns0:c>
      <ns0:c xmlns:ns0="http://schemas.openxmlformats.org/spreadsheetml/2006/main" r="AG39" s="16" t="inlineStr">
        <ns0:is>
          <ns0:t>Simulation\Resistors\MY_LIB_R_TCR.ckt</ns0:t>
        </ns0:is>
      </ns0:c>
      <ns0:c xmlns:ns0="http://schemas.openxmlformats.org/spreadsheetml/2006/main" r="AH39" s="16" t="inlineStr">
        <ns0:is>
          <ns0:t>±100 ppm/°C</ns0:t>
        </ns0:is>
      </ns0:c>
    </ns0:row>
    <ns0:row r="40" ht="30" customHeight="1">
      <ns0:c r="A40" t="str" s="10">
        <ns0:v>R0046</ns0:v>
      </ns0:c>
      <ns0:c r="B40" t="str" s="10">
        <ns0:v>Резистор</ns0:v>
      </ns0:c>
      <ns0:c r="C40" t="str" s="10">
        <ns0:v>36R</ns0:v>
      </ns0:c>
      <ns0:c r="D40" t="str" s="11">
        <ns0:f>SUBSTITUTE(SUBSTITUTE(SUBSTITUTE(SUBSTITUTE(C40,"meg"," МОм"),"k"," кОм"),"R"," Ом"),".",",")</ns0:f>
        <ns0:v>36 Ом</ns0:v>
      </ns0:c>
      <ns0:c r="E40" t="str" s="10">
        <ns0:v>±5%</ns0:v>
      </ns0:c>
      <ns0:c r="F40" t="str" s="10">
        <ns0:v>0,1 Вт</ns0:v>
      </ns0:c>
      <ns0:c r="G40" t="str" s="10">
        <ns0:v>75 В макс.</ns0:v>
      </ns0:c>
      <ns0:c r="H40" t="str" s="12">
        <ns0:v>0603</ns0:v>
      </ns0:c>
      <ns0:c r="I40" t="str" s="10">
        <ns0:v>YAGEO</ns0:v>
      </ns0:c>
      <ns0:c r="J40" t="str" s="10">
        <ns0:v>RC0603JR-0736RL</ns0:v>
      </ns0:c>
      <ns0:c r="K40" t="str" s="11">
        <ns0:f>B40&amp;" "&amp;D40&amp;" "&amp;E40&amp;" "&amp;H40</ns0:f>
        <ns0:v>Резистор 36 Ом ±5% 0603</ns0:v>
      </ns0:c>
      <ns0:c r="L40" t="str" s="13">
        <ns0:v>R</ns0:v>
      </ns0:c>
      <ns0:c r="M40" t="str" s="13">
        <ns0:v>Symbols\MY_LIB_Resistors.SchLib</ns0:v>
      </ns0:c>
      <ns0:c r="N40" t="str" s="13">
        <ns0:v>RESC1608X55N</ns0:v>
      </ns0:c>
      <ns0:c r="O40" t="str" s="13">
        <ns0:v>Footprints\PBL - SMD Packages.PcbLib</ns0:v>
      </ns0:c>
      <ns0:c xmlns:ns0="http://schemas.openxmlformats.org/spreadsheetml/2006/main" r="P4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0" s="10"/>
      <ns0:c r="R40" t="str" s="11">
        <ns0:f>D40</ns0:f>
        <ns0:v>36 Ом</ns0:v>
      </ns0:c>
      <ns0:c r="S40" t="str" s="11">
        <ns0:f>K40</ns0:f>
        <ns0:v>Резистор 36 Ом ±5% 0603</ns0:v>
      </ns0:c>
      <x:c xmlns:x="http://schemas.openxmlformats.org/spreadsheetml/2006/main" r="T40" t="str" s="11">
        <x:v>C:\Users\Nomatin\Documents\Altium\MY_LIB\MY_LIB\Datasheets\YAGEO_RC_L.pdf</x:v>
      </x:c>
      <x:c xmlns:x="http://schemas.openxmlformats.org/spreadsheetml/2006/main" r="U40" t="str" s="11">
        <x:v>Даташит — локальный</x:v>
      </x:c>
      <x:c xmlns:x="http://schemas.openxmlformats.org/spreadsheetml/2006/main" r="V40" t="str" s="11">
        <x:v>C:\Users\Nomatin\Documents\Altium\MY_LIB\MY_LIB\Datasheets\YAGEO_RC_L.pdf</x:v>
      </x:c>
      <x:c xmlns:x="http://schemas.openxmlformats.org/spreadsheetml/2006/main" r="W40" t="str" s="11">
        <x:v>Даташит — производитель</x:v>
      </x:c>
      <x:c xmlns:x="http://schemas.openxmlformats.org/spreadsheetml/2006/main" r="X40" t="str" s="11">
        <x:v>https://yageogroup.com/content/datasheet/asset/file/PYU-RC_GROUP_51_ROHS_L</x:v>
      </x:c>
      <x:c xmlns:x="http://schemas.openxmlformats.org/spreadsheetml/2006/main" r="Y40" t="str" s="11">
        <x:v>C:\Users\Nomatin\Documents\Altium\MY_LIB\MY_LIB\Datasheets\YAGEO_RC_L.pdf</x:v>
      </x:c>
      <ns0:c xmlns:ns0="http://schemas.openxmlformats.org/spreadsheetml/2006/main" r="Z40" s="16" t="inlineStr">
        <ns0:is>
          <ns0:t>MY_LIB_R_TCR</ns0:t>
        </ns0:is>
      </ns0:c>
      <ns0:c xmlns:ns0="http://schemas.openxmlformats.org/spreadsheetml/2006/main" r="AA40" s="16" t="inlineStr">
        <ns0:is>
          <ns0:t>R(T), +100 ppm/C at 25 C; positive datasheet limit</ns0:t>
        </ns0:is>
      </ns0:c>
      <ns0:c xmlns:ns0="http://schemas.openxmlformats.org/spreadsheetml/2006/main" r="AB40" s="16" t="str">
        <ns0:v>General</ns0:v>
      </ns0:c>
      <ns0:c xmlns:ns0="http://schemas.openxmlformats.org/spreadsheetml/2006/main" r="AC40" s="16" t="inlineStr">
        <ns0:is>
          <ns0:t>Spice Subcircuit</ns0:t>
        </ns0:is>
      </ns0:c>
      <ns0:c xmlns:ns0="http://schemas.openxmlformats.org/spreadsheetml/2006/main" r="AD40" s="16" t="inlineStr">
        <ns0:is>
          <ns0:t>@DESIGNATOR %1 %2 @MODEL PARAMS: Rvalue=@VALUE TC1value=100u</ns0:t>
        </ns0:is>
      </ns0:c>
      <ns0:c xmlns:ns0="http://schemas.openxmlformats.org/spreadsheetml/2006/main" r="AE40" s="16" t="inlineStr">
        <ns0:is>
          <ns0:t>X</ns0:t>
        </ns0:is>
      </ns0:c>
      <ns0:c xmlns:ns0="http://schemas.openxmlformats.org/spreadsheetml/2006/main" r="AF40" s="16" t="str">
        <ns0:v>(1:1),(2:2)</ns0:v>
      </ns0:c>
      <ns0:c xmlns:ns0="http://schemas.openxmlformats.org/spreadsheetml/2006/main" r="AG40" s="16" t="inlineStr">
        <ns0:is>
          <ns0:t>Simulation\Resistors\MY_LIB_R_TCR.ckt</ns0:t>
        </ns0:is>
      </ns0:c>
      <ns0:c xmlns:ns0="http://schemas.openxmlformats.org/spreadsheetml/2006/main" r="AH40" s="16" t="inlineStr">
        <ns0:is>
          <ns0:t>±100 ppm/°C</ns0:t>
        </ns0:is>
      </ns0:c>
    </ns0:row>
    <ns0:row r="41" ht="30" customHeight="1">
      <ns0:c r="A41" t="str" s="10">
        <ns0:v>R0047</ns0:v>
      </ns0:c>
      <ns0:c r="B41" t="str" s="10">
        <ns0:v>Резистор</ns0:v>
      </ns0:c>
      <ns0:c r="C41" t="str" s="10">
        <ns0:v>39R</ns0:v>
      </ns0:c>
      <ns0:c r="D41" t="str" s="11">
        <ns0:f>SUBSTITUTE(SUBSTITUTE(SUBSTITUTE(SUBSTITUTE(C41,"meg"," МОм"),"k"," кОм"),"R"," Ом"),".",",")</ns0:f>
        <ns0:v>39 Ом</ns0:v>
      </ns0:c>
      <ns0:c r="E41" t="str" s="10">
        <ns0:v>±5%</ns0:v>
      </ns0:c>
      <ns0:c r="F41" t="str" s="10">
        <ns0:v>0,1 Вт</ns0:v>
      </ns0:c>
      <ns0:c r="G41" t="str" s="10">
        <ns0:v>75 В макс.</ns0:v>
      </ns0:c>
      <ns0:c r="H41" t="str" s="12">
        <ns0:v>0603</ns0:v>
      </ns0:c>
      <ns0:c r="I41" t="str" s="10">
        <ns0:v>YAGEO</ns0:v>
      </ns0:c>
      <ns0:c r="J41" t="str" s="10">
        <ns0:v>RC0603JR-0739RL</ns0:v>
      </ns0:c>
      <ns0:c r="K41" t="str" s="11">
        <ns0:f>B41&amp;" "&amp;D41&amp;" "&amp;E41&amp;" "&amp;H41</ns0:f>
        <ns0:v>Резистор 39 Ом ±5% 0603</ns0:v>
      </ns0:c>
      <ns0:c r="L41" t="str" s="13">
        <ns0:v>R</ns0:v>
      </ns0:c>
      <ns0:c r="M41" t="str" s="13">
        <ns0:v>Symbols\MY_LIB_Resistors.SchLib</ns0:v>
      </ns0:c>
      <ns0:c r="N41" t="str" s="13">
        <ns0:v>RESC1608X55N</ns0:v>
      </ns0:c>
      <ns0:c r="O41" t="str" s="13">
        <ns0:v>Footprints\PBL - SMD Packages.PcbLib</ns0:v>
      </ns0:c>
      <ns0:c xmlns:ns0="http://schemas.openxmlformats.org/spreadsheetml/2006/main" r="P4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1" s="10"/>
      <ns0:c r="R41" t="str" s="11">
        <ns0:f>D41</ns0:f>
        <ns0:v>39 Ом</ns0:v>
      </ns0:c>
      <ns0:c r="S41" t="str" s="11">
        <ns0:f>K41</ns0:f>
        <ns0:v>Резистор 39 Ом ±5% 0603</ns0:v>
      </ns0:c>
      <x:c xmlns:x="http://schemas.openxmlformats.org/spreadsheetml/2006/main" r="T41" t="str" s="11">
        <x:v>C:\Users\Nomatin\Documents\Altium\MY_LIB\MY_LIB\Datasheets\YAGEO_RC_L.pdf</x:v>
      </x:c>
      <x:c xmlns:x="http://schemas.openxmlformats.org/spreadsheetml/2006/main" r="U41" t="str" s="11">
        <x:v>Даташит — локальный</x:v>
      </x:c>
      <x:c xmlns:x="http://schemas.openxmlformats.org/spreadsheetml/2006/main" r="V41" t="str" s="11">
        <x:v>C:\Users\Nomatin\Documents\Altium\MY_LIB\MY_LIB\Datasheets\YAGEO_RC_L.pdf</x:v>
      </x:c>
      <x:c xmlns:x="http://schemas.openxmlformats.org/spreadsheetml/2006/main" r="W41" t="str" s="11">
        <x:v>Даташит — производитель</x:v>
      </x:c>
      <x:c xmlns:x="http://schemas.openxmlformats.org/spreadsheetml/2006/main" r="X41" t="str" s="11">
        <x:v>https://yageogroup.com/content/datasheet/asset/file/PYU-RC_GROUP_51_ROHS_L</x:v>
      </x:c>
      <x:c xmlns:x="http://schemas.openxmlformats.org/spreadsheetml/2006/main" r="Y41" t="str" s="11">
        <x:v>C:\Users\Nomatin\Documents\Altium\MY_LIB\MY_LIB\Datasheets\YAGEO_RC_L.pdf</x:v>
      </x:c>
      <ns0:c xmlns:ns0="http://schemas.openxmlformats.org/spreadsheetml/2006/main" r="Z41" s="16" t="inlineStr">
        <ns0:is>
          <ns0:t>MY_LIB_R_TCR</ns0:t>
        </ns0:is>
      </ns0:c>
      <ns0:c xmlns:ns0="http://schemas.openxmlformats.org/spreadsheetml/2006/main" r="AA41" s="16" t="inlineStr">
        <ns0:is>
          <ns0:t>R(T), +100 ppm/C at 25 C; positive datasheet limit</ns0:t>
        </ns0:is>
      </ns0:c>
      <ns0:c xmlns:ns0="http://schemas.openxmlformats.org/spreadsheetml/2006/main" r="AB41" s="16" t="str">
        <ns0:v>General</ns0:v>
      </ns0:c>
      <ns0:c xmlns:ns0="http://schemas.openxmlformats.org/spreadsheetml/2006/main" r="AC41" s="16" t="inlineStr">
        <ns0:is>
          <ns0:t>Spice Subcircuit</ns0:t>
        </ns0:is>
      </ns0:c>
      <ns0:c xmlns:ns0="http://schemas.openxmlformats.org/spreadsheetml/2006/main" r="AD41" s="16" t="inlineStr">
        <ns0:is>
          <ns0:t>@DESIGNATOR %1 %2 @MODEL PARAMS: Rvalue=@VALUE TC1value=100u</ns0:t>
        </ns0:is>
      </ns0:c>
      <ns0:c xmlns:ns0="http://schemas.openxmlformats.org/spreadsheetml/2006/main" r="AE41" s="16" t="inlineStr">
        <ns0:is>
          <ns0:t>X</ns0:t>
        </ns0:is>
      </ns0:c>
      <ns0:c xmlns:ns0="http://schemas.openxmlformats.org/spreadsheetml/2006/main" r="AF41" s="16" t="str">
        <ns0:v>(1:1),(2:2)</ns0:v>
      </ns0:c>
      <ns0:c xmlns:ns0="http://schemas.openxmlformats.org/spreadsheetml/2006/main" r="AG41" s="16" t="inlineStr">
        <ns0:is>
          <ns0:t>Simulation\Resistors\MY_LIB_R_TCR.ckt</ns0:t>
        </ns0:is>
      </ns0:c>
      <ns0:c xmlns:ns0="http://schemas.openxmlformats.org/spreadsheetml/2006/main" r="AH41" s="16" t="inlineStr">
        <ns0:is>
          <ns0:t>±100 ppm/°C</ns0:t>
        </ns0:is>
      </ns0:c>
    </ns0:row>
    <ns0:row r="42" ht="30" customHeight="1">
      <ns0:c r="A42" t="str" s="10">
        <ns0:v>R0048</ns0:v>
      </ns0:c>
      <ns0:c r="B42" t="str" s="10">
        <ns0:v>Резистор</ns0:v>
      </ns0:c>
      <ns0:c r="C42" t="str" s="10">
        <ns0:v>43R</ns0:v>
      </ns0:c>
      <ns0:c r="D42" t="str" s="11">
        <ns0:f>SUBSTITUTE(SUBSTITUTE(SUBSTITUTE(SUBSTITUTE(C42,"meg"," МОм"),"k"," кОм"),"R"," Ом"),".",",")</ns0:f>
        <ns0:v>43 Ом</ns0:v>
      </ns0:c>
      <ns0:c r="E42" t="str" s="10">
        <ns0:v>±5%</ns0:v>
      </ns0:c>
      <ns0:c r="F42" t="str" s="10">
        <ns0:v>0,1 Вт</ns0:v>
      </ns0:c>
      <ns0:c r="G42" t="str" s="10">
        <ns0:v>75 В макс.</ns0:v>
      </ns0:c>
      <ns0:c r="H42" t="str" s="12">
        <ns0:v>0603</ns0:v>
      </ns0:c>
      <ns0:c r="I42" t="str" s="10">
        <ns0:v>YAGEO</ns0:v>
      </ns0:c>
      <ns0:c r="J42" t="str" s="10">
        <ns0:v>RC0603JR-0743RL</ns0:v>
      </ns0:c>
      <ns0:c r="K42" t="str" s="11">
        <ns0:f>B42&amp;" "&amp;D42&amp;" "&amp;E42&amp;" "&amp;H42</ns0:f>
        <ns0:v>Резистор 43 Ом ±5% 0603</ns0:v>
      </ns0:c>
      <ns0:c r="L42" t="str" s="13">
        <ns0:v>R</ns0:v>
      </ns0:c>
      <ns0:c r="M42" t="str" s="13">
        <ns0:v>Symbols\MY_LIB_Resistors.SchLib</ns0:v>
      </ns0:c>
      <ns0:c r="N42" t="str" s="13">
        <ns0:v>RESC1608X55N</ns0:v>
      </ns0:c>
      <ns0:c r="O42" t="str" s="13">
        <ns0:v>Footprints\PBL - SMD Packages.PcbLib</ns0:v>
      </ns0:c>
      <ns0:c xmlns:ns0="http://schemas.openxmlformats.org/spreadsheetml/2006/main" r="P4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2" s="10"/>
      <ns0:c r="R42" t="str" s="11">
        <ns0:f>D42</ns0:f>
        <ns0:v>43 Ом</ns0:v>
      </ns0:c>
      <ns0:c r="S42" t="str" s="11">
        <ns0:f>K42</ns0:f>
        <ns0:v>Резистор 43 Ом ±5% 0603</ns0:v>
      </ns0:c>
      <x:c xmlns:x="http://schemas.openxmlformats.org/spreadsheetml/2006/main" r="T42" t="str" s="11">
        <x:v>C:\Users\Nomatin\Documents\Altium\MY_LIB\MY_LIB\Datasheets\YAGEO_RC_L.pdf</x:v>
      </x:c>
      <x:c xmlns:x="http://schemas.openxmlformats.org/spreadsheetml/2006/main" r="U42" t="str" s="11">
        <x:v>Даташит — локальный</x:v>
      </x:c>
      <x:c xmlns:x="http://schemas.openxmlformats.org/spreadsheetml/2006/main" r="V42" t="str" s="11">
        <x:v>C:\Users\Nomatin\Documents\Altium\MY_LIB\MY_LIB\Datasheets\YAGEO_RC_L.pdf</x:v>
      </x:c>
      <x:c xmlns:x="http://schemas.openxmlformats.org/spreadsheetml/2006/main" r="W42" t="str" s="11">
        <x:v>Даташит — производитель</x:v>
      </x:c>
      <x:c xmlns:x="http://schemas.openxmlformats.org/spreadsheetml/2006/main" r="X42" t="str" s="11">
        <x:v>https://yageogroup.com/content/datasheet/asset/file/PYU-RC_GROUP_51_ROHS_L</x:v>
      </x:c>
      <x:c xmlns:x="http://schemas.openxmlformats.org/spreadsheetml/2006/main" r="Y42" t="str" s="11">
        <x:v>C:\Users\Nomatin\Documents\Altium\MY_LIB\MY_LIB\Datasheets\YAGEO_RC_L.pdf</x:v>
      </x:c>
      <ns0:c xmlns:ns0="http://schemas.openxmlformats.org/spreadsheetml/2006/main" r="Z42" s="16" t="inlineStr">
        <ns0:is>
          <ns0:t>MY_LIB_R_TCR</ns0:t>
        </ns0:is>
      </ns0:c>
      <ns0:c xmlns:ns0="http://schemas.openxmlformats.org/spreadsheetml/2006/main" r="AA42" s="16" t="inlineStr">
        <ns0:is>
          <ns0:t>R(T), +100 ppm/C at 25 C; positive datasheet limit</ns0:t>
        </ns0:is>
      </ns0:c>
      <ns0:c xmlns:ns0="http://schemas.openxmlformats.org/spreadsheetml/2006/main" r="AB42" s="16" t="str">
        <ns0:v>General</ns0:v>
      </ns0:c>
      <ns0:c xmlns:ns0="http://schemas.openxmlformats.org/spreadsheetml/2006/main" r="AC42" s="16" t="inlineStr">
        <ns0:is>
          <ns0:t>Spice Subcircuit</ns0:t>
        </ns0:is>
      </ns0:c>
      <ns0:c xmlns:ns0="http://schemas.openxmlformats.org/spreadsheetml/2006/main" r="AD42" s="16" t="inlineStr">
        <ns0:is>
          <ns0:t>@DESIGNATOR %1 %2 @MODEL PARAMS: Rvalue=@VALUE TC1value=100u</ns0:t>
        </ns0:is>
      </ns0:c>
      <ns0:c xmlns:ns0="http://schemas.openxmlformats.org/spreadsheetml/2006/main" r="AE42" s="16" t="inlineStr">
        <ns0:is>
          <ns0:t>X</ns0:t>
        </ns0:is>
      </ns0:c>
      <ns0:c xmlns:ns0="http://schemas.openxmlformats.org/spreadsheetml/2006/main" r="AF42" s="16" t="str">
        <ns0:v>(1:1),(2:2)</ns0:v>
      </ns0:c>
      <ns0:c xmlns:ns0="http://schemas.openxmlformats.org/spreadsheetml/2006/main" r="AG42" s="16" t="inlineStr">
        <ns0:is>
          <ns0:t>Simulation\Resistors\MY_LIB_R_TCR.ckt</ns0:t>
        </ns0:is>
      </ns0:c>
      <ns0:c xmlns:ns0="http://schemas.openxmlformats.org/spreadsheetml/2006/main" r="AH42" s="16" t="inlineStr">
        <ns0:is>
          <ns0:t>±100 ppm/°C</ns0:t>
        </ns0:is>
      </ns0:c>
    </ns0:row>
    <ns0:row r="43" ht="30" customHeight="1">
      <ns0:c r="A43" t="str" s="10">
        <ns0:v>R0049</ns0:v>
      </ns0:c>
      <ns0:c r="B43" t="str" s="10">
        <ns0:v>Резистор</ns0:v>
      </ns0:c>
      <ns0:c r="C43" t="str" s="10">
        <ns0:v>47R</ns0:v>
      </ns0:c>
      <ns0:c r="D43" t="str" s="11">
        <ns0:f>SUBSTITUTE(SUBSTITUTE(SUBSTITUTE(SUBSTITUTE(C43,"meg"," МОм"),"k"," кОм"),"R"," Ом"),".",",")</ns0:f>
        <ns0:v>47 Ом</ns0:v>
      </ns0:c>
      <ns0:c r="E43" t="str" s="10">
        <ns0:v>±5%</ns0:v>
      </ns0:c>
      <ns0:c r="F43" t="str" s="10">
        <ns0:v>0,1 Вт</ns0:v>
      </ns0:c>
      <ns0:c r="G43" t="str" s="10">
        <ns0:v>75 В макс.</ns0:v>
      </ns0:c>
      <ns0:c r="H43" t="str" s="12">
        <ns0:v>0603</ns0:v>
      </ns0:c>
      <ns0:c r="I43" t="str" s="10">
        <ns0:v>YAGEO</ns0:v>
      </ns0:c>
      <ns0:c r="J43" t="str" s="10">
        <ns0:v>RC0603JR-0747RL</ns0:v>
      </ns0:c>
      <ns0:c r="K43" t="str" s="11">
        <ns0:f>B43&amp;" "&amp;D43&amp;" "&amp;E43&amp;" "&amp;H43</ns0:f>
        <ns0:v>Резистор 47 Ом ±5% 0603</ns0:v>
      </ns0:c>
      <ns0:c r="L43" t="str" s="13">
        <ns0:v>R</ns0:v>
      </ns0:c>
      <ns0:c r="M43" t="str" s="13">
        <ns0:v>Symbols\MY_LIB_Resistors.SchLib</ns0:v>
      </ns0:c>
      <ns0:c r="N43" t="str" s="13">
        <ns0:v>RESC1608X55N</ns0:v>
      </ns0:c>
      <ns0:c r="O43" t="str" s="13">
        <ns0:v>Footprints\PBL - SMD Packages.PcbLib</ns0:v>
      </ns0:c>
      <ns0:c xmlns:ns0="http://schemas.openxmlformats.org/spreadsheetml/2006/main" r="P4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3" s="10"/>
      <ns0:c r="R43" t="str" s="11">
        <ns0:f>D43</ns0:f>
        <ns0:v>47 Ом</ns0:v>
      </ns0:c>
      <ns0:c r="S43" t="str" s="11">
        <ns0:f>K43</ns0:f>
        <ns0:v>Резистор 47 Ом ±5% 0603</ns0:v>
      </ns0:c>
      <x:c xmlns:x="http://schemas.openxmlformats.org/spreadsheetml/2006/main" r="T43" t="str" s="11">
        <x:v>C:\Users\Nomatin\Documents\Altium\MY_LIB\MY_LIB\Datasheets\YAGEO_RC_L.pdf</x:v>
      </x:c>
      <x:c xmlns:x="http://schemas.openxmlformats.org/spreadsheetml/2006/main" r="U43" t="str" s="11">
        <x:v>Даташит — локальный</x:v>
      </x:c>
      <x:c xmlns:x="http://schemas.openxmlformats.org/spreadsheetml/2006/main" r="V43" t="str" s="11">
        <x:v>C:\Users\Nomatin\Documents\Altium\MY_LIB\MY_LIB\Datasheets\YAGEO_RC_L.pdf</x:v>
      </x:c>
      <x:c xmlns:x="http://schemas.openxmlformats.org/spreadsheetml/2006/main" r="W43" t="str" s="11">
        <x:v>Даташит — производитель</x:v>
      </x:c>
      <x:c xmlns:x="http://schemas.openxmlformats.org/spreadsheetml/2006/main" r="X43" t="str" s="11">
        <x:v>https://yageogroup.com/content/datasheet/asset/file/PYU-RC_GROUP_51_ROHS_L</x:v>
      </x:c>
      <x:c xmlns:x="http://schemas.openxmlformats.org/spreadsheetml/2006/main" r="Y43" t="str" s="11">
        <x:v>C:\Users\Nomatin\Documents\Altium\MY_LIB\MY_LIB\Datasheets\YAGEO_RC_L.pdf</x:v>
      </x:c>
      <ns0:c xmlns:ns0="http://schemas.openxmlformats.org/spreadsheetml/2006/main" r="Z43" s="16" t="inlineStr">
        <ns0:is>
          <ns0:t>MY_LIB_R_TCR</ns0:t>
        </ns0:is>
      </ns0:c>
      <ns0:c xmlns:ns0="http://schemas.openxmlformats.org/spreadsheetml/2006/main" r="AA43" s="16" t="inlineStr">
        <ns0:is>
          <ns0:t>R(T), +100 ppm/C at 25 C; positive datasheet limit</ns0:t>
        </ns0:is>
      </ns0:c>
      <ns0:c xmlns:ns0="http://schemas.openxmlformats.org/spreadsheetml/2006/main" r="AB43" s="16" t="str">
        <ns0:v>General</ns0:v>
      </ns0:c>
      <ns0:c xmlns:ns0="http://schemas.openxmlformats.org/spreadsheetml/2006/main" r="AC43" s="16" t="inlineStr">
        <ns0:is>
          <ns0:t>Spice Subcircuit</ns0:t>
        </ns0:is>
      </ns0:c>
      <ns0:c xmlns:ns0="http://schemas.openxmlformats.org/spreadsheetml/2006/main" r="AD43" s="16" t="inlineStr">
        <ns0:is>
          <ns0:t>@DESIGNATOR %1 %2 @MODEL PARAMS: Rvalue=@VALUE TC1value=100u</ns0:t>
        </ns0:is>
      </ns0:c>
      <ns0:c xmlns:ns0="http://schemas.openxmlformats.org/spreadsheetml/2006/main" r="AE43" s="16" t="inlineStr">
        <ns0:is>
          <ns0:t>X</ns0:t>
        </ns0:is>
      </ns0:c>
      <ns0:c xmlns:ns0="http://schemas.openxmlformats.org/spreadsheetml/2006/main" r="AF43" s="16" t="str">
        <ns0:v>(1:1),(2:2)</ns0:v>
      </ns0:c>
      <ns0:c xmlns:ns0="http://schemas.openxmlformats.org/spreadsheetml/2006/main" r="AG43" s="16" t="inlineStr">
        <ns0:is>
          <ns0:t>Simulation\Resistors\MY_LIB_R_TCR.ckt</ns0:t>
        </ns0:is>
      </ns0:c>
      <ns0:c xmlns:ns0="http://schemas.openxmlformats.org/spreadsheetml/2006/main" r="AH43" s="16" t="inlineStr">
        <ns0:is>
          <ns0:t>±100 ppm/°C</ns0:t>
        </ns0:is>
      </ns0:c>
    </ns0:row>
    <ns0:row r="44" ht="30" customHeight="1">
      <ns0:c r="A44" t="str" s="10">
        <ns0:v>R0050</ns0:v>
      </ns0:c>
      <ns0:c r="B44" t="str" s="10">
        <ns0:v>Резистор</ns0:v>
      </ns0:c>
      <ns0:c r="C44" t="str" s="10">
        <ns0:v>51R</ns0:v>
      </ns0:c>
      <ns0:c r="D44" t="str" s="11">
        <ns0:f>SUBSTITUTE(SUBSTITUTE(SUBSTITUTE(SUBSTITUTE(C44,"meg"," МОм"),"k"," кОм"),"R"," Ом"),".",",")</ns0:f>
        <ns0:v>51 Ом</ns0:v>
      </ns0:c>
      <ns0:c r="E44" t="str" s="10">
        <ns0:v>±5%</ns0:v>
      </ns0:c>
      <ns0:c r="F44" t="str" s="10">
        <ns0:v>0,1 Вт</ns0:v>
      </ns0:c>
      <ns0:c r="G44" t="str" s="10">
        <ns0:v>75 В макс.</ns0:v>
      </ns0:c>
      <ns0:c r="H44" t="str" s="12">
        <ns0:v>0603</ns0:v>
      </ns0:c>
      <ns0:c r="I44" t="str" s="10">
        <ns0:v>YAGEO</ns0:v>
      </ns0:c>
      <ns0:c r="J44" t="str" s="10">
        <ns0:v>RC0603JR-0751RL</ns0:v>
      </ns0:c>
      <ns0:c r="K44" t="str" s="11">
        <ns0:f>B44&amp;" "&amp;D44&amp;" "&amp;E44&amp;" "&amp;H44</ns0:f>
        <ns0:v>Резистор 51 Ом ±5% 0603</ns0:v>
      </ns0:c>
      <ns0:c r="L44" t="str" s="13">
        <ns0:v>R</ns0:v>
      </ns0:c>
      <ns0:c r="M44" t="str" s="13">
        <ns0:v>Symbols\MY_LIB_Resistors.SchLib</ns0:v>
      </ns0:c>
      <ns0:c r="N44" t="str" s="13">
        <ns0:v>RESC1608X55N</ns0:v>
      </ns0:c>
      <ns0:c r="O44" t="str" s="13">
        <ns0:v>Footprints\PBL - SMD Packages.PcbLib</ns0:v>
      </ns0:c>
      <ns0:c xmlns:ns0="http://schemas.openxmlformats.org/spreadsheetml/2006/main" r="P4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4" s="10"/>
      <ns0:c r="R44" t="str" s="11">
        <ns0:f>D44</ns0:f>
        <ns0:v>51 Ом</ns0:v>
      </ns0:c>
      <ns0:c r="S44" t="str" s="11">
        <ns0:f>K44</ns0:f>
        <ns0:v>Резистор 51 Ом ±5% 0603</ns0:v>
      </ns0:c>
      <x:c xmlns:x="http://schemas.openxmlformats.org/spreadsheetml/2006/main" r="T44" t="str" s="11">
        <x:v>C:\Users\Nomatin\Documents\Altium\MY_LIB\MY_LIB\Datasheets\YAGEO_RC_L.pdf</x:v>
      </x:c>
      <x:c xmlns:x="http://schemas.openxmlformats.org/spreadsheetml/2006/main" r="U44" t="str" s="11">
        <x:v>Даташит — локальный</x:v>
      </x:c>
      <x:c xmlns:x="http://schemas.openxmlformats.org/spreadsheetml/2006/main" r="V44" t="str" s="11">
        <x:v>C:\Users\Nomatin\Documents\Altium\MY_LIB\MY_LIB\Datasheets\YAGEO_RC_L.pdf</x:v>
      </x:c>
      <x:c xmlns:x="http://schemas.openxmlformats.org/spreadsheetml/2006/main" r="W44" t="str" s="11">
        <x:v>Даташит — производитель</x:v>
      </x:c>
      <x:c xmlns:x="http://schemas.openxmlformats.org/spreadsheetml/2006/main" r="X44" t="str" s="11">
        <x:v>https://yageogroup.com/content/datasheet/asset/file/PYU-RC_GROUP_51_ROHS_L</x:v>
      </x:c>
      <x:c xmlns:x="http://schemas.openxmlformats.org/spreadsheetml/2006/main" r="Y44" t="str" s="11">
        <x:v>C:\Users\Nomatin\Documents\Altium\MY_LIB\MY_LIB\Datasheets\YAGEO_RC_L.pdf</x:v>
      </x:c>
      <ns0:c xmlns:ns0="http://schemas.openxmlformats.org/spreadsheetml/2006/main" r="Z44" s="16" t="inlineStr">
        <ns0:is>
          <ns0:t>MY_LIB_R_TCR</ns0:t>
        </ns0:is>
      </ns0:c>
      <ns0:c xmlns:ns0="http://schemas.openxmlformats.org/spreadsheetml/2006/main" r="AA44" s="16" t="inlineStr">
        <ns0:is>
          <ns0:t>R(T), +100 ppm/C at 25 C; positive datasheet limit</ns0:t>
        </ns0:is>
      </ns0:c>
      <ns0:c xmlns:ns0="http://schemas.openxmlformats.org/spreadsheetml/2006/main" r="AB44" s="16" t="str">
        <ns0:v>General</ns0:v>
      </ns0:c>
      <ns0:c xmlns:ns0="http://schemas.openxmlformats.org/spreadsheetml/2006/main" r="AC44" s="16" t="inlineStr">
        <ns0:is>
          <ns0:t>Spice Subcircuit</ns0:t>
        </ns0:is>
      </ns0:c>
      <ns0:c xmlns:ns0="http://schemas.openxmlformats.org/spreadsheetml/2006/main" r="AD44" s="16" t="inlineStr">
        <ns0:is>
          <ns0:t>@DESIGNATOR %1 %2 @MODEL PARAMS: Rvalue=@VALUE TC1value=100u</ns0:t>
        </ns0:is>
      </ns0:c>
      <ns0:c xmlns:ns0="http://schemas.openxmlformats.org/spreadsheetml/2006/main" r="AE44" s="16" t="inlineStr">
        <ns0:is>
          <ns0:t>X</ns0:t>
        </ns0:is>
      </ns0:c>
      <ns0:c xmlns:ns0="http://schemas.openxmlformats.org/spreadsheetml/2006/main" r="AF44" s="16" t="str">
        <ns0:v>(1:1),(2:2)</ns0:v>
      </ns0:c>
      <ns0:c xmlns:ns0="http://schemas.openxmlformats.org/spreadsheetml/2006/main" r="AG44" s="16" t="inlineStr">
        <ns0:is>
          <ns0:t>Simulation\Resistors\MY_LIB_R_TCR.ckt</ns0:t>
        </ns0:is>
      </ns0:c>
      <ns0:c xmlns:ns0="http://schemas.openxmlformats.org/spreadsheetml/2006/main" r="AH44" s="16" t="inlineStr">
        <ns0:is>
          <ns0:t>±100 ppm/°C</ns0:t>
        </ns0:is>
      </ns0:c>
    </ns0:row>
    <ns0:row r="45" ht="30" customHeight="1">
      <ns0:c r="A45" t="str" s="10">
        <ns0:v>R0051</ns0:v>
      </ns0:c>
      <ns0:c r="B45" t="str" s="10">
        <ns0:v>Резистор</ns0:v>
      </ns0:c>
      <ns0:c r="C45" t="str" s="10">
        <ns0:v>56R</ns0:v>
      </ns0:c>
      <ns0:c r="D45" t="str" s="11">
        <ns0:f>SUBSTITUTE(SUBSTITUTE(SUBSTITUTE(SUBSTITUTE(C45,"meg"," МОм"),"k"," кОм"),"R"," Ом"),".",",")</ns0:f>
        <ns0:v>56 Ом</ns0:v>
      </ns0:c>
      <ns0:c r="E45" t="str" s="10">
        <ns0:v>±5%</ns0:v>
      </ns0:c>
      <ns0:c r="F45" t="str" s="10">
        <ns0:v>0,1 Вт</ns0:v>
      </ns0:c>
      <ns0:c r="G45" t="str" s="10">
        <ns0:v>75 В макс.</ns0:v>
      </ns0:c>
      <ns0:c r="H45" t="str" s="12">
        <ns0:v>0603</ns0:v>
      </ns0:c>
      <ns0:c r="I45" t="str" s="10">
        <ns0:v>YAGEO</ns0:v>
      </ns0:c>
      <ns0:c r="J45" t="str" s="10">
        <ns0:v>RC0603JR-0756RL</ns0:v>
      </ns0:c>
      <ns0:c r="K45" t="str" s="11">
        <ns0:f>B45&amp;" "&amp;D45&amp;" "&amp;E45&amp;" "&amp;H45</ns0:f>
        <ns0:v>Резистор 56 Ом ±5% 0603</ns0:v>
      </ns0:c>
      <ns0:c r="L45" t="str" s="13">
        <ns0:v>R</ns0:v>
      </ns0:c>
      <ns0:c r="M45" t="str" s="13">
        <ns0:v>Symbols\MY_LIB_Resistors.SchLib</ns0:v>
      </ns0:c>
      <ns0:c r="N45" t="str" s="13">
        <ns0:v>RESC1608X55N</ns0:v>
      </ns0:c>
      <ns0:c r="O45" t="str" s="13">
        <ns0:v>Footprints\PBL - SMD Packages.PcbLib</ns0:v>
      </ns0:c>
      <ns0:c xmlns:ns0="http://schemas.openxmlformats.org/spreadsheetml/2006/main" r="P4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5" s="10"/>
      <ns0:c r="R45" t="str" s="11">
        <ns0:f>D45</ns0:f>
        <ns0:v>56 Ом</ns0:v>
      </ns0:c>
      <ns0:c r="S45" t="str" s="11">
        <ns0:f>K45</ns0:f>
        <ns0:v>Резистор 56 Ом ±5% 0603</ns0:v>
      </ns0:c>
      <x:c xmlns:x="http://schemas.openxmlformats.org/spreadsheetml/2006/main" r="T45" t="str" s="11">
        <x:v>C:\Users\Nomatin\Documents\Altium\MY_LIB\MY_LIB\Datasheets\YAGEO_RC_L.pdf</x:v>
      </x:c>
      <x:c xmlns:x="http://schemas.openxmlformats.org/spreadsheetml/2006/main" r="U45" t="str" s="11">
        <x:v>Даташит — локальный</x:v>
      </x:c>
      <x:c xmlns:x="http://schemas.openxmlformats.org/spreadsheetml/2006/main" r="V45" t="str" s="11">
        <x:v>C:\Users\Nomatin\Documents\Altium\MY_LIB\MY_LIB\Datasheets\YAGEO_RC_L.pdf</x:v>
      </x:c>
      <x:c xmlns:x="http://schemas.openxmlformats.org/spreadsheetml/2006/main" r="W45" t="str" s="11">
        <x:v>Даташит — производитель</x:v>
      </x:c>
      <x:c xmlns:x="http://schemas.openxmlformats.org/spreadsheetml/2006/main" r="X45" t="str" s="11">
        <x:v>https://yageogroup.com/content/datasheet/asset/file/PYU-RC_GROUP_51_ROHS_L</x:v>
      </x:c>
      <x:c xmlns:x="http://schemas.openxmlformats.org/spreadsheetml/2006/main" r="Y45" t="str" s="11">
        <x:v>C:\Users\Nomatin\Documents\Altium\MY_LIB\MY_LIB\Datasheets\YAGEO_RC_L.pdf</x:v>
      </x:c>
      <ns0:c xmlns:ns0="http://schemas.openxmlformats.org/spreadsheetml/2006/main" r="Z45" s="16" t="inlineStr">
        <ns0:is>
          <ns0:t>MY_LIB_R_TCR</ns0:t>
        </ns0:is>
      </ns0:c>
      <ns0:c xmlns:ns0="http://schemas.openxmlformats.org/spreadsheetml/2006/main" r="AA45" s="16" t="inlineStr">
        <ns0:is>
          <ns0:t>R(T), +100 ppm/C at 25 C; positive datasheet limit</ns0:t>
        </ns0:is>
      </ns0:c>
      <ns0:c xmlns:ns0="http://schemas.openxmlformats.org/spreadsheetml/2006/main" r="AB45" s="16" t="str">
        <ns0:v>General</ns0:v>
      </ns0:c>
      <ns0:c xmlns:ns0="http://schemas.openxmlformats.org/spreadsheetml/2006/main" r="AC45" s="16" t="inlineStr">
        <ns0:is>
          <ns0:t>Spice Subcircuit</ns0:t>
        </ns0:is>
      </ns0:c>
      <ns0:c xmlns:ns0="http://schemas.openxmlformats.org/spreadsheetml/2006/main" r="AD45" s="16" t="inlineStr">
        <ns0:is>
          <ns0:t>@DESIGNATOR %1 %2 @MODEL PARAMS: Rvalue=@VALUE TC1value=100u</ns0:t>
        </ns0:is>
      </ns0:c>
      <ns0:c xmlns:ns0="http://schemas.openxmlformats.org/spreadsheetml/2006/main" r="AE45" s="16" t="inlineStr">
        <ns0:is>
          <ns0:t>X</ns0:t>
        </ns0:is>
      </ns0:c>
      <ns0:c xmlns:ns0="http://schemas.openxmlformats.org/spreadsheetml/2006/main" r="AF45" s="16" t="str">
        <ns0:v>(1:1),(2:2)</ns0:v>
      </ns0:c>
      <ns0:c xmlns:ns0="http://schemas.openxmlformats.org/spreadsheetml/2006/main" r="AG45" s="16" t="inlineStr">
        <ns0:is>
          <ns0:t>Simulation\Resistors\MY_LIB_R_TCR.ckt</ns0:t>
        </ns0:is>
      </ns0:c>
      <ns0:c xmlns:ns0="http://schemas.openxmlformats.org/spreadsheetml/2006/main" r="AH45" s="16" t="inlineStr">
        <ns0:is>
          <ns0:t>±100 ppm/°C</ns0:t>
        </ns0:is>
      </ns0:c>
    </ns0:row>
    <ns0:row r="46" ht="30" customHeight="1">
      <ns0:c r="A46" t="str" s="10">
        <ns0:v>R0052</ns0:v>
      </ns0:c>
      <ns0:c r="B46" t="str" s="10">
        <ns0:v>Резистор</ns0:v>
      </ns0:c>
      <ns0:c r="C46" t="str" s="10">
        <ns0:v>62R</ns0:v>
      </ns0:c>
      <ns0:c r="D46" t="str" s="11">
        <ns0:f>SUBSTITUTE(SUBSTITUTE(SUBSTITUTE(SUBSTITUTE(C46,"meg"," МОм"),"k"," кОм"),"R"," Ом"),".",",")</ns0:f>
        <ns0:v>62 Ом</ns0:v>
      </ns0:c>
      <ns0:c r="E46" t="str" s="10">
        <ns0:v>±5%</ns0:v>
      </ns0:c>
      <ns0:c r="F46" t="str" s="10">
        <ns0:v>0,1 Вт</ns0:v>
      </ns0:c>
      <ns0:c r="G46" t="str" s="10">
        <ns0:v>75 В макс.</ns0:v>
      </ns0:c>
      <ns0:c r="H46" t="str" s="12">
        <ns0:v>0603</ns0:v>
      </ns0:c>
      <ns0:c r="I46" t="str" s="10">
        <ns0:v>YAGEO</ns0:v>
      </ns0:c>
      <ns0:c r="J46" t="str" s="10">
        <ns0:v>RC0603JR-0762RL</ns0:v>
      </ns0:c>
      <ns0:c r="K46" t="str" s="11">
        <ns0:f>B46&amp;" "&amp;D46&amp;" "&amp;E46&amp;" "&amp;H46</ns0:f>
        <ns0:v>Резистор 62 Ом ±5% 0603</ns0:v>
      </ns0:c>
      <ns0:c r="L46" t="str" s="13">
        <ns0:v>R</ns0:v>
      </ns0:c>
      <ns0:c r="M46" t="str" s="13">
        <ns0:v>Symbols\MY_LIB_Resistors.SchLib</ns0:v>
      </ns0:c>
      <ns0:c r="N46" t="str" s="13">
        <ns0:v>RESC1608X55N</ns0:v>
      </ns0:c>
      <ns0:c r="O46" t="str" s="13">
        <ns0:v>Footprints\PBL - SMD Packages.PcbLib</ns0:v>
      </ns0:c>
      <ns0:c xmlns:ns0="http://schemas.openxmlformats.org/spreadsheetml/2006/main" r="P4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6" s="10"/>
      <ns0:c r="R46" t="str" s="11">
        <ns0:f>D46</ns0:f>
        <ns0:v>62 Ом</ns0:v>
      </ns0:c>
      <ns0:c r="S46" t="str" s="11">
        <ns0:f>K46</ns0:f>
        <ns0:v>Резистор 62 Ом ±5% 0603</ns0:v>
      </ns0:c>
      <x:c xmlns:x="http://schemas.openxmlformats.org/spreadsheetml/2006/main" r="T46" t="str" s="11">
        <x:v>C:\Users\Nomatin\Documents\Altium\MY_LIB\MY_LIB\Datasheets\YAGEO_RC_L.pdf</x:v>
      </x:c>
      <x:c xmlns:x="http://schemas.openxmlformats.org/spreadsheetml/2006/main" r="U46" t="str" s="11">
        <x:v>Даташит — локальный</x:v>
      </x:c>
      <x:c xmlns:x="http://schemas.openxmlformats.org/spreadsheetml/2006/main" r="V46" t="str" s="11">
        <x:v>C:\Users\Nomatin\Documents\Altium\MY_LIB\MY_LIB\Datasheets\YAGEO_RC_L.pdf</x:v>
      </x:c>
      <x:c xmlns:x="http://schemas.openxmlformats.org/spreadsheetml/2006/main" r="W46" t="str" s="11">
        <x:v>Даташит — производитель</x:v>
      </x:c>
      <x:c xmlns:x="http://schemas.openxmlformats.org/spreadsheetml/2006/main" r="X46" t="str" s="11">
        <x:v>https://yageogroup.com/content/datasheet/asset/file/PYU-RC_GROUP_51_ROHS_L</x:v>
      </x:c>
      <x:c xmlns:x="http://schemas.openxmlformats.org/spreadsheetml/2006/main" r="Y46" t="str" s="11">
        <x:v>C:\Users\Nomatin\Documents\Altium\MY_LIB\MY_LIB\Datasheets\YAGEO_RC_L.pdf</x:v>
      </x:c>
      <ns0:c xmlns:ns0="http://schemas.openxmlformats.org/spreadsheetml/2006/main" r="Z46" s="16" t="inlineStr">
        <ns0:is>
          <ns0:t>MY_LIB_R_TCR</ns0:t>
        </ns0:is>
      </ns0:c>
      <ns0:c xmlns:ns0="http://schemas.openxmlformats.org/spreadsheetml/2006/main" r="AA46" s="16" t="inlineStr">
        <ns0:is>
          <ns0:t>R(T), +100 ppm/C at 25 C; positive datasheet limit</ns0:t>
        </ns0:is>
      </ns0:c>
      <ns0:c xmlns:ns0="http://schemas.openxmlformats.org/spreadsheetml/2006/main" r="AB46" s="16" t="str">
        <ns0:v>General</ns0:v>
      </ns0:c>
      <ns0:c xmlns:ns0="http://schemas.openxmlformats.org/spreadsheetml/2006/main" r="AC46" s="16" t="inlineStr">
        <ns0:is>
          <ns0:t>Spice Subcircuit</ns0:t>
        </ns0:is>
      </ns0:c>
      <ns0:c xmlns:ns0="http://schemas.openxmlformats.org/spreadsheetml/2006/main" r="AD46" s="16" t="inlineStr">
        <ns0:is>
          <ns0:t>@DESIGNATOR %1 %2 @MODEL PARAMS: Rvalue=@VALUE TC1value=100u</ns0:t>
        </ns0:is>
      </ns0:c>
      <ns0:c xmlns:ns0="http://schemas.openxmlformats.org/spreadsheetml/2006/main" r="AE46" s="16" t="inlineStr">
        <ns0:is>
          <ns0:t>X</ns0:t>
        </ns0:is>
      </ns0:c>
      <ns0:c xmlns:ns0="http://schemas.openxmlformats.org/spreadsheetml/2006/main" r="AF46" s="16" t="str">
        <ns0:v>(1:1),(2:2)</ns0:v>
      </ns0:c>
      <ns0:c xmlns:ns0="http://schemas.openxmlformats.org/spreadsheetml/2006/main" r="AG46" s="16" t="inlineStr">
        <ns0:is>
          <ns0:t>Simulation\Resistors\MY_LIB_R_TCR.ckt</ns0:t>
        </ns0:is>
      </ns0:c>
      <ns0:c xmlns:ns0="http://schemas.openxmlformats.org/spreadsheetml/2006/main" r="AH46" s="16" t="inlineStr">
        <ns0:is>
          <ns0:t>±100 ppm/°C</ns0:t>
        </ns0:is>
      </ns0:c>
    </ns0:row>
    <ns0:row r="47" ht="30" customHeight="1">
      <ns0:c r="A47" t="str" s="10">
        <ns0:v>R0053</ns0:v>
      </ns0:c>
      <ns0:c r="B47" t="str" s="10">
        <ns0:v>Резистор</ns0:v>
      </ns0:c>
      <ns0:c r="C47" t="str" s="10">
        <ns0:v>68R</ns0:v>
      </ns0:c>
      <ns0:c r="D47" t="str" s="11">
        <ns0:f>SUBSTITUTE(SUBSTITUTE(SUBSTITUTE(SUBSTITUTE(C47,"meg"," МОм"),"k"," кОм"),"R"," Ом"),".",",")</ns0:f>
        <ns0:v>68 Ом</ns0:v>
      </ns0:c>
      <ns0:c r="E47" t="str" s="10">
        <ns0:v>±5%</ns0:v>
      </ns0:c>
      <ns0:c r="F47" t="str" s="10">
        <ns0:v>0,1 Вт</ns0:v>
      </ns0:c>
      <ns0:c r="G47" t="str" s="10">
        <ns0:v>75 В макс.</ns0:v>
      </ns0:c>
      <ns0:c r="H47" t="str" s="12">
        <ns0:v>0603</ns0:v>
      </ns0:c>
      <ns0:c r="I47" t="str" s="10">
        <ns0:v>YAGEO</ns0:v>
      </ns0:c>
      <ns0:c r="J47" t="str" s="10">
        <ns0:v>RC0603JR-0768RL</ns0:v>
      </ns0:c>
      <ns0:c r="K47" t="str" s="11">
        <ns0:f>B47&amp;" "&amp;D47&amp;" "&amp;E47&amp;" "&amp;H47</ns0:f>
        <ns0:v>Резистор 68 Ом ±5% 0603</ns0:v>
      </ns0:c>
      <ns0:c r="L47" t="str" s="13">
        <ns0:v>R</ns0:v>
      </ns0:c>
      <ns0:c r="M47" t="str" s="13">
        <ns0:v>Symbols\MY_LIB_Resistors.SchLib</ns0:v>
      </ns0:c>
      <ns0:c r="N47" t="str" s="13">
        <ns0:v>RESC1608X55N</ns0:v>
      </ns0:c>
      <ns0:c r="O47" t="str" s="13">
        <ns0:v>Footprints\PBL - SMD Packages.PcbLib</ns0:v>
      </ns0:c>
      <ns0:c xmlns:ns0="http://schemas.openxmlformats.org/spreadsheetml/2006/main" r="P4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7" s="10"/>
      <ns0:c r="R47" t="str" s="11">
        <ns0:f>D47</ns0:f>
        <ns0:v>68 Ом</ns0:v>
      </ns0:c>
      <ns0:c r="S47" t="str" s="11">
        <ns0:f>K47</ns0:f>
        <ns0:v>Резистор 68 Ом ±5% 0603</ns0:v>
      </ns0:c>
      <x:c xmlns:x="http://schemas.openxmlformats.org/spreadsheetml/2006/main" r="T47" t="str" s="11">
        <x:v>C:\Users\Nomatin\Documents\Altium\MY_LIB\MY_LIB\Datasheets\YAGEO_RC_L.pdf</x:v>
      </x:c>
      <x:c xmlns:x="http://schemas.openxmlformats.org/spreadsheetml/2006/main" r="U47" t="str" s="11">
        <x:v>Даташит — локальный</x:v>
      </x:c>
      <x:c xmlns:x="http://schemas.openxmlformats.org/spreadsheetml/2006/main" r="V47" t="str" s="11">
        <x:v>C:\Users\Nomatin\Documents\Altium\MY_LIB\MY_LIB\Datasheets\YAGEO_RC_L.pdf</x:v>
      </x:c>
      <x:c xmlns:x="http://schemas.openxmlformats.org/spreadsheetml/2006/main" r="W47" t="str" s="11">
        <x:v>Даташит — производитель</x:v>
      </x:c>
      <x:c xmlns:x="http://schemas.openxmlformats.org/spreadsheetml/2006/main" r="X47" t="str" s="11">
        <x:v>https://yageogroup.com/content/datasheet/asset/file/PYU-RC_GROUP_51_ROHS_L</x:v>
      </x:c>
      <x:c xmlns:x="http://schemas.openxmlformats.org/spreadsheetml/2006/main" r="Y47" t="str" s="11">
        <x:v>C:\Users\Nomatin\Documents\Altium\MY_LIB\MY_LIB\Datasheets\YAGEO_RC_L.pdf</x:v>
      </x:c>
      <ns0:c xmlns:ns0="http://schemas.openxmlformats.org/spreadsheetml/2006/main" r="Z47" s="16" t="inlineStr">
        <ns0:is>
          <ns0:t>MY_LIB_R_TCR</ns0:t>
        </ns0:is>
      </ns0:c>
      <ns0:c xmlns:ns0="http://schemas.openxmlformats.org/spreadsheetml/2006/main" r="AA47" s="16" t="inlineStr">
        <ns0:is>
          <ns0:t>R(T), +100 ppm/C at 25 C; positive datasheet limit</ns0:t>
        </ns0:is>
      </ns0:c>
      <ns0:c xmlns:ns0="http://schemas.openxmlformats.org/spreadsheetml/2006/main" r="AB47" s="16" t="str">
        <ns0:v>General</ns0:v>
      </ns0:c>
      <ns0:c xmlns:ns0="http://schemas.openxmlformats.org/spreadsheetml/2006/main" r="AC47" s="16" t="inlineStr">
        <ns0:is>
          <ns0:t>Spice Subcircuit</ns0:t>
        </ns0:is>
      </ns0:c>
      <ns0:c xmlns:ns0="http://schemas.openxmlformats.org/spreadsheetml/2006/main" r="AD47" s="16" t="inlineStr">
        <ns0:is>
          <ns0:t>@DESIGNATOR %1 %2 @MODEL PARAMS: Rvalue=@VALUE TC1value=100u</ns0:t>
        </ns0:is>
      </ns0:c>
      <ns0:c xmlns:ns0="http://schemas.openxmlformats.org/spreadsheetml/2006/main" r="AE47" s="16" t="inlineStr">
        <ns0:is>
          <ns0:t>X</ns0:t>
        </ns0:is>
      </ns0:c>
      <ns0:c xmlns:ns0="http://schemas.openxmlformats.org/spreadsheetml/2006/main" r="AF47" s="16" t="str">
        <ns0:v>(1:1),(2:2)</ns0:v>
      </ns0:c>
      <ns0:c xmlns:ns0="http://schemas.openxmlformats.org/spreadsheetml/2006/main" r="AG47" s="16" t="inlineStr">
        <ns0:is>
          <ns0:t>Simulation\Resistors\MY_LIB_R_TCR.ckt</ns0:t>
        </ns0:is>
      </ns0:c>
      <ns0:c xmlns:ns0="http://schemas.openxmlformats.org/spreadsheetml/2006/main" r="AH47" s="16" t="inlineStr">
        <ns0:is>
          <ns0:t>±100 ppm/°C</ns0:t>
        </ns0:is>
      </ns0:c>
    </ns0:row>
    <ns0:row r="48" ht="30" customHeight="1">
      <ns0:c r="A48" t="str" s="10">
        <ns0:v>R0054</ns0:v>
      </ns0:c>
      <ns0:c r="B48" t="str" s="10">
        <ns0:v>Резистор</ns0:v>
      </ns0:c>
      <ns0:c r="C48" t="str" s="10">
        <ns0:v>75R</ns0:v>
      </ns0:c>
      <ns0:c r="D48" t="str" s="11">
        <ns0:f>SUBSTITUTE(SUBSTITUTE(SUBSTITUTE(SUBSTITUTE(C48,"meg"," МОм"),"k"," кОм"),"R"," Ом"),".",",")</ns0:f>
        <ns0:v>75 Ом</ns0:v>
      </ns0:c>
      <ns0:c r="E48" t="str" s="10">
        <ns0:v>±5%</ns0:v>
      </ns0:c>
      <ns0:c r="F48" t="str" s="10">
        <ns0:v>0,1 Вт</ns0:v>
      </ns0:c>
      <ns0:c r="G48" t="str" s="10">
        <ns0:v>75 В макс.</ns0:v>
      </ns0:c>
      <ns0:c r="H48" t="str" s="12">
        <ns0:v>0603</ns0:v>
      </ns0:c>
      <ns0:c r="I48" t="str" s="10">
        <ns0:v>YAGEO</ns0:v>
      </ns0:c>
      <ns0:c r="J48" t="str" s="10">
        <ns0:v>RC0603JR-0775RL</ns0:v>
      </ns0:c>
      <ns0:c r="K48" t="str" s="11">
        <ns0:f>B48&amp;" "&amp;D48&amp;" "&amp;E48&amp;" "&amp;H48</ns0:f>
        <ns0:v>Резистор 75 Ом ±5% 0603</ns0:v>
      </ns0:c>
      <ns0:c r="L48" t="str" s="13">
        <ns0:v>R</ns0:v>
      </ns0:c>
      <ns0:c r="M48" t="str" s="13">
        <ns0:v>Symbols\MY_LIB_Resistors.SchLib</ns0:v>
      </ns0:c>
      <ns0:c r="N48" t="str" s="13">
        <ns0:v>RESC1608X55N</ns0:v>
      </ns0:c>
      <ns0:c r="O48" t="str" s="13">
        <ns0:v>Footprints\PBL - SMD Packages.PcbLib</ns0:v>
      </ns0:c>
      <ns0:c xmlns:ns0="http://schemas.openxmlformats.org/spreadsheetml/2006/main" r="P4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8" s="10"/>
      <ns0:c r="R48" t="str" s="11">
        <ns0:f>D48</ns0:f>
        <ns0:v>75 Ом</ns0:v>
      </ns0:c>
      <ns0:c r="S48" t="str" s="11">
        <ns0:f>K48</ns0:f>
        <ns0:v>Резистор 75 Ом ±5% 0603</ns0:v>
      </ns0:c>
      <x:c xmlns:x="http://schemas.openxmlformats.org/spreadsheetml/2006/main" r="T48" t="str" s="11">
        <x:v>C:\Users\Nomatin\Documents\Altium\MY_LIB\MY_LIB\Datasheets\YAGEO_RC_L.pdf</x:v>
      </x:c>
      <x:c xmlns:x="http://schemas.openxmlformats.org/spreadsheetml/2006/main" r="U48" t="str" s="11">
        <x:v>Даташит — локальный</x:v>
      </x:c>
      <x:c xmlns:x="http://schemas.openxmlformats.org/spreadsheetml/2006/main" r="V48" t="str" s="11">
        <x:v>C:\Users\Nomatin\Documents\Altium\MY_LIB\MY_LIB\Datasheets\YAGEO_RC_L.pdf</x:v>
      </x:c>
      <x:c xmlns:x="http://schemas.openxmlformats.org/spreadsheetml/2006/main" r="W48" t="str" s="11">
        <x:v>Даташит — производитель</x:v>
      </x:c>
      <x:c xmlns:x="http://schemas.openxmlformats.org/spreadsheetml/2006/main" r="X48" t="str" s="11">
        <x:v>https://yageogroup.com/content/datasheet/asset/file/PYU-RC_GROUP_51_ROHS_L</x:v>
      </x:c>
      <x:c xmlns:x="http://schemas.openxmlformats.org/spreadsheetml/2006/main" r="Y48" t="str" s="11">
        <x:v>C:\Users\Nomatin\Documents\Altium\MY_LIB\MY_LIB\Datasheets\YAGEO_RC_L.pdf</x:v>
      </x:c>
      <ns0:c xmlns:ns0="http://schemas.openxmlformats.org/spreadsheetml/2006/main" r="Z48" s="16" t="inlineStr">
        <ns0:is>
          <ns0:t>MY_LIB_R_TCR</ns0:t>
        </ns0:is>
      </ns0:c>
      <ns0:c xmlns:ns0="http://schemas.openxmlformats.org/spreadsheetml/2006/main" r="AA48" s="16" t="inlineStr">
        <ns0:is>
          <ns0:t>R(T), +100 ppm/C at 25 C; positive datasheet limit</ns0:t>
        </ns0:is>
      </ns0:c>
      <ns0:c xmlns:ns0="http://schemas.openxmlformats.org/spreadsheetml/2006/main" r="AB48" s="16" t="str">
        <ns0:v>General</ns0:v>
      </ns0:c>
      <ns0:c xmlns:ns0="http://schemas.openxmlformats.org/spreadsheetml/2006/main" r="AC48" s="16" t="inlineStr">
        <ns0:is>
          <ns0:t>Spice Subcircuit</ns0:t>
        </ns0:is>
      </ns0:c>
      <ns0:c xmlns:ns0="http://schemas.openxmlformats.org/spreadsheetml/2006/main" r="AD48" s="16" t="inlineStr">
        <ns0:is>
          <ns0:t>@DESIGNATOR %1 %2 @MODEL PARAMS: Rvalue=@VALUE TC1value=100u</ns0:t>
        </ns0:is>
      </ns0:c>
      <ns0:c xmlns:ns0="http://schemas.openxmlformats.org/spreadsheetml/2006/main" r="AE48" s="16" t="inlineStr">
        <ns0:is>
          <ns0:t>X</ns0:t>
        </ns0:is>
      </ns0:c>
      <ns0:c xmlns:ns0="http://schemas.openxmlformats.org/spreadsheetml/2006/main" r="AF48" s="16" t="str">
        <ns0:v>(1:1),(2:2)</ns0:v>
      </ns0:c>
      <ns0:c xmlns:ns0="http://schemas.openxmlformats.org/spreadsheetml/2006/main" r="AG48" s="16" t="inlineStr">
        <ns0:is>
          <ns0:t>Simulation\Resistors\MY_LIB_R_TCR.ckt</ns0:t>
        </ns0:is>
      </ns0:c>
      <ns0:c xmlns:ns0="http://schemas.openxmlformats.org/spreadsheetml/2006/main" r="AH48" s="16" t="inlineStr">
        <ns0:is>
          <ns0:t>±100 ppm/°C</ns0:t>
        </ns0:is>
      </ns0:c>
    </ns0:row>
    <ns0:row r="49" ht="30" customHeight="1">
      <ns0:c r="A49" t="str" s="10">
        <ns0:v>R0055</ns0:v>
      </ns0:c>
      <ns0:c r="B49" t="str" s="10">
        <ns0:v>Резистор</ns0:v>
      </ns0:c>
      <ns0:c r="C49" t="str" s="10">
        <ns0:v>82R</ns0:v>
      </ns0:c>
      <ns0:c r="D49" t="str" s="11">
        <ns0:f>SUBSTITUTE(SUBSTITUTE(SUBSTITUTE(SUBSTITUTE(C49,"meg"," МОм"),"k"," кОм"),"R"," Ом"),".",",")</ns0:f>
        <ns0:v>82 Ом</ns0:v>
      </ns0:c>
      <ns0:c r="E49" t="str" s="10">
        <ns0:v>±5%</ns0:v>
      </ns0:c>
      <ns0:c r="F49" t="str" s="10">
        <ns0:v>0,1 Вт</ns0:v>
      </ns0:c>
      <ns0:c r="G49" t="str" s="10">
        <ns0:v>75 В макс.</ns0:v>
      </ns0:c>
      <ns0:c r="H49" t="str" s="12">
        <ns0:v>0603</ns0:v>
      </ns0:c>
      <ns0:c r="I49" t="str" s="10">
        <ns0:v>YAGEO</ns0:v>
      </ns0:c>
      <ns0:c r="J49" t="str" s="10">
        <ns0:v>RC0603JR-0782RL</ns0:v>
      </ns0:c>
      <ns0:c r="K49" t="str" s="11">
        <ns0:f>B49&amp;" "&amp;D49&amp;" "&amp;E49&amp;" "&amp;H49</ns0:f>
        <ns0:v>Резистор 82 Ом ±5% 0603</ns0:v>
      </ns0:c>
      <ns0:c r="L49" t="str" s="13">
        <ns0:v>R</ns0:v>
      </ns0:c>
      <ns0:c r="M49" t="str" s="13">
        <ns0:v>Symbols\MY_LIB_Resistors.SchLib</ns0:v>
      </ns0:c>
      <ns0:c r="N49" t="str" s="13">
        <ns0:v>RESC1608X55N</ns0:v>
      </ns0:c>
      <ns0:c r="O49" t="str" s="13">
        <ns0:v>Footprints\PBL - SMD Packages.PcbLib</ns0:v>
      </ns0:c>
      <ns0:c xmlns:ns0="http://schemas.openxmlformats.org/spreadsheetml/2006/main" r="P4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49" s="10"/>
      <ns0:c r="R49" t="str" s="11">
        <ns0:f>D49</ns0:f>
        <ns0:v>82 Ом</ns0:v>
      </ns0:c>
      <ns0:c r="S49" t="str" s="11">
        <ns0:f>K49</ns0:f>
        <ns0:v>Резистор 82 Ом ±5% 0603</ns0:v>
      </ns0:c>
      <x:c xmlns:x="http://schemas.openxmlformats.org/spreadsheetml/2006/main" r="T49" t="str" s="11">
        <x:v>C:\Users\Nomatin\Documents\Altium\MY_LIB\MY_LIB\Datasheets\YAGEO_RC_L.pdf</x:v>
      </x:c>
      <x:c xmlns:x="http://schemas.openxmlformats.org/spreadsheetml/2006/main" r="U49" t="str" s="11">
        <x:v>Даташит — локальный</x:v>
      </x:c>
      <x:c xmlns:x="http://schemas.openxmlformats.org/spreadsheetml/2006/main" r="V49" t="str" s="11">
        <x:v>C:\Users\Nomatin\Documents\Altium\MY_LIB\MY_LIB\Datasheets\YAGEO_RC_L.pdf</x:v>
      </x:c>
      <x:c xmlns:x="http://schemas.openxmlformats.org/spreadsheetml/2006/main" r="W49" t="str" s="11">
        <x:v>Даташит — производитель</x:v>
      </x:c>
      <x:c xmlns:x="http://schemas.openxmlformats.org/spreadsheetml/2006/main" r="X49" t="str" s="11">
        <x:v>https://yageogroup.com/content/datasheet/asset/file/PYU-RC_GROUP_51_ROHS_L</x:v>
      </x:c>
      <x:c xmlns:x="http://schemas.openxmlformats.org/spreadsheetml/2006/main" r="Y49" t="str" s="11">
        <x:v>C:\Users\Nomatin\Documents\Altium\MY_LIB\MY_LIB\Datasheets\YAGEO_RC_L.pdf</x:v>
      </x:c>
      <ns0:c xmlns:ns0="http://schemas.openxmlformats.org/spreadsheetml/2006/main" r="Z49" s="16" t="inlineStr">
        <ns0:is>
          <ns0:t>MY_LIB_R_TCR</ns0:t>
        </ns0:is>
      </ns0:c>
      <ns0:c xmlns:ns0="http://schemas.openxmlformats.org/spreadsheetml/2006/main" r="AA49" s="16" t="inlineStr">
        <ns0:is>
          <ns0:t>R(T), +100 ppm/C at 25 C; positive datasheet limit</ns0:t>
        </ns0:is>
      </ns0:c>
      <ns0:c xmlns:ns0="http://schemas.openxmlformats.org/spreadsheetml/2006/main" r="AB49" s="16" t="str">
        <ns0:v>General</ns0:v>
      </ns0:c>
      <ns0:c xmlns:ns0="http://schemas.openxmlformats.org/spreadsheetml/2006/main" r="AC49" s="16" t="inlineStr">
        <ns0:is>
          <ns0:t>Spice Subcircuit</ns0:t>
        </ns0:is>
      </ns0:c>
      <ns0:c xmlns:ns0="http://schemas.openxmlformats.org/spreadsheetml/2006/main" r="AD49" s="16" t="inlineStr">
        <ns0:is>
          <ns0:t>@DESIGNATOR %1 %2 @MODEL PARAMS: Rvalue=@VALUE TC1value=100u</ns0:t>
        </ns0:is>
      </ns0:c>
      <ns0:c xmlns:ns0="http://schemas.openxmlformats.org/spreadsheetml/2006/main" r="AE49" s="16" t="inlineStr">
        <ns0:is>
          <ns0:t>X</ns0:t>
        </ns0:is>
      </ns0:c>
      <ns0:c xmlns:ns0="http://schemas.openxmlformats.org/spreadsheetml/2006/main" r="AF49" s="16" t="str">
        <ns0:v>(1:1),(2:2)</ns0:v>
      </ns0:c>
      <ns0:c xmlns:ns0="http://schemas.openxmlformats.org/spreadsheetml/2006/main" r="AG49" s="16" t="inlineStr">
        <ns0:is>
          <ns0:t>Simulation\Resistors\MY_LIB_R_TCR.ckt</ns0:t>
        </ns0:is>
      </ns0:c>
      <ns0:c xmlns:ns0="http://schemas.openxmlformats.org/spreadsheetml/2006/main" r="AH49" s="16" t="inlineStr">
        <ns0:is>
          <ns0:t>±100 ppm/°C</ns0:t>
        </ns0:is>
      </ns0:c>
    </ns0:row>
    <ns0:row r="50" ht="30" customHeight="1">
      <ns0:c r="A50" t="str" s="10">
        <ns0:v>R0056</ns0:v>
      </ns0:c>
      <ns0:c r="B50" t="str" s="10">
        <ns0:v>Резистор</ns0:v>
      </ns0:c>
      <ns0:c r="C50" t="str" s="10">
        <ns0:v>91R</ns0:v>
      </ns0:c>
      <ns0:c r="D50" t="str" s="11">
        <ns0:f>SUBSTITUTE(SUBSTITUTE(SUBSTITUTE(SUBSTITUTE(C50,"meg"," МОм"),"k"," кОм"),"R"," Ом"),".",",")</ns0:f>
        <ns0:v>91 Ом</ns0:v>
      </ns0:c>
      <ns0:c r="E50" t="str" s="10">
        <ns0:v>±5%</ns0:v>
      </ns0:c>
      <ns0:c r="F50" t="str" s="10">
        <ns0:v>0,1 Вт</ns0:v>
      </ns0:c>
      <ns0:c r="G50" t="str" s="10">
        <ns0:v>75 В макс.</ns0:v>
      </ns0:c>
      <ns0:c r="H50" t="str" s="12">
        <ns0:v>0603</ns0:v>
      </ns0:c>
      <ns0:c r="I50" t="str" s="10">
        <ns0:v>YAGEO</ns0:v>
      </ns0:c>
      <ns0:c r="J50" t="str" s="10">
        <ns0:v>RC0603JR-0791RL</ns0:v>
      </ns0:c>
      <ns0:c r="K50" t="str" s="11">
        <ns0:f>B50&amp;" "&amp;D50&amp;" "&amp;E50&amp;" "&amp;H50</ns0:f>
        <ns0:v>Резистор 91 Ом ±5% 0603</ns0:v>
      </ns0:c>
      <ns0:c r="L50" t="str" s="13">
        <ns0:v>R</ns0:v>
      </ns0:c>
      <ns0:c r="M50" t="str" s="13">
        <ns0:v>Symbols\MY_LIB_Resistors.SchLib</ns0:v>
      </ns0:c>
      <ns0:c r="N50" t="str" s="13">
        <ns0:v>RESC1608X55N</ns0:v>
      </ns0:c>
      <ns0:c r="O50" t="str" s="13">
        <ns0:v>Footprints\PBL - SMD Packages.PcbLib</ns0:v>
      </ns0:c>
      <ns0:c xmlns:ns0="http://schemas.openxmlformats.org/spreadsheetml/2006/main" r="P5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0" s="10"/>
      <ns0:c r="R50" t="str" s="11">
        <ns0:f>D50</ns0:f>
        <ns0:v>91 Ом</ns0:v>
      </ns0:c>
      <ns0:c r="S50" t="str" s="11">
        <ns0:f>K50</ns0:f>
        <ns0:v>Резистор 91 Ом ±5% 0603</ns0:v>
      </ns0:c>
      <x:c xmlns:x="http://schemas.openxmlformats.org/spreadsheetml/2006/main" r="T50" t="str" s="11">
        <x:v>C:\Users\Nomatin\Documents\Altium\MY_LIB\MY_LIB\Datasheets\YAGEO_RC_L.pdf</x:v>
      </x:c>
      <x:c xmlns:x="http://schemas.openxmlformats.org/spreadsheetml/2006/main" r="U50" t="str" s="11">
        <x:v>Даташит — локальный</x:v>
      </x:c>
      <x:c xmlns:x="http://schemas.openxmlformats.org/spreadsheetml/2006/main" r="V50" t="str" s="11">
        <x:v>C:\Users\Nomatin\Documents\Altium\MY_LIB\MY_LIB\Datasheets\YAGEO_RC_L.pdf</x:v>
      </x:c>
      <x:c xmlns:x="http://schemas.openxmlformats.org/spreadsheetml/2006/main" r="W50" t="str" s="11">
        <x:v>Даташит — производитель</x:v>
      </x:c>
      <x:c xmlns:x="http://schemas.openxmlformats.org/spreadsheetml/2006/main" r="X50" t="str" s="11">
        <x:v>https://yageogroup.com/content/datasheet/asset/file/PYU-RC_GROUP_51_ROHS_L</x:v>
      </x:c>
      <x:c xmlns:x="http://schemas.openxmlformats.org/spreadsheetml/2006/main" r="Y50" t="str" s="11">
        <x:v>C:\Users\Nomatin\Documents\Altium\MY_LIB\MY_LIB\Datasheets\YAGEO_RC_L.pdf</x:v>
      </x:c>
      <ns0:c xmlns:ns0="http://schemas.openxmlformats.org/spreadsheetml/2006/main" r="Z50" s="16" t="inlineStr">
        <ns0:is>
          <ns0:t>MY_LIB_R_TCR</ns0:t>
        </ns0:is>
      </ns0:c>
      <ns0:c xmlns:ns0="http://schemas.openxmlformats.org/spreadsheetml/2006/main" r="AA50" s="16" t="inlineStr">
        <ns0:is>
          <ns0:t>R(T), +100 ppm/C at 25 C; positive datasheet limit</ns0:t>
        </ns0:is>
      </ns0:c>
      <ns0:c xmlns:ns0="http://schemas.openxmlformats.org/spreadsheetml/2006/main" r="AB50" s="16" t="str">
        <ns0:v>General</ns0:v>
      </ns0:c>
      <ns0:c xmlns:ns0="http://schemas.openxmlformats.org/spreadsheetml/2006/main" r="AC50" s="16" t="inlineStr">
        <ns0:is>
          <ns0:t>Spice Subcircuit</ns0:t>
        </ns0:is>
      </ns0:c>
      <ns0:c xmlns:ns0="http://schemas.openxmlformats.org/spreadsheetml/2006/main" r="AD50" s="16" t="inlineStr">
        <ns0:is>
          <ns0:t>@DESIGNATOR %1 %2 @MODEL PARAMS: Rvalue=@VALUE TC1value=100u</ns0:t>
        </ns0:is>
      </ns0:c>
      <ns0:c xmlns:ns0="http://schemas.openxmlformats.org/spreadsheetml/2006/main" r="AE50" s="16" t="inlineStr">
        <ns0:is>
          <ns0:t>X</ns0:t>
        </ns0:is>
      </ns0:c>
      <ns0:c xmlns:ns0="http://schemas.openxmlformats.org/spreadsheetml/2006/main" r="AF50" s="16" t="str">
        <ns0:v>(1:1),(2:2)</ns0:v>
      </ns0:c>
      <ns0:c xmlns:ns0="http://schemas.openxmlformats.org/spreadsheetml/2006/main" r="AG50" s="16" t="inlineStr">
        <ns0:is>
          <ns0:t>Simulation\Resistors\MY_LIB_R_TCR.ckt</ns0:t>
        </ns0:is>
      </ns0:c>
      <ns0:c xmlns:ns0="http://schemas.openxmlformats.org/spreadsheetml/2006/main" r="AH50" s="16" t="inlineStr">
        <ns0:is>
          <ns0:t>±100 ppm/°C</ns0:t>
        </ns0:is>
      </ns0:c>
    </ns0:row>
    <ns0:row r="51" ht="30" customHeight="1">
      <ns0:c r="A51" t="str" s="10">
        <ns0:v>R0057</ns0:v>
      </ns0:c>
      <ns0:c r="B51" t="str" s="10">
        <ns0:v>Резистор</ns0:v>
      </ns0:c>
      <ns0:c r="C51" t="str" s="10">
        <ns0:v>100R</ns0:v>
      </ns0:c>
      <ns0:c r="D51" t="str" s="11">
        <ns0:f>SUBSTITUTE(SUBSTITUTE(SUBSTITUTE(SUBSTITUTE(C51,"meg"," МОм"),"k"," кОм"),"R"," Ом"),".",",")</ns0:f>
        <ns0:v>100 Ом</ns0:v>
      </ns0:c>
      <ns0:c r="E51" t="str" s="10">
        <ns0:v>±5%</ns0:v>
      </ns0:c>
      <ns0:c r="F51" t="str" s="10">
        <ns0:v>0,1 Вт</ns0:v>
      </ns0:c>
      <ns0:c r="G51" t="str" s="10">
        <ns0:v>75 В макс.</ns0:v>
      </ns0:c>
      <ns0:c r="H51" t="str" s="12">
        <ns0:v>0603</ns0:v>
      </ns0:c>
      <ns0:c r="I51" t="str" s="10">
        <ns0:v>YAGEO</ns0:v>
      </ns0:c>
      <ns0:c r="J51" t="str" s="10">
        <ns0:v>RC0603JR-07100RL</ns0:v>
      </ns0:c>
      <ns0:c r="K51" t="str" s="11">
        <ns0:f>B51&amp;" "&amp;D51&amp;" "&amp;E51&amp;" "&amp;H51</ns0:f>
        <ns0:v>Резистор 100 Ом ±5% 0603</ns0:v>
      </ns0:c>
      <ns0:c r="L51" t="str" s="13">
        <ns0:v>R</ns0:v>
      </ns0:c>
      <ns0:c r="M51" t="str" s="13">
        <ns0:v>Symbols\MY_LIB_Resistors.SchLib</ns0:v>
      </ns0:c>
      <ns0:c r="N51" t="str" s="13">
        <ns0:v>RESC1608X55N</ns0:v>
      </ns0:c>
      <ns0:c r="O51" t="str" s="13">
        <ns0:v>Footprints\PBL - SMD Packages.PcbLib</ns0:v>
      </ns0:c>
      <ns0:c xmlns:ns0="http://schemas.openxmlformats.org/spreadsheetml/2006/main" r="P5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1" s="10"/>
      <ns0:c r="R51" t="str" s="11">
        <ns0:f>D51</ns0:f>
        <ns0:v>100 Ом</ns0:v>
      </ns0:c>
      <ns0:c r="S51" t="str" s="11">
        <ns0:f>K51</ns0:f>
        <ns0:v>Резистор 100 Ом ±5% 0603</ns0:v>
      </ns0:c>
      <x:c xmlns:x="http://schemas.openxmlformats.org/spreadsheetml/2006/main" r="T51" t="str" s="11">
        <x:v>C:\Users\Nomatin\Documents\Altium\MY_LIB\MY_LIB\Datasheets\YAGEO_RC_L.pdf</x:v>
      </x:c>
      <x:c xmlns:x="http://schemas.openxmlformats.org/spreadsheetml/2006/main" r="U51" t="str" s="11">
        <x:v>Даташит — локальный</x:v>
      </x:c>
      <x:c xmlns:x="http://schemas.openxmlformats.org/spreadsheetml/2006/main" r="V51" t="str" s="11">
        <x:v>C:\Users\Nomatin\Documents\Altium\MY_LIB\MY_LIB\Datasheets\YAGEO_RC_L.pdf</x:v>
      </x:c>
      <x:c xmlns:x="http://schemas.openxmlformats.org/spreadsheetml/2006/main" r="W51" t="str" s="11">
        <x:v>Даташит — производитель</x:v>
      </x:c>
      <x:c xmlns:x="http://schemas.openxmlformats.org/spreadsheetml/2006/main" r="X51" t="str" s="11">
        <x:v>https://yageogroup.com/content/datasheet/asset/file/PYU-RC_GROUP_51_ROHS_L</x:v>
      </x:c>
      <x:c xmlns:x="http://schemas.openxmlformats.org/spreadsheetml/2006/main" r="Y51" t="str" s="11">
        <x:v>C:\Users\Nomatin\Documents\Altium\MY_LIB\MY_LIB\Datasheets\YAGEO_RC_L.pdf</x:v>
      </x:c>
      <ns0:c xmlns:ns0="http://schemas.openxmlformats.org/spreadsheetml/2006/main" r="Z51" s="16" t="inlineStr">
        <ns0:is>
          <ns0:t>MY_LIB_R_TCR</ns0:t>
        </ns0:is>
      </ns0:c>
      <ns0:c xmlns:ns0="http://schemas.openxmlformats.org/spreadsheetml/2006/main" r="AA51" s="16" t="inlineStr">
        <ns0:is>
          <ns0:t>R(T), +100 ppm/C at 25 C; positive datasheet limit</ns0:t>
        </ns0:is>
      </ns0:c>
      <ns0:c xmlns:ns0="http://schemas.openxmlformats.org/spreadsheetml/2006/main" r="AB51" s="16" t="str">
        <ns0:v>General</ns0:v>
      </ns0:c>
      <ns0:c xmlns:ns0="http://schemas.openxmlformats.org/spreadsheetml/2006/main" r="AC51" s="16" t="inlineStr">
        <ns0:is>
          <ns0:t>Spice Subcircuit</ns0:t>
        </ns0:is>
      </ns0:c>
      <ns0:c xmlns:ns0="http://schemas.openxmlformats.org/spreadsheetml/2006/main" r="AD51" s="16" t="inlineStr">
        <ns0:is>
          <ns0:t>@DESIGNATOR %1 %2 @MODEL PARAMS: Rvalue=@VALUE TC1value=100u</ns0:t>
        </ns0:is>
      </ns0:c>
      <ns0:c xmlns:ns0="http://schemas.openxmlformats.org/spreadsheetml/2006/main" r="AE51" s="16" t="inlineStr">
        <ns0:is>
          <ns0:t>X</ns0:t>
        </ns0:is>
      </ns0:c>
      <ns0:c xmlns:ns0="http://schemas.openxmlformats.org/spreadsheetml/2006/main" r="AF51" s="16" t="str">
        <ns0:v>(1:1),(2:2)</ns0:v>
      </ns0:c>
      <ns0:c xmlns:ns0="http://schemas.openxmlformats.org/spreadsheetml/2006/main" r="AG51" s="16" t="inlineStr">
        <ns0:is>
          <ns0:t>Simulation\Resistors\MY_LIB_R_TCR.ckt</ns0:t>
        </ns0:is>
      </ns0:c>
      <ns0:c xmlns:ns0="http://schemas.openxmlformats.org/spreadsheetml/2006/main" r="AH51" s="16" t="inlineStr">
        <ns0:is>
          <ns0:t>±100 ppm/°C</ns0:t>
        </ns0:is>
      </ns0:c>
    </ns0:row>
    <ns0:row r="52" ht="30" customHeight="1">
      <ns0:c r="A52" t="str" s="10">
        <ns0:v>R0058</ns0:v>
      </ns0:c>
      <ns0:c r="B52" t="str" s="10">
        <ns0:v>Резистор</ns0:v>
      </ns0:c>
      <ns0:c r="C52" t="str" s="10">
        <ns0:v>110R</ns0:v>
      </ns0:c>
      <ns0:c r="D52" t="str" s="11">
        <ns0:f>SUBSTITUTE(SUBSTITUTE(SUBSTITUTE(SUBSTITUTE(C52,"meg"," МОм"),"k"," кОм"),"R"," Ом"),".",",")</ns0:f>
        <ns0:v>110 Ом</ns0:v>
      </ns0:c>
      <ns0:c r="E52" t="str" s="10">
        <ns0:v>±5%</ns0:v>
      </ns0:c>
      <ns0:c r="F52" t="str" s="10">
        <ns0:v>0,1 Вт</ns0:v>
      </ns0:c>
      <ns0:c r="G52" t="str" s="10">
        <ns0:v>75 В макс.</ns0:v>
      </ns0:c>
      <ns0:c r="H52" t="str" s="12">
        <ns0:v>0603</ns0:v>
      </ns0:c>
      <ns0:c r="I52" t="str" s="10">
        <ns0:v>YAGEO</ns0:v>
      </ns0:c>
      <ns0:c r="J52" t="str" s="10">
        <ns0:v>RC0603JR-07110RL</ns0:v>
      </ns0:c>
      <ns0:c r="K52" t="str" s="11">
        <ns0:f>B52&amp;" "&amp;D52&amp;" "&amp;E52&amp;" "&amp;H52</ns0:f>
        <ns0:v>Резистор 110 Ом ±5% 0603</ns0:v>
      </ns0:c>
      <ns0:c r="L52" t="str" s="13">
        <ns0:v>R</ns0:v>
      </ns0:c>
      <ns0:c r="M52" t="str" s="13">
        <ns0:v>Symbols\MY_LIB_Resistors.SchLib</ns0:v>
      </ns0:c>
      <ns0:c r="N52" t="str" s="13">
        <ns0:v>RESC1608X55N</ns0:v>
      </ns0:c>
      <ns0:c r="O52" t="str" s="13">
        <ns0:v>Footprints\PBL - SMD Packages.PcbLib</ns0:v>
      </ns0:c>
      <ns0:c xmlns:ns0="http://schemas.openxmlformats.org/spreadsheetml/2006/main" r="P5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2" s="10"/>
      <ns0:c r="R52" t="str" s="11">
        <ns0:f>D52</ns0:f>
        <ns0:v>110 Ом</ns0:v>
      </ns0:c>
      <ns0:c r="S52" t="str" s="11">
        <ns0:f>K52</ns0:f>
        <ns0:v>Резистор 110 Ом ±5% 0603</ns0:v>
      </ns0:c>
      <x:c xmlns:x="http://schemas.openxmlformats.org/spreadsheetml/2006/main" r="T52" t="str" s="11">
        <x:v>C:\Users\Nomatin\Documents\Altium\MY_LIB\MY_LIB\Datasheets\YAGEO_RC_L.pdf</x:v>
      </x:c>
      <x:c xmlns:x="http://schemas.openxmlformats.org/spreadsheetml/2006/main" r="U52" t="str" s="11">
        <x:v>Даташит — локальный</x:v>
      </x:c>
      <x:c xmlns:x="http://schemas.openxmlformats.org/spreadsheetml/2006/main" r="V52" t="str" s="11">
        <x:v>C:\Users\Nomatin\Documents\Altium\MY_LIB\MY_LIB\Datasheets\YAGEO_RC_L.pdf</x:v>
      </x:c>
      <x:c xmlns:x="http://schemas.openxmlformats.org/spreadsheetml/2006/main" r="W52" t="str" s="11">
        <x:v>Даташит — производитель</x:v>
      </x:c>
      <x:c xmlns:x="http://schemas.openxmlformats.org/spreadsheetml/2006/main" r="X52" t="str" s="11">
        <x:v>https://yageogroup.com/content/datasheet/asset/file/PYU-RC_GROUP_51_ROHS_L</x:v>
      </x:c>
      <x:c xmlns:x="http://schemas.openxmlformats.org/spreadsheetml/2006/main" r="Y52" t="str" s="11">
        <x:v>C:\Users\Nomatin\Documents\Altium\MY_LIB\MY_LIB\Datasheets\YAGEO_RC_L.pdf</x:v>
      </x:c>
      <ns0:c xmlns:ns0="http://schemas.openxmlformats.org/spreadsheetml/2006/main" r="Z52" s="16" t="inlineStr">
        <ns0:is>
          <ns0:t>MY_LIB_R_TCR</ns0:t>
        </ns0:is>
      </ns0:c>
      <ns0:c xmlns:ns0="http://schemas.openxmlformats.org/spreadsheetml/2006/main" r="AA52" s="16" t="inlineStr">
        <ns0:is>
          <ns0:t>R(T), +100 ppm/C at 25 C; positive datasheet limit</ns0:t>
        </ns0:is>
      </ns0:c>
      <ns0:c xmlns:ns0="http://schemas.openxmlformats.org/spreadsheetml/2006/main" r="AB52" s="16" t="str">
        <ns0:v>General</ns0:v>
      </ns0:c>
      <ns0:c xmlns:ns0="http://schemas.openxmlformats.org/spreadsheetml/2006/main" r="AC52" s="16" t="inlineStr">
        <ns0:is>
          <ns0:t>Spice Subcircuit</ns0:t>
        </ns0:is>
      </ns0:c>
      <ns0:c xmlns:ns0="http://schemas.openxmlformats.org/spreadsheetml/2006/main" r="AD52" s="16" t="inlineStr">
        <ns0:is>
          <ns0:t>@DESIGNATOR %1 %2 @MODEL PARAMS: Rvalue=@VALUE TC1value=100u</ns0:t>
        </ns0:is>
      </ns0:c>
      <ns0:c xmlns:ns0="http://schemas.openxmlformats.org/spreadsheetml/2006/main" r="AE52" s="16" t="inlineStr">
        <ns0:is>
          <ns0:t>X</ns0:t>
        </ns0:is>
      </ns0:c>
      <ns0:c xmlns:ns0="http://schemas.openxmlformats.org/spreadsheetml/2006/main" r="AF52" s="16" t="str">
        <ns0:v>(1:1),(2:2)</ns0:v>
      </ns0:c>
      <ns0:c xmlns:ns0="http://schemas.openxmlformats.org/spreadsheetml/2006/main" r="AG52" s="16" t="inlineStr">
        <ns0:is>
          <ns0:t>Simulation\Resistors\MY_LIB_R_TCR.ckt</ns0:t>
        </ns0:is>
      </ns0:c>
      <ns0:c xmlns:ns0="http://schemas.openxmlformats.org/spreadsheetml/2006/main" r="AH52" s="16" t="inlineStr">
        <ns0:is>
          <ns0:t>±100 ppm/°C</ns0:t>
        </ns0:is>
      </ns0:c>
    </ns0:row>
    <ns0:row r="53" ht="30" customHeight="1">
      <ns0:c r="A53" t="str" s="10">
        <ns0:v>R0059</ns0:v>
      </ns0:c>
      <ns0:c r="B53" t="str" s="10">
        <ns0:v>Резистор</ns0:v>
      </ns0:c>
      <ns0:c r="C53" t="str" s="10">
        <ns0:v>120R</ns0:v>
      </ns0:c>
      <ns0:c r="D53" t="str" s="11">
        <ns0:f>SUBSTITUTE(SUBSTITUTE(SUBSTITUTE(SUBSTITUTE(C53,"meg"," МОм"),"k"," кОм"),"R"," Ом"),".",",")</ns0:f>
        <ns0:v>120 Ом</ns0:v>
      </ns0:c>
      <ns0:c r="E53" t="str" s="10">
        <ns0:v>±5%</ns0:v>
      </ns0:c>
      <ns0:c r="F53" t="str" s="10">
        <ns0:v>0,1 Вт</ns0:v>
      </ns0:c>
      <ns0:c r="G53" t="str" s="10">
        <ns0:v>75 В макс.</ns0:v>
      </ns0:c>
      <ns0:c r="H53" t="str" s="12">
        <ns0:v>0603</ns0:v>
      </ns0:c>
      <ns0:c r="I53" t="str" s="10">
        <ns0:v>YAGEO</ns0:v>
      </ns0:c>
      <ns0:c r="J53" t="str" s="10">
        <ns0:v>RC0603JR-07120RL</ns0:v>
      </ns0:c>
      <ns0:c r="K53" t="str" s="11">
        <ns0:f>B53&amp;" "&amp;D53&amp;" "&amp;E53&amp;" "&amp;H53</ns0:f>
        <ns0:v>Резистор 120 Ом ±5% 0603</ns0:v>
      </ns0:c>
      <ns0:c r="L53" t="str" s="13">
        <ns0:v>R</ns0:v>
      </ns0:c>
      <ns0:c r="M53" t="str" s="13">
        <ns0:v>Symbols\MY_LIB_Resistors.SchLib</ns0:v>
      </ns0:c>
      <ns0:c r="N53" t="str" s="13">
        <ns0:v>RESC1608X55N</ns0:v>
      </ns0:c>
      <ns0:c r="O53" t="str" s="13">
        <ns0:v>Footprints\PBL - SMD Packages.PcbLib</ns0:v>
      </ns0:c>
      <ns0:c xmlns:ns0="http://schemas.openxmlformats.org/spreadsheetml/2006/main" r="P5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3" s="10"/>
      <ns0:c r="R53" t="str" s="11">
        <ns0:f>D53</ns0:f>
        <ns0:v>120 Ом</ns0:v>
      </ns0:c>
      <ns0:c r="S53" t="str" s="11">
        <ns0:f>K53</ns0:f>
        <ns0:v>Резистор 120 Ом ±5% 0603</ns0:v>
      </ns0:c>
      <x:c xmlns:x="http://schemas.openxmlformats.org/spreadsheetml/2006/main" r="T53" t="str" s="11">
        <x:v>C:\Users\Nomatin\Documents\Altium\MY_LIB\MY_LIB\Datasheets\YAGEO_RC_L.pdf</x:v>
      </x:c>
      <x:c xmlns:x="http://schemas.openxmlformats.org/spreadsheetml/2006/main" r="U53" t="str" s="11">
        <x:v>Даташит — локальный</x:v>
      </x:c>
      <x:c xmlns:x="http://schemas.openxmlformats.org/spreadsheetml/2006/main" r="V53" t="str" s="11">
        <x:v>C:\Users\Nomatin\Documents\Altium\MY_LIB\MY_LIB\Datasheets\YAGEO_RC_L.pdf</x:v>
      </x:c>
      <x:c xmlns:x="http://schemas.openxmlformats.org/spreadsheetml/2006/main" r="W53" t="str" s="11">
        <x:v>Даташит — производитель</x:v>
      </x:c>
      <x:c xmlns:x="http://schemas.openxmlformats.org/spreadsheetml/2006/main" r="X53" t="str" s="11">
        <x:v>https://yageogroup.com/content/datasheet/asset/file/PYU-RC_GROUP_51_ROHS_L</x:v>
      </x:c>
      <x:c xmlns:x="http://schemas.openxmlformats.org/spreadsheetml/2006/main" r="Y53" t="str" s="11">
        <x:v>C:\Users\Nomatin\Documents\Altium\MY_LIB\MY_LIB\Datasheets\YAGEO_RC_L.pdf</x:v>
      </x:c>
      <ns0:c xmlns:ns0="http://schemas.openxmlformats.org/spreadsheetml/2006/main" r="Z53" s="16" t="inlineStr">
        <ns0:is>
          <ns0:t>MY_LIB_R_TCR</ns0:t>
        </ns0:is>
      </ns0:c>
      <ns0:c xmlns:ns0="http://schemas.openxmlformats.org/spreadsheetml/2006/main" r="AA53" s="16" t="inlineStr">
        <ns0:is>
          <ns0:t>R(T), +100 ppm/C at 25 C; positive datasheet limit</ns0:t>
        </ns0:is>
      </ns0:c>
      <ns0:c xmlns:ns0="http://schemas.openxmlformats.org/spreadsheetml/2006/main" r="AB53" s="16" t="str">
        <ns0:v>General</ns0:v>
      </ns0:c>
      <ns0:c xmlns:ns0="http://schemas.openxmlformats.org/spreadsheetml/2006/main" r="AC53" s="16" t="inlineStr">
        <ns0:is>
          <ns0:t>Spice Subcircuit</ns0:t>
        </ns0:is>
      </ns0:c>
      <ns0:c xmlns:ns0="http://schemas.openxmlformats.org/spreadsheetml/2006/main" r="AD53" s="16" t="inlineStr">
        <ns0:is>
          <ns0:t>@DESIGNATOR %1 %2 @MODEL PARAMS: Rvalue=@VALUE TC1value=100u</ns0:t>
        </ns0:is>
      </ns0:c>
      <ns0:c xmlns:ns0="http://schemas.openxmlformats.org/spreadsheetml/2006/main" r="AE53" s="16" t="inlineStr">
        <ns0:is>
          <ns0:t>X</ns0:t>
        </ns0:is>
      </ns0:c>
      <ns0:c xmlns:ns0="http://schemas.openxmlformats.org/spreadsheetml/2006/main" r="AF53" s="16" t="str">
        <ns0:v>(1:1),(2:2)</ns0:v>
      </ns0:c>
      <ns0:c xmlns:ns0="http://schemas.openxmlformats.org/spreadsheetml/2006/main" r="AG53" s="16" t="inlineStr">
        <ns0:is>
          <ns0:t>Simulation\Resistors\MY_LIB_R_TCR.ckt</ns0:t>
        </ns0:is>
      </ns0:c>
      <ns0:c xmlns:ns0="http://schemas.openxmlformats.org/spreadsheetml/2006/main" r="AH53" s="16" t="inlineStr">
        <ns0:is>
          <ns0:t>±100 ppm/°C</ns0:t>
        </ns0:is>
      </ns0:c>
    </ns0:row>
    <ns0:row r="54" ht="30" customHeight="1">
      <ns0:c r="A54" t="str" s="10">
        <ns0:v>R0060</ns0:v>
      </ns0:c>
      <ns0:c r="B54" t="str" s="10">
        <ns0:v>Резистор</ns0:v>
      </ns0:c>
      <ns0:c r="C54" t="str" s="10">
        <ns0:v>130R</ns0:v>
      </ns0:c>
      <ns0:c r="D54" t="str" s="11">
        <ns0:f>SUBSTITUTE(SUBSTITUTE(SUBSTITUTE(SUBSTITUTE(C54,"meg"," МОм"),"k"," кОм"),"R"," Ом"),".",",")</ns0:f>
        <ns0:v>130 Ом</ns0:v>
      </ns0:c>
      <ns0:c r="E54" t="str" s="10">
        <ns0:v>±5%</ns0:v>
      </ns0:c>
      <ns0:c r="F54" t="str" s="10">
        <ns0:v>0,1 Вт</ns0:v>
      </ns0:c>
      <ns0:c r="G54" t="str" s="10">
        <ns0:v>75 В макс.</ns0:v>
      </ns0:c>
      <ns0:c r="H54" t="str" s="12">
        <ns0:v>0603</ns0:v>
      </ns0:c>
      <ns0:c r="I54" t="str" s="10">
        <ns0:v>YAGEO</ns0:v>
      </ns0:c>
      <ns0:c r="J54" t="str" s="10">
        <ns0:v>RC0603JR-07130RL</ns0:v>
      </ns0:c>
      <ns0:c r="K54" t="str" s="11">
        <ns0:f>B54&amp;" "&amp;D54&amp;" "&amp;E54&amp;" "&amp;H54</ns0:f>
        <ns0:v>Резистор 130 Ом ±5% 0603</ns0:v>
      </ns0:c>
      <ns0:c r="L54" t="str" s="13">
        <ns0:v>R</ns0:v>
      </ns0:c>
      <ns0:c r="M54" t="str" s="13">
        <ns0:v>Symbols\MY_LIB_Resistors.SchLib</ns0:v>
      </ns0:c>
      <ns0:c r="N54" t="str" s="13">
        <ns0:v>RESC1608X55N</ns0:v>
      </ns0:c>
      <ns0:c r="O54" t="str" s="13">
        <ns0:v>Footprints\PBL - SMD Packages.PcbLib</ns0:v>
      </ns0:c>
      <ns0:c xmlns:ns0="http://schemas.openxmlformats.org/spreadsheetml/2006/main" r="P5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4" s="10"/>
      <ns0:c r="R54" t="str" s="11">
        <ns0:f>D54</ns0:f>
        <ns0:v>130 Ом</ns0:v>
      </ns0:c>
      <ns0:c r="S54" t="str" s="11">
        <ns0:f>K54</ns0:f>
        <ns0:v>Резистор 130 Ом ±5% 0603</ns0:v>
      </ns0:c>
      <x:c xmlns:x="http://schemas.openxmlformats.org/spreadsheetml/2006/main" r="T54" t="str" s="11">
        <x:v>C:\Users\Nomatin\Documents\Altium\MY_LIB\MY_LIB\Datasheets\YAGEO_RC_L.pdf</x:v>
      </x:c>
      <x:c xmlns:x="http://schemas.openxmlformats.org/spreadsheetml/2006/main" r="U54" t="str" s="11">
        <x:v>Даташит — локальный</x:v>
      </x:c>
      <x:c xmlns:x="http://schemas.openxmlformats.org/spreadsheetml/2006/main" r="V54" t="str" s="11">
        <x:v>C:\Users\Nomatin\Documents\Altium\MY_LIB\MY_LIB\Datasheets\YAGEO_RC_L.pdf</x:v>
      </x:c>
      <x:c xmlns:x="http://schemas.openxmlformats.org/spreadsheetml/2006/main" r="W54" t="str" s="11">
        <x:v>Даташит — производитель</x:v>
      </x:c>
      <x:c xmlns:x="http://schemas.openxmlformats.org/spreadsheetml/2006/main" r="X54" t="str" s="11">
        <x:v>https://yageogroup.com/content/datasheet/asset/file/PYU-RC_GROUP_51_ROHS_L</x:v>
      </x:c>
      <x:c xmlns:x="http://schemas.openxmlformats.org/spreadsheetml/2006/main" r="Y54" t="str" s="11">
        <x:v>C:\Users\Nomatin\Documents\Altium\MY_LIB\MY_LIB\Datasheets\YAGEO_RC_L.pdf</x:v>
      </x:c>
      <ns0:c xmlns:ns0="http://schemas.openxmlformats.org/spreadsheetml/2006/main" r="Z54" s="16" t="inlineStr">
        <ns0:is>
          <ns0:t>MY_LIB_R_TCR</ns0:t>
        </ns0:is>
      </ns0:c>
      <ns0:c xmlns:ns0="http://schemas.openxmlformats.org/spreadsheetml/2006/main" r="AA54" s="16" t="inlineStr">
        <ns0:is>
          <ns0:t>R(T), +100 ppm/C at 25 C; positive datasheet limit</ns0:t>
        </ns0:is>
      </ns0:c>
      <ns0:c xmlns:ns0="http://schemas.openxmlformats.org/spreadsheetml/2006/main" r="AB54" s="16" t="str">
        <ns0:v>General</ns0:v>
      </ns0:c>
      <ns0:c xmlns:ns0="http://schemas.openxmlformats.org/spreadsheetml/2006/main" r="AC54" s="16" t="inlineStr">
        <ns0:is>
          <ns0:t>Spice Subcircuit</ns0:t>
        </ns0:is>
      </ns0:c>
      <ns0:c xmlns:ns0="http://schemas.openxmlformats.org/spreadsheetml/2006/main" r="AD54" s="16" t="inlineStr">
        <ns0:is>
          <ns0:t>@DESIGNATOR %1 %2 @MODEL PARAMS: Rvalue=@VALUE TC1value=100u</ns0:t>
        </ns0:is>
      </ns0:c>
      <ns0:c xmlns:ns0="http://schemas.openxmlformats.org/spreadsheetml/2006/main" r="AE54" s="16" t="inlineStr">
        <ns0:is>
          <ns0:t>X</ns0:t>
        </ns0:is>
      </ns0:c>
      <ns0:c xmlns:ns0="http://schemas.openxmlformats.org/spreadsheetml/2006/main" r="AF54" s="16" t="str">
        <ns0:v>(1:1),(2:2)</ns0:v>
      </ns0:c>
      <ns0:c xmlns:ns0="http://schemas.openxmlformats.org/spreadsheetml/2006/main" r="AG54" s="16" t="inlineStr">
        <ns0:is>
          <ns0:t>Simulation\Resistors\MY_LIB_R_TCR.ckt</ns0:t>
        </ns0:is>
      </ns0:c>
      <ns0:c xmlns:ns0="http://schemas.openxmlformats.org/spreadsheetml/2006/main" r="AH54" s="16" t="inlineStr">
        <ns0:is>
          <ns0:t>±100 ppm/°C</ns0:t>
        </ns0:is>
      </ns0:c>
    </ns0:row>
    <ns0:row r="55" ht="30" customHeight="1">
      <ns0:c r="A55" t="str" s="10">
        <ns0:v>R0061</ns0:v>
      </ns0:c>
      <ns0:c r="B55" t="str" s="10">
        <ns0:v>Резистор</ns0:v>
      </ns0:c>
      <ns0:c r="C55" t="str" s="10">
        <ns0:v>150R</ns0:v>
      </ns0:c>
      <ns0:c r="D55" t="str" s="11">
        <ns0:f>SUBSTITUTE(SUBSTITUTE(SUBSTITUTE(SUBSTITUTE(C55,"meg"," МОм"),"k"," кОм"),"R"," Ом"),".",",")</ns0:f>
        <ns0:v>150 Ом</ns0:v>
      </ns0:c>
      <ns0:c r="E55" t="str" s="10">
        <ns0:v>±5%</ns0:v>
      </ns0:c>
      <ns0:c r="F55" t="str" s="10">
        <ns0:v>0,1 Вт</ns0:v>
      </ns0:c>
      <ns0:c r="G55" t="str" s="10">
        <ns0:v>75 В макс.</ns0:v>
      </ns0:c>
      <ns0:c r="H55" t="str" s="12">
        <ns0:v>0603</ns0:v>
      </ns0:c>
      <ns0:c r="I55" t="str" s="10">
        <ns0:v>YAGEO</ns0:v>
      </ns0:c>
      <ns0:c r="J55" t="str" s="10">
        <ns0:v>RC0603JR-07150RL</ns0:v>
      </ns0:c>
      <ns0:c r="K55" t="str" s="11">
        <ns0:f>B55&amp;" "&amp;D55&amp;" "&amp;E55&amp;" "&amp;H55</ns0:f>
        <ns0:v>Резистор 150 Ом ±5% 0603</ns0:v>
      </ns0:c>
      <ns0:c r="L55" t="str" s="13">
        <ns0:v>R</ns0:v>
      </ns0:c>
      <ns0:c r="M55" t="str" s="13">
        <ns0:v>Symbols\MY_LIB_Resistors.SchLib</ns0:v>
      </ns0:c>
      <ns0:c r="N55" t="str" s="13">
        <ns0:v>RESC1608X55N</ns0:v>
      </ns0:c>
      <ns0:c r="O55" t="str" s="13">
        <ns0:v>Footprints\PBL - SMD Packages.PcbLib</ns0:v>
      </ns0:c>
      <ns0:c xmlns:ns0="http://schemas.openxmlformats.org/spreadsheetml/2006/main" r="P5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5" s="10"/>
      <ns0:c r="R55" t="str" s="11">
        <ns0:f>D55</ns0:f>
        <ns0:v>150 Ом</ns0:v>
      </ns0:c>
      <ns0:c r="S55" t="str" s="11">
        <ns0:f>K55</ns0:f>
        <ns0:v>Резистор 150 Ом ±5% 0603</ns0:v>
      </ns0:c>
      <x:c xmlns:x="http://schemas.openxmlformats.org/spreadsheetml/2006/main" r="T55" t="str" s="11">
        <x:v>C:\Users\Nomatin\Documents\Altium\MY_LIB\MY_LIB\Datasheets\YAGEO_RC_L.pdf</x:v>
      </x:c>
      <x:c xmlns:x="http://schemas.openxmlformats.org/spreadsheetml/2006/main" r="U55" t="str" s="11">
        <x:v>Даташит — локальный</x:v>
      </x:c>
      <x:c xmlns:x="http://schemas.openxmlformats.org/spreadsheetml/2006/main" r="V55" t="str" s="11">
        <x:v>C:\Users\Nomatin\Documents\Altium\MY_LIB\MY_LIB\Datasheets\YAGEO_RC_L.pdf</x:v>
      </x:c>
      <x:c xmlns:x="http://schemas.openxmlformats.org/spreadsheetml/2006/main" r="W55" t="str" s="11">
        <x:v>Даташит — производитель</x:v>
      </x:c>
      <x:c xmlns:x="http://schemas.openxmlformats.org/spreadsheetml/2006/main" r="X55" t="str" s="11">
        <x:v>https://yageogroup.com/content/datasheet/asset/file/PYU-RC_GROUP_51_ROHS_L</x:v>
      </x:c>
      <x:c xmlns:x="http://schemas.openxmlformats.org/spreadsheetml/2006/main" r="Y55" t="str" s="11">
        <x:v>C:\Users\Nomatin\Documents\Altium\MY_LIB\MY_LIB\Datasheets\YAGEO_RC_L.pdf</x:v>
      </x:c>
      <ns0:c xmlns:ns0="http://schemas.openxmlformats.org/spreadsheetml/2006/main" r="Z55" s="16" t="inlineStr">
        <ns0:is>
          <ns0:t>MY_LIB_R_TCR</ns0:t>
        </ns0:is>
      </ns0:c>
      <ns0:c xmlns:ns0="http://schemas.openxmlformats.org/spreadsheetml/2006/main" r="AA55" s="16" t="inlineStr">
        <ns0:is>
          <ns0:t>R(T), +100 ppm/C at 25 C; positive datasheet limit</ns0:t>
        </ns0:is>
      </ns0:c>
      <ns0:c xmlns:ns0="http://schemas.openxmlformats.org/spreadsheetml/2006/main" r="AB55" s="16" t="str">
        <ns0:v>General</ns0:v>
      </ns0:c>
      <ns0:c xmlns:ns0="http://schemas.openxmlformats.org/spreadsheetml/2006/main" r="AC55" s="16" t="inlineStr">
        <ns0:is>
          <ns0:t>Spice Subcircuit</ns0:t>
        </ns0:is>
      </ns0:c>
      <ns0:c xmlns:ns0="http://schemas.openxmlformats.org/spreadsheetml/2006/main" r="AD55" s="16" t="inlineStr">
        <ns0:is>
          <ns0:t>@DESIGNATOR %1 %2 @MODEL PARAMS: Rvalue=@VALUE TC1value=100u</ns0:t>
        </ns0:is>
      </ns0:c>
      <ns0:c xmlns:ns0="http://schemas.openxmlformats.org/spreadsheetml/2006/main" r="AE55" s="16" t="inlineStr">
        <ns0:is>
          <ns0:t>X</ns0:t>
        </ns0:is>
      </ns0:c>
      <ns0:c xmlns:ns0="http://schemas.openxmlformats.org/spreadsheetml/2006/main" r="AF55" s="16" t="str">
        <ns0:v>(1:1),(2:2)</ns0:v>
      </ns0:c>
      <ns0:c xmlns:ns0="http://schemas.openxmlformats.org/spreadsheetml/2006/main" r="AG55" s="16" t="inlineStr">
        <ns0:is>
          <ns0:t>Simulation\Resistors\MY_LIB_R_TCR.ckt</ns0:t>
        </ns0:is>
      </ns0:c>
      <ns0:c xmlns:ns0="http://schemas.openxmlformats.org/spreadsheetml/2006/main" r="AH55" s="16" t="inlineStr">
        <ns0:is>
          <ns0:t>±100 ppm/°C</ns0:t>
        </ns0:is>
      </ns0:c>
    </ns0:row>
    <ns0:row r="56" ht="30" customHeight="1">
      <ns0:c r="A56" t="str" s="10">
        <ns0:v>R0062</ns0:v>
      </ns0:c>
      <ns0:c r="B56" t="str" s="10">
        <ns0:v>Резистор</ns0:v>
      </ns0:c>
      <ns0:c r="C56" t="str" s="10">
        <ns0:v>160R</ns0:v>
      </ns0:c>
      <ns0:c r="D56" t="str" s="11">
        <ns0:f>SUBSTITUTE(SUBSTITUTE(SUBSTITUTE(SUBSTITUTE(C56,"meg"," МОм"),"k"," кОм"),"R"," Ом"),".",",")</ns0:f>
        <ns0:v>160 Ом</ns0:v>
      </ns0:c>
      <ns0:c r="E56" t="str" s="10">
        <ns0:v>±5%</ns0:v>
      </ns0:c>
      <ns0:c r="F56" t="str" s="10">
        <ns0:v>0,1 Вт</ns0:v>
      </ns0:c>
      <ns0:c r="G56" t="str" s="10">
        <ns0:v>75 В макс.</ns0:v>
      </ns0:c>
      <ns0:c r="H56" t="str" s="12">
        <ns0:v>0603</ns0:v>
      </ns0:c>
      <ns0:c r="I56" t="str" s="10">
        <ns0:v>YAGEO</ns0:v>
      </ns0:c>
      <ns0:c r="J56" t="str" s="10">
        <ns0:v>RC0603JR-07160RL</ns0:v>
      </ns0:c>
      <ns0:c r="K56" t="str" s="11">
        <ns0:f>B56&amp;" "&amp;D56&amp;" "&amp;E56&amp;" "&amp;H56</ns0:f>
        <ns0:v>Резистор 160 Ом ±5% 0603</ns0:v>
      </ns0:c>
      <ns0:c r="L56" t="str" s="13">
        <ns0:v>R</ns0:v>
      </ns0:c>
      <ns0:c r="M56" t="str" s="13">
        <ns0:v>Symbols\MY_LIB_Resistors.SchLib</ns0:v>
      </ns0:c>
      <ns0:c r="N56" t="str" s="13">
        <ns0:v>RESC1608X55N</ns0:v>
      </ns0:c>
      <ns0:c r="O56" t="str" s="13">
        <ns0:v>Footprints\PBL - SMD Packages.PcbLib</ns0:v>
      </ns0:c>
      <ns0:c xmlns:ns0="http://schemas.openxmlformats.org/spreadsheetml/2006/main" r="P5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6" s="10"/>
      <ns0:c r="R56" t="str" s="11">
        <ns0:f>D56</ns0:f>
        <ns0:v>160 Ом</ns0:v>
      </ns0:c>
      <ns0:c r="S56" t="str" s="11">
        <ns0:f>K56</ns0:f>
        <ns0:v>Резистор 160 Ом ±5% 0603</ns0:v>
      </ns0:c>
      <x:c xmlns:x="http://schemas.openxmlformats.org/spreadsheetml/2006/main" r="T56" t="str" s="11">
        <x:v>C:\Users\Nomatin\Documents\Altium\MY_LIB\MY_LIB\Datasheets\YAGEO_RC_L.pdf</x:v>
      </x:c>
      <x:c xmlns:x="http://schemas.openxmlformats.org/spreadsheetml/2006/main" r="U56" t="str" s="11">
        <x:v>Даташит — локальный</x:v>
      </x:c>
      <x:c xmlns:x="http://schemas.openxmlformats.org/spreadsheetml/2006/main" r="V56" t="str" s="11">
        <x:v>C:\Users\Nomatin\Documents\Altium\MY_LIB\MY_LIB\Datasheets\YAGEO_RC_L.pdf</x:v>
      </x:c>
      <x:c xmlns:x="http://schemas.openxmlformats.org/spreadsheetml/2006/main" r="W56" t="str" s="11">
        <x:v>Даташит — производитель</x:v>
      </x:c>
      <x:c xmlns:x="http://schemas.openxmlformats.org/spreadsheetml/2006/main" r="X56" t="str" s="11">
        <x:v>https://yageogroup.com/content/datasheet/asset/file/PYU-RC_GROUP_51_ROHS_L</x:v>
      </x:c>
      <x:c xmlns:x="http://schemas.openxmlformats.org/spreadsheetml/2006/main" r="Y56" t="str" s="11">
        <x:v>C:\Users\Nomatin\Documents\Altium\MY_LIB\MY_LIB\Datasheets\YAGEO_RC_L.pdf</x:v>
      </x:c>
      <ns0:c xmlns:ns0="http://schemas.openxmlformats.org/spreadsheetml/2006/main" r="Z56" s="16" t="inlineStr">
        <ns0:is>
          <ns0:t>MY_LIB_R_TCR</ns0:t>
        </ns0:is>
      </ns0:c>
      <ns0:c xmlns:ns0="http://schemas.openxmlformats.org/spreadsheetml/2006/main" r="AA56" s="16" t="inlineStr">
        <ns0:is>
          <ns0:t>R(T), +100 ppm/C at 25 C; positive datasheet limit</ns0:t>
        </ns0:is>
      </ns0:c>
      <ns0:c xmlns:ns0="http://schemas.openxmlformats.org/spreadsheetml/2006/main" r="AB56" s="16" t="str">
        <ns0:v>General</ns0:v>
      </ns0:c>
      <ns0:c xmlns:ns0="http://schemas.openxmlformats.org/spreadsheetml/2006/main" r="AC56" s="16" t="inlineStr">
        <ns0:is>
          <ns0:t>Spice Subcircuit</ns0:t>
        </ns0:is>
      </ns0:c>
      <ns0:c xmlns:ns0="http://schemas.openxmlformats.org/spreadsheetml/2006/main" r="AD56" s="16" t="inlineStr">
        <ns0:is>
          <ns0:t>@DESIGNATOR %1 %2 @MODEL PARAMS: Rvalue=@VALUE TC1value=100u</ns0:t>
        </ns0:is>
      </ns0:c>
      <ns0:c xmlns:ns0="http://schemas.openxmlformats.org/spreadsheetml/2006/main" r="AE56" s="16" t="inlineStr">
        <ns0:is>
          <ns0:t>X</ns0:t>
        </ns0:is>
      </ns0:c>
      <ns0:c xmlns:ns0="http://schemas.openxmlformats.org/spreadsheetml/2006/main" r="AF56" s="16" t="str">
        <ns0:v>(1:1),(2:2)</ns0:v>
      </ns0:c>
      <ns0:c xmlns:ns0="http://schemas.openxmlformats.org/spreadsheetml/2006/main" r="AG56" s="16" t="inlineStr">
        <ns0:is>
          <ns0:t>Simulation\Resistors\MY_LIB_R_TCR.ckt</ns0:t>
        </ns0:is>
      </ns0:c>
      <ns0:c xmlns:ns0="http://schemas.openxmlformats.org/spreadsheetml/2006/main" r="AH56" s="16" t="inlineStr">
        <ns0:is>
          <ns0:t>±100 ppm/°C</ns0:t>
        </ns0:is>
      </ns0:c>
    </ns0:row>
    <ns0:row r="57" ht="30" customHeight="1">
      <ns0:c r="A57" t="str" s="10">
        <ns0:v>R0063</ns0:v>
      </ns0:c>
      <ns0:c r="B57" t="str" s="10">
        <ns0:v>Резистор</ns0:v>
      </ns0:c>
      <ns0:c r="C57" t="str" s="10">
        <ns0:v>180R</ns0:v>
      </ns0:c>
      <ns0:c r="D57" t="str" s="11">
        <ns0:f>SUBSTITUTE(SUBSTITUTE(SUBSTITUTE(SUBSTITUTE(C57,"meg"," МОм"),"k"," кОм"),"R"," Ом"),".",",")</ns0:f>
        <ns0:v>180 Ом</ns0:v>
      </ns0:c>
      <ns0:c r="E57" t="str" s="10">
        <ns0:v>±5%</ns0:v>
      </ns0:c>
      <ns0:c r="F57" t="str" s="10">
        <ns0:v>0,1 Вт</ns0:v>
      </ns0:c>
      <ns0:c r="G57" t="str" s="10">
        <ns0:v>75 В макс.</ns0:v>
      </ns0:c>
      <ns0:c r="H57" t="str" s="12">
        <ns0:v>0603</ns0:v>
      </ns0:c>
      <ns0:c r="I57" t="str" s="10">
        <ns0:v>YAGEO</ns0:v>
      </ns0:c>
      <ns0:c r="J57" t="str" s="10">
        <ns0:v>RC0603JR-07180RL</ns0:v>
      </ns0:c>
      <ns0:c r="K57" t="str" s="11">
        <ns0:f>B57&amp;" "&amp;D57&amp;" "&amp;E57&amp;" "&amp;H57</ns0:f>
        <ns0:v>Резистор 180 Ом ±5% 0603</ns0:v>
      </ns0:c>
      <ns0:c r="L57" t="str" s="13">
        <ns0:v>R</ns0:v>
      </ns0:c>
      <ns0:c r="M57" t="str" s="13">
        <ns0:v>Symbols\MY_LIB_Resistors.SchLib</ns0:v>
      </ns0:c>
      <ns0:c r="N57" t="str" s="13">
        <ns0:v>RESC1608X55N</ns0:v>
      </ns0:c>
      <ns0:c r="O57" t="str" s="13">
        <ns0:v>Footprints\PBL - SMD Packages.PcbLib</ns0:v>
      </ns0:c>
      <ns0:c xmlns:ns0="http://schemas.openxmlformats.org/spreadsheetml/2006/main" r="P5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7" s="10"/>
      <ns0:c r="R57" t="str" s="11">
        <ns0:f>D57</ns0:f>
        <ns0:v>180 Ом</ns0:v>
      </ns0:c>
      <ns0:c r="S57" t="str" s="11">
        <ns0:f>K57</ns0:f>
        <ns0:v>Резистор 180 Ом ±5% 0603</ns0:v>
      </ns0:c>
      <x:c xmlns:x="http://schemas.openxmlformats.org/spreadsheetml/2006/main" r="T57" t="str" s="11">
        <x:v>C:\Users\Nomatin\Documents\Altium\MY_LIB\MY_LIB\Datasheets\YAGEO_RC_L.pdf</x:v>
      </x:c>
      <x:c xmlns:x="http://schemas.openxmlformats.org/spreadsheetml/2006/main" r="U57" t="str" s="11">
        <x:v>Даташит — локальный</x:v>
      </x:c>
      <x:c xmlns:x="http://schemas.openxmlformats.org/spreadsheetml/2006/main" r="V57" t="str" s="11">
        <x:v>C:\Users\Nomatin\Documents\Altium\MY_LIB\MY_LIB\Datasheets\YAGEO_RC_L.pdf</x:v>
      </x:c>
      <x:c xmlns:x="http://schemas.openxmlformats.org/spreadsheetml/2006/main" r="W57" t="str" s="11">
        <x:v>Даташит — производитель</x:v>
      </x:c>
      <x:c xmlns:x="http://schemas.openxmlformats.org/spreadsheetml/2006/main" r="X57" t="str" s="11">
        <x:v>https://yageogroup.com/content/datasheet/asset/file/PYU-RC_GROUP_51_ROHS_L</x:v>
      </x:c>
      <x:c xmlns:x="http://schemas.openxmlformats.org/spreadsheetml/2006/main" r="Y57" t="str" s="11">
        <x:v>C:\Users\Nomatin\Documents\Altium\MY_LIB\MY_LIB\Datasheets\YAGEO_RC_L.pdf</x:v>
      </x:c>
      <ns0:c xmlns:ns0="http://schemas.openxmlformats.org/spreadsheetml/2006/main" r="Z57" s="16" t="inlineStr">
        <ns0:is>
          <ns0:t>MY_LIB_R_TCR</ns0:t>
        </ns0:is>
      </ns0:c>
      <ns0:c xmlns:ns0="http://schemas.openxmlformats.org/spreadsheetml/2006/main" r="AA57" s="16" t="inlineStr">
        <ns0:is>
          <ns0:t>R(T), +100 ppm/C at 25 C; positive datasheet limit</ns0:t>
        </ns0:is>
      </ns0:c>
      <ns0:c xmlns:ns0="http://schemas.openxmlformats.org/spreadsheetml/2006/main" r="AB57" s="16" t="str">
        <ns0:v>General</ns0:v>
      </ns0:c>
      <ns0:c xmlns:ns0="http://schemas.openxmlformats.org/spreadsheetml/2006/main" r="AC57" s="16" t="inlineStr">
        <ns0:is>
          <ns0:t>Spice Subcircuit</ns0:t>
        </ns0:is>
      </ns0:c>
      <ns0:c xmlns:ns0="http://schemas.openxmlformats.org/spreadsheetml/2006/main" r="AD57" s="16" t="inlineStr">
        <ns0:is>
          <ns0:t>@DESIGNATOR %1 %2 @MODEL PARAMS: Rvalue=@VALUE TC1value=100u</ns0:t>
        </ns0:is>
      </ns0:c>
      <ns0:c xmlns:ns0="http://schemas.openxmlformats.org/spreadsheetml/2006/main" r="AE57" s="16" t="inlineStr">
        <ns0:is>
          <ns0:t>X</ns0:t>
        </ns0:is>
      </ns0:c>
      <ns0:c xmlns:ns0="http://schemas.openxmlformats.org/spreadsheetml/2006/main" r="AF57" s="16" t="str">
        <ns0:v>(1:1),(2:2)</ns0:v>
      </ns0:c>
      <ns0:c xmlns:ns0="http://schemas.openxmlformats.org/spreadsheetml/2006/main" r="AG57" s="16" t="inlineStr">
        <ns0:is>
          <ns0:t>Simulation\Resistors\MY_LIB_R_TCR.ckt</ns0:t>
        </ns0:is>
      </ns0:c>
      <ns0:c xmlns:ns0="http://schemas.openxmlformats.org/spreadsheetml/2006/main" r="AH57" s="16" t="inlineStr">
        <ns0:is>
          <ns0:t>±100 ppm/°C</ns0:t>
        </ns0:is>
      </ns0:c>
    </ns0:row>
    <ns0:row r="58" ht="30" customHeight="1">
      <ns0:c r="A58" t="str" s="10">
        <ns0:v>R0064</ns0:v>
      </ns0:c>
      <ns0:c r="B58" t="str" s="10">
        <ns0:v>Резистор</ns0:v>
      </ns0:c>
      <ns0:c r="C58" t="str" s="10">
        <ns0:v>200R</ns0:v>
      </ns0:c>
      <ns0:c r="D58" t="str" s="11">
        <ns0:f>SUBSTITUTE(SUBSTITUTE(SUBSTITUTE(SUBSTITUTE(C58,"meg"," МОм"),"k"," кОм"),"R"," Ом"),".",",")</ns0:f>
        <ns0:v>200 Ом</ns0:v>
      </ns0:c>
      <ns0:c r="E58" t="str" s="10">
        <ns0:v>±5%</ns0:v>
      </ns0:c>
      <ns0:c r="F58" t="str" s="10">
        <ns0:v>0,1 Вт</ns0:v>
      </ns0:c>
      <ns0:c r="G58" t="str" s="10">
        <ns0:v>75 В макс.</ns0:v>
      </ns0:c>
      <ns0:c r="H58" t="str" s="12">
        <ns0:v>0603</ns0:v>
      </ns0:c>
      <ns0:c r="I58" t="str" s="10">
        <ns0:v>YAGEO</ns0:v>
      </ns0:c>
      <ns0:c r="J58" t="str" s="10">
        <ns0:v>RC0603JR-07200RL</ns0:v>
      </ns0:c>
      <ns0:c r="K58" t="str" s="11">
        <ns0:f>B58&amp;" "&amp;D58&amp;" "&amp;E58&amp;" "&amp;H58</ns0:f>
        <ns0:v>Резистор 200 Ом ±5% 0603</ns0:v>
      </ns0:c>
      <ns0:c r="L58" t="str" s="13">
        <ns0:v>R</ns0:v>
      </ns0:c>
      <ns0:c r="M58" t="str" s="13">
        <ns0:v>Symbols\MY_LIB_Resistors.SchLib</ns0:v>
      </ns0:c>
      <ns0:c r="N58" t="str" s="13">
        <ns0:v>RESC1608X55N</ns0:v>
      </ns0:c>
      <ns0:c r="O58" t="str" s="13">
        <ns0:v>Footprints\PBL - SMD Packages.PcbLib</ns0:v>
      </ns0:c>
      <ns0:c xmlns:ns0="http://schemas.openxmlformats.org/spreadsheetml/2006/main" r="P5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8" s="10"/>
      <ns0:c r="R58" t="str" s="11">
        <ns0:f>D58</ns0:f>
        <ns0:v>200 Ом</ns0:v>
      </ns0:c>
      <ns0:c r="S58" t="str" s="11">
        <ns0:f>K58</ns0:f>
        <ns0:v>Резистор 200 Ом ±5% 0603</ns0:v>
      </ns0:c>
      <x:c xmlns:x="http://schemas.openxmlformats.org/spreadsheetml/2006/main" r="T58" t="str" s="11">
        <x:v>C:\Users\Nomatin\Documents\Altium\MY_LIB\MY_LIB\Datasheets\YAGEO_RC_L.pdf</x:v>
      </x:c>
      <x:c xmlns:x="http://schemas.openxmlformats.org/spreadsheetml/2006/main" r="U58" t="str" s="11">
        <x:v>Даташит — локальный</x:v>
      </x:c>
      <x:c xmlns:x="http://schemas.openxmlformats.org/spreadsheetml/2006/main" r="V58" t="str" s="11">
        <x:v>C:\Users\Nomatin\Documents\Altium\MY_LIB\MY_LIB\Datasheets\YAGEO_RC_L.pdf</x:v>
      </x:c>
      <x:c xmlns:x="http://schemas.openxmlformats.org/spreadsheetml/2006/main" r="W58" t="str" s="11">
        <x:v>Даташит — производитель</x:v>
      </x:c>
      <x:c xmlns:x="http://schemas.openxmlformats.org/spreadsheetml/2006/main" r="X58" t="str" s="11">
        <x:v>https://yageogroup.com/content/datasheet/asset/file/PYU-RC_GROUP_51_ROHS_L</x:v>
      </x:c>
      <x:c xmlns:x="http://schemas.openxmlformats.org/spreadsheetml/2006/main" r="Y58" t="str" s="11">
        <x:v>C:\Users\Nomatin\Documents\Altium\MY_LIB\MY_LIB\Datasheets\YAGEO_RC_L.pdf</x:v>
      </x:c>
      <ns0:c xmlns:ns0="http://schemas.openxmlformats.org/spreadsheetml/2006/main" r="Z58" s="16" t="inlineStr">
        <ns0:is>
          <ns0:t>MY_LIB_R_TCR</ns0:t>
        </ns0:is>
      </ns0:c>
      <ns0:c xmlns:ns0="http://schemas.openxmlformats.org/spreadsheetml/2006/main" r="AA58" s="16" t="inlineStr">
        <ns0:is>
          <ns0:t>R(T), +100 ppm/C at 25 C; positive datasheet limit</ns0:t>
        </ns0:is>
      </ns0:c>
      <ns0:c xmlns:ns0="http://schemas.openxmlformats.org/spreadsheetml/2006/main" r="AB58" s="16" t="str">
        <ns0:v>General</ns0:v>
      </ns0:c>
      <ns0:c xmlns:ns0="http://schemas.openxmlformats.org/spreadsheetml/2006/main" r="AC58" s="16" t="inlineStr">
        <ns0:is>
          <ns0:t>Spice Subcircuit</ns0:t>
        </ns0:is>
      </ns0:c>
      <ns0:c xmlns:ns0="http://schemas.openxmlformats.org/spreadsheetml/2006/main" r="AD58" s="16" t="inlineStr">
        <ns0:is>
          <ns0:t>@DESIGNATOR %1 %2 @MODEL PARAMS: Rvalue=@VALUE TC1value=100u</ns0:t>
        </ns0:is>
      </ns0:c>
      <ns0:c xmlns:ns0="http://schemas.openxmlformats.org/spreadsheetml/2006/main" r="AE58" s="16" t="inlineStr">
        <ns0:is>
          <ns0:t>X</ns0:t>
        </ns0:is>
      </ns0:c>
      <ns0:c xmlns:ns0="http://schemas.openxmlformats.org/spreadsheetml/2006/main" r="AF58" s="16" t="str">
        <ns0:v>(1:1),(2:2)</ns0:v>
      </ns0:c>
      <ns0:c xmlns:ns0="http://schemas.openxmlformats.org/spreadsheetml/2006/main" r="AG58" s="16" t="inlineStr">
        <ns0:is>
          <ns0:t>Simulation\Resistors\MY_LIB_R_TCR.ckt</ns0:t>
        </ns0:is>
      </ns0:c>
      <ns0:c xmlns:ns0="http://schemas.openxmlformats.org/spreadsheetml/2006/main" r="AH58" s="16" t="inlineStr">
        <ns0:is>
          <ns0:t>±100 ppm/°C</ns0:t>
        </ns0:is>
      </ns0:c>
    </ns0:row>
    <ns0:row r="59" ht="30" customHeight="1">
      <ns0:c r="A59" t="str" s="10">
        <ns0:v>R0065</ns0:v>
      </ns0:c>
      <ns0:c r="B59" t="str" s="10">
        <ns0:v>Резистор</ns0:v>
      </ns0:c>
      <ns0:c r="C59" t="str" s="10">
        <ns0:v>220R</ns0:v>
      </ns0:c>
      <ns0:c r="D59" t="str" s="11">
        <ns0:f>SUBSTITUTE(SUBSTITUTE(SUBSTITUTE(SUBSTITUTE(C59,"meg"," МОм"),"k"," кОм"),"R"," Ом"),".",",")</ns0:f>
        <ns0:v>220 Ом</ns0:v>
      </ns0:c>
      <ns0:c r="E59" t="str" s="10">
        <ns0:v>±5%</ns0:v>
      </ns0:c>
      <ns0:c r="F59" t="str" s="10">
        <ns0:v>0,1 Вт</ns0:v>
      </ns0:c>
      <ns0:c r="G59" t="str" s="10">
        <ns0:v>75 В макс.</ns0:v>
      </ns0:c>
      <ns0:c r="H59" t="str" s="12">
        <ns0:v>0603</ns0:v>
      </ns0:c>
      <ns0:c r="I59" t="str" s="10">
        <ns0:v>YAGEO</ns0:v>
      </ns0:c>
      <ns0:c r="J59" t="str" s="10">
        <ns0:v>RC0603JR-07220RL</ns0:v>
      </ns0:c>
      <ns0:c r="K59" t="str" s="11">
        <ns0:f>B59&amp;" "&amp;D59&amp;" "&amp;E59&amp;" "&amp;H59</ns0:f>
        <ns0:v>Резистор 220 Ом ±5% 0603</ns0:v>
      </ns0:c>
      <ns0:c r="L59" t="str" s="13">
        <ns0:v>R</ns0:v>
      </ns0:c>
      <ns0:c r="M59" t="str" s="13">
        <ns0:v>Symbols\MY_LIB_Resistors.SchLib</ns0:v>
      </ns0:c>
      <ns0:c r="N59" t="str" s="13">
        <ns0:v>RESC1608X55N</ns0:v>
      </ns0:c>
      <ns0:c r="O59" t="str" s="13">
        <ns0:v>Footprints\PBL - SMD Packages.PcbLib</ns0:v>
      </ns0:c>
      <ns0:c xmlns:ns0="http://schemas.openxmlformats.org/spreadsheetml/2006/main" r="P5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59" s="10"/>
      <ns0:c r="R59" t="str" s="11">
        <ns0:f>D59</ns0:f>
        <ns0:v>220 Ом</ns0:v>
      </ns0:c>
      <ns0:c r="S59" t="str" s="11">
        <ns0:f>K59</ns0:f>
        <ns0:v>Резистор 220 Ом ±5% 0603</ns0:v>
      </ns0:c>
      <x:c xmlns:x="http://schemas.openxmlformats.org/spreadsheetml/2006/main" r="T59" t="str" s="11">
        <x:v>C:\Users\Nomatin\Documents\Altium\MY_LIB\MY_LIB\Datasheets\YAGEO_RC_L.pdf</x:v>
      </x:c>
      <x:c xmlns:x="http://schemas.openxmlformats.org/spreadsheetml/2006/main" r="U59" t="str" s="11">
        <x:v>Даташит — локальный</x:v>
      </x:c>
      <x:c xmlns:x="http://schemas.openxmlformats.org/spreadsheetml/2006/main" r="V59" t="str" s="11">
        <x:v>C:\Users\Nomatin\Documents\Altium\MY_LIB\MY_LIB\Datasheets\YAGEO_RC_L.pdf</x:v>
      </x:c>
      <x:c xmlns:x="http://schemas.openxmlformats.org/spreadsheetml/2006/main" r="W59" t="str" s="11">
        <x:v>Даташит — производитель</x:v>
      </x:c>
      <x:c xmlns:x="http://schemas.openxmlformats.org/spreadsheetml/2006/main" r="X59" t="str" s="11">
        <x:v>https://yageogroup.com/content/datasheet/asset/file/PYU-RC_GROUP_51_ROHS_L</x:v>
      </x:c>
      <x:c xmlns:x="http://schemas.openxmlformats.org/spreadsheetml/2006/main" r="Y59" t="str" s="11">
        <x:v>C:\Users\Nomatin\Documents\Altium\MY_LIB\MY_LIB\Datasheets\YAGEO_RC_L.pdf</x:v>
      </x:c>
      <ns0:c xmlns:ns0="http://schemas.openxmlformats.org/spreadsheetml/2006/main" r="Z59" s="16" t="inlineStr">
        <ns0:is>
          <ns0:t>MY_LIB_R_TCR</ns0:t>
        </ns0:is>
      </ns0:c>
      <ns0:c xmlns:ns0="http://schemas.openxmlformats.org/spreadsheetml/2006/main" r="AA59" s="16" t="inlineStr">
        <ns0:is>
          <ns0:t>R(T), +100 ppm/C at 25 C; positive datasheet limit</ns0:t>
        </ns0:is>
      </ns0:c>
      <ns0:c xmlns:ns0="http://schemas.openxmlformats.org/spreadsheetml/2006/main" r="AB59" s="16" t="str">
        <ns0:v>General</ns0:v>
      </ns0:c>
      <ns0:c xmlns:ns0="http://schemas.openxmlformats.org/spreadsheetml/2006/main" r="AC59" s="16" t="inlineStr">
        <ns0:is>
          <ns0:t>Spice Subcircuit</ns0:t>
        </ns0:is>
      </ns0:c>
      <ns0:c xmlns:ns0="http://schemas.openxmlformats.org/spreadsheetml/2006/main" r="AD59" s="16" t="inlineStr">
        <ns0:is>
          <ns0:t>@DESIGNATOR %1 %2 @MODEL PARAMS: Rvalue=@VALUE TC1value=100u</ns0:t>
        </ns0:is>
      </ns0:c>
      <ns0:c xmlns:ns0="http://schemas.openxmlformats.org/spreadsheetml/2006/main" r="AE59" s="16" t="inlineStr">
        <ns0:is>
          <ns0:t>X</ns0:t>
        </ns0:is>
      </ns0:c>
      <ns0:c xmlns:ns0="http://schemas.openxmlformats.org/spreadsheetml/2006/main" r="AF59" s="16" t="str">
        <ns0:v>(1:1),(2:2)</ns0:v>
      </ns0:c>
      <ns0:c xmlns:ns0="http://schemas.openxmlformats.org/spreadsheetml/2006/main" r="AG59" s="16" t="inlineStr">
        <ns0:is>
          <ns0:t>Simulation\Resistors\MY_LIB_R_TCR.ckt</ns0:t>
        </ns0:is>
      </ns0:c>
      <ns0:c xmlns:ns0="http://schemas.openxmlformats.org/spreadsheetml/2006/main" r="AH59" s="16" t="inlineStr">
        <ns0:is>
          <ns0:t>±100 ppm/°C</ns0:t>
        </ns0:is>
      </ns0:c>
    </ns0:row>
    <ns0:row r="60" ht="30" customHeight="1">
      <ns0:c r="A60" t="str" s="10">
        <ns0:v>R0066</ns0:v>
      </ns0:c>
      <ns0:c r="B60" t="str" s="10">
        <ns0:v>Резистор</ns0:v>
      </ns0:c>
      <ns0:c r="C60" t="str" s="10">
        <ns0:v>240R</ns0:v>
      </ns0:c>
      <ns0:c r="D60" t="str" s="11">
        <ns0:f>SUBSTITUTE(SUBSTITUTE(SUBSTITUTE(SUBSTITUTE(C60,"meg"," МОм"),"k"," кОм"),"R"," Ом"),".",",")</ns0:f>
        <ns0:v>240 Ом</ns0:v>
      </ns0:c>
      <ns0:c r="E60" t="str" s="10">
        <ns0:v>±5%</ns0:v>
      </ns0:c>
      <ns0:c r="F60" t="str" s="10">
        <ns0:v>0,1 Вт</ns0:v>
      </ns0:c>
      <ns0:c r="G60" t="str" s="10">
        <ns0:v>75 В макс.</ns0:v>
      </ns0:c>
      <ns0:c r="H60" t="str" s="12">
        <ns0:v>0603</ns0:v>
      </ns0:c>
      <ns0:c r="I60" t="str" s="10">
        <ns0:v>YAGEO</ns0:v>
      </ns0:c>
      <ns0:c r="J60" t="str" s="10">
        <ns0:v>RC0603JR-07240RL</ns0:v>
      </ns0:c>
      <ns0:c r="K60" t="str" s="11">
        <ns0:f>B60&amp;" "&amp;D60&amp;" "&amp;E60&amp;" "&amp;H60</ns0:f>
        <ns0:v>Резистор 240 Ом ±5% 0603</ns0:v>
      </ns0:c>
      <ns0:c r="L60" t="str" s="13">
        <ns0:v>R</ns0:v>
      </ns0:c>
      <ns0:c r="M60" t="str" s="13">
        <ns0:v>Symbols\MY_LIB_Resistors.SchLib</ns0:v>
      </ns0:c>
      <ns0:c r="N60" t="str" s="13">
        <ns0:v>RESC1608X55N</ns0:v>
      </ns0:c>
      <ns0:c r="O60" t="str" s="13">
        <ns0:v>Footprints\PBL - SMD Packages.PcbLib</ns0:v>
      </ns0:c>
      <ns0:c xmlns:ns0="http://schemas.openxmlformats.org/spreadsheetml/2006/main" r="P6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0" s="10"/>
      <ns0:c r="R60" t="str" s="11">
        <ns0:f>D60</ns0:f>
        <ns0:v>240 Ом</ns0:v>
      </ns0:c>
      <ns0:c r="S60" t="str" s="11">
        <ns0:f>K60</ns0:f>
        <ns0:v>Резистор 240 Ом ±5% 0603</ns0:v>
      </ns0:c>
      <x:c xmlns:x="http://schemas.openxmlformats.org/spreadsheetml/2006/main" r="T60" t="str" s="11">
        <x:v>C:\Users\Nomatin\Documents\Altium\MY_LIB\MY_LIB\Datasheets\YAGEO_RC_L.pdf</x:v>
      </x:c>
      <x:c xmlns:x="http://schemas.openxmlformats.org/spreadsheetml/2006/main" r="U60" t="str" s="11">
        <x:v>Даташит — локальный</x:v>
      </x:c>
      <x:c xmlns:x="http://schemas.openxmlformats.org/spreadsheetml/2006/main" r="V60" t="str" s="11">
        <x:v>C:\Users\Nomatin\Documents\Altium\MY_LIB\MY_LIB\Datasheets\YAGEO_RC_L.pdf</x:v>
      </x:c>
      <x:c xmlns:x="http://schemas.openxmlformats.org/spreadsheetml/2006/main" r="W60" t="str" s="11">
        <x:v>Даташит — производитель</x:v>
      </x:c>
      <x:c xmlns:x="http://schemas.openxmlformats.org/spreadsheetml/2006/main" r="X60" t="str" s="11">
        <x:v>https://yageogroup.com/content/datasheet/asset/file/PYU-RC_GROUP_51_ROHS_L</x:v>
      </x:c>
      <x:c xmlns:x="http://schemas.openxmlformats.org/spreadsheetml/2006/main" r="Y60" t="str" s="11">
        <x:v>C:\Users\Nomatin\Documents\Altium\MY_LIB\MY_LIB\Datasheets\YAGEO_RC_L.pdf</x:v>
      </x:c>
      <ns0:c xmlns:ns0="http://schemas.openxmlformats.org/spreadsheetml/2006/main" r="Z60" s="16" t="inlineStr">
        <ns0:is>
          <ns0:t>MY_LIB_R_TCR</ns0:t>
        </ns0:is>
      </ns0:c>
      <ns0:c xmlns:ns0="http://schemas.openxmlformats.org/spreadsheetml/2006/main" r="AA60" s="16" t="inlineStr">
        <ns0:is>
          <ns0:t>R(T), +100 ppm/C at 25 C; positive datasheet limit</ns0:t>
        </ns0:is>
      </ns0:c>
      <ns0:c xmlns:ns0="http://schemas.openxmlformats.org/spreadsheetml/2006/main" r="AB60" s="16" t="str">
        <ns0:v>General</ns0:v>
      </ns0:c>
      <ns0:c xmlns:ns0="http://schemas.openxmlformats.org/spreadsheetml/2006/main" r="AC60" s="16" t="inlineStr">
        <ns0:is>
          <ns0:t>Spice Subcircuit</ns0:t>
        </ns0:is>
      </ns0:c>
      <ns0:c xmlns:ns0="http://schemas.openxmlformats.org/spreadsheetml/2006/main" r="AD60" s="16" t="inlineStr">
        <ns0:is>
          <ns0:t>@DESIGNATOR %1 %2 @MODEL PARAMS: Rvalue=@VALUE TC1value=100u</ns0:t>
        </ns0:is>
      </ns0:c>
      <ns0:c xmlns:ns0="http://schemas.openxmlformats.org/spreadsheetml/2006/main" r="AE60" s="16" t="inlineStr">
        <ns0:is>
          <ns0:t>X</ns0:t>
        </ns0:is>
      </ns0:c>
      <ns0:c xmlns:ns0="http://schemas.openxmlformats.org/spreadsheetml/2006/main" r="AF60" s="16" t="str">
        <ns0:v>(1:1),(2:2)</ns0:v>
      </ns0:c>
      <ns0:c xmlns:ns0="http://schemas.openxmlformats.org/spreadsheetml/2006/main" r="AG60" s="16" t="inlineStr">
        <ns0:is>
          <ns0:t>Simulation\Resistors\MY_LIB_R_TCR.ckt</ns0:t>
        </ns0:is>
      </ns0:c>
      <ns0:c xmlns:ns0="http://schemas.openxmlformats.org/spreadsheetml/2006/main" r="AH60" s="16" t="inlineStr">
        <ns0:is>
          <ns0:t>±100 ppm/°C</ns0:t>
        </ns0:is>
      </ns0:c>
    </ns0:row>
    <ns0:row r="61" ht="30" customHeight="1">
      <ns0:c r="A61" t="str" s="10">
        <ns0:v>R0067</ns0:v>
      </ns0:c>
      <ns0:c r="B61" t="str" s="10">
        <ns0:v>Резистор</ns0:v>
      </ns0:c>
      <ns0:c r="C61" t="str" s="10">
        <ns0:v>270R</ns0:v>
      </ns0:c>
      <ns0:c r="D61" t="str" s="11">
        <ns0:f>SUBSTITUTE(SUBSTITUTE(SUBSTITUTE(SUBSTITUTE(C61,"meg"," МОм"),"k"," кОм"),"R"," Ом"),".",",")</ns0:f>
        <ns0:v>270 Ом</ns0:v>
      </ns0:c>
      <ns0:c r="E61" t="str" s="10">
        <ns0:v>±5%</ns0:v>
      </ns0:c>
      <ns0:c r="F61" t="str" s="10">
        <ns0:v>0,1 Вт</ns0:v>
      </ns0:c>
      <ns0:c r="G61" t="str" s="10">
        <ns0:v>75 В макс.</ns0:v>
      </ns0:c>
      <ns0:c r="H61" t="str" s="12">
        <ns0:v>0603</ns0:v>
      </ns0:c>
      <ns0:c r="I61" t="str" s="10">
        <ns0:v>YAGEO</ns0:v>
      </ns0:c>
      <ns0:c r="J61" t="str" s="10">
        <ns0:v>RC0603JR-07270RL</ns0:v>
      </ns0:c>
      <ns0:c r="K61" t="str" s="11">
        <ns0:f>B61&amp;" "&amp;D61&amp;" "&amp;E61&amp;" "&amp;H61</ns0:f>
        <ns0:v>Резистор 270 Ом ±5% 0603</ns0:v>
      </ns0:c>
      <ns0:c r="L61" t="str" s="13">
        <ns0:v>R</ns0:v>
      </ns0:c>
      <ns0:c r="M61" t="str" s="13">
        <ns0:v>Symbols\MY_LIB_Resistors.SchLib</ns0:v>
      </ns0:c>
      <ns0:c r="N61" t="str" s="13">
        <ns0:v>RESC1608X55N</ns0:v>
      </ns0:c>
      <ns0:c r="O61" t="str" s="13">
        <ns0:v>Footprints\PBL - SMD Packages.PcbLib</ns0:v>
      </ns0:c>
      <ns0:c xmlns:ns0="http://schemas.openxmlformats.org/spreadsheetml/2006/main" r="P6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1" s="10"/>
      <ns0:c r="R61" t="str" s="11">
        <ns0:f>D61</ns0:f>
        <ns0:v>270 Ом</ns0:v>
      </ns0:c>
      <ns0:c r="S61" t="str" s="11">
        <ns0:f>K61</ns0:f>
        <ns0:v>Резистор 270 Ом ±5% 0603</ns0:v>
      </ns0:c>
      <x:c xmlns:x="http://schemas.openxmlformats.org/spreadsheetml/2006/main" r="T61" t="str" s="11">
        <x:v>C:\Users\Nomatin\Documents\Altium\MY_LIB\MY_LIB\Datasheets\YAGEO_RC_L.pdf</x:v>
      </x:c>
      <x:c xmlns:x="http://schemas.openxmlformats.org/spreadsheetml/2006/main" r="U61" t="str" s="11">
        <x:v>Даташит — локальный</x:v>
      </x:c>
      <x:c xmlns:x="http://schemas.openxmlformats.org/spreadsheetml/2006/main" r="V61" t="str" s="11">
        <x:v>C:\Users\Nomatin\Documents\Altium\MY_LIB\MY_LIB\Datasheets\YAGEO_RC_L.pdf</x:v>
      </x:c>
      <x:c xmlns:x="http://schemas.openxmlformats.org/spreadsheetml/2006/main" r="W61" t="str" s="11">
        <x:v>Даташит — производитель</x:v>
      </x:c>
      <x:c xmlns:x="http://schemas.openxmlformats.org/spreadsheetml/2006/main" r="X61" t="str" s="11">
        <x:v>https://yageogroup.com/content/datasheet/asset/file/PYU-RC_GROUP_51_ROHS_L</x:v>
      </x:c>
      <x:c xmlns:x="http://schemas.openxmlformats.org/spreadsheetml/2006/main" r="Y61" t="str" s="11">
        <x:v>C:\Users\Nomatin\Documents\Altium\MY_LIB\MY_LIB\Datasheets\YAGEO_RC_L.pdf</x:v>
      </x:c>
      <ns0:c xmlns:ns0="http://schemas.openxmlformats.org/spreadsheetml/2006/main" r="Z61" s="16" t="inlineStr">
        <ns0:is>
          <ns0:t>MY_LIB_R_TCR</ns0:t>
        </ns0:is>
      </ns0:c>
      <ns0:c xmlns:ns0="http://schemas.openxmlformats.org/spreadsheetml/2006/main" r="AA61" s="16" t="inlineStr">
        <ns0:is>
          <ns0:t>R(T), +100 ppm/C at 25 C; positive datasheet limit</ns0:t>
        </ns0:is>
      </ns0:c>
      <ns0:c xmlns:ns0="http://schemas.openxmlformats.org/spreadsheetml/2006/main" r="AB61" s="16" t="str">
        <ns0:v>General</ns0:v>
      </ns0:c>
      <ns0:c xmlns:ns0="http://schemas.openxmlformats.org/spreadsheetml/2006/main" r="AC61" s="16" t="inlineStr">
        <ns0:is>
          <ns0:t>Spice Subcircuit</ns0:t>
        </ns0:is>
      </ns0:c>
      <ns0:c xmlns:ns0="http://schemas.openxmlformats.org/spreadsheetml/2006/main" r="AD61" s="16" t="inlineStr">
        <ns0:is>
          <ns0:t>@DESIGNATOR %1 %2 @MODEL PARAMS: Rvalue=@VALUE TC1value=100u</ns0:t>
        </ns0:is>
      </ns0:c>
      <ns0:c xmlns:ns0="http://schemas.openxmlformats.org/spreadsheetml/2006/main" r="AE61" s="16" t="inlineStr">
        <ns0:is>
          <ns0:t>X</ns0:t>
        </ns0:is>
      </ns0:c>
      <ns0:c xmlns:ns0="http://schemas.openxmlformats.org/spreadsheetml/2006/main" r="AF61" s="16" t="str">
        <ns0:v>(1:1),(2:2)</ns0:v>
      </ns0:c>
      <ns0:c xmlns:ns0="http://schemas.openxmlformats.org/spreadsheetml/2006/main" r="AG61" s="16" t="inlineStr">
        <ns0:is>
          <ns0:t>Simulation\Resistors\MY_LIB_R_TCR.ckt</ns0:t>
        </ns0:is>
      </ns0:c>
      <ns0:c xmlns:ns0="http://schemas.openxmlformats.org/spreadsheetml/2006/main" r="AH61" s="16" t="inlineStr">
        <ns0:is>
          <ns0:t>±100 ppm/°C</ns0:t>
        </ns0:is>
      </ns0:c>
    </ns0:row>
    <ns0:row r="62" ht="30" customHeight="1">
      <ns0:c r="A62" t="str" s="10">
        <ns0:v>R0068</ns0:v>
      </ns0:c>
      <ns0:c r="B62" t="str" s="10">
        <ns0:v>Резистор</ns0:v>
      </ns0:c>
      <ns0:c r="C62" t="str" s="10">
        <ns0:v>300R</ns0:v>
      </ns0:c>
      <ns0:c r="D62" t="str" s="11">
        <ns0:f>SUBSTITUTE(SUBSTITUTE(SUBSTITUTE(SUBSTITUTE(C62,"meg"," МОм"),"k"," кОм"),"R"," Ом"),".",",")</ns0:f>
        <ns0:v>300 Ом</ns0:v>
      </ns0:c>
      <ns0:c r="E62" t="str" s="10">
        <ns0:v>±5%</ns0:v>
      </ns0:c>
      <ns0:c r="F62" t="str" s="10">
        <ns0:v>0,1 Вт</ns0:v>
      </ns0:c>
      <ns0:c r="G62" t="str" s="10">
        <ns0:v>75 В макс.</ns0:v>
      </ns0:c>
      <ns0:c r="H62" t="str" s="12">
        <ns0:v>0603</ns0:v>
      </ns0:c>
      <ns0:c r="I62" t="str" s="10">
        <ns0:v>YAGEO</ns0:v>
      </ns0:c>
      <ns0:c r="J62" t="str" s="10">
        <ns0:v>RC0603JR-07300RL</ns0:v>
      </ns0:c>
      <ns0:c r="K62" t="str" s="11">
        <ns0:f>B62&amp;" "&amp;D62&amp;" "&amp;E62&amp;" "&amp;H62</ns0:f>
        <ns0:v>Резистор 300 Ом ±5% 0603</ns0:v>
      </ns0:c>
      <ns0:c r="L62" t="str" s="13">
        <ns0:v>R</ns0:v>
      </ns0:c>
      <ns0:c r="M62" t="str" s="13">
        <ns0:v>Symbols\MY_LIB_Resistors.SchLib</ns0:v>
      </ns0:c>
      <ns0:c r="N62" t="str" s="13">
        <ns0:v>RESC1608X55N</ns0:v>
      </ns0:c>
      <ns0:c r="O62" t="str" s="13">
        <ns0:v>Footprints\PBL - SMD Packages.PcbLib</ns0:v>
      </ns0:c>
      <ns0:c xmlns:ns0="http://schemas.openxmlformats.org/spreadsheetml/2006/main" r="P6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2" s="10"/>
      <ns0:c r="R62" t="str" s="11">
        <ns0:f>D62</ns0:f>
        <ns0:v>300 Ом</ns0:v>
      </ns0:c>
      <ns0:c r="S62" t="str" s="11">
        <ns0:f>K62</ns0:f>
        <ns0:v>Резистор 300 Ом ±5% 0603</ns0:v>
      </ns0:c>
      <x:c xmlns:x="http://schemas.openxmlformats.org/spreadsheetml/2006/main" r="T62" t="str" s="11">
        <x:v>C:\Users\Nomatin\Documents\Altium\MY_LIB\MY_LIB\Datasheets\YAGEO_RC_L.pdf</x:v>
      </x:c>
      <x:c xmlns:x="http://schemas.openxmlformats.org/spreadsheetml/2006/main" r="U62" t="str" s="11">
        <x:v>Даташит — локальный</x:v>
      </x:c>
      <x:c xmlns:x="http://schemas.openxmlformats.org/spreadsheetml/2006/main" r="V62" t="str" s="11">
        <x:v>C:\Users\Nomatin\Documents\Altium\MY_LIB\MY_LIB\Datasheets\YAGEO_RC_L.pdf</x:v>
      </x:c>
      <x:c xmlns:x="http://schemas.openxmlformats.org/spreadsheetml/2006/main" r="W62" t="str" s="11">
        <x:v>Даташит — производитель</x:v>
      </x:c>
      <x:c xmlns:x="http://schemas.openxmlformats.org/spreadsheetml/2006/main" r="X62" t="str" s="11">
        <x:v>https://yageogroup.com/content/datasheet/asset/file/PYU-RC_GROUP_51_ROHS_L</x:v>
      </x:c>
      <x:c xmlns:x="http://schemas.openxmlformats.org/spreadsheetml/2006/main" r="Y62" t="str" s="11">
        <x:v>C:\Users\Nomatin\Documents\Altium\MY_LIB\MY_LIB\Datasheets\YAGEO_RC_L.pdf</x:v>
      </x:c>
      <ns0:c xmlns:ns0="http://schemas.openxmlformats.org/spreadsheetml/2006/main" r="Z62" s="16" t="inlineStr">
        <ns0:is>
          <ns0:t>MY_LIB_R_TCR</ns0:t>
        </ns0:is>
      </ns0:c>
      <ns0:c xmlns:ns0="http://schemas.openxmlformats.org/spreadsheetml/2006/main" r="AA62" s="16" t="inlineStr">
        <ns0:is>
          <ns0:t>R(T), +100 ppm/C at 25 C; positive datasheet limit</ns0:t>
        </ns0:is>
      </ns0:c>
      <ns0:c xmlns:ns0="http://schemas.openxmlformats.org/spreadsheetml/2006/main" r="AB62" s="16" t="str">
        <ns0:v>General</ns0:v>
      </ns0:c>
      <ns0:c xmlns:ns0="http://schemas.openxmlformats.org/spreadsheetml/2006/main" r="AC62" s="16" t="inlineStr">
        <ns0:is>
          <ns0:t>Spice Subcircuit</ns0:t>
        </ns0:is>
      </ns0:c>
      <ns0:c xmlns:ns0="http://schemas.openxmlformats.org/spreadsheetml/2006/main" r="AD62" s="16" t="inlineStr">
        <ns0:is>
          <ns0:t>@DESIGNATOR %1 %2 @MODEL PARAMS: Rvalue=@VALUE TC1value=100u</ns0:t>
        </ns0:is>
      </ns0:c>
      <ns0:c xmlns:ns0="http://schemas.openxmlformats.org/spreadsheetml/2006/main" r="AE62" s="16" t="inlineStr">
        <ns0:is>
          <ns0:t>X</ns0:t>
        </ns0:is>
      </ns0:c>
      <ns0:c xmlns:ns0="http://schemas.openxmlformats.org/spreadsheetml/2006/main" r="AF62" s="16" t="str">
        <ns0:v>(1:1),(2:2)</ns0:v>
      </ns0:c>
      <ns0:c xmlns:ns0="http://schemas.openxmlformats.org/spreadsheetml/2006/main" r="AG62" s="16" t="inlineStr">
        <ns0:is>
          <ns0:t>Simulation\Resistors\MY_LIB_R_TCR.ckt</ns0:t>
        </ns0:is>
      </ns0:c>
      <ns0:c xmlns:ns0="http://schemas.openxmlformats.org/spreadsheetml/2006/main" r="AH62" s="16" t="inlineStr">
        <ns0:is>
          <ns0:t>±100 ppm/°C</ns0:t>
        </ns0:is>
      </ns0:c>
    </ns0:row>
    <ns0:row r="63" ht="30" customHeight="1">
      <ns0:c r="A63" t="str" s="10">
        <ns0:v>R0069</ns0:v>
      </ns0:c>
      <ns0:c r="B63" t="str" s="10">
        <ns0:v>Резистор</ns0:v>
      </ns0:c>
      <ns0:c r="C63" t="str" s="10">
        <ns0:v>330R</ns0:v>
      </ns0:c>
      <ns0:c r="D63" t="str" s="11">
        <ns0:f>SUBSTITUTE(SUBSTITUTE(SUBSTITUTE(SUBSTITUTE(C63,"meg"," МОм"),"k"," кОм"),"R"," Ом"),".",",")</ns0:f>
        <ns0:v>330 Ом</ns0:v>
      </ns0:c>
      <ns0:c r="E63" t="str" s="10">
        <ns0:v>±5%</ns0:v>
      </ns0:c>
      <ns0:c r="F63" t="str" s="10">
        <ns0:v>0,1 Вт</ns0:v>
      </ns0:c>
      <ns0:c r="G63" t="str" s="10">
        <ns0:v>75 В макс.</ns0:v>
      </ns0:c>
      <ns0:c r="H63" t="str" s="12">
        <ns0:v>0603</ns0:v>
      </ns0:c>
      <ns0:c r="I63" t="str" s="10">
        <ns0:v>YAGEO</ns0:v>
      </ns0:c>
      <ns0:c r="J63" t="str" s="10">
        <ns0:v>RC0603JR-07330RL</ns0:v>
      </ns0:c>
      <ns0:c r="K63" t="str" s="11">
        <ns0:f>B63&amp;" "&amp;D63&amp;" "&amp;E63&amp;" "&amp;H63</ns0:f>
        <ns0:v>Резистор 330 Ом ±5% 0603</ns0:v>
      </ns0:c>
      <ns0:c r="L63" t="str" s="13">
        <ns0:v>R</ns0:v>
      </ns0:c>
      <ns0:c r="M63" t="str" s="13">
        <ns0:v>Symbols\MY_LIB_Resistors.SchLib</ns0:v>
      </ns0:c>
      <ns0:c r="N63" t="str" s="13">
        <ns0:v>RESC1608X55N</ns0:v>
      </ns0:c>
      <ns0:c r="O63" t="str" s="13">
        <ns0:v>Footprints\PBL - SMD Packages.PcbLib</ns0:v>
      </ns0:c>
      <ns0:c xmlns:ns0="http://schemas.openxmlformats.org/spreadsheetml/2006/main" r="P6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3" s="10"/>
      <ns0:c r="R63" t="str" s="11">
        <ns0:f>D63</ns0:f>
        <ns0:v>330 Ом</ns0:v>
      </ns0:c>
      <ns0:c r="S63" t="str" s="11">
        <ns0:f>K63</ns0:f>
        <ns0:v>Резистор 330 Ом ±5% 0603</ns0:v>
      </ns0:c>
      <x:c xmlns:x="http://schemas.openxmlformats.org/spreadsheetml/2006/main" r="T63" t="str" s="11">
        <x:v>C:\Users\Nomatin\Documents\Altium\MY_LIB\MY_LIB\Datasheets\YAGEO_RC_L.pdf</x:v>
      </x:c>
      <x:c xmlns:x="http://schemas.openxmlformats.org/spreadsheetml/2006/main" r="U63" t="str" s="11">
        <x:v>Даташит — локальный</x:v>
      </x:c>
      <x:c xmlns:x="http://schemas.openxmlformats.org/spreadsheetml/2006/main" r="V63" t="str" s="11">
        <x:v>C:\Users\Nomatin\Documents\Altium\MY_LIB\MY_LIB\Datasheets\YAGEO_RC_L.pdf</x:v>
      </x:c>
      <x:c xmlns:x="http://schemas.openxmlformats.org/spreadsheetml/2006/main" r="W63" t="str" s="11">
        <x:v>Даташит — производитель</x:v>
      </x:c>
      <x:c xmlns:x="http://schemas.openxmlformats.org/spreadsheetml/2006/main" r="X63" t="str" s="11">
        <x:v>https://yageogroup.com/content/datasheet/asset/file/PYU-RC_GROUP_51_ROHS_L</x:v>
      </x:c>
      <x:c xmlns:x="http://schemas.openxmlformats.org/spreadsheetml/2006/main" r="Y63" t="str" s="11">
        <x:v>C:\Users\Nomatin\Documents\Altium\MY_LIB\MY_LIB\Datasheets\YAGEO_RC_L.pdf</x:v>
      </x:c>
      <ns0:c xmlns:ns0="http://schemas.openxmlformats.org/spreadsheetml/2006/main" r="Z63" s="16" t="inlineStr">
        <ns0:is>
          <ns0:t>MY_LIB_R_TCR</ns0:t>
        </ns0:is>
      </ns0:c>
      <ns0:c xmlns:ns0="http://schemas.openxmlformats.org/spreadsheetml/2006/main" r="AA63" s="16" t="inlineStr">
        <ns0:is>
          <ns0:t>R(T), +100 ppm/C at 25 C; positive datasheet limit</ns0:t>
        </ns0:is>
      </ns0:c>
      <ns0:c xmlns:ns0="http://schemas.openxmlformats.org/spreadsheetml/2006/main" r="AB63" s="16" t="str">
        <ns0:v>General</ns0:v>
      </ns0:c>
      <ns0:c xmlns:ns0="http://schemas.openxmlformats.org/spreadsheetml/2006/main" r="AC63" s="16" t="inlineStr">
        <ns0:is>
          <ns0:t>Spice Subcircuit</ns0:t>
        </ns0:is>
      </ns0:c>
      <ns0:c xmlns:ns0="http://schemas.openxmlformats.org/spreadsheetml/2006/main" r="AD63" s="16" t="inlineStr">
        <ns0:is>
          <ns0:t>@DESIGNATOR %1 %2 @MODEL PARAMS: Rvalue=@VALUE TC1value=100u</ns0:t>
        </ns0:is>
      </ns0:c>
      <ns0:c xmlns:ns0="http://schemas.openxmlformats.org/spreadsheetml/2006/main" r="AE63" s="16" t="inlineStr">
        <ns0:is>
          <ns0:t>X</ns0:t>
        </ns0:is>
      </ns0:c>
      <ns0:c xmlns:ns0="http://schemas.openxmlformats.org/spreadsheetml/2006/main" r="AF63" s="16" t="str">
        <ns0:v>(1:1),(2:2)</ns0:v>
      </ns0:c>
      <ns0:c xmlns:ns0="http://schemas.openxmlformats.org/spreadsheetml/2006/main" r="AG63" s="16" t="inlineStr">
        <ns0:is>
          <ns0:t>Simulation\Resistors\MY_LIB_R_TCR.ckt</ns0:t>
        </ns0:is>
      </ns0:c>
      <ns0:c xmlns:ns0="http://schemas.openxmlformats.org/spreadsheetml/2006/main" r="AH63" s="16" t="inlineStr">
        <ns0:is>
          <ns0:t>±100 ppm/°C</ns0:t>
        </ns0:is>
      </ns0:c>
    </ns0:row>
    <ns0:row r="64" ht="30" customHeight="1">
      <ns0:c r="A64" t="str" s="10">
        <ns0:v>R0070</ns0:v>
      </ns0:c>
      <ns0:c r="B64" t="str" s="10">
        <ns0:v>Резистор</ns0:v>
      </ns0:c>
      <ns0:c r="C64" t="str" s="10">
        <ns0:v>360R</ns0:v>
      </ns0:c>
      <ns0:c r="D64" t="str" s="11">
        <ns0:f>SUBSTITUTE(SUBSTITUTE(SUBSTITUTE(SUBSTITUTE(C64,"meg"," МОм"),"k"," кОм"),"R"," Ом"),".",",")</ns0:f>
        <ns0:v>360 Ом</ns0:v>
      </ns0:c>
      <ns0:c r="E64" t="str" s="10">
        <ns0:v>±5%</ns0:v>
      </ns0:c>
      <ns0:c r="F64" t="str" s="10">
        <ns0:v>0,1 Вт</ns0:v>
      </ns0:c>
      <ns0:c r="G64" t="str" s="10">
        <ns0:v>75 В макс.</ns0:v>
      </ns0:c>
      <ns0:c r="H64" t="str" s="12">
        <ns0:v>0603</ns0:v>
      </ns0:c>
      <ns0:c r="I64" t="str" s="10">
        <ns0:v>YAGEO</ns0:v>
      </ns0:c>
      <ns0:c r="J64" t="str" s="10">
        <ns0:v>RC0603JR-07360RL</ns0:v>
      </ns0:c>
      <ns0:c r="K64" t="str" s="11">
        <ns0:f>B64&amp;" "&amp;D64&amp;" "&amp;E64&amp;" "&amp;H64</ns0:f>
        <ns0:v>Резистор 360 Ом ±5% 0603</ns0:v>
      </ns0:c>
      <ns0:c r="L64" t="str" s="13">
        <ns0:v>R</ns0:v>
      </ns0:c>
      <ns0:c r="M64" t="str" s="13">
        <ns0:v>Symbols\MY_LIB_Resistors.SchLib</ns0:v>
      </ns0:c>
      <ns0:c r="N64" t="str" s="13">
        <ns0:v>RESC1608X55N</ns0:v>
      </ns0:c>
      <ns0:c r="O64" t="str" s="13">
        <ns0:v>Footprints\PBL - SMD Packages.PcbLib</ns0:v>
      </ns0:c>
      <ns0:c xmlns:ns0="http://schemas.openxmlformats.org/spreadsheetml/2006/main" r="P6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4" s="10"/>
      <ns0:c r="R64" t="str" s="11">
        <ns0:f>D64</ns0:f>
        <ns0:v>360 Ом</ns0:v>
      </ns0:c>
      <ns0:c r="S64" t="str" s="11">
        <ns0:f>K64</ns0:f>
        <ns0:v>Резистор 360 Ом ±5% 0603</ns0:v>
      </ns0:c>
      <x:c xmlns:x="http://schemas.openxmlformats.org/spreadsheetml/2006/main" r="T64" t="str" s="11">
        <x:v>C:\Users\Nomatin\Documents\Altium\MY_LIB\MY_LIB\Datasheets\YAGEO_RC_L.pdf</x:v>
      </x:c>
      <x:c xmlns:x="http://schemas.openxmlformats.org/spreadsheetml/2006/main" r="U64" t="str" s="11">
        <x:v>Даташит — локальный</x:v>
      </x:c>
      <x:c xmlns:x="http://schemas.openxmlformats.org/spreadsheetml/2006/main" r="V64" t="str" s="11">
        <x:v>C:\Users\Nomatin\Documents\Altium\MY_LIB\MY_LIB\Datasheets\YAGEO_RC_L.pdf</x:v>
      </x:c>
      <x:c xmlns:x="http://schemas.openxmlformats.org/spreadsheetml/2006/main" r="W64" t="str" s="11">
        <x:v>Даташит — производитель</x:v>
      </x:c>
      <x:c xmlns:x="http://schemas.openxmlformats.org/spreadsheetml/2006/main" r="X64" t="str" s="11">
        <x:v>https://yageogroup.com/content/datasheet/asset/file/PYU-RC_GROUP_51_ROHS_L</x:v>
      </x:c>
      <x:c xmlns:x="http://schemas.openxmlformats.org/spreadsheetml/2006/main" r="Y64" t="str" s="11">
        <x:v>C:\Users\Nomatin\Documents\Altium\MY_LIB\MY_LIB\Datasheets\YAGEO_RC_L.pdf</x:v>
      </x:c>
      <ns0:c xmlns:ns0="http://schemas.openxmlformats.org/spreadsheetml/2006/main" r="Z64" s="16" t="inlineStr">
        <ns0:is>
          <ns0:t>MY_LIB_R_TCR</ns0:t>
        </ns0:is>
      </ns0:c>
      <ns0:c xmlns:ns0="http://schemas.openxmlformats.org/spreadsheetml/2006/main" r="AA64" s="16" t="inlineStr">
        <ns0:is>
          <ns0:t>R(T), +100 ppm/C at 25 C; positive datasheet limit</ns0:t>
        </ns0:is>
      </ns0:c>
      <ns0:c xmlns:ns0="http://schemas.openxmlformats.org/spreadsheetml/2006/main" r="AB64" s="16" t="str">
        <ns0:v>General</ns0:v>
      </ns0:c>
      <ns0:c xmlns:ns0="http://schemas.openxmlformats.org/spreadsheetml/2006/main" r="AC64" s="16" t="inlineStr">
        <ns0:is>
          <ns0:t>Spice Subcircuit</ns0:t>
        </ns0:is>
      </ns0:c>
      <ns0:c xmlns:ns0="http://schemas.openxmlformats.org/spreadsheetml/2006/main" r="AD64" s="16" t="inlineStr">
        <ns0:is>
          <ns0:t>@DESIGNATOR %1 %2 @MODEL PARAMS: Rvalue=@VALUE TC1value=100u</ns0:t>
        </ns0:is>
      </ns0:c>
      <ns0:c xmlns:ns0="http://schemas.openxmlformats.org/spreadsheetml/2006/main" r="AE64" s="16" t="inlineStr">
        <ns0:is>
          <ns0:t>X</ns0:t>
        </ns0:is>
      </ns0:c>
      <ns0:c xmlns:ns0="http://schemas.openxmlformats.org/spreadsheetml/2006/main" r="AF64" s="16" t="str">
        <ns0:v>(1:1),(2:2)</ns0:v>
      </ns0:c>
      <ns0:c xmlns:ns0="http://schemas.openxmlformats.org/spreadsheetml/2006/main" r="AG64" s="16" t="inlineStr">
        <ns0:is>
          <ns0:t>Simulation\Resistors\MY_LIB_R_TCR.ckt</ns0:t>
        </ns0:is>
      </ns0:c>
      <ns0:c xmlns:ns0="http://schemas.openxmlformats.org/spreadsheetml/2006/main" r="AH64" s="16" t="inlineStr">
        <ns0:is>
          <ns0:t>±100 ppm/°C</ns0:t>
        </ns0:is>
      </ns0:c>
    </ns0:row>
    <ns0:row r="65" ht="30" customHeight="1">
      <ns0:c r="A65" t="str" s="10">
        <ns0:v>R0071</ns0:v>
      </ns0:c>
      <ns0:c r="B65" t="str" s="10">
        <ns0:v>Резистор</ns0:v>
      </ns0:c>
      <ns0:c r="C65" t="str" s="10">
        <ns0:v>390R</ns0:v>
      </ns0:c>
      <ns0:c r="D65" t="str" s="11">
        <ns0:f>SUBSTITUTE(SUBSTITUTE(SUBSTITUTE(SUBSTITUTE(C65,"meg"," МОм"),"k"," кОм"),"R"," Ом"),".",",")</ns0:f>
        <ns0:v>390 Ом</ns0:v>
      </ns0:c>
      <ns0:c r="E65" t="str" s="10">
        <ns0:v>±5%</ns0:v>
      </ns0:c>
      <ns0:c r="F65" t="str" s="10">
        <ns0:v>0,1 Вт</ns0:v>
      </ns0:c>
      <ns0:c r="G65" t="str" s="10">
        <ns0:v>75 В макс.</ns0:v>
      </ns0:c>
      <ns0:c r="H65" t="str" s="12">
        <ns0:v>0603</ns0:v>
      </ns0:c>
      <ns0:c r="I65" t="str" s="10">
        <ns0:v>YAGEO</ns0:v>
      </ns0:c>
      <ns0:c r="J65" t="str" s="10">
        <ns0:v>RC0603JR-07390RL</ns0:v>
      </ns0:c>
      <ns0:c r="K65" t="str" s="11">
        <ns0:f>B65&amp;" "&amp;D65&amp;" "&amp;E65&amp;" "&amp;H65</ns0:f>
        <ns0:v>Резистор 390 Ом ±5% 0603</ns0:v>
      </ns0:c>
      <ns0:c r="L65" t="str" s="13">
        <ns0:v>R</ns0:v>
      </ns0:c>
      <ns0:c r="M65" t="str" s="13">
        <ns0:v>Symbols\MY_LIB_Resistors.SchLib</ns0:v>
      </ns0:c>
      <ns0:c r="N65" t="str" s="13">
        <ns0:v>RESC1608X55N</ns0:v>
      </ns0:c>
      <ns0:c r="O65" t="str" s="13">
        <ns0:v>Footprints\PBL - SMD Packages.PcbLib</ns0:v>
      </ns0:c>
      <ns0:c xmlns:ns0="http://schemas.openxmlformats.org/spreadsheetml/2006/main" r="P6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5" s="10"/>
      <ns0:c r="R65" t="str" s="11">
        <ns0:f>D65</ns0:f>
        <ns0:v>390 Ом</ns0:v>
      </ns0:c>
      <ns0:c r="S65" t="str" s="11">
        <ns0:f>K65</ns0:f>
        <ns0:v>Резистор 390 Ом ±5% 0603</ns0:v>
      </ns0:c>
      <x:c xmlns:x="http://schemas.openxmlformats.org/spreadsheetml/2006/main" r="T65" t="str" s="11">
        <x:v>C:\Users\Nomatin\Documents\Altium\MY_LIB\MY_LIB\Datasheets\YAGEO_RC_L.pdf</x:v>
      </x:c>
      <x:c xmlns:x="http://schemas.openxmlformats.org/spreadsheetml/2006/main" r="U65" t="str" s="11">
        <x:v>Даташит — локальный</x:v>
      </x:c>
      <x:c xmlns:x="http://schemas.openxmlformats.org/spreadsheetml/2006/main" r="V65" t="str" s="11">
        <x:v>C:\Users\Nomatin\Documents\Altium\MY_LIB\MY_LIB\Datasheets\YAGEO_RC_L.pdf</x:v>
      </x:c>
      <x:c xmlns:x="http://schemas.openxmlformats.org/spreadsheetml/2006/main" r="W65" t="str" s="11">
        <x:v>Даташит — производитель</x:v>
      </x:c>
      <x:c xmlns:x="http://schemas.openxmlformats.org/spreadsheetml/2006/main" r="X65" t="str" s="11">
        <x:v>https://yageogroup.com/content/datasheet/asset/file/PYU-RC_GROUP_51_ROHS_L</x:v>
      </x:c>
      <x:c xmlns:x="http://schemas.openxmlformats.org/spreadsheetml/2006/main" r="Y65" t="str" s="11">
        <x:v>C:\Users\Nomatin\Documents\Altium\MY_LIB\MY_LIB\Datasheets\YAGEO_RC_L.pdf</x:v>
      </x:c>
      <ns0:c xmlns:ns0="http://schemas.openxmlformats.org/spreadsheetml/2006/main" r="Z65" s="16" t="inlineStr">
        <ns0:is>
          <ns0:t>MY_LIB_R_TCR</ns0:t>
        </ns0:is>
      </ns0:c>
      <ns0:c xmlns:ns0="http://schemas.openxmlformats.org/spreadsheetml/2006/main" r="AA65" s="16" t="inlineStr">
        <ns0:is>
          <ns0:t>R(T), +100 ppm/C at 25 C; positive datasheet limit</ns0:t>
        </ns0:is>
      </ns0:c>
      <ns0:c xmlns:ns0="http://schemas.openxmlformats.org/spreadsheetml/2006/main" r="AB65" s="16" t="str">
        <ns0:v>General</ns0:v>
      </ns0:c>
      <ns0:c xmlns:ns0="http://schemas.openxmlformats.org/spreadsheetml/2006/main" r="AC65" s="16" t="inlineStr">
        <ns0:is>
          <ns0:t>Spice Subcircuit</ns0:t>
        </ns0:is>
      </ns0:c>
      <ns0:c xmlns:ns0="http://schemas.openxmlformats.org/spreadsheetml/2006/main" r="AD65" s="16" t="inlineStr">
        <ns0:is>
          <ns0:t>@DESIGNATOR %1 %2 @MODEL PARAMS: Rvalue=@VALUE TC1value=100u</ns0:t>
        </ns0:is>
      </ns0:c>
      <ns0:c xmlns:ns0="http://schemas.openxmlformats.org/spreadsheetml/2006/main" r="AE65" s="16" t="inlineStr">
        <ns0:is>
          <ns0:t>X</ns0:t>
        </ns0:is>
      </ns0:c>
      <ns0:c xmlns:ns0="http://schemas.openxmlformats.org/spreadsheetml/2006/main" r="AF65" s="16" t="str">
        <ns0:v>(1:1),(2:2)</ns0:v>
      </ns0:c>
      <ns0:c xmlns:ns0="http://schemas.openxmlformats.org/spreadsheetml/2006/main" r="AG65" s="16" t="inlineStr">
        <ns0:is>
          <ns0:t>Simulation\Resistors\MY_LIB_R_TCR.ckt</ns0:t>
        </ns0:is>
      </ns0:c>
      <ns0:c xmlns:ns0="http://schemas.openxmlformats.org/spreadsheetml/2006/main" r="AH65" s="16" t="inlineStr">
        <ns0:is>
          <ns0:t>±100 ppm/°C</ns0:t>
        </ns0:is>
      </ns0:c>
    </ns0:row>
    <ns0:row r="66" ht="30" customHeight="1">
      <ns0:c r="A66" t="str" s="10">
        <ns0:v>R0072</ns0:v>
      </ns0:c>
      <ns0:c r="B66" t="str" s="10">
        <ns0:v>Резистор</ns0:v>
      </ns0:c>
      <ns0:c r="C66" t="str" s="10">
        <ns0:v>430R</ns0:v>
      </ns0:c>
      <ns0:c r="D66" t="str" s="11">
        <ns0:f>SUBSTITUTE(SUBSTITUTE(SUBSTITUTE(SUBSTITUTE(C66,"meg"," МОм"),"k"," кОм"),"R"," Ом"),".",",")</ns0:f>
        <ns0:v>430 Ом</ns0:v>
      </ns0:c>
      <ns0:c r="E66" t="str" s="10">
        <ns0:v>±5%</ns0:v>
      </ns0:c>
      <ns0:c r="F66" t="str" s="10">
        <ns0:v>0,1 Вт</ns0:v>
      </ns0:c>
      <ns0:c r="G66" t="str" s="10">
        <ns0:v>75 В макс.</ns0:v>
      </ns0:c>
      <ns0:c r="H66" t="str" s="12">
        <ns0:v>0603</ns0:v>
      </ns0:c>
      <ns0:c r="I66" t="str" s="10">
        <ns0:v>YAGEO</ns0:v>
      </ns0:c>
      <ns0:c r="J66" t="str" s="10">
        <ns0:v>RC0603JR-07430RL</ns0:v>
      </ns0:c>
      <ns0:c r="K66" t="str" s="11">
        <ns0:f>B66&amp;" "&amp;D66&amp;" "&amp;E66&amp;" "&amp;H66</ns0:f>
        <ns0:v>Резистор 430 Ом ±5% 0603</ns0:v>
      </ns0:c>
      <ns0:c r="L66" t="str" s="13">
        <ns0:v>R</ns0:v>
      </ns0:c>
      <ns0:c r="M66" t="str" s="13">
        <ns0:v>Symbols\MY_LIB_Resistors.SchLib</ns0:v>
      </ns0:c>
      <ns0:c r="N66" t="str" s="13">
        <ns0:v>RESC1608X55N</ns0:v>
      </ns0:c>
      <ns0:c r="O66" t="str" s="13">
        <ns0:v>Footprints\PBL - SMD Packages.PcbLib</ns0:v>
      </ns0:c>
      <ns0:c xmlns:ns0="http://schemas.openxmlformats.org/spreadsheetml/2006/main" r="P6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6" s="10"/>
      <ns0:c r="R66" t="str" s="11">
        <ns0:f>D66</ns0:f>
        <ns0:v>430 Ом</ns0:v>
      </ns0:c>
      <ns0:c r="S66" t="str" s="11">
        <ns0:f>K66</ns0:f>
        <ns0:v>Резистор 430 Ом ±5% 0603</ns0:v>
      </ns0:c>
      <x:c xmlns:x="http://schemas.openxmlformats.org/spreadsheetml/2006/main" r="T66" t="str" s="11">
        <x:v>C:\Users\Nomatin\Documents\Altium\MY_LIB\MY_LIB\Datasheets\YAGEO_RC_L.pdf</x:v>
      </x:c>
      <x:c xmlns:x="http://schemas.openxmlformats.org/spreadsheetml/2006/main" r="U66" t="str" s="11">
        <x:v>Даташит — локальный</x:v>
      </x:c>
      <x:c xmlns:x="http://schemas.openxmlformats.org/spreadsheetml/2006/main" r="V66" t="str" s="11">
        <x:v>C:\Users\Nomatin\Documents\Altium\MY_LIB\MY_LIB\Datasheets\YAGEO_RC_L.pdf</x:v>
      </x:c>
      <x:c xmlns:x="http://schemas.openxmlformats.org/spreadsheetml/2006/main" r="W66" t="str" s="11">
        <x:v>Даташит — производитель</x:v>
      </x:c>
      <x:c xmlns:x="http://schemas.openxmlformats.org/spreadsheetml/2006/main" r="X66" t="str" s="11">
        <x:v>https://yageogroup.com/content/datasheet/asset/file/PYU-RC_GROUP_51_ROHS_L</x:v>
      </x:c>
      <x:c xmlns:x="http://schemas.openxmlformats.org/spreadsheetml/2006/main" r="Y66" t="str" s="11">
        <x:v>C:\Users\Nomatin\Documents\Altium\MY_LIB\MY_LIB\Datasheets\YAGEO_RC_L.pdf</x:v>
      </x:c>
      <ns0:c xmlns:ns0="http://schemas.openxmlformats.org/spreadsheetml/2006/main" r="Z66" s="16" t="inlineStr">
        <ns0:is>
          <ns0:t>MY_LIB_R_TCR</ns0:t>
        </ns0:is>
      </ns0:c>
      <ns0:c xmlns:ns0="http://schemas.openxmlformats.org/spreadsheetml/2006/main" r="AA66" s="16" t="inlineStr">
        <ns0:is>
          <ns0:t>R(T), +100 ppm/C at 25 C; positive datasheet limit</ns0:t>
        </ns0:is>
      </ns0:c>
      <ns0:c xmlns:ns0="http://schemas.openxmlformats.org/spreadsheetml/2006/main" r="AB66" s="16" t="str">
        <ns0:v>General</ns0:v>
      </ns0:c>
      <ns0:c xmlns:ns0="http://schemas.openxmlformats.org/spreadsheetml/2006/main" r="AC66" s="16" t="inlineStr">
        <ns0:is>
          <ns0:t>Spice Subcircuit</ns0:t>
        </ns0:is>
      </ns0:c>
      <ns0:c xmlns:ns0="http://schemas.openxmlformats.org/spreadsheetml/2006/main" r="AD66" s="16" t="inlineStr">
        <ns0:is>
          <ns0:t>@DESIGNATOR %1 %2 @MODEL PARAMS: Rvalue=@VALUE TC1value=100u</ns0:t>
        </ns0:is>
      </ns0:c>
      <ns0:c xmlns:ns0="http://schemas.openxmlformats.org/spreadsheetml/2006/main" r="AE66" s="16" t="inlineStr">
        <ns0:is>
          <ns0:t>X</ns0:t>
        </ns0:is>
      </ns0:c>
      <ns0:c xmlns:ns0="http://schemas.openxmlformats.org/spreadsheetml/2006/main" r="AF66" s="16" t="str">
        <ns0:v>(1:1),(2:2)</ns0:v>
      </ns0:c>
      <ns0:c xmlns:ns0="http://schemas.openxmlformats.org/spreadsheetml/2006/main" r="AG66" s="16" t="inlineStr">
        <ns0:is>
          <ns0:t>Simulation\Resistors\MY_LIB_R_TCR.ckt</ns0:t>
        </ns0:is>
      </ns0:c>
      <ns0:c xmlns:ns0="http://schemas.openxmlformats.org/spreadsheetml/2006/main" r="AH66" s="16" t="inlineStr">
        <ns0:is>
          <ns0:t>±100 ppm/°C</ns0:t>
        </ns0:is>
      </ns0:c>
    </ns0:row>
    <ns0:row r="67" ht="30" customHeight="1">
      <ns0:c r="A67" t="str" s="10">
        <ns0:v>R0073</ns0:v>
      </ns0:c>
      <ns0:c r="B67" t="str" s="10">
        <ns0:v>Резистор</ns0:v>
      </ns0:c>
      <ns0:c r="C67" t="str" s="10">
        <ns0:v>470R</ns0:v>
      </ns0:c>
      <ns0:c r="D67" t="str" s="11">
        <ns0:f>SUBSTITUTE(SUBSTITUTE(SUBSTITUTE(SUBSTITUTE(C67,"meg"," МОм"),"k"," кОм"),"R"," Ом"),".",",")</ns0:f>
        <ns0:v>470 Ом</ns0:v>
      </ns0:c>
      <ns0:c r="E67" t="str" s="10">
        <ns0:v>±5%</ns0:v>
      </ns0:c>
      <ns0:c r="F67" t="str" s="10">
        <ns0:v>0,1 Вт</ns0:v>
      </ns0:c>
      <ns0:c r="G67" t="str" s="10">
        <ns0:v>75 В макс.</ns0:v>
      </ns0:c>
      <ns0:c r="H67" t="str" s="12">
        <ns0:v>0603</ns0:v>
      </ns0:c>
      <ns0:c r="I67" t="str" s="10">
        <ns0:v>YAGEO</ns0:v>
      </ns0:c>
      <ns0:c r="J67" t="str" s="10">
        <ns0:v>RC0603JR-07470RL</ns0:v>
      </ns0:c>
      <ns0:c r="K67" t="str" s="11">
        <ns0:f>B67&amp;" "&amp;D67&amp;" "&amp;E67&amp;" "&amp;H67</ns0:f>
        <ns0:v>Резистор 470 Ом ±5% 0603</ns0:v>
      </ns0:c>
      <ns0:c r="L67" t="str" s="13">
        <ns0:v>R</ns0:v>
      </ns0:c>
      <ns0:c r="M67" t="str" s="13">
        <ns0:v>Symbols\MY_LIB_Resistors.SchLib</ns0:v>
      </ns0:c>
      <ns0:c r="N67" t="str" s="13">
        <ns0:v>RESC1608X55N</ns0:v>
      </ns0:c>
      <ns0:c r="O67" t="str" s="13">
        <ns0:v>Footprints\PBL - SMD Packages.PcbLib</ns0:v>
      </ns0:c>
      <ns0:c xmlns:ns0="http://schemas.openxmlformats.org/spreadsheetml/2006/main" r="P6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7" s="10"/>
      <ns0:c r="R67" t="str" s="11">
        <ns0:f>D67</ns0:f>
        <ns0:v>470 Ом</ns0:v>
      </ns0:c>
      <ns0:c r="S67" t="str" s="11">
        <ns0:f>K67</ns0:f>
        <ns0:v>Резистор 470 Ом ±5% 0603</ns0:v>
      </ns0:c>
      <x:c xmlns:x="http://schemas.openxmlformats.org/spreadsheetml/2006/main" r="T67" t="str" s="11">
        <x:v>C:\Users\Nomatin\Documents\Altium\MY_LIB\MY_LIB\Datasheets\YAGEO_RC_L.pdf</x:v>
      </x:c>
      <x:c xmlns:x="http://schemas.openxmlformats.org/spreadsheetml/2006/main" r="U67" t="str" s="11">
        <x:v>Даташит — локальный</x:v>
      </x:c>
      <x:c xmlns:x="http://schemas.openxmlformats.org/spreadsheetml/2006/main" r="V67" t="str" s="11">
        <x:v>C:\Users\Nomatin\Documents\Altium\MY_LIB\MY_LIB\Datasheets\YAGEO_RC_L.pdf</x:v>
      </x:c>
      <x:c xmlns:x="http://schemas.openxmlformats.org/spreadsheetml/2006/main" r="W67" t="str" s="11">
        <x:v>Даташит — производитель</x:v>
      </x:c>
      <x:c xmlns:x="http://schemas.openxmlformats.org/spreadsheetml/2006/main" r="X67" t="str" s="11">
        <x:v>https://yageogroup.com/content/datasheet/asset/file/PYU-RC_GROUP_51_ROHS_L</x:v>
      </x:c>
      <x:c xmlns:x="http://schemas.openxmlformats.org/spreadsheetml/2006/main" r="Y67" t="str" s="11">
        <x:v>C:\Users\Nomatin\Documents\Altium\MY_LIB\MY_LIB\Datasheets\YAGEO_RC_L.pdf</x:v>
      </x:c>
      <ns0:c xmlns:ns0="http://schemas.openxmlformats.org/spreadsheetml/2006/main" r="Z67" s="16" t="inlineStr">
        <ns0:is>
          <ns0:t>MY_LIB_R_TCR</ns0:t>
        </ns0:is>
      </ns0:c>
      <ns0:c xmlns:ns0="http://schemas.openxmlformats.org/spreadsheetml/2006/main" r="AA67" s="16" t="inlineStr">
        <ns0:is>
          <ns0:t>R(T), +100 ppm/C at 25 C; positive datasheet limit</ns0:t>
        </ns0:is>
      </ns0:c>
      <ns0:c xmlns:ns0="http://schemas.openxmlformats.org/spreadsheetml/2006/main" r="AB67" s="16" t="str">
        <ns0:v>General</ns0:v>
      </ns0:c>
      <ns0:c xmlns:ns0="http://schemas.openxmlformats.org/spreadsheetml/2006/main" r="AC67" s="16" t="inlineStr">
        <ns0:is>
          <ns0:t>Spice Subcircuit</ns0:t>
        </ns0:is>
      </ns0:c>
      <ns0:c xmlns:ns0="http://schemas.openxmlformats.org/spreadsheetml/2006/main" r="AD67" s="16" t="inlineStr">
        <ns0:is>
          <ns0:t>@DESIGNATOR %1 %2 @MODEL PARAMS: Rvalue=@VALUE TC1value=100u</ns0:t>
        </ns0:is>
      </ns0:c>
      <ns0:c xmlns:ns0="http://schemas.openxmlformats.org/spreadsheetml/2006/main" r="AE67" s="16" t="inlineStr">
        <ns0:is>
          <ns0:t>X</ns0:t>
        </ns0:is>
      </ns0:c>
      <ns0:c xmlns:ns0="http://schemas.openxmlformats.org/spreadsheetml/2006/main" r="AF67" s="16" t="str">
        <ns0:v>(1:1),(2:2)</ns0:v>
      </ns0:c>
      <ns0:c xmlns:ns0="http://schemas.openxmlformats.org/spreadsheetml/2006/main" r="AG67" s="16" t="inlineStr">
        <ns0:is>
          <ns0:t>Simulation\Resistors\MY_LIB_R_TCR.ckt</ns0:t>
        </ns0:is>
      </ns0:c>
      <ns0:c xmlns:ns0="http://schemas.openxmlformats.org/spreadsheetml/2006/main" r="AH67" s="16" t="inlineStr">
        <ns0:is>
          <ns0:t>±100 ppm/°C</ns0:t>
        </ns0:is>
      </ns0:c>
    </ns0:row>
    <ns0:row r="68" ht="30" customHeight="1">
      <ns0:c r="A68" t="str" s="10">
        <ns0:v>R0074</ns0:v>
      </ns0:c>
      <ns0:c r="B68" t="str" s="10">
        <ns0:v>Резистор</ns0:v>
      </ns0:c>
      <ns0:c r="C68" t="str" s="10">
        <ns0:v>510R</ns0:v>
      </ns0:c>
      <ns0:c r="D68" t="str" s="11">
        <ns0:f>SUBSTITUTE(SUBSTITUTE(SUBSTITUTE(SUBSTITUTE(C68,"meg"," МОм"),"k"," кОм"),"R"," Ом"),".",",")</ns0:f>
        <ns0:v>510 Ом</ns0:v>
      </ns0:c>
      <ns0:c r="E68" t="str" s="10">
        <ns0:v>±5%</ns0:v>
      </ns0:c>
      <ns0:c r="F68" t="str" s="10">
        <ns0:v>0,1 Вт</ns0:v>
      </ns0:c>
      <ns0:c r="G68" t="str" s="10">
        <ns0:v>75 В макс.</ns0:v>
      </ns0:c>
      <ns0:c r="H68" t="str" s="12">
        <ns0:v>0603</ns0:v>
      </ns0:c>
      <ns0:c r="I68" t="str" s="10">
        <ns0:v>YAGEO</ns0:v>
      </ns0:c>
      <ns0:c r="J68" t="str" s="10">
        <ns0:v>RC0603JR-07510RL</ns0:v>
      </ns0:c>
      <ns0:c r="K68" t="str" s="11">
        <ns0:f>B68&amp;" "&amp;D68&amp;" "&amp;E68&amp;" "&amp;H68</ns0:f>
        <ns0:v>Резистор 510 Ом ±5% 0603</ns0:v>
      </ns0:c>
      <ns0:c r="L68" t="str" s="13">
        <ns0:v>R</ns0:v>
      </ns0:c>
      <ns0:c r="M68" t="str" s="13">
        <ns0:v>Symbols\MY_LIB_Resistors.SchLib</ns0:v>
      </ns0:c>
      <ns0:c r="N68" t="str" s="13">
        <ns0:v>RESC1608X55N</ns0:v>
      </ns0:c>
      <ns0:c r="O68" t="str" s="13">
        <ns0:v>Footprints\PBL - SMD Packages.PcbLib</ns0:v>
      </ns0:c>
      <ns0:c xmlns:ns0="http://schemas.openxmlformats.org/spreadsheetml/2006/main" r="P6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8" s="10"/>
      <ns0:c r="R68" t="str" s="11">
        <ns0:f>D68</ns0:f>
        <ns0:v>510 Ом</ns0:v>
      </ns0:c>
      <ns0:c r="S68" t="str" s="11">
        <ns0:f>K68</ns0:f>
        <ns0:v>Резистор 510 Ом ±5% 0603</ns0:v>
      </ns0:c>
      <x:c xmlns:x="http://schemas.openxmlformats.org/spreadsheetml/2006/main" r="T68" t="str" s="11">
        <x:v>C:\Users\Nomatin\Documents\Altium\MY_LIB\MY_LIB\Datasheets\YAGEO_RC_L.pdf</x:v>
      </x:c>
      <x:c xmlns:x="http://schemas.openxmlformats.org/spreadsheetml/2006/main" r="U68" t="str" s="11">
        <x:v>Даташит — локальный</x:v>
      </x:c>
      <x:c xmlns:x="http://schemas.openxmlformats.org/spreadsheetml/2006/main" r="V68" t="str" s="11">
        <x:v>C:\Users\Nomatin\Documents\Altium\MY_LIB\MY_LIB\Datasheets\YAGEO_RC_L.pdf</x:v>
      </x:c>
      <x:c xmlns:x="http://schemas.openxmlformats.org/spreadsheetml/2006/main" r="W68" t="str" s="11">
        <x:v>Даташит — производитель</x:v>
      </x:c>
      <x:c xmlns:x="http://schemas.openxmlformats.org/spreadsheetml/2006/main" r="X68" t="str" s="11">
        <x:v>https://yageogroup.com/content/datasheet/asset/file/PYU-RC_GROUP_51_ROHS_L</x:v>
      </x:c>
      <x:c xmlns:x="http://schemas.openxmlformats.org/spreadsheetml/2006/main" r="Y68" t="str" s="11">
        <x:v>C:\Users\Nomatin\Documents\Altium\MY_LIB\MY_LIB\Datasheets\YAGEO_RC_L.pdf</x:v>
      </x:c>
      <ns0:c xmlns:ns0="http://schemas.openxmlformats.org/spreadsheetml/2006/main" r="Z68" s="16" t="inlineStr">
        <ns0:is>
          <ns0:t>MY_LIB_R_TCR</ns0:t>
        </ns0:is>
      </ns0:c>
      <ns0:c xmlns:ns0="http://schemas.openxmlformats.org/spreadsheetml/2006/main" r="AA68" s="16" t="inlineStr">
        <ns0:is>
          <ns0:t>R(T), +100 ppm/C at 25 C; positive datasheet limit</ns0:t>
        </ns0:is>
      </ns0:c>
      <ns0:c xmlns:ns0="http://schemas.openxmlformats.org/spreadsheetml/2006/main" r="AB68" s="16" t="str">
        <ns0:v>General</ns0:v>
      </ns0:c>
      <ns0:c xmlns:ns0="http://schemas.openxmlformats.org/spreadsheetml/2006/main" r="AC68" s="16" t="inlineStr">
        <ns0:is>
          <ns0:t>Spice Subcircuit</ns0:t>
        </ns0:is>
      </ns0:c>
      <ns0:c xmlns:ns0="http://schemas.openxmlformats.org/spreadsheetml/2006/main" r="AD68" s="16" t="inlineStr">
        <ns0:is>
          <ns0:t>@DESIGNATOR %1 %2 @MODEL PARAMS: Rvalue=@VALUE TC1value=100u</ns0:t>
        </ns0:is>
      </ns0:c>
      <ns0:c xmlns:ns0="http://schemas.openxmlformats.org/spreadsheetml/2006/main" r="AE68" s="16" t="inlineStr">
        <ns0:is>
          <ns0:t>X</ns0:t>
        </ns0:is>
      </ns0:c>
      <ns0:c xmlns:ns0="http://schemas.openxmlformats.org/spreadsheetml/2006/main" r="AF68" s="16" t="str">
        <ns0:v>(1:1),(2:2)</ns0:v>
      </ns0:c>
      <ns0:c xmlns:ns0="http://schemas.openxmlformats.org/spreadsheetml/2006/main" r="AG68" s="16" t="inlineStr">
        <ns0:is>
          <ns0:t>Simulation\Resistors\MY_LIB_R_TCR.ckt</ns0:t>
        </ns0:is>
      </ns0:c>
      <ns0:c xmlns:ns0="http://schemas.openxmlformats.org/spreadsheetml/2006/main" r="AH68" s="16" t="inlineStr">
        <ns0:is>
          <ns0:t>±100 ppm/°C</ns0:t>
        </ns0:is>
      </ns0:c>
    </ns0:row>
    <ns0:row r="69" ht="30" customHeight="1">
      <ns0:c r="A69" t="str" s="10">
        <ns0:v>R0075</ns0:v>
      </ns0:c>
      <ns0:c r="B69" t="str" s="10">
        <ns0:v>Резистор</ns0:v>
      </ns0:c>
      <ns0:c r="C69" t="str" s="10">
        <ns0:v>560R</ns0:v>
      </ns0:c>
      <ns0:c r="D69" t="str" s="11">
        <ns0:f>SUBSTITUTE(SUBSTITUTE(SUBSTITUTE(SUBSTITUTE(C69,"meg"," МОм"),"k"," кОм"),"R"," Ом"),".",",")</ns0:f>
        <ns0:v>560 Ом</ns0:v>
      </ns0:c>
      <ns0:c r="E69" t="str" s="10">
        <ns0:v>±5%</ns0:v>
      </ns0:c>
      <ns0:c r="F69" t="str" s="10">
        <ns0:v>0,1 Вт</ns0:v>
      </ns0:c>
      <ns0:c r="G69" t="str" s="10">
        <ns0:v>75 В макс.</ns0:v>
      </ns0:c>
      <ns0:c r="H69" t="str" s="12">
        <ns0:v>0603</ns0:v>
      </ns0:c>
      <ns0:c r="I69" t="str" s="10">
        <ns0:v>YAGEO</ns0:v>
      </ns0:c>
      <ns0:c r="J69" t="str" s="10">
        <ns0:v>RC0603JR-07560RL</ns0:v>
      </ns0:c>
      <ns0:c r="K69" t="str" s="11">
        <ns0:f>B69&amp;" "&amp;D69&amp;" "&amp;E69&amp;" "&amp;H69</ns0:f>
        <ns0:v>Резистор 560 Ом ±5% 0603</ns0:v>
      </ns0:c>
      <ns0:c r="L69" t="str" s="13">
        <ns0:v>R</ns0:v>
      </ns0:c>
      <ns0:c r="M69" t="str" s="13">
        <ns0:v>Symbols\MY_LIB_Resistors.SchLib</ns0:v>
      </ns0:c>
      <ns0:c r="N69" t="str" s="13">
        <ns0:v>RESC1608X55N</ns0:v>
      </ns0:c>
      <ns0:c r="O69" t="str" s="13">
        <ns0:v>Footprints\PBL - SMD Packages.PcbLib</ns0:v>
      </ns0:c>
      <ns0:c xmlns:ns0="http://schemas.openxmlformats.org/spreadsheetml/2006/main" r="P6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69" s="10"/>
      <ns0:c r="R69" t="str" s="11">
        <ns0:f>D69</ns0:f>
        <ns0:v>560 Ом</ns0:v>
      </ns0:c>
      <ns0:c r="S69" t="str" s="11">
        <ns0:f>K69</ns0:f>
        <ns0:v>Резистор 560 Ом ±5% 0603</ns0:v>
      </ns0:c>
      <x:c xmlns:x="http://schemas.openxmlformats.org/spreadsheetml/2006/main" r="T69" t="str" s="11">
        <x:v>C:\Users\Nomatin\Documents\Altium\MY_LIB\MY_LIB\Datasheets\YAGEO_RC_L.pdf</x:v>
      </x:c>
      <x:c xmlns:x="http://schemas.openxmlformats.org/spreadsheetml/2006/main" r="U69" t="str" s="11">
        <x:v>Даташит — локальный</x:v>
      </x:c>
      <x:c xmlns:x="http://schemas.openxmlformats.org/spreadsheetml/2006/main" r="V69" t="str" s="11">
        <x:v>C:\Users\Nomatin\Documents\Altium\MY_LIB\MY_LIB\Datasheets\YAGEO_RC_L.pdf</x:v>
      </x:c>
      <x:c xmlns:x="http://schemas.openxmlformats.org/spreadsheetml/2006/main" r="W69" t="str" s="11">
        <x:v>Даташит — производитель</x:v>
      </x:c>
      <x:c xmlns:x="http://schemas.openxmlformats.org/spreadsheetml/2006/main" r="X69" t="str" s="11">
        <x:v>https://yageogroup.com/content/datasheet/asset/file/PYU-RC_GROUP_51_ROHS_L</x:v>
      </x:c>
      <x:c xmlns:x="http://schemas.openxmlformats.org/spreadsheetml/2006/main" r="Y69" t="str" s="11">
        <x:v>C:\Users\Nomatin\Documents\Altium\MY_LIB\MY_LIB\Datasheets\YAGEO_RC_L.pdf</x:v>
      </x:c>
      <ns0:c xmlns:ns0="http://schemas.openxmlformats.org/spreadsheetml/2006/main" r="Z69" s="16" t="inlineStr">
        <ns0:is>
          <ns0:t>MY_LIB_R_TCR</ns0:t>
        </ns0:is>
      </ns0:c>
      <ns0:c xmlns:ns0="http://schemas.openxmlformats.org/spreadsheetml/2006/main" r="AA69" s="16" t="inlineStr">
        <ns0:is>
          <ns0:t>R(T), +100 ppm/C at 25 C; positive datasheet limit</ns0:t>
        </ns0:is>
      </ns0:c>
      <ns0:c xmlns:ns0="http://schemas.openxmlformats.org/spreadsheetml/2006/main" r="AB69" s="16" t="str">
        <ns0:v>General</ns0:v>
      </ns0:c>
      <ns0:c xmlns:ns0="http://schemas.openxmlformats.org/spreadsheetml/2006/main" r="AC69" s="16" t="inlineStr">
        <ns0:is>
          <ns0:t>Spice Subcircuit</ns0:t>
        </ns0:is>
      </ns0:c>
      <ns0:c xmlns:ns0="http://schemas.openxmlformats.org/spreadsheetml/2006/main" r="AD69" s="16" t="inlineStr">
        <ns0:is>
          <ns0:t>@DESIGNATOR %1 %2 @MODEL PARAMS: Rvalue=@VALUE TC1value=100u</ns0:t>
        </ns0:is>
      </ns0:c>
      <ns0:c xmlns:ns0="http://schemas.openxmlformats.org/spreadsheetml/2006/main" r="AE69" s="16" t="inlineStr">
        <ns0:is>
          <ns0:t>X</ns0:t>
        </ns0:is>
      </ns0:c>
      <ns0:c xmlns:ns0="http://schemas.openxmlformats.org/spreadsheetml/2006/main" r="AF69" s="16" t="str">
        <ns0:v>(1:1),(2:2)</ns0:v>
      </ns0:c>
      <ns0:c xmlns:ns0="http://schemas.openxmlformats.org/spreadsheetml/2006/main" r="AG69" s="16" t="inlineStr">
        <ns0:is>
          <ns0:t>Simulation\Resistors\MY_LIB_R_TCR.ckt</ns0:t>
        </ns0:is>
      </ns0:c>
      <ns0:c xmlns:ns0="http://schemas.openxmlformats.org/spreadsheetml/2006/main" r="AH69" s="16" t="inlineStr">
        <ns0:is>
          <ns0:t>±100 ppm/°C</ns0:t>
        </ns0:is>
      </ns0:c>
    </ns0:row>
    <ns0:row r="70" ht="30" customHeight="1">
      <ns0:c r="A70" t="str" s="10">
        <ns0:v>R0076</ns0:v>
      </ns0:c>
      <ns0:c r="B70" t="str" s="10">
        <ns0:v>Резистор</ns0:v>
      </ns0:c>
      <ns0:c r="C70" t="str" s="10">
        <ns0:v>620R</ns0:v>
      </ns0:c>
      <ns0:c r="D70" t="str" s="11">
        <ns0:f>SUBSTITUTE(SUBSTITUTE(SUBSTITUTE(SUBSTITUTE(C70,"meg"," МОм"),"k"," кОм"),"R"," Ом"),".",",")</ns0:f>
        <ns0:v>620 Ом</ns0:v>
      </ns0:c>
      <ns0:c r="E70" t="str" s="10">
        <ns0:v>±5%</ns0:v>
      </ns0:c>
      <ns0:c r="F70" t="str" s="10">
        <ns0:v>0,1 Вт</ns0:v>
      </ns0:c>
      <ns0:c r="G70" t="str" s="10">
        <ns0:v>75 В макс.</ns0:v>
      </ns0:c>
      <ns0:c r="H70" t="str" s="12">
        <ns0:v>0603</ns0:v>
      </ns0:c>
      <ns0:c r="I70" t="str" s="10">
        <ns0:v>YAGEO</ns0:v>
      </ns0:c>
      <ns0:c r="J70" t="str" s="10">
        <ns0:v>RC0603JR-07620RL</ns0:v>
      </ns0:c>
      <ns0:c r="K70" t="str" s="11">
        <ns0:f>B70&amp;" "&amp;D70&amp;" "&amp;E70&amp;" "&amp;H70</ns0:f>
        <ns0:v>Резистор 620 Ом ±5% 0603</ns0:v>
      </ns0:c>
      <ns0:c r="L70" t="str" s="13">
        <ns0:v>R</ns0:v>
      </ns0:c>
      <ns0:c r="M70" t="str" s="13">
        <ns0:v>Symbols\MY_LIB_Resistors.SchLib</ns0:v>
      </ns0:c>
      <ns0:c r="N70" t="str" s="13">
        <ns0:v>RESC1608X55N</ns0:v>
      </ns0:c>
      <ns0:c r="O70" t="str" s="13">
        <ns0:v>Footprints\PBL - SMD Packages.PcbLib</ns0:v>
      </ns0:c>
      <ns0:c xmlns:ns0="http://schemas.openxmlformats.org/spreadsheetml/2006/main" r="P7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0" s="10"/>
      <ns0:c r="R70" t="str" s="11">
        <ns0:f>D70</ns0:f>
        <ns0:v>620 Ом</ns0:v>
      </ns0:c>
      <ns0:c r="S70" t="str" s="11">
        <ns0:f>K70</ns0:f>
        <ns0:v>Резистор 620 Ом ±5% 0603</ns0:v>
      </ns0:c>
      <x:c xmlns:x="http://schemas.openxmlformats.org/spreadsheetml/2006/main" r="T70" t="str" s="11">
        <x:v>C:\Users\Nomatin\Documents\Altium\MY_LIB\MY_LIB\Datasheets\YAGEO_RC_L.pdf</x:v>
      </x:c>
      <x:c xmlns:x="http://schemas.openxmlformats.org/spreadsheetml/2006/main" r="U70" t="str" s="11">
        <x:v>Даташит — локальный</x:v>
      </x:c>
      <x:c xmlns:x="http://schemas.openxmlformats.org/spreadsheetml/2006/main" r="V70" t="str" s="11">
        <x:v>C:\Users\Nomatin\Documents\Altium\MY_LIB\MY_LIB\Datasheets\YAGEO_RC_L.pdf</x:v>
      </x:c>
      <x:c xmlns:x="http://schemas.openxmlformats.org/spreadsheetml/2006/main" r="W70" t="str" s="11">
        <x:v>Даташит — производитель</x:v>
      </x:c>
      <x:c xmlns:x="http://schemas.openxmlformats.org/spreadsheetml/2006/main" r="X70" t="str" s="11">
        <x:v>https://yageogroup.com/content/datasheet/asset/file/PYU-RC_GROUP_51_ROHS_L</x:v>
      </x:c>
      <x:c xmlns:x="http://schemas.openxmlformats.org/spreadsheetml/2006/main" r="Y70" t="str" s="11">
        <x:v>C:\Users\Nomatin\Documents\Altium\MY_LIB\MY_LIB\Datasheets\YAGEO_RC_L.pdf</x:v>
      </x:c>
      <ns0:c xmlns:ns0="http://schemas.openxmlformats.org/spreadsheetml/2006/main" r="Z70" s="16" t="inlineStr">
        <ns0:is>
          <ns0:t>MY_LIB_R_TCR</ns0:t>
        </ns0:is>
      </ns0:c>
      <ns0:c xmlns:ns0="http://schemas.openxmlformats.org/spreadsheetml/2006/main" r="AA70" s="16" t="inlineStr">
        <ns0:is>
          <ns0:t>R(T), +100 ppm/C at 25 C; positive datasheet limit</ns0:t>
        </ns0:is>
      </ns0:c>
      <ns0:c xmlns:ns0="http://schemas.openxmlformats.org/spreadsheetml/2006/main" r="AB70" s="16" t="str">
        <ns0:v>General</ns0:v>
      </ns0:c>
      <ns0:c xmlns:ns0="http://schemas.openxmlformats.org/spreadsheetml/2006/main" r="AC70" s="16" t="inlineStr">
        <ns0:is>
          <ns0:t>Spice Subcircuit</ns0:t>
        </ns0:is>
      </ns0:c>
      <ns0:c xmlns:ns0="http://schemas.openxmlformats.org/spreadsheetml/2006/main" r="AD70" s="16" t="inlineStr">
        <ns0:is>
          <ns0:t>@DESIGNATOR %1 %2 @MODEL PARAMS: Rvalue=@VALUE TC1value=100u</ns0:t>
        </ns0:is>
      </ns0:c>
      <ns0:c xmlns:ns0="http://schemas.openxmlformats.org/spreadsheetml/2006/main" r="AE70" s="16" t="inlineStr">
        <ns0:is>
          <ns0:t>X</ns0:t>
        </ns0:is>
      </ns0:c>
      <ns0:c xmlns:ns0="http://schemas.openxmlformats.org/spreadsheetml/2006/main" r="AF70" s="16" t="str">
        <ns0:v>(1:1),(2:2)</ns0:v>
      </ns0:c>
      <ns0:c xmlns:ns0="http://schemas.openxmlformats.org/spreadsheetml/2006/main" r="AG70" s="16" t="inlineStr">
        <ns0:is>
          <ns0:t>Simulation\Resistors\MY_LIB_R_TCR.ckt</ns0:t>
        </ns0:is>
      </ns0:c>
      <ns0:c xmlns:ns0="http://schemas.openxmlformats.org/spreadsheetml/2006/main" r="AH70" s="16" t="inlineStr">
        <ns0:is>
          <ns0:t>±100 ppm/°C</ns0:t>
        </ns0:is>
      </ns0:c>
    </ns0:row>
    <ns0:row r="71" ht="30" customHeight="1">
      <ns0:c r="A71" t="str" s="10">
        <ns0:v>R0077</ns0:v>
      </ns0:c>
      <ns0:c r="B71" t="str" s="10">
        <ns0:v>Резистор</ns0:v>
      </ns0:c>
      <ns0:c r="C71" t="str" s="10">
        <ns0:v>680R</ns0:v>
      </ns0:c>
      <ns0:c r="D71" t="str" s="11">
        <ns0:f>SUBSTITUTE(SUBSTITUTE(SUBSTITUTE(SUBSTITUTE(C71,"meg"," МОм"),"k"," кОм"),"R"," Ом"),".",",")</ns0:f>
        <ns0:v>680 Ом</ns0:v>
      </ns0:c>
      <ns0:c r="E71" t="str" s="10">
        <ns0:v>±5%</ns0:v>
      </ns0:c>
      <ns0:c r="F71" t="str" s="10">
        <ns0:v>0,1 Вт</ns0:v>
      </ns0:c>
      <ns0:c r="G71" t="str" s="10">
        <ns0:v>75 В макс.</ns0:v>
      </ns0:c>
      <ns0:c r="H71" t="str" s="12">
        <ns0:v>0603</ns0:v>
      </ns0:c>
      <ns0:c r="I71" t="str" s="10">
        <ns0:v>YAGEO</ns0:v>
      </ns0:c>
      <ns0:c r="J71" t="str" s="10">
        <ns0:v>RC0603JR-07680RL</ns0:v>
      </ns0:c>
      <ns0:c r="K71" t="str" s="11">
        <ns0:f>B71&amp;" "&amp;D71&amp;" "&amp;E71&amp;" "&amp;H71</ns0:f>
        <ns0:v>Резистор 680 Ом ±5% 0603</ns0:v>
      </ns0:c>
      <ns0:c r="L71" t="str" s="13">
        <ns0:v>R</ns0:v>
      </ns0:c>
      <ns0:c r="M71" t="str" s="13">
        <ns0:v>Symbols\MY_LIB_Resistors.SchLib</ns0:v>
      </ns0:c>
      <ns0:c r="N71" t="str" s="13">
        <ns0:v>RESC1608X55N</ns0:v>
      </ns0:c>
      <ns0:c r="O71" t="str" s="13">
        <ns0:v>Footprints\PBL - SMD Packages.PcbLib</ns0:v>
      </ns0:c>
      <ns0:c xmlns:ns0="http://schemas.openxmlformats.org/spreadsheetml/2006/main" r="P7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1" s="10"/>
      <ns0:c r="R71" t="str" s="11">
        <ns0:f>D71</ns0:f>
        <ns0:v>680 Ом</ns0:v>
      </ns0:c>
      <ns0:c r="S71" t="str" s="11">
        <ns0:f>K71</ns0:f>
        <ns0:v>Резистор 680 Ом ±5% 0603</ns0:v>
      </ns0:c>
      <x:c xmlns:x="http://schemas.openxmlformats.org/spreadsheetml/2006/main" r="T71" t="str" s="11">
        <x:v>C:\Users\Nomatin\Documents\Altium\MY_LIB\MY_LIB\Datasheets\YAGEO_RC_L.pdf</x:v>
      </x:c>
      <x:c xmlns:x="http://schemas.openxmlformats.org/spreadsheetml/2006/main" r="U71" t="str" s="11">
        <x:v>Даташит — локальный</x:v>
      </x:c>
      <x:c xmlns:x="http://schemas.openxmlformats.org/spreadsheetml/2006/main" r="V71" t="str" s="11">
        <x:v>C:\Users\Nomatin\Documents\Altium\MY_LIB\MY_LIB\Datasheets\YAGEO_RC_L.pdf</x:v>
      </x:c>
      <x:c xmlns:x="http://schemas.openxmlformats.org/spreadsheetml/2006/main" r="W71" t="str" s="11">
        <x:v>Даташит — производитель</x:v>
      </x:c>
      <x:c xmlns:x="http://schemas.openxmlformats.org/spreadsheetml/2006/main" r="X71" t="str" s="11">
        <x:v>https://yageogroup.com/content/datasheet/asset/file/PYU-RC_GROUP_51_ROHS_L</x:v>
      </x:c>
      <x:c xmlns:x="http://schemas.openxmlformats.org/spreadsheetml/2006/main" r="Y71" t="str" s="11">
        <x:v>C:\Users\Nomatin\Documents\Altium\MY_LIB\MY_LIB\Datasheets\YAGEO_RC_L.pdf</x:v>
      </x:c>
      <ns0:c xmlns:ns0="http://schemas.openxmlformats.org/spreadsheetml/2006/main" r="Z71" s="16" t="inlineStr">
        <ns0:is>
          <ns0:t>MY_LIB_R_TCR</ns0:t>
        </ns0:is>
      </ns0:c>
      <ns0:c xmlns:ns0="http://schemas.openxmlformats.org/spreadsheetml/2006/main" r="AA71" s="16" t="inlineStr">
        <ns0:is>
          <ns0:t>R(T), +100 ppm/C at 25 C; positive datasheet limit</ns0:t>
        </ns0:is>
      </ns0:c>
      <ns0:c xmlns:ns0="http://schemas.openxmlformats.org/spreadsheetml/2006/main" r="AB71" s="16" t="str">
        <ns0:v>General</ns0:v>
      </ns0:c>
      <ns0:c xmlns:ns0="http://schemas.openxmlformats.org/spreadsheetml/2006/main" r="AC71" s="16" t="inlineStr">
        <ns0:is>
          <ns0:t>Spice Subcircuit</ns0:t>
        </ns0:is>
      </ns0:c>
      <ns0:c xmlns:ns0="http://schemas.openxmlformats.org/spreadsheetml/2006/main" r="AD71" s="16" t="inlineStr">
        <ns0:is>
          <ns0:t>@DESIGNATOR %1 %2 @MODEL PARAMS: Rvalue=@VALUE TC1value=100u</ns0:t>
        </ns0:is>
      </ns0:c>
      <ns0:c xmlns:ns0="http://schemas.openxmlformats.org/spreadsheetml/2006/main" r="AE71" s="16" t="inlineStr">
        <ns0:is>
          <ns0:t>X</ns0:t>
        </ns0:is>
      </ns0:c>
      <ns0:c xmlns:ns0="http://schemas.openxmlformats.org/spreadsheetml/2006/main" r="AF71" s="16" t="str">
        <ns0:v>(1:1),(2:2)</ns0:v>
      </ns0:c>
      <ns0:c xmlns:ns0="http://schemas.openxmlformats.org/spreadsheetml/2006/main" r="AG71" s="16" t="inlineStr">
        <ns0:is>
          <ns0:t>Simulation\Resistors\MY_LIB_R_TCR.ckt</ns0:t>
        </ns0:is>
      </ns0:c>
      <ns0:c xmlns:ns0="http://schemas.openxmlformats.org/spreadsheetml/2006/main" r="AH71" s="16" t="inlineStr">
        <ns0:is>
          <ns0:t>±100 ppm/°C</ns0:t>
        </ns0:is>
      </ns0:c>
    </ns0:row>
    <ns0:row r="72" ht="30" customHeight="1">
      <ns0:c r="A72" t="str" s="10">
        <ns0:v>R0078</ns0:v>
      </ns0:c>
      <ns0:c r="B72" t="str" s="10">
        <ns0:v>Резистор</ns0:v>
      </ns0:c>
      <ns0:c r="C72" t="str" s="10">
        <ns0:v>750R</ns0:v>
      </ns0:c>
      <ns0:c r="D72" t="str" s="11">
        <ns0:f>SUBSTITUTE(SUBSTITUTE(SUBSTITUTE(SUBSTITUTE(C72,"meg"," МОм"),"k"," кОм"),"R"," Ом"),".",",")</ns0:f>
        <ns0:v>750 Ом</ns0:v>
      </ns0:c>
      <ns0:c r="E72" t="str" s="10">
        <ns0:v>±5%</ns0:v>
      </ns0:c>
      <ns0:c r="F72" t="str" s="10">
        <ns0:v>0,1 Вт</ns0:v>
      </ns0:c>
      <ns0:c r="G72" t="str" s="10">
        <ns0:v>75 В макс.</ns0:v>
      </ns0:c>
      <ns0:c r="H72" t="str" s="12">
        <ns0:v>0603</ns0:v>
      </ns0:c>
      <ns0:c r="I72" t="str" s="10">
        <ns0:v>YAGEO</ns0:v>
      </ns0:c>
      <ns0:c r="J72" t="str" s="10">
        <ns0:v>RC0603JR-07750RL</ns0:v>
      </ns0:c>
      <ns0:c r="K72" t="str" s="11">
        <ns0:f>B72&amp;" "&amp;D72&amp;" "&amp;E72&amp;" "&amp;H72</ns0:f>
        <ns0:v>Резистор 750 Ом ±5% 0603</ns0:v>
      </ns0:c>
      <ns0:c r="L72" t="str" s="13">
        <ns0:v>R</ns0:v>
      </ns0:c>
      <ns0:c r="M72" t="str" s="13">
        <ns0:v>Symbols\MY_LIB_Resistors.SchLib</ns0:v>
      </ns0:c>
      <ns0:c r="N72" t="str" s="13">
        <ns0:v>RESC1608X55N</ns0:v>
      </ns0:c>
      <ns0:c r="O72" t="str" s="13">
        <ns0:v>Footprints\PBL - SMD Packages.PcbLib</ns0:v>
      </ns0:c>
      <ns0:c xmlns:ns0="http://schemas.openxmlformats.org/spreadsheetml/2006/main" r="P7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2" s="10"/>
      <ns0:c r="R72" t="str" s="11">
        <ns0:f>D72</ns0:f>
        <ns0:v>750 Ом</ns0:v>
      </ns0:c>
      <ns0:c r="S72" t="str" s="11">
        <ns0:f>K72</ns0:f>
        <ns0:v>Резистор 750 Ом ±5% 0603</ns0:v>
      </ns0:c>
      <x:c xmlns:x="http://schemas.openxmlformats.org/spreadsheetml/2006/main" r="T72" t="str" s="11">
        <x:v>C:\Users\Nomatin\Documents\Altium\MY_LIB\MY_LIB\Datasheets\YAGEO_RC_L.pdf</x:v>
      </x:c>
      <x:c xmlns:x="http://schemas.openxmlformats.org/spreadsheetml/2006/main" r="U72" t="str" s="11">
        <x:v>Даташит — локальный</x:v>
      </x:c>
      <x:c xmlns:x="http://schemas.openxmlformats.org/spreadsheetml/2006/main" r="V72" t="str" s="11">
        <x:v>C:\Users\Nomatin\Documents\Altium\MY_LIB\MY_LIB\Datasheets\YAGEO_RC_L.pdf</x:v>
      </x:c>
      <x:c xmlns:x="http://schemas.openxmlformats.org/spreadsheetml/2006/main" r="W72" t="str" s="11">
        <x:v>Даташит — производитель</x:v>
      </x:c>
      <x:c xmlns:x="http://schemas.openxmlformats.org/spreadsheetml/2006/main" r="X72" t="str" s="11">
        <x:v>https://yageogroup.com/content/datasheet/asset/file/PYU-RC_GROUP_51_ROHS_L</x:v>
      </x:c>
      <x:c xmlns:x="http://schemas.openxmlformats.org/spreadsheetml/2006/main" r="Y72" t="str" s="11">
        <x:v>C:\Users\Nomatin\Documents\Altium\MY_LIB\MY_LIB\Datasheets\YAGEO_RC_L.pdf</x:v>
      </x:c>
      <ns0:c xmlns:ns0="http://schemas.openxmlformats.org/spreadsheetml/2006/main" r="Z72" s="16" t="inlineStr">
        <ns0:is>
          <ns0:t>MY_LIB_R_TCR</ns0:t>
        </ns0:is>
      </ns0:c>
      <ns0:c xmlns:ns0="http://schemas.openxmlformats.org/spreadsheetml/2006/main" r="AA72" s="16" t="inlineStr">
        <ns0:is>
          <ns0:t>R(T), +100 ppm/C at 25 C; positive datasheet limit</ns0:t>
        </ns0:is>
      </ns0:c>
      <ns0:c xmlns:ns0="http://schemas.openxmlformats.org/spreadsheetml/2006/main" r="AB72" s="16" t="str">
        <ns0:v>General</ns0:v>
      </ns0:c>
      <ns0:c xmlns:ns0="http://schemas.openxmlformats.org/spreadsheetml/2006/main" r="AC72" s="16" t="inlineStr">
        <ns0:is>
          <ns0:t>Spice Subcircuit</ns0:t>
        </ns0:is>
      </ns0:c>
      <ns0:c xmlns:ns0="http://schemas.openxmlformats.org/spreadsheetml/2006/main" r="AD72" s="16" t="inlineStr">
        <ns0:is>
          <ns0:t>@DESIGNATOR %1 %2 @MODEL PARAMS: Rvalue=@VALUE TC1value=100u</ns0:t>
        </ns0:is>
      </ns0:c>
      <ns0:c xmlns:ns0="http://schemas.openxmlformats.org/spreadsheetml/2006/main" r="AE72" s="16" t="inlineStr">
        <ns0:is>
          <ns0:t>X</ns0:t>
        </ns0:is>
      </ns0:c>
      <ns0:c xmlns:ns0="http://schemas.openxmlformats.org/spreadsheetml/2006/main" r="AF72" s="16" t="str">
        <ns0:v>(1:1),(2:2)</ns0:v>
      </ns0:c>
      <ns0:c xmlns:ns0="http://schemas.openxmlformats.org/spreadsheetml/2006/main" r="AG72" s="16" t="inlineStr">
        <ns0:is>
          <ns0:t>Simulation\Resistors\MY_LIB_R_TCR.ckt</ns0:t>
        </ns0:is>
      </ns0:c>
      <ns0:c xmlns:ns0="http://schemas.openxmlformats.org/spreadsheetml/2006/main" r="AH72" s="16" t="inlineStr">
        <ns0:is>
          <ns0:t>±100 ppm/°C</ns0:t>
        </ns0:is>
      </ns0:c>
    </ns0:row>
    <ns0:row r="73" ht="30" customHeight="1">
      <ns0:c r="A73" t="str" s="10">
        <ns0:v>R0079</ns0:v>
      </ns0:c>
      <ns0:c r="B73" t="str" s="10">
        <ns0:v>Резистор</ns0:v>
      </ns0:c>
      <ns0:c r="C73" t="str" s="10">
        <ns0:v>820R</ns0:v>
      </ns0:c>
      <ns0:c r="D73" t="str" s="11">
        <ns0:f>SUBSTITUTE(SUBSTITUTE(SUBSTITUTE(SUBSTITUTE(C73,"meg"," МОм"),"k"," кОм"),"R"," Ом"),".",",")</ns0:f>
        <ns0:v>820 Ом</ns0:v>
      </ns0:c>
      <ns0:c r="E73" t="str" s="10">
        <ns0:v>±5%</ns0:v>
      </ns0:c>
      <ns0:c r="F73" t="str" s="10">
        <ns0:v>0,1 Вт</ns0:v>
      </ns0:c>
      <ns0:c r="G73" t="str" s="10">
        <ns0:v>75 В макс.</ns0:v>
      </ns0:c>
      <ns0:c r="H73" t="str" s="12">
        <ns0:v>0603</ns0:v>
      </ns0:c>
      <ns0:c r="I73" t="str" s="10">
        <ns0:v>YAGEO</ns0:v>
      </ns0:c>
      <ns0:c r="J73" t="str" s="10">
        <ns0:v>RC0603JR-07820RL</ns0:v>
      </ns0:c>
      <ns0:c r="K73" t="str" s="11">
        <ns0:f>B73&amp;" "&amp;D73&amp;" "&amp;E73&amp;" "&amp;H73</ns0:f>
        <ns0:v>Резистор 820 Ом ±5% 0603</ns0:v>
      </ns0:c>
      <ns0:c r="L73" t="str" s="13">
        <ns0:v>R</ns0:v>
      </ns0:c>
      <ns0:c r="M73" t="str" s="13">
        <ns0:v>Symbols\MY_LIB_Resistors.SchLib</ns0:v>
      </ns0:c>
      <ns0:c r="N73" t="str" s="13">
        <ns0:v>RESC1608X55N</ns0:v>
      </ns0:c>
      <ns0:c r="O73" t="str" s="13">
        <ns0:v>Footprints\PBL - SMD Packages.PcbLib</ns0:v>
      </ns0:c>
      <ns0:c xmlns:ns0="http://schemas.openxmlformats.org/spreadsheetml/2006/main" r="P7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3" s="10"/>
      <ns0:c r="R73" t="str" s="11">
        <ns0:f>D73</ns0:f>
        <ns0:v>820 Ом</ns0:v>
      </ns0:c>
      <ns0:c r="S73" t="str" s="11">
        <ns0:f>K73</ns0:f>
        <ns0:v>Резистор 820 Ом ±5% 0603</ns0:v>
      </ns0:c>
      <x:c xmlns:x="http://schemas.openxmlformats.org/spreadsheetml/2006/main" r="T73" t="str" s="11">
        <x:v>C:\Users\Nomatin\Documents\Altium\MY_LIB\MY_LIB\Datasheets\YAGEO_RC_L.pdf</x:v>
      </x:c>
      <x:c xmlns:x="http://schemas.openxmlformats.org/spreadsheetml/2006/main" r="U73" t="str" s="11">
        <x:v>Даташит — локальный</x:v>
      </x:c>
      <x:c xmlns:x="http://schemas.openxmlformats.org/spreadsheetml/2006/main" r="V73" t="str" s="11">
        <x:v>C:\Users\Nomatin\Documents\Altium\MY_LIB\MY_LIB\Datasheets\YAGEO_RC_L.pdf</x:v>
      </x:c>
      <x:c xmlns:x="http://schemas.openxmlformats.org/spreadsheetml/2006/main" r="W73" t="str" s="11">
        <x:v>Даташит — производитель</x:v>
      </x:c>
      <x:c xmlns:x="http://schemas.openxmlformats.org/spreadsheetml/2006/main" r="X73" t="str" s="11">
        <x:v>https://yageogroup.com/content/datasheet/asset/file/PYU-RC_GROUP_51_ROHS_L</x:v>
      </x:c>
      <x:c xmlns:x="http://schemas.openxmlformats.org/spreadsheetml/2006/main" r="Y73" t="str" s="11">
        <x:v>C:\Users\Nomatin\Documents\Altium\MY_LIB\MY_LIB\Datasheets\YAGEO_RC_L.pdf</x:v>
      </x:c>
      <ns0:c xmlns:ns0="http://schemas.openxmlformats.org/spreadsheetml/2006/main" r="Z73" s="16" t="inlineStr">
        <ns0:is>
          <ns0:t>MY_LIB_R_TCR</ns0:t>
        </ns0:is>
      </ns0:c>
      <ns0:c xmlns:ns0="http://schemas.openxmlformats.org/spreadsheetml/2006/main" r="AA73" s="16" t="inlineStr">
        <ns0:is>
          <ns0:t>R(T), +100 ppm/C at 25 C; positive datasheet limit</ns0:t>
        </ns0:is>
      </ns0:c>
      <ns0:c xmlns:ns0="http://schemas.openxmlformats.org/spreadsheetml/2006/main" r="AB73" s="16" t="str">
        <ns0:v>General</ns0:v>
      </ns0:c>
      <ns0:c xmlns:ns0="http://schemas.openxmlformats.org/spreadsheetml/2006/main" r="AC73" s="16" t="inlineStr">
        <ns0:is>
          <ns0:t>Spice Subcircuit</ns0:t>
        </ns0:is>
      </ns0:c>
      <ns0:c xmlns:ns0="http://schemas.openxmlformats.org/spreadsheetml/2006/main" r="AD73" s="16" t="inlineStr">
        <ns0:is>
          <ns0:t>@DESIGNATOR %1 %2 @MODEL PARAMS: Rvalue=@VALUE TC1value=100u</ns0:t>
        </ns0:is>
      </ns0:c>
      <ns0:c xmlns:ns0="http://schemas.openxmlformats.org/spreadsheetml/2006/main" r="AE73" s="16" t="inlineStr">
        <ns0:is>
          <ns0:t>X</ns0:t>
        </ns0:is>
      </ns0:c>
      <ns0:c xmlns:ns0="http://schemas.openxmlformats.org/spreadsheetml/2006/main" r="AF73" s="16" t="str">
        <ns0:v>(1:1),(2:2)</ns0:v>
      </ns0:c>
      <ns0:c xmlns:ns0="http://schemas.openxmlformats.org/spreadsheetml/2006/main" r="AG73" s="16" t="inlineStr">
        <ns0:is>
          <ns0:t>Simulation\Resistors\MY_LIB_R_TCR.ckt</ns0:t>
        </ns0:is>
      </ns0:c>
      <ns0:c xmlns:ns0="http://schemas.openxmlformats.org/spreadsheetml/2006/main" r="AH73" s="16" t="inlineStr">
        <ns0:is>
          <ns0:t>±100 ppm/°C</ns0:t>
        </ns0:is>
      </ns0:c>
    </ns0:row>
    <ns0:row r="74" ht="30" customHeight="1">
      <ns0:c r="A74" t="str" s="10">
        <ns0:v>R0080</ns0:v>
      </ns0:c>
      <ns0:c r="B74" t="str" s="10">
        <ns0:v>Резистор</ns0:v>
      </ns0:c>
      <ns0:c r="C74" t="str" s="10">
        <ns0:v>910R</ns0:v>
      </ns0:c>
      <ns0:c r="D74" t="str" s="11">
        <ns0:f>SUBSTITUTE(SUBSTITUTE(SUBSTITUTE(SUBSTITUTE(C74,"meg"," МОм"),"k"," кОм"),"R"," Ом"),".",",")</ns0:f>
        <ns0:v>910 Ом</ns0:v>
      </ns0:c>
      <ns0:c r="E74" t="str" s="10">
        <ns0:v>±5%</ns0:v>
      </ns0:c>
      <ns0:c r="F74" t="str" s="10">
        <ns0:v>0,1 Вт</ns0:v>
      </ns0:c>
      <ns0:c r="G74" t="str" s="10">
        <ns0:v>75 В макс.</ns0:v>
      </ns0:c>
      <ns0:c r="H74" t="str" s="12">
        <ns0:v>0603</ns0:v>
      </ns0:c>
      <ns0:c r="I74" t="str" s="10">
        <ns0:v>YAGEO</ns0:v>
      </ns0:c>
      <ns0:c r="J74" t="str" s="10">
        <ns0:v>RC0603JR-07910RL</ns0:v>
      </ns0:c>
      <ns0:c r="K74" t="str" s="11">
        <ns0:f>B74&amp;" "&amp;D74&amp;" "&amp;E74&amp;" "&amp;H74</ns0:f>
        <ns0:v>Резистор 910 Ом ±5% 0603</ns0:v>
      </ns0:c>
      <ns0:c r="L74" t="str" s="13">
        <ns0:v>R</ns0:v>
      </ns0:c>
      <ns0:c r="M74" t="str" s="13">
        <ns0:v>Symbols\MY_LIB_Resistors.SchLib</ns0:v>
      </ns0:c>
      <ns0:c r="N74" t="str" s="13">
        <ns0:v>RESC1608X55N</ns0:v>
      </ns0:c>
      <ns0:c r="O74" t="str" s="13">
        <ns0:v>Footprints\PBL - SMD Packages.PcbLib</ns0:v>
      </ns0:c>
      <ns0:c xmlns:ns0="http://schemas.openxmlformats.org/spreadsheetml/2006/main" r="P7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4" s="10"/>
      <ns0:c r="R74" t="str" s="11">
        <ns0:f>D74</ns0:f>
        <ns0:v>910 Ом</ns0:v>
      </ns0:c>
      <ns0:c r="S74" t="str" s="11">
        <ns0:f>K74</ns0:f>
        <ns0:v>Резистор 910 Ом ±5% 0603</ns0:v>
      </ns0:c>
      <x:c xmlns:x="http://schemas.openxmlformats.org/spreadsheetml/2006/main" r="T74" t="str" s="11">
        <x:v>C:\Users\Nomatin\Documents\Altium\MY_LIB\MY_LIB\Datasheets\YAGEO_RC_L.pdf</x:v>
      </x:c>
      <x:c xmlns:x="http://schemas.openxmlformats.org/spreadsheetml/2006/main" r="U74" t="str" s="11">
        <x:v>Даташит — локальный</x:v>
      </x:c>
      <x:c xmlns:x="http://schemas.openxmlformats.org/spreadsheetml/2006/main" r="V74" t="str" s="11">
        <x:v>C:\Users\Nomatin\Documents\Altium\MY_LIB\MY_LIB\Datasheets\YAGEO_RC_L.pdf</x:v>
      </x:c>
      <x:c xmlns:x="http://schemas.openxmlformats.org/spreadsheetml/2006/main" r="W74" t="str" s="11">
        <x:v>Даташит — производитель</x:v>
      </x:c>
      <x:c xmlns:x="http://schemas.openxmlformats.org/spreadsheetml/2006/main" r="X74" t="str" s="11">
        <x:v>https://yageogroup.com/content/datasheet/asset/file/PYU-RC_GROUP_51_ROHS_L</x:v>
      </x:c>
      <x:c xmlns:x="http://schemas.openxmlformats.org/spreadsheetml/2006/main" r="Y74" t="str" s="11">
        <x:v>C:\Users\Nomatin\Documents\Altium\MY_LIB\MY_LIB\Datasheets\YAGEO_RC_L.pdf</x:v>
      </x:c>
      <ns0:c xmlns:ns0="http://schemas.openxmlformats.org/spreadsheetml/2006/main" r="Z74" s="16" t="inlineStr">
        <ns0:is>
          <ns0:t>MY_LIB_R_TCR</ns0:t>
        </ns0:is>
      </ns0:c>
      <ns0:c xmlns:ns0="http://schemas.openxmlformats.org/spreadsheetml/2006/main" r="AA74" s="16" t="inlineStr">
        <ns0:is>
          <ns0:t>R(T), +100 ppm/C at 25 C; positive datasheet limit</ns0:t>
        </ns0:is>
      </ns0:c>
      <ns0:c xmlns:ns0="http://schemas.openxmlformats.org/spreadsheetml/2006/main" r="AB74" s="16" t="str">
        <ns0:v>General</ns0:v>
      </ns0:c>
      <ns0:c xmlns:ns0="http://schemas.openxmlformats.org/spreadsheetml/2006/main" r="AC74" s="16" t="inlineStr">
        <ns0:is>
          <ns0:t>Spice Subcircuit</ns0:t>
        </ns0:is>
      </ns0:c>
      <ns0:c xmlns:ns0="http://schemas.openxmlformats.org/spreadsheetml/2006/main" r="AD74" s="16" t="inlineStr">
        <ns0:is>
          <ns0:t>@DESIGNATOR %1 %2 @MODEL PARAMS: Rvalue=@VALUE TC1value=100u</ns0:t>
        </ns0:is>
      </ns0:c>
      <ns0:c xmlns:ns0="http://schemas.openxmlformats.org/spreadsheetml/2006/main" r="AE74" s="16" t="inlineStr">
        <ns0:is>
          <ns0:t>X</ns0:t>
        </ns0:is>
      </ns0:c>
      <ns0:c xmlns:ns0="http://schemas.openxmlformats.org/spreadsheetml/2006/main" r="AF74" s="16" t="str">
        <ns0:v>(1:1),(2:2)</ns0:v>
      </ns0:c>
      <ns0:c xmlns:ns0="http://schemas.openxmlformats.org/spreadsheetml/2006/main" r="AG74" s="16" t="inlineStr">
        <ns0:is>
          <ns0:t>Simulation\Resistors\MY_LIB_R_TCR.ckt</ns0:t>
        </ns0:is>
      </ns0:c>
      <ns0:c xmlns:ns0="http://schemas.openxmlformats.org/spreadsheetml/2006/main" r="AH74" s="16" t="inlineStr">
        <ns0:is>
          <ns0:t>±100 ppm/°C</ns0:t>
        </ns0:is>
      </ns0:c>
    </ns0:row>
    <ns0:row r="75" ht="30" customHeight="1">
      <ns0:c r="A75" t="str" s="10">
        <ns0:v>R0081</ns0:v>
      </ns0:c>
      <ns0:c r="B75" t="str" s="10">
        <ns0:v>Резистор</ns0:v>
      </ns0:c>
      <ns0:c r="C75" t="str" s="10">
        <ns0:v>1k</ns0:v>
      </ns0:c>
      <ns0:c r="D75" t="str" s="11">
        <ns0:f>SUBSTITUTE(SUBSTITUTE(SUBSTITUTE(SUBSTITUTE(C75,"meg"," МОм"),"k"," кОм"),"R"," Ом"),".",",")</ns0:f>
        <ns0:v>1 кОм</ns0:v>
      </ns0:c>
      <ns0:c r="E75" t="str" s="10">
        <ns0:v>±5%</ns0:v>
      </ns0:c>
      <ns0:c r="F75" t="str" s="10">
        <ns0:v>0,1 Вт</ns0:v>
      </ns0:c>
      <ns0:c r="G75" t="str" s="10">
        <ns0:v>75 В макс.</ns0:v>
      </ns0:c>
      <ns0:c r="H75" t="str" s="12">
        <ns0:v>0603</ns0:v>
      </ns0:c>
      <ns0:c r="I75" t="str" s="10">
        <ns0:v>YAGEO</ns0:v>
      </ns0:c>
      <ns0:c r="J75" t="str" s="10">
        <ns0:v>RC0603JR-071KL</ns0:v>
      </ns0:c>
      <ns0:c r="K75" t="str" s="11">
        <ns0:f>B75&amp;" "&amp;D75&amp;" "&amp;E75&amp;" "&amp;H75</ns0:f>
        <ns0:v>Резистор 1 кОм ±5% 0603</ns0:v>
      </ns0:c>
      <ns0:c r="L75" t="str" s="13">
        <ns0:v>R</ns0:v>
      </ns0:c>
      <ns0:c r="M75" t="str" s="13">
        <ns0:v>Symbols\MY_LIB_Resistors.SchLib</ns0:v>
      </ns0:c>
      <ns0:c r="N75" t="str" s="13">
        <ns0:v>RESC1608X55N</ns0:v>
      </ns0:c>
      <ns0:c r="O75" t="str" s="13">
        <ns0:v>Footprints\PBL - SMD Packages.PcbLib</ns0:v>
      </ns0:c>
      <ns0:c xmlns:ns0="http://schemas.openxmlformats.org/spreadsheetml/2006/main" r="P7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5" s="10"/>
      <ns0:c r="R75" t="str" s="11">
        <ns0:f>D75</ns0:f>
        <ns0:v>1 кОм</ns0:v>
      </ns0:c>
      <ns0:c r="S75" t="str" s="11">
        <ns0:f>K75</ns0:f>
        <ns0:v>Резистор 1 кОм ±5% 0603</ns0:v>
      </ns0:c>
      <x:c xmlns:x="http://schemas.openxmlformats.org/spreadsheetml/2006/main" r="T75" t="str" s="11">
        <x:v>C:\Users\Nomatin\Documents\Altium\MY_LIB\MY_LIB\Datasheets\YAGEO_RC_L.pdf</x:v>
      </x:c>
      <x:c xmlns:x="http://schemas.openxmlformats.org/spreadsheetml/2006/main" r="U75" t="str" s="11">
        <x:v>Даташит — локальный</x:v>
      </x:c>
      <x:c xmlns:x="http://schemas.openxmlformats.org/spreadsheetml/2006/main" r="V75" t="str" s="11">
        <x:v>C:\Users\Nomatin\Documents\Altium\MY_LIB\MY_LIB\Datasheets\YAGEO_RC_L.pdf</x:v>
      </x:c>
      <x:c xmlns:x="http://schemas.openxmlformats.org/spreadsheetml/2006/main" r="W75" t="str" s="11">
        <x:v>Даташит — производитель</x:v>
      </x:c>
      <x:c xmlns:x="http://schemas.openxmlformats.org/spreadsheetml/2006/main" r="X75" t="str" s="11">
        <x:v>https://yageogroup.com/content/datasheet/asset/file/PYU-RC_GROUP_51_ROHS_L</x:v>
      </x:c>
      <x:c xmlns:x="http://schemas.openxmlformats.org/spreadsheetml/2006/main" r="Y75" t="str" s="11">
        <x:v>C:\Users\Nomatin\Documents\Altium\MY_LIB\MY_LIB\Datasheets\YAGEO_RC_L.pdf</x:v>
      </x:c>
      <ns0:c xmlns:ns0="http://schemas.openxmlformats.org/spreadsheetml/2006/main" r="Z75" s="16" t="inlineStr">
        <ns0:is>
          <ns0:t>MY_LIB_R_TCR</ns0:t>
        </ns0:is>
      </ns0:c>
      <ns0:c xmlns:ns0="http://schemas.openxmlformats.org/spreadsheetml/2006/main" r="AA75" s="16" t="inlineStr">
        <ns0:is>
          <ns0:t>R(T), +100 ppm/C at 25 C; positive datasheet limit</ns0:t>
        </ns0:is>
      </ns0:c>
      <ns0:c xmlns:ns0="http://schemas.openxmlformats.org/spreadsheetml/2006/main" r="AB75" s="16" t="str">
        <ns0:v>General</ns0:v>
      </ns0:c>
      <ns0:c xmlns:ns0="http://schemas.openxmlformats.org/spreadsheetml/2006/main" r="AC75" s="16" t="inlineStr">
        <ns0:is>
          <ns0:t>Spice Subcircuit</ns0:t>
        </ns0:is>
      </ns0:c>
      <ns0:c xmlns:ns0="http://schemas.openxmlformats.org/spreadsheetml/2006/main" r="AD75" s="16" t="inlineStr">
        <ns0:is>
          <ns0:t>@DESIGNATOR %1 %2 @MODEL PARAMS: Rvalue=@VALUE TC1value=100u</ns0:t>
        </ns0:is>
      </ns0:c>
      <ns0:c xmlns:ns0="http://schemas.openxmlformats.org/spreadsheetml/2006/main" r="AE75" s="16" t="inlineStr">
        <ns0:is>
          <ns0:t>X</ns0:t>
        </ns0:is>
      </ns0:c>
      <ns0:c xmlns:ns0="http://schemas.openxmlformats.org/spreadsheetml/2006/main" r="AF75" s="16" t="str">
        <ns0:v>(1:1),(2:2)</ns0:v>
      </ns0:c>
      <ns0:c xmlns:ns0="http://schemas.openxmlformats.org/spreadsheetml/2006/main" r="AG75" s="16" t="inlineStr">
        <ns0:is>
          <ns0:t>Simulation\Resistors\MY_LIB_R_TCR.ckt</ns0:t>
        </ns0:is>
      </ns0:c>
      <ns0:c xmlns:ns0="http://schemas.openxmlformats.org/spreadsheetml/2006/main" r="AH75" s="16" t="inlineStr">
        <ns0:is>
          <ns0:t>±100 ppm/°C</ns0:t>
        </ns0:is>
      </ns0:c>
    </ns0:row>
    <ns0:row r="76" ht="30" customHeight="1">
      <ns0:c r="A76" t="str" s="10">
        <ns0:v>R0082</ns0:v>
      </ns0:c>
      <ns0:c r="B76" t="str" s="10">
        <ns0:v>Резистор</ns0:v>
      </ns0:c>
      <ns0:c r="C76" t="str" s="10">
        <ns0:v>1.1k</ns0:v>
      </ns0:c>
      <ns0:c r="D76" t="str" s="11">
        <ns0:f>SUBSTITUTE(SUBSTITUTE(SUBSTITUTE(SUBSTITUTE(C76,"meg"," МОм"),"k"," кОм"),"R"," Ом"),".",",")</ns0:f>
        <ns0:v>1,1 кОм</ns0:v>
      </ns0:c>
      <ns0:c r="E76" t="str" s="10">
        <ns0:v>±5%</ns0:v>
      </ns0:c>
      <ns0:c r="F76" t="str" s="10">
        <ns0:v>0,1 Вт</ns0:v>
      </ns0:c>
      <ns0:c r="G76" t="str" s="10">
        <ns0:v>75 В макс.</ns0:v>
      </ns0:c>
      <ns0:c r="H76" t="str" s="12">
        <ns0:v>0603</ns0:v>
      </ns0:c>
      <ns0:c r="I76" t="str" s="10">
        <ns0:v>YAGEO</ns0:v>
      </ns0:c>
      <ns0:c r="J76" t="str" s="10">
        <ns0:v>RC0603JR-071K1L</ns0:v>
      </ns0:c>
      <ns0:c r="K76" t="str" s="11">
        <ns0:f>B76&amp;" "&amp;D76&amp;" "&amp;E76&amp;" "&amp;H76</ns0:f>
        <ns0:v>Резистор 1,1 кОм ±5% 0603</ns0:v>
      </ns0:c>
      <ns0:c r="L76" t="str" s="13">
        <ns0:v>R</ns0:v>
      </ns0:c>
      <ns0:c r="M76" t="str" s="13">
        <ns0:v>Symbols\MY_LIB_Resistors.SchLib</ns0:v>
      </ns0:c>
      <ns0:c r="N76" t="str" s="13">
        <ns0:v>RESC1608X55N</ns0:v>
      </ns0:c>
      <ns0:c r="O76" t="str" s="13">
        <ns0:v>Footprints\PBL - SMD Packages.PcbLib</ns0:v>
      </ns0:c>
      <ns0:c xmlns:ns0="http://schemas.openxmlformats.org/spreadsheetml/2006/main" r="P7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6" s="10"/>
      <ns0:c r="R76" t="str" s="11">
        <ns0:f>D76</ns0:f>
        <ns0:v>1,1 кОм</ns0:v>
      </ns0:c>
      <ns0:c r="S76" t="str" s="11">
        <ns0:f>K76</ns0:f>
        <ns0:v>Резистор 1,1 кОм ±5% 0603</ns0:v>
      </ns0:c>
      <x:c xmlns:x="http://schemas.openxmlformats.org/spreadsheetml/2006/main" r="T76" t="str" s="11">
        <x:v>C:\Users\Nomatin\Documents\Altium\MY_LIB\MY_LIB\Datasheets\YAGEO_RC_L.pdf</x:v>
      </x:c>
      <x:c xmlns:x="http://schemas.openxmlformats.org/spreadsheetml/2006/main" r="U76" t="str" s="11">
        <x:v>Даташит — локальный</x:v>
      </x:c>
      <x:c xmlns:x="http://schemas.openxmlformats.org/spreadsheetml/2006/main" r="V76" t="str" s="11">
        <x:v>C:\Users\Nomatin\Documents\Altium\MY_LIB\MY_LIB\Datasheets\YAGEO_RC_L.pdf</x:v>
      </x:c>
      <x:c xmlns:x="http://schemas.openxmlformats.org/spreadsheetml/2006/main" r="W76" t="str" s="11">
        <x:v>Даташит — производитель</x:v>
      </x:c>
      <x:c xmlns:x="http://schemas.openxmlformats.org/spreadsheetml/2006/main" r="X76" t="str" s="11">
        <x:v>https://yageogroup.com/content/datasheet/asset/file/PYU-RC_GROUP_51_ROHS_L</x:v>
      </x:c>
      <x:c xmlns:x="http://schemas.openxmlformats.org/spreadsheetml/2006/main" r="Y76" t="str" s="11">
        <x:v>C:\Users\Nomatin\Documents\Altium\MY_LIB\MY_LIB\Datasheets\YAGEO_RC_L.pdf</x:v>
      </x:c>
      <ns0:c xmlns:ns0="http://schemas.openxmlformats.org/spreadsheetml/2006/main" r="Z76" s="16" t="inlineStr">
        <ns0:is>
          <ns0:t>MY_LIB_R_TCR</ns0:t>
        </ns0:is>
      </ns0:c>
      <ns0:c xmlns:ns0="http://schemas.openxmlformats.org/spreadsheetml/2006/main" r="AA76" s="16" t="inlineStr">
        <ns0:is>
          <ns0:t>R(T), +100 ppm/C at 25 C; positive datasheet limit</ns0:t>
        </ns0:is>
      </ns0:c>
      <ns0:c xmlns:ns0="http://schemas.openxmlformats.org/spreadsheetml/2006/main" r="AB76" s="16" t="str">
        <ns0:v>General</ns0:v>
      </ns0:c>
      <ns0:c xmlns:ns0="http://schemas.openxmlformats.org/spreadsheetml/2006/main" r="AC76" s="16" t="inlineStr">
        <ns0:is>
          <ns0:t>Spice Subcircuit</ns0:t>
        </ns0:is>
      </ns0:c>
      <ns0:c xmlns:ns0="http://schemas.openxmlformats.org/spreadsheetml/2006/main" r="AD76" s="16" t="inlineStr">
        <ns0:is>
          <ns0:t>@DESIGNATOR %1 %2 @MODEL PARAMS: Rvalue=@VALUE TC1value=100u</ns0:t>
        </ns0:is>
      </ns0:c>
      <ns0:c xmlns:ns0="http://schemas.openxmlformats.org/spreadsheetml/2006/main" r="AE76" s="16" t="inlineStr">
        <ns0:is>
          <ns0:t>X</ns0:t>
        </ns0:is>
      </ns0:c>
      <ns0:c xmlns:ns0="http://schemas.openxmlformats.org/spreadsheetml/2006/main" r="AF76" s="16" t="str">
        <ns0:v>(1:1),(2:2)</ns0:v>
      </ns0:c>
      <ns0:c xmlns:ns0="http://schemas.openxmlformats.org/spreadsheetml/2006/main" r="AG76" s="16" t="inlineStr">
        <ns0:is>
          <ns0:t>Simulation\Resistors\MY_LIB_R_TCR.ckt</ns0:t>
        </ns0:is>
      </ns0:c>
      <ns0:c xmlns:ns0="http://schemas.openxmlformats.org/spreadsheetml/2006/main" r="AH76" s="16" t="inlineStr">
        <ns0:is>
          <ns0:t>±100 ppm/°C</ns0:t>
        </ns0:is>
      </ns0:c>
    </ns0:row>
    <ns0:row r="77" ht="30" customHeight="1">
      <ns0:c r="A77" t="str" s="10">
        <ns0:v>R0083</ns0:v>
      </ns0:c>
      <ns0:c r="B77" t="str" s="10">
        <ns0:v>Резистор</ns0:v>
      </ns0:c>
      <ns0:c r="C77" t="str" s="10">
        <ns0:v>1.2k</ns0:v>
      </ns0:c>
      <ns0:c r="D77" t="str" s="11">
        <ns0:f>SUBSTITUTE(SUBSTITUTE(SUBSTITUTE(SUBSTITUTE(C77,"meg"," МОм"),"k"," кОм"),"R"," Ом"),".",",")</ns0:f>
        <ns0:v>1,2 кОм</ns0:v>
      </ns0:c>
      <ns0:c r="E77" t="str" s="10">
        <ns0:v>±5%</ns0:v>
      </ns0:c>
      <ns0:c r="F77" t="str" s="10">
        <ns0:v>0,1 Вт</ns0:v>
      </ns0:c>
      <ns0:c r="G77" t="str" s="10">
        <ns0:v>75 В макс.</ns0:v>
      </ns0:c>
      <ns0:c r="H77" t="str" s="12">
        <ns0:v>0603</ns0:v>
      </ns0:c>
      <ns0:c r="I77" t="str" s="10">
        <ns0:v>YAGEO</ns0:v>
      </ns0:c>
      <ns0:c r="J77" t="str" s="10">
        <ns0:v>RC0603JR-071K2L</ns0:v>
      </ns0:c>
      <ns0:c r="K77" t="str" s="11">
        <ns0:f>B77&amp;" "&amp;D77&amp;" "&amp;E77&amp;" "&amp;H77</ns0:f>
        <ns0:v>Резистор 1,2 кОм ±5% 0603</ns0:v>
      </ns0:c>
      <ns0:c r="L77" t="str" s="13">
        <ns0:v>R</ns0:v>
      </ns0:c>
      <ns0:c r="M77" t="str" s="13">
        <ns0:v>Symbols\MY_LIB_Resistors.SchLib</ns0:v>
      </ns0:c>
      <ns0:c r="N77" t="str" s="13">
        <ns0:v>RESC1608X55N</ns0:v>
      </ns0:c>
      <ns0:c r="O77" t="str" s="13">
        <ns0:v>Footprints\PBL - SMD Packages.PcbLib</ns0:v>
      </ns0:c>
      <ns0:c xmlns:ns0="http://schemas.openxmlformats.org/spreadsheetml/2006/main" r="P7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7" s="10"/>
      <ns0:c r="R77" t="str" s="11">
        <ns0:f>D77</ns0:f>
        <ns0:v>1,2 кОм</ns0:v>
      </ns0:c>
      <ns0:c r="S77" t="str" s="11">
        <ns0:f>K77</ns0:f>
        <ns0:v>Резистор 1,2 кОм ±5% 0603</ns0:v>
      </ns0:c>
      <x:c xmlns:x="http://schemas.openxmlformats.org/spreadsheetml/2006/main" r="T77" t="str" s="11">
        <x:v>C:\Users\Nomatin\Documents\Altium\MY_LIB\MY_LIB\Datasheets\YAGEO_RC_L.pdf</x:v>
      </x:c>
      <x:c xmlns:x="http://schemas.openxmlformats.org/spreadsheetml/2006/main" r="U77" t="str" s="11">
        <x:v>Даташит — локальный</x:v>
      </x:c>
      <x:c xmlns:x="http://schemas.openxmlformats.org/spreadsheetml/2006/main" r="V77" t="str" s="11">
        <x:v>C:\Users\Nomatin\Documents\Altium\MY_LIB\MY_LIB\Datasheets\YAGEO_RC_L.pdf</x:v>
      </x:c>
      <x:c xmlns:x="http://schemas.openxmlformats.org/spreadsheetml/2006/main" r="W77" t="str" s="11">
        <x:v>Даташит — производитель</x:v>
      </x:c>
      <x:c xmlns:x="http://schemas.openxmlformats.org/spreadsheetml/2006/main" r="X77" t="str" s="11">
        <x:v>https://yageogroup.com/content/datasheet/asset/file/PYU-RC_GROUP_51_ROHS_L</x:v>
      </x:c>
      <x:c xmlns:x="http://schemas.openxmlformats.org/spreadsheetml/2006/main" r="Y77" t="str" s="11">
        <x:v>C:\Users\Nomatin\Documents\Altium\MY_LIB\MY_LIB\Datasheets\YAGEO_RC_L.pdf</x:v>
      </x:c>
      <ns0:c xmlns:ns0="http://schemas.openxmlformats.org/spreadsheetml/2006/main" r="Z77" s="16" t="inlineStr">
        <ns0:is>
          <ns0:t>MY_LIB_R_TCR</ns0:t>
        </ns0:is>
      </ns0:c>
      <ns0:c xmlns:ns0="http://schemas.openxmlformats.org/spreadsheetml/2006/main" r="AA77" s="16" t="inlineStr">
        <ns0:is>
          <ns0:t>R(T), +100 ppm/C at 25 C; positive datasheet limit</ns0:t>
        </ns0:is>
      </ns0:c>
      <ns0:c xmlns:ns0="http://schemas.openxmlformats.org/spreadsheetml/2006/main" r="AB77" s="16" t="str">
        <ns0:v>General</ns0:v>
      </ns0:c>
      <ns0:c xmlns:ns0="http://schemas.openxmlformats.org/spreadsheetml/2006/main" r="AC77" s="16" t="inlineStr">
        <ns0:is>
          <ns0:t>Spice Subcircuit</ns0:t>
        </ns0:is>
      </ns0:c>
      <ns0:c xmlns:ns0="http://schemas.openxmlformats.org/spreadsheetml/2006/main" r="AD77" s="16" t="inlineStr">
        <ns0:is>
          <ns0:t>@DESIGNATOR %1 %2 @MODEL PARAMS: Rvalue=@VALUE TC1value=100u</ns0:t>
        </ns0:is>
      </ns0:c>
      <ns0:c xmlns:ns0="http://schemas.openxmlformats.org/spreadsheetml/2006/main" r="AE77" s="16" t="inlineStr">
        <ns0:is>
          <ns0:t>X</ns0:t>
        </ns0:is>
      </ns0:c>
      <ns0:c xmlns:ns0="http://schemas.openxmlformats.org/spreadsheetml/2006/main" r="AF77" s="16" t="str">
        <ns0:v>(1:1),(2:2)</ns0:v>
      </ns0:c>
      <ns0:c xmlns:ns0="http://schemas.openxmlformats.org/spreadsheetml/2006/main" r="AG77" s="16" t="inlineStr">
        <ns0:is>
          <ns0:t>Simulation\Resistors\MY_LIB_R_TCR.ckt</ns0:t>
        </ns0:is>
      </ns0:c>
      <ns0:c xmlns:ns0="http://schemas.openxmlformats.org/spreadsheetml/2006/main" r="AH77" s="16" t="inlineStr">
        <ns0:is>
          <ns0:t>±100 ppm/°C</ns0:t>
        </ns0:is>
      </ns0:c>
    </ns0:row>
    <ns0:row r="78" ht="30" customHeight="1">
      <ns0:c r="A78" t="str" s="10">
        <ns0:v>R0084</ns0:v>
      </ns0:c>
      <ns0:c r="B78" t="str" s="10">
        <ns0:v>Резистор</ns0:v>
      </ns0:c>
      <ns0:c r="C78" t="str" s="10">
        <ns0:v>1.3k</ns0:v>
      </ns0:c>
      <ns0:c r="D78" t="str" s="11">
        <ns0:f>SUBSTITUTE(SUBSTITUTE(SUBSTITUTE(SUBSTITUTE(C78,"meg"," МОм"),"k"," кОм"),"R"," Ом"),".",",")</ns0:f>
        <ns0:v>1,3 кОм</ns0:v>
      </ns0:c>
      <ns0:c r="E78" t="str" s="10">
        <ns0:v>±5%</ns0:v>
      </ns0:c>
      <ns0:c r="F78" t="str" s="10">
        <ns0:v>0,1 Вт</ns0:v>
      </ns0:c>
      <ns0:c r="G78" t="str" s="10">
        <ns0:v>75 В макс.</ns0:v>
      </ns0:c>
      <ns0:c r="H78" t="str" s="12">
        <ns0:v>0603</ns0:v>
      </ns0:c>
      <ns0:c r="I78" t="str" s="10">
        <ns0:v>YAGEO</ns0:v>
      </ns0:c>
      <ns0:c r="J78" t="str" s="10">
        <ns0:v>RC0603JR-071K3L</ns0:v>
      </ns0:c>
      <ns0:c r="K78" t="str" s="11">
        <ns0:f>B78&amp;" "&amp;D78&amp;" "&amp;E78&amp;" "&amp;H78</ns0:f>
        <ns0:v>Резистор 1,3 кОм ±5% 0603</ns0:v>
      </ns0:c>
      <ns0:c r="L78" t="str" s="13">
        <ns0:v>R</ns0:v>
      </ns0:c>
      <ns0:c r="M78" t="str" s="13">
        <ns0:v>Symbols\MY_LIB_Resistors.SchLib</ns0:v>
      </ns0:c>
      <ns0:c r="N78" t="str" s="13">
        <ns0:v>RESC1608X55N</ns0:v>
      </ns0:c>
      <ns0:c r="O78" t="str" s="13">
        <ns0:v>Footprints\PBL - SMD Packages.PcbLib</ns0:v>
      </ns0:c>
      <ns0:c xmlns:ns0="http://schemas.openxmlformats.org/spreadsheetml/2006/main" r="P7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8" s="10"/>
      <ns0:c r="R78" t="str" s="11">
        <ns0:f>D78</ns0:f>
        <ns0:v>1,3 кОм</ns0:v>
      </ns0:c>
      <ns0:c r="S78" t="str" s="11">
        <ns0:f>K78</ns0:f>
        <ns0:v>Резистор 1,3 кОм ±5% 0603</ns0:v>
      </ns0:c>
      <x:c xmlns:x="http://schemas.openxmlformats.org/spreadsheetml/2006/main" r="T78" t="str" s="11">
        <x:v>C:\Users\Nomatin\Documents\Altium\MY_LIB\MY_LIB\Datasheets\YAGEO_RC_L.pdf</x:v>
      </x:c>
      <x:c xmlns:x="http://schemas.openxmlformats.org/spreadsheetml/2006/main" r="U78" t="str" s="11">
        <x:v>Даташит — локальный</x:v>
      </x:c>
      <x:c xmlns:x="http://schemas.openxmlformats.org/spreadsheetml/2006/main" r="V78" t="str" s="11">
        <x:v>C:\Users\Nomatin\Documents\Altium\MY_LIB\MY_LIB\Datasheets\YAGEO_RC_L.pdf</x:v>
      </x:c>
      <x:c xmlns:x="http://schemas.openxmlformats.org/spreadsheetml/2006/main" r="W78" t="str" s="11">
        <x:v>Даташит — производитель</x:v>
      </x:c>
      <x:c xmlns:x="http://schemas.openxmlformats.org/spreadsheetml/2006/main" r="X78" t="str" s="11">
        <x:v>https://yageogroup.com/content/datasheet/asset/file/PYU-RC_GROUP_51_ROHS_L</x:v>
      </x:c>
      <x:c xmlns:x="http://schemas.openxmlformats.org/spreadsheetml/2006/main" r="Y78" t="str" s="11">
        <x:v>C:\Users\Nomatin\Documents\Altium\MY_LIB\MY_LIB\Datasheets\YAGEO_RC_L.pdf</x:v>
      </x:c>
      <ns0:c xmlns:ns0="http://schemas.openxmlformats.org/spreadsheetml/2006/main" r="Z78" s="16" t="inlineStr">
        <ns0:is>
          <ns0:t>MY_LIB_R_TCR</ns0:t>
        </ns0:is>
      </ns0:c>
      <ns0:c xmlns:ns0="http://schemas.openxmlformats.org/spreadsheetml/2006/main" r="AA78" s="16" t="inlineStr">
        <ns0:is>
          <ns0:t>R(T), +100 ppm/C at 25 C; positive datasheet limit</ns0:t>
        </ns0:is>
      </ns0:c>
      <ns0:c xmlns:ns0="http://schemas.openxmlformats.org/spreadsheetml/2006/main" r="AB78" s="16" t="str">
        <ns0:v>General</ns0:v>
      </ns0:c>
      <ns0:c xmlns:ns0="http://schemas.openxmlformats.org/spreadsheetml/2006/main" r="AC78" s="16" t="inlineStr">
        <ns0:is>
          <ns0:t>Spice Subcircuit</ns0:t>
        </ns0:is>
      </ns0:c>
      <ns0:c xmlns:ns0="http://schemas.openxmlformats.org/spreadsheetml/2006/main" r="AD78" s="16" t="inlineStr">
        <ns0:is>
          <ns0:t>@DESIGNATOR %1 %2 @MODEL PARAMS: Rvalue=@VALUE TC1value=100u</ns0:t>
        </ns0:is>
      </ns0:c>
      <ns0:c xmlns:ns0="http://schemas.openxmlformats.org/spreadsheetml/2006/main" r="AE78" s="16" t="inlineStr">
        <ns0:is>
          <ns0:t>X</ns0:t>
        </ns0:is>
      </ns0:c>
      <ns0:c xmlns:ns0="http://schemas.openxmlformats.org/spreadsheetml/2006/main" r="AF78" s="16" t="str">
        <ns0:v>(1:1),(2:2)</ns0:v>
      </ns0:c>
      <ns0:c xmlns:ns0="http://schemas.openxmlformats.org/spreadsheetml/2006/main" r="AG78" s="16" t="inlineStr">
        <ns0:is>
          <ns0:t>Simulation\Resistors\MY_LIB_R_TCR.ckt</ns0:t>
        </ns0:is>
      </ns0:c>
      <ns0:c xmlns:ns0="http://schemas.openxmlformats.org/spreadsheetml/2006/main" r="AH78" s="16" t="inlineStr">
        <ns0:is>
          <ns0:t>±100 ppm/°C</ns0:t>
        </ns0:is>
      </ns0:c>
    </ns0:row>
    <ns0:row r="79" ht="30" customHeight="1">
      <ns0:c r="A79" t="str" s="10">
        <ns0:v>R0085</ns0:v>
      </ns0:c>
      <ns0:c r="B79" t="str" s="10">
        <ns0:v>Резистор</ns0:v>
      </ns0:c>
      <ns0:c r="C79" t="str" s="10">
        <ns0:v>1.5k</ns0:v>
      </ns0:c>
      <ns0:c r="D79" t="str" s="11">
        <ns0:f>SUBSTITUTE(SUBSTITUTE(SUBSTITUTE(SUBSTITUTE(C79,"meg"," МОм"),"k"," кОм"),"R"," Ом"),".",",")</ns0:f>
        <ns0:v>1,5 кОм</ns0:v>
      </ns0:c>
      <ns0:c r="E79" t="str" s="10">
        <ns0:v>±5%</ns0:v>
      </ns0:c>
      <ns0:c r="F79" t="str" s="10">
        <ns0:v>0,1 Вт</ns0:v>
      </ns0:c>
      <ns0:c r="G79" t="str" s="10">
        <ns0:v>75 В макс.</ns0:v>
      </ns0:c>
      <ns0:c r="H79" t="str" s="12">
        <ns0:v>0603</ns0:v>
      </ns0:c>
      <ns0:c r="I79" t="str" s="10">
        <ns0:v>YAGEO</ns0:v>
      </ns0:c>
      <ns0:c r="J79" t="str" s="10">
        <ns0:v>RC0603JR-071K5L</ns0:v>
      </ns0:c>
      <ns0:c r="K79" t="str" s="11">
        <ns0:f>B79&amp;" "&amp;D79&amp;" "&amp;E79&amp;" "&amp;H79</ns0:f>
        <ns0:v>Резистор 1,5 кОм ±5% 0603</ns0:v>
      </ns0:c>
      <ns0:c r="L79" t="str" s="13">
        <ns0:v>R</ns0:v>
      </ns0:c>
      <ns0:c r="M79" t="str" s="13">
        <ns0:v>Symbols\MY_LIB_Resistors.SchLib</ns0:v>
      </ns0:c>
      <ns0:c r="N79" t="str" s="13">
        <ns0:v>RESC1608X55N</ns0:v>
      </ns0:c>
      <ns0:c r="O79" t="str" s="13">
        <ns0:v>Footprints\PBL - SMD Packages.PcbLib</ns0:v>
      </ns0:c>
      <ns0:c xmlns:ns0="http://schemas.openxmlformats.org/spreadsheetml/2006/main" r="P7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79" s="10"/>
      <ns0:c r="R79" t="str" s="11">
        <ns0:f>D79</ns0:f>
        <ns0:v>1,5 кОм</ns0:v>
      </ns0:c>
      <ns0:c r="S79" t="str" s="11">
        <ns0:f>K79</ns0:f>
        <ns0:v>Резистор 1,5 кОм ±5% 0603</ns0:v>
      </ns0:c>
      <x:c xmlns:x="http://schemas.openxmlformats.org/spreadsheetml/2006/main" r="T79" t="str" s="11">
        <x:v>C:\Users\Nomatin\Documents\Altium\MY_LIB\MY_LIB\Datasheets\YAGEO_RC_L.pdf</x:v>
      </x:c>
      <x:c xmlns:x="http://schemas.openxmlformats.org/spreadsheetml/2006/main" r="U79" t="str" s="11">
        <x:v>Даташит — локальный</x:v>
      </x:c>
      <x:c xmlns:x="http://schemas.openxmlformats.org/spreadsheetml/2006/main" r="V79" t="str" s="11">
        <x:v>C:\Users\Nomatin\Documents\Altium\MY_LIB\MY_LIB\Datasheets\YAGEO_RC_L.pdf</x:v>
      </x:c>
      <x:c xmlns:x="http://schemas.openxmlformats.org/spreadsheetml/2006/main" r="W79" t="str" s="11">
        <x:v>Даташит — производитель</x:v>
      </x:c>
      <x:c xmlns:x="http://schemas.openxmlformats.org/spreadsheetml/2006/main" r="X79" t="str" s="11">
        <x:v>https://yageogroup.com/content/datasheet/asset/file/PYU-RC_GROUP_51_ROHS_L</x:v>
      </x:c>
      <x:c xmlns:x="http://schemas.openxmlformats.org/spreadsheetml/2006/main" r="Y79" t="str" s="11">
        <x:v>C:\Users\Nomatin\Documents\Altium\MY_LIB\MY_LIB\Datasheets\YAGEO_RC_L.pdf</x:v>
      </x:c>
      <ns0:c xmlns:ns0="http://schemas.openxmlformats.org/spreadsheetml/2006/main" r="Z79" s="16" t="inlineStr">
        <ns0:is>
          <ns0:t>MY_LIB_R_TCR</ns0:t>
        </ns0:is>
      </ns0:c>
      <ns0:c xmlns:ns0="http://schemas.openxmlformats.org/spreadsheetml/2006/main" r="AA79" s="16" t="inlineStr">
        <ns0:is>
          <ns0:t>R(T), +100 ppm/C at 25 C; positive datasheet limit</ns0:t>
        </ns0:is>
      </ns0:c>
      <ns0:c xmlns:ns0="http://schemas.openxmlformats.org/spreadsheetml/2006/main" r="AB79" s="16" t="str">
        <ns0:v>General</ns0:v>
      </ns0:c>
      <ns0:c xmlns:ns0="http://schemas.openxmlformats.org/spreadsheetml/2006/main" r="AC79" s="16" t="inlineStr">
        <ns0:is>
          <ns0:t>Spice Subcircuit</ns0:t>
        </ns0:is>
      </ns0:c>
      <ns0:c xmlns:ns0="http://schemas.openxmlformats.org/spreadsheetml/2006/main" r="AD79" s="16" t="inlineStr">
        <ns0:is>
          <ns0:t>@DESIGNATOR %1 %2 @MODEL PARAMS: Rvalue=@VALUE TC1value=100u</ns0:t>
        </ns0:is>
      </ns0:c>
      <ns0:c xmlns:ns0="http://schemas.openxmlformats.org/spreadsheetml/2006/main" r="AE79" s="16" t="inlineStr">
        <ns0:is>
          <ns0:t>X</ns0:t>
        </ns0:is>
      </ns0:c>
      <ns0:c xmlns:ns0="http://schemas.openxmlformats.org/spreadsheetml/2006/main" r="AF79" s="16" t="str">
        <ns0:v>(1:1),(2:2)</ns0:v>
      </ns0:c>
      <ns0:c xmlns:ns0="http://schemas.openxmlformats.org/spreadsheetml/2006/main" r="AG79" s="16" t="inlineStr">
        <ns0:is>
          <ns0:t>Simulation\Resistors\MY_LIB_R_TCR.ckt</ns0:t>
        </ns0:is>
      </ns0:c>
      <ns0:c xmlns:ns0="http://schemas.openxmlformats.org/spreadsheetml/2006/main" r="AH79" s="16" t="inlineStr">
        <ns0:is>
          <ns0:t>±100 ppm/°C</ns0:t>
        </ns0:is>
      </ns0:c>
    </ns0:row>
    <ns0:row r="80" ht="30" customHeight="1">
      <ns0:c r="A80" t="str" s="10">
        <ns0:v>R0086</ns0:v>
      </ns0:c>
      <ns0:c r="B80" t="str" s="10">
        <ns0:v>Резистор</ns0:v>
      </ns0:c>
      <ns0:c r="C80" t="str" s="10">
        <ns0:v>1.6k</ns0:v>
      </ns0:c>
      <ns0:c r="D80" t="str" s="11">
        <ns0:f>SUBSTITUTE(SUBSTITUTE(SUBSTITUTE(SUBSTITUTE(C80,"meg"," МОм"),"k"," кОм"),"R"," Ом"),".",",")</ns0:f>
        <ns0:v>1,6 кОм</ns0:v>
      </ns0:c>
      <ns0:c r="E80" t="str" s="10">
        <ns0:v>±5%</ns0:v>
      </ns0:c>
      <ns0:c r="F80" t="str" s="10">
        <ns0:v>0,1 Вт</ns0:v>
      </ns0:c>
      <ns0:c r="G80" t="str" s="10">
        <ns0:v>75 В макс.</ns0:v>
      </ns0:c>
      <ns0:c r="H80" t="str" s="12">
        <ns0:v>0603</ns0:v>
      </ns0:c>
      <ns0:c r="I80" t="str" s="10">
        <ns0:v>YAGEO</ns0:v>
      </ns0:c>
      <ns0:c r="J80" t="str" s="10">
        <ns0:v>RC0603JR-071K6L</ns0:v>
      </ns0:c>
      <ns0:c r="K80" t="str" s="11">
        <ns0:f>B80&amp;" "&amp;D80&amp;" "&amp;E80&amp;" "&amp;H80</ns0:f>
        <ns0:v>Резистор 1,6 кОм ±5% 0603</ns0:v>
      </ns0:c>
      <ns0:c r="L80" t="str" s="13">
        <ns0:v>R</ns0:v>
      </ns0:c>
      <ns0:c r="M80" t="str" s="13">
        <ns0:v>Symbols\MY_LIB_Resistors.SchLib</ns0:v>
      </ns0:c>
      <ns0:c r="N80" t="str" s="13">
        <ns0:v>RESC1608X55N</ns0:v>
      </ns0:c>
      <ns0:c r="O80" t="str" s="13">
        <ns0:v>Footprints\PBL - SMD Packages.PcbLib</ns0:v>
      </ns0:c>
      <ns0:c xmlns:ns0="http://schemas.openxmlformats.org/spreadsheetml/2006/main" r="P8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0" s="10"/>
      <ns0:c r="R80" t="str" s="11">
        <ns0:f>D80</ns0:f>
        <ns0:v>1,6 кОм</ns0:v>
      </ns0:c>
      <ns0:c r="S80" t="str" s="11">
        <ns0:f>K80</ns0:f>
        <ns0:v>Резистор 1,6 кОм ±5% 0603</ns0:v>
      </ns0:c>
      <x:c xmlns:x="http://schemas.openxmlformats.org/spreadsheetml/2006/main" r="T80" t="str" s="11">
        <x:v>C:\Users\Nomatin\Documents\Altium\MY_LIB\MY_LIB\Datasheets\YAGEO_RC_L.pdf</x:v>
      </x:c>
      <x:c xmlns:x="http://schemas.openxmlformats.org/spreadsheetml/2006/main" r="U80" t="str" s="11">
        <x:v>Даташит — локальный</x:v>
      </x:c>
      <x:c xmlns:x="http://schemas.openxmlformats.org/spreadsheetml/2006/main" r="V80" t="str" s="11">
        <x:v>C:\Users\Nomatin\Documents\Altium\MY_LIB\MY_LIB\Datasheets\YAGEO_RC_L.pdf</x:v>
      </x:c>
      <x:c xmlns:x="http://schemas.openxmlformats.org/spreadsheetml/2006/main" r="W80" t="str" s="11">
        <x:v>Даташит — производитель</x:v>
      </x:c>
      <x:c xmlns:x="http://schemas.openxmlformats.org/spreadsheetml/2006/main" r="X80" t="str" s="11">
        <x:v>https://yageogroup.com/content/datasheet/asset/file/PYU-RC_GROUP_51_ROHS_L</x:v>
      </x:c>
      <x:c xmlns:x="http://schemas.openxmlformats.org/spreadsheetml/2006/main" r="Y80" t="str" s="11">
        <x:v>C:\Users\Nomatin\Documents\Altium\MY_LIB\MY_LIB\Datasheets\YAGEO_RC_L.pdf</x:v>
      </x:c>
      <ns0:c xmlns:ns0="http://schemas.openxmlformats.org/spreadsheetml/2006/main" r="Z80" s="16" t="inlineStr">
        <ns0:is>
          <ns0:t>MY_LIB_R_TCR</ns0:t>
        </ns0:is>
      </ns0:c>
      <ns0:c xmlns:ns0="http://schemas.openxmlformats.org/spreadsheetml/2006/main" r="AA80" s="16" t="inlineStr">
        <ns0:is>
          <ns0:t>R(T), +100 ppm/C at 25 C; positive datasheet limit</ns0:t>
        </ns0:is>
      </ns0:c>
      <ns0:c xmlns:ns0="http://schemas.openxmlformats.org/spreadsheetml/2006/main" r="AB80" s="16" t="str">
        <ns0:v>General</ns0:v>
      </ns0:c>
      <ns0:c xmlns:ns0="http://schemas.openxmlformats.org/spreadsheetml/2006/main" r="AC80" s="16" t="inlineStr">
        <ns0:is>
          <ns0:t>Spice Subcircuit</ns0:t>
        </ns0:is>
      </ns0:c>
      <ns0:c xmlns:ns0="http://schemas.openxmlformats.org/spreadsheetml/2006/main" r="AD80" s="16" t="inlineStr">
        <ns0:is>
          <ns0:t>@DESIGNATOR %1 %2 @MODEL PARAMS: Rvalue=@VALUE TC1value=100u</ns0:t>
        </ns0:is>
      </ns0:c>
      <ns0:c xmlns:ns0="http://schemas.openxmlformats.org/spreadsheetml/2006/main" r="AE80" s="16" t="inlineStr">
        <ns0:is>
          <ns0:t>X</ns0:t>
        </ns0:is>
      </ns0:c>
      <ns0:c xmlns:ns0="http://schemas.openxmlformats.org/spreadsheetml/2006/main" r="AF80" s="16" t="str">
        <ns0:v>(1:1),(2:2)</ns0:v>
      </ns0:c>
      <ns0:c xmlns:ns0="http://schemas.openxmlformats.org/spreadsheetml/2006/main" r="AG80" s="16" t="inlineStr">
        <ns0:is>
          <ns0:t>Simulation\Resistors\MY_LIB_R_TCR.ckt</ns0:t>
        </ns0:is>
      </ns0:c>
      <ns0:c xmlns:ns0="http://schemas.openxmlformats.org/spreadsheetml/2006/main" r="AH80" s="16" t="inlineStr">
        <ns0:is>
          <ns0:t>±100 ppm/°C</ns0:t>
        </ns0:is>
      </ns0:c>
    </ns0:row>
    <ns0:row r="81" ht="30" customHeight="1">
      <ns0:c r="A81" t="str" s="10">
        <ns0:v>R0087</ns0:v>
      </ns0:c>
      <ns0:c r="B81" t="str" s="10">
        <ns0:v>Резистор</ns0:v>
      </ns0:c>
      <ns0:c r="C81" t="str" s="10">
        <ns0:v>1.8k</ns0:v>
      </ns0:c>
      <ns0:c r="D81" t="str" s="11">
        <ns0:f>SUBSTITUTE(SUBSTITUTE(SUBSTITUTE(SUBSTITUTE(C81,"meg"," МОм"),"k"," кОм"),"R"," Ом"),".",",")</ns0:f>
        <ns0:v>1,8 кОм</ns0:v>
      </ns0:c>
      <ns0:c r="E81" t="str" s="10">
        <ns0:v>±5%</ns0:v>
      </ns0:c>
      <ns0:c r="F81" t="str" s="10">
        <ns0:v>0,1 Вт</ns0:v>
      </ns0:c>
      <ns0:c r="G81" t="str" s="10">
        <ns0:v>75 В макс.</ns0:v>
      </ns0:c>
      <ns0:c r="H81" t="str" s="12">
        <ns0:v>0603</ns0:v>
      </ns0:c>
      <ns0:c r="I81" t="str" s="10">
        <ns0:v>YAGEO</ns0:v>
      </ns0:c>
      <ns0:c r="J81" t="str" s="10">
        <ns0:v>RC0603JR-071K8L</ns0:v>
      </ns0:c>
      <ns0:c r="K81" t="str" s="11">
        <ns0:f>B81&amp;" "&amp;D81&amp;" "&amp;E81&amp;" "&amp;H81</ns0:f>
        <ns0:v>Резистор 1,8 кОм ±5% 0603</ns0:v>
      </ns0:c>
      <ns0:c r="L81" t="str" s="13">
        <ns0:v>R</ns0:v>
      </ns0:c>
      <ns0:c r="M81" t="str" s="13">
        <ns0:v>Symbols\MY_LIB_Resistors.SchLib</ns0:v>
      </ns0:c>
      <ns0:c r="N81" t="str" s="13">
        <ns0:v>RESC1608X55N</ns0:v>
      </ns0:c>
      <ns0:c r="O81" t="str" s="13">
        <ns0:v>Footprints\PBL - SMD Packages.PcbLib</ns0:v>
      </ns0:c>
      <ns0:c xmlns:ns0="http://schemas.openxmlformats.org/spreadsheetml/2006/main" r="P8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1" s="10"/>
      <ns0:c r="R81" t="str" s="11">
        <ns0:f>D81</ns0:f>
        <ns0:v>1,8 кОм</ns0:v>
      </ns0:c>
      <ns0:c r="S81" t="str" s="11">
        <ns0:f>K81</ns0:f>
        <ns0:v>Резистор 1,8 кОм ±5% 0603</ns0:v>
      </ns0:c>
      <x:c xmlns:x="http://schemas.openxmlformats.org/spreadsheetml/2006/main" r="T81" t="str" s="11">
        <x:v>C:\Users\Nomatin\Documents\Altium\MY_LIB\MY_LIB\Datasheets\YAGEO_RC_L.pdf</x:v>
      </x:c>
      <x:c xmlns:x="http://schemas.openxmlformats.org/spreadsheetml/2006/main" r="U81" t="str" s="11">
        <x:v>Даташит — локальный</x:v>
      </x:c>
      <x:c xmlns:x="http://schemas.openxmlformats.org/spreadsheetml/2006/main" r="V81" t="str" s="11">
        <x:v>C:\Users\Nomatin\Documents\Altium\MY_LIB\MY_LIB\Datasheets\YAGEO_RC_L.pdf</x:v>
      </x:c>
      <x:c xmlns:x="http://schemas.openxmlformats.org/spreadsheetml/2006/main" r="W81" t="str" s="11">
        <x:v>Даташит — производитель</x:v>
      </x:c>
      <x:c xmlns:x="http://schemas.openxmlformats.org/spreadsheetml/2006/main" r="X81" t="str" s="11">
        <x:v>https://yageogroup.com/content/datasheet/asset/file/PYU-RC_GROUP_51_ROHS_L</x:v>
      </x:c>
      <x:c xmlns:x="http://schemas.openxmlformats.org/spreadsheetml/2006/main" r="Y81" t="str" s="11">
        <x:v>C:\Users\Nomatin\Documents\Altium\MY_LIB\MY_LIB\Datasheets\YAGEO_RC_L.pdf</x:v>
      </x:c>
      <ns0:c xmlns:ns0="http://schemas.openxmlformats.org/spreadsheetml/2006/main" r="Z81" s="16" t="inlineStr">
        <ns0:is>
          <ns0:t>MY_LIB_R_TCR</ns0:t>
        </ns0:is>
      </ns0:c>
      <ns0:c xmlns:ns0="http://schemas.openxmlformats.org/spreadsheetml/2006/main" r="AA81" s="16" t="inlineStr">
        <ns0:is>
          <ns0:t>R(T), +100 ppm/C at 25 C; positive datasheet limit</ns0:t>
        </ns0:is>
      </ns0:c>
      <ns0:c xmlns:ns0="http://schemas.openxmlformats.org/spreadsheetml/2006/main" r="AB81" s="16" t="str">
        <ns0:v>General</ns0:v>
      </ns0:c>
      <ns0:c xmlns:ns0="http://schemas.openxmlformats.org/spreadsheetml/2006/main" r="AC81" s="16" t="inlineStr">
        <ns0:is>
          <ns0:t>Spice Subcircuit</ns0:t>
        </ns0:is>
      </ns0:c>
      <ns0:c xmlns:ns0="http://schemas.openxmlformats.org/spreadsheetml/2006/main" r="AD81" s="16" t="inlineStr">
        <ns0:is>
          <ns0:t>@DESIGNATOR %1 %2 @MODEL PARAMS: Rvalue=@VALUE TC1value=100u</ns0:t>
        </ns0:is>
      </ns0:c>
      <ns0:c xmlns:ns0="http://schemas.openxmlformats.org/spreadsheetml/2006/main" r="AE81" s="16" t="inlineStr">
        <ns0:is>
          <ns0:t>X</ns0:t>
        </ns0:is>
      </ns0:c>
      <ns0:c xmlns:ns0="http://schemas.openxmlformats.org/spreadsheetml/2006/main" r="AF81" s="16" t="str">
        <ns0:v>(1:1),(2:2)</ns0:v>
      </ns0:c>
      <ns0:c xmlns:ns0="http://schemas.openxmlformats.org/spreadsheetml/2006/main" r="AG81" s="16" t="inlineStr">
        <ns0:is>
          <ns0:t>Simulation\Resistors\MY_LIB_R_TCR.ckt</ns0:t>
        </ns0:is>
      </ns0:c>
      <ns0:c xmlns:ns0="http://schemas.openxmlformats.org/spreadsheetml/2006/main" r="AH81" s="16" t="inlineStr">
        <ns0:is>
          <ns0:t>±100 ppm/°C</ns0:t>
        </ns0:is>
      </ns0:c>
    </ns0:row>
    <ns0:row r="82" ht="30" customHeight="1">
      <ns0:c r="A82" t="str" s="10">
        <ns0:v>R0088</ns0:v>
      </ns0:c>
      <ns0:c r="B82" t="str" s="10">
        <ns0:v>Резистор</ns0:v>
      </ns0:c>
      <ns0:c r="C82" t="str" s="10">
        <ns0:v>2k</ns0:v>
      </ns0:c>
      <ns0:c r="D82" t="str" s="11">
        <ns0:f>SUBSTITUTE(SUBSTITUTE(SUBSTITUTE(SUBSTITUTE(C82,"meg"," МОм"),"k"," кОм"),"R"," Ом"),".",",")</ns0:f>
        <ns0:v>2 кОм</ns0:v>
      </ns0:c>
      <ns0:c r="E82" t="str" s="10">
        <ns0:v>±5%</ns0:v>
      </ns0:c>
      <ns0:c r="F82" t="str" s="10">
        <ns0:v>0,1 Вт</ns0:v>
      </ns0:c>
      <ns0:c r="G82" t="str" s="10">
        <ns0:v>75 В макс.</ns0:v>
      </ns0:c>
      <ns0:c r="H82" t="str" s="12">
        <ns0:v>0603</ns0:v>
      </ns0:c>
      <ns0:c r="I82" t="str" s="10">
        <ns0:v>YAGEO</ns0:v>
      </ns0:c>
      <ns0:c r="J82" t="str" s="10">
        <ns0:v>RC0603JR-072KL</ns0:v>
      </ns0:c>
      <ns0:c r="K82" t="str" s="11">
        <ns0:f>B82&amp;" "&amp;D82&amp;" "&amp;E82&amp;" "&amp;H82</ns0:f>
        <ns0:v>Резистор 2 кОм ±5% 0603</ns0:v>
      </ns0:c>
      <ns0:c r="L82" t="str" s="13">
        <ns0:v>R</ns0:v>
      </ns0:c>
      <ns0:c r="M82" t="str" s="13">
        <ns0:v>Symbols\MY_LIB_Resistors.SchLib</ns0:v>
      </ns0:c>
      <ns0:c r="N82" t="str" s="13">
        <ns0:v>RESC1608X55N</ns0:v>
      </ns0:c>
      <ns0:c r="O82" t="str" s="13">
        <ns0:v>Footprints\PBL - SMD Packages.PcbLib</ns0:v>
      </ns0:c>
      <ns0:c xmlns:ns0="http://schemas.openxmlformats.org/spreadsheetml/2006/main" r="P8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2" s="10"/>
      <ns0:c r="R82" t="str" s="11">
        <ns0:f>D82</ns0:f>
        <ns0:v>2 кОм</ns0:v>
      </ns0:c>
      <ns0:c r="S82" t="str" s="11">
        <ns0:f>K82</ns0:f>
        <ns0:v>Резистор 2 кОм ±5% 0603</ns0:v>
      </ns0:c>
      <x:c xmlns:x="http://schemas.openxmlformats.org/spreadsheetml/2006/main" r="T82" t="str" s="11">
        <x:v>C:\Users\Nomatin\Documents\Altium\MY_LIB\MY_LIB\Datasheets\YAGEO_RC_L.pdf</x:v>
      </x:c>
      <x:c xmlns:x="http://schemas.openxmlformats.org/spreadsheetml/2006/main" r="U82" t="str" s="11">
        <x:v>Даташит — локальный</x:v>
      </x:c>
      <x:c xmlns:x="http://schemas.openxmlformats.org/spreadsheetml/2006/main" r="V82" t="str" s="11">
        <x:v>C:\Users\Nomatin\Documents\Altium\MY_LIB\MY_LIB\Datasheets\YAGEO_RC_L.pdf</x:v>
      </x:c>
      <x:c xmlns:x="http://schemas.openxmlformats.org/spreadsheetml/2006/main" r="W82" t="str" s="11">
        <x:v>Даташит — производитель</x:v>
      </x:c>
      <x:c xmlns:x="http://schemas.openxmlformats.org/spreadsheetml/2006/main" r="X82" t="str" s="11">
        <x:v>https://yageogroup.com/content/datasheet/asset/file/PYU-RC_GROUP_51_ROHS_L</x:v>
      </x:c>
      <x:c xmlns:x="http://schemas.openxmlformats.org/spreadsheetml/2006/main" r="Y82" t="str" s="11">
        <x:v>C:\Users\Nomatin\Documents\Altium\MY_LIB\MY_LIB\Datasheets\YAGEO_RC_L.pdf</x:v>
      </x:c>
      <ns0:c xmlns:ns0="http://schemas.openxmlformats.org/spreadsheetml/2006/main" r="Z82" s="16" t="inlineStr">
        <ns0:is>
          <ns0:t>MY_LIB_R_TCR</ns0:t>
        </ns0:is>
      </ns0:c>
      <ns0:c xmlns:ns0="http://schemas.openxmlformats.org/spreadsheetml/2006/main" r="AA82" s="16" t="inlineStr">
        <ns0:is>
          <ns0:t>R(T), +100 ppm/C at 25 C; positive datasheet limit</ns0:t>
        </ns0:is>
      </ns0:c>
      <ns0:c xmlns:ns0="http://schemas.openxmlformats.org/spreadsheetml/2006/main" r="AB82" s="16" t="str">
        <ns0:v>General</ns0:v>
      </ns0:c>
      <ns0:c xmlns:ns0="http://schemas.openxmlformats.org/spreadsheetml/2006/main" r="AC82" s="16" t="inlineStr">
        <ns0:is>
          <ns0:t>Spice Subcircuit</ns0:t>
        </ns0:is>
      </ns0:c>
      <ns0:c xmlns:ns0="http://schemas.openxmlformats.org/spreadsheetml/2006/main" r="AD82" s="16" t="inlineStr">
        <ns0:is>
          <ns0:t>@DESIGNATOR %1 %2 @MODEL PARAMS: Rvalue=@VALUE TC1value=100u</ns0:t>
        </ns0:is>
      </ns0:c>
      <ns0:c xmlns:ns0="http://schemas.openxmlformats.org/spreadsheetml/2006/main" r="AE82" s="16" t="inlineStr">
        <ns0:is>
          <ns0:t>X</ns0:t>
        </ns0:is>
      </ns0:c>
      <ns0:c xmlns:ns0="http://schemas.openxmlformats.org/spreadsheetml/2006/main" r="AF82" s="16" t="str">
        <ns0:v>(1:1),(2:2)</ns0:v>
      </ns0:c>
      <ns0:c xmlns:ns0="http://schemas.openxmlformats.org/spreadsheetml/2006/main" r="AG82" s="16" t="inlineStr">
        <ns0:is>
          <ns0:t>Simulation\Resistors\MY_LIB_R_TCR.ckt</ns0:t>
        </ns0:is>
      </ns0:c>
      <ns0:c xmlns:ns0="http://schemas.openxmlformats.org/spreadsheetml/2006/main" r="AH82" s="16" t="inlineStr">
        <ns0:is>
          <ns0:t>±100 ppm/°C</ns0:t>
        </ns0:is>
      </ns0:c>
    </ns0:row>
    <ns0:row r="83" ht="30" customHeight="1">
      <ns0:c r="A83" t="str" s="10">
        <ns0:v>R0089</ns0:v>
      </ns0:c>
      <ns0:c r="B83" t="str" s="10">
        <ns0:v>Резистор</ns0:v>
      </ns0:c>
      <ns0:c r="C83" t="str" s="10">
        <ns0:v>2.2k</ns0:v>
      </ns0:c>
      <ns0:c r="D83" t="str" s="11">
        <ns0:f>SUBSTITUTE(SUBSTITUTE(SUBSTITUTE(SUBSTITUTE(C83,"meg"," МОм"),"k"," кОм"),"R"," Ом"),".",",")</ns0:f>
        <ns0:v>2,2 кОм</ns0:v>
      </ns0:c>
      <ns0:c r="E83" t="str" s="10">
        <ns0:v>±5%</ns0:v>
      </ns0:c>
      <ns0:c r="F83" t="str" s="10">
        <ns0:v>0,1 Вт</ns0:v>
      </ns0:c>
      <ns0:c r="G83" t="str" s="10">
        <ns0:v>75 В макс.</ns0:v>
      </ns0:c>
      <ns0:c r="H83" t="str" s="12">
        <ns0:v>0603</ns0:v>
      </ns0:c>
      <ns0:c r="I83" t="str" s="10">
        <ns0:v>YAGEO</ns0:v>
      </ns0:c>
      <ns0:c r="J83" t="str" s="10">
        <ns0:v>RC0603JR-072K2L</ns0:v>
      </ns0:c>
      <ns0:c r="K83" t="str" s="11">
        <ns0:f>B83&amp;" "&amp;D83&amp;" "&amp;E83&amp;" "&amp;H83</ns0:f>
        <ns0:v>Резистор 2,2 кОм ±5% 0603</ns0:v>
      </ns0:c>
      <ns0:c r="L83" t="str" s="13">
        <ns0:v>R</ns0:v>
      </ns0:c>
      <ns0:c r="M83" t="str" s="13">
        <ns0:v>Symbols\MY_LIB_Resistors.SchLib</ns0:v>
      </ns0:c>
      <ns0:c r="N83" t="str" s="13">
        <ns0:v>RESC1608X55N</ns0:v>
      </ns0:c>
      <ns0:c r="O83" t="str" s="13">
        <ns0:v>Footprints\PBL - SMD Packages.PcbLib</ns0:v>
      </ns0:c>
      <ns0:c xmlns:ns0="http://schemas.openxmlformats.org/spreadsheetml/2006/main" r="P8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3" s="10"/>
      <ns0:c r="R83" t="str" s="11">
        <ns0:f>D83</ns0:f>
        <ns0:v>2,2 кОм</ns0:v>
      </ns0:c>
      <ns0:c r="S83" t="str" s="11">
        <ns0:f>K83</ns0:f>
        <ns0:v>Резистор 2,2 кОм ±5% 0603</ns0:v>
      </ns0:c>
      <x:c xmlns:x="http://schemas.openxmlformats.org/spreadsheetml/2006/main" r="T83" t="str" s="11">
        <x:v>C:\Users\Nomatin\Documents\Altium\MY_LIB\MY_LIB\Datasheets\YAGEO_RC_L.pdf</x:v>
      </x:c>
      <x:c xmlns:x="http://schemas.openxmlformats.org/spreadsheetml/2006/main" r="U83" t="str" s="11">
        <x:v>Даташит — локальный</x:v>
      </x:c>
      <x:c xmlns:x="http://schemas.openxmlformats.org/spreadsheetml/2006/main" r="V83" t="str" s="11">
        <x:v>C:\Users\Nomatin\Documents\Altium\MY_LIB\MY_LIB\Datasheets\YAGEO_RC_L.pdf</x:v>
      </x:c>
      <x:c xmlns:x="http://schemas.openxmlformats.org/spreadsheetml/2006/main" r="W83" t="str" s="11">
        <x:v>Даташит — производитель</x:v>
      </x:c>
      <x:c xmlns:x="http://schemas.openxmlformats.org/spreadsheetml/2006/main" r="X83" t="str" s="11">
        <x:v>https://yageogroup.com/content/datasheet/asset/file/PYU-RC_GROUP_51_ROHS_L</x:v>
      </x:c>
      <x:c xmlns:x="http://schemas.openxmlformats.org/spreadsheetml/2006/main" r="Y83" t="str" s="11">
        <x:v>C:\Users\Nomatin\Documents\Altium\MY_LIB\MY_LIB\Datasheets\YAGEO_RC_L.pdf</x:v>
      </x:c>
      <ns0:c xmlns:ns0="http://schemas.openxmlformats.org/spreadsheetml/2006/main" r="Z83" s="16" t="inlineStr">
        <ns0:is>
          <ns0:t>MY_LIB_R_TCR</ns0:t>
        </ns0:is>
      </ns0:c>
      <ns0:c xmlns:ns0="http://schemas.openxmlformats.org/spreadsheetml/2006/main" r="AA83" s="16" t="inlineStr">
        <ns0:is>
          <ns0:t>R(T), +100 ppm/C at 25 C; positive datasheet limit</ns0:t>
        </ns0:is>
      </ns0:c>
      <ns0:c xmlns:ns0="http://schemas.openxmlformats.org/spreadsheetml/2006/main" r="AB83" s="16" t="str">
        <ns0:v>General</ns0:v>
      </ns0:c>
      <ns0:c xmlns:ns0="http://schemas.openxmlformats.org/spreadsheetml/2006/main" r="AC83" s="16" t="inlineStr">
        <ns0:is>
          <ns0:t>Spice Subcircuit</ns0:t>
        </ns0:is>
      </ns0:c>
      <ns0:c xmlns:ns0="http://schemas.openxmlformats.org/spreadsheetml/2006/main" r="AD83" s="16" t="inlineStr">
        <ns0:is>
          <ns0:t>@DESIGNATOR %1 %2 @MODEL PARAMS: Rvalue=@VALUE TC1value=100u</ns0:t>
        </ns0:is>
      </ns0:c>
      <ns0:c xmlns:ns0="http://schemas.openxmlformats.org/spreadsheetml/2006/main" r="AE83" s="16" t="inlineStr">
        <ns0:is>
          <ns0:t>X</ns0:t>
        </ns0:is>
      </ns0:c>
      <ns0:c xmlns:ns0="http://schemas.openxmlformats.org/spreadsheetml/2006/main" r="AF83" s="16" t="str">
        <ns0:v>(1:1),(2:2)</ns0:v>
      </ns0:c>
      <ns0:c xmlns:ns0="http://schemas.openxmlformats.org/spreadsheetml/2006/main" r="AG83" s="16" t="inlineStr">
        <ns0:is>
          <ns0:t>Simulation\Resistors\MY_LIB_R_TCR.ckt</ns0:t>
        </ns0:is>
      </ns0:c>
      <ns0:c xmlns:ns0="http://schemas.openxmlformats.org/spreadsheetml/2006/main" r="AH83" s="16" t="inlineStr">
        <ns0:is>
          <ns0:t>±100 ppm/°C</ns0:t>
        </ns0:is>
      </ns0:c>
    </ns0:row>
    <ns0:row r="84" ht="30" customHeight="1">
      <ns0:c r="A84" t="str" s="10">
        <ns0:v>R0090</ns0:v>
      </ns0:c>
      <ns0:c r="B84" t="str" s="10">
        <ns0:v>Резистор</ns0:v>
      </ns0:c>
      <ns0:c r="C84" t="str" s="10">
        <ns0:v>2.4k</ns0:v>
      </ns0:c>
      <ns0:c r="D84" t="str" s="11">
        <ns0:f>SUBSTITUTE(SUBSTITUTE(SUBSTITUTE(SUBSTITUTE(C84,"meg"," МОм"),"k"," кОм"),"R"," Ом"),".",",")</ns0:f>
        <ns0:v>2,4 кОм</ns0:v>
      </ns0:c>
      <ns0:c r="E84" t="str" s="10">
        <ns0:v>±5%</ns0:v>
      </ns0:c>
      <ns0:c r="F84" t="str" s="10">
        <ns0:v>0,1 Вт</ns0:v>
      </ns0:c>
      <ns0:c r="G84" t="str" s="10">
        <ns0:v>75 В макс.</ns0:v>
      </ns0:c>
      <ns0:c r="H84" t="str" s="12">
        <ns0:v>0603</ns0:v>
      </ns0:c>
      <ns0:c r="I84" t="str" s="10">
        <ns0:v>YAGEO</ns0:v>
      </ns0:c>
      <ns0:c r="J84" t="str" s="10">
        <ns0:v>RC0603JR-072K4L</ns0:v>
      </ns0:c>
      <ns0:c r="K84" t="str" s="11">
        <ns0:f>B84&amp;" "&amp;D84&amp;" "&amp;E84&amp;" "&amp;H84</ns0:f>
        <ns0:v>Резистор 2,4 кОм ±5% 0603</ns0:v>
      </ns0:c>
      <ns0:c r="L84" t="str" s="13">
        <ns0:v>R</ns0:v>
      </ns0:c>
      <ns0:c r="M84" t="str" s="13">
        <ns0:v>Symbols\MY_LIB_Resistors.SchLib</ns0:v>
      </ns0:c>
      <ns0:c r="N84" t="str" s="13">
        <ns0:v>RESC1608X55N</ns0:v>
      </ns0:c>
      <ns0:c r="O84" t="str" s="13">
        <ns0:v>Footprints\PBL - SMD Packages.PcbLib</ns0:v>
      </ns0:c>
      <ns0:c xmlns:ns0="http://schemas.openxmlformats.org/spreadsheetml/2006/main" r="P8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4" s="10"/>
      <ns0:c r="R84" t="str" s="11">
        <ns0:f>D84</ns0:f>
        <ns0:v>2,4 кОм</ns0:v>
      </ns0:c>
      <ns0:c r="S84" t="str" s="11">
        <ns0:f>K84</ns0:f>
        <ns0:v>Резистор 2,4 кОм ±5% 0603</ns0:v>
      </ns0:c>
      <x:c xmlns:x="http://schemas.openxmlformats.org/spreadsheetml/2006/main" r="T84" t="str" s="11">
        <x:v>C:\Users\Nomatin\Documents\Altium\MY_LIB\MY_LIB\Datasheets\YAGEO_RC_L.pdf</x:v>
      </x:c>
      <x:c xmlns:x="http://schemas.openxmlformats.org/spreadsheetml/2006/main" r="U84" t="str" s="11">
        <x:v>Даташит — локальный</x:v>
      </x:c>
      <x:c xmlns:x="http://schemas.openxmlformats.org/spreadsheetml/2006/main" r="V84" t="str" s="11">
        <x:v>C:\Users\Nomatin\Documents\Altium\MY_LIB\MY_LIB\Datasheets\YAGEO_RC_L.pdf</x:v>
      </x:c>
      <x:c xmlns:x="http://schemas.openxmlformats.org/spreadsheetml/2006/main" r="W84" t="str" s="11">
        <x:v>Даташит — производитель</x:v>
      </x:c>
      <x:c xmlns:x="http://schemas.openxmlformats.org/spreadsheetml/2006/main" r="X84" t="str" s="11">
        <x:v>https://yageogroup.com/content/datasheet/asset/file/PYU-RC_GROUP_51_ROHS_L</x:v>
      </x:c>
      <x:c xmlns:x="http://schemas.openxmlformats.org/spreadsheetml/2006/main" r="Y84" t="str" s="11">
        <x:v>C:\Users\Nomatin\Documents\Altium\MY_LIB\MY_LIB\Datasheets\YAGEO_RC_L.pdf</x:v>
      </x:c>
      <ns0:c xmlns:ns0="http://schemas.openxmlformats.org/spreadsheetml/2006/main" r="Z84" s="16" t="inlineStr">
        <ns0:is>
          <ns0:t>MY_LIB_R_TCR</ns0:t>
        </ns0:is>
      </ns0:c>
      <ns0:c xmlns:ns0="http://schemas.openxmlformats.org/spreadsheetml/2006/main" r="AA84" s="16" t="inlineStr">
        <ns0:is>
          <ns0:t>R(T), +100 ppm/C at 25 C; positive datasheet limit</ns0:t>
        </ns0:is>
      </ns0:c>
      <ns0:c xmlns:ns0="http://schemas.openxmlformats.org/spreadsheetml/2006/main" r="AB84" s="16" t="str">
        <ns0:v>General</ns0:v>
      </ns0:c>
      <ns0:c xmlns:ns0="http://schemas.openxmlformats.org/spreadsheetml/2006/main" r="AC84" s="16" t="inlineStr">
        <ns0:is>
          <ns0:t>Spice Subcircuit</ns0:t>
        </ns0:is>
      </ns0:c>
      <ns0:c xmlns:ns0="http://schemas.openxmlformats.org/spreadsheetml/2006/main" r="AD84" s="16" t="inlineStr">
        <ns0:is>
          <ns0:t>@DESIGNATOR %1 %2 @MODEL PARAMS: Rvalue=@VALUE TC1value=100u</ns0:t>
        </ns0:is>
      </ns0:c>
      <ns0:c xmlns:ns0="http://schemas.openxmlformats.org/spreadsheetml/2006/main" r="AE84" s="16" t="inlineStr">
        <ns0:is>
          <ns0:t>X</ns0:t>
        </ns0:is>
      </ns0:c>
      <ns0:c xmlns:ns0="http://schemas.openxmlformats.org/spreadsheetml/2006/main" r="AF84" s="16" t="str">
        <ns0:v>(1:1),(2:2)</ns0:v>
      </ns0:c>
      <ns0:c xmlns:ns0="http://schemas.openxmlformats.org/spreadsheetml/2006/main" r="AG84" s="16" t="inlineStr">
        <ns0:is>
          <ns0:t>Simulation\Resistors\MY_LIB_R_TCR.ckt</ns0:t>
        </ns0:is>
      </ns0:c>
      <ns0:c xmlns:ns0="http://schemas.openxmlformats.org/spreadsheetml/2006/main" r="AH84" s="16" t="inlineStr">
        <ns0:is>
          <ns0:t>±100 ppm/°C</ns0:t>
        </ns0:is>
      </ns0:c>
    </ns0:row>
    <ns0:row r="85" ht="30" customHeight="1">
      <ns0:c r="A85" t="str" s="10">
        <ns0:v>R0091</ns0:v>
      </ns0:c>
      <ns0:c r="B85" t="str" s="10">
        <ns0:v>Резистор</ns0:v>
      </ns0:c>
      <ns0:c r="C85" t="str" s="10">
        <ns0:v>2.7k</ns0:v>
      </ns0:c>
      <ns0:c r="D85" t="str" s="11">
        <ns0:f>SUBSTITUTE(SUBSTITUTE(SUBSTITUTE(SUBSTITUTE(C85,"meg"," МОм"),"k"," кОм"),"R"," Ом"),".",",")</ns0:f>
        <ns0:v>2,7 кОм</ns0:v>
      </ns0:c>
      <ns0:c r="E85" t="str" s="10">
        <ns0:v>±5%</ns0:v>
      </ns0:c>
      <ns0:c r="F85" t="str" s="10">
        <ns0:v>0,1 Вт</ns0:v>
      </ns0:c>
      <ns0:c r="G85" t="str" s="10">
        <ns0:v>75 В макс.</ns0:v>
      </ns0:c>
      <ns0:c r="H85" t="str" s="12">
        <ns0:v>0603</ns0:v>
      </ns0:c>
      <ns0:c r="I85" t="str" s="10">
        <ns0:v>YAGEO</ns0:v>
      </ns0:c>
      <ns0:c r="J85" t="str" s="10">
        <ns0:v>RC0603JR-072K7L</ns0:v>
      </ns0:c>
      <ns0:c r="K85" t="str" s="11">
        <ns0:f>B85&amp;" "&amp;D85&amp;" "&amp;E85&amp;" "&amp;H85</ns0:f>
        <ns0:v>Резистор 2,7 кОм ±5% 0603</ns0:v>
      </ns0:c>
      <ns0:c r="L85" t="str" s="13">
        <ns0:v>R</ns0:v>
      </ns0:c>
      <ns0:c r="M85" t="str" s="13">
        <ns0:v>Symbols\MY_LIB_Resistors.SchLib</ns0:v>
      </ns0:c>
      <ns0:c r="N85" t="str" s="13">
        <ns0:v>RESC1608X55N</ns0:v>
      </ns0:c>
      <ns0:c r="O85" t="str" s="13">
        <ns0:v>Footprints\PBL - SMD Packages.PcbLib</ns0:v>
      </ns0:c>
      <ns0:c xmlns:ns0="http://schemas.openxmlformats.org/spreadsheetml/2006/main" r="P8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5" s="10"/>
      <ns0:c r="R85" t="str" s="11">
        <ns0:f>D85</ns0:f>
        <ns0:v>2,7 кОм</ns0:v>
      </ns0:c>
      <ns0:c r="S85" t="str" s="11">
        <ns0:f>K85</ns0:f>
        <ns0:v>Резистор 2,7 кОм ±5% 0603</ns0:v>
      </ns0:c>
      <x:c xmlns:x="http://schemas.openxmlformats.org/spreadsheetml/2006/main" r="T85" t="str" s="11">
        <x:v>C:\Users\Nomatin\Documents\Altium\MY_LIB\MY_LIB\Datasheets\YAGEO_RC_L.pdf</x:v>
      </x:c>
      <x:c xmlns:x="http://schemas.openxmlformats.org/spreadsheetml/2006/main" r="U85" t="str" s="11">
        <x:v>Даташит — локальный</x:v>
      </x:c>
      <x:c xmlns:x="http://schemas.openxmlformats.org/spreadsheetml/2006/main" r="V85" t="str" s="11">
        <x:v>C:\Users\Nomatin\Documents\Altium\MY_LIB\MY_LIB\Datasheets\YAGEO_RC_L.pdf</x:v>
      </x:c>
      <x:c xmlns:x="http://schemas.openxmlformats.org/spreadsheetml/2006/main" r="W85" t="str" s="11">
        <x:v>Даташит — производитель</x:v>
      </x:c>
      <x:c xmlns:x="http://schemas.openxmlformats.org/spreadsheetml/2006/main" r="X85" t="str" s="11">
        <x:v>https://yageogroup.com/content/datasheet/asset/file/PYU-RC_GROUP_51_ROHS_L</x:v>
      </x:c>
      <x:c xmlns:x="http://schemas.openxmlformats.org/spreadsheetml/2006/main" r="Y85" t="str" s="11">
        <x:v>C:\Users\Nomatin\Documents\Altium\MY_LIB\MY_LIB\Datasheets\YAGEO_RC_L.pdf</x:v>
      </x:c>
      <ns0:c xmlns:ns0="http://schemas.openxmlformats.org/spreadsheetml/2006/main" r="Z85" s="16" t="inlineStr">
        <ns0:is>
          <ns0:t>MY_LIB_R_TCR</ns0:t>
        </ns0:is>
      </ns0:c>
      <ns0:c xmlns:ns0="http://schemas.openxmlformats.org/spreadsheetml/2006/main" r="AA85" s="16" t="inlineStr">
        <ns0:is>
          <ns0:t>R(T), +100 ppm/C at 25 C; positive datasheet limit</ns0:t>
        </ns0:is>
      </ns0:c>
      <ns0:c xmlns:ns0="http://schemas.openxmlformats.org/spreadsheetml/2006/main" r="AB85" s="16" t="str">
        <ns0:v>General</ns0:v>
      </ns0:c>
      <ns0:c xmlns:ns0="http://schemas.openxmlformats.org/spreadsheetml/2006/main" r="AC85" s="16" t="inlineStr">
        <ns0:is>
          <ns0:t>Spice Subcircuit</ns0:t>
        </ns0:is>
      </ns0:c>
      <ns0:c xmlns:ns0="http://schemas.openxmlformats.org/spreadsheetml/2006/main" r="AD85" s="16" t="inlineStr">
        <ns0:is>
          <ns0:t>@DESIGNATOR %1 %2 @MODEL PARAMS: Rvalue=@VALUE TC1value=100u</ns0:t>
        </ns0:is>
      </ns0:c>
      <ns0:c xmlns:ns0="http://schemas.openxmlformats.org/spreadsheetml/2006/main" r="AE85" s="16" t="inlineStr">
        <ns0:is>
          <ns0:t>X</ns0:t>
        </ns0:is>
      </ns0:c>
      <ns0:c xmlns:ns0="http://schemas.openxmlformats.org/spreadsheetml/2006/main" r="AF85" s="16" t="str">
        <ns0:v>(1:1),(2:2)</ns0:v>
      </ns0:c>
      <ns0:c xmlns:ns0="http://schemas.openxmlformats.org/spreadsheetml/2006/main" r="AG85" s="16" t="inlineStr">
        <ns0:is>
          <ns0:t>Simulation\Resistors\MY_LIB_R_TCR.ckt</ns0:t>
        </ns0:is>
      </ns0:c>
      <ns0:c xmlns:ns0="http://schemas.openxmlformats.org/spreadsheetml/2006/main" r="AH85" s="16" t="inlineStr">
        <ns0:is>
          <ns0:t>±100 ppm/°C</ns0:t>
        </ns0:is>
      </ns0:c>
    </ns0:row>
    <ns0:row r="86" ht="30" customHeight="1">
      <ns0:c r="A86" t="str" s="10">
        <ns0:v>R0092</ns0:v>
      </ns0:c>
      <ns0:c r="B86" t="str" s="10">
        <ns0:v>Резистор</ns0:v>
      </ns0:c>
      <ns0:c r="C86" t="str" s="10">
        <ns0:v>3k</ns0:v>
      </ns0:c>
      <ns0:c r="D86" t="str" s="11">
        <ns0:f>SUBSTITUTE(SUBSTITUTE(SUBSTITUTE(SUBSTITUTE(C86,"meg"," МОм"),"k"," кОм"),"R"," Ом"),".",",")</ns0:f>
        <ns0:v>3 кОм</ns0:v>
      </ns0:c>
      <ns0:c r="E86" t="str" s="10">
        <ns0:v>±5%</ns0:v>
      </ns0:c>
      <ns0:c r="F86" t="str" s="10">
        <ns0:v>0,1 Вт</ns0:v>
      </ns0:c>
      <ns0:c r="G86" t="str" s="10">
        <ns0:v>75 В макс.</ns0:v>
      </ns0:c>
      <ns0:c r="H86" t="str" s="12">
        <ns0:v>0603</ns0:v>
      </ns0:c>
      <ns0:c r="I86" t="str" s="10">
        <ns0:v>YAGEO</ns0:v>
      </ns0:c>
      <ns0:c r="J86" t="str" s="10">
        <ns0:v>RC0603JR-073KL</ns0:v>
      </ns0:c>
      <ns0:c r="K86" t="str" s="11">
        <ns0:f>B86&amp;" "&amp;D86&amp;" "&amp;E86&amp;" "&amp;H86</ns0:f>
        <ns0:v>Резистор 3 кОм ±5% 0603</ns0:v>
      </ns0:c>
      <ns0:c r="L86" t="str" s="13">
        <ns0:v>R</ns0:v>
      </ns0:c>
      <ns0:c r="M86" t="str" s="13">
        <ns0:v>Symbols\MY_LIB_Resistors.SchLib</ns0:v>
      </ns0:c>
      <ns0:c r="N86" t="str" s="13">
        <ns0:v>RESC1608X55N</ns0:v>
      </ns0:c>
      <ns0:c r="O86" t="str" s="13">
        <ns0:v>Footprints\PBL - SMD Packages.PcbLib</ns0:v>
      </ns0:c>
      <ns0:c xmlns:ns0="http://schemas.openxmlformats.org/spreadsheetml/2006/main" r="P8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6" s="10"/>
      <ns0:c r="R86" t="str" s="11">
        <ns0:f>D86</ns0:f>
        <ns0:v>3 кОм</ns0:v>
      </ns0:c>
      <ns0:c r="S86" t="str" s="11">
        <ns0:f>K86</ns0:f>
        <ns0:v>Резистор 3 кОм ±5% 0603</ns0:v>
      </ns0:c>
      <x:c xmlns:x="http://schemas.openxmlformats.org/spreadsheetml/2006/main" r="T86" t="str" s="11">
        <x:v>C:\Users\Nomatin\Documents\Altium\MY_LIB\MY_LIB\Datasheets\YAGEO_RC_L.pdf</x:v>
      </x:c>
      <x:c xmlns:x="http://schemas.openxmlformats.org/spreadsheetml/2006/main" r="U86" t="str" s="11">
        <x:v>Даташит — локальный</x:v>
      </x:c>
      <x:c xmlns:x="http://schemas.openxmlformats.org/spreadsheetml/2006/main" r="V86" t="str" s="11">
        <x:v>C:\Users\Nomatin\Documents\Altium\MY_LIB\MY_LIB\Datasheets\YAGEO_RC_L.pdf</x:v>
      </x:c>
      <x:c xmlns:x="http://schemas.openxmlformats.org/spreadsheetml/2006/main" r="W86" t="str" s="11">
        <x:v>Даташит — производитель</x:v>
      </x:c>
      <x:c xmlns:x="http://schemas.openxmlformats.org/spreadsheetml/2006/main" r="X86" t="str" s="11">
        <x:v>https://yageogroup.com/content/datasheet/asset/file/PYU-RC_GROUP_51_ROHS_L</x:v>
      </x:c>
      <x:c xmlns:x="http://schemas.openxmlformats.org/spreadsheetml/2006/main" r="Y86" t="str" s="11">
        <x:v>C:\Users\Nomatin\Documents\Altium\MY_LIB\MY_LIB\Datasheets\YAGEO_RC_L.pdf</x:v>
      </x:c>
      <ns0:c xmlns:ns0="http://schemas.openxmlformats.org/spreadsheetml/2006/main" r="Z86" s="16" t="inlineStr">
        <ns0:is>
          <ns0:t>MY_LIB_R_TCR</ns0:t>
        </ns0:is>
      </ns0:c>
      <ns0:c xmlns:ns0="http://schemas.openxmlformats.org/spreadsheetml/2006/main" r="AA86" s="16" t="inlineStr">
        <ns0:is>
          <ns0:t>R(T), +100 ppm/C at 25 C; positive datasheet limit</ns0:t>
        </ns0:is>
      </ns0:c>
      <ns0:c xmlns:ns0="http://schemas.openxmlformats.org/spreadsheetml/2006/main" r="AB86" s="16" t="str">
        <ns0:v>General</ns0:v>
      </ns0:c>
      <ns0:c xmlns:ns0="http://schemas.openxmlformats.org/spreadsheetml/2006/main" r="AC86" s="16" t="inlineStr">
        <ns0:is>
          <ns0:t>Spice Subcircuit</ns0:t>
        </ns0:is>
      </ns0:c>
      <ns0:c xmlns:ns0="http://schemas.openxmlformats.org/spreadsheetml/2006/main" r="AD86" s="16" t="inlineStr">
        <ns0:is>
          <ns0:t>@DESIGNATOR %1 %2 @MODEL PARAMS: Rvalue=@VALUE TC1value=100u</ns0:t>
        </ns0:is>
      </ns0:c>
      <ns0:c xmlns:ns0="http://schemas.openxmlformats.org/spreadsheetml/2006/main" r="AE86" s="16" t="inlineStr">
        <ns0:is>
          <ns0:t>X</ns0:t>
        </ns0:is>
      </ns0:c>
      <ns0:c xmlns:ns0="http://schemas.openxmlformats.org/spreadsheetml/2006/main" r="AF86" s="16" t="str">
        <ns0:v>(1:1),(2:2)</ns0:v>
      </ns0:c>
      <ns0:c xmlns:ns0="http://schemas.openxmlformats.org/spreadsheetml/2006/main" r="AG86" s="16" t="inlineStr">
        <ns0:is>
          <ns0:t>Simulation\Resistors\MY_LIB_R_TCR.ckt</ns0:t>
        </ns0:is>
      </ns0:c>
      <ns0:c xmlns:ns0="http://schemas.openxmlformats.org/spreadsheetml/2006/main" r="AH86" s="16" t="inlineStr">
        <ns0:is>
          <ns0:t>±100 ppm/°C</ns0:t>
        </ns0:is>
      </ns0:c>
    </ns0:row>
    <ns0:row r="87" ht="30" customHeight="1">
      <ns0:c r="A87" t="str" s="10">
        <ns0:v>R0093</ns0:v>
      </ns0:c>
      <ns0:c r="B87" t="str" s="10">
        <ns0:v>Резистор</ns0:v>
      </ns0:c>
      <ns0:c r="C87" t="str" s="10">
        <ns0:v>3.3k</ns0:v>
      </ns0:c>
      <ns0:c r="D87" t="str" s="11">
        <ns0:f>SUBSTITUTE(SUBSTITUTE(SUBSTITUTE(SUBSTITUTE(C87,"meg"," МОм"),"k"," кОм"),"R"," Ом"),".",",")</ns0:f>
        <ns0:v>3,3 кОм</ns0:v>
      </ns0:c>
      <ns0:c r="E87" t="str" s="10">
        <ns0:v>±5%</ns0:v>
      </ns0:c>
      <ns0:c r="F87" t="str" s="10">
        <ns0:v>0,1 Вт</ns0:v>
      </ns0:c>
      <ns0:c r="G87" t="str" s="10">
        <ns0:v>75 В макс.</ns0:v>
      </ns0:c>
      <ns0:c r="H87" t="str" s="12">
        <ns0:v>0603</ns0:v>
      </ns0:c>
      <ns0:c r="I87" t="str" s="10">
        <ns0:v>YAGEO</ns0:v>
      </ns0:c>
      <ns0:c r="J87" t="str" s="10">
        <ns0:v>RC0603JR-073K3L</ns0:v>
      </ns0:c>
      <ns0:c r="K87" t="str" s="11">
        <ns0:f>B87&amp;" "&amp;D87&amp;" "&amp;E87&amp;" "&amp;H87</ns0:f>
        <ns0:v>Резистор 3,3 кОм ±5% 0603</ns0:v>
      </ns0:c>
      <ns0:c r="L87" t="str" s="13">
        <ns0:v>R</ns0:v>
      </ns0:c>
      <ns0:c r="M87" t="str" s="13">
        <ns0:v>Symbols\MY_LIB_Resistors.SchLib</ns0:v>
      </ns0:c>
      <ns0:c r="N87" t="str" s="13">
        <ns0:v>RESC1608X55N</ns0:v>
      </ns0:c>
      <ns0:c r="O87" t="str" s="13">
        <ns0:v>Footprints\PBL - SMD Packages.PcbLib</ns0:v>
      </ns0:c>
      <ns0:c xmlns:ns0="http://schemas.openxmlformats.org/spreadsheetml/2006/main" r="P8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7" s="10"/>
      <ns0:c r="R87" t="str" s="11">
        <ns0:f>D87</ns0:f>
        <ns0:v>3,3 кОм</ns0:v>
      </ns0:c>
      <ns0:c r="S87" t="str" s="11">
        <ns0:f>K87</ns0:f>
        <ns0:v>Резистор 3,3 кОм ±5% 0603</ns0:v>
      </ns0:c>
      <x:c xmlns:x="http://schemas.openxmlformats.org/spreadsheetml/2006/main" r="T87" t="str" s="11">
        <x:v>C:\Users\Nomatin\Documents\Altium\MY_LIB\MY_LIB\Datasheets\YAGEO_RC_L.pdf</x:v>
      </x:c>
      <x:c xmlns:x="http://schemas.openxmlformats.org/spreadsheetml/2006/main" r="U87" t="str" s="11">
        <x:v>Даташит — локальный</x:v>
      </x:c>
      <x:c xmlns:x="http://schemas.openxmlformats.org/spreadsheetml/2006/main" r="V87" t="str" s="11">
        <x:v>C:\Users\Nomatin\Documents\Altium\MY_LIB\MY_LIB\Datasheets\YAGEO_RC_L.pdf</x:v>
      </x:c>
      <x:c xmlns:x="http://schemas.openxmlformats.org/spreadsheetml/2006/main" r="W87" t="str" s="11">
        <x:v>Даташит — производитель</x:v>
      </x:c>
      <x:c xmlns:x="http://schemas.openxmlformats.org/spreadsheetml/2006/main" r="X87" t="str" s="11">
        <x:v>https://yageogroup.com/content/datasheet/asset/file/PYU-RC_GROUP_51_ROHS_L</x:v>
      </x:c>
      <x:c xmlns:x="http://schemas.openxmlformats.org/spreadsheetml/2006/main" r="Y87" t="str" s="11">
        <x:v>C:\Users\Nomatin\Documents\Altium\MY_LIB\MY_LIB\Datasheets\YAGEO_RC_L.pdf</x:v>
      </x:c>
      <ns0:c xmlns:ns0="http://schemas.openxmlformats.org/spreadsheetml/2006/main" r="Z87" s="16" t="inlineStr">
        <ns0:is>
          <ns0:t>MY_LIB_R_TCR</ns0:t>
        </ns0:is>
      </ns0:c>
      <ns0:c xmlns:ns0="http://schemas.openxmlformats.org/spreadsheetml/2006/main" r="AA87" s="16" t="inlineStr">
        <ns0:is>
          <ns0:t>R(T), +100 ppm/C at 25 C; positive datasheet limit</ns0:t>
        </ns0:is>
      </ns0:c>
      <ns0:c xmlns:ns0="http://schemas.openxmlformats.org/spreadsheetml/2006/main" r="AB87" s="16" t="str">
        <ns0:v>General</ns0:v>
      </ns0:c>
      <ns0:c xmlns:ns0="http://schemas.openxmlformats.org/spreadsheetml/2006/main" r="AC87" s="16" t="inlineStr">
        <ns0:is>
          <ns0:t>Spice Subcircuit</ns0:t>
        </ns0:is>
      </ns0:c>
      <ns0:c xmlns:ns0="http://schemas.openxmlformats.org/spreadsheetml/2006/main" r="AD87" s="16" t="inlineStr">
        <ns0:is>
          <ns0:t>@DESIGNATOR %1 %2 @MODEL PARAMS: Rvalue=@VALUE TC1value=100u</ns0:t>
        </ns0:is>
      </ns0:c>
      <ns0:c xmlns:ns0="http://schemas.openxmlformats.org/spreadsheetml/2006/main" r="AE87" s="16" t="inlineStr">
        <ns0:is>
          <ns0:t>X</ns0:t>
        </ns0:is>
      </ns0:c>
      <ns0:c xmlns:ns0="http://schemas.openxmlformats.org/spreadsheetml/2006/main" r="AF87" s="16" t="str">
        <ns0:v>(1:1),(2:2)</ns0:v>
      </ns0:c>
      <ns0:c xmlns:ns0="http://schemas.openxmlformats.org/spreadsheetml/2006/main" r="AG87" s="16" t="inlineStr">
        <ns0:is>
          <ns0:t>Simulation\Resistors\MY_LIB_R_TCR.ckt</ns0:t>
        </ns0:is>
      </ns0:c>
      <ns0:c xmlns:ns0="http://schemas.openxmlformats.org/spreadsheetml/2006/main" r="AH87" s="16" t="inlineStr">
        <ns0:is>
          <ns0:t>±100 ppm/°C</ns0:t>
        </ns0:is>
      </ns0:c>
    </ns0:row>
    <ns0:row r="88" ht="30" customHeight="1">
      <ns0:c r="A88" t="str" s="10">
        <ns0:v>R0094</ns0:v>
      </ns0:c>
      <ns0:c r="B88" t="str" s="10">
        <ns0:v>Резистор</ns0:v>
      </ns0:c>
      <ns0:c r="C88" t="str" s="10">
        <ns0:v>3.6k</ns0:v>
      </ns0:c>
      <ns0:c r="D88" t="str" s="11">
        <ns0:f>SUBSTITUTE(SUBSTITUTE(SUBSTITUTE(SUBSTITUTE(C88,"meg"," МОм"),"k"," кОм"),"R"," Ом"),".",",")</ns0:f>
        <ns0:v>3,6 кОм</ns0:v>
      </ns0:c>
      <ns0:c r="E88" t="str" s="10">
        <ns0:v>±5%</ns0:v>
      </ns0:c>
      <ns0:c r="F88" t="str" s="10">
        <ns0:v>0,1 Вт</ns0:v>
      </ns0:c>
      <ns0:c r="G88" t="str" s="10">
        <ns0:v>75 В макс.</ns0:v>
      </ns0:c>
      <ns0:c r="H88" t="str" s="12">
        <ns0:v>0603</ns0:v>
      </ns0:c>
      <ns0:c r="I88" t="str" s="10">
        <ns0:v>YAGEO</ns0:v>
      </ns0:c>
      <ns0:c r="J88" t="str" s="10">
        <ns0:v>RC0603JR-073K6L</ns0:v>
      </ns0:c>
      <ns0:c r="K88" t="str" s="11">
        <ns0:f>B88&amp;" "&amp;D88&amp;" "&amp;E88&amp;" "&amp;H88</ns0:f>
        <ns0:v>Резистор 3,6 кОм ±5% 0603</ns0:v>
      </ns0:c>
      <ns0:c r="L88" t="str" s="13">
        <ns0:v>R</ns0:v>
      </ns0:c>
      <ns0:c r="M88" t="str" s="13">
        <ns0:v>Symbols\MY_LIB_Resistors.SchLib</ns0:v>
      </ns0:c>
      <ns0:c r="N88" t="str" s="13">
        <ns0:v>RESC1608X55N</ns0:v>
      </ns0:c>
      <ns0:c r="O88" t="str" s="13">
        <ns0:v>Footprints\PBL - SMD Packages.PcbLib</ns0:v>
      </ns0:c>
      <ns0:c xmlns:ns0="http://schemas.openxmlformats.org/spreadsheetml/2006/main" r="P8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8" s="10"/>
      <ns0:c r="R88" t="str" s="11">
        <ns0:f>D88</ns0:f>
        <ns0:v>3,6 кОм</ns0:v>
      </ns0:c>
      <ns0:c r="S88" t="str" s="11">
        <ns0:f>K88</ns0:f>
        <ns0:v>Резистор 3,6 кОм ±5% 0603</ns0:v>
      </ns0:c>
      <x:c xmlns:x="http://schemas.openxmlformats.org/spreadsheetml/2006/main" r="T88" t="str" s="11">
        <x:v>C:\Users\Nomatin\Documents\Altium\MY_LIB\MY_LIB\Datasheets\YAGEO_RC_L.pdf</x:v>
      </x:c>
      <x:c xmlns:x="http://schemas.openxmlformats.org/spreadsheetml/2006/main" r="U88" t="str" s="11">
        <x:v>Даташит — локальный</x:v>
      </x:c>
      <x:c xmlns:x="http://schemas.openxmlformats.org/spreadsheetml/2006/main" r="V88" t="str" s="11">
        <x:v>C:\Users\Nomatin\Documents\Altium\MY_LIB\MY_LIB\Datasheets\YAGEO_RC_L.pdf</x:v>
      </x:c>
      <x:c xmlns:x="http://schemas.openxmlformats.org/spreadsheetml/2006/main" r="W88" t="str" s="11">
        <x:v>Даташит — производитель</x:v>
      </x:c>
      <x:c xmlns:x="http://schemas.openxmlformats.org/spreadsheetml/2006/main" r="X88" t="str" s="11">
        <x:v>https://yageogroup.com/content/datasheet/asset/file/PYU-RC_GROUP_51_ROHS_L</x:v>
      </x:c>
      <x:c xmlns:x="http://schemas.openxmlformats.org/spreadsheetml/2006/main" r="Y88" t="str" s="11">
        <x:v>C:\Users\Nomatin\Documents\Altium\MY_LIB\MY_LIB\Datasheets\YAGEO_RC_L.pdf</x:v>
      </x:c>
      <ns0:c xmlns:ns0="http://schemas.openxmlformats.org/spreadsheetml/2006/main" r="Z88" s="16" t="inlineStr">
        <ns0:is>
          <ns0:t>MY_LIB_R_TCR</ns0:t>
        </ns0:is>
      </ns0:c>
      <ns0:c xmlns:ns0="http://schemas.openxmlformats.org/spreadsheetml/2006/main" r="AA88" s="16" t="inlineStr">
        <ns0:is>
          <ns0:t>R(T), +100 ppm/C at 25 C; positive datasheet limit</ns0:t>
        </ns0:is>
      </ns0:c>
      <ns0:c xmlns:ns0="http://schemas.openxmlformats.org/spreadsheetml/2006/main" r="AB88" s="16" t="str">
        <ns0:v>General</ns0:v>
      </ns0:c>
      <ns0:c xmlns:ns0="http://schemas.openxmlformats.org/spreadsheetml/2006/main" r="AC88" s="16" t="inlineStr">
        <ns0:is>
          <ns0:t>Spice Subcircuit</ns0:t>
        </ns0:is>
      </ns0:c>
      <ns0:c xmlns:ns0="http://schemas.openxmlformats.org/spreadsheetml/2006/main" r="AD88" s="16" t="inlineStr">
        <ns0:is>
          <ns0:t>@DESIGNATOR %1 %2 @MODEL PARAMS: Rvalue=@VALUE TC1value=100u</ns0:t>
        </ns0:is>
      </ns0:c>
      <ns0:c xmlns:ns0="http://schemas.openxmlformats.org/spreadsheetml/2006/main" r="AE88" s="16" t="inlineStr">
        <ns0:is>
          <ns0:t>X</ns0:t>
        </ns0:is>
      </ns0:c>
      <ns0:c xmlns:ns0="http://schemas.openxmlformats.org/spreadsheetml/2006/main" r="AF88" s="16" t="str">
        <ns0:v>(1:1),(2:2)</ns0:v>
      </ns0:c>
      <ns0:c xmlns:ns0="http://schemas.openxmlformats.org/spreadsheetml/2006/main" r="AG88" s="16" t="inlineStr">
        <ns0:is>
          <ns0:t>Simulation\Resistors\MY_LIB_R_TCR.ckt</ns0:t>
        </ns0:is>
      </ns0:c>
      <ns0:c xmlns:ns0="http://schemas.openxmlformats.org/spreadsheetml/2006/main" r="AH88" s="16" t="inlineStr">
        <ns0:is>
          <ns0:t>±100 ppm/°C</ns0:t>
        </ns0:is>
      </ns0:c>
    </ns0:row>
    <ns0:row r="89" ht="30" customHeight="1">
      <ns0:c r="A89" t="str" s="10">
        <ns0:v>R0095</ns0:v>
      </ns0:c>
      <ns0:c r="B89" t="str" s="10">
        <ns0:v>Резистор</ns0:v>
      </ns0:c>
      <ns0:c r="C89" t="str" s="10">
        <ns0:v>3.9k</ns0:v>
      </ns0:c>
      <ns0:c r="D89" t="str" s="11">
        <ns0:f>SUBSTITUTE(SUBSTITUTE(SUBSTITUTE(SUBSTITUTE(C89,"meg"," МОм"),"k"," кОм"),"R"," Ом"),".",",")</ns0:f>
        <ns0:v>3,9 кОм</ns0:v>
      </ns0:c>
      <ns0:c r="E89" t="str" s="10">
        <ns0:v>±5%</ns0:v>
      </ns0:c>
      <ns0:c r="F89" t="str" s="10">
        <ns0:v>0,1 Вт</ns0:v>
      </ns0:c>
      <ns0:c r="G89" t="str" s="10">
        <ns0:v>75 В макс.</ns0:v>
      </ns0:c>
      <ns0:c r="H89" t="str" s="12">
        <ns0:v>0603</ns0:v>
      </ns0:c>
      <ns0:c r="I89" t="str" s="10">
        <ns0:v>YAGEO</ns0:v>
      </ns0:c>
      <ns0:c r="J89" t="str" s="10">
        <ns0:v>RC0603JR-073K9L</ns0:v>
      </ns0:c>
      <ns0:c r="K89" t="str" s="11">
        <ns0:f>B89&amp;" "&amp;D89&amp;" "&amp;E89&amp;" "&amp;H89</ns0:f>
        <ns0:v>Резистор 3,9 кОм ±5% 0603</ns0:v>
      </ns0:c>
      <ns0:c r="L89" t="str" s="13">
        <ns0:v>R</ns0:v>
      </ns0:c>
      <ns0:c r="M89" t="str" s="13">
        <ns0:v>Symbols\MY_LIB_Resistors.SchLib</ns0:v>
      </ns0:c>
      <ns0:c r="N89" t="str" s="13">
        <ns0:v>RESC1608X55N</ns0:v>
      </ns0:c>
      <ns0:c r="O89" t="str" s="13">
        <ns0:v>Footprints\PBL - SMD Packages.PcbLib</ns0:v>
      </ns0:c>
      <ns0:c xmlns:ns0="http://schemas.openxmlformats.org/spreadsheetml/2006/main" r="P8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89" s="10"/>
      <ns0:c r="R89" t="str" s="11">
        <ns0:f>D89</ns0:f>
        <ns0:v>3,9 кОм</ns0:v>
      </ns0:c>
      <ns0:c r="S89" t="str" s="11">
        <ns0:f>K89</ns0:f>
        <ns0:v>Резистор 3,9 кОм ±5% 0603</ns0:v>
      </ns0:c>
      <x:c xmlns:x="http://schemas.openxmlformats.org/spreadsheetml/2006/main" r="T89" t="str" s="11">
        <x:v>C:\Users\Nomatin\Documents\Altium\MY_LIB\MY_LIB\Datasheets\YAGEO_RC_L.pdf</x:v>
      </x:c>
      <x:c xmlns:x="http://schemas.openxmlformats.org/spreadsheetml/2006/main" r="U89" t="str" s="11">
        <x:v>Даташит — локальный</x:v>
      </x:c>
      <x:c xmlns:x="http://schemas.openxmlformats.org/spreadsheetml/2006/main" r="V89" t="str" s="11">
        <x:v>C:\Users\Nomatin\Documents\Altium\MY_LIB\MY_LIB\Datasheets\YAGEO_RC_L.pdf</x:v>
      </x:c>
      <x:c xmlns:x="http://schemas.openxmlformats.org/spreadsheetml/2006/main" r="W89" t="str" s="11">
        <x:v>Даташит — производитель</x:v>
      </x:c>
      <x:c xmlns:x="http://schemas.openxmlformats.org/spreadsheetml/2006/main" r="X89" t="str" s="11">
        <x:v>https://yageogroup.com/content/datasheet/asset/file/PYU-RC_GROUP_51_ROHS_L</x:v>
      </x:c>
      <x:c xmlns:x="http://schemas.openxmlformats.org/spreadsheetml/2006/main" r="Y89" t="str" s="11">
        <x:v>C:\Users\Nomatin\Documents\Altium\MY_LIB\MY_LIB\Datasheets\YAGEO_RC_L.pdf</x:v>
      </x:c>
      <ns0:c xmlns:ns0="http://schemas.openxmlformats.org/spreadsheetml/2006/main" r="Z89" s="16" t="inlineStr">
        <ns0:is>
          <ns0:t>MY_LIB_R_TCR</ns0:t>
        </ns0:is>
      </ns0:c>
      <ns0:c xmlns:ns0="http://schemas.openxmlformats.org/spreadsheetml/2006/main" r="AA89" s="16" t="inlineStr">
        <ns0:is>
          <ns0:t>R(T), +100 ppm/C at 25 C; positive datasheet limit</ns0:t>
        </ns0:is>
      </ns0:c>
      <ns0:c xmlns:ns0="http://schemas.openxmlformats.org/spreadsheetml/2006/main" r="AB89" s="16" t="str">
        <ns0:v>General</ns0:v>
      </ns0:c>
      <ns0:c xmlns:ns0="http://schemas.openxmlformats.org/spreadsheetml/2006/main" r="AC89" s="16" t="inlineStr">
        <ns0:is>
          <ns0:t>Spice Subcircuit</ns0:t>
        </ns0:is>
      </ns0:c>
      <ns0:c xmlns:ns0="http://schemas.openxmlformats.org/spreadsheetml/2006/main" r="AD89" s="16" t="inlineStr">
        <ns0:is>
          <ns0:t>@DESIGNATOR %1 %2 @MODEL PARAMS: Rvalue=@VALUE TC1value=100u</ns0:t>
        </ns0:is>
      </ns0:c>
      <ns0:c xmlns:ns0="http://schemas.openxmlformats.org/spreadsheetml/2006/main" r="AE89" s="16" t="inlineStr">
        <ns0:is>
          <ns0:t>X</ns0:t>
        </ns0:is>
      </ns0:c>
      <ns0:c xmlns:ns0="http://schemas.openxmlformats.org/spreadsheetml/2006/main" r="AF89" s="16" t="str">
        <ns0:v>(1:1),(2:2)</ns0:v>
      </ns0:c>
      <ns0:c xmlns:ns0="http://schemas.openxmlformats.org/spreadsheetml/2006/main" r="AG89" s="16" t="inlineStr">
        <ns0:is>
          <ns0:t>Simulation\Resistors\MY_LIB_R_TCR.ckt</ns0:t>
        </ns0:is>
      </ns0:c>
      <ns0:c xmlns:ns0="http://schemas.openxmlformats.org/spreadsheetml/2006/main" r="AH89" s="16" t="inlineStr">
        <ns0:is>
          <ns0:t>±100 ppm/°C</ns0:t>
        </ns0:is>
      </ns0:c>
    </ns0:row>
    <ns0:row r="90" ht="30" customHeight="1">
      <ns0:c r="A90" t="str" s="10">
        <ns0:v>R0096</ns0:v>
      </ns0:c>
      <ns0:c r="B90" t="str" s="10">
        <ns0:v>Резистор</ns0:v>
      </ns0:c>
      <ns0:c r="C90" t="str" s="10">
        <ns0:v>4.3k</ns0:v>
      </ns0:c>
      <ns0:c r="D90" t="str" s="11">
        <ns0:f>SUBSTITUTE(SUBSTITUTE(SUBSTITUTE(SUBSTITUTE(C90,"meg"," МОм"),"k"," кОм"),"R"," Ом"),".",",")</ns0:f>
        <ns0:v>4,3 кОм</ns0:v>
      </ns0:c>
      <ns0:c r="E90" t="str" s="10">
        <ns0:v>±5%</ns0:v>
      </ns0:c>
      <ns0:c r="F90" t="str" s="10">
        <ns0:v>0,1 Вт</ns0:v>
      </ns0:c>
      <ns0:c r="G90" t="str" s="10">
        <ns0:v>75 В макс.</ns0:v>
      </ns0:c>
      <ns0:c r="H90" t="str" s="12">
        <ns0:v>0603</ns0:v>
      </ns0:c>
      <ns0:c r="I90" t="str" s="10">
        <ns0:v>YAGEO</ns0:v>
      </ns0:c>
      <ns0:c r="J90" t="str" s="10">
        <ns0:v>RC0603JR-074K3L</ns0:v>
      </ns0:c>
      <ns0:c r="K90" t="str" s="11">
        <ns0:f>B90&amp;" "&amp;D90&amp;" "&amp;E90&amp;" "&amp;H90</ns0:f>
        <ns0:v>Резистор 4,3 кОм ±5% 0603</ns0:v>
      </ns0:c>
      <ns0:c r="L90" t="str" s="13">
        <ns0:v>R</ns0:v>
      </ns0:c>
      <ns0:c r="M90" t="str" s="13">
        <ns0:v>Symbols\MY_LIB_Resistors.SchLib</ns0:v>
      </ns0:c>
      <ns0:c r="N90" t="str" s="13">
        <ns0:v>RESC1608X55N</ns0:v>
      </ns0:c>
      <ns0:c r="O90" t="str" s="13">
        <ns0:v>Footprints\PBL - SMD Packages.PcbLib</ns0:v>
      </ns0:c>
      <ns0:c xmlns:ns0="http://schemas.openxmlformats.org/spreadsheetml/2006/main" r="P9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0" s="10"/>
      <ns0:c r="R90" t="str" s="11">
        <ns0:f>D90</ns0:f>
        <ns0:v>4,3 кОм</ns0:v>
      </ns0:c>
      <ns0:c r="S90" t="str" s="11">
        <ns0:f>K90</ns0:f>
        <ns0:v>Резистор 4,3 кОм ±5% 0603</ns0:v>
      </ns0:c>
      <x:c xmlns:x="http://schemas.openxmlformats.org/spreadsheetml/2006/main" r="T90" t="str" s="11">
        <x:v>C:\Users\Nomatin\Documents\Altium\MY_LIB\MY_LIB\Datasheets\YAGEO_RC_L.pdf</x:v>
      </x:c>
      <x:c xmlns:x="http://schemas.openxmlformats.org/spreadsheetml/2006/main" r="U90" t="str" s="11">
        <x:v>Даташит — локальный</x:v>
      </x:c>
      <x:c xmlns:x="http://schemas.openxmlformats.org/spreadsheetml/2006/main" r="V90" t="str" s="11">
        <x:v>C:\Users\Nomatin\Documents\Altium\MY_LIB\MY_LIB\Datasheets\YAGEO_RC_L.pdf</x:v>
      </x:c>
      <x:c xmlns:x="http://schemas.openxmlformats.org/spreadsheetml/2006/main" r="W90" t="str" s="11">
        <x:v>Даташит — производитель</x:v>
      </x:c>
      <x:c xmlns:x="http://schemas.openxmlformats.org/spreadsheetml/2006/main" r="X90" t="str" s="11">
        <x:v>https://yageogroup.com/content/datasheet/asset/file/PYU-RC_GROUP_51_ROHS_L</x:v>
      </x:c>
      <x:c xmlns:x="http://schemas.openxmlformats.org/spreadsheetml/2006/main" r="Y90" t="str" s="11">
        <x:v>C:\Users\Nomatin\Documents\Altium\MY_LIB\MY_LIB\Datasheets\YAGEO_RC_L.pdf</x:v>
      </x:c>
      <ns0:c xmlns:ns0="http://schemas.openxmlformats.org/spreadsheetml/2006/main" r="Z90" s="16" t="inlineStr">
        <ns0:is>
          <ns0:t>MY_LIB_R_TCR</ns0:t>
        </ns0:is>
      </ns0:c>
      <ns0:c xmlns:ns0="http://schemas.openxmlformats.org/spreadsheetml/2006/main" r="AA90" s="16" t="inlineStr">
        <ns0:is>
          <ns0:t>R(T), +100 ppm/C at 25 C; positive datasheet limit</ns0:t>
        </ns0:is>
      </ns0:c>
      <ns0:c xmlns:ns0="http://schemas.openxmlformats.org/spreadsheetml/2006/main" r="AB90" s="16" t="str">
        <ns0:v>General</ns0:v>
      </ns0:c>
      <ns0:c xmlns:ns0="http://schemas.openxmlformats.org/spreadsheetml/2006/main" r="AC90" s="16" t="inlineStr">
        <ns0:is>
          <ns0:t>Spice Subcircuit</ns0:t>
        </ns0:is>
      </ns0:c>
      <ns0:c xmlns:ns0="http://schemas.openxmlformats.org/spreadsheetml/2006/main" r="AD90" s="16" t="inlineStr">
        <ns0:is>
          <ns0:t>@DESIGNATOR %1 %2 @MODEL PARAMS: Rvalue=@VALUE TC1value=100u</ns0:t>
        </ns0:is>
      </ns0:c>
      <ns0:c xmlns:ns0="http://schemas.openxmlformats.org/spreadsheetml/2006/main" r="AE90" s="16" t="inlineStr">
        <ns0:is>
          <ns0:t>X</ns0:t>
        </ns0:is>
      </ns0:c>
      <ns0:c xmlns:ns0="http://schemas.openxmlformats.org/spreadsheetml/2006/main" r="AF90" s="16" t="str">
        <ns0:v>(1:1),(2:2)</ns0:v>
      </ns0:c>
      <ns0:c xmlns:ns0="http://schemas.openxmlformats.org/spreadsheetml/2006/main" r="AG90" s="16" t="inlineStr">
        <ns0:is>
          <ns0:t>Simulation\Resistors\MY_LIB_R_TCR.ckt</ns0:t>
        </ns0:is>
      </ns0:c>
      <ns0:c xmlns:ns0="http://schemas.openxmlformats.org/spreadsheetml/2006/main" r="AH90" s="16" t="inlineStr">
        <ns0:is>
          <ns0:t>±100 ppm/°C</ns0:t>
        </ns0:is>
      </ns0:c>
    </ns0:row>
    <ns0:row r="91" ht="30" customHeight="1">
      <ns0:c r="A91" t="str" s="10">
        <ns0:v>R0097</ns0:v>
      </ns0:c>
      <ns0:c r="B91" t="str" s="10">
        <ns0:v>Резистор</ns0:v>
      </ns0:c>
      <ns0:c r="C91" t="str" s="10">
        <ns0:v>4.7k</ns0:v>
      </ns0:c>
      <ns0:c r="D91" t="str" s="11">
        <ns0:f>SUBSTITUTE(SUBSTITUTE(SUBSTITUTE(SUBSTITUTE(C91,"meg"," МОм"),"k"," кОм"),"R"," Ом"),".",",")</ns0:f>
        <ns0:v>4,7 кОм</ns0:v>
      </ns0:c>
      <ns0:c r="E91" t="str" s="10">
        <ns0:v>±5%</ns0:v>
      </ns0:c>
      <ns0:c r="F91" t="str" s="10">
        <ns0:v>0,1 Вт</ns0:v>
      </ns0:c>
      <ns0:c r="G91" t="str" s="10">
        <ns0:v>75 В макс.</ns0:v>
      </ns0:c>
      <ns0:c r="H91" t="str" s="12">
        <ns0:v>0603</ns0:v>
      </ns0:c>
      <ns0:c r="I91" t="str" s="10">
        <ns0:v>YAGEO</ns0:v>
      </ns0:c>
      <ns0:c r="J91" t="str" s="10">
        <ns0:v>RC0603JR-074K7L</ns0:v>
      </ns0:c>
      <ns0:c r="K91" t="str" s="11">
        <ns0:f>B91&amp;" "&amp;D91&amp;" "&amp;E91&amp;" "&amp;H91</ns0:f>
        <ns0:v>Резистор 4,7 кОм ±5% 0603</ns0:v>
      </ns0:c>
      <ns0:c r="L91" t="str" s="13">
        <ns0:v>R</ns0:v>
      </ns0:c>
      <ns0:c r="M91" t="str" s="13">
        <ns0:v>Symbols\MY_LIB_Resistors.SchLib</ns0:v>
      </ns0:c>
      <ns0:c r="N91" t="str" s="13">
        <ns0:v>RESC1608X55N</ns0:v>
      </ns0:c>
      <ns0:c r="O91" t="str" s="13">
        <ns0:v>Footprints\PBL - SMD Packages.PcbLib</ns0:v>
      </ns0:c>
      <ns0:c xmlns:ns0="http://schemas.openxmlformats.org/spreadsheetml/2006/main" r="P9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1" s="10"/>
      <ns0:c r="R91" t="str" s="11">
        <ns0:f>D91</ns0:f>
        <ns0:v>4,7 кОм</ns0:v>
      </ns0:c>
      <ns0:c r="S91" t="str" s="11">
        <ns0:f>K91</ns0:f>
        <ns0:v>Резистор 4,7 кОм ±5% 0603</ns0:v>
      </ns0:c>
      <x:c xmlns:x="http://schemas.openxmlformats.org/spreadsheetml/2006/main" r="T91" t="str" s="11">
        <x:v>C:\Users\Nomatin\Documents\Altium\MY_LIB\MY_LIB\Datasheets\YAGEO_RC_L.pdf</x:v>
      </x:c>
      <x:c xmlns:x="http://schemas.openxmlformats.org/spreadsheetml/2006/main" r="U91" t="str" s="11">
        <x:v>Даташит — локальный</x:v>
      </x:c>
      <x:c xmlns:x="http://schemas.openxmlformats.org/spreadsheetml/2006/main" r="V91" t="str" s="11">
        <x:v>C:\Users\Nomatin\Documents\Altium\MY_LIB\MY_LIB\Datasheets\YAGEO_RC_L.pdf</x:v>
      </x:c>
      <x:c xmlns:x="http://schemas.openxmlformats.org/spreadsheetml/2006/main" r="W91" t="str" s="11">
        <x:v>Даташит — производитель</x:v>
      </x:c>
      <x:c xmlns:x="http://schemas.openxmlformats.org/spreadsheetml/2006/main" r="X91" t="str" s="11">
        <x:v>https://yageogroup.com/content/datasheet/asset/file/PYU-RC_GROUP_51_ROHS_L</x:v>
      </x:c>
      <x:c xmlns:x="http://schemas.openxmlformats.org/spreadsheetml/2006/main" r="Y91" t="str" s="11">
        <x:v>C:\Users\Nomatin\Documents\Altium\MY_LIB\MY_LIB\Datasheets\YAGEO_RC_L.pdf</x:v>
      </x:c>
      <ns0:c xmlns:ns0="http://schemas.openxmlformats.org/spreadsheetml/2006/main" r="Z91" s="16" t="inlineStr">
        <ns0:is>
          <ns0:t>MY_LIB_R_TCR</ns0:t>
        </ns0:is>
      </ns0:c>
      <ns0:c xmlns:ns0="http://schemas.openxmlformats.org/spreadsheetml/2006/main" r="AA91" s="16" t="inlineStr">
        <ns0:is>
          <ns0:t>R(T), +100 ppm/C at 25 C; positive datasheet limit</ns0:t>
        </ns0:is>
      </ns0:c>
      <ns0:c xmlns:ns0="http://schemas.openxmlformats.org/spreadsheetml/2006/main" r="AB91" s="16" t="str">
        <ns0:v>General</ns0:v>
      </ns0:c>
      <ns0:c xmlns:ns0="http://schemas.openxmlformats.org/spreadsheetml/2006/main" r="AC91" s="16" t="inlineStr">
        <ns0:is>
          <ns0:t>Spice Subcircuit</ns0:t>
        </ns0:is>
      </ns0:c>
      <ns0:c xmlns:ns0="http://schemas.openxmlformats.org/spreadsheetml/2006/main" r="AD91" s="16" t="inlineStr">
        <ns0:is>
          <ns0:t>@DESIGNATOR %1 %2 @MODEL PARAMS: Rvalue=@VALUE TC1value=100u</ns0:t>
        </ns0:is>
      </ns0:c>
      <ns0:c xmlns:ns0="http://schemas.openxmlformats.org/spreadsheetml/2006/main" r="AE91" s="16" t="inlineStr">
        <ns0:is>
          <ns0:t>X</ns0:t>
        </ns0:is>
      </ns0:c>
      <ns0:c xmlns:ns0="http://schemas.openxmlformats.org/spreadsheetml/2006/main" r="AF91" s="16" t="str">
        <ns0:v>(1:1),(2:2)</ns0:v>
      </ns0:c>
      <ns0:c xmlns:ns0="http://schemas.openxmlformats.org/spreadsheetml/2006/main" r="AG91" s="16" t="inlineStr">
        <ns0:is>
          <ns0:t>Simulation\Resistors\MY_LIB_R_TCR.ckt</ns0:t>
        </ns0:is>
      </ns0:c>
      <ns0:c xmlns:ns0="http://schemas.openxmlformats.org/spreadsheetml/2006/main" r="AH91" s="16" t="inlineStr">
        <ns0:is>
          <ns0:t>±100 ppm/°C</ns0:t>
        </ns0:is>
      </ns0:c>
    </ns0:row>
    <ns0:row r="92" ht="30" customHeight="1">
      <ns0:c r="A92" t="str" s="10">
        <ns0:v>R0098</ns0:v>
      </ns0:c>
      <ns0:c r="B92" t="str" s="10">
        <ns0:v>Резистор</ns0:v>
      </ns0:c>
      <ns0:c r="C92" t="str" s="10">
        <ns0:v>5.1k</ns0:v>
      </ns0:c>
      <ns0:c r="D92" t="str" s="11">
        <ns0:f>SUBSTITUTE(SUBSTITUTE(SUBSTITUTE(SUBSTITUTE(C92,"meg"," МОм"),"k"," кОм"),"R"," Ом"),".",",")</ns0:f>
        <ns0:v>5,1 кОм</ns0:v>
      </ns0:c>
      <ns0:c r="E92" t="str" s="10">
        <ns0:v>±5%</ns0:v>
      </ns0:c>
      <ns0:c r="F92" t="str" s="10">
        <ns0:v>0,1 Вт</ns0:v>
      </ns0:c>
      <ns0:c r="G92" t="str" s="10">
        <ns0:v>75 В макс.</ns0:v>
      </ns0:c>
      <ns0:c r="H92" t="str" s="12">
        <ns0:v>0603</ns0:v>
      </ns0:c>
      <ns0:c r="I92" t="str" s="10">
        <ns0:v>YAGEO</ns0:v>
      </ns0:c>
      <ns0:c r="J92" t="str" s="10">
        <ns0:v>RC0603JR-075K1L</ns0:v>
      </ns0:c>
      <ns0:c r="K92" t="str" s="11">
        <ns0:f>B92&amp;" "&amp;D92&amp;" "&amp;E92&amp;" "&amp;H92</ns0:f>
        <ns0:v>Резистор 5,1 кОм ±5% 0603</ns0:v>
      </ns0:c>
      <ns0:c r="L92" t="str" s="13">
        <ns0:v>R</ns0:v>
      </ns0:c>
      <ns0:c r="M92" t="str" s="13">
        <ns0:v>Symbols\MY_LIB_Resistors.SchLib</ns0:v>
      </ns0:c>
      <ns0:c r="N92" t="str" s="13">
        <ns0:v>RESC1608X55N</ns0:v>
      </ns0:c>
      <ns0:c r="O92" t="str" s="13">
        <ns0:v>Footprints\PBL - SMD Packages.PcbLib</ns0:v>
      </ns0:c>
      <ns0:c xmlns:ns0="http://schemas.openxmlformats.org/spreadsheetml/2006/main" r="P9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2" s="10"/>
      <ns0:c r="R92" t="str" s="11">
        <ns0:f>D92</ns0:f>
        <ns0:v>5,1 кОм</ns0:v>
      </ns0:c>
      <ns0:c r="S92" t="str" s="11">
        <ns0:f>K92</ns0:f>
        <ns0:v>Резистор 5,1 кОм ±5% 0603</ns0:v>
      </ns0:c>
      <x:c xmlns:x="http://schemas.openxmlformats.org/spreadsheetml/2006/main" r="T92" t="str" s="11">
        <x:v>C:\Users\Nomatin\Documents\Altium\MY_LIB\MY_LIB\Datasheets\YAGEO_RC_L.pdf</x:v>
      </x:c>
      <x:c xmlns:x="http://schemas.openxmlformats.org/spreadsheetml/2006/main" r="U92" t="str" s="11">
        <x:v>Даташит — локальный</x:v>
      </x:c>
      <x:c xmlns:x="http://schemas.openxmlformats.org/spreadsheetml/2006/main" r="V92" t="str" s="11">
        <x:v>C:\Users\Nomatin\Documents\Altium\MY_LIB\MY_LIB\Datasheets\YAGEO_RC_L.pdf</x:v>
      </x:c>
      <x:c xmlns:x="http://schemas.openxmlformats.org/spreadsheetml/2006/main" r="W92" t="str" s="11">
        <x:v>Даташит — производитель</x:v>
      </x:c>
      <x:c xmlns:x="http://schemas.openxmlformats.org/spreadsheetml/2006/main" r="X92" t="str" s="11">
        <x:v>https://yageogroup.com/content/datasheet/asset/file/PYU-RC_GROUP_51_ROHS_L</x:v>
      </x:c>
      <x:c xmlns:x="http://schemas.openxmlformats.org/spreadsheetml/2006/main" r="Y92" t="str" s="11">
        <x:v>C:\Users\Nomatin\Documents\Altium\MY_LIB\MY_LIB\Datasheets\YAGEO_RC_L.pdf</x:v>
      </x:c>
      <ns0:c xmlns:ns0="http://schemas.openxmlformats.org/spreadsheetml/2006/main" r="Z92" s="16" t="inlineStr">
        <ns0:is>
          <ns0:t>MY_LIB_R_TCR</ns0:t>
        </ns0:is>
      </ns0:c>
      <ns0:c xmlns:ns0="http://schemas.openxmlformats.org/spreadsheetml/2006/main" r="AA92" s="16" t="inlineStr">
        <ns0:is>
          <ns0:t>R(T), +100 ppm/C at 25 C; positive datasheet limit</ns0:t>
        </ns0:is>
      </ns0:c>
      <ns0:c xmlns:ns0="http://schemas.openxmlformats.org/spreadsheetml/2006/main" r="AB92" s="16" t="str">
        <ns0:v>General</ns0:v>
      </ns0:c>
      <ns0:c xmlns:ns0="http://schemas.openxmlformats.org/spreadsheetml/2006/main" r="AC92" s="16" t="inlineStr">
        <ns0:is>
          <ns0:t>Spice Subcircuit</ns0:t>
        </ns0:is>
      </ns0:c>
      <ns0:c xmlns:ns0="http://schemas.openxmlformats.org/spreadsheetml/2006/main" r="AD92" s="16" t="inlineStr">
        <ns0:is>
          <ns0:t>@DESIGNATOR %1 %2 @MODEL PARAMS: Rvalue=@VALUE TC1value=100u</ns0:t>
        </ns0:is>
      </ns0:c>
      <ns0:c xmlns:ns0="http://schemas.openxmlformats.org/spreadsheetml/2006/main" r="AE92" s="16" t="inlineStr">
        <ns0:is>
          <ns0:t>X</ns0:t>
        </ns0:is>
      </ns0:c>
      <ns0:c xmlns:ns0="http://schemas.openxmlformats.org/spreadsheetml/2006/main" r="AF92" s="16" t="str">
        <ns0:v>(1:1),(2:2)</ns0:v>
      </ns0:c>
      <ns0:c xmlns:ns0="http://schemas.openxmlformats.org/spreadsheetml/2006/main" r="AG92" s="16" t="inlineStr">
        <ns0:is>
          <ns0:t>Simulation\Resistors\MY_LIB_R_TCR.ckt</ns0:t>
        </ns0:is>
      </ns0:c>
      <ns0:c xmlns:ns0="http://schemas.openxmlformats.org/spreadsheetml/2006/main" r="AH92" s="16" t="inlineStr">
        <ns0:is>
          <ns0:t>±100 ppm/°C</ns0:t>
        </ns0:is>
      </ns0:c>
    </ns0:row>
    <ns0:row r="93" ht="30" customHeight="1">
      <ns0:c r="A93" t="str" s="10">
        <ns0:v>R0099</ns0:v>
      </ns0:c>
      <ns0:c r="B93" t="str" s="10">
        <ns0:v>Резистор</ns0:v>
      </ns0:c>
      <ns0:c r="C93" t="str" s="10">
        <ns0:v>5.6k</ns0:v>
      </ns0:c>
      <ns0:c r="D93" t="str" s="11">
        <ns0:f>SUBSTITUTE(SUBSTITUTE(SUBSTITUTE(SUBSTITUTE(C93,"meg"," МОм"),"k"," кОм"),"R"," Ом"),".",",")</ns0:f>
        <ns0:v>5,6 кОм</ns0:v>
      </ns0:c>
      <ns0:c r="E93" t="str" s="10">
        <ns0:v>±5%</ns0:v>
      </ns0:c>
      <ns0:c r="F93" t="str" s="10">
        <ns0:v>0,1 Вт</ns0:v>
      </ns0:c>
      <ns0:c r="G93" t="str" s="10">
        <ns0:v>75 В макс.</ns0:v>
      </ns0:c>
      <ns0:c r="H93" t="str" s="12">
        <ns0:v>0603</ns0:v>
      </ns0:c>
      <ns0:c r="I93" t="str" s="10">
        <ns0:v>YAGEO</ns0:v>
      </ns0:c>
      <ns0:c r="J93" t="str" s="10">
        <ns0:v>RC0603JR-075K6L</ns0:v>
      </ns0:c>
      <ns0:c r="K93" t="str" s="11">
        <ns0:f>B93&amp;" "&amp;D93&amp;" "&amp;E93&amp;" "&amp;H93</ns0:f>
        <ns0:v>Резистор 5,6 кОм ±5% 0603</ns0:v>
      </ns0:c>
      <ns0:c r="L93" t="str" s="13">
        <ns0:v>R</ns0:v>
      </ns0:c>
      <ns0:c r="M93" t="str" s="13">
        <ns0:v>Symbols\MY_LIB_Resistors.SchLib</ns0:v>
      </ns0:c>
      <ns0:c r="N93" t="str" s="13">
        <ns0:v>RESC1608X55N</ns0:v>
      </ns0:c>
      <ns0:c r="O93" t="str" s="13">
        <ns0:v>Footprints\PBL - SMD Packages.PcbLib</ns0:v>
      </ns0:c>
      <ns0:c xmlns:ns0="http://schemas.openxmlformats.org/spreadsheetml/2006/main" r="P9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3" s="10"/>
      <ns0:c r="R93" t="str" s="11">
        <ns0:f>D93</ns0:f>
        <ns0:v>5,6 кОм</ns0:v>
      </ns0:c>
      <ns0:c r="S93" t="str" s="11">
        <ns0:f>K93</ns0:f>
        <ns0:v>Резистор 5,6 кОм ±5% 0603</ns0:v>
      </ns0:c>
      <x:c xmlns:x="http://schemas.openxmlformats.org/spreadsheetml/2006/main" r="T93" t="str" s="11">
        <x:v>C:\Users\Nomatin\Documents\Altium\MY_LIB\MY_LIB\Datasheets\YAGEO_RC_L.pdf</x:v>
      </x:c>
      <x:c xmlns:x="http://schemas.openxmlformats.org/spreadsheetml/2006/main" r="U93" t="str" s="11">
        <x:v>Даташит — локальный</x:v>
      </x:c>
      <x:c xmlns:x="http://schemas.openxmlformats.org/spreadsheetml/2006/main" r="V93" t="str" s="11">
        <x:v>C:\Users\Nomatin\Documents\Altium\MY_LIB\MY_LIB\Datasheets\YAGEO_RC_L.pdf</x:v>
      </x:c>
      <x:c xmlns:x="http://schemas.openxmlformats.org/spreadsheetml/2006/main" r="W93" t="str" s="11">
        <x:v>Даташит — производитель</x:v>
      </x:c>
      <x:c xmlns:x="http://schemas.openxmlformats.org/spreadsheetml/2006/main" r="X93" t="str" s="11">
        <x:v>https://yageogroup.com/content/datasheet/asset/file/PYU-RC_GROUP_51_ROHS_L</x:v>
      </x:c>
      <x:c xmlns:x="http://schemas.openxmlformats.org/spreadsheetml/2006/main" r="Y93" t="str" s="11">
        <x:v>C:\Users\Nomatin\Documents\Altium\MY_LIB\MY_LIB\Datasheets\YAGEO_RC_L.pdf</x:v>
      </x:c>
      <ns0:c xmlns:ns0="http://schemas.openxmlformats.org/spreadsheetml/2006/main" r="Z93" s="16" t="inlineStr">
        <ns0:is>
          <ns0:t>MY_LIB_R_TCR</ns0:t>
        </ns0:is>
      </ns0:c>
      <ns0:c xmlns:ns0="http://schemas.openxmlformats.org/spreadsheetml/2006/main" r="AA93" s="16" t="inlineStr">
        <ns0:is>
          <ns0:t>R(T), +100 ppm/C at 25 C; positive datasheet limit</ns0:t>
        </ns0:is>
      </ns0:c>
      <ns0:c xmlns:ns0="http://schemas.openxmlformats.org/spreadsheetml/2006/main" r="AB93" s="16" t="str">
        <ns0:v>General</ns0:v>
      </ns0:c>
      <ns0:c xmlns:ns0="http://schemas.openxmlformats.org/spreadsheetml/2006/main" r="AC93" s="16" t="inlineStr">
        <ns0:is>
          <ns0:t>Spice Subcircuit</ns0:t>
        </ns0:is>
      </ns0:c>
      <ns0:c xmlns:ns0="http://schemas.openxmlformats.org/spreadsheetml/2006/main" r="AD93" s="16" t="inlineStr">
        <ns0:is>
          <ns0:t>@DESIGNATOR %1 %2 @MODEL PARAMS: Rvalue=@VALUE TC1value=100u</ns0:t>
        </ns0:is>
      </ns0:c>
      <ns0:c xmlns:ns0="http://schemas.openxmlformats.org/spreadsheetml/2006/main" r="AE93" s="16" t="inlineStr">
        <ns0:is>
          <ns0:t>X</ns0:t>
        </ns0:is>
      </ns0:c>
      <ns0:c xmlns:ns0="http://schemas.openxmlformats.org/spreadsheetml/2006/main" r="AF93" s="16" t="str">
        <ns0:v>(1:1),(2:2)</ns0:v>
      </ns0:c>
      <ns0:c xmlns:ns0="http://schemas.openxmlformats.org/spreadsheetml/2006/main" r="AG93" s="16" t="inlineStr">
        <ns0:is>
          <ns0:t>Simulation\Resistors\MY_LIB_R_TCR.ckt</ns0:t>
        </ns0:is>
      </ns0:c>
      <ns0:c xmlns:ns0="http://schemas.openxmlformats.org/spreadsheetml/2006/main" r="AH93" s="16" t="inlineStr">
        <ns0:is>
          <ns0:t>±100 ppm/°C</ns0:t>
        </ns0:is>
      </ns0:c>
    </ns0:row>
    <ns0:row r="94" ht="30" customHeight="1">
      <ns0:c r="A94" t="str" s="10">
        <ns0:v>R0100</ns0:v>
      </ns0:c>
      <ns0:c r="B94" t="str" s="10">
        <ns0:v>Резистор</ns0:v>
      </ns0:c>
      <ns0:c r="C94" t="str" s="10">
        <ns0:v>6.2k</ns0:v>
      </ns0:c>
      <ns0:c r="D94" t="str" s="11">
        <ns0:f>SUBSTITUTE(SUBSTITUTE(SUBSTITUTE(SUBSTITUTE(C94,"meg"," МОм"),"k"," кОм"),"R"," Ом"),".",",")</ns0:f>
        <ns0:v>6,2 кОм</ns0:v>
      </ns0:c>
      <ns0:c r="E94" t="str" s="10">
        <ns0:v>±5%</ns0:v>
      </ns0:c>
      <ns0:c r="F94" t="str" s="10">
        <ns0:v>0,1 Вт</ns0:v>
      </ns0:c>
      <ns0:c r="G94" t="str" s="10">
        <ns0:v>75 В макс.</ns0:v>
      </ns0:c>
      <ns0:c r="H94" t="str" s="12">
        <ns0:v>0603</ns0:v>
      </ns0:c>
      <ns0:c r="I94" t="str" s="10">
        <ns0:v>YAGEO</ns0:v>
      </ns0:c>
      <ns0:c r="J94" t="str" s="10">
        <ns0:v>RC0603JR-076K2L</ns0:v>
      </ns0:c>
      <ns0:c r="K94" t="str" s="11">
        <ns0:f>B94&amp;" "&amp;D94&amp;" "&amp;E94&amp;" "&amp;H94</ns0:f>
        <ns0:v>Резистор 6,2 кОм ±5% 0603</ns0:v>
      </ns0:c>
      <ns0:c r="L94" t="str" s="13">
        <ns0:v>R</ns0:v>
      </ns0:c>
      <ns0:c r="M94" t="str" s="13">
        <ns0:v>Symbols\MY_LIB_Resistors.SchLib</ns0:v>
      </ns0:c>
      <ns0:c r="N94" t="str" s="13">
        <ns0:v>RESC1608X55N</ns0:v>
      </ns0:c>
      <ns0:c r="O94" t="str" s="13">
        <ns0:v>Footprints\PBL - SMD Packages.PcbLib</ns0:v>
      </ns0:c>
      <ns0:c xmlns:ns0="http://schemas.openxmlformats.org/spreadsheetml/2006/main" r="P9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4" s="10"/>
      <ns0:c r="R94" t="str" s="11">
        <ns0:f>D94</ns0:f>
        <ns0:v>6,2 кОм</ns0:v>
      </ns0:c>
      <ns0:c r="S94" t="str" s="11">
        <ns0:f>K94</ns0:f>
        <ns0:v>Резистор 6,2 кОм ±5% 0603</ns0:v>
      </ns0:c>
      <x:c xmlns:x="http://schemas.openxmlformats.org/spreadsheetml/2006/main" r="T94" t="str" s="11">
        <x:v>C:\Users\Nomatin\Documents\Altium\MY_LIB\MY_LIB\Datasheets\YAGEO_RC_L.pdf</x:v>
      </x:c>
      <x:c xmlns:x="http://schemas.openxmlformats.org/spreadsheetml/2006/main" r="U94" t="str" s="11">
        <x:v>Даташит — локальный</x:v>
      </x:c>
      <x:c xmlns:x="http://schemas.openxmlformats.org/spreadsheetml/2006/main" r="V94" t="str" s="11">
        <x:v>C:\Users\Nomatin\Documents\Altium\MY_LIB\MY_LIB\Datasheets\YAGEO_RC_L.pdf</x:v>
      </x:c>
      <x:c xmlns:x="http://schemas.openxmlformats.org/spreadsheetml/2006/main" r="W94" t="str" s="11">
        <x:v>Даташит — производитель</x:v>
      </x:c>
      <x:c xmlns:x="http://schemas.openxmlformats.org/spreadsheetml/2006/main" r="X94" t="str" s="11">
        <x:v>https://yageogroup.com/content/datasheet/asset/file/PYU-RC_GROUP_51_ROHS_L</x:v>
      </x:c>
      <x:c xmlns:x="http://schemas.openxmlformats.org/spreadsheetml/2006/main" r="Y94" t="str" s="11">
        <x:v>C:\Users\Nomatin\Documents\Altium\MY_LIB\MY_LIB\Datasheets\YAGEO_RC_L.pdf</x:v>
      </x:c>
      <ns0:c xmlns:ns0="http://schemas.openxmlformats.org/spreadsheetml/2006/main" r="Z94" s="16" t="inlineStr">
        <ns0:is>
          <ns0:t>MY_LIB_R_TCR</ns0:t>
        </ns0:is>
      </ns0:c>
      <ns0:c xmlns:ns0="http://schemas.openxmlformats.org/spreadsheetml/2006/main" r="AA94" s="16" t="inlineStr">
        <ns0:is>
          <ns0:t>R(T), +100 ppm/C at 25 C; positive datasheet limit</ns0:t>
        </ns0:is>
      </ns0:c>
      <ns0:c xmlns:ns0="http://schemas.openxmlformats.org/spreadsheetml/2006/main" r="AB94" s="16" t="str">
        <ns0:v>General</ns0:v>
      </ns0:c>
      <ns0:c xmlns:ns0="http://schemas.openxmlformats.org/spreadsheetml/2006/main" r="AC94" s="16" t="inlineStr">
        <ns0:is>
          <ns0:t>Spice Subcircuit</ns0:t>
        </ns0:is>
      </ns0:c>
      <ns0:c xmlns:ns0="http://schemas.openxmlformats.org/spreadsheetml/2006/main" r="AD94" s="16" t="inlineStr">
        <ns0:is>
          <ns0:t>@DESIGNATOR %1 %2 @MODEL PARAMS: Rvalue=@VALUE TC1value=100u</ns0:t>
        </ns0:is>
      </ns0:c>
      <ns0:c xmlns:ns0="http://schemas.openxmlformats.org/spreadsheetml/2006/main" r="AE94" s="16" t="inlineStr">
        <ns0:is>
          <ns0:t>X</ns0:t>
        </ns0:is>
      </ns0:c>
      <ns0:c xmlns:ns0="http://schemas.openxmlformats.org/spreadsheetml/2006/main" r="AF94" s="16" t="str">
        <ns0:v>(1:1),(2:2)</ns0:v>
      </ns0:c>
      <ns0:c xmlns:ns0="http://schemas.openxmlformats.org/spreadsheetml/2006/main" r="AG94" s="16" t="inlineStr">
        <ns0:is>
          <ns0:t>Simulation\Resistors\MY_LIB_R_TCR.ckt</ns0:t>
        </ns0:is>
      </ns0:c>
      <ns0:c xmlns:ns0="http://schemas.openxmlformats.org/spreadsheetml/2006/main" r="AH94" s="16" t="inlineStr">
        <ns0:is>
          <ns0:t>±100 ppm/°C</ns0:t>
        </ns0:is>
      </ns0:c>
    </ns0:row>
    <ns0:row r="95" ht="30" customHeight="1">
      <ns0:c r="A95" t="str" s="10">
        <ns0:v>R0101</ns0:v>
      </ns0:c>
      <ns0:c r="B95" t="str" s="10">
        <ns0:v>Резистор</ns0:v>
      </ns0:c>
      <ns0:c r="C95" t="str" s="10">
        <ns0:v>6.8k</ns0:v>
      </ns0:c>
      <ns0:c r="D95" t="str" s="11">
        <ns0:f>SUBSTITUTE(SUBSTITUTE(SUBSTITUTE(SUBSTITUTE(C95,"meg"," МОм"),"k"," кОм"),"R"," Ом"),".",",")</ns0:f>
        <ns0:v>6,8 кОм</ns0:v>
      </ns0:c>
      <ns0:c r="E95" t="str" s="10">
        <ns0:v>±5%</ns0:v>
      </ns0:c>
      <ns0:c r="F95" t="str" s="10">
        <ns0:v>0,1 Вт</ns0:v>
      </ns0:c>
      <ns0:c r="G95" t="str" s="10">
        <ns0:v>75 В макс.</ns0:v>
      </ns0:c>
      <ns0:c r="H95" t="str" s="12">
        <ns0:v>0603</ns0:v>
      </ns0:c>
      <ns0:c r="I95" t="str" s="10">
        <ns0:v>YAGEO</ns0:v>
      </ns0:c>
      <ns0:c r="J95" t="str" s="10">
        <ns0:v>RC0603JR-076K8L</ns0:v>
      </ns0:c>
      <ns0:c r="K95" t="str" s="11">
        <ns0:f>B95&amp;" "&amp;D95&amp;" "&amp;E95&amp;" "&amp;H95</ns0:f>
        <ns0:v>Резистор 6,8 кОм ±5% 0603</ns0:v>
      </ns0:c>
      <ns0:c r="L95" t="str" s="13">
        <ns0:v>R</ns0:v>
      </ns0:c>
      <ns0:c r="M95" t="str" s="13">
        <ns0:v>Symbols\MY_LIB_Resistors.SchLib</ns0:v>
      </ns0:c>
      <ns0:c r="N95" t="str" s="13">
        <ns0:v>RESC1608X55N</ns0:v>
      </ns0:c>
      <ns0:c r="O95" t="str" s="13">
        <ns0:v>Footprints\PBL - SMD Packages.PcbLib</ns0:v>
      </ns0:c>
      <ns0:c xmlns:ns0="http://schemas.openxmlformats.org/spreadsheetml/2006/main" r="P9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5" s="10"/>
      <ns0:c r="R95" t="str" s="11">
        <ns0:f>D95</ns0:f>
        <ns0:v>6,8 кОм</ns0:v>
      </ns0:c>
      <ns0:c r="S95" t="str" s="11">
        <ns0:f>K95</ns0:f>
        <ns0:v>Резистор 6,8 кОм ±5% 0603</ns0:v>
      </ns0:c>
      <x:c xmlns:x="http://schemas.openxmlformats.org/spreadsheetml/2006/main" r="T95" t="str" s="11">
        <x:v>C:\Users\Nomatin\Documents\Altium\MY_LIB\MY_LIB\Datasheets\YAGEO_RC_L.pdf</x:v>
      </x:c>
      <x:c xmlns:x="http://schemas.openxmlformats.org/spreadsheetml/2006/main" r="U95" t="str" s="11">
        <x:v>Даташит — локальный</x:v>
      </x:c>
      <x:c xmlns:x="http://schemas.openxmlformats.org/spreadsheetml/2006/main" r="V95" t="str" s="11">
        <x:v>C:\Users\Nomatin\Documents\Altium\MY_LIB\MY_LIB\Datasheets\YAGEO_RC_L.pdf</x:v>
      </x:c>
      <x:c xmlns:x="http://schemas.openxmlformats.org/spreadsheetml/2006/main" r="W95" t="str" s="11">
        <x:v>Даташит — производитель</x:v>
      </x:c>
      <x:c xmlns:x="http://schemas.openxmlformats.org/spreadsheetml/2006/main" r="X95" t="str" s="11">
        <x:v>https://yageogroup.com/content/datasheet/asset/file/PYU-RC_GROUP_51_ROHS_L</x:v>
      </x:c>
      <x:c xmlns:x="http://schemas.openxmlformats.org/spreadsheetml/2006/main" r="Y95" t="str" s="11">
        <x:v>C:\Users\Nomatin\Documents\Altium\MY_LIB\MY_LIB\Datasheets\YAGEO_RC_L.pdf</x:v>
      </x:c>
      <ns0:c xmlns:ns0="http://schemas.openxmlformats.org/spreadsheetml/2006/main" r="Z95" s="16" t="inlineStr">
        <ns0:is>
          <ns0:t>MY_LIB_R_TCR</ns0:t>
        </ns0:is>
      </ns0:c>
      <ns0:c xmlns:ns0="http://schemas.openxmlformats.org/spreadsheetml/2006/main" r="AA95" s="16" t="inlineStr">
        <ns0:is>
          <ns0:t>R(T), +100 ppm/C at 25 C; positive datasheet limit</ns0:t>
        </ns0:is>
      </ns0:c>
      <ns0:c xmlns:ns0="http://schemas.openxmlformats.org/spreadsheetml/2006/main" r="AB95" s="16" t="str">
        <ns0:v>General</ns0:v>
      </ns0:c>
      <ns0:c xmlns:ns0="http://schemas.openxmlformats.org/spreadsheetml/2006/main" r="AC95" s="16" t="inlineStr">
        <ns0:is>
          <ns0:t>Spice Subcircuit</ns0:t>
        </ns0:is>
      </ns0:c>
      <ns0:c xmlns:ns0="http://schemas.openxmlformats.org/spreadsheetml/2006/main" r="AD95" s="16" t="inlineStr">
        <ns0:is>
          <ns0:t>@DESIGNATOR %1 %2 @MODEL PARAMS: Rvalue=@VALUE TC1value=100u</ns0:t>
        </ns0:is>
      </ns0:c>
      <ns0:c xmlns:ns0="http://schemas.openxmlformats.org/spreadsheetml/2006/main" r="AE95" s="16" t="inlineStr">
        <ns0:is>
          <ns0:t>X</ns0:t>
        </ns0:is>
      </ns0:c>
      <ns0:c xmlns:ns0="http://schemas.openxmlformats.org/spreadsheetml/2006/main" r="AF95" s="16" t="str">
        <ns0:v>(1:1),(2:2)</ns0:v>
      </ns0:c>
      <ns0:c xmlns:ns0="http://schemas.openxmlformats.org/spreadsheetml/2006/main" r="AG95" s="16" t="inlineStr">
        <ns0:is>
          <ns0:t>Simulation\Resistors\MY_LIB_R_TCR.ckt</ns0:t>
        </ns0:is>
      </ns0:c>
      <ns0:c xmlns:ns0="http://schemas.openxmlformats.org/spreadsheetml/2006/main" r="AH95" s="16" t="inlineStr">
        <ns0:is>
          <ns0:t>±100 ppm/°C</ns0:t>
        </ns0:is>
      </ns0:c>
    </ns0:row>
    <ns0:row r="96" ht="30" customHeight="1">
      <ns0:c r="A96" t="str" s="10">
        <ns0:v>R0102</ns0:v>
      </ns0:c>
      <ns0:c r="B96" t="str" s="10">
        <ns0:v>Резистор</ns0:v>
      </ns0:c>
      <ns0:c r="C96" t="str" s="10">
        <ns0:v>7.5k</ns0:v>
      </ns0:c>
      <ns0:c r="D96" t="str" s="11">
        <ns0:f>SUBSTITUTE(SUBSTITUTE(SUBSTITUTE(SUBSTITUTE(C96,"meg"," МОм"),"k"," кОм"),"R"," Ом"),".",",")</ns0:f>
        <ns0:v>7,5 кОм</ns0:v>
      </ns0:c>
      <ns0:c r="E96" t="str" s="10">
        <ns0:v>±5%</ns0:v>
      </ns0:c>
      <ns0:c r="F96" t="str" s="10">
        <ns0:v>0,1 Вт</ns0:v>
      </ns0:c>
      <ns0:c r="G96" t="str" s="10">
        <ns0:v>75 В макс.</ns0:v>
      </ns0:c>
      <ns0:c r="H96" t="str" s="12">
        <ns0:v>0603</ns0:v>
      </ns0:c>
      <ns0:c r="I96" t="str" s="10">
        <ns0:v>YAGEO</ns0:v>
      </ns0:c>
      <ns0:c r="J96" t="str" s="10">
        <ns0:v>RC0603JR-077K5L</ns0:v>
      </ns0:c>
      <ns0:c r="K96" t="str" s="11">
        <ns0:f>B96&amp;" "&amp;D96&amp;" "&amp;E96&amp;" "&amp;H96</ns0:f>
        <ns0:v>Резистор 7,5 кОм ±5% 0603</ns0:v>
      </ns0:c>
      <ns0:c r="L96" t="str" s="13">
        <ns0:v>R</ns0:v>
      </ns0:c>
      <ns0:c r="M96" t="str" s="13">
        <ns0:v>Symbols\MY_LIB_Resistors.SchLib</ns0:v>
      </ns0:c>
      <ns0:c r="N96" t="str" s="13">
        <ns0:v>RESC1608X55N</ns0:v>
      </ns0:c>
      <ns0:c r="O96" t="str" s="13">
        <ns0:v>Footprints\PBL - SMD Packages.PcbLib</ns0:v>
      </ns0:c>
      <ns0:c xmlns:ns0="http://schemas.openxmlformats.org/spreadsheetml/2006/main" r="P9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6" s="10"/>
      <ns0:c r="R96" t="str" s="11">
        <ns0:f>D96</ns0:f>
        <ns0:v>7,5 кОм</ns0:v>
      </ns0:c>
      <ns0:c r="S96" t="str" s="11">
        <ns0:f>K96</ns0:f>
        <ns0:v>Резистор 7,5 кОм ±5% 0603</ns0:v>
      </ns0:c>
      <x:c xmlns:x="http://schemas.openxmlformats.org/spreadsheetml/2006/main" r="T96" t="str" s="11">
        <x:v>C:\Users\Nomatin\Documents\Altium\MY_LIB\MY_LIB\Datasheets\YAGEO_RC_L.pdf</x:v>
      </x:c>
      <x:c xmlns:x="http://schemas.openxmlformats.org/spreadsheetml/2006/main" r="U96" t="str" s="11">
        <x:v>Даташит — локальный</x:v>
      </x:c>
      <x:c xmlns:x="http://schemas.openxmlformats.org/spreadsheetml/2006/main" r="V96" t="str" s="11">
        <x:v>C:\Users\Nomatin\Documents\Altium\MY_LIB\MY_LIB\Datasheets\YAGEO_RC_L.pdf</x:v>
      </x:c>
      <x:c xmlns:x="http://schemas.openxmlformats.org/spreadsheetml/2006/main" r="W96" t="str" s="11">
        <x:v>Даташит — производитель</x:v>
      </x:c>
      <x:c xmlns:x="http://schemas.openxmlformats.org/spreadsheetml/2006/main" r="X96" t="str" s="11">
        <x:v>https://yageogroup.com/content/datasheet/asset/file/PYU-RC_GROUP_51_ROHS_L</x:v>
      </x:c>
      <x:c xmlns:x="http://schemas.openxmlformats.org/spreadsheetml/2006/main" r="Y96" t="str" s="11">
        <x:v>C:\Users\Nomatin\Documents\Altium\MY_LIB\MY_LIB\Datasheets\YAGEO_RC_L.pdf</x:v>
      </x:c>
      <ns0:c xmlns:ns0="http://schemas.openxmlformats.org/spreadsheetml/2006/main" r="Z96" s="16" t="inlineStr">
        <ns0:is>
          <ns0:t>MY_LIB_R_TCR</ns0:t>
        </ns0:is>
      </ns0:c>
      <ns0:c xmlns:ns0="http://schemas.openxmlformats.org/spreadsheetml/2006/main" r="AA96" s="16" t="inlineStr">
        <ns0:is>
          <ns0:t>R(T), +100 ppm/C at 25 C; positive datasheet limit</ns0:t>
        </ns0:is>
      </ns0:c>
      <ns0:c xmlns:ns0="http://schemas.openxmlformats.org/spreadsheetml/2006/main" r="AB96" s="16" t="str">
        <ns0:v>General</ns0:v>
      </ns0:c>
      <ns0:c xmlns:ns0="http://schemas.openxmlformats.org/spreadsheetml/2006/main" r="AC96" s="16" t="inlineStr">
        <ns0:is>
          <ns0:t>Spice Subcircuit</ns0:t>
        </ns0:is>
      </ns0:c>
      <ns0:c xmlns:ns0="http://schemas.openxmlformats.org/spreadsheetml/2006/main" r="AD96" s="16" t="inlineStr">
        <ns0:is>
          <ns0:t>@DESIGNATOR %1 %2 @MODEL PARAMS: Rvalue=@VALUE TC1value=100u</ns0:t>
        </ns0:is>
      </ns0:c>
      <ns0:c xmlns:ns0="http://schemas.openxmlformats.org/spreadsheetml/2006/main" r="AE96" s="16" t="inlineStr">
        <ns0:is>
          <ns0:t>X</ns0:t>
        </ns0:is>
      </ns0:c>
      <ns0:c xmlns:ns0="http://schemas.openxmlformats.org/spreadsheetml/2006/main" r="AF96" s="16" t="str">
        <ns0:v>(1:1),(2:2)</ns0:v>
      </ns0:c>
      <ns0:c xmlns:ns0="http://schemas.openxmlformats.org/spreadsheetml/2006/main" r="AG96" s="16" t="inlineStr">
        <ns0:is>
          <ns0:t>Simulation\Resistors\MY_LIB_R_TCR.ckt</ns0:t>
        </ns0:is>
      </ns0:c>
      <ns0:c xmlns:ns0="http://schemas.openxmlformats.org/spreadsheetml/2006/main" r="AH96" s="16" t="inlineStr">
        <ns0:is>
          <ns0:t>±100 ppm/°C</ns0:t>
        </ns0:is>
      </ns0:c>
    </ns0:row>
    <ns0:row r="97" ht="30" customHeight="1">
      <ns0:c r="A97" t="str" s="10">
        <ns0:v>R0103</ns0:v>
      </ns0:c>
      <ns0:c r="B97" t="str" s="10">
        <ns0:v>Резистор</ns0:v>
      </ns0:c>
      <ns0:c r="C97" t="str" s="10">
        <ns0:v>8.2k</ns0:v>
      </ns0:c>
      <ns0:c r="D97" t="str" s="11">
        <ns0:f>SUBSTITUTE(SUBSTITUTE(SUBSTITUTE(SUBSTITUTE(C97,"meg"," МОм"),"k"," кОм"),"R"," Ом"),".",",")</ns0:f>
        <ns0:v>8,2 кОм</ns0:v>
      </ns0:c>
      <ns0:c r="E97" t="str" s="10">
        <ns0:v>±5%</ns0:v>
      </ns0:c>
      <ns0:c r="F97" t="str" s="10">
        <ns0:v>0,1 Вт</ns0:v>
      </ns0:c>
      <ns0:c r="G97" t="str" s="10">
        <ns0:v>75 В макс.</ns0:v>
      </ns0:c>
      <ns0:c r="H97" t="str" s="12">
        <ns0:v>0603</ns0:v>
      </ns0:c>
      <ns0:c r="I97" t="str" s="10">
        <ns0:v>YAGEO</ns0:v>
      </ns0:c>
      <ns0:c r="J97" t="str" s="10">
        <ns0:v>RC0603JR-078K2L</ns0:v>
      </ns0:c>
      <ns0:c r="K97" t="str" s="11">
        <ns0:f>B97&amp;" "&amp;D97&amp;" "&amp;E97&amp;" "&amp;H97</ns0:f>
        <ns0:v>Резистор 8,2 кОм ±5% 0603</ns0:v>
      </ns0:c>
      <ns0:c r="L97" t="str" s="13">
        <ns0:v>R</ns0:v>
      </ns0:c>
      <ns0:c r="M97" t="str" s="13">
        <ns0:v>Symbols\MY_LIB_Resistors.SchLib</ns0:v>
      </ns0:c>
      <ns0:c r="N97" t="str" s="13">
        <ns0:v>RESC1608X55N</ns0:v>
      </ns0:c>
      <ns0:c r="O97" t="str" s="13">
        <ns0:v>Footprints\PBL - SMD Packages.PcbLib</ns0:v>
      </ns0:c>
      <ns0:c xmlns:ns0="http://schemas.openxmlformats.org/spreadsheetml/2006/main" r="P9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7" s="10"/>
      <ns0:c r="R97" t="str" s="11">
        <ns0:f>D97</ns0:f>
        <ns0:v>8,2 кОм</ns0:v>
      </ns0:c>
      <ns0:c r="S97" t="str" s="11">
        <ns0:f>K97</ns0:f>
        <ns0:v>Резистор 8,2 кОм ±5% 0603</ns0:v>
      </ns0:c>
      <x:c xmlns:x="http://schemas.openxmlformats.org/spreadsheetml/2006/main" r="T97" t="str" s="11">
        <x:v>C:\Users\Nomatin\Documents\Altium\MY_LIB\MY_LIB\Datasheets\YAGEO_RC_L.pdf</x:v>
      </x:c>
      <x:c xmlns:x="http://schemas.openxmlformats.org/spreadsheetml/2006/main" r="U97" t="str" s="11">
        <x:v>Даташит — локальный</x:v>
      </x:c>
      <x:c xmlns:x="http://schemas.openxmlformats.org/spreadsheetml/2006/main" r="V97" t="str" s="11">
        <x:v>C:\Users\Nomatin\Documents\Altium\MY_LIB\MY_LIB\Datasheets\YAGEO_RC_L.pdf</x:v>
      </x:c>
      <x:c xmlns:x="http://schemas.openxmlformats.org/spreadsheetml/2006/main" r="W97" t="str" s="11">
        <x:v>Даташит — производитель</x:v>
      </x:c>
      <x:c xmlns:x="http://schemas.openxmlformats.org/spreadsheetml/2006/main" r="X97" t="str" s="11">
        <x:v>https://yageogroup.com/content/datasheet/asset/file/PYU-RC_GROUP_51_ROHS_L</x:v>
      </x:c>
      <x:c xmlns:x="http://schemas.openxmlformats.org/spreadsheetml/2006/main" r="Y97" t="str" s="11">
        <x:v>C:\Users\Nomatin\Documents\Altium\MY_LIB\MY_LIB\Datasheets\YAGEO_RC_L.pdf</x:v>
      </x:c>
      <ns0:c xmlns:ns0="http://schemas.openxmlformats.org/spreadsheetml/2006/main" r="Z97" s="16" t="inlineStr">
        <ns0:is>
          <ns0:t>MY_LIB_R_TCR</ns0:t>
        </ns0:is>
      </ns0:c>
      <ns0:c xmlns:ns0="http://schemas.openxmlformats.org/spreadsheetml/2006/main" r="AA97" s="16" t="inlineStr">
        <ns0:is>
          <ns0:t>R(T), +100 ppm/C at 25 C; positive datasheet limit</ns0:t>
        </ns0:is>
      </ns0:c>
      <ns0:c xmlns:ns0="http://schemas.openxmlformats.org/spreadsheetml/2006/main" r="AB97" s="16" t="str">
        <ns0:v>General</ns0:v>
      </ns0:c>
      <ns0:c xmlns:ns0="http://schemas.openxmlformats.org/spreadsheetml/2006/main" r="AC97" s="16" t="inlineStr">
        <ns0:is>
          <ns0:t>Spice Subcircuit</ns0:t>
        </ns0:is>
      </ns0:c>
      <ns0:c xmlns:ns0="http://schemas.openxmlformats.org/spreadsheetml/2006/main" r="AD97" s="16" t="inlineStr">
        <ns0:is>
          <ns0:t>@DESIGNATOR %1 %2 @MODEL PARAMS: Rvalue=@VALUE TC1value=100u</ns0:t>
        </ns0:is>
      </ns0:c>
      <ns0:c xmlns:ns0="http://schemas.openxmlformats.org/spreadsheetml/2006/main" r="AE97" s="16" t="inlineStr">
        <ns0:is>
          <ns0:t>X</ns0:t>
        </ns0:is>
      </ns0:c>
      <ns0:c xmlns:ns0="http://schemas.openxmlformats.org/spreadsheetml/2006/main" r="AF97" s="16" t="str">
        <ns0:v>(1:1),(2:2)</ns0:v>
      </ns0:c>
      <ns0:c xmlns:ns0="http://schemas.openxmlformats.org/spreadsheetml/2006/main" r="AG97" s="16" t="inlineStr">
        <ns0:is>
          <ns0:t>Simulation\Resistors\MY_LIB_R_TCR.ckt</ns0:t>
        </ns0:is>
      </ns0:c>
      <ns0:c xmlns:ns0="http://schemas.openxmlformats.org/spreadsheetml/2006/main" r="AH97" s="16" t="inlineStr">
        <ns0:is>
          <ns0:t>±100 ppm/°C</ns0:t>
        </ns0:is>
      </ns0:c>
    </ns0:row>
    <ns0:row r="98" ht="30" customHeight="1">
      <ns0:c r="A98" t="str" s="10">
        <ns0:v>R0104</ns0:v>
      </ns0:c>
      <ns0:c r="B98" t="str" s="10">
        <ns0:v>Резистор</ns0:v>
      </ns0:c>
      <ns0:c r="C98" t="str" s="10">
        <ns0:v>9.1k</ns0:v>
      </ns0:c>
      <ns0:c r="D98" t="str" s="11">
        <ns0:f>SUBSTITUTE(SUBSTITUTE(SUBSTITUTE(SUBSTITUTE(C98,"meg"," МОм"),"k"," кОм"),"R"," Ом"),".",",")</ns0:f>
        <ns0:v>9,1 кОм</ns0:v>
      </ns0:c>
      <ns0:c r="E98" t="str" s="10">
        <ns0:v>±5%</ns0:v>
      </ns0:c>
      <ns0:c r="F98" t="str" s="10">
        <ns0:v>0,1 Вт</ns0:v>
      </ns0:c>
      <ns0:c r="G98" t="str" s="10">
        <ns0:v>75 В макс.</ns0:v>
      </ns0:c>
      <ns0:c r="H98" t="str" s="12">
        <ns0:v>0603</ns0:v>
      </ns0:c>
      <ns0:c r="I98" t="str" s="10">
        <ns0:v>YAGEO</ns0:v>
      </ns0:c>
      <ns0:c r="J98" t="str" s="10">
        <ns0:v>RC0603JR-079K1L</ns0:v>
      </ns0:c>
      <ns0:c r="K98" t="str" s="11">
        <ns0:f>B98&amp;" "&amp;D98&amp;" "&amp;E98&amp;" "&amp;H98</ns0:f>
        <ns0:v>Резистор 9,1 кОм ±5% 0603</ns0:v>
      </ns0:c>
      <ns0:c r="L98" t="str" s="13">
        <ns0:v>R</ns0:v>
      </ns0:c>
      <ns0:c r="M98" t="str" s="13">
        <ns0:v>Symbols\MY_LIB_Resistors.SchLib</ns0:v>
      </ns0:c>
      <ns0:c r="N98" t="str" s="13">
        <ns0:v>RESC1608X55N</ns0:v>
      </ns0:c>
      <ns0:c r="O98" t="str" s="13">
        <ns0:v>Footprints\PBL - SMD Packages.PcbLib</ns0:v>
      </ns0:c>
      <ns0:c xmlns:ns0="http://schemas.openxmlformats.org/spreadsheetml/2006/main" r="P9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8" s="10"/>
      <ns0:c r="R98" t="str" s="11">
        <ns0:f>D98</ns0:f>
        <ns0:v>9,1 кОм</ns0:v>
      </ns0:c>
      <ns0:c r="S98" t="str" s="11">
        <ns0:f>K98</ns0:f>
        <ns0:v>Резистор 9,1 кОм ±5% 0603</ns0:v>
      </ns0:c>
      <x:c xmlns:x="http://schemas.openxmlformats.org/spreadsheetml/2006/main" r="T98" t="str" s="11">
        <x:v>C:\Users\Nomatin\Documents\Altium\MY_LIB\MY_LIB\Datasheets\YAGEO_RC_L.pdf</x:v>
      </x:c>
      <x:c xmlns:x="http://schemas.openxmlformats.org/spreadsheetml/2006/main" r="U98" t="str" s="11">
        <x:v>Даташит — локальный</x:v>
      </x:c>
      <x:c xmlns:x="http://schemas.openxmlformats.org/spreadsheetml/2006/main" r="V98" t="str" s="11">
        <x:v>C:\Users\Nomatin\Documents\Altium\MY_LIB\MY_LIB\Datasheets\YAGEO_RC_L.pdf</x:v>
      </x:c>
      <x:c xmlns:x="http://schemas.openxmlformats.org/spreadsheetml/2006/main" r="W98" t="str" s="11">
        <x:v>Даташит — производитель</x:v>
      </x:c>
      <x:c xmlns:x="http://schemas.openxmlformats.org/spreadsheetml/2006/main" r="X98" t="str" s="11">
        <x:v>https://yageogroup.com/content/datasheet/asset/file/PYU-RC_GROUP_51_ROHS_L</x:v>
      </x:c>
      <x:c xmlns:x="http://schemas.openxmlformats.org/spreadsheetml/2006/main" r="Y98" t="str" s="11">
        <x:v>C:\Users\Nomatin\Documents\Altium\MY_LIB\MY_LIB\Datasheets\YAGEO_RC_L.pdf</x:v>
      </x:c>
      <ns0:c xmlns:ns0="http://schemas.openxmlformats.org/spreadsheetml/2006/main" r="Z98" s="16" t="inlineStr">
        <ns0:is>
          <ns0:t>MY_LIB_R_TCR</ns0:t>
        </ns0:is>
      </ns0:c>
      <ns0:c xmlns:ns0="http://schemas.openxmlformats.org/spreadsheetml/2006/main" r="AA98" s="16" t="inlineStr">
        <ns0:is>
          <ns0:t>R(T), +100 ppm/C at 25 C; positive datasheet limit</ns0:t>
        </ns0:is>
      </ns0:c>
      <ns0:c xmlns:ns0="http://schemas.openxmlformats.org/spreadsheetml/2006/main" r="AB98" s="16" t="str">
        <ns0:v>General</ns0:v>
      </ns0:c>
      <ns0:c xmlns:ns0="http://schemas.openxmlformats.org/spreadsheetml/2006/main" r="AC98" s="16" t="inlineStr">
        <ns0:is>
          <ns0:t>Spice Subcircuit</ns0:t>
        </ns0:is>
      </ns0:c>
      <ns0:c xmlns:ns0="http://schemas.openxmlformats.org/spreadsheetml/2006/main" r="AD98" s="16" t="inlineStr">
        <ns0:is>
          <ns0:t>@DESIGNATOR %1 %2 @MODEL PARAMS: Rvalue=@VALUE TC1value=100u</ns0:t>
        </ns0:is>
      </ns0:c>
      <ns0:c xmlns:ns0="http://schemas.openxmlformats.org/spreadsheetml/2006/main" r="AE98" s="16" t="inlineStr">
        <ns0:is>
          <ns0:t>X</ns0:t>
        </ns0:is>
      </ns0:c>
      <ns0:c xmlns:ns0="http://schemas.openxmlformats.org/spreadsheetml/2006/main" r="AF98" s="16" t="str">
        <ns0:v>(1:1),(2:2)</ns0:v>
      </ns0:c>
      <ns0:c xmlns:ns0="http://schemas.openxmlformats.org/spreadsheetml/2006/main" r="AG98" s="16" t="inlineStr">
        <ns0:is>
          <ns0:t>Simulation\Resistors\MY_LIB_R_TCR.ckt</ns0:t>
        </ns0:is>
      </ns0:c>
      <ns0:c xmlns:ns0="http://schemas.openxmlformats.org/spreadsheetml/2006/main" r="AH98" s="16" t="inlineStr">
        <ns0:is>
          <ns0:t>±100 ppm/°C</ns0:t>
        </ns0:is>
      </ns0:c>
    </ns0:row>
    <ns0:row r="99" ht="30" customHeight="1">
      <ns0:c r="A99" t="str" s="10">
        <ns0:v>R0105</ns0:v>
      </ns0:c>
      <ns0:c r="B99" t="str" s="10">
        <ns0:v>Резистор</ns0:v>
      </ns0:c>
      <ns0:c r="C99" t="str" s="10">
        <ns0:v>10k</ns0:v>
      </ns0:c>
      <ns0:c r="D99" t="str" s="11">
        <ns0:f>SUBSTITUTE(SUBSTITUTE(SUBSTITUTE(SUBSTITUTE(C99,"meg"," МОм"),"k"," кОм"),"R"," Ом"),".",",")</ns0:f>
        <ns0:v>10 кОм</ns0:v>
      </ns0:c>
      <ns0:c r="E99" t="str" s="10">
        <ns0:v>±5%</ns0:v>
      </ns0:c>
      <ns0:c r="F99" t="str" s="10">
        <ns0:v>0,1 Вт</ns0:v>
      </ns0:c>
      <ns0:c r="G99" t="str" s="10">
        <ns0:v>75 В макс.</ns0:v>
      </ns0:c>
      <ns0:c r="H99" t="str" s="12">
        <ns0:v>0603</ns0:v>
      </ns0:c>
      <ns0:c r="I99" t="str" s="10">
        <ns0:v>YAGEO</ns0:v>
      </ns0:c>
      <ns0:c r="J99" t="str" s="10">
        <ns0:v>RC0603JR-0710KL</ns0:v>
      </ns0:c>
      <ns0:c r="K99" t="str" s="11">
        <ns0:f>B99&amp;" "&amp;D99&amp;" "&amp;E99&amp;" "&amp;H99</ns0:f>
        <ns0:v>Резистор 10 кОм ±5% 0603</ns0:v>
      </ns0:c>
      <ns0:c r="L99" t="str" s="13">
        <ns0:v>R</ns0:v>
      </ns0:c>
      <ns0:c r="M99" t="str" s="13">
        <ns0:v>Symbols\MY_LIB_Resistors.SchLib</ns0:v>
      </ns0:c>
      <ns0:c r="N99" t="str" s="13">
        <ns0:v>RESC1608X55N</ns0:v>
      </ns0:c>
      <ns0:c r="O99" t="str" s="13">
        <ns0:v>Footprints\PBL - SMD Packages.PcbLib</ns0:v>
      </ns0:c>
      <ns0:c xmlns:ns0="http://schemas.openxmlformats.org/spreadsheetml/2006/main" r="P9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99" s="10"/>
      <ns0:c r="R99" t="str" s="11">
        <ns0:f>D99</ns0:f>
        <ns0:v>10 кОм</ns0:v>
      </ns0:c>
      <ns0:c r="S99" t="str" s="11">
        <ns0:f>K99</ns0:f>
        <ns0:v>Резистор 10 кОм ±5% 0603</ns0:v>
      </ns0:c>
      <x:c xmlns:x="http://schemas.openxmlformats.org/spreadsheetml/2006/main" r="T99" t="str" s="11">
        <x:v>C:\Users\Nomatin\Documents\Altium\MY_LIB\MY_LIB\Datasheets\YAGEO_RC_L.pdf</x:v>
      </x:c>
      <x:c xmlns:x="http://schemas.openxmlformats.org/spreadsheetml/2006/main" r="U99" t="str" s="11">
        <x:v>Даташит — локальный</x:v>
      </x:c>
      <x:c xmlns:x="http://schemas.openxmlformats.org/spreadsheetml/2006/main" r="V99" t="str" s="11">
        <x:v>C:\Users\Nomatin\Documents\Altium\MY_LIB\MY_LIB\Datasheets\YAGEO_RC_L.pdf</x:v>
      </x:c>
      <x:c xmlns:x="http://schemas.openxmlformats.org/spreadsheetml/2006/main" r="W99" t="str" s="11">
        <x:v>Даташит — производитель</x:v>
      </x:c>
      <x:c xmlns:x="http://schemas.openxmlformats.org/spreadsheetml/2006/main" r="X99" t="str" s="11">
        <x:v>https://yageogroup.com/content/datasheet/asset/file/PYU-RC_GROUP_51_ROHS_L</x:v>
      </x:c>
      <x:c xmlns:x="http://schemas.openxmlformats.org/spreadsheetml/2006/main" r="Y99" t="str" s="11">
        <x:v>C:\Users\Nomatin\Documents\Altium\MY_LIB\MY_LIB\Datasheets\YAGEO_RC_L.pdf</x:v>
      </x:c>
      <ns0:c xmlns:ns0="http://schemas.openxmlformats.org/spreadsheetml/2006/main" r="Z99" s="16" t="inlineStr">
        <ns0:is>
          <ns0:t>MY_LIB_R_TCR</ns0:t>
        </ns0:is>
      </ns0:c>
      <ns0:c xmlns:ns0="http://schemas.openxmlformats.org/spreadsheetml/2006/main" r="AA99" s="16" t="inlineStr">
        <ns0:is>
          <ns0:t>R(T), +100 ppm/C at 25 C; positive datasheet limit</ns0:t>
        </ns0:is>
      </ns0:c>
      <ns0:c xmlns:ns0="http://schemas.openxmlformats.org/spreadsheetml/2006/main" r="AB99" s="16" t="str">
        <ns0:v>General</ns0:v>
      </ns0:c>
      <ns0:c xmlns:ns0="http://schemas.openxmlformats.org/spreadsheetml/2006/main" r="AC99" s="16" t="inlineStr">
        <ns0:is>
          <ns0:t>Spice Subcircuit</ns0:t>
        </ns0:is>
      </ns0:c>
      <ns0:c xmlns:ns0="http://schemas.openxmlformats.org/spreadsheetml/2006/main" r="AD99" s="16" t="inlineStr">
        <ns0:is>
          <ns0:t>@DESIGNATOR %1 %2 @MODEL PARAMS: Rvalue=@VALUE TC1value=100u</ns0:t>
        </ns0:is>
      </ns0:c>
      <ns0:c xmlns:ns0="http://schemas.openxmlformats.org/spreadsheetml/2006/main" r="AE99" s="16" t="inlineStr">
        <ns0:is>
          <ns0:t>X</ns0:t>
        </ns0:is>
      </ns0:c>
      <ns0:c xmlns:ns0="http://schemas.openxmlformats.org/spreadsheetml/2006/main" r="AF99" s="16" t="str">
        <ns0:v>(1:1),(2:2)</ns0:v>
      </ns0:c>
      <ns0:c xmlns:ns0="http://schemas.openxmlformats.org/spreadsheetml/2006/main" r="AG99" s="16" t="inlineStr">
        <ns0:is>
          <ns0:t>Simulation\Resistors\MY_LIB_R_TCR.ckt</ns0:t>
        </ns0:is>
      </ns0:c>
      <ns0:c xmlns:ns0="http://schemas.openxmlformats.org/spreadsheetml/2006/main" r="AH99" s="16" t="inlineStr">
        <ns0:is>
          <ns0:t>±100 ppm/°C</ns0:t>
        </ns0:is>
      </ns0:c>
    </ns0:row>
    <ns0:row r="100" ht="30" customHeight="1">
      <ns0:c r="A100" t="str" s="10">
        <ns0:v>R0106</ns0:v>
      </ns0:c>
      <ns0:c r="B100" t="str" s="10">
        <ns0:v>Резистор</ns0:v>
      </ns0:c>
      <ns0:c r="C100" t="str" s="10">
        <ns0:v>11k</ns0:v>
      </ns0:c>
      <ns0:c r="D100" t="str" s="11">
        <ns0:f>SUBSTITUTE(SUBSTITUTE(SUBSTITUTE(SUBSTITUTE(C100,"meg"," МОм"),"k"," кОм"),"R"," Ом"),".",",")</ns0:f>
        <ns0:v>11 кОм</ns0:v>
      </ns0:c>
      <ns0:c r="E100" t="str" s="10">
        <ns0:v>±5%</ns0:v>
      </ns0:c>
      <ns0:c r="F100" t="str" s="10">
        <ns0:v>0,1 Вт</ns0:v>
      </ns0:c>
      <ns0:c r="G100" t="str" s="10">
        <ns0:v>75 В макс.</ns0:v>
      </ns0:c>
      <ns0:c r="H100" t="str" s="12">
        <ns0:v>0603</ns0:v>
      </ns0:c>
      <ns0:c r="I100" t="str" s="10">
        <ns0:v>YAGEO</ns0:v>
      </ns0:c>
      <ns0:c r="J100" t="str" s="10">
        <ns0:v>RC0603JR-0711KL</ns0:v>
      </ns0:c>
      <ns0:c r="K100" t="str" s="11">
        <ns0:f>B100&amp;" "&amp;D100&amp;" "&amp;E100&amp;" "&amp;H100</ns0:f>
        <ns0:v>Резистор 11 кОм ±5% 0603</ns0:v>
      </ns0:c>
      <ns0:c r="L100" t="str" s="13">
        <ns0:v>R</ns0:v>
      </ns0:c>
      <ns0:c r="M100" t="str" s="13">
        <ns0:v>Symbols\MY_LIB_Resistors.SchLib</ns0:v>
      </ns0:c>
      <ns0:c r="N100" t="str" s="13">
        <ns0:v>RESC1608X55N</ns0:v>
      </ns0:c>
      <ns0:c r="O100" t="str" s="13">
        <ns0:v>Footprints\PBL - SMD Packages.PcbLib</ns0:v>
      </ns0:c>
      <ns0:c xmlns:ns0="http://schemas.openxmlformats.org/spreadsheetml/2006/main" r="P10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0" s="10"/>
      <ns0:c r="R100" t="str" s="11">
        <ns0:f>D100</ns0:f>
        <ns0:v>11 кОм</ns0:v>
      </ns0:c>
      <ns0:c r="S100" t="str" s="11">
        <ns0:f>K100</ns0:f>
        <ns0:v>Резистор 11 кОм ±5% 0603</ns0:v>
      </ns0:c>
      <x:c xmlns:x="http://schemas.openxmlformats.org/spreadsheetml/2006/main" r="T100" t="str" s="11">
        <x:v>C:\Users\Nomatin\Documents\Altium\MY_LIB\MY_LIB\Datasheets\YAGEO_RC_L.pdf</x:v>
      </x:c>
      <x:c xmlns:x="http://schemas.openxmlformats.org/spreadsheetml/2006/main" r="U100" t="str" s="11">
        <x:v>Даташит — локальный</x:v>
      </x:c>
      <x:c xmlns:x="http://schemas.openxmlformats.org/spreadsheetml/2006/main" r="V100" t="str" s="11">
        <x:v>C:\Users\Nomatin\Documents\Altium\MY_LIB\MY_LIB\Datasheets\YAGEO_RC_L.pdf</x:v>
      </x:c>
      <x:c xmlns:x="http://schemas.openxmlformats.org/spreadsheetml/2006/main" r="W100" t="str" s="11">
        <x:v>Даташит — производитель</x:v>
      </x:c>
      <x:c xmlns:x="http://schemas.openxmlformats.org/spreadsheetml/2006/main" r="X100" t="str" s="11">
        <x:v>https://yageogroup.com/content/datasheet/asset/file/PYU-RC_GROUP_51_ROHS_L</x:v>
      </x:c>
      <x:c xmlns:x="http://schemas.openxmlformats.org/spreadsheetml/2006/main" r="Y100" t="str" s="11">
        <x:v>C:\Users\Nomatin\Documents\Altium\MY_LIB\MY_LIB\Datasheets\YAGEO_RC_L.pdf</x:v>
      </x:c>
      <ns0:c xmlns:ns0="http://schemas.openxmlformats.org/spreadsheetml/2006/main" r="Z100" s="16" t="inlineStr">
        <ns0:is>
          <ns0:t>MY_LIB_R_TCR</ns0:t>
        </ns0:is>
      </ns0:c>
      <ns0:c xmlns:ns0="http://schemas.openxmlformats.org/spreadsheetml/2006/main" r="AA100" s="16" t="inlineStr">
        <ns0:is>
          <ns0:t>R(T), +100 ppm/C at 25 C; positive datasheet limit</ns0:t>
        </ns0:is>
      </ns0:c>
      <ns0:c xmlns:ns0="http://schemas.openxmlformats.org/spreadsheetml/2006/main" r="AB100" s="16" t="str">
        <ns0:v>General</ns0:v>
      </ns0:c>
      <ns0:c xmlns:ns0="http://schemas.openxmlformats.org/spreadsheetml/2006/main" r="AC100" s="16" t="inlineStr">
        <ns0:is>
          <ns0:t>Spice Subcircuit</ns0:t>
        </ns0:is>
      </ns0:c>
      <ns0:c xmlns:ns0="http://schemas.openxmlformats.org/spreadsheetml/2006/main" r="AD100" s="16" t="inlineStr">
        <ns0:is>
          <ns0:t>@DESIGNATOR %1 %2 @MODEL PARAMS: Rvalue=@VALUE TC1value=100u</ns0:t>
        </ns0:is>
      </ns0:c>
      <ns0:c xmlns:ns0="http://schemas.openxmlformats.org/spreadsheetml/2006/main" r="AE100" s="16" t="inlineStr">
        <ns0:is>
          <ns0:t>X</ns0:t>
        </ns0:is>
      </ns0:c>
      <ns0:c xmlns:ns0="http://schemas.openxmlformats.org/spreadsheetml/2006/main" r="AF100" s="16" t="str">
        <ns0:v>(1:1),(2:2)</ns0:v>
      </ns0:c>
      <ns0:c xmlns:ns0="http://schemas.openxmlformats.org/spreadsheetml/2006/main" r="AG100" s="16" t="inlineStr">
        <ns0:is>
          <ns0:t>Simulation\Resistors\MY_LIB_R_TCR.ckt</ns0:t>
        </ns0:is>
      </ns0:c>
      <ns0:c xmlns:ns0="http://schemas.openxmlformats.org/spreadsheetml/2006/main" r="AH100" s="16" t="inlineStr">
        <ns0:is>
          <ns0:t>±100 ppm/°C</ns0:t>
        </ns0:is>
      </ns0:c>
    </ns0:row>
    <ns0:row r="101" ht="30" customHeight="1">
      <ns0:c r="A101" t="str" s="10">
        <ns0:v>R0107</ns0:v>
      </ns0:c>
      <ns0:c r="B101" t="str" s="10">
        <ns0:v>Резистор</ns0:v>
      </ns0:c>
      <ns0:c r="C101" t="str" s="10">
        <ns0:v>12k</ns0:v>
      </ns0:c>
      <ns0:c r="D101" t="str" s="11">
        <ns0:f>SUBSTITUTE(SUBSTITUTE(SUBSTITUTE(SUBSTITUTE(C101,"meg"," МОм"),"k"," кОм"),"R"," Ом"),".",",")</ns0:f>
        <ns0:v>12 кОм</ns0:v>
      </ns0:c>
      <ns0:c r="E101" t="str" s="10">
        <ns0:v>±5%</ns0:v>
      </ns0:c>
      <ns0:c r="F101" t="str" s="10">
        <ns0:v>0,1 Вт</ns0:v>
      </ns0:c>
      <ns0:c r="G101" t="str" s="10">
        <ns0:v>75 В макс.</ns0:v>
      </ns0:c>
      <ns0:c r="H101" t="str" s="12">
        <ns0:v>0603</ns0:v>
      </ns0:c>
      <ns0:c r="I101" t="str" s="10">
        <ns0:v>YAGEO</ns0:v>
      </ns0:c>
      <ns0:c r="J101" t="str" s="10">
        <ns0:v>RC0603JR-0712KL</ns0:v>
      </ns0:c>
      <ns0:c r="K101" t="str" s="11">
        <ns0:f>B101&amp;" "&amp;D101&amp;" "&amp;E101&amp;" "&amp;H101</ns0:f>
        <ns0:v>Резистор 12 кОм ±5% 0603</ns0:v>
      </ns0:c>
      <ns0:c r="L101" t="str" s="13">
        <ns0:v>R</ns0:v>
      </ns0:c>
      <ns0:c r="M101" t="str" s="13">
        <ns0:v>Symbols\MY_LIB_Resistors.SchLib</ns0:v>
      </ns0:c>
      <ns0:c r="N101" t="str" s="13">
        <ns0:v>RESC1608X55N</ns0:v>
      </ns0:c>
      <ns0:c r="O101" t="str" s="13">
        <ns0:v>Footprints\PBL - SMD Packages.PcbLib</ns0:v>
      </ns0:c>
      <ns0:c xmlns:ns0="http://schemas.openxmlformats.org/spreadsheetml/2006/main" r="P10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1" s="10"/>
      <ns0:c r="R101" t="str" s="11">
        <ns0:f>D101</ns0:f>
        <ns0:v>12 кОм</ns0:v>
      </ns0:c>
      <ns0:c r="S101" t="str" s="11">
        <ns0:f>K101</ns0:f>
        <ns0:v>Резистор 12 кОм ±5% 0603</ns0:v>
      </ns0:c>
      <x:c xmlns:x="http://schemas.openxmlformats.org/spreadsheetml/2006/main" r="T101" t="str" s="11">
        <x:v>C:\Users\Nomatin\Documents\Altium\MY_LIB\MY_LIB\Datasheets\YAGEO_RC_L.pdf</x:v>
      </x:c>
      <x:c xmlns:x="http://schemas.openxmlformats.org/spreadsheetml/2006/main" r="U101" t="str" s="11">
        <x:v>Даташит — локальный</x:v>
      </x:c>
      <x:c xmlns:x="http://schemas.openxmlformats.org/spreadsheetml/2006/main" r="V101" t="str" s="11">
        <x:v>C:\Users\Nomatin\Documents\Altium\MY_LIB\MY_LIB\Datasheets\YAGEO_RC_L.pdf</x:v>
      </x:c>
      <x:c xmlns:x="http://schemas.openxmlformats.org/spreadsheetml/2006/main" r="W101" t="str" s="11">
        <x:v>Даташит — производитель</x:v>
      </x:c>
      <x:c xmlns:x="http://schemas.openxmlformats.org/spreadsheetml/2006/main" r="X101" t="str" s="11">
        <x:v>https://yageogroup.com/content/datasheet/asset/file/PYU-RC_GROUP_51_ROHS_L</x:v>
      </x:c>
      <x:c xmlns:x="http://schemas.openxmlformats.org/spreadsheetml/2006/main" r="Y101" t="str" s="11">
        <x:v>C:\Users\Nomatin\Documents\Altium\MY_LIB\MY_LIB\Datasheets\YAGEO_RC_L.pdf</x:v>
      </x:c>
      <ns0:c xmlns:ns0="http://schemas.openxmlformats.org/spreadsheetml/2006/main" r="Z101" s="16" t="inlineStr">
        <ns0:is>
          <ns0:t>MY_LIB_R_TCR</ns0:t>
        </ns0:is>
      </ns0:c>
      <ns0:c xmlns:ns0="http://schemas.openxmlformats.org/spreadsheetml/2006/main" r="AA101" s="16" t="inlineStr">
        <ns0:is>
          <ns0:t>R(T), +100 ppm/C at 25 C; positive datasheet limit</ns0:t>
        </ns0:is>
      </ns0:c>
      <ns0:c xmlns:ns0="http://schemas.openxmlformats.org/spreadsheetml/2006/main" r="AB101" s="16" t="str">
        <ns0:v>General</ns0:v>
      </ns0:c>
      <ns0:c xmlns:ns0="http://schemas.openxmlformats.org/spreadsheetml/2006/main" r="AC101" s="16" t="inlineStr">
        <ns0:is>
          <ns0:t>Spice Subcircuit</ns0:t>
        </ns0:is>
      </ns0:c>
      <ns0:c xmlns:ns0="http://schemas.openxmlformats.org/spreadsheetml/2006/main" r="AD101" s="16" t="inlineStr">
        <ns0:is>
          <ns0:t>@DESIGNATOR %1 %2 @MODEL PARAMS: Rvalue=@VALUE TC1value=100u</ns0:t>
        </ns0:is>
      </ns0:c>
      <ns0:c xmlns:ns0="http://schemas.openxmlformats.org/spreadsheetml/2006/main" r="AE101" s="16" t="inlineStr">
        <ns0:is>
          <ns0:t>X</ns0:t>
        </ns0:is>
      </ns0:c>
      <ns0:c xmlns:ns0="http://schemas.openxmlformats.org/spreadsheetml/2006/main" r="AF101" s="16" t="str">
        <ns0:v>(1:1),(2:2)</ns0:v>
      </ns0:c>
      <ns0:c xmlns:ns0="http://schemas.openxmlformats.org/spreadsheetml/2006/main" r="AG101" s="16" t="inlineStr">
        <ns0:is>
          <ns0:t>Simulation\Resistors\MY_LIB_R_TCR.ckt</ns0:t>
        </ns0:is>
      </ns0:c>
      <ns0:c xmlns:ns0="http://schemas.openxmlformats.org/spreadsheetml/2006/main" r="AH101" s="16" t="inlineStr">
        <ns0:is>
          <ns0:t>±100 ppm/°C</ns0:t>
        </ns0:is>
      </ns0:c>
    </ns0:row>
    <ns0:row r="102" ht="30" customHeight="1">
      <ns0:c r="A102" t="str" s="10">
        <ns0:v>R0108</ns0:v>
      </ns0:c>
      <ns0:c r="B102" t="str" s="10">
        <ns0:v>Резистор</ns0:v>
      </ns0:c>
      <ns0:c r="C102" t="str" s="10">
        <ns0:v>13k</ns0:v>
      </ns0:c>
      <ns0:c r="D102" t="str" s="11">
        <ns0:f>SUBSTITUTE(SUBSTITUTE(SUBSTITUTE(SUBSTITUTE(C102,"meg"," МОм"),"k"," кОм"),"R"," Ом"),".",",")</ns0:f>
        <ns0:v>13 кОм</ns0:v>
      </ns0:c>
      <ns0:c r="E102" t="str" s="10">
        <ns0:v>±5%</ns0:v>
      </ns0:c>
      <ns0:c r="F102" t="str" s="10">
        <ns0:v>0,1 Вт</ns0:v>
      </ns0:c>
      <ns0:c r="G102" t="str" s="10">
        <ns0:v>75 В макс.</ns0:v>
      </ns0:c>
      <ns0:c r="H102" t="str" s="12">
        <ns0:v>0603</ns0:v>
      </ns0:c>
      <ns0:c r="I102" t="str" s="10">
        <ns0:v>YAGEO</ns0:v>
      </ns0:c>
      <ns0:c r="J102" t="str" s="10">
        <ns0:v>RC0603JR-0713KL</ns0:v>
      </ns0:c>
      <ns0:c r="K102" t="str" s="11">
        <ns0:f>B102&amp;" "&amp;D102&amp;" "&amp;E102&amp;" "&amp;H102</ns0:f>
        <ns0:v>Резистор 13 кОм ±5% 0603</ns0:v>
      </ns0:c>
      <ns0:c r="L102" t="str" s="13">
        <ns0:v>R</ns0:v>
      </ns0:c>
      <ns0:c r="M102" t="str" s="13">
        <ns0:v>Symbols\MY_LIB_Resistors.SchLib</ns0:v>
      </ns0:c>
      <ns0:c r="N102" t="str" s="13">
        <ns0:v>RESC1608X55N</ns0:v>
      </ns0:c>
      <ns0:c r="O102" t="str" s="13">
        <ns0:v>Footprints\PBL - SMD Packages.PcbLib</ns0:v>
      </ns0:c>
      <ns0:c xmlns:ns0="http://schemas.openxmlformats.org/spreadsheetml/2006/main" r="P10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2" s="10"/>
      <ns0:c r="R102" t="str" s="11">
        <ns0:f>D102</ns0:f>
        <ns0:v>13 кОм</ns0:v>
      </ns0:c>
      <ns0:c r="S102" t="str" s="11">
        <ns0:f>K102</ns0:f>
        <ns0:v>Резистор 13 кОм ±5% 0603</ns0:v>
      </ns0:c>
      <x:c xmlns:x="http://schemas.openxmlformats.org/spreadsheetml/2006/main" r="T102" t="str" s="11">
        <x:v>C:\Users\Nomatin\Documents\Altium\MY_LIB\MY_LIB\Datasheets\YAGEO_RC_L.pdf</x:v>
      </x:c>
      <x:c xmlns:x="http://schemas.openxmlformats.org/spreadsheetml/2006/main" r="U102" t="str" s="11">
        <x:v>Даташит — локальный</x:v>
      </x:c>
      <x:c xmlns:x="http://schemas.openxmlformats.org/spreadsheetml/2006/main" r="V102" t="str" s="11">
        <x:v>C:\Users\Nomatin\Documents\Altium\MY_LIB\MY_LIB\Datasheets\YAGEO_RC_L.pdf</x:v>
      </x:c>
      <x:c xmlns:x="http://schemas.openxmlformats.org/spreadsheetml/2006/main" r="W102" t="str" s="11">
        <x:v>Даташит — производитель</x:v>
      </x:c>
      <x:c xmlns:x="http://schemas.openxmlformats.org/spreadsheetml/2006/main" r="X102" t="str" s="11">
        <x:v>https://yageogroup.com/content/datasheet/asset/file/PYU-RC_GROUP_51_ROHS_L</x:v>
      </x:c>
      <x:c xmlns:x="http://schemas.openxmlformats.org/spreadsheetml/2006/main" r="Y102" t="str" s="11">
        <x:v>C:\Users\Nomatin\Documents\Altium\MY_LIB\MY_LIB\Datasheets\YAGEO_RC_L.pdf</x:v>
      </x:c>
      <ns0:c xmlns:ns0="http://schemas.openxmlformats.org/spreadsheetml/2006/main" r="Z102" s="16" t="inlineStr">
        <ns0:is>
          <ns0:t>MY_LIB_R_TCR</ns0:t>
        </ns0:is>
      </ns0:c>
      <ns0:c xmlns:ns0="http://schemas.openxmlformats.org/spreadsheetml/2006/main" r="AA102" s="16" t="inlineStr">
        <ns0:is>
          <ns0:t>R(T), +100 ppm/C at 25 C; positive datasheet limit</ns0:t>
        </ns0:is>
      </ns0:c>
      <ns0:c xmlns:ns0="http://schemas.openxmlformats.org/spreadsheetml/2006/main" r="AB102" s="16" t="str">
        <ns0:v>General</ns0:v>
      </ns0:c>
      <ns0:c xmlns:ns0="http://schemas.openxmlformats.org/spreadsheetml/2006/main" r="AC102" s="16" t="inlineStr">
        <ns0:is>
          <ns0:t>Spice Subcircuit</ns0:t>
        </ns0:is>
      </ns0:c>
      <ns0:c xmlns:ns0="http://schemas.openxmlformats.org/spreadsheetml/2006/main" r="AD102" s="16" t="inlineStr">
        <ns0:is>
          <ns0:t>@DESIGNATOR %1 %2 @MODEL PARAMS: Rvalue=@VALUE TC1value=100u</ns0:t>
        </ns0:is>
      </ns0:c>
      <ns0:c xmlns:ns0="http://schemas.openxmlformats.org/spreadsheetml/2006/main" r="AE102" s="16" t="inlineStr">
        <ns0:is>
          <ns0:t>X</ns0:t>
        </ns0:is>
      </ns0:c>
      <ns0:c xmlns:ns0="http://schemas.openxmlformats.org/spreadsheetml/2006/main" r="AF102" s="16" t="str">
        <ns0:v>(1:1),(2:2)</ns0:v>
      </ns0:c>
      <ns0:c xmlns:ns0="http://schemas.openxmlformats.org/spreadsheetml/2006/main" r="AG102" s="16" t="inlineStr">
        <ns0:is>
          <ns0:t>Simulation\Resistors\MY_LIB_R_TCR.ckt</ns0:t>
        </ns0:is>
      </ns0:c>
      <ns0:c xmlns:ns0="http://schemas.openxmlformats.org/spreadsheetml/2006/main" r="AH102" s="16" t="inlineStr">
        <ns0:is>
          <ns0:t>±100 ppm/°C</ns0:t>
        </ns0:is>
      </ns0:c>
    </ns0:row>
    <ns0:row r="103" ht="30" customHeight="1">
      <ns0:c r="A103" t="str" s="10">
        <ns0:v>R0109</ns0:v>
      </ns0:c>
      <ns0:c r="B103" t="str" s="10">
        <ns0:v>Резистор</ns0:v>
      </ns0:c>
      <ns0:c r="C103" t="str" s="10">
        <ns0:v>15k</ns0:v>
      </ns0:c>
      <ns0:c r="D103" t="str" s="11">
        <ns0:f>SUBSTITUTE(SUBSTITUTE(SUBSTITUTE(SUBSTITUTE(C103,"meg"," МОм"),"k"," кОм"),"R"," Ом"),".",",")</ns0:f>
        <ns0:v>15 кОм</ns0:v>
      </ns0:c>
      <ns0:c r="E103" t="str" s="10">
        <ns0:v>±5%</ns0:v>
      </ns0:c>
      <ns0:c r="F103" t="str" s="10">
        <ns0:v>0,1 Вт</ns0:v>
      </ns0:c>
      <ns0:c r="G103" t="str" s="10">
        <ns0:v>75 В макс.</ns0:v>
      </ns0:c>
      <ns0:c r="H103" t="str" s="12">
        <ns0:v>0603</ns0:v>
      </ns0:c>
      <ns0:c r="I103" t="str" s="10">
        <ns0:v>YAGEO</ns0:v>
      </ns0:c>
      <ns0:c r="J103" t="str" s="10">
        <ns0:v>RC0603JR-0715KL</ns0:v>
      </ns0:c>
      <ns0:c r="K103" t="str" s="11">
        <ns0:f>B103&amp;" "&amp;D103&amp;" "&amp;E103&amp;" "&amp;H103</ns0:f>
        <ns0:v>Резистор 15 кОм ±5% 0603</ns0:v>
      </ns0:c>
      <ns0:c r="L103" t="str" s="13">
        <ns0:v>R</ns0:v>
      </ns0:c>
      <ns0:c r="M103" t="str" s="13">
        <ns0:v>Symbols\MY_LIB_Resistors.SchLib</ns0:v>
      </ns0:c>
      <ns0:c r="N103" t="str" s="13">
        <ns0:v>RESC1608X55N</ns0:v>
      </ns0:c>
      <ns0:c r="O103" t="str" s="13">
        <ns0:v>Footprints\PBL - SMD Packages.PcbLib</ns0:v>
      </ns0:c>
      <ns0:c xmlns:ns0="http://schemas.openxmlformats.org/spreadsheetml/2006/main" r="P10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3" s="10"/>
      <ns0:c r="R103" t="str" s="11">
        <ns0:f>D103</ns0:f>
        <ns0:v>15 кОм</ns0:v>
      </ns0:c>
      <ns0:c r="S103" t="str" s="11">
        <ns0:f>K103</ns0:f>
        <ns0:v>Резистор 15 кОм ±5% 0603</ns0:v>
      </ns0:c>
      <x:c xmlns:x="http://schemas.openxmlformats.org/spreadsheetml/2006/main" r="T103" t="str" s="11">
        <x:v>C:\Users\Nomatin\Documents\Altium\MY_LIB\MY_LIB\Datasheets\YAGEO_RC_L.pdf</x:v>
      </x:c>
      <x:c xmlns:x="http://schemas.openxmlformats.org/spreadsheetml/2006/main" r="U103" t="str" s="11">
        <x:v>Даташит — локальный</x:v>
      </x:c>
      <x:c xmlns:x="http://schemas.openxmlformats.org/spreadsheetml/2006/main" r="V103" t="str" s="11">
        <x:v>C:\Users\Nomatin\Documents\Altium\MY_LIB\MY_LIB\Datasheets\YAGEO_RC_L.pdf</x:v>
      </x:c>
      <x:c xmlns:x="http://schemas.openxmlformats.org/spreadsheetml/2006/main" r="W103" t="str" s="11">
        <x:v>Даташит — производитель</x:v>
      </x:c>
      <x:c xmlns:x="http://schemas.openxmlformats.org/spreadsheetml/2006/main" r="X103" t="str" s="11">
        <x:v>https://yageogroup.com/content/datasheet/asset/file/PYU-RC_GROUP_51_ROHS_L</x:v>
      </x:c>
      <x:c xmlns:x="http://schemas.openxmlformats.org/spreadsheetml/2006/main" r="Y103" t="str" s="11">
        <x:v>C:\Users\Nomatin\Documents\Altium\MY_LIB\MY_LIB\Datasheets\YAGEO_RC_L.pdf</x:v>
      </x:c>
      <ns0:c xmlns:ns0="http://schemas.openxmlformats.org/spreadsheetml/2006/main" r="Z103" s="16" t="inlineStr">
        <ns0:is>
          <ns0:t>MY_LIB_R_TCR</ns0:t>
        </ns0:is>
      </ns0:c>
      <ns0:c xmlns:ns0="http://schemas.openxmlformats.org/spreadsheetml/2006/main" r="AA103" s="16" t="inlineStr">
        <ns0:is>
          <ns0:t>R(T), +100 ppm/C at 25 C; positive datasheet limit</ns0:t>
        </ns0:is>
      </ns0:c>
      <ns0:c xmlns:ns0="http://schemas.openxmlformats.org/spreadsheetml/2006/main" r="AB103" s="16" t="str">
        <ns0:v>General</ns0:v>
      </ns0:c>
      <ns0:c xmlns:ns0="http://schemas.openxmlformats.org/spreadsheetml/2006/main" r="AC103" s="16" t="inlineStr">
        <ns0:is>
          <ns0:t>Spice Subcircuit</ns0:t>
        </ns0:is>
      </ns0:c>
      <ns0:c xmlns:ns0="http://schemas.openxmlformats.org/spreadsheetml/2006/main" r="AD103" s="16" t="inlineStr">
        <ns0:is>
          <ns0:t>@DESIGNATOR %1 %2 @MODEL PARAMS: Rvalue=@VALUE TC1value=100u</ns0:t>
        </ns0:is>
      </ns0:c>
      <ns0:c xmlns:ns0="http://schemas.openxmlformats.org/spreadsheetml/2006/main" r="AE103" s="16" t="inlineStr">
        <ns0:is>
          <ns0:t>X</ns0:t>
        </ns0:is>
      </ns0:c>
      <ns0:c xmlns:ns0="http://schemas.openxmlformats.org/spreadsheetml/2006/main" r="AF103" s="16" t="str">
        <ns0:v>(1:1),(2:2)</ns0:v>
      </ns0:c>
      <ns0:c xmlns:ns0="http://schemas.openxmlformats.org/spreadsheetml/2006/main" r="AG103" s="16" t="inlineStr">
        <ns0:is>
          <ns0:t>Simulation\Resistors\MY_LIB_R_TCR.ckt</ns0:t>
        </ns0:is>
      </ns0:c>
      <ns0:c xmlns:ns0="http://schemas.openxmlformats.org/spreadsheetml/2006/main" r="AH103" s="16" t="inlineStr">
        <ns0:is>
          <ns0:t>±100 ppm/°C</ns0:t>
        </ns0:is>
      </ns0:c>
    </ns0:row>
    <ns0:row r="104" ht="30" customHeight="1">
      <ns0:c r="A104" t="str" s="10">
        <ns0:v>R0110</ns0:v>
      </ns0:c>
      <ns0:c r="B104" t="str" s="10">
        <ns0:v>Резистор</ns0:v>
      </ns0:c>
      <ns0:c r="C104" t="str" s="10">
        <ns0:v>16k</ns0:v>
      </ns0:c>
      <ns0:c r="D104" t="str" s="11">
        <ns0:f>SUBSTITUTE(SUBSTITUTE(SUBSTITUTE(SUBSTITUTE(C104,"meg"," МОм"),"k"," кОм"),"R"," Ом"),".",",")</ns0:f>
        <ns0:v>16 кОм</ns0:v>
      </ns0:c>
      <ns0:c r="E104" t="str" s="10">
        <ns0:v>±5%</ns0:v>
      </ns0:c>
      <ns0:c r="F104" t="str" s="10">
        <ns0:v>0,1 Вт</ns0:v>
      </ns0:c>
      <ns0:c r="G104" t="str" s="10">
        <ns0:v>75 В макс.</ns0:v>
      </ns0:c>
      <ns0:c r="H104" t="str" s="12">
        <ns0:v>0603</ns0:v>
      </ns0:c>
      <ns0:c r="I104" t="str" s="10">
        <ns0:v>YAGEO</ns0:v>
      </ns0:c>
      <ns0:c r="J104" t="str" s="10">
        <ns0:v>RC0603JR-0716KL</ns0:v>
      </ns0:c>
      <ns0:c r="K104" t="str" s="11">
        <ns0:f>B104&amp;" "&amp;D104&amp;" "&amp;E104&amp;" "&amp;H104</ns0:f>
        <ns0:v>Резистор 16 кОм ±5% 0603</ns0:v>
      </ns0:c>
      <ns0:c r="L104" t="str" s="13">
        <ns0:v>R</ns0:v>
      </ns0:c>
      <ns0:c r="M104" t="str" s="13">
        <ns0:v>Symbols\MY_LIB_Resistors.SchLib</ns0:v>
      </ns0:c>
      <ns0:c r="N104" t="str" s="13">
        <ns0:v>RESC1608X55N</ns0:v>
      </ns0:c>
      <ns0:c r="O104" t="str" s="13">
        <ns0:v>Footprints\PBL - SMD Packages.PcbLib</ns0:v>
      </ns0:c>
      <ns0:c xmlns:ns0="http://schemas.openxmlformats.org/spreadsheetml/2006/main" r="P10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4" s="10"/>
      <ns0:c r="R104" t="str" s="11">
        <ns0:f>D104</ns0:f>
        <ns0:v>16 кОм</ns0:v>
      </ns0:c>
      <ns0:c r="S104" t="str" s="11">
        <ns0:f>K104</ns0:f>
        <ns0:v>Резистор 16 кОм ±5% 0603</ns0:v>
      </ns0:c>
      <x:c xmlns:x="http://schemas.openxmlformats.org/spreadsheetml/2006/main" r="T104" t="str" s="11">
        <x:v>C:\Users\Nomatin\Documents\Altium\MY_LIB\MY_LIB\Datasheets\YAGEO_RC_L.pdf</x:v>
      </x:c>
      <x:c xmlns:x="http://schemas.openxmlformats.org/spreadsheetml/2006/main" r="U104" t="str" s="11">
        <x:v>Даташит — локальный</x:v>
      </x:c>
      <x:c xmlns:x="http://schemas.openxmlformats.org/spreadsheetml/2006/main" r="V104" t="str" s="11">
        <x:v>C:\Users\Nomatin\Documents\Altium\MY_LIB\MY_LIB\Datasheets\YAGEO_RC_L.pdf</x:v>
      </x:c>
      <x:c xmlns:x="http://schemas.openxmlformats.org/spreadsheetml/2006/main" r="W104" t="str" s="11">
        <x:v>Даташит — производитель</x:v>
      </x:c>
      <x:c xmlns:x="http://schemas.openxmlformats.org/spreadsheetml/2006/main" r="X104" t="str" s="11">
        <x:v>https://yageogroup.com/content/datasheet/asset/file/PYU-RC_GROUP_51_ROHS_L</x:v>
      </x:c>
      <x:c xmlns:x="http://schemas.openxmlformats.org/spreadsheetml/2006/main" r="Y104" t="str" s="11">
        <x:v>C:\Users\Nomatin\Documents\Altium\MY_LIB\MY_LIB\Datasheets\YAGEO_RC_L.pdf</x:v>
      </x:c>
      <ns0:c xmlns:ns0="http://schemas.openxmlformats.org/spreadsheetml/2006/main" r="Z104" s="16" t="inlineStr">
        <ns0:is>
          <ns0:t>MY_LIB_R_TCR</ns0:t>
        </ns0:is>
      </ns0:c>
      <ns0:c xmlns:ns0="http://schemas.openxmlformats.org/spreadsheetml/2006/main" r="AA104" s="16" t="inlineStr">
        <ns0:is>
          <ns0:t>R(T), +100 ppm/C at 25 C; positive datasheet limit</ns0:t>
        </ns0:is>
      </ns0:c>
      <ns0:c xmlns:ns0="http://schemas.openxmlformats.org/spreadsheetml/2006/main" r="AB104" s="16" t="str">
        <ns0:v>General</ns0:v>
      </ns0:c>
      <ns0:c xmlns:ns0="http://schemas.openxmlformats.org/spreadsheetml/2006/main" r="AC104" s="16" t="inlineStr">
        <ns0:is>
          <ns0:t>Spice Subcircuit</ns0:t>
        </ns0:is>
      </ns0:c>
      <ns0:c xmlns:ns0="http://schemas.openxmlformats.org/spreadsheetml/2006/main" r="AD104" s="16" t="inlineStr">
        <ns0:is>
          <ns0:t>@DESIGNATOR %1 %2 @MODEL PARAMS: Rvalue=@VALUE TC1value=100u</ns0:t>
        </ns0:is>
      </ns0:c>
      <ns0:c xmlns:ns0="http://schemas.openxmlformats.org/spreadsheetml/2006/main" r="AE104" s="16" t="inlineStr">
        <ns0:is>
          <ns0:t>X</ns0:t>
        </ns0:is>
      </ns0:c>
      <ns0:c xmlns:ns0="http://schemas.openxmlformats.org/spreadsheetml/2006/main" r="AF104" s="16" t="str">
        <ns0:v>(1:1),(2:2)</ns0:v>
      </ns0:c>
      <ns0:c xmlns:ns0="http://schemas.openxmlformats.org/spreadsheetml/2006/main" r="AG104" s="16" t="inlineStr">
        <ns0:is>
          <ns0:t>Simulation\Resistors\MY_LIB_R_TCR.ckt</ns0:t>
        </ns0:is>
      </ns0:c>
      <ns0:c xmlns:ns0="http://schemas.openxmlformats.org/spreadsheetml/2006/main" r="AH104" s="16" t="inlineStr">
        <ns0:is>
          <ns0:t>±100 ppm/°C</ns0:t>
        </ns0:is>
      </ns0:c>
    </ns0:row>
    <ns0:row r="105" ht="30" customHeight="1">
      <ns0:c r="A105" t="str" s="10">
        <ns0:v>R0111</ns0:v>
      </ns0:c>
      <ns0:c r="B105" t="str" s="10">
        <ns0:v>Резистор</ns0:v>
      </ns0:c>
      <ns0:c r="C105" t="str" s="10">
        <ns0:v>18k</ns0:v>
      </ns0:c>
      <ns0:c r="D105" t="str" s="11">
        <ns0:f>SUBSTITUTE(SUBSTITUTE(SUBSTITUTE(SUBSTITUTE(C105,"meg"," МОм"),"k"," кОм"),"R"," Ом"),".",",")</ns0:f>
        <ns0:v>18 кОм</ns0:v>
      </ns0:c>
      <ns0:c r="E105" t="str" s="10">
        <ns0:v>±5%</ns0:v>
      </ns0:c>
      <ns0:c r="F105" t="str" s="10">
        <ns0:v>0,1 Вт</ns0:v>
      </ns0:c>
      <ns0:c r="G105" t="str" s="10">
        <ns0:v>75 В макс.</ns0:v>
      </ns0:c>
      <ns0:c r="H105" t="str" s="12">
        <ns0:v>0603</ns0:v>
      </ns0:c>
      <ns0:c r="I105" t="str" s="10">
        <ns0:v>YAGEO</ns0:v>
      </ns0:c>
      <ns0:c r="J105" t="str" s="10">
        <ns0:v>RC0603JR-0718KL</ns0:v>
      </ns0:c>
      <ns0:c r="K105" t="str" s="11">
        <ns0:f>B105&amp;" "&amp;D105&amp;" "&amp;E105&amp;" "&amp;H105</ns0:f>
        <ns0:v>Резистор 18 кОм ±5% 0603</ns0:v>
      </ns0:c>
      <ns0:c r="L105" t="str" s="13">
        <ns0:v>R</ns0:v>
      </ns0:c>
      <ns0:c r="M105" t="str" s="13">
        <ns0:v>Symbols\MY_LIB_Resistors.SchLib</ns0:v>
      </ns0:c>
      <ns0:c r="N105" t="str" s="13">
        <ns0:v>RESC1608X55N</ns0:v>
      </ns0:c>
      <ns0:c r="O105" t="str" s="13">
        <ns0:v>Footprints\PBL - SMD Packages.PcbLib</ns0:v>
      </ns0:c>
      <ns0:c xmlns:ns0="http://schemas.openxmlformats.org/spreadsheetml/2006/main" r="P10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5" s="10"/>
      <ns0:c r="R105" t="str" s="11">
        <ns0:f>D105</ns0:f>
        <ns0:v>18 кОм</ns0:v>
      </ns0:c>
      <ns0:c r="S105" t="str" s="11">
        <ns0:f>K105</ns0:f>
        <ns0:v>Резистор 18 кОм ±5% 0603</ns0:v>
      </ns0:c>
      <x:c xmlns:x="http://schemas.openxmlformats.org/spreadsheetml/2006/main" r="T105" t="str" s="11">
        <x:v>C:\Users\Nomatin\Documents\Altium\MY_LIB\MY_LIB\Datasheets\YAGEO_RC_L.pdf</x:v>
      </x:c>
      <x:c xmlns:x="http://schemas.openxmlformats.org/spreadsheetml/2006/main" r="U105" t="str" s="11">
        <x:v>Даташит — локальный</x:v>
      </x:c>
      <x:c xmlns:x="http://schemas.openxmlformats.org/spreadsheetml/2006/main" r="V105" t="str" s="11">
        <x:v>C:\Users\Nomatin\Documents\Altium\MY_LIB\MY_LIB\Datasheets\YAGEO_RC_L.pdf</x:v>
      </x:c>
      <x:c xmlns:x="http://schemas.openxmlformats.org/spreadsheetml/2006/main" r="W105" t="str" s="11">
        <x:v>Даташит — производитель</x:v>
      </x:c>
      <x:c xmlns:x="http://schemas.openxmlformats.org/spreadsheetml/2006/main" r="X105" t="str" s="11">
        <x:v>https://yageogroup.com/content/datasheet/asset/file/PYU-RC_GROUP_51_ROHS_L</x:v>
      </x:c>
      <x:c xmlns:x="http://schemas.openxmlformats.org/spreadsheetml/2006/main" r="Y105" t="str" s="11">
        <x:v>C:\Users\Nomatin\Documents\Altium\MY_LIB\MY_LIB\Datasheets\YAGEO_RC_L.pdf</x:v>
      </x:c>
      <ns0:c xmlns:ns0="http://schemas.openxmlformats.org/spreadsheetml/2006/main" r="Z105" s="16" t="inlineStr">
        <ns0:is>
          <ns0:t>MY_LIB_R_TCR</ns0:t>
        </ns0:is>
      </ns0:c>
      <ns0:c xmlns:ns0="http://schemas.openxmlformats.org/spreadsheetml/2006/main" r="AA105" s="16" t="inlineStr">
        <ns0:is>
          <ns0:t>R(T), +100 ppm/C at 25 C; positive datasheet limit</ns0:t>
        </ns0:is>
      </ns0:c>
      <ns0:c xmlns:ns0="http://schemas.openxmlformats.org/spreadsheetml/2006/main" r="AB105" s="16" t="str">
        <ns0:v>General</ns0:v>
      </ns0:c>
      <ns0:c xmlns:ns0="http://schemas.openxmlformats.org/spreadsheetml/2006/main" r="AC105" s="16" t="inlineStr">
        <ns0:is>
          <ns0:t>Spice Subcircuit</ns0:t>
        </ns0:is>
      </ns0:c>
      <ns0:c xmlns:ns0="http://schemas.openxmlformats.org/spreadsheetml/2006/main" r="AD105" s="16" t="inlineStr">
        <ns0:is>
          <ns0:t>@DESIGNATOR %1 %2 @MODEL PARAMS: Rvalue=@VALUE TC1value=100u</ns0:t>
        </ns0:is>
      </ns0:c>
      <ns0:c xmlns:ns0="http://schemas.openxmlformats.org/spreadsheetml/2006/main" r="AE105" s="16" t="inlineStr">
        <ns0:is>
          <ns0:t>X</ns0:t>
        </ns0:is>
      </ns0:c>
      <ns0:c xmlns:ns0="http://schemas.openxmlformats.org/spreadsheetml/2006/main" r="AF105" s="16" t="str">
        <ns0:v>(1:1),(2:2)</ns0:v>
      </ns0:c>
      <ns0:c xmlns:ns0="http://schemas.openxmlformats.org/spreadsheetml/2006/main" r="AG105" s="16" t="inlineStr">
        <ns0:is>
          <ns0:t>Simulation\Resistors\MY_LIB_R_TCR.ckt</ns0:t>
        </ns0:is>
      </ns0:c>
      <ns0:c xmlns:ns0="http://schemas.openxmlformats.org/spreadsheetml/2006/main" r="AH105" s="16" t="inlineStr">
        <ns0:is>
          <ns0:t>±100 ppm/°C</ns0:t>
        </ns0:is>
      </ns0:c>
    </ns0:row>
    <ns0:row r="106" ht="30" customHeight="1">
      <ns0:c r="A106" t="str" s="10">
        <ns0:v>R0112</ns0:v>
      </ns0:c>
      <ns0:c r="B106" t="str" s="10">
        <ns0:v>Резистор</ns0:v>
      </ns0:c>
      <ns0:c r="C106" t="str" s="10">
        <ns0:v>20k</ns0:v>
      </ns0:c>
      <ns0:c r="D106" t="str" s="11">
        <ns0:f>SUBSTITUTE(SUBSTITUTE(SUBSTITUTE(SUBSTITUTE(C106,"meg"," МОм"),"k"," кОм"),"R"," Ом"),".",",")</ns0:f>
        <ns0:v>20 кОм</ns0:v>
      </ns0:c>
      <ns0:c r="E106" t="str" s="10">
        <ns0:v>±5%</ns0:v>
      </ns0:c>
      <ns0:c r="F106" t="str" s="10">
        <ns0:v>0,1 Вт</ns0:v>
      </ns0:c>
      <ns0:c r="G106" t="str" s="10">
        <ns0:v>75 В макс.</ns0:v>
      </ns0:c>
      <ns0:c r="H106" t="str" s="12">
        <ns0:v>0603</ns0:v>
      </ns0:c>
      <ns0:c r="I106" t="str" s="10">
        <ns0:v>YAGEO</ns0:v>
      </ns0:c>
      <ns0:c r="J106" t="str" s="10">
        <ns0:v>RC0603JR-0720KL</ns0:v>
      </ns0:c>
      <ns0:c r="K106" t="str" s="11">
        <ns0:f>B106&amp;" "&amp;D106&amp;" "&amp;E106&amp;" "&amp;H106</ns0:f>
        <ns0:v>Резистор 20 кОм ±5% 0603</ns0:v>
      </ns0:c>
      <ns0:c r="L106" t="str" s="13">
        <ns0:v>R</ns0:v>
      </ns0:c>
      <ns0:c r="M106" t="str" s="13">
        <ns0:v>Symbols\MY_LIB_Resistors.SchLib</ns0:v>
      </ns0:c>
      <ns0:c r="N106" t="str" s="13">
        <ns0:v>RESC1608X55N</ns0:v>
      </ns0:c>
      <ns0:c r="O106" t="str" s="13">
        <ns0:v>Footprints\PBL - SMD Packages.PcbLib</ns0:v>
      </ns0:c>
      <ns0:c xmlns:ns0="http://schemas.openxmlformats.org/spreadsheetml/2006/main" r="P10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6" s="10"/>
      <ns0:c r="R106" t="str" s="11">
        <ns0:f>D106</ns0:f>
        <ns0:v>20 кОм</ns0:v>
      </ns0:c>
      <ns0:c r="S106" t="str" s="11">
        <ns0:f>K106</ns0:f>
        <ns0:v>Резистор 20 кОм ±5% 0603</ns0:v>
      </ns0:c>
      <x:c xmlns:x="http://schemas.openxmlformats.org/spreadsheetml/2006/main" r="T106" t="str" s="11">
        <x:v>C:\Users\Nomatin\Documents\Altium\MY_LIB\MY_LIB\Datasheets\YAGEO_RC_L.pdf</x:v>
      </x:c>
      <x:c xmlns:x="http://schemas.openxmlformats.org/spreadsheetml/2006/main" r="U106" t="str" s="11">
        <x:v>Даташит — локальный</x:v>
      </x:c>
      <x:c xmlns:x="http://schemas.openxmlformats.org/spreadsheetml/2006/main" r="V106" t="str" s="11">
        <x:v>C:\Users\Nomatin\Documents\Altium\MY_LIB\MY_LIB\Datasheets\YAGEO_RC_L.pdf</x:v>
      </x:c>
      <x:c xmlns:x="http://schemas.openxmlformats.org/spreadsheetml/2006/main" r="W106" t="str" s="11">
        <x:v>Даташит — производитель</x:v>
      </x:c>
      <x:c xmlns:x="http://schemas.openxmlformats.org/spreadsheetml/2006/main" r="X106" t="str" s="11">
        <x:v>https://yageogroup.com/content/datasheet/asset/file/PYU-RC_GROUP_51_ROHS_L</x:v>
      </x:c>
      <x:c xmlns:x="http://schemas.openxmlformats.org/spreadsheetml/2006/main" r="Y106" t="str" s="11">
        <x:v>C:\Users\Nomatin\Documents\Altium\MY_LIB\MY_LIB\Datasheets\YAGEO_RC_L.pdf</x:v>
      </x:c>
      <ns0:c xmlns:ns0="http://schemas.openxmlformats.org/spreadsheetml/2006/main" r="Z106" s="16" t="inlineStr">
        <ns0:is>
          <ns0:t>MY_LIB_R_TCR</ns0:t>
        </ns0:is>
      </ns0:c>
      <ns0:c xmlns:ns0="http://schemas.openxmlformats.org/spreadsheetml/2006/main" r="AA106" s="16" t="inlineStr">
        <ns0:is>
          <ns0:t>R(T), +100 ppm/C at 25 C; positive datasheet limit</ns0:t>
        </ns0:is>
      </ns0:c>
      <ns0:c xmlns:ns0="http://schemas.openxmlformats.org/spreadsheetml/2006/main" r="AB106" s="16" t="str">
        <ns0:v>General</ns0:v>
      </ns0:c>
      <ns0:c xmlns:ns0="http://schemas.openxmlformats.org/spreadsheetml/2006/main" r="AC106" s="16" t="inlineStr">
        <ns0:is>
          <ns0:t>Spice Subcircuit</ns0:t>
        </ns0:is>
      </ns0:c>
      <ns0:c xmlns:ns0="http://schemas.openxmlformats.org/spreadsheetml/2006/main" r="AD106" s="16" t="inlineStr">
        <ns0:is>
          <ns0:t>@DESIGNATOR %1 %2 @MODEL PARAMS: Rvalue=@VALUE TC1value=100u</ns0:t>
        </ns0:is>
      </ns0:c>
      <ns0:c xmlns:ns0="http://schemas.openxmlformats.org/spreadsheetml/2006/main" r="AE106" s="16" t="inlineStr">
        <ns0:is>
          <ns0:t>X</ns0:t>
        </ns0:is>
      </ns0:c>
      <ns0:c xmlns:ns0="http://schemas.openxmlformats.org/spreadsheetml/2006/main" r="AF106" s="16" t="str">
        <ns0:v>(1:1),(2:2)</ns0:v>
      </ns0:c>
      <ns0:c xmlns:ns0="http://schemas.openxmlformats.org/spreadsheetml/2006/main" r="AG106" s="16" t="inlineStr">
        <ns0:is>
          <ns0:t>Simulation\Resistors\MY_LIB_R_TCR.ckt</ns0:t>
        </ns0:is>
      </ns0:c>
      <ns0:c xmlns:ns0="http://schemas.openxmlformats.org/spreadsheetml/2006/main" r="AH106" s="16" t="inlineStr">
        <ns0:is>
          <ns0:t>±100 ppm/°C</ns0:t>
        </ns0:is>
      </ns0:c>
    </ns0:row>
    <ns0:row r="107" ht="30" customHeight="1">
      <ns0:c r="A107" t="str" s="10">
        <ns0:v>R0113</ns0:v>
      </ns0:c>
      <ns0:c r="B107" t="str" s="10">
        <ns0:v>Резистор</ns0:v>
      </ns0:c>
      <ns0:c r="C107" t="str" s="10">
        <ns0:v>22k</ns0:v>
      </ns0:c>
      <ns0:c r="D107" t="str" s="11">
        <ns0:f>SUBSTITUTE(SUBSTITUTE(SUBSTITUTE(SUBSTITUTE(C107,"meg"," МОм"),"k"," кОм"),"R"," Ом"),".",",")</ns0:f>
        <ns0:v>22 кОм</ns0:v>
      </ns0:c>
      <ns0:c r="E107" t="str" s="10">
        <ns0:v>±5%</ns0:v>
      </ns0:c>
      <ns0:c r="F107" t="str" s="10">
        <ns0:v>0,1 Вт</ns0:v>
      </ns0:c>
      <ns0:c r="G107" t="str" s="10">
        <ns0:v>75 В макс.</ns0:v>
      </ns0:c>
      <ns0:c r="H107" t="str" s="12">
        <ns0:v>0603</ns0:v>
      </ns0:c>
      <ns0:c r="I107" t="str" s="10">
        <ns0:v>YAGEO</ns0:v>
      </ns0:c>
      <ns0:c r="J107" t="str" s="10">
        <ns0:v>RC0603JR-0722KL</ns0:v>
      </ns0:c>
      <ns0:c r="K107" t="str" s="11">
        <ns0:f>B107&amp;" "&amp;D107&amp;" "&amp;E107&amp;" "&amp;H107</ns0:f>
        <ns0:v>Резистор 22 кОм ±5% 0603</ns0:v>
      </ns0:c>
      <ns0:c r="L107" t="str" s="13">
        <ns0:v>R</ns0:v>
      </ns0:c>
      <ns0:c r="M107" t="str" s="13">
        <ns0:v>Symbols\MY_LIB_Resistors.SchLib</ns0:v>
      </ns0:c>
      <ns0:c r="N107" t="str" s="13">
        <ns0:v>RESC1608X55N</ns0:v>
      </ns0:c>
      <ns0:c r="O107" t="str" s="13">
        <ns0:v>Footprints\PBL - SMD Packages.PcbLib</ns0:v>
      </ns0:c>
      <ns0:c xmlns:ns0="http://schemas.openxmlformats.org/spreadsheetml/2006/main" r="P10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7" s="10"/>
      <ns0:c r="R107" t="str" s="11">
        <ns0:f>D107</ns0:f>
        <ns0:v>22 кОм</ns0:v>
      </ns0:c>
      <ns0:c r="S107" t="str" s="11">
        <ns0:f>K107</ns0:f>
        <ns0:v>Резистор 22 кОм ±5% 0603</ns0:v>
      </ns0:c>
      <x:c xmlns:x="http://schemas.openxmlformats.org/spreadsheetml/2006/main" r="T107" t="str" s="11">
        <x:v>C:\Users\Nomatin\Documents\Altium\MY_LIB\MY_LIB\Datasheets\YAGEO_RC_L.pdf</x:v>
      </x:c>
      <x:c xmlns:x="http://schemas.openxmlformats.org/spreadsheetml/2006/main" r="U107" t="str" s="11">
        <x:v>Даташит — локальный</x:v>
      </x:c>
      <x:c xmlns:x="http://schemas.openxmlformats.org/spreadsheetml/2006/main" r="V107" t="str" s="11">
        <x:v>C:\Users\Nomatin\Documents\Altium\MY_LIB\MY_LIB\Datasheets\YAGEO_RC_L.pdf</x:v>
      </x:c>
      <x:c xmlns:x="http://schemas.openxmlformats.org/spreadsheetml/2006/main" r="W107" t="str" s="11">
        <x:v>Даташит — производитель</x:v>
      </x:c>
      <x:c xmlns:x="http://schemas.openxmlformats.org/spreadsheetml/2006/main" r="X107" t="str" s="11">
        <x:v>https://yageogroup.com/content/datasheet/asset/file/PYU-RC_GROUP_51_ROHS_L</x:v>
      </x:c>
      <x:c xmlns:x="http://schemas.openxmlformats.org/spreadsheetml/2006/main" r="Y107" t="str" s="11">
        <x:v>C:\Users\Nomatin\Documents\Altium\MY_LIB\MY_LIB\Datasheets\YAGEO_RC_L.pdf</x:v>
      </x:c>
      <ns0:c xmlns:ns0="http://schemas.openxmlformats.org/spreadsheetml/2006/main" r="Z107" s="16" t="inlineStr">
        <ns0:is>
          <ns0:t>MY_LIB_R_TCR</ns0:t>
        </ns0:is>
      </ns0:c>
      <ns0:c xmlns:ns0="http://schemas.openxmlformats.org/spreadsheetml/2006/main" r="AA107" s="16" t="inlineStr">
        <ns0:is>
          <ns0:t>R(T), +100 ppm/C at 25 C; positive datasheet limit</ns0:t>
        </ns0:is>
      </ns0:c>
      <ns0:c xmlns:ns0="http://schemas.openxmlformats.org/spreadsheetml/2006/main" r="AB107" s="16" t="str">
        <ns0:v>General</ns0:v>
      </ns0:c>
      <ns0:c xmlns:ns0="http://schemas.openxmlformats.org/spreadsheetml/2006/main" r="AC107" s="16" t="inlineStr">
        <ns0:is>
          <ns0:t>Spice Subcircuit</ns0:t>
        </ns0:is>
      </ns0:c>
      <ns0:c xmlns:ns0="http://schemas.openxmlformats.org/spreadsheetml/2006/main" r="AD107" s="16" t="inlineStr">
        <ns0:is>
          <ns0:t>@DESIGNATOR %1 %2 @MODEL PARAMS: Rvalue=@VALUE TC1value=100u</ns0:t>
        </ns0:is>
      </ns0:c>
      <ns0:c xmlns:ns0="http://schemas.openxmlformats.org/spreadsheetml/2006/main" r="AE107" s="16" t="inlineStr">
        <ns0:is>
          <ns0:t>X</ns0:t>
        </ns0:is>
      </ns0:c>
      <ns0:c xmlns:ns0="http://schemas.openxmlformats.org/spreadsheetml/2006/main" r="AF107" s="16" t="str">
        <ns0:v>(1:1),(2:2)</ns0:v>
      </ns0:c>
      <ns0:c xmlns:ns0="http://schemas.openxmlformats.org/spreadsheetml/2006/main" r="AG107" s="16" t="inlineStr">
        <ns0:is>
          <ns0:t>Simulation\Resistors\MY_LIB_R_TCR.ckt</ns0:t>
        </ns0:is>
      </ns0:c>
      <ns0:c xmlns:ns0="http://schemas.openxmlformats.org/spreadsheetml/2006/main" r="AH107" s="16" t="inlineStr">
        <ns0:is>
          <ns0:t>±100 ppm/°C</ns0:t>
        </ns0:is>
      </ns0:c>
    </ns0:row>
    <ns0:row r="108" ht="30" customHeight="1">
      <ns0:c r="A108" t="str" s="10">
        <ns0:v>R0114</ns0:v>
      </ns0:c>
      <ns0:c r="B108" t="str" s="10">
        <ns0:v>Резистор</ns0:v>
      </ns0:c>
      <ns0:c r="C108" t="str" s="10">
        <ns0:v>24k</ns0:v>
      </ns0:c>
      <ns0:c r="D108" t="str" s="11">
        <ns0:f>SUBSTITUTE(SUBSTITUTE(SUBSTITUTE(SUBSTITUTE(C108,"meg"," МОм"),"k"," кОм"),"R"," Ом"),".",",")</ns0:f>
        <ns0:v>24 кОм</ns0:v>
      </ns0:c>
      <ns0:c r="E108" t="str" s="10">
        <ns0:v>±5%</ns0:v>
      </ns0:c>
      <ns0:c r="F108" t="str" s="10">
        <ns0:v>0,1 Вт</ns0:v>
      </ns0:c>
      <ns0:c r="G108" t="str" s="10">
        <ns0:v>75 В макс.</ns0:v>
      </ns0:c>
      <ns0:c r="H108" t="str" s="12">
        <ns0:v>0603</ns0:v>
      </ns0:c>
      <ns0:c r="I108" t="str" s="10">
        <ns0:v>YAGEO</ns0:v>
      </ns0:c>
      <ns0:c r="J108" t="str" s="10">
        <ns0:v>RC0603JR-0724KL</ns0:v>
      </ns0:c>
      <ns0:c r="K108" t="str" s="11">
        <ns0:f>B108&amp;" "&amp;D108&amp;" "&amp;E108&amp;" "&amp;H108</ns0:f>
        <ns0:v>Резистор 24 кОм ±5% 0603</ns0:v>
      </ns0:c>
      <ns0:c r="L108" t="str" s="13">
        <ns0:v>R</ns0:v>
      </ns0:c>
      <ns0:c r="M108" t="str" s="13">
        <ns0:v>Symbols\MY_LIB_Resistors.SchLib</ns0:v>
      </ns0:c>
      <ns0:c r="N108" t="str" s="13">
        <ns0:v>RESC1608X55N</ns0:v>
      </ns0:c>
      <ns0:c r="O108" t="str" s="13">
        <ns0:v>Footprints\PBL - SMD Packages.PcbLib</ns0:v>
      </ns0:c>
      <ns0:c xmlns:ns0="http://schemas.openxmlformats.org/spreadsheetml/2006/main" r="P10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8" s="10"/>
      <ns0:c r="R108" t="str" s="11">
        <ns0:f>D108</ns0:f>
        <ns0:v>24 кОм</ns0:v>
      </ns0:c>
      <ns0:c r="S108" t="str" s="11">
        <ns0:f>K108</ns0:f>
        <ns0:v>Резистор 24 кОм ±5% 0603</ns0:v>
      </ns0:c>
      <x:c xmlns:x="http://schemas.openxmlformats.org/spreadsheetml/2006/main" r="T108" t="str" s="11">
        <x:v>C:\Users\Nomatin\Documents\Altium\MY_LIB\MY_LIB\Datasheets\YAGEO_RC_L.pdf</x:v>
      </x:c>
      <x:c xmlns:x="http://schemas.openxmlformats.org/spreadsheetml/2006/main" r="U108" t="str" s="11">
        <x:v>Даташит — локальный</x:v>
      </x:c>
      <x:c xmlns:x="http://schemas.openxmlformats.org/spreadsheetml/2006/main" r="V108" t="str" s="11">
        <x:v>C:\Users\Nomatin\Documents\Altium\MY_LIB\MY_LIB\Datasheets\YAGEO_RC_L.pdf</x:v>
      </x:c>
      <x:c xmlns:x="http://schemas.openxmlformats.org/spreadsheetml/2006/main" r="W108" t="str" s="11">
        <x:v>Даташит — производитель</x:v>
      </x:c>
      <x:c xmlns:x="http://schemas.openxmlformats.org/spreadsheetml/2006/main" r="X108" t="str" s="11">
        <x:v>https://yageogroup.com/content/datasheet/asset/file/PYU-RC_GROUP_51_ROHS_L</x:v>
      </x:c>
      <x:c xmlns:x="http://schemas.openxmlformats.org/spreadsheetml/2006/main" r="Y108" t="str" s="11">
        <x:v>C:\Users\Nomatin\Documents\Altium\MY_LIB\MY_LIB\Datasheets\YAGEO_RC_L.pdf</x:v>
      </x:c>
      <ns0:c xmlns:ns0="http://schemas.openxmlformats.org/spreadsheetml/2006/main" r="Z108" s="16" t="inlineStr">
        <ns0:is>
          <ns0:t>MY_LIB_R_TCR</ns0:t>
        </ns0:is>
      </ns0:c>
      <ns0:c xmlns:ns0="http://schemas.openxmlformats.org/spreadsheetml/2006/main" r="AA108" s="16" t="inlineStr">
        <ns0:is>
          <ns0:t>R(T), +100 ppm/C at 25 C; positive datasheet limit</ns0:t>
        </ns0:is>
      </ns0:c>
      <ns0:c xmlns:ns0="http://schemas.openxmlformats.org/spreadsheetml/2006/main" r="AB108" s="16" t="str">
        <ns0:v>General</ns0:v>
      </ns0:c>
      <ns0:c xmlns:ns0="http://schemas.openxmlformats.org/spreadsheetml/2006/main" r="AC108" s="16" t="inlineStr">
        <ns0:is>
          <ns0:t>Spice Subcircuit</ns0:t>
        </ns0:is>
      </ns0:c>
      <ns0:c xmlns:ns0="http://schemas.openxmlformats.org/spreadsheetml/2006/main" r="AD108" s="16" t="inlineStr">
        <ns0:is>
          <ns0:t>@DESIGNATOR %1 %2 @MODEL PARAMS: Rvalue=@VALUE TC1value=100u</ns0:t>
        </ns0:is>
      </ns0:c>
      <ns0:c xmlns:ns0="http://schemas.openxmlformats.org/spreadsheetml/2006/main" r="AE108" s="16" t="inlineStr">
        <ns0:is>
          <ns0:t>X</ns0:t>
        </ns0:is>
      </ns0:c>
      <ns0:c xmlns:ns0="http://schemas.openxmlformats.org/spreadsheetml/2006/main" r="AF108" s="16" t="str">
        <ns0:v>(1:1),(2:2)</ns0:v>
      </ns0:c>
      <ns0:c xmlns:ns0="http://schemas.openxmlformats.org/spreadsheetml/2006/main" r="AG108" s="16" t="inlineStr">
        <ns0:is>
          <ns0:t>Simulation\Resistors\MY_LIB_R_TCR.ckt</ns0:t>
        </ns0:is>
      </ns0:c>
      <ns0:c xmlns:ns0="http://schemas.openxmlformats.org/spreadsheetml/2006/main" r="AH108" s="16" t="inlineStr">
        <ns0:is>
          <ns0:t>±100 ppm/°C</ns0:t>
        </ns0:is>
      </ns0:c>
    </ns0:row>
    <ns0:row r="109" ht="30" customHeight="1">
      <ns0:c r="A109" t="str" s="10">
        <ns0:v>R0115</ns0:v>
      </ns0:c>
      <ns0:c r="B109" t="str" s="10">
        <ns0:v>Резистор</ns0:v>
      </ns0:c>
      <ns0:c r="C109" t="str" s="10">
        <ns0:v>27k</ns0:v>
      </ns0:c>
      <ns0:c r="D109" t="str" s="11">
        <ns0:f>SUBSTITUTE(SUBSTITUTE(SUBSTITUTE(SUBSTITUTE(C109,"meg"," МОм"),"k"," кОм"),"R"," Ом"),".",",")</ns0:f>
        <ns0:v>27 кОм</ns0:v>
      </ns0:c>
      <ns0:c r="E109" t="str" s="10">
        <ns0:v>±5%</ns0:v>
      </ns0:c>
      <ns0:c r="F109" t="str" s="10">
        <ns0:v>0,1 Вт</ns0:v>
      </ns0:c>
      <ns0:c r="G109" t="str" s="10">
        <ns0:v>75 В макс.</ns0:v>
      </ns0:c>
      <ns0:c r="H109" t="str" s="12">
        <ns0:v>0603</ns0:v>
      </ns0:c>
      <ns0:c r="I109" t="str" s="10">
        <ns0:v>YAGEO</ns0:v>
      </ns0:c>
      <ns0:c r="J109" t="str" s="10">
        <ns0:v>RC0603JR-0727KL</ns0:v>
      </ns0:c>
      <ns0:c r="K109" t="str" s="11">
        <ns0:f>B109&amp;" "&amp;D109&amp;" "&amp;E109&amp;" "&amp;H109</ns0:f>
        <ns0:v>Резистор 27 кОм ±5% 0603</ns0:v>
      </ns0:c>
      <ns0:c r="L109" t="str" s="13">
        <ns0:v>R</ns0:v>
      </ns0:c>
      <ns0:c r="M109" t="str" s="13">
        <ns0:v>Symbols\MY_LIB_Resistors.SchLib</ns0:v>
      </ns0:c>
      <ns0:c r="N109" t="str" s="13">
        <ns0:v>RESC1608X55N</ns0:v>
      </ns0:c>
      <ns0:c r="O109" t="str" s="13">
        <ns0:v>Footprints\PBL - SMD Packages.PcbLib</ns0:v>
      </ns0:c>
      <ns0:c xmlns:ns0="http://schemas.openxmlformats.org/spreadsheetml/2006/main" r="P10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09" s="10"/>
      <ns0:c r="R109" t="str" s="11">
        <ns0:f>D109</ns0:f>
        <ns0:v>27 кОм</ns0:v>
      </ns0:c>
      <ns0:c r="S109" t="str" s="11">
        <ns0:f>K109</ns0:f>
        <ns0:v>Резистор 27 кОм ±5% 0603</ns0:v>
      </ns0:c>
      <x:c xmlns:x="http://schemas.openxmlformats.org/spreadsheetml/2006/main" r="T109" t="str" s="11">
        <x:v>C:\Users\Nomatin\Documents\Altium\MY_LIB\MY_LIB\Datasheets\YAGEO_RC_L.pdf</x:v>
      </x:c>
      <x:c xmlns:x="http://schemas.openxmlformats.org/spreadsheetml/2006/main" r="U109" t="str" s="11">
        <x:v>Даташит — локальный</x:v>
      </x:c>
      <x:c xmlns:x="http://schemas.openxmlformats.org/spreadsheetml/2006/main" r="V109" t="str" s="11">
        <x:v>C:\Users\Nomatin\Documents\Altium\MY_LIB\MY_LIB\Datasheets\YAGEO_RC_L.pdf</x:v>
      </x:c>
      <x:c xmlns:x="http://schemas.openxmlformats.org/spreadsheetml/2006/main" r="W109" t="str" s="11">
        <x:v>Даташит — производитель</x:v>
      </x:c>
      <x:c xmlns:x="http://schemas.openxmlformats.org/spreadsheetml/2006/main" r="X109" t="str" s="11">
        <x:v>https://yageogroup.com/content/datasheet/asset/file/PYU-RC_GROUP_51_ROHS_L</x:v>
      </x:c>
      <x:c xmlns:x="http://schemas.openxmlformats.org/spreadsheetml/2006/main" r="Y109" t="str" s="11">
        <x:v>C:\Users\Nomatin\Documents\Altium\MY_LIB\MY_LIB\Datasheets\YAGEO_RC_L.pdf</x:v>
      </x:c>
      <ns0:c xmlns:ns0="http://schemas.openxmlformats.org/spreadsheetml/2006/main" r="Z109" s="16" t="inlineStr">
        <ns0:is>
          <ns0:t>MY_LIB_R_TCR</ns0:t>
        </ns0:is>
      </ns0:c>
      <ns0:c xmlns:ns0="http://schemas.openxmlformats.org/spreadsheetml/2006/main" r="AA109" s="16" t="inlineStr">
        <ns0:is>
          <ns0:t>R(T), +100 ppm/C at 25 C; positive datasheet limit</ns0:t>
        </ns0:is>
      </ns0:c>
      <ns0:c xmlns:ns0="http://schemas.openxmlformats.org/spreadsheetml/2006/main" r="AB109" s="16" t="str">
        <ns0:v>General</ns0:v>
      </ns0:c>
      <ns0:c xmlns:ns0="http://schemas.openxmlformats.org/spreadsheetml/2006/main" r="AC109" s="16" t="inlineStr">
        <ns0:is>
          <ns0:t>Spice Subcircuit</ns0:t>
        </ns0:is>
      </ns0:c>
      <ns0:c xmlns:ns0="http://schemas.openxmlformats.org/spreadsheetml/2006/main" r="AD109" s="16" t="inlineStr">
        <ns0:is>
          <ns0:t>@DESIGNATOR %1 %2 @MODEL PARAMS: Rvalue=@VALUE TC1value=100u</ns0:t>
        </ns0:is>
      </ns0:c>
      <ns0:c xmlns:ns0="http://schemas.openxmlformats.org/spreadsheetml/2006/main" r="AE109" s="16" t="inlineStr">
        <ns0:is>
          <ns0:t>X</ns0:t>
        </ns0:is>
      </ns0:c>
      <ns0:c xmlns:ns0="http://schemas.openxmlformats.org/spreadsheetml/2006/main" r="AF109" s="16" t="str">
        <ns0:v>(1:1),(2:2)</ns0:v>
      </ns0:c>
      <ns0:c xmlns:ns0="http://schemas.openxmlformats.org/spreadsheetml/2006/main" r="AG109" s="16" t="inlineStr">
        <ns0:is>
          <ns0:t>Simulation\Resistors\MY_LIB_R_TCR.ckt</ns0:t>
        </ns0:is>
      </ns0:c>
      <ns0:c xmlns:ns0="http://schemas.openxmlformats.org/spreadsheetml/2006/main" r="AH109" s="16" t="inlineStr">
        <ns0:is>
          <ns0:t>±100 ppm/°C</ns0:t>
        </ns0:is>
      </ns0:c>
    </ns0:row>
    <ns0:row r="110" ht="30" customHeight="1">
      <ns0:c r="A110" t="str" s="10">
        <ns0:v>R0116</ns0:v>
      </ns0:c>
      <ns0:c r="B110" t="str" s="10">
        <ns0:v>Резистор</ns0:v>
      </ns0:c>
      <ns0:c r="C110" t="str" s="10">
        <ns0:v>30k</ns0:v>
      </ns0:c>
      <ns0:c r="D110" t="str" s="11">
        <ns0:f>SUBSTITUTE(SUBSTITUTE(SUBSTITUTE(SUBSTITUTE(C110,"meg"," МОм"),"k"," кОм"),"R"," Ом"),".",",")</ns0:f>
        <ns0:v>30 кОм</ns0:v>
      </ns0:c>
      <ns0:c r="E110" t="str" s="10">
        <ns0:v>±5%</ns0:v>
      </ns0:c>
      <ns0:c r="F110" t="str" s="10">
        <ns0:v>0,1 Вт</ns0:v>
      </ns0:c>
      <ns0:c r="G110" t="str" s="10">
        <ns0:v>75 В макс.</ns0:v>
      </ns0:c>
      <ns0:c r="H110" t="str" s="12">
        <ns0:v>0603</ns0:v>
      </ns0:c>
      <ns0:c r="I110" t="str" s="10">
        <ns0:v>YAGEO</ns0:v>
      </ns0:c>
      <ns0:c r="J110" t="str" s="10">
        <ns0:v>RC0603JR-0730KL</ns0:v>
      </ns0:c>
      <ns0:c r="K110" t="str" s="11">
        <ns0:f>B110&amp;" "&amp;D110&amp;" "&amp;E110&amp;" "&amp;H110</ns0:f>
        <ns0:v>Резистор 30 кОм ±5% 0603</ns0:v>
      </ns0:c>
      <ns0:c r="L110" t="str" s="13">
        <ns0:v>R</ns0:v>
      </ns0:c>
      <ns0:c r="M110" t="str" s="13">
        <ns0:v>Symbols\MY_LIB_Resistors.SchLib</ns0:v>
      </ns0:c>
      <ns0:c r="N110" t="str" s="13">
        <ns0:v>RESC1608X55N</ns0:v>
      </ns0:c>
      <ns0:c r="O110" t="str" s="13">
        <ns0:v>Footprints\PBL - SMD Packages.PcbLib</ns0:v>
      </ns0:c>
      <ns0:c xmlns:ns0="http://schemas.openxmlformats.org/spreadsheetml/2006/main" r="P11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0" s="10"/>
      <ns0:c r="R110" t="str" s="11">
        <ns0:f>D110</ns0:f>
        <ns0:v>30 кОм</ns0:v>
      </ns0:c>
      <ns0:c r="S110" t="str" s="11">
        <ns0:f>K110</ns0:f>
        <ns0:v>Резистор 30 кОм ±5% 0603</ns0:v>
      </ns0:c>
      <x:c xmlns:x="http://schemas.openxmlformats.org/spreadsheetml/2006/main" r="T110" t="str" s="11">
        <x:v>C:\Users\Nomatin\Documents\Altium\MY_LIB\MY_LIB\Datasheets\YAGEO_RC_L.pdf</x:v>
      </x:c>
      <x:c xmlns:x="http://schemas.openxmlformats.org/spreadsheetml/2006/main" r="U110" t="str" s="11">
        <x:v>Даташит — локальный</x:v>
      </x:c>
      <x:c xmlns:x="http://schemas.openxmlformats.org/spreadsheetml/2006/main" r="V110" t="str" s="11">
        <x:v>C:\Users\Nomatin\Documents\Altium\MY_LIB\MY_LIB\Datasheets\YAGEO_RC_L.pdf</x:v>
      </x:c>
      <x:c xmlns:x="http://schemas.openxmlformats.org/spreadsheetml/2006/main" r="W110" t="str" s="11">
        <x:v>Даташит — производитель</x:v>
      </x:c>
      <x:c xmlns:x="http://schemas.openxmlformats.org/spreadsheetml/2006/main" r="X110" t="str" s="11">
        <x:v>https://yageogroup.com/content/datasheet/asset/file/PYU-RC_GROUP_51_ROHS_L</x:v>
      </x:c>
      <x:c xmlns:x="http://schemas.openxmlformats.org/spreadsheetml/2006/main" r="Y110" t="str" s="11">
        <x:v>C:\Users\Nomatin\Documents\Altium\MY_LIB\MY_LIB\Datasheets\YAGEO_RC_L.pdf</x:v>
      </x:c>
      <ns0:c xmlns:ns0="http://schemas.openxmlformats.org/spreadsheetml/2006/main" r="Z110" s="16" t="inlineStr">
        <ns0:is>
          <ns0:t>MY_LIB_R_TCR</ns0:t>
        </ns0:is>
      </ns0:c>
      <ns0:c xmlns:ns0="http://schemas.openxmlformats.org/spreadsheetml/2006/main" r="AA110" s="16" t="inlineStr">
        <ns0:is>
          <ns0:t>R(T), +100 ppm/C at 25 C; positive datasheet limit</ns0:t>
        </ns0:is>
      </ns0:c>
      <ns0:c xmlns:ns0="http://schemas.openxmlformats.org/spreadsheetml/2006/main" r="AB110" s="16" t="str">
        <ns0:v>General</ns0:v>
      </ns0:c>
      <ns0:c xmlns:ns0="http://schemas.openxmlformats.org/spreadsheetml/2006/main" r="AC110" s="16" t="inlineStr">
        <ns0:is>
          <ns0:t>Spice Subcircuit</ns0:t>
        </ns0:is>
      </ns0:c>
      <ns0:c xmlns:ns0="http://schemas.openxmlformats.org/spreadsheetml/2006/main" r="AD110" s="16" t="inlineStr">
        <ns0:is>
          <ns0:t>@DESIGNATOR %1 %2 @MODEL PARAMS: Rvalue=@VALUE TC1value=100u</ns0:t>
        </ns0:is>
      </ns0:c>
      <ns0:c xmlns:ns0="http://schemas.openxmlformats.org/spreadsheetml/2006/main" r="AE110" s="16" t="inlineStr">
        <ns0:is>
          <ns0:t>X</ns0:t>
        </ns0:is>
      </ns0:c>
      <ns0:c xmlns:ns0="http://schemas.openxmlformats.org/spreadsheetml/2006/main" r="AF110" s="16" t="str">
        <ns0:v>(1:1),(2:2)</ns0:v>
      </ns0:c>
      <ns0:c xmlns:ns0="http://schemas.openxmlformats.org/spreadsheetml/2006/main" r="AG110" s="16" t="inlineStr">
        <ns0:is>
          <ns0:t>Simulation\Resistors\MY_LIB_R_TCR.ckt</ns0:t>
        </ns0:is>
      </ns0:c>
      <ns0:c xmlns:ns0="http://schemas.openxmlformats.org/spreadsheetml/2006/main" r="AH110" s="16" t="inlineStr">
        <ns0:is>
          <ns0:t>±100 ppm/°C</ns0:t>
        </ns0:is>
      </ns0:c>
    </ns0:row>
    <ns0:row r="111" ht="30" customHeight="1">
      <ns0:c r="A111" t="str" s="10">
        <ns0:v>R0117</ns0:v>
      </ns0:c>
      <ns0:c r="B111" t="str" s="10">
        <ns0:v>Резистор</ns0:v>
      </ns0:c>
      <ns0:c r="C111" t="str" s="10">
        <ns0:v>33k</ns0:v>
      </ns0:c>
      <ns0:c r="D111" t="str" s="11">
        <ns0:f>SUBSTITUTE(SUBSTITUTE(SUBSTITUTE(SUBSTITUTE(C111,"meg"," МОм"),"k"," кОм"),"R"," Ом"),".",",")</ns0:f>
        <ns0:v>33 кОм</ns0:v>
      </ns0:c>
      <ns0:c r="E111" t="str" s="10">
        <ns0:v>±5%</ns0:v>
      </ns0:c>
      <ns0:c r="F111" t="str" s="10">
        <ns0:v>0,1 Вт</ns0:v>
      </ns0:c>
      <ns0:c r="G111" t="str" s="10">
        <ns0:v>75 В макс.</ns0:v>
      </ns0:c>
      <ns0:c r="H111" t="str" s="12">
        <ns0:v>0603</ns0:v>
      </ns0:c>
      <ns0:c r="I111" t="str" s="10">
        <ns0:v>YAGEO</ns0:v>
      </ns0:c>
      <ns0:c r="J111" t="str" s="10">
        <ns0:v>RC0603JR-0733KL</ns0:v>
      </ns0:c>
      <ns0:c r="K111" t="str" s="11">
        <ns0:f>B111&amp;" "&amp;D111&amp;" "&amp;E111&amp;" "&amp;H111</ns0:f>
        <ns0:v>Резистор 33 кОм ±5% 0603</ns0:v>
      </ns0:c>
      <ns0:c r="L111" t="str" s="13">
        <ns0:v>R</ns0:v>
      </ns0:c>
      <ns0:c r="M111" t="str" s="13">
        <ns0:v>Symbols\MY_LIB_Resistors.SchLib</ns0:v>
      </ns0:c>
      <ns0:c r="N111" t="str" s="13">
        <ns0:v>RESC1608X55N</ns0:v>
      </ns0:c>
      <ns0:c r="O111" t="str" s="13">
        <ns0:v>Footprints\PBL - SMD Packages.PcbLib</ns0:v>
      </ns0:c>
      <ns0:c xmlns:ns0="http://schemas.openxmlformats.org/spreadsheetml/2006/main" r="P11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1" s="10"/>
      <ns0:c r="R111" t="str" s="11">
        <ns0:f>D111</ns0:f>
        <ns0:v>33 кОм</ns0:v>
      </ns0:c>
      <ns0:c r="S111" t="str" s="11">
        <ns0:f>K111</ns0:f>
        <ns0:v>Резистор 33 кОм ±5% 0603</ns0:v>
      </ns0:c>
      <x:c xmlns:x="http://schemas.openxmlformats.org/spreadsheetml/2006/main" r="T111" t="str" s="11">
        <x:v>C:\Users\Nomatin\Documents\Altium\MY_LIB\MY_LIB\Datasheets\YAGEO_RC_L.pdf</x:v>
      </x:c>
      <x:c xmlns:x="http://schemas.openxmlformats.org/spreadsheetml/2006/main" r="U111" t="str" s="11">
        <x:v>Даташит — локальный</x:v>
      </x:c>
      <x:c xmlns:x="http://schemas.openxmlformats.org/spreadsheetml/2006/main" r="V111" t="str" s="11">
        <x:v>C:\Users\Nomatin\Documents\Altium\MY_LIB\MY_LIB\Datasheets\YAGEO_RC_L.pdf</x:v>
      </x:c>
      <x:c xmlns:x="http://schemas.openxmlformats.org/spreadsheetml/2006/main" r="W111" t="str" s="11">
        <x:v>Даташит — производитель</x:v>
      </x:c>
      <x:c xmlns:x="http://schemas.openxmlformats.org/spreadsheetml/2006/main" r="X111" t="str" s="11">
        <x:v>https://yageogroup.com/content/datasheet/asset/file/PYU-RC_GROUP_51_ROHS_L</x:v>
      </x:c>
      <x:c xmlns:x="http://schemas.openxmlformats.org/spreadsheetml/2006/main" r="Y111" t="str" s="11">
        <x:v>C:\Users\Nomatin\Documents\Altium\MY_LIB\MY_LIB\Datasheets\YAGEO_RC_L.pdf</x:v>
      </x:c>
      <ns0:c xmlns:ns0="http://schemas.openxmlformats.org/spreadsheetml/2006/main" r="Z111" s="16" t="inlineStr">
        <ns0:is>
          <ns0:t>MY_LIB_R_TCR</ns0:t>
        </ns0:is>
      </ns0:c>
      <ns0:c xmlns:ns0="http://schemas.openxmlformats.org/spreadsheetml/2006/main" r="AA111" s="16" t="inlineStr">
        <ns0:is>
          <ns0:t>R(T), +100 ppm/C at 25 C; positive datasheet limit</ns0:t>
        </ns0:is>
      </ns0:c>
      <ns0:c xmlns:ns0="http://schemas.openxmlformats.org/spreadsheetml/2006/main" r="AB111" s="16" t="str">
        <ns0:v>General</ns0:v>
      </ns0:c>
      <ns0:c xmlns:ns0="http://schemas.openxmlformats.org/spreadsheetml/2006/main" r="AC111" s="16" t="inlineStr">
        <ns0:is>
          <ns0:t>Spice Subcircuit</ns0:t>
        </ns0:is>
      </ns0:c>
      <ns0:c xmlns:ns0="http://schemas.openxmlformats.org/spreadsheetml/2006/main" r="AD111" s="16" t="inlineStr">
        <ns0:is>
          <ns0:t>@DESIGNATOR %1 %2 @MODEL PARAMS: Rvalue=@VALUE TC1value=100u</ns0:t>
        </ns0:is>
      </ns0:c>
      <ns0:c xmlns:ns0="http://schemas.openxmlformats.org/spreadsheetml/2006/main" r="AE111" s="16" t="inlineStr">
        <ns0:is>
          <ns0:t>X</ns0:t>
        </ns0:is>
      </ns0:c>
      <ns0:c xmlns:ns0="http://schemas.openxmlformats.org/spreadsheetml/2006/main" r="AF111" s="16" t="str">
        <ns0:v>(1:1),(2:2)</ns0:v>
      </ns0:c>
      <ns0:c xmlns:ns0="http://schemas.openxmlformats.org/spreadsheetml/2006/main" r="AG111" s="16" t="inlineStr">
        <ns0:is>
          <ns0:t>Simulation\Resistors\MY_LIB_R_TCR.ckt</ns0:t>
        </ns0:is>
      </ns0:c>
      <ns0:c xmlns:ns0="http://schemas.openxmlformats.org/spreadsheetml/2006/main" r="AH111" s="16" t="inlineStr">
        <ns0:is>
          <ns0:t>±100 ppm/°C</ns0:t>
        </ns0:is>
      </ns0:c>
    </ns0:row>
    <ns0:row r="112" ht="30" customHeight="1">
      <ns0:c r="A112" t="str" s="10">
        <ns0:v>R0118</ns0:v>
      </ns0:c>
      <ns0:c r="B112" t="str" s="10">
        <ns0:v>Резистор</ns0:v>
      </ns0:c>
      <ns0:c r="C112" t="str" s="10">
        <ns0:v>36k</ns0:v>
      </ns0:c>
      <ns0:c r="D112" t="str" s="11">
        <ns0:f>SUBSTITUTE(SUBSTITUTE(SUBSTITUTE(SUBSTITUTE(C112,"meg"," МОм"),"k"," кОм"),"R"," Ом"),".",",")</ns0:f>
        <ns0:v>36 кОм</ns0:v>
      </ns0:c>
      <ns0:c r="E112" t="str" s="10">
        <ns0:v>±5%</ns0:v>
      </ns0:c>
      <ns0:c r="F112" t="str" s="10">
        <ns0:v>0,1 Вт</ns0:v>
      </ns0:c>
      <ns0:c r="G112" t="str" s="10">
        <ns0:v>75 В макс.</ns0:v>
      </ns0:c>
      <ns0:c r="H112" t="str" s="12">
        <ns0:v>0603</ns0:v>
      </ns0:c>
      <ns0:c r="I112" t="str" s="10">
        <ns0:v>YAGEO</ns0:v>
      </ns0:c>
      <ns0:c r="J112" t="str" s="10">
        <ns0:v>RC0603JR-0736KL</ns0:v>
      </ns0:c>
      <ns0:c r="K112" t="str" s="11">
        <ns0:f>B112&amp;" "&amp;D112&amp;" "&amp;E112&amp;" "&amp;H112</ns0:f>
        <ns0:v>Резистор 36 кОм ±5% 0603</ns0:v>
      </ns0:c>
      <ns0:c r="L112" t="str" s="13">
        <ns0:v>R</ns0:v>
      </ns0:c>
      <ns0:c r="M112" t="str" s="13">
        <ns0:v>Symbols\MY_LIB_Resistors.SchLib</ns0:v>
      </ns0:c>
      <ns0:c r="N112" t="str" s="13">
        <ns0:v>RESC1608X55N</ns0:v>
      </ns0:c>
      <ns0:c r="O112" t="str" s="13">
        <ns0:v>Footprints\PBL - SMD Packages.PcbLib</ns0:v>
      </ns0:c>
      <ns0:c xmlns:ns0="http://schemas.openxmlformats.org/spreadsheetml/2006/main" r="P11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2" s="10"/>
      <ns0:c r="R112" t="str" s="11">
        <ns0:f>D112</ns0:f>
        <ns0:v>36 кОм</ns0:v>
      </ns0:c>
      <ns0:c r="S112" t="str" s="11">
        <ns0:f>K112</ns0:f>
        <ns0:v>Резистор 36 кОм ±5% 0603</ns0:v>
      </ns0:c>
      <x:c xmlns:x="http://schemas.openxmlformats.org/spreadsheetml/2006/main" r="T112" t="str" s="11">
        <x:v>C:\Users\Nomatin\Documents\Altium\MY_LIB\MY_LIB\Datasheets\YAGEO_RC_L.pdf</x:v>
      </x:c>
      <x:c xmlns:x="http://schemas.openxmlformats.org/spreadsheetml/2006/main" r="U112" t="str" s="11">
        <x:v>Даташит — локальный</x:v>
      </x:c>
      <x:c xmlns:x="http://schemas.openxmlformats.org/spreadsheetml/2006/main" r="V112" t="str" s="11">
        <x:v>C:\Users\Nomatin\Documents\Altium\MY_LIB\MY_LIB\Datasheets\YAGEO_RC_L.pdf</x:v>
      </x:c>
      <x:c xmlns:x="http://schemas.openxmlformats.org/spreadsheetml/2006/main" r="W112" t="str" s="11">
        <x:v>Даташит — производитель</x:v>
      </x:c>
      <x:c xmlns:x="http://schemas.openxmlformats.org/spreadsheetml/2006/main" r="X112" t="str" s="11">
        <x:v>https://yageogroup.com/content/datasheet/asset/file/PYU-RC_GROUP_51_ROHS_L</x:v>
      </x:c>
      <x:c xmlns:x="http://schemas.openxmlformats.org/spreadsheetml/2006/main" r="Y112" t="str" s="11">
        <x:v>C:\Users\Nomatin\Documents\Altium\MY_LIB\MY_LIB\Datasheets\YAGEO_RC_L.pdf</x:v>
      </x:c>
      <ns0:c xmlns:ns0="http://schemas.openxmlformats.org/spreadsheetml/2006/main" r="Z112" s="16" t="inlineStr">
        <ns0:is>
          <ns0:t>MY_LIB_R_TCR</ns0:t>
        </ns0:is>
      </ns0:c>
      <ns0:c xmlns:ns0="http://schemas.openxmlformats.org/spreadsheetml/2006/main" r="AA112" s="16" t="inlineStr">
        <ns0:is>
          <ns0:t>R(T), +100 ppm/C at 25 C; positive datasheet limit</ns0:t>
        </ns0:is>
      </ns0:c>
      <ns0:c xmlns:ns0="http://schemas.openxmlformats.org/spreadsheetml/2006/main" r="AB112" s="16" t="str">
        <ns0:v>General</ns0:v>
      </ns0:c>
      <ns0:c xmlns:ns0="http://schemas.openxmlformats.org/spreadsheetml/2006/main" r="AC112" s="16" t="inlineStr">
        <ns0:is>
          <ns0:t>Spice Subcircuit</ns0:t>
        </ns0:is>
      </ns0:c>
      <ns0:c xmlns:ns0="http://schemas.openxmlformats.org/spreadsheetml/2006/main" r="AD112" s="16" t="inlineStr">
        <ns0:is>
          <ns0:t>@DESIGNATOR %1 %2 @MODEL PARAMS: Rvalue=@VALUE TC1value=100u</ns0:t>
        </ns0:is>
      </ns0:c>
      <ns0:c xmlns:ns0="http://schemas.openxmlformats.org/spreadsheetml/2006/main" r="AE112" s="16" t="inlineStr">
        <ns0:is>
          <ns0:t>X</ns0:t>
        </ns0:is>
      </ns0:c>
      <ns0:c xmlns:ns0="http://schemas.openxmlformats.org/spreadsheetml/2006/main" r="AF112" s="16" t="str">
        <ns0:v>(1:1),(2:2)</ns0:v>
      </ns0:c>
      <ns0:c xmlns:ns0="http://schemas.openxmlformats.org/spreadsheetml/2006/main" r="AG112" s="16" t="inlineStr">
        <ns0:is>
          <ns0:t>Simulation\Resistors\MY_LIB_R_TCR.ckt</ns0:t>
        </ns0:is>
      </ns0:c>
      <ns0:c xmlns:ns0="http://schemas.openxmlformats.org/spreadsheetml/2006/main" r="AH112" s="16" t="inlineStr">
        <ns0:is>
          <ns0:t>±100 ppm/°C</ns0:t>
        </ns0:is>
      </ns0:c>
    </ns0:row>
    <ns0:row r="113" ht="30" customHeight="1">
      <ns0:c r="A113" t="str" s="10">
        <ns0:v>R0119</ns0:v>
      </ns0:c>
      <ns0:c r="B113" t="str" s="10">
        <ns0:v>Резистор</ns0:v>
      </ns0:c>
      <ns0:c r="C113" t="str" s="10">
        <ns0:v>39k</ns0:v>
      </ns0:c>
      <ns0:c r="D113" t="str" s="11">
        <ns0:f>SUBSTITUTE(SUBSTITUTE(SUBSTITUTE(SUBSTITUTE(C113,"meg"," МОм"),"k"," кОм"),"R"," Ом"),".",",")</ns0:f>
        <ns0:v>39 кОм</ns0:v>
      </ns0:c>
      <ns0:c r="E113" t="str" s="10">
        <ns0:v>±5%</ns0:v>
      </ns0:c>
      <ns0:c r="F113" t="str" s="10">
        <ns0:v>0,1 Вт</ns0:v>
      </ns0:c>
      <ns0:c r="G113" t="str" s="10">
        <ns0:v>75 В макс.</ns0:v>
      </ns0:c>
      <ns0:c r="H113" t="str" s="12">
        <ns0:v>0603</ns0:v>
      </ns0:c>
      <ns0:c r="I113" t="str" s="10">
        <ns0:v>YAGEO</ns0:v>
      </ns0:c>
      <ns0:c r="J113" t="str" s="10">
        <ns0:v>RC0603JR-0739KL</ns0:v>
      </ns0:c>
      <ns0:c r="K113" t="str" s="11">
        <ns0:f>B113&amp;" "&amp;D113&amp;" "&amp;E113&amp;" "&amp;H113</ns0:f>
        <ns0:v>Резистор 39 кОм ±5% 0603</ns0:v>
      </ns0:c>
      <ns0:c r="L113" t="str" s="13">
        <ns0:v>R</ns0:v>
      </ns0:c>
      <ns0:c r="M113" t="str" s="13">
        <ns0:v>Symbols\MY_LIB_Resistors.SchLib</ns0:v>
      </ns0:c>
      <ns0:c r="N113" t="str" s="13">
        <ns0:v>RESC1608X55N</ns0:v>
      </ns0:c>
      <ns0:c r="O113" t="str" s="13">
        <ns0:v>Footprints\PBL - SMD Packages.PcbLib</ns0:v>
      </ns0:c>
      <ns0:c xmlns:ns0="http://schemas.openxmlformats.org/spreadsheetml/2006/main" r="P11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3" s="10"/>
      <ns0:c r="R113" t="str" s="11">
        <ns0:f>D113</ns0:f>
        <ns0:v>39 кОм</ns0:v>
      </ns0:c>
      <ns0:c r="S113" t="str" s="11">
        <ns0:f>K113</ns0:f>
        <ns0:v>Резистор 39 кОм ±5% 0603</ns0:v>
      </ns0:c>
      <x:c xmlns:x="http://schemas.openxmlformats.org/spreadsheetml/2006/main" r="T113" t="str" s="11">
        <x:v>C:\Users\Nomatin\Documents\Altium\MY_LIB\MY_LIB\Datasheets\YAGEO_RC_L.pdf</x:v>
      </x:c>
      <x:c xmlns:x="http://schemas.openxmlformats.org/spreadsheetml/2006/main" r="U113" t="str" s="11">
        <x:v>Даташит — локальный</x:v>
      </x:c>
      <x:c xmlns:x="http://schemas.openxmlformats.org/spreadsheetml/2006/main" r="V113" t="str" s="11">
        <x:v>C:\Users\Nomatin\Documents\Altium\MY_LIB\MY_LIB\Datasheets\YAGEO_RC_L.pdf</x:v>
      </x:c>
      <x:c xmlns:x="http://schemas.openxmlformats.org/spreadsheetml/2006/main" r="W113" t="str" s="11">
        <x:v>Даташит — производитель</x:v>
      </x:c>
      <x:c xmlns:x="http://schemas.openxmlformats.org/spreadsheetml/2006/main" r="X113" t="str" s="11">
        <x:v>https://yageogroup.com/content/datasheet/asset/file/PYU-RC_GROUP_51_ROHS_L</x:v>
      </x:c>
      <x:c xmlns:x="http://schemas.openxmlformats.org/spreadsheetml/2006/main" r="Y113" t="str" s="11">
        <x:v>C:\Users\Nomatin\Documents\Altium\MY_LIB\MY_LIB\Datasheets\YAGEO_RC_L.pdf</x:v>
      </x:c>
      <ns0:c xmlns:ns0="http://schemas.openxmlformats.org/spreadsheetml/2006/main" r="Z113" s="16" t="inlineStr">
        <ns0:is>
          <ns0:t>MY_LIB_R_TCR</ns0:t>
        </ns0:is>
      </ns0:c>
      <ns0:c xmlns:ns0="http://schemas.openxmlformats.org/spreadsheetml/2006/main" r="AA113" s="16" t="inlineStr">
        <ns0:is>
          <ns0:t>R(T), +100 ppm/C at 25 C; positive datasheet limit</ns0:t>
        </ns0:is>
      </ns0:c>
      <ns0:c xmlns:ns0="http://schemas.openxmlformats.org/spreadsheetml/2006/main" r="AB113" s="16" t="str">
        <ns0:v>General</ns0:v>
      </ns0:c>
      <ns0:c xmlns:ns0="http://schemas.openxmlformats.org/spreadsheetml/2006/main" r="AC113" s="16" t="inlineStr">
        <ns0:is>
          <ns0:t>Spice Subcircuit</ns0:t>
        </ns0:is>
      </ns0:c>
      <ns0:c xmlns:ns0="http://schemas.openxmlformats.org/spreadsheetml/2006/main" r="AD113" s="16" t="inlineStr">
        <ns0:is>
          <ns0:t>@DESIGNATOR %1 %2 @MODEL PARAMS: Rvalue=@VALUE TC1value=100u</ns0:t>
        </ns0:is>
      </ns0:c>
      <ns0:c xmlns:ns0="http://schemas.openxmlformats.org/spreadsheetml/2006/main" r="AE113" s="16" t="inlineStr">
        <ns0:is>
          <ns0:t>X</ns0:t>
        </ns0:is>
      </ns0:c>
      <ns0:c xmlns:ns0="http://schemas.openxmlformats.org/spreadsheetml/2006/main" r="AF113" s="16" t="str">
        <ns0:v>(1:1),(2:2)</ns0:v>
      </ns0:c>
      <ns0:c xmlns:ns0="http://schemas.openxmlformats.org/spreadsheetml/2006/main" r="AG113" s="16" t="inlineStr">
        <ns0:is>
          <ns0:t>Simulation\Resistors\MY_LIB_R_TCR.ckt</ns0:t>
        </ns0:is>
      </ns0:c>
      <ns0:c xmlns:ns0="http://schemas.openxmlformats.org/spreadsheetml/2006/main" r="AH113" s="16" t="inlineStr">
        <ns0:is>
          <ns0:t>±100 ppm/°C</ns0:t>
        </ns0:is>
      </ns0:c>
    </ns0:row>
    <ns0:row r="114" ht="30" customHeight="1">
      <ns0:c r="A114" t="str" s="10">
        <ns0:v>R0120</ns0:v>
      </ns0:c>
      <ns0:c r="B114" t="str" s="10">
        <ns0:v>Резистор</ns0:v>
      </ns0:c>
      <ns0:c r="C114" t="str" s="10">
        <ns0:v>43k</ns0:v>
      </ns0:c>
      <ns0:c r="D114" t="str" s="11">
        <ns0:f>SUBSTITUTE(SUBSTITUTE(SUBSTITUTE(SUBSTITUTE(C114,"meg"," МОм"),"k"," кОм"),"R"," Ом"),".",",")</ns0:f>
        <ns0:v>43 кОм</ns0:v>
      </ns0:c>
      <ns0:c r="E114" t="str" s="10">
        <ns0:v>±5%</ns0:v>
      </ns0:c>
      <ns0:c r="F114" t="str" s="10">
        <ns0:v>0,1 Вт</ns0:v>
      </ns0:c>
      <ns0:c r="G114" t="str" s="10">
        <ns0:v>75 В макс.</ns0:v>
      </ns0:c>
      <ns0:c r="H114" t="str" s="12">
        <ns0:v>0603</ns0:v>
      </ns0:c>
      <ns0:c r="I114" t="str" s="10">
        <ns0:v>YAGEO</ns0:v>
      </ns0:c>
      <ns0:c r="J114" t="str" s="10">
        <ns0:v>RC0603JR-0743KL</ns0:v>
      </ns0:c>
      <ns0:c r="K114" t="str" s="11">
        <ns0:f>B114&amp;" "&amp;D114&amp;" "&amp;E114&amp;" "&amp;H114</ns0:f>
        <ns0:v>Резистор 43 кОм ±5% 0603</ns0:v>
      </ns0:c>
      <ns0:c r="L114" t="str" s="13">
        <ns0:v>R</ns0:v>
      </ns0:c>
      <ns0:c r="M114" t="str" s="13">
        <ns0:v>Symbols\MY_LIB_Resistors.SchLib</ns0:v>
      </ns0:c>
      <ns0:c r="N114" t="str" s="13">
        <ns0:v>RESC1608X55N</ns0:v>
      </ns0:c>
      <ns0:c r="O114" t="str" s="13">
        <ns0:v>Footprints\PBL - SMD Packages.PcbLib</ns0:v>
      </ns0:c>
      <ns0:c xmlns:ns0="http://schemas.openxmlformats.org/spreadsheetml/2006/main" r="P11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4" s="10"/>
      <ns0:c r="R114" t="str" s="11">
        <ns0:f>D114</ns0:f>
        <ns0:v>43 кОм</ns0:v>
      </ns0:c>
      <ns0:c r="S114" t="str" s="11">
        <ns0:f>K114</ns0:f>
        <ns0:v>Резистор 43 кОм ±5% 0603</ns0:v>
      </ns0:c>
      <x:c xmlns:x="http://schemas.openxmlformats.org/spreadsheetml/2006/main" r="T114" t="str" s="11">
        <x:v>C:\Users\Nomatin\Documents\Altium\MY_LIB\MY_LIB\Datasheets\YAGEO_RC_L.pdf</x:v>
      </x:c>
      <x:c xmlns:x="http://schemas.openxmlformats.org/spreadsheetml/2006/main" r="U114" t="str" s="11">
        <x:v>Даташит — локальный</x:v>
      </x:c>
      <x:c xmlns:x="http://schemas.openxmlformats.org/spreadsheetml/2006/main" r="V114" t="str" s="11">
        <x:v>C:\Users\Nomatin\Documents\Altium\MY_LIB\MY_LIB\Datasheets\YAGEO_RC_L.pdf</x:v>
      </x:c>
      <x:c xmlns:x="http://schemas.openxmlformats.org/spreadsheetml/2006/main" r="W114" t="str" s="11">
        <x:v>Даташит — производитель</x:v>
      </x:c>
      <x:c xmlns:x="http://schemas.openxmlformats.org/spreadsheetml/2006/main" r="X114" t="str" s="11">
        <x:v>https://yageogroup.com/content/datasheet/asset/file/PYU-RC_GROUP_51_ROHS_L</x:v>
      </x:c>
      <x:c xmlns:x="http://schemas.openxmlformats.org/spreadsheetml/2006/main" r="Y114" t="str" s="11">
        <x:v>C:\Users\Nomatin\Documents\Altium\MY_LIB\MY_LIB\Datasheets\YAGEO_RC_L.pdf</x:v>
      </x:c>
      <ns0:c xmlns:ns0="http://schemas.openxmlformats.org/spreadsheetml/2006/main" r="Z114" s="16" t="inlineStr">
        <ns0:is>
          <ns0:t>MY_LIB_R_TCR</ns0:t>
        </ns0:is>
      </ns0:c>
      <ns0:c xmlns:ns0="http://schemas.openxmlformats.org/spreadsheetml/2006/main" r="AA114" s="16" t="inlineStr">
        <ns0:is>
          <ns0:t>R(T), +100 ppm/C at 25 C; positive datasheet limit</ns0:t>
        </ns0:is>
      </ns0:c>
      <ns0:c xmlns:ns0="http://schemas.openxmlformats.org/spreadsheetml/2006/main" r="AB114" s="16" t="str">
        <ns0:v>General</ns0:v>
      </ns0:c>
      <ns0:c xmlns:ns0="http://schemas.openxmlformats.org/spreadsheetml/2006/main" r="AC114" s="16" t="inlineStr">
        <ns0:is>
          <ns0:t>Spice Subcircuit</ns0:t>
        </ns0:is>
      </ns0:c>
      <ns0:c xmlns:ns0="http://schemas.openxmlformats.org/spreadsheetml/2006/main" r="AD114" s="16" t="inlineStr">
        <ns0:is>
          <ns0:t>@DESIGNATOR %1 %2 @MODEL PARAMS: Rvalue=@VALUE TC1value=100u</ns0:t>
        </ns0:is>
      </ns0:c>
      <ns0:c xmlns:ns0="http://schemas.openxmlformats.org/spreadsheetml/2006/main" r="AE114" s="16" t="inlineStr">
        <ns0:is>
          <ns0:t>X</ns0:t>
        </ns0:is>
      </ns0:c>
      <ns0:c xmlns:ns0="http://schemas.openxmlformats.org/spreadsheetml/2006/main" r="AF114" s="16" t="str">
        <ns0:v>(1:1),(2:2)</ns0:v>
      </ns0:c>
      <ns0:c xmlns:ns0="http://schemas.openxmlformats.org/spreadsheetml/2006/main" r="AG114" s="16" t="inlineStr">
        <ns0:is>
          <ns0:t>Simulation\Resistors\MY_LIB_R_TCR.ckt</ns0:t>
        </ns0:is>
      </ns0:c>
      <ns0:c xmlns:ns0="http://schemas.openxmlformats.org/spreadsheetml/2006/main" r="AH114" s="16" t="inlineStr">
        <ns0:is>
          <ns0:t>±100 ppm/°C</ns0:t>
        </ns0:is>
      </ns0:c>
    </ns0:row>
    <ns0:row r="115" ht="30" customHeight="1">
      <ns0:c r="A115" t="str" s="10">
        <ns0:v>R0121</ns0:v>
      </ns0:c>
      <ns0:c r="B115" t="str" s="10">
        <ns0:v>Резистор</ns0:v>
      </ns0:c>
      <ns0:c r="C115" t="str" s="10">
        <ns0:v>47k</ns0:v>
      </ns0:c>
      <ns0:c r="D115" t="str" s="11">
        <ns0:f>SUBSTITUTE(SUBSTITUTE(SUBSTITUTE(SUBSTITUTE(C115,"meg"," МОм"),"k"," кОм"),"R"," Ом"),".",",")</ns0:f>
        <ns0:v>47 кОм</ns0:v>
      </ns0:c>
      <ns0:c r="E115" t="str" s="10">
        <ns0:v>±5%</ns0:v>
      </ns0:c>
      <ns0:c r="F115" t="str" s="10">
        <ns0:v>0,1 Вт</ns0:v>
      </ns0:c>
      <ns0:c r="G115" t="str" s="10">
        <ns0:v>75 В макс.</ns0:v>
      </ns0:c>
      <ns0:c r="H115" t="str" s="12">
        <ns0:v>0603</ns0:v>
      </ns0:c>
      <ns0:c r="I115" t="str" s="10">
        <ns0:v>YAGEO</ns0:v>
      </ns0:c>
      <ns0:c r="J115" t="str" s="10">
        <ns0:v>RC0603JR-0747KL</ns0:v>
      </ns0:c>
      <ns0:c r="K115" t="str" s="11">
        <ns0:f>B115&amp;" "&amp;D115&amp;" "&amp;E115&amp;" "&amp;H115</ns0:f>
        <ns0:v>Резистор 47 кОм ±5% 0603</ns0:v>
      </ns0:c>
      <ns0:c r="L115" t="str" s="13">
        <ns0:v>R</ns0:v>
      </ns0:c>
      <ns0:c r="M115" t="str" s="13">
        <ns0:v>Symbols\MY_LIB_Resistors.SchLib</ns0:v>
      </ns0:c>
      <ns0:c r="N115" t="str" s="13">
        <ns0:v>RESC1608X55N</ns0:v>
      </ns0:c>
      <ns0:c r="O115" t="str" s="13">
        <ns0:v>Footprints\PBL - SMD Packages.PcbLib</ns0:v>
      </ns0:c>
      <ns0:c xmlns:ns0="http://schemas.openxmlformats.org/spreadsheetml/2006/main" r="P11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5" s="10"/>
      <ns0:c r="R115" t="str" s="11">
        <ns0:f>D115</ns0:f>
        <ns0:v>47 кОм</ns0:v>
      </ns0:c>
      <ns0:c r="S115" t="str" s="11">
        <ns0:f>K115</ns0:f>
        <ns0:v>Резистор 47 кОм ±5% 0603</ns0:v>
      </ns0:c>
      <x:c xmlns:x="http://schemas.openxmlformats.org/spreadsheetml/2006/main" r="T115" t="str" s="11">
        <x:v>C:\Users\Nomatin\Documents\Altium\MY_LIB\MY_LIB\Datasheets\YAGEO_RC_L.pdf</x:v>
      </x:c>
      <x:c xmlns:x="http://schemas.openxmlformats.org/spreadsheetml/2006/main" r="U115" t="str" s="11">
        <x:v>Даташит — локальный</x:v>
      </x:c>
      <x:c xmlns:x="http://schemas.openxmlformats.org/spreadsheetml/2006/main" r="V115" t="str" s="11">
        <x:v>C:\Users\Nomatin\Documents\Altium\MY_LIB\MY_LIB\Datasheets\YAGEO_RC_L.pdf</x:v>
      </x:c>
      <x:c xmlns:x="http://schemas.openxmlformats.org/spreadsheetml/2006/main" r="W115" t="str" s="11">
        <x:v>Даташит — производитель</x:v>
      </x:c>
      <x:c xmlns:x="http://schemas.openxmlformats.org/spreadsheetml/2006/main" r="X115" t="str" s="11">
        <x:v>https://yageogroup.com/content/datasheet/asset/file/PYU-RC_GROUP_51_ROHS_L</x:v>
      </x:c>
      <x:c xmlns:x="http://schemas.openxmlformats.org/spreadsheetml/2006/main" r="Y115" t="str" s="11">
        <x:v>C:\Users\Nomatin\Documents\Altium\MY_LIB\MY_LIB\Datasheets\YAGEO_RC_L.pdf</x:v>
      </x:c>
      <ns0:c xmlns:ns0="http://schemas.openxmlformats.org/spreadsheetml/2006/main" r="Z115" s="16" t="inlineStr">
        <ns0:is>
          <ns0:t>MY_LIB_R_TCR</ns0:t>
        </ns0:is>
      </ns0:c>
      <ns0:c xmlns:ns0="http://schemas.openxmlformats.org/spreadsheetml/2006/main" r="AA115" s="16" t="inlineStr">
        <ns0:is>
          <ns0:t>R(T), +100 ppm/C at 25 C; positive datasheet limit</ns0:t>
        </ns0:is>
      </ns0:c>
      <ns0:c xmlns:ns0="http://schemas.openxmlformats.org/spreadsheetml/2006/main" r="AB115" s="16" t="str">
        <ns0:v>General</ns0:v>
      </ns0:c>
      <ns0:c xmlns:ns0="http://schemas.openxmlformats.org/spreadsheetml/2006/main" r="AC115" s="16" t="inlineStr">
        <ns0:is>
          <ns0:t>Spice Subcircuit</ns0:t>
        </ns0:is>
      </ns0:c>
      <ns0:c xmlns:ns0="http://schemas.openxmlformats.org/spreadsheetml/2006/main" r="AD115" s="16" t="inlineStr">
        <ns0:is>
          <ns0:t>@DESIGNATOR %1 %2 @MODEL PARAMS: Rvalue=@VALUE TC1value=100u</ns0:t>
        </ns0:is>
      </ns0:c>
      <ns0:c xmlns:ns0="http://schemas.openxmlformats.org/spreadsheetml/2006/main" r="AE115" s="16" t="inlineStr">
        <ns0:is>
          <ns0:t>X</ns0:t>
        </ns0:is>
      </ns0:c>
      <ns0:c xmlns:ns0="http://schemas.openxmlformats.org/spreadsheetml/2006/main" r="AF115" s="16" t="str">
        <ns0:v>(1:1),(2:2)</ns0:v>
      </ns0:c>
      <ns0:c xmlns:ns0="http://schemas.openxmlformats.org/spreadsheetml/2006/main" r="AG115" s="16" t="inlineStr">
        <ns0:is>
          <ns0:t>Simulation\Resistors\MY_LIB_R_TCR.ckt</ns0:t>
        </ns0:is>
      </ns0:c>
      <ns0:c xmlns:ns0="http://schemas.openxmlformats.org/spreadsheetml/2006/main" r="AH115" s="16" t="inlineStr">
        <ns0:is>
          <ns0:t>±100 ppm/°C</ns0:t>
        </ns0:is>
      </ns0:c>
    </ns0:row>
    <ns0:row r="116" ht="30" customHeight="1">
      <ns0:c r="A116" t="str" s="10">
        <ns0:v>R0122</ns0:v>
      </ns0:c>
      <ns0:c r="B116" t="str" s="10">
        <ns0:v>Резистор</ns0:v>
      </ns0:c>
      <ns0:c r="C116" t="str" s="10">
        <ns0:v>51k</ns0:v>
      </ns0:c>
      <ns0:c r="D116" t="str" s="11">
        <ns0:f>SUBSTITUTE(SUBSTITUTE(SUBSTITUTE(SUBSTITUTE(C116,"meg"," МОм"),"k"," кОм"),"R"," Ом"),".",",")</ns0:f>
        <ns0:v>51 кОм</ns0:v>
      </ns0:c>
      <ns0:c r="E116" t="str" s="10">
        <ns0:v>±5%</ns0:v>
      </ns0:c>
      <ns0:c r="F116" t="str" s="10">
        <ns0:v>0,1 Вт</ns0:v>
      </ns0:c>
      <ns0:c r="G116" t="str" s="10">
        <ns0:v>75 В макс.</ns0:v>
      </ns0:c>
      <ns0:c r="H116" t="str" s="12">
        <ns0:v>0603</ns0:v>
      </ns0:c>
      <ns0:c r="I116" t="str" s="10">
        <ns0:v>YAGEO</ns0:v>
      </ns0:c>
      <ns0:c r="J116" t="str" s="10">
        <ns0:v>RC0603JR-0751KL</ns0:v>
      </ns0:c>
      <ns0:c r="K116" t="str" s="11">
        <ns0:f>B116&amp;" "&amp;D116&amp;" "&amp;E116&amp;" "&amp;H116</ns0:f>
        <ns0:v>Резистор 51 кОм ±5% 0603</ns0:v>
      </ns0:c>
      <ns0:c r="L116" t="str" s="13">
        <ns0:v>R</ns0:v>
      </ns0:c>
      <ns0:c r="M116" t="str" s="13">
        <ns0:v>Symbols\MY_LIB_Resistors.SchLib</ns0:v>
      </ns0:c>
      <ns0:c r="N116" t="str" s="13">
        <ns0:v>RESC1608X55N</ns0:v>
      </ns0:c>
      <ns0:c r="O116" t="str" s="13">
        <ns0:v>Footprints\PBL - SMD Packages.PcbLib</ns0:v>
      </ns0:c>
      <ns0:c xmlns:ns0="http://schemas.openxmlformats.org/spreadsheetml/2006/main" r="P11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6" s="10"/>
      <ns0:c r="R116" t="str" s="11">
        <ns0:f>D116</ns0:f>
        <ns0:v>51 кОм</ns0:v>
      </ns0:c>
      <ns0:c r="S116" t="str" s="11">
        <ns0:f>K116</ns0:f>
        <ns0:v>Резистор 51 кОм ±5% 0603</ns0:v>
      </ns0:c>
      <x:c xmlns:x="http://schemas.openxmlformats.org/spreadsheetml/2006/main" r="T116" t="str" s="11">
        <x:v>C:\Users\Nomatin\Documents\Altium\MY_LIB\MY_LIB\Datasheets\YAGEO_RC_L.pdf</x:v>
      </x:c>
      <x:c xmlns:x="http://schemas.openxmlformats.org/spreadsheetml/2006/main" r="U116" t="str" s="11">
        <x:v>Даташит — локальный</x:v>
      </x:c>
      <x:c xmlns:x="http://schemas.openxmlformats.org/spreadsheetml/2006/main" r="V116" t="str" s="11">
        <x:v>C:\Users\Nomatin\Documents\Altium\MY_LIB\MY_LIB\Datasheets\YAGEO_RC_L.pdf</x:v>
      </x:c>
      <x:c xmlns:x="http://schemas.openxmlformats.org/spreadsheetml/2006/main" r="W116" t="str" s="11">
        <x:v>Даташит — производитель</x:v>
      </x:c>
      <x:c xmlns:x="http://schemas.openxmlformats.org/spreadsheetml/2006/main" r="X116" t="str" s="11">
        <x:v>https://yageogroup.com/content/datasheet/asset/file/PYU-RC_GROUP_51_ROHS_L</x:v>
      </x:c>
      <x:c xmlns:x="http://schemas.openxmlformats.org/spreadsheetml/2006/main" r="Y116" t="str" s="11">
        <x:v>C:\Users\Nomatin\Documents\Altium\MY_LIB\MY_LIB\Datasheets\YAGEO_RC_L.pdf</x:v>
      </x:c>
      <ns0:c xmlns:ns0="http://schemas.openxmlformats.org/spreadsheetml/2006/main" r="Z116" s="16" t="inlineStr">
        <ns0:is>
          <ns0:t>MY_LIB_R_TCR</ns0:t>
        </ns0:is>
      </ns0:c>
      <ns0:c xmlns:ns0="http://schemas.openxmlformats.org/spreadsheetml/2006/main" r="AA116" s="16" t="inlineStr">
        <ns0:is>
          <ns0:t>R(T), +100 ppm/C at 25 C; positive datasheet limit</ns0:t>
        </ns0:is>
      </ns0:c>
      <ns0:c xmlns:ns0="http://schemas.openxmlformats.org/spreadsheetml/2006/main" r="AB116" s="16" t="str">
        <ns0:v>General</ns0:v>
      </ns0:c>
      <ns0:c xmlns:ns0="http://schemas.openxmlformats.org/spreadsheetml/2006/main" r="AC116" s="16" t="inlineStr">
        <ns0:is>
          <ns0:t>Spice Subcircuit</ns0:t>
        </ns0:is>
      </ns0:c>
      <ns0:c xmlns:ns0="http://schemas.openxmlformats.org/spreadsheetml/2006/main" r="AD116" s="16" t="inlineStr">
        <ns0:is>
          <ns0:t>@DESIGNATOR %1 %2 @MODEL PARAMS: Rvalue=@VALUE TC1value=100u</ns0:t>
        </ns0:is>
      </ns0:c>
      <ns0:c xmlns:ns0="http://schemas.openxmlformats.org/spreadsheetml/2006/main" r="AE116" s="16" t="inlineStr">
        <ns0:is>
          <ns0:t>X</ns0:t>
        </ns0:is>
      </ns0:c>
      <ns0:c xmlns:ns0="http://schemas.openxmlformats.org/spreadsheetml/2006/main" r="AF116" s="16" t="str">
        <ns0:v>(1:1),(2:2)</ns0:v>
      </ns0:c>
      <ns0:c xmlns:ns0="http://schemas.openxmlformats.org/spreadsheetml/2006/main" r="AG116" s="16" t="inlineStr">
        <ns0:is>
          <ns0:t>Simulation\Resistors\MY_LIB_R_TCR.ckt</ns0:t>
        </ns0:is>
      </ns0:c>
      <ns0:c xmlns:ns0="http://schemas.openxmlformats.org/spreadsheetml/2006/main" r="AH116" s="16" t="inlineStr">
        <ns0:is>
          <ns0:t>±100 ppm/°C</ns0:t>
        </ns0:is>
      </ns0:c>
    </ns0:row>
    <ns0:row r="117" ht="30" customHeight="1">
      <ns0:c r="A117" t="str" s="10">
        <ns0:v>R0123</ns0:v>
      </ns0:c>
      <ns0:c r="B117" t="str" s="10">
        <ns0:v>Резистор</ns0:v>
      </ns0:c>
      <ns0:c r="C117" t="str" s="10">
        <ns0:v>56k</ns0:v>
      </ns0:c>
      <ns0:c r="D117" t="str" s="11">
        <ns0:f>SUBSTITUTE(SUBSTITUTE(SUBSTITUTE(SUBSTITUTE(C117,"meg"," МОм"),"k"," кОм"),"R"," Ом"),".",",")</ns0:f>
        <ns0:v>56 кОм</ns0:v>
      </ns0:c>
      <ns0:c r="E117" t="str" s="10">
        <ns0:v>±5%</ns0:v>
      </ns0:c>
      <ns0:c r="F117" t="str" s="10">
        <ns0:v>0,1 Вт</ns0:v>
      </ns0:c>
      <ns0:c r="G117" t="str" s="10">
        <ns0:v>75 В макс.</ns0:v>
      </ns0:c>
      <ns0:c r="H117" t="str" s="12">
        <ns0:v>0603</ns0:v>
      </ns0:c>
      <ns0:c r="I117" t="str" s="10">
        <ns0:v>YAGEO</ns0:v>
      </ns0:c>
      <ns0:c r="J117" t="str" s="10">
        <ns0:v>RC0603JR-0756KL</ns0:v>
      </ns0:c>
      <ns0:c r="K117" t="str" s="11">
        <ns0:f>B117&amp;" "&amp;D117&amp;" "&amp;E117&amp;" "&amp;H117</ns0:f>
        <ns0:v>Резистор 56 кОм ±5% 0603</ns0:v>
      </ns0:c>
      <ns0:c r="L117" t="str" s="13">
        <ns0:v>R</ns0:v>
      </ns0:c>
      <ns0:c r="M117" t="str" s="13">
        <ns0:v>Symbols\MY_LIB_Resistors.SchLib</ns0:v>
      </ns0:c>
      <ns0:c r="N117" t="str" s="13">
        <ns0:v>RESC1608X55N</ns0:v>
      </ns0:c>
      <ns0:c r="O117" t="str" s="13">
        <ns0:v>Footprints\PBL - SMD Packages.PcbLib</ns0:v>
      </ns0:c>
      <ns0:c xmlns:ns0="http://schemas.openxmlformats.org/spreadsheetml/2006/main" r="P11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7" s="10"/>
      <ns0:c r="R117" t="str" s="11">
        <ns0:f>D117</ns0:f>
        <ns0:v>56 кОм</ns0:v>
      </ns0:c>
      <ns0:c r="S117" t="str" s="11">
        <ns0:f>K117</ns0:f>
        <ns0:v>Резистор 56 кОм ±5% 0603</ns0:v>
      </ns0:c>
      <x:c xmlns:x="http://schemas.openxmlformats.org/spreadsheetml/2006/main" r="T117" t="str" s="11">
        <x:v>C:\Users\Nomatin\Documents\Altium\MY_LIB\MY_LIB\Datasheets\YAGEO_RC_L.pdf</x:v>
      </x:c>
      <x:c xmlns:x="http://schemas.openxmlformats.org/spreadsheetml/2006/main" r="U117" t="str" s="11">
        <x:v>Даташит — локальный</x:v>
      </x:c>
      <x:c xmlns:x="http://schemas.openxmlformats.org/spreadsheetml/2006/main" r="V117" t="str" s="11">
        <x:v>C:\Users\Nomatin\Documents\Altium\MY_LIB\MY_LIB\Datasheets\YAGEO_RC_L.pdf</x:v>
      </x:c>
      <x:c xmlns:x="http://schemas.openxmlformats.org/spreadsheetml/2006/main" r="W117" t="str" s="11">
        <x:v>Даташит — производитель</x:v>
      </x:c>
      <x:c xmlns:x="http://schemas.openxmlformats.org/spreadsheetml/2006/main" r="X117" t="str" s="11">
        <x:v>https://yageogroup.com/content/datasheet/asset/file/PYU-RC_GROUP_51_ROHS_L</x:v>
      </x:c>
      <x:c xmlns:x="http://schemas.openxmlformats.org/spreadsheetml/2006/main" r="Y117" t="str" s="11">
        <x:v>C:\Users\Nomatin\Documents\Altium\MY_LIB\MY_LIB\Datasheets\YAGEO_RC_L.pdf</x:v>
      </x:c>
      <ns0:c xmlns:ns0="http://schemas.openxmlformats.org/spreadsheetml/2006/main" r="Z117" s="16" t="inlineStr">
        <ns0:is>
          <ns0:t>MY_LIB_R_TCR</ns0:t>
        </ns0:is>
      </ns0:c>
      <ns0:c xmlns:ns0="http://schemas.openxmlformats.org/spreadsheetml/2006/main" r="AA117" s="16" t="inlineStr">
        <ns0:is>
          <ns0:t>R(T), +100 ppm/C at 25 C; positive datasheet limit</ns0:t>
        </ns0:is>
      </ns0:c>
      <ns0:c xmlns:ns0="http://schemas.openxmlformats.org/spreadsheetml/2006/main" r="AB117" s="16" t="str">
        <ns0:v>General</ns0:v>
      </ns0:c>
      <ns0:c xmlns:ns0="http://schemas.openxmlformats.org/spreadsheetml/2006/main" r="AC117" s="16" t="inlineStr">
        <ns0:is>
          <ns0:t>Spice Subcircuit</ns0:t>
        </ns0:is>
      </ns0:c>
      <ns0:c xmlns:ns0="http://schemas.openxmlformats.org/spreadsheetml/2006/main" r="AD117" s="16" t="inlineStr">
        <ns0:is>
          <ns0:t>@DESIGNATOR %1 %2 @MODEL PARAMS: Rvalue=@VALUE TC1value=100u</ns0:t>
        </ns0:is>
      </ns0:c>
      <ns0:c xmlns:ns0="http://schemas.openxmlformats.org/spreadsheetml/2006/main" r="AE117" s="16" t="inlineStr">
        <ns0:is>
          <ns0:t>X</ns0:t>
        </ns0:is>
      </ns0:c>
      <ns0:c xmlns:ns0="http://schemas.openxmlformats.org/spreadsheetml/2006/main" r="AF117" s="16" t="str">
        <ns0:v>(1:1),(2:2)</ns0:v>
      </ns0:c>
      <ns0:c xmlns:ns0="http://schemas.openxmlformats.org/spreadsheetml/2006/main" r="AG117" s="16" t="inlineStr">
        <ns0:is>
          <ns0:t>Simulation\Resistors\MY_LIB_R_TCR.ckt</ns0:t>
        </ns0:is>
      </ns0:c>
      <ns0:c xmlns:ns0="http://schemas.openxmlformats.org/spreadsheetml/2006/main" r="AH117" s="16" t="inlineStr">
        <ns0:is>
          <ns0:t>±100 ppm/°C</ns0:t>
        </ns0:is>
      </ns0:c>
    </ns0:row>
    <ns0:row r="118" ht="30" customHeight="1">
      <ns0:c r="A118" t="str" s="10">
        <ns0:v>R0124</ns0:v>
      </ns0:c>
      <ns0:c r="B118" t="str" s="10">
        <ns0:v>Резистор</ns0:v>
      </ns0:c>
      <ns0:c r="C118" t="str" s="10">
        <ns0:v>62k</ns0:v>
      </ns0:c>
      <ns0:c r="D118" t="str" s="11">
        <ns0:f>SUBSTITUTE(SUBSTITUTE(SUBSTITUTE(SUBSTITUTE(C118,"meg"," МОм"),"k"," кОм"),"R"," Ом"),".",",")</ns0:f>
        <ns0:v>62 кОм</ns0:v>
      </ns0:c>
      <ns0:c r="E118" t="str" s="10">
        <ns0:v>±5%</ns0:v>
      </ns0:c>
      <ns0:c r="F118" t="str" s="10">
        <ns0:v>0,1 Вт</ns0:v>
      </ns0:c>
      <ns0:c r="G118" t="str" s="10">
        <ns0:v>75 В макс.</ns0:v>
      </ns0:c>
      <ns0:c r="H118" t="str" s="12">
        <ns0:v>0603</ns0:v>
      </ns0:c>
      <ns0:c r="I118" t="str" s="10">
        <ns0:v>YAGEO</ns0:v>
      </ns0:c>
      <ns0:c r="J118" t="str" s="10">
        <ns0:v>RC0603JR-0762KL</ns0:v>
      </ns0:c>
      <ns0:c r="K118" t="str" s="11">
        <ns0:f>B118&amp;" "&amp;D118&amp;" "&amp;E118&amp;" "&amp;H118</ns0:f>
        <ns0:v>Резистор 62 кОм ±5% 0603</ns0:v>
      </ns0:c>
      <ns0:c r="L118" t="str" s="13">
        <ns0:v>R</ns0:v>
      </ns0:c>
      <ns0:c r="M118" t="str" s="13">
        <ns0:v>Symbols\MY_LIB_Resistors.SchLib</ns0:v>
      </ns0:c>
      <ns0:c r="N118" t="str" s="13">
        <ns0:v>RESC1608X55N</ns0:v>
      </ns0:c>
      <ns0:c r="O118" t="str" s="13">
        <ns0:v>Footprints\PBL - SMD Packages.PcbLib</ns0:v>
      </ns0:c>
      <ns0:c xmlns:ns0="http://schemas.openxmlformats.org/spreadsheetml/2006/main" r="P11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8" s="10"/>
      <ns0:c r="R118" t="str" s="11">
        <ns0:f>D118</ns0:f>
        <ns0:v>62 кОм</ns0:v>
      </ns0:c>
      <ns0:c r="S118" t="str" s="11">
        <ns0:f>K118</ns0:f>
        <ns0:v>Резистор 62 кОм ±5% 0603</ns0:v>
      </ns0:c>
      <x:c xmlns:x="http://schemas.openxmlformats.org/spreadsheetml/2006/main" r="T118" t="str" s="11">
        <x:v>C:\Users\Nomatin\Documents\Altium\MY_LIB\MY_LIB\Datasheets\YAGEO_RC_L.pdf</x:v>
      </x:c>
      <x:c xmlns:x="http://schemas.openxmlformats.org/spreadsheetml/2006/main" r="U118" t="str" s="11">
        <x:v>Даташит — локальный</x:v>
      </x:c>
      <x:c xmlns:x="http://schemas.openxmlformats.org/spreadsheetml/2006/main" r="V118" t="str" s="11">
        <x:v>C:\Users\Nomatin\Documents\Altium\MY_LIB\MY_LIB\Datasheets\YAGEO_RC_L.pdf</x:v>
      </x:c>
      <x:c xmlns:x="http://schemas.openxmlformats.org/spreadsheetml/2006/main" r="W118" t="str" s="11">
        <x:v>Даташит — производитель</x:v>
      </x:c>
      <x:c xmlns:x="http://schemas.openxmlformats.org/spreadsheetml/2006/main" r="X118" t="str" s="11">
        <x:v>https://yageogroup.com/content/datasheet/asset/file/PYU-RC_GROUP_51_ROHS_L</x:v>
      </x:c>
      <x:c xmlns:x="http://schemas.openxmlformats.org/spreadsheetml/2006/main" r="Y118" t="str" s="11">
        <x:v>C:\Users\Nomatin\Documents\Altium\MY_LIB\MY_LIB\Datasheets\YAGEO_RC_L.pdf</x:v>
      </x:c>
      <ns0:c xmlns:ns0="http://schemas.openxmlformats.org/spreadsheetml/2006/main" r="Z118" s="16" t="inlineStr">
        <ns0:is>
          <ns0:t>MY_LIB_R_TCR</ns0:t>
        </ns0:is>
      </ns0:c>
      <ns0:c xmlns:ns0="http://schemas.openxmlformats.org/spreadsheetml/2006/main" r="AA118" s="16" t="inlineStr">
        <ns0:is>
          <ns0:t>R(T), +100 ppm/C at 25 C; positive datasheet limit</ns0:t>
        </ns0:is>
      </ns0:c>
      <ns0:c xmlns:ns0="http://schemas.openxmlformats.org/spreadsheetml/2006/main" r="AB118" s="16" t="str">
        <ns0:v>General</ns0:v>
      </ns0:c>
      <ns0:c xmlns:ns0="http://schemas.openxmlformats.org/spreadsheetml/2006/main" r="AC118" s="16" t="inlineStr">
        <ns0:is>
          <ns0:t>Spice Subcircuit</ns0:t>
        </ns0:is>
      </ns0:c>
      <ns0:c xmlns:ns0="http://schemas.openxmlformats.org/spreadsheetml/2006/main" r="AD118" s="16" t="inlineStr">
        <ns0:is>
          <ns0:t>@DESIGNATOR %1 %2 @MODEL PARAMS: Rvalue=@VALUE TC1value=100u</ns0:t>
        </ns0:is>
      </ns0:c>
      <ns0:c xmlns:ns0="http://schemas.openxmlformats.org/spreadsheetml/2006/main" r="AE118" s="16" t="inlineStr">
        <ns0:is>
          <ns0:t>X</ns0:t>
        </ns0:is>
      </ns0:c>
      <ns0:c xmlns:ns0="http://schemas.openxmlformats.org/spreadsheetml/2006/main" r="AF118" s="16" t="str">
        <ns0:v>(1:1),(2:2)</ns0:v>
      </ns0:c>
      <ns0:c xmlns:ns0="http://schemas.openxmlformats.org/spreadsheetml/2006/main" r="AG118" s="16" t="inlineStr">
        <ns0:is>
          <ns0:t>Simulation\Resistors\MY_LIB_R_TCR.ckt</ns0:t>
        </ns0:is>
      </ns0:c>
      <ns0:c xmlns:ns0="http://schemas.openxmlformats.org/spreadsheetml/2006/main" r="AH118" s="16" t="inlineStr">
        <ns0:is>
          <ns0:t>±100 ppm/°C</ns0:t>
        </ns0:is>
      </ns0:c>
    </ns0:row>
    <ns0:row r="119" ht="30" customHeight="1">
      <ns0:c r="A119" t="str" s="10">
        <ns0:v>R0125</ns0:v>
      </ns0:c>
      <ns0:c r="B119" t="str" s="10">
        <ns0:v>Резистор</ns0:v>
      </ns0:c>
      <ns0:c r="C119" t="str" s="10">
        <ns0:v>68k</ns0:v>
      </ns0:c>
      <ns0:c r="D119" t="str" s="11">
        <ns0:f>SUBSTITUTE(SUBSTITUTE(SUBSTITUTE(SUBSTITUTE(C119,"meg"," МОм"),"k"," кОм"),"R"," Ом"),".",",")</ns0:f>
        <ns0:v>68 кОм</ns0:v>
      </ns0:c>
      <ns0:c r="E119" t="str" s="10">
        <ns0:v>±5%</ns0:v>
      </ns0:c>
      <ns0:c r="F119" t="str" s="10">
        <ns0:v>0,1 Вт</ns0:v>
      </ns0:c>
      <ns0:c r="G119" t="str" s="10">
        <ns0:v>75 В макс.</ns0:v>
      </ns0:c>
      <ns0:c r="H119" t="str" s="12">
        <ns0:v>0603</ns0:v>
      </ns0:c>
      <ns0:c r="I119" t="str" s="10">
        <ns0:v>YAGEO</ns0:v>
      </ns0:c>
      <ns0:c r="J119" t="str" s="10">
        <ns0:v>RC0603JR-0768KL</ns0:v>
      </ns0:c>
      <ns0:c r="K119" t="str" s="11">
        <ns0:f>B119&amp;" "&amp;D119&amp;" "&amp;E119&amp;" "&amp;H119</ns0:f>
        <ns0:v>Резистор 68 кОм ±5% 0603</ns0:v>
      </ns0:c>
      <ns0:c r="L119" t="str" s="13">
        <ns0:v>R</ns0:v>
      </ns0:c>
      <ns0:c r="M119" t="str" s="13">
        <ns0:v>Symbols\MY_LIB_Resistors.SchLib</ns0:v>
      </ns0:c>
      <ns0:c r="N119" t="str" s="13">
        <ns0:v>RESC1608X55N</ns0:v>
      </ns0:c>
      <ns0:c r="O119" t="str" s="13">
        <ns0:v>Footprints\PBL - SMD Packages.PcbLib</ns0:v>
      </ns0:c>
      <ns0:c xmlns:ns0="http://schemas.openxmlformats.org/spreadsheetml/2006/main" r="P11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19" s="10"/>
      <ns0:c r="R119" t="str" s="11">
        <ns0:f>D119</ns0:f>
        <ns0:v>68 кОм</ns0:v>
      </ns0:c>
      <ns0:c r="S119" t="str" s="11">
        <ns0:f>K119</ns0:f>
        <ns0:v>Резистор 68 кОм ±5% 0603</ns0:v>
      </ns0:c>
      <x:c xmlns:x="http://schemas.openxmlformats.org/spreadsheetml/2006/main" r="T119" t="str" s="11">
        <x:v>C:\Users\Nomatin\Documents\Altium\MY_LIB\MY_LIB\Datasheets\YAGEO_RC_L.pdf</x:v>
      </x:c>
      <x:c xmlns:x="http://schemas.openxmlformats.org/spreadsheetml/2006/main" r="U119" t="str" s="11">
        <x:v>Даташит — локальный</x:v>
      </x:c>
      <x:c xmlns:x="http://schemas.openxmlformats.org/spreadsheetml/2006/main" r="V119" t="str" s="11">
        <x:v>C:\Users\Nomatin\Documents\Altium\MY_LIB\MY_LIB\Datasheets\YAGEO_RC_L.pdf</x:v>
      </x:c>
      <x:c xmlns:x="http://schemas.openxmlformats.org/spreadsheetml/2006/main" r="W119" t="str" s="11">
        <x:v>Даташит — производитель</x:v>
      </x:c>
      <x:c xmlns:x="http://schemas.openxmlformats.org/spreadsheetml/2006/main" r="X119" t="str" s="11">
        <x:v>https://yageogroup.com/content/datasheet/asset/file/PYU-RC_GROUP_51_ROHS_L</x:v>
      </x:c>
      <x:c xmlns:x="http://schemas.openxmlformats.org/spreadsheetml/2006/main" r="Y119" t="str" s="11">
        <x:v>C:\Users\Nomatin\Documents\Altium\MY_LIB\MY_LIB\Datasheets\YAGEO_RC_L.pdf</x:v>
      </x:c>
      <ns0:c xmlns:ns0="http://schemas.openxmlformats.org/spreadsheetml/2006/main" r="Z119" s="16" t="inlineStr">
        <ns0:is>
          <ns0:t>MY_LIB_R_TCR</ns0:t>
        </ns0:is>
      </ns0:c>
      <ns0:c xmlns:ns0="http://schemas.openxmlformats.org/spreadsheetml/2006/main" r="AA119" s="16" t="inlineStr">
        <ns0:is>
          <ns0:t>R(T), +100 ppm/C at 25 C; positive datasheet limit</ns0:t>
        </ns0:is>
      </ns0:c>
      <ns0:c xmlns:ns0="http://schemas.openxmlformats.org/spreadsheetml/2006/main" r="AB119" s="16" t="str">
        <ns0:v>General</ns0:v>
      </ns0:c>
      <ns0:c xmlns:ns0="http://schemas.openxmlformats.org/spreadsheetml/2006/main" r="AC119" s="16" t="inlineStr">
        <ns0:is>
          <ns0:t>Spice Subcircuit</ns0:t>
        </ns0:is>
      </ns0:c>
      <ns0:c xmlns:ns0="http://schemas.openxmlformats.org/spreadsheetml/2006/main" r="AD119" s="16" t="inlineStr">
        <ns0:is>
          <ns0:t>@DESIGNATOR %1 %2 @MODEL PARAMS: Rvalue=@VALUE TC1value=100u</ns0:t>
        </ns0:is>
      </ns0:c>
      <ns0:c xmlns:ns0="http://schemas.openxmlformats.org/spreadsheetml/2006/main" r="AE119" s="16" t="inlineStr">
        <ns0:is>
          <ns0:t>X</ns0:t>
        </ns0:is>
      </ns0:c>
      <ns0:c xmlns:ns0="http://schemas.openxmlformats.org/spreadsheetml/2006/main" r="AF119" s="16" t="str">
        <ns0:v>(1:1),(2:2)</ns0:v>
      </ns0:c>
      <ns0:c xmlns:ns0="http://schemas.openxmlformats.org/spreadsheetml/2006/main" r="AG119" s="16" t="inlineStr">
        <ns0:is>
          <ns0:t>Simulation\Resistors\MY_LIB_R_TCR.ckt</ns0:t>
        </ns0:is>
      </ns0:c>
      <ns0:c xmlns:ns0="http://schemas.openxmlformats.org/spreadsheetml/2006/main" r="AH119" s="16" t="inlineStr">
        <ns0:is>
          <ns0:t>±100 ppm/°C</ns0:t>
        </ns0:is>
      </ns0:c>
    </ns0:row>
    <ns0:row r="120" ht="30" customHeight="1">
      <ns0:c r="A120" t="str" s="10">
        <ns0:v>R0126</ns0:v>
      </ns0:c>
      <ns0:c r="B120" t="str" s="10">
        <ns0:v>Резистор</ns0:v>
      </ns0:c>
      <ns0:c r="C120" t="str" s="10">
        <ns0:v>75k</ns0:v>
      </ns0:c>
      <ns0:c r="D120" t="str" s="11">
        <ns0:f>SUBSTITUTE(SUBSTITUTE(SUBSTITUTE(SUBSTITUTE(C120,"meg"," МОм"),"k"," кОм"),"R"," Ом"),".",",")</ns0:f>
        <ns0:v>75 кОм</ns0:v>
      </ns0:c>
      <ns0:c r="E120" t="str" s="10">
        <ns0:v>±5%</ns0:v>
      </ns0:c>
      <ns0:c r="F120" t="str" s="10">
        <ns0:v>0,1 Вт</ns0:v>
      </ns0:c>
      <ns0:c r="G120" t="str" s="10">
        <ns0:v>75 В макс.</ns0:v>
      </ns0:c>
      <ns0:c r="H120" t="str" s="12">
        <ns0:v>0603</ns0:v>
      </ns0:c>
      <ns0:c r="I120" t="str" s="10">
        <ns0:v>YAGEO</ns0:v>
      </ns0:c>
      <ns0:c r="J120" t="str" s="10">
        <ns0:v>RC0603JR-0775KL</ns0:v>
      </ns0:c>
      <ns0:c r="K120" t="str" s="11">
        <ns0:f>B120&amp;" "&amp;D120&amp;" "&amp;E120&amp;" "&amp;H120</ns0:f>
        <ns0:v>Резистор 75 кОм ±5% 0603</ns0:v>
      </ns0:c>
      <ns0:c r="L120" t="str" s="13">
        <ns0:v>R</ns0:v>
      </ns0:c>
      <ns0:c r="M120" t="str" s="13">
        <ns0:v>Symbols\MY_LIB_Resistors.SchLib</ns0:v>
      </ns0:c>
      <ns0:c r="N120" t="str" s="13">
        <ns0:v>RESC1608X55N</ns0:v>
      </ns0:c>
      <ns0:c r="O120" t="str" s="13">
        <ns0:v>Footprints\PBL - SMD Packages.PcbLib</ns0:v>
      </ns0:c>
      <ns0:c xmlns:ns0="http://schemas.openxmlformats.org/spreadsheetml/2006/main" r="P12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0" s="10"/>
      <ns0:c r="R120" t="str" s="11">
        <ns0:f>D120</ns0:f>
        <ns0:v>75 кОм</ns0:v>
      </ns0:c>
      <ns0:c r="S120" t="str" s="11">
        <ns0:f>K120</ns0:f>
        <ns0:v>Резистор 75 кОм ±5% 0603</ns0:v>
      </ns0:c>
      <x:c xmlns:x="http://schemas.openxmlformats.org/spreadsheetml/2006/main" r="T120" t="str" s="11">
        <x:v>C:\Users\Nomatin\Documents\Altium\MY_LIB\MY_LIB\Datasheets\YAGEO_RC_L.pdf</x:v>
      </x:c>
      <x:c xmlns:x="http://schemas.openxmlformats.org/spreadsheetml/2006/main" r="U120" t="str" s="11">
        <x:v>Даташит — локальный</x:v>
      </x:c>
      <x:c xmlns:x="http://schemas.openxmlformats.org/spreadsheetml/2006/main" r="V120" t="str" s="11">
        <x:v>C:\Users\Nomatin\Documents\Altium\MY_LIB\MY_LIB\Datasheets\YAGEO_RC_L.pdf</x:v>
      </x:c>
      <x:c xmlns:x="http://schemas.openxmlformats.org/spreadsheetml/2006/main" r="W120" t="str" s="11">
        <x:v>Даташит — производитель</x:v>
      </x:c>
      <x:c xmlns:x="http://schemas.openxmlformats.org/spreadsheetml/2006/main" r="X120" t="str" s="11">
        <x:v>https://yageogroup.com/content/datasheet/asset/file/PYU-RC_GROUP_51_ROHS_L</x:v>
      </x:c>
      <x:c xmlns:x="http://schemas.openxmlformats.org/spreadsheetml/2006/main" r="Y120" t="str" s="11">
        <x:v>C:\Users\Nomatin\Documents\Altium\MY_LIB\MY_LIB\Datasheets\YAGEO_RC_L.pdf</x:v>
      </x:c>
      <ns0:c xmlns:ns0="http://schemas.openxmlformats.org/spreadsheetml/2006/main" r="Z120" s="16" t="inlineStr">
        <ns0:is>
          <ns0:t>MY_LIB_R_TCR</ns0:t>
        </ns0:is>
      </ns0:c>
      <ns0:c xmlns:ns0="http://schemas.openxmlformats.org/spreadsheetml/2006/main" r="AA120" s="16" t="inlineStr">
        <ns0:is>
          <ns0:t>R(T), +100 ppm/C at 25 C; positive datasheet limit</ns0:t>
        </ns0:is>
      </ns0:c>
      <ns0:c xmlns:ns0="http://schemas.openxmlformats.org/spreadsheetml/2006/main" r="AB120" s="16" t="str">
        <ns0:v>General</ns0:v>
      </ns0:c>
      <ns0:c xmlns:ns0="http://schemas.openxmlformats.org/spreadsheetml/2006/main" r="AC120" s="16" t="inlineStr">
        <ns0:is>
          <ns0:t>Spice Subcircuit</ns0:t>
        </ns0:is>
      </ns0:c>
      <ns0:c xmlns:ns0="http://schemas.openxmlformats.org/spreadsheetml/2006/main" r="AD120" s="16" t="inlineStr">
        <ns0:is>
          <ns0:t>@DESIGNATOR %1 %2 @MODEL PARAMS: Rvalue=@VALUE TC1value=100u</ns0:t>
        </ns0:is>
      </ns0:c>
      <ns0:c xmlns:ns0="http://schemas.openxmlformats.org/spreadsheetml/2006/main" r="AE120" s="16" t="inlineStr">
        <ns0:is>
          <ns0:t>X</ns0:t>
        </ns0:is>
      </ns0:c>
      <ns0:c xmlns:ns0="http://schemas.openxmlformats.org/spreadsheetml/2006/main" r="AF120" s="16" t="str">
        <ns0:v>(1:1),(2:2)</ns0:v>
      </ns0:c>
      <ns0:c xmlns:ns0="http://schemas.openxmlformats.org/spreadsheetml/2006/main" r="AG120" s="16" t="inlineStr">
        <ns0:is>
          <ns0:t>Simulation\Resistors\MY_LIB_R_TCR.ckt</ns0:t>
        </ns0:is>
      </ns0:c>
      <ns0:c xmlns:ns0="http://schemas.openxmlformats.org/spreadsheetml/2006/main" r="AH120" s="16" t="inlineStr">
        <ns0:is>
          <ns0:t>±100 ppm/°C</ns0:t>
        </ns0:is>
      </ns0:c>
    </ns0:row>
    <ns0:row r="121" ht="30" customHeight="1">
      <ns0:c r="A121" t="str" s="10">
        <ns0:v>R0127</ns0:v>
      </ns0:c>
      <ns0:c r="B121" t="str" s="10">
        <ns0:v>Резистор</ns0:v>
      </ns0:c>
      <ns0:c r="C121" t="str" s="10">
        <ns0:v>82k</ns0:v>
      </ns0:c>
      <ns0:c r="D121" t="str" s="11">
        <ns0:f>SUBSTITUTE(SUBSTITUTE(SUBSTITUTE(SUBSTITUTE(C121,"meg"," МОм"),"k"," кОм"),"R"," Ом"),".",",")</ns0:f>
        <ns0:v>82 кОм</ns0:v>
      </ns0:c>
      <ns0:c r="E121" t="str" s="10">
        <ns0:v>±5%</ns0:v>
      </ns0:c>
      <ns0:c r="F121" t="str" s="10">
        <ns0:v>0,1 Вт</ns0:v>
      </ns0:c>
      <ns0:c r="G121" t="str" s="10">
        <ns0:v>75 В макс.</ns0:v>
      </ns0:c>
      <ns0:c r="H121" t="str" s="12">
        <ns0:v>0603</ns0:v>
      </ns0:c>
      <ns0:c r="I121" t="str" s="10">
        <ns0:v>YAGEO</ns0:v>
      </ns0:c>
      <ns0:c r="J121" t="str" s="10">
        <ns0:v>RC0603JR-0782KL</ns0:v>
      </ns0:c>
      <ns0:c r="K121" t="str" s="11">
        <ns0:f>B121&amp;" "&amp;D121&amp;" "&amp;E121&amp;" "&amp;H121</ns0:f>
        <ns0:v>Резистор 82 кОм ±5% 0603</ns0:v>
      </ns0:c>
      <ns0:c r="L121" t="str" s="13">
        <ns0:v>R</ns0:v>
      </ns0:c>
      <ns0:c r="M121" t="str" s="13">
        <ns0:v>Symbols\MY_LIB_Resistors.SchLib</ns0:v>
      </ns0:c>
      <ns0:c r="N121" t="str" s="13">
        <ns0:v>RESC1608X55N</ns0:v>
      </ns0:c>
      <ns0:c r="O121" t="str" s="13">
        <ns0:v>Footprints\PBL - SMD Packages.PcbLib</ns0:v>
      </ns0:c>
      <ns0:c xmlns:ns0="http://schemas.openxmlformats.org/spreadsheetml/2006/main" r="P12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1" s="10"/>
      <ns0:c r="R121" t="str" s="11">
        <ns0:f>D121</ns0:f>
        <ns0:v>82 кОм</ns0:v>
      </ns0:c>
      <ns0:c r="S121" t="str" s="11">
        <ns0:f>K121</ns0:f>
        <ns0:v>Резистор 82 кОм ±5% 0603</ns0:v>
      </ns0:c>
      <x:c xmlns:x="http://schemas.openxmlformats.org/spreadsheetml/2006/main" r="T121" t="str" s="11">
        <x:v>C:\Users\Nomatin\Documents\Altium\MY_LIB\MY_LIB\Datasheets\YAGEO_RC_L.pdf</x:v>
      </x:c>
      <x:c xmlns:x="http://schemas.openxmlformats.org/spreadsheetml/2006/main" r="U121" t="str" s="11">
        <x:v>Даташит — локальный</x:v>
      </x:c>
      <x:c xmlns:x="http://schemas.openxmlformats.org/spreadsheetml/2006/main" r="V121" t="str" s="11">
        <x:v>C:\Users\Nomatin\Documents\Altium\MY_LIB\MY_LIB\Datasheets\YAGEO_RC_L.pdf</x:v>
      </x:c>
      <x:c xmlns:x="http://schemas.openxmlformats.org/spreadsheetml/2006/main" r="W121" t="str" s="11">
        <x:v>Даташит — производитель</x:v>
      </x:c>
      <x:c xmlns:x="http://schemas.openxmlformats.org/spreadsheetml/2006/main" r="X121" t="str" s="11">
        <x:v>https://yageogroup.com/content/datasheet/asset/file/PYU-RC_GROUP_51_ROHS_L</x:v>
      </x:c>
      <x:c xmlns:x="http://schemas.openxmlformats.org/spreadsheetml/2006/main" r="Y121" t="str" s="11">
        <x:v>C:\Users\Nomatin\Documents\Altium\MY_LIB\MY_LIB\Datasheets\YAGEO_RC_L.pdf</x:v>
      </x:c>
      <ns0:c xmlns:ns0="http://schemas.openxmlformats.org/spreadsheetml/2006/main" r="Z121" s="16" t="inlineStr">
        <ns0:is>
          <ns0:t>MY_LIB_R_TCR</ns0:t>
        </ns0:is>
      </ns0:c>
      <ns0:c xmlns:ns0="http://schemas.openxmlformats.org/spreadsheetml/2006/main" r="AA121" s="16" t="inlineStr">
        <ns0:is>
          <ns0:t>R(T), +100 ppm/C at 25 C; positive datasheet limit</ns0:t>
        </ns0:is>
      </ns0:c>
      <ns0:c xmlns:ns0="http://schemas.openxmlformats.org/spreadsheetml/2006/main" r="AB121" s="16" t="str">
        <ns0:v>General</ns0:v>
      </ns0:c>
      <ns0:c xmlns:ns0="http://schemas.openxmlformats.org/spreadsheetml/2006/main" r="AC121" s="16" t="inlineStr">
        <ns0:is>
          <ns0:t>Spice Subcircuit</ns0:t>
        </ns0:is>
      </ns0:c>
      <ns0:c xmlns:ns0="http://schemas.openxmlformats.org/spreadsheetml/2006/main" r="AD121" s="16" t="inlineStr">
        <ns0:is>
          <ns0:t>@DESIGNATOR %1 %2 @MODEL PARAMS: Rvalue=@VALUE TC1value=100u</ns0:t>
        </ns0:is>
      </ns0:c>
      <ns0:c xmlns:ns0="http://schemas.openxmlformats.org/spreadsheetml/2006/main" r="AE121" s="16" t="inlineStr">
        <ns0:is>
          <ns0:t>X</ns0:t>
        </ns0:is>
      </ns0:c>
      <ns0:c xmlns:ns0="http://schemas.openxmlformats.org/spreadsheetml/2006/main" r="AF121" s="16" t="str">
        <ns0:v>(1:1),(2:2)</ns0:v>
      </ns0:c>
      <ns0:c xmlns:ns0="http://schemas.openxmlformats.org/spreadsheetml/2006/main" r="AG121" s="16" t="inlineStr">
        <ns0:is>
          <ns0:t>Simulation\Resistors\MY_LIB_R_TCR.ckt</ns0:t>
        </ns0:is>
      </ns0:c>
      <ns0:c xmlns:ns0="http://schemas.openxmlformats.org/spreadsheetml/2006/main" r="AH121" s="16" t="inlineStr">
        <ns0:is>
          <ns0:t>±100 ppm/°C</ns0:t>
        </ns0:is>
      </ns0:c>
    </ns0:row>
    <ns0:row r="122" ht="30" customHeight="1">
      <ns0:c r="A122" t="str" s="10">
        <ns0:v>R0128</ns0:v>
      </ns0:c>
      <ns0:c r="B122" t="str" s="10">
        <ns0:v>Резистор</ns0:v>
      </ns0:c>
      <ns0:c r="C122" t="str" s="10">
        <ns0:v>91k</ns0:v>
      </ns0:c>
      <ns0:c r="D122" t="str" s="11">
        <ns0:f>SUBSTITUTE(SUBSTITUTE(SUBSTITUTE(SUBSTITUTE(C122,"meg"," МОм"),"k"," кОм"),"R"," Ом"),".",",")</ns0:f>
        <ns0:v>91 кОм</ns0:v>
      </ns0:c>
      <ns0:c r="E122" t="str" s="10">
        <ns0:v>±5%</ns0:v>
      </ns0:c>
      <ns0:c r="F122" t="str" s="10">
        <ns0:v>0,1 Вт</ns0:v>
      </ns0:c>
      <ns0:c r="G122" t="str" s="10">
        <ns0:v>75 В макс.</ns0:v>
      </ns0:c>
      <ns0:c r="H122" t="str" s="12">
        <ns0:v>0603</ns0:v>
      </ns0:c>
      <ns0:c r="I122" t="str" s="10">
        <ns0:v>YAGEO</ns0:v>
      </ns0:c>
      <ns0:c r="J122" t="str" s="10">
        <ns0:v>RC0603JR-0791KL</ns0:v>
      </ns0:c>
      <ns0:c r="K122" t="str" s="11">
        <ns0:f>B122&amp;" "&amp;D122&amp;" "&amp;E122&amp;" "&amp;H122</ns0:f>
        <ns0:v>Резистор 91 кОм ±5% 0603</ns0:v>
      </ns0:c>
      <ns0:c r="L122" t="str" s="13">
        <ns0:v>R</ns0:v>
      </ns0:c>
      <ns0:c r="M122" t="str" s="13">
        <ns0:v>Symbols\MY_LIB_Resistors.SchLib</ns0:v>
      </ns0:c>
      <ns0:c r="N122" t="str" s="13">
        <ns0:v>RESC1608X55N</ns0:v>
      </ns0:c>
      <ns0:c r="O122" t="str" s="13">
        <ns0:v>Footprints\PBL - SMD Packages.PcbLib</ns0:v>
      </ns0:c>
      <ns0:c xmlns:ns0="http://schemas.openxmlformats.org/spreadsheetml/2006/main" r="P12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2" s="10"/>
      <ns0:c r="R122" t="str" s="11">
        <ns0:f>D122</ns0:f>
        <ns0:v>91 кОм</ns0:v>
      </ns0:c>
      <ns0:c r="S122" t="str" s="11">
        <ns0:f>K122</ns0:f>
        <ns0:v>Резистор 91 кОм ±5% 0603</ns0:v>
      </ns0:c>
      <x:c xmlns:x="http://schemas.openxmlformats.org/spreadsheetml/2006/main" r="T122" t="str" s="11">
        <x:v>C:\Users\Nomatin\Documents\Altium\MY_LIB\MY_LIB\Datasheets\YAGEO_RC_L.pdf</x:v>
      </x:c>
      <x:c xmlns:x="http://schemas.openxmlformats.org/spreadsheetml/2006/main" r="U122" t="str" s="11">
        <x:v>Даташит — локальный</x:v>
      </x:c>
      <x:c xmlns:x="http://schemas.openxmlformats.org/spreadsheetml/2006/main" r="V122" t="str" s="11">
        <x:v>C:\Users\Nomatin\Documents\Altium\MY_LIB\MY_LIB\Datasheets\YAGEO_RC_L.pdf</x:v>
      </x:c>
      <x:c xmlns:x="http://schemas.openxmlformats.org/spreadsheetml/2006/main" r="W122" t="str" s="11">
        <x:v>Даташит — производитель</x:v>
      </x:c>
      <x:c xmlns:x="http://schemas.openxmlformats.org/spreadsheetml/2006/main" r="X122" t="str" s="11">
        <x:v>https://yageogroup.com/content/datasheet/asset/file/PYU-RC_GROUP_51_ROHS_L</x:v>
      </x:c>
      <x:c xmlns:x="http://schemas.openxmlformats.org/spreadsheetml/2006/main" r="Y122" t="str" s="11">
        <x:v>C:\Users\Nomatin\Documents\Altium\MY_LIB\MY_LIB\Datasheets\YAGEO_RC_L.pdf</x:v>
      </x:c>
      <ns0:c xmlns:ns0="http://schemas.openxmlformats.org/spreadsheetml/2006/main" r="Z122" s="16" t="inlineStr">
        <ns0:is>
          <ns0:t>MY_LIB_R_TCR</ns0:t>
        </ns0:is>
      </ns0:c>
      <ns0:c xmlns:ns0="http://schemas.openxmlformats.org/spreadsheetml/2006/main" r="AA122" s="16" t="inlineStr">
        <ns0:is>
          <ns0:t>R(T), +100 ppm/C at 25 C; positive datasheet limit</ns0:t>
        </ns0:is>
      </ns0:c>
      <ns0:c xmlns:ns0="http://schemas.openxmlformats.org/spreadsheetml/2006/main" r="AB122" s="16" t="str">
        <ns0:v>General</ns0:v>
      </ns0:c>
      <ns0:c xmlns:ns0="http://schemas.openxmlformats.org/spreadsheetml/2006/main" r="AC122" s="16" t="inlineStr">
        <ns0:is>
          <ns0:t>Spice Subcircuit</ns0:t>
        </ns0:is>
      </ns0:c>
      <ns0:c xmlns:ns0="http://schemas.openxmlformats.org/spreadsheetml/2006/main" r="AD122" s="16" t="inlineStr">
        <ns0:is>
          <ns0:t>@DESIGNATOR %1 %2 @MODEL PARAMS: Rvalue=@VALUE TC1value=100u</ns0:t>
        </ns0:is>
      </ns0:c>
      <ns0:c xmlns:ns0="http://schemas.openxmlformats.org/spreadsheetml/2006/main" r="AE122" s="16" t="inlineStr">
        <ns0:is>
          <ns0:t>X</ns0:t>
        </ns0:is>
      </ns0:c>
      <ns0:c xmlns:ns0="http://schemas.openxmlformats.org/spreadsheetml/2006/main" r="AF122" s="16" t="str">
        <ns0:v>(1:1),(2:2)</ns0:v>
      </ns0:c>
      <ns0:c xmlns:ns0="http://schemas.openxmlformats.org/spreadsheetml/2006/main" r="AG122" s="16" t="inlineStr">
        <ns0:is>
          <ns0:t>Simulation\Resistors\MY_LIB_R_TCR.ckt</ns0:t>
        </ns0:is>
      </ns0:c>
      <ns0:c xmlns:ns0="http://schemas.openxmlformats.org/spreadsheetml/2006/main" r="AH122" s="16" t="inlineStr">
        <ns0:is>
          <ns0:t>±100 ppm/°C</ns0:t>
        </ns0:is>
      </ns0:c>
    </ns0:row>
    <ns0:row r="123" ht="30" customHeight="1">
      <ns0:c r="A123" t="str" s="10">
        <ns0:v>R0129</ns0:v>
      </ns0:c>
      <ns0:c r="B123" t="str" s="10">
        <ns0:v>Резистор</ns0:v>
      </ns0:c>
      <ns0:c r="C123" t="str" s="10">
        <ns0:v>100k</ns0:v>
      </ns0:c>
      <ns0:c r="D123" t="str" s="11">
        <ns0:f>SUBSTITUTE(SUBSTITUTE(SUBSTITUTE(SUBSTITUTE(C123,"meg"," МОм"),"k"," кОм"),"R"," Ом"),".",",")</ns0:f>
        <ns0:v>100 кОм</ns0:v>
      </ns0:c>
      <ns0:c r="E123" t="str" s="10">
        <ns0:v>±5%</ns0:v>
      </ns0:c>
      <ns0:c r="F123" t="str" s="10">
        <ns0:v>0,1 Вт</ns0:v>
      </ns0:c>
      <ns0:c r="G123" t="str" s="10">
        <ns0:v>75 В макс.</ns0:v>
      </ns0:c>
      <ns0:c r="H123" t="str" s="12">
        <ns0:v>0603</ns0:v>
      </ns0:c>
      <ns0:c r="I123" t="str" s="10">
        <ns0:v>YAGEO</ns0:v>
      </ns0:c>
      <ns0:c r="J123" t="str" s="10">
        <ns0:v>RC0603JR-07100KL</ns0:v>
      </ns0:c>
      <ns0:c r="K123" t="str" s="11">
        <ns0:f>B123&amp;" "&amp;D123&amp;" "&amp;E123&amp;" "&amp;H123</ns0:f>
        <ns0:v>Резистор 100 кОм ±5% 0603</ns0:v>
      </ns0:c>
      <ns0:c r="L123" t="str" s="13">
        <ns0:v>R</ns0:v>
      </ns0:c>
      <ns0:c r="M123" t="str" s="13">
        <ns0:v>Symbols\MY_LIB_Resistors.SchLib</ns0:v>
      </ns0:c>
      <ns0:c r="N123" t="str" s="13">
        <ns0:v>RESC1608X55N</ns0:v>
      </ns0:c>
      <ns0:c r="O123" t="str" s="13">
        <ns0:v>Footprints\PBL - SMD Packages.PcbLib</ns0:v>
      </ns0:c>
      <ns0:c xmlns:ns0="http://schemas.openxmlformats.org/spreadsheetml/2006/main" r="P12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3" s="10"/>
      <ns0:c r="R123" t="str" s="11">
        <ns0:f>D123</ns0:f>
        <ns0:v>100 кОм</ns0:v>
      </ns0:c>
      <ns0:c r="S123" t="str" s="11">
        <ns0:f>K123</ns0:f>
        <ns0:v>Резистор 100 кОм ±5% 0603</ns0:v>
      </ns0:c>
      <x:c xmlns:x="http://schemas.openxmlformats.org/spreadsheetml/2006/main" r="T123" t="str" s="11">
        <x:v>C:\Users\Nomatin\Documents\Altium\MY_LIB\MY_LIB\Datasheets\YAGEO_RC_L.pdf</x:v>
      </x:c>
      <x:c xmlns:x="http://schemas.openxmlformats.org/spreadsheetml/2006/main" r="U123" t="str" s="11">
        <x:v>Даташит — локальный</x:v>
      </x:c>
      <x:c xmlns:x="http://schemas.openxmlformats.org/spreadsheetml/2006/main" r="V123" t="str" s="11">
        <x:v>C:\Users\Nomatin\Documents\Altium\MY_LIB\MY_LIB\Datasheets\YAGEO_RC_L.pdf</x:v>
      </x:c>
      <x:c xmlns:x="http://schemas.openxmlformats.org/spreadsheetml/2006/main" r="W123" t="str" s="11">
        <x:v>Даташит — производитель</x:v>
      </x:c>
      <x:c xmlns:x="http://schemas.openxmlformats.org/spreadsheetml/2006/main" r="X123" t="str" s="11">
        <x:v>https://yageogroup.com/content/datasheet/asset/file/PYU-RC_GROUP_51_ROHS_L</x:v>
      </x:c>
      <x:c xmlns:x="http://schemas.openxmlformats.org/spreadsheetml/2006/main" r="Y123" t="str" s="11">
        <x:v>C:\Users\Nomatin\Documents\Altium\MY_LIB\MY_LIB\Datasheets\YAGEO_RC_L.pdf</x:v>
      </x:c>
      <ns0:c xmlns:ns0="http://schemas.openxmlformats.org/spreadsheetml/2006/main" r="Z123" s="16" t="inlineStr">
        <ns0:is>
          <ns0:t>MY_LIB_R_TCR</ns0:t>
        </ns0:is>
      </ns0:c>
      <ns0:c xmlns:ns0="http://schemas.openxmlformats.org/spreadsheetml/2006/main" r="AA123" s="16" t="inlineStr">
        <ns0:is>
          <ns0:t>R(T), +100 ppm/C at 25 C; positive datasheet limit</ns0:t>
        </ns0:is>
      </ns0:c>
      <ns0:c xmlns:ns0="http://schemas.openxmlformats.org/spreadsheetml/2006/main" r="AB123" s="16" t="str">
        <ns0:v>General</ns0:v>
      </ns0:c>
      <ns0:c xmlns:ns0="http://schemas.openxmlformats.org/spreadsheetml/2006/main" r="AC123" s="16" t="inlineStr">
        <ns0:is>
          <ns0:t>Spice Subcircuit</ns0:t>
        </ns0:is>
      </ns0:c>
      <ns0:c xmlns:ns0="http://schemas.openxmlformats.org/spreadsheetml/2006/main" r="AD123" s="16" t="inlineStr">
        <ns0:is>
          <ns0:t>@DESIGNATOR %1 %2 @MODEL PARAMS: Rvalue=@VALUE TC1value=100u</ns0:t>
        </ns0:is>
      </ns0:c>
      <ns0:c xmlns:ns0="http://schemas.openxmlformats.org/spreadsheetml/2006/main" r="AE123" s="16" t="inlineStr">
        <ns0:is>
          <ns0:t>X</ns0:t>
        </ns0:is>
      </ns0:c>
      <ns0:c xmlns:ns0="http://schemas.openxmlformats.org/spreadsheetml/2006/main" r="AF123" s="16" t="str">
        <ns0:v>(1:1),(2:2)</ns0:v>
      </ns0:c>
      <ns0:c xmlns:ns0="http://schemas.openxmlformats.org/spreadsheetml/2006/main" r="AG123" s="16" t="inlineStr">
        <ns0:is>
          <ns0:t>Simulation\Resistors\MY_LIB_R_TCR.ckt</ns0:t>
        </ns0:is>
      </ns0:c>
      <ns0:c xmlns:ns0="http://schemas.openxmlformats.org/spreadsheetml/2006/main" r="AH123" s="16" t="inlineStr">
        <ns0:is>
          <ns0:t>±100 ppm/°C</ns0:t>
        </ns0:is>
      </ns0:c>
    </ns0:row>
    <ns0:row r="124" ht="30" customHeight="1">
      <ns0:c r="A124" t="str" s="10">
        <ns0:v>R0130</ns0:v>
      </ns0:c>
      <ns0:c r="B124" t="str" s="10">
        <ns0:v>Резистор</ns0:v>
      </ns0:c>
      <ns0:c r="C124" t="str" s="10">
        <ns0:v>110k</ns0:v>
      </ns0:c>
      <ns0:c r="D124" t="str" s="11">
        <ns0:f>SUBSTITUTE(SUBSTITUTE(SUBSTITUTE(SUBSTITUTE(C124,"meg"," МОм"),"k"," кОм"),"R"," Ом"),".",",")</ns0:f>
        <ns0:v>110 кОм</ns0:v>
      </ns0:c>
      <ns0:c r="E124" t="str" s="10">
        <ns0:v>±5%</ns0:v>
      </ns0:c>
      <ns0:c r="F124" t="str" s="10">
        <ns0:v>0,1 Вт</ns0:v>
      </ns0:c>
      <ns0:c r="G124" t="str" s="10">
        <ns0:v>75 В макс.</ns0:v>
      </ns0:c>
      <ns0:c r="H124" t="str" s="12">
        <ns0:v>0603</ns0:v>
      </ns0:c>
      <ns0:c r="I124" t="str" s="10">
        <ns0:v>YAGEO</ns0:v>
      </ns0:c>
      <ns0:c r="J124" t="str" s="10">
        <ns0:v>RC0603JR-07110KL</ns0:v>
      </ns0:c>
      <ns0:c r="K124" t="str" s="11">
        <ns0:f>B124&amp;" "&amp;D124&amp;" "&amp;E124&amp;" "&amp;H124</ns0:f>
        <ns0:v>Резистор 110 кОм ±5% 0603</ns0:v>
      </ns0:c>
      <ns0:c r="L124" t="str" s="13">
        <ns0:v>R</ns0:v>
      </ns0:c>
      <ns0:c r="M124" t="str" s="13">
        <ns0:v>Symbols\MY_LIB_Resistors.SchLib</ns0:v>
      </ns0:c>
      <ns0:c r="N124" t="str" s="13">
        <ns0:v>RESC1608X55N</ns0:v>
      </ns0:c>
      <ns0:c r="O124" t="str" s="13">
        <ns0:v>Footprints\PBL - SMD Packages.PcbLib</ns0:v>
      </ns0:c>
      <ns0:c xmlns:ns0="http://schemas.openxmlformats.org/spreadsheetml/2006/main" r="P12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4" s="10"/>
      <ns0:c r="R124" t="str" s="11">
        <ns0:f>D124</ns0:f>
        <ns0:v>110 кОм</ns0:v>
      </ns0:c>
      <ns0:c r="S124" t="str" s="11">
        <ns0:f>K124</ns0:f>
        <ns0:v>Резистор 110 кОм ±5% 0603</ns0:v>
      </ns0:c>
      <x:c xmlns:x="http://schemas.openxmlformats.org/spreadsheetml/2006/main" r="T124" t="str" s="11">
        <x:v>C:\Users\Nomatin\Documents\Altium\MY_LIB\MY_LIB\Datasheets\YAGEO_RC_L.pdf</x:v>
      </x:c>
      <x:c xmlns:x="http://schemas.openxmlformats.org/spreadsheetml/2006/main" r="U124" t="str" s="11">
        <x:v>Даташит — локальный</x:v>
      </x:c>
      <x:c xmlns:x="http://schemas.openxmlformats.org/spreadsheetml/2006/main" r="V124" t="str" s="11">
        <x:v>C:\Users\Nomatin\Documents\Altium\MY_LIB\MY_LIB\Datasheets\YAGEO_RC_L.pdf</x:v>
      </x:c>
      <x:c xmlns:x="http://schemas.openxmlformats.org/spreadsheetml/2006/main" r="W124" t="str" s="11">
        <x:v>Даташит — производитель</x:v>
      </x:c>
      <x:c xmlns:x="http://schemas.openxmlformats.org/spreadsheetml/2006/main" r="X124" t="str" s="11">
        <x:v>https://yageogroup.com/content/datasheet/asset/file/PYU-RC_GROUP_51_ROHS_L</x:v>
      </x:c>
      <x:c xmlns:x="http://schemas.openxmlformats.org/spreadsheetml/2006/main" r="Y124" t="str" s="11">
        <x:v>C:\Users\Nomatin\Documents\Altium\MY_LIB\MY_LIB\Datasheets\YAGEO_RC_L.pdf</x:v>
      </x:c>
      <ns0:c xmlns:ns0="http://schemas.openxmlformats.org/spreadsheetml/2006/main" r="Z124" s="16" t="inlineStr">
        <ns0:is>
          <ns0:t>MY_LIB_R_TCR</ns0:t>
        </ns0:is>
      </ns0:c>
      <ns0:c xmlns:ns0="http://schemas.openxmlformats.org/spreadsheetml/2006/main" r="AA124" s="16" t="inlineStr">
        <ns0:is>
          <ns0:t>R(T), +100 ppm/C at 25 C; positive datasheet limit</ns0:t>
        </ns0:is>
      </ns0:c>
      <ns0:c xmlns:ns0="http://schemas.openxmlformats.org/spreadsheetml/2006/main" r="AB124" s="16" t="str">
        <ns0:v>General</ns0:v>
      </ns0:c>
      <ns0:c xmlns:ns0="http://schemas.openxmlformats.org/spreadsheetml/2006/main" r="AC124" s="16" t="inlineStr">
        <ns0:is>
          <ns0:t>Spice Subcircuit</ns0:t>
        </ns0:is>
      </ns0:c>
      <ns0:c xmlns:ns0="http://schemas.openxmlformats.org/spreadsheetml/2006/main" r="AD124" s="16" t="inlineStr">
        <ns0:is>
          <ns0:t>@DESIGNATOR %1 %2 @MODEL PARAMS: Rvalue=@VALUE TC1value=100u</ns0:t>
        </ns0:is>
      </ns0:c>
      <ns0:c xmlns:ns0="http://schemas.openxmlformats.org/spreadsheetml/2006/main" r="AE124" s="16" t="inlineStr">
        <ns0:is>
          <ns0:t>X</ns0:t>
        </ns0:is>
      </ns0:c>
      <ns0:c xmlns:ns0="http://schemas.openxmlformats.org/spreadsheetml/2006/main" r="AF124" s="16" t="str">
        <ns0:v>(1:1),(2:2)</ns0:v>
      </ns0:c>
      <ns0:c xmlns:ns0="http://schemas.openxmlformats.org/spreadsheetml/2006/main" r="AG124" s="16" t="inlineStr">
        <ns0:is>
          <ns0:t>Simulation\Resistors\MY_LIB_R_TCR.ckt</ns0:t>
        </ns0:is>
      </ns0:c>
      <ns0:c xmlns:ns0="http://schemas.openxmlformats.org/spreadsheetml/2006/main" r="AH124" s="16" t="inlineStr">
        <ns0:is>
          <ns0:t>±100 ppm/°C</ns0:t>
        </ns0:is>
      </ns0:c>
    </ns0:row>
    <ns0:row r="125" ht="30" customHeight="1">
      <ns0:c r="A125" t="str" s="10">
        <ns0:v>R0131</ns0:v>
      </ns0:c>
      <ns0:c r="B125" t="str" s="10">
        <ns0:v>Резистор</ns0:v>
      </ns0:c>
      <ns0:c r="C125" t="str" s="10">
        <ns0:v>120k</ns0:v>
      </ns0:c>
      <ns0:c r="D125" t="str" s="11">
        <ns0:f>SUBSTITUTE(SUBSTITUTE(SUBSTITUTE(SUBSTITUTE(C125,"meg"," МОм"),"k"," кОм"),"R"," Ом"),".",",")</ns0:f>
        <ns0:v>120 кОм</ns0:v>
      </ns0:c>
      <ns0:c r="E125" t="str" s="10">
        <ns0:v>±5%</ns0:v>
      </ns0:c>
      <ns0:c r="F125" t="str" s="10">
        <ns0:v>0,1 Вт</ns0:v>
      </ns0:c>
      <ns0:c r="G125" t="str" s="10">
        <ns0:v>75 В макс.</ns0:v>
      </ns0:c>
      <ns0:c r="H125" t="str" s="12">
        <ns0:v>0603</ns0:v>
      </ns0:c>
      <ns0:c r="I125" t="str" s="10">
        <ns0:v>YAGEO</ns0:v>
      </ns0:c>
      <ns0:c r="J125" t="str" s="10">
        <ns0:v>RC0603JR-07120KL</ns0:v>
      </ns0:c>
      <ns0:c r="K125" t="str" s="11">
        <ns0:f>B125&amp;" "&amp;D125&amp;" "&amp;E125&amp;" "&amp;H125</ns0:f>
        <ns0:v>Резистор 120 кОм ±5% 0603</ns0:v>
      </ns0:c>
      <ns0:c r="L125" t="str" s="13">
        <ns0:v>R</ns0:v>
      </ns0:c>
      <ns0:c r="M125" t="str" s="13">
        <ns0:v>Symbols\MY_LIB_Resistors.SchLib</ns0:v>
      </ns0:c>
      <ns0:c r="N125" t="str" s="13">
        <ns0:v>RESC1608X55N</ns0:v>
      </ns0:c>
      <ns0:c r="O125" t="str" s="13">
        <ns0:v>Footprints\PBL - SMD Packages.PcbLib</ns0:v>
      </ns0:c>
      <ns0:c xmlns:ns0="http://schemas.openxmlformats.org/spreadsheetml/2006/main" r="P12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5" s="10"/>
      <ns0:c r="R125" t="str" s="11">
        <ns0:f>D125</ns0:f>
        <ns0:v>120 кОм</ns0:v>
      </ns0:c>
      <ns0:c r="S125" t="str" s="11">
        <ns0:f>K125</ns0:f>
        <ns0:v>Резистор 120 кОм ±5% 0603</ns0:v>
      </ns0:c>
      <x:c xmlns:x="http://schemas.openxmlformats.org/spreadsheetml/2006/main" r="T125" t="str" s="11">
        <x:v>C:\Users\Nomatin\Documents\Altium\MY_LIB\MY_LIB\Datasheets\YAGEO_RC_L.pdf</x:v>
      </x:c>
      <x:c xmlns:x="http://schemas.openxmlformats.org/spreadsheetml/2006/main" r="U125" t="str" s="11">
        <x:v>Даташит — локальный</x:v>
      </x:c>
      <x:c xmlns:x="http://schemas.openxmlformats.org/spreadsheetml/2006/main" r="V125" t="str" s="11">
        <x:v>C:\Users\Nomatin\Documents\Altium\MY_LIB\MY_LIB\Datasheets\YAGEO_RC_L.pdf</x:v>
      </x:c>
      <x:c xmlns:x="http://schemas.openxmlformats.org/spreadsheetml/2006/main" r="W125" t="str" s="11">
        <x:v>Даташит — производитель</x:v>
      </x:c>
      <x:c xmlns:x="http://schemas.openxmlformats.org/spreadsheetml/2006/main" r="X125" t="str" s="11">
        <x:v>https://yageogroup.com/content/datasheet/asset/file/PYU-RC_GROUP_51_ROHS_L</x:v>
      </x:c>
      <x:c xmlns:x="http://schemas.openxmlformats.org/spreadsheetml/2006/main" r="Y125" t="str" s="11">
        <x:v>C:\Users\Nomatin\Documents\Altium\MY_LIB\MY_LIB\Datasheets\YAGEO_RC_L.pdf</x:v>
      </x:c>
      <ns0:c xmlns:ns0="http://schemas.openxmlformats.org/spreadsheetml/2006/main" r="Z125" s="16" t="inlineStr">
        <ns0:is>
          <ns0:t>MY_LIB_R_TCR</ns0:t>
        </ns0:is>
      </ns0:c>
      <ns0:c xmlns:ns0="http://schemas.openxmlformats.org/spreadsheetml/2006/main" r="AA125" s="16" t="inlineStr">
        <ns0:is>
          <ns0:t>R(T), +100 ppm/C at 25 C; positive datasheet limit</ns0:t>
        </ns0:is>
      </ns0:c>
      <ns0:c xmlns:ns0="http://schemas.openxmlformats.org/spreadsheetml/2006/main" r="AB125" s="16" t="str">
        <ns0:v>General</ns0:v>
      </ns0:c>
      <ns0:c xmlns:ns0="http://schemas.openxmlformats.org/spreadsheetml/2006/main" r="AC125" s="16" t="inlineStr">
        <ns0:is>
          <ns0:t>Spice Subcircuit</ns0:t>
        </ns0:is>
      </ns0:c>
      <ns0:c xmlns:ns0="http://schemas.openxmlformats.org/spreadsheetml/2006/main" r="AD125" s="16" t="inlineStr">
        <ns0:is>
          <ns0:t>@DESIGNATOR %1 %2 @MODEL PARAMS: Rvalue=@VALUE TC1value=100u</ns0:t>
        </ns0:is>
      </ns0:c>
      <ns0:c xmlns:ns0="http://schemas.openxmlformats.org/spreadsheetml/2006/main" r="AE125" s="16" t="inlineStr">
        <ns0:is>
          <ns0:t>X</ns0:t>
        </ns0:is>
      </ns0:c>
      <ns0:c xmlns:ns0="http://schemas.openxmlformats.org/spreadsheetml/2006/main" r="AF125" s="16" t="str">
        <ns0:v>(1:1),(2:2)</ns0:v>
      </ns0:c>
      <ns0:c xmlns:ns0="http://schemas.openxmlformats.org/spreadsheetml/2006/main" r="AG125" s="16" t="inlineStr">
        <ns0:is>
          <ns0:t>Simulation\Resistors\MY_LIB_R_TCR.ckt</ns0:t>
        </ns0:is>
      </ns0:c>
      <ns0:c xmlns:ns0="http://schemas.openxmlformats.org/spreadsheetml/2006/main" r="AH125" s="16" t="inlineStr">
        <ns0:is>
          <ns0:t>±100 ppm/°C</ns0:t>
        </ns0:is>
      </ns0:c>
    </ns0:row>
    <ns0:row r="126" ht="30" customHeight="1">
      <ns0:c r="A126" t="str" s="10">
        <ns0:v>R0132</ns0:v>
      </ns0:c>
      <ns0:c r="B126" t="str" s="10">
        <ns0:v>Резистор</ns0:v>
      </ns0:c>
      <ns0:c r="C126" t="str" s="10">
        <ns0:v>130k</ns0:v>
      </ns0:c>
      <ns0:c r="D126" t="str" s="11">
        <ns0:f>SUBSTITUTE(SUBSTITUTE(SUBSTITUTE(SUBSTITUTE(C126,"meg"," МОм"),"k"," кОм"),"R"," Ом"),".",",")</ns0:f>
        <ns0:v>130 кОм</ns0:v>
      </ns0:c>
      <ns0:c r="E126" t="str" s="10">
        <ns0:v>±5%</ns0:v>
      </ns0:c>
      <ns0:c r="F126" t="str" s="10">
        <ns0:v>0,1 Вт</ns0:v>
      </ns0:c>
      <ns0:c r="G126" t="str" s="10">
        <ns0:v>75 В макс.</ns0:v>
      </ns0:c>
      <ns0:c r="H126" t="str" s="12">
        <ns0:v>0603</ns0:v>
      </ns0:c>
      <ns0:c r="I126" t="str" s="10">
        <ns0:v>YAGEO</ns0:v>
      </ns0:c>
      <ns0:c r="J126" t="str" s="10">
        <ns0:v>RC0603JR-07130KL</ns0:v>
      </ns0:c>
      <ns0:c r="K126" t="str" s="11">
        <ns0:f>B126&amp;" "&amp;D126&amp;" "&amp;E126&amp;" "&amp;H126</ns0:f>
        <ns0:v>Резистор 130 кОм ±5% 0603</ns0:v>
      </ns0:c>
      <ns0:c r="L126" t="str" s="13">
        <ns0:v>R</ns0:v>
      </ns0:c>
      <ns0:c r="M126" t="str" s="13">
        <ns0:v>Symbols\MY_LIB_Resistors.SchLib</ns0:v>
      </ns0:c>
      <ns0:c r="N126" t="str" s="13">
        <ns0:v>RESC1608X55N</ns0:v>
      </ns0:c>
      <ns0:c r="O126" t="str" s="13">
        <ns0:v>Footprints\PBL - SMD Packages.PcbLib</ns0:v>
      </ns0:c>
      <ns0:c xmlns:ns0="http://schemas.openxmlformats.org/spreadsheetml/2006/main" r="P12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6" s="10"/>
      <ns0:c r="R126" t="str" s="11">
        <ns0:f>D126</ns0:f>
        <ns0:v>130 кОм</ns0:v>
      </ns0:c>
      <ns0:c r="S126" t="str" s="11">
        <ns0:f>K126</ns0:f>
        <ns0:v>Резистор 130 кОм ±5% 0603</ns0:v>
      </ns0:c>
      <x:c xmlns:x="http://schemas.openxmlformats.org/spreadsheetml/2006/main" r="T126" t="str" s="11">
        <x:v>C:\Users\Nomatin\Documents\Altium\MY_LIB\MY_LIB\Datasheets\YAGEO_RC_L.pdf</x:v>
      </x:c>
      <x:c xmlns:x="http://schemas.openxmlformats.org/spreadsheetml/2006/main" r="U126" t="str" s="11">
        <x:v>Даташит — локальный</x:v>
      </x:c>
      <x:c xmlns:x="http://schemas.openxmlformats.org/spreadsheetml/2006/main" r="V126" t="str" s="11">
        <x:v>C:\Users\Nomatin\Documents\Altium\MY_LIB\MY_LIB\Datasheets\YAGEO_RC_L.pdf</x:v>
      </x:c>
      <x:c xmlns:x="http://schemas.openxmlformats.org/spreadsheetml/2006/main" r="W126" t="str" s="11">
        <x:v>Даташит — производитель</x:v>
      </x:c>
      <x:c xmlns:x="http://schemas.openxmlformats.org/spreadsheetml/2006/main" r="X126" t="str" s="11">
        <x:v>https://yageogroup.com/content/datasheet/asset/file/PYU-RC_GROUP_51_ROHS_L</x:v>
      </x:c>
      <x:c xmlns:x="http://schemas.openxmlformats.org/spreadsheetml/2006/main" r="Y126" t="str" s="11">
        <x:v>C:\Users\Nomatin\Documents\Altium\MY_LIB\MY_LIB\Datasheets\YAGEO_RC_L.pdf</x:v>
      </x:c>
      <ns0:c xmlns:ns0="http://schemas.openxmlformats.org/spreadsheetml/2006/main" r="Z126" s="16" t="inlineStr">
        <ns0:is>
          <ns0:t>MY_LIB_R_TCR</ns0:t>
        </ns0:is>
      </ns0:c>
      <ns0:c xmlns:ns0="http://schemas.openxmlformats.org/spreadsheetml/2006/main" r="AA126" s="16" t="inlineStr">
        <ns0:is>
          <ns0:t>R(T), +100 ppm/C at 25 C; positive datasheet limit</ns0:t>
        </ns0:is>
      </ns0:c>
      <ns0:c xmlns:ns0="http://schemas.openxmlformats.org/spreadsheetml/2006/main" r="AB126" s="16" t="str">
        <ns0:v>General</ns0:v>
      </ns0:c>
      <ns0:c xmlns:ns0="http://schemas.openxmlformats.org/spreadsheetml/2006/main" r="AC126" s="16" t="inlineStr">
        <ns0:is>
          <ns0:t>Spice Subcircuit</ns0:t>
        </ns0:is>
      </ns0:c>
      <ns0:c xmlns:ns0="http://schemas.openxmlformats.org/spreadsheetml/2006/main" r="AD126" s="16" t="inlineStr">
        <ns0:is>
          <ns0:t>@DESIGNATOR %1 %2 @MODEL PARAMS: Rvalue=@VALUE TC1value=100u</ns0:t>
        </ns0:is>
      </ns0:c>
      <ns0:c xmlns:ns0="http://schemas.openxmlformats.org/spreadsheetml/2006/main" r="AE126" s="16" t="inlineStr">
        <ns0:is>
          <ns0:t>X</ns0:t>
        </ns0:is>
      </ns0:c>
      <ns0:c xmlns:ns0="http://schemas.openxmlformats.org/spreadsheetml/2006/main" r="AF126" s="16" t="str">
        <ns0:v>(1:1),(2:2)</ns0:v>
      </ns0:c>
      <ns0:c xmlns:ns0="http://schemas.openxmlformats.org/spreadsheetml/2006/main" r="AG126" s="16" t="inlineStr">
        <ns0:is>
          <ns0:t>Simulation\Resistors\MY_LIB_R_TCR.ckt</ns0:t>
        </ns0:is>
      </ns0:c>
      <ns0:c xmlns:ns0="http://schemas.openxmlformats.org/spreadsheetml/2006/main" r="AH126" s="16" t="inlineStr">
        <ns0:is>
          <ns0:t>±100 ppm/°C</ns0:t>
        </ns0:is>
      </ns0:c>
    </ns0:row>
    <ns0:row r="127" ht="30" customHeight="1">
      <ns0:c r="A127" t="str" s="10">
        <ns0:v>R0133</ns0:v>
      </ns0:c>
      <ns0:c r="B127" t="str" s="10">
        <ns0:v>Резистор</ns0:v>
      </ns0:c>
      <ns0:c r="C127" t="str" s="10">
        <ns0:v>150k</ns0:v>
      </ns0:c>
      <ns0:c r="D127" t="str" s="11">
        <ns0:f>SUBSTITUTE(SUBSTITUTE(SUBSTITUTE(SUBSTITUTE(C127,"meg"," МОм"),"k"," кОм"),"R"," Ом"),".",",")</ns0:f>
        <ns0:v>150 кОм</ns0:v>
      </ns0:c>
      <ns0:c r="E127" t="str" s="10">
        <ns0:v>±5%</ns0:v>
      </ns0:c>
      <ns0:c r="F127" t="str" s="10">
        <ns0:v>0,1 Вт</ns0:v>
      </ns0:c>
      <ns0:c r="G127" t="str" s="10">
        <ns0:v>75 В макс.</ns0:v>
      </ns0:c>
      <ns0:c r="H127" t="str" s="12">
        <ns0:v>0603</ns0:v>
      </ns0:c>
      <ns0:c r="I127" t="str" s="10">
        <ns0:v>YAGEO</ns0:v>
      </ns0:c>
      <ns0:c r="J127" t="str" s="10">
        <ns0:v>RC0603JR-07150KL</ns0:v>
      </ns0:c>
      <ns0:c r="K127" t="str" s="11">
        <ns0:f>B127&amp;" "&amp;D127&amp;" "&amp;E127&amp;" "&amp;H127</ns0:f>
        <ns0:v>Резистор 150 кОм ±5% 0603</ns0:v>
      </ns0:c>
      <ns0:c r="L127" t="str" s="13">
        <ns0:v>R</ns0:v>
      </ns0:c>
      <ns0:c r="M127" t="str" s="13">
        <ns0:v>Symbols\MY_LIB_Resistors.SchLib</ns0:v>
      </ns0:c>
      <ns0:c r="N127" t="str" s="13">
        <ns0:v>RESC1608X55N</ns0:v>
      </ns0:c>
      <ns0:c r="O127" t="str" s="13">
        <ns0:v>Footprints\PBL - SMD Packages.PcbLib</ns0:v>
      </ns0:c>
      <ns0:c xmlns:ns0="http://schemas.openxmlformats.org/spreadsheetml/2006/main" r="P12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7" s="10"/>
      <ns0:c r="R127" t="str" s="11">
        <ns0:f>D127</ns0:f>
        <ns0:v>150 кОм</ns0:v>
      </ns0:c>
      <ns0:c r="S127" t="str" s="11">
        <ns0:f>K127</ns0:f>
        <ns0:v>Резистор 150 кОм ±5% 0603</ns0:v>
      </ns0:c>
      <x:c xmlns:x="http://schemas.openxmlformats.org/spreadsheetml/2006/main" r="T127" t="str" s="11">
        <x:v>C:\Users\Nomatin\Documents\Altium\MY_LIB\MY_LIB\Datasheets\YAGEO_RC_L.pdf</x:v>
      </x:c>
      <x:c xmlns:x="http://schemas.openxmlformats.org/spreadsheetml/2006/main" r="U127" t="str" s="11">
        <x:v>Даташит — локальный</x:v>
      </x:c>
      <x:c xmlns:x="http://schemas.openxmlformats.org/spreadsheetml/2006/main" r="V127" t="str" s="11">
        <x:v>C:\Users\Nomatin\Documents\Altium\MY_LIB\MY_LIB\Datasheets\YAGEO_RC_L.pdf</x:v>
      </x:c>
      <x:c xmlns:x="http://schemas.openxmlformats.org/spreadsheetml/2006/main" r="W127" t="str" s="11">
        <x:v>Даташит — производитель</x:v>
      </x:c>
      <x:c xmlns:x="http://schemas.openxmlformats.org/spreadsheetml/2006/main" r="X127" t="str" s="11">
        <x:v>https://yageogroup.com/content/datasheet/asset/file/PYU-RC_GROUP_51_ROHS_L</x:v>
      </x:c>
      <x:c xmlns:x="http://schemas.openxmlformats.org/spreadsheetml/2006/main" r="Y127" t="str" s="11">
        <x:v>C:\Users\Nomatin\Documents\Altium\MY_LIB\MY_LIB\Datasheets\YAGEO_RC_L.pdf</x:v>
      </x:c>
      <ns0:c xmlns:ns0="http://schemas.openxmlformats.org/spreadsheetml/2006/main" r="Z127" s="16" t="inlineStr">
        <ns0:is>
          <ns0:t>MY_LIB_R_TCR</ns0:t>
        </ns0:is>
      </ns0:c>
      <ns0:c xmlns:ns0="http://schemas.openxmlformats.org/spreadsheetml/2006/main" r="AA127" s="16" t="inlineStr">
        <ns0:is>
          <ns0:t>R(T), +100 ppm/C at 25 C; positive datasheet limit</ns0:t>
        </ns0:is>
      </ns0:c>
      <ns0:c xmlns:ns0="http://schemas.openxmlformats.org/spreadsheetml/2006/main" r="AB127" s="16" t="str">
        <ns0:v>General</ns0:v>
      </ns0:c>
      <ns0:c xmlns:ns0="http://schemas.openxmlformats.org/spreadsheetml/2006/main" r="AC127" s="16" t="inlineStr">
        <ns0:is>
          <ns0:t>Spice Subcircuit</ns0:t>
        </ns0:is>
      </ns0:c>
      <ns0:c xmlns:ns0="http://schemas.openxmlformats.org/spreadsheetml/2006/main" r="AD127" s="16" t="inlineStr">
        <ns0:is>
          <ns0:t>@DESIGNATOR %1 %2 @MODEL PARAMS: Rvalue=@VALUE TC1value=100u</ns0:t>
        </ns0:is>
      </ns0:c>
      <ns0:c xmlns:ns0="http://schemas.openxmlformats.org/spreadsheetml/2006/main" r="AE127" s="16" t="inlineStr">
        <ns0:is>
          <ns0:t>X</ns0:t>
        </ns0:is>
      </ns0:c>
      <ns0:c xmlns:ns0="http://schemas.openxmlformats.org/spreadsheetml/2006/main" r="AF127" s="16" t="str">
        <ns0:v>(1:1),(2:2)</ns0:v>
      </ns0:c>
      <ns0:c xmlns:ns0="http://schemas.openxmlformats.org/spreadsheetml/2006/main" r="AG127" s="16" t="inlineStr">
        <ns0:is>
          <ns0:t>Simulation\Resistors\MY_LIB_R_TCR.ckt</ns0:t>
        </ns0:is>
      </ns0:c>
      <ns0:c xmlns:ns0="http://schemas.openxmlformats.org/spreadsheetml/2006/main" r="AH127" s="16" t="inlineStr">
        <ns0:is>
          <ns0:t>±100 ppm/°C</ns0:t>
        </ns0:is>
      </ns0:c>
    </ns0:row>
    <ns0:row r="128" ht="30" customHeight="1">
      <ns0:c r="A128" t="str" s="10">
        <ns0:v>R0134</ns0:v>
      </ns0:c>
      <ns0:c r="B128" t="str" s="10">
        <ns0:v>Резистор</ns0:v>
      </ns0:c>
      <ns0:c r="C128" t="str" s="10">
        <ns0:v>160k</ns0:v>
      </ns0:c>
      <ns0:c r="D128" t="str" s="11">
        <ns0:f>SUBSTITUTE(SUBSTITUTE(SUBSTITUTE(SUBSTITUTE(C128,"meg"," МОм"),"k"," кОм"),"R"," Ом"),".",",")</ns0:f>
        <ns0:v>160 кОм</ns0:v>
      </ns0:c>
      <ns0:c r="E128" t="str" s="10">
        <ns0:v>±5%</ns0:v>
      </ns0:c>
      <ns0:c r="F128" t="str" s="10">
        <ns0:v>0,1 Вт</ns0:v>
      </ns0:c>
      <ns0:c r="G128" t="str" s="10">
        <ns0:v>75 В макс.</ns0:v>
      </ns0:c>
      <ns0:c r="H128" t="str" s="12">
        <ns0:v>0603</ns0:v>
      </ns0:c>
      <ns0:c r="I128" t="str" s="10">
        <ns0:v>YAGEO</ns0:v>
      </ns0:c>
      <ns0:c r="J128" t="str" s="10">
        <ns0:v>RC0603JR-07160KL</ns0:v>
      </ns0:c>
      <ns0:c r="K128" t="str" s="11">
        <ns0:f>B128&amp;" "&amp;D128&amp;" "&amp;E128&amp;" "&amp;H128</ns0:f>
        <ns0:v>Резистор 160 кОм ±5% 0603</ns0:v>
      </ns0:c>
      <ns0:c r="L128" t="str" s="13">
        <ns0:v>R</ns0:v>
      </ns0:c>
      <ns0:c r="M128" t="str" s="13">
        <ns0:v>Symbols\MY_LIB_Resistors.SchLib</ns0:v>
      </ns0:c>
      <ns0:c r="N128" t="str" s="13">
        <ns0:v>RESC1608X55N</ns0:v>
      </ns0:c>
      <ns0:c r="O128" t="str" s="13">
        <ns0:v>Footprints\PBL - SMD Packages.PcbLib</ns0:v>
      </ns0:c>
      <ns0:c xmlns:ns0="http://schemas.openxmlformats.org/spreadsheetml/2006/main" r="P12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8" s="10"/>
      <ns0:c r="R128" t="str" s="11">
        <ns0:f>D128</ns0:f>
        <ns0:v>160 кОм</ns0:v>
      </ns0:c>
      <ns0:c r="S128" t="str" s="11">
        <ns0:f>K128</ns0:f>
        <ns0:v>Резистор 160 кОм ±5% 0603</ns0:v>
      </ns0:c>
      <x:c xmlns:x="http://schemas.openxmlformats.org/spreadsheetml/2006/main" r="T128" t="str" s="11">
        <x:v>C:\Users\Nomatin\Documents\Altium\MY_LIB\MY_LIB\Datasheets\YAGEO_RC_L.pdf</x:v>
      </x:c>
      <x:c xmlns:x="http://schemas.openxmlformats.org/spreadsheetml/2006/main" r="U128" t="str" s="11">
        <x:v>Даташит — локальный</x:v>
      </x:c>
      <x:c xmlns:x="http://schemas.openxmlformats.org/spreadsheetml/2006/main" r="V128" t="str" s="11">
        <x:v>C:\Users\Nomatin\Documents\Altium\MY_LIB\MY_LIB\Datasheets\YAGEO_RC_L.pdf</x:v>
      </x:c>
      <x:c xmlns:x="http://schemas.openxmlformats.org/spreadsheetml/2006/main" r="W128" t="str" s="11">
        <x:v>Даташит — производитель</x:v>
      </x:c>
      <x:c xmlns:x="http://schemas.openxmlformats.org/spreadsheetml/2006/main" r="X128" t="str" s="11">
        <x:v>https://yageogroup.com/content/datasheet/asset/file/PYU-RC_GROUP_51_ROHS_L</x:v>
      </x:c>
      <x:c xmlns:x="http://schemas.openxmlformats.org/spreadsheetml/2006/main" r="Y128" t="str" s="11">
        <x:v>C:\Users\Nomatin\Documents\Altium\MY_LIB\MY_LIB\Datasheets\YAGEO_RC_L.pdf</x:v>
      </x:c>
      <ns0:c xmlns:ns0="http://schemas.openxmlformats.org/spreadsheetml/2006/main" r="Z128" s="16" t="inlineStr">
        <ns0:is>
          <ns0:t>MY_LIB_R_TCR</ns0:t>
        </ns0:is>
      </ns0:c>
      <ns0:c xmlns:ns0="http://schemas.openxmlformats.org/spreadsheetml/2006/main" r="AA128" s="16" t="inlineStr">
        <ns0:is>
          <ns0:t>R(T), +100 ppm/C at 25 C; positive datasheet limit</ns0:t>
        </ns0:is>
      </ns0:c>
      <ns0:c xmlns:ns0="http://schemas.openxmlformats.org/spreadsheetml/2006/main" r="AB128" s="16" t="str">
        <ns0:v>General</ns0:v>
      </ns0:c>
      <ns0:c xmlns:ns0="http://schemas.openxmlformats.org/spreadsheetml/2006/main" r="AC128" s="16" t="inlineStr">
        <ns0:is>
          <ns0:t>Spice Subcircuit</ns0:t>
        </ns0:is>
      </ns0:c>
      <ns0:c xmlns:ns0="http://schemas.openxmlformats.org/spreadsheetml/2006/main" r="AD128" s="16" t="inlineStr">
        <ns0:is>
          <ns0:t>@DESIGNATOR %1 %2 @MODEL PARAMS: Rvalue=@VALUE TC1value=100u</ns0:t>
        </ns0:is>
      </ns0:c>
      <ns0:c xmlns:ns0="http://schemas.openxmlformats.org/spreadsheetml/2006/main" r="AE128" s="16" t="inlineStr">
        <ns0:is>
          <ns0:t>X</ns0:t>
        </ns0:is>
      </ns0:c>
      <ns0:c xmlns:ns0="http://schemas.openxmlformats.org/spreadsheetml/2006/main" r="AF128" s="16" t="str">
        <ns0:v>(1:1),(2:2)</ns0:v>
      </ns0:c>
      <ns0:c xmlns:ns0="http://schemas.openxmlformats.org/spreadsheetml/2006/main" r="AG128" s="16" t="inlineStr">
        <ns0:is>
          <ns0:t>Simulation\Resistors\MY_LIB_R_TCR.ckt</ns0:t>
        </ns0:is>
      </ns0:c>
      <ns0:c xmlns:ns0="http://schemas.openxmlformats.org/spreadsheetml/2006/main" r="AH128" s="16" t="inlineStr">
        <ns0:is>
          <ns0:t>±100 ppm/°C</ns0:t>
        </ns0:is>
      </ns0:c>
    </ns0:row>
    <ns0:row r="129" ht="30" customHeight="1">
      <ns0:c r="A129" t="str" s="10">
        <ns0:v>R0135</ns0:v>
      </ns0:c>
      <ns0:c r="B129" t="str" s="10">
        <ns0:v>Резистор</ns0:v>
      </ns0:c>
      <ns0:c r="C129" t="str" s="10">
        <ns0:v>180k</ns0:v>
      </ns0:c>
      <ns0:c r="D129" t="str" s="11">
        <ns0:f>SUBSTITUTE(SUBSTITUTE(SUBSTITUTE(SUBSTITUTE(C129,"meg"," МОм"),"k"," кОм"),"R"," Ом"),".",",")</ns0:f>
        <ns0:v>180 кОм</ns0:v>
      </ns0:c>
      <ns0:c r="E129" t="str" s="10">
        <ns0:v>±5%</ns0:v>
      </ns0:c>
      <ns0:c r="F129" t="str" s="10">
        <ns0:v>0,1 Вт</ns0:v>
      </ns0:c>
      <ns0:c r="G129" t="str" s="10">
        <ns0:v>75 В макс.</ns0:v>
      </ns0:c>
      <ns0:c r="H129" t="str" s="12">
        <ns0:v>0603</ns0:v>
      </ns0:c>
      <ns0:c r="I129" t="str" s="10">
        <ns0:v>YAGEO</ns0:v>
      </ns0:c>
      <ns0:c r="J129" t="str" s="10">
        <ns0:v>RC0603JR-07180KL</ns0:v>
      </ns0:c>
      <ns0:c r="K129" t="str" s="11">
        <ns0:f>B129&amp;" "&amp;D129&amp;" "&amp;E129&amp;" "&amp;H129</ns0:f>
        <ns0:v>Резистор 180 кОм ±5% 0603</ns0:v>
      </ns0:c>
      <ns0:c r="L129" t="str" s="13">
        <ns0:v>R</ns0:v>
      </ns0:c>
      <ns0:c r="M129" t="str" s="13">
        <ns0:v>Symbols\MY_LIB_Resistors.SchLib</ns0:v>
      </ns0:c>
      <ns0:c r="N129" t="str" s="13">
        <ns0:v>RESC1608X55N</ns0:v>
      </ns0:c>
      <ns0:c r="O129" t="str" s="13">
        <ns0:v>Footprints\PBL - SMD Packages.PcbLib</ns0:v>
      </ns0:c>
      <ns0:c xmlns:ns0="http://schemas.openxmlformats.org/spreadsheetml/2006/main" r="P12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29" s="10"/>
      <ns0:c r="R129" t="str" s="11">
        <ns0:f>D129</ns0:f>
        <ns0:v>180 кОм</ns0:v>
      </ns0:c>
      <ns0:c r="S129" t="str" s="11">
        <ns0:f>K129</ns0:f>
        <ns0:v>Резистор 180 кОм ±5% 0603</ns0:v>
      </ns0:c>
      <x:c xmlns:x="http://schemas.openxmlformats.org/spreadsheetml/2006/main" r="T129" t="str" s="11">
        <x:v>C:\Users\Nomatin\Documents\Altium\MY_LIB\MY_LIB\Datasheets\YAGEO_RC_L.pdf</x:v>
      </x:c>
      <x:c xmlns:x="http://schemas.openxmlformats.org/spreadsheetml/2006/main" r="U129" t="str" s="11">
        <x:v>Даташит — локальный</x:v>
      </x:c>
      <x:c xmlns:x="http://schemas.openxmlformats.org/spreadsheetml/2006/main" r="V129" t="str" s="11">
        <x:v>C:\Users\Nomatin\Documents\Altium\MY_LIB\MY_LIB\Datasheets\YAGEO_RC_L.pdf</x:v>
      </x:c>
      <x:c xmlns:x="http://schemas.openxmlformats.org/spreadsheetml/2006/main" r="W129" t="str" s="11">
        <x:v>Даташит — производитель</x:v>
      </x:c>
      <x:c xmlns:x="http://schemas.openxmlformats.org/spreadsheetml/2006/main" r="X129" t="str" s="11">
        <x:v>https://yageogroup.com/content/datasheet/asset/file/PYU-RC_GROUP_51_ROHS_L</x:v>
      </x:c>
      <x:c xmlns:x="http://schemas.openxmlformats.org/spreadsheetml/2006/main" r="Y129" t="str" s="11">
        <x:v>C:\Users\Nomatin\Documents\Altium\MY_LIB\MY_LIB\Datasheets\YAGEO_RC_L.pdf</x:v>
      </x:c>
      <ns0:c xmlns:ns0="http://schemas.openxmlformats.org/spreadsheetml/2006/main" r="Z129" s="16" t="inlineStr">
        <ns0:is>
          <ns0:t>MY_LIB_R_TCR</ns0:t>
        </ns0:is>
      </ns0:c>
      <ns0:c xmlns:ns0="http://schemas.openxmlformats.org/spreadsheetml/2006/main" r="AA129" s="16" t="inlineStr">
        <ns0:is>
          <ns0:t>R(T), +100 ppm/C at 25 C; positive datasheet limit</ns0:t>
        </ns0:is>
      </ns0:c>
      <ns0:c xmlns:ns0="http://schemas.openxmlformats.org/spreadsheetml/2006/main" r="AB129" s="16" t="str">
        <ns0:v>General</ns0:v>
      </ns0:c>
      <ns0:c xmlns:ns0="http://schemas.openxmlformats.org/spreadsheetml/2006/main" r="AC129" s="16" t="inlineStr">
        <ns0:is>
          <ns0:t>Spice Subcircuit</ns0:t>
        </ns0:is>
      </ns0:c>
      <ns0:c xmlns:ns0="http://schemas.openxmlformats.org/spreadsheetml/2006/main" r="AD129" s="16" t="inlineStr">
        <ns0:is>
          <ns0:t>@DESIGNATOR %1 %2 @MODEL PARAMS: Rvalue=@VALUE TC1value=100u</ns0:t>
        </ns0:is>
      </ns0:c>
      <ns0:c xmlns:ns0="http://schemas.openxmlformats.org/spreadsheetml/2006/main" r="AE129" s="16" t="inlineStr">
        <ns0:is>
          <ns0:t>X</ns0:t>
        </ns0:is>
      </ns0:c>
      <ns0:c xmlns:ns0="http://schemas.openxmlformats.org/spreadsheetml/2006/main" r="AF129" s="16" t="str">
        <ns0:v>(1:1),(2:2)</ns0:v>
      </ns0:c>
      <ns0:c xmlns:ns0="http://schemas.openxmlformats.org/spreadsheetml/2006/main" r="AG129" s="16" t="inlineStr">
        <ns0:is>
          <ns0:t>Simulation\Resistors\MY_LIB_R_TCR.ckt</ns0:t>
        </ns0:is>
      </ns0:c>
      <ns0:c xmlns:ns0="http://schemas.openxmlformats.org/spreadsheetml/2006/main" r="AH129" s="16" t="inlineStr">
        <ns0:is>
          <ns0:t>±100 ppm/°C</ns0:t>
        </ns0:is>
      </ns0:c>
    </ns0:row>
    <ns0:row r="130" ht="30" customHeight="1">
      <ns0:c r="A130" t="str" s="10">
        <ns0:v>R0136</ns0:v>
      </ns0:c>
      <ns0:c r="B130" t="str" s="10">
        <ns0:v>Резистор</ns0:v>
      </ns0:c>
      <ns0:c r="C130" t="str" s="10">
        <ns0:v>200k</ns0:v>
      </ns0:c>
      <ns0:c r="D130" t="str" s="11">
        <ns0:f>SUBSTITUTE(SUBSTITUTE(SUBSTITUTE(SUBSTITUTE(C130,"meg"," МОм"),"k"," кОм"),"R"," Ом"),".",",")</ns0:f>
        <ns0:v>200 кОм</ns0:v>
      </ns0:c>
      <ns0:c r="E130" t="str" s="10">
        <ns0:v>±5%</ns0:v>
      </ns0:c>
      <ns0:c r="F130" t="str" s="10">
        <ns0:v>0,1 Вт</ns0:v>
      </ns0:c>
      <ns0:c r="G130" t="str" s="10">
        <ns0:v>75 В макс.</ns0:v>
      </ns0:c>
      <ns0:c r="H130" t="str" s="12">
        <ns0:v>0603</ns0:v>
      </ns0:c>
      <ns0:c r="I130" t="str" s="10">
        <ns0:v>YAGEO</ns0:v>
      </ns0:c>
      <ns0:c r="J130" t="str" s="10">
        <ns0:v>RC0603JR-07200KL</ns0:v>
      </ns0:c>
      <ns0:c r="K130" t="str" s="11">
        <ns0:f>B130&amp;" "&amp;D130&amp;" "&amp;E130&amp;" "&amp;H130</ns0:f>
        <ns0:v>Резистор 200 кОм ±5% 0603</ns0:v>
      </ns0:c>
      <ns0:c r="L130" t="str" s="13">
        <ns0:v>R</ns0:v>
      </ns0:c>
      <ns0:c r="M130" t="str" s="13">
        <ns0:v>Symbols\MY_LIB_Resistors.SchLib</ns0:v>
      </ns0:c>
      <ns0:c r="N130" t="str" s="13">
        <ns0:v>RESC1608X55N</ns0:v>
      </ns0:c>
      <ns0:c r="O130" t="str" s="13">
        <ns0:v>Footprints\PBL - SMD Packages.PcbLib</ns0:v>
      </ns0:c>
      <ns0:c xmlns:ns0="http://schemas.openxmlformats.org/spreadsheetml/2006/main" r="P13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0" s="10"/>
      <ns0:c r="R130" t="str" s="11">
        <ns0:f>D130</ns0:f>
        <ns0:v>200 кОм</ns0:v>
      </ns0:c>
      <ns0:c r="S130" t="str" s="11">
        <ns0:f>K130</ns0:f>
        <ns0:v>Резистор 200 кОм ±5% 0603</ns0:v>
      </ns0:c>
      <x:c xmlns:x="http://schemas.openxmlformats.org/spreadsheetml/2006/main" r="T130" t="str" s="11">
        <x:v>C:\Users\Nomatin\Documents\Altium\MY_LIB\MY_LIB\Datasheets\YAGEO_RC_L.pdf</x:v>
      </x:c>
      <x:c xmlns:x="http://schemas.openxmlformats.org/spreadsheetml/2006/main" r="U130" t="str" s="11">
        <x:v>Даташит — локальный</x:v>
      </x:c>
      <x:c xmlns:x="http://schemas.openxmlformats.org/spreadsheetml/2006/main" r="V130" t="str" s="11">
        <x:v>C:\Users\Nomatin\Documents\Altium\MY_LIB\MY_LIB\Datasheets\YAGEO_RC_L.pdf</x:v>
      </x:c>
      <x:c xmlns:x="http://schemas.openxmlformats.org/spreadsheetml/2006/main" r="W130" t="str" s="11">
        <x:v>Даташит — производитель</x:v>
      </x:c>
      <x:c xmlns:x="http://schemas.openxmlformats.org/spreadsheetml/2006/main" r="X130" t="str" s="11">
        <x:v>https://yageogroup.com/content/datasheet/asset/file/PYU-RC_GROUP_51_ROHS_L</x:v>
      </x:c>
      <x:c xmlns:x="http://schemas.openxmlformats.org/spreadsheetml/2006/main" r="Y130" t="str" s="11">
        <x:v>C:\Users\Nomatin\Documents\Altium\MY_LIB\MY_LIB\Datasheets\YAGEO_RC_L.pdf</x:v>
      </x:c>
      <ns0:c xmlns:ns0="http://schemas.openxmlformats.org/spreadsheetml/2006/main" r="Z130" s="16" t="inlineStr">
        <ns0:is>
          <ns0:t>MY_LIB_R_TCR</ns0:t>
        </ns0:is>
      </ns0:c>
      <ns0:c xmlns:ns0="http://schemas.openxmlformats.org/spreadsheetml/2006/main" r="AA130" s="16" t="inlineStr">
        <ns0:is>
          <ns0:t>R(T), +100 ppm/C at 25 C; positive datasheet limit</ns0:t>
        </ns0:is>
      </ns0:c>
      <ns0:c xmlns:ns0="http://schemas.openxmlformats.org/spreadsheetml/2006/main" r="AB130" s="16" t="str">
        <ns0:v>General</ns0:v>
      </ns0:c>
      <ns0:c xmlns:ns0="http://schemas.openxmlformats.org/spreadsheetml/2006/main" r="AC130" s="16" t="inlineStr">
        <ns0:is>
          <ns0:t>Spice Subcircuit</ns0:t>
        </ns0:is>
      </ns0:c>
      <ns0:c xmlns:ns0="http://schemas.openxmlformats.org/spreadsheetml/2006/main" r="AD130" s="16" t="inlineStr">
        <ns0:is>
          <ns0:t>@DESIGNATOR %1 %2 @MODEL PARAMS: Rvalue=@VALUE TC1value=100u</ns0:t>
        </ns0:is>
      </ns0:c>
      <ns0:c xmlns:ns0="http://schemas.openxmlformats.org/spreadsheetml/2006/main" r="AE130" s="16" t="inlineStr">
        <ns0:is>
          <ns0:t>X</ns0:t>
        </ns0:is>
      </ns0:c>
      <ns0:c xmlns:ns0="http://schemas.openxmlformats.org/spreadsheetml/2006/main" r="AF130" s="16" t="str">
        <ns0:v>(1:1),(2:2)</ns0:v>
      </ns0:c>
      <ns0:c xmlns:ns0="http://schemas.openxmlformats.org/spreadsheetml/2006/main" r="AG130" s="16" t="inlineStr">
        <ns0:is>
          <ns0:t>Simulation\Resistors\MY_LIB_R_TCR.ckt</ns0:t>
        </ns0:is>
      </ns0:c>
      <ns0:c xmlns:ns0="http://schemas.openxmlformats.org/spreadsheetml/2006/main" r="AH130" s="16" t="inlineStr">
        <ns0:is>
          <ns0:t>±100 ppm/°C</ns0:t>
        </ns0:is>
      </ns0:c>
    </ns0:row>
    <ns0:row r="131" ht="30" customHeight="1">
      <ns0:c r="A131" t="str" s="10">
        <ns0:v>R0137</ns0:v>
      </ns0:c>
      <ns0:c r="B131" t="str" s="10">
        <ns0:v>Резистор</ns0:v>
      </ns0:c>
      <ns0:c r="C131" t="str" s="10">
        <ns0:v>220k</ns0:v>
      </ns0:c>
      <ns0:c r="D131" t="str" s="11">
        <ns0:f>SUBSTITUTE(SUBSTITUTE(SUBSTITUTE(SUBSTITUTE(C131,"meg"," МОм"),"k"," кОм"),"R"," Ом"),".",",")</ns0:f>
        <ns0:v>220 кОм</ns0:v>
      </ns0:c>
      <ns0:c r="E131" t="str" s="10">
        <ns0:v>±5%</ns0:v>
      </ns0:c>
      <ns0:c r="F131" t="str" s="10">
        <ns0:v>0,1 Вт</ns0:v>
      </ns0:c>
      <ns0:c r="G131" t="str" s="10">
        <ns0:v>75 В макс.</ns0:v>
      </ns0:c>
      <ns0:c r="H131" t="str" s="12">
        <ns0:v>0603</ns0:v>
      </ns0:c>
      <ns0:c r="I131" t="str" s="10">
        <ns0:v>YAGEO</ns0:v>
      </ns0:c>
      <ns0:c r="J131" t="str" s="10">
        <ns0:v>RC0603JR-07220KL</ns0:v>
      </ns0:c>
      <ns0:c r="K131" t="str" s="11">
        <ns0:f>B131&amp;" "&amp;D131&amp;" "&amp;E131&amp;" "&amp;H131</ns0:f>
        <ns0:v>Резистор 220 кОм ±5% 0603</ns0:v>
      </ns0:c>
      <ns0:c r="L131" t="str" s="13">
        <ns0:v>R</ns0:v>
      </ns0:c>
      <ns0:c r="M131" t="str" s="13">
        <ns0:v>Symbols\MY_LIB_Resistors.SchLib</ns0:v>
      </ns0:c>
      <ns0:c r="N131" t="str" s="13">
        <ns0:v>RESC1608X55N</ns0:v>
      </ns0:c>
      <ns0:c r="O131" t="str" s="13">
        <ns0:v>Footprints\PBL - SMD Packages.PcbLib</ns0:v>
      </ns0:c>
      <ns0:c xmlns:ns0="http://schemas.openxmlformats.org/spreadsheetml/2006/main" r="P13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1" s="10"/>
      <ns0:c r="R131" t="str" s="11">
        <ns0:f>D131</ns0:f>
        <ns0:v>220 кОм</ns0:v>
      </ns0:c>
      <ns0:c r="S131" t="str" s="11">
        <ns0:f>K131</ns0:f>
        <ns0:v>Резистор 220 кОм ±5% 0603</ns0:v>
      </ns0:c>
      <x:c xmlns:x="http://schemas.openxmlformats.org/spreadsheetml/2006/main" r="T131" t="str" s="11">
        <x:v>C:\Users\Nomatin\Documents\Altium\MY_LIB\MY_LIB\Datasheets\YAGEO_RC_L.pdf</x:v>
      </x:c>
      <x:c xmlns:x="http://schemas.openxmlformats.org/spreadsheetml/2006/main" r="U131" t="str" s="11">
        <x:v>Даташит — локальный</x:v>
      </x:c>
      <x:c xmlns:x="http://schemas.openxmlformats.org/spreadsheetml/2006/main" r="V131" t="str" s="11">
        <x:v>C:\Users\Nomatin\Documents\Altium\MY_LIB\MY_LIB\Datasheets\YAGEO_RC_L.pdf</x:v>
      </x:c>
      <x:c xmlns:x="http://schemas.openxmlformats.org/spreadsheetml/2006/main" r="W131" t="str" s="11">
        <x:v>Даташит — производитель</x:v>
      </x:c>
      <x:c xmlns:x="http://schemas.openxmlformats.org/spreadsheetml/2006/main" r="X131" t="str" s="11">
        <x:v>https://yageogroup.com/content/datasheet/asset/file/PYU-RC_GROUP_51_ROHS_L</x:v>
      </x:c>
      <x:c xmlns:x="http://schemas.openxmlformats.org/spreadsheetml/2006/main" r="Y131" t="str" s="11">
        <x:v>C:\Users\Nomatin\Documents\Altium\MY_LIB\MY_LIB\Datasheets\YAGEO_RC_L.pdf</x:v>
      </x:c>
      <ns0:c xmlns:ns0="http://schemas.openxmlformats.org/spreadsheetml/2006/main" r="Z131" s="16" t="inlineStr">
        <ns0:is>
          <ns0:t>MY_LIB_R_TCR</ns0:t>
        </ns0:is>
      </ns0:c>
      <ns0:c xmlns:ns0="http://schemas.openxmlformats.org/spreadsheetml/2006/main" r="AA131" s="16" t="inlineStr">
        <ns0:is>
          <ns0:t>R(T), +100 ppm/C at 25 C; positive datasheet limit</ns0:t>
        </ns0:is>
      </ns0:c>
      <ns0:c xmlns:ns0="http://schemas.openxmlformats.org/spreadsheetml/2006/main" r="AB131" s="16" t="str">
        <ns0:v>General</ns0:v>
      </ns0:c>
      <ns0:c xmlns:ns0="http://schemas.openxmlformats.org/spreadsheetml/2006/main" r="AC131" s="16" t="inlineStr">
        <ns0:is>
          <ns0:t>Spice Subcircuit</ns0:t>
        </ns0:is>
      </ns0:c>
      <ns0:c xmlns:ns0="http://schemas.openxmlformats.org/spreadsheetml/2006/main" r="AD131" s="16" t="inlineStr">
        <ns0:is>
          <ns0:t>@DESIGNATOR %1 %2 @MODEL PARAMS: Rvalue=@VALUE TC1value=100u</ns0:t>
        </ns0:is>
      </ns0:c>
      <ns0:c xmlns:ns0="http://schemas.openxmlformats.org/spreadsheetml/2006/main" r="AE131" s="16" t="inlineStr">
        <ns0:is>
          <ns0:t>X</ns0:t>
        </ns0:is>
      </ns0:c>
      <ns0:c xmlns:ns0="http://schemas.openxmlformats.org/spreadsheetml/2006/main" r="AF131" s="16" t="str">
        <ns0:v>(1:1),(2:2)</ns0:v>
      </ns0:c>
      <ns0:c xmlns:ns0="http://schemas.openxmlformats.org/spreadsheetml/2006/main" r="AG131" s="16" t="inlineStr">
        <ns0:is>
          <ns0:t>Simulation\Resistors\MY_LIB_R_TCR.ckt</ns0:t>
        </ns0:is>
      </ns0:c>
      <ns0:c xmlns:ns0="http://schemas.openxmlformats.org/spreadsheetml/2006/main" r="AH131" s="16" t="inlineStr">
        <ns0:is>
          <ns0:t>±100 ppm/°C</ns0:t>
        </ns0:is>
      </ns0:c>
    </ns0:row>
    <ns0:row r="132" ht="30" customHeight="1">
      <ns0:c r="A132" t="str" s="10">
        <ns0:v>R0138</ns0:v>
      </ns0:c>
      <ns0:c r="B132" t="str" s="10">
        <ns0:v>Резистор</ns0:v>
      </ns0:c>
      <ns0:c r="C132" t="str" s="10">
        <ns0:v>240k</ns0:v>
      </ns0:c>
      <ns0:c r="D132" t="str" s="11">
        <ns0:f>SUBSTITUTE(SUBSTITUTE(SUBSTITUTE(SUBSTITUTE(C132,"meg"," МОм"),"k"," кОм"),"R"," Ом"),".",",")</ns0:f>
        <ns0:v>240 кОм</ns0:v>
      </ns0:c>
      <ns0:c r="E132" t="str" s="10">
        <ns0:v>±5%</ns0:v>
      </ns0:c>
      <ns0:c r="F132" t="str" s="10">
        <ns0:v>0,1 Вт</ns0:v>
      </ns0:c>
      <ns0:c r="G132" t="str" s="10">
        <ns0:v>75 В макс.</ns0:v>
      </ns0:c>
      <ns0:c r="H132" t="str" s="12">
        <ns0:v>0603</ns0:v>
      </ns0:c>
      <ns0:c r="I132" t="str" s="10">
        <ns0:v>YAGEO</ns0:v>
      </ns0:c>
      <ns0:c r="J132" t="str" s="10">
        <ns0:v>RC0603JR-07240KL</ns0:v>
      </ns0:c>
      <ns0:c r="K132" t="str" s="11">
        <ns0:f>B132&amp;" "&amp;D132&amp;" "&amp;E132&amp;" "&amp;H132</ns0:f>
        <ns0:v>Резистор 240 кОм ±5% 0603</ns0:v>
      </ns0:c>
      <ns0:c r="L132" t="str" s="13">
        <ns0:v>R</ns0:v>
      </ns0:c>
      <ns0:c r="M132" t="str" s="13">
        <ns0:v>Symbols\MY_LIB_Resistors.SchLib</ns0:v>
      </ns0:c>
      <ns0:c r="N132" t="str" s="13">
        <ns0:v>RESC1608X55N</ns0:v>
      </ns0:c>
      <ns0:c r="O132" t="str" s="13">
        <ns0:v>Footprints\PBL - SMD Packages.PcbLib</ns0:v>
      </ns0:c>
      <ns0:c xmlns:ns0="http://schemas.openxmlformats.org/spreadsheetml/2006/main" r="P13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2" s="10"/>
      <ns0:c r="R132" t="str" s="11">
        <ns0:f>D132</ns0:f>
        <ns0:v>240 кОм</ns0:v>
      </ns0:c>
      <ns0:c r="S132" t="str" s="11">
        <ns0:f>K132</ns0:f>
        <ns0:v>Резистор 240 кОм ±5% 0603</ns0:v>
      </ns0:c>
      <x:c xmlns:x="http://schemas.openxmlformats.org/spreadsheetml/2006/main" r="T132" t="str" s="11">
        <x:v>C:\Users\Nomatin\Documents\Altium\MY_LIB\MY_LIB\Datasheets\YAGEO_RC_L.pdf</x:v>
      </x:c>
      <x:c xmlns:x="http://schemas.openxmlformats.org/spreadsheetml/2006/main" r="U132" t="str" s="11">
        <x:v>Даташит — локальный</x:v>
      </x:c>
      <x:c xmlns:x="http://schemas.openxmlformats.org/spreadsheetml/2006/main" r="V132" t="str" s="11">
        <x:v>C:\Users\Nomatin\Documents\Altium\MY_LIB\MY_LIB\Datasheets\YAGEO_RC_L.pdf</x:v>
      </x:c>
      <x:c xmlns:x="http://schemas.openxmlformats.org/spreadsheetml/2006/main" r="W132" t="str" s="11">
        <x:v>Даташит — производитель</x:v>
      </x:c>
      <x:c xmlns:x="http://schemas.openxmlformats.org/spreadsheetml/2006/main" r="X132" t="str" s="11">
        <x:v>https://yageogroup.com/content/datasheet/asset/file/PYU-RC_GROUP_51_ROHS_L</x:v>
      </x:c>
      <x:c xmlns:x="http://schemas.openxmlformats.org/spreadsheetml/2006/main" r="Y132" t="str" s="11">
        <x:v>C:\Users\Nomatin\Documents\Altium\MY_LIB\MY_LIB\Datasheets\YAGEO_RC_L.pdf</x:v>
      </x:c>
      <ns0:c xmlns:ns0="http://schemas.openxmlformats.org/spreadsheetml/2006/main" r="Z132" s="16" t="inlineStr">
        <ns0:is>
          <ns0:t>MY_LIB_R_TCR</ns0:t>
        </ns0:is>
      </ns0:c>
      <ns0:c xmlns:ns0="http://schemas.openxmlformats.org/spreadsheetml/2006/main" r="AA132" s="16" t="inlineStr">
        <ns0:is>
          <ns0:t>R(T), +100 ppm/C at 25 C; positive datasheet limit</ns0:t>
        </ns0:is>
      </ns0:c>
      <ns0:c xmlns:ns0="http://schemas.openxmlformats.org/spreadsheetml/2006/main" r="AB132" s="16" t="str">
        <ns0:v>General</ns0:v>
      </ns0:c>
      <ns0:c xmlns:ns0="http://schemas.openxmlformats.org/spreadsheetml/2006/main" r="AC132" s="16" t="inlineStr">
        <ns0:is>
          <ns0:t>Spice Subcircuit</ns0:t>
        </ns0:is>
      </ns0:c>
      <ns0:c xmlns:ns0="http://schemas.openxmlformats.org/spreadsheetml/2006/main" r="AD132" s="16" t="inlineStr">
        <ns0:is>
          <ns0:t>@DESIGNATOR %1 %2 @MODEL PARAMS: Rvalue=@VALUE TC1value=100u</ns0:t>
        </ns0:is>
      </ns0:c>
      <ns0:c xmlns:ns0="http://schemas.openxmlformats.org/spreadsheetml/2006/main" r="AE132" s="16" t="inlineStr">
        <ns0:is>
          <ns0:t>X</ns0:t>
        </ns0:is>
      </ns0:c>
      <ns0:c xmlns:ns0="http://schemas.openxmlformats.org/spreadsheetml/2006/main" r="AF132" s="16" t="str">
        <ns0:v>(1:1),(2:2)</ns0:v>
      </ns0:c>
      <ns0:c xmlns:ns0="http://schemas.openxmlformats.org/spreadsheetml/2006/main" r="AG132" s="16" t="inlineStr">
        <ns0:is>
          <ns0:t>Simulation\Resistors\MY_LIB_R_TCR.ckt</ns0:t>
        </ns0:is>
      </ns0:c>
      <ns0:c xmlns:ns0="http://schemas.openxmlformats.org/spreadsheetml/2006/main" r="AH132" s="16" t="inlineStr">
        <ns0:is>
          <ns0:t>±100 ppm/°C</ns0:t>
        </ns0:is>
      </ns0:c>
    </ns0:row>
    <ns0:row r="133" ht="30" customHeight="1">
      <ns0:c r="A133" t="str" s="10">
        <ns0:v>R0139</ns0:v>
      </ns0:c>
      <ns0:c r="B133" t="str" s="10">
        <ns0:v>Резистор</ns0:v>
      </ns0:c>
      <ns0:c r="C133" t="str" s="10">
        <ns0:v>270k</ns0:v>
      </ns0:c>
      <ns0:c r="D133" t="str" s="11">
        <ns0:f>SUBSTITUTE(SUBSTITUTE(SUBSTITUTE(SUBSTITUTE(C133,"meg"," МОм"),"k"," кОм"),"R"," Ом"),".",",")</ns0:f>
        <ns0:v>270 кОм</ns0:v>
      </ns0:c>
      <ns0:c r="E133" t="str" s="10">
        <ns0:v>±5%</ns0:v>
      </ns0:c>
      <ns0:c r="F133" t="str" s="10">
        <ns0:v>0,1 Вт</ns0:v>
      </ns0:c>
      <ns0:c r="G133" t="str" s="10">
        <ns0:v>75 В макс.</ns0:v>
      </ns0:c>
      <ns0:c r="H133" t="str" s="12">
        <ns0:v>0603</ns0:v>
      </ns0:c>
      <ns0:c r="I133" t="str" s="10">
        <ns0:v>YAGEO</ns0:v>
      </ns0:c>
      <ns0:c r="J133" t="str" s="10">
        <ns0:v>RC0603JR-07270KL</ns0:v>
      </ns0:c>
      <ns0:c r="K133" t="str" s="11">
        <ns0:f>B133&amp;" "&amp;D133&amp;" "&amp;E133&amp;" "&amp;H133</ns0:f>
        <ns0:v>Резистор 270 кОм ±5% 0603</ns0:v>
      </ns0:c>
      <ns0:c r="L133" t="str" s="13">
        <ns0:v>R</ns0:v>
      </ns0:c>
      <ns0:c r="M133" t="str" s="13">
        <ns0:v>Symbols\MY_LIB_Resistors.SchLib</ns0:v>
      </ns0:c>
      <ns0:c r="N133" t="str" s="13">
        <ns0:v>RESC1608X55N</ns0:v>
      </ns0:c>
      <ns0:c r="O133" t="str" s="13">
        <ns0:v>Footprints\PBL - SMD Packages.PcbLib</ns0:v>
      </ns0:c>
      <ns0:c xmlns:ns0="http://schemas.openxmlformats.org/spreadsheetml/2006/main" r="P13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3" s="10"/>
      <ns0:c r="R133" t="str" s="11">
        <ns0:f>D133</ns0:f>
        <ns0:v>270 кОм</ns0:v>
      </ns0:c>
      <ns0:c r="S133" t="str" s="11">
        <ns0:f>K133</ns0:f>
        <ns0:v>Резистор 270 кОм ±5% 0603</ns0:v>
      </ns0:c>
      <x:c xmlns:x="http://schemas.openxmlformats.org/spreadsheetml/2006/main" r="T133" t="str" s="11">
        <x:v>C:\Users\Nomatin\Documents\Altium\MY_LIB\MY_LIB\Datasheets\YAGEO_RC_L.pdf</x:v>
      </x:c>
      <x:c xmlns:x="http://schemas.openxmlformats.org/spreadsheetml/2006/main" r="U133" t="str" s="11">
        <x:v>Даташит — локальный</x:v>
      </x:c>
      <x:c xmlns:x="http://schemas.openxmlformats.org/spreadsheetml/2006/main" r="V133" t="str" s="11">
        <x:v>C:\Users\Nomatin\Documents\Altium\MY_LIB\MY_LIB\Datasheets\YAGEO_RC_L.pdf</x:v>
      </x:c>
      <x:c xmlns:x="http://schemas.openxmlformats.org/spreadsheetml/2006/main" r="W133" t="str" s="11">
        <x:v>Даташит — производитель</x:v>
      </x:c>
      <x:c xmlns:x="http://schemas.openxmlformats.org/spreadsheetml/2006/main" r="X133" t="str" s="11">
        <x:v>https://yageogroup.com/content/datasheet/asset/file/PYU-RC_GROUP_51_ROHS_L</x:v>
      </x:c>
      <x:c xmlns:x="http://schemas.openxmlformats.org/spreadsheetml/2006/main" r="Y133" t="str" s="11">
        <x:v>C:\Users\Nomatin\Documents\Altium\MY_LIB\MY_LIB\Datasheets\YAGEO_RC_L.pdf</x:v>
      </x:c>
      <ns0:c xmlns:ns0="http://schemas.openxmlformats.org/spreadsheetml/2006/main" r="Z133" s="16" t="inlineStr">
        <ns0:is>
          <ns0:t>MY_LIB_R_TCR</ns0:t>
        </ns0:is>
      </ns0:c>
      <ns0:c xmlns:ns0="http://schemas.openxmlformats.org/spreadsheetml/2006/main" r="AA133" s="16" t="inlineStr">
        <ns0:is>
          <ns0:t>R(T), +100 ppm/C at 25 C; positive datasheet limit</ns0:t>
        </ns0:is>
      </ns0:c>
      <ns0:c xmlns:ns0="http://schemas.openxmlformats.org/spreadsheetml/2006/main" r="AB133" s="16" t="str">
        <ns0:v>General</ns0:v>
      </ns0:c>
      <ns0:c xmlns:ns0="http://schemas.openxmlformats.org/spreadsheetml/2006/main" r="AC133" s="16" t="inlineStr">
        <ns0:is>
          <ns0:t>Spice Subcircuit</ns0:t>
        </ns0:is>
      </ns0:c>
      <ns0:c xmlns:ns0="http://schemas.openxmlformats.org/spreadsheetml/2006/main" r="AD133" s="16" t="inlineStr">
        <ns0:is>
          <ns0:t>@DESIGNATOR %1 %2 @MODEL PARAMS: Rvalue=@VALUE TC1value=100u</ns0:t>
        </ns0:is>
      </ns0:c>
      <ns0:c xmlns:ns0="http://schemas.openxmlformats.org/spreadsheetml/2006/main" r="AE133" s="16" t="inlineStr">
        <ns0:is>
          <ns0:t>X</ns0:t>
        </ns0:is>
      </ns0:c>
      <ns0:c xmlns:ns0="http://schemas.openxmlformats.org/spreadsheetml/2006/main" r="AF133" s="16" t="str">
        <ns0:v>(1:1),(2:2)</ns0:v>
      </ns0:c>
      <ns0:c xmlns:ns0="http://schemas.openxmlformats.org/spreadsheetml/2006/main" r="AG133" s="16" t="inlineStr">
        <ns0:is>
          <ns0:t>Simulation\Resistors\MY_LIB_R_TCR.ckt</ns0:t>
        </ns0:is>
      </ns0:c>
      <ns0:c xmlns:ns0="http://schemas.openxmlformats.org/spreadsheetml/2006/main" r="AH133" s="16" t="inlineStr">
        <ns0:is>
          <ns0:t>±100 ppm/°C</ns0:t>
        </ns0:is>
      </ns0:c>
    </ns0:row>
    <ns0:row r="134" ht="30" customHeight="1">
      <ns0:c r="A134" t="str" s="10">
        <ns0:v>R0140</ns0:v>
      </ns0:c>
      <ns0:c r="B134" t="str" s="10">
        <ns0:v>Резистор</ns0:v>
      </ns0:c>
      <ns0:c r="C134" t="str" s="10">
        <ns0:v>300k</ns0:v>
      </ns0:c>
      <ns0:c r="D134" t="str" s="11">
        <ns0:f>SUBSTITUTE(SUBSTITUTE(SUBSTITUTE(SUBSTITUTE(C134,"meg"," МОм"),"k"," кОм"),"R"," Ом"),".",",")</ns0:f>
        <ns0:v>300 кОм</ns0:v>
      </ns0:c>
      <ns0:c r="E134" t="str" s="10">
        <ns0:v>±5%</ns0:v>
      </ns0:c>
      <ns0:c r="F134" t="str" s="10">
        <ns0:v>0,1 Вт</ns0:v>
      </ns0:c>
      <ns0:c r="G134" t="str" s="10">
        <ns0:v>75 В макс.</ns0:v>
      </ns0:c>
      <ns0:c r="H134" t="str" s="12">
        <ns0:v>0603</ns0:v>
      </ns0:c>
      <ns0:c r="I134" t="str" s="10">
        <ns0:v>YAGEO</ns0:v>
      </ns0:c>
      <ns0:c r="J134" t="str" s="10">
        <ns0:v>RC0603JR-07300KL</ns0:v>
      </ns0:c>
      <ns0:c r="K134" t="str" s="11">
        <ns0:f>B134&amp;" "&amp;D134&amp;" "&amp;E134&amp;" "&amp;H134</ns0:f>
        <ns0:v>Резистор 300 кОм ±5% 0603</ns0:v>
      </ns0:c>
      <ns0:c r="L134" t="str" s="13">
        <ns0:v>R</ns0:v>
      </ns0:c>
      <ns0:c r="M134" t="str" s="13">
        <ns0:v>Symbols\MY_LIB_Resistors.SchLib</ns0:v>
      </ns0:c>
      <ns0:c r="N134" t="str" s="13">
        <ns0:v>RESC1608X55N</ns0:v>
      </ns0:c>
      <ns0:c r="O134" t="str" s="13">
        <ns0:v>Footprints\PBL - SMD Packages.PcbLib</ns0:v>
      </ns0:c>
      <ns0:c xmlns:ns0="http://schemas.openxmlformats.org/spreadsheetml/2006/main" r="P13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4" s="10"/>
      <ns0:c r="R134" t="str" s="11">
        <ns0:f>D134</ns0:f>
        <ns0:v>300 кОм</ns0:v>
      </ns0:c>
      <ns0:c r="S134" t="str" s="11">
        <ns0:f>K134</ns0:f>
        <ns0:v>Резистор 300 кОм ±5% 0603</ns0:v>
      </ns0:c>
      <x:c xmlns:x="http://schemas.openxmlformats.org/spreadsheetml/2006/main" r="T134" t="str" s="11">
        <x:v>C:\Users\Nomatin\Documents\Altium\MY_LIB\MY_LIB\Datasheets\YAGEO_RC_L.pdf</x:v>
      </x:c>
      <x:c xmlns:x="http://schemas.openxmlformats.org/spreadsheetml/2006/main" r="U134" t="str" s="11">
        <x:v>Даташит — локальный</x:v>
      </x:c>
      <x:c xmlns:x="http://schemas.openxmlformats.org/spreadsheetml/2006/main" r="V134" t="str" s="11">
        <x:v>C:\Users\Nomatin\Documents\Altium\MY_LIB\MY_LIB\Datasheets\YAGEO_RC_L.pdf</x:v>
      </x:c>
      <x:c xmlns:x="http://schemas.openxmlformats.org/spreadsheetml/2006/main" r="W134" t="str" s="11">
        <x:v>Даташит — производитель</x:v>
      </x:c>
      <x:c xmlns:x="http://schemas.openxmlformats.org/spreadsheetml/2006/main" r="X134" t="str" s="11">
        <x:v>https://yageogroup.com/content/datasheet/asset/file/PYU-RC_GROUP_51_ROHS_L</x:v>
      </x:c>
      <x:c xmlns:x="http://schemas.openxmlformats.org/spreadsheetml/2006/main" r="Y134" t="str" s="11">
        <x:v>C:\Users\Nomatin\Documents\Altium\MY_LIB\MY_LIB\Datasheets\YAGEO_RC_L.pdf</x:v>
      </x:c>
      <ns0:c xmlns:ns0="http://schemas.openxmlformats.org/spreadsheetml/2006/main" r="Z134" s="16" t="inlineStr">
        <ns0:is>
          <ns0:t>MY_LIB_R_TCR</ns0:t>
        </ns0:is>
      </ns0:c>
      <ns0:c xmlns:ns0="http://schemas.openxmlformats.org/spreadsheetml/2006/main" r="AA134" s="16" t="inlineStr">
        <ns0:is>
          <ns0:t>R(T), +100 ppm/C at 25 C; positive datasheet limit</ns0:t>
        </ns0:is>
      </ns0:c>
      <ns0:c xmlns:ns0="http://schemas.openxmlformats.org/spreadsheetml/2006/main" r="AB134" s="16" t="str">
        <ns0:v>General</ns0:v>
      </ns0:c>
      <ns0:c xmlns:ns0="http://schemas.openxmlformats.org/spreadsheetml/2006/main" r="AC134" s="16" t="inlineStr">
        <ns0:is>
          <ns0:t>Spice Subcircuit</ns0:t>
        </ns0:is>
      </ns0:c>
      <ns0:c xmlns:ns0="http://schemas.openxmlformats.org/spreadsheetml/2006/main" r="AD134" s="16" t="inlineStr">
        <ns0:is>
          <ns0:t>@DESIGNATOR %1 %2 @MODEL PARAMS: Rvalue=@VALUE TC1value=100u</ns0:t>
        </ns0:is>
      </ns0:c>
      <ns0:c xmlns:ns0="http://schemas.openxmlformats.org/spreadsheetml/2006/main" r="AE134" s="16" t="inlineStr">
        <ns0:is>
          <ns0:t>X</ns0:t>
        </ns0:is>
      </ns0:c>
      <ns0:c xmlns:ns0="http://schemas.openxmlformats.org/spreadsheetml/2006/main" r="AF134" s="16" t="str">
        <ns0:v>(1:1),(2:2)</ns0:v>
      </ns0:c>
      <ns0:c xmlns:ns0="http://schemas.openxmlformats.org/spreadsheetml/2006/main" r="AG134" s="16" t="inlineStr">
        <ns0:is>
          <ns0:t>Simulation\Resistors\MY_LIB_R_TCR.ckt</ns0:t>
        </ns0:is>
      </ns0:c>
      <ns0:c xmlns:ns0="http://schemas.openxmlformats.org/spreadsheetml/2006/main" r="AH134" s="16" t="inlineStr">
        <ns0:is>
          <ns0:t>±100 ppm/°C</ns0:t>
        </ns0:is>
      </ns0:c>
    </ns0:row>
    <ns0:row r="135" ht="30" customHeight="1">
      <ns0:c r="A135" t="str" s="10">
        <ns0:v>R0141</ns0:v>
      </ns0:c>
      <ns0:c r="B135" t="str" s="10">
        <ns0:v>Резистор</ns0:v>
      </ns0:c>
      <ns0:c r="C135" t="str" s="10">
        <ns0:v>330k</ns0:v>
      </ns0:c>
      <ns0:c r="D135" t="str" s="11">
        <ns0:f>SUBSTITUTE(SUBSTITUTE(SUBSTITUTE(SUBSTITUTE(C135,"meg"," МОм"),"k"," кОм"),"R"," Ом"),".",",")</ns0:f>
        <ns0:v>330 кОм</ns0:v>
      </ns0:c>
      <ns0:c r="E135" t="str" s="10">
        <ns0:v>±5%</ns0:v>
      </ns0:c>
      <ns0:c r="F135" t="str" s="10">
        <ns0:v>0,1 Вт</ns0:v>
      </ns0:c>
      <ns0:c r="G135" t="str" s="10">
        <ns0:v>75 В макс.</ns0:v>
      </ns0:c>
      <ns0:c r="H135" t="str" s="12">
        <ns0:v>0603</ns0:v>
      </ns0:c>
      <ns0:c r="I135" t="str" s="10">
        <ns0:v>YAGEO</ns0:v>
      </ns0:c>
      <ns0:c r="J135" t="str" s="10">
        <ns0:v>RC0603JR-07330KL</ns0:v>
      </ns0:c>
      <ns0:c r="K135" t="str" s="11">
        <ns0:f>B135&amp;" "&amp;D135&amp;" "&amp;E135&amp;" "&amp;H135</ns0:f>
        <ns0:v>Резистор 330 кОм ±5% 0603</ns0:v>
      </ns0:c>
      <ns0:c r="L135" t="str" s="13">
        <ns0:v>R</ns0:v>
      </ns0:c>
      <ns0:c r="M135" t="str" s="13">
        <ns0:v>Symbols\MY_LIB_Resistors.SchLib</ns0:v>
      </ns0:c>
      <ns0:c r="N135" t="str" s="13">
        <ns0:v>RESC1608X55N</ns0:v>
      </ns0:c>
      <ns0:c r="O135" t="str" s="13">
        <ns0:v>Footprints\PBL - SMD Packages.PcbLib</ns0:v>
      </ns0:c>
      <ns0:c xmlns:ns0="http://schemas.openxmlformats.org/spreadsheetml/2006/main" r="P13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5" s="10"/>
      <ns0:c r="R135" t="str" s="11">
        <ns0:f>D135</ns0:f>
        <ns0:v>330 кОм</ns0:v>
      </ns0:c>
      <ns0:c r="S135" t="str" s="11">
        <ns0:f>K135</ns0:f>
        <ns0:v>Резистор 330 кОм ±5% 0603</ns0:v>
      </ns0:c>
      <x:c xmlns:x="http://schemas.openxmlformats.org/spreadsheetml/2006/main" r="T135" t="str" s="11">
        <x:v>C:\Users\Nomatin\Documents\Altium\MY_LIB\MY_LIB\Datasheets\YAGEO_RC_L.pdf</x:v>
      </x:c>
      <x:c xmlns:x="http://schemas.openxmlformats.org/spreadsheetml/2006/main" r="U135" t="str" s="11">
        <x:v>Даташит — локальный</x:v>
      </x:c>
      <x:c xmlns:x="http://schemas.openxmlformats.org/spreadsheetml/2006/main" r="V135" t="str" s="11">
        <x:v>C:\Users\Nomatin\Documents\Altium\MY_LIB\MY_LIB\Datasheets\YAGEO_RC_L.pdf</x:v>
      </x:c>
      <x:c xmlns:x="http://schemas.openxmlformats.org/spreadsheetml/2006/main" r="W135" t="str" s="11">
        <x:v>Даташит — производитель</x:v>
      </x:c>
      <x:c xmlns:x="http://schemas.openxmlformats.org/spreadsheetml/2006/main" r="X135" t="str" s="11">
        <x:v>https://yageogroup.com/content/datasheet/asset/file/PYU-RC_GROUP_51_ROHS_L</x:v>
      </x:c>
      <x:c xmlns:x="http://schemas.openxmlformats.org/spreadsheetml/2006/main" r="Y135" t="str" s="11">
        <x:v>C:\Users\Nomatin\Documents\Altium\MY_LIB\MY_LIB\Datasheets\YAGEO_RC_L.pdf</x:v>
      </x:c>
      <ns0:c xmlns:ns0="http://schemas.openxmlformats.org/spreadsheetml/2006/main" r="Z135" s="16" t="inlineStr">
        <ns0:is>
          <ns0:t>MY_LIB_R_TCR</ns0:t>
        </ns0:is>
      </ns0:c>
      <ns0:c xmlns:ns0="http://schemas.openxmlformats.org/spreadsheetml/2006/main" r="AA135" s="16" t="inlineStr">
        <ns0:is>
          <ns0:t>R(T), +100 ppm/C at 25 C; positive datasheet limit</ns0:t>
        </ns0:is>
      </ns0:c>
      <ns0:c xmlns:ns0="http://schemas.openxmlformats.org/spreadsheetml/2006/main" r="AB135" s="16" t="str">
        <ns0:v>General</ns0:v>
      </ns0:c>
      <ns0:c xmlns:ns0="http://schemas.openxmlformats.org/spreadsheetml/2006/main" r="AC135" s="16" t="inlineStr">
        <ns0:is>
          <ns0:t>Spice Subcircuit</ns0:t>
        </ns0:is>
      </ns0:c>
      <ns0:c xmlns:ns0="http://schemas.openxmlformats.org/spreadsheetml/2006/main" r="AD135" s="16" t="inlineStr">
        <ns0:is>
          <ns0:t>@DESIGNATOR %1 %2 @MODEL PARAMS: Rvalue=@VALUE TC1value=100u</ns0:t>
        </ns0:is>
      </ns0:c>
      <ns0:c xmlns:ns0="http://schemas.openxmlformats.org/spreadsheetml/2006/main" r="AE135" s="16" t="inlineStr">
        <ns0:is>
          <ns0:t>X</ns0:t>
        </ns0:is>
      </ns0:c>
      <ns0:c xmlns:ns0="http://schemas.openxmlformats.org/spreadsheetml/2006/main" r="AF135" s="16" t="str">
        <ns0:v>(1:1),(2:2)</ns0:v>
      </ns0:c>
      <ns0:c xmlns:ns0="http://schemas.openxmlformats.org/spreadsheetml/2006/main" r="AG135" s="16" t="inlineStr">
        <ns0:is>
          <ns0:t>Simulation\Resistors\MY_LIB_R_TCR.ckt</ns0:t>
        </ns0:is>
      </ns0:c>
      <ns0:c xmlns:ns0="http://schemas.openxmlformats.org/spreadsheetml/2006/main" r="AH135" s="16" t="inlineStr">
        <ns0:is>
          <ns0:t>±100 ppm/°C</ns0:t>
        </ns0:is>
      </ns0:c>
    </ns0:row>
    <ns0:row r="136" ht="30" customHeight="1">
      <ns0:c r="A136" t="str" s="10">
        <ns0:v>R0142</ns0:v>
      </ns0:c>
      <ns0:c r="B136" t="str" s="10">
        <ns0:v>Резистор</ns0:v>
      </ns0:c>
      <ns0:c r="C136" t="str" s="10">
        <ns0:v>360k</ns0:v>
      </ns0:c>
      <ns0:c r="D136" t="str" s="11">
        <ns0:f>SUBSTITUTE(SUBSTITUTE(SUBSTITUTE(SUBSTITUTE(C136,"meg"," МОм"),"k"," кОм"),"R"," Ом"),".",",")</ns0:f>
        <ns0:v>360 кОм</ns0:v>
      </ns0:c>
      <ns0:c r="E136" t="str" s="10">
        <ns0:v>±5%</ns0:v>
      </ns0:c>
      <ns0:c r="F136" t="str" s="10">
        <ns0:v>0,1 Вт</ns0:v>
      </ns0:c>
      <ns0:c r="G136" t="str" s="10">
        <ns0:v>75 В макс.</ns0:v>
      </ns0:c>
      <ns0:c r="H136" t="str" s="12">
        <ns0:v>0603</ns0:v>
      </ns0:c>
      <ns0:c r="I136" t="str" s="10">
        <ns0:v>YAGEO</ns0:v>
      </ns0:c>
      <ns0:c r="J136" t="str" s="10">
        <ns0:v>RC0603JR-07360KL</ns0:v>
      </ns0:c>
      <ns0:c r="K136" t="str" s="11">
        <ns0:f>B136&amp;" "&amp;D136&amp;" "&amp;E136&amp;" "&amp;H136</ns0:f>
        <ns0:v>Резистор 360 кОм ±5% 0603</ns0:v>
      </ns0:c>
      <ns0:c r="L136" t="str" s="13">
        <ns0:v>R</ns0:v>
      </ns0:c>
      <ns0:c r="M136" t="str" s="13">
        <ns0:v>Symbols\MY_LIB_Resistors.SchLib</ns0:v>
      </ns0:c>
      <ns0:c r="N136" t="str" s="13">
        <ns0:v>RESC1608X55N</ns0:v>
      </ns0:c>
      <ns0:c r="O136" t="str" s="13">
        <ns0:v>Footprints\PBL - SMD Packages.PcbLib</ns0:v>
      </ns0:c>
      <ns0:c xmlns:ns0="http://schemas.openxmlformats.org/spreadsheetml/2006/main" r="P13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6" s="10"/>
      <ns0:c r="R136" t="str" s="11">
        <ns0:f>D136</ns0:f>
        <ns0:v>360 кОм</ns0:v>
      </ns0:c>
      <ns0:c r="S136" t="str" s="11">
        <ns0:f>K136</ns0:f>
        <ns0:v>Резистор 360 кОм ±5% 0603</ns0:v>
      </ns0:c>
      <x:c xmlns:x="http://schemas.openxmlformats.org/spreadsheetml/2006/main" r="T136" t="str" s="11">
        <x:v>C:\Users\Nomatin\Documents\Altium\MY_LIB\MY_LIB\Datasheets\YAGEO_RC_L.pdf</x:v>
      </x:c>
      <x:c xmlns:x="http://schemas.openxmlformats.org/spreadsheetml/2006/main" r="U136" t="str" s="11">
        <x:v>Даташит — локальный</x:v>
      </x:c>
      <x:c xmlns:x="http://schemas.openxmlformats.org/spreadsheetml/2006/main" r="V136" t="str" s="11">
        <x:v>C:\Users\Nomatin\Documents\Altium\MY_LIB\MY_LIB\Datasheets\YAGEO_RC_L.pdf</x:v>
      </x:c>
      <x:c xmlns:x="http://schemas.openxmlformats.org/spreadsheetml/2006/main" r="W136" t="str" s="11">
        <x:v>Даташит — производитель</x:v>
      </x:c>
      <x:c xmlns:x="http://schemas.openxmlformats.org/spreadsheetml/2006/main" r="X136" t="str" s="11">
        <x:v>https://yageogroup.com/content/datasheet/asset/file/PYU-RC_GROUP_51_ROHS_L</x:v>
      </x:c>
      <x:c xmlns:x="http://schemas.openxmlformats.org/spreadsheetml/2006/main" r="Y136" t="str" s="11">
        <x:v>C:\Users\Nomatin\Documents\Altium\MY_LIB\MY_LIB\Datasheets\YAGEO_RC_L.pdf</x:v>
      </x:c>
      <ns0:c xmlns:ns0="http://schemas.openxmlformats.org/spreadsheetml/2006/main" r="Z136" s="16" t="inlineStr">
        <ns0:is>
          <ns0:t>MY_LIB_R_TCR</ns0:t>
        </ns0:is>
      </ns0:c>
      <ns0:c xmlns:ns0="http://schemas.openxmlformats.org/spreadsheetml/2006/main" r="AA136" s="16" t="inlineStr">
        <ns0:is>
          <ns0:t>R(T), +100 ppm/C at 25 C; positive datasheet limit</ns0:t>
        </ns0:is>
      </ns0:c>
      <ns0:c xmlns:ns0="http://schemas.openxmlformats.org/spreadsheetml/2006/main" r="AB136" s="16" t="str">
        <ns0:v>General</ns0:v>
      </ns0:c>
      <ns0:c xmlns:ns0="http://schemas.openxmlformats.org/spreadsheetml/2006/main" r="AC136" s="16" t="inlineStr">
        <ns0:is>
          <ns0:t>Spice Subcircuit</ns0:t>
        </ns0:is>
      </ns0:c>
      <ns0:c xmlns:ns0="http://schemas.openxmlformats.org/spreadsheetml/2006/main" r="AD136" s="16" t="inlineStr">
        <ns0:is>
          <ns0:t>@DESIGNATOR %1 %2 @MODEL PARAMS: Rvalue=@VALUE TC1value=100u</ns0:t>
        </ns0:is>
      </ns0:c>
      <ns0:c xmlns:ns0="http://schemas.openxmlformats.org/spreadsheetml/2006/main" r="AE136" s="16" t="inlineStr">
        <ns0:is>
          <ns0:t>X</ns0:t>
        </ns0:is>
      </ns0:c>
      <ns0:c xmlns:ns0="http://schemas.openxmlformats.org/spreadsheetml/2006/main" r="AF136" s="16" t="str">
        <ns0:v>(1:1),(2:2)</ns0:v>
      </ns0:c>
      <ns0:c xmlns:ns0="http://schemas.openxmlformats.org/spreadsheetml/2006/main" r="AG136" s="16" t="inlineStr">
        <ns0:is>
          <ns0:t>Simulation\Resistors\MY_LIB_R_TCR.ckt</ns0:t>
        </ns0:is>
      </ns0:c>
      <ns0:c xmlns:ns0="http://schemas.openxmlformats.org/spreadsheetml/2006/main" r="AH136" s="16" t="inlineStr">
        <ns0:is>
          <ns0:t>±100 ppm/°C</ns0:t>
        </ns0:is>
      </ns0:c>
    </ns0:row>
    <ns0:row r="137" ht="30" customHeight="1">
      <ns0:c r="A137" t="str" s="10">
        <ns0:v>R0143</ns0:v>
      </ns0:c>
      <ns0:c r="B137" t="str" s="10">
        <ns0:v>Резистор</ns0:v>
      </ns0:c>
      <ns0:c r="C137" t="str" s="10">
        <ns0:v>390k</ns0:v>
      </ns0:c>
      <ns0:c r="D137" t="str" s="11">
        <ns0:f>SUBSTITUTE(SUBSTITUTE(SUBSTITUTE(SUBSTITUTE(C137,"meg"," МОм"),"k"," кОм"),"R"," Ом"),".",",")</ns0:f>
        <ns0:v>390 кОм</ns0:v>
      </ns0:c>
      <ns0:c r="E137" t="str" s="10">
        <ns0:v>±5%</ns0:v>
      </ns0:c>
      <ns0:c r="F137" t="str" s="10">
        <ns0:v>0,1 Вт</ns0:v>
      </ns0:c>
      <ns0:c r="G137" t="str" s="10">
        <ns0:v>75 В макс.</ns0:v>
      </ns0:c>
      <ns0:c r="H137" t="str" s="12">
        <ns0:v>0603</ns0:v>
      </ns0:c>
      <ns0:c r="I137" t="str" s="10">
        <ns0:v>YAGEO</ns0:v>
      </ns0:c>
      <ns0:c r="J137" t="str" s="10">
        <ns0:v>RC0603JR-07390KL</ns0:v>
      </ns0:c>
      <ns0:c r="K137" t="str" s="11">
        <ns0:f>B137&amp;" "&amp;D137&amp;" "&amp;E137&amp;" "&amp;H137</ns0:f>
        <ns0:v>Резистор 390 кОм ±5% 0603</ns0:v>
      </ns0:c>
      <ns0:c r="L137" t="str" s="13">
        <ns0:v>R</ns0:v>
      </ns0:c>
      <ns0:c r="M137" t="str" s="13">
        <ns0:v>Symbols\MY_LIB_Resistors.SchLib</ns0:v>
      </ns0:c>
      <ns0:c r="N137" t="str" s="13">
        <ns0:v>RESC1608X55N</ns0:v>
      </ns0:c>
      <ns0:c r="O137" t="str" s="13">
        <ns0:v>Footprints\PBL - SMD Packages.PcbLib</ns0:v>
      </ns0:c>
      <ns0:c xmlns:ns0="http://schemas.openxmlformats.org/spreadsheetml/2006/main" r="P13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7" s="10"/>
      <ns0:c r="R137" t="str" s="11">
        <ns0:f>D137</ns0:f>
        <ns0:v>390 кОм</ns0:v>
      </ns0:c>
      <ns0:c r="S137" t="str" s="11">
        <ns0:f>K137</ns0:f>
        <ns0:v>Резистор 390 кОм ±5% 0603</ns0:v>
      </ns0:c>
      <x:c xmlns:x="http://schemas.openxmlformats.org/spreadsheetml/2006/main" r="T137" t="str" s="11">
        <x:v>C:\Users\Nomatin\Documents\Altium\MY_LIB\MY_LIB\Datasheets\YAGEO_RC_L.pdf</x:v>
      </x:c>
      <x:c xmlns:x="http://schemas.openxmlformats.org/spreadsheetml/2006/main" r="U137" t="str" s="11">
        <x:v>Даташит — локальный</x:v>
      </x:c>
      <x:c xmlns:x="http://schemas.openxmlformats.org/spreadsheetml/2006/main" r="V137" t="str" s="11">
        <x:v>C:\Users\Nomatin\Documents\Altium\MY_LIB\MY_LIB\Datasheets\YAGEO_RC_L.pdf</x:v>
      </x:c>
      <x:c xmlns:x="http://schemas.openxmlformats.org/spreadsheetml/2006/main" r="W137" t="str" s="11">
        <x:v>Даташит — производитель</x:v>
      </x:c>
      <x:c xmlns:x="http://schemas.openxmlformats.org/spreadsheetml/2006/main" r="X137" t="str" s="11">
        <x:v>https://yageogroup.com/content/datasheet/asset/file/PYU-RC_GROUP_51_ROHS_L</x:v>
      </x:c>
      <x:c xmlns:x="http://schemas.openxmlformats.org/spreadsheetml/2006/main" r="Y137" t="str" s="11">
        <x:v>C:\Users\Nomatin\Documents\Altium\MY_LIB\MY_LIB\Datasheets\YAGEO_RC_L.pdf</x:v>
      </x:c>
      <ns0:c xmlns:ns0="http://schemas.openxmlformats.org/spreadsheetml/2006/main" r="Z137" s="16" t="inlineStr">
        <ns0:is>
          <ns0:t>MY_LIB_R_TCR</ns0:t>
        </ns0:is>
      </ns0:c>
      <ns0:c xmlns:ns0="http://schemas.openxmlformats.org/spreadsheetml/2006/main" r="AA137" s="16" t="inlineStr">
        <ns0:is>
          <ns0:t>R(T), +100 ppm/C at 25 C; positive datasheet limit</ns0:t>
        </ns0:is>
      </ns0:c>
      <ns0:c xmlns:ns0="http://schemas.openxmlformats.org/spreadsheetml/2006/main" r="AB137" s="16" t="str">
        <ns0:v>General</ns0:v>
      </ns0:c>
      <ns0:c xmlns:ns0="http://schemas.openxmlformats.org/spreadsheetml/2006/main" r="AC137" s="16" t="inlineStr">
        <ns0:is>
          <ns0:t>Spice Subcircuit</ns0:t>
        </ns0:is>
      </ns0:c>
      <ns0:c xmlns:ns0="http://schemas.openxmlformats.org/spreadsheetml/2006/main" r="AD137" s="16" t="inlineStr">
        <ns0:is>
          <ns0:t>@DESIGNATOR %1 %2 @MODEL PARAMS: Rvalue=@VALUE TC1value=100u</ns0:t>
        </ns0:is>
      </ns0:c>
      <ns0:c xmlns:ns0="http://schemas.openxmlformats.org/spreadsheetml/2006/main" r="AE137" s="16" t="inlineStr">
        <ns0:is>
          <ns0:t>X</ns0:t>
        </ns0:is>
      </ns0:c>
      <ns0:c xmlns:ns0="http://schemas.openxmlformats.org/spreadsheetml/2006/main" r="AF137" s="16" t="str">
        <ns0:v>(1:1),(2:2)</ns0:v>
      </ns0:c>
      <ns0:c xmlns:ns0="http://schemas.openxmlformats.org/spreadsheetml/2006/main" r="AG137" s="16" t="inlineStr">
        <ns0:is>
          <ns0:t>Simulation\Resistors\MY_LIB_R_TCR.ckt</ns0:t>
        </ns0:is>
      </ns0:c>
      <ns0:c xmlns:ns0="http://schemas.openxmlformats.org/spreadsheetml/2006/main" r="AH137" s="16" t="inlineStr">
        <ns0:is>
          <ns0:t>±100 ppm/°C</ns0:t>
        </ns0:is>
      </ns0:c>
    </ns0:row>
    <ns0:row r="138" ht="30" customHeight="1">
      <ns0:c r="A138" t="str" s="10">
        <ns0:v>R0144</ns0:v>
      </ns0:c>
      <ns0:c r="B138" t="str" s="10">
        <ns0:v>Резистор</ns0:v>
      </ns0:c>
      <ns0:c r="C138" t="str" s="10">
        <ns0:v>430k</ns0:v>
      </ns0:c>
      <ns0:c r="D138" t="str" s="11">
        <ns0:f>SUBSTITUTE(SUBSTITUTE(SUBSTITUTE(SUBSTITUTE(C138,"meg"," МОм"),"k"," кОм"),"R"," Ом"),".",",")</ns0:f>
        <ns0:v>430 кОм</ns0:v>
      </ns0:c>
      <ns0:c r="E138" t="str" s="10">
        <ns0:v>±5%</ns0:v>
      </ns0:c>
      <ns0:c r="F138" t="str" s="10">
        <ns0:v>0,1 Вт</ns0:v>
      </ns0:c>
      <ns0:c r="G138" t="str" s="10">
        <ns0:v>75 В макс.</ns0:v>
      </ns0:c>
      <ns0:c r="H138" t="str" s="12">
        <ns0:v>0603</ns0:v>
      </ns0:c>
      <ns0:c r="I138" t="str" s="10">
        <ns0:v>YAGEO</ns0:v>
      </ns0:c>
      <ns0:c r="J138" t="str" s="10">
        <ns0:v>RC0603JR-07430KL</ns0:v>
      </ns0:c>
      <ns0:c r="K138" t="str" s="11">
        <ns0:f>B138&amp;" "&amp;D138&amp;" "&amp;E138&amp;" "&amp;H138</ns0:f>
        <ns0:v>Резистор 430 кОм ±5% 0603</ns0:v>
      </ns0:c>
      <ns0:c r="L138" t="str" s="13">
        <ns0:v>R</ns0:v>
      </ns0:c>
      <ns0:c r="M138" t="str" s="13">
        <ns0:v>Symbols\MY_LIB_Resistors.SchLib</ns0:v>
      </ns0:c>
      <ns0:c r="N138" t="str" s="13">
        <ns0:v>RESC1608X55N</ns0:v>
      </ns0:c>
      <ns0:c r="O138" t="str" s="13">
        <ns0:v>Footprints\PBL - SMD Packages.PcbLib</ns0:v>
      </ns0:c>
      <ns0:c xmlns:ns0="http://schemas.openxmlformats.org/spreadsheetml/2006/main" r="P13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8" s="10"/>
      <ns0:c r="R138" t="str" s="11">
        <ns0:f>D138</ns0:f>
        <ns0:v>430 кОм</ns0:v>
      </ns0:c>
      <ns0:c r="S138" t="str" s="11">
        <ns0:f>K138</ns0:f>
        <ns0:v>Резистор 430 кОм ±5% 0603</ns0:v>
      </ns0:c>
      <x:c xmlns:x="http://schemas.openxmlformats.org/spreadsheetml/2006/main" r="T138" t="str" s="11">
        <x:v>C:\Users\Nomatin\Documents\Altium\MY_LIB\MY_LIB\Datasheets\YAGEO_RC_L.pdf</x:v>
      </x:c>
      <x:c xmlns:x="http://schemas.openxmlformats.org/spreadsheetml/2006/main" r="U138" t="str" s="11">
        <x:v>Даташит — локальный</x:v>
      </x:c>
      <x:c xmlns:x="http://schemas.openxmlformats.org/spreadsheetml/2006/main" r="V138" t="str" s="11">
        <x:v>C:\Users\Nomatin\Documents\Altium\MY_LIB\MY_LIB\Datasheets\YAGEO_RC_L.pdf</x:v>
      </x:c>
      <x:c xmlns:x="http://schemas.openxmlformats.org/spreadsheetml/2006/main" r="W138" t="str" s="11">
        <x:v>Даташит — производитель</x:v>
      </x:c>
      <x:c xmlns:x="http://schemas.openxmlformats.org/spreadsheetml/2006/main" r="X138" t="str" s="11">
        <x:v>https://yageogroup.com/content/datasheet/asset/file/PYU-RC_GROUP_51_ROHS_L</x:v>
      </x:c>
      <x:c xmlns:x="http://schemas.openxmlformats.org/spreadsheetml/2006/main" r="Y138" t="str" s="11">
        <x:v>C:\Users\Nomatin\Documents\Altium\MY_LIB\MY_LIB\Datasheets\YAGEO_RC_L.pdf</x:v>
      </x:c>
      <ns0:c xmlns:ns0="http://schemas.openxmlformats.org/spreadsheetml/2006/main" r="Z138" s="16" t="inlineStr">
        <ns0:is>
          <ns0:t>MY_LIB_R_TCR</ns0:t>
        </ns0:is>
      </ns0:c>
      <ns0:c xmlns:ns0="http://schemas.openxmlformats.org/spreadsheetml/2006/main" r="AA138" s="16" t="inlineStr">
        <ns0:is>
          <ns0:t>R(T), +100 ppm/C at 25 C; positive datasheet limit</ns0:t>
        </ns0:is>
      </ns0:c>
      <ns0:c xmlns:ns0="http://schemas.openxmlformats.org/spreadsheetml/2006/main" r="AB138" s="16" t="str">
        <ns0:v>General</ns0:v>
      </ns0:c>
      <ns0:c xmlns:ns0="http://schemas.openxmlformats.org/spreadsheetml/2006/main" r="AC138" s="16" t="inlineStr">
        <ns0:is>
          <ns0:t>Spice Subcircuit</ns0:t>
        </ns0:is>
      </ns0:c>
      <ns0:c xmlns:ns0="http://schemas.openxmlformats.org/spreadsheetml/2006/main" r="AD138" s="16" t="inlineStr">
        <ns0:is>
          <ns0:t>@DESIGNATOR %1 %2 @MODEL PARAMS: Rvalue=@VALUE TC1value=100u</ns0:t>
        </ns0:is>
      </ns0:c>
      <ns0:c xmlns:ns0="http://schemas.openxmlformats.org/spreadsheetml/2006/main" r="AE138" s="16" t="inlineStr">
        <ns0:is>
          <ns0:t>X</ns0:t>
        </ns0:is>
      </ns0:c>
      <ns0:c xmlns:ns0="http://schemas.openxmlformats.org/spreadsheetml/2006/main" r="AF138" s="16" t="str">
        <ns0:v>(1:1),(2:2)</ns0:v>
      </ns0:c>
      <ns0:c xmlns:ns0="http://schemas.openxmlformats.org/spreadsheetml/2006/main" r="AG138" s="16" t="inlineStr">
        <ns0:is>
          <ns0:t>Simulation\Resistors\MY_LIB_R_TCR.ckt</ns0:t>
        </ns0:is>
      </ns0:c>
      <ns0:c xmlns:ns0="http://schemas.openxmlformats.org/spreadsheetml/2006/main" r="AH138" s="16" t="inlineStr">
        <ns0:is>
          <ns0:t>±100 ppm/°C</ns0:t>
        </ns0:is>
      </ns0:c>
    </ns0:row>
    <ns0:row r="139" ht="30" customHeight="1">
      <ns0:c r="A139" t="str" s="10">
        <ns0:v>R0145</ns0:v>
      </ns0:c>
      <ns0:c r="B139" t="str" s="10">
        <ns0:v>Резистор</ns0:v>
      </ns0:c>
      <ns0:c r="C139" t="str" s="10">
        <ns0:v>470k</ns0:v>
      </ns0:c>
      <ns0:c r="D139" t="str" s="11">
        <ns0:f>SUBSTITUTE(SUBSTITUTE(SUBSTITUTE(SUBSTITUTE(C139,"meg"," МОм"),"k"," кОм"),"R"," Ом"),".",",")</ns0:f>
        <ns0:v>470 кОм</ns0:v>
      </ns0:c>
      <ns0:c r="E139" t="str" s="10">
        <ns0:v>±5%</ns0:v>
      </ns0:c>
      <ns0:c r="F139" t="str" s="10">
        <ns0:v>0,1 Вт</ns0:v>
      </ns0:c>
      <ns0:c r="G139" t="str" s="10">
        <ns0:v>75 В макс.</ns0:v>
      </ns0:c>
      <ns0:c r="H139" t="str" s="12">
        <ns0:v>0603</ns0:v>
      </ns0:c>
      <ns0:c r="I139" t="str" s="10">
        <ns0:v>YAGEO</ns0:v>
      </ns0:c>
      <ns0:c r="J139" t="str" s="10">
        <ns0:v>RC0603JR-07470KL</ns0:v>
      </ns0:c>
      <ns0:c r="K139" t="str" s="11">
        <ns0:f>B139&amp;" "&amp;D139&amp;" "&amp;E139&amp;" "&amp;H139</ns0:f>
        <ns0:v>Резистор 470 кОм ±5% 0603</ns0:v>
      </ns0:c>
      <ns0:c r="L139" t="str" s="13">
        <ns0:v>R</ns0:v>
      </ns0:c>
      <ns0:c r="M139" t="str" s="13">
        <ns0:v>Symbols\MY_LIB_Resistors.SchLib</ns0:v>
      </ns0:c>
      <ns0:c r="N139" t="str" s="13">
        <ns0:v>RESC1608X55N</ns0:v>
      </ns0:c>
      <ns0:c r="O139" t="str" s="13">
        <ns0:v>Footprints\PBL - SMD Packages.PcbLib</ns0:v>
      </ns0:c>
      <ns0:c xmlns:ns0="http://schemas.openxmlformats.org/spreadsheetml/2006/main" r="P13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39" s="10"/>
      <ns0:c r="R139" t="str" s="11">
        <ns0:f>D139</ns0:f>
        <ns0:v>470 кОм</ns0:v>
      </ns0:c>
      <ns0:c r="S139" t="str" s="11">
        <ns0:f>K139</ns0:f>
        <ns0:v>Резистор 470 кОм ±5% 0603</ns0:v>
      </ns0:c>
      <x:c xmlns:x="http://schemas.openxmlformats.org/spreadsheetml/2006/main" r="T139" t="str" s="11">
        <x:v>C:\Users\Nomatin\Documents\Altium\MY_LIB\MY_LIB\Datasheets\YAGEO_RC_L.pdf</x:v>
      </x:c>
      <x:c xmlns:x="http://schemas.openxmlformats.org/spreadsheetml/2006/main" r="U139" t="str" s="11">
        <x:v>Даташит — локальный</x:v>
      </x:c>
      <x:c xmlns:x="http://schemas.openxmlformats.org/spreadsheetml/2006/main" r="V139" t="str" s="11">
        <x:v>C:\Users\Nomatin\Documents\Altium\MY_LIB\MY_LIB\Datasheets\YAGEO_RC_L.pdf</x:v>
      </x:c>
      <x:c xmlns:x="http://schemas.openxmlformats.org/spreadsheetml/2006/main" r="W139" t="str" s="11">
        <x:v>Даташит — производитель</x:v>
      </x:c>
      <x:c xmlns:x="http://schemas.openxmlformats.org/spreadsheetml/2006/main" r="X139" t="str" s="11">
        <x:v>https://yageogroup.com/content/datasheet/asset/file/PYU-RC_GROUP_51_ROHS_L</x:v>
      </x:c>
      <x:c xmlns:x="http://schemas.openxmlformats.org/spreadsheetml/2006/main" r="Y139" t="str" s="11">
        <x:v>C:\Users\Nomatin\Documents\Altium\MY_LIB\MY_LIB\Datasheets\YAGEO_RC_L.pdf</x:v>
      </x:c>
      <ns0:c xmlns:ns0="http://schemas.openxmlformats.org/spreadsheetml/2006/main" r="Z139" s="16" t="inlineStr">
        <ns0:is>
          <ns0:t>MY_LIB_R_TCR</ns0:t>
        </ns0:is>
      </ns0:c>
      <ns0:c xmlns:ns0="http://schemas.openxmlformats.org/spreadsheetml/2006/main" r="AA139" s="16" t="inlineStr">
        <ns0:is>
          <ns0:t>R(T), +100 ppm/C at 25 C; positive datasheet limit</ns0:t>
        </ns0:is>
      </ns0:c>
      <ns0:c xmlns:ns0="http://schemas.openxmlformats.org/spreadsheetml/2006/main" r="AB139" s="16" t="str">
        <ns0:v>General</ns0:v>
      </ns0:c>
      <ns0:c xmlns:ns0="http://schemas.openxmlformats.org/spreadsheetml/2006/main" r="AC139" s="16" t="inlineStr">
        <ns0:is>
          <ns0:t>Spice Subcircuit</ns0:t>
        </ns0:is>
      </ns0:c>
      <ns0:c xmlns:ns0="http://schemas.openxmlformats.org/spreadsheetml/2006/main" r="AD139" s="16" t="inlineStr">
        <ns0:is>
          <ns0:t>@DESIGNATOR %1 %2 @MODEL PARAMS: Rvalue=@VALUE TC1value=100u</ns0:t>
        </ns0:is>
      </ns0:c>
      <ns0:c xmlns:ns0="http://schemas.openxmlformats.org/spreadsheetml/2006/main" r="AE139" s="16" t="inlineStr">
        <ns0:is>
          <ns0:t>X</ns0:t>
        </ns0:is>
      </ns0:c>
      <ns0:c xmlns:ns0="http://schemas.openxmlformats.org/spreadsheetml/2006/main" r="AF139" s="16" t="str">
        <ns0:v>(1:1),(2:2)</ns0:v>
      </ns0:c>
      <ns0:c xmlns:ns0="http://schemas.openxmlformats.org/spreadsheetml/2006/main" r="AG139" s="16" t="inlineStr">
        <ns0:is>
          <ns0:t>Simulation\Resistors\MY_LIB_R_TCR.ckt</ns0:t>
        </ns0:is>
      </ns0:c>
      <ns0:c xmlns:ns0="http://schemas.openxmlformats.org/spreadsheetml/2006/main" r="AH139" s="16" t="inlineStr">
        <ns0:is>
          <ns0:t>±100 ppm/°C</ns0:t>
        </ns0:is>
      </ns0:c>
    </ns0:row>
    <ns0:row r="140" ht="30" customHeight="1">
      <ns0:c r="A140" t="str" s="10">
        <ns0:v>R0146</ns0:v>
      </ns0:c>
      <ns0:c r="B140" t="str" s="10">
        <ns0:v>Резистор</ns0:v>
      </ns0:c>
      <ns0:c r="C140" t="str" s="10">
        <ns0:v>510k</ns0:v>
      </ns0:c>
      <ns0:c r="D140" t="str" s="11">
        <ns0:f>SUBSTITUTE(SUBSTITUTE(SUBSTITUTE(SUBSTITUTE(C140,"meg"," МОм"),"k"," кОм"),"R"," Ом"),".",",")</ns0:f>
        <ns0:v>510 кОм</ns0:v>
      </ns0:c>
      <ns0:c r="E140" t="str" s="10">
        <ns0:v>±5%</ns0:v>
      </ns0:c>
      <ns0:c r="F140" t="str" s="10">
        <ns0:v>0,1 Вт</ns0:v>
      </ns0:c>
      <ns0:c r="G140" t="str" s="10">
        <ns0:v>75 В макс.</ns0:v>
      </ns0:c>
      <ns0:c r="H140" t="str" s="12">
        <ns0:v>0603</ns0:v>
      </ns0:c>
      <ns0:c r="I140" t="str" s="10">
        <ns0:v>YAGEO</ns0:v>
      </ns0:c>
      <ns0:c r="J140" t="str" s="10">
        <ns0:v>RC0603JR-07510KL</ns0:v>
      </ns0:c>
      <ns0:c r="K140" t="str" s="11">
        <ns0:f>B140&amp;" "&amp;D140&amp;" "&amp;E140&amp;" "&amp;H140</ns0:f>
        <ns0:v>Резистор 510 кОм ±5% 0603</ns0:v>
      </ns0:c>
      <ns0:c r="L140" t="str" s="13">
        <ns0:v>R</ns0:v>
      </ns0:c>
      <ns0:c r="M140" t="str" s="13">
        <ns0:v>Symbols\MY_LIB_Resistors.SchLib</ns0:v>
      </ns0:c>
      <ns0:c r="N140" t="str" s="13">
        <ns0:v>RESC1608X55N</ns0:v>
      </ns0:c>
      <ns0:c r="O140" t="str" s="13">
        <ns0:v>Footprints\PBL - SMD Packages.PcbLib</ns0:v>
      </ns0:c>
      <ns0:c xmlns:ns0="http://schemas.openxmlformats.org/spreadsheetml/2006/main" r="P14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0" s="10"/>
      <ns0:c r="R140" t="str" s="11">
        <ns0:f>D140</ns0:f>
        <ns0:v>510 кОм</ns0:v>
      </ns0:c>
      <ns0:c r="S140" t="str" s="11">
        <ns0:f>K140</ns0:f>
        <ns0:v>Резистор 510 кОм ±5% 0603</ns0:v>
      </ns0:c>
      <x:c xmlns:x="http://schemas.openxmlformats.org/spreadsheetml/2006/main" r="T140" t="str" s="11">
        <x:v>C:\Users\Nomatin\Documents\Altium\MY_LIB\MY_LIB\Datasheets\YAGEO_RC_L.pdf</x:v>
      </x:c>
      <x:c xmlns:x="http://schemas.openxmlformats.org/spreadsheetml/2006/main" r="U140" t="str" s="11">
        <x:v>Даташит — локальный</x:v>
      </x:c>
      <x:c xmlns:x="http://schemas.openxmlformats.org/spreadsheetml/2006/main" r="V140" t="str" s="11">
        <x:v>C:\Users\Nomatin\Documents\Altium\MY_LIB\MY_LIB\Datasheets\YAGEO_RC_L.pdf</x:v>
      </x:c>
      <x:c xmlns:x="http://schemas.openxmlformats.org/spreadsheetml/2006/main" r="W140" t="str" s="11">
        <x:v>Даташит — производитель</x:v>
      </x:c>
      <x:c xmlns:x="http://schemas.openxmlformats.org/spreadsheetml/2006/main" r="X140" t="str" s="11">
        <x:v>https://yageogroup.com/content/datasheet/asset/file/PYU-RC_GROUP_51_ROHS_L</x:v>
      </x:c>
      <x:c xmlns:x="http://schemas.openxmlformats.org/spreadsheetml/2006/main" r="Y140" t="str" s="11">
        <x:v>C:\Users\Nomatin\Documents\Altium\MY_LIB\MY_LIB\Datasheets\YAGEO_RC_L.pdf</x:v>
      </x:c>
      <ns0:c xmlns:ns0="http://schemas.openxmlformats.org/spreadsheetml/2006/main" r="Z140" s="16" t="inlineStr">
        <ns0:is>
          <ns0:t>MY_LIB_R_TCR</ns0:t>
        </ns0:is>
      </ns0:c>
      <ns0:c xmlns:ns0="http://schemas.openxmlformats.org/spreadsheetml/2006/main" r="AA140" s="16" t="inlineStr">
        <ns0:is>
          <ns0:t>R(T), +100 ppm/C at 25 C; positive datasheet limit</ns0:t>
        </ns0:is>
      </ns0:c>
      <ns0:c xmlns:ns0="http://schemas.openxmlformats.org/spreadsheetml/2006/main" r="AB140" s="16" t="str">
        <ns0:v>General</ns0:v>
      </ns0:c>
      <ns0:c xmlns:ns0="http://schemas.openxmlformats.org/spreadsheetml/2006/main" r="AC140" s="16" t="inlineStr">
        <ns0:is>
          <ns0:t>Spice Subcircuit</ns0:t>
        </ns0:is>
      </ns0:c>
      <ns0:c xmlns:ns0="http://schemas.openxmlformats.org/spreadsheetml/2006/main" r="AD140" s="16" t="inlineStr">
        <ns0:is>
          <ns0:t>@DESIGNATOR %1 %2 @MODEL PARAMS: Rvalue=@VALUE TC1value=100u</ns0:t>
        </ns0:is>
      </ns0:c>
      <ns0:c xmlns:ns0="http://schemas.openxmlformats.org/spreadsheetml/2006/main" r="AE140" s="16" t="inlineStr">
        <ns0:is>
          <ns0:t>X</ns0:t>
        </ns0:is>
      </ns0:c>
      <ns0:c xmlns:ns0="http://schemas.openxmlformats.org/spreadsheetml/2006/main" r="AF140" s="16" t="str">
        <ns0:v>(1:1),(2:2)</ns0:v>
      </ns0:c>
      <ns0:c xmlns:ns0="http://schemas.openxmlformats.org/spreadsheetml/2006/main" r="AG140" s="16" t="inlineStr">
        <ns0:is>
          <ns0:t>Simulation\Resistors\MY_LIB_R_TCR.ckt</ns0:t>
        </ns0:is>
      </ns0:c>
      <ns0:c xmlns:ns0="http://schemas.openxmlformats.org/spreadsheetml/2006/main" r="AH140" s="16" t="inlineStr">
        <ns0:is>
          <ns0:t>±100 ppm/°C</ns0:t>
        </ns0:is>
      </ns0:c>
    </ns0:row>
    <ns0:row r="141" ht="30" customHeight="1">
      <ns0:c r="A141" t="str" s="10">
        <ns0:v>R0147</ns0:v>
      </ns0:c>
      <ns0:c r="B141" t="str" s="10">
        <ns0:v>Резистор</ns0:v>
      </ns0:c>
      <ns0:c r="C141" t="str" s="10">
        <ns0:v>560k</ns0:v>
      </ns0:c>
      <ns0:c r="D141" t="str" s="11">
        <ns0:f>SUBSTITUTE(SUBSTITUTE(SUBSTITUTE(SUBSTITUTE(C141,"meg"," МОм"),"k"," кОм"),"R"," Ом"),".",",")</ns0:f>
        <ns0:v>560 кОм</ns0:v>
      </ns0:c>
      <ns0:c r="E141" t="str" s="10">
        <ns0:v>±5%</ns0:v>
      </ns0:c>
      <ns0:c r="F141" t="str" s="10">
        <ns0:v>0,1 Вт</ns0:v>
      </ns0:c>
      <ns0:c r="G141" t="str" s="10">
        <ns0:v>75 В макс.</ns0:v>
      </ns0:c>
      <ns0:c r="H141" t="str" s="12">
        <ns0:v>0603</ns0:v>
      </ns0:c>
      <ns0:c r="I141" t="str" s="10">
        <ns0:v>YAGEO</ns0:v>
      </ns0:c>
      <ns0:c r="J141" t="str" s="10">
        <ns0:v>RC0603JR-07560KL</ns0:v>
      </ns0:c>
      <ns0:c r="K141" t="str" s="11">
        <ns0:f>B141&amp;" "&amp;D141&amp;" "&amp;E141&amp;" "&amp;H141</ns0:f>
        <ns0:v>Резистор 560 кОм ±5% 0603</ns0:v>
      </ns0:c>
      <ns0:c r="L141" t="str" s="13">
        <ns0:v>R</ns0:v>
      </ns0:c>
      <ns0:c r="M141" t="str" s="13">
        <ns0:v>Symbols\MY_LIB_Resistors.SchLib</ns0:v>
      </ns0:c>
      <ns0:c r="N141" t="str" s="13">
        <ns0:v>RESC1608X55N</ns0:v>
      </ns0:c>
      <ns0:c r="O141" t="str" s="13">
        <ns0:v>Footprints\PBL - SMD Packages.PcbLib</ns0:v>
      </ns0:c>
      <ns0:c xmlns:ns0="http://schemas.openxmlformats.org/spreadsheetml/2006/main" r="P14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1" s="10"/>
      <ns0:c r="R141" t="str" s="11">
        <ns0:f>D141</ns0:f>
        <ns0:v>560 кОм</ns0:v>
      </ns0:c>
      <ns0:c r="S141" t="str" s="11">
        <ns0:f>K141</ns0:f>
        <ns0:v>Резистор 560 кОм ±5% 0603</ns0:v>
      </ns0:c>
      <x:c xmlns:x="http://schemas.openxmlformats.org/spreadsheetml/2006/main" r="T141" t="str" s="11">
        <x:v>C:\Users\Nomatin\Documents\Altium\MY_LIB\MY_LIB\Datasheets\YAGEO_RC_L.pdf</x:v>
      </x:c>
      <x:c xmlns:x="http://schemas.openxmlformats.org/spreadsheetml/2006/main" r="U141" t="str" s="11">
        <x:v>Даташит — локальный</x:v>
      </x:c>
      <x:c xmlns:x="http://schemas.openxmlformats.org/spreadsheetml/2006/main" r="V141" t="str" s="11">
        <x:v>C:\Users\Nomatin\Documents\Altium\MY_LIB\MY_LIB\Datasheets\YAGEO_RC_L.pdf</x:v>
      </x:c>
      <x:c xmlns:x="http://schemas.openxmlformats.org/spreadsheetml/2006/main" r="W141" t="str" s="11">
        <x:v>Даташит — производитель</x:v>
      </x:c>
      <x:c xmlns:x="http://schemas.openxmlformats.org/spreadsheetml/2006/main" r="X141" t="str" s="11">
        <x:v>https://yageogroup.com/content/datasheet/asset/file/PYU-RC_GROUP_51_ROHS_L</x:v>
      </x:c>
      <x:c xmlns:x="http://schemas.openxmlformats.org/spreadsheetml/2006/main" r="Y141" t="str" s="11">
        <x:v>C:\Users\Nomatin\Documents\Altium\MY_LIB\MY_LIB\Datasheets\YAGEO_RC_L.pdf</x:v>
      </x:c>
      <ns0:c xmlns:ns0="http://schemas.openxmlformats.org/spreadsheetml/2006/main" r="Z141" s="16" t="inlineStr">
        <ns0:is>
          <ns0:t>MY_LIB_R_TCR</ns0:t>
        </ns0:is>
      </ns0:c>
      <ns0:c xmlns:ns0="http://schemas.openxmlformats.org/spreadsheetml/2006/main" r="AA141" s="16" t="inlineStr">
        <ns0:is>
          <ns0:t>R(T), +100 ppm/C at 25 C; positive datasheet limit</ns0:t>
        </ns0:is>
      </ns0:c>
      <ns0:c xmlns:ns0="http://schemas.openxmlformats.org/spreadsheetml/2006/main" r="AB141" s="16" t="str">
        <ns0:v>General</ns0:v>
      </ns0:c>
      <ns0:c xmlns:ns0="http://schemas.openxmlformats.org/spreadsheetml/2006/main" r="AC141" s="16" t="inlineStr">
        <ns0:is>
          <ns0:t>Spice Subcircuit</ns0:t>
        </ns0:is>
      </ns0:c>
      <ns0:c xmlns:ns0="http://schemas.openxmlformats.org/spreadsheetml/2006/main" r="AD141" s="16" t="inlineStr">
        <ns0:is>
          <ns0:t>@DESIGNATOR %1 %2 @MODEL PARAMS: Rvalue=@VALUE TC1value=100u</ns0:t>
        </ns0:is>
      </ns0:c>
      <ns0:c xmlns:ns0="http://schemas.openxmlformats.org/spreadsheetml/2006/main" r="AE141" s="16" t="inlineStr">
        <ns0:is>
          <ns0:t>X</ns0:t>
        </ns0:is>
      </ns0:c>
      <ns0:c xmlns:ns0="http://schemas.openxmlformats.org/spreadsheetml/2006/main" r="AF141" s="16" t="str">
        <ns0:v>(1:1),(2:2)</ns0:v>
      </ns0:c>
      <ns0:c xmlns:ns0="http://schemas.openxmlformats.org/spreadsheetml/2006/main" r="AG141" s="16" t="inlineStr">
        <ns0:is>
          <ns0:t>Simulation\Resistors\MY_LIB_R_TCR.ckt</ns0:t>
        </ns0:is>
      </ns0:c>
      <ns0:c xmlns:ns0="http://schemas.openxmlformats.org/spreadsheetml/2006/main" r="AH141" s="16" t="inlineStr">
        <ns0:is>
          <ns0:t>±100 ppm/°C</ns0:t>
        </ns0:is>
      </ns0:c>
    </ns0:row>
    <ns0:row r="142" ht="30" customHeight="1">
      <ns0:c r="A142" t="str" s="10">
        <ns0:v>R0148</ns0:v>
      </ns0:c>
      <ns0:c r="B142" t="str" s="10">
        <ns0:v>Резистор</ns0:v>
      </ns0:c>
      <ns0:c r="C142" t="str" s="10">
        <ns0:v>620k</ns0:v>
      </ns0:c>
      <ns0:c r="D142" t="str" s="11">
        <ns0:f>SUBSTITUTE(SUBSTITUTE(SUBSTITUTE(SUBSTITUTE(C142,"meg"," МОм"),"k"," кОм"),"R"," Ом"),".",",")</ns0:f>
        <ns0:v>620 кОм</ns0:v>
      </ns0:c>
      <ns0:c r="E142" t="str" s="10">
        <ns0:v>±5%</ns0:v>
      </ns0:c>
      <ns0:c r="F142" t="str" s="10">
        <ns0:v>0,1 Вт</ns0:v>
      </ns0:c>
      <ns0:c r="G142" t="str" s="10">
        <ns0:v>75 В макс.</ns0:v>
      </ns0:c>
      <ns0:c r="H142" t="str" s="12">
        <ns0:v>0603</ns0:v>
      </ns0:c>
      <ns0:c r="I142" t="str" s="10">
        <ns0:v>YAGEO</ns0:v>
      </ns0:c>
      <ns0:c r="J142" t="str" s="10">
        <ns0:v>RC0603JR-07620KL</ns0:v>
      </ns0:c>
      <ns0:c r="K142" t="str" s="11">
        <ns0:f>B142&amp;" "&amp;D142&amp;" "&amp;E142&amp;" "&amp;H142</ns0:f>
        <ns0:v>Резистор 620 кОм ±5% 0603</ns0:v>
      </ns0:c>
      <ns0:c r="L142" t="str" s="13">
        <ns0:v>R</ns0:v>
      </ns0:c>
      <ns0:c r="M142" t="str" s="13">
        <ns0:v>Symbols\MY_LIB_Resistors.SchLib</ns0:v>
      </ns0:c>
      <ns0:c r="N142" t="str" s="13">
        <ns0:v>RESC1608X55N</ns0:v>
      </ns0:c>
      <ns0:c r="O142" t="str" s="13">
        <ns0:v>Footprints\PBL - SMD Packages.PcbLib</ns0:v>
      </ns0:c>
      <ns0:c xmlns:ns0="http://schemas.openxmlformats.org/spreadsheetml/2006/main" r="P14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2" s="10"/>
      <ns0:c r="R142" t="str" s="11">
        <ns0:f>D142</ns0:f>
        <ns0:v>620 кОм</ns0:v>
      </ns0:c>
      <ns0:c r="S142" t="str" s="11">
        <ns0:f>K142</ns0:f>
        <ns0:v>Резистор 620 кОм ±5% 0603</ns0:v>
      </ns0:c>
      <x:c xmlns:x="http://schemas.openxmlformats.org/spreadsheetml/2006/main" r="T142" t="str" s="11">
        <x:v>C:\Users\Nomatin\Documents\Altium\MY_LIB\MY_LIB\Datasheets\YAGEO_RC_L.pdf</x:v>
      </x:c>
      <x:c xmlns:x="http://schemas.openxmlformats.org/spreadsheetml/2006/main" r="U142" t="str" s="11">
        <x:v>Даташит — локальный</x:v>
      </x:c>
      <x:c xmlns:x="http://schemas.openxmlformats.org/spreadsheetml/2006/main" r="V142" t="str" s="11">
        <x:v>C:\Users\Nomatin\Documents\Altium\MY_LIB\MY_LIB\Datasheets\YAGEO_RC_L.pdf</x:v>
      </x:c>
      <x:c xmlns:x="http://schemas.openxmlformats.org/spreadsheetml/2006/main" r="W142" t="str" s="11">
        <x:v>Даташит — производитель</x:v>
      </x:c>
      <x:c xmlns:x="http://schemas.openxmlformats.org/spreadsheetml/2006/main" r="X142" t="str" s="11">
        <x:v>https://yageogroup.com/content/datasheet/asset/file/PYU-RC_GROUP_51_ROHS_L</x:v>
      </x:c>
      <x:c xmlns:x="http://schemas.openxmlformats.org/spreadsheetml/2006/main" r="Y142" t="str" s="11">
        <x:v>C:\Users\Nomatin\Documents\Altium\MY_LIB\MY_LIB\Datasheets\YAGEO_RC_L.pdf</x:v>
      </x:c>
      <ns0:c xmlns:ns0="http://schemas.openxmlformats.org/spreadsheetml/2006/main" r="Z142" s="16" t="inlineStr">
        <ns0:is>
          <ns0:t>MY_LIB_R_TCR</ns0:t>
        </ns0:is>
      </ns0:c>
      <ns0:c xmlns:ns0="http://schemas.openxmlformats.org/spreadsheetml/2006/main" r="AA142" s="16" t="inlineStr">
        <ns0:is>
          <ns0:t>R(T), +100 ppm/C at 25 C; positive datasheet limit</ns0:t>
        </ns0:is>
      </ns0:c>
      <ns0:c xmlns:ns0="http://schemas.openxmlformats.org/spreadsheetml/2006/main" r="AB142" s="16" t="str">
        <ns0:v>General</ns0:v>
      </ns0:c>
      <ns0:c xmlns:ns0="http://schemas.openxmlformats.org/spreadsheetml/2006/main" r="AC142" s="16" t="inlineStr">
        <ns0:is>
          <ns0:t>Spice Subcircuit</ns0:t>
        </ns0:is>
      </ns0:c>
      <ns0:c xmlns:ns0="http://schemas.openxmlformats.org/spreadsheetml/2006/main" r="AD142" s="16" t="inlineStr">
        <ns0:is>
          <ns0:t>@DESIGNATOR %1 %2 @MODEL PARAMS: Rvalue=@VALUE TC1value=100u</ns0:t>
        </ns0:is>
      </ns0:c>
      <ns0:c xmlns:ns0="http://schemas.openxmlformats.org/spreadsheetml/2006/main" r="AE142" s="16" t="inlineStr">
        <ns0:is>
          <ns0:t>X</ns0:t>
        </ns0:is>
      </ns0:c>
      <ns0:c xmlns:ns0="http://schemas.openxmlformats.org/spreadsheetml/2006/main" r="AF142" s="16" t="str">
        <ns0:v>(1:1),(2:2)</ns0:v>
      </ns0:c>
      <ns0:c xmlns:ns0="http://schemas.openxmlformats.org/spreadsheetml/2006/main" r="AG142" s="16" t="inlineStr">
        <ns0:is>
          <ns0:t>Simulation\Resistors\MY_LIB_R_TCR.ckt</ns0:t>
        </ns0:is>
      </ns0:c>
      <ns0:c xmlns:ns0="http://schemas.openxmlformats.org/spreadsheetml/2006/main" r="AH142" s="16" t="inlineStr">
        <ns0:is>
          <ns0:t>±100 ppm/°C</ns0:t>
        </ns0:is>
      </ns0:c>
    </ns0:row>
    <ns0:row r="143" ht="30" customHeight="1">
      <ns0:c r="A143" t="str" s="10">
        <ns0:v>R0149</ns0:v>
      </ns0:c>
      <ns0:c r="B143" t="str" s="10">
        <ns0:v>Резистор</ns0:v>
      </ns0:c>
      <ns0:c r="C143" t="str" s="10">
        <ns0:v>680k</ns0:v>
      </ns0:c>
      <ns0:c r="D143" t="str" s="11">
        <ns0:f>SUBSTITUTE(SUBSTITUTE(SUBSTITUTE(SUBSTITUTE(C143,"meg"," МОм"),"k"," кОм"),"R"," Ом"),".",",")</ns0:f>
        <ns0:v>680 кОм</ns0:v>
      </ns0:c>
      <ns0:c r="E143" t="str" s="10">
        <ns0:v>±5%</ns0:v>
      </ns0:c>
      <ns0:c r="F143" t="str" s="10">
        <ns0:v>0,1 Вт</ns0:v>
      </ns0:c>
      <ns0:c r="G143" t="str" s="10">
        <ns0:v>75 В макс.</ns0:v>
      </ns0:c>
      <ns0:c r="H143" t="str" s="12">
        <ns0:v>0603</ns0:v>
      </ns0:c>
      <ns0:c r="I143" t="str" s="10">
        <ns0:v>YAGEO</ns0:v>
      </ns0:c>
      <ns0:c r="J143" t="str" s="10">
        <ns0:v>RC0603JR-07680KL</ns0:v>
      </ns0:c>
      <ns0:c r="K143" t="str" s="11">
        <ns0:f>B143&amp;" "&amp;D143&amp;" "&amp;E143&amp;" "&amp;H143</ns0:f>
        <ns0:v>Резистор 680 кОм ±5% 0603</ns0:v>
      </ns0:c>
      <ns0:c r="L143" t="str" s="13">
        <ns0:v>R</ns0:v>
      </ns0:c>
      <ns0:c r="M143" t="str" s="13">
        <ns0:v>Symbols\MY_LIB_Resistors.SchLib</ns0:v>
      </ns0:c>
      <ns0:c r="N143" t="str" s="13">
        <ns0:v>RESC1608X55N</ns0:v>
      </ns0:c>
      <ns0:c r="O143" t="str" s="13">
        <ns0:v>Footprints\PBL - SMD Packages.PcbLib</ns0:v>
      </ns0:c>
      <ns0:c xmlns:ns0="http://schemas.openxmlformats.org/spreadsheetml/2006/main" r="P14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3" s="10"/>
      <ns0:c r="R143" t="str" s="11">
        <ns0:f>D143</ns0:f>
        <ns0:v>680 кОм</ns0:v>
      </ns0:c>
      <ns0:c r="S143" t="str" s="11">
        <ns0:f>K143</ns0:f>
        <ns0:v>Резистор 680 кОм ±5% 0603</ns0:v>
      </ns0:c>
      <x:c xmlns:x="http://schemas.openxmlformats.org/spreadsheetml/2006/main" r="T143" t="str" s="11">
        <x:v>C:\Users\Nomatin\Documents\Altium\MY_LIB\MY_LIB\Datasheets\YAGEO_RC_L.pdf</x:v>
      </x:c>
      <x:c xmlns:x="http://schemas.openxmlformats.org/spreadsheetml/2006/main" r="U143" t="str" s="11">
        <x:v>Даташит — локальный</x:v>
      </x:c>
      <x:c xmlns:x="http://schemas.openxmlformats.org/spreadsheetml/2006/main" r="V143" t="str" s="11">
        <x:v>C:\Users\Nomatin\Documents\Altium\MY_LIB\MY_LIB\Datasheets\YAGEO_RC_L.pdf</x:v>
      </x:c>
      <x:c xmlns:x="http://schemas.openxmlformats.org/spreadsheetml/2006/main" r="W143" t="str" s="11">
        <x:v>Даташит — производитель</x:v>
      </x:c>
      <x:c xmlns:x="http://schemas.openxmlformats.org/spreadsheetml/2006/main" r="X143" t="str" s="11">
        <x:v>https://yageogroup.com/content/datasheet/asset/file/PYU-RC_GROUP_51_ROHS_L</x:v>
      </x:c>
      <x:c xmlns:x="http://schemas.openxmlformats.org/spreadsheetml/2006/main" r="Y143" t="str" s="11">
        <x:v>C:\Users\Nomatin\Documents\Altium\MY_LIB\MY_LIB\Datasheets\YAGEO_RC_L.pdf</x:v>
      </x:c>
      <ns0:c xmlns:ns0="http://schemas.openxmlformats.org/spreadsheetml/2006/main" r="Z143" s="16" t="inlineStr">
        <ns0:is>
          <ns0:t>MY_LIB_R_TCR</ns0:t>
        </ns0:is>
      </ns0:c>
      <ns0:c xmlns:ns0="http://schemas.openxmlformats.org/spreadsheetml/2006/main" r="AA143" s="16" t="inlineStr">
        <ns0:is>
          <ns0:t>R(T), +100 ppm/C at 25 C; positive datasheet limit</ns0:t>
        </ns0:is>
      </ns0:c>
      <ns0:c xmlns:ns0="http://schemas.openxmlformats.org/spreadsheetml/2006/main" r="AB143" s="16" t="str">
        <ns0:v>General</ns0:v>
      </ns0:c>
      <ns0:c xmlns:ns0="http://schemas.openxmlformats.org/spreadsheetml/2006/main" r="AC143" s="16" t="inlineStr">
        <ns0:is>
          <ns0:t>Spice Subcircuit</ns0:t>
        </ns0:is>
      </ns0:c>
      <ns0:c xmlns:ns0="http://schemas.openxmlformats.org/spreadsheetml/2006/main" r="AD143" s="16" t="inlineStr">
        <ns0:is>
          <ns0:t>@DESIGNATOR %1 %2 @MODEL PARAMS: Rvalue=@VALUE TC1value=100u</ns0:t>
        </ns0:is>
      </ns0:c>
      <ns0:c xmlns:ns0="http://schemas.openxmlformats.org/spreadsheetml/2006/main" r="AE143" s="16" t="inlineStr">
        <ns0:is>
          <ns0:t>X</ns0:t>
        </ns0:is>
      </ns0:c>
      <ns0:c xmlns:ns0="http://schemas.openxmlformats.org/spreadsheetml/2006/main" r="AF143" s="16" t="str">
        <ns0:v>(1:1),(2:2)</ns0:v>
      </ns0:c>
      <ns0:c xmlns:ns0="http://schemas.openxmlformats.org/spreadsheetml/2006/main" r="AG143" s="16" t="inlineStr">
        <ns0:is>
          <ns0:t>Simulation\Resistors\MY_LIB_R_TCR.ckt</ns0:t>
        </ns0:is>
      </ns0:c>
      <ns0:c xmlns:ns0="http://schemas.openxmlformats.org/spreadsheetml/2006/main" r="AH143" s="16" t="inlineStr">
        <ns0:is>
          <ns0:t>±100 ppm/°C</ns0:t>
        </ns0:is>
      </ns0:c>
    </ns0:row>
    <ns0:row r="144" ht="30" customHeight="1">
      <ns0:c r="A144" t="str" s="10">
        <ns0:v>R0150</ns0:v>
      </ns0:c>
      <ns0:c r="B144" t="str" s="10">
        <ns0:v>Резистор</ns0:v>
      </ns0:c>
      <ns0:c r="C144" t="str" s="10">
        <ns0:v>750k</ns0:v>
      </ns0:c>
      <ns0:c r="D144" t="str" s="11">
        <ns0:f>SUBSTITUTE(SUBSTITUTE(SUBSTITUTE(SUBSTITUTE(C144,"meg"," МОм"),"k"," кОм"),"R"," Ом"),".",",")</ns0:f>
        <ns0:v>750 кОм</ns0:v>
      </ns0:c>
      <ns0:c r="E144" t="str" s="10">
        <ns0:v>±5%</ns0:v>
      </ns0:c>
      <ns0:c r="F144" t="str" s="10">
        <ns0:v>0,1 Вт</ns0:v>
      </ns0:c>
      <ns0:c r="G144" t="str" s="10">
        <ns0:v>75 В макс.</ns0:v>
      </ns0:c>
      <ns0:c r="H144" t="str" s="12">
        <ns0:v>0603</ns0:v>
      </ns0:c>
      <ns0:c r="I144" t="str" s="10">
        <ns0:v>YAGEO</ns0:v>
      </ns0:c>
      <ns0:c r="J144" t="str" s="10">
        <ns0:v>RC0603JR-07750KL</ns0:v>
      </ns0:c>
      <ns0:c r="K144" t="str" s="11">
        <ns0:f>B144&amp;" "&amp;D144&amp;" "&amp;E144&amp;" "&amp;H144</ns0:f>
        <ns0:v>Резистор 750 кОм ±5% 0603</ns0:v>
      </ns0:c>
      <ns0:c r="L144" t="str" s="13">
        <ns0:v>R</ns0:v>
      </ns0:c>
      <ns0:c r="M144" t="str" s="13">
        <ns0:v>Symbols\MY_LIB_Resistors.SchLib</ns0:v>
      </ns0:c>
      <ns0:c r="N144" t="str" s="13">
        <ns0:v>RESC1608X55N</ns0:v>
      </ns0:c>
      <ns0:c r="O144" t="str" s="13">
        <ns0:v>Footprints\PBL - SMD Packages.PcbLib</ns0:v>
      </ns0:c>
      <ns0:c xmlns:ns0="http://schemas.openxmlformats.org/spreadsheetml/2006/main" r="P14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4" s="10"/>
      <ns0:c r="R144" t="str" s="11">
        <ns0:f>D144</ns0:f>
        <ns0:v>750 кОм</ns0:v>
      </ns0:c>
      <ns0:c r="S144" t="str" s="11">
        <ns0:f>K144</ns0:f>
        <ns0:v>Резистор 750 кОм ±5% 0603</ns0:v>
      </ns0:c>
      <x:c xmlns:x="http://schemas.openxmlformats.org/spreadsheetml/2006/main" r="T144" t="str" s="11">
        <x:v>C:\Users\Nomatin\Documents\Altium\MY_LIB\MY_LIB\Datasheets\YAGEO_RC_L.pdf</x:v>
      </x:c>
      <x:c xmlns:x="http://schemas.openxmlformats.org/spreadsheetml/2006/main" r="U144" t="str" s="11">
        <x:v>Даташит — локальный</x:v>
      </x:c>
      <x:c xmlns:x="http://schemas.openxmlformats.org/spreadsheetml/2006/main" r="V144" t="str" s="11">
        <x:v>C:\Users\Nomatin\Documents\Altium\MY_LIB\MY_LIB\Datasheets\YAGEO_RC_L.pdf</x:v>
      </x:c>
      <x:c xmlns:x="http://schemas.openxmlformats.org/spreadsheetml/2006/main" r="W144" t="str" s="11">
        <x:v>Даташит — производитель</x:v>
      </x:c>
      <x:c xmlns:x="http://schemas.openxmlformats.org/spreadsheetml/2006/main" r="X144" t="str" s="11">
        <x:v>https://yageogroup.com/content/datasheet/asset/file/PYU-RC_GROUP_51_ROHS_L</x:v>
      </x:c>
      <x:c xmlns:x="http://schemas.openxmlformats.org/spreadsheetml/2006/main" r="Y144" t="str" s="11">
        <x:v>C:\Users\Nomatin\Documents\Altium\MY_LIB\MY_LIB\Datasheets\YAGEO_RC_L.pdf</x:v>
      </x:c>
      <ns0:c xmlns:ns0="http://schemas.openxmlformats.org/spreadsheetml/2006/main" r="Z144" s="16" t="inlineStr">
        <ns0:is>
          <ns0:t>MY_LIB_R_TCR</ns0:t>
        </ns0:is>
      </ns0:c>
      <ns0:c xmlns:ns0="http://schemas.openxmlformats.org/spreadsheetml/2006/main" r="AA144" s="16" t="inlineStr">
        <ns0:is>
          <ns0:t>R(T), +100 ppm/C at 25 C; positive datasheet limit</ns0:t>
        </ns0:is>
      </ns0:c>
      <ns0:c xmlns:ns0="http://schemas.openxmlformats.org/spreadsheetml/2006/main" r="AB144" s="16" t="str">
        <ns0:v>General</ns0:v>
      </ns0:c>
      <ns0:c xmlns:ns0="http://schemas.openxmlformats.org/spreadsheetml/2006/main" r="AC144" s="16" t="inlineStr">
        <ns0:is>
          <ns0:t>Spice Subcircuit</ns0:t>
        </ns0:is>
      </ns0:c>
      <ns0:c xmlns:ns0="http://schemas.openxmlformats.org/spreadsheetml/2006/main" r="AD144" s="16" t="inlineStr">
        <ns0:is>
          <ns0:t>@DESIGNATOR %1 %2 @MODEL PARAMS: Rvalue=@VALUE TC1value=100u</ns0:t>
        </ns0:is>
      </ns0:c>
      <ns0:c xmlns:ns0="http://schemas.openxmlformats.org/spreadsheetml/2006/main" r="AE144" s="16" t="inlineStr">
        <ns0:is>
          <ns0:t>X</ns0:t>
        </ns0:is>
      </ns0:c>
      <ns0:c xmlns:ns0="http://schemas.openxmlformats.org/spreadsheetml/2006/main" r="AF144" s="16" t="str">
        <ns0:v>(1:1),(2:2)</ns0:v>
      </ns0:c>
      <ns0:c xmlns:ns0="http://schemas.openxmlformats.org/spreadsheetml/2006/main" r="AG144" s="16" t="inlineStr">
        <ns0:is>
          <ns0:t>Simulation\Resistors\MY_LIB_R_TCR.ckt</ns0:t>
        </ns0:is>
      </ns0:c>
      <ns0:c xmlns:ns0="http://schemas.openxmlformats.org/spreadsheetml/2006/main" r="AH144" s="16" t="inlineStr">
        <ns0:is>
          <ns0:t>±100 ppm/°C</ns0:t>
        </ns0:is>
      </ns0:c>
    </ns0:row>
    <ns0:row r="145" ht="30" customHeight="1">
      <ns0:c r="A145" t="str" s="10">
        <ns0:v>R0151</ns0:v>
      </ns0:c>
      <ns0:c r="B145" t="str" s="10">
        <ns0:v>Резистор</ns0:v>
      </ns0:c>
      <ns0:c r="C145" t="str" s="10">
        <ns0:v>820k</ns0:v>
      </ns0:c>
      <ns0:c r="D145" t="str" s="11">
        <ns0:f>SUBSTITUTE(SUBSTITUTE(SUBSTITUTE(SUBSTITUTE(C145,"meg"," МОм"),"k"," кОм"),"R"," Ом"),".",",")</ns0:f>
        <ns0:v>820 кОм</ns0:v>
      </ns0:c>
      <ns0:c r="E145" t="str" s="10">
        <ns0:v>±5%</ns0:v>
      </ns0:c>
      <ns0:c r="F145" t="str" s="10">
        <ns0:v>0,1 Вт</ns0:v>
      </ns0:c>
      <ns0:c r="G145" t="str" s="10">
        <ns0:v>75 В макс.</ns0:v>
      </ns0:c>
      <ns0:c r="H145" t="str" s="12">
        <ns0:v>0603</ns0:v>
      </ns0:c>
      <ns0:c r="I145" t="str" s="10">
        <ns0:v>YAGEO</ns0:v>
      </ns0:c>
      <ns0:c r="J145" t="str" s="10">
        <ns0:v>RC0603JR-07820KL</ns0:v>
      </ns0:c>
      <ns0:c r="K145" t="str" s="11">
        <ns0:f>B145&amp;" "&amp;D145&amp;" "&amp;E145&amp;" "&amp;H145</ns0:f>
        <ns0:v>Резистор 820 кОм ±5% 0603</ns0:v>
      </ns0:c>
      <ns0:c r="L145" t="str" s="13">
        <ns0:v>R</ns0:v>
      </ns0:c>
      <ns0:c r="M145" t="str" s="13">
        <ns0:v>Symbols\MY_LIB_Resistors.SchLib</ns0:v>
      </ns0:c>
      <ns0:c r="N145" t="str" s="13">
        <ns0:v>RESC1608X55N</ns0:v>
      </ns0:c>
      <ns0:c r="O145" t="str" s="13">
        <ns0:v>Footprints\PBL - SMD Packages.PcbLib</ns0:v>
      </ns0:c>
      <ns0:c xmlns:ns0="http://schemas.openxmlformats.org/spreadsheetml/2006/main" r="P14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5" s="10"/>
      <ns0:c r="R145" t="str" s="11">
        <ns0:f>D145</ns0:f>
        <ns0:v>820 кОм</ns0:v>
      </ns0:c>
      <ns0:c r="S145" t="str" s="11">
        <ns0:f>K145</ns0:f>
        <ns0:v>Резистор 820 кОм ±5% 0603</ns0:v>
      </ns0:c>
      <x:c xmlns:x="http://schemas.openxmlformats.org/spreadsheetml/2006/main" r="T145" t="str" s="11">
        <x:v>C:\Users\Nomatin\Documents\Altium\MY_LIB\MY_LIB\Datasheets\YAGEO_RC_L.pdf</x:v>
      </x:c>
      <x:c xmlns:x="http://schemas.openxmlformats.org/spreadsheetml/2006/main" r="U145" t="str" s="11">
        <x:v>Даташит — локальный</x:v>
      </x:c>
      <x:c xmlns:x="http://schemas.openxmlformats.org/spreadsheetml/2006/main" r="V145" t="str" s="11">
        <x:v>C:\Users\Nomatin\Documents\Altium\MY_LIB\MY_LIB\Datasheets\YAGEO_RC_L.pdf</x:v>
      </x:c>
      <x:c xmlns:x="http://schemas.openxmlformats.org/spreadsheetml/2006/main" r="W145" t="str" s="11">
        <x:v>Даташит — производитель</x:v>
      </x:c>
      <x:c xmlns:x="http://schemas.openxmlformats.org/spreadsheetml/2006/main" r="X145" t="str" s="11">
        <x:v>https://yageogroup.com/content/datasheet/asset/file/PYU-RC_GROUP_51_ROHS_L</x:v>
      </x:c>
      <x:c xmlns:x="http://schemas.openxmlformats.org/spreadsheetml/2006/main" r="Y145" t="str" s="11">
        <x:v>C:\Users\Nomatin\Documents\Altium\MY_LIB\MY_LIB\Datasheets\YAGEO_RC_L.pdf</x:v>
      </x:c>
      <ns0:c xmlns:ns0="http://schemas.openxmlformats.org/spreadsheetml/2006/main" r="Z145" s="16" t="inlineStr">
        <ns0:is>
          <ns0:t>MY_LIB_R_TCR</ns0:t>
        </ns0:is>
      </ns0:c>
      <ns0:c xmlns:ns0="http://schemas.openxmlformats.org/spreadsheetml/2006/main" r="AA145" s="16" t="inlineStr">
        <ns0:is>
          <ns0:t>R(T), +100 ppm/C at 25 C; positive datasheet limit</ns0:t>
        </ns0:is>
      </ns0:c>
      <ns0:c xmlns:ns0="http://schemas.openxmlformats.org/spreadsheetml/2006/main" r="AB145" s="16" t="str">
        <ns0:v>General</ns0:v>
      </ns0:c>
      <ns0:c xmlns:ns0="http://schemas.openxmlformats.org/spreadsheetml/2006/main" r="AC145" s="16" t="inlineStr">
        <ns0:is>
          <ns0:t>Spice Subcircuit</ns0:t>
        </ns0:is>
      </ns0:c>
      <ns0:c xmlns:ns0="http://schemas.openxmlformats.org/spreadsheetml/2006/main" r="AD145" s="16" t="inlineStr">
        <ns0:is>
          <ns0:t>@DESIGNATOR %1 %2 @MODEL PARAMS: Rvalue=@VALUE TC1value=100u</ns0:t>
        </ns0:is>
      </ns0:c>
      <ns0:c xmlns:ns0="http://schemas.openxmlformats.org/spreadsheetml/2006/main" r="AE145" s="16" t="inlineStr">
        <ns0:is>
          <ns0:t>X</ns0:t>
        </ns0:is>
      </ns0:c>
      <ns0:c xmlns:ns0="http://schemas.openxmlformats.org/spreadsheetml/2006/main" r="AF145" s="16" t="str">
        <ns0:v>(1:1),(2:2)</ns0:v>
      </ns0:c>
      <ns0:c xmlns:ns0="http://schemas.openxmlformats.org/spreadsheetml/2006/main" r="AG145" s="16" t="inlineStr">
        <ns0:is>
          <ns0:t>Simulation\Resistors\MY_LIB_R_TCR.ckt</ns0:t>
        </ns0:is>
      </ns0:c>
      <ns0:c xmlns:ns0="http://schemas.openxmlformats.org/spreadsheetml/2006/main" r="AH145" s="16" t="inlineStr">
        <ns0:is>
          <ns0:t>±100 ppm/°C</ns0:t>
        </ns0:is>
      </ns0:c>
    </ns0:row>
    <ns0:row r="146" ht="30" customHeight="1">
      <ns0:c r="A146" t="str" s="10">
        <ns0:v>R0152</ns0:v>
      </ns0:c>
      <ns0:c r="B146" t="str" s="10">
        <ns0:v>Резистор</ns0:v>
      </ns0:c>
      <ns0:c r="C146" t="str" s="10">
        <ns0:v>910k</ns0:v>
      </ns0:c>
      <ns0:c r="D146" t="str" s="11">
        <ns0:f>SUBSTITUTE(SUBSTITUTE(SUBSTITUTE(SUBSTITUTE(C146,"meg"," МОм"),"k"," кОм"),"R"," Ом"),".",",")</ns0:f>
        <ns0:v>910 кОм</ns0:v>
      </ns0:c>
      <ns0:c r="E146" t="str" s="10">
        <ns0:v>±5%</ns0:v>
      </ns0:c>
      <ns0:c r="F146" t="str" s="10">
        <ns0:v>0,1 Вт</ns0:v>
      </ns0:c>
      <ns0:c r="G146" t="str" s="10">
        <ns0:v>75 В макс.</ns0:v>
      </ns0:c>
      <ns0:c r="H146" t="str" s="12">
        <ns0:v>0603</ns0:v>
      </ns0:c>
      <ns0:c r="I146" t="str" s="10">
        <ns0:v>YAGEO</ns0:v>
      </ns0:c>
      <ns0:c r="J146" t="str" s="10">
        <ns0:v>RC0603JR-07910KL</ns0:v>
      </ns0:c>
      <ns0:c r="K146" t="str" s="11">
        <ns0:f>B146&amp;" "&amp;D146&amp;" "&amp;E146&amp;" "&amp;H146</ns0:f>
        <ns0:v>Резистор 910 кОм ±5% 0603</ns0:v>
      </ns0:c>
      <ns0:c r="L146" t="str" s="13">
        <ns0:v>R</ns0:v>
      </ns0:c>
      <ns0:c r="M146" t="str" s="13">
        <ns0:v>Symbols\MY_LIB_Resistors.SchLib</ns0:v>
      </ns0:c>
      <ns0:c r="N146" t="str" s="13">
        <ns0:v>RESC1608X55N</ns0:v>
      </ns0:c>
      <ns0:c r="O146" t="str" s="13">
        <ns0:v>Footprints\PBL - SMD Packages.PcbLib</ns0:v>
      </ns0:c>
      <ns0:c xmlns:ns0="http://schemas.openxmlformats.org/spreadsheetml/2006/main" r="P14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6" s="10"/>
      <ns0:c r="R146" t="str" s="11">
        <ns0:f>D146</ns0:f>
        <ns0:v>910 кОм</ns0:v>
      </ns0:c>
      <ns0:c r="S146" t="str" s="11">
        <ns0:f>K146</ns0:f>
        <ns0:v>Резистор 910 кОм ±5% 0603</ns0:v>
      </ns0:c>
      <x:c xmlns:x="http://schemas.openxmlformats.org/spreadsheetml/2006/main" r="T146" t="str" s="11">
        <x:v>C:\Users\Nomatin\Documents\Altium\MY_LIB\MY_LIB\Datasheets\YAGEO_RC_L.pdf</x:v>
      </x:c>
      <x:c xmlns:x="http://schemas.openxmlformats.org/spreadsheetml/2006/main" r="U146" t="str" s="11">
        <x:v>Даташит — локальный</x:v>
      </x:c>
      <x:c xmlns:x="http://schemas.openxmlformats.org/spreadsheetml/2006/main" r="V146" t="str" s="11">
        <x:v>C:\Users\Nomatin\Documents\Altium\MY_LIB\MY_LIB\Datasheets\YAGEO_RC_L.pdf</x:v>
      </x:c>
      <x:c xmlns:x="http://schemas.openxmlformats.org/spreadsheetml/2006/main" r="W146" t="str" s="11">
        <x:v>Даташит — производитель</x:v>
      </x:c>
      <x:c xmlns:x="http://schemas.openxmlformats.org/spreadsheetml/2006/main" r="X146" t="str" s="11">
        <x:v>https://yageogroup.com/content/datasheet/asset/file/PYU-RC_GROUP_51_ROHS_L</x:v>
      </x:c>
      <x:c xmlns:x="http://schemas.openxmlformats.org/spreadsheetml/2006/main" r="Y146" t="str" s="11">
        <x:v>C:\Users\Nomatin\Documents\Altium\MY_LIB\MY_LIB\Datasheets\YAGEO_RC_L.pdf</x:v>
      </x:c>
      <ns0:c xmlns:ns0="http://schemas.openxmlformats.org/spreadsheetml/2006/main" r="Z146" s="16" t="inlineStr">
        <ns0:is>
          <ns0:t>MY_LIB_R_TCR</ns0:t>
        </ns0:is>
      </ns0:c>
      <ns0:c xmlns:ns0="http://schemas.openxmlformats.org/spreadsheetml/2006/main" r="AA146" s="16" t="inlineStr">
        <ns0:is>
          <ns0:t>R(T), +100 ppm/C at 25 C; positive datasheet limit</ns0:t>
        </ns0:is>
      </ns0:c>
      <ns0:c xmlns:ns0="http://schemas.openxmlformats.org/spreadsheetml/2006/main" r="AB146" s="16" t="str">
        <ns0:v>General</ns0:v>
      </ns0:c>
      <ns0:c xmlns:ns0="http://schemas.openxmlformats.org/spreadsheetml/2006/main" r="AC146" s="16" t="inlineStr">
        <ns0:is>
          <ns0:t>Spice Subcircuit</ns0:t>
        </ns0:is>
      </ns0:c>
      <ns0:c xmlns:ns0="http://schemas.openxmlformats.org/spreadsheetml/2006/main" r="AD146" s="16" t="inlineStr">
        <ns0:is>
          <ns0:t>@DESIGNATOR %1 %2 @MODEL PARAMS: Rvalue=@VALUE TC1value=100u</ns0:t>
        </ns0:is>
      </ns0:c>
      <ns0:c xmlns:ns0="http://schemas.openxmlformats.org/spreadsheetml/2006/main" r="AE146" s="16" t="inlineStr">
        <ns0:is>
          <ns0:t>X</ns0:t>
        </ns0:is>
      </ns0:c>
      <ns0:c xmlns:ns0="http://schemas.openxmlformats.org/spreadsheetml/2006/main" r="AF146" s="16" t="str">
        <ns0:v>(1:1),(2:2)</ns0:v>
      </ns0:c>
      <ns0:c xmlns:ns0="http://schemas.openxmlformats.org/spreadsheetml/2006/main" r="AG146" s="16" t="inlineStr">
        <ns0:is>
          <ns0:t>Simulation\Resistors\MY_LIB_R_TCR.ckt</ns0:t>
        </ns0:is>
      </ns0:c>
      <ns0:c xmlns:ns0="http://schemas.openxmlformats.org/spreadsheetml/2006/main" r="AH146" s="16" t="inlineStr">
        <ns0:is>
          <ns0:t>±100 ppm/°C</ns0:t>
        </ns0:is>
      </ns0:c>
    </ns0:row>
    <ns0:row r="147" ht="30" customHeight="1">
      <ns0:c r="A147" t="str" s="10">
        <ns0:v>R0153</ns0:v>
      </ns0:c>
      <ns0:c r="B147" t="str" s="10">
        <ns0:v>Резистор</ns0:v>
      </ns0:c>
      <ns0:c r="C147" t="str" s="10">
        <ns0:v>1meg</ns0:v>
      </ns0:c>
      <ns0:c r="D147" t="str" s="11">
        <ns0:f>SUBSTITUTE(SUBSTITUTE(SUBSTITUTE(SUBSTITUTE(C147,"meg"," МОм"),"k"," кОм"),"R"," Ом"),".",",")</ns0:f>
        <ns0:v>1 МОм</ns0:v>
      </ns0:c>
      <ns0:c r="E147" t="str" s="10">
        <ns0:v>±5%</ns0:v>
      </ns0:c>
      <ns0:c r="F147" t="str" s="10">
        <ns0:v>0,1 Вт</ns0:v>
      </ns0:c>
      <ns0:c r="G147" t="str" s="10">
        <ns0:v>75 В макс.</ns0:v>
      </ns0:c>
      <ns0:c r="H147" t="str" s="12">
        <ns0:v>0603</ns0:v>
      </ns0:c>
      <ns0:c r="I147" t="str" s="10">
        <ns0:v>YAGEO</ns0:v>
      </ns0:c>
      <ns0:c r="J147" t="str" s="10">
        <ns0:v>RC0603JR-071ML</ns0:v>
      </ns0:c>
      <ns0:c r="K147" t="str" s="11">
        <ns0:f>B147&amp;" "&amp;D147&amp;" "&amp;E147&amp;" "&amp;H147</ns0:f>
        <ns0:v>Резистор 1 МОм ±5% 0603</ns0:v>
      </ns0:c>
      <ns0:c r="L147" t="str" s="13">
        <ns0:v>R</ns0:v>
      </ns0:c>
      <ns0:c r="M147" t="str" s="13">
        <ns0:v>Symbols\MY_LIB_Resistors.SchLib</ns0:v>
      </ns0:c>
      <ns0:c r="N147" t="str" s="13">
        <ns0:v>RESC1608X55N</ns0:v>
      </ns0:c>
      <ns0:c r="O147" t="str" s="13">
        <ns0:v>Footprints\PBL - SMD Packages.PcbLib</ns0:v>
      </ns0:c>
      <ns0:c xmlns:ns0="http://schemas.openxmlformats.org/spreadsheetml/2006/main" r="P14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47" s="10"/>
      <ns0:c r="R147" t="str" s="11">
        <ns0:f>D147</ns0:f>
        <ns0:v>1 МОм</ns0:v>
      </ns0:c>
      <ns0:c r="S147" t="str" s="11">
        <ns0:f>K147</ns0:f>
        <ns0:v>Резистор 1 МОм ±5% 0603</ns0:v>
      </ns0:c>
      <x:c xmlns:x="http://schemas.openxmlformats.org/spreadsheetml/2006/main" r="T147" t="str" s="11">
        <x:v>C:\Users\Nomatin\Documents\Altium\MY_LIB\MY_LIB\Datasheets\YAGEO_RC_L.pdf</x:v>
      </x:c>
      <x:c xmlns:x="http://schemas.openxmlformats.org/spreadsheetml/2006/main" r="U147" t="str" s="11">
        <x:v>Даташит — локальный</x:v>
      </x:c>
      <x:c xmlns:x="http://schemas.openxmlformats.org/spreadsheetml/2006/main" r="V147" t="str" s="11">
        <x:v>C:\Users\Nomatin\Documents\Altium\MY_LIB\MY_LIB\Datasheets\YAGEO_RC_L.pdf</x:v>
      </x:c>
      <x:c xmlns:x="http://schemas.openxmlformats.org/spreadsheetml/2006/main" r="W147" t="str" s="11">
        <x:v>Даташит — производитель</x:v>
      </x:c>
      <x:c xmlns:x="http://schemas.openxmlformats.org/spreadsheetml/2006/main" r="X147" t="str" s="11">
        <x:v>https://yageogroup.com/content/datasheet/asset/file/PYU-RC_GROUP_51_ROHS_L</x:v>
      </x:c>
      <x:c xmlns:x="http://schemas.openxmlformats.org/spreadsheetml/2006/main" r="Y147" t="str" s="11">
        <x:v>C:\Users\Nomatin\Documents\Altium\MY_LIB\MY_LIB\Datasheets\YAGEO_RC_L.pdf</x:v>
      </x:c>
      <ns0:c xmlns:ns0="http://schemas.openxmlformats.org/spreadsheetml/2006/main" r="Z147" s="16" t="inlineStr">
        <ns0:is>
          <ns0:t>MY_LIB_R_TCR</ns0:t>
        </ns0:is>
      </ns0:c>
      <ns0:c xmlns:ns0="http://schemas.openxmlformats.org/spreadsheetml/2006/main" r="AA147" s="16" t="inlineStr">
        <ns0:is>
          <ns0:t>R(T), +100 ppm/C at 25 C; positive datasheet limit</ns0:t>
        </ns0:is>
      </ns0:c>
      <ns0:c xmlns:ns0="http://schemas.openxmlformats.org/spreadsheetml/2006/main" r="AB147" s="16" t="str">
        <ns0:v>General</ns0:v>
      </ns0:c>
      <ns0:c xmlns:ns0="http://schemas.openxmlformats.org/spreadsheetml/2006/main" r="AC147" s="16" t="inlineStr">
        <ns0:is>
          <ns0:t>Spice Subcircuit</ns0:t>
        </ns0:is>
      </ns0:c>
      <ns0:c xmlns:ns0="http://schemas.openxmlformats.org/spreadsheetml/2006/main" r="AD147" s="16" t="inlineStr">
        <ns0:is>
          <ns0:t>@DESIGNATOR %1 %2 @MODEL PARAMS: Rvalue=@VALUE TC1value=100u</ns0:t>
        </ns0:is>
      </ns0:c>
      <ns0:c xmlns:ns0="http://schemas.openxmlformats.org/spreadsheetml/2006/main" r="AE147" s="16" t="inlineStr">
        <ns0:is>
          <ns0:t>X</ns0:t>
        </ns0:is>
      </ns0:c>
      <ns0:c xmlns:ns0="http://schemas.openxmlformats.org/spreadsheetml/2006/main" r="AF147" s="16" t="str">
        <ns0:v>(1:1),(2:2)</ns0:v>
      </ns0:c>
      <ns0:c xmlns:ns0="http://schemas.openxmlformats.org/spreadsheetml/2006/main" r="AG147" s="16" t="inlineStr">
        <ns0:is>
          <ns0:t>Simulation\Resistors\MY_LIB_R_TCR.ckt</ns0:t>
        </ns0:is>
      </ns0:c>
      <ns0:c xmlns:ns0="http://schemas.openxmlformats.org/spreadsheetml/2006/main" r="AH147" s="16" t="inlineStr">
        <ns0:is>
          <ns0:t>±100 ppm/°C</ns0:t>
        </ns0:is>
      </ns0:c>
    </ns0:row>
    <ns0:row r="148" ht="30" customHeight="1">
      <ns0:c r="A148" t="str" s="10">
        <ns0:v>R0154</ns0:v>
      </ns0:c>
      <ns0:c r="B148" t="str" s="10">
        <ns0:v>Резистор</ns0:v>
      </ns0:c>
      <ns0:c r="C148" t="str" s="10">
        <ns0:v>1R</ns0:v>
      </ns0:c>
      <ns0:c r="D148" t="str" s="11">
        <ns0:f>SUBSTITUTE(SUBSTITUTE(SUBSTITUTE(SUBSTITUTE(C148,"meg"," МОм"),"k"," кОм"),"R"," Ом"),".",",")</ns0:f>
        <ns0:v>1 Ом</ns0:v>
      </ns0:c>
      <ns0:c r="E148" t="str" s="10">
        <ns0:v>±5%</ns0:v>
      </ns0:c>
      <ns0:c r="F148" t="str" s="10">
        <ns0:v>0,125 Вт</ns0:v>
      </ns0:c>
      <ns0:c r="G148" t="str" s="10">
        <ns0:v>150 В макс.</ns0:v>
      </ns0:c>
      <ns0:c r="H148" t="str" s="12">
        <ns0:v>0805</ns0:v>
      </ns0:c>
      <ns0:c r="I148" t="str" s="10">
        <ns0:v>YAGEO</ns0:v>
      </ns0:c>
      <ns0:c r="J148" t="str" s="10">
        <ns0:v>RC0805JR-071RL</ns0:v>
      </ns0:c>
      <ns0:c r="K148" t="str" s="11">
        <ns0:f>B148&amp;" "&amp;D148&amp;" "&amp;E148&amp;" "&amp;H148</ns0:f>
        <ns0:v>Резистор 1 Ом ±5% 0805</ns0:v>
      </ns0:c>
      <ns0:c r="L148" t="str" s="13">
        <ns0:v>R</ns0:v>
      </ns0:c>
      <ns0:c r="M148" t="str" s="13">
        <ns0:v>Symbols\MY_LIB_Resistors.SchLib</ns0:v>
      </ns0:c>
      <ns0:c r="N148" t="str" s="13">
        <ns0:v>RESC2012X70N</ns0:v>
      </ns0:c>
      <ns0:c r="O148" t="str" s="13">
        <ns0:v>Footprints\PBL - SMD Packages.PcbLib</ns0:v>
      </ns0:c>
      <ns0:c xmlns:ns0="http://schemas.openxmlformats.org/spreadsheetml/2006/main" r="P148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48" s="10"/>
      <ns0:c r="R148" t="str" s="11">
        <ns0:f>D148</ns0:f>
        <ns0:v>1 Ом</ns0:v>
      </ns0:c>
      <ns0:c r="S148" t="str" s="11">
        <ns0:f>K148</ns0:f>
        <ns0:v>Резистор 1 Ом ±5% 0805</ns0:v>
      </ns0:c>
      <x:c xmlns:x="http://schemas.openxmlformats.org/spreadsheetml/2006/main" r="T148" t="str" s="11">
        <x:v>C:\Users\Nomatin\Documents\Altium\MY_LIB\MY_LIB\Datasheets\YAGEO_RC_L.pdf</x:v>
      </x:c>
      <x:c xmlns:x="http://schemas.openxmlformats.org/spreadsheetml/2006/main" r="U148" t="str" s="11">
        <x:v>Даташит — локальный</x:v>
      </x:c>
      <x:c xmlns:x="http://schemas.openxmlformats.org/spreadsheetml/2006/main" r="V148" t="str" s="11">
        <x:v>C:\Users\Nomatin\Documents\Altium\MY_LIB\MY_LIB\Datasheets\YAGEO_RC_L.pdf</x:v>
      </x:c>
      <x:c xmlns:x="http://schemas.openxmlformats.org/spreadsheetml/2006/main" r="W148" t="str" s="11">
        <x:v>Даташит — производитель</x:v>
      </x:c>
      <x:c xmlns:x="http://schemas.openxmlformats.org/spreadsheetml/2006/main" r="X148" t="str" s="11">
        <x:v>https://yageogroup.com/content/datasheet/asset/file/PYU-RC_GROUP_51_ROHS_L</x:v>
      </x:c>
      <x:c xmlns:x="http://schemas.openxmlformats.org/spreadsheetml/2006/main" r="Y148" t="str" s="11">
        <x:v>C:\Users\Nomatin\Documents\Altium\MY_LIB\MY_LIB\Datasheets\YAGEO_RC_L.pdf</x:v>
      </x:c>
      <ns0:c xmlns:ns0="http://schemas.openxmlformats.org/spreadsheetml/2006/main" r="Z148" s="16" t="inlineStr">
        <ns0:is>
          <ns0:t>MY_LIB_R_TCR</ns0:t>
        </ns0:is>
      </ns0:c>
      <ns0:c xmlns:ns0="http://schemas.openxmlformats.org/spreadsheetml/2006/main" r="AA148" s="16" t="inlineStr">
        <ns0:is>
          <ns0:t>R(T), +200 ppm/C at 25 C; positive datasheet limit</ns0:t>
        </ns0:is>
      </ns0:c>
      <ns0:c xmlns:ns0="http://schemas.openxmlformats.org/spreadsheetml/2006/main" r="AB148" s="16" t="str">
        <ns0:v>General</ns0:v>
      </ns0:c>
      <ns0:c xmlns:ns0="http://schemas.openxmlformats.org/spreadsheetml/2006/main" r="AC148" s="16" t="inlineStr">
        <ns0:is>
          <ns0:t>Spice Subcircuit</ns0:t>
        </ns0:is>
      </ns0:c>
      <ns0:c xmlns:ns0="http://schemas.openxmlformats.org/spreadsheetml/2006/main" r="AD148" s="16" t="inlineStr">
        <ns0:is>
          <ns0:t>@DESIGNATOR %1 %2 @MODEL PARAMS: Rvalue=@VALUE TC1value=200u</ns0:t>
        </ns0:is>
      </ns0:c>
      <ns0:c xmlns:ns0="http://schemas.openxmlformats.org/spreadsheetml/2006/main" r="AE148" s="16" t="inlineStr">
        <ns0:is>
          <ns0:t>X</ns0:t>
        </ns0:is>
      </ns0:c>
      <ns0:c xmlns:ns0="http://schemas.openxmlformats.org/spreadsheetml/2006/main" r="AF148" s="16" t="str">
        <ns0:v>(1:1),(2:2)</ns0:v>
      </ns0:c>
      <ns0:c xmlns:ns0="http://schemas.openxmlformats.org/spreadsheetml/2006/main" r="AG148" s="16" t="inlineStr">
        <ns0:is>
          <ns0:t>Simulation\Resistors\MY_LIB_R_TCR.ckt</ns0:t>
        </ns0:is>
      </ns0:c>
      <ns0:c xmlns:ns0="http://schemas.openxmlformats.org/spreadsheetml/2006/main" r="AH148" s="16" t="inlineStr">
        <ns0:is>
          <ns0:t>±200 ppm/°C</ns0:t>
        </ns0:is>
      </ns0:c>
    </ns0:row>
    <ns0:row r="149" ht="30" customHeight="1">
      <ns0:c r="A149" t="str" s="10">
        <ns0:v>R0155</ns0:v>
      </ns0:c>
      <ns0:c r="B149" t="str" s="10">
        <ns0:v>Резистор</ns0:v>
      </ns0:c>
      <ns0:c r="C149" t="str" s="10">
        <ns0:v>1.1R</ns0:v>
      </ns0:c>
      <ns0:c r="D149" t="str" s="11">
        <ns0:f>SUBSTITUTE(SUBSTITUTE(SUBSTITUTE(SUBSTITUTE(C149,"meg"," МОм"),"k"," кОм"),"R"," Ом"),".",",")</ns0:f>
        <ns0:v>1,1 Ом</ns0:v>
      </ns0:c>
      <ns0:c r="E149" t="str" s="10">
        <ns0:v>±5%</ns0:v>
      </ns0:c>
      <ns0:c r="F149" t="str" s="10">
        <ns0:v>0,125 Вт</ns0:v>
      </ns0:c>
      <ns0:c r="G149" t="str" s="10">
        <ns0:v>150 В макс.</ns0:v>
      </ns0:c>
      <ns0:c r="H149" t="str" s="12">
        <ns0:v>0805</ns0:v>
      </ns0:c>
      <ns0:c r="I149" t="str" s="10">
        <ns0:v>YAGEO</ns0:v>
      </ns0:c>
      <ns0:c r="J149" t="str" s="10">
        <ns0:v>RC0805JR-071R1L</ns0:v>
      </ns0:c>
      <ns0:c r="K149" t="str" s="11">
        <ns0:f>B149&amp;" "&amp;D149&amp;" "&amp;E149&amp;" "&amp;H149</ns0:f>
        <ns0:v>Резистор 1,1 Ом ±5% 0805</ns0:v>
      </ns0:c>
      <ns0:c r="L149" t="str" s="13">
        <ns0:v>R</ns0:v>
      </ns0:c>
      <ns0:c r="M149" t="str" s="13">
        <ns0:v>Symbols\MY_LIB_Resistors.SchLib</ns0:v>
      </ns0:c>
      <ns0:c r="N149" t="str" s="13">
        <ns0:v>RESC2012X70N</ns0:v>
      </ns0:c>
      <ns0:c r="O149" t="str" s="13">
        <ns0:v>Footprints\PBL - SMD Packages.PcbLib</ns0:v>
      </ns0:c>
      <ns0:c xmlns:ns0="http://schemas.openxmlformats.org/spreadsheetml/2006/main" r="P149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49" s="10"/>
      <ns0:c r="R149" t="str" s="11">
        <ns0:f>D149</ns0:f>
        <ns0:v>1,1 Ом</ns0:v>
      </ns0:c>
      <ns0:c r="S149" t="str" s="11">
        <ns0:f>K149</ns0:f>
        <ns0:v>Резистор 1,1 Ом ±5% 0805</ns0:v>
      </ns0:c>
      <x:c xmlns:x="http://schemas.openxmlformats.org/spreadsheetml/2006/main" r="T149" t="str" s="11">
        <x:v>C:\Users\Nomatin\Documents\Altium\MY_LIB\MY_LIB\Datasheets\YAGEO_RC_L.pdf</x:v>
      </x:c>
      <x:c xmlns:x="http://schemas.openxmlformats.org/spreadsheetml/2006/main" r="U149" t="str" s="11">
        <x:v>Даташит — локальный</x:v>
      </x:c>
      <x:c xmlns:x="http://schemas.openxmlformats.org/spreadsheetml/2006/main" r="V149" t="str" s="11">
        <x:v>C:\Users\Nomatin\Documents\Altium\MY_LIB\MY_LIB\Datasheets\YAGEO_RC_L.pdf</x:v>
      </x:c>
      <x:c xmlns:x="http://schemas.openxmlformats.org/spreadsheetml/2006/main" r="W149" t="str" s="11">
        <x:v>Даташит — производитель</x:v>
      </x:c>
      <x:c xmlns:x="http://schemas.openxmlformats.org/spreadsheetml/2006/main" r="X149" t="str" s="11">
        <x:v>https://yageogroup.com/content/datasheet/asset/file/PYU-RC_GROUP_51_ROHS_L</x:v>
      </x:c>
      <x:c xmlns:x="http://schemas.openxmlformats.org/spreadsheetml/2006/main" r="Y149" t="str" s="11">
        <x:v>C:\Users\Nomatin\Documents\Altium\MY_LIB\MY_LIB\Datasheets\YAGEO_RC_L.pdf</x:v>
      </x:c>
      <ns0:c xmlns:ns0="http://schemas.openxmlformats.org/spreadsheetml/2006/main" r="Z149" s="16" t="inlineStr">
        <ns0:is>
          <ns0:t>MY_LIB_R_TCR</ns0:t>
        </ns0:is>
      </ns0:c>
      <ns0:c xmlns:ns0="http://schemas.openxmlformats.org/spreadsheetml/2006/main" r="AA149" s="16" t="inlineStr">
        <ns0:is>
          <ns0:t>R(T), +200 ppm/C at 25 C; positive datasheet limit</ns0:t>
        </ns0:is>
      </ns0:c>
      <ns0:c xmlns:ns0="http://schemas.openxmlformats.org/spreadsheetml/2006/main" r="AB149" s="16" t="str">
        <ns0:v>General</ns0:v>
      </ns0:c>
      <ns0:c xmlns:ns0="http://schemas.openxmlformats.org/spreadsheetml/2006/main" r="AC149" s="16" t="inlineStr">
        <ns0:is>
          <ns0:t>Spice Subcircuit</ns0:t>
        </ns0:is>
      </ns0:c>
      <ns0:c xmlns:ns0="http://schemas.openxmlformats.org/spreadsheetml/2006/main" r="AD149" s="16" t="inlineStr">
        <ns0:is>
          <ns0:t>@DESIGNATOR %1 %2 @MODEL PARAMS: Rvalue=@VALUE TC1value=200u</ns0:t>
        </ns0:is>
      </ns0:c>
      <ns0:c xmlns:ns0="http://schemas.openxmlformats.org/spreadsheetml/2006/main" r="AE149" s="16" t="inlineStr">
        <ns0:is>
          <ns0:t>X</ns0:t>
        </ns0:is>
      </ns0:c>
      <ns0:c xmlns:ns0="http://schemas.openxmlformats.org/spreadsheetml/2006/main" r="AF149" s="16" t="str">
        <ns0:v>(1:1),(2:2)</ns0:v>
      </ns0:c>
      <ns0:c xmlns:ns0="http://schemas.openxmlformats.org/spreadsheetml/2006/main" r="AG149" s="16" t="inlineStr">
        <ns0:is>
          <ns0:t>Simulation\Resistors\MY_LIB_R_TCR.ckt</ns0:t>
        </ns0:is>
      </ns0:c>
      <ns0:c xmlns:ns0="http://schemas.openxmlformats.org/spreadsheetml/2006/main" r="AH149" s="16" t="inlineStr">
        <ns0:is>
          <ns0:t>±200 ppm/°C</ns0:t>
        </ns0:is>
      </ns0:c>
    </ns0:row>
    <ns0:row r="150" ht="30" customHeight="1">
      <ns0:c r="A150" t="str" s="10">
        <ns0:v>R0156</ns0:v>
      </ns0:c>
      <ns0:c r="B150" t="str" s="10">
        <ns0:v>Резистор</ns0:v>
      </ns0:c>
      <ns0:c r="C150" t="str" s="10">
        <ns0:v>1.2R</ns0:v>
      </ns0:c>
      <ns0:c r="D150" t="str" s="11">
        <ns0:f>SUBSTITUTE(SUBSTITUTE(SUBSTITUTE(SUBSTITUTE(C150,"meg"," МОм"),"k"," кОм"),"R"," Ом"),".",",")</ns0:f>
        <ns0:v>1,2 Ом</ns0:v>
      </ns0:c>
      <ns0:c r="E150" t="str" s="10">
        <ns0:v>±5%</ns0:v>
      </ns0:c>
      <ns0:c r="F150" t="str" s="10">
        <ns0:v>0,125 Вт</ns0:v>
      </ns0:c>
      <ns0:c r="G150" t="str" s="10">
        <ns0:v>150 В макс.</ns0:v>
      </ns0:c>
      <ns0:c r="H150" t="str" s="12">
        <ns0:v>0805</ns0:v>
      </ns0:c>
      <ns0:c r="I150" t="str" s="10">
        <ns0:v>YAGEO</ns0:v>
      </ns0:c>
      <ns0:c r="J150" t="str" s="10">
        <ns0:v>RC0805JR-071R2L</ns0:v>
      </ns0:c>
      <ns0:c r="K150" t="str" s="11">
        <ns0:f>B150&amp;" "&amp;D150&amp;" "&amp;E150&amp;" "&amp;H150</ns0:f>
        <ns0:v>Резистор 1,2 Ом ±5% 0805</ns0:v>
      </ns0:c>
      <ns0:c r="L150" t="str" s="13">
        <ns0:v>R</ns0:v>
      </ns0:c>
      <ns0:c r="M150" t="str" s="13">
        <ns0:v>Symbols\MY_LIB_Resistors.SchLib</ns0:v>
      </ns0:c>
      <ns0:c r="N150" t="str" s="13">
        <ns0:v>RESC2012X70N</ns0:v>
      </ns0:c>
      <ns0:c r="O150" t="str" s="13">
        <ns0:v>Footprints\PBL - SMD Packages.PcbLib</ns0:v>
      </ns0:c>
      <ns0:c xmlns:ns0="http://schemas.openxmlformats.org/spreadsheetml/2006/main" r="P150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0" s="10"/>
      <ns0:c r="R150" t="str" s="11">
        <ns0:f>D150</ns0:f>
        <ns0:v>1,2 Ом</ns0:v>
      </ns0:c>
      <ns0:c r="S150" t="str" s="11">
        <ns0:f>K150</ns0:f>
        <ns0:v>Резистор 1,2 Ом ±5% 0805</ns0:v>
      </ns0:c>
      <x:c xmlns:x="http://schemas.openxmlformats.org/spreadsheetml/2006/main" r="T150" t="str" s="11">
        <x:v>C:\Users\Nomatin\Documents\Altium\MY_LIB\MY_LIB\Datasheets\YAGEO_RC_L.pdf</x:v>
      </x:c>
      <x:c xmlns:x="http://schemas.openxmlformats.org/spreadsheetml/2006/main" r="U150" t="str" s="11">
        <x:v>Даташит — локальный</x:v>
      </x:c>
      <x:c xmlns:x="http://schemas.openxmlformats.org/spreadsheetml/2006/main" r="V150" t="str" s="11">
        <x:v>C:\Users\Nomatin\Documents\Altium\MY_LIB\MY_LIB\Datasheets\YAGEO_RC_L.pdf</x:v>
      </x:c>
      <x:c xmlns:x="http://schemas.openxmlformats.org/spreadsheetml/2006/main" r="W150" t="str" s="11">
        <x:v>Даташит — производитель</x:v>
      </x:c>
      <x:c xmlns:x="http://schemas.openxmlformats.org/spreadsheetml/2006/main" r="X150" t="str" s="11">
        <x:v>https://yageogroup.com/content/datasheet/asset/file/PYU-RC_GROUP_51_ROHS_L</x:v>
      </x:c>
      <x:c xmlns:x="http://schemas.openxmlformats.org/spreadsheetml/2006/main" r="Y150" t="str" s="11">
        <x:v>C:\Users\Nomatin\Documents\Altium\MY_LIB\MY_LIB\Datasheets\YAGEO_RC_L.pdf</x:v>
      </x:c>
      <ns0:c xmlns:ns0="http://schemas.openxmlformats.org/spreadsheetml/2006/main" r="Z150" s="16" t="inlineStr">
        <ns0:is>
          <ns0:t>MY_LIB_R_TCR</ns0:t>
        </ns0:is>
      </ns0:c>
      <ns0:c xmlns:ns0="http://schemas.openxmlformats.org/spreadsheetml/2006/main" r="AA150" s="16" t="inlineStr">
        <ns0:is>
          <ns0:t>R(T), +200 ppm/C at 25 C; positive datasheet limit</ns0:t>
        </ns0:is>
      </ns0:c>
      <ns0:c xmlns:ns0="http://schemas.openxmlformats.org/spreadsheetml/2006/main" r="AB150" s="16" t="str">
        <ns0:v>General</ns0:v>
      </ns0:c>
      <ns0:c xmlns:ns0="http://schemas.openxmlformats.org/spreadsheetml/2006/main" r="AC150" s="16" t="inlineStr">
        <ns0:is>
          <ns0:t>Spice Subcircuit</ns0:t>
        </ns0:is>
      </ns0:c>
      <ns0:c xmlns:ns0="http://schemas.openxmlformats.org/spreadsheetml/2006/main" r="AD150" s="16" t="inlineStr">
        <ns0:is>
          <ns0:t>@DESIGNATOR %1 %2 @MODEL PARAMS: Rvalue=@VALUE TC1value=200u</ns0:t>
        </ns0:is>
      </ns0:c>
      <ns0:c xmlns:ns0="http://schemas.openxmlformats.org/spreadsheetml/2006/main" r="AE150" s="16" t="inlineStr">
        <ns0:is>
          <ns0:t>X</ns0:t>
        </ns0:is>
      </ns0:c>
      <ns0:c xmlns:ns0="http://schemas.openxmlformats.org/spreadsheetml/2006/main" r="AF150" s="16" t="str">
        <ns0:v>(1:1),(2:2)</ns0:v>
      </ns0:c>
      <ns0:c xmlns:ns0="http://schemas.openxmlformats.org/spreadsheetml/2006/main" r="AG150" s="16" t="inlineStr">
        <ns0:is>
          <ns0:t>Simulation\Resistors\MY_LIB_R_TCR.ckt</ns0:t>
        </ns0:is>
      </ns0:c>
      <ns0:c xmlns:ns0="http://schemas.openxmlformats.org/spreadsheetml/2006/main" r="AH150" s="16" t="inlineStr">
        <ns0:is>
          <ns0:t>±200 ppm/°C</ns0:t>
        </ns0:is>
      </ns0:c>
    </ns0:row>
    <ns0:row r="151" ht="30" customHeight="1">
      <ns0:c r="A151" t="str" s="10">
        <ns0:v>R0157</ns0:v>
      </ns0:c>
      <ns0:c r="B151" t="str" s="10">
        <ns0:v>Резистор</ns0:v>
      </ns0:c>
      <ns0:c r="C151" t="str" s="10">
        <ns0:v>1.3R</ns0:v>
      </ns0:c>
      <ns0:c r="D151" t="str" s="11">
        <ns0:f>SUBSTITUTE(SUBSTITUTE(SUBSTITUTE(SUBSTITUTE(C151,"meg"," МОм"),"k"," кОм"),"R"," Ом"),".",",")</ns0:f>
        <ns0:v>1,3 Ом</ns0:v>
      </ns0:c>
      <ns0:c r="E151" t="str" s="10">
        <ns0:v>±5%</ns0:v>
      </ns0:c>
      <ns0:c r="F151" t="str" s="10">
        <ns0:v>0,125 Вт</ns0:v>
      </ns0:c>
      <ns0:c r="G151" t="str" s="10">
        <ns0:v>150 В макс.</ns0:v>
      </ns0:c>
      <ns0:c r="H151" t="str" s="12">
        <ns0:v>0805</ns0:v>
      </ns0:c>
      <ns0:c r="I151" t="str" s="10">
        <ns0:v>YAGEO</ns0:v>
      </ns0:c>
      <ns0:c r="J151" t="str" s="10">
        <ns0:v>RC0805JR-071R3L</ns0:v>
      </ns0:c>
      <ns0:c r="K151" t="str" s="11">
        <ns0:f>B151&amp;" "&amp;D151&amp;" "&amp;E151&amp;" "&amp;H151</ns0:f>
        <ns0:v>Резистор 1,3 Ом ±5% 0805</ns0:v>
      </ns0:c>
      <ns0:c r="L151" t="str" s="13">
        <ns0:v>R</ns0:v>
      </ns0:c>
      <ns0:c r="M151" t="str" s="13">
        <ns0:v>Symbols\MY_LIB_Resistors.SchLib</ns0:v>
      </ns0:c>
      <ns0:c r="N151" t="str" s="13">
        <ns0:v>RESC2012X70N</ns0:v>
      </ns0:c>
      <ns0:c r="O151" t="str" s="13">
        <ns0:v>Footprints\PBL - SMD Packages.PcbLib</ns0:v>
      </ns0:c>
      <ns0:c xmlns:ns0="http://schemas.openxmlformats.org/spreadsheetml/2006/main" r="P151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1" s="10"/>
      <ns0:c r="R151" t="str" s="11">
        <ns0:f>D151</ns0:f>
        <ns0:v>1,3 Ом</ns0:v>
      </ns0:c>
      <ns0:c r="S151" t="str" s="11">
        <ns0:f>K151</ns0:f>
        <ns0:v>Резистор 1,3 Ом ±5% 0805</ns0:v>
      </ns0:c>
      <x:c xmlns:x="http://schemas.openxmlformats.org/spreadsheetml/2006/main" r="T151" t="str" s="11">
        <x:v>C:\Users\Nomatin\Documents\Altium\MY_LIB\MY_LIB\Datasheets\YAGEO_RC_L.pdf</x:v>
      </x:c>
      <x:c xmlns:x="http://schemas.openxmlformats.org/spreadsheetml/2006/main" r="U151" t="str" s="11">
        <x:v>Даташит — локальный</x:v>
      </x:c>
      <x:c xmlns:x="http://schemas.openxmlformats.org/spreadsheetml/2006/main" r="V151" t="str" s="11">
        <x:v>C:\Users\Nomatin\Documents\Altium\MY_LIB\MY_LIB\Datasheets\YAGEO_RC_L.pdf</x:v>
      </x:c>
      <x:c xmlns:x="http://schemas.openxmlformats.org/spreadsheetml/2006/main" r="W151" t="str" s="11">
        <x:v>Даташит — производитель</x:v>
      </x:c>
      <x:c xmlns:x="http://schemas.openxmlformats.org/spreadsheetml/2006/main" r="X151" t="str" s="11">
        <x:v>https://yageogroup.com/content/datasheet/asset/file/PYU-RC_GROUP_51_ROHS_L</x:v>
      </x:c>
      <x:c xmlns:x="http://schemas.openxmlformats.org/spreadsheetml/2006/main" r="Y151" t="str" s="11">
        <x:v>C:\Users\Nomatin\Documents\Altium\MY_LIB\MY_LIB\Datasheets\YAGEO_RC_L.pdf</x:v>
      </x:c>
      <ns0:c xmlns:ns0="http://schemas.openxmlformats.org/spreadsheetml/2006/main" r="Z151" s="16" t="inlineStr">
        <ns0:is>
          <ns0:t>MY_LIB_R_TCR</ns0:t>
        </ns0:is>
      </ns0:c>
      <ns0:c xmlns:ns0="http://schemas.openxmlformats.org/spreadsheetml/2006/main" r="AA151" s="16" t="inlineStr">
        <ns0:is>
          <ns0:t>R(T), +200 ppm/C at 25 C; positive datasheet limit</ns0:t>
        </ns0:is>
      </ns0:c>
      <ns0:c xmlns:ns0="http://schemas.openxmlformats.org/spreadsheetml/2006/main" r="AB151" s="16" t="str">
        <ns0:v>General</ns0:v>
      </ns0:c>
      <ns0:c xmlns:ns0="http://schemas.openxmlformats.org/spreadsheetml/2006/main" r="AC151" s="16" t="inlineStr">
        <ns0:is>
          <ns0:t>Spice Subcircuit</ns0:t>
        </ns0:is>
      </ns0:c>
      <ns0:c xmlns:ns0="http://schemas.openxmlformats.org/spreadsheetml/2006/main" r="AD151" s="16" t="inlineStr">
        <ns0:is>
          <ns0:t>@DESIGNATOR %1 %2 @MODEL PARAMS: Rvalue=@VALUE TC1value=200u</ns0:t>
        </ns0:is>
      </ns0:c>
      <ns0:c xmlns:ns0="http://schemas.openxmlformats.org/spreadsheetml/2006/main" r="AE151" s="16" t="inlineStr">
        <ns0:is>
          <ns0:t>X</ns0:t>
        </ns0:is>
      </ns0:c>
      <ns0:c xmlns:ns0="http://schemas.openxmlformats.org/spreadsheetml/2006/main" r="AF151" s="16" t="str">
        <ns0:v>(1:1),(2:2)</ns0:v>
      </ns0:c>
      <ns0:c xmlns:ns0="http://schemas.openxmlformats.org/spreadsheetml/2006/main" r="AG151" s="16" t="inlineStr">
        <ns0:is>
          <ns0:t>Simulation\Resistors\MY_LIB_R_TCR.ckt</ns0:t>
        </ns0:is>
      </ns0:c>
      <ns0:c xmlns:ns0="http://schemas.openxmlformats.org/spreadsheetml/2006/main" r="AH151" s="16" t="inlineStr">
        <ns0:is>
          <ns0:t>±200 ppm/°C</ns0:t>
        </ns0:is>
      </ns0:c>
    </ns0:row>
    <ns0:row r="152" ht="30" customHeight="1">
      <ns0:c r="A152" t="str" s="10">
        <ns0:v>R0158</ns0:v>
      </ns0:c>
      <ns0:c r="B152" t="str" s="10">
        <ns0:v>Резистор</ns0:v>
      </ns0:c>
      <ns0:c r="C152" t="str" s="10">
        <ns0:v>1.5R</ns0:v>
      </ns0:c>
      <ns0:c r="D152" t="str" s="11">
        <ns0:f>SUBSTITUTE(SUBSTITUTE(SUBSTITUTE(SUBSTITUTE(C152,"meg"," МОм"),"k"," кОм"),"R"," Ом"),".",",")</ns0:f>
        <ns0:v>1,5 Ом</ns0:v>
      </ns0:c>
      <ns0:c r="E152" t="str" s="10">
        <ns0:v>±5%</ns0:v>
      </ns0:c>
      <ns0:c r="F152" t="str" s="10">
        <ns0:v>0,125 Вт</ns0:v>
      </ns0:c>
      <ns0:c r="G152" t="str" s="10">
        <ns0:v>150 В макс.</ns0:v>
      </ns0:c>
      <ns0:c r="H152" t="str" s="12">
        <ns0:v>0805</ns0:v>
      </ns0:c>
      <ns0:c r="I152" t="str" s="10">
        <ns0:v>YAGEO</ns0:v>
      </ns0:c>
      <ns0:c r="J152" t="str" s="10">
        <ns0:v>RC0805JR-071R5L</ns0:v>
      </ns0:c>
      <ns0:c r="K152" t="str" s="11">
        <ns0:f>B152&amp;" "&amp;D152&amp;" "&amp;E152&amp;" "&amp;H152</ns0:f>
        <ns0:v>Резистор 1,5 Ом ±5% 0805</ns0:v>
      </ns0:c>
      <ns0:c r="L152" t="str" s="13">
        <ns0:v>R</ns0:v>
      </ns0:c>
      <ns0:c r="M152" t="str" s="13">
        <ns0:v>Symbols\MY_LIB_Resistors.SchLib</ns0:v>
      </ns0:c>
      <ns0:c r="N152" t="str" s="13">
        <ns0:v>RESC2012X70N</ns0:v>
      </ns0:c>
      <ns0:c r="O152" t="str" s="13">
        <ns0:v>Footprints\PBL - SMD Packages.PcbLib</ns0:v>
      </ns0:c>
      <ns0:c xmlns:ns0="http://schemas.openxmlformats.org/spreadsheetml/2006/main" r="P152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2" s="10"/>
      <ns0:c r="R152" t="str" s="11">
        <ns0:f>D152</ns0:f>
        <ns0:v>1,5 Ом</ns0:v>
      </ns0:c>
      <ns0:c r="S152" t="str" s="11">
        <ns0:f>K152</ns0:f>
        <ns0:v>Резистор 1,5 Ом ±5% 0805</ns0:v>
      </ns0:c>
      <x:c xmlns:x="http://schemas.openxmlformats.org/spreadsheetml/2006/main" r="T152" t="str" s="11">
        <x:v>C:\Users\Nomatin\Documents\Altium\MY_LIB\MY_LIB\Datasheets\YAGEO_RC_L.pdf</x:v>
      </x:c>
      <x:c xmlns:x="http://schemas.openxmlformats.org/spreadsheetml/2006/main" r="U152" t="str" s="11">
        <x:v>Даташит — локальный</x:v>
      </x:c>
      <x:c xmlns:x="http://schemas.openxmlformats.org/spreadsheetml/2006/main" r="V152" t="str" s="11">
        <x:v>C:\Users\Nomatin\Documents\Altium\MY_LIB\MY_LIB\Datasheets\YAGEO_RC_L.pdf</x:v>
      </x:c>
      <x:c xmlns:x="http://schemas.openxmlformats.org/spreadsheetml/2006/main" r="W152" t="str" s="11">
        <x:v>Даташит — производитель</x:v>
      </x:c>
      <x:c xmlns:x="http://schemas.openxmlformats.org/spreadsheetml/2006/main" r="X152" t="str" s="11">
        <x:v>https://yageogroup.com/content/datasheet/asset/file/PYU-RC_GROUP_51_ROHS_L</x:v>
      </x:c>
      <x:c xmlns:x="http://schemas.openxmlformats.org/spreadsheetml/2006/main" r="Y152" t="str" s="11">
        <x:v>C:\Users\Nomatin\Documents\Altium\MY_LIB\MY_LIB\Datasheets\YAGEO_RC_L.pdf</x:v>
      </x:c>
      <ns0:c xmlns:ns0="http://schemas.openxmlformats.org/spreadsheetml/2006/main" r="Z152" s="16" t="inlineStr">
        <ns0:is>
          <ns0:t>MY_LIB_R_TCR</ns0:t>
        </ns0:is>
      </ns0:c>
      <ns0:c xmlns:ns0="http://schemas.openxmlformats.org/spreadsheetml/2006/main" r="AA152" s="16" t="inlineStr">
        <ns0:is>
          <ns0:t>R(T), +200 ppm/C at 25 C; positive datasheet limit</ns0:t>
        </ns0:is>
      </ns0:c>
      <ns0:c xmlns:ns0="http://schemas.openxmlformats.org/spreadsheetml/2006/main" r="AB152" s="16" t="str">
        <ns0:v>General</ns0:v>
      </ns0:c>
      <ns0:c xmlns:ns0="http://schemas.openxmlformats.org/spreadsheetml/2006/main" r="AC152" s="16" t="inlineStr">
        <ns0:is>
          <ns0:t>Spice Subcircuit</ns0:t>
        </ns0:is>
      </ns0:c>
      <ns0:c xmlns:ns0="http://schemas.openxmlformats.org/spreadsheetml/2006/main" r="AD152" s="16" t="inlineStr">
        <ns0:is>
          <ns0:t>@DESIGNATOR %1 %2 @MODEL PARAMS: Rvalue=@VALUE TC1value=200u</ns0:t>
        </ns0:is>
      </ns0:c>
      <ns0:c xmlns:ns0="http://schemas.openxmlformats.org/spreadsheetml/2006/main" r="AE152" s="16" t="inlineStr">
        <ns0:is>
          <ns0:t>X</ns0:t>
        </ns0:is>
      </ns0:c>
      <ns0:c xmlns:ns0="http://schemas.openxmlformats.org/spreadsheetml/2006/main" r="AF152" s="16" t="str">
        <ns0:v>(1:1),(2:2)</ns0:v>
      </ns0:c>
      <ns0:c xmlns:ns0="http://schemas.openxmlformats.org/spreadsheetml/2006/main" r="AG152" s="16" t="inlineStr">
        <ns0:is>
          <ns0:t>Simulation\Resistors\MY_LIB_R_TCR.ckt</ns0:t>
        </ns0:is>
      </ns0:c>
      <ns0:c xmlns:ns0="http://schemas.openxmlformats.org/spreadsheetml/2006/main" r="AH152" s="16" t="inlineStr">
        <ns0:is>
          <ns0:t>±200 ppm/°C</ns0:t>
        </ns0:is>
      </ns0:c>
    </ns0:row>
    <ns0:row r="153" ht="30" customHeight="1">
      <ns0:c r="A153" t="str" s="10">
        <ns0:v>R0159</ns0:v>
      </ns0:c>
      <ns0:c r="B153" t="str" s="10">
        <ns0:v>Резистор</ns0:v>
      </ns0:c>
      <ns0:c r="C153" t="str" s="10">
        <ns0:v>1.6R</ns0:v>
      </ns0:c>
      <ns0:c r="D153" t="str" s="11">
        <ns0:f>SUBSTITUTE(SUBSTITUTE(SUBSTITUTE(SUBSTITUTE(C153,"meg"," МОм"),"k"," кОм"),"R"," Ом"),".",",")</ns0:f>
        <ns0:v>1,6 Ом</ns0:v>
      </ns0:c>
      <ns0:c r="E153" t="str" s="10">
        <ns0:v>±5%</ns0:v>
      </ns0:c>
      <ns0:c r="F153" t="str" s="10">
        <ns0:v>0,125 Вт</ns0:v>
      </ns0:c>
      <ns0:c r="G153" t="str" s="10">
        <ns0:v>150 В макс.</ns0:v>
      </ns0:c>
      <ns0:c r="H153" t="str" s="12">
        <ns0:v>0805</ns0:v>
      </ns0:c>
      <ns0:c r="I153" t="str" s="10">
        <ns0:v>YAGEO</ns0:v>
      </ns0:c>
      <ns0:c r="J153" t="str" s="10">
        <ns0:v>RC0805JR-071R6L</ns0:v>
      </ns0:c>
      <ns0:c r="K153" t="str" s="11">
        <ns0:f>B153&amp;" "&amp;D153&amp;" "&amp;E153&amp;" "&amp;H153</ns0:f>
        <ns0:v>Резистор 1,6 Ом ±5% 0805</ns0:v>
      </ns0:c>
      <ns0:c r="L153" t="str" s="13">
        <ns0:v>R</ns0:v>
      </ns0:c>
      <ns0:c r="M153" t="str" s="13">
        <ns0:v>Symbols\MY_LIB_Resistors.SchLib</ns0:v>
      </ns0:c>
      <ns0:c r="N153" t="str" s="13">
        <ns0:v>RESC2012X70N</ns0:v>
      </ns0:c>
      <ns0:c r="O153" t="str" s="13">
        <ns0:v>Footprints\PBL - SMD Packages.PcbLib</ns0:v>
      </ns0:c>
      <ns0:c xmlns:ns0="http://schemas.openxmlformats.org/spreadsheetml/2006/main" r="P153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3" s="10"/>
      <ns0:c r="R153" t="str" s="11">
        <ns0:f>D153</ns0:f>
        <ns0:v>1,6 Ом</ns0:v>
      </ns0:c>
      <ns0:c r="S153" t="str" s="11">
        <ns0:f>K153</ns0:f>
        <ns0:v>Резистор 1,6 Ом ±5% 0805</ns0:v>
      </ns0:c>
      <x:c xmlns:x="http://schemas.openxmlformats.org/spreadsheetml/2006/main" r="T153" t="str" s="11">
        <x:v>C:\Users\Nomatin\Documents\Altium\MY_LIB\MY_LIB\Datasheets\YAGEO_RC_L.pdf</x:v>
      </x:c>
      <x:c xmlns:x="http://schemas.openxmlformats.org/spreadsheetml/2006/main" r="U153" t="str" s="11">
        <x:v>Даташит — локальный</x:v>
      </x:c>
      <x:c xmlns:x="http://schemas.openxmlformats.org/spreadsheetml/2006/main" r="V153" t="str" s="11">
        <x:v>C:\Users\Nomatin\Documents\Altium\MY_LIB\MY_LIB\Datasheets\YAGEO_RC_L.pdf</x:v>
      </x:c>
      <x:c xmlns:x="http://schemas.openxmlformats.org/spreadsheetml/2006/main" r="W153" t="str" s="11">
        <x:v>Даташит — производитель</x:v>
      </x:c>
      <x:c xmlns:x="http://schemas.openxmlformats.org/spreadsheetml/2006/main" r="X153" t="str" s="11">
        <x:v>https://yageogroup.com/content/datasheet/asset/file/PYU-RC_GROUP_51_ROHS_L</x:v>
      </x:c>
      <x:c xmlns:x="http://schemas.openxmlformats.org/spreadsheetml/2006/main" r="Y153" t="str" s="11">
        <x:v>C:\Users\Nomatin\Documents\Altium\MY_LIB\MY_LIB\Datasheets\YAGEO_RC_L.pdf</x:v>
      </x:c>
      <ns0:c xmlns:ns0="http://schemas.openxmlformats.org/spreadsheetml/2006/main" r="Z153" s="16" t="inlineStr">
        <ns0:is>
          <ns0:t>MY_LIB_R_TCR</ns0:t>
        </ns0:is>
      </ns0:c>
      <ns0:c xmlns:ns0="http://schemas.openxmlformats.org/spreadsheetml/2006/main" r="AA153" s="16" t="inlineStr">
        <ns0:is>
          <ns0:t>R(T), +200 ppm/C at 25 C; positive datasheet limit</ns0:t>
        </ns0:is>
      </ns0:c>
      <ns0:c xmlns:ns0="http://schemas.openxmlformats.org/spreadsheetml/2006/main" r="AB153" s="16" t="str">
        <ns0:v>General</ns0:v>
      </ns0:c>
      <ns0:c xmlns:ns0="http://schemas.openxmlformats.org/spreadsheetml/2006/main" r="AC153" s="16" t="inlineStr">
        <ns0:is>
          <ns0:t>Spice Subcircuit</ns0:t>
        </ns0:is>
      </ns0:c>
      <ns0:c xmlns:ns0="http://schemas.openxmlformats.org/spreadsheetml/2006/main" r="AD153" s="16" t="inlineStr">
        <ns0:is>
          <ns0:t>@DESIGNATOR %1 %2 @MODEL PARAMS: Rvalue=@VALUE TC1value=200u</ns0:t>
        </ns0:is>
      </ns0:c>
      <ns0:c xmlns:ns0="http://schemas.openxmlformats.org/spreadsheetml/2006/main" r="AE153" s="16" t="inlineStr">
        <ns0:is>
          <ns0:t>X</ns0:t>
        </ns0:is>
      </ns0:c>
      <ns0:c xmlns:ns0="http://schemas.openxmlformats.org/spreadsheetml/2006/main" r="AF153" s="16" t="str">
        <ns0:v>(1:1),(2:2)</ns0:v>
      </ns0:c>
      <ns0:c xmlns:ns0="http://schemas.openxmlformats.org/spreadsheetml/2006/main" r="AG153" s="16" t="inlineStr">
        <ns0:is>
          <ns0:t>Simulation\Resistors\MY_LIB_R_TCR.ckt</ns0:t>
        </ns0:is>
      </ns0:c>
      <ns0:c xmlns:ns0="http://schemas.openxmlformats.org/spreadsheetml/2006/main" r="AH153" s="16" t="inlineStr">
        <ns0:is>
          <ns0:t>±200 ppm/°C</ns0:t>
        </ns0:is>
      </ns0:c>
    </ns0:row>
    <ns0:row r="154" ht="30" customHeight="1">
      <ns0:c r="A154" t="str" s="10">
        <ns0:v>R0160</ns0:v>
      </ns0:c>
      <ns0:c r="B154" t="str" s="10">
        <ns0:v>Резистор</ns0:v>
      </ns0:c>
      <ns0:c r="C154" t="str" s="10">
        <ns0:v>1.8R</ns0:v>
      </ns0:c>
      <ns0:c r="D154" t="str" s="11">
        <ns0:f>SUBSTITUTE(SUBSTITUTE(SUBSTITUTE(SUBSTITUTE(C154,"meg"," МОм"),"k"," кОм"),"R"," Ом"),".",",")</ns0:f>
        <ns0:v>1,8 Ом</ns0:v>
      </ns0:c>
      <ns0:c r="E154" t="str" s="10">
        <ns0:v>±5%</ns0:v>
      </ns0:c>
      <ns0:c r="F154" t="str" s="10">
        <ns0:v>0,125 Вт</ns0:v>
      </ns0:c>
      <ns0:c r="G154" t="str" s="10">
        <ns0:v>150 В макс.</ns0:v>
      </ns0:c>
      <ns0:c r="H154" t="str" s="12">
        <ns0:v>0805</ns0:v>
      </ns0:c>
      <ns0:c r="I154" t="str" s="10">
        <ns0:v>YAGEO</ns0:v>
      </ns0:c>
      <ns0:c r="J154" t="str" s="10">
        <ns0:v>RC0805JR-071R8L</ns0:v>
      </ns0:c>
      <ns0:c r="K154" t="str" s="11">
        <ns0:f>B154&amp;" "&amp;D154&amp;" "&amp;E154&amp;" "&amp;H154</ns0:f>
        <ns0:v>Резистор 1,8 Ом ±5% 0805</ns0:v>
      </ns0:c>
      <ns0:c r="L154" t="str" s="13">
        <ns0:v>R</ns0:v>
      </ns0:c>
      <ns0:c r="M154" t="str" s="13">
        <ns0:v>Symbols\MY_LIB_Resistors.SchLib</ns0:v>
      </ns0:c>
      <ns0:c r="N154" t="str" s="13">
        <ns0:v>RESC2012X70N</ns0:v>
      </ns0:c>
      <ns0:c r="O154" t="str" s="13">
        <ns0:v>Footprints\PBL - SMD Packages.PcbLib</ns0:v>
      </ns0:c>
      <ns0:c xmlns:ns0="http://schemas.openxmlformats.org/spreadsheetml/2006/main" r="P154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4" s="10"/>
      <ns0:c r="R154" t="str" s="11">
        <ns0:f>D154</ns0:f>
        <ns0:v>1,8 Ом</ns0:v>
      </ns0:c>
      <ns0:c r="S154" t="str" s="11">
        <ns0:f>K154</ns0:f>
        <ns0:v>Резистор 1,8 Ом ±5% 0805</ns0:v>
      </ns0:c>
      <x:c xmlns:x="http://schemas.openxmlformats.org/spreadsheetml/2006/main" r="T154" t="str" s="11">
        <x:v>C:\Users\Nomatin\Documents\Altium\MY_LIB\MY_LIB\Datasheets\YAGEO_RC_L.pdf</x:v>
      </x:c>
      <x:c xmlns:x="http://schemas.openxmlformats.org/spreadsheetml/2006/main" r="U154" t="str" s="11">
        <x:v>Даташит — локальный</x:v>
      </x:c>
      <x:c xmlns:x="http://schemas.openxmlformats.org/spreadsheetml/2006/main" r="V154" t="str" s="11">
        <x:v>C:\Users\Nomatin\Documents\Altium\MY_LIB\MY_LIB\Datasheets\YAGEO_RC_L.pdf</x:v>
      </x:c>
      <x:c xmlns:x="http://schemas.openxmlformats.org/spreadsheetml/2006/main" r="W154" t="str" s="11">
        <x:v>Даташит — производитель</x:v>
      </x:c>
      <x:c xmlns:x="http://schemas.openxmlformats.org/spreadsheetml/2006/main" r="X154" t="str" s="11">
        <x:v>https://yageogroup.com/content/datasheet/asset/file/PYU-RC_GROUP_51_ROHS_L</x:v>
      </x:c>
      <x:c xmlns:x="http://schemas.openxmlformats.org/spreadsheetml/2006/main" r="Y154" t="str" s="11">
        <x:v>C:\Users\Nomatin\Documents\Altium\MY_LIB\MY_LIB\Datasheets\YAGEO_RC_L.pdf</x:v>
      </x:c>
      <ns0:c xmlns:ns0="http://schemas.openxmlformats.org/spreadsheetml/2006/main" r="Z154" s="16" t="inlineStr">
        <ns0:is>
          <ns0:t>MY_LIB_R_TCR</ns0:t>
        </ns0:is>
      </ns0:c>
      <ns0:c xmlns:ns0="http://schemas.openxmlformats.org/spreadsheetml/2006/main" r="AA154" s="16" t="inlineStr">
        <ns0:is>
          <ns0:t>R(T), +200 ppm/C at 25 C; positive datasheet limit</ns0:t>
        </ns0:is>
      </ns0:c>
      <ns0:c xmlns:ns0="http://schemas.openxmlformats.org/spreadsheetml/2006/main" r="AB154" s="16" t="str">
        <ns0:v>General</ns0:v>
      </ns0:c>
      <ns0:c xmlns:ns0="http://schemas.openxmlformats.org/spreadsheetml/2006/main" r="AC154" s="16" t="inlineStr">
        <ns0:is>
          <ns0:t>Spice Subcircuit</ns0:t>
        </ns0:is>
      </ns0:c>
      <ns0:c xmlns:ns0="http://schemas.openxmlformats.org/spreadsheetml/2006/main" r="AD154" s="16" t="inlineStr">
        <ns0:is>
          <ns0:t>@DESIGNATOR %1 %2 @MODEL PARAMS: Rvalue=@VALUE TC1value=200u</ns0:t>
        </ns0:is>
      </ns0:c>
      <ns0:c xmlns:ns0="http://schemas.openxmlformats.org/spreadsheetml/2006/main" r="AE154" s="16" t="inlineStr">
        <ns0:is>
          <ns0:t>X</ns0:t>
        </ns0:is>
      </ns0:c>
      <ns0:c xmlns:ns0="http://schemas.openxmlformats.org/spreadsheetml/2006/main" r="AF154" s="16" t="str">
        <ns0:v>(1:1),(2:2)</ns0:v>
      </ns0:c>
      <ns0:c xmlns:ns0="http://schemas.openxmlformats.org/spreadsheetml/2006/main" r="AG154" s="16" t="inlineStr">
        <ns0:is>
          <ns0:t>Simulation\Resistors\MY_LIB_R_TCR.ckt</ns0:t>
        </ns0:is>
      </ns0:c>
      <ns0:c xmlns:ns0="http://schemas.openxmlformats.org/spreadsheetml/2006/main" r="AH154" s="16" t="inlineStr">
        <ns0:is>
          <ns0:t>±200 ppm/°C</ns0:t>
        </ns0:is>
      </ns0:c>
    </ns0:row>
    <ns0:row r="155" ht="30" customHeight="1">
      <ns0:c r="A155" t="str" s="10">
        <ns0:v>R0161</ns0:v>
      </ns0:c>
      <ns0:c r="B155" t="str" s="10">
        <ns0:v>Резистор</ns0:v>
      </ns0:c>
      <ns0:c r="C155" t="str" s="10">
        <ns0:v>2R</ns0:v>
      </ns0:c>
      <ns0:c r="D155" t="str" s="11">
        <ns0:f>SUBSTITUTE(SUBSTITUTE(SUBSTITUTE(SUBSTITUTE(C155,"meg"," МОм"),"k"," кОм"),"R"," Ом"),".",",")</ns0:f>
        <ns0:v>2 Ом</ns0:v>
      </ns0:c>
      <ns0:c r="E155" t="str" s="10">
        <ns0:v>±5%</ns0:v>
      </ns0:c>
      <ns0:c r="F155" t="str" s="10">
        <ns0:v>0,125 Вт</ns0:v>
      </ns0:c>
      <ns0:c r="G155" t="str" s="10">
        <ns0:v>150 В макс.</ns0:v>
      </ns0:c>
      <ns0:c r="H155" t="str" s="12">
        <ns0:v>0805</ns0:v>
      </ns0:c>
      <ns0:c r="I155" t="str" s="10">
        <ns0:v>YAGEO</ns0:v>
      </ns0:c>
      <ns0:c r="J155" t="str" s="10">
        <ns0:v>RC0805JR-072RL</ns0:v>
      </ns0:c>
      <ns0:c r="K155" t="str" s="11">
        <ns0:f>B155&amp;" "&amp;D155&amp;" "&amp;E155&amp;" "&amp;H155</ns0:f>
        <ns0:v>Резистор 2 Ом ±5% 0805</ns0:v>
      </ns0:c>
      <ns0:c r="L155" t="str" s="13">
        <ns0:v>R</ns0:v>
      </ns0:c>
      <ns0:c r="M155" t="str" s="13">
        <ns0:v>Symbols\MY_LIB_Resistors.SchLib</ns0:v>
      </ns0:c>
      <ns0:c r="N155" t="str" s="13">
        <ns0:v>RESC2012X70N</ns0:v>
      </ns0:c>
      <ns0:c r="O155" t="str" s="13">
        <ns0:v>Footprints\PBL - SMD Packages.PcbLib</ns0:v>
      </ns0:c>
      <ns0:c xmlns:ns0="http://schemas.openxmlformats.org/spreadsheetml/2006/main" r="P155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5" s="10"/>
      <ns0:c r="R155" t="str" s="11">
        <ns0:f>D155</ns0:f>
        <ns0:v>2 Ом</ns0:v>
      </ns0:c>
      <ns0:c r="S155" t="str" s="11">
        <ns0:f>K155</ns0:f>
        <ns0:v>Резистор 2 Ом ±5% 0805</ns0:v>
      </ns0:c>
      <x:c xmlns:x="http://schemas.openxmlformats.org/spreadsheetml/2006/main" r="T155" t="str" s="11">
        <x:v>C:\Users\Nomatin\Documents\Altium\MY_LIB\MY_LIB\Datasheets\YAGEO_RC_L.pdf</x:v>
      </x:c>
      <x:c xmlns:x="http://schemas.openxmlformats.org/spreadsheetml/2006/main" r="U155" t="str" s="11">
        <x:v>Даташит — локальный</x:v>
      </x:c>
      <x:c xmlns:x="http://schemas.openxmlformats.org/spreadsheetml/2006/main" r="V155" t="str" s="11">
        <x:v>C:\Users\Nomatin\Documents\Altium\MY_LIB\MY_LIB\Datasheets\YAGEO_RC_L.pdf</x:v>
      </x:c>
      <x:c xmlns:x="http://schemas.openxmlformats.org/spreadsheetml/2006/main" r="W155" t="str" s="11">
        <x:v>Даташит — производитель</x:v>
      </x:c>
      <x:c xmlns:x="http://schemas.openxmlformats.org/spreadsheetml/2006/main" r="X155" t="str" s="11">
        <x:v>https://yageogroup.com/content/datasheet/asset/file/PYU-RC_GROUP_51_ROHS_L</x:v>
      </x:c>
      <x:c xmlns:x="http://schemas.openxmlformats.org/spreadsheetml/2006/main" r="Y155" t="str" s="11">
        <x:v>C:\Users\Nomatin\Documents\Altium\MY_LIB\MY_LIB\Datasheets\YAGEO_RC_L.pdf</x:v>
      </x:c>
      <ns0:c xmlns:ns0="http://schemas.openxmlformats.org/spreadsheetml/2006/main" r="Z155" s="16" t="inlineStr">
        <ns0:is>
          <ns0:t>MY_LIB_R_TCR</ns0:t>
        </ns0:is>
      </ns0:c>
      <ns0:c xmlns:ns0="http://schemas.openxmlformats.org/spreadsheetml/2006/main" r="AA155" s="16" t="inlineStr">
        <ns0:is>
          <ns0:t>R(T), +200 ppm/C at 25 C; positive datasheet limit</ns0:t>
        </ns0:is>
      </ns0:c>
      <ns0:c xmlns:ns0="http://schemas.openxmlformats.org/spreadsheetml/2006/main" r="AB155" s="16" t="str">
        <ns0:v>General</ns0:v>
      </ns0:c>
      <ns0:c xmlns:ns0="http://schemas.openxmlformats.org/spreadsheetml/2006/main" r="AC155" s="16" t="inlineStr">
        <ns0:is>
          <ns0:t>Spice Subcircuit</ns0:t>
        </ns0:is>
      </ns0:c>
      <ns0:c xmlns:ns0="http://schemas.openxmlformats.org/spreadsheetml/2006/main" r="AD155" s="16" t="inlineStr">
        <ns0:is>
          <ns0:t>@DESIGNATOR %1 %2 @MODEL PARAMS: Rvalue=@VALUE TC1value=200u</ns0:t>
        </ns0:is>
      </ns0:c>
      <ns0:c xmlns:ns0="http://schemas.openxmlformats.org/spreadsheetml/2006/main" r="AE155" s="16" t="inlineStr">
        <ns0:is>
          <ns0:t>X</ns0:t>
        </ns0:is>
      </ns0:c>
      <ns0:c xmlns:ns0="http://schemas.openxmlformats.org/spreadsheetml/2006/main" r="AF155" s="16" t="str">
        <ns0:v>(1:1),(2:2)</ns0:v>
      </ns0:c>
      <ns0:c xmlns:ns0="http://schemas.openxmlformats.org/spreadsheetml/2006/main" r="AG155" s="16" t="inlineStr">
        <ns0:is>
          <ns0:t>Simulation\Resistors\MY_LIB_R_TCR.ckt</ns0:t>
        </ns0:is>
      </ns0:c>
      <ns0:c xmlns:ns0="http://schemas.openxmlformats.org/spreadsheetml/2006/main" r="AH155" s="16" t="inlineStr">
        <ns0:is>
          <ns0:t>±200 ppm/°C</ns0:t>
        </ns0:is>
      </ns0:c>
    </ns0:row>
    <ns0:row r="156" ht="30" customHeight="1">
      <ns0:c r="A156" t="str" s="10">
        <ns0:v>R0162</ns0:v>
      </ns0:c>
      <ns0:c r="B156" t="str" s="10">
        <ns0:v>Резистор</ns0:v>
      </ns0:c>
      <ns0:c r="C156" t="str" s="10">
        <ns0:v>2.2R</ns0:v>
      </ns0:c>
      <ns0:c r="D156" t="str" s="11">
        <ns0:f>SUBSTITUTE(SUBSTITUTE(SUBSTITUTE(SUBSTITUTE(C156,"meg"," МОм"),"k"," кОм"),"R"," Ом"),".",",")</ns0:f>
        <ns0:v>2,2 Ом</ns0:v>
      </ns0:c>
      <ns0:c r="E156" t="str" s="10">
        <ns0:v>±5%</ns0:v>
      </ns0:c>
      <ns0:c r="F156" t="str" s="10">
        <ns0:v>0,125 Вт</ns0:v>
      </ns0:c>
      <ns0:c r="G156" t="str" s="10">
        <ns0:v>150 В макс.</ns0:v>
      </ns0:c>
      <ns0:c r="H156" t="str" s="12">
        <ns0:v>0805</ns0:v>
      </ns0:c>
      <ns0:c r="I156" t="str" s="10">
        <ns0:v>YAGEO</ns0:v>
      </ns0:c>
      <ns0:c r="J156" t="str" s="10">
        <ns0:v>RC0805JR-072R2L</ns0:v>
      </ns0:c>
      <ns0:c r="K156" t="str" s="11">
        <ns0:f>B156&amp;" "&amp;D156&amp;" "&amp;E156&amp;" "&amp;H156</ns0:f>
        <ns0:v>Резистор 2,2 Ом ±5% 0805</ns0:v>
      </ns0:c>
      <ns0:c r="L156" t="str" s="13">
        <ns0:v>R</ns0:v>
      </ns0:c>
      <ns0:c r="M156" t="str" s="13">
        <ns0:v>Symbols\MY_LIB_Resistors.SchLib</ns0:v>
      </ns0:c>
      <ns0:c r="N156" t="str" s="13">
        <ns0:v>RESC2012X70N</ns0:v>
      </ns0:c>
      <ns0:c r="O156" t="str" s="13">
        <ns0:v>Footprints\PBL - SMD Packages.PcbLib</ns0:v>
      </ns0:c>
      <ns0:c xmlns:ns0="http://schemas.openxmlformats.org/spreadsheetml/2006/main" r="P156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6" s="10"/>
      <ns0:c r="R156" t="str" s="11">
        <ns0:f>D156</ns0:f>
        <ns0:v>2,2 Ом</ns0:v>
      </ns0:c>
      <ns0:c r="S156" t="str" s="11">
        <ns0:f>K156</ns0:f>
        <ns0:v>Резистор 2,2 Ом ±5% 0805</ns0:v>
      </ns0:c>
      <x:c xmlns:x="http://schemas.openxmlformats.org/spreadsheetml/2006/main" r="T156" t="str" s="11">
        <x:v>C:\Users\Nomatin\Documents\Altium\MY_LIB\MY_LIB\Datasheets\YAGEO_RC_L.pdf</x:v>
      </x:c>
      <x:c xmlns:x="http://schemas.openxmlformats.org/spreadsheetml/2006/main" r="U156" t="str" s="11">
        <x:v>Даташит — локальный</x:v>
      </x:c>
      <x:c xmlns:x="http://schemas.openxmlformats.org/spreadsheetml/2006/main" r="V156" t="str" s="11">
        <x:v>C:\Users\Nomatin\Documents\Altium\MY_LIB\MY_LIB\Datasheets\YAGEO_RC_L.pdf</x:v>
      </x:c>
      <x:c xmlns:x="http://schemas.openxmlformats.org/spreadsheetml/2006/main" r="W156" t="str" s="11">
        <x:v>Даташит — производитель</x:v>
      </x:c>
      <x:c xmlns:x="http://schemas.openxmlformats.org/spreadsheetml/2006/main" r="X156" t="str" s="11">
        <x:v>https://yageogroup.com/content/datasheet/asset/file/PYU-RC_GROUP_51_ROHS_L</x:v>
      </x:c>
      <x:c xmlns:x="http://schemas.openxmlformats.org/spreadsheetml/2006/main" r="Y156" t="str" s="11">
        <x:v>C:\Users\Nomatin\Documents\Altium\MY_LIB\MY_LIB\Datasheets\YAGEO_RC_L.pdf</x:v>
      </x:c>
      <ns0:c xmlns:ns0="http://schemas.openxmlformats.org/spreadsheetml/2006/main" r="Z156" s="16" t="inlineStr">
        <ns0:is>
          <ns0:t>MY_LIB_R_TCR</ns0:t>
        </ns0:is>
      </ns0:c>
      <ns0:c xmlns:ns0="http://schemas.openxmlformats.org/spreadsheetml/2006/main" r="AA156" s="16" t="inlineStr">
        <ns0:is>
          <ns0:t>R(T), +200 ppm/C at 25 C; positive datasheet limit</ns0:t>
        </ns0:is>
      </ns0:c>
      <ns0:c xmlns:ns0="http://schemas.openxmlformats.org/spreadsheetml/2006/main" r="AB156" s="16" t="str">
        <ns0:v>General</ns0:v>
      </ns0:c>
      <ns0:c xmlns:ns0="http://schemas.openxmlformats.org/spreadsheetml/2006/main" r="AC156" s="16" t="inlineStr">
        <ns0:is>
          <ns0:t>Spice Subcircuit</ns0:t>
        </ns0:is>
      </ns0:c>
      <ns0:c xmlns:ns0="http://schemas.openxmlformats.org/spreadsheetml/2006/main" r="AD156" s="16" t="inlineStr">
        <ns0:is>
          <ns0:t>@DESIGNATOR %1 %2 @MODEL PARAMS: Rvalue=@VALUE TC1value=200u</ns0:t>
        </ns0:is>
      </ns0:c>
      <ns0:c xmlns:ns0="http://schemas.openxmlformats.org/spreadsheetml/2006/main" r="AE156" s="16" t="inlineStr">
        <ns0:is>
          <ns0:t>X</ns0:t>
        </ns0:is>
      </ns0:c>
      <ns0:c xmlns:ns0="http://schemas.openxmlformats.org/spreadsheetml/2006/main" r="AF156" s="16" t="str">
        <ns0:v>(1:1),(2:2)</ns0:v>
      </ns0:c>
      <ns0:c xmlns:ns0="http://schemas.openxmlformats.org/spreadsheetml/2006/main" r="AG156" s="16" t="inlineStr">
        <ns0:is>
          <ns0:t>Simulation\Resistors\MY_LIB_R_TCR.ckt</ns0:t>
        </ns0:is>
      </ns0:c>
      <ns0:c xmlns:ns0="http://schemas.openxmlformats.org/spreadsheetml/2006/main" r="AH156" s="16" t="inlineStr">
        <ns0:is>
          <ns0:t>±200 ppm/°C</ns0:t>
        </ns0:is>
      </ns0:c>
    </ns0:row>
    <ns0:row r="157" ht="30" customHeight="1">
      <ns0:c r="A157" t="str" s="10">
        <ns0:v>R0163</ns0:v>
      </ns0:c>
      <ns0:c r="B157" t="str" s="10">
        <ns0:v>Резистор</ns0:v>
      </ns0:c>
      <ns0:c r="C157" t="str" s="10">
        <ns0:v>2.4R</ns0:v>
      </ns0:c>
      <ns0:c r="D157" t="str" s="11">
        <ns0:f>SUBSTITUTE(SUBSTITUTE(SUBSTITUTE(SUBSTITUTE(C157,"meg"," МОм"),"k"," кОм"),"R"," Ом"),".",",")</ns0:f>
        <ns0:v>2,4 Ом</ns0:v>
      </ns0:c>
      <ns0:c r="E157" t="str" s="10">
        <ns0:v>±5%</ns0:v>
      </ns0:c>
      <ns0:c r="F157" t="str" s="10">
        <ns0:v>0,125 Вт</ns0:v>
      </ns0:c>
      <ns0:c r="G157" t="str" s="10">
        <ns0:v>150 В макс.</ns0:v>
      </ns0:c>
      <ns0:c r="H157" t="str" s="12">
        <ns0:v>0805</ns0:v>
      </ns0:c>
      <ns0:c r="I157" t="str" s="10">
        <ns0:v>YAGEO</ns0:v>
      </ns0:c>
      <ns0:c r="J157" t="str" s="10">
        <ns0:v>RC0805JR-072R4L</ns0:v>
      </ns0:c>
      <ns0:c r="K157" t="str" s="11">
        <ns0:f>B157&amp;" "&amp;D157&amp;" "&amp;E157&amp;" "&amp;H157</ns0:f>
        <ns0:v>Резистор 2,4 Ом ±5% 0805</ns0:v>
      </ns0:c>
      <ns0:c r="L157" t="str" s="13">
        <ns0:v>R</ns0:v>
      </ns0:c>
      <ns0:c r="M157" t="str" s="13">
        <ns0:v>Symbols\MY_LIB_Resistors.SchLib</ns0:v>
      </ns0:c>
      <ns0:c r="N157" t="str" s="13">
        <ns0:v>RESC2012X70N</ns0:v>
      </ns0:c>
      <ns0:c r="O157" t="str" s="13">
        <ns0:v>Footprints\PBL - SMD Packages.PcbLib</ns0:v>
      </ns0:c>
      <ns0:c xmlns:ns0="http://schemas.openxmlformats.org/spreadsheetml/2006/main" r="P157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7" s="10"/>
      <ns0:c r="R157" t="str" s="11">
        <ns0:f>D157</ns0:f>
        <ns0:v>2,4 Ом</ns0:v>
      </ns0:c>
      <ns0:c r="S157" t="str" s="11">
        <ns0:f>K157</ns0:f>
        <ns0:v>Резистор 2,4 Ом ±5% 0805</ns0:v>
      </ns0:c>
      <x:c xmlns:x="http://schemas.openxmlformats.org/spreadsheetml/2006/main" r="T157" t="str" s="11">
        <x:v>C:\Users\Nomatin\Documents\Altium\MY_LIB\MY_LIB\Datasheets\YAGEO_RC_L.pdf</x:v>
      </x:c>
      <x:c xmlns:x="http://schemas.openxmlformats.org/spreadsheetml/2006/main" r="U157" t="str" s="11">
        <x:v>Даташит — локальный</x:v>
      </x:c>
      <x:c xmlns:x="http://schemas.openxmlformats.org/spreadsheetml/2006/main" r="V157" t="str" s="11">
        <x:v>C:\Users\Nomatin\Documents\Altium\MY_LIB\MY_LIB\Datasheets\YAGEO_RC_L.pdf</x:v>
      </x:c>
      <x:c xmlns:x="http://schemas.openxmlformats.org/spreadsheetml/2006/main" r="W157" t="str" s="11">
        <x:v>Даташит — производитель</x:v>
      </x:c>
      <x:c xmlns:x="http://schemas.openxmlformats.org/spreadsheetml/2006/main" r="X157" t="str" s="11">
        <x:v>https://yageogroup.com/content/datasheet/asset/file/PYU-RC_GROUP_51_ROHS_L</x:v>
      </x:c>
      <x:c xmlns:x="http://schemas.openxmlformats.org/spreadsheetml/2006/main" r="Y157" t="str" s="11">
        <x:v>C:\Users\Nomatin\Documents\Altium\MY_LIB\MY_LIB\Datasheets\YAGEO_RC_L.pdf</x:v>
      </x:c>
      <ns0:c xmlns:ns0="http://schemas.openxmlformats.org/spreadsheetml/2006/main" r="Z157" s="16" t="inlineStr">
        <ns0:is>
          <ns0:t>MY_LIB_R_TCR</ns0:t>
        </ns0:is>
      </ns0:c>
      <ns0:c xmlns:ns0="http://schemas.openxmlformats.org/spreadsheetml/2006/main" r="AA157" s="16" t="inlineStr">
        <ns0:is>
          <ns0:t>R(T), +200 ppm/C at 25 C; positive datasheet limit</ns0:t>
        </ns0:is>
      </ns0:c>
      <ns0:c xmlns:ns0="http://schemas.openxmlformats.org/spreadsheetml/2006/main" r="AB157" s="16" t="str">
        <ns0:v>General</ns0:v>
      </ns0:c>
      <ns0:c xmlns:ns0="http://schemas.openxmlformats.org/spreadsheetml/2006/main" r="AC157" s="16" t="inlineStr">
        <ns0:is>
          <ns0:t>Spice Subcircuit</ns0:t>
        </ns0:is>
      </ns0:c>
      <ns0:c xmlns:ns0="http://schemas.openxmlformats.org/spreadsheetml/2006/main" r="AD157" s="16" t="inlineStr">
        <ns0:is>
          <ns0:t>@DESIGNATOR %1 %2 @MODEL PARAMS: Rvalue=@VALUE TC1value=200u</ns0:t>
        </ns0:is>
      </ns0:c>
      <ns0:c xmlns:ns0="http://schemas.openxmlformats.org/spreadsheetml/2006/main" r="AE157" s="16" t="inlineStr">
        <ns0:is>
          <ns0:t>X</ns0:t>
        </ns0:is>
      </ns0:c>
      <ns0:c xmlns:ns0="http://schemas.openxmlformats.org/spreadsheetml/2006/main" r="AF157" s="16" t="str">
        <ns0:v>(1:1),(2:2)</ns0:v>
      </ns0:c>
      <ns0:c xmlns:ns0="http://schemas.openxmlformats.org/spreadsheetml/2006/main" r="AG157" s="16" t="inlineStr">
        <ns0:is>
          <ns0:t>Simulation\Resistors\MY_LIB_R_TCR.ckt</ns0:t>
        </ns0:is>
      </ns0:c>
      <ns0:c xmlns:ns0="http://schemas.openxmlformats.org/spreadsheetml/2006/main" r="AH157" s="16" t="inlineStr">
        <ns0:is>
          <ns0:t>±200 ppm/°C</ns0:t>
        </ns0:is>
      </ns0:c>
    </ns0:row>
    <ns0:row r="158" ht="30" customHeight="1">
      <ns0:c r="A158" t="str" s="10">
        <ns0:v>R0164</ns0:v>
      </ns0:c>
      <ns0:c r="B158" t="str" s="10">
        <ns0:v>Резистор</ns0:v>
      </ns0:c>
      <ns0:c r="C158" t="str" s="10">
        <ns0:v>2.7R</ns0:v>
      </ns0:c>
      <ns0:c r="D158" t="str" s="11">
        <ns0:f>SUBSTITUTE(SUBSTITUTE(SUBSTITUTE(SUBSTITUTE(C158,"meg"," МОм"),"k"," кОм"),"R"," Ом"),".",",")</ns0:f>
        <ns0:v>2,7 Ом</ns0:v>
      </ns0:c>
      <ns0:c r="E158" t="str" s="10">
        <ns0:v>±5%</ns0:v>
      </ns0:c>
      <ns0:c r="F158" t="str" s="10">
        <ns0:v>0,125 Вт</ns0:v>
      </ns0:c>
      <ns0:c r="G158" t="str" s="10">
        <ns0:v>150 В макс.</ns0:v>
      </ns0:c>
      <ns0:c r="H158" t="str" s="12">
        <ns0:v>0805</ns0:v>
      </ns0:c>
      <ns0:c r="I158" t="str" s="10">
        <ns0:v>YAGEO</ns0:v>
      </ns0:c>
      <ns0:c r="J158" t="str" s="10">
        <ns0:v>RC0805JR-072R7L</ns0:v>
      </ns0:c>
      <ns0:c r="K158" t="str" s="11">
        <ns0:f>B158&amp;" "&amp;D158&amp;" "&amp;E158&amp;" "&amp;H158</ns0:f>
        <ns0:v>Резистор 2,7 Ом ±5% 0805</ns0:v>
      </ns0:c>
      <ns0:c r="L158" t="str" s="13">
        <ns0:v>R</ns0:v>
      </ns0:c>
      <ns0:c r="M158" t="str" s="13">
        <ns0:v>Symbols\MY_LIB_Resistors.SchLib</ns0:v>
      </ns0:c>
      <ns0:c r="N158" t="str" s="13">
        <ns0:v>RESC2012X70N</ns0:v>
      </ns0:c>
      <ns0:c r="O158" t="str" s="13">
        <ns0:v>Footprints\PBL - SMD Packages.PcbLib</ns0:v>
      </ns0:c>
      <ns0:c xmlns:ns0="http://schemas.openxmlformats.org/spreadsheetml/2006/main" r="P158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8" s="10"/>
      <ns0:c r="R158" t="str" s="11">
        <ns0:f>D158</ns0:f>
        <ns0:v>2,7 Ом</ns0:v>
      </ns0:c>
      <ns0:c r="S158" t="str" s="11">
        <ns0:f>K158</ns0:f>
        <ns0:v>Резистор 2,7 Ом ±5% 0805</ns0:v>
      </ns0:c>
      <x:c xmlns:x="http://schemas.openxmlformats.org/spreadsheetml/2006/main" r="T158" t="str" s="11">
        <x:v>C:\Users\Nomatin\Documents\Altium\MY_LIB\MY_LIB\Datasheets\YAGEO_RC_L.pdf</x:v>
      </x:c>
      <x:c xmlns:x="http://schemas.openxmlformats.org/spreadsheetml/2006/main" r="U158" t="str" s="11">
        <x:v>Даташит — локальный</x:v>
      </x:c>
      <x:c xmlns:x="http://schemas.openxmlformats.org/spreadsheetml/2006/main" r="V158" t="str" s="11">
        <x:v>C:\Users\Nomatin\Documents\Altium\MY_LIB\MY_LIB\Datasheets\YAGEO_RC_L.pdf</x:v>
      </x:c>
      <x:c xmlns:x="http://schemas.openxmlformats.org/spreadsheetml/2006/main" r="W158" t="str" s="11">
        <x:v>Даташит — производитель</x:v>
      </x:c>
      <x:c xmlns:x="http://schemas.openxmlformats.org/spreadsheetml/2006/main" r="X158" t="str" s="11">
        <x:v>https://yageogroup.com/content/datasheet/asset/file/PYU-RC_GROUP_51_ROHS_L</x:v>
      </x:c>
      <x:c xmlns:x="http://schemas.openxmlformats.org/spreadsheetml/2006/main" r="Y158" t="str" s="11">
        <x:v>C:\Users\Nomatin\Documents\Altium\MY_LIB\MY_LIB\Datasheets\YAGEO_RC_L.pdf</x:v>
      </x:c>
      <ns0:c xmlns:ns0="http://schemas.openxmlformats.org/spreadsheetml/2006/main" r="Z158" s="16" t="inlineStr">
        <ns0:is>
          <ns0:t>MY_LIB_R_TCR</ns0:t>
        </ns0:is>
      </ns0:c>
      <ns0:c xmlns:ns0="http://schemas.openxmlformats.org/spreadsheetml/2006/main" r="AA158" s="16" t="inlineStr">
        <ns0:is>
          <ns0:t>R(T), +200 ppm/C at 25 C; positive datasheet limit</ns0:t>
        </ns0:is>
      </ns0:c>
      <ns0:c xmlns:ns0="http://schemas.openxmlformats.org/spreadsheetml/2006/main" r="AB158" s="16" t="str">
        <ns0:v>General</ns0:v>
      </ns0:c>
      <ns0:c xmlns:ns0="http://schemas.openxmlformats.org/spreadsheetml/2006/main" r="AC158" s="16" t="inlineStr">
        <ns0:is>
          <ns0:t>Spice Subcircuit</ns0:t>
        </ns0:is>
      </ns0:c>
      <ns0:c xmlns:ns0="http://schemas.openxmlformats.org/spreadsheetml/2006/main" r="AD158" s="16" t="inlineStr">
        <ns0:is>
          <ns0:t>@DESIGNATOR %1 %2 @MODEL PARAMS: Rvalue=@VALUE TC1value=200u</ns0:t>
        </ns0:is>
      </ns0:c>
      <ns0:c xmlns:ns0="http://schemas.openxmlformats.org/spreadsheetml/2006/main" r="AE158" s="16" t="inlineStr">
        <ns0:is>
          <ns0:t>X</ns0:t>
        </ns0:is>
      </ns0:c>
      <ns0:c xmlns:ns0="http://schemas.openxmlformats.org/spreadsheetml/2006/main" r="AF158" s="16" t="str">
        <ns0:v>(1:1),(2:2)</ns0:v>
      </ns0:c>
      <ns0:c xmlns:ns0="http://schemas.openxmlformats.org/spreadsheetml/2006/main" r="AG158" s="16" t="inlineStr">
        <ns0:is>
          <ns0:t>Simulation\Resistors\MY_LIB_R_TCR.ckt</ns0:t>
        </ns0:is>
      </ns0:c>
      <ns0:c xmlns:ns0="http://schemas.openxmlformats.org/spreadsheetml/2006/main" r="AH158" s="16" t="inlineStr">
        <ns0:is>
          <ns0:t>±200 ppm/°C</ns0:t>
        </ns0:is>
      </ns0:c>
    </ns0:row>
    <ns0:row r="159" ht="30" customHeight="1">
      <ns0:c r="A159" t="str" s="10">
        <ns0:v>R0165</ns0:v>
      </ns0:c>
      <ns0:c r="B159" t="str" s="10">
        <ns0:v>Резистор</ns0:v>
      </ns0:c>
      <ns0:c r="C159" t="str" s="10">
        <ns0:v>3R</ns0:v>
      </ns0:c>
      <ns0:c r="D159" t="str" s="11">
        <ns0:f>SUBSTITUTE(SUBSTITUTE(SUBSTITUTE(SUBSTITUTE(C159,"meg"," МОм"),"k"," кОм"),"R"," Ом"),".",",")</ns0:f>
        <ns0:v>3 Ом</ns0:v>
      </ns0:c>
      <ns0:c r="E159" t="str" s="10">
        <ns0:v>±5%</ns0:v>
      </ns0:c>
      <ns0:c r="F159" t="str" s="10">
        <ns0:v>0,125 Вт</ns0:v>
      </ns0:c>
      <ns0:c r="G159" t="str" s="10">
        <ns0:v>150 В макс.</ns0:v>
      </ns0:c>
      <ns0:c r="H159" t="str" s="12">
        <ns0:v>0805</ns0:v>
      </ns0:c>
      <ns0:c r="I159" t="str" s="10">
        <ns0:v>YAGEO</ns0:v>
      </ns0:c>
      <ns0:c r="J159" t="str" s="10">
        <ns0:v>RC0805JR-073RL</ns0:v>
      </ns0:c>
      <ns0:c r="K159" t="str" s="11">
        <ns0:f>B159&amp;" "&amp;D159&amp;" "&amp;E159&amp;" "&amp;H159</ns0:f>
        <ns0:v>Резистор 3 Ом ±5% 0805</ns0:v>
      </ns0:c>
      <ns0:c r="L159" t="str" s="13">
        <ns0:v>R</ns0:v>
      </ns0:c>
      <ns0:c r="M159" t="str" s="13">
        <ns0:v>Symbols\MY_LIB_Resistors.SchLib</ns0:v>
      </ns0:c>
      <ns0:c r="N159" t="str" s="13">
        <ns0:v>RESC2012X70N</ns0:v>
      </ns0:c>
      <ns0:c r="O159" t="str" s="13">
        <ns0:v>Footprints\PBL - SMD Packages.PcbLib</ns0:v>
      </ns0:c>
      <ns0:c xmlns:ns0="http://schemas.openxmlformats.org/spreadsheetml/2006/main" r="P159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59" s="10"/>
      <ns0:c r="R159" t="str" s="11">
        <ns0:f>D159</ns0:f>
        <ns0:v>3 Ом</ns0:v>
      </ns0:c>
      <ns0:c r="S159" t="str" s="11">
        <ns0:f>K159</ns0:f>
        <ns0:v>Резистор 3 Ом ±5% 0805</ns0:v>
      </ns0:c>
      <x:c xmlns:x="http://schemas.openxmlformats.org/spreadsheetml/2006/main" r="T159" t="str" s="11">
        <x:v>C:\Users\Nomatin\Documents\Altium\MY_LIB\MY_LIB\Datasheets\YAGEO_RC_L.pdf</x:v>
      </x:c>
      <x:c xmlns:x="http://schemas.openxmlformats.org/spreadsheetml/2006/main" r="U159" t="str" s="11">
        <x:v>Даташит — локальный</x:v>
      </x:c>
      <x:c xmlns:x="http://schemas.openxmlformats.org/spreadsheetml/2006/main" r="V159" t="str" s="11">
        <x:v>C:\Users\Nomatin\Documents\Altium\MY_LIB\MY_LIB\Datasheets\YAGEO_RC_L.pdf</x:v>
      </x:c>
      <x:c xmlns:x="http://schemas.openxmlformats.org/spreadsheetml/2006/main" r="W159" t="str" s="11">
        <x:v>Даташит — производитель</x:v>
      </x:c>
      <x:c xmlns:x="http://schemas.openxmlformats.org/spreadsheetml/2006/main" r="X159" t="str" s="11">
        <x:v>https://yageogroup.com/content/datasheet/asset/file/PYU-RC_GROUP_51_ROHS_L</x:v>
      </x:c>
      <x:c xmlns:x="http://schemas.openxmlformats.org/spreadsheetml/2006/main" r="Y159" t="str" s="11">
        <x:v>C:\Users\Nomatin\Documents\Altium\MY_LIB\MY_LIB\Datasheets\YAGEO_RC_L.pdf</x:v>
      </x:c>
      <ns0:c xmlns:ns0="http://schemas.openxmlformats.org/spreadsheetml/2006/main" r="Z159" s="16" t="inlineStr">
        <ns0:is>
          <ns0:t>MY_LIB_R_TCR</ns0:t>
        </ns0:is>
      </ns0:c>
      <ns0:c xmlns:ns0="http://schemas.openxmlformats.org/spreadsheetml/2006/main" r="AA159" s="16" t="inlineStr">
        <ns0:is>
          <ns0:t>R(T), +200 ppm/C at 25 C; positive datasheet limit</ns0:t>
        </ns0:is>
      </ns0:c>
      <ns0:c xmlns:ns0="http://schemas.openxmlformats.org/spreadsheetml/2006/main" r="AB159" s="16" t="str">
        <ns0:v>General</ns0:v>
      </ns0:c>
      <ns0:c xmlns:ns0="http://schemas.openxmlformats.org/spreadsheetml/2006/main" r="AC159" s="16" t="inlineStr">
        <ns0:is>
          <ns0:t>Spice Subcircuit</ns0:t>
        </ns0:is>
      </ns0:c>
      <ns0:c xmlns:ns0="http://schemas.openxmlformats.org/spreadsheetml/2006/main" r="AD159" s="16" t="inlineStr">
        <ns0:is>
          <ns0:t>@DESIGNATOR %1 %2 @MODEL PARAMS: Rvalue=@VALUE TC1value=200u</ns0:t>
        </ns0:is>
      </ns0:c>
      <ns0:c xmlns:ns0="http://schemas.openxmlformats.org/spreadsheetml/2006/main" r="AE159" s="16" t="inlineStr">
        <ns0:is>
          <ns0:t>X</ns0:t>
        </ns0:is>
      </ns0:c>
      <ns0:c xmlns:ns0="http://schemas.openxmlformats.org/spreadsheetml/2006/main" r="AF159" s="16" t="str">
        <ns0:v>(1:1),(2:2)</ns0:v>
      </ns0:c>
      <ns0:c xmlns:ns0="http://schemas.openxmlformats.org/spreadsheetml/2006/main" r="AG159" s="16" t="inlineStr">
        <ns0:is>
          <ns0:t>Simulation\Resistors\MY_LIB_R_TCR.ckt</ns0:t>
        </ns0:is>
      </ns0:c>
      <ns0:c xmlns:ns0="http://schemas.openxmlformats.org/spreadsheetml/2006/main" r="AH159" s="16" t="inlineStr">
        <ns0:is>
          <ns0:t>±200 ppm/°C</ns0:t>
        </ns0:is>
      </ns0:c>
    </ns0:row>
    <ns0:row r="160" ht="30" customHeight="1">
      <ns0:c r="A160" t="str" s="10">
        <ns0:v>R0166</ns0:v>
      </ns0:c>
      <ns0:c r="B160" t="str" s="10">
        <ns0:v>Резистор</ns0:v>
      </ns0:c>
      <ns0:c r="C160" t="str" s="10">
        <ns0:v>3.3R</ns0:v>
      </ns0:c>
      <ns0:c r="D160" t="str" s="11">
        <ns0:f>SUBSTITUTE(SUBSTITUTE(SUBSTITUTE(SUBSTITUTE(C160,"meg"," МОм"),"k"," кОм"),"R"," Ом"),".",",")</ns0:f>
        <ns0:v>3,3 Ом</ns0:v>
      </ns0:c>
      <ns0:c r="E160" t="str" s="10">
        <ns0:v>±5%</ns0:v>
      </ns0:c>
      <ns0:c r="F160" t="str" s="10">
        <ns0:v>0,125 Вт</ns0:v>
      </ns0:c>
      <ns0:c r="G160" t="str" s="10">
        <ns0:v>150 В макс.</ns0:v>
      </ns0:c>
      <ns0:c r="H160" t="str" s="12">
        <ns0:v>0805</ns0:v>
      </ns0:c>
      <ns0:c r="I160" t="str" s="10">
        <ns0:v>YAGEO</ns0:v>
      </ns0:c>
      <ns0:c r="J160" t="str" s="10">
        <ns0:v>RC0805JR-073R3L</ns0:v>
      </ns0:c>
      <ns0:c r="K160" t="str" s="11">
        <ns0:f>B160&amp;" "&amp;D160&amp;" "&amp;E160&amp;" "&amp;H160</ns0:f>
        <ns0:v>Резистор 3,3 Ом ±5% 0805</ns0:v>
      </ns0:c>
      <ns0:c r="L160" t="str" s="13">
        <ns0:v>R</ns0:v>
      </ns0:c>
      <ns0:c r="M160" t="str" s="13">
        <ns0:v>Symbols\MY_LIB_Resistors.SchLib</ns0:v>
      </ns0:c>
      <ns0:c r="N160" t="str" s="13">
        <ns0:v>RESC2012X70N</ns0:v>
      </ns0:c>
      <ns0:c r="O160" t="str" s="13">
        <ns0:v>Footprints\PBL - SMD Packages.PcbLib</ns0:v>
      </ns0:c>
      <ns0:c xmlns:ns0="http://schemas.openxmlformats.org/spreadsheetml/2006/main" r="P160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0" s="10"/>
      <ns0:c r="R160" t="str" s="11">
        <ns0:f>D160</ns0:f>
        <ns0:v>3,3 Ом</ns0:v>
      </ns0:c>
      <ns0:c r="S160" t="str" s="11">
        <ns0:f>K160</ns0:f>
        <ns0:v>Резистор 3,3 Ом ±5% 0805</ns0:v>
      </ns0:c>
      <x:c xmlns:x="http://schemas.openxmlformats.org/spreadsheetml/2006/main" r="T160" t="str" s="11">
        <x:v>C:\Users\Nomatin\Documents\Altium\MY_LIB\MY_LIB\Datasheets\YAGEO_RC_L.pdf</x:v>
      </x:c>
      <x:c xmlns:x="http://schemas.openxmlformats.org/spreadsheetml/2006/main" r="U160" t="str" s="11">
        <x:v>Даташит — локальный</x:v>
      </x:c>
      <x:c xmlns:x="http://schemas.openxmlformats.org/spreadsheetml/2006/main" r="V160" t="str" s="11">
        <x:v>C:\Users\Nomatin\Documents\Altium\MY_LIB\MY_LIB\Datasheets\YAGEO_RC_L.pdf</x:v>
      </x:c>
      <x:c xmlns:x="http://schemas.openxmlformats.org/spreadsheetml/2006/main" r="W160" t="str" s="11">
        <x:v>Даташит — производитель</x:v>
      </x:c>
      <x:c xmlns:x="http://schemas.openxmlformats.org/spreadsheetml/2006/main" r="X160" t="str" s="11">
        <x:v>https://yageogroup.com/content/datasheet/asset/file/PYU-RC_GROUP_51_ROHS_L</x:v>
      </x:c>
      <x:c xmlns:x="http://schemas.openxmlformats.org/spreadsheetml/2006/main" r="Y160" t="str" s="11">
        <x:v>C:\Users\Nomatin\Documents\Altium\MY_LIB\MY_LIB\Datasheets\YAGEO_RC_L.pdf</x:v>
      </x:c>
      <ns0:c xmlns:ns0="http://schemas.openxmlformats.org/spreadsheetml/2006/main" r="Z160" s="16" t="inlineStr">
        <ns0:is>
          <ns0:t>MY_LIB_R_TCR</ns0:t>
        </ns0:is>
      </ns0:c>
      <ns0:c xmlns:ns0="http://schemas.openxmlformats.org/spreadsheetml/2006/main" r="AA160" s="16" t="inlineStr">
        <ns0:is>
          <ns0:t>R(T), +200 ppm/C at 25 C; positive datasheet limit</ns0:t>
        </ns0:is>
      </ns0:c>
      <ns0:c xmlns:ns0="http://schemas.openxmlformats.org/spreadsheetml/2006/main" r="AB160" s="16" t="str">
        <ns0:v>General</ns0:v>
      </ns0:c>
      <ns0:c xmlns:ns0="http://schemas.openxmlformats.org/spreadsheetml/2006/main" r="AC160" s="16" t="inlineStr">
        <ns0:is>
          <ns0:t>Spice Subcircuit</ns0:t>
        </ns0:is>
      </ns0:c>
      <ns0:c xmlns:ns0="http://schemas.openxmlformats.org/spreadsheetml/2006/main" r="AD160" s="16" t="inlineStr">
        <ns0:is>
          <ns0:t>@DESIGNATOR %1 %2 @MODEL PARAMS: Rvalue=@VALUE TC1value=200u</ns0:t>
        </ns0:is>
      </ns0:c>
      <ns0:c xmlns:ns0="http://schemas.openxmlformats.org/spreadsheetml/2006/main" r="AE160" s="16" t="inlineStr">
        <ns0:is>
          <ns0:t>X</ns0:t>
        </ns0:is>
      </ns0:c>
      <ns0:c xmlns:ns0="http://schemas.openxmlformats.org/spreadsheetml/2006/main" r="AF160" s="16" t="str">
        <ns0:v>(1:1),(2:2)</ns0:v>
      </ns0:c>
      <ns0:c xmlns:ns0="http://schemas.openxmlformats.org/spreadsheetml/2006/main" r="AG160" s="16" t="inlineStr">
        <ns0:is>
          <ns0:t>Simulation\Resistors\MY_LIB_R_TCR.ckt</ns0:t>
        </ns0:is>
      </ns0:c>
      <ns0:c xmlns:ns0="http://schemas.openxmlformats.org/spreadsheetml/2006/main" r="AH160" s="16" t="inlineStr">
        <ns0:is>
          <ns0:t>±200 ppm/°C</ns0:t>
        </ns0:is>
      </ns0:c>
    </ns0:row>
    <ns0:row r="161" ht="30" customHeight="1">
      <ns0:c r="A161" t="str" s="10">
        <ns0:v>R0167</ns0:v>
      </ns0:c>
      <ns0:c r="B161" t="str" s="10">
        <ns0:v>Резистор</ns0:v>
      </ns0:c>
      <ns0:c r="C161" t="str" s="10">
        <ns0:v>3.6R</ns0:v>
      </ns0:c>
      <ns0:c r="D161" t="str" s="11">
        <ns0:f>SUBSTITUTE(SUBSTITUTE(SUBSTITUTE(SUBSTITUTE(C161,"meg"," МОм"),"k"," кОм"),"R"," Ом"),".",",")</ns0:f>
        <ns0:v>3,6 Ом</ns0:v>
      </ns0:c>
      <ns0:c r="E161" t="str" s="10">
        <ns0:v>±5%</ns0:v>
      </ns0:c>
      <ns0:c r="F161" t="str" s="10">
        <ns0:v>0,125 Вт</ns0:v>
      </ns0:c>
      <ns0:c r="G161" t="str" s="10">
        <ns0:v>150 В макс.</ns0:v>
      </ns0:c>
      <ns0:c r="H161" t="str" s="12">
        <ns0:v>0805</ns0:v>
      </ns0:c>
      <ns0:c r="I161" t="str" s="10">
        <ns0:v>YAGEO</ns0:v>
      </ns0:c>
      <ns0:c r="J161" t="str" s="10">
        <ns0:v>RC0805JR-073R6L</ns0:v>
      </ns0:c>
      <ns0:c r="K161" t="str" s="11">
        <ns0:f>B161&amp;" "&amp;D161&amp;" "&amp;E161&amp;" "&amp;H161</ns0:f>
        <ns0:v>Резистор 3,6 Ом ±5% 0805</ns0:v>
      </ns0:c>
      <ns0:c r="L161" t="str" s="13">
        <ns0:v>R</ns0:v>
      </ns0:c>
      <ns0:c r="M161" t="str" s="13">
        <ns0:v>Symbols\MY_LIB_Resistors.SchLib</ns0:v>
      </ns0:c>
      <ns0:c r="N161" t="str" s="13">
        <ns0:v>RESC2012X70N</ns0:v>
      </ns0:c>
      <ns0:c r="O161" t="str" s="13">
        <ns0:v>Footprints\PBL - SMD Packages.PcbLib</ns0:v>
      </ns0:c>
      <ns0:c xmlns:ns0="http://schemas.openxmlformats.org/spreadsheetml/2006/main" r="P161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1" s="10"/>
      <ns0:c r="R161" t="str" s="11">
        <ns0:f>D161</ns0:f>
        <ns0:v>3,6 Ом</ns0:v>
      </ns0:c>
      <ns0:c r="S161" t="str" s="11">
        <ns0:f>K161</ns0:f>
        <ns0:v>Резистор 3,6 Ом ±5% 0805</ns0:v>
      </ns0:c>
      <x:c xmlns:x="http://schemas.openxmlformats.org/spreadsheetml/2006/main" r="T161" t="str" s="11">
        <x:v>C:\Users\Nomatin\Documents\Altium\MY_LIB\MY_LIB\Datasheets\YAGEO_RC_L.pdf</x:v>
      </x:c>
      <x:c xmlns:x="http://schemas.openxmlformats.org/spreadsheetml/2006/main" r="U161" t="str" s="11">
        <x:v>Даташит — локальный</x:v>
      </x:c>
      <x:c xmlns:x="http://schemas.openxmlformats.org/spreadsheetml/2006/main" r="V161" t="str" s="11">
        <x:v>C:\Users\Nomatin\Documents\Altium\MY_LIB\MY_LIB\Datasheets\YAGEO_RC_L.pdf</x:v>
      </x:c>
      <x:c xmlns:x="http://schemas.openxmlformats.org/spreadsheetml/2006/main" r="W161" t="str" s="11">
        <x:v>Даташит — производитель</x:v>
      </x:c>
      <x:c xmlns:x="http://schemas.openxmlformats.org/spreadsheetml/2006/main" r="X161" t="str" s="11">
        <x:v>https://yageogroup.com/content/datasheet/asset/file/PYU-RC_GROUP_51_ROHS_L</x:v>
      </x:c>
      <x:c xmlns:x="http://schemas.openxmlformats.org/spreadsheetml/2006/main" r="Y161" t="str" s="11">
        <x:v>C:\Users\Nomatin\Documents\Altium\MY_LIB\MY_LIB\Datasheets\YAGEO_RC_L.pdf</x:v>
      </x:c>
      <ns0:c xmlns:ns0="http://schemas.openxmlformats.org/spreadsheetml/2006/main" r="Z161" s="16" t="inlineStr">
        <ns0:is>
          <ns0:t>MY_LIB_R_TCR</ns0:t>
        </ns0:is>
      </ns0:c>
      <ns0:c xmlns:ns0="http://schemas.openxmlformats.org/spreadsheetml/2006/main" r="AA161" s="16" t="inlineStr">
        <ns0:is>
          <ns0:t>R(T), +200 ppm/C at 25 C; positive datasheet limit</ns0:t>
        </ns0:is>
      </ns0:c>
      <ns0:c xmlns:ns0="http://schemas.openxmlformats.org/spreadsheetml/2006/main" r="AB161" s="16" t="str">
        <ns0:v>General</ns0:v>
      </ns0:c>
      <ns0:c xmlns:ns0="http://schemas.openxmlformats.org/spreadsheetml/2006/main" r="AC161" s="16" t="inlineStr">
        <ns0:is>
          <ns0:t>Spice Subcircuit</ns0:t>
        </ns0:is>
      </ns0:c>
      <ns0:c xmlns:ns0="http://schemas.openxmlformats.org/spreadsheetml/2006/main" r="AD161" s="16" t="inlineStr">
        <ns0:is>
          <ns0:t>@DESIGNATOR %1 %2 @MODEL PARAMS: Rvalue=@VALUE TC1value=200u</ns0:t>
        </ns0:is>
      </ns0:c>
      <ns0:c xmlns:ns0="http://schemas.openxmlformats.org/spreadsheetml/2006/main" r="AE161" s="16" t="inlineStr">
        <ns0:is>
          <ns0:t>X</ns0:t>
        </ns0:is>
      </ns0:c>
      <ns0:c xmlns:ns0="http://schemas.openxmlformats.org/spreadsheetml/2006/main" r="AF161" s="16" t="str">
        <ns0:v>(1:1),(2:2)</ns0:v>
      </ns0:c>
      <ns0:c xmlns:ns0="http://schemas.openxmlformats.org/spreadsheetml/2006/main" r="AG161" s="16" t="inlineStr">
        <ns0:is>
          <ns0:t>Simulation\Resistors\MY_LIB_R_TCR.ckt</ns0:t>
        </ns0:is>
      </ns0:c>
      <ns0:c xmlns:ns0="http://schemas.openxmlformats.org/spreadsheetml/2006/main" r="AH161" s="16" t="inlineStr">
        <ns0:is>
          <ns0:t>±200 ppm/°C</ns0:t>
        </ns0:is>
      </ns0:c>
    </ns0:row>
    <ns0:row r="162" ht="30" customHeight="1">
      <ns0:c r="A162" t="str" s="10">
        <ns0:v>R0168</ns0:v>
      </ns0:c>
      <ns0:c r="B162" t="str" s="10">
        <ns0:v>Резистор</ns0:v>
      </ns0:c>
      <ns0:c r="C162" t="str" s="10">
        <ns0:v>3.9R</ns0:v>
      </ns0:c>
      <ns0:c r="D162" t="str" s="11">
        <ns0:f>SUBSTITUTE(SUBSTITUTE(SUBSTITUTE(SUBSTITUTE(C162,"meg"," МОм"),"k"," кОм"),"R"," Ом"),".",",")</ns0:f>
        <ns0:v>3,9 Ом</ns0:v>
      </ns0:c>
      <ns0:c r="E162" t="str" s="10">
        <ns0:v>±5%</ns0:v>
      </ns0:c>
      <ns0:c r="F162" t="str" s="10">
        <ns0:v>0,125 Вт</ns0:v>
      </ns0:c>
      <ns0:c r="G162" t="str" s="10">
        <ns0:v>150 В макс.</ns0:v>
      </ns0:c>
      <ns0:c r="H162" t="str" s="12">
        <ns0:v>0805</ns0:v>
      </ns0:c>
      <ns0:c r="I162" t="str" s="10">
        <ns0:v>YAGEO</ns0:v>
      </ns0:c>
      <ns0:c r="J162" t="str" s="10">
        <ns0:v>RC0805JR-073R9L</ns0:v>
      </ns0:c>
      <ns0:c r="K162" t="str" s="11">
        <ns0:f>B162&amp;" "&amp;D162&amp;" "&amp;E162&amp;" "&amp;H162</ns0:f>
        <ns0:v>Резистор 3,9 Ом ±5% 0805</ns0:v>
      </ns0:c>
      <ns0:c r="L162" t="str" s="13">
        <ns0:v>R</ns0:v>
      </ns0:c>
      <ns0:c r="M162" t="str" s="13">
        <ns0:v>Symbols\MY_LIB_Resistors.SchLib</ns0:v>
      </ns0:c>
      <ns0:c r="N162" t="str" s="13">
        <ns0:v>RESC2012X70N</ns0:v>
      </ns0:c>
      <ns0:c r="O162" t="str" s="13">
        <ns0:v>Footprints\PBL - SMD Packages.PcbLib</ns0:v>
      </ns0:c>
      <ns0:c xmlns:ns0="http://schemas.openxmlformats.org/spreadsheetml/2006/main" r="P162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2" s="10"/>
      <ns0:c r="R162" t="str" s="11">
        <ns0:f>D162</ns0:f>
        <ns0:v>3,9 Ом</ns0:v>
      </ns0:c>
      <ns0:c r="S162" t="str" s="11">
        <ns0:f>K162</ns0:f>
        <ns0:v>Резистор 3,9 Ом ±5% 0805</ns0:v>
      </ns0:c>
      <x:c xmlns:x="http://schemas.openxmlformats.org/spreadsheetml/2006/main" r="T162" t="str" s="11">
        <x:v>C:\Users\Nomatin\Documents\Altium\MY_LIB\MY_LIB\Datasheets\YAGEO_RC_L.pdf</x:v>
      </x:c>
      <x:c xmlns:x="http://schemas.openxmlformats.org/spreadsheetml/2006/main" r="U162" t="str" s="11">
        <x:v>Даташит — локальный</x:v>
      </x:c>
      <x:c xmlns:x="http://schemas.openxmlformats.org/spreadsheetml/2006/main" r="V162" t="str" s="11">
        <x:v>C:\Users\Nomatin\Documents\Altium\MY_LIB\MY_LIB\Datasheets\YAGEO_RC_L.pdf</x:v>
      </x:c>
      <x:c xmlns:x="http://schemas.openxmlformats.org/spreadsheetml/2006/main" r="W162" t="str" s="11">
        <x:v>Даташит — производитель</x:v>
      </x:c>
      <x:c xmlns:x="http://schemas.openxmlformats.org/spreadsheetml/2006/main" r="X162" t="str" s="11">
        <x:v>https://yageogroup.com/content/datasheet/asset/file/PYU-RC_GROUP_51_ROHS_L</x:v>
      </x:c>
      <x:c xmlns:x="http://schemas.openxmlformats.org/spreadsheetml/2006/main" r="Y162" t="str" s="11">
        <x:v>C:\Users\Nomatin\Documents\Altium\MY_LIB\MY_LIB\Datasheets\YAGEO_RC_L.pdf</x:v>
      </x:c>
      <ns0:c xmlns:ns0="http://schemas.openxmlformats.org/spreadsheetml/2006/main" r="Z162" s="16" t="inlineStr">
        <ns0:is>
          <ns0:t>MY_LIB_R_TCR</ns0:t>
        </ns0:is>
      </ns0:c>
      <ns0:c xmlns:ns0="http://schemas.openxmlformats.org/spreadsheetml/2006/main" r="AA162" s="16" t="inlineStr">
        <ns0:is>
          <ns0:t>R(T), +200 ppm/C at 25 C; positive datasheet limit</ns0:t>
        </ns0:is>
      </ns0:c>
      <ns0:c xmlns:ns0="http://schemas.openxmlformats.org/spreadsheetml/2006/main" r="AB162" s="16" t="str">
        <ns0:v>General</ns0:v>
      </ns0:c>
      <ns0:c xmlns:ns0="http://schemas.openxmlformats.org/spreadsheetml/2006/main" r="AC162" s="16" t="inlineStr">
        <ns0:is>
          <ns0:t>Spice Subcircuit</ns0:t>
        </ns0:is>
      </ns0:c>
      <ns0:c xmlns:ns0="http://schemas.openxmlformats.org/spreadsheetml/2006/main" r="AD162" s="16" t="inlineStr">
        <ns0:is>
          <ns0:t>@DESIGNATOR %1 %2 @MODEL PARAMS: Rvalue=@VALUE TC1value=200u</ns0:t>
        </ns0:is>
      </ns0:c>
      <ns0:c xmlns:ns0="http://schemas.openxmlformats.org/spreadsheetml/2006/main" r="AE162" s="16" t="inlineStr">
        <ns0:is>
          <ns0:t>X</ns0:t>
        </ns0:is>
      </ns0:c>
      <ns0:c xmlns:ns0="http://schemas.openxmlformats.org/spreadsheetml/2006/main" r="AF162" s="16" t="str">
        <ns0:v>(1:1),(2:2)</ns0:v>
      </ns0:c>
      <ns0:c xmlns:ns0="http://schemas.openxmlformats.org/spreadsheetml/2006/main" r="AG162" s="16" t="inlineStr">
        <ns0:is>
          <ns0:t>Simulation\Resistors\MY_LIB_R_TCR.ckt</ns0:t>
        </ns0:is>
      </ns0:c>
      <ns0:c xmlns:ns0="http://schemas.openxmlformats.org/spreadsheetml/2006/main" r="AH162" s="16" t="inlineStr">
        <ns0:is>
          <ns0:t>±200 ppm/°C</ns0:t>
        </ns0:is>
      </ns0:c>
    </ns0:row>
    <ns0:row r="163" ht="30" customHeight="1">
      <ns0:c r="A163" t="str" s="10">
        <ns0:v>R0169</ns0:v>
      </ns0:c>
      <ns0:c r="B163" t="str" s="10">
        <ns0:v>Резистор</ns0:v>
      </ns0:c>
      <ns0:c r="C163" t="str" s="10">
        <ns0:v>4.3R</ns0:v>
      </ns0:c>
      <ns0:c r="D163" t="str" s="11">
        <ns0:f>SUBSTITUTE(SUBSTITUTE(SUBSTITUTE(SUBSTITUTE(C163,"meg"," МОм"),"k"," кОм"),"R"," Ом"),".",",")</ns0:f>
        <ns0:v>4,3 Ом</ns0:v>
      </ns0:c>
      <ns0:c r="E163" t="str" s="10">
        <ns0:v>±5%</ns0:v>
      </ns0:c>
      <ns0:c r="F163" t="str" s="10">
        <ns0:v>0,125 Вт</ns0:v>
      </ns0:c>
      <ns0:c r="G163" t="str" s="10">
        <ns0:v>150 В макс.</ns0:v>
      </ns0:c>
      <ns0:c r="H163" t="str" s="12">
        <ns0:v>0805</ns0:v>
      </ns0:c>
      <ns0:c r="I163" t="str" s="10">
        <ns0:v>YAGEO</ns0:v>
      </ns0:c>
      <ns0:c r="J163" t="str" s="10">
        <ns0:v>RC0805JR-074R3L</ns0:v>
      </ns0:c>
      <ns0:c r="K163" t="str" s="11">
        <ns0:f>B163&amp;" "&amp;D163&amp;" "&amp;E163&amp;" "&amp;H163</ns0:f>
        <ns0:v>Резистор 4,3 Ом ±5% 0805</ns0:v>
      </ns0:c>
      <ns0:c r="L163" t="str" s="13">
        <ns0:v>R</ns0:v>
      </ns0:c>
      <ns0:c r="M163" t="str" s="13">
        <ns0:v>Symbols\MY_LIB_Resistors.SchLib</ns0:v>
      </ns0:c>
      <ns0:c r="N163" t="str" s="13">
        <ns0:v>RESC2012X70N</ns0:v>
      </ns0:c>
      <ns0:c r="O163" t="str" s="13">
        <ns0:v>Footprints\PBL - SMD Packages.PcbLib</ns0:v>
      </ns0:c>
      <ns0:c xmlns:ns0="http://schemas.openxmlformats.org/spreadsheetml/2006/main" r="P163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3" s="10"/>
      <ns0:c r="R163" t="str" s="11">
        <ns0:f>D163</ns0:f>
        <ns0:v>4,3 Ом</ns0:v>
      </ns0:c>
      <ns0:c r="S163" t="str" s="11">
        <ns0:f>K163</ns0:f>
        <ns0:v>Резистор 4,3 Ом ±5% 0805</ns0:v>
      </ns0:c>
      <x:c xmlns:x="http://schemas.openxmlformats.org/spreadsheetml/2006/main" r="T163" t="str" s="11">
        <x:v>C:\Users\Nomatin\Documents\Altium\MY_LIB\MY_LIB\Datasheets\YAGEO_RC_L.pdf</x:v>
      </x:c>
      <x:c xmlns:x="http://schemas.openxmlformats.org/spreadsheetml/2006/main" r="U163" t="str" s="11">
        <x:v>Даташит — локальный</x:v>
      </x:c>
      <x:c xmlns:x="http://schemas.openxmlformats.org/spreadsheetml/2006/main" r="V163" t="str" s="11">
        <x:v>C:\Users\Nomatin\Documents\Altium\MY_LIB\MY_LIB\Datasheets\YAGEO_RC_L.pdf</x:v>
      </x:c>
      <x:c xmlns:x="http://schemas.openxmlformats.org/spreadsheetml/2006/main" r="W163" t="str" s="11">
        <x:v>Даташит — производитель</x:v>
      </x:c>
      <x:c xmlns:x="http://schemas.openxmlformats.org/spreadsheetml/2006/main" r="X163" t="str" s="11">
        <x:v>https://yageogroup.com/content/datasheet/asset/file/PYU-RC_GROUP_51_ROHS_L</x:v>
      </x:c>
      <x:c xmlns:x="http://schemas.openxmlformats.org/spreadsheetml/2006/main" r="Y163" t="str" s="11">
        <x:v>C:\Users\Nomatin\Documents\Altium\MY_LIB\MY_LIB\Datasheets\YAGEO_RC_L.pdf</x:v>
      </x:c>
      <ns0:c xmlns:ns0="http://schemas.openxmlformats.org/spreadsheetml/2006/main" r="Z163" s="16" t="inlineStr">
        <ns0:is>
          <ns0:t>MY_LIB_R_TCR</ns0:t>
        </ns0:is>
      </ns0:c>
      <ns0:c xmlns:ns0="http://schemas.openxmlformats.org/spreadsheetml/2006/main" r="AA163" s="16" t="inlineStr">
        <ns0:is>
          <ns0:t>R(T), +200 ppm/C at 25 C; positive datasheet limit</ns0:t>
        </ns0:is>
      </ns0:c>
      <ns0:c xmlns:ns0="http://schemas.openxmlformats.org/spreadsheetml/2006/main" r="AB163" s="16" t="str">
        <ns0:v>General</ns0:v>
      </ns0:c>
      <ns0:c xmlns:ns0="http://schemas.openxmlformats.org/spreadsheetml/2006/main" r="AC163" s="16" t="inlineStr">
        <ns0:is>
          <ns0:t>Spice Subcircuit</ns0:t>
        </ns0:is>
      </ns0:c>
      <ns0:c xmlns:ns0="http://schemas.openxmlformats.org/spreadsheetml/2006/main" r="AD163" s="16" t="inlineStr">
        <ns0:is>
          <ns0:t>@DESIGNATOR %1 %2 @MODEL PARAMS: Rvalue=@VALUE TC1value=200u</ns0:t>
        </ns0:is>
      </ns0:c>
      <ns0:c xmlns:ns0="http://schemas.openxmlformats.org/spreadsheetml/2006/main" r="AE163" s="16" t="inlineStr">
        <ns0:is>
          <ns0:t>X</ns0:t>
        </ns0:is>
      </ns0:c>
      <ns0:c xmlns:ns0="http://schemas.openxmlformats.org/spreadsheetml/2006/main" r="AF163" s="16" t="str">
        <ns0:v>(1:1),(2:2)</ns0:v>
      </ns0:c>
      <ns0:c xmlns:ns0="http://schemas.openxmlformats.org/spreadsheetml/2006/main" r="AG163" s="16" t="inlineStr">
        <ns0:is>
          <ns0:t>Simulation\Resistors\MY_LIB_R_TCR.ckt</ns0:t>
        </ns0:is>
      </ns0:c>
      <ns0:c xmlns:ns0="http://schemas.openxmlformats.org/spreadsheetml/2006/main" r="AH163" s="16" t="inlineStr">
        <ns0:is>
          <ns0:t>±200 ppm/°C</ns0:t>
        </ns0:is>
      </ns0:c>
    </ns0:row>
    <ns0:row r="164" ht="30" customHeight="1">
      <ns0:c r="A164" t="str" s="10">
        <ns0:v>R0170</ns0:v>
      </ns0:c>
      <ns0:c r="B164" t="str" s="10">
        <ns0:v>Резистор</ns0:v>
      </ns0:c>
      <ns0:c r="C164" t="str" s="10">
        <ns0:v>4.7R</ns0:v>
      </ns0:c>
      <ns0:c r="D164" t="str" s="11">
        <ns0:f>SUBSTITUTE(SUBSTITUTE(SUBSTITUTE(SUBSTITUTE(C164,"meg"," МОм"),"k"," кОм"),"R"," Ом"),".",",")</ns0:f>
        <ns0:v>4,7 Ом</ns0:v>
      </ns0:c>
      <ns0:c r="E164" t="str" s="10">
        <ns0:v>±5%</ns0:v>
      </ns0:c>
      <ns0:c r="F164" t="str" s="10">
        <ns0:v>0,125 Вт</ns0:v>
      </ns0:c>
      <ns0:c r="G164" t="str" s="10">
        <ns0:v>150 В макс.</ns0:v>
      </ns0:c>
      <ns0:c r="H164" t="str" s="12">
        <ns0:v>0805</ns0:v>
      </ns0:c>
      <ns0:c r="I164" t="str" s="10">
        <ns0:v>YAGEO</ns0:v>
      </ns0:c>
      <ns0:c r="J164" t="str" s="10">
        <ns0:v>RC0805JR-074R7L</ns0:v>
      </ns0:c>
      <ns0:c r="K164" t="str" s="11">
        <ns0:f>B164&amp;" "&amp;D164&amp;" "&amp;E164&amp;" "&amp;H164</ns0:f>
        <ns0:v>Резистор 4,7 Ом ±5% 0805</ns0:v>
      </ns0:c>
      <ns0:c r="L164" t="str" s="13">
        <ns0:v>R</ns0:v>
      </ns0:c>
      <ns0:c r="M164" t="str" s="13">
        <ns0:v>Symbols\MY_LIB_Resistors.SchLib</ns0:v>
      </ns0:c>
      <ns0:c r="N164" t="str" s="13">
        <ns0:v>RESC2012X70N</ns0:v>
      </ns0:c>
      <ns0:c r="O164" t="str" s="13">
        <ns0:v>Footprints\PBL - SMD Packages.PcbLib</ns0:v>
      </ns0:c>
      <ns0:c xmlns:ns0="http://schemas.openxmlformats.org/spreadsheetml/2006/main" r="P164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4" s="10"/>
      <ns0:c r="R164" t="str" s="11">
        <ns0:f>D164</ns0:f>
        <ns0:v>4,7 Ом</ns0:v>
      </ns0:c>
      <ns0:c r="S164" t="str" s="11">
        <ns0:f>K164</ns0:f>
        <ns0:v>Резистор 4,7 Ом ±5% 0805</ns0:v>
      </ns0:c>
      <x:c xmlns:x="http://schemas.openxmlformats.org/spreadsheetml/2006/main" r="T164" t="str" s="11">
        <x:v>C:\Users\Nomatin\Documents\Altium\MY_LIB\MY_LIB\Datasheets\YAGEO_RC_L.pdf</x:v>
      </x:c>
      <x:c xmlns:x="http://schemas.openxmlformats.org/spreadsheetml/2006/main" r="U164" t="str" s="11">
        <x:v>Даташит — локальный</x:v>
      </x:c>
      <x:c xmlns:x="http://schemas.openxmlformats.org/spreadsheetml/2006/main" r="V164" t="str" s="11">
        <x:v>C:\Users\Nomatin\Documents\Altium\MY_LIB\MY_LIB\Datasheets\YAGEO_RC_L.pdf</x:v>
      </x:c>
      <x:c xmlns:x="http://schemas.openxmlformats.org/spreadsheetml/2006/main" r="W164" t="str" s="11">
        <x:v>Даташит — производитель</x:v>
      </x:c>
      <x:c xmlns:x="http://schemas.openxmlformats.org/spreadsheetml/2006/main" r="X164" t="str" s="11">
        <x:v>https://yageogroup.com/content/datasheet/asset/file/PYU-RC_GROUP_51_ROHS_L</x:v>
      </x:c>
      <x:c xmlns:x="http://schemas.openxmlformats.org/spreadsheetml/2006/main" r="Y164" t="str" s="11">
        <x:v>C:\Users\Nomatin\Documents\Altium\MY_LIB\MY_LIB\Datasheets\YAGEO_RC_L.pdf</x:v>
      </x:c>
      <ns0:c xmlns:ns0="http://schemas.openxmlformats.org/spreadsheetml/2006/main" r="Z164" s="16" t="inlineStr">
        <ns0:is>
          <ns0:t>MY_LIB_R_TCR</ns0:t>
        </ns0:is>
      </ns0:c>
      <ns0:c xmlns:ns0="http://schemas.openxmlformats.org/spreadsheetml/2006/main" r="AA164" s="16" t="inlineStr">
        <ns0:is>
          <ns0:t>R(T), +200 ppm/C at 25 C; positive datasheet limit</ns0:t>
        </ns0:is>
      </ns0:c>
      <ns0:c xmlns:ns0="http://schemas.openxmlformats.org/spreadsheetml/2006/main" r="AB164" s="16" t="str">
        <ns0:v>General</ns0:v>
      </ns0:c>
      <ns0:c xmlns:ns0="http://schemas.openxmlformats.org/spreadsheetml/2006/main" r="AC164" s="16" t="inlineStr">
        <ns0:is>
          <ns0:t>Spice Subcircuit</ns0:t>
        </ns0:is>
      </ns0:c>
      <ns0:c xmlns:ns0="http://schemas.openxmlformats.org/spreadsheetml/2006/main" r="AD164" s="16" t="inlineStr">
        <ns0:is>
          <ns0:t>@DESIGNATOR %1 %2 @MODEL PARAMS: Rvalue=@VALUE TC1value=200u</ns0:t>
        </ns0:is>
      </ns0:c>
      <ns0:c xmlns:ns0="http://schemas.openxmlformats.org/spreadsheetml/2006/main" r="AE164" s="16" t="inlineStr">
        <ns0:is>
          <ns0:t>X</ns0:t>
        </ns0:is>
      </ns0:c>
      <ns0:c xmlns:ns0="http://schemas.openxmlformats.org/spreadsheetml/2006/main" r="AF164" s="16" t="str">
        <ns0:v>(1:1),(2:2)</ns0:v>
      </ns0:c>
      <ns0:c xmlns:ns0="http://schemas.openxmlformats.org/spreadsheetml/2006/main" r="AG164" s="16" t="inlineStr">
        <ns0:is>
          <ns0:t>Simulation\Resistors\MY_LIB_R_TCR.ckt</ns0:t>
        </ns0:is>
      </ns0:c>
      <ns0:c xmlns:ns0="http://schemas.openxmlformats.org/spreadsheetml/2006/main" r="AH164" s="16" t="inlineStr">
        <ns0:is>
          <ns0:t>±200 ppm/°C</ns0:t>
        </ns0:is>
      </ns0:c>
    </ns0:row>
    <ns0:row r="165" ht="30" customHeight="1">
      <ns0:c r="A165" t="str" s="10">
        <ns0:v>R0171</ns0:v>
      </ns0:c>
      <ns0:c r="B165" t="str" s="10">
        <ns0:v>Резистор</ns0:v>
      </ns0:c>
      <ns0:c r="C165" t="str" s="10">
        <ns0:v>5.1R</ns0:v>
      </ns0:c>
      <ns0:c r="D165" t="str" s="11">
        <ns0:f>SUBSTITUTE(SUBSTITUTE(SUBSTITUTE(SUBSTITUTE(C165,"meg"," МОм"),"k"," кОм"),"R"," Ом"),".",",")</ns0:f>
        <ns0:v>5,1 Ом</ns0:v>
      </ns0:c>
      <ns0:c r="E165" t="str" s="10">
        <ns0:v>±5%</ns0:v>
      </ns0:c>
      <ns0:c r="F165" t="str" s="10">
        <ns0:v>0,125 Вт</ns0:v>
      </ns0:c>
      <ns0:c r="G165" t="str" s="10">
        <ns0:v>150 В макс.</ns0:v>
      </ns0:c>
      <ns0:c r="H165" t="str" s="12">
        <ns0:v>0805</ns0:v>
      </ns0:c>
      <ns0:c r="I165" t="str" s="10">
        <ns0:v>YAGEO</ns0:v>
      </ns0:c>
      <ns0:c r="J165" t="str" s="10">
        <ns0:v>RC0805JR-075R1L</ns0:v>
      </ns0:c>
      <ns0:c r="K165" t="str" s="11">
        <ns0:f>B165&amp;" "&amp;D165&amp;" "&amp;E165&amp;" "&amp;H165</ns0:f>
        <ns0:v>Резистор 5,1 Ом ±5% 0805</ns0:v>
      </ns0:c>
      <ns0:c r="L165" t="str" s="13">
        <ns0:v>R</ns0:v>
      </ns0:c>
      <ns0:c r="M165" t="str" s="13">
        <ns0:v>Symbols\MY_LIB_Resistors.SchLib</ns0:v>
      </ns0:c>
      <ns0:c r="N165" t="str" s="13">
        <ns0:v>RESC2012X70N</ns0:v>
      </ns0:c>
      <ns0:c r="O165" t="str" s="13">
        <ns0:v>Footprints\PBL - SMD Packages.PcbLib</ns0:v>
      </ns0:c>
      <ns0:c xmlns:ns0="http://schemas.openxmlformats.org/spreadsheetml/2006/main" r="P165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5" s="10"/>
      <ns0:c r="R165" t="str" s="11">
        <ns0:f>D165</ns0:f>
        <ns0:v>5,1 Ом</ns0:v>
      </ns0:c>
      <ns0:c r="S165" t="str" s="11">
        <ns0:f>K165</ns0:f>
        <ns0:v>Резистор 5,1 Ом ±5% 0805</ns0:v>
      </ns0:c>
      <x:c xmlns:x="http://schemas.openxmlformats.org/spreadsheetml/2006/main" r="T165" t="str" s="11">
        <x:v>C:\Users\Nomatin\Documents\Altium\MY_LIB\MY_LIB\Datasheets\YAGEO_RC_L.pdf</x:v>
      </x:c>
      <x:c xmlns:x="http://schemas.openxmlformats.org/spreadsheetml/2006/main" r="U165" t="str" s="11">
        <x:v>Даташит — локальный</x:v>
      </x:c>
      <x:c xmlns:x="http://schemas.openxmlformats.org/spreadsheetml/2006/main" r="V165" t="str" s="11">
        <x:v>C:\Users\Nomatin\Documents\Altium\MY_LIB\MY_LIB\Datasheets\YAGEO_RC_L.pdf</x:v>
      </x:c>
      <x:c xmlns:x="http://schemas.openxmlformats.org/spreadsheetml/2006/main" r="W165" t="str" s="11">
        <x:v>Даташит — производитель</x:v>
      </x:c>
      <x:c xmlns:x="http://schemas.openxmlformats.org/spreadsheetml/2006/main" r="X165" t="str" s="11">
        <x:v>https://yageogroup.com/content/datasheet/asset/file/PYU-RC_GROUP_51_ROHS_L</x:v>
      </x:c>
      <x:c xmlns:x="http://schemas.openxmlformats.org/spreadsheetml/2006/main" r="Y165" t="str" s="11">
        <x:v>C:\Users\Nomatin\Documents\Altium\MY_LIB\MY_LIB\Datasheets\YAGEO_RC_L.pdf</x:v>
      </x:c>
      <ns0:c xmlns:ns0="http://schemas.openxmlformats.org/spreadsheetml/2006/main" r="Z165" s="16" t="inlineStr">
        <ns0:is>
          <ns0:t>MY_LIB_R_TCR</ns0:t>
        </ns0:is>
      </ns0:c>
      <ns0:c xmlns:ns0="http://schemas.openxmlformats.org/spreadsheetml/2006/main" r="AA165" s="16" t="inlineStr">
        <ns0:is>
          <ns0:t>R(T), +200 ppm/C at 25 C; positive datasheet limit</ns0:t>
        </ns0:is>
      </ns0:c>
      <ns0:c xmlns:ns0="http://schemas.openxmlformats.org/spreadsheetml/2006/main" r="AB165" s="16" t="str">
        <ns0:v>General</ns0:v>
      </ns0:c>
      <ns0:c xmlns:ns0="http://schemas.openxmlformats.org/spreadsheetml/2006/main" r="AC165" s="16" t="inlineStr">
        <ns0:is>
          <ns0:t>Spice Subcircuit</ns0:t>
        </ns0:is>
      </ns0:c>
      <ns0:c xmlns:ns0="http://schemas.openxmlformats.org/spreadsheetml/2006/main" r="AD165" s="16" t="inlineStr">
        <ns0:is>
          <ns0:t>@DESIGNATOR %1 %2 @MODEL PARAMS: Rvalue=@VALUE TC1value=200u</ns0:t>
        </ns0:is>
      </ns0:c>
      <ns0:c xmlns:ns0="http://schemas.openxmlformats.org/spreadsheetml/2006/main" r="AE165" s="16" t="inlineStr">
        <ns0:is>
          <ns0:t>X</ns0:t>
        </ns0:is>
      </ns0:c>
      <ns0:c xmlns:ns0="http://schemas.openxmlformats.org/spreadsheetml/2006/main" r="AF165" s="16" t="str">
        <ns0:v>(1:1),(2:2)</ns0:v>
      </ns0:c>
      <ns0:c xmlns:ns0="http://schemas.openxmlformats.org/spreadsheetml/2006/main" r="AG165" s="16" t="inlineStr">
        <ns0:is>
          <ns0:t>Simulation\Resistors\MY_LIB_R_TCR.ckt</ns0:t>
        </ns0:is>
      </ns0:c>
      <ns0:c xmlns:ns0="http://schemas.openxmlformats.org/spreadsheetml/2006/main" r="AH165" s="16" t="inlineStr">
        <ns0:is>
          <ns0:t>±200 ppm/°C</ns0:t>
        </ns0:is>
      </ns0:c>
    </ns0:row>
    <ns0:row r="166" ht="30" customHeight="1">
      <ns0:c r="A166" t="str" s="10">
        <ns0:v>R0172</ns0:v>
      </ns0:c>
      <ns0:c r="B166" t="str" s="10">
        <ns0:v>Резистор</ns0:v>
      </ns0:c>
      <ns0:c r="C166" t="str" s="10">
        <ns0:v>5.6R</ns0:v>
      </ns0:c>
      <ns0:c r="D166" t="str" s="11">
        <ns0:f>SUBSTITUTE(SUBSTITUTE(SUBSTITUTE(SUBSTITUTE(C166,"meg"," МОм"),"k"," кОм"),"R"," Ом"),".",",")</ns0:f>
        <ns0:v>5,6 Ом</ns0:v>
      </ns0:c>
      <ns0:c r="E166" t="str" s="10">
        <ns0:v>±5%</ns0:v>
      </ns0:c>
      <ns0:c r="F166" t="str" s="10">
        <ns0:v>0,125 Вт</ns0:v>
      </ns0:c>
      <ns0:c r="G166" t="str" s="10">
        <ns0:v>150 В макс.</ns0:v>
      </ns0:c>
      <ns0:c r="H166" t="str" s="12">
        <ns0:v>0805</ns0:v>
      </ns0:c>
      <ns0:c r="I166" t="str" s="10">
        <ns0:v>YAGEO</ns0:v>
      </ns0:c>
      <ns0:c r="J166" t="str" s="10">
        <ns0:v>RC0805JR-075R6L</ns0:v>
      </ns0:c>
      <ns0:c r="K166" t="str" s="11">
        <ns0:f>B166&amp;" "&amp;D166&amp;" "&amp;E166&amp;" "&amp;H166</ns0:f>
        <ns0:v>Резистор 5,6 Ом ±5% 0805</ns0:v>
      </ns0:c>
      <ns0:c r="L166" t="str" s="13">
        <ns0:v>R</ns0:v>
      </ns0:c>
      <ns0:c r="M166" t="str" s="13">
        <ns0:v>Symbols\MY_LIB_Resistors.SchLib</ns0:v>
      </ns0:c>
      <ns0:c r="N166" t="str" s="13">
        <ns0:v>RESC2012X70N</ns0:v>
      </ns0:c>
      <ns0:c r="O166" t="str" s="13">
        <ns0:v>Footprints\PBL - SMD Packages.PcbLib</ns0:v>
      </ns0:c>
      <ns0:c xmlns:ns0="http://schemas.openxmlformats.org/spreadsheetml/2006/main" r="P166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6" s="10"/>
      <ns0:c r="R166" t="str" s="11">
        <ns0:f>D166</ns0:f>
        <ns0:v>5,6 Ом</ns0:v>
      </ns0:c>
      <ns0:c r="S166" t="str" s="11">
        <ns0:f>K166</ns0:f>
        <ns0:v>Резистор 5,6 Ом ±5% 0805</ns0:v>
      </ns0:c>
      <x:c xmlns:x="http://schemas.openxmlformats.org/spreadsheetml/2006/main" r="T166" t="str" s="11">
        <x:v>C:\Users\Nomatin\Documents\Altium\MY_LIB\MY_LIB\Datasheets\YAGEO_RC_L.pdf</x:v>
      </x:c>
      <x:c xmlns:x="http://schemas.openxmlformats.org/spreadsheetml/2006/main" r="U166" t="str" s="11">
        <x:v>Даташит — локальный</x:v>
      </x:c>
      <x:c xmlns:x="http://schemas.openxmlformats.org/spreadsheetml/2006/main" r="V166" t="str" s="11">
        <x:v>C:\Users\Nomatin\Documents\Altium\MY_LIB\MY_LIB\Datasheets\YAGEO_RC_L.pdf</x:v>
      </x:c>
      <x:c xmlns:x="http://schemas.openxmlformats.org/spreadsheetml/2006/main" r="W166" t="str" s="11">
        <x:v>Даташит — производитель</x:v>
      </x:c>
      <x:c xmlns:x="http://schemas.openxmlformats.org/spreadsheetml/2006/main" r="X166" t="str" s="11">
        <x:v>https://yageogroup.com/content/datasheet/asset/file/PYU-RC_GROUP_51_ROHS_L</x:v>
      </x:c>
      <x:c xmlns:x="http://schemas.openxmlformats.org/spreadsheetml/2006/main" r="Y166" t="str" s="11">
        <x:v>C:\Users\Nomatin\Documents\Altium\MY_LIB\MY_LIB\Datasheets\YAGEO_RC_L.pdf</x:v>
      </x:c>
      <ns0:c xmlns:ns0="http://schemas.openxmlformats.org/spreadsheetml/2006/main" r="Z166" s="16" t="inlineStr">
        <ns0:is>
          <ns0:t>MY_LIB_R_TCR</ns0:t>
        </ns0:is>
      </ns0:c>
      <ns0:c xmlns:ns0="http://schemas.openxmlformats.org/spreadsheetml/2006/main" r="AA166" s="16" t="inlineStr">
        <ns0:is>
          <ns0:t>R(T), +200 ppm/C at 25 C; positive datasheet limit</ns0:t>
        </ns0:is>
      </ns0:c>
      <ns0:c xmlns:ns0="http://schemas.openxmlformats.org/spreadsheetml/2006/main" r="AB166" s="16" t="str">
        <ns0:v>General</ns0:v>
      </ns0:c>
      <ns0:c xmlns:ns0="http://schemas.openxmlformats.org/spreadsheetml/2006/main" r="AC166" s="16" t="inlineStr">
        <ns0:is>
          <ns0:t>Spice Subcircuit</ns0:t>
        </ns0:is>
      </ns0:c>
      <ns0:c xmlns:ns0="http://schemas.openxmlformats.org/spreadsheetml/2006/main" r="AD166" s="16" t="inlineStr">
        <ns0:is>
          <ns0:t>@DESIGNATOR %1 %2 @MODEL PARAMS: Rvalue=@VALUE TC1value=200u</ns0:t>
        </ns0:is>
      </ns0:c>
      <ns0:c xmlns:ns0="http://schemas.openxmlformats.org/spreadsheetml/2006/main" r="AE166" s="16" t="inlineStr">
        <ns0:is>
          <ns0:t>X</ns0:t>
        </ns0:is>
      </ns0:c>
      <ns0:c xmlns:ns0="http://schemas.openxmlformats.org/spreadsheetml/2006/main" r="AF166" s="16" t="str">
        <ns0:v>(1:1),(2:2)</ns0:v>
      </ns0:c>
      <ns0:c xmlns:ns0="http://schemas.openxmlformats.org/spreadsheetml/2006/main" r="AG166" s="16" t="inlineStr">
        <ns0:is>
          <ns0:t>Simulation\Resistors\MY_LIB_R_TCR.ckt</ns0:t>
        </ns0:is>
      </ns0:c>
      <ns0:c xmlns:ns0="http://schemas.openxmlformats.org/spreadsheetml/2006/main" r="AH166" s="16" t="inlineStr">
        <ns0:is>
          <ns0:t>±200 ppm/°C</ns0:t>
        </ns0:is>
      </ns0:c>
    </ns0:row>
    <ns0:row r="167" ht="30" customHeight="1">
      <ns0:c r="A167" t="str" s="10">
        <ns0:v>R0173</ns0:v>
      </ns0:c>
      <ns0:c r="B167" t="str" s="10">
        <ns0:v>Резистор</ns0:v>
      </ns0:c>
      <ns0:c r="C167" t="str" s="10">
        <ns0:v>6.2R</ns0:v>
      </ns0:c>
      <ns0:c r="D167" t="str" s="11">
        <ns0:f>SUBSTITUTE(SUBSTITUTE(SUBSTITUTE(SUBSTITUTE(C167,"meg"," МОм"),"k"," кОм"),"R"," Ом"),".",",")</ns0:f>
        <ns0:v>6,2 Ом</ns0:v>
      </ns0:c>
      <ns0:c r="E167" t="str" s="10">
        <ns0:v>±5%</ns0:v>
      </ns0:c>
      <ns0:c r="F167" t="str" s="10">
        <ns0:v>0,125 Вт</ns0:v>
      </ns0:c>
      <ns0:c r="G167" t="str" s="10">
        <ns0:v>150 В макс.</ns0:v>
      </ns0:c>
      <ns0:c r="H167" t="str" s="12">
        <ns0:v>0805</ns0:v>
      </ns0:c>
      <ns0:c r="I167" t="str" s="10">
        <ns0:v>YAGEO</ns0:v>
      </ns0:c>
      <ns0:c r="J167" t="str" s="10">
        <ns0:v>RC0805JR-076R2L</ns0:v>
      </ns0:c>
      <ns0:c r="K167" t="str" s="11">
        <ns0:f>B167&amp;" "&amp;D167&amp;" "&amp;E167&amp;" "&amp;H167</ns0:f>
        <ns0:v>Резистор 6,2 Ом ±5% 0805</ns0:v>
      </ns0:c>
      <ns0:c r="L167" t="str" s="13">
        <ns0:v>R</ns0:v>
      </ns0:c>
      <ns0:c r="M167" t="str" s="13">
        <ns0:v>Symbols\MY_LIB_Resistors.SchLib</ns0:v>
      </ns0:c>
      <ns0:c r="N167" t="str" s="13">
        <ns0:v>RESC2012X70N</ns0:v>
      </ns0:c>
      <ns0:c r="O167" t="str" s="13">
        <ns0:v>Footprints\PBL - SMD Packages.PcbLib</ns0:v>
      </ns0:c>
      <ns0:c xmlns:ns0="http://schemas.openxmlformats.org/spreadsheetml/2006/main" r="P167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7" s="10"/>
      <ns0:c r="R167" t="str" s="11">
        <ns0:f>D167</ns0:f>
        <ns0:v>6,2 Ом</ns0:v>
      </ns0:c>
      <ns0:c r="S167" t="str" s="11">
        <ns0:f>K167</ns0:f>
        <ns0:v>Резистор 6,2 Ом ±5% 0805</ns0:v>
      </ns0:c>
      <x:c xmlns:x="http://schemas.openxmlformats.org/spreadsheetml/2006/main" r="T167" t="str" s="11">
        <x:v>C:\Users\Nomatin\Documents\Altium\MY_LIB\MY_LIB\Datasheets\YAGEO_RC_L.pdf</x:v>
      </x:c>
      <x:c xmlns:x="http://schemas.openxmlformats.org/spreadsheetml/2006/main" r="U167" t="str" s="11">
        <x:v>Даташит — локальный</x:v>
      </x:c>
      <x:c xmlns:x="http://schemas.openxmlformats.org/spreadsheetml/2006/main" r="V167" t="str" s="11">
        <x:v>C:\Users\Nomatin\Documents\Altium\MY_LIB\MY_LIB\Datasheets\YAGEO_RC_L.pdf</x:v>
      </x:c>
      <x:c xmlns:x="http://schemas.openxmlformats.org/spreadsheetml/2006/main" r="W167" t="str" s="11">
        <x:v>Даташит — производитель</x:v>
      </x:c>
      <x:c xmlns:x="http://schemas.openxmlformats.org/spreadsheetml/2006/main" r="X167" t="str" s="11">
        <x:v>https://yageogroup.com/content/datasheet/asset/file/PYU-RC_GROUP_51_ROHS_L</x:v>
      </x:c>
      <x:c xmlns:x="http://schemas.openxmlformats.org/spreadsheetml/2006/main" r="Y167" t="str" s="11">
        <x:v>C:\Users\Nomatin\Documents\Altium\MY_LIB\MY_LIB\Datasheets\YAGEO_RC_L.pdf</x:v>
      </x:c>
      <ns0:c xmlns:ns0="http://schemas.openxmlformats.org/spreadsheetml/2006/main" r="Z167" s="16" t="inlineStr">
        <ns0:is>
          <ns0:t>MY_LIB_R_TCR</ns0:t>
        </ns0:is>
      </ns0:c>
      <ns0:c xmlns:ns0="http://schemas.openxmlformats.org/spreadsheetml/2006/main" r="AA167" s="16" t="inlineStr">
        <ns0:is>
          <ns0:t>R(T), +200 ppm/C at 25 C; positive datasheet limit</ns0:t>
        </ns0:is>
      </ns0:c>
      <ns0:c xmlns:ns0="http://schemas.openxmlformats.org/spreadsheetml/2006/main" r="AB167" s="16" t="str">
        <ns0:v>General</ns0:v>
      </ns0:c>
      <ns0:c xmlns:ns0="http://schemas.openxmlformats.org/spreadsheetml/2006/main" r="AC167" s="16" t="inlineStr">
        <ns0:is>
          <ns0:t>Spice Subcircuit</ns0:t>
        </ns0:is>
      </ns0:c>
      <ns0:c xmlns:ns0="http://schemas.openxmlformats.org/spreadsheetml/2006/main" r="AD167" s="16" t="inlineStr">
        <ns0:is>
          <ns0:t>@DESIGNATOR %1 %2 @MODEL PARAMS: Rvalue=@VALUE TC1value=200u</ns0:t>
        </ns0:is>
      </ns0:c>
      <ns0:c xmlns:ns0="http://schemas.openxmlformats.org/spreadsheetml/2006/main" r="AE167" s="16" t="inlineStr">
        <ns0:is>
          <ns0:t>X</ns0:t>
        </ns0:is>
      </ns0:c>
      <ns0:c xmlns:ns0="http://schemas.openxmlformats.org/spreadsheetml/2006/main" r="AF167" s="16" t="str">
        <ns0:v>(1:1),(2:2)</ns0:v>
      </ns0:c>
      <ns0:c xmlns:ns0="http://schemas.openxmlformats.org/spreadsheetml/2006/main" r="AG167" s="16" t="inlineStr">
        <ns0:is>
          <ns0:t>Simulation\Resistors\MY_LIB_R_TCR.ckt</ns0:t>
        </ns0:is>
      </ns0:c>
      <ns0:c xmlns:ns0="http://schemas.openxmlformats.org/spreadsheetml/2006/main" r="AH167" s="16" t="inlineStr">
        <ns0:is>
          <ns0:t>±200 ppm/°C</ns0:t>
        </ns0:is>
      </ns0:c>
    </ns0:row>
    <ns0:row r="168" ht="30" customHeight="1">
      <ns0:c r="A168" t="str" s="10">
        <ns0:v>R0174</ns0:v>
      </ns0:c>
      <ns0:c r="B168" t="str" s="10">
        <ns0:v>Резистор</ns0:v>
      </ns0:c>
      <ns0:c r="C168" t="str" s="10">
        <ns0:v>6.8R</ns0:v>
      </ns0:c>
      <ns0:c r="D168" t="str" s="11">
        <ns0:f>SUBSTITUTE(SUBSTITUTE(SUBSTITUTE(SUBSTITUTE(C168,"meg"," МОм"),"k"," кОм"),"R"," Ом"),".",",")</ns0:f>
        <ns0:v>6,8 Ом</ns0:v>
      </ns0:c>
      <ns0:c r="E168" t="str" s="10">
        <ns0:v>±5%</ns0:v>
      </ns0:c>
      <ns0:c r="F168" t="str" s="10">
        <ns0:v>0,125 Вт</ns0:v>
      </ns0:c>
      <ns0:c r="G168" t="str" s="10">
        <ns0:v>150 В макс.</ns0:v>
      </ns0:c>
      <ns0:c r="H168" t="str" s="12">
        <ns0:v>0805</ns0:v>
      </ns0:c>
      <ns0:c r="I168" t="str" s="10">
        <ns0:v>YAGEO</ns0:v>
      </ns0:c>
      <ns0:c r="J168" t="str" s="10">
        <ns0:v>RC0805JR-076R8L</ns0:v>
      </ns0:c>
      <ns0:c r="K168" t="str" s="11">
        <ns0:f>B168&amp;" "&amp;D168&amp;" "&amp;E168&amp;" "&amp;H168</ns0:f>
        <ns0:v>Резистор 6,8 Ом ±5% 0805</ns0:v>
      </ns0:c>
      <ns0:c r="L168" t="str" s="13">
        <ns0:v>R</ns0:v>
      </ns0:c>
      <ns0:c r="M168" t="str" s="13">
        <ns0:v>Symbols\MY_LIB_Resistors.SchLib</ns0:v>
      </ns0:c>
      <ns0:c r="N168" t="str" s="13">
        <ns0:v>RESC2012X70N</ns0:v>
      </ns0:c>
      <ns0:c r="O168" t="str" s="13">
        <ns0:v>Footprints\PBL - SMD Packages.PcbLib</ns0:v>
      </ns0:c>
      <ns0:c xmlns:ns0="http://schemas.openxmlformats.org/spreadsheetml/2006/main" r="P168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8" s="10"/>
      <ns0:c r="R168" t="str" s="11">
        <ns0:f>D168</ns0:f>
        <ns0:v>6,8 Ом</ns0:v>
      </ns0:c>
      <ns0:c r="S168" t="str" s="11">
        <ns0:f>K168</ns0:f>
        <ns0:v>Резистор 6,8 Ом ±5% 0805</ns0:v>
      </ns0:c>
      <x:c xmlns:x="http://schemas.openxmlformats.org/spreadsheetml/2006/main" r="T168" t="str" s="11">
        <x:v>C:\Users\Nomatin\Documents\Altium\MY_LIB\MY_LIB\Datasheets\YAGEO_RC_L.pdf</x:v>
      </x:c>
      <x:c xmlns:x="http://schemas.openxmlformats.org/spreadsheetml/2006/main" r="U168" t="str" s="11">
        <x:v>Даташит — локальный</x:v>
      </x:c>
      <x:c xmlns:x="http://schemas.openxmlformats.org/spreadsheetml/2006/main" r="V168" t="str" s="11">
        <x:v>C:\Users\Nomatin\Documents\Altium\MY_LIB\MY_LIB\Datasheets\YAGEO_RC_L.pdf</x:v>
      </x:c>
      <x:c xmlns:x="http://schemas.openxmlformats.org/spreadsheetml/2006/main" r="W168" t="str" s="11">
        <x:v>Даташит — производитель</x:v>
      </x:c>
      <x:c xmlns:x="http://schemas.openxmlformats.org/spreadsheetml/2006/main" r="X168" t="str" s="11">
        <x:v>https://yageogroup.com/content/datasheet/asset/file/PYU-RC_GROUP_51_ROHS_L</x:v>
      </x:c>
      <x:c xmlns:x="http://schemas.openxmlformats.org/spreadsheetml/2006/main" r="Y168" t="str" s="11">
        <x:v>C:\Users\Nomatin\Documents\Altium\MY_LIB\MY_LIB\Datasheets\YAGEO_RC_L.pdf</x:v>
      </x:c>
      <ns0:c xmlns:ns0="http://schemas.openxmlformats.org/spreadsheetml/2006/main" r="Z168" s="16" t="inlineStr">
        <ns0:is>
          <ns0:t>MY_LIB_R_TCR</ns0:t>
        </ns0:is>
      </ns0:c>
      <ns0:c xmlns:ns0="http://schemas.openxmlformats.org/spreadsheetml/2006/main" r="AA168" s="16" t="inlineStr">
        <ns0:is>
          <ns0:t>R(T), +200 ppm/C at 25 C; positive datasheet limit</ns0:t>
        </ns0:is>
      </ns0:c>
      <ns0:c xmlns:ns0="http://schemas.openxmlformats.org/spreadsheetml/2006/main" r="AB168" s="16" t="str">
        <ns0:v>General</ns0:v>
      </ns0:c>
      <ns0:c xmlns:ns0="http://schemas.openxmlformats.org/spreadsheetml/2006/main" r="AC168" s="16" t="inlineStr">
        <ns0:is>
          <ns0:t>Spice Subcircuit</ns0:t>
        </ns0:is>
      </ns0:c>
      <ns0:c xmlns:ns0="http://schemas.openxmlformats.org/spreadsheetml/2006/main" r="AD168" s="16" t="inlineStr">
        <ns0:is>
          <ns0:t>@DESIGNATOR %1 %2 @MODEL PARAMS: Rvalue=@VALUE TC1value=200u</ns0:t>
        </ns0:is>
      </ns0:c>
      <ns0:c xmlns:ns0="http://schemas.openxmlformats.org/spreadsheetml/2006/main" r="AE168" s="16" t="inlineStr">
        <ns0:is>
          <ns0:t>X</ns0:t>
        </ns0:is>
      </ns0:c>
      <ns0:c xmlns:ns0="http://schemas.openxmlformats.org/spreadsheetml/2006/main" r="AF168" s="16" t="str">
        <ns0:v>(1:1),(2:2)</ns0:v>
      </ns0:c>
      <ns0:c xmlns:ns0="http://schemas.openxmlformats.org/spreadsheetml/2006/main" r="AG168" s="16" t="inlineStr">
        <ns0:is>
          <ns0:t>Simulation\Resistors\MY_LIB_R_TCR.ckt</ns0:t>
        </ns0:is>
      </ns0:c>
      <ns0:c xmlns:ns0="http://schemas.openxmlformats.org/spreadsheetml/2006/main" r="AH168" s="16" t="inlineStr">
        <ns0:is>
          <ns0:t>±200 ppm/°C</ns0:t>
        </ns0:is>
      </ns0:c>
    </ns0:row>
    <ns0:row r="169" ht="30" customHeight="1">
      <ns0:c r="A169" t="str" s="10">
        <ns0:v>R0175</ns0:v>
      </ns0:c>
      <ns0:c r="B169" t="str" s="10">
        <ns0:v>Резистор</ns0:v>
      </ns0:c>
      <ns0:c r="C169" t="str" s="10">
        <ns0:v>7.5R</ns0:v>
      </ns0:c>
      <ns0:c r="D169" t="str" s="11">
        <ns0:f>SUBSTITUTE(SUBSTITUTE(SUBSTITUTE(SUBSTITUTE(C169,"meg"," МОм"),"k"," кОм"),"R"," Ом"),".",",")</ns0:f>
        <ns0:v>7,5 Ом</ns0:v>
      </ns0:c>
      <ns0:c r="E169" t="str" s="10">
        <ns0:v>±5%</ns0:v>
      </ns0:c>
      <ns0:c r="F169" t="str" s="10">
        <ns0:v>0,125 Вт</ns0:v>
      </ns0:c>
      <ns0:c r="G169" t="str" s="10">
        <ns0:v>150 В макс.</ns0:v>
      </ns0:c>
      <ns0:c r="H169" t="str" s="12">
        <ns0:v>0805</ns0:v>
      </ns0:c>
      <ns0:c r="I169" t="str" s="10">
        <ns0:v>YAGEO</ns0:v>
      </ns0:c>
      <ns0:c r="J169" t="str" s="10">
        <ns0:v>RC0805JR-077R5L</ns0:v>
      </ns0:c>
      <ns0:c r="K169" t="str" s="11">
        <ns0:f>B169&amp;" "&amp;D169&amp;" "&amp;E169&amp;" "&amp;H169</ns0:f>
        <ns0:v>Резистор 7,5 Ом ±5% 0805</ns0:v>
      </ns0:c>
      <ns0:c r="L169" t="str" s="13">
        <ns0:v>R</ns0:v>
      </ns0:c>
      <ns0:c r="M169" t="str" s="13">
        <ns0:v>Symbols\MY_LIB_Resistors.SchLib</ns0:v>
      </ns0:c>
      <ns0:c r="N169" t="str" s="13">
        <ns0:v>RESC2012X70N</ns0:v>
      </ns0:c>
      <ns0:c r="O169" t="str" s="13">
        <ns0:v>Footprints\PBL - SMD Packages.PcbLib</ns0:v>
      </ns0:c>
      <ns0:c xmlns:ns0="http://schemas.openxmlformats.org/spreadsheetml/2006/main" r="P169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69" s="10"/>
      <ns0:c r="R169" t="str" s="11">
        <ns0:f>D169</ns0:f>
        <ns0:v>7,5 Ом</ns0:v>
      </ns0:c>
      <ns0:c r="S169" t="str" s="11">
        <ns0:f>K169</ns0:f>
        <ns0:v>Резистор 7,5 Ом ±5% 0805</ns0:v>
      </ns0:c>
      <x:c xmlns:x="http://schemas.openxmlformats.org/spreadsheetml/2006/main" r="T169" t="str" s="11">
        <x:v>C:\Users\Nomatin\Documents\Altium\MY_LIB\MY_LIB\Datasheets\YAGEO_RC_L.pdf</x:v>
      </x:c>
      <x:c xmlns:x="http://schemas.openxmlformats.org/spreadsheetml/2006/main" r="U169" t="str" s="11">
        <x:v>Даташит — локальный</x:v>
      </x:c>
      <x:c xmlns:x="http://schemas.openxmlformats.org/spreadsheetml/2006/main" r="V169" t="str" s="11">
        <x:v>C:\Users\Nomatin\Documents\Altium\MY_LIB\MY_LIB\Datasheets\YAGEO_RC_L.pdf</x:v>
      </x:c>
      <x:c xmlns:x="http://schemas.openxmlformats.org/spreadsheetml/2006/main" r="W169" t="str" s="11">
        <x:v>Даташит — производитель</x:v>
      </x:c>
      <x:c xmlns:x="http://schemas.openxmlformats.org/spreadsheetml/2006/main" r="X169" t="str" s="11">
        <x:v>https://yageogroup.com/content/datasheet/asset/file/PYU-RC_GROUP_51_ROHS_L</x:v>
      </x:c>
      <x:c xmlns:x="http://schemas.openxmlformats.org/spreadsheetml/2006/main" r="Y169" t="str" s="11">
        <x:v>C:\Users\Nomatin\Documents\Altium\MY_LIB\MY_LIB\Datasheets\YAGEO_RC_L.pdf</x:v>
      </x:c>
      <ns0:c xmlns:ns0="http://schemas.openxmlformats.org/spreadsheetml/2006/main" r="Z169" s="16" t="inlineStr">
        <ns0:is>
          <ns0:t>MY_LIB_R_TCR</ns0:t>
        </ns0:is>
      </ns0:c>
      <ns0:c xmlns:ns0="http://schemas.openxmlformats.org/spreadsheetml/2006/main" r="AA169" s="16" t="inlineStr">
        <ns0:is>
          <ns0:t>R(T), +200 ppm/C at 25 C; positive datasheet limit</ns0:t>
        </ns0:is>
      </ns0:c>
      <ns0:c xmlns:ns0="http://schemas.openxmlformats.org/spreadsheetml/2006/main" r="AB169" s="16" t="str">
        <ns0:v>General</ns0:v>
      </ns0:c>
      <ns0:c xmlns:ns0="http://schemas.openxmlformats.org/spreadsheetml/2006/main" r="AC169" s="16" t="inlineStr">
        <ns0:is>
          <ns0:t>Spice Subcircuit</ns0:t>
        </ns0:is>
      </ns0:c>
      <ns0:c xmlns:ns0="http://schemas.openxmlformats.org/spreadsheetml/2006/main" r="AD169" s="16" t="inlineStr">
        <ns0:is>
          <ns0:t>@DESIGNATOR %1 %2 @MODEL PARAMS: Rvalue=@VALUE TC1value=200u</ns0:t>
        </ns0:is>
      </ns0:c>
      <ns0:c xmlns:ns0="http://schemas.openxmlformats.org/spreadsheetml/2006/main" r="AE169" s="16" t="inlineStr">
        <ns0:is>
          <ns0:t>X</ns0:t>
        </ns0:is>
      </ns0:c>
      <ns0:c xmlns:ns0="http://schemas.openxmlformats.org/spreadsheetml/2006/main" r="AF169" s="16" t="str">
        <ns0:v>(1:1),(2:2)</ns0:v>
      </ns0:c>
      <ns0:c xmlns:ns0="http://schemas.openxmlformats.org/spreadsheetml/2006/main" r="AG169" s="16" t="inlineStr">
        <ns0:is>
          <ns0:t>Simulation\Resistors\MY_LIB_R_TCR.ckt</ns0:t>
        </ns0:is>
      </ns0:c>
      <ns0:c xmlns:ns0="http://schemas.openxmlformats.org/spreadsheetml/2006/main" r="AH169" s="16" t="inlineStr">
        <ns0:is>
          <ns0:t>±200 ppm/°C</ns0:t>
        </ns0:is>
      </ns0:c>
    </ns0:row>
    <ns0:row r="170" ht="30" customHeight="1">
      <ns0:c r="A170" t="str" s="10">
        <ns0:v>R0176</ns0:v>
      </ns0:c>
      <ns0:c r="B170" t="str" s="10">
        <ns0:v>Резистор</ns0:v>
      </ns0:c>
      <ns0:c r="C170" t="str" s="10">
        <ns0:v>8.2R</ns0:v>
      </ns0:c>
      <ns0:c r="D170" t="str" s="11">
        <ns0:f>SUBSTITUTE(SUBSTITUTE(SUBSTITUTE(SUBSTITUTE(C170,"meg"," МОм"),"k"," кОм"),"R"," Ом"),".",",")</ns0:f>
        <ns0:v>8,2 Ом</ns0:v>
      </ns0:c>
      <ns0:c r="E170" t="str" s="10">
        <ns0:v>±5%</ns0:v>
      </ns0:c>
      <ns0:c r="F170" t="str" s="10">
        <ns0:v>0,125 Вт</ns0:v>
      </ns0:c>
      <ns0:c r="G170" t="str" s="10">
        <ns0:v>150 В макс.</ns0:v>
      </ns0:c>
      <ns0:c r="H170" t="str" s="12">
        <ns0:v>0805</ns0:v>
      </ns0:c>
      <ns0:c r="I170" t="str" s="10">
        <ns0:v>YAGEO</ns0:v>
      </ns0:c>
      <ns0:c r="J170" t="str" s="10">
        <ns0:v>RC0805JR-078R2L</ns0:v>
      </ns0:c>
      <ns0:c r="K170" t="str" s="11">
        <ns0:f>B170&amp;" "&amp;D170&amp;" "&amp;E170&amp;" "&amp;H170</ns0:f>
        <ns0:v>Резистор 8,2 Ом ±5% 0805</ns0:v>
      </ns0:c>
      <ns0:c r="L170" t="str" s="13">
        <ns0:v>R</ns0:v>
      </ns0:c>
      <ns0:c r="M170" t="str" s="13">
        <ns0:v>Symbols\MY_LIB_Resistors.SchLib</ns0:v>
      </ns0:c>
      <ns0:c r="N170" t="str" s="13">
        <ns0:v>RESC2012X70N</ns0:v>
      </ns0:c>
      <ns0:c r="O170" t="str" s="13">
        <ns0:v>Footprints\PBL - SMD Packages.PcbLib</ns0:v>
      </ns0:c>
      <ns0:c xmlns:ns0="http://schemas.openxmlformats.org/spreadsheetml/2006/main" r="P170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70" s="10"/>
      <ns0:c r="R170" t="str" s="11">
        <ns0:f>D170</ns0:f>
        <ns0:v>8,2 Ом</ns0:v>
      </ns0:c>
      <ns0:c r="S170" t="str" s="11">
        <ns0:f>K170</ns0:f>
        <ns0:v>Резистор 8,2 Ом ±5% 0805</ns0:v>
      </ns0:c>
      <x:c xmlns:x="http://schemas.openxmlformats.org/spreadsheetml/2006/main" r="T170" t="str" s="11">
        <x:v>C:\Users\Nomatin\Documents\Altium\MY_LIB\MY_LIB\Datasheets\YAGEO_RC_L.pdf</x:v>
      </x:c>
      <x:c xmlns:x="http://schemas.openxmlformats.org/spreadsheetml/2006/main" r="U170" t="str" s="11">
        <x:v>Даташит — локальный</x:v>
      </x:c>
      <x:c xmlns:x="http://schemas.openxmlformats.org/spreadsheetml/2006/main" r="V170" t="str" s="11">
        <x:v>C:\Users\Nomatin\Documents\Altium\MY_LIB\MY_LIB\Datasheets\YAGEO_RC_L.pdf</x:v>
      </x:c>
      <x:c xmlns:x="http://schemas.openxmlformats.org/spreadsheetml/2006/main" r="W170" t="str" s="11">
        <x:v>Даташит — производитель</x:v>
      </x:c>
      <x:c xmlns:x="http://schemas.openxmlformats.org/spreadsheetml/2006/main" r="X170" t="str" s="11">
        <x:v>https://yageogroup.com/content/datasheet/asset/file/PYU-RC_GROUP_51_ROHS_L</x:v>
      </x:c>
      <x:c xmlns:x="http://schemas.openxmlformats.org/spreadsheetml/2006/main" r="Y170" t="str" s="11">
        <x:v>C:\Users\Nomatin\Documents\Altium\MY_LIB\MY_LIB\Datasheets\YAGEO_RC_L.pdf</x:v>
      </x:c>
      <ns0:c xmlns:ns0="http://schemas.openxmlformats.org/spreadsheetml/2006/main" r="Z170" s="16" t="inlineStr">
        <ns0:is>
          <ns0:t>MY_LIB_R_TCR</ns0:t>
        </ns0:is>
      </ns0:c>
      <ns0:c xmlns:ns0="http://schemas.openxmlformats.org/spreadsheetml/2006/main" r="AA170" s="16" t="inlineStr">
        <ns0:is>
          <ns0:t>R(T), +200 ppm/C at 25 C; positive datasheet limit</ns0:t>
        </ns0:is>
      </ns0:c>
      <ns0:c xmlns:ns0="http://schemas.openxmlformats.org/spreadsheetml/2006/main" r="AB170" s="16" t="str">
        <ns0:v>General</ns0:v>
      </ns0:c>
      <ns0:c xmlns:ns0="http://schemas.openxmlformats.org/spreadsheetml/2006/main" r="AC170" s="16" t="inlineStr">
        <ns0:is>
          <ns0:t>Spice Subcircuit</ns0:t>
        </ns0:is>
      </ns0:c>
      <ns0:c xmlns:ns0="http://schemas.openxmlformats.org/spreadsheetml/2006/main" r="AD170" s="16" t="inlineStr">
        <ns0:is>
          <ns0:t>@DESIGNATOR %1 %2 @MODEL PARAMS: Rvalue=@VALUE TC1value=200u</ns0:t>
        </ns0:is>
      </ns0:c>
      <ns0:c xmlns:ns0="http://schemas.openxmlformats.org/spreadsheetml/2006/main" r="AE170" s="16" t="inlineStr">
        <ns0:is>
          <ns0:t>X</ns0:t>
        </ns0:is>
      </ns0:c>
      <ns0:c xmlns:ns0="http://schemas.openxmlformats.org/spreadsheetml/2006/main" r="AF170" s="16" t="str">
        <ns0:v>(1:1),(2:2)</ns0:v>
      </ns0:c>
      <ns0:c xmlns:ns0="http://schemas.openxmlformats.org/spreadsheetml/2006/main" r="AG170" s="16" t="inlineStr">
        <ns0:is>
          <ns0:t>Simulation\Resistors\MY_LIB_R_TCR.ckt</ns0:t>
        </ns0:is>
      </ns0:c>
      <ns0:c xmlns:ns0="http://schemas.openxmlformats.org/spreadsheetml/2006/main" r="AH170" s="16" t="inlineStr">
        <ns0:is>
          <ns0:t>±200 ppm/°C</ns0:t>
        </ns0:is>
      </ns0:c>
    </ns0:row>
    <ns0:row r="171" ht="30" customHeight="1">
      <ns0:c r="A171" t="str" s="10">
        <ns0:v>R0177</ns0:v>
      </ns0:c>
      <ns0:c r="B171" t="str" s="10">
        <ns0:v>Резистор</ns0:v>
      </ns0:c>
      <ns0:c r="C171" t="str" s="10">
        <ns0:v>9.1R</ns0:v>
      </ns0:c>
      <ns0:c r="D171" t="str" s="11">
        <ns0:f>SUBSTITUTE(SUBSTITUTE(SUBSTITUTE(SUBSTITUTE(C171,"meg"," МОм"),"k"," кОм"),"R"," Ом"),".",",")</ns0:f>
        <ns0:v>9,1 Ом</ns0:v>
      </ns0:c>
      <ns0:c r="E171" t="str" s="10">
        <ns0:v>±5%</ns0:v>
      </ns0:c>
      <ns0:c r="F171" t="str" s="10">
        <ns0:v>0,125 Вт</ns0:v>
      </ns0:c>
      <ns0:c r="G171" t="str" s="10">
        <ns0:v>150 В макс.</ns0:v>
      </ns0:c>
      <ns0:c r="H171" t="str" s="12">
        <ns0:v>0805</ns0:v>
      </ns0:c>
      <ns0:c r="I171" t="str" s="10">
        <ns0:v>YAGEO</ns0:v>
      </ns0:c>
      <ns0:c r="J171" t="str" s="10">
        <ns0:v>RC0805JR-079R1L</ns0:v>
      </ns0:c>
      <ns0:c r="K171" t="str" s="11">
        <ns0:f>B171&amp;" "&amp;D171&amp;" "&amp;E171&amp;" "&amp;H171</ns0:f>
        <ns0:v>Резистор 9,1 Ом ±5% 0805</ns0:v>
      </ns0:c>
      <ns0:c r="L171" t="str" s="13">
        <ns0:v>R</ns0:v>
      </ns0:c>
      <ns0:c r="M171" t="str" s="13">
        <ns0:v>Symbols\MY_LIB_Resistors.SchLib</ns0:v>
      </ns0:c>
      <ns0:c r="N171" t="str" s="13">
        <ns0:v>RESC2012X70N</ns0:v>
      </ns0:c>
      <ns0:c r="O171" t="str" s="13">
        <ns0:v>Footprints\PBL - SMD Packages.PcbLib</ns0:v>
      </ns0:c>
      <ns0:c xmlns:ns0="http://schemas.openxmlformats.org/spreadsheetml/2006/main" r="P171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71" s="10"/>
      <ns0:c r="R171" t="str" s="11">
        <ns0:f>D171</ns0:f>
        <ns0:v>9,1 Ом</ns0:v>
      </ns0:c>
      <ns0:c r="S171" t="str" s="11">
        <ns0:f>K171</ns0:f>
        <ns0:v>Резистор 9,1 Ом ±5% 0805</ns0:v>
      </ns0:c>
      <x:c xmlns:x="http://schemas.openxmlformats.org/spreadsheetml/2006/main" r="T171" t="str" s="11">
        <x:v>C:\Users\Nomatin\Documents\Altium\MY_LIB\MY_LIB\Datasheets\YAGEO_RC_L.pdf</x:v>
      </x:c>
      <x:c xmlns:x="http://schemas.openxmlformats.org/spreadsheetml/2006/main" r="U171" t="str" s="11">
        <x:v>Даташит — локальный</x:v>
      </x:c>
      <x:c xmlns:x="http://schemas.openxmlformats.org/spreadsheetml/2006/main" r="V171" t="str" s="11">
        <x:v>C:\Users\Nomatin\Documents\Altium\MY_LIB\MY_LIB\Datasheets\YAGEO_RC_L.pdf</x:v>
      </x:c>
      <x:c xmlns:x="http://schemas.openxmlformats.org/spreadsheetml/2006/main" r="W171" t="str" s="11">
        <x:v>Даташит — производитель</x:v>
      </x:c>
      <x:c xmlns:x="http://schemas.openxmlformats.org/spreadsheetml/2006/main" r="X171" t="str" s="11">
        <x:v>https://yageogroup.com/content/datasheet/asset/file/PYU-RC_GROUP_51_ROHS_L</x:v>
      </x:c>
      <x:c xmlns:x="http://schemas.openxmlformats.org/spreadsheetml/2006/main" r="Y171" t="str" s="11">
        <x:v>C:\Users\Nomatin\Documents\Altium\MY_LIB\MY_LIB\Datasheets\YAGEO_RC_L.pdf</x:v>
      </x:c>
      <ns0:c xmlns:ns0="http://schemas.openxmlformats.org/spreadsheetml/2006/main" r="Z171" s="16" t="inlineStr">
        <ns0:is>
          <ns0:t>MY_LIB_R_TCR</ns0:t>
        </ns0:is>
      </ns0:c>
      <ns0:c xmlns:ns0="http://schemas.openxmlformats.org/spreadsheetml/2006/main" r="AA171" s="16" t="inlineStr">
        <ns0:is>
          <ns0:t>R(T), +200 ppm/C at 25 C; positive datasheet limit</ns0:t>
        </ns0:is>
      </ns0:c>
      <ns0:c xmlns:ns0="http://schemas.openxmlformats.org/spreadsheetml/2006/main" r="AB171" s="16" t="str">
        <ns0:v>General</ns0:v>
      </ns0:c>
      <ns0:c xmlns:ns0="http://schemas.openxmlformats.org/spreadsheetml/2006/main" r="AC171" s="16" t="inlineStr">
        <ns0:is>
          <ns0:t>Spice Subcircuit</ns0:t>
        </ns0:is>
      </ns0:c>
      <ns0:c xmlns:ns0="http://schemas.openxmlformats.org/spreadsheetml/2006/main" r="AD171" s="16" t="inlineStr">
        <ns0:is>
          <ns0:t>@DESIGNATOR %1 %2 @MODEL PARAMS: Rvalue=@VALUE TC1value=200u</ns0:t>
        </ns0:is>
      </ns0:c>
      <ns0:c xmlns:ns0="http://schemas.openxmlformats.org/spreadsheetml/2006/main" r="AE171" s="16" t="inlineStr">
        <ns0:is>
          <ns0:t>X</ns0:t>
        </ns0:is>
      </ns0:c>
      <ns0:c xmlns:ns0="http://schemas.openxmlformats.org/spreadsheetml/2006/main" r="AF171" s="16" t="str">
        <ns0:v>(1:1),(2:2)</ns0:v>
      </ns0:c>
      <ns0:c xmlns:ns0="http://schemas.openxmlformats.org/spreadsheetml/2006/main" r="AG171" s="16" t="inlineStr">
        <ns0:is>
          <ns0:t>Simulation\Resistors\MY_LIB_R_TCR.ckt</ns0:t>
        </ns0:is>
      </ns0:c>
      <ns0:c xmlns:ns0="http://schemas.openxmlformats.org/spreadsheetml/2006/main" r="AH171" s="16" t="inlineStr">
        <ns0:is>
          <ns0:t>±200 ppm/°C</ns0:t>
        </ns0:is>
      </ns0:c>
    </ns0:row>
    <ns0:row r="172" ht="30" customHeight="1">
      <ns0:c r="A172" t="str" s="10">
        <ns0:v>R0178</ns0:v>
      </ns0:c>
      <ns0:c r="B172" t="str" s="10">
        <ns0:v>Резистор</ns0:v>
      </ns0:c>
      <ns0:c r="C172" t="str" s="10">
        <ns0:v>10R</ns0:v>
      </ns0:c>
      <ns0:c r="D172" t="str" s="11">
        <ns0:f>SUBSTITUTE(SUBSTITUTE(SUBSTITUTE(SUBSTITUTE(C172,"meg"," МОм"),"k"," кОм"),"R"," Ом"),".",",")</ns0:f>
        <ns0:v>10 Ом</ns0:v>
      </ns0:c>
      <ns0:c r="E172" t="str" s="10">
        <ns0:v>±5%</ns0:v>
      </ns0:c>
      <ns0:c r="F172" t="str" s="10">
        <ns0:v>0,125 Вт</ns0:v>
      </ns0:c>
      <ns0:c r="G172" t="str" s="10">
        <ns0:v>150 В макс.</ns0:v>
      </ns0:c>
      <ns0:c r="H172" t="str" s="12">
        <ns0:v>0805</ns0:v>
      </ns0:c>
      <ns0:c r="I172" t="str" s="10">
        <ns0:v>YAGEO</ns0:v>
      </ns0:c>
      <ns0:c r="J172" t="str" s="10">
        <ns0:v>RC0805JR-0710RL</ns0:v>
      </ns0:c>
      <ns0:c r="K172" t="str" s="11">
        <ns0:f>B172&amp;" "&amp;D172&amp;" "&amp;E172&amp;" "&amp;H172</ns0:f>
        <ns0:v>Резистор 10 Ом ±5% 0805</ns0:v>
      </ns0:c>
      <ns0:c r="L172" t="str" s="13">
        <ns0:v>R</ns0:v>
      </ns0:c>
      <ns0:c r="M172" t="str" s="13">
        <ns0:v>Symbols\MY_LIB_Resistors.SchLib</ns0:v>
      </ns0:c>
      <ns0:c r="N172" t="str" s="13">
        <ns0:v>RESC2012X70N</ns0:v>
      </ns0:c>
      <ns0:c r="O172" t="str" s="13">
        <ns0:v>Footprints\PBL - SMD Packages.PcbLib</ns0:v>
      </ns0:c>
      <ns0:c xmlns:ns0="http://schemas.openxmlformats.org/spreadsheetml/2006/main" r="P172" s="10" t="inlineStr">
        <ns0:is>
          <ns0:t>RC_L; E24; P при 70 °C; SPICE: +200 ppm/°C при 25 °C — положительная граница ±200, не измеренный ТКС (RC_L, табл.2/5, стр.5/8).</ns0:t>
        </ns0:is>
      </ns0:c>
      <ns0:c r="Q172" s="10"/>
      <ns0:c r="R172" t="str" s="11">
        <ns0:f>D172</ns0:f>
        <ns0:v>10 Ом</ns0:v>
      </ns0:c>
      <ns0:c r="S172" t="str" s="11">
        <ns0:f>K172</ns0:f>
        <ns0:v>Резистор 10 Ом ±5% 0805</ns0:v>
      </ns0:c>
      <x:c xmlns:x="http://schemas.openxmlformats.org/spreadsheetml/2006/main" r="T172" t="str" s="11">
        <x:v>C:\Users\Nomatin\Documents\Altium\MY_LIB\MY_LIB\Datasheets\YAGEO_RC_L.pdf</x:v>
      </x:c>
      <x:c xmlns:x="http://schemas.openxmlformats.org/spreadsheetml/2006/main" r="U172" t="str" s="11">
        <x:v>Даташит — локальный</x:v>
      </x:c>
      <x:c xmlns:x="http://schemas.openxmlformats.org/spreadsheetml/2006/main" r="V172" t="str" s="11">
        <x:v>C:\Users\Nomatin\Documents\Altium\MY_LIB\MY_LIB\Datasheets\YAGEO_RC_L.pdf</x:v>
      </x:c>
      <x:c xmlns:x="http://schemas.openxmlformats.org/spreadsheetml/2006/main" r="W172" t="str" s="11">
        <x:v>Даташит — производитель</x:v>
      </x:c>
      <x:c xmlns:x="http://schemas.openxmlformats.org/spreadsheetml/2006/main" r="X172" t="str" s="11">
        <x:v>https://yageogroup.com/content/datasheet/asset/file/PYU-RC_GROUP_51_ROHS_L</x:v>
      </x:c>
      <x:c xmlns:x="http://schemas.openxmlformats.org/spreadsheetml/2006/main" r="Y172" t="str" s="11">
        <x:v>C:\Users\Nomatin\Documents\Altium\MY_LIB\MY_LIB\Datasheets\YAGEO_RC_L.pdf</x:v>
      </x:c>
      <ns0:c xmlns:ns0="http://schemas.openxmlformats.org/spreadsheetml/2006/main" r="Z172" s="16" t="inlineStr">
        <ns0:is>
          <ns0:t>MY_LIB_R_TCR</ns0:t>
        </ns0:is>
      </ns0:c>
      <ns0:c xmlns:ns0="http://schemas.openxmlformats.org/spreadsheetml/2006/main" r="AA172" s="16" t="inlineStr">
        <ns0:is>
          <ns0:t>R(T), +200 ppm/C at 25 C; positive datasheet limit</ns0:t>
        </ns0:is>
      </ns0:c>
      <ns0:c xmlns:ns0="http://schemas.openxmlformats.org/spreadsheetml/2006/main" r="AB172" s="16" t="str">
        <ns0:v>General</ns0:v>
      </ns0:c>
      <ns0:c xmlns:ns0="http://schemas.openxmlformats.org/spreadsheetml/2006/main" r="AC172" s="16" t="inlineStr">
        <ns0:is>
          <ns0:t>Spice Subcircuit</ns0:t>
        </ns0:is>
      </ns0:c>
      <ns0:c xmlns:ns0="http://schemas.openxmlformats.org/spreadsheetml/2006/main" r="AD172" s="16" t="inlineStr">
        <ns0:is>
          <ns0:t>@DESIGNATOR %1 %2 @MODEL PARAMS: Rvalue=@VALUE TC1value=200u</ns0:t>
        </ns0:is>
      </ns0:c>
      <ns0:c xmlns:ns0="http://schemas.openxmlformats.org/spreadsheetml/2006/main" r="AE172" s="16" t="inlineStr">
        <ns0:is>
          <ns0:t>X</ns0:t>
        </ns0:is>
      </ns0:c>
      <ns0:c xmlns:ns0="http://schemas.openxmlformats.org/spreadsheetml/2006/main" r="AF172" s="16" t="str">
        <ns0:v>(1:1),(2:2)</ns0:v>
      </ns0:c>
      <ns0:c xmlns:ns0="http://schemas.openxmlformats.org/spreadsheetml/2006/main" r="AG172" s="16" t="inlineStr">
        <ns0:is>
          <ns0:t>Simulation\Resistors\MY_LIB_R_TCR.ckt</ns0:t>
        </ns0:is>
      </ns0:c>
      <ns0:c xmlns:ns0="http://schemas.openxmlformats.org/spreadsheetml/2006/main" r="AH172" s="16" t="inlineStr">
        <ns0:is>
          <ns0:t>±200 ppm/°C</ns0:t>
        </ns0:is>
      </ns0:c>
    </ns0:row>
    <ns0:row r="173" ht="30" customHeight="1">
      <ns0:c r="A173" t="str" s="10">
        <ns0:v>R0179</ns0:v>
      </ns0:c>
      <ns0:c r="B173" t="str" s="10">
        <ns0:v>Резистор</ns0:v>
      </ns0:c>
      <ns0:c r="C173" t="str" s="10">
        <ns0:v>11R</ns0:v>
      </ns0:c>
      <ns0:c r="D173" t="str" s="11">
        <ns0:f>SUBSTITUTE(SUBSTITUTE(SUBSTITUTE(SUBSTITUTE(C173,"meg"," МОм"),"k"," кОм"),"R"," Ом"),".",",")</ns0:f>
        <ns0:v>11 Ом</ns0:v>
      </ns0:c>
      <ns0:c r="E173" t="str" s="10">
        <ns0:v>±5%</ns0:v>
      </ns0:c>
      <ns0:c r="F173" t="str" s="10">
        <ns0:v>0,125 Вт</ns0:v>
      </ns0:c>
      <ns0:c r="G173" t="str" s="10">
        <ns0:v>150 В макс.</ns0:v>
      </ns0:c>
      <ns0:c r="H173" t="str" s="12">
        <ns0:v>0805</ns0:v>
      </ns0:c>
      <ns0:c r="I173" t="str" s="10">
        <ns0:v>YAGEO</ns0:v>
      </ns0:c>
      <ns0:c r="J173" t="str" s="10">
        <ns0:v>RC0805JR-0711RL</ns0:v>
      </ns0:c>
      <ns0:c r="K173" t="str" s="11">
        <ns0:f>B173&amp;" "&amp;D173&amp;" "&amp;E173&amp;" "&amp;H173</ns0:f>
        <ns0:v>Резистор 11 Ом ±5% 0805</ns0:v>
      </ns0:c>
      <ns0:c r="L173" t="str" s="13">
        <ns0:v>R</ns0:v>
      </ns0:c>
      <ns0:c r="M173" t="str" s="13">
        <ns0:v>Symbols\MY_LIB_Resistors.SchLib</ns0:v>
      </ns0:c>
      <ns0:c r="N173" t="str" s="13">
        <ns0:v>RESC2012X70N</ns0:v>
      </ns0:c>
      <ns0:c r="O173" t="str" s="13">
        <ns0:v>Footprints\PBL - SMD Packages.PcbLib</ns0:v>
      </ns0:c>
      <ns0:c xmlns:ns0="http://schemas.openxmlformats.org/spreadsheetml/2006/main" r="P17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3" s="10"/>
      <ns0:c r="R173" t="str" s="11">
        <ns0:f>D173</ns0:f>
        <ns0:v>11 Ом</ns0:v>
      </ns0:c>
      <ns0:c r="S173" t="str" s="11">
        <ns0:f>K173</ns0:f>
        <ns0:v>Резистор 11 Ом ±5% 0805</ns0:v>
      </ns0:c>
      <x:c xmlns:x="http://schemas.openxmlformats.org/spreadsheetml/2006/main" r="T173" t="str" s="11">
        <x:v>C:\Users\Nomatin\Documents\Altium\MY_LIB\MY_LIB\Datasheets\YAGEO_RC_L.pdf</x:v>
      </x:c>
      <x:c xmlns:x="http://schemas.openxmlformats.org/spreadsheetml/2006/main" r="U173" t="str" s="11">
        <x:v>Даташит — локальный</x:v>
      </x:c>
      <x:c xmlns:x="http://schemas.openxmlformats.org/spreadsheetml/2006/main" r="V173" t="str" s="11">
        <x:v>C:\Users\Nomatin\Documents\Altium\MY_LIB\MY_LIB\Datasheets\YAGEO_RC_L.pdf</x:v>
      </x:c>
      <x:c xmlns:x="http://schemas.openxmlformats.org/spreadsheetml/2006/main" r="W173" t="str" s="11">
        <x:v>Даташит — производитель</x:v>
      </x:c>
      <x:c xmlns:x="http://schemas.openxmlformats.org/spreadsheetml/2006/main" r="X173" t="str" s="11">
        <x:v>https://yageogroup.com/content/datasheet/asset/file/PYU-RC_GROUP_51_ROHS_L</x:v>
      </x:c>
      <x:c xmlns:x="http://schemas.openxmlformats.org/spreadsheetml/2006/main" r="Y173" t="str" s="11">
        <x:v>C:\Users\Nomatin\Documents\Altium\MY_LIB\MY_LIB\Datasheets\YAGEO_RC_L.pdf</x:v>
      </x:c>
      <ns0:c xmlns:ns0="http://schemas.openxmlformats.org/spreadsheetml/2006/main" r="Z173" s="16" t="inlineStr">
        <ns0:is>
          <ns0:t>MY_LIB_R_TCR</ns0:t>
        </ns0:is>
      </ns0:c>
      <ns0:c xmlns:ns0="http://schemas.openxmlformats.org/spreadsheetml/2006/main" r="AA173" s="16" t="inlineStr">
        <ns0:is>
          <ns0:t>R(T), +100 ppm/C at 25 C; positive datasheet limit</ns0:t>
        </ns0:is>
      </ns0:c>
      <ns0:c xmlns:ns0="http://schemas.openxmlformats.org/spreadsheetml/2006/main" r="AB173" s="16" t="str">
        <ns0:v>General</ns0:v>
      </ns0:c>
      <ns0:c xmlns:ns0="http://schemas.openxmlformats.org/spreadsheetml/2006/main" r="AC173" s="16" t="inlineStr">
        <ns0:is>
          <ns0:t>Spice Subcircuit</ns0:t>
        </ns0:is>
      </ns0:c>
      <ns0:c xmlns:ns0="http://schemas.openxmlformats.org/spreadsheetml/2006/main" r="AD173" s="16" t="inlineStr">
        <ns0:is>
          <ns0:t>@DESIGNATOR %1 %2 @MODEL PARAMS: Rvalue=@VALUE TC1value=100u</ns0:t>
        </ns0:is>
      </ns0:c>
      <ns0:c xmlns:ns0="http://schemas.openxmlformats.org/spreadsheetml/2006/main" r="AE173" s="16" t="inlineStr">
        <ns0:is>
          <ns0:t>X</ns0:t>
        </ns0:is>
      </ns0:c>
      <ns0:c xmlns:ns0="http://schemas.openxmlformats.org/spreadsheetml/2006/main" r="AF173" s="16" t="str">
        <ns0:v>(1:1),(2:2)</ns0:v>
      </ns0:c>
      <ns0:c xmlns:ns0="http://schemas.openxmlformats.org/spreadsheetml/2006/main" r="AG173" s="16" t="inlineStr">
        <ns0:is>
          <ns0:t>Simulation\Resistors\MY_LIB_R_TCR.ckt</ns0:t>
        </ns0:is>
      </ns0:c>
      <ns0:c xmlns:ns0="http://schemas.openxmlformats.org/spreadsheetml/2006/main" r="AH173" s="16" t="inlineStr">
        <ns0:is>
          <ns0:t>±100 ppm/°C</ns0:t>
        </ns0:is>
      </ns0:c>
    </ns0:row>
    <ns0:row r="174" ht="30" customHeight="1">
      <ns0:c r="A174" t="str" s="10">
        <ns0:v>R0180</ns0:v>
      </ns0:c>
      <ns0:c r="B174" t="str" s="10">
        <ns0:v>Резистор</ns0:v>
      </ns0:c>
      <ns0:c r="C174" t="str" s="10">
        <ns0:v>12R</ns0:v>
      </ns0:c>
      <ns0:c r="D174" t="str" s="11">
        <ns0:f>SUBSTITUTE(SUBSTITUTE(SUBSTITUTE(SUBSTITUTE(C174,"meg"," МОм"),"k"," кОм"),"R"," Ом"),".",",")</ns0:f>
        <ns0:v>12 Ом</ns0:v>
      </ns0:c>
      <ns0:c r="E174" t="str" s="10">
        <ns0:v>±5%</ns0:v>
      </ns0:c>
      <ns0:c r="F174" t="str" s="10">
        <ns0:v>0,125 Вт</ns0:v>
      </ns0:c>
      <ns0:c r="G174" t="str" s="10">
        <ns0:v>150 В макс.</ns0:v>
      </ns0:c>
      <ns0:c r="H174" t="str" s="12">
        <ns0:v>0805</ns0:v>
      </ns0:c>
      <ns0:c r="I174" t="str" s="10">
        <ns0:v>YAGEO</ns0:v>
      </ns0:c>
      <ns0:c r="J174" t="str" s="10">
        <ns0:v>RC0805JR-0712RL</ns0:v>
      </ns0:c>
      <ns0:c r="K174" t="str" s="11">
        <ns0:f>B174&amp;" "&amp;D174&amp;" "&amp;E174&amp;" "&amp;H174</ns0:f>
        <ns0:v>Резистор 12 Ом ±5% 0805</ns0:v>
      </ns0:c>
      <ns0:c r="L174" t="str" s="13">
        <ns0:v>R</ns0:v>
      </ns0:c>
      <ns0:c r="M174" t="str" s="13">
        <ns0:v>Symbols\MY_LIB_Resistors.SchLib</ns0:v>
      </ns0:c>
      <ns0:c r="N174" t="str" s="13">
        <ns0:v>RESC2012X70N</ns0:v>
      </ns0:c>
      <ns0:c r="O174" t="str" s="13">
        <ns0:v>Footprints\PBL - SMD Packages.PcbLib</ns0:v>
      </ns0:c>
      <ns0:c xmlns:ns0="http://schemas.openxmlformats.org/spreadsheetml/2006/main" r="P17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4" s="10"/>
      <ns0:c r="R174" t="str" s="11">
        <ns0:f>D174</ns0:f>
        <ns0:v>12 Ом</ns0:v>
      </ns0:c>
      <ns0:c r="S174" t="str" s="11">
        <ns0:f>K174</ns0:f>
        <ns0:v>Резистор 12 Ом ±5% 0805</ns0:v>
      </ns0:c>
      <x:c xmlns:x="http://schemas.openxmlformats.org/spreadsheetml/2006/main" r="T174" t="str" s="11">
        <x:v>C:\Users\Nomatin\Documents\Altium\MY_LIB\MY_LIB\Datasheets\YAGEO_RC_L.pdf</x:v>
      </x:c>
      <x:c xmlns:x="http://schemas.openxmlformats.org/spreadsheetml/2006/main" r="U174" t="str" s="11">
        <x:v>Даташит — локальный</x:v>
      </x:c>
      <x:c xmlns:x="http://schemas.openxmlformats.org/spreadsheetml/2006/main" r="V174" t="str" s="11">
        <x:v>C:\Users\Nomatin\Documents\Altium\MY_LIB\MY_LIB\Datasheets\YAGEO_RC_L.pdf</x:v>
      </x:c>
      <x:c xmlns:x="http://schemas.openxmlformats.org/spreadsheetml/2006/main" r="W174" t="str" s="11">
        <x:v>Даташит — производитель</x:v>
      </x:c>
      <x:c xmlns:x="http://schemas.openxmlformats.org/spreadsheetml/2006/main" r="X174" t="str" s="11">
        <x:v>https://yageogroup.com/content/datasheet/asset/file/PYU-RC_GROUP_51_ROHS_L</x:v>
      </x:c>
      <x:c xmlns:x="http://schemas.openxmlformats.org/spreadsheetml/2006/main" r="Y174" t="str" s="11">
        <x:v>C:\Users\Nomatin\Documents\Altium\MY_LIB\MY_LIB\Datasheets\YAGEO_RC_L.pdf</x:v>
      </x:c>
      <ns0:c xmlns:ns0="http://schemas.openxmlformats.org/spreadsheetml/2006/main" r="Z174" s="16" t="inlineStr">
        <ns0:is>
          <ns0:t>MY_LIB_R_TCR</ns0:t>
        </ns0:is>
      </ns0:c>
      <ns0:c xmlns:ns0="http://schemas.openxmlformats.org/spreadsheetml/2006/main" r="AA174" s="16" t="inlineStr">
        <ns0:is>
          <ns0:t>R(T), +100 ppm/C at 25 C; positive datasheet limit</ns0:t>
        </ns0:is>
      </ns0:c>
      <ns0:c xmlns:ns0="http://schemas.openxmlformats.org/spreadsheetml/2006/main" r="AB174" s="16" t="str">
        <ns0:v>General</ns0:v>
      </ns0:c>
      <ns0:c xmlns:ns0="http://schemas.openxmlformats.org/spreadsheetml/2006/main" r="AC174" s="16" t="inlineStr">
        <ns0:is>
          <ns0:t>Spice Subcircuit</ns0:t>
        </ns0:is>
      </ns0:c>
      <ns0:c xmlns:ns0="http://schemas.openxmlformats.org/spreadsheetml/2006/main" r="AD174" s="16" t="inlineStr">
        <ns0:is>
          <ns0:t>@DESIGNATOR %1 %2 @MODEL PARAMS: Rvalue=@VALUE TC1value=100u</ns0:t>
        </ns0:is>
      </ns0:c>
      <ns0:c xmlns:ns0="http://schemas.openxmlformats.org/spreadsheetml/2006/main" r="AE174" s="16" t="inlineStr">
        <ns0:is>
          <ns0:t>X</ns0:t>
        </ns0:is>
      </ns0:c>
      <ns0:c xmlns:ns0="http://schemas.openxmlformats.org/spreadsheetml/2006/main" r="AF174" s="16" t="str">
        <ns0:v>(1:1),(2:2)</ns0:v>
      </ns0:c>
      <ns0:c xmlns:ns0="http://schemas.openxmlformats.org/spreadsheetml/2006/main" r="AG174" s="16" t="inlineStr">
        <ns0:is>
          <ns0:t>Simulation\Resistors\MY_LIB_R_TCR.ckt</ns0:t>
        </ns0:is>
      </ns0:c>
      <ns0:c xmlns:ns0="http://schemas.openxmlformats.org/spreadsheetml/2006/main" r="AH174" s="16" t="inlineStr">
        <ns0:is>
          <ns0:t>±100 ppm/°C</ns0:t>
        </ns0:is>
      </ns0:c>
    </ns0:row>
    <ns0:row r="175" ht="30" customHeight="1">
      <ns0:c r="A175" t="str" s="10">
        <ns0:v>R0181</ns0:v>
      </ns0:c>
      <ns0:c r="B175" t="str" s="10">
        <ns0:v>Резистор</ns0:v>
      </ns0:c>
      <ns0:c r="C175" t="str" s="10">
        <ns0:v>13R</ns0:v>
      </ns0:c>
      <ns0:c r="D175" t="str" s="11">
        <ns0:f>SUBSTITUTE(SUBSTITUTE(SUBSTITUTE(SUBSTITUTE(C175,"meg"," МОм"),"k"," кОм"),"R"," Ом"),".",",")</ns0:f>
        <ns0:v>13 Ом</ns0:v>
      </ns0:c>
      <ns0:c r="E175" t="str" s="10">
        <ns0:v>±5%</ns0:v>
      </ns0:c>
      <ns0:c r="F175" t="str" s="10">
        <ns0:v>0,125 Вт</ns0:v>
      </ns0:c>
      <ns0:c r="G175" t="str" s="10">
        <ns0:v>150 В макс.</ns0:v>
      </ns0:c>
      <ns0:c r="H175" t="str" s="12">
        <ns0:v>0805</ns0:v>
      </ns0:c>
      <ns0:c r="I175" t="str" s="10">
        <ns0:v>YAGEO</ns0:v>
      </ns0:c>
      <ns0:c r="J175" t="str" s="10">
        <ns0:v>RC0805JR-0713RL</ns0:v>
      </ns0:c>
      <ns0:c r="K175" t="str" s="11">
        <ns0:f>B175&amp;" "&amp;D175&amp;" "&amp;E175&amp;" "&amp;H175</ns0:f>
        <ns0:v>Резистор 13 Ом ±5% 0805</ns0:v>
      </ns0:c>
      <ns0:c r="L175" t="str" s="13">
        <ns0:v>R</ns0:v>
      </ns0:c>
      <ns0:c r="M175" t="str" s="13">
        <ns0:v>Symbols\MY_LIB_Resistors.SchLib</ns0:v>
      </ns0:c>
      <ns0:c r="N175" t="str" s="13">
        <ns0:v>RESC2012X70N</ns0:v>
      </ns0:c>
      <ns0:c r="O175" t="str" s="13">
        <ns0:v>Footprints\PBL - SMD Packages.PcbLib</ns0:v>
      </ns0:c>
      <ns0:c xmlns:ns0="http://schemas.openxmlformats.org/spreadsheetml/2006/main" r="P17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5" s="10"/>
      <ns0:c r="R175" t="str" s="11">
        <ns0:f>D175</ns0:f>
        <ns0:v>13 Ом</ns0:v>
      </ns0:c>
      <ns0:c r="S175" t="str" s="11">
        <ns0:f>K175</ns0:f>
        <ns0:v>Резистор 13 Ом ±5% 0805</ns0:v>
      </ns0:c>
      <x:c xmlns:x="http://schemas.openxmlformats.org/spreadsheetml/2006/main" r="T175" t="str" s="11">
        <x:v>C:\Users\Nomatin\Documents\Altium\MY_LIB\MY_LIB\Datasheets\YAGEO_RC_L.pdf</x:v>
      </x:c>
      <x:c xmlns:x="http://schemas.openxmlformats.org/spreadsheetml/2006/main" r="U175" t="str" s="11">
        <x:v>Даташит — локальный</x:v>
      </x:c>
      <x:c xmlns:x="http://schemas.openxmlformats.org/spreadsheetml/2006/main" r="V175" t="str" s="11">
        <x:v>C:\Users\Nomatin\Documents\Altium\MY_LIB\MY_LIB\Datasheets\YAGEO_RC_L.pdf</x:v>
      </x:c>
      <x:c xmlns:x="http://schemas.openxmlformats.org/spreadsheetml/2006/main" r="W175" t="str" s="11">
        <x:v>Даташит — производитель</x:v>
      </x:c>
      <x:c xmlns:x="http://schemas.openxmlformats.org/spreadsheetml/2006/main" r="X175" t="str" s="11">
        <x:v>https://yageogroup.com/content/datasheet/asset/file/PYU-RC_GROUP_51_ROHS_L</x:v>
      </x:c>
      <x:c xmlns:x="http://schemas.openxmlformats.org/spreadsheetml/2006/main" r="Y175" t="str" s="11">
        <x:v>C:\Users\Nomatin\Documents\Altium\MY_LIB\MY_LIB\Datasheets\YAGEO_RC_L.pdf</x:v>
      </x:c>
      <ns0:c xmlns:ns0="http://schemas.openxmlformats.org/spreadsheetml/2006/main" r="Z175" s="16" t="inlineStr">
        <ns0:is>
          <ns0:t>MY_LIB_R_TCR</ns0:t>
        </ns0:is>
      </ns0:c>
      <ns0:c xmlns:ns0="http://schemas.openxmlformats.org/spreadsheetml/2006/main" r="AA175" s="16" t="inlineStr">
        <ns0:is>
          <ns0:t>R(T), +100 ppm/C at 25 C; positive datasheet limit</ns0:t>
        </ns0:is>
      </ns0:c>
      <ns0:c xmlns:ns0="http://schemas.openxmlformats.org/spreadsheetml/2006/main" r="AB175" s="16" t="str">
        <ns0:v>General</ns0:v>
      </ns0:c>
      <ns0:c xmlns:ns0="http://schemas.openxmlformats.org/spreadsheetml/2006/main" r="AC175" s="16" t="inlineStr">
        <ns0:is>
          <ns0:t>Spice Subcircuit</ns0:t>
        </ns0:is>
      </ns0:c>
      <ns0:c xmlns:ns0="http://schemas.openxmlformats.org/spreadsheetml/2006/main" r="AD175" s="16" t="inlineStr">
        <ns0:is>
          <ns0:t>@DESIGNATOR %1 %2 @MODEL PARAMS: Rvalue=@VALUE TC1value=100u</ns0:t>
        </ns0:is>
      </ns0:c>
      <ns0:c xmlns:ns0="http://schemas.openxmlformats.org/spreadsheetml/2006/main" r="AE175" s="16" t="inlineStr">
        <ns0:is>
          <ns0:t>X</ns0:t>
        </ns0:is>
      </ns0:c>
      <ns0:c xmlns:ns0="http://schemas.openxmlformats.org/spreadsheetml/2006/main" r="AF175" s="16" t="str">
        <ns0:v>(1:1),(2:2)</ns0:v>
      </ns0:c>
      <ns0:c xmlns:ns0="http://schemas.openxmlformats.org/spreadsheetml/2006/main" r="AG175" s="16" t="inlineStr">
        <ns0:is>
          <ns0:t>Simulation\Resistors\MY_LIB_R_TCR.ckt</ns0:t>
        </ns0:is>
      </ns0:c>
      <ns0:c xmlns:ns0="http://schemas.openxmlformats.org/spreadsheetml/2006/main" r="AH175" s="16" t="inlineStr">
        <ns0:is>
          <ns0:t>±100 ppm/°C</ns0:t>
        </ns0:is>
      </ns0:c>
    </ns0:row>
    <ns0:row r="176" ht="30" customHeight="1">
      <ns0:c r="A176" t="str" s="10">
        <ns0:v>R0182</ns0:v>
      </ns0:c>
      <ns0:c r="B176" t="str" s="10">
        <ns0:v>Резистор</ns0:v>
      </ns0:c>
      <ns0:c r="C176" t="str" s="10">
        <ns0:v>15R</ns0:v>
      </ns0:c>
      <ns0:c r="D176" t="str" s="11">
        <ns0:f>SUBSTITUTE(SUBSTITUTE(SUBSTITUTE(SUBSTITUTE(C176,"meg"," МОм"),"k"," кОм"),"R"," Ом"),".",",")</ns0:f>
        <ns0:v>15 Ом</ns0:v>
      </ns0:c>
      <ns0:c r="E176" t="str" s="10">
        <ns0:v>±5%</ns0:v>
      </ns0:c>
      <ns0:c r="F176" t="str" s="10">
        <ns0:v>0,125 Вт</ns0:v>
      </ns0:c>
      <ns0:c r="G176" t="str" s="10">
        <ns0:v>150 В макс.</ns0:v>
      </ns0:c>
      <ns0:c r="H176" t="str" s="12">
        <ns0:v>0805</ns0:v>
      </ns0:c>
      <ns0:c r="I176" t="str" s="10">
        <ns0:v>YAGEO</ns0:v>
      </ns0:c>
      <ns0:c r="J176" t="str" s="10">
        <ns0:v>RC0805JR-0715RL</ns0:v>
      </ns0:c>
      <ns0:c r="K176" t="str" s="11">
        <ns0:f>B176&amp;" "&amp;D176&amp;" "&amp;E176&amp;" "&amp;H176</ns0:f>
        <ns0:v>Резистор 15 Ом ±5% 0805</ns0:v>
      </ns0:c>
      <ns0:c r="L176" t="str" s="13">
        <ns0:v>R</ns0:v>
      </ns0:c>
      <ns0:c r="M176" t="str" s="13">
        <ns0:v>Symbols\MY_LIB_Resistors.SchLib</ns0:v>
      </ns0:c>
      <ns0:c r="N176" t="str" s="13">
        <ns0:v>RESC2012X70N</ns0:v>
      </ns0:c>
      <ns0:c r="O176" t="str" s="13">
        <ns0:v>Footprints\PBL - SMD Packages.PcbLib</ns0:v>
      </ns0:c>
      <ns0:c xmlns:ns0="http://schemas.openxmlformats.org/spreadsheetml/2006/main" r="P17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6" s="10"/>
      <ns0:c r="R176" t="str" s="11">
        <ns0:f>D176</ns0:f>
        <ns0:v>15 Ом</ns0:v>
      </ns0:c>
      <ns0:c r="S176" t="str" s="11">
        <ns0:f>K176</ns0:f>
        <ns0:v>Резистор 15 Ом ±5% 0805</ns0:v>
      </ns0:c>
      <x:c xmlns:x="http://schemas.openxmlformats.org/spreadsheetml/2006/main" r="T176" t="str" s="11">
        <x:v>C:\Users\Nomatin\Documents\Altium\MY_LIB\MY_LIB\Datasheets\YAGEO_RC_L.pdf</x:v>
      </x:c>
      <x:c xmlns:x="http://schemas.openxmlformats.org/spreadsheetml/2006/main" r="U176" t="str" s="11">
        <x:v>Даташит — локальный</x:v>
      </x:c>
      <x:c xmlns:x="http://schemas.openxmlformats.org/spreadsheetml/2006/main" r="V176" t="str" s="11">
        <x:v>C:\Users\Nomatin\Documents\Altium\MY_LIB\MY_LIB\Datasheets\YAGEO_RC_L.pdf</x:v>
      </x:c>
      <x:c xmlns:x="http://schemas.openxmlformats.org/spreadsheetml/2006/main" r="W176" t="str" s="11">
        <x:v>Даташит — производитель</x:v>
      </x:c>
      <x:c xmlns:x="http://schemas.openxmlformats.org/spreadsheetml/2006/main" r="X176" t="str" s="11">
        <x:v>https://yageogroup.com/content/datasheet/asset/file/PYU-RC_GROUP_51_ROHS_L</x:v>
      </x:c>
      <x:c xmlns:x="http://schemas.openxmlformats.org/spreadsheetml/2006/main" r="Y176" t="str" s="11">
        <x:v>C:\Users\Nomatin\Documents\Altium\MY_LIB\MY_LIB\Datasheets\YAGEO_RC_L.pdf</x:v>
      </x:c>
      <ns0:c xmlns:ns0="http://schemas.openxmlformats.org/spreadsheetml/2006/main" r="Z176" s="16" t="inlineStr">
        <ns0:is>
          <ns0:t>MY_LIB_R_TCR</ns0:t>
        </ns0:is>
      </ns0:c>
      <ns0:c xmlns:ns0="http://schemas.openxmlformats.org/spreadsheetml/2006/main" r="AA176" s="16" t="inlineStr">
        <ns0:is>
          <ns0:t>R(T), +100 ppm/C at 25 C; positive datasheet limit</ns0:t>
        </ns0:is>
      </ns0:c>
      <ns0:c xmlns:ns0="http://schemas.openxmlformats.org/spreadsheetml/2006/main" r="AB176" s="16" t="str">
        <ns0:v>General</ns0:v>
      </ns0:c>
      <ns0:c xmlns:ns0="http://schemas.openxmlformats.org/spreadsheetml/2006/main" r="AC176" s="16" t="inlineStr">
        <ns0:is>
          <ns0:t>Spice Subcircuit</ns0:t>
        </ns0:is>
      </ns0:c>
      <ns0:c xmlns:ns0="http://schemas.openxmlformats.org/spreadsheetml/2006/main" r="AD176" s="16" t="inlineStr">
        <ns0:is>
          <ns0:t>@DESIGNATOR %1 %2 @MODEL PARAMS: Rvalue=@VALUE TC1value=100u</ns0:t>
        </ns0:is>
      </ns0:c>
      <ns0:c xmlns:ns0="http://schemas.openxmlformats.org/spreadsheetml/2006/main" r="AE176" s="16" t="inlineStr">
        <ns0:is>
          <ns0:t>X</ns0:t>
        </ns0:is>
      </ns0:c>
      <ns0:c xmlns:ns0="http://schemas.openxmlformats.org/spreadsheetml/2006/main" r="AF176" s="16" t="str">
        <ns0:v>(1:1),(2:2)</ns0:v>
      </ns0:c>
      <ns0:c xmlns:ns0="http://schemas.openxmlformats.org/spreadsheetml/2006/main" r="AG176" s="16" t="inlineStr">
        <ns0:is>
          <ns0:t>Simulation\Resistors\MY_LIB_R_TCR.ckt</ns0:t>
        </ns0:is>
      </ns0:c>
      <ns0:c xmlns:ns0="http://schemas.openxmlformats.org/spreadsheetml/2006/main" r="AH176" s="16" t="inlineStr">
        <ns0:is>
          <ns0:t>±100 ppm/°C</ns0:t>
        </ns0:is>
      </ns0:c>
    </ns0:row>
    <ns0:row r="177" ht="30" customHeight="1">
      <ns0:c r="A177" t="str" s="10">
        <ns0:v>R0183</ns0:v>
      </ns0:c>
      <ns0:c r="B177" t="str" s="10">
        <ns0:v>Резистор</ns0:v>
      </ns0:c>
      <ns0:c r="C177" t="str" s="10">
        <ns0:v>16R</ns0:v>
      </ns0:c>
      <ns0:c r="D177" t="str" s="11">
        <ns0:f>SUBSTITUTE(SUBSTITUTE(SUBSTITUTE(SUBSTITUTE(C177,"meg"," МОм"),"k"," кОм"),"R"," Ом"),".",",")</ns0:f>
        <ns0:v>16 Ом</ns0:v>
      </ns0:c>
      <ns0:c r="E177" t="str" s="10">
        <ns0:v>±5%</ns0:v>
      </ns0:c>
      <ns0:c r="F177" t="str" s="10">
        <ns0:v>0,125 Вт</ns0:v>
      </ns0:c>
      <ns0:c r="G177" t="str" s="10">
        <ns0:v>150 В макс.</ns0:v>
      </ns0:c>
      <ns0:c r="H177" t="str" s="12">
        <ns0:v>0805</ns0:v>
      </ns0:c>
      <ns0:c r="I177" t="str" s="10">
        <ns0:v>YAGEO</ns0:v>
      </ns0:c>
      <ns0:c r="J177" t="str" s="10">
        <ns0:v>RC0805JR-0716RL</ns0:v>
      </ns0:c>
      <ns0:c r="K177" t="str" s="11">
        <ns0:f>B177&amp;" "&amp;D177&amp;" "&amp;E177&amp;" "&amp;H177</ns0:f>
        <ns0:v>Резистор 16 Ом ±5% 0805</ns0:v>
      </ns0:c>
      <ns0:c r="L177" t="str" s="13">
        <ns0:v>R</ns0:v>
      </ns0:c>
      <ns0:c r="M177" t="str" s="13">
        <ns0:v>Symbols\MY_LIB_Resistors.SchLib</ns0:v>
      </ns0:c>
      <ns0:c r="N177" t="str" s="13">
        <ns0:v>RESC2012X70N</ns0:v>
      </ns0:c>
      <ns0:c r="O177" t="str" s="13">
        <ns0:v>Footprints\PBL - SMD Packages.PcbLib</ns0:v>
      </ns0:c>
      <ns0:c xmlns:ns0="http://schemas.openxmlformats.org/spreadsheetml/2006/main" r="P17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7" s="10"/>
      <ns0:c r="R177" t="str" s="11">
        <ns0:f>D177</ns0:f>
        <ns0:v>16 Ом</ns0:v>
      </ns0:c>
      <ns0:c r="S177" t="str" s="11">
        <ns0:f>K177</ns0:f>
        <ns0:v>Резистор 16 Ом ±5% 0805</ns0:v>
      </ns0:c>
      <x:c xmlns:x="http://schemas.openxmlformats.org/spreadsheetml/2006/main" r="T177" t="str" s="11">
        <x:v>C:\Users\Nomatin\Documents\Altium\MY_LIB\MY_LIB\Datasheets\YAGEO_RC_L.pdf</x:v>
      </x:c>
      <x:c xmlns:x="http://schemas.openxmlformats.org/spreadsheetml/2006/main" r="U177" t="str" s="11">
        <x:v>Даташит — локальный</x:v>
      </x:c>
      <x:c xmlns:x="http://schemas.openxmlformats.org/spreadsheetml/2006/main" r="V177" t="str" s="11">
        <x:v>C:\Users\Nomatin\Documents\Altium\MY_LIB\MY_LIB\Datasheets\YAGEO_RC_L.pdf</x:v>
      </x:c>
      <x:c xmlns:x="http://schemas.openxmlformats.org/spreadsheetml/2006/main" r="W177" t="str" s="11">
        <x:v>Даташит — производитель</x:v>
      </x:c>
      <x:c xmlns:x="http://schemas.openxmlformats.org/spreadsheetml/2006/main" r="X177" t="str" s="11">
        <x:v>https://yageogroup.com/content/datasheet/asset/file/PYU-RC_GROUP_51_ROHS_L</x:v>
      </x:c>
      <x:c xmlns:x="http://schemas.openxmlformats.org/spreadsheetml/2006/main" r="Y177" t="str" s="11">
        <x:v>C:\Users\Nomatin\Documents\Altium\MY_LIB\MY_LIB\Datasheets\YAGEO_RC_L.pdf</x:v>
      </x:c>
      <ns0:c xmlns:ns0="http://schemas.openxmlformats.org/spreadsheetml/2006/main" r="Z177" s="16" t="inlineStr">
        <ns0:is>
          <ns0:t>MY_LIB_R_TCR</ns0:t>
        </ns0:is>
      </ns0:c>
      <ns0:c xmlns:ns0="http://schemas.openxmlformats.org/spreadsheetml/2006/main" r="AA177" s="16" t="inlineStr">
        <ns0:is>
          <ns0:t>R(T), +100 ppm/C at 25 C; positive datasheet limit</ns0:t>
        </ns0:is>
      </ns0:c>
      <ns0:c xmlns:ns0="http://schemas.openxmlformats.org/spreadsheetml/2006/main" r="AB177" s="16" t="str">
        <ns0:v>General</ns0:v>
      </ns0:c>
      <ns0:c xmlns:ns0="http://schemas.openxmlformats.org/spreadsheetml/2006/main" r="AC177" s="16" t="inlineStr">
        <ns0:is>
          <ns0:t>Spice Subcircuit</ns0:t>
        </ns0:is>
      </ns0:c>
      <ns0:c xmlns:ns0="http://schemas.openxmlformats.org/spreadsheetml/2006/main" r="AD177" s="16" t="inlineStr">
        <ns0:is>
          <ns0:t>@DESIGNATOR %1 %2 @MODEL PARAMS: Rvalue=@VALUE TC1value=100u</ns0:t>
        </ns0:is>
      </ns0:c>
      <ns0:c xmlns:ns0="http://schemas.openxmlformats.org/spreadsheetml/2006/main" r="AE177" s="16" t="inlineStr">
        <ns0:is>
          <ns0:t>X</ns0:t>
        </ns0:is>
      </ns0:c>
      <ns0:c xmlns:ns0="http://schemas.openxmlformats.org/spreadsheetml/2006/main" r="AF177" s="16" t="str">
        <ns0:v>(1:1),(2:2)</ns0:v>
      </ns0:c>
      <ns0:c xmlns:ns0="http://schemas.openxmlformats.org/spreadsheetml/2006/main" r="AG177" s="16" t="inlineStr">
        <ns0:is>
          <ns0:t>Simulation\Resistors\MY_LIB_R_TCR.ckt</ns0:t>
        </ns0:is>
      </ns0:c>
      <ns0:c xmlns:ns0="http://schemas.openxmlformats.org/spreadsheetml/2006/main" r="AH177" s="16" t="inlineStr">
        <ns0:is>
          <ns0:t>±100 ppm/°C</ns0:t>
        </ns0:is>
      </ns0:c>
    </ns0:row>
    <ns0:row r="178" ht="30" customHeight="1">
      <ns0:c r="A178" t="str" s="10">
        <ns0:v>R0184</ns0:v>
      </ns0:c>
      <ns0:c r="B178" t="str" s="10">
        <ns0:v>Резистор</ns0:v>
      </ns0:c>
      <ns0:c r="C178" t="str" s="10">
        <ns0:v>18R</ns0:v>
      </ns0:c>
      <ns0:c r="D178" t="str" s="11">
        <ns0:f>SUBSTITUTE(SUBSTITUTE(SUBSTITUTE(SUBSTITUTE(C178,"meg"," МОм"),"k"," кОм"),"R"," Ом"),".",",")</ns0:f>
        <ns0:v>18 Ом</ns0:v>
      </ns0:c>
      <ns0:c r="E178" t="str" s="10">
        <ns0:v>±5%</ns0:v>
      </ns0:c>
      <ns0:c r="F178" t="str" s="10">
        <ns0:v>0,125 Вт</ns0:v>
      </ns0:c>
      <ns0:c r="G178" t="str" s="10">
        <ns0:v>150 В макс.</ns0:v>
      </ns0:c>
      <ns0:c r="H178" t="str" s="12">
        <ns0:v>0805</ns0:v>
      </ns0:c>
      <ns0:c r="I178" t="str" s="10">
        <ns0:v>YAGEO</ns0:v>
      </ns0:c>
      <ns0:c r="J178" t="str" s="10">
        <ns0:v>RC0805JR-0718RL</ns0:v>
      </ns0:c>
      <ns0:c r="K178" t="str" s="11">
        <ns0:f>B178&amp;" "&amp;D178&amp;" "&amp;E178&amp;" "&amp;H178</ns0:f>
        <ns0:v>Резистор 18 Ом ±5% 0805</ns0:v>
      </ns0:c>
      <ns0:c r="L178" t="str" s="13">
        <ns0:v>R</ns0:v>
      </ns0:c>
      <ns0:c r="M178" t="str" s="13">
        <ns0:v>Symbols\MY_LIB_Resistors.SchLib</ns0:v>
      </ns0:c>
      <ns0:c r="N178" t="str" s="13">
        <ns0:v>RESC2012X70N</ns0:v>
      </ns0:c>
      <ns0:c r="O178" t="str" s="13">
        <ns0:v>Footprints\PBL - SMD Packages.PcbLib</ns0:v>
      </ns0:c>
      <ns0:c xmlns:ns0="http://schemas.openxmlformats.org/spreadsheetml/2006/main" r="P17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8" s="10"/>
      <ns0:c r="R178" t="str" s="11">
        <ns0:f>D178</ns0:f>
        <ns0:v>18 Ом</ns0:v>
      </ns0:c>
      <ns0:c r="S178" t="str" s="11">
        <ns0:f>K178</ns0:f>
        <ns0:v>Резистор 18 Ом ±5% 0805</ns0:v>
      </ns0:c>
      <x:c xmlns:x="http://schemas.openxmlformats.org/spreadsheetml/2006/main" r="T178" t="str" s="11">
        <x:v>C:\Users\Nomatin\Documents\Altium\MY_LIB\MY_LIB\Datasheets\YAGEO_RC_L.pdf</x:v>
      </x:c>
      <x:c xmlns:x="http://schemas.openxmlformats.org/spreadsheetml/2006/main" r="U178" t="str" s="11">
        <x:v>Даташит — локальный</x:v>
      </x:c>
      <x:c xmlns:x="http://schemas.openxmlformats.org/spreadsheetml/2006/main" r="V178" t="str" s="11">
        <x:v>C:\Users\Nomatin\Documents\Altium\MY_LIB\MY_LIB\Datasheets\YAGEO_RC_L.pdf</x:v>
      </x:c>
      <x:c xmlns:x="http://schemas.openxmlformats.org/spreadsheetml/2006/main" r="W178" t="str" s="11">
        <x:v>Даташит — производитель</x:v>
      </x:c>
      <x:c xmlns:x="http://schemas.openxmlformats.org/spreadsheetml/2006/main" r="X178" t="str" s="11">
        <x:v>https://yageogroup.com/content/datasheet/asset/file/PYU-RC_GROUP_51_ROHS_L</x:v>
      </x:c>
      <x:c xmlns:x="http://schemas.openxmlformats.org/spreadsheetml/2006/main" r="Y178" t="str" s="11">
        <x:v>C:\Users\Nomatin\Documents\Altium\MY_LIB\MY_LIB\Datasheets\YAGEO_RC_L.pdf</x:v>
      </x:c>
      <ns0:c xmlns:ns0="http://schemas.openxmlformats.org/spreadsheetml/2006/main" r="Z178" s="16" t="inlineStr">
        <ns0:is>
          <ns0:t>MY_LIB_R_TCR</ns0:t>
        </ns0:is>
      </ns0:c>
      <ns0:c xmlns:ns0="http://schemas.openxmlformats.org/spreadsheetml/2006/main" r="AA178" s="16" t="inlineStr">
        <ns0:is>
          <ns0:t>R(T), +100 ppm/C at 25 C; positive datasheet limit</ns0:t>
        </ns0:is>
      </ns0:c>
      <ns0:c xmlns:ns0="http://schemas.openxmlformats.org/spreadsheetml/2006/main" r="AB178" s="16" t="str">
        <ns0:v>General</ns0:v>
      </ns0:c>
      <ns0:c xmlns:ns0="http://schemas.openxmlformats.org/spreadsheetml/2006/main" r="AC178" s="16" t="inlineStr">
        <ns0:is>
          <ns0:t>Spice Subcircuit</ns0:t>
        </ns0:is>
      </ns0:c>
      <ns0:c xmlns:ns0="http://schemas.openxmlformats.org/spreadsheetml/2006/main" r="AD178" s="16" t="inlineStr">
        <ns0:is>
          <ns0:t>@DESIGNATOR %1 %2 @MODEL PARAMS: Rvalue=@VALUE TC1value=100u</ns0:t>
        </ns0:is>
      </ns0:c>
      <ns0:c xmlns:ns0="http://schemas.openxmlformats.org/spreadsheetml/2006/main" r="AE178" s="16" t="inlineStr">
        <ns0:is>
          <ns0:t>X</ns0:t>
        </ns0:is>
      </ns0:c>
      <ns0:c xmlns:ns0="http://schemas.openxmlformats.org/spreadsheetml/2006/main" r="AF178" s="16" t="str">
        <ns0:v>(1:1),(2:2)</ns0:v>
      </ns0:c>
      <ns0:c xmlns:ns0="http://schemas.openxmlformats.org/spreadsheetml/2006/main" r="AG178" s="16" t="inlineStr">
        <ns0:is>
          <ns0:t>Simulation\Resistors\MY_LIB_R_TCR.ckt</ns0:t>
        </ns0:is>
      </ns0:c>
      <ns0:c xmlns:ns0="http://schemas.openxmlformats.org/spreadsheetml/2006/main" r="AH178" s="16" t="inlineStr">
        <ns0:is>
          <ns0:t>±100 ppm/°C</ns0:t>
        </ns0:is>
      </ns0:c>
    </ns0:row>
    <ns0:row r="179" ht="30" customHeight="1">
      <ns0:c r="A179" t="str" s="10">
        <ns0:v>R0185</ns0:v>
      </ns0:c>
      <ns0:c r="B179" t="str" s="10">
        <ns0:v>Резистор</ns0:v>
      </ns0:c>
      <ns0:c r="C179" t="str" s="10">
        <ns0:v>20R</ns0:v>
      </ns0:c>
      <ns0:c r="D179" t="str" s="11">
        <ns0:f>SUBSTITUTE(SUBSTITUTE(SUBSTITUTE(SUBSTITUTE(C179,"meg"," МОм"),"k"," кОм"),"R"," Ом"),".",",")</ns0:f>
        <ns0:v>20 Ом</ns0:v>
      </ns0:c>
      <ns0:c r="E179" t="str" s="10">
        <ns0:v>±5%</ns0:v>
      </ns0:c>
      <ns0:c r="F179" t="str" s="10">
        <ns0:v>0,125 Вт</ns0:v>
      </ns0:c>
      <ns0:c r="G179" t="str" s="10">
        <ns0:v>150 В макс.</ns0:v>
      </ns0:c>
      <ns0:c r="H179" t="str" s="12">
        <ns0:v>0805</ns0:v>
      </ns0:c>
      <ns0:c r="I179" t="str" s="10">
        <ns0:v>YAGEO</ns0:v>
      </ns0:c>
      <ns0:c r="J179" t="str" s="10">
        <ns0:v>RC0805JR-0720RL</ns0:v>
      </ns0:c>
      <ns0:c r="K179" t="str" s="11">
        <ns0:f>B179&amp;" "&amp;D179&amp;" "&amp;E179&amp;" "&amp;H179</ns0:f>
        <ns0:v>Резистор 20 Ом ±5% 0805</ns0:v>
      </ns0:c>
      <ns0:c r="L179" t="str" s="13">
        <ns0:v>R</ns0:v>
      </ns0:c>
      <ns0:c r="M179" t="str" s="13">
        <ns0:v>Symbols\MY_LIB_Resistors.SchLib</ns0:v>
      </ns0:c>
      <ns0:c r="N179" t="str" s="13">
        <ns0:v>RESC2012X70N</ns0:v>
      </ns0:c>
      <ns0:c r="O179" t="str" s="13">
        <ns0:v>Footprints\PBL - SMD Packages.PcbLib</ns0:v>
      </ns0:c>
      <ns0:c xmlns:ns0="http://schemas.openxmlformats.org/spreadsheetml/2006/main" r="P17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79" s="10"/>
      <ns0:c r="R179" t="str" s="11">
        <ns0:f>D179</ns0:f>
        <ns0:v>20 Ом</ns0:v>
      </ns0:c>
      <ns0:c r="S179" t="str" s="11">
        <ns0:f>K179</ns0:f>
        <ns0:v>Резистор 20 Ом ±5% 0805</ns0:v>
      </ns0:c>
      <x:c xmlns:x="http://schemas.openxmlformats.org/spreadsheetml/2006/main" r="T179" t="str" s="11">
        <x:v>C:\Users\Nomatin\Documents\Altium\MY_LIB\MY_LIB\Datasheets\YAGEO_RC_L.pdf</x:v>
      </x:c>
      <x:c xmlns:x="http://schemas.openxmlformats.org/spreadsheetml/2006/main" r="U179" t="str" s="11">
        <x:v>Даташит — локальный</x:v>
      </x:c>
      <x:c xmlns:x="http://schemas.openxmlformats.org/spreadsheetml/2006/main" r="V179" t="str" s="11">
        <x:v>C:\Users\Nomatin\Documents\Altium\MY_LIB\MY_LIB\Datasheets\YAGEO_RC_L.pdf</x:v>
      </x:c>
      <x:c xmlns:x="http://schemas.openxmlformats.org/spreadsheetml/2006/main" r="W179" t="str" s="11">
        <x:v>Даташит — производитель</x:v>
      </x:c>
      <x:c xmlns:x="http://schemas.openxmlformats.org/spreadsheetml/2006/main" r="X179" t="str" s="11">
        <x:v>https://yageogroup.com/content/datasheet/asset/file/PYU-RC_GROUP_51_ROHS_L</x:v>
      </x:c>
      <x:c xmlns:x="http://schemas.openxmlformats.org/spreadsheetml/2006/main" r="Y179" t="str" s="11">
        <x:v>C:\Users\Nomatin\Documents\Altium\MY_LIB\MY_LIB\Datasheets\YAGEO_RC_L.pdf</x:v>
      </x:c>
      <ns0:c xmlns:ns0="http://schemas.openxmlformats.org/spreadsheetml/2006/main" r="Z179" s="16" t="inlineStr">
        <ns0:is>
          <ns0:t>MY_LIB_R_TCR</ns0:t>
        </ns0:is>
      </ns0:c>
      <ns0:c xmlns:ns0="http://schemas.openxmlformats.org/spreadsheetml/2006/main" r="AA179" s="16" t="inlineStr">
        <ns0:is>
          <ns0:t>R(T), +100 ppm/C at 25 C; positive datasheet limit</ns0:t>
        </ns0:is>
      </ns0:c>
      <ns0:c xmlns:ns0="http://schemas.openxmlformats.org/spreadsheetml/2006/main" r="AB179" s="16" t="str">
        <ns0:v>General</ns0:v>
      </ns0:c>
      <ns0:c xmlns:ns0="http://schemas.openxmlformats.org/spreadsheetml/2006/main" r="AC179" s="16" t="inlineStr">
        <ns0:is>
          <ns0:t>Spice Subcircuit</ns0:t>
        </ns0:is>
      </ns0:c>
      <ns0:c xmlns:ns0="http://schemas.openxmlformats.org/spreadsheetml/2006/main" r="AD179" s="16" t="inlineStr">
        <ns0:is>
          <ns0:t>@DESIGNATOR %1 %2 @MODEL PARAMS: Rvalue=@VALUE TC1value=100u</ns0:t>
        </ns0:is>
      </ns0:c>
      <ns0:c xmlns:ns0="http://schemas.openxmlformats.org/spreadsheetml/2006/main" r="AE179" s="16" t="inlineStr">
        <ns0:is>
          <ns0:t>X</ns0:t>
        </ns0:is>
      </ns0:c>
      <ns0:c xmlns:ns0="http://schemas.openxmlformats.org/spreadsheetml/2006/main" r="AF179" s="16" t="str">
        <ns0:v>(1:1),(2:2)</ns0:v>
      </ns0:c>
      <ns0:c xmlns:ns0="http://schemas.openxmlformats.org/spreadsheetml/2006/main" r="AG179" s="16" t="inlineStr">
        <ns0:is>
          <ns0:t>Simulation\Resistors\MY_LIB_R_TCR.ckt</ns0:t>
        </ns0:is>
      </ns0:c>
      <ns0:c xmlns:ns0="http://schemas.openxmlformats.org/spreadsheetml/2006/main" r="AH179" s="16" t="inlineStr">
        <ns0:is>
          <ns0:t>±100 ppm/°C</ns0:t>
        </ns0:is>
      </ns0:c>
    </ns0:row>
    <ns0:row r="180" ht="30" customHeight="1">
      <ns0:c r="A180" t="str" s="10">
        <ns0:v>R0186</ns0:v>
      </ns0:c>
      <ns0:c r="B180" t="str" s="10">
        <ns0:v>Резистор</ns0:v>
      </ns0:c>
      <ns0:c r="C180" t="str" s="10">
        <ns0:v>22R</ns0:v>
      </ns0:c>
      <ns0:c r="D180" t="str" s="11">
        <ns0:f>SUBSTITUTE(SUBSTITUTE(SUBSTITUTE(SUBSTITUTE(C180,"meg"," МОм"),"k"," кОм"),"R"," Ом"),".",",")</ns0:f>
        <ns0:v>22 Ом</ns0:v>
      </ns0:c>
      <ns0:c r="E180" t="str" s="10">
        <ns0:v>±5%</ns0:v>
      </ns0:c>
      <ns0:c r="F180" t="str" s="10">
        <ns0:v>0,125 Вт</ns0:v>
      </ns0:c>
      <ns0:c r="G180" t="str" s="10">
        <ns0:v>150 В макс.</ns0:v>
      </ns0:c>
      <ns0:c r="H180" t="str" s="12">
        <ns0:v>0805</ns0:v>
      </ns0:c>
      <ns0:c r="I180" t="str" s="10">
        <ns0:v>YAGEO</ns0:v>
      </ns0:c>
      <ns0:c r="J180" t="str" s="10">
        <ns0:v>RC0805JR-0722RL</ns0:v>
      </ns0:c>
      <ns0:c r="K180" t="str" s="11">
        <ns0:f>B180&amp;" "&amp;D180&amp;" "&amp;E180&amp;" "&amp;H180</ns0:f>
        <ns0:v>Резистор 22 Ом ±5% 0805</ns0:v>
      </ns0:c>
      <ns0:c r="L180" t="str" s="13">
        <ns0:v>R</ns0:v>
      </ns0:c>
      <ns0:c r="M180" t="str" s="13">
        <ns0:v>Symbols\MY_LIB_Resistors.SchLib</ns0:v>
      </ns0:c>
      <ns0:c r="N180" t="str" s="13">
        <ns0:v>RESC2012X70N</ns0:v>
      </ns0:c>
      <ns0:c r="O180" t="str" s="13">
        <ns0:v>Footprints\PBL - SMD Packages.PcbLib</ns0:v>
      </ns0:c>
      <ns0:c xmlns:ns0="http://schemas.openxmlformats.org/spreadsheetml/2006/main" r="P18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0" s="10"/>
      <ns0:c r="R180" t="str" s="11">
        <ns0:f>D180</ns0:f>
        <ns0:v>22 Ом</ns0:v>
      </ns0:c>
      <ns0:c r="S180" t="str" s="11">
        <ns0:f>K180</ns0:f>
        <ns0:v>Резистор 22 Ом ±5% 0805</ns0:v>
      </ns0:c>
      <x:c xmlns:x="http://schemas.openxmlformats.org/spreadsheetml/2006/main" r="T180" t="str" s="11">
        <x:v>C:\Users\Nomatin\Documents\Altium\MY_LIB\MY_LIB\Datasheets\YAGEO_RC_L.pdf</x:v>
      </x:c>
      <x:c xmlns:x="http://schemas.openxmlformats.org/spreadsheetml/2006/main" r="U180" t="str" s="11">
        <x:v>Даташит — локальный</x:v>
      </x:c>
      <x:c xmlns:x="http://schemas.openxmlformats.org/spreadsheetml/2006/main" r="V180" t="str" s="11">
        <x:v>C:\Users\Nomatin\Documents\Altium\MY_LIB\MY_LIB\Datasheets\YAGEO_RC_L.pdf</x:v>
      </x:c>
      <x:c xmlns:x="http://schemas.openxmlformats.org/spreadsheetml/2006/main" r="W180" t="str" s="11">
        <x:v>Даташит — производитель</x:v>
      </x:c>
      <x:c xmlns:x="http://schemas.openxmlformats.org/spreadsheetml/2006/main" r="X180" t="str" s="11">
        <x:v>https://yageogroup.com/content/datasheet/asset/file/PYU-RC_GROUP_51_ROHS_L</x:v>
      </x:c>
      <x:c xmlns:x="http://schemas.openxmlformats.org/spreadsheetml/2006/main" r="Y180" t="str" s="11">
        <x:v>C:\Users\Nomatin\Documents\Altium\MY_LIB\MY_LIB\Datasheets\YAGEO_RC_L.pdf</x:v>
      </x:c>
      <ns0:c xmlns:ns0="http://schemas.openxmlformats.org/spreadsheetml/2006/main" r="Z180" s="16" t="inlineStr">
        <ns0:is>
          <ns0:t>MY_LIB_R_TCR</ns0:t>
        </ns0:is>
      </ns0:c>
      <ns0:c xmlns:ns0="http://schemas.openxmlformats.org/spreadsheetml/2006/main" r="AA180" s="16" t="inlineStr">
        <ns0:is>
          <ns0:t>R(T), +100 ppm/C at 25 C; positive datasheet limit</ns0:t>
        </ns0:is>
      </ns0:c>
      <ns0:c xmlns:ns0="http://schemas.openxmlformats.org/spreadsheetml/2006/main" r="AB180" s="16" t="str">
        <ns0:v>General</ns0:v>
      </ns0:c>
      <ns0:c xmlns:ns0="http://schemas.openxmlformats.org/spreadsheetml/2006/main" r="AC180" s="16" t="inlineStr">
        <ns0:is>
          <ns0:t>Spice Subcircuit</ns0:t>
        </ns0:is>
      </ns0:c>
      <ns0:c xmlns:ns0="http://schemas.openxmlformats.org/spreadsheetml/2006/main" r="AD180" s="16" t="inlineStr">
        <ns0:is>
          <ns0:t>@DESIGNATOR %1 %2 @MODEL PARAMS: Rvalue=@VALUE TC1value=100u</ns0:t>
        </ns0:is>
      </ns0:c>
      <ns0:c xmlns:ns0="http://schemas.openxmlformats.org/spreadsheetml/2006/main" r="AE180" s="16" t="inlineStr">
        <ns0:is>
          <ns0:t>X</ns0:t>
        </ns0:is>
      </ns0:c>
      <ns0:c xmlns:ns0="http://schemas.openxmlformats.org/spreadsheetml/2006/main" r="AF180" s="16" t="str">
        <ns0:v>(1:1),(2:2)</ns0:v>
      </ns0:c>
      <ns0:c xmlns:ns0="http://schemas.openxmlformats.org/spreadsheetml/2006/main" r="AG180" s="16" t="inlineStr">
        <ns0:is>
          <ns0:t>Simulation\Resistors\MY_LIB_R_TCR.ckt</ns0:t>
        </ns0:is>
      </ns0:c>
      <ns0:c xmlns:ns0="http://schemas.openxmlformats.org/spreadsheetml/2006/main" r="AH180" s="16" t="inlineStr">
        <ns0:is>
          <ns0:t>±100 ppm/°C</ns0:t>
        </ns0:is>
      </ns0:c>
    </ns0:row>
    <ns0:row r="181" ht="30" customHeight="1">
      <ns0:c r="A181" t="str" s="10">
        <ns0:v>R0187</ns0:v>
      </ns0:c>
      <ns0:c r="B181" t="str" s="10">
        <ns0:v>Резистор</ns0:v>
      </ns0:c>
      <ns0:c r="C181" t="str" s="10">
        <ns0:v>24R</ns0:v>
      </ns0:c>
      <ns0:c r="D181" t="str" s="11">
        <ns0:f>SUBSTITUTE(SUBSTITUTE(SUBSTITUTE(SUBSTITUTE(C181,"meg"," МОм"),"k"," кОм"),"R"," Ом"),".",",")</ns0:f>
        <ns0:v>24 Ом</ns0:v>
      </ns0:c>
      <ns0:c r="E181" t="str" s="10">
        <ns0:v>±5%</ns0:v>
      </ns0:c>
      <ns0:c r="F181" t="str" s="10">
        <ns0:v>0,125 Вт</ns0:v>
      </ns0:c>
      <ns0:c r="G181" t="str" s="10">
        <ns0:v>150 В макс.</ns0:v>
      </ns0:c>
      <ns0:c r="H181" t="str" s="12">
        <ns0:v>0805</ns0:v>
      </ns0:c>
      <ns0:c r="I181" t="str" s="10">
        <ns0:v>YAGEO</ns0:v>
      </ns0:c>
      <ns0:c r="J181" t="str" s="10">
        <ns0:v>RC0805JR-0724RL</ns0:v>
      </ns0:c>
      <ns0:c r="K181" t="str" s="11">
        <ns0:f>B181&amp;" "&amp;D181&amp;" "&amp;E181&amp;" "&amp;H181</ns0:f>
        <ns0:v>Резистор 24 Ом ±5% 0805</ns0:v>
      </ns0:c>
      <ns0:c r="L181" t="str" s="13">
        <ns0:v>R</ns0:v>
      </ns0:c>
      <ns0:c r="M181" t="str" s="13">
        <ns0:v>Symbols\MY_LIB_Resistors.SchLib</ns0:v>
      </ns0:c>
      <ns0:c r="N181" t="str" s="13">
        <ns0:v>RESC2012X70N</ns0:v>
      </ns0:c>
      <ns0:c r="O181" t="str" s="13">
        <ns0:v>Footprints\PBL - SMD Packages.PcbLib</ns0:v>
      </ns0:c>
      <ns0:c xmlns:ns0="http://schemas.openxmlformats.org/spreadsheetml/2006/main" r="P18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1" s="10"/>
      <ns0:c r="R181" t="str" s="11">
        <ns0:f>D181</ns0:f>
        <ns0:v>24 Ом</ns0:v>
      </ns0:c>
      <ns0:c r="S181" t="str" s="11">
        <ns0:f>K181</ns0:f>
        <ns0:v>Резистор 24 Ом ±5% 0805</ns0:v>
      </ns0:c>
      <x:c xmlns:x="http://schemas.openxmlformats.org/spreadsheetml/2006/main" r="T181" t="str" s="11">
        <x:v>C:\Users\Nomatin\Documents\Altium\MY_LIB\MY_LIB\Datasheets\YAGEO_RC_L.pdf</x:v>
      </x:c>
      <x:c xmlns:x="http://schemas.openxmlformats.org/spreadsheetml/2006/main" r="U181" t="str" s="11">
        <x:v>Даташит — локальный</x:v>
      </x:c>
      <x:c xmlns:x="http://schemas.openxmlformats.org/spreadsheetml/2006/main" r="V181" t="str" s="11">
        <x:v>C:\Users\Nomatin\Documents\Altium\MY_LIB\MY_LIB\Datasheets\YAGEO_RC_L.pdf</x:v>
      </x:c>
      <x:c xmlns:x="http://schemas.openxmlformats.org/spreadsheetml/2006/main" r="W181" t="str" s="11">
        <x:v>Даташит — производитель</x:v>
      </x:c>
      <x:c xmlns:x="http://schemas.openxmlformats.org/spreadsheetml/2006/main" r="X181" t="str" s="11">
        <x:v>https://yageogroup.com/content/datasheet/asset/file/PYU-RC_GROUP_51_ROHS_L</x:v>
      </x:c>
      <x:c xmlns:x="http://schemas.openxmlformats.org/spreadsheetml/2006/main" r="Y181" t="str" s="11">
        <x:v>C:\Users\Nomatin\Documents\Altium\MY_LIB\MY_LIB\Datasheets\YAGEO_RC_L.pdf</x:v>
      </x:c>
      <ns0:c xmlns:ns0="http://schemas.openxmlformats.org/spreadsheetml/2006/main" r="Z181" s="16" t="inlineStr">
        <ns0:is>
          <ns0:t>MY_LIB_R_TCR</ns0:t>
        </ns0:is>
      </ns0:c>
      <ns0:c xmlns:ns0="http://schemas.openxmlformats.org/spreadsheetml/2006/main" r="AA181" s="16" t="inlineStr">
        <ns0:is>
          <ns0:t>R(T), +100 ppm/C at 25 C; positive datasheet limit</ns0:t>
        </ns0:is>
      </ns0:c>
      <ns0:c xmlns:ns0="http://schemas.openxmlformats.org/spreadsheetml/2006/main" r="AB181" s="16" t="str">
        <ns0:v>General</ns0:v>
      </ns0:c>
      <ns0:c xmlns:ns0="http://schemas.openxmlformats.org/spreadsheetml/2006/main" r="AC181" s="16" t="inlineStr">
        <ns0:is>
          <ns0:t>Spice Subcircuit</ns0:t>
        </ns0:is>
      </ns0:c>
      <ns0:c xmlns:ns0="http://schemas.openxmlformats.org/spreadsheetml/2006/main" r="AD181" s="16" t="inlineStr">
        <ns0:is>
          <ns0:t>@DESIGNATOR %1 %2 @MODEL PARAMS: Rvalue=@VALUE TC1value=100u</ns0:t>
        </ns0:is>
      </ns0:c>
      <ns0:c xmlns:ns0="http://schemas.openxmlformats.org/spreadsheetml/2006/main" r="AE181" s="16" t="inlineStr">
        <ns0:is>
          <ns0:t>X</ns0:t>
        </ns0:is>
      </ns0:c>
      <ns0:c xmlns:ns0="http://schemas.openxmlformats.org/spreadsheetml/2006/main" r="AF181" s="16" t="str">
        <ns0:v>(1:1),(2:2)</ns0:v>
      </ns0:c>
      <ns0:c xmlns:ns0="http://schemas.openxmlformats.org/spreadsheetml/2006/main" r="AG181" s="16" t="inlineStr">
        <ns0:is>
          <ns0:t>Simulation\Resistors\MY_LIB_R_TCR.ckt</ns0:t>
        </ns0:is>
      </ns0:c>
      <ns0:c xmlns:ns0="http://schemas.openxmlformats.org/spreadsheetml/2006/main" r="AH181" s="16" t="inlineStr">
        <ns0:is>
          <ns0:t>±100 ppm/°C</ns0:t>
        </ns0:is>
      </ns0:c>
    </ns0:row>
    <ns0:row r="182" ht="30" customHeight="1">
      <ns0:c r="A182" t="str" s="10">
        <ns0:v>R0188</ns0:v>
      </ns0:c>
      <ns0:c r="B182" t="str" s="10">
        <ns0:v>Резистор</ns0:v>
      </ns0:c>
      <ns0:c r="C182" t="str" s="10">
        <ns0:v>27R</ns0:v>
      </ns0:c>
      <ns0:c r="D182" t="str" s="11">
        <ns0:f>SUBSTITUTE(SUBSTITUTE(SUBSTITUTE(SUBSTITUTE(C182,"meg"," МОм"),"k"," кОм"),"R"," Ом"),".",",")</ns0:f>
        <ns0:v>27 Ом</ns0:v>
      </ns0:c>
      <ns0:c r="E182" t="str" s="10">
        <ns0:v>±5%</ns0:v>
      </ns0:c>
      <ns0:c r="F182" t="str" s="10">
        <ns0:v>0,125 Вт</ns0:v>
      </ns0:c>
      <ns0:c r="G182" t="str" s="10">
        <ns0:v>150 В макс.</ns0:v>
      </ns0:c>
      <ns0:c r="H182" t="str" s="12">
        <ns0:v>0805</ns0:v>
      </ns0:c>
      <ns0:c r="I182" t="str" s="10">
        <ns0:v>YAGEO</ns0:v>
      </ns0:c>
      <ns0:c r="J182" t="str" s="10">
        <ns0:v>RC0805JR-0727RL</ns0:v>
      </ns0:c>
      <ns0:c r="K182" t="str" s="11">
        <ns0:f>B182&amp;" "&amp;D182&amp;" "&amp;E182&amp;" "&amp;H182</ns0:f>
        <ns0:v>Резистор 27 Ом ±5% 0805</ns0:v>
      </ns0:c>
      <ns0:c r="L182" t="str" s="13">
        <ns0:v>R</ns0:v>
      </ns0:c>
      <ns0:c r="M182" t="str" s="13">
        <ns0:v>Symbols\MY_LIB_Resistors.SchLib</ns0:v>
      </ns0:c>
      <ns0:c r="N182" t="str" s="13">
        <ns0:v>RESC2012X70N</ns0:v>
      </ns0:c>
      <ns0:c r="O182" t="str" s="13">
        <ns0:v>Footprints\PBL - SMD Packages.PcbLib</ns0:v>
      </ns0:c>
      <ns0:c xmlns:ns0="http://schemas.openxmlformats.org/spreadsheetml/2006/main" r="P18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2" s="10"/>
      <ns0:c r="R182" t="str" s="11">
        <ns0:f>D182</ns0:f>
        <ns0:v>27 Ом</ns0:v>
      </ns0:c>
      <ns0:c r="S182" t="str" s="11">
        <ns0:f>K182</ns0:f>
        <ns0:v>Резистор 27 Ом ±5% 0805</ns0:v>
      </ns0:c>
      <x:c xmlns:x="http://schemas.openxmlformats.org/spreadsheetml/2006/main" r="T182" t="str" s="11">
        <x:v>C:\Users\Nomatin\Documents\Altium\MY_LIB\MY_LIB\Datasheets\YAGEO_RC_L.pdf</x:v>
      </x:c>
      <x:c xmlns:x="http://schemas.openxmlformats.org/spreadsheetml/2006/main" r="U182" t="str" s="11">
        <x:v>Даташит — локальный</x:v>
      </x:c>
      <x:c xmlns:x="http://schemas.openxmlformats.org/spreadsheetml/2006/main" r="V182" t="str" s="11">
        <x:v>C:\Users\Nomatin\Documents\Altium\MY_LIB\MY_LIB\Datasheets\YAGEO_RC_L.pdf</x:v>
      </x:c>
      <x:c xmlns:x="http://schemas.openxmlformats.org/spreadsheetml/2006/main" r="W182" t="str" s="11">
        <x:v>Даташит — производитель</x:v>
      </x:c>
      <x:c xmlns:x="http://schemas.openxmlformats.org/spreadsheetml/2006/main" r="X182" t="str" s="11">
        <x:v>https://yageogroup.com/content/datasheet/asset/file/PYU-RC_GROUP_51_ROHS_L</x:v>
      </x:c>
      <x:c xmlns:x="http://schemas.openxmlformats.org/spreadsheetml/2006/main" r="Y182" t="str" s="11">
        <x:v>C:\Users\Nomatin\Documents\Altium\MY_LIB\MY_LIB\Datasheets\YAGEO_RC_L.pdf</x:v>
      </x:c>
      <ns0:c xmlns:ns0="http://schemas.openxmlformats.org/spreadsheetml/2006/main" r="Z182" s="16" t="inlineStr">
        <ns0:is>
          <ns0:t>MY_LIB_R_TCR</ns0:t>
        </ns0:is>
      </ns0:c>
      <ns0:c xmlns:ns0="http://schemas.openxmlformats.org/spreadsheetml/2006/main" r="AA182" s="16" t="inlineStr">
        <ns0:is>
          <ns0:t>R(T), +100 ppm/C at 25 C; positive datasheet limit</ns0:t>
        </ns0:is>
      </ns0:c>
      <ns0:c xmlns:ns0="http://schemas.openxmlformats.org/spreadsheetml/2006/main" r="AB182" s="16" t="str">
        <ns0:v>General</ns0:v>
      </ns0:c>
      <ns0:c xmlns:ns0="http://schemas.openxmlformats.org/spreadsheetml/2006/main" r="AC182" s="16" t="inlineStr">
        <ns0:is>
          <ns0:t>Spice Subcircuit</ns0:t>
        </ns0:is>
      </ns0:c>
      <ns0:c xmlns:ns0="http://schemas.openxmlformats.org/spreadsheetml/2006/main" r="AD182" s="16" t="inlineStr">
        <ns0:is>
          <ns0:t>@DESIGNATOR %1 %2 @MODEL PARAMS: Rvalue=@VALUE TC1value=100u</ns0:t>
        </ns0:is>
      </ns0:c>
      <ns0:c xmlns:ns0="http://schemas.openxmlformats.org/spreadsheetml/2006/main" r="AE182" s="16" t="inlineStr">
        <ns0:is>
          <ns0:t>X</ns0:t>
        </ns0:is>
      </ns0:c>
      <ns0:c xmlns:ns0="http://schemas.openxmlformats.org/spreadsheetml/2006/main" r="AF182" s="16" t="str">
        <ns0:v>(1:1),(2:2)</ns0:v>
      </ns0:c>
      <ns0:c xmlns:ns0="http://schemas.openxmlformats.org/spreadsheetml/2006/main" r="AG182" s="16" t="inlineStr">
        <ns0:is>
          <ns0:t>Simulation\Resistors\MY_LIB_R_TCR.ckt</ns0:t>
        </ns0:is>
      </ns0:c>
      <ns0:c xmlns:ns0="http://schemas.openxmlformats.org/spreadsheetml/2006/main" r="AH182" s="16" t="inlineStr">
        <ns0:is>
          <ns0:t>±100 ppm/°C</ns0:t>
        </ns0:is>
      </ns0:c>
    </ns0:row>
    <ns0:row r="183" ht="30" customHeight="1">
      <ns0:c r="A183" t="str" s="10">
        <ns0:v>R0189</ns0:v>
      </ns0:c>
      <ns0:c r="B183" t="str" s="10">
        <ns0:v>Резистор</ns0:v>
      </ns0:c>
      <ns0:c r="C183" t="str" s="10">
        <ns0:v>30R</ns0:v>
      </ns0:c>
      <ns0:c r="D183" t="str" s="11">
        <ns0:f>SUBSTITUTE(SUBSTITUTE(SUBSTITUTE(SUBSTITUTE(C183,"meg"," МОм"),"k"," кОм"),"R"," Ом"),".",",")</ns0:f>
        <ns0:v>30 Ом</ns0:v>
      </ns0:c>
      <ns0:c r="E183" t="str" s="10">
        <ns0:v>±5%</ns0:v>
      </ns0:c>
      <ns0:c r="F183" t="str" s="10">
        <ns0:v>0,125 Вт</ns0:v>
      </ns0:c>
      <ns0:c r="G183" t="str" s="10">
        <ns0:v>150 В макс.</ns0:v>
      </ns0:c>
      <ns0:c r="H183" t="str" s="12">
        <ns0:v>0805</ns0:v>
      </ns0:c>
      <ns0:c r="I183" t="str" s="10">
        <ns0:v>YAGEO</ns0:v>
      </ns0:c>
      <ns0:c r="J183" t="str" s="10">
        <ns0:v>RC0805JR-0730RL</ns0:v>
      </ns0:c>
      <ns0:c r="K183" t="str" s="11">
        <ns0:f>B183&amp;" "&amp;D183&amp;" "&amp;E183&amp;" "&amp;H183</ns0:f>
        <ns0:v>Резистор 30 Ом ±5% 0805</ns0:v>
      </ns0:c>
      <ns0:c r="L183" t="str" s="13">
        <ns0:v>R</ns0:v>
      </ns0:c>
      <ns0:c r="M183" t="str" s="13">
        <ns0:v>Symbols\MY_LIB_Resistors.SchLib</ns0:v>
      </ns0:c>
      <ns0:c r="N183" t="str" s="13">
        <ns0:v>RESC2012X70N</ns0:v>
      </ns0:c>
      <ns0:c r="O183" t="str" s="13">
        <ns0:v>Footprints\PBL - SMD Packages.PcbLib</ns0:v>
      </ns0:c>
      <ns0:c xmlns:ns0="http://schemas.openxmlformats.org/spreadsheetml/2006/main" r="P18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3" s="10"/>
      <ns0:c r="R183" t="str" s="11">
        <ns0:f>D183</ns0:f>
        <ns0:v>30 Ом</ns0:v>
      </ns0:c>
      <ns0:c r="S183" t="str" s="11">
        <ns0:f>K183</ns0:f>
        <ns0:v>Резистор 30 Ом ±5% 0805</ns0:v>
      </ns0:c>
      <x:c xmlns:x="http://schemas.openxmlformats.org/spreadsheetml/2006/main" r="T183" t="str" s="11">
        <x:v>C:\Users\Nomatin\Documents\Altium\MY_LIB\MY_LIB\Datasheets\YAGEO_RC_L.pdf</x:v>
      </x:c>
      <x:c xmlns:x="http://schemas.openxmlformats.org/spreadsheetml/2006/main" r="U183" t="str" s="11">
        <x:v>Даташит — локальный</x:v>
      </x:c>
      <x:c xmlns:x="http://schemas.openxmlformats.org/spreadsheetml/2006/main" r="V183" t="str" s="11">
        <x:v>C:\Users\Nomatin\Documents\Altium\MY_LIB\MY_LIB\Datasheets\YAGEO_RC_L.pdf</x:v>
      </x:c>
      <x:c xmlns:x="http://schemas.openxmlformats.org/spreadsheetml/2006/main" r="W183" t="str" s="11">
        <x:v>Даташит — производитель</x:v>
      </x:c>
      <x:c xmlns:x="http://schemas.openxmlformats.org/spreadsheetml/2006/main" r="X183" t="str" s="11">
        <x:v>https://yageogroup.com/content/datasheet/asset/file/PYU-RC_GROUP_51_ROHS_L</x:v>
      </x:c>
      <x:c xmlns:x="http://schemas.openxmlformats.org/spreadsheetml/2006/main" r="Y183" t="str" s="11">
        <x:v>C:\Users\Nomatin\Documents\Altium\MY_LIB\MY_LIB\Datasheets\YAGEO_RC_L.pdf</x:v>
      </x:c>
      <ns0:c xmlns:ns0="http://schemas.openxmlformats.org/spreadsheetml/2006/main" r="Z183" s="16" t="inlineStr">
        <ns0:is>
          <ns0:t>MY_LIB_R_TCR</ns0:t>
        </ns0:is>
      </ns0:c>
      <ns0:c xmlns:ns0="http://schemas.openxmlformats.org/spreadsheetml/2006/main" r="AA183" s="16" t="inlineStr">
        <ns0:is>
          <ns0:t>R(T), +100 ppm/C at 25 C; positive datasheet limit</ns0:t>
        </ns0:is>
      </ns0:c>
      <ns0:c xmlns:ns0="http://schemas.openxmlformats.org/spreadsheetml/2006/main" r="AB183" s="16" t="str">
        <ns0:v>General</ns0:v>
      </ns0:c>
      <ns0:c xmlns:ns0="http://schemas.openxmlformats.org/spreadsheetml/2006/main" r="AC183" s="16" t="inlineStr">
        <ns0:is>
          <ns0:t>Spice Subcircuit</ns0:t>
        </ns0:is>
      </ns0:c>
      <ns0:c xmlns:ns0="http://schemas.openxmlformats.org/spreadsheetml/2006/main" r="AD183" s="16" t="inlineStr">
        <ns0:is>
          <ns0:t>@DESIGNATOR %1 %2 @MODEL PARAMS: Rvalue=@VALUE TC1value=100u</ns0:t>
        </ns0:is>
      </ns0:c>
      <ns0:c xmlns:ns0="http://schemas.openxmlformats.org/spreadsheetml/2006/main" r="AE183" s="16" t="inlineStr">
        <ns0:is>
          <ns0:t>X</ns0:t>
        </ns0:is>
      </ns0:c>
      <ns0:c xmlns:ns0="http://schemas.openxmlformats.org/spreadsheetml/2006/main" r="AF183" s="16" t="str">
        <ns0:v>(1:1),(2:2)</ns0:v>
      </ns0:c>
      <ns0:c xmlns:ns0="http://schemas.openxmlformats.org/spreadsheetml/2006/main" r="AG183" s="16" t="inlineStr">
        <ns0:is>
          <ns0:t>Simulation\Resistors\MY_LIB_R_TCR.ckt</ns0:t>
        </ns0:is>
      </ns0:c>
      <ns0:c xmlns:ns0="http://schemas.openxmlformats.org/spreadsheetml/2006/main" r="AH183" s="16" t="inlineStr">
        <ns0:is>
          <ns0:t>±100 ppm/°C</ns0:t>
        </ns0:is>
      </ns0:c>
    </ns0:row>
    <ns0:row r="184" ht="30" customHeight="1">
      <ns0:c r="A184" t="str" s="10">
        <ns0:v>R0190</ns0:v>
      </ns0:c>
      <ns0:c r="B184" t="str" s="10">
        <ns0:v>Резистор</ns0:v>
      </ns0:c>
      <ns0:c r="C184" t="str" s="10">
        <ns0:v>33R</ns0:v>
      </ns0:c>
      <ns0:c r="D184" t="str" s="11">
        <ns0:f>SUBSTITUTE(SUBSTITUTE(SUBSTITUTE(SUBSTITUTE(C184,"meg"," МОм"),"k"," кОм"),"R"," Ом"),".",",")</ns0:f>
        <ns0:v>33 Ом</ns0:v>
      </ns0:c>
      <ns0:c r="E184" t="str" s="10">
        <ns0:v>±5%</ns0:v>
      </ns0:c>
      <ns0:c r="F184" t="str" s="10">
        <ns0:v>0,125 Вт</ns0:v>
      </ns0:c>
      <ns0:c r="G184" t="str" s="10">
        <ns0:v>150 В макс.</ns0:v>
      </ns0:c>
      <ns0:c r="H184" t="str" s="12">
        <ns0:v>0805</ns0:v>
      </ns0:c>
      <ns0:c r="I184" t="str" s="10">
        <ns0:v>YAGEO</ns0:v>
      </ns0:c>
      <ns0:c r="J184" t="str" s="10">
        <ns0:v>RC0805JR-0733RL</ns0:v>
      </ns0:c>
      <ns0:c r="K184" t="str" s="11">
        <ns0:f>B184&amp;" "&amp;D184&amp;" "&amp;E184&amp;" "&amp;H184</ns0:f>
        <ns0:v>Резистор 33 Ом ±5% 0805</ns0:v>
      </ns0:c>
      <ns0:c r="L184" t="str" s="13">
        <ns0:v>R</ns0:v>
      </ns0:c>
      <ns0:c r="M184" t="str" s="13">
        <ns0:v>Symbols\MY_LIB_Resistors.SchLib</ns0:v>
      </ns0:c>
      <ns0:c r="N184" t="str" s="13">
        <ns0:v>RESC2012X70N</ns0:v>
      </ns0:c>
      <ns0:c r="O184" t="str" s="13">
        <ns0:v>Footprints\PBL - SMD Packages.PcbLib</ns0:v>
      </ns0:c>
      <ns0:c xmlns:ns0="http://schemas.openxmlformats.org/spreadsheetml/2006/main" r="P18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4" s="10"/>
      <ns0:c r="R184" t="str" s="11">
        <ns0:f>D184</ns0:f>
        <ns0:v>33 Ом</ns0:v>
      </ns0:c>
      <ns0:c r="S184" t="str" s="11">
        <ns0:f>K184</ns0:f>
        <ns0:v>Резистор 33 Ом ±5% 0805</ns0:v>
      </ns0:c>
      <x:c xmlns:x="http://schemas.openxmlformats.org/spreadsheetml/2006/main" r="T184" t="str" s="11">
        <x:v>C:\Users\Nomatin\Documents\Altium\MY_LIB\MY_LIB\Datasheets\YAGEO_RC_L.pdf</x:v>
      </x:c>
      <x:c xmlns:x="http://schemas.openxmlformats.org/spreadsheetml/2006/main" r="U184" t="str" s="11">
        <x:v>Даташит — локальный</x:v>
      </x:c>
      <x:c xmlns:x="http://schemas.openxmlformats.org/spreadsheetml/2006/main" r="V184" t="str" s="11">
        <x:v>C:\Users\Nomatin\Documents\Altium\MY_LIB\MY_LIB\Datasheets\YAGEO_RC_L.pdf</x:v>
      </x:c>
      <x:c xmlns:x="http://schemas.openxmlformats.org/spreadsheetml/2006/main" r="W184" t="str" s="11">
        <x:v>Даташит — производитель</x:v>
      </x:c>
      <x:c xmlns:x="http://schemas.openxmlformats.org/spreadsheetml/2006/main" r="X184" t="str" s="11">
        <x:v>https://yageogroup.com/content/datasheet/asset/file/PYU-RC_GROUP_51_ROHS_L</x:v>
      </x:c>
      <x:c xmlns:x="http://schemas.openxmlformats.org/spreadsheetml/2006/main" r="Y184" t="str" s="11">
        <x:v>C:\Users\Nomatin\Documents\Altium\MY_LIB\MY_LIB\Datasheets\YAGEO_RC_L.pdf</x:v>
      </x:c>
      <ns0:c xmlns:ns0="http://schemas.openxmlformats.org/spreadsheetml/2006/main" r="Z184" s="16" t="inlineStr">
        <ns0:is>
          <ns0:t>MY_LIB_R_TCR</ns0:t>
        </ns0:is>
      </ns0:c>
      <ns0:c xmlns:ns0="http://schemas.openxmlformats.org/spreadsheetml/2006/main" r="AA184" s="16" t="inlineStr">
        <ns0:is>
          <ns0:t>R(T), +100 ppm/C at 25 C; positive datasheet limit</ns0:t>
        </ns0:is>
      </ns0:c>
      <ns0:c xmlns:ns0="http://schemas.openxmlformats.org/spreadsheetml/2006/main" r="AB184" s="16" t="str">
        <ns0:v>General</ns0:v>
      </ns0:c>
      <ns0:c xmlns:ns0="http://schemas.openxmlformats.org/spreadsheetml/2006/main" r="AC184" s="16" t="inlineStr">
        <ns0:is>
          <ns0:t>Spice Subcircuit</ns0:t>
        </ns0:is>
      </ns0:c>
      <ns0:c xmlns:ns0="http://schemas.openxmlformats.org/spreadsheetml/2006/main" r="AD184" s="16" t="inlineStr">
        <ns0:is>
          <ns0:t>@DESIGNATOR %1 %2 @MODEL PARAMS: Rvalue=@VALUE TC1value=100u</ns0:t>
        </ns0:is>
      </ns0:c>
      <ns0:c xmlns:ns0="http://schemas.openxmlformats.org/spreadsheetml/2006/main" r="AE184" s="16" t="inlineStr">
        <ns0:is>
          <ns0:t>X</ns0:t>
        </ns0:is>
      </ns0:c>
      <ns0:c xmlns:ns0="http://schemas.openxmlformats.org/spreadsheetml/2006/main" r="AF184" s="16" t="str">
        <ns0:v>(1:1),(2:2)</ns0:v>
      </ns0:c>
      <ns0:c xmlns:ns0="http://schemas.openxmlformats.org/spreadsheetml/2006/main" r="AG184" s="16" t="inlineStr">
        <ns0:is>
          <ns0:t>Simulation\Resistors\MY_LIB_R_TCR.ckt</ns0:t>
        </ns0:is>
      </ns0:c>
      <ns0:c xmlns:ns0="http://schemas.openxmlformats.org/spreadsheetml/2006/main" r="AH184" s="16" t="inlineStr">
        <ns0:is>
          <ns0:t>±100 ppm/°C</ns0:t>
        </ns0:is>
      </ns0:c>
    </ns0:row>
    <ns0:row r="185" ht="30" customHeight="1">
      <ns0:c r="A185" t="str" s="10">
        <ns0:v>R0191</ns0:v>
      </ns0:c>
      <ns0:c r="B185" t="str" s="10">
        <ns0:v>Резистор</ns0:v>
      </ns0:c>
      <ns0:c r="C185" t="str" s="10">
        <ns0:v>36R</ns0:v>
      </ns0:c>
      <ns0:c r="D185" t="str" s="11">
        <ns0:f>SUBSTITUTE(SUBSTITUTE(SUBSTITUTE(SUBSTITUTE(C185,"meg"," МОм"),"k"," кОм"),"R"," Ом"),".",",")</ns0:f>
        <ns0:v>36 Ом</ns0:v>
      </ns0:c>
      <ns0:c r="E185" t="str" s="10">
        <ns0:v>±5%</ns0:v>
      </ns0:c>
      <ns0:c r="F185" t="str" s="10">
        <ns0:v>0,125 Вт</ns0:v>
      </ns0:c>
      <ns0:c r="G185" t="str" s="10">
        <ns0:v>150 В макс.</ns0:v>
      </ns0:c>
      <ns0:c r="H185" t="str" s="12">
        <ns0:v>0805</ns0:v>
      </ns0:c>
      <ns0:c r="I185" t="str" s="10">
        <ns0:v>YAGEO</ns0:v>
      </ns0:c>
      <ns0:c r="J185" t="str" s="10">
        <ns0:v>RC0805JR-0736RL</ns0:v>
      </ns0:c>
      <ns0:c r="K185" t="str" s="11">
        <ns0:f>B185&amp;" "&amp;D185&amp;" "&amp;E185&amp;" "&amp;H185</ns0:f>
        <ns0:v>Резистор 36 Ом ±5% 0805</ns0:v>
      </ns0:c>
      <ns0:c r="L185" t="str" s="13">
        <ns0:v>R</ns0:v>
      </ns0:c>
      <ns0:c r="M185" t="str" s="13">
        <ns0:v>Symbols\MY_LIB_Resistors.SchLib</ns0:v>
      </ns0:c>
      <ns0:c r="N185" t="str" s="13">
        <ns0:v>RESC2012X70N</ns0:v>
      </ns0:c>
      <ns0:c r="O185" t="str" s="13">
        <ns0:v>Footprints\PBL - SMD Packages.PcbLib</ns0:v>
      </ns0:c>
      <ns0:c xmlns:ns0="http://schemas.openxmlformats.org/spreadsheetml/2006/main" r="P18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5" s="10"/>
      <ns0:c r="R185" t="str" s="11">
        <ns0:f>D185</ns0:f>
        <ns0:v>36 Ом</ns0:v>
      </ns0:c>
      <ns0:c r="S185" t="str" s="11">
        <ns0:f>K185</ns0:f>
        <ns0:v>Резистор 36 Ом ±5% 0805</ns0:v>
      </ns0:c>
      <x:c xmlns:x="http://schemas.openxmlformats.org/spreadsheetml/2006/main" r="T185" t="str" s="11">
        <x:v>C:\Users\Nomatin\Documents\Altium\MY_LIB\MY_LIB\Datasheets\YAGEO_RC_L.pdf</x:v>
      </x:c>
      <x:c xmlns:x="http://schemas.openxmlformats.org/spreadsheetml/2006/main" r="U185" t="str" s="11">
        <x:v>Даташит — локальный</x:v>
      </x:c>
      <x:c xmlns:x="http://schemas.openxmlformats.org/spreadsheetml/2006/main" r="V185" t="str" s="11">
        <x:v>C:\Users\Nomatin\Documents\Altium\MY_LIB\MY_LIB\Datasheets\YAGEO_RC_L.pdf</x:v>
      </x:c>
      <x:c xmlns:x="http://schemas.openxmlformats.org/spreadsheetml/2006/main" r="W185" t="str" s="11">
        <x:v>Даташит — производитель</x:v>
      </x:c>
      <x:c xmlns:x="http://schemas.openxmlformats.org/spreadsheetml/2006/main" r="X185" t="str" s="11">
        <x:v>https://yageogroup.com/content/datasheet/asset/file/PYU-RC_GROUP_51_ROHS_L</x:v>
      </x:c>
      <x:c xmlns:x="http://schemas.openxmlformats.org/spreadsheetml/2006/main" r="Y185" t="str" s="11">
        <x:v>C:\Users\Nomatin\Documents\Altium\MY_LIB\MY_LIB\Datasheets\YAGEO_RC_L.pdf</x:v>
      </x:c>
      <ns0:c xmlns:ns0="http://schemas.openxmlformats.org/spreadsheetml/2006/main" r="Z185" s="16" t="inlineStr">
        <ns0:is>
          <ns0:t>MY_LIB_R_TCR</ns0:t>
        </ns0:is>
      </ns0:c>
      <ns0:c xmlns:ns0="http://schemas.openxmlformats.org/spreadsheetml/2006/main" r="AA185" s="16" t="inlineStr">
        <ns0:is>
          <ns0:t>R(T), +100 ppm/C at 25 C; positive datasheet limit</ns0:t>
        </ns0:is>
      </ns0:c>
      <ns0:c xmlns:ns0="http://schemas.openxmlformats.org/spreadsheetml/2006/main" r="AB185" s="16" t="str">
        <ns0:v>General</ns0:v>
      </ns0:c>
      <ns0:c xmlns:ns0="http://schemas.openxmlformats.org/spreadsheetml/2006/main" r="AC185" s="16" t="inlineStr">
        <ns0:is>
          <ns0:t>Spice Subcircuit</ns0:t>
        </ns0:is>
      </ns0:c>
      <ns0:c xmlns:ns0="http://schemas.openxmlformats.org/spreadsheetml/2006/main" r="AD185" s="16" t="inlineStr">
        <ns0:is>
          <ns0:t>@DESIGNATOR %1 %2 @MODEL PARAMS: Rvalue=@VALUE TC1value=100u</ns0:t>
        </ns0:is>
      </ns0:c>
      <ns0:c xmlns:ns0="http://schemas.openxmlformats.org/spreadsheetml/2006/main" r="AE185" s="16" t="inlineStr">
        <ns0:is>
          <ns0:t>X</ns0:t>
        </ns0:is>
      </ns0:c>
      <ns0:c xmlns:ns0="http://schemas.openxmlformats.org/spreadsheetml/2006/main" r="AF185" s="16" t="str">
        <ns0:v>(1:1),(2:2)</ns0:v>
      </ns0:c>
      <ns0:c xmlns:ns0="http://schemas.openxmlformats.org/spreadsheetml/2006/main" r="AG185" s="16" t="inlineStr">
        <ns0:is>
          <ns0:t>Simulation\Resistors\MY_LIB_R_TCR.ckt</ns0:t>
        </ns0:is>
      </ns0:c>
      <ns0:c xmlns:ns0="http://schemas.openxmlformats.org/spreadsheetml/2006/main" r="AH185" s="16" t="inlineStr">
        <ns0:is>
          <ns0:t>±100 ppm/°C</ns0:t>
        </ns0:is>
      </ns0:c>
    </ns0:row>
    <ns0:row r="186" ht="30" customHeight="1">
      <ns0:c r="A186" t="str" s="10">
        <ns0:v>R0192</ns0:v>
      </ns0:c>
      <ns0:c r="B186" t="str" s="10">
        <ns0:v>Резистор</ns0:v>
      </ns0:c>
      <ns0:c r="C186" t="str" s="10">
        <ns0:v>39R</ns0:v>
      </ns0:c>
      <ns0:c r="D186" t="str" s="11">
        <ns0:f>SUBSTITUTE(SUBSTITUTE(SUBSTITUTE(SUBSTITUTE(C186,"meg"," МОм"),"k"," кОм"),"R"," Ом"),".",",")</ns0:f>
        <ns0:v>39 Ом</ns0:v>
      </ns0:c>
      <ns0:c r="E186" t="str" s="10">
        <ns0:v>±5%</ns0:v>
      </ns0:c>
      <ns0:c r="F186" t="str" s="10">
        <ns0:v>0,125 Вт</ns0:v>
      </ns0:c>
      <ns0:c r="G186" t="str" s="10">
        <ns0:v>150 В макс.</ns0:v>
      </ns0:c>
      <ns0:c r="H186" t="str" s="12">
        <ns0:v>0805</ns0:v>
      </ns0:c>
      <ns0:c r="I186" t="str" s="10">
        <ns0:v>YAGEO</ns0:v>
      </ns0:c>
      <ns0:c r="J186" t="str" s="10">
        <ns0:v>RC0805JR-0739RL</ns0:v>
      </ns0:c>
      <ns0:c r="K186" t="str" s="11">
        <ns0:f>B186&amp;" "&amp;D186&amp;" "&amp;E186&amp;" "&amp;H186</ns0:f>
        <ns0:v>Резистор 39 Ом ±5% 0805</ns0:v>
      </ns0:c>
      <ns0:c r="L186" t="str" s="13">
        <ns0:v>R</ns0:v>
      </ns0:c>
      <ns0:c r="M186" t="str" s="13">
        <ns0:v>Symbols\MY_LIB_Resistors.SchLib</ns0:v>
      </ns0:c>
      <ns0:c r="N186" t="str" s="13">
        <ns0:v>RESC2012X70N</ns0:v>
      </ns0:c>
      <ns0:c r="O186" t="str" s="13">
        <ns0:v>Footprints\PBL - SMD Packages.PcbLib</ns0:v>
      </ns0:c>
      <ns0:c xmlns:ns0="http://schemas.openxmlformats.org/spreadsheetml/2006/main" r="P18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6" s="10"/>
      <ns0:c r="R186" t="str" s="11">
        <ns0:f>D186</ns0:f>
        <ns0:v>39 Ом</ns0:v>
      </ns0:c>
      <ns0:c r="S186" t="str" s="11">
        <ns0:f>K186</ns0:f>
        <ns0:v>Резистор 39 Ом ±5% 0805</ns0:v>
      </ns0:c>
      <x:c xmlns:x="http://schemas.openxmlformats.org/spreadsheetml/2006/main" r="T186" t="str" s="11">
        <x:v>C:\Users\Nomatin\Documents\Altium\MY_LIB\MY_LIB\Datasheets\YAGEO_RC_L.pdf</x:v>
      </x:c>
      <x:c xmlns:x="http://schemas.openxmlformats.org/spreadsheetml/2006/main" r="U186" t="str" s="11">
        <x:v>Даташит — локальный</x:v>
      </x:c>
      <x:c xmlns:x="http://schemas.openxmlformats.org/spreadsheetml/2006/main" r="V186" t="str" s="11">
        <x:v>C:\Users\Nomatin\Documents\Altium\MY_LIB\MY_LIB\Datasheets\YAGEO_RC_L.pdf</x:v>
      </x:c>
      <x:c xmlns:x="http://schemas.openxmlformats.org/spreadsheetml/2006/main" r="W186" t="str" s="11">
        <x:v>Даташит — производитель</x:v>
      </x:c>
      <x:c xmlns:x="http://schemas.openxmlformats.org/spreadsheetml/2006/main" r="X186" t="str" s="11">
        <x:v>https://yageogroup.com/content/datasheet/asset/file/PYU-RC_GROUP_51_ROHS_L</x:v>
      </x:c>
      <x:c xmlns:x="http://schemas.openxmlformats.org/spreadsheetml/2006/main" r="Y186" t="str" s="11">
        <x:v>C:\Users\Nomatin\Documents\Altium\MY_LIB\MY_LIB\Datasheets\YAGEO_RC_L.pdf</x:v>
      </x:c>
      <ns0:c xmlns:ns0="http://schemas.openxmlformats.org/spreadsheetml/2006/main" r="Z186" s="16" t="inlineStr">
        <ns0:is>
          <ns0:t>MY_LIB_R_TCR</ns0:t>
        </ns0:is>
      </ns0:c>
      <ns0:c xmlns:ns0="http://schemas.openxmlformats.org/spreadsheetml/2006/main" r="AA186" s="16" t="inlineStr">
        <ns0:is>
          <ns0:t>R(T), +100 ppm/C at 25 C; positive datasheet limit</ns0:t>
        </ns0:is>
      </ns0:c>
      <ns0:c xmlns:ns0="http://schemas.openxmlformats.org/spreadsheetml/2006/main" r="AB186" s="16" t="str">
        <ns0:v>General</ns0:v>
      </ns0:c>
      <ns0:c xmlns:ns0="http://schemas.openxmlformats.org/spreadsheetml/2006/main" r="AC186" s="16" t="inlineStr">
        <ns0:is>
          <ns0:t>Spice Subcircuit</ns0:t>
        </ns0:is>
      </ns0:c>
      <ns0:c xmlns:ns0="http://schemas.openxmlformats.org/spreadsheetml/2006/main" r="AD186" s="16" t="inlineStr">
        <ns0:is>
          <ns0:t>@DESIGNATOR %1 %2 @MODEL PARAMS: Rvalue=@VALUE TC1value=100u</ns0:t>
        </ns0:is>
      </ns0:c>
      <ns0:c xmlns:ns0="http://schemas.openxmlformats.org/spreadsheetml/2006/main" r="AE186" s="16" t="inlineStr">
        <ns0:is>
          <ns0:t>X</ns0:t>
        </ns0:is>
      </ns0:c>
      <ns0:c xmlns:ns0="http://schemas.openxmlformats.org/spreadsheetml/2006/main" r="AF186" s="16" t="str">
        <ns0:v>(1:1),(2:2)</ns0:v>
      </ns0:c>
      <ns0:c xmlns:ns0="http://schemas.openxmlformats.org/spreadsheetml/2006/main" r="AG186" s="16" t="inlineStr">
        <ns0:is>
          <ns0:t>Simulation\Resistors\MY_LIB_R_TCR.ckt</ns0:t>
        </ns0:is>
      </ns0:c>
      <ns0:c xmlns:ns0="http://schemas.openxmlformats.org/spreadsheetml/2006/main" r="AH186" s="16" t="inlineStr">
        <ns0:is>
          <ns0:t>±100 ppm/°C</ns0:t>
        </ns0:is>
      </ns0:c>
    </ns0:row>
    <ns0:row r="187" ht="30" customHeight="1">
      <ns0:c r="A187" t="str" s="10">
        <ns0:v>R0193</ns0:v>
      </ns0:c>
      <ns0:c r="B187" t="str" s="10">
        <ns0:v>Резистор</ns0:v>
      </ns0:c>
      <ns0:c r="C187" t="str" s="10">
        <ns0:v>43R</ns0:v>
      </ns0:c>
      <ns0:c r="D187" t="str" s="11">
        <ns0:f>SUBSTITUTE(SUBSTITUTE(SUBSTITUTE(SUBSTITUTE(C187,"meg"," МОм"),"k"," кОм"),"R"," Ом"),".",",")</ns0:f>
        <ns0:v>43 Ом</ns0:v>
      </ns0:c>
      <ns0:c r="E187" t="str" s="10">
        <ns0:v>±5%</ns0:v>
      </ns0:c>
      <ns0:c r="F187" t="str" s="10">
        <ns0:v>0,125 Вт</ns0:v>
      </ns0:c>
      <ns0:c r="G187" t="str" s="10">
        <ns0:v>150 В макс.</ns0:v>
      </ns0:c>
      <ns0:c r="H187" t="str" s="12">
        <ns0:v>0805</ns0:v>
      </ns0:c>
      <ns0:c r="I187" t="str" s="10">
        <ns0:v>YAGEO</ns0:v>
      </ns0:c>
      <ns0:c r="J187" t="str" s="10">
        <ns0:v>RC0805JR-0743RL</ns0:v>
      </ns0:c>
      <ns0:c r="K187" t="str" s="11">
        <ns0:f>B187&amp;" "&amp;D187&amp;" "&amp;E187&amp;" "&amp;H187</ns0:f>
        <ns0:v>Резистор 43 Ом ±5% 0805</ns0:v>
      </ns0:c>
      <ns0:c r="L187" t="str" s="13">
        <ns0:v>R</ns0:v>
      </ns0:c>
      <ns0:c r="M187" t="str" s="13">
        <ns0:v>Symbols\MY_LIB_Resistors.SchLib</ns0:v>
      </ns0:c>
      <ns0:c r="N187" t="str" s="13">
        <ns0:v>RESC2012X70N</ns0:v>
      </ns0:c>
      <ns0:c r="O187" t="str" s="13">
        <ns0:v>Footprints\PBL - SMD Packages.PcbLib</ns0:v>
      </ns0:c>
      <ns0:c xmlns:ns0="http://schemas.openxmlformats.org/spreadsheetml/2006/main" r="P18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7" s="10"/>
      <ns0:c r="R187" t="str" s="11">
        <ns0:f>D187</ns0:f>
        <ns0:v>43 Ом</ns0:v>
      </ns0:c>
      <ns0:c r="S187" t="str" s="11">
        <ns0:f>K187</ns0:f>
        <ns0:v>Резистор 43 Ом ±5% 0805</ns0:v>
      </ns0:c>
      <x:c xmlns:x="http://schemas.openxmlformats.org/spreadsheetml/2006/main" r="T187" t="str" s="11">
        <x:v>C:\Users\Nomatin\Documents\Altium\MY_LIB\MY_LIB\Datasheets\YAGEO_RC_L.pdf</x:v>
      </x:c>
      <x:c xmlns:x="http://schemas.openxmlformats.org/spreadsheetml/2006/main" r="U187" t="str" s="11">
        <x:v>Даташит — локальный</x:v>
      </x:c>
      <x:c xmlns:x="http://schemas.openxmlformats.org/spreadsheetml/2006/main" r="V187" t="str" s="11">
        <x:v>C:\Users\Nomatin\Documents\Altium\MY_LIB\MY_LIB\Datasheets\YAGEO_RC_L.pdf</x:v>
      </x:c>
      <x:c xmlns:x="http://schemas.openxmlformats.org/spreadsheetml/2006/main" r="W187" t="str" s="11">
        <x:v>Даташит — производитель</x:v>
      </x:c>
      <x:c xmlns:x="http://schemas.openxmlformats.org/spreadsheetml/2006/main" r="X187" t="str" s="11">
        <x:v>https://yageogroup.com/content/datasheet/asset/file/PYU-RC_GROUP_51_ROHS_L</x:v>
      </x:c>
      <x:c xmlns:x="http://schemas.openxmlformats.org/spreadsheetml/2006/main" r="Y187" t="str" s="11">
        <x:v>C:\Users\Nomatin\Documents\Altium\MY_LIB\MY_LIB\Datasheets\YAGEO_RC_L.pdf</x:v>
      </x:c>
      <ns0:c xmlns:ns0="http://schemas.openxmlformats.org/spreadsheetml/2006/main" r="Z187" s="16" t="inlineStr">
        <ns0:is>
          <ns0:t>MY_LIB_R_TCR</ns0:t>
        </ns0:is>
      </ns0:c>
      <ns0:c xmlns:ns0="http://schemas.openxmlformats.org/spreadsheetml/2006/main" r="AA187" s="16" t="inlineStr">
        <ns0:is>
          <ns0:t>R(T), +100 ppm/C at 25 C; positive datasheet limit</ns0:t>
        </ns0:is>
      </ns0:c>
      <ns0:c xmlns:ns0="http://schemas.openxmlformats.org/spreadsheetml/2006/main" r="AB187" s="16" t="str">
        <ns0:v>General</ns0:v>
      </ns0:c>
      <ns0:c xmlns:ns0="http://schemas.openxmlformats.org/spreadsheetml/2006/main" r="AC187" s="16" t="inlineStr">
        <ns0:is>
          <ns0:t>Spice Subcircuit</ns0:t>
        </ns0:is>
      </ns0:c>
      <ns0:c xmlns:ns0="http://schemas.openxmlformats.org/spreadsheetml/2006/main" r="AD187" s="16" t="inlineStr">
        <ns0:is>
          <ns0:t>@DESIGNATOR %1 %2 @MODEL PARAMS: Rvalue=@VALUE TC1value=100u</ns0:t>
        </ns0:is>
      </ns0:c>
      <ns0:c xmlns:ns0="http://schemas.openxmlformats.org/spreadsheetml/2006/main" r="AE187" s="16" t="inlineStr">
        <ns0:is>
          <ns0:t>X</ns0:t>
        </ns0:is>
      </ns0:c>
      <ns0:c xmlns:ns0="http://schemas.openxmlformats.org/spreadsheetml/2006/main" r="AF187" s="16" t="str">
        <ns0:v>(1:1),(2:2)</ns0:v>
      </ns0:c>
      <ns0:c xmlns:ns0="http://schemas.openxmlformats.org/spreadsheetml/2006/main" r="AG187" s="16" t="inlineStr">
        <ns0:is>
          <ns0:t>Simulation\Resistors\MY_LIB_R_TCR.ckt</ns0:t>
        </ns0:is>
      </ns0:c>
      <ns0:c xmlns:ns0="http://schemas.openxmlformats.org/spreadsheetml/2006/main" r="AH187" s="16" t="inlineStr">
        <ns0:is>
          <ns0:t>±100 ppm/°C</ns0:t>
        </ns0:is>
      </ns0:c>
    </ns0:row>
    <ns0:row r="188" ht="30" customHeight="1">
      <ns0:c r="A188" t="str" s="10">
        <ns0:v>R0194</ns0:v>
      </ns0:c>
      <ns0:c r="B188" t="str" s="10">
        <ns0:v>Резистор</ns0:v>
      </ns0:c>
      <ns0:c r="C188" t="str" s="10">
        <ns0:v>47R</ns0:v>
      </ns0:c>
      <ns0:c r="D188" t="str" s="11">
        <ns0:f>SUBSTITUTE(SUBSTITUTE(SUBSTITUTE(SUBSTITUTE(C188,"meg"," МОм"),"k"," кОм"),"R"," Ом"),".",",")</ns0:f>
        <ns0:v>47 Ом</ns0:v>
      </ns0:c>
      <ns0:c r="E188" t="str" s="10">
        <ns0:v>±5%</ns0:v>
      </ns0:c>
      <ns0:c r="F188" t="str" s="10">
        <ns0:v>0,125 Вт</ns0:v>
      </ns0:c>
      <ns0:c r="G188" t="str" s="10">
        <ns0:v>150 В макс.</ns0:v>
      </ns0:c>
      <ns0:c r="H188" t="str" s="12">
        <ns0:v>0805</ns0:v>
      </ns0:c>
      <ns0:c r="I188" t="str" s="10">
        <ns0:v>YAGEO</ns0:v>
      </ns0:c>
      <ns0:c r="J188" t="str" s="10">
        <ns0:v>RC0805JR-0747RL</ns0:v>
      </ns0:c>
      <ns0:c r="K188" t="str" s="11">
        <ns0:f>B188&amp;" "&amp;D188&amp;" "&amp;E188&amp;" "&amp;H188</ns0:f>
        <ns0:v>Резистор 47 Ом ±5% 0805</ns0:v>
      </ns0:c>
      <ns0:c r="L188" t="str" s="13">
        <ns0:v>R</ns0:v>
      </ns0:c>
      <ns0:c r="M188" t="str" s="13">
        <ns0:v>Symbols\MY_LIB_Resistors.SchLib</ns0:v>
      </ns0:c>
      <ns0:c r="N188" t="str" s="13">
        <ns0:v>RESC2012X70N</ns0:v>
      </ns0:c>
      <ns0:c r="O188" t="str" s="13">
        <ns0:v>Footprints\PBL - SMD Packages.PcbLib</ns0:v>
      </ns0:c>
      <ns0:c xmlns:ns0="http://schemas.openxmlformats.org/spreadsheetml/2006/main" r="P18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8" s="10"/>
      <ns0:c r="R188" t="str" s="11">
        <ns0:f>D188</ns0:f>
        <ns0:v>47 Ом</ns0:v>
      </ns0:c>
      <ns0:c r="S188" t="str" s="11">
        <ns0:f>K188</ns0:f>
        <ns0:v>Резистор 47 Ом ±5% 0805</ns0:v>
      </ns0:c>
      <x:c xmlns:x="http://schemas.openxmlformats.org/spreadsheetml/2006/main" r="T188" t="str" s="11">
        <x:v>C:\Users\Nomatin\Documents\Altium\MY_LIB\MY_LIB\Datasheets\YAGEO_RC_L.pdf</x:v>
      </x:c>
      <x:c xmlns:x="http://schemas.openxmlformats.org/spreadsheetml/2006/main" r="U188" t="str" s="11">
        <x:v>Даташит — локальный</x:v>
      </x:c>
      <x:c xmlns:x="http://schemas.openxmlformats.org/spreadsheetml/2006/main" r="V188" t="str" s="11">
        <x:v>C:\Users\Nomatin\Documents\Altium\MY_LIB\MY_LIB\Datasheets\YAGEO_RC_L.pdf</x:v>
      </x:c>
      <x:c xmlns:x="http://schemas.openxmlformats.org/spreadsheetml/2006/main" r="W188" t="str" s="11">
        <x:v>Даташит — производитель</x:v>
      </x:c>
      <x:c xmlns:x="http://schemas.openxmlformats.org/spreadsheetml/2006/main" r="X188" t="str" s="11">
        <x:v>https://yageogroup.com/content/datasheet/asset/file/PYU-RC_GROUP_51_ROHS_L</x:v>
      </x:c>
      <x:c xmlns:x="http://schemas.openxmlformats.org/spreadsheetml/2006/main" r="Y188" t="str" s="11">
        <x:v>C:\Users\Nomatin\Documents\Altium\MY_LIB\MY_LIB\Datasheets\YAGEO_RC_L.pdf</x:v>
      </x:c>
      <ns0:c xmlns:ns0="http://schemas.openxmlformats.org/spreadsheetml/2006/main" r="Z188" s="16" t="inlineStr">
        <ns0:is>
          <ns0:t>MY_LIB_R_TCR</ns0:t>
        </ns0:is>
      </ns0:c>
      <ns0:c xmlns:ns0="http://schemas.openxmlformats.org/spreadsheetml/2006/main" r="AA188" s="16" t="inlineStr">
        <ns0:is>
          <ns0:t>R(T), +100 ppm/C at 25 C; positive datasheet limit</ns0:t>
        </ns0:is>
      </ns0:c>
      <ns0:c xmlns:ns0="http://schemas.openxmlformats.org/spreadsheetml/2006/main" r="AB188" s="16" t="str">
        <ns0:v>General</ns0:v>
      </ns0:c>
      <ns0:c xmlns:ns0="http://schemas.openxmlformats.org/spreadsheetml/2006/main" r="AC188" s="16" t="inlineStr">
        <ns0:is>
          <ns0:t>Spice Subcircuit</ns0:t>
        </ns0:is>
      </ns0:c>
      <ns0:c xmlns:ns0="http://schemas.openxmlformats.org/spreadsheetml/2006/main" r="AD188" s="16" t="inlineStr">
        <ns0:is>
          <ns0:t>@DESIGNATOR %1 %2 @MODEL PARAMS: Rvalue=@VALUE TC1value=100u</ns0:t>
        </ns0:is>
      </ns0:c>
      <ns0:c xmlns:ns0="http://schemas.openxmlformats.org/spreadsheetml/2006/main" r="AE188" s="16" t="inlineStr">
        <ns0:is>
          <ns0:t>X</ns0:t>
        </ns0:is>
      </ns0:c>
      <ns0:c xmlns:ns0="http://schemas.openxmlformats.org/spreadsheetml/2006/main" r="AF188" s="16" t="str">
        <ns0:v>(1:1),(2:2)</ns0:v>
      </ns0:c>
      <ns0:c xmlns:ns0="http://schemas.openxmlformats.org/spreadsheetml/2006/main" r="AG188" s="16" t="inlineStr">
        <ns0:is>
          <ns0:t>Simulation\Resistors\MY_LIB_R_TCR.ckt</ns0:t>
        </ns0:is>
      </ns0:c>
      <ns0:c xmlns:ns0="http://schemas.openxmlformats.org/spreadsheetml/2006/main" r="AH188" s="16" t="inlineStr">
        <ns0:is>
          <ns0:t>±100 ppm/°C</ns0:t>
        </ns0:is>
      </ns0:c>
    </ns0:row>
    <ns0:row r="189" ht="30" customHeight="1">
      <ns0:c r="A189" t="str" s="10">
        <ns0:v>R0195</ns0:v>
      </ns0:c>
      <ns0:c r="B189" t="str" s="10">
        <ns0:v>Резистор</ns0:v>
      </ns0:c>
      <ns0:c r="C189" t="str" s="10">
        <ns0:v>51R</ns0:v>
      </ns0:c>
      <ns0:c r="D189" t="str" s="11">
        <ns0:f>SUBSTITUTE(SUBSTITUTE(SUBSTITUTE(SUBSTITUTE(C189,"meg"," МОм"),"k"," кОм"),"R"," Ом"),".",",")</ns0:f>
        <ns0:v>51 Ом</ns0:v>
      </ns0:c>
      <ns0:c r="E189" t="str" s="10">
        <ns0:v>±5%</ns0:v>
      </ns0:c>
      <ns0:c r="F189" t="str" s="10">
        <ns0:v>0,125 Вт</ns0:v>
      </ns0:c>
      <ns0:c r="G189" t="str" s="10">
        <ns0:v>150 В макс.</ns0:v>
      </ns0:c>
      <ns0:c r="H189" t="str" s="12">
        <ns0:v>0805</ns0:v>
      </ns0:c>
      <ns0:c r="I189" t="str" s="10">
        <ns0:v>YAGEO</ns0:v>
      </ns0:c>
      <ns0:c r="J189" t="str" s="10">
        <ns0:v>RC0805JR-0751RL</ns0:v>
      </ns0:c>
      <ns0:c r="K189" t="str" s="11">
        <ns0:f>B189&amp;" "&amp;D189&amp;" "&amp;E189&amp;" "&amp;H189</ns0:f>
        <ns0:v>Резистор 51 Ом ±5% 0805</ns0:v>
      </ns0:c>
      <ns0:c r="L189" t="str" s="13">
        <ns0:v>R</ns0:v>
      </ns0:c>
      <ns0:c r="M189" t="str" s="13">
        <ns0:v>Symbols\MY_LIB_Resistors.SchLib</ns0:v>
      </ns0:c>
      <ns0:c r="N189" t="str" s="13">
        <ns0:v>RESC2012X70N</ns0:v>
      </ns0:c>
      <ns0:c r="O189" t="str" s="13">
        <ns0:v>Footprints\PBL - SMD Packages.PcbLib</ns0:v>
      </ns0:c>
      <ns0:c xmlns:ns0="http://schemas.openxmlformats.org/spreadsheetml/2006/main" r="P18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89" s="10"/>
      <ns0:c r="R189" t="str" s="11">
        <ns0:f>D189</ns0:f>
        <ns0:v>51 Ом</ns0:v>
      </ns0:c>
      <ns0:c r="S189" t="str" s="11">
        <ns0:f>K189</ns0:f>
        <ns0:v>Резистор 51 Ом ±5% 0805</ns0:v>
      </ns0:c>
      <x:c xmlns:x="http://schemas.openxmlformats.org/spreadsheetml/2006/main" r="T189" t="str" s="11">
        <x:v>C:\Users\Nomatin\Documents\Altium\MY_LIB\MY_LIB\Datasheets\YAGEO_RC_L.pdf</x:v>
      </x:c>
      <x:c xmlns:x="http://schemas.openxmlformats.org/spreadsheetml/2006/main" r="U189" t="str" s="11">
        <x:v>Даташит — локальный</x:v>
      </x:c>
      <x:c xmlns:x="http://schemas.openxmlformats.org/spreadsheetml/2006/main" r="V189" t="str" s="11">
        <x:v>C:\Users\Nomatin\Documents\Altium\MY_LIB\MY_LIB\Datasheets\YAGEO_RC_L.pdf</x:v>
      </x:c>
      <x:c xmlns:x="http://schemas.openxmlformats.org/spreadsheetml/2006/main" r="W189" t="str" s="11">
        <x:v>Даташит — производитель</x:v>
      </x:c>
      <x:c xmlns:x="http://schemas.openxmlformats.org/spreadsheetml/2006/main" r="X189" t="str" s="11">
        <x:v>https://yageogroup.com/content/datasheet/asset/file/PYU-RC_GROUP_51_ROHS_L</x:v>
      </x:c>
      <x:c xmlns:x="http://schemas.openxmlformats.org/spreadsheetml/2006/main" r="Y189" t="str" s="11">
        <x:v>C:\Users\Nomatin\Documents\Altium\MY_LIB\MY_LIB\Datasheets\YAGEO_RC_L.pdf</x:v>
      </x:c>
      <ns0:c xmlns:ns0="http://schemas.openxmlformats.org/spreadsheetml/2006/main" r="Z189" s="16" t="inlineStr">
        <ns0:is>
          <ns0:t>MY_LIB_R_TCR</ns0:t>
        </ns0:is>
      </ns0:c>
      <ns0:c xmlns:ns0="http://schemas.openxmlformats.org/spreadsheetml/2006/main" r="AA189" s="16" t="inlineStr">
        <ns0:is>
          <ns0:t>R(T), +100 ppm/C at 25 C; positive datasheet limit</ns0:t>
        </ns0:is>
      </ns0:c>
      <ns0:c xmlns:ns0="http://schemas.openxmlformats.org/spreadsheetml/2006/main" r="AB189" s="16" t="str">
        <ns0:v>General</ns0:v>
      </ns0:c>
      <ns0:c xmlns:ns0="http://schemas.openxmlformats.org/spreadsheetml/2006/main" r="AC189" s="16" t="inlineStr">
        <ns0:is>
          <ns0:t>Spice Subcircuit</ns0:t>
        </ns0:is>
      </ns0:c>
      <ns0:c xmlns:ns0="http://schemas.openxmlformats.org/spreadsheetml/2006/main" r="AD189" s="16" t="inlineStr">
        <ns0:is>
          <ns0:t>@DESIGNATOR %1 %2 @MODEL PARAMS: Rvalue=@VALUE TC1value=100u</ns0:t>
        </ns0:is>
      </ns0:c>
      <ns0:c xmlns:ns0="http://schemas.openxmlformats.org/spreadsheetml/2006/main" r="AE189" s="16" t="inlineStr">
        <ns0:is>
          <ns0:t>X</ns0:t>
        </ns0:is>
      </ns0:c>
      <ns0:c xmlns:ns0="http://schemas.openxmlformats.org/spreadsheetml/2006/main" r="AF189" s="16" t="str">
        <ns0:v>(1:1),(2:2)</ns0:v>
      </ns0:c>
      <ns0:c xmlns:ns0="http://schemas.openxmlformats.org/spreadsheetml/2006/main" r="AG189" s="16" t="inlineStr">
        <ns0:is>
          <ns0:t>Simulation\Resistors\MY_LIB_R_TCR.ckt</ns0:t>
        </ns0:is>
      </ns0:c>
      <ns0:c xmlns:ns0="http://schemas.openxmlformats.org/spreadsheetml/2006/main" r="AH189" s="16" t="inlineStr">
        <ns0:is>
          <ns0:t>±100 ppm/°C</ns0:t>
        </ns0:is>
      </ns0:c>
    </ns0:row>
    <ns0:row r="190" ht="30" customHeight="1">
      <ns0:c r="A190" t="str" s="10">
        <ns0:v>R0196</ns0:v>
      </ns0:c>
      <ns0:c r="B190" t="str" s="10">
        <ns0:v>Резистор</ns0:v>
      </ns0:c>
      <ns0:c r="C190" t="str" s="10">
        <ns0:v>56R</ns0:v>
      </ns0:c>
      <ns0:c r="D190" t="str" s="11">
        <ns0:f>SUBSTITUTE(SUBSTITUTE(SUBSTITUTE(SUBSTITUTE(C190,"meg"," МОм"),"k"," кОм"),"R"," Ом"),".",",")</ns0:f>
        <ns0:v>56 Ом</ns0:v>
      </ns0:c>
      <ns0:c r="E190" t="str" s="10">
        <ns0:v>±5%</ns0:v>
      </ns0:c>
      <ns0:c r="F190" t="str" s="10">
        <ns0:v>0,125 Вт</ns0:v>
      </ns0:c>
      <ns0:c r="G190" t="str" s="10">
        <ns0:v>150 В макс.</ns0:v>
      </ns0:c>
      <ns0:c r="H190" t="str" s="12">
        <ns0:v>0805</ns0:v>
      </ns0:c>
      <ns0:c r="I190" t="str" s="10">
        <ns0:v>YAGEO</ns0:v>
      </ns0:c>
      <ns0:c r="J190" t="str" s="10">
        <ns0:v>RC0805JR-0756RL</ns0:v>
      </ns0:c>
      <ns0:c r="K190" t="str" s="11">
        <ns0:f>B190&amp;" "&amp;D190&amp;" "&amp;E190&amp;" "&amp;H190</ns0:f>
        <ns0:v>Резистор 56 Ом ±5% 0805</ns0:v>
      </ns0:c>
      <ns0:c r="L190" t="str" s="13">
        <ns0:v>R</ns0:v>
      </ns0:c>
      <ns0:c r="M190" t="str" s="13">
        <ns0:v>Symbols\MY_LIB_Resistors.SchLib</ns0:v>
      </ns0:c>
      <ns0:c r="N190" t="str" s="13">
        <ns0:v>RESC2012X70N</ns0:v>
      </ns0:c>
      <ns0:c r="O190" t="str" s="13">
        <ns0:v>Footprints\PBL - SMD Packages.PcbLib</ns0:v>
      </ns0:c>
      <ns0:c xmlns:ns0="http://schemas.openxmlformats.org/spreadsheetml/2006/main" r="P19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0" s="10"/>
      <ns0:c r="R190" t="str" s="11">
        <ns0:f>D190</ns0:f>
        <ns0:v>56 Ом</ns0:v>
      </ns0:c>
      <ns0:c r="S190" t="str" s="11">
        <ns0:f>K190</ns0:f>
        <ns0:v>Резистор 56 Ом ±5% 0805</ns0:v>
      </ns0:c>
      <x:c xmlns:x="http://schemas.openxmlformats.org/spreadsheetml/2006/main" r="T190" t="str" s="11">
        <x:v>C:\Users\Nomatin\Documents\Altium\MY_LIB\MY_LIB\Datasheets\YAGEO_RC_L.pdf</x:v>
      </x:c>
      <x:c xmlns:x="http://schemas.openxmlformats.org/spreadsheetml/2006/main" r="U190" t="str" s="11">
        <x:v>Даташит — локальный</x:v>
      </x:c>
      <x:c xmlns:x="http://schemas.openxmlformats.org/spreadsheetml/2006/main" r="V190" t="str" s="11">
        <x:v>C:\Users\Nomatin\Documents\Altium\MY_LIB\MY_LIB\Datasheets\YAGEO_RC_L.pdf</x:v>
      </x:c>
      <x:c xmlns:x="http://schemas.openxmlformats.org/spreadsheetml/2006/main" r="W190" t="str" s="11">
        <x:v>Даташит — производитель</x:v>
      </x:c>
      <x:c xmlns:x="http://schemas.openxmlformats.org/spreadsheetml/2006/main" r="X190" t="str" s="11">
        <x:v>https://yageogroup.com/content/datasheet/asset/file/PYU-RC_GROUP_51_ROHS_L</x:v>
      </x:c>
      <x:c xmlns:x="http://schemas.openxmlformats.org/spreadsheetml/2006/main" r="Y190" t="str" s="11">
        <x:v>C:\Users\Nomatin\Documents\Altium\MY_LIB\MY_LIB\Datasheets\YAGEO_RC_L.pdf</x:v>
      </x:c>
      <ns0:c xmlns:ns0="http://schemas.openxmlformats.org/spreadsheetml/2006/main" r="Z190" s="16" t="inlineStr">
        <ns0:is>
          <ns0:t>MY_LIB_R_TCR</ns0:t>
        </ns0:is>
      </ns0:c>
      <ns0:c xmlns:ns0="http://schemas.openxmlformats.org/spreadsheetml/2006/main" r="AA190" s="16" t="inlineStr">
        <ns0:is>
          <ns0:t>R(T), +100 ppm/C at 25 C; positive datasheet limit</ns0:t>
        </ns0:is>
      </ns0:c>
      <ns0:c xmlns:ns0="http://schemas.openxmlformats.org/spreadsheetml/2006/main" r="AB190" s="16" t="str">
        <ns0:v>General</ns0:v>
      </ns0:c>
      <ns0:c xmlns:ns0="http://schemas.openxmlformats.org/spreadsheetml/2006/main" r="AC190" s="16" t="inlineStr">
        <ns0:is>
          <ns0:t>Spice Subcircuit</ns0:t>
        </ns0:is>
      </ns0:c>
      <ns0:c xmlns:ns0="http://schemas.openxmlformats.org/spreadsheetml/2006/main" r="AD190" s="16" t="inlineStr">
        <ns0:is>
          <ns0:t>@DESIGNATOR %1 %2 @MODEL PARAMS: Rvalue=@VALUE TC1value=100u</ns0:t>
        </ns0:is>
      </ns0:c>
      <ns0:c xmlns:ns0="http://schemas.openxmlformats.org/spreadsheetml/2006/main" r="AE190" s="16" t="inlineStr">
        <ns0:is>
          <ns0:t>X</ns0:t>
        </ns0:is>
      </ns0:c>
      <ns0:c xmlns:ns0="http://schemas.openxmlformats.org/spreadsheetml/2006/main" r="AF190" s="16" t="str">
        <ns0:v>(1:1),(2:2)</ns0:v>
      </ns0:c>
      <ns0:c xmlns:ns0="http://schemas.openxmlformats.org/spreadsheetml/2006/main" r="AG190" s="16" t="inlineStr">
        <ns0:is>
          <ns0:t>Simulation\Resistors\MY_LIB_R_TCR.ckt</ns0:t>
        </ns0:is>
      </ns0:c>
      <ns0:c xmlns:ns0="http://schemas.openxmlformats.org/spreadsheetml/2006/main" r="AH190" s="16" t="inlineStr">
        <ns0:is>
          <ns0:t>±100 ppm/°C</ns0:t>
        </ns0:is>
      </ns0:c>
    </ns0:row>
    <ns0:row r="191" ht="30" customHeight="1">
      <ns0:c r="A191" t="str" s="10">
        <ns0:v>R0197</ns0:v>
      </ns0:c>
      <ns0:c r="B191" t="str" s="10">
        <ns0:v>Резистор</ns0:v>
      </ns0:c>
      <ns0:c r="C191" t="str" s="10">
        <ns0:v>62R</ns0:v>
      </ns0:c>
      <ns0:c r="D191" t="str" s="11">
        <ns0:f>SUBSTITUTE(SUBSTITUTE(SUBSTITUTE(SUBSTITUTE(C191,"meg"," МОм"),"k"," кОм"),"R"," Ом"),".",",")</ns0:f>
        <ns0:v>62 Ом</ns0:v>
      </ns0:c>
      <ns0:c r="E191" t="str" s="10">
        <ns0:v>±5%</ns0:v>
      </ns0:c>
      <ns0:c r="F191" t="str" s="10">
        <ns0:v>0,125 Вт</ns0:v>
      </ns0:c>
      <ns0:c r="G191" t="str" s="10">
        <ns0:v>150 В макс.</ns0:v>
      </ns0:c>
      <ns0:c r="H191" t="str" s="12">
        <ns0:v>0805</ns0:v>
      </ns0:c>
      <ns0:c r="I191" t="str" s="10">
        <ns0:v>YAGEO</ns0:v>
      </ns0:c>
      <ns0:c r="J191" t="str" s="10">
        <ns0:v>RC0805JR-0762RL</ns0:v>
      </ns0:c>
      <ns0:c r="K191" t="str" s="11">
        <ns0:f>B191&amp;" "&amp;D191&amp;" "&amp;E191&amp;" "&amp;H191</ns0:f>
        <ns0:v>Резистор 62 Ом ±5% 0805</ns0:v>
      </ns0:c>
      <ns0:c r="L191" t="str" s="13">
        <ns0:v>R</ns0:v>
      </ns0:c>
      <ns0:c r="M191" t="str" s="13">
        <ns0:v>Symbols\MY_LIB_Resistors.SchLib</ns0:v>
      </ns0:c>
      <ns0:c r="N191" t="str" s="13">
        <ns0:v>RESC2012X70N</ns0:v>
      </ns0:c>
      <ns0:c r="O191" t="str" s="13">
        <ns0:v>Footprints\PBL - SMD Packages.PcbLib</ns0:v>
      </ns0:c>
      <ns0:c xmlns:ns0="http://schemas.openxmlformats.org/spreadsheetml/2006/main" r="P19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1" s="10"/>
      <ns0:c r="R191" t="str" s="11">
        <ns0:f>D191</ns0:f>
        <ns0:v>62 Ом</ns0:v>
      </ns0:c>
      <ns0:c r="S191" t="str" s="11">
        <ns0:f>K191</ns0:f>
        <ns0:v>Резистор 62 Ом ±5% 0805</ns0:v>
      </ns0:c>
      <x:c xmlns:x="http://schemas.openxmlformats.org/spreadsheetml/2006/main" r="T191" t="str" s="11">
        <x:v>C:\Users\Nomatin\Documents\Altium\MY_LIB\MY_LIB\Datasheets\YAGEO_RC_L.pdf</x:v>
      </x:c>
      <x:c xmlns:x="http://schemas.openxmlformats.org/spreadsheetml/2006/main" r="U191" t="str" s="11">
        <x:v>Даташит — локальный</x:v>
      </x:c>
      <x:c xmlns:x="http://schemas.openxmlformats.org/spreadsheetml/2006/main" r="V191" t="str" s="11">
        <x:v>C:\Users\Nomatin\Documents\Altium\MY_LIB\MY_LIB\Datasheets\YAGEO_RC_L.pdf</x:v>
      </x:c>
      <x:c xmlns:x="http://schemas.openxmlformats.org/spreadsheetml/2006/main" r="W191" t="str" s="11">
        <x:v>Даташит — производитель</x:v>
      </x:c>
      <x:c xmlns:x="http://schemas.openxmlformats.org/spreadsheetml/2006/main" r="X191" t="str" s="11">
        <x:v>https://yageogroup.com/content/datasheet/asset/file/PYU-RC_GROUP_51_ROHS_L</x:v>
      </x:c>
      <x:c xmlns:x="http://schemas.openxmlformats.org/spreadsheetml/2006/main" r="Y191" t="str" s="11">
        <x:v>C:\Users\Nomatin\Documents\Altium\MY_LIB\MY_LIB\Datasheets\YAGEO_RC_L.pdf</x:v>
      </x:c>
      <ns0:c xmlns:ns0="http://schemas.openxmlformats.org/spreadsheetml/2006/main" r="Z191" s="16" t="inlineStr">
        <ns0:is>
          <ns0:t>MY_LIB_R_TCR</ns0:t>
        </ns0:is>
      </ns0:c>
      <ns0:c xmlns:ns0="http://schemas.openxmlformats.org/spreadsheetml/2006/main" r="AA191" s="16" t="inlineStr">
        <ns0:is>
          <ns0:t>R(T), +100 ppm/C at 25 C; positive datasheet limit</ns0:t>
        </ns0:is>
      </ns0:c>
      <ns0:c xmlns:ns0="http://schemas.openxmlformats.org/spreadsheetml/2006/main" r="AB191" s="16" t="str">
        <ns0:v>General</ns0:v>
      </ns0:c>
      <ns0:c xmlns:ns0="http://schemas.openxmlformats.org/spreadsheetml/2006/main" r="AC191" s="16" t="inlineStr">
        <ns0:is>
          <ns0:t>Spice Subcircuit</ns0:t>
        </ns0:is>
      </ns0:c>
      <ns0:c xmlns:ns0="http://schemas.openxmlformats.org/spreadsheetml/2006/main" r="AD191" s="16" t="inlineStr">
        <ns0:is>
          <ns0:t>@DESIGNATOR %1 %2 @MODEL PARAMS: Rvalue=@VALUE TC1value=100u</ns0:t>
        </ns0:is>
      </ns0:c>
      <ns0:c xmlns:ns0="http://schemas.openxmlformats.org/spreadsheetml/2006/main" r="AE191" s="16" t="inlineStr">
        <ns0:is>
          <ns0:t>X</ns0:t>
        </ns0:is>
      </ns0:c>
      <ns0:c xmlns:ns0="http://schemas.openxmlformats.org/spreadsheetml/2006/main" r="AF191" s="16" t="str">
        <ns0:v>(1:1),(2:2)</ns0:v>
      </ns0:c>
      <ns0:c xmlns:ns0="http://schemas.openxmlformats.org/spreadsheetml/2006/main" r="AG191" s="16" t="inlineStr">
        <ns0:is>
          <ns0:t>Simulation\Resistors\MY_LIB_R_TCR.ckt</ns0:t>
        </ns0:is>
      </ns0:c>
      <ns0:c xmlns:ns0="http://schemas.openxmlformats.org/spreadsheetml/2006/main" r="AH191" s="16" t="inlineStr">
        <ns0:is>
          <ns0:t>±100 ppm/°C</ns0:t>
        </ns0:is>
      </ns0:c>
    </ns0:row>
    <ns0:row r="192" ht="30" customHeight="1">
      <ns0:c r="A192" t="str" s="10">
        <ns0:v>R0198</ns0:v>
      </ns0:c>
      <ns0:c r="B192" t="str" s="10">
        <ns0:v>Резистор</ns0:v>
      </ns0:c>
      <ns0:c r="C192" t="str" s="10">
        <ns0:v>68R</ns0:v>
      </ns0:c>
      <ns0:c r="D192" t="str" s="11">
        <ns0:f>SUBSTITUTE(SUBSTITUTE(SUBSTITUTE(SUBSTITUTE(C192,"meg"," МОм"),"k"," кОм"),"R"," Ом"),".",",")</ns0:f>
        <ns0:v>68 Ом</ns0:v>
      </ns0:c>
      <ns0:c r="E192" t="str" s="10">
        <ns0:v>±5%</ns0:v>
      </ns0:c>
      <ns0:c r="F192" t="str" s="10">
        <ns0:v>0,125 Вт</ns0:v>
      </ns0:c>
      <ns0:c r="G192" t="str" s="10">
        <ns0:v>150 В макс.</ns0:v>
      </ns0:c>
      <ns0:c r="H192" t="str" s="12">
        <ns0:v>0805</ns0:v>
      </ns0:c>
      <ns0:c r="I192" t="str" s="10">
        <ns0:v>YAGEO</ns0:v>
      </ns0:c>
      <ns0:c r="J192" t="str" s="10">
        <ns0:v>RC0805JR-0768RL</ns0:v>
      </ns0:c>
      <ns0:c r="K192" t="str" s="11">
        <ns0:f>B192&amp;" "&amp;D192&amp;" "&amp;E192&amp;" "&amp;H192</ns0:f>
        <ns0:v>Резистор 68 Ом ±5% 0805</ns0:v>
      </ns0:c>
      <ns0:c r="L192" t="str" s="13">
        <ns0:v>R</ns0:v>
      </ns0:c>
      <ns0:c r="M192" t="str" s="13">
        <ns0:v>Symbols\MY_LIB_Resistors.SchLib</ns0:v>
      </ns0:c>
      <ns0:c r="N192" t="str" s="13">
        <ns0:v>RESC2012X70N</ns0:v>
      </ns0:c>
      <ns0:c r="O192" t="str" s="13">
        <ns0:v>Footprints\PBL - SMD Packages.PcbLib</ns0:v>
      </ns0:c>
      <ns0:c xmlns:ns0="http://schemas.openxmlformats.org/spreadsheetml/2006/main" r="P19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2" s="10"/>
      <ns0:c r="R192" t="str" s="11">
        <ns0:f>D192</ns0:f>
        <ns0:v>68 Ом</ns0:v>
      </ns0:c>
      <ns0:c r="S192" t="str" s="11">
        <ns0:f>K192</ns0:f>
        <ns0:v>Резистор 68 Ом ±5% 0805</ns0:v>
      </ns0:c>
      <x:c xmlns:x="http://schemas.openxmlformats.org/spreadsheetml/2006/main" r="T192" t="str" s="11">
        <x:v>C:\Users\Nomatin\Documents\Altium\MY_LIB\MY_LIB\Datasheets\YAGEO_RC_L.pdf</x:v>
      </x:c>
      <x:c xmlns:x="http://schemas.openxmlformats.org/spreadsheetml/2006/main" r="U192" t="str" s="11">
        <x:v>Даташит — локальный</x:v>
      </x:c>
      <x:c xmlns:x="http://schemas.openxmlformats.org/spreadsheetml/2006/main" r="V192" t="str" s="11">
        <x:v>C:\Users\Nomatin\Documents\Altium\MY_LIB\MY_LIB\Datasheets\YAGEO_RC_L.pdf</x:v>
      </x:c>
      <x:c xmlns:x="http://schemas.openxmlformats.org/spreadsheetml/2006/main" r="W192" t="str" s="11">
        <x:v>Даташит — производитель</x:v>
      </x:c>
      <x:c xmlns:x="http://schemas.openxmlformats.org/spreadsheetml/2006/main" r="X192" t="str" s="11">
        <x:v>https://yageogroup.com/content/datasheet/asset/file/PYU-RC_GROUP_51_ROHS_L</x:v>
      </x:c>
      <x:c xmlns:x="http://schemas.openxmlformats.org/spreadsheetml/2006/main" r="Y192" t="str" s="11">
        <x:v>C:\Users\Nomatin\Documents\Altium\MY_LIB\MY_LIB\Datasheets\YAGEO_RC_L.pdf</x:v>
      </x:c>
      <ns0:c xmlns:ns0="http://schemas.openxmlformats.org/spreadsheetml/2006/main" r="Z192" s="16" t="inlineStr">
        <ns0:is>
          <ns0:t>MY_LIB_R_TCR</ns0:t>
        </ns0:is>
      </ns0:c>
      <ns0:c xmlns:ns0="http://schemas.openxmlformats.org/spreadsheetml/2006/main" r="AA192" s="16" t="inlineStr">
        <ns0:is>
          <ns0:t>R(T), +100 ppm/C at 25 C; positive datasheet limit</ns0:t>
        </ns0:is>
      </ns0:c>
      <ns0:c xmlns:ns0="http://schemas.openxmlformats.org/spreadsheetml/2006/main" r="AB192" s="16" t="str">
        <ns0:v>General</ns0:v>
      </ns0:c>
      <ns0:c xmlns:ns0="http://schemas.openxmlformats.org/spreadsheetml/2006/main" r="AC192" s="16" t="inlineStr">
        <ns0:is>
          <ns0:t>Spice Subcircuit</ns0:t>
        </ns0:is>
      </ns0:c>
      <ns0:c xmlns:ns0="http://schemas.openxmlformats.org/spreadsheetml/2006/main" r="AD192" s="16" t="inlineStr">
        <ns0:is>
          <ns0:t>@DESIGNATOR %1 %2 @MODEL PARAMS: Rvalue=@VALUE TC1value=100u</ns0:t>
        </ns0:is>
      </ns0:c>
      <ns0:c xmlns:ns0="http://schemas.openxmlformats.org/spreadsheetml/2006/main" r="AE192" s="16" t="inlineStr">
        <ns0:is>
          <ns0:t>X</ns0:t>
        </ns0:is>
      </ns0:c>
      <ns0:c xmlns:ns0="http://schemas.openxmlformats.org/spreadsheetml/2006/main" r="AF192" s="16" t="str">
        <ns0:v>(1:1),(2:2)</ns0:v>
      </ns0:c>
      <ns0:c xmlns:ns0="http://schemas.openxmlformats.org/spreadsheetml/2006/main" r="AG192" s="16" t="inlineStr">
        <ns0:is>
          <ns0:t>Simulation\Resistors\MY_LIB_R_TCR.ckt</ns0:t>
        </ns0:is>
      </ns0:c>
      <ns0:c xmlns:ns0="http://schemas.openxmlformats.org/spreadsheetml/2006/main" r="AH192" s="16" t="inlineStr">
        <ns0:is>
          <ns0:t>±100 ppm/°C</ns0:t>
        </ns0:is>
      </ns0:c>
    </ns0:row>
    <ns0:row r="193" ht="30" customHeight="1">
      <ns0:c r="A193" t="str" s="10">
        <ns0:v>R0199</ns0:v>
      </ns0:c>
      <ns0:c r="B193" t="str" s="10">
        <ns0:v>Резистор</ns0:v>
      </ns0:c>
      <ns0:c r="C193" t="str" s="10">
        <ns0:v>75R</ns0:v>
      </ns0:c>
      <ns0:c r="D193" t="str" s="11">
        <ns0:f>SUBSTITUTE(SUBSTITUTE(SUBSTITUTE(SUBSTITUTE(C193,"meg"," МОм"),"k"," кОм"),"R"," Ом"),".",",")</ns0:f>
        <ns0:v>75 Ом</ns0:v>
      </ns0:c>
      <ns0:c r="E193" t="str" s="10">
        <ns0:v>±5%</ns0:v>
      </ns0:c>
      <ns0:c r="F193" t="str" s="10">
        <ns0:v>0,125 Вт</ns0:v>
      </ns0:c>
      <ns0:c r="G193" t="str" s="10">
        <ns0:v>150 В макс.</ns0:v>
      </ns0:c>
      <ns0:c r="H193" t="str" s="12">
        <ns0:v>0805</ns0:v>
      </ns0:c>
      <ns0:c r="I193" t="str" s="10">
        <ns0:v>YAGEO</ns0:v>
      </ns0:c>
      <ns0:c r="J193" t="str" s="10">
        <ns0:v>RC0805JR-0775RL</ns0:v>
      </ns0:c>
      <ns0:c r="K193" t="str" s="11">
        <ns0:f>B193&amp;" "&amp;D193&amp;" "&amp;E193&amp;" "&amp;H193</ns0:f>
        <ns0:v>Резистор 75 Ом ±5% 0805</ns0:v>
      </ns0:c>
      <ns0:c r="L193" t="str" s="13">
        <ns0:v>R</ns0:v>
      </ns0:c>
      <ns0:c r="M193" t="str" s="13">
        <ns0:v>Symbols\MY_LIB_Resistors.SchLib</ns0:v>
      </ns0:c>
      <ns0:c r="N193" t="str" s="13">
        <ns0:v>RESC2012X70N</ns0:v>
      </ns0:c>
      <ns0:c r="O193" t="str" s="13">
        <ns0:v>Footprints\PBL - SMD Packages.PcbLib</ns0:v>
      </ns0:c>
      <ns0:c xmlns:ns0="http://schemas.openxmlformats.org/spreadsheetml/2006/main" r="P19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3" s="10"/>
      <ns0:c r="R193" t="str" s="11">
        <ns0:f>D193</ns0:f>
        <ns0:v>75 Ом</ns0:v>
      </ns0:c>
      <ns0:c r="S193" t="str" s="11">
        <ns0:f>K193</ns0:f>
        <ns0:v>Резистор 75 Ом ±5% 0805</ns0:v>
      </ns0:c>
      <x:c xmlns:x="http://schemas.openxmlformats.org/spreadsheetml/2006/main" r="T193" t="str" s="11">
        <x:v>C:\Users\Nomatin\Documents\Altium\MY_LIB\MY_LIB\Datasheets\YAGEO_RC_L.pdf</x:v>
      </x:c>
      <x:c xmlns:x="http://schemas.openxmlformats.org/spreadsheetml/2006/main" r="U193" t="str" s="11">
        <x:v>Даташит — локальный</x:v>
      </x:c>
      <x:c xmlns:x="http://schemas.openxmlformats.org/spreadsheetml/2006/main" r="V193" t="str" s="11">
        <x:v>C:\Users\Nomatin\Documents\Altium\MY_LIB\MY_LIB\Datasheets\YAGEO_RC_L.pdf</x:v>
      </x:c>
      <x:c xmlns:x="http://schemas.openxmlformats.org/spreadsheetml/2006/main" r="W193" t="str" s="11">
        <x:v>Даташит — производитель</x:v>
      </x:c>
      <x:c xmlns:x="http://schemas.openxmlformats.org/spreadsheetml/2006/main" r="X193" t="str" s="11">
        <x:v>https://yageogroup.com/content/datasheet/asset/file/PYU-RC_GROUP_51_ROHS_L</x:v>
      </x:c>
      <x:c xmlns:x="http://schemas.openxmlformats.org/spreadsheetml/2006/main" r="Y193" t="str" s="11">
        <x:v>C:\Users\Nomatin\Documents\Altium\MY_LIB\MY_LIB\Datasheets\YAGEO_RC_L.pdf</x:v>
      </x:c>
      <ns0:c xmlns:ns0="http://schemas.openxmlformats.org/spreadsheetml/2006/main" r="Z193" s="16" t="inlineStr">
        <ns0:is>
          <ns0:t>MY_LIB_R_TCR</ns0:t>
        </ns0:is>
      </ns0:c>
      <ns0:c xmlns:ns0="http://schemas.openxmlformats.org/spreadsheetml/2006/main" r="AA193" s="16" t="inlineStr">
        <ns0:is>
          <ns0:t>R(T), +100 ppm/C at 25 C; positive datasheet limit</ns0:t>
        </ns0:is>
      </ns0:c>
      <ns0:c xmlns:ns0="http://schemas.openxmlformats.org/spreadsheetml/2006/main" r="AB193" s="16" t="str">
        <ns0:v>General</ns0:v>
      </ns0:c>
      <ns0:c xmlns:ns0="http://schemas.openxmlformats.org/spreadsheetml/2006/main" r="AC193" s="16" t="inlineStr">
        <ns0:is>
          <ns0:t>Spice Subcircuit</ns0:t>
        </ns0:is>
      </ns0:c>
      <ns0:c xmlns:ns0="http://schemas.openxmlformats.org/spreadsheetml/2006/main" r="AD193" s="16" t="inlineStr">
        <ns0:is>
          <ns0:t>@DESIGNATOR %1 %2 @MODEL PARAMS: Rvalue=@VALUE TC1value=100u</ns0:t>
        </ns0:is>
      </ns0:c>
      <ns0:c xmlns:ns0="http://schemas.openxmlformats.org/spreadsheetml/2006/main" r="AE193" s="16" t="inlineStr">
        <ns0:is>
          <ns0:t>X</ns0:t>
        </ns0:is>
      </ns0:c>
      <ns0:c xmlns:ns0="http://schemas.openxmlformats.org/spreadsheetml/2006/main" r="AF193" s="16" t="str">
        <ns0:v>(1:1),(2:2)</ns0:v>
      </ns0:c>
      <ns0:c xmlns:ns0="http://schemas.openxmlformats.org/spreadsheetml/2006/main" r="AG193" s="16" t="inlineStr">
        <ns0:is>
          <ns0:t>Simulation\Resistors\MY_LIB_R_TCR.ckt</ns0:t>
        </ns0:is>
      </ns0:c>
      <ns0:c xmlns:ns0="http://schemas.openxmlformats.org/spreadsheetml/2006/main" r="AH193" s="16" t="inlineStr">
        <ns0:is>
          <ns0:t>±100 ppm/°C</ns0:t>
        </ns0:is>
      </ns0:c>
    </ns0:row>
    <ns0:row r="194" ht="30" customHeight="1">
      <ns0:c r="A194" t="str" s="10">
        <ns0:v>R0200</ns0:v>
      </ns0:c>
      <ns0:c r="B194" t="str" s="10">
        <ns0:v>Резистор</ns0:v>
      </ns0:c>
      <ns0:c r="C194" t="str" s="10">
        <ns0:v>82R</ns0:v>
      </ns0:c>
      <ns0:c r="D194" t="str" s="11">
        <ns0:f>SUBSTITUTE(SUBSTITUTE(SUBSTITUTE(SUBSTITUTE(C194,"meg"," МОм"),"k"," кОм"),"R"," Ом"),".",",")</ns0:f>
        <ns0:v>82 Ом</ns0:v>
      </ns0:c>
      <ns0:c r="E194" t="str" s="10">
        <ns0:v>±5%</ns0:v>
      </ns0:c>
      <ns0:c r="F194" t="str" s="10">
        <ns0:v>0,125 Вт</ns0:v>
      </ns0:c>
      <ns0:c r="G194" t="str" s="10">
        <ns0:v>150 В макс.</ns0:v>
      </ns0:c>
      <ns0:c r="H194" t="str" s="12">
        <ns0:v>0805</ns0:v>
      </ns0:c>
      <ns0:c r="I194" t="str" s="10">
        <ns0:v>YAGEO</ns0:v>
      </ns0:c>
      <ns0:c r="J194" t="str" s="10">
        <ns0:v>RC0805JR-0782RL</ns0:v>
      </ns0:c>
      <ns0:c r="K194" t="str" s="11">
        <ns0:f>B194&amp;" "&amp;D194&amp;" "&amp;E194&amp;" "&amp;H194</ns0:f>
        <ns0:v>Резистор 82 Ом ±5% 0805</ns0:v>
      </ns0:c>
      <ns0:c r="L194" t="str" s="13">
        <ns0:v>R</ns0:v>
      </ns0:c>
      <ns0:c r="M194" t="str" s="13">
        <ns0:v>Symbols\MY_LIB_Resistors.SchLib</ns0:v>
      </ns0:c>
      <ns0:c r="N194" t="str" s="13">
        <ns0:v>RESC2012X70N</ns0:v>
      </ns0:c>
      <ns0:c r="O194" t="str" s="13">
        <ns0:v>Footprints\PBL - SMD Packages.PcbLib</ns0:v>
      </ns0:c>
      <ns0:c xmlns:ns0="http://schemas.openxmlformats.org/spreadsheetml/2006/main" r="P19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4" s="10"/>
      <ns0:c r="R194" t="str" s="11">
        <ns0:f>D194</ns0:f>
        <ns0:v>82 Ом</ns0:v>
      </ns0:c>
      <ns0:c r="S194" t="str" s="11">
        <ns0:f>K194</ns0:f>
        <ns0:v>Резистор 82 Ом ±5% 0805</ns0:v>
      </ns0:c>
      <x:c xmlns:x="http://schemas.openxmlformats.org/spreadsheetml/2006/main" r="T194" t="str" s="11">
        <x:v>C:\Users\Nomatin\Documents\Altium\MY_LIB\MY_LIB\Datasheets\YAGEO_RC_L.pdf</x:v>
      </x:c>
      <x:c xmlns:x="http://schemas.openxmlformats.org/spreadsheetml/2006/main" r="U194" t="str" s="11">
        <x:v>Даташит — локальный</x:v>
      </x:c>
      <x:c xmlns:x="http://schemas.openxmlformats.org/spreadsheetml/2006/main" r="V194" t="str" s="11">
        <x:v>C:\Users\Nomatin\Documents\Altium\MY_LIB\MY_LIB\Datasheets\YAGEO_RC_L.pdf</x:v>
      </x:c>
      <x:c xmlns:x="http://schemas.openxmlformats.org/spreadsheetml/2006/main" r="W194" t="str" s="11">
        <x:v>Даташит — производитель</x:v>
      </x:c>
      <x:c xmlns:x="http://schemas.openxmlformats.org/spreadsheetml/2006/main" r="X194" t="str" s="11">
        <x:v>https://yageogroup.com/content/datasheet/asset/file/PYU-RC_GROUP_51_ROHS_L</x:v>
      </x:c>
      <x:c xmlns:x="http://schemas.openxmlformats.org/spreadsheetml/2006/main" r="Y194" t="str" s="11">
        <x:v>C:\Users\Nomatin\Documents\Altium\MY_LIB\MY_LIB\Datasheets\YAGEO_RC_L.pdf</x:v>
      </x:c>
      <ns0:c xmlns:ns0="http://schemas.openxmlformats.org/spreadsheetml/2006/main" r="Z194" s="16" t="inlineStr">
        <ns0:is>
          <ns0:t>MY_LIB_R_TCR</ns0:t>
        </ns0:is>
      </ns0:c>
      <ns0:c xmlns:ns0="http://schemas.openxmlformats.org/spreadsheetml/2006/main" r="AA194" s="16" t="inlineStr">
        <ns0:is>
          <ns0:t>R(T), +100 ppm/C at 25 C; positive datasheet limit</ns0:t>
        </ns0:is>
      </ns0:c>
      <ns0:c xmlns:ns0="http://schemas.openxmlformats.org/spreadsheetml/2006/main" r="AB194" s="16" t="str">
        <ns0:v>General</ns0:v>
      </ns0:c>
      <ns0:c xmlns:ns0="http://schemas.openxmlformats.org/spreadsheetml/2006/main" r="AC194" s="16" t="inlineStr">
        <ns0:is>
          <ns0:t>Spice Subcircuit</ns0:t>
        </ns0:is>
      </ns0:c>
      <ns0:c xmlns:ns0="http://schemas.openxmlformats.org/spreadsheetml/2006/main" r="AD194" s="16" t="inlineStr">
        <ns0:is>
          <ns0:t>@DESIGNATOR %1 %2 @MODEL PARAMS: Rvalue=@VALUE TC1value=100u</ns0:t>
        </ns0:is>
      </ns0:c>
      <ns0:c xmlns:ns0="http://schemas.openxmlformats.org/spreadsheetml/2006/main" r="AE194" s="16" t="inlineStr">
        <ns0:is>
          <ns0:t>X</ns0:t>
        </ns0:is>
      </ns0:c>
      <ns0:c xmlns:ns0="http://schemas.openxmlformats.org/spreadsheetml/2006/main" r="AF194" s="16" t="str">
        <ns0:v>(1:1),(2:2)</ns0:v>
      </ns0:c>
      <ns0:c xmlns:ns0="http://schemas.openxmlformats.org/spreadsheetml/2006/main" r="AG194" s="16" t="inlineStr">
        <ns0:is>
          <ns0:t>Simulation\Resistors\MY_LIB_R_TCR.ckt</ns0:t>
        </ns0:is>
      </ns0:c>
      <ns0:c xmlns:ns0="http://schemas.openxmlformats.org/spreadsheetml/2006/main" r="AH194" s="16" t="inlineStr">
        <ns0:is>
          <ns0:t>±100 ppm/°C</ns0:t>
        </ns0:is>
      </ns0:c>
    </ns0:row>
    <ns0:row r="195" ht="30" customHeight="1">
      <ns0:c r="A195" t="str" s="10">
        <ns0:v>R0201</ns0:v>
      </ns0:c>
      <ns0:c r="B195" t="str" s="10">
        <ns0:v>Резистор</ns0:v>
      </ns0:c>
      <ns0:c r="C195" t="str" s="10">
        <ns0:v>91R</ns0:v>
      </ns0:c>
      <ns0:c r="D195" t="str" s="11">
        <ns0:f>SUBSTITUTE(SUBSTITUTE(SUBSTITUTE(SUBSTITUTE(C195,"meg"," МОм"),"k"," кОм"),"R"," Ом"),".",",")</ns0:f>
        <ns0:v>91 Ом</ns0:v>
      </ns0:c>
      <ns0:c r="E195" t="str" s="10">
        <ns0:v>±5%</ns0:v>
      </ns0:c>
      <ns0:c r="F195" t="str" s="10">
        <ns0:v>0,125 Вт</ns0:v>
      </ns0:c>
      <ns0:c r="G195" t="str" s="10">
        <ns0:v>150 В макс.</ns0:v>
      </ns0:c>
      <ns0:c r="H195" t="str" s="12">
        <ns0:v>0805</ns0:v>
      </ns0:c>
      <ns0:c r="I195" t="str" s="10">
        <ns0:v>YAGEO</ns0:v>
      </ns0:c>
      <ns0:c r="J195" t="str" s="10">
        <ns0:v>RC0805JR-0791RL</ns0:v>
      </ns0:c>
      <ns0:c r="K195" t="str" s="11">
        <ns0:f>B195&amp;" "&amp;D195&amp;" "&amp;E195&amp;" "&amp;H195</ns0:f>
        <ns0:v>Резистор 91 Ом ±5% 0805</ns0:v>
      </ns0:c>
      <ns0:c r="L195" t="str" s="13">
        <ns0:v>R</ns0:v>
      </ns0:c>
      <ns0:c r="M195" t="str" s="13">
        <ns0:v>Symbols\MY_LIB_Resistors.SchLib</ns0:v>
      </ns0:c>
      <ns0:c r="N195" t="str" s="13">
        <ns0:v>RESC2012X70N</ns0:v>
      </ns0:c>
      <ns0:c r="O195" t="str" s="13">
        <ns0:v>Footprints\PBL - SMD Packages.PcbLib</ns0:v>
      </ns0:c>
      <ns0:c xmlns:ns0="http://schemas.openxmlformats.org/spreadsheetml/2006/main" r="P19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5" s="10"/>
      <ns0:c r="R195" t="str" s="11">
        <ns0:f>D195</ns0:f>
        <ns0:v>91 Ом</ns0:v>
      </ns0:c>
      <ns0:c r="S195" t="str" s="11">
        <ns0:f>K195</ns0:f>
        <ns0:v>Резистор 91 Ом ±5% 0805</ns0:v>
      </ns0:c>
      <x:c xmlns:x="http://schemas.openxmlformats.org/spreadsheetml/2006/main" r="T195" t="str" s="11">
        <x:v>C:\Users\Nomatin\Documents\Altium\MY_LIB\MY_LIB\Datasheets\YAGEO_RC_L.pdf</x:v>
      </x:c>
      <x:c xmlns:x="http://schemas.openxmlformats.org/spreadsheetml/2006/main" r="U195" t="str" s="11">
        <x:v>Даташит — локальный</x:v>
      </x:c>
      <x:c xmlns:x="http://schemas.openxmlformats.org/spreadsheetml/2006/main" r="V195" t="str" s="11">
        <x:v>C:\Users\Nomatin\Documents\Altium\MY_LIB\MY_LIB\Datasheets\YAGEO_RC_L.pdf</x:v>
      </x:c>
      <x:c xmlns:x="http://schemas.openxmlformats.org/spreadsheetml/2006/main" r="W195" t="str" s="11">
        <x:v>Даташит — производитель</x:v>
      </x:c>
      <x:c xmlns:x="http://schemas.openxmlformats.org/spreadsheetml/2006/main" r="X195" t="str" s="11">
        <x:v>https://yageogroup.com/content/datasheet/asset/file/PYU-RC_GROUP_51_ROHS_L</x:v>
      </x:c>
      <x:c xmlns:x="http://schemas.openxmlformats.org/spreadsheetml/2006/main" r="Y195" t="str" s="11">
        <x:v>C:\Users\Nomatin\Documents\Altium\MY_LIB\MY_LIB\Datasheets\YAGEO_RC_L.pdf</x:v>
      </x:c>
      <ns0:c xmlns:ns0="http://schemas.openxmlformats.org/spreadsheetml/2006/main" r="Z195" s="16" t="inlineStr">
        <ns0:is>
          <ns0:t>MY_LIB_R_TCR</ns0:t>
        </ns0:is>
      </ns0:c>
      <ns0:c xmlns:ns0="http://schemas.openxmlformats.org/spreadsheetml/2006/main" r="AA195" s="16" t="inlineStr">
        <ns0:is>
          <ns0:t>R(T), +100 ppm/C at 25 C; positive datasheet limit</ns0:t>
        </ns0:is>
      </ns0:c>
      <ns0:c xmlns:ns0="http://schemas.openxmlformats.org/spreadsheetml/2006/main" r="AB195" s="16" t="str">
        <ns0:v>General</ns0:v>
      </ns0:c>
      <ns0:c xmlns:ns0="http://schemas.openxmlformats.org/spreadsheetml/2006/main" r="AC195" s="16" t="inlineStr">
        <ns0:is>
          <ns0:t>Spice Subcircuit</ns0:t>
        </ns0:is>
      </ns0:c>
      <ns0:c xmlns:ns0="http://schemas.openxmlformats.org/spreadsheetml/2006/main" r="AD195" s="16" t="inlineStr">
        <ns0:is>
          <ns0:t>@DESIGNATOR %1 %2 @MODEL PARAMS: Rvalue=@VALUE TC1value=100u</ns0:t>
        </ns0:is>
      </ns0:c>
      <ns0:c xmlns:ns0="http://schemas.openxmlformats.org/spreadsheetml/2006/main" r="AE195" s="16" t="inlineStr">
        <ns0:is>
          <ns0:t>X</ns0:t>
        </ns0:is>
      </ns0:c>
      <ns0:c xmlns:ns0="http://schemas.openxmlformats.org/spreadsheetml/2006/main" r="AF195" s="16" t="str">
        <ns0:v>(1:1),(2:2)</ns0:v>
      </ns0:c>
      <ns0:c xmlns:ns0="http://schemas.openxmlformats.org/spreadsheetml/2006/main" r="AG195" s="16" t="inlineStr">
        <ns0:is>
          <ns0:t>Simulation\Resistors\MY_LIB_R_TCR.ckt</ns0:t>
        </ns0:is>
      </ns0:c>
      <ns0:c xmlns:ns0="http://schemas.openxmlformats.org/spreadsheetml/2006/main" r="AH195" s="16" t="inlineStr">
        <ns0:is>
          <ns0:t>±100 ppm/°C</ns0:t>
        </ns0:is>
      </ns0:c>
    </ns0:row>
    <ns0:row r="196" ht="30" customHeight="1">
      <ns0:c r="A196" t="str" s="10">
        <ns0:v>R0202</ns0:v>
      </ns0:c>
      <ns0:c r="B196" t="str" s="10">
        <ns0:v>Резистор</ns0:v>
      </ns0:c>
      <ns0:c r="C196" t="str" s="10">
        <ns0:v>100R</ns0:v>
      </ns0:c>
      <ns0:c r="D196" t="str" s="11">
        <ns0:f>SUBSTITUTE(SUBSTITUTE(SUBSTITUTE(SUBSTITUTE(C196,"meg"," МОм"),"k"," кОм"),"R"," Ом"),".",",")</ns0:f>
        <ns0:v>100 Ом</ns0:v>
      </ns0:c>
      <ns0:c r="E196" t="str" s="10">
        <ns0:v>±5%</ns0:v>
      </ns0:c>
      <ns0:c r="F196" t="str" s="10">
        <ns0:v>0,125 Вт</ns0:v>
      </ns0:c>
      <ns0:c r="G196" t="str" s="10">
        <ns0:v>150 В макс.</ns0:v>
      </ns0:c>
      <ns0:c r="H196" t="str" s="12">
        <ns0:v>0805</ns0:v>
      </ns0:c>
      <ns0:c r="I196" t="str" s="10">
        <ns0:v>YAGEO</ns0:v>
      </ns0:c>
      <ns0:c r="J196" t="str" s="10">
        <ns0:v>RC0805JR-07100RL</ns0:v>
      </ns0:c>
      <ns0:c r="K196" t="str" s="11">
        <ns0:f>B196&amp;" "&amp;D196&amp;" "&amp;E196&amp;" "&amp;H196</ns0:f>
        <ns0:v>Резистор 100 Ом ±5% 0805</ns0:v>
      </ns0:c>
      <ns0:c r="L196" t="str" s="13">
        <ns0:v>R</ns0:v>
      </ns0:c>
      <ns0:c r="M196" t="str" s="13">
        <ns0:v>Symbols\MY_LIB_Resistors.SchLib</ns0:v>
      </ns0:c>
      <ns0:c r="N196" t="str" s="13">
        <ns0:v>RESC2012X70N</ns0:v>
      </ns0:c>
      <ns0:c r="O196" t="str" s="13">
        <ns0:v>Footprints\PBL - SMD Packages.PcbLib</ns0:v>
      </ns0:c>
      <ns0:c xmlns:ns0="http://schemas.openxmlformats.org/spreadsheetml/2006/main" r="P19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6" s="10"/>
      <ns0:c r="R196" t="str" s="11">
        <ns0:f>D196</ns0:f>
        <ns0:v>100 Ом</ns0:v>
      </ns0:c>
      <ns0:c r="S196" t="str" s="11">
        <ns0:f>K196</ns0:f>
        <ns0:v>Резистор 100 Ом ±5% 0805</ns0:v>
      </ns0:c>
      <x:c xmlns:x="http://schemas.openxmlformats.org/spreadsheetml/2006/main" r="T196" t="str" s="11">
        <x:v>C:\Users\Nomatin\Documents\Altium\MY_LIB\MY_LIB\Datasheets\YAGEO_RC_L.pdf</x:v>
      </x:c>
      <x:c xmlns:x="http://schemas.openxmlformats.org/spreadsheetml/2006/main" r="U196" t="str" s="11">
        <x:v>Даташит — локальный</x:v>
      </x:c>
      <x:c xmlns:x="http://schemas.openxmlformats.org/spreadsheetml/2006/main" r="V196" t="str" s="11">
        <x:v>C:\Users\Nomatin\Documents\Altium\MY_LIB\MY_LIB\Datasheets\YAGEO_RC_L.pdf</x:v>
      </x:c>
      <x:c xmlns:x="http://schemas.openxmlformats.org/spreadsheetml/2006/main" r="W196" t="str" s="11">
        <x:v>Даташит — производитель</x:v>
      </x:c>
      <x:c xmlns:x="http://schemas.openxmlformats.org/spreadsheetml/2006/main" r="X196" t="str" s="11">
        <x:v>https://yageogroup.com/content/datasheet/asset/file/PYU-RC_GROUP_51_ROHS_L</x:v>
      </x:c>
      <x:c xmlns:x="http://schemas.openxmlformats.org/spreadsheetml/2006/main" r="Y196" t="str" s="11">
        <x:v>C:\Users\Nomatin\Documents\Altium\MY_LIB\MY_LIB\Datasheets\YAGEO_RC_L.pdf</x:v>
      </x:c>
      <ns0:c xmlns:ns0="http://schemas.openxmlformats.org/spreadsheetml/2006/main" r="Z196" s="16" t="inlineStr">
        <ns0:is>
          <ns0:t>MY_LIB_R_TCR</ns0:t>
        </ns0:is>
      </ns0:c>
      <ns0:c xmlns:ns0="http://schemas.openxmlformats.org/spreadsheetml/2006/main" r="AA196" s="16" t="inlineStr">
        <ns0:is>
          <ns0:t>R(T), +100 ppm/C at 25 C; positive datasheet limit</ns0:t>
        </ns0:is>
      </ns0:c>
      <ns0:c xmlns:ns0="http://schemas.openxmlformats.org/spreadsheetml/2006/main" r="AB196" s="16" t="str">
        <ns0:v>General</ns0:v>
      </ns0:c>
      <ns0:c xmlns:ns0="http://schemas.openxmlformats.org/spreadsheetml/2006/main" r="AC196" s="16" t="inlineStr">
        <ns0:is>
          <ns0:t>Spice Subcircuit</ns0:t>
        </ns0:is>
      </ns0:c>
      <ns0:c xmlns:ns0="http://schemas.openxmlformats.org/spreadsheetml/2006/main" r="AD196" s="16" t="inlineStr">
        <ns0:is>
          <ns0:t>@DESIGNATOR %1 %2 @MODEL PARAMS: Rvalue=@VALUE TC1value=100u</ns0:t>
        </ns0:is>
      </ns0:c>
      <ns0:c xmlns:ns0="http://schemas.openxmlformats.org/spreadsheetml/2006/main" r="AE196" s="16" t="inlineStr">
        <ns0:is>
          <ns0:t>X</ns0:t>
        </ns0:is>
      </ns0:c>
      <ns0:c xmlns:ns0="http://schemas.openxmlformats.org/spreadsheetml/2006/main" r="AF196" s="16" t="str">
        <ns0:v>(1:1),(2:2)</ns0:v>
      </ns0:c>
      <ns0:c xmlns:ns0="http://schemas.openxmlformats.org/spreadsheetml/2006/main" r="AG196" s="16" t="inlineStr">
        <ns0:is>
          <ns0:t>Simulation\Resistors\MY_LIB_R_TCR.ckt</ns0:t>
        </ns0:is>
      </ns0:c>
      <ns0:c xmlns:ns0="http://schemas.openxmlformats.org/spreadsheetml/2006/main" r="AH196" s="16" t="inlineStr">
        <ns0:is>
          <ns0:t>±100 ppm/°C</ns0:t>
        </ns0:is>
      </ns0:c>
    </ns0:row>
    <ns0:row r="197" ht="30" customHeight="1">
      <ns0:c r="A197" t="str" s="10">
        <ns0:v>R0203</ns0:v>
      </ns0:c>
      <ns0:c r="B197" t="str" s="10">
        <ns0:v>Резистор</ns0:v>
      </ns0:c>
      <ns0:c r="C197" t="str" s="10">
        <ns0:v>110R</ns0:v>
      </ns0:c>
      <ns0:c r="D197" t="str" s="11">
        <ns0:f>SUBSTITUTE(SUBSTITUTE(SUBSTITUTE(SUBSTITUTE(C197,"meg"," МОм"),"k"," кОм"),"R"," Ом"),".",",")</ns0:f>
        <ns0:v>110 Ом</ns0:v>
      </ns0:c>
      <ns0:c r="E197" t="str" s="10">
        <ns0:v>±5%</ns0:v>
      </ns0:c>
      <ns0:c r="F197" t="str" s="10">
        <ns0:v>0,125 Вт</ns0:v>
      </ns0:c>
      <ns0:c r="G197" t="str" s="10">
        <ns0:v>150 В макс.</ns0:v>
      </ns0:c>
      <ns0:c r="H197" t="str" s="12">
        <ns0:v>0805</ns0:v>
      </ns0:c>
      <ns0:c r="I197" t="str" s="10">
        <ns0:v>YAGEO</ns0:v>
      </ns0:c>
      <ns0:c r="J197" t="str" s="10">
        <ns0:v>RC0805JR-07110RL</ns0:v>
      </ns0:c>
      <ns0:c r="K197" t="str" s="11">
        <ns0:f>B197&amp;" "&amp;D197&amp;" "&amp;E197&amp;" "&amp;H197</ns0:f>
        <ns0:v>Резистор 110 Ом ±5% 0805</ns0:v>
      </ns0:c>
      <ns0:c r="L197" t="str" s="13">
        <ns0:v>R</ns0:v>
      </ns0:c>
      <ns0:c r="M197" t="str" s="13">
        <ns0:v>Symbols\MY_LIB_Resistors.SchLib</ns0:v>
      </ns0:c>
      <ns0:c r="N197" t="str" s="13">
        <ns0:v>RESC2012X70N</ns0:v>
      </ns0:c>
      <ns0:c r="O197" t="str" s="13">
        <ns0:v>Footprints\PBL - SMD Packages.PcbLib</ns0:v>
      </ns0:c>
      <ns0:c xmlns:ns0="http://schemas.openxmlformats.org/spreadsheetml/2006/main" r="P19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7" s="10"/>
      <ns0:c r="R197" t="str" s="11">
        <ns0:f>D197</ns0:f>
        <ns0:v>110 Ом</ns0:v>
      </ns0:c>
      <ns0:c r="S197" t="str" s="11">
        <ns0:f>K197</ns0:f>
        <ns0:v>Резистор 110 Ом ±5% 0805</ns0:v>
      </ns0:c>
      <x:c xmlns:x="http://schemas.openxmlformats.org/spreadsheetml/2006/main" r="T197" t="str" s="11">
        <x:v>C:\Users\Nomatin\Documents\Altium\MY_LIB\MY_LIB\Datasheets\YAGEO_RC_L.pdf</x:v>
      </x:c>
      <x:c xmlns:x="http://schemas.openxmlformats.org/spreadsheetml/2006/main" r="U197" t="str" s="11">
        <x:v>Даташит — локальный</x:v>
      </x:c>
      <x:c xmlns:x="http://schemas.openxmlformats.org/spreadsheetml/2006/main" r="V197" t="str" s="11">
        <x:v>C:\Users\Nomatin\Documents\Altium\MY_LIB\MY_LIB\Datasheets\YAGEO_RC_L.pdf</x:v>
      </x:c>
      <x:c xmlns:x="http://schemas.openxmlformats.org/spreadsheetml/2006/main" r="W197" t="str" s="11">
        <x:v>Даташит — производитель</x:v>
      </x:c>
      <x:c xmlns:x="http://schemas.openxmlformats.org/spreadsheetml/2006/main" r="X197" t="str" s="11">
        <x:v>https://yageogroup.com/content/datasheet/asset/file/PYU-RC_GROUP_51_ROHS_L</x:v>
      </x:c>
      <x:c xmlns:x="http://schemas.openxmlformats.org/spreadsheetml/2006/main" r="Y197" t="str" s="11">
        <x:v>C:\Users\Nomatin\Documents\Altium\MY_LIB\MY_LIB\Datasheets\YAGEO_RC_L.pdf</x:v>
      </x:c>
      <ns0:c xmlns:ns0="http://schemas.openxmlformats.org/spreadsheetml/2006/main" r="Z197" s="16" t="inlineStr">
        <ns0:is>
          <ns0:t>MY_LIB_R_TCR</ns0:t>
        </ns0:is>
      </ns0:c>
      <ns0:c xmlns:ns0="http://schemas.openxmlformats.org/spreadsheetml/2006/main" r="AA197" s="16" t="inlineStr">
        <ns0:is>
          <ns0:t>R(T), +100 ppm/C at 25 C; positive datasheet limit</ns0:t>
        </ns0:is>
      </ns0:c>
      <ns0:c xmlns:ns0="http://schemas.openxmlformats.org/spreadsheetml/2006/main" r="AB197" s="16" t="str">
        <ns0:v>General</ns0:v>
      </ns0:c>
      <ns0:c xmlns:ns0="http://schemas.openxmlformats.org/spreadsheetml/2006/main" r="AC197" s="16" t="inlineStr">
        <ns0:is>
          <ns0:t>Spice Subcircuit</ns0:t>
        </ns0:is>
      </ns0:c>
      <ns0:c xmlns:ns0="http://schemas.openxmlformats.org/spreadsheetml/2006/main" r="AD197" s="16" t="inlineStr">
        <ns0:is>
          <ns0:t>@DESIGNATOR %1 %2 @MODEL PARAMS: Rvalue=@VALUE TC1value=100u</ns0:t>
        </ns0:is>
      </ns0:c>
      <ns0:c xmlns:ns0="http://schemas.openxmlformats.org/spreadsheetml/2006/main" r="AE197" s="16" t="inlineStr">
        <ns0:is>
          <ns0:t>X</ns0:t>
        </ns0:is>
      </ns0:c>
      <ns0:c xmlns:ns0="http://schemas.openxmlformats.org/spreadsheetml/2006/main" r="AF197" s="16" t="str">
        <ns0:v>(1:1),(2:2)</ns0:v>
      </ns0:c>
      <ns0:c xmlns:ns0="http://schemas.openxmlformats.org/spreadsheetml/2006/main" r="AG197" s="16" t="inlineStr">
        <ns0:is>
          <ns0:t>Simulation\Resistors\MY_LIB_R_TCR.ckt</ns0:t>
        </ns0:is>
      </ns0:c>
      <ns0:c xmlns:ns0="http://schemas.openxmlformats.org/spreadsheetml/2006/main" r="AH197" s="16" t="inlineStr">
        <ns0:is>
          <ns0:t>±100 ppm/°C</ns0:t>
        </ns0:is>
      </ns0:c>
    </ns0:row>
    <ns0:row r="198" ht="30" customHeight="1">
      <ns0:c r="A198" t="str" s="10">
        <ns0:v>R0204</ns0:v>
      </ns0:c>
      <ns0:c r="B198" t="str" s="10">
        <ns0:v>Резистор</ns0:v>
      </ns0:c>
      <ns0:c r="C198" t="str" s="10">
        <ns0:v>120R</ns0:v>
      </ns0:c>
      <ns0:c r="D198" t="str" s="11">
        <ns0:f>SUBSTITUTE(SUBSTITUTE(SUBSTITUTE(SUBSTITUTE(C198,"meg"," МОм"),"k"," кОм"),"R"," Ом"),".",",")</ns0:f>
        <ns0:v>120 Ом</ns0:v>
      </ns0:c>
      <ns0:c r="E198" t="str" s="10">
        <ns0:v>±5%</ns0:v>
      </ns0:c>
      <ns0:c r="F198" t="str" s="10">
        <ns0:v>0,125 Вт</ns0:v>
      </ns0:c>
      <ns0:c r="G198" t="str" s="10">
        <ns0:v>150 В макс.</ns0:v>
      </ns0:c>
      <ns0:c r="H198" t="str" s="12">
        <ns0:v>0805</ns0:v>
      </ns0:c>
      <ns0:c r="I198" t="str" s="10">
        <ns0:v>YAGEO</ns0:v>
      </ns0:c>
      <ns0:c r="J198" t="str" s="10">
        <ns0:v>RC0805JR-07120RL</ns0:v>
      </ns0:c>
      <ns0:c r="K198" t="str" s="11">
        <ns0:f>B198&amp;" "&amp;D198&amp;" "&amp;E198&amp;" "&amp;H198</ns0:f>
        <ns0:v>Резистор 120 Ом ±5% 0805</ns0:v>
      </ns0:c>
      <ns0:c r="L198" t="str" s="13">
        <ns0:v>R</ns0:v>
      </ns0:c>
      <ns0:c r="M198" t="str" s="13">
        <ns0:v>Symbols\MY_LIB_Resistors.SchLib</ns0:v>
      </ns0:c>
      <ns0:c r="N198" t="str" s="13">
        <ns0:v>RESC2012X70N</ns0:v>
      </ns0:c>
      <ns0:c r="O198" t="str" s="13">
        <ns0:v>Footprints\PBL - SMD Packages.PcbLib</ns0:v>
      </ns0:c>
      <ns0:c xmlns:ns0="http://schemas.openxmlformats.org/spreadsheetml/2006/main" r="P19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8" s="10"/>
      <ns0:c r="R198" t="str" s="11">
        <ns0:f>D198</ns0:f>
        <ns0:v>120 Ом</ns0:v>
      </ns0:c>
      <ns0:c r="S198" t="str" s="11">
        <ns0:f>K198</ns0:f>
        <ns0:v>Резистор 120 Ом ±5% 0805</ns0:v>
      </ns0:c>
      <x:c xmlns:x="http://schemas.openxmlformats.org/spreadsheetml/2006/main" r="T198" t="str" s="11">
        <x:v>C:\Users\Nomatin\Documents\Altium\MY_LIB\MY_LIB\Datasheets\YAGEO_RC_L.pdf</x:v>
      </x:c>
      <x:c xmlns:x="http://schemas.openxmlformats.org/spreadsheetml/2006/main" r="U198" t="str" s="11">
        <x:v>Даташит — локальный</x:v>
      </x:c>
      <x:c xmlns:x="http://schemas.openxmlformats.org/spreadsheetml/2006/main" r="V198" t="str" s="11">
        <x:v>C:\Users\Nomatin\Documents\Altium\MY_LIB\MY_LIB\Datasheets\YAGEO_RC_L.pdf</x:v>
      </x:c>
      <x:c xmlns:x="http://schemas.openxmlformats.org/spreadsheetml/2006/main" r="W198" t="str" s="11">
        <x:v>Даташит — производитель</x:v>
      </x:c>
      <x:c xmlns:x="http://schemas.openxmlformats.org/spreadsheetml/2006/main" r="X198" t="str" s="11">
        <x:v>https://yageogroup.com/content/datasheet/asset/file/PYU-RC_GROUP_51_ROHS_L</x:v>
      </x:c>
      <x:c xmlns:x="http://schemas.openxmlformats.org/spreadsheetml/2006/main" r="Y198" t="str" s="11">
        <x:v>C:\Users\Nomatin\Documents\Altium\MY_LIB\MY_LIB\Datasheets\YAGEO_RC_L.pdf</x:v>
      </x:c>
      <ns0:c xmlns:ns0="http://schemas.openxmlformats.org/spreadsheetml/2006/main" r="Z198" s="16" t="inlineStr">
        <ns0:is>
          <ns0:t>MY_LIB_R_TCR</ns0:t>
        </ns0:is>
      </ns0:c>
      <ns0:c xmlns:ns0="http://schemas.openxmlformats.org/spreadsheetml/2006/main" r="AA198" s="16" t="inlineStr">
        <ns0:is>
          <ns0:t>R(T), +100 ppm/C at 25 C; positive datasheet limit</ns0:t>
        </ns0:is>
      </ns0:c>
      <ns0:c xmlns:ns0="http://schemas.openxmlformats.org/spreadsheetml/2006/main" r="AB198" s="16" t="str">
        <ns0:v>General</ns0:v>
      </ns0:c>
      <ns0:c xmlns:ns0="http://schemas.openxmlformats.org/spreadsheetml/2006/main" r="AC198" s="16" t="inlineStr">
        <ns0:is>
          <ns0:t>Spice Subcircuit</ns0:t>
        </ns0:is>
      </ns0:c>
      <ns0:c xmlns:ns0="http://schemas.openxmlformats.org/spreadsheetml/2006/main" r="AD198" s="16" t="inlineStr">
        <ns0:is>
          <ns0:t>@DESIGNATOR %1 %2 @MODEL PARAMS: Rvalue=@VALUE TC1value=100u</ns0:t>
        </ns0:is>
      </ns0:c>
      <ns0:c xmlns:ns0="http://schemas.openxmlformats.org/spreadsheetml/2006/main" r="AE198" s="16" t="inlineStr">
        <ns0:is>
          <ns0:t>X</ns0:t>
        </ns0:is>
      </ns0:c>
      <ns0:c xmlns:ns0="http://schemas.openxmlformats.org/spreadsheetml/2006/main" r="AF198" s="16" t="str">
        <ns0:v>(1:1),(2:2)</ns0:v>
      </ns0:c>
      <ns0:c xmlns:ns0="http://schemas.openxmlformats.org/spreadsheetml/2006/main" r="AG198" s="16" t="inlineStr">
        <ns0:is>
          <ns0:t>Simulation\Resistors\MY_LIB_R_TCR.ckt</ns0:t>
        </ns0:is>
      </ns0:c>
      <ns0:c xmlns:ns0="http://schemas.openxmlformats.org/spreadsheetml/2006/main" r="AH198" s="16" t="inlineStr">
        <ns0:is>
          <ns0:t>±100 ppm/°C</ns0:t>
        </ns0:is>
      </ns0:c>
    </ns0:row>
    <ns0:row r="199" ht="30" customHeight="1">
      <ns0:c r="A199" t="str" s="10">
        <ns0:v>R0205</ns0:v>
      </ns0:c>
      <ns0:c r="B199" t="str" s="10">
        <ns0:v>Резистор</ns0:v>
      </ns0:c>
      <ns0:c r="C199" t="str" s="10">
        <ns0:v>130R</ns0:v>
      </ns0:c>
      <ns0:c r="D199" t="str" s="11">
        <ns0:f>SUBSTITUTE(SUBSTITUTE(SUBSTITUTE(SUBSTITUTE(C199,"meg"," МОм"),"k"," кОм"),"R"," Ом"),".",",")</ns0:f>
        <ns0:v>130 Ом</ns0:v>
      </ns0:c>
      <ns0:c r="E199" t="str" s="10">
        <ns0:v>±5%</ns0:v>
      </ns0:c>
      <ns0:c r="F199" t="str" s="10">
        <ns0:v>0,125 Вт</ns0:v>
      </ns0:c>
      <ns0:c r="G199" t="str" s="10">
        <ns0:v>150 В макс.</ns0:v>
      </ns0:c>
      <ns0:c r="H199" t="str" s="12">
        <ns0:v>0805</ns0:v>
      </ns0:c>
      <ns0:c r="I199" t="str" s="10">
        <ns0:v>YAGEO</ns0:v>
      </ns0:c>
      <ns0:c r="J199" t="str" s="10">
        <ns0:v>RC0805JR-07130RL</ns0:v>
      </ns0:c>
      <ns0:c r="K199" t="str" s="11">
        <ns0:f>B199&amp;" "&amp;D199&amp;" "&amp;E199&amp;" "&amp;H199</ns0:f>
        <ns0:v>Резистор 130 Ом ±5% 0805</ns0:v>
      </ns0:c>
      <ns0:c r="L199" t="str" s="13">
        <ns0:v>R</ns0:v>
      </ns0:c>
      <ns0:c r="M199" t="str" s="13">
        <ns0:v>Symbols\MY_LIB_Resistors.SchLib</ns0:v>
      </ns0:c>
      <ns0:c r="N199" t="str" s="13">
        <ns0:v>RESC2012X70N</ns0:v>
      </ns0:c>
      <ns0:c r="O199" t="str" s="13">
        <ns0:v>Footprints\PBL - SMD Packages.PcbLib</ns0:v>
      </ns0:c>
      <ns0:c xmlns:ns0="http://schemas.openxmlformats.org/spreadsheetml/2006/main" r="P19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199" s="10"/>
      <ns0:c r="R199" t="str" s="11">
        <ns0:f>D199</ns0:f>
        <ns0:v>130 Ом</ns0:v>
      </ns0:c>
      <ns0:c r="S199" t="str" s="11">
        <ns0:f>K199</ns0:f>
        <ns0:v>Резистор 130 Ом ±5% 0805</ns0:v>
      </ns0:c>
      <x:c xmlns:x="http://schemas.openxmlformats.org/spreadsheetml/2006/main" r="T199" t="str" s="11">
        <x:v>C:\Users\Nomatin\Documents\Altium\MY_LIB\MY_LIB\Datasheets\YAGEO_RC_L.pdf</x:v>
      </x:c>
      <x:c xmlns:x="http://schemas.openxmlformats.org/spreadsheetml/2006/main" r="U199" t="str" s="11">
        <x:v>Даташит — локальный</x:v>
      </x:c>
      <x:c xmlns:x="http://schemas.openxmlformats.org/spreadsheetml/2006/main" r="V199" t="str" s="11">
        <x:v>C:\Users\Nomatin\Documents\Altium\MY_LIB\MY_LIB\Datasheets\YAGEO_RC_L.pdf</x:v>
      </x:c>
      <x:c xmlns:x="http://schemas.openxmlformats.org/spreadsheetml/2006/main" r="W199" t="str" s="11">
        <x:v>Даташит — производитель</x:v>
      </x:c>
      <x:c xmlns:x="http://schemas.openxmlformats.org/spreadsheetml/2006/main" r="X199" t="str" s="11">
        <x:v>https://yageogroup.com/content/datasheet/asset/file/PYU-RC_GROUP_51_ROHS_L</x:v>
      </x:c>
      <x:c xmlns:x="http://schemas.openxmlformats.org/spreadsheetml/2006/main" r="Y199" t="str" s="11">
        <x:v>C:\Users\Nomatin\Documents\Altium\MY_LIB\MY_LIB\Datasheets\YAGEO_RC_L.pdf</x:v>
      </x:c>
      <ns0:c xmlns:ns0="http://schemas.openxmlformats.org/spreadsheetml/2006/main" r="Z199" s="16" t="inlineStr">
        <ns0:is>
          <ns0:t>MY_LIB_R_TCR</ns0:t>
        </ns0:is>
      </ns0:c>
      <ns0:c xmlns:ns0="http://schemas.openxmlformats.org/spreadsheetml/2006/main" r="AA199" s="16" t="inlineStr">
        <ns0:is>
          <ns0:t>R(T), +100 ppm/C at 25 C; positive datasheet limit</ns0:t>
        </ns0:is>
      </ns0:c>
      <ns0:c xmlns:ns0="http://schemas.openxmlformats.org/spreadsheetml/2006/main" r="AB199" s="16" t="str">
        <ns0:v>General</ns0:v>
      </ns0:c>
      <ns0:c xmlns:ns0="http://schemas.openxmlformats.org/spreadsheetml/2006/main" r="AC199" s="16" t="inlineStr">
        <ns0:is>
          <ns0:t>Spice Subcircuit</ns0:t>
        </ns0:is>
      </ns0:c>
      <ns0:c xmlns:ns0="http://schemas.openxmlformats.org/spreadsheetml/2006/main" r="AD199" s="16" t="inlineStr">
        <ns0:is>
          <ns0:t>@DESIGNATOR %1 %2 @MODEL PARAMS: Rvalue=@VALUE TC1value=100u</ns0:t>
        </ns0:is>
      </ns0:c>
      <ns0:c xmlns:ns0="http://schemas.openxmlformats.org/spreadsheetml/2006/main" r="AE199" s="16" t="inlineStr">
        <ns0:is>
          <ns0:t>X</ns0:t>
        </ns0:is>
      </ns0:c>
      <ns0:c xmlns:ns0="http://schemas.openxmlformats.org/spreadsheetml/2006/main" r="AF199" s="16" t="str">
        <ns0:v>(1:1),(2:2)</ns0:v>
      </ns0:c>
      <ns0:c xmlns:ns0="http://schemas.openxmlformats.org/spreadsheetml/2006/main" r="AG199" s="16" t="inlineStr">
        <ns0:is>
          <ns0:t>Simulation\Resistors\MY_LIB_R_TCR.ckt</ns0:t>
        </ns0:is>
      </ns0:c>
      <ns0:c xmlns:ns0="http://schemas.openxmlformats.org/spreadsheetml/2006/main" r="AH199" s="16" t="inlineStr">
        <ns0:is>
          <ns0:t>±100 ppm/°C</ns0:t>
        </ns0:is>
      </ns0:c>
    </ns0:row>
    <ns0:row r="200" ht="30" customHeight="1">
      <ns0:c r="A200" t="str" s="10">
        <ns0:v>R0206</ns0:v>
      </ns0:c>
      <ns0:c r="B200" t="str" s="10">
        <ns0:v>Резистор</ns0:v>
      </ns0:c>
      <ns0:c r="C200" t="str" s="10">
        <ns0:v>150R</ns0:v>
      </ns0:c>
      <ns0:c r="D200" t="str" s="11">
        <ns0:f>SUBSTITUTE(SUBSTITUTE(SUBSTITUTE(SUBSTITUTE(C200,"meg"," МОм"),"k"," кОм"),"R"," Ом"),".",",")</ns0:f>
        <ns0:v>150 Ом</ns0:v>
      </ns0:c>
      <ns0:c r="E200" t="str" s="10">
        <ns0:v>±5%</ns0:v>
      </ns0:c>
      <ns0:c r="F200" t="str" s="10">
        <ns0:v>0,125 Вт</ns0:v>
      </ns0:c>
      <ns0:c r="G200" t="str" s="10">
        <ns0:v>150 В макс.</ns0:v>
      </ns0:c>
      <ns0:c r="H200" t="str" s="12">
        <ns0:v>0805</ns0:v>
      </ns0:c>
      <ns0:c r="I200" t="str" s="10">
        <ns0:v>YAGEO</ns0:v>
      </ns0:c>
      <ns0:c r="J200" t="str" s="10">
        <ns0:v>RC0805JR-07150RL</ns0:v>
      </ns0:c>
      <ns0:c r="K200" t="str" s="11">
        <ns0:f>B200&amp;" "&amp;D200&amp;" "&amp;E200&amp;" "&amp;H200</ns0:f>
        <ns0:v>Резистор 150 Ом ±5% 0805</ns0:v>
      </ns0:c>
      <ns0:c r="L200" t="str" s="13">
        <ns0:v>R</ns0:v>
      </ns0:c>
      <ns0:c r="M200" t="str" s="13">
        <ns0:v>Symbols\MY_LIB_Resistors.SchLib</ns0:v>
      </ns0:c>
      <ns0:c r="N200" t="str" s="13">
        <ns0:v>RESC2012X70N</ns0:v>
      </ns0:c>
      <ns0:c r="O200" t="str" s="13">
        <ns0:v>Footprints\PBL - SMD Packages.PcbLib</ns0:v>
      </ns0:c>
      <ns0:c xmlns:ns0="http://schemas.openxmlformats.org/spreadsheetml/2006/main" r="P20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0" s="10"/>
      <ns0:c r="R200" t="str" s="11">
        <ns0:f>D200</ns0:f>
        <ns0:v>150 Ом</ns0:v>
      </ns0:c>
      <ns0:c r="S200" t="str" s="11">
        <ns0:f>K200</ns0:f>
        <ns0:v>Резистор 150 Ом ±5% 0805</ns0:v>
      </ns0:c>
      <x:c xmlns:x="http://schemas.openxmlformats.org/spreadsheetml/2006/main" r="T200" t="str" s="11">
        <x:v>C:\Users\Nomatin\Documents\Altium\MY_LIB\MY_LIB\Datasheets\YAGEO_RC_L.pdf</x:v>
      </x:c>
      <x:c xmlns:x="http://schemas.openxmlformats.org/spreadsheetml/2006/main" r="U200" t="str" s="11">
        <x:v>Даташит — локальный</x:v>
      </x:c>
      <x:c xmlns:x="http://schemas.openxmlformats.org/spreadsheetml/2006/main" r="V200" t="str" s="11">
        <x:v>C:\Users\Nomatin\Documents\Altium\MY_LIB\MY_LIB\Datasheets\YAGEO_RC_L.pdf</x:v>
      </x:c>
      <x:c xmlns:x="http://schemas.openxmlformats.org/spreadsheetml/2006/main" r="W200" t="str" s="11">
        <x:v>Даташит — производитель</x:v>
      </x:c>
      <x:c xmlns:x="http://schemas.openxmlformats.org/spreadsheetml/2006/main" r="X200" t="str" s="11">
        <x:v>https://yageogroup.com/content/datasheet/asset/file/PYU-RC_GROUP_51_ROHS_L</x:v>
      </x:c>
      <x:c xmlns:x="http://schemas.openxmlformats.org/spreadsheetml/2006/main" r="Y200" t="str" s="11">
        <x:v>C:\Users\Nomatin\Documents\Altium\MY_LIB\MY_LIB\Datasheets\YAGEO_RC_L.pdf</x:v>
      </x:c>
      <ns0:c xmlns:ns0="http://schemas.openxmlformats.org/spreadsheetml/2006/main" r="Z200" s="16" t="inlineStr">
        <ns0:is>
          <ns0:t>MY_LIB_R_TCR</ns0:t>
        </ns0:is>
      </ns0:c>
      <ns0:c xmlns:ns0="http://schemas.openxmlformats.org/spreadsheetml/2006/main" r="AA200" s="16" t="inlineStr">
        <ns0:is>
          <ns0:t>R(T), +100 ppm/C at 25 C; positive datasheet limit</ns0:t>
        </ns0:is>
      </ns0:c>
      <ns0:c xmlns:ns0="http://schemas.openxmlformats.org/spreadsheetml/2006/main" r="AB200" s="16" t="str">
        <ns0:v>General</ns0:v>
      </ns0:c>
      <ns0:c xmlns:ns0="http://schemas.openxmlformats.org/spreadsheetml/2006/main" r="AC200" s="16" t="inlineStr">
        <ns0:is>
          <ns0:t>Spice Subcircuit</ns0:t>
        </ns0:is>
      </ns0:c>
      <ns0:c xmlns:ns0="http://schemas.openxmlformats.org/spreadsheetml/2006/main" r="AD200" s="16" t="inlineStr">
        <ns0:is>
          <ns0:t>@DESIGNATOR %1 %2 @MODEL PARAMS: Rvalue=@VALUE TC1value=100u</ns0:t>
        </ns0:is>
      </ns0:c>
      <ns0:c xmlns:ns0="http://schemas.openxmlformats.org/spreadsheetml/2006/main" r="AE200" s="16" t="inlineStr">
        <ns0:is>
          <ns0:t>X</ns0:t>
        </ns0:is>
      </ns0:c>
      <ns0:c xmlns:ns0="http://schemas.openxmlformats.org/spreadsheetml/2006/main" r="AF200" s="16" t="str">
        <ns0:v>(1:1),(2:2)</ns0:v>
      </ns0:c>
      <ns0:c xmlns:ns0="http://schemas.openxmlformats.org/spreadsheetml/2006/main" r="AG200" s="16" t="inlineStr">
        <ns0:is>
          <ns0:t>Simulation\Resistors\MY_LIB_R_TCR.ckt</ns0:t>
        </ns0:is>
      </ns0:c>
      <ns0:c xmlns:ns0="http://schemas.openxmlformats.org/spreadsheetml/2006/main" r="AH200" s="16" t="inlineStr">
        <ns0:is>
          <ns0:t>±100 ppm/°C</ns0:t>
        </ns0:is>
      </ns0:c>
    </ns0:row>
    <ns0:row r="201" ht="30" customHeight="1">
      <ns0:c r="A201" t="str" s="10">
        <ns0:v>R0207</ns0:v>
      </ns0:c>
      <ns0:c r="B201" t="str" s="10">
        <ns0:v>Резистор</ns0:v>
      </ns0:c>
      <ns0:c r="C201" t="str" s="10">
        <ns0:v>160R</ns0:v>
      </ns0:c>
      <ns0:c r="D201" t="str" s="11">
        <ns0:f>SUBSTITUTE(SUBSTITUTE(SUBSTITUTE(SUBSTITUTE(C201,"meg"," МОм"),"k"," кОм"),"R"," Ом"),".",",")</ns0:f>
        <ns0:v>160 Ом</ns0:v>
      </ns0:c>
      <ns0:c r="E201" t="str" s="10">
        <ns0:v>±5%</ns0:v>
      </ns0:c>
      <ns0:c r="F201" t="str" s="10">
        <ns0:v>0,125 Вт</ns0:v>
      </ns0:c>
      <ns0:c r="G201" t="str" s="10">
        <ns0:v>150 В макс.</ns0:v>
      </ns0:c>
      <ns0:c r="H201" t="str" s="12">
        <ns0:v>0805</ns0:v>
      </ns0:c>
      <ns0:c r="I201" t="str" s="10">
        <ns0:v>YAGEO</ns0:v>
      </ns0:c>
      <ns0:c r="J201" t="str" s="10">
        <ns0:v>RC0805JR-07160RL</ns0:v>
      </ns0:c>
      <ns0:c r="K201" t="str" s="11">
        <ns0:f>B201&amp;" "&amp;D201&amp;" "&amp;E201&amp;" "&amp;H201</ns0:f>
        <ns0:v>Резистор 160 Ом ±5% 0805</ns0:v>
      </ns0:c>
      <ns0:c r="L201" t="str" s="13">
        <ns0:v>R</ns0:v>
      </ns0:c>
      <ns0:c r="M201" t="str" s="13">
        <ns0:v>Symbols\MY_LIB_Resistors.SchLib</ns0:v>
      </ns0:c>
      <ns0:c r="N201" t="str" s="13">
        <ns0:v>RESC2012X70N</ns0:v>
      </ns0:c>
      <ns0:c r="O201" t="str" s="13">
        <ns0:v>Footprints\PBL - SMD Packages.PcbLib</ns0:v>
      </ns0:c>
      <ns0:c xmlns:ns0="http://schemas.openxmlformats.org/spreadsheetml/2006/main" r="P20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1" s="10"/>
      <ns0:c r="R201" t="str" s="11">
        <ns0:f>D201</ns0:f>
        <ns0:v>160 Ом</ns0:v>
      </ns0:c>
      <ns0:c r="S201" t="str" s="11">
        <ns0:f>K201</ns0:f>
        <ns0:v>Резистор 160 Ом ±5% 0805</ns0:v>
      </ns0:c>
      <x:c xmlns:x="http://schemas.openxmlformats.org/spreadsheetml/2006/main" r="T201" t="str" s="11">
        <x:v>C:\Users\Nomatin\Documents\Altium\MY_LIB\MY_LIB\Datasheets\YAGEO_RC_L.pdf</x:v>
      </x:c>
      <x:c xmlns:x="http://schemas.openxmlformats.org/spreadsheetml/2006/main" r="U201" t="str" s="11">
        <x:v>Даташит — локальный</x:v>
      </x:c>
      <x:c xmlns:x="http://schemas.openxmlformats.org/spreadsheetml/2006/main" r="V201" t="str" s="11">
        <x:v>C:\Users\Nomatin\Documents\Altium\MY_LIB\MY_LIB\Datasheets\YAGEO_RC_L.pdf</x:v>
      </x:c>
      <x:c xmlns:x="http://schemas.openxmlformats.org/spreadsheetml/2006/main" r="W201" t="str" s="11">
        <x:v>Даташит — производитель</x:v>
      </x:c>
      <x:c xmlns:x="http://schemas.openxmlformats.org/spreadsheetml/2006/main" r="X201" t="str" s="11">
        <x:v>https://yageogroup.com/content/datasheet/asset/file/PYU-RC_GROUP_51_ROHS_L</x:v>
      </x:c>
      <x:c xmlns:x="http://schemas.openxmlformats.org/spreadsheetml/2006/main" r="Y201" t="str" s="11">
        <x:v>C:\Users\Nomatin\Documents\Altium\MY_LIB\MY_LIB\Datasheets\YAGEO_RC_L.pdf</x:v>
      </x:c>
      <ns0:c xmlns:ns0="http://schemas.openxmlformats.org/spreadsheetml/2006/main" r="Z201" s="16" t="inlineStr">
        <ns0:is>
          <ns0:t>MY_LIB_R_TCR</ns0:t>
        </ns0:is>
      </ns0:c>
      <ns0:c xmlns:ns0="http://schemas.openxmlformats.org/spreadsheetml/2006/main" r="AA201" s="16" t="inlineStr">
        <ns0:is>
          <ns0:t>R(T), +100 ppm/C at 25 C; positive datasheet limit</ns0:t>
        </ns0:is>
      </ns0:c>
      <ns0:c xmlns:ns0="http://schemas.openxmlformats.org/spreadsheetml/2006/main" r="AB201" s="16" t="str">
        <ns0:v>General</ns0:v>
      </ns0:c>
      <ns0:c xmlns:ns0="http://schemas.openxmlformats.org/spreadsheetml/2006/main" r="AC201" s="16" t="inlineStr">
        <ns0:is>
          <ns0:t>Spice Subcircuit</ns0:t>
        </ns0:is>
      </ns0:c>
      <ns0:c xmlns:ns0="http://schemas.openxmlformats.org/spreadsheetml/2006/main" r="AD201" s="16" t="inlineStr">
        <ns0:is>
          <ns0:t>@DESIGNATOR %1 %2 @MODEL PARAMS: Rvalue=@VALUE TC1value=100u</ns0:t>
        </ns0:is>
      </ns0:c>
      <ns0:c xmlns:ns0="http://schemas.openxmlformats.org/spreadsheetml/2006/main" r="AE201" s="16" t="inlineStr">
        <ns0:is>
          <ns0:t>X</ns0:t>
        </ns0:is>
      </ns0:c>
      <ns0:c xmlns:ns0="http://schemas.openxmlformats.org/spreadsheetml/2006/main" r="AF201" s="16" t="str">
        <ns0:v>(1:1),(2:2)</ns0:v>
      </ns0:c>
      <ns0:c xmlns:ns0="http://schemas.openxmlformats.org/spreadsheetml/2006/main" r="AG201" s="16" t="inlineStr">
        <ns0:is>
          <ns0:t>Simulation\Resistors\MY_LIB_R_TCR.ckt</ns0:t>
        </ns0:is>
      </ns0:c>
      <ns0:c xmlns:ns0="http://schemas.openxmlformats.org/spreadsheetml/2006/main" r="AH201" s="16" t="inlineStr">
        <ns0:is>
          <ns0:t>±100 ppm/°C</ns0:t>
        </ns0:is>
      </ns0:c>
    </ns0:row>
    <ns0:row r="202" ht="30" customHeight="1">
      <ns0:c r="A202" t="str" s="10">
        <ns0:v>R0208</ns0:v>
      </ns0:c>
      <ns0:c r="B202" t="str" s="10">
        <ns0:v>Резистор</ns0:v>
      </ns0:c>
      <ns0:c r="C202" t="str" s="10">
        <ns0:v>180R</ns0:v>
      </ns0:c>
      <ns0:c r="D202" t="str" s="11">
        <ns0:f>SUBSTITUTE(SUBSTITUTE(SUBSTITUTE(SUBSTITUTE(C202,"meg"," МОм"),"k"," кОм"),"R"," Ом"),".",",")</ns0:f>
        <ns0:v>180 Ом</ns0:v>
      </ns0:c>
      <ns0:c r="E202" t="str" s="10">
        <ns0:v>±5%</ns0:v>
      </ns0:c>
      <ns0:c r="F202" t="str" s="10">
        <ns0:v>0,125 Вт</ns0:v>
      </ns0:c>
      <ns0:c r="G202" t="str" s="10">
        <ns0:v>150 В макс.</ns0:v>
      </ns0:c>
      <ns0:c r="H202" t="str" s="12">
        <ns0:v>0805</ns0:v>
      </ns0:c>
      <ns0:c r="I202" t="str" s="10">
        <ns0:v>YAGEO</ns0:v>
      </ns0:c>
      <ns0:c r="J202" t="str" s="10">
        <ns0:v>RC0805JR-07180RL</ns0:v>
      </ns0:c>
      <ns0:c r="K202" t="str" s="11">
        <ns0:f>B202&amp;" "&amp;D202&amp;" "&amp;E202&amp;" "&amp;H202</ns0:f>
        <ns0:v>Резистор 180 Ом ±5% 0805</ns0:v>
      </ns0:c>
      <ns0:c r="L202" t="str" s="13">
        <ns0:v>R</ns0:v>
      </ns0:c>
      <ns0:c r="M202" t="str" s="13">
        <ns0:v>Symbols\MY_LIB_Resistors.SchLib</ns0:v>
      </ns0:c>
      <ns0:c r="N202" t="str" s="13">
        <ns0:v>RESC2012X70N</ns0:v>
      </ns0:c>
      <ns0:c r="O202" t="str" s="13">
        <ns0:v>Footprints\PBL - SMD Packages.PcbLib</ns0:v>
      </ns0:c>
      <ns0:c xmlns:ns0="http://schemas.openxmlformats.org/spreadsheetml/2006/main" r="P20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2" s="10"/>
      <ns0:c r="R202" t="str" s="11">
        <ns0:f>D202</ns0:f>
        <ns0:v>180 Ом</ns0:v>
      </ns0:c>
      <ns0:c r="S202" t="str" s="11">
        <ns0:f>K202</ns0:f>
        <ns0:v>Резистор 180 Ом ±5% 0805</ns0:v>
      </ns0:c>
      <x:c xmlns:x="http://schemas.openxmlformats.org/spreadsheetml/2006/main" r="T202" t="str" s="11">
        <x:v>C:\Users\Nomatin\Documents\Altium\MY_LIB\MY_LIB\Datasheets\YAGEO_RC_L.pdf</x:v>
      </x:c>
      <x:c xmlns:x="http://schemas.openxmlformats.org/spreadsheetml/2006/main" r="U202" t="str" s="11">
        <x:v>Даташит — локальный</x:v>
      </x:c>
      <x:c xmlns:x="http://schemas.openxmlformats.org/spreadsheetml/2006/main" r="V202" t="str" s="11">
        <x:v>C:\Users\Nomatin\Documents\Altium\MY_LIB\MY_LIB\Datasheets\YAGEO_RC_L.pdf</x:v>
      </x:c>
      <x:c xmlns:x="http://schemas.openxmlformats.org/spreadsheetml/2006/main" r="W202" t="str" s="11">
        <x:v>Даташит — производитель</x:v>
      </x:c>
      <x:c xmlns:x="http://schemas.openxmlformats.org/spreadsheetml/2006/main" r="X202" t="str" s="11">
        <x:v>https://yageogroup.com/content/datasheet/asset/file/PYU-RC_GROUP_51_ROHS_L</x:v>
      </x:c>
      <x:c xmlns:x="http://schemas.openxmlformats.org/spreadsheetml/2006/main" r="Y202" t="str" s="11">
        <x:v>C:\Users\Nomatin\Documents\Altium\MY_LIB\MY_LIB\Datasheets\YAGEO_RC_L.pdf</x:v>
      </x:c>
      <ns0:c xmlns:ns0="http://schemas.openxmlformats.org/spreadsheetml/2006/main" r="Z202" s="16" t="inlineStr">
        <ns0:is>
          <ns0:t>MY_LIB_R_TCR</ns0:t>
        </ns0:is>
      </ns0:c>
      <ns0:c xmlns:ns0="http://schemas.openxmlformats.org/spreadsheetml/2006/main" r="AA202" s="16" t="inlineStr">
        <ns0:is>
          <ns0:t>R(T), +100 ppm/C at 25 C; positive datasheet limit</ns0:t>
        </ns0:is>
      </ns0:c>
      <ns0:c xmlns:ns0="http://schemas.openxmlformats.org/spreadsheetml/2006/main" r="AB202" s="16" t="str">
        <ns0:v>General</ns0:v>
      </ns0:c>
      <ns0:c xmlns:ns0="http://schemas.openxmlformats.org/spreadsheetml/2006/main" r="AC202" s="16" t="inlineStr">
        <ns0:is>
          <ns0:t>Spice Subcircuit</ns0:t>
        </ns0:is>
      </ns0:c>
      <ns0:c xmlns:ns0="http://schemas.openxmlformats.org/spreadsheetml/2006/main" r="AD202" s="16" t="inlineStr">
        <ns0:is>
          <ns0:t>@DESIGNATOR %1 %2 @MODEL PARAMS: Rvalue=@VALUE TC1value=100u</ns0:t>
        </ns0:is>
      </ns0:c>
      <ns0:c xmlns:ns0="http://schemas.openxmlformats.org/spreadsheetml/2006/main" r="AE202" s="16" t="inlineStr">
        <ns0:is>
          <ns0:t>X</ns0:t>
        </ns0:is>
      </ns0:c>
      <ns0:c xmlns:ns0="http://schemas.openxmlformats.org/spreadsheetml/2006/main" r="AF202" s="16" t="str">
        <ns0:v>(1:1),(2:2)</ns0:v>
      </ns0:c>
      <ns0:c xmlns:ns0="http://schemas.openxmlformats.org/spreadsheetml/2006/main" r="AG202" s="16" t="inlineStr">
        <ns0:is>
          <ns0:t>Simulation\Resistors\MY_LIB_R_TCR.ckt</ns0:t>
        </ns0:is>
      </ns0:c>
      <ns0:c xmlns:ns0="http://schemas.openxmlformats.org/spreadsheetml/2006/main" r="AH202" s="16" t="inlineStr">
        <ns0:is>
          <ns0:t>±100 ppm/°C</ns0:t>
        </ns0:is>
      </ns0:c>
    </ns0:row>
    <ns0:row r="203" ht="30" customHeight="1">
      <ns0:c r="A203" t="str" s="10">
        <ns0:v>R0209</ns0:v>
      </ns0:c>
      <ns0:c r="B203" t="str" s="10">
        <ns0:v>Резистор</ns0:v>
      </ns0:c>
      <ns0:c r="C203" t="str" s="10">
        <ns0:v>200R</ns0:v>
      </ns0:c>
      <ns0:c r="D203" t="str" s="11">
        <ns0:f>SUBSTITUTE(SUBSTITUTE(SUBSTITUTE(SUBSTITUTE(C203,"meg"," МОм"),"k"," кОм"),"R"," Ом"),".",",")</ns0:f>
        <ns0:v>200 Ом</ns0:v>
      </ns0:c>
      <ns0:c r="E203" t="str" s="10">
        <ns0:v>±5%</ns0:v>
      </ns0:c>
      <ns0:c r="F203" t="str" s="10">
        <ns0:v>0,125 Вт</ns0:v>
      </ns0:c>
      <ns0:c r="G203" t="str" s="10">
        <ns0:v>150 В макс.</ns0:v>
      </ns0:c>
      <ns0:c r="H203" t="str" s="12">
        <ns0:v>0805</ns0:v>
      </ns0:c>
      <ns0:c r="I203" t="str" s="10">
        <ns0:v>YAGEO</ns0:v>
      </ns0:c>
      <ns0:c r="J203" t="str" s="10">
        <ns0:v>RC0805JR-07200RL</ns0:v>
      </ns0:c>
      <ns0:c r="K203" t="str" s="11">
        <ns0:f>B203&amp;" "&amp;D203&amp;" "&amp;E203&amp;" "&amp;H203</ns0:f>
        <ns0:v>Резистор 200 Ом ±5% 0805</ns0:v>
      </ns0:c>
      <ns0:c r="L203" t="str" s="13">
        <ns0:v>R</ns0:v>
      </ns0:c>
      <ns0:c r="M203" t="str" s="13">
        <ns0:v>Symbols\MY_LIB_Resistors.SchLib</ns0:v>
      </ns0:c>
      <ns0:c r="N203" t="str" s="13">
        <ns0:v>RESC2012X70N</ns0:v>
      </ns0:c>
      <ns0:c r="O203" t="str" s="13">
        <ns0:v>Footprints\PBL - SMD Packages.PcbLib</ns0:v>
      </ns0:c>
      <ns0:c xmlns:ns0="http://schemas.openxmlformats.org/spreadsheetml/2006/main" r="P20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3" s="10"/>
      <ns0:c r="R203" t="str" s="11">
        <ns0:f>D203</ns0:f>
        <ns0:v>200 Ом</ns0:v>
      </ns0:c>
      <ns0:c r="S203" t="str" s="11">
        <ns0:f>K203</ns0:f>
        <ns0:v>Резистор 200 Ом ±5% 0805</ns0:v>
      </ns0:c>
      <x:c xmlns:x="http://schemas.openxmlformats.org/spreadsheetml/2006/main" r="T203" t="str" s="11">
        <x:v>C:\Users\Nomatin\Documents\Altium\MY_LIB\MY_LIB\Datasheets\YAGEO_RC_L.pdf</x:v>
      </x:c>
      <x:c xmlns:x="http://schemas.openxmlformats.org/spreadsheetml/2006/main" r="U203" t="str" s="11">
        <x:v>Даташит — локальный</x:v>
      </x:c>
      <x:c xmlns:x="http://schemas.openxmlformats.org/spreadsheetml/2006/main" r="V203" t="str" s="11">
        <x:v>C:\Users\Nomatin\Documents\Altium\MY_LIB\MY_LIB\Datasheets\YAGEO_RC_L.pdf</x:v>
      </x:c>
      <x:c xmlns:x="http://schemas.openxmlformats.org/spreadsheetml/2006/main" r="W203" t="str" s="11">
        <x:v>Даташит — производитель</x:v>
      </x:c>
      <x:c xmlns:x="http://schemas.openxmlformats.org/spreadsheetml/2006/main" r="X203" t="str" s="11">
        <x:v>https://yageogroup.com/content/datasheet/asset/file/PYU-RC_GROUP_51_ROHS_L</x:v>
      </x:c>
      <x:c xmlns:x="http://schemas.openxmlformats.org/spreadsheetml/2006/main" r="Y203" t="str" s="11">
        <x:v>C:\Users\Nomatin\Documents\Altium\MY_LIB\MY_LIB\Datasheets\YAGEO_RC_L.pdf</x:v>
      </x:c>
      <ns0:c xmlns:ns0="http://schemas.openxmlformats.org/spreadsheetml/2006/main" r="Z203" s="16" t="inlineStr">
        <ns0:is>
          <ns0:t>MY_LIB_R_TCR</ns0:t>
        </ns0:is>
      </ns0:c>
      <ns0:c xmlns:ns0="http://schemas.openxmlformats.org/spreadsheetml/2006/main" r="AA203" s="16" t="inlineStr">
        <ns0:is>
          <ns0:t>R(T), +100 ppm/C at 25 C; positive datasheet limit</ns0:t>
        </ns0:is>
      </ns0:c>
      <ns0:c xmlns:ns0="http://schemas.openxmlformats.org/spreadsheetml/2006/main" r="AB203" s="16" t="str">
        <ns0:v>General</ns0:v>
      </ns0:c>
      <ns0:c xmlns:ns0="http://schemas.openxmlformats.org/spreadsheetml/2006/main" r="AC203" s="16" t="inlineStr">
        <ns0:is>
          <ns0:t>Spice Subcircuit</ns0:t>
        </ns0:is>
      </ns0:c>
      <ns0:c xmlns:ns0="http://schemas.openxmlformats.org/spreadsheetml/2006/main" r="AD203" s="16" t="inlineStr">
        <ns0:is>
          <ns0:t>@DESIGNATOR %1 %2 @MODEL PARAMS: Rvalue=@VALUE TC1value=100u</ns0:t>
        </ns0:is>
      </ns0:c>
      <ns0:c xmlns:ns0="http://schemas.openxmlformats.org/spreadsheetml/2006/main" r="AE203" s="16" t="inlineStr">
        <ns0:is>
          <ns0:t>X</ns0:t>
        </ns0:is>
      </ns0:c>
      <ns0:c xmlns:ns0="http://schemas.openxmlformats.org/spreadsheetml/2006/main" r="AF203" s="16" t="str">
        <ns0:v>(1:1),(2:2)</ns0:v>
      </ns0:c>
      <ns0:c xmlns:ns0="http://schemas.openxmlformats.org/spreadsheetml/2006/main" r="AG203" s="16" t="inlineStr">
        <ns0:is>
          <ns0:t>Simulation\Resistors\MY_LIB_R_TCR.ckt</ns0:t>
        </ns0:is>
      </ns0:c>
      <ns0:c xmlns:ns0="http://schemas.openxmlformats.org/spreadsheetml/2006/main" r="AH203" s="16" t="inlineStr">
        <ns0:is>
          <ns0:t>±100 ppm/°C</ns0:t>
        </ns0:is>
      </ns0:c>
    </ns0:row>
    <ns0:row r="204" ht="30" customHeight="1">
      <ns0:c r="A204" t="str" s="10">
        <ns0:v>R0210</ns0:v>
      </ns0:c>
      <ns0:c r="B204" t="str" s="10">
        <ns0:v>Резистор</ns0:v>
      </ns0:c>
      <ns0:c r="C204" t="str" s="10">
        <ns0:v>220R</ns0:v>
      </ns0:c>
      <ns0:c r="D204" t="str" s="11">
        <ns0:f>SUBSTITUTE(SUBSTITUTE(SUBSTITUTE(SUBSTITUTE(C204,"meg"," МОм"),"k"," кОм"),"R"," Ом"),".",",")</ns0:f>
        <ns0:v>220 Ом</ns0:v>
      </ns0:c>
      <ns0:c r="E204" t="str" s="10">
        <ns0:v>±5%</ns0:v>
      </ns0:c>
      <ns0:c r="F204" t="str" s="10">
        <ns0:v>0,125 Вт</ns0:v>
      </ns0:c>
      <ns0:c r="G204" t="str" s="10">
        <ns0:v>150 В макс.</ns0:v>
      </ns0:c>
      <ns0:c r="H204" t="str" s="12">
        <ns0:v>0805</ns0:v>
      </ns0:c>
      <ns0:c r="I204" t="str" s="10">
        <ns0:v>YAGEO</ns0:v>
      </ns0:c>
      <ns0:c r="J204" t="str" s="10">
        <ns0:v>RC0805JR-07220RL</ns0:v>
      </ns0:c>
      <ns0:c r="K204" t="str" s="11">
        <ns0:f>B204&amp;" "&amp;D204&amp;" "&amp;E204&amp;" "&amp;H204</ns0:f>
        <ns0:v>Резистор 220 Ом ±5% 0805</ns0:v>
      </ns0:c>
      <ns0:c r="L204" t="str" s="13">
        <ns0:v>R</ns0:v>
      </ns0:c>
      <ns0:c r="M204" t="str" s="13">
        <ns0:v>Symbols\MY_LIB_Resistors.SchLib</ns0:v>
      </ns0:c>
      <ns0:c r="N204" t="str" s="13">
        <ns0:v>RESC2012X70N</ns0:v>
      </ns0:c>
      <ns0:c r="O204" t="str" s="13">
        <ns0:v>Footprints\PBL - SMD Packages.PcbLib</ns0:v>
      </ns0:c>
      <ns0:c xmlns:ns0="http://schemas.openxmlformats.org/spreadsheetml/2006/main" r="P20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4" s="10"/>
      <ns0:c r="R204" t="str" s="11">
        <ns0:f>D204</ns0:f>
        <ns0:v>220 Ом</ns0:v>
      </ns0:c>
      <ns0:c r="S204" t="str" s="11">
        <ns0:f>K204</ns0:f>
        <ns0:v>Резистор 220 Ом ±5% 0805</ns0:v>
      </ns0:c>
      <x:c xmlns:x="http://schemas.openxmlformats.org/spreadsheetml/2006/main" r="T204" t="str" s="11">
        <x:v>C:\Users\Nomatin\Documents\Altium\MY_LIB\MY_LIB\Datasheets\YAGEO_RC_L.pdf</x:v>
      </x:c>
      <x:c xmlns:x="http://schemas.openxmlformats.org/spreadsheetml/2006/main" r="U204" t="str" s="11">
        <x:v>Даташит — локальный</x:v>
      </x:c>
      <x:c xmlns:x="http://schemas.openxmlformats.org/spreadsheetml/2006/main" r="V204" t="str" s="11">
        <x:v>C:\Users\Nomatin\Documents\Altium\MY_LIB\MY_LIB\Datasheets\YAGEO_RC_L.pdf</x:v>
      </x:c>
      <x:c xmlns:x="http://schemas.openxmlformats.org/spreadsheetml/2006/main" r="W204" t="str" s="11">
        <x:v>Даташит — производитель</x:v>
      </x:c>
      <x:c xmlns:x="http://schemas.openxmlformats.org/spreadsheetml/2006/main" r="X204" t="str" s="11">
        <x:v>https://yageogroup.com/content/datasheet/asset/file/PYU-RC_GROUP_51_ROHS_L</x:v>
      </x:c>
      <x:c xmlns:x="http://schemas.openxmlformats.org/spreadsheetml/2006/main" r="Y204" t="str" s="11">
        <x:v>C:\Users\Nomatin\Documents\Altium\MY_LIB\MY_LIB\Datasheets\YAGEO_RC_L.pdf</x:v>
      </x:c>
      <ns0:c xmlns:ns0="http://schemas.openxmlformats.org/spreadsheetml/2006/main" r="Z204" s="16" t="inlineStr">
        <ns0:is>
          <ns0:t>MY_LIB_R_TCR</ns0:t>
        </ns0:is>
      </ns0:c>
      <ns0:c xmlns:ns0="http://schemas.openxmlformats.org/spreadsheetml/2006/main" r="AA204" s="16" t="inlineStr">
        <ns0:is>
          <ns0:t>R(T), +100 ppm/C at 25 C; positive datasheet limit</ns0:t>
        </ns0:is>
      </ns0:c>
      <ns0:c xmlns:ns0="http://schemas.openxmlformats.org/spreadsheetml/2006/main" r="AB204" s="16" t="str">
        <ns0:v>General</ns0:v>
      </ns0:c>
      <ns0:c xmlns:ns0="http://schemas.openxmlformats.org/spreadsheetml/2006/main" r="AC204" s="16" t="inlineStr">
        <ns0:is>
          <ns0:t>Spice Subcircuit</ns0:t>
        </ns0:is>
      </ns0:c>
      <ns0:c xmlns:ns0="http://schemas.openxmlformats.org/spreadsheetml/2006/main" r="AD204" s="16" t="inlineStr">
        <ns0:is>
          <ns0:t>@DESIGNATOR %1 %2 @MODEL PARAMS: Rvalue=@VALUE TC1value=100u</ns0:t>
        </ns0:is>
      </ns0:c>
      <ns0:c xmlns:ns0="http://schemas.openxmlformats.org/spreadsheetml/2006/main" r="AE204" s="16" t="inlineStr">
        <ns0:is>
          <ns0:t>X</ns0:t>
        </ns0:is>
      </ns0:c>
      <ns0:c xmlns:ns0="http://schemas.openxmlformats.org/spreadsheetml/2006/main" r="AF204" s="16" t="str">
        <ns0:v>(1:1),(2:2)</ns0:v>
      </ns0:c>
      <ns0:c xmlns:ns0="http://schemas.openxmlformats.org/spreadsheetml/2006/main" r="AG204" s="16" t="inlineStr">
        <ns0:is>
          <ns0:t>Simulation\Resistors\MY_LIB_R_TCR.ckt</ns0:t>
        </ns0:is>
      </ns0:c>
      <ns0:c xmlns:ns0="http://schemas.openxmlformats.org/spreadsheetml/2006/main" r="AH204" s="16" t="inlineStr">
        <ns0:is>
          <ns0:t>±100 ppm/°C</ns0:t>
        </ns0:is>
      </ns0:c>
    </ns0:row>
    <ns0:row r="205" ht="30" customHeight="1">
      <ns0:c r="A205" t="str" s="10">
        <ns0:v>R0211</ns0:v>
      </ns0:c>
      <ns0:c r="B205" t="str" s="10">
        <ns0:v>Резистор</ns0:v>
      </ns0:c>
      <ns0:c r="C205" t="str" s="10">
        <ns0:v>240R</ns0:v>
      </ns0:c>
      <ns0:c r="D205" t="str" s="11">
        <ns0:f>SUBSTITUTE(SUBSTITUTE(SUBSTITUTE(SUBSTITUTE(C205,"meg"," МОм"),"k"," кОм"),"R"," Ом"),".",",")</ns0:f>
        <ns0:v>240 Ом</ns0:v>
      </ns0:c>
      <ns0:c r="E205" t="str" s="10">
        <ns0:v>±5%</ns0:v>
      </ns0:c>
      <ns0:c r="F205" t="str" s="10">
        <ns0:v>0,125 Вт</ns0:v>
      </ns0:c>
      <ns0:c r="G205" t="str" s="10">
        <ns0:v>150 В макс.</ns0:v>
      </ns0:c>
      <ns0:c r="H205" t="str" s="12">
        <ns0:v>0805</ns0:v>
      </ns0:c>
      <ns0:c r="I205" t="str" s="10">
        <ns0:v>YAGEO</ns0:v>
      </ns0:c>
      <ns0:c r="J205" t="str" s="10">
        <ns0:v>RC0805JR-07240RL</ns0:v>
      </ns0:c>
      <ns0:c r="K205" t="str" s="11">
        <ns0:f>B205&amp;" "&amp;D205&amp;" "&amp;E205&amp;" "&amp;H205</ns0:f>
        <ns0:v>Резистор 240 Ом ±5% 0805</ns0:v>
      </ns0:c>
      <ns0:c r="L205" t="str" s="13">
        <ns0:v>R</ns0:v>
      </ns0:c>
      <ns0:c r="M205" t="str" s="13">
        <ns0:v>Symbols\MY_LIB_Resistors.SchLib</ns0:v>
      </ns0:c>
      <ns0:c r="N205" t="str" s="13">
        <ns0:v>RESC2012X70N</ns0:v>
      </ns0:c>
      <ns0:c r="O205" t="str" s="13">
        <ns0:v>Footprints\PBL - SMD Packages.PcbLib</ns0:v>
      </ns0:c>
      <ns0:c xmlns:ns0="http://schemas.openxmlformats.org/spreadsheetml/2006/main" r="P20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5" s="10"/>
      <ns0:c r="R205" t="str" s="11">
        <ns0:f>D205</ns0:f>
        <ns0:v>240 Ом</ns0:v>
      </ns0:c>
      <ns0:c r="S205" t="str" s="11">
        <ns0:f>K205</ns0:f>
        <ns0:v>Резистор 240 Ом ±5% 0805</ns0:v>
      </ns0:c>
      <x:c xmlns:x="http://schemas.openxmlformats.org/spreadsheetml/2006/main" r="T205" t="str" s="11">
        <x:v>C:\Users\Nomatin\Documents\Altium\MY_LIB\MY_LIB\Datasheets\YAGEO_RC_L.pdf</x:v>
      </x:c>
      <x:c xmlns:x="http://schemas.openxmlformats.org/spreadsheetml/2006/main" r="U205" t="str" s="11">
        <x:v>Даташит — локальный</x:v>
      </x:c>
      <x:c xmlns:x="http://schemas.openxmlformats.org/spreadsheetml/2006/main" r="V205" t="str" s="11">
        <x:v>C:\Users\Nomatin\Documents\Altium\MY_LIB\MY_LIB\Datasheets\YAGEO_RC_L.pdf</x:v>
      </x:c>
      <x:c xmlns:x="http://schemas.openxmlformats.org/spreadsheetml/2006/main" r="W205" t="str" s="11">
        <x:v>Даташит — производитель</x:v>
      </x:c>
      <x:c xmlns:x="http://schemas.openxmlformats.org/spreadsheetml/2006/main" r="X205" t="str" s="11">
        <x:v>https://yageogroup.com/content/datasheet/asset/file/PYU-RC_GROUP_51_ROHS_L</x:v>
      </x:c>
      <x:c xmlns:x="http://schemas.openxmlformats.org/spreadsheetml/2006/main" r="Y205" t="str" s="11">
        <x:v>C:\Users\Nomatin\Documents\Altium\MY_LIB\MY_LIB\Datasheets\YAGEO_RC_L.pdf</x:v>
      </x:c>
      <ns0:c xmlns:ns0="http://schemas.openxmlformats.org/spreadsheetml/2006/main" r="Z205" s="16" t="inlineStr">
        <ns0:is>
          <ns0:t>MY_LIB_R_TCR</ns0:t>
        </ns0:is>
      </ns0:c>
      <ns0:c xmlns:ns0="http://schemas.openxmlformats.org/spreadsheetml/2006/main" r="AA205" s="16" t="inlineStr">
        <ns0:is>
          <ns0:t>R(T), +100 ppm/C at 25 C; positive datasheet limit</ns0:t>
        </ns0:is>
      </ns0:c>
      <ns0:c xmlns:ns0="http://schemas.openxmlformats.org/spreadsheetml/2006/main" r="AB205" s="16" t="str">
        <ns0:v>General</ns0:v>
      </ns0:c>
      <ns0:c xmlns:ns0="http://schemas.openxmlformats.org/spreadsheetml/2006/main" r="AC205" s="16" t="inlineStr">
        <ns0:is>
          <ns0:t>Spice Subcircuit</ns0:t>
        </ns0:is>
      </ns0:c>
      <ns0:c xmlns:ns0="http://schemas.openxmlformats.org/spreadsheetml/2006/main" r="AD205" s="16" t="inlineStr">
        <ns0:is>
          <ns0:t>@DESIGNATOR %1 %2 @MODEL PARAMS: Rvalue=@VALUE TC1value=100u</ns0:t>
        </ns0:is>
      </ns0:c>
      <ns0:c xmlns:ns0="http://schemas.openxmlformats.org/spreadsheetml/2006/main" r="AE205" s="16" t="inlineStr">
        <ns0:is>
          <ns0:t>X</ns0:t>
        </ns0:is>
      </ns0:c>
      <ns0:c xmlns:ns0="http://schemas.openxmlformats.org/spreadsheetml/2006/main" r="AF205" s="16" t="str">
        <ns0:v>(1:1),(2:2)</ns0:v>
      </ns0:c>
      <ns0:c xmlns:ns0="http://schemas.openxmlformats.org/spreadsheetml/2006/main" r="AG205" s="16" t="inlineStr">
        <ns0:is>
          <ns0:t>Simulation\Resistors\MY_LIB_R_TCR.ckt</ns0:t>
        </ns0:is>
      </ns0:c>
      <ns0:c xmlns:ns0="http://schemas.openxmlformats.org/spreadsheetml/2006/main" r="AH205" s="16" t="inlineStr">
        <ns0:is>
          <ns0:t>±100 ppm/°C</ns0:t>
        </ns0:is>
      </ns0:c>
    </ns0:row>
    <ns0:row r="206" ht="30" customHeight="1">
      <ns0:c r="A206" t="str" s="10">
        <ns0:v>R0212</ns0:v>
      </ns0:c>
      <ns0:c r="B206" t="str" s="10">
        <ns0:v>Резистор</ns0:v>
      </ns0:c>
      <ns0:c r="C206" t="str" s="10">
        <ns0:v>270R</ns0:v>
      </ns0:c>
      <ns0:c r="D206" t="str" s="11">
        <ns0:f>SUBSTITUTE(SUBSTITUTE(SUBSTITUTE(SUBSTITUTE(C206,"meg"," МОм"),"k"," кОм"),"R"," Ом"),".",",")</ns0:f>
        <ns0:v>270 Ом</ns0:v>
      </ns0:c>
      <ns0:c r="E206" t="str" s="10">
        <ns0:v>±5%</ns0:v>
      </ns0:c>
      <ns0:c r="F206" t="str" s="10">
        <ns0:v>0,125 Вт</ns0:v>
      </ns0:c>
      <ns0:c r="G206" t="str" s="10">
        <ns0:v>150 В макс.</ns0:v>
      </ns0:c>
      <ns0:c r="H206" t="str" s="12">
        <ns0:v>0805</ns0:v>
      </ns0:c>
      <ns0:c r="I206" t="str" s="10">
        <ns0:v>YAGEO</ns0:v>
      </ns0:c>
      <ns0:c r="J206" t="str" s="10">
        <ns0:v>RC0805JR-07270RL</ns0:v>
      </ns0:c>
      <ns0:c r="K206" t="str" s="11">
        <ns0:f>B206&amp;" "&amp;D206&amp;" "&amp;E206&amp;" "&amp;H206</ns0:f>
        <ns0:v>Резистор 270 Ом ±5% 0805</ns0:v>
      </ns0:c>
      <ns0:c r="L206" t="str" s="13">
        <ns0:v>R</ns0:v>
      </ns0:c>
      <ns0:c r="M206" t="str" s="13">
        <ns0:v>Symbols\MY_LIB_Resistors.SchLib</ns0:v>
      </ns0:c>
      <ns0:c r="N206" t="str" s="13">
        <ns0:v>RESC2012X70N</ns0:v>
      </ns0:c>
      <ns0:c r="O206" t="str" s="13">
        <ns0:v>Footprints\PBL - SMD Packages.PcbLib</ns0:v>
      </ns0:c>
      <ns0:c xmlns:ns0="http://schemas.openxmlformats.org/spreadsheetml/2006/main" r="P20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6" s="10"/>
      <ns0:c r="R206" t="str" s="11">
        <ns0:f>D206</ns0:f>
        <ns0:v>270 Ом</ns0:v>
      </ns0:c>
      <ns0:c r="S206" t="str" s="11">
        <ns0:f>K206</ns0:f>
        <ns0:v>Резистор 270 Ом ±5% 0805</ns0:v>
      </ns0:c>
      <x:c xmlns:x="http://schemas.openxmlformats.org/spreadsheetml/2006/main" r="T206" t="str" s="11">
        <x:v>C:\Users\Nomatin\Documents\Altium\MY_LIB\MY_LIB\Datasheets\YAGEO_RC_L.pdf</x:v>
      </x:c>
      <x:c xmlns:x="http://schemas.openxmlformats.org/spreadsheetml/2006/main" r="U206" t="str" s="11">
        <x:v>Даташит — локальный</x:v>
      </x:c>
      <x:c xmlns:x="http://schemas.openxmlformats.org/spreadsheetml/2006/main" r="V206" t="str" s="11">
        <x:v>C:\Users\Nomatin\Documents\Altium\MY_LIB\MY_LIB\Datasheets\YAGEO_RC_L.pdf</x:v>
      </x:c>
      <x:c xmlns:x="http://schemas.openxmlformats.org/spreadsheetml/2006/main" r="W206" t="str" s="11">
        <x:v>Даташит — производитель</x:v>
      </x:c>
      <x:c xmlns:x="http://schemas.openxmlformats.org/spreadsheetml/2006/main" r="X206" t="str" s="11">
        <x:v>https://yageogroup.com/content/datasheet/asset/file/PYU-RC_GROUP_51_ROHS_L</x:v>
      </x:c>
      <x:c xmlns:x="http://schemas.openxmlformats.org/spreadsheetml/2006/main" r="Y206" t="str" s="11">
        <x:v>C:\Users\Nomatin\Documents\Altium\MY_LIB\MY_LIB\Datasheets\YAGEO_RC_L.pdf</x:v>
      </x:c>
      <ns0:c xmlns:ns0="http://schemas.openxmlformats.org/spreadsheetml/2006/main" r="Z206" s="16" t="inlineStr">
        <ns0:is>
          <ns0:t>MY_LIB_R_TCR</ns0:t>
        </ns0:is>
      </ns0:c>
      <ns0:c xmlns:ns0="http://schemas.openxmlformats.org/spreadsheetml/2006/main" r="AA206" s="16" t="inlineStr">
        <ns0:is>
          <ns0:t>R(T), +100 ppm/C at 25 C; positive datasheet limit</ns0:t>
        </ns0:is>
      </ns0:c>
      <ns0:c xmlns:ns0="http://schemas.openxmlformats.org/spreadsheetml/2006/main" r="AB206" s="16" t="str">
        <ns0:v>General</ns0:v>
      </ns0:c>
      <ns0:c xmlns:ns0="http://schemas.openxmlformats.org/spreadsheetml/2006/main" r="AC206" s="16" t="inlineStr">
        <ns0:is>
          <ns0:t>Spice Subcircuit</ns0:t>
        </ns0:is>
      </ns0:c>
      <ns0:c xmlns:ns0="http://schemas.openxmlformats.org/spreadsheetml/2006/main" r="AD206" s="16" t="inlineStr">
        <ns0:is>
          <ns0:t>@DESIGNATOR %1 %2 @MODEL PARAMS: Rvalue=@VALUE TC1value=100u</ns0:t>
        </ns0:is>
      </ns0:c>
      <ns0:c xmlns:ns0="http://schemas.openxmlformats.org/spreadsheetml/2006/main" r="AE206" s="16" t="inlineStr">
        <ns0:is>
          <ns0:t>X</ns0:t>
        </ns0:is>
      </ns0:c>
      <ns0:c xmlns:ns0="http://schemas.openxmlformats.org/spreadsheetml/2006/main" r="AF206" s="16" t="str">
        <ns0:v>(1:1),(2:2)</ns0:v>
      </ns0:c>
      <ns0:c xmlns:ns0="http://schemas.openxmlformats.org/spreadsheetml/2006/main" r="AG206" s="16" t="inlineStr">
        <ns0:is>
          <ns0:t>Simulation\Resistors\MY_LIB_R_TCR.ckt</ns0:t>
        </ns0:is>
      </ns0:c>
      <ns0:c xmlns:ns0="http://schemas.openxmlformats.org/spreadsheetml/2006/main" r="AH206" s="16" t="inlineStr">
        <ns0:is>
          <ns0:t>±100 ppm/°C</ns0:t>
        </ns0:is>
      </ns0:c>
    </ns0:row>
    <ns0:row r="207" ht="30" customHeight="1">
      <ns0:c r="A207" t="str" s="10">
        <ns0:v>R0213</ns0:v>
      </ns0:c>
      <ns0:c r="B207" t="str" s="10">
        <ns0:v>Резистор</ns0:v>
      </ns0:c>
      <ns0:c r="C207" t="str" s="10">
        <ns0:v>300R</ns0:v>
      </ns0:c>
      <ns0:c r="D207" t="str" s="11">
        <ns0:f>SUBSTITUTE(SUBSTITUTE(SUBSTITUTE(SUBSTITUTE(C207,"meg"," МОм"),"k"," кОм"),"R"," Ом"),".",",")</ns0:f>
        <ns0:v>300 Ом</ns0:v>
      </ns0:c>
      <ns0:c r="E207" t="str" s="10">
        <ns0:v>±5%</ns0:v>
      </ns0:c>
      <ns0:c r="F207" t="str" s="10">
        <ns0:v>0,125 Вт</ns0:v>
      </ns0:c>
      <ns0:c r="G207" t="str" s="10">
        <ns0:v>150 В макс.</ns0:v>
      </ns0:c>
      <ns0:c r="H207" t="str" s="12">
        <ns0:v>0805</ns0:v>
      </ns0:c>
      <ns0:c r="I207" t="str" s="10">
        <ns0:v>YAGEO</ns0:v>
      </ns0:c>
      <ns0:c r="J207" t="str" s="10">
        <ns0:v>RC0805JR-07300RL</ns0:v>
      </ns0:c>
      <ns0:c r="K207" t="str" s="11">
        <ns0:f>B207&amp;" "&amp;D207&amp;" "&amp;E207&amp;" "&amp;H207</ns0:f>
        <ns0:v>Резистор 300 Ом ±5% 0805</ns0:v>
      </ns0:c>
      <ns0:c r="L207" t="str" s="13">
        <ns0:v>R</ns0:v>
      </ns0:c>
      <ns0:c r="M207" t="str" s="13">
        <ns0:v>Symbols\MY_LIB_Resistors.SchLib</ns0:v>
      </ns0:c>
      <ns0:c r="N207" t="str" s="13">
        <ns0:v>RESC2012X70N</ns0:v>
      </ns0:c>
      <ns0:c r="O207" t="str" s="13">
        <ns0:v>Footprints\PBL - SMD Packages.PcbLib</ns0:v>
      </ns0:c>
      <ns0:c xmlns:ns0="http://schemas.openxmlformats.org/spreadsheetml/2006/main" r="P20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7" s="10"/>
      <ns0:c r="R207" t="str" s="11">
        <ns0:f>D207</ns0:f>
        <ns0:v>300 Ом</ns0:v>
      </ns0:c>
      <ns0:c r="S207" t="str" s="11">
        <ns0:f>K207</ns0:f>
        <ns0:v>Резистор 300 Ом ±5% 0805</ns0:v>
      </ns0:c>
      <x:c xmlns:x="http://schemas.openxmlformats.org/spreadsheetml/2006/main" r="T207" t="str" s="11">
        <x:v>C:\Users\Nomatin\Documents\Altium\MY_LIB\MY_LIB\Datasheets\YAGEO_RC_L.pdf</x:v>
      </x:c>
      <x:c xmlns:x="http://schemas.openxmlformats.org/spreadsheetml/2006/main" r="U207" t="str" s="11">
        <x:v>Даташит — локальный</x:v>
      </x:c>
      <x:c xmlns:x="http://schemas.openxmlformats.org/spreadsheetml/2006/main" r="V207" t="str" s="11">
        <x:v>C:\Users\Nomatin\Documents\Altium\MY_LIB\MY_LIB\Datasheets\YAGEO_RC_L.pdf</x:v>
      </x:c>
      <x:c xmlns:x="http://schemas.openxmlformats.org/spreadsheetml/2006/main" r="W207" t="str" s="11">
        <x:v>Даташит — производитель</x:v>
      </x:c>
      <x:c xmlns:x="http://schemas.openxmlformats.org/spreadsheetml/2006/main" r="X207" t="str" s="11">
        <x:v>https://yageogroup.com/content/datasheet/asset/file/PYU-RC_GROUP_51_ROHS_L</x:v>
      </x:c>
      <x:c xmlns:x="http://schemas.openxmlformats.org/spreadsheetml/2006/main" r="Y207" t="str" s="11">
        <x:v>C:\Users\Nomatin\Documents\Altium\MY_LIB\MY_LIB\Datasheets\YAGEO_RC_L.pdf</x:v>
      </x:c>
      <ns0:c xmlns:ns0="http://schemas.openxmlformats.org/spreadsheetml/2006/main" r="Z207" s="16" t="inlineStr">
        <ns0:is>
          <ns0:t>MY_LIB_R_TCR</ns0:t>
        </ns0:is>
      </ns0:c>
      <ns0:c xmlns:ns0="http://schemas.openxmlformats.org/spreadsheetml/2006/main" r="AA207" s="16" t="inlineStr">
        <ns0:is>
          <ns0:t>R(T), +100 ppm/C at 25 C; positive datasheet limit</ns0:t>
        </ns0:is>
      </ns0:c>
      <ns0:c xmlns:ns0="http://schemas.openxmlformats.org/spreadsheetml/2006/main" r="AB207" s="16" t="str">
        <ns0:v>General</ns0:v>
      </ns0:c>
      <ns0:c xmlns:ns0="http://schemas.openxmlformats.org/spreadsheetml/2006/main" r="AC207" s="16" t="inlineStr">
        <ns0:is>
          <ns0:t>Spice Subcircuit</ns0:t>
        </ns0:is>
      </ns0:c>
      <ns0:c xmlns:ns0="http://schemas.openxmlformats.org/spreadsheetml/2006/main" r="AD207" s="16" t="inlineStr">
        <ns0:is>
          <ns0:t>@DESIGNATOR %1 %2 @MODEL PARAMS: Rvalue=@VALUE TC1value=100u</ns0:t>
        </ns0:is>
      </ns0:c>
      <ns0:c xmlns:ns0="http://schemas.openxmlformats.org/spreadsheetml/2006/main" r="AE207" s="16" t="inlineStr">
        <ns0:is>
          <ns0:t>X</ns0:t>
        </ns0:is>
      </ns0:c>
      <ns0:c xmlns:ns0="http://schemas.openxmlformats.org/spreadsheetml/2006/main" r="AF207" s="16" t="str">
        <ns0:v>(1:1),(2:2)</ns0:v>
      </ns0:c>
      <ns0:c xmlns:ns0="http://schemas.openxmlformats.org/spreadsheetml/2006/main" r="AG207" s="16" t="inlineStr">
        <ns0:is>
          <ns0:t>Simulation\Resistors\MY_LIB_R_TCR.ckt</ns0:t>
        </ns0:is>
      </ns0:c>
      <ns0:c xmlns:ns0="http://schemas.openxmlformats.org/spreadsheetml/2006/main" r="AH207" s="16" t="inlineStr">
        <ns0:is>
          <ns0:t>±100 ppm/°C</ns0:t>
        </ns0:is>
      </ns0:c>
    </ns0:row>
    <ns0:row r="208" ht="30" customHeight="1">
      <ns0:c r="A208" t="str" s="10">
        <ns0:v>R0214</ns0:v>
      </ns0:c>
      <ns0:c r="B208" t="str" s="10">
        <ns0:v>Резистор</ns0:v>
      </ns0:c>
      <ns0:c r="C208" t="str" s="10">
        <ns0:v>330R</ns0:v>
      </ns0:c>
      <ns0:c r="D208" t="str" s="11">
        <ns0:f>SUBSTITUTE(SUBSTITUTE(SUBSTITUTE(SUBSTITUTE(C208,"meg"," МОм"),"k"," кОм"),"R"," Ом"),".",",")</ns0:f>
        <ns0:v>330 Ом</ns0:v>
      </ns0:c>
      <ns0:c r="E208" t="str" s="10">
        <ns0:v>±5%</ns0:v>
      </ns0:c>
      <ns0:c r="F208" t="str" s="10">
        <ns0:v>0,125 Вт</ns0:v>
      </ns0:c>
      <ns0:c r="G208" t="str" s="10">
        <ns0:v>150 В макс.</ns0:v>
      </ns0:c>
      <ns0:c r="H208" t="str" s="12">
        <ns0:v>0805</ns0:v>
      </ns0:c>
      <ns0:c r="I208" t="str" s="10">
        <ns0:v>YAGEO</ns0:v>
      </ns0:c>
      <ns0:c r="J208" t="str" s="10">
        <ns0:v>RC0805JR-07330RL</ns0:v>
      </ns0:c>
      <ns0:c r="K208" t="str" s="11">
        <ns0:f>B208&amp;" "&amp;D208&amp;" "&amp;E208&amp;" "&amp;H208</ns0:f>
        <ns0:v>Резистор 330 Ом ±5% 0805</ns0:v>
      </ns0:c>
      <ns0:c r="L208" t="str" s="13">
        <ns0:v>R</ns0:v>
      </ns0:c>
      <ns0:c r="M208" t="str" s="13">
        <ns0:v>Symbols\MY_LIB_Resistors.SchLib</ns0:v>
      </ns0:c>
      <ns0:c r="N208" t="str" s="13">
        <ns0:v>RESC2012X70N</ns0:v>
      </ns0:c>
      <ns0:c r="O208" t="str" s="13">
        <ns0:v>Footprints\PBL - SMD Packages.PcbLib</ns0:v>
      </ns0:c>
      <ns0:c xmlns:ns0="http://schemas.openxmlformats.org/spreadsheetml/2006/main" r="P20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8" s="10"/>
      <ns0:c r="R208" t="str" s="11">
        <ns0:f>D208</ns0:f>
        <ns0:v>330 Ом</ns0:v>
      </ns0:c>
      <ns0:c r="S208" t="str" s="11">
        <ns0:f>K208</ns0:f>
        <ns0:v>Резистор 330 Ом ±5% 0805</ns0:v>
      </ns0:c>
      <x:c xmlns:x="http://schemas.openxmlformats.org/spreadsheetml/2006/main" r="T208" t="str" s="11">
        <x:v>C:\Users\Nomatin\Documents\Altium\MY_LIB\MY_LIB\Datasheets\YAGEO_RC_L.pdf</x:v>
      </x:c>
      <x:c xmlns:x="http://schemas.openxmlformats.org/spreadsheetml/2006/main" r="U208" t="str" s="11">
        <x:v>Даташит — локальный</x:v>
      </x:c>
      <x:c xmlns:x="http://schemas.openxmlformats.org/spreadsheetml/2006/main" r="V208" t="str" s="11">
        <x:v>C:\Users\Nomatin\Documents\Altium\MY_LIB\MY_LIB\Datasheets\YAGEO_RC_L.pdf</x:v>
      </x:c>
      <x:c xmlns:x="http://schemas.openxmlformats.org/spreadsheetml/2006/main" r="W208" t="str" s="11">
        <x:v>Даташит — производитель</x:v>
      </x:c>
      <x:c xmlns:x="http://schemas.openxmlformats.org/spreadsheetml/2006/main" r="X208" t="str" s="11">
        <x:v>https://yageogroup.com/content/datasheet/asset/file/PYU-RC_GROUP_51_ROHS_L</x:v>
      </x:c>
      <x:c xmlns:x="http://schemas.openxmlformats.org/spreadsheetml/2006/main" r="Y208" t="str" s="11">
        <x:v>C:\Users\Nomatin\Documents\Altium\MY_LIB\MY_LIB\Datasheets\YAGEO_RC_L.pdf</x:v>
      </x:c>
      <ns0:c xmlns:ns0="http://schemas.openxmlformats.org/spreadsheetml/2006/main" r="Z208" s="16" t="inlineStr">
        <ns0:is>
          <ns0:t>MY_LIB_R_TCR</ns0:t>
        </ns0:is>
      </ns0:c>
      <ns0:c xmlns:ns0="http://schemas.openxmlformats.org/spreadsheetml/2006/main" r="AA208" s="16" t="inlineStr">
        <ns0:is>
          <ns0:t>R(T), +100 ppm/C at 25 C; positive datasheet limit</ns0:t>
        </ns0:is>
      </ns0:c>
      <ns0:c xmlns:ns0="http://schemas.openxmlformats.org/spreadsheetml/2006/main" r="AB208" s="16" t="str">
        <ns0:v>General</ns0:v>
      </ns0:c>
      <ns0:c xmlns:ns0="http://schemas.openxmlformats.org/spreadsheetml/2006/main" r="AC208" s="16" t="inlineStr">
        <ns0:is>
          <ns0:t>Spice Subcircuit</ns0:t>
        </ns0:is>
      </ns0:c>
      <ns0:c xmlns:ns0="http://schemas.openxmlformats.org/spreadsheetml/2006/main" r="AD208" s="16" t="inlineStr">
        <ns0:is>
          <ns0:t>@DESIGNATOR %1 %2 @MODEL PARAMS: Rvalue=@VALUE TC1value=100u</ns0:t>
        </ns0:is>
      </ns0:c>
      <ns0:c xmlns:ns0="http://schemas.openxmlformats.org/spreadsheetml/2006/main" r="AE208" s="16" t="inlineStr">
        <ns0:is>
          <ns0:t>X</ns0:t>
        </ns0:is>
      </ns0:c>
      <ns0:c xmlns:ns0="http://schemas.openxmlformats.org/spreadsheetml/2006/main" r="AF208" s="16" t="str">
        <ns0:v>(1:1),(2:2)</ns0:v>
      </ns0:c>
      <ns0:c xmlns:ns0="http://schemas.openxmlformats.org/spreadsheetml/2006/main" r="AG208" s="16" t="inlineStr">
        <ns0:is>
          <ns0:t>Simulation\Resistors\MY_LIB_R_TCR.ckt</ns0:t>
        </ns0:is>
      </ns0:c>
      <ns0:c xmlns:ns0="http://schemas.openxmlformats.org/spreadsheetml/2006/main" r="AH208" s="16" t="inlineStr">
        <ns0:is>
          <ns0:t>±100 ppm/°C</ns0:t>
        </ns0:is>
      </ns0:c>
    </ns0:row>
    <ns0:row r="209" ht="30" customHeight="1">
      <ns0:c r="A209" t="str" s="10">
        <ns0:v>R0215</ns0:v>
      </ns0:c>
      <ns0:c r="B209" t="str" s="10">
        <ns0:v>Резистор</ns0:v>
      </ns0:c>
      <ns0:c r="C209" t="str" s="10">
        <ns0:v>360R</ns0:v>
      </ns0:c>
      <ns0:c r="D209" t="str" s="11">
        <ns0:f>SUBSTITUTE(SUBSTITUTE(SUBSTITUTE(SUBSTITUTE(C209,"meg"," МОм"),"k"," кОм"),"R"," Ом"),".",",")</ns0:f>
        <ns0:v>360 Ом</ns0:v>
      </ns0:c>
      <ns0:c r="E209" t="str" s="10">
        <ns0:v>±5%</ns0:v>
      </ns0:c>
      <ns0:c r="F209" t="str" s="10">
        <ns0:v>0,125 Вт</ns0:v>
      </ns0:c>
      <ns0:c r="G209" t="str" s="10">
        <ns0:v>150 В макс.</ns0:v>
      </ns0:c>
      <ns0:c r="H209" t="str" s="12">
        <ns0:v>0805</ns0:v>
      </ns0:c>
      <ns0:c r="I209" t="str" s="10">
        <ns0:v>YAGEO</ns0:v>
      </ns0:c>
      <ns0:c r="J209" t="str" s="10">
        <ns0:v>RC0805JR-07360RL</ns0:v>
      </ns0:c>
      <ns0:c r="K209" t="str" s="11">
        <ns0:f>B209&amp;" "&amp;D209&amp;" "&amp;E209&amp;" "&amp;H209</ns0:f>
        <ns0:v>Резистор 360 Ом ±5% 0805</ns0:v>
      </ns0:c>
      <ns0:c r="L209" t="str" s="13">
        <ns0:v>R</ns0:v>
      </ns0:c>
      <ns0:c r="M209" t="str" s="13">
        <ns0:v>Symbols\MY_LIB_Resistors.SchLib</ns0:v>
      </ns0:c>
      <ns0:c r="N209" t="str" s="13">
        <ns0:v>RESC2012X70N</ns0:v>
      </ns0:c>
      <ns0:c r="O209" t="str" s="13">
        <ns0:v>Footprints\PBL - SMD Packages.PcbLib</ns0:v>
      </ns0:c>
      <ns0:c xmlns:ns0="http://schemas.openxmlformats.org/spreadsheetml/2006/main" r="P20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09" s="10"/>
      <ns0:c r="R209" t="str" s="11">
        <ns0:f>D209</ns0:f>
        <ns0:v>360 Ом</ns0:v>
      </ns0:c>
      <ns0:c r="S209" t="str" s="11">
        <ns0:f>K209</ns0:f>
        <ns0:v>Резистор 360 Ом ±5% 0805</ns0:v>
      </ns0:c>
      <x:c xmlns:x="http://schemas.openxmlformats.org/spreadsheetml/2006/main" r="T209" t="str" s="11">
        <x:v>C:\Users\Nomatin\Documents\Altium\MY_LIB\MY_LIB\Datasheets\YAGEO_RC_L.pdf</x:v>
      </x:c>
      <x:c xmlns:x="http://schemas.openxmlformats.org/spreadsheetml/2006/main" r="U209" t="str" s="11">
        <x:v>Даташит — локальный</x:v>
      </x:c>
      <x:c xmlns:x="http://schemas.openxmlformats.org/spreadsheetml/2006/main" r="V209" t="str" s="11">
        <x:v>C:\Users\Nomatin\Documents\Altium\MY_LIB\MY_LIB\Datasheets\YAGEO_RC_L.pdf</x:v>
      </x:c>
      <x:c xmlns:x="http://schemas.openxmlformats.org/spreadsheetml/2006/main" r="W209" t="str" s="11">
        <x:v>Даташит — производитель</x:v>
      </x:c>
      <x:c xmlns:x="http://schemas.openxmlformats.org/spreadsheetml/2006/main" r="X209" t="str" s="11">
        <x:v>https://yageogroup.com/content/datasheet/asset/file/PYU-RC_GROUP_51_ROHS_L</x:v>
      </x:c>
      <x:c xmlns:x="http://schemas.openxmlformats.org/spreadsheetml/2006/main" r="Y209" t="str" s="11">
        <x:v>C:\Users\Nomatin\Documents\Altium\MY_LIB\MY_LIB\Datasheets\YAGEO_RC_L.pdf</x:v>
      </x:c>
      <ns0:c xmlns:ns0="http://schemas.openxmlformats.org/spreadsheetml/2006/main" r="Z209" s="16" t="inlineStr">
        <ns0:is>
          <ns0:t>MY_LIB_R_TCR</ns0:t>
        </ns0:is>
      </ns0:c>
      <ns0:c xmlns:ns0="http://schemas.openxmlformats.org/spreadsheetml/2006/main" r="AA209" s="16" t="inlineStr">
        <ns0:is>
          <ns0:t>R(T), +100 ppm/C at 25 C; positive datasheet limit</ns0:t>
        </ns0:is>
      </ns0:c>
      <ns0:c xmlns:ns0="http://schemas.openxmlformats.org/spreadsheetml/2006/main" r="AB209" s="16" t="str">
        <ns0:v>General</ns0:v>
      </ns0:c>
      <ns0:c xmlns:ns0="http://schemas.openxmlformats.org/spreadsheetml/2006/main" r="AC209" s="16" t="inlineStr">
        <ns0:is>
          <ns0:t>Spice Subcircuit</ns0:t>
        </ns0:is>
      </ns0:c>
      <ns0:c xmlns:ns0="http://schemas.openxmlformats.org/spreadsheetml/2006/main" r="AD209" s="16" t="inlineStr">
        <ns0:is>
          <ns0:t>@DESIGNATOR %1 %2 @MODEL PARAMS: Rvalue=@VALUE TC1value=100u</ns0:t>
        </ns0:is>
      </ns0:c>
      <ns0:c xmlns:ns0="http://schemas.openxmlformats.org/spreadsheetml/2006/main" r="AE209" s="16" t="inlineStr">
        <ns0:is>
          <ns0:t>X</ns0:t>
        </ns0:is>
      </ns0:c>
      <ns0:c xmlns:ns0="http://schemas.openxmlformats.org/spreadsheetml/2006/main" r="AF209" s="16" t="str">
        <ns0:v>(1:1),(2:2)</ns0:v>
      </ns0:c>
      <ns0:c xmlns:ns0="http://schemas.openxmlformats.org/spreadsheetml/2006/main" r="AG209" s="16" t="inlineStr">
        <ns0:is>
          <ns0:t>Simulation\Resistors\MY_LIB_R_TCR.ckt</ns0:t>
        </ns0:is>
      </ns0:c>
      <ns0:c xmlns:ns0="http://schemas.openxmlformats.org/spreadsheetml/2006/main" r="AH209" s="16" t="inlineStr">
        <ns0:is>
          <ns0:t>±100 ppm/°C</ns0:t>
        </ns0:is>
      </ns0:c>
    </ns0:row>
    <ns0:row r="210" ht="30" customHeight="1">
      <ns0:c r="A210" t="str" s="10">
        <ns0:v>R0216</ns0:v>
      </ns0:c>
      <ns0:c r="B210" t="str" s="10">
        <ns0:v>Резистор</ns0:v>
      </ns0:c>
      <ns0:c r="C210" t="str" s="10">
        <ns0:v>390R</ns0:v>
      </ns0:c>
      <ns0:c r="D210" t="str" s="11">
        <ns0:f>SUBSTITUTE(SUBSTITUTE(SUBSTITUTE(SUBSTITUTE(C210,"meg"," МОм"),"k"," кОм"),"R"," Ом"),".",",")</ns0:f>
        <ns0:v>390 Ом</ns0:v>
      </ns0:c>
      <ns0:c r="E210" t="str" s="10">
        <ns0:v>±5%</ns0:v>
      </ns0:c>
      <ns0:c r="F210" t="str" s="10">
        <ns0:v>0,125 Вт</ns0:v>
      </ns0:c>
      <ns0:c r="G210" t="str" s="10">
        <ns0:v>150 В макс.</ns0:v>
      </ns0:c>
      <ns0:c r="H210" t="str" s="12">
        <ns0:v>0805</ns0:v>
      </ns0:c>
      <ns0:c r="I210" t="str" s="10">
        <ns0:v>YAGEO</ns0:v>
      </ns0:c>
      <ns0:c r="J210" t="str" s="10">
        <ns0:v>RC0805JR-07390RL</ns0:v>
      </ns0:c>
      <ns0:c r="K210" t="str" s="11">
        <ns0:f>B210&amp;" "&amp;D210&amp;" "&amp;E210&amp;" "&amp;H210</ns0:f>
        <ns0:v>Резистор 390 Ом ±5% 0805</ns0:v>
      </ns0:c>
      <ns0:c r="L210" t="str" s="13">
        <ns0:v>R</ns0:v>
      </ns0:c>
      <ns0:c r="M210" t="str" s="13">
        <ns0:v>Symbols\MY_LIB_Resistors.SchLib</ns0:v>
      </ns0:c>
      <ns0:c r="N210" t="str" s="13">
        <ns0:v>RESC2012X70N</ns0:v>
      </ns0:c>
      <ns0:c r="O210" t="str" s="13">
        <ns0:v>Footprints\PBL - SMD Packages.PcbLib</ns0:v>
      </ns0:c>
      <ns0:c xmlns:ns0="http://schemas.openxmlformats.org/spreadsheetml/2006/main" r="P21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0" s="10"/>
      <ns0:c r="R210" t="str" s="11">
        <ns0:f>D210</ns0:f>
        <ns0:v>390 Ом</ns0:v>
      </ns0:c>
      <ns0:c r="S210" t="str" s="11">
        <ns0:f>K210</ns0:f>
        <ns0:v>Резистор 390 Ом ±5% 0805</ns0:v>
      </ns0:c>
      <x:c xmlns:x="http://schemas.openxmlformats.org/spreadsheetml/2006/main" r="T210" t="str" s="11">
        <x:v>C:\Users\Nomatin\Documents\Altium\MY_LIB\MY_LIB\Datasheets\YAGEO_RC_L.pdf</x:v>
      </x:c>
      <x:c xmlns:x="http://schemas.openxmlformats.org/spreadsheetml/2006/main" r="U210" t="str" s="11">
        <x:v>Даташит — локальный</x:v>
      </x:c>
      <x:c xmlns:x="http://schemas.openxmlformats.org/spreadsheetml/2006/main" r="V210" t="str" s="11">
        <x:v>C:\Users\Nomatin\Documents\Altium\MY_LIB\MY_LIB\Datasheets\YAGEO_RC_L.pdf</x:v>
      </x:c>
      <x:c xmlns:x="http://schemas.openxmlformats.org/spreadsheetml/2006/main" r="W210" t="str" s="11">
        <x:v>Даташит — производитель</x:v>
      </x:c>
      <x:c xmlns:x="http://schemas.openxmlformats.org/spreadsheetml/2006/main" r="X210" t="str" s="11">
        <x:v>https://yageogroup.com/content/datasheet/asset/file/PYU-RC_GROUP_51_ROHS_L</x:v>
      </x:c>
      <x:c xmlns:x="http://schemas.openxmlformats.org/spreadsheetml/2006/main" r="Y210" t="str" s="11">
        <x:v>C:\Users\Nomatin\Documents\Altium\MY_LIB\MY_LIB\Datasheets\YAGEO_RC_L.pdf</x:v>
      </x:c>
      <ns0:c xmlns:ns0="http://schemas.openxmlformats.org/spreadsheetml/2006/main" r="Z210" s="16" t="inlineStr">
        <ns0:is>
          <ns0:t>MY_LIB_R_TCR</ns0:t>
        </ns0:is>
      </ns0:c>
      <ns0:c xmlns:ns0="http://schemas.openxmlformats.org/spreadsheetml/2006/main" r="AA210" s="16" t="inlineStr">
        <ns0:is>
          <ns0:t>R(T), +100 ppm/C at 25 C; positive datasheet limit</ns0:t>
        </ns0:is>
      </ns0:c>
      <ns0:c xmlns:ns0="http://schemas.openxmlformats.org/spreadsheetml/2006/main" r="AB210" s="16" t="str">
        <ns0:v>General</ns0:v>
      </ns0:c>
      <ns0:c xmlns:ns0="http://schemas.openxmlformats.org/spreadsheetml/2006/main" r="AC210" s="16" t="inlineStr">
        <ns0:is>
          <ns0:t>Spice Subcircuit</ns0:t>
        </ns0:is>
      </ns0:c>
      <ns0:c xmlns:ns0="http://schemas.openxmlformats.org/spreadsheetml/2006/main" r="AD210" s="16" t="inlineStr">
        <ns0:is>
          <ns0:t>@DESIGNATOR %1 %2 @MODEL PARAMS: Rvalue=@VALUE TC1value=100u</ns0:t>
        </ns0:is>
      </ns0:c>
      <ns0:c xmlns:ns0="http://schemas.openxmlformats.org/spreadsheetml/2006/main" r="AE210" s="16" t="inlineStr">
        <ns0:is>
          <ns0:t>X</ns0:t>
        </ns0:is>
      </ns0:c>
      <ns0:c xmlns:ns0="http://schemas.openxmlformats.org/spreadsheetml/2006/main" r="AF210" s="16" t="str">
        <ns0:v>(1:1),(2:2)</ns0:v>
      </ns0:c>
      <ns0:c xmlns:ns0="http://schemas.openxmlformats.org/spreadsheetml/2006/main" r="AG210" s="16" t="inlineStr">
        <ns0:is>
          <ns0:t>Simulation\Resistors\MY_LIB_R_TCR.ckt</ns0:t>
        </ns0:is>
      </ns0:c>
      <ns0:c xmlns:ns0="http://schemas.openxmlformats.org/spreadsheetml/2006/main" r="AH210" s="16" t="inlineStr">
        <ns0:is>
          <ns0:t>±100 ppm/°C</ns0:t>
        </ns0:is>
      </ns0:c>
    </ns0:row>
    <ns0:row r="211" ht="30" customHeight="1">
      <ns0:c r="A211" t="str" s="10">
        <ns0:v>R0217</ns0:v>
      </ns0:c>
      <ns0:c r="B211" t="str" s="10">
        <ns0:v>Резистор</ns0:v>
      </ns0:c>
      <ns0:c r="C211" t="str" s="10">
        <ns0:v>430R</ns0:v>
      </ns0:c>
      <ns0:c r="D211" t="str" s="11">
        <ns0:f>SUBSTITUTE(SUBSTITUTE(SUBSTITUTE(SUBSTITUTE(C211,"meg"," МОм"),"k"," кОм"),"R"," Ом"),".",",")</ns0:f>
        <ns0:v>430 Ом</ns0:v>
      </ns0:c>
      <ns0:c r="E211" t="str" s="10">
        <ns0:v>±5%</ns0:v>
      </ns0:c>
      <ns0:c r="F211" t="str" s="10">
        <ns0:v>0,125 Вт</ns0:v>
      </ns0:c>
      <ns0:c r="G211" t="str" s="10">
        <ns0:v>150 В макс.</ns0:v>
      </ns0:c>
      <ns0:c r="H211" t="str" s="12">
        <ns0:v>0805</ns0:v>
      </ns0:c>
      <ns0:c r="I211" t="str" s="10">
        <ns0:v>YAGEO</ns0:v>
      </ns0:c>
      <ns0:c r="J211" t="str" s="10">
        <ns0:v>RC0805JR-07430RL</ns0:v>
      </ns0:c>
      <ns0:c r="K211" t="str" s="11">
        <ns0:f>B211&amp;" "&amp;D211&amp;" "&amp;E211&amp;" "&amp;H211</ns0:f>
        <ns0:v>Резистор 430 Ом ±5% 0805</ns0:v>
      </ns0:c>
      <ns0:c r="L211" t="str" s="13">
        <ns0:v>R</ns0:v>
      </ns0:c>
      <ns0:c r="M211" t="str" s="13">
        <ns0:v>Symbols\MY_LIB_Resistors.SchLib</ns0:v>
      </ns0:c>
      <ns0:c r="N211" t="str" s="13">
        <ns0:v>RESC2012X70N</ns0:v>
      </ns0:c>
      <ns0:c r="O211" t="str" s="13">
        <ns0:v>Footprints\PBL - SMD Packages.PcbLib</ns0:v>
      </ns0:c>
      <ns0:c xmlns:ns0="http://schemas.openxmlformats.org/spreadsheetml/2006/main" r="P21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1" s="10"/>
      <ns0:c r="R211" t="str" s="11">
        <ns0:f>D211</ns0:f>
        <ns0:v>430 Ом</ns0:v>
      </ns0:c>
      <ns0:c r="S211" t="str" s="11">
        <ns0:f>K211</ns0:f>
        <ns0:v>Резистор 430 Ом ±5% 0805</ns0:v>
      </ns0:c>
      <x:c xmlns:x="http://schemas.openxmlformats.org/spreadsheetml/2006/main" r="T211" t="str" s="11">
        <x:v>C:\Users\Nomatin\Documents\Altium\MY_LIB\MY_LIB\Datasheets\YAGEO_RC_L.pdf</x:v>
      </x:c>
      <x:c xmlns:x="http://schemas.openxmlformats.org/spreadsheetml/2006/main" r="U211" t="str" s="11">
        <x:v>Даташит — локальный</x:v>
      </x:c>
      <x:c xmlns:x="http://schemas.openxmlformats.org/spreadsheetml/2006/main" r="V211" t="str" s="11">
        <x:v>C:\Users\Nomatin\Documents\Altium\MY_LIB\MY_LIB\Datasheets\YAGEO_RC_L.pdf</x:v>
      </x:c>
      <x:c xmlns:x="http://schemas.openxmlformats.org/spreadsheetml/2006/main" r="W211" t="str" s="11">
        <x:v>Даташит — производитель</x:v>
      </x:c>
      <x:c xmlns:x="http://schemas.openxmlformats.org/spreadsheetml/2006/main" r="X211" t="str" s="11">
        <x:v>https://yageogroup.com/content/datasheet/asset/file/PYU-RC_GROUP_51_ROHS_L</x:v>
      </x:c>
      <x:c xmlns:x="http://schemas.openxmlformats.org/spreadsheetml/2006/main" r="Y211" t="str" s="11">
        <x:v>C:\Users\Nomatin\Documents\Altium\MY_LIB\MY_LIB\Datasheets\YAGEO_RC_L.pdf</x:v>
      </x:c>
      <ns0:c xmlns:ns0="http://schemas.openxmlformats.org/spreadsheetml/2006/main" r="Z211" s="16" t="inlineStr">
        <ns0:is>
          <ns0:t>MY_LIB_R_TCR</ns0:t>
        </ns0:is>
      </ns0:c>
      <ns0:c xmlns:ns0="http://schemas.openxmlformats.org/spreadsheetml/2006/main" r="AA211" s="16" t="inlineStr">
        <ns0:is>
          <ns0:t>R(T), +100 ppm/C at 25 C; positive datasheet limit</ns0:t>
        </ns0:is>
      </ns0:c>
      <ns0:c xmlns:ns0="http://schemas.openxmlformats.org/spreadsheetml/2006/main" r="AB211" s="16" t="str">
        <ns0:v>General</ns0:v>
      </ns0:c>
      <ns0:c xmlns:ns0="http://schemas.openxmlformats.org/spreadsheetml/2006/main" r="AC211" s="16" t="inlineStr">
        <ns0:is>
          <ns0:t>Spice Subcircuit</ns0:t>
        </ns0:is>
      </ns0:c>
      <ns0:c xmlns:ns0="http://schemas.openxmlformats.org/spreadsheetml/2006/main" r="AD211" s="16" t="inlineStr">
        <ns0:is>
          <ns0:t>@DESIGNATOR %1 %2 @MODEL PARAMS: Rvalue=@VALUE TC1value=100u</ns0:t>
        </ns0:is>
      </ns0:c>
      <ns0:c xmlns:ns0="http://schemas.openxmlformats.org/spreadsheetml/2006/main" r="AE211" s="16" t="inlineStr">
        <ns0:is>
          <ns0:t>X</ns0:t>
        </ns0:is>
      </ns0:c>
      <ns0:c xmlns:ns0="http://schemas.openxmlformats.org/spreadsheetml/2006/main" r="AF211" s="16" t="str">
        <ns0:v>(1:1),(2:2)</ns0:v>
      </ns0:c>
      <ns0:c xmlns:ns0="http://schemas.openxmlformats.org/spreadsheetml/2006/main" r="AG211" s="16" t="inlineStr">
        <ns0:is>
          <ns0:t>Simulation\Resistors\MY_LIB_R_TCR.ckt</ns0:t>
        </ns0:is>
      </ns0:c>
      <ns0:c xmlns:ns0="http://schemas.openxmlformats.org/spreadsheetml/2006/main" r="AH211" s="16" t="inlineStr">
        <ns0:is>
          <ns0:t>±100 ppm/°C</ns0:t>
        </ns0:is>
      </ns0:c>
    </ns0:row>
    <ns0:row r="212" ht="30" customHeight="1">
      <ns0:c r="A212" t="str" s="10">
        <ns0:v>R0218</ns0:v>
      </ns0:c>
      <ns0:c r="B212" t="str" s="10">
        <ns0:v>Резистор</ns0:v>
      </ns0:c>
      <ns0:c r="C212" t="str" s="10">
        <ns0:v>470R</ns0:v>
      </ns0:c>
      <ns0:c r="D212" t="str" s="11">
        <ns0:f>SUBSTITUTE(SUBSTITUTE(SUBSTITUTE(SUBSTITUTE(C212,"meg"," МОм"),"k"," кОм"),"R"," Ом"),".",",")</ns0:f>
        <ns0:v>470 Ом</ns0:v>
      </ns0:c>
      <ns0:c r="E212" t="str" s="10">
        <ns0:v>±5%</ns0:v>
      </ns0:c>
      <ns0:c r="F212" t="str" s="10">
        <ns0:v>0,125 Вт</ns0:v>
      </ns0:c>
      <ns0:c r="G212" t="str" s="10">
        <ns0:v>150 В макс.</ns0:v>
      </ns0:c>
      <ns0:c r="H212" t="str" s="12">
        <ns0:v>0805</ns0:v>
      </ns0:c>
      <ns0:c r="I212" t="str" s="10">
        <ns0:v>YAGEO</ns0:v>
      </ns0:c>
      <ns0:c r="J212" t="str" s="10">
        <ns0:v>RC0805JR-07470RL</ns0:v>
      </ns0:c>
      <ns0:c r="K212" t="str" s="11">
        <ns0:f>B212&amp;" "&amp;D212&amp;" "&amp;E212&amp;" "&amp;H212</ns0:f>
        <ns0:v>Резистор 470 Ом ±5% 0805</ns0:v>
      </ns0:c>
      <ns0:c r="L212" t="str" s="13">
        <ns0:v>R</ns0:v>
      </ns0:c>
      <ns0:c r="M212" t="str" s="13">
        <ns0:v>Symbols\MY_LIB_Resistors.SchLib</ns0:v>
      </ns0:c>
      <ns0:c r="N212" t="str" s="13">
        <ns0:v>RESC2012X70N</ns0:v>
      </ns0:c>
      <ns0:c r="O212" t="str" s="13">
        <ns0:v>Footprints\PBL - SMD Packages.PcbLib</ns0:v>
      </ns0:c>
      <ns0:c xmlns:ns0="http://schemas.openxmlformats.org/spreadsheetml/2006/main" r="P21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2" s="10"/>
      <ns0:c r="R212" t="str" s="11">
        <ns0:f>D212</ns0:f>
        <ns0:v>470 Ом</ns0:v>
      </ns0:c>
      <ns0:c r="S212" t="str" s="11">
        <ns0:f>K212</ns0:f>
        <ns0:v>Резистор 470 Ом ±5% 0805</ns0:v>
      </ns0:c>
      <x:c xmlns:x="http://schemas.openxmlformats.org/spreadsheetml/2006/main" r="T212" t="str" s="11">
        <x:v>C:\Users\Nomatin\Documents\Altium\MY_LIB\MY_LIB\Datasheets\YAGEO_RC_L.pdf</x:v>
      </x:c>
      <x:c xmlns:x="http://schemas.openxmlformats.org/spreadsheetml/2006/main" r="U212" t="str" s="11">
        <x:v>Даташит — локальный</x:v>
      </x:c>
      <x:c xmlns:x="http://schemas.openxmlformats.org/spreadsheetml/2006/main" r="V212" t="str" s="11">
        <x:v>C:\Users\Nomatin\Documents\Altium\MY_LIB\MY_LIB\Datasheets\YAGEO_RC_L.pdf</x:v>
      </x:c>
      <x:c xmlns:x="http://schemas.openxmlformats.org/spreadsheetml/2006/main" r="W212" t="str" s="11">
        <x:v>Даташит — производитель</x:v>
      </x:c>
      <x:c xmlns:x="http://schemas.openxmlformats.org/spreadsheetml/2006/main" r="X212" t="str" s="11">
        <x:v>https://yageogroup.com/content/datasheet/asset/file/PYU-RC_GROUP_51_ROHS_L</x:v>
      </x:c>
      <x:c xmlns:x="http://schemas.openxmlformats.org/spreadsheetml/2006/main" r="Y212" t="str" s="11">
        <x:v>C:\Users\Nomatin\Documents\Altium\MY_LIB\MY_LIB\Datasheets\YAGEO_RC_L.pdf</x:v>
      </x:c>
      <ns0:c xmlns:ns0="http://schemas.openxmlformats.org/spreadsheetml/2006/main" r="Z212" s="16" t="inlineStr">
        <ns0:is>
          <ns0:t>MY_LIB_R_TCR</ns0:t>
        </ns0:is>
      </ns0:c>
      <ns0:c xmlns:ns0="http://schemas.openxmlformats.org/spreadsheetml/2006/main" r="AA212" s="16" t="inlineStr">
        <ns0:is>
          <ns0:t>R(T), +100 ppm/C at 25 C; positive datasheet limit</ns0:t>
        </ns0:is>
      </ns0:c>
      <ns0:c xmlns:ns0="http://schemas.openxmlformats.org/spreadsheetml/2006/main" r="AB212" s="16" t="str">
        <ns0:v>General</ns0:v>
      </ns0:c>
      <ns0:c xmlns:ns0="http://schemas.openxmlformats.org/spreadsheetml/2006/main" r="AC212" s="16" t="inlineStr">
        <ns0:is>
          <ns0:t>Spice Subcircuit</ns0:t>
        </ns0:is>
      </ns0:c>
      <ns0:c xmlns:ns0="http://schemas.openxmlformats.org/spreadsheetml/2006/main" r="AD212" s="16" t="inlineStr">
        <ns0:is>
          <ns0:t>@DESIGNATOR %1 %2 @MODEL PARAMS: Rvalue=@VALUE TC1value=100u</ns0:t>
        </ns0:is>
      </ns0:c>
      <ns0:c xmlns:ns0="http://schemas.openxmlformats.org/spreadsheetml/2006/main" r="AE212" s="16" t="inlineStr">
        <ns0:is>
          <ns0:t>X</ns0:t>
        </ns0:is>
      </ns0:c>
      <ns0:c xmlns:ns0="http://schemas.openxmlformats.org/spreadsheetml/2006/main" r="AF212" s="16" t="str">
        <ns0:v>(1:1),(2:2)</ns0:v>
      </ns0:c>
      <ns0:c xmlns:ns0="http://schemas.openxmlformats.org/spreadsheetml/2006/main" r="AG212" s="16" t="inlineStr">
        <ns0:is>
          <ns0:t>Simulation\Resistors\MY_LIB_R_TCR.ckt</ns0:t>
        </ns0:is>
      </ns0:c>
      <ns0:c xmlns:ns0="http://schemas.openxmlformats.org/spreadsheetml/2006/main" r="AH212" s="16" t="inlineStr">
        <ns0:is>
          <ns0:t>±100 ppm/°C</ns0:t>
        </ns0:is>
      </ns0:c>
    </ns0:row>
    <ns0:row r="213" ht="30" customHeight="1">
      <ns0:c r="A213" t="str" s="10">
        <ns0:v>R0219</ns0:v>
      </ns0:c>
      <ns0:c r="B213" t="str" s="10">
        <ns0:v>Резистор</ns0:v>
      </ns0:c>
      <ns0:c r="C213" t="str" s="10">
        <ns0:v>510R</ns0:v>
      </ns0:c>
      <ns0:c r="D213" t="str" s="11">
        <ns0:f>SUBSTITUTE(SUBSTITUTE(SUBSTITUTE(SUBSTITUTE(C213,"meg"," МОм"),"k"," кОм"),"R"," Ом"),".",",")</ns0:f>
        <ns0:v>510 Ом</ns0:v>
      </ns0:c>
      <ns0:c r="E213" t="str" s="10">
        <ns0:v>±5%</ns0:v>
      </ns0:c>
      <ns0:c r="F213" t="str" s="10">
        <ns0:v>0,125 Вт</ns0:v>
      </ns0:c>
      <ns0:c r="G213" t="str" s="10">
        <ns0:v>150 В макс.</ns0:v>
      </ns0:c>
      <ns0:c r="H213" t="str" s="12">
        <ns0:v>0805</ns0:v>
      </ns0:c>
      <ns0:c r="I213" t="str" s="10">
        <ns0:v>YAGEO</ns0:v>
      </ns0:c>
      <ns0:c r="J213" t="str" s="10">
        <ns0:v>RC0805JR-07510RL</ns0:v>
      </ns0:c>
      <ns0:c r="K213" t="str" s="11">
        <ns0:f>B213&amp;" "&amp;D213&amp;" "&amp;E213&amp;" "&amp;H213</ns0:f>
        <ns0:v>Резистор 510 Ом ±5% 0805</ns0:v>
      </ns0:c>
      <ns0:c r="L213" t="str" s="13">
        <ns0:v>R</ns0:v>
      </ns0:c>
      <ns0:c r="M213" t="str" s="13">
        <ns0:v>Symbols\MY_LIB_Resistors.SchLib</ns0:v>
      </ns0:c>
      <ns0:c r="N213" t="str" s="13">
        <ns0:v>RESC2012X70N</ns0:v>
      </ns0:c>
      <ns0:c r="O213" t="str" s="13">
        <ns0:v>Footprints\PBL - SMD Packages.PcbLib</ns0:v>
      </ns0:c>
      <ns0:c xmlns:ns0="http://schemas.openxmlformats.org/spreadsheetml/2006/main" r="P21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3" s="10"/>
      <ns0:c r="R213" t="str" s="11">
        <ns0:f>D213</ns0:f>
        <ns0:v>510 Ом</ns0:v>
      </ns0:c>
      <ns0:c r="S213" t="str" s="11">
        <ns0:f>K213</ns0:f>
        <ns0:v>Резистор 510 Ом ±5% 0805</ns0:v>
      </ns0:c>
      <x:c xmlns:x="http://schemas.openxmlformats.org/spreadsheetml/2006/main" r="T213" t="str" s="11">
        <x:v>C:\Users\Nomatin\Documents\Altium\MY_LIB\MY_LIB\Datasheets\YAGEO_RC_L.pdf</x:v>
      </x:c>
      <x:c xmlns:x="http://schemas.openxmlformats.org/spreadsheetml/2006/main" r="U213" t="str" s="11">
        <x:v>Даташит — локальный</x:v>
      </x:c>
      <x:c xmlns:x="http://schemas.openxmlformats.org/spreadsheetml/2006/main" r="V213" t="str" s="11">
        <x:v>C:\Users\Nomatin\Documents\Altium\MY_LIB\MY_LIB\Datasheets\YAGEO_RC_L.pdf</x:v>
      </x:c>
      <x:c xmlns:x="http://schemas.openxmlformats.org/spreadsheetml/2006/main" r="W213" t="str" s="11">
        <x:v>Даташит — производитель</x:v>
      </x:c>
      <x:c xmlns:x="http://schemas.openxmlformats.org/spreadsheetml/2006/main" r="X213" t="str" s="11">
        <x:v>https://yageogroup.com/content/datasheet/asset/file/PYU-RC_GROUP_51_ROHS_L</x:v>
      </x:c>
      <x:c xmlns:x="http://schemas.openxmlformats.org/spreadsheetml/2006/main" r="Y213" t="str" s="11">
        <x:v>C:\Users\Nomatin\Documents\Altium\MY_LIB\MY_LIB\Datasheets\YAGEO_RC_L.pdf</x:v>
      </x:c>
      <ns0:c xmlns:ns0="http://schemas.openxmlformats.org/spreadsheetml/2006/main" r="Z213" s="16" t="inlineStr">
        <ns0:is>
          <ns0:t>MY_LIB_R_TCR</ns0:t>
        </ns0:is>
      </ns0:c>
      <ns0:c xmlns:ns0="http://schemas.openxmlformats.org/spreadsheetml/2006/main" r="AA213" s="16" t="inlineStr">
        <ns0:is>
          <ns0:t>R(T), +100 ppm/C at 25 C; positive datasheet limit</ns0:t>
        </ns0:is>
      </ns0:c>
      <ns0:c xmlns:ns0="http://schemas.openxmlformats.org/spreadsheetml/2006/main" r="AB213" s="16" t="str">
        <ns0:v>General</ns0:v>
      </ns0:c>
      <ns0:c xmlns:ns0="http://schemas.openxmlformats.org/spreadsheetml/2006/main" r="AC213" s="16" t="inlineStr">
        <ns0:is>
          <ns0:t>Spice Subcircuit</ns0:t>
        </ns0:is>
      </ns0:c>
      <ns0:c xmlns:ns0="http://schemas.openxmlformats.org/spreadsheetml/2006/main" r="AD213" s="16" t="inlineStr">
        <ns0:is>
          <ns0:t>@DESIGNATOR %1 %2 @MODEL PARAMS: Rvalue=@VALUE TC1value=100u</ns0:t>
        </ns0:is>
      </ns0:c>
      <ns0:c xmlns:ns0="http://schemas.openxmlformats.org/spreadsheetml/2006/main" r="AE213" s="16" t="inlineStr">
        <ns0:is>
          <ns0:t>X</ns0:t>
        </ns0:is>
      </ns0:c>
      <ns0:c xmlns:ns0="http://schemas.openxmlformats.org/spreadsheetml/2006/main" r="AF213" s="16" t="str">
        <ns0:v>(1:1),(2:2)</ns0:v>
      </ns0:c>
      <ns0:c xmlns:ns0="http://schemas.openxmlformats.org/spreadsheetml/2006/main" r="AG213" s="16" t="inlineStr">
        <ns0:is>
          <ns0:t>Simulation\Resistors\MY_LIB_R_TCR.ckt</ns0:t>
        </ns0:is>
      </ns0:c>
      <ns0:c xmlns:ns0="http://schemas.openxmlformats.org/spreadsheetml/2006/main" r="AH213" s="16" t="inlineStr">
        <ns0:is>
          <ns0:t>±100 ppm/°C</ns0:t>
        </ns0:is>
      </ns0:c>
    </ns0:row>
    <ns0:row r="214" ht="30" customHeight="1">
      <ns0:c r="A214" t="str" s="10">
        <ns0:v>R0220</ns0:v>
      </ns0:c>
      <ns0:c r="B214" t="str" s="10">
        <ns0:v>Резистор</ns0:v>
      </ns0:c>
      <ns0:c r="C214" t="str" s="10">
        <ns0:v>560R</ns0:v>
      </ns0:c>
      <ns0:c r="D214" t="str" s="11">
        <ns0:f>SUBSTITUTE(SUBSTITUTE(SUBSTITUTE(SUBSTITUTE(C214,"meg"," МОм"),"k"," кОм"),"R"," Ом"),".",",")</ns0:f>
        <ns0:v>560 Ом</ns0:v>
      </ns0:c>
      <ns0:c r="E214" t="str" s="10">
        <ns0:v>±5%</ns0:v>
      </ns0:c>
      <ns0:c r="F214" t="str" s="10">
        <ns0:v>0,125 Вт</ns0:v>
      </ns0:c>
      <ns0:c r="G214" t="str" s="10">
        <ns0:v>150 В макс.</ns0:v>
      </ns0:c>
      <ns0:c r="H214" t="str" s="12">
        <ns0:v>0805</ns0:v>
      </ns0:c>
      <ns0:c r="I214" t="str" s="10">
        <ns0:v>YAGEO</ns0:v>
      </ns0:c>
      <ns0:c r="J214" t="str" s="10">
        <ns0:v>RC0805JR-07560RL</ns0:v>
      </ns0:c>
      <ns0:c r="K214" t="str" s="11">
        <ns0:f>B214&amp;" "&amp;D214&amp;" "&amp;E214&amp;" "&amp;H214</ns0:f>
        <ns0:v>Резистор 560 Ом ±5% 0805</ns0:v>
      </ns0:c>
      <ns0:c r="L214" t="str" s="13">
        <ns0:v>R</ns0:v>
      </ns0:c>
      <ns0:c r="M214" t="str" s="13">
        <ns0:v>Symbols\MY_LIB_Resistors.SchLib</ns0:v>
      </ns0:c>
      <ns0:c r="N214" t="str" s="13">
        <ns0:v>RESC2012X70N</ns0:v>
      </ns0:c>
      <ns0:c r="O214" t="str" s="13">
        <ns0:v>Footprints\PBL - SMD Packages.PcbLib</ns0:v>
      </ns0:c>
      <ns0:c xmlns:ns0="http://schemas.openxmlformats.org/spreadsheetml/2006/main" r="P21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4" s="10"/>
      <ns0:c r="R214" t="str" s="11">
        <ns0:f>D214</ns0:f>
        <ns0:v>560 Ом</ns0:v>
      </ns0:c>
      <ns0:c r="S214" t="str" s="11">
        <ns0:f>K214</ns0:f>
        <ns0:v>Резистор 560 Ом ±5% 0805</ns0:v>
      </ns0:c>
      <x:c xmlns:x="http://schemas.openxmlformats.org/spreadsheetml/2006/main" r="T214" t="str" s="11">
        <x:v>C:\Users\Nomatin\Documents\Altium\MY_LIB\MY_LIB\Datasheets\YAGEO_RC_L.pdf</x:v>
      </x:c>
      <x:c xmlns:x="http://schemas.openxmlformats.org/spreadsheetml/2006/main" r="U214" t="str" s="11">
        <x:v>Даташит — локальный</x:v>
      </x:c>
      <x:c xmlns:x="http://schemas.openxmlformats.org/spreadsheetml/2006/main" r="V214" t="str" s="11">
        <x:v>C:\Users\Nomatin\Documents\Altium\MY_LIB\MY_LIB\Datasheets\YAGEO_RC_L.pdf</x:v>
      </x:c>
      <x:c xmlns:x="http://schemas.openxmlformats.org/spreadsheetml/2006/main" r="W214" t="str" s="11">
        <x:v>Даташит — производитель</x:v>
      </x:c>
      <x:c xmlns:x="http://schemas.openxmlformats.org/spreadsheetml/2006/main" r="X214" t="str" s="11">
        <x:v>https://yageogroup.com/content/datasheet/asset/file/PYU-RC_GROUP_51_ROHS_L</x:v>
      </x:c>
      <x:c xmlns:x="http://schemas.openxmlformats.org/spreadsheetml/2006/main" r="Y214" t="str" s="11">
        <x:v>C:\Users\Nomatin\Documents\Altium\MY_LIB\MY_LIB\Datasheets\YAGEO_RC_L.pdf</x:v>
      </x:c>
      <ns0:c xmlns:ns0="http://schemas.openxmlformats.org/spreadsheetml/2006/main" r="Z214" s="16" t="inlineStr">
        <ns0:is>
          <ns0:t>MY_LIB_R_TCR</ns0:t>
        </ns0:is>
      </ns0:c>
      <ns0:c xmlns:ns0="http://schemas.openxmlformats.org/spreadsheetml/2006/main" r="AA214" s="16" t="inlineStr">
        <ns0:is>
          <ns0:t>R(T), +100 ppm/C at 25 C; positive datasheet limit</ns0:t>
        </ns0:is>
      </ns0:c>
      <ns0:c xmlns:ns0="http://schemas.openxmlformats.org/spreadsheetml/2006/main" r="AB214" s="16" t="str">
        <ns0:v>General</ns0:v>
      </ns0:c>
      <ns0:c xmlns:ns0="http://schemas.openxmlformats.org/spreadsheetml/2006/main" r="AC214" s="16" t="inlineStr">
        <ns0:is>
          <ns0:t>Spice Subcircuit</ns0:t>
        </ns0:is>
      </ns0:c>
      <ns0:c xmlns:ns0="http://schemas.openxmlformats.org/spreadsheetml/2006/main" r="AD214" s="16" t="inlineStr">
        <ns0:is>
          <ns0:t>@DESIGNATOR %1 %2 @MODEL PARAMS: Rvalue=@VALUE TC1value=100u</ns0:t>
        </ns0:is>
      </ns0:c>
      <ns0:c xmlns:ns0="http://schemas.openxmlformats.org/spreadsheetml/2006/main" r="AE214" s="16" t="inlineStr">
        <ns0:is>
          <ns0:t>X</ns0:t>
        </ns0:is>
      </ns0:c>
      <ns0:c xmlns:ns0="http://schemas.openxmlformats.org/spreadsheetml/2006/main" r="AF214" s="16" t="str">
        <ns0:v>(1:1),(2:2)</ns0:v>
      </ns0:c>
      <ns0:c xmlns:ns0="http://schemas.openxmlformats.org/spreadsheetml/2006/main" r="AG214" s="16" t="inlineStr">
        <ns0:is>
          <ns0:t>Simulation\Resistors\MY_LIB_R_TCR.ckt</ns0:t>
        </ns0:is>
      </ns0:c>
      <ns0:c xmlns:ns0="http://schemas.openxmlformats.org/spreadsheetml/2006/main" r="AH214" s="16" t="inlineStr">
        <ns0:is>
          <ns0:t>±100 ppm/°C</ns0:t>
        </ns0:is>
      </ns0:c>
    </ns0:row>
    <ns0:row r="215" ht="30" customHeight="1">
      <ns0:c r="A215" t="str" s="10">
        <ns0:v>R0221</ns0:v>
      </ns0:c>
      <ns0:c r="B215" t="str" s="10">
        <ns0:v>Резистор</ns0:v>
      </ns0:c>
      <ns0:c r="C215" t="str" s="10">
        <ns0:v>620R</ns0:v>
      </ns0:c>
      <ns0:c r="D215" t="str" s="11">
        <ns0:f>SUBSTITUTE(SUBSTITUTE(SUBSTITUTE(SUBSTITUTE(C215,"meg"," МОм"),"k"," кОм"),"R"," Ом"),".",",")</ns0:f>
        <ns0:v>620 Ом</ns0:v>
      </ns0:c>
      <ns0:c r="E215" t="str" s="10">
        <ns0:v>±5%</ns0:v>
      </ns0:c>
      <ns0:c r="F215" t="str" s="10">
        <ns0:v>0,125 Вт</ns0:v>
      </ns0:c>
      <ns0:c r="G215" t="str" s="10">
        <ns0:v>150 В макс.</ns0:v>
      </ns0:c>
      <ns0:c r="H215" t="str" s="12">
        <ns0:v>0805</ns0:v>
      </ns0:c>
      <ns0:c r="I215" t="str" s="10">
        <ns0:v>YAGEO</ns0:v>
      </ns0:c>
      <ns0:c r="J215" t="str" s="10">
        <ns0:v>RC0805JR-07620RL</ns0:v>
      </ns0:c>
      <ns0:c r="K215" t="str" s="11">
        <ns0:f>B215&amp;" "&amp;D215&amp;" "&amp;E215&amp;" "&amp;H215</ns0:f>
        <ns0:v>Резистор 620 Ом ±5% 0805</ns0:v>
      </ns0:c>
      <ns0:c r="L215" t="str" s="13">
        <ns0:v>R</ns0:v>
      </ns0:c>
      <ns0:c r="M215" t="str" s="13">
        <ns0:v>Symbols\MY_LIB_Resistors.SchLib</ns0:v>
      </ns0:c>
      <ns0:c r="N215" t="str" s="13">
        <ns0:v>RESC2012X70N</ns0:v>
      </ns0:c>
      <ns0:c r="O215" t="str" s="13">
        <ns0:v>Footprints\PBL - SMD Packages.PcbLib</ns0:v>
      </ns0:c>
      <ns0:c xmlns:ns0="http://schemas.openxmlformats.org/spreadsheetml/2006/main" r="P21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5" s="10"/>
      <ns0:c r="R215" t="str" s="11">
        <ns0:f>D215</ns0:f>
        <ns0:v>620 Ом</ns0:v>
      </ns0:c>
      <ns0:c r="S215" t="str" s="11">
        <ns0:f>K215</ns0:f>
        <ns0:v>Резистор 620 Ом ±5% 0805</ns0:v>
      </ns0:c>
      <x:c xmlns:x="http://schemas.openxmlformats.org/spreadsheetml/2006/main" r="T215" t="str" s="11">
        <x:v>C:\Users\Nomatin\Documents\Altium\MY_LIB\MY_LIB\Datasheets\YAGEO_RC_L.pdf</x:v>
      </x:c>
      <x:c xmlns:x="http://schemas.openxmlformats.org/spreadsheetml/2006/main" r="U215" t="str" s="11">
        <x:v>Даташит — локальный</x:v>
      </x:c>
      <x:c xmlns:x="http://schemas.openxmlformats.org/spreadsheetml/2006/main" r="V215" t="str" s="11">
        <x:v>C:\Users\Nomatin\Documents\Altium\MY_LIB\MY_LIB\Datasheets\YAGEO_RC_L.pdf</x:v>
      </x:c>
      <x:c xmlns:x="http://schemas.openxmlformats.org/spreadsheetml/2006/main" r="W215" t="str" s="11">
        <x:v>Даташит — производитель</x:v>
      </x:c>
      <x:c xmlns:x="http://schemas.openxmlformats.org/spreadsheetml/2006/main" r="X215" t="str" s="11">
        <x:v>https://yageogroup.com/content/datasheet/asset/file/PYU-RC_GROUP_51_ROHS_L</x:v>
      </x:c>
      <x:c xmlns:x="http://schemas.openxmlformats.org/spreadsheetml/2006/main" r="Y215" t="str" s="11">
        <x:v>C:\Users\Nomatin\Documents\Altium\MY_LIB\MY_LIB\Datasheets\YAGEO_RC_L.pdf</x:v>
      </x:c>
      <ns0:c xmlns:ns0="http://schemas.openxmlformats.org/spreadsheetml/2006/main" r="Z215" s="16" t="inlineStr">
        <ns0:is>
          <ns0:t>MY_LIB_R_TCR</ns0:t>
        </ns0:is>
      </ns0:c>
      <ns0:c xmlns:ns0="http://schemas.openxmlformats.org/spreadsheetml/2006/main" r="AA215" s="16" t="inlineStr">
        <ns0:is>
          <ns0:t>R(T), +100 ppm/C at 25 C; positive datasheet limit</ns0:t>
        </ns0:is>
      </ns0:c>
      <ns0:c xmlns:ns0="http://schemas.openxmlformats.org/spreadsheetml/2006/main" r="AB215" s="16" t="str">
        <ns0:v>General</ns0:v>
      </ns0:c>
      <ns0:c xmlns:ns0="http://schemas.openxmlformats.org/spreadsheetml/2006/main" r="AC215" s="16" t="inlineStr">
        <ns0:is>
          <ns0:t>Spice Subcircuit</ns0:t>
        </ns0:is>
      </ns0:c>
      <ns0:c xmlns:ns0="http://schemas.openxmlformats.org/spreadsheetml/2006/main" r="AD215" s="16" t="inlineStr">
        <ns0:is>
          <ns0:t>@DESIGNATOR %1 %2 @MODEL PARAMS: Rvalue=@VALUE TC1value=100u</ns0:t>
        </ns0:is>
      </ns0:c>
      <ns0:c xmlns:ns0="http://schemas.openxmlformats.org/spreadsheetml/2006/main" r="AE215" s="16" t="inlineStr">
        <ns0:is>
          <ns0:t>X</ns0:t>
        </ns0:is>
      </ns0:c>
      <ns0:c xmlns:ns0="http://schemas.openxmlformats.org/spreadsheetml/2006/main" r="AF215" s="16" t="str">
        <ns0:v>(1:1),(2:2)</ns0:v>
      </ns0:c>
      <ns0:c xmlns:ns0="http://schemas.openxmlformats.org/spreadsheetml/2006/main" r="AG215" s="16" t="inlineStr">
        <ns0:is>
          <ns0:t>Simulation\Resistors\MY_LIB_R_TCR.ckt</ns0:t>
        </ns0:is>
      </ns0:c>
      <ns0:c xmlns:ns0="http://schemas.openxmlformats.org/spreadsheetml/2006/main" r="AH215" s="16" t="inlineStr">
        <ns0:is>
          <ns0:t>±100 ppm/°C</ns0:t>
        </ns0:is>
      </ns0:c>
    </ns0:row>
    <ns0:row r="216" ht="30" customHeight="1">
      <ns0:c r="A216" t="str" s="10">
        <ns0:v>R0222</ns0:v>
      </ns0:c>
      <ns0:c r="B216" t="str" s="10">
        <ns0:v>Резистор</ns0:v>
      </ns0:c>
      <ns0:c r="C216" t="str" s="10">
        <ns0:v>680R</ns0:v>
      </ns0:c>
      <ns0:c r="D216" t="str" s="11">
        <ns0:f>SUBSTITUTE(SUBSTITUTE(SUBSTITUTE(SUBSTITUTE(C216,"meg"," МОм"),"k"," кОм"),"R"," Ом"),".",",")</ns0:f>
        <ns0:v>680 Ом</ns0:v>
      </ns0:c>
      <ns0:c r="E216" t="str" s="10">
        <ns0:v>±5%</ns0:v>
      </ns0:c>
      <ns0:c r="F216" t="str" s="10">
        <ns0:v>0,125 Вт</ns0:v>
      </ns0:c>
      <ns0:c r="G216" t="str" s="10">
        <ns0:v>150 В макс.</ns0:v>
      </ns0:c>
      <ns0:c r="H216" t="str" s="12">
        <ns0:v>0805</ns0:v>
      </ns0:c>
      <ns0:c r="I216" t="str" s="10">
        <ns0:v>YAGEO</ns0:v>
      </ns0:c>
      <ns0:c r="J216" t="str" s="10">
        <ns0:v>RC0805JR-07680RL</ns0:v>
      </ns0:c>
      <ns0:c r="K216" t="str" s="11">
        <ns0:f>B216&amp;" "&amp;D216&amp;" "&amp;E216&amp;" "&amp;H216</ns0:f>
        <ns0:v>Резистор 680 Ом ±5% 0805</ns0:v>
      </ns0:c>
      <ns0:c r="L216" t="str" s="13">
        <ns0:v>R</ns0:v>
      </ns0:c>
      <ns0:c r="M216" t="str" s="13">
        <ns0:v>Symbols\MY_LIB_Resistors.SchLib</ns0:v>
      </ns0:c>
      <ns0:c r="N216" t="str" s="13">
        <ns0:v>RESC2012X70N</ns0:v>
      </ns0:c>
      <ns0:c r="O216" t="str" s="13">
        <ns0:v>Footprints\PBL - SMD Packages.PcbLib</ns0:v>
      </ns0:c>
      <ns0:c xmlns:ns0="http://schemas.openxmlformats.org/spreadsheetml/2006/main" r="P21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6" s="10"/>
      <ns0:c r="R216" t="str" s="11">
        <ns0:f>D216</ns0:f>
        <ns0:v>680 Ом</ns0:v>
      </ns0:c>
      <ns0:c r="S216" t="str" s="11">
        <ns0:f>K216</ns0:f>
        <ns0:v>Резистор 680 Ом ±5% 0805</ns0:v>
      </ns0:c>
      <x:c xmlns:x="http://schemas.openxmlformats.org/spreadsheetml/2006/main" r="T216" t="str" s="11">
        <x:v>C:\Users\Nomatin\Documents\Altium\MY_LIB\MY_LIB\Datasheets\YAGEO_RC_L.pdf</x:v>
      </x:c>
      <x:c xmlns:x="http://schemas.openxmlformats.org/spreadsheetml/2006/main" r="U216" t="str" s="11">
        <x:v>Даташит — локальный</x:v>
      </x:c>
      <x:c xmlns:x="http://schemas.openxmlformats.org/spreadsheetml/2006/main" r="V216" t="str" s="11">
        <x:v>C:\Users\Nomatin\Documents\Altium\MY_LIB\MY_LIB\Datasheets\YAGEO_RC_L.pdf</x:v>
      </x:c>
      <x:c xmlns:x="http://schemas.openxmlformats.org/spreadsheetml/2006/main" r="W216" t="str" s="11">
        <x:v>Даташит — производитель</x:v>
      </x:c>
      <x:c xmlns:x="http://schemas.openxmlformats.org/spreadsheetml/2006/main" r="X216" t="str" s="11">
        <x:v>https://yageogroup.com/content/datasheet/asset/file/PYU-RC_GROUP_51_ROHS_L</x:v>
      </x:c>
      <x:c xmlns:x="http://schemas.openxmlformats.org/spreadsheetml/2006/main" r="Y216" t="str" s="11">
        <x:v>C:\Users\Nomatin\Documents\Altium\MY_LIB\MY_LIB\Datasheets\YAGEO_RC_L.pdf</x:v>
      </x:c>
      <ns0:c xmlns:ns0="http://schemas.openxmlformats.org/spreadsheetml/2006/main" r="Z216" s="16" t="inlineStr">
        <ns0:is>
          <ns0:t>MY_LIB_R_TCR</ns0:t>
        </ns0:is>
      </ns0:c>
      <ns0:c xmlns:ns0="http://schemas.openxmlformats.org/spreadsheetml/2006/main" r="AA216" s="16" t="inlineStr">
        <ns0:is>
          <ns0:t>R(T), +100 ppm/C at 25 C; positive datasheet limit</ns0:t>
        </ns0:is>
      </ns0:c>
      <ns0:c xmlns:ns0="http://schemas.openxmlformats.org/spreadsheetml/2006/main" r="AB216" s="16" t="str">
        <ns0:v>General</ns0:v>
      </ns0:c>
      <ns0:c xmlns:ns0="http://schemas.openxmlformats.org/spreadsheetml/2006/main" r="AC216" s="16" t="inlineStr">
        <ns0:is>
          <ns0:t>Spice Subcircuit</ns0:t>
        </ns0:is>
      </ns0:c>
      <ns0:c xmlns:ns0="http://schemas.openxmlformats.org/spreadsheetml/2006/main" r="AD216" s="16" t="inlineStr">
        <ns0:is>
          <ns0:t>@DESIGNATOR %1 %2 @MODEL PARAMS: Rvalue=@VALUE TC1value=100u</ns0:t>
        </ns0:is>
      </ns0:c>
      <ns0:c xmlns:ns0="http://schemas.openxmlformats.org/spreadsheetml/2006/main" r="AE216" s="16" t="inlineStr">
        <ns0:is>
          <ns0:t>X</ns0:t>
        </ns0:is>
      </ns0:c>
      <ns0:c xmlns:ns0="http://schemas.openxmlformats.org/spreadsheetml/2006/main" r="AF216" s="16" t="str">
        <ns0:v>(1:1),(2:2)</ns0:v>
      </ns0:c>
      <ns0:c xmlns:ns0="http://schemas.openxmlformats.org/spreadsheetml/2006/main" r="AG216" s="16" t="inlineStr">
        <ns0:is>
          <ns0:t>Simulation\Resistors\MY_LIB_R_TCR.ckt</ns0:t>
        </ns0:is>
      </ns0:c>
      <ns0:c xmlns:ns0="http://schemas.openxmlformats.org/spreadsheetml/2006/main" r="AH216" s="16" t="inlineStr">
        <ns0:is>
          <ns0:t>±100 ppm/°C</ns0:t>
        </ns0:is>
      </ns0:c>
    </ns0:row>
    <ns0:row r="217" ht="30" customHeight="1">
      <ns0:c r="A217" t="str" s="10">
        <ns0:v>R0223</ns0:v>
      </ns0:c>
      <ns0:c r="B217" t="str" s="10">
        <ns0:v>Резистор</ns0:v>
      </ns0:c>
      <ns0:c r="C217" t="str" s="10">
        <ns0:v>750R</ns0:v>
      </ns0:c>
      <ns0:c r="D217" t="str" s="11">
        <ns0:f>SUBSTITUTE(SUBSTITUTE(SUBSTITUTE(SUBSTITUTE(C217,"meg"," МОм"),"k"," кОм"),"R"," Ом"),".",",")</ns0:f>
        <ns0:v>750 Ом</ns0:v>
      </ns0:c>
      <ns0:c r="E217" t="str" s="10">
        <ns0:v>±5%</ns0:v>
      </ns0:c>
      <ns0:c r="F217" t="str" s="10">
        <ns0:v>0,125 Вт</ns0:v>
      </ns0:c>
      <ns0:c r="G217" t="str" s="10">
        <ns0:v>150 В макс.</ns0:v>
      </ns0:c>
      <ns0:c r="H217" t="str" s="12">
        <ns0:v>0805</ns0:v>
      </ns0:c>
      <ns0:c r="I217" t="str" s="10">
        <ns0:v>YAGEO</ns0:v>
      </ns0:c>
      <ns0:c r="J217" t="str" s="10">
        <ns0:v>RC0805JR-07750RL</ns0:v>
      </ns0:c>
      <ns0:c r="K217" t="str" s="11">
        <ns0:f>B217&amp;" "&amp;D217&amp;" "&amp;E217&amp;" "&amp;H217</ns0:f>
        <ns0:v>Резистор 750 Ом ±5% 0805</ns0:v>
      </ns0:c>
      <ns0:c r="L217" t="str" s="13">
        <ns0:v>R</ns0:v>
      </ns0:c>
      <ns0:c r="M217" t="str" s="13">
        <ns0:v>Symbols\MY_LIB_Resistors.SchLib</ns0:v>
      </ns0:c>
      <ns0:c r="N217" t="str" s="13">
        <ns0:v>RESC2012X70N</ns0:v>
      </ns0:c>
      <ns0:c r="O217" t="str" s="13">
        <ns0:v>Footprints\PBL - SMD Packages.PcbLib</ns0:v>
      </ns0:c>
      <ns0:c xmlns:ns0="http://schemas.openxmlformats.org/spreadsheetml/2006/main" r="P21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7" s="10"/>
      <ns0:c r="R217" t="str" s="11">
        <ns0:f>D217</ns0:f>
        <ns0:v>750 Ом</ns0:v>
      </ns0:c>
      <ns0:c r="S217" t="str" s="11">
        <ns0:f>K217</ns0:f>
        <ns0:v>Резистор 750 Ом ±5% 0805</ns0:v>
      </ns0:c>
      <x:c xmlns:x="http://schemas.openxmlformats.org/spreadsheetml/2006/main" r="T217" t="str" s="11">
        <x:v>C:\Users\Nomatin\Documents\Altium\MY_LIB\MY_LIB\Datasheets\YAGEO_RC_L.pdf</x:v>
      </x:c>
      <x:c xmlns:x="http://schemas.openxmlformats.org/spreadsheetml/2006/main" r="U217" t="str" s="11">
        <x:v>Даташит — локальный</x:v>
      </x:c>
      <x:c xmlns:x="http://schemas.openxmlformats.org/spreadsheetml/2006/main" r="V217" t="str" s="11">
        <x:v>C:\Users\Nomatin\Documents\Altium\MY_LIB\MY_LIB\Datasheets\YAGEO_RC_L.pdf</x:v>
      </x:c>
      <x:c xmlns:x="http://schemas.openxmlformats.org/spreadsheetml/2006/main" r="W217" t="str" s="11">
        <x:v>Даташит — производитель</x:v>
      </x:c>
      <x:c xmlns:x="http://schemas.openxmlformats.org/spreadsheetml/2006/main" r="X217" t="str" s="11">
        <x:v>https://yageogroup.com/content/datasheet/asset/file/PYU-RC_GROUP_51_ROHS_L</x:v>
      </x:c>
      <x:c xmlns:x="http://schemas.openxmlformats.org/spreadsheetml/2006/main" r="Y217" t="str" s="11">
        <x:v>C:\Users\Nomatin\Documents\Altium\MY_LIB\MY_LIB\Datasheets\YAGEO_RC_L.pdf</x:v>
      </x:c>
      <ns0:c xmlns:ns0="http://schemas.openxmlformats.org/spreadsheetml/2006/main" r="Z217" s="16" t="inlineStr">
        <ns0:is>
          <ns0:t>MY_LIB_R_TCR</ns0:t>
        </ns0:is>
      </ns0:c>
      <ns0:c xmlns:ns0="http://schemas.openxmlformats.org/spreadsheetml/2006/main" r="AA217" s="16" t="inlineStr">
        <ns0:is>
          <ns0:t>R(T), +100 ppm/C at 25 C; positive datasheet limit</ns0:t>
        </ns0:is>
      </ns0:c>
      <ns0:c xmlns:ns0="http://schemas.openxmlformats.org/spreadsheetml/2006/main" r="AB217" s="16" t="str">
        <ns0:v>General</ns0:v>
      </ns0:c>
      <ns0:c xmlns:ns0="http://schemas.openxmlformats.org/spreadsheetml/2006/main" r="AC217" s="16" t="inlineStr">
        <ns0:is>
          <ns0:t>Spice Subcircuit</ns0:t>
        </ns0:is>
      </ns0:c>
      <ns0:c xmlns:ns0="http://schemas.openxmlformats.org/spreadsheetml/2006/main" r="AD217" s="16" t="inlineStr">
        <ns0:is>
          <ns0:t>@DESIGNATOR %1 %2 @MODEL PARAMS: Rvalue=@VALUE TC1value=100u</ns0:t>
        </ns0:is>
      </ns0:c>
      <ns0:c xmlns:ns0="http://schemas.openxmlformats.org/spreadsheetml/2006/main" r="AE217" s="16" t="inlineStr">
        <ns0:is>
          <ns0:t>X</ns0:t>
        </ns0:is>
      </ns0:c>
      <ns0:c xmlns:ns0="http://schemas.openxmlformats.org/spreadsheetml/2006/main" r="AF217" s="16" t="str">
        <ns0:v>(1:1),(2:2)</ns0:v>
      </ns0:c>
      <ns0:c xmlns:ns0="http://schemas.openxmlformats.org/spreadsheetml/2006/main" r="AG217" s="16" t="inlineStr">
        <ns0:is>
          <ns0:t>Simulation\Resistors\MY_LIB_R_TCR.ckt</ns0:t>
        </ns0:is>
      </ns0:c>
      <ns0:c xmlns:ns0="http://schemas.openxmlformats.org/spreadsheetml/2006/main" r="AH217" s="16" t="inlineStr">
        <ns0:is>
          <ns0:t>±100 ppm/°C</ns0:t>
        </ns0:is>
      </ns0:c>
    </ns0:row>
    <ns0:row r="218" ht="30" customHeight="1">
      <ns0:c r="A218" t="str" s="10">
        <ns0:v>R0224</ns0:v>
      </ns0:c>
      <ns0:c r="B218" t="str" s="10">
        <ns0:v>Резистор</ns0:v>
      </ns0:c>
      <ns0:c r="C218" t="str" s="10">
        <ns0:v>820R</ns0:v>
      </ns0:c>
      <ns0:c r="D218" t="str" s="11">
        <ns0:f>SUBSTITUTE(SUBSTITUTE(SUBSTITUTE(SUBSTITUTE(C218,"meg"," МОм"),"k"," кОм"),"R"," Ом"),".",",")</ns0:f>
        <ns0:v>820 Ом</ns0:v>
      </ns0:c>
      <ns0:c r="E218" t="str" s="10">
        <ns0:v>±5%</ns0:v>
      </ns0:c>
      <ns0:c r="F218" t="str" s="10">
        <ns0:v>0,125 Вт</ns0:v>
      </ns0:c>
      <ns0:c r="G218" t="str" s="10">
        <ns0:v>150 В макс.</ns0:v>
      </ns0:c>
      <ns0:c r="H218" t="str" s="12">
        <ns0:v>0805</ns0:v>
      </ns0:c>
      <ns0:c r="I218" t="str" s="10">
        <ns0:v>YAGEO</ns0:v>
      </ns0:c>
      <ns0:c r="J218" t="str" s="10">
        <ns0:v>RC0805JR-07820RL</ns0:v>
      </ns0:c>
      <ns0:c r="K218" t="str" s="11">
        <ns0:f>B218&amp;" "&amp;D218&amp;" "&amp;E218&amp;" "&amp;H218</ns0:f>
        <ns0:v>Резистор 820 Ом ±5% 0805</ns0:v>
      </ns0:c>
      <ns0:c r="L218" t="str" s="13">
        <ns0:v>R</ns0:v>
      </ns0:c>
      <ns0:c r="M218" t="str" s="13">
        <ns0:v>Symbols\MY_LIB_Resistors.SchLib</ns0:v>
      </ns0:c>
      <ns0:c r="N218" t="str" s="13">
        <ns0:v>RESC2012X70N</ns0:v>
      </ns0:c>
      <ns0:c r="O218" t="str" s="13">
        <ns0:v>Footprints\PBL - SMD Packages.PcbLib</ns0:v>
      </ns0:c>
      <ns0:c xmlns:ns0="http://schemas.openxmlformats.org/spreadsheetml/2006/main" r="P21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8" s="10"/>
      <ns0:c r="R218" t="str" s="11">
        <ns0:f>D218</ns0:f>
        <ns0:v>820 Ом</ns0:v>
      </ns0:c>
      <ns0:c r="S218" t="str" s="11">
        <ns0:f>K218</ns0:f>
        <ns0:v>Резистор 820 Ом ±5% 0805</ns0:v>
      </ns0:c>
      <x:c xmlns:x="http://schemas.openxmlformats.org/spreadsheetml/2006/main" r="T218" t="str" s="11">
        <x:v>C:\Users\Nomatin\Documents\Altium\MY_LIB\MY_LIB\Datasheets\YAGEO_RC_L.pdf</x:v>
      </x:c>
      <x:c xmlns:x="http://schemas.openxmlformats.org/spreadsheetml/2006/main" r="U218" t="str" s="11">
        <x:v>Даташит — локальный</x:v>
      </x:c>
      <x:c xmlns:x="http://schemas.openxmlformats.org/spreadsheetml/2006/main" r="V218" t="str" s="11">
        <x:v>C:\Users\Nomatin\Documents\Altium\MY_LIB\MY_LIB\Datasheets\YAGEO_RC_L.pdf</x:v>
      </x:c>
      <x:c xmlns:x="http://schemas.openxmlformats.org/spreadsheetml/2006/main" r="W218" t="str" s="11">
        <x:v>Даташит — производитель</x:v>
      </x:c>
      <x:c xmlns:x="http://schemas.openxmlformats.org/spreadsheetml/2006/main" r="X218" t="str" s="11">
        <x:v>https://yageogroup.com/content/datasheet/asset/file/PYU-RC_GROUP_51_ROHS_L</x:v>
      </x:c>
      <x:c xmlns:x="http://schemas.openxmlformats.org/spreadsheetml/2006/main" r="Y218" t="str" s="11">
        <x:v>C:\Users\Nomatin\Documents\Altium\MY_LIB\MY_LIB\Datasheets\YAGEO_RC_L.pdf</x:v>
      </x:c>
      <ns0:c xmlns:ns0="http://schemas.openxmlformats.org/spreadsheetml/2006/main" r="Z218" s="16" t="inlineStr">
        <ns0:is>
          <ns0:t>MY_LIB_R_TCR</ns0:t>
        </ns0:is>
      </ns0:c>
      <ns0:c xmlns:ns0="http://schemas.openxmlformats.org/spreadsheetml/2006/main" r="AA218" s="16" t="inlineStr">
        <ns0:is>
          <ns0:t>R(T), +100 ppm/C at 25 C; positive datasheet limit</ns0:t>
        </ns0:is>
      </ns0:c>
      <ns0:c xmlns:ns0="http://schemas.openxmlformats.org/spreadsheetml/2006/main" r="AB218" s="16" t="str">
        <ns0:v>General</ns0:v>
      </ns0:c>
      <ns0:c xmlns:ns0="http://schemas.openxmlformats.org/spreadsheetml/2006/main" r="AC218" s="16" t="inlineStr">
        <ns0:is>
          <ns0:t>Spice Subcircuit</ns0:t>
        </ns0:is>
      </ns0:c>
      <ns0:c xmlns:ns0="http://schemas.openxmlformats.org/spreadsheetml/2006/main" r="AD218" s="16" t="inlineStr">
        <ns0:is>
          <ns0:t>@DESIGNATOR %1 %2 @MODEL PARAMS: Rvalue=@VALUE TC1value=100u</ns0:t>
        </ns0:is>
      </ns0:c>
      <ns0:c xmlns:ns0="http://schemas.openxmlformats.org/spreadsheetml/2006/main" r="AE218" s="16" t="inlineStr">
        <ns0:is>
          <ns0:t>X</ns0:t>
        </ns0:is>
      </ns0:c>
      <ns0:c xmlns:ns0="http://schemas.openxmlformats.org/spreadsheetml/2006/main" r="AF218" s="16" t="str">
        <ns0:v>(1:1),(2:2)</ns0:v>
      </ns0:c>
      <ns0:c xmlns:ns0="http://schemas.openxmlformats.org/spreadsheetml/2006/main" r="AG218" s="16" t="inlineStr">
        <ns0:is>
          <ns0:t>Simulation\Resistors\MY_LIB_R_TCR.ckt</ns0:t>
        </ns0:is>
      </ns0:c>
      <ns0:c xmlns:ns0="http://schemas.openxmlformats.org/spreadsheetml/2006/main" r="AH218" s="16" t="inlineStr">
        <ns0:is>
          <ns0:t>±100 ppm/°C</ns0:t>
        </ns0:is>
      </ns0:c>
    </ns0:row>
    <ns0:row r="219" ht="30" customHeight="1">
      <ns0:c r="A219" t="str" s="10">
        <ns0:v>R0225</ns0:v>
      </ns0:c>
      <ns0:c r="B219" t="str" s="10">
        <ns0:v>Резистор</ns0:v>
      </ns0:c>
      <ns0:c r="C219" t="str" s="10">
        <ns0:v>910R</ns0:v>
      </ns0:c>
      <ns0:c r="D219" t="str" s="11">
        <ns0:f>SUBSTITUTE(SUBSTITUTE(SUBSTITUTE(SUBSTITUTE(C219,"meg"," МОм"),"k"," кОм"),"R"," Ом"),".",",")</ns0:f>
        <ns0:v>910 Ом</ns0:v>
      </ns0:c>
      <ns0:c r="E219" t="str" s="10">
        <ns0:v>±5%</ns0:v>
      </ns0:c>
      <ns0:c r="F219" t="str" s="10">
        <ns0:v>0,125 Вт</ns0:v>
      </ns0:c>
      <ns0:c r="G219" t="str" s="10">
        <ns0:v>150 В макс.</ns0:v>
      </ns0:c>
      <ns0:c r="H219" t="str" s="12">
        <ns0:v>0805</ns0:v>
      </ns0:c>
      <ns0:c r="I219" t="str" s="10">
        <ns0:v>YAGEO</ns0:v>
      </ns0:c>
      <ns0:c r="J219" t="str" s="10">
        <ns0:v>RC0805JR-07910RL</ns0:v>
      </ns0:c>
      <ns0:c r="K219" t="str" s="11">
        <ns0:f>B219&amp;" "&amp;D219&amp;" "&amp;E219&amp;" "&amp;H219</ns0:f>
        <ns0:v>Резистор 910 Ом ±5% 0805</ns0:v>
      </ns0:c>
      <ns0:c r="L219" t="str" s="13">
        <ns0:v>R</ns0:v>
      </ns0:c>
      <ns0:c r="M219" t="str" s="13">
        <ns0:v>Symbols\MY_LIB_Resistors.SchLib</ns0:v>
      </ns0:c>
      <ns0:c r="N219" t="str" s="13">
        <ns0:v>RESC2012X70N</ns0:v>
      </ns0:c>
      <ns0:c r="O219" t="str" s="13">
        <ns0:v>Footprints\PBL - SMD Packages.PcbLib</ns0:v>
      </ns0:c>
      <ns0:c xmlns:ns0="http://schemas.openxmlformats.org/spreadsheetml/2006/main" r="P21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19" s="10"/>
      <ns0:c r="R219" t="str" s="11">
        <ns0:f>D219</ns0:f>
        <ns0:v>910 Ом</ns0:v>
      </ns0:c>
      <ns0:c r="S219" t="str" s="11">
        <ns0:f>K219</ns0:f>
        <ns0:v>Резистор 910 Ом ±5% 0805</ns0:v>
      </ns0:c>
      <x:c xmlns:x="http://schemas.openxmlformats.org/spreadsheetml/2006/main" r="T219" t="str" s="11">
        <x:v>C:\Users\Nomatin\Documents\Altium\MY_LIB\MY_LIB\Datasheets\YAGEO_RC_L.pdf</x:v>
      </x:c>
      <x:c xmlns:x="http://schemas.openxmlformats.org/spreadsheetml/2006/main" r="U219" t="str" s="11">
        <x:v>Даташит — локальный</x:v>
      </x:c>
      <x:c xmlns:x="http://schemas.openxmlformats.org/spreadsheetml/2006/main" r="V219" t="str" s="11">
        <x:v>C:\Users\Nomatin\Documents\Altium\MY_LIB\MY_LIB\Datasheets\YAGEO_RC_L.pdf</x:v>
      </x:c>
      <x:c xmlns:x="http://schemas.openxmlformats.org/spreadsheetml/2006/main" r="W219" t="str" s="11">
        <x:v>Даташит — производитель</x:v>
      </x:c>
      <x:c xmlns:x="http://schemas.openxmlformats.org/spreadsheetml/2006/main" r="X219" t="str" s="11">
        <x:v>https://yageogroup.com/content/datasheet/asset/file/PYU-RC_GROUP_51_ROHS_L</x:v>
      </x:c>
      <x:c xmlns:x="http://schemas.openxmlformats.org/spreadsheetml/2006/main" r="Y219" t="str" s="11">
        <x:v>C:\Users\Nomatin\Documents\Altium\MY_LIB\MY_LIB\Datasheets\YAGEO_RC_L.pdf</x:v>
      </x:c>
      <ns0:c xmlns:ns0="http://schemas.openxmlformats.org/spreadsheetml/2006/main" r="Z219" s="16" t="inlineStr">
        <ns0:is>
          <ns0:t>MY_LIB_R_TCR</ns0:t>
        </ns0:is>
      </ns0:c>
      <ns0:c xmlns:ns0="http://schemas.openxmlformats.org/spreadsheetml/2006/main" r="AA219" s="16" t="inlineStr">
        <ns0:is>
          <ns0:t>R(T), +100 ppm/C at 25 C; positive datasheet limit</ns0:t>
        </ns0:is>
      </ns0:c>
      <ns0:c xmlns:ns0="http://schemas.openxmlformats.org/spreadsheetml/2006/main" r="AB219" s="16" t="str">
        <ns0:v>General</ns0:v>
      </ns0:c>
      <ns0:c xmlns:ns0="http://schemas.openxmlformats.org/spreadsheetml/2006/main" r="AC219" s="16" t="inlineStr">
        <ns0:is>
          <ns0:t>Spice Subcircuit</ns0:t>
        </ns0:is>
      </ns0:c>
      <ns0:c xmlns:ns0="http://schemas.openxmlformats.org/spreadsheetml/2006/main" r="AD219" s="16" t="inlineStr">
        <ns0:is>
          <ns0:t>@DESIGNATOR %1 %2 @MODEL PARAMS: Rvalue=@VALUE TC1value=100u</ns0:t>
        </ns0:is>
      </ns0:c>
      <ns0:c xmlns:ns0="http://schemas.openxmlformats.org/spreadsheetml/2006/main" r="AE219" s="16" t="inlineStr">
        <ns0:is>
          <ns0:t>X</ns0:t>
        </ns0:is>
      </ns0:c>
      <ns0:c xmlns:ns0="http://schemas.openxmlformats.org/spreadsheetml/2006/main" r="AF219" s="16" t="str">
        <ns0:v>(1:1),(2:2)</ns0:v>
      </ns0:c>
      <ns0:c xmlns:ns0="http://schemas.openxmlformats.org/spreadsheetml/2006/main" r="AG219" s="16" t="inlineStr">
        <ns0:is>
          <ns0:t>Simulation\Resistors\MY_LIB_R_TCR.ckt</ns0:t>
        </ns0:is>
      </ns0:c>
      <ns0:c xmlns:ns0="http://schemas.openxmlformats.org/spreadsheetml/2006/main" r="AH219" s="16" t="inlineStr">
        <ns0:is>
          <ns0:t>±100 ppm/°C</ns0:t>
        </ns0:is>
      </ns0:c>
    </ns0:row>
    <ns0:row r="220" ht="30" customHeight="1">
      <ns0:c r="A220" t="str" s="10">
        <ns0:v>R0226</ns0:v>
      </ns0:c>
      <ns0:c r="B220" t="str" s="10">
        <ns0:v>Резистор</ns0:v>
      </ns0:c>
      <ns0:c r="C220" t="str" s="10">
        <ns0:v>1k</ns0:v>
      </ns0:c>
      <ns0:c r="D220" t="str" s="11">
        <ns0:f>SUBSTITUTE(SUBSTITUTE(SUBSTITUTE(SUBSTITUTE(C220,"meg"," МОм"),"k"," кОм"),"R"," Ом"),".",",")</ns0:f>
        <ns0:v>1 кОм</ns0:v>
      </ns0:c>
      <ns0:c r="E220" t="str" s="10">
        <ns0:v>±5%</ns0:v>
      </ns0:c>
      <ns0:c r="F220" t="str" s="10">
        <ns0:v>0,125 Вт</ns0:v>
      </ns0:c>
      <ns0:c r="G220" t="str" s="10">
        <ns0:v>150 В макс.</ns0:v>
      </ns0:c>
      <ns0:c r="H220" t="str" s="12">
        <ns0:v>0805</ns0:v>
      </ns0:c>
      <ns0:c r="I220" t="str" s="10">
        <ns0:v>YAGEO</ns0:v>
      </ns0:c>
      <ns0:c r="J220" t="str" s="10">
        <ns0:v>RC0805JR-071KL</ns0:v>
      </ns0:c>
      <ns0:c r="K220" t="str" s="11">
        <ns0:f>B220&amp;" "&amp;D220&amp;" "&amp;E220&amp;" "&amp;H220</ns0:f>
        <ns0:v>Резистор 1 кОм ±5% 0805</ns0:v>
      </ns0:c>
      <ns0:c r="L220" t="str" s="13">
        <ns0:v>R</ns0:v>
      </ns0:c>
      <ns0:c r="M220" t="str" s="13">
        <ns0:v>Symbols\MY_LIB_Resistors.SchLib</ns0:v>
      </ns0:c>
      <ns0:c r="N220" t="str" s="13">
        <ns0:v>RESC2012X70N</ns0:v>
      </ns0:c>
      <ns0:c r="O220" t="str" s="13">
        <ns0:v>Footprints\PBL - SMD Packages.PcbLib</ns0:v>
      </ns0:c>
      <ns0:c xmlns:ns0="http://schemas.openxmlformats.org/spreadsheetml/2006/main" r="P22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0" s="10"/>
      <ns0:c r="R220" t="str" s="11">
        <ns0:f>D220</ns0:f>
        <ns0:v>1 кОм</ns0:v>
      </ns0:c>
      <ns0:c r="S220" t="str" s="11">
        <ns0:f>K220</ns0:f>
        <ns0:v>Резистор 1 кОм ±5% 0805</ns0:v>
      </ns0:c>
      <x:c xmlns:x="http://schemas.openxmlformats.org/spreadsheetml/2006/main" r="T220" t="str" s="11">
        <x:v>C:\Users\Nomatin\Documents\Altium\MY_LIB\MY_LIB\Datasheets\YAGEO_RC_L.pdf</x:v>
      </x:c>
      <x:c xmlns:x="http://schemas.openxmlformats.org/spreadsheetml/2006/main" r="U220" t="str" s="11">
        <x:v>Даташит — локальный</x:v>
      </x:c>
      <x:c xmlns:x="http://schemas.openxmlformats.org/spreadsheetml/2006/main" r="V220" t="str" s="11">
        <x:v>C:\Users\Nomatin\Documents\Altium\MY_LIB\MY_LIB\Datasheets\YAGEO_RC_L.pdf</x:v>
      </x:c>
      <x:c xmlns:x="http://schemas.openxmlformats.org/spreadsheetml/2006/main" r="W220" t="str" s="11">
        <x:v>Даташит — производитель</x:v>
      </x:c>
      <x:c xmlns:x="http://schemas.openxmlformats.org/spreadsheetml/2006/main" r="X220" t="str" s="11">
        <x:v>https://yageogroup.com/content/datasheet/asset/file/PYU-RC_GROUP_51_ROHS_L</x:v>
      </x:c>
      <x:c xmlns:x="http://schemas.openxmlformats.org/spreadsheetml/2006/main" r="Y220" t="str" s="11">
        <x:v>C:\Users\Nomatin\Documents\Altium\MY_LIB\MY_LIB\Datasheets\YAGEO_RC_L.pdf</x:v>
      </x:c>
      <ns0:c xmlns:ns0="http://schemas.openxmlformats.org/spreadsheetml/2006/main" r="Z220" s="16" t="inlineStr">
        <ns0:is>
          <ns0:t>MY_LIB_R_TCR</ns0:t>
        </ns0:is>
      </ns0:c>
      <ns0:c xmlns:ns0="http://schemas.openxmlformats.org/spreadsheetml/2006/main" r="AA220" s="16" t="inlineStr">
        <ns0:is>
          <ns0:t>R(T), +100 ppm/C at 25 C; positive datasheet limit</ns0:t>
        </ns0:is>
      </ns0:c>
      <ns0:c xmlns:ns0="http://schemas.openxmlformats.org/spreadsheetml/2006/main" r="AB220" s="16" t="str">
        <ns0:v>General</ns0:v>
      </ns0:c>
      <ns0:c xmlns:ns0="http://schemas.openxmlformats.org/spreadsheetml/2006/main" r="AC220" s="16" t="inlineStr">
        <ns0:is>
          <ns0:t>Spice Subcircuit</ns0:t>
        </ns0:is>
      </ns0:c>
      <ns0:c xmlns:ns0="http://schemas.openxmlformats.org/spreadsheetml/2006/main" r="AD220" s="16" t="inlineStr">
        <ns0:is>
          <ns0:t>@DESIGNATOR %1 %2 @MODEL PARAMS: Rvalue=@VALUE TC1value=100u</ns0:t>
        </ns0:is>
      </ns0:c>
      <ns0:c xmlns:ns0="http://schemas.openxmlformats.org/spreadsheetml/2006/main" r="AE220" s="16" t="inlineStr">
        <ns0:is>
          <ns0:t>X</ns0:t>
        </ns0:is>
      </ns0:c>
      <ns0:c xmlns:ns0="http://schemas.openxmlformats.org/spreadsheetml/2006/main" r="AF220" s="16" t="str">
        <ns0:v>(1:1),(2:2)</ns0:v>
      </ns0:c>
      <ns0:c xmlns:ns0="http://schemas.openxmlformats.org/spreadsheetml/2006/main" r="AG220" s="16" t="inlineStr">
        <ns0:is>
          <ns0:t>Simulation\Resistors\MY_LIB_R_TCR.ckt</ns0:t>
        </ns0:is>
      </ns0:c>
      <ns0:c xmlns:ns0="http://schemas.openxmlformats.org/spreadsheetml/2006/main" r="AH220" s="16" t="inlineStr">
        <ns0:is>
          <ns0:t>±100 ppm/°C</ns0:t>
        </ns0:is>
      </ns0:c>
    </ns0:row>
    <ns0:row r="221" ht="30" customHeight="1">
      <ns0:c r="A221" t="str" s="10">
        <ns0:v>R0227</ns0:v>
      </ns0:c>
      <ns0:c r="B221" t="str" s="10">
        <ns0:v>Резистор</ns0:v>
      </ns0:c>
      <ns0:c r="C221" t="str" s="10">
        <ns0:v>1.1k</ns0:v>
      </ns0:c>
      <ns0:c r="D221" t="str" s="11">
        <ns0:f>SUBSTITUTE(SUBSTITUTE(SUBSTITUTE(SUBSTITUTE(C221,"meg"," МОм"),"k"," кОм"),"R"," Ом"),".",",")</ns0:f>
        <ns0:v>1,1 кОм</ns0:v>
      </ns0:c>
      <ns0:c r="E221" t="str" s="10">
        <ns0:v>±5%</ns0:v>
      </ns0:c>
      <ns0:c r="F221" t="str" s="10">
        <ns0:v>0,125 Вт</ns0:v>
      </ns0:c>
      <ns0:c r="G221" t="str" s="10">
        <ns0:v>150 В макс.</ns0:v>
      </ns0:c>
      <ns0:c r="H221" t="str" s="12">
        <ns0:v>0805</ns0:v>
      </ns0:c>
      <ns0:c r="I221" t="str" s="10">
        <ns0:v>YAGEO</ns0:v>
      </ns0:c>
      <ns0:c r="J221" t="str" s="10">
        <ns0:v>RC0805JR-071K1L</ns0:v>
      </ns0:c>
      <ns0:c r="K221" t="str" s="11">
        <ns0:f>B221&amp;" "&amp;D221&amp;" "&amp;E221&amp;" "&amp;H221</ns0:f>
        <ns0:v>Резистор 1,1 кОм ±5% 0805</ns0:v>
      </ns0:c>
      <ns0:c r="L221" t="str" s="13">
        <ns0:v>R</ns0:v>
      </ns0:c>
      <ns0:c r="M221" t="str" s="13">
        <ns0:v>Symbols\MY_LIB_Resistors.SchLib</ns0:v>
      </ns0:c>
      <ns0:c r="N221" t="str" s="13">
        <ns0:v>RESC2012X70N</ns0:v>
      </ns0:c>
      <ns0:c r="O221" t="str" s="13">
        <ns0:v>Footprints\PBL - SMD Packages.PcbLib</ns0:v>
      </ns0:c>
      <ns0:c xmlns:ns0="http://schemas.openxmlformats.org/spreadsheetml/2006/main" r="P22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1" s="10"/>
      <ns0:c r="R221" t="str" s="11">
        <ns0:f>D221</ns0:f>
        <ns0:v>1,1 кОм</ns0:v>
      </ns0:c>
      <ns0:c r="S221" t="str" s="11">
        <ns0:f>K221</ns0:f>
        <ns0:v>Резистор 1,1 кОм ±5% 0805</ns0:v>
      </ns0:c>
      <x:c xmlns:x="http://schemas.openxmlformats.org/spreadsheetml/2006/main" r="T221" t="str" s="11">
        <x:v>C:\Users\Nomatin\Documents\Altium\MY_LIB\MY_LIB\Datasheets\YAGEO_RC_L.pdf</x:v>
      </x:c>
      <x:c xmlns:x="http://schemas.openxmlformats.org/spreadsheetml/2006/main" r="U221" t="str" s="11">
        <x:v>Даташит — локальный</x:v>
      </x:c>
      <x:c xmlns:x="http://schemas.openxmlformats.org/spreadsheetml/2006/main" r="V221" t="str" s="11">
        <x:v>C:\Users\Nomatin\Documents\Altium\MY_LIB\MY_LIB\Datasheets\YAGEO_RC_L.pdf</x:v>
      </x:c>
      <x:c xmlns:x="http://schemas.openxmlformats.org/spreadsheetml/2006/main" r="W221" t="str" s="11">
        <x:v>Даташит — производитель</x:v>
      </x:c>
      <x:c xmlns:x="http://schemas.openxmlformats.org/spreadsheetml/2006/main" r="X221" t="str" s="11">
        <x:v>https://yageogroup.com/content/datasheet/asset/file/PYU-RC_GROUP_51_ROHS_L</x:v>
      </x:c>
      <x:c xmlns:x="http://schemas.openxmlformats.org/spreadsheetml/2006/main" r="Y221" t="str" s="11">
        <x:v>C:\Users\Nomatin\Documents\Altium\MY_LIB\MY_LIB\Datasheets\YAGEO_RC_L.pdf</x:v>
      </x:c>
      <ns0:c xmlns:ns0="http://schemas.openxmlformats.org/spreadsheetml/2006/main" r="Z221" s="16" t="inlineStr">
        <ns0:is>
          <ns0:t>MY_LIB_R_TCR</ns0:t>
        </ns0:is>
      </ns0:c>
      <ns0:c xmlns:ns0="http://schemas.openxmlformats.org/spreadsheetml/2006/main" r="AA221" s="16" t="inlineStr">
        <ns0:is>
          <ns0:t>R(T), +100 ppm/C at 25 C; positive datasheet limit</ns0:t>
        </ns0:is>
      </ns0:c>
      <ns0:c xmlns:ns0="http://schemas.openxmlformats.org/spreadsheetml/2006/main" r="AB221" s="16" t="str">
        <ns0:v>General</ns0:v>
      </ns0:c>
      <ns0:c xmlns:ns0="http://schemas.openxmlformats.org/spreadsheetml/2006/main" r="AC221" s="16" t="inlineStr">
        <ns0:is>
          <ns0:t>Spice Subcircuit</ns0:t>
        </ns0:is>
      </ns0:c>
      <ns0:c xmlns:ns0="http://schemas.openxmlformats.org/spreadsheetml/2006/main" r="AD221" s="16" t="inlineStr">
        <ns0:is>
          <ns0:t>@DESIGNATOR %1 %2 @MODEL PARAMS: Rvalue=@VALUE TC1value=100u</ns0:t>
        </ns0:is>
      </ns0:c>
      <ns0:c xmlns:ns0="http://schemas.openxmlformats.org/spreadsheetml/2006/main" r="AE221" s="16" t="inlineStr">
        <ns0:is>
          <ns0:t>X</ns0:t>
        </ns0:is>
      </ns0:c>
      <ns0:c xmlns:ns0="http://schemas.openxmlformats.org/spreadsheetml/2006/main" r="AF221" s="16" t="str">
        <ns0:v>(1:1),(2:2)</ns0:v>
      </ns0:c>
      <ns0:c xmlns:ns0="http://schemas.openxmlformats.org/spreadsheetml/2006/main" r="AG221" s="16" t="inlineStr">
        <ns0:is>
          <ns0:t>Simulation\Resistors\MY_LIB_R_TCR.ckt</ns0:t>
        </ns0:is>
      </ns0:c>
      <ns0:c xmlns:ns0="http://schemas.openxmlformats.org/spreadsheetml/2006/main" r="AH221" s="16" t="inlineStr">
        <ns0:is>
          <ns0:t>±100 ppm/°C</ns0:t>
        </ns0:is>
      </ns0:c>
    </ns0:row>
    <ns0:row r="222" ht="30" customHeight="1">
      <ns0:c r="A222" t="str" s="10">
        <ns0:v>R0228</ns0:v>
      </ns0:c>
      <ns0:c r="B222" t="str" s="10">
        <ns0:v>Резистор</ns0:v>
      </ns0:c>
      <ns0:c r="C222" t="str" s="10">
        <ns0:v>1.2k</ns0:v>
      </ns0:c>
      <ns0:c r="D222" t="str" s="11">
        <ns0:f>SUBSTITUTE(SUBSTITUTE(SUBSTITUTE(SUBSTITUTE(C222,"meg"," МОм"),"k"," кОм"),"R"," Ом"),".",",")</ns0:f>
        <ns0:v>1,2 кОм</ns0:v>
      </ns0:c>
      <ns0:c r="E222" t="str" s="10">
        <ns0:v>±5%</ns0:v>
      </ns0:c>
      <ns0:c r="F222" t="str" s="10">
        <ns0:v>0,125 Вт</ns0:v>
      </ns0:c>
      <ns0:c r="G222" t="str" s="10">
        <ns0:v>150 В макс.</ns0:v>
      </ns0:c>
      <ns0:c r="H222" t="str" s="12">
        <ns0:v>0805</ns0:v>
      </ns0:c>
      <ns0:c r="I222" t="str" s="10">
        <ns0:v>YAGEO</ns0:v>
      </ns0:c>
      <ns0:c r="J222" t="str" s="10">
        <ns0:v>RC0805JR-071K2L</ns0:v>
      </ns0:c>
      <ns0:c r="K222" t="str" s="11">
        <ns0:f>B222&amp;" "&amp;D222&amp;" "&amp;E222&amp;" "&amp;H222</ns0:f>
        <ns0:v>Резистор 1,2 кОм ±5% 0805</ns0:v>
      </ns0:c>
      <ns0:c r="L222" t="str" s="13">
        <ns0:v>R</ns0:v>
      </ns0:c>
      <ns0:c r="M222" t="str" s="13">
        <ns0:v>Symbols\MY_LIB_Resistors.SchLib</ns0:v>
      </ns0:c>
      <ns0:c r="N222" t="str" s="13">
        <ns0:v>RESC2012X70N</ns0:v>
      </ns0:c>
      <ns0:c r="O222" t="str" s="13">
        <ns0:v>Footprints\PBL - SMD Packages.PcbLib</ns0:v>
      </ns0:c>
      <ns0:c xmlns:ns0="http://schemas.openxmlformats.org/spreadsheetml/2006/main" r="P22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2" s="10"/>
      <ns0:c r="R222" t="str" s="11">
        <ns0:f>D222</ns0:f>
        <ns0:v>1,2 кОм</ns0:v>
      </ns0:c>
      <ns0:c r="S222" t="str" s="11">
        <ns0:f>K222</ns0:f>
        <ns0:v>Резистор 1,2 кОм ±5% 0805</ns0:v>
      </ns0:c>
      <x:c xmlns:x="http://schemas.openxmlformats.org/spreadsheetml/2006/main" r="T222" t="str" s="11">
        <x:v>C:\Users\Nomatin\Documents\Altium\MY_LIB\MY_LIB\Datasheets\YAGEO_RC_L.pdf</x:v>
      </x:c>
      <x:c xmlns:x="http://schemas.openxmlformats.org/spreadsheetml/2006/main" r="U222" t="str" s="11">
        <x:v>Даташит — локальный</x:v>
      </x:c>
      <x:c xmlns:x="http://schemas.openxmlformats.org/spreadsheetml/2006/main" r="V222" t="str" s="11">
        <x:v>C:\Users\Nomatin\Documents\Altium\MY_LIB\MY_LIB\Datasheets\YAGEO_RC_L.pdf</x:v>
      </x:c>
      <x:c xmlns:x="http://schemas.openxmlformats.org/spreadsheetml/2006/main" r="W222" t="str" s="11">
        <x:v>Даташит — производитель</x:v>
      </x:c>
      <x:c xmlns:x="http://schemas.openxmlformats.org/spreadsheetml/2006/main" r="X222" t="str" s="11">
        <x:v>https://yageogroup.com/content/datasheet/asset/file/PYU-RC_GROUP_51_ROHS_L</x:v>
      </x:c>
      <x:c xmlns:x="http://schemas.openxmlformats.org/spreadsheetml/2006/main" r="Y222" t="str" s="11">
        <x:v>C:\Users\Nomatin\Documents\Altium\MY_LIB\MY_LIB\Datasheets\YAGEO_RC_L.pdf</x:v>
      </x:c>
      <ns0:c xmlns:ns0="http://schemas.openxmlformats.org/spreadsheetml/2006/main" r="Z222" s="16" t="inlineStr">
        <ns0:is>
          <ns0:t>MY_LIB_R_TCR</ns0:t>
        </ns0:is>
      </ns0:c>
      <ns0:c xmlns:ns0="http://schemas.openxmlformats.org/spreadsheetml/2006/main" r="AA222" s="16" t="inlineStr">
        <ns0:is>
          <ns0:t>R(T), +100 ppm/C at 25 C; positive datasheet limit</ns0:t>
        </ns0:is>
      </ns0:c>
      <ns0:c xmlns:ns0="http://schemas.openxmlformats.org/spreadsheetml/2006/main" r="AB222" s="16" t="str">
        <ns0:v>General</ns0:v>
      </ns0:c>
      <ns0:c xmlns:ns0="http://schemas.openxmlformats.org/spreadsheetml/2006/main" r="AC222" s="16" t="inlineStr">
        <ns0:is>
          <ns0:t>Spice Subcircuit</ns0:t>
        </ns0:is>
      </ns0:c>
      <ns0:c xmlns:ns0="http://schemas.openxmlformats.org/spreadsheetml/2006/main" r="AD222" s="16" t="inlineStr">
        <ns0:is>
          <ns0:t>@DESIGNATOR %1 %2 @MODEL PARAMS: Rvalue=@VALUE TC1value=100u</ns0:t>
        </ns0:is>
      </ns0:c>
      <ns0:c xmlns:ns0="http://schemas.openxmlformats.org/spreadsheetml/2006/main" r="AE222" s="16" t="inlineStr">
        <ns0:is>
          <ns0:t>X</ns0:t>
        </ns0:is>
      </ns0:c>
      <ns0:c xmlns:ns0="http://schemas.openxmlformats.org/spreadsheetml/2006/main" r="AF222" s="16" t="str">
        <ns0:v>(1:1),(2:2)</ns0:v>
      </ns0:c>
      <ns0:c xmlns:ns0="http://schemas.openxmlformats.org/spreadsheetml/2006/main" r="AG222" s="16" t="inlineStr">
        <ns0:is>
          <ns0:t>Simulation\Resistors\MY_LIB_R_TCR.ckt</ns0:t>
        </ns0:is>
      </ns0:c>
      <ns0:c xmlns:ns0="http://schemas.openxmlformats.org/spreadsheetml/2006/main" r="AH222" s="16" t="inlineStr">
        <ns0:is>
          <ns0:t>±100 ppm/°C</ns0:t>
        </ns0:is>
      </ns0:c>
    </ns0:row>
    <ns0:row r="223" ht="30" customHeight="1">
      <ns0:c r="A223" t="str" s="10">
        <ns0:v>R0229</ns0:v>
      </ns0:c>
      <ns0:c r="B223" t="str" s="10">
        <ns0:v>Резистор</ns0:v>
      </ns0:c>
      <ns0:c r="C223" t="str" s="10">
        <ns0:v>1.3k</ns0:v>
      </ns0:c>
      <ns0:c r="D223" t="str" s="11">
        <ns0:f>SUBSTITUTE(SUBSTITUTE(SUBSTITUTE(SUBSTITUTE(C223,"meg"," МОм"),"k"," кОм"),"R"," Ом"),".",",")</ns0:f>
        <ns0:v>1,3 кОм</ns0:v>
      </ns0:c>
      <ns0:c r="E223" t="str" s="10">
        <ns0:v>±5%</ns0:v>
      </ns0:c>
      <ns0:c r="F223" t="str" s="10">
        <ns0:v>0,125 Вт</ns0:v>
      </ns0:c>
      <ns0:c r="G223" t="str" s="10">
        <ns0:v>150 В макс.</ns0:v>
      </ns0:c>
      <ns0:c r="H223" t="str" s="12">
        <ns0:v>0805</ns0:v>
      </ns0:c>
      <ns0:c r="I223" t="str" s="10">
        <ns0:v>YAGEO</ns0:v>
      </ns0:c>
      <ns0:c r="J223" t="str" s="10">
        <ns0:v>RC0805JR-071K3L</ns0:v>
      </ns0:c>
      <ns0:c r="K223" t="str" s="11">
        <ns0:f>B223&amp;" "&amp;D223&amp;" "&amp;E223&amp;" "&amp;H223</ns0:f>
        <ns0:v>Резистор 1,3 кОм ±5% 0805</ns0:v>
      </ns0:c>
      <ns0:c r="L223" t="str" s="13">
        <ns0:v>R</ns0:v>
      </ns0:c>
      <ns0:c r="M223" t="str" s="13">
        <ns0:v>Symbols\MY_LIB_Resistors.SchLib</ns0:v>
      </ns0:c>
      <ns0:c r="N223" t="str" s="13">
        <ns0:v>RESC2012X70N</ns0:v>
      </ns0:c>
      <ns0:c r="O223" t="str" s="13">
        <ns0:v>Footprints\PBL - SMD Packages.PcbLib</ns0:v>
      </ns0:c>
      <ns0:c xmlns:ns0="http://schemas.openxmlformats.org/spreadsheetml/2006/main" r="P22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3" s="10"/>
      <ns0:c r="R223" t="str" s="11">
        <ns0:f>D223</ns0:f>
        <ns0:v>1,3 кОм</ns0:v>
      </ns0:c>
      <ns0:c r="S223" t="str" s="11">
        <ns0:f>K223</ns0:f>
        <ns0:v>Резистор 1,3 кОм ±5% 0805</ns0:v>
      </ns0:c>
      <x:c xmlns:x="http://schemas.openxmlformats.org/spreadsheetml/2006/main" r="T223" t="str" s="11">
        <x:v>C:\Users\Nomatin\Documents\Altium\MY_LIB\MY_LIB\Datasheets\YAGEO_RC_L.pdf</x:v>
      </x:c>
      <x:c xmlns:x="http://schemas.openxmlformats.org/spreadsheetml/2006/main" r="U223" t="str" s="11">
        <x:v>Даташит — локальный</x:v>
      </x:c>
      <x:c xmlns:x="http://schemas.openxmlformats.org/spreadsheetml/2006/main" r="V223" t="str" s="11">
        <x:v>C:\Users\Nomatin\Documents\Altium\MY_LIB\MY_LIB\Datasheets\YAGEO_RC_L.pdf</x:v>
      </x:c>
      <x:c xmlns:x="http://schemas.openxmlformats.org/spreadsheetml/2006/main" r="W223" t="str" s="11">
        <x:v>Даташит — производитель</x:v>
      </x:c>
      <x:c xmlns:x="http://schemas.openxmlformats.org/spreadsheetml/2006/main" r="X223" t="str" s="11">
        <x:v>https://yageogroup.com/content/datasheet/asset/file/PYU-RC_GROUP_51_ROHS_L</x:v>
      </x:c>
      <x:c xmlns:x="http://schemas.openxmlformats.org/spreadsheetml/2006/main" r="Y223" t="str" s="11">
        <x:v>C:\Users\Nomatin\Documents\Altium\MY_LIB\MY_LIB\Datasheets\YAGEO_RC_L.pdf</x:v>
      </x:c>
      <ns0:c xmlns:ns0="http://schemas.openxmlformats.org/spreadsheetml/2006/main" r="Z223" s="16" t="inlineStr">
        <ns0:is>
          <ns0:t>MY_LIB_R_TCR</ns0:t>
        </ns0:is>
      </ns0:c>
      <ns0:c xmlns:ns0="http://schemas.openxmlformats.org/spreadsheetml/2006/main" r="AA223" s="16" t="inlineStr">
        <ns0:is>
          <ns0:t>R(T), +100 ppm/C at 25 C; positive datasheet limit</ns0:t>
        </ns0:is>
      </ns0:c>
      <ns0:c xmlns:ns0="http://schemas.openxmlformats.org/spreadsheetml/2006/main" r="AB223" s="16" t="str">
        <ns0:v>General</ns0:v>
      </ns0:c>
      <ns0:c xmlns:ns0="http://schemas.openxmlformats.org/spreadsheetml/2006/main" r="AC223" s="16" t="inlineStr">
        <ns0:is>
          <ns0:t>Spice Subcircuit</ns0:t>
        </ns0:is>
      </ns0:c>
      <ns0:c xmlns:ns0="http://schemas.openxmlformats.org/spreadsheetml/2006/main" r="AD223" s="16" t="inlineStr">
        <ns0:is>
          <ns0:t>@DESIGNATOR %1 %2 @MODEL PARAMS: Rvalue=@VALUE TC1value=100u</ns0:t>
        </ns0:is>
      </ns0:c>
      <ns0:c xmlns:ns0="http://schemas.openxmlformats.org/spreadsheetml/2006/main" r="AE223" s="16" t="inlineStr">
        <ns0:is>
          <ns0:t>X</ns0:t>
        </ns0:is>
      </ns0:c>
      <ns0:c xmlns:ns0="http://schemas.openxmlformats.org/spreadsheetml/2006/main" r="AF223" s="16" t="str">
        <ns0:v>(1:1),(2:2)</ns0:v>
      </ns0:c>
      <ns0:c xmlns:ns0="http://schemas.openxmlformats.org/spreadsheetml/2006/main" r="AG223" s="16" t="inlineStr">
        <ns0:is>
          <ns0:t>Simulation\Resistors\MY_LIB_R_TCR.ckt</ns0:t>
        </ns0:is>
      </ns0:c>
      <ns0:c xmlns:ns0="http://schemas.openxmlformats.org/spreadsheetml/2006/main" r="AH223" s="16" t="inlineStr">
        <ns0:is>
          <ns0:t>±100 ppm/°C</ns0:t>
        </ns0:is>
      </ns0:c>
    </ns0:row>
    <ns0:row r="224" ht="30" customHeight="1">
      <ns0:c r="A224" t="str" s="10">
        <ns0:v>R0230</ns0:v>
      </ns0:c>
      <ns0:c r="B224" t="str" s="10">
        <ns0:v>Резистор</ns0:v>
      </ns0:c>
      <ns0:c r="C224" t="str" s="10">
        <ns0:v>1.5k</ns0:v>
      </ns0:c>
      <ns0:c r="D224" t="str" s="11">
        <ns0:f>SUBSTITUTE(SUBSTITUTE(SUBSTITUTE(SUBSTITUTE(C224,"meg"," МОм"),"k"," кОм"),"R"," Ом"),".",",")</ns0:f>
        <ns0:v>1,5 кОм</ns0:v>
      </ns0:c>
      <ns0:c r="E224" t="str" s="10">
        <ns0:v>±5%</ns0:v>
      </ns0:c>
      <ns0:c r="F224" t="str" s="10">
        <ns0:v>0,125 Вт</ns0:v>
      </ns0:c>
      <ns0:c r="G224" t="str" s="10">
        <ns0:v>150 В макс.</ns0:v>
      </ns0:c>
      <ns0:c r="H224" t="str" s="12">
        <ns0:v>0805</ns0:v>
      </ns0:c>
      <ns0:c r="I224" t="str" s="10">
        <ns0:v>YAGEO</ns0:v>
      </ns0:c>
      <ns0:c r="J224" t="str" s="10">
        <ns0:v>RC0805JR-071K5L</ns0:v>
      </ns0:c>
      <ns0:c r="K224" t="str" s="11">
        <ns0:f>B224&amp;" "&amp;D224&amp;" "&amp;E224&amp;" "&amp;H224</ns0:f>
        <ns0:v>Резистор 1,5 кОм ±5% 0805</ns0:v>
      </ns0:c>
      <ns0:c r="L224" t="str" s="13">
        <ns0:v>R</ns0:v>
      </ns0:c>
      <ns0:c r="M224" t="str" s="13">
        <ns0:v>Symbols\MY_LIB_Resistors.SchLib</ns0:v>
      </ns0:c>
      <ns0:c r="N224" t="str" s="13">
        <ns0:v>RESC2012X70N</ns0:v>
      </ns0:c>
      <ns0:c r="O224" t="str" s="13">
        <ns0:v>Footprints\PBL - SMD Packages.PcbLib</ns0:v>
      </ns0:c>
      <ns0:c xmlns:ns0="http://schemas.openxmlformats.org/spreadsheetml/2006/main" r="P22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4" s="10"/>
      <ns0:c r="R224" t="str" s="11">
        <ns0:f>D224</ns0:f>
        <ns0:v>1,5 кОм</ns0:v>
      </ns0:c>
      <ns0:c r="S224" t="str" s="11">
        <ns0:f>K224</ns0:f>
        <ns0:v>Резистор 1,5 кОм ±5% 0805</ns0:v>
      </ns0:c>
      <x:c xmlns:x="http://schemas.openxmlformats.org/spreadsheetml/2006/main" r="T224" t="str" s="11">
        <x:v>C:\Users\Nomatin\Documents\Altium\MY_LIB\MY_LIB\Datasheets\YAGEO_RC_L.pdf</x:v>
      </x:c>
      <x:c xmlns:x="http://schemas.openxmlformats.org/spreadsheetml/2006/main" r="U224" t="str" s="11">
        <x:v>Даташит — локальный</x:v>
      </x:c>
      <x:c xmlns:x="http://schemas.openxmlformats.org/spreadsheetml/2006/main" r="V224" t="str" s="11">
        <x:v>C:\Users\Nomatin\Documents\Altium\MY_LIB\MY_LIB\Datasheets\YAGEO_RC_L.pdf</x:v>
      </x:c>
      <x:c xmlns:x="http://schemas.openxmlformats.org/spreadsheetml/2006/main" r="W224" t="str" s="11">
        <x:v>Даташит — производитель</x:v>
      </x:c>
      <x:c xmlns:x="http://schemas.openxmlformats.org/spreadsheetml/2006/main" r="X224" t="str" s="11">
        <x:v>https://yageogroup.com/content/datasheet/asset/file/PYU-RC_GROUP_51_ROHS_L</x:v>
      </x:c>
      <x:c xmlns:x="http://schemas.openxmlformats.org/spreadsheetml/2006/main" r="Y224" t="str" s="11">
        <x:v>C:\Users\Nomatin\Documents\Altium\MY_LIB\MY_LIB\Datasheets\YAGEO_RC_L.pdf</x:v>
      </x:c>
      <ns0:c xmlns:ns0="http://schemas.openxmlformats.org/spreadsheetml/2006/main" r="Z224" s="16" t="inlineStr">
        <ns0:is>
          <ns0:t>MY_LIB_R_TCR</ns0:t>
        </ns0:is>
      </ns0:c>
      <ns0:c xmlns:ns0="http://schemas.openxmlformats.org/spreadsheetml/2006/main" r="AA224" s="16" t="inlineStr">
        <ns0:is>
          <ns0:t>R(T), +100 ppm/C at 25 C; positive datasheet limit</ns0:t>
        </ns0:is>
      </ns0:c>
      <ns0:c xmlns:ns0="http://schemas.openxmlformats.org/spreadsheetml/2006/main" r="AB224" s="16" t="str">
        <ns0:v>General</ns0:v>
      </ns0:c>
      <ns0:c xmlns:ns0="http://schemas.openxmlformats.org/spreadsheetml/2006/main" r="AC224" s="16" t="inlineStr">
        <ns0:is>
          <ns0:t>Spice Subcircuit</ns0:t>
        </ns0:is>
      </ns0:c>
      <ns0:c xmlns:ns0="http://schemas.openxmlformats.org/spreadsheetml/2006/main" r="AD224" s="16" t="inlineStr">
        <ns0:is>
          <ns0:t>@DESIGNATOR %1 %2 @MODEL PARAMS: Rvalue=@VALUE TC1value=100u</ns0:t>
        </ns0:is>
      </ns0:c>
      <ns0:c xmlns:ns0="http://schemas.openxmlformats.org/spreadsheetml/2006/main" r="AE224" s="16" t="inlineStr">
        <ns0:is>
          <ns0:t>X</ns0:t>
        </ns0:is>
      </ns0:c>
      <ns0:c xmlns:ns0="http://schemas.openxmlformats.org/spreadsheetml/2006/main" r="AF224" s="16" t="str">
        <ns0:v>(1:1),(2:2)</ns0:v>
      </ns0:c>
      <ns0:c xmlns:ns0="http://schemas.openxmlformats.org/spreadsheetml/2006/main" r="AG224" s="16" t="inlineStr">
        <ns0:is>
          <ns0:t>Simulation\Resistors\MY_LIB_R_TCR.ckt</ns0:t>
        </ns0:is>
      </ns0:c>
      <ns0:c xmlns:ns0="http://schemas.openxmlformats.org/spreadsheetml/2006/main" r="AH224" s="16" t="inlineStr">
        <ns0:is>
          <ns0:t>±100 ppm/°C</ns0:t>
        </ns0:is>
      </ns0:c>
    </ns0:row>
    <ns0:row r="225" ht="30" customHeight="1">
      <ns0:c r="A225" t="str" s="10">
        <ns0:v>R0231</ns0:v>
      </ns0:c>
      <ns0:c r="B225" t="str" s="10">
        <ns0:v>Резистор</ns0:v>
      </ns0:c>
      <ns0:c r="C225" t="str" s="10">
        <ns0:v>1.6k</ns0:v>
      </ns0:c>
      <ns0:c r="D225" t="str" s="11">
        <ns0:f>SUBSTITUTE(SUBSTITUTE(SUBSTITUTE(SUBSTITUTE(C225,"meg"," МОм"),"k"," кОм"),"R"," Ом"),".",",")</ns0:f>
        <ns0:v>1,6 кОм</ns0:v>
      </ns0:c>
      <ns0:c r="E225" t="str" s="10">
        <ns0:v>±5%</ns0:v>
      </ns0:c>
      <ns0:c r="F225" t="str" s="10">
        <ns0:v>0,125 Вт</ns0:v>
      </ns0:c>
      <ns0:c r="G225" t="str" s="10">
        <ns0:v>150 В макс.</ns0:v>
      </ns0:c>
      <ns0:c r="H225" t="str" s="12">
        <ns0:v>0805</ns0:v>
      </ns0:c>
      <ns0:c r="I225" t="str" s="10">
        <ns0:v>YAGEO</ns0:v>
      </ns0:c>
      <ns0:c r="J225" t="str" s="10">
        <ns0:v>RC0805JR-071K6L</ns0:v>
      </ns0:c>
      <ns0:c r="K225" t="str" s="11">
        <ns0:f>B225&amp;" "&amp;D225&amp;" "&amp;E225&amp;" "&amp;H225</ns0:f>
        <ns0:v>Резистор 1,6 кОм ±5% 0805</ns0:v>
      </ns0:c>
      <ns0:c r="L225" t="str" s="13">
        <ns0:v>R</ns0:v>
      </ns0:c>
      <ns0:c r="M225" t="str" s="13">
        <ns0:v>Symbols\MY_LIB_Resistors.SchLib</ns0:v>
      </ns0:c>
      <ns0:c r="N225" t="str" s="13">
        <ns0:v>RESC2012X70N</ns0:v>
      </ns0:c>
      <ns0:c r="O225" t="str" s="13">
        <ns0:v>Footprints\PBL - SMD Packages.PcbLib</ns0:v>
      </ns0:c>
      <ns0:c xmlns:ns0="http://schemas.openxmlformats.org/spreadsheetml/2006/main" r="P22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5" s="10"/>
      <ns0:c r="R225" t="str" s="11">
        <ns0:f>D225</ns0:f>
        <ns0:v>1,6 кОм</ns0:v>
      </ns0:c>
      <ns0:c r="S225" t="str" s="11">
        <ns0:f>K225</ns0:f>
        <ns0:v>Резистор 1,6 кОм ±5% 0805</ns0:v>
      </ns0:c>
      <x:c xmlns:x="http://schemas.openxmlformats.org/spreadsheetml/2006/main" r="T225" t="str" s="11">
        <x:v>C:\Users\Nomatin\Documents\Altium\MY_LIB\MY_LIB\Datasheets\YAGEO_RC_L.pdf</x:v>
      </x:c>
      <x:c xmlns:x="http://schemas.openxmlformats.org/spreadsheetml/2006/main" r="U225" t="str" s="11">
        <x:v>Даташит — локальный</x:v>
      </x:c>
      <x:c xmlns:x="http://schemas.openxmlformats.org/spreadsheetml/2006/main" r="V225" t="str" s="11">
        <x:v>C:\Users\Nomatin\Documents\Altium\MY_LIB\MY_LIB\Datasheets\YAGEO_RC_L.pdf</x:v>
      </x:c>
      <x:c xmlns:x="http://schemas.openxmlformats.org/spreadsheetml/2006/main" r="W225" t="str" s="11">
        <x:v>Даташит — производитель</x:v>
      </x:c>
      <x:c xmlns:x="http://schemas.openxmlformats.org/spreadsheetml/2006/main" r="X225" t="str" s="11">
        <x:v>https://yageogroup.com/content/datasheet/asset/file/PYU-RC_GROUP_51_ROHS_L</x:v>
      </x:c>
      <x:c xmlns:x="http://schemas.openxmlformats.org/spreadsheetml/2006/main" r="Y225" t="str" s="11">
        <x:v>C:\Users\Nomatin\Documents\Altium\MY_LIB\MY_LIB\Datasheets\YAGEO_RC_L.pdf</x:v>
      </x:c>
      <ns0:c xmlns:ns0="http://schemas.openxmlformats.org/spreadsheetml/2006/main" r="Z225" s="16" t="inlineStr">
        <ns0:is>
          <ns0:t>MY_LIB_R_TCR</ns0:t>
        </ns0:is>
      </ns0:c>
      <ns0:c xmlns:ns0="http://schemas.openxmlformats.org/spreadsheetml/2006/main" r="AA225" s="16" t="inlineStr">
        <ns0:is>
          <ns0:t>R(T), +100 ppm/C at 25 C; positive datasheet limit</ns0:t>
        </ns0:is>
      </ns0:c>
      <ns0:c xmlns:ns0="http://schemas.openxmlformats.org/spreadsheetml/2006/main" r="AB225" s="16" t="str">
        <ns0:v>General</ns0:v>
      </ns0:c>
      <ns0:c xmlns:ns0="http://schemas.openxmlformats.org/spreadsheetml/2006/main" r="AC225" s="16" t="inlineStr">
        <ns0:is>
          <ns0:t>Spice Subcircuit</ns0:t>
        </ns0:is>
      </ns0:c>
      <ns0:c xmlns:ns0="http://schemas.openxmlformats.org/spreadsheetml/2006/main" r="AD225" s="16" t="inlineStr">
        <ns0:is>
          <ns0:t>@DESIGNATOR %1 %2 @MODEL PARAMS: Rvalue=@VALUE TC1value=100u</ns0:t>
        </ns0:is>
      </ns0:c>
      <ns0:c xmlns:ns0="http://schemas.openxmlformats.org/spreadsheetml/2006/main" r="AE225" s="16" t="inlineStr">
        <ns0:is>
          <ns0:t>X</ns0:t>
        </ns0:is>
      </ns0:c>
      <ns0:c xmlns:ns0="http://schemas.openxmlformats.org/spreadsheetml/2006/main" r="AF225" s="16" t="str">
        <ns0:v>(1:1),(2:2)</ns0:v>
      </ns0:c>
      <ns0:c xmlns:ns0="http://schemas.openxmlformats.org/spreadsheetml/2006/main" r="AG225" s="16" t="inlineStr">
        <ns0:is>
          <ns0:t>Simulation\Resistors\MY_LIB_R_TCR.ckt</ns0:t>
        </ns0:is>
      </ns0:c>
      <ns0:c xmlns:ns0="http://schemas.openxmlformats.org/spreadsheetml/2006/main" r="AH225" s="16" t="inlineStr">
        <ns0:is>
          <ns0:t>±100 ppm/°C</ns0:t>
        </ns0:is>
      </ns0:c>
    </ns0:row>
    <ns0:row r="226" ht="30" customHeight="1">
      <ns0:c r="A226" t="str" s="10">
        <ns0:v>R0232</ns0:v>
      </ns0:c>
      <ns0:c r="B226" t="str" s="10">
        <ns0:v>Резистор</ns0:v>
      </ns0:c>
      <ns0:c r="C226" t="str" s="10">
        <ns0:v>1.8k</ns0:v>
      </ns0:c>
      <ns0:c r="D226" t="str" s="11">
        <ns0:f>SUBSTITUTE(SUBSTITUTE(SUBSTITUTE(SUBSTITUTE(C226,"meg"," МОм"),"k"," кОм"),"R"," Ом"),".",",")</ns0:f>
        <ns0:v>1,8 кОм</ns0:v>
      </ns0:c>
      <ns0:c r="E226" t="str" s="10">
        <ns0:v>±5%</ns0:v>
      </ns0:c>
      <ns0:c r="F226" t="str" s="10">
        <ns0:v>0,125 Вт</ns0:v>
      </ns0:c>
      <ns0:c r="G226" t="str" s="10">
        <ns0:v>150 В макс.</ns0:v>
      </ns0:c>
      <ns0:c r="H226" t="str" s="12">
        <ns0:v>0805</ns0:v>
      </ns0:c>
      <ns0:c r="I226" t="str" s="10">
        <ns0:v>YAGEO</ns0:v>
      </ns0:c>
      <ns0:c r="J226" t="str" s="10">
        <ns0:v>RC0805JR-071K8L</ns0:v>
      </ns0:c>
      <ns0:c r="K226" t="str" s="11">
        <ns0:f>B226&amp;" "&amp;D226&amp;" "&amp;E226&amp;" "&amp;H226</ns0:f>
        <ns0:v>Резистор 1,8 кОм ±5% 0805</ns0:v>
      </ns0:c>
      <ns0:c r="L226" t="str" s="13">
        <ns0:v>R</ns0:v>
      </ns0:c>
      <ns0:c r="M226" t="str" s="13">
        <ns0:v>Symbols\MY_LIB_Resistors.SchLib</ns0:v>
      </ns0:c>
      <ns0:c r="N226" t="str" s="13">
        <ns0:v>RESC2012X70N</ns0:v>
      </ns0:c>
      <ns0:c r="O226" t="str" s="13">
        <ns0:v>Footprints\PBL - SMD Packages.PcbLib</ns0:v>
      </ns0:c>
      <ns0:c xmlns:ns0="http://schemas.openxmlformats.org/spreadsheetml/2006/main" r="P22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6" s="10"/>
      <ns0:c r="R226" t="str" s="11">
        <ns0:f>D226</ns0:f>
        <ns0:v>1,8 кОм</ns0:v>
      </ns0:c>
      <ns0:c r="S226" t="str" s="11">
        <ns0:f>K226</ns0:f>
        <ns0:v>Резистор 1,8 кОм ±5% 0805</ns0:v>
      </ns0:c>
      <x:c xmlns:x="http://schemas.openxmlformats.org/spreadsheetml/2006/main" r="T226" t="str" s="11">
        <x:v>C:\Users\Nomatin\Documents\Altium\MY_LIB\MY_LIB\Datasheets\YAGEO_RC_L.pdf</x:v>
      </x:c>
      <x:c xmlns:x="http://schemas.openxmlformats.org/spreadsheetml/2006/main" r="U226" t="str" s="11">
        <x:v>Даташит — локальный</x:v>
      </x:c>
      <x:c xmlns:x="http://schemas.openxmlformats.org/spreadsheetml/2006/main" r="V226" t="str" s="11">
        <x:v>C:\Users\Nomatin\Documents\Altium\MY_LIB\MY_LIB\Datasheets\YAGEO_RC_L.pdf</x:v>
      </x:c>
      <x:c xmlns:x="http://schemas.openxmlformats.org/spreadsheetml/2006/main" r="W226" t="str" s="11">
        <x:v>Даташит — производитель</x:v>
      </x:c>
      <x:c xmlns:x="http://schemas.openxmlformats.org/spreadsheetml/2006/main" r="X226" t="str" s="11">
        <x:v>https://yageogroup.com/content/datasheet/asset/file/PYU-RC_GROUP_51_ROHS_L</x:v>
      </x:c>
      <x:c xmlns:x="http://schemas.openxmlformats.org/spreadsheetml/2006/main" r="Y226" t="str" s="11">
        <x:v>C:\Users\Nomatin\Documents\Altium\MY_LIB\MY_LIB\Datasheets\YAGEO_RC_L.pdf</x:v>
      </x:c>
      <ns0:c xmlns:ns0="http://schemas.openxmlformats.org/spreadsheetml/2006/main" r="Z226" s="16" t="inlineStr">
        <ns0:is>
          <ns0:t>MY_LIB_R_TCR</ns0:t>
        </ns0:is>
      </ns0:c>
      <ns0:c xmlns:ns0="http://schemas.openxmlformats.org/spreadsheetml/2006/main" r="AA226" s="16" t="inlineStr">
        <ns0:is>
          <ns0:t>R(T), +100 ppm/C at 25 C; positive datasheet limit</ns0:t>
        </ns0:is>
      </ns0:c>
      <ns0:c xmlns:ns0="http://schemas.openxmlformats.org/spreadsheetml/2006/main" r="AB226" s="16" t="str">
        <ns0:v>General</ns0:v>
      </ns0:c>
      <ns0:c xmlns:ns0="http://schemas.openxmlformats.org/spreadsheetml/2006/main" r="AC226" s="16" t="inlineStr">
        <ns0:is>
          <ns0:t>Spice Subcircuit</ns0:t>
        </ns0:is>
      </ns0:c>
      <ns0:c xmlns:ns0="http://schemas.openxmlformats.org/spreadsheetml/2006/main" r="AD226" s="16" t="inlineStr">
        <ns0:is>
          <ns0:t>@DESIGNATOR %1 %2 @MODEL PARAMS: Rvalue=@VALUE TC1value=100u</ns0:t>
        </ns0:is>
      </ns0:c>
      <ns0:c xmlns:ns0="http://schemas.openxmlformats.org/spreadsheetml/2006/main" r="AE226" s="16" t="inlineStr">
        <ns0:is>
          <ns0:t>X</ns0:t>
        </ns0:is>
      </ns0:c>
      <ns0:c xmlns:ns0="http://schemas.openxmlformats.org/spreadsheetml/2006/main" r="AF226" s="16" t="str">
        <ns0:v>(1:1),(2:2)</ns0:v>
      </ns0:c>
      <ns0:c xmlns:ns0="http://schemas.openxmlformats.org/spreadsheetml/2006/main" r="AG226" s="16" t="inlineStr">
        <ns0:is>
          <ns0:t>Simulation\Resistors\MY_LIB_R_TCR.ckt</ns0:t>
        </ns0:is>
      </ns0:c>
      <ns0:c xmlns:ns0="http://schemas.openxmlformats.org/spreadsheetml/2006/main" r="AH226" s="16" t="inlineStr">
        <ns0:is>
          <ns0:t>±100 ppm/°C</ns0:t>
        </ns0:is>
      </ns0:c>
    </ns0:row>
    <ns0:row r="227" ht="30" customHeight="1">
      <ns0:c r="A227" t="str" s="10">
        <ns0:v>R0233</ns0:v>
      </ns0:c>
      <ns0:c r="B227" t="str" s="10">
        <ns0:v>Резистор</ns0:v>
      </ns0:c>
      <ns0:c r="C227" t="str" s="10">
        <ns0:v>2k</ns0:v>
      </ns0:c>
      <ns0:c r="D227" t="str" s="11">
        <ns0:f>SUBSTITUTE(SUBSTITUTE(SUBSTITUTE(SUBSTITUTE(C227,"meg"," МОм"),"k"," кОм"),"R"," Ом"),".",",")</ns0:f>
        <ns0:v>2 кОм</ns0:v>
      </ns0:c>
      <ns0:c r="E227" t="str" s="10">
        <ns0:v>±5%</ns0:v>
      </ns0:c>
      <ns0:c r="F227" t="str" s="10">
        <ns0:v>0,125 Вт</ns0:v>
      </ns0:c>
      <ns0:c r="G227" t="str" s="10">
        <ns0:v>150 В макс.</ns0:v>
      </ns0:c>
      <ns0:c r="H227" t="str" s="12">
        <ns0:v>0805</ns0:v>
      </ns0:c>
      <ns0:c r="I227" t="str" s="10">
        <ns0:v>YAGEO</ns0:v>
      </ns0:c>
      <ns0:c r="J227" t="str" s="10">
        <ns0:v>RC0805JR-072KL</ns0:v>
      </ns0:c>
      <ns0:c r="K227" t="str" s="11">
        <ns0:f>B227&amp;" "&amp;D227&amp;" "&amp;E227&amp;" "&amp;H227</ns0:f>
        <ns0:v>Резистор 2 кОм ±5% 0805</ns0:v>
      </ns0:c>
      <ns0:c r="L227" t="str" s="13">
        <ns0:v>R</ns0:v>
      </ns0:c>
      <ns0:c r="M227" t="str" s="13">
        <ns0:v>Symbols\MY_LIB_Resistors.SchLib</ns0:v>
      </ns0:c>
      <ns0:c r="N227" t="str" s="13">
        <ns0:v>RESC2012X70N</ns0:v>
      </ns0:c>
      <ns0:c r="O227" t="str" s="13">
        <ns0:v>Footprints\PBL - SMD Packages.PcbLib</ns0:v>
      </ns0:c>
      <ns0:c xmlns:ns0="http://schemas.openxmlformats.org/spreadsheetml/2006/main" r="P22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7" s="10"/>
      <ns0:c r="R227" t="str" s="11">
        <ns0:f>D227</ns0:f>
        <ns0:v>2 кОм</ns0:v>
      </ns0:c>
      <ns0:c r="S227" t="str" s="11">
        <ns0:f>K227</ns0:f>
        <ns0:v>Резистор 2 кОм ±5% 0805</ns0:v>
      </ns0:c>
      <x:c xmlns:x="http://schemas.openxmlformats.org/spreadsheetml/2006/main" r="T227" t="str" s="11">
        <x:v>C:\Users\Nomatin\Documents\Altium\MY_LIB\MY_LIB\Datasheets\YAGEO_RC_L.pdf</x:v>
      </x:c>
      <x:c xmlns:x="http://schemas.openxmlformats.org/spreadsheetml/2006/main" r="U227" t="str" s="11">
        <x:v>Даташит — локальный</x:v>
      </x:c>
      <x:c xmlns:x="http://schemas.openxmlformats.org/spreadsheetml/2006/main" r="V227" t="str" s="11">
        <x:v>C:\Users\Nomatin\Documents\Altium\MY_LIB\MY_LIB\Datasheets\YAGEO_RC_L.pdf</x:v>
      </x:c>
      <x:c xmlns:x="http://schemas.openxmlformats.org/spreadsheetml/2006/main" r="W227" t="str" s="11">
        <x:v>Даташит — производитель</x:v>
      </x:c>
      <x:c xmlns:x="http://schemas.openxmlformats.org/spreadsheetml/2006/main" r="X227" t="str" s="11">
        <x:v>https://yageogroup.com/content/datasheet/asset/file/PYU-RC_GROUP_51_ROHS_L</x:v>
      </x:c>
      <x:c xmlns:x="http://schemas.openxmlformats.org/spreadsheetml/2006/main" r="Y227" t="str" s="11">
        <x:v>C:\Users\Nomatin\Documents\Altium\MY_LIB\MY_LIB\Datasheets\YAGEO_RC_L.pdf</x:v>
      </x:c>
      <ns0:c xmlns:ns0="http://schemas.openxmlformats.org/spreadsheetml/2006/main" r="Z227" s="16" t="inlineStr">
        <ns0:is>
          <ns0:t>MY_LIB_R_TCR</ns0:t>
        </ns0:is>
      </ns0:c>
      <ns0:c xmlns:ns0="http://schemas.openxmlformats.org/spreadsheetml/2006/main" r="AA227" s="16" t="inlineStr">
        <ns0:is>
          <ns0:t>R(T), +100 ppm/C at 25 C; positive datasheet limit</ns0:t>
        </ns0:is>
      </ns0:c>
      <ns0:c xmlns:ns0="http://schemas.openxmlformats.org/spreadsheetml/2006/main" r="AB227" s="16" t="str">
        <ns0:v>General</ns0:v>
      </ns0:c>
      <ns0:c xmlns:ns0="http://schemas.openxmlformats.org/spreadsheetml/2006/main" r="AC227" s="16" t="inlineStr">
        <ns0:is>
          <ns0:t>Spice Subcircuit</ns0:t>
        </ns0:is>
      </ns0:c>
      <ns0:c xmlns:ns0="http://schemas.openxmlformats.org/spreadsheetml/2006/main" r="AD227" s="16" t="inlineStr">
        <ns0:is>
          <ns0:t>@DESIGNATOR %1 %2 @MODEL PARAMS: Rvalue=@VALUE TC1value=100u</ns0:t>
        </ns0:is>
      </ns0:c>
      <ns0:c xmlns:ns0="http://schemas.openxmlformats.org/spreadsheetml/2006/main" r="AE227" s="16" t="inlineStr">
        <ns0:is>
          <ns0:t>X</ns0:t>
        </ns0:is>
      </ns0:c>
      <ns0:c xmlns:ns0="http://schemas.openxmlformats.org/spreadsheetml/2006/main" r="AF227" s="16" t="str">
        <ns0:v>(1:1),(2:2)</ns0:v>
      </ns0:c>
      <ns0:c xmlns:ns0="http://schemas.openxmlformats.org/spreadsheetml/2006/main" r="AG227" s="16" t="inlineStr">
        <ns0:is>
          <ns0:t>Simulation\Resistors\MY_LIB_R_TCR.ckt</ns0:t>
        </ns0:is>
      </ns0:c>
      <ns0:c xmlns:ns0="http://schemas.openxmlformats.org/spreadsheetml/2006/main" r="AH227" s="16" t="inlineStr">
        <ns0:is>
          <ns0:t>±100 ppm/°C</ns0:t>
        </ns0:is>
      </ns0:c>
    </ns0:row>
    <ns0:row r="228" ht="30" customHeight="1">
      <ns0:c r="A228" t="str" s="10">
        <ns0:v>R0234</ns0:v>
      </ns0:c>
      <ns0:c r="B228" t="str" s="10">
        <ns0:v>Резистор</ns0:v>
      </ns0:c>
      <ns0:c r="C228" t="str" s="10">
        <ns0:v>2.2k</ns0:v>
      </ns0:c>
      <ns0:c r="D228" t="str" s="11">
        <ns0:f>SUBSTITUTE(SUBSTITUTE(SUBSTITUTE(SUBSTITUTE(C228,"meg"," МОм"),"k"," кОм"),"R"," Ом"),".",",")</ns0:f>
        <ns0:v>2,2 кОм</ns0:v>
      </ns0:c>
      <ns0:c r="E228" t="str" s="10">
        <ns0:v>±5%</ns0:v>
      </ns0:c>
      <ns0:c r="F228" t="str" s="10">
        <ns0:v>0,125 Вт</ns0:v>
      </ns0:c>
      <ns0:c r="G228" t="str" s="10">
        <ns0:v>150 В макс.</ns0:v>
      </ns0:c>
      <ns0:c r="H228" t="str" s="12">
        <ns0:v>0805</ns0:v>
      </ns0:c>
      <ns0:c r="I228" t="str" s="10">
        <ns0:v>YAGEO</ns0:v>
      </ns0:c>
      <ns0:c r="J228" t="str" s="10">
        <ns0:v>RC0805JR-072K2L</ns0:v>
      </ns0:c>
      <ns0:c r="K228" t="str" s="11">
        <ns0:f>B228&amp;" "&amp;D228&amp;" "&amp;E228&amp;" "&amp;H228</ns0:f>
        <ns0:v>Резистор 2,2 кОм ±5% 0805</ns0:v>
      </ns0:c>
      <ns0:c r="L228" t="str" s="13">
        <ns0:v>R</ns0:v>
      </ns0:c>
      <ns0:c r="M228" t="str" s="13">
        <ns0:v>Symbols\MY_LIB_Resistors.SchLib</ns0:v>
      </ns0:c>
      <ns0:c r="N228" t="str" s="13">
        <ns0:v>RESC2012X70N</ns0:v>
      </ns0:c>
      <ns0:c r="O228" t="str" s="13">
        <ns0:v>Footprints\PBL - SMD Packages.PcbLib</ns0:v>
      </ns0:c>
      <ns0:c xmlns:ns0="http://schemas.openxmlformats.org/spreadsheetml/2006/main" r="P22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8" s="10"/>
      <ns0:c r="R228" t="str" s="11">
        <ns0:f>D228</ns0:f>
        <ns0:v>2,2 кОм</ns0:v>
      </ns0:c>
      <ns0:c r="S228" t="str" s="11">
        <ns0:f>K228</ns0:f>
        <ns0:v>Резистор 2,2 кОм ±5% 0805</ns0:v>
      </ns0:c>
      <x:c xmlns:x="http://schemas.openxmlformats.org/spreadsheetml/2006/main" r="T228" t="str" s="11">
        <x:v>C:\Users\Nomatin\Documents\Altium\MY_LIB\MY_LIB\Datasheets\YAGEO_RC_L.pdf</x:v>
      </x:c>
      <x:c xmlns:x="http://schemas.openxmlformats.org/spreadsheetml/2006/main" r="U228" t="str" s="11">
        <x:v>Даташит — локальный</x:v>
      </x:c>
      <x:c xmlns:x="http://schemas.openxmlformats.org/spreadsheetml/2006/main" r="V228" t="str" s="11">
        <x:v>C:\Users\Nomatin\Documents\Altium\MY_LIB\MY_LIB\Datasheets\YAGEO_RC_L.pdf</x:v>
      </x:c>
      <x:c xmlns:x="http://schemas.openxmlformats.org/spreadsheetml/2006/main" r="W228" t="str" s="11">
        <x:v>Даташит — производитель</x:v>
      </x:c>
      <x:c xmlns:x="http://schemas.openxmlformats.org/spreadsheetml/2006/main" r="X228" t="str" s="11">
        <x:v>https://yageogroup.com/content/datasheet/asset/file/PYU-RC_GROUP_51_ROHS_L</x:v>
      </x:c>
      <x:c xmlns:x="http://schemas.openxmlformats.org/spreadsheetml/2006/main" r="Y228" t="str" s="11">
        <x:v>C:\Users\Nomatin\Documents\Altium\MY_LIB\MY_LIB\Datasheets\YAGEO_RC_L.pdf</x:v>
      </x:c>
      <ns0:c xmlns:ns0="http://schemas.openxmlformats.org/spreadsheetml/2006/main" r="Z228" s="16" t="inlineStr">
        <ns0:is>
          <ns0:t>MY_LIB_R_TCR</ns0:t>
        </ns0:is>
      </ns0:c>
      <ns0:c xmlns:ns0="http://schemas.openxmlformats.org/spreadsheetml/2006/main" r="AA228" s="16" t="inlineStr">
        <ns0:is>
          <ns0:t>R(T), +100 ppm/C at 25 C; positive datasheet limit</ns0:t>
        </ns0:is>
      </ns0:c>
      <ns0:c xmlns:ns0="http://schemas.openxmlformats.org/spreadsheetml/2006/main" r="AB228" s="16" t="str">
        <ns0:v>General</ns0:v>
      </ns0:c>
      <ns0:c xmlns:ns0="http://schemas.openxmlformats.org/spreadsheetml/2006/main" r="AC228" s="16" t="inlineStr">
        <ns0:is>
          <ns0:t>Spice Subcircuit</ns0:t>
        </ns0:is>
      </ns0:c>
      <ns0:c xmlns:ns0="http://schemas.openxmlformats.org/spreadsheetml/2006/main" r="AD228" s="16" t="inlineStr">
        <ns0:is>
          <ns0:t>@DESIGNATOR %1 %2 @MODEL PARAMS: Rvalue=@VALUE TC1value=100u</ns0:t>
        </ns0:is>
      </ns0:c>
      <ns0:c xmlns:ns0="http://schemas.openxmlformats.org/spreadsheetml/2006/main" r="AE228" s="16" t="inlineStr">
        <ns0:is>
          <ns0:t>X</ns0:t>
        </ns0:is>
      </ns0:c>
      <ns0:c xmlns:ns0="http://schemas.openxmlformats.org/spreadsheetml/2006/main" r="AF228" s="16" t="str">
        <ns0:v>(1:1),(2:2)</ns0:v>
      </ns0:c>
      <ns0:c xmlns:ns0="http://schemas.openxmlformats.org/spreadsheetml/2006/main" r="AG228" s="16" t="inlineStr">
        <ns0:is>
          <ns0:t>Simulation\Resistors\MY_LIB_R_TCR.ckt</ns0:t>
        </ns0:is>
      </ns0:c>
      <ns0:c xmlns:ns0="http://schemas.openxmlformats.org/spreadsheetml/2006/main" r="AH228" s="16" t="inlineStr">
        <ns0:is>
          <ns0:t>±100 ppm/°C</ns0:t>
        </ns0:is>
      </ns0:c>
    </ns0:row>
    <ns0:row r="229" ht="30" customHeight="1">
      <ns0:c r="A229" t="str" s="10">
        <ns0:v>R0235</ns0:v>
      </ns0:c>
      <ns0:c r="B229" t="str" s="10">
        <ns0:v>Резистор</ns0:v>
      </ns0:c>
      <ns0:c r="C229" t="str" s="10">
        <ns0:v>2.4k</ns0:v>
      </ns0:c>
      <ns0:c r="D229" t="str" s="11">
        <ns0:f>SUBSTITUTE(SUBSTITUTE(SUBSTITUTE(SUBSTITUTE(C229,"meg"," МОм"),"k"," кОм"),"R"," Ом"),".",",")</ns0:f>
        <ns0:v>2,4 кОм</ns0:v>
      </ns0:c>
      <ns0:c r="E229" t="str" s="10">
        <ns0:v>±5%</ns0:v>
      </ns0:c>
      <ns0:c r="F229" t="str" s="10">
        <ns0:v>0,125 Вт</ns0:v>
      </ns0:c>
      <ns0:c r="G229" t="str" s="10">
        <ns0:v>150 В макс.</ns0:v>
      </ns0:c>
      <ns0:c r="H229" t="str" s="12">
        <ns0:v>0805</ns0:v>
      </ns0:c>
      <ns0:c r="I229" t="str" s="10">
        <ns0:v>YAGEO</ns0:v>
      </ns0:c>
      <ns0:c r="J229" t="str" s="10">
        <ns0:v>RC0805JR-072K4L</ns0:v>
      </ns0:c>
      <ns0:c r="K229" t="str" s="11">
        <ns0:f>B229&amp;" "&amp;D229&amp;" "&amp;E229&amp;" "&amp;H229</ns0:f>
        <ns0:v>Резистор 2,4 кОм ±5% 0805</ns0:v>
      </ns0:c>
      <ns0:c r="L229" t="str" s="13">
        <ns0:v>R</ns0:v>
      </ns0:c>
      <ns0:c r="M229" t="str" s="13">
        <ns0:v>Symbols\MY_LIB_Resistors.SchLib</ns0:v>
      </ns0:c>
      <ns0:c r="N229" t="str" s="13">
        <ns0:v>RESC2012X70N</ns0:v>
      </ns0:c>
      <ns0:c r="O229" t="str" s="13">
        <ns0:v>Footprints\PBL - SMD Packages.PcbLib</ns0:v>
      </ns0:c>
      <ns0:c xmlns:ns0="http://schemas.openxmlformats.org/spreadsheetml/2006/main" r="P22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29" s="10"/>
      <ns0:c r="R229" t="str" s="11">
        <ns0:f>D229</ns0:f>
        <ns0:v>2,4 кОм</ns0:v>
      </ns0:c>
      <ns0:c r="S229" t="str" s="11">
        <ns0:f>K229</ns0:f>
        <ns0:v>Резистор 2,4 кОм ±5% 0805</ns0:v>
      </ns0:c>
      <x:c xmlns:x="http://schemas.openxmlformats.org/spreadsheetml/2006/main" r="T229" t="str" s="11">
        <x:v>C:\Users\Nomatin\Documents\Altium\MY_LIB\MY_LIB\Datasheets\YAGEO_RC_L.pdf</x:v>
      </x:c>
      <x:c xmlns:x="http://schemas.openxmlformats.org/spreadsheetml/2006/main" r="U229" t="str" s="11">
        <x:v>Даташит — локальный</x:v>
      </x:c>
      <x:c xmlns:x="http://schemas.openxmlformats.org/spreadsheetml/2006/main" r="V229" t="str" s="11">
        <x:v>C:\Users\Nomatin\Documents\Altium\MY_LIB\MY_LIB\Datasheets\YAGEO_RC_L.pdf</x:v>
      </x:c>
      <x:c xmlns:x="http://schemas.openxmlformats.org/spreadsheetml/2006/main" r="W229" t="str" s="11">
        <x:v>Даташит — производитель</x:v>
      </x:c>
      <x:c xmlns:x="http://schemas.openxmlformats.org/spreadsheetml/2006/main" r="X229" t="str" s="11">
        <x:v>https://yageogroup.com/content/datasheet/asset/file/PYU-RC_GROUP_51_ROHS_L</x:v>
      </x:c>
      <x:c xmlns:x="http://schemas.openxmlformats.org/spreadsheetml/2006/main" r="Y229" t="str" s="11">
        <x:v>C:\Users\Nomatin\Documents\Altium\MY_LIB\MY_LIB\Datasheets\YAGEO_RC_L.pdf</x:v>
      </x:c>
      <ns0:c xmlns:ns0="http://schemas.openxmlformats.org/spreadsheetml/2006/main" r="Z229" s="16" t="inlineStr">
        <ns0:is>
          <ns0:t>MY_LIB_R_TCR</ns0:t>
        </ns0:is>
      </ns0:c>
      <ns0:c xmlns:ns0="http://schemas.openxmlformats.org/spreadsheetml/2006/main" r="AA229" s="16" t="inlineStr">
        <ns0:is>
          <ns0:t>R(T), +100 ppm/C at 25 C; positive datasheet limit</ns0:t>
        </ns0:is>
      </ns0:c>
      <ns0:c xmlns:ns0="http://schemas.openxmlformats.org/spreadsheetml/2006/main" r="AB229" s="16" t="str">
        <ns0:v>General</ns0:v>
      </ns0:c>
      <ns0:c xmlns:ns0="http://schemas.openxmlformats.org/spreadsheetml/2006/main" r="AC229" s="16" t="inlineStr">
        <ns0:is>
          <ns0:t>Spice Subcircuit</ns0:t>
        </ns0:is>
      </ns0:c>
      <ns0:c xmlns:ns0="http://schemas.openxmlformats.org/spreadsheetml/2006/main" r="AD229" s="16" t="inlineStr">
        <ns0:is>
          <ns0:t>@DESIGNATOR %1 %2 @MODEL PARAMS: Rvalue=@VALUE TC1value=100u</ns0:t>
        </ns0:is>
      </ns0:c>
      <ns0:c xmlns:ns0="http://schemas.openxmlformats.org/spreadsheetml/2006/main" r="AE229" s="16" t="inlineStr">
        <ns0:is>
          <ns0:t>X</ns0:t>
        </ns0:is>
      </ns0:c>
      <ns0:c xmlns:ns0="http://schemas.openxmlformats.org/spreadsheetml/2006/main" r="AF229" s="16" t="str">
        <ns0:v>(1:1),(2:2)</ns0:v>
      </ns0:c>
      <ns0:c xmlns:ns0="http://schemas.openxmlformats.org/spreadsheetml/2006/main" r="AG229" s="16" t="inlineStr">
        <ns0:is>
          <ns0:t>Simulation\Resistors\MY_LIB_R_TCR.ckt</ns0:t>
        </ns0:is>
      </ns0:c>
      <ns0:c xmlns:ns0="http://schemas.openxmlformats.org/spreadsheetml/2006/main" r="AH229" s="16" t="inlineStr">
        <ns0:is>
          <ns0:t>±100 ppm/°C</ns0:t>
        </ns0:is>
      </ns0:c>
    </ns0:row>
    <ns0:row r="230" ht="30" customHeight="1">
      <ns0:c r="A230" t="str" s="10">
        <ns0:v>R0236</ns0:v>
      </ns0:c>
      <ns0:c r="B230" t="str" s="10">
        <ns0:v>Резистор</ns0:v>
      </ns0:c>
      <ns0:c r="C230" t="str" s="10">
        <ns0:v>2.7k</ns0:v>
      </ns0:c>
      <ns0:c r="D230" t="str" s="11">
        <ns0:f>SUBSTITUTE(SUBSTITUTE(SUBSTITUTE(SUBSTITUTE(C230,"meg"," МОм"),"k"," кОм"),"R"," Ом"),".",",")</ns0:f>
        <ns0:v>2,7 кОм</ns0:v>
      </ns0:c>
      <ns0:c r="E230" t="str" s="10">
        <ns0:v>±5%</ns0:v>
      </ns0:c>
      <ns0:c r="F230" t="str" s="10">
        <ns0:v>0,125 Вт</ns0:v>
      </ns0:c>
      <ns0:c r="G230" t="str" s="10">
        <ns0:v>150 В макс.</ns0:v>
      </ns0:c>
      <ns0:c r="H230" t="str" s="12">
        <ns0:v>0805</ns0:v>
      </ns0:c>
      <ns0:c r="I230" t="str" s="10">
        <ns0:v>YAGEO</ns0:v>
      </ns0:c>
      <ns0:c r="J230" t="str" s="10">
        <ns0:v>RC0805JR-072K7L</ns0:v>
      </ns0:c>
      <ns0:c r="K230" t="str" s="11">
        <ns0:f>B230&amp;" "&amp;D230&amp;" "&amp;E230&amp;" "&amp;H230</ns0:f>
        <ns0:v>Резистор 2,7 кОм ±5% 0805</ns0:v>
      </ns0:c>
      <ns0:c r="L230" t="str" s="13">
        <ns0:v>R</ns0:v>
      </ns0:c>
      <ns0:c r="M230" t="str" s="13">
        <ns0:v>Symbols\MY_LIB_Resistors.SchLib</ns0:v>
      </ns0:c>
      <ns0:c r="N230" t="str" s="13">
        <ns0:v>RESC2012X70N</ns0:v>
      </ns0:c>
      <ns0:c r="O230" t="str" s="13">
        <ns0:v>Footprints\PBL - SMD Packages.PcbLib</ns0:v>
      </ns0:c>
      <ns0:c xmlns:ns0="http://schemas.openxmlformats.org/spreadsheetml/2006/main" r="P23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0" s="10"/>
      <ns0:c r="R230" t="str" s="11">
        <ns0:f>D230</ns0:f>
        <ns0:v>2,7 кОм</ns0:v>
      </ns0:c>
      <ns0:c r="S230" t="str" s="11">
        <ns0:f>K230</ns0:f>
        <ns0:v>Резистор 2,7 кОм ±5% 0805</ns0:v>
      </ns0:c>
      <x:c xmlns:x="http://schemas.openxmlformats.org/spreadsheetml/2006/main" r="T230" t="str" s="11">
        <x:v>C:\Users\Nomatin\Documents\Altium\MY_LIB\MY_LIB\Datasheets\YAGEO_RC_L.pdf</x:v>
      </x:c>
      <x:c xmlns:x="http://schemas.openxmlformats.org/spreadsheetml/2006/main" r="U230" t="str" s="11">
        <x:v>Даташит — локальный</x:v>
      </x:c>
      <x:c xmlns:x="http://schemas.openxmlformats.org/spreadsheetml/2006/main" r="V230" t="str" s="11">
        <x:v>C:\Users\Nomatin\Documents\Altium\MY_LIB\MY_LIB\Datasheets\YAGEO_RC_L.pdf</x:v>
      </x:c>
      <x:c xmlns:x="http://schemas.openxmlformats.org/spreadsheetml/2006/main" r="W230" t="str" s="11">
        <x:v>Даташит — производитель</x:v>
      </x:c>
      <x:c xmlns:x="http://schemas.openxmlformats.org/spreadsheetml/2006/main" r="X230" t="str" s="11">
        <x:v>https://yageogroup.com/content/datasheet/asset/file/PYU-RC_GROUP_51_ROHS_L</x:v>
      </x:c>
      <x:c xmlns:x="http://schemas.openxmlformats.org/spreadsheetml/2006/main" r="Y230" t="str" s="11">
        <x:v>C:\Users\Nomatin\Documents\Altium\MY_LIB\MY_LIB\Datasheets\YAGEO_RC_L.pdf</x:v>
      </x:c>
      <ns0:c xmlns:ns0="http://schemas.openxmlformats.org/spreadsheetml/2006/main" r="Z230" s="16" t="inlineStr">
        <ns0:is>
          <ns0:t>MY_LIB_R_TCR</ns0:t>
        </ns0:is>
      </ns0:c>
      <ns0:c xmlns:ns0="http://schemas.openxmlformats.org/spreadsheetml/2006/main" r="AA230" s="16" t="inlineStr">
        <ns0:is>
          <ns0:t>R(T), +100 ppm/C at 25 C; positive datasheet limit</ns0:t>
        </ns0:is>
      </ns0:c>
      <ns0:c xmlns:ns0="http://schemas.openxmlformats.org/spreadsheetml/2006/main" r="AB230" s="16" t="str">
        <ns0:v>General</ns0:v>
      </ns0:c>
      <ns0:c xmlns:ns0="http://schemas.openxmlformats.org/spreadsheetml/2006/main" r="AC230" s="16" t="inlineStr">
        <ns0:is>
          <ns0:t>Spice Subcircuit</ns0:t>
        </ns0:is>
      </ns0:c>
      <ns0:c xmlns:ns0="http://schemas.openxmlformats.org/spreadsheetml/2006/main" r="AD230" s="16" t="inlineStr">
        <ns0:is>
          <ns0:t>@DESIGNATOR %1 %2 @MODEL PARAMS: Rvalue=@VALUE TC1value=100u</ns0:t>
        </ns0:is>
      </ns0:c>
      <ns0:c xmlns:ns0="http://schemas.openxmlformats.org/spreadsheetml/2006/main" r="AE230" s="16" t="inlineStr">
        <ns0:is>
          <ns0:t>X</ns0:t>
        </ns0:is>
      </ns0:c>
      <ns0:c xmlns:ns0="http://schemas.openxmlformats.org/spreadsheetml/2006/main" r="AF230" s="16" t="str">
        <ns0:v>(1:1),(2:2)</ns0:v>
      </ns0:c>
      <ns0:c xmlns:ns0="http://schemas.openxmlformats.org/spreadsheetml/2006/main" r="AG230" s="16" t="inlineStr">
        <ns0:is>
          <ns0:t>Simulation\Resistors\MY_LIB_R_TCR.ckt</ns0:t>
        </ns0:is>
      </ns0:c>
      <ns0:c xmlns:ns0="http://schemas.openxmlformats.org/spreadsheetml/2006/main" r="AH230" s="16" t="inlineStr">
        <ns0:is>
          <ns0:t>±100 ppm/°C</ns0:t>
        </ns0:is>
      </ns0:c>
    </ns0:row>
    <ns0:row r="231" ht="30" customHeight="1">
      <ns0:c r="A231" t="str" s="10">
        <ns0:v>R0237</ns0:v>
      </ns0:c>
      <ns0:c r="B231" t="str" s="10">
        <ns0:v>Резистор</ns0:v>
      </ns0:c>
      <ns0:c r="C231" t="str" s="10">
        <ns0:v>3k</ns0:v>
      </ns0:c>
      <ns0:c r="D231" t="str" s="11">
        <ns0:f>SUBSTITUTE(SUBSTITUTE(SUBSTITUTE(SUBSTITUTE(C231,"meg"," МОм"),"k"," кОм"),"R"," Ом"),".",",")</ns0:f>
        <ns0:v>3 кОм</ns0:v>
      </ns0:c>
      <ns0:c r="E231" t="str" s="10">
        <ns0:v>±5%</ns0:v>
      </ns0:c>
      <ns0:c r="F231" t="str" s="10">
        <ns0:v>0,125 Вт</ns0:v>
      </ns0:c>
      <ns0:c r="G231" t="str" s="10">
        <ns0:v>150 В макс.</ns0:v>
      </ns0:c>
      <ns0:c r="H231" t="str" s="12">
        <ns0:v>0805</ns0:v>
      </ns0:c>
      <ns0:c r="I231" t="str" s="10">
        <ns0:v>YAGEO</ns0:v>
      </ns0:c>
      <ns0:c r="J231" t="str" s="10">
        <ns0:v>RC0805JR-073KL</ns0:v>
      </ns0:c>
      <ns0:c r="K231" t="str" s="11">
        <ns0:f>B231&amp;" "&amp;D231&amp;" "&amp;E231&amp;" "&amp;H231</ns0:f>
        <ns0:v>Резистор 3 кОм ±5% 0805</ns0:v>
      </ns0:c>
      <ns0:c r="L231" t="str" s="13">
        <ns0:v>R</ns0:v>
      </ns0:c>
      <ns0:c r="M231" t="str" s="13">
        <ns0:v>Symbols\MY_LIB_Resistors.SchLib</ns0:v>
      </ns0:c>
      <ns0:c r="N231" t="str" s="13">
        <ns0:v>RESC2012X70N</ns0:v>
      </ns0:c>
      <ns0:c r="O231" t="str" s="13">
        <ns0:v>Footprints\PBL - SMD Packages.PcbLib</ns0:v>
      </ns0:c>
      <ns0:c xmlns:ns0="http://schemas.openxmlformats.org/spreadsheetml/2006/main" r="P23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1" s="10"/>
      <ns0:c r="R231" t="str" s="11">
        <ns0:f>D231</ns0:f>
        <ns0:v>3 кОм</ns0:v>
      </ns0:c>
      <ns0:c r="S231" t="str" s="11">
        <ns0:f>K231</ns0:f>
        <ns0:v>Резистор 3 кОм ±5% 0805</ns0:v>
      </ns0:c>
      <x:c xmlns:x="http://schemas.openxmlformats.org/spreadsheetml/2006/main" r="T231" t="str" s="11">
        <x:v>C:\Users\Nomatin\Documents\Altium\MY_LIB\MY_LIB\Datasheets\YAGEO_RC_L.pdf</x:v>
      </x:c>
      <x:c xmlns:x="http://schemas.openxmlformats.org/spreadsheetml/2006/main" r="U231" t="str" s="11">
        <x:v>Даташит — локальный</x:v>
      </x:c>
      <x:c xmlns:x="http://schemas.openxmlformats.org/spreadsheetml/2006/main" r="V231" t="str" s="11">
        <x:v>C:\Users\Nomatin\Documents\Altium\MY_LIB\MY_LIB\Datasheets\YAGEO_RC_L.pdf</x:v>
      </x:c>
      <x:c xmlns:x="http://schemas.openxmlformats.org/spreadsheetml/2006/main" r="W231" t="str" s="11">
        <x:v>Даташит — производитель</x:v>
      </x:c>
      <x:c xmlns:x="http://schemas.openxmlformats.org/spreadsheetml/2006/main" r="X231" t="str" s="11">
        <x:v>https://yageogroup.com/content/datasheet/asset/file/PYU-RC_GROUP_51_ROHS_L</x:v>
      </x:c>
      <x:c xmlns:x="http://schemas.openxmlformats.org/spreadsheetml/2006/main" r="Y231" t="str" s="11">
        <x:v>C:\Users\Nomatin\Documents\Altium\MY_LIB\MY_LIB\Datasheets\YAGEO_RC_L.pdf</x:v>
      </x:c>
      <ns0:c xmlns:ns0="http://schemas.openxmlformats.org/spreadsheetml/2006/main" r="Z231" s="16" t="inlineStr">
        <ns0:is>
          <ns0:t>MY_LIB_R_TCR</ns0:t>
        </ns0:is>
      </ns0:c>
      <ns0:c xmlns:ns0="http://schemas.openxmlformats.org/spreadsheetml/2006/main" r="AA231" s="16" t="inlineStr">
        <ns0:is>
          <ns0:t>R(T), +100 ppm/C at 25 C; positive datasheet limit</ns0:t>
        </ns0:is>
      </ns0:c>
      <ns0:c xmlns:ns0="http://schemas.openxmlformats.org/spreadsheetml/2006/main" r="AB231" s="16" t="str">
        <ns0:v>General</ns0:v>
      </ns0:c>
      <ns0:c xmlns:ns0="http://schemas.openxmlformats.org/spreadsheetml/2006/main" r="AC231" s="16" t="inlineStr">
        <ns0:is>
          <ns0:t>Spice Subcircuit</ns0:t>
        </ns0:is>
      </ns0:c>
      <ns0:c xmlns:ns0="http://schemas.openxmlformats.org/spreadsheetml/2006/main" r="AD231" s="16" t="inlineStr">
        <ns0:is>
          <ns0:t>@DESIGNATOR %1 %2 @MODEL PARAMS: Rvalue=@VALUE TC1value=100u</ns0:t>
        </ns0:is>
      </ns0:c>
      <ns0:c xmlns:ns0="http://schemas.openxmlformats.org/spreadsheetml/2006/main" r="AE231" s="16" t="inlineStr">
        <ns0:is>
          <ns0:t>X</ns0:t>
        </ns0:is>
      </ns0:c>
      <ns0:c xmlns:ns0="http://schemas.openxmlformats.org/spreadsheetml/2006/main" r="AF231" s="16" t="str">
        <ns0:v>(1:1),(2:2)</ns0:v>
      </ns0:c>
      <ns0:c xmlns:ns0="http://schemas.openxmlformats.org/spreadsheetml/2006/main" r="AG231" s="16" t="inlineStr">
        <ns0:is>
          <ns0:t>Simulation\Resistors\MY_LIB_R_TCR.ckt</ns0:t>
        </ns0:is>
      </ns0:c>
      <ns0:c xmlns:ns0="http://schemas.openxmlformats.org/spreadsheetml/2006/main" r="AH231" s="16" t="inlineStr">
        <ns0:is>
          <ns0:t>±100 ppm/°C</ns0:t>
        </ns0:is>
      </ns0:c>
    </ns0:row>
    <ns0:row r="232" ht="30" customHeight="1">
      <ns0:c r="A232" t="str" s="10">
        <ns0:v>R0238</ns0:v>
      </ns0:c>
      <ns0:c r="B232" t="str" s="10">
        <ns0:v>Резистор</ns0:v>
      </ns0:c>
      <ns0:c r="C232" t="str" s="10">
        <ns0:v>3.3k</ns0:v>
      </ns0:c>
      <ns0:c r="D232" t="str" s="11">
        <ns0:f>SUBSTITUTE(SUBSTITUTE(SUBSTITUTE(SUBSTITUTE(C232,"meg"," МОм"),"k"," кОм"),"R"," Ом"),".",",")</ns0:f>
        <ns0:v>3,3 кОм</ns0:v>
      </ns0:c>
      <ns0:c r="E232" t="str" s="10">
        <ns0:v>±5%</ns0:v>
      </ns0:c>
      <ns0:c r="F232" t="str" s="10">
        <ns0:v>0,125 Вт</ns0:v>
      </ns0:c>
      <ns0:c r="G232" t="str" s="10">
        <ns0:v>150 В макс.</ns0:v>
      </ns0:c>
      <ns0:c r="H232" t="str" s="12">
        <ns0:v>0805</ns0:v>
      </ns0:c>
      <ns0:c r="I232" t="str" s="10">
        <ns0:v>YAGEO</ns0:v>
      </ns0:c>
      <ns0:c r="J232" t="str" s="10">
        <ns0:v>RC0805JR-073K3L</ns0:v>
      </ns0:c>
      <ns0:c r="K232" t="str" s="11">
        <ns0:f>B232&amp;" "&amp;D232&amp;" "&amp;E232&amp;" "&amp;H232</ns0:f>
        <ns0:v>Резистор 3,3 кОм ±5% 0805</ns0:v>
      </ns0:c>
      <ns0:c r="L232" t="str" s="13">
        <ns0:v>R</ns0:v>
      </ns0:c>
      <ns0:c r="M232" t="str" s="13">
        <ns0:v>Symbols\MY_LIB_Resistors.SchLib</ns0:v>
      </ns0:c>
      <ns0:c r="N232" t="str" s="13">
        <ns0:v>RESC2012X70N</ns0:v>
      </ns0:c>
      <ns0:c r="O232" t="str" s="13">
        <ns0:v>Footprints\PBL - SMD Packages.PcbLib</ns0:v>
      </ns0:c>
      <ns0:c xmlns:ns0="http://schemas.openxmlformats.org/spreadsheetml/2006/main" r="P23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2" s="10"/>
      <ns0:c r="R232" t="str" s="11">
        <ns0:f>D232</ns0:f>
        <ns0:v>3,3 кОм</ns0:v>
      </ns0:c>
      <ns0:c r="S232" t="str" s="11">
        <ns0:f>K232</ns0:f>
        <ns0:v>Резистор 3,3 кОм ±5% 0805</ns0:v>
      </ns0:c>
      <x:c xmlns:x="http://schemas.openxmlformats.org/spreadsheetml/2006/main" r="T232" t="str" s="11">
        <x:v>C:\Users\Nomatin\Documents\Altium\MY_LIB\MY_LIB\Datasheets\YAGEO_RC_L.pdf</x:v>
      </x:c>
      <x:c xmlns:x="http://schemas.openxmlformats.org/spreadsheetml/2006/main" r="U232" t="str" s="11">
        <x:v>Даташит — локальный</x:v>
      </x:c>
      <x:c xmlns:x="http://schemas.openxmlformats.org/spreadsheetml/2006/main" r="V232" t="str" s="11">
        <x:v>C:\Users\Nomatin\Documents\Altium\MY_LIB\MY_LIB\Datasheets\YAGEO_RC_L.pdf</x:v>
      </x:c>
      <x:c xmlns:x="http://schemas.openxmlformats.org/spreadsheetml/2006/main" r="W232" t="str" s="11">
        <x:v>Даташит — производитель</x:v>
      </x:c>
      <x:c xmlns:x="http://schemas.openxmlformats.org/spreadsheetml/2006/main" r="X232" t="str" s="11">
        <x:v>https://yageogroup.com/content/datasheet/asset/file/PYU-RC_GROUP_51_ROHS_L</x:v>
      </x:c>
      <x:c xmlns:x="http://schemas.openxmlformats.org/spreadsheetml/2006/main" r="Y232" t="str" s="11">
        <x:v>C:\Users\Nomatin\Documents\Altium\MY_LIB\MY_LIB\Datasheets\YAGEO_RC_L.pdf</x:v>
      </x:c>
      <ns0:c xmlns:ns0="http://schemas.openxmlformats.org/spreadsheetml/2006/main" r="Z232" s="16" t="inlineStr">
        <ns0:is>
          <ns0:t>MY_LIB_R_TCR</ns0:t>
        </ns0:is>
      </ns0:c>
      <ns0:c xmlns:ns0="http://schemas.openxmlformats.org/spreadsheetml/2006/main" r="AA232" s="16" t="inlineStr">
        <ns0:is>
          <ns0:t>R(T), +100 ppm/C at 25 C; positive datasheet limit</ns0:t>
        </ns0:is>
      </ns0:c>
      <ns0:c xmlns:ns0="http://schemas.openxmlformats.org/spreadsheetml/2006/main" r="AB232" s="16" t="str">
        <ns0:v>General</ns0:v>
      </ns0:c>
      <ns0:c xmlns:ns0="http://schemas.openxmlformats.org/spreadsheetml/2006/main" r="AC232" s="16" t="inlineStr">
        <ns0:is>
          <ns0:t>Spice Subcircuit</ns0:t>
        </ns0:is>
      </ns0:c>
      <ns0:c xmlns:ns0="http://schemas.openxmlformats.org/spreadsheetml/2006/main" r="AD232" s="16" t="inlineStr">
        <ns0:is>
          <ns0:t>@DESIGNATOR %1 %2 @MODEL PARAMS: Rvalue=@VALUE TC1value=100u</ns0:t>
        </ns0:is>
      </ns0:c>
      <ns0:c xmlns:ns0="http://schemas.openxmlformats.org/spreadsheetml/2006/main" r="AE232" s="16" t="inlineStr">
        <ns0:is>
          <ns0:t>X</ns0:t>
        </ns0:is>
      </ns0:c>
      <ns0:c xmlns:ns0="http://schemas.openxmlformats.org/spreadsheetml/2006/main" r="AF232" s="16" t="str">
        <ns0:v>(1:1),(2:2)</ns0:v>
      </ns0:c>
      <ns0:c xmlns:ns0="http://schemas.openxmlformats.org/spreadsheetml/2006/main" r="AG232" s="16" t="inlineStr">
        <ns0:is>
          <ns0:t>Simulation\Resistors\MY_LIB_R_TCR.ckt</ns0:t>
        </ns0:is>
      </ns0:c>
      <ns0:c xmlns:ns0="http://schemas.openxmlformats.org/spreadsheetml/2006/main" r="AH232" s="16" t="inlineStr">
        <ns0:is>
          <ns0:t>±100 ppm/°C</ns0:t>
        </ns0:is>
      </ns0:c>
    </ns0:row>
    <ns0:row r="233" ht="30" customHeight="1">
      <ns0:c r="A233" t="str" s="10">
        <ns0:v>R0239</ns0:v>
      </ns0:c>
      <ns0:c r="B233" t="str" s="10">
        <ns0:v>Резистор</ns0:v>
      </ns0:c>
      <ns0:c r="C233" t="str" s="10">
        <ns0:v>3.6k</ns0:v>
      </ns0:c>
      <ns0:c r="D233" t="str" s="11">
        <ns0:f>SUBSTITUTE(SUBSTITUTE(SUBSTITUTE(SUBSTITUTE(C233,"meg"," МОм"),"k"," кОм"),"R"," Ом"),".",",")</ns0:f>
        <ns0:v>3,6 кОм</ns0:v>
      </ns0:c>
      <ns0:c r="E233" t="str" s="10">
        <ns0:v>±5%</ns0:v>
      </ns0:c>
      <ns0:c r="F233" t="str" s="10">
        <ns0:v>0,125 Вт</ns0:v>
      </ns0:c>
      <ns0:c r="G233" t="str" s="10">
        <ns0:v>150 В макс.</ns0:v>
      </ns0:c>
      <ns0:c r="H233" t="str" s="12">
        <ns0:v>0805</ns0:v>
      </ns0:c>
      <ns0:c r="I233" t="str" s="10">
        <ns0:v>YAGEO</ns0:v>
      </ns0:c>
      <ns0:c r="J233" t="str" s="10">
        <ns0:v>RC0805JR-073K6L</ns0:v>
      </ns0:c>
      <ns0:c r="K233" t="str" s="11">
        <ns0:f>B233&amp;" "&amp;D233&amp;" "&amp;E233&amp;" "&amp;H233</ns0:f>
        <ns0:v>Резистор 3,6 кОм ±5% 0805</ns0:v>
      </ns0:c>
      <ns0:c r="L233" t="str" s="13">
        <ns0:v>R</ns0:v>
      </ns0:c>
      <ns0:c r="M233" t="str" s="13">
        <ns0:v>Symbols\MY_LIB_Resistors.SchLib</ns0:v>
      </ns0:c>
      <ns0:c r="N233" t="str" s="13">
        <ns0:v>RESC2012X70N</ns0:v>
      </ns0:c>
      <ns0:c r="O233" t="str" s="13">
        <ns0:v>Footprints\PBL - SMD Packages.PcbLib</ns0:v>
      </ns0:c>
      <ns0:c xmlns:ns0="http://schemas.openxmlformats.org/spreadsheetml/2006/main" r="P23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3" s="10"/>
      <ns0:c r="R233" t="str" s="11">
        <ns0:f>D233</ns0:f>
        <ns0:v>3,6 кОм</ns0:v>
      </ns0:c>
      <ns0:c r="S233" t="str" s="11">
        <ns0:f>K233</ns0:f>
        <ns0:v>Резистор 3,6 кОм ±5% 0805</ns0:v>
      </ns0:c>
      <x:c xmlns:x="http://schemas.openxmlformats.org/spreadsheetml/2006/main" r="T233" t="str" s="11">
        <x:v>C:\Users\Nomatin\Documents\Altium\MY_LIB\MY_LIB\Datasheets\YAGEO_RC_L.pdf</x:v>
      </x:c>
      <x:c xmlns:x="http://schemas.openxmlformats.org/spreadsheetml/2006/main" r="U233" t="str" s="11">
        <x:v>Даташит — локальный</x:v>
      </x:c>
      <x:c xmlns:x="http://schemas.openxmlformats.org/spreadsheetml/2006/main" r="V233" t="str" s="11">
        <x:v>C:\Users\Nomatin\Documents\Altium\MY_LIB\MY_LIB\Datasheets\YAGEO_RC_L.pdf</x:v>
      </x:c>
      <x:c xmlns:x="http://schemas.openxmlformats.org/spreadsheetml/2006/main" r="W233" t="str" s="11">
        <x:v>Даташит — производитель</x:v>
      </x:c>
      <x:c xmlns:x="http://schemas.openxmlformats.org/spreadsheetml/2006/main" r="X233" t="str" s="11">
        <x:v>https://yageogroup.com/content/datasheet/asset/file/PYU-RC_GROUP_51_ROHS_L</x:v>
      </x:c>
      <x:c xmlns:x="http://schemas.openxmlformats.org/spreadsheetml/2006/main" r="Y233" t="str" s="11">
        <x:v>C:\Users\Nomatin\Documents\Altium\MY_LIB\MY_LIB\Datasheets\YAGEO_RC_L.pdf</x:v>
      </x:c>
      <ns0:c xmlns:ns0="http://schemas.openxmlformats.org/spreadsheetml/2006/main" r="Z233" s="16" t="inlineStr">
        <ns0:is>
          <ns0:t>MY_LIB_R_TCR</ns0:t>
        </ns0:is>
      </ns0:c>
      <ns0:c xmlns:ns0="http://schemas.openxmlformats.org/spreadsheetml/2006/main" r="AA233" s="16" t="inlineStr">
        <ns0:is>
          <ns0:t>R(T), +100 ppm/C at 25 C; positive datasheet limit</ns0:t>
        </ns0:is>
      </ns0:c>
      <ns0:c xmlns:ns0="http://schemas.openxmlformats.org/spreadsheetml/2006/main" r="AB233" s="16" t="str">
        <ns0:v>General</ns0:v>
      </ns0:c>
      <ns0:c xmlns:ns0="http://schemas.openxmlformats.org/spreadsheetml/2006/main" r="AC233" s="16" t="inlineStr">
        <ns0:is>
          <ns0:t>Spice Subcircuit</ns0:t>
        </ns0:is>
      </ns0:c>
      <ns0:c xmlns:ns0="http://schemas.openxmlformats.org/spreadsheetml/2006/main" r="AD233" s="16" t="inlineStr">
        <ns0:is>
          <ns0:t>@DESIGNATOR %1 %2 @MODEL PARAMS: Rvalue=@VALUE TC1value=100u</ns0:t>
        </ns0:is>
      </ns0:c>
      <ns0:c xmlns:ns0="http://schemas.openxmlformats.org/spreadsheetml/2006/main" r="AE233" s="16" t="inlineStr">
        <ns0:is>
          <ns0:t>X</ns0:t>
        </ns0:is>
      </ns0:c>
      <ns0:c xmlns:ns0="http://schemas.openxmlformats.org/spreadsheetml/2006/main" r="AF233" s="16" t="str">
        <ns0:v>(1:1),(2:2)</ns0:v>
      </ns0:c>
      <ns0:c xmlns:ns0="http://schemas.openxmlformats.org/spreadsheetml/2006/main" r="AG233" s="16" t="inlineStr">
        <ns0:is>
          <ns0:t>Simulation\Resistors\MY_LIB_R_TCR.ckt</ns0:t>
        </ns0:is>
      </ns0:c>
      <ns0:c xmlns:ns0="http://schemas.openxmlformats.org/spreadsheetml/2006/main" r="AH233" s="16" t="inlineStr">
        <ns0:is>
          <ns0:t>±100 ppm/°C</ns0:t>
        </ns0:is>
      </ns0:c>
    </ns0:row>
    <ns0:row r="234" ht="30" customHeight="1">
      <ns0:c r="A234" t="str" s="10">
        <ns0:v>R0240</ns0:v>
      </ns0:c>
      <ns0:c r="B234" t="str" s="10">
        <ns0:v>Резистор</ns0:v>
      </ns0:c>
      <ns0:c r="C234" t="str" s="10">
        <ns0:v>3.9k</ns0:v>
      </ns0:c>
      <ns0:c r="D234" t="str" s="11">
        <ns0:f>SUBSTITUTE(SUBSTITUTE(SUBSTITUTE(SUBSTITUTE(C234,"meg"," МОм"),"k"," кОм"),"R"," Ом"),".",",")</ns0:f>
        <ns0:v>3,9 кОм</ns0:v>
      </ns0:c>
      <ns0:c r="E234" t="str" s="10">
        <ns0:v>±5%</ns0:v>
      </ns0:c>
      <ns0:c r="F234" t="str" s="10">
        <ns0:v>0,125 Вт</ns0:v>
      </ns0:c>
      <ns0:c r="G234" t="str" s="10">
        <ns0:v>150 В макс.</ns0:v>
      </ns0:c>
      <ns0:c r="H234" t="str" s="12">
        <ns0:v>0805</ns0:v>
      </ns0:c>
      <ns0:c r="I234" t="str" s="10">
        <ns0:v>YAGEO</ns0:v>
      </ns0:c>
      <ns0:c r="J234" t="str" s="10">
        <ns0:v>RC0805JR-073K9L</ns0:v>
      </ns0:c>
      <ns0:c r="K234" t="str" s="11">
        <ns0:f>B234&amp;" "&amp;D234&amp;" "&amp;E234&amp;" "&amp;H234</ns0:f>
        <ns0:v>Резистор 3,9 кОм ±5% 0805</ns0:v>
      </ns0:c>
      <ns0:c r="L234" t="str" s="13">
        <ns0:v>R</ns0:v>
      </ns0:c>
      <ns0:c r="M234" t="str" s="13">
        <ns0:v>Symbols\MY_LIB_Resistors.SchLib</ns0:v>
      </ns0:c>
      <ns0:c r="N234" t="str" s="13">
        <ns0:v>RESC2012X70N</ns0:v>
      </ns0:c>
      <ns0:c r="O234" t="str" s="13">
        <ns0:v>Footprints\PBL - SMD Packages.PcbLib</ns0:v>
      </ns0:c>
      <ns0:c xmlns:ns0="http://schemas.openxmlformats.org/spreadsheetml/2006/main" r="P23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4" s="10"/>
      <ns0:c r="R234" t="str" s="11">
        <ns0:f>D234</ns0:f>
        <ns0:v>3,9 кОм</ns0:v>
      </ns0:c>
      <ns0:c r="S234" t="str" s="11">
        <ns0:f>K234</ns0:f>
        <ns0:v>Резистор 3,9 кОм ±5% 0805</ns0:v>
      </ns0:c>
      <x:c xmlns:x="http://schemas.openxmlformats.org/spreadsheetml/2006/main" r="T234" t="str" s="11">
        <x:v>C:\Users\Nomatin\Documents\Altium\MY_LIB\MY_LIB\Datasheets\YAGEO_RC_L.pdf</x:v>
      </x:c>
      <x:c xmlns:x="http://schemas.openxmlformats.org/spreadsheetml/2006/main" r="U234" t="str" s="11">
        <x:v>Даташит — локальный</x:v>
      </x:c>
      <x:c xmlns:x="http://schemas.openxmlformats.org/spreadsheetml/2006/main" r="V234" t="str" s="11">
        <x:v>C:\Users\Nomatin\Documents\Altium\MY_LIB\MY_LIB\Datasheets\YAGEO_RC_L.pdf</x:v>
      </x:c>
      <x:c xmlns:x="http://schemas.openxmlformats.org/spreadsheetml/2006/main" r="W234" t="str" s="11">
        <x:v>Даташит — производитель</x:v>
      </x:c>
      <x:c xmlns:x="http://schemas.openxmlformats.org/spreadsheetml/2006/main" r="X234" t="str" s="11">
        <x:v>https://yageogroup.com/content/datasheet/asset/file/PYU-RC_GROUP_51_ROHS_L</x:v>
      </x:c>
      <x:c xmlns:x="http://schemas.openxmlformats.org/spreadsheetml/2006/main" r="Y234" t="str" s="11">
        <x:v>C:\Users\Nomatin\Documents\Altium\MY_LIB\MY_LIB\Datasheets\YAGEO_RC_L.pdf</x:v>
      </x:c>
      <ns0:c xmlns:ns0="http://schemas.openxmlformats.org/spreadsheetml/2006/main" r="Z234" s="16" t="inlineStr">
        <ns0:is>
          <ns0:t>MY_LIB_R_TCR</ns0:t>
        </ns0:is>
      </ns0:c>
      <ns0:c xmlns:ns0="http://schemas.openxmlformats.org/spreadsheetml/2006/main" r="AA234" s="16" t="inlineStr">
        <ns0:is>
          <ns0:t>R(T), +100 ppm/C at 25 C; positive datasheet limit</ns0:t>
        </ns0:is>
      </ns0:c>
      <ns0:c xmlns:ns0="http://schemas.openxmlformats.org/spreadsheetml/2006/main" r="AB234" s="16" t="str">
        <ns0:v>General</ns0:v>
      </ns0:c>
      <ns0:c xmlns:ns0="http://schemas.openxmlformats.org/spreadsheetml/2006/main" r="AC234" s="16" t="inlineStr">
        <ns0:is>
          <ns0:t>Spice Subcircuit</ns0:t>
        </ns0:is>
      </ns0:c>
      <ns0:c xmlns:ns0="http://schemas.openxmlformats.org/spreadsheetml/2006/main" r="AD234" s="16" t="inlineStr">
        <ns0:is>
          <ns0:t>@DESIGNATOR %1 %2 @MODEL PARAMS: Rvalue=@VALUE TC1value=100u</ns0:t>
        </ns0:is>
      </ns0:c>
      <ns0:c xmlns:ns0="http://schemas.openxmlformats.org/spreadsheetml/2006/main" r="AE234" s="16" t="inlineStr">
        <ns0:is>
          <ns0:t>X</ns0:t>
        </ns0:is>
      </ns0:c>
      <ns0:c xmlns:ns0="http://schemas.openxmlformats.org/spreadsheetml/2006/main" r="AF234" s="16" t="str">
        <ns0:v>(1:1),(2:2)</ns0:v>
      </ns0:c>
      <ns0:c xmlns:ns0="http://schemas.openxmlformats.org/spreadsheetml/2006/main" r="AG234" s="16" t="inlineStr">
        <ns0:is>
          <ns0:t>Simulation\Resistors\MY_LIB_R_TCR.ckt</ns0:t>
        </ns0:is>
      </ns0:c>
      <ns0:c xmlns:ns0="http://schemas.openxmlformats.org/spreadsheetml/2006/main" r="AH234" s="16" t="inlineStr">
        <ns0:is>
          <ns0:t>±100 ppm/°C</ns0:t>
        </ns0:is>
      </ns0:c>
    </ns0:row>
    <ns0:row r="235" ht="30" customHeight="1">
      <ns0:c r="A235" t="str" s="10">
        <ns0:v>R0241</ns0:v>
      </ns0:c>
      <ns0:c r="B235" t="str" s="10">
        <ns0:v>Резистор</ns0:v>
      </ns0:c>
      <ns0:c r="C235" t="str" s="10">
        <ns0:v>4.3k</ns0:v>
      </ns0:c>
      <ns0:c r="D235" t="str" s="11">
        <ns0:f>SUBSTITUTE(SUBSTITUTE(SUBSTITUTE(SUBSTITUTE(C235,"meg"," МОм"),"k"," кОм"),"R"," Ом"),".",",")</ns0:f>
        <ns0:v>4,3 кОм</ns0:v>
      </ns0:c>
      <ns0:c r="E235" t="str" s="10">
        <ns0:v>±5%</ns0:v>
      </ns0:c>
      <ns0:c r="F235" t="str" s="10">
        <ns0:v>0,125 Вт</ns0:v>
      </ns0:c>
      <ns0:c r="G235" t="str" s="10">
        <ns0:v>150 В макс.</ns0:v>
      </ns0:c>
      <ns0:c r="H235" t="str" s="12">
        <ns0:v>0805</ns0:v>
      </ns0:c>
      <ns0:c r="I235" t="str" s="10">
        <ns0:v>YAGEO</ns0:v>
      </ns0:c>
      <ns0:c r="J235" t="str" s="10">
        <ns0:v>RC0805JR-074K3L</ns0:v>
      </ns0:c>
      <ns0:c r="K235" t="str" s="11">
        <ns0:f>B235&amp;" "&amp;D235&amp;" "&amp;E235&amp;" "&amp;H235</ns0:f>
        <ns0:v>Резистор 4,3 кОм ±5% 0805</ns0:v>
      </ns0:c>
      <ns0:c r="L235" t="str" s="13">
        <ns0:v>R</ns0:v>
      </ns0:c>
      <ns0:c r="M235" t="str" s="13">
        <ns0:v>Symbols\MY_LIB_Resistors.SchLib</ns0:v>
      </ns0:c>
      <ns0:c r="N235" t="str" s="13">
        <ns0:v>RESC2012X70N</ns0:v>
      </ns0:c>
      <ns0:c r="O235" t="str" s="13">
        <ns0:v>Footprints\PBL - SMD Packages.PcbLib</ns0:v>
      </ns0:c>
      <ns0:c xmlns:ns0="http://schemas.openxmlformats.org/spreadsheetml/2006/main" r="P23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5" s="10"/>
      <ns0:c r="R235" t="str" s="11">
        <ns0:f>D235</ns0:f>
        <ns0:v>4,3 кОм</ns0:v>
      </ns0:c>
      <ns0:c r="S235" t="str" s="11">
        <ns0:f>K235</ns0:f>
        <ns0:v>Резистор 4,3 кОм ±5% 0805</ns0:v>
      </ns0:c>
      <x:c xmlns:x="http://schemas.openxmlformats.org/spreadsheetml/2006/main" r="T235" t="str" s="11">
        <x:v>C:\Users\Nomatin\Documents\Altium\MY_LIB\MY_LIB\Datasheets\YAGEO_RC_L.pdf</x:v>
      </x:c>
      <x:c xmlns:x="http://schemas.openxmlformats.org/spreadsheetml/2006/main" r="U235" t="str" s="11">
        <x:v>Даташит — локальный</x:v>
      </x:c>
      <x:c xmlns:x="http://schemas.openxmlformats.org/spreadsheetml/2006/main" r="V235" t="str" s="11">
        <x:v>C:\Users\Nomatin\Documents\Altium\MY_LIB\MY_LIB\Datasheets\YAGEO_RC_L.pdf</x:v>
      </x:c>
      <x:c xmlns:x="http://schemas.openxmlformats.org/spreadsheetml/2006/main" r="W235" t="str" s="11">
        <x:v>Даташит — производитель</x:v>
      </x:c>
      <x:c xmlns:x="http://schemas.openxmlformats.org/spreadsheetml/2006/main" r="X235" t="str" s="11">
        <x:v>https://yageogroup.com/content/datasheet/asset/file/PYU-RC_GROUP_51_ROHS_L</x:v>
      </x:c>
      <x:c xmlns:x="http://schemas.openxmlformats.org/spreadsheetml/2006/main" r="Y235" t="str" s="11">
        <x:v>C:\Users\Nomatin\Documents\Altium\MY_LIB\MY_LIB\Datasheets\YAGEO_RC_L.pdf</x:v>
      </x:c>
      <ns0:c xmlns:ns0="http://schemas.openxmlformats.org/spreadsheetml/2006/main" r="Z235" s="16" t="inlineStr">
        <ns0:is>
          <ns0:t>MY_LIB_R_TCR</ns0:t>
        </ns0:is>
      </ns0:c>
      <ns0:c xmlns:ns0="http://schemas.openxmlformats.org/spreadsheetml/2006/main" r="AA235" s="16" t="inlineStr">
        <ns0:is>
          <ns0:t>R(T), +100 ppm/C at 25 C; positive datasheet limit</ns0:t>
        </ns0:is>
      </ns0:c>
      <ns0:c xmlns:ns0="http://schemas.openxmlformats.org/spreadsheetml/2006/main" r="AB235" s="16" t="str">
        <ns0:v>General</ns0:v>
      </ns0:c>
      <ns0:c xmlns:ns0="http://schemas.openxmlformats.org/spreadsheetml/2006/main" r="AC235" s="16" t="inlineStr">
        <ns0:is>
          <ns0:t>Spice Subcircuit</ns0:t>
        </ns0:is>
      </ns0:c>
      <ns0:c xmlns:ns0="http://schemas.openxmlformats.org/spreadsheetml/2006/main" r="AD235" s="16" t="inlineStr">
        <ns0:is>
          <ns0:t>@DESIGNATOR %1 %2 @MODEL PARAMS: Rvalue=@VALUE TC1value=100u</ns0:t>
        </ns0:is>
      </ns0:c>
      <ns0:c xmlns:ns0="http://schemas.openxmlformats.org/spreadsheetml/2006/main" r="AE235" s="16" t="inlineStr">
        <ns0:is>
          <ns0:t>X</ns0:t>
        </ns0:is>
      </ns0:c>
      <ns0:c xmlns:ns0="http://schemas.openxmlformats.org/spreadsheetml/2006/main" r="AF235" s="16" t="str">
        <ns0:v>(1:1),(2:2)</ns0:v>
      </ns0:c>
      <ns0:c xmlns:ns0="http://schemas.openxmlformats.org/spreadsheetml/2006/main" r="AG235" s="16" t="inlineStr">
        <ns0:is>
          <ns0:t>Simulation\Resistors\MY_LIB_R_TCR.ckt</ns0:t>
        </ns0:is>
      </ns0:c>
      <ns0:c xmlns:ns0="http://schemas.openxmlformats.org/spreadsheetml/2006/main" r="AH235" s="16" t="inlineStr">
        <ns0:is>
          <ns0:t>±100 ppm/°C</ns0:t>
        </ns0:is>
      </ns0:c>
    </ns0:row>
    <ns0:row r="236" ht="30" customHeight="1">
      <ns0:c r="A236" t="str" s="10">
        <ns0:v>R0242</ns0:v>
      </ns0:c>
      <ns0:c r="B236" t="str" s="10">
        <ns0:v>Резистор</ns0:v>
      </ns0:c>
      <ns0:c r="C236" t="str" s="10">
        <ns0:v>4.7k</ns0:v>
      </ns0:c>
      <ns0:c r="D236" t="str" s="11">
        <ns0:f>SUBSTITUTE(SUBSTITUTE(SUBSTITUTE(SUBSTITUTE(C236,"meg"," МОм"),"k"," кОм"),"R"," Ом"),".",",")</ns0:f>
        <ns0:v>4,7 кОм</ns0:v>
      </ns0:c>
      <ns0:c r="E236" t="str" s="10">
        <ns0:v>±5%</ns0:v>
      </ns0:c>
      <ns0:c r="F236" t="str" s="10">
        <ns0:v>0,125 Вт</ns0:v>
      </ns0:c>
      <ns0:c r="G236" t="str" s="10">
        <ns0:v>150 В макс.</ns0:v>
      </ns0:c>
      <ns0:c r="H236" t="str" s="12">
        <ns0:v>0805</ns0:v>
      </ns0:c>
      <ns0:c r="I236" t="str" s="10">
        <ns0:v>YAGEO</ns0:v>
      </ns0:c>
      <ns0:c r="J236" t="str" s="10">
        <ns0:v>RC0805JR-074K7L</ns0:v>
      </ns0:c>
      <ns0:c r="K236" t="str" s="11">
        <ns0:f>B236&amp;" "&amp;D236&amp;" "&amp;E236&amp;" "&amp;H236</ns0:f>
        <ns0:v>Резистор 4,7 кОм ±5% 0805</ns0:v>
      </ns0:c>
      <ns0:c r="L236" t="str" s="13">
        <ns0:v>R</ns0:v>
      </ns0:c>
      <ns0:c r="M236" t="str" s="13">
        <ns0:v>Symbols\MY_LIB_Resistors.SchLib</ns0:v>
      </ns0:c>
      <ns0:c r="N236" t="str" s="13">
        <ns0:v>RESC2012X70N</ns0:v>
      </ns0:c>
      <ns0:c r="O236" t="str" s="13">
        <ns0:v>Footprints\PBL - SMD Packages.PcbLib</ns0:v>
      </ns0:c>
      <ns0:c xmlns:ns0="http://schemas.openxmlformats.org/spreadsheetml/2006/main" r="P23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6" s="10"/>
      <ns0:c r="R236" t="str" s="11">
        <ns0:f>D236</ns0:f>
        <ns0:v>4,7 кОм</ns0:v>
      </ns0:c>
      <ns0:c r="S236" t="str" s="11">
        <ns0:f>K236</ns0:f>
        <ns0:v>Резистор 4,7 кОм ±5% 0805</ns0:v>
      </ns0:c>
      <x:c xmlns:x="http://schemas.openxmlformats.org/spreadsheetml/2006/main" r="T236" t="str" s="11">
        <x:v>C:\Users\Nomatin\Documents\Altium\MY_LIB\MY_LIB\Datasheets\YAGEO_RC_L.pdf</x:v>
      </x:c>
      <x:c xmlns:x="http://schemas.openxmlformats.org/spreadsheetml/2006/main" r="U236" t="str" s="11">
        <x:v>Даташит — локальный</x:v>
      </x:c>
      <x:c xmlns:x="http://schemas.openxmlformats.org/spreadsheetml/2006/main" r="V236" t="str" s="11">
        <x:v>C:\Users\Nomatin\Documents\Altium\MY_LIB\MY_LIB\Datasheets\YAGEO_RC_L.pdf</x:v>
      </x:c>
      <x:c xmlns:x="http://schemas.openxmlformats.org/spreadsheetml/2006/main" r="W236" t="str" s="11">
        <x:v>Даташит — производитель</x:v>
      </x:c>
      <x:c xmlns:x="http://schemas.openxmlformats.org/spreadsheetml/2006/main" r="X236" t="str" s="11">
        <x:v>https://yageogroup.com/content/datasheet/asset/file/PYU-RC_GROUP_51_ROHS_L</x:v>
      </x:c>
      <x:c xmlns:x="http://schemas.openxmlformats.org/spreadsheetml/2006/main" r="Y236" t="str" s="11">
        <x:v>C:\Users\Nomatin\Documents\Altium\MY_LIB\MY_LIB\Datasheets\YAGEO_RC_L.pdf</x:v>
      </x:c>
      <ns0:c xmlns:ns0="http://schemas.openxmlformats.org/spreadsheetml/2006/main" r="Z236" s="16" t="inlineStr">
        <ns0:is>
          <ns0:t>MY_LIB_R_TCR</ns0:t>
        </ns0:is>
      </ns0:c>
      <ns0:c xmlns:ns0="http://schemas.openxmlformats.org/spreadsheetml/2006/main" r="AA236" s="16" t="inlineStr">
        <ns0:is>
          <ns0:t>R(T), +100 ppm/C at 25 C; positive datasheet limit</ns0:t>
        </ns0:is>
      </ns0:c>
      <ns0:c xmlns:ns0="http://schemas.openxmlformats.org/spreadsheetml/2006/main" r="AB236" s="16" t="str">
        <ns0:v>General</ns0:v>
      </ns0:c>
      <ns0:c xmlns:ns0="http://schemas.openxmlformats.org/spreadsheetml/2006/main" r="AC236" s="16" t="inlineStr">
        <ns0:is>
          <ns0:t>Spice Subcircuit</ns0:t>
        </ns0:is>
      </ns0:c>
      <ns0:c xmlns:ns0="http://schemas.openxmlformats.org/spreadsheetml/2006/main" r="AD236" s="16" t="inlineStr">
        <ns0:is>
          <ns0:t>@DESIGNATOR %1 %2 @MODEL PARAMS: Rvalue=@VALUE TC1value=100u</ns0:t>
        </ns0:is>
      </ns0:c>
      <ns0:c xmlns:ns0="http://schemas.openxmlformats.org/spreadsheetml/2006/main" r="AE236" s="16" t="inlineStr">
        <ns0:is>
          <ns0:t>X</ns0:t>
        </ns0:is>
      </ns0:c>
      <ns0:c xmlns:ns0="http://schemas.openxmlformats.org/spreadsheetml/2006/main" r="AF236" s="16" t="str">
        <ns0:v>(1:1),(2:2)</ns0:v>
      </ns0:c>
      <ns0:c xmlns:ns0="http://schemas.openxmlformats.org/spreadsheetml/2006/main" r="AG236" s="16" t="inlineStr">
        <ns0:is>
          <ns0:t>Simulation\Resistors\MY_LIB_R_TCR.ckt</ns0:t>
        </ns0:is>
      </ns0:c>
      <ns0:c xmlns:ns0="http://schemas.openxmlformats.org/spreadsheetml/2006/main" r="AH236" s="16" t="inlineStr">
        <ns0:is>
          <ns0:t>±100 ppm/°C</ns0:t>
        </ns0:is>
      </ns0:c>
    </ns0:row>
    <ns0:row r="237" ht="30" customHeight="1">
      <ns0:c r="A237" t="str" s="10">
        <ns0:v>R0243</ns0:v>
      </ns0:c>
      <ns0:c r="B237" t="str" s="10">
        <ns0:v>Резистор</ns0:v>
      </ns0:c>
      <ns0:c r="C237" t="str" s="10">
        <ns0:v>5.1k</ns0:v>
      </ns0:c>
      <ns0:c r="D237" t="str" s="11">
        <ns0:f>SUBSTITUTE(SUBSTITUTE(SUBSTITUTE(SUBSTITUTE(C237,"meg"," МОм"),"k"," кОм"),"R"," Ом"),".",",")</ns0:f>
        <ns0:v>5,1 кОм</ns0:v>
      </ns0:c>
      <ns0:c r="E237" t="str" s="10">
        <ns0:v>±5%</ns0:v>
      </ns0:c>
      <ns0:c r="F237" t="str" s="10">
        <ns0:v>0,125 Вт</ns0:v>
      </ns0:c>
      <ns0:c r="G237" t="str" s="10">
        <ns0:v>150 В макс.</ns0:v>
      </ns0:c>
      <ns0:c r="H237" t="str" s="12">
        <ns0:v>0805</ns0:v>
      </ns0:c>
      <ns0:c r="I237" t="str" s="10">
        <ns0:v>YAGEO</ns0:v>
      </ns0:c>
      <ns0:c r="J237" t="str" s="10">
        <ns0:v>RC0805JR-075K1L</ns0:v>
      </ns0:c>
      <ns0:c r="K237" t="str" s="11">
        <ns0:f>B237&amp;" "&amp;D237&amp;" "&amp;E237&amp;" "&amp;H237</ns0:f>
        <ns0:v>Резистор 5,1 кОм ±5% 0805</ns0:v>
      </ns0:c>
      <ns0:c r="L237" t="str" s="13">
        <ns0:v>R</ns0:v>
      </ns0:c>
      <ns0:c r="M237" t="str" s="13">
        <ns0:v>Symbols\MY_LIB_Resistors.SchLib</ns0:v>
      </ns0:c>
      <ns0:c r="N237" t="str" s="13">
        <ns0:v>RESC2012X70N</ns0:v>
      </ns0:c>
      <ns0:c r="O237" t="str" s="13">
        <ns0:v>Footprints\PBL - SMD Packages.PcbLib</ns0:v>
      </ns0:c>
      <ns0:c xmlns:ns0="http://schemas.openxmlformats.org/spreadsheetml/2006/main" r="P23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7" s="10"/>
      <ns0:c r="R237" t="str" s="11">
        <ns0:f>D237</ns0:f>
        <ns0:v>5,1 кОм</ns0:v>
      </ns0:c>
      <ns0:c r="S237" t="str" s="11">
        <ns0:f>K237</ns0:f>
        <ns0:v>Резистор 5,1 кОм ±5% 0805</ns0:v>
      </ns0:c>
      <x:c xmlns:x="http://schemas.openxmlformats.org/spreadsheetml/2006/main" r="T237" t="str" s="11">
        <x:v>C:\Users\Nomatin\Documents\Altium\MY_LIB\MY_LIB\Datasheets\YAGEO_RC_L.pdf</x:v>
      </x:c>
      <x:c xmlns:x="http://schemas.openxmlformats.org/spreadsheetml/2006/main" r="U237" t="str" s="11">
        <x:v>Даташит — локальный</x:v>
      </x:c>
      <x:c xmlns:x="http://schemas.openxmlformats.org/spreadsheetml/2006/main" r="V237" t="str" s="11">
        <x:v>C:\Users\Nomatin\Documents\Altium\MY_LIB\MY_LIB\Datasheets\YAGEO_RC_L.pdf</x:v>
      </x:c>
      <x:c xmlns:x="http://schemas.openxmlformats.org/spreadsheetml/2006/main" r="W237" t="str" s="11">
        <x:v>Даташит — производитель</x:v>
      </x:c>
      <x:c xmlns:x="http://schemas.openxmlformats.org/spreadsheetml/2006/main" r="X237" t="str" s="11">
        <x:v>https://yageogroup.com/content/datasheet/asset/file/PYU-RC_GROUP_51_ROHS_L</x:v>
      </x:c>
      <x:c xmlns:x="http://schemas.openxmlformats.org/spreadsheetml/2006/main" r="Y237" t="str" s="11">
        <x:v>C:\Users\Nomatin\Documents\Altium\MY_LIB\MY_LIB\Datasheets\YAGEO_RC_L.pdf</x:v>
      </x:c>
      <ns0:c xmlns:ns0="http://schemas.openxmlformats.org/spreadsheetml/2006/main" r="Z237" s="16" t="inlineStr">
        <ns0:is>
          <ns0:t>MY_LIB_R_TCR</ns0:t>
        </ns0:is>
      </ns0:c>
      <ns0:c xmlns:ns0="http://schemas.openxmlformats.org/spreadsheetml/2006/main" r="AA237" s="16" t="inlineStr">
        <ns0:is>
          <ns0:t>R(T), +100 ppm/C at 25 C; positive datasheet limit</ns0:t>
        </ns0:is>
      </ns0:c>
      <ns0:c xmlns:ns0="http://schemas.openxmlformats.org/spreadsheetml/2006/main" r="AB237" s="16" t="str">
        <ns0:v>General</ns0:v>
      </ns0:c>
      <ns0:c xmlns:ns0="http://schemas.openxmlformats.org/spreadsheetml/2006/main" r="AC237" s="16" t="inlineStr">
        <ns0:is>
          <ns0:t>Spice Subcircuit</ns0:t>
        </ns0:is>
      </ns0:c>
      <ns0:c xmlns:ns0="http://schemas.openxmlformats.org/spreadsheetml/2006/main" r="AD237" s="16" t="inlineStr">
        <ns0:is>
          <ns0:t>@DESIGNATOR %1 %2 @MODEL PARAMS: Rvalue=@VALUE TC1value=100u</ns0:t>
        </ns0:is>
      </ns0:c>
      <ns0:c xmlns:ns0="http://schemas.openxmlformats.org/spreadsheetml/2006/main" r="AE237" s="16" t="inlineStr">
        <ns0:is>
          <ns0:t>X</ns0:t>
        </ns0:is>
      </ns0:c>
      <ns0:c xmlns:ns0="http://schemas.openxmlformats.org/spreadsheetml/2006/main" r="AF237" s="16" t="str">
        <ns0:v>(1:1),(2:2)</ns0:v>
      </ns0:c>
      <ns0:c xmlns:ns0="http://schemas.openxmlformats.org/spreadsheetml/2006/main" r="AG237" s="16" t="inlineStr">
        <ns0:is>
          <ns0:t>Simulation\Resistors\MY_LIB_R_TCR.ckt</ns0:t>
        </ns0:is>
      </ns0:c>
      <ns0:c xmlns:ns0="http://schemas.openxmlformats.org/spreadsheetml/2006/main" r="AH237" s="16" t="inlineStr">
        <ns0:is>
          <ns0:t>±100 ppm/°C</ns0:t>
        </ns0:is>
      </ns0:c>
    </ns0:row>
    <ns0:row r="238" ht="30" customHeight="1">
      <ns0:c r="A238" t="str" s="10">
        <ns0:v>R0244</ns0:v>
      </ns0:c>
      <ns0:c r="B238" t="str" s="10">
        <ns0:v>Резистор</ns0:v>
      </ns0:c>
      <ns0:c r="C238" t="str" s="10">
        <ns0:v>5.6k</ns0:v>
      </ns0:c>
      <ns0:c r="D238" t="str" s="11">
        <ns0:f>SUBSTITUTE(SUBSTITUTE(SUBSTITUTE(SUBSTITUTE(C238,"meg"," МОм"),"k"," кОм"),"R"," Ом"),".",",")</ns0:f>
        <ns0:v>5,6 кОм</ns0:v>
      </ns0:c>
      <ns0:c r="E238" t="str" s="10">
        <ns0:v>±5%</ns0:v>
      </ns0:c>
      <ns0:c r="F238" t="str" s="10">
        <ns0:v>0,125 Вт</ns0:v>
      </ns0:c>
      <ns0:c r="G238" t="str" s="10">
        <ns0:v>150 В макс.</ns0:v>
      </ns0:c>
      <ns0:c r="H238" t="str" s="12">
        <ns0:v>0805</ns0:v>
      </ns0:c>
      <ns0:c r="I238" t="str" s="10">
        <ns0:v>YAGEO</ns0:v>
      </ns0:c>
      <ns0:c r="J238" t="str" s="10">
        <ns0:v>RC0805JR-075K6L</ns0:v>
      </ns0:c>
      <ns0:c r="K238" t="str" s="11">
        <ns0:f>B238&amp;" "&amp;D238&amp;" "&amp;E238&amp;" "&amp;H238</ns0:f>
        <ns0:v>Резистор 5,6 кОм ±5% 0805</ns0:v>
      </ns0:c>
      <ns0:c r="L238" t="str" s="13">
        <ns0:v>R</ns0:v>
      </ns0:c>
      <ns0:c r="M238" t="str" s="13">
        <ns0:v>Symbols\MY_LIB_Resistors.SchLib</ns0:v>
      </ns0:c>
      <ns0:c r="N238" t="str" s="13">
        <ns0:v>RESC2012X70N</ns0:v>
      </ns0:c>
      <ns0:c r="O238" t="str" s="13">
        <ns0:v>Footprints\PBL - SMD Packages.PcbLib</ns0:v>
      </ns0:c>
      <ns0:c xmlns:ns0="http://schemas.openxmlformats.org/spreadsheetml/2006/main" r="P23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8" s="10"/>
      <ns0:c r="R238" t="str" s="11">
        <ns0:f>D238</ns0:f>
        <ns0:v>5,6 кОм</ns0:v>
      </ns0:c>
      <ns0:c r="S238" t="str" s="11">
        <ns0:f>K238</ns0:f>
        <ns0:v>Резистор 5,6 кОм ±5% 0805</ns0:v>
      </ns0:c>
      <x:c xmlns:x="http://schemas.openxmlformats.org/spreadsheetml/2006/main" r="T238" t="str" s="11">
        <x:v>C:\Users\Nomatin\Documents\Altium\MY_LIB\MY_LIB\Datasheets\YAGEO_RC_L.pdf</x:v>
      </x:c>
      <x:c xmlns:x="http://schemas.openxmlformats.org/spreadsheetml/2006/main" r="U238" t="str" s="11">
        <x:v>Даташит — локальный</x:v>
      </x:c>
      <x:c xmlns:x="http://schemas.openxmlformats.org/spreadsheetml/2006/main" r="V238" t="str" s="11">
        <x:v>C:\Users\Nomatin\Documents\Altium\MY_LIB\MY_LIB\Datasheets\YAGEO_RC_L.pdf</x:v>
      </x:c>
      <x:c xmlns:x="http://schemas.openxmlformats.org/spreadsheetml/2006/main" r="W238" t="str" s="11">
        <x:v>Даташит — производитель</x:v>
      </x:c>
      <x:c xmlns:x="http://schemas.openxmlformats.org/spreadsheetml/2006/main" r="X238" t="str" s="11">
        <x:v>https://yageogroup.com/content/datasheet/asset/file/PYU-RC_GROUP_51_ROHS_L</x:v>
      </x:c>
      <x:c xmlns:x="http://schemas.openxmlformats.org/spreadsheetml/2006/main" r="Y238" t="str" s="11">
        <x:v>C:\Users\Nomatin\Documents\Altium\MY_LIB\MY_LIB\Datasheets\YAGEO_RC_L.pdf</x:v>
      </x:c>
      <ns0:c xmlns:ns0="http://schemas.openxmlformats.org/spreadsheetml/2006/main" r="Z238" s="16" t="inlineStr">
        <ns0:is>
          <ns0:t>MY_LIB_R_TCR</ns0:t>
        </ns0:is>
      </ns0:c>
      <ns0:c xmlns:ns0="http://schemas.openxmlformats.org/spreadsheetml/2006/main" r="AA238" s="16" t="inlineStr">
        <ns0:is>
          <ns0:t>R(T), +100 ppm/C at 25 C; positive datasheet limit</ns0:t>
        </ns0:is>
      </ns0:c>
      <ns0:c xmlns:ns0="http://schemas.openxmlformats.org/spreadsheetml/2006/main" r="AB238" s="16" t="str">
        <ns0:v>General</ns0:v>
      </ns0:c>
      <ns0:c xmlns:ns0="http://schemas.openxmlformats.org/spreadsheetml/2006/main" r="AC238" s="16" t="inlineStr">
        <ns0:is>
          <ns0:t>Spice Subcircuit</ns0:t>
        </ns0:is>
      </ns0:c>
      <ns0:c xmlns:ns0="http://schemas.openxmlformats.org/spreadsheetml/2006/main" r="AD238" s="16" t="inlineStr">
        <ns0:is>
          <ns0:t>@DESIGNATOR %1 %2 @MODEL PARAMS: Rvalue=@VALUE TC1value=100u</ns0:t>
        </ns0:is>
      </ns0:c>
      <ns0:c xmlns:ns0="http://schemas.openxmlformats.org/spreadsheetml/2006/main" r="AE238" s="16" t="inlineStr">
        <ns0:is>
          <ns0:t>X</ns0:t>
        </ns0:is>
      </ns0:c>
      <ns0:c xmlns:ns0="http://schemas.openxmlformats.org/spreadsheetml/2006/main" r="AF238" s="16" t="str">
        <ns0:v>(1:1),(2:2)</ns0:v>
      </ns0:c>
      <ns0:c xmlns:ns0="http://schemas.openxmlformats.org/spreadsheetml/2006/main" r="AG238" s="16" t="inlineStr">
        <ns0:is>
          <ns0:t>Simulation\Resistors\MY_LIB_R_TCR.ckt</ns0:t>
        </ns0:is>
      </ns0:c>
      <ns0:c xmlns:ns0="http://schemas.openxmlformats.org/spreadsheetml/2006/main" r="AH238" s="16" t="inlineStr">
        <ns0:is>
          <ns0:t>±100 ppm/°C</ns0:t>
        </ns0:is>
      </ns0:c>
    </ns0:row>
    <ns0:row r="239" ht="30" customHeight="1">
      <ns0:c r="A239" t="str" s="10">
        <ns0:v>R0245</ns0:v>
      </ns0:c>
      <ns0:c r="B239" t="str" s="10">
        <ns0:v>Резистор</ns0:v>
      </ns0:c>
      <ns0:c r="C239" t="str" s="10">
        <ns0:v>6.2k</ns0:v>
      </ns0:c>
      <ns0:c r="D239" t="str" s="11">
        <ns0:f>SUBSTITUTE(SUBSTITUTE(SUBSTITUTE(SUBSTITUTE(C239,"meg"," МОм"),"k"," кОм"),"R"," Ом"),".",",")</ns0:f>
        <ns0:v>6,2 кОм</ns0:v>
      </ns0:c>
      <ns0:c r="E239" t="str" s="10">
        <ns0:v>±5%</ns0:v>
      </ns0:c>
      <ns0:c r="F239" t="str" s="10">
        <ns0:v>0,125 Вт</ns0:v>
      </ns0:c>
      <ns0:c r="G239" t="str" s="10">
        <ns0:v>150 В макс.</ns0:v>
      </ns0:c>
      <ns0:c r="H239" t="str" s="12">
        <ns0:v>0805</ns0:v>
      </ns0:c>
      <ns0:c r="I239" t="str" s="10">
        <ns0:v>YAGEO</ns0:v>
      </ns0:c>
      <ns0:c r="J239" t="str" s="10">
        <ns0:v>RC0805JR-076K2L</ns0:v>
      </ns0:c>
      <ns0:c r="K239" t="str" s="11">
        <ns0:f>B239&amp;" "&amp;D239&amp;" "&amp;E239&amp;" "&amp;H239</ns0:f>
        <ns0:v>Резистор 6,2 кОм ±5% 0805</ns0:v>
      </ns0:c>
      <ns0:c r="L239" t="str" s="13">
        <ns0:v>R</ns0:v>
      </ns0:c>
      <ns0:c r="M239" t="str" s="13">
        <ns0:v>Symbols\MY_LIB_Resistors.SchLib</ns0:v>
      </ns0:c>
      <ns0:c r="N239" t="str" s="13">
        <ns0:v>RESC2012X70N</ns0:v>
      </ns0:c>
      <ns0:c r="O239" t="str" s="13">
        <ns0:v>Footprints\PBL - SMD Packages.PcbLib</ns0:v>
      </ns0:c>
      <ns0:c xmlns:ns0="http://schemas.openxmlformats.org/spreadsheetml/2006/main" r="P23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39" s="10"/>
      <ns0:c r="R239" t="str" s="11">
        <ns0:f>D239</ns0:f>
        <ns0:v>6,2 кОм</ns0:v>
      </ns0:c>
      <ns0:c r="S239" t="str" s="11">
        <ns0:f>K239</ns0:f>
        <ns0:v>Резистор 6,2 кОм ±5% 0805</ns0:v>
      </ns0:c>
      <x:c xmlns:x="http://schemas.openxmlformats.org/spreadsheetml/2006/main" r="T239" t="str" s="11">
        <x:v>C:\Users\Nomatin\Documents\Altium\MY_LIB\MY_LIB\Datasheets\YAGEO_RC_L.pdf</x:v>
      </x:c>
      <x:c xmlns:x="http://schemas.openxmlformats.org/spreadsheetml/2006/main" r="U239" t="str" s="11">
        <x:v>Даташит — локальный</x:v>
      </x:c>
      <x:c xmlns:x="http://schemas.openxmlformats.org/spreadsheetml/2006/main" r="V239" t="str" s="11">
        <x:v>C:\Users\Nomatin\Documents\Altium\MY_LIB\MY_LIB\Datasheets\YAGEO_RC_L.pdf</x:v>
      </x:c>
      <x:c xmlns:x="http://schemas.openxmlformats.org/spreadsheetml/2006/main" r="W239" t="str" s="11">
        <x:v>Даташит — производитель</x:v>
      </x:c>
      <x:c xmlns:x="http://schemas.openxmlformats.org/spreadsheetml/2006/main" r="X239" t="str" s="11">
        <x:v>https://yageogroup.com/content/datasheet/asset/file/PYU-RC_GROUP_51_ROHS_L</x:v>
      </x:c>
      <x:c xmlns:x="http://schemas.openxmlformats.org/spreadsheetml/2006/main" r="Y239" t="str" s="11">
        <x:v>C:\Users\Nomatin\Documents\Altium\MY_LIB\MY_LIB\Datasheets\YAGEO_RC_L.pdf</x:v>
      </x:c>
      <ns0:c xmlns:ns0="http://schemas.openxmlformats.org/spreadsheetml/2006/main" r="Z239" s="16" t="inlineStr">
        <ns0:is>
          <ns0:t>MY_LIB_R_TCR</ns0:t>
        </ns0:is>
      </ns0:c>
      <ns0:c xmlns:ns0="http://schemas.openxmlformats.org/spreadsheetml/2006/main" r="AA239" s="16" t="inlineStr">
        <ns0:is>
          <ns0:t>R(T), +100 ppm/C at 25 C; positive datasheet limit</ns0:t>
        </ns0:is>
      </ns0:c>
      <ns0:c xmlns:ns0="http://schemas.openxmlformats.org/spreadsheetml/2006/main" r="AB239" s="16" t="str">
        <ns0:v>General</ns0:v>
      </ns0:c>
      <ns0:c xmlns:ns0="http://schemas.openxmlformats.org/spreadsheetml/2006/main" r="AC239" s="16" t="inlineStr">
        <ns0:is>
          <ns0:t>Spice Subcircuit</ns0:t>
        </ns0:is>
      </ns0:c>
      <ns0:c xmlns:ns0="http://schemas.openxmlformats.org/spreadsheetml/2006/main" r="AD239" s="16" t="inlineStr">
        <ns0:is>
          <ns0:t>@DESIGNATOR %1 %2 @MODEL PARAMS: Rvalue=@VALUE TC1value=100u</ns0:t>
        </ns0:is>
      </ns0:c>
      <ns0:c xmlns:ns0="http://schemas.openxmlformats.org/spreadsheetml/2006/main" r="AE239" s="16" t="inlineStr">
        <ns0:is>
          <ns0:t>X</ns0:t>
        </ns0:is>
      </ns0:c>
      <ns0:c xmlns:ns0="http://schemas.openxmlformats.org/spreadsheetml/2006/main" r="AF239" s="16" t="str">
        <ns0:v>(1:1),(2:2)</ns0:v>
      </ns0:c>
      <ns0:c xmlns:ns0="http://schemas.openxmlformats.org/spreadsheetml/2006/main" r="AG239" s="16" t="inlineStr">
        <ns0:is>
          <ns0:t>Simulation\Resistors\MY_LIB_R_TCR.ckt</ns0:t>
        </ns0:is>
      </ns0:c>
      <ns0:c xmlns:ns0="http://schemas.openxmlformats.org/spreadsheetml/2006/main" r="AH239" s="16" t="inlineStr">
        <ns0:is>
          <ns0:t>±100 ppm/°C</ns0:t>
        </ns0:is>
      </ns0:c>
    </ns0:row>
    <ns0:row r="240" ht="30" customHeight="1">
      <ns0:c r="A240" t="str" s="10">
        <ns0:v>R0246</ns0:v>
      </ns0:c>
      <ns0:c r="B240" t="str" s="10">
        <ns0:v>Резистор</ns0:v>
      </ns0:c>
      <ns0:c r="C240" t="str" s="10">
        <ns0:v>6.8k</ns0:v>
      </ns0:c>
      <ns0:c r="D240" t="str" s="11">
        <ns0:f>SUBSTITUTE(SUBSTITUTE(SUBSTITUTE(SUBSTITUTE(C240,"meg"," МОм"),"k"," кОм"),"R"," Ом"),".",",")</ns0:f>
        <ns0:v>6,8 кОм</ns0:v>
      </ns0:c>
      <ns0:c r="E240" t="str" s="10">
        <ns0:v>±5%</ns0:v>
      </ns0:c>
      <ns0:c r="F240" t="str" s="10">
        <ns0:v>0,125 Вт</ns0:v>
      </ns0:c>
      <ns0:c r="G240" t="str" s="10">
        <ns0:v>150 В макс.</ns0:v>
      </ns0:c>
      <ns0:c r="H240" t="str" s="12">
        <ns0:v>0805</ns0:v>
      </ns0:c>
      <ns0:c r="I240" t="str" s="10">
        <ns0:v>YAGEO</ns0:v>
      </ns0:c>
      <ns0:c r="J240" t="str" s="10">
        <ns0:v>RC0805JR-076K8L</ns0:v>
      </ns0:c>
      <ns0:c r="K240" t="str" s="11">
        <ns0:f>B240&amp;" "&amp;D240&amp;" "&amp;E240&amp;" "&amp;H240</ns0:f>
        <ns0:v>Резистор 6,8 кОм ±5% 0805</ns0:v>
      </ns0:c>
      <ns0:c r="L240" t="str" s="13">
        <ns0:v>R</ns0:v>
      </ns0:c>
      <ns0:c r="M240" t="str" s="13">
        <ns0:v>Symbols\MY_LIB_Resistors.SchLib</ns0:v>
      </ns0:c>
      <ns0:c r="N240" t="str" s="13">
        <ns0:v>RESC2012X70N</ns0:v>
      </ns0:c>
      <ns0:c r="O240" t="str" s="13">
        <ns0:v>Footprints\PBL - SMD Packages.PcbLib</ns0:v>
      </ns0:c>
      <ns0:c xmlns:ns0="http://schemas.openxmlformats.org/spreadsheetml/2006/main" r="P24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0" s="10"/>
      <ns0:c r="R240" t="str" s="11">
        <ns0:f>D240</ns0:f>
        <ns0:v>6,8 кОм</ns0:v>
      </ns0:c>
      <ns0:c r="S240" t="str" s="11">
        <ns0:f>K240</ns0:f>
        <ns0:v>Резистор 6,8 кОм ±5% 0805</ns0:v>
      </ns0:c>
      <x:c xmlns:x="http://schemas.openxmlformats.org/spreadsheetml/2006/main" r="T240" t="str" s="11">
        <x:v>C:\Users\Nomatin\Documents\Altium\MY_LIB\MY_LIB\Datasheets\YAGEO_RC_L.pdf</x:v>
      </x:c>
      <x:c xmlns:x="http://schemas.openxmlformats.org/spreadsheetml/2006/main" r="U240" t="str" s="11">
        <x:v>Даташит — локальный</x:v>
      </x:c>
      <x:c xmlns:x="http://schemas.openxmlformats.org/spreadsheetml/2006/main" r="V240" t="str" s="11">
        <x:v>C:\Users\Nomatin\Documents\Altium\MY_LIB\MY_LIB\Datasheets\YAGEO_RC_L.pdf</x:v>
      </x:c>
      <x:c xmlns:x="http://schemas.openxmlformats.org/spreadsheetml/2006/main" r="W240" t="str" s="11">
        <x:v>Даташит — производитель</x:v>
      </x:c>
      <x:c xmlns:x="http://schemas.openxmlformats.org/spreadsheetml/2006/main" r="X240" t="str" s="11">
        <x:v>https://yageogroup.com/content/datasheet/asset/file/PYU-RC_GROUP_51_ROHS_L</x:v>
      </x:c>
      <x:c xmlns:x="http://schemas.openxmlformats.org/spreadsheetml/2006/main" r="Y240" t="str" s="11">
        <x:v>C:\Users\Nomatin\Documents\Altium\MY_LIB\MY_LIB\Datasheets\YAGEO_RC_L.pdf</x:v>
      </x:c>
      <ns0:c xmlns:ns0="http://schemas.openxmlformats.org/spreadsheetml/2006/main" r="Z240" s="16" t="inlineStr">
        <ns0:is>
          <ns0:t>MY_LIB_R_TCR</ns0:t>
        </ns0:is>
      </ns0:c>
      <ns0:c xmlns:ns0="http://schemas.openxmlformats.org/spreadsheetml/2006/main" r="AA240" s="16" t="inlineStr">
        <ns0:is>
          <ns0:t>R(T), +100 ppm/C at 25 C; positive datasheet limit</ns0:t>
        </ns0:is>
      </ns0:c>
      <ns0:c xmlns:ns0="http://schemas.openxmlformats.org/spreadsheetml/2006/main" r="AB240" s="16" t="str">
        <ns0:v>General</ns0:v>
      </ns0:c>
      <ns0:c xmlns:ns0="http://schemas.openxmlformats.org/spreadsheetml/2006/main" r="AC240" s="16" t="inlineStr">
        <ns0:is>
          <ns0:t>Spice Subcircuit</ns0:t>
        </ns0:is>
      </ns0:c>
      <ns0:c xmlns:ns0="http://schemas.openxmlformats.org/spreadsheetml/2006/main" r="AD240" s="16" t="inlineStr">
        <ns0:is>
          <ns0:t>@DESIGNATOR %1 %2 @MODEL PARAMS: Rvalue=@VALUE TC1value=100u</ns0:t>
        </ns0:is>
      </ns0:c>
      <ns0:c xmlns:ns0="http://schemas.openxmlformats.org/spreadsheetml/2006/main" r="AE240" s="16" t="inlineStr">
        <ns0:is>
          <ns0:t>X</ns0:t>
        </ns0:is>
      </ns0:c>
      <ns0:c xmlns:ns0="http://schemas.openxmlformats.org/spreadsheetml/2006/main" r="AF240" s="16" t="str">
        <ns0:v>(1:1),(2:2)</ns0:v>
      </ns0:c>
      <ns0:c xmlns:ns0="http://schemas.openxmlformats.org/spreadsheetml/2006/main" r="AG240" s="16" t="inlineStr">
        <ns0:is>
          <ns0:t>Simulation\Resistors\MY_LIB_R_TCR.ckt</ns0:t>
        </ns0:is>
      </ns0:c>
      <ns0:c xmlns:ns0="http://schemas.openxmlformats.org/spreadsheetml/2006/main" r="AH240" s="16" t="inlineStr">
        <ns0:is>
          <ns0:t>±100 ppm/°C</ns0:t>
        </ns0:is>
      </ns0:c>
    </ns0:row>
    <ns0:row r="241" ht="30" customHeight="1">
      <ns0:c r="A241" t="str" s="10">
        <ns0:v>R0247</ns0:v>
      </ns0:c>
      <ns0:c r="B241" t="str" s="10">
        <ns0:v>Резистор</ns0:v>
      </ns0:c>
      <ns0:c r="C241" t="str" s="10">
        <ns0:v>7.5k</ns0:v>
      </ns0:c>
      <ns0:c r="D241" t="str" s="11">
        <ns0:f>SUBSTITUTE(SUBSTITUTE(SUBSTITUTE(SUBSTITUTE(C241,"meg"," МОм"),"k"," кОм"),"R"," Ом"),".",",")</ns0:f>
        <ns0:v>7,5 кОм</ns0:v>
      </ns0:c>
      <ns0:c r="E241" t="str" s="10">
        <ns0:v>±5%</ns0:v>
      </ns0:c>
      <ns0:c r="F241" t="str" s="10">
        <ns0:v>0,125 Вт</ns0:v>
      </ns0:c>
      <ns0:c r="G241" t="str" s="10">
        <ns0:v>150 В макс.</ns0:v>
      </ns0:c>
      <ns0:c r="H241" t="str" s="12">
        <ns0:v>0805</ns0:v>
      </ns0:c>
      <ns0:c r="I241" t="str" s="10">
        <ns0:v>YAGEO</ns0:v>
      </ns0:c>
      <ns0:c r="J241" t="str" s="10">
        <ns0:v>RC0805JR-077K5L</ns0:v>
      </ns0:c>
      <ns0:c r="K241" t="str" s="11">
        <ns0:f>B241&amp;" "&amp;D241&amp;" "&amp;E241&amp;" "&amp;H241</ns0:f>
        <ns0:v>Резистор 7,5 кОм ±5% 0805</ns0:v>
      </ns0:c>
      <ns0:c r="L241" t="str" s="13">
        <ns0:v>R</ns0:v>
      </ns0:c>
      <ns0:c r="M241" t="str" s="13">
        <ns0:v>Symbols\MY_LIB_Resistors.SchLib</ns0:v>
      </ns0:c>
      <ns0:c r="N241" t="str" s="13">
        <ns0:v>RESC2012X70N</ns0:v>
      </ns0:c>
      <ns0:c r="O241" t="str" s="13">
        <ns0:v>Footprints\PBL - SMD Packages.PcbLib</ns0:v>
      </ns0:c>
      <ns0:c xmlns:ns0="http://schemas.openxmlformats.org/spreadsheetml/2006/main" r="P24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1" s="10"/>
      <ns0:c r="R241" t="str" s="11">
        <ns0:f>D241</ns0:f>
        <ns0:v>7,5 кОм</ns0:v>
      </ns0:c>
      <ns0:c r="S241" t="str" s="11">
        <ns0:f>K241</ns0:f>
        <ns0:v>Резистор 7,5 кОм ±5% 0805</ns0:v>
      </ns0:c>
      <x:c xmlns:x="http://schemas.openxmlformats.org/spreadsheetml/2006/main" r="T241" t="str" s="11">
        <x:v>C:\Users\Nomatin\Documents\Altium\MY_LIB\MY_LIB\Datasheets\YAGEO_RC_L.pdf</x:v>
      </x:c>
      <x:c xmlns:x="http://schemas.openxmlformats.org/spreadsheetml/2006/main" r="U241" t="str" s="11">
        <x:v>Даташит — локальный</x:v>
      </x:c>
      <x:c xmlns:x="http://schemas.openxmlformats.org/spreadsheetml/2006/main" r="V241" t="str" s="11">
        <x:v>C:\Users\Nomatin\Documents\Altium\MY_LIB\MY_LIB\Datasheets\YAGEO_RC_L.pdf</x:v>
      </x:c>
      <x:c xmlns:x="http://schemas.openxmlformats.org/spreadsheetml/2006/main" r="W241" t="str" s="11">
        <x:v>Даташит — производитель</x:v>
      </x:c>
      <x:c xmlns:x="http://schemas.openxmlformats.org/spreadsheetml/2006/main" r="X241" t="str" s="11">
        <x:v>https://yageogroup.com/content/datasheet/asset/file/PYU-RC_GROUP_51_ROHS_L</x:v>
      </x:c>
      <x:c xmlns:x="http://schemas.openxmlformats.org/spreadsheetml/2006/main" r="Y241" t="str" s="11">
        <x:v>C:\Users\Nomatin\Documents\Altium\MY_LIB\MY_LIB\Datasheets\YAGEO_RC_L.pdf</x:v>
      </x:c>
      <ns0:c xmlns:ns0="http://schemas.openxmlformats.org/spreadsheetml/2006/main" r="Z241" s="16" t="inlineStr">
        <ns0:is>
          <ns0:t>MY_LIB_R_TCR</ns0:t>
        </ns0:is>
      </ns0:c>
      <ns0:c xmlns:ns0="http://schemas.openxmlformats.org/spreadsheetml/2006/main" r="AA241" s="16" t="inlineStr">
        <ns0:is>
          <ns0:t>R(T), +100 ppm/C at 25 C; positive datasheet limit</ns0:t>
        </ns0:is>
      </ns0:c>
      <ns0:c xmlns:ns0="http://schemas.openxmlformats.org/spreadsheetml/2006/main" r="AB241" s="16" t="str">
        <ns0:v>General</ns0:v>
      </ns0:c>
      <ns0:c xmlns:ns0="http://schemas.openxmlformats.org/spreadsheetml/2006/main" r="AC241" s="16" t="inlineStr">
        <ns0:is>
          <ns0:t>Spice Subcircuit</ns0:t>
        </ns0:is>
      </ns0:c>
      <ns0:c xmlns:ns0="http://schemas.openxmlformats.org/spreadsheetml/2006/main" r="AD241" s="16" t="inlineStr">
        <ns0:is>
          <ns0:t>@DESIGNATOR %1 %2 @MODEL PARAMS: Rvalue=@VALUE TC1value=100u</ns0:t>
        </ns0:is>
      </ns0:c>
      <ns0:c xmlns:ns0="http://schemas.openxmlformats.org/spreadsheetml/2006/main" r="AE241" s="16" t="inlineStr">
        <ns0:is>
          <ns0:t>X</ns0:t>
        </ns0:is>
      </ns0:c>
      <ns0:c xmlns:ns0="http://schemas.openxmlformats.org/spreadsheetml/2006/main" r="AF241" s="16" t="str">
        <ns0:v>(1:1),(2:2)</ns0:v>
      </ns0:c>
      <ns0:c xmlns:ns0="http://schemas.openxmlformats.org/spreadsheetml/2006/main" r="AG241" s="16" t="inlineStr">
        <ns0:is>
          <ns0:t>Simulation\Resistors\MY_LIB_R_TCR.ckt</ns0:t>
        </ns0:is>
      </ns0:c>
      <ns0:c xmlns:ns0="http://schemas.openxmlformats.org/spreadsheetml/2006/main" r="AH241" s="16" t="inlineStr">
        <ns0:is>
          <ns0:t>±100 ppm/°C</ns0:t>
        </ns0:is>
      </ns0:c>
    </ns0:row>
    <ns0:row r="242" ht="30" customHeight="1">
      <ns0:c r="A242" t="str" s="10">
        <ns0:v>R0248</ns0:v>
      </ns0:c>
      <ns0:c r="B242" t="str" s="10">
        <ns0:v>Резистор</ns0:v>
      </ns0:c>
      <ns0:c r="C242" t="str" s="10">
        <ns0:v>8.2k</ns0:v>
      </ns0:c>
      <ns0:c r="D242" t="str" s="11">
        <ns0:f>SUBSTITUTE(SUBSTITUTE(SUBSTITUTE(SUBSTITUTE(C242,"meg"," МОм"),"k"," кОм"),"R"," Ом"),".",",")</ns0:f>
        <ns0:v>8,2 кОм</ns0:v>
      </ns0:c>
      <ns0:c r="E242" t="str" s="10">
        <ns0:v>±5%</ns0:v>
      </ns0:c>
      <ns0:c r="F242" t="str" s="10">
        <ns0:v>0,125 Вт</ns0:v>
      </ns0:c>
      <ns0:c r="G242" t="str" s="10">
        <ns0:v>150 В макс.</ns0:v>
      </ns0:c>
      <ns0:c r="H242" t="str" s="12">
        <ns0:v>0805</ns0:v>
      </ns0:c>
      <ns0:c r="I242" t="str" s="10">
        <ns0:v>YAGEO</ns0:v>
      </ns0:c>
      <ns0:c r="J242" t="str" s="10">
        <ns0:v>RC0805JR-078K2L</ns0:v>
      </ns0:c>
      <ns0:c r="K242" t="str" s="11">
        <ns0:f>B242&amp;" "&amp;D242&amp;" "&amp;E242&amp;" "&amp;H242</ns0:f>
        <ns0:v>Резистор 8,2 кОм ±5% 0805</ns0:v>
      </ns0:c>
      <ns0:c r="L242" t="str" s="13">
        <ns0:v>R</ns0:v>
      </ns0:c>
      <ns0:c r="M242" t="str" s="13">
        <ns0:v>Symbols\MY_LIB_Resistors.SchLib</ns0:v>
      </ns0:c>
      <ns0:c r="N242" t="str" s="13">
        <ns0:v>RESC2012X70N</ns0:v>
      </ns0:c>
      <ns0:c r="O242" t="str" s="13">
        <ns0:v>Footprints\PBL - SMD Packages.PcbLib</ns0:v>
      </ns0:c>
      <ns0:c xmlns:ns0="http://schemas.openxmlformats.org/spreadsheetml/2006/main" r="P24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2" s="10"/>
      <ns0:c r="R242" t="str" s="11">
        <ns0:f>D242</ns0:f>
        <ns0:v>8,2 кОм</ns0:v>
      </ns0:c>
      <ns0:c r="S242" t="str" s="11">
        <ns0:f>K242</ns0:f>
        <ns0:v>Резистор 8,2 кОм ±5% 0805</ns0:v>
      </ns0:c>
      <x:c xmlns:x="http://schemas.openxmlformats.org/spreadsheetml/2006/main" r="T242" t="str" s="11">
        <x:v>C:\Users\Nomatin\Documents\Altium\MY_LIB\MY_LIB\Datasheets\YAGEO_RC_L.pdf</x:v>
      </x:c>
      <x:c xmlns:x="http://schemas.openxmlformats.org/spreadsheetml/2006/main" r="U242" t="str" s="11">
        <x:v>Даташит — локальный</x:v>
      </x:c>
      <x:c xmlns:x="http://schemas.openxmlformats.org/spreadsheetml/2006/main" r="V242" t="str" s="11">
        <x:v>C:\Users\Nomatin\Documents\Altium\MY_LIB\MY_LIB\Datasheets\YAGEO_RC_L.pdf</x:v>
      </x:c>
      <x:c xmlns:x="http://schemas.openxmlformats.org/spreadsheetml/2006/main" r="W242" t="str" s="11">
        <x:v>Даташит — производитель</x:v>
      </x:c>
      <x:c xmlns:x="http://schemas.openxmlformats.org/spreadsheetml/2006/main" r="X242" t="str" s="11">
        <x:v>https://yageogroup.com/content/datasheet/asset/file/PYU-RC_GROUP_51_ROHS_L</x:v>
      </x:c>
      <x:c xmlns:x="http://schemas.openxmlformats.org/spreadsheetml/2006/main" r="Y242" t="str" s="11">
        <x:v>C:\Users\Nomatin\Documents\Altium\MY_LIB\MY_LIB\Datasheets\YAGEO_RC_L.pdf</x:v>
      </x:c>
      <ns0:c xmlns:ns0="http://schemas.openxmlformats.org/spreadsheetml/2006/main" r="Z242" s="16" t="inlineStr">
        <ns0:is>
          <ns0:t>MY_LIB_R_TCR</ns0:t>
        </ns0:is>
      </ns0:c>
      <ns0:c xmlns:ns0="http://schemas.openxmlformats.org/spreadsheetml/2006/main" r="AA242" s="16" t="inlineStr">
        <ns0:is>
          <ns0:t>R(T), +100 ppm/C at 25 C; positive datasheet limit</ns0:t>
        </ns0:is>
      </ns0:c>
      <ns0:c xmlns:ns0="http://schemas.openxmlformats.org/spreadsheetml/2006/main" r="AB242" s="16" t="str">
        <ns0:v>General</ns0:v>
      </ns0:c>
      <ns0:c xmlns:ns0="http://schemas.openxmlformats.org/spreadsheetml/2006/main" r="AC242" s="16" t="inlineStr">
        <ns0:is>
          <ns0:t>Spice Subcircuit</ns0:t>
        </ns0:is>
      </ns0:c>
      <ns0:c xmlns:ns0="http://schemas.openxmlformats.org/spreadsheetml/2006/main" r="AD242" s="16" t="inlineStr">
        <ns0:is>
          <ns0:t>@DESIGNATOR %1 %2 @MODEL PARAMS: Rvalue=@VALUE TC1value=100u</ns0:t>
        </ns0:is>
      </ns0:c>
      <ns0:c xmlns:ns0="http://schemas.openxmlformats.org/spreadsheetml/2006/main" r="AE242" s="16" t="inlineStr">
        <ns0:is>
          <ns0:t>X</ns0:t>
        </ns0:is>
      </ns0:c>
      <ns0:c xmlns:ns0="http://schemas.openxmlformats.org/spreadsheetml/2006/main" r="AF242" s="16" t="str">
        <ns0:v>(1:1),(2:2)</ns0:v>
      </ns0:c>
      <ns0:c xmlns:ns0="http://schemas.openxmlformats.org/spreadsheetml/2006/main" r="AG242" s="16" t="inlineStr">
        <ns0:is>
          <ns0:t>Simulation\Resistors\MY_LIB_R_TCR.ckt</ns0:t>
        </ns0:is>
      </ns0:c>
      <ns0:c xmlns:ns0="http://schemas.openxmlformats.org/spreadsheetml/2006/main" r="AH242" s="16" t="inlineStr">
        <ns0:is>
          <ns0:t>±100 ppm/°C</ns0:t>
        </ns0:is>
      </ns0:c>
    </ns0:row>
    <ns0:row r="243" ht="30" customHeight="1">
      <ns0:c r="A243" t="str" s="10">
        <ns0:v>R0249</ns0:v>
      </ns0:c>
      <ns0:c r="B243" t="str" s="10">
        <ns0:v>Резистор</ns0:v>
      </ns0:c>
      <ns0:c r="C243" t="str" s="10">
        <ns0:v>9.1k</ns0:v>
      </ns0:c>
      <ns0:c r="D243" t="str" s="11">
        <ns0:f>SUBSTITUTE(SUBSTITUTE(SUBSTITUTE(SUBSTITUTE(C243,"meg"," МОм"),"k"," кОм"),"R"," Ом"),".",",")</ns0:f>
        <ns0:v>9,1 кОм</ns0:v>
      </ns0:c>
      <ns0:c r="E243" t="str" s="10">
        <ns0:v>±5%</ns0:v>
      </ns0:c>
      <ns0:c r="F243" t="str" s="10">
        <ns0:v>0,125 Вт</ns0:v>
      </ns0:c>
      <ns0:c r="G243" t="str" s="10">
        <ns0:v>150 В макс.</ns0:v>
      </ns0:c>
      <ns0:c r="H243" t="str" s="12">
        <ns0:v>0805</ns0:v>
      </ns0:c>
      <ns0:c r="I243" t="str" s="10">
        <ns0:v>YAGEO</ns0:v>
      </ns0:c>
      <ns0:c r="J243" t="str" s="10">
        <ns0:v>RC0805JR-079K1L</ns0:v>
      </ns0:c>
      <ns0:c r="K243" t="str" s="11">
        <ns0:f>B243&amp;" "&amp;D243&amp;" "&amp;E243&amp;" "&amp;H243</ns0:f>
        <ns0:v>Резистор 9,1 кОм ±5% 0805</ns0:v>
      </ns0:c>
      <ns0:c r="L243" t="str" s="13">
        <ns0:v>R</ns0:v>
      </ns0:c>
      <ns0:c r="M243" t="str" s="13">
        <ns0:v>Symbols\MY_LIB_Resistors.SchLib</ns0:v>
      </ns0:c>
      <ns0:c r="N243" t="str" s="13">
        <ns0:v>RESC2012X70N</ns0:v>
      </ns0:c>
      <ns0:c r="O243" t="str" s="13">
        <ns0:v>Footprints\PBL - SMD Packages.PcbLib</ns0:v>
      </ns0:c>
      <ns0:c xmlns:ns0="http://schemas.openxmlformats.org/spreadsheetml/2006/main" r="P24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3" s="10"/>
      <ns0:c r="R243" t="str" s="11">
        <ns0:f>D243</ns0:f>
        <ns0:v>9,1 кОм</ns0:v>
      </ns0:c>
      <ns0:c r="S243" t="str" s="11">
        <ns0:f>K243</ns0:f>
        <ns0:v>Резистор 9,1 кОм ±5% 0805</ns0:v>
      </ns0:c>
      <x:c xmlns:x="http://schemas.openxmlformats.org/spreadsheetml/2006/main" r="T243" t="str" s="11">
        <x:v>C:\Users\Nomatin\Documents\Altium\MY_LIB\MY_LIB\Datasheets\YAGEO_RC_L.pdf</x:v>
      </x:c>
      <x:c xmlns:x="http://schemas.openxmlformats.org/spreadsheetml/2006/main" r="U243" t="str" s="11">
        <x:v>Даташит — локальный</x:v>
      </x:c>
      <x:c xmlns:x="http://schemas.openxmlformats.org/spreadsheetml/2006/main" r="V243" t="str" s="11">
        <x:v>C:\Users\Nomatin\Documents\Altium\MY_LIB\MY_LIB\Datasheets\YAGEO_RC_L.pdf</x:v>
      </x:c>
      <x:c xmlns:x="http://schemas.openxmlformats.org/spreadsheetml/2006/main" r="W243" t="str" s="11">
        <x:v>Даташит — производитель</x:v>
      </x:c>
      <x:c xmlns:x="http://schemas.openxmlformats.org/spreadsheetml/2006/main" r="X243" t="str" s="11">
        <x:v>https://yageogroup.com/content/datasheet/asset/file/PYU-RC_GROUP_51_ROHS_L</x:v>
      </x:c>
      <x:c xmlns:x="http://schemas.openxmlformats.org/spreadsheetml/2006/main" r="Y243" t="str" s="11">
        <x:v>C:\Users\Nomatin\Documents\Altium\MY_LIB\MY_LIB\Datasheets\YAGEO_RC_L.pdf</x:v>
      </x:c>
      <ns0:c xmlns:ns0="http://schemas.openxmlformats.org/spreadsheetml/2006/main" r="Z243" s="16" t="inlineStr">
        <ns0:is>
          <ns0:t>MY_LIB_R_TCR</ns0:t>
        </ns0:is>
      </ns0:c>
      <ns0:c xmlns:ns0="http://schemas.openxmlformats.org/spreadsheetml/2006/main" r="AA243" s="16" t="inlineStr">
        <ns0:is>
          <ns0:t>R(T), +100 ppm/C at 25 C; positive datasheet limit</ns0:t>
        </ns0:is>
      </ns0:c>
      <ns0:c xmlns:ns0="http://schemas.openxmlformats.org/spreadsheetml/2006/main" r="AB243" s="16" t="str">
        <ns0:v>General</ns0:v>
      </ns0:c>
      <ns0:c xmlns:ns0="http://schemas.openxmlformats.org/spreadsheetml/2006/main" r="AC243" s="16" t="inlineStr">
        <ns0:is>
          <ns0:t>Spice Subcircuit</ns0:t>
        </ns0:is>
      </ns0:c>
      <ns0:c xmlns:ns0="http://schemas.openxmlformats.org/spreadsheetml/2006/main" r="AD243" s="16" t="inlineStr">
        <ns0:is>
          <ns0:t>@DESIGNATOR %1 %2 @MODEL PARAMS: Rvalue=@VALUE TC1value=100u</ns0:t>
        </ns0:is>
      </ns0:c>
      <ns0:c xmlns:ns0="http://schemas.openxmlformats.org/spreadsheetml/2006/main" r="AE243" s="16" t="inlineStr">
        <ns0:is>
          <ns0:t>X</ns0:t>
        </ns0:is>
      </ns0:c>
      <ns0:c xmlns:ns0="http://schemas.openxmlformats.org/spreadsheetml/2006/main" r="AF243" s="16" t="str">
        <ns0:v>(1:1),(2:2)</ns0:v>
      </ns0:c>
      <ns0:c xmlns:ns0="http://schemas.openxmlformats.org/spreadsheetml/2006/main" r="AG243" s="16" t="inlineStr">
        <ns0:is>
          <ns0:t>Simulation\Resistors\MY_LIB_R_TCR.ckt</ns0:t>
        </ns0:is>
      </ns0:c>
      <ns0:c xmlns:ns0="http://schemas.openxmlformats.org/spreadsheetml/2006/main" r="AH243" s="16" t="inlineStr">
        <ns0:is>
          <ns0:t>±100 ppm/°C</ns0:t>
        </ns0:is>
      </ns0:c>
    </ns0:row>
    <ns0:row r="244" ht="30" customHeight="1">
      <ns0:c r="A244" t="str" s="10">
        <ns0:v>R0250</ns0:v>
      </ns0:c>
      <ns0:c r="B244" t="str" s="10">
        <ns0:v>Резистор</ns0:v>
      </ns0:c>
      <ns0:c r="C244" t="str" s="10">
        <ns0:v>10k</ns0:v>
      </ns0:c>
      <ns0:c r="D244" t="str" s="11">
        <ns0:f>SUBSTITUTE(SUBSTITUTE(SUBSTITUTE(SUBSTITUTE(C244,"meg"," МОм"),"k"," кОм"),"R"," Ом"),".",",")</ns0:f>
        <ns0:v>10 кОм</ns0:v>
      </ns0:c>
      <ns0:c r="E244" t="str" s="10">
        <ns0:v>±5%</ns0:v>
      </ns0:c>
      <ns0:c r="F244" t="str" s="10">
        <ns0:v>0,125 Вт</ns0:v>
      </ns0:c>
      <ns0:c r="G244" t="str" s="10">
        <ns0:v>150 В макс.</ns0:v>
      </ns0:c>
      <ns0:c r="H244" t="str" s="12">
        <ns0:v>0805</ns0:v>
      </ns0:c>
      <ns0:c r="I244" t="str" s="10">
        <ns0:v>YAGEO</ns0:v>
      </ns0:c>
      <ns0:c r="J244" t="str" s="10">
        <ns0:v>RC0805JR-0710KL</ns0:v>
      </ns0:c>
      <ns0:c r="K244" t="str" s="11">
        <ns0:f>B244&amp;" "&amp;D244&amp;" "&amp;E244&amp;" "&amp;H244</ns0:f>
        <ns0:v>Резистор 10 кОм ±5% 0805</ns0:v>
      </ns0:c>
      <ns0:c r="L244" t="str" s="13">
        <ns0:v>R</ns0:v>
      </ns0:c>
      <ns0:c r="M244" t="str" s="13">
        <ns0:v>Symbols\MY_LIB_Resistors.SchLib</ns0:v>
      </ns0:c>
      <ns0:c r="N244" t="str" s="13">
        <ns0:v>RESC2012X70N</ns0:v>
      </ns0:c>
      <ns0:c r="O244" t="str" s="13">
        <ns0:v>Footprints\PBL - SMD Packages.PcbLib</ns0:v>
      </ns0:c>
      <ns0:c xmlns:ns0="http://schemas.openxmlformats.org/spreadsheetml/2006/main" r="P24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4" s="10"/>
      <ns0:c r="R244" t="str" s="11">
        <ns0:f>D244</ns0:f>
        <ns0:v>10 кОм</ns0:v>
      </ns0:c>
      <ns0:c r="S244" t="str" s="11">
        <ns0:f>K244</ns0:f>
        <ns0:v>Резистор 10 кОм ±5% 0805</ns0:v>
      </ns0:c>
      <x:c xmlns:x="http://schemas.openxmlformats.org/spreadsheetml/2006/main" r="T244" t="str" s="11">
        <x:v>C:\Users\Nomatin\Documents\Altium\MY_LIB\MY_LIB\Datasheets\YAGEO_RC_L.pdf</x:v>
      </x:c>
      <x:c xmlns:x="http://schemas.openxmlformats.org/spreadsheetml/2006/main" r="U244" t="str" s="11">
        <x:v>Даташит — локальный</x:v>
      </x:c>
      <x:c xmlns:x="http://schemas.openxmlformats.org/spreadsheetml/2006/main" r="V244" t="str" s="11">
        <x:v>C:\Users\Nomatin\Documents\Altium\MY_LIB\MY_LIB\Datasheets\YAGEO_RC_L.pdf</x:v>
      </x:c>
      <x:c xmlns:x="http://schemas.openxmlformats.org/spreadsheetml/2006/main" r="W244" t="str" s="11">
        <x:v>Даташит — производитель</x:v>
      </x:c>
      <x:c xmlns:x="http://schemas.openxmlformats.org/spreadsheetml/2006/main" r="X244" t="str" s="11">
        <x:v>https://yageogroup.com/content/datasheet/asset/file/PYU-RC_GROUP_51_ROHS_L</x:v>
      </x:c>
      <x:c xmlns:x="http://schemas.openxmlformats.org/spreadsheetml/2006/main" r="Y244" t="str" s="11">
        <x:v>C:\Users\Nomatin\Documents\Altium\MY_LIB\MY_LIB\Datasheets\YAGEO_RC_L.pdf</x:v>
      </x:c>
      <ns0:c xmlns:ns0="http://schemas.openxmlformats.org/spreadsheetml/2006/main" r="Z244" s="16" t="inlineStr">
        <ns0:is>
          <ns0:t>MY_LIB_R_TCR</ns0:t>
        </ns0:is>
      </ns0:c>
      <ns0:c xmlns:ns0="http://schemas.openxmlformats.org/spreadsheetml/2006/main" r="AA244" s="16" t="inlineStr">
        <ns0:is>
          <ns0:t>R(T), +100 ppm/C at 25 C; positive datasheet limit</ns0:t>
        </ns0:is>
      </ns0:c>
      <ns0:c xmlns:ns0="http://schemas.openxmlformats.org/spreadsheetml/2006/main" r="AB244" s="16" t="str">
        <ns0:v>General</ns0:v>
      </ns0:c>
      <ns0:c xmlns:ns0="http://schemas.openxmlformats.org/spreadsheetml/2006/main" r="AC244" s="16" t="inlineStr">
        <ns0:is>
          <ns0:t>Spice Subcircuit</ns0:t>
        </ns0:is>
      </ns0:c>
      <ns0:c xmlns:ns0="http://schemas.openxmlformats.org/spreadsheetml/2006/main" r="AD244" s="16" t="inlineStr">
        <ns0:is>
          <ns0:t>@DESIGNATOR %1 %2 @MODEL PARAMS: Rvalue=@VALUE TC1value=100u</ns0:t>
        </ns0:is>
      </ns0:c>
      <ns0:c xmlns:ns0="http://schemas.openxmlformats.org/spreadsheetml/2006/main" r="AE244" s="16" t="inlineStr">
        <ns0:is>
          <ns0:t>X</ns0:t>
        </ns0:is>
      </ns0:c>
      <ns0:c xmlns:ns0="http://schemas.openxmlformats.org/spreadsheetml/2006/main" r="AF244" s="16" t="str">
        <ns0:v>(1:1),(2:2)</ns0:v>
      </ns0:c>
      <ns0:c xmlns:ns0="http://schemas.openxmlformats.org/spreadsheetml/2006/main" r="AG244" s="16" t="inlineStr">
        <ns0:is>
          <ns0:t>Simulation\Resistors\MY_LIB_R_TCR.ckt</ns0:t>
        </ns0:is>
      </ns0:c>
      <ns0:c xmlns:ns0="http://schemas.openxmlformats.org/spreadsheetml/2006/main" r="AH244" s="16" t="inlineStr">
        <ns0:is>
          <ns0:t>±100 ppm/°C</ns0:t>
        </ns0:is>
      </ns0:c>
    </ns0:row>
    <ns0:row r="245" ht="30" customHeight="1">
      <ns0:c r="A245" t="str" s="10">
        <ns0:v>R0251</ns0:v>
      </ns0:c>
      <ns0:c r="B245" t="str" s="10">
        <ns0:v>Резистор</ns0:v>
      </ns0:c>
      <ns0:c r="C245" t="str" s="10">
        <ns0:v>11k</ns0:v>
      </ns0:c>
      <ns0:c r="D245" t="str" s="11">
        <ns0:f>SUBSTITUTE(SUBSTITUTE(SUBSTITUTE(SUBSTITUTE(C245,"meg"," МОм"),"k"," кОм"),"R"," Ом"),".",",")</ns0:f>
        <ns0:v>11 кОм</ns0:v>
      </ns0:c>
      <ns0:c r="E245" t="str" s="10">
        <ns0:v>±5%</ns0:v>
      </ns0:c>
      <ns0:c r="F245" t="str" s="10">
        <ns0:v>0,125 Вт</ns0:v>
      </ns0:c>
      <ns0:c r="G245" t="str" s="10">
        <ns0:v>150 В макс.</ns0:v>
      </ns0:c>
      <ns0:c r="H245" t="str" s="12">
        <ns0:v>0805</ns0:v>
      </ns0:c>
      <ns0:c r="I245" t="str" s="10">
        <ns0:v>YAGEO</ns0:v>
      </ns0:c>
      <ns0:c r="J245" t="str" s="10">
        <ns0:v>RC0805JR-0711KL</ns0:v>
      </ns0:c>
      <ns0:c r="K245" t="str" s="11">
        <ns0:f>B245&amp;" "&amp;D245&amp;" "&amp;E245&amp;" "&amp;H245</ns0:f>
        <ns0:v>Резистор 11 кОм ±5% 0805</ns0:v>
      </ns0:c>
      <ns0:c r="L245" t="str" s="13">
        <ns0:v>R</ns0:v>
      </ns0:c>
      <ns0:c r="M245" t="str" s="13">
        <ns0:v>Symbols\MY_LIB_Resistors.SchLib</ns0:v>
      </ns0:c>
      <ns0:c r="N245" t="str" s="13">
        <ns0:v>RESC2012X70N</ns0:v>
      </ns0:c>
      <ns0:c r="O245" t="str" s="13">
        <ns0:v>Footprints\PBL - SMD Packages.PcbLib</ns0:v>
      </ns0:c>
      <ns0:c xmlns:ns0="http://schemas.openxmlformats.org/spreadsheetml/2006/main" r="P24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5" s="10"/>
      <ns0:c r="R245" t="str" s="11">
        <ns0:f>D245</ns0:f>
        <ns0:v>11 кОм</ns0:v>
      </ns0:c>
      <ns0:c r="S245" t="str" s="11">
        <ns0:f>K245</ns0:f>
        <ns0:v>Резистор 11 кОм ±5% 0805</ns0:v>
      </ns0:c>
      <x:c xmlns:x="http://schemas.openxmlformats.org/spreadsheetml/2006/main" r="T245" t="str" s="11">
        <x:v>C:\Users\Nomatin\Documents\Altium\MY_LIB\MY_LIB\Datasheets\YAGEO_RC_L.pdf</x:v>
      </x:c>
      <x:c xmlns:x="http://schemas.openxmlformats.org/spreadsheetml/2006/main" r="U245" t="str" s="11">
        <x:v>Даташит — локальный</x:v>
      </x:c>
      <x:c xmlns:x="http://schemas.openxmlformats.org/spreadsheetml/2006/main" r="V245" t="str" s="11">
        <x:v>C:\Users\Nomatin\Documents\Altium\MY_LIB\MY_LIB\Datasheets\YAGEO_RC_L.pdf</x:v>
      </x:c>
      <x:c xmlns:x="http://schemas.openxmlformats.org/spreadsheetml/2006/main" r="W245" t="str" s="11">
        <x:v>Даташит — производитель</x:v>
      </x:c>
      <x:c xmlns:x="http://schemas.openxmlformats.org/spreadsheetml/2006/main" r="X245" t="str" s="11">
        <x:v>https://yageogroup.com/content/datasheet/asset/file/PYU-RC_GROUP_51_ROHS_L</x:v>
      </x:c>
      <x:c xmlns:x="http://schemas.openxmlformats.org/spreadsheetml/2006/main" r="Y245" t="str" s="11">
        <x:v>C:\Users\Nomatin\Documents\Altium\MY_LIB\MY_LIB\Datasheets\YAGEO_RC_L.pdf</x:v>
      </x:c>
      <ns0:c xmlns:ns0="http://schemas.openxmlformats.org/spreadsheetml/2006/main" r="Z245" s="16" t="inlineStr">
        <ns0:is>
          <ns0:t>MY_LIB_R_TCR</ns0:t>
        </ns0:is>
      </ns0:c>
      <ns0:c xmlns:ns0="http://schemas.openxmlformats.org/spreadsheetml/2006/main" r="AA245" s="16" t="inlineStr">
        <ns0:is>
          <ns0:t>R(T), +100 ppm/C at 25 C; positive datasheet limit</ns0:t>
        </ns0:is>
      </ns0:c>
      <ns0:c xmlns:ns0="http://schemas.openxmlformats.org/spreadsheetml/2006/main" r="AB245" s="16" t="str">
        <ns0:v>General</ns0:v>
      </ns0:c>
      <ns0:c xmlns:ns0="http://schemas.openxmlformats.org/spreadsheetml/2006/main" r="AC245" s="16" t="inlineStr">
        <ns0:is>
          <ns0:t>Spice Subcircuit</ns0:t>
        </ns0:is>
      </ns0:c>
      <ns0:c xmlns:ns0="http://schemas.openxmlformats.org/spreadsheetml/2006/main" r="AD245" s="16" t="inlineStr">
        <ns0:is>
          <ns0:t>@DESIGNATOR %1 %2 @MODEL PARAMS: Rvalue=@VALUE TC1value=100u</ns0:t>
        </ns0:is>
      </ns0:c>
      <ns0:c xmlns:ns0="http://schemas.openxmlformats.org/spreadsheetml/2006/main" r="AE245" s="16" t="inlineStr">
        <ns0:is>
          <ns0:t>X</ns0:t>
        </ns0:is>
      </ns0:c>
      <ns0:c xmlns:ns0="http://schemas.openxmlformats.org/spreadsheetml/2006/main" r="AF245" s="16" t="str">
        <ns0:v>(1:1),(2:2)</ns0:v>
      </ns0:c>
      <ns0:c xmlns:ns0="http://schemas.openxmlformats.org/spreadsheetml/2006/main" r="AG245" s="16" t="inlineStr">
        <ns0:is>
          <ns0:t>Simulation\Resistors\MY_LIB_R_TCR.ckt</ns0:t>
        </ns0:is>
      </ns0:c>
      <ns0:c xmlns:ns0="http://schemas.openxmlformats.org/spreadsheetml/2006/main" r="AH245" s="16" t="inlineStr">
        <ns0:is>
          <ns0:t>±100 ppm/°C</ns0:t>
        </ns0:is>
      </ns0:c>
    </ns0:row>
    <ns0:row r="246" ht="30" customHeight="1">
      <ns0:c r="A246" t="str" s="10">
        <ns0:v>R0252</ns0:v>
      </ns0:c>
      <ns0:c r="B246" t="str" s="10">
        <ns0:v>Резистор</ns0:v>
      </ns0:c>
      <ns0:c r="C246" t="str" s="10">
        <ns0:v>12k</ns0:v>
      </ns0:c>
      <ns0:c r="D246" t="str" s="11">
        <ns0:f>SUBSTITUTE(SUBSTITUTE(SUBSTITUTE(SUBSTITUTE(C246,"meg"," МОм"),"k"," кОм"),"R"," Ом"),".",",")</ns0:f>
        <ns0:v>12 кОм</ns0:v>
      </ns0:c>
      <ns0:c r="E246" t="str" s="10">
        <ns0:v>±5%</ns0:v>
      </ns0:c>
      <ns0:c r="F246" t="str" s="10">
        <ns0:v>0,125 Вт</ns0:v>
      </ns0:c>
      <ns0:c r="G246" t="str" s="10">
        <ns0:v>150 В макс.</ns0:v>
      </ns0:c>
      <ns0:c r="H246" t="str" s="12">
        <ns0:v>0805</ns0:v>
      </ns0:c>
      <ns0:c r="I246" t="str" s="10">
        <ns0:v>YAGEO</ns0:v>
      </ns0:c>
      <ns0:c r="J246" t="str" s="10">
        <ns0:v>RC0805JR-0712KL</ns0:v>
      </ns0:c>
      <ns0:c r="K246" t="str" s="11">
        <ns0:f>B246&amp;" "&amp;D246&amp;" "&amp;E246&amp;" "&amp;H246</ns0:f>
        <ns0:v>Резистор 12 кОм ±5% 0805</ns0:v>
      </ns0:c>
      <ns0:c r="L246" t="str" s="13">
        <ns0:v>R</ns0:v>
      </ns0:c>
      <ns0:c r="M246" t="str" s="13">
        <ns0:v>Symbols\MY_LIB_Resistors.SchLib</ns0:v>
      </ns0:c>
      <ns0:c r="N246" t="str" s="13">
        <ns0:v>RESC2012X70N</ns0:v>
      </ns0:c>
      <ns0:c r="O246" t="str" s="13">
        <ns0:v>Footprints\PBL - SMD Packages.PcbLib</ns0:v>
      </ns0:c>
      <ns0:c xmlns:ns0="http://schemas.openxmlformats.org/spreadsheetml/2006/main" r="P24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6" s="10"/>
      <ns0:c r="R246" t="str" s="11">
        <ns0:f>D246</ns0:f>
        <ns0:v>12 кОм</ns0:v>
      </ns0:c>
      <ns0:c r="S246" t="str" s="11">
        <ns0:f>K246</ns0:f>
        <ns0:v>Резистор 12 кОм ±5% 0805</ns0:v>
      </ns0:c>
      <x:c xmlns:x="http://schemas.openxmlformats.org/spreadsheetml/2006/main" r="T246" t="str" s="11">
        <x:v>C:\Users\Nomatin\Documents\Altium\MY_LIB\MY_LIB\Datasheets\YAGEO_RC_L.pdf</x:v>
      </x:c>
      <x:c xmlns:x="http://schemas.openxmlformats.org/spreadsheetml/2006/main" r="U246" t="str" s="11">
        <x:v>Даташит — локальный</x:v>
      </x:c>
      <x:c xmlns:x="http://schemas.openxmlformats.org/spreadsheetml/2006/main" r="V246" t="str" s="11">
        <x:v>C:\Users\Nomatin\Documents\Altium\MY_LIB\MY_LIB\Datasheets\YAGEO_RC_L.pdf</x:v>
      </x:c>
      <x:c xmlns:x="http://schemas.openxmlformats.org/spreadsheetml/2006/main" r="W246" t="str" s="11">
        <x:v>Даташит — производитель</x:v>
      </x:c>
      <x:c xmlns:x="http://schemas.openxmlformats.org/spreadsheetml/2006/main" r="X246" t="str" s="11">
        <x:v>https://yageogroup.com/content/datasheet/asset/file/PYU-RC_GROUP_51_ROHS_L</x:v>
      </x:c>
      <x:c xmlns:x="http://schemas.openxmlformats.org/spreadsheetml/2006/main" r="Y246" t="str" s="11">
        <x:v>C:\Users\Nomatin\Documents\Altium\MY_LIB\MY_LIB\Datasheets\YAGEO_RC_L.pdf</x:v>
      </x:c>
      <ns0:c xmlns:ns0="http://schemas.openxmlformats.org/spreadsheetml/2006/main" r="Z246" s="16" t="inlineStr">
        <ns0:is>
          <ns0:t>MY_LIB_R_TCR</ns0:t>
        </ns0:is>
      </ns0:c>
      <ns0:c xmlns:ns0="http://schemas.openxmlformats.org/spreadsheetml/2006/main" r="AA246" s="16" t="inlineStr">
        <ns0:is>
          <ns0:t>R(T), +100 ppm/C at 25 C; positive datasheet limit</ns0:t>
        </ns0:is>
      </ns0:c>
      <ns0:c xmlns:ns0="http://schemas.openxmlformats.org/spreadsheetml/2006/main" r="AB246" s="16" t="str">
        <ns0:v>General</ns0:v>
      </ns0:c>
      <ns0:c xmlns:ns0="http://schemas.openxmlformats.org/spreadsheetml/2006/main" r="AC246" s="16" t="inlineStr">
        <ns0:is>
          <ns0:t>Spice Subcircuit</ns0:t>
        </ns0:is>
      </ns0:c>
      <ns0:c xmlns:ns0="http://schemas.openxmlformats.org/spreadsheetml/2006/main" r="AD246" s="16" t="inlineStr">
        <ns0:is>
          <ns0:t>@DESIGNATOR %1 %2 @MODEL PARAMS: Rvalue=@VALUE TC1value=100u</ns0:t>
        </ns0:is>
      </ns0:c>
      <ns0:c xmlns:ns0="http://schemas.openxmlformats.org/spreadsheetml/2006/main" r="AE246" s="16" t="inlineStr">
        <ns0:is>
          <ns0:t>X</ns0:t>
        </ns0:is>
      </ns0:c>
      <ns0:c xmlns:ns0="http://schemas.openxmlformats.org/spreadsheetml/2006/main" r="AF246" s="16" t="str">
        <ns0:v>(1:1),(2:2)</ns0:v>
      </ns0:c>
      <ns0:c xmlns:ns0="http://schemas.openxmlformats.org/spreadsheetml/2006/main" r="AG246" s="16" t="inlineStr">
        <ns0:is>
          <ns0:t>Simulation\Resistors\MY_LIB_R_TCR.ckt</ns0:t>
        </ns0:is>
      </ns0:c>
      <ns0:c xmlns:ns0="http://schemas.openxmlformats.org/spreadsheetml/2006/main" r="AH246" s="16" t="inlineStr">
        <ns0:is>
          <ns0:t>±100 ppm/°C</ns0:t>
        </ns0:is>
      </ns0:c>
    </ns0:row>
    <ns0:row r="247" ht="30" customHeight="1">
      <ns0:c r="A247" t="str" s="10">
        <ns0:v>R0253</ns0:v>
      </ns0:c>
      <ns0:c r="B247" t="str" s="10">
        <ns0:v>Резистор</ns0:v>
      </ns0:c>
      <ns0:c r="C247" t="str" s="10">
        <ns0:v>13k</ns0:v>
      </ns0:c>
      <ns0:c r="D247" t="str" s="11">
        <ns0:f>SUBSTITUTE(SUBSTITUTE(SUBSTITUTE(SUBSTITUTE(C247,"meg"," МОм"),"k"," кОм"),"R"," Ом"),".",",")</ns0:f>
        <ns0:v>13 кОм</ns0:v>
      </ns0:c>
      <ns0:c r="E247" t="str" s="10">
        <ns0:v>±5%</ns0:v>
      </ns0:c>
      <ns0:c r="F247" t="str" s="10">
        <ns0:v>0,125 Вт</ns0:v>
      </ns0:c>
      <ns0:c r="G247" t="str" s="10">
        <ns0:v>150 В макс.</ns0:v>
      </ns0:c>
      <ns0:c r="H247" t="str" s="12">
        <ns0:v>0805</ns0:v>
      </ns0:c>
      <ns0:c r="I247" t="str" s="10">
        <ns0:v>YAGEO</ns0:v>
      </ns0:c>
      <ns0:c r="J247" t="str" s="10">
        <ns0:v>RC0805JR-0713KL</ns0:v>
      </ns0:c>
      <ns0:c r="K247" t="str" s="11">
        <ns0:f>B247&amp;" "&amp;D247&amp;" "&amp;E247&amp;" "&amp;H247</ns0:f>
        <ns0:v>Резистор 13 кОм ±5% 0805</ns0:v>
      </ns0:c>
      <ns0:c r="L247" t="str" s="13">
        <ns0:v>R</ns0:v>
      </ns0:c>
      <ns0:c r="M247" t="str" s="13">
        <ns0:v>Symbols\MY_LIB_Resistors.SchLib</ns0:v>
      </ns0:c>
      <ns0:c r="N247" t="str" s="13">
        <ns0:v>RESC2012X70N</ns0:v>
      </ns0:c>
      <ns0:c r="O247" t="str" s="13">
        <ns0:v>Footprints\PBL - SMD Packages.PcbLib</ns0:v>
      </ns0:c>
      <ns0:c xmlns:ns0="http://schemas.openxmlformats.org/spreadsheetml/2006/main" r="P24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7" s="10"/>
      <ns0:c r="R247" t="str" s="11">
        <ns0:f>D247</ns0:f>
        <ns0:v>13 кОм</ns0:v>
      </ns0:c>
      <ns0:c r="S247" t="str" s="11">
        <ns0:f>K247</ns0:f>
        <ns0:v>Резистор 13 кОм ±5% 0805</ns0:v>
      </ns0:c>
      <x:c xmlns:x="http://schemas.openxmlformats.org/spreadsheetml/2006/main" r="T247" t="str" s="11">
        <x:v>C:\Users\Nomatin\Documents\Altium\MY_LIB\MY_LIB\Datasheets\YAGEO_RC_L.pdf</x:v>
      </x:c>
      <x:c xmlns:x="http://schemas.openxmlformats.org/spreadsheetml/2006/main" r="U247" t="str" s="11">
        <x:v>Даташит — локальный</x:v>
      </x:c>
      <x:c xmlns:x="http://schemas.openxmlformats.org/spreadsheetml/2006/main" r="V247" t="str" s="11">
        <x:v>C:\Users\Nomatin\Documents\Altium\MY_LIB\MY_LIB\Datasheets\YAGEO_RC_L.pdf</x:v>
      </x:c>
      <x:c xmlns:x="http://schemas.openxmlformats.org/spreadsheetml/2006/main" r="W247" t="str" s="11">
        <x:v>Даташит — производитель</x:v>
      </x:c>
      <x:c xmlns:x="http://schemas.openxmlformats.org/spreadsheetml/2006/main" r="X247" t="str" s="11">
        <x:v>https://yageogroup.com/content/datasheet/asset/file/PYU-RC_GROUP_51_ROHS_L</x:v>
      </x:c>
      <x:c xmlns:x="http://schemas.openxmlformats.org/spreadsheetml/2006/main" r="Y247" t="str" s="11">
        <x:v>C:\Users\Nomatin\Documents\Altium\MY_LIB\MY_LIB\Datasheets\YAGEO_RC_L.pdf</x:v>
      </x:c>
      <ns0:c xmlns:ns0="http://schemas.openxmlformats.org/spreadsheetml/2006/main" r="Z247" s="16" t="inlineStr">
        <ns0:is>
          <ns0:t>MY_LIB_R_TCR</ns0:t>
        </ns0:is>
      </ns0:c>
      <ns0:c xmlns:ns0="http://schemas.openxmlformats.org/spreadsheetml/2006/main" r="AA247" s="16" t="inlineStr">
        <ns0:is>
          <ns0:t>R(T), +100 ppm/C at 25 C; positive datasheet limit</ns0:t>
        </ns0:is>
      </ns0:c>
      <ns0:c xmlns:ns0="http://schemas.openxmlformats.org/spreadsheetml/2006/main" r="AB247" s="16" t="str">
        <ns0:v>General</ns0:v>
      </ns0:c>
      <ns0:c xmlns:ns0="http://schemas.openxmlformats.org/spreadsheetml/2006/main" r="AC247" s="16" t="inlineStr">
        <ns0:is>
          <ns0:t>Spice Subcircuit</ns0:t>
        </ns0:is>
      </ns0:c>
      <ns0:c xmlns:ns0="http://schemas.openxmlformats.org/spreadsheetml/2006/main" r="AD247" s="16" t="inlineStr">
        <ns0:is>
          <ns0:t>@DESIGNATOR %1 %2 @MODEL PARAMS: Rvalue=@VALUE TC1value=100u</ns0:t>
        </ns0:is>
      </ns0:c>
      <ns0:c xmlns:ns0="http://schemas.openxmlformats.org/spreadsheetml/2006/main" r="AE247" s="16" t="inlineStr">
        <ns0:is>
          <ns0:t>X</ns0:t>
        </ns0:is>
      </ns0:c>
      <ns0:c xmlns:ns0="http://schemas.openxmlformats.org/spreadsheetml/2006/main" r="AF247" s="16" t="str">
        <ns0:v>(1:1),(2:2)</ns0:v>
      </ns0:c>
      <ns0:c xmlns:ns0="http://schemas.openxmlformats.org/spreadsheetml/2006/main" r="AG247" s="16" t="inlineStr">
        <ns0:is>
          <ns0:t>Simulation\Resistors\MY_LIB_R_TCR.ckt</ns0:t>
        </ns0:is>
      </ns0:c>
      <ns0:c xmlns:ns0="http://schemas.openxmlformats.org/spreadsheetml/2006/main" r="AH247" s="16" t="inlineStr">
        <ns0:is>
          <ns0:t>±100 ppm/°C</ns0:t>
        </ns0:is>
      </ns0:c>
    </ns0:row>
    <ns0:row r="248" ht="30" customHeight="1">
      <ns0:c r="A248" t="str" s="10">
        <ns0:v>R0254</ns0:v>
      </ns0:c>
      <ns0:c r="B248" t="str" s="10">
        <ns0:v>Резистор</ns0:v>
      </ns0:c>
      <ns0:c r="C248" t="str" s="10">
        <ns0:v>15k</ns0:v>
      </ns0:c>
      <ns0:c r="D248" t="str" s="11">
        <ns0:f>SUBSTITUTE(SUBSTITUTE(SUBSTITUTE(SUBSTITUTE(C248,"meg"," МОм"),"k"," кОм"),"R"," Ом"),".",",")</ns0:f>
        <ns0:v>15 кОм</ns0:v>
      </ns0:c>
      <ns0:c r="E248" t="str" s="10">
        <ns0:v>±5%</ns0:v>
      </ns0:c>
      <ns0:c r="F248" t="str" s="10">
        <ns0:v>0,125 Вт</ns0:v>
      </ns0:c>
      <ns0:c r="G248" t="str" s="10">
        <ns0:v>150 В макс.</ns0:v>
      </ns0:c>
      <ns0:c r="H248" t="str" s="12">
        <ns0:v>0805</ns0:v>
      </ns0:c>
      <ns0:c r="I248" t="str" s="10">
        <ns0:v>YAGEO</ns0:v>
      </ns0:c>
      <ns0:c r="J248" t="str" s="10">
        <ns0:v>RC0805JR-0715KL</ns0:v>
      </ns0:c>
      <ns0:c r="K248" t="str" s="11">
        <ns0:f>B248&amp;" "&amp;D248&amp;" "&amp;E248&amp;" "&amp;H248</ns0:f>
        <ns0:v>Резистор 15 кОм ±5% 0805</ns0:v>
      </ns0:c>
      <ns0:c r="L248" t="str" s="13">
        <ns0:v>R</ns0:v>
      </ns0:c>
      <ns0:c r="M248" t="str" s="13">
        <ns0:v>Symbols\MY_LIB_Resistors.SchLib</ns0:v>
      </ns0:c>
      <ns0:c r="N248" t="str" s="13">
        <ns0:v>RESC2012X70N</ns0:v>
      </ns0:c>
      <ns0:c r="O248" t="str" s="13">
        <ns0:v>Footprints\PBL - SMD Packages.PcbLib</ns0:v>
      </ns0:c>
      <ns0:c xmlns:ns0="http://schemas.openxmlformats.org/spreadsheetml/2006/main" r="P24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8" s="10"/>
      <ns0:c r="R248" t="str" s="11">
        <ns0:f>D248</ns0:f>
        <ns0:v>15 кОм</ns0:v>
      </ns0:c>
      <ns0:c r="S248" t="str" s="11">
        <ns0:f>K248</ns0:f>
        <ns0:v>Резистор 15 кОм ±5% 0805</ns0:v>
      </ns0:c>
      <x:c xmlns:x="http://schemas.openxmlformats.org/spreadsheetml/2006/main" r="T248" t="str" s="11">
        <x:v>C:\Users\Nomatin\Documents\Altium\MY_LIB\MY_LIB\Datasheets\YAGEO_RC_L.pdf</x:v>
      </x:c>
      <x:c xmlns:x="http://schemas.openxmlformats.org/spreadsheetml/2006/main" r="U248" t="str" s="11">
        <x:v>Даташит — локальный</x:v>
      </x:c>
      <x:c xmlns:x="http://schemas.openxmlformats.org/spreadsheetml/2006/main" r="V248" t="str" s="11">
        <x:v>C:\Users\Nomatin\Documents\Altium\MY_LIB\MY_LIB\Datasheets\YAGEO_RC_L.pdf</x:v>
      </x:c>
      <x:c xmlns:x="http://schemas.openxmlformats.org/spreadsheetml/2006/main" r="W248" t="str" s="11">
        <x:v>Даташит — производитель</x:v>
      </x:c>
      <x:c xmlns:x="http://schemas.openxmlformats.org/spreadsheetml/2006/main" r="X248" t="str" s="11">
        <x:v>https://yageogroup.com/content/datasheet/asset/file/PYU-RC_GROUP_51_ROHS_L</x:v>
      </x:c>
      <x:c xmlns:x="http://schemas.openxmlformats.org/spreadsheetml/2006/main" r="Y248" t="str" s="11">
        <x:v>C:\Users\Nomatin\Documents\Altium\MY_LIB\MY_LIB\Datasheets\YAGEO_RC_L.pdf</x:v>
      </x:c>
      <ns0:c xmlns:ns0="http://schemas.openxmlformats.org/spreadsheetml/2006/main" r="Z248" s="16" t="inlineStr">
        <ns0:is>
          <ns0:t>MY_LIB_R_TCR</ns0:t>
        </ns0:is>
      </ns0:c>
      <ns0:c xmlns:ns0="http://schemas.openxmlformats.org/spreadsheetml/2006/main" r="AA248" s="16" t="inlineStr">
        <ns0:is>
          <ns0:t>R(T), +100 ppm/C at 25 C; positive datasheet limit</ns0:t>
        </ns0:is>
      </ns0:c>
      <ns0:c xmlns:ns0="http://schemas.openxmlformats.org/spreadsheetml/2006/main" r="AB248" s="16" t="str">
        <ns0:v>General</ns0:v>
      </ns0:c>
      <ns0:c xmlns:ns0="http://schemas.openxmlformats.org/spreadsheetml/2006/main" r="AC248" s="16" t="inlineStr">
        <ns0:is>
          <ns0:t>Spice Subcircuit</ns0:t>
        </ns0:is>
      </ns0:c>
      <ns0:c xmlns:ns0="http://schemas.openxmlformats.org/spreadsheetml/2006/main" r="AD248" s="16" t="inlineStr">
        <ns0:is>
          <ns0:t>@DESIGNATOR %1 %2 @MODEL PARAMS: Rvalue=@VALUE TC1value=100u</ns0:t>
        </ns0:is>
      </ns0:c>
      <ns0:c xmlns:ns0="http://schemas.openxmlformats.org/spreadsheetml/2006/main" r="AE248" s="16" t="inlineStr">
        <ns0:is>
          <ns0:t>X</ns0:t>
        </ns0:is>
      </ns0:c>
      <ns0:c xmlns:ns0="http://schemas.openxmlformats.org/spreadsheetml/2006/main" r="AF248" s="16" t="str">
        <ns0:v>(1:1),(2:2)</ns0:v>
      </ns0:c>
      <ns0:c xmlns:ns0="http://schemas.openxmlformats.org/spreadsheetml/2006/main" r="AG248" s="16" t="inlineStr">
        <ns0:is>
          <ns0:t>Simulation\Resistors\MY_LIB_R_TCR.ckt</ns0:t>
        </ns0:is>
      </ns0:c>
      <ns0:c xmlns:ns0="http://schemas.openxmlformats.org/spreadsheetml/2006/main" r="AH248" s="16" t="inlineStr">
        <ns0:is>
          <ns0:t>±100 ppm/°C</ns0:t>
        </ns0:is>
      </ns0:c>
    </ns0:row>
    <ns0:row r="249" ht="30" customHeight="1">
      <ns0:c r="A249" t="str" s="10">
        <ns0:v>R0255</ns0:v>
      </ns0:c>
      <ns0:c r="B249" t="str" s="10">
        <ns0:v>Резистор</ns0:v>
      </ns0:c>
      <ns0:c r="C249" t="str" s="10">
        <ns0:v>16k</ns0:v>
      </ns0:c>
      <ns0:c r="D249" t="str" s="11">
        <ns0:f>SUBSTITUTE(SUBSTITUTE(SUBSTITUTE(SUBSTITUTE(C249,"meg"," МОм"),"k"," кОм"),"R"," Ом"),".",",")</ns0:f>
        <ns0:v>16 кОм</ns0:v>
      </ns0:c>
      <ns0:c r="E249" t="str" s="10">
        <ns0:v>±5%</ns0:v>
      </ns0:c>
      <ns0:c r="F249" t="str" s="10">
        <ns0:v>0,125 Вт</ns0:v>
      </ns0:c>
      <ns0:c r="G249" t="str" s="10">
        <ns0:v>150 В макс.</ns0:v>
      </ns0:c>
      <ns0:c r="H249" t="str" s="12">
        <ns0:v>0805</ns0:v>
      </ns0:c>
      <ns0:c r="I249" t="str" s="10">
        <ns0:v>YAGEO</ns0:v>
      </ns0:c>
      <ns0:c r="J249" t="str" s="10">
        <ns0:v>RC0805JR-0716KL</ns0:v>
      </ns0:c>
      <ns0:c r="K249" t="str" s="11">
        <ns0:f>B249&amp;" "&amp;D249&amp;" "&amp;E249&amp;" "&amp;H249</ns0:f>
        <ns0:v>Резистор 16 кОм ±5% 0805</ns0:v>
      </ns0:c>
      <ns0:c r="L249" t="str" s="13">
        <ns0:v>R</ns0:v>
      </ns0:c>
      <ns0:c r="M249" t="str" s="13">
        <ns0:v>Symbols\MY_LIB_Resistors.SchLib</ns0:v>
      </ns0:c>
      <ns0:c r="N249" t="str" s="13">
        <ns0:v>RESC2012X70N</ns0:v>
      </ns0:c>
      <ns0:c r="O249" t="str" s="13">
        <ns0:v>Footprints\PBL - SMD Packages.PcbLib</ns0:v>
      </ns0:c>
      <ns0:c xmlns:ns0="http://schemas.openxmlformats.org/spreadsheetml/2006/main" r="P24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49" s="10"/>
      <ns0:c r="R249" t="str" s="11">
        <ns0:f>D249</ns0:f>
        <ns0:v>16 кОм</ns0:v>
      </ns0:c>
      <ns0:c r="S249" t="str" s="11">
        <ns0:f>K249</ns0:f>
        <ns0:v>Резистор 16 кОм ±5% 0805</ns0:v>
      </ns0:c>
      <x:c xmlns:x="http://schemas.openxmlformats.org/spreadsheetml/2006/main" r="T249" t="str" s="11">
        <x:v>C:\Users\Nomatin\Documents\Altium\MY_LIB\MY_LIB\Datasheets\YAGEO_RC_L.pdf</x:v>
      </x:c>
      <x:c xmlns:x="http://schemas.openxmlformats.org/spreadsheetml/2006/main" r="U249" t="str" s="11">
        <x:v>Даташит — локальный</x:v>
      </x:c>
      <x:c xmlns:x="http://schemas.openxmlformats.org/spreadsheetml/2006/main" r="V249" t="str" s="11">
        <x:v>C:\Users\Nomatin\Documents\Altium\MY_LIB\MY_LIB\Datasheets\YAGEO_RC_L.pdf</x:v>
      </x:c>
      <x:c xmlns:x="http://schemas.openxmlformats.org/spreadsheetml/2006/main" r="W249" t="str" s="11">
        <x:v>Даташит — производитель</x:v>
      </x:c>
      <x:c xmlns:x="http://schemas.openxmlformats.org/spreadsheetml/2006/main" r="X249" t="str" s="11">
        <x:v>https://yageogroup.com/content/datasheet/asset/file/PYU-RC_GROUP_51_ROHS_L</x:v>
      </x:c>
      <x:c xmlns:x="http://schemas.openxmlformats.org/spreadsheetml/2006/main" r="Y249" t="str" s="11">
        <x:v>C:\Users\Nomatin\Documents\Altium\MY_LIB\MY_LIB\Datasheets\YAGEO_RC_L.pdf</x:v>
      </x:c>
      <ns0:c xmlns:ns0="http://schemas.openxmlformats.org/spreadsheetml/2006/main" r="Z249" s="16" t="inlineStr">
        <ns0:is>
          <ns0:t>MY_LIB_R_TCR</ns0:t>
        </ns0:is>
      </ns0:c>
      <ns0:c xmlns:ns0="http://schemas.openxmlformats.org/spreadsheetml/2006/main" r="AA249" s="16" t="inlineStr">
        <ns0:is>
          <ns0:t>R(T), +100 ppm/C at 25 C; positive datasheet limit</ns0:t>
        </ns0:is>
      </ns0:c>
      <ns0:c xmlns:ns0="http://schemas.openxmlformats.org/spreadsheetml/2006/main" r="AB249" s="16" t="str">
        <ns0:v>General</ns0:v>
      </ns0:c>
      <ns0:c xmlns:ns0="http://schemas.openxmlformats.org/spreadsheetml/2006/main" r="AC249" s="16" t="inlineStr">
        <ns0:is>
          <ns0:t>Spice Subcircuit</ns0:t>
        </ns0:is>
      </ns0:c>
      <ns0:c xmlns:ns0="http://schemas.openxmlformats.org/spreadsheetml/2006/main" r="AD249" s="16" t="inlineStr">
        <ns0:is>
          <ns0:t>@DESIGNATOR %1 %2 @MODEL PARAMS: Rvalue=@VALUE TC1value=100u</ns0:t>
        </ns0:is>
      </ns0:c>
      <ns0:c xmlns:ns0="http://schemas.openxmlformats.org/spreadsheetml/2006/main" r="AE249" s="16" t="inlineStr">
        <ns0:is>
          <ns0:t>X</ns0:t>
        </ns0:is>
      </ns0:c>
      <ns0:c xmlns:ns0="http://schemas.openxmlformats.org/spreadsheetml/2006/main" r="AF249" s="16" t="str">
        <ns0:v>(1:1),(2:2)</ns0:v>
      </ns0:c>
      <ns0:c xmlns:ns0="http://schemas.openxmlformats.org/spreadsheetml/2006/main" r="AG249" s="16" t="inlineStr">
        <ns0:is>
          <ns0:t>Simulation\Resistors\MY_LIB_R_TCR.ckt</ns0:t>
        </ns0:is>
      </ns0:c>
      <ns0:c xmlns:ns0="http://schemas.openxmlformats.org/spreadsheetml/2006/main" r="AH249" s="16" t="inlineStr">
        <ns0:is>
          <ns0:t>±100 ppm/°C</ns0:t>
        </ns0:is>
      </ns0:c>
    </ns0:row>
    <ns0:row r="250" ht="30" customHeight="1">
      <ns0:c r="A250" t="str" s="10">
        <ns0:v>R0256</ns0:v>
      </ns0:c>
      <ns0:c r="B250" t="str" s="10">
        <ns0:v>Резистор</ns0:v>
      </ns0:c>
      <ns0:c r="C250" t="str" s="10">
        <ns0:v>18k</ns0:v>
      </ns0:c>
      <ns0:c r="D250" t="str" s="11">
        <ns0:f>SUBSTITUTE(SUBSTITUTE(SUBSTITUTE(SUBSTITUTE(C250,"meg"," МОм"),"k"," кОм"),"R"," Ом"),".",",")</ns0:f>
        <ns0:v>18 кОм</ns0:v>
      </ns0:c>
      <ns0:c r="E250" t="str" s="10">
        <ns0:v>±5%</ns0:v>
      </ns0:c>
      <ns0:c r="F250" t="str" s="10">
        <ns0:v>0,125 Вт</ns0:v>
      </ns0:c>
      <ns0:c r="G250" t="str" s="10">
        <ns0:v>150 В макс.</ns0:v>
      </ns0:c>
      <ns0:c r="H250" t="str" s="12">
        <ns0:v>0805</ns0:v>
      </ns0:c>
      <ns0:c r="I250" t="str" s="10">
        <ns0:v>YAGEO</ns0:v>
      </ns0:c>
      <ns0:c r="J250" t="str" s="10">
        <ns0:v>RC0805JR-0718KL</ns0:v>
      </ns0:c>
      <ns0:c r="K250" t="str" s="11">
        <ns0:f>B250&amp;" "&amp;D250&amp;" "&amp;E250&amp;" "&amp;H250</ns0:f>
        <ns0:v>Резистор 18 кОм ±5% 0805</ns0:v>
      </ns0:c>
      <ns0:c r="L250" t="str" s="13">
        <ns0:v>R</ns0:v>
      </ns0:c>
      <ns0:c r="M250" t="str" s="13">
        <ns0:v>Symbols\MY_LIB_Resistors.SchLib</ns0:v>
      </ns0:c>
      <ns0:c r="N250" t="str" s="13">
        <ns0:v>RESC2012X70N</ns0:v>
      </ns0:c>
      <ns0:c r="O250" t="str" s="13">
        <ns0:v>Footprints\PBL - SMD Packages.PcbLib</ns0:v>
      </ns0:c>
      <ns0:c xmlns:ns0="http://schemas.openxmlformats.org/spreadsheetml/2006/main" r="P25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0" s="10"/>
      <ns0:c r="R250" t="str" s="11">
        <ns0:f>D250</ns0:f>
        <ns0:v>18 кОм</ns0:v>
      </ns0:c>
      <ns0:c r="S250" t="str" s="11">
        <ns0:f>K250</ns0:f>
        <ns0:v>Резистор 18 кОм ±5% 0805</ns0:v>
      </ns0:c>
      <x:c xmlns:x="http://schemas.openxmlformats.org/spreadsheetml/2006/main" r="T250" t="str" s="11">
        <x:v>C:\Users\Nomatin\Documents\Altium\MY_LIB\MY_LIB\Datasheets\YAGEO_RC_L.pdf</x:v>
      </x:c>
      <x:c xmlns:x="http://schemas.openxmlformats.org/spreadsheetml/2006/main" r="U250" t="str" s="11">
        <x:v>Даташит — локальный</x:v>
      </x:c>
      <x:c xmlns:x="http://schemas.openxmlformats.org/spreadsheetml/2006/main" r="V250" t="str" s="11">
        <x:v>C:\Users\Nomatin\Documents\Altium\MY_LIB\MY_LIB\Datasheets\YAGEO_RC_L.pdf</x:v>
      </x:c>
      <x:c xmlns:x="http://schemas.openxmlformats.org/spreadsheetml/2006/main" r="W250" t="str" s="11">
        <x:v>Даташит — производитель</x:v>
      </x:c>
      <x:c xmlns:x="http://schemas.openxmlformats.org/spreadsheetml/2006/main" r="X250" t="str" s="11">
        <x:v>https://yageogroup.com/content/datasheet/asset/file/PYU-RC_GROUP_51_ROHS_L</x:v>
      </x:c>
      <x:c xmlns:x="http://schemas.openxmlformats.org/spreadsheetml/2006/main" r="Y250" t="str" s="11">
        <x:v>C:\Users\Nomatin\Documents\Altium\MY_LIB\MY_LIB\Datasheets\YAGEO_RC_L.pdf</x:v>
      </x:c>
      <ns0:c xmlns:ns0="http://schemas.openxmlformats.org/spreadsheetml/2006/main" r="Z250" s="16" t="inlineStr">
        <ns0:is>
          <ns0:t>MY_LIB_R_TCR</ns0:t>
        </ns0:is>
      </ns0:c>
      <ns0:c xmlns:ns0="http://schemas.openxmlformats.org/spreadsheetml/2006/main" r="AA250" s="16" t="inlineStr">
        <ns0:is>
          <ns0:t>R(T), +100 ppm/C at 25 C; positive datasheet limit</ns0:t>
        </ns0:is>
      </ns0:c>
      <ns0:c xmlns:ns0="http://schemas.openxmlformats.org/spreadsheetml/2006/main" r="AB250" s="16" t="str">
        <ns0:v>General</ns0:v>
      </ns0:c>
      <ns0:c xmlns:ns0="http://schemas.openxmlformats.org/spreadsheetml/2006/main" r="AC250" s="16" t="inlineStr">
        <ns0:is>
          <ns0:t>Spice Subcircuit</ns0:t>
        </ns0:is>
      </ns0:c>
      <ns0:c xmlns:ns0="http://schemas.openxmlformats.org/spreadsheetml/2006/main" r="AD250" s="16" t="inlineStr">
        <ns0:is>
          <ns0:t>@DESIGNATOR %1 %2 @MODEL PARAMS: Rvalue=@VALUE TC1value=100u</ns0:t>
        </ns0:is>
      </ns0:c>
      <ns0:c xmlns:ns0="http://schemas.openxmlformats.org/spreadsheetml/2006/main" r="AE250" s="16" t="inlineStr">
        <ns0:is>
          <ns0:t>X</ns0:t>
        </ns0:is>
      </ns0:c>
      <ns0:c xmlns:ns0="http://schemas.openxmlformats.org/spreadsheetml/2006/main" r="AF250" s="16" t="str">
        <ns0:v>(1:1),(2:2)</ns0:v>
      </ns0:c>
      <ns0:c xmlns:ns0="http://schemas.openxmlformats.org/spreadsheetml/2006/main" r="AG250" s="16" t="inlineStr">
        <ns0:is>
          <ns0:t>Simulation\Resistors\MY_LIB_R_TCR.ckt</ns0:t>
        </ns0:is>
      </ns0:c>
      <ns0:c xmlns:ns0="http://schemas.openxmlformats.org/spreadsheetml/2006/main" r="AH250" s="16" t="inlineStr">
        <ns0:is>
          <ns0:t>±100 ppm/°C</ns0:t>
        </ns0:is>
      </ns0:c>
    </ns0:row>
    <ns0:row r="251" ht="30" customHeight="1">
      <ns0:c r="A251" t="str" s="10">
        <ns0:v>R0257</ns0:v>
      </ns0:c>
      <ns0:c r="B251" t="str" s="10">
        <ns0:v>Резистор</ns0:v>
      </ns0:c>
      <ns0:c r="C251" t="str" s="10">
        <ns0:v>20k</ns0:v>
      </ns0:c>
      <ns0:c r="D251" t="str" s="11">
        <ns0:f>SUBSTITUTE(SUBSTITUTE(SUBSTITUTE(SUBSTITUTE(C251,"meg"," МОм"),"k"," кОм"),"R"," Ом"),".",",")</ns0:f>
        <ns0:v>20 кОм</ns0:v>
      </ns0:c>
      <ns0:c r="E251" t="str" s="10">
        <ns0:v>±5%</ns0:v>
      </ns0:c>
      <ns0:c r="F251" t="str" s="10">
        <ns0:v>0,125 Вт</ns0:v>
      </ns0:c>
      <ns0:c r="G251" t="str" s="10">
        <ns0:v>150 В макс.</ns0:v>
      </ns0:c>
      <ns0:c r="H251" t="str" s="12">
        <ns0:v>0805</ns0:v>
      </ns0:c>
      <ns0:c r="I251" t="str" s="10">
        <ns0:v>YAGEO</ns0:v>
      </ns0:c>
      <ns0:c r="J251" t="str" s="10">
        <ns0:v>RC0805JR-0720KL</ns0:v>
      </ns0:c>
      <ns0:c r="K251" t="str" s="11">
        <ns0:f>B251&amp;" "&amp;D251&amp;" "&amp;E251&amp;" "&amp;H251</ns0:f>
        <ns0:v>Резистор 20 кОм ±5% 0805</ns0:v>
      </ns0:c>
      <ns0:c r="L251" t="str" s="13">
        <ns0:v>R</ns0:v>
      </ns0:c>
      <ns0:c r="M251" t="str" s="13">
        <ns0:v>Symbols\MY_LIB_Resistors.SchLib</ns0:v>
      </ns0:c>
      <ns0:c r="N251" t="str" s="13">
        <ns0:v>RESC2012X70N</ns0:v>
      </ns0:c>
      <ns0:c r="O251" t="str" s="13">
        <ns0:v>Footprints\PBL - SMD Packages.PcbLib</ns0:v>
      </ns0:c>
      <ns0:c xmlns:ns0="http://schemas.openxmlformats.org/spreadsheetml/2006/main" r="P25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1" s="10"/>
      <ns0:c r="R251" t="str" s="11">
        <ns0:f>D251</ns0:f>
        <ns0:v>20 кОм</ns0:v>
      </ns0:c>
      <ns0:c r="S251" t="str" s="11">
        <ns0:f>K251</ns0:f>
        <ns0:v>Резистор 20 кОм ±5% 0805</ns0:v>
      </ns0:c>
      <x:c xmlns:x="http://schemas.openxmlformats.org/spreadsheetml/2006/main" r="T251" t="str" s="11">
        <x:v>C:\Users\Nomatin\Documents\Altium\MY_LIB\MY_LIB\Datasheets\YAGEO_RC_L.pdf</x:v>
      </x:c>
      <x:c xmlns:x="http://schemas.openxmlformats.org/spreadsheetml/2006/main" r="U251" t="str" s="11">
        <x:v>Даташит — локальный</x:v>
      </x:c>
      <x:c xmlns:x="http://schemas.openxmlformats.org/spreadsheetml/2006/main" r="V251" t="str" s="11">
        <x:v>C:\Users\Nomatin\Documents\Altium\MY_LIB\MY_LIB\Datasheets\YAGEO_RC_L.pdf</x:v>
      </x:c>
      <x:c xmlns:x="http://schemas.openxmlformats.org/spreadsheetml/2006/main" r="W251" t="str" s="11">
        <x:v>Даташит — производитель</x:v>
      </x:c>
      <x:c xmlns:x="http://schemas.openxmlformats.org/spreadsheetml/2006/main" r="X251" t="str" s="11">
        <x:v>https://yageogroup.com/content/datasheet/asset/file/PYU-RC_GROUP_51_ROHS_L</x:v>
      </x:c>
      <x:c xmlns:x="http://schemas.openxmlformats.org/spreadsheetml/2006/main" r="Y251" t="str" s="11">
        <x:v>C:\Users\Nomatin\Documents\Altium\MY_LIB\MY_LIB\Datasheets\YAGEO_RC_L.pdf</x:v>
      </x:c>
      <ns0:c xmlns:ns0="http://schemas.openxmlformats.org/spreadsheetml/2006/main" r="Z251" s="16" t="inlineStr">
        <ns0:is>
          <ns0:t>MY_LIB_R_TCR</ns0:t>
        </ns0:is>
      </ns0:c>
      <ns0:c xmlns:ns0="http://schemas.openxmlformats.org/spreadsheetml/2006/main" r="AA251" s="16" t="inlineStr">
        <ns0:is>
          <ns0:t>R(T), +100 ppm/C at 25 C; positive datasheet limit</ns0:t>
        </ns0:is>
      </ns0:c>
      <ns0:c xmlns:ns0="http://schemas.openxmlformats.org/spreadsheetml/2006/main" r="AB251" s="16" t="str">
        <ns0:v>General</ns0:v>
      </ns0:c>
      <ns0:c xmlns:ns0="http://schemas.openxmlformats.org/spreadsheetml/2006/main" r="AC251" s="16" t="inlineStr">
        <ns0:is>
          <ns0:t>Spice Subcircuit</ns0:t>
        </ns0:is>
      </ns0:c>
      <ns0:c xmlns:ns0="http://schemas.openxmlformats.org/spreadsheetml/2006/main" r="AD251" s="16" t="inlineStr">
        <ns0:is>
          <ns0:t>@DESIGNATOR %1 %2 @MODEL PARAMS: Rvalue=@VALUE TC1value=100u</ns0:t>
        </ns0:is>
      </ns0:c>
      <ns0:c xmlns:ns0="http://schemas.openxmlformats.org/spreadsheetml/2006/main" r="AE251" s="16" t="inlineStr">
        <ns0:is>
          <ns0:t>X</ns0:t>
        </ns0:is>
      </ns0:c>
      <ns0:c xmlns:ns0="http://schemas.openxmlformats.org/spreadsheetml/2006/main" r="AF251" s="16" t="str">
        <ns0:v>(1:1),(2:2)</ns0:v>
      </ns0:c>
      <ns0:c xmlns:ns0="http://schemas.openxmlformats.org/spreadsheetml/2006/main" r="AG251" s="16" t="inlineStr">
        <ns0:is>
          <ns0:t>Simulation\Resistors\MY_LIB_R_TCR.ckt</ns0:t>
        </ns0:is>
      </ns0:c>
      <ns0:c xmlns:ns0="http://schemas.openxmlformats.org/spreadsheetml/2006/main" r="AH251" s="16" t="inlineStr">
        <ns0:is>
          <ns0:t>±100 ppm/°C</ns0:t>
        </ns0:is>
      </ns0:c>
    </ns0:row>
    <ns0:row r="252" ht="30" customHeight="1">
      <ns0:c r="A252" t="str" s="10">
        <ns0:v>R0258</ns0:v>
      </ns0:c>
      <ns0:c r="B252" t="str" s="10">
        <ns0:v>Резистор</ns0:v>
      </ns0:c>
      <ns0:c r="C252" t="str" s="10">
        <ns0:v>22k</ns0:v>
      </ns0:c>
      <ns0:c r="D252" t="str" s="11">
        <ns0:f>SUBSTITUTE(SUBSTITUTE(SUBSTITUTE(SUBSTITUTE(C252,"meg"," МОм"),"k"," кОм"),"R"," Ом"),".",",")</ns0:f>
        <ns0:v>22 кОм</ns0:v>
      </ns0:c>
      <ns0:c r="E252" t="str" s="10">
        <ns0:v>±5%</ns0:v>
      </ns0:c>
      <ns0:c r="F252" t="str" s="10">
        <ns0:v>0,125 Вт</ns0:v>
      </ns0:c>
      <ns0:c r="G252" t="str" s="10">
        <ns0:v>150 В макс.</ns0:v>
      </ns0:c>
      <ns0:c r="H252" t="str" s="12">
        <ns0:v>0805</ns0:v>
      </ns0:c>
      <ns0:c r="I252" t="str" s="10">
        <ns0:v>YAGEO</ns0:v>
      </ns0:c>
      <ns0:c r="J252" t="str" s="10">
        <ns0:v>RC0805JR-0722KL</ns0:v>
      </ns0:c>
      <ns0:c r="K252" t="str" s="11">
        <ns0:f>B252&amp;" "&amp;D252&amp;" "&amp;E252&amp;" "&amp;H252</ns0:f>
        <ns0:v>Резистор 22 кОм ±5% 0805</ns0:v>
      </ns0:c>
      <ns0:c r="L252" t="str" s="13">
        <ns0:v>R</ns0:v>
      </ns0:c>
      <ns0:c r="M252" t="str" s="13">
        <ns0:v>Symbols\MY_LIB_Resistors.SchLib</ns0:v>
      </ns0:c>
      <ns0:c r="N252" t="str" s="13">
        <ns0:v>RESC2012X70N</ns0:v>
      </ns0:c>
      <ns0:c r="O252" t="str" s="13">
        <ns0:v>Footprints\PBL - SMD Packages.PcbLib</ns0:v>
      </ns0:c>
      <ns0:c xmlns:ns0="http://schemas.openxmlformats.org/spreadsheetml/2006/main" r="P25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2" s="10"/>
      <ns0:c r="R252" t="str" s="11">
        <ns0:f>D252</ns0:f>
        <ns0:v>22 кОм</ns0:v>
      </ns0:c>
      <ns0:c r="S252" t="str" s="11">
        <ns0:f>K252</ns0:f>
        <ns0:v>Резистор 22 кОм ±5% 0805</ns0:v>
      </ns0:c>
      <x:c xmlns:x="http://schemas.openxmlformats.org/spreadsheetml/2006/main" r="T252" t="str" s="11">
        <x:v>C:\Users\Nomatin\Documents\Altium\MY_LIB\MY_LIB\Datasheets\YAGEO_RC_L.pdf</x:v>
      </x:c>
      <x:c xmlns:x="http://schemas.openxmlformats.org/spreadsheetml/2006/main" r="U252" t="str" s="11">
        <x:v>Даташит — локальный</x:v>
      </x:c>
      <x:c xmlns:x="http://schemas.openxmlformats.org/spreadsheetml/2006/main" r="V252" t="str" s="11">
        <x:v>C:\Users\Nomatin\Documents\Altium\MY_LIB\MY_LIB\Datasheets\YAGEO_RC_L.pdf</x:v>
      </x:c>
      <x:c xmlns:x="http://schemas.openxmlformats.org/spreadsheetml/2006/main" r="W252" t="str" s="11">
        <x:v>Даташит — производитель</x:v>
      </x:c>
      <x:c xmlns:x="http://schemas.openxmlformats.org/spreadsheetml/2006/main" r="X252" t="str" s="11">
        <x:v>https://yageogroup.com/content/datasheet/asset/file/PYU-RC_GROUP_51_ROHS_L</x:v>
      </x:c>
      <x:c xmlns:x="http://schemas.openxmlformats.org/spreadsheetml/2006/main" r="Y252" t="str" s="11">
        <x:v>C:\Users\Nomatin\Documents\Altium\MY_LIB\MY_LIB\Datasheets\YAGEO_RC_L.pdf</x:v>
      </x:c>
      <ns0:c xmlns:ns0="http://schemas.openxmlformats.org/spreadsheetml/2006/main" r="Z252" s="16" t="inlineStr">
        <ns0:is>
          <ns0:t>MY_LIB_R_TCR</ns0:t>
        </ns0:is>
      </ns0:c>
      <ns0:c xmlns:ns0="http://schemas.openxmlformats.org/spreadsheetml/2006/main" r="AA252" s="16" t="inlineStr">
        <ns0:is>
          <ns0:t>R(T), +100 ppm/C at 25 C; positive datasheet limit</ns0:t>
        </ns0:is>
      </ns0:c>
      <ns0:c xmlns:ns0="http://schemas.openxmlformats.org/spreadsheetml/2006/main" r="AB252" s="16" t="str">
        <ns0:v>General</ns0:v>
      </ns0:c>
      <ns0:c xmlns:ns0="http://schemas.openxmlformats.org/spreadsheetml/2006/main" r="AC252" s="16" t="inlineStr">
        <ns0:is>
          <ns0:t>Spice Subcircuit</ns0:t>
        </ns0:is>
      </ns0:c>
      <ns0:c xmlns:ns0="http://schemas.openxmlformats.org/spreadsheetml/2006/main" r="AD252" s="16" t="inlineStr">
        <ns0:is>
          <ns0:t>@DESIGNATOR %1 %2 @MODEL PARAMS: Rvalue=@VALUE TC1value=100u</ns0:t>
        </ns0:is>
      </ns0:c>
      <ns0:c xmlns:ns0="http://schemas.openxmlformats.org/spreadsheetml/2006/main" r="AE252" s="16" t="inlineStr">
        <ns0:is>
          <ns0:t>X</ns0:t>
        </ns0:is>
      </ns0:c>
      <ns0:c xmlns:ns0="http://schemas.openxmlformats.org/spreadsheetml/2006/main" r="AF252" s="16" t="str">
        <ns0:v>(1:1),(2:2)</ns0:v>
      </ns0:c>
      <ns0:c xmlns:ns0="http://schemas.openxmlformats.org/spreadsheetml/2006/main" r="AG252" s="16" t="inlineStr">
        <ns0:is>
          <ns0:t>Simulation\Resistors\MY_LIB_R_TCR.ckt</ns0:t>
        </ns0:is>
      </ns0:c>
      <ns0:c xmlns:ns0="http://schemas.openxmlformats.org/spreadsheetml/2006/main" r="AH252" s="16" t="inlineStr">
        <ns0:is>
          <ns0:t>±100 ppm/°C</ns0:t>
        </ns0:is>
      </ns0:c>
    </ns0:row>
    <ns0:row r="253" ht="30" customHeight="1">
      <ns0:c r="A253" t="str" s="10">
        <ns0:v>R0259</ns0:v>
      </ns0:c>
      <ns0:c r="B253" t="str" s="10">
        <ns0:v>Резистор</ns0:v>
      </ns0:c>
      <ns0:c r="C253" t="str" s="10">
        <ns0:v>24k</ns0:v>
      </ns0:c>
      <ns0:c r="D253" t="str" s="11">
        <ns0:f>SUBSTITUTE(SUBSTITUTE(SUBSTITUTE(SUBSTITUTE(C253,"meg"," МОм"),"k"," кОм"),"R"," Ом"),".",",")</ns0:f>
        <ns0:v>24 кОм</ns0:v>
      </ns0:c>
      <ns0:c r="E253" t="str" s="10">
        <ns0:v>±5%</ns0:v>
      </ns0:c>
      <ns0:c r="F253" t="str" s="10">
        <ns0:v>0,125 Вт</ns0:v>
      </ns0:c>
      <ns0:c r="G253" t="str" s="10">
        <ns0:v>150 В макс.</ns0:v>
      </ns0:c>
      <ns0:c r="H253" t="str" s="12">
        <ns0:v>0805</ns0:v>
      </ns0:c>
      <ns0:c r="I253" t="str" s="10">
        <ns0:v>YAGEO</ns0:v>
      </ns0:c>
      <ns0:c r="J253" t="str" s="10">
        <ns0:v>RC0805JR-0724KL</ns0:v>
      </ns0:c>
      <ns0:c r="K253" t="str" s="11">
        <ns0:f>B253&amp;" "&amp;D253&amp;" "&amp;E253&amp;" "&amp;H253</ns0:f>
        <ns0:v>Резистор 24 кОм ±5% 0805</ns0:v>
      </ns0:c>
      <ns0:c r="L253" t="str" s="13">
        <ns0:v>R</ns0:v>
      </ns0:c>
      <ns0:c r="M253" t="str" s="13">
        <ns0:v>Symbols\MY_LIB_Resistors.SchLib</ns0:v>
      </ns0:c>
      <ns0:c r="N253" t="str" s="13">
        <ns0:v>RESC2012X70N</ns0:v>
      </ns0:c>
      <ns0:c r="O253" t="str" s="13">
        <ns0:v>Footprints\PBL - SMD Packages.PcbLib</ns0:v>
      </ns0:c>
      <ns0:c xmlns:ns0="http://schemas.openxmlformats.org/spreadsheetml/2006/main" r="P25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3" s="10"/>
      <ns0:c r="R253" t="str" s="11">
        <ns0:f>D253</ns0:f>
        <ns0:v>24 кОм</ns0:v>
      </ns0:c>
      <ns0:c r="S253" t="str" s="11">
        <ns0:f>K253</ns0:f>
        <ns0:v>Резистор 24 кОм ±5% 0805</ns0:v>
      </ns0:c>
      <x:c xmlns:x="http://schemas.openxmlformats.org/spreadsheetml/2006/main" r="T253" t="str" s="11">
        <x:v>C:\Users\Nomatin\Documents\Altium\MY_LIB\MY_LIB\Datasheets\YAGEO_RC_L.pdf</x:v>
      </x:c>
      <x:c xmlns:x="http://schemas.openxmlformats.org/spreadsheetml/2006/main" r="U253" t="str" s="11">
        <x:v>Даташит — локальный</x:v>
      </x:c>
      <x:c xmlns:x="http://schemas.openxmlformats.org/spreadsheetml/2006/main" r="V253" t="str" s="11">
        <x:v>C:\Users\Nomatin\Documents\Altium\MY_LIB\MY_LIB\Datasheets\YAGEO_RC_L.pdf</x:v>
      </x:c>
      <x:c xmlns:x="http://schemas.openxmlformats.org/spreadsheetml/2006/main" r="W253" t="str" s="11">
        <x:v>Даташит — производитель</x:v>
      </x:c>
      <x:c xmlns:x="http://schemas.openxmlformats.org/spreadsheetml/2006/main" r="X253" t="str" s="11">
        <x:v>https://yageogroup.com/content/datasheet/asset/file/PYU-RC_GROUP_51_ROHS_L</x:v>
      </x:c>
      <x:c xmlns:x="http://schemas.openxmlformats.org/spreadsheetml/2006/main" r="Y253" t="str" s="11">
        <x:v>C:\Users\Nomatin\Documents\Altium\MY_LIB\MY_LIB\Datasheets\YAGEO_RC_L.pdf</x:v>
      </x:c>
      <ns0:c xmlns:ns0="http://schemas.openxmlformats.org/spreadsheetml/2006/main" r="Z253" s="16" t="inlineStr">
        <ns0:is>
          <ns0:t>MY_LIB_R_TCR</ns0:t>
        </ns0:is>
      </ns0:c>
      <ns0:c xmlns:ns0="http://schemas.openxmlformats.org/spreadsheetml/2006/main" r="AA253" s="16" t="inlineStr">
        <ns0:is>
          <ns0:t>R(T), +100 ppm/C at 25 C; positive datasheet limit</ns0:t>
        </ns0:is>
      </ns0:c>
      <ns0:c xmlns:ns0="http://schemas.openxmlformats.org/spreadsheetml/2006/main" r="AB253" s="16" t="str">
        <ns0:v>General</ns0:v>
      </ns0:c>
      <ns0:c xmlns:ns0="http://schemas.openxmlformats.org/spreadsheetml/2006/main" r="AC253" s="16" t="inlineStr">
        <ns0:is>
          <ns0:t>Spice Subcircuit</ns0:t>
        </ns0:is>
      </ns0:c>
      <ns0:c xmlns:ns0="http://schemas.openxmlformats.org/spreadsheetml/2006/main" r="AD253" s="16" t="inlineStr">
        <ns0:is>
          <ns0:t>@DESIGNATOR %1 %2 @MODEL PARAMS: Rvalue=@VALUE TC1value=100u</ns0:t>
        </ns0:is>
      </ns0:c>
      <ns0:c xmlns:ns0="http://schemas.openxmlformats.org/spreadsheetml/2006/main" r="AE253" s="16" t="inlineStr">
        <ns0:is>
          <ns0:t>X</ns0:t>
        </ns0:is>
      </ns0:c>
      <ns0:c xmlns:ns0="http://schemas.openxmlformats.org/spreadsheetml/2006/main" r="AF253" s="16" t="str">
        <ns0:v>(1:1),(2:2)</ns0:v>
      </ns0:c>
      <ns0:c xmlns:ns0="http://schemas.openxmlformats.org/spreadsheetml/2006/main" r="AG253" s="16" t="inlineStr">
        <ns0:is>
          <ns0:t>Simulation\Resistors\MY_LIB_R_TCR.ckt</ns0:t>
        </ns0:is>
      </ns0:c>
      <ns0:c xmlns:ns0="http://schemas.openxmlformats.org/spreadsheetml/2006/main" r="AH253" s="16" t="inlineStr">
        <ns0:is>
          <ns0:t>±100 ppm/°C</ns0:t>
        </ns0:is>
      </ns0:c>
    </ns0:row>
    <ns0:row r="254" ht="30" customHeight="1">
      <ns0:c r="A254" t="str" s="10">
        <ns0:v>R0260</ns0:v>
      </ns0:c>
      <ns0:c r="B254" t="str" s="10">
        <ns0:v>Резистор</ns0:v>
      </ns0:c>
      <ns0:c r="C254" t="str" s="10">
        <ns0:v>27k</ns0:v>
      </ns0:c>
      <ns0:c r="D254" t="str" s="11">
        <ns0:f>SUBSTITUTE(SUBSTITUTE(SUBSTITUTE(SUBSTITUTE(C254,"meg"," МОм"),"k"," кОм"),"R"," Ом"),".",",")</ns0:f>
        <ns0:v>27 кОм</ns0:v>
      </ns0:c>
      <ns0:c r="E254" t="str" s="10">
        <ns0:v>±5%</ns0:v>
      </ns0:c>
      <ns0:c r="F254" t="str" s="10">
        <ns0:v>0,125 Вт</ns0:v>
      </ns0:c>
      <ns0:c r="G254" t="str" s="10">
        <ns0:v>150 В макс.</ns0:v>
      </ns0:c>
      <ns0:c r="H254" t="str" s="12">
        <ns0:v>0805</ns0:v>
      </ns0:c>
      <ns0:c r="I254" t="str" s="10">
        <ns0:v>YAGEO</ns0:v>
      </ns0:c>
      <ns0:c r="J254" t="str" s="10">
        <ns0:v>RC0805JR-0727KL</ns0:v>
      </ns0:c>
      <ns0:c r="K254" t="str" s="11">
        <ns0:f>B254&amp;" "&amp;D254&amp;" "&amp;E254&amp;" "&amp;H254</ns0:f>
        <ns0:v>Резистор 27 кОм ±5% 0805</ns0:v>
      </ns0:c>
      <ns0:c r="L254" t="str" s="13">
        <ns0:v>R</ns0:v>
      </ns0:c>
      <ns0:c r="M254" t="str" s="13">
        <ns0:v>Symbols\MY_LIB_Resistors.SchLib</ns0:v>
      </ns0:c>
      <ns0:c r="N254" t="str" s="13">
        <ns0:v>RESC2012X70N</ns0:v>
      </ns0:c>
      <ns0:c r="O254" t="str" s="13">
        <ns0:v>Footprints\PBL - SMD Packages.PcbLib</ns0:v>
      </ns0:c>
      <ns0:c xmlns:ns0="http://schemas.openxmlformats.org/spreadsheetml/2006/main" r="P25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4" s="10"/>
      <ns0:c r="R254" t="str" s="11">
        <ns0:f>D254</ns0:f>
        <ns0:v>27 кОм</ns0:v>
      </ns0:c>
      <ns0:c r="S254" t="str" s="11">
        <ns0:f>K254</ns0:f>
        <ns0:v>Резистор 27 кОм ±5% 0805</ns0:v>
      </ns0:c>
      <x:c xmlns:x="http://schemas.openxmlformats.org/spreadsheetml/2006/main" r="T254" t="str" s="11">
        <x:v>C:\Users\Nomatin\Documents\Altium\MY_LIB\MY_LIB\Datasheets\YAGEO_RC_L.pdf</x:v>
      </x:c>
      <x:c xmlns:x="http://schemas.openxmlformats.org/spreadsheetml/2006/main" r="U254" t="str" s="11">
        <x:v>Даташит — локальный</x:v>
      </x:c>
      <x:c xmlns:x="http://schemas.openxmlformats.org/spreadsheetml/2006/main" r="V254" t="str" s="11">
        <x:v>C:\Users\Nomatin\Documents\Altium\MY_LIB\MY_LIB\Datasheets\YAGEO_RC_L.pdf</x:v>
      </x:c>
      <x:c xmlns:x="http://schemas.openxmlformats.org/spreadsheetml/2006/main" r="W254" t="str" s="11">
        <x:v>Даташит — производитель</x:v>
      </x:c>
      <x:c xmlns:x="http://schemas.openxmlformats.org/spreadsheetml/2006/main" r="X254" t="str" s="11">
        <x:v>https://yageogroup.com/content/datasheet/asset/file/PYU-RC_GROUP_51_ROHS_L</x:v>
      </x:c>
      <x:c xmlns:x="http://schemas.openxmlformats.org/spreadsheetml/2006/main" r="Y254" t="str" s="11">
        <x:v>C:\Users\Nomatin\Documents\Altium\MY_LIB\MY_LIB\Datasheets\YAGEO_RC_L.pdf</x:v>
      </x:c>
      <ns0:c xmlns:ns0="http://schemas.openxmlformats.org/spreadsheetml/2006/main" r="Z254" s="16" t="inlineStr">
        <ns0:is>
          <ns0:t>MY_LIB_R_TCR</ns0:t>
        </ns0:is>
      </ns0:c>
      <ns0:c xmlns:ns0="http://schemas.openxmlformats.org/spreadsheetml/2006/main" r="AA254" s="16" t="inlineStr">
        <ns0:is>
          <ns0:t>R(T), +100 ppm/C at 25 C; positive datasheet limit</ns0:t>
        </ns0:is>
      </ns0:c>
      <ns0:c xmlns:ns0="http://schemas.openxmlformats.org/spreadsheetml/2006/main" r="AB254" s="16" t="str">
        <ns0:v>General</ns0:v>
      </ns0:c>
      <ns0:c xmlns:ns0="http://schemas.openxmlformats.org/spreadsheetml/2006/main" r="AC254" s="16" t="inlineStr">
        <ns0:is>
          <ns0:t>Spice Subcircuit</ns0:t>
        </ns0:is>
      </ns0:c>
      <ns0:c xmlns:ns0="http://schemas.openxmlformats.org/spreadsheetml/2006/main" r="AD254" s="16" t="inlineStr">
        <ns0:is>
          <ns0:t>@DESIGNATOR %1 %2 @MODEL PARAMS: Rvalue=@VALUE TC1value=100u</ns0:t>
        </ns0:is>
      </ns0:c>
      <ns0:c xmlns:ns0="http://schemas.openxmlformats.org/spreadsheetml/2006/main" r="AE254" s="16" t="inlineStr">
        <ns0:is>
          <ns0:t>X</ns0:t>
        </ns0:is>
      </ns0:c>
      <ns0:c xmlns:ns0="http://schemas.openxmlformats.org/spreadsheetml/2006/main" r="AF254" s="16" t="str">
        <ns0:v>(1:1),(2:2)</ns0:v>
      </ns0:c>
      <ns0:c xmlns:ns0="http://schemas.openxmlformats.org/spreadsheetml/2006/main" r="AG254" s="16" t="inlineStr">
        <ns0:is>
          <ns0:t>Simulation\Resistors\MY_LIB_R_TCR.ckt</ns0:t>
        </ns0:is>
      </ns0:c>
      <ns0:c xmlns:ns0="http://schemas.openxmlformats.org/spreadsheetml/2006/main" r="AH254" s="16" t="inlineStr">
        <ns0:is>
          <ns0:t>±100 ppm/°C</ns0:t>
        </ns0:is>
      </ns0:c>
    </ns0:row>
    <ns0:row r="255" ht="30" customHeight="1">
      <ns0:c r="A255" t="str" s="10">
        <ns0:v>R0261</ns0:v>
      </ns0:c>
      <ns0:c r="B255" t="str" s="10">
        <ns0:v>Резистор</ns0:v>
      </ns0:c>
      <ns0:c r="C255" t="str" s="10">
        <ns0:v>30k</ns0:v>
      </ns0:c>
      <ns0:c r="D255" t="str" s="11">
        <ns0:f>SUBSTITUTE(SUBSTITUTE(SUBSTITUTE(SUBSTITUTE(C255,"meg"," МОм"),"k"," кОм"),"R"," Ом"),".",",")</ns0:f>
        <ns0:v>30 кОм</ns0:v>
      </ns0:c>
      <ns0:c r="E255" t="str" s="10">
        <ns0:v>±5%</ns0:v>
      </ns0:c>
      <ns0:c r="F255" t="str" s="10">
        <ns0:v>0,125 Вт</ns0:v>
      </ns0:c>
      <ns0:c r="G255" t="str" s="10">
        <ns0:v>150 В макс.</ns0:v>
      </ns0:c>
      <ns0:c r="H255" t="str" s="12">
        <ns0:v>0805</ns0:v>
      </ns0:c>
      <ns0:c r="I255" t="str" s="10">
        <ns0:v>YAGEO</ns0:v>
      </ns0:c>
      <ns0:c r="J255" t="str" s="10">
        <ns0:v>RC0805JR-0730KL</ns0:v>
      </ns0:c>
      <ns0:c r="K255" t="str" s="11">
        <ns0:f>B255&amp;" "&amp;D255&amp;" "&amp;E255&amp;" "&amp;H255</ns0:f>
        <ns0:v>Резистор 30 кОм ±5% 0805</ns0:v>
      </ns0:c>
      <ns0:c r="L255" t="str" s="13">
        <ns0:v>R</ns0:v>
      </ns0:c>
      <ns0:c r="M255" t="str" s="13">
        <ns0:v>Symbols\MY_LIB_Resistors.SchLib</ns0:v>
      </ns0:c>
      <ns0:c r="N255" t="str" s="13">
        <ns0:v>RESC2012X70N</ns0:v>
      </ns0:c>
      <ns0:c r="O255" t="str" s="13">
        <ns0:v>Footprints\PBL - SMD Packages.PcbLib</ns0:v>
      </ns0:c>
      <ns0:c xmlns:ns0="http://schemas.openxmlformats.org/spreadsheetml/2006/main" r="P25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5" s="10"/>
      <ns0:c r="R255" t="str" s="11">
        <ns0:f>D255</ns0:f>
        <ns0:v>30 кОм</ns0:v>
      </ns0:c>
      <ns0:c r="S255" t="str" s="11">
        <ns0:f>K255</ns0:f>
        <ns0:v>Резистор 30 кОм ±5% 0805</ns0:v>
      </ns0:c>
      <x:c xmlns:x="http://schemas.openxmlformats.org/spreadsheetml/2006/main" r="T255" t="str" s="11">
        <x:v>C:\Users\Nomatin\Documents\Altium\MY_LIB\MY_LIB\Datasheets\YAGEO_RC_L.pdf</x:v>
      </x:c>
      <x:c xmlns:x="http://schemas.openxmlformats.org/spreadsheetml/2006/main" r="U255" t="str" s="11">
        <x:v>Даташит — локальный</x:v>
      </x:c>
      <x:c xmlns:x="http://schemas.openxmlformats.org/spreadsheetml/2006/main" r="V255" t="str" s="11">
        <x:v>C:\Users\Nomatin\Documents\Altium\MY_LIB\MY_LIB\Datasheets\YAGEO_RC_L.pdf</x:v>
      </x:c>
      <x:c xmlns:x="http://schemas.openxmlformats.org/spreadsheetml/2006/main" r="W255" t="str" s="11">
        <x:v>Даташит — производитель</x:v>
      </x:c>
      <x:c xmlns:x="http://schemas.openxmlformats.org/spreadsheetml/2006/main" r="X255" t="str" s="11">
        <x:v>https://yageogroup.com/content/datasheet/asset/file/PYU-RC_GROUP_51_ROHS_L</x:v>
      </x:c>
      <x:c xmlns:x="http://schemas.openxmlformats.org/spreadsheetml/2006/main" r="Y255" t="str" s="11">
        <x:v>C:\Users\Nomatin\Documents\Altium\MY_LIB\MY_LIB\Datasheets\YAGEO_RC_L.pdf</x:v>
      </x:c>
      <ns0:c xmlns:ns0="http://schemas.openxmlformats.org/spreadsheetml/2006/main" r="Z255" s="16" t="inlineStr">
        <ns0:is>
          <ns0:t>MY_LIB_R_TCR</ns0:t>
        </ns0:is>
      </ns0:c>
      <ns0:c xmlns:ns0="http://schemas.openxmlformats.org/spreadsheetml/2006/main" r="AA255" s="16" t="inlineStr">
        <ns0:is>
          <ns0:t>R(T), +100 ppm/C at 25 C; positive datasheet limit</ns0:t>
        </ns0:is>
      </ns0:c>
      <ns0:c xmlns:ns0="http://schemas.openxmlformats.org/spreadsheetml/2006/main" r="AB255" s="16" t="str">
        <ns0:v>General</ns0:v>
      </ns0:c>
      <ns0:c xmlns:ns0="http://schemas.openxmlformats.org/spreadsheetml/2006/main" r="AC255" s="16" t="inlineStr">
        <ns0:is>
          <ns0:t>Spice Subcircuit</ns0:t>
        </ns0:is>
      </ns0:c>
      <ns0:c xmlns:ns0="http://schemas.openxmlformats.org/spreadsheetml/2006/main" r="AD255" s="16" t="inlineStr">
        <ns0:is>
          <ns0:t>@DESIGNATOR %1 %2 @MODEL PARAMS: Rvalue=@VALUE TC1value=100u</ns0:t>
        </ns0:is>
      </ns0:c>
      <ns0:c xmlns:ns0="http://schemas.openxmlformats.org/spreadsheetml/2006/main" r="AE255" s="16" t="inlineStr">
        <ns0:is>
          <ns0:t>X</ns0:t>
        </ns0:is>
      </ns0:c>
      <ns0:c xmlns:ns0="http://schemas.openxmlformats.org/spreadsheetml/2006/main" r="AF255" s="16" t="str">
        <ns0:v>(1:1),(2:2)</ns0:v>
      </ns0:c>
      <ns0:c xmlns:ns0="http://schemas.openxmlformats.org/spreadsheetml/2006/main" r="AG255" s="16" t="inlineStr">
        <ns0:is>
          <ns0:t>Simulation\Resistors\MY_LIB_R_TCR.ckt</ns0:t>
        </ns0:is>
      </ns0:c>
      <ns0:c xmlns:ns0="http://schemas.openxmlformats.org/spreadsheetml/2006/main" r="AH255" s="16" t="inlineStr">
        <ns0:is>
          <ns0:t>±100 ppm/°C</ns0:t>
        </ns0:is>
      </ns0:c>
    </ns0:row>
    <ns0:row r="256" ht="30" customHeight="1">
      <ns0:c r="A256" t="str" s="10">
        <ns0:v>R0262</ns0:v>
      </ns0:c>
      <ns0:c r="B256" t="str" s="10">
        <ns0:v>Резистор</ns0:v>
      </ns0:c>
      <ns0:c r="C256" t="str" s="10">
        <ns0:v>33k</ns0:v>
      </ns0:c>
      <ns0:c r="D256" t="str" s="11">
        <ns0:f>SUBSTITUTE(SUBSTITUTE(SUBSTITUTE(SUBSTITUTE(C256,"meg"," МОм"),"k"," кОм"),"R"," Ом"),".",",")</ns0:f>
        <ns0:v>33 кОм</ns0:v>
      </ns0:c>
      <ns0:c r="E256" t="str" s="10">
        <ns0:v>±5%</ns0:v>
      </ns0:c>
      <ns0:c r="F256" t="str" s="10">
        <ns0:v>0,125 Вт</ns0:v>
      </ns0:c>
      <ns0:c r="G256" t="str" s="10">
        <ns0:v>150 В макс.</ns0:v>
      </ns0:c>
      <ns0:c r="H256" t="str" s="12">
        <ns0:v>0805</ns0:v>
      </ns0:c>
      <ns0:c r="I256" t="str" s="10">
        <ns0:v>YAGEO</ns0:v>
      </ns0:c>
      <ns0:c r="J256" t="str" s="10">
        <ns0:v>RC0805JR-0733KL</ns0:v>
      </ns0:c>
      <ns0:c r="K256" t="str" s="11">
        <ns0:f>B256&amp;" "&amp;D256&amp;" "&amp;E256&amp;" "&amp;H256</ns0:f>
        <ns0:v>Резистор 33 кОм ±5% 0805</ns0:v>
      </ns0:c>
      <ns0:c r="L256" t="str" s="13">
        <ns0:v>R</ns0:v>
      </ns0:c>
      <ns0:c r="M256" t="str" s="13">
        <ns0:v>Symbols\MY_LIB_Resistors.SchLib</ns0:v>
      </ns0:c>
      <ns0:c r="N256" t="str" s="13">
        <ns0:v>RESC2012X70N</ns0:v>
      </ns0:c>
      <ns0:c r="O256" t="str" s="13">
        <ns0:v>Footprints\PBL - SMD Packages.PcbLib</ns0:v>
      </ns0:c>
      <ns0:c xmlns:ns0="http://schemas.openxmlformats.org/spreadsheetml/2006/main" r="P25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6" s="10"/>
      <ns0:c r="R256" t="str" s="11">
        <ns0:f>D256</ns0:f>
        <ns0:v>33 кОм</ns0:v>
      </ns0:c>
      <ns0:c r="S256" t="str" s="11">
        <ns0:f>K256</ns0:f>
        <ns0:v>Резистор 33 кОм ±5% 0805</ns0:v>
      </ns0:c>
      <x:c xmlns:x="http://schemas.openxmlformats.org/spreadsheetml/2006/main" r="T256" t="str" s="11">
        <x:v>C:\Users\Nomatin\Documents\Altium\MY_LIB\MY_LIB\Datasheets\YAGEO_RC_L.pdf</x:v>
      </x:c>
      <x:c xmlns:x="http://schemas.openxmlformats.org/spreadsheetml/2006/main" r="U256" t="str" s="11">
        <x:v>Даташит — локальный</x:v>
      </x:c>
      <x:c xmlns:x="http://schemas.openxmlformats.org/spreadsheetml/2006/main" r="V256" t="str" s="11">
        <x:v>C:\Users\Nomatin\Documents\Altium\MY_LIB\MY_LIB\Datasheets\YAGEO_RC_L.pdf</x:v>
      </x:c>
      <x:c xmlns:x="http://schemas.openxmlformats.org/spreadsheetml/2006/main" r="W256" t="str" s="11">
        <x:v>Даташит — производитель</x:v>
      </x:c>
      <x:c xmlns:x="http://schemas.openxmlformats.org/spreadsheetml/2006/main" r="X256" t="str" s="11">
        <x:v>https://yageogroup.com/content/datasheet/asset/file/PYU-RC_GROUP_51_ROHS_L</x:v>
      </x:c>
      <x:c xmlns:x="http://schemas.openxmlformats.org/spreadsheetml/2006/main" r="Y256" t="str" s="11">
        <x:v>C:\Users\Nomatin\Documents\Altium\MY_LIB\MY_LIB\Datasheets\YAGEO_RC_L.pdf</x:v>
      </x:c>
      <ns0:c xmlns:ns0="http://schemas.openxmlformats.org/spreadsheetml/2006/main" r="Z256" s="16" t="inlineStr">
        <ns0:is>
          <ns0:t>MY_LIB_R_TCR</ns0:t>
        </ns0:is>
      </ns0:c>
      <ns0:c xmlns:ns0="http://schemas.openxmlformats.org/spreadsheetml/2006/main" r="AA256" s="16" t="inlineStr">
        <ns0:is>
          <ns0:t>R(T), +100 ppm/C at 25 C; positive datasheet limit</ns0:t>
        </ns0:is>
      </ns0:c>
      <ns0:c xmlns:ns0="http://schemas.openxmlformats.org/spreadsheetml/2006/main" r="AB256" s="16" t="str">
        <ns0:v>General</ns0:v>
      </ns0:c>
      <ns0:c xmlns:ns0="http://schemas.openxmlformats.org/spreadsheetml/2006/main" r="AC256" s="16" t="inlineStr">
        <ns0:is>
          <ns0:t>Spice Subcircuit</ns0:t>
        </ns0:is>
      </ns0:c>
      <ns0:c xmlns:ns0="http://schemas.openxmlformats.org/spreadsheetml/2006/main" r="AD256" s="16" t="inlineStr">
        <ns0:is>
          <ns0:t>@DESIGNATOR %1 %2 @MODEL PARAMS: Rvalue=@VALUE TC1value=100u</ns0:t>
        </ns0:is>
      </ns0:c>
      <ns0:c xmlns:ns0="http://schemas.openxmlformats.org/spreadsheetml/2006/main" r="AE256" s="16" t="inlineStr">
        <ns0:is>
          <ns0:t>X</ns0:t>
        </ns0:is>
      </ns0:c>
      <ns0:c xmlns:ns0="http://schemas.openxmlformats.org/spreadsheetml/2006/main" r="AF256" s="16" t="str">
        <ns0:v>(1:1),(2:2)</ns0:v>
      </ns0:c>
      <ns0:c xmlns:ns0="http://schemas.openxmlformats.org/spreadsheetml/2006/main" r="AG256" s="16" t="inlineStr">
        <ns0:is>
          <ns0:t>Simulation\Resistors\MY_LIB_R_TCR.ckt</ns0:t>
        </ns0:is>
      </ns0:c>
      <ns0:c xmlns:ns0="http://schemas.openxmlformats.org/spreadsheetml/2006/main" r="AH256" s="16" t="inlineStr">
        <ns0:is>
          <ns0:t>±100 ppm/°C</ns0:t>
        </ns0:is>
      </ns0:c>
    </ns0:row>
    <ns0:row r="257" ht="30" customHeight="1">
      <ns0:c r="A257" t="str" s="10">
        <ns0:v>R0263</ns0:v>
      </ns0:c>
      <ns0:c r="B257" t="str" s="10">
        <ns0:v>Резистор</ns0:v>
      </ns0:c>
      <ns0:c r="C257" t="str" s="10">
        <ns0:v>36k</ns0:v>
      </ns0:c>
      <ns0:c r="D257" t="str" s="11">
        <ns0:f>SUBSTITUTE(SUBSTITUTE(SUBSTITUTE(SUBSTITUTE(C257,"meg"," МОм"),"k"," кОм"),"R"," Ом"),".",",")</ns0:f>
        <ns0:v>36 кОм</ns0:v>
      </ns0:c>
      <ns0:c r="E257" t="str" s="10">
        <ns0:v>±5%</ns0:v>
      </ns0:c>
      <ns0:c r="F257" t="str" s="10">
        <ns0:v>0,125 Вт</ns0:v>
      </ns0:c>
      <ns0:c r="G257" t="str" s="10">
        <ns0:v>150 В макс.</ns0:v>
      </ns0:c>
      <ns0:c r="H257" t="str" s="12">
        <ns0:v>0805</ns0:v>
      </ns0:c>
      <ns0:c r="I257" t="str" s="10">
        <ns0:v>YAGEO</ns0:v>
      </ns0:c>
      <ns0:c r="J257" t="str" s="10">
        <ns0:v>RC0805JR-0736KL</ns0:v>
      </ns0:c>
      <ns0:c r="K257" t="str" s="11">
        <ns0:f>B257&amp;" "&amp;D257&amp;" "&amp;E257&amp;" "&amp;H257</ns0:f>
        <ns0:v>Резистор 36 кОм ±5% 0805</ns0:v>
      </ns0:c>
      <ns0:c r="L257" t="str" s="13">
        <ns0:v>R</ns0:v>
      </ns0:c>
      <ns0:c r="M257" t="str" s="13">
        <ns0:v>Symbols\MY_LIB_Resistors.SchLib</ns0:v>
      </ns0:c>
      <ns0:c r="N257" t="str" s="13">
        <ns0:v>RESC2012X70N</ns0:v>
      </ns0:c>
      <ns0:c r="O257" t="str" s="13">
        <ns0:v>Footprints\PBL - SMD Packages.PcbLib</ns0:v>
      </ns0:c>
      <ns0:c xmlns:ns0="http://schemas.openxmlformats.org/spreadsheetml/2006/main" r="P25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7" s="10"/>
      <ns0:c r="R257" t="str" s="11">
        <ns0:f>D257</ns0:f>
        <ns0:v>36 кОм</ns0:v>
      </ns0:c>
      <ns0:c r="S257" t="str" s="11">
        <ns0:f>K257</ns0:f>
        <ns0:v>Резистор 36 кОм ±5% 0805</ns0:v>
      </ns0:c>
      <x:c xmlns:x="http://schemas.openxmlformats.org/spreadsheetml/2006/main" r="T257" t="str" s="11">
        <x:v>C:\Users\Nomatin\Documents\Altium\MY_LIB\MY_LIB\Datasheets\YAGEO_RC_L.pdf</x:v>
      </x:c>
      <x:c xmlns:x="http://schemas.openxmlformats.org/spreadsheetml/2006/main" r="U257" t="str" s="11">
        <x:v>Даташит — локальный</x:v>
      </x:c>
      <x:c xmlns:x="http://schemas.openxmlformats.org/spreadsheetml/2006/main" r="V257" t="str" s="11">
        <x:v>C:\Users\Nomatin\Documents\Altium\MY_LIB\MY_LIB\Datasheets\YAGEO_RC_L.pdf</x:v>
      </x:c>
      <x:c xmlns:x="http://schemas.openxmlformats.org/spreadsheetml/2006/main" r="W257" t="str" s="11">
        <x:v>Даташит — производитель</x:v>
      </x:c>
      <x:c xmlns:x="http://schemas.openxmlformats.org/spreadsheetml/2006/main" r="X257" t="str" s="11">
        <x:v>https://yageogroup.com/content/datasheet/asset/file/PYU-RC_GROUP_51_ROHS_L</x:v>
      </x:c>
      <x:c xmlns:x="http://schemas.openxmlformats.org/spreadsheetml/2006/main" r="Y257" t="str" s="11">
        <x:v>C:\Users\Nomatin\Documents\Altium\MY_LIB\MY_LIB\Datasheets\YAGEO_RC_L.pdf</x:v>
      </x:c>
      <ns0:c xmlns:ns0="http://schemas.openxmlformats.org/spreadsheetml/2006/main" r="Z257" s="16" t="inlineStr">
        <ns0:is>
          <ns0:t>MY_LIB_R_TCR</ns0:t>
        </ns0:is>
      </ns0:c>
      <ns0:c xmlns:ns0="http://schemas.openxmlformats.org/spreadsheetml/2006/main" r="AA257" s="16" t="inlineStr">
        <ns0:is>
          <ns0:t>R(T), +100 ppm/C at 25 C; positive datasheet limit</ns0:t>
        </ns0:is>
      </ns0:c>
      <ns0:c xmlns:ns0="http://schemas.openxmlformats.org/spreadsheetml/2006/main" r="AB257" s="16" t="str">
        <ns0:v>General</ns0:v>
      </ns0:c>
      <ns0:c xmlns:ns0="http://schemas.openxmlformats.org/spreadsheetml/2006/main" r="AC257" s="16" t="inlineStr">
        <ns0:is>
          <ns0:t>Spice Subcircuit</ns0:t>
        </ns0:is>
      </ns0:c>
      <ns0:c xmlns:ns0="http://schemas.openxmlformats.org/spreadsheetml/2006/main" r="AD257" s="16" t="inlineStr">
        <ns0:is>
          <ns0:t>@DESIGNATOR %1 %2 @MODEL PARAMS: Rvalue=@VALUE TC1value=100u</ns0:t>
        </ns0:is>
      </ns0:c>
      <ns0:c xmlns:ns0="http://schemas.openxmlformats.org/spreadsheetml/2006/main" r="AE257" s="16" t="inlineStr">
        <ns0:is>
          <ns0:t>X</ns0:t>
        </ns0:is>
      </ns0:c>
      <ns0:c xmlns:ns0="http://schemas.openxmlformats.org/spreadsheetml/2006/main" r="AF257" s="16" t="str">
        <ns0:v>(1:1),(2:2)</ns0:v>
      </ns0:c>
      <ns0:c xmlns:ns0="http://schemas.openxmlformats.org/spreadsheetml/2006/main" r="AG257" s="16" t="inlineStr">
        <ns0:is>
          <ns0:t>Simulation\Resistors\MY_LIB_R_TCR.ckt</ns0:t>
        </ns0:is>
      </ns0:c>
      <ns0:c xmlns:ns0="http://schemas.openxmlformats.org/spreadsheetml/2006/main" r="AH257" s="16" t="inlineStr">
        <ns0:is>
          <ns0:t>±100 ppm/°C</ns0:t>
        </ns0:is>
      </ns0:c>
    </ns0:row>
    <ns0:row r="258" ht="30" customHeight="1">
      <ns0:c r="A258" t="str" s="10">
        <ns0:v>R0264</ns0:v>
      </ns0:c>
      <ns0:c r="B258" t="str" s="10">
        <ns0:v>Резистор</ns0:v>
      </ns0:c>
      <ns0:c r="C258" t="str" s="10">
        <ns0:v>39k</ns0:v>
      </ns0:c>
      <ns0:c r="D258" t="str" s="11">
        <ns0:f>SUBSTITUTE(SUBSTITUTE(SUBSTITUTE(SUBSTITUTE(C258,"meg"," МОм"),"k"," кОм"),"R"," Ом"),".",",")</ns0:f>
        <ns0:v>39 кОм</ns0:v>
      </ns0:c>
      <ns0:c r="E258" t="str" s="10">
        <ns0:v>±5%</ns0:v>
      </ns0:c>
      <ns0:c r="F258" t="str" s="10">
        <ns0:v>0,125 Вт</ns0:v>
      </ns0:c>
      <ns0:c r="G258" t="str" s="10">
        <ns0:v>150 В макс.</ns0:v>
      </ns0:c>
      <ns0:c r="H258" t="str" s="12">
        <ns0:v>0805</ns0:v>
      </ns0:c>
      <ns0:c r="I258" t="str" s="10">
        <ns0:v>YAGEO</ns0:v>
      </ns0:c>
      <ns0:c r="J258" t="str" s="10">
        <ns0:v>RC0805JR-0739KL</ns0:v>
      </ns0:c>
      <ns0:c r="K258" t="str" s="11">
        <ns0:f>B258&amp;" "&amp;D258&amp;" "&amp;E258&amp;" "&amp;H258</ns0:f>
        <ns0:v>Резистор 39 кОм ±5% 0805</ns0:v>
      </ns0:c>
      <ns0:c r="L258" t="str" s="13">
        <ns0:v>R</ns0:v>
      </ns0:c>
      <ns0:c r="M258" t="str" s="13">
        <ns0:v>Symbols\MY_LIB_Resistors.SchLib</ns0:v>
      </ns0:c>
      <ns0:c r="N258" t="str" s="13">
        <ns0:v>RESC2012X70N</ns0:v>
      </ns0:c>
      <ns0:c r="O258" t="str" s="13">
        <ns0:v>Footprints\PBL - SMD Packages.PcbLib</ns0:v>
      </ns0:c>
      <ns0:c xmlns:ns0="http://schemas.openxmlformats.org/spreadsheetml/2006/main" r="P25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8" s="10"/>
      <ns0:c r="R258" t="str" s="11">
        <ns0:f>D258</ns0:f>
        <ns0:v>39 кОм</ns0:v>
      </ns0:c>
      <ns0:c r="S258" t="str" s="11">
        <ns0:f>K258</ns0:f>
        <ns0:v>Резистор 39 кОм ±5% 0805</ns0:v>
      </ns0:c>
      <x:c xmlns:x="http://schemas.openxmlformats.org/spreadsheetml/2006/main" r="T258" t="str" s="11">
        <x:v>C:\Users\Nomatin\Documents\Altium\MY_LIB\MY_LIB\Datasheets\YAGEO_RC_L.pdf</x:v>
      </x:c>
      <x:c xmlns:x="http://schemas.openxmlformats.org/spreadsheetml/2006/main" r="U258" t="str" s="11">
        <x:v>Даташит — локальный</x:v>
      </x:c>
      <x:c xmlns:x="http://schemas.openxmlformats.org/spreadsheetml/2006/main" r="V258" t="str" s="11">
        <x:v>C:\Users\Nomatin\Documents\Altium\MY_LIB\MY_LIB\Datasheets\YAGEO_RC_L.pdf</x:v>
      </x:c>
      <x:c xmlns:x="http://schemas.openxmlformats.org/spreadsheetml/2006/main" r="W258" t="str" s="11">
        <x:v>Даташит — производитель</x:v>
      </x:c>
      <x:c xmlns:x="http://schemas.openxmlformats.org/spreadsheetml/2006/main" r="X258" t="str" s="11">
        <x:v>https://yageogroup.com/content/datasheet/asset/file/PYU-RC_GROUP_51_ROHS_L</x:v>
      </x:c>
      <x:c xmlns:x="http://schemas.openxmlformats.org/spreadsheetml/2006/main" r="Y258" t="str" s="11">
        <x:v>C:\Users\Nomatin\Documents\Altium\MY_LIB\MY_LIB\Datasheets\YAGEO_RC_L.pdf</x:v>
      </x:c>
      <ns0:c xmlns:ns0="http://schemas.openxmlformats.org/spreadsheetml/2006/main" r="Z258" s="16" t="inlineStr">
        <ns0:is>
          <ns0:t>MY_LIB_R_TCR</ns0:t>
        </ns0:is>
      </ns0:c>
      <ns0:c xmlns:ns0="http://schemas.openxmlformats.org/spreadsheetml/2006/main" r="AA258" s="16" t="inlineStr">
        <ns0:is>
          <ns0:t>R(T), +100 ppm/C at 25 C; positive datasheet limit</ns0:t>
        </ns0:is>
      </ns0:c>
      <ns0:c xmlns:ns0="http://schemas.openxmlformats.org/spreadsheetml/2006/main" r="AB258" s="16" t="str">
        <ns0:v>General</ns0:v>
      </ns0:c>
      <ns0:c xmlns:ns0="http://schemas.openxmlformats.org/spreadsheetml/2006/main" r="AC258" s="16" t="inlineStr">
        <ns0:is>
          <ns0:t>Spice Subcircuit</ns0:t>
        </ns0:is>
      </ns0:c>
      <ns0:c xmlns:ns0="http://schemas.openxmlformats.org/spreadsheetml/2006/main" r="AD258" s="16" t="inlineStr">
        <ns0:is>
          <ns0:t>@DESIGNATOR %1 %2 @MODEL PARAMS: Rvalue=@VALUE TC1value=100u</ns0:t>
        </ns0:is>
      </ns0:c>
      <ns0:c xmlns:ns0="http://schemas.openxmlformats.org/spreadsheetml/2006/main" r="AE258" s="16" t="inlineStr">
        <ns0:is>
          <ns0:t>X</ns0:t>
        </ns0:is>
      </ns0:c>
      <ns0:c xmlns:ns0="http://schemas.openxmlformats.org/spreadsheetml/2006/main" r="AF258" s="16" t="str">
        <ns0:v>(1:1),(2:2)</ns0:v>
      </ns0:c>
      <ns0:c xmlns:ns0="http://schemas.openxmlformats.org/spreadsheetml/2006/main" r="AG258" s="16" t="inlineStr">
        <ns0:is>
          <ns0:t>Simulation\Resistors\MY_LIB_R_TCR.ckt</ns0:t>
        </ns0:is>
      </ns0:c>
      <ns0:c xmlns:ns0="http://schemas.openxmlformats.org/spreadsheetml/2006/main" r="AH258" s="16" t="inlineStr">
        <ns0:is>
          <ns0:t>±100 ppm/°C</ns0:t>
        </ns0:is>
      </ns0:c>
    </ns0:row>
    <ns0:row r="259" ht="30" customHeight="1">
      <ns0:c r="A259" t="str" s="10">
        <ns0:v>R0265</ns0:v>
      </ns0:c>
      <ns0:c r="B259" t="str" s="10">
        <ns0:v>Резистор</ns0:v>
      </ns0:c>
      <ns0:c r="C259" t="str" s="10">
        <ns0:v>43k</ns0:v>
      </ns0:c>
      <ns0:c r="D259" t="str" s="11">
        <ns0:f>SUBSTITUTE(SUBSTITUTE(SUBSTITUTE(SUBSTITUTE(C259,"meg"," МОм"),"k"," кОм"),"R"," Ом"),".",",")</ns0:f>
        <ns0:v>43 кОм</ns0:v>
      </ns0:c>
      <ns0:c r="E259" t="str" s="10">
        <ns0:v>±5%</ns0:v>
      </ns0:c>
      <ns0:c r="F259" t="str" s="10">
        <ns0:v>0,125 Вт</ns0:v>
      </ns0:c>
      <ns0:c r="G259" t="str" s="10">
        <ns0:v>150 В макс.</ns0:v>
      </ns0:c>
      <ns0:c r="H259" t="str" s="12">
        <ns0:v>0805</ns0:v>
      </ns0:c>
      <ns0:c r="I259" t="str" s="10">
        <ns0:v>YAGEO</ns0:v>
      </ns0:c>
      <ns0:c r="J259" t="str" s="10">
        <ns0:v>RC0805JR-0743KL</ns0:v>
      </ns0:c>
      <ns0:c r="K259" t="str" s="11">
        <ns0:f>B259&amp;" "&amp;D259&amp;" "&amp;E259&amp;" "&amp;H259</ns0:f>
        <ns0:v>Резистор 43 кОм ±5% 0805</ns0:v>
      </ns0:c>
      <ns0:c r="L259" t="str" s="13">
        <ns0:v>R</ns0:v>
      </ns0:c>
      <ns0:c r="M259" t="str" s="13">
        <ns0:v>Symbols\MY_LIB_Resistors.SchLib</ns0:v>
      </ns0:c>
      <ns0:c r="N259" t="str" s="13">
        <ns0:v>RESC2012X70N</ns0:v>
      </ns0:c>
      <ns0:c r="O259" t="str" s="13">
        <ns0:v>Footprints\PBL - SMD Packages.PcbLib</ns0:v>
      </ns0:c>
      <ns0:c xmlns:ns0="http://schemas.openxmlformats.org/spreadsheetml/2006/main" r="P25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59" s="10"/>
      <ns0:c r="R259" t="str" s="11">
        <ns0:f>D259</ns0:f>
        <ns0:v>43 кОм</ns0:v>
      </ns0:c>
      <ns0:c r="S259" t="str" s="11">
        <ns0:f>K259</ns0:f>
        <ns0:v>Резистор 43 кОм ±5% 0805</ns0:v>
      </ns0:c>
      <x:c xmlns:x="http://schemas.openxmlformats.org/spreadsheetml/2006/main" r="T259" t="str" s="11">
        <x:v>C:\Users\Nomatin\Documents\Altium\MY_LIB\MY_LIB\Datasheets\YAGEO_RC_L.pdf</x:v>
      </x:c>
      <x:c xmlns:x="http://schemas.openxmlformats.org/spreadsheetml/2006/main" r="U259" t="str" s="11">
        <x:v>Даташит — локальный</x:v>
      </x:c>
      <x:c xmlns:x="http://schemas.openxmlformats.org/spreadsheetml/2006/main" r="V259" t="str" s="11">
        <x:v>C:\Users\Nomatin\Documents\Altium\MY_LIB\MY_LIB\Datasheets\YAGEO_RC_L.pdf</x:v>
      </x:c>
      <x:c xmlns:x="http://schemas.openxmlformats.org/spreadsheetml/2006/main" r="W259" t="str" s="11">
        <x:v>Даташит — производитель</x:v>
      </x:c>
      <x:c xmlns:x="http://schemas.openxmlformats.org/spreadsheetml/2006/main" r="X259" t="str" s="11">
        <x:v>https://yageogroup.com/content/datasheet/asset/file/PYU-RC_GROUP_51_ROHS_L</x:v>
      </x:c>
      <x:c xmlns:x="http://schemas.openxmlformats.org/spreadsheetml/2006/main" r="Y259" t="str" s="11">
        <x:v>C:\Users\Nomatin\Documents\Altium\MY_LIB\MY_LIB\Datasheets\YAGEO_RC_L.pdf</x:v>
      </x:c>
      <ns0:c xmlns:ns0="http://schemas.openxmlformats.org/spreadsheetml/2006/main" r="Z259" s="16" t="inlineStr">
        <ns0:is>
          <ns0:t>MY_LIB_R_TCR</ns0:t>
        </ns0:is>
      </ns0:c>
      <ns0:c xmlns:ns0="http://schemas.openxmlformats.org/spreadsheetml/2006/main" r="AA259" s="16" t="inlineStr">
        <ns0:is>
          <ns0:t>R(T), +100 ppm/C at 25 C; positive datasheet limit</ns0:t>
        </ns0:is>
      </ns0:c>
      <ns0:c xmlns:ns0="http://schemas.openxmlformats.org/spreadsheetml/2006/main" r="AB259" s="16" t="str">
        <ns0:v>General</ns0:v>
      </ns0:c>
      <ns0:c xmlns:ns0="http://schemas.openxmlformats.org/spreadsheetml/2006/main" r="AC259" s="16" t="inlineStr">
        <ns0:is>
          <ns0:t>Spice Subcircuit</ns0:t>
        </ns0:is>
      </ns0:c>
      <ns0:c xmlns:ns0="http://schemas.openxmlformats.org/spreadsheetml/2006/main" r="AD259" s="16" t="inlineStr">
        <ns0:is>
          <ns0:t>@DESIGNATOR %1 %2 @MODEL PARAMS: Rvalue=@VALUE TC1value=100u</ns0:t>
        </ns0:is>
      </ns0:c>
      <ns0:c xmlns:ns0="http://schemas.openxmlformats.org/spreadsheetml/2006/main" r="AE259" s="16" t="inlineStr">
        <ns0:is>
          <ns0:t>X</ns0:t>
        </ns0:is>
      </ns0:c>
      <ns0:c xmlns:ns0="http://schemas.openxmlformats.org/spreadsheetml/2006/main" r="AF259" s="16" t="str">
        <ns0:v>(1:1),(2:2)</ns0:v>
      </ns0:c>
      <ns0:c xmlns:ns0="http://schemas.openxmlformats.org/spreadsheetml/2006/main" r="AG259" s="16" t="inlineStr">
        <ns0:is>
          <ns0:t>Simulation\Resistors\MY_LIB_R_TCR.ckt</ns0:t>
        </ns0:is>
      </ns0:c>
      <ns0:c xmlns:ns0="http://schemas.openxmlformats.org/spreadsheetml/2006/main" r="AH259" s="16" t="inlineStr">
        <ns0:is>
          <ns0:t>±100 ppm/°C</ns0:t>
        </ns0:is>
      </ns0:c>
    </ns0:row>
    <ns0:row r="260" ht="30" customHeight="1">
      <ns0:c r="A260" t="str" s="10">
        <ns0:v>R0266</ns0:v>
      </ns0:c>
      <ns0:c r="B260" t="str" s="10">
        <ns0:v>Резистор</ns0:v>
      </ns0:c>
      <ns0:c r="C260" t="str" s="10">
        <ns0:v>47k</ns0:v>
      </ns0:c>
      <ns0:c r="D260" t="str" s="11">
        <ns0:f>SUBSTITUTE(SUBSTITUTE(SUBSTITUTE(SUBSTITUTE(C260,"meg"," МОм"),"k"," кОм"),"R"," Ом"),".",",")</ns0:f>
        <ns0:v>47 кОм</ns0:v>
      </ns0:c>
      <ns0:c r="E260" t="str" s="10">
        <ns0:v>±5%</ns0:v>
      </ns0:c>
      <ns0:c r="F260" t="str" s="10">
        <ns0:v>0,125 Вт</ns0:v>
      </ns0:c>
      <ns0:c r="G260" t="str" s="10">
        <ns0:v>150 В макс.</ns0:v>
      </ns0:c>
      <ns0:c r="H260" t="str" s="12">
        <ns0:v>0805</ns0:v>
      </ns0:c>
      <ns0:c r="I260" t="str" s="10">
        <ns0:v>YAGEO</ns0:v>
      </ns0:c>
      <ns0:c r="J260" t="str" s="10">
        <ns0:v>RC0805JR-0747KL</ns0:v>
      </ns0:c>
      <ns0:c r="K260" t="str" s="11">
        <ns0:f>B260&amp;" "&amp;D260&amp;" "&amp;E260&amp;" "&amp;H260</ns0:f>
        <ns0:v>Резистор 47 кОм ±5% 0805</ns0:v>
      </ns0:c>
      <ns0:c r="L260" t="str" s="13">
        <ns0:v>R</ns0:v>
      </ns0:c>
      <ns0:c r="M260" t="str" s="13">
        <ns0:v>Symbols\MY_LIB_Resistors.SchLib</ns0:v>
      </ns0:c>
      <ns0:c r="N260" t="str" s="13">
        <ns0:v>RESC2012X70N</ns0:v>
      </ns0:c>
      <ns0:c r="O260" t="str" s="13">
        <ns0:v>Footprints\PBL - SMD Packages.PcbLib</ns0:v>
      </ns0:c>
      <ns0:c xmlns:ns0="http://schemas.openxmlformats.org/spreadsheetml/2006/main" r="P26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0" s="10"/>
      <ns0:c r="R260" t="str" s="11">
        <ns0:f>D260</ns0:f>
        <ns0:v>47 кОм</ns0:v>
      </ns0:c>
      <ns0:c r="S260" t="str" s="11">
        <ns0:f>K260</ns0:f>
        <ns0:v>Резистор 47 кОм ±5% 0805</ns0:v>
      </ns0:c>
      <x:c xmlns:x="http://schemas.openxmlformats.org/spreadsheetml/2006/main" r="T260" t="str" s="11">
        <x:v>C:\Users\Nomatin\Documents\Altium\MY_LIB\MY_LIB\Datasheets\YAGEO_RC_L.pdf</x:v>
      </x:c>
      <x:c xmlns:x="http://schemas.openxmlformats.org/spreadsheetml/2006/main" r="U260" t="str" s="11">
        <x:v>Даташит — локальный</x:v>
      </x:c>
      <x:c xmlns:x="http://schemas.openxmlformats.org/spreadsheetml/2006/main" r="V260" t="str" s="11">
        <x:v>C:\Users\Nomatin\Documents\Altium\MY_LIB\MY_LIB\Datasheets\YAGEO_RC_L.pdf</x:v>
      </x:c>
      <x:c xmlns:x="http://schemas.openxmlformats.org/spreadsheetml/2006/main" r="W260" t="str" s="11">
        <x:v>Даташит — производитель</x:v>
      </x:c>
      <x:c xmlns:x="http://schemas.openxmlformats.org/spreadsheetml/2006/main" r="X260" t="str" s="11">
        <x:v>https://yageogroup.com/content/datasheet/asset/file/PYU-RC_GROUP_51_ROHS_L</x:v>
      </x:c>
      <x:c xmlns:x="http://schemas.openxmlformats.org/spreadsheetml/2006/main" r="Y260" t="str" s="11">
        <x:v>C:\Users\Nomatin\Documents\Altium\MY_LIB\MY_LIB\Datasheets\YAGEO_RC_L.pdf</x:v>
      </x:c>
      <ns0:c xmlns:ns0="http://schemas.openxmlformats.org/spreadsheetml/2006/main" r="Z260" s="16" t="inlineStr">
        <ns0:is>
          <ns0:t>MY_LIB_R_TCR</ns0:t>
        </ns0:is>
      </ns0:c>
      <ns0:c xmlns:ns0="http://schemas.openxmlformats.org/spreadsheetml/2006/main" r="AA260" s="16" t="inlineStr">
        <ns0:is>
          <ns0:t>R(T), +100 ppm/C at 25 C; positive datasheet limit</ns0:t>
        </ns0:is>
      </ns0:c>
      <ns0:c xmlns:ns0="http://schemas.openxmlformats.org/spreadsheetml/2006/main" r="AB260" s="16" t="str">
        <ns0:v>General</ns0:v>
      </ns0:c>
      <ns0:c xmlns:ns0="http://schemas.openxmlformats.org/spreadsheetml/2006/main" r="AC260" s="16" t="inlineStr">
        <ns0:is>
          <ns0:t>Spice Subcircuit</ns0:t>
        </ns0:is>
      </ns0:c>
      <ns0:c xmlns:ns0="http://schemas.openxmlformats.org/spreadsheetml/2006/main" r="AD260" s="16" t="inlineStr">
        <ns0:is>
          <ns0:t>@DESIGNATOR %1 %2 @MODEL PARAMS: Rvalue=@VALUE TC1value=100u</ns0:t>
        </ns0:is>
      </ns0:c>
      <ns0:c xmlns:ns0="http://schemas.openxmlformats.org/spreadsheetml/2006/main" r="AE260" s="16" t="inlineStr">
        <ns0:is>
          <ns0:t>X</ns0:t>
        </ns0:is>
      </ns0:c>
      <ns0:c xmlns:ns0="http://schemas.openxmlformats.org/spreadsheetml/2006/main" r="AF260" s="16" t="str">
        <ns0:v>(1:1),(2:2)</ns0:v>
      </ns0:c>
      <ns0:c xmlns:ns0="http://schemas.openxmlformats.org/spreadsheetml/2006/main" r="AG260" s="16" t="inlineStr">
        <ns0:is>
          <ns0:t>Simulation\Resistors\MY_LIB_R_TCR.ckt</ns0:t>
        </ns0:is>
      </ns0:c>
      <ns0:c xmlns:ns0="http://schemas.openxmlformats.org/spreadsheetml/2006/main" r="AH260" s="16" t="inlineStr">
        <ns0:is>
          <ns0:t>±100 ppm/°C</ns0:t>
        </ns0:is>
      </ns0:c>
    </ns0:row>
    <ns0:row r="261" ht="30" customHeight="1">
      <ns0:c r="A261" t="str" s="10">
        <ns0:v>R0267</ns0:v>
      </ns0:c>
      <ns0:c r="B261" t="str" s="10">
        <ns0:v>Резистор</ns0:v>
      </ns0:c>
      <ns0:c r="C261" t="str" s="10">
        <ns0:v>51k</ns0:v>
      </ns0:c>
      <ns0:c r="D261" t="str" s="11">
        <ns0:f>SUBSTITUTE(SUBSTITUTE(SUBSTITUTE(SUBSTITUTE(C261,"meg"," МОм"),"k"," кОм"),"R"," Ом"),".",",")</ns0:f>
        <ns0:v>51 кОм</ns0:v>
      </ns0:c>
      <ns0:c r="E261" t="str" s="10">
        <ns0:v>±5%</ns0:v>
      </ns0:c>
      <ns0:c r="F261" t="str" s="10">
        <ns0:v>0,125 Вт</ns0:v>
      </ns0:c>
      <ns0:c r="G261" t="str" s="10">
        <ns0:v>150 В макс.</ns0:v>
      </ns0:c>
      <ns0:c r="H261" t="str" s="12">
        <ns0:v>0805</ns0:v>
      </ns0:c>
      <ns0:c r="I261" t="str" s="10">
        <ns0:v>YAGEO</ns0:v>
      </ns0:c>
      <ns0:c r="J261" t="str" s="10">
        <ns0:v>RC0805JR-0751KL</ns0:v>
      </ns0:c>
      <ns0:c r="K261" t="str" s="11">
        <ns0:f>B261&amp;" "&amp;D261&amp;" "&amp;E261&amp;" "&amp;H261</ns0:f>
        <ns0:v>Резистор 51 кОм ±5% 0805</ns0:v>
      </ns0:c>
      <ns0:c r="L261" t="str" s="13">
        <ns0:v>R</ns0:v>
      </ns0:c>
      <ns0:c r="M261" t="str" s="13">
        <ns0:v>Symbols\MY_LIB_Resistors.SchLib</ns0:v>
      </ns0:c>
      <ns0:c r="N261" t="str" s="13">
        <ns0:v>RESC2012X70N</ns0:v>
      </ns0:c>
      <ns0:c r="O261" t="str" s="13">
        <ns0:v>Footprints\PBL - SMD Packages.PcbLib</ns0:v>
      </ns0:c>
      <ns0:c xmlns:ns0="http://schemas.openxmlformats.org/spreadsheetml/2006/main" r="P26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1" s="10"/>
      <ns0:c r="R261" t="str" s="11">
        <ns0:f>D261</ns0:f>
        <ns0:v>51 кОм</ns0:v>
      </ns0:c>
      <ns0:c r="S261" t="str" s="11">
        <ns0:f>K261</ns0:f>
        <ns0:v>Резистор 51 кОм ±5% 0805</ns0:v>
      </ns0:c>
      <x:c xmlns:x="http://schemas.openxmlformats.org/spreadsheetml/2006/main" r="T261" t="str" s="11">
        <x:v>C:\Users\Nomatin\Documents\Altium\MY_LIB\MY_LIB\Datasheets\YAGEO_RC_L.pdf</x:v>
      </x:c>
      <x:c xmlns:x="http://schemas.openxmlformats.org/spreadsheetml/2006/main" r="U261" t="str" s="11">
        <x:v>Даташит — локальный</x:v>
      </x:c>
      <x:c xmlns:x="http://schemas.openxmlformats.org/spreadsheetml/2006/main" r="V261" t="str" s="11">
        <x:v>C:\Users\Nomatin\Documents\Altium\MY_LIB\MY_LIB\Datasheets\YAGEO_RC_L.pdf</x:v>
      </x:c>
      <x:c xmlns:x="http://schemas.openxmlformats.org/spreadsheetml/2006/main" r="W261" t="str" s="11">
        <x:v>Даташит — производитель</x:v>
      </x:c>
      <x:c xmlns:x="http://schemas.openxmlformats.org/spreadsheetml/2006/main" r="X261" t="str" s="11">
        <x:v>https://yageogroup.com/content/datasheet/asset/file/PYU-RC_GROUP_51_ROHS_L</x:v>
      </x:c>
      <x:c xmlns:x="http://schemas.openxmlformats.org/spreadsheetml/2006/main" r="Y261" t="str" s="11">
        <x:v>C:\Users\Nomatin\Documents\Altium\MY_LIB\MY_LIB\Datasheets\YAGEO_RC_L.pdf</x:v>
      </x:c>
      <ns0:c xmlns:ns0="http://schemas.openxmlformats.org/spreadsheetml/2006/main" r="Z261" s="16" t="inlineStr">
        <ns0:is>
          <ns0:t>MY_LIB_R_TCR</ns0:t>
        </ns0:is>
      </ns0:c>
      <ns0:c xmlns:ns0="http://schemas.openxmlformats.org/spreadsheetml/2006/main" r="AA261" s="16" t="inlineStr">
        <ns0:is>
          <ns0:t>R(T), +100 ppm/C at 25 C; positive datasheet limit</ns0:t>
        </ns0:is>
      </ns0:c>
      <ns0:c xmlns:ns0="http://schemas.openxmlformats.org/spreadsheetml/2006/main" r="AB261" s="16" t="str">
        <ns0:v>General</ns0:v>
      </ns0:c>
      <ns0:c xmlns:ns0="http://schemas.openxmlformats.org/spreadsheetml/2006/main" r="AC261" s="16" t="inlineStr">
        <ns0:is>
          <ns0:t>Spice Subcircuit</ns0:t>
        </ns0:is>
      </ns0:c>
      <ns0:c xmlns:ns0="http://schemas.openxmlformats.org/spreadsheetml/2006/main" r="AD261" s="16" t="inlineStr">
        <ns0:is>
          <ns0:t>@DESIGNATOR %1 %2 @MODEL PARAMS: Rvalue=@VALUE TC1value=100u</ns0:t>
        </ns0:is>
      </ns0:c>
      <ns0:c xmlns:ns0="http://schemas.openxmlformats.org/spreadsheetml/2006/main" r="AE261" s="16" t="inlineStr">
        <ns0:is>
          <ns0:t>X</ns0:t>
        </ns0:is>
      </ns0:c>
      <ns0:c xmlns:ns0="http://schemas.openxmlformats.org/spreadsheetml/2006/main" r="AF261" s="16" t="str">
        <ns0:v>(1:1),(2:2)</ns0:v>
      </ns0:c>
      <ns0:c xmlns:ns0="http://schemas.openxmlformats.org/spreadsheetml/2006/main" r="AG261" s="16" t="inlineStr">
        <ns0:is>
          <ns0:t>Simulation\Resistors\MY_LIB_R_TCR.ckt</ns0:t>
        </ns0:is>
      </ns0:c>
      <ns0:c xmlns:ns0="http://schemas.openxmlformats.org/spreadsheetml/2006/main" r="AH261" s="16" t="inlineStr">
        <ns0:is>
          <ns0:t>±100 ppm/°C</ns0:t>
        </ns0:is>
      </ns0:c>
    </ns0:row>
    <ns0:row r="262" ht="30" customHeight="1">
      <ns0:c r="A262" t="str" s="10">
        <ns0:v>R0268</ns0:v>
      </ns0:c>
      <ns0:c r="B262" t="str" s="10">
        <ns0:v>Резистор</ns0:v>
      </ns0:c>
      <ns0:c r="C262" t="str" s="10">
        <ns0:v>56k</ns0:v>
      </ns0:c>
      <ns0:c r="D262" t="str" s="11">
        <ns0:f>SUBSTITUTE(SUBSTITUTE(SUBSTITUTE(SUBSTITUTE(C262,"meg"," МОм"),"k"," кОм"),"R"," Ом"),".",",")</ns0:f>
        <ns0:v>56 кОм</ns0:v>
      </ns0:c>
      <ns0:c r="E262" t="str" s="10">
        <ns0:v>±5%</ns0:v>
      </ns0:c>
      <ns0:c r="F262" t="str" s="10">
        <ns0:v>0,125 Вт</ns0:v>
      </ns0:c>
      <ns0:c r="G262" t="str" s="10">
        <ns0:v>150 В макс.</ns0:v>
      </ns0:c>
      <ns0:c r="H262" t="str" s="12">
        <ns0:v>0805</ns0:v>
      </ns0:c>
      <ns0:c r="I262" t="str" s="10">
        <ns0:v>YAGEO</ns0:v>
      </ns0:c>
      <ns0:c r="J262" t="str" s="10">
        <ns0:v>RC0805JR-0756KL</ns0:v>
      </ns0:c>
      <ns0:c r="K262" t="str" s="11">
        <ns0:f>B262&amp;" "&amp;D262&amp;" "&amp;E262&amp;" "&amp;H262</ns0:f>
        <ns0:v>Резистор 56 кОм ±5% 0805</ns0:v>
      </ns0:c>
      <ns0:c r="L262" t="str" s="13">
        <ns0:v>R</ns0:v>
      </ns0:c>
      <ns0:c r="M262" t="str" s="13">
        <ns0:v>Symbols\MY_LIB_Resistors.SchLib</ns0:v>
      </ns0:c>
      <ns0:c r="N262" t="str" s="13">
        <ns0:v>RESC2012X70N</ns0:v>
      </ns0:c>
      <ns0:c r="O262" t="str" s="13">
        <ns0:v>Footprints\PBL - SMD Packages.PcbLib</ns0:v>
      </ns0:c>
      <ns0:c xmlns:ns0="http://schemas.openxmlformats.org/spreadsheetml/2006/main" r="P26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2" s="10"/>
      <ns0:c r="R262" t="str" s="11">
        <ns0:f>D262</ns0:f>
        <ns0:v>56 кОм</ns0:v>
      </ns0:c>
      <ns0:c r="S262" t="str" s="11">
        <ns0:f>K262</ns0:f>
        <ns0:v>Резистор 56 кОм ±5% 0805</ns0:v>
      </ns0:c>
      <x:c xmlns:x="http://schemas.openxmlformats.org/spreadsheetml/2006/main" r="T262" t="str" s="11">
        <x:v>C:\Users\Nomatin\Documents\Altium\MY_LIB\MY_LIB\Datasheets\YAGEO_RC_L.pdf</x:v>
      </x:c>
      <x:c xmlns:x="http://schemas.openxmlformats.org/spreadsheetml/2006/main" r="U262" t="str" s="11">
        <x:v>Даташит — локальный</x:v>
      </x:c>
      <x:c xmlns:x="http://schemas.openxmlformats.org/spreadsheetml/2006/main" r="V262" t="str" s="11">
        <x:v>C:\Users\Nomatin\Documents\Altium\MY_LIB\MY_LIB\Datasheets\YAGEO_RC_L.pdf</x:v>
      </x:c>
      <x:c xmlns:x="http://schemas.openxmlformats.org/spreadsheetml/2006/main" r="W262" t="str" s="11">
        <x:v>Даташит — производитель</x:v>
      </x:c>
      <x:c xmlns:x="http://schemas.openxmlformats.org/spreadsheetml/2006/main" r="X262" t="str" s="11">
        <x:v>https://yageogroup.com/content/datasheet/asset/file/PYU-RC_GROUP_51_ROHS_L</x:v>
      </x:c>
      <x:c xmlns:x="http://schemas.openxmlformats.org/spreadsheetml/2006/main" r="Y262" t="str" s="11">
        <x:v>C:\Users\Nomatin\Documents\Altium\MY_LIB\MY_LIB\Datasheets\YAGEO_RC_L.pdf</x:v>
      </x:c>
      <ns0:c xmlns:ns0="http://schemas.openxmlformats.org/spreadsheetml/2006/main" r="Z262" s="16" t="inlineStr">
        <ns0:is>
          <ns0:t>MY_LIB_R_TCR</ns0:t>
        </ns0:is>
      </ns0:c>
      <ns0:c xmlns:ns0="http://schemas.openxmlformats.org/spreadsheetml/2006/main" r="AA262" s="16" t="inlineStr">
        <ns0:is>
          <ns0:t>R(T), +100 ppm/C at 25 C; positive datasheet limit</ns0:t>
        </ns0:is>
      </ns0:c>
      <ns0:c xmlns:ns0="http://schemas.openxmlformats.org/spreadsheetml/2006/main" r="AB262" s="16" t="str">
        <ns0:v>General</ns0:v>
      </ns0:c>
      <ns0:c xmlns:ns0="http://schemas.openxmlformats.org/spreadsheetml/2006/main" r="AC262" s="16" t="inlineStr">
        <ns0:is>
          <ns0:t>Spice Subcircuit</ns0:t>
        </ns0:is>
      </ns0:c>
      <ns0:c xmlns:ns0="http://schemas.openxmlformats.org/spreadsheetml/2006/main" r="AD262" s="16" t="inlineStr">
        <ns0:is>
          <ns0:t>@DESIGNATOR %1 %2 @MODEL PARAMS: Rvalue=@VALUE TC1value=100u</ns0:t>
        </ns0:is>
      </ns0:c>
      <ns0:c xmlns:ns0="http://schemas.openxmlformats.org/spreadsheetml/2006/main" r="AE262" s="16" t="inlineStr">
        <ns0:is>
          <ns0:t>X</ns0:t>
        </ns0:is>
      </ns0:c>
      <ns0:c xmlns:ns0="http://schemas.openxmlformats.org/spreadsheetml/2006/main" r="AF262" s="16" t="str">
        <ns0:v>(1:1),(2:2)</ns0:v>
      </ns0:c>
      <ns0:c xmlns:ns0="http://schemas.openxmlformats.org/spreadsheetml/2006/main" r="AG262" s="16" t="inlineStr">
        <ns0:is>
          <ns0:t>Simulation\Resistors\MY_LIB_R_TCR.ckt</ns0:t>
        </ns0:is>
      </ns0:c>
      <ns0:c xmlns:ns0="http://schemas.openxmlformats.org/spreadsheetml/2006/main" r="AH262" s="16" t="inlineStr">
        <ns0:is>
          <ns0:t>±100 ppm/°C</ns0:t>
        </ns0:is>
      </ns0:c>
    </ns0:row>
    <ns0:row r="263" ht="30" customHeight="1">
      <ns0:c r="A263" t="str" s="10">
        <ns0:v>R0269</ns0:v>
      </ns0:c>
      <ns0:c r="B263" t="str" s="10">
        <ns0:v>Резистор</ns0:v>
      </ns0:c>
      <ns0:c r="C263" t="str" s="10">
        <ns0:v>62k</ns0:v>
      </ns0:c>
      <ns0:c r="D263" t="str" s="11">
        <ns0:f>SUBSTITUTE(SUBSTITUTE(SUBSTITUTE(SUBSTITUTE(C263,"meg"," МОм"),"k"," кОм"),"R"," Ом"),".",",")</ns0:f>
        <ns0:v>62 кОм</ns0:v>
      </ns0:c>
      <ns0:c r="E263" t="str" s="10">
        <ns0:v>±5%</ns0:v>
      </ns0:c>
      <ns0:c r="F263" t="str" s="10">
        <ns0:v>0,125 Вт</ns0:v>
      </ns0:c>
      <ns0:c r="G263" t="str" s="10">
        <ns0:v>150 В макс.</ns0:v>
      </ns0:c>
      <ns0:c r="H263" t="str" s="12">
        <ns0:v>0805</ns0:v>
      </ns0:c>
      <ns0:c r="I263" t="str" s="10">
        <ns0:v>YAGEO</ns0:v>
      </ns0:c>
      <ns0:c r="J263" t="str" s="10">
        <ns0:v>RC0805JR-0762KL</ns0:v>
      </ns0:c>
      <ns0:c r="K263" t="str" s="11">
        <ns0:f>B263&amp;" "&amp;D263&amp;" "&amp;E263&amp;" "&amp;H263</ns0:f>
        <ns0:v>Резистор 62 кОм ±5% 0805</ns0:v>
      </ns0:c>
      <ns0:c r="L263" t="str" s="13">
        <ns0:v>R</ns0:v>
      </ns0:c>
      <ns0:c r="M263" t="str" s="13">
        <ns0:v>Symbols\MY_LIB_Resistors.SchLib</ns0:v>
      </ns0:c>
      <ns0:c r="N263" t="str" s="13">
        <ns0:v>RESC2012X70N</ns0:v>
      </ns0:c>
      <ns0:c r="O263" t="str" s="13">
        <ns0:v>Footprints\PBL - SMD Packages.PcbLib</ns0:v>
      </ns0:c>
      <ns0:c xmlns:ns0="http://schemas.openxmlformats.org/spreadsheetml/2006/main" r="P26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3" s="10"/>
      <ns0:c r="R263" t="str" s="11">
        <ns0:f>D263</ns0:f>
        <ns0:v>62 кОм</ns0:v>
      </ns0:c>
      <ns0:c r="S263" t="str" s="11">
        <ns0:f>K263</ns0:f>
        <ns0:v>Резистор 62 кОм ±5% 0805</ns0:v>
      </ns0:c>
      <x:c xmlns:x="http://schemas.openxmlformats.org/spreadsheetml/2006/main" r="T263" t="str" s="11">
        <x:v>C:\Users\Nomatin\Documents\Altium\MY_LIB\MY_LIB\Datasheets\YAGEO_RC_L.pdf</x:v>
      </x:c>
      <x:c xmlns:x="http://schemas.openxmlformats.org/spreadsheetml/2006/main" r="U263" t="str" s="11">
        <x:v>Даташит — локальный</x:v>
      </x:c>
      <x:c xmlns:x="http://schemas.openxmlformats.org/spreadsheetml/2006/main" r="V263" t="str" s="11">
        <x:v>C:\Users\Nomatin\Documents\Altium\MY_LIB\MY_LIB\Datasheets\YAGEO_RC_L.pdf</x:v>
      </x:c>
      <x:c xmlns:x="http://schemas.openxmlformats.org/spreadsheetml/2006/main" r="W263" t="str" s="11">
        <x:v>Даташит — производитель</x:v>
      </x:c>
      <x:c xmlns:x="http://schemas.openxmlformats.org/spreadsheetml/2006/main" r="X263" t="str" s="11">
        <x:v>https://yageogroup.com/content/datasheet/asset/file/PYU-RC_GROUP_51_ROHS_L</x:v>
      </x:c>
      <x:c xmlns:x="http://schemas.openxmlformats.org/spreadsheetml/2006/main" r="Y263" t="str" s="11">
        <x:v>C:\Users\Nomatin\Documents\Altium\MY_LIB\MY_LIB\Datasheets\YAGEO_RC_L.pdf</x:v>
      </x:c>
      <ns0:c xmlns:ns0="http://schemas.openxmlformats.org/spreadsheetml/2006/main" r="Z263" s="16" t="inlineStr">
        <ns0:is>
          <ns0:t>MY_LIB_R_TCR</ns0:t>
        </ns0:is>
      </ns0:c>
      <ns0:c xmlns:ns0="http://schemas.openxmlformats.org/spreadsheetml/2006/main" r="AA263" s="16" t="inlineStr">
        <ns0:is>
          <ns0:t>R(T), +100 ppm/C at 25 C; positive datasheet limit</ns0:t>
        </ns0:is>
      </ns0:c>
      <ns0:c xmlns:ns0="http://schemas.openxmlformats.org/spreadsheetml/2006/main" r="AB263" s="16" t="str">
        <ns0:v>General</ns0:v>
      </ns0:c>
      <ns0:c xmlns:ns0="http://schemas.openxmlformats.org/spreadsheetml/2006/main" r="AC263" s="16" t="inlineStr">
        <ns0:is>
          <ns0:t>Spice Subcircuit</ns0:t>
        </ns0:is>
      </ns0:c>
      <ns0:c xmlns:ns0="http://schemas.openxmlformats.org/spreadsheetml/2006/main" r="AD263" s="16" t="inlineStr">
        <ns0:is>
          <ns0:t>@DESIGNATOR %1 %2 @MODEL PARAMS: Rvalue=@VALUE TC1value=100u</ns0:t>
        </ns0:is>
      </ns0:c>
      <ns0:c xmlns:ns0="http://schemas.openxmlformats.org/spreadsheetml/2006/main" r="AE263" s="16" t="inlineStr">
        <ns0:is>
          <ns0:t>X</ns0:t>
        </ns0:is>
      </ns0:c>
      <ns0:c xmlns:ns0="http://schemas.openxmlformats.org/spreadsheetml/2006/main" r="AF263" s="16" t="str">
        <ns0:v>(1:1),(2:2)</ns0:v>
      </ns0:c>
      <ns0:c xmlns:ns0="http://schemas.openxmlformats.org/spreadsheetml/2006/main" r="AG263" s="16" t="inlineStr">
        <ns0:is>
          <ns0:t>Simulation\Resistors\MY_LIB_R_TCR.ckt</ns0:t>
        </ns0:is>
      </ns0:c>
      <ns0:c xmlns:ns0="http://schemas.openxmlformats.org/spreadsheetml/2006/main" r="AH263" s="16" t="inlineStr">
        <ns0:is>
          <ns0:t>±100 ppm/°C</ns0:t>
        </ns0:is>
      </ns0:c>
    </ns0:row>
    <ns0:row r="264" ht="30" customHeight="1">
      <ns0:c r="A264" t="str" s="10">
        <ns0:v>R0270</ns0:v>
      </ns0:c>
      <ns0:c r="B264" t="str" s="10">
        <ns0:v>Резистор</ns0:v>
      </ns0:c>
      <ns0:c r="C264" t="str" s="10">
        <ns0:v>68k</ns0:v>
      </ns0:c>
      <ns0:c r="D264" t="str" s="11">
        <ns0:f>SUBSTITUTE(SUBSTITUTE(SUBSTITUTE(SUBSTITUTE(C264,"meg"," МОм"),"k"," кОм"),"R"," Ом"),".",",")</ns0:f>
        <ns0:v>68 кОм</ns0:v>
      </ns0:c>
      <ns0:c r="E264" t="str" s="10">
        <ns0:v>±5%</ns0:v>
      </ns0:c>
      <ns0:c r="F264" t="str" s="10">
        <ns0:v>0,125 Вт</ns0:v>
      </ns0:c>
      <ns0:c r="G264" t="str" s="10">
        <ns0:v>150 В макс.</ns0:v>
      </ns0:c>
      <ns0:c r="H264" t="str" s="12">
        <ns0:v>0805</ns0:v>
      </ns0:c>
      <ns0:c r="I264" t="str" s="10">
        <ns0:v>YAGEO</ns0:v>
      </ns0:c>
      <ns0:c r="J264" t="str" s="10">
        <ns0:v>RC0805JR-0768KL</ns0:v>
      </ns0:c>
      <ns0:c r="K264" t="str" s="11">
        <ns0:f>B264&amp;" "&amp;D264&amp;" "&amp;E264&amp;" "&amp;H264</ns0:f>
        <ns0:v>Резистор 68 кОм ±5% 0805</ns0:v>
      </ns0:c>
      <ns0:c r="L264" t="str" s="13">
        <ns0:v>R</ns0:v>
      </ns0:c>
      <ns0:c r="M264" t="str" s="13">
        <ns0:v>Symbols\MY_LIB_Resistors.SchLib</ns0:v>
      </ns0:c>
      <ns0:c r="N264" t="str" s="13">
        <ns0:v>RESC2012X70N</ns0:v>
      </ns0:c>
      <ns0:c r="O264" t="str" s="13">
        <ns0:v>Footprints\PBL - SMD Packages.PcbLib</ns0:v>
      </ns0:c>
      <ns0:c xmlns:ns0="http://schemas.openxmlformats.org/spreadsheetml/2006/main" r="P26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4" s="10"/>
      <ns0:c r="R264" t="str" s="11">
        <ns0:f>D264</ns0:f>
        <ns0:v>68 кОм</ns0:v>
      </ns0:c>
      <ns0:c r="S264" t="str" s="11">
        <ns0:f>K264</ns0:f>
        <ns0:v>Резистор 68 кОм ±5% 0805</ns0:v>
      </ns0:c>
      <x:c xmlns:x="http://schemas.openxmlformats.org/spreadsheetml/2006/main" r="T264" t="str" s="11">
        <x:v>C:\Users\Nomatin\Documents\Altium\MY_LIB\MY_LIB\Datasheets\YAGEO_RC_L.pdf</x:v>
      </x:c>
      <x:c xmlns:x="http://schemas.openxmlformats.org/spreadsheetml/2006/main" r="U264" t="str" s="11">
        <x:v>Даташит — локальный</x:v>
      </x:c>
      <x:c xmlns:x="http://schemas.openxmlformats.org/spreadsheetml/2006/main" r="V264" t="str" s="11">
        <x:v>C:\Users\Nomatin\Documents\Altium\MY_LIB\MY_LIB\Datasheets\YAGEO_RC_L.pdf</x:v>
      </x:c>
      <x:c xmlns:x="http://schemas.openxmlformats.org/spreadsheetml/2006/main" r="W264" t="str" s="11">
        <x:v>Даташит — производитель</x:v>
      </x:c>
      <x:c xmlns:x="http://schemas.openxmlformats.org/spreadsheetml/2006/main" r="X264" t="str" s="11">
        <x:v>https://yageogroup.com/content/datasheet/asset/file/PYU-RC_GROUP_51_ROHS_L</x:v>
      </x:c>
      <x:c xmlns:x="http://schemas.openxmlformats.org/spreadsheetml/2006/main" r="Y264" t="str" s="11">
        <x:v>C:\Users\Nomatin\Documents\Altium\MY_LIB\MY_LIB\Datasheets\YAGEO_RC_L.pdf</x:v>
      </x:c>
      <ns0:c xmlns:ns0="http://schemas.openxmlformats.org/spreadsheetml/2006/main" r="Z264" s="16" t="inlineStr">
        <ns0:is>
          <ns0:t>MY_LIB_R_TCR</ns0:t>
        </ns0:is>
      </ns0:c>
      <ns0:c xmlns:ns0="http://schemas.openxmlformats.org/spreadsheetml/2006/main" r="AA264" s="16" t="inlineStr">
        <ns0:is>
          <ns0:t>R(T), +100 ppm/C at 25 C; positive datasheet limit</ns0:t>
        </ns0:is>
      </ns0:c>
      <ns0:c xmlns:ns0="http://schemas.openxmlformats.org/spreadsheetml/2006/main" r="AB264" s="16" t="str">
        <ns0:v>General</ns0:v>
      </ns0:c>
      <ns0:c xmlns:ns0="http://schemas.openxmlformats.org/spreadsheetml/2006/main" r="AC264" s="16" t="inlineStr">
        <ns0:is>
          <ns0:t>Spice Subcircuit</ns0:t>
        </ns0:is>
      </ns0:c>
      <ns0:c xmlns:ns0="http://schemas.openxmlformats.org/spreadsheetml/2006/main" r="AD264" s="16" t="inlineStr">
        <ns0:is>
          <ns0:t>@DESIGNATOR %1 %2 @MODEL PARAMS: Rvalue=@VALUE TC1value=100u</ns0:t>
        </ns0:is>
      </ns0:c>
      <ns0:c xmlns:ns0="http://schemas.openxmlformats.org/spreadsheetml/2006/main" r="AE264" s="16" t="inlineStr">
        <ns0:is>
          <ns0:t>X</ns0:t>
        </ns0:is>
      </ns0:c>
      <ns0:c xmlns:ns0="http://schemas.openxmlformats.org/spreadsheetml/2006/main" r="AF264" s="16" t="str">
        <ns0:v>(1:1),(2:2)</ns0:v>
      </ns0:c>
      <ns0:c xmlns:ns0="http://schemas.openxmlformats.org/spreadsheetml/2006/main" r="AG264" s="16" t="inlineStr">
        <ns0:is>
          <ns0:t>Simulation\Resistors\MY_LIB_R_TCR.ckt</ns0:t>
        </ns0:is>
      </ns0:c>
      <ns0:c xmlns:ns0="http://schemas.openxmlformats.org/spreadsheetml/2006/main" r="AH264" s="16" t="inlineStr">
        <ns0:is>
          <ns0:t>±100 ppm/°C</ns0:t>
        </ns0:is>
      </ns0:c>
    </ns0:row>
    <ns0:row r="265" ht="30" customHeight="1">
      <ns0:c r="A265" t="str" s="10">
        <ns0:v>R0271</ns0:v>
      </ns0:c>
      <ns0:c r="B265" t="str" s="10">
        <ns0:v>Резистор</ns0:v>
      </ns0:c>
      <ns0:c r="C265" t="str" s="10">
        <ns0:v>75k</ns0:v>
      </ns0:c>
      <ns0:c r="D265" t="str" s="11">
        <ns0:f>SUBSTITUTE(SUBSTITUTE(SUBSTITUTE(SUBSTITUTE(C265,"meg"," МОм"),"k"," кОм"),"R"," Ом"),".",",")</ns0:f>
        <ns0:v>75 кОм</ns0:v>
      </ns0:c>
      <ns0:c r="E265" t="str" s="10">
        <ns0:v>±5%</ns0:v>
      </ns0:c>
      <ns0:c r="F265" t="str" s="10">
        <ns0:v>0,125 Вт</ns0:v>
      </ns0:c>
      <ns0:c r="G265" t="str" s="10">
        <ns0:v>150 В макс.</ns0:v>
      </ns0:c>
      <ns0:c r="H265" t="str" s="12">
        <ns0:v>0805</ns0:v>
      </ns0:c>
      <ns0:c r="I265" t="str" s="10">
        <ns0:v>YAGEO</ns0:v>
      </ns0:c>
      <ns0:c r="J265" t="str" s="10">
        <ns0:v>RC0805JR-0775KL</ns0:v>
      </ns0:c>
      <ns0:c r="K265" t="str" s="11">
        <ns0:f>B265&amp;" "&amp;D265&amp;" "&amp;E265&amp;" "&amp;H265</ns0:f>
        <ns0:v>Резистор 75 кОм ±5% 0805</ns0:v>
      </ns0:c>
      <ns0:c r="L265" t="str" s="13">
        <ns0:v>R</ns0:v>
      </ns0:c>
      <ns0:c r="M265" t="str" s="13">
        <ns0:v>Symbols\MY_LIB_Resistors.SchLib</ns0:v>
      </ns0:c>
      <ns0:c r="N265" t="str" s="13">
        <ns0:v>RESC2012X70N</ns0:v>
      </ns0:c>
      <ns0:c r="O265" t="str" s="13">
        <ns0:v>Footprints\PBL - SMD Packages.PcbLib</ns0:v>
      </ns0:c>
      <ns0:c xmlns:ns0="http://schemas.openxmlformats.org/spreadsheetml/2006/main" r="P26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5" s="10"/>
      <ns0:c r="R265" t="str" s="11">
        <ns0:f>D265</ns0:f>
        <ns0:v>75 кОм</ns0:v>
      </ns0:c>
      <ns0:c r="S265" t="str" s="11">
        <ns0:f>K265</ns0:f>
        <ns0:v>Резистор 75 кОм ±5% 0805</ns0:v>
      </ns0:c>
      <x:c xmlns:x="http://schemas.openxmlformats.org/spreadsheetml/2006/main" r="T265" t="str" s="11">
        <x:v>C:\Users\Nomatin\Documents\Altium\MY_LIB\MY_LIB\Datasheets\YAGEO_RC_L.pdf</x:v>
      </x:c>
      <x:c xmlns:x="http://schemas.openxmlformats.org/spreadsheetml/2006/main" r="U265" t="str" s="11">
        <x:v>Даташит — локальный</x:v>
      </x:c>
      <x:c xmlns:x="http://schemas.openxmlformats.org/spreadsheetml/2006/main" r="V265" t="str" s="11">
        <x:v>C:\Users\Nomatin\Documents\Altium\MY_LIB\MY_LIB\Datasheets\YAGEO_RC_L.pdf</x:v>
      </x:c>
      <x:c xmlns:x="http://schemas.openxmlformats.org/spreadsheetml/2006/main" r="W265" t="str" s="11">
        <x:v>Даташит — производитель</x:v>
      </x:c>
      <x:c xmlns:x="http://schemas.openxmlformats.org/spreadsheetml/2006/main" r="X265" t="str" s="11">
        <x:v>https://yageogroup.com/content/datasheet/asset/file/PYU-RC_GROUP_51_ROHS_L</x:v>
      </x:c>
      <x:c xmlns:x="http://schemas.openxmlformats.org/spreadsheetml/2006/main" r="Y265" t="str" s="11">
        <x:v>C:\Users\Nomatin\Documents\Altium\MY_LIB\MY_LIB\Datasheets\YAGEO_RC_L.pdf</x:v>
      </x:c>
      <ns0:c xmlns:ns0="http://schemas.openxmlformats.org/spreadsheetml/2006/main" r="Z265" s="16" t="inlineStr">
        <ns0:is>
          <ns0:t>MY_LIB_R_TCR</ns0:t>
        </ns0:is>
      </ns0:c>
      <ns0:c xmlns:ns0="http://schemas.openxmlformats.org/spreadsheetml/2006/main" r="AA265" s="16" t="inlineStr">
        <ns0:is>
          <ns0:t>R(T), +100 ppm/C at 25 C; positive datasheet limit</ns0:t>
        </ns0:is>
      </ns0:c>
      <ns0:c xmlns:ns0="http://schemas.openxmlformats.org/spreadsheetml/2006/main" r="AB265" s="16" t="str">
        <ns0:v>General</ns0:v>
      </ns0:c>
      <ns0:c xmlns:ns0="http://schemas.openxmlformats.org/spreadsheetml/2006/main" r="AC265" s="16" t="inlineStr">
        <ns0:is>
          <ns0:t>Spice Subcircuit</ns0:t>
        </ns0:is>
      </ns0:c>
      <ns0:c xmlns:ns0="http://schemas.openxmlformats.org/spreadsheetml/2006/main" r="AD265" s="16" t="inlineStr">
        <ns0:is>
          <ns0:t>@DESIGNATOR %1 %2 @MODEL PARAMS: Rvalue=@VALUE TC1value=100u</ns0:t>
        </ns0:is>
      </ns0:c>
      <ns0:c xmlns:ns0="http://schemas.openxmlformats.org/spreadsheetml/2006/main" r="AE265" s="16" t="inlineStr">
        <ns0:is>
          <ns0:t>X</ns0:t>
        </ns0:is>
      </ns0:c>
      <ns0:c xmlns:ns0="http://schemas.openxmlformats.org/spreadsheetml/2006/main" r="AF265" s="16" t="str">
        <ns0:v>(1:1),(2:2)</ns0:v>
      </ns0:c>
      <ns0:c xmlns:ns0="http://schemas.openxmlformats.org/spreadsheetml/2006/main" r="AG265" s="16" t="inlineStr">
        <ns0:is>
          <ns0:t>Simulation\Resistors\MY_LIB_R_TCR.ckt</ns0:t>
        </ns0:is>
      </ns0:c>
      <ns0:c xmlns:ns0="http://schemas.openxmlformats.org/spreadsheetml/2006/main" r="AH265" s="16" t="inlineStr">
        <ns0:is>
          <ns0:t>±100 ppm/°C</ns0:t>
        </ns0:is>
      </ns0:c>
    </ns0:row>
    <ns0:row r="266" ht="30" customHeight="1">
      <ns0:c r="A266" t="str" s="10">
        <ns0:v>R0272</ns0:v>
      </ns0:c>
      <ns0:c r="B266" t="str" s="10">
        <ns0:v>Резистор</ns0:v>
      </ns0:c>
      <ns0:c r="C266" t="str" s="10">
        <ns0:v>82k</ns0:v>
      </ns0:c>
      <ns0:c r="D266" t="str" s="11">
        <ns0:f>SUBSTITUTE(SUBSTITUTE(SUBSTITUTE(SUBSTITUTE(C266,"meg"," МОм"),"k"," кОм"),"R"," Ом"),".",",")</ns0:f>
        <ns0:v>82 кОм</ns0:v>
      </ns0:c>
      <ns0:c r="E266" t="str" s="10">
        <ns0:v>±5%</ns0:v>
      </ns0:c>
      <ns0:c r="F266" t="str" s="10">
        <ns0:v>0,125 Вт</ns0:v>
      </ns0:c>
      <ns0:c r="G266" t="str" s="10">
        <ns0:v>150 В макс.</ns0:v>
      </ns0:c>
      <ns0:c r="H266" t="str" s="12">
        <ns0:v>0805</ns0:v>
      </ns0:c>
      <ns0:c r="I266" t="str" s="10">
        <ns0:v>YAGEO</ns0:v>
      </ns0:c>
      <ns0:c r="J266" t="str" s="10">
        <ns0:v>RC0805JR-0782KL</ns0:v>
      </ns0:c>
      <ns0:c r="K266" t="str" s="11">
        <ns0:f>B266&amp;" "&amp;D266&amp;" "&amp;E266&amp;" "&amp;H266</ns0:f>
        <ns0:v>Резистор 82 кОм ±5% 0805</ns0:v>
      </ns0:c>
      <ns0:c r="L266" t="str" s="13">
        <ns0:v>R</ns0:v>
      </ns0:c>
      <ns0:c r="M266" t="str" s="13">
        <ns0:v>Symbols\MY_LIB_Resistors.SchLib</ns0:v>
      </ns0:c>
      <ns0:c r="N266" t="str" s="13">
        <ns0:v>RESC2012X70N</ns0:v>
      </ns0:c>
      <ns0:c r="O266" t="str" s="13">
        <ns0:v>Footprints\PBL - SMD Packages.PcbLib</ns0:v>
      </ns0:c>
      <ns0:c xmlns:ns0="http://schemas.openxmlformats.org/spreadsheetml/2006/main" r="P26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6" s="10"/>
      <ns0:c r="R266" t="str" s="11">
        <ns0:f>D266</ns0:f>
        <ns0:v>82 кОм</ns0:v>
      </ns0:c>
      <ns0:c r="S266" t="str" s="11">
        <ns0:f>K266</ns0:f>
        <ns0:v>Резистор 82 кОм ±5% 0805</ns0:v>
      </ns0:c>
      <x:c xmlns:x="http://schemas.openxmlformats.org/spreadsheetml/2006/main" r="T266" t="str" s="11">
        <x:v>C:\Users\Nomatin\Documents\Altium\MY_LIB\MY_LIB\Datasheets\YAGEO_RC_L.pdf</x:v>
      </x:c>
      <x:c xmlns:x="http://schemas.openxmlformats.org/spreadsheetml/2006/main" r="U266" t="str" s="11">
        <x:v>Даташит — локальный</x:v>
      </x:c>
      <x:c xmlns:x="http://schemas.openxmlformats.org/spreadsheetml/2006/main" r="V266" t="str" s="11">
        <x:v>C:\Users\Nomatin\Documents\Altium\MY_LIB\MY_LIB\Datasheets\YAGEO_RC_L.pdf</x:v>
      </x:c>
      <x:c xmlns:x="http://schemas.openxmlformats.org/spreadsheetml/2006/main" r="W266" t="str" s="11">
        <x:v>Даташит — производитель</x:v>
      </x:c>
      <x:c xmlns:x="http://schemas.openxmlformats.org/spreadsheetml/2006/main" r="X266" t="str" s="11">
        <x:v>https://yageogroup.com/content/datasheet/asset/file/PYU-RC_GROUP_51_ROHS_L</x:v>
      </x:c>
      <x:c xmlns:x="http://schemas.openxmlformats.org/spreadsheetml/2006/main" r="Y266" t="str" s="11">
        <x:v>C:\Users\Nomatin\Documents\Altium\MY_LIB\MY_LIB\Datasheets\YAGEO_RC_L.pdf</x:v>
      </x:c>
      <ns0:c xmlns:ns0="http://schemas.openxmlformats.org/spreadsheetml/2006/main" r="Z266" s="16" t="inlineStr">
        <ns0:is>
          <ns0:t>MY_LIB_R_TCR</ns0:t>
        </ns0:is>
      </ns0:c>
      <ns0:c xmlns:ns0="http://schemas.openxmlformats.org/spreadsheetml/2006/main" r="AA266" s="16" t="inlineStr">
        <ns0:is>
          <ns0:t>R(T), +100 ppm/C at 25 C; positive datasheet limit</ns0:t>
        </ns0:is>
      </ns0:c>
      <ns0:c xmlns:ns0="http://schemas.openxmlformats.org/spreadsheetml/2006/main" r="AB266" s="16" t="str">
        <ns0:v>General</ns0:v>
      </ns0:c>
      <ns0:c xmlns:ns0="http://schemas.openxmlformats.org/spreadsheetml/2006/main" r="AC266" s="16" t="inlineStr">
        <ns0:is>
          <ns0:t>Spice Subcircuit</ns0:t>
        </ns0:is>
      </ns0:c>
      <ns0:c xmlns:ns0="http://schemas.openxmlformats.org/spreadsheetml/2006/main" r="AD266" s="16" t="inlineStr">
        <ns0:is>
          <ns0:t>@DESIGNATOR %1 %2 @MODEL PARAMS: Rvalue=@VALUE TC1value=100u</ns0:t>
        </ns0:is>
      </ns0:c>
      <ns0:c xmlns:ns0="http://schemas.openxmlformats.org/spreadsheetml/2006/main" r="AE266" s="16" t="inlineStr">
        <ns0:is>
          <ns0:t>X</ns0:t>
        </ns0:is>
      </ns0:c>
      <ns0:c xmlns:ns0="http://schemas.openxmlformats.org/spreadsheetml/2006/main" r="AF266" s="16" t="str">
        <ns0:v>(1:1),(2:2)</ns0:v>
      </ns0:c>
      <ns0:c xmlns:ns0="http://schemas.openxmlformats.org/spreadsheetml/2006/main" r="AG266" s="16" t="inlineStr">
        <ns0:is>
          <ns0:t>Simulation\Resistors\MY_LIB_R_TCR.ckt</ns0:t>
        </ns0:is>
      </ns0:c>
      <ns0:c xmlns:ns0="http://schemas.openxmlformats.org/spreadsheetml/2006/main" r="AH266" s="16" t="inlineStr">
        <ns0:is>
          <ns0:t>±100 ppm/°C</ns0:t>
        </ns0:is>
      </ns0:c>
    </ns0:row>
    <ns0:row r="267" ht="30" customHeight="1">
      <ns0:c r="A267" t="str" s="10">
        <ns0:v>R0273</ns0:v>
      </ns0:c>
      <ns0:c r="B267" t="str" s="10">
        <ns0:v>Резистор</ns0:v>
      </ns0:c>
      <ns0:c r="C267" t="str" s="10">
        <ns0:v>91k</ns0:v>
      </ns0:c>
      <ns0:c r="D267" t="str" s="11">
        <ns0:f>SUBSTITUTE(SUBSTITUTE(SUBSTITUTE(SUBSTITUTE(C267,"meg"," МОм"),"k"," кОм"),"R"," Ом"),".",",")</ns0:f>
        <ns0:v>91 кОм</ns0:v>
      </ns0:c>
      <ns0:c r="E267" t="str" s="10">
        <ns0:v>±5%</ns0:v>
      </ns0:c>
      <ns0:c r="F267" t="str" s="10">
        <ns0:v>0,125 Вт</ns0:v>
      </ns0:c>
      <ns0:c r="G267" t="str" s="10">
        <ns0:v>150 В макс.</ns0:v>
      </ns0:c>
      <ns0:c r="H267" t="str" s="12">
        <ns0:v>0805</ns0:v>
      </ns0:c>
      <ns0:c r="I267" t="str" s="10">
        <ns0:v>YAGEO</ns0:v>
      </ns0:c>
      <ns0:c r="J267" t="str" s="10">
        <ns0:v>RC0805JR-0791KL</ns0:v>
      </ns0:c>
      <ns0:c r="K267" t="str" s="11">
        <ns0:f>B267&amp;" "&amp;D267&amp;" "&amp;E267&amp;" "&amp;H267</ns0:f>
        <ns0:v>Резистор 91 кОм ±5% 0805</ns0:v>
      </ns0:c>
      <ns0:c r="L267" t="str" s="13">
        <ns0:v>R</ns0:v>
      </ns0:c>
      <ns0:c r="M267" t="str" s="13">
        <ns0:v>Symbols\MY_LIB_Resistors.SchLib</ns0:v>
      </ns0:c>
      <ns0:c r="N267" t="str" s="13">
        <ns0:v>RESC2012X70N</ns0:v>
      </ns0:c>
      <ns0:c r="O267" t="str" s="13">
        <ns0:v>Footprints\PBL - SMD Packages.PcbLib</ns0:v>
      </ns0:c>
      <ns0:c xmlns:ns0="http://schemas.openxmlformats.org/spreadsheetml/2006/main" r="P26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7" s="10"/>
      <ns0:c r="R267" t="str" s="11">
        <ns0:f>D267</ns0:f>
        <ns0:v>91 кОм</ns0:v>
      </ns0:c>
      <ns0:c r="S267" t="str" s="11">
        <ns0:f>K267</ns0:f>
        <ns0:v>Резистор 91 кОм ±5% 0805</ns0:v>
      </ns0:c>
      <x:c xmlns:x="http://schemas.openxmlformats.org/spreadsheetml/2006/main" r="T267" t="str" s="11">
        <x:v>C:\Users\Nomatin\Documents\Altium\MY_LIB\MY_LIB\Datasheets\YAGEO_RC_L.pdf</x:v>
      </x:c>
      <x:c xmlns:x="http://schemas.openxmlformats.org/spreadsheetml/2006/main" r="U267" t="str" s="11">
        <x:v>Даташит — локальный</x:v>
      </x:c>
      <x:c xmlns:x="http://schemas.openxmlformats.org/spreadsheetml/2006/main" r="V267" t="str" s="11">
        <x:v>C:\Users\Nomatin\Documents\Altium\MY_LIB\MY_LIB\Datasheets\YAGEO_RC_L.pdf</x:v>
      </x:c>
      <x:c xmlns:x="http://schemas.openxmlformats.org/spreadsheetml/2006/main" r="W267" t="str" s="11">
        <x:v>Даташит — производитель</x:v>
      </x:c>
      <x:c xmlns:x="http://schemas.openxmlformats.org/spreadsheetml/2006/main" r="X267" t="str" s="11">
        <x:v>https://yageogroup.com/content/datasheet/asset/file/PYU-RC_GROUP_51_ROHS_L</x:v>
      </x:c>
      <x:c xmlns:x="http://schemas.openxmlformats.org/spreadsheetml/2006/main" r="Y267" t="str" s="11">
        <x:v>C:\Users\Nomatin\Documents\Altium\MY_LIB\MY_LIB\Datasheets\YAGEO_RC_L.pdf</x:v>
      </x:c>
      <ns0:c xmlns:ns0="http://schemas.openxmlformats.org/spreadsheetml/2006/main" r="Z267" s="16" t="inlineStr">
        <ns0:is>
          <ns0:t>MY_LIB_R_TCR</ns0:t>
        </ns0:is>
      </ns0:c>
      <ns0:c xmlns:ns0="http://schemas.openxmlformats.org/spreadsheetml/2006/main" r="AA267" s="16" t="inlineStr">
        <ns0:is>
          <ns0:t>R(T), +100 ppm/C at 25 C; positive datasheet limit</ns0:t>
        </ns0:is>
      </ns0:c>
      <ns0:c xmlns:ns0="http://schemas.openxmlformats.org/spreadsheetml/2006/main" r="AB267" s="16" t="str">
        <ns0:v>General</ns0:v>
      </ns0:c>
      <ns0:c xmlns:ns0="http://schemas.openxmlformats.org/spreadsheetml/2006/main" r="AC267" s="16" t="inlineStr">
        <ns0:is>
          <ns0:t>Spice Subcircuit</ns0:t>
        </ns0:is>
      </ns0:c>
      <ns0:c xmlns:ns0="http://schemas.openxmlformats.org/spreadsheetml/2006/main" r="AD267" s="16" t="inlineStr">
        <ns0:is>
          <ns0:t>@DESIGNATOR %1 %2 @MODEL PARAMS: Rvalue=@VALUE TC1value=100u</ns0:t>
        </ns0:is>
      </ns0:c>
      <ns0:c xmlns:ns0="http://schemas.openxmlformats.org/spreadsheetml/2006/main" r="AE267" s="16" t="inlineStr">
        <ns0:is>
          <ns0:t>X</ns0:t>
        </ns0:is>
      </ns0:c>
      <ns0:c xmlns:ns0="http://schemas.openxmlformats.org/spreadsheetml/2006/main" r="AF267" s="16" t="str">
        <ns0:v>(1:1),(2:2)</ns0:v>
      </ns0:c>
      <ns0:c xmlns:ns0="http://schemas.openxmlformats.org/spreadsheetml/2006/main" r="AG267" s="16" t="inlineStr">
        <ns0:is>
          <ns0:t>Simulation\Resistors\MY_LIB_R_TCR.ckt</ns0:t>
        </ns0:is>
      </ns0:c>
      <ns0:c xmlns:ns0="http://schemas.openxmlformats.org/spreadsheetml/2006/main" r="AH267" s="16" t="inlineStr">
        <ns0:is>
          <ns0:t>±100 ppm/°C</ns0:t>
        </ns0:is>
      </ns0:c>
    </ns0:row>
    <ns0:row r="268" ht="30" customHeight="1">
      <ns0:c r="A268" t="str" s="10">
        <ns0:v>R0274</ns0:v>
      </ns0:c>
      <ns0:c r="B268" t="str" s="10">
        <ns0:v>Резистор</ns0:v>
      </ns0:c>
      <ns0:c r="C268" t="str" s="10">
        <ns0:v>100k</ns0:v>
      </ns0:c>
      <ns0:c r="D268" t="str" s="11">
        <ns0:f>SUBSTITUTE(SUBSTITUTE(SUBSTITUTE(SUBSTITUTE(C268,"meg"," МОм"),"k"," кОм"),"R"," Ом"),".",",")</ns0:f>
        <ns0:v>100 кОм</ns0:v>
      </ns0:c>
      <ns0:c r="E268" t="str" s="10">
        <ns0:v>±5%</ns0:v>
      </ns0:c>
      <ns0:c r="F268" t="str" s="10">
        <ns0:v>0,125 Вт</ns0:v>
      </ns0:c>
      <ns0:c r="G268" t="str" s="10">
        <ns0:v>150 В макс.</ns0:v>
      </ns0:c>
      <ns0:c r="H268" t="str" s="12">
        <ns0:v>0805</ns0:v>
      </ns0:c>
      <ns0:c r="I268" t="str" s="10">
        <ns0:v>YAGEO</ns0:v>
      </ns0:c>
      <ns0:c r="J268" t="str" s="10">
        <ns0:v>RC0805JR-07100KL</ns0:v>
      </ns0:c>
      <ns0:c r="K268" t="str" s="11">
        <ns0:f>B268&amp;" "&amp;D268&amp;" "&amp;E268&amp;" "&amp;H268</ns0:f>
        <ns0:v>Резистор 100 кОм ±5% 0805</ns0:v>
      </ns0:c>
      <ns0:c r="L268" t="str" s="13">
        <ns0:v>R</ns0:v>
      </ns0:c>
      <ns0:c r="M268" t="str" s="13">
        <ns0:v>Symbols\MY_LIB_Resistors.SchLib</ns0:v>
      </ns0:c>
      <ns0:c r="N268" t="str" s="13">
        <ns0:v>RESC2012X70N</ns0:v>
      </ns0:c>
      <ns0:c r="O268" t="str" s="13">
        <ns0:v>Footprints\PBL - SMD Packages.PcbLib</ns0:v>
      </ns0:c>
      <ns0:c xmlns:ns0="http://schemas.openxmlformats.org/spreadsheetml/2006/main" r="P26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8" s="10"/>
      <ns0:c r="R268" t="str" s="11">
        <ns0:f>D268</ns0:f>
        <ns0:v>100 кОм</ns0:v>
      </ns0:c>
      <ns0:c r="S268" t="str" s="11">
        <ns0:f>K268</ns0:f>
        <ns0:v>Резистор 100 кОм ±5% 0805</ns0:v>
      </ns0:c>
      <x:c xmlns:x="http://schemas.openxmlformats.org/spreadsheetml/2006/main" r="T268" t="str" s="11">
        <x:v>C:\Users\Nomatin\Documents\Altium\MY_LIB\MY_LIB\Datasheets\YAGEO_RC_L.pdf</x:v>
      </x:c>
      <x:c xmlns:x="http://schemas.openxmlformats.org/spreadsheetml/2006/main" r="U268" t="str" s="11">
        <x:v>Даташит — локальный</x:v>
      </x:c>
      <x:c xmlns:x="http://schemas.openxmlformats.org/spreadsheetml/2006/main" r="V268" t="str" s="11">
        <x:v>C:\Users\Nomatin\Documents\Altium\MY_LIB\MY_LIB\Datasheets\YAGEO_RC_L.pdf</x:v>
      </x:c>
      <x:c xmlns:x="http://schemas.openxmlformats.org/spreadsheetml/2006/main" r="W268" t="str" s="11">
        <x:v>Даташит — производитель</x:v>
      </x:c>
      <x:c xmlns:x="http://schemas.openxmlformats.org/spreadsheetml/2006/main" r="X268" t="str" s="11">
        <x:v>https://yageogroup.com/content/datasheet/asset/file/PYU-RC_GROUP_51_ROHS_L</x:v>
      </x:c>
      <x:c xmlns:x="http://schemas.openxmlformats.org/spreadsheetml/2006/main" r="Y268" t="str" s="11">
        <x:v>C:\Users\Nomatin\Documents\Altium\MY_LIB\MY_LIB\Datasheets\YAGEO_RC_L.pdf</x:v>
      </x:c>
      <ns0:c xmlns:ns0="http://schemas.openxmlformats.org/spreadsheetml/2006/main" r="Z268" s="16" t="inlineStr">
        <ns0:is>
          <ns0:t>MY_LIB_R_TCR</ns0:t>
        </ns0:is>
      </ns0:c>
      <ns0:c xmlns:ns0="http://schemas.openxmlformats.org/spreadsheetml/2006/main" r="AA268" s="16" t="inlineStr">
        <ns0:is>
          <ns0:t>R(T), +100 ppm/C at 25 C; positive datasheet limit</ns0:t>
        </ns0:is>
      </ns0:c>
      <ns0:c xmlns:ns0="http://schemas.openxmlformats.org/spreadsheetml/2006/main" r="AB268" s="16" t="str">
        <ns0:v>General</ns0:v>
      </ns0:c>
      <ns0:c xmlns:ns0="http://schemas.openxmlformats.org/spreadsheetml/2006/main" r="AC268" s="16" t="inlineStr">
        <ns0:is>
          <ns0:t>Spice Subcircuit</ns0:t>
        </ns0:is>
      </ns0:c>
      <ns0:c xmlns:ns0="http://schemas.openxmlformats.org/spreadsheetml/2006/main" r="AD268" s="16" t="inlineStr">
        <ns0:is>
          <ns0:t>@DESIGNATOR %1 %2 @MODEL PARAMS: Rvalue=@VALUE TC1value=100u</ns0:t>
        </ns0:is>
      </ns0:c>
      <ns0:c xmlns:ns0="http://schemas.openxmlformats.org/spreadsheetml/2006/main" r="AE268" s="16" t="inlineStr">
        <ns0:is>
          <ns0:t>X</ns0:t>
        </ns0:is>
      </ns0:c>
      <ns0:c xmlns:ns0="http://schemas.openxmlformats.org/spreadsheetml/2006/main" r="AF268" s="16" t="str">
        <ns0:v>(1:1),(2:2)</ns0:v>
      </ns0:c>
      <ns0:c xmlns:ns0="http://schemas.openxmlformats.org/spreadsheetml/2006/main" r="AG268" s="16" t="inlineStr">
        <ns0:is>
          <ns0:t>Simulation\Resistors\MY_LIB_R_TCR.ckt</ns0:t>
        </ns0:is>
      </ns0:c>
      <ns0:c xmlns:ns0="http://schemas.openxmlformats.org/spreadsheetml/2006/main" r="AH268" s="16" t="inlineStr">
        <ns0:is>
          <ns0:t>±100 ppm/°C</ns0:t>
        </ns0:is>
      </ns0:c>
    </ns0:row>
    <ns0:row r="269" ht="30" customHeight="1">
      <ns0:c r="A269" t="str" s="10">
        <ns0:v>R0275</ns0:v>
      </ns0:c>
      <ns0:c r="B269" t="str" s="10">
        <ns0:v>Резистор</ns0:v>
      </ns0:c>
      <ns0:c r="C269" t="str" s="10">
        <ns0:v>110k</ns0:v>
      </ns0:c>
      <ns0:c r="D269" t="str" s="11">
        <ns0:f>SUBSTITUTE(SUBSTITUTE(SUBSTITUTE(SUBSTITUTE(C269,"meg"," МОм"),"k"," кОм"),"R"," Ом"),".",",")</ns0:f>
        <ns0:v>110 кОм</ns0:v>
      </ns0:c>
      <ns0:c r="E269" t="str" s="10">
        <ns0:v>±5%</ns0:v>
      </ns0:c>
      <ns0:c r="F269" t="str" s="10">
        <ns0:v>0,125 Вт</ns0:v>
      </ns0:c>
      <ns0:c r="G269" t="str" s="10">
        <ns0:v>150 В макс.</ns0:v>
      </ns0:c>
      <ns0:c r="H269" t="str" s="12">
        <ns0:v>0805</ns0:v>
      </ns0:c>
      <ns0:c r="I269" t="str" s="10">
        <ns0:v>YAGEO</ns0:v>
      </ns0:c>
      <ns0:c r="J269" t="str" s="10">
        <ns0:v>RC0805JR-07110KL</ns0:v>
      </ns0:c>
      <ns0:c r="K269" t="str" s="11">
        <ns0:f>B269&amp;" "&amp;D269&amp;" "&amp;E269&amp;" "&amp;H269</ns0:f>
        <ns0:v>Резистор 110 кОм ±5% 0805</ns0:v>
      </ns0:c>
      <ns0:c r="L269" t="str" s="13">
        <ns0:v>R</ns0:v>
      </ns0:c>
      <ns0:c r="M269" t="str" s="13">
        <ns0:v>Symbols\MY_LIB_Resistors.SchLib</ns0:v>
      </ns0:c>
      <ns0:c r="N269" t="str" s="13">
        <ns0:v>RESC2012X70N</ns0:v>
      </ns0:c>
      <ns0:c r="O269" t="str" s="13">
        <ns0:v>Footprints\PBL - SMD Packages.PcbLib</ns0:v>
      </ns0:c>
      <ns0:c xmlns:ns0="http://schemas.openxmlformats.org/spreadsheetml/2006/main" r="P26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69" s="10"/>
      <ns0:c r="R269" t="str" s="11">
        <ns0:f>D269</ns0:f>
        <ns0:v>110 кОм</ns0:v>
      </ns0:c>
      <ns0:c r="S269" t="str" s="11">
        <ns0:f>K269</ns0:f>
        <ns0:v>Резистор 110 кОм ±5% 0805</ns0:v>
      </ns0:c>
      <x:c xmlns:x="http://schemas.openxmlformats.org/spreadsheetml/2006/main" r="T269" t="str" s="11">
        <x:v>C:\Users\Nomatin\Documents\Altium\MY_LIB\MY_LIB\Datasheets\YAGEO_RC_L.pdf</x:v>
      </x:c>
      <x:c xmlns:x="http://schemas.openxmlformats.org/spreadsheetml/2006/main" r="U269" t="str" s="11">
        <x:v>Даташит — локальный</x:v>
      </x:c>
      <x:c xmlns:x="http://schemas.openxmlformats.org/spreadsheetml/2006/main" r="V269" t="str" s="11">
        <x:v>C:\Users\Nomatin\Documents\Altium\MY_LIB\MY_LIB\Datasheets\YAGEO_RC_L.pdf</x:v>
      </x:c>
      <x:c xmlns:x="http://schemas.openxmlformats.org/spreadsheetml/2006/main" r="W269" t="str" s="11">
        <x:v>Даташит — производитель</x:v>
      </x:c>
      <x:c xmlns:x="http://schemas.openxmlformats.org/spreadsheetml/2006/main" r="X269" t="str" s="11">
        <x:v>https://yageogroup.com/content/datasheet/asset/file/PYU-RC_GROUP_51_ROHS_L</x:v>
      </x:c>
      <x:c xmlns:x="http://schemas.openxmlformats.org/spreadsheetml/2006/main" r="Y269" t="str" s="11">
        <x:v>C:\Users\Nomatin\Documents\Altium\MY_LIB\MY_LIB\Datasheets\YAGEO_RC_L.pdf</x:v>
      </x:c>
      <ns0:c xmlns:ns0="http://schemas.openxmlformats.org/spreadsheetml/2006/main" r="Z269" s="16" t="inlineStr">
        <ns0:is>
          <ns0:t>MY_LIB_R_TCR</ns0:t>
        </ns0:is>
      </ns0:c>
      <ns0:c xmlns:ns0="http://schemas.openxmlformats.org/spreadsheetml/2006/main" r="AA269" s="16" t="inlineStr">
        <ns0:is>
          <ns0:t>R(T), +100 ppm/C at 25 C; positive datasheet limit</ns0:t>
        </ns0:is>
      </ns0:c>
      <ns0:c xmlns:ns0="http://schemas.openxmlformats.org/spreadsheetml/2006/main" r="AB269" s="16" t="str">
        <ns0:v>General</ns0:v>
      </ns0:c>
      <ns0:c xmlns:ns0="http://schemas.openxmlformats.org/spreadsheetml/2006/main" r="AC269" s="16" t="inlineStr">
        <ns0:is>
          <ns0:t>Spice Subcircuit</ns0:t>
        </ns0:is>
      </ns0:c>
      <ns0:c xmlns:ns0="http://schemas.openxmlformats.org/spreadsheetml/2006/main" r="AD269" s="16" t="inlineStr">
        <ns0:is>
          <ns0:t>@DESIGNATOR %1 %2 @MODEL PARAMS: Rvalue=@VALUE TC1value=100u</ns0:t>
        </ns0:is>
      </ns0:c>
      <ns0:c xmlns:ns0="http://schemas.openxmlformats.org/spreadsheetml/2006/main" r="AE269" s="16" t="inlineStr">
        <ns0:is>
          <ns0:t>X</ns0:t>
        </ns0:is>
      </ns0:c>
      <ns0:c xmlns:ns0="http://schemas.openxmlformats.org/spreadsheetml/2006/main" r="AF269" s="16" t="str">
        <ns0:v>(1:1),(2:2)</ns0:v>
      </ns0:c>
      <ns0:c xmlns:ns0="http://schemas.openxmlformats.org/spreadsheetml/2006/main" r="AG269" s="16" t="inlineStr">
        <ns0:is>
          <ns0:t>Simulation\Resistors\MY_LIB_R_TCR.ckt</ns0:t>
        </ns0:is>
      </ns0:c>
      <ns0:c xmlns:ns0="http://schemas.openxmlformats.org/spreadsheetml/2006/main" r="AH269" s="16" t="inlineStr">
        <ns0:is>
          <ns0:t>±100 ppm/°C</ns0:t>
        </ns0:is>
      </ns0:c>
    </ns0:row>
    <ns0:row r="270" ht="30" customHeight="1">
      <ns0:c r="A270" t="str" s="10">
        <ns0:v>R0276</ns0:v>
      </ns0:c>
      <ns0:c r="B270" t="str" s="10">
        <ns0:v>Резистор</ns0:v>
      </ns0:c>
      <ns0:c r="C270" t="str" s="10">
        <ns0:v>120k</ns0:v>
      </ns0:c>
      <ns0:c r="D270" t="str" s="11">
        <ns0:f>SUBSTITUTE(SUBSTITUTE(SUBSTITUTE(SUBSTITUTE(C270,"meg"," МОм"),"k"," кОм"),"R"," Ом"),".",",")</ns0:f>
        <ns0:v>120 кОм</ns0:v>
      </ns0:c>
      <ns0:c r="E270" t="str" s="10">
        <ns0:v>±5%</ns0:v>
      </ns0:c>
      <ns0:c r="F270" t="str" s="10">
        <ns0:v>0,125 Вт</ns0:v>
      </ns0:c>
      <ns0:c r="G270" t="str" s="10">
        <ns0:v>150 В макс.</ns0:v>
      </ns0:c>
      <ns0:c r="H270" t="str" s="12">
        <ns0:v>0805</ns0:v>
      </ns0:c>
      <ns0:c r="I270" t="str" s="10">
        <ns0:v>YAGEO</ns0:v>
      </ns0:c>
      <ns0:c r="J270" t="str" s="10">
        <ns0:v>RC0805JR-07120KL</ns0:v>
      </ns0:c>
      <ns0:c r="K270" t="str" s="11">
        <ns0:f>B270&amp;" "&amp;D270&amp;" "&amp;E270&amp;" "&amp;H270</ns0:f>
        <ns0:v>Резистор 120 кОм ±5% 0805</ns0:v>
      </ns0:c>
      <ns0:c r="L270" t="str" s="13">
        <ns0:v>R</ns0:v>
      </ns0:c>
      <ns0:c r="M270" t="str" s="13">
        <ns0:v>Symbols\MY_LIB_Resistors.SchLib</ns0:v>
      </ns0:c>
      <ns0:c r="N270" t="str" s="13">
        <ns0:v>RESC2012X70N</ns0:v>
      </ns0:c>
      <ns0:c r="O270" t="str" s="13">
        <ns0:v>Footprints\PBL - SMD Packages.PcbLib</ns0:v>
      </ns0:c>
      <ns0:c xmlns:ns0="http://schemas.openxmlformats.org/spreadsheetml/2006/main" r="P27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0" s="10"/>
      <ns0:c r="R270" t="str" s="11">
        <ns0:f>D270</ns0:f>
        <ns0:v>120 кОм</ns0:v>
      </ns0:c>
      <ns0:c r="S270" t="str" s="11">
        <ns0:f>K270</ns0:f>
        <ns0:v>Резистор 120 кОм ±5% 0805</ns0:v>
      </ns0:c>
      <x:c xmlns:x="http://schemas.openxmlformats.org/spreadsheetml/2006/main" r="T270" t="str" s="11">
        <x:v>C:\Users\Nomatin\Documents\Altium\MY_LIB\MY_LIB\Datasheets\YAGEO_RC_L.pdf</x:v>
      </x:c>
      <x:c xmlns:x="http://schemas.openxmlformats.org/spreadsheetml/2006/main" r="U270" t="str" s="11">
        <x:v>Даташит — локальный</x:v>
      </x:c>
      <x:c xmlns:x="http://schemas.openxmlformats.org/spreadsheetml/2006/main" r="V270" t="str" s="11">
        <x:v>C:\Users\Nomatin\Documents\Altium\MY_LIB\MY_LIB\Datasheets\YAGEO_RC_L.pdf</x:v>
      </x:c>
      <x:c xmlns:x="http://schemas.openxmlformats.org/spreadsheetml/2006/main" r="W270" t="str" s="11">
        <x:v>Даташит — производитель</x:v>
      </x:c>
      <x:c xmlns:x="http://schemas.openxmlformats.org/spreadsheetml/2006/main" r="X270" t="str" s="11">
        <x:v>https://yageogroup.com/content/datasheet/asset/file/PYU-RC_GROUP_51_ROHS_L</x:v>
      </x:c>
      <x:c xmlns:x="http://schemas.openxmlformats.org/spreadsheetml/2006/main" r="Y270" t="str" s="11">
        <x:v>C:\Users\Nomatin\Documents\Altium\MY_LIB\MY_LIB\Datasheets\YAGEO_RC_L.pdf</x:v>
      </x:c>
      <ns0:c xmlns:ns0="http://schemas.openxmlformats.org/spreadsheetml/2006/main" r="Z270" s="16" t="inlineStr">
        <ns0:is>
          <ns0:t>MY_LIB_R_TCR</ns0:t>
        </ns0:is>
      </ns0:c>
      <ns0:c xmlns:ns0="http://schemas.openxmlformats.org/spreadsheetml/2006/main" r="AA270" s="16" t="inlineStr">
        <ns0:is>
          <ns0:t>R(T), +100 ppm/C at 25 C; positive datasheet limit</ns0:t>
        </ns0:is>
      </ns0:c>
      <ns0:c xmlns:ns0="http://schemas.openxmlformats.org/spreadsheetml/2006/main" r="AB270" s="16" t="str">
        <ns0:v>General</ns0:v>
      </ns0:c>
      <ns0:c xmlns:ns0="http://schemas.openxmlformats.org/spreadsheetml/2006/main" r="AC270" s="16" t="inlineStr">
        <ns0:is>
          <ns0:t>Spice Subcircuit</ns0:t>
        </ns0:is>
      </ns0:c>
      <ns0:c xmlns:ns0="http://schemas.openxmlformats.org/spreadsheetml/2006/main" r="AD270" s="16" t="inlineStr">
        <ns0:is>
          <ns0:t>@DESIGNATOR %1 %2 @MODEL PARAMS: Rvalue=@VALUE TC1value=100u</ns0:t>
        </ns0:is>
      </ns0:c>
      <ns0:c xmlns:ns0="http://schemas.openxmlformats.org/spreadsheetml/2006/main" r="AE270" s="16" t="inlineStr">
        <ns0:is>
          <ns0:t>X</ns0:t>
        </ns0:is>
      </ns0:c>
      <ns0:c xmlns:ns0="http://schemas.openxmlformats.org/spreadsheetml/2006/main" r="AF270" s="16" t="str">
        <ns0:v>(1:1),(2:2)</ns0:v>
      </ns0:c>
      <ns0:c xmlns:ns0="http://schemas.openxmlformats.org/spreadsheetml/2006/main" r="AG270" s="16" t="inlineStr">
        <ns0:is>
          <ns0:t>Simulation\Resistors\MY_LIB_R_TCR.ckt</ns0:t>
        </ns0:is>
      </ns0:c>
      <ns0:c xmlns:ns0="http://schemas.openxmlformats.org/spreadsheetml/2006/main" r="AH270" s="16" t="inlineStr">
        <ns0:is>
          <ns0:t>±100 ppm/°C</ns0:t>
        </ns0:is>
      </ns0:c>
    </ns0:row>
    <ns0:row r="271" ht="30" customHeight="1">
      <ns0:c r="A271" t="str" s="10">
        <ns0:v>R0277</ns0:v>
      </ns0:c>
      <ns0:c r="B271" t="str" s="10">
        <ns0:v>Резистор</ns0:v>
      </ns0:c>
      <ns0:c r="C271" t="str" s="10">
        <ns0:v>130k</ns0:v>
      </ns0:c>
      <ns0:c r="D271" t="str" s="11">
        <ns0:f>SUBSTITUTE(SUBSTITUTE(SUBSTITUTE(SUBSTITUTE(C271,"meg"," МОм"),"k"," кОм"),"R"," Ом"),".",",")</ns0:f>
        <ns0:v>130 кОм</ns0:v>
      </ns0:c>
      <ns0:c r="E271" t="str" s="10">
        <ns0:v>±5%</ns0:v>
      </ns0:c>
      <ns0:c r="F271" t="str" s="10">
        <ns0:v>0,125 Вт</ns0:v>
      </ns0:c>
      <ns0:c r="G271" t="str" s="10">
        <ns0:v>150 В макс.</ns0:v>
      </ns0:c>
      <ns0:c r="H271" t="str" s="12">
        <ns0:v>0805</ns0:v>
      </ns0:c>
      <ns0:c r="I271" t="str" s="10">
        <ns0:v>YAGEO</ns0:v>
      </ns0:c>
      <ns0:c r="J271" t="str" s="10">
        <ns0:v>RC0805JR-07130KL</ns0:v>
      </ns0:c>
      <ns0:c r="K271" t="str" s="11">
        <ns0:f>B271&amp;" "&amp;D271&amp;" "&amp;E271&amp;" "&amp;H271</ns0:f>
        <ns0:v>Резистор 130 кОм ±5% 0805</ns0:v>
      </ns0:c>
      <ns0:c r="L271" t="str" s="13">
        <ns0:v>R</ns0:v>
      </ns0:c>
      <ns0:c r="M271" t="str" s="13">
        <ns0:v>Symbols\MY_LIB_Resistors.SchLib</ns0:v>
      </ns0:c>
      <ns0:c r="N271" t="str" s="13">
        <ns0:v>RESC2012X70N</ns0:v>
      </ns0:c>
      <ns0:c r="O271" t="str" s="13">
        <ns0:v>Footprints\PBL - SMD Packages.PcbLib</ns0:v>
      </ns0:c>
      <ns0:c xmlns:ns0="http://schemas.openxmlformats.org/spreadsheetml/2006/main" r="P27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1" s="10"/>
      <ns0:c r="R271" t="str" s="11">
        <ns0:f>D271</ns0:f>
        <ns0:v>130 кОм</ns0:v>
      </ns0:c>
      <ns0:c r="S271" t="str" s="11">
        <ns0:f>K271</ns0:f>
        <ns0:v>Резистор 130 кОм ±5% 0805</ns0:v>
      </ns0:c>
      <x:c xmlns:x="http://schemas.openxmlformats.org/spreadsheetml/2006/main" r="T271" t="str" s="11">
        <x:v>C:\Users\Nomatin\Documents\Altium\MY_LIB\MY_LIB\Datasheets\YAGEO_RC_L.pdf</x:v>
      </x:c>
      <x:c xmlns:x="http://schemas.openxmlformats.org/spreadsheetml/2006/main" r="U271" t="str" s="11">
        <x:v>Даташит — локальный</x:v>
      </x:c>
      <x:c xmlns:x="http://schemas.openxmlformats.org/spreadsheetml/2006/main" r="V271" t="str" s="11">
        <x:v>C:\Users\Nomatin\Documents\Altium\MY_LIB\MY_LIB\Datasheets\YAGEO_RC_L.pdf</x:v>
      </x:c>
      <x:c xmlns:x="http://schemas.openxmlformats.org/spreadsheetml/2006/main" r="W271" t="str" s="11">
        <x:v>Даташит — производитель</x:v>
      </x:c>
      <x:c xmlns:x="http://schemas.openxmlformats.org/spreadsheetml/2006/main" r="X271" t="str" s="11">
        <x:v>https://yageogroup.com/content/datasheet/asset/file/PYU-RC_GROUP_51_ROHS_L</x:v>
      </x:c>
      <x:c xmlns:x="http://schemas.openxmlformats.org/spreadsheetml/2006/main" r="Y271" t="str" s="11">
        <x:v>C:\Users\Nomatin\Documents\Altium\MY_LIB\MY_LIB\Datasheets\YAGEO_RC_L.pdf</x:v>
      </x:c>
      <ns0:c xmlns:ns0="http://schemas.openxmlformats.org/spreadsheetml/2006/main" r="Z271" s="16" t="inlineStr">
        <ns0:is>
          <ns0:t>MY_LIB_R_TCR</ns0:t>
        </ns0:is>
      </ns0:c>
      <ns0:c xmlns:ns0="http://schemas.openxmlformats.org/spreadsheetml/2006/main" r="AA271" s="16" t="inlineStr">
        <ns0:is>
          <ns0:t>R(T), +100 ppm/C at 25 C; positive datasheet limit</ns0:t>
        </ns0:is>
      </ns0:c>
      <ns0:c xmlns:ns0="http://schemas.openxmlformats.org/spreadsheetml/2006/main" r="AB271" s="16" t="str">
        <ns0:v>General</ns0:v>
      </ns0:c>
      <ns0:c xmlns:ns0="http://schemas.openxmlformats.org/spreadsheetml/2006/main" r="AC271" s="16" t="inlineStr">
        <ns0:is>
          <ns0:t>Spice Subcircuit</ns0:t>
        </ns0:is>
      </ns0:c>
      <ns0:c xmlns:ns0="http://schemas.openxmlformats.org/spreadsheetml/2006/main" r="AD271" s="16" t="inlineStr">
        <ns0:is>
          <ns0:t>@DESIGNATOR %1 %2 @MODEL PARAMS: Rvalue=@VALUE TC1value=100u</ns0:t>
        </ns0:is>
      </ns0:c>
      <ns0:c xmlns:ns0="http://schemas.openxmlformats.org/spreadsheetml/2006/main" r="AE271" s="16" t="inlineStr">
        <ns0:is>
          <ns0:t>X</ns0:t>
        </ns0:is>
      </ns0:c>
      <ns0:c xmlns:ns0="http://schemas.openxmlformats.org/spreadsheetml/2006/main" r="AF271" s="16" t="str">
        <ns0:v>(1:1),(2:2)</ns0:v>
      </ns0:c>
      <ns0:c xmlns:ns0="http://schemas.openxmlformats.org/spreadsheetml/2006/main" r="AG271" s="16" t="inlineStr">
        <ns0:is>
          <ns0:t>Simulation\Resistors\MY_LIB_R_TCR.ckt</ns0:t>
        </ns0:is>
      </ns0:c>
      <ns0:c xmlns:ns0="http://schemas.openxmlformats.org/spreadsheetml/2006/main" r="AH271" s="16" t="inlineStr">
        <ns0:is>
          <ns0:t>±100 ppm/°C</ns0:t>
        </ns0:is>
      </ns0:c>
    </ns0:row>
    <ns0:row r="272" ht="30" customHeight="1">
      <ns0:c r="A272" t="str" s="10">
        <ns0:v>R0278</ns0:v>
      </ns0:c>
      <ns0:c r="B272" t="str" s="10">
        <ns0:v>Резистор</ns0:v>
      </ns0:c>
      <ns0:c r="C272" t="str" s="10">
        <ns0:v>150k</ns0:v>
      </ns0:c>
      <ns0:c r="D272" t="str" s="11">
        <ns0:f>SUBSTITUTE(SUBSTITUTE(SUBSTITUTE(SUBSTITUTE(C272,"meg"," МОм"),"k"," кОм"),"R"," Ом"),".",",")</ns0:f>
        <ns0:v>150 кОм</ns0:v>
      </ns0:c>
      <ns0:c r="E272" t="str" s="10">
        <ns0:v>±5%</ns0:v>
      </ns0:c>
      <ns0:c r="F272" t="str" s="10">
        <ns0:v>0,125 Вт</ns0:v>
      </ns0:c>
      <ns0:c r="G272" t="str" s="10">
        <ns0:v>150 В макс.</ns0:v>
      </ns0:c>
      <ns0:c r="H272" t="str" s="12">
        <ns0:v>0805</ns0:v>
      </ns0:c>
      <ns0:c r="I272" t="str" s="10">
        <ns0:v>YAGEO</ns0:v>
      </ns0:c>
      <ns0:c r="J272" t="str" s="10">
        <ns0:v>RC0805JR-07150KL</ns0:v>
      </ns0:c>
      <ns0:c r="K272" t="str" s="11">
        <ns0:f>B272&amp;" "&amp;D272&amp;" "&amp;E272&amp;" "&amp;H272</ns0:f>
        <ns0:v>Резистор 150 кОм ±5% 0805</ns0:v>
      </ns0:c>
      <ns0:c r="L272" t="str" s="13">
        <ns0:v>R</ns0:v>
      </ns0:c>
      <ns0:c r="M272" t="str" s="13">
        <ns0:v>Symbols\MY_LIB_Resistors.SchLib</ns0:v>
      </ns0:c>
      <ns0:c r="N272" t="str" s="13">
        <ns0:v>RESC2012X70N</ns0:v>
      </ns0:c>
      <ns0:c r="O272" t="str" s="13">
        <ns0:v>Footprints\PBL - SMD Packages.PcbLib</ns0:v>
      </ns0:c>
      <ns0:c xmlns:ns0="http://schemas.openxmlformats.org/spreadsheetml/2006/main" r="P27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2" s="10"/>
      <ns0:c r="R272" t="str" s="11">
        <ns0:f>D272</ns0:f>
        <ns0:v>150 кОм</ns0:v>
      </ns0:c>
      <ns0:c r="S272" t="str" s="11">
        <ns0:f>K272</ns0:f>
        <ns0:v>Резистор 150 кОм ±5% 0805</ns0:v>
      </ns0:c>
      <x:c xmlns:x="http://schemas.openxmlformats.org/spreadsheetml/2006/main" r="T272" t="str" s="11">
        <x:v>C:\Users\Nomatin\Documents\Altium\MY_LIB\MY_LIB\Datasheets\YAGEO_RC_L.pdf</x:v>
      </x:c>
      <x:c xmlns:x="http://schemas.openxmlformats.org/spreadsheetml/2006/main" r="U272" t="str" s="11">
        <x:v>Даташит — локальный</x:v>
      </x:c>
      <x:c xmlns:x="http://schemas.openxmlformats.org/spreadsheetml/2006/main" r="V272" t="str" s="11">
        <x:v>C:\Users\Nomatin\Documents\Altium\MY_LIB\MY_LIB\Datasheets\YAGEO_RC_L.pdf</x:v>
      </x:c>
      <x:c xmlns:x="http://schemas.openxmlformats.org/spreadsheetml/2006/main" r="W272" t="str" s="11">
        <x:v>Даташит — производитель</x:v>
      </x:c>
      <x:c xmlns:x="http://schemas.openxmlformats.org/spreadsheetml/2006/main" r="X272" t="str" s="11">
        <x:v>https://yageogroup.com/content/datasheet/asset/file/PYU-RC_GROUP_51_ROHS_L</x:v>
      </x:c>
      <x:c xmlns:x="http://schemas.openxmlformats.org/spreadsheetml/2006/main" r="Y272" t="str" s="11">
        <x:v>C:\Users\Nomatin\Documents\Altium\MY_LIB\MY_LIB\Datasheets\YAGEO_RC_L.pdf</x:v>
      </x:c>
      <ns0:c xmlns:ns0="http://schemas.openxmlformats.org/spreadsheetml/2006/main" r="Z272" s="16" t="inlineStr">
        <ns0:is>
          <ns0:t>MY_LIB_R_TCR</ns0:t>
        </ns0:is>
      </ns0:c>
      <ns0:c xmlns:ns0="http://schemas.openxmlformats.org/spreadsheetml/2006/main" r="AA272" s="16" t="inlineStr">
        <ns0:is>
          <ns0:t>R(T), +100 ppm/C at 25 C; positive datasheet limit</ns0:t>
        </ns0:is>
      </ns0:c>
      <ns0:c xmlns:ns0="http://schemas.openxmlformats.org/spreadsheetml/2006/main" r="AB272" s="16" t="str">
        <ns0:v>General</ns0:v>
      </ns0:c>
      <ns0:c xmlns:ns0="http://schemas.openxmlformats.org/spreadsheetml/2006/main" r="AC272" s="16" t="inlineStr">
        <ns0:is>
          <ns0:t>Spice Subcircuit</ns0:t>
        </ns0:is>
      </ns0:c>
      <ns0:c xmlns:ns0="http://schemas.openxmlformats.org/spreadsheetml/2006/main" r="AD272" s="16" t="inlineStr">
        <ns0:is>
          <ns0:t>@DESIGNATOR %1 %2 @MODEL PARAMS: Rvalue=@VALUE TC1value=100u</ns0:t>
        </ns0:is>
      </ns0:c>
      <ns0:c xmlns:ns0="http://schemas.openxmlformats.org/spreadsheetml/2006/main" r="AE272" s="16" t="inlineStr">
        <ns0:is>
          <ns0:t>X</ns0:t>
        </ns0:is>
      </ns0:c>
      <ns0:c xmlns:ns0="http://schemas.openxmlformats.org/spreadsheetml/2006/main" r="AF272" s="16" t="str">
        <ns0:v>(1:1),(2:2)</ns0:v>
      </ns0:c>
      <ns0:c xmlns:ns0="http://schemas.openxmlformats.org/spreadsheetml/2006/main" r="AG272" s="16" t="inlineStr">
        <ns0:is>
          <ns0:t>Simulation\Resistors\MY_LIB_R_TCR.ckt</ns0:t>
        </ns0:is>
      </ns0:c>
      <ns0:c xmlns:ns0="http://schemas.openxmlformats.org/spreadsheetml/2006/main" r="AH272" s="16" t="inlineStr">
        <ns0:is>
          <ns0:t>±100 ppm/°C</ns0:t>
        </ns0:is>
      </ns0:c>
    </ns0:row>
    <ns0:row r="273" ht="30" customHeight="1">
      <ns0:c r="A273" t="str" s="10">
        <ns0:v>R0279</ns0:v>
      </ns0:c>
      <ns0:c r="B273" t="str" s="10">
        <ns0:v>Резистор</ns0:v>
      </ns0:c>
      <ns0:c r="C273" t="str" s="10">
        <ns0:v>160k</ns0:v>
      </ns0:c>
      <ns0:c r="D273" t="str" s="11">
        <ns0:f>SUBSTITUTE(SUBSTITUTE(SUBSTITUTE(SUBSTITUTE(C273,"meg"," МОм"),"k"," кОм"),"R"," Ом"),".",",")</ns0:f>
        <ns0:v>160 кОм</ns0:v>
      </ns0:c>
      <ns0:c r="E273" t="str" s="10">
        <ns0:v>±5%</ns0:v>
      </ns0:c>
      <ns0:c r="F273" t="str" s="10">
        <ns0:v>0,125 Вт</ns0:v>
      </ns0:c>
      <ns0:c r="G273" t="str" s="10">
        <ns0:v>150 В макс.</ns0:v>
      </ns0:c>
      <ns0:c r="H273" t="str" s="12">
        <ns0:v>0805</ns0:v>
      </ns0:c>
      <ns0:c r="I273" t="str" s="10">
        <ns0:v>YAGEO</ns0:v>
      </ns0:c>
      <ns0:c r="J273" t="str" s="10">
        <ns0:v>RC0805JR-07160KL</ns0:v>
      </ns0:c>
      <ns0:c r="K273" t="str" s="11">
        <ns0:f>B273&amp;" "&amp;D273&amp;" "&amp;E273&amp;" "&amp;H273</ns0:f>
        <ns0:v>Резистор 160 кОм ±5% 0805</ns0:v>
      </ns0:c>
      <ns0:c r="L273" t="str" s="13">
        <ns0:v>R</ns0:v>
      </ns0:c>
      <ns0:c r="M273" t="str" s="13">
        <ns0:v>Symbols\MY_LIB_Resistors.SchLib</ns0:v>
      </ns0:c>
      <ns0:c r="N273" t="str" s="13">
        <ns0:v>RESC2012X70N</ns0:v>
      </ns0:c>
      <ns0:c r="O273" t="str" s="13">
        <ns0:v>Footprints\PBL - SMD Packages.PcbLib</ns0:v>
      </ns0:c>
      <ns0:c xmlns:ns0="http://schemas.openxmlformats.org/spreadsheetml/2006/main" r="P27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3" s="10"/>
      <ns0:c r="R273" t="str" s="11">
        <ns0:f>D273</ns0:f>
        <ns0:v>160 кОм</ns0:v>
      </ns0:c>
      <ns0:c r="S273" t="str" s="11">
        <ns0:f>K273</ns0:f>
        <ns0:v>Резистор 160 кОм ±5% 0805</ns0:v>
      </ns0:c>
      <x:c xmlns:x="http://schemas.openxmlformats.org/spreadsheetml/2006/main" r="T273" t="str" s="11">
        <x:v>C:\Users\Nomatin\Documents\Altium\MY_LIB\MY_LIB\Datasheets\YAGEO_RC_L.pdf</x:v>
      </x:c>
      <x:c xmlns:x="http://schemas.openxmlformats.org/spreadsheetml/2006/main" r="U273" t="str" s="11">
        <x:v>Даташит — локальный</x:v>
      </x:c>
      <x:c xmlns:x="http://schemas.openxmlformats.org/spreadsheetml/2006/main" r="V273" t="str" s="11">
        <x:v>C:\Users\Nomatin\Documents\Altium\MY_LIB\MY_LIB\Datasheets\YAGEO_RC_L.pdf</x:v>
      </x:c>
      <x:c xmlns:x="http://schemas.openxmlformats.org/spreadsheetml/2006/main" r="W273" t="str" s="11">
        <x:v>Даташит — производитель</x:v>
      </x:c>
      <x:c xmlns:x="http://schemas.openxmlformats.org/spreadsheetml/2006/main" r="X273" t="str" s="11">
        <x:v>https://yageogroup.com/content/datasheet/asset/file/PYU-RC_GROUP_51_ROHS_L</x:v>
      </x:c>
      <x:c xmlns:x="http://schemas.openxmlformats.org/spreadsheetml/2006/main" r="Y273" t="str" s="11">
        <x:v>C:\Users\Nomatin\Documents\Altium\MY_LIB\MY_LIB\Datasheets\YAGEO_RC_L.pdf</x:v>
      </x:c>
      <ns0:c xmlns:ns0="http://schemas.openxmlformats.org/spreadsheetml/2006/main" r="Z273" s="16" t="inlineStr">
        <ns0:is>
          <ns0:t>MY_LIB_R_TCR</ns0:t>
        </ns0:is>
      </ns0:c>
      <ns0:c xmlns:ns0="http://schemas.openxmlformats.org/spreadsheetml/2006/main" r="AA273" s="16" t="inlineStr">
        <ns0:is>
          <ns0:t>R(T), +100 ppm/C at 25 C; positive datasheet limit</ns0:t>
        </ns0:is>
      </ns0:c>
      <ns0:c xmlns:ns0="http://schemas.openxmlformats.org/spreadsheetml/2006/main" r="AB273" s="16" t="str">
        <ns0:v>General</ns0:v>
      </ns0:c>
      <ns0:c xmlns:ns0="http://schemas.openxmlformats.org/spreadsheetml/2006/main" r="AC273" s="16" t="inlineStr">
        <ns0:is>
          <ns0:t>Spice Subcircuit</ns0:t>
        </ns0:is>
      </ns0:c>
      <ns0:c xmlns:ns0="http://schemas.openxmlformats.org/spreadsheetml/2006/main" r="AD273" s="16" t="inlineStr">
        <ns0:is>
          <ns0:t>@DESIGNATOR %1 %2 @MODEL PARAMS: Rvalue=@VALUE TC1value=100u</ns0:t>
        </ns0:is>
      </ns0:c>
      <ns0:c xmlns:ns0="http://schemas.openxmlformats.org/spreadsheetml/2006/main" r="AE273" s="16" t="inlineStr">
        <ns0:is>
          <ns0:t>X</ns0:t>
        </ns0:is>
      </ns0:c>
      <ns0:c xmlns:ns0="http://schemas.openxmlformats.org/spreadsheetml/2006/main" r="AF273" s="16" t="str">
        <ns0:v>(1:1),(2:2)</ns0:v>
      </ns0:c>
      <ns0:c xmlns:ns0="http://schemas.openxmlformats.org/spreadsheetml/2006/main" r="AG273" s="16" t="inlineStr">
        <ns0:is>
          <ns0:t>Simulation\Resistors\MY_LIB_R_TCR.ckt</ns0:t>
        </ns0:is>
      </ns0:c>
      <ns0:c xmlns:ns0="http://schemas.openxmlformats.org/spreadsheetml/2006/main" r="AH273" s="16" t="inlineStr">
        <ns0:is>
          <ns0:t>±100 ppm/°C</ns0:t>
        </ns0:is>
      </ns0:c>
    </ns0:row>
    <ns0:row r="274" ht="30" customHeight="1">
      <ns0:c r="A274" t="str" s="10">
        <ns0:v>R0280</ns0:v>
      </ns0:c>
      <ns0:c r="B274" t="str" s="10">
        <ns0:v>Резистор</ns0:v>
      </ns0:c>
      <ns0:c r="C274" t="str" s="10">
        <ns0:v>180k</ns0:v>
      </ns0:c>
      <ns0:c r="D274" t="str" s="11">
        <ns0:f>SUBSTITUTE(SUBSTITUTE(SUBSTITUTE(SUBSTITUTE(C274,"meg"," МОм"),"k"," кОм"),"R"," Ом"),".",",")</ns0:f>
        <ns0:v>180 кОм</ns0:v>
      </ns0:c>
      <ns0:c r="E274" t="str" s="10">
        <ns0:v>±5%</ns0:v>
      </ns0:c>
      <ns0:c r="F274" t="str" s="10">
        <ns0:v>0,125 Вт</ns0:v>
      </ns0:c>
      <ns0:c r="G274" t="str" s="10">
        <ns0:v>150 В макс.</ns0:v>
      </ns0:c>
      <ns0:c r="H274" t="str" s="12">
        <ns0:v>0805</ns0:v>
      </ns0:c>
      <ns0:c r="I274" t="str" s="10">
        <ns0:v>YAGEO</ns0:v>
      </ns0:c>
      <ns0:c r="J274" t="str" s="10">
        <ns0:v>RC0805JR-07180KL</ns0:v>
      </ns0:c>
      <ns0:c r="K274" t="str" s="11">
        <ns0:f>B274&amp;" "&amp;D274&amp;" "&amp;E274&amp;" "&amp;H274</ns0:f>
        <ns0:v>Резистор 180 кОм ±5% 0805</ns0:v>
      </ns0:c>
      <ns0:c r="L274" t="str" s="13">
        <ns0:v>R</ns0:v>
      </ns0:c>
      <ns0:c r="M274" t="str" s="13">
        <ns0:v>Symbols\MY_LIB_Resistors.SchLib</ns0:v>
      </ns0:c>
      <ns0:c r="N274" t="str" s="13">
        <ns0:v>RESC2012X70N</ns0:v>
      </ns0:c>
      <ns0:c r="O274" t="str" s="13">
        <ns0:v>Footprints\PBL - SMD Packages.PcbLib</ns0:v>
      </ns0:c>
      <ns0:c xmlns:ns0="http://schemas.openxmlformats.org/spreadsheetml/2006/main" r="P27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4" s="10"/>
      <ns0:c r="R274" t="str" s="11">
        <ns0:f>D274</ns0:f>
        <ns0:v>180 кОм</ns0:v>
      </ns0:c>
      <ns0:c r="S274" t="str" s="11">
        <ns0:f>K274</ns0:f>
        <ns0:v>Резистор 180 кОм ±5% 0805</ns0:v>
      </ns0:c>
      <x:c xmlns:x="http://schemas.openxmlformats.org/spreadsheetml/2006/main" r="T274" t="str" s="11">
        <x:v>C:\Users\Nomatin\Documents\Altium\MY_LIB\MY_LIB\Datasheets\YAGEO_RC_L.pdf</x:v>
      </x:c>
      <x:c xmlns:x="http://schemas.openxmlformats.org/spreadsheetml/2006/main" r="U274" t="str" s="11">
        <x:v>Даташит — локальный</x:v>
      </x:c>
      <x:c xmlns:x="http://schemas.openxmlformats.org/spreadsheetml/2006/main" r="V274" t="str" s="11">
        <x:v>C:\Users\Nomatin\Documents\Altium\MY_LIB\MY_LIB\Datasheets\YAGEO_RC_L.pdf</x:v>
      </x:c>
      <x:c xmlns:x="http://schemas.openxmlformats.org/spreadsheetml/2006/main" r="W274" t="str" s="11">
        <x:v>Даташит — производитель</x:v>
      </x:c>
      <x:c xmlns:x="http://schemas.openxmlformats.org/spreadsheetml/2006/main" r="X274" t="str" s="11">
        <x:v>https://yageogroup.com/content/datasheet/asset/file/PYU-RC_GROUP_51_ROHS_L</x:v>
      </x:c>
      <x:c xmlns:x="http://schemas.openxmlformats.org/spreadsheetml/2006/main" r="Y274" t="str" s="11">
        <x:v>C:\Users\Nomatin\Documents\Altium\MY_LIB\MY_LIB\Datasheets\YAGEO_RC_L.pdf</x:v>
      </x:c>
      <ns0:c xmlns:ns0="http://schemas.openxmlformats.org/spreadsheetml/2006/main" r="Z274" s="16" t="inlineStr">
        <ns0:is>
          <ns0:t>MY_LIB_R_TCR</ns0:t>
        </ns0:is>
      </ns0:c>
      <ns0:c xmlns:ns0="http://schemas.openxmlformats.org/spreadsheetml/2006/main" r="AA274" s="16" t="inlineStr">
        <ns0:is>
          <ns0:t>R(T), +100 ppm/C at 25 C; positive datasheet limit</ns0:t>
        </ns0:is>
      </ns0:c>
      <ns0:c xmlns:ns0="http://schemas.openxmlformats.org/spreadsheetml/2006/main" r="AB274" s="16" t="str">
        <ns0:v>General</ns0:v>
      </ns0:c>
      <ns0:c xmlns:ns0="http://schemas.openxmlformats.org/spreadsheetml/2006/main" r="AC274" s="16" t="inlineStr">
        <ns0:is>
          <ns0:t>Spice Subcircuit</ns0:t>
        </ns0:is>
      </ns0:c>
      <ns0:c xmlns:ns0="http://schemas.openxmlformats.org/spreadsheetml/2006/main" r="AD274" s="16" t="inlineStr">
        <ns0:is>
          <ns0:t>@DESIGNATOR %1 %2 @MODEL PARAMS: Rvalue=@VALUE TC1value=100u</ns0:t>
        </ns0:is>
      </ns0:c>
      <ns0:c xmlns:ns0="http://schemas.openxmlformats.org/spreadsheetml/2006/main" r="AE274" s="16" t="inlineStr">
        <ns0:is>
          <ns0:t>X</ns0:t>
        </ns0:is>
      </ns0:c>
      <ns0:c xmlns:ns0="http://schemas.openxmlformats.org/spreadsheetml/2006/main" r="AF274" s="16" t="str">
        <ns0:v>(1:1),(2:2)</ns0:v>
      </ns0:c>
      <ns0:c xmlns:ns0="http://schemas.openxmlformats.org/spreadsheetml/2006/main" r="AG274" s="16" t="inlineStr">
        <ns0:is>
          <ns0:t>Simulation\Resistors\MY_LIB_R_TCR.ckt</ns0:t>
        </ns0:is>
      </ns0:c>
      <ns0:c xmlns:ns0="http://schemas.openxmlformats.org/spreadsheetml/2006/main" r="AH274" s="16" t="inlineStr">
        <ns0:is>
          <ns0:t>±100 ppm/°C</ns0:t>
        </ns0:is>
      </ns0:c>
    </ns0:row>
    <ns0:row r="275" ht="30" customHeight="1">
      <ns0:c r="A275" t="str" s="10">
        <ns0:v>R0281</ns0:v>
      </ns0:c>
      <ns0:c r="B275" t="str" s="10">
        <ns0:v>Резистор</ns0:v>
      </ns0:c>
      <ns0:c r="C275" t="str" s="10">
        <ns0:v>200k</ns0:v>
      </ns0:c>
      <ns0:c r="D275" t="str" s="11">
        <ns0:f>SUBSTITUTE(SUBSTITUTE(SUBSTITUTE(SUBSTITUTE(C275,"meg"," МОм"),"k"," кОм"),"R"," Ом"),".",",")</ns0:f>
        <ns0:v>200 кОм</ns0:v>
      </ns0:c>
      <ns0:c r="E275" t="str" s="10">
        <ns0:v>±5%</ns0:v>
      </ns0:c>
      <ns0:c r="F275" t="str" s="10">
        <ns0:v>0,125 Вт</ns0:v>
      </ns0:c>
      <ns0:c r="G275" t="str" s="10">
        <ns0:v>150 В макс.</ns0:v>
      </ns0:c>
      <ns0:c r="H275" t="str" s="12">
        <ns0:v>0805</ns0:v>
      </ns0:c>
      <ns0:c r="I275" t="str" s="10">
        <ns0:v>YAGEO</ns0:v>
      </ns0:c>
      <ns0:c r="J275" t="str" s="10">
        <ns0:v>RC0805JR-07200KL</ns0:v>
      </ns0:c>
      <ns0:c r="K275" t="str" s="11">
        <ns0:f>B275&amp;" "&amp;D275&amp;" "&amp;E275&amp;" "&amp;H275</ns0:f>
        <ns0:v>Резистор 200 кОм ±5% 0805</ns0:v>
      </ns0:c>
      <ns0:c r="L275" t="str" s="13">
        <ns0:v>R</ns0:v>
      </ns0:c>
      <ns0:c r="M275" t="str" s="13">
        <ns0:v>Symbols\MY_LIB_Resistors.SchLib</ns0:v>
      </ns0:c>
      <ns0:c r="N275" t="str" s="13">
        <ns0:v>RESC2012X70N</ns0:v>
      </ns0:c>
      <ns0:c r="O275" t="str" s="13">
        <ns0:v>Footprints\PBL - SMD Packages.PcbLib</ns0:v>
      </ns0:c>
      <ns0:c xmlns:ns0="http://schemas.openxmlformats.org/spreadsheetml/2006/main" r="P27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5" s="10"/>
      <ns0:c r="R275" t="str" s="11">
        <ns0:f>D275</ns0:f>
        <ns0:v>200 кОм</ns0:v>
      </ns0:c>
      <ns0:c r="S275" t="str" s="11">
        <ns0:f>K275</ns0:f>
        <ns0:v>Резистор 200 кОм ±5% 0805</ns0:v>
      </ns0:c>
      <x:c xmlns:x="http://schemas.openxmlformats.org/spreadsheetml/2006/main" r="T275" t="str" s="11">
        <x:v>C:\Users\Nomatin\Documents\Altium\MY_LIB\MY_LIB\Datasheets\YAGEO_RC_L.pdf</x:v>
      </x:c>
      <x:c xmlns:x="http://schemas.openxmlformats.org/spreadsheetml/2006/main" r="U275" t="str" s="11">
        <x:v>Даташит — локальный</x:v>
      </x:c>
      <x:c xmlns:x="http://schemas.openxmlformats.org/spreadsheetml/2006/main" r="V275" t="str" s="11">
        <x:v>C:\Users\Nomatin\Documents\Altium\MY_LIB\MY_LIB\Datasheets\YAGEO_RC_L.pdf</x:v>
      </x:c>
      <x:c xmlns:x="http://schemas.openxmlformats.org/spreadsheetml/2006/main" r="W275" t="str" s="11">
        <x:v>Даташит — производитель</x:v>
      </x:c>
      <x:c xmlns:x="http://schemas.openxmlformats.org/spreadsheetml/2006/main" r="X275" t="str" s="11">
        <x:v>https://yageogroup.com/content/datasheet/asset/file/PYU-RC_GROUP_51_ROHS_L</x:v>
      </x:c>
      <x:c xmlns:x="http://schemas.openxmlformats.org/spreadsheetml/2006/main" r="Y275" t="str" s="11">
        <x:v>C:\Users\Nomatin\Documents\Altium\MY_LIB\MY_LIB\Datasheets\YAGEO_RC_L.pdf</x:v>
      </x:c>
      <ns0:c xmlns:ns0="http://schemas.openxmlformats.org/spreadsheetml/2006/main" r="Z275" s="16" t="inlineStr">
        <ns0:is>
          <ns0:t>MY_LIB_R_TCR</ns0:t>
        </ns0:is>
      </ns0:c>
      <ns0:c xmlns:ns0="http://schemas.openxmlformats.org/spreadsheetml/2006/main" r="AA275" s="16" t="inlineStr">
        <ns0:is>
          <ns0:t>R(T), +100 ppm/C at 25 C; positive datasheet limit</ns0:t>
        </ns0:is>
      </ns0:c>
      <ns0:c xmlns:ns0="http://schemas.openxmlformats.org/spreadsheetml/2006/main" r="AB275" s="16" t="str">
        <ns0:v>General</ns0:v>
      </ns0:c>
      <ns0:c xmlns:ns0="http://schemas.openxmlformats.org/spreadsheetml/2006/main" r="AC275" s="16" t="inlineStr">
        <ns0:is>
          <ns0:t>Spice Subcircuit</ns0:t>
        </ns0:is>
      </ns0:c>
      <ns0:c xmlns:ns0="http://schemas.openxmlformats.org/spreadsheetml/2006/main" r="AD275" s="16" t="inlineStr">
        <ns0:is>
          <ns0:t>@DESIGNATOR %1 %2 @MODEL PARAMS: Rvalue=@VALUE TC1value=100u</ns0:t>
        </ns0:is>
      </ns0:c>
      <ns0:c xmlns:ns0="http://schemas.openxmlformats.org/spreadsheetml/2006/main" r="AE275" s="16" t="inlineStr">
        <ns0:is>
          <ns0:t>X</ns0:t>
        </ns0:is>
      </ns0:c>
      <ns0:c xmlns:ns0="http://schemas.openxmlformats.org/spreadsheetml/2006/main" r="AF275" s="16" t="str">
        <ns0:v>(1:1),(2:2)</ns0:v>
      </ns0:c>
      <ns0:c xmlns:ns0="http://schemas.openxmlformats.org/spreadsheetml/2006/main" r="AG275" s="16" t="inlineStr">
        <ns0:is>
          <ns0:t>Simulation\Resistors\MY_LIB_R_TCR.ckt</ns0:t>
        </ns0:is>
      </ns0:c>
      <ns0:c xmlns:ns0="http://schemas.openxmlformats.org/spreadsheetml/2006/main" r="AH275" s="16" t="inlineStr">
        <ns0:is>
          <ns0:t>±100 ppm/°C</ns0:t>
        </ns0:is>
      </ns0:c>
    </ns0:row>
    <ns0:row r="276" ht="30" customHeight="1">
      <ns0:c r="A276" t="str" s="10">
        <ns0:v>R0282</ns0:v>
      </ns0:c>
      <ns0:c r="B276" t="str" s="10">
        <ns0:v>Резистор</ns0:v>
      </ns0:c>
      <ns0:c r="C276" t="str" s="10">
        <ns0:v>220k</ns0:v>
      </ns0:c>
      <ns0:c r="D276" t="str" s="11">
        <ns0:f>SUBSTITUTE(SUBSTITUTE(SUBSTITUTE(SUBSTITUTE(C276,"meg"," МОм"),"k"," кОм"),"R"," Ом"),".",",")</ns0:f>
        <ns0:v>220 кОм</ns0:v>
      </ns0:c>
      <ns0:c r="E276" t="str" s="10">
        <ns0:v>±5%</ns0:v>
      </ns0:c>
      <ns0:c r="F276" t="str" s="10">
        <ns0:v>0,125 Вт</ns0:v>
      </ns0:c>
      <ns0:c r="G276" t="str" s="10">
        <ns0:v>150 В макс.</ns0:v>
      </ns0:c>
      <ns0:c r="H276" t="str" s="12">
        <ns0:v>0805</ns0:v>
      </ns0:c>
      <ns0:c r="I276" t="str" s="10">
        <ns0:v>YAGEO</ns0:v>
      </ns0:c>
      <ns0:c r="J276" t="str" s="10">
        <ns0:v>RC0805JR-07220KL</ns0:v>
      </ns0:c>
      <ns0:c r="K276" t="str" s="11">
        <ns0:f>B276&amp;" "&amp;D276&amp;" "&amp;E276&amp;" "&amp;H276</ns0:f>
        <ns0:v>Резистор 220 кОм ±5% 0805</ns0:v>
      </ns0:c>
      <ns0:c r="L276" t="str" s="13">
        <ns0:v>R</ns0:v>
      </ns0:c>
      <ns0:c r="M276" t="str" s="13">
        <ns0:v>Symbols\MY_LIB_Resistors.SchLib</ns0:v>
      </ns0:c>
      <ns0:c r="N276" t="str" s="13">
        <ns0:v>RESC2012X70N</ns0:v>
      </ns0:c>
      <ns0:c r="O276" t="str" s="13">
        <ns0:v>Footprints\PBL - SMD Packages.PcbLib</ns0:v>
      </ns0:c>
      <ns0:c xmlns:ns0="http://schemas.openxmlformats.org/spreadsheetml/2006/main" r="P27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6" s="10"/>
      <ns0:c r="R276" t="str" s="11">
        <ns0:f>D276</ns0:f>
        <ns0:v>220 кОм</ns0:v>
      </ns0:c>
      <ns0:c r="S276" t="str" s="11">
        <ns0:f>K276</ns0:f>
        <ns0:v>Резистор 220 кОм ±5% 0805</ns0:v>
      </ns0:c>
      <x:c xmlns:x="http://schemas.openxmlformats.org/spreadsheetml/2006/main" r="T276" t="str" s="11">
        <x:v>C:\Users\Nomatin\Documents\Altium\MY_LIB\MY_LIB\Datasheets\YAGEO_RC_L.pdf</x:v>
      </x:c>
      <x:c xmlns:x="http://schemas.openxmlformats.org/spreadsheetml/2006/main" r="U276" t="str" s="11">
        <x:v>Даташит — локальный</x:v>
      </x:c>
      <x:c xmlns:x="http://schemas.openxmlformats.org/spreadsheetml/2006/main" r="V276" t="str" s="11">
        <x:v>C:\Users\Nomatin\Documents\Altium\MY_LIB\MY_LIB\Datasheets\YAGEO_RC_L.pdf</x:v>
      </x:c>
      <x:c xmlns:x="http://schemas.openxmlformats.org/spreadsheetml/2006/main" r="W276" t="str" s="11">
        <x:v>Даташит — производитель</x:v>
      </x:c>
      <x:c xmlns:x="http://schemas.openxmlformats.org/spreadsheetml/2006/main" r="X276" t="str" s="11">
        <x:v>https://yageogroup.com/content/datasheet/asset/file/PYU-RC_GROUP_51_ROHS_L</x:v>
      </x:c>
      <x:c xmlns:x="http://schemas.openxmlformats.org/spreadsheetml/2006/main" r="Y276" t="str" s="11">
        <x:v>C:\Users\Nomatin\Documents\Altium\MY_LIB\MY_LIB\Datasheets\YAGEO_RC_L.pdf</x:v>
      </x:c>
      <ns0:c xmlns:ns0="http://schemas.openxmlformats.org/spreadsheetml/2006/main" r="Z276" s="16" t="inlineStr">
        <ns0:is>
          <ns0:t>MY_LIB_R_TCR</ns0:t>
        </ns0:is>
      </ns0:c>
      <ns0:c xmlns:ns0="http://schemas.openxmlformats.org/spreadsheetml/2006/main" r="AA276" s="16" t="inlineStr">
        <ns0:is>
          <ns0:t>R(T), +100 ppm/C at 25 C; positive datasheet limit</ns0:t>
        </ns0:is>
      </ns0:c>
      <ns0:c xmlns:ns0="http://schemas.openxmlformats.org/spreadsheetml/2006/main" r="AB276" s="16" t="str">
        <ns0:v>General</ns0:v>
      </ns0:c>
      <ns0:c xmlns:ns0="http://schemas.openxmlformats.org/spreadsheetml/2006/main" r="AC276" s="16" t="inlineStr">
        <ns0:is>
          <ns0:t>Spice Subcircuit</ns0:t>
        </ns0:is>
      </ns0:c>
      <ns0:c xmlns:ns0="http://schemas.openxmlformats.org/spreadsheetml/2006/main" r="AD276" s="16" t="inlineStr">
        <ns0:is>
          <ns0:t>@DESIGNATOR %1 %2 @MODEL PARAMS: Rvalue=@VALUE TC1value=100u</ns0:t>
        </ns0:is>
      </ns0:c>
      <ns0:c xmlns:ns0="http://schemas.openxmlformats.org/spreadsheetml/2006/main" r="AE276" s="16" t="inlineStr">
        <ns0:is>
          <ns0:t>X</ns0:t>
        </ns0:is>
      </ns0:c>
      <ns0:c xmlns:ns0="http://schemas.openxmlformats.org/spreadsheetml/2006/main" r="AF276" s="16" t="str">
        <ns0:v>(1:1),(2:2)</ns0:v>
      </ns0:c>
      <ns0:c xmlns:ns0="http://schemas.openxmlformats.org/spreadsheetml/2006/main" r="AG276" s="16" t="inlineStr">
        <ns0:is>
          <ns0:t>Simulation\Resistors\MY_LIB_R_TCR.ckt</ns0:t>
        </ns0:is>
      </ns0:c>
      <ns0:c xmlns:ns0="http://schemas.openxmlformats.org/spreadsheetml/2006/main" r="AH276" s="16" t="inlineStr">
        <ns0:is>
          <ns0:t>±100 ppm/°C</ns0:t>
        </ns0:is>
      </ns0:c>
    </ns0:row>
    <ns0:row r="277" ht="30" customHeight="1">
      <ns0:c r="A277" t="str" s="10">
        <ns0:v>R0283</ns0:v>
      </ns0:c>
      <ns0:c r="B277" t="str" s="10">
        <ns0:v>Резистор</ns0:v>
      </ns0:c>
      <ns0:c r="C277" t="str" s="10">
        <ns0:v>240k</ns0:v>
      </ns0:c>
      <ns0:c r="D277" t="str" s="11">
        <ns0:f>SUBSTITUTE(SUBSTITUTE(SUBSTITUTE(SUBSTITUTE(C277,"meg"," МОм"),"k"," кОм"),"R"," Ом"),".",",")</ns0:f>
        <ns0:v>240 кОм</ns0:v>
      </ns0:c>
      <ns0:c r="E277" t="str" s="10">
        <ns0:v>±5%</ns0:v>
      </ns0:c>
      <ns0:c r="F277" t="str" s="10">
        <ns0:v>0,125 Вт</ns0:v>
      </ns0:c>
      <ns0:c r="G277" t="str" s="10">
        <ns0:v>150 В макс.</ns0:v>
      </ns0:c>
      <ns0:c r="H277" t="str" s="12">
        <ns0:v>0805</ns0:v>
      </ns0:c>
      <ns0:c r="I277" t="str" s="10">
        <ns0:v>YAGEO</ns0:v>
      </ns0:c>
      <ns0:c r="J277" t="str" s="10">
        <ns0:v>RC0805JR-07240KL</ns0:v>
      </ns0:c>
      <ns0:c r="K277" t="str" s="11">
        <ns0:f>B277&amp;" "&amp;D277&amp;" "&amp;E277&amp;" "&amp;H277</ns0:f>
        <ns0:v>Резистор 240 кОм ±5% 0805</ns0:v>
      </ns0:c>
      <ns0:c r="L277" t="str" s="13">
        <ns0:v>R</ns0:v>
      </ns0:c>
      <ns0:c r="M277" t="str" s="13">
        <ns0:v>Symbols\MY_LIB_Resistors.SchLib</ns0:v>
      </ns0:c>
      <ns0:c r="N277" t="str" s="13">
        <ns0:v>RESC2012X70N</ns0:v>
      </ns0:c>
      <ns0:c r="O277" t="str" s="13">
        <ns0:v>Footprints\PBL - SMD Packages.PcbLib</ns0:v>
      </ns0:c>
      <ns0:c xmlns:ns0="http://schemas.openxmlformats.org/spreadsheetml/2006/main" r="P27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7" s="10"/>
      <ns0:c r="R277" t="str" s="11">
        <ns0:f>D277</ns0:f>
        <ns0:v>240 кОм</ns0:v>
      </ns0:c>
      <ns0:c r="S277" t="str" s="11">
        <ns0:f>K277</ns0:f>
        <ns0:v>Резистор 240 кОм ±5% 0805</ns0:v>
      </ns0:c>
      <x:c xmlns:x="http://schemas.openxmlformats.org/spreadsheetml/2006/main" r="T277" t="str" s="11">
        <x:v>C:\Users\Nomatin\Documents\Altium\MY_LIB\MY_LIB\Datasheets\YAGEO_RC_L.pdf</x:v>
      </x:c>
      <x:c xmlns:x="http://schemas.openxmlformats.org/spreadsheetml/2006/main" r="U277" t="str" s="11">
        <x:v>Даташит — локальный</x:v>
      </x:c>
      <x:c xmlns:x="http://schemas.openxmlformats.org/spreadsheetml/2006/main" r="V277" t="str" s="11">
        <x:v>C:\Users\Nomatin\Documents\Altium\MY_LIB\MY_LIB\Datasheets\YAGEO_RC_L.pdf</x:v>
      </x:c>
      <x:c xmlns:x="http://schemas.openxmlformats.org/spreadsheetml/2006/main" r="W277" t="str" s="11">
        <x:v>Даташит — производитель</x:v>
      </x:c>
      <x:c xmlns:x="http://schemas.openxmlformats.org/spreadsheetml/2006/main" r="X277" t="str" s="11">
        <x:v>https://yageogroup.com/content/datasheet/asset/file/PYU-RC_GROUP_51_ROHS_L</x:v>
      </x:c>
      <x:c xmlns:x="http://schemas.openxmlformats.org/spreadsheetml/2006/main" r="Y277" t="str" s="11">
        <x:v>C:\Users\Nomatin\Documents\Altium\MY_LIB\MY_LIB\Datasheets\YAGEO_RC_L.pdf</x:v>
      </x:c>
      <ns0:c xmlns:ns0="http://schemas.openxmlformats.org/spreadsheetml/2006/main" r="Z277" s="16" t="inlineStr">
        <ns0:is>
          <ns0:t>MY_LIB_R_TCR</ns0:t>
        </ns0:is>
      </ns0:c>
      <ns0:c xmlns:ns0="http://schemas.openxmlformats.org/spreadsheetml/2006/main" r="AA277" s="16" t="inlineStr">
        <ns0:is>
          <ns0:t>R(T), +100 ppm/C at 25 C; positive datasheet limit</ns0:t>
        </ns0:is>
      </ns0:c>
      <ns0:c xmlns:ns0="http://schemas.openxmlformats.org/spreadsheetml/2006/main" r="AB277" s="16" t="str">
        <ns0:v>General</ns0:v>
      </ns0:c>
      <ns0:c xmlns:ns0="http://schemas.openxmlformats.org/spreadsheetml/2006/main" r="AC277" s="16" t="inlineStr">
        <ns0:is>
          <ns0:t>Spice Subcircuit</ns0:t>
        </ns0:is>
      </ns0:c>
      <ns0:c xmlns:ns0="http://schemas.openxmlformats.org/spreadsheetml/2006/main" r="AD277" s="16" t="inlineStr">
        <ns0:is>
          <ns0:t>@DESIGNATOR %1 %2 @MODEL PARAMS: Rvalue=@VALUE TC1value=100u</ns0:t>
        </ns0:is>
      </ns0:c>
      <ns0:c xmlns:ns0="http://schemas.openxmlformats.org/spreadsheetml/2006/main" r="AE277" s="16" t="inlineStr">
        <ns0:is>
          <ns0:t>X</ns0:t>
        </ns0:is>
      </ns0:c>
      <ns0:c xmlns:ns0="http://schemas.openxmlformats.org/spreadsheetml/2006/main" r="AF277" s="16" t="str">
        <ns0:v>(1:1),(2:2)</ns0:v>
      </ns0:c>
      <ns0:c xmlns:ns0="http://schemas.openxmlformats.org/spreadsheetml/2006/main" r="AG277" s="16" t="inlineStr">
        <ns0:is>
          <ns0:t>Simulation\Resistors\MY_LIB_R_TCR.ckt</ns0:t>
        </ns0:is>
      </ns0:c>
      <ns0:c xmlns:ns0="http://schemas.openxmlformats.org/spreadsheetml/2006/main" r="AH277" s="16" t="inlineStr">
        <ns0:is>
          <ns0:t>±100 ppm/°C</ns0:t>
        </ns0:is>
      </ns0:c>
    </ns0:row>
    <ns0:row r="278" ht="30" customHeight="1">
      <ns0:c r="A278" t="str" s="10">
        <ns0:v>R0284</ns0:v>
      </ns0:c>
      <ns0:c r="B278" t="str" s="10">
        <ns0:v>Резистор</ns0:v>
      </ns0:c>
      <ns0:c r="C278" t="str" s="10">
        <ns0:v>270k</ns0:v>
      </ns0:c>
      <ns0:c r="D278" t="str" s="11">
        <ns0:f>SUBSTITUTE(SUBSTITUTE(SUBSTITUTE(SUBSTITUTE(C278,"meg"," МОм"),"k"," кОм"),"R"," Ом"),".",",")</ns0:f>
        <ns0:v>270 кОм</ns0:v>
      </ns0:c>
      <ns0:c r="E278" t="str" s="10">
        <ns0:v>±5%</ns0:v>
      </ns0:c>
      <ns0:c r="F278" t="str" s="10">
        <ns0:v>0,125 Вт</ns0:v>
      </ns0:c>
      <ns0:c r="G278" t="str" s="10">
        <ns0:v>150 В макс.</ns0:v>
      </ns0:c>
      <ns0:c r="H278" t="str" s="12">
        <ns0:v>0805</ns0:v>
      </ns0:c>
      <ns0:c r="I278" t="str" s="10">
        <ns0:v>YAGEO</ns0:v>
      </ns0:c>
      <ns0:c r="J278" t="str" s="10">
        <ns0:v>RC0805JR-07270KL</ns0:v>
      </ns0:c>
      <ns0:c r="K278" t="str" s="11">
        <ns0:f>B278&amp;" "&amp;D278&amp;" "&amp;E278&amp;" "&amp;H278</ns0:f>
        <ns0:v>Резистор 270 кОм ±5% 0805</ns0:v>
      </ns0:c>
      <ns0:c r="L278" t="str" s="13">
        <ns0:v>R</ns0:v>
      </ns0:c>
      <ns0:c r="M278" t="str" s="13">
        <ns0:v>Symbols\MY_LIB_Resistors.SchLib</ns0:v>
      </ns0:c>
      <ns0:c r="N278" t="str" s="13">
        <ns0:v>RESC2012X70N</ns0:v>
      </ns0:c>
      <ns0:c r="O278" t="str" s="13">
        <ns0:v>Footprints\PBL - SMD Packages.PcbLib</ns0:v>
      </ns0:c>
      <ns0:c xmlns:ns0="http://schemas.openxmlformats.org/spreadsheetml/2006/main" r="P27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8" s="10"/>
      <ns0:c r="R278" t="str" s="11">
        <ns0:f>D278</ns0:f>
        <ns0:v>270 кОм</ns0:v>
      </ns0:c>
      <ns0:c r="S278" t="str" s="11">
        <ns0:f>K278</ns0:f>
        <ns0:v>Резистор 270 кОм ±5% 0805</ns0:v>
      </ns0:c>
      <x:c xmlns:x="http://schemas.openxmlformats.org/spreadsheetml/2006/main" r="T278" t="str" s="11">
        <x:v>C:\Users\Nomatin\Documents\Altium\MY_LIB\MY_LIB\Datasheets\YAGEO_RC_L.pdf</x:v>
      </x:c>
      <x:c xmlns:x="http://schemas.openxmlformats.org/spreadsheetml/2006/main" r="U278" t="str" s="11">
        <x:v>Даташит — локальный</x:v>
      </x:c>
      <x:c xmlns:x="http://schemas.openxmlformats.org/spreadsheetml/2006/main" r="V278" t="str" s="11">
        <x:v>C:\Users\Nomatin\Documents\Altium\MY_LIB\MY_LIB\Datasheets\YAGEO_RC_L.pdf</x:v>
      </x:c>
      <x:c xmlns:x="http://schemas.openxmlformats.org/spreadsheetml/2006/main" r="W278" t="str" s="11">
        <x:v>Даташит — производитель</x:v>
      </x:c>
      <x:c xmlns:x="http://schemas.openxmlformats.org/spreadsheetml/2006/main" r="X278" t="str" s="11">
        <x:v>https://yageogroup.com/content/datasheet/asset/file/PYU-RC_GROUP_51_ROHS_L</x:v>
      </x:c>
      <x:c xmlns:x="http://schemas.openxmlformats.org/spreadsheetml/2006/main" r="Y278" t="str" s="11">
        <x:v>C:\Users\Nomatin\Documents\Altium\MY_LIB\MY_LIB\Datasheets\YAGEO_RC_L.pdf</x:v>
      </x:c>
      <ns0:c xmlns:ns0="http://schemas.openxmlformats.org/spreadsheetml/2006/main" r="Z278" s="16" t="inlineStr">
        <ns0:is>
          <ns0:t>MY_LIB_R_TCR</ns0:t>
        </ns0:is>
      </ns0:c>
      <ns0:c xmlns:ns0="http://schemas.openxmlformats.org/spreadsheetml/2006/main" r="AA278" s="16" t="inlineStr">
        <ns0:is>
          <ns0:t>R(T), +100 ppm/C at 25 C; positive datasheet limit</ns0:t>
        </ns0:is>
      </ns0:c>
      <ns0:c xmlns:ns0="http://schemas.openxmlformats.org/spreadsheetml/2006/main" r="AB278" s="16" t="str">
        <ns0:v>General</ns0:v>
      </ns0:c>
      <ns0:c xmlns:ns0="http://schemas.openxmlformats.org/spreadsheetml/2006/main" r="AC278" s="16" t="inlineStr">
        <ns0:is>
          <ns0:t>Spice Subcircuit</ns0:t>
        </ns0:is>
      </ns0:c>
      <ns0:c xmlns:ns0="http://schemas.openxmlformats.org/spreadsheetml/2006/main" r="AD278" s="16" t="inlineStr">
        <ns0:is>
          <ns0:t>@DESIGNATOR %1 %2 @MODEL PARAMS: Rvalue=@VALUE TC1value=100u</ns0:t>
        </ns0:is>
      </ns0:c>
      <ns0:c xmlns:ns0="http://schemas.openxmlformats.org/spreadsheetml/2006/main" r="AE278" s="16" t="inlineStr">
        <ns0:is>
          <ns0:t>X</ns0:t>
        </ns0:is>
      </ns0:c>
      <ns0:c xmlns:ns0="http://schemas.openxmlformats.org/spreadsheetml/2006/main" r="AF278" s="16" t="str">
        <ns0:v>(1:1),(2:2)</ns0:v>
      </ns0:c>
      <ns0:c xmlns:ns0="http://schemas.openxmlformats.org/spreadsheetml/2006/main" r="AG278" s="16" t="inlineStr">
        <ns0:is>
          <ns0:t>Simulation\Resistors\MY_LIB_R_TCR.ckt</ns0:t>
        </ns0:is>
      </ns0:c>
      <ns0:c xmlns:ns0="http://schemas.openxmlformats.org/spreadsheetml/2006/main" r="AH278" s="16" t="inlineStr">
        <ns0:is>
          <ns0:t>±100 ppm/°C</ns0:t>
        </ns0:is>
      </ns0:c>
    </ns0:row>
    <ns0:row r="279" ht="30" customHeight="1">
      <ns0:c r="A279" t="str" s="10">
        <ns0:v>R0285</ns0:v>
      </ns0:c>
      <ns0:c r="B279" t="str" s="10">
        <ns0:v>Резистор</ns0:v>
      </ns0:c>
      <ns0:c r="C279" t="str" s="10">
        <ns0:v>300k</ns0:v>
      </ns0:c>
      <ns0:c r="D279" t="str" s="11">
        <ns0:f>SUBSTITUTE(SUBSTITUTE(SUBSTITUTE(SUBSTITUTE(C279,"meg"," МОм"),"k"," кОм"),"R"," Ом"),".",",")</ns0:f>
        <ns0:v>300 кОм</ns0:v>
      </ns0:c>
      <ns0:c r="E279" t="str" s="10">
        <ns0:v>±5%</ns0:v>
      </ns0:c>
      <ns0:c r="F279" t="str" s="10">
        <ns0:v>0,125 Вт</ns0:v>
      </ns0:c>
      <ns0:c r="G279" t="str" s="10">
        <ns0:v>150 В макс.</ns0:v>
      </ns0:c>
      <ns0:c r="H279" t="str" s="12">
        <ns0:v>0805</ns0:v>
      </ns0:c>
      <ns0:c r="I279" t="str" s="10">
        <ns0:v>YAGEO</ns0:v>
      </ns0:c>
      <ns0:c r="J279" t="str" s="10">
        <ns0:v>RC0805JR-07300KL</ns0:v>
      </ns0:c>
      <ns0:c r="K279" t="str" s="11">
        <ns0:f>B279&amp;" "&amp;D279&amp;" "&amp;E279&amp;" "&amp;H279</ns0:f>
        <ns0:v>Резистор 300 кОм ±5% 0805</ns0:v>
      </ns0:c>
      <ns0:c r="L279" t="str" s="13">
        <ns0:v>R</ns0:v>
      </ns0:c>
      <ns0:c r="M279" t="str" s="13">
        <ns0:v>Symbols\MY_LIB_Resistors.SchLib</ns0:v>
      </ns0:c>
      <ns0:c r="N279" t="str" s="13">
        <ns0:v>RESC2012X70N</ns0:v>
      </ns0:c>
      <ns0:c r="O279" t="str" s="13">
        <ns0:v>Footprints\PBL - SMD Packages.PcbLib</ns0:v>
      </ns0:c>
      <ns0:c xmlns:ns0="http://schemas.openxmlformats.org/spreadsheetml/2006/main" r="P27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79" s="10"/>
      <ns0:c r="R279" t="str" s="11">
        <ns0:f>D279</ns0:f>
        <ns0:v>300 кОм</ns0:v>
      </ns0:c>
      <ns0:c r="S279" t="str" s="11">
        <ns0:f>K279</ns0:f>
        <ns0:v>Резистор 300 кОм ±5% 0805</ns0:v>
      </ns0:c>
      <x:c xmlns:x="http://schemas.openxmlformats.org/spreadsheetml/2006/main" r="T279" t="str" s="11">
        <x:v>C:\Users\Nomatin\Documents\Altium\MY_LIB\MY_LIB\Datasheets\YAGEO_RC_L.pdf</x:v>
      </x:c>
      <x:c xmlns:x="http://schemas.openxmlformats.org/spreadsheetml/2006/main" r="U279" t="str" s="11">
        <x:v>Даташит — локальный</x:v>
      </x:c>
      <x:c xmlns:x="http://schemas.openxmlformats.org/spreadsheetml/2006/main" r="V279" t="str" s="11">
        <x:v>C:\Users\Nomatin\Documents\Altium\MY_LIB\MY_LIB\Datasheets\YAGEO_RC_L.pdf</x:v>
      </x:c>
      <x:c xmlns:x="http://schemas.openxmlformats.org/spreadsheetml/2006/main" r="W279" t="str" s="11">
        <x:v>Даташит — производитель</x:v>
      </x:c>
      <x:c xmlns:x="http://schemas.openxmlformats.org/spreadsheetml/2006/main" r="X279" t="str" s="11">
        <x:v>https://yageogroup.com/content/datasheet/asset/file/PYU-RC_GROUP_51_ROHS_L</x:v>
      </x:c>
      <x:c xmlns:x="http://schemas.openxmlformats.org/spreadsheetml/2006/main" r="Y279" t="str" s="11">
        <x:v>C:\Users\Nomatin\Documents\Altium\MY_LIB\MY_LIB\Datasheets\YAGEO_RC_L.pdf</x:v>
      </x:c>
      <ns0:c xmlns:ns0="http://schemas.openxmlformats.org/spreadsheetml/2006/main" r="Z279" s="16" t="inlineStr">
        <ns0:is>
          <ns0:t>MY_LIB_R_TCR</ns0:t>
        </ns0:is>
      </ns0:c>
      <ns0:c xmlns:ns0="http://schemas.openxmlformats.org/spreadsheetml/2006/main" r="AA279" s="16" t="inlineStr">
        <ns0:is>
          <ns0:t>R(T), +100 ppm/C at 25 C; positive datasheet limit</ns0:t>
        </ns0:is>
      </ns0:c>
      <ns0:c xmlns:ns0="http://schemas.openxmlformats.org/spreadsheetml/2006/main" r="AB279" s="16" t="str">
        <ns0:v>General</ns0:v>
      </ns0:c>
      <ns0:c xmlns:ns0="http://schemas.openxmlformats.org/spreadsheetml/2006/main" r="AC279" s="16" t="inlineStr">
        <ns0:is>
          <ns0:t>Spice Subcircuit</ns0:t>
        </ns0:is>
      </ns0:c>
      <ns0:c xmlns:ns0="http://schemas.openxmlformats.org/spreadsheetml/2006/main" r="AD279" s="16" t="inlineStr">
        <ns0:is>
          <ns0:t>@DESIGNATOR %1 %2 @MODEL PARAMS: Rvalue=@VALUE TC1value=100u</ns0:t>
        </ns0:is>
      </ns0:c>
      <ns0:c xmlns:ns0="http://schemas.openxmlformats.org/spreadsheetml/2006/main" r="AE279" s="16" t="inlineStr">
        <ns0:is>
          <ns0:t>X</ns0:t>
        </ns0:is>
      </ns0:c>
      <ns0:c xmlns:ns0="http://schemas.openxmlformats.org/spreadsheetml/2006/main" r="AF279" s="16" t="str">
        <ns0:v>(1:1),(2:2)</ns0:v>
      </ns0:c>
      <ns0:c xmlns:ns0="http://schemas.openxmlformats.org/spreadsheetml/2006/main" r="AG279" s="16" t="inlineStr">
        <ns0:is>
          <ns0:t>Simulation\Resistors\MY_LIB_R_TCR.ckt</ns0:t>
        </ns0:is>
      </ns0:c>
      <ns0:c xmlns:ns0="http://schemas.openxmlformats.org/spreadsheetml/2006/main" r="AH279" s="16" t="inlineStr">
        <ns0:is>
          <ns0:t>±100 ppm/°C</ns0:t>
        </ns0:is>
      </ns0:c>
    </ns0:row>
    <ns0:row r="280" ht="30" customHeight="1">
      <ns0:c r="A280" t="str" s="10">
        <ns0:v>R0286</ns0:v>
      </ns0:c>
      <ns0:c r="B280" t="str" s="10">
        <ns0:v>Резистор</ns0:v>
      </ns0:c>
      <ns0:c r="C280" t="str" s="10">
        <ns0:v>330k</ns0:v>
      </ns0:c>
      <ns0:c r="D280" t="str" s="11">
        <ns0:f>SUBSTITUTE(SUBSTITUTE(SUBSTITUTE(SUBSTITUTE(C280,"meg"," МОм"),"k"," кОм"),"R"," Ом"),".",",")</ns0:f>
        <ns0:v>330 кОм</ns0:v>
      </ns0:c>
      <ns0:c r="E280" t="str" s="10">
        <ns0:v>±5%</ns0:v>
      </ns0:c>
      <ns0:c r="F280" t="str" s="10">
        <ns0:v>0,125 Вт</ns0:v>
      </ns0:c>
      <ns0:c r="G280" t="str" s="10">
        <ns0:v>150 В макс.</ns0:v>
      </ns0:c>
      <ns0:c r="H280" t="str" s="12">
        <ns0:v>0805</ns0:v>
      </ns0:c>
      <ns0:c r="I280" t="str" s="10">
        <ns0:v>YAGEO</ns0:v>
      </ns0:c>
      <ns0:c r="J280" t="str" s="10">
        <ns0:v>RC0805JR-07330KL</ns0:v>
      </ns0:c>
      <ns0:c r="K280" t="str" s="11">
        <ns0:f>B280&amp;" "&amp;D280&amp;" "&amp;E280&amp;" "&amp;H280</ns0:f>
        <ns0:v>Резистор 330 кОм ±5% 0805</ns0:v>
      </ns0:c>
      <ns0:c r="L280" t="str" s="13">
        <ns0:v>R</ns0:v>
      </ns0:c>
      <ns0:c r="M280" t="str" s="13">
        <ns0:v>Symbols\MY_LIB_Resistors.SchLib</ns0:v>
      </ns0:c>
      <ns0:c r="N280" t="str" s="13">
        <ns0:v>RESC2012X70N</ns0:v>
      </ns0:c>
      <ns0:c r="O280" t="str" s="13">
        <ns0:v>Footprints\PBL - SMD Packages.PcbLib</ns0:v>
      </ns0:c>
      <ns0:c xmlns:ns0="http://schemas.openxmlformats.org/spreadsheetml/2006/main" r="P28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0" s="10"/>
      <ns0:c r="R280" t="str" s="11">
        <ns0:f>D280</ns0:f>
        <ns0:v>330 кОм</ns0:v>
      </ns0:c>
      <ns0:c r="S280" t="str" s="11">
        <ns0:f>K280</ns0:f>
        <ns0:v>Резистор 330 кОм ±5% 0805</ns0:v>
      </ns0:c>
      <x:c xmlns:x="http://schemas.openxmlformats.org/spreadsheetml/2006/main" r="T280" t="str" s="11">
        <x:v>C:\Users\Nomatin\Documents\Altium\MY_LIB\MY_LIB\Datasheets\YAGEO_RC_L.pdf</x:v>
      </x:c>
      <x:c xmlns:x="http://schemas.openxmlformats.org/spreadsheetml/2006/main" r="U280" t="str" s="11">
        <x:v>Даташит — локальный</x:v>
      </x:c>
      <x:c xmlns:x="http://schemas.openxmlformats.org/spreadsheetml/2006/main" r="V280" t="str" s="11">
        <x:v>C:\Users\Nomatin\Documents\Altium\MY_LIB\MY_LIB\Datasheets\YAGEO_RC_L.pdf</x:v>
      </x:c>
      <x:c xmlns:x="http://schemas.openxmlformats.org/spreadsheetml/2006/main" r="W280" t="str" s="11">
        <x:v>Даташит — производитель</x:v>
      </x:c>
      <x:c xmlns:x="http://schemas.openxmlformats.org/spreadsheetml/2006/main" r="X280" t="str" s="11">
        <x:v>https://yageogroup.com/content/datasheet/asset/file/PYU-RC_GROUP_51_ROHS_L</x:v>
      </x:c>
      <x:c xmlns:x="http://schemas.openxmlformats.org/spreadsheetml/2006/main" r="Y280" t="str" s="11">
        <x:v>C:\Users\Nomatin\Documents\Altium\MY_LIB\MY_LIB\Datasheets\YAGEO_RC_L.pdf</x:v>
      </x:c>
      <ns0:c xmlns:ns0="http://schemas.openxmlformats.org/spreadsheetml/2006/main" r="Z280" s="16" t="inlineStr">
        <ns0:is>
          <ns0:t>MY_LIB_R_TCR</ns0:t>
        </ns0:is>
      </ns0:c>
      <ns0:c xmlns:ns0="http://schemas.openxmlformats.org/spreadsheetml/2006/main" r="AA280" s="16" t="inlineStr">
        <ns0:is>
          <ns0:t>R(T), +100 ppm/C at 25 C; positive datasheet limit</ns0:t>
        </ns0:is>
      </ns0:c>
      <ns0:c xmlns:ns0="http://schemas.openxmlformats.org/spreadsheetml/2006/main" r="AB280" s="16" t="str">
        <ns0:v>General</ns0:v>
      </ns0:c>
      <ns0:c xmlns:ns0="http://schemas.openxmlformats.org/spreadsheetml/2006/main" r="AC280" s="16" t="inlineStr">
        <ns0:is>
          <ns0:t>Spice Subcircuit</ns0:t>
        </ns0:is>
      </ns0:c>
      <ns0:c xmlns:ns0="http://schemas.openxmlformats.org/spreadsheetml/2006/main" r="AD280" s="16" t="inlineStr">
        <ns0:is>
          <ns0:t>@DESIGNATOR %1 %2 @MODEL PARAMS: Rvalue=@VALUE TC1value=100u</ns0:t>
        </ns0:is>
      </ns0:c>
      <ns0:c xmlns:ns0="http://schemas.openxmlformats.org/spreadsheetml/2006/main" r="AE280" s="16" t="inlineStr">
        <ns0:is>
          <ns0:t>X</ns0:t>
        </ns0:is>
      </ns0:c>
      <ns0:c xmlns:ns0="http://schemas.openxmlformats.org/spreadsheetml/2006/main" r="AF280" s="16" t="str">
        <ns0:v>(1:1),(2:2)</ns0:v>
      </ns0:c>
      <ns0:c xmlns:ns0="http://schemas.openxmlformats.org/spreadsheetml/2006/main" r="AG280" s="16" t="inlineStr">
        <ns0:is>
          <ns0:t>Simulation\Resistors\MY_LIB_R_TCR.ckt</ns0:t>
        </ns0:is>
      </ns0:c>
      <ns0:c xmlns:ns0="http://schemas.openxmlformats.org/spreadsheetml/2006/main" r="AH280" s="16" t="inlineStr">
        <ns0:is>
          <ns0:t>±100 ppm/°C</ns0:t>
        </ns0:is>
      </ns0:c>
    </ns0:row>
    <ns0:row r="281" ht="30" customHeight="1">
      <ns0:c r="A281" t="str" s="10">
        <ns0:v>R0287</ns0:v>
      </ns0:c>
      <ns0:c r="B281" t="str" s="10">
        <ns0:v>Резистор</ns0:v>
      </ns0:c>
      <ns0:c r="C281" t="str" s="10">
        <ns0:v>360k</ns0:v>
      </ns0:c>
      <ns0:c r="D281" t="str" s="11">
        <ns0:f>SUBSTITUTE(SUBSTITUTE(SUBSTITUTE(SUBSTITUTE(C281,"meg"," МОм"),"k"," кОм"),"R"," Ом"),".",",")</ns0:f>
        <ns0:v>360 кОм</ns0:v>
      </ns0:c>
      <ns0:c r="E281" t="str" s="10">
        <ns0:v>±5%</ns0:v>
      </ns0:c>
      <ns0:c r="F281" t="str" s="10">
        <ns0:v>0,125 Вт</ns0:v>
      </ns0:c>
      <ns0:c r="G281" t="str" s="10">
        <ns0:v>150 В макс.</ns0:v>
      </ns0:c>
      <ns0:c r="H281" t="str" s="12">
        <ns0:v>0805</ns0:v>
      </ns0:c>
      <ns0:c r="I281" t="str" s="10">
        <ns0:v>YAGEO</ns0:v>
      </ns0:c>
      <ns0:c r="J281" t="str" s="10">
        <ns0:v>RC0805JR-07360KL</ns0:v>
      </ns0:c>
      <ns0:c r="K281" t="str" s="11">
        <ns0:f>B281&amp;" "&amp;D281&amp;" "&amp;E281&amp;" "&amp;H281</ns0:f>
        <ns0:v>Резистор 360 кОм ±5% 0805</ns0:v>
      </ns0:c>
      <ns0:c r="L281" t="str" s="13">
        <ns0:v>R</ns0:v>
      </ns0:c>
      <ns0:c r="M281" t="str" s="13">
        <ns0:v>Symbols\MY_LIB_Resistors.SchLib</ns0:v>
      </ns0:c>
      <ns0:c r="N281" t="str" s="13">
        <ns0:v>RESC2012X70N</ns0:v>
      </ns0:c>
      <ns0:c r="O281" t="str" s="13">
        <ns0:v>Footprints\PBL - SMD Packages.PcbLib</ns0:v>
      </ns0:c>
      <ns0:c xmlns:ns0="http://schemas.openxmlformats.org/spreadsheetml/2006/main" r="P28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1" s="10"/>
      <ns0:c r="R281" t="str" s="11">
        <ns0:f>D281</ns0:f>
        <ns0:v>360 кОм</ns0:v>
      </ns0:c>
      <ns0:c r="S281" t="str" s="11">
        <ns0:f>K281</ns0:f>
        <ns0:v>Резистор 360 кОм ±5% 0805</ns0:v>
      </ns0:c>
      <x:c xmlns:x="http://schemas.openxmlformats.org/spreadsheetml/2006/main" r="T281" t="str" s="11">
        <x:v>C:\Users\Nomatin\Documents\Altium\MY_LIB\MY_LIB\Datasheets\YAGEO_RC_L.pdf</x:v>
      </x:c>
      <x:c xmlns:x="http://schemas.openxmlformats.org/spreadsheetml/2006/main" r="U281" t="str" s="11">
        <x:v>Даташит — локальный</x:v>
      </x:c>
      <x:c xmlns:x="http://schemas.openxmlformats.org/spreadsheetml/2006/main" r="V281" t="str" s="11">
        <x:v>C:\Users\Nomatin\Documents\Altium\MY_LIB\MY_LIB\Datasheets\YAGEO_RC_L.pdf</x:v>
      </x:c>
      <x:c xmlns:x="http://schemas.openxmlformats.org/spreadsheetml/2006/main" r="W281" t="str" s="11">
        <x:v>Даташит — производитель</x:v>
      </x:c>
      <x:c xmlns:x="http://schemas.openxmlformats.org/spreadsheetml/2006/main" r="X281" t="str" s="11">
        <x:v>https://yageogroup.com/content/datasheet/asset/file/PYU-RC_GROUP_51_ROHS_L</x:v>
      </x:c>
      <x:c xmlns:x="http://schemas.openxmlformats.org/spreadsheetml/2006/main" r="Y281" t="str" s="11">
        <x:v>C:\Users\Nomatin\Documents\Altium\MY_LIB\MY_LIB\Datasheets\YAGEO_RC_L.pdf</x:v>
      </x:c>
      <ns0:c xmlns:ns0="http://schemas.openxmlformats.org/spreadsheetml/2006/main" r="Z281" s="16" t="inlineStr">
        <ns0:is>
          <ns0:t>MY_LIB_R_TCR</ns0:t>
        </ns0:is>
      </ns0:c>
      <ns0:c xmlns:ns0="http://schemas.openxmlformats.org/spreadsheetml/2006/main" r="AA281" s="16" t="inlineStr">
        <ns0:is>
          <ns0:t>R(T), +100 ppm/C at 25 C; positive datasheet limit</ns0:t>
        </ns0:is>
      </ns0:c>
      <ns0:c xmlns:ns0="http://schemas.openxmlformats.org/spreadsheetml/2006/main" r="AB281" s="16" t="str">
        <ns0:v>General</ns0:v>
      </ns0:c>
      <ns0:c xmlns:ns0="http://schemas.openxmlformats.org/spreadsheetml/2006/main" r="AC281" s="16" t="inlineStr">
        <ns0:is>
          <ns0:t>Spice Subcircuit</ns0:t>
        </ns0:is>
      </ns0:c>
      <ns0:c xmlns:ns0="http://schemas.openxmlformats.org/spreadsheetml/2006/main" r="AD281" s="16" t="inlineStr">
        <ns0:is>
          <ns0:t>@DESIGNATOR %1 %2 @MODEL PARAMS: Rvalue=@VALUE TC1value=100u</ns0:t>
        </ns0:is>
      </ns0:c>
      <ns0:c xmlns:ns0="http://schemas.openxmlformats.org/spreadsheetml/2006/main" r="AE281" s="16" t="inlineStr">
        <ns0:is>
          <ns0:t>X</ns0:t>
        </ns0:is>
      </ns0:c>
      <ns0:c xmlns:ns0="http://schemas.openxmlformats.org/spreadsheetml/2006/main" r="AF281" s="16" t="str">
        <ns0:v>(1:1),(2:2)</ns0:v>
      </ns0:c>
      <ns0:c xmlns:ns0="http://schemas.openxmlformats.org/spreadsheetml/2006/main" r="AG281" s="16" t="inlineStr">
        <ns0:is>
          <ns0:t>Simulation\Resistors\MY_LIB_R_TCR.ckt</ns0:t>
        </ns0:is>
      </ns0:c>
      <ns0:c xmlns:ns0="http://schemas.openxmlformats.org/spreadsheetml/2006/main" r="AH281" s="16" t="inlineStr">
        <ns0:is>
          <ns0:t>±100 ppm/°C</ns0:t>
        </ns0:is>
      </ns0:c>
    </ns0:row>
    <ns0:row r="282" ht="30" customHeight="1">
      <ns0:c r="A282" t="str" s="10">
        <ns0:v>R0288</ns0:v>
      </ns0:c>
      <ns0:c r="B282" t="str" s="10">
        <ns0:v>Резистор</ns0:v>
      </ns0:c>
      <ns0:c r="C282" t="str" s="10">
        <ns0:v>390k</ns0:v>
      </ns0:c>
      <ns0:c r="D282" t="str" s="11">
        <ns0:f>SUBSTITUTE(SUBSTITUTE(SUBSTITUTE(SUBSTITUTE(C282,"meg"," МОм"),"k"," кОм"),"R"," Ом"),".",",")</ns0:f>
        <ns0:v>390 кОм</ns0:v>
      </ns0:c>
      <ns0:c r="E282" t="str" s="10">
        <ns0:v>±5%</ns0:v>
      </ns0:c>
      <ns0:c r="F282" t="str" s="10">
        <ns0:v>0,125 Вт</ns0:v>
      </ns0:c>
      <ns0:c r="G282" t="str" s="10">
        <ns0:v>150 В макс.</ns0:v>
      </ns0:c>
      <ns0:c r="H282" t="str" s="12">
        <ns0:v>0805</ns0:v>
      </ns0:c>
      <ns0:c r="I282" t="str" s="10">
        <ns0:v>YAGEO</ns0:v>
      </ns0:c>
      <ns0:c r="J282" t="str" s="10">
        <ns0:v>RC0805JR-07390KL</ns0:v>
      </ns0:c>
      <ns0:c r="K282" t="str" s="11">
        <ns0:f>B282&amp;" "&amp;D282&amp;" "&amp;E282&amp;" "&amp;H282</ns0:f>
        <ns0:v>Резистор 390 кОм ±5% 0805</ns0:v>
      </ns0:c>
      <ns0:c r="L282" t="str" s="13">
        <ns0:v>R</ns0:v>
      </ns0:c>
      <ns0:c r="M282" t="str" s="13">
        <ns0:v>Symbols\MY_LIB_Resistors.SchLib</ns0:v>
      </ns0:c>
      <ns0:c r="N282" t="str" s="13">
        <ns0:v>RESC2012X70N</ns0:v>
      </ns0:c>
      <ns0:c r="O282" t="str" s="13">
        <ns0:v>Footprints\PBL - SMD Packages.PcbLib</ns0:v>
      </ns0:c>
      <ns0:c xmlns:ns0="http://schemas.openxmlformats.org/spreadsheetml/2006/main" r="P28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2" s="10"/>
      <ns0:c r="R282" t="str" s="11">
        <ns0:f>D282</ns0:f>
        <ns0:v>390 кОм</ns0:v>
      </ns0:c>
      <ns0:c r="S282" t="str" s="11">
        <ns0:f>K282</ns0:f>
        <ns0:v>Резистор 390 кОм ±5% 0805</ns0:v>
      </ns0:c>
      <x:c xmlns:x="http://schemas.openxmlformats.org/spreadsheetml/2006/main" r="T282" t="str" s="11">
        <x:v>C:\Users\Nomatin\Documents\Altium\MY_LIB\MY_LIB\Datasheets\YAGEO_RC_L.pdf</x:v>
      </x:c>
      <x:c xmlns:x="http://schemas.openxmlformats.org/spreadsheetml/2006/main" r="U282" t="str" s="11">
        <x:v>Даташит — локальный</x:v>
      </x:c>
      <x:c xmlns:x="http://schemas.openxmlformats.org/spreadsheetml/2006/main" r="V282" t="str" s="11">
        <x:v>C:\Users\Nomatin\Documents\Altium\MY_LIB\MY_LIB\Datasheets\YAGEO_RC_L.pdf</x:v>
      </x:c>
      <x:c xmlns:x="http://schemas.openxmlformats.org/spreadsheetml/2006/main" r="W282" t="str" s="11">
        <x:v>Даташит — производитель</x:v>
      </x:c>
      <x:c xmlns:x="http://schemas.openxmlformats.org/spreadsheetml/2006/main" r="X282" t="str" s="11">
        <x:v>https://yageogroup.com/content/datasheet/asset/file/PYU-RC_GROUP_51_ROHS_L</x:v>
      </x:c>
      <x:c xmlns:x="http://schemas.openxmlformats.org/spreadsheetml/2006/main" r="Y282" t="str" s="11">
        <x:v>C:\Users\Nomatin\Documents\Altium\MY_LIB\MY_LIB\Datasheets\YAGEO_RC_L.pdf</x:v>
      </x:c>
      <ns0:c xmlns:ns0="http://schemas.openxmlformats.org/spreadsheetml/2006/main" r="Z282" s="16" t="inlineStr">
        <ns0:is>
          <ns0:t>MY_LIB_R_TCR</ns0:t>
        </ns0:is>
      </ns0:c>
      <ns0:c xmlns:ns0="http://schemas.openxmlformats.org/spreadsheetml/2006/main" r="AA282" s="16" t="inlineStr">
        <ns0:is>
          <ns0:t>R(T), +100 ppm/C at 25 C; positive datasheet limit</ns0:t>
        </ns0:is>
      </ns0:c>
      <ns0:c xmlns:ns0="http://schemas.openxmlformats.org/spreadsheetml/2006/main" r="AB282" s="16" t="str">
        <ns0:v>General</ns0:v>
      </ns0:c>
      <ns0:c xmlns:ns0="http://schemas.openxmlformats.org/spreadsheetml/2006/main" r="AC282" s="16" t="inlineStr">
        <ns0:is>
          <ns0:t>Spice Subcircuit</ns0:t>
        </ns0:is>
      </ns0:c>
      <ns0:c xmlns:ns0="http://schemas.openxmlformats.org/spreadsheetml/2006/main" r="AD282" s="16" t="inlineStr">
        <ns0:is>
          <ns0:t>@DESIGNATOR %1 %2 @MODEL PARAMS: Rvalue=@VALUE TC1value=100u</ns0:t>
        </ns0:is>
      </ns0:c>
      <ns0:c xmlns:ns0="http://schemas.openxmlformats.org/spreadsheetml/2006/main" r="AE282" s="16" t="inlineStr">
        <ns0:is>
          <ns0:t>X</ns0:t>
        </ns0:is>
      </ns0:c>
      <ns0:c xmlns:ns0="http://schemas.openxmlformats.org/spreadsheetml/2006/main" r="AF282" s="16" t="str">
        <ns0:v>(1:1),(2:2)</ns0:v>
      </ns0:c>
      <ns0:c xmlns:ns0="http://schemas.openxmlformats.org/spreadsheetml/2006/main" r="AG282" s="16" t="inlineStr">
        <ns0:is>
          <ns0:t>Simulation\Resistors\MY_LIB_R_TCR.ckt</ns0:t>
        </ns0:is>
      </ns0:c>
      <ns0:c xmlns:ns0="http://schemas.openxmlformats.org/spreadsheetml/2006/main" r="AH282" s="16" t="inlineStr">
        <ns0:is>
          <ns0:t>±100 ppm/°C</ns0:t>
        </ns0:is>
      </ns0:c>
    </ns0:row>
    <ns0:row r="283" ht="30" customHeight="1">
      <ns0:c r="A283" t="str" s="10">
        <ns0:v>R0289</ns0:v>
      </ns0:c>
      <ns0:c r="B283" t="str" s="10">
        <ns0:v>Резистор</ns0:v>
      </ns0:c>
      <ns0:c r="C283" t="str" s="10">
        <ns0:v>430k</ns0:v>
      </ns0:c>
      <ns0:c r="D283" t="str" s="11">
        <ns0:f>SUBSTITUTE(SUBSTITUTE(SUBSTITUTE(SUBSTITUTE(C283,"meg"," МОм"),"k"," кОм"),"R"," Ом"),".",",")</ns0:f>
        <ns0:v>430 кОм</ns0:v>
      </ns0:c>
      <ns0:c r="E283" t="str" s="10">
        <ns0:v>±5%</ns0:v>
      </ns0:c>
      <ns0:c r="F283" t="str" s="10">
        <ns0:v>0,125 Вт</ns0:v>
      </ns0:c>
      <ns0:c r="G283" t="str" s="10">
        <ns0:v>150 В макс.</ns0:v>
      </ns0:c>
      <ns0:c r="H283" t="str" s="12">
        <ns0:v>0805</ns0:v>
      </ns0:c>
      <ns0:c r="I283" t="str" s="10">
        <ns0:v>YAGEO</ns0:v>
      </ns0:c>
      <ns0:c r="J283" t="str" s="10">
        <ns0:v>RC0805JR-07430KL</ns0:v>
      </ns0:c>
      <ns0:c r="K283" t="str" s="11">
        <ns0:f>B283&amp;" "&amp;D283&amp;" "&amp;E283&amp;" "&amp;H283</ns0:f>
        <ns0:v>Резистор 430 кОм ±5% 0805</ns0:v>
      </ns0:c>
      <ns0:c r="L283" t="str" s="13">
        <ns0:v>R</ns0:v>
      </ns0:c>
      <ns0:c r="M283" t="str" s="13">
        <ns0:v>Symbols\MY_LIB_Resistors.SchLib</ns0:v>
      </ns0:c>
      <ns0:c r="N283" t="str" s="13">
        <ns0:v>RESC2012X70N</ns0:v>
      </ns0:c>
      <ns0:c r="O283" t="str" s="13">
        <ns0:v>Footprints\PBL - SMD Packages.PcbLib</ns0:v>
      </ns0:c>
      <ns0:c xmlns:ns0="http://schemas.openxmlformats.org/spreadsheetml/2006/main" r="P283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3" s="10"/>
      <ns0:c r="R283" t="str" s="11">
        <ns0:f>D283</ns0:f>
        <ns0:v>430 кОм</ns0:v>
      </ns0:c>
      <ns0:c r="S283" t="str" s="11">
        <ns0:f>K283</ns0:f>
        <ns0:v>Резистор 430 кОм ±5% 0805</ns0:v>
      </ns0:c>
      <x:c xmlns:x="http://schemas.openxmlformats.org/spreadsheetml/2006/main" r="T283" t="str" s="11">
        <x:v>C:\Users\Nomatin\Documents\Altium\MY_LIB\MY_LIB\Datasheets\YAGEO_RC_L.pdf</x:v>
      </x:c>
      <x:c xmlns:x="http://schemas.openxmlformats.org/spreadsheetml/2006/main" r="U283" t="str" s="11">
        <x:v>Даташит — локальный</x:v>
      </x:c>
      <x:c xmlns:x="http://schemas.openxmlformats.org/spreadsheetml/2006/main" r="V283" t="str" s="11">
        <x:v>C:\Users\Nomatin\Documents\Altium\MY_LIB\MY_LIB\Datasheets\YAGEO_RC_L.pdf</x:v>
      </x:c>
      <x:c xmlns:x="http://schemas.openxmlformats.org/spreadsheetml/2006/main" r="W283" t="str" s="11">
        <x:v>Даташит — производитель</x:v>
      </x:c>
      <x:c xmlns:x="http://schemas.openxmlformats.org/spreadsheetml/2006/main" r="X283" t="str" s="11">
        <x:v>https://yageogroup.com/content/datasheet/asset/file/PYU-RC_GROUP_51_ROHS_L</x:v>
      </x:c>
      <x:c xmlns:x="http://schemas.openxmlformats.org/spreadsheetml/2006/main" r="Y283" t="str" s="11">
        <x:v>C:\Users\Nomatin\Documents\Altium\MY_LIB\MY_LIB\Datasheets\YAGEO_RC_L.pdf</x:v>
      </x:c>
      <ns0:c xmlns:ns0="http://schemas.openxmlformats.org/spreadsheetml/2006/main" r="Z283" s="16" t="inlineStr">
        <ns0:is>
          <ns0:t>MY_LIB_R_TCR</ns0:t>
        </ns0:is>
      </ns0:c>
      <ns0:c xmlns:ns0="http://schemas.openxmlformats.org/spreadsheetml/2006/main" r="AA283" s="16" t="inlineStr">
        <ns0:is>
          <ns0:t>R(T), +100 ppm/C at 25 C; positive datasheet limit</ns0:t>
        </ns0:is>
      </ns0:c>
      <ns0:c xmlns:ns0="http://schemas.openxmlformats.org/spreadsheetml/2006/main" r="AB283" s="16" t="str">
        <ns0:v>General</ns0:v>
      </ns0:c>
      <ns0:c xmlns:ns0="http://schemas.openxmlformats.org/spreadsheetml/2006/main" r="AC283" s="16" t="inlineStr">
        <ns0:is>
          <ns0:t>Spice Subcircuit</ns0:t>
        </ns0:is>
      </ns0:c>
      <ns0:c xmlns:ns0="http://schemas.openxmlformats.org/spreadsheetml/2006/main" r="AD283" s="16" t="inlineStr">
        <ns0:is>
          <ns0:t>@DESIGNATOR %1 %2 @MODEL PARAMS: Rvalue=@VALUE TC1value=100u</ns0:t>
        </ns0:is>
      </ns0:c>
      <ns0:c xmlns:ns0="http://schemas.openxmlformats.org/spreadsheetml/2006/main" r="AE283" s="16" t="inlineStr">
        <ns0:is>
          <ns0:t>X</ns0:t>
        </ns0:is>
      </ns0:c>
      <ns0:c xmlns:ns0="http://schemas.openxmlformats.org/spreadsheetml/2006/main" r="AF283" s="16" t="str">
        <ns0:v>(1:1),(2:2)</ns0:v>
      </ns0:c>
      <ns0:c xmlns:ns0="http://schemas.openxmlformats.org/spreadsheetml/2006/main" r="AG283" s="16" t="inlineStr">
        <ns0:is>
          <ns0:t>Simulation\Resistors\MY_LIB_R_TCR.ckt</ns0:t>
        </ns0:is>
      </ns0:c>
      <ns0:c xmlns:ns0="http://schemas.openxmlformats.org/spreadsheetml/2006/main" r="AH283" s="16" t="inlineStr">
        <ns0:is>
          <ns0:t>±100 ppm/°C</ns0:t>
        </ns0:is>
      </ns0:c>
    </ns0:row>
    <ns0:row r="284" ht="30" customHeight="1">
      <ns0:c r="A284" t="str" s="10">
        <ns0:v>R0290</ns0:v>
      </ns0:c>
      <ns0:c r="B284" t="str" s="10">
        <ns0:v>Резистор</ns0:v>
      </ns0:c>
      <ns0:c r="C284" t="str" s="10">
        <ns0:v>470k</ns0:v>
      </ns0:c>
      <ns0:c r="D284" t="str" s="11">
        <ns0:f>SUBSTITUTE(SUBSTITUTE(SUBSTITUTE(SUBSTITUTE(C284,"meg"," МОм"),"k"," кОм"),"R"," Ом"),".",",")</ns0:f>
        <ns0:v>470 кОм</ns0:v>
      </ns0:c>
      <ns0:c r="E284" t="str" s="10">
        <ns0:v>±5%</ns0:v>
      </ns0:c>
      <ns0:c r="F284" t="str" s="10">
        <ns0:v>0,125 Вт</ns0:v>
      </ns0:c>
      <ns0:c r="G284" t="str" s="10">
        <ns0:v>150 В макс.</ns0:v>
      </ns0:c>
      <ns0:c r="H284" t="str" s="12">
        <ns0:v>0805</ns0:v>
      </ns0:c>
      <ns0:c r="I284" t="str" s="10">
        <ns0:v>YAGEO</ns0:v>
      </ns0:c>
      <ns0:c r="J284" t="str" s="10">
        <ns0:v>RC0805JR-07470KL</ns0:v>
      </ns0:c>
      <ns0:c r="K284" t="str" s="11">
        <ns0:f>B284&amp;" "&amp;D284&amp;" "&amp;E284&amp;" "&amp;H284</ns0:f>
        <ns0:v>Резистор 470 кОм ±5% 0805</ns0:v>
      </ns0:c>
      <ns0:c r="L284" t="str" s="13">
        <ns0:v>R</ns0:v>
      </ns0:c>
      <ns0:c r="M284" t="str" s="13">
        <ns0:v>Symbols\MY_LIB_Resistors.SchLib</ns0:v>
      </ns0:c>
      <ns0:c r="N284" t="str" s="13">
        <ns0:v>RESC2012X70N</ns0:v>
      </ns0:c>
      <ns0:c r="O284" t="str" s="13">
        <ns0:v>Footprints\PBL - SMD Packages.PcbLib</ns0:v>
      </ns0:c>
      <ns0:c xmlns:ns0="http://schemas.openxmlformats.org/spreadsheetml/2006/main" r="P284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4" s="10"/>
      <ns0:c r="R284" t="str" s="11">
        <ns0:f>D284</ns0:f>
        <ns0:v>470 кОм</ns0:v>
      </ns0:c>
      <ns0:c r="S284" t="str" s="11">
        <ns0:f>K284</ns0:f>
        <ns0:v>Резистор 470 кОм ±5% 0805</ns0:v>
      </ns0:c>
      <x:c xmlns:x="http://schemas.openxmlformats.org/spreadsheetml/2006/main" r="T284" t="str" s="11">
        <x:v>C:\Users\Nomatin\Documents\Altium\MY_LIB\MY_LIB\Datasheets\YAGEO_RC_L.pdf</x:v>
      </x:c>
      <x:c xmlns:x="http://schemas.openxmlformats.org/spreadsheetml/2006/main" r="U284" t="str" s="11">
        <x:v>Даташит — локальный</x:v>
      </x:c>
      <x:c xmlns:x="http://schemas.openxmlformats.org/spreadsheetml/2006/main" r="V284" t="str" s="11">
        <x:v>C:\Users\Nomatin\Documents\Altium\MY_LIB\MY_LIB\Datasheets\YAGEO_RC_L.pdf</x:v>
      </x:c>
      <x:c xmlns:x="http://schemas.openxmlformats.org/spreadsheetml/2006/main" r="W284" t="str" s="11">
        <x:v>Даташит — производитель</x:v>
      </x:c>
      <x:c xmlns:x="http://schemas.openxmlformats.org/spreadsheetml/2006/main" r="X284" t="str" s="11">
        <x:v>https://yageogroup.com/content/datasheet/asset/file/PYU-RC_GROUP_51_ROHS_L</x:v>
      </x:c>
      <x:c xmlns:x="http://schemas.openxmlformats.org/spreadsheetml/2006/main" r="Y284" t="str" s="11">
        <x:v>C:\Users\Nomatin\Documents\Altium\MY_LIB\MY_LIB\Datasheets\YAGEO_RC_L.pdf</x:v>
      </x:c>
      <ns0:c xmlns:ns0="http://schemas.openxmlformats.org/spreadsheetml/2006/main" r="Z284" s="16" t="inlineStr">
        <ns0:is>
          <ns0:t>MY_LIB_R_TCR</ns0:t>
        </ns0:is>
      </ns0:c>
      <ns0:c xmlns:ns0="http://schemas.openxmlformats.org/spreadsheetml/2006/main" r="AA284" s="16" t="inlineStr">
        <ns0:is>
          <ns0:t>R(T), +100 ppm/C at 25 C; positive datasheet limit</ns0:t>
        </ns0:is>
      </ns0:c>
      <ns0:c xmlns:ns0="http://schemas.openxmlformats.org/spreadsheetml/2006/main" r="AB284" s="16" t="str">
        <ns0:v>General</ns0:v>
      </ns0:c>
      <ns0:c xmlns:ns0="http://schemas.openxmlformats.org/spreadsheetml/2006/main" r="AC284" s="16" t="inlineStr">
        <ns0:is>
          <ns0:t>Spice Subcircuit</ns0:t>
        </ns0:is>
      </ns0:c>
      <ns0:c xmlns:ns0="http://schemas.openxmlformats.org/spreadsheetml/2006/main" r="AD284" s="16" t="inlineStr">
        <ns0:is>
          <ns0:t>@DESIGNATOR %1 %2 @MODEL PARAMS: Rvalue=@VALUE TC1value=100u</ns0:t>
        </ns0:is>
      </ns0:c>
      <ns0:c xmlns:ns0="http://schemas.openxmlformats.org/spreadsheetml/2006/main" r="AE284" s="16" t="inlineStr">
        <ns0:is>
          <ns0:t>X</ns0:t>
        </ns0:is>
      </ns0:c>
      <ns0:c xmlns:ns0="http://schemas.openxmlformats.org/spreadsheetml/2006/main" r="AF284" s="16" t="str">
        <ns0:v>(1:1),(2:2)</ns0:v>
      </ns0:c>
      <ns0:c xmlns:ns0="http://schemas.openxmlformats.org/spreadsheetml/2006/main" r="AG284" s="16" t="inlineStr">
        <ns0:is>
          <ns0:t>Simulation\Resistors\MY_LIB_R_TCR.ckt</ns0:t>
        </ns0:is>
      </ns0:c>
      <ns0:c xmlns:ns0="http://schemas.openxmlformats.org/spreadsheetml/2006/main" r="AH284" s="16" t="inlineStr">
        <ns0:is>
          <ns0:t>±100 ppm/°C</ns0:t>
        </ns0:is>
      </ns0:c>
    </ns0:row>
    <ns0:row r="285" ht="30" customHeight="1">
      <ns0:c r="A285" t="str" s="10">
        <ns0:v>R0291</ns0:v>
      </ns0:c>
      <ns0:c r="B285" t="str" s="10">
        <ns0:v>Резистор</ns0:v>
      </ns0:c>
      <ns0:c r="C285" t="str" s="10">
        <ns0:v>510k</ns0:v>
      </ns0:c>
      <ns0:c r="D285" t="str" s="11">
        <ns0:f>SUBSTITUTE(SUBSTITUTE(SUBSTITUTE(SUBSTITUTE(C285,"meg"," МОм"),"k"," кОм"),"R"," Ом"),".",",")</ns0:f>
        <ns0:v>510 кОм</ns0:v>
      </ns0:c>
      <ns0:c r="E285" t="str" s="10">
        <ns0:v>±5%</ns0:v>
      </ns0:c>
      <ns0:c r="F285" t="str" s="10">
        <ns0:v>0,125 Вт</ns0:v>
      </ns0:c>
      <ns0:c r="G285" t="str" s="10">
        <ns0:v>150 В макс.</ns0:v>
      </ns0:c>
      <ns0:c r="H285" t="str" s="12">
        <ns0:v>0805</ns0:v>
      </ns0:c>
      <ns0:c r="I285" t="str" s="10">
        <ns0:v>YAGEO</ns0:v>
      </ns0:c>
      <ns0:c r="J285" t="str" s="10">
        <ns0:v>RC0805JR-07510KL</ns0:v>
      </ns0:c>
      <ns0:c r="K285" t="str" s="11">
        <ns0:f>B285&amp;" "&amp;D285&amp;" "&amp;E285&amp;" "&amp;H285</ns0:f>
        <ns0:v>Резистор 510 кОм ±5% 0805</ns0:v>
      </ns0:c>
      <ns0:c r="L285" t="str" s="13">
        <ns0:v>R</ns0:v>
      </ns0:c>
      <ns0:c r="M285" t="str" s="13">
        <ns0:v>Symbols\MY_LIB_Resistors.SchLib</ns0:v>
      </ns0:c>
      <ns0:c r="N285" t="str" s="13">
        <ns0:v>RESC2012X70N</ns0:v>
      </ns0:c>
      <ns0:c r="O285" t="str" s="13">
        <ns0:v>Footprints\PBL - SMD Packages.PcbLib</ns0:v>
      </ns0:c>
      <ns0:c xmlns:ns0="http://schemas.openxmlformats.org/spreadsheetml/2006/main" r="P285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5" s="10"/>
      <ns0:c r="R285" t="str" s="11">
        <ns0:f>D285</ns0:f>
        <ns0:v>510 кОм</ns0:v>
      </ns0:c>
      <ns0:c r="S285" t="str" s="11">
        <ns0:f>K285</ns0:f>
        <ns0:v>Резистор 510 кОм ±5% 0805</ns0:v>
      </ns0:c>
      <x:c xmlns:x="http://schemas.openxmlformats.org/spreadsheetml/2006/main" r="T285" t="str" s="11">
        <x:v>C:\Users\Nomatin\Documents\Altium\MY_LIB\MY_LIB\Datasheets\YAGEO_RC_L.pdf</x:v>
      </x:c>
      <x:c xmlns:x="http://schemas.openxmlformats.org/spreadsheetml/2006/main" r="U285" t="str" s="11">
        <x:v>Даташит — локальный</x:v>
      </x:c>
      <x:c xmlns:x="http://schemas.openxmlformats.org/spreadsheetml/2006/main" r="V285" t="str" s="11">
        <x:v>C:\Users\Nomatin\Documents\Altium\MY_LIB\MY_LIB\Datasheets\YAGEO_RC_L.pdf</x:v>
      </x:c>
      <x:c xmlns:x="http://schemas.openxmlformats.org/spreadsheetml/2006/main" r="W285" t="str" s="11">
        <x:v>Даташит — производитель</x:v>
      </x:c>
      <x:c xmlns:x="http://schemas.openxmlformats.org/spreadsheetml/2006/main" r="X285" t="str" s="11">
        <x:v>https://yageogroup.com/content/datasheet/asset/file/PYU-RC_GROUP_51_ROHS_L</x:v>
      </x:c>
      <x:c xmlns:x="http://schemas.openxmlformats.org/spreadsheetml/2006/main" r="Y285" t="str" s="11">
        <x:v>C:\Users\Nomatin\Documents\Altium\MY_LIB\MY_LIB\Datasheets\YAGEO_RC_L.pdf</x:v>
      </x:c>
      <ns0:c xmlns:ns0="http://schemas.openxmlformats.org/spreadsheetml/2006/main" r="Z285" s="16" t="inlineStr">
        <ns0:is>
          <ns0:t>MY_LIB_R_TCR</ns0:t>
        </ns0:is>
      </ns0:c>
      <ns0:c xmlns:ns0="http://schemas.openxmlformats.org/spreadsheetml/2006/main" r="AA285" s="16" t="inlineStr">
        <ns0:is>
          <ns0:t>R(T), +100 ppm/C at 25 C; positive datasheet limit</ns0:t>
        </ns0:is>
      </ns0:c>
      <ns0:c xmlns:ns0="http://schemas.openxmlformats.org/spreadsheetml/2006/main" r="AB285" s="16" t="str">
        <ns0:v>General</ns0:v>
      </ns0:c>
      <ns0:c xmlns:ns0="http://schemas.openxmlformats.org/spreadsheetml/2006/main" r="AC285" s="16" t="inlineStr">
        <ns0:is>
          <ns0:t>Spice Subcircuit</ns0:t>
        </ns0:is>
      </ns0:c>
      <ns0:c xmlns:ns0="http://schemas.openxmlformats.org/spreadsheetml/2006/main" r="AD285" s="16" t="inlineStr">
        <ns0:is>
          <ns0:t>@DESIGNATOR %1 %2 @MODEL PARAMS: Rvalue=@VALUE TC1value=100u</ns0:t>
        </ns0:is>
      </ns0:c>
      <ns0:c xmlns:ns0="http://schemas.openxmlformats.org/spreadsheetml/2006/main" r="AE285" s="16" t="inlineStr">
        <ns0:is>
          <ns0:t>X</ns0:t>
        </ns0:is>
      </ns0:c>
      <ns0:c xmlns:ns0="http://schemas.openxmlformats.org/spreadsheetml/2006/main" r="AF285" s="16" t="str">
        <ns0:v>(1:1),(2:2)</ns0:v>
      </ns0:c>
      <ns0:c xmlns:ns0="http://schemas.openxmlformats.org/spreadsheetml/2006/main" r="AG285" s="16" t="inlineStr">
        <ns0:is>
          <ns0:t>Simulation\Resistors\MY_LIB_R_TCR.ckt</ns0:t>
        </ns0:is>
      </ns0:c>
      <ns0:c xmlns:ns0="http://schemas.openxmlformats.org/spreadsheetml/2006/main" r="AH285" s="16" t="inlineStr">
        <ns0:is>
          <ns0:t>±100 ppm/°C</ns0:t>
        </ns0:is>
      </ns0:c>
    </ns0:row>
    <ns0:row r="286" ht="30" customHeight="1">
      <ns0:c r="A286" t="str" s="10">
        <ns0:v>R0292</ns0:v>
      </ns0:c>
      <ns0:c r="B286" t="str" s="10">
        <ns0:v>Резистор</ns0:v>
      </ns0:c>
      <ns0:c r="C286" t="str" s="10">
        <ns0:v>560k</ns0:v>
      </ns0:c>
      <ns0:c r="D286" t="str" s="11">
        <ns0:f>SUBSTITUTE(SUBSTITUTE(SUBSTITUTE(SUBSTITUTE(C286,"meg"," МОм"),"k"," кОм"),"R"," Ом"),".",",")</ns0:f>
        <ns0:v>560 кОм</ns0:v>
      </ns0:c>
      <ns0:c r="E286" t="str" s="10">
        <ns0:v>±5%</ns0:v>
      </ns0:c>
      <ns0:c r="F286" t="str" s="10">
        <ns0:v>0,125 Вт</ns0:v>
      </ns0:c>
      <ns0:c r="G286" t="str" s="10">
        <ns0:v>150 В макс.</ns0:v>
      </ns0:c>
      <ns0:c r="H286" t="str" s="12">
        <ns0:v>0805</ns0:v>
      </ns0:c>
      <ns0:c r="I286" t="str" s="10">
        <ns0:v>YAGEO</ns0:v>
      </ns0:c>
      <ns0:c r="J286" t="str" s="10">
        <ns0:v>RC0805JR-07560KL</ns0:v>
      </ns0:c>
      <ns0:c r="K286" t="str" s="11">
        <ns0:f>B286&amp;" "&amp;D286&amp;" "&amp;E286&amp;" "&amp;H286</ns0:f>
        <ns0:v>Резистор 560 кОм ±5% 0805</ns0:v>
      </ns0:c>
      <ns0:c r="L286" t="str" s="13">
        <ns0:v>R</ns0:v>
      </ns0:c>
      <ns0:c r="M286" t="str" s="13">
        <ns0:v>Symbols\MY_LIB_Resistors.SchLib</ns0:v>
      </ns0:c>
      <ns0:c r="N286" t="str" s="13">
        <ns0:v>RESC2012X70N</ns0:v>
      </ns0:c>
      <ns0:c r="O286" t="str" s="13">
        <ns0:v>Footprints\PBL - SMD Packages.PcbLib</ns0:v>
      </ns0:c>
      <ns0:c xmlns:ns0="http://schemas.openxmlformats.org/spreadsheetml/2006/main" r="P286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6" s="10"/>
      <ns0:c r="R286" t="str" s="11">
        <ns0:f>D286</ns0:f>
        <ns0:v>560 кОм</ns0:v>
      </ns0:c>
      <ns0:c r="S286" t="str" s="11">
        <ns0:f>K286</ns0:f>
        <ns0:v>Резистор 560 кОм ±5% 0805</ns0:v>
      </ns0:c>
      <x:c xmlns:x="http://schemas.openxmlformats.org/spreadsheetml/2006/main" r="T286" t="str" s="11">
        <x:v>C:\Users\Nomatin\Documents\Altium\MY_LIB\MY_LIB\Datasheets\YAGEO_RC_L.pdf</x:v>
      </x:c>
      <x:c xmlns:x="http://schemas.openxmlformats.org/spreadsheetml/2006/main" r="U286" t="str" s="11">
        <x:v>Даташит — локальный</x:v>
      </x:c>
      <x:c xmlns:x="http://schemas.openxmlformats.org/spreadsheetml/2006/main" r="V286" t="str" s="11">
        <x:v>C:\Users\Nomatin\Documents\Altium\MY_LIB\MY_LIB\Datasheets\YAGEO_RC_L.pdf</x:v>
      </x:c>
      <x:c xmlns:x="http://schemas.openxmlformats.org/spreadsheetml/2006/main" r="W286" t="str" s="11">
        <x:v>Даташит — производитель</x:v>
      </x:c>
      <x:c xmlns:x="http://schemas.openxmlformats.org/spreadsheetml/2006/main" r="X286" t="str" s="11">
        <x:v>https://yageogroup.com/content/datasheet/asset/file/PYU-RC_GROUP_51_ROHS_L</x:v>
      </x:c>
      <x:c xmlns:x="http://schemas.openxmlformats.org/spreadsheetml/2006/main" r="Y286" t="str" s="11">
        <x:v>C:\Users\Nomatin\Documents\Altium\MY_LIB\MY_LIB\Datasheets\YAGEO_RC_L.pdf</x:v>
      </x:c>
      <ns0:c xmlns:ns0="http://schemas.openxmlformats.org/spreadsheetml/2006/main" r="Z286" s="16" t="inlineStr">
        <ns0:is>
          <ns0:t>MY_LIB_R_TCR</ns0:t>
        </ns0:is>
      </ns0:c>
      <ns0:c xmlns:ns0="http://schemas.openxmlformats.org/spreadsheetml/2006/main" r="AA286" s="16" t="inlineStr">
        <ns0:is>
          <ns0:t>R(T), +100 ppm/C at 25 C; positive datasheet limit</ns0:t>
        </ns0:is>
      </ns0:c>
      <ns0:c xmlns:ns0="http://schemas.openxmlformats.org/spreadsheetml/2006/main" r="AB286" s="16" t="str">
        <ns0:v>General</ns0:v>
      </ns0:c>
      <ns0:c xmlns:ns0="http://schemas.openxmlformats.org/spreadsheetml/2006/main" r="AC286" s="16" t="inlineStr">
        <ns0:is>
          <ns0:t>Spice Subcircuit</ns0:t>
        </ns0:is>
      </ns0:c>
      <ns0:c xmlns:ns0="http://schemas.openxmlformats.org/spreadsheetml/2006/main" r="AD286" s="16" t="inlineStr">
        <ns0:is>
          <ns0:t>@DESIGNATOR %1 %2 @MODEL PARAMS: Rvalue=@VALUE TC1value=100u</ns0:t>
        </ns0:is>
      </ns0:c>
      <ns0:c xmlns:ns0="http://schemas.openxmlformats.org/spreadsheetml/2006/main" r="AE286" s="16" t="inlineStr">
        <ns0:is>
          <ns0:t>X</ns0:t>
        </ns0:is>
      </ns0:c>
      <ns0:c xmlns:ns0="http://schemas.openxmlformats.org/spreadsheetml/2006/main" r="AF286" s="16" t="str">
        <ns0:v>(1:1),(2:2)</ns0:v>
      </ns0:c>
      <ns0:c xmlns:ns0="http://schemas.openxmlformats.org/spreadsheetml/2006/main" r="AG286" s="16" t="inlineStr">
        <ns0:is>
          <ns0:t>Simulation\Resistors\MY_LIB_R_TCR.ckt</ns0:t>
        </ns0:is>
      </ns0:c>
      <ns0:c xmlns:ns0="http://schemas.openxmlformats.org/spreadsheetml/2006/main" r="AH286" s="16" t="inlineStr">
        <ns0:is>
          <ns0:t>±100 ppm/°C</ns0:t>
        </ns0:is>
      </ns0:c>
    </ns0:row>
    <ns0:row r="287" ht="30" customHeight="1">
      <ns0:c r="A287" t="str" s="10">
        <ns0:v>R0293</ns0:v>
      </ns0:c>
      <ns0:c r="B287" t="str" s="10">
        <ns0:v>Резистор</ns0:v>
      </ns0:c>
      <ns0:c r="C287" t="str" s="10">
        <ns0:v>620k</ns0:v>
      </ns0:c>
      <ns0:c r="D287" t="str" s="11">
        <ns0:f>SUBSTITUTE(SUBSTITUTE(SUBSTITUTE(SUBSTITUTE(C287,"meg"," МОм"),"k"," кОм"),"R"," Ом"),".",",")</ns0:f>
        <ns0:v>620 кОм</ns0:v>
      </ns0:c>
      <ns0:c r="E287" t="str" s="10">
        <ns0:v>±5%</ns0:v>
      </ns0:c>
      <ns0:c r="F287" t="str" s="10">
        <ns0:v>0,125 Вт</ns0:v>
      </ns0:c>
      <ns0:c r="G287" t="str" s="10">
        <ns0:v>150 В макс.</ns0:v>
      </ns0:c>
      <ns0:c r="H287" t="str" s="12">
        <ns0:v>0805</ns0:v>
      </ns0:c>
      <ns0:c r="I287" t="str" s="10">
        <ns0:v>YAGEO</ns0:v>
      </ns0:c>
      <ns0:c r="J287" t="str" s="10">
        <ns0:v>RC0805JR-07620KL</ns0:v>
      </ns0:c>
      <ns0:c r="K287" t="str" s="11">
        <ns0:f>B287&amp;" "&amp;D287&amp;" "&amp;E287&amp;" "&amp;H287</ns0:f>
        <ns0:v>Резистор 620 кОм ±5% 0805</ns0:v>
      </ns0:c>
      <ns0:c r="L287" t="str" s="13">
        <ns0:v>R</ns0:v>
      </ns0:c>
      <ns0:c r="M287" t="str" s="13">
        <ns0:v>Symbols\MY_LIB_Resistors.SchLib</ns0:v>
      </ns0:c>
      <ns0:c r="N287" t="str" s="13">
        <ns0:v>RESC2012X70N</ns0:v>
      </ns0:c>
      <ns0:c r="O287" t="str" s="13">
        <ns0:v>Footprints\PBL - SMD Packages.PcbLib</ns0:v>
      </ns0:c>
      <ns0:c xmlns:ns0="http://schemas.openxmlformats.org/spreadsheetml/2006/main" r="P287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7" s="10"/>
      <ns0:c r="R287" t="str" s="11">
        <ns0:f>D287</ns0:f>
        <ns0:v>620 кОм</ns0:v>
      </ns0:c>
      <ns0:c r="S287" t="str" s="11">
        <ns0:f>K287</ns0:f>
        <ns0:v>Резистор 620 кОм ±5% 0805</ns0:v>
      </ns0:c>
      <x:c xmlns:x="http://schemas.openxmlformats.org/spreadsheetml/2006/main" r="T287" t="str" s="11">
        <x:v>C:\Users\Nomatin\Documents\Altium\MY_LIB\MY_LIB\Datasheets\YAGEO_RC_L.pdf</x:v>
      </x:c>
      <x:c xmlns:x="http://schemas.openxmlformats.org/spreadsheetml/2006/main" r="U287" t="str" s="11">
        <x:v>Даташит — локальный</x:v>
      </x:c>
      <x:c xmlns:x="http://schemas.openxmlformats.org/spreadsheetml/2006/main" r="V287" t="str" s="11">
        <x:v>C:\Users\Nomatin\Documents\Altium\MY_LIB\MY_LIB\Datasheets\YAGEO_RC_L.pdf</x:v>
      </x:c>
      <x:c xmlns:x="http://schemas.openxmlformats.org/spreadsheetml/2006/main" r="W287" t="str" s="11">
        <x:v>Даташит — производитель</x:v>
      </x:c>
      <x:c xmlns:x="http://schemas.openxmlformats.org/spreadsheetml/2006/main" r="X287" t="str" s="11">
        <x:v>https://yageogroup.com/content/datasheet/asset/file/PYU-RC_GROUP_51_ROHS_L</x:v>
      </x:c>
      <x:c xmlns:x="http://schemas.openxmlformats.org/spreadsheetml/2006/main" r="Y287" t="str" s="11">
        <x:v>C:\Users\Nomatin\Documents\Altium\MY_LIB\MY_LIB\Datasheets\YAGEO_RC_L.pdf</x:v>
      </x:c>
      <ns0:c xmlns:ns0="http://schemas.openxmlformats.org/spreadsheetml/2006/main" r="Z287" s="16" t="inlineStr">
        <ns0:is>
          <ns0:t>MY_LIB_R_TCR</ns0:t>
        </ns0:is>
      </ns0:c>
      <ns0:c xmlns:ns0="http://schemas.openxmlformats.org/spreadsheetml/2006/main" r="AA287" s="16" t="inlineStr">
        <ns0:is>
          <ns0:t>R(T), +100 ppm/C at 25 C; positive datasheet limit</ns0:t>
        </ns0:is>
      </ns0:c>
      <ns0:c xmlns:ns0="http://schemas.openxmlformats.org/spreadsheetml/2006/main" r="AB287" s="16" t="str">
        <ns0:v>General</ns0:v>
      </ns0:c>
      <ns0:c xmlns:ns0="http://schemas.openxmlformats.org/spreadsheetml/2006/main" r="AC287" s="16" t="inlineStr">
        <ns0:is>
          <ns0:t>Spice Subcircuit</ns0:t>
        </ns0:is>
      </ns0:c>
      <ns0:c xmlns:ns0="http://schemas.openxmlformats.org/spreadsheetml/2006/main" r="AD287" s="16" t="inlineStr">
        <ns0:is>
          <ns0:t>@DESIGNATOR %1 %2 @MODEL PARAMS: Rvalue=@VALUE TC1value=100u</ns0:t>
        </ns0:is>
      </ns0:c>
      <ns0:c xmlns:ns0="http://schemas.openxmlformats.org/spreadsheetml/2006/main" r="AE287" s="16" t="inlineStr">
        <ns0:is>
          <ns0:t>X</ns0:t>
        </ns0:is>
      </ns0:c>
      <ns0:c xmlns:ns0="http://schemas.openxmlformats.org/spreadsheetml/2006/main" r="AF287" s="16" t="str">
        <ns0:v>(1:1),(2:2)</ns0:v>
      </ns0:c>
      <ns0:c xmlns:ns0="http://schemas.openxmlformats.org/spreadsheetml/2006/main" r="AG287" s="16" t="inlineStr">
        <ns0:is>
          <ns0:t>Simulation\Resistors\MY_LIB_R_TCR.ckt</ns0:t>
        </ns0:is>
      </ns0:c>
      <ns0:c xmlns:ns0="http://schemas.openxmlformats.org/spreadsheetml/2006/main" r="AH287" s="16" t="inlineStr">
        <ns0:is>
          <ns0:t>±100 ppm/°C</ns0:t>
        </ns0:is>
      </ns0:c>
    </ns0:row>
    <ns0:row r="288" ht="30" customHeight="1">
      <ns0:c r="A288" t="str" s="10">
        <ns0:v>R0294</ns0:v>
      </ns0:c>
      <ns0:c r="B288" t="str" s="10">
        <ns0:v>Резистор</ns0:v>
      </ns0:c>
      <ns0:c r="C288" t="str" s="10">
        <ns0:v>680k</ns0:v>
      </ns0:c>
      <ns0:c r="D288" t="str" s="11">
        <ns0:f>SUBSTITUTE(SUBSTITUTE(SUBSTITUTE(SUBSTITUTE(C288,"meg"," МОм"),"k"," кОм"),"R"," Ом"),".",",")</ns0:f>
        <ns0:v>680 кОм</ns0:v>
      </ns0:c>
      <ns0:c r="E288" t="str" s="10">
        <ns0:v>±5%</ns0:v>
      </ns0:c>
      <ns0:c r="F288" t="str" s="10">
        <ns0:v>0,125 Вт</ns0:v>
      </ns0:c>
      <ns0:c r="G288" t="str" s="10">
        <ns0:v>150 В макс.</ns0:v>
      </ns0:c>
      <ns0:c r="H288" t="str" s="12">
        <ns0:v>0805</ns0:v>
      </ns0:c>
      <ns0:c r="I288" t="str" s="10">
        <ns0:v>YAGEO</ns0:v>
      </ns0:c>
      <ns0:c r="J288" t="str" s="10">
        <ns0:v>RC0805JR-07680KL</ns0:v>
      </ns0:c>
      <ns0:c r="K288" t="str" s="11">
        <ns0:f>B288&amp;" "&amp;D288&amp;" "&amp;E288&amp;" "&amp;H288</ns0:f>
        <ns0:v>Резистор 680 кОм ±5% 0805</ns0:v>
      </ns0:c>
      <ns0:c r="L288" t="str" s="13">
        <ns0:v>R</ns0:v>
      </ns0:c>
      <ns0:c r="M288" t="str" s="13">
        <ns0:v>Symbols\MY_LIB_Resistors.SchLib</ns0:v>
      </ns0:c>
      <ns0:c r="N288" t="str" s="13">
        <ns0:v>RESC2012X70N</ns0:v>
      </ns0:c>
      <ns0:c r="O288" t="str" s="13">
        <ns0:v>Footprints\PBL - SMD Packages.PcbLib</ns0:v>
      </ns0:c>
      <ns0:c xmlns:ns0="http://schemas.openxmlformats.org/spreadsheetml/2006/main" r="P288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8" s="10"/>
      <ns0:c r="R288" t="str" s="11">
        <ns0:f>D288</ns0:f>
        <ns0:v>680 кОм</ns0:v>
      </ns0:c>
      <ns0:c r="S288" t="str" s="11">
        <ns0:f>K288</ns0:f>
        <ns0:v>Резистор 680 кОм ±5% 0805</ns0:v>
      </ns0:c>
      <x:c xmlns:x="http://schemas.openxmlformats.org/spreadsheetml/2006/main" r="T288" t="str" s="11">
        <x:v>C:\Users\Nomatin\Documents\Altium\MY_LIB\MY_LIB\Datasheets\YAGEO_RC_L.pdf</x:v>
      </x:c>
      <x:c xmlns:x="http://schemas.openxmlformats.org/spreadsheetml/2006/main" r="U288" t="str" s="11">
        <x:v>Даташит — локальный</x:v>
      </x:c>
      <x:c xmlns:x="http://schemas.openxmlformats.org/spreadsheetml/2006/main" r="V288" t="str" s="11">
        <x:v>C:\Users\Nomatin\Documents\Altium\MY_LIB\MY_LIB\Datasheets\YAGEO_RC_L.pdf</x:v>
      </x:c>
      <x:c xmlns:x="http://schemas.openxmlformats.org/spreadsheetml/2006/main" r="W288" t="str" s="11">
        <x:v>Даташит — производитель</x:v>
      </x:c>
      <x:c xmlns:x="http://schemas.openxmlformats.org/spreadsheetml/2006/main" r="X288" t="str" s="11">
        <x:v>https://yageogroup.com/content/datasheet/asset/file/PYU-RC_GROUP_51_ROHS_L</x:v>
      </x:c>
      <x:c xmlns:x="http://schemas.openxmlformats.org/spreadsheetml/2006/main" r="Y288" t="str" s="11">
        <x:v>C:\Users\Nomatin\Documents\Altium\MY_LIB\MY_LIB\Datasheets\YAGEO_RC_L.pdf</x:v>
      </x:c>
      <ns0:c xmlns:ns0="http://schemas.openxmlformats.org/spreadsheetml/2006/main" r="Z288" s="16" t="inlineStr">
        <ns0:is>
          <ns0:t>MY_LIB_R_TCR</ns0:t>
        </ns0:is>
      </ns0:c>
      <ns0:c xmlns:ns0="http://schemas.openxmlformats.org/spreadsheetml/2006/main" r="AA288" s="16" t="inlineStr">
        <ns0:is>
          <ns0:t>R(T), +100 ppm/C at 25 C; positive datasheet limit</ns0:t>
        </ns0:is>
      </ns0:c>
      <ns0:c xmlns:ns0="http://schemas.openxmlformats.org/spreadsheetml/2006/main" r="AB288" s="16" t="str">
        <ns0:v>General</ns0:v>
      </ns0:c>
      <ns0:c xmlns:ns0="http://schemas.openxmlformats.org/spreadsheetml/2006/main" r="AC288" s="16" t="inlineStr">
        <ns0:is>
          <ns0:t>Spice Subcircuit</ns0:t>
        </ns0:is>
      </ns0:c>
      <ns0:c xmlns:ns0="http://schemas.openxmlformats.org/spreadsheetml/2006/main" r="AD288" s="16" t="inlineStr">
        <ns0:is>
          <ns0:t>@DESIGNATOR %1 %2 @MODEL PARAMS: Rvalue=@VALUE TC1value=100u</ns0:t>
        </ns0:is>
      </ns0:c>
      <ns0:c xmlns:ns0="http://schemas.openxmlformats.org/spreadsheetml/2006/main" r="AE288" s="16" t="inlineStr">
        <ns0:is>
          <ns0:t>X</ns0:t>
        </ns0:is>
      </ns0:c>
      <ns0:c xmlns:ns0="http://schemas.openxmlformats.org/spreadsheetml/2006/main" r="AF288" s="16" t="str">
        <ns0:v>(1:1),(2:2)</ns0:v>
      </ns0:c>
      <ns0:c xmlns:ns0="http://schemas.openxmlformats.org/spreadsheetml/2006/main" r="AG288" s="16" t="inlineStr">
        <ns0:is>
          <ns0:t>Simulation\Resistors\MY_LIB_R_TCR.ckt</ns0:t>
        </ns0:is>
      </ns0:c>
      <ns0:c xmlns:ns0="http://schemas.openxmlformats.org/spreadsheetml/2006/main" r="AH288" s="16" t="inlineStr">
        <ns0:is>
          <ns0:t>±100 ppm/°C</ns0:t>
        </ns0:is>
      </ns0:c>
    </ns0:row>
    <ns0:row r="289" ht="30" customHeight="1">
      <ns0:c r="A289" t="str" s="10">
        <ns0:v>R0295</ns0:v>
      </ns0:c>
      <ns0:c r="B289" t="str" s="10">
        <ns0:v>Резистор</ns0:v>
      </ns0:c>
      <ns0:c r="C289" t="str" s="10">
        <ns0:v>750k</ns0:v>
      </ns0:c>
      <ns0:c r="D289" t="str" s="11">
        <ns0:f>SUBSTITUTE(SUBSTITUTE(SUBSTITUTE(SUBSTITUTE(C289,"meg"," МОм"),"k"," кОм"),"R"," Ом"),".",",")</ns0:f>
        <ns0:v>750 кОм</ns0:v>
      </ns0:c>
      <ns0:c r="E289" t="str" s="10">
        <ns0:v>±5%</ns0:v>
      </ns0:c>
      <ns0:c r="F289" t="str" s="10">
        <ns0:v>0,125 Вт</ns0:v>
      </ns0:c>
      <ns0:c r="G289" t="str" s="10">
        <ns0:v>150 В макс.</ns0:v>
      </ns0:c>
      <ns0:c r="H289" t="str" s="12">
        <ns0:v>0805</ns0:v>
      </ns0:c>
      <ns0:c r="I289" t="str" s="10">
        <ns0:v>YAGEO</ns0:v>
      </ns0:c>
      <ns0:c r="J289" t="str" s="10">
        <ns0:v>RC0805JR-07750KL</ns0:v>
      </ns0:c>
      <ns0:c r="K289" t="str" s="11">
        <ns0:f>B289&amp;" "&amp;D289&amp;" "&amp;E289&amp;" "&amp;H289</ns0:f>
        <ns0:v>Резистор 750 кОм ±5% 0805</ns0:v>
      </ns0:c>
      <ns0:c r="L289" t="str" s="13">
        <ns0:v>R</ns0:v>
      </ns0:c>
      <ns0:c r="M289" t="str" s="13">
        <ns0:v>Symbols\MY_LIB_Resistors.SchLib</ns0:v>
      </ns0:c>
      <ns0:c r="N289" t="str" s="13">
        <ns0:v>RESC2012X70N</ns0:v>
      </ns0:c>
      <ns0:c r="O289" t="str" s="13">
        <ns0:v>Footprints\PBL - SMD Packages.PcbLib</ns0:v>
      </ns0:c>
      <ns0:c xmlns:ns0="http://schemas.openxmlformats.org/spreadsheetml/2006/main" r="P289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89" s="10"/>
      <ns0:c r="R289" t="str" s="11">
        <ns0:f>D289</ns0:f>
        <ns0:v>750 кОм</ns0:v>
      </ns0:c>
      <ns0:c r="S289" t="str" s="11">
        <ns0:f>K289</ns0:f>
        <ns0:v>Резистор 750 кОм ±5% 0805</ns0:v>
      </ns0:c>
      <x:c xmlns:x="http://schemas.openxmlformats.org/spreadsheetml/2006/main" r="T289" t="str" s="11">
        <x:v>C:\Users\Nomatin\Documents\Altium\MY_LIB\MY_LIB\Datasheets\YAGEO_RC_L.pdf</x:v>
      </x:c>
      <x:c xmlns:x="http://schemas.openxmlformats.org/spreadsheetml/2006/main" r="U289" t="str" s="11">
        <x:v>Даташит — локальный</x:v>
      </x:c>
      <x:c xmlns:x="http://schemas.openxmlformats.org/spreadsheetml/2006/main" r="V289" t="str" s="11">
        <x:v>C:\Users\Nomatin\Documents\Altium\MY_LIB\MY_LIB\Datasheets\YAGEO_RC_L.pdf</x:v>
      </x:c>
      <x:c xmlns:x="http://schemas.openxmlformats.org/spreadsheetml/2006/main" r="W289" t="str" s="11">
        <x:v>Даташит — производитель</x:v>
      </x:c>
      <x:c xmlns:x="http://schemas.openxmlformats.org/spreadsheetml/2006/main" r="X289" t="str" s="11">
        <x:v>https://yageogroup.com/content/datasheet/asset/file/PYU-RC_GROUP_51_ROHS_L</x:v>
      </x:c>
      <x:c xmlns:x="http://schemas.openxmlformats.org/spreadsheetml/2006/main" r="Y289" t="str" s="11">
        <x:v>C:\Users\Nomatin\Documents\Altium\MY_LIB\MY_LIB\Datasheets\YAGEO_RC_L.pdf</x:v>
      </x:c>
      <ns0:c xmlns:ns0="http://schemas.openxmlformats.org/spreadsheetml/2006/main" r="Z289" s="16" t="inlineStr">
        <ns0:is>
          <ns0:t>MY_LIB_R_TCR</ns0:t>
        </ns0:is>
      </ns0:c>
      <ns0:c xmlns:ns0="http://schemas.openxmlformats.org/spreadsheetml/2006/main" r="AA289" s="16" t="inlineStr">
        <ns0:is>
          <ns0:t>R(T), +100 ppm/C at 25 C; positive datasheet limit</ns0:t>
        </ns0:is>
      </ns0:c>
      <ns0:c xmlns:ns0="http://schemas.openxmlformats.org/spreadsheetml/2006/main" r="AB289" s="16" t="str">
        <ns0:v>General</ns0:v>
      </ns0:c>
      <ns0:c xmlns:ns0="http://schemas.openxmlformats.org/spreadsheetml/2006/main" r="AC289" s="16" t="inlineStr">
        <ns0:is>
          <ns0:t>Spice Subcircuit</ns0:t>
        </ns0:is>
      </ns0:c>
      <ns0:c xmlns:ns0="http://schemas.openxmlformats.org/spreadsheetml/2006/main" r="AD289" s="16" t="inlineStr">
        <ns0:is>
          <ns0:t>@DESIGNATOR %1 %2 @MODEL PARAMS: Rvalue=@VALUE TC1value=100u</ns0:t>
        </ns0:is>
      </ns0:c>
      <ns0:c xmlns:ns0="http://schemas.openxmlformats.org/spreadsheetml/2006/main" r="AE289" s="16" t="inlineStr">
        <ns0:is>
          <ns0:t>X</ns0:t>
        </ns0:is>
      </ns0:c>
      <ns0:c xmlns:ns0="http://schemas.openxmlformats.org/spreadsheetml/2006/main" r="AF289" s="16" t="str">
        <ns0:v>(1:1),(2:2)</ns0:v>
      </ns0:c>
      <ns0:c xmlns:ns0="http://schemas.openxmlformats.org/spreadsheetml/2006/main" r="AG289" s="16" t="inlineStr">
        <ns0:is>
          <ns0:t>Simulation\Resistors\MY_LIB_R_TCR.ckt</ns0:t>
        </ns0:is>
      </ns0:c>
      <ns0:c xmlns:ns0="http://schemas.openxmlformats.org/spreadsheetml/2006/main" r="AH289" s="16" t="inlineStr">
        <ns0:is>
          <ns0:t>±100 ppm/°C</ns0:t>
        </ns0:is>
      </ns0:c>
    </ns0:row>
    <ns0:row r="290" ht="30" customHeight="1">
      <ns0:c r="A290" t="str" s="10">
        <ns0:v>R0296</ns0:v>
      </ns0:c>
      <ns0:c r="B290" t="str" s="10">
        <ns0:v>Резистор</ns0:v>
      </ns0:c>
      <ns0:c r="C290" t="str" s="10">
        <ns0:v>820k</ns0:v>
      </ns0:c>
      <ns0:c r="D290" t="str" s="11">
        <ns0:f>SUBSTITUTE(SUBSTITUTE(SUBSTITUTE(SUBSTITUTE(C290,"meg"," МОм"),"k"," кОм"),"R"," Ом"),".",",")</ns0:f>
        <ns0:v>820 кОм</ns0:v>
      </ns0:c>
      <ns0:c r="E290" t="str" s="10">
        <ns0:v>±5%</ns0:v>
      </ns0:c>
      <ns0:c r="F290" t="str" s="10">
        <ns0:v>0,125 Вт</ns0:v>
      </ns0:c>
      <ns0:c r="G290" t="str" s="10">
        <ns0:v>150 В макс.</ns0:v>
      </ns0:c>
      <ns0:c r="H290" t="str" s="12">
        <ns0:v>0805</ns0:v>
      </ns0:c>
      <ns0:c r="I290" t="str" s="10">
        <ns0:v>YAGEO</ns0:v>
      </ns0:c>
      <ns0:c r="J290" t="str" s="10">
        <ns0:v>RC0805JR-07820KL</ns0:v>
      </ns0:c>
      <ns0:c r="K290" t="str" s="11">
        <ns0:f>B290&amp;" "&amp;D290&amp;" "&amp;E290&amp;" "&amp;H290</ns0:f>
        <ns0:v>Резистор 820 кОм ±5% 0805</ns0:v>
      </ns0:c>
      <ns0:c r="L290" t="str" s="13">
        <ns0:v>R</ns0:v>
      </ns0:c>
      <ns0:c r="M290" t="str" s="13">
        <ns0:v>Symbols\MY_LIB_Resistors.SchLib</ns0:v>
      </ns0:c>
      <ns0:c r="N290" t="str" s="13">
        <ns0:v>RESC2012X70N</ns0:v>
      </ns0:c>
      <ns0:c r="O290" t="str" s="13">
        <ns0:v>Footprints\PBL - SMD Packages.PcbLib</ns0:v>
      </ns0:c>
      <ns0:c xmlns:ns0="http://schemas.openxmlformats.org/spreadsheetml/2006/main" r="P290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90" s="10"/>
      <ns0:c r="R290" t="str" s="11">
        <ns0:f>D290</ns0:f>
        <ns0:v>820 кОм</ns0:v>
      </ns0:c>
      <ns0:c r="S290" t="str" s="11">
        <ns0:f>K290</ns0:f>
        <ns0:v>Резистор 820 кОм ±5% 0805</ns0:v>
      </ns0:c>
      <x:c xmlns:x="http://schemas.openxmlformats.org/spreadsheetml/2006/main" r="T290" t="str" s="11">
        <x:v>C:\Users\Nomatin\Documents\Altium\MY_LIB\MY_LIB\Datasheets\YAGEO_RC_L.pdf</x:v>
      </x:c>
      <x:c xmlns:x="http://schemas.openxmlformats.org/spreadsheetml/2006/main" r="U290" t="str" s="11">
        <x:v>Даташит — локальный</x:v>
      </x:c>
      <x:c xmlns:x="http://schemas.openxmlformats.org/spreadsheetml/2006/main" r="V290" t="str" s="11">
        <x:v>C:\Users\Nomatin\Documents\Altium\MY_LIB\MY_LIB\Datasheets\YAGEO_RC_L.pdf</x:v>
      </x:c>
      <x:c xmlns:x="http://schemas.openxmlformats.org/spreadsheetml/2006/main" r="W290" t="str" s="11">
        <x:v>Даташит — производитель</x:v>
      </x:c>
      <x:c xmlns:x="http://schemas.openxmlformats.org/spreadsheetml/2006/main" r="X290" t="str" s="11">
        <x:v>https://yageogroup.com/content/datasheet/asset/file/PYU-RC_GROUP_51_ROHS_L</x:v>
      </x:c>
      <x:c xmlns:x="http://schemas.openxmlformats.org/spreadsheetml/2006/main" r="Y290" t="str" s="11">
        <x:v>C:\Users\Nomatin\Documents\Altium\MY_LIB\MY_LIB\Datasheets\YAGEO_RC_L.pdf</x:v>
      </x:c>
      <ns0:c xmlns:ns0="http://schemas.openxmlformats.org/spreadsheetml/2006/main" r="Z290" s="16" t="inlineStr">
        <ns0:is>
          <ns0:t>MY_LIB_R_TCR</ns0:t>
        </ns0:is>
      </ns0:c>
      <ns0:c xmlns:ns0="http://schemas.openxmlformats.org/spreadsheetml/2006/main" r="AA290" s="16" t="inlineStr">
        <ns0:is>
          <ns0:t>R(T), +100 ppm/C at 25 C; positive datasheet limit</ns0:t>
        </ns0:is>
      </ns0:c>
      <ns0:c xmlns:ns0="http://schemas.openxmlformats.org/spreadsheetml/2006/main" r="AB290" s="16" t="str">
        <ns0:v>General</ns0:v>
      </ns0:c>
      <ns0:c xmlns:ns0="http://schemas.openxmlformats.org/spreadsheetml/2006/main" r="AC290" s="16" t="inlineStr">
        <ns0:is>
          <ns0:t>Spice Subcircuit</ns0:t>
        </ns0:is>
      </ns0:c>
      <ns0:c xmlns:ns0="http://schemas.openxmlformats.org/spreadsheetml/2006/main" r="AD290" s="16" t="inlineStr">
        <ns0:is>
          <ns0:t>@DESIGNATOR %1 %2 @MODEL PARAMS: Rvalue=@VALUE TC1value=100u</ns0:t>
        </ns0:is>
      </ns0:c>
      <ns0:c xmlns:ns0="http://schemas.openxmlformats.org/spreadsheetml/2006/main" r="AE290" s="16" t="inlineStr">
        <ns0:is>
          <ns0:t>X</ns0:t>
        </ns0:is>
      </ns0:c>
      <ns0:c xmlns:ns0="http://schemas.openxmlformats.org/spreadsheetml/2006/main" r="AF290" s="16" t="str">
        <ns0:v>(1:1),(2:2)</ns0:v>
      </ns0:c>
      <ns0:c xmlns:ns0="http://schemas.openxmlformats.org/spreadsheetml/2006/main" r="AG290" s="16" t="inlineStr">
        <ns0:is>
          <ns0:t>Simulation\Resistors\MY_LIB_R_TCR.ckt</ns0:t>
        </ns0:is>
      </ns0:c>
      <ns0:c xmlns:ns0="http://schemas.openxmlformats.org/spreadsheetml/2006/main" r="AH290" s="16" t="inlineStr">
        <ns0:is>
          <ns0:t>±100 ppm/°C</ns0:t>
        </ns0:is>
      </ns0:c>
    </ns0:row>
    <ns0:row r="291" ht="30" customHeight="1">
      <ns0:c r="A291" t="str" s="10">
        <ns0:v>R0297</ns0:v>
      </ns0:c>
      <ns0:c r="B291" t="str" s="10">
        <ns0:v>Резистор</ns0:v>
      </ns0:c>
      <ns0:c r="C291" t="str" s="10">
        <ns0:v>910k</ns0:v>
      </ns0:c>
      <ns0:c r="D291" t="str" s="11">
        <ns0:f>SUBSTITUTE(SUBSTITUTE(SUBSTITUTE(SUBSTITUTE(C291,"meg"," МОм"),"k"," кОм"),"R"," Ом"),".",",")</ns0:f>
        <ns0:v>910 кОм</ns0:v>
      </ns0:c>
      <ns0:c r="E291" t="str" s="10">
        <ns0:v>±5%</ns0:v>
      </ns0:c>
      <ns0:c r="F291" t="str" s="10">
        <ns0:v>0,125 Вт</ns0:v>
      </ns0:c>
      <ns0:c r="G291" t="str" s="10">
        <ns0:v>150 В макс.</ns0:v>
      </ns0:c>
      <ns0:c r="H291" t="str" s="12">
        <ns0:v>0805</ns0:v>
      </ns0:c>
      <ns0:c r="I291" t="str" s="10">
        <ns0:v>YAGEO</ns0:v>
      </ns0:c>
      <ns0:c r="J291" t="str" s="10">
        <ns0:v>RC0805JR-07910KL</ns0:v>
      </ns0:c>
      <ns0:c r="K291" t="str" s="11">
        <ns0:f>B291&amp;" "&amp;D291&amp;" "&amp;E291&amp;" "&amp;H291</ns0:f>
        <ns0:v>Резистор 910 кОм ±5% 0805</ns0:v>
      </ns0:c>
      <ns0:c r="L291" t="str" s="13">
        <ns0:v>R</ns0:v>
      </ns0:c>
      <ns0:c r="M291" t="str" s="13">
        <ns0:v>Symbols\MY_LIB_Resistors.SchLib</ns0:v>
      </ns0:c>
      <ns0:c r="N291" t="str" s="13">
        <ns0:v>RESC2012X70N</ns0:v>
      </ns0:c>
      <ns0:c r="O291" t="str" s="13">
        <ns0:v>Footprints\PBL - SMD Packages.PcbLib</ns0:v>
      </ns0:c>
      <ns0:c xmlns:ns0="http://schemas.openxmlformats.org/spreadsheetml/2006/main" r="P291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91" s="10"/>
      <ns0:c r="R291" t="str" s="11">
        <ns0:f>D291</ns0:f>
        <ns0:v>910 кОм</ns0:v>
      </ns0:c>
      <ns0:c r="S291" t="str" s="11">
        <ns0:f>K291</ns0:f>
        <ns0:v>Резистор 910 кОм ±5% 0805</ns0:v>
      </ns0:c>
      <x:c xmlns:x="http://schemas.openxmlformats.org/spreadsheetml/2006/main" r="T291" t="str" s="11">
        <x:v>C:\Users\Nomatin\Documents\Altium\MY_LIB\MY_LIB\Datasheets\YAGEO_RC_L.pdf</x:v>
      </x:c>
      <x:c xmlns:x="http://schemas.openxmlformats.org/spreadsheetml/2006/main" r="U291" t="str" s="11">
        <x:v>Даташит — локальный</x:v>
      </x:c>
      <x:c xmlns:x="http://schemas.openxmlformats.org/spreadsheetml/2006/main" r="V291" t="str" s="11">
        <x:v>C:\Users\Nomatin\Documents\Altium\MY_LIB\MY_LIB\Datasheets\YAGEO_RC_L.pdf</x:v>
      </x:c>
      <x:c xmlns:x="http://schemas.openxmlformats.org/spreadsheetml/2006/main" r="W291" t="str" s="11">
        <x:v>Даташит — производитель</x:v>
      </x:c>
      <x:c xmlns:x="http://schemas.openxmlformats.org/spreadsheetml/2006/main" r="X291" t="str" s="11">
        <x:v>https://yageogroup.com/content/datasheet/asset/file/PYU-RC_GROUP_51_ROHS_L</x:v>
      </x:c>
      <x:c xmlns:x="http://schemas.openxmlformats.org/spreadsheetml/2006/main" r="Y291" t="str" s="11">
        <x:v>C:\Users\Nomatin\Documents\Altium\MY_LIB\MY_LIB\Datasheets\YAGEO_RC_L.pdf</x:v>
      </x:c>
      <ns0:c xmlns:ns0="http://schemas.openxmlformats.org/spreadsheetml/2006/main" r="Z291" s="16" t="inlineStr">
        <ns0:is>
          <ns0:t>MY_LIB_R_TCR</ns0:t>
        </ns0:is>
      </ns0:c>
      <ns0:c xmlns:ns0="http://schemas.openxmlformats.org/spreadsheetml/2006/main" r="AA291" s="16" t="inlineStr">
        <ns0:is>
          <ns0:t>R(T), +100 ppm/C at 25 C; positive datasheet limit</ns0:t>
        </ns0:is>
      </ns0:c>
      <ns0:c xmlns:ns0="http://schemas.openxmlformats.org/spreadsheetml/2006/main" r="AB291" s="16" t="str">
        <ns0:v>General</ns0:v>
      </ns0:c>
      <ns0:c xmlns:ns0="http://schemas.openxmlformats.org/spreadsheetml/2006/main" r="AC291" s="16" t="inlineStr">
        <ns0:is>
          <ns0:t>Spice Subcircuit</ns0:t>
        </ns0:is>
      </ns0:c>
      <ns0:c xmlns:ns0="http://schemas.openxmlformats.org/spreadsheetml/2006/main" r="AD291" s="16" t="inlineStr">
        <ns0:is>
          <ns0:t>@DESIGNATOR %1 %2 @MODEL PARAMS: Rvalue=@VALUE TC1value=100u</ns0:t>
        </ns0:is>
      </ns0:c>
      <ns0:c xmlns:ns0="http://schemas.openxmlformats.org/spreadsheetml/2006/main" r="AE291" s="16" t="inlineStr">
        <ns0:is>
          <ns0:t>X</ns0:t>
        </ns0:is>
      </ns0:c>
      <ns0:c xmlns:ns0="http://schemas.openxmlformats.org/spreadsheetml/2006/main" r="AF291" s="16" t="str">
        <ns0:v>(1:1),(2:2)</ns0:v>
      </ns0:c>
      <ns0:c xmlns:ns0="http://schemas.openxmlformats.org/spreadsheetml/2006/main" r="AG291" s="16" t="inlineStr">
        <ns0:is>
          <ns0:t>Simulation\Resistors\MY_LIB_R_TCR.ckt</ns0:t>
        </ns0:is>
      </ns0:c>
      <ns0:c xmlns:ns0="http://schemas.openxmlformats.org/spreadsheetml/2006/main" r="AH291" s="16" t="inlineStr">
        <ns0:is>
          <ns0:t>±100 ppm/°C</ns0:t>
        </ns0:is>
      </ns0:c>
    </ns0:row>
    <ns0:row r="292" ht="30" customHeight="1">
      <ns0:c r="A292" t="str" s="10">
        <ns0:v>R0298</ns0:v>
      </ns0:c>
      <ns0:c r="B292" t="str" s="10">
        <ns0:v>Резистор</ns0:v>
      </ns0:c>
      <ns0:c r="C292" t="str" s="10">
        <ns0:v>1meg</ns0:v>
      </ns0:c>
      <ns0:c r="D292" t="str" s="11">
        <ns0:f>SUBSTITUTE(SUBSTITUTE(SUBSTITUTE(SUBSTITUTE(C292,"meg"," МОм"),"k"," кОм"),"R"," Ом"),".",",")</ns0:f>
        <ns0:v>1 МОм</ns0:v>
      </ns0:c>
      <ns0:c r="E292" t="str" s="10">
        <ns0:v>±5%</ns0:v>
      </ns0:c>
      <ns0:c r="F292" t="str" s="10">
        <ns0:v>0,125 Вт</ns0:v>
      </ns0:c>
      <ns0:c r="G292" t="str" s="10">
        <ns0:v>150 В макс.</ns0:v>
      </ns0:c>
      <ns0:c r="H292" t="str" s="12">
        <ns0:v>0805</ns0:v>
      </ns0:c>
      <ns0:c r="I292" t="str" s="10">
        <ns0:v>YAGEO</ns0:v>
      </ns0:c>
      <ns0:c r="J292" t="str" s="10">
        <ns0:v>RC0805JR-071ML</ns0:v>
      </ns0:c>
      <ns0:c r="K292" t="str" s="11">
        <ns0:f>B292&amp;" "&amp;D292&amp;" "&amp;E292&amp;" "&amp;H292</ns0:f>
        <ns0:v>Резистор 1 МОм ±5% 0805</ns0:v>
      </ns0:c>
      <ns0:c r="L292" t="str" s="13">
        <ns0:v>R</ns0:v>
      </ns0:c>
      <ns0:c r="M292" t="str" s="13">
        <ns0:v>Symbols\MY_LIB_Resistors.SchLib</ns0:v>
      </ns0:c>
      <ns0:c r="N292" t="str" s="13">
        <ns0:v>RESC2012X70N</ns0:v>
      </ns0:c>
      <ns0:c r="O292" t="str" s="13">
        <ns0:v>Footprints\PBL - SMD Packages.PcbLib</ns0:v>
      </ns0:c>
      <ns0:c xmlns:ns0="http://schemas.openxmlformats.org/spreadsheetml/2006/main" r="P292" s="10" t="inlineStr">
        <ns0:is>
          <ns0:t>RC_L; E24; P при 70 °C; SPICE: +100 ppm/°C при 25 °C — положительная граница ±100, не измеренный ТКС (RC_L, табл.2/5, стр.5/8).</ns0:t>
        </ns0:is>
      </ns0:c>
      <ns0:c r="Q292" s="10"/>
      <ns0:c r="R292" t="str" s="11">
        <ns0:f>D292</ns0:f>
        <ns0:v>1 МОм</ns0:v>
      </ns0:c>
      <ns0:c r="S292" t="str" s="11">
        <ns0:f>K292</ns0:f>
        <ns0:v>Резистор 1 МОм ±5% 0805</ns0:v>
      </ns0:c>
      <x:c xmlns:x="http://schemas.openxmlformats.org/spreadsheetml/2006/main" r="T292" t="str" s="11">
        <x:v>C:\Users\Nomatin\Documents\Altium\MY_LIB\MY_LIB\Datasheets\YAGEO_RC_L.pdf</x:v>
      </x:c>
      <x:c xmlns:x="http://schemas.openxmlformats.org/spreadsheetml/2006/main" r="U292" t="str" s="11">
        <x:v>Даташит — локальный</x:v>
      </x:c>
      <x:c xmlns:x="http://schemas.openxmlformats.org/spreadsheetml/2006/main" r="V292" t="str" s="11">
        <x:v>C:\Users\Nomatin\Documents\Altium\MY_LIB\MY_LIB\Datasheets\YAGEO_RC_L.pdf</x:v>
      </x:c>
      <x:c xmlns:x="http://schemas.openxmlformats.org/spreadsheetml/2006/main" r="W292" t="str" s="11">
        <x:v>Даташит — производитель</x:v>
      </x:c>
      <x:c xmlns:x="http://schemas.openxmlformats.org/spreadsheetml/2006/main" r="X292" t="str" s="11">
        <x:v>https://yageogroup.com/content/datasheet/asset/file/PYU-RC_GROUP_51_ROHS_L</x:v>
      </x:c>
      <x:c xmlns:x="http://schemas.openxmlformats.org/spreadsheetml/2006/main" r="Y292" t="str" s="11">
        <x:v>C:\Users\Nomatin\Documents\Altium\MY_LIB\MY_LIB\Datasheets\YAGEO_RC_L.pdf</x:v>
      </x:c>
      <ns0:c xmlns:ns0="http://schemas.openxmlformats.org/spreadsheetml/2006/main" r="Z292" s="16" t="inlineStr">
        <ns0:is>
          <ns0:t>MY_LIB_R_TCR</ns0:t>
        </ns0:is>
      </ns0:c>
      <ns0:c xmlns:ns0="http://schemas.openxmlformats.org/spreadsheetml/2006/main" r="AA292" s="16" t="inlineStr">
        <ns0:is>
          <ns0:t>R(T), +100 ppm/C at 25 C; positive datasheet limit</ns0:t>
        </ns0:is>
      </ns0:c>
      <ns0:c xmlns:ns0="http://schemas.openxmlformats.org/spreadsheetml/2006/main" r="AB292" s="16" t="str">
        <ns0:v>General</ns0:v>
      </ns0:c>
      <ns0:c xmlns:ns0="http://schemas.openxmlformats.org/spreadsheetml/2006/main" r="AC292" s="16" t="inlineStr">
        <ns0:is>
          <ns0:t>Spice Subcircuit</ns0:t>
        </ns0:is>
      </ns0:c>
      <ns0:c xmlns:ns0="http://schemas.openxmlformats.org/spreadsheetml/2006/main" r="AD292" s="16" t="inlineStr">
        <ns0:is>
          <ns0:t>@DESIGNATOR %1 %2 @MODEL PARAMS: Rvalue=@VALUE TC1value=100u</ns0:t>
        </ns0:is>
      </ns0:c>
      <ns0:c xmlns:ns0="http://schemas.openxmlformats.org/spreadsheetml/2006/main" r="AE292" s="16" t="inlineStr">
        <ns0:is>
          <ns0:t>X</ns0:t>
        </ns0:is>
      </ns0:c>
      <ns0:c xmlns:ns0="http://schemas.openxmlformats.org/spreadsheetml/2006/main" r="AF292" s="16" t="str">
        <ns0:v>(1:1),(2:2)</ns0:v>
      </ns0:c>
      <ns0:c xmlns:ns0="http://schemas.openxmlformats.org/spreadsheetml/2006/main" r="AG292" s="16" t="inlineStr">
        <ns0:is>
          <ns0:t>Simulation\Resistors\MY_LIB_R_TCR.ckt</ns0:t>
        </ns0:is>
      </ns0:c>
      <ns0:c xmlns:ns0="http://schemas.openxmlformats.org/spreadsheetml/2006/main" r="AH292" s="16" t="inlineStr">
        <ns0:is>
          <ns0:t>±100 ppm/°C</ns0:t>
        </ns0:is>
      </ns0:c>
    </ns0:row>
    <ns0:row r="293" ht="30" customHeight="1">
      <ns0:c r="A293" t="str" s="1">
        <ns0:v>R0299</ns0:v>
      </ns0:c>
      <ns0:c r="B293" t="str" s="1">
        <ns0:v>Резистор</ns0:v>
      </ns0:c>
      <ns0:c r="C293" t="str" s="1">
        <ns0:v>0R</ns0:v>
      </ns0:c>
      <ns0:c r="D293" t="str" s="5">
        <ns0:f>SUBSTITUTE(SUBSTITUTE(SUBSTITUTE(SUBSTITUTE(C293,"meg"," МОм"),"k"," кОм"),"R"," Ом"),".",",")</ns0:f>
        <ns0:v>0 Ом</ns0:v>
      </ns0:c>
      <ns0:c r="E293" s="1"/>
      <ns0:c r="F293" t="str" s="1">
        <ns0:v>0,1 Вт</ns0:v>
      </ns0:c>
      <ns0:c r="G293" s="1"/>
      <ns0:c r="H293" t="str" s="2">
        <ns0:v>0603</ns0:v>
      </ns0:c>
      <ns0:c r="I293" t="str" s="1">
        <ns0:v>YAGEO</ns0:v>
      </ns0:c>
      <ns0:c r="J293" t="str" s="1">
        <ns0:v>RC0603JR-070RL</ns0:v>
      </ns0:c>
      <ns0:c r="K293" t="str" s="6">
        <ns0:f>B293&amp;" "&amp;D293&amp;" "&amp;H293</ns0:f>
        <ns0:v>Резистор 0 Ом 0603</ns0:v>
      </ns0:c>
      <ns0:c r="L293" t="str" s="7">
        <ns0:v>R</ns0:v>
      </ns0:c>
      <ns0:c r="M293" t="str" s="7">
        <ns0:v>Symbols\MY_LIB_Resistors.SchLib</ns0:v>
      </ns0:c>
      <ns0:c r="N293" t="str" s="7">
        <ns0:v>RESC1608X55N</ns0:v>
      </ns0:c>
      <ns0:c r="O293" t="str" s="7">
        <ns0:v>Footprints\PBL - SMD Packages.PcbLib</ns0:v>
      </ns0:c>
      <ns0:c xmlns:ns0="http://schemas.openxmlformats.org/spreadsheetml/2006/main" r="P293" s="1" t="inlineStr">
        <ns0:is>
          <ns0:t>Перемычка RC_L; R &lt; 50 мОм; номинальный ток 1 А; J — код заказа перемычки, процентный допуск не применяется. Источник: https://www.yageogroup.com/content/datasheet/asset/file/PYU-RC_GROUP_51_ROHS_L; SPICE: ТКС перемычек не указан в RC_L; R=0,05 Ом сохранено, температурная зависимость не моделируется.</ns0:t>
        </ns0:is>
      </ns0:c>
      <ns0:c r="Q293" s="1"/>
      <ns0:c r="R293" t="str" s="11">
        <ns0:f>D293</ns0:f>
        <ns0:v>0 Ом</ns0:v>
      </ns0:c>
      <ns0:c r="S293" t="str" s="16">
        <ns0:f>K293</ns0:f>
        <ns0:v>Резистор 0 Ом 0603</ns0:v>
      </ns0:c>
      <x:c xmlns:x="http://schemas.openxmlformats.org/spreadsheetml/2006/main" r="T293" t="str" s="16">
        <x:v>C:\Users\Nomatin\Documents\Altium\MY_LIB\MY_LIB\Datasheets\YAGEO_RC_L.pdf</x:v>
      </x:c>
      <x:c xmlns:x="http://schemas.openxmlformats.org/spreadsheetml/2006/main" r="U293" t="str" s="16">
        <x:v>Даташит — локальный</x:v>
      </x:c>
      <x:c xmlns:x="http://schemas.openxmlformats.org/spreadsheetml/2006/main" r="V293" t="str" s="16">
        <x:v>C:\Users\Nomatin\Documents\Altium\MY_LIB\MY_LIB\Datasheets\YAGEO_RC_L.pdf</x:v>
      </x:c>
      <x:c xmlns:x="http://schemas.openxmlformats.org/spreadsheetml/2006/main" r="W293" t="str" s="16">
        <x:v>Даташит — производитель</x:v>
      </x:c>
      <x:c xmlns:x="http://schemas.openxmlformats.org/spreadsheetml/2006/main" r="X293" t="str" s="16">
        <x:v>https://yageogroup.com/content/datasheet/asset/file/PYU-RC_GROUP_51_ROHS_L</x:v>
      </x:c>
      <x:c xmlns:x="http://schemas.openxmlformats.org/spreadsheetml/2006/main" r="Y293" t="str" s="16">
        <x:v>C:\Users\Nomatin\Documents\Altium\MY_LIB\MY_LIB\Datasheets\YAGEO_RC_L.pdf</x:v>
      </x:c>
      <ns0:c xmlns:ns0="http://schemas.openxmlformats.org/spreadsheetml/2006/main" r="Z293" s="16" t="inlineStr">
        <ns0:is>
          <ns0:t>MY_LIB_IDEAL_R</ns0:t>
        </ns0:is>
      </ns0:c>
      <ns0:c xmlns:ns0="http://schemas.openxmlformats.org/spreadsheetml/2006/main" r="AA293" s="16" t="inlineStr">
        <ns0:is>
          <ns0:t>0R at 0.05 Ohm; jumper TCR not specified by RC_L</ns0:t>
        </ns0:is>
      </ns0:c>
      <ns0:c xmlns:ns0="http://schemas.openxmlformats.org/spreadsheetml/2006/main" r="AB293" s="16" t="str">
        <ns0:v>General</ns0:v>
      </ns0:c>
      <ns0:c xmlns:ns0="http://schemas.openxmlformats.org/spreadsheetml/2006/main" r="AC293" s="16" t="inlineStr">
        <ns0:is>
          <ns0:t>Spice Subcircuit</ns0:t>
        </ns0:is>
      </ns0:c>
      <ns0:c xmlns:ns0="http://schemas.openxmlformats.org/spreadsheetml/2006/main" r="AD293" s="16" t="inlineStr">
        <ns0:is>
          <ns0:t>@DESIGNATOR %1 %2 @MODEL PARAMS: Rvalue=0.05</ns0:t>
        </ns0:is>
      </ns0:c>
      <ns0:c xmlns:ns0="http://schemas.openxmlformats.org/spreadsheetml/2006/main" r="AE293" s="16" t="inlineStr">
        <ns0:is>
          <ns0:t>X</ns0:t>
        </ns0:is>
      </ns0:c>
      <ns0:c xmlns:ns0="http://schemas.openxmlformats.org/spreadsheetml/2006/main" r="AF293" s="16" t="str">
        <ns0:v>(1:1),(2:2)</ns0:v>
      </ns0:c>
      <ns0:c xmlns:ns0="http://schemas.openxmlformats.org/spreadsheetml/2006/main" r="AG293" s="16" t="inlineStr">
        <ns0:is>
          <ns0:t>Simulation\Resistors\MY_LIB_IDEAL_R.ckt</ns0:t>
        </ns0:is>
      </ns0:c>
      <ns0:c xmlns:ns0="http://schemas.openxmlformats.org/spreadsheetml/2006/main" r="AH293" s="16" t="inlineStr">
        <ns0:is>
          <ns0:t>Не указан</ns0:t>
        </ns0:is>
      </ns0:c>
    </ns0:row>
    <ns0:row xmlns:ns0="http://schemas.openxmlformats.org/spreadsheetml/2006/main" r="294" ht="30" customHeight="1">
      <ns0:c r="A294" t="str" s="10">
        <ns0:v>R0300</ns0:v>
      </ns0:c>
      <ns0:c r="B294" t="str" s="10">
        <ns0:v>Резистор</ns0:v>
      </ns0:c>
      <ns0:c r="C294" t="str" s="10">
        <ns0:v>1R</ns0:v>
      </ns0:c>
      <ns0:c r="D294" t="str" s="11">
        <ns0:f>SUBSTITUTE(SUBSTITUTE(SUBSTITUTE(SUBSTITUTE(C294,"meg"," МОм"),"k"," кОм"),"R"," Ом"),".",",")</ns0:f>
        <ns0:v>1 Ом</ns0:v>
      </ns0:c>
      <ns0:c r="E294" t="str" s="10">
        <ns0:v>±1%</ns0:v>
      </ns0:c>
      <ns0:c r="F294" t="str" s="10">
        <ns0:v>0,1 Вт</ns0:v>
      </ns0:c>
      <ns0:c r="G294" t="str" s="10">
        <ns0:v>75 В макс.</ns0:v>
      </ns0:c>
      <ns0:c r="H294" t="str" s="12">
        <ns0:v>0603</ns0:v>
      </ns0:c>
      <ns0:c r="I294" t="str" s="10">
        <ns0:v>YAGEO</ns0:v>
      </ns0:c>
      <ns0:c r="J294" t="str" s="10">
        <ns0:v>RC0603FR-071RL</ns0:v>
      </ns0:c>
      <ns0:c r="K294" t="str" s="11">
        <ns0:f>B294&amp;" "&amp;D294&amp;" "&amp;E294&amp;" "&amp;H294</ns0:f>
        <ns0:v>Резистор 1 Ом ±1% 0603</ns0:v>
      </ns0:c>
      <ns0:c r="L294" t="str" s="13">
        <ns0:v>R</ns0:v>
      </ns0:c>
      <ns0:c r="M294" t="str" s="13">
        <ns0:v>Symbols\MY_LIB_Resistors.SchLib</ns0:v>
      </ns0:c>
      <ns0:c r="N294" t="str" s="13">
        <ns0:v>RESC1608X55N</ns0:v>
      </ns0:c>
      <ns0:c r="O294" t="str" s="13">
        <ns0:v>Footprints\PBL - SMD Packages.PcbLib</ns0:v>
      </ns0:c>
      <ns0:c xmlns:ns0="http://schemas.openxmlformats.org/spreadsheetml/2006/main" r="P294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4" s="10"/>
      <ns0:c r="R294" t="str" s="11">
        <ns0:f>D294</ns0:f>
        <ns0:v>1 Ом</ns0:v>
      </ns0:c>
      <ns0:c r="S294" t="str" s="11">
        <ns0:f>K294</ns0:f>
        <ns0:v>Резистор 1 Ом ±1% 0603</ns0:v>
      </ns0:c>
      <x:c xmlns:x="http://schemas.openxmlformats.org/spreadsheetml/2006/main" r="T294" t="str" s="11">
        <x:v>C:\Users\Nomatin\Documents\Altium\MY_LIB\MY_LIB\Datasheets\YAGEO_RC_L.pdf</x:v>
      </x:c>
      <x:c xmlns:x="http://schemas.openxmlformats.org/spreadsheetml/2006/main" r="U294" t="str" s="11">
        <x:v>Даташит — локальный</x:v>
      </x:c>
      <x:c xmlns:x="http://schemas.openxmlformats.org/spreadsheetml/2006/main" r="V294" t="str" s="11">
        <x:v>C:\Users\Nomatin\Documents\Altium\MY_LIB\MY_LIB\Datasheets\YAGEO_RC_L.pdf</x:v>
      </x:c>
      <x:c xmlns:x="http://schemas.openxmlformats.org/spreadsheetml/2006/main" r="W294" t="str" s="11">
        <x:v>Даташит — производитель</x:v>
      </x:c>
      <x:c xmlns:x="http://schemas.openxmlformats.org/spreadsheetml/2006/main" r="X294" t="str" s="11">
        <x:v>https://yageogroup.com/content/datasheet/asset/file/PYU-RC_GROUP_51_ROHS_L</x:v>
      </x:c>
      <x:c xmlns:x="http://schemas.openxmlformats.org/spreadsheetml/2006/main" r="Y294" t="str" s="11">
        <x:v>C:\Users\Nomatin\Documents\Altium\MY_LIB\MY_LIB\Datasheets\YAGEO_RC_L.pdf</x:v>
      </x:c>
      <ns0:c xmlns:ns0="http://schemas.openxmlformats.org/spreadsheetml/2006/main" r="Z294" s="16" t="inlineStr">
        <ns0:is>
          <ns0:t>MY_LIB_R_TCR</ns0:t>
        </ns0:is>
      </ns0:c>
      <ns0:c xmlns:ns0="http://schemas.openxmlformats.org/spreadsheetml/2006/main" r="AA294" s="16" t="inlineStr">
        <ns0:is>
          <ns0:t>R(T), +200 ppm/C at 25 C; positive datasheet limit</ns0:t>
        </ns0:is>
      </ns0:c>
      <ns0:c xmlns:ns0="http://schemas.openxmlformats.org/spreadsheetml/2006/main" r="AB294" s="16" t="str">
        <ns0:v>General</ns0:v>
      </ns0:c>
      <ns0:c xmlns:ns0="http://schemas.openxmlformats.org/spreadsheetml/2006/main" r="AC294" s="16" t="inlineStr">
        <ns0:is>
          <ns0:t>Spice Subcircuit</ns0:t>
        </ns0:is>
      </ns0:c>
      <ns0:c xmlns:ns0="http://schemas.openxmlformats.org/spreadsheetml/2006/main" r="AD294" s="16" t="inlineStr">
        <ns0:is>
          <ns0:t>@DESIGNATOR %1 %2 @MODEL PARAMS: Rvalue=@VALUE TC1value=200u</ns0:t>
        </ns0:is>
      </ns0:c>
      <ns0:c xmlns:ns0="http://schemas.openxmlformats.org/spreadsheetml/2006/main" r="AE294" s="16" t="inlineStr">
        <ns0:is>
          <ns0:t>X</ns0:t>
        </ns0:is>
      </ns0:c>
      <ns0:c xmlns:ns0="http://schemas.openxmlformats.org/spreadsheetml/2006/main" r="AF294" s="16" t="str">
        <ns0:v>(1:1),(2:2)</ns0:v>
      </ns0:c>
      <ns0:c xmlns:ns0="http://schemas.openxmlformats.org/spreadsheetml/2006/main" r="AG294" s="16" t="inlineStr">
        <ns0:is>
          <ns0:t>Simulation\Resistors\MY_LIB_R_TCR.ckt</ns0:t>
        </ns0:is>
      </ns0:c>
      <ns0:c xmlns:ns0="http://schemas.openxmlformats.org/spreadsheetml/2006/main" r="AH294" s="16" t="inlineStr">
        <ns0:is>
          <ns0:t>±200 ppm/°C</ns0:t>
        </ns0:is>
      </ns0:c>
    </ns0:row>
    <ns0:row xmlns:ns0="http://schemas.openxmlformats.org/spreadsheetml/2006/main" r="295" ht="30" customHeight="1">
      <ns0:c r="A295" t="str" s="10">
        <ns0:v>R0301</ns0:v>
      </ns0:c>
      <ns0:c r="B295" t="str" s="10">
        <ns0:v>Резистор</ns0:v>
      </ns0:c>
      <ns0:c r="C295" t="str" s="10">
        <ns0:v>1.1R</ns0:v>
      </ns0:c>
      <ns0:c r="D295" t="str" s="11">
        <ns0:f>SUBSTITUTE(SUBSTITUTE(SUBSTITUTE(SUBSTITUTE(C295,"meg"," МОм"),"k"," кОм"),"R"," Ом"),".",",")</ns0:f>
        <ns0:v>1,1 Ом</ns0:v>
      </ns0:c>
      <ns0:c r="E295" t="str" s="10">
        <ns0:v>±1%</ns0:v>
      </ns0:c>
      <ns0:c r="F295" t="str" s="10">
        <ns0:v>0,1 Вт</ns0:v>
      </ns0:c>
      <ns0:c r="G295" t="str" s="10">
        <ns0:v>75 В макс.</ns0:v>
      </ns0:c>
      <ns0:c r="H295" t="str" s="12">
        <ns0:v>0603</ns0:v>
      </ns0:c>
      <ns0:c r="I295" t="str" s="10">
        <ns0:v>YAGEO</ns0:v>
      </ns0:c>
      <ns0:c r="J295" t="str" s="10">
        <ns0:v>RC0603FR-071R1L</ns0:v>
      </ns0:c>
      <ns0:c r="K295" t="str" s="11">
        <ns0:f>B295&amp;" "&amp;D295&amp;" "&amp;E295&amp;" "&amp;H295</ns0:f>
        <ns0:v>Резистор 1,1 Ом ±1% 0603</ns0:v>
      </ns0:c>
      <ns0:c r="L295" t="str" s="13">
        <ns0:v>R</ns0:v>
      </ns0:c>
      <ns0:c r="M295" t="str" s="13">
        <ns0:v>Symbols\MY_LIB_Resistors.SchLib</ns0:v>
      </ns0:c>
      <ns0:c r="N295" t="str" s="13">
        <ns0:v>RESC1608X55N</ns0:v>
      </ns0:c>
      <ns0:c r="O295" t="str" s="13">
        <ns0:v>Footprints\PBL - SMD Packages.PcbLib</ns0:v>
      </ns0:c>
      <ns0:c xmlns:ns0="http://schemas.openxmlformats.org/spreadsheetml/2006/main" r="P295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5" s="10"/>
      <ns0:c r="R295" t="str" s="11">
        <ns0:f>D295</ns0:f>
        <ns0:v>1,1 Ом</ns0:v>
      </ns0:c>
      <ns0:c r="S295" t="str" s="11">
        <ns0:f>K295</ns0:f>
        <ns0:v>Резистор 1,1 Ом ±1% 0603</ns0:v>
      </ns0:c>
      <x:c xmlns:x="http://schemas.openxmlformats.org/spreadsheetml/2006/main" r="T295" t="str" s="11">
        <x:v>C:\Users\Nomatin\Documents\Altium\MY_LIB\MY_LIB\Datasheets\YAGEO_RC_L.pdf</x:v>
      </x:c>
      <x:c xmlns:x="http://schemas.openxmlformats.org/spreadsheetml/2006/main" r="U295" t="str" s="11">
        <x:v>Даташит — локальный</x:v>
      </x:c>
      <x:c xmlns:x="http://schemas.openxmlformats.org/spreadsheetml/2006/main" r="V295" t="str" s="11">
        <x:v>C:\Users\Nomatin\Documents\Altium\MY_LIB\MY_LIB\Datasheets\YAGEO_RC_L.pdf</x:v>
      </x:c>
      <x:c xmlns:x="http://schemas.openxmlformats.org/spreadsheetml/2006/main" r="W295" t="str" s="11">
        <x:v>Даташит — производитель</x:v>
      </x:c>
      <x:c xmlns:x="http://schemas.openxmlformats.org/spreadsheetml/2006/main" r="X295" t="str" s="11">
        <x:v>https://yageogroup.com/content/datasheet/asset/file/PYU-RC_GROUP_51_ROHS_L</x:v>
      </x:c>
      <x:c xmlns:x="http://schemas.openxmlformats.org/spreadsheetml/2006/main" r="Y295" t="str" s="11">
        <x:v>C:\Users\Nomatin\Documents\Altium\MY_LIB\MY_LIB\Datasheets\YAGEO_RC_L.pdf</x:v>
      </x:c>
      <ns0:c xmlns:ns0="http://schemas.openxmlformats.org/spreadsheetml/2006/main" r="Z295" s="16" t="inlineStr">
        <ns0:is>
          <ns0:t>MY_LIB_R_TCR</ns0:t>
        </ns0:is>
      </ns0:c>
      <ns0:c xmlns:ns0="http://schemas.openxmlformats.org/spreadsheetml/2006/main" r="AA295" s="16" t="inlineStr">
        <ns0:is>
          <ns0:t>R(T), +200 ppm/C at 25 C; positive datasheet limit</ns0:t>
        </ns0:is>
      </ns0:c>
      <ns0:c xmlns:ns0="http://schemas.openxmlformats.org/spreadsheetml/2006/main" r="AB295" s="16" t="str">
        <ns0:v>General</ns0:v>
      </ns0:c>
      <ns0:c xmlns:ns0="http://schemas.openxmlformats.org/spreadsheetml/2006/main" r="AC295" s="16" t="inlineStr">
        <ns0:is>
          <ns0:t>Spice Subcircuit</ns0:t>
        </ns0:is>
      </ns0:c>
      <ns0:c xmlns:ns0="http://schemas.openxmlformats.org/spreadsheetml/2006/main" r="AD295" s="16" t="inlineStr">
        <ns0:is>
          <ns0:t>@DESIGNATOR %1 %2 @MODEL PARAMS: Rvalue=@VALUE TC1value=200u</ns0:t>
        </ns0:is>
      </ns0:c>
      <ns0:c xmlns:ns0="http://schemas.openxmlformats.org/spreadsheetml/2006/main" r="AE295" s="16" t="inlineStr">
        <ns0:is>
          <ns0:t>X</ns0:t>
        </ns0:is>
      </ns0:c>
      <ns0:c xmlns:ns0="http://schemas.openxmlformats.org/spreadsheetml/2006/main" r="AF295" s="16" t="str">
        <ns0:v>(1:1),(2:2)</ns0:v>
      </ns0:c>
      <ns0:c xmlns:ns0="http://schemas.openxmlformats.org/spreadsheetml/2006/main" r="AG295" s="16" t="inlineStr">
        <ns0:is>
          <ns0:t>Simulation\Resistors\MY_LIB_R_TCR.ckt</ns0:t>
        </ns0:is>
      </ns0:c>
      <ns0:c xmlns:ns0="http://schemas.openxmlformats.org/spreadsheetml/2006/main" r="AH295" s="16" t="inlineStr">
        <ns0:is>
          <ns0:t>±200 ppm/°C</ns0:t>
        </ns0:is>
      </ns0:c>
    </ns0:row>
    <ns0:row xmlns:ns0="http://schemas.openxmlformats.org/spreadsheetml/2006/main" r="296" ht="30" customHeight="1">
      <ns0:c r="A296" t="str" s="10">
        <ns0:v>R0302</ns0:v>
      </ns0:c>
      <ns0:c r="B296" t="str" s="10">
        <ns0:v>Резистор</ns0:v>
      </ns0:c>
      <ns0:c r="C296" t="str" s="10">
        <ns0:v>1.2R</ns0:v>
      </ns0:c>
      <ns0:c r="D296" t="str" s="11">
        <ns0:f>SUBSTITUTE(SUBSTITUTE(SUBSTITUTE(SUBSTITUTE(C296,"meg"," МОм"),"k"," кОм"),"R"," Ом"),".",",")</ns0:f>
        <ns0:v>1,2 Ом</ns0:v>
      </ns0:c>
      <ns0:c r="E296" t="str" s="10">
        <ns0:v>±1%</ns0:v>
      </ns0:c>
      <ns0:c r="F296" t="str" s="10">
        <ns0:v>0,1 Вт</ns0:v>
      </ns0:c>
      <ns0:c r="G296" t="str" s="10">
        <ns0:v>75 В макс.</ns0:v>
      </ns0:c>
      <ns0:c r="H296" t="str" s="12">
        <ns0:v>0603</ns0:v>
      </ns0:c>
      <ns0:c r="I296" t="str" s="10">
        <ns0:v>YAGEO</ns0:v>
      </ns0:c>
      <ns0:c r="J296" t="str" s="10">
        <ns0:v>RC0603FR-071R2L</ns0:v>
      </ns0:c>
      <ns0:c r="K296" t="str" s="11">
        <ns0:f>B296&amp;" "&amp;D296&amp;" "&amp;E296&amp;" "&amp;H296</ns0:f>
        <ns0:v>Резистор 1,2 Ом ±1% 0603</ns0:v>
      </ns0:c>
      <ns0:c r="L296" t="str" s="13">
        <ns0:v>R</ns0:v>
      </ns0:c>
      <ns0:c r="M296" t="str" s="13">
        <ns0:v>Symbols\MY_LIB_Resistors.SchLib</ns0:v>
      </ns0:c>
      <ns0:c r="N296" t="str" s="13">
        <ns0:v>RESC1608X55N</ns0:v>
      </ns0:c>
      <ns0:c r="O296" t="str" s="13">
        <ns0:v>Footprints\PBL - SMD Packages.PcbLib</ns0:v>
      </ns0:c>
      <ns0:c xmlns:ns0="http://schemas.openxmlformats.org/spreadsheetml/2006/main" r="P296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6" s="10"/>
      <ns0:c r="R296" t="str" s="11">
        <ns0:f>D296</ns0:f>
        <ns0:v>1,2 Ом</ns0:v>
      </ns0:c>
      <ns0:c r="S296" t="str" s="11">
        <ns0:f>K296</ns0:f>
        <ns0:v>Резистор 1,2 Ом ±1% 0603</ns0:v>
      </ns0:c>
      <x:c xmlns:x="http://schemas.openxmlformats.org/spreadsheetml/2006/main" r="T296" t="str" s="11">
        <x:v>C:\Users\Nomatin\Documents\Altium\MY_LIB\MY_LIB\Datasheets\YAGEO_RC_L.pdf</x:v>
      </x:c>
      <x:c xmlns:x="http://schemas.openxmlformats.org/spreadsheetml/2006/main" r="U296" t="str" s="11">
        <x:v>Даташит — локальный</x:v>
      </x:c>
      <x:c xmlns:x="http://schemas.openxmlformats.org/spreadsheetml/2006/main" r="V296" t="str" s="11">
        <x:v>C:\Users\Nomatin\Documents\Altium\MY_LIB\MY_LIB\Datasheets\YAGEO_RC_L.pdf</x:v>
      </x:c>
      <x:c xmlns:x="http://schemas.openxmlformats.org/spreadsheetml/2006/main" r="W296" t="str" s="11">
        <x:v>Даташит — производитель</x:v>
      </x:c>
      <x:c xmlns:x="http://schemas.openxmlformats.org/spreadsheetml/2006/main" r="X296" t="str" s="11">
        <x:v>https://yageogroup.com/content/datasheet/asset/file/PYU-RC_GROUP_51_ROHS_L</x:v>
      </x:c>
      <x:c xmlns:x="http://schemas.openxmlformats.org/spreadsheetml/2006/main" r="Y296" t="str" s="11">
        <x:v>C:\Users\Nomatin\Documents\Altium\MY_LIB\MY_LIB\Datasheets\YAGEO_RC_L.pdf</x:v>
      </x:c>
      <ns0:c xmlns:ns0="http://schemas.openxmlformats.org/spreadsheetml/2006/main" r="Z296" s="16" t="inlineStr">
        <ns0:is>
          <ns0:t>MY_LIB_R_TCR</ns0:t>
        </ns0:is>
      </ns0:c>
      <ns0:c xmlns:ns0="http://schemas.openxmlformats.org/spreadsheetml/2006/main" r="AA296" s="16" t="inlineStr">
        <ns0:is>
          <ns0:t>R(T), +200 ppm/C at 25 C; positive datasheet limit</ns0:t>
        </ns0:is>
      </ns0:c>
      <ns0:c xmlns:ns0="http://schemas.openxmlformats.org/spreadsheetml/2006/main" r="AB296" s="16" t="str">
        <ns0:v>General</ns0:v>
      </ns0:c>
      <ns0:c xmlns:ns0="http://schemas.openxmlformats.org/spreadsheetml/2006/main" r="AC296" s="16" t="inlineStr">
        <ns0:is>
          <ns0:t>Spice Subcircuit</ns0:t>
        </ns0:is>
      </ns0:c>
      <ns0:c xmlns:ns0="http://schemas.openxmlformats.org/spreadsheetml/2006/main" r="AD296" s="16" t="inlineStr">
        <ns0:is>
          <ns0:t>@DESIGNATOR %1 %2 @MODEL PARAMS: Rvalue=@VALUE TC1value=200u</ns0:t>
        </ns0:is>
      </ns0:c>
      <ns0:c xmlns:ns0="http://schemas.openxmlformats.org/spreadsheetml/2006/main" r="AE296" s="16" t="inlineStr">
        <ns0:is>
          <ns0:t>X</ns0:t>
        </ns0:is>
      </ns0:c>
      <ns0:c xmlns:ns0="http://schemas.openxmlformats.org/spreadsheetml/2006/main" r="AF296" s="16" t="str">
        <ns0:v>(1:1),(2:2)</ns0:v>
      </ns0:c>
      <ns0:c xmlns:ns0="http://schemas.openxmlformats.org/spreadsheetml/2006/main" r="AG296" s="16" t="inlineStr">
        <ns0:is>
          <ns0:t>Simulation\Resistors\MY_LIB_R_TCR.ckt</ns0:t>
        </ns0:is>
      </ns0:c>
      <ns0:c xmlns:ns0="http://schemas.openxmlformats.org/spreadsheetml/2006/main" r="AH296" s="16" t="inlineStr">
        <ns0:is>
          <ns0:t>±200 ppm/°C</ns0:t>
        </ns0:is>
      </ns0:c>
    </ns0:row>
    <ns0:row xmlns:ns0="http://schemas.openxmlformats.org/spreadsheetml/2006/main" r="297" ht="30" customHeight="1">
      <ns0:c r="A297" t="str" s="10">
        <ns0:v>R0303</ns0:v>
      </ns0:c>
      <ns0:c r="B297" t="str" s="10">
        <ns0:v>Резистор</ns0:v>
      </ns0:c>
      <ns0:c r="C297" t="str" s="10">
        <ns0:v>1.3R</ns0:v>
      </ns0:c>
      <ns0:c r="D297" t="str" s="11">
        <ns0:f>SUBSTITUTE(SUBSTITUTE(SUBSTITUTE(SUBSTITUTE(C297,"meg"," МОм"),"k"," кОм"),"R"," Ом"),".",",")</ns0:f>
        <ns0:v>1,3 Ом</ns0:v>
      </ns0:c>
      <ns0:c r="E297" t="str" s="10">
        <ns0:v>±1%</ns0:v>
      </ns0:c>
      <ns0:c r="F297" t="str" s="10">
        <ns0:v>0,1 Вт</ns0:v>
      </ns0:c>
      <ns0:c r="G297" t="str" s="10">
        <ns0:v>75 В макс.</ns0:v>
      </ns0:c>
      <ns0:c r="H297" t="str" s="12">
        <ns0:v>0603</ns0:v>
      </ns0:c>
      <ns0:c r="I297" t="str" s="10">
        <ns0:v>YAGEO</ns0:v>
      </ns0:c>
      <ns0:c r="J297" t="str" s="10">
        <ns0:v>RC0603FR-071R3L</ns0:v>
      </ns0:c>
      <ns0:c r="K297" t="str" s="11">
        <ns0:f>B297&amp;" "&amp;D297&amp;" "&amp;E297&amp;" "&amp;H297</ns0:f>
        <ns0:v>Резистор 1,3 Ом ±1% 0603</ns0:v>
      </ns0:c>
      <ns0:c r="L297" t="str" s="13">
        <ns0:v>R</ns0:v>
      </ns0:c>
      <ns0:c r="M297" t="str" s="13">
        <ns0:v>Symbols\MY_LIB_Resistors.SchLib</ns0:v>
      </ns0:c>
      <ns0:c r="N297" t="str" s="13">
        <ns0:v>RESC1608X55N</ns0:v>
      </ns0:c>
      <ns0:c r="O297" t="str" s="13">
        <ns0:v>Footprints\PBL - SMD Packages.PcbLib</ns0:v>
      </ns0:c>
      <ns0:c xmlns:ns0="http://schemas.openxmlformats.org/spreadsheetml/2006/main" r="P297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7" s="10"/>
      <ns0:c r="R297" t="str" s="11">
        <ns0:f>D297</ns0:f>
        <ns0:v>1,3 Ом</ns0:v>
      </ns0:c>
      <ns0:c r="S297" t="str" s="11">
        <ns0:f>K297</ns0:f>
        <ns0:v>Резистор 1,3 Ом ±1% 0603</ns0:v>
      </ns0:c>
      <x:c xmlns:x="http://schemas.openxmlformats.org/spreadsheetml/2006/main" r="T297" t="str" s="11">
        <x:v>C:\Users\Nomatin\Documents\Altium\MY_LIB\MY_LIB\Datasheets\YAGEO_RC_L.pdf</x:v>
      </x:c>
      <x:c xmlns:x="http://schemas.openxmlformats.org/spreadsheetml/2006/main" r="U297" t="str" s="11">
        <x:v>Даташит — локальный</x:v>
      </x:c>
      <x:c xmlns:x="http://schemas.openxmlformats.org/spreadsheetml/2006/main" r="V297" t="str" s="11">
        <x:v>C:\Users\Nomatin\Documents\Altium\MY_LIB\MY_LIB\Datasheets\YAGEO_RC_L.pdf</x:v>
      </x:c>
      <x:c xmlns:x="http://schemas.openxmlformats.org/spreadsheetml/2006/main" r="W297" t="str" s="11">
        <x:v>Даташит — производитель</x:v>
      </x:c>
      <x:c xmlns:x="http://schemas.openxmlformats.org/spreadsheetml/2006/main" r="X297" t="str" s="11">
        <x:v>https://yageogroup.com/content/datasheet/asset/file/PYU-RC_GROUP_51_ROHS_L</x:v>
      </x:c>
      <x:c xmlns:x="http://schemas.openxmlformats.org/spreadsheetml/2006/main" r="Y297" t="str" s="11">
        <x:v>C:\Users\Nomatin\Documents\Altium\MY_LIB\MY_LIB\Datasheets\YAGEO_RC_L.pdf</x:v>
      </x:c>
      <ns0:c xmlns:ns0="http://schemas.openxmlformats.org/spreadsheetml/2006/main" r="Z297" s="16" t="inlineStr">
        <ns0:is>
          <ns0:t>MY_LIB_R_TCR</ns0:t>
        </ns0:is>
      </ns0:c>
      <ns0:c xmlns:ns0="http://schemas.openxmlformats.org/spreadsheetml/2006/main" r="AA297" s="16" t="inlineStr">
        <ns0:is>
          <ns0:t>R(T), +200 ppm/C at 25 C; positive datasheet limit</ns0:t>
        </ns0:is>
      </ns0:c>
      <ns0:c xmlns:ns0="http://schemas.openxmlformats.org/spreadsheetml/2006/main" r="AB297" s="16" t="str">
        <ns0:v>General</ns0:v>
      </ns0:c>
      <ns0:c xmlns:ns0="http://schemas.openxmlformats.org/spreadsheetml/2006/main" r="AC297" s="16" t="inlineStr">
        <ns0:is>
          <ns0:t>Spice Subcircuit</ns0:t>
        </ns0:is>
      </ns0:c>
      <ns0:c xmlns:ns0="http://schemas.openxmlformats.org/spreadsheetml/2006/main" r="AD297" s="16" t="inlineStr">
        <ns0:is>
          <ns0:t>@DESIGNATOR %1 %2 @MODEL PARAMS: Rvalue=@VALUE TC1value=200u</ns0:t>
        </ns0:is>
      </ns0:c>
      <ns0:c xmlns:ns0="http://schemas.openxmlformats.org/spreadsheetml/2006/main" r="AE297" s="16" t="inlineStr">
        <ns0:is>
          <ns0:t>X</ns0:t>
        </ns0:is>
      </ns0:c>
      <ns0:c xmlns:ns0="http://schemas.openxmlformats.org/spreadsheetml/2006/main" r="AF297" s="16" t="str">
        <ns0:v>(1:1),(2:2)</ns0:v>
      </ns0:c>
      <ns0:c xmlns:ns0="http://schemas.openxmlformats.org/spreadsheetml/2006/main" r="AG297" s="16" t="inlineStr">
        <ns0:is>
          <ns0:t>Simulation\Resistors\MY_LIB_R_TCR.ckt</ns0:t>
        </ns0:is>
      </ns0:c>
      <ns0:c xmlns:ns0="http://schemas.openxmlformats.org/spreadsheetml/2006/main" r="AH297" s="16" t="inlineStr">
        <ns0:is>
          <ns0:t>±200 ppm/°C</ns0:t>
        </ns0:is>
      </ns0:c>
    </ns0:row>
    <ns0:row xmlns:ns0="http://schemas.openxmlformats.org/spreadsheetml/2006/main" r="298" ht="30" customHeight="1">
      <ns0:c r="A298" t="str" s="10">
        <ns0:v>R0304</ns0:v>
      </ns0:c>
      <ns0:c r="B298" t="str" s="10">
        <ns0:v>Резистор</ns0:v>
      </ns0:c>
      <ns0:c r="C298" t="str" s="10">
        <ns0:v>1.5R</ns0:v>
      </ns0:c>
      <ns0:c r="D298" t="str" s="11">
        <ns0:f>SUBSTITUTE(SUBSTITUTE(SUBSTITUTE(SUBSTITUTE(C298,"meg"," МОм"),"k"," кОм"),"R"," Ом"),".",",")</ns0:f>
        <ns0:v>1,5 Ом</ns0:v>
      </ns0:c>
      <ns0:c r="E298" t="str" s="10">
        <ns0:v>±1%</ns0:v>
      </ns0:c>
      <ns0:c r="F298" t="str" s="10">
        <ns0:v>0,1 Вт</ns0:v>
      </ns0:c>
      <ns0:c r="G298" t="str" s="10">
        <ns0:v>75 В макс.</ns0:v>
      </ns0:c>
      <ns0:c r="H298" t="str" s="12">
        <ns0:v>0603</ns0:v>
      </ns0:c>
      <ns0:c r="I298" t="str" s="10">
        <ns0:v>YAGEO</ns0:v>
      </ns0:c>
      <ns0:c r="J298" t="str" s="10">
        <ns0:v>RC0603FR-071R5L</ns0:v>
      </ns0:c>
      <ns0:c r="K298" t="str" s="11">
        <ns0:f>B298&amp;" "&amp;D298&amp;" "&amp;E298&amp;" "&amp;H298</ns0:f>
        <ns0:v>Резистор 1,5 Ом ±1% 0603</ns0:v>
      </ns0:c>
      <ns0:c r="L298" t="str" s="13">
        <ns0:v>R</ns0:v>
      </ns0:c>
      <ns0:c r="M298" t="str" s="13">
        <ns0:v>Symbols\MY_LIB_Resistors.SchLib</ns0:v>
      </ns0:c>
      <ns0:c r="N298" t="str" s="13">
        <ns0:v>RESC1608X55N</ns0:v>
      </ns0:c>
      <ns0:c r="O298" t="str" s="13">
        <ns0:v>Footprints\PBL - SMD Packages.PcbLib</ns0:v>
      </ns0:c>
      <ns0:c xmlns:ns0="http://schemas.openxmlformats.org/spreadsheetml/2006/main" r="P298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8" s="10"/>
      <ns0:c r="R298" t="str" s="11">
        <ns0:f>D298</ns0:f>
        <ns0:v>1,5 Ом</ns0:v>
      </ns0:c>
      <ns0:c r="S298" t="str" s="11">
        <ns0:f>K298</ns0:f>
        <ns0:v>Резистор 1,5 Ом ±1% 0603</ns0:v>
      </ns0:c>
      <x:c xmlns:x="http://schemas.openxmlformats.org/spreadsheetml/2006/main" r="T298" t="str" s="11">
        <x:v>C:\Users\Nomatin\Documents\Altium\MY_LIB\MY_LIB\Datasheets\YAGEO_RC_L.pdf</x:v>
      </x:c>
      <x:c xmlns:x="http://schemas.openxmlformats.org/spreadsheetml/2006/main" r="U298" t="str" s="11">
        <x:v>Даташит — локальный</x:v>
      </x:c>
      <x:c xmlns:x="http://schemas.openxmlformats.org/spreadsheetml/2006/main" r="V298" t="str" s="11">
        <x:v>C:\Users\Nomatin\Documents\Altium\MY_LIB\MY_LIB\Datasheets\YAGEO_RC_L.pdf</x:v>
      </x:c>
      <x:c xmlns:x="http://schemas.openxmlformats.org/spreadsheetml/2006/main" r="W298" t="str" s="11">
        <x:v>Даташит — производитель</x:v>
      </x:c>
      <x:c xmlns:x="http://schemas.openxmlformats.org/spreadsheetml/2006/main" r="X298" t="str" s="11">
        <x:v>https://yageogroup.com/content/datasheet/asset/file/PYU-RC_GROUP_51_ROHS_L</x:v>
      </x:c>
      <x:c xmlns:x="http://schemas.openxmlformats.org/spreadsheetml/2006/main" r="Y298" t="str" s="11">
        <x:v>C:\Users\Nomatin\Documents\Altium\MY_LIB\MY_LIB\Datasheets\YAGEO_RC_L.pdf</x:v>
      </x:c>
      <ns0:c xmlns:ns0="http://schemas.openxmlformats.org/spreadsheetml/2006/main" r="Z298" s="16" t="inlineStr">
        <ns0:is>
          <ns0:t>MY_LIB_R_TCR</ns0:t>
        </ns0:is>
      </ns0:c>
      <ns0:c xmlns:ns0="http://schemas.openxmlformats.org/spreadsheetml/2006/main" r="AA298" s="16" t="inlineStr">
        <ns0:is>
          <ns0:t>R(T), +200 ppm/C at 25 C; positive datasheet limit</ns0:t>
        </ns0:is>
      </ns0:c>
      <ns0:c xmlns:ns0="http://schemas.openxmlformats.org/spreadsheetml/2006/main" r="AB298" s="16" t="str">
        <ns0:v>General</ns0:v>
      </ns0:c>
      <ns0:c xmlns:ns0="http://schemas.openxmlformats.org/spreadsheetml/2006/main" r="AC298" s="16" t="inlineStr">
        <ns0:is>
          <ns0:t>Spice Subcircuit</ns0:t>
        </ns0:is>
      </ns0:c>
      <ns0:c xmlns:ns0="http://schemas.openxmlformats.org/spreadsheetml/2006/main" r="AD298" s="16" t="inlineStr">
        <ns0:is>
          <ns0:t>@DESIGNATOR %1 %2 @MODEL PARAMS: Rvalue=@VALUE TC1value=200u</ns0:t>
        </ns0:is>
      </ns0:c>
      <ns0:c xmlns:ns0="http://schemas.openxmlformats.org/spreadsheetml/2006/main" r="AE298" s="16" t="inlineStr">
        <ns0:is>
          <ns0:t>X</ns0:t>
        </ns0:is>
      </ns0:c>
      <ns0:c xmlns:ns0="http://schemas.openxmlformats.org/spreadsheetml/2006/main" r="AF298" s="16" t="str">
        <ns0:v>(1:1),(2:2)</ns0:v>
      </ns0:c>
      <ns0:c xmlns:ns0="http://schemas.openxmlformats.org/spreadsheetml/2006/main" r="AG298" s="16" t="inlineStr">
        <ns0:is>
          <ns0:t>Simulation\Resistors\MY_LIB_R_TCR.ckt</ns0:t>
        </ns0:is>
      </ns0:c>
      <ns0:c xmlns:ns0="http://schemas.openxmlformats.org/spreadsheetml/2006/main" r="AH298" s="16" t="inlineStr">
        <ns0:is>
          <ns0:t>±200 ppm/°C</ns0:t>
        </ns0:is>
      </ns0:c>
    </ns0:row>
    <ns0:row xmlns:ns0="http://schemas.openxmlformats.org/spreadsheetml/2006/main" r="299" ht="30" customHeight="1">
      <ns0:c r="A299" t="str" s="10">
        <ns0:v>R0305</ns0:v>
      </ns0:c>
      <ns0:c r="B299" t="str" s="10">
        <ns0:v>Резистор</ns0:v>
      </ns0:c>
      <ns0:c r="C299" t="str" s="10">
        <ns0:v>1.6R</ns0:v>
      </ns0:c>
      <ns0:c r="D299" t="str" s="11">
        <ns0:f>SUBSTITUTE(SUBSTITUTE(SUBSTITUTE(SUBSTITUTE(C299,"meg"," МОм"),"k"," кОм"),"R"," Ом"),".",",")</ns0:f>
        <ns0:v>1,6 Ом</ns0:v>
      </ns0:c>
      <ns0:c r="E299" t="str" s="10">
        <ns0:v>±1%</ns0:v>
      </ns0:c>
      <ns0:c r="F299" t="str" s="10">
        <ns0:v>0,1 Вт</ns0:v>
      </ns0:c>
      <ns0:c r="G299" t="str" s="10">
        <ns0:v>75 В макс.</ns0:v>
      </ns0:c>
      <ns0:c r="H299" t="str" s="12">
        <ns0:v>0603</ns0:v>
      </ns0:c>
      <ns0:c r="I299" t="str" s="10">
        <ns0:v>YAGEO</ns0:v>
      </ns0:c>
      <ns0:c r="J299" t="str" s="10">
        <ns0:v>RC0603FR-071R6L</ns0:v>
      </ns0:c>
      <ns0:c r="K299" t="str" s="11">
        <ns0:f>B299&amp;" "&amp;D299&amp;" "&amp;E299&amp;" "&amp;H299</ns0:f>
        <ns0:v>Резистор 1,6 Ом ±1% 0603</ns0:v>
      </ns0:c>
      <ns0:c r="L299" t="str" s="13">
        <ns0:v>R</ns0:v>
      </ns0:c>
      <ns0:c r="M299" t="str" s="13">
        <ns0:v>Symbols\MY_LIB_Resistors.SchLib</ns0:v>
      </ns0:c>
      <ns0:c r="N299" t="str" s="13">
        <ns0:v>RESC1608X55N</ns0:v>
      </ns0:c>
      <ns0:c r="O299" t="str" s="13">
        <ns0:v>Footprints\PBL - SMD Packages.PcbLib</ns0:v>
      </ns0:c>
      <ns0:c xmlns:ns0="http://schemas.openxmlformats.org/spreadsheetml/2006/main" r="P299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299" s="10"/>
      <ns0:c r="R299" t="str" s="11">
        <ns0:f>D299</ns0:f>
        <ns0:v>1,6 Ом</ns0:v>
      </ns0:c>
      <ns0:c r="S299" t="str" s="11">
        <ns0:f>K299</ns0:f>
        <ns0:v>Резистор 1,6 Ом ±1% 0603</ns0:v>
      </ns0:c>
      <x:c xmlns:x="http://schemas.openxmlformats.org/spreadsheetml/2006/main" r="T299" t="str" s="11">
        <x:v>C:\Users\Nomatin\Documents\Altium\MY_LIB\MY_LIB\Datasheets\YAGEO_RC_L.pdf</x:v>
      </x:c>
      <x:c xmlns:x="http://schemas.openxmlformats.org/spreadsheetml/2006/main" r="U299" t="str" s="11">
        <x:v>Даташит — локальный</x:v>
      </x:c>
      <x:c xmlns:x="http://schemas.openxmlformats.org/spreadsheetml/2006/main" r="V299" t="str" s="11">
        <x:v>C:\Users\Nomatin\Documents\Altium\MY_LIB\MY_LIB\Datasheets\YAGEO_RC_L.pdf</x:v>
      </x:c>
      <x:c xmlns:x="http://schemas.openxmlformats.org/spreadsheetml/2006/main" r="W299" t="str" s="11">
        <x:v>Даташит — производитель</x:v>
      </x:c>
      <x:c xmlns:x="http://schemas.openxmlformats.org/spreadsheetml/2006/main" r="X299" t="str" s="11">
        <x:v>https://yageogroup.com/content/datasheet/asset/file/PYU-RC_GROUP_51_ROHS_L</x:v>
      </x:c>
      <x:c xmlns:x="http://schemas.openxmlformats.org/spreadsheetml/2006/main" r="Y299" t="str" s="11">
        <x:v>C:\Users\Nomatin\Documents\Altium\MY_LIB\MY_LIB\Datasheets\YAGEO_RC_L.pdf</x:v>
      </x:c>
      <ns0:c xmlns:ns0="http://schemas.openxmlformats.org/spreadsheetml/2006/main" r="Z299" s="16" t="inlineStr">
        <ns0:is>
          <ns0:t>MY_LIB_R_TCR</ns0:t>
        </ns0:is>
      </ns0:c>
      <ns0:c xmlns:ns0="http://schemas.openxmlformats.org/spreadsheetml/2006/main" r="AA299" s="16" t="inlineStr">
        <ns0:is>
          <ns0:t>R(T), +200 ppm/C at 25 C; positive datasheet limit</ns0:t>
        </ns0:is>
      </ns0:c>
      <ns0:c xmlns:ns0="http://schemas.openxmlformats.org/spreadsheetml/2006/main" r="AB299" s="16" t="str">
        <ns0:v>General</ns0:v>
      </ns0:c>
      <ns0:c xmlns:ns0="http://schemas.openxmlformats.org/spreadsheetml/2006/main" r="AC299" s="16" t="inlineStr">
        <ns0:is>
          <ns0:t>Spice Subcircuit</ns0:t>
        </ns0:is>
      </ns0:c>
      <ns0:c xmlns:ns0="http://schemas.openxmlformats.org/spreadsheetml/2006/main" r="AD299" s="16" t="inlineStr">
        <ns0:is>
          <ns0:t>@DESIGNATOR %1 %2 @MODEL PARAMS: Rvalue=@VALUE TC1value=200u</ns0:t>
        </ns0:is>
      </ns0:c>
      <ns0:c xmlns:ns0="http://schemas.openxmlformats.org/spreadsheetml/2006/main" r="AE299" s="16" t="inlineStr">
        <ns0:is>
          <ns0:t>X</ns0:t>
        </ns0:is>
      </ns0:c>
      <ns0:c xmlns:ns0="http://schemas.openxmlformats.org/spreadsheetml/2006/main" r="AF299" s="16" t="str">
        <ns0:v>(1:1),(2:2)</ns0:v>
      </ns0:c>
      <ns0:c xmlns:ns0="http://schemas.openxmlformats.org/spreadsheetml/2006/main" r="AG299" s="16" t="inlineStr">
        <ns0:is>
          <ns0:t>Simulation\Resistors\MY_LIB_R_TCR.ckt</ns0:t>
        </ns0:is>
      </ns0:c>
      <ns0:c xmlns:ns0="http://schemas.openxmlformats.org/spreadsheetml/2006/main" r="AH299" s="16" t="inlineStr">
        <ns0:is>
          <ns0:t>±200 ppm/°C</ns0:t>
        </ns0:is>
      </ns0:c>
    </ns0:row>
    <ns0:row xmlns:ns0="http://schemas.openxmlformats.org/spreadsheetml/2006/main" r="300" ht="30" customHeight="1">
      <ns0:c r="A300" t="str" s="10">
        <ns0:v>R0306</ns0:v>
      </ns0:c>
      <ns0:c r="B300" t="str" s="10">
        <ns0:v>Резистор</ns0:v>
      </ns0:c>
      <ns0:c r="C300" t="str" s="10">
        <ns0:v>1.8R</ns0:v>
      </ns0:c>
      <ns0:c r="D300" t="str" s="11">
        <ns0:f>SUBSTITUTE(SUBSTITUTE(SUBSTITUTE(SUBSTITUTE(C300,"meg"," МОм"),"k"," кОм"),"R"," Ом"),".",",")</ns0:f>
        <ns0:v>1,8 Ом</ns0:v>
      </ns0:c>
      <ns0:c r="E300" t="str" s="10">
        <ns0:v>±1%</ns0:v>
      </ns0:c>
      <ns0:c r="F300" t="str" s="10">
        <ns0:v>0,1 Вт</ns0:v>
      </ns0:c>
      <ns0:c r="G300" t="str" s="10">
        <ns0:v>75 В макс.</ns0:v>
      </ns0:c>
      <ns0:c r="H300" t="str" s="12">
        <ns0:v>0603</ns0:v>
      </ns0:c>
      <ns0:c r="I300" t="str" s="10">
        <ns0:v>YAGEO</ns0:v>
      </ns0:c>
      <ns0:c r="J300" t="str" s="10">
        <ns0:v>RC0603FR-071R8L</ns0:v>
      </ns0:c>
      <ns0:c r="K300" t="str" s="11">
        <ns0:f>B300&amp;" "&amp;D300&amp;" "&amp;E300&amp;" "&amp;H300</ns0:f>
        <ns0:v>Резистор 1,8 Ом ±1% 0603</ns0:v>
      </ns0:c>
      <ns0:c r="L300" t="str" s="13">
        <ns0:v>R</ns0:v>
      </ns0:c>
      <ns0:c r="M300" t="str" s="13">
        <ns0:v>Symbols\MY_LIB_Resistors.SchLib</ns0:v>
      </ns0:c>
      <ns0:c r="N300" t="str" s="13">
        <ns0:v>RESC1608X55N</ns0:v>
      </ns0:c>
      <ns0:c r="O300" t="str" s="13">
        <ns0:v>Footprints\PBL - SMD Packages.PcbLib</ns0:v>
      </ns0:c>
      <ns0:c xmlns:ns0="http://schemas.openxmlformats.org/spreadsheetml/2006/main" r="P300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0" s="10"/>
      <ns0:c r="R300" t="str" s="11">
        <ns0:f>D300</ns0:f>
        <ns0:v>1,8 Ом</ns0:v>
      </ns0:c>
      <ns0:c r="S300" t="str" s="11">
        <ns0:f>K300</ns0:f>
        <ns0:v>Резистор 1,8 Ом ±1% 0603</ns0:v>
      </ns0:c>
      <x:c xmlns:x="http://schemas.openxmlformats.org/spreadsheetml/2006/main" r="T300" t="str" s="11">
        <x:v>C:\Users\Nomatin\Documents\Altium\MY_LIB\MY_LIB\Datasheets\YAGEO_RC_L.pdf</x:v>
      </x:c>
      <x:c xmlns:x="http://schemas.openxmlformats.org/spreadsheetml/2006/main" r="U300" t="str" s="11">
        <x:v>Даташит — локальный</x:v>
      </x:c>
      <x:c xmlns:x="http://schemas.openxmlformats.org/spreadsheetml/2006/main" r="V300" t="str" s="11">
        <x:v>C:\Users\Nomatin\Documents\Altium\MY_LIB\MY_LIB\Datasheets\YAGEO_RC_L.pdf</x:v>
      </x:c>
      <x:c xmlns:x="http://schemas.openxmlformats.org/spreadsheetml/2006/main" r="W300" t="str" s="11">
        <x:v>Даташит — производитель</x:v>
      </x:c>
      <x:c xmlns:x="http://schemas.openxmlformats.org/spreadsheetml/2006/main" r="X300" t="str" s="11">
        <x:v>https://yageogroup.com/content/datasheet/asset/file/PYU-RC_GROUP_51_ROHS_L</x:v>
      </x:c>
      <x:c xmlns:x="http://schemas.openxmlformats.org/spreadsheetml/2006/main" r="Y300" t="str" s="11">
        <x:v>C:\Users\Nomatin\Documents\Altium\MY_LIB\MY_LIB\Datasheets\YAGEO_RC_L.pdf</x:v>
      </x:c>
      <ns0:c xmlns:ns0="http://schemas.openxmlformats.org/spreadsheetml/2006/main" r="Z300" s="16" t="inlineStr">
        <ns0:is>
          <ns0:t>MY_LIB_R_TCR</ns0:t>
        </ns0:is>
      </ns0:c>
      <ns0:c xmlns:ns0="http://schemas.openxmlformats.org/spreadsheetml/2006/main" r="AA300" s="16" t="inlineStr">
        <ns0:is>
          <ns0:t>R(T), +200 ppm/C at 25 C; positive datasheet limit</ns0:t>
        </ns0:is>
      </ns0:c>
      <ns0:c xmlns:ns0="http://schemas.openxmlformats.org/spreadsheetml/2006/main" r="AB300" s="16" t="str">
        <ns0:v>General</ns0:v>
      </ns0:c>
      <ns0:c xmlns:ns0="http://schemas.openxmlformats.org/spreadsheetml/2006/main" r="AC300" s="16" t="inlineStr">
        <ns0:is>
          <ns0:t>Spice Subcircuit</ns0:t>
        </ns0:is>
      </ns0:c>
      <ns0:c xmlns:ns0="http://schemas.openxmlformats.org/spreadsheetml/2006/main" r="AD300" s="16" t="inlineStr">
        <ns0:is>
          <ns0:t>@DESIGNATOR %1 %2 @MODEL PARAMS: Rvalue=@VALUE TC1value=200u</ns0:t>
        </ns0:is>
      </ns0:c>
      <ns0:c xmlns:ns0="http://schemas.openxmlformats.org/spreadsheetml/2006/main" r="AE300" s="16" t="inlineStr">
        <ns0:is>
          <ns0:t>X</ns0:t>
        </ns0:is>
      </ns0:c>
      <ns0:c xmlns:ns0="http://schemas.openxmlformats.org/spreadsheetml/2006/main" r="AF300" s="16" t="str">
        <ns0:v>(1:1),(2:2)</ns0:v>
      </ns0:c>
      <ns0:c xmlns:ns0="http://schemas.openxmlformats.org/spreadsheetml/2006/main" r="AG300" s="16" t="inlineStr">
        <ns0:is>
          <ns0:t>Simulation\Resistors\MY_LIB_R_TCR.ckt</ns0:t>
        </ns0:is>
      </ns0:c>
      <ns0:c xmlns:ns0="http://schemas.openxmlformats.org/spreadsheetml/2006/main" r="AH300" s="16" t="inlineStr">
        <ns0:is>
          <ns0:t>±200 ppm/°C</ns0:t>
        </ns0:is>
      </ns0:c>
    </ns0:row>
    <ns0:row xmlns:ns0="http://schemas.openxmlformats.org/spreadsheetml/2006/main" r="301" ht="30" customHeight="1">
      <ns0:c r="A301" t="str" s="10">
        <ns0:v>R0307</ns0:v>
      </ns0:c>
      <ns0:c r="B301" t="str" s="10">
        <ns0:v>Резистор</ns0:v>
      </ns0:c>
      <ns0:c r="C301" t="str" s="10">
        <ns0:v>2R</ns0:v>
      </ns0:c>
      <ns0:c r="D301" t="str" s="11">
        <ns0:f>SUBSTITUTE(SUBSTITUTE(SUBSTITUTE(SUBSTITUTE(C301,"meg"," МОм"),"k"," кОм"),"R"," Ом"),".",",")</ns0:f>
        <ns0:v>2 Ом</ns0:v>
      </ns0:c>
      <ns0:c r="E301" t="str" s="10">
        <ns0:v>±1%</ns0:v>
      </ns0:c>
      <ns0:c r="F301" t="str" s="10">
        <ns0:v>0,1 Вт</ns0:v>
      </ns0:c>
      <ns0:c r="G301" t="str" s="10">
        <ns0:v>75 В макс.</ns0:v>
      </ns0:c>
      <ns0:c r="H301" t="str" s="12">
        <ns0:v>0603</ns0:v>
      </ns0:c>
      <ns0:c r="I301" t="str" s="10">
        <ns0:v>YAGEO</ns0:v>
      </ns0:c>
      <ns0:c r="J301" t="str" s="10">
        <ns0:v>RC0603FR-072RL</ns0:v>
      </ns0:c>
      <ns0:c r="K301" t="str" s="11">
        <ns0:f>B301&amp;" "&amp;D301&amp;" "&amp;E301&amp;" "&amp;H301</ns0:f>
        <ns0:v>Резистор 2 Ом ±1% 0603</ns0:v>
      </ns0:c>
      <ns0:c r="L301" t="str" s="13">
        <ns0:v>R</ns0:v>
      </ns0:c>
      <ns0:c r="M301" t="str" s="13">
        <ns0:v>Symbols\MY_LIB_Resistors.SchLib</ns0:v>
      </ns0:c>
      <ns0:c r="N301" t="str" s="13">
        <ns0:v>RESC1608X55N</ns0:v>
      </ns0:c>
      <ns0:c r="O301" t="str" s="13">
        <ns0:v>Footprints\PBL - SMD Packages.PcbLib</ns0:v>
      </ns0:c>
      <ns0:c xmlns:ns0="http://schemas.openxmlformats.org/spreadsheetml/2006/main" r="P301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1" s="10"/>
      <ns0:c r="R301" t="str" s="11">
        <ns0:f>D301</ns0:f>
        <ns0:v>2 Ом</ns0:v>
      </ns0:c>
      <ns0:c r="S301" t="str" s="11">
        <ns0:f>K301</ns0:f>
        <ns0:v>Резистор 2 Ом ±1% 0603</ns0:v>
      </ns0:c>
      <x:c xmlns:x="http://schemas.openxmlformats.org/spreadsheetml/2006/main" r="T301" t="str" s="11">
        <x:v>C:\Users\Nomatin\Documents\Altium\MY_LIB\MY_LIB\Datasheets\YAGEO_RC_L.pdf</x:v>
      </x:c>
      <x:c xmlns:x="http://schemas.openxmlformats.org/spreadsheetml/2006/main" r="U301" t="str" s="11">
        <x:v>Даташит — локальный</x:v>
      </x:c>
      <x:c xmlns:x="http://schemas.openxmlformats.org/spreadsheetml/2006/main" r="V301" t="str" s="11">
        <x:v>C:\Users\Nomatin\Documents\Altium\MY_LIB\MY_LIB\Datasheets\YAGEO_RC_L.pdf</x:v>
      </x:c>
      <x:c xmlns:x="http://schemas.openxmlformats.org/spreadsheetml/2006/main" r="W301" t="str" s="11">
        <x:v>Даташит — производитель</x:v>
      </x:c>
      <x:c xmlns:x="http://schemas.openxmlformats.org/spreadsheetml/2006/main" r="X301" t="str" s="11">
        <x:v>https://yageogroup.com/content/datasheet/asset/file/PYU-RC_GROUP_51_ROHS_L</x:v>
      </x:c>
      <x:c xmlns:x="http://schemas.openxmlformats.org/spreadsheetml/2006/main" r="Y301" t="str" s="11">
        <x:v>C:\Users\Nomatin\Documents\Altium\MY_LIB\MY_LIB\Datasheets\YAGEO_RC_L.pdf</x:v>
      </x:c>
      <ns0:c xmlns:ns0="http://schemas.openxmlformats.org/spreadsheetml/2006/main" r="Z301" s="16" t="inlineStr">
        <ns0:is>
          <ns0:t>MY_LIB_R_TCR</ns0:t>
        </ns0:is>
      </ns0:c>
      <ns0:c xmlns:ns0="http://schemas.openxmlformats.org/spreadsheetml/2006/main" r="AA301" s="16" t="inlineStr">
        <ns0:is>
          <ns0:t>R(T), +200 ppm/C at 25 C; positive datasheet limit</ns0:t>
        </ns0:is>
      </ns0:c>
      <ns0:c xmlns:ns0="http://schemas.openxmlformats.org/spreadsheetml/2006/main" r="AB301" s="16" t="str">
        <ns0:v>General</ns0:v>
      </ns0:c>
      <ns0:c xmlns:ns0="http://schemas.openxmlformats.org/spreadsheetml/2006/main" r="AC301" s="16" t="inlineStr">
        <ns0:is>
          <ns0:t>Spice Subcircuit</ns0:t>
        </ns0:is>
      </ns0:c>
      <ns0:c xmlns:ns0="http://schemas.openxmlformats.org/spreadsheetml/2006/main" r="AD301" s="16" t="inlineStr">
        <ns0:is>
          <ns0:t>@DESIGNATOR %1 %2 @MODEL PARAMS: Rvalue=@VALUE TC1value=200u</ns0:t>
        </ns0:is>
      </ns0:c>
      <ns0:c xmlns:ns0="http://schemas.openxmlformats.org/spreadsheetml/2006/main" r="AE301" s="16" t="inlineStr">
        <ns0:is>
          <ns0:t>X</ns0:t>
        </ns0:is>
      </ns0:c>
      <ns0:c xmlns:ns0="http://schemas.openxmlformats.org/spreadsheetml/2006/main" r="AF301" s="16" t="str">
        <ns0:v>(1:1),(2:2)</ns0:v>
      </ns0:c>
      <ns0:c xmlns:ns0="http://schemas.openxmlformats.org/spreadsheetml/2006/main" r="AG301" s="16" t="inlineStr">
        <ns0:is>
          <ns0:t>Simulation\Resistors\MY_LIB_R_TCR.ckt</ns0:t>
        </ns0:is>
      </ns0:c>
      <ns0:c xmlns:ns0="http://schemas.openxmlformats.org/spreadsheetml/2006/main" r="AH301" s="16" t="inlineStr">
        <ns0:is>
          <ns0:t>±200 ppm/°C</ns0:t>
        </ns0:is>
      </ns0:c>
    </ns0:row>
    <ns0:row xmlns:ns0="http://schemas.openxmlformats.org/spreadsheetml/2006/main" r="302" ht="30" customHeight="1">
      <ns0:c r="A302" t="str" s="10">
        <ns0:v>R0308</ns0:v>
      </ns0:c>
      <ns0:c r="B302" t="str" s="10">
        <ns0:v>Резистор</ns0:v>
      </ns0:c>
      <ns0:c r="C302" t="str" s="10">
        <ns0:v>2.2R</ns0:v>
      </ns0:c>
      <ns0:c r="D302" t="str" s="11">
        <ns0:f>SUBSTITUTE(SUBSTITUTE(SUBSTITUTE(SUBSTITUTE(C302,"meg"," МОм"),"k"," кОм"),"R"," Ом"),".",",")</ns0:f>
        <ns0:v>2,2 Ом</ns0:v>
      </ns0:c>
      <ns0:c r="E302" t="str" s="10">
        <ns0:v>±1%</ns0:v>
      </ns0:c>
      <ns0:c r="F302" t="str" s="10">
        <ns0:v>0,1 Вт</ns0:v>
      </ns0:c>
      <ns0:c r="G302" t="str" s="10">
        <ns0:v>75 В макс.</ns0:v>
      </ns0:c>
      <ns0:c r="H302" t="str" s="12">
        <ns0:v>0603</ns0:v>
      </ns0:c>
      <ns0:c r="I302" t="str" s="10">
        <ns0:v>YAGEO</ns0:v>
      </ns0:c>
      <ns0:c r="J302" t="str" s="10">
        <ns0:v>RC0603FR-072R2L</ns0:v>
      </ns0:c>
      <ns0:c r="K302" t="str" s="11">
        <ns0:f>B302&amp;" "&amp;D302&amp;" "&amp;E302&amp;" "&amp;H302</ns0:f>
        <ns0:v>Резистор 2,2 Ом ±1% 0603</ns0:v>
      </ns0:c>
      <ns0:c r="L302" t="str" s="13">
        <ns0:v>R</ns0:v>
      </ns0:c>
      <ns0:c r="M302" t="str" s="13">
        <ns0:v>Symbols\MY_LIB_Resistors.SchLib</ns0:v>
      </ns0:c>
      <ns0:c r="N302" t="str" s="13">
        <ns0:v>RESC1608X55N</ns0:v>
      </ns0:c>
      <ns0:c r="O302" t="str" s="13">
        <ns0:v>Footprints\PBL - SMD Packages.PcbLib</ns0:v>
      </ns0:c>
      <ns0:c xmlns:ns0="http://schemas.openxmlformats.org/spreadsheetml/2006/main" r="P302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2" s="10"/>
      <ns0:c r="R302" t="str" s="11">
        <ns0:f>D302</ns0:f>
        <ns0:v>2,2 Ом</ns0:v>
      </ns0:c>
      <ns0:c r="S302" t="str" s="11">
        <ns0:f>K302</ns0:f>
        <ns0:v>Резистор 2,2 Ом ±1% 0603</ns0:v>
      </ns0:c>
      <x:c xmlns:x="http://schemas.openxmlformats.org/spreadsheetml/2006/main" r="T302" t="str" s="11">
        <x:v>C:\Users\Nomatin\Documents\Altium\MY_LIB\MY_LIB\Datasheets\YAGEO_RC_L.pdf</x:v>
      </x:c>
      <x:c xmlns:x="http://schemas.openxmlformats.org/spreadsheetml/2006/main" r="U302" t="str" s="11">
        <x:v>Даташит — локальный</x:v>
      </x:c>
      <x:c xmlns:x="http://schemas.openxmlformats.org/spreadsheetml/2006/main" r="V302" t="str" s="11">
        <x:v>C:\Users\Nomatin\Documents\Altium\MY_LIB\MY_LIB\Datasheets\YAGEO_RC_L.pdf</x:v>
      </x:c>
      <x:c xmlns:x="http://schemas.openxmlformats.org/spreadsheetml/2006/main" r="W302" t="str" s="11">
        <x:v>Даташит — производитель</x:v>
      </x:c>
      <x:c xmlns:x="http://schemas.openxmlformats.org/spreadsheetml/2006/main" r="X302" t="str" s="11">
        <x:v>https://yageogroup.com/content/datasheet/asset/file/PYU-RC_GROUP_51_ROHS_L</x:v>
      </x:c>
      <x:c xmlns:x="http://schemas.openxmlformats.org/spreadsheetml/2006/main" r="Y302" t="str" s="11">
        <x:v>C:\Users\Nomatin\Documents\Altium\MY_LIB\MY_LIB\Datasheets\YAGEO_RC_L.pdf</x:v>
      </x:c>
      <ns0:c xmlns:ns0="http://schemas.openxmlformats.org/spreadsheetml/2006/main" r="Z302" s="16" t="inlineStr">
        <ns0:is>
          <ns0:t>MY_LIB_R_TCR</ns0:t>
        </ns0:is>
      </ns0:c>
      <ns0:c xmlns:ns0="http://schemas.openxmlformats.org/spreadsheetml/2006/main" r="AA302" s="16" t="inlineStr">
        <ns0:is>
          <ns0:t>R(T), +200 ppm/C at 25 C; positive datasheet limit</ns0:t>
        </ns0:is>
      </ns0:c>
      <ns0:c xmlns:ns0="http://schemas.openxmlformats.org/spreadsheetml/2006/main" r="AB302" s="16" t="str">
        <ns0:v>General</ns0:v>
      </ns0:c>
      <ns0:c xmlns:ns0="http://schemas.openxmlformats.org/spreadsheetml/2006/main" r="AC302" s="16" t="inlineStr">
        <ns0:is>
          <ns0:t>Spice Subcircuit</ns0:t>
        </ns0:is>
      </ns0:c>
      <ns0:c xmlns:ns0="http://schemas.openxmlformats.org/spreadsheetml/2006/main" r="AD302" s="16" t="inlineStr">
        <ns0:is>
          <ns0:t>@DESIGNATOR %1 %2 @MODEL PARAMS: Rvalue=@VALUE TC1value=200u</ns0:t>
        </ns0:is>
      </ns0:c>
      <ns0:c xmlns:ns0="http://schemas.openxmlformats.org/spreadsheetml/2006/main" r="AE302" s="16" t="inlineStr">
        <ns0:is>
          <ns0:t>X</ns0:t>
        </ns0:is>
      </ns0:c>
      <ns0:c xmlns:ns0="http://schemas.openxmlformats.org/spreadsheetml/2006/main" r="AF302" s="16" t="str">
        <ns0:v>(1:1),(2:2)</ns0:v>
      </ns0:c>
      <ns0:c xmlns:ns0="http://schemas.openxmlformats.org/spreadsheetml/2006/main" r="AG302" s="16" t="inlineStr">
        <ns0:is>
          <ns0:t>Simulation\Resistors\MY_LIB_R_TCR.ckt</ns0:t>
        </ns0:is>
      </ns0:c>
      <ns0:c xmlns:ns0="http://schemas.openxmlformats.org/spreadsheetml/2006/main" r="AH302" s="16" t="inlineStr">
        <ns0:is>
          <ns0:t>±200 ppm/°C</ns0:t>
        </ns0:is>
      </ns0:c>
    </ns0:row>
    <ns0:row xmlns:ns0="http://schemas.openxmlformats.org/spreadsheetml/2006/main" r="303" ht="30" customHeight="1">
      <ns0:c r="A303" t="str" s="10">
        <ns0:v>R0309</ns0:v>
      </ns0:c>
      <ns0:c r="B303" t="str" s="10">
        <ns0:v>Резистор</ns0:v>
      </ns0:c>
      <ns0:c r="C303" t="str" s="10">
        <ns0:v>2.4R</ns0:v>
      </ns0:c>
      <ns0:c r="D303" t="str" s="11">
        <ns0:f>SUBSTITUTE(SUBSTITUTE(SUBSTITUTE(SUBSTITUTE(C303,"meg"," МОм"),"k"," кОм"),"R"," Ом"),".",",")</ns0:f>
        <ns0:v>2,4 Ом</ns0:v>
      </ns0:c>
      <ns0:c r="E303" t="str" s="10">
        <ns0:v>±1%</ns0:v>
      </ns0:c>
      <ns0:c r="F303" t="str" s="10">
        <ns0:v>0,1 Вт</ns0:v>
      </ns0:c>
      <ns0:c r="G303" t="str" s="10">
        <ns0:v>75 В макс.</ns0:v>
      </ns0:c>
      <ns0:c r="H303" t="str" s="12">
        <ns0:v>0603</ns0:v>
      </ns0:c>
      <ns0:c r="I303" t="str" s="10">
        <ns0:v>YAGEO</ns0:v>
      </ns0:c>
      <ns0:c r="J303" t="str" s="10">
        <ns0:v>RC0603FR-072R4L</ns0:v>
      </ns0:c>
      <ns0:c r="K303" t="str" s="11">
        <ns0:f>B303&amp;" "&amp;D303&amp;" "&amp;E303&amp;" "&amp;H303</ns0:f>
        <ns0:v>Резистор 2,4 Ом ±1% 0603</ns0:v>
      </ns0:c>
      <ns0:c r="L303" t="str" s="13">
        <ns0:v>R</ns0:v>
      </ns0:c>
      <ns0:c r="M303" t="str" s="13">
        <ns0:v>Symbols\MY_LIB_Resistors.SchLib</ns0:v>
      </ns0:c>
      <ns0:c r="N303" t="str" s="13">
        <ns0:v>RESC1608X55N</ns0:v>
      </ns0:c>
      <ns0:c r="O303" t="str" s="13">
        <ns0:v>Footprints\PBL - SMD Packages.PcbLib</ns0:v>
      </ns0:c>
      <ns0:c xmlns:ns0="http://schemas.openxmlformats.org/spreadsheetml/2006/main" r="P303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3" s="10"/>
      <ns0:c r="R303" t="str" s="11">
        <ns0:f>D303</ns0:f>
        <ns0:v>2,4 Ом</ns0:v>
      </ns0:c>
      <ns0:c r="S303" t="str" s="11">
        <ns0:f>K303</ns0:f>
        <ns0:v>Резистор 2,4 Ом ±1% 0603</ns0:v>
      </ns0:c>
      <x:c xmlns:x="http://schemas.openxmlformats.org/spreadsheetml/2006/main" r="T303" t="str" s="11">
        <x:v>C:\Users\Nomatin\Documents\Altium\MY_LIB\MY_LIB\Datasheets\YAGEO_RC_L.pdf</x:v>
      </x:c>
      <x:c xmlns:x="http://schemas.openxmlformats.org/spreadsheetml/2006/main" r="U303" t="str" s="11">
        <x:v>Даташит — локальный</x:v>
      </x:c>
      <x:c xmlns:x="http://schemas.openxmlformats.org/spreadsheetml/2006/main" r="V303" t="str" s="11">
        <x:v>C:\Users\Nomatin\Documents\Altium\MY_LIB\MY_LIB\Datasheets\YAGEO_RC_L.pdf</x:v>
      </x:c>
      <x:c xmlns:x="http://schemas.openxmlformats.org/spreadsheetml/2006/main" r="W303" t="str" s="11">
        <x:v>Даташит — производитель</x:v>
      </x:c>
      <x:c xmlns:x="http://schemas.openxmlformats.org/spreadsheetml/2006/main" r="X303" t="str" s="11">
        <x:v>https://yageogroup.com/content/datasheet/asset/file/PYU-RC_GROUP_51_ROHS_L</x:v>
      </x:c>
      <x:c xmlns:x="http://schemas.openxmlformats.org/spreadsheetml/2006/main" r="Y303" t="str" s="11">
        <x:v>C:\Users\Nomatin\Documents\Altium\MY_LIB\MY_LIB\Datasheets\YAGEO_RC_L.pdf</x:v>
      </x:c>
      <ns0:c xmlns:ns0="http://schemas.openxmlformats.org/spreadsheetml/2006/main" r="Z303" s="16" t="inlineStr">
        <ns0:is>
          <ns0:t>MY_LIB_R_TCR</ns0:t>
        </ns0:is>
      </ns0:c>
      <ns0:c xmlns:ns0="http://schemas.openxmlformats.org/spreadsheetml/2006/main" r="AA303" s="16" t="inlineStr">
        <ns0:is>
          <ns0:t>R(T), +200 ppm/C at 25 C; positive datasheet limit</ns0:t>
        </ns0:is>
      </ns0:c>
      <ns0:c xmlns:ns0="http://schemas.openxmlformats.org/spreadsheetml/2006/main" r="AB303" s="16" t="str">
        <ns0:v>General</ns0:v>
      </ns0:c>
      <ns0:c xmlns:ns0="http://schemas.openxmlformats.org/spreadsheetml/2006/main" r="AC303" s="16" t="inlineStr">
        <ns0:is>
          <ns0:t>Spice Subcircuit</ns0:t>
        </ns0:is>
      </ns0:c>
      <ns0:c xmlns:ns0="http://schemas.openxmlformats.org/spreadsheetml/2006/main" r="AD303" s="16" t="inlineStr">
        <ns0:is>
          <ns0:t>@DESIGNATOR %1 %2 @MODEL PARAMS: Rvalue=@VALUE TC1value=200u</ns0:t>
        </ns0:is>
      </ns0:c>
      <ns0:c xmlns:ns0="http://schemas.openxmlformats.org/spreadsheetml/2006/main" r="AE303" s="16" t="inlineStr">
        <ns0:is>
          <ns0:t>X</ns0:t>
        </ns0:is>
      </ns0:c>
      <ns0:c xmlns:ns0="http://schemas.openxmlformats.org/spreadsheetml/2006/main" r="AF303" s="16" t="str">
        <ns0:v>(1:1),(2:2)</ns0:v>
      </ns0:c>
      <ns0:c xmlns:ns0="http://schemas.openxmlformats.org/spreadsheetml/2006/main" r="AG303" s="16" t="inlineStr">
        <ns0:is>
          <ns0:t>Simulation\Resistors\MY_LIB_R_TCR.ckt</ns0:t>
        </ns0:is>
      </ns0:c>
      <ns0:c xmlns:ns0="http://schemas.openxmlformats.org/spreadsheetml/2006/main" r="AH303" s="16" t="inlineStr">
        <ns0:is>
          <ns0:t>±200 ppm/°C</ns0:t>
        </ns0:is>
      </ns0:c>
    </ns0:row>
    <ns0:row xmlns:ns0="http://schemas.openxmlformats.org/spreadsheetml/2006/main" r="304" ht="30" customHeight="1">
      <ns0:c r="A304" t="str" s="10">
        <ns0:v>R0310</ns0:v>
      </ns0:c>
      <ns0:c r="B304" t="str" s="10">
        <ns0:v>Резистор</ns0:v>
      </ns0:c>
      <ns0:c r="C304" t="str" s="10">
        <ns0:v>2.7R</ns0:v>
      </ns0:c>
      <ns0:c r="D304" t="str" s="11">
        <ns0:f>SUBSTITUTE(SUBSTITUTE(SUBSTITUTE(SUBSTITUTE(C304,"meg"," МОм"),"k"," кОм"),"R"," Ом"),".",",")</ns0:f>
        <ns0:v>2,7 Ом</ns0:v>
      </ns0:c>
      <ns0:c r="E304" t="str" s="10">
        <ns0:v>±1%</ns0:v>
      </ns0:c>
      <ns0:c r="F304" t="str" s="10">
        <ns0:v>0,1 Вт</ns0:v>
      </ns0:c>
      <ns0:c r="G304" t="str" s="10">
        <ns0:v>75 В макс.</ns0:v>
      </ns0:c>
      <ns0:c r="H304" t="str" s="12">
        <ns0:v>0603</ns0:v>
      </ns0:c>
      <ns0:c r="I304" t="str" s="10">
        <ns0:v>YAGEO</ns0:v>
      </ns0:c>
      <ns0:c r="J304" t="str" s="10">
        <ns0:v>RC0603FR-072R7L</ns0:v>
      </ns0:c>
      <ns0:c r="K304" t="str" s="11">
        <ns0:f>B304&amp;" "&amp;D304&amp;" "&amp;E304&amp;" "&amp;H304</ns0:f>
        <ns0:v>Резистор 2,7 Ом ±1% 0603</ns0:v>
      </ns0:c>
      <ns0:c r="L304" t="str" s="13">
        <ns0:v>R</ns0:v>
      </ns0:c>
      <ns0:c r="M304" t="str" s="13">
        <ns0:v>Symbols\MY_LIB_Resistors.SchLib</ns0:v>
      </ns0:c>
      <ns0:c r="N304" t="str" s="13">
        <ns0:v>RESC1608X55N</ns0:v>
      </ns0:c>
      <ns0:c r="O304" t="str" s="13">
        <ns0:v>Footprints\PBL - SMD Packages.PcbLib</ns0:v>
      </ns0:c>
      <ns0:c xmlns:ns0="http://schemas.openxmlformats.org/spreadsheetml/2006/main" r="P304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4" s="10"/>
      <ns0:c r="R304" t="str" s="11">
        <ns0:f>D304</ns0:f>
        <ns0:v>2,7 Ом</ns0:v>
      </ns0:c>
      <ns0:c r="S304" t="str" s="11">
        <ns0:f>K304</ns0:f>
        <ns0:v>Резистор 2,7 Ом ±1% 0603</ns0:v>
      </ns0:c>
      <x:c xmlns:x="http://schemas.openxmlformats.org/spreadsheetml/2006/main" r="T304" t="str" s="11">
        <x:v>C:\Users\Nomatin\Documents\Altium\MY_LIB\MY_LIB\Datasheets\YAGEO_RC_L.pdf</x:v>
      </x:c>
      <x:c xmlns:x="http://schemas.openxmlformats.org/spreadsheetml/2006/main" r="U304" t="str" s="11">
        <x:v>Даташит — локальный</x:v>
      </x:c>
      <x:c xmlns:x="http://schemas.openxmlformats.org/spreadsheetml/2006/main" r="V304" t="str" s="11">
        <x:v>C:\Users\Nomatin\Documents\Altium\MY_LIB\MY_LIB\Datasheets\YAGEO_RC_L.pdf</x:v>
      </x:c>
      <x:c xmlns:x="http://schemas.openxmlformats.org/spreadsheetml/2006/main" r="W304" t="str" s="11">
        <x:v>Даташит — производитель</x:v>
      </x:c>
      <x:c xmlns:x="http://schemas.openxmlformats.org/spreadsheetml/2006/main" r="X304" t="str" s="11">
        <x:v>https://yageogroup.com/content/datasheet/asset/file/PYU-RC_GROUP_51_ROHS_L</x:v>
      </x:c>
      <x:c xmlns:x="http://schemas.openxmlformats.org/spreadsheetml/2006/main" r="Y304" t="str" s="11">
        <x:v>C:\Users\Nomatin\Documents\Altium\MY_LIB\MY_LIB\Datasheets\YAGEO_RC_L.pdf</x:v>
      </x:c>
      <ns0:c xmlns:ns0="http://schemas.openxmlformats.org/spreadsheetml/2006/main" r="Z304" s="16" t="inlineStr">
        <ns0:is>
          <ns0:t>MY_LIB_R_TCR</ns0:t>
        </ns0:is>
      </ns0:c>
      <ns0:c xmlns:ns0="http://schemas.openxmlformats.org/spreadsheetml/2006/main" r="AA304" s="16" t="inlineStr">
        <ns0:is>
          <ns0:t>R(T), +200 ppm/C at 25 C; positive datasheet limit</ns0:t>
        </ns0:is>
      </ns0:c>
      <ns0:c xmlns:ns0="http://schemas.openxmlformats.org/spreadsheetml/2006/main" r="AB304" s="16" t="str">
        <ns0:v>General</ns0:v>
      </ns0:c>
      <ns0:c xmlns:ns0="http://schemas.openxmlformats.org/spreadsheetml/2006/main" r="AC304" s="16" t="inlineStr">
        <ns0:is>
          <ns0:t>Spice Subcircuit</ns0:t>
        </ns0:is>
      </ns0:c>
      <ns0:c xmlns:ns0="http://schemas.openxmlformats.org/spreadsheetml/2006/main" r="AD304" s="16" t="inlineStr">
        <ns0:is>
          <ns0:t>@DESIGNATOR %1 %2 @MODEL PARAMS: Rvalue=@VALUE TC1value=200u</ns0:t>
        </ns0:is>
      </ns0:c>
      <ns0:c xmlns:ns0="http://schemas.openxmlformats.org/spreadsheetml/2006/main" r="AE304" s="16" t="inlineStr">
        <ns0:is>
          <ns0:t>X</ns0:t>
        </ns0:is>
      </ns0:c>
      <ns0:c xmlns:ns0="http://schemas.openxmlformats.org/spreadsheetml/2006/main" r="AF304" s="16" t="str">
        <ns0:v>(1:1),(2:2)</ns0:v>
      </ns0:c>
      <ns0:c xmlns:ns0="http://schemas.openxmlformats.org/spreadsheetml/2006/main" r="AG304" s="16" t="inlineStr">
        <ns0:is>
          <ns0:t>Simulation\Resistors\MY_LIB_R_TCR.ckt</ns0:t>
        </ns0:is>
      </ns0:c>
      <ns0:c xmlns:ns0="http://schemas.openxmlformats.org/spreadsheetml/2006/main" r="AH304" s="16" t="inlineStr">
        <ns0:is>
          <ns0:t>±200 ppm/°C</ns0:t>
        </ns0:is>
      </ns0:c>
    </ns0:row>
    <ns0:row xmlns:ns0="http://schemas.openxmlformats.org/spreadsheetml/2006/main" r="305" ht="30" customHeight="1">
      <ns0:c r="A305" t="str" s="10">
        <ns0:v>R0311</ns0:v>
      </ns0:c>
      <ns0:c r="B305" t="str" s="10">
        <ns0:v>Резистор</ns0:v>
      </ns0:c>
      <ns0:c r="C305" t="str" s="10">
        <ns0:v>3R</ns0:v>
      </ns0:c>
      <ns0:c r="D305" t="str" s="11">
        <ns0:f>SUBSTITUTE(SUBSTITUTE(SUBSTITUTE(SUBSTITUTE(C305,"meg"," МОм"),"k"," кОм"),"R"," Ом"),".",",")</ns0:f>
        <ns0:v>3 Ом</ns0:v>
      </ns0:c>
      <ns0:c r="E305" t="str" s="10">
        <ns0:v>±1%</ns0:v>
      </ns0:c>
      <ns0:c r="F305" t="str" s="10">
        <ns0:v>0,1 Вт</ns0:v>
      </ns0:c>
      <ns0:c r="G305" t="str" s="10">
        <ns0:v>75 В макс.</ns0:v>
      </ns0:c>
      <ns0:c r="H305" t="str" s="12">
        <ns0:v>0603</ns0:v>
      </ns0:c>
      <ns0:c r="I305" t="str" s="10">
        <ns0:v>YAGEO</ns0:v>
      </ns0:c>
      <ns0:c r="J305" t="str" s="10">
        <ns0:v>RC0603FR-073RL</ns0:v>
      </ns0:c>
      <ns0:c r="K305" t="str" s="11">
        <ns0:f>B305&amp;" "&amp;D305&amp;" "&amp;E305&amp;" "&amp;H305</ns0:f>
        <ns0:v>Резистор 3 Ом ±1% 0603</ns0:v>
      </ns0:c>
      <ns0:c r="L305" t="str" s="13">
        <ns0:v>R</ns0:v>
      </ns0:c>
      <ns0:c r="M305" t="str" s="13">
        <ns0:v>Symbols\MY_LIB_Resistors.SchLib</ns0:v>
      </ns0:c>
      <ns0:c r="N305" t="str" s="13">
        <ns0:v>RESC1608X55N</ns0:v>
      </ns0:c>
      <ns0:c r="O305" t="str" s="13">
        <ns0:v>Footprints\PBL - SMD Packages.PcbLib</ns0:v>
      </ns0:c>
      <ns0:c xmlns:ns0="http://schemas.openxmlformats.org/spreadsheetml/2006/main" r="P305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5" s="10"/>
      <ns0:c r="R305" t="str" s="11">
        <ns0:f>D305</ns0:f>
        <ns0:v>3 Ом</ns0:v>
      </ns0:c>
      <ns0:c r="S305" t="str" s="11">
        <ns0:f>K305</ns0:f>
        <ns0:v>Резистор 3 Ом ±1% 0603</ns0:v>
      </ns0:c>
      <x:c xmlns:x="http://schemas.openxmlformats.org/spreadsheetml/2006/main" r="T305" t="str" s="11">
        <x:v>C:\Users\Nomatin\Documents\Altium\MY_LIB\MY_LIB\Datasheets\YAGEO_RC_L.pdf</x:v>
      </x:c>
      <x:c xmlns:x="http://schemas.openxmlformats.org/spreadsheetml/2006/main" r="U305" t="str" s="11">
        <x:v>Даташит — локальный</x:v>
      </x:c>
      <x:c xmlns:x="http://schemas.openxmlformats.org/spreadsheetml/2006/main" r="V305" t="str" s="11">
        <x:v>C:\Users\Nomatin\Documents\Altium\MY_LIB\MY_LIB\Datasheets\YAGEO_RC_L.pdf</x:v>
      </x:c>
      <x:c xmlns:x="http://schemas.openxmlformats.org/spreadsheetml/2006/main" r="W305" t="str" s="11">
        <x:v>Даташит — производитель</x:v>
      </x:c>
      <x:c xmlns:x="http://schemas.openxmlformats.org/spreadsheetml/2006/main" r="X305" t="str" s="11">
        <x:v>https://yageogroup.com/content/datasheet/asset/file/PYU-RC_GROUP_51_ROHS_L</x:v>
      </x:c>
      <x:c xmlns:x="http://schemas.openxmlformats.org/spreadsheetml/2006/main" r="Y305" t="str" s="11">
        <x:v>C:\Users\Nomatin\Documents\Altium\MY_LIB\MY_LIB\Datasheets\YAGEO_RC_L.pdf</x:v>
      </x:c>
      <ns0:c xmlns:ns0="http://schemas.openxmlformats.org/spreadsheetml/2006/main" r="Z305" s="16" t="inlineStr">
        <ns0:is>
          <ns0:t>MY_LIB_R_TCR</ns0:t>
        </ns0:is>
      </ns0:c>
      <ns0:c xmlns:ns0="http://schemas.openxmlformats.org/spreadsheetml/2006/main" r="AA305" s="16" t="inlineStr">
        <ns0:is>
          <ns0:t>R(T), +200 ppm/C at 25 C; positive datasheet limit</ns0:t>
        </ns0:is>
      </ns0:c>
      <ns0:c xmlns:ns0="http://schemas.openxmlformats.org/spreadsheetml/2006/main" r="AB305" s="16" t="str">
        <ns0:v>General</ns0:v>
      </ns0:c>
      <ns0:c xmlns:ns0="http://schemas.openxmlformats.org/spreadsheetml/2006/main" r="AC305" s="16" t="inlineStr">
        <ns0:is>
          <ns0:t>Spice Subcircuit</ns0:t>
        </ns0:is>
      </ns0:c>
      <ns0:c xmlns:ns0="http://schemas.openxmlformats.org/spreadsheetml/2006/main" r="AD305" s="16" t="inlineStr">
        <ns0:is>
          <ns0:t>@DESIGNATOR %1 %2 @MODEL PARAMS: Rvalue=@VALUE TC1value=200u</ns0:t>
        </ns0:is>
      </ns0:c>
      <ns0:c xmlns:ns0="http://schemas.openxmlformats.org/spreadsheetml/2006/main" r="AE305" s="16" t="inlineStr">
        <ns0:is>
          <ns0:t>X</ns0:t>
        </ns0:is>
      </ns0:c>
      <ns0:c xmlns:ns0="http://schemas.openxmlformats.org/spreadsheetml/2006/main" r="AF305" s="16" t="str">
        <ns0:v>(1:1),(2:2)</ns0:v>
      </ns0:c>
      <ns0:c xmlns:ns0="http://schemas.openxmlformats.org/spreadsheetml/2006/main" r="AG305" s="16" t="inlineStr">
        <ns0:is>
          <ns0:t>Simulation\Resistors\MY_LIB_R_TCR.ckt</ns0:t>
        </ns0:is>
      </ns0:c>
      <ns0:c xmlns:ns0="http://schemas.openxmlformats.org/spreadsheetml/2006/main" r="AH305" s="16" t="inlineStr">
        <ns0:is>
          <ns0:t>±200 ppm/°C</ns0:t>
        </ns0:is>
      </ns0:c>
    </ns0:row>
    <ns0:row xmlns:ns0="http://schemas.openxmlformats.org/spreadsheetml/2006/main" r="306" ht="30" customHeight="1">
      <ns0:c r="A306" t="str" s="10">
        <ns0:v>R0312</ns0:v>
      </ns0:c>
      <ns0:c r="B306" t="str" s="10">
        <ns0:v>Резистор</ns0:v>
      </ns0:c>
      <ns0:c r="C306" t="str" s="10">
        <ns0:v>3.3R</ns0:v>
      </ns0:c>
      <ns0:c r="D306" t="str" s="11">
        <ns0:f>SUBSTITUTE(SUBSTITUTE(SUBSTITUTE(SUBSTITUTE(C306,"meg"," МОм"),"k"," кОм"),"R"," Ом"),".",",")</ns0:f>
        <ns0:v>3,3 Ом</ns0:v>
      </ns0:c>
      <ns0:c r="E306" t="str" s="10">
        <ns0:v>±1%</ns0:v>
      </ns0:c>
      <ns0:c r="F306" t="str" s="10">
        <ns0:v>0,1 Вт</ns0:v>
      </ns0:c>
      <ns0:c r="G306" t="str" s="10">
        <ns0:v>75 В макс.</ns0:v>
      </ns0:c>
      <ns0:c r="H306" t="str" s="12">
        <ns0:v>0603</ns0:v>
      </ns0:c>
      <ns0:c r="I306" t="str" s="10">
        <ns0:v>YAGEO</ns0:v>
      </ns0:c>
      <ns0:c r="J306" t="str" s="10">
        <ns0:v>RC0603FR-073R3L</ns0:v>
      </ns0:c>
      <ns0:c r="K306" t="str" s="11">
        <ns0:f>B306&amp;" "&amp;D306&amp;" "&amp;E306&amp;" "&amp;H306</ns0:f>
        <ns0:v>Резистор 3,3 Ом ±1% 0603</ns0:v>
      </ns0:c>
      <ns0:c r="L306" t="str" s="13">
        <ns0:v>R</ns0:v>
      </ns0:c>
      <ns0:c r="M306" t="str" s="13">
        <ns0:v>Symbols\MY_LIB_Resistors.SchLib</ns0:v>
      </ns0:c>
      <ns0:c r="N306" t="str" s="13">
        <ns0:v>RESC1608X55N</ns0:v>
      </ns0:c>
      <ns0:c r="O306" t="str" s="13">
        <ns0:v>Footprints\PBL - SMD Packages.PcbLib</ns0:v>
      </ns0:c>
      <ns0:c xmlns:ns0="http://schemas.openxmlformats.org/spreadsheetml/2006/main" r="P306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6" s="10"/>
      <ns0:c r="R306" t="str" s="11">
        <ns0:f>D306</ns0:f>
        <ns0:v>3,3 Ом</ns0:v>
      </ns0:c>
      <ns0:c r="S306" t="str" s="11">
        <ns0:f>K306</ns0:f>
        <ns0:v>Резистор 3,3 Ом ±1% 0603</ns0:v>
      </ns0:c>
      <x:c xmlns:x="http://schemas.openxmlformats.org/spreadsheetml/2006/main" r="T306" t="str" s="11">
        <x:v>C:\Users\Nomatin\Documents\Altium\MY_LIB\MY_LIB\Datasheets\YAGEO_RC_L.pdf</x:v>
      </x:c>
      <x:c xmlns:x="http://schemas.openxmlformats.org/spreadsheetml/2006/main" r="U306" t="str" s="11">
        <x:v>Даташит — локальный</x:v>
      </x:c>
      <x:c xmlns:x="http://schemas.openxmlformats.org/spreadsheetml/2006/main" r="V306" t="str" s="11">
        <x:v>C:\Users\Nomatin\Documents\Altium\MY_LIB\MY_LIB\Datasheets\YAGEO_RC_L.pdf</x:v>
      </x:c>
      <x:c xmlns:x="http://schemas.openxmlformats.org/spreadsheetml/2006/main" r="W306" t="str" s="11">
        <x:v>Даташит — производитель</x:v>
      </x:c>
      <x:c xmlns:x="http://schemas.openxmlformats.org/spreadsheetml/2006/main" r="X306" t="str" s="11">
        <x:v>https://yageogroup.com/content/datasheet/asset/file/PYU-RC_GROUP_51_ROHS_L</x:v>
      </x:c>
      <x:c xmlns:x="http://schemas.openxmlformats.org/spreadsheetml/2006/main" r="Y306" t="str" s="11">
        <x:v>C:\Users\Nomatin\Documents\Altium\MY_LIB\MY_LIB\Datasheets\YAGEO_RC_L.pdf</x:v>
      </x:c>
      <ns0:c xmlns:ns0="http://schemas.openxmlformats.org/spreadsheetml/2006/main" r="Z306" s="16" t="inlineStr">
        <ns0:is>
          <ns0:t>MY_LIB_R_TCR</ns0:t>
        </ns0:is>
      </ns0:c>
      <ns0:c xmlns:ns0="http://schemas.openxmlformats.org/spreadsheetml/2006/main" r="AA306" s="16" t="inlineStr">
        <ns0:is>
          <ns0:t>R(T), +200 ppm/C at 25 C; positive datasheet limit</ns0:t>
        </ns0:is>
      </ns0:c>
      <ns0:c xmlns:ns0="http://schemas.openxmlformats.org/spreadsheetml/2006/main" r="AB306" s="16" t="str">
        <ns0:v>General</ns0:v>
      </ns0:c>
      <ns0:c xmlns:ns0="http://schemas.openxmlformats.org/spreadsheetml/2006/main" r="AC306" s="16" t="inlineStr">
        <ns0:is>
          <ns0:t>Spice Subcircuit</ns0:t>
        </ns0:is>
      </ns0:c>
      <ns0:c xmlns:ns0="http://schemas.openxmlformats.org/spreadsheetml/2006/main" r="AD306" s="16" t="inlineStr">
        <ns0:is>
          <ns0:t>@DESIGNATOR %1 %2 @MODEL PARAMS: Rvalue=@VALUE TC1value=200u</ns0:t>
        </ns0:is>
      </ns0:c>
      <ns0:c xmlns:ns0="http://schemas.openxmlformats.org/spreadsheetml/2006/main" r="AE306" s="16" t="inlineStr">
        <ns0:is>
          <ns0:t>X</ns0:t>
        </ns0:is>
      </ns0:c>
      <ns0:c xmlns:ns0="http://schemas.openxmlformats.org/spreadsheetml/2006/main" r="AF306" s="16" t="str">
        <ns0:v>(1:1),(2:2)</ns0:v>
      </ns0:c>
      <ns0:c xmlns:ns0="http://schemas.openxmlformats.org/spreadsheetml/2006/main" r="AG306" s="16" t="inlineStr">
        <ns0:is>
          <ns0:t>Simulation\Resistors\MY_LIB_R_TCR.ckt</ns0:t>
        </ns0:is>
      </ns0:c>
      <ns0:c xmlns:ns0="http://schemas.openxmlformats.org/spreadsheetml/2006/main" r="AH306" s="16" t="inlineStr">
        <ns0:is>
          <ns0:t>±200 ppm/°C</ns0:t>
        </ns0:is>
      </ns0:c>
    </ns0:row>
    <ns0:row xmlns:ns0="http://schemas.openxmlformats.org/spreadsheetml/2006/main" r="307" ht="30" customHeight="1">
      <ns0:c r="A307" t="str" s="10">
        <ns0:v>R0313</ns0:v>
      </ns0:c>
      <ns0:c r="B307" t="str" s="10">
        <ns0:v>Резистор</ns0:v>
      </ns0:c>
      <ns0:c r="C307" t="str" s="10">
        <ns0:v>3.6R</ns0:v>
      </ns0:c>
      <ns0:c r="D307" t="str" s="11">
        <ns0:f>SUBSTITUTE(SUBSTITUTE(SUBSTITUTE(SUBSTITUTE(C307,"meg"," МОм"),"k"," кОм"),"R"," Ом"),".",",")</ns0:f>
        <ns0:v>3,6 Ом</ns0:v>
      </ns0:c>
      <ns0:c r="E307" t="str" s="10">
        <ns0:v>±1%</ns0:v>
      </ns0:c>
      <ns0:c r="F307" t="str" s="10">
        <ns0:v>0,1 Вт</ns0:v>
      </ns0:c>
      <ns0:c r="G307" t="str" s="10">
        <ns0:v>75 В макс.</ns0:v>
      </ns0:c>
      <ns0:c r="H307" t="str" s="12">
        <ns0:v>0603</ns0:v>
      </ns0:c>
      <ns0:c r="I307" t="str" s="10">
        <ns0:v>YAGEO</ns0:v>
      </ns0:c>
      <ns0:c r="J307" t="str" s="10">
        <ns0:v>RC0603FR-073R6L</ns0:v>
      </ns0:c>
      <ns0:c r="K307" t="str" s="11">
        <ns0:f>B307&amp;" "&amp;D307&amp;" "&amp;E307&amp;" "&amp;H307</ns0:f>
        <ns0:v>Резистор 3,6 Ом ±1% 0603</ns0:v>
      </ns0:c>
      <ns0:c r="L307" t="str" s="13">
        <ns0:v>R</ns0:v>
      </ns0:c>
      <ns0:c r="M307" t="str" s="13">
        <ns0:v>Symbols\MY_LIB_Resistors.SchLib</ns0:v>
      </ns0:c>
      <ns0:c r="N307" t="str" s="13">
        <ns0:v>RESC1608X55N</ns0:v>
      </ns0:c>
      <ns0:c r="O307" t="str" s="13">
        <ns0:v>Footprints\PBL - SMD Packages.PcbLib</ns0:v>
      </ns0:c>
      <ns0:c xmlns:ns0="http://schemas.openxmlformats.org/spreadsheetml/2006/main" r="P307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7" s="10"/>
      <ns0:c r="R307" t="str" s="11">
        <ns0:f>D307</ns0:f>
        <ns0:v>3,6 Ом</ns0:v>
      </ns0:c>
      <ns0:c r="S307" t="str" s="11">
        <ns0:f>K307</ns0:f>
        <ns0:v>Резистор 3,6 Ом ±1% 0603</ns0:v>
      </ns0:c>
      <x:c xmlns:x="http://schemas.openxmlformats.org/spreadsheetml/2006/main" r="T307" t="str" s="11">
        <x:v>C:\Users\Nomatin\Documents\Altium\MY_LIB\MY_LIB\Datasheets\YAGEO_RC_L.pdf</x:v>
      </x:c>
      <x:c xmlns:x="http://schemas.openxmlformats.org/spreadsheetml/2006/main" r="U307" t="str" s="11">
        <x:v>Даташит — локальный</x:v>
      </x:c>
      <x:c xmlns:x="http://schemas.openxmlformats.org/spreadsheetml/2006/main" r="V307" t="str" s="11">
        <x:v>C:\Users\Nomatin\Documents\Altium\MY_LIB\MY_LIB\Datasheets\YAGEO_RC_L.pdf</x:v>
      </x:c>
      <x:c xmlns:x="http://schemas.openxmlformats.org/spreadsheetml/2006/main" r="W307" t="str" s="11">
        <x:v>Даташит — производитель</x:v>
      </x:c>
      <x:c xmlns:x="http://schemas.openxmlformats.org/spreadsheetml/2006/main" r="X307" t="str" s="11">
        <x:v>https://yageogroup.com/content/datasheet/asset/file/PYU-RC_GROUP_51_ROHS_L</x:v>
      </x:c>
      <x:c xmlns:x="http://schemas.openxmlformats.org/spreadsheetml/2006/main" r="Y307" t="str" s="11">
        <x:v>C:\Users\Nomatin\Documents\Altium\MY_LIB\MY_LIB\Datasheets\YAGEO_RC_L.pdf</x:v>
      </x:c>
      <ns0:c xmlns:ns0="http://schemas.openxmlformats.org/spreadsheetml/2006/main" r="Z307" s="16" t="inlineStr">
        <ns0:is>
          <ns0:t>MY_LIB_R_TCR</ns0:t>
        </ns0:is>
      </ns0:c>
      <ns0:c xmlns:ns0="http://schemas.openxmlformats.org/spreadsheetml/2006/main" r="AA307" s="16" t="inlineStr">
        <ns0:is>
          <ns0:t>R(T), +200 ppm/C at 25 C; positive datasheet limit</ns0:t>
        </ns0:is>
      </ns0:c>
      <ns0:c xmlns:ns0="http://schemas.openxmlformats.org/spreadsheetml/2006/main" r="AB307" s="16" t="str">
        <ns0:v>General</ns0:v>
      </ns0:c>
      <ns0:c xmlns:ns0="http://schemas.openxmlformats.org/spreadsheetml/2006/main" r="AC307" s="16" t="inlineStr">
        <ns0:is>
          <ns0:t>Spice Subcircuit</ns0:t>
        </ns0:is>
      </ns0:c>
      <ns0:c xmlns:ns0="http://schemas.openxmlformats.org/spreadsheetml/2006/main" r="AD307" s="16" t="inlineStr">
        <ns0:is>
          <ns0:t>@DESIGNATOR %1 %2 @MODEL PARAMS: Rvalue=@VALUE TC1value=200u</ns0:t>
        </ns0:is>
      </ns0:c>
      <ns0:c xmlns:ns0="http://schemas.openxmlformats.org/spreadsheetml/2006/main" r="AE307" s="16" t="inlineStr">
        <ns0:is>
          <ns0:t>X</ns0:t>
        </ns0:is>
      </ns0:c>
      <ns0:c xmlns:ns0="http://schemas.openxmlformats.org/spreadsheetml/2006/main" r="AF307" s="16" t="str">
        <ns0:v>(1:1),(2:2)</ns0:v>
      </ns0:c>
      <ns0:c xmlns:ns0="http://schemas.openxmlformats.org/spreadsheetml/2006/main" r="AG307" s="16" t="inlineStr">
        <ns0:is>
          <ns0:t>Simulation\Resistors\MY_LIB_R_TCR.ckt</ns0:t>
        </ns0:is>
      </ns0:c>
      <ns0:c xmlns:ns0="http://schemas.openxmlformats.org/spreadsheetml/2006/main" r="AH307" s="16" t="inlineStr">
        <ns0:is>
          <ns0:t>±200 ppm/°C</ns0:t>
        </ns0:is>
      </ns0:c>
    </ns0:row>
    <ns0:row xmlns:ns0="http://schemas.openxmlformats.org/spreadsheetml/2006/main" r="308" ht="30" customHeight="1">
      <ns0:c r="A308" t="str" s="10">
        <ns0:v>R0314</ns0:v>
      </ns0:c>
      <ns0:c r="B308" t="str" s="10">
        <ns0:v>Резистор</ns0:v>
      </ns0:c>
      <ns0:c r="C308" t="str" s="10">
        <ns0:v>3.9R</ns0:v>
      </ns0:c>
      <ns0:c r="D308" t="str" s="11">
        <ns0:f>SUBSTITUTE(SUBSTITUTE(SUBSTITUTE(SUBSTITUTE(C308,"meg"," МОм"),"k"," кОм"),"R"," Ом"),".",",")</ns0:f>
        <ns0:v>3,9 Ом</ns0:v>
      </ns0:c>
      <ns0:c r="E308" t="str" s="10">
        <ns0:v>±1%</ns0:v>
      </ns0:c>
      <ns0:c r="F308" t="str" s="10">
        <ns0:v>0,1 Вт</ns0:v>
      </ns0:c>
      <ns0:c r="G308" t="str" s="10">
        <ns0:v>75 В макс.</ns0:v>
      </ns0:c>
      <ns0:c r="H308" t="str" s="12">
        <ns0:v>0603</ns0:v>
      </ns0:c>
      <ns0:c r="I308" t="str" s="10">
        <ns0:v>YAGEO</ns0:v>
      </ns0:c>
      <ns0:c r="J308" t="str" s="10">
        <ns0:v>RC0603FR-073R9L</ns0:v>
      </ns0:c>
      <ns0:c r="K308" t="str" s="11">
        <ns0:f>B308&amp;" "&amp;D308&amp;" "&amp;E308&amp;" "&amp;H308</ns0:f>
        <ns0:v>Резистор 3,9 Ом ±1% 0603</ns0:v>
      </ns0:c>
      <ns0:c r="L308" t="str" s="13">
        <ns0:v>R</ns0:v>
      </ns0:c>
      <ns0:c r="M308" t="str" s="13">
        <ns0:v>Symbols\MY_LIB_Resistors.SchLib</ns0:v>
      </ns0:c>
      <ns0:c r="N308" t="str" s="13">
        <ns0:v>RESC1608X55N</ns0:v>
      </ns0:c>
      <ns0:c r="O308" t="str" s="13">
        <ns0:v>Footprints\PBL - SMD Packages.PcbLib</ns0:v>
      </ns0:c>
      <ns0:c xmlns:ns0="http://schemas.openxmlformats.org/spreadsheetml/2006/main" r="P308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8" s="10"/>
      <ns0:c r="R308" t="str" s="11">
        <ns0:f>D308</ns0:f>
        <ns0:v>3,9 Ом</ns0:v>
      </ns0:c>
      <ns0:c r="S308" t="str" s="11">
        <ns0:f>K308</ns0:f>
        <ns0:v>Резистор 3,9 Ом ±1% 0603</ns0:v>
      </ns0:c>
      <x:c xmlns:x="http://schemas.openxmlformats.org/spreadsheetml/2006/main" r="T308" t="str" s="11">
        <x:v>C:\Users\Nomatin\Documents\Altium\MY_LIB\MY_LIB\Datasheets\YAGEO_RC_L.pdf</x:v>
      </x:c>
      <x:c xmlns:x="http://schemas.openxmlformats.org/spreadsheetml/2006/main" r="U308" t="str" s="11">
        <x:v>Даташит — локальный</x:v>
      </x:c>
      <x:c xmlns:x="http://schemas.openxmlformats.org/spreadsheetml/2006/main" r="V308" t="str" s="11">
        <x:v>C:\Users\Nomatin\Documents\Altium\MY_LIB\MY_LIB\Datasheets\YAGEO_RC_L.pdf</x:v>
      </x:c>
      <x:c xmlns:x="http://schemas.openxmlformats.org/spreadsheetml/2006/main" r="W308" t="str" s="11">
        <x:v>Даташит — производитель</x:v>
      </x:c>
      <x:c xmlns:x="http://schemas.openxmlformats.org/spreadsheetml/2006/main" r="X308" t="str" s="11">
        <x:v>https://yageogroup.com/content/datasheet/asset/file/PYU-RC_GROUP_51_ROHS_L</x:v>
      </x:c>
      <x:c xmlns:x="http://schemas.openxmlformats.org/spreadsheetml/2006/main" r="Y308" t="str" s="11">
        <x:v>C:\Users\Nomatin\Documents\Altium\MY_LIB\MY_LIB\Datasheets\YAGEO_RC_L.pdf</x:v>
      </x:c>
      <ns0:c xmlns:ns0="http://schemas.openxmlformats.org/spreadsheetml/2006/main" r="Z308" s="16" t="inlineStr">
        <ns0:is>
          <ns0:t>MY_LIB_R_TCR</ns0:t>
        </ns0:is>
      </ns0:c>
      <ns0:c xmlns:ns0="http://schemas.openxmlformats.org/spreadsheetml/2006/main" r="AA308" s="16" t="inlineStr">
        <ns0:is>
          <ns0:t>R(T), +200 ppm/C at 25 C; positive datasheet limit</ns0:t>
        </ns0:is>
      </ns0:c>
      <ns0:c xmlns:ns0="http://schemas.openxmlformats.org/spreadsheetml/2006/main" r="AB308" s="16" t="str">
        <ns0:v>General</ns0:v>
      </ns0:c>
      <ns0:c xmlns:ns0="http://schemas.openxmlformats.org/spreadsheetml/2006/main" r="AC308" s="16" t="inlineStr">
        <ns0:is>
          <ns0:t>Spice Subcircuit</ns0:t>
        </ns0:is>
      </ns0:c>
      <ns0:c xmlns:ns0="http://schemas.openxmlformats.org/spreadsheetml/2006/main" r="AD308" s="16" t="inlineStr">
        <ns0:is>
          <ns0:t>@DESIGNATOR %1 %2 @MODEL PARAMS: Rvalue=@VALUE TC1value=200u</ns0:t>
        </ns0:is>
      </ns0:c>
      <ns0:c xmlns:ns0="http://schemas.openxmlformats.org/spreadsheetml/2006/main" r="AE308" s="16" t="inlineStr">
        <ns0:is>
          <ns0:t>X</ns0:t>
        </ns0:is>
      </ns0:c>
      <ns0:c xmlns:ns0="http://schemas.openxmlformats.org/spreadsheetml/2006/main" r="AF308" s="16" t="str">
        <ns0:v>(1:1),(2:2)</ns0:v>
      </ns0:c>
      <ns0:c xmlns:ns0="http://schemas.openxmlformats.org/spreadsheetml/2006/main" r="AG308" s="16" t="inlineStr">
        <ns0:is>
          <ns0:t>Simulation\Resistors\MY_LIB_R_TCR.ckt</ns0:t>
        </ns0:is>
      </ns0:c>
      <ns0:c xmlns:ns0="http://schemas.openxmlformats.org/spreadsheetml/2006/main" r="AH308" s="16" t="inlineStr">
        <ns0:is>
          <ns0:t>±200 ppm/°C</ns0:t>
        </ns0:is>
      </ns0:c>
    </ns0:row>
    <ns0:row xmlns:ns0="http://schemas.openxmlformats.org/spreadsheetml/2006/main" r="309" ht="30" customHeight="1">
      <ns0:c r="A309" t="str" s="10">
        <ns0:v>R0315</ns0:v>
      </ns0:c>
      <ns0:c r="B309" t="str" s="10">
        <ns0:v>Резистор</ns0:v>
      </ns0:c>
      <ns0:c r="C309" t="str" s="10">
        <ns0:v>4.3R</ns0:v>
      </ns0:c>
      <ns0:c r="D309" t="str" s="11">
        <ns0:f>SUBSTITUTE(SUBSTITUTE(SUBSTITUTE(SUBSTITUTE(C309,"meg"," МОм"),"k"," кОм"),"R"," Ом"),".",",")</ns0:f>
        <ns0:v>4,3 Ом</ns0:v>
      </ns0:c>
      <ns0:c r="E309" t="str" s="10">
        <ns0:v>±1%</ns0:v>
      </ns0:c>
      <ns0:c r="F309" t="str" s="10">
        <ns0:v>0,1 Вт</ns0:v>
      </ns0:c>
      <ns0:c r="G309" t="str" s="10">
        <ns0:v>75 В макс.</ns0:v>
      </ns0:c>
      <ns0:c r="H309" t="str" s="12">
        <ns0:v>0603</ns0:v>
      </ns0:c>
      <ns0:c r="I309" t="str" s="10">
        <ns0:v>YAGEO</ns0:v>
      </ns0:c>
      <ns0:c r="J309" t="str" s="10">
        <ns0:v>RC0603FR-074R3L</ns0:v>
      </ns0:c>
      <ns0:c r="K309" t="str" s="11">
        <ns0:f>B309&amp;" "&amp;D309&amp;" "&amp;E309&amp;" "&amp;H309</ns0:f>
        <ns0:v>Резистор 4,3 Ом ±1% 0603</ns0:v>
      </ns0:c>
      <ns0:c r="L309" t="str" s="13">
        <ns0:v>R</ns0:v>
      </ns0:c>
      <ns0:c r="M309" t="str" s="13">
        <ns0:v>Symbols\MY_LIB_Resistors.SchLib</ns0:v>
      </ns0:c>
      <ns0:c r="N309" t="str" s="13">
        <ns0:v>RESC1608X55N</ns0:v>
      </ns0:c>
      <ns0:c r="O309" t="str" s="13">
        <ns0:v>Footprints\PBL - SMD Packages.PcbLib</ns0:v>
      </ns0:c>
      <ns0:c xmlns:ns0="http://schemas.openxmlformats.org/spreadsheetml/2006/main" r="P309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09" s="10"/>
      <ns0:c r="R309" t="str" s="11">
        <ns0:f>D309</ns0:f>
        <ns0:v>4,3 Ом</ns0:v>
      </ns0:c>
      <ns0:c r="S309" t="str" s="11">
        <ns0:f>K309</ns0:f>
        <ns0:v>Резистор 4,3 Ом ±1% 0603</ns0:v>
      </ns0:c>
      <x:c xmlns:x="http://schemas.openxmlformats.org/spreadsheetml/2006/main" r="T309" t="str" s="11">
        <x:v>C:\Users\Nomatin\Documents\Altium\MY_LIB\MY_LIB\Datasheets\YAGEO_RC_L.pdf</x:v>
      </x:c>
      <x:c xmlns:x="http://schemas.openxmlformats.org/spreadsheetml/2006/main" r="U309" t="str" s="11">
        <x:v>Даташит — локальный</x:v>
      </x:c>
      <x:c xmlns:x="http://schemas.openxmlformats.org/spreadsheetml/2006/main" r="V309" t="str" s="11">
        <x:v>C:\Users\Nomatin\Documents\Altium\MY_LIB\MY_LIB\Datasheets\YAGEO_RC_L.pdf</x:v>
      </x:c>
      <x:c xmlns:x="http://schemas.openxmlformats.org/spreadsheetml/2006/main" r="W309" t="str" s="11">
        <x:v>Даташит — производитель</x:v>
      </x:c>
      <x:c xmlns:x="http://schemas.openxmlformats.org/spreadsheetml/2006/main" r="X309" t="str" s="11">
        <x:v>https://yageogroup.com/content/datasheet/asset/file/PYU-RC_GROUP_51_ROHS_L</x:v>
      </x:c>
      <x:c xmlns:x="http://schemas.openxmlformats.org/spreadsheetml/2006/main" r="Y309" t="str" s="11">
        <x:v>C:\Users\Nomatin\Documents\Altium\MY_LIB\MY_LIB\Datasheets\YAGEO_RC_L.pdf</x:v>
      </x:c>
      <ns0:c xmlns:ns0="http://schemas.openxmlformats.org/spreadsheetml/2006/main" r="Z309" s="16" t="inlineStr">
        <ns0:is>
          <ns0:t>MY_LIB_R_TCR</ns0:t>
        </ns0:is>
      </ns0:c>
      <ns0:c xmlns:ns0="http://schemas.openxmlformats.org/spreadsheetml/2006/main" r="AA309" s="16" t="inlineStr">
        <ns0:is>
          <ns0:t>R(T), +200 ppm/C at 25 C; positive datasheet limit</ns0:t>
        </ns0:is>
      </ns0:c>
      <ns0:c xmlns:ns0="http://schemas.openxmlformats.org/spreadsheetml/2006/main" r="AB309" s="16" t="str">
        <ns0:v>General</ns0:v>
      </ns0:c>
      <ns0:c xmlns:ns0="http://schemas.openxmlformats.org/spreadsheetml/2006/main" r="AC309" s="16" t="inlineStr">
        <ns0:is>
          <ns0:t>Spice Subcircuit</ns0:t>
        </ns0:is>
      </ns0:c>
      <ns0:c xmlns:ns0="http://schemas.openxmlformats.org/spreadsheetml/2006/main" r="AD309" s="16" t="inlineStr">
        <ns0:is>
          <ns0:t>@DESIGNATOR %1 %2 @MODEL PARAMS: Rvalue=@VALUE TC1value=200u</ns0:t>
        </ns0:is>
      </ns0:c>
      <ns0:c xmlns:ns0="http://schemas.openxmlformats.org/spreadsheetml/2006/main" r="AE309" s="16" t="inlineStr">
        <ns0:is>
          <ns0:t>X</ns0:t>
        </ns0:is>
      </ns0:c>
      <ns0:c xmlns:ns0="http://schemas.openxmlformats.org/spreadsheetml/2006/main" r="AF309" s="16" t="str">
        <ns0:v>(1:1),(2:2)</ns0:v>
      </ns0:c>
      <ns0:c xmlns:ns0="http://schemas.openxmlformats.org/spreadsheetml/2006/main" r="AG309" s="16" t="inlineStr">
        <ns0:is>
          <ns0:t>Simulation\Resistors\MY_LIB_R_TCR.ckt</ns0:t>
        </ns0:is>
      </ns0:c>
      <ns0:c xmlns:ns0="http://schemas.openxmlformats.org/spreadsheetml/2006/main" r="AH309" s="16" t="inlineStr">
        <ns0:is>
          <ns0:t>±200 ppm/°C</ns0:t>
        </ns0:is>
      </ns0:c>
    </ns0:row>
    <ns0:row xmlns:ns0="http://schemas.openxmlformats.org/spreadsheetml/2006/main" r="310" ht="30" customHeight="1">
      <ns0:c r="A310" t="str" s="10">
        <ns0:v>R0316</ns0:v>
      </ns0:c>
      <ns0:c r="B310" t="str" s="10">
        <ns0:v>Резистор</ns0:v>
      </ns0:c>
      <ns0:c r="C310" t="str" s="10">
        <ns0:v>4.7R</ns0:v>
      </ns0:c>
      <ns0:c r="D310" t="str" s="11">
        <ns0:f>SUBSTITUTE(SUBSTITUTE(SUBSTITUTE(SUBSTITUTE(C310,"meg"," МОм"),"k"," кОм"),"R"," Ом"),".",",")</ns0:f>
        <ns0:v>4,7 Ом</ns0:v>
      </ns0:c>
      <ns0:c r="E310" t="str" s="10">
        <ns0:v>±1%</ns0:v>
      </ns0:c>
      <ns0:c r="F310" t="str" s="10">
        <ns0:v>0,1 Вт</ns0:v>
      </ns0:c>
      <ns0:c r="G310" t="str" s="10">
        <ns0:v>75 В макс.</ns0:v>
      </ns0:c>
      <ns0:c r="H310" t="str" s="12">
        <ns0:v>0603</ns0:v>
      </ns0:c>
      <ns0:c r="I310" t="str" s="10">
        <ns0:v>YAGEO</ns0:v>
      </ns0:c>
      <ns0:c r="J310" t="str" s="10">
        <ns0:v>RC0603FR-074R7L</ns0:v>
      </ns0:c>
      <ns0:c r="K310" t="str" s="11">
        <ns0:f>B310&amp;" "&amp;D310&amp;" "&amp;E310&amp;" "&amp;H310</ns0:f>
        <ns0:v>Резистор 4,7 Ом ±1% 0603</ns0:v>
      </ns0:c>
      <ns0:c r="L310" t="str" s="13">
        <ns0:v>R</ns0:v>
      </ns0:c>
      <ns0:c r="M310" t="str" s="13">
        <ns0:v>Symbols\MY_LIB_Resistors.SchLib</ns0:v>
      </ns0:c>
      <ns0:c r="N310" t="str" s="13">
        <ns0:v>RESC1608X55N</ns0:v>
      </ns0:c>
      <ns0:c r="O310" t="str" s="13">
        <ns0:v>Footprints\PBL - SMD Packages.PcbLib</ns0:v>
      </ns0:c>
      <ns0:c xmlns:ns0="http://schemas.openxmlformats.org/spreadsheetml/2006/main" r="P310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0" s="10"/>
      <ns0:c r="R310" t="str" s="11">
        <ns0:f>D310</ns0:f>
        <ns0:v>4,7 Ом</ns0:v>
      </ns0:c>
      <ns0:c r="S310" t="str" s="11">
        <ns0:f>K310</ns0:f>
        <ns0:v>Резистор 4,7 Ом ±1% 0603</ns0:v>
      </ns0:c>
      <x:c xmlns:x="http://schemas.openxmlformats.org/spreadsheetml/2006/main" r="T310" t="str" s="11">
        <x:v>C:\Users\Nomatin\Documents\Altium\MY_LIB\MY_LIB\Datasheets\YAGEO_RC_L.pdf</x:v>
      </x:c>
      <x:c xmlns:x="http://schemas.openxmlformats.org/spreadsheetml/2006/main" r="U310" t="str" s="11">
        <x:v>Даташит — локальный</x:v>
      </x:c>
      <x:c xmlns:x="http://schemas.openxmlformats.org/spreadsheetml/2006/main" r="V310" t="str" s="11">
        <x:v>C:\Users\Nomatin\Documents\Altium\MY_LIB\MY_LIB\Datasheets\YAGEO_RC_L.pdf</x:v>
      </x:c>
      <x:c xmlns:x="http://schemas.openxmlformats.org/spreadsheetml/2006/main" r="W310" t="str" s="11">
        <x:v>Даташит — производитель</x:v>
      </x:c>
      <x:c xmlns:x="http://schemas.openxmlformats.org/spreadsheetml/2006/main" r="X310" t="str" s="11">
        <x:v>https://yageogroup.com/content/datasheet/asset/file/PYU-RC_GROUP_51_ROHS_L</x:v>
      </x:c>
      <x:c xmlns:x="http://schemas.openxmlformats.org/spreadsheetml/2006/main" r="Y310" t="str" s="11">
        <x:v>C:\Users\Nomatin\Documents\Altium\MY_LIB\MY_LIB\Datasheets\YAGEO_RC_L.pdf</x:v>
      </x:c>
      <ns0:c xmlns:ns0="http://schemas.openxmlformats.org/spreadsheetml/2006/main" r="Z310" s="16" t="inlineStr">
        <ns0:is>
          <ns0:t>MY_LIB_R_TCR</ns0:t>
        </ns0:is>
      </ns0:c>
      <ns0:c xmlns:ns0="http://schemas.openxmlformats.org/spreadsheetml/2006/main" r="AA310" s="16" t="inlineStr">
        <ns0:is>
          <ns0:t>R(T), +200 ppm/C at 25 C; positive datasheet limit</ns0:t>
        </ns0:is>
      </ns0:c>
      <ns0:c xmlns:ns0="http://schemas.openxmlformats.org/spreadsheetml/2006/main" r="AB310" s="16" t="str">
        <ns0:v>General</ns0:v>
      </ns0:c>
      <ns0:c xmlns:ns0="http://schemas.openxmlformats.org/spreadsheetml/2006/main" r="AC310" s="16" t="inlineStr">
        <ns0:is>
          <ns0:t>Spice Subcircuit</ns0:t>
        </ns0:is>
      </ns0:c>
      <ns0:c xmlns:ns0="http://schemas.openxmlformats.org/spreadsheetml/2006/main" r="AD310" s="16" t="inlineStr">
        <ns0:is>
          <ns0:t>@DESIGNATOR %1 %2 @MODEL PARAMS: Rvalue=@VALUE TC1value=200u</ns0:t>
        </ns0:is>
      </ns0:c>
      <ns0:c xmlns:ns0="http://schemas.openxmlformats.org/spreadsheetml/2006/main" r="AE310" s="16" t="inlineStr">
        <ns0:is>
          <ns0:t>X</ns0:t>
        </ns0:is>
      </ns0:c>
      <ns0:c xmlns:ns0="http://schemas.openxmlformats.org/spreadsheetml/2006/main" r="AF310" s="16" t="str">
        <ns0:v>(1:1),(2:2)</ns0:v>
      </ns0:c>
      <ns0:c xmlns:ns0="http://schemas.openxmlformats.org/spreadsheetml/2006/main" r="AG310" s="16" t="inlineStr">
        <ns0:is>
          <ns0:t>Simulation\Resistors\MY_LIB_R_TCR.ckt</ns0:t>
        </ns0:is>
      </ns0:c>
      <ns0:c xmlns:ns0="http://schemas.openxmlformats.org/spreadsheetml/2006/main" r="AH310" s="16" t="inlineStr">
        <ns0:is>
          <ns0:t>±200 ppm/°C</ns0:t>
        </ns0:is>
      </ns0:c>
    </ns0:row>
    <ns0:row xmlns:ns0="http://schemas.openxmlformats.org/spreadsheetml/2006/main" r="311" ht="30" customHeight="1">
      <ns0:c r="A311" t="str" s="10">
        <ns0:v>R0317</ns0:v>
      </ns0:c>
      <ns0:c r="B311" t="str" s="10">
        <ns0:v>Резистор</ns0:v>
      </ns0:c>
      <ns0:c r="C311" t="str" s="10">
        <ns0:v>5.1R</ns0:v>
      </ns0:c>
      <ns0:c r="D311" t="str" s="11">
        <ns0:f>SUBSTITUTE(SUBSTITUTE(SUBSTITUTE(SUBSTITUTE(C311,"meg"," МОм"),"k"," кОм"),"R"," Ом"),".",",")</ns0:f>
        <ns0:v>5,1 Ом</ns0:v>
      </ns0:c>
      <ns0:c r="E311" t="str" s="10">
        <ns0:v>±1%</ns0:v>
      </ns0:c>
      <ns0:c r="F311" t="str" s="10">
        <ns0:v>0,1 Вт</ns0:v>
      </ns0:c>
      <ns0:c r="G311" t="str" s="10">
        <ns0:v>75 В макс.</ns0:v>
      </ns0:c>
      <ns0:c r="H311" t="str" s="12">
        <ns0:v>0603</ns0:v>
      </ns0:c>
      <ns0:c r="I311" t="str" s="10">
        <ns0:v>YAGEO</ns0:v>
      </ns0:c>
      <ns0:c r="J311" t="str" s="10">
        <ns0:v>RC0603FR-075R1L</ns0:v>
      </ns0:c>
      <ns0:c r="K311" t="str" s="11">
        <ns0:f>B311&amp;" "&amp;D311&amp;" "&amp;E311&amp;" "&amp;H311</ns0:f>
        <ns0:v>Резистор 5,1 Ом ±1% 0603</ns0:v>
      </ns0:c>
      <ns0:c r="L311" t="str" s="13">
        <ns0:v>R</ns0:v>
      </ns0:c>
      <ns0:c r="M311" t="str" s="13">
        <ns0:v>Symbols\MY_LIB_Resistors.SchLib</ns0:v>
      </ns0:c>
      <ns0:c r="N311" t="str" s="13">
        <ns0:v>RESC1608X55N</ns0:v>
      </ns0:c>
      <ns0:c r="O311" t="str" s="13">
        <ns0:v>Footprints\PBL - SMD Packages.PcbLib</ns0:v>
      </ns0:c>
      <ns0:c xmlns:ns0="http://schemas.openxmlformats.org/spreadsheetml/2006/main" r="P311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1" s="10"/>
      <ns0:c r="R311" t="str" s="11">
        <ns0:f>D311</ns0:f>
        <ns0:v>5,1 Ом</ns0:v>
      </ns0:c>
      <ns0:c r="S311" t="str" s="11">
        <ns0:f>K311</ns0:f>
        <ns0:v>Резистор 5,1 Ом ±1% 0603</ns0:v>
      </ns0:c>
      <x:c xmlns:x="http://schemas.openxmlformats.org/spreadsheetml/2006/main" r="T311" t="str" s="11">
        <x:v>C:\Users\Nomatin\Documents\Altium\MY_LIB\MY_LIB\Datasheets\YAGEO_RC_L.pdf</x:v>
      </x:c>
      <x:c xmlns:x="http://schemas.openxmlformats.org/spreadsheetml/2006/main" r="U311" t="str" s="11">
        <x:v>Даташит — локальный</x:v>
      </x:c>
      <x:c xmlns:x="http://schemas.openxmlformats.org/spreadsheetml/2006/main" r="V311" t="str" s="11">
        <x:v>C:\Users\Nomatin\Documents\Altium\MY_LIB\MY_LIB\Datasheets\YAGEO_RC_L.pdf</x:v>
      </x:c>
      <x:c xmlns:x="http://schemas.openxmlformats.org/spreadsheetml/2006/main" r="W311" t="str" s="11">
        <x:v>Даташит — производитель</x:v>
      </x:c>
      <x:c xmlns:x="http://schemas.openxmlformats.org/spreadsheetml/2006/main" r="X311" t="str" s="11">
        <x:v>https://yageogroup.com/content/datasheet/asset/file/PYU-RC_GROUP_51_ROHS_L</x:v>
      </x:c>
      <x:c xmlns:x="http://schemas.openxmlformats.org/spreadsheetml/2006/main" r="Y311" t="str" s="11">
        <x:v>C:\Users\Nomatin\Documents\Altium\MY_LIB\MY_LIB\Datasheets\YAGEO_RC_L.pdf</x:v>
      </x:c>
      <ns0:c xmlns:ns0="http://schemas.openxmlformats.org/spreadsheetml/2006/main" r="Z311" s="16" t="inlineStr">
        <ns0:is>
          <ns0:t>MY_LIB_R_TCR</ns0:t>
        </ns0:is>
      </ns0:c>
      <ns0:c xmlns:ns0="http://schemas.openxmlformats.org/spreadsheetml/2006/main" r="AA311" s="16" t="inlineStr">
        <ns0:is>
          <ns0:t>R(T), +200 ppm/C at 25 C; positive datasheet limit</ns0:t>
        </ns0:is>
      </ns0:c>
      <ns0:c xmlns:ns0="http://schemas.openxmlformats.org/spreadsheetml/2006/main" r="AB311" s="16" t="str">
        <ns0:v>General</ns0:v>
      </ns0:c>
      <ns0:c xmlns:ns0="http://schemas.openxmlformats.org/spreadsheetml/2006/main" r="AC311" s="16" t="inlineStr">
        <ns0:is>
          <ns0:t>Spice Subcircuit</ns0:t>
        </ns0:is>
      </ns0:c>
      <ns0:c xmlns:ns0="http://schemas.openxmlformats.org/spreadsheetml/2006/main" r="AD311" s="16" t="inlineStr">
        <ns0:is>
          <ns0:t>@DESIGNATOR %1 %2 @MODEL PARAMS: Rvalue=@VALUE TC1value=200u</ns0:t>
        </ns0:is>
      </ns0:c>
      <ns0:c xmlns:ns0="http://schemas.openxmlformats.org/spreadsheetml/2006/main" r="AE311" s="16" t="inlineStr">
        <ns0:is>
          <ns0:t>X</ns0:t>
        </ns0:is>
      </ns0:c>
      <ns0:c xmlns:ns0="http://schemas.openxmlformats.org/spreadsheetml/2006/main" r="AF311" s="16" t="str">
        <ns0:v>(1:1),(2:2)</ns0:v>
      </ns0:c>
      <ns0:c xmlns:ns0="http://schemas.openxmlformats.org/spreadsheetml/2006/main" r="AG311" s="16" t="inlineStr">
        <ns0:is>
          <ns0:t>Simulation\Resistors\MY_LIB_R_TCR.ckt</ns0:t>
        </ns0:is>
      </ns0:c>
      <ns0:c xmlns:ns0="http://schemas.openxmlformats.org/spreadsheetml/2006/main" r="AH311" s="16" t="inlineStr">
        <ns0:is>
          <ns0:t>±200 ppm/°C</ns0:t>
        </ns0:is>
      </ns0:c>
    </ns0:row>
    <ns0:row xmlns:ns0="http://schemas.openxmlformats.org/spreadsheetml/2006/main" r="312" ht="30" customHeight="1">
      <ns0:c r="A312" t="str" s="10">
        <ns0:v>R0318</ns0:v>
      </ns0:c>
      <ns0:c r="B312" t="str" s="10">
        <ns0:v>Резистор</ns0:v>
      </ns0:c>
      <ns0:c r="C312" t="str" s="10">
        <ns0:v>5.6R</ns0:v>
      </ns0:c>
      <ns0:c r="D312" t="str" s="11">
        <ns0:f>SUBSTITUTE(SUBSTITUTE(SUBSTITUTE(SUBSTITUTE(C312,"meg"," МОм"),"k"," кОм"),"R"," Ом"),".",",")</ns0:f>
        <ns0:v>5,6 Ом</ns0:v>
      </ns0:c>
      <ns0:c r="E312" t="str" s="10">
        <ns0:v>±1%</ns0:v>
      </ns0:c>
      <ns0:c r="F312" t="str" s="10">
        <ns0:v>0,1 Вт</ns0:v>
      </ns0:c>
      <ns0:c r="G312" t="str" s="10">
        <ns0:v>75 В макс.</ns0:v>
      </ns0:c>
      <ns0:c r="H312" t="str" s="12">
        <ns0:v>0603</ns0:v>
      </ns0:c>
      <ns0:c r="I312" t="str" s="10">
        <ns0:v>YAGEO</ns0:v>
      </ns0:c>
      <ns0:c r="J312" t="str" s="10">
        <ns0:v>RC0603FR-075R6L</ns0:v>
      </ns0:c>
      <ns0:c r="K312" t="str" s="11">
        <ns0:f>B312&amp;" "&amp;D312&amp;" "&amp;E312&amp;" "&amp;H312</ns0:f>
        <ns0:v>Резистор 5,6 Ом ±1% 0603</ns0:v>
      </ns0:c>
      <ns0:c r="L312" t="str" s="13">
        <ns0:v>R</ns0:v>
      </ns0:c>
      <ns0:c r="M312" t="str" s="13">
        <ns0:v>Symbols\MY_LIB_Resistors.SchLib</ns0:v>
      </ns0:c>
      <ns0:c r="N312" t="str" s="13">
        <ns0:v>RESC1608X55N</ns0:v>
      </ns0:c>
      <ns0:c r="O312" t="str" s="13">
        <ns0:v>Footprints\PBL - SMD Packages.PcbLib</ns0:v>
      </ns0:c>
      <ns0:c xmlns:ns0="http://schemas.openxmlformats.org/spreadsheetml/2006/main" r="P312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2" s="10"/>
      <ns0:c r="R312" t="str" s="11">
        <ns0:f>D312</ns0:f>
        <ns0:v>5,6 Ом</ns0:v>
      </ns0:c>
      <ns0:c r="S312" t="str" s="11">
        <ns0:f>K312</ns0:f>
        <ns0:v>Резистор 5,6 Ом ±1% 0603</ns0:v>
      </ns0:c>
      <x:c xmlns:x="http://schemas.openxmlformats.org/spreadsheetml/2006/main" r="T312" t="str" s="11">
        <x:v>C:\Users\Nomatin\Documents\Altium\MY_LIB\MY_LIB\Datasheets\YAGEO_RC_L.pdf</x:v>
      </x:c>
      <x:c xmlns:x="http://schemas.openxmlformats.org/spreadsheetml/2006/main" r="U312" t="str" s="11">
        <x:v>Даташит — локальный</x:v>
      </x:c>
      <x:c xmlns:x="http://schemas.openxmlformats.org/spreadsheetml/2006/main" r="V312" t="str" s="11">
        <x:v>C:\Users\Nomatin\Documents\Altium\MY_LIB\MY_LIB\Datasheets\YAGEO_RC_L.pdf</x:v>
      </x:c>
      <x:c xmlns:x="http://schemas.openxmlformats.org/spreadsheetml/2006/main" r="W312" t="str" s="11">
        <x:v>Даташит — производитель</x:v>
      </x:c>
      <x:c xmlns:x="http://schemas.openxmlformats.org/spreadsheetml/2006/main" r="X312" t="str" s="11">
        <x:v>https://yageogroup.com/content/datasheet/asset/file/PYU-RC_GROUP_51_ROHS_L</x:v>
      </x:c>
      <x:c xmlns:x="http://schemas.openxmlformats.org/spreadsheetml/2006/main" r="Y312" t="str" s="11">
        <x:v>C:\Users\Nomatin\Documents\Altium\MY_LIB\MY_LIB\Datasheets\YAGEO_RC_L.pdf</x:v>
      </x:c>
      <ns0:c xmlns:ns0="http://schemas.openxmlformats.org/spreadsheetml/2006/main" r="Z312" s="16" t="inlineStr">
        <ns0:is>
          <ns0:t>MY_LIB_R_TCR</ns0:t>
        </ns0:is>
      </ns0:c>
      <ns0:c xmlns:ns0="http://schemas.openxmlformats.org/spreadsheetml/2006/main" r="AA312" s="16" t="inlineStr">
        <ns0:is>
          <ns0:t>R(T), +200 ppm/C at 25 C; positive datasheet limit</ns0:t>
        </ns0:is>
      </ns0:c>
      <ns0:c xmlns:ns0="http://schemas.openxmlformats.org/spreadsheetml/2006/main" r="AB312" s="16" t="str">
        <ns0:v>General</ns0:v>
      </ns0:c>
      <ns0:c xmlns:ns0="http://schemas.openxmlformats.org/spreadsheetml/2006/main" r="AC312" s="16" t="inlineStr">
        <ns0:is>
          <ns0:t>Spice Subcircuit</ns0:t>
        </ns0:is>
      </ns0:c>
      <ns0:c xmlns:ns0="http://schemas.openxmlformats.org/spreadsheetml/2006/main" r="AD312" s="16" t="inlineStr">
        <ns0:is>
          <ns0:t>@DESIGNATOR %1 %2 @MODEL PARAMS: Rvalue=@VALUE TC1value=200u</ns0:t>
        </ns0:is>
      </ns0:c>
      <ns0:c xmlns:ns0="http://schemas.openxmlformats.org/spreadsheetml/2006/main" r="AE312" s="16" t="inlineStr">
        <ns0:is>
          <ns0:t>X</ns0:t>
        </ns0:is>
      </ns0:c>
      <ns0:c xmlns:ns0="http://schemas.openxmlformats.org/spreadsheetml/2006/main" r="AF312" s="16" t="str">
        <ns0:v>(1:1),(2:2)</ns0:v>
      </ns0:c>
      <ns0:c xmlns:ns0="http://schemas.openxmlformats.org/spreadsheetml/2006/main" r="AG312" s="16" t="inlineStr">
        <ns0:is>
          <ns0:t>Simulation\Resistors\MY_LIB_R_TCR.ckt</ns0:t>
        </ns0:is>
      </ns0:c>
      <ns0:c xmlns:ns0="http://schemas.openxmlformats.org/spreadsheetml/2006/main" r="AH312" s="16" t="inlineStr">
        <ns0:is>
          <ns0:t>±200 ppm/°C</ns0:t>
        </ns0:is>
      </ns0:c>
    </ns0:row>
    <ns0:row xmlns:ns0="http://schemas.openxmlformats.org/spreadsheetml/2006/main" r="313" ht="30" customHeight="1">
      <ns0:c r="A313" t="str" s="10">
        <ns0:v>R0319</ns0:v>
      </ns0:c>
      <ns0:c r="B313" t="str" s="10">
        <ns0:v>Резистор</ns0:v>
      </ns0:c>
      <ns0:c r="C313" t="str" s="10">
        <ns0:v>6.2R</ns0:v>
      </ns0:c>
      <ns0:c r="D313" t="str" s="11">
        <ns0:f>SUBSTITUTE(SUBSTITUTE(SUBSTITUTE(SUBSTITUTE(C313,"meg"," МОм"),"k"," кОм"),"R"," Ом"),".",",")</ns0:f>
        <ns0:v>6,2 Ом</ns0:v>
      </ns0:c>
      <ns0:c r="E313" t="str" s="10">
        <ns0:v>±1%</ns0:v>
      </ns0:c>
      <ns0:c r="F313" t="str" s="10">
        <ns0:v>0,1 Вт</ns0:v>
      </ns0:c>
      <ns0:c r="G313" t="str" s="10">
        <ns0:v>75 В макс.</ns0:v>
      </ns0:c>
      <ns0:c r="H313" t="str" s="12">
        <ns0:v>0603</ns0:v>
      </ns0:c>
      <ns0:c r="I313" t="str" s="10">
        <ns0:v>YAGEO</ns0:v>
      </ns0:c>
      <ns0:c r="J313" t="str" s="10">
        <ns0:v>RC0603FR-076R2L</ns0:v>
      </ns0:c>
      <ns0:c r="K313" t="str" s="11">
        <ns0:f>B313&amp;" "&amp;D313&amp;" "&amp;E313&amp;" "&amp;H313</ns0:f>
        <ns0:v>Резистор 6,2 Ом ±1% 0603</ns0:v>
      </ns0:c>
      <ns0:c r="L313" t="str" s="13">
        <ns0:v>R</ns0:v>
      </ns0:c>
      <ns0:c r="M313" t="str" s="13">
        <ns0:v>Symbols\MY_LIB_Resistors.SchLib</ns0:v>
      </ns0:c>
      <ns0:c r="N313" t="str" s="13">
        <ns0:v>RESC1608X55N</ns0:v>
      </ns0:c>
      <ns0:c r="O313" t="str" s="13">
        <ns0:v>Footprints\PBL - SMD Packages.PcbLib</ns0:v>
      </ns0:c>
      <ns0:c xmlns:ns0="http://schemas.openxmlformats.org/spreadsheetml/2006/main" r="P313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3" s="10"/>
      <ns0:c r="R313" t="str" s="11">
        <ns0:f>D313</ns0:f>
        <ns0:v>6,2 Ом</ns0:v>
      </ns0:c>
      <ns0:c r="S313" t="str" s="11">
        <ns0:f>K313</ns0:f>
        <ns0:v>Резистор 6,2 Ом ±1% 0603</ns0:v>
      </ns0:c>
      <x:c xmlns:x="http://schemas.openxmlformats.org/spreadsheetml/2006/main" r="T313" t="str" s="11">
        <x:v>C:\Users\Nomatin\Documents\Altium\MY_LIB\MY_LIB\Datasheets\YAGEO_RC_L.pdf</x:v>
      </x:c>
      <x:c xmlns:x="http://schemas.openxmlformats.org/spreadsheetml/2006/main" r="U313" t="str" s="11">
        <x:v>Даташит — локальный</x:v>
      </x:c>
      <x:c xmlns:x="http://schemas.openxmlformats.org/spreadsheetml/2006/main" r="V313" t="str" s="11">
        <x:v>C:\Users\Nomatin\Documents\Altium\MY_LIB\MY_LIB\Datasheets\YAGEO_RC_L.pdf</x:v>
      </x:c>
      <x:c xmlns:x="http://schemas.openxmlformats.org/spreadsheetml/2006/main" r="W313" t="str" s="11">
        <x:v>Даташит — производитель</x:v>
      </x:c>
      <x:c xmlns:x="http://schemas.openxmlformats.org/spreadsheetml/2006/main" r="X313" t="str" s="11">
        <x:v>https://yageogroup.com/content/datasheet/asset/file/PYU-RC_GROUP_51_ROHS_L</x:v>
      </x:c>
      <x:c xmlns:x="http://schemas.openxmlformats.org/spreadsheetml/2006/main" r="Y313" t="str" s="11">
        <x:v>C:\Users\Nomatin\Documents\Altium\MY_LIB\MY_LIB\Datasheets\YAGEO_RC_L.pdf</x:v>
      </x:c>
      <ns0:c xmlns:ns0="http://schemas.openxmlformats.org/spreadsheetml/2006/main" r="Z313" s="16" t="inlineStr">
        <ns0:is>
          <ns0:t>MY_LIB_R_TCR</ns0:t>
        </ns0:is>
      </ns0:c>
      <ns0:c xmlns:ns0="http://schemas.openxmlformats.org/spreadsheetml/2006/main" r="AA313" s="16" t="inlineStr">
        <ns0:is>
          <ns0:t>R(T), +200 ppm/C at 25 C; positive datasheet limit</ns0:t>
        </ns0:is>
      </ns0:c>
      <ns0:c xmlns:ns0="http://schemas.openxmlformats.org/spreadsheetml/2006/main" r="AB313" s="16" t="str">
        <ns0:v>General</ns0:v>
      </ns0:c>
      <ns0:c xmlns:ns0="http://schemas.openxmlformats.org/spreadsheetml/2006/main" r="AC313" s="16" t="inlineStr">
        <ns0:is>
          <ns0:t>Spice Subcircuit</ns0:t>
        </ns0:is>
      </ns0:c>
      <ns0:c xmlns:ns0="http://schemas.openxmlformats.org/spreadsheetml/2006/main" r="AD313" s="16" t="inlineStr">
        <ns0:is>
          <ns0:t>@DESIGNATOR %1 %2 @MODEL PARAMS: Rvalue=@VALUE TC1value=200u</ns0:t>
        </ns0:is>
      </ns0:c>
      <ns0:c xmlns:ns0="http://schemas.openxmlformats.org/spreadsheetml/2006/main" r="AE313" s="16" t="inlineStr">
        <ns0:is>
          <ns0:t>X</ns0:t>
        </ns0:is>
      </ns0:c>
      <ns0:c xmlns:ns0="http://schemas.openxmlformats.org/spreadsheetml/2006/main" r="AF313" s="16" t="str">
        <ns0:v>(1:1),(2:2)</ns0:v>
      </ns0:c>
      <ns0:c xmlns:ns0="http://schemas.openxmlformats.org/spreadsheetml/2006/main" r="AG313" s="16" t="inlineStr">
        <ns0:is>
          <ns0:t>Simulation\Resistors\MY_LIB_R_TCR.ckt</ns0:t>
        </ns0:is>
      </ns0:c>
      <ns0:c xmlns:ns0="http://schemas.openxmlformats.org/spreadsheetml/2006/main" r="AH313" s="16" t="inlineStr">
        <ns0:is>
          <ns0:t>±200 ppm/°C</ns0:t>
        </ns0:is>
      </ns0:c>
    </ns0:row>
    <ns0:row xmlns:ns0="http://schemas.openxmlformats.org/spreadsheetml/2006/main" r="314" ht="30" customHeight="1">
      <ns0:c r="A314" t="str" s="10">
        <ns0:v>R0320</ns0:v>
      </ns0:c>
      <ns0:c r="B314" t="str" s="10">
        <ns0:v>Резистор</ns0:v>
      </ns0:c>
      <ns0:c r="C314" t="str" s="10">
        <ns0:v>6.8R</ns0:v>
      </ns0:c>
      <ns0:c r="D314" t="str" s="11">
        <ns0:f>SUBSTITUTE(SUBSTITUTE(SUBSTITUTE(SUBSTITUTE(C314,"meg"," МОм"),"k"," кОм"),"R"," Ом"),".",",")</ns0:f>
        <ns0:v>6,8 Ом</ns0:v>
      </ns0:c>
      <ns0:c r="E314" t="str" s="10">
        <ns0:v>±1%</ns0:v>
      </ns0:c>
      <ns0:c r="F314" t="str" s="10">
        <ns0:v>0,1 Вт</ns0:v>
      </ns0:c>
      <ns0:c r="G314" t="str" s="10">
        <ns0:v>75 В макс.</ns0:v>
      </ns0:c>
      <ns0:c r="H314" t="str" s="12">
        <ns0:v>0603</ns0:v>
      </ns0:c>
      <ns0:c r="I314" t="str" s="10">
        <ns0:v>YAGEO</ns0:v>
      </ns0:c>
      <ns0:c r="J314" t="str" s="10">
        <ns0:v>RC0603FR-076R8L</ns0:v>
      </ns0:c>
      <ns0:c r="K314" t="str" s="11">
        <ns0:f>B314&amp;" "&amp;D314&amp;" "&amp;E314&amp;" "&amp;H314</ns0:f>
        <ns0:v>Резистор 6,8 Ом ±1% 0603</ns0:v>
      </ns0:c>
      <ns0:c r="L314" t="str" s="13">
        <ns0:v>R</ns0:v>
      </ns0:c>
      <ns0:c r="M314" t="str" s="13">
        <ns0:v>Symbols\MY_LIB_Resistors.SchLib</ns0:v>
      </ns0:c>
      <ns0:c r="N314" t="str" s="13">
        <ns0:v>RESC1608X55N</ns0:v>
      </ns0:c>
      <ns0:c r="O314" t="str" s="13">
        <ns0:v>Footprints\PBL - SMD Packages.PcbLib</ns0:v>
      </ns0:c>
      <ns0:c xmlns:ns0="http://schemas.openxmlformats.org/spreadsheetml/2006/main" r="P314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4" s="10"/>
      <ns0:c r="R314" t="str" s="11">
        <ns0:f>D314</ns0:f>
        <ns0:v>6,8 Ом</ns0:v>
      </ns0:c>
      <ns0:c r="S314" t="str" s="11">
        <ns0:f>K314</ns0:f>
        <ns0:v>Резистор 6,8 Ом ±1% 0603</ns0:v>
      </ns0:c>
      <x:c xmlns:x="http://schemas.openxmlformats.org/spreadsheetml/2006/main" r="T314" t="str" s="11">
        <x:v>C:\Users\Nomatin\Documents\Altium\MY_LIB\MY_LIB\Datasheets\YAGEO_RC_L.pdf</x:v>
      </x:c>
      <x:c xmlns:x="http://schemas.openxmlformats.org/spreadsheetml/2006/main" r="U314" t="str" s="11">
        <x:v>Даташит — локальный</x:v>
      </x:c>
      <x:c xmlns:x="http://schemas.openxmlformats.org/spreadsheetml/2006/main" r="V314" t="str" s="11">
        <x:v>C:\Users\Nomatin\Documents\Altium\MY_LIB\MY_LIB\Datasheets\YAGEO_RC_L.pdf</x:v>
      </x:c>
      <x:c xmlns:x="http://schemas.openxmlformats.org/spreadsheetml/2006/main" r="W314" t="str" s="11">
        <x:v>Даташит — производитель</x:v>
      </x:c>
      <x:c xmlns:x="http://schemas.openxmlformats.org/spreadsheetml/2006/main" r="X314" t="str" s="11">
        <x:v>https://yageogroup.com/content/datasheet/asset/file/PYU-RC_GROUP_51_ROHS_L</x:v>
      </x:c>
      <x:c xmlns:x="http://schemas.openxmlformats.org/spreadsheetml/2006/main" r="Y314" t="str" s="11">
        <x:v>C:\Users\Nomatin\Documents\Altium\MY_LIB\MY_LIB\Datasheets\YAGEO_RC_L.pdf</x:v>
      </x:c>
      <ns0:c xmlns:ns0="http://schemas.openxmlformats.org/spreadsheetml/2006/main" r="Z314" s="16" t="inlineStr">
        <ns0:is>
          <ns0:t>MY_LIB_R_TCR</ns0:t>
        </ns0:is>
      </ns0:c>
      <ns0:c xmlns:ns0="http://schemas.openxmlformats.org/spreadsheetml/2006/main" r="AA314" s="16" t="inlineStr">
        <ns0:is>
          <ns0:t>R(T), +200 ppm/C at 25 C; positive datasheet limit</ns0:t>
        </ns0:is>
      </ns0:c>
      <ns0:c xmlns:ns0="http://schemas.openxmlformats.org/spreadsheetml/2006/main" r="AB314" s="16" t="str">
        <ns0:v>General</ns0:v>
      </ns0:c>
      <ns0:c xmlns:ns0="http://schemas.openxmlformats.org/spreadsheetml/2006/main" r="AC314" s="16" t="inlineStr">
        <ns0:is>
          <ns0:t>Spice Subcircuit</ns0:t>
        </ns0:is>
      </ns0:c>
      <ns0:c xmlns:ns0="http://schemas.openxmlformats.org/spreadsheetml/2006/main" r="AD314" s="16" t="inlineStr">
        <ns0:is>
          <ns0:t>@DESIGNATOR %1 %2 @MODEL PARAMS: Rvalue=@VALUE TC1value=200u</ns0:t>
        </ns0:is>
      </ns0:c>
      <ns0:c xmlns:ns0="http://schemas.openxmlformats.org/spreadsheetml/2006/main" r="AE314" s="16" t="inlineStr">
        <ns0:is>
          <ns0:t>X</ns0:t>
        </ns0:is>
      </ns0:c>
      <ns0:c xmlns:ns0="http://schemas.openxmlformats.org/spreadsheetml/2006/main" r="AF314" s="16" t="str">
        <ns0:v>(1:1),(2:2)</ns0:v>
      </ns0:c>
      <ns0:c xmlns:ns0="http://schemas.openxmlformats.org/spreadsheetml/2006/main" r="AG314" s="16" t="inlineStr">
        <ns0:is>
          <ns0:t>Simulation\Resistors\MY_LIB_R_TCR.ckt</ns0:t>
        </ns0:is>
      </ns0:c>
      <ns0:c xmlns:ns0="http://schemas.openxmlformats.org/spreadsheetml/2006/main" r="AH314" s="16" t="inlineStr">
        <ns0:is>
          <ns0:t>±200 ppm/°C</ns0:t>
        </ns0:is>
      </ns0:c>
    </ns0:row>
    <ns0:row xmlns:ns0="http://schemas.openxmlformats.org/spreadsheetml/2006/main" r="315" ht="30" customHeight="1">
      <ns0:c r="A315" t="str" s="10">
        <ns0:v>R0321</ns0:v>
      </ns0:c>
      <ns0:c r="B315" t="str" s="10">
        <ns0:v>Резистор</ns0:v>
      </ns0:c>
      <ns0:c r="C315" t="str" s="10">
        <ns0:v>7.5R</ns0:v>
      </ns0:c>
      <ns0:c r="D315" t="str" s="11">
        <ns0:f>SUBSTITUTE(SUBSTITUTE(SUBSTITUTE(SUBSTITUTE(C315,"meg"," МОм"),"k"," кОм"),"R"," Ом"),".",",")</ns0:f>
        <ns0:v>7,5 Ом</ns0:v>
      </ns0:c>
      <ns0:c r="E315" t="str" s="10">
        <ns0:v>±1%</ns0:v>
      </ns0:c>
      <ns0:c r="F315" t="str" s="10">
        <ns0:v>0,1 Вт</ns0:v>
      </ns0:c>
      <ns0:c r="G315" t="str" s="10">
        <ns0:v>75 В макс.</ns0:v>
      </ns0:c>
      <ns0:c r="H315" t="str" s="12">
        <ns0:v>0603</ns0:v>
      </ns0:c>
      <ns0:c r="I315" t="str" s="10">
        <ns0:v>YAGEO</ns0:v>
      </ns0:c>
      <ns0:c r="J315" t="str" s="10">
        <ns0:v>RC0603FR-077R5L</ns0:v>
      </ns0:c>
      <ns0:c r="K315" t="str" s="11">
        <ns0:f>B315&amp;" "&amp;D315&amp;" "&amp;E315&amp;" "&amp;H315</ns0:f>
        <ns0:v>Резистор 7,5 Ом ±1% 0603</ns0:v>
      </ns0:c>
      <ns0:c r="L315" t="str" s="13">
        <ns0:v>R</ns0:v>
      </ns0:c>
      <ns0:c r="M315" t="str" s="13">
        <ns0:v>Symbols\MY_LIB_Resistors.SchLib</ns0:v>
      </ns0:c>
      <ns0:c r="N315" t="str" s="13">
        <ns0:v>RESC1608X55N</ns0:v>
      </ns0:c>
      <ns0:c r="O315" t="str" s="13">
        <ns0:v>Footprints\PBL - SMD Packages.PcbLib</ns0:v>
      </ns0:c>
      <ns0:c xmlns:ns0="http://schemas.openxmlformats.org/spreadsheetml/2006/main" r="P315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5" s="10"/>
      <ns0:c r="R315" t="str" s="11">
        <ns0:f>D315</ns0:f>
        <ns0:v>7,5 Ом</ns0:v>
      </ns0:c>
      <ns0:c r="S315" t="str" s="11">
        <ns0:f>K315</ns0:f>
        <ns0:v>Резистор 7,5 Ом ±1% 0603</ns0:v>
      </ns0:c>
      <x:c xmlns:x="http://schemas.openxmlformats.org/spreadsheetml/2006/main" r="T315" t="str" s="11">
        <x:v>C:\Users\Nomatin\Documents\Altium\MY_LIB\MY_LIB\Datasheets\YAGEO_RC_L.pdf</x:v>
      </x:c>
      <x:c xmlns:x="http://schemas.openxmlformats.org/spreadsheetml/2006/main" r="U315" t="str" s="11">
        <x:v>Даташит — локальный</x:v>
      </x:c>
      <x:c xmlns:x="http://schemas.openxmlformats.org/spreadsheetml/2006/main" r="V315" t="str" s="11">
        <x:v>C:\Users\Nomatin\Documents\Altium\MY_LIB\MY_LIB\Datasheets\YAGEO_RC_L.pdf</x:v>
      </x:c>
      <x:c xmlns:x="http://schemas.openxmlformats.org/spreadsheetml/2006/main" r="W315" t="str" s="11">
        <x:v>Даташит — производитель</x:v>
      </x:c>
      <x:c xmlns:x="http://schemas.openxmlformats.org/spreadsheetml/2006/main" r="X315" t="str" s="11">
        <x:v>https://yageogroup.com/content/datasheet/asset/file/PYU-RC_GROUP_51_ROHS_L</x:v>
      </x:c>
      <x:c xmlns:x="http://schemas.openxmlformats.org/spreadsheetml/2006/main" r="Y315" t="str" s="11">
        <x:v>C:\Users\Nomatin\Documents\Altium\MY_LIB\MY_LIB\Datasheets\YAGEO_RC_L.pdf</x:v>
      </x:c>
      <ns0:c xmlns:ns0="http://schemas.openxmlformats.org/spreadsheetml/2006/main" r="Z315" s="16" t="inlineStr">
        <ns0:is>
          <ns0:t>MY_LIB_R_TCR</ns0:t>
        </ns0:is>
      </ns0:c>
      <ns0:c xmlns:ns0="http://schemas.openxmlformats.org/spreadsheetml/2006/main" r="AA315" s="16" t="inlineStr">
        <ns0:is>
          <ns0:t>R(T), +200 ppm/C at 25 C; positive datasheet limit</ns0:t>
        </ns0:is>
      </ns0:c>
      <ns0:c xmlns:ns0="http://schemas.openxmlformats.org/spreadsheetml/2006/main" r="AB315" s="16" t="str">
        <ns0:v>General</ns0:v>
      </ns0:c>
      <ns0:c xmlns:ns0="http://schemas.openxmlformats.org/spreadsheetml/2006/main" r="AC315" s="16" t="inlineStr">
        <ns0:is>
          <ns0:t>Spice Subcircuit</ns0:t>
        </ns0:is>
      </ns0:c>
      <ns0:c xmlns:ns0="http://schemas.openxmlformats.org/spreadsheetml/2006/main" r="AD315" s="16" t="inlineStr">
        <ns0:is>
          <ns0:t>@DESIGNATOR %1 %2 @MODEL PARAMS: Rvalue=@VALUE TC1value=200u</ns0:t>
        </ns0:is>
      </ns0:c>
      <ns0:c xmlns:ns0="http://schemas.openxmlformats.org/spreadsheetml/2006/main" r="AE315" s="16" t="inlineStr">
        <ns0:is>
          <ns0:t>X</ns0:t>
        </ns0:is>
      </ns0:c>
      <ns0:c xmlns:ns0="http://schemas.openxmlformats.org/spreadsheetml/2006/main" r="AF315" s="16" t="str">
        <ns0:v>(1:1),(2:2)</ns0:v>
      </ns0:c>
      <ns0:c xmlns:ns0="http://schemas.openxmlformats.org/spreadsheetml/2006/main" r="AG315" s="16" t="inlineStr">
        <ns0:is>
          <ns0:t>Simulation\Resistors\MY_LIB_R_TCR.ckt</ns0:t>
        </ns0:is>
      </ns0:c>
      <ns0:c xmlns:ns0="http://schemas.openxmlformats.org/spreadsheetml/2006/main" r="AH315" s="16" t="inlineStr">
        <ns0:is>
          <ns0:t>±200 ppm/°C</ns0:t>
        </ns0:is>
      </ns0:c>
    </ns0:row>
    <ns0:row xmlns:ns0="http://schemas.openxmlformats.org/spreadsheetml/2006/main" r="316" ht="30" customHeight="1">
      <ns0:c r="A316" t="str" s="10">
        <ns0:v>R0322</ns0:v>
      </ns0:c>
      <ns0:c r="B316" t="str" s="10">
        <ns0:v>Резистор</ns0:v>
      </ns0:c>
      <ns0:c r="C316" t="str" s="10">
        <ns0:v>8.2R</ns0:v>
      </ns0:c>
      <ns0:c r="D316" t="str" s="11">
        <ns0:f>SUBSTITUTE(SUBSTITUTE(SUBSTITUTE(SUBSTITUTE(C316,"meg"," МОм"),"k"," кОм"),"R"," Ом"),".",",")</ns0:f>
        <ns0:v>8,2 Ом</ns0:v>
      </ns0:c>
      <ns0:c r="E316" t="str" s="10">
        <ns0:v>±1%</ns0:v>
      </ns0:c>
      <ns0:c r="F316" t="str" s="10">
        <ns0:v>0,1 Вт</ns0:v>
      </ns0:c>
      <ns0:c r="G316" t="str" s="10">
        <ns0:v>75 В макс.</ns0:v>
      </ns0:c>
      <ns0:c r="H316" t="str" s="12">
        <ns0:v>0603</ns0:v>
      </ns0:c>
      <ns0:c r="I316" t="str" s="10">
        <ns0:v>YAGEO</ns0:v>
      </ns0:c>
      <ns0:c r="J316" t="str" s="10">
        <ns0:v>RC0603FR-078R2L</ns0:v>
      </ns0:c>
      <ns0:c r="K316" t="str" s="11">
        <ns0:f>B316&amp;" "&amp;D316&amp;" "&amp;E316&amp;" "&amp;H316</ns0:f>
        <ns0:v>Резистор 8,2 Ом ±1% 0603</ns0:v>
      </ns0:c>
      <ns0:c r="L316" t="str" s="13">
        <ns0:v>R</ns0:v>
      </ns0:c>
      <ns0:c r="M316" t="str" s="13">
        <ns0:v>Symbols\MY_LIB_Resistors.SchLib</ns0:v>
      </ns0:c>
      <ns0:c r="N316" t="str" s="13">
        <ns0:v>RESC1608X55N</ns0:v>
      </ns0:c>
      <ns0:c r="O316" t="str" s="13">
        <ns0:v>Footprints\PBL - SMD Packages.PcbLib</ns0:v>
      </ns0:c>
      <ns0:c xmlns:ns0="http://schemas.openxmlformats.org/spreadsheetml/2006/main" r="P316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6" s="10"/>
      <ns0:c r="R316" t="str" s="11">
        <ns0:f>D316</ns0:f>
        <ns0:v>8,2 Ом</ns0:v>
      </ns0:c>
      <ns0:c r="S316" t="str" s="11">
        <ns0:f>K316</ns0:f>
        <ns0:v>Резистор 8,2 Ом ±1% 0603</ns0:v>
      </ns0:c>
      <x:c xmlns:x="http://schemas.openxmlformats.org/spreadsheetml/2006/main" r="T316" t="str" s="11">
        <x:v>C:\Users\Nomatin\Documents\Altium\MY_LIB\MY_LIB\Datasheets\YAGEO_RC_L.pdf</x:v>
      </x:c>
      <x:c xmlns:x="http://schemas.openxmlformats.org/spreadsheetml/2006/main" r="U316" t="str" s="11">
        <x:v>Даташит — локальный</x:v>
      </x:c>
      <x:c xmlns:x="http://schemas.openxmlformats.org/spreadsheetml/2006/main" r="V316" t="str" s="11">
        <x:v>C:\Users\Nomatin\Documents\Altium\MY_LIB\MY_LIB\Datasheets\YAGEO_RC_L.pdf</x:v>
      </x:c>
      <x:c xmlns:x="http://schemas.openxmlformats.org/spreadsheetml/2006/main" r="W316" t="str" s="11">
        <x:v>Даташит — производитель</x:v>
      </x:c>
      <x:c xmlns:x="http://schemas.openxmlformats.org/spreadsheetml/2006/main" r="X316" t="str" s="11">
        <x:v>https://yageogroup.com/content/datasheet/asset/file/PYU-RC_GROUP_51_ROHS_L</x:v>
      </x:c>
      <x:c xmlns:x="http://schemas.openxmlformats.org/spreadsheetml/2006/main" r="Y316" t="str" s="11">
        <x:v>C:\Users\Nomatin\Documents\Altium\MY_LIB\MY_LIB\Datasheets\YAGEO_RC_L.pdf</x:v>
      </x:c>
      <ns0:c xmlns:ns0="http://schemas.openxmlformats.org/spreadsheetml/2006/main" r="Z316" s="16" t="inlineStr">
        <ns0:is>
          <ns0:t>MY_LIB_R_TCR</ns0:t>
        </ns0:is>
      </ns0:c>
      <ns0:c xmlns:ns0="http://schemas.openxmlformats.org/spreadsheetml/2006/main" r="AA316" s="16" t="inlineStr">
        <ns0:is>
          <ns0:t>R(T), +200 ppm/C at 25 C; positive datasheet limit</ns0:t>
        </ns0:is>
      </ns0:c>
      <ns0:c xmlns:ns0="http://schemas.openxmlformats.org/spreadsheetml/2006/main" r="AB316" s="16" t="str">
        <ns0:v>General</ns0:v>
      </ns0:c>
      <ns0:c xmlns:ns0="http://schemas.openxmlformats.org/spreadsheetml/2006/main" r="AC316" s="16" t="inlineStr">
        <ns0:is>
          <ns0:t>Spice Subcircuit</ns0:t>
        </ns0:is>
      </ns0:c>
      <ns0:c xmlns:ns0="http://schemas.openxmlformats.org/spreadsheetml/2006/main" r="AD316" s="16" t="inlineStr">
        <ns0:is>
          <ns0:t>@DESIGNATOR %1 %2 @MODEL PARAMS: Rvalue=@VALUE TC1value=200u</ns0:t>
        </ns0:is>
      </ns0:c>
      <ns0:c xmlns:ns0="http://schemas.openxmlformats.org/spreadsheetml/2006/main" r="AE316" s="16" t="inlineStr">
        <ns0:is>
          <ns0:t>X</ns0:t>
        </ns0:is>
      </ns0:c>
      <ns0:c xmlns:ns0="http://schemas.openxmlformats.org/spreadsheetml/2006/main" r="AF316" s="16" t="str">
        <ns0:v>(1:1),(2:2)</ns0:v>
      </ns0:c>
      <ns0:c xmlns:ns0="http://schemas.openxmlformats.org/spreadsheetml/2006/main" r="AG316" s="16" t="inlineStr">
        <ns0:is>
          <ns0:t>Simulation\Resistors\MY_LIB_R_TCR.ckt</ns0:t>
        </ns0:is>
      </ns0:c>
      <ns0:c xmlns:ns0="http://schemas.openxmlformats.org/spreadsheetml/2006/main" r="AH316" s="16" t="inlineStr">
        <ns0:is>
          <ns0:t>±200 ppm/°C</ns0:t>
        </ns0:is>
      </ns0:c>
    </ns0:row>
    <ns0:row xmlns:ns0="http://schemas.openxmlformats.org/spreadsheetml/2006/main" r="317" ht="30" customHeight="1">
      <ns0:c r="A317" t="str" s="10">
        <ns0:v>R0323</ns0:v>
      </ns0:c>
      <ns0:c r="B317" t="str" s="10">
        <ns0:v>Резистор</ns0:v>
      </ns0:c>
      <ns0:c r="C317" t="str" s="10">
        <ns0:v>9.1R</ns0:v>
      </ns0:c>
      <ns0:c r="D317" t="str" s="11">
        <ns0:f>SUBSTITUTE(SUBSTITUTE(SUBSTITUTE(SUBSTITUTE(C317,"meg"," МОм"),"k"," кОм"),"R"," Ом"),".",",")</ns0:f>
        <ns0:v>9,1 Ом</ns0:v>
      </ns0:c>
      <ns0:c r="E317" t="str" s="10">
        <ns0:v>±1%</ns0:v>
      </ns0:c>
      <ns0:c r="F317" t="str" s="10">
        <ns0:v>0,1 Вт</ns0:v>
      </ns0:c>
      <ns0:c r="G317" t="str" s="10">
        <ns0:v>75 В макс.</ns0:v>
      </ns0:c>
      <ns0:c r="H317" t="str" s="12">
        <ns0:v>0603</ns0:v>
      </ns0:c>
      <ns0:c r="I317" t="str" s="10">
        <ns0:v>YAGEO</ns0:v>
      </ns0:c>
      <ns0:c r="J317" t="str" s="10">
        <ns0:v>RC0603FR-079R1L</ns0:v>
      </ns0:c>
      <ns0:c r="K317" t="str" s="11">
        <ns0:f>B317&amp;" "&amp;D317&amp;" "&amp;E317&amp;" "&amp;H317</ns0:f>
        <ns0:v>Резистор 9,1 Ом ±1% 0603</ns0:v>
      </ns0:c>
      <ns0:c r="L317" t="str" s="13">
        <ns0:v>R</ns0:v>
      </ns0:c>
      <ns0:c r="M317" t="str" s="13">
        <ns0:v>Symbols\MY_LIB_Resistors.SchLib</ns0:v>
      </ns0:c>
      <ns0:c r="N317" t="str" s="13">
        <ns0:v>RESC1608X55N</ns0:v>
      </ns0:c>
      <ns0:c r="O317" t="str" s="13">
        <ns0:v>Footprints\PBL - SMD Packages.PcbLib</ns0:v>
      </ns0:c>
      <ns0:c xmlns:ns0="http://schemas.openxmlformats.org/spreadsheetml/2006/main" r="P317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7" s="10"/>
      <ns0:c r="R317" t="str" s="11">
        <ns0:f>D317</ns0:f>
        <ns0:v>9,1 Ом</ns0:v>
      </ns0:c>
      <ns0:c r="S317" t="str" s="11">
        <ns0:f>K317</ns0:f>
        <ns0:v>Резистор 9,1 Ом ±1% 0603</ns0:v>
      </ns0:c>
      <x:c xmlns:x="http://schemas.openxmlformats.org/spreadsheetml/2006/main" r="T317" t="str" s="11">
        <x:v>C:\Users\Nomatin\Documents\Altium\MY_LIB\MY_LIB\Datasheets\YAGEO_RC_L.pdf</x:v>
      </x:c>
      <x:c xmlns:x="http://schemas.openxmlformats.org/spreadsheetml/2006/main" r="U317" t="str" s="11">
        <x:v>Даташит — локальный</x:v>
      </x:c>
      <x:c xmlns:x="http://schemas.openxmlformats.org/spreadsheetml/2006/main" r="V317" t="str" s="11">
        <x:v>C:\Users\Nomatin\Documents\Altium\MY_LIB\MY_LIB\Datasheets\YAGEO_RC_L.pdf</x:v>
      </x:c>
      <x:c xmlns:x="http://schemas.openxmlformats.org/spreadsheetml/2006/main" r="W317" t="str" s="11">
        <x:v>Даташит — производитель</x:v>
      </x:c>
      <x:c xmlns:x="http://schemas.openxmlformats.org/spreadsheetml/2006/main" r="X317" t="str" s="11">
        <x:v>https://yageogroup.com/content/datasheet/asset/file/PYU-RC_GROUP_51_ROHS_L</x:v>
      </x:c>
      <x:c xmlns:x="http://schemas.openxmlformats.org/spreadsheetml/2006/main" r="Y317" t="str" s="11">
        <x:v>C:\Users\Nomatin\Documents\Altium\MY_LIB\MY_LIB\Datasheets\YAGEO_RC_L.pdf</x:v>
      </x:c>
      <ns0:c xmlns:ns0="http://schemas.openxmlformats.org/spreadsheetml/2006/main" r="Z317" s="16" t="inlineStr">
        <ns0:is>
          <ns0:t>MY_LIB_R_TCR</ns0:t>
        </ns0:is>
      </ns0:c>
      <ns0:c xmlns:ns0="http://schemas.openxmlformats.org/spreadsheetml/2006/main" r="AA317" s="16" t="inlineStr">
        <ns0:is>
          <ns0:t>R(T), +200 ppm/C at 25 C; positive datasheet limit</ns0:t>
        </ns0:is>
      </ns0:c>
      <ns0:c xmlns:ns0="http://schemas.openxmlformats.org/spreadsheetml/2006/main" r="AB317" s="16" t="str">
        <ns0:v>General</ns0:v>
      </ns0:c>
      <ns0:c xmlns:ns0="http://schemas.openxmlformats.org/spreadsheetml/2006/main" r="AC317" s="16" t="inlineStr">
        <ns0:is>
          <ns0:t>Spice Subcircuit</ns0:t>
        </ns0:is>
      </ns0:c>
      <ns0:c xmlns:ns0="http://schemas.openxmlformats.org/spreadsheetml/2006/main" r="AD317" s="16" t="inlineStr">
        <ns0:is>
          <ns0:t>@DESIGNATOR %1 %2 @MODEL PARAMS: Rvalue=@VALUE TC1value=200u</ns0:t>
        </ns0:is>
      </ns0:c>
      <ns0:c xmlns:ns0="http://schemas.openxmlformats.org/spreadsheetml/2006/main" r="AE317" s="16" t="inlineStr">
        <ns0:is>
          <ns0:t>X</ns0:t>
        </ns0:is>
      </ns0:c>
      <ns0:c xmlns:ns0="http://schemas.openxmlformats.org/spreadsheetml/2006/main" r="AF317" s="16" t="str">
        <ns0:v>(1:1),(2:2)</ns0:v>
      </ns0:c>
      <ns0:c xmlns:ns0="http://schemas.openxmlformats.org/spreadsheetml/2006/main" r="AG317" s="16" t="inlineStr">
        <ns0:is>
          <ns0:t>Simulation\Resistors\MY_LIB_R_TCR.ckt</ns0:t>
        </ns0:is>
      </ns0:c>
      <ns0:c xmlns:ns0="http://schemas.openxmlformats.org/spreadsheetml/2006/main" r="AH317" s="16" t="inlineStr">
        <ns0:is>
          <ns0:t>±200 ppm/°C</ns0:t>
        </ns0:is>
      </ns0:c>
    </ns0:row>
    <ns0:row xmlns:ns0="http://schemas.openxmlformats.org/spreadsheetml/2006/main" r="318" ht="30" customHeight="1">
      <ns0:c r="A318" t="str" s="10">
        <ns0:v>R0324</ns0:v>
      </ns0:c>
      <ns0:c r="B318" t="str" s="10">
        <ns0:v>Резистор</ns0:v>
      </ns0:c>
      <ns0:c r="C318" t="str" s="10">
        <ns0:v>10R</ns0:v>
      </ns0:c>
      <ns0:c r="D318" t="str" s="11">
        <ns0:f>SUBSTITUTE(SUBSTITUTE(SUBSTITUTE(SUBSTITUTE(C318,"meg"," МОм"),"k"," кОм"),"R"," Ом"),".",",")</ns0:f>
        <ns0:v>10 Ом</ns0:v>
      </ns0:c>
      <ns0:c r="E318" t="str" s="10">
        <ns0:v>±1%</ns0:v>
      </ns0:c>
      <ns0:c r="F318" t="str" s="10">
        <ns0:v>0,1 Вт</ns0:v>
      </ns0:c>
      <ns0:c r="G318" t="str" s="10">
        <ns0:v>75 В макс.</ns0:v>
      </ns0:c>
      <ns0:c r="H318" t="str" s="12">
        <ns0:v>0603</ns0:v>
      </ns0:c>
      <ns0:c r="I318" t="str" s="10">
        <ns0:v>YAGEO</ns0:v>
      </ns0:c>
      <ns0:c r="J318" t="str" s="10">
        <ns0:v>RC0603FR-0710RL</ns0:v>
      </ns0:c>
      <ns0:c r="K318" t="str" s="11">
        <ns0:f>B318&amp;" "&amp;D318&amp;" "&amp;E318&amp;" "&amp;H318</ns0:f>
        <ns0:v>Резистор 10 Ом ±1% 0603</ns0:v>
      </ns0:c>
      <ns0:c r="L318" t="str" s="13">
        <ns0:v>R</ns0:v>
      </ns0:c>
      <ns0:c r="M318" t="str" s="13">
        <ns0:v>Symbols\MY_LIB_Resistors.SchLib</ns0:v>
      </ns0:c>
      <ns0:c r="N318" t="str" s="13">
        <ns0:v>RESC1608X55N</ns0:v>
      </ns0:c>
      <ns0:c r="O318" t="str" s="13">
        <ns0:v>Footprints\PBL - SMD Packages.PcbLib</ns0:v>
      </ns0:c>
      <ns0:c xmlns:ns0="http://schemas.openxmlformats.org/spreadsheetml/2006/main" r="P318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318" s="10"/>
      <ns0:c r="R318" t="str" s="11">
        <ns0:f>D318</ns0:f>
        <ns0:v>10 Ом</ns0:v>
      </ns0:c>
      <ns0:c r="S318" t="str" s="11">
        <ns0:f>K318</ns0:f>
        <ns0:v>Резистор 10 Ом ±1% 0603</ns0:v>
      </ns0:c>
      <x:c xmlns:x="http://schemas.openxmlformats.org/spreadsheetml/2006/main" r="T318" t="str" s="11">
        <x:v>C:\Users\Nomatin\Documents\Altium\MY_LIB\MY_LIB\Datasheets\YAGEO_RC_L.pdf</x:v>
      </x:c>
      <x:c xmlns:x="http://schemas.openxmlformats.org/spreadsheetml/2006/main" r="U318" t="str" s="11">
        <x:v>Даташит — локальный</x:v>
      </x:c>
      <x:c xmlns:x="http://schemas.openxmlformats.org/spreadsheetml/2006/main" r="V318" t="str" s="11">
        <x:v>C:\Users\Nomatin\Documents\Altium\MY_LIB\MY_LIB\Datasheets\YAGEO_RC_L.pdf</x:v>
      </x:c>
      <x:c xmlns:x="http://schemas.openxmlformats.org/spreadsheetml/2006/main" r="W318" t="str" s="11">
        <x:v>Даташит — производитель</x:v>
      </x:c>
      <x:c xmlns:x="http://schemas.openxmlformats.org/spreadsheetml/2006/main" r="X318" t="str" s="11">
        <x:v>https://yageogroup.com/content/datasheet/asset/file/PYU-RC_GROUP_51_ROHS_L</x:v>
      </x:c>
      <x:c xmlns:x="http://schemas.openxmlformats.org/spreadsheetml/2006/main" r="Y318" t="str" s="11">
        <x:v>C:\Users\Nomatin\Documents\Altium\MY_LIB\MY_LIB\Datasheets\YAGEO_RC_L.pdf</x:v>
      </x:c>
      <ns0:c xmlns:ns0="http://schemas.openxmlformats.org/spreadsheetml/2006/main" r="Z318" s="16" t="inlineStr">
        <ns0:is>
          <ns0:t>MY_LIB_R_TCR</ns0:t>
        </ns0:is>
      </ns0:c>
      <ns0:c xmlns:ns0="http://schemas.openxmlformats.org/spreadsheetml/2006/main" r="AA318" s="16" t="inlineStr">
        <ns0:is>
          <ns0:t>R(T), +200 ppm/C at 25 C; positive datasheet limit</ns0:t>
        </ns0:is>
      </ns0:c>
      <ns0:c xmlns:ns0="http://schemas.openxmlformats.org/spreadsheetml/2006/main" r="AB318" s="16" t="str">
        <ns0:v>General</ns0:v>
      </ns0:c>
      <ns0:c xmlns:ns0="http://schemas.openxmlformats.org/spreadsheetml/2006/main" r="AC318" s="16" t="inlineStr">
        <ns0:is>
          <ns0:t>Spice Subcircuit</ns0:t>
        </ns0:is>
      </ns0:c>
      <ns0:c xmlns:ns0="http://schemas.openxmlformats.org/spreadsheetml/2006/main" r="AD318" s="16" t="inlineStr">
        <ns0:is>
          <ns0:t>@DESIGNATOR %1 %2 @MODEL PARAMS: Rvalue=@VALUE TC1value=200u</ns0:t>
        </ns0:is>
      </ns0:c>
      <ns0:c xmlns:ns0="http://schemas.openxmlformats.org/spreadsheetml/2006/main" r="AE318" s="16" t="inlineStr">
        <ns0:is>
          <ns0:t>X</ns0:t>
        </ns0:is>
      </ns0:c>
      <ns0:c xmlns:ns0="http://schemas.openxmlformats.org/spreadsheetml/2006/main" r="AF318" s="16" t="str">
        <ns0:v>(1:1),(2:2)</ns0:v>
      </ns0:c>
      <ns0:c xmlns:ns0="http://schemas.openxmlformats.org/spreadsheetml/2006/main" r="AG318" s="16" t="inlineStr">
        <ns0:is>
          <ns0:t>Simulation\Resistors\MY_LIB_R_TCR.ckt</ns0:t>
        </ns0:is>
      </ns0:c>
      <ns0:c xmlns:ns0="http://schemas.openxmlformats.org/spreadsheetml/2006/main" r="AH318" s="16" t="inlineStr">
        <ns0:is>
          <ns0:t>±200 ppm/°C</ns0:t>
        </ns0:is>
      </ns0:c>
    </ns0:row>
    <ns0:row xmlns:ns0="http://schemas.openxmlformats.org/spreadsheetml/2006/main" r="319" ht="30" customHeight="1">
      <ns0:c r="A319" t="str" s="10">
        <ns0:v>R0325</ns0:v>
      </ns0:c>
      <ns0:c r="B319" t="str" s="10">
        <ns0:v>Резистор</ns0:v>
      </ns0:c>
      <ns0:c r="C319" t="str" s="10">
        <ns0:v>11R</ns0:v>
      </ns0:c>
      <ns0:c r="D319" t="str" s="11">
        <ns0:f>SUBSTITUTE(SUBSTITUTE(SUBSTITUTE(SUBSTITUTE(C319,"meg"," МОм"),"k"," кОм"),"R"," Ом"),".",",")</ns0:f>
        <ns0:v>11 Ом</ns0:v>
      </ns0:c>
      <ns0:c r="E319" t="str" s="10">
        <ns0:v>±1%</ns0:v>
      </ns0:c>
      <ns0:c r="F319" t="str" s="10">
        <ns0:v>0,1 Вт</ns0:v>
      </ns0:c>
      <ns0:c r="G319" t="str" s="10">
        <ns0:v>75 В макс.</ns0:v>
      </ns0:c>
      <ns0:c r="H319" t="str" s="12">
        <ns0:v>0603</ns0:v>
      </ns0:c>
      <ns0:c r="I319" t="str" s="10">
        <ns0:v>YAGEO</ns0:v>
      </ns0:c>
      <ns0:c r="J319" t="str" s="10">
        <ns0:v>RC0603FR-0711RL</ns0:v>
      </ns0:c>
      <ns0:c r="K319" t="str" s="11">
        <ns0:f>B319&amp;" "&amp;D319&amp;" "&amp;E319&amp;" "&amp;H319</ns0:f>
        <ns0:v>Резистор 11 Ом ±1% 0603</ns0:v>
      </ns0:c>
      <ns0:c r="L319" t="str" s="13">
        <ns0:v>R</ns0:v>
      </ns0:c>
      <ns0:c r="M319" t="str" s="13">
        <ns0:v>Symbols\MY_LIB_Resistors.SchLib</ns0:v>
      </ns0:c>
      <ns0:c r="N319" t="str" s="13">
        <ns0:v>RESC1608X55N</ns0:v>
      </ns0:c>
      <ns0:c r="O319" t="str" s="13">
        <ns0:v>Footprints\PBL - SMD Packages.PcbLib</ns0:v>
      </ns0:c>
      <ns0:c xmlns:ns0="http://schemas.openxmlformats.org/spreadsheetml/2006/main" r="P31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19" s="10"/>
      <ns0:c r="R319" t="str" s="11">
        <ns0:f>D319</ns0:f>
        <ns0:v>11 Ом</ns0:v>
      </ns0:c>
      <ns0:c r="S319" t="str" s="11">
        <ns0:f>K319</ns0:f>
        <ns0:v>Резистор 11 Ом ±1% 0603</ns0:v>
      </ns0:c>
      <x:c xmlns:x="http://schemas.openxmlformats.org/spreadsheetml/2006/main" r="T319" t="str" s="11">
        <x:v>C:\Users\Nomatin\Documents\Altium\MY_LIB\MY_LIB\Datasheets\YAGEO_RC_L.pdf</x:v>
      </x:c>
      <x:c xmlns:x="http://schemas.openxmlformats.org/spreadsheetml/2006/main" r="U319" t="str" s="11">
        <x:v>Даташит — локальный</x:v>
      </x:c>
      <x:c xmlns:x="http://schemas.openxmlformats.org/spreadsheetml/2006/main" r="V319" t="str" s="11">
        <x:v>C:\Users\Nomatin\Documents\Altium\MY_LIB\MY_LIB\Datasheets\YAGEO_RC_L.pdf</x:v>
      </x:c>
      <x:c xmlns:x="http://schemas.openxmlformats.org/spreadsheetml/2006/main" r="W319" t="str" s="11">
        <x:v>Даташит — производитель</x:v>
      </x:c>
      <x:c xmlns:x="http://schemas.openxmlformats.org/spreadsheetml/2006/main" r="X319" t="str" s="11">
        <x:v>https://yageogroup.com/content/datasheet/asset/file/PYU-RC_GROUP_51_ROHS_L</x:v>
      </x:c>
      <x:c xmlns:x="http://schemas.openxmlformats.org/spreadsheetml/2006/main" r="Y319" t="str" s="11">
        <x:v>C:\Users\Nomatin\Documents\Altium\MY_LIB\MY_LIB\Datasheets\YAGEO_RC_L.pdf</x:v>
      </x:c>
      <ns0:c xmlns:ns0="http://schemas.openxmlformats.org/spreadsheetml/2006/main" r="Z319" s="16" t="inlineStr">
        <ns0:is>
          <ns0:t>MY_LIB_R_TCR</ns0:t>
        </ns0:is>
      </ns0:c>
      <ns0:c xmlns:ns0="http://schemas.openxmlformats.org/spreadsheetml/2006/main" r="AA319" s="16" t="inlineStr">
        <ns0:is>
          <ns0:t>R(T), +100 ppm/C at 25 C; positive datasheet limit</ns0:t>
        </ns0:is>
      </ns0:c>
      <ns0:c xmlns:ns0="http://schemas.openxmlformats.org/spreadsheetml/2006/main" r="AB319" s="16" t="str">
        <ns0:v>General</ns0:v>
      </ns0:c>
      <ns0:c xmlns:ns0="http://schemas.openxmlformats.org/spreadsheetml/2006/main" r="AC319" s="16" t="inlineStr">
        <ns0:is>
          <ns0:t>Spice Subcircuit</ns0:t>
        </ns0:is>
      </ns0:c>
      <ns0:c xmlns:ns0="http://schemas.openxmlformats.org/spreadsheetml/2006/main" r="AD319" s="16" t="inlineStr">
        <ns0:is>
          <ns0:t>@DESIGNATOR %1 %2 @MODEL PARAMS: Rvalue=@VALUE TC1value=100u</ns0:t>
        </ns0:is>
      </ns0:c>
      <ns0:c xmlns:ns0="http://schemas.openxmlformats.org/spreadsheetml/2006/main" r="AE319" s="16" t="inlineStr">
        <ns0:is>
          <ns0:t>X</ns0:t>
        </ns0:is>
      </ns0:c>
      <ns0:c xmlns:ns0="http://schemas.openxmlformats.org/spreadsheetml/2006/main" r="AF319" s="16" t="str">
        <ns0:v>(1:1),(2:2)</ns0:v>
      </ns0:c>
      <ns0:c xmlns:ns0="http://schemas.openxmlformats.org/spreadsheetml/2006/main" r="AG319" s="16" t="inlineStr">
        <ns0:is>
          <ns0:t>Simulation\Resistors\MY_LIB_R_TCR.ckt</ns0:t>
        </ns0:is>
      </ns0:c>
      <ns0:c xmlns:ns0="http://schemas.openxmlformats.org/spreadsheetml/2006/main" r="AH319" s="16" t="inlineStr">
        <ns0:is>
          <ns0:t>±100 ppm/°C</ns0:t>
        </ns0:is>
      </ns0:c>
    </ns0:row>
    <ns0:row xmlns:ns0="http://schemas.openxmlformats.org/spreadsheetml/2006/main" r="320" ht="30" customHeight="1">
      <ns0:c r="A320" t="str" s="10">
        <ns0:v>R0326</ns0:v>
      </ns0:c>
      <ns0:c r="B320" t="str" s="10">
        <ns0:v>Резистор</ns0:v>
      </ns0:c>
      <ns0:c r="C320" t="str" s="10">
        <ns0:v>12R</ns0:v>
      </ns0:c>
      <ns0:c r="D320" t="str" s="11">
        <ns0:f>SUBSTITUTE(SUBSTITUTE(SUBSTITUTE(SUBSTITUTE(C320,"meg"," МОм"),"k"," кОм"),"R"," Ом"),".",",")</ns0:f>
        <ns0:v>12 Ом</ns0:v>
      </ns0:c>
      <ns0:c r="E320" t="str" s="10">
        <ns0:v>±1%</ns0:v>
      </ns0:c>
      <ns0:c r="F320" t="str" s="10">
        <ns0:v>0,1 Вт</ns0:v>
      </ns0:c>
      <ns0:c r="G320" t="str" s="10">
        <ns0:v>75 В макс.</ns0:v>
      </ns0:c>
      <ns0:c r="H320" t="str" s="12">
        <ns0:v>0603</ns0:v>
      </ns0:c>
      <ns0:c r="I320" t="str" s="10">
        <ns0:v>YAGEO</ns0:v>
      </ns0:c>
      <ns0:c r="J320" t="str" s="10">
        <ns0:v>RC0603FR-0712RL</ns0:v>
      </ns0:c>
      <ns0:c r="K320" t="str" s="11">
        <ns0:f>B320&amp;" "&amp;D320&amp;" "&amp;E320&amp;" "&amp;H320</ns0:f>
        <ns0:v>Резистор 12 Ом ±1% 0603</ns0:v>
      </ns0:c>
      <ns0:c r="L320" t="str" s="13">
        <ns0:v>R</ns0:v>
      </ns0:c>
      <ns0:c r="M320" t="str" s="13">
        <ns0:v>Symbols\MY_LIB_Resistors.SchLib</ns0:v>
      </ns0:c>
      <ns0:c r="N320" t="str" s="13">
        <ns0:v>RESC1608X55N</ns0:v>
      </ns0:c>
      <ns0:c r="O320" t="str" s="13">
        <ns0:v>Footprints\PBL - SMD Packages.PcbLib</ns0:v>
      </ns0:c>
      <ns0:c xmlns:ns0="http://schemas.openxmlformats.org/spreadsheetml/2006/main" r="P32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0" s="10"/>
      <ns0:c r="R320" t="str" s="11">
        <ns0:f>D320</ns0:f>
        <ns0:v>12 Ом</ns0:v>
      </ns0:c>
      <ns0:c r="S320" t="str" s="11">
        <ns0:f>K320</ns0:f>
        <ns0:v>Резистор 12 Ом ±1% 0603</ns0:v>
      </ns0:c>
      <x:c xmlns:x="http://schemas.openxmlformats.org/spreadsheetml/2006/main" r="T320" t="str" s="11">
        <x:v>C:\Users\Nomatin\Documents\Altium\MY_LIB\MY_LIB\Datasheets\YAGEO_RC_L.pdf</x:v>
      </x:c>
      <x:c xmlns:x="http://schemas.openxmlformats.org/spreadsheetml/2006/main" r="U320" t="str" s="11">
        <x:v>Даташит — локальный</x:v>
      </x:c>
      <x:c xmlns:x="http://schemas.openxmlformats.org/spreadsheetml/2006/main" r="V320" t="str" s="11">
        <x:v>C:\Users\Nomatin\Documents\Altium\MY_LIB\MY_LIB\Datasheets\YAGEO_RC_L.pdf</x:v>
      </x:c>
      <x:c xmlns:x="http://schemas.openxmlformats.org/spreadsheetml/2006/main" r="W320" t="str" s="11">
        <x:v>Даташит — производитель</x:v>
      </x:c>
      <x:c xmlns:x="http://schemas.openxmlformats.org/spreadsheetml/2006/main" r="X320" t="str" s="11">
        <x:v>https://yageogroup.com/content/datasheet/asset/file/PYU-RC_GROUP_51_ROHS_L</x:v>
      </x:c>
      <x:c xmlns:x="http://schemas.openxmlformats.org/spreadsheetml/2006/main" r="Y320" t="str" s="11">
        <x:v>C:\Users\Nomatin\Documents\Altium\MY_LIB\MY_LIB\Datasheets\YAGEO_RC_L.pdf</x:v>
      </x:c>
      <ns0:c xmlns:ns0="http://schemas.openxmlformats.org/spreadsheetml/2006/main" r="Z320" s="16" t="inlineStr">
        <ns0:is>
          <ns0:t>MY_LIB_R_TCR</ns0:t>
        </ns0:is>
      </ns0:c>
      <ns0:c xmlns:ns0="http://schemas.openxmlformats.org/spreadsheetml/2006/main" r="AA320" s="16" t="inlineStr">
        <ns0:is>
          <ns0:t>R(T), +100 ppm/C at 25 C; positive datasheet limit</ns0:t>
        </ns0:is>
      </ns0:c>
      <ns0:c xmlns:ns0="http://schemas.openxmlformats.org/spreadsheetml/2006/main" r="AB320" s="16" t="str">
        <ns0:v>General</ns0:v>
      </ns0:c>
      <ns0:c xmlns:ns0="http://schemas.openxmlformats.org/spreadsheetml/2006/main" r="AC320" s="16" t="inlineStr">
        <ns0:is>
          <ns0:t>Spice Subcircuit</ns0:t>
        </ns0:is>
      </ns0:c>
      <ns0:c xmlns:ns0="http://schemas.openxmlformats.org/spreadsheetml/2006/main" r="AD320" s="16" t="inlineStr">
        <ns0:is>
          <ns0:t>@DESIGNATOR %1 %2 @MODEL PARAMS: Rvalue=@VALUE TC1value=100u</ns0:t>
        </ns0:is>
      </ns0:c>
      <ns0:c xmlns:ns0="http://schemas.openxmlformats.org/spreadsheetml/2006/main" r="AE320" s="16" t="inlineStr">
        <ns0:is>
          <ns0:t>X</ns0:t>
        </ns0:is>
      </ns0:c>
      <ns0:c xmlns:ns0="http://schemas.openxmlformats.org/spreadsheetml/2006/main" r="AF320" s="16" t="str">
        <ns0:v>(1:1),(2:2)</ns0:v>
      </ns0:c>
      <ns0:c xmlns:ns0="http://schemas.openxmlformats.org/spreadsheetml/2006/main" r="AG320" s="16" t="inlineStr">
        <ns0:is>
          <ns0:t>Simulation\Resistors\MY_LIB_R_TCR.ckt</ns0:t>
        </ns0:is>
      </ns0:c>
      <ns0:c xmlns:ns0="http://schemas.openxmlformats.org/spreadsheetml/2006/main" r="AH320" s="16" t="inlineStr">
        <ns0:is>
          <ns0:t>±100 ppm/°C</ns0:t>
        </ns0:is>
      </ns0:c>
    </ns0:row>
    <ns0:row xmlns:ns0="http://schemas.openxmlformats.org/spreadsheetml/2006/main" r="321" ht="30" customHeight="1">
      <ns0:c r="A321" t="str" s="10">
        <ns0:v>R0327</ns0:v>
      </ns0:c>
      <ns0:c r="B321" t="str" s="10">
        <ns0:v>Резистор</ns0:v>
      </ns0:c>
      <ns0:c r="C321" t="str" s="10">
        <ns0:v>13R</ns0:v>
      </ns0:c>
      <ns0:c r="D321" t="str" s="11">
        <ns0:f>SUBSTITUTE(SUBSTITUTE(SUBSTITUTE(SUBSTITUTE(C321,"meg"," МОм"),"k"," кОм"),"R"," Ом"),".",",")</ns0:f>
        <ns0:v>13 Ом</ns0:v>
      </ns0:c>
      <ns0:c r="E321" t="str" s="10">
        <ns0:v>±1%</ns0:v>
      </ns0:c>
      <ns0:c r="F321" t="str" s="10">
        <ns0:v>0,1 Вт</ns0:v>
      </ns0:c>
      <ns0:c r="G321" t="str" s="10">
        <ns0:v>75 В макс.</ns0:v>
      </ns0:c>
      <ns0:c r="H321" t="str" s="12">
        <ns0:v>0603</ns0:v>
      </ns0:c>
      <ns0:c r="I321" t="str" s="10">
        <ns0:v>YAGEO</ns0:v>
      </ns0:c>
      <ns0:c r="J321" t="str" s="10">
        <ns0:v>RC0603FR-0713RL</ns0:v>
      </ns0:c>
      <ns0:c r="K321" t="str" s="11">
        <ns0:f>B321&amp;" "&amp;D321&amp;" "&amp;E321&amp;" "&amp;H321</ns0:f>
        <ns0:v>Резистор 13 Ом ±1% 0603</ns0:v>
      </ns0:c>
      <ns0:c r="L321" t="str" s="13">
        <ns0:v>R</ns0:v>
      </ns0:c>
      <ns0:c r="M321" t="str" s="13">
        <ns0:v>Symbols\MY_LIB_Resistors.SchLib</ns0:v>
      </ns0:c>
      <ns0:c r="N321" t="str" s="13">
        <ns0:v>RESC1608X55N</ns0:v>
      </ns0:c>
      <ns0:c r="O321" t="str" s="13">
        <ns0:v>Footprints\PBL - SMD Packages.PcbLib</ns0:v>
      </ns0:c>
      <ns0:c xmlns:ns0="http://schemas.openxmlformats.org/spreadsheetml/2006/main" r="P32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1" s="10"/>
      <ns0:c r="R321" t="str" s="11">
        <ns0:f>D321</ns0:f>
        <ns0:v>13 Ом</ns0:v>
      </ns0:c>
      <ns0:c r="S321" t="str" s="11">
        <ns0:f>K321</ns0:f>
        <ns0:v>Резистор 13 Ом ±1% 0603</ns0:v>
      </ns0:c>
      <x:c xmlns:x="http://schemas.openxmlformats.org/spreadsheetml/2006/main" r="T321" t="str" s="11">
        <x:v>C:\Users\Nomatin\Documents\Altium\MY_LIB\MY_LIB\Datasheets\YAGEO_RC_L.pdf</x:v>
      </x:c>
      <x:c xmlns:x="http://schemas.openxmlformats.org/spreadsheetml/2006/main" r="U321" t="str" s="11">
        <x:v>Даташит — локальный</x:v>
      </x:c>
      <x:c xmlns:x="http://schemas.openxmlformats.org/spreadsheetml/2006/main" r="V321" t="str" s="11">
        <x:v>C:\Users\Nomatin\Documents\Altium\MY_LIB\MY_LIB\Datasheets\YAGEO_RC_L.pdf</x:v>
      </x:c>
      <x:c xmlns:x="http://schemas.openxmlformats.org/spreadsheetml/2006/main" r="W321" t="str" s="11">
        <x:v>Даташит — производитель</x:v>
      </x:c>
      <x:c xmlns:x="http://schemas.openxmlformats.org/spreadsheetml/2006/main" r="X321" t="str" s="11">
        <x:v>https://yageogroup.com/content/datasheet/asset/file/PYU-RC_GROUP_51_ROHS_L</x:v>
      </x:c>
      <x:c xmlns:x="http://schemas.openxmlformats.org/spreadsheetml/2006/main" r="Y321" t="str" s="11">
        <x:v>C:\Users\Nomatin\Documents\Altium\MY_LIB\MY_LIB\Datasheets\YAGEO_RC_L.pdf</x:v>
      </x:c>
      <ns0:c xmlns:ns0="http://schemas.openxmlformats.org/spreadsheetml/2006/main" r="Z321" s="16" t="inlineStr">
        <ns0:is>
          <ns0:t>MY_LIB_R_TCR</ns0:t>
        </ns0:is>
      </ns0:c>
      <ns0:c xmlns:ns0="http://schemas.openxmlformats.org/spreadsheetml/2006/main" r="AA321" s="16" t="inlineStr">
        <ns0:is>
          <ns0:t>R(T), +100 ppm/C at 25 C; positive datasheet limit</ns0:t>
        </ns0:is>
      </ns0:c>
      <ns0:c xmlns:ns0="http://schemas.openxmlformats.org/spreadsheetml/2006/main" r="AB321" s="16" t="str">
        <ns0:v>General</ns0:v>
      </ns0:c>
      <ns0:c xmlns:ns0="http://schemas.openxmlformats.org/spreadsheetml/2006/main" r="AC321" s="16" t="inlineStr">
        <ns0:is>
          <ns0:t>Spice Subcircuit</ns0:t>
        </ns0:is>
      </ns0:c>
      <ns0:c xmlns:ns0="http://schemas.openxmlformats.org/spreadsheetml/2006/main" r="AD321" s="16" t="inlineStr">
        <ns0:is>
          <ns0:t>@DESIGNATOR %1 %2 @MODEL PARAMS: Rvalue=@VALUE TC1value=100u</ns0:t>
        </ns0:is>
      </ns0:c>
      <ns0:c xmlns:ns0="http://schemas.openxmlformats.org/spreadsheetml/2006/main" r="AE321" s="16" t="inlineStr">
        <ns0:is>
          <ns0:t>X</ns0:t>
        </ns0:is>
      </ns0:c>
      <ns0:c xmlns:ns0="http://schemas.openxmlformats.org/spreadsheetml/2006/main" r="AF321" s="16" t="str">
        <ns0:v>(1:1),(2:2)</ns0:v>
      </ns0:c>
      <ns0:c xmlns:ns0="http://schemas.openxmlformats.org/spreadsheetml/2006/main" r="AG321" s="16" t="inlineStr">
        <ns0:is>
          <ns0:t>Simulation\Resistors\MY_LIB_R_TCR.ckt</ns0:t>
        </ns0:is>
      </ns0:c>
      <ns0:c xmlns:ns0="http://schemas.openxmlformats.org/spreadsheetml/2006/main" r="AH321" s="16" t="inlineStr">
        <ns0:is>
          <ns0:t>±100 ppm/°C</ns0:t>
        </ns0:is>
      </ns0:c>
    </ns0:row>
    <ns0:row xmlns:ns0="http://schemas.openxmlformats.org/spreadsheetml/2006/main" r="322" ht="30" customHeight="1">
      <ns0:c r="A322" t="str" s="10">
        <ns0:v>R0328</ns0:v>
      </ns0:c>
      <ns0:c r="B322" t="str" s="10">
        <ns0:v>Резистор</ns0:v>
      </ns0:c>
      <ns0:c r="C322" t="str" s="10">
        <ns0:v>15R</ns0:v>
      </ns0:c>
      <ns0:c r="D322" t="str" s="11">
        <ns0:f>SUBSTITUTE(SUBSTITUTE(SUBSTITUTE(SUBSTITUTE(C322,"meg"," МОм"),"k"," кОм"),"R"," Ом"),".",",")</ns0:f>
        <ns0:v>15 Ом</ns0:v>
      </ns0:c>
      <ns0:c r="E322" t="str" s="10">
        <ns0:v>±1%</ns0:v>
      </ns0:c>
      <ns0:c r="F322" t="str" s="10">
        <ns0:v>0,1 Вт</ns0:v>
      </ns0:c>
      <ns0:c r="G322" t="str" s="10">
        <ns0:v>75 В макс.</ns0:v>
      </ns0:c>
      <ns0:c r="H322" t="str" s="12">
        <ns0:v>0603</ns0:v>
      </ns0:c>
      <ns0:c r="I322" t="str" s="10">
        <ns0:v>YAGEO</ns0:v>
      </ns0:c>
      <ns0:c r="J322" t="str" s="10">
        <ns0:v>RC0603FR-0715RL</ns0:v>
      </ns0:c>
      <ns0:c r="K322" t="str" s="11">
        <ns0:f>B322&amp;" "&amp;D322&amp;" "&amp;E322&amp;" "&amp;H322</ns0:f>
        <ns0:v>Резистор 15 Ом ±1% 0603</ns0:v>
      </ns0:c>
      <ns0:c r="L322" t="str" s="13">
        <ns0:v>R</ns0:v>
      </ns0:c>
      <ns0:c r="M322" t="str" s="13">
        <ns0:v>Symbols\MY_LIB_Resistors.SchLib</ns0:v>
      </ns0:c>
      <ns0:c r="N322" t="str" s="13">
        <ns0:v>RESC1608X55N</ns0:v>
      </ns0:c>
      <ns0:c r="O322" t="str" s="13">
        <ns0:v>Footprints\PBL - SMD Packages.PcbLib</ns0:v>
      </ns0:c>
      <ns0:c xmlns:ns0="http://schemas.openxmlformats.org/spreadsheetml/2006/main" r="P32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2" s="10"/>
      <ns0:c r="R322" t="str" s="11">
        <ns0:f>D322</ns0:f>
        <ns0:v>15 Ом</ns0:v>
      </ns0:c>
      <ns0:c r="S322" t="str" s="11">
        <ns0:f>K322</ns0:f>
        <ns0:v>Резистор 15 Ом ±1% 0603</ns0:v>
      </ns0:c>
      <x:c xmlns:x="http://schemas.openxmlformats.org/spreadsheetml/2006/main" r="T322" t="str" s="11">
        <x:v>C:\Users\Nomatin\Documents\Altium\MY_LIB\MY_LIB\Datasheets\YAGEO_RC_L.pdf</x:v>
      </x:c>
      <x:c xmlns:x="http://schemas.openxmlformats.org/spreadsheetml/2006/main" r="U322" t="str" s="11">
        <x:v>Даташит — локальный</x:v>
      </x:c>
      <x:c xmlns:x="http://schemas.openxmlformats.org/spreadsheetml/2006/main" r="V322" t="str" s="11">
        <x:v>C:\Users\Nomatin\Documents\Altium\MY_LIB\MY_LIB\Datasheets\YAGEO_RC_L.pdf</x:v>
      </x:c>
      <x:c xmlns:x="http://schemas.openxmlformats.org/spreadsheetml/2006/main" r="W322" t="str" s="11">
        <x:v>Даташит — производитель</x:v>
      </x:c>
      <x:c xmlns:x="http://schemas.openxmlformats.org/spreadsheetml/2006/main" r="X322" t="str" s="11">
        <x:v>https://yageogroup.com/content/datasheet/asset/file/PYU-RC_GROUP_51_ROHS_L</x:v>
      </x:c>
      <x:c xmlns:x="http://schemas.openxmlformats.org/spreadsheetml/2006/main" r="Y322" t="str" s="11">
        <x:v>C:\Users\Nomatin\Documents\Altium\MY_LIB\MY_LIB\Datasheets\YAGEO_RC_L.pdf</x:v>
      </x:c>
      <ns0:c xmlns:ns0="http://schemas.openxmlformats.org/spreadsheetml/2006/main" r="Z322" s="16" t="inlineStr">
        <ns0:is>
          <ns0:t>MY_LIB_R_TCR</ns0:t>
        </ns0:is>
      </ns0:c>
      <ns0:c xmlns:ns0="http://schemas.openxmlformats.org/spreadsheetml/2006/main" r="AA322" s="16" t="inlineStr">
        <ns0:is>
          <ns0:t>R(T), +100 ppm/C at 25 C; positive datasheet limit</ns0:t>
        </ns0:is>
      </ns0:c>
      <ns0:c xmlns:ns0="http://schemas.openxmlformats.org/spreadsheetml/2006/main" r="AB322" s="16" t="str">
        <ns0:v>General</ns0:v>
      </ns0:c>
      <ns0:c xmlns:ns0="http://schemas.openxmlformats.org/spreadsheetml/2006/main" r="AC322" s="16" t="inlineStr">
        <ns0:is>
          <ns0:t>Spice Subcircuit</ns0:t>
        </ns0:is>
      </ns0:c>
      <ns0:c xmlns:ns0="http://schemas.openxmlformats.org/spreadsheetml/2006/main" r="AD322" s="16" t="inlineStr">
        <ns0:is>
          <ns0:t>@DESIGNATOR %1 %2 @MODEL PARAMS: Rvalue=@VALUE TC1value=100u</ns0:t>
        </ns0:is>
      </ns0:c>
      <ns0:c xmlns:ns0="http://schemas.openxmlformats.org/spreadsheetml/2006/main" r="AE322" s="16" t="inlineStr">
        <ns0:is>
          <ns0:t>X</ns0:t>
        </ns0:is>
      </ns0:c>
      <ns0:c xmlns:ns0="http://schemas.openxmlformats.org/spreadsheetml/2006/main" r="AF322" s="16" t="str">
        <ns0:v>(1:1),(2:2)</ns0:v>
      </ns0:c>
      <ns0:c xmlns:ns0="http://schemas.openxmlformats.org/spreadsheetml/2006/main" r="AG322" s="16" t="inlineStr">
        <ns0:is>
          <ns0:t>Simulation\Resistors\MY_LIB_R_TCR.ckt</ns0:t>
        </ns0:is>
      </ns0:c>
      <ns0:c xmlns:ns0="http://schemas.openxmlformats.org/spreadsheetml/2006/main" r="AH322" s="16" t="inlineStr">
        <ns0:is>
          <ns0:t>±100 ppm/°C</ns0:t>
        </ns0:is>
      </ns0:c>
    </ns0:row>
    <ns0:row xmlns:ns0="http://schemas.openxmlformats.org/spreadsheetml/2006/main" r="323" ht="30" customHeight="1">
      <ns0:c r="A323" t="str" s="10">
        <ns0:v>R0329</ns0:v>
      </ns0:c>
      <ns0:c r="B323" t="str" s="10">
        <ns0:v>Резистор</ns0:v>
      </ns0:c>
      <ns0:c r="C323" t="str" s="10">
        <ns0:v>16R</ns0:v>
      </ns0:c>
      <ns0:c r="D323" t="str" s="11">
        <ns0:f>SUBSTITUTE(SUBSTITUTE(SUBSTITUTE(SUBSTITUTE(C323,"meg"," МОм"),"k"," кОм"),"R"," Ом"),".",",")</ns0:f>
        <ns0:v>16 Ом</ns0:v>
      </ns0:c>
      <ns0:c r="E323" t="str" s="10">
        <ns0:v>±1%</ns0:v>
      </ns0:c>
      <ns0:c r="F323" t="str" s="10">
        <ns0:v>0,1 Вт</ns0:v>
      </ns0:c>
      <ns0:c r="G323" t="str" s="10">
        <ns0:v>75 В макс.</ns0:v>
      </ns0:c>
      <ns0:c r="H323" t="str" s="12">
        <ns0:v>0603</ns0:v>
      </ns0:c>
      <ns0:c r="I323" t="str" s="10">
        <ns0:v>YAGEO</ns0:v>
      </ns0:c>
      <ns0:c r="J323" t="str" s="10">
        <ns0:v>RC0603FR-0716RL</ns0:v>
      </ns0:c>
      <ns0:c r="K323" t="str" s="11">
        <ns0:f>B323&amp;" "&amp;D323&amp;" "&amp;E323&amp;" "&amp;H323</ns0:f>
        <ns0:v>Резистор 16 Ом ±1% 0603</ns0:v>
      </ns0:c>
      <ns0:c r="L323" t="str" s="13">
        <ns0:v>R</ns0:v>
      </ns0:c>
      <ns0:c r="M323" t="str" s="13">
        <ns0:v>Symbols\MY_LIB_Resistors.SchLib</ns0:v>
      </ns0:c>
      <ns0:c r="N323" t="str" s="13">
        <ns0:v>RESC1608X55N</ns0:v>
      </ns0:c>
      <ns0:c r="O323" t="str" s="13">
        <ns0:v>Footprints\PBL - SMD Packages.PcbLib</ns0:v>
      </ns0:c>
      <ns0:c xmlns:ns0="http://schemas.openxmlformats.org/spreadsheetml/2006/main" r="P32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3" s="10"/>
      <ns0:c r="R323" t="str" s="11">
        <ns0:f>D323</ns0:f>
        <ns0:v>16 Ом</ns0:v>
      </ns0:c>
      <ns0:c r="S323" t="str" s="11">
        <ns0:f>K323</ns0:f>
        <ns0:v>Резистор 16 Ом ±1% 0603</ns0:v>
      </ns0:c>
      <x:c xmlns:x="http://schemas.openxmlformats.org/spreadsheetml/2006/main" r="T323" t="str" s="11">
        <x:v>C:\Users\Nomatin\Documents\Altium\MY_LIB\MY_LIB\Datasheets\YAGEO_RC_L.pdf</x:v>
      </x:c>
      <x:c xmlns:x="http://schemas.openxmlformats.org/spreadsheetml/2006/main" r="U323" t="str" s="11">
        <x:v>Даташит — локальный</x:v>
      </x:c>
      <x:c xmlns:x="http://schemas.openxmlformats.org/spreadsheetml/2006/main" r="V323" t="str" s="11">
        <x:v>C:\Users\Nomatin\Documents\Altium\MY_LIB\MY_LIB\Datasheets\YAGEO_RC_L.pdf</x:v>
      </x:c>
      <x:c xmlns:x="http://schemas.openxmlformats.org/spreadsheetml/2006/main" r="W323" t="str" s="11">
        <x:v>Даташит — производитель</x:v>
      </x:c>
      <x:c xmlns:x="http://schemas.openxmlformats.org/spreadsheetml/2006/main" r="X323" t="str" s="11">
        <x:v>https://yageogroup.com/content/datasheet/asset/file/PYU-RC_GROUP_51_ROHS_L</x:v>
      </x:c>
      <x:c xmlns:x="http://schemas.openxmlformats.org/spreadsheetml/2006/main" r="Y323" t="str" s="11">
        <x:v>C:\Users\Nomatin\Documents\Altium\MY_LIB\MY_LIB\Datasheets\YAGEO_RC_L.pdf</x:v>
      </x:c>
      <ns0:c xmlns:ns0="http://schemas.openxmlformats.org/spreadsheetml/2006/main" r="Z323" s="16" t="inlineStr">
        <ns0:is>
          <ns0:t>MY_LIB_R_TCR</ns0:t>
        </ns0:is>
      </ns0:c>
      <ns0:c xmlns:ns0="http://schemas.openxmlformats.org/spreadsheetml/2006/main" r="AA323" s="16" t="inlineStr">
        <ns0:is>
          <ns0:t>R(T), +100 ppm/C at 25 C; positive datasheet limit</ns0:t>
        </ns0:is>
      </ns0:c>
      <ns0:c xmlns:ns0="http://schemas.openxmlformats.org/spreadsheetml/2006/main" r="AB323" s="16" t="str">
        <ns0:v>General</ns0:v>
      </ns0:c>
      <ns0:c xmlns:ns0="http://schemas.openxmlformats.org/spreadsheetml/2006/main" r="AC323" s="16" t="inlineStr">
        <ns0:is>
          <ns0:t>Spice Subcircuit</ns0:t>
        </ns0:is>
      </ns0:c>
      <ns0:c xmlns:ns0="http://schemas.openxmlformats.org/spreadsheetml/2006/main" r="AD323" s="16" t="inlineStr">
        <ns0:is>
          <ns0:t>@DESIGNATOR %1 %2 @MODEL PARAMS: Rvalue=@VALUE TC1value=100u</ns0:t>
        </ns0:is>
      </ns0:c>
      <ns0:c xmlns:ns0="http://schemas.openxmlformats.org/spreadsheetml/2006/main" r="AE323" s="16" t="inlineStr">
        <ns0:is>
          <ns0:t>X</ns0:t>
        </ns0:is>
      </ns0:c>
      <ns0:c xmlns:ns0="http://schemas.openxmlformats.org/spreadsheetml/2006/main" r="AF323" s="16" t="str">
        <ns0:v>(1:1),(2:2)</ns0:v>
      </ns0:c>
      <ns0:c xmlns:ns0="http://schemas.openxmlformats.org/spreadsheetml/2006/main" r="AG323" s="16" t="inlineStr">
        <ns0:is>
          <ns0:t>Simulation\Resistors\MY_LIB_R_TCR.ckt</ns0:t>
        </ns0:is>
      </ns0:c>
      <ns0:c xmlns:ns0="http://schemas.openxmlformats.org/spreadsheetml/2006/main" r="AH323" s="16" t="inlineStr">
        <ns0:is>
          <ns0:t>±100 ppm/°C</ns0:t>
        </ns0:is>
      </ns0:c>
    </ns0:row>
    <ns0:row xmlns:ns0="http://schemas.openxmlformats.org/spreadsheetml/2006/main" r="324" ht="30" customHeight="1">
      <ns0:c r="A324" t="str" s="10">
        <ns0:v>R0330</ns0:v>
      </ns0:c>
      <ns0:c r="B324" t="str" s="10">
        <ns0:v>Резистор</ns0:v>
      </ns0:c>
      <ns0:c r="C324" t="str" s="10">
        <ns0:v>18R</ns0:v>
      </ns0:c>
      <ns0:c r="D324" t="str" s="11">
        <ns0:f>SUBSTITUTE(SUBSTITUTE(SUBSTITUTE(SUBSTITUTE(C324,"meg"," МОм"),"k"," кОм"),"R"," Ом"),".",",")</ns0:f>
        <ns0:v>18 Ом</ns0:v>
      </ns0:c>
      <ns0:c r="E324" t="str" s="10">
        <ns0:v>±1%</ns0:v>
      </ns0:c>
      <ns0:c r="F324" t="str" s="10">
        <ns0:v>0,1 Вт</ns0:v>
      </ns0:c>
      <ns0:c r="G324" t="str" s="10">
        <ns0:v>75 В макс.</ns0:v>
      </ns0:c>
      <ns0:c r="H324" t="str" s="12">
        <ns0:v>0603</ns0:v>
      </ns0:c>
      <ns0:c r="I324" t="str" s="10">
        <ns0:v>YAGEO</ns0:v>
      </ns0:c>
      <ns0:c r="J324" t="str" s="10">
        <ns0:v>RC0603FR-0718RL</ns0:v>
      </ns0:c>
      <ns0:c r="K324" t="str" s="11">
        <ns0:f>B324&amp;" "&amp;D324&amp;" "&amp;E324&amp;" "&amp;H324</ns0:f>
        <ns0:v>Резистор 18 Ом ±1% 0603</ns0:v>
      </ns0:c>
      <ns0:c r="L324" t="str" s="13">
        <ns0:v>R</ns0:v>
      </ns0:c>
      <ns0:c r="M324" t="str" s="13">
        <ns0:v>Symbols\MY_LIB_Resistors.SchLib</ns0:v>
      </ns0:c>
      <ns0:c r="N324" t="str" s="13">
        <ns0:v>RESC1608X55N</ns0:v>
      </ns0:c>
      <ns0:c r="O324" t="str" s="13">
        <ns0:v>Footprints\PBL - SMD Packages.PcbLib</ns0:v>
      </ns0:c>
      <ns0:c xmlns:ns0="http://schemas.openxmlformats.org/spreadsheetml/2006/main" r="P32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4" s="10"/>
      <ns0:c r="R324" t="str" s="11">
        <ns0:f>D324</ns0:f>
        <ns0:v>18 Ом</ns0:v>
      </ns0:c>
      <ns0:c r="S324" t="str" s="11">
        <ns0:f>K324</ns0:f>
        <ns0:v>Резистор 18 Ом ±1% 0603</ns0:v>
      </ns0:c>
      <x:c xmlns:x="http://schemas.openxmlformats.org/spreadsheetml/2006/main" r="T324" t="str" s="11">
        <x:v>C:\Users\Nomatin\Documents\Altium\MY_LIB\MY_LIB\Datasheets\YAGEO_RC_L.pdf</x:v>
      </x:c>
      <x:c xmlns:x="http://schemas.openxmlformats.org/spreadsheetml/2006/main" r="U324" t="str" s="11">
        <x:v>Даташит — локальный</x:v>
      </x:c>
      <x:c xmlns:x="http://schemas.openxmlformats.org/spreadsheetml/2006/main" r="V324" t="str" s="11">
        <x:v>C:\Users\Nomatin\Documents\Altium\MY_LIB\MY_LIB\Datasheets\YAGEO_RC_L.pdf</x:v>
      </x:c>
      <x:c xmlns:x="http://schemas.openxmlformats.org/spreadsheetml/2006/main" r="W324" t="str" s="11">
        <x:v>Даташит — производитель</x:v>
      </x:c>
      <x:c xmlns:x="http://schemas.openxmlformats.org/spreadsheetml/2006/main" r="X324" t="str" s="11">
        <x:v>https://yageogroup.com/content/datasheet/asset/file/PYU-RC_GROUP_51_ROHS_L</x:v>
      </x:c>
      <x:c xmlns:x="http://schemas.openxmlformats.org/spreadsheetml/2006/main" r="Y324" t="str" s="11">
        <x:v>C:\Users\Nomatin\Documents\Altium\MY_LIB\MY_LIB\Datasheets\YAGEO_RC_L.pdf</x:v>
      </x:c>
      <ns0:c xmlns:ns0="http://schemas.openxmlformats.org/spreadsheetml/2006/main" r="Z324" s="16" t="inlineStr">
        <ns0:is>
          <ns0:t>MY_LIB_R_TCR</ns0:t>
        </ns0:is>
      </ns0:c>
      <ns0:c xmlns:ns0="http://schemas.openxmlformats.org/spreadsheetml/2006/main" r="AA324" s="16" t="inlineStr">
        <ns0:is>
          <ns0:t>R(T), +100 ppm/C at 25 C; positive datasheet limit</ns0:t>
        </ns0:is>
      </ns0:c>
      <ns0:c xmlns:ns0="http://schemas.openxmlformats.org/spreadsheetml/2006/main" r="AB324" s="16" t="str">
        <ns0:v>General</ns0:v>
      </ns0:c>
      <ns0:c xmlns:ns0="http://schemas.openxmlformats.org/spreadsheetml/2006/main" r="AC324" s="16" t="inlineStr">
        <ns0:is>
          <ns0:t>Spice Subcircuit</ns0:t>
        </ns0:is>
      </ns0:c>
      <ns0:c xmlns:ns0="http://schemas.openxmlformats.org/spreadsheetml/2006/main" r="AD324" s="16" t="inlineStr">
        <ns0:is>
          <ns0:t>@DESIGNATOR %1 %2 @MODEL PARAMS: Rvalue=@VALUE TC1value=100u</ns0:t>
        </ns0:is>
      </ns0:c>
      <ns0:c xmlns:ns0="http://schemas.openxmlformats.org/spreadsheetml/2006/main" r="AE324" s="16" t="inlineStr">
        <ns0:is>
          <ns0:t>X</ns0:t>
        </ns0:is>
      </ns0:c>
      <ns0:c xmlns:ns0="http://schemas.openxmlformats.org/spreadsheetml/2006/main" r="AF324" s="16" t="str">
        <ns0:v>(1:1),(2:2)</ns0:v>
      </ns0:c>
      <ns0:c xmlns:ns0="http://schemas.openxmlformats.org/spreadsheetml/2006/main" r="AG324" s="16" t="inlineStr">
        <ns0:is>
          <ns0:t>Simulation\Resistors\MY_LIB_R_TCR.ckt</ns0:t>
        </ns0:is>
      </ns0:c>
      <ns0:c xmlns:ns0="http://schemas.openxmlformats.org/spreadsheetml/2006/main" r="AH324" s="16" t="inlineStr">
        <ns0:is>
          <ns0:t>±100 ppm/°C</ns0:t>
        </ns0:is>
      </ns0:c>
    </ns0:row>
    <ns0:row xmlns:ns0="http://schemas.openxmlformats.org/spreadsheetml/2006/main" r="325" ht="30" customHeight="1">
      <ns0:c r="A325" t="str" s="10">
        <ns0:v>R0331</ns0:v>
      </ns0:c>
      <ns0:c r="B325" t="str" s="10">
        <ns0:v>Резистор</ns0:v>
      </ns0:c>
      <ns0:c r="C325" t="str" s="10">
        <ns0:v>20R</ns0:v>
      </ns0:c>
      <ns0:c r="D325" t="str" s="11">
        <ns0:f>SUBSTITUTE(SUBSTITUTE(SUBSTITUTE(SUBSTITUTE(C325,"meg"," МОм"),"k"," кОм"),"R"," Ом"),".",",")</ns0:f>
        <ns0:v>20 Ом</ns0:v>
      </ns0:c>
      <ns0:c r="E325" t="str" s="10">
        <ns0:v>±1%</ns0:v>
      </ns0:c>
      <ns0:c r="F325" t="str" s="10">
        <ns0:v>0,1 Вт</ns0:v>
      </ns0:c>
      <ns0:c r="G325" t="str" s="10">
        <ns0:v>75 В макс.</ns0:v>
      </ns0:c>
      <ns0:c r="H325" t="str" s="12">
        <ns0:v>0603</ns0:v>
      </ns0:c>
      <ns0:c r="I325" t="str" s="10">
        <ns0:v>YAGEO</ns0:v>
      </ns0:c>
      <ns0:c r="J325" t="str" s="10">
        <ns0:v>RC0603FR-0720RL</ns0:v>
      </ns0:c>
      <ns0:c r="K325" t="str" s="11">
        <ns0:f>B325&amp;" "&amp;D325&amp;" "&amp;E325&amp;" "&amp;H325</ns0:f>
        <ns0:v>Резистор 20 Ом ±1% 0603</ns0:v>
      </ns0:c>
      <ns0:c r="L325" t="str" s="13">
        <ns0:v>R</ns0:v>
      </ns0:c>
      <ns0:c r="M325" t="str" s="13">
        <ns0:v>Symbols\MY_LIB_Resistors.SchLib</ns0:v>
      </ns0:c>
      <ns0:c r="N325" t="str" s="13">
        <ns0:v>RESC1608X55N</ns0:v>
      </ns0:c>
      <ns0:c r="O325" t="str" s="13">
        <ns0:v>Footprints\PBL - SMD Packages.PcbLib</ns0:v>
      </ns0:c>
      <ns0:c xmlns:ns0="http://schemas.openxmlformats.org/spreadsheetml/2006/main" r="P32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5" s="10"/>
      <ns0:c r="R325" t="str" s="11">
        <ns0:f>D325</ns0:f>
        <ns0:v>20 Ом</ns0:v>
      </ns0:c>
      <ns0:c r="S325" t="str" s="11">
        <ns0:f>K325</ns0:f>
        <ns0:v>Резистор 20 Ом ±1% 0603</ns0:v>
      </ns0:c>
      <x:c xmlns:x="http://schemas.openxmlformats.org/spreadsheetml/2006/main" r="T325" t="str" s="11">
        <x:v>C:\Users\Nomatin\Documents\Altium\MY_LIB\MY_LIB\Datasheets\YAGEO_RC_L.pdf</x:v>
      </x:c>
      <x:c xmlns:x="http://schemas.openxmlformats.org/spreadsheetml/2006/main" r="U325" t="str" s="11">
        <x:v>Даташит — локальный</x:v>
      </x:c>
      <x:c xmlns:x="http://schemas.openxmlformats.org/spreadsheetml/2006/main" r="V325" t="str" s="11">
        <x:v>C:\Users\Nomatin\Documents\Altium\MY_LIB\MY_LIB\Datasheets\YAGEO_RC_L.pdf</x:v>
      </x:c>
      <x:c xmlns:x="http://schemas.openxmlformats.org/spreadsheetml/2006/main" r="W325" t="str" s="11">
        <x:v>Даташит — производитель</x:v>
      </x:c>
      <x:c xmlns:x="http://schemas.openxmlformats.org/spreadsheetml/2006/main" r="X325" t="str" s="11">
        <x:v>https://yageogroup.com/content/datasheet/asset/file/PYU-RC_GROUP_51_ROHS_L</x:v>
      </x:c>
      <x:c xmlns:x="http://schemas.openxmlformats.org/spreadsheetml/2006/main" r="Y325" t="str" s="11">
        <x:v>C:\Users\Nomatin\Documents\Altium\MY_LIB\MY_LIB\Datasheets\YAGEO_RC_L.pdf</x:v>
      </x:c>
      <ns0:c xmlns:ns0="http://schemas.openxmlformats.org/spreadsheetml/2006/main" r="Z325" s="16" t="inlineStr">
        <ns0:is>
          <ns0:t>MY_LIB_R_TCR</ns0:t>
        </ns0:is>
      </ns0:c>
      <ns0:c xmlns:ns0="http://schemas.openxmlformats.org/spreadsheetml/2006/main" r="AA325" s="16" t="inlineStr">
        <ns0:is>
          <ns0:t>R(T), +100 ppm/C at 25 C; positive datasheet limit</ns0:t>
        </ns0:is>
      </ns0:c>
      <ns0:c xmlns:ns0="http://schemas.openxmlformats.org/spreadsheetml/2006/main" r="AB325" s="16" t="str">
        <ns0:v>General</ns0:v>
      </ns0:c>
      <ns0:c xmlns:ns0="http://schemas.openxmlformats.org/spreadsheetml/2006/main" r="AC325" s="16" t="inlineStr">
        <ns0:is>
          <ns0:t>Spice Subcircuit</ns0:t>
        </ns0:is>
      </ns0:c>
      <ns0:c xmlns:ns0="http://schemas.openxmlformats.org/spreadsheetml/2006/main" r="AD325" s="16" t="inlineStr">
        <ns0:is>
          <ns0:t>@DESIGNATOR %1 %2 @MODEL PARAMS: Rvalue=@VALUE TC1value=100u</ns0:t>
        </ns0:is>
      </ns0:c>
      <ns0:c xmlns:ns0="http://schemas.openxmlformats.org/spreadsheetml/2006/main" r="AE325" s="16" t="inlineStr">
        <ns0:is>
          <ns0:t>X</ns0:t>
        </ns0:is>
      </ns0:c>
      <ns0:c xmlns:ns0="http://schemas.openxmlformats.org/spreadsheetml/2006/main" r="AF325" s="16" t="str">
        <ns0:v>(1:1),(2:2)</ns0:v>
      </ns0:c>
      <ns0:c xmlns:ns0="http://schemas.openxmlformats.org/spreadsheetml/2006/main" r="AG325" s="16" t="inlineStr">
        <ns0:is>
          <ns0:t>Simulation\Resistors\MY_LIB_R_TCR.ckt</ns0:t>
        </ns0:is>
      </ns0:c>
      <ns0:c xmlns:ns0="http://schemas.openxmlformats.org/spreadsheetml/2006/main" r="AH325" s="16" t="inlineStr">
        <ns0:is>
          <ns0:t>±100 ppm/°C</ns0:t>
        </ns0:is>
      </ns0:c>
    </ns0:row>
    <ns0:row xmlns:ns0="http://schemas.openxmlformats.org/spreadsheetml/2006/main" r="326" ht="30" customHeight="1">
      <ns0:c r="A326" t="str" s="10">
        <ns0:v>R0332</ns0:v>
      </ns0:c>
      <ns0:c r="B326" t="str" s="10">
        <ns0:v>Резистор</ns0:v>
      </ns0:c>
      <ns0:c r="C326" t="str" s="10">
        <ns0:v>22R</ns0:v>
      </ns0:c>
      <ns0:c r="D326" t="str" s="11">
        <ns0:f>SUBSTITUTE(SUBSTITUTE(SUBSTITUTE(SUBSTITUTE(C326,"meg"," МОм"),"k"," кОм"),"R"," Ом"),".",",")</ns0:f>
        <ns0:v>22 Ом</ns0:v>
      </ns0:c>
      <ns0:c r="E326" t="str" s="10">
        <ns0:v>±1%</ns0:v>
      </ns0:c>
      <ns0:c r="F326" t="str" s="10">
        <ns0:v>0,1 Вт</ns0:v>
      </ns0:c>
      <ns0:c r="G326" t="str" s="10">
        <ns0:v>75 В макс.</ns0:v>
      </ns0:c>
      <ns0:c r="H326" t="str" s="12">
        <ns0:v>0603</ns0:v>
      </ns0:c>
      <ns0:c r="I326" t="str" s="10">
        <ns0:v>YAGEO</ns0:v>
      </ns0:c>
      <ns0:c r="J326" t="str" s="10">
        <ns0:v>RC0603FR-0722RL</ns0:v>
      </ns0:c>
      <ns0:c r="K326" t="str" s="11">
        <ns0:f>B326&amp;" "&amp;D326&amp;" "&amp;E326&amp;" "&amp;H326</ns0:f>
        <ns0:v>Резистор 22 Ом ±1% 0603</ns0:v>
      </ns0:c>
      <ns0:c r="L326" t="str" s="13">
        <ns0:v>R</ns0:v>
      </ns0:c>
      <ns0:c r="M326" t="str" s="13">
        <ns0:v>Symbols\MY_LIB_Resistors.SchLib</ns0:v>
      </ns0:c>
      <ns0:c r="N326" t="str" s="13">
        <ns0:v>RESC1608X55N</ns0:v>
      </ns0:c>
      <ns0:c r="O326" t="str" s="13">
        <ns0:v>Footprints\PBL - SMD Packages.PcbLib</ns0:v>
      </ns0:c>
      <ns0:c xmlns:ns0="http://schemas.openxmlformats.org/spreadsheetml/2006/main" r="P32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6" s="10"/>
      <ns0:c r="R326" t="str" s="11">
        <ns0:f>D326</ns0:f>
        <ns0:v>22 Ом</ns0:v>
      </ns0:c>
      <ns0:c r="S326" t="str" s="11">
        <ns0:f>K326</ns0:f>
        <ns0:v>Резистор 22 Ом ±1% 0603</ns0:v>
      </ns0:c>
      <x:c xmlns:x="http://schemas.openxmlformats.org/spreadsheetml/2006/main" r="T326" t="str" s="11">
        <x:v>C:\Users\Nomatin\Documents\Altium\MY_LIB\MY_LIB\Datasheets\YAGEO_RC_L.pdf</x:v>
      </x:c>
      <x:c xmlns:x="http://schemas.openxmlformats.org/spreadsheetml/2006/main" r="U326" t="str" s="11">
        <x:v>Даташит — локальный</x:v>
      </x:c>
      <x:c xmlns:x="http://schemas.openxmlformats.org/spreadsheetml/2006/main" r="V326" t="str" s="11">
        <x:v>C:\Users\Nomatin\Documents\Altium\MY_LIB\MY_LIB\Datasheets\YAGEO_RC_L.pdf</x:v>
      </x:c>
      <x:c xmlns:x="http://schemas.openxmlformats.org/spreadsheetml/2006/main" r="W326" t="str" s="11">
        <x:v>Даташит — производитель</x:v>
      </x:c>
      <x:c xmlns:x="http://schemas.openxmlformats.org/spreadsheetml/2006/main" r="X326" t="str" s="11">
        <x:v>https://yageogroup.com/content/datasheet/asset/file/PYU-RC_GROUP_51_ROHS_L</x:v>
      </x:c>
      <x:c xmlns:x="http://schemas.openxmlformats.org/spreadsheetml/2006/main" r="Y326" t="str" s="11">
        <x:v>C:\Users\Nomatin\Documents\Altium\MY_LIB\MY_LIB\Datasheets\YAGEO_RC_L.pdf</x:v>
      </x:c>
      <ns0:c xmlns:ns0="http://schemas.openxmlformats.org/spreadsheetml/2006/main" r="Z326" s="16" t="inlineStr">
        <ns0:is>
          <ns0:t>MY_LIB_R_TCR</ns0:t>
        </ns0:is>
      </ns0:c>
      <ns0:c xmlns:ns0="http://schemas.openxmlformats.org/spreadsheetml/2006/main" r="AA326" s="16" t="inlineStr">
        <ns0:is>
          <ns0:t>R(T), +100 ppm/C at 25 C; positive datasheet limit</ns0:t>
        </ns0:is>
      </ns0:c>
      <ns0:c xmlns:ns0="http://schemas.openxmlformats.org/spreadsheetml/2006/main" r="AB326" s="16" t="str">
        <ns0:v>General</ns0:v>
      </ns0:c>
      <ns0:c xmlns:ns0="http://schemas.openxmlformats.org/spreadsheetml/2006/main" r="AC326" s="16" t="inlineStr">
        <ns0:is>
          <ns0:t>Spice Subcircuit</ns0:t>
        </ns0:is>
      </ns0:c>
      <ns0:c xmlns:ns0="http://schemas.openxmlformats.org/spreadsheetml/2006/main" r="AD326" s="16" t="inlineStr">
        <ns0:is>
          <ns0:t>@DESIGNATOR %1 %2 @MODEL PARAMS: Rvalue=@VALUE TC1value=100u</ns0:t>
        </ns0:is>
      </ns0:c>
      <ns0:c xmlns:ns0="http://schemas.openxmlformats.org/spreadsheetml/2006/main" r="AE326" s="16" t="inlineStr">
        <ns0:is>
          <ns0:t>X</ns0:t>
        </ns0:is>
      </ns0:c>
      <ns0:c xmlns:ns0="http://schemas.openxmlformats.org/spreadsheetml/2006/main" r="AF326" s="16" t="str">
        <ns0:v>(1:1),(2:2)</ns0:v>
      </ns0:c>
      <ns0:c xmlns:ns0="http://schemas.openxmlformats.org/spreadsheetml/2006/main" r="AG326" s="16" t="inlineStr">
        <ns0:is>
          <ns0:t>Simulation\Resistors\MY_LIB_R_TCR.ckt</ns0:t>
        </ns0:is>
      </ns0:c>
      <ns0:c xmlns:ns0="http://schemas.openxmlformats.org/spreadsheetml/2006/main" r="AH326" s="16" t="inlineStr">
        <ns0:is>
          <ns0:t>±100 ppm/°C</ns0:t>
        </ns0:is>
      </ns0:c>
    </ns0:row>
    <ns0:row xmlns:ns0="http://schemas.openxmlformats.org/spreadsheetml/2006/main" r="327" ht="30" customHeight="1">
      <ns0:c r="A327" t="str" s="10">
        <ns0:v>R0333</ns0:v>
      </ns0:c>
      <ns0:c r="B327" t="str" s="10">
        <ns0:v>Резистор</ns0:v>
      </ns0:c>
      <ns0:c r="C327" t="str" s="10">
        <ns0:v>24R</ns0:v>
      </ns0:c>
      <ns0:c r="D327" t="str" s="11">
        <ns0:f>SUBSTITUTE(SUBSTITUTE(SUBSTITUTE(SUBSTITUTE(C327,"meg"," МОм"),"k"," кОм"),"R"," Ом"),".",",")</ns0:f>
        <ns0:v>24 Ом</ns0:v>
      </ns0:c>
      <ns0:c r="E327" t="str" s="10">
        <ns0:v>±1%</ns0:v>
      </ns0:c>
      <ns0:c r="F327" t="str" s="10">
        <ns0:v>0,1 Вт</ns0:v>
      </ns0:c>
      <ns0:c r="G327" t="str" s="10">
        <ns0:v>75 В макс.</ns0:v>
      </ns0:c>
      <ns0:c r="H327" t="str" s="12">
        <ns0:v>0603</ns0:v>
      </ns0:c>
      <ns0:c r="I327" t="str" s="10">
        <ns0:v>YAGEO</ns0:v>
      </ns0:c>
      <ns0:c r="J327" t="str" s="10">
        <ns0:v>RC0603FR-0724RL</ns0:v>
      </ns0:c>
      <ns0:c r="K327" t="str" s="11">
        <ns0:f>B327&amp;" "&amp;D327&amp;" "&amp;E327&amp;" "&amp;H327</ns0:f>
        <ns0:v>Резистор 24 Ом ±1% 0603</ns0:v>
      </ns0:c>
      <ns0:c r="L327" t="str" s="13">
        <ns0:v>R</ns0:v>
      </ns0:c>
      <ns0:c r="M327" t="str" s="13">
        <ns0:v>Symbols\MY_LIB_Resistors.SchLib</ns0:v>
      </ns0:c>
      <ns0:c r="N327" t="str" s="13">
        <ns0:v>RESC1608X55N</ns0:v>
      </ns0:c>
      <ns0:c r="O327" t="str" s="13">
        <ns0:v>Footprints\PBL - SMD Packages.PcbLib</ns0:v>
      </ns0:c>
      <ns0:c xmlns:ns0="http://schemas.openxmlformats.org/spreadsheetml/2006/main" r="P32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7" s="10"/>
      <ns0:c r="R327" t="str" s="11">
        <ns0:f>D327</ns0:f>
        <ns0:v>24 Ом</ns0:v>
      </ns0:c>
      <ns0:c r="S327" t="str" s="11">
        <ns0:f>K327</ns0:f>
        <ns0:v>Резистор 24 Ом ±1% 0603</ns0:v>
      </ns0:c>
      <x:c xmlns:x="http://schemas.openxmlformats.org/spreadsheetml/2006/main" r="T327" t="str" s="11">
        <x:v>C:\Users\Nomatin\Documents\Altium\MY_LIB\MY_LIB\Datasheets\YAGEO_RC_L.pdf</x:v>
      </x:c>
      <x:c xmlns:x="http://schemas.openxmlformats.org/spreadsheetml/2006/main" r="U327" t="str" s="11">
        <x:v>Даташит — локальный</x:v>
      </x:c>
      <x:c xmlns:x="http://schemas.openxmlformats.org/spreadsheetml/2006/main" r="V327" t="str" s="11">
        <x:v>C:\Users\Nomatin\Documents\Altium\MY_LIB\MY_LIB\Datasheets\YAGEO_RC_L.pdf</x:v>
      </x:c>
      <x:c xmlns:x="http://schemas.openxmlformats.org/spreadsheetml/2006/main" r="W327" t="str" s="11">
        <x:v>Даташит — производитель</x:v>
      </x:c>
      <x:c xmlns:x="http://schemas.openxmlformats.org/spreadsheetml/2006/main" r="X327" t="str" s="11">
        <x:v>https://yageogroup.com/content/datasheet/asset/file/PYU-RC_GROUP_51_ROHS_L</x:v>
      </x:c>
      <x:c xmlns:x="http://schemas.openxmlformats.org/spreadsheetml/2006/main" r="Y327" t="str" s="11">
        <x:v>C:\Users\Nomatin\Documents\Altium\MY_LIB\MY_LIB\Datasheets\YAGEO_RC_L.pdf</x:v>
      </x:c>
      <ns0:c xmlns:ns0="http://schemas.openxmlformats.org/spreadsheetml/2006/main" r="Z327" s="16" t="inlineStr">
        <ns0:is>
          <ns0:t>MY_LIB_R_TCR</ns0:t>
        </ns0:is>
      </ns0:c>
      <ns0:c xmlns:ns0="http://schemas.openxmlformats.org/spreadsheetml/2006/main" r="AA327" s="16" t="inlineStr">
        <ns0:is>
          <ns0:t>R(T), +100 ppm/C at 25 C; positive datasheet limit</ns0:t>
        </ns0:is>
      </ns0:c>
      <ns0:c xmlns:ns0="http://schemas.openxmlformats.org/spreadsheetml/2006/main" r="AB327" s="16" t="str">
        <ns0:v>General</ns0:v>
      </ns0:c>
      <ns0:c xmlns:ns0="http://schemas.openxmlformats.org/spreadsheetml/2006/main" r="AC327" s="16" t="inlineStr">
        <ns0:is>
          <ns0:t>Spice Subcircuit</ns0:t>
        </ns0:is>
      </ns0:c>
      <ns0:c xmlns:ns0="http://schemas.openxmlformats.org/spreadsheetml/2006/main" r="AD327" s="16" t="inlineStr">
        <ns0:is>
          <ns0:t>@DESIGNATOR %1 %2 @MODEL PARAMS: Rvalue=@VALUE TC1value=100u</ns0:t>
        </ns0:is>
      </ns0:c>
      <ns0:c xmlns:ns0="http://schemas.openxmlformats.org/spreadsheetml/2006/main" r="AE327" s="16" t="inlineStr">
        <ns0:is>
          <ns0:t>X</ns0:t>
        </ns0:is>
      </ns0:c>
      <ns0:c xmlns:ns0="http://schemas.openxmlformats.org/spreadsheetml/2006/main" r="AF327" s="16" t="str">
        <ns0:v>(1:1),(2:2)</ns0:v>
      </ns0:c>
      <ns0:c xmlns:ns0="http://schemas.openxmlformats.org/spreadsheetml/2006/main" r="AG327" s="16" t="inlineStr">
        <ns0:is>
          <ns0:t>Simulation\Resistors\MY_LIB_R_TCR.ckt</ns0:t>
        </ns0:is>
      </ns0:c>
      <ns0:c xmlns:ns0="http://schemas.openxmlformats.org/spreadsheetml/2006/main" r="AH327" s="16" t="inlineStr">
        <ns0:is>
          <ns0:t>±100 ppm/°C</ns0:t>
        </ns0:is>
      </ns0:c>
    </ns0:row>
    <ns0:row xmlns:ns0="http://schemas.openxmlformats.org/spreadsheetml/2006/main" r="328" ht="30" customHeight="1">
      <ns0:c r="A328" t="str" s="10">
        <ns0:v>R0334</ns0:v>
      </ns0:c>
      <ns0:c r="B328" t="str" s="10">
        <ns0:v>Резистор</ns0:v>
      </ns0:c>
      <ns0:c r="C328" t="str" s="10">
        <ns0:v>27R</ns0:v>
      </ns0:c>
      <ns0:c r="D328" t="str" s="11">
        <ns0:f>SUBSTITUTE(SUBSTITUTE(SUBSTITUTE(SUBSTITUTE(C328,"meg"," МОм"),"k"," кОм"),"R"," Ом"),".",",")</ns0:f>
        <ns0:v>27 Ом</ns0:v>
      </ns0:c>
      <ns0:c r="E328" t="str" s="10">
        <ns0:v>±1%</ns0:v>
      </ns0:c>
      <ns0:c r="F328" t="str" s="10">
        <ns0:v>0,1 Вт</ns0:v>
      </ns0:c>
      <ns0:c r="G328" t="str" s="10">
        <ns0:v>75 В макс.</ns0:v>
      </ns0:c>
      <ns0:c r="H328" t="str" s="12">
        <ns0:v>0603</ns0:v>
      </ns0:c>
      <ns0:c r="I328" t="str" s="10">
        <ns0:v>YAGEO</ns0:v>
      </ns0:c>
      <ns0:c r="J328" t="str" s="10">
        <ns0:v>RC0603FR-0727RL</ns0:v>
      </ns0:c>
      <ns0:c r="K328" t="str" s="11">
        <ns0:f>B328&amp;" "&amp;D328&amp;" "&amp;E328&amp;" "&amp;H328</ns0:f>
        <ns0:v>Резистор 27 Ом ±1% 0603</ns0:v>
      </ns0:c>
      <ns0:c r="L328" t="str" s="13">
        <ns0:v>R</ns0:v>
      </ns0:c>
      <ns0:c r="M328" t="str" s="13">
        <ns0:v>Symbols\MY_LIB_Resistors.SchLib</ns0:v>
      </ns0:c>
      <ns0:c r="N328" t="str" s="13">
        <ns0:v>RESC1608X55N</ns0:v>
      </ns0:c>
      <ns0:c r="O328" t="str" s="13">
        <ns0:v>Footprints\PBL - SMD Packages.PcbLib</ns0:v>
      </ns0:c>
      <ns0:c xmlns:ns0="http://schemas.openxmlformats.org/spreadsheetml/2006/main" r="P32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8" s="10"/>
      <ns0:c r="R328" t="str" s="11">
        <ns0:f>D328</ns0:f>
        <ns0:v>27 Ом</ns0:v>
      </ns0:c>
      <ns0:c r="S328" t="str" s="11">
        <ns0:f>K328</ns0:f>
        <ns0:v>Резистор 27 Ом ±1% 0603</ns0:v>
      </ns0:c>
      <x:c xmlns:x="http://schemas.openxmlformats.org/spreadsheetml/2006/main" r="T328" t="str" s="11">
        <x:v>C:\Users\Nomatin\Documents\Altium\MY_LIB\MY_LIB\Datasheets\YAGEO_RC_L.pdf</x:v>
      </x:c>
      <x:c xmlns:x="http://schemas.openxmlformats.org/spreadsheetml/2006/main" r="U328" t="str" s="11">
        <x:v>Даташит — локальный</x:v>
      </x:c>
      <x:c xmlns:x="http://schemas.openxmlformats.org/spreadsheetml/2006/main" r="V328" t="str" s="11">
        <x:v>C:\Users\Nomatin\Documents\Altium\MY_LIB\MY_LIB\Datasheets\YAGEO_RC_L.pdf</x:v>
      </x:c>
      <x:c xmlns:x="http://schemas.openxmlformats.org/spreadsheetml/2006/main" r="W328" t="str" s="11">
        <x:v>Даташит — производитель</x:v>
      </x:c>
      <x:c xmlns:x="http://schemas.openxmlformats.org/spreadsheetml/2006/main" r="X328" t="str" s="11">
        <x:v>https://yageogroup.com/content/datasheet/asset/file/PYU-RC_GROUP_51_ROHS_L</x:v>
      </x:c>
      <x:c xmlns:x="http://schemas.openxmlformats.org/spreadsheetml/2006/main" r="Y328" t="str" s="11">
        <x:v>C:\Users\Nomatin\Documents\Altium\MY_LIB\MY_LIB\Datasheets\YAGEO_RC_L.pdf</x:v>
      </x:c>
      <ns0:c xmlns:ns0="http://schemas.openxmlformats.org/spreadsheetml/2006/main" r="Z328" s="16" t="inlineStr">
        <ns0:is>
          <ns0:t>MY_LIB_R_TCR</ns0:t>
        </ns0:is>
      </ns0:c>
      <ns0:c xmlns:ns0="http://schemas.openxmlformats.org/spreadsheetml/2006/main" r="AA328" s="16" t="inlineStr">
        <ns0:is>
          <ns0:t>R(T), +100 ppm/C at 25 C; positive datasheet limit</ns0:t>
        </ns0:is>
      </ns0:c>
      <ns0:c xmlns:ns0="http://schemas.openxmlformats.org/spreadsheetml/2006/main" r="AB328" s="16" t="str">
        <ns0:v>General</ns0:v>
      </ns0:c>
      <ns0:c xmlns:ns0="http://schemas.openxmlformats.org/spreadsheetml/2006/main" r="AC328" s="16" t="inlineStr">
        <ns0:is>
          <ns0:t>Spice Subcircuit</ns0:t>
        </ns0:is>
      </ns0:c>
      <ns0:c xmlns:ns0="http://schemas.openxmlformats.org/spreadsheetml/2006/main" r="AD328" s="16" t="inlineStr">
        <ns0:is>
          <ns0:t>@DESIGNATOR %1 %2 @MODEL PARAMS: Rvalue=@VALUE TC1value=100u</ns0:t>
        </ns0:is>
      </ns0:c>
      <ns0:c xmlns:ns0="http://schemas.openxmlformats.org/spreadsheetml/2006/main" r="AE328" s="16" t="inlineStr">
        <ns0:is>
          <ns0:t>X</ns0:t>
        </ns0:is>
      </ns0:c>
      <ns0:c xmlns:ns0="http://schemas.openxmlformats.org/spreadsheetml/2006/main" r="AF328" s="16" t="str">
        <ns0:v>(1:1),(2:2)</ns0:v>
      </ns0:c>
      <ns0:c xmlns:ns0="http://schemas.openxmlformats.org/spreadsheetml/2006/main" r="AG328" s="16" t="inlineStr">
        <ns0:is>
          <ns0:t>Simulation\Resistors\MY_LIB_R_TCR.ckt</ns0:t>
        </ns0:is>
      </ns0:c>
      <ns0:c xmlns:ns0="http://schemas.openxmlformats.org/spreadsheetml/2006/main" r="AH328" s="16" t="inlineStr">
        <ns0:is>
          <ns0:t>±100 ppm/°C</ns0:t>
        </ns0:is>
      </ns0:c>
    </ns0:row>
    <ns0:row xmlns:ns0="http://schemas.openxmlformats.org/spreadsheetml/2006/main" r="329" ht="30" customHeight="1">
      <ns0:c r="A329" t="str" s="10">
        <ns0:v>R0335</ns0:v>
      </ns0:c>
      <ns0:c r="B329" t="str" s="10">
        <ns0:v>Резистор</ns0:v>
      </ns0:c>
      <ns0:c r="C329" t="str" s="10">
        <ns0:v>30R</ns0:v>
      </ns0:c>
      <ns0:c r="D329" t="str" s="11">
        <ns0:f>SUBSTITUTE(SUBSTITUTE(SUBSTITUTE(SUBSTITUTE(C329,"meg"," МОм"),"k"," кОм"),"R"," Ом"),".",",")</ns0:f>
        <ns0:v>30 Ом</ns0:v>
      </ns0:c>
      <ns0:c r="E329" t="str" s="10">
        <ns0:v>±1%</ns0:v>
      </ns0:c>
      <ns0:c r="F329" t="str" s="10">
        <ns0:v>0,1 Вт</ns0:v>
      </ns0:c>
      <ns0:c r="G329" t="str" s="10">
        <ns0:v>75 В макс.</ns0:v>
      </ns0:c>
      <ns0:c r="H329" t="str" s="12">
        <ns0:v>0603</ns0:v>
      </ns0:c>
      <ns0:c r="I329" t="str" s="10">
        <ns0:v>YAGEO</ns0:v>
      </ns0:c>
      <ns0:c r="J329" t="str" s="10">
        <ns0:v>RC0603FR-0730RL</ns0:v>
      </ns0:c>
      <ns0:c r="K329" t="str" s="11">
        <ns0:f>B329&amp;" "&amp;D329&amp;" "&amp;E329&amp;" "&amp;H329</ns0:f>
        <ns0:v>Резистор 30 Ом ±1% 0603</ns0:v>
      </ns0:c>
      <ns0:c r="L329" t="str" s="13">
        <ns0:v>R</ns0:v>
      </ns0:c>
      <ns0:c r="M329" t="str" s="13">
        <ns0:v>Symbols\MY_LIB_Resistors.SchLib</ns0:v>
      </ns0:c>
      <ns0:c r="N329" t="str" s="13">
        <ns0:v>RESC1608X55N</ns0:v>
      </ns0:c>
      <ns0:c r="O329" t="str" s="13">
        <ns0:v>Footprints\PBL - SMD Packages.PcbLib</ns0:v>
      </ns0:c>
      <ns0:c xmlns:ns0="http://schemas.openxmlformats.org/spreadsheetml/2006/main" r="P32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29" s="10"/>
      <ns0:c r="R329" t="str" s="11">
        <ns0:f>D329</ns0:f>
        <ns0:v>30 Ом</ns0:v>
      </ns0:c>
      <ns0:c r="S329" t="str" s="11">
        <ns0:f>K329</ns0:f>
        <ns0:v>Резистор 30 Ом ±1% 0603</ns0:v>
      </ns0:c>
      <x:c xmlns:x="http://schemas.openxmlformats.org/spreadsheetml/2006/main" r="T329" t="str" s="11">
        <x:v>C:\Users\Nomatin\Documents\Altium\MY_LIB\MY_LIB\Datasheets\YAGEO_RC_L.pdf</x:v>
      </x:c>
      <x:c xmlns:x="http://schemas.openxmlformats.org/spreadsheetml/2006/main" r="U329" t="str" s="11">
        <x:v>Даташит — локальный</x:v>
      </x:c>
      <x:c xmlns:x="http://schemas.openxmlformats.org/spreadsheetml/2006/main" r="V329" t="str" s="11">
        <x:v>C:\Users\Nomatin\Documents\Altium\MY_LIB\MY_LIB\Datasheets\YAGEO_RC_L.pdf</x:v>
      </x:c>
      <x:c xmlns:x="http://schemas.openxmlformats.org/spreadsheetml/2006/main" r="W329" t="str" s="11">
        <x:v>Даташит — производитель</x:v>
      </x:c>
      <x:c xmlns:x="http://schemas.openxmlformats.org/spreadsheetml/2006/main" r="X329" t="str" s="11">
        <x:v>https://yageogroup.com/content/datasheet/asset/file/PYU-RC_GROUP_51_ROHS_L</x:v>
      </x:c>
      <x:c xmlns:x="http://schemas.openxmlformats.org/spreadsheetml/2006/main" r="Y329" t="str" s="11">
        <x:v>C:\Users\Nomatin\Documents\Altium\MY_LIB\MY_LIB\Datasheets\YAGEO_RC_L.pdf</x:v>
      </x:c>
      <ns0:c xmlns:ns0="http://schemas.openxmlformats.org/spreadsheetml/2006/main" r="Z329" s="16" t="inlineStr">
        <ns0:is>
          <ns0:t>MY_LIB_R_TCR</ns0:t>
        </ns0:is>
      </ns0:c>
      <ns0:c xmlns:ns0="http://schemas.openxmlformats.org/spreadsheetml/2006/main" r="AA329" s="16" t="inlineStr">
        <ns0:is>
          <ns0:t>R(T), +100 ppm/C at 25 C; positive datasheet limit</ns0:t>
        </ns0:is>
      </ns0:c>
      <ns0:c xmlns:ns0="http://schemas.openxmlformats.org/spreadsheetml/2006/main" r="AB329" s="16" t="str">
        <ns0:v>General</ns0:v>
      </ns0:c>
      <ns0:c xmlns:ns0="http://schemas.openxmlformats.org/spreadsheetml/2006/main" r="AC329" s="16" t="inlineStr">
        <ns0:is>
          <ns0:t>Spice Subcircuit</ns0:t>
        </ns0:is>
      </ns0:c>
      <ns0:c xmlns:ns0="http://schemas.openxmlformats.org/spreadsheetml/2006/main" r="AD329" s="16" t="inlineStr">
        <ns0:is>
          <ns0:t>@DESIGNATOR %1 %2 @MODEL PARAMS: Rvalue=@VALUE TC1value=100u</ns0:t>
        </ns0:is>
      </ns0:c>
      <ns0:c xmlns:ns0="http://schemas.openxmlformats.org/spreadsheetml/2006/main" r="AE329" s="16" t="inlineStr">
        <ns0:is>
          <ns0:t>X</ns0:t>
        </ns0:is>
      </ns0:c>
      <ns0:c xmlns:ns0="http://schemas.openxmlformats.org/spreadsheetml/2006/main" r="AF329" s="16" t="str">
        <ns0:v>(1:1),(2:2)</ns0:v>
      </ns0:c>
      <ns0:c xmlns:ns0="http://schemas.openxmlformats.org/spreadsheetml/2006/main" r="AG329" s="16" t="inlineStr">
        <ns0:is>
          <ns0:t>Simulation\Resistors\MY_LIB_R_TCR.ckt</ns0:t>
        </ns0:is>
      </ns0:c>
      <ns0:c xmlns:ns0="http://schemas.openxmlformats.org/spreadsheetml/2006/main" r="AH329" s="16" t="inlineStr">
        <ns0:is>
          <ns0:t>±100 ppm/°C</ns0:t>
        </ns0:is>
      </ns0:c>
    </ns0:row>
    <ns0:row xmlns:ns0="http://schemas.openxmlformats.org/spreadsheetml/2006/main" r="330" ht="30" customHeight="1">
      <ns0:c r="A330" t="str" s="10">
        <ns0:v>R0336</ns0:v>
      </ns0:c>
      <ns0:c r="B330" t="str" s="10">
        <ns0:v>Резистор</ns0:v>
      </ns0:c>
      <ns0:c r="C330" t="str" s="10">
        <ns0:v>33R</ns0:v>
      </ns0:c>
      <ns0:c r="D330" t="str" s="11">
        <ns0:f>SUBSTITUTE(SUBSTITUTE(SUBSTITUTE(SUBSTITUTE(C330,"meg"," МОм"),"k"," кОм"),"R"," Ом"),".",",")</ns0:f>
        <ns0:v>33 Ом</ns0:v>
      </ns0:c>
      <ns0:c r="E330" t="str" s="10">
        <ns0:v>±1%</ns0:v>
      </ns0:c>
      <ns0:c r="F330" t="str" s="10">
        <ns0:v>0,1 Вт</ns0:v>
      </ns0:c>
      <ns0:c r="G330" t="str" s="10">
        <ns0:v>75 В макс.</ns0:v>
      </ns0:c>
      <ns0:c r="H330" t="str" s="12">
        <ns0:v>0603</ns0:v>
      </ns0:c>
      <ns0:c r="I330" t="str" s="10">
        <ns0:v>YAGEO</ns0:v>
      </ns0:c>
      <ns0:c r="J330" t="str" s="10">
        <ns0:v>RC0603FR-0733RL</ns0:v>
      </ns0:c>
      <ns0:c r="K330" t="str" s="11">
        <ns0:f>B330&amp;" "&amp;D330&amp;" "&amp;E330&amp;" "&amp;H330</ns0:f>
        <ns0:v>Резистор 33 Ом ±1% 0603</ns0:v>
      </ns0:c>
      <ns0:c r="L330" t="str" s="13">
        <ns0:v>R</ns0:v>
      </ns0:c>
      <ns0:c r="M330" t="str" s="13">
        <ns0:v>Symbols\MY_LIB_Resistors.SchLib</ns0:v>
      </ns0:c>
      <ns0:c r="N330" t="str" s="13">
        <ns0:v>RESC1608X55N</ns0:v>
      </ns0:c>
      <ns0:c r="O330" t="str" s="13">
        <ns0:v>Footprints\PBL - SMD Packages.PcbLib</ns0:v>
      </ns0:c>
      <ns0:c xmlns:ns0="http://schemas.openxmlformats.org/spreadsheetml/2006/main" r="P33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0" s="10"/>
      <ns0:c r="R330" t="str" s="11">
        <ns0:f>D330</ns0:f>
        <ns0:v>33 Ом</ns0:v>
      </ns0:c>
      <ns0:c r="S330" t="str" s="11">
        <ns0:f>K330</ns0:f>
        <ns0:v>Резистор 33 Ом ±1% 0603</ns0:v>
      </ns0:c>
      <x:c xmlns:x="http://schemas.openxmlformats.org/spreadsheetml/2006/main" r="T330" t="str" s="11">
        <x:v>C:\Users\Nomatin\Documents\Altium\MY_LIB\MY_LIB\Datasheets\YAGEO_RC_L.pdf</x:v>
      </x:c>
      <x:c xmlns:x="http://schemas.openxmlformats.org/spreadsheetml/2006/main" r="U330" t="str" s="11">
        <x:v>Даташит — локальный</x:v>
      </x:c>
      <x:c xmlns:x="http://schemas.openxmlformats.org/spreadsheetml/2006/main" r="V330" t="str" s="11">
        <x:v>C:\Users\Nomatin\Documents\Altium\MY_LIB\MY_LIB\Datasheets\YAGEO_RC_L.pdf</x:v>
      </x:c>
      <x:c xmlns:x="http://schemas.openxmlformats.org/spreadsheetml/2006/main" r="W330" t="str" s="11">
        <x:v>Даташит — производитель</x:v>
      </x:c>
      <x:c xmlns:x="http://schemas.openxmlformats.org/spreadsheetml/2006/main" r="X330" t="str" s="11">
        <x:v>https://yageogroup.com/content/datasheet/asset/file/PYU-RC_GROUP_51_ROHS_L</x:v>
      </x:c>
      <x:c xmlns:x="http://schemas.openxmlformats.org/spreadsheetml/2006/main" r="Y330" t="str" s="11">
        <x:v>C:\Users\Nomatin\Documents\Altium\MY_LIB\MY_LIB\Datasheets\YAGEO_RC_L.pdf</x:v>
      </x:c>
      <ns0:c xmlns:ns0="http://schemas.openxmlformats.org/spreadsheetml/2006/main" r="Z330" s="16" t="inlineStr">
        <ns0:is>
          <ns0:t>MY_LIB_R_TCR</ns0:t>
        </ns0:is>
      </ns0:c>
      <ns0:c xmlns:ns0="http://schemas.openxmlformats.org/spreadsheetml/2006/main" r="AA330" s="16" t="inlineStr">
        <ns0:is>
          <ns0:t>R(T), +100 ppm/C at 25 C; positive datasheet limit</ns0:t>
        </ns0:is>
      </ns0:c>
      <ns0:c xmlns:ns0="http://schemas.openxmlformats.org/spreadsheetml/2006/main" r="AB330" s="16" t="str">
        <ns0:v>General</ns0:v>
      </ns0:c>
      <ns0:c xmlns:ns0="http://schemas.openxmlformats.org/spreadsheetml/2006/main" r="AC330" s="16" t="inlineStr">
        <ns0:is>
          <ns0:t>Spice Subcircuit</ns0:t>
        </ns0:is>
      </ns0:c>
      <ns0:c xmlns:ns0="http://schemas.openxmlformats.org/spreadsheetml/2006/main" r="AD330" s="16" t="inlineStr">
        <ns0:is>
          <ns0:t>@DESIGNATOR %1 %2 @MODEL PARAMS: Rvalue=@VALUE TC1value=100u</ns0:t>
        </ns0:is>
      </ns0:c>
      <ns0:c xmlns:ns0="http://schemas.openxmlformats.org/spreadsheetml/2006/main" r="AE330" s="16" t="inlineStr">
        <ns0:is>
          <ns0:t>X</ns0:t>
        </ns0:is>
      </ns0:c>
      <ns0:c xmlns:ns0="http://schemas.openxmlformats.org/spreadsheetml/2006/main" r="AF330" s="16" t="str">
        <ns0:v>(1:1),(2:2)</ns0:v>
      </ns0:c>
      <ns0:c xmlns:ns0="http://schemas.openxmlformats.org/spreadsheetml/2006/main" r="AG330" s="16" t="inlineStr">
        <ns0:is>
          <ns0:t>Simulation\Resistors\MY_LIB_R_TCR.ckt</ns0:t>
        </ns0:is>
      </ns0:c>
      <ns0:c xmlns:ns0="http://schemas.openxmlformats.org/spreadsheetml/2006/main" r="AH330" s="16" t="inlineStr">
        <ns0:is>
          <ns0:t>±100 ppm/°C</ns0:t>
        </ns0:is>
      </ns0:c>
    </ns0:row>
    <ns0:row xmlns:ns0="http://schemas.openxmlformats.org/spreadsheetml/2006/main" r="331" ht="30" customHeight="1">
      <ns0:c r="A331" t="str" s="10">
        <ns0:v>R0337</ns0:v>
      </ns0:c>
      <ns0:c r="B331" t="str" s="10">
        <ns0:v>Резистор</ns0:v>
      </ns0:c>
      <ns0:c r="C331" t="str" s="10">
        <ns0:v>36R</ns0:v>
      </ns0:c>
      <ns0:c r="D331" t="str" s="11">
        <ns0:f>SUBSTITUTE(SUBSTITUTE(SUBSTITUTE(SUBSTITUTE(C331,"meg"," МОм"),"k"," кОм"),"R"," Ом"),".",",")</ns0:f>
        <ns0:v>36 Ом</ns0:v>
      </ns0:c>
      <ns0:c r="E331" t="str" s="10">
        <ns0:v>±1%</ns0:v>
      </ns0:c>
      <ns0:c r="F331" t="str" s="10">
        <ns0:v>0,1 Вт</ns0:v>
      </ns0:c>
      <ns0:c r="G331" t="str" s="10">
        <ns0:v>75 В макс.</ns0:v>
      </ns0:c>
      <ns0:c r="H331" t="str" s="12">
        <ns0:v>0603</ns0:v>
      </ns0:c>
      <ns0:c r="I331" t="str" s="10">
        <ns0:v>YAGEO</ns0:v>
      </ns0:c>
      <ns0:c r="J331" t="str" s="10">
        <ns0:v>RC0603FR-0736RL</ns0:v>
      </ns0:c>
      <ns0:c r="K331" t="str" s="11">
        <ns0:f>B331&amp;" "&amp;D331&amp;" "&amp;E331&amp;" "&amp;H331</ns0:f>
        <ns0:v>Резистор 36 Ом ±1% 0603</ns0:v>
      </ns0:c>
      <ns0:c r="L331" t="str" s="13">
        <ns0:v>R</ns0:v>
      </ns0:c>
      <ns0:c r="M331" t="str" s="13">
        <ns0:v>Symbols\MY_LIB_Resistors.SchLib</ns0:v>
      </ns0:c>
      <ns0:c r="N331" t="str" s="13">
        <ns0:v>RESC1608X55N</ns0:v>
      </ns0:c>
      <ns0:c r="O331" t="str" s="13">
        <ns0:v>Footprints\PBL - SMD Packages.PcbLib</ns0:v>
      </ns0:c>
      <ns0:c xmlns:ns0="http://schemas.openxmlformats.org/spreadsheetml/2006/main" r="P33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1" s="10"/>
      <ns0:c r="R331" t="str" s="11">
        <ns0:f>D331</ns0:f>
        <ns0:v>36 Ом</ns0:v>
      </ns0:c>
      <ns0:c r="S331" t="str" s="11">
        <ns0:f>K331</ns0:f>
        <ns0:v>Резистор 36 Ом ±1% 0603</ns0:v>
      </ns0:c>
      <x:c xmlns:x="http://schemas.openxmlformats.org/spreadsheetml/2006/main" r="T331" t="str" s="11">
        <x:v>C:\Users\Nomatin\Documents\Altium\MY_LIB\MY_LIB\Datasheets\YAGEO_RC_L.pdf</x:v>
      </x:c>
      <x:c xmlns:x="http://schemas.openxmlformats.org/spreadsheetml/2006/main" r="U331" t="str" s="11">
        <x:v>Даташит — локальный</x:v>
      </x:c>
      <x:c xmlns:x="http://schemas.openxmlformats.org/spreadsheetml/2006/main" r="V331" t="str" s="11">
        <x:v>C:\Users\Nomatin\Documents\Altium\MY_LIB\MY_LIB\Datasheets\YAGEO_RC_L.pdf</x:v>
      </x:c>
      <x:c xmlns:x="http://schemas.openxmlformats.org/spreadsheetml/2006/main" r="W331" t="str" s="11">
        <x:v>Даташит — производитель</x:v>
      </x:c>
      <x:c xmlns:x="http://schemas.openxmlformats.org/spreadsheetml/2006/main" r="X331" t="str" s="11">
        <x:v>https://yageogroup.com/content/datasheet/asset/file/PYU-RC_GROUP_51_ROHS_L</x:v>
      </x:c>
      <x:c xmlns:x="http://schemas.openxmlformats.org/spreadsheetml/2006/main" r="Y331" t="str" s="11">
        <x:v>C:\Users\Nomatin\Documents\Altium\MY_LIB\MY_LIB\Datasheets\YAGEO_RC_L.pdf</x:v>
      </x:c>
      <ns0:c xmlns:ns0="http://schemas.openxmlformats.org/spreadsheetml/2006/main" r="Z331" s="16" t="inlineStr">
        <ns0:is>
          <ns0:t>MY_LIB_R_TCR</ns0:t>
        </ns0:is>
      </ns0:c>
      <ns0:c xmlns:ns0="http://schemas.openxmlformats.org/spreadsheetml/2006/main" r="AA331" s="16" t="inlineStr">
        <ns0:is>
          <ns0:t>R(T), +100 ppm/C at 25 C; positive datasheet limit</ns0:t>
        </ns0:is>
      </ns0:c>
      <ns0:c xmlns:ns0="http://schemas.openxmlformats.org/spreadsheetml/2006/main" r="AB331" s="16" t="str">
        <ns0:v>General</ns0:v>
      </ns0:c>
      <ns0:c xmlns:ns0="http://schemas.openxmlformats.org/spreadsheetml/2006/main" r="AC331" s="16" t="inlineStr">
        <ns0:is>
          <ns0:t>Spice Subcircuit</ns0:t>
        </ns0:is>
      </ns0:c>
      <ns0:c xmlns:ns0="http://schemas.openxmlformats.org/spreadsheetml/2006/main" r="AD331" s="16" t="inlineStr">
        <ns0:is>
          <ns0:t>@DESIGNATOR %1 %2 @MODEL PARAMS: Rvalue=@VALUE TC1value=100u</ns0:t>
        </ns0:is>
      </ns0:c>
      <ns0:c xmlns:ns0="http://schemas.openxmlformats.org/spreadsheetml/2006/main" r="AE331" s="16" t="inlineStr">
        <ns0:is>
          <ns0:t>X</ns0:t>
        </ns0:is>
      </ns0:c>
      <ns0:c xmlns:ns0="http://schemas.openxmlformats.org/spreadsheetml/2006/main" r="AF331" s="16" t="str">
        <ns0:v>(1:1),(2:2)</ns0:v>
      </ns0:c>
      <ns0:c xmlns:ns0="http://schemas.openxmlformats.org/spreadsheetml/2006/main" r="AG331" s="16" t="inlineStr">
        <ns0:is>
          <ns0:t>Simulation\Resistors\MY_LIB_R_TCR.ckt</ns0:t>
        </ns0:is>
      </ns0:c>
      <ns0:c xmlns:ns0="http://schemas.openxmlformats.org/spreadsheetml/2006/main" r="AH331" s="16" t="inlineStr">
        <ns0:is>
          <ns0:t>±100 ppm/°C</ns0:t>
        </ns0:is>
      </ns0:c>
    </ns0:row>
    <ns0:row xmlns:ns0="http://schemas.openxmlformats.org/spreadsheetml/2006/main" r="332" ht="30" customHeight="1">
      <ns0:c r="A332" t="str" s="10">
        <ns0:v>R0338</ns0:v>
      </ns0:c>
      <ns0:c r="B332" t="str" s="10">
        <ns0:v>Резистор</ns0:v>
      </ns0:c>
      <ns0:c r="C332" t="str" s="10">
        <ns0:v>39R</ns0:v>
      </ns0:c>
      <ns0:c r="D332" t="str" s="11">
        <ns0:f>SUBSTITUTE(SUBSTITUTE(SUBSTITUTE(SUBSTITUTE(C332,"meg"," МОм"),"k"," кОм"),"R"," Ом"),".",",")</ns0:f>
        <ns0:v>39 Ом</ns0:v>
      </ns0:c>
      <ns0:c r="E332" t="str" s="10">
        <ns0:v>±1%</ns0:v>
      </ns0:c>
      <ns0:c r="F332" t="str" s="10">
        <ns0:v>0,1 Вт</ns0:v>
      </ns0:c>
      <ns0:c r="G332" t="str" s="10">
        <ns0:v>75 В макс.</ns0:v>
      </ns0:c>
      <ns0:c r="H332" t="str" s="12">
        <ns0:v>0603</ns0:v>
      </ns0:c>
      <ns0:c r="I332" t="str" s="10">
        <ns0:v>YAGEO</ns0:v>
      </ns0:c>
      <ns0:c r="J332" t="str" s="10">
        <ns0:v>RC0603FR-0739RL</ns0:v>
      </ns0:c>
      <ns0:c r="K332" t="str" s="11">
        <ns0:f>B332&amp;" "&amp;D332&amp;" "&amp;E332&amp;" "&amp;H332</ns0:f>
        <ns0:v>Резистор 39 Ом ±1% 0603</ns0:v>
      </ns0:c>
      <ns0:c r="L332" t="str" s="13">
        <ns0:v>R</ns0:v>
      </ns0:c>
      <ns0:c r="M332" t="str" s="13">
        <ns0:v>Symbols\MY_LIB_Resistors.SchLib</ns0:v>
      </ns0:c>
      <ns0:c r="N332" t="str" s="13">
        <ns0:v>RESC1608X55N</ns0:v>
      </ns0:c>
      <ns0:c r="O332" t="str" s="13">
        <ns0:v>Footprints\PBL - SMD Packages.PcbLib</ns0:v>
      </ns0:c>
      <ns0:c xmlns:ns0="http://schemas.openxmlformats.org/spreadsheetml/2006/main" r="P33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2" s="10"/>
      <ns0:c r="R332" t="str" s="11">
        <ns0:f>D332</ns0:f>
        <ns0:v>39 Ом</ns0:v>
      </ns0:c>
      <ns0:c r="S332" t="str" s="11">
        <ns0:f>K332</ns0:f>
        <ns0:v>Резистор 39 Ом ±1% 0603</ns0:v>
      </ns0:c>
      <x:c xmlns:x="http://schemas.openxmlformats.org/spreadsheetml/2006/main" r="T332" t="str" s="11">
        <x:v>C:\Users\Nomatin\Documents\Altium\MY_LIB\MY_LIB\Datasheets\YAGEO_RC_L.pdf</x:v>
      </x:c>
      <x:c xmlns:x="http://schemas.openxmlformats.org/spreadsheetml/2006/main" r="U332" t="str" s="11">
        <x:v>Даташит — локальный</x:v>
      </x:c>
      <x:c xmlns:x="http://schemas.openxmlformats.org/spreadsheetml/2006/main" r="V332" t="str" s="11">
        <x:v>C:\Users\Nomatin\Documents\Altium\MY_LIB\MY_LIB\Datasheets\YAGEO_RC_L.pdf</x:v>
      </x:c>
      <x:c xmlns:x="http://schemas.openxmlformats.org/spreadsheetml/2006/main" r="W332" t="str" s="11">
        <x:v>Даташит — производитель</x:v>
      </x:c>
      <x:c xmlns:x="http://schemas.openxmlformats.org/spreadsheetml/2006/main" r="X332" t="str" s="11">
        <x:v>https://yageogroup.com/content/datasheet/asset/file/PYU-RC_GROUP_51_ROHS_L</x:v>
      </x:c>
      <x:c xmlns:x="http://schemas.openxmlformats.org/spreadsheetml/2006/main" r="Y332" t="str" s="11">
        <x:v>C:\Users\Nomatin\Documents\Altium\MY_LIB\MY_LIB\Datasheets\YAGEO_RC_L.pdf</x:v>
      </x:c>
      <ns0:c xmlns:ns0="http://schemas.openxmlformats.org/spreadsheetml/2006/main" r="Z332" s="16" t="inlineStr">
        <ns0:is>
          <ns0:t>MY_LIB_R_TCR</ns0:t>
        </ns0:is>
      </ns0:c>
      <ns0:c xmlns:ns0="http://schemas.openxmlformats.org/spreadsheetml/2006/main" r="AA332" s="16" t="inlineStr">
        <ns0:is>
          <ns0:t>R(T), +100 ppm/C at 25 C; positive datasheet limit</ns0:t>
        </ns0:is>
      </ns0:c>
      <ns0:c xmlns:ns0="http://schemas.openxmlformats.org/spreadsheetml/2006/main" r="AB332" s="16" t="str">
        <ns0:v>General</ns0:v>
      </ns0:c>
      <ns0:c xmlns:ns0="http://schemas.openxmlformats.org/spreadsheetml/2006/main" r="AC332" s="16" t="inlineStr">
        <ns0:is>
          <ns0:t>Spice Subcircuit</ns0:t>
        </ns0:is>
      </ns0:c>
      <ns0:c xmlns:ns0="http://schemas.openxmlformats.org/spreadsheetml/2006/main" r="AD332" s="16" t="inlineStr">
        <ns0:is>
          <ns0:t>@DESIGNATOR %1 %2 @MODEL PARAMS: Rvalue=@VALUE TC1value=100u</ns0:t>
        </ns0:is>
      </ns0:c>
      <ns0:c xmlns:ns0="http://schemas.openxmlformats.org/spreadsheetml/2006/main" r="AE332" s="16" t="inlineStr">
        <ns0:is>
          <ns0:t>X</ns0:t>
        </ns0:is>
      </ns0:c>
      <ns0:c xmlns:ns0="http://schemas.openxmlformats.org/spreadsheetml/2006/main" r="AF332" s="16" t="str">
        <ns0:v>(1:1),(2:2)</ns0:v>
      </ns0:c>
      <ns0:c xmlns:ns0="http://schemas.openxmlformats.org/spreadsheetml/2006/main" r="AG332" s="16" t="inlineStr">
        <ns0:is>
          <ns0:t>Simulation\Resistors\MY_LIB_R_TCR.ckt</ns0:t>
        </ns0:is>
      </ns0:c>
      <ns0:c xmlns:ns0="http://schemas.openxmlformats.org/spreadsheetml/2006/main" r="AH332" s="16" t="inlineStr">
        <ns0:is>
          <ns0:t>±100 ppm/°C</ns0:t>
        </ns0:is>
      </ns0:c>
    </ns0:row>
    <ns0:row xmlns:ns0="http://schemas.openxmlformats.org/spreadsheetml/2006/main" r="333" ht="30" customHeight="1">
      <ns0:c r="A333" t="str" s="10">
        <ns0:v>R0339</ns0:v>
      </ns0:c>
      <ns0:c r="B333" t="str" s="10">
        <ns0:v>Резистор</ns0:v>
      </ns0:c>
      <ns0:c r="C333" t="str" s="10">
        <ns0:v>43R</ns0:v>
      </ns0:c>
      <ns0:c r="D333" t="str" s="11">
        <ns0:f>SUBSTITUTE(SUBSTITUTE(SUBSTITUTE(SUBSTITUTE(C333,"meg"," МОм"),"k"," кОм"),"R"," Ом"),".",",")</ns0:f>
        <ns0:v>43 Ом</ns0:v>
      </ns0:c>
      <ns0:c r="E333" t="str" s="10">
        <ns0:v>±1%</ns0:v>
      </ns0:c>
      <ns0:c r="F333" t="str" s="10">
        <ns0:v>0,1 Вт</ns0:v>
      </ns0:c>
      <ns0:c r="G333" t="str" s="10">
        <ns0:v>75 В макс.</ns0:v>
      </ns0:c>
      <ns0:c r="H333" t="str" s="12">
        <ns0:v>0603</ns0:v>
      </ns0:c>
      <ns0:c r="I333" t="str" s="10">
        <ns0:v>YAGEO</ns0:v>
      </ns0:c>
      <ns0:c r="J333" t="str" s="10">
        <ns0:v>RC0603FR-0743RL</ns0:v>
      </ns0:c>
      <ns0:c r="K333" t="str" s="11">
        <ns0:f>B333&amp;" "&amp;D333&amp;" "&amp;E333&amp;" "&amp;H333</ns0:f>
        <ns0:v>Резистор 43 Ом ±1% 0603</ns0:v>
      </ns0:c>
      <ns0:c r="L333" t="str" s="13">
        <ns0:v>R</ns0:v>
      </ns0:c>
      <ns0:c r="M333" t="str" s="13">
        <ns0:v>Symbols\MY_LIB_Resistors.SchLib</ns0:v>
      </ns0:c>
      <ns0:c r="N333" t="str" s="13">
        <ns0:v>RESC1608X55N</ns0:v>
      </ns0:c>
      <ns0:c r="O333" t="str" s="13">
        <ns0:v>Footprints\PBL - SMD Packages.PcbLib</ns0:v>
      </ns0:c>
      <ns0:c xmlns:ns0="http://schemas.openxmlformats.org/spreadsheetml/2006/main" r="P33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3" s="10"/>
      <ns0:c r="R333" t="str" s="11">
        <ns0:f>D333</ns0:f>
        <ns0:v>43 Ом</ns0:v>
      </ns0:c>
      <ns0:c r="S333" t="str" s="11">
        <ns0:f>K333</ns0:f>
        <ns0:v>Резистор 43 Ом ±1% 0603</ns0:v>
      </ns0:c>
      <x:c xmlns:x="http://schemas.openxmlformats.org/spreadsheetml/2006/main" r="T333" t="str" s="11">
        <x:v>C:\Users\Nomatin\Documents\Altium\MY_LIB\MY_LIB\Datasheets\YAGEO_RC_L.pdf</x:v>
      </x:c>
      <x:c xmlns:x="http://schemas.openxmlformats.org/spreadsheetml/2006/main" r="U333" t="str" s="11">
        <x:v>Даташит — локальный</x:v>
      </x:c>
      <x:c xmlns:x="http://schemas.openxmlformats.org/spreadsheetml/2006/main" r="V333" t="str" s="11">
        <x:v>C:\Users\Nomatin\Documents\Altium\MY_LIB\MY_LIB\Datasheets\YAGEO_RC_L.pdf</x:v>
      </x:c>
      <x:c xmlns:x="http://schemas.openxmlformats.org/spreadsheetml/2006/main" r="W333" t="str" s="11">
        <x:v>Даташит — производитель</x:v>
      </x:c>
      <x:c xmlns:x="http://schemas.openxmlformats.org/spreadsheetml/2006/main" r="X333" t="str" s="11">
        <x:v>https://yageogroup.com/content/datasheet/asset/file/PYU-RC_GROUP_51_ROHS_L</x:v>
      </x:c>
      <x:c xmlns:x="http://schemas.openxmlformats.org/spreadsheetml/2006/main" r="Y333" t="str" s="11">
        <x:v>C:\Users\Nomatin\Documents\Altium\MY_LIB\MY_LIB\Datasheets\YAGEO_RC_L.pdf</x:v>
      </x:c>
      <ns0:c xmlns:ns0="http://schemas.openxmlformats.org/spreadsheetml/2006/main" r="Z333" s="16" t="inlineStr">
        <ns0:is>
          <ns0:t>MY_LIB_R_TCR</ns0:t>
        </ns0:is>
      </ns0:c>
      <ns0:c xmlns:ns0="http://schemas.openxmlformats.org/spreadsheetml/2006/main" r="AA333" s="16" t="inlineStr">
        <ns0:is>
          <ns0:t>R(T), +100 ppm/C at 25 C; positive datasheet limit</ns0:t>
        </ns0:is>
      </ns0:c>
      <ns0:c xmlns:ns0="http://schemas.openxmlformats.org/spreadsheetml/2006/main" r="AB333" s="16" t="str">
        <ns0:v>General</ns0:v>
      </ns0:c>
      <ns0:c xmlns:ns0="http://schemas.openxmlformats.org/spreadsheetml/2006/main" r="AC333" s="16" t="inlineStr">
        <ns0:is>
          <ns0:t>Spice Subcircuit</ns0:t>
        </ns0:is>
      </ns0:c>
      <ns0:c xmlns:ns0="http://schemas.openxmlformats.org/spreadsheetml/2006/main" r="AD333" s="16" t="inlineStr">
        <ns0:is>
          <ns0:t>@DESIGNATOR %1 %2 @MODEL PARAMS: Rvalue=@VALUE TC1value=100u</ns0:t>
        </ns0:is>
      </ns0:c>
      <ns0:c xmlns:ns0="http://schemas.openxmlformats.org/spreadsheetml/2006/main" r="AE333" s="16" t="inlineStr">
        <ns0:is>
          <ns0:t>X</ns0:t>
        </ns0:is>
      </ns0:c>
      <ns0:c xmlns:ns0="http://schemas.openxmlformats.org/spreadsheetml/2006/main" r="AF333" s="16" t="str">
        <ns0:v>(1:1),(2:2)</ns0:v>
      </ns0:c>
      <ns0:c xmlns:ns0="http://schemas.openxmlformats.org/spreadsheetml/2006/main" r="AG333" s="16" t="inlineStr">
        <ns0:is>
          <ns0:t>Simulation\Resistors\MY_LIB_R_TCR.ckt</ns0:t>
        </ns0:is>
      </ns0:c>
      <ns0:c xmlns:ns0="http://schemas.openxmlformats.org/spreadsheetml/2006/main" r="AH333" s="16" t="inlineStr">
        <ns0:is>
          <ns0:t>±100 ppm/°C</ns0:t>
        </ns0:is>
      </ns0:c>
    </ns0:row>
    <ns0:row xmlns:ns0="http://schemas.openxmlformats.org/spreadsheetml/2006/main" r="334" ht="30" customHeight="1">
      <ns0:c r="A334" t="str" s="10">
        <ns0:v>R0340</ns0:v>
      </ns0:c>
      <ns0:c r="B334" t="str" s="10">
        <ns0:v>Резистор</ns0:v>
      </ns0:c>
      <ns0:c r="C334" t="str" s="10">
        <ns0:v>47R</ns0:v>
      </ns0:c>
      <ns0:c r="D334" t="str" s="11">
        <ns0:f>SUBSTITUTE(SUBSTITUTE(SUBSTITUTE(SUBSTITUTE(C334,"meg"," МОм"),"k"," кОм"),"R"," Ом"),".",",")</ns0:f>
        <ns0:v>47 Ом</ns0:v>
      </ns0:c>
      <ns0:c r="E334" t="str" s="10">
        <ns0:v>±1%</ns0:v>
      </ns0:c>
      <ns0:c r="F334" t="str" s="10">
        <ns0:v>0,1 Вт</ns0:v>
      </ns0:c>
      <ns0:c r="G334" t="str" s="10">
        <ns0:v>75 В макс.</ns0:v>
      </ns0:c>
      <ns0:c r="H334" t="str" s="12">
        <ns0:v>0603</ns0:v>
      </ns0:c>
      <ns0:c r="I334" t="str" s="10">
        <ns0:v>YAGEO</ns0:v>
      </ns0:c>
      <ns0:c r="J334" t="str" s="10">
        <ns0:v>RC0603FR-0747RL</ns0:v>
      </ns0:c>
      <ns0:c r="K334" t="str" s="11">
        <ns0:f>B334&amp;" "&amp;D334&amp;" "&amp;E334&amp;" "&amp;H334</ns0:f>
        <ns0:v>Резистор 47 Ом ±1% 0603</ns0:v>
      </ns0:c>
      <ns0:c r="L334" t="str" s="13">
        <ns0:v>R</ns0:v>
      </ns0:c>
      <ns0:c r="M334" t="str" s="13">
        <ns0:v>Symbols\MY_LIB_Resistors.SchLib</ns0:v>
      </ns0:c>
      <ns0:c r="N334" t="str" s="13">
        <ns0:v>RESC1608X55N</ns0:v>
      </ns0:c>
      <ns0:c r="O334" t="str" s="13">
        <ns0:v>Footprints\PBL - SMD Packages.PcbLib</ns0:v>
      </ns0:c>
      <ns0:c xmlns:ns0="http://schemas.openxmlformats.org/spreadsheetml/2006/main" r="P33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4" s="10"/>
      <ns0:c r="R334" t="str" s="11">
        <ns0:f>D334</ns0:f>
        <ns0:v>47 Ом</ns0:v>
      </ns0:c>
      <ns0:c r="S334" t="str" s="11">
        <ns0:f>K334</ns0:f>
        <ns0:v>Резистор 47 Ом ±1% 0603</ns0:v>
      </ns0:c>
      <x:c xmlns:x="http://schemas.openxmlformats.org/spreadsheetml/2006/main" r="T334" t="str" s="11">
        <x:v>C:\Users\Nomatin\Documents\Altium\MY_LIB\MY_LIB\Datasheets\YAGEO_RC_L.pdf</x:v>
      </x:c>
      <x:c xmlns:x="http://schemas.openxmlformats.org/spreadsheetml/2006/main" r="U334" t="str" s="11">
        <x:v>Даташит — локальный</x:v>
      </x:c>
      <x:c xmlns:x="http://schemas.openxmlformats.org/spreadsheetml/2006/main" r="V334" t="str" s="11">
        <x:v>C:\Users\Nomatin\Documents\Altium\MY_LIB\MY_LIB\Datasheets\YAGEO_RC_L.pdf</x:v>
      </x:c>
      <x:c xmlns:x="http://schemas.openxmlformats.org/spreadsheetml/2006/main" r="W334" t="str" s="11">
        <x:v>Даташит — производитель</x:v>
      </x:c>
      <x:c xmlns:x="http://schemas.openxmlformats.org/spreadsheetml/2006/main" r="X334" t="str" s="11">
        <x:v>https://yageogroup.com/content/datasheet/asset/file/PYU-RC_GROUP_51_ROHS_L</x:v>
      </x:c>
      <x:c xmlns:x="http://schemas.openxmlformats.org/spreadsheetml/2006/main" r="Y334" t="str" s="11">
        <x:v>C:\Users\Nomatin\Documents\Altium\MY_LIB\MY_LIB\Datasheets\YAGEO_RC_L.pdf</x:v>
      </x:c>
      <ns0:c xmlns:ns0="http://schemas.openxmlformats.org/spreadsheetml/2006/main" r="Z334" s="16" t="inlineStr">
        <ns0:is>
          <ns0:t>MY_LIB_R_TCR</ns0:t>
        </ns0:is>
      </ns0:c>
      <ns0:c xmlns:ns0="http://schemas.openxmlformats.org/spreadsheetml/2006/main" r="AA334" s="16" t="inlineStr">
        <ns0:is>
          <ns0:t>R(T), +100 ppm/C at 25 C; positive datasheet limit</ns0:t>
        </ns0:is>
      </ns0:c>
      <ns0:c xmlns:ns0="http://schemas.openxmlformats.org/spreadsheetml/2006/main" r="AB334" s="16" t="str">
        <ns0:v>General</ns0:v>
      </ns0:c>
      <ns0:c xmlns:ns0="http://schemas.openxmlformats.org/spreadsheetml/2006/main" r="AC334" s="16" t="inlineStr">
        <ns0:is>
          <ns0:t>Spice Subcircuit</ns0:t>
        </ns0:is>
      </ns0:c>
      <ns0:c xmlns:ns0="http://schemas.openxmlformats.org/spreadsheetml/2006/main" r="AD334" s="16" t="inlineStr">
        <ns0:is>
          <ns0:t>@DESIGNATOR %1 %2 @MODEL PARAMS: Rvalue=@VALUE TC1value=100u</ns0:t>
        </ns0:is>
      </ns0:c>
      <ns0:c xmlns:ns0="http://schemas.openxmlformats.org/spreadsheetml/2006/main" r="AE334" s="16" t="inlineStr">
        <ns0:is>
          <ns0:t>X</ns0:t>
        </ns0:is>
      </ns0:c>
      <ns0:c xmlns:ns0="http://schemas.openxmlformats.org/spreadsheetml/2006/main" r="AF334" s="16" t="str">
        <ns0:v>(1:1),(2:2)</ns0:v>
      </ns0:c>
      <ns0:c xmlns:ns0="http://schemas.openxmlformats.org/spreadsheetml/2006/main" r="AG334" s="16" t="inlineStr">
        <ns0:is>
          <ns0:t>Simulation\Resistors\MY_LIB_R_TCR.ckt</ns0:t>
        </ns0:is>
      </ns0:c>
      <ns0:c xmlns:ns0="http://schemas.openxmlformats.org/spreadsheetml/2006/main" r="AH334" s="16" t="inlineStr">
        <ns0:is>
          <ns0:t>±100 ppm/°C</ns0:t>
        </ns0:is>
      </ns0:c>
    </ns0:row>
    <ns0:row xmlns:ns0="http://schemas.openxmlformats.org/spreadsheetml/2006/main" r="335" ht="30" customHeight="1">
      <ns0:c r="A335" t="str" s="10">
        <ns0:v>R0341</ns0:v>
      </ns0:c>
      <ns0:c r="B335" t="str" s="10">
        <ns0:v>Резистор</ns0:v>
      </ns0:c>
      <ns0:c r="C335" t="str" s="10">
        <ns0:v>51R</ns0:v>
      </ns0:c>
      <ns0:c r="D335" t="str" s="11">
        <ns0:f>SUBSTITUTE(SUBSTITUTE(SUBSTITUTE(SUBSTITUTE(C335,"meg"," МОм"),"k"," кОм"),"R"," Ом"),".",",")</ns0:f>
        <ns0:v>51 Ом</ns0:v>
      </ns0:c>
      <ns0:c r="E335" t="str" s="10">
        <ns0:v>±1%</ns0:v>
      </ns0:c>
      <ns0:c r="F335" t="str" s="10">
        <ns0:v>0,1 Вт</ns0:v>
      </ns0:c>
      <ns0:c r="G335" t="str" s="10">
        <ns0:v>75 В макс.</ns0:v>
      </ns0:c>
      <ns0:c r="H335" t="str" s="12">
        <ns0:v>0603</ns0:v>
      </ns0:c>
      <ns0:c r="I335" t="str" s="10">
        <ns0:v>YAGEO</ns0:v>
      </ns0:c>
      <ns0:c r="J335" t="str" s="10">
        <ns0:v>RC0603FR-0751RL</ns0:v>
      </ns0:c>
      <ns0:c r="K335" t="str" s="11">
        <ns0:f>B335&amp;" "&amp;D335&amp;" "&amp;E335&amp;" "&amp;H335</ns0:f>
        <ns0:v>Резистор 51 Ом ±1% 0603</ns0:v>
      </ns0:c>
      <ns0:c r="L335" t="str" s="13">
        <ns0:v>R</ns0:v>
      </ns0:c>
      <ns0:c r="M335" t="str" s="13">
        <ns0:v>Symbols\MY_LIB_Resistors.SchLib</ns0:v>
      </ns0:c>
      <ns0:c r="N335" t="str" s="13">
        <ns0:v>RESC1608X55N</ns0:v>
      </ns0:c>
      <ns0:c r="O335" t="str" s="13">
        <ns0:v>Footprints\PBL - SMD Packages.PcbLib</ns0:v>
      </ns0:c>
      <ns0:c xmlns:ns0="http://schemas.openxmlformats.org/spreadsheetml/2006/main" r="P33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5" s="10"/>
      <ns0:c r="R335" t="str" s="11">
        <ns0:f>D335</ns0:f>
        <ns0:v>51 Ом</ns0:v>
      </ns0:c>
      <ns0:c r="S335" t="str" s="11">
        <ns0:f>K335</ns0:f>
        <ns0:v>Резистор 51 Ом ±1% 0603</ns0:v>
      </ns0:c>
      <x:c xmlns:x="http://schemas.openxmlformats.org/spreadsheetml/2006/main" r="T335" t="str" s="11">
        <x:v>C:\Users\Nomatin\Documents\Altium\MY_LIB\MY_LIB\Datasheets\YAGEO_RC_L.pdf</x:v>
      </x:c>
      <x:c xmlns:x="http://schemas.openxmlformats.org/spreadsheetml/2006/main" r="U335" t="str" s="11">
        <x:v>Даташит — локальный</x:v>
      </x:c>
      <x:c xmlns:x="http://schemas.openxmlformats.org/spreadsheetml/2006/main" r="V335" t="str" s="11">
        <x:v>C:\Users\Nomatin\Documents\Altium\MY_LIB\MY_LIB\Datasheets\YAGEO_RC_L.pdf</x:v>
      </x:c>
      <x:c xmlns:x="http://schemas.openxmlformats.org/spreadsheetml/2006/main" r="W335" t="str" s="11">
        <x:v>Даташит — производитель</x:v>
      </x:c>
      <x:c xmlns:x="http://schemas.openxmlformats.org/spreadsheetml/2006/main" r="X335" t="str" s="11">
        <x:v>https://yageogroup.com/content/datasheet/asset/file/PYU-RC_GROUP_51_ROHS_L</x:v>
      </x:c>
      <x:c xmlns:x="http://schemas.openxmlformats.org/spreadsheetml/2006/main" r="Y335" t="str" s="11">
        <x:v>C:\Users\Nomatin\Documents\Altium\MY_LIB\MY_LIB\Datasheets\YAGEO_RC_L.pdf</x:v>
      </x:c>
      <ns0:c xmlns:ns0="http://schemas.openxmlformats.org/spreadsheetml/2006/main" r="Z335" s="16" t="inlineStr">
        <ns0:is>
          <ns0:t>MY_LIB_R_TCR</ns0:t>
        </ns0:is>
      </ns0:c>
      <ns0:c xmlns:ns0="http://schemas.openxmlformats.org/spreadsheetml/2006/main" r="AA335" s="16" t="inlineStr">
        <ns0:is>
          <ns0:t>R(T), +100 ppm/C at 25 C; positive datasheet limit</ns0:t>
        </ns0:is>
      </ns0:c>
      <ns0:c xmlns:ns0="http://schemas.openxmlformats.org/spreadsheetml/2006/main" r="AB335" s="16" t="str">
        <ns0:v>General</ns0:v>
      </ns0:c>
      <ns0:c xmlns:ns0="http://schemas.openxmlformats.org/spreadsheetml/2006/main" r="AC335" s="16" t="inlineStr">
        <ns0:is>
          <ns0:t>Spice Subcircuit</ns0:t>
        </ns0:is>
      </ns0:c>
      <ns0:c xmlns:ns0="http://schemas.openxmlformats.org/spreadsheetml/2006/main" r="AD335" s="16" t="inlineStr">
        <ns0:is>
          <ns0:t>@DESIGNATOR %1 %2 @MODEL PARAMS: Rvalue=@VALUE TC1value=100u</ns0:t>
        </ns0:is>
      </ns0:c>
      <ns0:c xmlns:ns0="http://schemas.openxmlformats.org/spreadsheetml/2006/main" r="AE335" s="16" t="inlineStr">
        <ns0:is>
          <ns0:t>X</ns0:t>
        </ns0:is>
      </ns0:c>
      <ns0:c xmlns:ns0="http://schemas.openxmlformats.org/spreadsheetml/2006/main" r="AF335" s="16" t="str">
        <ns0:v>(1:1),(2:2)</ns0:v>
      </ns0:c>
      <ns0:c xmlns:ns0="http://schemas.openxmlformats.org/spreadsheetml/2006/main" r="AG335" s="16" t="inlineStr">
        <ns0:is>
          <ns0:t>Simulation\Resistors\MY_LIB_R_TCR.ckt</ns0:t>
        </ns0:is>
      </ns0:c>
      <ns0:c xmlns:ns0="http://schemas.openxmlformats.org/spreadsheetml/2006/main" r="AH335" s="16" t="inlineStr">
        <ns0:is>
          <ns0:t>±100 ppm/°C</ns0:t>
        </ns0:is>
      </ns0:c>
    </ns0:row>
    <ns0:row xmlns:ns0="http://schemas.openxmlformats.org/spreadsheetml/2006/main" r="336" ht="30" customHeight="1">
      <ns0:c r="A336" t="str" s="10">
        <ns0:v>R0342</ns0:v>
      </ns0:c>
      <ns0:c r="B336" t="str" s="10">
        <ns0:v>Резистор</ns0:v>
      </ns0:c>
      <ns0:c r="C336" t="str" s="10">
        <ns0:v>56R</ns0:v>
      </ns0:c>
      <ns0:c r="D336" t="str" s="11">
        <ns0:f>SUBSTITUTE(SUBSTITUTE(SUBSTITUTE(SUBSTITUTE(C336,"meg"," МОм"),"k"," кОм"),"R"," Ом"),".",",")</ns0:f>
        <ns0:v>56 Ом</ns0:v>
      </ns0:c>
      <ns0:c r="E336" t="str" s="10">
        <ns0:v>±1%</ns0:v>
      </ns0:c>
      <ns0:c r="F336" t="str" s="10">
        <ns0:v>0,1 Вт</ns0:v>
      </ns0:c>
      <ns0:c r="G336" t="str" s="10">
        <ns0:v>75 В макс.</ns0:v>
      </ns0:c>
      <ns0:c r="H336" t="str" s="12">
        <ns0:v>0603</ns0:v>
      </ns0:c>
      <ns0:c r="I336" t="str" s="10">
        <ns0:v>YAGEO</ns0:v>
      </ns0:c>
      <ns0:c r="J336" t="str" s="10">
        <ns0:v>RC0603FR-0756RL</ns0:v>
      </ns0:c>
      <ns0:c r="K336" t="str" s="11">
        <ns0:f>B336&amp;" "&amp;D336&amp;" "&amp;E336&amp;" "&amp;H336</ns0:f>
        <ns0:v>Резистор 56 Ом ±1% 0603</ns0:v>
      </ns0:c>
      <ns0:c r="L336" t="str" s="13">
        <ns0:v>R</ns0:v>
      </ns0:c>
      <ns0:c r="M336" t="str" s="13">
        <ns0:v>Symbols\MY_LIB_Resistors.SchLib</ns0:v>
      </ns0:c>
      <ns0:c r="N336" t="str" s="13">
        <ns0:v>RESC1608X55N</ns0:v>
      </ns0:c>
      <ns0:c r="O336" t="str" s="13">
        <ns0:v>Footprints\PBL - SMD Packages.PcbLib</ns0:v>
      </ns0:c>
      <ns0:c xmlns:ns0="http://schemas.openxmlformats.org/spreadsheetml/2006/main" r="P33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6" s="10"/>
      <ns0:c r="R336" t="str" s="11">
        <ns0:f>D336</ns0:f>
        <ns0:v>56 Ом</ns0:v>
      </ns0:c>
      <ns0:c r="S336" t="str" s="11">
        <ns0:f>K336</ns0:f>
        <ns0:v>Резистор 56 Ом ±1% 0603</ns0:v>
      </ns0:c>
      <x:c xmlns:x="http://schemas.openxmlformats.org/spreadsheetml/2006/main" r="T336" t="str" s="11">
        <x:v>C:\Users\Nomatin\Documents\Altium\MY_LIB\MY_LIB\Datasheets\YAGEO_RC_L.pdf</x:v>
      </x:c>
      <x:c xmlns:x="http://schemas.openxmlformats.org/spreadsheetml/2006/main" r="U336" t="str" s="11">
        <x:v>Даташит — локальный</x:v>
      </x:c>
      <x:c xmlns:x="http://schemas.openxmlformats.org/spreadsheetml/2006/main" r="V336" t="str" s="11">
        <x:v>C:\Users\Nomatin\Documents\Altium\MY_LIB\MY_LIB\Datasheets\YAGEO_RC_L.pdf</x:v>
      </x:c>
      <x:c xmlns:x="http://schemas.openxmlformats.org/spreadsheetml/2006/main" r="W336" t="str" s="11">
        <x:v>Даташит — производитель</x:v>
      </x:c>
      <x:c xmlns:x="http://schemas.openxmlformats.org/spreadsheetml/2006/main" r="X336" t="str" s="11">
        <x:v>https://yageogroup.com/content/datasheet/asset/file/PYU-RC_GROUP_51_ROHS_L</x:v>
      </x:c>
      <x:c xmlns:x="http://schemas.openxmlformats.org/spreadsheetml/2006/main" r="Y336" t="str" s="11">
        <x:v>C:\Users\Nomatin\Documents\Altium\MY_LIB\MY_LIB\Datasheets\YAGEO_RC_L.pdf</x:v>
      </x:c>
      <ns0:c xmlns:ns0="http://schemas.openxmlformats.org/spreadsheetml/2006/main" r="Z336" s="16" t="inlineStr">
        <ns0:is>
          <ns0:t>MY_LIB_R_TCR</ns0:t>
        </ns0:is>
      </ns0:c>
      <ns0:c xmlns:ns0="http://schemas.openxmlformats.org/spreadsheetml/2006/main" r="AA336" s="16" t="inlineStr">
        <ns0:is>
          <ns0:t>R(T), +100 ppm/C at 25 C; positive datasheet limit</ns0:t>
        </ns0:is>
      </ns0:c>
      <ns0:c xmlns:ns0="http://schemas.openxmlformats.org/spreadsheetml/2006/main" r="AB336" s="16" t="str">
        <ns0:v>General</ns0:v>
      </ns0:c>
      <ns0:c xmlns:ns0="http://schemas.openxmlformats.org/spreadsheetml/2006/main" r="AC336" s="16" t="inlineStr">
        <ns0:is>
          <ns0:t>Spice Subcircuit</ns0:t>
        </ns0:is>
      </ns0:c>
      <ns0:c xmlns:ns0="http://schemas.openxmlformats.org/spreadsheetml/2006/main" r="AD336" s="16" t="inlineStr">
        <ns0:is>
          <ns0:t>@DESIGNATOR %1 %2 @MODEL PARAMS: Rvalue=@VALUE TC1value=100u</ns0:t>
        </ns0:is>
      </ns0:c>
      <ns0:c xmlns:ns0="http://schemas.openxmlformats.org/spreadsheetml/2006/main" r="AE336" s="16" t="inlineStr">
        <ns0:is>
          <ns0:t>X</ns0:t>
        </ns0:is>
      </ns0:c>
      <ns0:c xmlns:ns0="http://schemas.openxmlformats.org/spreadsheetml/2006/main" r="AF336" s="16" t="str">
        <ns0:v>(1:1),(2:2)</ns0:v>
      </ns0:c>
      <ns0:c xmlns:ns0="http://schemas.openxmlformats.org/spreadsheetml/2006/main" r="AG336" s="16" t="inlineStr">
        <ns0:is>
          <ns0:t>Simulation\Resistors\MY_LIB_R_TCR.ckt</ns0:t>
        </ns0:is>
      </ns0:c>
      <ns0:c xmlns:ns0="http://schemas.openxmlformats.org/spreadsheetml/2006/main" r="AH336" s="16" t="inlineStr">
        <ns0:is>
          <ns0:t>±100 ppm/°C</ns0:t>
        </ns0:is>
      </ns0:c>
    </ns0:row>
    <ns0:row xmlns:ns0="http://schemas.openxmlformats.org/spreadsheetml/2006/main" r="337" ht="30" customHeight="1">
      <ns0:c r="A337" t="str" s="10">
        <ns0:v>R0343</ns0:v>
      </ns0:c>
      <ns0:c r="B337" t="str" s="10">
        <ns0:v>Резистор</ns0:v>
      </ns0:c>
      <ns0:c r="C337" t="str" s="10">
        <ns0:v>62R</ns0:v>
      </ns0:c>
      <ns0:c r="D337" t="str" s="11">
        <ns0:f>SUBSTITUTE(SUBSTITUTE(SUBSTITUTE(SUBSTITUTE(C337,"meg"," МОм"),"k"," кОм"),"R"," Ом"),".",",")</ns0:f>
        <ns0:v>62 Ом</ns0:v>
      </ns0:c>
      <ns0:c r="E337" t="str" s="10">
        <ns0:v>±1%</ns0:v>
      </ns0:c>
      <ns0:c r="F337" t="str" s="10">
        <ns0:v>0,1 Вт</ns0:v>
      </ns0:c>
      <ns0:c r="G337" t="str" s="10">
        <ns0:v>75 В макс.</ns0:v>
      </ns0:c>
      <ns0:c r="H337" t="str" s="12">
        <ns0:v>0603</ns0:v>
      </ns0:c>
      <ns0:c r="I337" t="str" s="10">
        <ns0:v>YAGEO</ns0:v>
      </ns0:c>
      <ns0:c r="J337" t="str" s="10">
        <ns0:v>RC0603FR-0762RL</ns0:v>
      </ns0:c>
      <ns0:c r="K337" t="str" s="11">
        <ns0:f>B337&amp;" "&amp;D337&amp;" "&amp;E337&amp;" "&amp;H337</ns0:f>
        <ns0:v>Резистор 62 Ом ±1% 0603</ns0:v>
      </ns0:c>
      <ns0:c r="L337" t="str" s="13">
        <ns0:v>R</ns0:v>
      </ns0:c>
      <ns0:c r="M337" t="str" s="13">
        <ns0:v>Symbols\MY_LIB_Resistors.SchLib</ns0:v>
      </ns0:c>
      <ns0:c r="N337" t="str" s="13">
        <ns0:v>RESC1608X55N</ns0:v>
      </ns0:c>
      <ns0:c r="O337" t="str" s="13">
        <ns0:v>Footprints\PBL - SMD Packages.PcbLib</ns0:v>
      </ns0:c>
      <ns0:c xmlns:ns0="http://schemas.openxmlformats.org/spreadsheetml/2006/main" r="P33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7" s="10"/>
      <ns0:c r="R337" t="str" s="11">
        <ns0:f>D337</ns0:f>
        <ns0:v>62 Ом</ns0:v>
      </ns0:c>
      <ns0:c r="S337" t="str" s="11">
        <ns0:f>K337</ns0:f>
        <ns0:v>Резистор 62 Ом ±1% 0603</ns0:v>
      </ns0:c>
      <x:c xmlns:x="http://schemas.openxmlformats.org/spreadsheetml/2006/main" r="T337" t="str" s="11">
        <x:v>C:\Users\Nomatin\Documents\Altium\MY_LIB\MY_LIB\Datasheets\YAGEO_RC_L.pdf</x:v>
      </x:c>
      <x:c xmlns:x="http://schemas.openxmlformats.org/spreadsheetml/2006/main" r="U337" t="str" s="11">
        <x:v>Даташит — локальный</x:v>
      </x:c>
      <x:c xmlns:x="http://schemas.openxmlformats.org/spreadsheetml/2006/main" r="V337" t="str" s="11">
        <x:v>C:\Users\Nomatin\Documents\Altium\MY_LIB\MY_LIB\Datasheets\YAGEO_RC_L.pdf</x:v>
      </x:c>
      <x:c xmlns:x="http://schemas.openxmlformats.org/spreadsheetml/2006/main" r="W337" t="str" s="11">
        <x:v>Даташит — производитель</x:v>
      </x:c>
      <x:c xmlns:x="http://schemas.openxmlformats.org/spreadsheetml/2006/main" r="X337" t="str" s="11">
        <x:v>https://yageogroup.com/content/datasheet/asset/file/PYU-RC_GROUP_51_ROHS_L</x:v>
      </x:c>
      <x:c xmlns:x="http://schemas.openxmlformats.org/spreadsheetml/2006/main" r="Y337" t="str" s="11">
        <x:v>C:\Users\Nomatin\Documents\Altium\MY_LIB\MY_LIB\Datasheets\YAGEO_RC_L.pdf</x:v>
      </x:c>
      <ns0:c xmlns:ns0="http://schemas.openxmlformats.org/spreadsheetml/2006/main" r="Z337" s="16" t="inlineStr">
        <ns0:is>
          <ns0:t>MY_LIB_R_TCR</ns0:t>
        </ns0:is>
      </ns0:c>
      <ns0:c xmlns:ns0="http://schemas.openxmlformats.org/spreadsheetml/2006/main" r="AA337" s="16" t="inlineStr">
        <ns0:is>
          <ns0:t>R(T), +100 ppm/C at 25 C; positive datasheet limit</ns0:t>
        </ns0:is>
      </ns0:c>
      <ns0:c xmlns:ns0="http://schemas.openxmlformats.org/spreadsheetml/2006/main" r="AB337" s="16" t="str">
        <ns0:v>General</ns0:v>
      </ns0:c>
      <ns0:c xmlns:ns0="http://schemas.openxmlformats.org/spreadsheetml/2006/main" r="AC337" s="16" t="inlineStr">
        <ns0:is>
          <ns0:t>Spice Subcircuit</ns0:t>
        </ns0:is>
      </ns0:c>
      <ns0:c xmlns:ns0="http://schemas.openxmlformats.org/spreadsheetml/2006/main" r="AD337" s="16" t="inlineStr">
        <ns0:is>
          <ns0:t>@DESIGNATOR %1 %2 @MODEL PARAMS: Rvalue=@VALUE TC1value=100u</ns0:t>
        </ns0:is>
      </ns0:c>
      <ns0:c xmlns:ns0="http://schemas.openxmlformats.org/spreadsheetml/2006/main" r="AE337" s="16" t="inlineStr">
        <ns0:is>
          <ns0:t>X</ns0:t>
        </ns0:is>
      </ns0:c>
      <ns0:c xmlns:ns0="http://schemas.openxmlformats.org/spreadsheetml/2006/main" r="AF337" s="16" t="str">
        <ns0:v>(1:1),(2:2)</ns0:v>
      </ns0:c>
      <ns0:c xmlns:ns0="http://schemas.openxmlformats.org/spreadsheetml/2006/main" r="AG337" s="16" t="inlineStr">
        <ns0:is>
          <ns0:t>Simulation\Resistors\MY_LIB_R_TCR.ckt</ns0:t>
        </ns0:is>
      </ns0:c>
      <ns0:c xmlns:ns0="http://schemas.openxmlformats.org/spreadsheetml/2006/main" r="AH337" s="16" t="inlineStr">
        <ns0:is>
          <ns0:t>±100 ppm/°C</ns0:t>
        </ns0:is>
      </ns0:c>
    </ns0:row>
    <ns0:row xmlns:ns0="http://schemas.openxmlformats.org/spreadsheetml/2006/main" r="338" ht="30" customHeight="1">
      <ns0:c r="A338" t="str" s="10">
        <ns0:v>R0344</ns0:v>
      </ns0:c>
      <ns0:c r="B338" t="str" s="10">
        <ns0:v>Резистор</ns0:v>
      </ns0:c>
      <ns0:c r="C338" t="str" s="10">
        <ns0:v>68R</ns0:v>
      </ns0:c>
      <ns0:c r="D338" t="str" s="11">
        <ns0:f>SUBSTITUTE(SUBSTITUTE(SUBSTITUTE(SUBSTITUTE(C338,"meg"," МОм"),"k"," кОм"),"R"," Ом"),".",",")</ns0:f>
        <ns0:v>68 Ом</ns0:v>
      </ns0:c>
      <ns0:c r="E338" t="str" s="10">
        <ns0:v>±1%</ns0:v>
      </ns0:c>
      <ns0:c r="F338" t="str" s="10">
        <ns0:v>0,1 Вт</ns0:v>
      </ns0:c>
      <ns0:c r="G338" t="str" s="10">
        <ns0:v>75 В макс.</ns0:v>
      </ns0:c>
      <ns0:c r="H338" t="str" s="12">
        <ns0:v>0603</ns0:v>
      </ns0:c>
      <ns0:c r="I338" t="str" s="10">
        <ns0:v>YAGEO</ns0:v>
      </ns0:c>
      <ns0:c r="J338" t="str" s="10">
        <ns0:v>RC0603FR-0768RL</ns0:v>
      </ns0:c>
      <ns0:c r="K338" t="str" s="11">
        <ns0:f>B338&amp;" "&amp;D338&amp;" "&amp;E338&amp;" "&amp;H338</ns0:f>
        <ns0:v>Резистор 68 Ом ±1% 0603</ns0:v>
      </ns0:c>
      <ns0:c r="L338" t="str" s="13">
        <ns0:v>R</ns0:v>
      </ns0:c>
      <ns0:c r="M338" t="str" s="13">
        <ns0:v>Symbols\MY_LIB_Resistors.SchLib</ns0:v>
      </ns0:c>
      <ns0:c r="N338" t="str" s="13">
        <ns0:v>RESC1608X55N</ns0:v>
      </ns0:c>
      <ns0:c r="O338" t="str" s="13">
        <ns0:v>Footprints\PBL - SMD Packages.PcbLib</ns0:v>
      </ns0:c>
      <ns0:c xmlns:ns0="http://schemas.openxmlformats.org/spreadsheetml/2006/main" r="P33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8" s="10"/>
      <ns0:c r="R338" t="str" s="11">
        <ns0:f>D338</ns0:f>
        <ns0:v>68 Ом</ns0:v>
      </ns0:c>
      <ns0:c r="S338" t="str" s="11">
        <ns0:f>K338</ns0:f>
        <ns0:v>Резистор 68 Ом ±1% 0603</ns0:v>
      </ns0:c>
      <x:c xmlns:x="http://schemas.openxmlformats.org/spreadsheetml/2006/main" r="T338" t="str" s="11">
        <x:v>C:\Users\Nomatin\Documents\Altium\MY_LIB\MY_LIB\Datasheets\YAGEO_RC_L.pdf</x:v>
      </x:c>
      <x:c xmlns:x="http://schemas.openxmlformats.org/spreadsheetml/2006/main" r="U338" t="str" s="11">
        <x:v>Даташит — локальный</x:v>
      </x:c>
      <x:c xmlns:x="http://schemas.openxmlformats.org/spreadsheetml/2006/main" r="V338" t="str" s="11">
        <x:v>C:\Users\Nomatin\Documents\Altium\MY_LIB\MY_LIB\Datasheets\YAGEO_RC_L.pdf</x:v>
      </x:c>
      <x:c xmlns:x="http://schemas.openxmlformats.org/spreadsheetml/2006/main" r="W338" t="str" s="11">
        <x:v>Даташит — производитель</x:v>
      </x:c>
      <x:c xmlns:x="http://schemas.openxmlformats.org/spreadsheetml/2006/main" r="X338" t="str" s="11">
        <x:v>https://yageogroup.com/content/datasheet/asset/file/PYU-RC_GROUP_51_ROHS_L</x:v>
      </x:c>
      <x:c xmlns:x="http://schemas.openxmlformats.org/spreadsheetml/2006/main" r="Y338" t="str" s="11">
        <x:v>C:\Users\Nomatin\Documents\Altium\MY_LIB\MY_LIB\Datasheets\YAGEO_RC_L.pdf</x:v>
      </x:c>
      <ns0:c xmlns:ns0="http://schemas.openxmlformats.org/spreadsheetml/2006/main" r="Z338" s="16" t="inlineStr">
        <ns0:is>
          <ns0:t>MY_LIB_R_TCR</ns0:t>
        </ns0:is>
      </ns0:c>
      <ns0:c xmlns:ns0="http://schemas.openxmlformats.org/spreadsheetml/2006/main" r="AA338" s="16" t="inlineStr">
        <ns0:is>
          <ns0:t>R(T), +100 ppm/C at 25 C; positive datasheet limit</ns0:t>
        </ns0:is>
      </ns0:c>
      <ns0:c xmlns:ns0="http://schemas.openxmlformats.org/spreadsheetml/2006/main" r="AB338" s="16" t="str">
        <ns0:v>General</ns0:v>
      </ns0:c>
      <ns0:c xmlns:ns0="http://schemas.openxmlformats.org/spreadsheetml/2006/main" r="AC338" s="16" t="inlineStr">
        <ns0:is>
          <ns0:t>Spice Subcircuit</ns0:t>
        </ns0:is>
      </ns0:c>
      <ns0:c xmlns:ns0="http://schemas.openxmlformats.org/spreadsheetml/2006/main" r="AD338" s="16" t="inlineStr">
        <ns0:is>
          <ns0:t>@DESIGNATOR %1 %2 @MODEL PARAMS: Rvalue=@VALUE TC1value=100u</ns0:t>
        </ns0:is>
      </ns0:c>
      <ns0:c xmlns:ns0="http://schemas.openxmlformats.org/spreadsheetml/2006/main" r="AE338" s="16" t="inlineStr">
        <ns0:is>
          <ns0:t>X</ns0:t>
        </ns0:is>
      </ns0:c>
      <ns0:c xmlns:ns0="http://schemas.openxmlformats.org/spreadsheetml/2006/main" r="AF338" s="16" t="str">
        <ns0:v>(1:1),(2:2)</ns0:v>
      </ns0:c>
      <ns0:c xmlns:ns0="http://schemas.openxmlformats.org/spreadsheetml/2006/main" r="AG338" s="16" t="inlineStr">
        <ns0:is>
          <ns0:t>Simulation\Resistors\MY_LIB_R_TCR.ckt</ns0:t>
        </ns0:is>
      </ns0:c>
      <ns0:c xmlns:ns0="http://schemas.openxmlformats.org/spreadsheetml/2006/main" r="AH338" s="16" t="inlineStr">
        <ns0:is>
          <ns0:t>±100 ppm/°C</ns0:t>
        </ns0:is>
      </ns0:c>
    </ns0:row>
    <ns0:row xmlns:ns0="http://schemas.openxmlformats.org/spreadsheetml/2006/main" r="339" ht="30" customHeight="1">
      <ns0:c r="A339" t="str" s="10">
        <ns0:v>R0345</ns0:v>
      </ns0:c>
      <ns0:c r="B339" t="str" s="10">
        <ns0:v>Резистор</ns0:v>
      </ns0:c>
      <ns0:c r="C339" t="str" s="10">
        <ns0:v>75R</ns0:v>
      </ns0:c>
      <ns0:c r="D339" t="str" s="11">
        <ns0:f>SUBSTITUTE(SUBSTITUTE(SUBSTITUTE(SUBSTITUTE(C339,"meg"," МОм"),"k"," кОм"),"R"," Ом"),".",",")</ns0:f>
        <ns0:v>75 Ом</ns0:v>
      </ns0:c>
      <ns0:c r="E339" t="str" s="10">
        <ns0:v>±1%</ns0:v>
      </ns0:c>
      <ns0:c r="F339" t="str" s="10">
        <ns0:v>0,1 Вт</ns0:v>
      </ns0:c>
      <ns0:c r="G339" t="str" s="10">
        <ns0:v>75 В макс.</ns0:v>
      </ns0:c>
      <ns0:c r="H339" t="str" s="12">
        <ns0:v>0603</ns0:v>
      </ns0:c>
      <ns0:c r="I339" t="str" s="10">
        <ns0:v>YAGEO</ns0:v>
      </ns0:c>
      <ns0:c r="J339" t="str" s="10">
        <ns0:v>RC0603FR-0775RL</ns0:v>
      </ns0:c>
      <ns0:c r="K339" t="str" s="11">
        <ns0:f>B339&amp;" "&amp;D339&amp;" "&amp;E339&amp;" "&amp;H339</ns0:f>
        <ns0:v>Резистор 75 Ом ±1% 0603</ns0:v>
      </ns0:c>
      <ns0:c r="L339" t="str" s="13">
        <ns0:v>R</ns0:v>
      </ns0:c>
      <ns0:c r="M339" t="str" s="13">
        <ns0:v>Symbols\MY_LIB_Resistors.SchLib</ns0:v>
      </ns0:c>
      <ns0:c r="N339" t="str" s="13">
        <ns0:v>RESC1608X55N</ns0:v>
      </ns0:c>
      <ns0:c r="O339" t="str" s="13">
        <ns0:v>Footprints\PBL - SMD Packages.PcbLib</ns0:v>
      </ns0:c>
      <ns0:c xmlns:ns0="http://schemas.openxmlformats.org/spreadsheetml/2006/main" r="P33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39" s="10"/>
      <ns0:c r="R339" t="str" s="11">
        <ns0:f>D339</ns0:f>
        <ns0:v>75 Ом</ns0:v>
      </ns0:c>
      <ns0:c r="S339" t="str" s="11">
        <ns0:f>K339</ns0:f>
        <ns0:v>Резистор 75 Ом ±1% 0603</ns0:v>
      </ns0:c>
      <x:c xmlns:x="http://schemas.openxmlformats.org/spreadsheetml/2006/main" r="T339" t="str" s="11">
        <x:v>C:\Users\Nomatin\Documents\Altium\MY_LIB\MY_LIB\Datasheets\YAGEO_RC_L.pdf</x:v>
      </x:c>
      <x:c xmlns:x="http://schemas.openxmlformats.org/spreadsheetml/2006/main" r="U339" t="str" s="11">
        <x:v>Даташит — локальный</x:v>
      </x:c>
      <x:c xmlns:x="http://schemas.openxmlformats.org/spreadsheetml/2006/main" r="V339" t="str" s="11">
        <x:v>C:\Users\Nomatin\Documents\Altium\MY_LIB\MY_LIB\Datasheets\YAGEO_RC_L.pdf</x:v>
      </x:c>
      <x:c xmlns:x="http://schemas.openxmlformats.org/spreadsheetml/2006/main" r="W339" t="str" s="11">
        <x:v>Даташит — производитель</x:v>
      </x:c>
      <x:c xmlns:x="http://schemas.openxmlformats.org/spreadsheetml/2006/main" r="X339" t="str" s="11">
        <x:v>https://yageogroup.com/content/datasheet/asset/file/PYU-RC_GROUP_51_ROHS_L</x:v>
      </x:c>
      <x:c xmlns:x="http://schemas.openxmlformats.org/spreadsheetml/2006/main" r="Y339" t="str" s="11">
        <x:v>C:\Users\Nomatin\Documents\Altium\MY_LIB\MY_LIB\Datasheets\YAGEO_RC_L.pdf</x:v>
      </x:c>
      <ns0:c xmlns:ns0="http://schemas.openxmlformats.org/spreadsheetml/2006/main" r="Z339" s="16" t="inlineStr">
        <ns0:is>
          <ns0:t>MY_LIB_R_TCR</ns0:t>
        </ns0:is>
      </ns0:c>
      <ns0:c xmlns:ns0="http://schemas.openxmlformats.org/spreadsheetml/2006/main" r="AA339" s="16" t="inlineStr">
        <ns0:is>
          <ns0:t>R(T), +100 ppm/C at 25 C; positive datasheet limit</ns0:t>
        </ns0:is>
      </ns0:c>
      <ns0:c xmlns:ns0="http://schemas.openxmlformats.org/spreadsheetml/2006/main" r="AB339" s="16" t="str">
        <ns0:v>General</ns0:v>
      </ns0:c>
      <ns0:c xmlns:ns0="http://schemas.openxmlformats.org/spreadsheetml/2006/main" r="AC339" s="16" t="inlineStr">
        <ns0:is>
          <ns0:t>Spice Subcircuit</ns0:t>
        </ns0:is>
      </ns0:c>
      <ns0:c xmlns:ns0="http://schemas.openxmlformats.org/spreadsheetml/2006/main" r="AD339" s="16" t="inlineStr">
        <ns0:is>
          <ns0:t>@DESIGNATOR %1 %2 @MODEL PARAMS: Rvalue=@VALUE TC1value=100u</ns0:t>
        </ns0:is>
      </ns0:c>
      <ns0:c xmlns:ns0="http://schemas.openxmlformats.org/spreadsheetml/2006/main" r="AE339" s="16" t="inlineStr">
        <ns0:is>
          <ns0:t>X</ns0:t>
        </ns0:is>
      </ns0:c>
      <ns0:c xmlns:ns0="http://schemas.openxmlformats.org/spreadsheetml/2006/main" r="AF339" s="16" t="str">
        <ns0:v>(1:1),(2:2)</ns0:v>
      </ns0:c>
      <ns0:c xmlns:ns0="http://schemas.openxmlformats.org/spreadsheetml/2006/main" r="AG339" s="16" t="inlineStr">
        <ns0:is>
          <ns0:t>Simulation\Resistors\MY_LIB_R_TCR.ckt</ns0:t>
        </ns0:is>
      </ns0:c>
      <ns0:c xmlns:ns0="http://schemas.openxmlformats.org/spreadsheetml/2006/main" r="AH339" s="16" t="inlineStr">
        <ns0:is>
          <ns0:t>±100 ppm/°C</ns0:t>
        </ns0:is>
      </ns0:c>
    </ns0:row>
    <ns0:row xmlns:ns0="http://schemas.openxmlformats.org/spreadsheetml/2006/main" r="340" ht="30" customHeight="1">
      <ns0:c r="A340" t="str" s="10">
        <ns0:v>R0346</ns0:v>
      </ns0:c>
      <ns0:c r="B340" t="str" s="10">
        <ns0:v>Резистор</ns0:v>
      </ns0:c>
      <ns0:c r="C340" t="str" s="10">
        <ns0:v>82R</ns0:v>
      </ns0:c>
      <ns0:c r="D340" t="str" s="11">
        <ns0:f>SUBSTITUTE(SUBSTITUTE(SUBSTITUTE(SUBSTITUTE(C340,"meg"," МОм"),"k"," кОм"),"R"," Ом"),".",",")</ns0:f>
        <ns0:v>82 Ом</ns0:v>
      </ns0:c>
      <ns0:c r="E340" t="str" s="10">
        <ns0:v>±1%</ns0:v>
      </ns0:c>
      <ns0:c r="F340" t="str" s="10">
        <ns0:v>0,1 Вт</ns0:v>
      </ns0:c>
      <ns0:c r="G340" t="str" s="10">
        <ns0:v>75 В макс.</ns0:v>
      </ns0:c>
      <ns0:c r="H340" t="str" s="12">
        <ns0:v>0603</ns0:v>
      </ns0:c>
      <ns0:c r="I340" t="str" s="10">
        <ns0:v>YAGEO</ns0:v>
      </ns0:c>
      <ns0:c r="J340" t="str" s="10">
        <ns0:v>RC0603FR-0782RL</ns0:v>
      </ns0:c>
      <ns0:c r="K340" t="str" s="11">
        <ns0:f>B340&amp;" "&amp;D340&amp;" "&amp;E340&amp;" "&amp;H340</ns0:f>
        <ns0:v>Резистор 82 Ом ±1% 0603</ns0:v>
      </ns0:c>
      <ns0:c r="L340" t="str" s="13">
        <ns0:v>R</ns0:v>
      </ns0:c>
      <ns0:c r="M340" t="str" s="13">
        <ns0:v>Symbols\MY_LIB_Resistors.SchLib</ns0:v>
      </ns0:c>
      <ns0:c r="N340" t="str" s="13">
        <ns0:v>RESC1608X55N</ns0:v>
      </ns0:c>
      <ns0:c r="O340" t="str" s="13">
        <ns0:v>Footprints\PBL - SMD Packages.PcbLib</ns0:v>
      </ns0:c>
      <ns0:c xmlns:ns0="http://schemas.openxmlformats.org/spreadsheetml/2006/main" r="P34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0" s="10"/>
      <ns0:c r="R340" t="str" s="11">
        <ns0:f>D340</ns0:f>
        <ns0:v>82 Ом</ns0:v>
      </ns0:c>
      <ns0:c r="S340" t="str" s="11">
        <ns0:f>K340</ns0:f>
        <ns0:v>Резистор 82 Ом ±1% 0603</ns0:v>
      </ns0:c>
      <x:c xmlns:x="http://schemas.openxmlformats.org/spreadsheetml/2006/main" r="T340" t="str" s="11">
        <x:v>C:\Users\Nomatin\Documents\Altium\MY_LIB\MY_LIB\Datasheets\YAGEO_RC_L.pdf</x:v>
      </x:c>
      <x:c xmlns:x="http://schemas.openxmlformats.org/spreadsheetml/2006/main" r="U340" t="str" s="11">
        <x:v>Даташит — локальный</x:v>
      </x:c>
      <x:c xmlns:x="http://schemas.openxmlformats.org/spreadsheetml/2006/main" r="V340" t="str" s="11">
        <x:v>C:\Users\Nomatin\Documents\Altium\MY_LIB\MY_LIB\Datasheets\YAGEO_RC_L.pdf</x:v>
      </x:c>
      <x:c xmlns:x="http://schemas.openxmlformats.org/spreadsheetml/2006/main" r="W340" t="str" s="11">
        <x:v>Даташит — производитель</x:v>
      </x:c>
      <x:c xmlns:x="http://schemas.openxmlformats.org/spreadsheetml/2006/main" r="X340" t="str" s="11">
        <x:v>https://yageogroup.com/content/datasheet/asset/file/PYU-RC_GROUP_51_ROHS_L</x:v>
      </x:c>
      <x:c xmlns:x="http://schemas.openxmlformats.org/spreadsheetml/2006/main" r="Y340" t="str" s="11">
        <x:v>C:\Users\Nomatin\Documents\Altium\MY_LIB\MY_LIB\Datasheets\YAGEO_RC_L.pdf</x:v>
      </x:c>
      <ns0:c xmlns:ns0="http://schemas.openxmlformats.org/spreadsheetml/2006/main" r="Z340" s="16" t="inlineStr">
        <ns0:is>
          <ns0:t>MY_LIB_R_TCR</ns0:t>
        </ns0:is>
      </ns0:c>
      <ns0:c xmlns:ns0="http://schemas.openxmlformats.org/spreadsheetml/2006/main" r="AA340" s="16" t="inlineStr">
        <ns0:is>
          <ns0:t>R(T), +100 ppm/C at 25 C; positive datasheet limit</ns0:t>
        </ns0:is>
      </ns0:c>
      <ns0:c xmlns:ns0="http://schemas.openxmlformats.org/spreadsheetml/2006/main" r="AB340" s="16" t="str">
        <ns0:v>General</ns0:v>
      </ns0:c>
      <ns0:c xmlns:ns0="http://schemas.openxmlformats.org/spreadsheetml/2006/main" r="AC340" s="16" t="inlineStr">
        <ns0:is>
          <ns0:t>Spice Subcircuit</ns0:t>
        </ns0:is>
      </ns0:c>
      <ns0:c xmlns:ns0="http://schemas.openxmlformats.org/spreadsheetml/2006/main" r="AD340" s="16" t="inlineStr">
        <ns0:is>
          <ns0:t>@DESIGNATOR %1 %2 @MODEL PARAMS: Rvalue=@VALUE TC1value=100u</ns0:t>
        </ns0:is>
      </ns0:c>
      <ns0:c xmlns:ns0="http://schemas.openxmlformats.org/spreadsheetml/2006/main" r="AE340" s="16" t="inlineStr">
        <ns0:is>
          <ns0:t>X</ns0:t>
        </ns0:is>
      </ns0:c>
      <ns0:c xmlns:ns0="http://schemas.openxmlformats.org/spreadsheetml/2006/main" r="AF340" s="16" t="str">
        <ns0:v>(1:1),(2:2)</ns0:v>
      </ns0:c>
      <ns0:c xmlns:ns0="http://schemas.openxmlformats.org/spreadsheetml/2006/main" r="AG340" s="16" t="inlineStr">
        <ns0:is>
          <ns0:t>Simulation\Resistors\MY_LIB_R_TCR.ckt</ns0:t>
        </ns0:is>
      </ns0:c>
      <ns0:c xmlns:ns0="http://schemas.openxmlformats.org/spreadsheetml/2006/main" r="AH340" s="16" t="inlineStr">
        <ns0:is>
          <ns0:t>±100 ppm/°C</ns0:t>
        </ns0:is>
      </ns0:c>
    </ns0:row>
    <ns0:row xmlns:ns0="http://schemas.openxmlformats.org/spreadsheetml/2006/main" r="341" ht="30" customHeight="1">
      <ns0:c r="A341" t="str" s="10">
        <ns0:v>R0347</ns0:v>
      </ns0:c>
      <ns0:c r="B341" t="str" s="10">
        <ns0:v>Резистор</ns0:v>
      </ns0:c>
      <ns0:c r="C341" t="str" s="10">
        <ns0:v>91R</ns0:v>
      </ns0:c>
      <ns0:c r="D341" t="str" s="11">
        <ns0:f>SUBSTITUTE(SUBSTITUTE(SUBSTITUTE(SUBSTITUTE(C341,"meg"," МОм"),"k"," кОм"),"R"," Ом"),".",",")</ns0:f>
        <ns0:v>91 Ом</ns0:v>
      </ns0:c>
      <ns0:c r="E341" t="str" s="10">
        <ns0:v>±1%</ns0:v>
      </ns0:c>
      <ns0:c r="F341" t="str" s="10">
        <ns0:v>0,1 Вт</ns0:v>
      </ns0:c>
      <ns0:c r="G341" t="str" s="10">
        <ns0:v>75 В макс.</ns0:v>
      </ns0:c>
      <ns0:c r="H341" t="str" s="12">
        <ns0:v>0603</ns0:v>
      </ns0:c>
      <ns0:c r="I341" t="str" s="10">
        <ns0:v>YAGEO</ns0:v>
      </ns0:c>
      <ns0:c r="J341" t="str" s="10">
        <ns0:v>RC0603FR-0791RL</ns0:v>
      </ns0:c>
      <ns0:c r="K341" t="str" s="11">
        <ns0:f>B341&amp;" "&amp;D341&amp;" "&amp;E341&amp;" "&amp;H341</ns0:f>
        <ns0:v>Резистор 91 Ом ±1% 0603</ns0:v>
      </ns0:c>
      <ns0:c r="L341" t="str" s="13">
        <ns0:v>R</ns0:v>
      </ns0:c>
      <ns0:c r="M341" t="str" s="13">
        <ns0:v>Symbols\MY_LIB_Resistors.SchLib</ns0:v>
      </ns0:c>
      <ns0:c r="N341" t="str" s="13">
        <ns0:v>RESC1608X55N</ns0:v>
      </ns0:c>
      <ns0:c r="O341" t="str" s="13">
        <ns0:v>Footprints\PBL - SMD Packages.PcbLib</ns0:v>
      </ns0:c>
      <ns0:c xmlns:ns0="http://schemas.openxmlformats.org/spreadsheetml/2006/main" r="P34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1" s="10"/>
      <ns0:c r="R341" t="str" s="11">
        <ns0:f>D341</ns0:f>
        <ns0:v>91 Ом</ns0:v>
      </ns0:c>
      <ns0:c r="S341" t="str" s="11">
        <ns0:f>K341</ns0:f>
        <ns0:v>Резистор 91 Ом ±1% 0603</ns0:v>
      </ns0:c>
      <x:c xmlns:x="http://schemas.openxmlformats.org/spreadsheetml/2006/main" r="T341" t="str" s="11">
        <x:v>C:\Users\Nomatin\Documents\Altium\MY_LIB\MY_LIB\Datasheets\YAGEO_RC_L.pdf</x:v>
      </x:c>
      <x:c xmlns:x="http://schemas.openxmlformats.org/spreadsheetml/2006/main" r="U341" t="str" s="11">
        <x:v>Даташит — локальный</x:v>
      </x:c>
      <x:c xmlns:x="http://schemas.openxmlformats.org/spreadsheetml/2006/main" r="V341" t="str" s="11">
        <x:v>C:\Users\Nomatin\Documents\Altium\MY_LIB\MY_LIB\Datasheets\YAGEO_RC_L.pdf</x:v>
      </x:c>
      <x:c xmlns:x="http://schemas.openxmlformats.org/spreadsheetml/2006/main" r="W341" t="str" s="11">
        <x:v>Даташит — производитель</x:v>
      </x:c>
      <x:c xmlns:x="http://schemas.openxmlformats.org/spreadsheetml/2006/main" r="X341" t="str" s="11">
        <x:v>https://yageogroup.com/content/datasheet/asset/file/PYU-RC_GROUP_51_ROHS_L</x:v>
      </x:c>
      <x:c xmlns:x="http://schemas.openxmlformats.org/spreadsheetml/2006/main" r="Y341" t="str" s="11">
        <x:v>C:\Users\Nomatin\Documents\Altium\MY_LIB\MY_LIB\Datasheets\YAGEO_RC_L.pdf</x:v>
      </x:c>
      <ns0:c xmlns:ns0="http://schemas.openxmlformats.org/spreadsheetml/2006/main" r="Z341" s="16" t="inlineStr">
        <ns0:is>
          <ns0:t>MY_LIB_R_TCR</ns0:t>
        </ns0:is>
      </ns0:c>
      <ns0:c xmlns:ns0="http://schemas.openxmlformats.org/spreadsheetml/2006/main" r="AA341" s="16" t="inlineStr">
        <ns0:is>
          <ns0:t>R(T), +100 ppm/C at 25 C; positive datasheet limit</ns0:t>
        </ns0:is>
      </ns0:c>
      <ns0:c xmlns:ns0="http://schemas.openxmlformats.org/spreadsheetml/2006/main" r="AB341" s="16" t="str">
        <ns0:v>General</ns0:v>
      </ns0:c>
      <ns0:c xmlns:ns0="http://schemas.openxmlformats.org/spreadsheetml/2006/main" r="AC341" s="16" t="inlineStr">
        <ns0:is>
          <ns0:t>Spice Subcircuit</ns0:t>
        </ns0:is>
      </ns0:c>
      <ns0:c xmlns:ns0="http://schemas.openxmlformats.org/spreadsheetml/2006/main" r="AD341" s="16" t="inlineStr">
        <ns0:is>
          <ns0:t>@DESIGNATOR %1 %2 @MODEL PARAMS: Rvalue=@VALUE TC1value=100u</ns0:t>
        </ns0:is>
      </ns0:c>
      <ns0:c xmlns:ns0="http://schemas.openxmlformats.org/spreadsheetml/2006/main" r="AE341" s="16" t="inlineStr">
        <ns0:is>
          <ns0:t>X</ns0:t>
        </ns0:is>
      </ns0:c>
      <ns0:c xmlns:ns0="http://schemas.openxmlformats.org/spreadsheetml/2006/main" r="AF341" s="16" t="str">
        <ns0:v>(1:1),(2:2)</ns0:v>
      </ns0:c>
      <ns0:c xmlns:ns0="http://schemas.openxmlformats.org/spreadsheetml/2006/main" r="AG341" s="16" t="inlineStr">
        <ns0:is>
          <ns0:t>Simulation\Resistors\MY_LIB_R_TCR.ckt</ns0:t>
        </ns0:is>
      </ns0:c>
      <ns0:c xmlns:ns0="http://schemas.openxmlformats.org/spreadsheetml/2006/main" r="AH341" s="16" t="inlineStr">
        <ns0:is>
          <ns0:t>±100 ppm/°C</ns0:t>
        </ns0:is>
      </ns0:c>
    </ns0:row>
    <ns0:row xmlns:ns0="http://schemas.openxmlformats.org/spreadsheetml/2006/main" r="342" ht="30" customHeight="1">
      <ns0:c r="A342" t="str" s="10">
        <ns0:v>R0348</ns0:v>
      </ns0:c>
      <ns0:c r="B342" t="str" s="10">
        <ns0:v>Резистор</ns0:v>
      </ns0:c>
      <ns0:c r="C342" t="str" s="10">
        <ns0:v>100R</ns0:v>
      </ns0:c>
      <ns0:c r="D342" t="str" s="11">
        <ns0:f>SUBSTITUTE(SUBSTITUTE(SUBSTITUTE(SUBSTITUTE(C342,"meg"," МОм"),"k"," кОм"),"R"," Ом"),".",",")</ns0:f>
        <ns0:v>100 Ом</ns0:v>
      </ns0:c>
      <ns0:c r="E342" t="str" s="10">
        <ns0:v>±1%</ns0:v>
      </ns0:c>
      <ns0:c r="F342" t="str" s="10">
        <ns0:v>0,1 Вт</ns0:v>
      </ns0:c>
      <ns0:c r="G342" t="str" s="10">
        <ns0:v>75 В макс.</ns0:v>
      </ns0:c>
      <ns0:c r="H342" t="str" s="12">
        <ns0:v>0603</ns0:v>
      </ns0:c>
      <ns0:c r="I342" t="str" s="10">
        <ns0:v>YAGEO</ns0:v>
      </ns0:c>
      <ns0:c r="J342" t="str" s="10">
        <ns0:v>RC0603FR-07100RL</ns0:v>
      </ns0:c>
      <ns0:c r="K342" t="str" s="11">
        <ns0:f>B342&amp;" "&amp;D342&amp;" "&amp;E342&amp;" "&amp;H342</ns0:f>
        <ns0:v>Резистор 100 Ом ±1% 0603</ns0:v>
      </ns0:c>
      <ns0:c r="L342" t="str" s="13">
        <ns0:v>R</ns0:v>
      </ns0:c>
      <ns0:c r="M342" t="str" s="13">
        <ns0:v>Symbols\MY_LIB_Resistors.SchLib</ns0:v>
      </ns0:c>
      <ns0:c r="N342" t="str" s="13">
        <ns0:v>RESC1608X55N</ns0:v>
      </ns0:c>
      <ns0:c r="O342" t="str" s="13">
        <ns0:v>Footprints\PBL - SMD Packages.PcbLib</ns0:v>
      </ns0:c>
      <ns0:c xmlns:ns0="http://schemas.openxmlformats.org/spreadsheetml/2006/main" r="P34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2" s="10"/>
      <ns0:c r="R342" t="str" s="11">
        <ns0:f>D342</ns0:f>
        <ns0:v>100 Ом</ns0:v>
      </ns0:c>
      <ns0:c r="S342" t="str" s="11">
        <ns0:f>K342</ns0:f>
        <ns0:v>Резистор 100 Ом ±1% 0603</ns0:v>
      </ns0:c>
      <x:c xmlns:x="http://schemas.openxmlformats.org/spreadsheetml/2006/main" r="T342" t="str" s="11">
        <x:v>C:\Users\Nomatin\Documents\Altium\MY_LIB\MY_LIB\Datasheets\YAGEO_RC_L.pdf</x:v>
      </x:c>
      <x:c xmlns:x="http://schemas.openxmlformats.org/spreadsheetml/2006/main" r="U342" t="str" s="11">
        <x:v>Даташит — локальный</x:v>
      </x:c>
      <x:c xmlns:x="http://schemas.openxmlformats.org/spreadsheetml/2006/main" r="V342" t="str" s="11">
        <x:v>C:\Users\Nomatin\Documents\Altium\MY_LIB\MY_LIB\Datasheets\YAGEO_RC_L.pdf</x:v>
      </x:c>
      <x:c xmlns:x="http://schemas.openxmlformats.org/spreadsheetml/2006/main" r="W342" t="str" s="11">
        <x:v>Даташит — производитель</x:v>
      </x:c>
      <x:c xmlns:x="http://schemas.openxmlformats.org/spreadsheetml/2006/main" r="X342" t="str" s="11">
        <x:v>https://yageogroup.com/content/datasheet/asset/file/PYU-RC_GROUP_51_ROHS_L</x:v>
      </x:c>
      <x:c xmlns:x="http://schemas.openxmlformats.org/spreadsheetml/2006/main" r="Y342" t="str" s="11">
        <x:v>C:\Users\Nomatin\Documents\Altium\MY_LIB\MY_LIB\Datasheets\YAGEO_RC_L.pdf</x:v>
      </x:c>
      <ns0:c xmlns:ns0="http://schemas.openxmlformats.org/spreadsheetml/2006/main" r="Z342" s="16" t="inlineStr">
        <ns0:is>
          <ns0:t>MY_LIB_R_TCR</ns0:t>
        </ns0:is>
      </ns0:c>
      <ns0:c xmlns:ns0="http://schemas.openxmlformats.org/spreadsheetml/2006/main" r="AA342" s="16" t="inlineStr">
        <ns0:is>
          <ns0:t>R(T), +100 ppm/C at 25 C; positive datasheet limit</ns0:t>
        </ns0:is>
      </ns0:c>
      <ns0:c xmlns:ns0="http://schemas.openxmlformats.org/spreadsheetml/2006/main" r="AB342" s="16" t="str">
        <ns0:v>General</ns0:v>
      </ns0:c>
      <ns0:c xmlns:ns0="http://schemas.openxmlformats.org/spreadsheetml/2006/main" r="AC342" s="16" t="inlineStr">
        <ns0:is>
          <ns0:t>Spice Subcircuit</ns0:t>
        </ns0:is>
      </ns0:c>
      <ns0:c xmlns:ns0="http://schemas.openxmlformats.org/spreadsheetml/2006/main" r="AD342" s="16" t="inlineStr">
        <ns0:is>
          <ns0:t>@DESIGNATOR %1 %2 @MODEL PARAMS: Rvalue=@VALUE TC1value=100u</ns0:t>
        </ns0:is>
      </ns0:c>
      <ns0:c xmlns:ns0="http://schemas.openxmlformats.org/spreadsheetml/2006/main" r="AE342" s="16" t="inlineStr">
        <ns0:is>
          <ns0:t>X</ns0:t>
        </ns0:is>
      </ns0:c>
      <ns0:c xmlns:ns0="http://schemas.openxmlformats.org/spreadsheetml/2006/main" r="AF342" s="16" t="str">
        <ns0:v>(1:1),(2:2)</ns0:v>
      </ns0:c>
      <ns0:c xmlns:ns0="http://schemas.openxmlformats.org/spreadsheetml/2006/main" r="AG342" s="16" t="inlineStr">
        <ns0:is>
          <ns0:t>Simulation\Resistors\MY_LIB_R_TCR.ckt</ns0:t>
        </ns0:is>
      </ns0:c>
      <ns0:c xmlns:ns0="http://schemas.openxmlformats.org/spreadsheetml/2006/main" r="AH342" s="16" t="inlineStr">
        <ns0:is>
          <ns0:t>±100 ppm/°C</ns0:t>
        </ns0:is>
      </ns0:c>
    </ns0:row>
    <ns0:row xmlns:ns0="http://schemas.openxmlformats.org/spreadsheetml/2006/main" r="343" ht="30" customHeight="1">
      <ns0:c r="A343" t="str" s="10">
        <ns0:v>R0349</ns0:v>
      </ns0:c>
      <ns0:c r="B343" t="str" s="10">
        <ns0:v>Резистор</ns0:v>
      </ns0:c>
      <ns0:c r="C343" t="str" s="10">
        <ns0:v>110R</ns0:v>
      </ns0:c>
      <ns0:c r="D343" t="str" s="11">
        <ns0:f>SUBSTITUTE(SUBSTITUTE(SUBSTITUTE(SUBSTITUTE(C343,"meg"," МОм"),"k"," кОм"),"R"," Ом"),".",",")</ns0:f>
        <ns0:v>110 Ом</ns0:v>
      </ns0:c>
      <ns0:c r="E343" t="str" s="10">
        <ns0:v>±1%</ns0:v>
      </ns0:c>
      <ns0:c r="F343" t="str" s="10">
        <ns0:v>0,1 Вт</ns0:v>
      </ns0:c>
      <ns0:c r="G343" t="str" s="10">
        <ns0:v>75 В макс.</ns0:v>
      </ns0:c>
      <ns0:c r="H343" t="str" s="12">
        <ns0:v>0603</ns0:v>
      </ns0:c>
      <ns0:c r="I343" t="str" s="10">
        <ns0:v>YAGEO</ns0:v>
      </ns0:c>
      <ns0:c r="J343" t="str" s="10">
        <ns0:v>RC0603FR-07110RL</ns0:v>
      </ns0:c>
      <ns0:c r="K343" t="str" s="11">
        <ns0:f>B343&amp;" "&amp;D343&amp;" "&amp;E343&amp;" "&amp;H343</ns0:f>
        <ns0:v>Резистор 110 Ом ±1% 0603</ns0:v>
      </ns0:c>
      <ns0:c r="L343" t="str" s="13">
        <ns0:v>R</ns0:v>
      </ns0:c>
      <ns0:c r="M343" t="str" s="13">
        <ns0:v>Symbols\MY_LIB_Resistors.SchLib</ns0:v>
      </ns0:c>
      <ns0:c r="N343" t="str" s="13">
        <ns0:v>RESC1608X55N</ns0:v>
      </ns0:c>
      <ns0:c r="O343" t="str" s="13">
        <ns0:v>Footprints\PBL - SMD Packages.PcbLib</ns0:v>
      </ns0:c>
      <ns0:c xmlns:ns0="http://schemas.openxmlformats.org/spreadsheetml/2006/main" r="P34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3" s="10"/>
      <ns0:c r="R343" t="str" s="11">
        <ns0:f>D343</ns0:f>
        <ns0:v>110 Ом</ns0:v>
      </ns0:c>
      <ns0:c r="S343" t="str" s="11">
        <ns0:f>K343</ns0:f>
        <ns0:v>Резистор 110 Ом ±1% 0603</ns0:v>
      </ns0:c>
      <x:c xmlns:x="http://schemas.openxmlformats.org/spreadsheetml/2006/main" r="T343" t="str" s="11">
        <x:v>C:\Users\Nomatin\Documents\Altium\MY_LIB\MY_LIB\Datasheets\YAGEO_RC_L.pdf</x:v>
      </x:c>
      <x:c xmlns:x="http://schemas.openxmlformats.org/spreadsheetml/2006/main" r="U343" t="str" s="11">
        <x:v>Даташит — локальный</x:v>
      </x:c>
      <x:c xmlns:x="http://schemas.openxmlformats.org/spreadsheetml/2006/main" r="V343" t="str" s="11">
        <x:v>C:\Users\Nomatin\Documents\Altium\MY_LIB\MY_LIB\Datasheets\YAGEO_RC_L.pdf</x:v>
      </x:c>
      <x:c xmlns:x="http://schemas.openxmlformats.org/spreadsheetml/2006/main" r="W343" t="str" s="11">
        <x:v>Даташит — производитель</x:v>
      </x:c>
      <x:c xmlns:x="http://schemas.openxmlformats.org/spreadsheetml/2006/main" r="X343" t="str" s="11">
        <x:v>https://yageogroup.com/content/datasheet/asset/file/PYU-RC_GROUP_51_ROHS_L</x:v>
      </x:c>
      <x:c xmlns:x="http://schemas.openxmlformats.org/spreadsheetml/2006/main" r="Y343" t="str" s="11">
        <x:v>C:\Users\Nomatin\Documents\Altium\MY_LIB\MY_LIB\Datasheets\YAGEO_RC_L.pdf</x:v>
      </x:c>
      <ns0:c xmlns:ns0="http://schemas.openxmlformats.org/spreadsheetml/2006/main" r="Z343" s="16" t="inlineStr">
        <ns0:is>
          <ns0:t>MY_LIB_R_TCR</ns0:t>
        </ns0:is>
      </ns0:c>
      <ns0:c xmlns:ns0="http://schemas.openxmlformats.org/spreadsheetml/2006/main" r="AA343" s="16" t="inlineStr">
        <ns0:is>
          <ns0:t>R(T), +100 ppm/C at 25 C; positive datasheet limit</ns0:t>
        </ns0:is>
      </ns0:c>
      <ns0:c xmlns:ns0="http://schemas.openxmlformats.org/spreadsheetml/2006/main" r="AB343" s="16" t="str">
        <ns0:v>General</ns0:v>
      </ns0:c>
      <ns0:c xmlns:ns0="http://schemas.openxmlformats.org/spreadsheetml/2006/main" r="AC343" s="16" t="inlineStr">
        <ns0:is>
          <ns0:t>Spice Subcircuit</ns0:t>
        </ns0:is>
      </ns0:c>
      <ns0:c xmlns:ns0="http://schemas.openxmlformats.org/spreadsheetml/2006/main" r="AD343" s="16" t="inlineStr">
        <ns0:is>
          <ns0:t>@DESIGNATOR %1 %2 @MODEL PARAMS: Rvalue=@VALUE TC1value=100u</ns0:t>
        </ns0:is>
      </ns0:c>
      <ns0:c xmlns:ns0="http://schemas.openxmlformats.org/spreadsheetml/2006/main" r="AE343" s="16" t="inlineStr">
        <ns0:is>
          <ns0:t>X</ns0:t>
        </ns0:is>
      </ns0:c>
      <ns0:c xmlns:ns0="http://schemas.openxmlformats.org/spreadsheetml/2006/main" r="AF343" s="16" t="str">
        <ns0:v>(1:1),(2:2)</ns0:v>
      </ns0:c>
      <ns0:c xmlns:ns0="http://schemas.openxmlformats.org/spreadsheetml/2006/main" r="AG343" s="16" t="inlineStr">
        <ns0:is>
          <ns0:t>Simulation\Resistors\MY_LIB_R_TCR.ckt</ns0:t>
        </ns0:is>
      </ns0:c>
      <ns0:c xmlns:ns0="http://schemas.openxmlformats.org/spreadsheetml/2006/main" r="AH343" s="16" t="inlineStr">
        <ns0:is>
          <ns0:t>±100 ppm/°C</ns0:t>
        </ns0:is>
      </ns0:c>
    </ns0:row>
    <ns0:row xmlns:ns0="http://schemas.openxmlformats.org/spreadsheetml/2006/main" r="344" ht="30" customHeight="1">
      <ns0:c r="A344" t="str" s="10">
        <ns0:v>R0350</ns0:v>
      </ns0:c>
      <ns0:c r="B344" t="str" s="10">
        <ns0:v>Резистор</ns0:v>
      </ns0:c>
      <ns0:c r="C344" t="str" s="10">
        <ns0:v>120R</ns0:v>
      </ns0:c>
      <ns0:c r="D344" t="str" s="11">
        <ns0:f>SUBSTITUTE(SUBSTITUTE(SUBSTITUTE(SUBSTITUTE(C344,"meg"," МОм"),"k"," кОм"),"R"," Ом"),".",",")</ns0:f>
        <ns0:v>120 Ом</ns0:v>
      </ns0:c>
      <ns0:c r="E344" t="str" s="10">
        <ns0:v>±1%</ns0:v>
      </ns0:c>
      <ns0:c r="F344" t="str" s="10">
        <ns0:v>0,1 Вт</ns0:v>
      </ns0:c>
      <ns0:c r="G344" t="str" s="10">
        <ns0:v>75 В макс.</ns0:v>
      </ns0:c>
      <ns0:c r="H344" t="str" s="12">
        <ns0:v>0603</ns0:v>
      </ns0:c>
      <ns0:c r="I344" t="str" s="10">
        <ns0:v>YAGEO</ns0:v>
      </ns0:c>
      <ns0:c r="J344" t="str" s="10">
        <ns0:v>RC0603FR-07120RL</ns0:v>
      </ns0:c>
      <ns0:c r="K344" t="str" s="11">
        <ns0:f>B344&amp;" "&amp;D344&amp;" "&amp;E344&amp;" "&amp;H344</ns0:f>
        <ns0:v>Резистор 120 Ом ±1% 0603</ns0:v>
      </ns0:c>
      <ns0:c r="L344" t="str" s="13">
        <ns0:v>R</ns0:v>
      </ns0:c>
      <ns0:c r="M344" t="str" s="13">
        <ns0:v>Symbols\MY_LIB_Resistors.SchLib</ns0:v>
      </ns0:c>
      <ns0:c r="N344" t="str" s="13">
        <ns0:v>RESC1608X55N</ns0:v>
      </ns0:c>
      <ns0:c r="O344" t="str" s="13">
        <ns0:v>Footprints\PBL - SMD Packages.PcbLib</ns0:v>
      </ns0:c>
      <ns0:c xmlns:ns0="http://schemas.openxmlformats.org/spreadsheetml/2006/main" r="P34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4" s="10"/>
      <ns0:c r="R344" t="str" s="11">
        <ns0:f>D344</ns0:f>
        <ns0:v>120 Ом</ns0:v>
      </ns0:c>
      <ns0:c r="S344" t="str" s="11">
        <ns0:f>K344</ns0:f>
        <ns0:v>Резистор 120 Ом ±1% 0603</ns0:v>
      </ns0:c>
      <x:c xmlns:x="http://schemas.openxmlformats.org/spreadsheetml/2006/main" r="T344" t="str" s="11">
        <x:v>C:\Users\Nomatin\Documents\Altium\MY_LIB\MY_LIB\Datasheets\YAGEO_RC_L.pdf</x:v>
      </x:c>
      <x:c xmlns:x="http://schemas.openxmlformats.org/spreadsheetml/2006/main" r="U344" t="str" s="11">
        <x:v>Даташит — локальный</x:v>
      </x:c>
      <x:c xmlns:x="http://schemas.openxmlformats.org/spreadsheetml/2006/main" r="V344" t="str" s="11">
        <x:v>C:\Users\Nomatin\Documents\Altium\MY_LIB\MY_LIB\Datasheets\YAGEO_RC_L.pdf</x:v>
      </x:c>
      <x:c xmlns:x="http://schemas.openxmlformats.org/spreadsheetml/2006/main" r="W344" t="str" s="11">
        <x:v>Даташит — производитель</x:v>
      </x:c>
      <x:c xmlns:x="http://schemas.openxmlformats.org/spreadsheetml/2006/main" r="X344" t="str" s="11">
        <x:v>https://yageogroup.com/content/datasheet/asset/file/PYU-RC_GROUP_51_ROHS_L</x:v>
      </x:c>
      <x:c xmlns:x="http://schemas.openxmlformats.org/spreadsheetml/2006/main" r="Y344" t="str" s="11">
        <x:v>C:\Users\Nomatin\Documents\Altium\MY_LIB\MY_LIB\Datasheets\YAGEO_RC_L.pdf</x:v>
      </x:c>
      <ns0:c xmlns:ns0="http://schemas.openxmlformats.org/spreadsheetml/2006/main" r="Z344" s="16" t="inlineStr">
        <ns0:is>
          <ns0:t>MY_LIB_R_TCR</ns0:t>
        </ns0:is>
      </ns0:c>
      <ns0:c xmlns:ns0="http://schemas.openxmlformats.org/spreadsheetml/2006/main" r="AA344" s="16" t="inlineStr">
        <ns0:is>
          <ns0:t>R(T), +100 ppm/C at 25 C; positive datasheet limit</ns0:t>
        </ns0:is>
      </ns0:c>
      <ns0:c xmlns:ns0="http://schemas.openxmlformats.org/spreadsheetml/2006/main" r="AB344" s="16" t="str">
        <ns0:v>General</ns0:v>
      </ns0:c>
      <ns0:c xmlns:ns0="http://schemas.openxmlformats.org/spreadsheetml/2006/main" r="AC344" s="16" t="inlineStr">
        <ns0:is>
          <ns0:t>Spice Subcircuit</ns0:t>
        </ns0:is>
      </ns0:c>
      <ns0:c xmlns:ns0="http://schemas.openxmlformats.org/spreadsheetml/2006/main" r="AD344" s="16" t="inlineStr">
        <ns0:is>
          <ns0:t>@DESIGNATOR %1 %2 @MODEL PARAMS: Rvalue=@VALUE TC1value=100u</ns0:t>
        </ns0:is>
      </ns0:c>
      <ns0:c xmlns:ns0="http://schemas.openxmlformats.org/spreadsheetml/2006/main" r="AE344" s="16" t="inlineStr">
        <ns0:is>
          <ns0:t>X</ns0:t>
        </ns0:is>
      </ns0:c>
      <ns0:c xmlns:ns0="http://schemas.openxmlformats.org/spreadsheetml/2006/main" r="AF344" s="16" t="str">
        <ns0:v>(1:1),(2:2)</ns0:v>
      </ns0:c>
      <ns0:c xmlns:ns0="http://schemas.openxmlformats.org/spreadsheetml/2006/main" r="AG344" s="16" t="inlineStr">
        <ns0:is>
          <ns0:t>Simulation\Resistors\MY_LIB_R_TCR.ckt</ns0:t>
        </ns0:is>
      </ns0:c>
      <ns0:c xmlns:ns0="http://schemas.openxmlformats.org/spreadsheetml/2006/main" r="AH344" s="16" t="inlineStr">
        <ns0:is>
          <ns0:t>±100 ppm/°C</ns0:t>
        </ns0:is>
      </ns0:c>
    </ns0:row>
    <ns0:row xmlns:ns0="http://schemas.openxmlformats.org/spreadsheetml/2006/main" r="345" ht="30" customHeight="1">
      <ns0:c r="A345" t="str" s="10">
        <ns0:v>R0351</ns0:v>
      </ns0:c>
      <ns0:c r="B345" t="str" s="10">
        <ns0:v>Резистор</ns0:v>
      </ns0:c>
      <ns0:c r="C345" t="str" s="10">
        <ns0:v>130R</ns0:v>
      </ns0:c>
      <ns0:c r="D345" t="str" s="11">
        <ns0:f>SUBSTITUTE(SUBSTITUTE(SUBSTITUTE(SUBSTITUTE(C345,"meg"," МОм"),"k"," кОм"),"R"," Ом"),".",",")</ns0:f>
        <ns0:v>130 Ом</ns0:v>
      </ns0:c>
      <ns0:c r="E345" t="str" s="10">
        <ns0:v>±1%</ns0:v>
      </ns0:c>
      <ns0:c r="F345" t="str" s="10">
        <ns0:v>0,1 Вт</ns0:v>
      </ns0:c>
      <ns0:c r="G345" t="str" s="10">
        <ns0:v>75 В макс.</ns0:v>
      </ns0:c>
      <ns0:c r="H345" t="str" s="12">
        <ns0:v>0603</ns0:v>
      </ns0:c>
      <ns0:c r="I345" t="str" s="10">
        <ns0:v>YAGEO</ns0:v>
      </ns0:c>
      <ns0:c r="J345" t="str" s="10">
        <ns0:v>RC0603FR-07130RL</ns0:v>
      </ns0:c>
      <ns0:c r="K345" t="str" s="11">
        <ns0:f>B345&amp;" "&amp;D345&amp;" "&amp;E345&amp;" "&amp;H345</ns0:f>
        <ns0:v>Резистор 130 Ом ±1% 0603</ns0:v>
      </ns0:c>
      <ns0:c r="L345" t="str" s="13">
        <ns0:v>R</ns0:v>
      </ns0:c>
      <ns0:c r="M345" t="str" s="13">
        <ns0:v>Symbols\MY_LIB_Resistors.SchLib</ns0:v>
      </ns0:c>
      <ns0:c r="N345" t="str" s="13">
        <ns0:v>RESC1608X55N</ns0:v>
      </ns0:c>
      <ns0:c r="O345" t="str" s="13">
        <ns0:v>Footprints\PBL - SMD Packages.PcbLib</ns0:v>
      </ns0:c>
      <ns0:c xmlns:ns0="http://schemas.openxmlformats.org/spreadsheetml/2006/main" r="P34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5" s="10"/>
      <ns0:c r="R345" t="str" s="11">
        <ns0:f>D345</ns0:f>
        <ns0:v>130 Ом</ns0:v>
      </ns0:c>
      <ns0:c r="S345" t="str" s="11">
        <ns0:f>K345</ns0:f>
        <ns0:v>Резистор 130 Ом ±1% 0603</ns0:v>
      </ns0:c>
      <x:c xmlns:x="http://schemas.openxmlformats.org/spreadsheetml/2006/main" r="T345" t="str" s="11">
        <x:v>C:\Users\Nomatin\Documents\Altium\MY_LIB\MY_LIB\Datasheets\YAGEO_RC_L.pdf</x:v>
      </x:c>
      <x:c xmlns:x="http://schemas.openxmlformats.org/spreadsheetml/2006/main" r="U345" t="str" s="11">
        <x:v>Даташит — локальный</x:v>
      </x:c>
      <x:c xmlns:x="http://schemas.openxmlformats.org/spreadsheetml/2006/main" r="V345" t="str" s="11">
        <x:v>C:\Users\Nomatin\Documents\Altium\MY_LIB\MY_LIB\Datasheets\YAGEO_RC_L.pdf</x:v>
      </x:c>
      <x:c xmlns:x="http://schemas.openxmlformats.org/spreadsheetml/2006/main" r="W345" t="str" s="11">
        <x:v>Даташит — производитель</x:v>
      </x:c>
      <x:c xmlns:x="http://schemas.openxmlformats.org/spreadsheetml/2006/main" r="X345" t="str" s="11">
        <x:v>https://yageogroup.com/content/datasheet/asset/file/PYU-RC_GROUP_51_ROHS_L</x:v>
      </x:c>
      <x:c xmlns:x="http://schemas.openxmlformats.org/spreadsheetml/2006/main" r="Y345" t="str" s="11">
        <x:v>C:\Users\Nomatin\Documents\Altium\MY_LIB\MY_LIB\Datasheets\YAGEO_RC_L.pdf</x:v>
      </x:c>
      <ns0:c xmlns:ns0="http://schemas.openxmlformats.org/spreadsheetml/2006/main" r="Z345" s="16" t="inlineStr">
        <ns0:is>
          <ns0:t>MY_LIB_R_TCR</ns0:t>
        </ns0:is>
      </ns0:c>
      <ns0:c xmlns:ns0="http://schemas.openxmlformats.org/spreadsheetml/2006/main" r="AA345" s="16" t="inlineStr">
        <ns0:is>
          <ns0:t>R(T), +100 ppm/C at 25 C; positive datasheet limit</ns0:t>
        </ns0:is>
      </ns0:c>
      <ns0:c xmlns:ns0="http://schemas.openxmlformats.org/spreadsheetml/2006/main" r="AB345" s="16" t="str">
        <ns0:v>General</ns0:v>
      </ns0:c>
      <ns0:c xmlns:ns0="http://schemas.openxmlformats.org/spreadsheetml/2006/main" r="AC345" s="16" t="inlineStr">
        <ns0:is>
          <ns0:t>Spice Subcircuit</ns0:t>
        </ns0:is>
      </ns0:c>
      <ns0:c xmlns:ns0="http://schemas.openxmlformats.org/spreadsheetml/2006/main" r="AD345" s="16" t="inlineStr">
        <ns0:is>
          <ns0:t>@DESIGNATOR %1 %2 @MODEL PARAMS: Rvalue=@VALUE TC1value=100u</ns0:t>
        </ns0:is>
      </ns0:c>
      <ns0:c xmlns:ns0="http://schemas.openxmlformats.org/spreadsheetml/2006/main" r="AE345" s="16" t="inlineStr">
        <ns0:is>
          <ns0:t>X</ns0:t>
        </ns0:is>
      </ns0:c>
      <ns0:c xmlns:ns0="http://schemas.openxmlformats.org/spreadsheetml/2006/main" r="AF345" s="16" t="str">
        <ns0:v>(1:1),(2:2)</ns0:v>
      </ns0:c>
      <ns0:c xmlns:ns0="http://schemas.openxmlformats.org/spreadsheetml/2006/main" r="AG345" s="16" t="inlineStr">
        <ns0:is>
          <ns0:t>Simulation\Resistors\MY_LIB_R_TCR.ckt</ns0:t>
        </ns0:is>
      </ns0:c>
      <ns0:c xmlns:ns0="http://schemas.openxmlformats.org/spreadsheetml/2006/main" r="AH345" s="16" t="inlineStr">
        <ns0:is>
          <ns0:t>±100 ppm/°C</ns0:t>
        </ns0:is>
      </ns0:c>
    </ns0:row>
    <ns0:row xmlns:ns0="http://schemas.openxmlformats.org/spreadsheetml/2006/main" r="346" ht="30" customHeight="1">
      <ns0:c r="A346" t="str" s="10">
        <ns0:v>R0352</ns0:v>
      </ns0:c>
      <ns0:c r="B346" t="str" s="10">
        <ns0:v>Резистор</ns0:v>
      </ns0:c>
      <ns0:c r="C346" t="str" s="10">
        <ns0:v>150R</ns0:v>
      </ns0:c>
      <ns0:c r="D346" t="str" s="11">
        <ns0:f>SUBSTITUTE(SUBSTITUTE(SUBSTITUTE(SUBSTITUTE(C346,"meg"," МОм"),"k"," кОм"),"R"," Ом"),".",",")</ns0:f>
        <ns0:v>150 Ом</ns0:v>
      </ns0:c>
      <ns0:c r="E346" t="str" s="10">
        <ns0:v>±1%</ns0:v>
      </ns0:c>
      <ns0:c r="F346" t="str" s="10">
        <ns0:v>0,1 Вт</ns0:v>
      </ns0:c>
      <ns0:c r="G346" t="str" s="10">
        <ns0:v>75 В макс.</ns0:v>
      </ns0:c>
      <ns0:c r="H346" t="str" s="12">
        <ns0:v>0603</ns0:v>
      </ns0:c>
      <ns0:c r="I346" t="str" s="10">
        <ns0:v>YAGEO</ns0:v>
      </ns0:c>
      <ns0:c r="J346" t="str" s="10">
        <ns0:v>RC0603FR-07150RL</ns0:v>
      </ns0:c>
      <ns0:c r="K346" t="str" s="11">
        <ns0:f>B346&amp;" "&amp;D346&amp;" "&amp;E346&amp;" "&amp;H346</ns0:f>
        <ns0:v>Резистор 150 Ом ±1% 0603</ns0:v>
      </ns0:c>
      <ns0:c r="L346" t="str" s="13">
        <ns0:v>R</ns0:v>
      </ns0:c>
      <ns0:c r="M346" t="str" s="13">
        <ns0:v>Symbols\MY_LIB_Resistors.SchLib</ns0:v>
      </ns0:c>
      <ns0:c r="N346" t="str" s="13">
        <ns0:v>RESC1608X55N</ns0:v>
      </ns0:c>
      <ns0:c r="O346" t="str" s="13">
        <ns0:v>Footprints\PBL - SMD Packages.PcbLib</ns0:v>
      </ns0:c>
      <ns0:c xmlns:ns0="http://schemas.openxmlformats.org/spreadsheetml/2006/main" r="P34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6" s="10"/>
      <ns0:c r="R346" t="str" s="11">
        <ns0:f>D346</ns0:f>
        <ns0:v>150 Ом</ns0:v>
      </ns0:c>
      <ns0:c r="S346" t="str" s="11">
        <ns0:f>K346</ns0:f>
        <ns0:v>Резистор 150 Ом ±1% 0603</ns0:v>
      </ns0:c>
      <x:c xmlns:x="http://schemas.openxmlformats.org/spreadsheetml/2006/main" r="T346" t="str" s="11">
        <x:v>C:\Users\Nomatin\Documents\Altium\MY_LIB\MY_LIB\Datasheets\YAGEO_RC_L.pdf</x:v>
      </x:c>
      <x:c xmlns:x="http://schemas.openxmlformats.org/spreadsheetml/2006/main" r="U346" t="str" s="11">
        <x:v>Даташит — локальный</x:v>
      </x:c>
      <x:c xmlns:x="http://schemas.openxmlformats.org/spreadsheetml/2006/main" r="V346" t="str" s="11">
        <x:v>C:\Users\Nomatin\Documents\Altium\MY_LIB\MY_LIB\Datasheets\YAGEO_RC_L.pdf</x:v>
      </x:c>
      <x:c xmlns:x="http://schemas.openxmlformats.org/spreadsheetml/2006/main" r="W346" t="str" s="11">
        <x:v>Даташит — производитель</x:v>
      </x:c>
      <x:c xmlns:x="http://schemas.openxmlformats.org/spreadsheetml/2006/main" r="X346" t="str" s="11">
        <x:v>https://yageogroup.com/content/datasheet/asset/file/PYU-RC_GROUP_51_ROHS_L</x:v>
      </x:c>
      <x:c xmlns:x="http://schemas.openxmlformats.org/spreadsheetml/2006/main" r="Y346" t="str" s="11">
        <x:v>C:\Users\Nomatin\Documents\Altium\MY_LIB\MY_LIB\Datasheets\YAGEO_RC_L.pdf</x:v>
      </x:c>
      <ns0:c xmlns:ns0="http://schemas.openxmlformats.org/spreadsheetml/2006/main" r="Z346" s="16" t="inlineStr">
        <ns0:is>
          <ns0:t>MY_LIB_R_TCR</ns0:t>
        </ns0:is>
      </ns0:c>
      <ns0:c xmlns:ns0="http://schemas.openxmlformats.org/spreadsheetml/2006/main" r="AA346" s="16" t="inlineStr">
        <ns0:is>
          <ns0:t>R(T), +100 ppm/C at 25 C; positive datasheet limit</ns0:t>
        </ns0:is>
      </ns0:c>
      <ns0:c xmlns:ns0="http://schemas.openxmlformats.org/spreadsheetml/2006/main" r="AB346" s="16" t="str">
        <ns0:v>General</ns0:v>
      </ns0:c>
      <ns0:c xmlns:ns0="http://schemas.openxmlformats.org/spreadsheetml/2006/main" r="AC346" s="16" t="inlineStr">
        <ns0:is>
          <ns0:t>Spice Subcircuit</ns0:t>
        </ns0:is>
      </ns0:c>
      <ns0:c xmlns:ns0="http://schemas.openxmlformats.org/spreadsheetml/2006/main" r="AD346" s="16" t="inlineStr">
        <ns0:is>
          <ns0:t>@DESIGNATOR %1 %2 @MODEL PARAMS: Rvalue=@VALUE TC1value=100u</ns0:t>
        </ns0:is>
      </ns0:c>
      <ns0:c xmlns:ns0="http://schemas.openxmlformats.org/spreadsheetml/2006/main" r="AE346" s="16" t="inlineStr">
        <ns0:is>
          <ns0:t>X</ns0:t>
        </ns0:is>
      </ns0:c>
      <ns0:c xmlns:ns0="http://schemas.openxmlformats.org/spreadsheetml/2006/main" r="AF346" s="16" t="str">
        <ns0:v>(1:1),(2:2)</ns0:v>
      </ns0:c>
      <ns0:c xmlns:ns0="http://schemas.openxmlformats.org/spreadsheetml/2006/main" r="AG346" s="16" t="inlineStr">
        <ns0:is>
          <ns0:t>Simulation\Resistors\MY_LIB_R_TCR.ckt</ns0:t>
        </ns0:is>
      </ns0:c>
      <ns0:c xmlns:ns0="http://schemas.openxmlformats.org/spreadsheetml/2006/main" r="AH346" s="16" t="inlineStr">
        <ns0:is>
          <ns0:t>±100 ppm/°C</ns0:t>
        </ns0:is>
      </ns0:c>
    </ns0:row>
    <ns0:row xmlns:ns0="http://schemas.openxmlformats.org/spreadsheetml/2006/main" r="347" ht="30" customHeight="1">
      <ns0:c r="A347" t="str" s="10">
        <ns0:v>R0353</ns0:v>
      </ns0:c>
      <ns0:c r="B347" t="str" s="10">
        <ns0:v>Резистор</ns0:v>
      </ns0:c>
      <ns0:c r="C347" t="str" s="10">
        <ns0:v>160R</ns0:v>
      </ns0:c>
      <ns0:c r="D347" t="str" s="11">
        <ns0:f>SUBSTITUTE(SUBSTITUTE(SUBSTITUTE(SUBSTITUTE(C347,"meg"," МОм"),"k"," кОм"),"R"," Ом"),".",",")</ns0:f>
        <ns0:v>160 Ом</ns0:v>
      </ns0:c>
      <ns0:c r="E347" t="str" s="10">
        <ns0:v>±1%</ns0:v>
      </ns0:c>
      <ns0:c r="F347" t="str" s="10">
        <ns0:v>0,1 Вт</ns0:v>
      </ns0:c>
      <ns0:c r="G347" t="str" s="10">
        <ns0:v>75 В макс.</ns0:v>
      </ns0:c>
      <ns0:c r="H347" t="str" s="12">
        <ns0:v>0603</ns0:v>
      </ns0:c>
      <ns0:c r="I347" t="str" s="10">
        <ns0:v>YAGEO</ns0:v>
      </ns0:c>
      <ns0:c r="J347" t="str" s="10">
        <ns0:v>RC0603FR-07160RL</ns0:v>
      </ns0:c>
      <ns0:c r="K347" t="str" s="11">
        <ns0:f>B347&amp;" "&amp;D347&amp;" "&amp;E347&amp;" "&amp;H347</ns0:f>
        <ns0:v>Резистор 160 Ом ±1% 0603</ns0:v>
      </ns0:c>
      <ns0:c r="L347" t="str" s="13">
        <ns0:v>R</ns0:v>
      </ns0:c>
      <ns0:c r="M347" t="str" s="13">
        <ns0:v>Symbols\MY_LIB_Resistors.SchLib</ns0:v>
      </ns0:c>
      <ns0:c r="N347" t="str" s="13">
        <ns0:v>RESC1608X55N</ns0:v>
      </ns0:c>
      <ns0:c r="O347" t="str" s="13">
        <ns0:v>Footprints\PBL - SMD Packages.PcbLib</ns0:v>
      </ns0:c>
      <ns0:c xmlns:ns0="http://schemas.openxmlformats.org/spreadsheetml/2006/main" r="P34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7" s="10"/>
      <ns0:c r="R347" t="str" s="11">
        <ns0:f>D347</ns0:f>
        <ns0:v>160 Ом</ns0:v>
      </ns0:c>
      <ns0:c r="S347" t="str" s="11">
        <ns0:f>K347</ns0:f>
        <ns0:v>Резистор 160 Ом ±1% 0603</ns0:v>
      </ns0:c>
      <x:c xmlns:x="http://schemas.openxmlformats.org/spreadsheetml/2006/main" r="T347" t="str" s="11">
        <x:v>C:\Users\Nomatin\Documents\Altium\MY_LIB\MY_LIB\Datasheets\YAGEO_RC_L.pdf</x:v>
      </x:c>
      <x:c xmlns:x="http://schemas.openxmlformats.org/spreadsheetml/2006/main" r="U347" t="str" s="11">
        <x:v>Даташит — локальный</x:v>
      </x:c>
      <x:c xmlns:x="http://schemas.openxmlformats.org/spreadsheetml/2006/main" r="V347" t="str" s="11">
        <x:v>C:\Users\Nomatin\Documents\Altium\MY_LIB\MY_LIB\Datasheets\YAGEO_RC_L.pdf</x:v>
      </x:c>
      <x:c xmlns:x="http://schemas.openxmlformats.org/spreadsheetml/2006/main" r="W347" t="str" s="11">
        <x:v>Даташит — производитель</x:v>
      </x:c>
      <x:c xmlns:x="http://schemas.openxmlformats.org/spreadsheetml/2006/main" r="X347" t="str" s="11">
        <x:v>https://yageogroup.com/content/datasheet/asset/file/PYU-RC_GROUP_51_ROHS_L</x:v>
      </x:c>
      <x:c xmlns:x="http://schemas.openxmlformats.org/spreadsheetml/2006/main" r="Y347" t="str" s="11">
        <x:v>C:\Users\Nomatin\Documents\Altium\MY_LIB\MY_LIB\Datasheets\YAGEO_RC_L.pdf</x:v>
      </x:c>
      <ns0:c xmlns:ns0="http://schemas.openxmlformats.org/spreadsheetml/2006/main" r="Z347" s="16" t="inlineStr">
        <ns0:is>
          <ns0:t>MY_LIB_R_TCR</ns0:t>
        </ns0:is>
      </ns0:c>
      <ns0:c xmlns:ns0="http://schemas.openxmlformats.org/spreadsheetml/2006/main" r="AA347" s="16" t="inlineStr">
        <ns0:is>
          <ns0:t>R(T), +100 ppm/C at 25 C; positive datasheet limit</ns0:t>
        </ns0:is>
      </ns0:c>
      <ns0:c xmlns:ns0="http://schemas.openxmlformats.org/spreadsheetml/2006/main" r="AB347" s="16" t="str">
        <ns0:v>General</ns0:v>
      </ns0:c>
      <ns0:c xmlns:ns0="http://schemas.openxmlformats.org/spreadsheetml/2006/main" r="AC347" s="16" t="inlineStr">
        <ns0:is>
          <ns0:t>Spice Subcircuit</ns0:t>
        </ns0:is>
      </ns0:c>
      <ns0:c xmlns:ns0="http://schemas.openxmlformats.org/spreadsheetml/2006/main" r="AD347" s="16" t="inlineStr">
        <ns0:is>
          <ns0:t>@DESIGNATOR %1 %2 @MODEL PARAMS: Rvalue=@VALUE TC1value=100u</ns0:t>
        </ns0:is>
      </ns0:c>
      <ns0:c xmlns:ns0="http://schemas.openxmlformats.org/spreadsheetml/2006/main" r="AE347" s="16" t="inlineStr">
        <ns0:is>
          <ns0:t>X</ns0:t>
        </ns0:is>
      </ns0:c>
      <ns0:c xmlns:ns0="http://schemas.openxmlformats.org/spreadsheetml/2006/main" r="AF347" s="16" t="str">
        <ns0:v>(1:1),(2:2)</ns0:v>
      </ns0:c>
      <ns0:c xmlns:ns0="http://schemas.openxmlformats.org/spreadsheetml/2006/main" r="AG347" s="16" t="inlineStr">
        <ns0:is>
          <ns0:t>Simulation\Resistors\MY_LIB_R_TCR.ckt</ns0:t>
        </ns0:is>
      </ns0:c>
      <ns0:c xmlns:ns0="http://schemas.openxmlformats.org/spreadsheetml/2006/main" r="AH347" s="16" t="inlineStr">
        <ns0:is>
          <ns0:t>±100 ppm/°C</ns0:t>
        </ns0:is>
      </ns0:c>
    </ns0:row>
    <ns0:row xmlns:ns0="http://schemas.openxmlformats.org/spreadsheetml/2006/main" r="348" ht="30" customHeight="1">
      <ns0:c r="A348" t="str" s="10">
        <ns0:v>R0354</ns0:v>
      </ns0:c>
      <ns0:c r="B348" t="str" s="10">
        <ns0:v>Резистор</ns0:v>
      </ns0:c>
      <ns0:c r="C348" t="str" s="10">
        <ns0:v>180R</ns0:v>
      </ns0:c>
      <ns0:c r="D348" t="str" s="11">
        <ns0:f>SUBSTITUTE(SUBSTITUTE(SUBSTITUTE(SUBSTITUTE(C348,"meg"," МОм"),"k"," кОм"),"R"," Ом"),".",",")</ns0:f>
        <ns0:v>180 Ом</ns0:v>
      </ns0:c>
      <ns0:c r="E348" t="str" s="10">
        <ns0:v>±1%</ns0:v>
      </ns0:c>
      <ns0:c r="F348" t="str" s="10">
        <ns0:v>0,1 Вт</ns0:v>
      </ns0:c>
      <ns0:c r="G348" t="str" s="10">
        <ns0:v>75 В макс.</ns0:v>
      </ns0:c>
      <ns0:c r="H348" t="str" s="12">
        <ns0:v>0603</ns0:v>
      </ns0:c>
      <ns0:c r="I348" t="str" s="10">
        <ns0:v>YAGEO</ns0:v>
      </ns0:c>
      <ns0:c r="J348" t="str" s="10">
        <ns0:v>RC0603FR-07180RL</ns0:v>
      </ns0:c>
      <ns0:c r="K348" t="str" s="11">
        <ns0:f>B348&amp;" "&amp;D348&amp;" "&amp;E348&amp;" "&amp;H348</ns0:f>
        <ns0:v>Резистор 180 Ом ±1% 0603</ns0:v>
      </ns0:c>
      <ns0:c r="L348" t="str" s="13">
        <ns0:v>R</ns0:v>
      </ns0:c>
      <ns0:c r="M348" t="str" s="13">
        <ns0:v>Symbols\MY_LIB_Resistors.SchLib</ns0:v>
      </ns0:c>
      <ns0:c r="N348" t="str" s="13">
        <ns0:v>RESC1608X55N</ns0:v>
      </ns0:c>
      <ns0:c r="O348" t="str" s="13">
        <ns0:v>Footprints\PBL - SMD Packages.PcbLib</ns0:v>
      </ns0:c>
      <ns0:c xmlns:ns0="http://schemas.openxmlformats.org/spreadsheetml/2006/main" r="P34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8" s="10"/>
      <ns0:c r="R348" t="str" s="11">
        <ns0:f>D348</ns0:f>
        <ns0:v>180 Ом</ns0:v>
      </ns0:c>
      <ns0:c r="S348" t="str" s="11">
        <ns0:f>K348</ns0:f>
        <ns0:v>Резистор 180 Ом ±1% 0603</ns0:v>
      </ns0:c>
      <x:c xmlns:x="http://schemas.openxmlformats.org/spreadsheetml/2006/main" r="T348" t="str" s="11">
        <x:v>C:\Users\Nomatin\Documents\Altium\MY_LIB\MY_LIB\Datasheets\YAGEO_RC_L.pdf</x:v>
      </x:c>
      <x:c xmlns:x="http://schemas.openxmlformats.org/spreadsheetml/2006/main" r="U348" t="str" s="11">
        <x:v>Даташит — локальный</x:v>
      </x:c>
      <x:c xmlns:x="http://schemas.openxmlformats.org/spreadsheetml/2006/main" r="V348" t="str" s="11">
        <x:v>C:\Users\Nomatin\Documents\Altium\MY_LIB\MY_LIB\Datasheets\YAGEO_RC_L.pdf</x:v>
      </x:c>
      <x:c xmlns:x="http://schemas.openxmlformats.org/spreadsheetml/2006/main" r="W348" t="str" s="11">
        <x:v>Даташит — производитель</x:v>
      </x:c>
      <x:c xmlns:x="http://schemas.openxmlformats.org/spreadsheetml/2006/main" r="X348" t="str" s="11">
        <x:v>https://yageogroup.com/content/datasheet/asset/file/PYU-RC_GROUP_51_ROHS_L</x:v>
      </x:c>
      <x:c xmlns:x="http://schemas.openxmlformats.org/spreadsheetml/2006/main" r="Y348" t="str" s="11">
        <x:v>C:\Users\Nomatin\Documents\Altium\MY_LIB\MY_LIB\Datasheets\YAGEO_RC_L.pdf</x:v>
      </x:c>
      <ns0:c xmlns:ns0="http://schemas.openxmlformats.org/spreadsheetml/2006/main" r="Z348" s="16" t="inlineStr">
        <ns0:is>
          <ns0:t>MY_LIB_R_TCR</ns0:t>
        </ns0:is>
      </ns0:c>
      <ns0:c xmlns:ns0="http://schemas.openxmlformats.org/spreadsheetml/2006/main" r="AA348" s="16" t="inlineStr">
        <ns0:is>
          <ns0:t>R(T), +100 ppm/C at 25 C; positive datasheet limit</ns0:t>
        </ns0:is>
      </ns0:c>
      <ns0:c xmlns:ns0="http://schemas.openxmlformats.org/spreadsheetml/2006/main" r="AB348" s="16" t="str">
        <ns0:v>General</ns0:v>
      </ns0:c>
      <ns0:c xmlns:ns0="http://schemas.openxmlformats.org/spreadsheetml/2006/main" r="AC348" s="16" t="inlineStr">
        <ns0:is>
          <ns0:t>Spice Subcircuit</ns0:t>
        </ns0:is>
      </ns0:c>
      <ns0:c xmlns:ns0="http://schemas.openxmlformats.org/spreadsheetml/2006/main" r="AD348" s="16" t="inlineStr">
        <ns0:is>
          <ns0:t>@DESIGNATOR %1 %2 @MODEL PARAMS: Rvalue=@VALUE TC1value=100u</ns0:t>
        </ns0:is>
      </ns0:c>
      <ns0:c xmlns:ns0="http://schemas.openxmlformats.org/spreadsheetml/2006/main" r="AE348" s="16" t="inlineStr">
        <ns0:is>
          <ns0:t>X</ns0:t>
        </ns0:is>
      </ns0:c>
      <ns0:c xmlns:ns0="http://schemas.openxmlformats.org/spreadsheetml/2006/main" r="AF348" s="16" t="str">
        <ns0:v>(1:1),(2:2)</ns0:v>
      </ns0:c>
      <ns0:c xmlns:ns0="http://schemas.openxmlformats.org/spreadsheetml/2006/main" r="AG348" s="16" t="inlineStr">
        <ns0:is>
          <ns0:t>Simulation\Resistors\MY_LIB_R_TCR.ckt</ns0:t>
        </ns0:is>
      </ns0:c>
      <ns0:c xmlns:ns0="http://schemas.openxmlformats.org/spreadsheetml/2006/main" r="AH348" s="16" t="inlineStr">
        <ns0:is>
          <ns0:t>±100 ppm/°C</ns0:t>
        </ns0:is>
      </ns0:c>
    </ns0:row>
    <ns0:row xmlns:ns0="http://schemas.openxmlformats.org/spreadsheetml/2006/main" r="349" ht="30" customHeight="1">
      <ns0:c r="A349" t="str" s="10">
        <ns0:v>R0355</ns0:v>
      </ns0:c>
      <ns0:c r="B349" t="str" s="10">
        <ns0:v>Резистор</ns0:v>
      </ns0:c>
      <ns0:c r="C349" t="str" s="10">
        <ns0:v>200R</ns0:v>
      </ns0:c>
      <ns0:c r="D349" t="str" s="11">
        <ns0:f>SUBSTITUTE(SUBSTITUTE(SUBSTITUTE(SUBSTITUTE(C349,"meg"," МОм"),"k"," кОм"),"R"," Ом"),".",",")</ns0:f>
        <ns0:v>200 Ом</ns0:v>
      </ns0:c>
      <ns0:c r="E349" t="str" s="10">
        <ns0:v>±1%</ns0:v>
      </ns0:c>
      <ns0:c r="F349" t="str" s="10">
        <ns0:v>0,1 Вт</ns0:v>
      </ns0:c>
      <ns0:c r="G349" t="str" s="10">
        <ns0:v>75 В макс.</ns0:v>
      </ns0:c>
      <ns0:c r="H349" t="str" s="12">
        <ns0:v>0603</ns0:v>
      </ns0:c>
      <ns0:c r="I349" t="str" s="10">
        <ns0:v>YAGEO</ns0:v>
      </ns0:c>
      <ns0:c r="J349" t="str" s="10">
        <ns0:v>RC0603FR-07200RL</ns0:v>
      </ns0:c>
      <ns0:c r="K349" t="str" s="11">
        <ns0:f>B349&amp;" "&amp;D349&amp;" "&amp;E349&amp;" "&amp;H349</ns0:f>
        <ns0:v>Резистор 200 Ом ±1% 0603</ns0:v>
      </ns0:c>
      <ns0:c r="L349" t="str" s="13">
        <ns0:v>R</ns0:v>
      </ns0:c>
      <ns0:c r="M349" t="str" s="13">
        <ns0:v>Symbols\MY_LIB_Resistors.SchLib</ns0:v>
      </ns0:c>
      <ns0:c r="N349" t="str" s="13">
        <ns0:v>RESC1608X55N</ns0:v>
      </ns0:c>
      <ns0:c r="O349" t="str" s="13">
        <ns0:v>Footprints\PBL - SMD Packages.PcbLib</ns0:v>
      </ns0:c>
      <ns0:c xmlns:ns0="http://schemas.openxmlformats.org/spreadsheetml/2006/main" r="P34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49" s="10"/>
      <ns0:c r="R349" t="str" s="11">
        <ns0:f>D349</ns0:f>
        <ns0:v>200 Ом</ns0:v>
      </ns0:c>
      <ns0:c r="S349" t="str" s="11">
        <ns0:f>K349</ns0:f>
        <ns0:v>Резистор 200 Ом ±1% 0603</ns0:v>
      </ns0:c>
      <x:c xmlns:x="http://schemas.openxmlformats.org/spreadsheetml/2006/main" r="T349" t="str" s="11">
        <x:v>C:\Users\Nomatin\Documents\Altium\MY_LIB\MY_LIB\Datasheets\YAGEO_RC_L.pdf</x:v>
      </x:c>
      <x:c xmlns:x="http://schemas.openxmlformats.org/spreadsheetml/2006/main" r="U349" t="str" s="11">
        <x:v>Даташит — локальный</x:v>
      </x:c>
      <x:c xmlns:x="http://schemas.openxmlformats.org/spreadsheetml/2006/main" r="V349" t="str" s="11">
        <x:v>C:\Users\Nomatin\Documents\Altium\MY_LIB\MY_LIB\Datasheets\YAGEO_RC_L.pdf</x:v>
      </x:c>
      <x:c xmlns:x="http://schemas.openxmlformats.org/spreadsheetml/2006/main" r="W349" t="str" s="11">
        <x:v>Даташит — производитель</x:v>
      </x:c>
      <x:c xmlns:x="http://schemas.openxmlformats.org/spreadsheetml/2006/main" r="X349" t="str" s="11">
        <x:v>https://yageogroup.com/content/datasheet/asset/file/PYU-RC_GROUP_51_ROHS_L</x:v>
      </x:c>
      <x:c xmlns:x="http://schemas.openxmlformats.org/spreadsheetml/2006/main" r="Y349" t="str" s="11">
        <x:v>C:\Users\Nomatin\Documents\Altium\MY_LIB\MY_LIB\Datasheets\YAGEO_RC_L.pdf</x:v>
      </x:c>
      <ns0:c xmlns:ns0="http://schemas.openxmlformats.org/spreadsheetml/2006/main" r="Z349" s="16" t="inlineStr">
        <ns0:is>
          <ns0:t>MY_LIB_R_TCR</ns0:t>
        </ns0:is>
      </ns0:c>
      <ns0:c xmlns:ns0="http://schemas.openxmlformats.org/spreadsheetml/2006/main" r="AA349" s="16" t="inlineStr">
        <ns0:is>
          <ns0:t>R(T), +100 ppm/C at 25 C; positive datasheet limit</ns0:t>
        </ns0:is>
      </ns0:c>
      <ns0:c xmlns:ns0="http://schemas.openxmlformats.org/spreadsheetml/2006/main" r="AB349" s="16" t="str">
        <ns0:v>General</ns0:v>
      </ns0:c>
      <ns0:c xmlns:ns0="http://schemas.openxmlformats.org/spreadsheetml/2006/main" r="AC349" s="16" t="inlineStr">
        <ns0:is>
          <ns0:t>Spice Subcircuit</ns0:t>
        </ns0:is>
      </ns0:c>
      <ns0:c xmlns:ns0="http://schemas.openxmlformats.org/spreadsheetml/2006/main" r="AD349" s="16" t="inlineStr">
        <ns0:is>
          <ns0:t>@DESIGNATOR %1 %2 @MODEL PARAMS: Rvalue=@VALUE TC1value=100u</ns0:t>
        </ns0:is>
      </ns0:c>
      <ns0:c xmlns:ns0="http://schemas.openxmlformats.org/spreadsheetml/2006/main" r="AE349" s="16" t="inlineStr">
        <ns0:is>
          <ns0:t>X</ns0:t>
        </ns0:is>
      </ns0:c>
      <ns0:c xmlns:ns0="http://schemas.openxmlformats.org/spreadsheetml/2006/main" r="AF349" s="16" t="str">
        <ns0:v>(1:1),(2:2)</ns0:v>
      </ns0:c>
      <ns0:c xmlns:ns0="http://schemas.openxmlformats.org/spreadsheetml/2006/main" r="AG349" s="16" t="inlineStr">
        <ns0:is>
          <ns0:t>Simulation\Resistors\MY_LIB_R_TCR.ckt</ns0:t>
        </ns0:is>
      </ns0:c>
      <ns0:c xmlns:ns0="http://schemas.openxmlformats.org/spreadsheetml/2006/main" r="AH349" s="16" t="inlineStr">
        <ns0:is>
          <ns0:t>±100 ppm/°C</ns0:t>
        </ns0:is>
      </ns0:c>
    </ns0:row>
    <ns0:row xmlns:ns0="http://schemas.openxmlformats.org/spreadsheetml/2006/main" r="350" ht="30" customHeight="1">
      <ns0:c r="A350" t="str" s="10">
        <ns0:v>R0356</ns0:v>
      </ns0:c>
      <ns0:c r="B350" t="str" s="10">
        <ns0:v>Резистор</ns0:v>
      </ns0:c>
      <ns0:c r="C350" t="str" s="10">
        <ns0:v>220R</ns0:v>
      </ns0:c>
      <ns0:c r="D350" t="str" s="11">
        <ns0:f>SUBSTITUTE(SUBSTITUTE(SUBSTITUTE(SUBSTITUTE(C350,"meg"," МОм"),"k"," кОм"),"R"," Ом"),".",",")</ns0:f>
        <ns0:v>220 Ом</ns0:v>
      </ns0:c>
      <ns0:c r="E350" t="str" s="10">
        <ns0:v>±1%</ns0:v>
      </ns0:c>
      <ns0:c r="F350" t="str" s="10">
        <ns0:v>0,1 Вт</ns0:v>
      </ns0:c>
      <ns0:c r="G350" t="str" s="10">
        <ns0:v>75 В макс.</ns0:v>
      </ns0:c>
      <ns0:c r="H350" t="str" s="12">
        <ns0:v>0603</ns0:v>
      </ns0:c>
      <ns0:c r="I350" t="str" s="10">
        <ns0:v>YAGEO</ns0:v>
      </ns0:c>
      <ns0:c r="J350" t="str" s="10">
        <ns0:v>RC0603FR-07220RL</ns0:v>
      </ns0:c>
      <ns0:c r="K350" t="str" s="11">
        <ns0:f>B350&amp;" "&amp;D350&amp;" "&amp;E350&amp;" "&amp;H350</ns0:f>
        <ns0:v>Резистор 220 Ом ±1% 0603</ns0:v>
      </ns0:c>
      <ns0:c r="L350" t="str" s="13">
        <ns0:v>R</ns0:v>
      </ns0:c>
      <ns0:c r="M350" t="str" s="13">
        <ns0:v>Symbols\MY_LIB_Resistors.SchLib</ns0:v>
      </ns0:c>
      <ns0:c r="N350" t="str" s="13">
        <ns0:v>RESC1608X55N</ns0:v>
      </ns0:c>
      <ns0:c r="O350" t="str" s="13">
        <ns0:v>Footprints\PBL - SMD Packages.PcbLib</ns0:v>
      </ns0:c>
      <ns0:c xmlns:ns0="http://schemas.openxmlformats.org/spreadsheetml/2006/main" r="P35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0" s="10"/>
      <ns0:c r="R350" t="str" s="11">
        <ns0:f>D350</ns0:f>
        <ns0:v>220 Ом</ns0:v>
      </ns0:c>
      <ns0:c r="S350" t="str" s="11">
        <ns0:f>K350</ns0:f>
        <ns0:v>Резистор 220 Ом ±1% 0603</ns0:v>
      </ns0:c>
      <x:c xmlns:x="http://schemas.openxmlformats.org/spreadsheetml/2006/main" r="T350" t="str" s="11">
        <x:v>C:\Users\Nomatin\Documents\Altium\MY_LIB\MY_LIB\Datasheets\YAGEO_RC_L.pdf</x:v>
      </x:c>
      <x:c xmlns:x="http://schemas.openxmlformats.org/spreadsheetml/2006/main" r="U350" t="str" s="11">
        <x:v>Даташит — локальный</x:v>
      </x:c>
      <x:c xmlns:x="http://schemas.openxmlformats.org/spreadsheetml/2006/main" r="V350" t="str" s="11">
        <x:v>C:\Users\Nomatin\Documents\Altium\MY_LIB\MY_LIB\Datasheets\YAGEO_RC_L.pdf</x:v>
      </x:c>
      <x:c xmlns:x="http://schemas.openxmlformats.org/spreadsheetml/2006/main" r="W350" t="str" s="11">
        <x:v>Даташит — производитель</x:v>
      </x:c>
      <x:c xmlns:x="http://schemas.openxmlformats.org/spreadsheetml/2006/main" r="X350" t="str" s="11">
        <x:v>https://yageogroup.com/content/datasheet/asset/file/PYU-RC_GROUP_51_ROHS_L</x:v>
      </x:c>
      <x:c xmlns:x="http://schemas.openxmlformats.org/spreadsheetml/2006/main" r="Y350" t="str" s="11">
        <x:v>C:\Users\Nomatin\Documents\Altium\MY_LIB\MY_LIB\Datasheets\YAGEO_RC_L.pdf</x:v>
      </x:c>
      <ns0:c xmlns:ns0="http://schemas.openxmlformats.org/spreadsheetml/2006/main" r="Z350" s="16" t="inlineStr">
        <ns0:is>
          <ns0:t>MY_LIB_R_TCR</ns0:t>
        </ns0:is>
      </ns0:c>
      <ns0:c xmlns:ns0="http://schemas.openxmlformats.org/spreadsheetml/2006/main" r="AA350" s="16" t="inlineStr">
        <ns0:is>
          <ns0:t>R(T), +100 ppm/C at 25 C; positive datasheet limit</ns0:t>
        </ns0:is>
      </ns0:c>
      <ns0:c xmlns:ns0="http://schemas.openxmlformats.org/spreadsheetml/2006/main" r="AB350" s="16" t="str">
        <ns0:v>General</ns0:v>
      </ns0:c>
      <ns0:c xmlns:ns0="http://schemas.openxmlformats.org/spreadsheetml/2006/main" r="AC350" s="16" t="inlineStr">
        <ns0:is>
          <ns0:t>Spice Subcircuit</ns0:t>
        </ns0:is>
      </ns0:c>
      <ns0:c xmlns:ns0="http://schemas.openxmlformats.org/spreadsheetml/2006/main" r="AD350" s="16" t="inlineStr">
        <ns0:is>
          <ns0:t>@DESIGNATOR %1 %2 @MODEL PARAMS: Rvalue=@VALUE TC1value=100u</ns0:t>
        </ns0:is>
      </ns0:c>
      <ns0:c xmlns:ns0="http://schemas.openxmlformats.org/spreadsheetml/2006/main" r="AE350" s="16" t="inlineStr">
        <ns0:is>
          <ns0:t>X</ns0:t>
        </ns0:is>
      </ns0:c>
      <ns0:c xmlns:ns0="http://schemas.openxmlformats.org/spreadsheetml/2006/main" r="AF350" s="16" t="str">
        <ns0:v>(1:1),(2:2)</ns0:v>
      </ns0:c>
      <ns0:c xmlns:ns0="http://schemas.openxmlformats.org/spreadsheetml/2006/main" r="AG350" s="16" t="inlineStr">
        <ns0:is>
          <ns0:t>Simulation\Resistors\MY_LIB_R_TCR.ckt</ns0:t>
        </ns0:is>
      </ns0:c>
      <ns0:c xmlns:ns0="http://schemas.openxmlformats.org/spreadsheetml/2006/main" r="AH350" s="16" t="inlineStr">
        <ns0:is>
          <ns0:t>±100 ppm/°C</ns0:t>
        </ns0:is>
      </ns0:c>
    </ns0:row>
    <ns0:row xmlns:ns0="http://schemas.openxmlformats.org/spreadsheetml/2006/main" r="351" ht="30" customHeight="1">
      <ns0:c r="A351" t="str" s="10">
        <ns0:v>R0357</ns0:v>
      </ns0:c>
      <ns0:c r="B351" t="str" s="10">
        <ns0:v>Резистор</ns0:v>
      </ns0:c>
      <ns0:c r="C351" t="str" s="10">
        <ns0:v>240R</ns0:v>
      </ns0:c>
      <ns0:c r="D351" t="str" s="11">
        <ns0:f>SUBSTITUTE(SUBSTITUTE(SUBSTITUTE(SUBSTITUTE(C351,"meg"," МОм"),"k"," кОм"),"R"," Ом"),".",",")</ns0:f>
        <ns0:v>240 Ом</ns0:v>
      </ns0:c>
      <ns0:c r="E351" t="str" s="10">
        <ns0:v>±1%</ns0:v>
      </ns0:c>
      <ns0:c r="F351" t="str" s="10">
        <ns0:v>0,1 Вт</ns0:v>
      </ns0:c>
      <ns0:c r="G351" t="str" s="10">
        <ns0:v>75 В макс.</ns0:v>
      </ns0:c>
      <ns0:c r="H351" t="str" s="12">
        <ns0:v>0603</ns0:v>
      </ns0:c>
      <ns0:c r="I351" t="str" s="10">
        <ns0:v>YAGEO</ns0:v>
      </ns0:c>
      <ns0:c r="J351" t="str" s="10">
        <ns0:v>RC0603FR-07240RL</ns0:v>
      </ns0:c>
      <ns0:c r="K351" t="str" s="11">
        <ns0:f>B351&amp;" "&amp;D351&amp;" "&amp;E351&amp;" "&amp;H351</ns0:f>
        <ns0:v>Резистор 240 Ом ±1% 0603</ns0:v>
      </ns0:c>
      <ns0:c r="L351" t="str" s="13">
        <ns0:v>R</ns0:v>
      </ns0:c>
      <ns0:c r="M351" t="str" s="13">
        <ns0:v>Symbols\MY_LIB_Resistors.SchLib</ns0:v>
      </ns0:c>
      <ns0:c r="N351" t="str" s="13">
        <ns0:v>RESC1608X55N</ns0:v>
      </ns0:c>
      <ns0:c r="O351" t="str" s="13">
        <ns0:v>Footprints\PBL - SMD Packages.PcbLib</ns0:v>
      </ns0:c>
      <ns0:c xmlns:ns0="http://schemas.openxmlformats.org/spreadsheetml/2006/main" r="P35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1" s="10"/>
      <ns0:c r="R351" t="str" s="11">
        <ns0:f>D351</ns0:f>
        <ns0:v>240 Ом</ns0:v>
      </ns0:c>
      <ns0:c r="S351" t="str" s="11">
        <ns0:f>K351</ns0:f>
        <ns0:v>Резистор 240 Ом ±1% 0603</ns0:v>
      </ns0:c>
      <x:c xmlns:x="http://schemas.openxmlformats.org/spreadsheetml/2006/main" r="T351" t="str" s="11">
        <x:v>C:\Users\Nomatin\Documents\Altium\MY_LIB\MY_LIB\Datasheets\YAGEO_RC_L.pdf</x:v>
      </x:c>
      <x:c xmlns:x="http://schemas.openxmlformats.org/spreadsheetml/2006/main" r="U351" t="str" s="11">
        <x:v>Даташит — локальный</x:v>
      </x:c>
      <x:c xmlns:x="http://schemas.openxmlformats.org/spreadsheetml/2006/main" r="V351" t="str" s="11">
        <x:v>C:\Users\Nomatin\Documents\Altium\MY_LIB\MY_LIB\Datasheets\YAGEO_RC_L.pdf</x:v>
      </x:c>
      <x:c xmlns:x="http://schemas.openxmlformats.org/spreadsheetml/2006/main" r="W351" t="str" s="11">
        <x:v>Даташит — производитель</x:v>
      </x:c>
      <x:c xmlns:x="http://schemas.openxmlformats.org/spreadsheetml/2006/main" r="X351" t="str" s="11">
        <x:v>https://yageogroup.com/content/datasheet/asset/file/PYU-RC_GROUP_51_ROHS_L</x:v>
      </x:c>
      <x:c xmlns:x="http://schemas.openxmlformats.org/spreadsheetml/2006/main" r="Y351" t="str" s="11">
        <x:v>C:\Users\Nomatin\Documents\Altium\MY_LIB\MY_LIB\Datasheets\YAGEO_RC_L.pdf</x:v>
      </x:c>
      <ns0:c xmlns:ns0="http://schemas.openxmlformats.org/spreadsheetml/2006/main" r="Z351" s="16" t="inlineStr">
        <ns0:is>
          <ns0:t>MY_LIB_R_TCR</ns0:t>
        </ns0:is>
      </ns0:c>
      <ns0:c xmlns:ns0="http://schemas.openxmlformats.org/spreadsheetml/2006/main" r="AA351" s="16" t="inlineStr">
        <ns0:is>
          <ns0:t>R(T), +100 ppm/C at 25 C; positive datasheet limit</ns0:t>
        </ns0:is>
      </ns0:c>
      <ns0:c xmlns:ns0="http://schemas.openxmlformats.org/spreadsheetml/2006/main" r="AB351" s="16" t="str">
        <ns0:v>General</ns0:v>
      </ns0:c>
      <ns0:c xmlns:ns0="http://schemas.openxmlformats.org/spreadsheetml/2006/main" r="AC351" s="16" t="inlineStr">
        <ns0:is>
          <ns0:t>Spice Subcircuit</ns0:t>
        </ns0:is>
      </ns0:c>
      <ns0:c xmlns:ns0="http://schemas.openxmlformats.org/spreadsheetml/2006/main" r="AD351" s="16" t="inlineStr">
        <ns0:is>
          <ns0:t>@DESIGNATOR %1 %2 @MODEL PARAMS: Rvalue=@VALUE TC1value=100u</ns0:t>
        </ns0:is>
      </ns0:c>
      <ns0:c xmlns:ns0="http://schemas.openxmlformats.org/spreadsheetml/2006/main" r="AE351" s="16" t="inlineStr">
        <ns0:is>
          <ns0:t>X</ns0:t>
        </ns0:is>
      </ns0:c>
      <ns0:c xmlns:ns0="http://schemas.openxmlformats.org/spreadsheetml/2006/main" r="AF351" s="16" t="str">
        <ns0:v>(1:1),(2:2)</ns0:v>
      </ns0:c>
      <ns0:c xmlns:ns0="http://schemas.openxmlformats.org/spreadsheetml/2006/main" r="AG351" s="16" t="inlineStr">
        <ns0:is>
          <ns0:t>Simulation\Resistors\MY_LIB_R_TCR.ckt</ns0:t>
        </ns0:is>
      </ns0:c>
      <ns0:c xmlns:ns0="http://schemas.openxmlformats.org/spreadsheetml/2006/main" r="AH351" s="16" t="inlineStr">
        <ns0:is>
          <ns0:t>±100 ppm/°C</ns0:t>
        </ns0:is>
      </ns0:c>
    </ns0:row>
    <ns0:row xmlns:ns0="http://schemas.openxmlformats.org/spreadsheetml/2006/main" r="352" ht="30" customHeight="1">
      <ns0:c r="A352" t="str" s="10">
        <ns0:v>R0358</ns0:v>
      </ns0:c>
      <ns0:c r="B352" t="str" s="10">
        <ns0:v>Резистор</ns0:v>
      </ns0:c>
      <ns0:c r="C352" t="str" s="10">
        <ns0:v>270R</ns0:v>
      </ns0:c>
      <ns0:c r="D352" t="str" s="11">
        <ns0:f>SUBSTITUTE(SUBSTITUTE(SUBSTITUTE(SUBSTITUTE(C352,"meg"," МОм"),"k"," кОм"),"R"," Ом"),".",",")</ns0:f>
        <ns0:v>270 Ом</ns0:v>
      </ns0:c>
      <ns0:c r="E352" t="str" s="10">
        <ns0:v>±1%</ns0:v>
      </ns0:c>
      <ns0:c r="F352" t="str" s="10">
        <ns0:v>0,1 Вт</ns0:v>
      </ns0:c>
      <ns0:c r="G352" t="str" s="10">
        <ns0:v>75 В макс.</ns0:v>
      </ns0:c>
      <ns0:c r="H352" t="str" s="12">
        <ns0:v>0603</ns0:v>
      </ns0:c>
      <ns0:c r="I352" t="str" s="10">
        <ns0:v>YAGEO</ns0:v>
      </ns0:c>
      <ns0:c r="J352" t="str" s="10">
        <ns0:v>RC0603FR-07270RL</ns0:v>
      </ns0:c>
      <ns0:c r="K352" t="str" s="11">
        <ns0:f>B352&amp;" "&amp;D352&amp;" "&amp;E352&amp;" "&amp;H352</ns0:f>
        <ns0:v>Резистор 270 Ом ±1% 0603</ns0:v>
      </ns0:c>
      <ns0:c r="L352" t="str" s="13">
        <ns0:v>R</ns0:v>
      </ns0:c>
      <ns0:c r="M352" t="str" s="13">
        <ns0:v>Symbols\MY_LIB_Resistors.SchLib</ns0:v>
      </ns0:c>
      <ns0:c r="N352" t="str" s="13">
        <ns0:v>RESC1608X55N</ns0:v>
      </ns0:c>
      <ns0:c r="O352" t="str" s="13">
        <ns0:v>Footprints\PBL - SMD Packages.PcbLib</ns0:v>
      </ns0:c>
      <ns0:c xmlns:ns0="http://schemas.openxmlformats.org/spreadsheetml/2006/main" r="P35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2" s="10"/>
      <ns0:c r="R352" t="str" s="11">
        <ns0:f>D352</ns0:f>
        <ns0:v>270 Ом</ns0:v>
      </ns0:c>
      <ns0:c r="S352" t="str" s="11">
        <ns0:f>K352</ns0:f>
        <ns0:v>Резистор 270 Ом ±1% 0603</ns0:v>
      </ns0:c>
      <x:c xmlns:x="http://schemas.openxmlformats.org/spreadsheetml/2006/main" r="T352" t="str" s="11">
        <x:v>C:\Users\Nomatin\Documents\Altium\MY_LIB\MY_LIB\Datasheets\YAGEO_RC_L.pdf</x:v>
      </x:c>
      <x:c xmlns:x="http://schemas.openxmlformats.org/spreadsheetml/2006/main" r="U352" t="str" s="11">
        <x:v>Даташит — локальный</x:v>
      </x:c>
      <x:c xmlns:x="http://schemas.openxmlformats.org/spreadsheetml/2006/main" r="V352" t="str" s="11">
        <x:v>C:\Users\Nomatin\Documents\Altium\MY_LIB\MY_LIB\Datasheets\YAGEO_RC_L.pdf</x:v>
      </x:c>
      <x:c xmlns:x="http://schemas.openxmlformats.org/spreadsheetml/2006/main" r="W352" t="str" s="11">
        <x:v>Даташит — производитель</x:v>
      </x:c>
      <x:c xmlns:x="http://schemas.openxmlformats.org/spreadsheetml/2006/main" r="X352" t="str" s="11">
        <x:v>https://yageogroup.com/content/datasheet/asset/file/PYU-RC_GROUP_51_ROHS_L</x:v>
      </x:c>
      <x:c xmlns:x="http://schemas.openxmlformats.org/spreadsheetml/2006/main" r="Y352" t="str" s="11">
        <x:v>C:\Users\Nomatin\Documents\Altium\MY_LIB\MY_LIB\Datasheets\YAGEO_RC_L.pdf</x:v>
      </x:c>
      <ns0:c xmlns:ns0="http://schemas.openxmlformats.org/spreadsheetml/2006/main" r="Z352" s="16" t="inlineStr">
        <ns0:is>
          <ns0:t>MY_LIB_R_TCR</ns0:t>
        </ns0:is>
      </ns0:c>
      <ns0:c xmlns:ns0="http://schemas.openxmlformats.org/spreadsheetml/2006/main" r="AA352" s="16" t="inlineStr">
        <ns0:is>
          <ns0:t>R(T), +100 ppm/C at 25 C; positive datasheet limit</ns0:t>
        </ns0:is>
      </ns0:c>
      <ns0:c xmlns:ns0="http://schemas.openxmlformats.org/spreadsheetml/2006/main" r="AB352" s="16" t="str">
        <ns0:v>General</ns0:v>
      </ns0:c>
      <ns0:c xmlns:ns0="http://schemas.openxmlformats.org/spreadsheetml/2006/main" r="AC352" s="16" t="inlineStr">
        <ns0:is>
          <ns0:t>Spice Subcircuit</ns0:t>
        </ns0:is>
      </ns0:c>
      <ns0:c xmlns:ns0="http://schemas.openxmlformats.org/spreadsheetml/2006/main" r="AD352" s="16" t="inlineStr">
        <ns0:is>
          <ns0:t>@DESIGNATOR %1 %2 @MODEL PARAMS: Rvalue=@VALUE TC1value=100u</ns0:t>
        </ns0:is>
      </ns0:c>
      <ns0:c xmlns:ns0="http://schemas.openxmlformats.org/spreadsheetml/2006/main" r="AE352" s="16" t="inlineStr">
        <ns0:is>
          <ns0:t>X</ns0:t>
        </ns0:is>
      </ns0:c>
      <ns0:c xmlns:ns0="http://schemas.openxmlformats.org/spreadsheetml/2006/main" r="AF352" s="16" t="str">
        <ns0:v>(1:1),(2:2)</ns0:v>
      </ns0:c>
      <ns0:c xmlns:ns0="http://schemas.openxmlformats.org/spreadsheetml/2006/main" r="AG352" s="16" t="inlineStr">
        <ns0:is>
          <ns0:t>Simulation\Resistors\MY_LIB_R_TCR.ckt</ns0:t>
        </ns0:is>
      </ns0:c>
      <ns0:c xmlns:ns0="http://schemas.openxmlformats.org/spreadsheetml/2006/main" r="AH352" s="16" t="inlineStr">
        <ns0:is>
          <ns0:t>±100 ppm/°C</ns0:t>
        </ns0:is>
      </ns0:c>
    </ns0:row>
    <ns0:row xmlns:ns0="http://schemas.openxmlformats.org/spreadsheetml/2006/main" r="353" ht="30" customHeight="1">
      <ns0:c r="A353" t="str" s="10">
        <ns0:v>R0359</ns0:v>
      </ns0:c>
      <ns0:c r="B353" t="str" s="10">
        <ns0:v>Резистор</ns0:v>
      </ns0:c>
      <ns0:c r="C353" t="str" s="10">
        <ns0:v>300R</ns0:v>
      </ns0:c>
      <ns0:c r="D353" t="str" s="11">
        <ns0:f>SUBSTITUTE(SUBSTITUTE(SUBSTITUTE(SUBSTITUTE(C353,"meg"," МОм"),"k"," кОм"),"R"," Ом"),".",",")</ns0:f>
        <ns0:v>300 Ом</ns0:v>
      </ns0:c>
      <ns0:c r="E353" t="str" s="10">
        <ns0:v>±1%</ns0:v>
      </ns0:c>
      <ns0:c r="F353" t="str" s="10">
        <ns0:v>0,1 Вт</ns0:v>
      </ns0:c>
      <ns0:c r="G353" t="str" s="10">
        <ns0:v>75 В макс.</ns0:v>
      </ns0:c>
      <ns0:c r="H353" t="str" s="12">
        <ns0:v>0603</ns0:v>
      </ns0:c>
      <ns0:c r="I353" t="str" s="10">
        <ns0:v>YAGEO</ns0:v>
      </ns0:c>
      <ns0:c r="J353" t="str" s="10">
        <ns0:v>RC0603FR-07300RL</ns0:v>
      </ns0:c>
      <ns0:c r="K353" t="str" s="11">
        <ns0:f>B353&amp;" "&amp;D353&amp;" "&amp;E353&amp;" "&amp;H353</ns0:f>
        <ns0:v>Резистор 300 Ом ±1% 0603</ns0:v>
      </ns0:c>
      <ns0:c r="L353" t="str" s="13">
        <ns0:v>R</ns0:v>
      </ns0:c>
      <ns0:c r="M353" t="str" s="13">
        <ns0:v>Symbols\MY_LIB_Resistors.SchLib</ns0:v>
      </ns0:c>
      <ns0:c r="N353" t="str" s="13">
        <ns0:v>RESC1608X55N</ns0:v>
      </ns0:c>
      <ns0:c r="O353" t="str" s="13">
        <ns0:v>Footprints\PBL - SMD Packages.PcbLib</ns0:v>
      </ns0:c>
      <ns0:c xmlns:ns0="http://schemas.openxmlformats.org/spreadsheetml/2006/main" r="P35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3" s="10"/>
      <ns0:c r="R353" t="str" s="11">
        <ns0:f>D353</ns0:f>
        <ns0:v>300 Ом</ns0:v>
      </ns0:c>
      <ns0:c r="S353" t="str" s="11">
        <ns0:f>K353</ns0:f>
        <ns0:v>Резистор 300 Ом ±1% 0603</ns0:v>
      </ns0:c>
      <x:c xmlns:x="http://schemas.openxmlformats.org/spreadsheetml/2006/main" r="T353" t="str" s="11">
        <x:v>C:\Users\Nomatin\Documents\Altium\MY_LIB\MY_LIB\Datasheets\YAGEO_RC_L.pdf</x:v>
      </x:c>
      <x:c xmlns:x="http://schemas.openxmlformats.org/spreadsheetml/2006/main" r="U353" t="str" s="11">
        <x:v>Даташит — локальный</x:v>
      </x:c>
      <x:c xmlns:x="http://schemas.openxmlformats.org/spreadsheetml/2006/main" r="V353" t="str" s="11">
        <x:v>C:\Users\Nomatin\Documents\Altium\MY_LIB\MY_LIB\Datasheets\YAGEO_RC_L.pdf</x:v>
      </x:c>
      <x:c xmlns:x="http://schemas.openxmlformats.org/spreadsheetml/2006/main" r="W353" t="str" s="11">
        <x:v>Даташит — производитель</x:v>
      </x:c>
      <x:c xmlns:x="http://schemas.openxmlformats.org/spreadsheetml/2006/main" r="X353" t="str" s="11">
        <x:v>https://yageogroup.com/content/datasheet/asset/file/PYU-RC_GROUP_51_ROHS_L</x:v>
      </x:c>
      <x:c xmlns:x="http://schemas.openxmlformats.org/spreadsheetml/2006/main" r="Y353" t="str" s="11">
        <x:v>C:\Users\Nomatin\Documents\Altium\MY_LIB\MY_LIB\Datasheets\YAGEO_RC_L.pdf</x:v>
      </x:c>
      <ns0:c xmlns:ns0="http://schemas.openxmlformats.org/spreadsheetml/2006/main" r="Z353" s="16" t="inlineStr">
        <ns0:is>
          <ns0:t>MY_LIB_R_TCR</ns0:t>
        </ns0:is>
      </ns0:c>
      <ns0:c xmlns:ns0="http://schemas.openxmlformats.org/spreadsheetml/2006/main" r="AA353" s="16" t="inlineStr">
        <ns0:is>
          <ns0:t>R(T), +100 ppm/C at 25 C; positive datasheet limit</ns0:t>
        </ns0:is>
      </ns0:c>
      <ns0:c xmlns:ns0="http://schemas.openxmlformats.org/spreadsheetml/2006/main" r="AB353" s="16" t="str">
        <ns0:v>General</ns0:v>
      </ns0:c>
      <ns0:c xmlns:ns0="http://schemas.openxmlformats.org/spreadsheetml/2006/main" r="AC353" s="16" t="inlineStr">
        <ns0:is>
          <ns0:t>Spice Subcircuit</ns0:t>
        </ns0:is>
      </ns0:c>
      <ns0:c xmlns:ns0="http://schemas.openxmlformats.org/spreadsheetml/2006/main" r="AD353" s="16" t="inlineStr">
        <ns0:is>
          <ns0:t>@DESIGNATOR %1 %2 @MODEL PARAMS: Rvalue=@VALUE TC1value=100u</ns0:t>
        </ns0:is>
      </ns0:c>
      <ns0:c xmlns:ns0="http://schemas.openxmlformats.org/spreadsheetml/2006/main" r="AE353" s="16" t="inlineStr">
        <ns0:is>
          <ns0:t>X</ns0:t>
        </ns0:is>
      </ns0:c>
      <ns0:c xmlns:ns0="http://schemas.openxmlformats.org/spreadsheetml/2006/main" r="AF353" s="16" t="str">
        <ns0:v>(1:1),(2:2)</ns0:v>
      </ns0:c>
      <ns0:c xmlns:ns0="http://schemas.openxmlformats.org/spreadsheetml/2006/main" r="AG353" s="16" t="inlineStr">
        <ns0:is>
          <ns0:t>Simulation\Resistors\MY_LIB_R_TCR.ckt</ns0:t>
        </ns0:is>
      </ns0:c>
      <ns0:c xmlns:ns0="http://schemas.openxmlformats.org/spreadsheetml/2006/main" r="AH353" s="16" t="inlineStr">
        <ns0:is>
          <ns0:t>±100 ppm/°C</ns0:t>
        </ns0:is>
      </ns0:c>
    </ns0:row>
    <ns0:row xmlns:ns0="http://schemas.openxmlformats.org/spreadsheetml/2006/main" r="354" ht="30" customHeight="1">
      <ns0:c r="A354" t="str" s="10">
        <ns0:v>R0360</ns0:v>
      </ns0:c>
      <ns0:c r="B354" t="str" s="10">
        <ns0:v>Резистор</ns0:v>
      </ns0:c>
      <ns0:c r="C354" t="str" s="10">
        <ns0:v>330R</ns0:v>
      </ns0:c>
      <ns0:c r="D354" t="str" s="11">
        <ns0:f>SUBSTITUTE(SUBSTITUTE(SUBSTITUTE(SUBSTITUTE(C354,"meg"," МОм"),"k"," кОм"),"R"," Ом"),".",",")</ns0:f>
        <ns0:v>330 Ом</ns0:v>
      </ns0:c>
      <ns0:c r="E354" t="str" s="10">
        <ns0:v>±1%</ns0:v>
      </ns0:c>
      <ns0:c r="F354" t="str" s="10">
        <ns0:v>0,1 Вт</ns0:v>
      </ns0:c>
      <ns0:c r="G354" t="str" s="10">
        <ns0:v>75 В макс.</ns0:v>
      </ns0:c>
      <ns0:c r="H354" t="str" s="12">
        <ns0:v>0603</ns0:v>
      </ns0:c>
      <ns0:c r="I354" t="str" s="10">
        <ns0:v>YAGEO</ns0:v>
      </ns0:c>
      <ns0:c r="J354" t="str" s="10">
        <ns0:v>RC0603FR-07330RL</ns0:v>
      </ns0:c>
      <ns0:c r="K354" t="str" s="11">
        <ns0:f>B354&amp;" "&amp;D354&amp;" "&amp;E354&amp;" "&amp;H354</ns0:f>
        <ns0:v>Резистор 330 Ом ±1% 0603</ns0:v>
      </ns0:c>
      <ns0:c r="L354" t="str" s="13">
        <ns0:v>R</ns0:v>
      </ns0:c>
      <ns0:c r="M354" t="str" s="13">
        <ns0:v>Symbols\MY_LIB_Resistors.SchLib</ns0:v>
      </ns0:c>
      <ns0:c r="N354" t="str" s="13">
        <ns0:v>RESC1608X55N</ns0:v>
      </ns0:c>
      <ns0:c r="O354" t="str" s="13">
        <ns0:v>Footprints\PBL - SMD Packages.PcbLib</ns0:v>
      </ns0:c>
      <ns0:c xmlns:ns0="http://schemas.openxmlformats.org/spreadsheetml/2006/main" r="P35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4" s="10"/>
      <ns0:c r="R354" t="str" s="11">
        <ns0:f>D354</ns0:f>
        <ns0:v>330 Ом</ns0:v>
      </ns0:c>
      <ns0:c r="S354" t="str" s="11">
        <ns0:f>K354</ns0:f>
        <ns0:v>Резистор 330 Ом ±1% 0603</ns0:v>
      </ns0:c>
      <x:c xmlns:x="http://schemas.openxmlformats.org/spreadsheetml/2006/main" r="T354" t="str" s="11">
        <x:v>C:\Users\Nomatin\Documents\Altium\MY_LIB\MY_LIB\Datasheets\YAGEO_RC_L.pdf</x:v>
      </x:c>
      <x:c xmlns:x="http://schemas.openxmlformats.org/spreadsheetml/2006/main" r="U354" t="str" s="11">
        <x:v>Даташит — локальный</x:v>
      </x:c>
      <x:c xmlns:x="http://schemas.openxmlformats.org/spreadsheetml/2006/main" r="V354" t="str" s="11">
        <x:v>C:\Users\Nomatin\Documents\Altium\MY_LIB\MY_LIB\Datasheets\YAGEO_RC_L.pdf</x:v>
      </x:c>
      <x:c xmlns:x="http://schemas.openxmlformats.org/spreadsheetml/2006/main" r="W354" t="str" s="11">
        <x:v>Даташит — производитель</x:v>
      </x:c>
      <x:c xmlns:x="http://schemas.openxmlformats.org/spreadsheetml/2006/main" r="X354" t="str" s="11">
        <x:v>https://yageogroup.com/content/datasheet/asset/file/PYU-RC_GROUP_51_ROHS_L</x:v>
      </x:c>
      <x:c xmlns:x="http://schemas.openxmlformats.org/spreadsheetml/2006/main" r="Y354" t="str" s="11">
        <x:v>C:\Users\Nomatin\Documents\Altium\MY_LIB\MY_LIB\Datasheets\YAGEO_RC_L.pdf</x:v>
      </x:c>
      <ns0:c xmlns:ns0="http://schemas.openxmlformats.org/spreadsheetml/2006/main" r="Z354" s="16" t="inlineStr">
        <ns0:is>
          <ns0:t>MY_LIB_R_TCR</ns0:t>
        </ns0:is>
      </ns0:c>
      <ns0:c xmlns:ns0="http://schemas.openxmlformats.org/spreadsheetml/2006/main" r="AA354" s="16" t="inlineStr">
        <ns0:is>
          <ns0:t>R(T), +100 ppm/C at 25 C; positive datasheet limit</ns0:t>
        </ns0:is>
      </ns0:c>
      <ns0:c xmlns:ns0="http://schemas.openxmlformats.org/spreadsheetml/2006/main" r="AB354" s="16" t="str">
        <ns0:v>General</ns0:v>
      </ns0:c>
      <ns0:c xmlns:ns0="http://schemas.openxmlformats.org/spreadsheetml/2006/main" r="AC354" s="16" t="inlineStr">
        <ns0:is>
          <ns0:t>Spice Subcircuit</ns0:t>
        </ns0:is>
      </ns0:c>
      <ns0:c xmlns:ns0="http://schemas.openxmlformats.org/spreadsheetml/2006/main" r="AD354" s="16" t="inlineStr">
        <ns0:is>
          <ns0:t>@DESIGNATOR %1 %2 @MODEL PARAMS: Rvalue=@VALUE TC1value=100u</ns0:t>
        </ns0:is>
      </ns0:c>
      <ns0:c xmlns:ns0="http://schemas.openxmlformats.org/spreadsheetml/2006/main" r="AE354" s="16" t="inlineStr">
        <ns0:is>
          <ns0:t>X</ns0:t>
        </ns0:is>
      </ns0:c>
      <ns0:c xmlns:ns0="http://schemas.openxmlformats.org/spreadsheetml/2006/main" r="AF354" s="16" t="str">
        <ns0:v>(1:1),(2:2)</ns0:v>
      </ns0:c>
      <ns0:c xmlns:ns0="http://schemas.openxmlformats.org/spreadsheetml/2006/main" r="AG354" s="16" t="inlineStr">
        <ns0:is>
          <ns0:t>Simulation\Resistors\MY_LIB_R_TCR.ckt</ns0:t>
        </ns0:is>
      </ns0:c>
      <ns0:c xmlns:ns0="http://schemas.openxmlformats.org/spreadsheetml/2006/main" r="AH354" s="16" t="inlineStr">
        <ns0:is>
          <ns0:t>±100 ppm/°C</ns0:t>
        </ns0:is>
      </ns0:c>
    </ns0:row>
    <ns0:row xmlns:ns0="http://schemas.openxmlformats.org/spreadsheetml/2006/main" r="355" ht="30" customHeight="1">
      <ns0:c r="A355" t="str" s="10">
        <ns0:v>R0361</ns0:v>
      </ns0:c>
      <ns0:c r="B355" t="str" s="10">
        <ns0:v>Резистор</ns0:v>
      </ns0:c>
      <ns0:c r="C355" t="str" s="10">
        <ns0:v>360R</ns0:v>
      </ns0:c>
      <ns0:c r="D355" t="str" s="11">
        <ns0:f>SUBSTITUTE(SUBSTITUTE(SUBSTITUTE(SUBSTITUTE(C355,"meg"," МОм"),"k"," кОм"),"R"," Ом"),".",",")</ns0:f>
        <ns0:v>360 Ом</ns0:v>
      </ns0:c>
      <ns0:c r="E355" t="str" s="10">
        <ns0:v>±1%</ns0:v>
      </ns0:c>
      <ns0:c r="F355" t="str" s="10">
        <ns0:v>0,1 Вт</ns0:v>
      </ns0:c>
      <ns0:c r="G355" t="str" s="10">
        <ns0:v>75 В макс.</ns0:v>
      </ns0:c>
      <ns0:c r="H355" t="str" s="12">
        <ns0:v>0603</ns0:v>
      </ns0:c>
      <ns0:c r="I355" t="str" s="10">
        <ns0:v>YAGEO</ns0:v>
      </ns0:c>
      <ns0:c r="J355" t="str" s="10">
        <ns0:v>RC0603FR-07360RL</ns0:v>
      </ns0:c>
      <ns0:c r="K355" t="str" s="11">
        <ns0:f>B355&amp;" "&amp;D355&amp;" "&amp;E355&amp;" "&amp;H355</ns0:f>
        <ns0:v>Резистор 360 Ом ±1% 0603</ns0:v>
      </ns0:c>
      <ns0:c r="L355" t="str" s="13">
        <ns0:v>R</ns0:v>
      </ns0:c>
      <ns0:c r="M355" t="str" s="13">
        <ns0:v>Symbols\MY_LIB_Resistors.SchLib</ns0:v>
      </ns0:c>
      <ns0:c r="N355" t="str" s="13">
        <ns0:v>RESC1608X55N</ns0:v>
      </ns0:c>
      <ns0:c r="O355" t="str" s="13">
        <ns0:v>Footprints\PBL - SMD Packages.PcbLib</ns0:v>
      </ns0:c>
      <ns0:c xmlns:ns0="http://schemas.openxmlformats.org/spreadsheetml/2006/main" r="P35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5" s="10"/>
      <ns0:c r="R355" t="str" s="11">
        <ns0:f>D355</ns0:f>
        <ns0:v>360 Ом</ns0:v>
      </ns0:c>
      <ns0:c r="S355" t="str" s="11">
        <ns0:f>K355</ns0:f>
        <ns0:v>Резистор 360 Ом ±1% 0603</ns0:v>
      </ns0:c>
      <x:c xmlns:x="http://schemas.openxmlformats.org/spreadsheetml/2006/main" r="T355" t="str" s="11">
        <x:v>C:\Users\Nomatin\Documents\Altium\MY_LIB\MY_LIB\Datasheets\YAGEO_RC_L.pdf</x:v>
      </x:c>
      <x:c xmlns:x="http://schemas.openxmlformats.org/spreadsheetml/2006/main" r="U355" t="str" s="11">
        <x:v>Даташит — локальный</x:v>
      </x:c>
      <x:c xmlns:x="http://schemas.openxmlformats.org/spreadsheetml/2006/main" r="V355" t="str" s="11">
        <x:v>C:\Users\Nomatin\Documents\Altium\MY_LIB\MY_LIB\Datasheets\YAGEO_RC_L.pdf</x:v>
      </x:c>
      <x:c xmlns:x="http://schemas.openxmlformats.org/spreadsheetml/2006/main" r="W355" t="str" s="11">
        <x:v>Даташит — производитель</x:v>
      </x:c>
      <x:c xmlns:x="http://schemas.openxmlformats.org/spreadsheetml/2006/main" r="X355" t="str" s="11">
        <x:v>https://yageogroup.com/content/datasheet/asset/file/PYU-RC_GROUP_51_ROHS_L</x:v>
      </x:c>
      <x:c xmlns:x="http://schemas.openxmlformats.org/spreadsheetml/2006/main" r="Y355" t="str" s="11">
        <x:v>C:\Users\Nomatin\Documents\Altium\MY_LIB\MY_LIB\Datasheets\YAGEO_RC_L.pdf</x:v>
      </x:c>
      <ns0:c xmlns:ns0="http://schemas.openxmlformats.org/spreadsheetml/2006/main" r="Z355" s="16" t="inlineStr">
        <ns0:is>
          <ns0:t>MY_LIB_R_TCR</ns0:t>
        </ns0:is>
      </ns0:c>
      <ns0:c xmlns:ns0="http://schemas.openxmlformats.org/spreadsheetml/2006/main" r="AA355" s="16" t="inlineStr">
        <ns0:is>
          <ns0:t>R(T), +100 ppm/C at 25 C; positive datasheet limit</ns0:t>
        </ns0:is>
      </ns0:c>
      <ns0:c xmlns:ns0="http://schemas.openxmlformats.org/spreadsheetml/2006/main" r="AB355" s="16" t="str">
        <ns0:v>General</ns0:v>
      </ns0:c>
      <ns0:c xmlns:ns0="http://schemas.openxmlformats.org/spreadsheetml/2006/main" r="AC355" s="16" t="inlineStr">
        <ns0:is>
          <ns0:t>Spice Subcircuit</ns0:t>
        </ns0:is>
      </ns0:c>
      <ns0:c xmlns:ns0="http://schemas.openxmlformats.org/spreadsheetml/2006/main" r="AD355" s="16" t="inlineStr">
        <ns0:is>
          <ns0:t>@DESIGNATOR %1 %2 @MODEL PARAMS: Rvalue=@VALUE TC1value=100u</ns0:t>
        </ns0:is>
      </ns0:c>
      <ns0:c xmlns:ns0="http://schemas.openxmlformats.org/spreadsheetml/2006/main" r="AE355" s="16" t="inlineStr">
        <ns0:is>
          <ns0:t>X</ns0:t>
        </ns0:is>
      </ns0:c>
      <ns0:c xmlns:ns0="http://schemas.openxmlformats.org/spreadsheetml/2006/main" r="AF355" s="16" t="str">
        <ns0:v>(1:1),(2:2)</ns0:v>
      </ns0:c>
      <ns0:c xmlns:ns0="http://schemas.openxmlformats.org/spreadsheetml/2006/main" r="AG355" s="16" t="inlineStr">
        <ns0:is>
          <ns0:t>Simulation\Resistors\MY_LIB_R_TCR.ckt</ns0:t>
        </ns0:is>
      </ns0:c>
      <ns0:c xmlns:ns0="http://schemas.openxmlformats.org/spreadsheetml/2006/main" r="AH355" s="16" t="inlineStr">
        <ns0:is>
          <ns0:t>±100 ppm/°C</ns0:t>
        </ns0:is>
      </ns0:c>
    </ns0:row>
    <ns0:row xmlns:ns0="http://schemas.openxmlformats.org/spreadsheetml/2006/main" r="356" ht="30" customHeight="1">
      <ns0:c r="A356" t="str" s="10">
        <ns0:v>R0362</ns0:v>
      </ns0:c>
      <ns0:c r="B356" t="str" s="10">
        <ns0:v>Резистор</ns0:v>
      </ns0:c>
      <ns0:c r="C356" t="str" s="10">
        <ns0:v>390R</ns0:v>
      </ns0:c>
      <ns0:c r="D356" t="str" s="11">
        <ns0:f>SUBSTITUTE(SUBSTITUTE(SUBSTITUTE(SUBSTITUTE(C356,"meg"," МОм"),"k"," кОм"),"R"," Ом"),".",",")</ns0:f>
        <ns0:v>390 Ом</ns0:v>
      </ns0:c>
      <ns0:c r="E356" t="str" s="10">
        <ns0:v>±1%</ns0:v>
      </ns0:c>
      <ns0:c r="F356" t="str" s="10">
        <ns0:v>0,1 Вт</ns0:v>
      </ns0:c>
      <ns0:c r="G356" t="str" s="10">
        <ns0:v>75 В макс.</ns0:v>
      </ns0:c>
      <ns0:c r="H356" t="str" s="12">
        <ns0:v>0603</ns0:v>
      </ns0:c>
      <ns0:c r="I356" t="str" s="10">
        <ns0:v>YAGEO</ns0:v>
      </ns0:c>
      <ns0:c r="J356" t="str" s="10">
        <ns0:v>RC0603FR-07390RL</ns0:v>
      </ns0:c>
      <ns0:c r="K356" t="str" s="11">
        <ns0:f>B356&amp;" "&amp;D356&amp;" "&amp;E356&amp;" "&amp;H356</ns0:f>
        <ns0:v>Резистор 390 Ом ±1% 0603</ns0:v>
      </ns0:c>
      <ns0:c r="L356" t="str" s="13">
        <ns0:v>R</ns0:v>
      </ns0:c>
      <ns0:c r="M356" t="str" s="13">
        <ns0:v>Symbols\MY_LIB_Resistors.SchLib</ns0:v>
      </ns0:c>
      <ns0:c r="N356" t="str" s="13">
        <ns0:v>RESC1608X55N</ns0:v>
      </ns0:c>
      <ns0:c r="O356" t="str" s="13">
        <ns0:v>Footprints\PBL - SMD Packages.PcbLib</ns0:v>
      </ns0:c>
      <ns0:c xmlns:ns0="http://schemas.openxmlformats.org/spreadsheetml/2006/main" r="P35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6" s="10"/>
      <ns0:c r="R356" t="str" s="11">
        <ns0:f>D356</ns0:f>
        <ns0:v>390 Ом</ns0:v>
      </ns0:c>
      <ns0:c r="S356" t="str" s="11">
        <ns0:f>K356</ns0:f>
        <ns0:v>Резистор 390 Ом ±1% 0603</ns0:v>
      </ns0:c>
      <x:c xmlns:x="http://schemas.openxmlformats.org/spreadsheetml/2006/main" r="T356" t="str" s="11">
        <x:v>C:\Users\Nomatin\Documents\Altium\MY_LIB\MY_LIB\Datasheets\YAGEO_RC_L.pdf</x:v>
      </x:c>
      <x:c xmlns:x="http://schemas.openxmlformats.org/spreadsheetml/2006/main" r="U356" t="str" s="11">
        <x:v>Даташит — локальный</x:v>
      </x:c>
      <x:c xmlns:x="http://schemas.openxmlformats.org/spreadsheetml/2006/main" r="V356" t="str" s="11">
        <x:v>C:\Users\Nomatin\Documents\Altium\MY_LIB\MY_LIB\Datasheets\YAGEO_RC_L.pdf</x:v>
      </x:c>
      <x:c xmlns:x="http://schemas.openxmlformats.org/spreadsheetml/2006/main" r="W356" t="str" s="11">
        <x:v>Даташит — производитель</x:v>
      </x:c>
      <x:c xmlns:x="http://schemas.openxmlformats.org/spreadsheetml/2006/main" r="X356" t="str" s="11">
        <x:v>https://yageogroup.com/content/datasheet/asset/file/PYU-RC_GROUP_51_ROHS_L</x:v>
      </x:c>
      <x:c xmlns:x="http://schemas.openxmlformats.org/spreadsheetml/2006/main" r="Y356" t="str" s="11">
        <x:v>C:\Users\Nomatin\Documents\Altium\MY_LIB\MY_LIB\Datasheets\YAGEO_RC_L.pdf</x:v>
      </x:c>
      <ns0:c xmlns:ns0="http://schemas.openxmlformats.org/spreadsheetml/2006/main" r="Z356" s="16" t="inlineStr">
        <ns0:is>
          <ns0:t>MY_LIB_R_TCR</ns0:t>
        </ns0:is>
      </ns0:c>
      <ns0:c xmlns:ns0="http://schemas.openxmlformats.org/spreadsheetml/2006/main" r="AA356" s="16" t="inlineStr">
        <ns0:is>
          <ns0:t>R(T), +100 ppm/C at 25 C; positive datasheet limit</ns0:t>
        </ns0:is>
      </ns0:c>
      <ns0:c xmlns:ns0="http://schemas.openxmlformats.org/spreadsheetml/2006/main" r="AB356" s="16" t="str">
        <ns0:v>General</ns0:v>
      </ns0:c>
      <ns0:c xmlns:ns0="http://schemas.openxmlformats.org/spreadsheetml/2006/main" r="AC356" s="16" t="inlineStr">
        <ns0:is>
          <ns0:t>Spice Subcircuit</ns0:t>
        </ns0:is>
      </ns0:c>
      <ns0:c xmlns:ns0="http://schemas.openxmlformats.org/spreadsheetml/2006/main" r="AD356" s="16" t="inlineStr">
        <ns0:is>
          <ns0:t>@DESIGNATOR %1 %2 @MODEL PARAMS: Rvalue=@VALUE TC1value=100u</ns0:t>
        </ns0:is>
      </ns0:c>
      <ns0:c xmlns:ns0="http://schemas.openxmlformats.org/spreadsheetml/2006/main" r="AE356" s="16" t="inlineStr">
        <ns0:is>
          <ns0:t>X</ns0:t>
        </ns0:is>
      </ns0:c>
      <ns0:c xmlns:ns0="http://schemas.openxmlformats.org/spreadsheetml/2006/main" r="AF356" s="16" t="str">
        <ns0:v>(1:1),(2:2)</ns0:v>
      </ns0:c>
      <ns0:c xmlns:ns0="http://schemas.openxmlformats.org/spreadsheetml/2006/main" r="AG356" s="16" t="inlineStr">
        <ns0:is>
          <ns0:t>Simulation\Resistors\MY_LIB_R_TCR.ckt</ns0:t>
        </ns0:is>
      </ns0:c>
      <ns0:c xmlns:ns0="http://schemas.openxmlformats.org/spreadsheetml/2006/main" r="AH356" s="16" t="inlineStr">
        <ns0:is>
          <ns0:t>±100 ppm/°C</ns0:t>
        </ns0:is>
      </ns0:c>
    </ns0:row>
    <ns0:row xmlns:ns0="http://schemas.openxmlformats.org/spreadsheetml/2006/main" r="357" ht="30" customHeight="1">
      <ns0:c r="A357" t="str" s="10">
        <ns0:v>R0363</ns0:v>
      </ns0:c>
      <ns0:c r="B357" t="str" s="10">
        <ns0:v>Резистор</ns0:v>
      </ns0:c>
      <ns0:c r="C357" t="str" s="10">
        <ns0:v>430R</ns0:v>
      </ns0:c>
      <ns0:c r="D357" t="str" s="11">
        <ns0:f>SUBSTITUTE(SUBSTITUTE(SUBSTITUTE(SUBSTITUTE(C357,"meg"," МОм"),"k"," кОм"),"R"," Ом"),".",",")</ns0:f>
        <ns0:v>430 Ом</ns0:v>
      </ns0:c>
      <ns0:c r="E357" t="str" s="10">
        <ns0:v>±1%</ns0:v>
      </ns0:c>
      <ns0:c r="F357" t="str" s="10">
        <ns0:v>0,1 Вт</ns0:v>
      </ns0:c>
      <ns0:c r="G357" t="str" s="10">
        <ns0:v>75 В макс.</ns0:v>
      </ns0:c>
      <ns0:c r="H357" t="str" s="12">
        <ns0:v>0603</ns0:v>
      </ns0:c>
      <ns0:c r="I357" t="str" s="10">
        <ns0:v>YAGEO</ns0:v>
      </ns0:c>
      <ns0:c r="J357" t="str" s="10">
        <ns0:v>RC0603FR-07430RL</ns0:v>
      </ns0:c>
      <ns0:c r="K357" t="str" s="11">
        <ns0:f>B357&amp;" "&amp;D357&amp;" "&amp;E357&amp;" "&amp;H357</ns0:f>
        <ns0:v>Резистор 430 Ом ±1% 0603</ns0:v>
      </ns0:c>
      <ns0:c r="L357" t="str" s="13">
        <ns0:v>R</ns0:v>
      </ns0:c>
      <ns0:c r="M357" t="str" s="13">
        <ns0:v>Symbols\MY_LIB_Resistors.SchLib</ns0:v>
      </ns0:c>
      <ns0:c r="N357" t="str" s="13">
        <ns0:v>RESC1608X55N</ns0:v>
      </ns0:c>
      <ns0:c r="O357" t="str" s="13">
        <ns0:v>Footprints\PBL - SMD Packages.PcbLib</ns0:v>
      </ns0:c>
      <ns0:c xmlns:ns0="http://schemas.openxmlformats.org/spreadsheetml/2006/main" r="P35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7" s="10"/>
      <ns0:c r="R357" t="str" s="11">
        <ns0:f>D357</ns0:f>
        <ns0:v>430 Ом</ns0:v>
      </ns0:c>
      <ns0:c r="S357" t="str" s="11">
        <ns0:f>K357</ns0:f>
        <ns0:v>Резистор 430 Ом ±1% 0603</ns0:v>
      </ns0:c>
      <x:c xmlns:x="http://schemas.openxmlformats.org/spreadsheetml/2006/main" r="T357" t="str" s="11">
        <x:v>C:\Users\Nomatin\Documents\Altium\MY_LIB\MY_LIB\Datasheets\YAGEO_RC_L.pdf</x:v>
      </x:c>
      <x:c xmlns:x="http://schemas.openxmlformats.org/spreadsheetml/2006/main" r="U357" t="str" s="11">
        <x:v>Даташит — локальный</x:v>
      </x:c>
      <x:c xmlns:x="http://schemas.openxmlformats.org/spreadsheetml/2006/main" r="V357" t="str" s="11">
        <x:v>C:\Users\Nomatin\Documents\Altium\MY_LIB\MY_LIB\Datasheets\YAGEO_RC_L.pdf</x:v>
      </x:c>
      <x:c xmlns:x="http://schemas.openxmlformats.org/spreadsheetml/2006/main" r="W357" t="str" s="11">
        <x:v>Даташит — производитель</x:v>
      </x:c>
      <x:c xmlns:x="http://schemas.openxmlformats.org/spreadsheetml/2006/main" r="X357" t="str" s="11">
        <x:v>https://yageogroup.com/content/datasheet/asset/file/PYU-RC_GROUP_51_ROHS_L</x:v>
      </x:c>
      <x:c xmlns:x="http://schemas.openxmlformats.org/spreadsheetml/2006/main" r="Y357" t="str" s="11">
        <x:v>C:\Users\Nomatin\Documents\Altium\MY_LIB\MY_LIB\Datasheets\YAGEO_RC_L.pdf</x:v>
      </x:c>
      <ns0:c xmlns:ns0="http://schemas.openxmlformats.org/spreadsheetml/2006/main" r="Z357" s="16" t="inlineStr">
        <ns0:is>
          <ns0:t>MY_LIB_R_TCR</ns0:t>
        </ns0:is>
      </ns0:c>
      <ns0:c xmlns:ns0="http://schemas.openxmlformats.org/spreadsheetml/2006/main" r="AA357" s="16" t="inlineStr">
        <ns0:is>
          <ns0:t>R(T), +100 ppm/C at 25 C; positive datasheet limit</ns0:t>
        </ns0:is>
      </ns0:c>
      <ns0:c xmlns:ns0="http://schemas.openxmlformats.org/spreadsheetml/2006/main" r="AB357" s="16" t="str">
        <ns0:v>General</ns0:v>
      </ns0:c>
      <ns0:c xmlns:ns0="http://schemas.openxmlformats.org/spreadsheetml/2006/main" r="AC357" s="16" t="inlineStr">
        <ns0:is>
          <ns0:t>Spice Subcircuit</ns0:t>
        </ns0:is>
      </ns0:c>
      <ns0:c xmlns:ns0="http://schemas.openxmlformats.org/spreadsheetml/2006/main" r="AD357" s="16" t="inlineStr">
        <ns0:is>
          <ns0:t>@DESIGNATOR %1 %2 @MODEL PARAMS: Rvalue=@VALUE TC1value=100u</ns0:t>
        </ns0:is>
      </ns0:c>
      <ns0:c xmlns:ns0="http://schemas.openxmlformats.org/spreadsheetml/2006/main" r="AE357" s="16" t="inlineStr">
        <ns0:is>
          <ns0:t>X</ns0:t>
        </ns0:is>
      </ns0:c>
      <ns0:c xmlns:ns0="http://schemas.openxmlformats.org/spreadsheetml/2006/main" r="AF357" s="16" t="str">
        <ns0:v>(1:1),(2:2)</ns0:v>
      </ns0:c>
      <ns0:c xmlns:ns0="http://schemas.openxmlformats.org/spreadsheetml/2006/main" r="AG357" s="16" t="inlineStr">
        <ns0:is>
          <ns0:t>Simulation\Resistors\MY_LIB_R_TCR.ckt</ns0:t>
        </ns0:is>
      </ns0:c>
      <ns0:c xmlns:ns0="http://schemas.openxmlformats.org/spreadsheetml/2006/main" r="AH357" s="16" t="inlineStr">
        <ns0:is>
          <ns0:t>±100 ppm/°C</ns0:t>
        </ns0:is>
      </ns0:c>
    </ns0:row>
    <ns0:row xmlns:ns0="http://schemas.openxmlformats.org/spreadsheetml/2006/main" r="358" ht="30" customHeight="1">
      <ns0:c r="A358" t="str" s="10">
        <ns0:v>R0364</ns0:v>
      </ns0:c>
      <ns0:c r="B358" t="str" s="10">
        <ns0:v>Резистор</ns0:v>
      </ns0:c>
      <ns0:c r="C358" t="str" s="10">
        <ns0:v>470R</ns0:v>
      </ns0:c>
      <ns0:c r="D358" t="str" s="11">
        <ns0:f>SUBSTITUTE(SUBSTITUTE(SUBSTITUTE(SUBSTITUTE(C358,"meg"," МОм"),"k"," кОм"),"R"," Ом"),".",",")</ns0:f>
        <ns0:v>470 Ом</ns0:v>
      </ns0:c>
      <ns0:c r="E358" t="str" s="10">
        <ns0:v>±1%</ns0:v>
      </ns0:c>
      <ns0:c r="F358" t="str" s="10">
        <ns0:v>0,1 Вт</ns0:v>
      </ns0:c>
      <ns0:c r="G358" t="str" s="10">
        <ns0:v>75 В макс.</ns0:v>
      </ns0:c>
      <ns0:c r="H358" t="str" s="12">
        <ns0:v>0603</ns0:v>
      </ns0:c>
      <ns0:c r="I358" t="str" s="10">
        <ns0:v>YAGEO</ns0:v>
      </ns0:c>
      <ns0:c r="J358" t="str" s="10">
        <ns0:v>RC0603FR-07470RL</ns0:v>
      </ns0:c>
      <ns0:c r="K358" t="str" s="11">
        <ns0:f>B358&amp;" "&amp;D358&amp;" "&amp;E358&amp;" "&amp;H358</ns0:f>
        <ns0:v>Резистор 470 Ом ±1% 0603</ns0:v>
      </ns0:c>
      <ns0:c r="L358" t="str" s="13">
        <ns0:v>R</ns0:v>
      </ns0:c>
      <ns0:c r="M358" t="str" s="13">
        <ns0:v>Symbols\MY_LIB_Resistors.SchLib</ns0:v>
      </ns0:c>
      <ns0:c r="N358" t="str" s="13">
        <ns0:v>RESC1608X55N</ns0:v>
      </ns0:c>
      <ns0:c r="O358" t="str" s="13">
        <ns0:v>Footprints\PBL - SMD Packages.PcbLib</ns0:v>
      </ns0:c>
      <ns0:c xmlns:ns0="http://schemas.openxmlformats.org/spreadsheetml/2006/main" r="P35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8" s="10"/>
      <ns0:c r="R358" t="str" s="11">
        <ns0:f>D358</ns0:f>
        <ns0:v>470 Ом</ns0:v>
      </ns0:c>
      <ns0:c r="S358" t="str" s="11">
        <ns0:f>K358</ns0:f>
        <ns0:v>Резистор 470 Ом ±1% 0603</ns0:v>
      </ns0:c>
      <x:c xmlns:x="http://schemas.openxmlformats.org/spreadsheetml/2006/main" r="T358" t="str" s="11">
        <x:v>C:\Users\Nomatin\Documents\Altium\MY_LIB\MY_LIB\Datasheets\YAGEO_RC_L.pdf</x:v>
      </x:c>
      <x:c xmlns:x="http://schemas.openxmlformats.org/spreadsheetml/2006/main" r="U358" t="str" s="11">
        <x:v>Даташит — локальный</x:v>
      </x:c>
      <x:c xmlns:x="http://schemas.openxmlformats.org/spreadsheetml/2006/main" r="V358" t="str" s="11">
        <x:v>C:\Users\Nomatin\Documents\Altium\MY_LIB\MY_LIB\Datasheets\YAGEO_RC_L.pdf</x:v>
      </x:c>
      <x:c xmlns:x="http://schemas.openxmlformats.org/spreadsheetml/2006/main" r="W358" t="str" s="11">
        <x:v>Даташит — производитель</x:v>
      </x:c>
      <x:c xmlns:x="http://schemas.openxmlformats.org/spreadsheetml/2006/main" r="X358" t="str" s="11">
        <x:v>https://yageogroup.com/content/datasheet/asset/file/PYU-RC_GROUP_51_ROHS_L</x:v>
      </x:c>
      <x:c xmlns:x="http://schemas.openxmlformats.org/spreadsheetml/2006/main" r="Y358" t="str" s="11">
        <x:v>C:\Users\Nomatin\Documents\Altium\MY_LIB\MY_LIB\Datasheets\YAGEO_RC_L.pdf</x:v>
      </x:c>
      <ns0:c xmlns:ns0="http://schemas.openxmlformats.org/spreadsheetml/2006/main" r="Z358" s="16" t="inlineStr">
        <ns0:is>
          <ns0:t>MY_LIB_R_TCR</ns0:t>
        </ns0:is>
      </ns0:c>
      <ns0:c xmlns:ns0="http://schemas.openxmlformats.org/spreadsheetml/2006/main" r="AA358" s="16" t="inlineStr">
        <ns0:is>
          <ns0:t>R(T), +100 ppm/C at 25 C; positive datasheet limit</ns0:t>
        </ns0:is>
      </ns0:c>
      <ns0:c xmlns:ns0="http://schemas.openxmlformats.org/spreadsheetml/2006/main" r="AB358" s="16" t="str">
        <ns0:v>General</ns0:v>
      </ns0:c>
      <ns0:c xmlns:ns0="http://schemas.openxmlformats.org/spreadsheetml/2006/main" r="AC358" s="16" t="inlineStr">
        <ns0:is>
          <ns0:t>Spice Subcircuit</ns0:t>
        </ns0:is>
      </ns0:c>
      <ns0:c xmlns:ns0="http://schemas.openxmlformats.org/spreadsheetml/2006/main" r="AD358" s="16" t="inlineStr">
        <ns0:is>
          <ns0:t>@DESIGNATOR %1 %2 @MODEL PARAMS: Rvalue=@VALUE TC1value=100u</ns0:t>
        </ns0:is>
      </ns0:c>
      <ns0:c xmlns:ns0="http://schemas.openxmlformats.org/spreadsheetml/2006/main" r="AE358" s="16" t="inlineStr">
        <ns0:is>
          <ns0:t>X</ns0:t>
        </ns0:is>
      </ns0:c>
      <ns0:c xmlns:ns0="http://schemas.openxmlformats.org/spreadsheetml/2006/main" r="AF358" s="16" t="str">
        <ns0:v>(1:1),(2:2)</ns0:v>
      </ns0:c>
      <ns0:c xmlns:ns0="http://schemas.openxmlformats.org/spreadsheetml/2006/main" r="AG358" s="16" t="inlineStr">
        <ns0:is>
          <ns0:t>Simulation\Resistors\MY_LIB_R_TCR.ckt</ns0:t>
        </ns0:is>
      </ns0:c>
      <ns0:c xmlns:ns0="http://schemas.openxmlformats.org/spreadsheetml/2006/main" r="AH358" s="16" t="inlineStr">
        <ns0:is>
          <ns0:t>±100 ppm/°C</ns0:t>
        </ns0:is>
      </ns0:c>
    </ns0:row>
    <ns0:row xmlns:ns0="http://schemas.openxmlformats.org/spreadsheetml/2006/main" r="359" ht="30" customHeight="1">
      <ns0:c r="A359" t="str" s="10">
        <ns0:v>R0365</ns0:v>
      </ns0:c>
      <ns0:c r="B359" t="str" s="10">
        <ns0:v>Резистор</ns0:v>
      </ns0:c>
      <ns0:c r="C359" t="str" s="10">
        <ns0:v>510R</ns0:v>
      </ns0:c>
      <ns0:c r="D359" t="str" s="11">
        <ns0:f>SUBSTITUTE(SUBSTITUTE(SUBSTITUTE(SUBSTITUTE(C359,"meg"," МОм"),"k"," кОм"),"R"," Ом"),".",",")</ns0:f>
        <ns0:v>510 Ом</ns0:v>
      </ns0:c>
      <ns0:c r="E359" t="str" s="10">
        <ns0:v>±1%</ns0:v>
      </ns0:c>
      <ns0:c r="F359" t="str" s="10">
        <ns0:v>0,1 Вт</ns0:v>
      </ns0:c>
      <ns0:c r="G359" t="str" s="10">
        <ns0:v>75 В макс.</ns0:v>
      </ns0:c>
      <ns0:c r="H359" t="str" s="12">
        <ns0:v>0603</ns0:v>
      </ns0:c>
      <ns0:c r="I359" t="str" s="10">
        <ns0:v>YAGEO</ns0:v>
      </ns0:c>
      <ns0:c r="J359" t="str" s="10">
        <ns0:v>RC0603FR-07510RL</ns0:v>
      </ns0:c>
      <ns0:c r="K359" t="str" s="11">
        <ns0:f>B359&amp;" "&amp;D359&amp;" "&amp;E359&amp;" "&amp;H359</ns0:f>
        <ns0:v>Резистор 510 Ом ±1% 0603</ns0:v>
      </ns0:c>
      <ns0:c r="L359" t="str" s="13">
        <ns0:v>R</ns0:v>
      </ns0:c>
      <ns0:c r="M359" t="str" s="13">
        <ns0:v>Symbols\MY_LIB_Resistors.SchLib</ns0:v>
      </ns0:c>
      <ns0:c r="N359" t="str" s="13">
        <ns0:v>RESC1608X55N</ns0:v>
      </ns0:c>
      <ns0:c r="O359" t="str" s="13">
        <ns0:v>Footprints\PBL - SMD Packages.PcbLib</ns0:v>
      </ns0:c>
      <ns0:c xmlns:ns0="http://schemas.openxmlformats.org/spreadsheetml/2006/main" r="P35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59" s="10"/>
      <ns0:c r="R359" t="str" s="11">
        <ns0:f>D359</ns0:f>
        <ns0:v>510 Ом</ns0:v>
      </ns0:c>
      <ns0:c r="S359" t="str" s="11">
        <ns0:f>K359</ns0:f>
        <ns0:v>Резистор 510 Ом ±1% 0603</ns0:v>
      </ns0:c>
      <x:c xmlns:x="http://schemas.openxmlformats.org/spreadsheetml/2006/main" r="T359" t="str" s="11">
        <x:v>C:\Users\Nomatin\Documents\Altium\MY_LIB\MY_LIB\Datasheets\YAGEO_RC_L.pdf</x:v>
      </x:c>
      <x:c xmlns:x="http://schemas.openxmlformats.org/spreadsheetml/2006/main" r="U359" t="str" s="11">
        <x:v>Даташит — локальный</x:v>
      </x:c>
      <x:c xmlns:x="http://schemas.openxmlformats.org/spreadsheetml/2006/main" r="V359" t="str" s="11">
        <x:v>C:\Users\Nomatin\Documents\Altium\MY_LIB\MY_LIB\Datasheets\YAGEO_RC_L.pdf</x:v>
      </x:c>
      <x:c xmlns:x="http://schemas.openxmlformats.org/spreadsheetml/2006/main" r="W359" t="str" s="11">
        <x:v>Даташит — производитель</x:v>
      </x:c>
      <x:c xmlns:x="http://schemas.openxmlformats.org/spreadsheetml/2006/main" r="X359" t="str" s="11">
        <x:v>https://yageogroup.com/content/datasheet/asset/file/PYU-RC_GROUP_51_ROHS_L</x:v>
      </x:c>
      <x:c xmlns:x="http://schemas.openxmlformats.org/spreadsheetml/2006/main" r="Y359" t="str" s="11">
        <x:v>C:\Users\Nomatin\Documents\Altium\MY_LIB\MY_LIB\Datasheets\YAGEO_RC_L.pdf</x:v>
      </x:c>
      <ns0:c xmlns:ns0="http://schemas.openxmlformats.org/spreadsheetml/2006/main" r="Z359" s="16" t="inlineStr">
        <ns0:is>
          <ns0:t>MY_LIB_R_TCR</ns0:t>
        </ns0:is>
      </ns0:c>
      <ns0:c xmlns:ns0="http://schemas.openxmlformats.org/spreadsheetml/2006/main" r="AA359" s="16" t="inlineStr">
        <ns0:is>
          <ns0:t>R(T), +100 ppm/C at 25 C; positive datasheet limit</ns0:t>
        </ns0:is>
      </ns0:c>
      <ns0:c xmlns:ns0="http://schemas.openxmlformats.org/spreadsheetml/2006/main" r="AB359" s="16" t="str">
        <ns0:v>General</ns0:v>
      </ns0:c>
      <ns0:c xmlns:ns0="http://schemas.openxmlformats.org/spreadsheetml/2006/main" r="AC359" s="16" t="inlineStr">
        <ns0:is>
          <ns0:t>Spice Subcircuit</ns0:t>
        </ns0:is>
      </ns0:c>
      <ns0:c xmlns:ns0="http://schemas.openxmlformats.org/spreadsheetml/2006/main" r="AD359" s="16" t="inlineStr">
        <ns0:is>
          <ns0:t>@DESIGNATOR %1 %2 @MODEL PARAMS: Rvalue=@VALUE TC1value=100u</ns0:t>
        </ns0:is>
      </ns0:c>
      <ns0:c xmlns:ns0="http://schemas.openxmlformats.org/spreadsheetml/2006/main" r="AE359" s="16" t="inlineStr">
        <ns0:is>
          <ns0:t>X</ns0:t>
        </ns0:is>
      </ns0:c>
      <ns0:c xmlns:ns0="http://schemas.openxmlformats.org/spreadsheetml/2006/main" r="AF359" s="16" t="str">
        <ns0:v>(1:1),(2:2)</ns0:v>
      </ns0:c>
      <ns0:c xmlns:ns0="http://schemas.openxmlformats.org/spreadsheetml/2006/main" r="AG359" s="16" t="inlineStr">
        <ns0:is>
          <ns0:t>Simulation\Resistors\MY_LIB_R_TCR.ckt</ns0:t>
        </ns0:is>
      </ns0:c>
      <ns0:c xmlns:ns0="http://schemas.openxmlformats.org/spreadsheetml/2006/main" r="AH359" s="16" t="inlineStr">
        <ns0:is>
          <ns0:t>±100 ppm/°C</ns0:t>
        </ns0:is>
      </ns0:c>
    </ns0:row>
    <ns0:row xmlns:ns0="http://schemas.openxmlformats.org/spreadsheetml/2006/main" r="360" ht="30" customHeight="1">
      <ns0:c r="A360" t="str" s="10">
        <ns0:v>R0366</ns0:v>
      </ns0:c>
      <ns0:c r="B360" t="str" s="10">
        <ns0:v>Резистор</ns0:v>
      </ns0:c>
      <ns0:c r="C360" t="str" s="10">
        <ns0:v>560R</ns0:v>
      </ns0:c>
      <ns0:c r="D360" t="str" s="11">
        <ns0:f>SUBSTITUTE(SUBSTITUTE(SUBSTITUTE(SUBSTITUTE(C360,"meg"," МОм"),"k"," кОм"),"R"," Ом"),".",",")</ns0:f>
        <ns0:v>560 Ом</ns0:v>
      </ns0:c>
      <ns0:c r="E360" t="str" s="10">
        <ns0:v>±1%</ns0:v>
      </ns0:c>
      <ns0:c r="F360" t="str" s="10">
        <ns0:v>0,1 Вт</ns0:v>
      </ns0:c>
      <ns0:c r="G360" t="str" s="10">
        <ns0:v>75 В макс.</ns0:v>
      </ns0:c>
      <ns0:c r="H360" t="str" s="12">
        <ns0:v>0603</ns0:v>
      </ns0:c>
      <ns0:c r="I360" t="str" s="10">
        <ns0:v>YAGEO</ns0:v>
      </ns0:c>
      <ns0:c r="J360" t="str" s="10">
        <ns0:v>RC0603FR-07560RL</ns0:v>
      </ns0:c>
      <ns0:c r="K360" t="str" s="11">
        <ns0:f>B360&amp;" "&amp;D360&amp;" "&amp;E360&amp;" "&amp;H360</ns0:f>
        <ns0:v>Резистор 560 Ом ±1% 0603</ns0:v>
      </ns0:c>
      <ns0:c r="L360" t="str" s="13">
        <ns0:v>R</ns0:v>
      </ns0:c>
      <ns0:c r="M360" t="str" s="13">
        <ns0:v>Symbols\MY_LIB_Resistors.SchLib</ns0:v>
      </ns0:c>
      <ns0:c r="N360" t="str" s="13">
        <ns0:v>RESC1608X55N</ns0:v>
      </ns0:c>
      <ns0:c r="O360" t="str" s="13">
        <ns0:v>Footprints\PBL - SMD Packages.PcbLib</ns0:v>
      </ns0:c>
      <ns0:c xmlns:ns0="http://schemas.openxmlformats.org/spreadsheetml/2006/main" r="P36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0" s="10"/>
      <ns0:c r="R360" t="str" s="11">
        <ns0:f>D360</ns0:f>
        <ns0:v>560 Ом</ns0:v>
      </ns0:c>
      <ns0:c r="S360" t="str" s="11">
        <ns0:f>K360</ns0:f>
        <ns0:v>Резистор 560 Ом ±1% 0603</ns0:v>
      </ns0:c>
      <x:c xmlns:x="http://schemas.openxmlformats.org/spreadsheetml/2006/main" r="T360" t="str" s="11">
        <x:v>C:\Users\Nomatin\Documents\Altium\MY_LIB\MY_LIB\Datasheets\YAGEO_RC_L.pdf</x:v>
      </x:c>
      <x:c xmlns:x="http://schemas.openxmlformats.org/spreadsheetml/2006/main" r="U360" t="str" s="11">
        <x:v>Даташит — локальный</x:v>
      </x:c>
      <x:c xmlns:x="http://schemas.openxmlformats.org/spreadsheetml/2006/main" r="V360" t="str" s="11">
        <x:v>C:\Users\Nomatin\Documents\Altium\MY_LIB\MY_LIB\Datasheets\YAGEO_RC_L.pdf</x:v>
      </x:c>
      <x:c xmlns:x="http://schemas.openxmlformats.org/spreadsheetml/2006/main" r="W360" t="str" s="11">
        <x:v>Даташит — производитель</x:v>
      </x:c>
      <x:c xmlns:x="http://schemas.openxmlformats.org/spreadsheetml/2006/main" r="X360" t="str" s="11">
        <x:v>https://yageogroup.com/content/datasheet/asset/file/PYU-RC_GROUP_51_ROHS_L</x:v>
      </x:c>
      <x:c xmlns:x="http://schemas.openxmlformats.org/spreadsheetml/2006/main" r="Y360" t="str" s="11">
        <x:v>C:\Users\Nomatin\Documents\Altium\MY_LIB\MY_LIB\Datasheets\YAGEO_RC_L.pdf</x:v>
      </x:c>
      <ns0:c xmlns:ns0="http://schemas.openxmlformats.org/spreadsheetml/2006/main" r="Z360" s="16" t="inlineStr">
        <ns0:is>
          <ns0:t>MY_LIB_R_TCR</ns0:t>
        </ns0:is>
      </ns0:c>
      <ns0:c xmlns:ns0="http://schemas.openxmlformats.org/spreadsheetml/2006/main" r="AA360" s="16" t="inlineStr">
        <ns0:is>
          <ns0:t>R(T), +100 ppm/C at 25 C; positive datasheet limit</ns0:t>
        </ns0:is>
      </ns0:c>
      <ns0:c xmlns:ns0="http://schemas.openxmlformats.org/spreadsheetml/2006/main" r="AB360" s="16" t="str">
        <ns0:v>General</ns0:v>
      </ns0:c>
      <ns0:c xmlns:ns0="http://schemas.openxmlformats.org/spreadsheetml/2006/main" r="AC360" s="16" t="inlineStr">
        <ns0:is>
          <ns0:t>Spice Subcircuit</ns0:t>
        </ns0:is>
      </ns0:c>
      <ns0:c xmlns:ns0="http://schemas.openxmlformats.org/spreadsheetml/2006/main" r="AD360" s="16" t="inlineStr">
        <ns0:is>
          <ns0:t>@DESIGNATOR %1 %2 @MODEL PARAMS: Rvalue=@VALUE TC1value=100u</ns0:t>
        </ns0:is>
      </ns0:c>
      <ns0:c xmlns:ns0="http://schemas.openxmlformats.org/spreadsheetml/2006/main" r="AE360" s="16" t="inlineStr">
        <ns0:is>
          <ns0:t>X</ns0:t>
        </ns0:is>
      </ns0:c>
      <ns0:c xmlns:ns0="http://schemas.openxmlformats.org/spreadsheetml/2006/main" r="AF360" s="16" t="str">
        <ns0:v>(1:1),(2:2)</ns0:v>
      </ns0:c>
      <ns0:c xmlns:ns0="http://schemas.openxmlformats.org/spreadsheetml/2006/main" r="AG360" s="16" t="inlineStr">
        <ns0:is>
          <ns0:t>Simulation\Resistors\MY_LIB_R_TCR.ckt</ns0:t>
        </ns0:is>
      </ns0:c>
      <ns0:c xmlns:ns0="http://schemas.openxmlformats.org/spreadsheetml/2006/main" r="AH360" s="16" t="inlineStr">
        <ns0:is>
          <ns0:t>±100 ppm/°C</ns0:t>
        </ns0:is>
      </ns0:c>
    </ns0:row>
    <ns0:row xmlns:ns0="http://schemas.openxmlformats.org/spreadsheetml/2006/main" r="361" ht="30" customHeight="1">
      <ns0:c r="A361" t="str" s="10">
        <ns0:v>R0367</ns0:v>
      </ns0:c>
      <ns0:c r="B361" t="str" s="10">
        <ns0:v>Резистор</ns0:v>
      </ns0:c>
      <ns0:c r="C361" t="str" s="10">
        <ns0:v>620R</ns0:v>
      </ns0:c>
      <ns0:c r="D361" t="str" s="11">
        <ns0:f>SUBSTITUTE(SUBSTITUTE(SUBSTITUTE(SUBSTITUTE(C361,"meg"," МОм"),"k"," кОм"),"R"," Ом"),".",",")</ns0:f>
        <ns0:v>620 Ом</ns0:v>
      </ns0:c>
      <ns0:c r="E361" t="str" s="10">
        <ns0:v>±1%</ns0:v>
      </ns0:c>
      <ns0:c r="F361" t="str" s="10">
        <ns0:v>0,1 Вт</ns0:v>
      </ns0:c>
      <ns0:c r="G361" t="str" s="10">
        <ns0:v>75 В макс.</ns0:v>
      </ns0:c>
      <ns0:c r="H361" t="str" s="12">
        <ns0:v>0603</ns0:v>
      </ns0:c>
      <ns0:c r="I361" t="str" s="10">
        <ns0:v>YAGEO</ns0:v>
      </ns0:c>
      <ns0:c r="J361" t="str" s="10">
        <ns0:v>RC0603FR-07620RL</ns0:v>
      </ns0:c>
      <ns0:c r="K361" t="str" s="11">
        <ns0:f>B361&amp;" "&amp;D361&amp;" "&amp;E361&amp;" "&amp;H361</ns0:f>
        <ns0:v>Резистор 620 Ом ±1% 0603</ns0:v>
      </ns0:c>
      <ns0:c r="L361" t="str" s="13">
        <ns0:v>R</ns0:v>
      </ns0:c>
      <ns0:c r="M361" t="str" s="13">
        <ns0:v>Symbols\MY_LIB_Resistors.SchLib</ns0:v>
      </ns0:c>
      <ns0:c r="N361" t="str" s="13">
        <ns0:v>RESC1608X55N</ns0:v>
      </ns0:c>
      <ns0:c r="O361" t="str" s="13">
        <ns0:v>Footprints\PBL - SMD Packages.PcbLib</ns0:v>
      </ns0:c>
      <ns0:c xmlns:ns0="http://schemas.openxmlformats.org/spreadsheetml/2006/main" r="P36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1" s="10"/>
      <ns0:c r="R361" t="str" s="11">
        <ns0:f>D361</ns0:f>
        <ns0:v>620 Ом</ns0:v>
      </ns0:c>
      <ns0:c r="S361" t="str" s="11">
        <ns0:f>K361</ns0:f>
        <ns0:v>Резистор 620 Ом ±1% 0603</ns0:v>
      </ns0:c>
      <x:c xmlns:x="http://schemas.openxmlformats.org/spreadsheetml/2006/main" r="T361" t="str" s="11">
        <x:v>C:\Users\Nomatin\Documents\Altium\MY_LIB\MY_LIB\Datasheets\YAGEO_RC_L.pdf</x:v>
      </x:c>
      <x:c xmlns:x="http://schemas.openxmlformats.org/spreadsheetml/2006/main" r="U361" t="str" s="11">
        <x:v>Даташит — локальный</x:v>
      </x:c>
      <x:c xmlns:x="http://schemas.openxmlformats.org/spreadsheetml/2006/main" r="V361" t="str" s="11">
        <x:v>C:\Users\Nomatin\Documents\Altium\MY_LIB\MY_LIB\Datasheets\YAGEO_RC_L.pdf</x:v>
      </x:c>
      <x:c xmlns:x="http://schemas.openxmlformats.org/spreadsheetml/2006/main" r="W361" t="str" s="11">
        <x:v>Даташит — производитель</x:v>
      </x:c>
      <x:c xmlns:x="http://schemas.openxmlformats.org/spreadsheetml/2006/main" r="X361" t="str" s="11">
        <x:v>https://yageogroup.com/content/datasheet/asset/file/PYU-RC_GROUP_51_ROHS_L</x:v>
      </x:c>
      <x:c xmlns:x="http://schemas.openxmlformats.org/spreadsheetml/2006/main" r="Y361" t="str" s="11">
        <x:v>C:\Users\Nomatin\Documents\Altium\MY_LIB\MY_LIB\Datasheets\YAGEO_RC_L.pdf</x:v>
      </x:c>
      <ns0:c xmlns:ns0="http://schemas.openxmlformats.org/spreadsheetml/2006/main" r="Z361" s="16" t="inlineStr">
        <ns0:is>
          <ns0:t>MY_LIB_R_TCR</ns0:t>
        </ns0:is>
      </ns0:c>
      <ns0:c xmlns:ns0="http://schemas.openxmlformats.org/spreadsheetml/2006/main" r="AA361" s="16" t="inlineStr">
        <ns0:is>
          <ns0:t>R(T), +100 ppm/C at 25 C; positive datasheet limit</ns0:t>
        </ns0:is>
      </ns0:c>
      <ns0:c xmlns:ns0="http://schemas.openxmlformats.org/spreadsheetml/2006/main" r="AB361" s="16" t="str">
        <ns0:v>General</ns0:v>
      </ns0:c>
      <ns0:c xmlns:ns0="http://schemas.openxmlformats.org/spreadsheetml/2006/main" r="AC361" s="16" t="inlineStr">
        <ns0:is>
          <ns0:t>Spice Subcircuit</ns0:t>
        </ns0:is>
      </ns0:c>
      <ns0:c xmlns:ns0="http://schemas.openxmlformats.org/spreadsheetml/2006/main" r="AD361" s="16" t="inlineStr">
        <ns0:is>
          <ns0:t>@DESIGNATOR %1 %2 @MODEL PARAMS: Rvalue=@VALUE TC1value=100u</ns0:t>
        </ns0:is>
      </ns0:c>
      <ns0:c xmlns:ns0="http://schemas.openxmlformats.org/spreadsheetml/2006/main" r="AE361" s="16" t="inlineStr">
        <ns0:is>
          <ns0:t>X</ns0:t>
        </ns0:is>
      </ns0:c>
      <ns0:c xmlns:ns0="http://schemas.openxmlformats.org/spreadsheetml/2006/main" r="AF361" s="16" t="str">
        <ns0:v>(1:1),(2:2)</ns0:v>
      </ns0:c>
      <ns0:c xmlns:ns0="http://schemas.openxmlformats.org/spreadsheetml/2006/main" r="AG361" s="16" t="inlineStr">
        <ns0:is>
          <ns0:t>Simulation\Resistors\MY_LIB_R_TCR.ckt</ns0:t>
        </ns0:is>
      </ns0:c>
      <ns0:c xmlns:ns0="http://schemas.openxmlformats.org/spreadsheetml/2006/main" r="AH361" s="16" t="inlineStr">
        <ns0:is>
          <ns0:t>±100 ppm/°C</ns0:t>
        </ns0:is>
      </ns0:c>
    </ns0:row>
    <ns0:row xmlns:ns0="http://schemas.openxmlformats.org/spreadsheetml/2006/main" r="362" ht="30" customHeight="1">
      <ns0:c r="A362" t="str" s="10">
        <ns0:v>R0368</ns0:v>
      </ns0:c>
      <ns0:c r="B362" t="str" s="10">
        <ns0:v>Резистор</ns0:v>
      </ns0:c>
      <ns0:c r="C362" t="str" s="10">
        <ns0:v>680R</ns0:v>
      </ns0:c>
      <ns0:c r="D362" t="str" s="11">
        <ns0:f>SUBSTITUTE(SUBSTITUTE(SUBSTITUTE(SUBSTITUTE(C362,"meg"," МОм"),"k"," кОм"),"R"," Ом"),".",",")</ns0:f>
        <ns0:v>680 Ом</ns0:v>
      </ns0:c>
      <ns0:c r="E362" t="str" s="10">
        <ns0:v>±1%</ns0:v>
      </ns0:c>
      <ns0:c r="F362" t="str" s="10">
        <ns0:v>0,1 Вт</ns0:v>
      </ns0:c>
      <ns0:c r="G362" t="str" s="10">
        <ns0:v>75 В макс.</ns0:v>
      </ns0:c>
      <ns0:c r="H362" t="str" s="12">
        <ns0:v>0603</ns0:v>
      </ns0:c>
      <ns0:c r="I362" t="str" s="10">
        <ns0:v>YAGEO</ns0:v>
      </ns0:c>
      <ns0:c r="J362" t="str" s="10">
        <ns0:v>RC0603FR-07680RL</ns0:v>
      </ns0:c>
      <ns0:c r="K362" t="str" s="11">
        <ns0:f>B362&amp;" "&amp;D362&amp;" "&amp;E362&amp;" "&amp;H362</ns0:f>
        <ns0:v>Резистор 680 Ом ±1% 0603</ns0:v>
      </ns0:c>
      <ns0:c r="L362" t="str" s="13">
        <ns0:v>R</ns0:v>
      </ns0:c>
      <ns0:c r="M362" t="str" s="13">
        <ns0:v>Symbols\MY_LIB_Resistors.SchLib</ns0:v>
      </ns0:c>
      <ns0:c r="N362" t="str" s="13">
        <ns0:v>RESC1608X55N</ns0:v>
      </ns0:c>
      <ns0:c r="O362" t="str" s="13">
        <ns0:v>Footprints\PBL - SMD Packages.PcbLib</ns0:v>
      </ns0:c>
      <ns0:c xmlns:ns0="http://schemas.openxmlformats.org/spreadsheetml/2006/main" r="P36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2" s="10"/>
      <ns0:c r="R362" t="str" s="11">
        <ns0:f>D362</ns0:f>
        <ns0:v>680 Ом</ns0:v>
      </ns0:c>
      <ns0:c r="S362" t="str" s="11">
        <ns0:f>K362</ns0:f>
        <ns0:v>Резистор 680 Ом ±1% 0603</ns0:v>
      </ns0:c>
      <x:c xmlns:x="http://schemas.openxmlformats.org/spreadsheetml/2006/main" r="T362" t="str" s="11">
        <x:v>C:\Users\Nomatin\Documents\Altium\MY_LIB\MY_LIB\Datasheets\YAGEO_RC_L.pdf</x:v>
      </x:c>
      <x:c xmlns:x="http://schemas.openxmlformats.org/spreadsheetml/2006/main" r="U362" t="str" s="11">
        <x:v>Даташит — локальный</x:v>
      </x:c>
      <x:c xmlns:x="http://schemas.openxmlformats.org/spreadsheetml/2006/main" r="V362" t="str" s="11">
        <x:v>C:\Users\Nomatin\Documents\Altium\MY_LIB\MY_LIB\Datasheets\YAGEO_RC_L.pdf</x:v>
      </x:c>
      <x:c xmlns:x="http://schemas.openxmlformats.org/spreadsheetml/2006/main" r="W362" t="str" s="11">
        <x:v>Даташит — производитель</x:v>
      </x:c>
      <x:c xmlns:x="http://schemas.openxmlformats.org/spreadsheetml/2006/main" r="X362" t="str" s="11">
        <x:v>https://yageogroup.com/content/datasheet/asset/file/PYU-RC_GROUP_51_ROHS_L</x:v>
      </x:c>
      <x:c xmlns:x="http://schemas.openxmlformats.org/spreadsheetml/2006/main" r="Y362" t="str" s="11">
        <x:v>C:\Users\Nomatin\Documents\Altium\MY_LIB\MY_LIB\Datasheets\YAGEO_RC_L.pdf</x:v>
      </x:c>
      <ns0:c xmlns:ns0="http://schemas.openxmlformats.org/spreadsheetml/2006/main" r="Z362" s="16" t="inlineStr">
        <ns0:is>
          <ns0:t>MY_LIB_R_TCR</ns0:t>
        </ns0:is>
      </ns0:c>
      <ns0:c xmlns:ns0="http://schemas.openxmlformats.org/spreadsheetml/2006/main" r="AA362" s="16" t="inlineStr">
        <ns0:is>
          <ns0:t>R(T), +100 ppm/C at 25 C; positive datasheet limit</ns0:t>
        </ns0:is>
      </ns0:c>
      <ns0:c xmlns:ns0="http://schemas.openxmlformats.org/spreadsheetml/2006/main" r="AB362" s="16" t="str">
        <ns0:v>General</ns0:v>
      </ns0:c>
      <ns0:c xmlns:ns0="http://schemas.openxmlformats.org/spreadsheetml/2006/main" r="AC362" s="16" t="inlineStr">
        <ns0:is>
          <ns0:t>Spice Subcircuit</ns0:t>
        </ns0:is>
      </ns0:c>
      <ns0:c xmlns:ns0="http://schemas.openxmlformats.org/spreadsheetml/2006/main" r="AD362" s="16" t="inlineStr">
        <ns0:is>
          <ns0:t>@DESIGNATOR %1 %2 @MODEL PARAMS: Rvalue=@VALUE TC1value=100u</ns0:t>
        </ns0:is>
      </ns0:c>
      <ns0:c xmlns:ns0="http://schemas.openxmlformats.org/spreadsheetml/2006/main" r="AE362" s="16" t="inlineStr">
        <ns0:is>
          <ns0:t>X</ns0:t>
        </ns0:is>
      </ns0:c>
      <ns0:c xmlns:ns0="http://schemas.openxmlformats.org/spreadsheetml/2006/main" r="AF362" s="16" t="str">
        <ns0:v>(1:1),(2:2)</ns0:v>
      </ns0:c>
      <ns0:c xmlns:ns0="http://schemas.openxmlformats.org/spreadsheetml/2006/main" r="AG362" s="16" t="inlineStr">
        <ns0:is>
          <ns0:t>Simulation\Resistors\MY_LIB_R_TCR.ckt</ns0:t>
        </ns0:is>
      </ns0:c>
      <ns0:c xmlns:ns0="http://schemas.openxmlformats.org/spreadsheetml/2006/main" r="AH362" s="16" t="inlineStr">
        <ns0:is>
          <ns0:t>±100 ppm/°C</ns0:t>
        </ns0:is>
      </ns0:c>
    </ns0:row>
    <ns0:row xmlns:ns0="http://schemas.openxmlformats.org/spreadsheetml/2006/main" r="363" ht="30" customHeight="1">
      <ns0:c r="A363" t="str" s="10">
        <ns0:v>R0369</ns0:v>
      </ns0:c>
      <ns0:c r="B363" t="str" s="10">
        <ns0:v>Резистор</ns0:v>
      </ns0:c>
      <ns0:c r="C363" t="str" s="10">
        <ns0:v>750R</ns0:v>
      </ns0:c>
      <ns0:c r="D363" t="str" s="11">
        <ns0:f>SUBSTITUTE(SUBSTITUTE(SUBSTITUTE(SUBSTITUTE(C363,"meg"," МОм"),"k"," кОм"),"R"," Ом"),".",",")</ns0:f>
        <ns0:v>750 Ом</ns0:v>
      </ns0:c>
      <ns0:c r="E363" t="str" s="10">
        <ns0:v>±1%</ns0:v>
      </ns0:c>
      <ns0:c r="F363" t="str" s="10">
        <ns0:v>0,1 Вт</ns0:v>
      </ns0:c>
      <ns0:c r="G363" t="str" s="10">
        <ns0:v>75 В макс.</ns0:v>
      </ns0:c>
      <ns0:c r="H363" t="str" s="12">
        <ns0:v>0603</ns0:v>
      </ns0:c>
      <ns0:c r="I363" t="str" s="10">
        <ns0:v>YAGEO</ns0:v>
      </ns0:c>
      <ns0:c r="J363" t="str" s="10">
        <ns0:v>RC0603FR-07750RL</ns0:v>
      </ns0:c>
      <ns0:c r="K363" t="str" s="11">
        <ns0:f>B363&amp;" "&amp;D363&amp;" "&amp;E363&amp;" "&amp;H363</ns0:f>
        <ns0:v>Резистор 750 Ом ±1% 0603</ns0:v>
      </ns0:c>
      <ns0:c r="L363" t="str" s="13">
        <ns0:v>R</ns0:v>
      </ns0:c>
      <ns0:c r="M363" t="str" s="13">
        <ns0:v>Symbols\MY_LIB_Resistors.SchLib</ns0:v>
      </ns0:c>
      <ns0:c r="N363" t="str" s="13">
        <ns0:v>RESC1608X55N</ns0:v>
      </ns0:c>
      <ns0:c r="O363" t="str" s="13">
        <ns0:v>Footprints\PBL - SMD Packages.PcbLib</ns0:v>
      </ns0:c>
      <ns0:c xmlns:ns0="http://schemas.openxmlformats.org/spreadsheetml/2006/main" r="P36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3" s="10"/>
      <ns0:c r="R363" t="str" s="11">
        <ns0:f>D363</ns0:f>
        <ns0:v>750 Ом</ns0:v>
      </ns0:c>
      <ns0:c r="S363" t="str" s="11">
        <ns0:f>K363</ns0:f>
        <ns0:v>Резистор 750 Ом ±1% 0603</ns0:v>
      </ns0:c>
      <x:c xmlns:x="http://schemas.openxmlformats.org/spreadsheetml/2006/main" r="T363" t="str" s="11">
        <x:v>C:\Users\Nomatin\Documents\Altium\MY_LIB\MY_LIB\Datasheets\YAGEO_RC_L.pdf</x:v>
      </x:c>
      <x:c xmlns:x="http://schemas.openxmlformats.org/spreadsheetml/2006/main" r="U363" t="str" s="11">
        <x:v>Даташит — локальный</x:v>
      </x:c>
      <x:c xmlns:x="http://schemas.openxmlformats.org/spreadsheetml/2006/main" r="V363" t="str" s="11">
        <x:v>C:\Users\Nomatin\Documents\Altium\MY_LIB\MY_LIB\Datasheets\YAGEO_RC_L.pdf</x:v>
      </x:c>
      <x:c xmlns:x="http://schemas.openxmlformats.org/spreadsheetml/2006/main" r="W363" t="str" s="11">
        <x:v>Даташит — производитель</x:v>
      </x:c>
      <x:c xmlns:x="http://schemas.openxmlformats.org/spreadsheetml/2006/main" r="X363" t="str" s="11">
        <x:v>https://yageogroup.com/content/datasheet/asset/file/PYU-RC_GROUP_51_ROHS_L</x:v>
      </x:c>
      <x:c xmlns:x="http://schemas.openxmlformats.org/spreadsheetml/2006/main" r="Y363" t="str" s="11">
        <x:v>C:\Users\Nomatin\Documents\Altium\MY_LIB\MY_LIB\Datasheets\YAGEO_RC_L.pdf</x:v>
      </x:c>
      <ns0:c xmlns:ns0="http://schemas.openxmlformats.org/spreadsheetml/2006/main" r="Z363" s="16" t="inlineStr">
        <ns0:is>
          <ns0:t>MY_LIB_R_TCR</ns0:t>
        </ns0:is>
      </ns0:c>
      <ns0:c xmlns:ns0="http://schemas.openxmlformats.org/spreadsheetml/2006/main" r="AA363" s="16" t="inlineStr">
        <ns0:is>
          <ns0:t>R(T), +100 ppm/C at 25 C; positive datasheet limit</ns0:t>
        </ns0:is>
      </ns0:c>
      <ns0:c xmlns:ns0="http://schemas.openxmlformats.org/spreadsheetml/2006/main" r="AB363" s="16" t="str">
        <ns0:v>General</ns0:v>
      </ns0:c>
      <ns0:c xmlns:ns0="http://schemas.openxmlformats.org/spreadsheetml/2006/main" r="AC363" s="16" t="inlineStr">
        <ns0:is>
          <ns0:t>Spice Subcircuit</ns0:t>
        </ns0:is>
      </ns0:c>
      <ns0:c xmlns:ns0="http://schemas.openxmlformats.org/spreadsheetml/2006/main" r="AD363" s="16" t="inlineStr">
        <ns0:is>
          <ns0:t>@DESIGNATOR %1 %2 @MODEL PARAMS: Rvalue=@VALUE TC1value=100u</ns0:t>
        </ns0:is>
      </ns0:c>
      <ns0:c xmlns:ns0="http://schemas.openxmlformats.org/spreadsheetml/2006/main" r="AE363" s="16" t="inlineStr">
        <ns0:is>
          <ns0:t>X</ns0:t>
        </ns0:is>
      </ns0:c>
      <ns0:c xmlns:ns0="http://schemas.openxmlformats.org/spreadsheetml/2006/main" r="AF363" s="16" t="str">
        <ns0:v>(1:1),(2:2)</ns0:v>
      </ns0:c>
      <ns0:c xmlns:ns0="http://schemas.openxmlformats.org/spreadsheetml/2006/main" r="AG363" s="16" t="inlineStr">
        <ns0:is>
          <ns0:t>Simulation\Resistors\MY_LIB_R_TCR.ckt</ns0:t>
        </ns0:is>
      </ns0:c>
      <ns0:c xmlns:ns0="http://schemas.openxmlformats.org/spreadsheetml/2006/main" r="AH363" s="16" t="inlineStr">
        <ns0:is>
          <ns0:t>±100 ppm/°C</ns0:t>
        </ns0:is>
      </ns0:c>
    </ns0:row>
    <ns0:row xmlns:ns0="http://schemas.openxmlformats.org/spreadsheetml/2006/main" r="364" ht="30" customHeight="1">
      <ns0:c r="A364" t="str" s="10">
        <ns0:v>R0370</ns0:v>
      </ns0:c>
      <ns0:c r="B364" t="str" s="10">
        <ns0:v>Резистор</ns0:v>
      </ns0:c>
      <ns0:c r="C364" t="str" s="10">
        <ns0:v>820R</ns0:v>
      </ns0:c>
      <ns0:c r="D364" t="str" s="11">
        <ns0:f>SUBSTITUTE(SUBSTITUTE(SUBSTITUTE(SUBSTITUTE(C364,"meg"," МОм"),"k"," кОм"),"R"," Ом"),".",",")</ns0:f>
        <ns0:v>820 Ом</ns0:v>
      </ns0:c>
      <ns0:c r="E364" t="str" s="10">
        <ns0:v>±1%</ns0:v>
      </ns0:c>
      <ns0:c r="F364" t="str" s="10">
        <ns0:v>0,1 Вт</ns0:v>
      </ns0:c>
      <ns0:c r="G364" t="str" s="10">
        <ns0:v>75 В макс.</ns0:v>
      </ns0:c>
      <ns0:c r="H364" t="str" s="12">
        <ns0:v>0603</ns0:v>
      </ns0:c>
      <ns0:c r="I364" t="str" s="10">
        <ns0:v>YAGEO</ns0:v>
      </ns0:c>
      <ns0:c r="J364" t="str" s="10">
        <ns0:v>RC0603FR-07820RL</ns0:v>
      </ns0:c>
      <ns0:c r="K364" t="str" s="11">
        <ns0:f>B364&amp;" "&amp;D364&amp;" "&amp;E364&amp;" "&amp;H364</ns0:f>
        <ns0:v>Резистор 820 Ом ±1% 0603</ns0:v>
      </ns0:c>
      <ns0:c r="L364" t="str" s="13">
        <ns0:v>R</ns0:v>
      </ns0:c>
      <ns0:c r="M364" t="str" s="13">
        <ns0:v>Symbols\MY_LIB_Resistors.SchLib</ns0:v>
      </ns0:c>
      <ns0:c r="N364" t="str" s="13">
        <ns0:v>RESC1608X55N</ns0:v>
      </ns0:c>
      <ns0:c r="O364" t="str" s="13">
        <ns0:v>Footprints\PBL - SMD Packages.PcbLib</ns0:v>
      </ns0:c>
      <ns0:c xmlns:ns0="http://schemas.openxmlformats.org/spreadsheetml/2006/main" r="P36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4" s="10"/>
      <ns0:c r="R364" t="str" s="11">
        <ns0:f>D364</ns0:f>
        <ns0:v>820 Ом</ns0:v>
      </ns0:c>
      <ns0:c r="S364" t="str" s="11">
        <ns0:f>K364</ns0:f>
        <ns0:v>Резистор 820 Ом ±1% 0603</ns0:v>
      </ns0:c>
      <x:c xmlns:x="http://schemas.openxmlformats.org/spreadsheetml/2006/main" r="T364" t="str" s="11">
        <x:v>C:\Users\Nomatin\Documents\Altium\MY_LIB\MY_LIB\Datasheets\YAGEO_RC_L.pdf</x:v>
      </x:c>
      <x:c xmlns:x="http://schemas.openxmlformats.org/spreadsheetml/2006/main" r="U364" t="str" s="11">
        <x:v>Даташит — локальный</x:v>
      </x:c>
      <x:c xmlns:x="http://schemas.openxmlformats.org/spreadsheetml/2006/main" r="V364" t="str" s="11">
        <x:v>C:\Users\Nomatin\Documents\Altium\MY_LIB\MY_LIB\Datasheets\YAGEO_RC_L.pdf</x:v>
      </x:c>
      <x:c xmlns:x="http://schemas.openxmlformats.org/spreadsheetml/2006/main" r="W364" t="str" s="11">
        <x:v>Даташит — производитель</x:v>
      </x:c>
      <x:c xmlns:x="http://schemas.openxmlformats.org/spreadsheetml/2006/main" r="X364" t="str" s="11">
        <x:v>https://yageogroup.com/content/datasheet/asset/file/PYU-RC_GROUP_51_ROHS_L</x:v>
      </x:c>
      <x:c xmlns:x="http://schemas.openxmlformats.org/spreadsheetml/2006/main" r="Y364" t="str" s="11">
        <x:v>C:\Users\Nomatin\Documents\Altium\MY_LIB\MY_LIB\Datasheets\YAGEO_RC_L.pdf</x:v>
      </x:c>
      <ns0:c xmlns:ns0="http://schemas.openxmlformats.org/spreadsheetml/2006/main" r="Z364" s="16" t="inlineStr">
        <ns0:is>
          <ns0:t>MY_LIB_R_TCR</ns0:t>
        </ns0:is>
      </ns0:c>
      <ns0:c xmlns:ns0="http://schemas.openxmlformats.org/spreadsheetml/2006/main" r="AA364" s="16" t="inlineStr">
        <ns0:is>
          <ns0:t>R(T), +100 ppm/C at 25 C; positive datasheet limit</ns0:t>
        </ns0:is>
      </ns0:c>
      <ns0:c xmlns:ns0="http://schemas.openxmlformats.org/spreadsheetml/2006/main" r="AB364" s="16" t="str">
        <ns0:v>General</ns0:v>
      </ns0:c>
      <ns0:c xmlns:ns0="http://schemas.openxmlformats.org/spreadsheetml/2006/main" r="AC364" s="16" t="inlineStr">
        <ns0:is>
          <ns0:t>Spice Subcircuit</ns0:t>
        </ns0:is>
      </ns0:c>
      <ns0:c xmlns:ns0="http://schemas.openxmlformats.org/spreadsheetml/2006/main" r="AD364" s="16" t="inlineStr">
        <ns0:is>
          <ns0:t>@DESIGNATOR %1 %2 @MODEL PARAMS: Rvalue=@VALUE TC1value=100u</ns0:t>
        </ns0:is>
      </ns0:c>
      <ns0:c xmlns:ns0="http://schemas.openxmlformats.org/spreadsheetml/2006/main" r="AE364" s="16" t="inlineStr">
        <ns0:is>
          <ns0:t>X</ns0:t>
        </ns0:is>
      </ns0:c>
      <ns0:c xmlns:ns0="http://schemas.openxmlformats.org/spreadsheetml/2006/main" r="AF364" s="16" t="str">
        <ns0:v>(1:1),(2:2)</ns0:v>
      </ns0:c>
      <ns0:c xmlns:ns0="http://schemas.openxmlformats.org/spreadsheetml/2006/main" r="AG364" s="16" t="inlineStr">
        <ns0:is>
          <ns0:t>Simulation\Resistors\MY_LIB_R_TCR.ckt</ns0:t>
        </ns0:is>
      </ns0:c>
      <ns0:c xmlns:ns0="http://schemas.openxmlformats.org/spreadsheetml/2006/main" r="AH364" s="16" t="inlineStr">
        <ns0:is>
          <ns0:t>±100 ppm/°C</ns0:t>
        </ns0:is>
      </ns0:c>
    </ns0:row>
    <ns0:row xmlns:ns0="http://schemas.openxmlformats.org/spreadsheetml/2006/main" r="365" ht="30" customHeight="1">
      <ns0:c r="A365" t="str" s="10">
        <ns0:v>R0371</ns0:v>
      </ns0:c>
      <ns0:c r="B365" t="str" s="10">
        <ns0:v>Резистор</ns0:v>
      </ns0:c>
      <ns0:c r="C365" t="str" s="10">
        <ns0:v>910R</ns0:v>
      </ns0:c>
      <ns0:c r="D365" t="str" s="11">
        <ns0:f>SUBSTITUTE(SUBSTITUTE(SUBSTITUTE(SUBSTITUTE(C365,"meg"," МОм"),"k"," кОм"),"R"," Ом"),".",",")</ns0:f>
        <ns0:v>910 Ом</ns0:v>
      </ns0:c>
      <ns0:c r="E365" t="str" s="10">
        <ns0:v>±1%</ns0:v>
      </ns0:c>
      <ns0:c r="F365" t="str" s="10">
        <ns0:v>0,1 Вт</ns0:v>
      </ns0:c>
      <ns0:c r="G365" t="str" s="10">
        <ns0:v>75 В макс.</ns0:v>
      </ns0:c>
      <ns0:c r="H365" t="str" s="12">
        <ns0:v>0603</ns0:v>
      </ns0:c>
      <ns0:c r="I365" t="str" s="10">
        <ns0:v>YAGEO</ns0:v>
      </ns0:c>
      <ns0:c r="J365" t="str" s="10">
        <ns0:v>RC0603FR-07910RL</ns0:v>
      </ns0:c>
      <ns0:c r="K365" t="str" s="11">
        <ns0:f>B365&amp;" "&amp;D365&amp;" "&amp;E365&amp;" "&amp;H365</ns0:f>
        <ns0:v>Резистор 910 Ом ±1% 0603</ns0:v>
      </ns0:c>
      <ns0:c r="L365" t="str" s="13">
        <ns0:v>R</ns0:v>
      </ns0:c>
      <ns0:c r="M365" t="str" s="13">
        <ns0:v>Symbols\MY_LIB_Resistors.SchLib</ns0:v>
      </ns0:c>
      <ns0:c r="N365" t="str" s="13">
        <ns0:v>RESC1608X55N</ns0:v>
      </ns0:c>
      <ns0:c r="O365" t="str" s="13">
        <ns0:v>Footprints\PBL - SMD Packages.PcbLib</ns0:v>
      </ns0:c>
      <ns0:c xmlns:ns0="http://schemas.openxmlformats.org/spreadsheetml/2006/main" r="P36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5" s="10"/>
      <ns0:c r="R365" t="str" s="11">
        <ns0:f>D365</ns0:f>
        <ns0:v>910 Ом</ns0:v>
      </ns0:c>
      <ns0:c r="S365" t="str" s="11">
        <ns0:f>K365</ns0:f>
        <ns0:v>Резистор 910 Ом ±1% 0603</ns0:v>
      </ns0:c>
      <x:c xmlns:x="http://schemas.openxmlformats.org/spreadsheetml/2006/main" r="T365" t="str" s="11">
        <x:v>C:\Users\Nomatin\Documents\Altium\MY_LIB\MY_LIB\Datasheets\YAGEO_RC_L.pdf</x:v>
      </x:c>
      <x:c xmlns:x="http://schemas.openxmlformats.org/spreadsheetml/2006/main" r="U365" t="str" s="11">
        <x:v>Даташит — локальный</x:v>
      </x:c>
      <x:c xmlns:x="http://schemas.openxmlformats.org/spreadsheetml/2006/main" r="V365" t="str" s="11">
        <x:v>C:\Users\Nomatin\Documents\Altium\MY_LIB\MY_LIB\Datasheets\YAGEO_RC_L.pdf</x:v>
      </x:c>
      <x:c xmlns:x="http://schemas.openxmlformats.org/spreadsheetml/2006/main" r="W365" t="str" s="11">
        <x:v>Даташит — производитель</x:v>
      </x:c>
      <x:c xmlns:x="http://schemas.openxmlformats.org/spreadsheetml/2006/main" r="X365" t="str" s="11">
        <x:v>https://yageogroup.com/content/datasheet/asset/file/PYU-RC_GROUP_51_ROHS_L</x:v>
      </x:c>
      <x:c xmlns:x="http://schemas.openxmlformats.org/spreadsheetml/2006/main" r="Y365" t="str" s="11">
        <x:v>C:\Users\Nomatin\Documents\Altium\MY_LIB\MY_LIB\Datasheets\YAGEO_RC_L.pdf</x:v>
      </x:c>
      <ns0:c xmlns:ns0="http://schemas.openxmlformats.org/spreadsheetml/2006/main" r="Z365" s="16" t="inlineStr">
        <ns0:is>
          <ns0:t>MY_LIB_R_TCR</ns0:t>
        </ns0:is>
      </ns0:c>
      <ns0:c xmlns:ns0="http://schemas.openxmlformats.org/spreadsheetml/2006/main" r="AA365" s="16" t="inlineStr">
        <ns0:is>
          <ns0:t>R(T), +100 ppm/C at 25 C; positive datasheet limit</ns0:t>
        </ns0:is>
      </ns0:c>
      <ns0:c xmlns:ns0="http://schemas.openxmlformats.org/spreadsheetml/2006/main" r="AB365" s="16" t="str">
        <ns0:v>General</ns0:v>
      </ns0:c>
      <ns0:c xmlns:ns0="http://schemas.openxmlformats.org/spreadsheetml/2006/main" r="AC365" s="16" t="inlineStr">
        <ns0:is>
          <ns0:t>Spice Subcircuit</ns0:t>
        </ns0:is>
      </ns0:c>
      <ns0:c xmlns:ns0="http://schemas.openxmlformats.org/spreadsheetml/2006/main" r="AD365" s="16" t="inlineStr">
        <ns0:is>
          <ns0:t>@DESIGNATOR %1 %2 @MODEL PARAMS: Rvalue=@VALUE TC1value=100u</ns0:t>
        </ns0:is>
      </ns0:c>
      <ns0:c xmlns:ns0="http://schemas.openxmlformats.org/spreadsheetml/2006/main" r="AE365" s="16" t="inlineStr">
        <ns0:is>
          <ns0:t>X</ns0:t>
        </ns0:is>
      </ns0:c>
      <ns0:c xmlns:ns0="http://schemas.openxmlformats.org/spreadsheetml/2006/main" r="AF365" s="16" t="str">
        <ns0:v>(1:1),(2:2)</ns0:v>
      </ns0:c>
      <ns0:c xmlns:ns0="http://schemas.openxmlformats.org/spreadsheetml/2006/main" r="AG365" s="16" t="inlineStr">
        <ns0:is>
          <ns0:t>Simulation\Resistors\MY_LIB_R_TCR.ckt</ns0:t>
        </ns0:is>
      </ns0:c>
      <ns0:c xmlns:ns0="http://schemas.openxmlformats.org/spreadsheetml/2006/main" r="AH365" s="16" t="inlineStr">
        <ns0:is>
          <ns0:t>±100 ppm/°C</ns0:t>
        </ns0:is>
      </ns0:c>
    </ns0:row>
    <ns0:row xmlns:ns0="http://schemas.openxmlformats.org/spreadsheetml/2006/main" r="366" ht="30" customHeight="1">
      <ns0:c r="A366" t="str" s="10">
        <ns0:v>R0372</ns0:v>
      </ns0:c>
      <ns0:c r="B366" t="str" s="10">
        <ns0:v>Резистор</ns0:v>
      </ns0:c>
      <ns0:c r="C366" t="str" s="10">
        <ns0:v>1k</ns0:v>
      </ns0:c>
      <ns0:c r="D366" t="str" s="11">
        <ns0:f>SUBSTITUTE(SUBSTITUTE(SUBSTITUTE(SUBSTITUTE(C366,"meg"," МОм"),"k"," кОм"),"R"," Ом"),".",",")</ns0:f>
        <ns0:v>1 кОм</ns0:v>
      </ns0:c>
      <ns0:c r="E366" t="str" s="10">
        <ns0:v>±1%</ns0:v>
      </ns0:c>
      <ns0:c r="F366" t="str" s="10">
        <ns0:v>0,1 Вт</ns0:v>
      </ns0:c>
      <ns0:c r="G366" t="str" s="10">
        <ns0:v>75 В макс.</ns0:v>
      </ns0:c>
      <ns0:c r="H366" t="str" s="12">
        <ns0:v>0603</ns0:v>
      </ns0:c>
      <ns0:c r="I366" t="str" s="10">
        <ns0:v>YAGEO</ns0:v>
      </ns0:c>
      <ns0:c r="J366" t="str" s="10">
        <ns0:v>RC0603FR-071KL</ns0:v>
      </ns0:c>
      <ns0:c r="K366" t="str" s="11">
        <ns0:f>B366&amp;" "&amp;D366&amp;" "&amp;E366&amp;" "&amp;H366</ns0:f>
        <ns0:v>Резистор 1 кОм ±1% 0603</ns0:v>
      </ns0:c>
      <ns0:c r="L366" t="str" s="13">
        <ns0:v>R</ns0:v>
      </ns0:c>
      <ns0:c r="M366" t="str" s="13">
        <ns0:v>Symbols\MY_LIB_Resistors.SchLib</ns0:v>
      </ns0:c>
      <ns0:c r="N366" t="str" s="13">
        <ns0:v>RESC1608X55N</ns0:v>
      </ns0:c>
      <ns0:c r="O366" t="str" s="13">
        <ns0:v>Footprints\PBL - SMD Packages.PcbLib</ns0:v>
      </ns0:c>
      <ns0:c xmlns:ns0="http://schemas.openxmlformats.org/spreadsheetml/2006/main" r="P36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6" s="10"/>
      <ns0:c r="R366" t="str" s="11">
        <ns0:f>D366</ns0:f>
        <ns0:v>1 кОм</ns0:v>
      </ns0:c>
      <ns0:c r="S366" t="str" s="11">
        <ns0:f>K366</ns0:f>
        <ns0:v>Резистор 1 кОм ±1% 0603</ns0:v>
      </ns0:c>
      <x:c xmlns:x="http://schemas.openxmlformats.org/spreadsheetml/2006/main" r="T366" t="str" s="11">
        <x:v>C:\Users\Nomatin\Documents\Altium\MY_LIB\MY_LIB\Datasheets\YAGEO_RC_L.pdf</x:v>
      </x:c>
      <x:c xmlns:x="http://schemas.openxmlformats.org/spreadsheetml/2006/main" r="U366" t="str" s="11">
        <x:v>Даташит — локальный</x:v>
      </x:c>
      <x:c xmlns:x="http://schemas.openxmlformats.org/spreadsheetml/2006/main" r="V366" t="str" s="11">
        <x:v>C:\Users\Nomatin\Documents\Altium\MY_LIB\MY_LIB\Datasheets\YAGEO_RC_L.pdf</x:v>
      </x:c>
      <x:c xmlns:x="http://schemas.openxmlformats.org/spreadsheetml/2006/main" r="W366" t="str" s="11">
        <x:v>Даташит — производитель</x:v>
      </x:c>
      <x:c xmlns:x="http://schemas.openxmlformats.org/spreadsheetml/2006/main" r="X366" t="str" s="11">
        <x:v>https://yageogroup.com/content/datasheet/asset/file/PYU-RC_GROUP_51_ROHS_L</x:v>
      </x:c>
      <x:c xmlns:x="http://schemas.openxmlformats.org/spreadsheetml/2006/main" r="Y366" t="str" s="11">
        <x:v>C:\Users\Nomatin\Documents\Altium\MY_LIB\MY_LIB\Datasheets\YAGEO_RC_L.pdf</x:v>
      </x:c>
      <ns0:c xmlns:ns0="http://schemas.openxmlformats.org/spreadsheetml/2006/main" r="Z366" s="16" t="inlineStr">
        <ns0:is>
          <ns0:t>MY_LIB_R_TCR</ns0:t>
        </ns0:is>
      </ns0:c>
      <ns0:c xmlns:ns0="http://schemas.openxmlformats.org/spreadsheetml/2006/main" r="AA366" s="16" t="inlineStr">
        <ns0:is>
          <ns0:t>R(T), +100 ppm/C at 25 C; positive datasheet limit</ns0:t>
        </ns0:is>
      </ns0:c>
      <ns0:c xmlns:ns0="http://schemas.openxmlformats.org/spreadsheetml/2006/main" r="AB366" s="16" t="str">
        <ns0:v>General</ns0:v>
      </ns0:c>
      <ns0:c xmlns:ns0="http://schemas.openxmlformats.org/spreadsheetml/2006/main" r="AC366" s="16" t="inlineStr">
        <ns0:is>
          <ns0:t>Spice Subcircuit</ns0:t>
        </ns0:is>
      </ns0:c>
      <ns0:c xmlns:ns0="http://schemas.openxmlformats.org/spreadsheetml/2006/main" r="AD366" s="16" t="inlineStr">
        <ns0:is>
          <ns0:t>@DESIGNATOR %1 %2 @MODEL PARAMS: Rvalue=@VALUE TC1value=100u</ns0:t>
        </ns0:is>
      </ns0:c>
      <ns0:c xmlns:ns0="http://schemas.openxmlformats.org/spreadsheetml/2006/main" r="AE366" s="16" t="inlineStr">
        <ns0:is>
          <ns0:t>X</ns0:t>
        </ns0:is>
      </ns0:c>
      <ns0:c xmlns:ns0="http://schemas.openxmlformats.org/spreadsheetml/2006/main" r="AF366" s="16" t="str">
        <ns0:v>(1:1),(2:2)</ns0:v>
      </ns0:c>
      <ns0:c xmlns:ns0="http://schemas.openxmlformats.org/spreadsheetml/2006/main" r="AG366" s="16" t="inlineStr">
        <ns0:is>
          <ns0:t>Simulation\Resistors\MY_LIB_R_TCR.ckt</ns0:t>
        </ns0:is>
      </ns0:c>
      <ns0:c xmlns:ns0="http://schemas.openxmlformats.org/spreadsheetml/2006/main" r="AH366" s="16" t="inlineStr">
        <ns0:is>
          <ns0:t>±100 ppm/°C</ns0:t>
        </ns0:is>
      </ns0:c>
    </ns0:row>
    <ns0:row xmlns:ns0="http://schemas.openxmlformats.org/spreadsheetml/2006/main" r="367" ht="30" customHeight="1">
      <ns0:c r="A367" t="str" s="10">
        <ns0:v>R0373</ns0:v>
      </ns0:c>
      <ns0:c r="B367" t="str" s="10">
        <ns0:v>Резистор</ns0:v>
      </ns0:c>
      <ns0:c r="C367" t="str" s="10">
        <ns0:v>1.1k</ns0:v>
      </ns0:c>
      <ns0:c r="D367" t="str" s="11">
        <ns0:f>SUBSTITUTE(SUBSTITUTE(SUBSTITUTE(SUBSTITUTE(C367,"meg"," МОм"),"k"," кОм"),"R"," Ом"),".",",")</ns0:f>
        <ns0:v>1,1 кОм</ns0:v>
      </ns0:c>
      <ns0:c r="E367" t="str" s="10">
        <ns0:v>±1%</ns0:v>
      </ns0:c>
      <ns0:c r="F367" t="str" s="10">
        <ns0:v>0,1 Вт</ns0:v>
      </ns0:c>
      <ns0:c r="G367" t="str" s="10">
        <ns0:v>75 В макс.</ns0:v>
      </ns0:c>
      <ns0:c r="H367" t="str" s="12">
        <ns0:v>0603</ns0:v>
      </ns0:c>
      <ns0:c r="I367" t="str" s="10">
        <ns0:v>YAGEO</ns0:v>
      </ns0:c>
      <ns0:c r="J367" t="str" s="10">
        <ns0:v>RC0603FR-071K1L</ns0:v>
      </ns0:c>
      <ns0:c r="K367" t="str" s="11">
        <ns0:f>B367&amp;" "&amp;D367&amp;" "&amp;E367&amp;" "&amp;H367</ns0:f>
        <ns0:v>Резистор 1,1 кОм ±1% 0603</ns0:v>
      </ns0:c>
      <ns0:c r="L367" t="str" s="13">
        <ns0:v>R</ns0:v>
      </ns0:c>
      <ns0:c r="M367" t="str" s="13">
        <ns0:v>Symbols\MY_LIB_Resistors.SchLib</ns0:v>
      </ns0:c>
      <ns0:c r="N367" t="str" s="13">
        <ns0:v>RESC1608X55N</ns0:v>
      </ns0:c>
      <ns0:c r="O367" t="str" s="13">
        <ns0:v>Footprints\PBL - SMD Packages.PcbLib</ns0:v>
      </ns0:c>
      <ns0:c xmlns:ns0="http://schemas.openxmlformats.org/spreadsheetml/2006/main" r="P36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7" s="10"/>
      <ns0:c r="R367" t="str" s="11">
        <ns0:f>D367</ns0:f>
        <ns0:v>1,1 кОм</ns0:v>
      </ns0:c>
      <ns0:c r="S367" t="str" s="11">
        <ns0:f>K367</ns0:f>
        <ns0:v>Резистор 1,1 кОм ±1% 0603</ns0:v>
      </ns0:c>
      <x:c xmlns:x="http://schemas.openxmlformats.org/spreadsheetml/2006/main" r="T367" t="str" s="11">
        <x:v>C:\Users\Nomatin\Documents\Altium\MY_LIB\MY_LIB\Datasheets\YAGEO_RC_L.pdf</x:v>
      </x:c>
      <x:c xmlns:x="http://schemas.openxmlformats.org/spreadsheetml/2006/main" r="U367" t="str" s="11">
        <x:v>Даташит — локальный</x:v>
      </x:c>
      <x:c xmlns:x="http://schemas.openxmlformats.org/spreadsheetml/2006/main" r="V367" t="str" s="11">
        <x:v>C:\Users\Nomatin\Documents\Altium\MY_LIB\MY_LIB\Datasheets\YAGEO_RC_L.pdf</x:v>
      </x:c>
      <x:c xmlns:x="http://schemas.openxmlformats.org/spreadsheetml/2006/main" r="W367" t="str" s="11">
        <x:v>Даташит — производитель</x:v>
      </x:c>
      <x:c xmlns:x="http://schemas.openxmlformats.org/spreadsheetml/2006/main" r="X367" t="str" s="11">
        <x:v>https://yageogroup.com/content/datasheet/asset/file/PYU-RC_GROUP_51_ROHS_L</x:v>
      </x:c>
      <x:c xmlns:x="http://schemas.openxmlformats.org/spreadsheetml/2006/main" r="Y367" t="str" s="11">
        <x:v>C:\Users\Nomatin\Documents\Altium\MY_LIB\MY_LIB\Datasheets\YAGEO_RC_L.pdf</x:v>
      </x:c>
      <ns0:c xmlns:ns0="http://schemas.openxmlformats.org/spreadsheetml/2006/main" r="Z367" s="16" t="inlineStr">
        <ns0:is>
          <ns0:t>MY_LIB_R_TCR</ns0:t>
        </ns0:is>
      </ns0:c>
      <ns0:c xmlns:ns0="http://schemas.openxmlformats.org/spreadsheetml/2006/main" r="AA367" s="16" t="inlineStr">
        <ns0:is>
          <ns0:t>R(T), +100 ppm/C at 25 C; positive datasheet limit</ns0:t>
        </ns0:is>
      </ns0:c>
      <ns0:c xmlns:ns0="http://schemas.openxmlformats.org/spreadsheetml/2006/main" r="AB367" s="16" t="str">
        <ns0:v>General</ns0:v>
      </ns0:c>
      <ns0:c xmlns:ns0="http://schemas.openxmlformats.org/spreadsheetml/2006/main" r="AC367" s="16" t="inlineStr">
        <ns0:is>
          <ns0:t>Spice Subcircuit</ns0:t>
        </ns0:is>
      </ns0:c>
      <ns0:c xmlns:ns0="http://schemas.openxmlformats.org/spreadsheetml/2006/main" r="AD367" s="16" t="inlineStr">
        <ns0:is>
          <ns0:t>@DESIGNATOR %1 %2 @MODEL PARAMS: Rvalue=@VALUE TC1value=100u</ns0:t>
        </ns0:is>
      </ns0:c>
      <ns0:c xmlns:ns0="http://schemas.openxmlformats.org/spreadsheetml/2006/main" r="AE367" s="16" t="inlineStr">
        <ns0:is>
          <ns0:t>X</ns0:t>
        </ns0:is>
      </ns0:c>
      <ns0:c xmlns:ns0="http://schemas.openxmlformats.org/spreadsheetml/2006/main" r="AF367" s="16" t="str">
        <ns0:v>(1:1),(2:2)</ns0:v>
      </ns0:c>
      <ns0:c xmlns:ns0="http://schemas.openxmlformats.org/spreadsheetml/2006/main" r="AG367" s="16" t="inlineStr">
        <ns0:is>
          <ns0:t>Simulation\Resistors\MY_LIB_R_TCR.ckt</ns0:t>
        </ns0:is>
      </ns0:c>
      <ns0:c xmlns:ns0="http://schemas.openxmlformats.org/spreadsheetml/2006/main" r="AH367" s="16" t="inlineStr">
        <ns0:is>
          <ns0:t>±100 ppm/°C</ns0:t>
        </ns0:is>
      </ns0:c>
    </ns0:row>
    <ns0:row xmlns:ns0="http://schemas.openxmlformats.org/spreadsheetml/2006/main" r="368" ht="30" customHeight="1">
      <ns0:c r="A368" t="str" s="10">
        <ns0:v>R0374</ns0:v>
      </ns0:c>
      <ns0:c r="B368" t="str" s="10">
        <ns0:v>Резистор</ns0:v>
      </ns0:c>
      <ns0:c r="C368" t="str" s="10">
        <ns0:v>1.2k</ns0:v>
      </ns0:c>
      <ns0:c r="D368" t="str" s="11">
        <ns0:f>SUBSTITUTE(SUBSTITUTE(SUBSTITUTE(SUBSTITUTE(C368,"meg"," МОм"),"k"," кОм"),"R"," Ом"),".",",")</ns0:f>
        <ns0:v>1,2 кОм</ns0:v>
      </ns0:c>
      <ns0:c r="E368" t="str" s="10">
        <ns0:v>±1%</ns0:v>
      </ns0:c>
      <ns0:c r="F368" t="str" s="10">
        <ns0:v>0,1 Вт</ns0:v>
      </ns0:c>
      <ns0:c r="G368" t="str" s="10">
        <ns0:v>75 В макс.</ns0:v>
      </ns0:c>
      <ns0:c r="H368" t="str" s="12">
        <ns0:v>0603</ns0:v>
      </ns0:c>
      <ns0:c r="I368" t="str" s="10">
        <ns0:v>YAGEO</ns0:v>
      </ns0:c>
      <ns0:c r="J368" t="str" s="10">
        <ns0:v>RC0603FR-071K2L</ns0:v>
      </ns0:c>
      <ns0:c r="K368" t="str" s="11">
        <ns0:f>B368&amp;" "&amp;D368&amp;" "&amp;E368&amp;" "&amp;H368</ns0:f>
        <ns0:v>Резистор 1,2 кОм ±1% 0603</ns0:v>
      </ns0:c>
      <ns0:c r="L368" t="str" s="13">
        <ns0:v>R</ns0:v>
      </ns0:c>
      <ns0:c r="M368" t="str" s="13">
        <ns0:v>Symbols\MY_LIB_Resistors.SchLib</ns0:v>
      </ns0:c>
      <ns0:c r="N368" t="str" s="13">
        <ns0:v>RESC1608X55N</ns0:v>
      </ns0:c>
      <ns0:c r="O368" t="str" s="13">
        <ns0:v>Footprints\PBL - SMD Packages.PcbLib</ns0:v>
      </ns0:c>
      <ns0:c xmlns:ns0="http://schemas.openxmlformats.org/spreadsheetml/2006/main" r="P36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8" s="10"/>
      <ns0:c r="R368" t="str" s="11">
        <ns0:f>D368</ns0:f>
        <ns0:v>1,2 кОм</ns0:v>
      </ns0:c>
      <ns0:c r="S368" t="str" s="11">
        <ns0:f>K368</ns0:f>
        <ns0:v>Резистор 1,2 кОм ±1% 0603</ns0:v>
      </ns0:c>
      <x:c xmlns:x="http://schemas.openxmlformats.org/spreadsheetml/2006/main" r="T368" t="str" s="11">
        <x:v>C:\Users\Nomatin\Documents\Altium\MY_LIB\MY_LIB\Datasheets\YAGEO_RC_L.pdf</x:v>
      </x:c>
      <x:c xmlns:x="http://schemas.openxmlformats.org/spreadsheetml/2006/main" r="U368" t="str" s="11">
        <x:v>Даташит — локальный</x:v>
      </x:c>
      <x:c xmlns:x="http://schemas.openxmlformats.org/spreadsheetml/2006/main" r="V368" t="str" s="11">
        <x:v>C:\Users\Nomatin\Documents\Altium\MY_LIB\MY_LIB\Datasheets\YAGEO_RC_L.pdf</x:v>
      </x:c>
      <x:c xmlns:x="http://schemas.openxmlformats.org/spreadsheetml/2006/main" r="W368" t="str" s="11">
        <x:v>Даташит — производитель</x:v>
      </x:c>
      <x:c xmlns:x="http://schemas.openxmlformats.org/spreadsheetml/2006/main" r="X368" t="str" s="11">
        <x:v>https://yageogroup.com/content/datasheet/asset/file/PYU-RC_GROUP_51_ROHS_L</x:v>
      </x:c>
      <x:c xmlns:x="http://schemas.openxmlformats.org/spreadsheetml/2006/main" r="Y368" t="str" s="11">
        <x:v>C:\Users\Nomatin\Documents\Altium\MY_LIB\MY_LIB\Datasheets\YAGEO_RC_L.pdf</x:v>
      </x:c>
      <ns0:c xmlns:ns0="http://schemas.openxmlformats.org/spreadsheetml/2006/main" r="Z368" s="16" t="inlineStr">
        <ns0:is>
          <ns0:t>MY_LIB_R_TCR</ns0:t>
        </ns0:is>
      </ns0:c>
      <ns0:c xmlns:ns0="http://schemas.openxmlformats.org/spreadsheetml/2006/main" r="AA368" s="16" t="inlineStr">
        <ns0:is>
          <ns0:t>R(T), +100 ppm/C at 25 C; positive datasheet limit</ns0:t>
        </ns0:is>
      </ns0:c>
      <ns0:c xmlns:ns0="http://schemas.openxmlformats.org/spreadsheetml/2006/main" r="AB368" s="16" t="str">
        <ns0:v>General</ns0:v>
      </ns0:c>
      <ns0:c xmlns:ns0="http://schemas.openxmlformats.org/spreadsheetml/2006/main" r="AC368" s="16" t="inlineStr">
        <ns0:is>
          <ns0:t>Spice Subcircuit</ns0:t>
        </ns0:is>
      </ns0:c>
      <ns0:c xmlns:ns0="http://schemas.openxmlformats.org/spreadsheetml/2006/main" r="AD368" s="16" t="inlineStr">
        <ns0:is>
          <ns0:t>@DESIGNATOR %1 %2 @MODEL PARAMS: Rvalue=@VALUE TC1value=100u</ns0:t>
        </ns0:is>
      </ns0:c>
      <ns0:c xmlns:ns0="http://schemas.openxmlformats.org/spreadsheetml/2006/main" r="AE368" s="16" t="inlineStr">
        <ns0:is>
          <ns0:t>X</ns0:t>
        </ns0:is>
      </ns0:c>
      <ns0:c xmlns:ns0="http://schemas.openxmlformats.org/spreadsheetml/2006/main" r="AF368" s="16" t="str">
        <ns0:v>(1:1),(2:2)</ns0:v>
      </ns0:c>
      <ns0:c xmlns:ns0="http://schemas.openxmlformats.org/spreadsheetml/2006/main" r="AG368" s="16" t="inlineStr">
        <ns0:is>
          <ns0:t>Simulation\Resistors\MY_LIB_R_TCR.ckt</ns0:t>
        </ns0:is>
      </ns0:c>
      <ns0:c xmlns:ns0="http://schemas.openxmlformats.org/spreadsheetml/2006/main" r="AH368" s="16" t="inlineStr">
        <ns0:is>
          <ns0:t>±100 ppm/°C</ns0:t>
        </ns0:is>
      </ns0:c>
    </ns0:row>
    <ns0:row xmlns:ns0="http://schemas.openxmlformats.org/spreadsheetml/2006/main" r="369" ht="30" customHeight="1">
      <ns0:c r="A369" t="str" s="10">
        <ns0:v>R0375</ns0:v>
      </ns0:c>
      <ns0:c r="B369" t="str" s="10">
        <ns0:v>Резистор</ns0:v>
      </ns0:c>
      <ns0:c r="C369" t="str" s="10">
        <ns0:v>1.3k</ns0:v>
      </ns0:c>
      <ns0:c r="D369" t="str" s="11">
        <ns0:f>SUBSTITUTE(SUBSTITUTE(SUBSTITUTE(SUBSTITUTE(C369,"meg"," МОм"),"k"," кОм"),"R"," Ом"),".",",")</ns0:f>
        <ns0:v>1,3 кОм</ns0:v>
      </ns0:c>
      <ns0:c r="E369" t="str" s="10">
        <ns0:v>±1%</ns0:v>
      </ns0:c>
      <ns0:c r="F369" t="str" s="10">
        <ns0:v>0,1 Вт</ns0:v>
      </ns0:c>
      <ns0:c r="G369" t="str" s="10">
        <ns0:v>75 В макс.</ns0:v>
      </ns0:c>
      <ns0:c r="H369" t="str" s="12">
        <ns0:v>0603</ns0:v>
      </ns0:c>
      <ns0:c r="I369" t="str" s="10">
        <ns0:v>YAGEO</ns0:v>
      </ns0:c>
      <ns0:c r="J369" t="str" s="10">
        <ns0:v>RC0603FR-071K3L</ns0:v>
      </ns0:c>
      <ns0:c r="K369" t="str" s="11">
        <ns0:f>B369&amp;" "&amp;D369&amp;" "&amp;E369&amp;" "&amp;H369</ns0:f>
        <ns0:v>Резистор 1,3 кОм ±1% 0603</ns0:v>
      </ns0:c>
      <ns0:c r="L369" t="str" s="13">
        <ns0:v>R</ns0:v>
      </ns0:c>
      <ns0:c r="M369" t="str" s="13">
        <ns0:v>Symbols\MY_LIB_Resistors.SchLib</ns0:v>
      </ns0:c>
      <ns0:c r="N369" t="str" s="13">
        <ns0:v>RESC1608X55N</ns0:v>
      </ns0:c>
      <ns0:c r="O369" t="str" s="13">
        <ns0:v>Footprints\PBL - SMD Packages.PcbLib</ns0:v>
      </ns0:c>
      <ns0:c xmlns:ns0="http://schemas.openxmlformats.org/spreadsheetml/2006/main" r="P36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69" s="10"/>
      <ns0:c r="R369" t="str" s="11">
        <ns0:f>D369</ns0:f>
        <ns0:v>1,3 кОм</ns0:v>
      </ns0:c>
      <ns0:c r="S369" t="str" s="11">
        <ns0:f>K369</ns0:f>
        <ns0:v>Резистор 1,3 кОм ±1% 0603</ns0:v>
      </ns0:c>
      <x:c xmlns:x="http://schemas.openxmlformats.org/spreadsheetml/2006/main" r="T369" t="str" s="11">
        <x:v>C:\Users\Nomatin\Documents\Altium\MY_LIB\MY_LIB\Datasheets\YAGEO_RC_L.pdf</x:v>
      </x:c>
      <x:c xmlns:x="http://schemas.openxmlformats.org/spreadsheetml/2006/main" r="U369" t="str" s="11">
        <x:v>Даташит — локальный</x:v>
      </x:c>
      <x:c xmlns:x="http://schemas.openxmlformats.org/spreadsheetml/2006/main" r="V369" t="str" s="11">
        <x:v>C:\Users\Nomatin\Documents\Altium\MY_LIB\MY_LIB\Datasheets\YAGEO_RC_L.pdf</x:v>
      </x:c>
      <x:c xmlns:x="http://schemas.openxmlformats.org/spreadsheetml/2006/main" r="W369" t="str" s="11">
        <x:v>Даташит — производитель</x:v>
      </x:c>
      <x:c xmlns:x="http://schemas.openxmlformats.org/spreadsheetml/2006/main" r="X369" t="str" s="11">
        <x:v>https://yageogroup.com/content/datasheet/asset/file/PYU-RC_GROUP_51_ROHS_L</x:v>
      </x:c>
      <x:c xmlns:x="http://schemas.openxmlformats.org/spreadsheetml/2006/main" r="Y369" t="str" s="11">
        <x:v>C:\Users\Nomatin\Documents\Altium\MY_LIB\MY_LIB\Datasheets\YAGEO_RC_L.pdf</x:v>
      </x:c>
      <ns0:c xmlns:ns0="http://schemas.openxmlformats.org/spreadsheetml/2006/main" r="Z369" s="16" t="inlineStr">
        <ns0:is>
          <ns0:t>MY_LIB_R_TCR</ns0:t>
        </ns0:is>
      </ns0:c>
      <ns0:c xmlns:ns0="http://schemas.openxmlformats.org/spreadsheetml/2006/main" r="AA369" s="16" t="inlineStr">
        <ns0:is>
          <ns0:t>R(T), +100 ppm/C at 25 C; positive datasheet limit</ns0:t>
        </ns0:is>
      </ns0:c>
      <ns0:c xmlns:ns0="http://schemas.openxmlformats.org/spreadsheetml/2006/main" r="AB369" s="16" t="str">
        <ns0:v>General</ns0:v>
      </ns0:c>
      <ns0:c xmlns:ns0="http://schemas.openxmlformats.org/spreadsheetml/2006/main" r="AC369" s="16" t="inlineStr">
        <ns0:is>
          <ns0:t>Spice Subcircuit</ns0:t>
        </ns0:is>
      </ns0:c>
      <ns0:c xmlns:ns0="http://schemas.openxmlformats.org/spreadsheetml/2006/main" r="AD369" s="16" t="inlineStr">
        <ns0:is>
          <ns0:t>@DESIGNATOR %1 %2 @MODEL PARAMS: Rvalue=@VALUE TC1value=100u</ns0:t>
        </ns0:is>
      </ns0:c>
      <ns0:c xmlns:ns0="http://schemas.openxmlformats.org/spreadsheetml/2006/main" r="AE369" s="16" t="inlineStr">
        <ns0:is>
          <ns0:t>X</ns0:t>
        </ns0:is>
      </ns0:c>
      <ns0:c xmlns:ns0="http://schemas.openxmlformats.org/spreadsheetml/2006/main" r="AF369" s="16" t="str">
        <ns0:v>(1:1),(2:2)</ns0:v>
      </ns0:c>
      <ns0:c xmlns:ns0="http://schemas.openxmlformats.org/spreadsheetml/2006/main" r="AG369" s="16" t="inlineStr">
        <ns0:is>
          <ns0:t>Simulation\Resistors\MY_LIB_R_TCR.ckt</ns0:t>
        </ns0:is>
      </ns0:c>
      <ns0:c xmlns:ns0="http://schemas.openxmlformats.org/spreadsheetml/2006/main" r="AH369" s="16" t="inlineStr">
        <ns0:is>
          <ns0:t>±100 ppm/°C</ns0:t>
        </ns0:is>
      </ns0:c>
    </ns0:row>
    <ns0:row xmlns:ns0="http://schemas.openxmlformats.org/spreadsheetml/2006/main" r="370" ht="30" customHeight="1">
      <ns0:c r="A370" t="str" s="10">
        <ns0:v>R0376</ns0:v>
      </ns0:c>
      <ns0:c r="B370" t="str" s="10">
        <ns0:v>Резистор</ns0:v>
      </ns0:c>
      <ns0:c r="C370" t="str" s="10">
        <ns0:v>1.5k</ns0:v>
      </ns0:c>
      <ns0:c r="D370" t="str" s="11">
        <ns0:f>SUBSTITUTE(SUBSTITUTE(SUBSTITUTE(SUBSTITUTE(C370,"meg"," МОм"),"k"," кОм"),"R"," Ом"),".",",")</ns0:f>
        <ns0:v>1,5 кОм</ns0:v>
      </ns0:c>
      <ns0:c r="E370" t="str" s="10">
        <ns0:v>±1%</ns0:v>
      </ns0:c>
      <ns0:c r="F370" t="str" s="10">
        <ns0:v>0,1 Вт</ns0:v>
      </ns0:c>
      <ns0:c r="G370" t="str" s="10">
        <ns0:v>75 В макс.</ns0:v>
      </ns0:c>
      <ns0:c r="H370" t="str" s="12">
        <ns0:v>0603</ns0:v>
      </ns0:c>
      <ns0:c r="I370" t="str" s="10">
        <ns0:v>YAGEO</ns0:v>
      </ns0:c>
      <ns0:c r="J370" t="str" s="10">
        <ns0:v>RC0603FR-071K5L</ns0:v>
      </ns0:c>
      <ns0:c r="K370" t="str" s="11">
        <ns0:f>B370&amp;" "&amp;D370&amp;" "&amp;E370&amp;" "&amp;H370</ns0:f>
        <ns0:v>Резистор 1,5 кОм ±1% 0603</ns0:v>
      </ns0:c>
      <ns0:c r="L370" t="str" s="13">
        <ns0:v>R</ns0:v>
      </ns0:c>
      <ns0:c r="M370" t="str" s="13">
        <ns0:v>Symbols\MY_LIB_Resistors.SchLib</ns0:v>
      </ns0:c>
      <ns0:c r="N370" t="str" s="13">
        <ns0:v>RESC1608X55N</ns0:v>
      </ns0:c>
      <ns0:c r="O370" t="str" s="13">
        <ns0:v>Footprints\PBL - SMD Packages.PcbLib</ns0:v>
      </ns0:c>
      <ns0:c xmlns:ns0="http://schemas.openxmlformats.org/spreadsheetml/2006/main" r="P37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0" s="10"/>
      <ns0:c r="R370" t="str" s="11">
        <ns0:f>D370</ns0:f>
        <ns0:v>1,5 кОм</ns0:v>
      </ns0:c>
      <ns0:c r="S370" t="str" s="11">
        <ns0:f>K370</ns0:f>
        <ns0:v>Резистор 1,5 кОм ±1% 0603</ns0:v>
      </ns0:c>
      <x:c xmlns:x="http://schemas.openxmlformats.org/spreadsheetml/2006/main" r="T370" t="str" s="11">
        <x:v>C:\Users\Nomatin\Documents\Altium\MY_LIB\MY_LIB\Datasheets\YAGEO_RC_L.pdf</x:v>
      </x:c>
      <x:c xmlns:x="http://schemas.openxmlformats.org/spreadsheetml/2006/main" r="U370" t="str" s="11">
        <x:v>Даташит — локальный</x:v>
      </x:c>
      <x:c xmlns:x="http://schemas.openxmlformats.org/spreadsheetml/2006/main" r="V370" t="str" s="11">
        <x:v>C:\Users\Nomatin\Documents\Altium\MY_LIB\MY_LIB\Datasheets\YAGEO_RC_L.pdf</x:v>
      </x:c>
      <x:c xmlns:x="http://schemas.openxmlformats.org/spreadsheetml/2006/main" r="W370" t="str" s="11">
        <x:v>Даташит — производитель</x:v>
      </x:c>
      <x:c xmlns:x="http://schemas.openxmlformats.org/spreadsheetml/2006/main" r="X370" t="str" s="11">
        <x:v>https://yageogroup.com/content/datasheet/asset/file/PYU-RC_GROUP_51_ROHS_L</x:v>
      </x:c>
      <x:c xmlns:x="http://schemas.openxmlformats.org/spreadsheetml/2006/main" r="Y370" t="str" s="11">
        <x:v>C:\Users\Nomatin\Documents\Altium\MY_LIB\MY_LIB\Datasheets\YAGEO_RC_L.pdf</x:v>
      </x:c>
      <ns0:c xmlns:ns0="http://schemas.openxmlformats.org/spreadsheetml/2006/main" r="Z370" s="16" t="inlineStr">
        <ns0:is>
          <ns0:t>MY_LIB_R_TCR</ns0:t>
        </ns0:is>
      </ns0:c>
      <ns0:c xmlns:ns0="http://schemas.openxmlformats.org/spreadsheetml/2006/main" r="AA370" s="16" t="inlineStr">
        <ns0:is>
          <ns0:t>R(T), +100 ppm/C at 25 C; positive datasheet limit</ns0:t>
        </ns0:is>
      </ns0:c>
      <ns0:c xmlns:ns0="http://schemas.openxmlformats.org/spreadsheetml/2006/main" r="AB370" s="16" t="str">
        <ns0:v>General</ns0:v>
      </ns0:c>
      <ns0:c xmlns:ns0="http://schemas.openxmlformats.org/spreadsheetml/2006/main" r="AC370" s="16" t="inlineStr">
        <ns0:is>
          <ns0:t>Spice Subcircuit</ns0:t>
        </ns0:is>
      </ns0:c>
      <ns0:c xmlns:ns0="http://schemas.openxmlformats.org/spreadsheetml/2006/main" r="AD370" s="16" t="inlineStr">
        <ns0:is>
          <ns0:t>@DESIGNATOR %1 %2 @MODEL PARAMS: Rvalue=@VALUE TC1value=100u</ns0:t>
        </ns0:is>
      </ns0:c>
      <ns0:c xmlns:ns0="http://schemas.openxmlformats.org/spreadsheetml/2006/main" r="AE370" s="16" t="inlineStr">
        <ns0:is>
          <ns0:t>X</ns0:t>
        </ns0:is>
      </ns0:c>
      <ns0:c xmlns:ns0="http://schemas.openxmlformats.org/spreadsheetml/2006/main" r="AF370" s="16" t="str">
        <ns0:v>(1:1),(2:2)</ns0:v>
      </ns0:c>
      <ns0:c xmlns:ns0="http://schemas.openxmlformats.org/spreadsheetml/2006/main" r="AG370" s="16" t="inlineStr">
        <ns0:is>
          <ns0:t>Simulation\Resistors\MY_LIB_R_TCR.ckt</ns0:t>
        </ns0:is>
      </ns0:c>
      <ns0:c xmlns:ns0="http://schemas.openxmlformats.org/spreadsheetml/2006/main" r="AH370" s="16" t="inlineStr">
        <ns0:is>
          <ns0:t>±100 ppm/°C</ns0:t>
        </ns0:is>
      </ns0:c>
    </ns0:row>
    <ns0:row xmlns:ns0="http://schemas.openxmlformats.org/spreadsheetml/2006/main" r="371" ht="30" customHeight="1">
      <ns0:c r="A371" t="str" s="10">
        <ns0:v>R0377</ns0:v>
      </ns0:c>
      <ns0:c r="B371" t="str" s="10">
        <ns0:v>Резистор</ns0:v>
      </ns0:c>
      <ns0:c r="C371" t="str" s="10">
        <ns0:v>1.6k</ns0:v>
      </ns0:c>
      <ns0:c r="D371" t="str" s="11">
        <ns0:f>SUBSTITUTE(SUBSTITUTE(SUBSTITUTE(SUBSTITUTE(C371,"meg"," МОм"),"k"," кОм"),"R"," Ом"),".",",")</ns0:f>
        <ns0:v>1,6 кОм</ns0:v>
      </ns0:c>
      <ns0:c r="E371" t="str" s="10">
        <ns0:v>±1%</ns0:v>
      </ns0:c>
      <ns0:c r="F371" t="str" s="10">
        <ns0:v>0,1 Вт</ns0:v>
      </ns0:c>
      <ns0:c r="G371" t="str" s="10">
        <ns0:v>75 В макс.</ns0:v>
      </ns0:c>
      <ns0:c r="H371" t="str" s="12">
        <ns0:v>0603</ns0:v>
      </ns0:c>
      <ns0:c r="I371" t="str" s="10">
        <ns0:v>YAGEO</ns0:v>
      </ns0:c>
      <ns0:c r="J371" t="str" s="10">
        <ns0:v>RC0603FR-071K6L</ns0:v>
      </ns0:c>
      <ns0:c r="K371" t="str" s="11">
        <ns0:f>B371&amp;" "&amp;D371&amp;" "&amp;E371&amp;" "&amp;H371</ns0:f>
        <ns0:v>Резистор 1,6 кОм ±1% 0603</ns0:v>
      </ns0:c>
      <ns0:c r="L371" t="str" s="13">
        <ns0:v>R</ns0:v>
      </ns0:c>
      <ns0:c r="M371" t="str" s="13">
        <ns0:v>Symbols\MY_LIB_Resistors.SchLib</ns0:v>
      </ns0:c>
      <ns0:c r="N371" t="str" s="13">
        <ns0:v>RESC1608X55N</ns0:v>
      </ns0:c>
      <ns0:c r="O371" t="str" s="13">
        <ns0:v>Footprints\PBL - SMD Packages.PcbLib</ns0:v>
      </ns0:c>
      <ns0:c xmlns:ns0="http://schemas.openxmlformats.org/spreadsheetml/2006/main" r="P37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1" s="10"/>
      <ns0:c r="R371" t="str" s="11">
        <ns0:f>D371</ns0:f>
        <ns0:v>1,6 кОм</ns0:v>
      </ns0:c>
      <ns0:c r="S371" t="str" s="11">
        <ns0:f>K371</ns0:f>
        <ns0:v>Резистор 1,6 кОм ±1% 0603</ns0:v>
      </ns0:c>
      <x:c xmlns:x="http://schemas.openxmlformats.org/spreadsheetml/2006/main" r="T371" t="str" s="11">
        <x:v>C:\Users\Nomatin\Documents\Altium\MY_LIB\MY_LIB\Datasheets\YAGEO_RC_L.pdf</x:v>
      </x:c>
      <x:c xmlns:x="http://schemas.openxmlformats.org/spreadsheetml/2006/main" r="U371" t="str" s="11">
        <x:v>Даташит — локальный</x:v>
      </x:c>
      <x:c xmlns:x="http://schemas.openxmlformats.org/spreadsheetml/2006/main" r="V371" t="str" s="11">
        <x:v>C:\Users\Nomatin\Documents\Altium\MY_LIB\MY_LIB\Datasheets\YAGEO_RC_L.pdf</x:v>
      </x:c>
      <x:c xmlns:x="http://schemas.openxmlformats.org/spreadsheetml/2006/main" r="W371" t="str" s="11">
        <x:v>Даташит — производитель</x:v>
      </x:c>
      <x:c xmlns:x="http://schemas.openxmlformats.org/spreadsheetml/2006/main" r="X371" t="str" s="11">
        <x:v>https://yageogroup.com/content/datasheet/asset/file/PYU-RC_GROUP_51_ROHS_L</x:v>
      </x:c>
      <x:c xmlns:x="http://schemas.openxmlformats.org/spreadsheetml/2006/main" r="Y371" t="str" s="11">
        <x:v>C:\Users\Nomatin\Documents\Altium\MY_LIB\MY_LIB\Datasheets\YAGEO_RC_L.pdf</x:v>
      </x:c>
      <ns0:c xmlns:ns0="http://schemas.openxmlformats.org/spreadsheetml/2006/main" r="Z371" s="16" t="inlineStr">
        <ns0:is>
          <ns0:t>MY_LIB_R_TCR</ns0:t>
        </ns0:is>
      </ns0:c>
      <ns0:c xmlns:ns0="http://schemas.openxmlformats.org/spreadsheetml/2006/main" r="AA371" s="16" t="inlineStr">
        <ns0:is>
          <ns0:t>R(T), +100 ppm/C at 25 C; positive datasheet limit</ns0:t>
        </ns0:is>
      </ns0:c>
      <ns0:c xmlns:ns0="http://schemas.openxmlformats.org/spreadsheetml/2006/main" r="AB371" s="16" t="str">
        <ns0:v>General</ns0:v>
      </ns0:c>
      <ns0:c xmlns:ns0="http://schemas.openxmlformats.org/spreadsheetml/2006/main" r="AC371" s="16" t="inlineStr">
        <ns0:is>
          <ns0:t>Spice Subcircuit</ns0:t>
        </ns0:is>
      </ns0:c>
      <ns0:c xmlns:ns0="http://schemas.openxmlformats.org/spreadsheetml/2006/main" r="AD371" s="16" t="inlineStr">
        <ns0:is>
          <ns0:t>@DESIGNATOR %1 %2 @MODEL PARAMS: Rvalue=@VALUE TC1value=100u</ns0:t>
        </ns0:is>
      </ns0:c>
      <ns0:c xmlns:ns0="http://schemas.openxmlformats.org/spreadsheetml/2006/main" r="AE371" s="16" t="inlineStr">
        <ns0:is>
          <ns0:t>X</ns0:t>
        </ns0:is>
      </ns0:c>
      <ns0:c xmlns:ns0="http://schemas.openxmlformats.org/spreadsheetml/2006/main" r="AF371" s="16" t="str">
        <ns0:v>(1:1),(2:2)</ns0:v>
      </ns0:c>
      <ns0:c xmlns:ns0="http://schemas.openxmlformats.org/spreadsheetml/2006/main" r="AG371" s="16" t="inlineStr">
        <ns0:is>
          <ns0:t>Simulation\Resistors\MY_LIB_R_TCR.ckt</ns0:t>
        </ns0:is>
      </ns0:c>
      <ns0:c xmlns:ns0="http://schemas.openxmlformats.org/spreadsheetml/2006/main" r="AH371" s="16" t="inlineStr">
        <ns0:is>
          <ns0:t>±100 ppm/°C</ns0:t>
        </ns0:is>
      </ns0:c>
    </ns0:row>
    <ns0:row xmlns:ns0="http://schemas.openxmlformats.org/spreadsheetml/2006/main" r="372" ht="30" customHeight="1">
      <ns0:c r="A372" t="str" s="10">
        <ns0:v>R0378</ns0:v>
      </ns0:c>
      <ns0:c r="B372" t="str" s="10">
        <ns0:v>Резистор</ns0:v>
      </ns0:c>
      <ns0:c r="C372" t="str" s="10">
        <ns0:v>1.8k</ns0:v>
      </ns0:c>
      <ns0:c r="D372" t="str" s="11">
        <ns0:f>SUBSTITUTE(SUBSTITUTE(SUBSTITUTE(SUBSTITUTE(C372,"meg"," МОм"),"k"," кОм"),"R"," Ом"),".",",")</ns0:f>
        <ns0:v>1,8 кОм</ns0:v>
      </ns0:c>
      <ns0:c r="E372" t="str" s="10">
        <ns0:v>±1%</ns0:v>
      </ns0:c>
      <ns0:c r="F372" t="str" s="10">
        <ns0:v>0,1 Вт</ns0:v>
      </ns0:c>
      <ns0:c r="G372" t="str" s="10">
        <ns0:v>75 В макс.</ns0:v>
      </ns0:c>
      <ns0:c r="H372" t="str" s="12">
        <ns0:v>0603</ns0:v>
      </ns0:c>
      <ns0:c r="I372" t="str" s="10">
        <ns0:v>YAGEO</ns0:v>
      </ns0:c>
      <ns0:c r="J372" t="str" s="10">
        <ns0:v>RC0603FR-071K8L</ns0:v>
      </ns0:c>
      <ns0:c r="K372" t="str" s="11">
        <ns0:f>B372&amp;" "&amp;D372&amp;" "&amp;E372&amp;" "&amp;H372</ns0:f>
        <ns0:v>Резистор 1,8 кОм ±1% 0603</ns0:v>
      </ns0:c>
      <ns0:c r="L372" t="str" s="13">
        <ns0:v>R</ns0:v>
      </ns0:c>
      <ns0:c r="M372" t="str" s="13">
        <ns0:v>Symbols\MY_LIB_Resistors.SchLib</ns0:v>
      </ns0:c>
      <ns0:c r="N372" t="str" s="13">
        <ns0:v>RESC1608X55N</ns0:v>
      </ns0:c>
      <ns0:c r="O372" t="str" s="13">
        <ns0:v>Footprints\PBL - SMD Packages.PcbLib</ns0:v>
      </ns0:c>
      <ns0:c xmlns:ns0="http://schemas.openxmlformats.org/spreadsheetml/2006/main" r="P37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2" s="10"/>
      <ns0:c r="R372" t="str" s="11">
        <ns0:f>D372</ns0:f>
        <ns0:v>1,8 кОм</ns0:v>
      </ns0:c>
      <ns0:c r="S372" t="str" s="11">
        <ns0:f>K372</ns0:f>
        <ns0:v>Резистор 1,8 кОм ±1% 0603</ns0:v>
      </ns0:c>
      <x:c xmlns:x="http://schemas.openxmlformats.org/spreadsheetml/2006/main" r="T372" t="str" s="11">
        <x:v>C:\Users\Nomatin\Documents\Altium\MY_LIB\MY_LIB\Datasheets\YAGEO_RC_L.pdf</x:v>
      </x:c>
      <x:c xmlns:x="http://schemas.openxmlformats.org/spreadsheetml/2006/main" r="U372" t="str" s="11">
        <x:v>Даташит — локальный</x:v>
      </x:c>
      <x:c xmlns:x="http://schemas.openxmlformats.org/spreadsheetml/2006/main" r="V372" t="str" s="11">
        <x:v>C:\Users\Nomatin\Documents\Altium\MY_LIB\MY_LIB\Datasheets\YAGEO_RC_L.pdf</x:v>
      </x:c>
      <x:c xmlns:x="http://schemas.openxmlformats.org/spreadsheetml/2006/main" r="W372" t="str" s="11">
        <x:v>Даташит — производитель</x:v>
      </x:c>
      <x:c xmlns:x="http://schemas.openxmlformats.org/spreadsheetml/2006/main" r="X372" t="str" s="11">
        <x:v>https://yageogroup.com/content/datasheet/asset/file/PYU-RC_GROUP_51_ROHS_L</x:v>
      </x:c>
      <x:c xmlns:x="http://schemas.openxmlformats.org/spreadsheetml/2006/main" r="Y372" t="str" s="11">
        <x:v>C:\Users\Nomatin\Documents\Altium\MY_LIB\MY_LIB\Datasheets\YAGEO_RC_L.pdf</x:v>
      </x:c>
      <ns0:c xmlns:ns0="http://schemas.openxmlformats.org/spreadsheetml/2006/main" r="Z372" s="16" t="inlineStr">
        <ns0:is>
          <ns0:t>MY_LIB_R_TCR</ns0:t>
        </ns0:is>
      </ns0:c>
      <ns0:c xmlns:ns0="http://schemas.openxmlformats.org/spreadsheetml/2006/main" r="AA372" s="16" t="inlineStr">
        <ns0:is>
          <ns0:t>R(T), +100 ppm/C at 25 C; positive datasheet limit</ns0:t>
        </ns0:is>
      </ns0:c>
      <ns0:c xmlns:ns0="http://schemas.openxmlformats.org/spreadsheetml/2006/main" r="AB372" s="16" t="str">
        <ns0:v>General</ns0:v>
      </ns0:c>
      <ns0:c xmlns:ns0="http://schemas.openxmlformats.org/spreadsheetml/2006/main" r="AC372" s="16" t="inlineStr">
        <ns0:is>
          <ns0:t>Spice Subcircuit</ns0:t>
        </ns0:is>
      </ns0:c>
      <ns0:c xmlns:ns0="http://schemas.openxmlformats.org/spreadsheetml/2006/main" r="AD372" s="16" t="inlineStr">
        <ns0:is>
          <ns0:t>@DESIGNATOR %1 %2 @MODEL PARAMS: Rvalue=@VALUE TC1value=100u</ns0:t>
        </ns0:is>
      </ns0:c>
      <ns0:c xmlns:ns0="http://schemas.openxmlformats.org/spreadsheetml/2006/main" r="AE372" s="16" t="inlineStr">
        <ns0:is>
          <ns0:t>X</ns0:t>
        </ns0:is>
      </ns0:c>
      <ns0:c xmlns:ns0="http://schemas.openxmlformats.org/spreadsheetml/2006/main" r="AF372" s="16" t="str">
        <ns0:v>(1:1),(2:2)</ns0:v>
      </ns0:c>
      <ns0:c xmlns:ns0="http://schemas.openxmlformats.org/spreadsheetml/2006/main" r="AG372" s="16" t="inlineStr">
        <ns0:is>
          <ns0:t>Simulation\Resistors\MY_LIB_R_TCR.ckt</ns0:t>
        </ns0:is>
      </ns0:c>
      <ns0:c xmlns:ns0="http://schemas.openxmlformats.org/spreadsheetml/2006/main" r="AH372" s="16" t="inlineStr">
        <ns0:is>
          <ns0:t>±100 ppm/°C</ns0:t>
        </ns0:is>
      </ns0:c>
    </ns0:row>
    <ns0:row xmlns:ns0="http://schemas.openxmlformats.org/spreadsheetml/2006/main" r="373" ht="30" customHeight="1">
      <ns0:c r="A373" t="str" s="10">
        <ns0:v>R0379</ns0:v>
      </ns0:c>
      <ns0:c r="B373" t="str" s="10">
        <ns0:v>Резистор</ns0:v>
      </ns0:c>
      <ns0:c r="C373" t="str" s="10">
        <ns0:v>2k</ns0:v>
      </ns0:c>
      <ns0:c r="D373" t="str" s="11">
        <ns0:f>SUBSTITUTE(SUBSTITUTE(SUBSTITUTE(SUBSTITUTE(C373,"meg"," МОм"),"k"," кОм"),"R"," Ом"),".",",")</ns0:f>
        <ns0:v>2 кОм</ns0:v>
      </ns0:c>
      <ns0:c r="E373" t="str" s="10">
        <ns0:v>±1%</ns0:v>
      </ns0:c>
      <ns0:c r="F373" t="str" s="10">
        <ns0:v>0,1 Вт</ns0:v>
      </ns0:c>
      <ns0:c r="G373" t="str" s="10">
        <ns0:v>75 В макс.</ns0:v>
      </ns0:c>
      <ns0:c r="H373" t="str" s="12">
        <ns0:v>0603</ns0:v>
      </ns0:c>
      <ns0:c r="I373" t="str" s="10">
        <ns0:v>YAGEO</ns0:v>
      </ns0:c>
      <ns0:c r="J373" t="str" s="10">
        <ns0:v>RC0603FR-072KL</ns0:v>
      </ns0:c>
      <ns0:c r="K373" t="str" s="11">
        <ns0:f>B373&amp;" "&amp;D373&amp;" "&amp;E373&amp;" "&amp;H373</ns0:f>
        <ns0:v>Резистор 2 кОм ±1% 0603</ns0:v>
      </ns0:c>
      <ns0:c r="L373" t="str" s="13">
        <ns0:v>R</ns0:v>
      </ns0:c>
      <ns0:c r="M373" t="str" s="13">
        <ns0:v>Symbols\MY_LIB_Resistors.SchLib</ns0:v>
      </ns0:c>
      <ns0:c r="N373" t="str" s="13">
        <ns0:v>RESC1608X55N</ns0:v>
      </ns0:c>
      <ns0:c r="O373" t="str" s="13">
        <ns0:v>Footprints\PBL - SMD Packages.PcbLib</ns0:v>
      </ns0:c>
      <ns0:c xmlns:ns0="http://schemas.openxmlformats.org/spreadsheetml/2006/main" r="P37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3" s="10"/>
      <ns0:c r="R373" t="str" s="11">
        <ns0:f>D373</ns0:f>
        <ns0:v>2 кОм</ns0:v>
      </ns0:c>
      <ns0:c r="S373" t="str" s="11">
        <ns0:f>K373</ns0:f>
        <ns0:v>Резистор 2 кОм ±1% 0603</ns0:v>
      </ns0:c>
      <x:c xmlns:x="http://schemas.openxmlformats.org/spreadsheetml/2006/main" r="T373" t="str" s="11">
        <x:v>C:\Users\Nomatin\Documents\Altium\MY_LIB\MY_LIB\Datasheets\YAGEO_RC_L.pdf</x:v>
      </x:c>
      <x:c xmlns:x="http://schemas.openxmlformats.org/spreadsheetml/2006/main" r="U373" t="str" s="11">
        <x:v>Даташит — локальный</x:v>
      </x:c>
      <x:c xmlns:x="http://schemas.openxmlformats.org/spreadsheetml/2006/main" r="V373" t="str" s="11">
        <x:v>C:\Users\Nomatin\Documents\Altium\MY_LIB\MY_LIB\Datasheets\YAGEO_RC_L.pdf</x:v>
      </x:c>
      <x:c xmlns:x="http://schemas.openxmlformats.org/spreadsheetml/2006/main" r="W373" t="str" s="11">
        <x:v>Даташит — производитель</x:v>
      </x:c>
      <x:c xmlns:x="http://schemas.openxmlformats.org/spreadsheetml/2006/main" r="X373" t="str" s="11">
        <x:v>https://yageogroup.com/content/datasheet/asset/file/PYU-RC_GROUP_51_ROHS_L</x:v>
      </x:c>
      <x:c xmlns:x="http://schemas.openxmlformats.org/spreadsheetml/2006/main" r="Y373" t="str" s="11">
        <x:v>C:\Users\Nomatin\Documents\Altium\MY_LIB\MY_LIB\Datasheets\YAGEO_RC_L.pdf</x:v>
      </x:c>
      <ns0:c xmlns:ns0="http://schemas.openxmlformats.org/spreadsheetml/2006/main" r="Z373" s="16" t="inlineStr">
        <ns0:is>
          <ns0:t>MY_LIB_R_TCR</ns0:t>
        </ns0:is>
      </ns0:c>
      <ns0:c xmlns:ns0="http://schemas.openxmlformats.org/spreadsheetml/2006/main" r="AA373" s="16" t="inlineStr">
        <ns0:is>
          <ns0:t>R(T), +100 ppm/C at 25 C; positive datasheet limit</ns0:t>
        </ns0:is>
      </ns0:c>
      <ns0:c xmlns:ns0="http://schemas.openxmlformats.org/spreadsheetml/2006/main" r="AB373" s="16" t="str">
        <ns0:v>General</ns0:v>
      </ns0:c>
      <ns0:c xmlns:ns0="http://schemas.openxmlformats.org/spreadsheetml/2006/main" r="AC373" s="16" t="inlineStr">
        <ns0:is>
          <ns0:t>Spice Subcircuit</ns0:t>
        </ns0:is>
      </ns0:c>
      <ns0:c xmlns:ns0="http://schemas.openxmlformats.org/spreadsheetml/2006/main" r="AD373" s="16" t="inlineStr">
        <ns0:is>
          <ns0:t>@DESIGNATOR %1 %2 @MODEL PARAMS: Rvalue=@VALUE TC1value=100u</ns0:t>
        </ns0:is>
      </ns0:c>
      <ns0:c xmlns:ns0="http://schemas.openxmlformats.org/spreadsheetml/2006/main" r="AE373" s="16" t="inlineStr">
        <ns0:is>
          <ns0:t>X</ns0:t>
        </ns0:is>
      </ns0:c>
      <ns0:c xmlns:ns0="http://schemas.openxmlformats.org/spreadsheetml/2006/main" r="AF373" s="16" t="str">
        <ns0:v>(1:1),(2:2)</ns0:v>
      </ns0:c>
      <ns0:c xmlns:ns0="http://schemas.openxmlformats.org/spreadsheetml/2006/main" r="AG373" s="16" t="inlineStr">
        <ns0:is>
          <ns0:t>Simulation\Resistors\MY_LIB_R_TCR.ckt</ns0:t>
        </ns0:is>
      </ns0:c>
      <ns0:c xmlns:ns0="http://schemas.openxmlformats.org/spreadsheetml/2006/main" r="AH373" s="16" t="inlineStr">
        <ns0:is>
          <ns0:t>±100 ppm/°C</ns0:t>
        </ns0:is>
      </ns0:c>
    </ns0:row>
    <ns0:row xmlns:ns0="http://schemas.openxmlformats.org/spreadsheetml/2006/main" r="374" ht="30" customHeight="1">
      <ns0:c r="A374" t="str" s="10">
        <ns0:v>R0380</ns0:v>
      </ns0:c>
      <ns0:c r="B374" t="str" s="10">
        <ns0:v>Резистор</ns0:v>
      </ns0:c>
      <ns0:c r="C374" t="str" s="10">
        <ns0:v>2.2k</ns0:v>
      </ns0:c>
      <ns0:c r="D374" t="str" s="11">
        <ns0:f>SUBSTITUTE(SUBSTITUTE(SUBSTITUTE(SUBSTITUTE(C374,"meg"," МОм"),"k"," кОм"),"R"," Ом"),".",",")</ns0:f>
        <ns0:v>2,2 кОм</ns0:v>
      </ns0:c>
      <ns0:c r="E374" t="str" s="10">
        <ns0:v>±1%</ns0:v>
      </ns0:c>
      <ns0:c r="F374" t="str" s="10">
        <ns0:v>0,1 Вт</ns0:v>
      </ns0:c>
      <ns0:c r="G374" t="str" s="10">
        <ns0:v>75 В макс.</ns0:v>
      </ns0:c>
      <ns0:c r="H374" t="str" s="12">
        <ns0:v>0603</ns0:v>
      </ns0:c>
      <ns0:c r="I374" t="str" s="10">
        <ns0:v>YAGEO</ns0:v>
      </ns0:c>
      <ns0:c r="J374" t="str" s="10">
        <ns0:v>RC0603FR-072K2L</ns0:v>
      </ns0:c>
      <ns0:c r="K374" t="str" s="11">
        <ns0:f>B374&amp;" "&amp;D374&amp;" "&amp;E374&amp;" "&amp;H374</ns0:f>
        <ns0:v>Резистор 2,2 кОм ±1% 0603</ns0:v>
      </ns0:c>
      <ns0:c r="L374" t="str" s="13">
        <ns0:v>R</ns0:v>
      </ns0:c>
      <ns0:c r="M374" t="str" s="13">
        <ns0:v>Symbols\MY_LIB_Resistors.SchLib</ns0:v>
      </ns0:c>
      <ns0:c r="N374" t="str" s="13">
        <ns0:v>RESC1608X55N</ns0:v>
      </ns0:c>
      <ns0:c r="O374" t="str" s="13">
        <ns0:v>Footprints\PBL - SMD Packages.PcbLib</ns0:v>
      </ns0:c>
      <ns0:c xmlns:ns0="http://schemas.openxmlformats.org/spreadsheetml/2006/main" r="P37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4" s="10"/>
      <ns0:c r="R374" t="str" s="11">
        <ns0:f>D374</ns0:f>
        <ns0:v>2,2 кОм</ns0:v>
      </ns0:c>
      <ns0:c r="S374" t="str" s="11">
        <ns0:f>K374</ns0:f>
        <ns0:v>Резистор 2,2 кОм ±1% 0603</ns0:v>
      </ns0:c>
      <x:c xmlns:x="http://schemas.openxmlformats.org/spreadsheetml/2006/main" r="T374" t="str" s="11">
        <x:v>C:\Users\Nomatin\Documents\Altium\MY_LIB\MY_LIB\Datasheets\YAGEO_RC_L.pdf</x:v>
      </x:c>
      <x:c xmlns:x="http://schemas.openxmlformats.org/spreadsheetml/2006/main" r="U374" t="str" s="11">
        <x:v>Даташит — локальный</x:v>
      </x:c>
      <x:c xmlns:x="http://schemas.openxmlformats.org/spreadsheetml/2006/main" r="V374" t="str" s="11">
        <x:v>C:\Users\Nomatin\Documents\Altium\MY_LIB\MY_LIB\Datasheets\YAGEO_RC_L.pdf</x:v>
      </x:c>
      <x:c xmlns:x="http://schemas.openxmlformats.org/spreadsheetml/2006/main" r="W374" t="str" s="11">
        <x:v>Даташит — производитель</x:v>
      </x:c>
      <x:c xmlns:x="http://schemas.openxmlformats.org/spreadsheetml/2006/main" r="X374" t="str" s="11">
        <x:v>https://yageogroup.com/content/datasheet/asset/file/PYU-RC_GROUP_51_ROHS_L</x:v>
      </x:c>
      <x:c xmlns:x="http://schemas.openxmlformats.org/spreadsheetml/2006/main" r="Y374" t="str" s="11">
        <x:v>C:\Users\Nomatin\Documents\Altium\MY_LIB\MY_LIB\Datasheets\YAGEO_RC_L.pdf</x:v>
      </x:c>
      <ns0:c xmlns:ns0="http://schemas.openxmlformats.org/spreadsheetml/2006/main" r="Z374" s="16" t="inlineStr">
        <ns0:is>
          <ns0:t>MY_LIB_R_TCR</ns0:t>
        </ns0:is>
      </ns0:c>
      <ns0:c xmlns:ns0="http://schemas.openxmlformats.org/spreadsheetml/2006/main" r="AA374" s="16" t="inlineStr">
        <ns0:is>
          <ns0:t>R(T), +100 ppm/C at 25 C; positive datasheet limit</ns0:t>
        </ns0:is>
      </ns0:c>
      <ns0:c xmlns:ns0="http://schemas.openxmlformats.org/spreadsheetml/2006/main" r="AB374" s="16" t="str">
        <ns0:v>General</ns0:v>
      </ns0:c>
      <ns0:c xmlns:ns0="http://schemas.openxmlformats.org/spreadsheetml/2006/main" r="AC374" s="16" t="inlineStr">
        <ns0:is>
          <ns0:t>Spice Subcircuit</ns0:t>
        </ns0:is>
      </ns0:c>
      <ns0:c xmlns:ns0="http://schemas.openxmlformats.org/spreadsheetml/2006/main" r="AD374" s="16" t="inlineStr">
        <ns0:is>
          <ns0:t>@DESIGNATOR %1 %2 @MODEL PARAMS: Rvalue=@VALUE TC1value=100u</ns0:t>
        </ns0:is>
      </ns0:c>
      <ns0:c xmlns:ns0="http://schemas.openxmlformats.org/spreadsheetml/2006/main" r="AE374" s="16" t="inlineStr">
        <ns0:is>
          <ns0:t>X</ns0:t>
        </ns0:is>
      </ns0:c>
      <ns0:c xmlns:ns0="http://schemas.openxmlformats.org/spreadsheetml/2006/main" r="AF374" s="16" t="str">
        <ns0:v>(1:1),(2:2)</ns0:v>
      </ns0:c>
      <ns0:c xmlns:ns0="http://schemas.openxmlformats.org/spreadsheetml/2006/main" r="AG374" s="16" t="inlineStr">
        <ns0:is>
          <ns0:t>Simulation\Resistors\MY_LIB_R_TCR.ckt</ns0:t>
        </ns0:is>
      </ns0:c>
      <ns0:c xmlns:ns0="http://schemas.openxmlformats.org/spreadsheetml/2006/main" r="AH374" s="16" t="inlineStr">
        <ns0:is>
          <ns0:t>±100 ppm/°C</ns0:t>
        </ns0:is>
      </ns0:c>
    </ns0:row>
    <ns0:row xmlns:ns0="http://schemas.openxmlformats.org/spreadsheetml/2006/main" r="375" ht="30" customHeight="1">
      <ns0:c r="A375" t="str" s="10">
        <ns0:v>R0381</ns0:v>
      </ns0:c>
      <ns0:c r="B375" t="str" s="10">
        <ns0:v>Резистор</ns0:v>
      </ns0:c>
      <ns0:c r="C375" t="str" s="10">
        <ns0:v>2.4k</ns0:v>
      </ns0:c>
      <ns0:c r="D375" t="str" s="11">
        <ns0:f>SUBSTITUTE(SUBSTITUTE(SUBSTITUTE(SUBSTITUTE(C375,"meg"," МОм"),"k"," кОм"),"R"," Ом"),".",",")</ns0:f>
        <ns0:v>2,4 кОм</ns0:v>
      </ns0:c>
      <ns0:c r="E375" t="str" s="10">
        <ns0:v>±1%</ns0:v>
      </ns0:c>
      <ns0:c r="F375" t="str" s="10">
        <ns0:v>0,1 Вт</ns0:v>
      </ns0:c>
      <ns0:c r="G375" t="str" s="10">
        <ns0:v>75 В макс.</ns0:v>
      </ns0:c>
      <ns0:c r="H375" t="str" s="12">
        <ns0:v>0603</ns0:v>
      </ns0:c>
      <ns0:c r="I375" t="str" s="10">
        <ns0:v>YAGEO</ns0:v>
      </ns0:c>
      <ns0:c r="J375" t="str" s="10">
        <ns0:v>RC0603FR-072K4L</ns0:v>
      </ns0:c>
      <ns0:c r="K375" t="str" s="11">
        <ns0:f>B375&amp;" "&amp;D375&amp;" "&amp;E375&amp;" "&amp;H375</ns0:f>
        <ns0:v>Резистор 2,4 кОм ±1% 0603</ns0:v>
      </ns0:c>
      <ns0:c r="L375" t="str" s="13">
        <ns0:v>R</ns0:v>
      </ns0:c>
      <ns0:c r="M375" t="str" s="13">
        <ns0:v>Symbols\MY_LIB_Resistors.SchLib</ns0:v>
      </ns0:c>
      <ns0:c r="N375" t="str" s="13">
        <ns0:v>RESC1608X55N</ns0:v>
      </ns0:c>
      <ns0:c r="O375" t="str" s="13">
        <ns0:v>Footprints\PBL - SMD Packages.PcbLib</ns0:v>
      </ns0:c>
      <ns0:c xmlns:ns0="http://schemas.openxmlformats.org/spreadsheetml/2006/main" r="P37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5" s="10"/>
      <ns0:c r="R375" t="str" s="11">
        <ns0:f>D375</ns0:f>
        <ns0:v>2,4 кОм</ns0:v>
      </ns0:c>
      <ns0:c r="S375" t="str" s="11">
        <ns0:f>K375</ns0:f>
        <ns0:v>Резистор 2,4 кОм ±1% 0603</ns0:v>
      </ns0:c>
      <x:c xmlns:x="http://schemas.openxmlformats.org/spreadsheetml/2006/main" r="T375" t="str" s="11">
        <x:v>C:\Users\Nomatin\Documents\Altium\MY_LIB\MY_LIB\Datasheets\YAGEO_RC_L.pdf</x:v>
      </x:c>
      <x:c xmlns:x="http://schemas.openxmlformats.org/spreadsheetml/2006/main" r="U375" t="str" s="11">
        <x:v>Даташит — локальный</x:v>
      </x:c>
      <x:c xmlns:x="http://schemas.openxmlformats.org/spreadsheetml/2006/main" r="V375" t="str" s="11">
        <x:v>C:\Users\Nomatin\Documents\Altium\MY_LIB\MY_LIB\Datasheets\YAGEO_RC_L.pdf</x:v>
      </x:c>
      <x:c xmlns:x="http://schemas.openxmlformats.org/spreadsheetml/2006/main" r="W375" t="str" s="11">
        <x:v>Даташит — производитель</x:v>
      </x:c>
      <x:c xmlns:x="http://schemas.openxmlformats.org/spreadsheetml/2006/main" r="X375" t="str" s="11">
        <x:v>https://yageogroup.com/content/datasheet/asset/file/PYU-RC_GROUP_51_ROHS_L</x:v>
      </x:c>
      <x:c xmlns:x="http://schemas.openxmlformats.org/spreadsheetml/2006/main" r="Y375" t="str" s="11">
        <x:v>C:\Users\Nomatin\Documents\Altium\MY_LIB\MY_LIB\Datasheets\YAGEO_RC_L.pdf</x:v>
      </x:c>
      <ns0:c xmlns:ns0="http://schemas.openxmlformats.org/spreadsheetml/2006/main" r="Z375" s="16" t="inlineStr">
        <ns0:is>
          <ns0:t>MY_LIB_R_TCR</ns0:t>
        </ns0:is>
      </ns0:c>
      <ns0:c xmlns:ns0="http://schemas.openxmlformats.org/spreadsheetml/2006/main" r="AA375" s="16" t="inlineStr">
        <ns0:is>
          <ns0:t>R(T), +100 ppm/C at 25 C; positive datasheet limit</ns0:t>
        </ns0:is>
      </ns0:c>
      <ns0:c xmlns:ns0="http://schemas.openxmlformats.org/spreadsheetml/2006/main" r="AB375" s="16" t="str">
        <ns0:v>General</ns0:v>
      </ns0:c>
      <ns0:c xmlns:ns0="http://schemas.openxmlformats.org/spreadsheetml/2006/main" r="AC375" s="16" t="inlineStr">
        <ns0:is>
          <ns0:t>Spice Subcircuit</ns0:t>
        </ns0:is>
      </ns0:c>
      <ns0:c xmlns:ns0="http://schemas.openxmlformats.org/spreadsheetml/2006/main" r="AD375" s="16" t="inlineStr">
        <ns0:is>
          <ns0:t>@DESIGNATOR %1 %2 @MODEL PARAMS: Rvalue=@VALUE TC1value=100u</ns0:t>
        </ns0:is>
      </ns0:c>
      <ns0:c xmlns:ns0="http://schemas.openxmlformats.org/spreadsheetml/2006/main" r="AE375" s="16" t="inlineStr">
        <ns0:is>
          <ns0:t>X</ns0:t>
        </ns0:is>
      </ns0:c>
      <ns0:c xmlns:ns0="http://schemas.openxmlformats.org/spreadsheetml/2006/main" r="AF375" s="16" t="str">
        <ns0:v>(1:1),(2:2)</ns0:v>
      </ns0:c>
      <ns0:c xmlns:ns0="http://schemas.openxmlformats.org/spreadsheetml/2006/main" r="AG375" s="16" t="inlineStr">
        <ns0:is>
          <ns0:t>Simulation\Resistors\MY_LIB_R_TCR.ckt</ns0:t>
        </ns0:is>
      </ns0:c>
      <ns0:c xmlns:ns0="http://schemas.openxmlformats.org/spreadsheetml/2006/main" r="AH375" s="16" t="inlineStr">
        <ns0:is>
          <ns0:t>±100 ppm/°C</ns0:t>
        </ns0:is>
      </ns0:c>
    </ns0:row>
    <ns0:row xmlns:ns0="http://schemas.openxmlformats.org/spreadsheetml/2006/main" r="376" ht="30" customHeight="1">
      <ns0:c r="A376" t="str" s="10">
        <ns0:v>R0382</ns0:v>
      </ns0:c>
      <ns0:c r="B376" t="str" s="10">
        <ns0:v>Резистор</ns0:v>
      </ns0:c>
      <ns0:c r="C376" t="str" s="10">
        <ns0:v>2.7k</ns0:v>
      </ns0:c>
      <ns0:c r="D376" t="str" s="11">
        <ns0:f>SUBSTITUTE(SUBSTITUTE(SUBSTITUTE(SUBSTITUTE(C376,"meg"," МОм"),"k"," кОм"),"R"," Ом"),".",",")</ns0:f>
        <ns0:v>2,7 кОм</ns0:v>
      </ns0:c>
      <ns0:c r="E376" t="str" s="10">
        <ns0:v>±1%</ns0:v>
      </ns0:c>
      <ns0:c r="F376" t="str" s="10">
        <ns0:v>0,1 Вт</ns0:v>
      </ns0:c>
      <ns0:c r="G376" t="str" s="10">
        <ns0:v>75 В макс.</ns0:v>
      </ns0:c>
      <ns0:c r="H376" t="str" s="12">
        <ns0:v>0603</ns0:v>
      </ns0:c>
      <ns0:c r="I376" t="str" s="10">
        <ns0:v>YAGEO</ns0:v>
      </ns0:c>
      <ns0:c r="J376" t="str" s="10">
        <ns0:v>RC0603FR-072K7L</ns0:v>
      </ns0:c>
      <ns0:c r="K376" t="str" s="11">
        <ns0:f>B376&amp;" "&amp;D376&amp;" "&amp;E376&amp;" "&amp;H376</ns0:f>
        <ns0:v>Резистор 2,7 кОм ±1% 0603</ns0:v>
      </ns0:c>
      <ns0:c r="L376" t="str" s="13">
        <ns0:v>R</ns0:v>
      </ns0:c>
      <ns0:c r="M376" t="str" s="13">
        <ns0:v>Symbols\MY_LIB_Resistors.SchLib</ns0:v>
      </ns0:c>
      <ns0:c r="N376" t="str" s="13">
        <ns0:v>RESC1608X55N</ns0:v>
      </ns0:c>
      <ns0:c r="O376" t="str" s="13">
        <ns0:v>Footprints\PBL - SMD Packages.PcbLib</ns0:v>
      </ns0:c>
      <ns0:c xmlns:ns0="http://schemas.openxmlformats.org/spreadsheetml/2006/main" r="P37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6" s="10"/>
      <ns0:c r="R376" t="str" s="11">
        <ns0:f>D376</ns0:f>
        <ns0:v>2,7 кОм</ns0:v>
      </ns0:c>
      <ns0:c r="S376" t="str" s="11">
        <ns0:f>K376</ns0:f>
        <ns0:v>Резистор 2,7 кОм ±1% 0603</ns0:v>
      </ns0:c>
      <x:c xmlns:x="http://schemas.openxmlformats.org/spreadsheetml/2006/main" r="T376" t="str" s="11">
        <x:v>C:\Users\Nomatin\Documents\Altium\MY_LIB\MY_LIB\Datasheets\YAGEO_RC_L.pdf</x:v>
      </x:c>
      <x:c xmlns:x="http://schemas.openxmlformats.org/spreadsheetml/2006/main" r="U376" t="str" s="11">
        <x:v>Даташит — локальный</x:v>
      </x:c>
      <x:c xmlns:x="http://schemas.openxmlformats.org/spreadsheetml/2006/main" r="V376" t="str" s="11">
        <x:v>C:\Users\Nomatin\Documents\Altium\MY_LIB\MY_LIB\Datasheets\YAGEO_RC_L.pdf</x:v>
      </x:c>
      <x:c xmlns:x="http://schemas.openxmlformats.org/spreadsheetml/2006/main" r="W376" t="str" s="11">
        <x:v>Даташит — производитель</x:v>
      </x:c>
      <x:c xmlns:x="http://schemas.openxmlformats.org/spreadsheetml/2006/main" r="X376" t="str" s="11">
        <x:v>https://yageogroup.com/content/datasheet/asset/file/PYU-RC_GROUP_51_ROHS_L</x:v>
      </x:c>
      <x:c xmlns:x="http://schemas.openxmlformats.org/spreadsheetml/2006/main" r="Y376" t="str" s="11">
        <x:v>C:\Users\Nomatin\Documents\Altium\MY_LIB\MY_LIB\Datasheets\YAGEO_RC_L.pdf</x:v>
      </x:c>
      <ns0:c xmlns:ns0="http://schemas.openxmlformats.org/spreadsheetml/2006/main" r="Z376" s="16" t="inlineStr">
        <ns0:is>
          <ns0:t>MY_LIB_R_TCR</ns0:t>
        </ns0:is>
      </ns0:c>
      <ns0:c xmlns:ns0="http://schemas.openxmlformats.org/spreadsheetml/2006/main" r="AA376" s="16" t="inlineStr">
        <ns0:is>
          <ns0:t>R(T), +100 ppm/C at 25 C; positive datasheet limit</ns0:t>
        </ns0:is>
      </ns0:c>
      <ns0:c xmlns:ns0="http://schemas.openxmlformats.org/spreadsheetml/2006/main" r="AB376" s="16" t="str">
        <ns0:v>General</ns0:v>
      </ns0:c>
      <ns0:c xmlns:ns0="http://schemas.openxmlformats.org/spreadsheetml/2006/main" r="AC376" s="16" t="inlineStr">
        <ns0:is>
          <ns0:t>Spice Subcircuit</ns0:t>
        </ns0:is>
      </ns0:c>
      <ns0:c xmlns:ns0="http://schemas.openxmlformats.org/spreadsheetml/2006/main" r="AD376" s="16" t="inlineStr">
        <ns0:is>
          <ns0:t>@DESIGNATOR %1 %2 @MODEL PARAMS: Rvalue=@VALUE TC1value=100u</ns0:t>
        </ns0:is>
      </ns0:c>
      <ns0:c xmlns:ns0="http://schemas.openxmlformats.org/spreadsheetml/2006/main" r="AE376" s="16" t="inlineStr">
        <ns0:is>
          <ns0:t>X</ns0:t>
        </ns0:is>
      </ns0:c>
      <ns0:c xmlns:ns0="http://schemas.openxmlformats.org/spreadsheetml/2006/main" r="AF376" s="16" t="str">
        <ns0:v>(1:1),(2:2)</ns0:v>
      </ns0:c>
      <ns0:c xmlns:ns0="http://schemas.openxmlformats.org/spreadsheetml/2006/main" r="AG376" s="16" t="inlineStr">
        <ns0:is>
          <ns0:t>Simulation\Resistors\MY_LIB_R_TCR.ckt</ns0:t>
        </ns0:is>
      </ns0:c>
      <ns0:c xmlns:ns0="http://schemas.openxmlformats.org/spreadsheetml/2006/main" r="AH376" s="16" t="inlineStr">
        <ns0:is>
          <ns0:t>±100 ppm/°C</ns0:t>
        </ns0:is>
      </ns0:c>
    </ns0:row>
    <ns0:row xmlns:ns0="http://schemas.openxmlformats.org/spreadsheetml/2006/main" r="377" ht="30" customHeight="1">
      <ns0:c r="A377" t="str" s="10">
        <ns0:v>R0383</ns0:v>
      </ns0:c>
      <ns0:c r="B377" t="str" s="10">
        <ns0:v>Резистор</ns0:v>
      </ns0:c>
      <ns0:c r="C377" t="str" s="10">
        <ns0:v>3k</ns0:v>
      </ns0:c>
      <ns0:c r="D377" t="str" s="11">
        <ns0:f>SUBSTITUTE(SUBSTITUTE(SUBSTITUTE(SUBSTITUTE(C377,"meg"," МОм"),"k"," кОм"),"R"," Ом"),".",",")</ns0:f>
        <ns0:v>3 кОм</ns0:v>
      </ns0:c>
      <ns0:c r="E377" t="str" s="10">
        <ns0:v>±1%</ns0:v>
      </ns0:c>
      <ns0:c r="F377" t="str" s="10">
        <ns0:v>0,1 Вт</ns0:v>
      </ns0:c>
      <ns0:c r="G377" t="str" s="10">
        <ns0:v>75 В макс.</ns0:v>
      </ns0:c>
      <ns0:c r="H377" t="str" s="12">
        <ns0:v>0603</ns0:v>
      </ns0:c>
      <ns0:c r="I377" t="str" s="10">
        <ns0:v>YAGEO</ns0:v>
      </ns0:c>
      <ns0:c r="J377" t="str" s="10">
        <ns0:v>RC0603FR-073KL</ns0:v>
      </ns0:c>
      <ns0:c r="K377" t="str" s="11">
        <ns0:f>B377&amp;" "&amp;D377&amp;" "&amp;E377&amp;" "&amp;H377</ns0:f>
        <ns0:v>Резистор 3 кОм ±1% 0603</ns0:v>
      </ns0:c>
      <ns0:c r="L377" t="str" s="13">
        <ns0:v>R</ns0:v>
      </ns0:c>
      <ns0:c r="M377" t="str" s="13">
        <ns0:v>Symbols\MY_LIB_Resistors.SchLib</ns0:v>
      </ns0:c>
      <ns0:c r="N377" t="str" s="13">
        <ns0:v>RESC1608X55N</ns0:v>
      </ns0:c>
      <ns0:c r="O377" t="str" s="13">
        <ns0:v>Footprints\PBL - SMD Packages.PcbLib</ns0:v>
      </ns0:c>
      <ns0:c xmlns:ns0="http://schemas.openxmlformats.org/spreadsheetml/2006/main" r="P37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7" s="10"/>
      <ns0:c r="R377" t="str" s="11">
        <ns0:f>D377</ns0:f>
        <ns0:v>3 кОм</ns0:v>
      </ns0:c>
      <ns0:c r="S377" t="str" s="11">
        <ns0:f>K377</ns0:f>
        <ns0:v>Резистор 3 кОм ±1% 0603</ns0:v>
      </ns0:c>
      <x:c xmlns:x="http://schemas.openxmlformats.org/spreadsheetml/2006/main" r="T377" t="str" s="11">
        <x:v>C:\Users\Nomatin\Documents\Altium\MY_LIB\MY_LIB\Datasheets\YAGEO_RC_L.pdf</x:v>
      </x:c>
      <x:c xmlns:x="http://schemas.openxmlformats.org/spreadsheetml/2006/main" r="U377" t="str" s="11">
        <x:v>Даташит — локальный</x:v>
      </x:c>
      <x:c xmlns:x="http://schemas.openxmlformats.org/spreadsheetml/2006/main" r="V377" t="str" s="11">
        <x:v>C:\Users\Nomatin\Documents\Altium\MY_LIB\MY_LIB\Datasheets\YAGEO_RC_L.pdf</x:v>
      </x:c>
      <x:c xmlns:x="http://schemas.openxmlformats.org/spreadsheetml/2006/main" r="W377" t="str" s="11">
        <x:v>Даташит — производитель</x:v>
      </x:c>
      <x:c xmlns:x="http://schemas.openxmlformats.org/spreadsheetml/2006/main" r="X377" t="str" s="11">
        <x:v>https://yageogroup.com/content/datasheet/asset/file/PYU-RC_GROUP_51_ROHS_L</x:v>
      </x:c>
      <x:c xmlns:x="http://schemas.openxmlformats.org/spreadsheetml/2006/main" r="Y377" t="str" s="11">
        <x:v>C:\Users\Nomatin\Documents\Altium\MY_LIB\MY_LIB\Datasheets\YAGEO_RC_L.pdf</x:v>
      </x:c>
      <ns0:c xmlns:ns0="http://schemas.openxmlformats.org/spreadsheetml/2006/main" r="Z377" s="16" t="inlineStr">
        <ns0:is>
          <ns0:t>MY_LIB_R_TCR</ns0:t>
        </ns0:is>
      </ns0:c>
      <ns0:c xmlns:ns0="http://schemas.openxmlformats.org/spreadsheetml/2006/main" r="AA377" s="16" t="inlineStr">
        <ns0:is>
          <ns0:t>R(T), +100 ppm/C at 25 C; positive datasheet limit</ns0:t>
        </ns0:is>
      </ns0:c>
      <ns0:c xmlns:ns0="http://schemas.openxmlformats.org/spreadsheetml/2006/main" r="AB377" s="16" t="str">
        <ns0:v>General</ns0:v>
      </ns0:c>
      <ns0:c xmlns:ns0="http://schemas.openxmlformats.org/spreadsheetml/2006/main" r="AC377" s="16" t="inlineStr">
        <ns0:is>
          <ns0:t>Spice Subcircuit</ns0:t>
        </ns0:is>
      </ns0:c>
      <ns0:c xmlns:ns0="http://schemas.openxmlformats.org/spreadsheetml/2006/main" r="AD377" s="16" t="inlineStr">
        <ns0:is>
          <ns0:t>@DESIGNATOR %1 %2 @MODEL PARAMS: Rvalue=@VALUE TC1value=100u</ns0:t>
        </ns0:is>
      </ns0:c>
      <ns0:c xmlns:ns0="http://schemas.openxmlformats.org/spreadsheetml/2006/main" r="AE377" s="16" t="inlineStr">
        <ns0:is>
          <ns0:t>X</ns0:t>
        </ns0:is>
      </ns0:c>
      <ns0:c xmlns:ns0="http://schemas.openxmlformats.org/spreadsheetml/2006/main" r="AF377" s="16" t="str">
        <ns0:v>(1:1),(2:2)</ns0:v>
      </ns0:c>
      <ns0:c xmlns:ns0="http://schemas.openxmlformats.org/spreadsheetml/2006/main" r="AG377" s="16" t="inlineStr">
        <ns0:is>
          <ns0:t>Simulation\Resistors\MY_LIB_R_TCR.ckt</ns0:t>
        </ns0:is>
      </ns0:c>
      <ns0:c xmlns:ns0="http://schemas.openxmlformats.org/spreadsheetml/2006/main" r="AH377" s="16" t="inlineStr">
        <ns0:is>
          <ns0:t>±100 ppm/°C</ns0:t>
        </ns0:is>
      </ns0:c>
    </ns0:row>
    <ns0:row xmlns:ns0="http://schemas.openxmlformats.org/spreadsheetml/2006/main" r="378" ht="30" customHeight="1">
      <ns0:c r="A378" t="str" s="10">
        <ns0:v>R0384</ns0:v>
      </ns0:c>
      <ns0:c r="B378" t="str" s="10">
        <ns0:v>Резистор</ns0:v>
      </ns0:c>
      <ns0:c r="C378" t="str" s="10">
        <ns0:v>3.3k</ns0:v>
      </ns0:c>
      <ns0:c r="D378" t="str" s="11">
        <ns0:f>SUBSTITUTE(SUBSTITUTE(SUBSTITUTE(SUBSTITUTE(C378,"meg"," МОм"),"k"," кОм"),"R"," Ом"),".",",")</ns0:f>
        <ns0:v>3,3 кОм</ns0:v>
      </ns0:c>
      <ns0:c r="E378" t="str" s="10">
        <ns0:v>±1%</ns0:v>
      </ns0:c>
      <ns0:c r="F378" t="str" s="10">
        <ns0:v>0,1 Вт</ns0:v>
      </ns0:c>
      <ns0:c r="G378" t="str" s="10">
        <ns0:v>75 В макс.</ns0:v>
      </ns0:c>
      <ns0:c r="H378" t="str" s="12">
        <ns0:v>0603</ns0:v>
      </ns0:c>
      <ns0:c r="I378" t="str" s="10">
        <ns0:v>YAGEO</ns0:v>
      </ns0:c>
      <ns0:c r="J378" t="str" s="10">
        <ns0:v>RC0603FR-073K3L</ns0:v>
      </ns0:c>
      <ns0:c r="K378" t="str" s="11">
        <ns0:f>B378&amp;" "&amp;D378&amp;" "&amp;E378&amp;" "&amp;H378</ns0:f>
        <ns0:v>Резистор 3,3 кОм ±1% 0603</ns0:v>
      </ns0:c>
      <ns0:c r="L378" t="str" s="13">
        <ns0:v>R</ns0:v>
      </ns0:c>
      <ns0:c r="M378" t="str" s="13">
        <ns0:v>Symbols\MY_LIB_Resistors.SchLib</ns0:v>
      </ns0:c>
      <ns0:c r="N378" t="str" s="13">
        <ns0:v>RESC1608X55N</ns0:v>
      </ns0:c>
      <ns0:c r="O378" t="str" s="13">
        <ns0:v>Footprints\PBL - SMD Packages.PcbLib</ns0:v>
      </ns0:c>
      <ns0:c xmlns:ns0="http://schemas.openxmlformats.org/spreadsheetml/2006/main" r="P37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8" s="10"/>
      <ns0:c r="R378" t="str" s="11">
        <ns0:f>D378</ns0:f>
        <ns0:v>3,3 кОм</ns0:v>
      </ns0:c>
      <ns0:c r="S378" t="str" s="11">
        <ns0:f>K378</ns0:f>
        <ns0:v>Резистор 3,3 кОм ±1% 0603</ns0:v>
      </ns0:c>
      <x:c xmlns:x="http://schemas.openxmlformats.org/spreadsheetml/2006/main" r="T378" t="str" s="11">
        <x:v>C:\Users\Nomatin\Documents\Altium\MY_LIB\MY_LIB\Datasheets\YAGEO_RC_L.pdf</x:v>
      </x:c>
      <x:c xmlns:x="http://schemas.openxmlformats.org/spreadsheetml/2006/main" r="U378" t="str" s="11">
        <x:v>Даташит — локальный</x:v>
      </x:c>
      <x:c xmlns:x="http://schemas.openxmlformats.org/spreadsheetml/2006/main" r="V378" t="str" s="11">
        <x:v>C:\Users\Nomatin\Documents\Altium\MY_LIB\MY_LIB\Datasheets\YAGEO_RC_L.pdf</x:v>
      </x:c>
      <x:c xmlns:x="http://schemas.openxmlformats.org/spreadsheetml/2006/main" r="W378" t="str" s="11">
        <x:v>Даташит — производитель</x:v>
      </x:c>
      <x:c xmlns:x="http://schemas.openxmlformats.org/spreadsheetml/2006/main" r="X378" t="str" s="11">
        <x:v>https://yageogroup.com/content/datasheet/asset/file/PYU-RC_GROUP_51_ROHS_L</x:v>
      </x:c>
      <x:c xmlns:x="http://schemas.openxmlformats.org/spreadsheetml/2006/main" r="Y378" t="str" s="11">
        <x:v>C:\Users\Nomatin\Documents\Altium\MY_LIB\MY_LIB\Datasheets\YAGEO_RC_L.pdf</x:v>
      </x:c>
      <ns0:c xmlns:ns0="http://schemas.openxmlformats.org/spreadsheetml/2006/main" r="Z378" s="16" t="inlineStr">
        <ns0:is>
          <ns0:t>MY_LIB_R_TCR</ns0:t>
        </ns0:is>
      </ns0:c>
      <ns0:c xmlns:ns0="http://schemas.openxmlformats.org/spreadsheetml/2006/main" r="AA378" s="16" t="inlineStr">
        <ns0:is>
          <ns0:t>R(T), +100 ppm/C at 25 C; positive datasheet limit</ns0:t>
        </ns0:is>
      </ns0:c>
      <ns0:c xmlns:ns0="http://schemas.openxmlformats.org/spreadsheetml/2006/main" r="AB378" s="16" t="str">
        <ns0:v>General</ns0:v>
      </ns0:c>
      <ns0:c xmlns:ns0="http://schemas.openxmlformats.org/spreadsheetml/2006/main" r="AC378" s="16" t="inlineStr">
        <ns0:is>
          <ns0:t>Spice Subcircuit</ns0:t>
        </ns0:is>
      </ns0:c>
      <ns0:c xmlns:ns0="http://schemas.openxmlformats.org/spreadsheetml/2006/main" r="AD378" s="16" t="inlineStr">
        <ns0:is>
          <ns0:t>@DESIGNATOR %1 %2 @MODEL PARAMS: Rvalue=@VALUE TC1value=100u</ns0:t>
        </ns0:is>
      </ns0:c>
      <ns0:c xmlns:ns0="http://schemas.openxmlformats.org/spreadsheetml/2006/main" r="AE378" s="16" t="inlineStr">
        <ns0:is>
          <ns0:t>X</ns0:t>
        </ns0:is>
      </ns0:c>
      <ns0:c xmlns:ns0="http://schemas.openxmlformats.org/spreadsheetml/2006/main" r="AF378" s="16" t="str">
        <ns0:v>(1:1),(2:2)</ns0:v>
      </ns0:c>
      <ns0:c xmlns:ns0="http://schemas.openxmlformats.org/spreadsheetml/2006/main" r="AG378" s="16" t="inlineStr">
        <ns0:is>
          <ns0:t>Simulation\Resistors\MY_LIB_R_TCR.ckt</ns0:t>
        </ns0:is>
      </ns0:c>
      <ns0:c xmlns:ns0="http://schemas.openxmlformats.org/spreadsheetml/2006/main" r="AH378" s="16" t="inlineStr">
        <ns0:is>
          <ns0:t>±100 ppm/°C</ns0:t>
        </ns0:is>
      </ns0:c>
    </ns0:row>
    <ns0:row xmlns:ns0="http://schemas.openxmlformats.org/spreadsheetml/2006/main" r="379" ht="30" customHeight="1">
      <ns0:c r="A379" t="str" s="10">
        <ns0:v>R0385</ns0:v>
      </ns0:c>
      <ns0:c r="B379" t="str" s="10">
        <ns0:v>Резистор</ns0:v>
      </ns0:c>
      <ns0:c r="C379" t="str" s="10">
        <ns0:v>3.6k</ns0:v>
      </ns0:c>
      <ns0:c r="D379" t="str" s="11">
        <ns0:f>SUBSTITUTE(SUBSTITUTE(SUBSTITUTE(SUBSTITUTE(C379,"meg"," МОм"),"k"," кОм"),"R"," Ом"),".",",")</ns0:f>
        <ns0:v>3,6 кОм</ns0:v>
      </ns0:c>
      <ns0:c r="E379" t="str" s="10">
        <ns0:v>±1%</ns0:v>
      </ns0:c>
      <ns0:c r="F379" t="str" s="10">
        <ns0:v>0,1 Вт</ns0:v>
      </ns0:c>
      <ns0:c r="G379" t="str" s="10">
        <ns0:v>75 В макс.</ns0:v>
      </ns0:c>
      <ns0:c r="H379" t="str" s="12">
        <ns0:v>0603</ns0:v>
      </ns0:c>
      <ns0:c r="I379" t="str" s="10">
        <ns0:v>YAGEO</ns0:v>
      </ns0:c>
      <ns0:c r="J379" t="str" s="10">
        <ns0:v>RC0603FR-073K6L</ns0:v>
      </ns0:c>
      <ns0:c r="K379" t="str" s="11">
        <ns0:f>B379&amp;" "&amp;D379&amp;" "&amp;E379&amp;" "&amp;H379</ns0:f>
        <ns0:v>Резистор 3,6 кОм ±1% 0603</ns0:v>
      </ns0:c>
      <ns0:c r="L379" t="str" s="13">
        <ns0:v>R</ns0:v>
      </ns0:c>
      <ns0:c r="M379" t="str" s="13">
        <ns0:v>Symbols\MY_LIB_Resistors.SchLib</ns0:v>
      </ns0:c>
      <ns0:c r="N379" t="str" s="13">
        <ns0:v>RESC1608X55N</ns0:v>
      </ns0:c>
      <ns0:c r="O379" t="str" s="13">
        <ns0:v>Footprints\PBL - SMD Packages.PcbLib</ns0:v>
      </ns0:c>
      <ns0:c xmlns:ns0="http://schemas.openxmlformats.org/spreadsheetml/2006/main" r="P37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79" s="10"/>
      <ns0:c r="R379" t="str" s="11">
        <ns0:f>D379</ns0:f>
        <ns0:v>3,6 кОм</ns0:v>
      </ns0:c>
      <ns0:c r="S379" t="str" s="11">
        <ns0:f>K379</ns0:f>
        <ns0:v>Резистор 3,6 кОм ±1% 0603</ns0:v>
      </ns0:c>
      <x:c xmlns:x="http://schemas.openxmlformats.org/spreadsheetml/2006/main" r="T379" t="str" s="11">
        <x:v>C:\Users\Nomatin\Documents\Altium\MY_LIB\MY_LIB\Datasheets\YAGEO_RC_L.pdf</x:v>
      </x:c>
      <x:c xmlns:x="http://schemas.openxmlformats.org/spreadsheetml/2006/main" r="U379" t="str" s="11">
        <x:v>Даташит — локальный</x:v>
      </x:c>
      <x:c xmlns:x="http://schemas.openxmlformats.org/spreadsheetml/2006/main" r="V379" t="str" s="11">
        <x:v>C:\Users\Nomatin\Documents\Altium\MY_LIB\MY_LIB\Datasheets\YAGEO_RC_L.pdf</x:v>
      </x:c>
      <x:c xmlns:x="http://schemas.openxmlformats.org/spreadsheetml/2006/main" r="W379" t="str" s="11">
        <x:v>Даташит — производитель</x:v>
      </x:c>
      <x:c xmlns:x="http://schemas.openxmlformats.org/spreadsheetml/2006/main" r="X379" t="str" s="11">
        <x:v>https://yageogroup.com/content/datasheet/asset/file/PYU-RC_GROUP_51_ROHS_L</x:v>
      </x:c>
      <x:c xmlns:x="http://schemas.openxmlformats.org/spreadsheetml/2006/main" r="Y379" t="str" s="11">
        <x:v>C:\Users\Nomatin\Documents\Altium\MY_LIB\MY_LIB\Datasheets\YAGEO_RC_L.pdf</x:v>
      </x:c>
      <ns0:c xmlns:ns0="http://schemas.openxmlformats.org/spreadsheetml/2006/main" r="Z379" s="16" t="inlineStr">
        <ns0:is>
          <ns0:t>MY_LIB_R_TCR</ns0:t>
        </ns0:is>
      </ns0:c>
      <ns0:c xmlns:ns0="http://schemas.openxmlformats.org/spreadsheetml/2006/main" r="AA379" s="16" t="inlineStr">
        <ns0:is>
          <ns0:t>R(T), +100 ppm/C at 25 C; positive datasheet limit</ns0:t>
        </ns0:is>
      </ns0:c>
      <ns0:c xmlns:ns0="http://schemas.openxmlformats.org/spreadsheetml/2006/main" r="AB379" s="16" t="str">
        <ns0:v>General</ns0:v>
      </ns0:c>
      <ns0:c xmlns:ns0="http://schemas.openxmlformats.org/spreadsheetml/2006/main" r="AC379" s="16" t="inlineStr">
        <ns0:is>
          <ns0:t>Spice Subcircuit</ns0:t>
        </ns0:is>
      </ns0:c>
      <ns0:c xmlns:ns0="http://schemas.openxmlformats.org/spreadsheetml/2006/main" r="AD379" s="16" t="inlineStr">
        <ns0:is>
          <ns0:t>@DESIGNATOR %1 %2 @MODEL PARAMS: Rvalue=@VALUE TC1value=100u</ns0:t>
        </ns0:is>
      </ns0:c>
      <ns0:c xmlns:ns0="http://schemas.openxmlformats.org/spreadsheetml/2006/main" r="AE379" s="16" t="inlineStr">
        <ns0:is>
          <ns0:t>X</ns0:t>
        </ns0:is>
      </ns0:c>
      <ns0:c xmlns:ns0="http://schemas.openxmlformats.org/spreadsheetml/2006/main" r="AF379" s="16" t="str">
        <ns0:v>(1:1),(2:2)</ns0:v>
      </ns0:c>
      <ns0:c xmlns:ns0="http://schemas.openxmlformats.org/spreadsheetml/2006/main" r="AG379" s="16" t="inlineStr">
        <ns0:is>
          <ns0:t>Simulation\Resistors\MY_LIB_R_TCR.ckt</ns0:t>
        </ns0:is>
      </ns0:c>
      <ns0:c xmlns:ns0="http://schemas.openxmlformats.org/spreadsheetml/2006/main" r="AH379" s="16" t="inlineStr">
        <ns0:is>
          <ns0:t>±100 ppm/°C</ns0:t>
        </ns0:is>
      </ns0:c>
    </ns0:row>
    <ns0:row xmlns:ns0="http://schemas.openxmlformats.org/spreadsheetml/2006/main" r="380" ht="30" customHeight="1">
      <ns0:c r="A380" t="str" s="10">
        <ns0:v>R0386</ns0:v>
      </ns0:c>
      <ns0:c r="B380" t="str" s="10">
        <ns0:v>Резистор</ns0:v>
      </ns0:c>
      <ns0:c r="C380" t="str" s="10">
        <ns0:v>3.9k</ns0:v>
      </ns0:c>
      <ns0:c r="D380" t="str" s="11">
        <ns0:f>SUBSTITUTE(SUBSTITUTE(SUBSTITUTE(SUBSTITUTE(C380,"meg"," МОм"),"k"," кОм"),"R"," Ом"),".",",")</ns0:f>
        <ns0:v>3,9 кОм</ns0:v>
      </ns0:c>
      <ns0:c r="E380" t="str" s="10">
        <ns0:v>±1%</ns0:v>
      </ns0:c>
      <ns0:c r="F380" t="str" s="10">
        <ns0:v>0,1 Вт</ns0:v>
      </ns0:c>
      <ns0:c r="G380" t="str" s="10">
        <ns0:v>75 В макс.</ns0:v>
      </ns0:c>
      <ns0:c r="H380" t="str" s="12">
        <ns0:v>0603</ns0:v>
      </ns0:c>
      <ns0:c r="I380" t="str" s="10">
        <ns0:v>YAGEO</ns0:v>
      </ns0:c>
      <ns0:c r="J380" t="str" s="10">
        <ns0:v>RC0603FR-073K9L</ns0:v>
      </ns0:c>
      <ns0:c r="K380" t="str" s="11">
        <ns0:f>B380&amp;" "&amp;D380&amp;" "&amp;E380&amp;" "&amp;H380</ns0:f>
        <ns0:v>Резистор 3,9 кОм ±1% 0603</ns0:v>
      </ns0:c>
      <ns0:c r="L380" t="str" s="13">
        <ns0:v>R</ns0:v>
      </ns0:c>
      <ns0:c r="M380" t="str" s="13">
        <ns0:v>Symbols\MY_LIB_Resistors.SchLib</ns0:v>
      </ns0:c>
      <ns0:c r="N380" t="str" s="13">
        <ns0:v>RESC1608X55N</ns0:v>
      </ns0:c>
      <ns0:c r="O380" t="str" s="13">
        <ns0:v>Footprints\PBL - SMD Packages.PcbLib</ns0:v>
      </ns0:c>
      <ns0:c xmlns:ns0="http://schemas.openxmlformats.org/spreadsheetml/2006/main" r="P38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0" s="10"/>
      <ns0:c r="R380" t="str" s="11">
        <ns0:f>D380</ns0:f>
        <ns0:v>3,9 кОм</ns0:v>
      </ns0:c>
      <ns0:c r="S380" t="str" s="11">
        <ns0:f>K380</ns0:f>
        <ns0:v>Резистор 3,9 кОм ±1% 0603</ns0:v>
      </ns0:c>
      <x:c xmlns:x="http://schemas.openxmlformats.org/spreadsheetml/2006/main" r="T380" t="str" s="11">
        <x:v>C:\Users\Nomatin\Documents\Altium\MY_LIB\MY_LIB\Datasheets\YAGEO_RC_L.pdf</x:v>
      </x:c>
      <x:c xmlns:x="http://schemas.openxmlformats.org/spreadsheetml/2006/main" r="U380" t="str" s="11">
        <x:v>Даташит — локальный</x:v>
      </x:c>
      <x:c xmlns:x="http://schemas.openxmlformats.org/spreadsheetml/2006/main" r="V380" t="str" s="11">
        <x:v>C:\Users\Nomatin\Documents\Altium\MY_LIB\MY_LIB\Datasheets\YAGEO_RC_L.pdf</x:v>
      </x:c>
      <x:c xmlns:x="http://schemas.openxmlformats.org/spreadsheetml/2006/main" r="W380" t="str" s="11">
        <x:v>Даташит — производитель</x:v>
      </x:c>
      <x:c xmlns:x="http://schemas.openxmlformats.org/spreadsheetml/2006/main" r="X380" t="str" s="11">
        <x:v>https://yageogroup.com/content/datasheet/asset/file/PYU-RC_GROUP_51_ROHS_L</x:v>
      </x:c>
      <x:c xmlns:x="http://schemas.openxmlformats.org/spreadsheetml/2006/main" r="Y380" t="str" s="11">
        <x:v>C:\Users\Nomatin\Documents\Altium\MY_LIB\MY_LIB\Datasheets\YAGEO_RC_L.pdf</x:v>
      </x:c>
      <ns0:c xmlns:ns0="http://schemas.openxmlformats.org/spreadsheetml/2006/main" r="Z380" s="16" t="inlineStr">
        <ns0:is>
          <ns0:t>MY_LIB_R_TCR</ns0:t>
        </ns0:is>
      </ns0:c>
      <ns0:c xmlns:ns0="http://schemas.openxmlformats.org/spreadsheetml/2006/main" r="AA380" s="16" t="inlineStr">
        <ns0:is>
          <ns0:t>R(T), +100 ppm/C at 25 C; positive datasheet limit</ns0:t>
        </ns0:is>
      </ns0:c>
      <ns0:c xmlns:ns0="http://schemas.openxmlformats.org/spreadsheetml/2006/main" r="AB380" s="16" t="str">
        <ns0:v>General</ns0:v>
      </ns0:c>
      <ns0:c xmlns:ns0="http://schemas.openxmlformats.org/spreadsheetml/2006/main" r="AC380" s="16" t="inlineStr">
        <ns0:is>
          <ns0:t>Spice Subcircuit</ns0:t>
        </ns0:is>
      </ns0:c>
      <ns0:c xmlns:ns0="http://schemas.openxmlformats.org/spreadsheetml/2006/main" r="AD380" s="16" t="inlineStr">
        <ns0:is>
          <ns0:t>@DESIGNATOR %1 %2 @MODEL PARAMS: Rvalue=@VALUE TC1value=100u</ns0:t>
        </ns0:is>
      </ns0:c>
      <ns0:c xmlns:ns0="http://schemas.openxmlformats.org/spreadsheetml/2006/main" r="AE380" s="16" t="inlineStr">
        <ns0:is>
          <ns0:t>X</ns0:t>
        </ns0:is>
      </ns0:c>
      <ns0:c xmlns:ns0="http://schemas.openxmlformats.org/spreadsheetml/2006/main" r="AF380" s="16" t="str">
        <ns0:v>(1:1),(2:2)</ns0:v>
      </ns0:c>
      <ns0:c xmlns:ns0="http://schemas.openxmlformats.org/spreadsheetml/2006/main" r="AG380" s="16" t="inlineStr">
        <ns0:is>
          <ns0:t>Simulation\Resistors\MY_LIB_R_TCR.ckt</ns0:t>
        </ns0:is>
      </ns0:c>
      <ns0:c xmlns:ns0="http://schemas.openxmlformats.org/spreadsheetml/2006/main" r="AH380" s="16" t="inlineStr">
        <ns0:is>
          <ns0:t>±100 ppm/°C</ns0:t>
        </ns0:is>
      </ns0:c>
    </ns0:row>
    <ns0:row xmlns:ns0="http://schemas.openxmlformats.org/spreadsheetml/2006/main" r="381" ht="30" customHeight="1">
      <ns0:c r="A381" t="str" s="10">
        <ns0:v>R0387</ns0:v>
      </ns0:c>
      <ns0:c r="B381" t="str" s="10">
        <ns0:v>Резистор</ns0:v>
      </ns0:c>
      <ns0:c r="C381" t="str" s="10">
        <ns0:v>4.3k</ns0:v>
      </ns0:c>
      <ns0:c r="D381" t="str" s="11">
        <ns0:f>SUBSTITUTE(SUBSTITUTE(SUBSTITUTE(SUBSTITUTE(C381,"meg"," МОм"),"k"," кОм"),"R"," Ом"),".",",")</ns0:f>
        <ns0:v>4,3 кОм</ns0:v>
      </ns0:c>
      <ns0:c r="E381" t="str" s="10">
        <ns0:v>±1%</ns0:v>
      </ns0:c>
      <ns0:c r="F381" t="str" s="10">
        <ns0:v>0,1 Вт</ns0:v>
      </ns0:c>
      <ns0:c r="G381" t="str" s="10">
        <ns0:v>75 В макс.</ns0:v>
      </ns0:c>
      <ns0:c r="H381" t="str" s="12">
        <ns0:v>0603</ns0:v>
      </ns0:c>
      <ns0:c r="I381" t="str" s="10">
        <ns0:v>YAGEO</ns0:v>
      </ns0:c>
      <ns0:c r="J381" t="str" s="10">
        <ns0:v>RC0603FR-074K3L</ns0:v>
      </ns0:c>
      <ns0:c r="K381" t="str" s="11">
        <ns0:f>B381&amp;" "&amp;D381&amp;" "&amp;E381&amp;" "&amp;H381</ns0:f>
        <ns0:v>Резистор 4,3 кОм ±1% 0603</ns0:v>
      </ns0:c>
      <ns0:c r="L381" t="str" s="13">
        <ns0:v>R</ns0:v>
      </ns0:c>
      <ns0:c r="M381" t="str" s="13">
        <ns0:v>Symbols\MY_LIB_Resistors.SchLib</ns0:v>
      </ns0:c>
      <ns0:c r="N381" t="str" s="13">
        <ns0:v>RESC1608X55N</ns0:v>
      </ns0:c>
      <ns0:c r="O381" t="str" s="13">
        <ns0:v>Footprints\PBL - SMD Packages.PcbLib</ns0:v>
      </ns0:c>
      <ns0:c xmlns:ns0="http://schemas.openxmlformats.org/spreadsheetml/2006/main" r="P38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1" s="10"/>
      <ns0:c r="R381" t="str" s="11">
        <ns0:f>D381</ns0:f>
        <ns0:v>4,3 кОм</ns0:v>
      </ns0:c>
      <ns0:c r="S381" t="str" s="11">
        <ns0:f>K381</ns0:f>
        <ns0:v>Резистор 4,3 кОм ±1% 0603</ns0:v>
      </ns0:c>
      <x:c xmlns:x="http://schemas.openxmlformats.org/spreadsheetml/2006/main" r="T381" t="str" s="11">
        <x:v>C:\Users\Nomatin\Documents\Altium\MY_LIB\MY_LIB\Datasheets\YAGEO_RC_L.pdf</x:v>
      </x:c>
      <x:c xmlns:x="http://schemas.openxmlformats.org/spreadsheetml/2006/main" r="U381" t="str" s="11">
        <x:v>Даташит — локальный</x:v>
      </x:c>
      <x:c xmlns:x="http://schemas.openxmlformats.org/spreadsheetml/2006/main" r="V381" t="str" s="11">
        <x:v>C:\Users\Nomatin\Documents\Altium\MY_LIB\MY_LIB\Datasheets\YAGEO_RC_L.pdf</x:v>
      </x:c>
      <x:c xmlns:x="http://schemas.openxmlformats.org/spreadsheetml/2006/main" r="W381" t="str" s="11">
        <x:v>Даташит — производитель</x:v>
      </x:c>
      <x:c xmlns:x="http://schemas.openxmlformats.org/spreadsheetml/2006/main" r="X381" t="str" s="11">
        <x:v>https://yageogroup.com/content/datasheet/asset/file/PYU-RC_GROUP_51_ROHS_L</x:v>
      </x:c>
      <x:c xmlns:x="http://schemas.openxmlformats.org/spreadsheetml/2006/main" r="Y381" t="str" s="11">
        <x:v>C:\Users\Nomatin\Documents\Altium\MY_LIB\MY_LIB\Datasheets\YAGEO_RC_L.pdf</x:v>
      </x:c>
      <ns0:c xmlns:ns0="http://schemas.openxmlformats.org/spreadsheetml/2006/main" r="Z381" s="16" t="inlineStr">
        <ns0:is>
          <ns0:t>MY_LIB_R_TCR</ns0:t>
        </ns0:is>
      </ns0:c>
      <ns0:c xmlns:ns0="http://schemas.openxmlformats.org/spreadsheetml/2006/main" r="AA381" s="16" t="inlineStr">
        <ns0:is>
          <ns0:t>R(T), +100 ppm/C at 25 C; positive datasheet limit</ns0:t>
        </ns0:is>
      </ns0:c>
      <ns0:c xmlns:ns0="http://schemas.openxmlformats.org/spreadsheetml/2006/main" r="AB381" s="16" t="str">
        <ns0:v>General</ns0:v>
      </ns0:c>
      <ns0:c xmlns:ns0="http://schemas.openxmlformats.org/spreadsheetml/2006/main" r="AC381" s="16" t="inlineStr">
        <ns0:is>
          <ns0:t>Spice Subcircuit</ns0:t>
        </ns0:is>
      </ns0:c>
      <ns0:c xmlns:ns0="http://schemas.openxmlformats.org/spreadsheetml/2006/main" r="AD381" s="16" t="inlineStr">
        <ns0:is>
          <ns0:t>@DESIGNATOR %1 %2 @MODEL PARAMS: Rvalue=@VALUE TC1value=100u</ns0:t>
        </ns0:is>
      </ns0:c>
      <ns0:c xmlns:ns0="http://schemas.openxmlformats.org/spreadsheetml/2006/main" r="AE381" s="16" t="inlineStr">
        <ns0:is>
          <ns0:t>X</ns0:t>
        </ns0:is>
      </ns0:c>
      <ns0:c xmlns:ns0="http://schemas.openxmlformats.org/spreadsheetml/2006/main" r="AF381" s="16" t="str">
        <ns0:v>(1:1),(2:2)</ns0:v>
      </ns0:c>
      <ns0:c xmlns:ns0="http://schemas.openxmlformats.org/spreadsheetml/2006/main" r="AG381" s="16" t="inlineStr">
        <ns0:is>
          <ns0:t>Simulation\Resistors\MY_LIB_R_TCR.ckt</ns0:t>
        </ns0:is>
      </ns0:c>
      <ns0:c xmlns:ns0="http://schemas.openxmlformats.org/spreadsheetml/2006/main" r="AH381" s="16" t="inlineStr">
        <ns0:is>
          <ns0:t>±100 ppm/°C</ns0:t>
        </ns0:is>
      </ns0:c>
    </ns0:row>
    <ns0:row xmlns:ns0="http://schemas.openxmlformats.org/spreadsheetml/2006/main" r="382" ht="30" customHeight="1">
      <ns0:c r="A382" t="str" s="10">
        <ns0:v>R0388</ns0:v>
      </ns0:c>
      <ns0:c r="B382" t="str" s="10">
        <ns0:v>Резистор</ns0:v>
      </ns0:c>
      <ns0:c r="C382" t="str" s="10">
        <ns0:v>4.7k</ns0:v>
      </ns0:c>
      <ns0:c r="D382" t="str" s="11">
        <ns0:f>SUBSTITUTE(SUBSTITUTE(SUBSTITUTE(SUBSTITUTE(C382,"meg"," МОм"),"k"," кОм"),"R"," Ом"),".",",")</ns0:f>
        <ns0:v>4,7 кОм</ns0:v>
      </ns0:c>
      <ns0:c r="E382" t="str" s="10">
        <ns0:v>±1%</ns0:v>
      </ns0:c>
      <ns0:c r="F382" t="str" s="10">
        <ns0:v>0,1 Вт</ns0:v>
      </ns0:c>
      <ns0:c r="G382" t="str" s="10">
        <ns0:v>75 В макс.</ns0:v>
      </ns0:c>
      <ns0:c r="H382" t="str" s="12">
        <ns0:v>0603</ns0:v>
      </ns0:c>
      <ns0:c r="I382" t="str" s="10">
        <ns0:v>YAGEO</ns0:v>
      </ns0:c>
      <ns0:c r="J382" t="str" s="10">
        <ns0:v>RC0603FR-074K7L</ns0:v>
      </ns0:c>
      <ns0:c r="K382" t="str" s="11">
        <ns0:f>B382&amp;" "&amp;D382&amp;" "&amp;E382&amp;" "&amp;H382</ns0:f>
        <ns0:v>Резистор 4,7 кОм ±1% 0603</ns0:v>
      </ns0:c>
      <ns0:c r="L382" t="str" s="13">
        <ns0:v>R</ns0:v>
      </ns0:c>
      <ns0:c r="M382" t="str" s="13">
        <ns0:v>Symbols\MY_LIB_Resistors.SchLib</ns0:v>
      </ns0:c>
      <ns0:c r="N382" t="str" s="13">
        <ns0:v>RESC1608X55N</ns0:v>
      </ns0:c>
      <ns0:c r="O382" t="str" s="13">
        <ns0:v>Footprints\PBL - SMD Packages.PcbLib</ns0:v>
      </ns0:c>
      <ns0:c xmlns:ns0="http://schemas.openxmlformats.org/spreadsheetml/2006/main" r="P38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2" s="10"/>
      <ns0:c r="R382" t="str" s="11">
        <ns0:f>D382</ns0:f>
        <ns0:v>4,7 кОм</ns0:v>
      </ns0:c>
      <ns0:c r="S382" t="str" s="11">
        <ns0:f>K382</ns0:f>
        <ns0:v>Резистор 4,7 кОм ±1% 0603</ns0:v>
      </ns0:c>
      <x:c xmlns:x="http://schemas.openxmlformats.org/spreadsheetml/2006/main" r="T382" t="str" s="11">
        <x:v>C:\Users\Nomatin\Documents\Altium\MY_LIB\MY_LIB\Datasheets\YAGEO_RC_L.pdf</x:v>
      </x:c>
      <x:c xmlns:x="http://schemas.openxmlformats.org/spreadsheetml/2006/main" r="U382" t="str" s="11">
        <x:v>Даташит — локальный</x:v>
      </x:c>
      <x:c xmlns:x="http://schemas.openxmlformats.org/spreadsheetml/2006/main" r="V382" t="str" s="11">
        <x:v>C:\Users\Nomatin\Documents\Altium\MY_LIB\MY_LIB\Datasheets\YAGEO_RC_L.pdf</x:v>
      </x:c>
      <x:c xmlns:x="http://schemas.openxmlformats.org/spreadsheetml/2006/main" r="W382" t="str" s="11">
        <x:v>Даташит — производитель</x:v>
      </x:c>
      <x:c xmlns:x="http://schemas.openxmlformats.org/spreadsheetml/2006/main" r="X382" t="str" s="11">
        <x:v>https://yageogroup.com/content/datasheet/asset/file/PYU-RC_GROUP_51_ROHS_L</x:v>
      </x:c>
      <x:c xmlns:x="http://schemas.openxmlformats.org/spreadsheetml/2006/main" r="Y382" t="str" s="11">
        <x:v>C:\Users\Nomatin\Documents\Altium\MY_LIB\MY_LIB\Datasheets\YAGEO_RC_L.pdf</x:v>
      </x:c>
      <ns0:c xmlns:ns0="http://schemas.openxmlformats.org/spreadsheetml/2006/main" r="Z382" s="16" t="inlineStr">
        <ns0:is>
          <ns0:t>MY_LIB_R_TCR</ns0:t>
        </ns0:is>
      </ns0:c>
      <ns0:c xmlns:ns0="http://schemas.openxmlformats.org/spreadsheetml/2006/main" r="AA382" s="16" t="inlineStr">
        <ns0:is>
          <ns0:t>R(T), +100 ppm/C at 25 C; positive datasheet limit</ns0:t>
        </ns0:is>
      </ns0:c>
      <ns0:c xmlns:ns0="http://schemas.openxmlformats.org/spreadsheetml/2006/main" r="AB382" s="16" t="str">
        <ns0:v>General</ns0:v>
      </ns0:c>
      <ns0:c xmlns:ns0="http://schemas.openxmlformats.org/spreadsheetml/2006/main" r="AC382" s="16" t="inlineStr">
        <ns0:is>
          <ns0:t>Spice Subcircuit</ns0:t>
        </ns0:is>
      </ns0:c>
      <ns0:c xmlns:ns0="http://schemas.openxmlformats.org/spreadsheetml/2006/main" r="AD382" s="16" t="inlineStr">
        <ns0:is>
          <ns0:t>@DESIGNATOR %1 %2 @MODEL PARAMS: Rvalue=@VALUE TC1value=100u</ns0:t>
        </ns0:is>
      </ns0:c>
      <ns0:c xmlns:ns0="http://schemas.openxmlformats.org/spreadsheetml/2006/main" r="AE382" s="16" t="inlineStr">
        <ns0:is>
          <ns0:t>X</ns0:t>
        </ns0:is>
      </ns0:c>
      <ns0:c xmlns:ns0="http://schemas.openxmlformats.org/spreadsheetml/2006/main" r="AF382" s="16" t="str">
        <ns0:v>(1:1),(2:2)</ns0:v>
      </ns0:c>
      <ns0:c xmlns:ns0="http://schemas.openxmlformats.org/spreadsheetml/2006/main" r="AG382" s="16" t="inlineStr">
        <ns0:is>
          <ns0:t>Simulation\Resistors\MY_LIB_R_TCR.ckt</ns0:t>
        </ns0:is>
      </ns0:c>
      <ns0:c xmlns:ns0="http://schemas.openxmlformats.org/spreadsheetml/2006/main" r="AH382" s="16" t="inlineStr">
        <ns0:is>
          <ns0:t>±100 ppm/°C</ns0:t>
        </ns0:is>
      </ns0:c>
    </ns0:row>
    <ns0:row xmlns:ns0="http://schemas.openxmlformats.org/spreadsheetml/2006/main" r="383" ht="30" customHeight="1">
      <ns0:c r="A383" t="str" s="10">
        <ns0:v>R0389</ns0:v>
      </ns0:c>
      <ns0:c r="B383" t="str" s="10">
        <ns0:v>Резистор</ns0:v>
      </ns0:c>
      <ns0:c r="C383" t="str" s="10">
        <ns0:v>5.1k</ns0:v>
      </ns0:c>
      <ns0:c r="D383" t="str" s="11">
        <ns0:f>SUBSTITUTE(SUBSTITUTE(SUBSTITUTE(SUBSTITUTE(C383,"meg"," МОм"),"k"," кОм"),"R"," Ом"),".",",")</ns0:f>
        <ns0:v>5,1 кОм</ns0:v>
      </ns0:c>
      <ns0:c r="E383" t="str" s="10">
        <ns0:v>±1%</ns0:v>
      </ns0:c>
      <ns0:c r="F383" t="str" s="10">
        <ns0:v>0,1 Вт</ns0:v>
      </ns0:c>
      <ns0:c r="G383" t="str" s="10">
        <ns0:v>75 В макс.</ns0:v>
      </ns0:c>
      <ns0:c r="H383" t="str" s="12">
        <ns0:v>0603</ns0:v>
      </ns0:c>
      <ns0:c r="I383" t="str" s="10">
        <ns0:v>YAGEO</ns0:v>
      </ns0:c>
      <ns0:c r="J383" t="str" s="10">
        <ns0:v>RC0603FR-075K1L</ns0:v>
      </ns0:c>
      <ns0:c r="K383" t="str" s="11">
        <ns0:f>B383&amp;" "&amp;D383&amp;" "&amp;E383&amp;" "&amp;H383</ns0:f>
        <ns0:v>Резистор 5,1 кОм ±1% 0603</ns0:v>
      </ns0:c>
      <ns0:c r="L383" t="str" s="13">
        <ns0:v>R</ns0:v>
      </ns0:c>
      <ns0:c r="M383" t="str" s="13">
        <ns0:v>Symbols\MY_LIB_Resistors.SchLib</ns0:v>
      </ns0:c>
      <ns0:c r="N383" t="str" s="13">
        <ns0:v>RESC1608X55N</ns0:v>
      </ns0:c>
      <ns0:c r="O383" t="str" s="13">
        <ns0:v>Footprints\PBL - SMD Packages.PcbLib</ns0:v>
      </ns0:c>
      <ns0:c xmlns:ns0="http://schemas.openxmlformats.org/spreadsheetml/2006/main" r="P38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3" s="10"/>
      <ns0:c r="R383" t="str" s="11">
        <ns0:f>D383</ns0:f>
        <ns0:v>5,1 кОм</ns0:v>
      </ns0:c>
      <ns0:c r="S383" t="str" s="11">
        <ns0:f>K383</ns0:f>
        <ns0:v>Резистор 5,1 кОм ±1% 0603</ns0:v>
      </ns0:c>
      <x:c xmlns:x="http://schemas.openxmlformats.org/spreadsheetml/2006/main" r="T383" t="str" s="11">
        <x:v>C:\Users\Nomatin\Documents\Altium\MY_LIB\MY_LIB\Datasheets\YAGEO_RC_L.pdf</x:v>
      </x:c>
      <x:c xmlns:x="http://schemas.openxmlformats.org/spreadsheetml/2006/main" r="U383" t="str" s="11">
        <x:v>Даташит — локальный</x:v>
      </x:c>
      <x:c xmlns:x="http://schemas.openxmlformats.org/spreadsheetml/2006/main" r="V383" t="str" s="11">
        <x:v>C:\Users\Nomatin\Documents\Altium\MY_LIB\MY_LIB\Datasheets\YAGEO_RC_L.pdf</x:v>
      </x:c>
      <x:c xmlns:x="http://schemas.openxmlformats.org/spreadsheetml/2006/main" r="W383" t="str" s="11">
        <x:v>Даташит — производитель</x:v>
      </x:c>
      <x:c xmlns:x="http://schemas.openxmlformats.org/spreadsheetml/2006/main" r="X383" t="str" s="11">
        <x:v>https://yageogroup.com/content/datasheet/asset/file/PYU-RC_GROUP_51_ROHS_L</x:v>
      </x:c>
      <x:c xmlns:x="http://schemas.openxmlformats.org/spreadsheetml/2006/main" r="Y383" t="str" s="11">
        <x:v>C:\Users\Nomatin\Documents\Altium\MY_LIB\MY_LIB\Datasheets\YAGEO_RC_L.pdf</x:v>
      </x:c>
      <ns0:c xmlns:ns0="http://schemas.openxmlformats.org/spreadsheetml/2006/main" r="Z383" s="16" t="inlineStr">
        <ns0:is>
          <ns0:t>MY_LIB_R_TCR</ns0:t>
        </ns0:is>
      </ns0:c>
      <ns0:c xmlns:ns0="http://schemas.openxmlformats.org/spreadsheetml/2006/main" r="AA383" s="16" t="inlineStr">
        <ns0:is>
          <ns0:t>R(T), +100 ppm/C at 25 C; positive datasheet limit</ns0:t>
        </ns0:is>
      </ns0:c>
      <ns0:c xmlns:ns0="http://schemas.openxmlformats.org/spreadsheetml/2006/main" r="AB383" s="16" t="str">
        <ns0:v>General</ns0:v>
      </ns0:c>
      <ns0:c xmlns:ns0="http://schemas.openxmlformats.org/spreadsheetml/2006/main" r="AC383" s="16" t="inlineStr">
        <ns0:is>
          <ns0:t>Spice Subcircuit</ns0:t>
        </ns0:is>
      </ns0:c>
      <ns0:c xmlns:ns0="http://schemas.openxmlformats.org/spreadsheetml/2006/main" r="AD383" s="16" t="inlineStr">
        <ns0:is>
          <ns0:t>@DESIGNATOR %1 %2 @MODEL PARAMS: Rvalue=@VALUE TC1value=100u</ns0:t>
        </ns0:is>
      </ns0:c>
      <ns0:c xmlns:ns0="http://schemas.openxmlformats.org/spreadsheetml/2006/main" r="AE383" s="16" t="inlineStr">
        <ns0:is>
          <ns0:t>X</ns0:t>
        </ns0:is>
      </ns0:c>
      <ns0:c xmlns:ns0="http://schemas.openxmlformats.org/spreadsheetml/2006/main" r="AF383" s="16" t="str">
        <ns0:v>(1:1),(2:2)</ns0:v>
      </ns0:c>
      <ns0:c xmlns:ns0="http://schemas.openxmlformats.org/spreadsheetml/2006/main" r="AG383" s="16" t="inlineStr">
        <ns0:is>
          <ns0:t>Simulation\Resistors\MY_LIB_R_TCR.ckt</ns0:t>
        </ns0:is>
      </ns0:c>
      <ns0:c xmlns:ns0="http://schemas.openxmlformats.org/spreadsheetml/2006/main" r="AH383" s="16" t="inlineStr">
        <ns0:is>
          <ns0:t>±100 ppm/°C</ns0:t>
        </ns0:is>
      </ns0:c>
    </ns0:row>
    <ns0:row xmlns:ns0="http://schemas.openxmlformats.org/spreadsheetml/2006/main" r="384" ht="30" customHeight="1">
      <ns0:c r="A384" t="str" s="10">
        <ns0:v>R0390</ns0:v>
      </ns0:c>
      <ns0:c r="B384" t="str" s="10">
        <ns0:v>Резистор</ns0:v>
      </ns0:c>
      <ns0:c r="C384" t="str" s="10">
        <ns0:v>5.6k</ns0:v>
      </ns0:c>
      <ns0:c r="D384" t="str" s="11">
        <ns0:f>SUBSTITUTE(SUBSTITUTE(SUBSTITUTE(SUBSTITUTE(C384,"meg"," МОм"),"k"," кОм"),"R"," Ом"),".",",")</ns0:f>
        <ns0:v>5,6 кОм</ns0:v>
      </ns0:c>
      <ns0:c r="E384" t="str" s="10">
        <ns0:v>±1%</ns0:v>
      </ns0:c>
      <ns0:c r="F384" t="str" s="10">
        <ns0:v>0,1 Вт</ns0:v>
      </ns0:c>
      <ns0:c r="G384" t="str" s="10">
        <ns0:v>75 В макс.</ns0:v>
      </ns0:c>
      <ns0:c r="H384" t="str" s="12">
        <ns0:v>0603</ns0:v>
      </ns0:c>
      <ns0:c r="I384" t="str" s="10">
        <ns0:v>YAGEO</ns0:v>
      </ns0:c>
      <ns0:c r="J384" t="str" s="10">
        <ns0:v>RC0603FR-075K6L</ns0:v>
      </ns0:c>
      <ns0:c r="K384" t="str" s="11">
        <ns0:f>B384&amp;" "&amp;D384&amp;" "&amp;E384&amp;" "&amp;H384</ns0:f>
        <ns0:v>Резистор 5,6 кОм ±1% 0603</ns0:v>
      </ns0:c>
      <ns0:c r="L384" t="str" s="13">
        <ns0:v>R</ns0:v>
      </ns0:c>
      <ns0:c r="M384" t="str" s="13">
        <ns0:v>Symbols\MY_LIB_Resistors.SchLib</ns0:v>
      </ns0:c>
      <ns0:c r="N384" t="str" s="13">
        <ns0:v>RESC1608X55N</ns0:v>
      </ns0:c>
      <ns0:c r="O384" t="str" s="13">
        <ns0:v>Footprints\PBL - SMD Packages.PcbLib</ns0:v>
      </ns0:c>
      <ns0:c xmlns:ns0="http://schemas.openxmlformats.org/spreadsheetml/2006/main" r="P38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4" s="10"/>
      <ns0:c r="R384" t="str" s="11">
        <ns0:f>D384</ns0:f>
        <ns0:v>5,6 кОм</ns0:v>
      </ns0:c>
      <ns0:c r="S384" t="str" s="11">
        <ns0:f>K384</ns0:f>
        <ns0:v>Резистор 5,6 кОм ±1% 0603</ns0:v>
      </ns0:c>
      <x:c xmlns:x="http://schemas.openxmlformats.org/spreadsheetml/2006/main" r="T384" t="str" s="11">
        <x:v>C:\Users\Nomatin\Documents\Altium\MY_LIB\MY_LIB\Datasheets\YAGEO_RC_L.pdf</x:v>
      </x:c>
      <x:c xmlns:x="http://schemas.openxmlformats.org/spreadsheetml/2006/main" r="U384" t="str" s="11">
        <x:v>Даташит — локальный</x:v>
      </x:c>
      <x:c xmlns:x="http://schemas.openxmlformats.org/spreadsheetml/2006/main" r="V384" t="str" s="11">
        <x:v>C:\Users\Nomatin\Documents\Altium\MY_LIB\MY_LIB\Datasheets\YAGEO_RC_L.pdf</x:v>
      </x:c>
      <x:c xmlns:x="http://schemas.openxmlformats.org/spreadsheetml/2006/main" r="W384" t="str" s="11">
        <x:v>Даташит — производитель</x:v>
      </x:c>
      <x:c xmlns:x="http://schemas.openxmlformats.org/spreadsheetml/2006/main" r="X384" t="str" s="11">
        <x:v>https://yageogroup.com/content/datasheet/asset/file/PYU-RC_GROUP_51_ROHS_L</x:v>
      </x:c>
      <x:c xmlns:x="http://schemas.openxmlformats.org/spreadsheetml/2006/main" r="Y384" t="str" s="11">
        <x:v>C:\Users\Nomatin\Documents\Altium\MY_LIB\MY_LIB\Datasheets\YAGEO_RC_L.pdf</x:v>
      </x:c>
      <ns0:c xmlns:ns0="http://schemas.openxmlformats.org/spreadsheetml/2006/main" r="Z384" s="16" t="inlineStr">
        <ns0:is>
          <ns0:t>MY_LIB_R_TCR</ns0:t>
        </ns0:is>
      </ns0:c>
      <ns0:c xmlns:ns0="http://schemas.openxmlformats.org/spreadsheetml/2006/main" r="AA384" s="16" t="inlineStr">
        <ns0:is>
          <ns0:t>R(T), +100 ppm/C at 25 C; positive datasheet limit</ns0:t>
        </ns0:is>
      </ns0:c>
      <ns0:c xmlns:ns0="http://schemas.openxmlformats.org/spreadsheetml/2006/main" r="AB384" s="16" t="str">
        <ns0:v>General</ns0:v>
      </ns0:c>
      <ns0:c xmlns:ns0="http://schemas.openxmlformats.org/spreadsheetml/2006/main" r="AC384" s="16" t="inlineStr">
        <ns0:is>
          <ns0:t>Spice Subcircuit</ns0:t>
        </ns0:is>
      </ns0:c>
      <ns0:c xmlns:ns0="http://schemas.openxmlformats.org/spreadsheetml/2006/main" r="AD384" s="16" t="inlineStr">
        <ns0:is>
          <ns0:t>@DESIGNATOR %1 %2 @MODEL PARAMS: Rvalue=@VALUE TC1value=100u</ns0:t>
        </ns0:is>
      </ns0:c>
      <ns0:c xmlns:ns0="http://schemas.openxmlformats.org/spreadsheetml/2006/main" r="AE384" s="16" t="inlineStr">
        <ns0:is>
          <ns0:t>X</ns0:t>
        </ns0:is>
      </ns0:c>
      <ns0:c xmlns:ns0="http://schemas.openxmlformats.org/spreadsheetml/2006/main" r="AF384" s="16" t="str">
        <ns0:v>(1:1),(2:2)</ns0:v>
      </ns0:c>
      <ns0:c xmlns:ns0="http://schemas.openxmlformats.org/spreadsheetml/2006/main" r="AG384" s="16" t="inlineStr">
        <ns0:is>
          <ns0:t>Simulation\Resistors\MY_LIB_R_TCR.ckt</ns0:t>
        </ns0:is>
      </ns0:c>
      <ns0:c xmlns:ns0="http://schemas.openxmlformats.org/spreadsheetml/2006/main" r="AH384" s="16" t="inlineStr">
        <ns0:is>
          <ns0:t>±100 ppm/°C</ns0:t>
        </ns0:is>
      </ns0:c>
    </ns0:row>
    <ns0:row xmlns:ns0="http://schemas.openxmlformats.org/spreadsheetml/2006/main" r="385" ht="30" customHeight="1">
      <ns0:c r="A385" t="str" s="10">
        <ns0:v>R0391</ns0:v>
      </ns0:c>
      <ns0:c r="B385" t="str" s="10">
        <ns0:v>Резистор</ns0:v>
      </ns0:c>
      <ns0:c r="C385" t="str" s="10">
        <ns0:v>6.2k</ns0:v>
      </ns0:c>
      <ns0:c r="D385" t="str" s="11">
        <ns0:f>SUBSTITUTE(SUBSTITUTE(SUBSTITUTE(SUBSTITUTE(C385,"meg"," МОм"),"k"," кОм"),"R"," Ом"),".",",")</ns0:f>
        <ns0:v>6,2 кОм</ns0:v>
      </ns0:c>
      <ns0:c r="E385" t="str" s="10">
        <ns0:v>±1%</ns0:v>
      </ns0:c>
      <ns0:c r="F385" t="str" s="10">
        <ns0:v>0,1 Вт</ns0:v>
      </ns0:c>
      <ns0:c r="G385" t="str" s="10">
        <ns0:v>75 В макс.</ns0:v>
      </ns0:c>
      <ns0:c r="H385" t="str" s="12">
        <ns0:v>0603</ns0:v>
      </ns0:c>
      <ns0:c r="I385" t="str" s="10">
        <ns0:v>YAGEO</ns0:v>
      </ns0:c>
      <ns0:c r="J385" t="str" s="10">
        <ns0:v>RC0603FR-076K2L</ns0:v>
      </ns0:c>
      <ns0:c r="K385" t="str" s="11">
        <ns0:f>B385&amp;" "&amp;D385&amp;" "&amp;E385&amp;" "&amp;H385</ns0:f>
        <ns0:v>Резистор 6,2 кОм ±1% 0603</ns0:v>
      </ns0:c>
      <ns0:c r="L385" t="str" s="13">
        <ns0:v>R</ns0:v>
      </ns0:c>
      <ns0:c r="M385" t="str" s="13">
        <ns0:v>Symbols\MY_LIB_Resistors.SchLib</ns0:v>
      </ns0:c>
      <ns0:c r="N385" t="str" s="13">
        <ns0:v>RESC1608X55N</ns0:v>
      </ns0:c>
      <ns0:c r="O385" t="str" s="13">
        <ns0:v>Footprints\PBL - SMD Packages.PcbLib</ns0:v>
      </ns0:c>
      <ns0:c xmlns:ns0="http://schemas.openxmlformats.org/spreadsheetml/2006/main" r="P38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5" s="10"/>
      <ns0:c r="R385" t="str" s="11">
        <ns0:f>D385</ns0:f>
        <ns0:v>6,2 кОм</ns0:v>
      </ns0:c>
      <ns0:c r="S385" t="str" s="11">
        <ns0:f>K385</ns0:f>
        <ns0:v>Резистор 6,2 кОм ±1% 0603</ns0:v>
      </ns0:c>
      <x:c xmlns:x="http://schemas.openxmlformats.org/spreadsheetml/2006/main" r="T385" t="str" s="11">
        <x:v>C:\Users\Nomatin\Documents\Altium\MY_LIB\MY_LIB\Datasheets\YAGEO_RC_L.pdf</x:v>
      </x:c>
      <x:c xmlns:x="http://schemas.openxmlformats.org/spreadsheetml/2006/main" r="U385" t="str" s="11">
        <x:v>Даташит — локальный</x:v>
      </x:c>
      <x:c xmlns:x="http://schemas.openxmlformats.org/spreadsheetml/2006/main" r="V385" t="str" s="11">
        <x:v>C:\Users\Nomatin\Documents\Altium\MY_LIB\MY_LIB\Datasheets\YAGEO_RC_L.pdf</x:v>
      </x:c>
      <x:c xmlns:x="http://schemas.openxmlformats.org/spreadsheetml/2006/main" r="W385" t="str" s="11">
        <x:v>Даташит — производитель</x:v>
      </x:c>
      <x:c xmlns:x="http://schemas.openxmlformats.org/spreadsheetml/2006/main" r="X385" t="str" s="11">
        <x:v>https://yageogroup.com/content/datasheet/asset/file/PYU-RC_GROUP_51_ROHS_L</x:v>
      </x:c>
      <x:c xmlns:x="http://schemas.openxmlformats.org/spreadsheetml/2006/main" r="Y385" t="str" s="11">
        <x:v>C:\Users\Nomatin\Documents\Altium\MY_LIB\MY_LIB\Datasheets\YAGEO_RC_L.pdf</x:v>
      </x:c>
      <ns0:c xmlns:ns0="http://schemas.openxmlformats.org/spreadsheetml/2006/main" r="Z385" s="16" t="inlineStr">
        <ns0:is>
          <ns0:t>MY_LIB_R_TCR</ns0:t>
        </ns0:is>
      </ns0:c>
      <ns0:c xmlns:ns0="http://schemas.openxmlformats.org/spreadsheetml/2006/main" r="AA385" s="16" t="inlineStr">
        <ns0:is>
          <ns0:t>R(T), +100 ppm/C at 25 C; positive datasheet limit</ns0:t>
        </ns0:is>
      </ns0:c>
      <ns0:c xmlns:ns0="http://schemas.openxmlformats.org/spreadsheetml/2006/main" r="AB385" s="16" t="str">
        <ns0:v>General</ns0:v>
      </ns0:c>
      <ns0:c xmlns:ns0="http://schemas.openxmlformats.org/spreadsheetml/2006/main" r="AC385" s="16" t="inlineStr">
        <ns0:is>
          <ns0:t>Spice Subcircuit</ns0:t>
        </ns0:is>
      </ns0:c>
      <ns0:c xmlns:ns0="http://schemas.openxmlformats.org/spreadsheetml/2006/main" r="AD385" s="16" t="inlineStr">
        <ns0:is>
          <ns0:t>@DESIGNATOR %1 %2 @MODEL PARAMS: Rvalue=@VALUE TC1value=100u</ns0:t>
        </ns0:is>
      </ns0:c>
      <ns0:c xmlns:ns0="http://schemas.openxmlformats.org/spreadsheetml/2006/main" r="AE385" s="16" t="inlineStr">
        <ns0:is>
          <ns0:t>X</ns0:t>
        </ns0:is>
      </ns0:c>
      <ns0:c xmlns:ns0="http://schemas.openxmlformats.org/spreadsheetml/2006/main" r="AF385" s="16" t="str">
        <ns0:v>(1:1),(2:2)</ns0:v>
      </ns0:c>
      <ns0:c xmlns:ns0="http://schemas.openxmlformats.org/spreadsheetml/2006/main" r="AG385" s="16" t="inlineStr">
        <ns0:is>
          <ns0:t>Simulation\Resistors\MY_LIB_R_TCR.ckt</ns0:t>
        </ns0:is>
      </ns0:c>
      <ns0:c xmlns:ns0="http://schemas.openxmlformats.org/spreadsheetml/2006/main" r="AH385" s="16" t="inlineStr">
        <ns0:is>
          <ns0:t>±100 ppm/°C</ns0:t>
        </ns0:is>
      </ns0:c>
    </ns0:row>
    <ns0:row xmlns:ns0="http://schemas.openxmlformats.org/spreadsheetml/2006/main" r="386" ht="30" customHeight="1">
      <ns0:c r="A386" t="str" s="10">
        <ns0:v>R0392</ns0:v>
      </ns0:c>
      <ns0:c r="B386" t="str" s="10">
        <ns0:v>Резистор</ns0:v>
      </ns0:c>
      <ns0:c r="C386" t="str" s="10">
        <ns0:v>6.8k</ns0:v>
      </ns0:c>
      <ns0:c r="D386" t="str" s="11">
        <ns0:f>SUBSTITUTE(SUBSTITUTE(SUBSTITUTE(SUBSTITUTE(C386,"meg"," МОм"),"k"," кОм"),"R"," Ом"),".",",")</ns0:f>
        <ns0:v>6,8 кОм</ns0:v>
      </ns0:c>
      <ns0:c r="E386" t="str" s="10">
        <ns0:v>±1%</ns0:v>
      </ns0:c>
      <ns0:c r="F386" t="str" s="10">
        <ns0:v>0,1 Вт</ns0:v>
      </ns0:c>
      <ns0:c r="G386" t="str" s="10">
        <ns0:v>75 В макс.</ns0:v>
      </ns0:c>
      <ns0:c r="H386" t="str" s="12">
        <ns0:v>0603</ns0:v>
      </ns0:c>
      <ns0:c r="I386" t="str" s="10">
        <ns0:v>YAGEO</ns0:v>
      </ns0:c>
      <ns0:c r="J386" t="str" s="10">
        <ns0:v>RC0603FR-076K8L</ns0:v>
      </ns0:c>
      <ns0:c r="K386" t="str" s="11">
        <ns0:f>B386&amp;" "&amp;D386&amp;" "&amp;E386&amp;" "&amp;H386</ns0:f>
        <ns0:v>Резистор 6,8 кОм ±1% 0603</ns0:v>
      </ns0:c>
      <ns0:c r="L386" t="str" s="13">
        <ns0:v>R</ns0:v>
      </ns0:c>
      <ns0:c r="M386" t="str" s="13">
        <ns0:v>Symbols\MY_LIB_Resistors.SchLib</ns0:v>
      </ns0:c>
      <ns0:c r="N386" t="str" s="13">
        <ns0:v>RESC1608X55N</ns0:v>
      </ns0:c>
      <ns0:c r="O386" t="str" s="13">
        <ns0:v>Footprints\PBL - SMD Packages.PcbLib</ns0:v>
      </ns0:c>
      <ns0:c xmlns:ns0="http://schemas.openxmlformats.org/spreadsheetml/2006/main" r="P38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6" s="10"/>
      <ns0:c r="R386" t="str" s="11">
        <ns0:f>D386</ns0:f>
        <ns0:v>6,8 кОм</ns0:v>
      </ns0:c>
      <ns0:c r="S386" t="str" s="11">
        <ns0:f>K386</ns0:f>
        <ns0:v>Резистор 6,8 кОм ±1% 0603</ns0:v>
      </ns0:c>
      <x:c xmlns:x="http://schemas.openxmlformats.org/spreadsheetml/2006/main" r="T386" t="str" s="11">
        <x:v>C:\Users\Nomatin\Documents\Altium\MY_LIB\MY_LIB\Datasheets\YAGEO_RC_L.pdf</x:v>
      </x:c>
      <x:c xmlns:x="http://schemas.openxmlformats.org/spreadsheetml/2006/main" r="U386" t="str" s="11">
        <x:v>Даташит — локальный</x:v>
      </x:c>
      <x:c xmlns:x="http://schemas.openxmlformats.org/spreadsheetml/2006/main" r="V386" t="str" s="11">
        <x:v>C:\Users\Nomatin\Documents\Altium\MY_LIB\MY_LIB\Datasheets\YAGEO_RC_L.pdf</x:v>
      </x:c>
      <x:c xmlns:x="http://schemas.openxmlformats.org/spreadsheetml/2006/main" r="W386" t="str" s="11">
        <x:v>Даташит — производитель</x:v>
      </x:c>
      <x:c xmlns:x="http://schemas.openxmlformats.org/spreadsheetml/2006/main" r="X386" t="str" s="11">
        <x:v>https://yageogroup.com/content/datasheet/asset/file/PYU-RC_GROUP_51_ROHS_L</x:v>
      </x:c>
      <x:c xmlns:x="http://schemas.openxmlformats.org/spreadsheetml/2006/main" r="Y386" t="str" s="11">
        <x:v>C:\Users\Nomatin\Documents\Altium\MY_LIB\MY_LIB\Datasheets\YAGEO_RC_L.pdf</x:v>
      </x:c>
      <ns0:c xmlns:ns0="http://schemas.openxmlformats.org/spreadsheetml/2006/main" r="Z386" s="16" t="inlineStr">
        <ns0:is>
          <ns0:t>MY_LIB_R_TCR</ns0:t>
        </ns0:is>
      </ns0:c>
      <ns0:c xmlns:ns0="http://schemas.openxmlformats.org/spreadsheetml/2006/main" r="AA386" s="16" t="inlineStr">
        <ns0:is>
          <ns0:t>R(T), +100 ppm/C at 25 C; positive datasheet limit</ns0:t>
        </ns0:is>
      </ns0:c>
      <ns0:c xmlns:ns0="http://schemas.openxmlformats.org/spreadsheetml/2006/main" r="AB386" s="16" t="str">
        <ns0:v>General</ns0:v>
      </ns0:c>
      <ns0:c xmlns:ns0="http://schemas.openxmlformats.org/spreadsheetml/2006/main" r="AC386" s="16" t="inlineStr">
        <ns0:is>
          <ns0:t>Spice Subcircuit</ns0:t>
        </ns0:is>
      </ns0:c>
      <ns0:c xmlns:ns0="http://schemas.openxmlformats.org/spreadsheetml/2006/main" r="AD386" s="16" t="inlineStr">
        <ns0:is>
          <ns0:t>@DESIGNATOR %1 %2 @MODEL PARAMS: Rvalue=@VALUE TC1value=100u</ns0:t>
        </ns0:is>
      </ns0:c>
      <ns0:c xmlns:ns0="http://schemas.openxmlformats.org/spreadsheetml/2006/main" r="AE386" s="16" t="inlineStr">
        <ns0:is>
          <ns0:t>X</ns0:t>
        </ns0:is>
      </ns0:c>
      <ns0:c xmlns:ns0="http://schemas.openxmlformats.org/spreadsheetml/2006/main" r="AF386" s="16" t="str">
        <ns0:v>(1:1),(2:2)</ns0:v>
      </ns0:c>
      <ns0:c xmlns:ns0="http://schemas.openxmlformats.org/spreadsheetml/2006/main" r="AG386" s="16" t="inlineStr">
        <ns0:is>
          <ns0:t>Simulation\Resistors\MY_LIB_R_TCR.ckt</ns0:t>
        </ns0:is>
      </ns0:c>
      <ns0:c xmlns:ns0="http://schemas.openxmlformats.org/spreadsheetml/2006/main" r="AH386" s="16" t="inlineStr">
        <ns0:is>
          <ns0:t>±100 ppm/°C</ns0:t>
        </ns0:is>
      </ns0:c>
    </ns0:row>
    <ns0:row xmlns:ns0="http://schemas.openxmlformats.org/spreadsheetml/2006/main" r="387" ht="30" customHeight="1">
      <ns0:c r="A387" t="str" s="10">
        <ns0:v>R0393</ns0:v>
      </ns0:c>
      <ns0:c r="B387" t="str" s="10">
        <ns0:v>Резистор</ns0:v>
      </ns0:c>
      <ns0:c r="C387" t="str" s="10">
        <ns0:v>7.5k</ns0:v>
      </ns0:c>
      <ns0:c r="D387" t="str" s="11">
        <ns0:f>SUBSTITUTE(SUBSTITUTE(SUBSTITUTE(SUBSTITUTE(C387,"meg"," МОм"),"k"," кОм"),"R"," Ом"),".",",")</ns0:f>
        <ns0:v>7,5 кОм</ns0:v>
      </ns0:c>
      <ns0:c r="E387" t="str" s="10">
        <ns0:v>±1%</ns0:v>
      </ns0:c>
      <ns0:c r="F387" t="str" s="10">
        <ns0:v>0,1 Вт</ns0:v>
      </ns0:c>
      <ns0:c r="G387" t="str" s="10">
        <ns0:v>75 В макс.</ns0:v>
      </ns0:c>
      <ns0:c r="H387" t="str" s="12">
        <ns0:v>0603</ns0:v>
      </ns0:c>
      <ns0:c r="I387" t="str" s="10">
        <ns0:v>YAGEO</ns0:v>
      </ns0:c>
      <ns0:c r="J387" t="str" s="10">
        <ns0:v>RC0603FR-077K5L</ns0:v>
      </ns0:c>
      <ns0:c r="K387" t="str" s="11">
        <ns0:f>B387&amp;" "&amp;D387&amp;" "&amp;E387&amp;" "&amp;H387</ns0:f>
        <ns0:v>Резистор 7,5 кОм ±1% 0603</ns0:v>
      </ns0:c>
      <ns0:c r="L387" t="str" s="13">
        <ns0:v>R</ns0:v>
      </ns0:c>
      <ns0:c r="M387" t="str" s="13">
        <ns0:v>Symbols\MY_LIB_Resistors.SchLib</ns0:v>
      </ns0:c>
      <ns0:c r="N387" t="str" s="13">
        <ns0:v>RESC1608X55N</ns0:v>
      </ns0:c>
      <ns0:c r="O387" t="str" s="13">
        <ns0:v>Footprints\PBL - SMD Packages.PcbLib</ns0:v>
      </ns0:c>
      <ns0:c xmlns:ns0="http://schemas.openxmlformats.org/spreadsheetml/2006/main" r="P38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7" s="10"/>
      <ns0:c r="R387" t="str" s="11">
        <ns0:f>D387</ns0:f>
        <ns0:v>7,5 кОм</ns0:v>
      </ns0:c>
      <ns0:c r="S387" t="str" s="11">
        <ns0:f>K387</ns0:f>
        <ns0:v>Резистор 7,5 кОм ±1% 0603</ns0:v>
      </ns0:c>
      <x:c xmlns:x="http://schemas.openxmlformats.org/spreadsheetml/2006/main" r="T387" t="str" s="11">
        <x:v>C:\Users\Nomatin\Documents\Altium\MY_LIB\MY_LIB\Datasheets\YAGEO_RC_L.pdf</x:v>
      </x:c>
      <x:c xmlns:x="http://schemas.openxmlformats.org/spreadsheetml/2006/main" r="U387" t="str" s="11">
        <x:v>Даташит — локальный</x:v>
      </x:c>
      <x:c xmlns:x="http://schemas.openxmlformats.org/spreadsheetml/2006/main" r="V387" t="str" s="11">
        <x:v>C:\Users\Nomatin\Documents\Altium\MY_LIB\MY_LIB\Datasheets\YAGEO_RC_L.pdf</x:v>
      </x:c>
      <x:c xmlns:x="http://schemas.openxmlformats.org/spreadsheetml/2006/main" r="W387" t="str" s="11">
        <x:v>Даташит — производитель</x:v>
      </x:c>
      <x:c xmlns:x="http://schemas.openxmlformats.org/spreadsheetml/2006/main" r="X387" t="str" s="11">
        <x:v>https://yageogroup.com/content/datasheet/asset/file/PYU-RC_GROUP_51_ROHS_L</x:v>
      </x:c>
      <x:c xmlns:x="http://schemas.openxmlformats.org/spreadsheetml/2006/main" r="Y387" t="str" s="11">
        <x:v>C:\Users\Nomatin\Documents\Altium\MY_LIB\MY_LIB\Datasheets\YAGEO_RC_L.pdf</x:v>
      </x:c>
      <ns0:c xmlns:ns0="http://schemas.openxmlformats.org/spreadsheetml/2006/main" r="Z387" s="16" t="inlineStr">
        <ns0:is>
          <ns0:t>MY_LIB_R_TCR</ns0:t>
        </ns0:is>
      </ns0:c>
      <ns0:c xmlns:ns0="http://schemas.openxmlformats.org/spreadsheetml/2006/main" r="AA387" s="16" t="inlineStr">
        <ns0:is>
          <ns0:t>R(T), +100 ppm/C at 25 C; positive datasheet limit</ns0:t>
        </ns0:is>
      </ns0:c>
      <ns0:c xmlns:ns0="http://schemas.openxmlformats.org/spreadsheetml/2006/main" r="AB387" s="16" t="str">
        <ns0:v>General</ns0:v>
      </ns0:c>
      <ns0:c xmlns:ns0="http://schemas.openxmlformats.org/spreadsheetml/2006/main" r="AC387" s="16" t="inlineStr">
        <ns0:is>
          <ns0:t>Spice Subcircuit</ns0:t>
        </ns0:is>
      </ns0:c>
      <ns0:c xmlns:ns0="http://schemas.openxmlformats.org/spreadsheetml/2006/main" r="AD387" s="16" t="inlineStr">
        <ns0:is>
          <ns0:t>@DESIGNATOR %1 %2 @MODEL PARAMS: Rvalue=@VALUE TC1value=100u</ns0:t>
        </ns0:is>
      </ns0:c>
      <ns0:c xmlns:ns0="http://schemas.openxmlformats.org/spreadsheetml/2006/main" r="AE387" s="16" t="inlineStr">
        <ns0:is>
          <ns0:t>X</ns0:t>
        </ns0:is>
      </ns0:c>
      <ns0:c xmlns:ns0="http://schemas.openxmlformats.org/spreadsheetml/2006/main" r="AF387" s="16" t="str">
        <ns0:v>(1:1),(2:2)</ns0:v>
      </ns0:c>
      <ns0:c xmlns:ns0="http://schemas.openxmlformats.org/spreadsheetml/2006/main" r="AG387" s="16" t="inlineStr">
        <ns0:is>
          <ns0:t>Simulation\Resistors\MY_LIB_R_TCR.ckt</ns0:t>
        </ns0:is>
      </ns0:c>
      <ns0:c xmlns:ns0="http://schemas.openxmlformats.org/spreadsheetml/2006/main" r="AH387" s="16" t="inlineStr">
        <ns0:is>
          <ns0:t>±100 ppm/°C</ns0:t>
        </ns0:is>
      </ns0:c>
    </ns0:row>
    <ns0:row xmlns:ns0="http://schemas.openxmlformats.org/spreadsheetml/2006/main" r="388" ht="30" customHeight="1">
      <ns0:c r="A388" t="str" s="10">
        <ns0:v>R0394</ns0:v>
      </ns0:c>
      <ns0:c r="B388" t="str" s="10">
        <ns0:v>Резистор</ns0:v>
      </ns0:c>
      <ns0:c r="C388" t="str" s="10">
        <ns0:v>8.2k</ns0:v>
      </ns0:c>
      <ns0:c r="D388" t="str" s="11">
        <ns0:f>SUBSTITUTE(SUBSTITUTE(SUBSTITUTE(SUBSTITUTE(C388,"meg"," МОм"),"k"," кОм"),"R"," Ом"),".",",")</ns0:f>
        <ns0:v>8,2 кОм</ns0:v>
      </ns0:c>
      <ns0:c r="E388" t="str" s="10">
        <ns0:v>±1%</ns0:v>
      </ns0:c>
      <ns0:c r="F388" t="str" s="10">
        <ns0:v>0,1 Вт</ns0:v>
      </ns0:c>
      <ns0:c r="G388" t="str" s="10">
        <ns0:v>75 В макс.</ns0:v>
      </ns0:c>
      <ns0:c r="H388" t="str" s="12">
        <ns0:v>0603</ns0:v>
      </ns0:c>
      <ns0:c r="I388" t="str" s="10">
        <ns0:v>YAGEO</ns0:v>
      </ns0:c>
      <ns0:c r="J388" t="str" s="10">
        <ns0:v>RC0603FR-078K2L</ns0:v>
      </ns0:c>
      <ns0:c r="K388" t="str" s="11">
        <ns0:f>B388&amp;" "&amp;D388&amp;" "&amp;E388&amp;" "&amp;H388</ns0:f>
        <ns0:v>Резистор 8,2 кОм ±1% 0603</ns0:v>
      </ns0:c>
      <ns0:c r="L388" t="str" s="13">
        <ns0:v>R</ns0:v>
      </ns0:c>
      <ns0:c r="M388" t="str" s="13">
        <ns0:v>Symbols\MY_LIB_Resistors.SchLib</ns0:v>
      </ns0:c>
      <ns0:c r="N388" t="str" s="13">
        <ns0:v>RESC1608X55N</ns0:v>
      </ns0:c>
      <ns0:c r="O388" t="str" s="13">
        <ns0:v>Footprints\PBL - SMD Packages.PcbLib</ns0:v>
      </ns0:c>
      <ns0:c xmlns:ns0="http://schemas.openxmlformats.org/spreadsheetml/2006/main" r="P38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8" s="10"/>
      <ns0:c r="R388" t="str" s="11">
        <ns0:f>D388</ns0:f>
        <ns0:v>8,2 кОм</ns0:v>
      </ns0:c>
      <ns0:c r="S388" t="str" s="11">
        <ns0:f>K388</ns0:f>
        <ns0:v>Резистор 8,2 кОм ±1% 0603</ns0:v>
      </ns0:c>
      <x:c xmlns:x="http://schemas.openxmlformats.org/spreadsheetml/2006/main" r="T388" t="str" s="11">
        <x:v>C:\Users\Nomatin\Documents\Altium\MY_LIB\MY_LIB\Datasheets\YAGEO_RC_L.pdf</x:v>
      </x:c>
      <x:c xmlns:x="http://schemas.openxmlformats.org/spreadsheetml/2006/main" r="U388" t="str" s="11">
        <x:v>Даташит — локальный</x:v>
      </x:c>
      <x:c xmlns:x="http://schemas.openxmlformats.org/spreadsheetml/2006/main" r="V388" t="str" s="11">
        <x:v>C:\Users\Nomatin\Documents\Altium\MY_LIB\MY_LIB\Datasheets\YAGEO_RC_L.pdf</x:v>
      </x:c>
      <x:c xmlns:x="http://schemas.openxmlformats.org/spreadsheetml/2006/main" r="W388" t="str" s="11">
        <x:v>Даташит — производитель</x:v>
      </x:c>
      <x:c xmlns:x="http://schemas.openxmlformats.org/spreadsheetml/2006/main" r="X388" t="str" s="11">
        <x:v>https://yageogroup.com/content/datasheet/asset/file/PYU-RC_GROUP_51_ROHS_L</x:v>
      </x:c>
      <x:c xmlns:x="http://schemas.openxmlformats.org/spreadsheetml/2006/main" r="Y388" t="str" s="11">
        <x:v>C:\Users\Nomatin\Documents\Altium\MY_LIB\MY_LIB\Datasheets\YAGEO_RC_L.pdf</x:v>
      </x:c>
      <ns0:c xmlns:ns0="http://schemas.openxmlformats.org/spreadsheetml/2006/main" r="Z388" s="16" t="inlineStr">
        <ns0:is>
          <ns0:t>MY_LIB_R_TCR</ns0:t>
        </ns0:is>
      </ns0:c>
      <ns0:c xmlns:ns0="http://schemas.openxmlformats.org/spreadsheetml/2006/main" r="AA388" s="16" t="inlineStr">
        <ns0:is>
          <ns0:t>R(T), +100 ppm/C at 25 C; positive datasheet limit</ns0:t>
        </ns0:is>
      </ns0:c>
      <ns0:c xmlns:ns0="http://schemas.openxmlformats.org/spreadsheetml/2006/main" r="AB388" s="16" t="str">
        <ns0:v>General</ns0:v>
      </ns0:c>
      <ns0:c xmlns:ns0="http://schemas.openxmlformats.org/spreadsheetml/2006/main" r="AC388" s="16" t="inlineStr">
        <ns0:is>
          <ns0:t>Spice Subcircuit</ns0:t>
        </ns0:is>
      </ns0:c>
      <ns0:c xmlns:ns0="http://schemas.openxmlformats.org/spreadsheetml/2006/main" r="AD388" s="16" t="inlineStr">
        <ns0:is>
          <ns0:t>@DESIGNATOR %1 %2 @MODEL PARAMS: Rvalue=@VALUE TC1value=100u</ns0:t>
        </ns0:is>
      </ns0:c>
      <ns0:c xmlns:ns0="http://schemas.openxmlformats.org/spreadsheetml/2006/main" r="AE388" s="16" t="inlineStr">
        <ns0:is>
          <ns0:t>X</ns0:t>
        </ns0:is>
      </ns0:c>
      <ns0:c xmlns:ns0="http://schemas.openxmlformats.org/spreadsheetml/2006/main" r="AF388" s="16" t="str">
        <ns0:v>(1:1),(2:2)</ns0:v>
      </ns0:c>
      <ns0:c xmlns:ns0="http://schemas.openxmlformats.org/spreadsheetml/2006/main" r="AG388" s="16" t="inlineStr">
        <ns0:is>
          <ns0:t>Simulation\Resistors\MY_LIB_R_TCR.ckt</ns0:t>
        </ns0:is>
      </ns0:c>
      <ns0:c xmlns:ns0="http://schemas.openxmlformats.org/spreadsheetml/2006/main" r="AH388" s="16" t="inlineStr">
        <ns0:is>
          <ns0:t>±100 ppm/°C</ns0:t>
        </ns0:is>
      </ns0:c>
    </ns0:row>
    <ns0:row xmlns:ns0="http://schemas.openxmlformats.org/spreadsheetml/2006/main" r="389" ht="30" customHeight="1">
      <ns0:c r="A389" t="str" s="10">
        <ns0:v>R0395</ns0:v>
      </ns0:c>
      <ns0:c r="B389" t="str" s="10">
        <ns0:v>Резистор</ns0:v>
      </ns0:c>
      <ns0:c r="C389" t="str" s="10">
        <ns0:v>9.1k</ns0:v>
      </ns0:c>
      <ns0:c r="D389" t="str" s="11">
        <ns0:f>SUBSTITUTE(SUBSTITUTE(SUBSTITUTE(SUBSTITUTE(C389,"meg"," МОм"),"k"," кОм"),"R"," Ом"),".",",")</ns0:f>
        <ns0:v>9,1 кОм</ns0:v>
      </ns0:c>
      <ns0:c r="E389" t="str" s="10">
        <ns0:v>±1%</ns0:v>
      </ns0:c>
      <ns0:c r="F389" t="str" s="10">
        <ns0:v>0,1 Вт</ns0:v>
      </ns0:c>
      <ns0:c r="G389" t="str" s="10">
        <ns0:v>75 В макс.</ns0:v>
      </ns0:c>
      <ns0:c r="H389" t="str" s="12">
        <ns0:v>0603</ns0:v>
      </ns0:c>
      <ns0:c r="I389" t="str" s="10">
        <ns0:v>YAGEO</ns0:v>
      </ns0:c>
      <ns0:c r="J389" t="str" s="10">
        <ns0:v>RC0603FR-079K1L</ns0:v>
      </ns0:c>
      <ns0:c r="K389" t="str" s="11">
        <ns0:f>B389&amp;" "&amp;D389&amp;" "&amp;E389&amp;" "&amp;H389</ns0:f>
        <ns0:v>Резистор 9,1 кОм ±1% 0603</ns0:v>
      </ns0:c>
      <ns0:c r="L389" t="str" s="13">
        <ns0:v>R</ns0:v>
      </ns0:c>
      <ns0:c r="M389" t="str" s="13">
        <ns0:v>Symbols\MY_LIB_Resistors.SchLib</ns0:v>
      </ns0:c>
      <ns0:c r="N389" t="str" s="13">
        <ns0:v>RESC1608X55N</ns0:v>
      </ns0:c>
      <ns0:c r="O389" t="str" s="13">
        <ns0:v>Footprints\PBL - SMD Packages.PcbLib</ns0:v>
      </ns0:c>
      <ns0:c xmlns:ns0="http://schemas.openxmlformats.org/spreadsheetml/2006/main" r="P38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89" s="10"/>
      <ns0:c r="R389" t="str" s="11">
        <ns0:f>D389</ns0:f>
        <ns0:v>9,1 кОм</ns0:v>
      </ns0:c>
      <ns0:c r="S389" t="str" s="11">
        <ns0:f>K389</ns0:f>
        <ns0:v>Резистор 9,1 кОм ±1% 0603</ns0:v>
      </ns0:c>
      <x:c xmlns:x="http://schemas.openxmlformats.org/spreadsheetml/2006/main" r="T389" t="str" s="11">
        <x:v>C:\Users\Nomatin\Documents\Altium\MY_LIB\MY_LIB\Datasheets\YAGEO_RC_L.pdf</x:v>
      </x:c>
      <x:c xmlns:x="http://schemas.openxmlformats.org/spreadsheetml/2006/main" r="U389" t="str" s="11">
        <x:v>Даташит — локальный</x:v>
      </x:c>
      <x:c xmlns:x="http://schemas.openxmlformats.org/spreadsheetml/2006/main" r="V389" t="str" s="11">
        <x:v>C:\Users\Nomatin\Documents\Altium\MY_LIB\MY_LIB\Datasheets\YAGEO_RC_L.pdf</x:v>
      </x:c>
      <x:c xmlns:x="http://schemas.openxmlformats.org/spreadsheetml/2006/main" r="W389" t="str" s="11">
        <x:v>Даташит — производитель</x:v>
      </x:c>
      <x:c xmlns:x="http://schemas.openxmlformats.org/spreadsheetml/2006/main" r="X389" t="str" s="11">
        <x:v>https://yageogroup.com/content/datasheet/asset/file/PYU-RC_GROUP_51_ROHS_L</x:v>
      </x:c>
      <x:c xmlns:x="http://schemas.openxmlformats.org/spreadsheetml/2006/main" r="Y389" t="str" s="11">
        <x:v>C:\Users\Nomatin\Documents\Altium\MY_LIB\MY_LIB\Datasheets\YAGEO_RC_L.pdf</x:v>
      </x:c>
      <ns0:c xmlns:ns0="http://schemas.openxmlformats.org/spreadsheetml/2006/main" r="Z389" s="16" t="inlineStr">
        <ns0:is>
          <ns0:t>MY_LIB_R_TCR</ns0:t>
        </ns0:is>
      </ns0:c>
      <ns0:c xmlns:ns0="http://schemas.openxmlformats.org/spreadsheetml/2006/main" r="AA389" s="16" t="inlineStr">
        <ns0:is>
          <ns0:t>R(T), +100 ppm/C at 25 C; positive datasheet limit</ns0:t>
        </ns0:is>
      </ns0:c>
      <ns0:c xmlns:ns0="http://schemas.openxmlformats.org/spreadsheetml/2006/main" r="AB389" s="16" t="str">
        <ns0:v>General</ns0:v>
      </ns0:c>
      <ns0:c xmlns:ns0="http://schemas.openxmlformats.org/spreadsheetml/2006/main" r="AC389" s="16" t="inlineStr">
        <ns0:is>
          <ns0:t>Spice Subcircuit</ns0:t>
        </ns0:is>
      </ns0:c>
      <ns0:c xmlns:ns0="http://schemas.openxmlformats.org/spreadsheetml/2006/main" r="AD389" s="16" t="inlineStr">
        <ns0:is>
          <ns0:t>@DESIGNATOR %1 %2 @MODEL PARAMS: Rvalue=@VALUE TC1value=100u</ns0:t>
        </ns0:is>
      </ns0:c>
      <ns0:c xmlns:ns0="http://schemas.openxmlformats.org/spreadsheetml/2006/main" r="AE389" s="16" t="inlineStr">
        <ns0:is>
          <ns0:t>X</ns0:t>
        </ns0:is>
      </ns0:c>
      <ns0:c xmlns:ns0="http://schemas.openxmlformats.org/spreadsheetml/2006/main" r="AF389" s="16" t="str">
        <ns0:v>(1:1),(2:2)</ns0:v>
      </ns0:c>
      <ns0:c xmlns:ns0="http://schemas.openxmlformats.org/spreadsheetml/2006/main" r="AG389" s="16" t="inlineStr">
        <ns0:is>
          <ns0:t>Simulation\Resistors\MY_LIB_R_TCR.ckt</ns0:t>
        </ns0:is>
      </ns0:c>
      <ns0:c xmlns:ns0="http://schemas.openxmlformats.org/spreadsheetml/2006/main" r="AH389" s="16" t="inlineStr">
        <ns0:is>
          <ns0:t>±100 ppm/°C</ns0:t>
        </ns0:is>
      </ns0:c>
    </ns0:row>
    <ns0:row xmlns:ns0="http://schemas.openxmlformats.org/spreadsheetml/2006/main" r="390" ht="30" customHeight="1">
      <ns0:c r="A390" t="str" s="10">
        <ns0:v>R0396</ns0:v>
      </ns0:c>
      <ns0:c r="B390" t="str" s="10">
        <ns0:v>Резистор</ns0:v>
      </ns0:c>
      <ns0:c r="C390" t="str" s="10">
        <ns0:v>10k</ns0:v>
      </ns0:c>
      <ns0:c r="D390" t="str" s="11">
        <ns0:f>SUBSTITUTE(SUBSTITUTE(SUBSTITUTE(SUBSTITUTE(C390,"meg"," МОм"),"k"," кОм"),"R"," Ом"),".",",")</ns0:f>
        <ns0:v>10 кОм</ns0:v>
      </ns0:c>
      <ns0:c r="E390" t="str" s="10">
        <ns0:v>±1%</ns0:v>
      </ns0:c>
      <ns0:c r="F390" t="str" s="10">
        <ns0:v>0,1 Вт</ns0:v>
      </ns0:c>
      <ns0:c r="G390" t="str" s="10">
        <ns0:v>75 В макс.</ns0:v>
      </ns0:c>
      <ns0:c r="H390" t="str" s="12">
        <ns0:v>0603</ns0:v>
      </ns0:c>
      <ns0:c r="I390" t="str" s="10">
        <ns0:v>YAGEO</ns0:v>
      </ns0:c>
      <ns0:c r="J390" t="str" s="10">
        <ns0:v>RC0603FR-0710KL</ns0:v>
      </ns0:c>
      <ns0:c r="K390" t="str" s="11">
        <ns0:f>B390&amp;" "&amp;D390&amp;" "&amp;E390&amp;" "&amp;H390</ns0:f>
        <ns0:v>Резистор 10 кОм ±1% 0603</ns0:v>
      </ns0:c>
      <ns0:c r="L390" t="str" s="13">
        <ns0:v>R</ns0:v>
      </ns0:c>
      <ns0:c r="M390" t="str" s="13">
        <ns0:v>Symbols\MY_LIB_Resistors.SchLib</ns0:v>
      </ns0:c>
      <ns0:c r="N390" t="str" s="13">
        <ns0:v>RESC1608X55N</ns0:v>
      </ns0:c>
      <ns0:c r="O390" t="str" s="13">
        <ns0:v>Footprints\PBL - SMD Packages.PcbLib</ns0:v>
      </ns0:c>
      <ns0:c xmlns:ns0="http://schemas.openxmlformats.org/spreadsheetml/2006/main" r="P39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0" s="10"/>
      <ns0:c r="R390" t="str" s="11">
        <ns0:f>D390</ns0:f>
        <ns0:v>10 кОм</ns0:v>
      </ns0:c>
      <ns0:c r="S390" t="str" s="11">
        <ns0:f>K390</ns0:f>
        <ns0:v>Резистор 10 кОм ±1% 0603</ns0:v>
      </ns0:c>
      <x:c xmlns:x="http://schemas.openxmlformats.org/spreadsheetml/2006/main" r="T390" t="str" s="11">
        <x:v>C:\Users\Nomatin\Documents\Altium\MY_LIB\MY_LIB\Datasheets\YAGEO_RC_L.pdf</x:v>
      </x:c>
      <x:c xmlns:x="http://schemas.openxmlformats.org/spreadsheetml/2006/main" r="U390" t="str" s="11">
        <x:v>Даташит — локальный</x:v>
      </x:c>
      <x:c xmlns:x="http://schemas.openxmlformats.org/spreadsheetml/2006/main" r="V390" t="str" s="11">
        <x:v>C:\Users\Nomatin\Documents\Altium\MY_LIB\MY_LIB\Datasheets\YAGEO_RC_L.pdf</x:v>
      </x:c>
      <x:c xmlns:x="http://schemas.openxmlformats.org/spreadsheetml/2006/main" r="W390" t="str" s="11">
        <x:v>Даташит — производитель</x:v>
      </x:c>
      <x:c xmlns:x="http://schemas.openxmlformats.org/spreadsheetml/2006/main" r="X390" t="str" s="11">
        <x:v>https://yageogroup.com/content/datasheet/asset/file/PYU-RC_GROUP_51_ROHS_L</x:v>
      </x:c>
      <x:c xmlns:x="http://schemas.openxmlformats.org/spreadsheetml/2006/main" r="Y390" t="str" s="11">
        <x:v>C:\Users\Nomatin\Documents\Altium\MY_LIB\MY_LIB\Datasheets\YAGEO_RC_L.pdf</x:v>
      </x:c>
      <ns0:c xmlns:ns0="http://schemas.openxmlformats.org/spreadsheetml/2006/main" r="Z390" s="16" t="inlineStr">
        <ns0:is>
          <ns0:t>MY_LIB_R_TCR</ns0:t>
        </ns0:is>
      </ns0:c>
      <ns0:c xmlns:ns0="http://schemas.openxmlformats.org/spreadsheetml/2006/main" r="AA390" s="16" t="inlineStr">
        <ns0:is>
          <ns0:t>R(T), +100 ppm/C at 25 C; positive datasheet limit</ns0:t>
        </ns0:is>
      </ns0:c>
      <ns0:c xmlns:ns0="http://schemas.openxmlformats.org/spreadsheetml/2006/main" r="AB390" s="16" t="str">
        <ns0:v>General</ns0:v>
      </ns0:c>
      <ns0:c xmlns:ns0="http://schemas.openxmlformats.org/spreadsheetml/2006/main" r="AC390" s="16" t="inlineStr">
        <ns0:is>
          <ns0:t>Spice Subcircuit</ns0:t>
        </ns0:is>
      </ns0:c>
      <ns0:c xmlns:ns0="http://schemas.openxmlformats.org/spreadsheetml/2006/main" r="AD390" s="16" t="inlineStr">
        <ns0:is>
          <ns0:t>@DESIGNATOR %1 %2 @MODEL PARAMS: Rvalue=@VALUE TC1value=100u</ns0:t>
        </ns0:is>
      </ns0:c>
      <ns0:c xmlns:ns0="http://schemas.openxmlformats.org/spreadsheetml/2006/main" r="AE390" s="16" t="inlineStr">
        <ns0:is>
          <ns0:t>X</ns0:t>
        </ns0:is>
      </ns0:c>
      <ns0:c xmlns:ns0="http://schemas.openxmlformats.org/spreadsheetml/2006/main" r="AF390" s="16" t="str">
        <ns0:v>(1:1),(2:2)</ns0:v>
      </ns0:c>
      <ns0:c xmlns:ns0="http://schemas.openxmlformats.org/spreadsheetml/2006/main" r="AG390" s="16" t="inlineStr">
        <ns0:is>
          <ns0:t>Simulation\Resistors\MY_LIB_R_TCR.ckt</ns0:t>
        </ns0:is>
      </ns0:c>
      <ns0:c xmlns:ns0="http://schemas.openxmlformats.org/spreadsheetml/2006/main" r="AH390" s="16" t="inlineStr">
        <ns0:is>
          <ns0:t>±100 ppm/°C</ns0:t>
        </ns0:is>
      </ns0:c>
    </ns0:row>
    <ns0:row xmlns:ns0="http://schemas.openxmlformats.org/spreadsheetml/2006/main" r="391" ht="30" customHeight="1">
      <ns0:c r="A391" t="str" s="10">
        <ns0:v>R0397</ns0:v>
      </ns0:c>
      <ns0:c r="B391" t="str" s="10">
        <ns0:v>Резистор</ns0:v>
      </ns0:c>
      <ns0:c r="C391" t="str" s="10">
        <ns0:v>11k</ns0:v>
      </ns0:c>
      <ns0:c r="D391" t="str" s="11">
        <ns0:f>SUBSTITUTE(SUBSTITUTE(SUBSTITUTE(SUBSTITUTE(C391,"meg"," МОм"),"k"," кОм"),"R"," Ом"),".",",")</ns0:f>
        <ns0:v>11 кОм</ns0:v>
      </ns0:c>
      <ns0:c r="E391" t="str" s="10">
        <ns0:v>±1%</ns0:v>
      </ns0:c>
      <ns0:c r="F391" t="str" s="10">
        <ns0:v>0,1 Вт</ns0:v>
      </ns0:c>
      <ns0:c r="G391" t="str" s="10">
        <ns0:v>75 В макс.</ns0:v>
      </ns0:c>
      <ns0:c r="H391" t="str" s="12">
        <ns0:v>0603</ns0:v>
      </ns0:c>
      <ns0:c r="I391" t="str" s="10">
        <ns0:v>YAGEO</ns0:v>
      </ns0:c>
      <ns0:c r="J391" t="str" s="10">
        <ns0:v>RC0603FR-0711KL</ns0:v>
      </ns0:c>
      <ns0:c r="K391" t="str" s="11">
        <ns0:f>B391&amp;" "&amp;D391&amp;" "&amp;E391&amp;" "&amp;H391</ns0:f>
        <ns0:v>Резистор 11 кОм ±1% 0603</ns0:v>
      </ns0:c>
      <ns0:c r="L391" t="str" s="13">
        <ns0:v>R</ns0:v>
      </ns0:c>
      <ns0:c r="M391" t="str" s="13">
        <ns0:v>Symbols\MY_LIB_Resistors.SchLib</ns0:v>
      </ns0:c>
      <ns0:c r="N391" t="str" s="13">
        <ns0:v>RESC1608X55N</ns0:v>
      </ns0:c>
      <ns0:c r="O391" t="str" s="13">
        <ns0:v>Footprints\PBL - SMD Packages.PcbLib</ns0:v>
      </ns0:c>
      <ns0:c xmlns:ns0="http://schemas.openxmlformats.org/spreadsheetml/2006/main" r="P39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1" s="10"/>
      <ns0:c r="R391" t="str" s="11">
        <ns0:f>D391</ns0:f>
        <ns0:v>11 кОм</ns0:v>
      </ns0:c>
      <ns0:c r="S391" t="str" s="11">
        <ns0:f>K391</ns0:f>
        <ns0:v>Резистор 11 кОм ±1% 0603</ns0:v>
      </ns0:c>
      <x:c xmlns:x="http://schemas.openxmlformats.org/spreadsheetml/2006/main" r="T391" t="str" s="11">
        <x:v>C:\Users\Nomatin\Documents\Altium\MY_LIB\MY_LIB\Datasheets\YAGEO_RC_L.pdf</x:v>
      </x:c>
      <x:c xmlns:x="http://schemas.openxmlformats.org/spreadsheetml/2006/main" r="U391" t="str" s="11">
        <x:v>Даташит — локальный</x:v>
      </x:c>
      <x:c xmlns:x="http://schemas.openxmlformats.org/spreadsheetml/2006/main" r="V391" t="str" s="11">
        <x:v>C:\Users\Nomatin\Documents\Altium\MY_LIB\MY_LIB\Datasheets\YAGEO_RC_L.pdf</x:v>
      </x:c>
      <x:c xmlns:x="http://schemas.openxmlformats.org/spreadsheetml/2006/main" r="W391" t="str" s="11">
        <x:v>Даташит — производитель</x:v>
      </x:c>
      <x:c xmlns:x="http://schemas.openxmlformats.org/spreadsheetml/2006/main" r="X391" t="str" s="11">
        <x:v>https://yageogroup.com/content/datasheet/asset/file/PYU-RC_GROUP_51_ROHS_L</x:v>
      </x:c>
      <x:c xmlns:x="http://schemas.openxmlformats.org/spreadsheetml/2006/main" r="Y391" t="str" s="11">
        <x:v>C:\Users\Nomatin\Documents\Altium\MY_LIB\MY_LIB\Datasheets\YAGEO_RC_L.pdf</x:v>
      </x:c>
      <ns0:c xmlns:ns0="http://schemas.openxmlformats.org/spreadsheetml/2006/main" r="Z391" s="16" t="inlineStr">
        <ns0:is>
          <ns0:t>MY_LIB_R_TCR</ns0:t>
        </ns0:is>
      </ns0:c>
      <ns0:c xmlns:ns0="http://schemas.openxmlformats.org/spreadsheetml/2006/main" r="AA391" s="16" t="inlineStr">
        <ns0:is>
          <ns0:t>R(T), +100 ppm/C at 25 C; positive datasheet limit</ns0:t>
        </ns0:is>
      </ns0:c>
      <ns0:c xmlns:ns0="http://schemas.openxmlformats.org/spreadsheetml/2006/main" r="AB391" s="16" t="str">
        <ns0:v>General</ns0:v>
      </ns0:c>
      <ns0:c xmlns:ns0="http://schemas.openxmlformats.org/spreadsheetml/2006/main" r="AC391" s="16" t="inlineStr">
        <ns0:is>
          <ns0:t>Spice Subcircuit</ns0:t>
        </ns0:is>
      </ns0:c>
      <ns0:c xmlns:ns0="http://schemas.openxmlformats.org/spreadsheetml/2006/main" r="AD391" s="16" t="inlineStr">
        <ns0:is>
          <ns0:t>@DESIGNATOR %1 %2 @MODEL PARAMS: Rvalue=@VALUE TC1value=100u</ns0:t>
        </ns0:is>
      </ns0:c>
      <ns0:c xmlns:ns0="http://schemas.openxmlformats.org/spreadsheetml/2006/main" r="AE391" s="16" t="inlineStr">
        <ns0:is>
          <ns0:t>X</ns0:t>
        </ns0:is>
      </ns0:c>
      <ns0:c xmlns:ns0="http://schemas.openxmlformats.org/spreadsheetml/2006/main" r="AF391" s="16" t="str">
        <ns0:v>(1:1),(2:2)</ns0:v>
      </ns0:c>
      <ns0:c xmlns:ns0="http://schemas.openxmlformats.org/spreadsheetml/2006/main" r="AG391" s="16" t="inlineStr">
        <ns0:is>
          <ns0:t>Simulation\Resistors\MY_LIB_R_TCR.ckt</ns0:t>
        </ns0:is>
      </ns0:c>
      <ns0:c xmlns:ns0="http://schemas.openxmlformats.org/spreadsheetml/2006/main" r="AH391" s="16" t="inlineStr">
        <ns0:is>
          <ns0:t>±100 ppm/°C</ns0:t>
        </ns0:is>
      </ns0:c>
    </ns0:row>
    <ns0:row xmlns:ns0="http://schemas.openxmlformats.org/spreadsheetml/2006/main" r="392" ht="30" customHeight="1">
      <ns0:c r="A392" t="str" s="10">
        <ns0:v>R0398</ns0:v>
      </ns0:c>
      <ns0:c r="B392" t="str" s="10">
        <ns0:v>Резистор</ns0:v>
      </ns0:c>
      <ns0:c r="C392" t="str" s="10">
        <ns0:v>12k</ns0:v>
      </ns0:c>
      <ns0:c r="D392" t="str" s="11">
        <ns0:f>SUBSTITUTE(SUBSTITUTE(SUBSTITUTE(SUBSTITUTE(C392,"meg"," МОм"),"k"," кОм"),"R"," Ом"),".",",")</ns0:f>
        <ns0:v>12 кОм</ns0:v>
      </ns0:c>
      <ns0:c r="E392" t="str" s="10">
        <ns0:v>±1%</ns0:v>
      </ns0:c>
      <ns0:c r="F392" t="str" s="10">
        <ns0:v>0,1 Вт</ns0:v>
      </ns0:c>
      <ns0:c r="G392" t="str" s="10">
        <ns0:v>75 В макс.</ns0:v>
      </ns0:c>
      <ns0:c r="H392" t="str" s="12">
        <ns0:v>0603</ns0:v>
      </ns0:c>
      <ns0:c r="I392" t="str" s="10">
        <ns0:v>YAGEO</ns0:v>
      </ns0:c>
      <ns0:c r="J392" t="str" s="10">
        <ns0:v>RC0603FR-0712KL</ns0:v>
      </ns0:c>
      <ns0:c r="K392" t="str" s="11">
        <ns0:f>B392&amp;" "&amp;D392&amp;" "&amp;E392&amp;" "&amp;H392</ns0:f>
        <ns0:v>Резистор 12 кОм ±1% 0603</ns0:v>
      </ns0:c>
      <ns0:c r="L392" t="str" s="13">
        <ns0:v>R</ns0:v>
      </ns0:c>
      <ns0:c r="M392" t="str" s="13">
        <ns0:v>Symbols\MY_LIB_Resistors.SchLib</ns0:v>
      </ns0:c>
      <ns0:c r="N392" t="str" s="13">
        <ns0:v>RESC1608X55N</ns0:v>
      </ns0:c>
      <ns0:c r="O392" t="str" s="13">
        <ns0:v>Footprints\PBL - SMD Packages.PcbLib</ns0:v>
      </ns0:c>
      <ns0:c xmlns:ns0="http://schemas.openxmlformats.org/spreadsheetml/2006/main" r="P39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2" s="10"/>
      <ns0:c r="R392" t="str" s="11">
        <ns0:f>D392</ns0:f>
        <ns0:v>12 кОм</ns0:v>
      </ns0:c>
      <ns0:c r="S392" t="str" s="11">
        <ns0:f>K392</ns0:f>
        <ns0:v>Резистор 12 кОм ±1% 0603</ns0:v>
      </ns0:c>
      <x:c xmlns:x="http://schemas.openxmlformats.org/spreadsheetml/2006/main" r="T392" t="str" s="11">
        <x:v>C:\Users\Nomatin\Documents\Altium\MY_LIB\MY_LIB\Datasheets\YAGEO_RC_L.pdf</x:v>
      </x:c>
      <x:c xmlns:x="http://schemas.openxmlformats.org/spreadsheetml/2006/main" r="U392" t="str" s="11">
        <x:v>Даташит — локальный</x:v>
      </x:c>
      <x:c xmlns:x="http://schemas.openxmlformats.org/spreadsheetml/2006/main" r="V392" t="str" s="11">
        <x:v>C:\Users\Nomatin\Documents\Altium\MY_LIB\MY_LIB\Datasheets\YAGEO_RC_L.pdf</x:v>
      </x:c>
      <x:c xmlns:x="http://schemas.openxmlformats.org/spreadsheetml/2006/main" r="W392" t="str" s="11">
        <x:v>Даташит — производитель</x:v>
      </x:c>
      <x:c xmlns:x="http://schemas.openxmlformats.org/spreadsheetml/2006/main" r="X392" t="str" s="11">
        <x:v>https://yageogroup.com/content/datasheet/asset/file/PYU-RC_GROUP_51_ROHS_L</x:v>
      </x:c>
      <x:c xmlns:x="http://schemas.openxmlformats.org/spreadsheetml/2006/main" r="Y392" t="str" s="11">
        <x:v>C:\Users\Nomatin\Documents\Altium\MY_LIB\MY_LIB\Datasheets\YAGEO_RC_L.pdf</x:v>
      </x:c>
      <ns0:c xmlns:ns0="http://schemas.openxmlformats.org/spreadsheetml/2006/main" r="Z392" s="16" t="inlineStr">
        <ns0:is>
          <ns0:t>MY_LIB_R_TCR</ns0:t>
        </ns0:is>
      </ns0:c>
      <ns0:c xmlns:ns0="http://schemas.openxmlformats.org/spreadsheetml/2006/main" r="AA392" s="16" t="inlineStr">
        <ns0:is>
          <ns0:t>R(T), +100 ppm/C at 25 C; positive datasheet limit</ns0:t>
        </ns0:is>
      </ns0:c>
      <ns0:c xmlns:ns0="http://schemas.openxmlformats.org/spreadsheetml/2006/main" r="AB392" s="16" t="str">
        <ns0:v>General</ns0:v>
      </ns0:c>
      <ns0:c xmlns:ns0="http://schemas.openxmlformats.org/spreadsheetml/2006/main" r="AC392" s="16" t="inlineStr">
        <ns0:is>
          <ns0:t>Spice Subcircuit</ns0:t>
        </ns0:is>
      </ns0:c>
      <ns0:c xmlns:ns0="http://schemas.openxmlformats.org/spreadsheetml/2006/main" r="AD392" s="16" t="inlineStr">
        <ns0:is>
          <ns0:t>@DESIGNATOR %1 %2 @MODEL PARAMS: Rvalue=@VALUE TC1value=100u</ns0:t>
        </ns0:is>
      </ns0:c>
      <ns0:c xmlns:ns0="http://schemas.openxmlformats.org/spreadsheetml/2006/main" r="AE392" s="16" t="inlineStr">
        <ns0:is>
          <ns0:t>X</ns0:t>
        </ns0:is>
      </ns0:c>
      <ns0:c xmlns:ns0="http://schemas.openxmlformats.org/spreadsheetml/2006/main" r="AF392" s="16" t="str">
        <ns0:v>(1:1),(2:2)</ns0:v>
      </ns0:c>
      <ns0:c xmlns:ns0="http://schemas.openxmlformats.org/spreadsheetml/2006/main" r="AG392" s="16" t="inlineStr">
        <ns0:is>
          <ns0:t>Simulation\Resistors\MY_LIB_R_TCR.ckt</ns0:t>
        </ns0:is>
      </ns0:c>
      <ns0:c xmlns:ns0="http://schemas.openxmlformats.org/spreadsheetml/2006/main" r="AH392" s="16" t="inlineStr">
        <ns0:is>
          <ns0:t>±100 ppm/°C</ns0:t>
        </ns0:is>
      </ns0:c>
    </ns0:row>
    <ns0:row xmlns:ns0="http://schemas.openxmlformats.org/spreadsheetml/2006/main" r="393" ht="30" customHeight="1">
      <ns0:c r="A393" t="str" s="10">
        <ns0:v>R0399</ns0:v>
      </ns0:c>
      <ns0:c r="B393" t="str" s="10">
        <ns0:v>Резистор</ns0:v>
      </ns0:c>
      <ns0:c r="C393" t="str" s="10">
        <ns0:v>13k</ns0:v>
      </ns0:c>
      <ns0:c r="D393" t="str" s="11">
        <ns0:f>SUBSTITUTE(SUBSTITUTE(SUBSTITUTE(SUBSTITUTE(C393,"meg"," МОм"),"k"," кОм"),"R"," Ом"),".",",")</ns0:f>
        <ns0:v>13 кОм</ns0:v>
      </ns0:c>
      <ns0:c r="E393" t="str" s="10">
        <ns0:v>±1%</ns0:v>
      </ns0:c>
      <ns0:c r="F393" t="str" s="10">
        <ns0:v>0,1 Вт</ns0:v>
      </ns0:c>
      <ns0:c r="G393" t="str" s="10">
        <ns0:v>75 В макс.</ns0:v>
      </ns0:c>
      <ns0:c r="H393" t="str" s="12">
        <ns0:v>0603</ns0:v>
      </ns0:c>
      <ns0:c r="I393" t="str" s="10">
        <ns0:v>YAGEO</ns0:v>
      </ns0:c>
      <ns0:c r="J393" t="str" s="10">
        <ns0:v>RC0603FR-0713KL</ns0:v>
      </ns0:c>
      <ns0:c r="K393" t="str" s="11">
        <ns0:f>B393&amp;" "&amp;D393&amp;" "&amp;E393&amp;" "&amp;H393</ns0:f>
        <ns0:v>Резистор 13 кОм ±1% 0603</ns0:v>
      </ns0:c>
      <ns0:c r="L393" t="str" s="13">
        <ns0:v>R</ns0:v>
      </ns0:c>
      <ns0:c r="M393" t="str" s="13">
        <ns0:v>Symbols\MY_LIB_Resistors.SchLib</ns0:v>
      </ns0:c>
      <ns0:c r="N393" t="str" s="13">
        <ns0:v>RESC1608X55N</ns0:v>
      </ns0:c>
      <ns0:c r="O393" t="str" s="13">
        <ns0:v>Footprints\PBL - SMD Packages.PcbLib</ns0:v>
      </ns0:c>
      <ns0:c xmlns:ns0="http://schemas.openxmlformats.org/spreadsheetml/2006/main" r="P39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3" s="10"/>
      <ns0:c r="R393" t="str" s="11">
        <ns0:f>D393</ns0:f>
        <ns0:v>13 кОм</ns0:v>
      </ns0:c>
      <ns0:c r="S393" t="str" s="11">
        <ns0:f>K393</ns0:f>
        <ns0:v>Резистор 13 кОм ±1% 0603</ns0:v>
      </ns0:c>
      <x:c xmlns:x="http://schemas.openxmlformats.org/spreadsheetml/2006/main" r="T393" t="str" s="11">
        <x:v>C:\Users\Nomatin\Documents\Altium\MY_LIB\MY_LIB\Datasheets\YAGEO_RC_L.pdf</x:v>
      </x:c>
      <x:c xmlns:x="http://schemas.openxmlformats.org/spreadsheetml/2006/main" r="U393" t="str" s="11">
        <x:v>Даташит — локальный</x:v>
      </x:c>
      <x:c xmlns:x="http://schemas.openxmlformats.org/spreadsheetml/2006/main" r="V393" t="str" s="11">
        <x:v>C:\Users\Nomatin\Documents\Altium\MY_LIB\MY_LIB\Datasheets\YAGEO_RC_L.pdf</x:v>
      </x:c>
      <x:c xmlns:x="http://schemas.openxmlformats.org/spreadsheetml/2006/main" r="W393" t="str" s="11">
        <x:v>Даташит — производитель</x:v>
      </x:c>
      <x:c xmlns:x="http://schemas.openxmlformats.org/spreadsheetml/2006/main" r="X393" t="str" s="11">
        <x:v>https://yageogroup.com/content/datasheet/asset/file/PYU-RC_GROUP_51_ROHS_L</x:v>
      </x:c>
      <x:c xmlns:x="http://schemas.openxmlformats.org/spreadsheetml/2006/main" r="Y393" t="str" s="11">
        <x:v>C:\Users\Nomatin\Documents\Altium\MY_LIB\MY_LIB\Datasheets\YAGEO_RC_L.pdf</x:v>
      </x:c>
      <ns0:c xmlns:ns0="http://schemas.openxmlformats.org/spreadsheetml/2006/main" r="Z393" s="16" t="inlineStr">
        <ns0:is>
          <ns0:t>MY_LIB_R_TCR</ns0:t>
        </ns0:is>
      </ns0:c>
      <ns0:c xmlns:ns0="http://schemas.openxmlformats.org/spreadsheetml/2006/main" r="AA393" s="16" t="inlineStr">
        <ns0:is>
          <ns0:t>R(T), +100 ppm/C at 25 C; positive datasheet limit</ns0:t>
        </ns0:is>
      </ns0:c>
      <ns0:c xmlns:ns0="http://schemas.openxmlformats.org/spreadsheetml/2006/main" r="AB393" s="16" t="str">
        <ns0:v>General</ns0:v>
      </ns0:c>
      <ns0:c xmlns:ns0="http://schemas.openxmlformats.org/spreadsheetml/2006/main" r="AC393" s="16" t="inlineStr">
        <ns0:is>
          <ns0:t>Spice Subcircuit</ns0:t>
        </ns0:is>
      </ns0:c>
      <ns0:c xmlns:ns0="http://schemas.openxmlformats.org/spreadsheetml/2006/main" r="AD393" s="16" t="inlineStr">
        <ns0:is>
          <ns0:t>@DESIGNATOR %1 %2 @MODEL PARAMS: Rvalue=@VALUE TC1value=100u</ns0:t>
        </ns0:is>
      </ns0:c>
      <ns0:c xmlns:ns0="http://schemas.openxmlformats.org/spreadsheetml/2006/main" r="AE393" s="16" t="inlineStr">
        <ns0:is>
          <ns0:t>X</ns0:t>
        </ns0:is>
      </ns0:c>
      <ns0:c xmlns:ns0="http://schemas.openxmlformats.org/spreadsheetml/2006/main" r="AF393" s="16" t="str">
        <ns0:v>(1:1),(2:2)</ns0:v>
      </ns0:c>
      <ns0:c xmlns:ns0="http://schemas.openxmlformats.org/spreadsheetml/2006/main" r="AG393" s="16" t="inlineStr">
        <ns0:is>
          <ns0:t>Simulation\Resistors\MY_LIB_R_TCR.ckt</ns0:t>
        </ns0:is>
      </ns0:c>
      <ns0:c xmlns:ns0="http://schemas.openxmlformats.org/spreadsheetml/2006/main" r="AH393" s="16" t="inlineStr">
        <ns0:is>
          <ns0:t>±100 ppm/°C</ns0:t>
        </ns0:is>
      </ns0:c>
    </ns0:row>
    <ns0:row xmlns:ns0="http://schemas.openxmlformats.org/spreadsheetml/2006/main" r="394" ht="30" customHeight="1">
      <ns0:c r="A394" t="str" s="10">
        <ns0:v>R0400</ns0:v>
      </ns0:c>
      <ns0:c r="B394" t="str" s="10">
        <ns0:v>Резистор</ns0:v>
      </ns0:c>
      <ns0:c r="C394" t="str" s="10">
        <ns0:v>15k</ns0:v>
      </ns0:c>
      <ns0:c r="D394" t="str" s="11">
        <ns0:f>SUBSTITUTE(SUBSTITUTE(SUBSTITUTE(SUBSTITUTE(C394,"meg"," МОм"),"k"," кОм"),"R"," Ом"),".",",")</ns0:f>
        <ns0:v>15 кОм</ns0:v>
      </ns0:c>
      <ns0:c r="E394" t="str" s="10">
        <ns0:v>±1%</ns0:v>
      </ns0:c>
      <ns0:c r="F394" t="str" s="10">
        <ns0:v>0,1 Вт</ns0:v>
      </ns0:c>
      <ns0:c r="G394" t="str" s="10">
        <ns0:v>75 В макс.</ns0:v>
      </ns0:c>
      <ns0:c r="H394" t="str" s="12">
        <ns0:v>0603</ns0:v>
      </ns0:c>
      <ns0:c r="I394" t="str" s="10">
        <ns0:v>YAGEO</ns0:v>
      </ns0:c>
      <ns0:c r="J394" t="str" s="10">
        <ns0:v>RC0603FR-0715KL</ns0:v>
      </ns0:c>
      <ns0:c r="K394" t="str" s="11">
        <ns0:f>B394&amp;" "&amp;D394&amp;" "&amp;E394&amp;" "&amp;H394</ns0:f>
        <ns0:v>Резистор 15 кОм ±1% 0603</ns0:v>
      </ns0:c>
      <ns0:c r="L394" t="str" s="13">
        <ns0:v>R</ns0:v>
      </ns0:c>
      <ns0:c r="M394" t="str" s="13">
        <ns0:v>Symbols\MY_LIB_Resistors.SchLib</ns0:v>
      </ns0:c>
      <ns0:c r="N394" t="str" s="13">
        <ns0:v>RESC1608X55N</ns0:v>
      </ns0:c>
      <ns0:c r="O394" t="str" s="13">
        <ns0:v>Footprints\PBL - SMD Packages.PcbLib</ns0:v>
      </ns0:c>
      <ns0:c xmlns:ns0="http://schemas.openxmlformats.org/spreadsheetml/2006/main" r="P39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4" s="10"/>
      <ns0:c r="R394" t="str" s="11">
        <ns0:f>D394</ns0:f>
        <ns0:v>15 кОм</ns0:v>
      </ns0:c>
      <ns0:c r="S394" t="str" s="11">
        <ns0:f>K394</ns0:f>
        <ns0:v>Резистор 15 кОм ±1% 0603</ns0:v>
      </ns0:c>
      <x:c xmlns:x="http://schemas.openxmlformats.org/spreadsheetml/2006/main" r="T394" t="str" s="11">
        <x:v>C:\Users\Nomatin\Documents\Altium\MY_LIB\MY_LIB\Datasheets\YAGEO_RC_L.pdf</x:v>
      </x:c>
      <x:c xmlns:x="http://schemas.openxmlformats.org/spreadsheetml/2006/main" r="U394" t="str" s="11">
        <x:v>Даташит — локальный</x:v>
      </x:c>
      <x:c xmlns:x="http://schemas.openxmlformats.org/spreadsheetml/2006/main" r="V394" t="str" s="11">
        <x:v>C:\Users\Nomatin\Documents\Altium\MY_LIB\MY_LIB\Datasheets\YAGEO_RC_L.pdf</x:v>
      </x:c>
      <x:c xmlns:x="http://schemas.openxmlformats.org/spreadsheetml/2006/main" r="W394" t="str" s="11">
        <x:v>Даташит — производитель</x:v>
      </x:c>
      <x:c xmlns:x="http://schemas.openxmlformats.org/spreadsheetml/2006/main" r="X394" t="str" s="11">
        <x:v>https://yageogroup.com/content/datasheet/asset/file/PYU-RC_GROUP_51_ROHS_L</x:v>
      </x:c>
      <x:c xmlns:x="http://schemas.openxmlformats.org/spreadsheetml/2006/main" r="Y394" t="str" s="11">
        <x:v>C:\Users\Nomatin\Documents\Altium\MY_LIB\MY_LIB\Datasheets\YAGEO_RC_L.pdf</x:v>
      </x:c>
      <ns0:c xmlns:ns0="http://schemas.openxmlformats.org/spreadsheetml/2006/main" r="Z394" s="16" t="inlineStr">
        <ns0:is>
          <ns0:t>MY_LIB_R_TCR</ns0:t>
        </ns0:is>
      </ns0:c>
      <ns0:c xmlns:ns0="http://schemas.openxmlformats.org/spreadsheetml/2006/main" r="AA394" s="16" t="inlineStr">
        <ns0:is>
          <ns0:t>R(T), +100 ppm/C at 25 C; positive datasheet limit</ns0:t>
        </ns0:is>
      </ns0:c>
      <ns0:c xmlns:ns0="http://schemas.openxmlformats.org/spreadsheetml/2006/main" r="AB394" s="16" t="str">
        <ns0:v>General</ns0:v>
      </ns0:c>
      <ns0:c xmlns:ns0="http://schemas.openxmlformats.org/spreadsheetml/2006/main" r="AC394" s="16" t="inlineStr">
        <ns0:is>
          <ns0:t>Spice Subcircuit</ns0:t>
        </ns0:is>
      </ns0:c>
      <ns0:c xmlns:ns0="http://schemas.openxmlformats.org/spreadsheetml/2006/main" r="AD394" s="16" t="inlineStr">
        <ns0:is>
          <ns0:t>@DESIGNATOR %1 %2 @MODEL PARAMS: Rvalue=@VALUE TC1value=100u</ns0:t>
        </ns0:is>
      </ns0:c>
      <ns0:c xmlns:ns0="http://schemas.openxmlformats.org/spreadsheetml/2006/main" r="AE394" s="16" t="inlineStr">
        <ns0:is>
          <ns0:t>X</ns0:t>
        </ns0:is>
      </ns0:c>
      <ns0:c xmlns:ns0="http://schemas.openxmlformats.org/spreadsheetml/2006/main" r="AF394" s="16" t="str">
        <ns0:v>(1:1),(2:2)</ns0:v>
      </ns0:c>
      <ns0:c xmlns:ns0="http://schemas.openxmlformats.org/spreadsheetml/2006/main" r="AG394" s="16" t="inlineStr">
        <ns0:is>
          <ns0:t>Simulation\Resistors\MY_LIB_R_TCR.ckt</ns0:t>
        </ns0:is>
      </ns0:c>
      <ns0:c xmlns:ns0="http://schemas.openxmlformats.org/spreadsheetml/2006/main" r="AH394" s="16" t="inlineStr">
        <ns0:is>
          <ns0:t>±100 ppm/°C</ns0:t>
        </ns0:is>
      </ns0:c>
    </ns0:row>
    <ns0:row xmlns:ns0="http://schemas.openxmlformats.org/spreadsheetml/2006/main" r="395" ht="30" customHeight="1">
      <ns0:c r="A395" t="str" s="10">
        <ns0:v>R0401</ns0:v>
      </ns0:c>
      <ns0:c r="B395" t="str" s="10">
        <ns0:v>Резистор</ns0:v>
      </ns0:c>
      <ns0:c r="C395" t="str" s="10">
        <ns0:v>16k</ns0:v>
      </ns0:c>
      <ns0:c r="D395" t="str" s="11">
        <ns0:f>SUBSTITUTE(SUBSTITUTE(SUBSTITUTE(SUBSTITUTE(C395,"meg"," МОм"),"k"," кОм"),"R"," Ом"),".",",")</ns0:f>
        <ns0:v>16 кОм</ns0:v>
      </ns0:c>
      <ns0:c r="E395" t="str" s="10">
        <ns0:v>±1%</ns0:v>
      </ns0:c>
      <ns0:c r="F395" t="str" s="10">
        <ns0:v>0,1 Вт</ns0:v>
      </ns0:c>
      <ns0:c r="G395" t="str" s="10">
        <ns0:v>75 В макс.</ns0:v>
      </ns0:c>
      <ns0:c r="H395" t="str" s="12">
        <ns0:v>0603</ns0:v>
      </ns0:c>
      <ns0:c r="I395" t="str" s="10">
        <ns0:v>YAGEO</ns0:v>
      </ns0:c>
      <ns0:c r="J395" t="str" s="10">
        <ns0:v>RC0603FR-0716KL</ns0:v>
      </ns0:c>
      <ns0:c r="K395" t="str" s="11">
        <ns0:f>B395&amp;" "&amp;D395&amp;" "&amp;E395&amp;" "&amp;H395</ns0:f>
        <ns0:v>Резистор 16 кОм ±1% 0603</ns0:v>
      </ns0:c>
      <ns0:c r="L395" t="str" s="13">
        <ns0:v>R</ns0:v>
      </ns0:c>
      <ns0:c r="M395" t="str" s="13">
        <ns0:v>Symbols\MY_LIB_Resistors.SchLib</ns0:v>
      </ns0:c>
      <ns0:c r="N395" t="str" s="13">
        <ns0:v>RESC1608X55N</ns0:v>
      </ns0:c>
      <ns0:c r="O395" t="str" s="13">
        <ns0:v>Footprints\PBL - SMD Packages.PcbLib</ns0:v>
      </ns0:c>
      <ns0:c xmlns:ns0="http://schemas.openxmlformats.org/spreadsheetml/2006/main" r="P39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5" s="10"/>
      <ns0:c r="R395" t="str" s="11">
        <ns0:f>D395</ns0:f>
        <ns0:v>16 кОм</ns0:v>
      </ns0:c>
      <ns0:c r="S395" t="str" s="11">
        <ns0:f>K395</ns0:f>
        <ns0:v>Резистор 16 кОм ±1% 0603</ns0:v>
      </ns0:c>
      <x:c xmlns:x="http://schemas.openxmlformats.org/spreadsheetml/2006/main" r="T395" t="str" s="11">
        <x:v>C:\Users\Nomatin\Documents\Altium\MY_LIB\MY_LIB\Datasheets\YAGEO_RC_L.pdf</x:v>
      </x:c>
      <x:c xmlns:x="http://schemas.openxmlformats.org/spreadsheetml/2006/main" r="U395" t="str" s="11">
        <x:v>Даташит — локальный</x:v>
      </x:c>
      <x:c xmlns:x="http://schemas.openxmlformats.org/spreadsheetml/2006/main" r="V395" t="str" s="11">
        <x:v>C:\Users\Nomatin\Documents\Altium\MY_LIB\MY_LIB\Datasheets\YAGEO_RC_L.pdf</x:v>
      </x:c>
      <x:c xmlns:x="http://schemas.openxmlformats.org/spreadsheetml/2006/main" r="W395" t="str" s="11">
        <x:v>Даташит — производитель</x:v>
      </x:c>
      <x:c xmlns:x="http://schemas.openxmlformats.org/spreadsheetml/2006/main" r="X395" t="str" s="11">
        <x:v>https://yageogroup.com/content/datasheet/asset/file/PYU-RC_GROUP_51_ROHS_L</x:v>
      </x:c>
      <x:c xmlns:x="http://schemas.openxmlformats.org/spreadsheetml/2006/main" r="Y395" t="str" s="11">
        <x:v>C:\Users\Nomatin\Documents\Altium\MY_LIB\MY_LIB\Datasheets\YAGEO_RC_L.pdf</x:v>
      </x:c>
      <ns0:c xmlns:ns0="http://schemas.openxmlformats.org/spreadsheetml/2006/main" r="Z395" s="16" t="inlineStr">
        <ns0:is>
          <ns0:t>MY_LIB_R_TCR</ns0:t>
        </ns0:is>
      </ns0:c>
      <ns0:c xmlns:ns0="http://schemas.openxmlformats.org/spreadsheetml/2006/main" r="AA395" s="16" t="inlineStr">
        <ns0:is>
          <ns0:t>R(T), +100 ppm/C at 25 C; positive datasheet limit</ns0:t>
        </ns0:is>
      </ns0:c>
      <ns0:c xmlns:ns0="http://schemas.openxmlformats.org/spreadsheetml/2006/main" r="AB395" s="16" t="str">
        <ns0:v>General</ns0:v>
      </ns0:c>
      <ns0:c xmlns:ns0="http://schemas.openxmlformats.org/spreadsheetml/2006/main" r="AC395" s="16" t="inlineStr">
        <ns0:is>
          <ns0:t>Spice Subcircuit</ns0:t>
        </ns0:is>
      </ns0:c>
      <ns0:c xmlns:ns0="http://schemas.openxmlformats.org/spreadsheetml/2006/main" r="AD395" s="16" t="inlineStr">
        <ns0:is>
          <ns0:t>@DESIGNATOR %1 %2 @MODEL PARAMS: Rvalue=@VALUE TC1value=100u</ns0:t>
        </ns0:is>
      </ns0:c>
      <ns0:c xmlns:ns0="http://schemas.openxmlformats.org/spreadsheetml/2006/main" r="AE395" s="16" t="inlineStr">
        <ns0:is>
          <ns0:t>X</ns0:t>
        </ns0:is>
      </ns0:c>
      <ns0:c xmlns:ns0="http://schemas.openxmlformats.org/spreadsheetml/2006/main" r="AF395" s="16" t="str">
        <ns0:v>(1:1),(2:2)</ns0:v>
      </ns0:c>
      <ns0:c xmlns:ns0="http://schemas.openxmlformats.org/spreadsheetml/2006/main" r="AG395" s="16" t="inlineStr">
        <ns0:is>
          <ns0:t>Simulation\Resistors\MY_LIB_R_TCR.ckt</ns0:t>
        </ns0:is>
      </ns0:c>
      <ns0:c xmlns:ns0="http://schemas.openxmlformats.org/spreadsheetml/2006/main" r="AH395" s="16" t="inlineStr">
        <ns0:is>
          <ns0:t>±100 ppm/°C</ns0:t>
        </ns0:is>
      </ns0:c>
    </ns0:row>
    <ns0:row xmlns:ns0="http://schemas.openxmlformats.org/spreadsheetml/2006/main" r="396" ht="30" customHeight="1">
      <ns0:c r="A396" t="str" s="10">
        <ns0:v>R0402</ns0:v>
      </ns0:c>
      <ns0:c r="B396" t="str" s="10">
        <ns0:v>Резистор</ns0:v>
      </ns0:c>
      <ns0:c r="C396" t="str" s="10">
        <ns0:v>18k</ns0:v>
      </ns0:c>
      <ns0:c r="D396" t="str" s="11">
        <ns0:f>SUBSTITUTE(SUBSTITUTE(SUBSTITUTE(SUBSTITUTE(C396,"meg"," МОм"),"k"," кОм"),"R"," Ом"),".",",")</ns0:f>
        <ns0:v>18 кОм</ns0:v>
      </ns0:c>
      <ns0:c r="E396" t="str" s="10">
        <ns0:v>±1%</ns0:v>
      </ns0:c>
      <ns0:c r="F396" t="str" s="10">
        <ns0:v>0,1 Вт</ns0:v>
      </ns0:c>
      <ns0:c r="G396" t="str" s="10">
        <ns0:v>75 В макс.</ns0:v>
      </ns0:c>
      <ns0:c r="H396" t="str" s="12">
        <ns0:v>0603</ns0:v>
      </ns0:c>
      <ns0:c r="I396" t="str" s="10">
        <ns0:v>YAGEO</ns0:v>
      </ns0:c>
      <ns0:c r="J396" t="str" s="10">
        <ns0:v>RC0603FR-0718KL</ns0:v>
      </ns0:c>
      <ns0:c r="K396" t="str" s="11">
        <ns0:f>B396&amp;" "&amp;D396&amp;" "&amp;E396&amp;" "&amp;H396</ns0:f>
        <ns0:v>Резистор 18 кОм ±1% 0603</ns0:v>
      </ns0:c>
      <ns0:c r="L396" t="str" s="13">
        <ns0:v>R</ns0:v>
      </ns0:c>
      <ns0:c r="M396" t="str" s="13">
        <ns0:v>Symbols\MY_LIB_Resistors.SchLib</ns0:v>
      </ns0:c>
      <ns0:c r="N396" t="str" s="13">
        <ns0:v>RESC1608X55N</ns0:v>
      </ns0:c>
      <ns0:c r="O396" t="str" s="13">
        <ns0:v>Footprints\PBL - SMD Packages.PcbLib</ns0:v>
      </ns0:c>
      <ns0:c xmlns:ns0="http://schemas.openxmlformats.org/spreadsheetml/2006/main" r="P39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6" s="10"/>
      <ns0:c r="R396" t="str" s="11">
        <ns0:f>D396</ns0:f>
        <ns0:v>18 кОм</ns0:v>
      </ns0:c>
      <ns0:c r="S396" t="str" s="11">
        <ns0:f>K396</ns0:f>
        <ns0:v>Резистор 18 кОм ±1% 0603</ns0:v>
      </ns0:c>
      <x:c xmlns:x="http://schemas.openxmlformats.org/spreadsheetml/2006/main" r="T396" t="str" s="11">
        <x:v>C:\Users\Nomatin\Documents\Altium\MY_LIB\MY_LIB\Datasheets\YAGEO_RC_L.pdf</x:v>
      </x:c>
      <x:c xmlns:x="http://schemas.openxmlformats.org/spreadsheetml/2006/main" r="U396" t="str" s="11">
        <x:v>Даташит — локальный</x:v>
      </x:c>
      <x:c xmlns:x="http://schemas.openxmlformats.org/spreadsheetml/2006/main" r="V396" t="str" s="11">
        <x:v>C:\Users\Nomatin\Documents\Altium\MY_LIB\MY_LIB\Datasheets\YAGEO_RC_L.pdf</x:v>
      </x:c>
      <x:c xmlns:x="http://schemas.openxmlformats.org/spreadsheetml/2006/main" r="W396" t="str" s="11">
        <x:v>Даташит — производитель</x:v>
      </x:c>
      <x:c xmlns:x="http://schemas.openxmlformats.org/spreadsheetml/2006/main" r="X396" t="str" s="11">
        <x:v>https://yageogroup.com/content/datasheet/asset/file/PYU-RC_GROUP_51_ROHS_L</x:v>
      </x:c>
      <x:c xmlns:x="http://schemas.openxmlformats.org/spreadsheetml/2006/main" r="Y396" t="str" s="11">
        <x:v>C:\Users\Nomatin\Documents\Altium\MY_LIB\MY_LIB\Datasheets\YAGEO_RC_L.pdf</x:v>
      </x:c>
      <ns0:c xmlns:ns0="http://schemas.openxmlformats.org/spreadsheetml/2006/main" r="Z396" s="16" t="inlineStr">
        <ns0:is>
          <ns0:t>MY_LIB_R_TCR</ns0:t>
        </ns0:is>
      </ns0:c>
      <ns0:c xmlns:ns0="http://schemas.openxmlformats.org/spreadsheetml/2006/main" r="AA396" s="16" t="inlineStr">
        <ns0:is>
          <ns0:t>R(T), +100 ppm/C at 25 C; positive datasheet limit</ns0:t>
        </ns0:is>
      </ns0:c>
      <ns0:c xmlns:ns0="http://schemas.openxmlformats.org/spreadsheetml/2006/main" r="AB396" s="16" t="str">
        <ns0:v>General</ns0:v>
      </ns0:c>
      <ns0:c xmlns:ns0="http://schemas.openxmlformats.org/spreadsheetml/2006/main" r="AC396" s="16" t="inlineStr">
        <ns0:is>
          <ns0:t>Spice Subcircuit</ns0:t>
        </ns0:is>
      </ns0:c>
      <ns0:c xmlns:ns0="http://schemas.openxmlformats.org/spreadsheetml/2006/main" r="AD396" s="16" t="inlineStr">
        <ns0:is>
          <ns0:t>@DESIGNATOR %1 %2 @MODEL PARAMS: Rvalue=@VALUE TC1value=100u</ns0:t>
        </ns0:is>
      </ns0:c>
      <ns0:c xmlns:ns0="http://schemas.openxmlformats.org/spreadsheetml/2006/main" r="AE396" s="16" t="inlineStr">
        <ns0:is>
          <ns0:t>X</ns0:t>
        </ns0:is>
      </ns0:c>
      <ns0:c xmlns:ns0="http://schemas.openxmlformats.org/spreadsheetml/2006/main" r="AF396" s="16" t="str">
        <ns0:v>(1:1),(2:2)</ns0:v>
      </ns0:c>
      <ns0:c xmlns:ns0="http://schemas.openxmlformats.org/spreadsheetml/2006/main" r="AG396" s="16" t="inlineStr">
        <ns0:is>
          <ns0:t>Simulation\Resistors\MY_LIB_R_TCR.ckt</ns0:t>
        </ns0:is>
      </ns0:c>
      <ns0:c xmlns:ns0="http://schemas.openxmlformats.org/spreadsheetml/2006/main" r="AH396" s="16" t="inlineStr">
        <ns0:is>
          <ns0:t>±100 ppm/°C</ns0:t>
        </ns0:is>
      </ns0:c>
    </ns0:row>
    <ns0:row xmlns:ns0="http://schemas.openxmlformats.org/spreadsheetml/2006/main" r="397" ht="30" customHeight="1">
      <ns0:c r="A397" t="str" s="10">
        <ns0:v>R0403</ns0:v>
      </ns0:c>
      <ns0:c r="B397" t="str" s="10">
        <ns0:v>Резистор</ns0:v>
      </ns0:c>
      <ns0:c r="C397" t="str" s="10">
        <ns0:v>20k</ns0:v>
      </ns0:c>
      <ns0:c r="D397" t="str" s="11">
        <ns0:f>SUBSTITUTE(SUBSTITUTE(SUBSTITUTE(SUBSTITUTE(C397,"meg"," МОм"),"k"," кОм"),"R"," Ом"),".",",")</ns0:f>
        <ns0:v>20 кОм</ns0:v>
      </ns0:c>
      <ns0:c r="E397" t="str" s="10">
        <ns0:v>±1%</ns0:v>
      </ns0:c>
      <ns0:c r="F397" t="str" s="10">
        <ns0:v>0,1 Вт</ns0:v>
      </ns0:c>
      <ns0:c r="G397" t="str" s="10">
        <ns0:v>75 В макс.</ns0:v>
      </ns0:c>
      <ns0:c r="H397" t="str" s="12">
        <ns0:v>0603</ns0:v>
      </ns0:c>
      <ns0:c r="I397" t="str" s="10">
        <ns0:v>YAGEO</ns0:v>
      </ns0:c>
      <ns0:c r="J397" t="str" s="10">
        <ns0:v>RC0603FR-0720KL</ns0:v>
      </ns0:c>
      <ns0:c r="K397" t="str" s="11">
        <ns0:f>B397&amp;" "&amp;D397&amp;" "&amp;E397&amp;" "&amp;H397</ns0:f>
        <ns0:v>Резистор 20 кОм ±1% 0603</ns0:v>
      </ns0:c>
      <ns0:c r="L397" t="str" s="13">
        <ns0:v>R</ns0:v>
      </ns0:c>
      <ns0:c r="M397" t="str" s="13">
        <ns0:v>Symbols\MY_LIB_Resistors.SchLib</ns0:v>
      </ns0:c>
      <ns0:c r="N397" t="str" s="13">
        <ns0:v>RESC1608X55N</ns0:v>
      </ns0:c>
      <ns0:c r="O397" t="str" s="13">
        <ns0:v>Footprints\PBL - SMD Packages.PcbLib</ns0:v>
      </ns0:c>
      <ns0:c xmlns:ns0="http://schemas.openxmlformats.org/spreadsheetml/2006/main" r="P39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7" s="10"/>
      <ns0:c r="R397" t="str" s="11">
        <ns0:f>D397</ns0:f>
        <ns0:v>20 кОм</ns0:v>
      </ns0:c>
      <ns0:c r="S397" t="str" s="11">
        <ns0:f>K397</ns0:f>
        <ns0:v>Резистор 20 кОм ±1% 0603</ns0:v>
      </ns0:c>
      <x:c xmlns:x="http://schemas.openxmlformats.org/spreadsheetml/2006/main" r="T397" t="str" s="11">
        <x:v>C:\Users\Nomatin\Documents\Altium\MY_LIB\MY_LIB\Datasheets\YAGEO_RC_L.pdf</x:v>
      </x:c>
      <x:c xmlns:x="http://schemas.openxmlformats.org/spreadsheetml/2006/main" r="U397" t="str" s="11">
        <x:v>Даташит — локальный</x:v>
      </x:c>
      <x:c xmlns:x="http://schemas.openxmlformats.org/spreadsheetml/2006/main" r="V397" t="str" s="11">
        <x:v>C:\Users\Nomatin\Documents\Altium\MY_LIB\MY_LIB\Datasheets\YAGEO_RC_L.pdf</x:v>
      </x:c>
      <x:c xmlns:x="http://schemas.openxmlformats.org/spreadsheetml/2006/main" r="W397" t="str" s="11">
        <x:v>Даташит — производитель</x:v>
      </x:c>
      <x:c xmlns:x="http://schemas.openxmlformats.org/spreadsheetml/2006/main" r="X397" t="str" s="11">
        <x:v>https://yageogroup.com/content/datasheet/asset/file/PYU-RC_GROUP_51_ROHS_L</x:v>
      </x:c>
      <x:c xmlns:x="http://schemas.openxmlformats.org/spreadsheetml/2006/main" r="Y397" t="str" s="11">
        <x:v>C:\Users\Nomatin\Documents\Altium\MY_LIB\MY_LIB\Datasheets\YAGEO_RC_L.pdf</x:v>
      </x:c>
      <ns0:c xmlns:ns0="http://schemas.openxmlformats.org/spreadsheetml/2006/main" r="Z397" s="16" t="inlineStr">
        <ns0:is>
          <ns0:t>MY_LIB_R_TCR</ns0:t>
        </ns0:is>
      </ns0:c>
      <ns0:c xmlns:ns0="http://schemas.openxmlformats.org/spreadsheetml/2006/main" r="AA397" s="16" t="inlineStr">
        <ns0:is>
          <ns0:t>R(T), +100 ppm/C at 25 C; positive datasheet limit</ns0:t>
        </ns0:is>
      </ns0:c>
      <ns0:c xmlns:ns0="http://schemas.openxmlformats.org/spreadsheetml/2006/main" r="AB397" s="16" t="str">
        <ns0:v>General</ns0:v>
      </ns0:c>
      <ns0:c xmlns:ns0="http://schemas.openxmlformats.org/spreadsheetml/2006/main" r="AC397" s="16" t="inlineStr">
        <ns0:is>
          <ns0:t>Spice Subcircuit</ns0:t>
        </ns0:is>
      </ns0:c>
      <ns0:c xmlns:ns0="http://schemas.openxmlformats.org/spreadsheetml/2006/main" r="AD397" s="16" t="inlineStr">
        <ns0:is>
          <ns0:t>@DESIGNATOR %1 %2 @MODEL PARAMS: Rvalue=@VALUE TC1value=100u</ns0:t>
        </ns0:is>
      </ns0:c>
      <ns0:c xmlns:ns0="http://schemas.openxmlformats.org/spreadsheetml/2006/main" r="AE397" s="16" t="inlineStr">
        <ns0:is>
          <ns0:t>X</ns0:t>
        </ns0:is>
      </ns0:c>
      <ns0:c xmlns:ns0="http://schemas.openxmlformats.org/spreadsheetml/2006/main" r="AF397" s="16" t="str">
        <ns0:v>(1:1),(2:2)</ns0:v>
      </ns0:c>
      <ns0:c xmlns:ns0="http://schemas.openxmlformats.org/spreadsheetml/2006/main" r="AG397" s="16" t="inlineStr">
        <ns0:is>
          <ns0:t>Simulation\Resistors\MY_LIB_R_TCR.ckt</ns0:t>
        </ns0:is>
      </ns0:c>
      <ns0:c xmlns:ns0="http://schemas.openxmlformats.org/spreadsheetml/2006/main" r="AH397" s="16" t="inlineStr">
        <ns0:is>
          <ns0:t>±100 ppm/°C</ns0:t>
        </ns0:is>
      </ns0:c>
    </ns0:row>
    <ns0:row xmlns:ns0="http://schemas.openxmlformats.org/spreadsheetml/2006/main" r="398" ht="30" customHeight="1">
      <ns0:c r="A398" t="str" s="10">
        <ns0:v>R0404</ns0:v>
      </ns0:c>
      <ns0:c r="B398" t="str" s="10">
        <ns0:v>Резистор</ns0:v>
      </ns0:c>
      <ns0:c r="C398" t="str" s="10">
        <ns0:v>22k</ns0:v>
      </ns0:c>
      <ns0:c r="D398" t="str" s="11">
        <ns0:f>SUBSTITUTE(SUBSTITUTE(SUBSTITUTE(SUBSTITUTE(C398,"meg"," МОм"),"k"," кОм"),"R"," Ом"),".",",")</ns0:f>
        <ns0:v>22 кОм</ns0:v>
      </ns0:c>
      <ns0:c r="E398" t="str" s="10">
        <ns0:v>±1%</ns0:v>
      </ns0:c>
      <ns0:c r="F398" t="str" s="10">
        <ns0:v>0,1 Вт</ns0:v>
      </ns0:c>
      <ns0:c r="G398" t="str" s="10">
        <ns0:v>75 В макс.</ns0:v>
      </ns0:c>
      <ns0:c r="H398" t="str" s="12">
        <ns0:v>0603</ns0:v>
      </ns0:c>
      <ns0:c r="I398" t="str" s="10">
        <ns0:v>YAGEO</ns0:v>
      </ns0:c>
      <ns0:c r="J398" t="str" s="10">
        <ns0:v>RC0603FR-0722KL</ns0:v>
      </ns0:c>
      <ns0:c r="K398" t="str" s="11">
        <ns0:f>B398&amp;" "&amp;D398&amp;" "&amp;E398&amp;" "&amp;H398</ns0:f>
        <ns0:v>Резистор 22 кОм ±1% 0603</ns0:v>
      </ns0:c>
      <ns0:c r="L398" t="str" s="13">
        <ns0:v>R</ns0:v>
      </ns0:c>
      <ns0:c r="M398" t="str" s="13">
        <ns0:v>Symbols\MY_LIB_Resistors.SchLib</ns0:v>
      </ns0:c>
      <ns0:c r="N398" t="str" s="13">
        <ns0:v>RESC1608X55N</ns0:v>
      </ns0:c>
      <ns0:c r="O398" t="str" s="13">
        <ns0:v>Footprints\PBL - SMD Packages.PcbLib</ns0:v>
      </ns0:c>
      <ns0:c xmlns:ns0="http://schemas.openxmlformats.org/spreadsheetml/2006/main" r="P39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8" s="10"/>
      <ns0:c r="R398" t="str" s="11">
        <ns0:f>D398</ns0:f>
        <ns0:v>22 кОм</ns0:v>
      </ns0:c>
      <ns0:c r="S398" t="str" s="11">
        <ns0:f>K398</ns0:f>
        <ns0:v>Резистор 22 кОм ±1% 0603</ns0:v>
      </ns0:c>
      <x:c xmlns:x="http://schemas.openxmlformats.org/spreadsheetml/2006/main" r="T398" t="str" s="11">
        <x:v>C:\Users\Nomatin\Documents\Altium\MY_LIB\MY_LIB\Datasheets\YAGEO_RC_L.pdf</x:v>
      </x:c>
      <x:c xmlns:x="http://schemas.openxmlformats.org/spreadsheetml/2006/main" r="U398" t="str" s="11">
        <x:v>Даташит — локальный</x:v>
      </x:c>
      <x:c xmlns:x="http://schemas.openxmlformats.org/spreadsheetml/2006/main" r="V398" t="str" s="11">
        <x:v>C:\Users\Nomatin\Documents\Altium\MY_LIB\MY_LIB\Datasheets\YAGEO_RC_L.pdf</x:v>
      </x:c>
      <x:c xmlns:x="http://schemas.openxmlformats.org/spreadsheetml/2006/main" r="W398" t="str" s="11">
        <x:v>Даташит — производитель</x:v>
      </x:c>
      <x:c xmlns:x="http://schemas.openxmlformats.org/spreadsheetml/2006/main" r="X398" t="str" s="11">
        <x:v>https://yageogroup.com/content/datasheet/asset/file/PYU-RC_GROUP_51_ROHS_L</x:v>
      </x:c>
      <x:c xmlns:x="http://schemas.openxmlformats.org/spreadsheetml/2006/main" r="Y398" t="str" s="11">
        <x:v>C:\Users\Nomatin\Documents\Altium\MY_LIB\MY_LIB\Datasheets\YAGEO_RC_L.pdf</x:v>
      </x:c>
      <ns0:c xmlns:ns0="http://schemas.openxmlformats.org/spreadsheetml/2006/main" r="Z398" s="16" t="inlineStr">
        <ns0:is>
          <ns0:t>MY_LIB_R_TCR</ns0:t>
        </ns0:is>
      </ns0:c>
      <ns0:c xmlns:ns0="http://schemas.openxmlformats.org/spreadsheetml/2006/main" r="AA398" s="16" t="inlineStr">
        <ns0:is>
          <ns0:t>R(T), +100 ppm/C at 25 C; positive datasheet limit</ns0:t>
        </ns0:is>
      </ns0:c>
      <ns0:c xmlns:ns0="http://schemas.openxmlformats.org/spreadsheetml/2006/main" r="AB398" s="16" t="str">
        <ns0:v>General</ns0:v>
      </ns0:c>
      <ns0:c xmlns:ns0="http://schemas.openxmlformats.org/spreadsheetml/2006/main" r="AC398" s="16" t="inlineStr">
        <ns0:is>
          <ns0:t>Spice Subcircuit</ns0:t>
        </ns0:is>
      </ns0:c>
      <ns0:c xmlns:ns0="http://schemas.openxmlformats.org/spreadsheetml/2006/main" r="AD398" s="16" t="inlineStr">
        <ns0:is>
          <ns0:t>@DESIGNATOR %1 %2 @MODEL PARAMS: Rvalue=@VALUE TC1value=100u</ns0:t>
        </ns0:is>
      </ns0:c>
      <ns0:c xmlns:ns0="http://schemas.openxmlformats.org/spreadsheetml/2006/main" r="AE398" s="16" t="inlineStr">
        <ns0:is>
          <ns0:t>X</ns0:t>
        </ns0:is>
      </ns0:c>
      <ns0:c xmlns:ns0="http://schemas.openxmlformats.org/spreadsheetml/2006/main" r="AF398" s="16" t="str">
        <ns0:v>(1:1),(2:2)</ns0:v>
      </ns0:c>
      <ns0:c xmlns:ns0="http://schemas.openxmlformats.org/spreadsheetml/2006/main" r="AG398" s="16" t="inlineStr">
        <ns0:is>
          <ns0:t>Simulation\Resistors\MY_LIB_R_TCR.ckt</ns0:t>
        </ns0:is>
      </ns0:c>
      <ns0:c xmlns:ns0="http://schemas.openxmlformats.org/spreadsheetml/2006/main" r="AH398" s="16" t="inlineStr">
        <ns0:is>
          <ns0:t>±100 ppm/°C</ns0:t>
        </ns0:is>
      </ns0:c>
    </ns0:row>
    <ns0:row xmlns:ns0="http://schemas.openxmlformats.org/spreadsheetml/2006/main" r="399" ht="30" customHeight="1">
      <ns0:c r="A399" t="str" s="10">
        <ns0:v>R0405</ns0:v>
      </ns0:c>
      <ns0:c r="B399" t="str" s="10">
        <ns0:v>Резистор</ns0:v>
      </ns0:c>
      <ns0:c r="C399" t="str" s="10">
        <ns0:v>24k</ns0:v>
      </ns0:c>
      <ns0:c r="D399" t="str" s="11">
        <ns0:f>SUBSTITUTE(SUBSTITUTE(SUBSTITUTE(SUBSTITUTE(C399,"meg"," МОм"),"k"," кОм"),"R"," Ом"),".",",")</ns0:f>
        <ns0:v>24 кОм</ns0:v>
      </ns0:c>
      <ns0:c r="E399" t="str" s="10">
        <ns0:v>±1%</ns0:v>
      </ns0:c>
      <ns0:c r="F399" t="str" s="10">
        <ns0:v>0,1 Вт</ns0:v>
      </ns0:c>
      <ns0:c r="G399" t="str" s="10">
        <ns0:v>75 В макс.</ns0:v>
      </ns0:c>
      <ns0:c r="H399" t="str" s="12">
        <ns0:v>0603</ns0:v>
      </ns0:c>
      <ns0:c r="I399" t="str" s="10">
        <ns0:v>YAGEO</ns0:v>
      </ns0:c>
      <ns0:c r="J399" t="str" s="10">
        <ns0:v>RC0603FR-0724KL</ns0:v>
      </ns0:c>
      <ns0:c r="K399" t="str" s="11">
        <ns0:f>B399&amp;" "&amp;D399&amp;" "&amp;E399&amp;" "&amp;H399</ns0:f>
        <ns0:v>Резистор 24 кОм ±1% 0603</ns0:v>
      </ns0:c>
      <ns0:c r="L399" t="str" s="13">
        <ns0:v>R</ns0:v>
      </ns0:c>
      <ns0:c r="M399" t="str" s="13">
        <ns0:v>Symbols\MY_LIB_Resistors.SchLib</ns0:v>
      </ns0:c>
      <ns0:c r="N399" t="str" s="13">
        <ns0:v>RESC1608X55N</ns0:v>
      </ns0:c>
      <ns0:c r="O399" t="str" s="13">
        <ns0:v>Footprints\PBL - SMD Packages.PcbLib</ns0:v>
      </ns0:c>
      <ns0:c xmlns:ns0="http://schemas.openxmlformats.org/spreadsheetml/2006/main" r="P39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399" s="10"/>
      <ns0:c r="R399" t="str" s="11">
        <ns0:f>D399</ns0:f>
        <ns0:v>24 кОм</ns0:v>
      </ns0:c>
      <ns0:c r="S399" t="str" s="11">
        <ns0:f>K399</ns0:f>
        <ns0:v>Резистор 24 кОм ±1% 0603</ns0:v>
      </ns0:c>
      <x:c xmlns:x="http://schemas.openxmlformats.org/spreadsheetml/2006/main" r="T399" t="str" s="11">
        <x:v>C:\Users\Nomatin\Documents\Altium\MY_LIB\MY_LIB\Datasheets\YAGEO_RC_L.pdf</x:v>
      </x:c>
      <x:c xmlns:x="http://schemas.openxmlformats.org/spreadsheetml/2006/main" r="U399" t="str" s="11">
        <x:v>Даташит — локальный</x:v>
      </x:c>
      <x:c xmlns:x="http://schemas.openxmlformats.org/spreadsheetml/2006/main" r="V399" t="str" s="11">
        <x:v>C:\Users\Nomatin\Documents\Altium\MY_LIB\MY_LIB\Datasheets\YAGEO_RC_L.pdf</x:v>
      </x:c>
      <x:c xmlns:x="http://schemas.openxmlformats.org/spreadsheetml/2006/main" r="W399" t="str" s="11">
        <x:v>Даташит — производитель</x:v>
      </x:c>
      <x:c xmlns:x="http://schemas.openxmlformats.org/spreadsheetml/2006/main" r="X399" t="str" s="11">
        <x:v>https://yageogroup.com/content/datasheet/asset/file/PYU-RC_GROUP_51_ROHS_L</x:v>
      </x:c>
      <x:c xmlns:x="http://schemas.openxmlformats.org/spreadsheetml/2006/main" r="Y399" t="str" s="11">
        <x:v>C:\Users\Nomatin\Documents\Altium\MY_LIB\MY_LIB\Datasheets\YAGEO_RC_L.pdf</x:v>
      </x:c>
      <ns0:c xmlns:ns0="http://schemas.openxmlformats.org/spreadsheetml/2006/main" r="Z399" s="16" t="inlineStr">
        <ns0:is>
          <ns0:t>MY_LIB_R_TCR</ns0:t>
        </ns0:is>
      </ns0:c>
      <ns0:c xmlns:ns0="http://schemas.openxmlformats.org/spreadsheetml/2006/main" r="AA399" s="16" t="inlineStr">
        <ns0:is>
          <ns0:t>R(T), +100 ppm/C at 25 C; positive datasheet limit</ns0:t>
        </ns0:is>
      </ns0:c>
      <ns0:c xmlns:ns0="http://schemas.openxmlformats.org/spreadsheetml/2006/main" r="AB399" s="16" t="str">
        <ns0:v>General</ns0:v>
      </ns0:c>
      <ns0:c xmlns:ns0="http://schemas.openxmlformats.org/spreadsheetml/2006/main" r="AC399" s="16" t="inlineStr">
        <ns0:is>
          <ns0:t>Spice Subcircuit</ns0:t>
        </ns0:is>
      </ns0:c>
      <ns0:c xmlns:ns0="http://schemas.openxmlformats.org/spreadsheetml/2006/main" r="AD399" s="16" t="inlineStr">
        <ns0:is>
          <ns0:t>@DESIGNATOR %1 %2 @MODEL PARAMS: Rvalue=@VALUE TC1value=100u</ns0:t>
        </ns0:is>
      </ns0:c>
      <ns0:c xmlns:ns0="http://schemas.openxmlformats.org/spreadsheetml/2006/main" r="AE399" s="16" t="inlineStr">
        <ns0:is>
          <ns0:t>X</ns0:t>
        </ns0:is>
      </ns0:c>
      <ns0:c xmlns:ns0="http://schemas.openxmlformats.org/spreadsheetml/2006/main" r="AF399" s="16" t="str">
        <ns0:v>(1:1),(2:2)</ns0:v>
      </ns0:c>
      <ns0:c xmlns:ns0="http://schemas.openxmlformats.org/spreadsheetml/2006/main" r="AG399" s="16" t="inlineStr">
        <ns0:is>
          <ns0:t>Simulation\Resistors\MY_LIB_R_TCR.ckt</ns0:t>
        </ns0:is>
      </ns0:c>
      <ns0:c xmlns:ns0="http://schemas.openxmlformats.org/spreadsheetml/2006/main" r="AH399" s="16" t="inlineStr">
        <ns0:is>
          <ns0:t>±100 ppm/°C</ns0:t>
        </ns0:is>
      </ns0:c>
    </ns0:row>
    <ns0:row xmlns:ns0="http://schemas.openxmlformats.org/spreadsheetml/2006/main" r="400" ht="30" customHeight="1">
      <ns0:c r="A400" t="str" s="10">
        <ns0:v>R0406</ns0:v>
      </ns0:c>
      <ns0:c r="B400" t="str" s="10">
        <ns0:v>Резистор</ns0:v>
      </ns0:c>
      <ns0:c r="C400" t="str" s="10">
        <ns0:v>27k</ns0:v>
      </ns0:c>
      <ns0:c r="D400" t="str" s="11">
        <ns0:f>SUBSTITUTE(SUBSTITUTE(SUBSTITUTE(SUBSTITUTE(C400,"meg"," МОм"),"k"," кОм"),"R"," Ом"),".",",")</ns0:f>
        <ns0:v>27 кОм</ns0:v>
      </ns0:c>
      <ns0:c r="E400" t="str" s="10">
        <ns0:v>±1%</ns0:v>
      </ns0:c>
      <ns0:c r="F400" t="str" s="10">
        <ns0:v>0,1 Вт</ns0:v>
      </ns0:c>
      <ns0:c r="G400" t="str" s="10">
        <ns0:v>75 В макс.</ns0:v>
      </ns0:c>
      <ns0:c r="H400" t="str" s="12">
        <ns0:v>0603</ns0:v>
      </ns0:c>
      <ns0:c r="I400" t="str" s="10">
        <ns0:v>YAGEO</ns0:v>
      </ns0:c>
      <ns0:c r="J400" t="str" s="10">
        <ns0:v>RC0603FR-0727KL</ns0:v>
      </ns0:c>
      <ns0:c r="K400" t="str" s="11">
        <ns0:f>B400&amp;" "&amp;D400&amp;" "&amp;E400&amp;" "&amp;H400</ns0:f>
        <ns0:v>Резистор 27 кОм ±1% 0603</ns0:v>
      </ns0:c>
      <ns0:c r="L400" t="str" s="13">
        <ns0:v>R</ns0:v>
      </ns0:c>
      <ns0:c r="M400" t="str" s="13">
        <ns0:v>Symbols\MY_LIB_Resistors.SchLib</ns0:v>
      </ns0:c>
      <ns0:c r="N400" t="str" s="13">
        <ns0:v>RESC1608X55N</ns0:v>
      </ns0:c>
      <ns0:c r="O400" t="str" s="13">
        <ns0:v>Footprints\PBL - SMD Packages.PcbLib</ns0:v>
      </ns0:c>
      <ns0:c xmlns:ns0="http://schemas.openxmlformats.org/spreadsheetml/2006/main" r="P40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0" s="10"/>
      <ns0:c r="R400" t="str" s="11">
        <ns0:f>D400</ns0:f>
        <ns0:v>27 кОм</ns0:v>
      </ns0:c>
      <ns0:c r="S400" t="str" s="11">
        <ns0:f>K400</ns0:f>
        <ns0:v>Резистор 27 кОм ±1% 0603</ns0:v>
      </ns0:c>
      <x:c xmlns:x="http://schemas.openxmlformats.org/spreadsheetml/2006/main" r="T400" t="str" s="11">
        <x:v>C:\Users\Nomatin\Documents\Altium\MY_LIB\MY_LIB\Datasheets\YAGEO_RC_L.pdf</x:v>
      </x:c>
      <x:c xmlns:x="http://schemas.openxmlformats.org/spreadsheetml/2006/main" r="U400" t="str" s="11">
        <x:v>Даташит — локальный</x:v>
      </x:c>
      <x:c xmlns:x="http://schemas.openxmlformats.org/spreadsheetml/2006/main" r="V400" t="str" s="11">
        <x:v>C:\Users\Nomatin\Documents\Altium\MY_LIB\MY_LIB\Datasheets\YAGEO_RC_L.pdf</x:v>
      </x:c>
      <x:c xmlns:x="http://schemas.openxmlformats.org/spreadsheetml/2006/main" r="W400" t="str" s="11">
        <x:v>Даташит — производитель</x:v>
      </x:c>
      <x:c xmlns:x="http://schemas.openxmlformats.org/spreadsheetml/2006/main" r="X400" t="str" s="11">
        <x:v>https://yageogroup.com/content/datasheet/asset/file/PYU-RC_GROUP_51_ROHS_L</x:v>
      </x:c>
      <x:c xmlns:x="http://schemas.openxmlformats.org/spreadsheetml/2006/main" r="Y400" t="str" s="11">
        <x:v>C:\Users\Nomatin\Documents\Altium\MY_LIB\MY_LIB\Datasheets\YAGEO_RC_L.pdf</x:v>
      </x:c>
      <ns0:c xmlns:ns0="http://schemas.openxmlformats.org/spreadsheetml/2006/main" r="Z400" s="16" t="inlineStr">
        <ns0:is>
          <ns0:t>MY_LIB_R_TCR</ns0:t>
        </ns0:is>
      </ns0:c>
      <ns0:c xmlns:ns0="http://schemas.openxmlformats.org/spreadsheetml/2006/main" r="AA400" s="16" t="inlineStr">
        <ns0:is>
          <ns0:t>R(T), +100 ppm/C at 25 C; positive datasheet limit</ns0:t>
        </ns0:is>
      </ns0:c>
      <ns0:c xmlns:ns0="http://schemas.openxmlformats.org/spreadsheetml/2006/main" r="AB400" s="16" t="str">
        <ns0:v>General</ns0:v>
      </ns0:c>
      <ns0:c xmlns:ns0="http://schemas.openxmlformats.org/spreadsheetml/2006/main" r="AC400" s="16" t="inlineStr">
        <ns0:is>
          <ns0:t>Spice Subcircuit</ns0:t>
        </ns0:is>
      </ns0:c>
      <ns0:c xmlns:ns0="http://schemas.openxmlformats.org/spreadsheetml/2006/main" r="AD400" s="16" t="inlineStr">
        <ns0:is>
          <ns0:t>@DESIGNATOR %1 %2 @MODEL PARAMS: Rvalue=@VALUE TC1value=100u</ns0:t>
        </ns0:is>
      </ns0:c>
      <ns0:c xmlns:ns0="http://schemas.openxmlformats.org/spreadsheetml/2006/main" r="AE400" s="16" t="inlineStr">
        <ns0:is>
          <ns0:t>X</ns0:t>
        </ns0:is>
      </ns0:c>
      <ns0:c xmlns:ns0="http://schemas.openxmlformats.org/spreadsheetml/2006/main" r="AF400" s="16" t="str">
        <ns0:v>(1:1),(2:2)</ns0:v>
      </ns0:c>
      <ns0:c xmlns:ns0="http://schemas.openxmlformats.org/spreadsheetml/2006/main" r="AG400" s="16" t="inlineStr">
        <ns0:is>
          <ns0:t>Simulation\Resistors\MY_LIB_R_TCR.ckt</ns0:t>
        </ns0:is>
      </ns0:c>
      <ns0:c xmlns:ns0="http://schemas.openxmlformats.org/spreadsheetml/2006/main" r="AH400" s="16" t="inlineStr">
        <ns0:is>
          <ns0:t>±100 ppm/°C</ns0:t>
        </ns0:is>
      </ns0:c>
    </ns0:row>
    <ns0:row xmlns:ns0="http://schemas.openxmlformats.org/spreadsheetml/2006/main" r="401" ht="30" customHeight="1">
      <ns0:c r="A401" t="str" s="10">
        <ns0:v>R0407</ns0:v>
      </ns0:c>
      <ns0:c r="B401" t="str" s="10">
        <ns0:v>Резистор</ns0:v>
      </ns0:c>
      <ns0:c r="C401" t="str" s="10">
        <ns0:v>30k</ns0:v>
      </ns0:c>
      <ns0:c r="D401" t="str" s="11">
        <ns0:f>SUBSTITUTE(SUBSTITUTE(SUBSTITUTE(SUBSTITUTE(C401,"meg"," МОм"),"k"," кОм"),"R"," Ом"),".",",")</ns0:f>
        <ns0:v>30 кОм</ns0:v>
      </ns0:c>
      <ns0:c r="E401" t="str" s="10">
        <ns0:v>±1%</ns0:v>
      </ns0:c>
      <ns0:c r="F401" t="str" s="10">
        <ns0:v>0,1 Вт</ns0:v>
      </ns0:c>
      <ns0:c r="G401" t="str" s="10">
        <ns0:v>75 В макс.</ns0:v>
      </ns0:c>
      <ns0:c r="H401" t="str" s="12">
        <ns0:v>0603</ns0:v>
      </ns0:c>
      <ns0:c r="I401" t="str" s="10">
        <ns0:v>YAGEO</ns0:v>
      </ns0:c>
      <ns0:c r="J401" t="str" s="10">
        <ns0:v>RC0603FR-0730KL</ns0:v>
      </ns0:c>
      <ns0:c r="K401" t="str" s="11">
        <ns0:f>B401&amp;" "&amp;D401&amp;" "&amp;E401&amp;" "&amp;H401</ns0:f>
        <ns0:v>Резистор 30 кОм ±1% 0603</ns0:v>
      </ns0:c>
      <ns0:c r="L401" t="str" s="13">
        <ns0:v>R</ns0:v>
      </ns0:c>
      <ns0:c r="M401" t="str" s="13">
        <ns0:v>Symbols\MY_LIB_Resistors.SchLib</ns0:v>
      </ns0:c>
      <ns0:c r="N401" t="str" s="13">
        <ns0:v>RESC1608X55N</ns0:v>
      </ns0:c>
      <ns0:c r="O401" t="str" s="13">
        <ns0:v>Footprints\PBL - SMD Packages.PcbLib</ns0:v>
      </ns0:c>
      <ns0:c xmlns:ns0="http://schemas.openxmlformats.org/spreadsheetml/2006/main" r="P40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1" s="10"/>
      <ns0:c r="R401" t="str" s="11">
        <ns0:f>D401</ns0:f>
        <ns0:v>30 кОм</ns0:v>
      </ns0:c>
      <ns0:c r="S401" t="str" s="11">
        <ns0:f>K401</ns0:f>
        <ns0:v>Резистор 30 кОм ±1% 0603</ns0:v>
      </ns0:c>
      <x:c xmlns:x="http://schemas.openxmlformats.org/spreadsheetml/2006/main" r="T401" t="str" s="11">
        <x:v>C:\Users\Nomatin\Documents\Altium\MY_LIB\MY_LIB\Datasheets\YAGEO_RC_L.pdf</x:v>
      </x:c>
      <x:c xmlns:x="http://schemas.openxmlformats.org/spreadsheetml/2006/main" r="U401" t="str" s="11">
        <x:v>Даташит — локальный</x:v>
      </x:c>
      <x:c xmlns:x="http://schemas.openxmlformats.org/spreadsheetml/2006/main" r="V401" t="str" s="11">
        <x:v>C:\Users\Nomatin\Documents\Altium\MY_LIB\MY_LIB\Datasheets\YAGEO_RC_L.pdf</x:v>
      </x:c>
      <x:c xmlns:x="http://schemas.openxmlformats.org/spreadsheetml/2006/main" r="W401" t="str" s="11">
        <x:v>Даташит — производитель</x:v>
      </x:c>
      <x:c xmlns:x="http://schemas.openxmlformats.org/spreadsheetml/2006/main" r="X401" t="str" s="11">
        <x:v>https://yageogroup.com/content/datasheet/asset/file/PYU-RC_GROUP_51_ROHS_L</x:v>
      </x:c>
      <x:c xmlns:x="http://schemas.openxmlformats.org/spreadsheetml/2006/main" r="Y401" t="str" s="11">
        <x:v>C:\Users\Nomatin\Documents\Altium\MY_LIB\MY_LIB\Datasheets\YAGEO_RC_L.pdf</x:v>
      </x:c>
      <ns0:c xmlns:ns0="http://schemas.openxmlformats.org/spreadsheetml/2006/main" r="Z401" s="16" t="inlineStr">
        <ns0:is>
          <ns0:t>MY_LIB_R_TCR</ns0:t>
        </ns0:is>
      </ns0:c>
      <ns0:c xmlns:ns0="http://schemas.openxmlformats.org/spreadsheetml/2006/main" r="AA401" s="16" t="inlineStr">
        <ns0:is>
          <ns0:t>R(T), +100 ppm/C at 25 C; positive datasheet limit</ns0:t>
        </ns0:is>
      </ns0:c>
      <ns0:c xmlns:ns0="http://schemas.openxmlformats.org/spreadsheetml/2006/main" r="AB401" s="16" t="str">
        <ns0:v>General</ns0:v>
      </ns0:c>
      <ns0:c xmlns:ns0="http://schemas.openxmlformats.org/spreadsheetml/2006/main" r="AC401" s="16" t="inlineStr">
        <ns0:is>
          <ns0:t>Spice Subcircuit</ns0:t>
        </ns0:is>
      </ns0:c>
      <ns0:c xmlns:ns0="http://schemas.openxmlformats.org/spreadsheetml/2006/main" r="AD401" s="16" t="inlineStr">
        <ns0:is>
          <ns0:t>@DESIGNATOR %1 %2 @MODEL PARAMS: Rvalue=@VALUE TC1value=100u</ns0:t>
        </ns0:is>
      </ns0:c>
      <ns0:c xmlns:ns0="http://schemas.openxmlformats.org/spreadsheetml/2006/main" r="AE401" s="16" t="inlineStr">
        <ns0:is>
          <ns0:t>X</ns0:t>
        </ns0:is>
      </ns0:c>
      <ns0:c xmlns:ns0="http://schemas.openxmlformats.org/spreadsheetml/2006/main" r="AF401" s="16" t="str">
        <ns0:v>(1:1),(2:2)</ns0:v>
      </ns0:c>
      <ns0:c xmlns:ns0="http://schemas.openxmlformats.org/spreadsheetml/2006/main" r="AG401" s="16" t="inlineStr">
        <ns0:is>
          <ns0:t>Simulation\Resistors\MY_LIB_R_TCR.ckt</ns0:t>
        </ns0:is>
      </ns0:c>
      <ns0:c xmlns:ns0="http://schemas.openxmlformats.org/spreadsheetml/2006/main" r="AH401" s="16" t="inlineStr">
        <ns0:is>
          <ns0:t>±100 ppm/°C</ns0:t>
        </ns0:is>
      </ns0:c>
    </ns0:row>
    <ns0:row xmlns:ns0="http://schemas.openxmlformats.org/spreadsheetml/2006/main" r="402" ht="30" customHeight="1">
      <ns0:c r="A402" t="str" s="10">
        <ns0:v>R0408</ns0:v>
      </ns0:c>
      <ns0:c r="B402" t="str" s="10">
        <ns0:v>Резистор</ns0:v>
      </ns0:c>
      <ns0:c r="C402" t="str" s="10">
        <ns0:v>33k</ns0:v>
      </ns0:c>
      <ns0:c r="D402" t="str" s="11">
        <ns0:f>SUBSTITUTE(SUBSTITUTE(SUBSTITUTE(SUBSTITUTE(C402,"meg"," МОм"),"k"," кОм"),"R"," Ом"),".",",")</ns0:f>
        <ns0:v>33 кОм</ns0:v>
      </ns0:c>
      <ns0:c r="E402" t="str" s="10">
        <ns0:v>±1%</ns0:v>
      </ns0:c>
      <ns0:c r="F402" t="str" s="10">
        <ns0:v>0,1 Вт</ns0:v>
      </ns0:c>
      <ns0:c r="G402" t="str" s="10">
        <ns0:v>75 В макс.</ns0:v>
      </ns0:c>
      <ns0:c r="H402" t="str" s="12">
        <ns0:v>0603</ns0:v>
      </ns0:c>
      <ns0:c r="I402" t="str" s="10">
        <ns0:v>YAGEO</ns0:v>
      </ns0:c>
      <ns0:c r="J402" t="str" s="10">
        <ns0:v>RC0603FR-0733KL</ns0:v>
      </ns0:c>
      <ns0:c r="K402" t="str" s="11">
        <ns0:f>B402&amp;" "&amp;D402&amp;" "&amp;E402&amp;" "&amp;H402</ns0:f>
        <ns0:v>Резистор 33 кОм ±1% 0603</ns0:v>
      </ns0:c>
      <ns0:c r="L402" t="str" s="13">
        <ns0:v>R</ns0:v>
      </ns0:c>
      <ns0:c r="M402" t="str" s="13">
        <ns0:v>Symbols\MY_LIB_Resistors.SchLib</ns0:v>
      </ns0:c>
      <ns0:c r="N402" t="str" s="13">
        <ns0:v>RESC1608X55N</ns0:v>
      </ns0:c>
      <ns0:c r="O402" t="str" s="13">
        <ns0:v>Footprints\PBL - SMD Packages.PcbLib</ns0:v>
      </ns0:c>
      <ns0:c xmlns:ns0="http://schemas.openxmlformats.org/spreadsheetml/2006/main" r="P40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2" s="10"/>
      <ns0:c r="R402" t="str" s="11">
        <ns0:f>D402</ns0:f>
        <ns0:v>33 кОм</ns0:v>
      </ns0:c>
      <ns0:c r="S402" t="str" s="11">
        <ns0:f>K402</ns0:f>
        <ns0:v>Резистор 33 кОм ±1% 0603</ns0:v>
      </ns0:c>
      <x:c xmlns:x="http://schemas.openxmlformats.org/spreadsheetml/2006/main" r="T402" t="str" s="11">
        <x:v>C:\Users\Nomatin\Documents\Altium\MY_LIB\MY_LIB\Datasheets\YAGEO_RC_L.pdf</x:v>
      </x:c>
      <x:c xmlns:x="http://schemas.openxmlformats.org/spreadsheetml/2006/main" r="U402" t="str" s="11">
        <x:v>Даташит — локальный</x:v>
      </x:c>
      <x:c xmlns:x="http://schemas.openxmlformats.org/spreadsheetml/2006/main" r="V402" t="str" s="11">
        <x:v>C:\Users\Nomatin\Documents\Altium\MY_LIB\MY_LIB\Datasheets\YAGEO_RC_L.pdf</x:v>
      </x:c>
      <x:c xmlns:x="http://schemas.openxmlformats.org/spreadsheetml/2006/main" r="W402" t="str" s="11">
        <x:v>Даташит — производитель</x:v>
      </x:c>
      <x:c xmlns:x="http://schemas.openxmlformats.org/spreadsheetml/2006/main" r="X402" t="str" s="11">
        <x:v>https://yageogroup.com/content/datasheet/asset/file/PYU-RC_GROUP_51_ROHS_L</x:v>
      </x:c>
      <x:c xmlns:x="http://schemas.openxmlformats.org/spreadsheetml/2006/main" r="Y402" t="str" s="11">
        <x:v>C:\Users\Nomatin\Documents\Altium\MY_LIB\MY_LIB\Datasheets\YAGEO_RC_L.pdf</x:v>
      </x:c>
      <ns0:c xmlns:ns0="http://schemas.openxmlformats.org/spreadsheetml/2006/main" r="Z402" s="16" t="inlineStr">
        <ns0:is>
          <ns0:t>MY_LIB_R_TCR</ns0:t>
        </ns0:is>
      </ns0:c>
      <ns0:c xmlns:ns0="http://schemas.openxmlformats.org/spreadsheetml/2006/main" r="AA402" s="16" t="inlineStr">
        <ns0:is>
          <ns0:t>R(T), +100 ppm/C at 25 C; positive datasheet limit</ns0:t>
        </ns0:is>
      </ns0:c>
      <ns0:c xmlns:ns0="http://schemas.openxmlformats.org/spreadsheetml/2006/main" r="AB402" s="16" t="str">
        <ns0:v>General</ns0:v>
      </ns0:c>
      <ns0:c xmlns:ns0="http://schemas.openxmlformats.org/spreadsheetml/2006/main" r="AC402" s="16" t="inlineStr">
        <ns0:is>
          <ns0:t>Spice Subcircuit</ns0:t>
        </ns0:is>
      </ns0:c>
      <ns0:c xmlns:ns0="http://schemas.openxmlformats.org/spreadsheetml/2006/main" r="AD402" s="16" t="inlineStr">
        <ns0:is>
          <ns0:t>@DESIGNATOR %1 %2 @MODEL PARAMS: Rvalue=@VALUE TC1value=100u</ns0:t>
        </ns0:is>
      </ns0:c>
      <ns0:c xmlns:ns0="http://schemas.openxmlformats.org/spreadsheetml/2006/main" r="AE402" s="16" t="inlineStr">
        <ns0:is>
          <ns0:t>X</ns0:t>
        </ns0:is>
      </ns0:c>
      <ns0:c xmlns:ns0="http://schemas.openxmlformats.org/spreadsheetml/2006/main" r="AF402" s="16" t="str">
        <ns0:v>(1:1),(2:2)</ns0:v>
      </ns0:c>
      <ns0:c xmlns:ns0="http://schemas.openxmlformats.org/spreadsheetml/2006/main" r="AG402" s="16" t="inlineStr">
        <ns0:is>
          <ns0:t>Simulation\Resistors\MY_LIB_R_TCR.ckt</ns0:t>
        </ns0:is>
      </ns0:c>
      <ns0:c xmlns:ns0="http://schemas.openxmlformats.org/spreadsheetml/2006/main" r="AH402" s="16" t="inlineStr">
        <ns0:is>
          <ns0:t>±100 ppm/°C</ns0:t>
        </ns0:is>
      </ns0:c>
    </ns0:row>
    <ns0:row xmlns:ns0="http://schemas.openxmlformats.org/spreadsheetml/2006/main" r="403" ht="30" customHeight="1">
      <ns0:c r="A403" t="str" s="10">
        <ns0:v>R0409</ns0:v>
      </ns0:c>
      <ns0:c r="B403" t="str" s="10">
        <ns0:v>Резистор</ns0:v>
      </ns0:c>
      <ns0:c r="C403" t="str" s="10">
        <ns0:v>36k</ns0:v>
      </ns0:c>
      <ns0:c r="D403" t="str" s="11">
        <ns0:f>SUBSTITUTE(SUBSTITUTE(SUBSTITUTE(SUBSTITUTE(C403,"meg"," МОм"),"k"," кОм"),"R"," Ом"),".",",")</ns0:f>
        <ns0:v>36 кОм</ns0:v>
      </ns0:c>
      <ns0:c r="E403" t="str" s="10">
        <ns0:v>±1%</ns0:v>
      </ns0:c>
      <ns0:c r="F403" t="str" s="10">
        <ns0:v>0,1 Вт</ns0:v>
      </ns0:c>
      <ns0:c r="G403" t="str" s="10">
        <ns0:v>75 В макс.</ns0:v>
      </ns0:c>
      <ns0:c r="H403" t="str" s="12">
        <ns0:v>0603</ns0:v>
      </ns0:c>
      <ns0:c r="I403" t="str" s="10">
        <ns0:v>YAGEO</ns0:v>
      </ns0:c>
      <ns0:c r="J403" t="str" s="10">
        <ns0:v>RC0603FR-0736KL</ns0:v>
      </ns0:c>
      <ns0:c r="K403" t="str" s="11">
        <ns0:f>B403&amp;" "&amp;D403&amp;" "&amp;E403&amp;" "&amp;H403</ns0:f>
        <ns0:v>Резистор 36 кОм ±1% 0603</ns0:v>
      </ns0:c>
      <ns0:c r="L403" t="str" s="13">
        <ns0:v>R</ns0:v>
      </ns0:c>
      <ns0:c r="M403" t="str" s="13">
        <ns0:v>Symbols\MY_LIB_Resistors.SchLib</ns0:v>
      </ns0:c>
      <ns0:c r="N403" t="str" s="13">
        <ns0:v>RESC1608X55N</ns0:v>
      </ns0:c>
      <ns0:c r="O403" t="str" s="13">
        <ns0:v>Footprints\PBL - SMD Packages.PcbLib</ns0:v>
      </ns0:c>
      <ns0:c xmlns:ns0="http://schemas.openxmlformats.org/spreadsheetml/2006/main" r="P40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3" s="10"/>
      <ns0:c r="R403" t="str" s="11">
        <ns0:f>D403</ns0:f>
        <ns0:v>36 кОм</ns0:v>
      </ns0:c>
      <ns0:c r="S403" t="str" s="11">
        <ns0:f>K403</ns0:f>
        <ns0:v>Резистор 36 кОм ±1% 0603</ns0:v>
      </ns0:c>
      <x:c xmlns:x="http://schemas.openxmlformats.org/spreadsheetml/2006/main" r="T403" t="str" s="11">
        <x:v>C:\Users\Nomatin\Documents\Altium\MY_LIB\MY_LIB\Datasheets\YAGEO_RC_L.pdf</x:v>
      </x:c>
      <x:c xmlns:x="http://schemas.openxmlformats.org/spreadsheetml/2006/main" r="U403" t="str" s="11">
        <x:v>Даташит — локальный</x:v>
      </x:c>
      <x:c xmlns:x="http://schemas.openxmlformats.org/spreadsheetml/2006/main" r="V403" t="str" s="11">
        <x:v>C:\Users\Nomatin\Documents\Altium\MY_LIB\MY_LIB\Datasheets\YAGEO_RC_L.pdf</x:v>
      </x:c>
      <x:c xmlns:x="http://schemas.openxmlformats.org/spreadsheetml/2006/main" r="W403" t="str" s="11">
        <x:v>Даташит — производитель</x:v>
      </x:c>
      <x:c xmlns:x="http://schemas.openxmlformats.org/spreadsheetml/2006/main" r="X403" t="str" s="11">
        <x:v>https://yageogroup.com/content/datasheet/asset/file/PYU-RC_GROUP_51_ROHS_L</x:v>
      </x:c>
      <x:c xmlns:x="http://schemas.openxmlformats.org/spreadsheetml/2006/main" r="Y403" t="str" s="11">
        <x:v>C:\Users\Nomatin\Documents\Altium\MY_LIB\MY_LIB\Datasheets\YAGEO_RC_L.pdf</x:v>
      </x:c>
      <ns0:c xmlns:ns0="http://schemas.openxmlformats.org/spreadsheetml/2006/main" r="Z403" s="16" t="inlineStr">
        <ns0:is>
          <ns0:t>MY_LIB_R_TCR</ns0:t>
        </ns0:is>
      </ns0:c>
      <ns0:c xmlns:ns0="http://schemas.openxmlformats.org/spreadsheetml/2006/main" r="AA403" s="16" t="inlineStr">
        <ns0:is>
          <ns0:t>R(T), +100 ppm/C at 25 C; positive datasheet limit</ns0:t>
        </ns0:is>
      </ns0:c>
      <ns0:c xmlns:ns0="http://schemas.openxmlformats.org/spreadsheetml/2006/main" r="AB403" s="16" t="str">
        <ns0:v>General</ns0:v>
      </ns0:c>
      <ns0:c xmlns:ns0="http://schemas.openxmlformats.org/spreadsheetml/2006/main" r="AC403" s="16" t="inlineStr">
        <ns0:is>
          <ns0:t>Spice Subcircuit</ns0:t>
        </ns0:is>
      </ns0:c>
      <ns0:c xmlns:ns0="http://schemas.openxmlformats.org/spreadsheetml/2006/main" r="AD403" s="16" t="inlineStr">
        <ns0:is>
          <ns0:t>@DESIGNATOR %1 %2 @MODEL PARAMS: Rvalue=@VALUE TC1value=100u</ns0:t>
        </ns0:is>
      </ns0:c>
      <ns0:c xmlns:ns0="http://schemas.openxmlformats.org/spreadsheetml/2006/main" r="AE403" s="16" t="inlineStr">
        <ns0:is>
          <ns0:t>X</ns0:t>
        </ns0:is>
      </ns0:c>
      <ns0:c xmlns:ns0="http://schemas.openxmlformats.org/spreadsheetml/2006/main" r="AF403" s="16" t="str">
        <ns0:v>(1:1),(2:2)</ns0:v>
      </ns0:c>
      <ns0:c xmlns:ns0="http://schemas.openxmlformats.org/spreadsheetml/2006/main" r="AG403" s="16" t="inlineStr">
        <ns0:is>
          <ns0:t>Simulation\Resistors\MY_LIB_R_TCR.ckt</ns0:t>
        </ns0:is>
      </ns0:c>
      <ns0:c xmlns:ns0="http://schemas.openxmlformats.org/spreadsheetml/2006/main" r="AH403" s="16" t="inlineStr">
        <ns0:is>
          <ns0:t>±100 ppm/°C</ns0:t>
        </ns0:is>
      </ns0:c>
    </ns0:row>
    <ns0:row xmlns:ns0="http://schemas.openxmlformats.org/spreadsheetml/2006/main" r="404" ht="30" customHeight="1">
      <ns0:c r="A404" t="str" s="10">
        <ns0:v>R0410</ns0:v>
      </ns0:c>
      <ns0:c r="B404" t="str" s="10">
        <ns0:v>Резистор</ns0:v>
      </ns0:c>
      <ns0:c r="C404" t="str" s="10">
        <ns0:v>39k</ns0:v>
      </ns0:c>
      <ns0:c r="D404" t="str" s="11">
        <ns0:f>SUBSTITUTE(SUBSTITUTE(SUBSTITUTE(SUBSTITUTE(C404,"meg"," МОм"),"k"," кОм"),"R"," Ом"),".",",")</ns0:f>
        <ns0:v>39 кОм</ns0:v>
      </ns0:c>
      <ns0:c r="E404" t="str" s="10">
        <ns0:v>±1%</ns0:v>
      </ns0:c>
      <ns0:c r="F404" t="str" s="10">
        <ns0:v>0,1 Вт</ns0:v>
      </ns0:c>
      <ns0:c r="G404" t="str" s="10">
        <ns0:v>75 В макс.</ns0:v>
      </ns0:c>
      <ns0:c r="H404" t="str" s="12">
        <ns0:v>0603</ns0:v>
      </ns0:c>
      <ns0:c r="I404" t="str" s="10">
        <ns0:v>YAGEO</ns0:v>
      </ns0:c>
      <ns0:c r="J404" t="str" s="10">
        <ns0:v>RC0603FR-0739KL</ns0:v>
      </ns0:c>
      <ns0:c r="K404" t="str" s="11">
        <ns0:f>B404&amp;" "&amp;D404&amp;" "&amp;E404&amp;" "&amp;H404</ns0:f>
        <ns0:v>Резистор 39 кОм ±1% 0603</ns0:v>
      </ns0:c>
      <ns0:c r="L404" t="str" s="13">
        <ns0:v>R</ns0:v>
      </ns0:c>
      <ns0:c r="M404" t="str" s="13">
        <ns0:v>Symbols\MY_LIB_Resistors.SchLib</ns0:v>
      </ns0:c>
      <ns0:c r="N404" t="str" s="13">
        <ns0:v>RESC1608X55N</ns0:v>
      </ns0:c>
      <ns0:c r="O404" t="str" s="13">
        <ns0:v>Footprints\PBL - SMD Packages.PcbLib</ns0:v>
      </ns0:c>
      <ns0:c xmlns:ns0="http://schemas.openxmlformats.org/spreadsheetml/2006/main" r="P40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4" s="10"/>
      <ns0:c r="R404" t="str" s="11">
        <ns0:f>D404</ns0:f>
        <ns0:v>39 кОм</ns0:v>
      </ns0:c>
      <ns0:c r="S404" t="str" s="11">
        <ns0:f>K404</ns0:f>
        <ns0:v>Резистор 39 кОм ±1% 0603</ns0:v>
      </ns0:c>
      <x:c xmlns:x="http://schemas.openxmlformats.org/spreadsheetml/2006/main" r="T404" t="str" s="11">
        <x:v>C:\Users\Nomatin\Documents\Altium\MY_LIB\MY_LIB\Datasheets\YAGEO_RC_L.pdf</x:v>
      </x:c>
      <x:c xmlns:x="http://schemas.openxmlformats.org/spreadsheetml/2006/main" r="U404" t="str" s="11">
        <x:v>Даташит — локальный</x:v>
      </x:c>
      <x:c xmlns:x="http://schemas.openxmlformats.org/spreadsheetml/2006/main" r="V404" t="str" s="11">
        <x:v>C:\Users\Nomatin\Documents\Altium\MY_LIB\MY_LIB\Datasheets\YAGEO_RC_L.pdf</x:v>
      </x:c>
      <x:c xmlns:x="http://schemas.openxmlformats.org/spreadsheetml/2006/main" r="W404" t="str" s="11">
        <x:v>Даташит — производитель</x:v>
      </x:c>
      <x:c xmlns:x="http://schemas.openxmlformats.org/spreadsheetml/2006/main" r="X404" t="str" s="11">
        <x:v>https://yageogroup.com/content/datasheet/asset/file/PYU-RC_GROUP_51_ROHS_L</x:v>
      </x:c>
      <x:c xmlns:x="http://schemas.openxmlformats.org/spreadsheetml/2006/main" r="Y404" t="str" s="11">
        <x:v>C:\Users\Nomatin\Documents\Altium\MY_LIB\MY_LIB\Datasheets\YAGEO_RC_L.pdf</x:v>
      </x:c>
      <ns0:c xmlns:ns0="http://schemas.openxmlformats.org/spreadsheetml/2006/main" r="Z404" s="16" t="inlineStr">
        <ns0:is>
          <ns0:t>MY_LIB_R_TCR</ns0:t>
        </ns0:is>
      </ns0:c>
      <ns0:c xmlns:ns0="http://schemas.openxmlformats.org/spreadsheetml/2006/main" r="AA404" s="16" t="inlineStr">
        <ns0:is>
          <ns0:t>R(T), +100 ppm/C at 25 C; positive datasheet limit</ns0:t>
        </ns0:is>
      </ns0:c>
      <ns0:c xmlns:ns0="http://schemas.openxmlformats.org/spreadsheetml/2006/main" r="AB404" s="16" t="str">
        <ns0:v>General</ns0:v>
      </ns0:c>
      <ns0:c xmlns:ns0="http://schemas.openxmlformats.org/spreadsheetml/2006/main" r="AC404" s="16" t="inlineStr">
        <ns0:is>
          <ns0:t>Spice Subcircuit</ns0:t>
        </ns0:is>
      </ns0:c>
      <ns0:c xmlns:ns0="http://schemas.openxmlformats.org/spreadsheetml/2006/main" r="AD404" s="16" t="inlineStr">
        <ns0:is>
          <ns0:t>@DESIGNATOR %1 %2 @MODEL PARAMS: Rvalue=@VALUE TC1value=100u</ns0:t>
        </ns0:is>
      </ns0:c>
      <ns0:c xmlns:ns0="http://schemas.openxmlformats.org/spreadsheetml/2006/main" r="AE404" s="16" t="inlineStr">
        <ns0:is>
          <ns0:t>X</ns0:t>
        </ns0:is>
      </ns0:c>
      <ns0:c xmlns:ns0="http://schemas.openxmlformats.org/spreadsheetml/2006/main" r="AF404" s="16" t="str">
        <ns0:v>(1:1),(2:2)</ns0:v>
      </ns0:c>
      <ns0:c xmlns:ns0="http://schemas.openxmlformats.org/spreadsheetml/2006/main" r="AG404" s="16" t="inlineStr">
        <ns0:is>
          <ns0:t>Simulation\Resistors\MY_LIB_R_TCR.ckt</ns0:t>
        </ns0:is>
      </ns0:c>
      <ns0:c xmlns:ns0="http://schemas.openxmlformats.org/spreadsheetml/2006/main" r="AH404" s="16" t="inlineStr">
        <ns0:is>
          <ns0:t>±100 ppm/°C</ns0:t>
        </ns0:is>
      </ns0:c>
    </ns0:row>
    <ns0:row xmlns:ns0="http://schemas.openxmlformats.org/spreadsheetml/2006/main" r="405" ht="30" customHeight="1">
      <ns0:c r="A405" t="str" s="10">
        <ns0:v>R0411</ns0:v>
      </ns0:c>
      <ns0:c r="B405" t="str" s="10">
        <ns0:v>Резистор</ns0:v>
      </ns0:c>
      <ns0:c r="C405" t="str" s="10">
        <ns0:v>43k</ns0:v>
      </ns0:c>
      <ns0:c r="D405" t="str" s="11">
        <ns0:f>SUBSTITUTE(SUBSTITUTE(SUBSTITUTE(SUBSTITUTE(C405,"meg"," МОм"),"k"," кОм"),"R"," Ом"),".",",")</ns0:f>
        <ns0:v>43 кОм</ns0:v>
      </ns0:c>
      <ns0:c r="E405" t="str" s="10">
        <ns0:v>±1%</ns0:v>
      </ns0:c>
      <ns0:c r="F405" t="str" s="10">
        <ns0:v>0,1 Вт</ns0:v>
      </ns0:c>
      <ns0:c r="G405" t="str" s="10">
        <ns0:v>75 В макс.</ns0:v>
      </ns0:c>
      <ns0:c r="H405" t="str" s="12">
        <ns0:v>0603</ns0:v>
      </ns0:c>
      <ns0:c r="I405" t="str" s="10">
        <ns0:v>YAGEO</ns0:v>
      </ns0:c>
      <ns0:c r="J405" t="str" s="10">
        <ns0:v>RC0603FR-0743KL</ns0:v>
      </ns0:c>
      <ns0:c r="K405" t="str" s="11">
        <ns0:f>B405&amp;" "&amp;D405&amp;" "&amp;E405&amp;" "&amp;H405</ns0:f>
        <ns0:v>Резистор 43 кОм ±1% 0603</ns0:v>
      </ns0:c>
      <ns0:c r="L405" t="str" s="13">
        <ns0:v>R</ns0:v>
      </ns0:c>
      <ns0:c r="M405" t="str" s="13">
        <ns0:v>Symbols\MY_LIB_Resistors.SchLib</ns0:v>
      </ns0:c>
      <ns0:c r="N405" t="str" s="13">
        <ns0:v>RESC1608X55N</ns0:v>
      </ns0:c>
      <ns0:c r="O405" t="str" s="13">
        <ns0:v>Footprints\PBL - SMD Packages.PcbLib</ns0:v>
      </ns0:c>
      <ns0:c xmlns:ns0="http://schemas.openxmlformats.org/spreadsheetml/2006/main" r="P40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5" s="10"/>
      <ns0:c r="R405" t="str" s="11">
        <ns0:f>D405</ns0:f>
        <ns0:v>43 кОм</ns0:v>
      </ns0:c>
      <ns0:c r="S405" t="str" s="11">
        <ns0:f>K405</ns0:f>
        <ns0:v>Резистор 43 кОм ±1% 0603</ns0:v>
      </ns0:c>
      <x:c xmlns:x="http://schemas.openxmlformats.org/spreadsheetml/2006/main" r="T405" t="str" s="11">
        <x:v>C:\Users\Nomatin\Documents\Altium\MY_LIB\MY_LIB\Datasheets\YAGEO_RC_L.pdf</x:v>
      </x:c>
      <x:c xmlns:x="http://schemas.openxmlformats.org/spreadsheetml/2006/main" r="U405" t="str" s="11">
        <x:v>Даташит — локальный</x:v>
      </x:c>
      <x:c xmlns:x="http://schemas.openxmlformats.org/spreadsheetml/2006/main" r="V405" t="str" s="11">
        <x:v>C:\Users\Nomatin\Documents\Altium\MY_LIB\MY_LIB\Datasheets\YAGEO_RC_L.pdf</x:v>
      </x:c>
      <x:c xmlns:x="http://schemas.openxmlformats.org/spreadsheetml/2006/main" r="W405" t="str" s="11">
        <x:v>Даташит — производитель</x:v>
      </x:c>
      <x:c xmlns:x="http://schemas.openxmlformats.org/spreadsheetml/2006/main" r="X405" t="str" s="11">
        <x:v>https://yageogroup.com/content/datasheet/asset/file/PYU-RC_GROUP_51_ROHS_L</x:v>
      </x:c>
      <x:c xmlns:x="http://schemas.openxmlformats.org/spreadsheetml/2006/main" r="Y405" t="str" s="11">
        <x:v>C:\Users\Nomatin\Documents\Altium\MY_LIB\MY_LIB\Datasheets\YAGEO_RC_L.pdf</x:v>
      </x:c>
      <ns0:c xmlns:ns0="http://schemas.openxmlformats.org/spreadsheetml/2006/main" r="Z405" s="16" t="inlineStr">
        <ns0:is>
          <ns0:t>MY_LIB_R_TCR</ns0:t>
        </ns0:is>
      </ns0:c>
      <ns0:c xmlns:ns0="http://schemas.openxmlformats.org/spreadsheetml/2006/main" r="AA405" s="16" t="inlineStr">
        <ns0:is>
          <ns0:t>R(T), +100 ppm/C at 25 C; positive datasheet limit</ns0:t>
        </ns0:is>
      </ns0:c>
      <ns0:c xmlns:ns0="http://schemas.openxmlformats.org/spreadsheetml/2006/main" r="AB405" s="16" t="str">
        <ns0:v>General</ns0:v>
      </ns0:c>
      <ns0:c xmlns:ns0="http://schemas.openxmlformats.org/spreadsheetml/2006/main" r="AC405" s="16" t="inlineStr">
        <ns0:is>
          <ns0:t>Spice Subcircuit</ns0:t>
        </ns0:is>
      </ns0:c>
      <ns0:c xmlns:ns0="http://schemas.openxmlformats.org/spreadsheetml/2006/main" r="AD405" s="16" t="inlineStr">
        <ns0:is>
          <ns0:t>@DESIGNATOR %1 %2 @MODEL PARAMS: Rvalue=@VALUE TC1value=100u</ns0:t>
        </ns0:is>
      </ns0:c>
      <ns0:c xmlns:ns0="http://schemas.openxmlformats.org/spreadsheetml/2006/main" r="AE405" s="16" t="inlineStr">
        <ns0:is>
          <ns0:t>X</ns0:t>
        </ns0:is>
      </ns0:c>
      <ns0:c xmlns:ns0="http://schemas.openxmlformats.org/spreadsheetml/2006/main" r="AF405" s="16" t="str">
        <ns0:v>(1:1),(2:2)</ns0:v>
      </ns0:c>
      <ns0:c xmlns:ns0="http://schemas.openxmlformats.org/spreadsheetml/2006/main" r="AG405" s="16" t="inlineStr">
        <ns0:is>
          <ns0:t>Simulation\Resistors\MY_LIB_R_TCR.ckt</ns0:t>
        </ns0:is>
      </ns0:c>
      <ns0:c xmlns:ns0="http://schemas.openxmlformats.org/spreadsheetml/2006/main" r="AH405" s="16" t="inlineStr">
        <ns0:is>
          <ns0:t>±100 ppm/°C</ns0:t>
        </ns0:is>
      </ns0:c>
    </ns0:row>
    <ns0:row xmlns:ns0="http://schemas.openxmlformats.org/spreadsheetml/2006/main" r="406" ht="30" customHeight="1">
      <ns0:c r="A406" t="str" s="10">
        <ns0:v>R0412</ns0:v>
      </ns0:c>
      <ns0:c r="B406" t="str" s="10">
        <ns0:v>Резистор</ns0:v>
      </ns0:c>
      <ns0:c r="C406" t="str" s="10">
        <ns0:v>47k</ns0:v>
      </ns0:c>
      <ns0:c r="D406" t="str" s="11">
        <ns0:f>SUBSTITUTE(SUBSTITUTE(SUBSTITUTE(SUBSTITUTE(C406,"meg"," МОм"),"k"," кОм"),"R"," Ом"),".",",")</ns0:f>
        <ns0:v>47 кОм</ns0:v>
      </ns0:c>
      <ns0:c r="E406" t="str" s="10">
        <ns0:v>±1%</ns0:v>
      </ns0:c>
      <ns0:c r="F406" t="str" s="10">
        <ns0:v>0,1 Вт</ns0:v>
      </ns0:c>
      <ns0:c r="G406" t="str" s="10">
        <ns0:v>75 В макс.</ns0:v>
      </ns0:c>
      <ns0:c r="H406" t="str" s="12">
        <ns0:v>0603</ns0:v>
      </ns0:c>
      <ns0:c r="I406" t="str" s="10">
        <ns0:v>YAGEO</ns0:v>
      </ns0:c>
      <ns0:c r="J406" t="str" s="10">
        <ns0:v>RC0603FR-0747KL</ns0:v>
      </ns0:c>
      <ns0:c r="K406" t="str" s="11">
        <ns0:f>B406&amp;" "&amp;D406&amp;" "&amp;E406&amp;" "&amp;H406</ns0:f>
        <ns0:v>Резистор 47 кОм ±1% 0603</ns0:v>
      </ns0:c>
      <ns0:c r="L406" t="str" s="13">
        <ns0:v>R</ns0:v>
      </ns0:c>
      <ns0:c r="M406" t="str" s="13">
        <ns0:v>Symbols\MY_LIB_Resistors.SchLib</ns0:v>
      </ns0:c>
      <ns0:c r="N406" t="str" s="13">
        <ns0:v>RESC1608X55N</ns0:v>
      </ns0:c>
      <ns0:c r="O406" t="str" s="13">
        <ns0:v>Footprints\PBL - SMD Packages.PcbLib</ns0:v>
      </ns0:c>
      <ns0:c xmlns:ns0="http://schemas.openxmlformats.org/spreadsheetml/2006/main" r="P40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6" s="10"/>
      <ns0:c r="R406" t="str" s="11">
        <ns0:f>D406</ns0:f>
        <ns0:v>47 кОм</ns0:v>
      </ns0:c>
      <ns0:c r="S406" t="str" s="11">
        <ns0:f>K406</ns0:f>
        <ns0:v>Резистор 47 кОм ±1% 0603</ns0:v>
      </ns0:c>
      <x:c xmlns:x="http://schemas.openxmlformats.org/spreadsheetml/2006/main" r="T406" t="str" s="11">
        <x:v>C:\Users\Nomatin\Documents\Altium\MY_LIB\MY_LIB\Datasheets\YAGEO_RC_L.pdf</x:v>
      </x:c>
      <x:c xmlns:x="http://schemas.openxmlformats.org/spreadsheetml/2006/main" r="U406" t="str" s="11">
        <x:v>Даташит — локальный</x:v>
      </x:c>
      <x:c xmlns:x="http://schemas.openxmlformats.org/spreadsheetml/2006/main" r="V406" t="str" s="11">
        <x:v>C:\Users\Nomatin\Documents\Altium\MY_LIB\MY_LIB\Datasheets\YAGEO_RC_L.pdf</x:v>
      </x:c>
      <x:c xmlns:x="http://schemas.openxmlformats.org/spreadsheetml/2006/main" r="W406" t="str" s="11">
        <x:v>Даташит — производитель</x:v>
      </x:c>
      <x:c xmlns:x="http://schemas.openxmlformats.org/spreadsheetml/2006/main" r="X406" t="str" s="11">
        <x:v>https://yageogroup.com/content/datasheet/asset/file/PYU-RC_GROUP_51_ROHS_L</x:v>
      </x:c>
      <x:c xmlns:x="http://schemas.openxmlformats.org/spreadsheetml/2006/main" r="Y406" t="str" s="11">
        <x:v>C:\Users\Nomatin\Documents\Altium\MY_LIB\MY_LIB\Datasheets\YAGEO_RC_L.pdf</x:v>
      </x:c>
      <ns0:c xmlns:ns0="http://schemas.openxmlformats.org/spreadsheetml/2006/main" r="Z406" s="16" t="inlineStr">
        <ns0:is>
          <ns0:t>MY_LIB_R_TCR</ns0:t>
        </ns0:is>
      </ns0:c>
      <ns0:c xmlns:ns0="http://schemas.openxmlformats.org/spreadsheetml/2006/main" r="AA406" s="16" t="inlineStr">
        <ns0:is>
          <ns0:t>R(T), +100 ppm/C at 25 C; positive datasheet limit</ns0:t>
        </ns0:is>
      </ns0:c>
      <ns0:c xmlns:ns0="http://schemas.openxmlformats.org/spreadsheetml/2006/main" r="AB406" s="16" t="str">
        <ns0:v>General</ns0:v>
      </ns0:c>
      <ns0:c xmlns:ns0="http://schemas.openxmlformats.org/spreadsheetml/2006/main" r="AC406" s="16" t="inlineStr">
        <ns0:is>
          <ns0:t>Spice Subcircuit</ns0:t>
        </ns0:is>
      </ns0:c>
      <ns0:c xmlns:ns0="http://schemas.openxmlformats.org/spreadsheetml/2006/main" r="AD406" s="16" t="inlineStr">
        <ns0:is>
          <ns0:t>@DESIGNATOR %1 %2 @MODEL PARAMS: Rvalue=@VALUE TC1value=100u</ns0:t>
        </ns0:is>
      </ns0:c>
      <ns0:c xmlns:ns0="http://schemas.openxmlformats.org/spreadsheetml/2006/main" r="AE406" s="16" t="inlineStr">
        <ns0:is>
          <ns0:t>X</ns0:t>
        </ns0:is>
      </ns0:c>
      <ns0:c xmlns:ns0="http://schemas.openxmlformats.org/spreadsheetml/2006/main" r="AF406" s="16" t="str">
        <ns0:v>(1:1),(2:2)</ns0:v>
      </ns0:c>
      <ns0:c xmlns:ns0="http://schemas.openxmlformats.org/spreadsheetml/2006/main" r="AG406" s="16" t="inlineStr">
        <ns0:is>
          <ns0:t>Simulation\Resistors\MY_LIB_R_TCR.ckt</ns0:t>
        </ns0:is>
      </ns0:c>
      <ns0:c xmlns:ns0="http://schemas.openxmlformats.org/spreadsheetml/2006/main" r="AH406" s="16" t="inlineStr">
        <ns0:is>
          <ns0:t>±100 ppm/°C</ns0:t>
        </ns0:is>
      </ns0:c>
    </ns0:row>
    <ns0:row xmlns:ns0="http://schemas.openxmlformats.org/spreadsheetml/2006/main" r="407" ht="30" customHeight="1">
      <ns0:c r="A407" t="str" s="10">
        <ns0:v>R0413</ns0:v>
      </ns0:c>
      <ns0:c r="B407" t="str" s="10">
        <ns0:v>Резистор</ns0:v>
      </ns0:c>
      <ns0:c r="C407" t="str" s="10">
        <ns0:v>51k</ns0:v>
      </ns0:c>
      <ns0:c r="D407" t="str" s="11">
        <ns0:f>SUBSTITUTE(SUBSTITUTE(SUBSTITUTE(SUBSTITUTE(C407,"meg"," МОм"),"k"," кОм"),"R"," Ом"),".",",")</ns0:f>
        <ns0:v>51 кОм</ns0:v>
      </ns0:c>
      <ns0:c r="E407" t="str" s="10">
        <ns0:v>±1%</ns0:v>
      </ns0:c>
      <ns0:c r="F407" t="str" s="10">
        <ns0:v>0,1 Вт</ns0:v>
      </ns0:c>
      <ns0:c r="G407" t="str" s="10">
        <ns0:v>75 В макс.</ns0:v>
      </ns0:c>
      <ns0:c r="H407" t="str" s="12">
        <ns0:v>0603</ns0:v>
      </ns0:c>
      <ns0:c r="I407" t="str" s="10">
        <ns0:v>YAGEO</ns0:v>
      </ns0:c>
      <ns0:c r="J407" t="str" s="10">
        <ns0:v>RC0603FR-0751KL</ns0:v>
      </ns0:c>
      <ns0:c r="K407" t="str" s="11">
        <ns0:f>B407&amp;" "&amp;D407&amp;" "&amp;E407&amp;" "&amp;H407</ns0:f>
        <ns0:v>Резистор 51 кОм ±1% 0603</ns0:v>
      </ns0:c>
      <ns0:c r="L407" t="str" s="13">
        <ns0:v>R</ns0:v>
      </ns0:c>
      <ns0:c r="M407" t="str" s="13">
        <ns0:v>Symbols\MY_LIB_Resistors.SchLib</ns0:v>
      </ns0:c>
      <ns0:c r="N407" t="str" s="13">
        <ns0:v>RESC1608X55N</ns0:v>
      </ns0:c>
      <ns0:c r="O407" t="str" s="13">
        <ns0:v>Footprints\PBL - SMD Packages.PcbLib</ns0:v>
      </ns0:c>
      <ns0:c xmlns:ns0="http://schemas.openxmlformats.org/spreadsheetml/2006/main" r="P40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7" s="10"/>
      <ns0:c r="R407" t="str" s="11">
        <ns0:f>D407</ns0:f>
        <ns0:v>51 кОм</ns0:v>
      </ns0:c>
      <ns0:c r="S407" t="str" s="11">
        <ns0:f>K407</ns0:f>
        <ns0:v>Резистор 51 кОм ±1% 0603</ns0:v>
      </ns0:c>
      <x:c xmlns:x="http://schemas.openxmlformats.org/spreadsheetml/2006/main" r="T407" t="str" s="11">
        <x:v>C:\Users\Nomatin\Documents\Altium\MY_LIB\MY_LIB\Datasheets\YAGEO_RC_L.pdf</x:v>
      </x:c>
      <x:c xmlns:x="http://schemas.openxmlformats.org/spreadsheetml/2006/main" r="U407" t="str" s="11">
        <x:v>Даташит — локальный</x:v>
      </x:c>
      <x:c xmlns:x="http://schemas.openxmlformats.org/spreadsheetml/2006/main" r="V407" t="str" s="11">
        <x:v>C:\Users\Nomatin\Documents\Altium\MY_LIB\MY_LIB\Datasheets\YAGEO_RC_L.pdf</x:v>
      </x:c>
      <x:c xmlns:x="http://schemas.openxmlformats.org/spreadsheetml/2006/main" r="W407" t="str" s="11">
        <x:v>Даташит — производитель</x:v>
      </x:c>
      <x:c xmlns:x="http://schemas.openxmlformats.org/spreadsheetml/2006/main" r="X407" t="str" s="11">
        <x:v>https://yageogroup.com/content/datasheet/asset/file/PYU-RC_GROUP_51_ROHS_L</x:v>
      </x:c>
      <x:c xmlns:x="http://schemas.openxmlformats.org/spreadsheetml/2006/main" r="Y407" t="str" s="11">
        <x:v>C:\Users\Nomatin\Documents\Altium\MY_LIB\MY_LIB\Datasheets\YAGEO_RC_L.pdf</x:v>
      </x:c>
      <ns0:c xmlns:ns0="http://schemas.openxmlformats.org/spreadsheetml/2006/main" r="Z407" s="16" t="inlineStr">
        <ns0:is>
          <ns0:t>MY_LIB_R_TCR</ns0:t>
        </ns0:is>
      </ns0:c>
      <ns0:c xmlns:ns0="http://schemas.openxmlformats.org/spreadsheetml/2006/main" r="AA407" s="16" t="inlineStr">
        <ns0:is>
          <ns0:t>R(T), +100 ppm/C at 25 C; positive datasheet limit</ns0:t>
        </ns0:is>
      </ns0:c>
      <ns0:c xmlns:ns0="http://schemas.openxmlformats.org/spreadsheetml/2006/main" r="AB407" s="16" t="str">
        <ns0:v>General</ns0:v>
      </ns0:c>
      <ns0:c xmlns:ns0="http://schemas.openxmlformats.org/spreadsheetml/2006/main" r="AC407" s="16" t="inlineStr">
        <ns0:is>
          <ns0:t>Spice Subcircuit</ns0:t>
        </ns0:is>
      </ns0:c>
      <ns0:c xmlns:ns0="http://schemas.openxmlformats.org/spreadsheetml/2006/main" r="AD407" s="16" t="inlineStr">
        <ns0:is>
          <ns0:t>@DESIGNATOR %1 %2 @MODEL PARAMS: Rvalue=@VALUE TC1value=100u</ns0:t>
        </ns0:is>
      </ns0:c>
      <ns0:c xmlns:ns0="http://schemas.openxmlformats.org/spreadsheetml/2006/main" r="AE407" s="16" t="inlineStr">
        <ns0:is>
          <ns0:t>X</ns0:t>
        </ns0:is>
      </ns0:c>
      <ns0:c xmlns:ns0="http://schemas.openxmlformats.org/spreadsheetml/2006/main" r="AF407" s="16" t="str">
        <ns0:v>(1:1),(2:2)</ns0:v>
      </ns0:c>
      <ns0:c xmlns:ns0="http://schemas.openxmlformats.org/spreadsheetml/2006/main" r="AG407" s="16" t="inlineStr">
        <ns0:is>
          <ns0:t>Simulation\Resistors\MY_LIB_R_TCR.ckt</ns0:t>
        </ns0:is>
      </ns0:c>
      <ns0:c xmlns:ns0="http://schemas.openxmlformats.org/spreadsheetml/2006/main" r="AH407" s="16" t="inlineStr">
        <ns0:is>
          <ns0:t>±100 ppm/°C</ns0:t>
        </ns0:is>
      </ns0:c>
    </ns0:row>
    <ns0:row xmlns:ns0="http://schemas.openxmlformats.org/spreadsheetml/2006/main" r="408" ht="30" customHeight="1">
      <ns0:c r="A408" t="str" s="10">
        <ns0:v>R0414</ns0:v>
      </ns0:c>
      <ns0:c r="B408" t="str" s="10">
        <ns0:v>Резистор</ns0:v>
      </ns0:c>
      <ns0:c r="C408" t="str" s="10">
        <ns0:v>56k</ns0:v>
      </ns0:c>
      <ns0:c r="D408" t="str" s="11">
        <ns0:f>SUBSTITUTE(SUBSTITUTE(SUBSTITUTE(SUBSTITUTE(C408,"meg"," МОм"),"k"," кОм"),"R"," Ом"),".",",")</ns0:f>
        <ns0:v>56 кОм</ns0:v>
      </ns0:c>
      <ns0:c r="E408" t="str" s="10">
        <ns0:v>±1%</ns0:v>
      </ns0:c>
      <ns0:c r="F408" t="str" s="10">
        <ns0:v>0,1 Вт</ns0:v>
      </ns0:c>
      <ns0:c r="G408" t="str" s="10">
        <ns0:v>75 В макс.</ns0:v>
      </ns0:c>
      <ns0:c r="H408" t="str" s="12">
        <ns0:v>0603</ns0:v>
      </ns0:c>
      <ns0:c r="I408" t="str" s="10">
        <ns0:v>YAGEO</ns0:v>
      </ns0:c>
      <ns0:c r="J408" t="str" s="10">
        <ns0:v>RC0603FR-0756KL</ns0:v>
      </ns0:c>
      <ns0:c r="K408" t="str" s="11">
        <ns0:f>B408&amp;" "&amp;D408&amp;" "&amp;E408&amp;" "&amp;H408</ns0:f>
        <ns0:v>Резистор 56 кОм ±1% 0603</ns0:v>
      </ns0:c>
      <ns0:c r="L408" t="str" s="13">
        <ns0:v>R</ns0:v>
      </ns0:c>
      <ns0:c r="M408" t="str" s="13">
        <ns0:v>Symbols\MY_LIB_Resistors.SchLib</ns0:v>
      </ns0:c>
      <ns0:c r="N408" t="str" s="13">
        <ns0:v>RESC1608X55N</ns0:v>
      </ns0:c>
      <ns0:c r="O408" t="str" s="13">
        <ns0:v>Footprints\PBL - SMD Packages.PcbLib</ns0:v>
      </ns0:c>
      <ns0:c xmlns:ns0="http://schemas.openxmlformats.org/spreadsheetml/2006/main" r="P40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8" s="10"/>
      <ns0:c r="R408" t="str" s="11">
        <ns0:f>D408</ns0:f>
        <ns0:v>56 кОм</ns0:v>
      </ns0:c>
      <ns0:c r="S408" t="str" s="11">
        <ns0:f>K408</ns0:f>
        <ns0:v>Резистор 56 кОм ±1% 0603</ns0:v>
      </ns0:c>
      <x:c xmlns:x="http://schemas.openxmlformats.org/spreadsheetml/2006/main" r="T408" t="str" s="11">
        <x:v>C:\Users\Nomatin\Documents\Altium\MY_LIB\MY_LIB\Datasheets\YAGEO_RC_L.pdf</x:v>
      </x:c>
      <x:c xmlns:x="http://schemas.openxmlformats.org/spreadsheetml/2006/main" r="U408" t="str" s="11">
        <x:v>Даташит — локальный</x:v>
      </x:c>
      <x:c xmlns:x="http://schemas.openxmlformats.org/spreadsheetml/2006/main" r="V408" t="str" s="11">
        <x:v>C:\Users\Nomatin\Documents\Altium\MY_LIB\MY_LIB\Datasheets\YAGEO_RC_L.pdf</x:v>
      </x:c>
      <x:c xmlns:x="http://schemas.openxmlformats.org/spreadsheetml/2006/main" r="W408" t="str" s="11">
        <x:v>Даташит — производитель</x:v>
      </x:c>
      <x:c xmlns:x="http://schemas.openxmlformats.org/spreadsheetml/2006/main" r="X408" t="str" s="11">
        <x:v>https://yageogroup.com/content/datasheet/asset/file/PYU-RC_GROUP_51_ROHS_L</x:v>
      </x:c>
      <x:c xmlns:x="http://schemas.openxmlformats.org/spreadsheetml/2006/main" r="Y408" t="str" s="11">
        <x:v>C:\Users\Nomatin\Documents\Altium\MY_LIB\MY_LIB\Datasheets\YAGEO_RC_L.pdf</x:v>
      </x:c>
      <ns0:c xmlns:ns0="http://schemas.openxmlformats.org/spreadsheetml/2006/main" r="Z408" s="16" t="inlineStr">
        <ns0:is>
          <ns0:t>MY_LIB_R_TCR</ns0:t>
        </ns0:is>
      </ns0:c>
      <ns0:c xmlns:ns0="http://schemas.openxmlformats.org/spreadsheetml/2006/main" r="AA408" s="16" t="inlineStr">
        <ns0:is>
          <ns0:t>R(T), +100 ppm/C at 25 C; positive datasheet limit</ns0:t>
        </ns0:is>
      </ns0:c>
      <ns0:c xmlns:ns0="http://schemas.openxmlformats.org/spreadsheetml/2006/main" r="AB408" s="16" t="str">
        <ns0:v>General</ns0:v>
      </ns0:c>
      <ns0:c xmlns:ns0="http://schemas.openxmlformats.org/spreadsheetml/2006/main" r="AC408" s="16" t="inlineStr">
        <ns0:is>
          <ns0:t>Spice Subcircuit</ns0:t>
        </ns0:is>
      </ns0:c>
      <ns0:c xmlns:ns0="http://schemas.openxmlformats.org/spreadsheetml/2006/main" r="AD408" s="16" t="inlineStr">
        <ns0:is>
          <ns0:t>@DESIGNATOR %1 %2 @MODEL PARAMS: Rvalue=@VALUE TC1value=100u</ns0:t>
        </ns0:is>
      </ns0:c>
      <ns0:c xmlns:ns0="http://schemas.openxmlformats.org/spreadsheetml/2006/main" r="AE408" s="16" t="inlineStr">
        <ns0:is>
          <ns0:t>X</ns0:t>
        </ns0:is>
      </ns0:c>
      <ns0:c xmlns:ns0="http://schemas.openxmlformats.org/spreadsheetml/2006/main" r="AF408" s="16" t="str">
        <ns0:v>(1:1),(2:2)</ns0:v>
      </ns0:c>
      <ns0:c xmlns:ns0="http://schemas.openxmlformats.org/spreadsheetml/2006/main" r="AG408" s="16" t="inlineStr">
        <ns0:is>
          <ns0:t>Simulation\Resistors\MY_LIB_R_TCR.ckt</ns0:t>
        </ns0:is>
      </ns0:c>
      <ns0:c xmlns:ns0="http://schemas.openxmlformats.org/spreadsheetml/2006/main" r="AH408" s="16" t="inlineStr">
        <ns0:is>
          <ns0:t>±100 ppm/°C</ns0:t>
        </ns0:is>
      </ns0:c>
    </ns0:row>
    <ns0:row xmlns:ns0="http://schemas.openxmlformats.org/spreadsheetml/2006/main" r="409" ht="30" customHeight="1">
      <ns0:c r="A409" t="str" s="10">
        <ns0:v>R0415</ns0:v>
      </ns0:c>
      <ns0:c r="B409" t="str" s="10">
        <ns0:v>Резистор</ns0:v>
      </ns0:c>
      <ns0:c r="C409" t="str" s="10">
        <ns0:v>62k</ns0:v>
      </ns0:c>
      <ns0:c r="D409" t="str" s="11">
        <ns0:f>SUBSTITUTE(SUBSTITUTE(SUBSTITUTE(SUBSTITUTE(C409,"meg"," МОм"),"k"," кОм"),"R"," Ом"),".",",")</ns0:f>
        <ns0:v>62 кОм</ns0:v>
      </ns0:c>
      <ns0:c r="E409" t="str" s="10">
        <ns0:v>±1%</ns0:v>
      </ns0:c>
      <ns0:c r="F409" t="str" s="10">
        <ns0:v>0,1 Вт</ns0:v>
      </ns0:c>
      <ns0:c r="G409" t="str" s="10">
        <ns0:v>75 В макс.</ns0:v>
      </ns0:c>
      <ns0:c r="H409" t="str" s="12">
        <ns0:v>0603</ns0:v>
      </ns0:c>
      <ns0:c r="I409" t="str" s="10">
        <ns0:v>YAGEO</ns0:v>
      </ns0:c>
      <ns0:c r="J409" t="str" s="10">
        <ns0:v>RC0603FR-0762KL</ns0:v>
      </ns0:c>
      <ns0:c r="K409" t="str" s="11">
        <ns0:f>B409&amp;" "&amp;D409&amp;" "&amp;E409&amp;" "&amp;H409</ns0:f>
        <ns0:v>Резистор 62 кОм ±1% 0603</ns0:v>
      </ns0:c>
      <ns0:c r="L409" t="str" s="13">
        <ns0:v>R</ns0:v>
      </ns0:c>
      <ns0:c r="M409" t="str" s="13">
        <ns0:v>Symbols\MY_LIB_Resistors.SchLib</ns0:v>
      </ns0:c>
      <ns0:c r="N409" t="str" s="13">
        <ns0:v>RESC1608X55N</ns0:v>
      </ns0:c>
      <ns0:c r="O409" t="str" s="13">
        <ns0:v>Footprints\PBL - SMD Packages.PcbLib</ns0:v>
      </ns0:c>
      <ns0:c xmlns:ns0="http://schemas.openxmlformats.org/spreadsheetml/2006/main" r="P40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09" s="10"/>
      <ns0:c r="R409" t="str" s="11">
        <ns0:f>D409</ns0:f>
        <ns0:v>62 кОм</ns0:v>
      </ns0:c>
      <ns0:c r="S409" t="str" s="11">
        <ns0:f>K409</ns0:f>
        <ns0:v>Резистор 62 кОм ±1% 0603</ns0:v>
      </ns0:c>
      <x:c xmlns:x="http://schemas.openxmlformats.org/spreadsheetml/2006/main" r="T409" t="str" s="11">
        <x:v>C:\Users\Nomatin\Documents\Altium\MY_LIB\MY_LIB\Datasheets\YAGEO_RC_L.pdf</x:v>
      </x:c>
      <x:c xmlns:x="http://schemas.openxmlformats.org/spreadsheetml/2006/main" r="U409" t="str" s="11">
        <x:v>Даташит — локальный</x:v>
      </x:c>
      <x:c xmlns:x="http://schemas.openxmlformats.org/spreadsheetml/2006/main" r="V409" t="str" s="11">
        <x:v>C:\Users\Nomatin\Documents\Altium\MY_LIB\MY_LIB\Datasheets\YAGEO_RC_L.pdf</x:v>
      </x:c>
      <x:c xmlns:x="http://schemas.openxmlformats.org/spreadsheetml/2006/main" r="W409" t="str" s="11">
        <x:v>Даташит — производитель</x:v>
      </x:c>
      <x:c xmlns:x="http://schemas.openxmlformats.org/spreadsheetml/2006/main" r="X409" t="str" s="11">
        <x:v>https://yageogroup.com/content/datasheet/asset/file/PYU-RC_GROUP_51_ROHS_L</x:v>
      </x:c>
      <x:c xmlns:x="http://schemas.openxmlformats.org/spreadsheetml/2006/main" r="Y409" t="str" s="11">
        <x:v>C:\Users\Nomatin\Documents\Altium\MY_LIB\MY_LIB\Datasheets\YAGEO_RC_L.pdf</x:v>
      </x:c>
      <ns0:c xmlns:ns0="http://schemas.openxmlformats.org/spreadsheetml/2006/main" r="Z409" s="16" t="inlineStr">
        <ns0:is>
          <ns0:t>MY_LIB_R_TCR</ns0:t>
        </ns0:is>
      </ns0:c>
      <ns0:c xmlns:ns0="http://schemas.openxmlformats.org/spreadsheetml/2006/main" r="AA409" s="16" t="inlineStr">
        <ns0:is>
          <ns0:t>R(T), +100 ppm/C at 25 C; positive datasheet limit</ns0:t>
        </ns0:is>
      </ns0:c>
      <ns0:c xmlns:ns0="http://schemas.openxmlformats.org/spreadsheetml/2006/main" r="AB409" s="16" t="str">
        <ns0:v>General</ns0:v>
      </ns0:c>
      <ns0:c xmlns:ns0="http://schemas.openxmlformats.org/spreadsheetml/2006/main" r="AC409" s="16" t="inlineStr">
        <ns0:is>
          <ns0:t>Spice Subcircuit</ns0:t>
        </ns0:is>
      </ns0:c>
      <ns0:c xmlns:ns0="http://schemas.openxmlformats.org/spreadsheetml/2006/main" r="AD409" s="16" t="inlineStr">
        <ns0:is>
          <ns0:t>@DESIGNATOR %1 %2 @MODEL PARAMS: Rvalue=@VALUE TC1value=100u</ns0:t>
        </ns0:is>
      </ns0:c>
      <ns0:c xmlns:ns0="http://schemas.openxmlformats.org/spreadsheetml/2006/main" r="AE409" s="16" t="inlineStr">
        <ns0:is>
          <ns0:t>X</ns0:t>
        </ns0:is>
      </ns0:c>
      <ns0:c xmlns:ns0="http://schemas.openxmlformats.org/spreadsheetml/2006/main" r="AF409" s="16" t="str">
        <ns0:v>(1:1),(2:2)</ns0:v>
      </ns0:c>
      <ns0:c xmlns:ns0="http://schemas.openxmlformats.org/spreadsheetml/2006/main" r="AG409" s="16" t="inlineStr">
        <ns0:is>
          <ns0:t>Simulation\Resistors\MY_LIB_R_TCR.ckt</ns0:t>
        </ns0:is>
      </ns0:c>
      <ns0:c xmlns:ns0="http://schemas.openxmlformats.org/spreadsheetml/2006/main" r="AH409" s="16" t="inlineStr">
        <ns0:is>
          <ns0:t>±100 ppm/°C</ns0:t>
        </ns0:is>
      </ns0:c>
    </ns0:row>
    <ns0:row xmlns:ns0="http://schemas.openxmlformats.org/spreadsheetml/2006/main" r="410" ht="30" customHeight="1">
      <ns0:c r="A410" t="str" s="10">
        <ns0:v>R0416</ns0:v>
      </ns0:c>
      <ns0:c r="B410" t="str" s="10">
        <ns0:v>Резистор</ns0:v>
      </ns0:c>
      <ns0:c r="C410" t="str" s="10">
        <ns0:v>68k</ns0:v>
      </ns0:c>
      <ns0:c r="D410" t="str" s="11">
        <ns0:f>SUBSTITUTE(SUBSTITUTE(SUBSTITUTE(SUBSTITUTE(C410,"meg"," МОм"),"k"," кОм"),"R"," Ом"),".",",")</ns0:f>
        <ns0:v>68 кОм</ns0:v>
      </ns0:c>
      <ns0:c r="E410" t="str" s="10">
        <ns0:v>±1%</ns0:v>
      </ns0:c>
      <ns0:c r="F410" t="str" s="10">
        <ns0:v>0,1 Вт</ns0:v>
      </ns0:c>
      <ns0:c r="G410" t="str" s="10">
        <ns0:v>75 В макс.</ns0:v>
      </ns0:c>
      <ns0:c r="H410" t="str" s="12">
        <ns0:v>0603</ns0:v>
      </ns0:c>
      <ns0:c r="I410" t="str" s="10">
        <ns0:v>YAGEO</ns0:v>
      </ns0:c>
      <ns0:c r="J410" t="str" s="10">
        <ns0:v>RC0603FR-0768KL</ns0:v>
      </ns0:c>
      <ns0:c r="K410" t="str" s="11">
        <ns0:f>B410&amp;" "&amp;D410&amp;" "&amp;E410&amp;" "&amp;H410</ns0:f>
        <ns0:v>Резистор 68 кОм ±1% 0603</ns0:v>
      </ns0:c>
      <ns0:c r="L410" t="str" s="13">
        <ns0:v>R</ns0:v>
      </ns0:c>
      <ns0:c r="M410" t="str" s="13">
        <ns0:v>Symbols\MY_LIB_Resistors.SchLib</ns0:v>
      </ns0:c>
      <ns0:c r="N410" t="str" s="13">
        <ns0:v>RESC1608X55N</ns0:v>
      </ns0:c>
      <ns0:c r="O410" t="str" s="13">
        <ns0:v>Footprints\PBL - SMD Packages.PcbLib</ns0:v>
      </ns0:c>
      <ns0:c xmlns:ns0="http://schemas.openxmlformats.org/spreadsheetml/2006/main" r="P41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0" s="10"/>
      <ns0:c r="R410" t="str" s="11">
        <ns0:f>D410</ns0:f>
        <ns0:v>68 кОм</ns0:v>
      </ns0:c>
      <ns0:c r="S410" t="str" s="11">
        <ns0:f>K410</ns0:f>
        <ns0:v>Резистор 68 кОм ±1% 0603</ns0:v>
      </ns0:c>
      <x:c xmlns:x="http://schemas.openxmlformats.org/spreadsheetml/2006/main" r="T410" t="str" s="11">
        <x:v>C:\Users\Nomatin\Documents\Altium\MY_LIB\MY_LIB\Datasheets\YAGEO_RC_L.pdf</x:v>
      </x:c>
      <x:c xmlns:x="http://schemas.openxmlformats.org/spreadsheetml/2006/main" r="U410" t="str" s="11">
        <x:v>Даташит — локальный</x:v>
      </x:c>
      <x:c xmlns:x="http://schemas.openxmlformats.org/spreadsheetml/2006/main" r="V410" t="str" s="11">
        <x:v>C:\Users\Nomatin\Documents\Altium\MY_LIB\MY_LIB\Datasheets\YAGEO_RC_L.pdf</x:v>
      </x:c>
      <x:c xmlns:x="http://schemas.openxmlformats.org/spreadsheetml/2006/main" r="W410" t="str" s="11">
        <x:v>Даташит — производитель</x:v>
      </x:c>
      <x:c xmlns:x="http://schemas.openxmlformats.org/spreadsheetml/2006/main" r="X410" t="str" s="11">
        <x:v>https://yageogroup.com/content/datasheet/asset/file/PYU-RC_GROUP_51_ROHS_L</x:v>
      </x:c>
      <x:c xmlns:x="http://schemas.openxmlformats.org/spreadsheetml/2006/main" r="Y410" t="str" s="11">
        <x:v>C:\Users\Nomatin\Documents\Altium\MY_LIB\MY_LIB\Datasheets\YAGEO_RC_L.pdf</x:v>
      </x:c>
      <ns0:c xmlns:ns0="http://schemas.openxmlformats.org/spreadsheetml/2006/main" r="Z410" s="16" t="inlineStr">
        <ns0:is>
          <ns0:t>MY_LIB_R_TCR</ns0:t>
        </ns0:is>
      </ns0:c>
      <ns0:c xmlns:ns0="http://schemas.openxmlformats.org/spreadsheetml/2006/main" r="AA410" s="16" t="inlineStr">
        <ns0:is>
          <ns0:t>R(T), +100 ppm/C at 25 C; positive datasheet limit</ns0:t>
        </ns0:is>
      </ns0:c>
      <ns0:c xmlns:ns0="http://schemas.openxmlformats.org/spreadsheetml/2006/main" r="AB410" s="16" t="str">
        <ns0:v>General</ns0:v>
      </ns0:c>
      <ns0:c xmlns:ns0="http://schemas.openxmlformats.org/spreadsheetml/2006/main" r="AC410" s="16" t="inlineStr">
        <ns0:is>
          <ns0:t>Spice Subcircuit</ns0:t>
        </ns0:is>
      </ns0:c>
      <ns0:c xmlns:ns0="http://schemas.openxmlformats.org/spreadsheetml/2006/main" r="AD410" s="16" t="inlineStr">
        <ns0:is>
          <ns0:t>@DESIGNATOR %1 %2 @MODEL PARAMS: Rvalue=@VALUE TC1value=100u</ns0:t>
        </ns0:is>
      </ns0:c>
      <ns0:c xmlns:ns0="http://schemas.openxmlformats.org/spreadsheetml/2006/main" r="AE410" s="16" t="inlineStr">
        <ns0:is>
          <ns0:t>X</ns0:t>
        </ns0:is>
      </ns0:c>
      <ns0:c xmlns:ns0="http://schemas.openxmlformats.org/spreadsheetml/2006/main" r="AF410" s="16" t="str">
        <ns0:v>(1:1),(2:2)</ns0:v>
      </ns0:c>
      <ns0:c xmlns:ns0="http://schemas.openxmlformats.org/spreadsheetml/2006/main" r="AG410" s="16" t="inlineStr">
        <ns0:is>
          <ns0:t>Simulation\Resistors\MY_LIB_R_TCR.ckt</ns0:t>
        </ns0:is>
      </ns0:c>
      <ns0:c xmlns:ns0="http://schemas.openxmlformats.org/spreadsheetml/2006/main" r="AH410" s="16" t="inlineStr">
        <ns0:is>
          <ns0:t>±100 ppm/°C</ns0:t>
        </ns0:is>
      </ns0:c>
    </ns0:row>
    <ns0:row xmlns:ns0="http://schemas.openxmlformats.org/spreadsheetml/2006/main" r="411" ht="30" customHeight="1">
      <ns0:c r="A411" t="str" s="10">
        <ns0:v>R0417</ns0:v>
      </ns0:c>
      <ns0:c r="B411" t="str" s="10">
        <ns0:v>Резистор</ns0:v>
      </ns0:c>
      <ns0:c r="C411" t="str" s="10">
        <ns0:v>75k</ns0:v>
      </ns0:c>
      <ns0:c r="D411" t="str" s="11">
        <ns0:f>SUBSTITUTE(SUBSTITUTE(SUBSTITUTE(SUBSTITUTE(C411,"meg"," МОм"),"k"," кОм"),"R"," Ом"),".",",")</ns0:f>
        <ns0:v>75 кОм</ns0:v>
      </ns0:c>
      <ns0:c r="E411" t="str" s="10">
        <ns0:v>±1%</ns0:v>
      </ns0:c>
      <ns0:c r="F411" t="str" s="10">
        <ns0:v>0,1 Вт</ns0:v>
      </ns0:c>
      <ns0:c r="G411" t="str" s="10">
        <ns0:v>75 В макс.</ns0:v>
      </ns0:c>
      <ns0:c r="H411" t="str" s="12">
        <ns0:v>0603</ns0:v>
      </ns0:c>
      <ns0:c r="I411" t="str" s="10">
        <ns0:v>YAGEO</ns0:v>
      </ns0:c>
      <ns0:c r="J411" t="str" s="10">
        <ns0:v>RC0603FR-0775KL</ns0:v>
      </ns0:c>
      <ns0:c r="K411" t="str" s="11">
        <ns0:f>B411&amp;" "&amp;D411&amp;" "&amp;E411&amp;" "&amp;H411</ns0:f>
        <ns0:v>Резистор 75 кОм ±1% 0603</ns0:v>
      </ns0:c>
      <ns0:c r="L411" t="str" s="13">
        <ns0:v>R</ns0:v>
      </ns0:c>
      <ns0:c r="M411" t="str" s="13">
        <ns0:v>Symbols\MY_LIB_Resistors.SchLib</ns0:v>
      </ns0:c>
      <ns0:c r="N411" t="str" s="13">
        <ns0:v>RESC1608X55N</ns0:v>
      </ns0:c>
      <ns0:c r="O411" t="str" s="13">
        <ns0:v>Footprints\PBL - SMD Packages.PcbLib</ns0:v>
      </ns0:c>
      <ns0:c xmlns:ns0="http://schemas.openxmlformats.org/spreadsheetml/2006/main" r="P41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1" s="10"/>
      <ns0:c r="R411" t="str" s="11">
        <ns0:f>D411</ns0:f>
        <ns0:v>75 кОм</ns0:v>
      </ns0:c>
      <ns0:c r="S411" t="str" s="11">
        <ns0:f>K411</ns0:f>
        <ns0:v>Резистор 75 кОм ±1% 0603</ns0:v>
      </ns0:c>
      <x:c xmlns:x="http://schemas.openxmlformats.org/spreadsheetml/2006/main" r="T411" t="str" s="11">
        <x:v>C:\Users\Nomatin\Documents\Altium\MY_LIB\MY_LIB\Datasheets\YAGEO_RC_L.pdf</x:v>
      </x:c>
      <x:c xmlns:x="http://schemas.openxmlformats.org/spreadsheetml/2006/main" r="U411" t="str" s="11">
        <x:v>Даташит — локальный</x:v>
      </x:c>
      <x:c xmlns:x="http://schemas.openxmlformats.org/spreadsheetml/2006/main" r="V411" t="str" s="11">
        <x:v>C:\Users\Nomatin\Documents\Altium\MY_LIB\MY_LIB\Datasheets\YAGEO_RC_L.pdf</x:v>
      </x:c>
      <x:c xmlns:x="http://schemas.openxmlformats.org/spreadsheetml/2006/main" r="W411" t="str" s="11">
        <x:v>Даташит — производитель</x:v>
      </x:c>
      <x:c xmlns:x="http://schemas.openxmlformats.org/spreadsheetml/2006/main" r="X411" t="str" s="11">
        <x:v>https://yageogroup.com/content/datasheet/asset/file/PYU-RC_GROUP_51_ROHS_L</x:v>
      </x:c>
      <x:c xmlns:x="http://schemas.openxmlformats.org/spreadsheetml/2006/main" r="Y411" t="str" s="11">
        <x:v>C:\Users\Nomatin\Documents\Altium\MY_LIB\MY_LIB\Datasheets\YAGEO_RC_L.pdf</x:v>
      </x:c>
      <ns0:c xmlns:ns0="http://schemas.openxmlformats.org/spreadsheetml/2006/main" r="Z411" s="16" t="inlineStr">
        <ns0:is>
          <ns0:t>MY_LIB_R_TCR</ns0:t>
        </ns0:is>
      </ns0:c>
      <ns0:c xmlns:ns0="http://schemas.openxmlformats.org/spreadsheetml/2006/main" r="AA411" s="16" t="inlineStr">
        <ns0:is>
          <ns0:t>R(T), +100 ppm/C at 25 C; positive datasheet limit</ns0:t>
        </ns0:is>
      </ns0:c>
      <ns0:c xmlns:ns0="http://schemas.openxmlformats.org/spreadsheetml/2006/main" r="AB411" s="16" t="str">
        <ns0:v>General</ns0:v>
      </ns0:c>
      <ns0:c xmlns:ns0="http://schemas.openxmlformats.org/spreadsheetml/2006/main" r="AC411" s="16" t="inlineStr">
        <ns0:is>
          <ns0:t>Spice Subcircuit</ns0:t>
        </ns0:is>
      </ns0:c>
      <ns0:c xmlns:ns0="http://schemas.openxmlformats.org/spreadsheetml/2006/main" r="AD411" s="16" t="inlineStr">
        <ns0:is>
          <ns0:t>@DESIGNATOR %1 %2 @MODEL PARAMS: Rvalue=@VALUE TC1value=100u</ns0:t>
        </ns0:is>
      </ns0:c>
      <ns0:c xmlns:ns0="http://schemas.openxmlformats.org/spreadsheetml/2006/main" r="AE411" s="16" t="inlineStr">
        <ns0:is>
          <ns0:t>X</ns0:t>
        </ns0:is>
      </ns0:c>
      <ns0:c xmlns:ns0="http://schemas.openxmlformats.org/spreadsheetml/2006/main" r="AF411" s="16" t="str">
        <ns0:v>(1:1),(2:2)</ns0:v>
      </ns0:c>
      <ns0:c xmlns:ns0="http://schemas.openxmlformats.org/spreadsheetml/2006/main" r="AG411" s="16" t="inlineStr">
        <ns0:is>
          <ns0:t>Simulation\Resistors\MY_LIB_R_TCR.ckt</ns0:t>
        </ns0:is>
      </ns0:c>
      <ns0:c xmlns:ns0="http://schemas.openxmlformats.org/spreadsheetml/2006/main" r="AH411" s="16" t="inlineStr">
        <ns0:is>
          <ns0:t>±100 ppm/°C</ns0:t>
        </ns0:is>
      </ns0:c>
    </ns0:row>
    <ns0:row xmlns:ns0="http://schemas.openxmlformats.org/spreadsheetml/2006/main" r="412" ht="30" customHeight="1">
      <ns0:c r="A412" t="str" s="10">
        <ns0:v>R0418</ns0:v>
      </ns0:c>
      <ns0:c r="B412" t="str" s="10">
        <ns0:v>Резистор</ns0:v>
      </ns0:c>
      <ns0:c r="C412" t="str" s="10">
        <ns0:v>82k</ns0:v>
      </ns0:c>
      <ns0:c r="D412" t="str" s="11">
        <ns0:f>SUBSTITUTE(SUBSTITUTE(SUBSTITUTE(SUBSTITUTE(C412,"meg"," МОм"),"k"," кОм"),"R"," Ом"),".",",")</ns0:f>
        <ns0:v>82 кОм</ns0:v>
      </ns0:c>
      <ns0:c r="E412" t="str" s="10">
        <ns0:v>±1%</ns0:v>
      </ns0:c>
      <ns0:c r="F412" t="str" s="10">
        <ns0:v>0,1 Вт</ns0:v>
      </ns0:c>
      <ns0:c r="G412" t="str" s="10">
        <ns0:v>75 В макс.</ns0:v>
      </ns0:c>
      <ns0:c r="H412" t="str" s="12">
        <ns0:v>0603</ns0:v>
      </ns0:c>
      <ns0:c r="I412" t="str" s="10">
        <ns0:v>YAGEO</ns0:v>
      </ns0:c>
      <ns0:c r="J412" t="str" s="10">
        <ns0:v>RC0603FR-0782KL</ns0:v>
      </ns0:c>
      <ns0:c r="K412" t="str" s="11">
        <ns0:f>B412&amp;" "&amp;D412&amp;" "&amp;E412&amp;" "&amp;H412</ns0:f>
        <ns0:v>Резистор 82 кОм ±1% 0603</ns0:v>
      </ns0:c>
      <ns0:c r="L412" t="str" s="13">
        <ns0:v>R</ns0:v>
      </ns0:c>
      <ns0:c r="M412" t="str" s="13">
        <ns0:v>Symbols\MY_LIB_Resistors.SchLib</ns0:v>
      </ns0:c>
      <ns0:c r="N412" t="str" s="13">
        <ns0:v>RESC1608X55N</ns0:v>
      </ns0:c>
      <ns0:c r="O412" t="str" s="13">
        <ns0:v>Footprints\PBL - SMD Packages.PcbLib</ns0:v>
      </ns0:c>
      <ns0:c xmlns:ns0="http://schemas.openxmlformats.org/spreadsheetml/2006/main" r="P41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2" s="10"/>
      <ns0:c r="R412" t="str" s="11">
        <ns0:f>D412</ns0:f>
        <ns0:v>82 кОм</ns0:v>
      </ns0:c>
      <ns0:c r="S412" t="str" s="11">
        <ns0:f>K412</ns0:f>
        <ns0:v>Резистор 82 кОм ±1% 0603</ns0:v>
      </ns0:c>
      <x:c xmlns:x="http://schemas.openxmlformats.org/spreadsheetml/2006/main" r="T412" t="str" s="11">
        <x:v>C:\Users\Nomatin\Documents\Altium\MY_LIB\MY_LIB\Datasheets\YAGEO_RC_L.pdf</x:v>
      </x:c>
      <x:c xmlns:x="http://schemas.openxmlformats.org/spreadsheetml/2006/main" r="U412" t="str" s="11">
        <x:v>Даташит — локальный</x:v>
      </x:c>
      <x:c xmlns:x="http://schemas.openxmlformats.org/spreadsheetml/2006/main" r="V412" t="str" s="11">
        <x:v>C:\Users\Nomatin\Documents\Altium\MY_LIB\MY_LIB\Datasheets\YAGEO_RC_L.pdf</x:v>
      </x:c>
      <x:c xmlns:x="http://schemas.openxmlformats.org/spreadsheetml/2006/main" r="W412" t="str" s="11">
        <x:v>Даташит — производитель</x:v>
      </x:c>
      <x:c xmlns:x="http://schemas.openxmlformats.org/spreadsheetml/2006/main" r="X412" t="str" s="11">
        <x:v>https://yageogroup.com/content/datasheet/asset/file/PYU-RC_GROUP_51_ROHS_L</x:v>
      </x:c>
      <x:c xmlns:x="http://schemas.openxmlformats.org/spreadsheetml/2006/main" r="Y412" t="str" s="11">
        <x:v>C:\Users\Nomatin\Documents\Altium\MY_LIB\MY_LIB\Datasheets\YAGEO_RC_L.pdf</x:v>
      </x:c>
      <ns0:c xmlns:ns0="http://schemas.openxmlformats.org/spreadsheetml/2006/main" r="Z412" s="16" t="inlineStr">
        <ns0:is>
          <ns0:t>MY_LIB_R_TCR</ns0:t>
        </ns0:is>
      </ns0:c>
      <ns0:c xmlns:ns0="http://schemas.openxmlformats.org/spreadsheetml/2006/main" r="AA412" s="16" t="inlineStr">
        <ns0:is>
          <ns0:t>R(T), +100 ppm/C at 25 C; positive datasheet limit</ns0:t>
        </ns0:is>
      </ns0:c>
      <ns0:c xmlns:ns0="http://schemas.openxmlformats.org/spreadsheetml/2006/main" r="AB412" s="16" t="str">
        <ns0:v>General</ns0:v>
      </ns0:c>
      <ns0:c xmlns:ns0="http://schemas.openxmlformats.org/spreadsheetml/2006/main" r="AC412" s="16" t="inlineStr">
        <ns0:is>
          <ns0:t>Spice Subcircuit</ns0:t>
        </ns0:is>
      </ns0:c>
      <ns0:c xmlns:ns0="http://schemas.openxmlformats.org/spreadsheetml/2006/main" r="AD412" s="16" t="inlineStr">
        <ns0:is>
          <ns0:t>@DESIGNATOR %1 %2 @MODEL PARAMS: Rvalue=@VALUE TC1value=100u</ns0:t>
        </ns0:is>
      </ns0:c>
      <ns0:c xmlns:ns0="http://schemas.openxmlformats.org/spreadsheetml/2006/main" r="AE412" s="16" t="inlineStr">
        <ns0:is>
          <ns0:t>X</ns0:t>
        </ns0:is>
      </ns0:c>
      <ns0:c xmlns:ns0="http://schemas.openxmlformats.org/spreadsheetml/2006/main" r="AF412" s="16" t="str">
        <ns0:v>(1:1),(2:2)</ns0:v>
      </ns0:c>
      <ns0:c xmlns:ns0="http://schemas.openxmlformats.org/spreadsheetml/2006/main" r="AG412" s="16" t="inlineStr">
        <ns0:is>
          <ns0:t>Simulation\Resistors\MY_LIB_R_TCR.ckt</ns0:t>
        </ns0:is>
      </ns0:c>
      <ns0:c xmlns:ns0="http://schemas.openxmlformats.org/spreadsheetml/2006/main" r="AH412" s="16" t="inlineStr">
        <ns0:is>
          <ns0:t>±100 ppm/°C</ns0:t>
        </ns0:is>
      </ns0:c>
    </ns0:row>
    <ns0:row xmlns:ns0="http://schemas.openxmlformats.org/spreadsheetml/2006/main" r="413" ht="30" customHeight="1">
      <ns0:c r="A413" t="str" s="10">
        <ns0:v>R0419</ns0:v>
      </ns0:c>
      <ns0:c r="B413" t="str" s="10">
        <ns0:v>Резистор</ns0:v>
      </ns0:c>
      <ns0:c r="C413" t="str" s="10">
        <ns0:v>91k</ns0:v>
      </ns0:c>
      <ns0:c r="D413" t="str" s="11">
        <ns0:f>SUBSTITUTE(SUBSTITUTE(SUBSTITUTE(SUBSTITUTE(C413,"meg"," МОм"),"k"," кОм"),"R"," Ом"),".",",")</ns0:f>
        <ns0:v>91 кОм</ns0:v>
      </ns0:c>
      <ns0:c r="E413" t="str" s="10">
        <ns0:v>±1%</ns0:v>
      </ns0:c>
      <ns0:c r="F413" t="str" s="10">
        <ns0:v>0,1 Вт</ns0:v>
      </ns0:c>
      <ns0:c r="G413" t="str" s="10">
        <ns0:v>75 В макс.</ns0:v>
      </ns0:c>
      <ns0:c r="H413" t="str" s="12">
        <ns0:v>0603</ns0:v>
      </ns0:c>
      <ns0:c r="I413" t="str" s="10">
        <ns0:v>YAGEO</ns0:v>
      </ns0:c>
      <ns0:c r="J413" t="str" s="10">
        <ns0:v>RC0603FR-0791KL</ns0:v>
      </ns0:c>
      <ns0:c r="K413" t="str" s="11">
        <ns0:f>B413&amp;" "&amp;D413&amp;" "&amp;E413&amp;" "&amp;H413</ns0:f>
        <ns0:v>Резистор 91 кОм ±1% 0603</ns0:v>
      </ns0:c>
      <ns0:c r="L413" t="str" s="13">
        <ns0:v>R</ns0:v>
      </ns0:c>
      <ns0:c r="M413" t="str" s="13">
        <ns0:v>Symbols\MY_LIB_Resistors.SchLib</ns0:v>
      </ns0:c>
      <ns0:c r="N413" t="str" s="13">
        <ns0:v>RESC1608X55N</ns0:v>
      </ns0:c>
      <ns0:c r="O413" t="str" s="13">
        <ns0:v>Footprints\PBL - SMD Packages.PcbLib</ns0:v>
      </ns0:c>
      <ns0:c xmlns:ns0="http://schemas.openxmlformats.org/spreadsheetml/2006/main" r="P41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3" s="10"/>
      <ns0:c r="R413" t="str" s="11">
        <ns0:f>D413</ns0:f>
        <ns0:v>91 кОм</ns0:v>
      </ns0:c>
      <ns0:c r="S413" t="str" s="11">
        <ns0:f>K413</ns0:f>
        <ns0:v>Резистор 91 кОм ±1% 0603</ns0:v>
      </ns0:c>
      <x:c xmlns:x="http://schemas.openxmlformats.org/spreadsheetml/2006/main" r="T413" t="str" s="11">
        <x:v>C:\Users\Nomatin\Documents\Altium\MY_LIB\MY_LIB\Datasheets\YAGEO_RC_L.pdf</x:v>
      </x:c>
      <x:c xmlns:x="http://schemas.openxmlformats.org/spreadsheetml/2006/main" r="U413" t="str" s="11">
        <x:v>Даташит — локальный</x:v>
      </x:c>
      <x:c xmlns:x="http://schemas.openxmlformats.org/spreadsheetml/2006/main" r="V413" t="str" s="11">
        <x:v>C:\Users\Nomatin\Documents\Altium\MY_LIB\MY_LIB\Datasheets\YAGEO_RC_L.pdf</x:v>
      </x:c>
      <x:c xmlns:x="http://schemas.openxmlformats.org/spreadsheetml/2006/main" r="W413" t="str" s="11">
        <x:v>Даташит — производитель</x:v>
      </x:c>
      <x:c xmlns:x="http://schemas.openxmlformats.org/spreadsheetml/2006/main" r="X413" t="str" s="11">
        <x:v>https://yageogroup.com/content/datasheet/asset/file/PYU-RC_GROUP_51_ROHS_L</x:v>
      </x:c>
      <x:c xmlns:x="http://schemas.openxmlformats.org/spreadsheetml/2006/main" r="Y413" t="str" s="11">
        <x:v>C:\Users\Nomatin\Documents\Altium\MY_LIB\MY_LIB\Datasheets\YAGEO_RC_L.pdf</x:v>
      </x:c>
      <ns0:c xmlns:ns0="http://schemas.openxmlformats.org/spreadsheetml/2006/main" r="Z413" s="16" t="inlineStr">
        <ns0:is>
          <ns0:t>MY_LIB_R_TCR</ns0:t>
        </ns0:is>
      </ns0:c>
      <ns0:c xmlns:ns0="http://schemas.openxmlformats.org/spreadsheetml/2006/main" r="AA413" s="16" t="inlineStr">
        <ns0:is>
          <ns0:t>R(T), +100 ppm/C at 25 C; positive datasheet limit</ns0:t>
        </ns0:is>
      </ns0:c>
      <ns0:c xmlns:ns0="http://schemas.openxmlformats.org/spreadsheetml/2006/main" r="AB413" s="16" t="str">
        <ns0:v>General</ns0:v>
      </ns0:c>
      <ns0:c xmlns:ns0="http://schemas.openxmlformats.org/spreadsheetml/2006/main" r="AC413" s="16" t="inlineStr">
        <ns0:is>
          <ns0:t>Spice Subcircuit</ns0:t>
        </ns0:is>
      </ns0:c>
      <ns0:c xmlns:ns0="http://schemas.openxmlformats.org/spreadsheetml/2006/main" r="AD413" s="16" t="inlineStr">
        <ns0:is>
          <ns0:t>@DESIGNATOR %1 %2 @MODEL PARAMS: Rvalue=@VALUE TC1value=100u</ns0:t>
        </ns0:is>
      </ns0:c>
      <ns0:c xmlns:ns0="http://schemas.openxmlformats.org/spreadsheetml/2006/main" r="AE413" s="16" t="inlineStr">
        <ns0:is>
          <ns0:t>X</ns0:t>
        </ns0:is>
      </ns0:c>
      <ns0:c xmlns:ns0="http://schemas.openxmlformats.org/spreadsheetml/2006/main" r="AF413" s="16" t="str">
        <ns0:v>(1:1),(2:2)</ns0:v>
      </ns0:c>
      <ns0:c xmlns:ns0="http://schemas.openxmlformats.org/spreadsheetml/2006/main" r="AG413" s="16" t="inlineStr">
        <ns0:is>
          <ns0:t>Simulation\Resistors\MY_LIB_R_TCR.ckt</ns0:t>
        </ns0:is>
      </ns0:c>
      <ns0:c xmlns:ns0="http://schemas.openxmlformats.org/spreadsheetml/2006/main" r="AH413" s="16" t="inlineStr">
        <ns0:is>
          <ns0:t>±100 ppm/°C</ns0:t>
        </ns0:is>
      </ns0:c>
    </ns0:row>
    <ns0:row xmlns:ns0="http://schemas.openxmlformats.org/spreadsheetml/2006/main" r="414" ht="30" customHeight="1">
      <ns0:c r="A414" t="str" s="10">
        <ns0:v>R0420</ns0:v>
      </ns0:c>
      <ns0:c r="B414" t="str" s="10">
        <ns0:v>Резистор</ns0:v>
      </ns0:c>
      <ns0:c r="C414" t="str" s="10">
        <ns0:v>100k</ns0:v>
      </ns0:c>
      <ns0:c r="D414" t="str" s="11">
        <ns0:f>SUBSTITUTE(SUBSTITUTE(SUBSTITUTE(SUBSTITUTE(C414,"meg"," МОм"),"k"," кОм"),"R"," Ом"),".",",")</ns0:f>
        <ns0:v>100 кОм</ns0:v>
      </ns0:c>
      <ns0:c r="E414" t="str" s="10">
        <ns0:v>±1%</ns0:v>
      </ns0:c>
      <ns0:c r="F414" t="str" s="10">
        <ns0:v>0,1 Вт</ns0:v>
      </ns0:c>
      <ns0:c r="G414" t="str" s="10">
        <ns0:v>75 В макс.</ns0:v>
      </ns0:c>
      <ns0:c r="H414" t="str" s="12">
        <ns0:v>0603</ns0:v>
      </ns0:c>
      <ns0:c r="I414" t="str" s="10">
        <ns0:v>YAGEO</ns0:v>
      </ns0:c>
      <ns0:c r="J414" t="str" s="10">
        <ns0:v>RC0603FR-07100KL</ns0:v>
      </ns0:c>
      <ns0:c r="K414" t="str" s="11">
        <ns0:f>B414&amp;" "&amp;D414&amp;" "&amp;E414&amp;" "&amp;H414</ns0:f>
        <ns0:v>Резистор 100 кОм ±1% 0603</ns0:v>
      </ns0:c>
      <ns0:c r="L414" t="str" s="13">
        <ns0:v>R</ns0:v>
      </ns0:c>
      <ns0:c r="M414" t="str" s="13">
        <ns0:v>Symbols\MY_LIB_Resistors.SchLib</ns0:v>
      </ns0:c>
      <ns0:c r="N414" t="str" s="13">
        <ns0:v>RESC1608X55N</ns0:v>
      </ns0:c>
      <ns0:c r="O414" t="str" s="13">
        <ns0:v>Footprints\PBL - SMD Packages.PcbLib</ns0:v>
      </ns0:c>
      <ns0:c xmlns:ns0="http://schemas.openxmlformats.org/spreadsheetml/2006/main" r="P41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4" s="10"/>
      <ns0:c r="R414" t="str" s="11">
        <ns0:f>D414</ns0:f>
        <ns0:v>100 кОм</ns0:v>
      </ns0:c>
      <ns0:c r="S414" t="str" s="11">
        <ns0:f>K414</ns0:f>
        <ns0:v>Резистор 100 кОм ±1% 0603</ns0:v>
      </ns0:c>
      <x:c xmlns:x="http://schemas.openxmlformats.org/spreadsheetml/2006/main" r="T414" t="str" s="11">
        <x:v>C:\Users\Nomatin\Documents\Altium\MY_LIB\MY_LIB\Datasheets\YAGEO_RC_L.pdf</x:v>
      </x:c>
      <x:c xmlns:x="http://schemas.openxmlformats.org/spreadsheetml/2006/main" r="U414" t="str" s="11">
        <x:v>Даташит — локальный</x:v>
      </x:c>
      <x:c xmlns:x="http://schemas.openxmlformats.org/spreadsheetml/2006/main" r="V414" t="str" s="11">
        <x:v>C:\Users\Nomatin\Documents\Altium\MY_LIB\MY_LIB\Datasheets\YAGEO_RC_L.pdf</x:v>
      </x:c>
      <x:c xmlns:x="http://schemas.openxmlformats.org/spreadsheetml/2006/main" r="W414" t="str" s="11">
        <x:v>Даташит — производитель</x:v>
      </x:c>
      <x:c xmlns:x="http://schemas.openxmlformats.org/spreadsheetml/2006/main" r="X414" t="str" s="11">
        <x:v>https://yageogroup.com/content/datasheet/asset/file/PYU-RC_GROUP_51_ROHS_L</x:v>
      </x:c>
      <x:c xmlns:x="http://schemas.openxmlformats.org/spreadsheetml/2006/main" r="Y414" t="str" s="11">
        <x:v>C:\Users\Nomatin\Documents\Altium\MY_LIB\MY_LIB\Datasheets\YAGEO_RC_L.pdf</x:v>
      </x:c>
      <ns0:c xmlns:ns0="http://schemas.openxmlformats.org/spreadsheetml/2006/main" r="Z414" s="16" t="inlineStr">
        <ns0:is>
          <ns0:t>MY_LIB_R_TCR</ns0:t>
        </ns0:is>
      </ns0:c>
      <ns0:c xmlns:ns0="http://schemas.openxmlformats.org/spreadsheetml/2006/main" r="AA414" s="16" t="inlineStr">
        <ns0:is>
          <ns0:t>R(T), +100 ppm/C at 25 C; positive datasheet limit</ns0:t>
        </ns0:is>
      </ns0:c>
      <ns0:c xmlns:ns0="http://schemas.openxmlformats.org/spreadsheetml/2006/main" r="AB414" s="16" t="str">
        <ns0:v>General</ns0:v>
      </ns0:c>
      <ns0:c xmlns:ns0="http://schemas.openxmlformats.org/spreadsheetml/2006/main" r="AC414" s="16" t="inlineStr">
        <ns0:is>
          <ns0:t>Spice Subcircuit</ns0:t>
        </ns0:is>
      </ns0:c>
      <ns0:c xmlns:ns0="http://schemas.openxmlformats.org/spreadsheetml/2006/main" r="AD414" s="16" t="inlineStr">
        <ns0:is>
          <ns0:t>@DESIGNATOR %1 %2 @MODEL PARAMS: Rvalue=@VALUE TC1value=100u</ns0:t>
        </ns0:is>
      </ns0:c>
      <ns0:c xmlns:ns0="http://schemas.openxmlformats.org/spreadsheetml/2006/main" r="AE414" s="16" t="inlineStr">
        <ns0:is>
          <ns0:t>X</ns0:t>
        </ns0:is>
      </ns0:c>
      <ns0:c xmlns:ns0="http://schemas.openxmlformats.org/spreadsheetml/2006/main" r="AF414" s="16" t="str">
        <ns0:v>(1:1),(2:2)</ns0:v>
      </ns0:c>
      <ns0:c xmlns:ns0="http://schemas.openxmlformats.org/spreadsheetml/2006/main" r="AG414" s="16" t="inlineStr">
        <ns0:is>
          <ns0:t>Simulation\Resistors\MY_LIB_R_TCR.ckt</ns0:t>
        </ns0:is>
      </ns0:c>
      <ns0:c xmlns:ns0="http://schemas.openxmlformats.org/spreadsheetml/2006/main" r="AH414" s="16" t="inlineStr">
        <ns0:is>
          <ns0:t>±100 ppm/°C</ns0:t>
        </ns0:is>
      </ns0:c>
    </ns0:row>
    <ns0:row xmlns:ns0="http://schemas.openxmlformats.org/spreadsheetml/2006/main" r="415" ht="30" customHeight="1">
      <ns0:c r="A415" t="str" s="10">
        <ns0:v>R0421</ns0:v>
      </ns0:c>
      <ns0:c r="B415" t="str" s="10">
        <ns0:v>Резистор</ns0:v>
      </ns0:c>
      <ns0:c r="C415" t="str" s="10">
        <ns0:v>110k</ns0:v>
      </ns0:c>
      <ns0:c r="D415" t="str" s="11">
        <ns0:f>SUBSTITUTE(SUBSTITUTE(SUBSTITUTE(SUBSTITUTE(C415,"meg"," МОм"),"k"," кОм"),"R"," Ом"),".",",")</ns0:f>
        <ns0:v>110 кОм</ns0:v>
      </ns0:c>
      <ns0:c r="E415" t="str" s="10">
        <ns0:v>±1%</ns0:v>
      </ns0:c>
      <ns0:c r="F415" t="str" s="10">
        <ns0:v>0,1 Вт</ns0:v>
      </ns0:c>
      <ns0:c r="G415" t="str" s="10">
        <ns0:v>75 В макс.</ns0:v>
      </ns0:c>
      <ns0:c r="H415" t="str" s="12">
        <ns0:v>0603</ns0:v>
      </ns0:c>
      <ns0:c r="I415" t="str" s="10">
        <ns0:v>YAGEO</ns0:v>
      </ns0:c>
      <ns0:c r="J415" t="str" s="10">
        <ns0:v>RC0603FR-07110KL</ns0:v>
      </ns0:c>
      <ns0:c r="K415" t="str" s="11">
        <ns0:f>B415&amp;" "&amp;D415&amp;" "&amp;E415&amp;" "&amp;H415</ns0:f>
        <ns0:v>Резистор 110 кОм ±1% 0603</ns0:v>
      </ns0:c>
      <ns0:c r="L415" t="str" s="13">
        <ns0:v>R</ns0:v>
      </ns0:c>
      <ns0:c r="M415" t="str" s="13">
        <ns0:v>Symbols\MY_LIB_Resistors.SchLib</ns0:v>
      </ns0:c>
      <ns0:c r="N415" t="str" s="13">
        <ns0:v>RESC1608X55N</ns0:v>
      </ns0:c>
      <ns0:c r="O415" t="str" s="13">
        <ns0:v>Footprints\PBL - SMD Packages.PcbLib</ns0:v>
      </ns0:c>
      <ns0:c xmlns:ns0="http://schemas.openxmlformats.org/spreadsheetml/2006/main" r="P41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5" s="10"/>
      <ns0:c r="R415" t="str" s="11">
        <ns0:f>D415</ns0:f>
        <ns0:v>110 кОм</ns0:v>
      </ns0:c>
      <ns0:c r="S415" t="str" s="11">
        <ns0:f>K415</ns0:f>
        <ns0:v>Резистор 110 кОм ±1% 0603</ns0:v>
      </ns0:c>
      <x:c xmlns:x="http://schemas.openxmlformats.org/spreadsheetml/2006/main" r="T415" t="str" s="11">
        <x:v>C:\Users\Nomatin\Documents\Altium\MY_LIB\MY_LIB\Datasheets\YAGEO_RC_L.pdf</x:v>
      </x:c>
      <x:c xmlns:x="http://schemas.openxmlformats.org/spreadsheetml/2006/main" r="U415" t="str" s="11">
        <x:v>Даташит — локальный</x:v>
      </x:c>
      <x:c xmlns:x="http://schemas.openxmlformats.org/spreadsheetml/2006/main" r="V415" t="str" s="11">
        <x:v>C:\Users\Nomatin\Documents\Altium\MY_LIB\MY_LIB\Datasheets\YAGEO_RC_L.pdf</x:v>
      </x:c>
      <x:c xmlns:x="http://schemas.openxmlformats.org/spreadsheetml/2006/main" r="W415" t="str" s="11">
        <x:v>Даташит — производитель</x:v>
      </x:c>
      <x:c xmlns:x="http://schemas.openxmlformats.org/spreadsheetml/2006/main" r="X415" t="str" s="11">
        <x:v>https://yageogroup.com/content/datasheet/asset/file/PYU-RC_GROUP_51_ROHS_L</x:v>
      </x:c>
      <x:c xmlns:x="http://schemas.openxmlformats.org/spreadsheetml/2006/main" r="Y415" t="str" s="11">
        <x:v>C:\Users\Nomatin\Documents\Altium\MY_LIB\MY_LIB\Datasheets\YAGEO_RC_L.pdf</x:v>
      </x:c>
      <ns0:c xmlns:ns0="http://schemas.openxmlformats.org/spreadsheetml/2006/main" r="Z415" s="16" t="inlineStr">
        <ns0:is>
          <ns0:t>MY_LIB_R_TCR</ns0:t>
        </ns0:is>
      </ns0:c>
      <ns0:c xmlns:ns0="http://schemas.openxmlformats.org/spreadsheetml/2006/main" r="AA415" s="16" t="inlineStr">
        <ns0:is>
          <ns0:t>R(T), +100 ppm/C at 25 C; positive datasheet limit</ns0:t>
        </ns0:is>
      </ns0:c>
      <ns0:c xmlns:ns0="http://schemas.openxmlformats.org/spreadsheetml/2006/main" r="AB415" s="16" t="str">
        <ns0:v>General</ns0:v>
      </ns0:c>
      <ns0:c xmlns:ns0="http://schemas.openxmlformats.org/spreadsheetml/2006/main" r="AC415" s="16" t="inlineStr">
        <ns0:is>
          <ns0:t>Spice Subcircuit</ns0:t>
        </ns0:is>
      </ns0:c>
      <ns0:c xmlns:ns0="http://schemas.openxmlformats.org/spreadsheetml/2006/main" r="AD415" s="16" t="inlineStr">
        <ns0:is>
          <ns0:t>@DESIGNATOR %1 %2 @MODEL PARAMS: Rvalue=@VALUE TC1value=100u</ns0:t>
        </ns0:is>
      </ns0:c>
      <ns0:c xmlns:ns0="http://schemas.openxmlformats.org/spreadsheetml/2006/main" r="AE415" s="16" t="inlineStr">
        <ns0:is>
          <ns0:t>X</ns0:t>
        </ns0:is>
      </ns0:c>
      <ns0:c xmlns:ns0="http://schemas.openxmlformats.org/spreadsheetml/2006/main" r="AF415" s="16" t="str">
        <ns0:v>(1:1),(2:2)</ns0:v>
      </ns0:c>
      <ns0:c xmlns:ns0="http://schemas.openxmlformats.org/spreadsheetml/2006/main" r="AG415" s="16" t="inlineStr">
        <ns0:is>
          <ns0:t>Simulation\Resistors\MY_LIB_R_TCR.ckt</ns0:t>
        </ns0:is>
      </ns0:c>
      <ns0:c xmlns:ns0="http://schemas.openxmlformats.org/spreadsheetml/2006/main" r="AH415" s="16" t="inlineStr">
        <ns0:is>
          <ns0:t>±100 ppm/°C</ns0:t>
        </ns0:is>
      </ns0:c>
    </ns0:row>
    <ns0:row xmlns:ns0="http://schemas.openxmlformats.org/spreadsheetml/2006/main" r="416" ht="30" customHeight="1">
      <ns0:c r="A416" t="str" s="10">
        <ns0:v>R0422</ns0:v>
      </ns0:c>
      <ns0:c r="B416" t="str" s="10">
        <ns0:v>Резистор</ns0:v>
      </ns0:c>
      <ns0:c r="C416" t="str" s="10">
        <ns0:v>120k</ns0:v>
      </ns0:c>
      <ns0:c r="D416" t="str" s="11">
        <ns0:f>SUBSTITUTE(SUBSTITUTE(SUBSTITUTE(SUBSTITUTE(C416,"meg"," МОм"),"k"," кОм"),"R"," Ом"),".",",")</ns0:f>
        <ns0:v>120 кОм</ns0:v>
      </ns0:c>
      <ns0:c r="E416" t="str" s="10">
        <ns0:v>±1%</ns0:v>
      </ns0:c>
      <ns0:c r="F416" t="str" s="10">
        <ns0:v>0,1 Вт</ns0:v>
      </ns0:c>
      <ns0:c r="G416" t="str" s="10">
        <ns0:v>75 В макс.</ns0:v>
      </ns0:c>
      <ns0:c r="H416" t="str" s="12">
        <ns0:v>0603</ns0:v>
      </ns0:c>
      <ns0:c r="I416" t="str" s="10">
        <ns0:v>YAGEO</ns0:v>
      </ns0:c>
      <ns0:c r="J416" t="str" s="10">
        <ns0:v>RC0603FR-07120KL</ns0:v>
      </ns0:c>
      <ns0:c r="K416" t="str" s="11">
        <ns0:f>B416&amp;" "&amp;D416&amp;" "&amp;E416&amp;" "&amp;H416</ns0:f>
        <ns0:v>Резистор 120 кОм ±1% 0603</ns0:v>
      </ns0:c>
      <ns0:c r="L416" t="str" s="13">
        <ns0:v>R</ns0:v>
      </ns0:c>
      <ns0:c r="M416" t="str" s="13">
        <ns0:v>Symbols\MY_LIB_Resistors.SchLib</ns0:v>
      </ns0:c>
      <ns0:c r="N416" t="str" s="13">
        <ns0:v>RESC1608X55N</ns0:v>
      </ns0:c>
      <ns0:c r="O416" t="str" s="13">
        <ns0:v>Footprints\PBL - SMD Packages.PcbLib</ns0:v>
      </ns0:c>
      <ns0:c xmlns:ns0="http://schemas.openxmlformats.org/spreadsheetml/2006/main" r="P41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6" s="10"/>
      <ns0:c r="R416" t="str" s="11">
        <ns0:f>D416</ns0:f>
        <ns0:v>120 кОм</ns0:v>
      </ns0:c>
      <ns0:c r="S416" t="str" s="11">
        <ns0:f>K416</ns0:f>
        <ns0:v>Резистор 120 кОм ±1% 0603</ns0:v>
      </ns0:c>
      <x:c xmlns:x="http://schemas.openxmlformats.org/spreadsheetml/2006/main" r="T416" t="str" s="11">
        <x:v>C:\Users\Nomatin\Documents\Altium\MY_LIB\MY_LIB\Datasheets\YAGEO_RC_L.pdf</x:v>
      </x:c>
      <x:c xmlns:x="http://schemas.openxmlformats.org/spreadsheetml/2006/main" r="U416" t="str" s="11">
        <x:v>Даташит — локальный</x:v>
      </x:c>
      <x:c xmlns:x="http://schemas.openxmlformats.org/spreadsheetml/2006/main" r="V416" t="str" s="11">
        <x:v>C:\Users\Nomatin\Documents\Altium\MY_LIB\MY_LIB\Datasheets\YAGEO_RC_L.pdf</x:v>
      </x:c>
      <x:c xmlns:x="http://schemas.openxmlformats.org/spreadsheetml/2006/main" r="W416" t="str" s="11">
        <x:v>Даташит — производитель</x:v>
      </x:c>
      <x:c xmlns:x="http://schemas.openxmlformats.org/spreadsheetml/2006/main" r="X416" t="str" s="11">
        <x:v>https://yageogroup.com/content/datasheet/asset/file/PYU-RC_GROUP_51_ROHS_L</x:v>
      </x:c>
      <x:c xmlns:x="http://schemas.openxmlformats.org/spreadsheetml/2006/main" r="Y416" t="str" s="11">
        <x:v>C:\Users\Nomatin\Documents\Altium\MY_LIB\MY_LIB\Datasheets\YAGEO_RC_L.pdf</x:v>
      </x:c>
      <ns0:c xmlns:ns0="http://schemas.openxmlformats.org/spreadsheetml/2006/main" r="Z416" s="16" t="inlineStr">
        <ns0:is>
          <ns0:t>MY_LIB_R_TCR</ns0:t>
        </ns0:is>
      </ns0:c>
      <ns0:c xmlns:ns0="http://schemas.openxmlformats.org/spreadsheetml/2006/main" r="AA416" s="16" t="inlineStr">
        <ns0:is>
          <ns0:t>R(T), +100 ppm/C at 25 C; positive datasheet limit</ns0:t>
        </ns0:is>
      </ns0:c>
      <ns0:c xmlns:ns0="http://schemas.openxmlformats.org/spreadsheetml/2006/main" r="AB416" s="16" t="str">
        <ns0:v>General</ns0:v>
      </ns0:c>
      <ns0:c xmlns:ns0="http://schemas.openxmlformats.org/spreadsheetml/2006/main" r="AC416" s="16" t="inlineStr">
        <ns0:is>
          <ns0:t>Spice Subcircuit</ns0:t>
        </ns0:is>
      </ns0:c>
      <ns0:c xmlns:ns0="http://schemas.openxmlformats.org/spreadsheetml/2006/main" r="AD416" s="16" t="inlineStr">
        <ns0:is>
          <ns0:t>@DESIGNATOR %1 %2 @MODEL PARAMS: Rvalue=@VALUE TC1value=100u</ns0:t>
        </ns0:is>
      </ns0:c>
      <ns0:c xmlns:ns0="http://schemas.openxmlformats.org/spreadsheetml/2006/main" r="AE416" s="16" t="inlineStr">
        <ns0:is>
          <ns0:t>X</ns0:t>
        </ns0:is>
      </ns0:c>
      <ns0:c xmlns:ns0="http://schemas.openxmlformats.org/spreadsheetml/2006/main" r="AF416" s="16" t="str">
        <ns0:v>(1:1),(2:2)</ns0:v>
      </ns0:c>
      <ns0:c xmlns:ns0="http://schemas.openxmlformats.org/spreadsheetml/2006/main" r="AG416" s="16" t="inlineStr">
        <ns0:is>
          <ns0:t>Simulation\Resistors\MY_LIB_R_TCR.ckt</ns0:t>
        </ns0:is>
      </ns0:c>
      <ns0:c xmlns:ns0="http://schemas.openxmlformats.org/spreadsheetml/2006/main" r="AH416" s="16" t="inlineStr">
        <ns0:is>
          <ns0:t>±100 ppm/°C</ns0:t>
        </ns0:is>
      </ns0:c>
    </ns0:row>
    <ns0:row xmlns:ns0="http://schemas.openxmlformats.org/spreadsheetml/2006/main" r="417" ht="30" customHeight="1">
      <ns0:c r="A417" t="str" s="10">
        <ns0:v>R0423</ns0:v>
      </ns0:c>
      <ns0:c r="B417" t="str" s="10">
        <ns0:v>Резистор</ns0:v>
      </ns0:c>
      <ns0:c r="C417" t="str" s="10">
        <ns0:v>130k</ns0:v>
      </ns0:c>
      <ns0:c r="D417" t="str" s="11">
        <ns0:f>SUBSTITUTE(SUBSTITUTE(SUBSTITUTE(SUBSTITUTE(C417,"meg"," МОм"),"k"," кОм"),"R"," Ом"),".",",")</ns0:f>
        <ns0:v>130 кОм</ns0:v>
      </ns0:c>
      <ns0:c r="E417" t="str" s="10">
        <ns0:v>±1%</ns0:v>
      </ns0:c>
      <ns0:c r="F417" t="str" s="10">
        <ns0:v>0,1 Вт</ns0:v>
      </ns0:c>
      <ns0:c r="G417" t="str" s="10">
        <ns0:v>75 В макс.</ns0:v>
      </ns0:c>
      <ns0:c r="H417" t="str" s="12">
        <ns0:v>0603</ns0:v>
      </ns0:c>
      <ns0:c r="I417" t="str" s="10">
        <ns0:v>YAGEO</ns0:v>
      </ns0:c>
      <ns0:c r="J417" t="str" s="10">
        <ns0:v>RC0603FR-07130KL</ns0:v>
      </ns0:c>
      <ns0:c r="K417" t="str" s="11">
        <ns0:f>B417&amp;" "&amp;D417&amp;" "&amp;E417&amp;" "&amp;H417</ns0:f>
        <ns0:v>Резистор 130 кОм ±1% 0603</ns0:v>
      </ns0:c>
      <ns0:c r="L417" t="str" s="13">
        <ns0:v>R</ns0:v>
      </ns0:c>
      <ns0:c r="M417" t="str" s="13">
        <ns0:v>Symbols\MY_LIB_Resistors.SchLib</ns0:v>
      </ns0:c>
      <ns0:c r="N417" t="str" s="13">
        <ns0:v>RESC1608X55N</ns0:v>
      </ns0:c>
      <ns0:c r="O417" t="str" s="13">
        <ns0:v>Footprints\PBL - SMD Packages.PcbLib</ns0:v>
      </ns0:c>
      <ns0:c xmlns:ns0="http://schemas.openxmlformats.org/spreadsheetml/2006/main" r="P41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7" s="10"/>
      <ns0:c r="R417" t="str" s="11">
        <ns0:f>D417</ns0:f>
        <ns0:v>130 кОм</ns0:v>
      </ns0:c>
      <ns0:c r="S417" t="str" s="11">
        <ns0:f>K417</ns0:f>
        <ns0:v>Резистор 130 кОм ±1% 0603</ns0:v>
      </ns0:c>
      <x:c xmlns:x="http://schemas.openxmlformats.org/spreadsheetml/2006/main" r="T417" t="str" s="11">
        <x:v>C:\Users\Nomatin\Documents\Altium\MY_LIB\MY_LIB\Datasheets\YAGEO_RC_L.pdf</x:v>
      </x:c>
      <x:c xmlns:x="http://schemas.openxmlformats.org/spreadsheetml/2006/main" r="U417" t="str" s="11">
        <x:v>Даташит — локальный</x:v>
      </x:c>
      <x:c xmlns:x="http://schemas.openxmlformats.org/spreadsheetml/2006/main" r="V417" t="str" s="11">
        <x:v>C:\Users\Nomatin\Documents\Altium\MY_LIB\MY_LIB\Datasheets\YAGEO_RC_L.pdf</x:v>
      </x:c>
      <x:c xmlns:x="http://schemas.openxmlformats.org/spreadsheetml/2006/main" r="W417" t="str" s="11">
        <x:v>Даташит — производитель</x:v>
      </x:c>
      <x:c xmlns:x="http://schemas.openxmlformats.org/spreadsheetml/2006/main" r="X417" t="str" s="11">
        <x:v>https://yageogroup.com/content/datasheet/asset/file/PYU-RC_GROUP_51_ROHS_L</x:v>
      </x:c>
      <x:c xmlns:x="http://schemas.openxmlformats.org/spreadsheetml/2006/main" r="Y417" t="str" s="11">
        <x:v>C:\Users\Nomatin\Documents\Altium\MY_LIB\MY_LIB\Datasheets\YAGEO_RC_L.pdf</x:v>
      </x:c>
      <ns0:c xmlns:ns0="http://schemas.openxmlformats.org/spreadsheetml/2006/main" r="Z417" s="16" t="inlineStr">
        <ns0:is>
          <ns0:t>MY_LIB_R_TCR</ns0:t>
        </ns0:is>
      </ns0:c>
      <ns0:c xmlns:ns0="http://schemas.openxmlformats.org/spreadsheetml/2006/main" r="AA417" s="16" t="inlineStr">
        <ns0:is>
          <ns0:t>R(T), +100 ppm/C at 25 C; positive datasheet limit</ns0:t>
        </ns0:is>
      </ns0:c>
      <ns0:c xmlns:ns0="http://schemas.openxmlformats.org/spreadsheetml/2006/main" r="AB417" s="16" t="str">
        <ns0:v>General</ns0:v>
      </ns0:c>
      <ns0:c xmlns:ns0="http://schemas.openxmlformats.org/spreadsheetml/2006/main" r="AC417" s="16" t="inlineStr">
        <ns0:is>
          <ns0:t>Spice Subcircuit</ns0:t>
        </ns0:is>
      </ns0:c>
      <ns0:c xmlns:ns0="http://schemas.openxmlformats.org/spreadsheetml/2006/main" r="AD417" s="16" t="inlineStr">
        <ns0:is>
          <ns0:t>@DESIGNATOR %1 %2 @MODEL PARAMS: Rvalue=@VALUE TC1value=100u</ns0:t>
        </ns0:is>
      </ns0:c>
      <ns0:c xmlns:ns0="http://schemas.openxmlformats.org/spreadsheetml/2006/main" r="AE417" s="16" t="inlineStr">
        <ns0:is>
          <ns0:t>X</ns0:t>
        </ns0:is>
      </ns0:c>
      <ns0:c xmlns:ns0="http://schemas.openxmlformats.org/spreadsheetml/2006/main" r="AF417" s="16" t="str">
        <ns0:v>(1:1),(2:2)</ns0:v>
      </ns0:c>
      <ns0:c xmlns:ns0="http://schemas.openxmlformats.org/spreadsheetml/2006/main" r="AG417" s="16" t="inlineStr">
        <ns0:is>
          <ns0:t>Simulation\Resistors\MY_LIB_R_TCR.ckt</ns0:t>
        </ns0:is>
      </ns0:c>
      <ns0:c xmlns:ns0="http://schemas.openxmlformats.org/spreadsheetml/2006/main" r="AH417" s="16" t="inlineStr">
        <ns0:is>
          <ns0:t>±100 ppm/°C</ns0:t>
        </ns0:is>
      </ns0:c>
    </ns0:row>
    <ns0:row xmlns:ns0="http://schemas.openxmlformats.org/spreadsheetml/2006/main" r="418" ht="30" customHeight="1">
      <ns0:c r="A418" t="str" s="10">
        <ns0:v>R0424</ns0:v>
      </ns0:c>
      <ns0:c r="B418" t="str" s="10">
        <ns0:v>Резистор</ns0:v>
      </ns0:c>
      <ns0:c r="C418" t="str" s="10">
        <ns0:v>150k</ns0:v>
      </ns0:c>
      <ns0:c r="D418" t="str" s="11">
        <ns0:f>SUBSTITUTE(SUBSTITUTE(SUBSTITUTE(SUBSTITUTE(C418,"meg"," МОм"),"k"," кОм"),"R"," Ом"),".",",")</ns0:f>
        <ns0:v>150 кОм</ns0:v>
      </ns0:c>
      <ns0:c r="E418" t="str" s="10">
        <ns0:v>±1%</ns0:v>
      </ns0:c>
      <ns0:c r="F418" t="str" s="10">
        <ns0:v>0,1 Вт</ns0:v>
      </ns0:c>
      <ns0:c r="G418" t="str" s="10">
        <ns0:v>75 В макс.</ns0:v>
      </ns0:c>
      <ns0:c r="H418" t="str" s="12">
        <ns0:v>0603</ns0:v>
      </ns0:c>
      <ns0:c r="I418" t="str" s="10">
        <ns0:v>YAGEO</ns0:v>
      </ns0:c>
      <ns0:c r="J418" t="str" s="10">
        <ns0:v>RC0603FR-07150KL</ns0:v>
      </ns0:c>
      <ns0:c r="K418" t="str" s="11">
        <ns0:f>B418&amp;" "&amp;D418&amp;" "&amp;E418&amp;" "&amp;H418</ns0:f>
        <ns0:v>Резистор 150 кОм ±1% 0603</ns0:v>
      </ns0:c>
      <ns0:c r="L418" t="str" s="13">
        <ns0:v>R</ns0:v>
      </ns0:c>
      <ns0:c r="M418" t="str" s="13">
        <ns0:v>Symbols\MY_LIB_Resistors.SchLib</ns0:v>
      </ns0:c>
      <ns0:c r="N418" t="str" s="13">
        <ns0:v>RESC1608X55N</ns0:v>
      </ns0:c>
      <ns0:c r="O418" t="str" s="13">
        <ns0:v>Footprints\PBL - SMD Packages.PcbLib</ns0:v>
      </ns0:c>
      <ns0:c xmlns:ns0="http://schemas.openxmlformats.org/spreadsheetml/2006/main" r="P41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8" s="10"/>
      <ns0:c r="R418" t="str" s="11">
        <ns0:f>D418</ns0:f>
        <ns0:v>150 кОм</ns0:v>
      </ns0:c>
      <ns0:c r="S418" t="str" s="11">
        <ns0:f>K418</ns0:f>
        <ns0:v>Резистор 150 кОм ±1% 0603</ns0:v>
      </ns0:c>
      <x:c xmlns:x="http://schemas.openxmlformats.org/spreadsheetml/2006/main" r="T418" t="str" s="11">
        <x:v>C:\Users\Nomatin\Documents\Altium\MY_LIB\MY_LIB\Datasheets\YAGEO_RC_L.pdf</x:v>
      </x:c>
      <x:c xmlns:x="http://schemas.openxmlformats.org/spreadsheetml/2006/main" r="U418" t="str" s="11">
        <x:v>Даташит — локальный</x:v>
      </x:c>
      <x:c xmlns:x="http://schemas.openxmlformats.org/spreadsheetml/2006/main" r="V418" t="str" s="11">
        <x:v>C:\Users\Nomatin\Documents\Altium\MY_LIB\MY_LIB\Datasheets\YAGEO_RC_L.pdf</x:v>
      </x:c>
      <x:c xmlns:x="http://schemas.openxmlformats.org/spreadsheetml/2006/main" r="W418" t="str" s="11">
        <x:v>Даташит — производитель</x:v>
      </x:c>
      <x:c xmlns:x="http://schemas.openxmlformats.org/spreadsheetml/2006/main" r="X418" t="str" s="11">
        <x:v>https://yageogroup.com/content/datasheet/asset/file/PYU-RC_GROUP_51_ROHS_L</x:v>
      </x:c>
      <x:c xmlns:x="http://schemas.openxmlformats.org/spreadsheetml/2006/main" r="Y418" t="str" s="11">
        <x:v>C:\Users\Nomatin\Documents\Altium\MY_LIB\MY_LIB\Datasheets\YAGEO_RC_L.pdf</x:v>
      </x:c>
      <ns0:c xmlns:ns0="http://schemas.openxmlformats.org/spreadsheetml/2006/main" r="Z418" s="16" t="inlineStr">
        <ns0:is>
          <ns0:t>MY_LIB_R_TCR</ns0:t>
        </ns0:is>
      </ns0:c>
      <ns0:c xmlns:ns0="http://schemas.openxmlformats.org/spreadsheetml/2006/main" r="AA418" s="16" t="inlineStr">
        <ns0:is>
          <ns0:t>R(T), +100 ppm/C at 25 C; positive datasheet limit</ns0:t>
        </ns0:is>
      </ns0:c>
      <ns0:c xmlns:ns0="http://schemas.openxmlformats.org/spreadsheetml/2006/main" r="AB418" s="16" t="str">
        <ns0:v>General</ns0:v>
      </ns0:c>
      <ns0:c xmlns:ns0="http://schemas.openxmlformats.org/spreadsheetml/2006/main" r="AC418" s="16" t="inlineStr">
        <ns0:is>
          <ns0:t>Spice Subcircuit</ns0:t>
        </ns0:is>
      </ns0:c>
      <ns0:c xmlns:ns0="http://schemas.openxmlformats.org/spreadsheetml/2006/main" r="AD418" s="16" t="inlineStr">
        <ns0:is>
          <ns0:t>@DESIGNATOR %1 %2 @MODEL PARAMS: Rvalue=@VALUE TC1value=100u</ns0:t>
        </ns0:is>
      </ns0:c>
      <ns0:c xmlns:ns0="http://schemas.openxmlformats.org/spreadsheetml/2006/main" r="AE418" s="16" t="inlineStr">
        <ns0:is>
          <ns0:t>X</ns0:t>
        </ns0:is>
      </ns0:c>
      <ns0:c xmlns:ns0="http://schemas.openxmlformats.org/spreadsheetml/2006/main" r="AF418" s="16" t="str">
        <ns0:v>(1:1),(2:2)</ns0:v>
      </ns0:c>
      <ns0:c xmlns:ns0="http://schemas.openxmlformats.org/spreadsheetml/2006/main" r="AG418" s="16" t="inlineStr">
        <ns0:is>
          <ns0:t>Simulation\Resistors\MY_LIB_R_TCR.ckt</ns0:t>
        </ns0:is>
      </ns0:c>
      <ns0:c xmlns:ns0="http://schemas.openxmlformats.org/spreadsheetml/2006/main" r="AH418" s="16" t="inlineStr">
        <ns0:is>
          <ns0:t>±100 ppm/°C</ns0:t>
        </ns0:is>
      </ns0:c>
    </ns0:row>
    <ns0:row xmlns:ns0="http://schemas.openxmlformats.org/spreadsheetml/2006/main" r="419" ht="30" customHeight="1">
      <ns0:c r="A419" t="str" s="10">
        <ns0:v>R0425</ns0:v>
      </ns0:c>
      <ns0:c r="B419" t="str" s="10">
        <ns0:v>Резистор</ns0:v>
      </ns0:c>
      <ns0:c r="C419" t="str" s="10">
        <ns0:v>160k</ns0:v>
      </ns0:c>
      <ns0:c r="D419" t="str" s="11">
        <ns0:f>SUBSTITUTE(SUBSTITUTE(SUBSTITUTE(SUBSTITUTE(C419,"meg"," МОм"),"k"," кОм"),"R"," Ом"),".",",")</ns0:f>
        <ns0:v>160 кОм</ns0:v>
      </ns0:c>
      <ns0:c r="E419" t="str" s="10">
        <ns0:v>±1%</ns0:v>
      </ns0:c>
      <ns0:c r="F419" t="str" s="10">
        <ns0:v>0,1 Вт</ns0:v>
      </ns0:c>
      <ns0:c r="G419" t="str" s="10">
        <ns0:v>75 В макс.</ns0:v>
      </ns0:c>
      <ns0:c r="H419" t="str" s="12">
        <ns0:v>0603</ns0:v>
      </ns0:c>
      <ns0:c r="I419" t="str" s="10">
        <ns0:v>YAGEO</ns0:v>
      </ns0:c>
      <ns0:c r="J419" t="str" s="10">
        <ns0:v>RC0603FR-07160KL</ns0:v>
      </ns0:c>
      <ns0:c r="K419" t="str" s="11">
        <ns0:f>B419&amp;" "&amp;D419&amp;" "&amp;E419&amp;" "&amp;H419</ns0:f>
        <ns0:v>Резистор 160 кОм ±1% 0603</ns0:v>
      </ns0:c>
      <ns0:c r="L419" t="str" s="13">
        <ns0:v>R</ns0:v>
      </ns0:c>
      <ns0:c r="M419" t="str" s="13">
        <ns0:v>Symbols\MY_LIB_Resistors.SchLib</ns0:v>
      </ns0:c>
      <ns0:c r="N419" t="str" s="13">
        <ns0:v>RESC1608X55N</ns0:v>
      </ns0:c>
      <ns0:c r="O419" t="str" s="13">
        <ns0:v>Footprints\PBL - SMD Packages.PcbLib</ns0:v>
      </ns0:c>
      <ns0:c xmlns:ns0="http://schemas.openxmlformats.org/spreadsheetml/2006/main" r="P41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19" s="10"/>
      <ns0:c r="R419" t="str" s="11">
        <ns0:f>D419</ns0:f>
        <ns0:v>160 кОм</ns0:v>
      </ns0:c>
      <ns0:c r="S419" t="str" s="11">
        <ns0:f>K419</ns0:f>
        <ns0:v>Резистор 160 кОм ±1% 0603</ns0:v>
      </ns0:c>
      <x:c xmlns:x="http://schemas.openxmlformats.org/spreadsheetml/2006/main" r="T419" t="str" s="11">
        <x:v>C:\Users\Nomatin\Documents\Altium\MY_LIB\MY_LIB\Datasheets\YAGEO_RC_L.pdf</x:v>
      </x:c>
      <x:c xmlns:x="http://schemas.openxmlformats.org/spreadsheetml/2006/main" r="U419" t="str" s="11">
        <x:v>Даташит — локальный</x:v>
      </x:c>
      <x:c xmlns:x="http://schemas.openxmlformats.org/spreadsheetml/2006/main" r="V419" t="str" s="11">
        <x:v>C:\Users\Nomatin\Documents\Altium\MY_LIB\MY_LIB\Datasheets\YAGEO_RC_L.pdf</x:v>
      </x:c>
      <x:c xmlns:x="http://schemas.openxmlformats.org/spreadsheetml/2006/main" r="W419" t="str" s="11">
        <x:v>Даташит — производитель</x:v>
      </x:c>
      <x:c xmlns:x="http://schemas.openxmlformats.org/spreadsheetml/2006/main" r="X419" t="str" s="11">
        <x:v>https://yageogroup.com/content/datasheet/asset/file/PYU-RC_GROUP_51_ROHS_L</x:v>
      </x:c>
      <x:c xmlns:x="http://schemas.openxmlformats.org/spreadsheetml/2006/main" r="Y419" t="str" s="11">
        <x:v>C:\Users\Nomatin\Documents\Altium\MY_LIB\MY_LIB\Datasheets\YAGEO_RC_L.pdf</x:v>
      </x:c>
      <ns0:c xmlns:ns0="http://schemas.openxmlformats.org/spreadsheetml/2006/main" r="Z419" s="16" t="inlineStr">
        <ns0:is>
          <ns0:t>MY_LIB_R_TCR</ns0:t>
        </ns0:is>
      </ns0:c>
      <ns0:c xmlns:ns0="http://schemas.openxmlformats.org/spreadsheetml/2006/main" r="AA419" s="16" t="inlineStr">
        <ns0:is>
          <ns0:t>R(T), +100 ppm/C at 25 C; positive datasheet limit</ns0:t>
        </ns0:is>
      </ns0:c>
      <ns0:c xmlns:ns0="http://schemas.openxmlformats.org/spreadsheetml/2006/main" r="AB419" s="16" t="str">
        <ns0:v>General</ns0:v>
      </ns0:c>
      <ns0:c xmlns:ns0="http://schemas.openxmlformats.org/spreadsheetml/2006/main" r="AC419" s="16" t="inlineStr">
        <ns0:is>
          <ns0:t>Spice Subcircuit</ns0:t>
        </ns0:is>
      </ns0:c>
      <ns0:c xmlns:ns0="http://schemas.openxmlformats.org/spreadsheetml/2006/main" r="AD419" s="16" t="inlineStr">
        <ns0:is>
          <ns0:t>@DESIGNATOR %1 %2 @MODEL PARAMS: Rvalue=@VALUE TC1value=100u</ns0:t>
        </ns0:is>
      </ns0:c>
      <ns0:c xmlns:ns0="http://schemas.openxmlformats.org/spreadsheetml/2006/main" r="AE419" s="16" t="inlineStr">
        <ns0:is>
          <ns0:t>X</ns0:t>
        </ns0:is>
      </ns0:c>
      <ns0:c xmlns:ns0="http://schemas.openxmlformats.org/spreadsheetml/2006/main" r="AF419" s="16" t="str">
        <ns0:v>(1:1),(2:2)</ns0:v>
      </ns0:c>
      <ns0:c xmlns:ns0="http://schemas.openxmlformats.org/spreadsheetml/2006/main" r="AG419" s="16" t="inlineStr">
        <ns0:is>
          <ns0:t>Simulation\Resistors\MY_LIB_R_TCR.ckt</ns0:t>
        </ns0:is>
      </ns0:c>
      <ns0:c xmlns:ns0="http://schemas.openxmlformats.org/spreadsheetml/2006/main" r="AH419" s="16" t="inlineStr">
        <ns0:is>
          <ns0:t>±100 ppm/°C</ns0:t>
        </ns0:is>
      </ns0:c>
    </ns0:row>
    <ns0:row xmlns:ns0="http://schemas.openxmlformats.org/spreadsheetml/2006/main" r="420" ht="30" customHeight="1">
      <ns0:c r="A420" t="str" s="10">
        <ns0:v>R0426</ns0:v>
      </ns0:c>
      <ns0:c r="B420" t="str" s="10">
        <ns0:v>Резистор</ns0:v>
      </ns0:c>
      <ns0:c r="C420" t="str" s="10">
        <ns0:v>180k</ns0:v>
      </ns0:c>
      <ns0:c r="D420" t="str" s="11">
        <ns0:f>SUBSTITUTE(SUBSTITUTE(SUBSTITUTE(SUBSTITUTE(C420,"meg"," МОм"),"k"," кОм"),"R"," Ом"),".",",")</ns0:f>
        <ns0:v>180 кОм</ns0:v>
      </ns0:c>
      <ns0:c r="E420" t="str" s="10">
        <ns0:v>±1%</ns0:v>
      </ns0:c>
      <ns0:c r="F420" t="str" s="10">
        <ns0:v>0,1 Вт</ns0:v>
      </ns0:c>
      <ns0:c r="G420" t="str" s="10">
        <ns0:v>75 В макс.</ns0:v>
      </ns0:c>
      <ns0:c r="H420" t="str" s="12">
        <ns0:v>0603</ns0:v>
      </ns0:c>
      <ns0:c r="I420" t="str" s="10">
        <ns0:v>YAGEO</ns0:v>
      </ns0:c>
      <ns0:c r="J420" t="str" s="10">
        <ns0:v>RC0603FR-07180KL</ns0:v>
      </ns0:c>
      <ns0:c r="K420" t="str" s="11">
        <ns0:f>B420&amp;" "&amp;D420&amp;" "&amp;E420&amp;" "&amp;H420</ns0:f>
        <ns0:v>Резистор 180 кОм ±1% 0603</ns0:v>
      </ns0:c>
      <ns0:c r="L420" t="str" s="13">
        <ns0:v>R</ns0:v>
      </ns0:c>
      <ns0:c r="M420" t="str" s="13">
        <ns0:v>Symbols\MY_LIB_Resistors.SchLib</ns0:v>
      </ns0:c>
      <ns0:c r="N420" t="str" s="13">
        <ns0:v>RESC1608X55N</ns0:v>
      </ns0:c>
      <ns0:c r="O420" t="str" s="13">
        <ns0:v>Footprints\PBL - SMD Packages.PcbLib</ns0:v>
      </ns0:c>
      <ns0:c xmlns:ns0="http://schemas.openxmlformats.org/spreadsheetml/2006/main" r="P42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0" s="10"/>
      <ns0:c r="R420" t="str" s="11">
        <ns0:f>D420</ns0:f>
        <ns0:v>180 кОм</ns0:v>
      </ns0:c>
      <ns0:c r="S420" t="str" s="11">
        <ns0:f>K420</ns0:f>
        <ns0:v>Резистор 180 кОм ±1% 0603</ns0:v>
      </ns0:c>
      <x:c xmlns:x="http://schemas.openxmlformats.org/spreadsheetml/2006/main" r="T420" t="str" s="11">
        <x:v>C:\Users\Nomatin\Documents\Altium\MY_LIB\MY_LIB\Datasheets\YAGEO_RC_L.pdf</x:v>
      </x:c>
      <x:c xmlns:x="http://schemas.openxmlformats.org/spreadsheetml/2006/main" r="U420" t="str" s="11">
        <x:v>Даташит — локальный</x:v>
      </x:c>
      <x:c xmlns:x="http://schemas.openxmlformats.org/spreadsheetml/2006/main" r="V420" t="str" s="11">
        <x:v>C:\Users\Nomatin\Documents\Altium\MY_LIB\MY_LIB\Datasheets\YAGEO_RC_L.pdf</x:v>
      </x:c>
      <x:c xmlns:x="http://schemas.openxmlformats.org/spreadsheetml/2006/main" r="W420" t="str" s="11">
        <x:v>Даташит — производитель</x:v>
      </x:c>
      <x:c xmlns:x="http://schemas.openxmlformats.org/spreadsheetml/2006/main" r="X420" t="str" s="11">
        <x:v>https://yageogroup.com/content/datasheet/asset/file/PYU-RC_GROUP_51_ROHS_L</x:v>
      </x:c>
      <x:c xmlns:x="http://schemas.openxmlformats.org/spreadsheetml/2006/main" r="Y420" t="str" s="11">
        <x:v>C:\Users\Nomatin\Documents\Altium\MY_LIB\MY_LIB\Datasheets\YAGEO_RC_L.pdf</x:v>
      </x:c>
      <ns0:c xmlns:ns0="http://schemas.openxmlformats.org/spreadsheetml/2006/main" r="Z420" s="16" t="inlineStr">
        <ns0:is>
          <ns0:t>MY_LIB_R_TCR</ns0:t>
        </ns0:is>
      </ns0:c>
      <ns0:c xmlns:ns0="http://schemas.openxmlformats.org/spreadsheetml/2006/main" r="AA420" s="16" t="inlineStr">
        <ns0:is>
          <ns0:t>R(T), +100 ppm/C at 25 C; positive datasheet limit</ns0:t>
        </ns0:is>
      </ns0:c>
      <ns0:c xmlns:ns0="http://schemas.openxmlformats.org/spreadsheetml/2006/main" r="AB420" s="16" t="str">
        <ns0:v>General</ns0:v>
      </ns0:c>
      <ns0:c xmlns:ns0="http://schemas.openxmlformats.org/spreadsheetml/2006/main" r="AC420" s="16" t="inlineStr">
        <ns0:is>
          <ns0:t>Spice Subcircuit</ns0:t>
        </ns0:is>
      </ns0:c>
      <ns0:c xmlns:ns0="http://schemas.openxmlformats.org/spreadsheetml/2006/main" r="AD420" s="16" t="inlineStr">
        <ns0:is>
          <ns0:t>@DESIGNATOR %1 %2 @MODEL PARAMS: Rvalue=@VALUE TC1value=100u</ns0:t>
        </ns0:is>
      </ns0:c>
      <ns0:c xmlns:ns0="http://schemas.openxmlformats.org/spreadsheetml/2006/main" r="AE420" s="16" t="inlineStr">
        <ns0:is>
          <ns0:t>X</ns0:t>
        </ns0:is>
      </ns0:c>
      <ns0:c xmlns:ns0="http://schemas.openxmlformats.org/spreadsheetml/2006/main" r="AF420" s="16" t="str">
        <ns0:v>(1:1),(2:2)</ns0:v>
      </ns0:c>
      <ns0:c xmlns:ns0="http://schemas.openxmlformats.org/spreadsheetml/2006/main" r="AG420" s="16" t="inlineStr">
        <ns0:is>
          <ns0:t>Simulation\Resistors\MY_LIB_R_TCR.ckt</ns0:t>
        </ns0:is>
      </ns0:c>
      <ns0:c xmlns:ns0="http://schemas.openxmlformats.org/spreadsheetml/2006/main" r="AH420" s="16" t="inlineStr">
        <ns0:is>
          <ns0:t>±100 ppm/°C</ns0:t>
        </ns0:is>
      </ns0:c>
    </ns0:row>
    <ns0:row xmlns:ns0="http://schemas.openxmlformats.org/spreadsheetml/2006/main" r="421" ht="30" customHeight="1">
      <ns0:c r="A421" t="str" s="10">
        <ns0:v>R0427</ns0:v>
      </ns0:c>
      <ns0:c r="B421" t="str" s="10">
        <ns0:v>Резистор</ns0:v>
      </ns0:c>
      <ns0:c r="C421" t="str" s="10">
        <ns0:v>200k</ns0:v>
      </ns0:c>
      <ns0:c r="D421" t="str" s="11">
        <ns0:f>SUBSTITUTE(SUBSTITUTE(SUBSTITUTE(SUBSTITUTE(C421,"meg"," МОм"),"k"," кОм"),"R"," Ом"),".",",")</ns0:f>
        <ns0:v>200 кОм</ns0:v>
      </ns0:c>
      <ns0:c r="E421" t="str" s="10">
        <ns0:v>±1%</ns0:v>
      </ns0:c>
      <ns0:c r="F421" t="str" s="10">
        <ns0:v>0,1 Вт</ns0:v>
      </ns0:c>
      <ns0:c r="G421" t="str" s="10">
        <ns0:v>75 В макс.</ns0:v>
      </ns0:c>
      <ns0:c r="H421" t="str" s="12">
        <ns0:v>0603</ns0:v>
      </ns0:c>
      <ns0:c r="I421" t="str" s="10">
        <ns0:v>YAGEO</ns0:v>
      </ns0:c>
      <ns0:c r="J421" t="str" s="10">
        <ns0:v>RC0603FR-07200KL</ns0:v>
      </ns0:c>
      <ns0:c r="K421" t="str" s="11">
        <ns0:f>B421&amp;" "&amp;D421&amp;" "&amp;E421&amp;" "&amp;H421</ns0:f>
        <ns0:v>Резистор 200 кОм ±1% 0603</ns0:v>
      </ns0:c>
      <ns0:c r="L421" t="str" s="13">
        <ns0:v>R</ns0:v>
      </ns0:c>
      <ns0:c r="M421" t="str" s="13">
        <ns0:v>Symbols\MY_LIB_Resistors.SchLib</ns0:v>
      </ns0:c>
      <ns0:c r="N421" t="str" s="13">
        <ns0:v>RESC1608X55N</ns0:v>
      </ns0:c>
      <ns0:c r="O421" t="str" s="13">
        <ns0:v>Footprints\PBL - SMD Packages.PcbLib</ns0:v>
      </ns0:c>
      <ns0:c xmlns:ns0="http://schemas.openxmlformats.org/spreadsheetml/2006/main" r="P42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1" s="10"/>
      <ns0:c r="R421" t="str" s="11">
        <ns0:f>D421</ns0:f>
        <ns0:v>200 кОм</ns0:v>
      </ns0:c>
      <ns0:c r="S421" t="str" s="11">
        <ns0:f>K421</ns0:f>
        <ns0:v>Резистор 200 кОм ±1% 0603</ns0:v>
      </ns0:c>
      <x:c xmlns:x="http://schemas.openxmlformats.org/spreadsheetml/2006/main" r="T421" t="str" s="11">
        <x:v>C:\Users\Nomatin\Documents\Altium\MY_LIB\MY_LIB\Datasheets\YAGEO_RC_L.pdf</x:v>
      </x:c>
      <x:c xmlns:x="http://schemas.openxmlformats.org/spreadsheetml/2006/main" r="U421" t="str" s="11">
        <x:v>Даташит — локальный</x:v>
      </x:c>
      <x:c xmlns:x="http://schemas.openxmlformats.org/spreadsheetml/2006/main" r="V421" t="str" s="11">
        <x:v>C:\Users\Nomatin\Documents\Altium\MY_LIB\MY_LIB\Datasheets\YAGEO_RC_L.pdf</x:v>
      </x:c>
      <x:c xmlns:x="http://schemas.openxmlformats.org/spreadsheetml/2006/main" r="W421" t="str" s="11">
        <x:v>Даташит — производитель</x:v>
      </x:c>
      <x:c xmlns:x="http://schemas.openxmlformats.org/spreadsheetml/2006/main" r="X421" t="str" s="11">
        <x:v>https://yageogroup.com/content/datasheet/asset/file/PYU-RC_GROUP_51_ROHS_L</x:v>
      </x:c>
      <x:c xmlns:x="http://schemas.openxmlformats.org/spreadsheetml/2006/main" r="Y421" t="str" s="11">
        <x:v>C:\Users\Nomatin\Documents\Altium\MY_LIB\MY_LIB\Datasheets\YAGEO_RC_L.pdf</x:v>
      </x:c>
      <ns0:c xmlns:ns0="http://schemas.openxmlformats.org/spreadsheetml/2006/main" r="Z421" s="16" t="inlineStr">
        <ns0:is>
          <ns0:t>MY_LIB_R_TCR</ns0:t>
        </ns0:is>
      </ns0:c>
      <ns0:c xmlns:ns0="http://schemas.openxmlformats.org/spreadsheetml/2006/main" r="AA421" s="16" t="inlineStr">
        <ns0:is>
          <ns0:t>R(T), +100 ppm/C at 25 C; positive datasheet limit</ns0:t>
        </ns0:is>
      </ns0:c>
      <ns0:c xmlns:ns0="http://schemas.openxmlformats.org/spreadsheetml/2006/main" r="AB421" s="16" t="str">
        <ns0:v>General</ns0:v>
      </ns0:c>
      <ns0:c xmlns:ns0="http://schemas.openxmlformats.org/spreadsheetml/2006/main" r="AC421" s="16" t="inlineStr">
        <ns0:is>
          <ns0:t>Spice Subcircuit</ns0:t>
        </ns0:is>
      </ns0:c>
      <ns0:c xmlns:ns0="http://schemas.openxmlformats.org/spreadsheetml/2006/main" r="AD421" s="16" t="inlineStr">
        <ns0:is>
          <ns0:t>@DESIGNATOR %1 %2 @MODEL PARAMS: Rvalue=@VALUE TC1value=100u</ns0:t>
        </ns0:is>
      </ns0:c>
      <ns0:c xmlns:ns0="http://schemas.openxmlformats.org/spreadsheetml/2006/main" r="AE421" s="16" t="inlineStr">
        <ns0:is>
          <ns0:t>X</ns0:t>
        </ns0:is>
      </ns0:c>
      <ns0:c xmlns:ns0="http://schemas.openxmlformats.org/spreadsheetml/2006/main" r="AF421" s="16" t="str">
        <ns0:v>(1:1),(2:2)</ns0:v>
      </ns0:c>
      <ns0:c xmlns:ns0="http://schemas.openxmlformats.org/spreadsheetml/2006/main" r="AG421" s="16" t="inlineStr">
        <ns0:is>
          <ns0:t>Simulation\Resistors\MY_LIB_R_TCR.ckt</ns0:t>
        </ns0:is>
      </ns0:c>
      <ns0:c xmlns:ns0="http://schemas.openxmlformats.org/spreadsheetml/2006/main" r="AH421" s="16" t="inlineStr">
        <ns0:is>
          <ns0:t>±100 ppm/°C</ns0:t>
        </ns0:is>
      </ns0:c>
    </ns0:row>
    <ns0:row xmlns:ns0="http://schemas.openxmlformats.org/spreadsheetml/2006/main" r="422" ht="30" customHeight="1">
      <ns0:c r="A422" t="str" s="10">
        <ns0:v>R0428</ns0:v>
      </ns0:c>
      <ns0:c r="B422" t="str" s="10">
        <ns0:v>Резистор</ns0:v>
      </ns0:c>
      <ns0:c r="C422" t="str" s="10">
        <ns0:v>220k</ns0:v>
      </ns0:c>
      <ns0:c r="D422" t="str" s="11">
        <ns0:f>SUBSTITUTE(SUBSTITUTE(SUBSTITUTE(SUBSTITUTE(C422,"meg"," МОм"),"k"," кОм"),"R"," Ом"),".",",")</ns0:f>
        <ns0:v>220 кОм</ns0:v>
      </ns0:c>
      <ns0:c r="E422" t="str" s="10">
        <ns0:v>±1%</ns0:v>
      </ns0:c>
      <ns0:c r="F422" t="str" s="10">
        <ns0:v>0,1 Вт</ns0:v>
      </ns0:c>
      <ns0:c r="G422" t="str" s="10">
        <ns0:v>75 В макс.</ns0:v>
      </ns0:c>
      <ns0:c r="H422" t="str" s="12">
        <ns0:v>0603</ns0:v>
      </ns0:c>
      <ns0:c r="I422" t="str" s="10">
        <ns0:v>YAGEO</ns0:v>
      </ns0:c>
      <ns0:c r="J422" t="str" s="10">
        <ns0:v>RC0603FR-07220KL</ns0:v>
      </ns0:c>
      <ns0:c r="K422" t="str" s="11">
        <ns0:f>B422&amp;" "&amp;D422&amp;" "&amp;E422&amp;" "&amp;H422</ns0:f>
        <ns0:v>Резистор 220 кОм ±1% 0603</ns0:v>
      </ns0:c>
      <ns0:c r="L422" t="str" s="13">
        <ns0:v>R</ns0:v>
      </ns0:c>
      <ns0:c r="M422" t="str" s="13">
        <ns0:v>Symbols\MY_LIB_Resistors.SchLib</ns0:v>
      </ns0:c>
      <ns0:c r="N422" t="str" s="13">
        <ns0:v>RESC1608X55N</ns0:v>
      </ns0:c>
      <ns0:c r="O422" t="str" s="13">
        <ns0:v>Footprints\PBL - SMD Packages.PcbLib</ns0:v>
      </ns0:c>
      <ns0:c xmlns:ns0="http://schemas.openxmlformats.org/spreadsheetml/2006/main" r="P42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2" s="10"/>
      <ns0:c r="R422" t="str" s="11">
        <ns0:f>D422</ns0:f>
        <ns0:v>220 кОм</ns0:v>
      </ns0:c>
      <ns0:c r="S422" t="str" s="11">
        <ns0:f>K422</ns0:f>
        <ns0:v>Резистор 220 кОм ±1% 0603</ns0:v>
      </ns0:c>
      <x:c xmlns:x="http://schemas.openxmlformats.org/spreadsheetml/2006/main" r="T422" t="str" s="11">
        <x:v>C:\Users\Nomatin\Documents\Altium\MY_LIB\MY_LIB\Datasheets\YAGEO_RC_L.pdf</x:v>
      </x:c>
      <x:c xmlns:x="http://schemas.openxmlformats.org/spreadsheetml/2006/main" r="U422" t="str" s="11">
        <x:v>Даташит — локальный</x:v>
      </x:c>
      <x:c xmlns:x="http://schemas.openxmlformats.org/spreadsheetml/2006/main" r="V422" t="str" s="11">
        <x:v>C:\Users\Nomatin\Documents\Altium\MY_LIB\MY_LIB\Datasheets\YAGEO_RC_L.pdf</x:v>
      </x:c>
      <x:c xmlns:x="http://schemas.openxmlformats.org/spreadsheetml/2006/main" r="W422" t="str" s="11">
        <x:v>Даташит — производитель</x:v>
      </x:c>
      <x:c xmlns:x="http://schemas.openxmlformats.org/spreadsheetml/2006/main" r="X422" t="str" s="11">
        <x:v>https://yageogroup.com/content/datasheet/asset/file/PYU-RC_GROUP_51_ROHS_L</x:v>
      </x:c>
      <x:c xmlns:x="http://schemas.openxmlformats.org/spreadsheetml/2006/main" r="Y422" t="str" s="11">
        <x:v>C:\Users\Nomatin\Documents\Altium\MY_LIB\MY_LIB\Datasheets\YAGEO_RC_L.pdf</x:v>
      </x:c>
      <ns0:c xmlns:ns0="http://schemas.openxmlformats.org/spreadsheetml/2006/main" r="Z422" s="16" t="inlineStr">
        <ns0:is>
          <ns0:t>MY_LIB_R_TCR</ns0:t>
        </ns0:is>
      </ns0:c>
      <ns0:c xmlns:ns0="http://schemas.openxmlformats.org/spreadsheetml/2006/main" r="AA422" s="16" t="inlineStr">
        <ns0:is>
          <ns0:t>R(T), +100 ppm/C at 25 C; positive datasheet limit</ns0:t>
        </ns0:is>
      </ns0:c>
      <ns0:c xmlns:ns0="http://schemas.openxmlformats.org/spreadsheetml/2006/main" r="AB422" s="16" t="str">
        <ns0:v>General</ns0:v>
      </ns0:c>
      <ns0:c xmlns:ns0="http://schemas.openxmlformats.org/spreadsheetml/2006/main" r="AC422" s="16" t="inlineStr">
        <ns0:is>
          <ns0:t>Spice Subcircuit</ns0:t>
        </ns0:is>
      </ns0:c>
      <ns0:c xmlns:ns0="http://schemas.openxmlformats.org/spreadsheetml/2006/main" r="AD422" s="16" t="inlineStr">
        <ns0:is>
          <ns0:t>@DESIGNATOR %1 %2 @MODEL PARAMS: Rvalue=@VALUE TC1value=100u</ns0:t>
        </ns0:is>
      </ns0:c>
      <ns0:c xmlns:ns0="http://schemas.openxmlformats.org/spreadsheetml/2006/main" r="AE422" s="16" t="inlineStr">
        <ns0:is>
          <ns0:t>X</ns0:t>
        </ns0:is>
      </ns0:c>
      <ns0:c xmlns:ns0="http://schemas.openxmlformats.org/spreadsheetml/2006/main" r="AF422" s="16" t="str">
        <ns0:v>(1:1),(2:2)</ns0:v>
      </ns0:c>
      <ns0:c xmlns:ns0="http://schemas.openxmlformats.org/spreadsheetml/2006/main" r="AG422" s="16" t="inlineStr">
        <ns0:is>
          <ns0:t>Simulation\Resistors\MY_LIB_R_TCR.ckt</ns0:t>
        </ns0:is>
      </ns0:c>
      <ns0:c xmlns:ns0="http://schemas.openxmlformats.org/spreadsheetml/2006/main" r="AH422" s="16" t="inlineStr">
        <ns0:is>
          <ns0:t>±100 ppm/°C</ns0:t>
        </ns0:is>
      </ns0:c>
    </ns0:row>
    <ns0:row xmlns:ns0="http://schemas.openxmlformats.org/spreadsheetml/2006/main" r="423" ht="30" customHeight="1">
      <ns0:c r="A423" t="str" s="10">
        <ns0:v>R0429</ns0:v>
      </ns0:c>
      <ns0:c r="B423" t="str" s="10">
        <ns0:v>Резистор</ns0:v>
      </ns0:c>
      <ns0:c r="C423" t="str" s="10">
        <ns0:v>240k</ns0:v>
      </ns0:c>
      <ns0:c r="D423" t="str" s="11">
        <ns0:f>SUBSTITUTE(SUBSTITUTE(SUBSTITUTE(SUBSTITUTE(C423,"meg"," МОм"),"k"," кОм"),"R"," Ом"),".",",")</ns0:f>
        <ns0:v>240 кОм</ns0:v>
      </ns0:c>
      <ns0:c r="E423" t="str" s="10">
        <ns0:v>±1%</ns0:v>
      </ns0:c>
      <ns0:c r="F423" t="str" s="10">
        <ns0:v>0,1 Вт</ns0:v>
      </ns0:c>
      <ns0:c r="G423" t="str" s="10">
        <ns0:v>75 В макс.</ns0:v>
      </ns0:c>
      <ns0:c r="H423" t="str" s="12">
        <ns0:v>0603</ns0:v>
      </ns0:c>
      <ns0:c r="I423" t="str" s="10">
        <ns0:v>YAGEO</ns0:v>
      </ns0:c>
      <ns0:c r="J423" t="str" s="10">
        <ns0:v>RC0603FR-07240KL</ns0:v>
      </ns0:c>
      <ns0:c r="K423" t="str" s="11">
        <ns0:f>B423&amp;" "&amp;D423&amp;" "&amp;E423&amp;" "&amp;H423</ns0:f>
        <ns0:v>Резистор 240 кОм ±1% 0603</ns0:v>
      </ns0:c>
      <ns0:c r="L423" t="str" s="13">
        <ns0:v>R</ns0:v>
      </ns0:c>
      <ns0:c r="M423" t="str" s="13">
        <ns0:v>Symbols\MY_LIB_Resistors.SchLib</ns0:v>
      </ns0:c>
      <ns0:c r="N423" t="str" s="13">
        <ns0:v>RESC1608X55N</ns0:v>
      </ns0:c>
      <ns0:c r="O423" t="str" s="13">
        <ns0:v>Footprints\PBL - SMD Packages.PcbLib</ns0:v>
      </ns0:c>
      <ns0:c xmlns:ns0="http://schemas.openxmlformats.org/spreadsheetml/2006/main" r="P42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3" s="10"/>
      <ns0:c r="R423" t="str" s="11">
        <ns0:f>D423</ns0:f>
        <ns0:v>240 кОм</ns0:v>
      </ns0:c>
      <ns0:c r="S423" t="str" s="11">
        <ns0:f>K423</ns0:f>
        <ns0:v>Резистор 240 кОм ±1% 0603</ns0:v>
      </ns0:c>
      <x:c xmlns:x="http://schemas.openxmlformats.org/spreadsheetml/2006/main" r="T423" t="str" s="11">
        <x:v>C:\Users\Nomatin\Documents\Altium\MY_LIB\MY_LIB\Datasheets\YAGEO_RC_L.pdf</x:v>
      </x:c>
      <x:c xmlns:x="http://schemas.openxmlformats.org/spreadsheetml/2006/main" r="U423" t="str" s="11">
        <x:v>Даташит — локальный</x:v>
      </x:c>
      <x:c xmlns:x="http://schemas.openxmlformats.org/spreadsheetml/2006/main" r="V423" t="str" s="11">
        <x:v>C:\Users\Nomatin\Documents\Altium\MY_LIB\MY_LIB\Datasheets\YAGEO_RC_L.pdf</x:v>
      </x:c>
      <x:c xmlns:x="http://schemas.openxmlformats.org/spreadsheetml/2006/main" r="W423" t="str" s="11">
        <x:v>Даташит — производитель</x:v>
      </x:c>
      <x:c xmlns:x="http://schemas.openxmlformats.org/spreadsheetml/2006/main" r="X423" t="str" s="11">
        <x:v>https://yageogroup.com/content/datasheet/asset/file/PYU-RC_GROUP_51_ROHS_L</x:v>
      </x:c>
      <x:c xmlns:x="http://schemas.openxmlformats.org/spreadsheetml/2006/main" r="Y423" t="str" s="11">
        <x:v>C:\Users\Nomatin\Documents\Altium\MY_LIB\MY_LIB\Datasheets\YAGEO_RC_L.pdf</x:v>
      </x:c>
      <ns0:c xmlns:ns0="http://schemas.openxmlformats.org/spreadsheetml/2006/main" r="Z423" s="16" t="inlineStr">
        <ns0:is>
          <ns0:t>MY_LIB_R_TCR</ns0:t>
        </ns0:is>
      </ns0:c>
      <ns0:c xmlns:ns0="http://schemas.openxmlformats.org/spreadsheetml/2006/main" r="AA423" s="16" t="inlineStr">
        <ns0:is>
          <ns0:t>R(T), +100 ppm/C at 25 C; positive datasheet limit</ns0:t>
        </ns0:is>
      </ns0:c>
      <ns0:c xmlns:ns0="http://schemas.openxmlformats.org/spreadsheetml/2006/main" r="AB423" s="16" t="str">
        <ns0:v>General</ns0:v>
      </ns0:c>
      <ns0:c xmlns:ns0="http://schemas.openxmlformats.org/spreadsheetml/2006/main" r="AC423" s="16" t="inlineStr">
        <ns0:is>
          <ns0:t>Spice Subcircuit</ns0:t>
        </ns0:is>
      </ns0:c>
      <ns0:c xmlns:ns0="http://schemas.openxmlformats.org/spreadsheetml/2006/main" r="AD423" s="16" t="inlineStr">
        <ns0:is>
          <ns0:t>@DESIGNATOR %1 %2 @MODEL PARAMS: Rvalue=@VALUE TC1value=100u</ns0:t>
        </ns0:is>
      </ns0:c>
      <ns0:c xmlns:ns0="http://schemas.openxmlformats.org/spreadsheetml/2006/main" r="AE423" s="16" t="inlineStr">
        <ns0:is>
          <ns0:t>X</ns0:t>
        </ns0:is>
      </ns0:c>
      <ns0:c xmlns:ns0="http://schemas.openxmlformats.org/spreadsheetml/2006/main" r="AF423" s="16" t="str">
        <ns0:v>(1:1),(2:2)</ns0:v>
      </ns0:c>
      <ns0:c xmlns:ns0="http://schemas.openxmlformats.org/spreadsheetml/2006/main" r="AG423" s="16" t="inlineStr">
        <ns0:is>
          <ns0:t>Simulation\Resistors\MY_LIB_R_TCR.ckt</ns0:t>
        </ns0:is>
      </ns0:c>
      <ns0:c xmlns:ns0="http://schemas.openxmlformats.org/spreadsheetml/2006/main" r="AH423" s="16" t="inlineStr">
        <ns0:is>
          <ns0:t>±100 ppm/°C</ns0:t>
        </ns0:is>
      </ns0:c>
    </ns0:row>
    <ns0:row xmlns:ns0="http://schemas.openxmlformats.org/spreadsheetml/2006/main" r="424" ht="30" customHeight="1">
      <ns0:c r="A424" t="str" s="10">
        <ns0:v>R0430</ns0:v>
      </ns0:c>
      <ns0:c r="B424" t="str" s="10">
        <ns0:v>Резистор</ns0:v>
      </ns0:c>
      <ns0:c r="C424" t="str" s="10">
        <ns0:v>270k</ns0:v>
      </ns0:c>
      <ns0:c r="D424" t="str" s="11">
        <ns0:f>SUBSTITUTE(SUBSTITUTE(SUBSTITUTE(SUBSTITUTE(C424,"meg"," МОм"),"k"," кОм"),"R"," Ом"),".",",")</ns0:f>
        <ns0:v>270 кОм</ns0:v>
      </ns0:c>
      <ns0:c r="E424" t="str" s="10">
        <ns0:v>±1%</ns0:v>
      </ns0:c>
      <ns0:c r="F424" t="str" s="10">
        <ns0:v>0,1 Вт</ns0:v>
      </ns0:c>
      <ns0:c r="G424" t="str" s="10">
        <ns0:v>75 В макс.</ns0:v>
      </ns0:c>
      <ns0:c r="H424" t="str" s="12">
        <ns0:v>0603</ns0:v>
      </ns0:c>
      <ns0:c r="I424" t="str" s="10">
        <ns0:v>YAGEO</ns0:v>
      </ns0:c>
      <ns0:c r="J424" t="str" s="10">
        <ns0:v>RC0603FR-07270KL</ns0:v>
      </ns0:c>
      <ns0:c r="K424" t="str" s="11">
        <ns0:f>B424&amp;" "&amp;D424&amp;" "&amp;E424&amp;" "&amp;H424</ns0:f>
        <ns0:v>Резистор 270 кОм ±1% 0603</ns0:v>
      </ns0:c>
      <ns0:c r="L424" t="str" s="13">
        <ns0:v>R</ns0:v>
      </ns0:c>
      <ns0:c r="M424" t="str" s="13">
        <ns0:v>Symbols\MY_LIB_Resistors.SchLib</ns0:v>
      </ns0:c>
      <ns0:c r="N424" t="str" s="13">
        <ns0:v>RESC1608X55N</ns0:v>
      </ns0:c>
      <ns0:c r="O424" t="str" s="13">
        <ns0:v>Footprints\PBL - SMD Packages.PcbLib</ns0:v>
      </ns0:c>
      <ns0:c xmlns:ns0="http://schemas.openxmlformats.org/spreadsheetml/2006/main" r="P42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4" s="10"/>
      <ns0:c r="R424" t="str" s="11">
        <ns0:f>D424</ns0:f>
        <ns0:v>270 кОм</ns0:v>
      </ns0:c>
      <ns0:c r="S424" t="str" s="11">
        <ns0:f>K424</ns0:f>
        <ns0:v>Резистор 270 кОм ±1% 0603</ns0:v>
      </ns0:c>
      <x:c xmlns:x="http://schemas.openxmlformats.org/spreadsheetml/2006/main" r="T424" t="str" s="11">
        <x:v>C:\Users\Nomatin\Documents\Altium\MY_LIB\MY_LIB\Datasheets\YAGEO_RC_L.pdf</x:v>
      </x:c>
      <x:c xmlns:x="http://schemas.openxmlformats.org/spreadsheetml/2006/main" r="U424" t="str" s="11">
        <x:v>Даташит — локальный</x:v>
      </x:c>
      <x:c xmlns:x="http://schemas.openxmlformats.org/spreadsheetml/2006/main" r="V424" t="str" s="11">
        <x:v>C:\Users\Nomatin\Documents\Altium\MY_LIB\MY_LIB\Datasheets\YAGEO_RC_L.pdf</x:v>
      </x:c>
      <x:c xmlns:x="http://schemas.openxmlformats.org/spreadsheetml/2006/main" r="W424" t="str" s="11">
        <x:v>Даташит — производитель</x:v>
      </x:c>
      <x:c xmlns:x="http://schemas.openxmlformats.org/spreadsheetml/2006/main" r="X424" t="str" s="11">
        <x:v>https://yageogroup.com/content/datasheet/asset/file/PYU-RC_GROUP_51_ROHS_L</x:v>
      </x:c>
      <x:c xmlns:x="http://schemas.openxmlformats.org/spreadsheetml/2006/main" r="Y424" t="str" s="11">
        <x:v>C:\Users\Nomatin\Documents\Altium\MY_LIB\MY_LIB\Datasheets\YAGEO_RC_L.pdf</x:v>
      </x:c>
      <ns0:c xmlns:ns0="http://schemas.openxmlformats.org/spreadsheetml/2006/main" r="Z424" s="16" t="inlineStr">
        <ns0:is>
          <ns0:t>MY_LIB_R_TCR</ns0:t>
        </ns0:is>
      </ns0:c>
      <ns0:c xmlns:ns0="http://schemas.openxmlformats.org/spreadsheetml/2006/main" r="AA424" s="16" t="inlineStr">
        <ns0:is>
          <ns0:t>R(T), +100 ppm/C at 25 C; positive datasheet limit</ns0:t>
        </ns0:is>
      </ns0:c>
      <ns0:c xmlns:ns0="http://schemas.openxmlformats.org/spreadsheetml/2006/main" r="AB424" s="16" t="str">
        <ns0:v>General</ns0:v>
      </ns0:c>
      <ns0:c xmlns:ns0="http://schemas.openxmlformats.org/spreadsheetml/2006/main" r="AC424" s="16" t="inlineStr">
        <ns0:is>
          <ns0:t>Spice Subcircuit</ns0:t>
        </ns0:is>
      </ns0:c>
      <ns0:c xmlns:ns0="http://schemas.openxmlformats.org/spreadsheetml/2006/main" r="AD424" s="16" t="inlineStr">
        <ns0:is>
          <ns0:t>@DESIGNATOR %1 %2 @MODEL PARAMS: Rvalue=@VALUE TC1value=100u</ns0:t>
        </ns0:is>
      </ns0:c>
      <ns0:c xmlns:ns0="http://schemas.openxmlformats.org/spreadsheetml/2006/main" r="AE424" s="16" t="inlineStr">
        <ns0:is>
          <ns0:t>X</ns0:t>
        </ns0:is>
      </ns0:c>
      <ns0:c xmlns:ns0="http://schemas.openxmlformats.org/spreadsheetml/2006/main" r="AF424" s="16" t="str">
        <ns0:v>(1:1),(2:2)</ns0:v>
      </ns0:c>
      <ns0:c xmlns:ns0="http://schemas.openxmlformats.org/spreadsheetml/2006/main" r="AG424" s="16" t="inlineStr">
        <ns0:is>
          <ns0:t>Simulation\Resistors\MY_LIB_R_TCR.ckt</ns0:t>
        </ns0:is>
      </ns0:c>
      <ns0:c xmlns:ns0="http://schemas.openxmlformats.org/spreadsheetml/2006/main" r="AH424" s="16" t="inlineStr">
        <ns0:is>
          <ns0:t>±100 ppm/°C</ns0:t>
        </ns0:is>
      </ns0:c>
    </ns0:row>
    <ns0:row xmlns:ns0="http://schemas.openxmlformats.org/spreadsheetml/2006/main" r="425" ht="30" customHeight="1">
      <ns0:c r="A425" t="str" s="10">
        <ns0:v>R0431</ns0:v>
      </ns0:c>
      <ns0:c r="B425" t="str" s="10">
        <ns0:v>Резистор</ns0:v>
      </ns0:c>
      <ns0:c r="C425" t="str" s="10">
        <ns0:v>300k</ns0:v>
      </ns0:c>
      <ns0:c r="D425" t="str" s="11">
        <ns0:f>SUBSTITUTE(SUBSTITUTE(SUBSTITUTE(SUBSTITUTE(C425,"meg"," МОм"),"k"," кОм"),"R"," Ом"),".",",")</ns0:f>
        <ns0:v>300 кОм</ns0:v>
      </ns0:c>
      <ns0:c r="E425" t="str" s="10">
        <ns0:v>±1%</ns0:v>
      </ns0:c>
      <ns0:c r="F425" t="str" s="10">
        <ns0:v>0,1 Вт</ns0:v>
      </ns0:c>
      <ns0:c r="G425" t="str" s="10">
        <ns0:v>75 В макс.</ns0:v>
      </ns0:c>
      <ns0:c r="H425" t="str" s="12">
        <ns0:v>0603</ns0:v>
      </ns0:c>
      <ns0:c r="I425" t="str" s="10">
        <ns0:v>YAGEO</ns0:v>
      </ns0:c>
      <ns0:c r="J425" t="str" s="10">
        <ns0:v>RC0603FR-07300KL</ns0:v>
      </ns0:c>
      <ns0:c r="K425" t="str" s="11">
        <ns0:f>B425&amp;" "&amp;D425&amp;" "&amp;E425&amp;" "&amp;H425</ns0:f>
        <ns0:v>Резистор 300 кОм ±1% 0603</ns0:v>
      </ns0:c>
      <ns0:c r="L425" t="str" s="13">
        <ns0:v>R</ns0:v>
      </ns0:c>
      <ns0:c r="M425" t="str" s="13">
        <ns0:v>Symbols\MY_LIB_Resistors.SchLib</ns0:v>
      </ns0:c>
      <ns0:c r="N425" t="str" s="13">
        <ns0:v>RESC1608X55N</ns0:v>
      </ns0:c>
      <ns0:c r="O425" t="str" s="13">
        <ns0:v>Footprints\PBL - SMD Packages.PcbLib</ns0:v>
      </ns0:c>
      <ns0:c xmlns:ns0="http://schemas.openxmlformats.org/spreadsheetml/2006/main" r="P42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5" s="10"/>
      <ns0:c r="R425" t="str" s="11">
        <ns0:f>D425</ns0:f>
        <ns0:v>300 кОм</ns0:v>
      </ns0:c>
      <ns0:c r="S425" t="str" s="11">
        <ns0:f>K425</ns0:f>
        <ns0:v>Резистор 300 кОм ±1% 0603</ns0:v>
      </ns0:c>
      <x:c xmlns:x="http://schemas.openxmlformats.org/spreadsheetml/2006/main" r="T425" t="str" s="11">
        <x:v>C:\Users\Nomatin\Documents\Altium\MY_LIB\MY_LIB\Datasheets\YAGEO_RC_L.pdf</x:v>
      </x:c>
      <x:c xmlns:x="http://schemas.openxmlformats.org/spreadsheetml/2006/main" r="U425" t="str" s="11">
        <x:v>Даташит — локальный</x:v>
      </x:c>
      <x:c xmlns:x="http://schemas.openxmlformats.org/spreadsheetml/2006/main" r="V425" t="str" s="11">
        <x:v>C:\Users\Nomatin\Documents\Altium\MY_LIB\MY_LIB\Datasheets\YAGEO_RC_L.pdf</x:v>
      </x:c>
      <x:c xmlns:x="http://schemas.openxmlformats.org/spreadsheetml/2006/main" r="W425" t="str" s="11">
        <x:v>Даташит — производитель</x:v>
      </x:c>
      <x:c xmlns:x="http://schemas.openxmlformats.org/spreadsheetml/2006/main" r="X425" t="str" s="11">
        <x:v>https://yageogroup.com/content/datasheet/asset/file/PYU-RC_GROUP_51_ROHS_L</x:v>
      </x:c>
      <x:c xmlns:x="http://schemas.openxmlformats.org/spreadsheetml/2006/main" r="Y425" t="str" s="11">
        <x:v>C:\Users\Nomatin\Documents\Altium\MY_LIB\MY_LIB\Datasheets\YAGEO_RC_L.pdf</x:v>
      </x:c>
      <ns0:c xmlns:ns0="http://schemas.openxmlformats.org/spreadsheetml/2006/main" r="Z425" s="16" t="inlineStr">
        <ns0:is>
          <ns0:t>MY_LIB_R_TCR</ns0:t>
        </ns0:is>
      </ns0:c>
      <ns0:c xmlns:ns0="http://schemas.openxmlformats.org/spreadsheetml/2006/main" r="AA425" s="16" t="inlineStr">
        <ns0:is>
          <ns0:t>R(T), +100 ppm/C at 25 C; positive datasheet limit</ns0:t>
        </ns0:is>
      </ns0:c>
      <ns0:c xmlns:ns0="http://schemas.openxmlformats.org/spreadsheetml/2006/main" r="AB425" s="16" t="str">
        <ns0:v>General</ns0:v>
      </ns0:c>
      <ns0:c xmlns:ns0="http://schemas.openxmlformats.org/spreadsheetml/2006/main" r="AC425" s="16" t="inlineStr">
        <ns0:is>
          <ns0:t>Spice Subcircuit</ns0:t>
        </ns0:is>
      </ns0:c>
      <ns0:c xmlns:ns0="http://schemas.openxmlformats.org/spreadsheetml/2006/main" r="AD425" s="16" t="inlineStr">
        <ns0:is>
          <ns0:t>@DESIGNATOR %1 %2 @MODEL PARAMS: Rvalue=@VALUE TC1value=100u</ns0:t>
        </ns0:is>
      </ns0:c>
      <ns0:c xmlns:ns0="http://schemas.openxmlformats.org/spreadsheetml/2006/main" r="AE425" s="16" t="inlineStr">
        <ns0:is>
          <ns0:t>X</ns0:t>
        </ns0:is>
      </ns0:c>
      <ns0:c xmlns:ns0="http://schemas.openxmlformats.org/spreadsheetml/2006/main" r="AF425" s="16" t="str">
        <ns0:v>(1:1),(2:2)</ns0:v>
      </ns0:c>
      <ns0:c xmlns:ns0="http://schemas.openxmlformats.org/spreadsheetml/2006/main" r="AG425" s="16" t="inlineStr">
        <ns0:is>
          <ns0:t>Simulation\Resistors\MY_LIB_R_TCR.ckt</ns0:t>
        </ns0:is>
      </ns0:c>
      <ns0:c xmlns:ns0="http://schemas.openxmlformats.org/spreadsheetml/2006/main" r="AH425" s="16" t="inlineStr">
        <ns0:is>
          <ns0:t>±100 ppm/°C</ns0:t>
        </ns0:is>
      </ns0:c>
    </ns0:row>
    <ns0:row xmlns:ns0="http://schemas.openxmlformats.org/spreadsheetml/2006/main" r="426" ht="30" customHeight="1">
      <ns0:c r="A426" t="str" s="10">
        <ns0:v>R0432</ns0:v>
      </ns0:c>
      <ns0:c r="B426" t="str" s="10">
        <ns0:v>Резистор</ns0:v>
      </ns0:c>
      <ns0:c r="C426" t="str" s="10">
        <ns0:v>330k</ns0:v>
      </ns0:c>
      <ns0:c r="D426" t="str" s="11">
        <ns0:f>SUBSTITUTE(SUBSTITUTE(SUBSTITUTE(SUBSTITUTE(C426,"meg"," МОм"),"k"," кОм"),"R"," Ом"),".",",")</ns0:f>
        <ns0:v>330 кОм</ns0:v>
      </ns0:c>
      <ns0:c r="E426" t="str" s="10">
        <ns0:v>±1%</ns0:v>
      </ns0:c>
      <ns0:c r="F426" t="str" s="10">
        <ns0:v>0,1 Вт</ns0:v>
      </ns0:c>
      <ns0:c r="G426" t="str" s="10">
        <ns0:v>75 В макс.</ns0:v>
      </ns0:c>
      <ns0:c r="H426" t="str" s="12">
        <ns0:v>0603</ns0:v>
      </ns0:c>
      <ns0:c r="I426" t="str" s="10">
        <ns0:v>YAGEO</ns0:v>
      </ns0:c>
      <ns0:c r="J426" t="str" s="10">
        <ns0:v>RC0603FR-07330KL</ns0:v>
      </ns0:c>
      <ns0:c r="K426" t="str" s="11">
        <ns0:f>B426&amp;" "&amp;D426&amp;" "&amp;E426&amp;" "&amp;H426</ns0:f>
        <ns0:v>Резистор 330 кОм ±1% 0603</ns0:v>
      </ns0:c>
      <ns0:c r="L426" t="str" s="13">
        <ns0:v>R</ns0:v>
      </ns0:c>
      <ns0:c r="M426" t="str" s="13">
        <ns0:v>Symbols\MY_LIB_Resistors.SchLib</ns0:v>
      </ns0:c>
      <ns0:c r="N426" t="str" s="13">
        <ns0:v>RESC1608X55N</ns0:v>
      </ns0:c>
      <ns0:c r="O426" t="str" s="13">
        <ns0:v>Footprints\PBL - SMD Packages.PcbLib</ns0:v>
      </ns0:c>
      <ns0:c xmlns:ns0="http://schemas.openxmlformats.org/spreadsheetml/2006/main" r="P42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6" s="10"/>
      <ns0:c r="R426" t="str" s="11">
        <ns0:f>D426</ns0:f>
        <ns0:v>330 кОм</ns0:v>
      </ns0:c>
      <ns0:c r="S426" t="str" s="11">
        <ns0:f>K426</ns0:f>
        <ns0:v>Резистор 330 кОм ±1% 0603</ns0:v>
      </ns0:c>
      <x:c xmlns:x="http://schemas.openxmlformats.org/spreadsheetml/2006/main" r="T426" t="str" s="11">
        <x:v>C:\Users\Nomatin\Documents\Altium\MY_LIB\MY_LIB\Datasheets\YAGEO_RC_L.pdf</x:v>
      </x:c>
      <x:c xmlns:x="http://schemas.openxmlformats.org/spreadsheetml/2006/main" r="U426" t="str" s="11">
        <x:v>Даташит — локальный</x:v>
      </x:c>
      <x:c xmlns:x="http://schemas.openxmlformats.org/spreadsheetml/2006/main" r="V426" t="str" s="11">
        <x:v>C:\Users\Nomatin\Documents\Altium\MY_LIB\MY_LIB\Datasheets\YAGEO_RC_L.pdf</x:v>
      </x:c>
      <x:c xmlns:x="http://schemas.openxmlformats.org/spreadsheetml/2006/main" r="W426" t="str" s="11">
        <x:v>Даташит — производитель</x:v>
      </x:c>
      <x:c xmlns:x="http://schemas.openxmlformats.org/spreadsheetml/2006/main" r="X426" t="str" s="11">
        <x:v>https://yageogroup.com/content/datasheet/asset/file/PYU-RC_GROUP_51_ROHS_L</x:v>
      </x:c>
      <x:c xmlns:x="http://schemas.openxmlformats.org/spreadsheetml/2006/main" r="Y426" t="str" s="11">
        <x:v>C:\Users\Nomatin\Documents\Altium\MY_LIB\MY_LIB\Datasheets\YAGEO_RC_L.pdf</x:v>
      </x:c>
      <ns0:c xmlns:ns0="http://schemas.openxmlformats.org/spreadsheetml/2006/main" r="Z426" s="16" t="inlineStr">
        <ns0:is>
          <ns0:t>MY_LIB_R_TCR</ns0:t>
        </ns0:is>
      </ns0:c>
      <ns0:c xmlns:ns0="http://schemas.openxmlformats.org/spreadsheetml/2006/main" r="AA426" s="16" t="inlineStr">
        <ns0:is>
          <ns0:t>R(T), +100 ppm/C at 25 C; positive datasheet limit</ns0:t>
        </ns0:is>
      </ns0:c>
      <ns0:c xmlns:ns0="http://schemas.openxmlformats.org/spreadsheetml/2006/main" r="AB426" s="16" t="str">
        <ns0:v>General</ns0:v>
      </ns0:c>
      <ns0:c xmlns:ns0="http://schemas.openxmlformats.org/spreadsheetml/2006/main" r="AC426" s="16" t="inlineStr">
        <ns0:is>
          <ns0:t>Spice Subcircuit</ns0:t>
        </ns0:is>
      </ns0:c>
      <ns0:c xmlns:ns0="http://schemas.openxmlformats.org/spreadsheetml/2006/main" r="AD426" s="16" t="inlineStr">
        <ns0:is>
          <ns0:t>@DESIGNATOR %1 %2 @MODEL PARAMS: Rvalue=@VALUE TC1value=100u</ns0:t>
        </ns0:is>
      </ns0:c>
      <ns0:c xmlns:ns0="http://schemas.openxmlformats.org/spreadsheetml/2006/main" r="AE426" s="16" t="inlineStr">
        <ns0:is>
          <ns0:t>X</ns0:t>
        </ns0:is>
      </ns0:c>
      <ns0:c xmlns:ns0="http://schemas.openxmlformats.org/spreadsheetml/2006/main" r="AF426" s="16" t="str">
        <ns0:v>(1:1),(2:2)</ns0:v>
      </ns0:c>
      <ns0:c xmlns:ns0="http://schemas.openxmlformats.org/spreadsheetml/2006/main" r="AG426" s="16" t="inlineStr">
        <ns0:is>
          <ns0:t>Simulation\Resistors\MY_LIB_R_TCR.ckt</ns0:t>
        </ns0:is>
      </ns0:c>
      <ns0:c xmlns:ns0="http://schemas.openxmlformats.org/spreadsheetml/2006/main" r="AH426" s="16" t="inlineStr">
        <ns0:is>
          <ns0:t>±100 ppm/°C</ns0:t>
        </ns0:is>
      </ns0:c>
    </ns0:row>
    <ns0:row xmlns:ns0="http://schemas.openxmlformats.org/spreadsheetml/2006/main" r="427" ht="30" customHeight="1">
      <ns0:c r="A427" t="str" s="10">
        <ns0:v>R0433</ns0:v>
      </ns0:c>
      <ns0:c r="B427" t="str" s="10">
        <ns0:v>Резистор</ns0:v>
      </ns0:c>
      <ns0:c r="C427" t="str" s="10">
        <ns0:v>360k</ns0:v>
      </ns0:c>
      <ns0:c r="D427" t="str" s="11">
        <ns0:f>SUBSTITUTE(SUBSTITUTE(SUBSTITUTE(SUBSTITUTE(C427,"meg"," МОм"),"k"," кОм"),"R"," Ом"),".",",")</ns0:f>
        <ns0:v>360 кОм</ns0:v>
      </ns0:c>
      <ns0:c r="E427" t="str" s="10">
        <ns0:v>±1%</ns0:v>
      </ns0:c>
      <ns0:c r="F427" t="str" s="10">
        <ns0:v>0,1 Вт</ns0:v>
      </ns0:c>
      <ns0:c r="G427" t="str" s="10">
        <ns0:v>75 В макс.</ns0:v>
      </ns0:c>
      <ns0:c r="H427" t="str" s="12">
        <ns0:v>0603</ns0:v>
      </ns0:c>
      <ns0:c r="I427" t="str" s="10">
        <ns0:v>YAGEO</ns0:v>
      </ns0:c>
      <ns0:c r="J427" t="str" s="10">
        <ns0:v>RC0603FR-07360KL</ns0:v>
      </ns0:c>
      <ns0:c r="K427" t="str" s="11">
        <ns0:f>B427&amp;" "&amp;D427&amp;" "&amp;E427&amp;" "&amp;H427</ns0:f>
        <ns0:v>Резистор 360 кОм ±1% 0603</ns0:v>
      </ns0:c>
      <ns0:c r="L427" t="str" s="13">
        <ns0:v>R</ns0:v>
      </ns0:c>
      <ns0:c r="M427" t="str" s="13">
        <ns0:v>Symbols\MY_LIB_Resistors.SchLib</ns0:v>
      </ns0:c>
      <ns0:c r="N427" t="str" s="13">
        <ns0:v>RESC1608X55N</ns0:v>
      </ns0:c>
      <ns0:c r="O427" t="str" s="13">
        <ns0:v>Footprints\PBL - SMD Packages.PcbLib</ns0:v>
      </ns0:c>
      <ns0:c xmlns:ns0="http://schemas.openxmlformats.org/spreadsheetml/2006/main" r="P42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7" s="10"/>
      <ns0:c r="R427" t="str" s="11">
        <ns0:f>D427</ns0:f>
        <ns0:v>360 кОм</ns0:v>
      </ns0:c>
      <ns0:c r="S427" t="str" s="11">
        <ns0:f>K427</ns0:f>
        <ns0:v>Резистор 360 кОм ±1% 0603</ns0:v>
      </ns0:c>
      <x:c xmlns:x="http://schemas.openxmlformats.org/spreadsheetml/2006/main" r="T427" t="str" s="11">
        <x:v>C:\Users\Nomatin\Documents\Altium\MY_LIB\MY_LIB\Datasheets\YAGEO_RC_L.pdf</x:v>
      </x:c>
      <x:c xmlns:x="http://schemas.openxmlformats.org/spreadsheetml/2006/main" r="U427" t="str" s="11">
        <x:v>Даташит — локальный</x:v>
      </x:c>
      <x:c xmlns:x="http://schemas.openxmlformats.org/spreadsheetml/2006/main" r="V427" t="str" s="11">
        <x:v>C:\Users\Nomatin\Documents\Altium\MY_LIB\MY_LIB\Datasheets\YAGEO_RC_L.pdf</x:v>
      </x:c>
      <x:c xmlns:x="http://schemas.openxmlformats.org/spreadsheetml/2006/main" r="W427" t="str" s="11">
        <x:v>Даташит — производитель</x:v>
      </x:c>
      <x:c xmlns:x="http://schemas.openxmlformats.org/spreadsheetml/2006/main" r="X427" t="str" s="11">
        <x:v>https://yageogroup.com/content/datasheet/asset/file/PYU-RC_GROUP_51_ROHS_L</x:v>
      </x:c>
      <x:c xmlns:x="http://schemas.openxmlformats.org/spreadsheetml/2006/main" r="Y427" t="str" s="11">
        <x:v>C:\Users\Nomatin\Documents\Altium\MY_LIB\MY_LIB\Datasheets\YAGEO_RC_L.pdf</x:v>
      </x:c>
      <ns0:c xmlns:ns0="http://schemas.openxmlformats.org/spreadsheetml/2006/main" r="Z427" s="16" t="inlineStr">
        <ns0:is>
          <ns0:t>MY_LIB_R_TCR</ns0:t>
        </ns0:is>
      </ns0:c>
      <ns0:c xmlns:ns0="http://schemas.openxmlformats.org/spreadsheetml/2006/main" r="AA427" s="16" t="inlineStr">
        <ns0:is>
          <ns0:t>R(T), +100 ppm/C at 25 C; positive datasheet limit</ns0:t>
        </ns0:is>
      </ns0:c>
      <ns0:c xmlns:ns0="http://schemas.openxmlformats.org/spreadsheetml/2006/main" r="AB427" s="16" t="str">
        <ns0:v>General</ns0:v>
      </ns0:c>
      <ns0:c xmlns:ns0="http://schemas.openxmlformats.org/spreadsheetml/2006/main" r="AC427" s="16" t="inlineStr">
        <ns0:is>
          <ns0:t>Spice Subcircuit</ns0:t>
        </ns0:is>
      </ns0:c>
      <ns0:c xmlns:ns0="http://schemas.openxmlformats.org/spreadsheetml/2006/main" r="AD427" s="16" t="inlineStr">
        <ns0:is>
          <ns0:t>@DESIGNATOR %1 %2 @MODEL PARAMS: Rvalue=@VALUE TC1value=100u</ns0:t>
        </ns0:is>
      </ns0:c>
      <ns0:c xmlns:ns0="http://schemas.openxmlformats.org/spreadsheetml/2006/main" r="AE427" s="16" t="inlineStr">
        <ns0:is>
          <ns0:t>X</ns0:t>
        </ns0:is>
      </ns0:c>
      <ns0:c xmlns:ns0="http://schemas.openxmlformats.org/spreadsheetml/2006/main" r="AF427" s="16" t="str">
        <ns0:v>(1:1),(2:2)</ns0:v>
      </ns0:c>
      <ns0:c xmlns:ns0="http://schemas.openxmlformats.org/spreadsheetml/2006/main" r="AG427" s="16" t="inlineStr">
        <ns0:is>
          <ns0:t>Simulation\Resistors\MY_LIB_R_TCR.ckt</ns0:t>
        </ns0:is>
      </ns0:c>
      <ns0:c xmlns:ns0="http://schemas.openxmlformats.org/spreadsheetml/2006/main" r="AH427" s="16" t="inlineStr">
        <ns0:is>
          <ns0:t>±100 ppm/°C</ns0:t>
        </ns0:is>
      </ns0:c>
    </ns0:row>
    <ns0:row xmlns:ns0="http://schemas.openxmlformats.org/spreadsheetml/2006/main" r="428" ht="30" customHeight="1">
      <ns0:c r="A428" t="str" s="10">
        <ns0:v>R0434</ns0:v>
      </ns0:c>
      <ns0:c r="B428" t="str" s="10">
        <ns0:v>Резистор</ns0:v>
      </ns0:c>
      <ns0:c r="C428" t="str" s="10">
        <ns0:v>390k</ns0:v>
      </ns0:c>
      <ns0:c r="D428" t="str" s="11">
        <ns0:f>SUBSTITUTE(SUBSTITUTE(SUBSTITUTE(SUBSTITUTE(C428,"meg"," МОм"),"k"," кОм"),"R"," Ом"),".",",")</ns0:f>
        <ns0:v>390 кОм</ns0:v>
      </ns0:c>
      <ns0:c r="E428" t="str" s="10">
        <ns0:v>±1%</ns0:v>
      </ns0:c>
      <ns0:c r="F428" t="str" s="10">
        <ns0:v>0,1 Вт</ns0:v>
      </ns0:c>
      <ns0:c r="G428" t="str" s="10">
        <ns0:v>75 В макс.</ns0:v>
      </ns0:c>
      <ns0:c r="H428" t="str" s="12">
        <ns0:v>0603</ns0:v>
      </ns0:c>
      <ns0:c r="I428" t="str" s="10">
        <ns0:v>YAGEO</ns0:v>
      </ns0:c>
      <ns0:c r="J428" t="str" s="10">
        <ns0:v>RC0603FR-07390KL</ns0:v>
      </ns0:c>
      <ns0:c r="K428" t="str" s="11">
        <ns0:f>B428&amp;" "&amp;D428&amp;" "&amp;E428&amp;" "&amp;H428</ns0:f>
        <ns0:v>Резистор 390 кОм ±1% 0603</ns0:v>
      </ns0:c>
      <ns0:c r="L428" t="str" s="13">
        <ns0:v>R</ns0:v>
      </ns0:c>
      <ns0:c r="M428" t="str" s="13">
        <ns0:v>Symbols\MY_LIB_Resistors.SchLib</ns0:v>
      </ns0:c>
      <ns0:c r="N428" t="str" s="13">
        <ns0:v>RESC1608X55N</ns0:v>
      </ns0:c>
      <ns0:c r="O428" t="str" s="13">
        <ns0:v>Footprints\PBL - SMD Packages.PcbLib</ns0:v>
      </ns0:c>
      <ns0:c xmlns:ns0="http://schemas.openxmlformats.org/spreadsheetml/2006/main" r="P42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8" s="10"/>
      <ns0:c r="R428" t="str" s="11">
        <ns0:f>D428</ns0:f>
        <ns0:v>390 кОм</ns0:v>
      </ns0:c>
      <ns0:c r="S428" t="str" s="11">
        <ns0:f>K428</ns0:f>
        <ns0:v>Резистор 390 кОм ±1% 0603</ns0:v>
      </ns0:c>
      <x:c xmlns:x="http://schemas.openxmlformats.org/spreadsheetml/2006/main" r="T428" t="str" s="11">
        <x:v>C:\Users\Nomatin\Documents\Altium\MY_LIB\MY_LIB\Datasheets\YAGEO_RC_L.pdf</x:v>
      </x:c>
      <x:c xmlns:x="http://schemas.openxmlformats.org/spreadsheetml/2006/main" r="U428" t="str" s="11">
        <x:v>Даташит — локальный</x:v>
      </x:c>
      <x:c xmlns:x="http://schemas.openxmlformats.org/spreadsheetml/2006/main" r="V428" t="str" s="11">
        <x:v>C:\Users\Nomatin\Documents\Altium\MY_LIB\MY_LIB\Datasheets\YAGEO_RC_L.pdf</x:v>
      </x:c>
      <x:c xmlns:x="http://schemas.openxmlformats.org/spreadsheetml/2006/main" r="W428" t="str" s="11">
        <x:v>Даташит — производитель</x:v>
      </x:c>
      <x:c xmlns:x="http://schemas.openxmlformats.org/spreadsheetml/2006/main" r="X428" t="str" s="11">
        <x:v>https://yageogroup.com/content/datasheet/asset/file/PYU-RC_GROUP_51_ROHS_L</x:v>
      </x:c>
      <x:c xmlns:x="http://schemas.openxmlformats.org/spreadsheetml/2006/main" r="Y428" t="str" s="11">
        <x:v>C:\Users\Nomatin\Documents\Altium\MY_LIB\MY_LIB\Datasheets\YAGEO_RC_L.pdf</x:v>
      </x:c>
      <ns0:c xmlns:ns0="http://schemas.openxmlformats.org/spreadsheetml/2006/main" r="Z428" s="16" t="inlineStr">
        <ns0:is>
          <ns0:t>MY_LIB_R_TCR</ns0:t>
        </ns0:is>
      </ns0:c>
      <ns0:c xmlns:ns0="http://schemas.openxmlformats.org/spreadsheetml/2006/main" r="AA428" s="16" t="inlineStr">
        <ns0:is>
          <ns0:t>R(T), +100 ppm/C at 25 C; positive datasheet limit</ns0:t>
        </ns0:is>
      </ns0:c>
      <ns0:c xmlns:ns0="http://schemas.openxmlformats.org/spreadsheetml/2006/main" r="AB428" s="16" t="str">
        <ns0:v>General</ns0:v>
      </ns0:c>
      <ns0:c xmlns:ns0="http://schemas.openxmlformats.org/spreadsheetml/2006/main" r="AC428" s="16" t="inlineStr">
        <ns0:is>
          <ns0:t>Spice Subcircuit</ns0:t>
        </ns0:is>
      </ns0:c>
      <ns0:c xmlns:ns0="http://schemas.openxmlformats.org/spreadsheetml/2006/main" r="AD428" s="16" t="inlineStr">
        <ns0:is>
          <ns0:t>@DESIGNATOR %1 %2 @MODEL PARAMS: Rvalue=@VALUE TC1value=100u</ns0:t>
        </ns0:is>
      </ns0:c>
      <ns0:c xmlns:ns0="http://schemas.openxmlformats.org/spreadsheetml/2006/main" r="AE428" s="16" t="inlineStr">
        <ns0:is>
          <ns0:t>X</ns0:t>
        </ns0:is>
      </ns0:c>
      <ns0:c xmlns:ns0="http://schemas.openxmlformats.org/spreadsheetml/2006/main" r="AF428" s="16" t="str">
        <ns0:v>(1:1),(2:2)</ns0:v>
      </ns0:c>
      <ns0:c xmlns:ns0="http://schemas.openxmlformats.org/spreadsheetml/2006/main" r="AG428" s="16" t="inlineStr">
        <ns0:is>
          <ns0:t>Simulation\Resistors\MY_LIB_R_TCR.ckt</ns0:t>
        </ns0:is>
      </ns0:c>
      <ns0:c xmlns:ns0="http://schemas.openxmlformats.org/spreadsheetml/2006/main" r="AH428" s="16" t="inlineStr">
        <ns0:is>
          <ns0:t>±100 ppm/°C</ns0:t>
        </ns0:is>
      </ns0:c>
    </ns0:row>
    <ns0:row xmlns:ns0="http://schemas.openxmlformats.org/spreadsheetml/2006/main" r="429" ht="30" customHeight="1">
      <ns0:c r="A429" t="str" s="10">
        <ns0:v>R0435</ns0:v>
      </ns0:c>
      <ns0:c r="B429" t="str" s="10">
        <ns0:v>Резистор</ns0:v>
      </ns0:c>
      <ns0:c r="C429" t="str" s="10">
        <ns0:v>430k</ns0:v>
      </ns0:c>
      <ns0:c r="D429" t="str" s="11">
        <ns0:f>SUBSTITUTE(SUBSTITUTE(SUBSTITUTE(SUBSTITUTE(C429,"meg"," МОм"),"k"," кОм"),"R"," Ом"),".",",")</ns0:f>
        <ns0:v>430 кОм</ns0:v>
      </ns0:c>
      <ns0:c r="E429" t="str" s="10">
        <ns0:v>±1%</ns0:v>
      </ns0:c>
      <ns0:c r="F429" t="str" s="10">
        <ns0:v>0,1 Вт</ns0:v>
      </ns0:c>
      <ns0:c r="G429" t="str" s="10">
        <ns0:v>75 В макс.</ns0:v>
      </ns0:c>
      <ns0:c r="H429" t="str" s="12">
        <ns0:v>0603</ns0:v>
      </ns0:c>
      <ns0:c r="I429" t="str" s="10">
        <ns0:v>YAGEO</ns0:v>
      </ns0:c>
      <ns0:c r="J429" t="str" s="10">
        <ns0:v>RC0603FR-07430KL</ns0:v>
      </ns0:c>
      <ns0:c r="K429" t="str" s="11">
        <ns0:f>B429&amp;" "&amp;D429&amp;" "&amp;E429&amp;" "&amp;H429</ns0:f>
        <ns0:v>Резистор 430 кОм ±1% 0603</ns0:v>
      </ns0:c>
      <ns0:c r="L429" t="str" s="13">
        <ns0:v>R</ns0:v>
      </ns0:c>
      <ns0:c r="M429" t="str" s="13">
        <ns0:v>Symbols\MY_LIB_Resistors.SchLib</ns0:v>
      </ns0:c>
      <ns0:c r="N429" t="str" s="13">
        <ns0:v>RESC1608X55N</ns0:v>
      </ns0:c>
      <ns0:c r="O429" t="str" s="13">
        <ns0:v>Footprints\PBL - SMD Packages.PcbLib</ns0:v>
      </ns0:c>
      <ns0:c xmlns:ns0="http://schemas.openxmlformats.org/spreadsheetml/2006/main" r="P42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29" s="10"/>
      <ns0:c r="R429" t="str" s="11">
        <ns0:f>D429</ns0:f>
        <ns0:v>430 кОм</ns0:v>
      </ns0:c>
      <ns0:c r="S429" t="str" s="11">
        <ns0:f>K429</ns0:f>
        <ns0:v>Резистор 430 кОм ±1% 0603</ns0:v>
      </ns0:c>
      <x:c xmlns:x="http://schemas.openxmlformats.org/spreadsheetml/2006/main" r="T429" t="str" s="11">
        <x:v>C:\Users\Nomatin\Documents\Altium\MY_LIB\MY_LIB\Datasheets\YAGEO_RC_L.pdf</x:v>
      </x:c>
      <x:c xmlns:x="http://schemas.openxmlformats.org/spreadsheetml/2006/main" r="U429" t="str" s="11">
        <x:v>Даташит — локальный</x:v>
      </x:c>
      <x:c xmlns:x="http://schemas.openxmlformats.org/spreadsheetml/2006/main" r="V429" t="str" s="11">
        <x:v>C:\Users\Nomatin\Documents\Altium\MY_LIB\MY_LIB\Datasheets\YAGEO_RC_L.pdf</x:v>
      </x:c>
      <x:c xmlns:x="http://schemas.openxmlformats.org/spreadsheetml/2006/main" r="W429" t="str" s="11">
        <x:v>Даташит — производитель</x:v>
      </x:c>
      <x:c xmlns:x="http://schemas.openxmlformats.org/spreadsheetml/2006/main" r="X429" t="str" s="11">
        <x:v>https://yageogroup.com/content/datasheet/asset/file/PYU-RC_GROUP_51_ROHS_L</x:v>
      </x:c>
      <x:c xmlns:x="http://schemas.openxmlformats.org/spreadsheetml/2006/main" r="Y429" t="str" s="11">
        <x:v>C:\Users\Nomatin\Documents\Altium\MY_LIB\MY_LIB\Datasheets\YAGEO_RC_L.pdf</x:v>
      </x:c>
      <ns0:c xmlns:ns0="http://schemas.openxmlformats.org/spreadsheetml/2006/main" r="Z429" s="16" t="inlineStr">
        <ns0:is>
          <ns0:t>MY_LIB_R_TCR</ns0:t>
        </ns0:is>
      </ns0:c>
      <ns0:c xmlns:ns0="http://schemas.openxmlformats.org/spreadsheetml/2006/main" r="AA429" s="16" t="inlineStr">
        <ns0:is>
          <ns0:t>R(T), +100 ppm/C at 25 C; positive datasheet limit</ns0:t>
        </ns0:is>
      </ns0:c>
      <ns0:c xmlns:ns0="http://schemas.openxmlformats.org/spreadsheetml/2006/main" r="AB429" s="16" t="str">
        <ns0:v>General</ns0:v>
      </ns0:c>
      <ns0:c xmlns:ns0="http://schemas.openxmlformats.org/spreadsheetml/2006/main" r="AC429" s="16" t="inlineStr">
        <ns0:is>
          <ns0:t>Spice Subcircuit</ns0:t>
        </ns0:is>
      </ns0:c>
      <ns0:c xmlns:ns0="http://schemas.openxmlformats.org/spreadsheetml/2006/main" r="AD429" s="16" t="inlineStr">
        <ns0:is>
          <ns0:t>@DESIGNATOR %1 %2 @MODEL PARAMS: Rvalue=@VALUE TC1value=100u</ns0:t>
        </ns0:is>
      </ns0:c>
      <ns0:c xmlns:ns0="http://schemas.openxmlformats.org/spreadsheetml/2006/main" r="AE429" s="16" t="inlineStr">
        <ns0:is>
          <ns0:t>X</ns0:t>
        </ns0:is>
      </ns0:c>
      <ns0:c xmlns:ns0="http://schemas.openxmlformats.org/spreadsheetml/2006/main" r="AF429" s="16" t="str">
        <ns0:v>(1:1),(2:2)</ns0:v>
      </ns0:c>
      <ns0:c xmlns:ns0="http://schemas.openxmlformats.org/spreadsheetml/2006/main" r="AG429" s="16" t="inlineStr">
        <ns0:is>
          <ns0:t>Simulation\Resistors\MY_LIB_R_TCR.ckt</ns0:t>
        </ns0:is>
      </ns0:c>
      <ns0:c xmlns:ns0="http://schemas.openxmlformats.org/spreadsheetml/2006/main" r="AH429" s="16" t="inlineStr">
        <ns0:is>
          <ns0:t>±100 ppm/°C</ns0:t>
        </ns0:is>
      </ns0:c>
    </ns0:row>
    <ns0:row xmlns:ns0="http://schemas.openxmlformats.org/spreadsheetml/2006/main" r="430" ht="30" customHeight="1">
      <ns0:c r="A430" t="str" s="10">
        <ns0:v>R0436</ns0:v>
      </ns0:c>
      <ns0:c r="B430" t="str" s="10">
        <ns0:v>Резистор</ns0:v>
      </ns0:c>
      <ns0:c r="C430" t="str" s="10">
        <ns0:v>470k</ns0:v>
      </ns0:c>
      <ns0:c r="D430" t="str" s="11">
        <ns0:f>SUBSTITUTE(SUBSTITUTE(SUBSTITUTE(SUBSTITUTE(C430,"meg"," МОм"),"k"," кОм"),"R"," Ом"),".",",")</ns0:f>
        <ns0:v>470 кОм</ns0:v>
      </ns0:c>
      <ns0:c r="E430" t="str" s="10">
        <ns0:v>±1%</ns0:v>
      </ns0:c>
      <ns0:c r="F430" t="str" s="10">
        <ns0:v>0,1 Вт</ns0:v>
      </ns0:c>
      <ns0:c r="G430" t="str" s="10">
        <ns0:v>75 В макс.</ns0:v>
      </ns0:c>
      <ns0:c r="H430" t="str" s="12">
        <ns0:v>0603</ns0:v>
      </ns0:c>
      <ns0:c r="I430" t="str" s="10">
        <ns0:v>YAGEO</ns0:v>
      </ns0:c>
      <ns0:c r="J430" t="str" s="10">
        <ns0:v>RC0603FR-07470KL</ns0:v>
      </ns0:c>
      <ns0:c r="K430" t="str" s="11">
        <ns0:f>B430&amp;" "&amp;D430&amp;" "&amp;E430&amp;" "&amp;H430</ns0:f>
        <ns0:v>Резистор 470 кОм ±1% 0603</ns0:v>
      </ns0:c>
      <ns0:c r="L430" t="str" s="13">
        <ns0:v>R</ns0:v>
      </ns0:c>
      <ns0:c r="M430" t="str" s="13">
        <ns0:v>Symbols\MY_LIB_Resistors.SchLib</ns0:v>
      </ns0:c>
      <ns0:c r="N430" t="str" s="13">
        <ns0:v>RESC1608X55N</ns0:v>
      </ns0:c>
      <ns0:c r="O430" t="str" s="13">
        <ns0:v>Footprints\PBL - SMD Packages.PcbLib</ns0:v>
      </ns0:c>
      <ns0:c xmlns:ns0="http://schemas.openxmlformats.org/spreadsheetml/2006/main" r="P43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0" s="10"/>
      <ns0:c r="R430" t="str" s="11">
        <ns0:f>D430</ns0:f>
        <ns0:v>470 кОм</ns0:v>
      </ns0:c>
      <ns0:c r="S430" t="str" s="11">
        <ns0:f>K430</ns0:f>
        <ns0:v>Резистор 470 кОм ±1% 0603</ns0:v>
      </ns0:c>
      <x:c xmlns:x="http://schemas.openxmlformats.org/spreadsheetml/2006/main" r="T430" t="str" s="11">
        <x:v>C:\Users\Nomatin\Documents\Altium\MY_LIB\MY_LIB\Datasheets\YAGEO_RC_L.pdf</x:v>
      </x:c>
      <x:c xmlns:x="http://schemas.openxmlformats.org/spreadsheetml/2006/main" r="U430" t="str" s="11">
        <x:v>Даташит — локальный</x:v>
      </x:c>
      <x:c xmlns:x="http://schemas.openxmlformats.org/spreadsheetml/2006/main" r="V430" t="str" s="11">
        <x:v>C:\Users\Nomatin\Documents\Altium\MY_LIB\MY_LIB\Datasheets\YAGEO_RC_L.pdf</x:v>
      </x:c>
      <x:c xmlns:x="http://schemas.openxmlformats.org/spreadsheetml/2006/main" r="W430" t="str" s="11">
        <x:v>Даташит — производитель</x:v>
      </x:c>
      <x:c xmlns:x="http://schemas.openxmlformats.org/spreadsheetml/2006/main" r="X430" t="str" s="11">
        <x:v>https://yageogroup.com/content/datasheet/asset/file/PYU-RC_GROUP_51_ROHS_L</x:v>
      </x:c>
      <x:c xmlns:x="http://schemas.openxmlformats.org/spreadsheetml/2006/main" r="Y430" t="str" s="11">
        <x:v>C:\Users\Nomatin\Documents\Altium\MY_LIB\MY_LIB\Datasheets\YAGEO_RC_L.pdf</x:v>
      </x:c>
      <ns0:c xmlns:ns0="http://schemas.openxmlformats.org/spreadsheetml/2006/main" r="Z430" s="16" t="inlineStr">
        <ns0:is>
          <ns0:t>MY_LIB_R_TCR</ns0:t>
        </ns0:is>
      </ns0:c>
      <ns0:c xmlns:ns0="http://schemas.openxmlformats.org/spreadsheetml/2006/main" r="AA430" s="16" t="inlineStr">
        <ns0:is>
          <ns0:t>R(T), +100 ppm/C at 25 C; positive datasheet limit</ns0:t>
        </ns0:is>
      </ns0:c>
      <ns0:c xmlns:ns0="http://schemas.openxmlformats.org/spreadsheetml/2006/main" r="AB430" s="16" t="str">
        <ns0:v>General</ns0:v>
      </ns0:c>
      <ns0:c xmlns:ns0="http://schemas.openxmlformats.org/spreadsheetml/2006/main" r="AC430" s="16" t="inlineStr">
        <ns0:is>
          <ns0:t>Spice Subcircuit</ns0:t>
        </ns0:is>
      </ns0:c>
      <ns0:c xmlns:ns0="http://schemas.openxmlformats.org/spreadsheetml/2006/main" r="AD430" s="16" t="inlineStr">
        <ns0:is>
          <ns0:t>@DESIGNATOR %1 %2 @MODEL PARAMS: Rvalue=@VALUE TC1value=100u</ns0:t>
        </ns0:is>
      </ns0:c>
      <ns0:c xmlns:ns0="http://schemas.openxmlformats.org/spreadsheetml/2006/main" r="AE430" s="16" t="inlineStr">
        <ns0:is>
          <ns0:t>X</ns0:t>
        </ns0:is>
      </ns0:c>
      <ns0:c xmlns:ns0="http://schemas.openxmlformats.org/spreadsheetml/2006/main" r="AF430" s="16" t="str">
        <ns0:v>(1:1),(2:2)</ns0:v>
      </ns0:c>
      <ns0:c xmlns:ns0="http://schemas.openxmlformats.org/spreadsheetml/2006/main" r="AG430" s="16" t="inlineStr">
        <ns0:is>
          <ns0:t>Simulation\Resistors\MY_LIB_R_TCR.ckt</ns0:t>
        </ns0:is>
      </ns0:c>
      <ns0:c xmlns:ns0="http://schemas.openxmlformats.org/spreadsheetml/2006/main" r="AH430" s="16" t="inlineStr">
        <ns0:is>
          <ns0:t>±100 ppm/°C</ns0:t>
        </ns0:is>
      </ns0:c>
    </ns0:row>
    <ns0:row xmlns:ns0="http://schemas.openxmlformats.org/spreadsheetml/2006/main" r="431" ht="30" customHeight="1">
      <ns0:c r="A431" t="str" s="10">
        <ns0:v>R0437</ns0:v>
      </ns0:c>
      <ns0:c r="B431" t="str" s="10">
        <ns0:v>Резистор</ns0:v>
      </ns0:c>
      <ns0:c r="C431" t="str" s="10">
        <ns0:v>510k</ns0:v>
      </ns0:c>
      <ns0:c r="D431" t="str" s="11">
        <ns0:f>SUBSTITUTE(SUBSTITUTE(SUBSTITUTE(SUBSTITUTE(C431,"meg"," МОм"),"k"," кОм"),"R"," Ом"),".",",")</ns0:f>
        <ns0:v>510 кОм</ns0:v>
      </ns0:c>
      <ns0:c r="E431" t="str" s="10">
        <ns0:v>±1%</ns0:v>
      </ns0:c>
      <ns0:c r="F431" t="str" s="10">
        <ns0:v>0,1 Вт</ns0:v>
      </ns0:c>
      <ns0:c r="G431" t="str" s="10">
        <ns0:v>75 В макс.</ns0:v>
      </ns0:c>
      <ns0:c r="H431" t="str" s="12">
        <ns0:v>0603</ns0:v>
      </ns0:c>
      <ns0:c r="I431" t="str" s="10">
        <ns0:v>YAGEO</ns0:v>
      </ns0:c>
      <ns0:c r="J431" t="str" s="10">
        <ns0:v>RC0603FR-07510KL</ns0:v>
      </ns0:c>
      <ns0:c r="K431" t="str" s="11">
        <ns0:f>B431&amp;" "&amp;D431&amp;" "&amp;E431&amp;" "&amp;H431</ns0:f>
        <ns0:v>Резистор 510 кОм ±1% 0603</ns0:v>
      </ns0:c>
      <ns0:c r="L431" t="str" s="13">
        <ns0:v>R</ns0:v>
      </ns0:c>
      <ns0:c r="M431" t="str" s="13">
        <ns0:v>Symbols\MY_LIB_Resistors.SchLib</ns0:v>
      </ns0:c>
      <ns0:c r="N431" t="str" s="13">
        <ns0:v>RESC1608X55N</ns0:v>
      </ns0:c>
      <ns0:c r="O431" t="str" s="13">
        <ns0:v>Footprints\PBL - SMD Packages.PcbLib</ns0:v>
      </ns0:c>
      <ns0:c xmlns:ns0="http://schemas.openxmlformats.org/spreadsheetml/2006/main" r="P43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1" s="10"/>
      <ns0:c r="R431" t="str" s="11">
        <ns0:f>D431</ns0:f>
        <ns0:v>510 кОм</ns0:v>
      </ns0:c>
      <ns0:c r="S431" t="str" s="11">
        <ns0:f>K431</ns0:f>
        <ns0:v>Резистор 510 кОм ±1% 0603</ns0:v>
      </ns0:c>
      <x:c xmlns:x="http://schemas.openxmlformats.org/spreadsheetml/2006/main" r="T431" t="str" s="11">
        <x:v>C:\Users\Nomatin\Documents\Altium\MY_LIB\MY_LIB\Datasheets\YAGEO_RC_L.pdf</x:v>
      </x:c>
      <x:c xmlns:x="http://schemas.openxmlformats.org/spreadsheetml/2006/main" r="U431" t="str" s="11">
        <x:v>Даташит — локальный</x:v>
      </x:c>
      <x:c xmlns:x="http://schemas.openxmlformats.org/spreadsheetml/2006/main" r="V431" t="str" s="11">
        <x:v>C:\Users\Nomatin\Documents\Altium\MY_LIB\MY_LIB\Datasheets\YAGEO_RC_L.pdf</x:v>
      </x:c>
      <x:c xmlns:x="http://schemas.openxmlformats.org/spreadsheetml/2006/main" r="W431" t="str" s="11">
        <x:v>Даташит — производитель</x:v>
      </x:c>
      <x:c xmlns:x="http://schemas.openxmlformats.org/spreadsheetml/2006/main" r="X431" t="str" s="11">
        <x:v>https://yageogroup.com/content/datasheet/asset/file/PYU-RC_GROUP_51_ROHS_L</x:v>
      </x:c>
      <x:c xmlns:x="http://schemas.openxmlformats.org/spreadsheetml/2006/main" r="Y431" t="str" s="11">
        <x:v>C:\Users\Nomatin\Documents\Altium\MY_LIB\MY_LIB\Datasheets\YAGEO_RC_L.pdf</x:v>
      </x:c>
      <ns0:c xmlns:ns0="http://schemas.openxmlformats.org/spreadsheetml/2006/main" r="Z431" s="16" t="inlineStr">
        <ns0:is>
          <ns0:t>MY_LIB_R_TCR</ns0:t>
        </ns0:is>
      </ns0:c>
      <ns0:c xmlns:ns0="http://schemas.openxmlformats.org/spreadsheetml/2006/main" r="AA431" s="16" t="inlineStr">
        <ns0:is>
          <ns0:t>R(T), +100 ppm/C at 25 C; positive datasheet limit</ns0:t>
        </ns0:is>
      </ns0:c>
      <ns0:c xmlns:ns0="http://schemas.openxmlformats.org/spreadsheetml/2006/main" r="AB431" s="16" t="str">
        <ns0:v>General</ns0:v>
      </ns0:c>
      <ns0:c xmlns:ns0="http://schemas.openxmlformats.org/spreadsheetml/2006/main" r="AC431" s="16" t="inlineStr">
        <ns0:is>
          <ns0:t>Spice Subcircuit</ns0:t>
        </ns0:is>
      </ns0:c>
      <ns0:c xmlns:ns0="http://schemas.openxmlformats.org/spreadsheetml/2006/main" r="AD431" s="16" t="inlineStr">
        <ns0:is>
          <ns0:t>@DESIGNATOR %1 %2 @MODEL PARAMS: Rvalue=@VALUE TC1value=100u</ns0:t>
        </ns0:is>
      </ns0:c>
      <ns0:c xmlns:ns0="http://schemas.openxmlformats.org/spreadsheetml/2006/main" r="AE431" s="16" t="inlineStr">
        <ns0:is>
          <ns0:t>X</ns0:t>
        </ns0:is>
      </ns0:c>
      <ns0:c xmlns:ns0="http://schemas.openxmlformats.org/spreadsheetml/2006/main" r="AF431" s="16" t="str">
        <ns0:v>(1:1),(2:2)</ns0:v>
      </ns0:c>
      <ns0:c xmlns:ns0="http://schemas.openxmlformats.org/spreadsheetml/2006/main" r="AG431" s="16" t="inlineStr">
        <ns0:is>
          <ns0:t>Simulation\Resistors\MY_LIB_R_TCR.ckt</ns0:t>
        </ns0:is>
      </ns0:c>
      <ns0:c xmlns:ns0="http://schemas.openxmlformats.org/spreadsheetml/2006/main" r="AH431" s="16" t="inlineStr">
        <ns0:is>
          <ns0:t>±100 ppm/°C</ns0:t>
        </ns0:is>
      </ns0:c>
    </ns0:row>
    <ns0:row xmlns:ns0="http://schemas.openxmlformats.org/spreadsheetml/2006/main" r="432" ht="30" customHeight="1">
      <ns0:c r="A432" t="str" s="10">
        <ns0:v>R0438</ns0:v>
      </ns0:c>
      <ns0:c r="B432" t="str" s="10">
        <ns0:v>Резистор</ns0:v>
      </ns0:c>
      <ns0:c r="C432" t="str" s="10">
        <ns0:v>560k</ns0:v>
      </ns0:c>
      <ns0:c r="D432" t="str" s="11">
        <ns0:f>SUBSTITUTE(SUBSTITUTE(SUBSTITUTE(SUBSTITUTE(C432,"meg"," МОм"),"k"," кОм"),"R"," Ом"),".",",")</ns0:f>
        <ns0:v>560 кОм</ns0:v>
      </ns0:c>
      <ns0:c r="E432" t="str" s="10">
        <ns0:v>±1%</ns0:v>
      </ns0:c>
      <ns0:c r="F432" t="str" s="10">
        <ns0:v>0,1 Вт</ns0:v>
      </ns0:c>
      <ns0:c r="G432" t="str" s="10">
        <ns0:v>75 В макс.</ns0:v>
      </ns0:c>
      <ns0:c r="H432" t="str" s="12">
        <ns0:v>0603</ns0:v>
      </ns0:c>
      <ns0:c r="I432" t="str" s="10">
        <ns0:v>YAGEO</ns0:v>
      </ns0:c>
      <ns0:c r="J432" t="str" s="10">
        <ns0:v>RC0603FR-07560KL</ns0:v>
      </ns0:c>
      <ns0:c r="K432" t="str" s="11">
        <ns0:f>B432&amp;" "&amp;D432&amp;" "&amp;E432&amp;" "&amp;H432</ns0:f>
        <ns0:v>Резистор 560 кОм ±1% 0603</ns0:v>
      </ns0:c>
      <ns0:c r="L432" t="str" s="13">
        <ns0:v>R</ns0:v>
      </ns0:c>
      <ns0:c r="M432" t="str" s="13">
        <ns0:v>Symbols\MY_LIB_Resistors.SchLib</ns0:v>
      </ns0:c>
      <ns0:c r="N432" t="str" s="13">
        <ns0:v>RESC1608X55N</ns0:v>
      </ns0:c>
      <ns0:c r="O432" t="str" s="13">
        <ns0:v>Footprints\PBL - SMD Packages.PcbLib</ns0:v>
      </ns0:c>
      <ns0:c xmlns:ns0="http://schemas.openxmlformats.org/spreadsheetml/2006/main" r="P43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2" s="10"/>
      <ns0:c r="R432" t="str" s="11">
        <ns0:f>D432</ns0:f>
        <ns0:v>560 кОм</ns0:v>
      </ns0:c>
      <ns0:c r="S432" t="str" s="11">
        <ns0:f>K432</ns0:f>
        <ns0:v>Резистор 560 кОм ±1% 0603</ns0:v>
      </ns0:c>
      <x:c xmlns:x="http://schemas.openxmlformats.org/spreadsheetml/2006/main" r="T432" t="str" s="11">
        <x:v>C:\Users\Nomatin\Documents\Altium\MY_LIB\MY_LIB\Datasheets\YAGEO_RC_L.pdf</x:v>
      </x:c>
      <x:c xmlns:x="http://schemas.openxmlformats.org/spreadsheetml/2006/main" r="U432" t="str" s="11">
        <x:v>Даташит — локальный</x:v>
      </x:c>
      <x:c xmlns:x="http://schemas.openxmlformats.org/spreadsheetml/2006/main" r="V432" t="str" s="11">
        <x:v>C:\Users\Nomatin\Documents\Altium\MY_LIB\MY_LIB\Datasheets\YAGEO_RC_L.pdf</x:v>
      </x:c>
      <x:c xmlns:x="http://schemas.openxmlformats.org/spreadsheetml/2006/main" r="W432" t="str" s="11">
        <x:v>Даташит — производитель</x:v>
      </x:c>
      <x:c xmlns:x="http://schemas.openxmlformats.org/spreadsheetml/2006/main" r="X432" t="str" s="11">
        <x:v>https://yageogroup.com/content/datasheet/asset/file/PYU-RC_GROUP_51_ROHS_L</x:v>
      </x:c>
      <x:c xmlns:x="http://schemas.openxmlformats.org/spreadsheetml/2006/main" r="Y432" t="str" s="11">
        <x:v>C:\Users\Nomatin\Documents\Altium\MY_LIB\MY_LIB\Datasheets\YAGEO_RC_L.pdf</x:v>
      </x:c>
      <ns0:c xmlns:ns0="http://schemas.openxmlformats.org/spreadsheetml/2006/main" r="Z432" s="16" t="inlineStr">
        <ns0:is>
          <ns0:t>MY_LIB_R_TCR</ns0:t>
        </ns0:is>
      </ns0:c>
      <ns0:c xmlns:ns0="http://schemas.openxmlformats.org/spreadsheetml/2006/main" r="AA432" s="16" t="inlineStr">
        <ns0:is>
          <ns0:t>R(T), +100 ppm/C at 25 C; positive datasheet limit</ns0:t>
        </ns0:is>
      </ns0:c>
      <ns0:c xmlns:ns0="http://schemas.openxmlformats.org/spreadsheetml/2006/main" r="AB432" s="16" t="str">
        <ns0:v>General</ns0:v>
      </ns0:c>
      <ns0:c xmlns:ns0="http://schemas.openxmlformats.org/spreadsheetml/2006/main" r="AC432" s="16" t="inlineStr">
        <ns0:is>
          <ns0:t>Spice Subcircuit</ns0:t>
        </ns0:is>
      </ns0:c>
      <ns0:c xmlns:ns0="http://schemas.openxmlformats.org/spreadsheetml/2006/main" r="AD432" s="16" t="inlineStr">
        <ns0:is>
          <ns0:t>@DESIGNATOR %1 %2 @MODEL PARAMS: Rvalue=@VALUE TC1value=100u</ns0:t>
        </ns0:is>
      </ns0:c>
      <ns0:c xmlns:ns0="http://schemas.openxmlformats.org/spreadsheetml/2006/main" r="AE432" s="16" t="inlineStr">
        <ns0:is>
          <ns0:t>X</ns0:t>
        </ns0:is>
      </ns0:c>
      <ns0:c xmlns:ns0="http://schemas.openxmlformats.org/spreadsheetml/2006/main" r="AF432" s="16" t="str">
        <ns0:v>(1:1),(2:2)</ns0:v>
      </ns0:c>
      <ns0:c xmlns:ns0="http://schemas.openxmlformats.org/spreadsheetml/2006/main" r="AG432" s="16" t="inlineStr">
        <ns0:is>
          <ns0:t>Simulation\Resistors\MY_LIB_R_TCR.ckt</ns0:t>
        </ns0:is>
      </ns0:c>
      <ns0:c xmlns:ns0="http://schemas.openxmlformats.org/spreadsheetml/2006/main" r="AH432" s="16" t="inlineStr">
        <ns0:is>
          <ns0:t>±100 ppm/°C</ns0:t>
        </ns0:is>
      </ns0:c>
    </ns0:row>
    <ns0:row xmlns:ns0="http://schemas.openxmlformats.org/spreadsheetml/2006/main" r="433" ht="30" customHeight="1">
      <ns0:c r="A433" t="str" s="10">
        <ns0:v>R0439</ns0:v>
      </ns0:c>
      <ns0:c r="B433" t="str" s="10">
        <ns0:v>Резистор</ns0:v>
      </ns0:c>
      <ns0:c r="C433" t="str" s="10">
        <ns0:v>620k</ns0:v>
      </ns0:c>
      <ns0:c r="D433" t="str" s="11">
        <ns0:f>SUBSTITUTE(SUBSTITUTE(SUBSTITUTE(SUBSTITUTE(C433,"meg"," МОм"),"k"," кОм"),"R"," Ом"),".",",")</ns0:f>
        <ns0:v>620 кОм</ns0:v>
      </ns0:c>
      <ns0:c r="E433" t="str" s="10">
        <ns0:v>±1%</ns0:v>
      </ns0:c>
      <ns0:c r="F433" t="str" s="10">
        <ns0:v>0,1 Вт</ns0:v>
      </ns0:c>
      <ns0:c r="G433" t="str" s="10">
        <ns0:v>75 В макс.</ns0:v>
      </ns0:c>
      <ns0:c r="H433" t="str" s="12">
        <ns0:v>0603</ns0:v>
      </ns0:c>
      <ns0:c r="I433" t="str" s="10">
        <ns0:v>YAGEO</ns0:v>
      </ns0:c>
      <ns0:c r="J433" t="str" s="10">
        <ns0:v>RC0603FR-07620KL</ns0:v>
      </ns0:c>
      <ns0:c r="K433" t="str" s="11">
        <ns0:f>B433&amp;" "&amp;D433&amp;" "&amp;E433&amp;" "&amp;H433</ns0:f>
        <ns0:v>Резистор 620 кОм ±1% 0603</ns0:v>
      </ns0:c>
      <ns0:c r="L433" t="str" s="13">
        <ns0:v>R</ns0:v>
      </ns0:c>
      <ns0:c r="M433" t="str" s="13">
        <ns0:v>Symbols\MY_LIB_Resistors.SchLib</ns0:v>
      </ns0:c>
      <ns0:c r="N433" t="str" s="13">
        <ns0:v>RESC1608X55N</ns0:v>
      </ns0:c>
      <ns0:c r="O433" t="str" s="13">
        <ns0:v>Footprints\PBL - SMD Packages.PcbLib</ns0:v>
      </ns0:c>
      <ns0:c xmlns:ns0="http://schemas.openxmlformats.org/spreadsheetml/2006/main" r="P43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3" s="10"/>
      <ns0:c r="R433" t="str" s="11">
        <ns0:f>D433</ns0:f>
        <ns0:v>620 кОм</ns0:v>
      </ns0:c>
      <ns0:c r="S433" t="str" s="11">
        <ns0:f>K433</ns0:f>
        <ns0:v>Резистор 620 кОм ±1% 0603</ns0:v>
      </ns0:c>
      <x:c xmlns:x="http://schemas.openxmlformats.org/spreadsheetml/2006/main" r="T433" t="str" s="11">
        <x:v>C:\Users\Nomatin\Documents\Altium\MY_LIB\MY_LIB\Datasheets\YAGEO_RC_L.pdf</x:v>
      </x:c>
      <x:c xmlns:x="http://schemas.openxmlformats.org/spreadsheetml/2006/main" r="U433" t="str" s="11">
        <x:v>Даташит — локальный</x:v>
      </x:c>
      <x:c xmlns:x="http://schemas.openxmlformats.org/spreadsheetml/2006/main" r="V433" t="str" s="11">
        <x:v>C:\Users\Nomatin\Documents\Altium\MY_LIB\MY_LIB\Datasheets\YAGEO_RC_L.pdf</x:v>
      </x:c>
      <x:c xmlns:x="http://schemas.openxmlformats.org/spreadsheetml/2006/main" r="W433" t="str" s="11">
        <x:v>Даташит — производитель</x:v>
      </x:c>
      <x:c xmlns:x="http://schemas.openxmlformats.org/spreadsheetml/2006/main" r="X433" t="str" s="11">
        <x:v>https://yageogroup.com/content/datasheet/asset/file/PYU-RC_GROUP_51_ROHS_L</x:v>
      </x:c>
      <x:c xmlns:x="http://schemas.openxmlformats.org/spreadsheetml/2006/main" r="Y433" t="str" s="11">
        <x:v>C:\Users\Nomatin\Documents\Altium\MY_LIB\MY_LIB\Datasheets\YAGEO_RC_L.pdf</x:v>
      </x:c>
      <ns0:c xmlns:ns0="http://schemas.openxmlformats.org/spreadsheetml/2006/main" r="Z433" s="16" t="inlineStr">
        <ns0:is>
          <ns0:t>MY_LIB_R_TCR</ns0:t>
        </ns0:is>
      </ns0:c>
      <ns0:c xmlns:ns0="http://schemas.openxmlformats.org/spreadsheetml/2006/main" r="AA433" s="16" t="inlineStr">
        <ns0:is>
          <ns0:t>R(T), +100 ppm/C at 25 C; positive datasheet limit</ns0:t>
        </ns0:is>
      </ns0:c>
      <ns0:c xmlns:ns0="http://schemas.openxmlformats.org/spreadsheetml/2006/main" r="AB433" s="16" t="str">
        <ns0:v>General</ns0:v>
      </ns0:c>
      <ns0:c xmlns:ns0="http://schemas.openxmlformats.org/spreadsheetml/2006/main" r="AC433" s="16" t="inlineStr">
        <ns0:is>
          <ns0:t>Spice Subcircuit</ns0:t>
        </ns0:is>
      </ns0:c>
      <ns0:c xmlns:ns0="http://schemas.openxmlformats.org/spreadsheetml/2006/main" r="AD433" s="16" t="inlineStr">
        <ns0:is>
          <ns0:t>@DESIGNATOR %1 %2 @MODEL PARAMS: Rvalue=@VALUE TC1value=100u</ns0:t>
        </ns0:is>
      </ns0:c>
      <ns0:c xmlns:ns0="http://schemas.openxmlformats.org/spreadsheetml/2006/main" r="AE433" s="16" t="inlineStr">
        <ns0:is>
          <ns0:t>X</ns0:t>
        </ns0:is>
      </ns0:c>
      <ns0:c xmlns:ns0="http://schemas.openxmlformats.org/spreadsheetml/2006/main" r="AF433" s="16" t="str">
        <ns0:v>(1:1),(2:2)</ns0:v>
      </ns0:c>
      <ns0:c xmlns:ns0="http://schemas.openxmlformats.org/spreadsheetml/2006/main" r="AG433" s="16" t="inlineStr">
        <ns0:is>
          <ns0:t>Simulation\Resistors\MY_LIB_R_TCR.ckt</ns0:t>
        </ns0:is>
      </ns0:c>
      <ns0:c xmlns:ns0="http://schemas.openxmlformats.org/spreadsheetml/2006/main" r="AH433" s="16" t="inlineStr">
        <ns0:is>
          <ns0:t>±100 ppm/°C</ns0:t>
        </ns0:is>
      </ns0:c>
    </ns0:row>
    <ns0:row xmlns:ns0="http://schemas.openxmlformats.org/spreadsheetml/2006/main" r="434" ht="30" customHeight="1">
      <ns0:c r="A434" t="str" s="10">
        <ns0:v>R0440</ns0:v>
      </ns0:c>
      <ns0:c r="B434" t="str" s="10">
        <ns0:v>Резистор</ns0:v>
      </ns0:c>
      <ns0:c r="C434" t="str" s="10">
        <ns0:v>680k</ns0:v>
      </ns0:c>
      <ns0:c r="D434" t="str" s="11">
        <ns0:f>SUBSTITUTE(SUBSTITUTE(SUBSTITUTE(SUBSTITUTE(C434,"meg"," МОм"),"k"," кОм"),"R"," Ом"),".",",")</ns0:f>
        <ns0:v>680 кОм</ns0:v>
      </ns0:c>
      <ns0:c r="E434" t="str" s="10">
        <ns0:v>±1%</ns0:v>
      </ns0:c>
      <ns0:c r="F434" t="str" s="10">
        <ns0:v>0,1 Вт</ns0:v>
      </ns0:c>
      <ns0:c r="G434" t="str" s="10">
        <ns0:v>75 В макс.</ns0:v>
      </ns0:c>
      <ns0:c r="H434" t="str" s="12">
        <ns0:v>0603</ns0:v>
      </ns0:c>
      <ns0:c r="I434" t="str" s="10">
        <ns0:v>YAGEO</ns0:v>
      </ns0:c>
      <ns0:c r="J434" t="str" s="10">
        <ns0:v>RC0603FR-07680KL</ns0:v>
      </ns0:c>
      <ns0:c r="K434" t="str" s="11">
        <ns0:f>B434&amp;" "&amp;D434&amp;" "&amp;E434&amp;" "&amp;H434</ns0:f>
        <ns0:v>Резистор 680 кОм ±1% 0603</ns0:v>
      </ns0:c>
      <ns0:c r="L434" t="str" s="13">
        <ns0:v>R</ns0:v>
      </ns0:c>
      <ns0:c r="M434" t="str" s="13">
        <ns0:v>Symbols\MY_LIB_Resistors.SchLib</ns0:v>
      </ns0:c>
      <ns0:c r="N434" t="str" s="13">
        <ns0:v>RESC1608X55N</ns0:v>
      </ns0:c>
      <ns0:c r="O434" t="str" s="13">
        <ns0:v>Footprints\PBL - SMD Packages.PcbLib</ns0:v>
      </ns0:c>
      <ns0:c xmlns:ns0="http://schemas.openxmlformats.org/spreadsheetml/2006/main" r="P43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4" s="10"/>
      <ns0:c r="R434" t="str" s="11">
        <ns0:f>D434</ns0:f>
        <ns0:v>680 кОм</ns0:v>
      </ns0:c>
      <ns0:c r="S434" t="str" s="11">
        <ns0:f>K434</ns0:f>
        <ns0:v>Резистор 680 кОм ±1% 0603</ns0:v>
      </ns0:c>
      <x:c xmlns:x="http://schemas.openxmlformats.org/spreadsheetml/2006/main" r="T434" t="str" s="11">
        <x:v>C:\Users\Nomatin\Documents\Altium\MY_LIB\MY_LIB\Datasheets\YAGEO_RC_L.pdf</x:v>
      </x:c>
      <x:c xmlns:x="http://schemas.openxmlformats.org/spreadsheetml/2006/main" r="U434" t="str" s="11">
        <x:v>Даташит — локальный</x:v>
      </x:c>
      <x:c xmlns:x="http://schemas.openxmlformats.org/spreadsheetml/2006/main" r="V434" t="str" s="11">
        <x:v>C:\Users\Nomatin\Documents\Altium\MY_LIB\MY_LIB\Datasheets\YAGEO_RC_L.pdf</x:v>
      </x:c>
      <x:c xmlns:x="http://schemas.openxmlformats.org/spreadsheetml/2006/main" r="W434" t="str" s="11">
        <x:v>Даташит — производитель</x:v>
      </x:c>
      <x:c xmlns:x="http://schemas.openxmlformats.org/spreadsheetml/2006/main" r="X434" t="str" s="11">
        <x:v>https://yageogroup.com/content/datasheet/asset/file/PYU-RC_GROUP_51_ROHS_L</x:v>
      </x:c>
      <x:c xmlns:x="http://schemas.openxmlformats.org/spreadsheetml/2006/main" r="Y434" t="str" s="11">
        <x:v>C:\Users\Nomatin\Documents\Altium\MY_LIB\MY_LIB\Datasheets\YAGEO_RC_L.pdf</x:v>
      </x:c>
      <ns0:c xmlns:ns0="http://schemas.openxmlformats.org/spreadsheetml/2006/main" r="Z434" s="16" t="inlineStr">
        <ns0:is>
          <ns0:t>MY_LIB_R_TCR</ns0:t>
        </ns0:is>
      </ns0:c>
      <ns0:c xmlns:ns0="http://schemas.openxmlformats.org/spreadsheetml/2006/main" r="AA434" s="16" t="inlineStr">
        <ns0:is>
          <ns0:t>R(T), +100 ppm/C at 25 C; positive datasheet limit</ns0:t>
        </ns0:is>
      </ns0:c>
      <ns0:c xmlns:ns0="http://schemas.openxmlformats.org/spreadsheetml/2006/main" r="AB434" s="16" t="str">
        <ns0:v>General</ns0:v>
      </ns0:c>
      <ns0:c xmlns:ns0="http://schemas.openxmlformats.org/spreadsheetml/2006/main" r="AC434" s="16" t="inlineStr">
        <ns0:is>
          <ns0:t>Spice Subcircuit</ns0:t>
        </ns0:is>
      </ns0:c>
      <ns0:c xmlns:ns0="http://schemas.openxmlformats.org/spreadsheetml/2006/main" r="AD434" s="16" t="inlineStr">
        <ns0:is>
          <ns0:t>@DESIGNATOR %1 %2 @MODEL PARAMS: Rvalue=@VALUE TC1value=100u</ns0:t>
        </ns0:is>
      </ns0:c>
      <ns0:c xmlns:ns0="http://schemas.openxmlformats.org/spreadsheetml/2006/main" r="AE434" s="16" t="inlineStr">
        <ns0:is>
          <ns0:t>X</ns0:t>
        </ns0:is>
      </ns0:c>
      <ns0:c xmlns:ns0="http://schemas.openxmlformats.org/spreadsheetml/2006/main" r="AF434" s="16" t="str">
        <ns0:v>(1:1),(2:2)</ns0:v>
      </ns0:c>
      <ns0:c xmlns:ns0="http://schemas.openxmlformats.org/spreadsheetml/2006/main" r="AG434" s="16" t="inlineStr">
        <ns0:is>
          <ns0:t>Simulation\Resistors\MY_LIB_R_TCR.ckt</ns0:t>
        </ns0:is>
      </ns0:c>
      <ns0:c xmlns:ns0="http://schemas.openxmlformats.org/spreadsheetml/2006/main" r="AH434" s="16" t="inlineStr">
        <ns0:is>
          <ns0:t>±100 ppm/°C</ns0:t>
        </ns0:is>
      </ns0:c>
    </ns0:row>
    <ns0:row xmlns:ns0="http://schemas.openxmlformats.org/spreadsheetml/2006/main" r="435" ht="30" customHeight="1">
      <ns0:c r="A435" t="str" s="10">
        <ns0:v>R0441</ns0:v>
      </ns0:c>
      <ns0:c r="B435" t="str" s="10">
        <ns0:v>Резистор</ns0:v>
      </ns0:c>
      <ns0:c r="C435" t="str" s="10">
        <ns0:v>750k</ns0:v>
      </ns0:c>
      <ns0:c r="D435" t="str" s="11">
        <ns0:f>SUBSTITUTE(SUBSTITUTE(SUBSTITUTE(SUBSTITUTE(C435,"meg"," МОм"),"k"," кОм"),"R"," Ом"),".",",")</ns0:f>
        <ns0:v>750 кОм</ns0:v>
      </ns0:c>
      <ns0:c r="E435" t="str" s="10">
        <ns0:v>±1%</ns0:v>
      </ns0:c>
      <ns0:c r="F435" t="str" s="10">
        <ns0:v>0,1 Вт</ns0:v>
      </ns0:c>
      <ns0:c r="G435" t="str" s="10">
        <ns0:v>75 В макс.</ns0:v>
      </ns0:c>
      <ns0:c r="H435" t="str" s="12">
        <ns0:v>0603</ns0:v>
      </ns0:c>
      <ns0:c r="I435" t="str" s="10">
        <ns0:v>YAGEO</ns0:v>
      </ns0:c>
      <ns0:c r="J435" t="str" s="10">
        <ns0:v>RC0603FR-07750KL</ns0:v>
      </ns0:c>
      <ns0:c r="K435" t="str" s="11">
        <ns0:f>B435&amp;" "&amp;D435&amp;" "&amp;E435&amp;" "&amp;H435</ns0:f>
        <ns0:v>Резистор 750 кОм ±1% 0603</ns0:v>
      </ns0:c>
      <ns0:c r="L435" t="str" s="13">
        <ns0:v>R</ns0:v>
      </ns0:c>
      <ns0:c r="M435" t="str" s="13">
        <ns0:v>Symbols\MY_LIB_Resistors.SchLib</ns0:v>
      </ns0:c>
      <ns0:c r="N435" t="str" s="13">
        <ns0:v>RESC1608X55N</ns0:v>
      </ns0:c>
      <ns0:c r="O435" t="str" s="13">
        <ns0:v>Footprints\PBL - SMD Packages.PcbLib</ns0:v>
      </ns0:c>
      <ns0:c xmlns:ns0="http://schemas.openxmlformats.org/spreadsheetml/2006/main" r="P43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5" s="10"/>
      <ns0:c r="R435" t="str" s="11">
        <ns0:f>D435</ns0:f>
        <ns0:v>750 кОм</ns0:v>
      </ns0:c>
      <ns0:c r="S435" t="str" s="11">
        <ns0:f>K435</ns0:f>
        <ns0:v>Резистор 750 кОм ±1% 0603</ns0:v>
      </ns0:c>
      <x:c xmlns:x="http://schemas.openxmlformats.org/spreadsheetml/2006/main" r="T435" t="str" s="11">
        <x:v>C:\Users\Nomatin\Documents\Altium\MY_LIB\MY_LIB\Datasheets\YAGEO_RC_L.pdf</x:v>
      </x:c>
      <x:c xmlns:x="http://schemas.openxmlformats.org/spreadsheetml/2006/main" r="U435" t="str" s="11">
        <x:v>Даташит — локальный</x:v>
      </x:c>
      <x:c xmlns:x="http://schemas.openxmlformats.org/spreadsheetml/2006/main" r="V435" t="str" s="11">
        <x:v>C:\Users\Nomatin\Documents\Altium\MY_LIB\MY_LIB\Datasheets\YAGEO_RC_L.pdf</x:v>
      </x:c>
      <x:c xmlns:x="http://schemas.openxmlformats.org/spreadsheetml/2006/main" r="W435" t="str" s="11">
        <x:v>Даташит — производитель</x:v>
      </x:c>
      <x:c xmlns:x="http://schemas.openxmlformats.org/spreadsheetml/2006/main" r="X435" t="str" s="11">
        <x:v>https://yageogroup.com/content/datasheet/asset/file/PYU-RC_GROUP_51_ROHS_L</x:v>
      </x:c>
      <x:c xmlns:x="http://schemas.openxmlformats.org/spreadsheetml/2006/main" r="Y435" t="str" s="11">
        <x:v>C:\Users\Nomatin\Documents\Altium\MY_LIB\MY_LIB\Datasheets\YAGEO_RC_L.pdf</x:v>
      </x:c>
      <ns0:c xmlns:ns0="http://schemas.openxmlformats.org/spreadsheetml/2006/main" r="Z435" s="16" t="inlineStr">
        <ns0:is>
          <ns0:t>MY_LIB_R_TCR</ns0:t>
        </ns0:is>
      </ns0:c>
      <ns0:c xmlns:ns0="http://schemas.openxmlformats.org/spreadsheetml/2006/main" r="AA435" s="16" t="inlineStr">
        <ns0:is>
          <ns0:t>R(T), +100 ppm/C at 25 C; positive datasheet limit</ns0:t>
        </ns0:is>
      </ns0:c>
      <ns0:c xmlns:ns0="http://schemas.openxmlformats.org/spreadsheetml/2006/main" r="AB435" s="16" t="str">
        <ns0:v>General</ns0:v>
      </ns0:c>
      <ns0:c xmlns:ns0="http://schemas.openxmlformats.org/spreadsheetml/2006/main" r="AC435" s="16" t="inlineStr">
        <ns0:is>
          <ns0:t>Spice Subcircuit</ns0:t>
        </ns0:is>
      </ns0:c>
      <ns0:c xmlns:ns0="http://schemas.openxmlformats.org/spreadsheetml/2006/main" r="AD435" s="16" t="inlineStr">
        <ns0:is>
          <ns0:t>@DESIGNATOR %1 %2 @MODEL PARAMS: Rvalue=@VALUE TC1value=100u</ns0:t>
        </ns0:is>
      </ns0:c>
      <ns0:c xmlns:ns0="http://schemas.openxmlformats.org/spreadsheetml/2006/main" r="AE435" s="16" t="inlineStr">
        <ns0:is>
          <ns0:t>X</ns0:t>
        </ns0:is>
      </ns0:c>
      <ns0:c xmlns:ns0="http://schemas.openxmlformats.org/spreadsheetml/2006/main" r="AF435" s="16" t="str">
        <ns0:v>(1:1),(2:2)</ns0:v>
      </ns0:c>
      <ns0:c xmlns:ns0="http://schemas.openxmlformats.org/spreadsheetml/2006/main" r="AG435" s="16" t="inlineStr">
        <ns0:is>
          <ns0:t>Simulation\Resistors\MY_LIB_R_TCR.ckt</ns0:t>
        </ns0:is>
      </ns0:c>
      <ns0:c xmlns:ns0="http://schemas.openxmlformats.org/spreadsheetml/2006/main" r="AH435" s="16" t="inlineStr">
        <ns0:is>
          <ns0:t>±100 ppm/°C</ns0:t>
        </ns0:is>
      </ns0:c>
    </ns0:row>
    <ns0:row xmlns:ns0="http://schemas.openxmlformats.org/spreadsheetml/2006/main" r="436" ht="30" customHeight="1">
      <ns0:c r="A436" t="str" s="10">
        <ns0:v>R0442</ns0:v>
      </ns0:c>
      <ns0:c r="B436" t="str" s="10">
        <ns0:v>Резистор</ns0:v>
      </ns0:c>
      <ns0:c r="C436" t="str" s="10">
        <ns0:v>820k</ns0:v>
      </ns0:c>
      <ns0:c r="D436" t="str" s="11">
        <ns0:f>SUBSTITUTE(SUBSTITUTE(SUBSTITUTE(SUBSTITUTE(C436,"meg"," МОм"),"k"," кОм"),"R"," Ом"),".",",")</ns0:f>
        <ns0:v>820 кОм</ns0:v>
      </ns0:c>
      <ns0:c r="E436" t="str" s="10">
        <ns0:v>±1%</ns0:v>
      </ns0:c>
      <ns0:c r="F436" t="str" s="10">
        <ns0:v>0,1 Вт</ns0:v>
      </ns0:c>
      <ns0:c r="G436" t="str" s="10">
        <ns0:v>75 В макс.</ns0:v>
      </ns0:c>
      <ns0:c r="H436" t="str" s="12">
        <ns0:v>0603</ns0:v>
      </ns0:c>
      <ns0:c r="I436" t="str" s="10">
        <ns0:v>YAGEO</ns0:v>
      </ns0:c>
      <ns0:c r="J436" t="str" s="10">
        <ns0:v>RC0603FR-07820KL</ns0:v>
      </ns0:c>
      <ns0:c r="K436" t="str" s="11">
        <ns0:f>B436&amp;" "&amp;D436&amp;" "&amp;E436&amp;" "&amp;H436</ns0:f>
        <ns0:v>Резистор 820 кОм ±1% 0603</ns0:v>
      </ns0:c>
      <ns0:c r="L436" t="str" s="13">
        <ns0:v>R</ns0:v>
      </ns0:c>
      <ns0:c r="M436" t="str" s="13">
        <ns0:v>Symbols\MY_LIB_Resistors.SchLib</ns0:v>
      </ns0:c>
      <ns0:c r="N436" t="str" s="13">
        <ns0:v>RESC1608X55N</ns0:v>
      </ns0:c>
      <ns0:c r="O436" t="str" s="13">
        <ns0:v>Footprints\PBL - SMD Packages.PcbLib</ns0:v>
      </ns0:c>
      <ns0:c xmlns:ns0="http://schemas.openxmlformats.org/spreadsheetml/2006/main" r="P43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6" s="10"/>
      <ns0:c r="R436" t="str" s="11">
        <ns0:f>D436</ns0:f>
        <ns0:v>820 кОм</ns0:v>
      </ns0:c>
      <ns0:c r="S436" t="str" s="11">
        <ns0:f>K436</ns0:f>
        <ns0:v>Резистор 820 кОм ±1% 0603</ns0:v>
      </ns0:c>
      <x:c xmlns:x="http://schemas.openxmlformats.org/spreadsheetml/2006/main" r="T436" t="str" s="11">
        <x:v>C:\Users\Nomatin\Documents\Altium\MY_LIB\MY_LIB\Datasheets\YAGEO_RC_L.pdf</x:v>
      </x:c>
      <x:c xmlns:x="http://schemas.openxmlformats.org/spreadsheetml/2006/main" r="U436" t="str" s="11">
        <x:v>Даташит — локальный</x:v>
      </x:c>
      <x:c xmlns:x="http://schemas.openxmlformats.org/spreadsheetml/2006/main" r="V436" t="str" s="11">
        <x:v>C:\Users\Nomatin\Documents\Altium\MY_LIB\MY_LIB\Datasheets\YAGEO_RC_L.pdf</x:v>
      </x:c>
      <x:c xmlns:x="http://schemas.openxmlformats.org/spreadsheetml/2006/main" r="W436" t="str" s="11">
        <x:v>Даташит — производитель</x:v>
      </x:c>
      <x:c xmlns:x="http://schemas.openxmlformats.org/spreadsheetml/2006/main" r="X436" t="str" s="11">
        <x:v>https://yageogroup.com/content/datasheet/asset/file/PYU-RC_GROUP_51_ROHS_L</x:v>
      </x:c>
      <x:c xmlns:x="http://schemas.openxmlformats.org/spreadsheetml/2006/main" r="Y436" t="str" s="11">
        <x:v>C:\Users\Nomatin\Documents\Altium\MY_LIB\MY_LIB\Datasheets\YAGEO_RC_L.pdf</x:v>
      </x:c>
      <ns0:c xmlns:ns0="http://schemas.openxmlformats.org/spreadsheetml/2006/main" r="Z436" s="16" t="inlineStr">
        <ns0:is>
          <ns0:t>MY_LIB_R_TCR</ns0:t>
        </ns0:is>
      </ns0:c>
      <ns0:c xmlns:ns0="http://schemas.openxmlformats.org/spreadsheetml/2006/main" r="AA436" s="16" t="inlineStr">
        <ns0:is>
          <ns0:t>R(T), +100 ppm/C at 25 C; positive datasheet limit</ns0:t>
        </ns0:is>
      </ns0:c>
      <ns0:c xmlns:ns0="http://schemas.openxmlformats.org/spreadsheetml/2006/main" r="AB436" s="16" t="str">
        <ns0:v>General</ns0:v>
      </ns0:c>
      <ns0:c xmlns:ns0="http://schemas.openxmlformats.org/spreadsheetml/2006/main" r="AC436" s="16" t="inlineStr">
        <ns0:is>
          <ns0:t>Spice Subcircuit</ns0:t>
        </ns0:is>
      </ns0:c>
      <ns0:c xmlns:ns0="http://schemas.openxmlformats.org/spreadsheetml/2006/main" r="AD436" s="16" t="inlineStr">
        <ns0:is>
          <ns0:t>@DESIGNATOR %1 %2 @MODEL PARAMS: Rvalue=@VALUE TC1value=100u</ns0:t>
        </ns0:is>
      </ns0:c>
      <ns0:c xmlns:ns0="http://schemas.openxmlformats.org/spreadsheetml/2006/main" r="AE436" s="16" t="inlineStr">
        <ns0:is>
          <ns0:t>X</ns0:t>
        </ns0:is>
      </ns0:c>
      <ns0:c xmlns:ns0="http://schemas.openxmlformats.org/spreadsheetml/2006/main" r="AF436" s="16" t="str">
        <ns0:v>(1:1),(2:2)</ns0:v>
      </ns0:c>
      <ns0:c xmlns:ns0="http://schemas.openxmlformats.org/spreadsheetml/2006/main" r="AG436" s="16" t="inlineStr">
        <ns0:is>
          <ns0:t>Simulation\Resistors\MY_LIB_R_TCR.ckt</ns0:t>
        </ns0:is>
      </ns0:c>
      <ns0:c xmlns:ns0="http://schemas.openxmlformats.org/spreadsheetml/2006/main" r="AH436" s="16" t="inlineStr">
        <ns0:is>
          <ns0:t>±100 ppm/°C</ns0:t>
        </ns0:is>
      </ns0:c>
    </ns0:row>
    <ns0:row xmlns:ns0="http://schemas.openxmlformats.org/spreadsheetml/2006/main" r="437" ht="30" customHeight="1">
      <ns0:c r="A437" t="str" s="10">
        <ns0:v>R0443</ns0:v>
      </ns0:c>
      <ns0:c r="B437" t="str" s="10">
        <ns0:v>Резистор</ns0:v>
      </ns0:c>
      <ns0:c r="C437" t="str" s="10">
        <ns0:v>910k</ns0:v>
      </ns0:c>
      <ns0:c r="D437" t="str" s="11">
        <ns0:f>SUBSTITUTE(SUBSTITUTE(SUBSTITUTE(SUBSTITUTE(C437,"meg"," МОм"),"k"," кОм"),"R"," Ом"),".",",")</ns0:f>
        <ns0:v>910 кОм</ns0:v>
      </ns0:c>
      <ns0:c r="E437" t="str" s="10">
        <ns0:v>±1%</ns0:v>
      </ns0:c>
      <ns0:c r="F437" t="str" s="10">
        <ns0:v>0,1 Вт</ns0:v>
      </ns0:c>
      <ns0:c r="G437" t="str" s="10">
        <ns0:v>75 В макс.</ns0:v>
      </ns0:c>
      <ns0:c r="H437" t="str" s="12">
        <ns0:v>0603</ns0:v>
      </ns0:c>
      <ns0:c r="I437" t="str" s="10">
        <ns0:v>YAGEO</ns0:v>
      </ns0:c>
      <ns0:c r="J437" t="str" s="10">
        <ns0:v>RC0603FR-07910KL</ns0:v>
      </ns0:c>
      <ns0:c r="K437" t="str" s="11">
        <ns0:f>B437&amp;" "&amp;D437&amp;" "&amp;E437&amp;" "&amp;H437</ns0:f>
        <ns0:v>Резистор 910 кОм ±1% 0603</ns0:v>
      </ns0:c>
      <ns0:c r="L437" t="str" s="13">
        <ns0:v>R</ns0:v>
      </ns0:c>
      <ns0:c r="M437" t="str" s="13">
        <ns0:v>Symbols\MY_LIB_Resistors.SchLib</ns0:v>
      </ns0:c>
      <ns0:c r="N437" t="str" s="13">
        <ns0:v>RESC1608X55N</ns0:v>
      </ns0:c>
      <ns0:c r="O437" t="str" s="13">
        <ns0:v>Footprints\PBL - SMD Packages.PcbLib</ns0:v>
      </ns0:c>
      <ns0:c xmlns:ns0="http://schemas.openxmlformats.org/spreadsheetml/2006/main" r="P43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7" s="10"/>
      <ns0:c r="R437" t="str" s="11">
        <ns0:f>D437</ns0:f>
        <ns0:v>910 кОм</ns0:v>
      </ns0:c>
      <ns0:c r="S437" t="str" s="11">
        <ns0:f>K437</ns0:f>
        <ns0:v>Резистор 910 кОм ±1% 0603</ns0:v>
      </ns0:c>
      <x:c xmlns:x="http://schemas.openxmlformats.org/spreadsheetml/2006/main" r="T437" t="str" s="11">
        <x:v>C:\Users\Nomatin\Documents\Altium\MY_LIB\MY_LIB\Datasheets\YAGEO_RC_L.pdf</x:v>
      </x:c>
      <x:c xmlns:x="http://schemas.openxmlformats.org/spreadsheetml/2006/main" r="U437" t="str" s="11">
        <x:v>Даташит — локальный</x:v>
      </x:c>
      <x:c xmlns:x="http://schemas.openxmlformats.org/spreadsheetml/2006/main" r="V437" t="str" s="11">
        <x:v>C:\Users\Nomatin\Documents\Altium\MY_LIB\MY_LIB\Datasheets\YAGEO_RC_L.pdf</x:v>
      </x:c>
      <x:c xmlns:x="http://schemas.openxmlformats.org/spreadsheetml/2006/main" r="W437" t="str" s="11">
        <x:v>Даташит — производитель</x:v>
      </x:c>
      <x:c xmlns:x="http://schemas.openxmlformats.org/spreadsheetml/2006/main" r="X437" t="str" s="11">
        <x:v>https://yageogroup.com/content/datasheet/asset/file/PYU-RC_GROUP_51_ROHS_L</x:v>
      </x:c>
      <x:c xmlns:x="http://schemas.openxmlformats.org/spreadsheetml/2006/main" r="Y437" t="str" s="11">
        <x:v>C:\Users\Nomatin\Documents\Altium\MY_LIB\MY_LIB\Datasheets\YAGEO_RC_L.pdf</x:v>
      </x:c>
      <ns0:c xmlns:ns0="http://schemas.openxmlformats.org/spreadsheetml/2006/main" r="Z437" s="16" t="inlineStr">
        <ns0:is>
          <ns0:t>MY_LIB_R_TCR</ns0:t>
        </ns0:is>
      </ns0:c>
      <ns0:c xmlns:ns0="http://schemas.openxmlformats.org/spreadsheetml/2006/main" r="AA437" s="16" t="inlineStr">
        <ns0:is>
          <ns0:t>R(T), +100 ppm/C at 25 C; positive datasheet limit</ns0:t>
        </ns0:is>
      </ns0:c>
      <ns0:c xmlns:ns0="http://schemas.openxmlformats.org/spreadsheetml/2006/main" r="AB437" s="16" t="str">
        <ns0:v>General</ns0:v>
      </ns0:c>
      <ns0:c xmlns:ns0="http://schemas.openxmlformats.org/spreadsheetml/2006/main" r="AC437" s="16" t="inlineStr">
        <ns0:is>
          <ns0:t>Spice Subcircuit</ns0:t>
        </ns0:is>
      </ns0:c>
      <ns0:c xmlns:ns0="http://schemas.openxmlformats.org/spreadsheetml/2006/main" r="AD437" s="16" t="inlineStr">
        <ns0:is>
          <ns0:t>@DESIGNATOR %1 %2 @MODEL PARAMS: Rvalue=@VALUE TC1value=100u</ns0:t>
        </ns0:is>
      </ns0:c>
      <ns0:c xmlns:ns0="http://schemas.openxmlformats.org/spreadsheetml/2006/main" r="AE437" s="16" t="inlineStr">
        <ns0:is>
          <ns0:t>X</ns0:t>
        </ns0:is>
      </ns0:c>
      <ns0:c xmlns:ns0="http://schemas.openxmlformats.org/spreadsheetml/2006/main" r="AF437" s="16" t="str">
        <ns0:v>(1:1),(2:2)</ns0:v>
      </ns0:c>
      <ns0:c xmlns:ns0="http://schemas.openxmlformats.org/spreadsheetml/2006/main" r="AG437" s="16" t="inlineStr">
        <ns0:is>
          <ns0:t>Simulation\Resistors\MY_LIB_R_TCR.ckt</ns0:t>
        </ns0:is>
      </ns0:c>
      <ns0:c xmlns:ns0="http://schemas.openxmlformats.org/spreadsheetml/2006/main" r="AH437" s="16" t="inlineStr">
        <ns0:is>
          <ns0:t>±100 ppm/°C</ns0:t>
        </ns0:is>
      </ns0:c>
    </ns0:row>
    <ns0:row xmlns:ns0="http://schemas.openxmlformats.org/spreadsheetml/2006/main" r="438" ht="30" customHeight="1">
      <ns0:c r="A438" t="str" s="10">
        <ns0:v>R0444</ns0:v>
      </ns0:c>
      <ns0:c r="B438" t="str" s="10">
        <ns0:v>Резистор</ns0:v>
      </ns0:c>
      <ns0:c r="C438" t="str" s="10">
        <ns0:v>1meg</ns0:v>
      </ns0:c>
      <ns0:c r="D438" t="str" s="11">
        <ns0:f>SUBSTITUTE(SUBSTITUTE(SUBSTITUTE(SUBSTITUTE(C438,"meg"," МОм"),"k"," кОм"),"R"," Ом"),".",",")</ns0:f>
        <ns0:v>1 МОм</ns0:v>
      </ns0:c>
      <ns0:c r="E438" t="str" s="10">
        <ns0:v>±1%</ns0:v>
      </ns0:c>
      <ns0:c r="F438" t="str" s="10">
        <ns0:v>0,1 Вт</ns0:v>
      </ns0:c>
      <ns0:c r="G438" t="str" s="10">
        <ns0:v>75 В макс.</ns0:v>
      </ns0:c>
      <ns0:c r="H438" t="str" s="12">
        <ns0:v>0603</ns0:v>
      </ns0:c>
      <ns0:c r="I438" t="str" s="10">
        <ns0:v>YAGEO</ns0:v>
      </ns0:c>
      <ns0:c r="J438" t="str" s="10">
        <ns0:v>RC0603FR-071ML</ns0:v>
      </ns0:c>
      <ns0:c r="K438" t="str" s="11">
        <ns0:f>B438&amp;" "&amp;D438&amp;" "&amp;E438&amp;" "&amp;H438</ns0:f>
        <ns0:v>Резистор 1 МОм ±1% 0603</ns0:v>
      </ns0:c>
      <ns0:c r="L438" t="str" s="13">
        <ns0:v>R</ns0:v>
      </ns0:c>
      <ns0:c r="M438" t="str" s="13">
        <ns0:v>Symbols\MY_LIB_Resistors.SchLib</ns0:v>
      </ns0:c>
      <ns0:c r="N438" t="str" s="13">
        <ns0:v>RESC1608X55N</ns0:v>
      </ns0:c>
      <ns0:c r="O438" t="str" s="13">
        <ns0:v>Footprints\PBL - SMD Packages.PcbLib</ns0:v>
      </ns0:c>
      <ns0:c xmlns:ns0="http://schemas.openxmlformats.org/spreadsheetml/2006/main" r="P43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38" s="10"/>
      <ns0:c r="R438" t="str" s="11">
        <ns0:f>D438</ns0:f>
        <ns0:v>1 МОм</ns0:v>
      </ns0:c>
      <ns0:c r="S438" t="str" s="11">
        <ns0:f>K438</ns0:f>
        <ns0:v>Резистор 1 МОм ±1% 0603</ns0:v>
      </ns0:c>
      <x:c xmlns:x="http://schemas.openxmlformats.org/spreadsheetml/2006/main" r="T438" t="str" s="11">
        <x:v>C:\Users\Nomatin\Documents\Altium\MY_LIB\MY_LIB\Datasheets\YAGEO_RC_L.pdf</x:v>
      </x:c>
      <x:c xmlns:x="http://schemas.openxmlformats.org/spreadsheetml/2006/main" r="U438" t="str" s="11">
        <x:v>Даташит — локальный</x:v>
      </x:c>
      <x:c xmlns:x="http://schemas.openxmlformats.org/spreadsheetml/2006/main" r="V438" t="str" s="11">
        <x:v>C:\Users\Nomatin\Documents\Altium\MY_LIB\MY_LIB\Datasheets\YAGEO_RC_L.pdf</x:v>
      </x:c>
      <x:c xmlns:x="http://schemas.openxmlformats.org/spreadsheetml/2006/main" r="W438" t="str" s="11">
        <x:v>Даташит — производитель</x:v>
      </x:c>
      <x:c xmlns:x="http://schemas.openxmlformats.org/spreadsheetml/2006/main" r="X438" t="str" s="11">
        <x:v>https://yageogroup.com/content/datasheet/asset/file/PYU-RC_GROUP_51_ROHS_L</x:v>
      </x:c>
      <x:c xmlns:x="http://schemas.openxmlformats.org/spreadsheetml/2006/main" r="Y438" t="str" s="11">
        <x:v>C:\Users\Nomatin\Documents\Altium\MY_LIB\MY_LIB\Datasheets\YAGEO_RC_L.pdf</x:v>
      </x:c>
      <ns0:c xmlns:ns0="http://schemas.openxmlformats.org/spreadsheetml/2006/main" r="Z438" s="16" t="inlineStr">
        <ns0:is>
          <ns0:t>MY_LIB_R_TCR</ns0:t>
        </ns0:is>
      </ns0:c>
      <ns0:c xmlns:ns0="http://schemas.openxmlformats.org/spreadsheetml/2006/main" r="AA438" s="16" t="inlineStr">
        <ns0:is>
          <ns0:t>R(T), +100 ppm/C at 25 C; positive datasheet limit</ns0:t>
        </ns0:is>
      </ns0:c>
      <ns0:c xmlns:ns0="http://schemas.openxmlformats.org/spreadsheetml/2006/main" r="AB438" s="16" t="str">
        <ns0:v>General</ns0:v>
      </ns0:c>
      <ns0:c xmlns:ns0="http://schemas.openxmlformats.org/spreadsheetml/2006/main" r="AC438" s="16" t="inlineStr">
        <ns0:is>
          <ns0:t>Spice Subcircuit</ns0:t>
        </ns0:is>
      </ns0:c>
      <ns0:c xmlns:ns0="http://schemas.openxmlformats.org/spreadsheetml/2006/main" r="AD438" s="16" t="inlineStr">
        <ns0:is>
          <ns0:t>@DESIGNATOR %1 %2 @MODEL PARAMS: Rvalue=@VALUE TC1value=100u</ns0:t>
        </ns0:is>
      </ns0:c>
      <ns0:c xmlns:ns0="http://schemas.openxmlformats.org/spreadsheetml/2006/main" r="AE438" s="16" t="inlineStr">
        <ns0:is>
          <ns0:t>X</ns0:t>
        </ns0:is>
      </ns0:c>
      <ns0:c xmlns:ns0="http://schemas.openxmlformats.org/spreadsheetml/2006/main" r="AF438" s="16" t="str">
        <ns0:v>(1:1),(2:2)</ns0:v>
      </ns0:c>
      <ns0:c xmlns:ns0="http://schemas.openxmlformats.org/spreadsheetml/2006/main" r="AG438" s="16" t="inlineStr">
        <ns0:is>
          <ns0:t>Simulation\Resistors\MY_LIB_R_TCR.ckt</ns0:t>
        </ns0:is>
      </ns0:c>
      <ns0:c xmlns:ns0="http://schemas.openxmlformats.org/spreadsheetml/2006/main" r="AH438" s="16" t="inlineStr">
        <ns0:is>
          <ns0:t>±100 ppm/°C</ns0:t>
        </ns0:is>
      </ns0:c>
    </ns0:row>
    <ns0:row xmlns:ns0="http://schemas.openxmlformats.org/spreadsheetml/2006/main" r="439" ht="30" customHeight="1">
      <ns0:c r="A439" t="str" s="10">
        <ns0:v>R0445</ns0:v>
      </ns0:c>
      <ns0:c r="B439" t="str" s="10">
        <ns0:v>Резистор</ns0:v>
      </ns0:c>
      <ns0:c r="C439" t="str" s="10">
        <ns0:v>1R</ns0:v>
      </ns0:c>
      <ns0:c r="D439" t="str" s="11">
        <ns0:f>SUBSTITUTE(SUBSTITUTE(SUBSTITUTE(SUBSTITUTE(C439,"meg"," МОм"),"k"," кОм"),"R"," Ом"),".",",")</ns0:f>
        <ns0:v>1 Ом</ns0:v>
      </ns0:c>
      <ns0:c r="E439" t="str" s="10">
        <ns0:v>±1%</ns0:v>
      </ns0:c>
      <ns0:c r="F439" t="str" s="10">
        <ns0:v>0,125 Вт</ns0:v>
      </ns0:c>
      <ns0:c r="G439" t="str" s="10">
        <ns0:v>150 В макс.</ns0:v>
      </ns0:c>
      <ns0:c r="H439" t="str" s="12">
        <ns0:v>0805</ns0:v>
      </ns0:c>
      <ns0:c r="I439" t="str" s="10">
        <ns0:v>YAGEO</ns0:v>
      </ns0:c>
      <ns0:c r="J439" t="str" s="10">
        <ns0:v>RC0805FR-071RL</ns0:v>
      </ns0:c>
      <ns0:c r="K439" t="str" s="11">
        <ns0:f>B439&amp;" "&amp;D439&amp;" "&amp;E439&amp;" "&amp;H439</ns0:f>
        <ns0:v>Резистор 1 Ом ±1% 0805</ns0:v>
      </ns0:c>
      <ns0:c r="L439" t="str" s="13">
        <ns0:v>R</ns0:v>
      </ns0:c>
      <ns0:c r="M439" t="str" s="13">
        <ns0:v>Symbols\MY_LIB_Resistors.SchLib</ns0:v>
      </ns0:c>
      <ns0:c r="N439" t="str" s="13">
        <ns0:v>RESC2012X70N</ns0:v>
      </ns0:c>
      <ns0:c r="O439" t="str" s="13">
        <ns0:v>Footprints\PBL - SMD Packages.PcbLib</ns0:v>
      </ns0:c>
      <ns0:c xmlns:ns0="http://schemas.openxmlformats.org/spreadsheetml/2006/main" r="P439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39" s="10"/>
      <ns0:c r="R439" t="str" s="11">
        <ns0:f>D439</ns0:f>
        <ns0:v>1 Ом</ns0:v>
      </ns0:c>
      <ns0:c r="S439" t="str" s="11">
        <ns0:f>K439</ns0:f>
        <ns0:v>Резистор 1 Ом ±1% 0805</ns0:v>
      </ns0:c>
      <x:c xmlns:x="http://schemas.openxmlformats.org/spreadsheetml/2006/main" r="T439" t="str" s="11">
        <x:v>C:\Users\Nomatin\Documents\Altium\MY_LIB\MY_LIB\Datasheets\YAGEO_RC_L.pdf</x:v>
      </x:c>
      <x:c xmlns:x="http://schemas.openxmlformats.org/spreadsheetml/2006/main" r="U439" t="str" s="11">
        <x:v>Даташит — локальный</x:v>
      </x:c>
      <x:c xmlns:x="http://schemas.openxmlformats.org/spreadsheetml/2006/main" r="V439" t="str" s="11">
        <x:v>C:\Users\Nomatin\Documents\Altium\MY_LIB\MY_LIB\Datasheets\YAGEO_RC_L.pdf</x:v>
      </x:c>
      <x:c xmlns:x="http://schemas.openxmlformats.org/spreadsheetml/2006/main" r="W439" t="str" s="11">
        <x:v>Даташит — производитель</x:v>
      </x:c>
      <x:c xmlns:x="http://schemas.openxmlformats.org/spreadsheetml/2006/main" r="X439" t="str" s="11">
        <x:v>https://yageogroup.com/content/datasheet/asset/file/PYU-RC_GROUP_51_ROHS_L</x:v>
      </x:c>
      <x:c xmlns:x="http://schemas.openxmlformats.org/spreadsheetml/2006/main" r="Y439" t="str" s="11">
        <x:v>C:\Users\Nomatin\Documents\Altium\MY_LIB\MY_LIB\Datasheets\YAGEO_RC_L.pdf</x:v>
      </x:c>
      <ns0:c xmlns:ns0="http://schemas.openxmlformats.org/spreadsheetml/2006/main" r="Z439" s="16" t="inlineStr">
        <ns0:is>
          <ns0:t>MY_LIB_R_TCR</ns0:t>
        </ns0:is>
      </ns0:c>
      <ns0:c xmlns:ns0="http://schemas.openxmlformats.org/spreadsheetml/2006/main" r="AA439" s="16" t="inlineStr">
        <ns0:is>
          <ns0:t>R(T), +200 ppm/C at 25 C; positive datasheet limit</ns0:t>
        </ns0:is>
      </ns0:c>
      <ns0:c xmlns:ns0="http://schemas.openxmlformats.org/spreadsheetml/2006/main" r="AB439" s="16" t="str">
        <ns0:v>General</ns0:v>
      </ns0:c>
      <ns0:c xmlns:ns0="http://schemas.openxmlformats.org/spreadsheetml/2006/main" r="AC439" s="16" t="inlineStr">
        <ns0:is>
          <ns0:t>Spice Subcircuit</ns0:t>
        </ns0:is>
      </ns0:c>
      <ns0:c xmlns:ns0="http://schemas.openxmlformats.org/spreadsheetml/2006/main" r="AD439" s="16" t="inlineStr">
        <ns0:is>
          <ns0:t>@DESIGNATOR %1 %2 @MODEL PARAMS: Rvalue=@VALUE TC1value=200u</ns0:t>
        </ns0:is>
      </ns0:c>
      <ns0:c xmlns:ns0="http://schemas.openxmlformats.org/spreadsheetml/2006/main" r="AE439" s="16" t="inlineStr">
        <ns0:is>
          <ns0:t>X</ns0:t>
        </ns0:is>
      </ns0:c>
      <ns0:c xmlns:ns0="http://schemas.openxmlformats.org/spreadsheetml/2006/main" r="AF439" s="16" t="str">
        <ns0:v>(1:1),(2:2)</ns0:v>
      </ns0:c>
      <ns0:c xmlns:ns0="http://schemas.openxmlformats.org/spreadsheetml/2006/main" r="AG439" s="16" t="inlineStr">
        <ns0:is>
          <ns0:t>Simulation\Resistors\MY_LIB_R_TCR.ckt</ns0:t>
        </ns0:is>
      </ns0:c>
      <ns0:c xmlns:ns0="http://schemas.openxmlformats.org/spreadsheetml/2006/main" r="AH439" s="16" t="inlineStr">
        <ns0:is>
          <ns0:t>±200 ppm/°C</ns0:t>
        </ns0:is>
      </ns0:c>
    </ns0:row>
    <ns0:row xmlns:ns0="http://schemas.openxmlformats.org/spreadsheetml/2006/main" r="440" ht="30" customHeight="1">
      <ns0:c r="A440" t="str" s="10">
        <ns0:v>R0446</ns0:v>
      </ns0:c>
      <ns0:c r="B440" t="str" s="10">
        <ns0:v>Резистор</ns0:v>
      </ns0:c>
      <ns0:c r="C440" t="str" s="10">
        <ns0:v>1.1R</ns0:v>
      </ns0:c>
      <ns0:c r="D440" t="str" s="11">
        <ns0:f>SUBSTITUTE(SUBSTITUTE(SUBSTITUTE(SUBSTITUTE(C440,"meg"," МОм"),"k"," кОм"),"R"," Ом"),".",",")</ns0:f>
        <ns0:v>1,1 Ом</ns0:v>
      </ns0:c>
      <ns0:c r="E440" t="str" s="10">
        <ns0:v>±1%</ns0:v>
      </ns0:c>
      <ns0:c r="F440" t="str" s="10">
        <ns0:v>0,125 Вт</ns0:v>
      </ns0:c>
      <ns0:c r="G440" t="str" s="10">
        <ns0:v>150 В макс.</ns0:v>
      </ns0:c>
      <ns0:c r="H440" t="str" s="12">
        <ns0:v>0805</ns0:v>
      </ns0:c>
      <ns0:c r="I440" t="str" s="10">
        <ns0:v>YAGEO</ns0:v>
      </ns0:c>
      <ns0:c r="J440" t="str" s="10">
        <ns0:v>RC0805FR-071R1L</ns0:v>
      </ns0:c>
      <ns0:c r="K440" t="str" s="11">
        <ns0:f>B440&amp;" "&amp;D440&amp;" "&amp;E440&amp;" "&amp;H440</ns0:f>
        <ns0:v>Резистор 1,1 Ом ±1% 0805</ns0:v>
      </ns0:c>
      <ns0:c r="L440" t="str" s="13">
        <ns0:v>R</ns0:v>
      </ns0:c>
      <ns0:c r="M440" t="str" s="13">
        <ns0:v>Symbols\MY_LIB_Resistors.SchLib</ns0:v>
      </ns0:c>
      <ns0:c r="N440" t="str" s="13">
        <ns0:v>RESC2012X70N</ns0:v>
      </ns0:c>
      <ns0:c r="O440" t="str" s="13">
        <ns0:v>Footprints\PBL - SMD Packages.PcbLib</ns0:v>
      </ns0:c>
      <ns0:c xmlns:ns0="http://schemas.openxmlformats.org/spreadsheetml/2006/main" r="P440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0" s="10"/>
      <ns0:c r="R440" t="str" s="11">
        <ns0:f>D440</ns0:f>
        <ns0:v>1,1 Ом</ns0:v>
      </ns0:c>
      <ns0:c r="S440" t="str" s="11">
        <ns0:f>K440</ns0:f>
        <ns0:v>Резистор 1,1 Ом ±1% 0805</ns0:v>
      </ns0:c>
      <x:c xmlns:x="http://schemas.openxmlformats.org/spreadsheetml/2006/main" r="T440" t="str" s="11">
        <x:v>C:\Users\Nomatin\Documents\Altium\MY_LIB\MY_LIB\Datasheets\YAGEO_RC_L.pdf</x:v>
      </x:c>
      <x:c xmlns:x="http://schemas.openxmlformats.org/spreadsheetml/2006/main" r="U440" t="str" s="11">
        <x:v>Даташит — локальный</x:v>
      </x:c>
      <x:c xmlns:x="http://schemas.openxmlformats.org/spreadsheetml/2006/main" r="V440" t="str" s="11">
        <x:v>C:\Users\Nomatin\Documents\Altium\MY_LIB\MY_LIB\Datasheets\YAGEO_RC_L.pdf</x:v>
      </x:c>
      <x:c xmlns:x="http://schemas.openxmlformats.org/spreadsheetml/2006/main" r="W440" t="str" s="11">
        <x:v>Даташит — производитель</x:v>
      </x:c>
      <x:c xmlns:x="http://schemas.openxmlformats.org/spreadsheetml/2006/main" r="X440" t="str" s="11">
        <x:v>https://yageogroup.com/content/datasheet/asset/file/PYU-RC_GROUP_51_ROHS_L</x:v>
      </x:c>
      <x:c xmlns:x="http://schemas.openxmlformats.org/spreadsheetml/2006/main" r="Y440" t="str" s="11">
        <x:v>C:\Users\Nomatin\Documents\Altium\MY_LIB\MY_LIB\Datasheets\YAGEO_RC_L.pdf</x:v>
      </x:c>
      <ns0:c xmlns:ns0="http://schemas.openxmlformats.org/spreadsheetml/2006/main" r="Z440" s="16" t="inlineStr">
        <ns0:is>
          <ns0:t>MY_LIB_R_TCR</ns0:t>
        </ns0:is>
      </ns0:c>
      <ns0:c xmlns:ns0="http://schemas.openxmlformats.org/spreadsheetml/2006/main" r="AA440" s="16" t="inlineStr">
        <ns0:is>
          <ns0:t>R(T), +200 ppm/C at 25 C; positive datasheet limit</ns0:t>
        </ns0:is>
      </ns0:c>
      <ns0:c xmlns:ns0="http://schemas.openxmlformats.org/spreadsheetml/2006/main" r="AB440" s="16" t="str">
        <ns0:v>General</ns0:v>
      </ns0:c>
      <ns0:c xmlns:ns0="http://schemas.openxmlformats.org/spreadsheetml/2006/main" r="AC440" s="16" t="inlineStr">
        <ns0:is>
          <ns0:t>Spice Subcircuit</ns0:t>
        </ns0:is>
      </ns0:c>
      <ns0:c xmlns:ns0="http://schemas.openxmlformats.org/spreadsheetml/2006/main" r="AD440" s="16" t="inlineStr">
        <ns0:is>
          <ns0:t>@DESIGNATOR %1 %2 @MODEL PARAMS: Rvalue=@VALUE TC1value=200u</ns0:t>
        </ns0:is>
      </ns0:c>
      <ns0:c xmlns:ns0="http://schemas.openxmlformats.org/spreadsheetml/2006/main" r="AE440" s="16" t="inlineStr">
        <ns0:is>
          <ns0:t>X</ns0:t>
        </ns0:is>
      </ns0:c>
      <ns0:c xmlns:ns0="http://schemas.openxmlformats.org/spreadsheetml/2006/main" r="AF440" s="16" t="str">
        <ns0:v>(1:1),(2:2)</ns0:v>
      </ns0:c>
      <ns0:c xmlns:ns0="http://schemas.openxmlformats.org/spreadsheetml/2006/main" r="AG440" s="16" t="inlineStr">
        <ns0:is>
          <ns0:t>Simulation\Resistors\MY_LIB_R_TCR.ckt</ns0:t>
        </ns0:is>
      </ns0:c>
      <ns0:c xmlns:ns0="http://schemas.openxmlformats.org/spreadsheetml/2006/main" r="AH440" s="16" t="inlineStr">
        <ns0:is>
          <ns0:t>±200 ppm/°C</ns0:t>
        </ns0:is>
      </ns0:c>
    </ns0:row>
    <ns0:row xmlns:ns0="http://schemas.openxmlformats.org/spreadsheetml/2006/main" r="441" ht="30" customHeight="1">
      <ns0:c r="A441" t="str" s="10">
        <ns0:v>R0447</ns0:v>
      </ns0:c>
      <ns0:c r="B441" t="str" s="10">
        <ns0:v>Резистор</ns0:v>
      </ns0:c>
      <ns0:c r="C441" t="str" s="10">
        <ns0:v>1.2R</ns0:v>
      </ns0:c>
      <ns0:c r="D441" t="str" s="11">
        <ns0:f>SUBSTITUTE(SUBSTITUTE(SUBSTITUTE(SUBSTITUTE(C441,"meg"," МОм"),"k"," кОм"),"R"," Ом"),".",",")</ns0:f>
        <ns0:v>1,2 Ом</ns0:v>
      </ns0:c>
      <ns0:c r="E441" t="str" s="10">
        <ns0:v>±1%</ns0:v>
      </ns0:c>
      <ns0:c r="F441" t="str" s="10">
        <ns0:v>0,125 Вт</ns0:v>
      </ns0:c>
      <ns0:c r="G441" t="str" s="10">
        <ns0:v>150 В макс.</ns0:v>
      </ns0:c>
      <ns0:c r="H441" t="str" s="12">
        <ns0:v>0805</ns0:v>
      </ns0:c>
      <ns0:c r="I441" t="str" s="10">
        <ns0:v>YAGEO</ns0:v>
      </ns0:c>
      <ns0:c r="J441" t="str" s="10">
        <ns0:v>RC0805FR-071R2L</ns0:v>
      </ns0:c>
      <ns0:c r="K441" t="str" s="11">
        <ns0:f>B441&amp;" "&amp;D441&amp;" "&amp;E441&amp;" "&amp;H441</ns0:f>
        <ns0:v>Резистор 1,2 Ом ±1% 0805</ns0:v>
      </ns0:c>
      <ns0:c r="L441" t="str" s="13">
        <ns0:v>R</ns0:v>
      </ns0:c>
      <ns0:c r="M441" t="str" s="13">
        <ns0:v>Symbols\MY_LIB_Resistors.SchLib</ns0:v>
      </ns0:c>
      <ns0:c r="N441" t="str" s="13">
        <ns0:v>RESC2012X70N</ns0:v>
      </ns0:c>
      <ns0:c r="O441" t="str" s="13">
        <ns0:v>Footprints\PBL - SMD Packages.PcbLib</ns0:v>
      </ns0:c>
      <ns0:c xmlns:ns0="http://schemas.openxmlformats.org/spreadsheetml/2006/main" r="P441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1" s="10"/>
      <ns0:c r="R441" t="str" s="11">
        <ns0:f>D441</ns0:f>
        <ns0:v>1,2 Ом</ns0:v>
      </ns0:c>
      <ns0:c r="S441" t="str" s="11">
        <ns0:f>K441</ns0:f>
        <ns0:v>Резистор 1,2 Ом ±1% 0805</ns0:v>
      </ns0:c>
      <x:c xmlns:x="http://schemas.openxmlformats.org/spreadsheetml/2006/main" r="T441" t="str" s="11">
        <x:v>C:\Users\Nomatin\Documents\Altium\MY_LIB\MY_LIB\Datasheets\YAGEO_RC_L.pdf</x:v>
      </x:c>
      <x:c xmlns:x="http://schemas.openxmlformats.org/spreadsheetml/2006/main" r="U441" t="str" s="11">
        <x:v>Даташит — локальный</x:v>
      </x:c>
      <x:c xmlns:x="http://schemas.openxmlformats.org/spreadsheetml/2006/main" r="V441" t="str" s="11">
        <x:v>C:\Users\Nomatin\Documents\Altium\MY_LIB\MY_LIB\Datasheets\YAGEO_RC_L.pdf</x:v>
      </x:c>
      <x:c xmlns:x="http://schemas.openxmlformats.org/spreadsheetml/2006/main" r="W441" t="str" s="11">
        <x:v>Даташит — производитель</x:v>
      </x:c>
      <x:c xmlns:x="http://schemas.openxmlformats.org/spreadsheetml/2006/main" r="X441" t="str" s="11">
        <x:v>https://yageogroup.com/content/datasheet/asset/file/PYU-RC_GROUP_51_ROHS_L</x:v>
      </x:c>
      <x:c xmlns:x="http://schemas.openxmlformats.org/spreadsheetml/2006/main" r="Y441" t="str" s="11">
        <x:v>C:\Users\Nomatin\Documents\Altium\MY_LIB\MY_LIB\Datasheets\YAGEO_RC_L.pdf</x:v>
      </x:c>
      <ns0:c xmlns:ns0="http://schemas.openxmlformats.org/spreadsheetml/2006/main" r="Z441" s="16" t="inlineStr">
        <ns0:is>
          <ns0:t>MY_LIB_R_TCR</ns0:t>
        </ns0:is>
      </ns0:c>
      <ns0:c xmlns:ns0="http://schemas.openxmlformats.org/spreadsheetml/2006/main" r="AA441" s="16" t="inlineStr">
        <ns0:is>
          <ns0:t>R(T), +200 ppm/C at 25 C; positive datasheet limit</ns0:t>
        </ns0:is>
      </ns0:c>
      <ns0:c xmlns:ns0="http://schemas.openxmlformats.org/spreadsheetml/2006/main" r="AB441" s="16" t="str">
        <ns0:v>General</ns0:v>
      </ns0:c>
      <ns0:c xmlns:ns0="http://schemas.openxmlformats.org/spreadsheetml/2006/main" r="AC441" s="16" t="inlineStr">
        <ns0:is>
          <ns0:t>Spice Subcircuit</ns0:t>
        </ns0:is>
      </ns0:c>
      <ns0:c xmlns:ns0="http://schemas.openxmlformats.org/spreadsheetml/2006/main" r="AD441" s="16" t="inlineStr">
        <ns0:is>
          <ns0:t>@DESIGNATOR %1 %2 @MODEL PARAMS: Rvalue=@VALUE TC1value=200u</ns0:t>
        </ns0:is>
      </ns0:c>
      <ns0:c xmlns:ns0="http://schemas.openxmlformats.org/spreadsheetml/2006/main" r="AE441" s="16" t="inlineStr">
        <ns0:is>
          <ns0:t>X</ns0:t>
        </ns0:is>
      </ns0:c>
      <ns0:c xmlns:ns0="http://schemas.openxmlformats.org/spreadsheetml/2006/main" r="AF441" s="16" t="str">
        <ns0:v>(1:1),(2:2)</ns0:v>
      </ns0:c>
      <ns0:c xmlns:ns0="http://schemas.openxmlformats.org/spreadsheetml/2006/main" r="AG441" s="16" t="inlineStr">
        <ns0:is>
          <ns0:t>Simulation\Resistors\MY_LIB_R_TCR.ckt</ns0:t>
        </ns0:is>
      </ns0:c>
      <ns0:c xmlns:ns0="http://schemas.openxmlformats.org/spreadsheetml/2006/main" r="AH441" s="16" t="inlineStr">
        <ns0:is>
          <ns0:t>±200 ppm/°C</ns0:t>
        </ns0:is>
      </ns0:c>
    </ns0:row>
    <ns0:row xmlns:ns0="http://schemas.openxmlformats.org/spreadsheetml/2006/main" r="442" ht="30" customHeight="1">
      <ns0:c r="A442" t="str" s="10">
        <ns0:v>R0448</ns0:v>
      </ns0:c>
      <ns0:c r="B442" t="str" s="10">
        <ns0:v>Резистор</ns0:v>
      </ns0:c>
      <ns0:c r="C442" t="str" s="10">
        <ns0:v>1.3R</ns0:v>
      </ns0:c>
      <ns0:c r="D442" t="str" s="11">
        <ns0:f>SUBSTITUTE(SUBSTITUTE(SUBSTITUTE(SUBSTITUTE(C442,"meg"," МОм"),"k"," кОм"),"R"," Ом"),".",",")</ns0:f>
        <ns0:v>1,3 Ом</ns0:v>
      </ns0:c>
      <ns0:c r="E442" t="str" s="10">
        <ns0:v>±1%</ns0:v>
      </ns0:c>
      <ns0:c r="F442" t="str" s="10">
        <ns0:v>0,125 Вт</ns0:v>
      </ns0:c>
      <ns0:c r="G442" t="str" s="10">
        <ns0:v>150 В макс.</ns0:v>
      </ns0:c>
      <ns0:c r="H442" t="str" s="12">
        <ns0:v>0805</ns0:v>
      </ns0:c>
      <ns0:c r="I442" t="str" s="10">
        <ns0:v>YAGEO</ns0:v>
      </ns0:c>
      <ns0:c r="J442" t="str" s="10">
        <ns0:v>RC0805FR-071R3L</ns0:v>
      </ns0:c>
      <ns0:c r="K442" t="str" s="11">
        <ns0:f>B442&amp;" "&amp;D442&amp;" "&amp;E442&amp;" "&amp;H442</ns0:f>
        <ns0:v>Резистор 1,3 Ом ±1% 0805</ns0:v>
      </ns0:c>
      <ns0:c r="L442" t="str" s="13">
        <ns0:v>R</ns0:v>
      </ns0:c>
      <ns0:c r="M442" t="str" s="13">
        <ns0:v>Symbols\MY_LIB_Resistors.SchLib</ns0:v>
      </ns0:c>
      <ns0:c r="N442" t="str" s="13">
        <ns0:v>RESC2012X70N</ns0:v>
      </ns0:c>
      <ns0:c r="O442" t="str" s="13">
        <ns0:v>Footprints\PBL - SMD Packages.PcbLib</ns0:v>
      </ns0:c>
      <ns0:c xmlns:ns0="http://schemas.openxmlformats.org/spreadsheetml/2006/main" r="P442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2" s="10"/>
      <ns0:c r="R442" t="str" s="11">
        <ns0:f>D442</ns0:f>
        <ns0:v>1,3 Ом</ns0:v>
      </ns0:c>
      <ns0:c r="S442" t="str" s="11">
        <ns0:f>K442</ns0:f>
        <ns0:v>Резистор 1,3 Ом ±1% 0805</ns0:v>
      </ns0:c>
      <x:c xmlns:x="http://schemas.openxmlformats.org/spreadsheetml/2006/main" r="T442" t="str" s="11">
        <x:v>C:\Users\Nomatin\Documents\Altium\MY_LIB\MY_LIB\Datasheets\YAGEO_RC_L.pdf</x:v>
      </x:c>
      <x:c xmlns:x="http://schemas.openxmlformats.org/spreadsheetml/2006/main" r="U442" t="str" s="11">
        <x:v>Даташит — локальный</x:v>
      </x:c>
      <x:c xmlns:x="http://schemas.openxmlformats.org/spreadsheetml/2006/main" r="V442" t="str" s="11">
        <x:v>C:\Users\Nomatin\Documents\Altium\MY_LIB\MY_LIB\Datasheets\YAGEO_RC_L.pdf</x:v>
      </x:c>
      <x:c xmlns:x="http://schemas.openxmlformats.org/spreadsheetml/2006/main" r="W442" t="str" s="11">
        <x:v>Даташит — производитель</x:v>
      </x:c>
      <x:c xmlns:x="http://schemas.openxmlformats.org/spreadsheetml/2006/main" r="X442" t="str" s="11">
        <x:v>https://yageogroup.com/content/datasheet/asset/file/PYU-RC_GROUP_51_ROHS_L</x:v>
      </x:c>
      <x:c xmlns:x="http://schemas.openxmlformats.org/spreadsheetml/2006/main" r="Y442" t="str" s="11">
        <x:v>C:\Users\Nomatin\Documents\Altium\MY_LIB\MY_LIB\Datasheets\YAGEO_RC_L.pdf</x:v>
      </x:c>
      <ns0:c xmlns:ns0="http://schemas.openxmlformats.org/spreadsheetml/2006/main" r="Z442" s="16" t="inlineStr">
        <ns0:is>
          <ns0:t>MY_LIB_R_TCR</ns0:t>
        </ns0:is>
      </ns0:c>
      <ns0:c xmlns:ns0="http://schemas.openxmlformats.org/spreadsheetml/2006/main" r="AA442" s="16" t="inlineStr">
        <ns0:is>
          <ns0:t>R(T), +200 ppm/C at 25 C; positive datasheet limit</ns0:t>
        </ns0:is>
      </ns0:c>
      <ns0:c xmlns:ns0="http://schemas.openxmlformats.org/spreadsheetml/2006/main" r="AB442" s="16" t="str">
        <ns0:v>General</ns0:v>
      </ns0:c>
      <ns0:c xmlns:ns0="http://schemas.openxmlformats.org/spreadsheetml/2006/main" r="AC442" s="16" t="inlineStr">
        <ns0:is>
          <ns0:t>Spice Subcircuit</ns0:t>
        </ns0:is>
      </ns0:c>
      <ns0:c xmlns:ns0="http://schemas.openxmlformats.org/spreadsheetml/2006/main" r="AD442" s="16" t="inlineStr">
        <ns0:is>
          <ns0:t>@DESIGNATOR %1 %2 @MODEL PARAMS: Rvalue=@VALUE TC1value=200u</ns0:t>
        </ns0:is>
      </ns0:c>
      <ns0:c xmlns:ns0="http://schemas.openxmlformats.org/spreadsheetml/2006/main" r="AE442" s="16" t="inlineStr">
        <ns0:is>
          <ns0:t>X</ns0:t>
        </ns0:is>
      </ns0:c>
      <ns0:c xmlns:ns0="http://schemas.openxmlformats.org/spreadsheetml/2006/main" r="AF442" s="16" t="str">
        <ns0:v>(1:1),(2:2)</ns0:v>
      </ns0:c>
      <ns0:c xmlns:ns0="http://schemas.openxmlformats.org/spreadsheetml/2006/main" r="AG442" s="16" t="inlineStr">
        <ns0:is>
          <ns0:t>Simulation\Resistors\MY_LIB_R_TCR.ckt</ns0:t>
        </ns0:is>
      </ns0:c>
      <ns0:c xmlns:ns0="http://schemas.openxmlformats.org/spreadsheetml/2006/main" r="AH442" s="16" t="inlineStr">
        <ns0:is>
          <ns0:t>±200 ppm/°C</ns0:t>
        </ns0:is>
      </ns0:c>
    </ns0:row>
    <ns0:row xmlns:ns0="http://schemas.openxmlformats.org/spreadsheetml/2006/main" r="443" ht="30" customHeight="1">
      <ns0:c r="A443" t="str" s="10">
        <ns0:v>R0449</ns0:v>
      </ns0:c>
      <ns0:c r="B443" t="str" s="10">
        <ns0:v>Резистор</ns0:v>
      </ns0:c>
      <ns0:c r="C443" t="str" s="10">
        <ns0:v>1.5R</ns0:v>
      </ns0:c>
      <ns0:c r="D443" t="str" s="11">
        <ns0:f>SUBSTITUTE(SUBSTITUTE(SUBSTITUTE(SUBSTITUTE(C443,"meg"," МОм"),"k"," кОм"),"R"," Ом"),".",",")</ns0:f>
        <ns0:v>1,5 Ом</ns0:v>
      </ns0:c>
      <ns0:c r="E443" t="str" s="10">
        <ns0:v>±1%</ns0:v>
      </ns0:c>
      <ns0:c r="F443" t="str" s="10">
        <ns0:v>0,125 Вт</ns0:v>
      </ns0:c>
      <ns0:c r="G443" t="str" s="10">
        <ns0:v>150 В макс.</ns0:v>
      </ns0:c>
      <ns0:c r="H443" t="str" s="12">
        <ns0:v>0805</ns0:v>
      </ns0:c>
      <ns0:c r="I443" t="str" s="10">
        <ns0:v>YAGEO</ns0:v>
      </ns0:c>
      <ns0:c r="J443" t="str" s="10">
        <ns0:v>RC0805FR-071R5L</ns0:v>
      </ns0:c>
      <ns0:c r="K443" t="str" s="11">
        <ns0:f>B443&amp;" "&amp;D443&amp;" "&amp;E443&amp;" "&amp;H443</ns0:f>
        <ns0:v>Резистор 1,5 Ом ±1% 0805</ns0:v>
      </ns0:c>
      <ns0:c r="L443" t="str" s="13">
        <ns0:v>R</ns0:v>
      </ns0:c>
      <ns0:c r="M443" t="str" s="13">
        <ns0:v>Symbols\MY_LIB_Resistors.SchLib</ns0:v>
      </ns0:c>
      <ns0:c r="N443" t="str" s="13">
        <ns0:v>RESC2012X70N</ns0:v>
      </ns0:c>
      <ns0:c r="O443" t="str" s="13">
        <ns0:v>Footprints\PBL - SMD Packages.PcbLib</ns0:v>
      </ns0:c>
      <ns0:c xmlns:ns0="http://schemas.openxmlformats.org/spreadsheetml/2006/main" r="P443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3" s="10"/>
      <ns0:c r="R443" t="str" s="11">
        <ns0:f>D443</ns0:f>
        <ns0:v>1,5 Ом</ns0:v>
      </ns0:c>
      <ns0:c r="S443" t="str" s="11">
        <ns0:f>K443</ns0:f>
        <ns0:v>Резистор 1,5 Ом ±1% 0805</ns0:v>
      </ns0:c>
      <x:c xmlns:x="http://schemas.openxmlformats.org/spreadsheetml/2006/main" r="T443" t="str" s="11">
        <x:v>C:\Users\Nomatin\Documents\Altium\MY_LIB\MY_LIB\Datasheets\YAGEO_RC_L.pdf</x:v>
      </x:c>
      <x:c xmlns:x="http://schemas.openxmlformats.org/spreadsheetml/2006/main" r="U443" t="str" s="11">
        <x:v>Даташит — локальный</x:v>
      </x:c>
      <x:c xmlns:x="http://schemas.openxmlformats.org/spreadsheetml/2006/main" r="V443" t="str" s="11">
        <x:v>C:\Users\Nomatin\Documents\Altium\MY_LIB\MY_LIB\Datasheets\YAGEO_RC_L.pdf</x:v>
      </x:c>
      <x:c xmlns:x="http://schemas.openxmlformats.org/spreadsheetml/2006/main" r="W443" t="str" s="11">
        <x:v>Даташит — производитель</x:v>
      </x:c>
      <x:c xmlns:x="http://schemas.openxmlformats.org/spreadsheetml/2006/main" r="X443" t="str" s="11">
        <x:v>https://yageogroup.com/content/datasheet/asset/file/PYU-RC_GROUP_51_ROHS_L</x:v>
      </x:c>
      <x:c xmlns:x="http://schemas.openxmlformats.org/spreadsheetml/2006/main" r="Y443" t="str" s="11">
        <x:v>C:\Users\Nomatin\Documents\Altium\MY_LIB\MY_LIB\Datasheets\YAGEO_RC_L.pdf</x:v>
      </x:c>
      <ns0:c xmlns:ns0="http://schemas.openxmlformats.org/spreadsheetml/2006/main" r="Z443" s="16" t="inlineStr">
        <ns0:is>
          <ns0:t>MY_LIB_R_TCR</ns0:t>
        </ns0:is>
      </ns0:c>
      <ns0:c xmlns:ns0="http://schemas.openxmlformats.org/spreadsheetml/2006/main" r="AA443" s="16" t="inlineStr">
        <ns0:is>
          <ns0:t>R(T), +200 ppm/C at 25 C; positive datasheet limit</ns0:t>
        </ns0:is>
      </ns0:c>
      <ns0:c xmlns:ns0="http://schemas.openxmlformats.org/spreadsheetml/2006/main" r="AB443" s="16" t="str">
        <ns0:v>General</ns0:v>
      </ns0:c>
      <ns0:c xmlns:ns0="http://schemas.openxmlformats.org/spreadsheetml/2006/main" r="AC443" s="16" t="inlineStr">
        <ns0:is>
          <ns0:t>Spice Subcircuit</ns0:t>
        </ns0:is>
      </ns0:c>
      <ns0:c xmlns:ns0="http://schemas.openxmlformats.org/spreadsheetml/2006/main" r="AD443" s="16" t="inlineStr">
        <ns0:is>
          <ns0:t>@DESIGNATOR %1 %2 @MODEL PARAMS: Rvalue=@VALUE TC1value=200u</ns0:t>
        </ns0:is>
      </ns0:c>
      <ns0:c xmlns:ns0="http://schemas.openxmlformats.org/spreadsheetml/2006/main" r="AE443" s="16" t="inlineStr">
        <ns0:is>
          <ns0:t>X</ns0:t>
        </ns0:is>
      </ns0:c>
      <ns0:c xmlns:ns0="http://schemas.openxmlformats.org/spreadsheetml/2006/main" r="AF443" s="16" t="str">
        <ns0:v>(1:1),(2:2)</ns0:v>
      </ns0:c>
      <ns0:c xmlns:ns0="http://schemas.openxmlformats.org/spreadsheetml/2006/main" r="AG443" s="16" t="inlineStr">
        <ns0:is>
          <ns0:t>Simulation\Resistors\MY_LIB_R_TCR.ckt</ns0:t>
        </ns0:is>
      </ns0:c>
      <ns0:c xmlns:ns0="http://schemas.openxmlformats.org/spreadsheetml/2006/main" r="AH443" s="16" t="inlineStr">
        <ns0:is>
          <ns0:t>±200 ppm/°C</ns0:t>
        </ns0:is>
      </ns0:c>
    </ns0:row>
    <ns0:row xmlns:ns0="http://schemas.openxmlformats.org/spreadsheetml/2006/main" r="444" ht="30" customHeight="1">
      <ns0:c r="A444" t="str" s="10">
        <ns0:v>R0450</ns0:v>
      </ns0:c>
      <ns0:c r="B444" t="str" s="10">
        <ns0:v>Резистор</ns0:v>
      </ns0:c>
      <ns0:c r="C444" t="str" s="10">
        <ns0:v>1.6R</ns0:v>
      </ns0:c>
      <ns0:c r="D444" t="str" s="11">
        <ns0:f>SUBSTITUTE(SUBSTITUTE(SUBSTITUTE(SUBSTITUTE(C444,"meg"," МОм"),"k"," кОм"),"R"," Ом"),".",",")</ns0:f>
        <ns0:v>1,6 Ом</ns0:v>
      </ns0:c>
      <ns0:c r="E444" t="str" s="10">
        <ns0:v>±1%</ns0:v>
      </ns0:c>
      <ns0:c r="F444" t="str" s="10">
        <ns0:v>0,125 Вт</ns0:v>
      </ns0:c>
      <ns0:c r="G444" t="str" s="10">
        <ns0:v>150 В макс.</ns0:v>
      </ns0:c>
      <ns0:c r="H444" t="str" s="12">
        <ns0:v>0805</ns0:v>
      </ns0:c>
      <ns0:c r="I444" t="str" s="10">
        <ns0:v>YAGEO</ns0:v>
      </ns0:c>
      <ns0:c r="J444" t="str" s="10">
        <ns0:v>RC0805FR-071R6L</ns0:v>
      </ns0:c>
      <ns0:c r="K444" t="str" s="11">
        <ns0:f>B444&amp;" "&amp;D444&amp;" "&amp;E444&amp;" "&amp;H444</ns0:f>
        <ns0:v>Резистор 1,6 Ом ±1% 0805</ns0:v>
      </ns0:c>
      <ns0:c r="L444" t="str" s="13">
        <ns0:v>R</ns0:v>
      </ns0:c>
      <ns0:c r="M444" t="str" s="13">
        <ns0:v>Symbols\MY_LIB_Resistors.SchLib</ns0:v>
      </ns0:c>
      <ns0:c r="N444" t="str" s="13">
        <ns0:v>RESC2012X70N</ns0:v>
      </ns0:c>
      <ns0:c r="O444" t="str" s="13">
        <ns0:v>Footprints\PBL - SMD Packages.PcbLib</ns0:v>
      </ns0:c>
      <ns0:c xmlns:ns0="http://schemas.openxmlformats.org/spreadsheetml/2006/main" r="P444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4" s="10"/>
      <ns0:c r="R444" t="str" s="11">
        <ns0:f>D444</ns0:f>
        <ns0:v>1,6 Ом</ns0:v>
      </ns0:c>
      <ns0:c r="S444" t="str" s="11">
        <ns0:f>K444</ns0:f>
        <ns0:v>Резистор 1,6 Ом ±1% 0805</ns0:v>
      </ns0:c>
      <x:c xmlns:x="http://schemas.openxmlformats.org/spreadsheetml/2006/main" r="T444" t="str" s="11">
        <x:v>C:\Users\Nomatin\Documents\Altium\MY_LIB\MY_LIB\Datasheets\YAGEO_RC_L.pdf</x:v>
      </x:c>
      <x:c xmlns:x="http://schemas.openxmlformats.org/spreadsheetml/2006/main" r="U444" t="str" s="11">
        <x:v>Даташит — локальный</x:v>
      </x:c>
      <x:c xmlns:x="http://schemas.openxmlformats.org/spreadsheetml/2006/main" r="V444" t="str" s="11">
        <x:v>C:\Users\Nomatin\Documents\Altium\MY_LIB\MY_LIB\Datasheets\YAGEO_RC_L.pdf</x:v>
      </x:c>
      <x:c xmlns:x="http://schemas.openxmlformats.org/spreadsheetml/2006/main" r="W444" t="str" s="11">
        <x:v>Даташит — производитель</x:v>
      </x:c>
      <x:c xmlns:x="http://schemas.openxmlformats.org/spreadsheetml/2006/main" r="X444" t="str" s="11">
        <x:v>https://yageogroup.com/content/datasheet/asset/file/PYU-RC_GROUP_51_ROHS_L</x:v>
      </x:c>
      <x:c xmlns:x="http://schemas.openxmlformats.org/spreadsheetml/2006/main" r="Y444" t="str" s="11">
        <x:v>C:\Users\Nomatin\Documents\Altium\MY_LIB\MY_LIB\Datasheets\YAGEO_RC_L.pdf</x:v>
      </x:c>
      <ns0:c xmlns:ns0="http://schemas.openxmlformats.org/spreadsheetml/2006/main" r="Z444" s="16" t="inlineStr">
        <ns0:is>
          <ns0:t>MY_LIB_R_TCR</ns0:t>
        </ns0:is>
      </ns0:c>
      <ns0:c xmlns:ns0="http://schemas.openxmlformats.org/spreadsheetml/2006/main" r="AA444" s="16" t="inlineStr">
        <ns0:is>
          <ns0:t>R(T), +200 ppm/C at 25 C; positive datasheet limit</ns0:t>
        </ns0:is>
      </ns0:c>
      <ns0:c xmlns:ns0="http://schemas.openxmlformats.org/spreadsheetml/2006/main" r="AB444" s="16" t="str">
        <ns0:v>General</ns0:v>
      </ns0:c>
      <ns0:c xmlns:ns0="http://schemas.openxmlformats.org/spreadsheetml/2006/main" r="AC444" s="16" t="inlineStr">
        <ns0:is>
          <ns0:t>Spice Subcircuit</ns0:t>
        </ns0:is>
      </ns0:c>
      <ns0:c xmlns:ns0="http://schemas.openxmlformats.org/spreadsheetml/2006/main" r="AD444" s="16" t="inlineStr">
        <ns0:is>
          <ns0:t>@DESIGNATOR %1 %2 @MODEL PARAMS: Rvalue=@VALUE TC1value=200u</ns0:t>
        </ns0:is>
      </ns0:c>
      <ns0:c xmlns:ns0="http://schemas.openxmlformats.org/spreadsheetml/2006/main" r="AE444" s="16" t="inlineStr">
        <ns0:is>
          <ns0:t>X</ns0:t>
        </ns0:is>
      </ns0:c>
      <ns0:c xmlns:ns0="http://schemas.openxmlformats.org/spreadsheetml/2006/main" r="AF444" s="16" t="str">
        <ns0:v>(1:1),(2:2)</ns0:v>
      </ns0:c>
      <ns0:c xmlns:ns0="http://schemas.openxmlformats.org/spreadsheetml/2006/main" r="AG444" s="16" t="inlineStr">
        <ns0:is>
          <ns0:t>Simulation\Resistors\MY_LIB_R_TCR.ckt</ns0:t>
        </ns0:is>
      </ns0:c>
      <ns0:c xmlns:ns0="http://schemas.openxmlformats.org/spreadsheetml/2006/main" r="AH444" s="16" t="inlineStr">
        <ns0:is>
          <ns0:t>±200 ppm/°C</ns0:t>
        </ns0:is>
      </ns0:c>
    </ns0:row>
    <ns0:row xmlns:ns0="http://schemas.openxmlformats.org/spreadsheetml/2006/main" r="445" ht="30" customHeight="1">
      <ns0:c r="A445" t="str" s="10">
        <ns0:v>R0451</ns0:v>
      </ns0:c>
      <ns0:c r="B445" t="str" s="10">
        <ns0:v>Резистор</ns0:v>
      </ns0:c>
      <ns0:c r="C445" t="str" s="10">
        <ns0:v>1.8R</ns0:v>
      </ns0:c>
      <ns0:c r="D445" t="str" s="11">
        <ns0:f>SUBSTITUTE(SUBSTITUTE(SUBSTITUTE(SUBSTITUTE(C445,"meg"," МОм"),"k"," кОм"),"R"," Ом"),".",",")</ns0:f>
        <ns0:v>1,8 Ом</ns0:v>
      </ns0:c>
      <ns0:c r="E445" t="str" s="10">
        <ns0:v>±1%</ns0:v>
      </ns0:c>
      <ns0:c r="F445" t="str" s="10">
        <ns0:v>0,125 Вт</ns0:v>
      </ns0:c>
      <ns0:c r="G445" t="str" s="10">
        <ns0:v>150 В макс.</ns0:v>
      </ns0:c>
      <ns0:c r="H445" t="str" s="12">
        <ns0:v>0805</ns0:v>
      </ns0:c>
      <ns0:c r="I445" t="str" s="10">
        <ns0:v>YAGEO</ns0:v>
      </ns0:c>
      <ns0:c r="J445" t="str" s="10">
        <ns0:v>RC0805FR-071R8L</ns0:v>
      </ns0:c>
      <ns0:c r="K445" t="str" s="11">
        <ns0:f>B445&amp;" "&amp;D445&amp;" "&amp;E445&amp;" "&amp;H445</ns0:f>
        <ns0:v>Резистор 1,8 Ом ±1% 0805</ns0:v>
      </ns0:c>
      <ns0:c r="L445" t="str" s="13">
        <ns0:v>R</ns0:v>
      </ns0:c>
      <ns0:c r="M445" t="str" s="13">
        <ns0:v>Symbols\MY_LIB_Resistors.SchLib</ns0:v>
      </ns0:c>
      <ns0:c r="N445" t="str" s="13">
        <ns0:v>RESC2012X70N</ns0:v>
      </ns0:c>
      <ns0:c r="O445" t="str" s="13">
        <ns0:v>Footprints\PBL - SMD Packages.PcbLib</ns0:v>
      </ns0:c>
      <ns0:c xmlns:ns0="http://schemas.openxmlformats.org/spreadsheetml/2006/main" r="P445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5" s="10"/>
      <ns0:c r="R445" t="str" s="11">
        <ns0:f>D445</ns0:f>
        <ns0:v>1,8 Ом</ns0:v>
      </ns0:c>
      <ns0:c r="S445" t="str" s="11">
        <ns0:f>K445</ns0:f>
        <ns0:v>Резистор 1,8 Ом ±1% 0805</ns0:v>
      </ns0:c>
      <x:c xmlns:x="http://schemas.openxmlformats.org/spreadsheetml/2006/main" r="T445" t="str" s="11">
        <x:v>C:\Users\Nomatin\Documents\Altium\MY_LIB\MY_LIB\Datasheets\YAGEO_RC_L.pdf</x:v>
      </x:c>
      <x:c xmlns:x="http://schemas.openxmlformats.org/spreadsheetml/2006/main" r="U445" t="str" s="11">
        <x:v>Даташит — локальный</x:v>
      </x:c>
      <x:c xmlns:x="http://schemas.openxmlformats.org/spreadsheetml/2006/main" r="V445" t="str" s="11">
        <x:v>C:\Users\Nomatin\Documents\Altium\MY_LIB\MY_LIB\Datasheets\YAGEO_RC_L.pdf</x:v>
      </x:c>
      <x:c xmlns:x="http://schemas.openxmlformats.org/spreadsheetml/2006/main" r="W445" t="str" s="11">
        <x:v>Даташит — производитель</x:v>
      </x:c>
      <x:c xmlns:x="http://schemas.openxmlformats.org/spreadsheetml/2006/main" r="X445" t="str" s="11">
        <x:v>https://yageogroup.com/content/datasheet/asset/file/PYU-RC_GROUP_51_ROHS_L</x:v>
      </x:c>
      <x:c xmlns:x="http://schemas.openxmlformats.org/spreadsheetml/2006/main" r="Y445" t="str" s="11">
        <x:v>C:\Users\Nomatin\Documents\Altium\MY_LIB\MY_LIB\Datasheets\YAGEO_RC_L.pdf</x:v>
      </x:c>
      <ns0:c xmlns:ns0="http://schemas.openxmlformats.org/spreadsheetml/2006/main" r="Z445" s="16" t="inlineStr">
        <ns0:is>
          <ns0:t>MY_LIB_R_TCR</ns0:t>
        </ns0:is>
      </ns0:c>
      <ns0:c xmlns:ns0="http://schemas.openxmlformats.org/spreadsheetml/2006/main" r="AA445" s="16" t="inlineStr">
        <ns0:is>
          <ns0:t>R(T), +200 ppm/C at 25 C; positive datasheet limit</ns0:t>
        </ns0:is>
      </ns0:c>
      <ns0:c xmlns:ns0="http://schemas.openxmlformats.org/spreadsheetml/2006/main" r="AB445" s="16" t="str">
        <ns0:v>General</ns0:v>
      </ns0:c>
      <ns0:c xmlns:ns0="http://schemas.openxmlformats.org/spreadsheetml/2006/main" r="AC445" s="16" t="inlineStr">
        <ns0:is>
          <ns0:t>Spice Subcircuit</ns0:t>
        </ns0:is>
      </ns0:c>
      <ns0:c xmlns:ns0="http://schemas.openxmlformats.org/spreadsheetml/2006/main" r="AD445" s="16" t="inlineStr">
        <ns0:is>
          <ns0:t>@DESIGNATOR %1 %2 @MODEL PARAMS: Rvalue=@VALUE TC1value=200u</ns0:t>
        </ns0:is>
      </ns0:c>
      <ns0:c xmlns:ns0="http://schemas.openxmlformats.org/spreadsheetml/2006/main" r="AE445" s="16" t="inlineStr">
        <ns0:is>
          <ns0:t>X</ns0:t>
        </ns0:is>
      </ns0:c>
      <ns0:c xmlns:ns0="http://schemas.openxmlformats.org/spreadsheetml/2006/main" r="AF445" s="16" t="str">
        <ns0:v>(1:1),(2:2)</ns0:v>
      </ns0:c>
      <ns0:c xmlns:ns0="http://schemas.openxmlformats.org/spreadsheetml/2006/main" r="AG445" s="16" t="inlineStr">
        <ns0:is>
          <ns0:t>Simulation\Resistors\MY_LIB_R_TCR.ckt</ns0:t>
        </ns0:is>
      </ns0:c>
      <ns0:c xmlns:ns0="http://schemas.openxmlformats.org/spreadsheetml/2006/main" r="AH445" s="16" t="inlineStr">
        <ns0:is>
          <ns0:t>±200 ppm/°C</ns0:t>
        </ns0:is>
      </ns0:c>
    </ns0:row>
    <ns0:row xmlns:ns0="http://schemas.openxmlformats.org/spreadsheetml/2006/main" r="446" ht="30" customHeight="1">
      <ns0:c r="A446" t="str" s="10">
        <ns0:v>R0452</ns0:v>
      </ns0:c>
      <ns0:c r="B446" t="str" s="10">
        <ns0:v>Резистор</ns0:v>
      </ns0:c>
      <ns0:c r="C446" t="str" s="10">
        <ns0:v>2R</ns0:v>
      </ns0:c>
      <ns0:c r="D446" t="str" s="11">
        <ns0:f>SUBSTITUTE(SUBSTITUTE(SUBSTITUTE(SUBSTITUTE(C446,"meg"," МОм"),"k"," кОм"),"R"," Ом"),".",",")</ns0:f>
        <ns0:v>2 Ом</ns0:v>
      </ns0:c>
      <ns0:c r="E446" t="str" s="10">
        <ns0:v>±1%</ns0:v>
      </ns0:c>
      <ns0:c r="F446" t="str" s="10">
        <ns0:v>0,125 Вт</ns0:v>
      </ns0:c>
      <ns0:c r="G446" t="str" s="10">
        <ns0:v>150 В макс.</ns0:v>
      </ns0:c>
      <ns0:c r="H446" t="str" s="12">
        <ns0:v>0805</ns0:v>
      </ns0:c>
      <ns0:c r="I446" t="str" s="10">
        <ns0:v>YAGEO</ns0:v>
      </ns0:c>
      <ns0:c r="J446" t="str" s="10">
        <ns0:v>RC0805FR-072RL</ns0:v>
      </ns0:c>
      <ns0:c r="K446" t="str" s="11">
        <ns0:f>B446&amp;" "&amp;D446&amp;" "&amp;E446&amp;" "&amp;H446</ns0:f>
        <ns0:v>Резистор 2 Ом ±1% 0805</ns0:v>
      </ns0:c>
      <ns0:c r="L446" t="str" s="13">
        <ns0:v>R</ns0:v>
      </ns0:c>
      <ns0:c r="M446" t="str" s="13">
        <ns0:v>Symbols\MY_LIB_Resistors.SchLib</ns0:v>
      </ns0:c>
      <ns0:c r="N446" t="str" s="13">
        <ns0:v>RESC2012X70N</ns0:v>
      </ns0:c>
      <ns0:c r="O446" t="str" s="13">
        <ns0:v>Footprints\PBL - SMD Packages.PcbLib</ns0:v>
      </ns0:c>
      <ns0:c xmlns:ns0="http://schemas.openxmlformats.org/spreadsheetml/2006/main" r="P446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6" s="10"/>
      <ns0:c r="R446" t="str" s="11">
        <ns0:f>D446</ns0:f>
        <ns0:v>2 Ом</ns0:v>
      </ns0:c>
      <ns0:c r="S446" t="str" s="11">
        <ns0:f>K446</ns0:f>
        <ns0:v>Резистор 2 Ом ±1% 0805</ns0:v>
      </ns0:c>
      <x:c xmlns:x="http://schemas.openxmlformats.org/spreadsheetml/2006/main" r="T446" t="str" s="11">
        <x:v>C:\Users\Nomatin\Documents\Altium\MY_LIB\MY_LIB\Datasheets\YAGEO_RC_L.pdf</x:v>
      </x:c>
      <x:c xmlns:x="http://schemas.openxmlformats.org/spreadsheetml/2006/main" r="U446" t="str" s="11">
        <x:v>Даташит — локальный</x:v>
      </x:c>
      <x:c xmlns:x="http://schemas.openxmlformats.org/spreadsheetml/2006/main" r="V446" t="str" s="11">
        <x:v>C:\Users\Nomatin\Documents\Altium\MY_LIB\MY_LIB\Datasheets\YAGEO_RC_L.pdf</x:v>
      </x:c>
      <x:c xmlns:x="http://schemas.openxmlformats.org/spreadsheetml/2006/main" r="W446" t="str" s="11">
        <x:v>Даташит — производитель</x:v>
      </x:c>
      <x:c xmlns:x="http://schemas.openxmlformats.org/spreadsheetml/2006/main" r="X446" t="str" s="11">
        <x:v>https://yageogroup.com/content/datasheet/asset/file/PYU-RC_GROUP_51_ROHS_L</x:v>
      </x:c>
      <x:c xmlns:x="http://schemas.openxmlformats.org/spreadsheetml/2006/main" r="Y446" t="str" s="11">
        <x:v>C:\Users\Nomatin\Documents\Altium\MY_LIB\MY_LIB\Datasheets\YAGEO_RC_L.pdf</x:v>
      </x:c>
      <ns0:c xmlns:ns0="http://schemas.openxmlformats.org/spreadsheetml/2006/main" r="Z446" s="16" t="inlineStr">
        <ns0:is>
          <ns0:t>MY_LIB_R_TCR</ns0:t>
        </ns0:is>
      </ns0:c>
      <ns0:c xmlns:ns0="http://schemas.openxmlformats.org/spreadsheetml/2006/main" r="AA446" s="16" t="inlineStr">
        <ns0:is>
          <ns0:t>R(T), +200 ppm/C at 25 C; positive datasheet limit</ns0:t>
        </ns0:is>
      </ns0:c>
      <ns0:c xmlns:ns0="http://schemas.openxmlformats.org/spreadsheetml/2006/main" r="AB446" s="16" t="str">
        <ns0:v>General</ns0:v>
      </ns0:c>
      <ns0:c xmlns:ns0="http://schemas.openxmlformats.org/spreadsheetml/2006/main" r="AC446" s="16" t="inlineStr">
        <ns0:is>
          <ns0:t>Spice Subcircuit</ns0:t>
        </ns0:is>
      </ns0:c>
      <ns0:c xmlns:ns0="http://schemas.openxmlformats.org/spreadsheetml/2006/main" r="AD446" s="16" t="inlineStr">
        <ns0:is>
          <ns0:t>@DESIGNATOR %1 %2 @MODEL PARAMS: Rvalue=@VALUE TC1value=200u</ns0:t>
        </ns0:is>
      </ns0:c>
      <ns0:c xmlns:ns0="http://schemas.openxmlformats.org/spreadsheetml/2006/main" r="AE446" s="16" t="inlineStr">
        <ns0:is>
          <ns0:t>X</ns0:t>
        </ns0:is>
      </ns0:c>
      <ns0:c xmlns:ns0="http://schemas.openxmlformats.org/spreadsheetml/2006/main" r="AF446" s="16" t="str">
        <ns0:v>(1:1),(2:2)</ns0:v>
      </ns0:c>
      <ns0:c xmlns:ns0="http://schemas.openxmlformats.org/spreadsheetml/2006/main" r="AG446" s="16" t="inlineStr">
        <ns0:is>
          <ns0:t>Simulation\Resistors\MY_LIB_R_TCR.ckt</ns0:t>
        </ns0:is>
      </ns0:c>
      <ns0:c xmlns:ns0="http://schemas.openxmlformats.org/spreadsheetml/2006/main" r="AH446" s="16" t="inlineStr">
        <ns0:is>
          <ns0:t>±200 ppm/°C</ns0:t>
        </ns0:is>
      </ns0:c>
    </ns0:row>
    <ns0:row xmlns:ns0="http://schemas.openxmlformats.org/spreadsheetml/2006/main" r="447" ht="30" customHeight="1">
      <ns0:c r="A447" t="str" s="10">
        <ns0:v>R0453</ns0:v>
      </ns0:c>
      <ns0:c r="B447" t="str" s="10">
        <ns0:v>Резистор</ns0:v>
      </ns0:c>
      <ns0:c r="C447" t="str" s="10">
        <ns0:v>2.2R</ns0:v>
      </ns0:c>
      <ns0:c r="D447" t="str" s="11">
        <ns0:f>SUBSTITUTE(SUBSTITUTE(SUBSTITUTE(SUBSTITUTE(C447,"meg"," МОм"),"k"," кОм"),"R"," Ом"),".",",")</ns0:f>
        <ns0:v>2,2 Ом</ns0:v>
      </ns0:c>
      <ns0:c r="E447" t="str" s="10">
        <ns0:v>±1%</ns0:v>
      </ns0:c>
      <ns0:c r="F447" t="str" s="10">
        <ns0:v>0,125 Вт</ns0:v>
      </ns0:c>
      <ns0:c r="G447" t="str" s="10">
        <ns0:v>150 В макс.</ns0:v>
      </ns0:c>
      <ns0:c r="H447" t="str" s="12">
        <ns0:v>0805</ns0:v>
      </ns0:c>
      <ns0:c r="I447" t="str" s="10">
        <ns0:v>YAGEO</ns0:v>
      </ns0:c>
      <ns0:c r="J447" t="str" s="10">
        <ns0:v>RC0805FR-072R2L</ns0:v>
      </ns0:c>
      <ns0:c r="K447" t="str" s="11">
        <ns0:f>B447&amp;" "&amp;D447&amp;" "&amp;E447&amp;" "&amp;H447</ns0:f>
        <ns0:v>Резистор 2,2 Ом ±1% 0805</ns0:v>
      </ns0:c>
      <ns0:c r="L447" t="str" s="13">
        <ns0:v>R</ns0:v>
      </ns0:c>
      <ns0:c r="M447" t="str" s="13">
        <ns0:v>Symbols\MY_LIB_Resistors.SchLib</ns0:v>
      </ns0:c>
      <ns0:c r="N447" t="str" s="13">
        <ns0:v>RESC2012X70N</ns0:v>
      </ns0:c>
      <ns0:c r="O447" t="str" s="13">
        <ns0:v>Footprints\PBL - SMD Packages.PcbLib</ns0:v>
      </ns0:c>
      <ns0:c xmlns:ns0="http://schemas.openxmlformats.org/spreadsheetml/2006/main" r="P447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7" s="10"/>
      <ns0:c r="R447" t="str" s="11">
        <ns0:f>D447</ns0:f>
        <ns0:v>2,2 Ом</ns0:v>
      </ns0:c>
      <ns0:c r="S447" t="str" s="11">
        <ns0:f>K447</ns0:f>
        <ns0:v>Резистор 2,2 Ом ±1% 0805</ns0:v>
      </ns0:c>
      <x:c xmlns:x="http://schemas.openxmlformats.org/spreadsheetml/2006/main" r="T447" t="str" s="11">
        <x:v>C:\Users\Nomatin\Documents\Altium\MY_LIB\MY_LIB\Datasheets\YAGEO_RC_L.pdf</x:v>
      </x:c>
      <x:c xmlns:x="http://schemas.openxmlformats.org/spreadsheetml/2006/main" r="U447" t="str" s="11">
        <x:v>Даташит — локальный</x:v>
      </x:c>
      <x:c xmlns:x="http://schemas.openxmlformats.org/spreadsheetml/2006/main" r="V447" t="str" s="11">
        <x:v>C:\Users\Nomatin\Documents\Altium\MY_LIB\MY_LIB\Datasheets\YAGEO_RC_L.pdf</x:v>
      </x:c>
      <x:c xmlns:x="http://schemas.openxmlformats.org/spreadsheetml/2006/main" r="W447" t="str" s="11">
        <x:v>Даташит — производитель</x:v>
      </x:c>
      <x:c xmlns:x="http://schemas.openxmlformats.org/spreadsheetml/2006/main" r="X447" t="str" s="11">
        <x:v>https://yageogroup.com/content/datasheet/asset/file/PYU-RC_GROUP_51_ROHS_L</x:v>
      </x:c>
      <x:c xmlns:x="http://schemas.openxmlformats.org/spreadsheetml/2006/main" r="Y447" t="str" s="11">
        <x:v>C:\Users\Nomatin\Documents\Altium\MY_LIB\MY_LIB\Datasheets\YAGEO_RC_L.pdf</x:v>
      </x:c>
      <ns0:c xmlns:ns0="http://schemas.openxmlformats.org/spreadsheetml/2006/main" r="Z447" s="16" t="inlineStr">
        <ns0:is>
          <ns0:t>MY_LIB_R_TCR</ns0:t>
        </ns0:is>
      </ns0:c>
      <ns0:c xmlns:ns0="http://schemas.openxmlformats.org/spreadsheetml/2006/main" r="AA447" s="16" t="inlineStr">
        <ns0:is>
          <ns0:t>R(T), +200 ppm/C at 25 C; positive datasheet limit</ns0:t>
        </ns0:is>
      </ns0:c>
      <ns0:c xmlns:ns0="http://schemas.openxmlformats.org/spreadsheetml/2006/main" r="AB447" s="16" t="str">
        <ns0:v>General</ns0:v>
      </ns0:c>
      <ns0:c xmlns:ns0="http://schemas.openxmlformats.org/spreadsheetml/2006/main" r="AC447" s="16" t="inlineStr">
        <ns0:is>
          <ns0:t>Spice Subcircuit</ns0:t>
        </ns0:is>
      </ns0:c>
      <ns0:c xmlns:ns0="http://schemas.openxmlformats.org/spreadsheetml/2006/main" r="AD447" s="16" t="inlineStr">
        <ns0:is>
          <ns0:t>@DESIGNATOR %1 %2 @MODEL PARAMS: Rvalue=@VALUE TC1value=200u</ns0:t>
        </ns0:is>
      </ns0:c>
      <ns0:c xmlns:ns0="http://schemas.openxmlformats.org/spreadsheetml/2006/main" r="AE447" s="16" t="inlineStr">
        <ns0:is>
          <ns0:t>X</ns0:t>
        </ns0:is>
      </ns0:c>
      <ns0:c xmlns:ns0="http://schemas.openxmlformats.org/spreadsheetml/2006/main" r="AF447" s="16" t="str">
        <ns0:v>(1:1),(2:2)</ns0:v>
      </ns0:c>
      <ns0:c xmlns:ns0="http://schemas.openxmlformats.org/spreadsheetml/2006/main" r="AG447" s="16" t="inlineStr">
        <ns0:is>
          <ns0:t>Simulation\Resistors\MY_LIB_R_TCR.ckt</ns0:t>
        </ns0:is>
      </ns0:c>
      <ns0:c xmlns:ns0="http://schemas.openxmlformats.org/spreadsheetml/2006/main" r="AH447" s="16" t="inlineStr">
        <ns0:is>
          <ns0:t>±200 ppm/°C</ns0:t>
        </ns0:is>
      </ns0:c>
    </ns0:row>
    <ns0:row xmlns:ns0="http://schemas.openxmlformats.org/spreadsheetml/2006/main" r="448" ht="30" customHeight="1">
      <ns0:c r="A448" t="str" s="10">
        <ns0:v>R0454</ns0:v>
      </ns0:c>
      <ns0:c r="B448" t="str" s="10">
        <ns0:v>Резистор</ns0:v>
      </ns0:c>
      <ns0:c r="C448" t="str" s="10">
        <ns0:v>2.4R</ns0:v>
      </ns0:c>
      <ns0:c r="D448" t="str" s="11">
        <ns0:f>SUBSTITUTE(SUBSTITUTE(SUBSTITUTE(SUBSTITUTE(C448,"meg"," МОм"),"k"," кОм"),"R"," Ом"),".",",")</ns0:f>
        <ns0:v>2,4 Ом</ns0:v>
      </ns0:c>
      <ns0:c r="E448" t="str" s="10">
        <ns0:v>±1%</ns0:v>
      </ns0:c>
      <ns0:c r="F448" t="str" s="10">
        <ns0:v>0,125 Вт</ns0:v>
      </ns0:c>
      <ns0:c r="G448" t="str" s="10">
        <ns0:v>150 В макс.</ns0:v>
      </ns0:c>
      <ns0:c r="H448" t="str" s="12">
        <ns0:v>0805</ns0:v>
      </ns0:c>
      <ns0:c r="I448" t="str" s="10">
        <ns0:v>YAGEO</ns0:v>
      </ns0:c>
      <ns0:c r="J448" t="str" s="10">
        <ns0:v>RC0805FR-072R4L</ns0:v>
      </ns0:c>
      <ns0:c r="K448" t="str" s="11">
        <ns0:f>B448&amp;" "&amp;D448&amp;" "&amp;E448&amp;" "&amp;H448</ns0:f>
        <ns0:v>Резистор 2,4 Ом ±1% 0805</ns0:v>
      </ns0:c>
      <ns0:c r="L448" t="str" s="13">
        <ns0:v>R</ns0:v>
      </ns0:c>
      <ns0:c r="M448" t="str" s="13">
        <ns0:v>Symbols\MY_LIB_Resistors.SchLib</ns0:v>
      </ns0:c>
      <ns0:c r="N448" t="str" s="13">
        <ns0:v>RESC2012X70N</ns0:v>
      </ns0:c>
      <ns0:c r="O448" t="str" s="13">
        <ns0:v>Footprints\PBL - SMD Packages.PcbLib</ns0:v>
      </ns0:c>
      <ns0:c xmlns:ns0="http://schemas.openxmlformats.org/spreadsheetml/2006/main" r="P448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8" s="10"/>
      <ns0:c r="R448" t="str" s="11">
        <ns0:f>D448</ns0:f>
        <ns0:v>2,4 Ом</ns0:v>
      </ns0:c>
      <ns0:c r="S448" t="str" s="11">
        <ns0:f>K448</ns0:f>
        <ns0:v>Резистор 2,4 Ом ±1% 0805</ns0:v>
      </ns0:c>
      <x:c xmlns:x="http://schemas.openxmlformats.org/spreadsheetml/2006/main" r="T448" t="str" s="11">
        <x:v>C:\Users\Nomatin\Documents\Altium\MY_LIB\MY_LIB\Datasheets\YAGEO_RC_L.pdf</x:v>
      </x:c>
      <x:c xmlns:x="http://schemas.openxmlformats.org/spreadsheetml/2006/main" r="U448" t="str" s="11">
        <x:v>Даташит — локальный</x:v>
      </x:c>
      <x:c xmlns:x="http://schemas.openxmlformats.org/spreadsheetml/2006/main" r="V448" t="str" s="11">
        <x:v>C:\Users\Nomatin\Documents\Altium\MY_LIB\MY_LIB\Datasheets\YAGEO_RC_L.pdf</x:v>
      </x:c>
      <x:c xmlns:x="http://schemas.openxmlformats.org/spreadsheetml/2006/main" r="W448" t="str" s="11">
        <x:v>Даташит — производитель</x:v>
      </x:c>
      <x:c xmlns:x="http://schemas.openxmlformats.org/spreadsheetml/2006/main" r="X448" t="str" s="11">
        <x:v>https://yageogroup.com/content/datasheet/asset/file/PYU-RC_GROUP_51_ROHS_L</x:v>
      </x:c>
      <x:c xmlns:x="http://schemas.openxmlformats.org/spreadsheetml/2006/main" r="Y448" t="str" s="11">
        <x:v>C:\Users\Nomatin\Documents\Altium\MY_LIB\MY_LIB\Datasheets\YAGEO_RC_L.pdf</x:v>
      </x:c>
      <ns0:c xmlns:ns0="http://schemas.openxmlformats.org/spreadsheetml/2006/main" r="Z448" s="16" t="inlineStr">
        <ns0:is>
          <ns0:t>MY_LIB_R_TCR</ns0:t>
        </ns0:is>
      </ns0:c>
      <ns0:c xmlns:ns0="http://schemas.openxmlformats.org/spreadsheetml/2006/main" r="AA448" s="16" t="inlineStr">
        <ns0:is>
          <ns0:t>R(T), +200 ppm/C at 25 C; positive datasheet limit</ns0:t>
        </ns0:is>
      </ns0:c>
      <ns0:c xmlns:ns0="http://schemas.openxmlformats.org/spreadsheetml/2006/main" r="AB448" s="16" t="str">
        <ns0:v>General</ns0:v>
      </ns0:c>
      <ns0:c xmlns:ns0="http://schemas.openxmlformats.org/spreadsheetml/2006/main" r="AC448" s="16" t="inlineStr">
        <ns0:is>
          <ns0:t>Spice Subcircuit</ns0:t>
        </ns0:is>
      </ns0:c>
      <ns0:c xmlns:ns0="http://schemas.openxmlformats.org/spreadsheetml/2006/main" r="AD448" s="16" t="inlineStr">
        <ns0:is>
          <ns0:t>@DESIGNATOR %1 %2 @MODEL PARAMS: Rvalue=@VALUE TC1value=200u</ns0:t>
        </ns0:is>
      </ns0:c>
      <ns0:c xmlns:ns0="http://schemas.openxmlformats.org/spreadsheetml/2006/main" r="AE448" s="16" t="inlineStr">
        <ns0:is>
          <ns0:t>X</ns0:t>
        </ns0:is>
      </ns0:c>
      <ns0:c xmlns:ns0="http://schemas.openxmlformats.org/spreadsheetml/2006/main" r="AF448" s="16" t="str">
        <ns0:v>(1:1),(2:2)</ns0:v>
      </ns0:c>
      <ns0:c xmlns:ns0="http://schemas.openxmlformats.org/spreadsheetml/2006/main" r="AG448" s="16" t="inlineStr">
        <ns0:is>
          <ns0:t>Simulation\Resistors\MY_LIB_R_TCR.ckt</ns0:t>
        </ns0:is>
      </ns0:c>
      <ns0:c xmlns:ns0="http://schemas.openxmlformats.org/spreadsheetml/2006/main" r="AH448" s="16" t="inlineStr">
        <ns0:is>
          <ns0:t>±200 ppm/°C</ns0:t>
        </ns0:is>
      </ns0:c>
    </ns0:row>
    <ns0:row xmlns:ns0="http://schemas.openxmlformats.org/spreadsheetml/2006/main" r="449" ht="30" customHeight="1">
      <ns0:c r="A449" t="str" s="10">
        <ns0:v>R0455</ns0:v>
      </ns0:c>
      <ns0:c r="B449" t="str" s="10">
        <ns0:v>Резистор</ns0:v>
      </ns0:c>
      <ns0:c r="C449" t="str" s="10">
        <ns0:v>2.7R</ns0:v>
      </ns0:c>
      <ns0:c r="D449" t="str" s="11">
        <ns0:f>SUBSTITUTE(SUBSTITUTE(SUBSTITUTE(SUBSTITUTE(C449,"meg"," МОм"),"k"," кОм"),"R"," Ом"),".",",")</ns0:f>
        <ns0:v>2,7 Ом</ns0:v>
      </ns0:c>
      <ns0:c r="E449" t="str" s="10">
        <ns0:v>±1%</ns0:v>
      </ns0:c>
      <ns0:c r="F449" t="str" s="10">
        <ns0:v>0,125 Вт</ns0:v>
      </ns0:c>
      <ns0:c r="G449" t="str" s="10">
        <ns0:v>150 В макс.</ns0:v>
      </ns0:c>
      <ns0:c r="H449" t="str" s="12">
        <ns0:v>0805</ns0:v>
      </ns0:c>
      <ns0:c r="I449" t="str" s="10">
        <ns0:v>YAGEO</ns0:v>
      </ns0:c>
      <ns0:c r="J449" t="str" s="10">
        <ns0:v>RC0805FR-072R7L</ns0:v>
      </ns0:c>
      <ns0:c r="K449" t="str" s="11">
        <ns0:f>B449&amp;" "&amp;D449&amp;" "&amp;E449&amp;" "&amp;H449</ns0:f>
        <ns0:v>Резистор 2,7 Ом ±1% 0805</ns0:v>
      </ns0:c>
      <ns0:c r="L449" t="str" s="13">
        <ns0:v>R</ns0:v>
      </ns0:c>
      <ns0:c r="M449" t="str" s="13">
        <ns0:v>Symbols\MY_LIB_Resistors.SchLib</ns0:v>
      </ns0:c>
      <ns0:c r="N449" t="str" s="13">
        <ns0:v>RESC2012X70N</ns0:v>
      </ns0:c>
      <ns0:c r="O449" t="str" s="13">
        <ns0:v>Footprints\PBL - SMD Packages.PcbLib</ns0:v>
      </ns0:c>
      <ns0:c xmlns:ns0="http://schemas.openxmlformats.org/spreadsheetml/2006/main" r="P449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49" s="10"/>
      <ns0:c r="R449" t="str" s="11">
        <ns0:f>D449</ns0:f>
        <ns0:v>2,7 Ом</ns0:v>
      </ns0:c>
      <ns0:c r="S449" t="str" s="11">
        <ns0:f>K449</ns0:f>
        <ns0:v>Резистор 2,7 Ом ±1% 0805</ns0:v>
      </ns0:c>
      <x:c xmlns:x="http://schemas.openxmlformats.org/spreadsheetml/2006/main" r="T449" t="str" s="11">
        <x:v>C:\Users\Nomatin\Documents\Altium\MY_LIB\MY_LIB\Datasheets\YAGEO_RC_L.pdf</x:v>
      </x:c>
      <x:c xmlns:x="http://schemas.openxmlformats.org/spreadsheetml/2006/main" r="U449" t="str" s="11">
        <x:v>Даташит — локальный</x:v>
      </x:c>
      <x:c xmlns:x="http://schemas.openxmlformats.org/spreadsheetml/2006/main" r="V449" t="str" s="11">
        <x:v>C:\Users\Nomatin\Documents\Altium\MY_LIB\MY_LIB\Datasheets\YAGEO_RC_L.pdf</x:v>
      </x:c>
      <x:c xmlns:x="http://schemas.openxmlformats.org/spreadsheetml/2006/main" r="W449" t="str" s="11">
        <x:v>Даташит — производитель</x:v>
      </x:c>
      <x:c xmlns:x="http://schemas.openxmlformats.org/spreadsheetml/2006/main" r="X449" t="str" s="11">
        <x:v>https://yageogroup.com/content/datasheet/asset/file/PYU-RC_GROUP_51_ROHS_L</x:v>
      </x:c>
      <x:c xmlns:x="http://schemas.openxmlformats.org/spreadsheetml/2006/main" r="Y449" t="str" s="11">
        <x:v>C:\Users\Nomatin\Documents\Altium\MY_LIB\MY_LIB\Datasheets\YAGEO_RC_L.pdf</x:v>
      </x:c>
      <ns0:c xmlns:ns0="http://schemas.openxmlformats.org/spreadsheetml/2006/main" r="Z449" s="16" t="inlineStr">
        <ns0:is>
          <ns0:t>MY_LIB_R_TCR</ns0:t>
        </ns0:is>
      </ns0:c>
      <ns0:c xmlns:ns0="http://schemas.openxmlformats.org/spreadsheetml/2006/main" r="AA449" s="16" t="inlineStr">
        <ns0:is>
          <ns0:t>R(T), +200 ppm/C at 25 C; positive datasheet limit</ns0:t>
        </ns0:is>
      </ns0:c>
      <ns0:c xmlns:ns0="http://schemas.openxmlformats.org/spreadsheetml/2006/main" r="AB449" s="16" t="str">
        <ns0:v>General</ns0:v>
      </ns0:c>
      <ns0:c xmlns:ns0="http://schemas.openxmlformats.org/spreadsheetml/2006/main" r="AC449" s="16" t="inlineStr">
        <ns0:is>
          <ns0:t>Spice Subcircuit</ns0:t>
        </ns0:is>
      </ns0:c>
      <ns0:c xmlns:ns0="http://schemas.openxmlformats.org/spreadsheetml/2006/main" r="AD449" s="16" t="inlineStr">
        <ns0:is>
          <ns0:t>@DESIGNATOR %1 %2 @MODEL PARAMS: Rvalue=@VALUE TC1value=200u</ns0:t>
        </ns0:is>
      </ns0:c>
      <ns0:c xmlns:ns0="http://schemas.openxmlformats.org/spreadsheetml/2006/main" r="AE449" s="16" t="inlineStr">
        <ns0:is>
          <ns0:t>X</ns0:t>
        </ns0:is>
      </ns0:c>
      <ns0:c xmlns:ns0="http://schemas.openxmlformats.org/spreadsheetml/2006/main" r="AF449" s="16" t="str">
        <ns0:v>(1:1),(2:2)</ns0:v>
      </ns0:c>
      <ns0:c xmlns:ns0="http://schemas.openxmlformats.org/spreadsheetml/2006/main" r="AG449" s="16" t="inlineStr">
        <ns0:is>
          <ns0:t>Simulation\Resistors\MY_LIB_R_TCR.ckt</ns0:t>
        </ns0:is>
      </ns0:c>
      <ns0:c xmlns:ns0="http://schemas.openxmlformats.org/spreadsheetml/2006/main" r="AH449" s="16" t="inlineStr">
        <ns0:is>
          <ns0:t>±200 ppm/°C</ns0:t>
        </ns0:is>
      </ns0:c>
    </ns0:row>
    <ns0:row xmlns:ns0="http://schemas.openxmlformats.org/spreadsheetml/2006/main" r="450" ht="30" customHeight="1">
      <ns0:c r="A450" t="str" s="10">
        <ns0:v>R0456</ns0:v>
      </ns0:c>
      <ns0:c r="B450" t="str" s="10">
        <ns0:v>Резистор</ns0:v>
      </ns0:c>
      <ns0:c r="C450" t="str" s="10">
        <ns0:v>3R</ns0:v>
      </ns0:c>
      <ns0:c r="D450" t="str" s="11">
        <ns0:f>SUBSTITUTE(SUBSTITUTE(SUBSTITUTE(SUBSTITUTE(C450,"meg"," МОм"),"k"," кОм"),"R"," Ом"),".",",")</ns0:f>
        <ns0:v>3 Ом</ns0:v>
      </ns0:c>
      <ns0:c r="E450" t="str" s="10">
        <ns0:v>±1%</ns0:v>
      </ns0:c>
      <ns0:c r="F450" t="str" s="10">
        <ns0:v>0,125 Вт</ns0:v>
      </ns0:c>
      <ns0:c r="G450" t="str" s="10">
        <ns0:v>150 В макс.</ns0:v>
      </ns0:c>
      <ns0:c r="H450" t="str" s="12">
        <ns0:v>0805</ns0:v>
      </ns0:c>
      <ns0:c r="I450" t="str" s="10">
        <ns0:v>YAGEO</ns0:v>
      </ns0:c>
      <ns0:c r="J450" t="str" s="10">
        <ns0:v>RC0805FR-073RL</ns0:v>
      </ns0:c>
      <ns0:c r="K450" t="str" s="11">
        <ns0:f>B450&amp;" "&amp;D450&amp;" "&amp;E450&amp;" "&amp;H450</ns0:f>
        <ns0:v>Резистор 3 Ом ±1% 0805</ns0:v>
      </ns0:c>
      <ns0:c r="L450" t="str" s="13">
        <ns0:v>R</ns0:v>
      </ns0:c>
      <ns0:c r="M450" t="str" s="13">
        <ns0:v>Symbols\MY_LIB_Resistors.SchLib</ns0:v>
      </ns0:c>
      <ns0:c r="N450" t="str" s="13">
        <ns0:v>RESC2012X70N</ns0:v>
      </ns0:c>
      <ns0:c r="O450" t="str" s="13">
        <ns0:v>Footprints\PBL - SMD Packages.PcbLib</ns0:v>
      </ns0:c>
      <ns0:c xmlns:ns0="http://schemas.openxmlformats.org/spreadsheetml/2006/main" r="P450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0" s="10"/>
      <ns0:c r="R450" t="str" s="11">
        <ns0:f>D450</ns0:f>
        <ns0:v>3 Ом</ns0:v>
      </ns0:c>
      <ns0:c r="S450" t="str" s="11">
        <ns0:f>K450</ns0:f>
        <ns0:v>Резистор 3 Ом ±1% 0805</ns0:v>
      </ns0:c>
      <x:c xmlns:x="http://schemas.openxmlformats.org/spreadsheetml/2006/main" r="T450" t="str" s="11">
        <x:v>C:\Users\Nomatin\Documents\Altium\MY_LIB\MY_LIB\Datasheets\YAGEO_RC_L.pdf</x:v>
      </x:c>
      <x:c xmlns:x="http://schemas.openxmlformats.org/spreadsheetml/2006/main" r="U450" t="str" s="11">
        <x:v>Даташит — локальный</x:v>
      </x:c>
      <x:c xmlns:x="http://schemas.openxmlformats.org/spreadsheetml/2006/main" r="V450" t="str" s="11">
        <x:v>C:\Users\Nomatin\Documents\Altium\MY_LIB\MY_LIB\Datasheets\YAGEO_RC_L.pdf</x:v>
      </x:c>
      <x:c xmlns:x="http://schemas.openxmlformats.org/spreadsheetml/2006/main" r="W450" t="str" s="11">
        <x:v>Даташит — производитель</x:v>
      </x:c>
      <x:c xmlns:x="http://schemas.openxmlformats.org/spreadsheetml/2006/main" r="X450" t="str" s="11">
        <x:v>https://yageogroup.com/content/datasheet/asset/file/PYU-RC_GROUP_51_ROHS_L</x:v>
      </x:c>
      <x:c xmlns:x="http://schemas.openxmlformats.org/spreadsheetml/2006/main" r="Y450" t="str" s="11">
        <x:v>C:\Users\Nomatin\Documents\Altium\MY_LIB\MY_LIB\Datasheets\YAGEO_RC_L.pdf</x:v>
      </x:c>
      <ns0:c xmlns:ns0="http://schemas.openxmlformats.org/spreadsheetml/2006/main" r="Z450" s="16" t="inlineStr">
        <ns0:is>
          <ns0:t>MY_LIB_R_TCR</ns0:t>
        </ns0:is>
      </ns0:c>
      <ns0:c xmlns:ns0="http://schemas.openxmlformats.org/spreadsheetml/2006/main" r="AA450" s="16" t="inlineStr">
        <ns0:is>
          <ns0:t>R(T), +200 ppm/C at 25 C; positive datasheet limit</ns0:t>
        </ns0:is>
      </ns0:c>
      <ns0:c xmlns:ns0="http://schemas.openxmlformats.org/spreadsheetml/2006/main" r="AB450" s="16" t="str">
        <ns0:v>General</ns0:v>
      </ns0:c>
      <ns0:c xmlns:ns0="http://schemas.openxmlformats.org/spreadsheetml/2006/main" r="AC450" s="16" t="inlineStr">
        <ns0:is>
          <ns0:t>Spice Subcircuit</ns0:t>
        </ns0:is>
      </ns0:c>
      <ns0:c xmlns:ns0="http://schemas.openxmlformats.org/spreadsheetml/2006/main" r="AD450" s="16" t="inlineStr">
        <ns0:is>
          <ns0:t>@DESIGNATOR %1 %2 @MODEL PARAMS: Rvalue=@VALUE TC1value=200u</ns0:t>
        </ns0:is>
      </ns0:c>
      <ns0:c xmlns:ns0="http://schemas.openxmlformats.org/spreadsheetml/2006/main" r="AE450" s="16" t="inlineStr">
        <ns0:is>
          <ns0:t>X</ns0:t>
        </ns0:is>
      </ns0:c>
      <ns0:c xmlns:ns0="http://schemas.openxmlformats.org/spreadsheetml/2006/main" r="AF450" s="16" t="str">
        <ns0:v>(1:1),(2:2)</ns0:v>
      </ns0:c>
      <ns0:c xmlns:ns0="http://schemas.openxmlformats.org/spreadsheetml/2006/main" r="AG450" s="16" t="inlineStr">
        <ns0:is>
          <ns0:t>Simulation\Resistors\MY_LIB_R_TCR.ckt</ns0:t>
        </ns0:is>
      </ns0:c>
      <ns0:c xmlns:ns0="http://schemas.openxmlformats.org/spreadsheetml/2006/main" r="AH450" s="16" t="inlineStr">
        <ns0:is>
          <ns0:t>±200 ppm/°C</ns0:t>
        </ns0:is>
      </ns0:c>
    </ns0:row>
    <ns0:row xmlns:ns0="http://schemas.openxmlformats.org/spreadsheetml/2006/main" r="451" ht="30" customHeight="1">
      <ns0:c r="A451" t="str" s="10">
        <ns0:v>R0457</ns0:v>
      </ns0:c>
      <ns0:c r="B451" t="str" s="10">
        <ns0:v>Резистор</ns0:v>
      </ns0:c>
      <ns0:c r="C451" t="str" s="10">
        <ns0:v>3.3R</ns0:v>
      </ns0:c>
      <ns0:c r="D451" t="str" s="11">
        <ns0:f>SUBSTITUTE(SUBSTITUTE(SUBSTITUTE(SUBSTITUTE(C451,"meg"," МОм"),"k"," кОм"),"R"," Ом"),".",",")</ns0:f>
        <ns0:v>3,3 Ом</ns0:v>
      </ns0:c>
      <ns0:c r="E451" t="str" s="10">
        <ns0:v>±1%</ns0:v>
      </ns0:c>
      <ns0:c r="F451" t="str" s="10">
        <ns0:v>0,125 Вт</ns0:v>
      </ns0:c>
      <ns0:c r="G451" t="str" s="10">
        <ns0:v>150 В макс.</ns0:v>
      </ns0:c>
      <ns0:c r="H451" t="str" s="12">
        <ns0:v>0805</ns0:v>
      </ns0:c>
      <ns0:c r="I451" t="str" s="10">
        <ns0:v>YAGEO</ns0:v>
      </ns0:c>
      <ns0:c r="J451" t="str" s="10">
        <ns0:v>RC0805FR-073R3L</ns0:v>
      </ns0:c>
      <ns0:c r="K451" t="str" s="11">
        <ns0:f>B451&amp;" "&amp;D451&amp;" "&amp;E451&amp;" "&amp;H451</ns0:f>
        <ns0:v>Резистор 3,3 Ом ±1% 0805</ns0:v>
      </ns0:c>
      <ns0:c r="L451" t="str" s="13">
        <ns0:v>R</ns0:v>
      </ns0:c>
      <ns0:c r="M451" t="str" s="13">
        <ns0:v>Symbols\MY_LIB_Resistors.SchLib</ns0:v>
      </ns0:c>
      <ns0:c r="N451" t="str" s="13">
        <ns0:v>RESC2012X70N</ns0:v>
      </ns0:c>
      <ns0:c r="O451" t="str" s="13">
        <ns0:v>Footprints\PBL - SMD Packages.PcbLib</ns0:v>
      </ns0:c>
      <ns0:c xmlns:ns0="http://schemas.openxmlformats.org/spreadsheetml/2006/main" r="P451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1" s="10"/>
      <ns0:c r="R451" t="str" s="11">
        <ns0:f>D451</ns0:f>
        <ns0:v>3,3 Ом</ns0:v>
      </ns0:c>
      <ns0:c r="S451" t="str" s="11">
        <ns0:f>K451</ns0:f>
        <ns0:v>Резистор 3,3 Ом ±1% 0805</ns0:v>
      </ns0:c>
      <x:c xmlns:x="http://schemas.openxmlformats.org/spreadsheetml/2006/main" r="T451" t="str" s="11">
        <x:v>C:\Users\Nomatin\Documents\Altium\MY_LIB\MY_LIB\Datasheets\YAGEO_RC_L.pdf</x:v>
      </x:c>
      <x:c xmlns:x="http://schemas.openxmlformats.org/spreadsheetml/2006/main" r="U451" t="str" s="11">
        <x:v>Даташит — локальный</x:v>
      </x:c>
      <x:c xmlns:x="http://schemas.openxmlformats.org/spreadsheetml/2006/main" r="V451" t="str" s="11">
        <x:v>C:\Users\Nomatin\Documents\Altium\MY_LIB\MY_LIB\Datasheets\YAGEO_RC_L.pdf</x:v>
      </x:c>
      <x:c xmlns:x="http://schemas.openxmlformats.org/spreadsheetml/2006/main" r="W451" t="str" s="11">
        <x:v>Даташит — производитель</x:v>
      </x:c>
      <x:c xmlns:x="http://schemas.openxmlformats.org/spreadsheetml/2006/main" r="X451" t="str" s="11">
        <x:v>https://yageogroup.com/content/datasheet/asset/file/PYU-RC_GROUP_51_ROHS_L</x:v>
      </x:c>
      <x:c xmlns:x="http://schemas.openxmlformats.org/spreadsheetml/2006/main" r="Y451" t="str" s="11">
        <x:v>C:\Users\Nomatin\Documents\Altium\MY_LIB\MY_LIB\Datasheets\YAGEO_RC_L.pdf</x:v>
      </x:c>
      <ns0:c xmlns:ns0="http://schemas.openxmlformats.org/spreadsheetml/2006/main" r="Z451" s="16" t="inlineStr">
        <ns0:is>
          <ns0:t>MY_LIB_R_TCR</ns0:t>
        </ns0:is>
      </ns0:c>
      <ns0:c xmlns:ns0="http://schemas.openxmlformats.org/spreadsheetml/2006/main" r="AA451" s="16" t="inlineStr">
        <ns0:is>
          <ns0:t>R(T), +200 ppm/C at 25 C; positive datasheet limit</ns0:t>
        </ns0:is>
      </ns0:c>
      <ns0:c xmlns:ns0="http://schemas.openxmlformats.org/spreadsheetml/2006/main" r="AB451" s="16" t="str">
        <ns0:v>General</ns0:v>
      </ns0:c>
      <ns0:c xmlns:ns0="http://schemas.openxmlformats.org/spreadsheetml/2006/main" r="AC451" s="16" t="inlineStr">
        <ns0:is>
          <ns0:t>Spice Subcircuit</ns0:t>
        </ns0:is>
      </ns0:c>
      <ns0:c xmlns:ns0="http://schemas.openxmlformats.org/spreadsheetml/2006/main" r="AD451" s="16" t="inlineStr">
        <ns0:is>
          <ns0:t>@DESIGNATOR %1 %2 @MODEL PARAMS: Rvalue=@VALUE TC1value=200u</ns0:t>
        </ns0:is>
      </ns0:c>
      <ns0:c xmlns:ns0="http://schemas.openxmlformats.org/spreadsheetml/2006/main" r="AE451" s="16" t="inlineStr">
        <ns0:is>
          <ns0:t>X</ns0:t>
        </ns0:is>
      </ns0:c>
      <ns0:c xmlns:ns0="http://schemas.openxmlformats.org/spreadsheetml/2006/main" r="AF451" s="16" t="str">
        <ns0:v>(1:1),(2:2)</ns0:v>
      </ns0:c>
      <ns0:c xmlns:ns0="http://schemas.openxmlformats.org/spreadsheetml/2006/main" r="AG451" s="16" t="inlineStr">
        <ns0:is>
          <ns0:t>Simulation\Resistors\MY_LIB_R_TCR.ckt</ns0:t>
        </ns0:is>
      </ns0:c>
      <ns0:c xmlns:ns0="http://schemas.openxmlformats.org/spreadsheetml/2006/main" r="AH451" s="16" t="inlineStr">
        <ns0:is>
          <ns0:t>±200 ppm/°C</ns0:t>
        </ns0:is>
      </ns0:c>
    </ns0:row>
    <ns0:row xmlns:ns0="http://schemas.openxmlformats.org/spreadsheetml/2006/main" r="452" ht="30" customHeight="1">
      <ns0:c r="A452" t="str" s="10">
        <ns0:v>R0458</ns0:v>
      </ns0:c>
      <ns0:c r="B452" t="str" s="10">
        <ns0:v>Резистор</ns0:v>
      </ns0:c>
      <ns0:c r="C452" t="str" s="10">
        <ns0:v>3.6R</ns0:v>
      </ns0:c>
      <ns0:c r="D452" t="str" s="11">
        <ns0:f>SUBSTITUTE(SUBSTITUTE(SUBSTITUTE(SUBSTITUTE(C452,"meg"," МОм"),"k"," кОм"),"R"," Ом"),".",",")</ns0:f>
        <ns0:v>3,6 Ом</ns0:v>
      </ns0:c>
      <ns0:c r="E452" t="str" s="10">
        <ns0:v>±1%</ns0:v>
      </ns0:c>
      <ns0:c r="F452" t="str" s="10">
        <ns0:v>0,125 Вт</ns0:v>
      </ns0:c>
      <ns0:c r="G452" t="str" s="10">
        <ns0:v>150 В макс.</ns0:v>
      </ns0:c>
      <ns0:c r="H452" t="str" s="12">
        <ns0:v>0805</ns0:v>
      </ns0:c>
      <ns0:c r="I452" t="str" s="10">
        <ns0:v>YAGEO</ns0:v>
      </ns0:c>
      <ns0:c r="J452" t="str" s="10">
        <ns0:v>RC0805FR-073R6L</ns0:v>
      </ns0:c>
      <ns0:c r="K452" t="str" s="11">
        <ns0:f>B452&amp;" "&amp;D452&amp;" "&amp;E452&amp;" "&amp;H452</ns0:f>
        <ns0:v>Резистор 3,6 Ом ±1% 0805</ns0:v>
      </ns0:c>
      <ns0:c r="L452" t="str" s="13">
        <ns0:v>R</ns0:v>
      </ns0:c>
      <ns0:c r="M452" t="str" s="13">
        <ns0:v>Symbols\MY_LIB_Resistors.SchLib</ns0:v>
      </ns0:c>
      <ns0:c r="N452" t="str" s="13">
        <ns0:v>RESC2012X70N</ns0:v>
      </ns0:c>
      <ns0:c r="O452" t="str" s="13">
        <ns0:v>Footprints\PBL - SMD Packages.PcbLib</ns0:v>
      </ns0:c>
      <ns0:c xmlns:ns0="http://schemas.openxmlformats.org/spreadsheetml/2006/main" r="P452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2" s="10"/>
      <ns0:c r="R452" t="str" s="11">
        <ns0:f>D452</ns0:f>
        <ns0:v>3,6 Ом</ns0:v>
      </ns0:c>
      <ns0:c r="S452" t="str" s="11">
        <ns0:f>K452</ns0:f>
        <ns0:v>Резистор 3,6 Ом ±1% 0805</ns0:v>
      </ns0:c>
      <x:c xmlns:x="http://schemas.openxmlformats.org/spreadsheetml/2006/main" r="T452" t="str" s="11">
        <x:v>C:\Users\Nomatin\Documents\Altium\MY_LIB\MY_LIB\Datasheets\YAGEO_RC_L.pdf</x:v>
      </x:c>
      <x:c xmlns:x="http://schemas.openxmlformats.org/spreadsheetml/2006/main" r="U452" t="str" s="11">
        <x:v>Даташит — локальный</x:v>
      </x:c>
      <x:c xmlns:x="http://schemas.openxmlformats.org/spreadsheetml/2006/main" r="V452" t="str" s="11">
        <x:v>C:\Users\Nomatin\Documents\Altium\MY_LIB\MY_LIB\Datasheets\YAGEO_RC_L.pdf</x:v>
      </x:c>
      <x:c xmlns:x="http://schemas.openxmlformats.org/spreadsheetml/2006/main" r="W452" t="str" s="11">
        <x:v>Даташит — производитель</x:v>
      </x:c>
      <x:c xmlns:x="http://schemas.openxmlformats.org/spreadsheetml/2006/main" r="X452" t="str" s="11">
        <x:v>https://yageogroup.com/content/datasheet/asset/file/PYU-RC_GROUP_51_ROHS_L</x:v>
      </x:c>
      <x:c xmlns:x="http://schemas.openxmlformats.org/spreadsheetml/2006/main" r="Y452" t="str" s="11">
        <x:v>C:\Users\Nomatin\Documents\Altium\MY_LIB\MY_LIB\Datasheets\YAGEO_RC_L.pdf</x:v>
      </x:c>
      <ns0:c xmlns:ns0="http://schemas.openxmlformats.org/spreadsheetml/2006/main" r="Z452" s="16" t="inlineStr">
        <ns0:is>
          <ns0:t>MY_LIB_R_TCR</ns0:t>
        </ns0:is>
      </ns0:c>
      <ns0:c xmlns:ns0="http://schemas.openxmlformats.org/spreadsheetml/2006/main" r="AA452" s="16" t="inlineStr">
        <ns0:is>
          <ns0:t>R(T), +200 ppm/C at 25 C; positive datasheet limit</ns0:t>
        </ns0:is>
      </ns0:c>
      <ns0:c xmlns:ns0="http://schemas.openxmlformats.org/spreadsheetml/2006/main" r="AB452" s="16" t="str">
        <ns0:v>General</ns0:v>
      </ns0:c>
      <ns0:c xmlns:ns0="http://schemas.openxmlformats.org/spreadsheetml/2006/main" r="AC452" s="16" t="inlineStr">
        <ns0:is>
          <ns0:t>Spice Subcircuit</ns0:t>
        </ns0:is>
      </ns0:c>
      <ns0:c xmlns:ns0="http://schemas.openxmlformats.org/spreadsheetml/2006/main" r="AD452" s="16" t="inlineStr">
        <ns0:is>
          <ns0:t>@DESIGNATOR %1 %2 @MODEL PARAMS: Rvalue=@VALUE TC1value=200u</ns0:t>
        </ns0:is>
      </ns0:c>
      <ns0:c xmlns:ns0="http://schemas.openxmlformats.org/spreadsheetml/2006/main" r="AE452" s="16" t="inlineStr">
        <ns0:is>
          <ns0:t>X</ns0:t>
        </ns0:is>
      </ns0:c>
      <ns0:c xmlns:ns0="http://schemas.openxmlformats.org/spreadsheetml/2006/main" r="AF452" s="16" t="str">
        <ns0:v>(1:1),(2:2)</ns0:v>
      </ns0:c>
      <ns0:c xmlns:ns0="http://schemas.openxmlformats.org/spreadsheetml/2006/main" r="AG452" s="16" t="inlineStr">
        <ns0:is>
          <ns0:t>Simulation\Resistors\MY_LIB_R_TCR.ckt</ns0:t>
        </ns0:is>
      </ns0:c>
      <ns0:c xmlns:ns0="http://schemas.openxmlformats.org/spreadsheetml/2006/main" r="AH452" s="16" t="inlineStr">
        <ns0:is>
          <ns0:t>±200 ppm/°C</ns0:t>
        </ns0:is>
      </ns0:c>
    </ns0:row>
    <ns0:row xmlns:ns0="http://schemas.openxmlformats.org/spreadsheetml/2006/main" r="453" ht="30" customHeight="1">
      <ns0:c r="A453" t="str" s="10">
        <ns0:v>R0459</ns0:v>
      </ns0:c>
      <ns0:c r="B453" t="str" s="10">
        <ns0:v>Резистор</ns0:v>
      </ns0:c>
      <ns0:c r="C453" t="str" s="10">
        <ns0:v>3.9R</ns0:v>
      </ns0:c>
      <ns0:c r="D453" t="str" s="11">
        <ns0:f>SUBSTITUTE(SUBSTITUTE(SUBSTITUTE(SUBSTITUTE(C453,"meg"," МОм"),"k"," кОм"),"R"," Ом"),".",",")</ns0:f>
        <ns0:v>3,9 Ом</ns0:v>
      </ns0:c>
      <ns0:c r="E453" t="str" s="10">
        <ns0:v>±1%</ns0:v>
      </ns0:c>
      <ns0:c r="F453" t="str" s="10">
        <ns0:v>0,125 Вт</ns0:v>
      </ns0:c>
      <ns0:c r="G453" t="str" s="10">
        <ns0:v>150 В макс.</ns0:v>
      </ns0:c>
      <ns0:c r="H453" t="str" s="12">
        <ns0:v>0805</ns0:v>
      </ns0:c>
      <ns0:c r="I453" t="str" s="10">
        <ns0:v>YAGEO</ns0:v>
      </ns0:c>
      <ns0:c r="J453" t="str" s="10">
        <ns0:v>RC0805FR-073R9L</ns0:v>
      </ns0:c>
      <ns0:c r="K453" t="str" s="11">
        <ns0:f>B453&amp;" "&amp;D453&amp;" "&amp;E453&amp;" "&amp;H453</ns0:f>
        <ns0:v>Резистор 3,9 Ом ±1% 0805</ns0:v>
      </ns0:c>
      <ns0:c r="L453" t="str" s="13">
        <ns0:v>R</ns0:v>
      </ns0:c>
      <ns0:c r="M453" t="str" s="13">
        <ns0:v>Symbols\MY_LIB_Resistors.SchLib</ns0:v>
      </ns0:c>
      <ns0:c r="N453" t="str" s="13">
        <ns0:v>RESC2012X70N</ns0:v>
      </ns0:c>
      <ns0:c r="O453" t="str" s="13">
        <ns0:v>Footprints\PBL - SMD Packages.PcbLib</ns0:v>
      </ns0:c>
      <ns0:c xmlns:ns0="http://schemas.openxmlformats.org/spreadsheetml/2006/main" r="P453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3" s="10"/>
      <ns0:c r="R453" t="str" s="11">
        <ns0:f>D453</ns0:f>
        <ns0:v>3,9 Ом</ns0:v>
      </ns0:c>
      <ns0:c r="S453" t="str" s="11">
        <ns0:f>K453</ns0:f>
        <ns0:v>Резистор 3,9 Ом ±1% 0805</ns0:v>
      </ns0:c>
      <x:c xmlns:x="http://schemas.openxmlformats.org/spreadsheetml/2006/main" r="T453" t="str" s="11">
        <x:v>C:\Users\Nomatin\Documents\Altium\MY_LIB\MY_LIB\Datasheets\YAGEO_RC_L.pdf</x:v>
      </x:c>
      <x:c xmlns:x="http://schemas.openxmlformats.org/spreadsheetml/2006/main" r="U453" t="str" s="11">
        <x:v>Даташит — локальный</x:v>
      </x:c>
      <x:c xmlns:x="http://schemas.openxmlformats.org/spreadsheetml/2006/main" r="V453" t="str" s="11">
        <x:v>C:\Users\Nomatin\Documents\Altium\MY_LIB\MY_LIB\Datasheets\YAGEO_RC_L.pdf</x:v>
      </x:c>
      <x:c xmlns:x="http://schemas.openxmlformats.org/spreadsheetml/2006/main" r="W453" t="str" s="11">
        <x:v>Даташит — производитель</x:v>
      </x:c>
      <x:c xmlns:x="http://schemas.openxmlformats.org/spreadsheetml/2006/main" r="X453" t="str" s="11">
        <x:v>https://yageogroup.com/content/datasheet/asset/file/PYU-RC_GROUP_51_ROHS_L</x:v>
      </x:c>
      <x:c xmlns:x="http://schemas.openxmlformats.org/spreadsheetml/2006/main" r="Y453" t="str" s="11">
        <x:v>C:\Users\Nomatin\Documents\Altium\MY_LIB\MY_LIB\Datasheets\YAGEO_RC_L.pdf</x:v>
      </x:c>
      <ns0:c xmlns:ns0="http://schemas.openxmlformats.org/spreadsheetml/2006/main" r="Z453" s="16" t="inlineStr">
        <ns0:is>
          <ns0:t>MY_LIB_R_TCR</ns0:t>
        </ns0:is>
      </ns0:c>
      <ns0:c xmlns:ns0="http://schemas.openxmlformats.org/spreadsheetml/2006/main" r="AA453" s="16" t="inlineStr">
        <ns0:is>
          <ns0:t>R(T), +200 ppm/C at 25 C; positive datasheet limit</ns0:t>
        </ns0:is>
      </ns0:c>
      <ns0:c xmlns:ns0="http://schemas.openxmlformats.org/spreadsheetml/2006/main" r="AB453" s="16" t="str">
        <ns0:v>General</ns0:v>
      </ns0:c>
      <ns0:c xmlns:ns0="http://schemas.openxmlformats.org/spreadsheetml/2006/main" r="AC453" s="16" t="inlineStr">
        <ns0:is>
          <ns0:t>Spice Subcircuit</ns0:t>
        </ns0:is>
      </ns0:c>
      <ns0:c xmlns:ns0="http://schemas.openxmlformats.org/spreadsheetml/2006/main" r="AD453" s="16" t="inlineStr">
        <ns0:is>
          <ns0:t>@DESIGNATOR %1 %2 @MODEL PARAMS: Rvalue=@VALUE TC1value=200u</ns0:t>
        </ns0:is>
      </ns0:c>
      <ns0:c xmlns:ns0="http://schemas.openxmlformats.org/spreadsheetml/2006/main" r="AE453" s="16" t="inlineStr">
        <ns0:is>
          <ns0:t>X</ns0:t>
        </ns0:is>
      </ns0:c>
      <ns0:c xmlns:ns0="http://schemas.openxmlformats.org/spreadsheetml/2006/main" r="AF453" s="16" t="str">
        <ns0:v>(1:1),(2:2)</ns0:v>
      </ns0:c>
      <ns0:c xmlns:ns0="http://schemas.openxmlformats.org/spreadsheetml/2006/main" r="AG453" s="16" t="inlineStr">
        <ns0:is>
          <ns0:t>Simulation\Resistors\MY_LIB_R_TCR.ckt</ns0:t>
        </ns0:is>
      </ns0:c>
      <ns0:c xmlns:ns0="http://schemas.openxmlformats.org/spreadsheetml/2006/main" r="AH453" s="16" t="inlineStr">
        <ns0:is>
          <ns0:t>±200 ppm/°C</ns0:t>
        </ns0:is>
      </ns0:c>
    </ns0:row>
    <ns0:row xmlns:ns0="http://schemas.openxmlformats.org/spreadsheetml/2006/main" r="454" ht="30" customHeight="1">
      <ns0:c r="A454" t="str" s="10">
        <ns0:v>R0460</ns0:v>
      </ns0:c>
      <ns0:c r="B454" t="str" s="10">
        <ns0:v>Резистор</ns0:v>
      </ns0:c>
      <ns0:c r="C454" t="str" s="10">
        <ns0:v>4.3R</ns0:v>
      </ns0:c>
      <ns0:c r="D454" t="str" s="11">
        <ns0:f>SUBSTITUTE(SUBSTITUTE(SUBSTITUTE(SUBSTITUTE(C454,"meg"," МОм"),"k"," кОм"),"R"," Ом"),".",",")</ns0:f>
        <ns0:v>4,3 Ом</ns0:v>
      </ns0:c>
      <ns0:c r="E454" t="str" s="10">
        <ns0:v>±1%</ns0:v>
      </ns0:c>
      <ns0:c r="F454" t="str" s="10">
        <ns0:v>0,125 Вт</ns0:v>
      </ns0:c>
      <ns0:c r="G454" t="str" s="10">
        <ns0:v>150 В макс.</ns0:v>
      </ns0:c>
      <ns0:c r="H454" t="str" s="12">
        <ns0:v>0805</ns0:v>
      </ns0:c>
      <ns0:c r="I454" t="str" s="10">
        <ns0:v>YAGEO</ns0:v>
      </ns0:c>
      <ns0:c r="J454" t="str" s="10">
        <ns0:v>RC0805FR-074R3L</ns0:v>
      </ns0:c>
      <ns0:c r="K454" t="str" s="11">
        <ns0:f>B454&amp;" "&amp;D454&amp;" "&amp;E454&amp;" "&amp;H454</ns0:f>
        <ns0:v>Резистор 4,3 Ом ±1% 0805</ns0:v>
      </ns0:c>
      <ns0:c r="L454" t="str" s="13">
        <ns0:v>R</ns0:v>
      </ns0:c>
      <ns0:c r="M454" t="str" s="13">
        <ns0:v>Symbols\MY_LIB_Resistors.SchLib</ns0:v>
      </ns0:c>
      <ns0:c r="N454" t="str" s="13">
        <ns0:v>RESC2012X70N</ns0:v>
      </ns0:c>
      <ns0:c r="O454" t="str" s="13">
        <ns0:v>Footprints\PBL - SMD Packages.PcbLib</ns0:v>
      </ns0:c>
      <ns0:c xmlns:ns0="http://schemas.openxmlformats.org/spreadsheetml/2006/main" r="P454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4" s="10"/>
      <ns0:c r="R454" t="str" s="11">
        <ns0:f>D454</ns0:f>
        <ns0:v>4,3 Ом</ns0:v>
      </ns0:c>
      <ns0:c r="S454" t="str" s="11">
        <ns0:f>K454</ns0:f>
        <ns0:v>Резистор 4,3 Ом ±1% 0805</ns0:v>
      </ns0:c>
      <x:c xmlns:x="http://schemas.openxmlformats.org/spreadsheetml/2006/main" r="T454" t="str" s="11">
        <x:v>C:\Users\Nomatin\Documents\Altium\MY_LIB\MY_LIB\Datasheets\YAGEO_RC_L.pdf</x:v>
      </x:c>
      <x:c xmlns:x="http://schemas.openxmlformats.org/spreadsheetml/2006/main" r="U454" t="str" s="11">
        <x:v>Даташит — локальный</x:v>
      </x:c>
      <x:c xmlns:x="http://schemas.openxmlformats.org/spreadsheetml/2006/main" r="V454" t="str" s="11">
        <x:v>C:\Users\Nomatin\Documents\Altium\MY_LIB\MY_LIB\Datasheets\YAGEO_RC_L.pdf</x:v>
      </x:c>
      <x:c xmlns:x="http://schemas.openxmlformats.org/spreadsheetml/2006/main" r="W454" t="str" s="11">
        <x:v>Даташит — производитель</x:v>
      </x:c>
      <x:c xmlns:x="http://schemas.openxmlformats.org/spreadsheetml/2006/main" r="X454" t="str" s="11">
        <x:v>https://yageogroup.com/content/datasheet/asset/file/PYU-RC_GROUP_51_ROHS_L</x:v>
      </x:c>
      <x:c xmlns:x="http://schemas.openxmlformats.org/spreadsheetml/2006/main" r="Y454" t="str" s="11">
        <x:v>C:\Users\Nomatin\Documents\Altium\MY_LIB\MY_LIB\Datasheets\YAGEO_RC_L.pdf</x:v>
      </x:c>
      <ns0:c xmlns:ns0="http://schemas.openxmlformats.org/spreadsheetml/2006/main" r="Z454" s="16" t="inlineStr">
        <ns0:is>
          <ns0:t>MY_LIB_R_TCR</ns0:t>
        </ns0:is>
      </ns0:c>
      <ns0:c xmlns:ns0="http://schemas.openxmlformats.org/spreadsheetml/2006/main" r="AA454" s="16" t="inlineStr">
        <ns0:is>
          <ns0:t>R(T), +200 ppm/C at 25 C; positive datasheet limit</ns0:t>
        </ns0:is>
      </ns0:c>
      <ns0:c xmlns:ns0="http://schemas.openxmlformats.org/spreadsheetml/2006/main" r="AB454" s="16" t="str">
        <ns0:v>General</ns0:v>
      </ns0:c>
      <ns0:c xmlns:ns0="http://schemas.openxmlformats.org/spreadsheetml/2006/main" r="AC454" s="16" t="inlineStr">
        <ns0:is>
          <ns0:t>Spice Subcircuit</ns0:t>
        </ns0:is>
      </ns0:c>
      <ns0:c xmlns:ns0="http://schemas.openxmlformats.org/spreadsheetml/2006/main" r="AD454" s="16" t="inlineStr">
        <ns0:is>
          <ns0:t>@DESIGNATOR %1 %2 @MODEL PARAMS: Rvalue=@VALUE TC1value=200u</ns0:t>
        </ns0:is>
      </ns0:c>
      <ns0:c xmlns:ns0="http://schemas.openxmlformats.org/spreadsheetml/2006/main" r="AE454" s="16" t="inlineStr">
        <ns0:is>
          <ns0:t>X</ns0:t>
        </ns0:is>
      </ns0:c>
      <ns0:c xmlns:ns0="http://schemas.openxmlformats.org/spreadsheetml/2006/main" r="AF454" s="16" t="str">
        <ns0:v>(1:1),(2:2)</ns0:v>
      </ns0:c>
      <ns0:c xmlns:ns0="http://schemas.openxmlformats.org/spreadsheetml/2006/main" r="AG454" s="16" t="inlineStr">
        <ns0:is>
          <ns0:t>Simulation\Resistors\MY_LIB_R_TCR.ckt</ns0:t>
        </ns0:is>
      </ns0:c>
      <ns0:c xmlns:ns0="http://schemas.openxmlformats.org/spreadsheetml/2006/main" r="AH454" s="16" t="inlineStr">
        <ns0:is>
          <ns0:t>±200 ppm/°C</ns0:t>
        </ns0:is>
      </ns0:c>
    </ns0:row>
    <ns0:row xmlns:ns0="http://schemas.openxmlformats.org/spreadsheetml/2006/main" r="455" ht="30" customHeight="1">
      <ns0:c r="A455" t="str" s="10">
        <ns0:v>R0461</ns0:v>
      </ns0:c>
      <ns0:c r="B455" t="str" s="10">
        <ns0:v>Резистор</ns0:v>
      </ns0:c>
      <ns0:c r="C455" t="str" s="10">
        <ns0:v>4.7R</ns0:v>
      </ns0:c>
      <ns0:c r="D455" t="str" s="11">
        <ns0:f>SUBSTITUTE(SUBSTITUTE(SUBSTITUTE(SUBSTITUTE(C455,"meg"," МОм"),"k"," кОм"),"R"," Ом"),".",",")</ns0:f>
        <ns0:v>4,7 Ом</ns0:v>
      </ns0:c>
      <ns0:c r="E455" t="str" s="10">
        <ns0:v>±1%</ns0:v>
      </ns0:c>
      <ns0:c r="F455" t="str" s="10">
        <ns0:v>0,125 Вт</ns0:v>
      </ns0:c>
      <ns0:c r="G455" t="str" s="10">
        <ns0:v>150 В макс.</ns0:v>
      </ns0:c>
      <ns0:c r="H455" t="str" s="12">
        <ns0:v>0805</ns0:v>
      </ns0:c>
      <ns0:c r="I455" t="str" s="10">
        <ns0:v>YAGEO</ns0:v>
      </ns0:c>
      <ns0:c r="J455" t="str" s="10">
        <ns0:v>RC0805FR-074R7L</ns0:v>
      </ns0:c>
      <ns0:c r="K455" t="str" s="11">
        <ns0:f>B455&amp;" "&amp;D455&amp;" "&amp;E455&amp;" "&amp;H455</ns0:f>
        <ns0:v>Резистор 4,7 Ом ±1% 0805</ns0:v>
      </ns0:c>
      <ns0:c r="L455" t="str" s="13">
        <ns0:v>R</ns0:v>
      </ns0:c>
      <ns0:c r="M455" t="str" s="13">
        <ns0:v>Symbols\MY_LIB_Resistors.SchLib</ns0:v>
      </ns0:c>
      <ns0:c r="N455" t="str" s="13">
        <ns0:v>RESC2012X70N</ns0:v>
      </ns0:c>
      <ns0:c r="O455" t="str" s="13">
        <ns0:v>Footprints\PBL - SMD Packages.PcbLib</ns0:v>
      </ns0:c>
      <ns0:c xmlns:ns0="http://schemas.openxmlformats.org/spreadsheetml/2006/main" r="P455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5" s="10"/>
      <ns0:c r="R455" t="str" s="11">
        <ns0:f>D455</ns0:f>
        <ns0:v>4,7 Ом</ns0:v>
      </ns0:c>
      <ns0:c r="S455" t="str" s="11">
        <ns0:f>K455</ns0:f>
        <ns0:v>Резистор 4,7 Ом ±1% 0805</ns0:v>
      </ns0:c>
      <x:c xmlns:x="http://schemas.openxmlformats.org/spreadsheetml/2006/main" r="T455" t="str" s="11">
        <x:v>C:\Users\Nomatin\Documents\Altium\MY_LIB\MY_LIB\Datasheets\YAGEO_RC_L.pdf</x:v>
      </x:c>
      <x:c xmlns:x="http://schemas.openxmlformats.org/spreadsheetml/2006/main" r="U455" t="str" s="11">
        <x:v>Даташит — локальный</x:v>
      </x:c>
      <x:c xmlns:x="http://schemas.openxmlformats.org/spreadsheetml/2006/main" r="V455" t="str" s="11">
        <x:v>C:\Users\Nomatin\Documents\Altium\MY_LIB\MY_LIB\Datasheets\YAGEO_RC_L.pdf</x:v>
      </x:c>
      <x:c xmlns:x="http://schemas.openxmlformats.org/spreadsheetml/2006/main" r="W455" t="str" s="11">
        <x:v>Даташит — производитель</x:v>
      </x:c>
      <x:c xmlns:x="http://schemas.openxmlformats.org/spreadsheetml/2006/main" r="X455" t="str" s="11">
        <x:v>https://yageogroup.com/content/datasheet/asset/file/PYU-RC_GROUP_51_ROHS_L</x:v>
      </x:c>
      <x:c xmlns:x="http://schemas.openxmlformats.org/spreadsheetml/2006/main" r="Y455" t="str" s="11">
        <x:v>C:\Users\Nomatin\Documents\Altium\MY_LIB\MY_LIB\Datasheets\YAGEO_RC_L.pdf</x:v>
      </x:c>
      <ns0:c xmlns:ns0="http://schemas.openxmlformats.org/spreadsheetml/2006/main" r="Z455" s="16" t="inlineStr">
        <ns0:is>
          <ns0:t>MY_LIB_R_TCR</ns0:t>
        </ns0:is>
      </ns0:c>
      <ns0:c xmlns:ns0="http://schemas.openxmlformats.org/spreadsheetml/2006/main" r="AA455" s="16" t="inlineStr">
        <ns0:is>
          <ns0:t>R(T), +200 ppm/C at 25 C; positive datasheet limit</ns0:t>
        </ns0:is>
      </ns0:c>
      <ns0:c xmlns:ns0="http://schemas.openxmlformats.org/spreadsheetml/2006/main" r="AB455" s="16" t="str">
        <ns0:v>General</ns0:v>
      </ns0:c>
      <ns0:c xmlns:ns0="http://schemas.openxmlformats.org/spreadsheetml/2006/main" r="AC455" s="16" t="inlineStr">
        <ns0:is>
          <ns0:t>Spice Subcircuit</ns0:t>
        </ns0:is>
      </ns0:c>
      <ns0:c xmlns:ns0="http://schemas.openxmlformats.org/spreadsheetml/2006/main" r="AD455" s="16" t="inlineStr">
        <ns0:is>
          <ns0:t>@DESIGNATOR %1 %2 @MODEL PARAMS: Rvalue=@VALUE TC1value=200u</ns0:t>
        </ns0:is>
      </ns0:c>
      <ns0:c xmlns:ns0="http://schemas.openxmlformats.org/spreadsheetml/2006/main" r="AE455" s="16" t="inlineStr">
        <ns0:is>
          <ns0:t>X</ns0:t>
        </ns0:is>
      </ns0:c>
      <ns0:c xmlns:ns0="http://schemas.openxmlformats.org/spreadsheetml/2006/main" r="AF455" s="16" t="str">
        <ns0:v>(1:1),(2:2)</ns0:v>
      </ns0:c>
      <ns0:c xmlns:ns0="http://schemas.openxmlformats.org/spreadsheetml/2006/main" r="AG455" s="16" t="inlineStr">
        <ns0:is>
          <ns0:t>Simulation\Resistors\MY_LIB_R_TCR.ckt</ns0:t>
        </ns0:is>
      </ns0:c>
      <ns0:c xmlns:ns0="http://schemas.openxmlformats.org/spreadsheetml/2006/main" r="AH455" s="16" t="inlineStr">
        <ns0:is>
          <ns0:t>±200 ppm/°C</ns0:t>
        </ns0:is>
      </ns0:c>
    </ns0:row>
    <ns0:row xmlns:ns0="http://schemas.openxmlformats.org/spreadsheetml/2006/main" r="456" ht="30" customHeight="1">
      <ns0:c r="A456" t="str" s="10">
        <ns0:v>R0462</ns0:v>
      </ns0:c>
      <ns0:c r="B456" t="str" s="10">
        <ns0:v>Резистор</ns0:v>
      </ns0:c>
      <ns0:c r="C456" t="str" s="10">
        <ns0:v>5.1R</ns0:v>
      </ns0:c>
      <ns0:c r="D456" t="str" s="11">
        <ns0:f>SUBSTITUTE(SUBSTITUTE(SUBSTITUTE(SUBSTITUTE(C456,"meg"," МОм"),"k"," кОм"),"R"," Ом"),".",",")</ns0:f>
        <ns0:v>5,1 Ом</ns0:v>
      </ns0:c>
      <ns0:c r="E456" t="str" s="10">
        <ns0:v>±1%</ns0:v>
      </ns0:c>
      <ns0:c r="F456" t="str" s="10">
        <ns0:v>0,125 Вт</ns0:v>
      </ns0:c>
      <ns0:c r="G456" t="str" s="10">
        <ns0:v>150 В макс.</ns0:v>
      </ns0:c>
      <ns0:c r="H456" t="str" s="12">
        <ns0:v>0805</ns0:v>
      </ns0:c>
      <ns0:c r="I456" t="str" s="10">
        <ns0:v>YAGEO</ns0:v>
      </ns0:c>
      <ns0:c r="J456" t="str" s="10">
        <ns0:v>RC0805FR-075R1L</ns0:v>
      </ns0:c>
      <ns0:c r="K456" t="str" s="11">
        <ns0:f>B456&amp;" "&amp;D456&amp;" "&amp;E456&amp;" "&amp;H456</ns0:f>
        <ns0:v>Резистор 5,1 Ом ±1% 0805</ns0:v>
      </ns0:c>
      <ns0:c r="L456" t="str" s="13">
        <ns0:v>R</ns0:v>
      </ns0:c>
      <ns0:c r="M456" t="str" s="13">
        <ns0:v>Symbols\MY_LIB_Resistors.SchLib</ns0:v>
      </ns0:c>
      <ns0:c r="N456" t="str" s="13">
        <ns0:v>RESC2012X70N</ns0:v>
      </ns0:c>
      <ns0:c r="O456" t="str" s="13">
        <ns0:v>Footprints\PBL - SMD Packages.PcbLib</ns0:v>
      </ns0:c>
      <ns0:c xmlns:ns0="http://schemas.openxmlformats.org/spreadsheetml/2006/main" r="P456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6" s="10"/>
      <ns0:c r="R456" t="str" s="11">
        <ns0:f>D456</ns0:f>
        <ns0:v>5,1 Ом</ns0:v>
      </ns0:c>
      <ns0:c r="S456" t="str" s="11">
        <ns0:f>K456</ns0:f>
        <ns0:v>Резистор 5,1 Ом ±1% 0805</ns0:v>
      </ns0:c>
      <x:c xmlns:x="http://schemas.openxmlformats.org/spreadsheetml/2006/main" r="T456" t="str" s="11">
        <x:v>C:\Users\Nomatin\Documents\Altium\MY_LIB\MY_LIB\Datasheets\YAGEO_RC_L.pdf</x:v>
      </x:c>
      <x:c xmlns:x="http://schemas.openxmlformats.org/spreadsheetml/2006/main" r="U456" t="str" s="11">
        <x:v>Даташит — локальный</x:v>
      </x:c>
      <x:c xmlns:x="http://schemas.openxmlformats.org/spreadsheetml/2006/main" r="V456" t="str" s="11">
        <x:v>C:\Users\Nomatin\Documents\Altium\MY_LIB\MY_LIB\Datasheets\YAGEO_RC_L.pdf</x:v>
      </x:c>
      <x:c xmlns:x="http://schemas.openxmlformats.org/spreadsheetml/2006/main" r="W456" t="str" s="11">
        <x:v>Даташит — производитель</x:v>
      </x:c>
      <x:c xmlns:x="http://schemas.openxmlformats.org/spreadsheetml/2006/main" r="X456" t="str" s="11">
        <x:v>https://yageogroup.com/content/datasheet/asset/file/PYU-RC_GROUP_51_ROHS_L</x:v>
      </x:c>
      <x:c xmlns:x="http://schemas.openxmlformats.org/spreadsheetml/2006/main" r="Y456" t="str" s="11">
        <x:v>C:\Users\Nomatin\Documents\Altium\MY_LIB\MY_LIB\Datasheets\YAGEO_RC_L.pdf</x:v>
      </x:c>
      <ns0:c xmlns:ns0="http://schemas.openxmlformats.org/spreadsheetml/2006/main" r="Z456" s="16" t="inlineStr">
        <ns0:is>
          <ns0:t>MY_LIB_R_TCR</ns0:t>
        </ns0:is>
      </ns0:c>
      <ns0:c xmlns:ns0="http://schemas.openxmlformats.org/spreadsheetml/2006/main" r="AA456" s="16" t="inlineStr">
        <ns0:is>
          <ns0:t>R(T), +200 ppm/C at 25 C; positive datasheet limit</ns0:t>
        </ns0:is>
      </ns0:c>
      <ns0:c xmlns:ns0="http://schemas.openxmlformats.org/spreadsheetml/2006/main" r="AB456" s="16" t="str">
        <ns0:v>General</ns0:v>
      </ns0:c>
      <ns0:c xmlns:ns0="http://schemas.openxmlformats.org/spreadsheetml/2006/main" r="AC456" s="16" t="inlineStr">
        <ns0:is>
          <ns0:t>Spice Subcircuit</ns0:t>
        </ns0:is>
      </ns0:c>
      <ns0:c xmlns:ns0="http://schemas.openxmlformats.org/spreadsheetml/2006/main" r="AD456" s="16" t="inlineStr">
        <ns0:is>
          <ns0:t>@DESIGNATOR %1 %2 @MODEL PARAMS: Rvalue=@VALUE TC1value=200u</ns0:t>
        </ns0:is>
      </ns0:c>
      <ns0:c xmlns:ns0="http://schemas.openxmlformats.org/spreadsheetml/2006/main" r="AE456" s="16" t="inlineStr">
        <ns0:is>
          <ns0:t>X</ns0:t>
        </ns0:is>
      </ns0:c>
      <ns0:c xmlns:ns0="http://schemas.openxmlformats.org/spreadsheetml/2006/main" r="AF456" s="16" t="str">
        <ns0:v>(1:1),(2:2)</ns0:v>
      </ns0:c>
      <ns0:c xmlns:ns0="http://schemas.openxmlformats.org/spreadsheetml/2006/main" r="AG456" s="16" t="inlineStr">
        <ns0:is>
          <ns0:t>Simulation\Resistors\MY_LIB_R_TCR.ckt</ns0:t>
        </ns0:is>
      </ns0:c>
      <ns0:c xmlns:ns0="http://schemas.openxmlformats.org/spreadsheetml/2006/main" r="AH456" s="16" t="inlineStr">
        <ns0:is>
          <ns0:t>±200 ppm/°C</ns0:t>
        </ns0:is>
      </ns0:c>
    </ns0:row>
    <ns0:row xmlns:ns0="http://schemas.openxmlformats.org/spreadsheetml/2006/main" r="457" ht="30" customHeight="1">
      <ns0:c r="A457" t="str" s="10">
        <ns0:v>R0463</ns0:v>
      </ns0:c>
      <ns0:c r="B457" t="str" s="10">
        <ns0:v>Резистор</ns0:v>
      </ns0:c>
      <ns0:c r="C457" t="str" s="10">
        <ns0:v>5.6R</ns0:v>
      </ns0:c>
      <ns0:c r="D457" t="str" s="11">
        <ns0:f>SUBSTITUTE(SUBSTITUTE(SUBSTITUTE(SUBSTITUTE(C457,"meg"," МОм"),"k"," кОм"),"R"," Ом"),".",",")</ns0:f>
        <ns0:v>5,6 Ом</ns0:v>
      </ns0:c>
      <ns0:c r="E457" t="str" s="10">
        <ns0:v>±1%</ns0:v>
      </ns0:c>
      <ns0:c r="F457" t="str" s="10">
        <ns0:v>0,125 Вт</ns0:v>
      </ns0:c>
      <ns0:c r="G457" t="str" s="10">
        <ns0:v>150 В макс.</ns0:v>
      </ns0:c>
      <ns0:c r="H457" t="str" s="12">
        <ns0:v>0805</ns0:v>
      </ns0:c>
      <ns0:c r="I457" t="str" s="10">
        <ns0:v>YAGEO</ns0:v>
      </ns0:c>
      <ns0:c r="J457" t="str" s="10">
        <ns0:v>RC0805FR-075R6L</ns0:v>
      </ns0:c>
      <ns0:c r="K457" t="str" s="11">
        <ns0:f>B457&amp;" "&amp;D457&amp;" "&amp;E457&amp;" "&amp;H457</ns0:f>
        <ns0:v>Резистор 5,6 Ом ±1% 0805</ns0:v>
      </ns0:c>
      <ns0:c r="L457" t="str" s="13">
        <ns0:v>R</ns0:v>
      </ns0:c>
      <ns0:c r="M457" t="str" s="13">
        <ns0:v>Symbols\MY_LIB_Resistors.SchLib</ns0:v>
      </ns0:c>
      <ns0:c r="N457" t="str" s="13">
        <ns0:v>RESC2012X70N</ns0:v>
      </ns0:c>
      <ns0:c r="O457" t="str" s="13">
        <ns0:v>Footprints\PBL - SMD Packages.PcbLib</ns0:v>
      </ns0:c>
      <ns0:c xmlns:ns0="http://schemas.openxmlformats.org/spreadsheetml/2006/main" r="P457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7" s="10"/>
      <ns0:c r="R457" t="str" s="11">
        <ns0:f>D457</ns0:f>
        <ns0:v>5,6 Ом</ns0:v>
      </ns0:c>
      <ns0:c r="S457" t="str" s="11">
        <ns0:f>K457</ns0:f>
        <ns0:v>Резистор 5,6 Ом ±1% 0805</ns0:v>
      </ns0:c>
      <x:c xmlns:x="http://schemas.openxmlformats.org/spreadsheetml/2006/main" r="T457" t="str" s="11">
        <x:v>C:\Users\Nomatin\Documents\Altium\MY_LIB\MY_LIB\Datasheets\YAGEO_RC_L.pdf</x:v>
      </x:c>
      <x:c xmlns:x="http://schemas.openxmlformats.org/spreadsheetml/2006/main" r="U457" t="str" s="11">
        <x:v>Даташит — локальный</x:v>
      </x:c>
      <x:c xmlns:x="http://schemas.openxmlformats.org/spreadsheetml/2006/main" r="V457" t="str" s="11">
        <x:v>C:\Users\Nomatin\Documents\Altium\MY_LIB\MY_LIB\Datasheets\YAGEO_RC_L.pdf</x:v>
      </x:c>
      <x:c xmlns:x="http://schemas.openxmlformats.org/spreadsheetml/2006/main" r="W457" t="str" s="11">
        <x:v>Даташит — производитель</x:v>
      </x:c>
      <x:c xmlns:x="http://schemas.openxmlformats.org/spreadsheetml/2006/main" r="X457" t="str" s="11">
        <x:v>https://yageogroup.com/content/datasheet/asset/file/PYU-RC_GROUP_51_ROHS_L</x:v>
      </x:c>
      <x:c xmlns:x="http://schemas.openxmlformats.org/spreadsheetml/2006/main" r="Y457" t="str" s="11">
        <x:v>C:\Users\Nomatin\Documents\Altium\MY_LIB\MY_LIB\Datasheets\YAGEO_RC_L.pdf</x:v>
      </x:c>
      <ns0:c xmlns:ns0="http://schemas.openxmlformats.org/spreadsheetml/2006/main" r="Z457" s="16" t="inlineStr">
        <ns0:is>
          <ns0:t>MY_LIB_R_TCR</ns0:t>
        </ns0:is>
      </ns0:c>
      <ns0:c xmlns:ns0="http://schemas.openxmlformats.org/spreadsheetml/2006/main" r="AA457" s="16" t="inlineStr">
        <ns0:is>
          <ns0:t>R(T), +200 ppm/C at 25 C; positive datasheet limit</ns0:t>
        </ns0:is>
      </ns0:c>
      <ns0:c xmlns:ns0="http://schemas.openxmlformats.org/spreadsheetml/2006/main" r="AB457" s="16" t="str">
        <ns0:v>General</ns0:v>
      </ns0:c>
      <ns0:c xmlns:ns0="http://schemas.openxmlformats.org/spreadsheetml/2006/main" r="AC457" s="16" t="inlineStr">
        <ns0:is>
          <ns0:t>Spice Subcircuit</ns0:t>
        </ns0:is>
      </ns0:c>
      <ns0:c xmlns:ns0="http://schemas.openxmlformats.org/spreadsheetml/2006/main" r="AD457" s="16" t="inlineStr">
        <ns0:is>
          <ns0:t>@DESIGNATOR %1 %2 @MODEL PARAMS: Rvalue=@VALUE TC1value=200u</ns0:t>
        </ns0:is>
      </ns0:c>
      <ns0:c xmlns:ns0="http://schemas.openxmlformats.org/spreadsheetml/2006/main" r="AE457" s="16" t="inlineStr">
        <ns0:is>
          <ns0:t>X</ns0:t>
        </ns0:is>
      </ns0:c>
      <ns0:c xmlns:ns0="http://schemas.openxmlformats.org/spreadsheetml/2006/main" r="AF457" s="16" t="str">
        <ns0:v>(1:1),(2:2)</ns0:v>
      </ns0:c>
      <ns0:c xmlns:ns0="http://schemas.openxmlformats.org/spreadsheetml/2006/main" r="AG457" s="16" t="inlineStr">
        <ns0:is>
          <ns0:t>Simulation\Resistors\MY_LIB_R_TCR.ckt</ns0:t>
        </ns0:is>
      </ns0:c>
      <ns0:c xmlns:ns0="http://schemas.openxmlformats.org/spreadsheetml/2006/main" r="AH457" s="16" t="inlineStr">
        <ns0:is>
          <ns0:t>±200 ppm/°C</ns0:t>
        </ns0:is>
      </ns0:c>
    </ns0:row>
    <ns0:row xmlns:ns0="http://schemas.openxmlformats.org/spreadsheetml/2006/main" r="458" ht="30" customHeight="1">
      <ns0:c r="A458" t="str" s="10">
        <ns0:v>R0464</ns0:v>
      </ns0:c>
      <ns0:c r="B458" t="str" s="10">
        <ns0:v>Резистор</ns0:v>
      </ns0:c>
      <ns0:c r="C458" t="str" s="10">
        <ns0:v>6.2R</ns0:v>
      </ns0:c>
      <ns0:c r="D458" t="str" s="11">
        <ns0:f>SUBSTITUTE(SUBSTITUTE(SUBSTITUTE(SUBSTITUTE(C458,"meg"," МОм"),"k"," кОм"),"R"," Ом"),".",",")</ns0:f>
        <ns0:v>6,2 Ом</ns0:v>
      </ns0:c>
      <ns0:c r="E458" t="str" s="10">
        <ns0:v>±1%</ns0:v>
      </ns0:c>
      <ns0:c r="F458" t="str" s="10">
        <ns0:v>0,125 Вт</ns0:v>
      </ns0:c>
      <ns0:c r="G458" t="str" s="10">
        <ns0:v>150 В макс.</ns0:v>
      </ns0:c>
      <ns0:c r="H458" t="str" s="12">
        <ns0:v>0805</ns0:v>
      </ns0:c>
      <ns0:c r="I458" t="str" s="10">
        <ns0:v>YAGEO</ns0:v>
      </ns0:c>
      <ns0:c r="J458" t="str" s="10">
        <ns0:v>RC0805FR-076R2L</ns0:v>
      </ns0:c>
      <ns0:c r="K458" t="str" s="11">
        <ns0:f>B458&amp;" "&amp;D458&amp;" "&amp;E458&amp;" "&amp;H458</ns0:f>
        <ns0:v>Резистор 6,2 Ом ±1% 0805</ns0:v>
      </ns0:c>
      <ns0:c r="L458" t="str" s="13">
        <ns0:v>R</ns0:v>
      </ns0:c>
      <ns0:c r="M458" t="str" s="13">
        <ns0:v>Symbols\MY_LIB_Resistors.SchLib</ns0:v>
      </ns0:c>
      <ns0:c r="N458" t="str" s="13">
        <ns0:v>RESC2012X70N</ns0:v>
      </ns0:c>
      <ns0:c r="O458" t="str" s="13">
        <ns0:v>Footprints\PBL - SMD Packages.PcbLib</ns0:v>
      </ns0:c>
      <ns0:c xmlns:ns0="http://schemas.openxmlformats.org/spreadsheetml/2006/main" r="P458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8" s="10"/>
      <ns0:c r="R458" t="str" s="11">
        <ns0:f>D458</ns0:f>
        <ns0:v>6,2 Ом</ns0:v>
      </ns0:c>
      <ns0:c r="S458" t="str" s="11">
        <ns0:f>K458</ns0:f>
        <ns0:v>Резистор 6,2 Ом ±1% 0805</ns0:v>
      </ns0:c>
      <x:c xmlns:x="http://schemas.openxmlformats.org/spreadsheetml/2006/main" r="T458" t="str" s="11">
        <x:v>C:\Users\Nomatin\Documents\Altium\MY_LIB\MY_LIB\Datasheets\YAGEO_RC_L.pdf</x:v>
      </x:c>
      <x:c xmlns:x="http://schemas.openxmlformats.org/spreadsheetml/2006/main" r="U458" t="str" s="11">
        <x:v>Даташит — локальный</x:v>
      </x:c>
      <x:c xmlns:x="http://schemas.openxmlformats.org/spreadsheetml/2006/main" r="V458" t="str" s="11">
        <x:v>C:\Users\Nomatin\Documents\Altium\MY_LIB\MY_LIB\Datasheets\YAGEO_RC_L.pdf</x:v>
      </x:c>
      <x:c xmlns:x="http://schemas.openxmlformats.org/spreadsheetml/2006/main" r="W458" t="str" s="11">
        <x:v>Даташит — производитель</x:v>
      </x:c>
      <x:c xmlns:x="http://schemas.openxmlformats.org/spreadsheetml/2006/main" r="X458" t="str" s="11">
        <x:v>https://yageogroup.com/content/datasheet/asset/file/PYU-RC_GROUP_51_ROHS_L</x:v>
      </x:c>
      <x:c xmlns:x="http://schemas.openxmlformats.org/spreadsheetml/2006/main" r="Y458" t="str" s="11">
        <x:v>C:\Users\Nomatin\Documents\Altium\MY_LIB\MY_LIB\Datasheets\YAGEO_RC_L.pdf</x:v>
      </x:c>
      <ns0:c xmlns:ns0="http://schemas.openxmlformats.org/spreadsheetml/2006/main" r="Z458" s="16" t="inlineStr">
        <ns0:is>
          <ns0:t>MY_LIB_R_TCR</ns0:t>
        </ns0:is>
      </ns0:c>
      <ns0:c xmlns:ns0="http://schemas.openxmlformats.org/spreadsheetml/2006/main" r="AA458" s="16" t="inlineStr">
        <ns0:is>
          <ns0:t>R(T), +200 ppm/C at 25 C; positive datasheet limit</ns0:t>
        </ns0:is>
      </ns0:c>
      <ns0:c xmlns:ns0="http://schemas.openxmlformats.org/spreadsheetml/2006/main" r="AB458" s="16" t="str">
        <ns0:v>General</ns0:v>
      </ns0:c>
      <ns0:c xmlns:ns0="http://schemas.openxmlformats.org/spreadsheetml/2006/main" r="AC458" s="16" t="inlineStr">
        <ns0:is>
          <ns0:t>Spice Subcircuit</ns0:t>
        </ns0:is>
      </ns0:c>
      <ns0:c xmlns:ns0="http://schemas.openxmlformats.org/spreadsheetml/2006/main" r="AD458" s="16" t="inlineStr">
        <ns0:is>
          <ns0:t>@DESIGNATOR %1 %2 @MODEL PARAMS: Rvalue=@VALUE TC1value=200u</ns0:t>
        </ns0:is>
      </ns0:c>
      <ns0:c xmlns:ns0="http://schemas.openxmlformats.org/spreadsheetml/2006/main" r="AE458" s="16" t="inlineStr">
        <ns0:is>
          <ns0:t>X</ns0:t>
        </ns0:is>
      </ns0:c>
      <ns0:c xmlns:ns0="http://schemas.openxmlformats.org/spreadsheetml/2006/main" r="AF458" s="16" t="str">
        <ns0:v>(1:1),(2:2)</ns0:v>
      </ns0:c>
      <ns0:c xmlns:ns0="http://schemas.openxmlformats.org/spreadsheetml/2006/main" r="AG458" s="16" t="inlineStr">
        <ns0:is>
          <ns0:t>Simulation\Resistors\MY_LIB_R_TCR.ckt</ns0:t>
        </ns0:is>
      </ns0:c>
      <ns0:c xmlns:ns0="http://schemas.openxmlformats.org/spreadsheetml/2006/main" r="AH458" s="16" t="inlineStr">
        <ns0:is>
          <ns0:t>±200 ppm/°C</ns0:t>
        </ns0:is>
      </ns0:c>
    </ns0:row>
    <ns0:row xmlns:ns0="http://schemas.openxmlformats.org/spreadsheetml/2006/main" r="459" ht="30" customHeight="1">
      <ns0:c r="A459" t="str" s="10">
        <ns0:v>R0465</ns0:v>
      </ns0:c>
      <ns0:c r="B459" t="str" s="10">
        <ns0:v>Резистор</ns0:v>
      </ns0:c>
      <ns0:c r="C459" t="str" s="10">
        <ns0:v>6.8R</ns0:v>
      </ns0:c>
      <ns0:c r="D459" t="str" s="11">
        <ns0:f>SUBSTITUTE(SUBSTITUTE(SUBSTITUTE(SUBSTITUTE(C459,"meg"," МОм"),"k"," кОм"),"R"," Ом"),".",",")</ns0:f>
        <ns0:v>6,8 Ом</ns0:v>
      </ns0:c>
      <ns0:c r="E459" t="str" s="10">
        <ns0:v>±1%</ns0:v>
      </ns0:c>
      <ns0:c r="F459" t="str" s="10">
        <ns0:v>0,125 Вт</ns0:v>
      </ns0:c>
      <ns0:c r="G459" t="str" s="10">
        <ns0:v>150 В макс.</ns0:v>
      </ns0:c>
      <ns0:c r="H459" t="str" s="12">
        <ns0:v>0805</ns0:v>
      </ns0:c>
      <ns0:c r="I459" t="str" s="10">
        <ns0:v>YAGEO</ns0:v>
      </ns0:c>
      <ns0:c r="J459" t="str" s="10">
        <ns0:v>RC0805FR-076R8L</ns0:v>
      </ns0:c>
      <ns0:c r="K459" t="str" s="11">
        <ns0:f>B459&amp;" "&amp;D459&amp;" "&amp;E459&amp;" "&amp;H459</ns0:f>
        <ns0:v>Резистор 6,8 Ом ±1% 0805</ns0:v>
      </ns0:c>
      <ns0:c r="L459" t="str" s="13">
        <ns0:v>R</ns0:v>
      </ns0:c>
      <ns0:c r="M459" t="str" s="13">
        <ns0:v>Symbols\MY_LIB_Resistors.SchLib</ns0:v>
      </ns0:c>
      <ns0:c r="N459" t="str" s="13">
        <ns0:v>RESC2012X70N</ns0:v>
      </ns0:c>
      <ns0:c r="O459" t="str" s="13">
        <ns0:v>Footprints\PBL - SMD Packages.PcbLib</ns0:v>
      </ns0:c>
      <ns0:c xmlns:ns0="http://schemas.openxmlformats.org/spreadsheetml/2006/main" r="P459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59" s="10"/>
      <ns0:c r="R459" t="str" s="11">
        <ns0:f>D459</ns0:f>
        <ns0:v>6,8 Ом</ns0:v>
      </ns0:c>
      <ns0:c r="S459" t="str" s="11">
        <ns0:f>K459</ns0:f>
        <ns0:v>Резистор 6,8 Ом ±1% 0805</ns0:v>
      </ns0:c>
      <x:c xmlns:x="http://schemas.openxmlformats.org/spreadsheetml/2006/main" r="T459" t="str" s="11">
        <x:v>C:\Users\Nomatin\Documents\Altium\MY_LIB\MY_LIB\Datasheets\YAGEO_RC_L.pdf</x:v>
      </x:c>
      <x:c xmlns:x="http://schemas.openxmlformats.org/spreadsheetml/2006/main" r="U459" t="str" s="11">
        <x:v>Даташит — локальный</x:v>
      </x:c>
      <x:c xmlns:x="http://schemas.openxmlformats.org/spreadsheetml/2006/main" r="V459" t="str" s="11">
        <x:v>C:\Users\Nomatin\Documents\Altium\MY_LIB\MY_LIB\Datasheets\YAGEO_RC_L.pdf</x:v>
      </x:c>
      <x:c xmlns:x="http://schemas.openxmlformats.org/spreadsheetml/2006/main" r="W459" t="str" s="11">
        <x:v>Даташит — производитель</x:v>
      </x:c>
      <x:c xmlns:x="http://schemas.openxmlformats.org/spreadsheetml/2006/main" r="X459" t="str" s="11">
        <x:v>https://yageogroup.com/content/datasheet/asset/file/PYU-RC_GROUP_51_ROHS_L</x:v>
      </x:c>
      <x:c xmlns:x="http://schemas.openxmlformats.org/spreadsheetml/2006/main" r="Y459" t="str" s="11">
        <x:v>C:\Users\Nomatin\Documents\Altium\MY_LIB\MY_LIB\Datasheets\YAGEO_RC_L.pdf</x:v>
      </x:c>
      <ns0:c xmlns:ns0="http://schemas.openxmlformats.org/spreadsheetml/2006/main" r="Z459" s="16" t="inlineStr">
        <ns0:is>
          <ns0:t>MY_LIB_R_TCR</ns0:t>
        </ns0:is>
      </ns0:c>
      <ns0:c xmlns:ns0="http://schemas.openxmlformats.org/spreadsheetml/2006/main" r="AA459" s="16" t="inlineStr">
        <ns0:is>
          <ns0:t>R(T), +200 ppm/C at 25 C; positive datasheet limit</ns0:t>
        </ns0:is>
      </ns0:c>
      <ns0:c xmlns:ns0="http://schemas.openxmlformats.org/spreadsheetml/2006/main" r="AB459" s="16" t="str">
        <ns0:v>General</ns0:v>
      </ns0:c>
      <ns0:c xmlns:ns0="http://schemas.openxmlformats.org/spreadsheetml/2006/main" r="AC459" s="16" t="inlineStr">
        <ns0:is>
          <ns0:t>Spice Subcircuit</ns0:t>
        </ns0:is>
      </ns0:c>
      <ns0:c xmlns:ns0="http://schemas.openxmlformats.org/spreadsheetml/2006/main" r="AD459" s="16" t="inlineStr">
        <ns0:is>
          <ns0:t>@DESIGNATOR %1 %2 @MODEL PARAMS: Rvalue=@VALUE TC1value=200u</ns0:t>
        </ns0:is>
      </ns0:c>
      <ns0:c xmlns:ns0="http://schemas.openxmlformats.org/spreadsheetml/2006/main" r="AE459" s="16" t="inlineStr">
        <ns0:is>
          <ns0:t>X</ns0:t>
        </ns0:is>
      </ns0:c>
      <ns0:c xmlns:ns0="http://schemas.openxmlformats.org/spreadsheetml/2006/main" r="AF459" s="16" t="str">
        <ns0:v>(1:1),(2:2)</ns0:v>
      </ns0:c>
      <ns0:c xmlns:ns0="http://schemas.openxmlformats.org/spreadsheetml/2006/main" r="AG459" s="16" t="inlineStr">
        <ns0:is>
          <ns0:t>Simulation\Resistors\MY_LIB_R_TCR.ckt</ns0:t>
        </ns0:is>
      </ns0:c>
      <ns0:c xmlns:ns0="http://schemas.openxmlformats.org/spreadsheetml/2006/main" r="AH459" s="16" t="inlineStr">
        <ns0:is>
          <ns0:t>±200 ppm/°C</ns0:t>
        </ns0:is>
      </ns0:c>
    </ns0:row>
    <ns0:row xmlns:ns0="http://schemas.openxmlformats.org/spreadsheetml/2006/main" r="460" ht="30" customHeight="1">
      <ns0:c r="A460" t="str" s="10">
        <ns0:v>R0466</ns0:v>
      </ns0:c>
      <ns0:c r="B460" t="str" s="10">
        <ns0:v>Резистор</ns0:v>
      </ns0:c>
      <ns0:c r="C460" t="str" s="10">
        <ns0:v>7.5R</ns0:v>
      </ns0:c>
      <ns0:c r="D460" t="str" s="11">
        <ns0:f>SUBSTITUTE(SUBSTITUTE(SUBSTITUTE(SUBSTITUTE(C460,"meg"," МОм"),"k"," кОм"),"R"," Ом"),".",",")</ns0:f>
        <ns0:v>7,5 Ом</ns0:v>
      </ns0:c>
      <ns0:c r="E460" t="str" s="10">
        <ns0:v>±1%</ns0:v>
      </ns0:c>
      <ns0:c r="F460" t="str" s="10">
        <ns0:v>0,125 Вт</ns0:v>
      </ns0:c>
      <ns0:c r="G460" t="str" s="10">
        <ns0:v>150 В макс.</ns0:v>
      </ns0:c>
      <ns0:c r="H460" t="str" s="12">
        <ns0:v>0805</ns0:v>
      </ns0:c>
      <ns0:c r="I460" t="str" s="10">
        <ns0:v>YAGEO</ns0:v>
      </ns0:c>
      <ns0:c r="J460" t="str" s="10">
        <ns0:v>RC0805FR-077R5L</ns0:v>
      </ns0:c>
      <ns0:c r="K460" t="str" s="11">
        <ns0:f>B460&amp;" "&amp;D460&amp;" "&amp;E460&amp;" "&amp;H460</ns0:f>
        <ns0:v>Резистор 7,5 Ом ±1% 0805</ns0:v>
      </ns0:c>
      <ns0:c r="L460" t="str" s="13">
        <ns0:v>R</ns0:v>
      </ns0:c>
      <ns0:c r="M460" t="str" s="13">
        <ns0:v>Symbols\MY_LIB_Resistors.SchLib</ns0:v>
      </ns0:c>
      <ns0:c r="N460" t="str" s="13">
        <ns0:v>RESC2012X70N</ns0:v>
      </ns0:c>
      <ns0:c r="O460" t="str" s="13">
        <ns0:v>Footprints\PBL - SMD Packages.PcbLib</ns0:v>
      </ns0:c>
      <ns0:c xmlns:ns0="http://schemas.openxmlformats.org/spreadsheetml/2006/main" r="P460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60" s="10"/>
      <ns0:c r="R460" t="str" s="11">
        <ns0:f>D460</ns0:f>
        <ns0:v>7,5 Ом</ns0:v>
      </ns0:c>
      <ns0:c r="S460" t="str" s="11">
        <ns0:f>K460</ns0:f>
        <ns0:v>Резистор 7,5 Ом ±1% 0805</ns0:v>
      </ns0:c>
      <x:c xmlns:x="http://schemas.openxmlformats.org/spreadsheetml/2006/main" r="T460" t="str" s="11">
        <x:v>C:\Users\Nomatin\Documents\Altium\MY_LIB\MY_LIB\Datasheets\YAGEO_RC_L.pdf</x:v>
      </x:c>
      <x:c xmlns:x="http://schemas.openxmlformats.org/spreadsheetml/2006/main" r="U460" t="str" s="11">
        <x:v>Даташит — локальный</x:v>
      </x:c>
      <x:c xmlns:x="http://schemas.openxmlformats.org/spreadsheetml/2006/main" r="V460" t="str" s="11">
        <x:v>C:\Users\Nomatin\Documents\Altium\MY_LIB\MY_LIB\Datasheets\YAGEO_RC_L.pdf</x:v>
      </x:c>
      <x:c xmlns:x="http://schemas.openxmlformats.org/spreadsheetml/2006/main" r="W460" t="str" s="11">
        <x:v>Даташит — производитель</x:v>
      </x:c>
      <x:c xmlns:x="http://schemas.openxmlformats.org/spreadsheetml/2006/main" r="X460" t="str" s="11">
        <x:v>https://yageogroup.com/content/datasheet/asset/file/PYU-RC_GROUP_51_ROHS_L</x:v>
      </x:c>
      <x:c xmlns:x="http://schemas.openxmlformats.org/spreadsheetml/2006/main" r="Y460" t="str" s="11">
        <x:v>C:\Users\Nomatin\Documents\Altium\MY_LIB\MY_LIB\Datasheets\YAGEO_RC_L.pdf</x:v>
      </x:c>
      <ns0:c xmlns:ns0="http://schemas.openxmlformats.org/spreadsheetml/2006/main" r="Z460" s="16" t="inlineStr">
        <ns0:is>
          <ns0:t>MY_LIB_R_TCR</ns0:t>
        </ns0:is>
      </ns0:c>
      <ns0:c xmlns:ns0="http://schemas.openxmlformats.org/spreadsheetml/2006/main" r="AA460" s="16" t="inlineStr">
        <ns0:is>
          <ns0:t>R(T), +200 ppm/C at 25 C; positive datasheet limit</ns0:t>
        </ns0:is>
      </ns0:c>
      <ns0:c xmlns:ns0="http://schemas.openxmlformats.org/spreadsheetml/2006/main" r="AB460" s="16" t="str">
        <ns0:v>General</ns0:v>
      </ns0:c>
      <ns0:c xmlns:ns0="http://schemas.openxmlformats.org/spreadsheetml/2006/main" r="AC460" s="16" t="inlineStr">
        <ns0:is>
          <ns0:t>Spice Subcircuit</ns0:t>
        </ns0:is>
      </ns0:c>
      <ns0:c xmlns:ns0="http://schemas.openxmlformats.org/spreadsheetml/2006/main" r="AD460" s="16" t="inlineStr">
        <ns0:is>
          <ns0:t>@DESIGNATOR %1 %2 @MODEL PARAMS: Rvalue=@VALUE TC1value=200u</ns0:t>
        </ns0:is>
      </ns0:c>
      <ns0:c xmlns:ns0="http://schemas.openxmlformats.org/spreadsheetml/2006/main" r="AE460" s="16" t="inlineStr">
        <ns0:is>
          <ns0:t>X</ns0:t>
        </ns0:is>
      </ns0:c>
      <ns0:c xmlns:ns0="http://schemas.openxmlformats.org/spreadsheetml/2006/main" r="AF460" s="16" t="str">
        <ns0:v>(1:1),(2:2)</ns0:v>
      </ns0:c>
      <ns0:c xmlns:ns0="http://schemas.openxmlformats.org/spreadsheetml/2006/main" r="AG460" s="16" t="inlineStr">
        <ns0:is>
          <ns0:t>Simulation\Resistors\MY_LIB_R_TCR.ckt</ns0:t>
        </ns0:is>
      </ns0:c>
      <ns0:c xmlns:ns0="http://schemas.openxmlformats.org/spreadsheetml/2006/main" r="AH460" s="16" t="inlineStr">
        <ns0:is>
          <ns0:t>±200 ppm/°C</ns0:t>
        </ns0:is>
      </ns0:c>
    </ns0:row>
    <ns0:row xmlns:ns0="http://schemas.openxmlformats.org/spreadsheetml/2006/main" r="461" ht="30" customHeight="1">
      <ns0:c r="A461" t="str" s="10">
        <ns0:v>R0467</ns0:v>
      </ns0:c>
      <ns0:c r="B461" t="str" s="10">
        <ns0:v>Резистор</ns0:v>
      </ns0:c>
      <ns0:c r="C461" t="str" s="10">
        <ns0:v>8.2R</ns0:v>
      </ns0:c>
      <ns0:c r="D461" t="str" s="11">
        <ns0:f>SUBSTITUTE(SUBSTITUTE(SUBSTITUTE(SUBSTITUTE(C461,"meg"," МОм"),"k"," кОм"),"R"," Ом"),".",",")</ns0:f>
        <ns0:v>8,2 Ом</ns0:v>
      </ns0:c>
      <ns0:c r="E461" t="str" s="10">
        <ns0:v>±1%</ns0:v>
      </ns0:c>
      <ns0:c r="F461" t="str" s="10">
        <ns0:v>0,125 Вт</ns0:v>
      </ns0:c>
      <ns0:c r="G461" t="str" s="10">
        <ns0:v>150 В макс.</ns0:v>
      </ns0:c>
      <ns0:c r="H461" t="str" s="12">
        <ns0:v>0805</ns0:v>
      </ns0:c>
      <ns0:c r="I461" t="str" s="10">
        <ns0:v>YAGEO</ns0:v>
      </ns0:c>
      <ns0:c r="J461" t="str" s="10">
        <ns0:v>RC0805FR-078R2L</ns0:v>
      </ns0:c>
      <ns0:c r="K461" t="str" s="11">
        <ns0:f>B461&amp;" "&amp;D461&amp;" "&amp;E461&amp;" "&amp;H461</ns0:f>
        <ns0:v>Резистор 8,2 Ом ±1% 0805</ns0:v>
      </ns0:c>
      <ns0:c r="L461" t="str" s="13">
        <ns0:v>R</ns0:v>
      </ns0:c>
      <ns0:c r="M461" t="str" s="13">
        <ns0:v>Symbols\MY_LIB_Resistors.SchLib</ns0:v>
      </ns0:c>
      <ns0:c r="N461" t="str" s="13">
        <ns0:v>RESC2012X70N</ns0:v>
      </ns0:c>
      <ns0:c r="O461" t="str" s="13">
        <ns0:v>Footprints\PBL - SMD Packages.PcbLib</ns0:v>
      </ns0:c>
      <ns0:c xmlns:ns0="http://schemas.openxmlformats.org/spreadsheetml/2006/main" r="P461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61" s="10"/>
      <ns0:c r="R461" t="str" s="11">
        <ns0:f>D461</ns0:f>
        <ns0:v>8,2 Ом</ns0:v>
      </ns0:c>
      <ns0:c r="S461" t="str" s="11">
        <ns0:f>K461</ns0:f>
        <ns0:v>Резистор 8,2 Ом ±1% 0805</ns0:v>
      </ns0:c>
      <x:c xmlns:x="http://schemas.openxmlformats.org/spreadsheetml/2006/main" r="T461" t="str" s="11">
        <x:v>C:\Users\Nomatin\Documents\Altium\MY_LIB\MY_LIB\Datasheets\YAGEO_RC_L.pdf</x:v>
      </x:c>
      <x:c xmlns:x="http://schemas.openxmlformats.org/spreadsheetml/2006/main" r="U461" t="str" s="11">
        <x:v>Даташит — локальный</x:v>
      </x:c>
      <x:c xmlns:x="http://schemas.openxmlformats.org/spreadsheetml/2006/main" r="V461" t="str" s="11">
        <x:v>C:\Users\Nomatin\Documents\Altium\MY_LIB\MY_LIB\Datasheets\YAGEO_RC_L.pdf</x:v>
      </x:c>
      <x:c xmlns:x="http://schemas.openxmlformats.org/spreadsheetml/2006/main" r="W461" t="str" s="11">
        <x:v>Даташит — производитель</x:v>
      </x:c>
      <x:c xmlns:x="http://schemas.openxmlformats.org/spreadsheetml/2006/main" r="X461" t="str" s="11">
        <x:v>https://yageogroup.com/content/datasheet/asset/file/PYU-RC_GROUP_51_ROHS_L</x:v>
      </x:c>
      <x:c xmlns:x="http://schemas.openxmlformats.org/spreadsheetml/2006/main" r="Y461" t="str" s="11">
        <x:v>C:\Users\Nomatin\Documents\Altium\MY_LIB\MY_LIB\Datasheets\YAGEO_RC_L.pdf</x:v>
      </x:c>
      <ns0:c xmlns:ns0="http://schemas.openxmlformats.org/spreadsheetml/2006/main" r="Z461" s="16" t="inlineStr">
        <ns0:is>
          <ns0:t>MY_LIB_R_TCR</ns0:t>
        </ns0:is>
      </ns0:c>
      <ns0:c xmlns:ns0="http://schemas.openxmlformats.org/spreadsheetml/2006/main" r="AA461" s="16" t="inlineStr">
        <ns0:is>
          <ns0:t>R(T), +200 ppm/C at 25 C; positive datasheet limit</ns0:t>
        </ns0:is>
      </ns0:c>
      <ns0:c xmlns:ns0="http://schemas.openxmlformats.org/spreadsheetml/2006/main" r="AB461" s="16" t="str">
        <ns0:v>General</ns0:v>
      </ns0:c>
      <ns0:c xmlns:ns0="http://schemas.openxmlformats.org/spreadsheetml/2006/main" r="AC461" s="16" t="inlineStr">
        <ns0:is>
          <ns0:t>Spice Subcircuit</ns0:t>
        </ns0:is>
      </ns0:c>
      <ns0:c xmlns:ns0="http://schemas.openxmlformats.org/spreadsheetml/2006/main" r="AD461" s="16" t="inlineStr">
        <ns0:is>
          <ns0:t>@DESIGNATOR %1 %2 @MODEL PARAMS: Rvalue=@VALUE TC1value=200u</ns0:t>
        </ns0:is>
      </ns0:c>
      <ns0:c xmlns:ns0="http://schemas.openxmlformats.org/spreadsheetml/2006/main" r="AE461" s="16" t="inlineStr">
        <ns0:is>
          <ns0:t>X</ns0:t>
        </ns0:is>
      </ns0:c>
      <ns0:c xmlns:ns0="http://schemas.openxmlformats.org/spreadsheetml/2006/main" r="AF461" s="16" t="str">
        <ns0:v>(1:1),(2:2)</ns0:v>
      </ns0:c>
      <ns0:c xmlns:ns0="http://schemas.openxmlformats.org/spreadsheetml/2006/main" r="AG461" s="16" t="inlineStr">
        <ns0:is>
          <ns0:t>Simulation\Resistors\MY_LIB_R_TCR.ckt</ns0:t>
        </ns0:is>
      </ns0:c>
      <ns0:c xmlns:ns0="http://schemas.openxmlformats.org/spreadsheetml/2006/main" r="AH461" s="16" t="inlineStr">
        <ns0:is>
          <ns0:t>±200 ppm/°C</ns0:t>
        </ns0:is>
      </ns0:c>
    </ns0:row>
    <ns0:row xmlns:ns0="http://schemas.openxmlformats.org/spreadsheetml/2006/main" r="462" ht="30" customHeight="1">
      <ns0:c r="A462" t="str" s="10">
        <ns0:v>R0468</ns0:v>
      </ns0:c>
      <ns0:c r="B462" t="str" s="10">
        <ns0:v>Резистор</ns0:v>
      </ns0:c>
      <ns0:c r="C462" t="str" s="10">
        <ns0:v>9.1R</ns0:v>
      </ns0:c>
      <ns0:c r="D462" t="str" s="11">
        <ns0:f>SUBSTITUTE(SUBSTITUTE(SUBSTITUTE(SUBSTITUTE(C462,"meg"," МОм"),"k"," кОм"),"R"," Ом"),".",",")</ns0:f>
        <ns0:v>9,1 Ом</ns0:v>
      </ns0:c>
      <ns0:c r="E462" t="str" s="10">
        <ns0:v>±1%</ns0:v>
      </ns0:c>
      <ns0:c r="F462" t="str" s="10">
        <ns0:v>0,125 Вт</ns0:v>
      </ns0:c>
      <ns0:c r="G462" t="str" s="10">
        <ns0:v>150 В макс.</ns0:v>
      </ns0:c>
      <ns0:c r="H462" t="str" s="12">
        <ns0:v>0805</ns0:v>
      </ns0:c>
      <ns0:c r="I462" t="str" s="10">
        <ns0:v>YAGEO</ns0:v>
      </ns0:c>
      <ns0:c r="J462" t="str" s="10">
        <ns0:v>RC0805FR-079R1L</ns0:v>
      </ns0:c>
      <ns0:c r="K462" t="str" s="11">
        <ns0:f>B462&amp;" "&amp;D462&amp;" "&amp;E462&amp;" "&amp;H462</ns0:f>
        <ns0:v>Резистор 9,1 Ом ±1% 0805</ns0:v>
      </ns0:c>
      <ns0:c r="L462" t="str" s="13">
        <ns0:v>R</ns0:v>
      </ns0:c>
      <ns0:c r="M462" t="str" s="13">
        <ns0:v>Symbols\MY_LIB_Resistors.SchLib</ns0:v>
      </ns0:c>
      <ns0:c r="N462" t="str" s="13">
        <ns0:v>RESC2012X70N</ns0:v>
      </ns0:c>
      <ns0:c r="O462" t="str" s="13">
        <ns0:v>Footprints\PBL - SMD Packages.PcbLib</ns0:v>
      </ns0:c>
      <ns0:c xmlns:ns0="http://schemas.openxmlformats.org/spreadsheetml/2006/main" r="P462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62" s="10"/>
      <ns0:c r="R462" t="str" s="11">
        <ns0:f>D462</ns0:f>
        <ns0:v>9,1 Ом</ns0:v>
      </ns0:c>
      <ns0:c r="S462" t="str" s="11">
        <ns0:f>K462</ns0:f>
        <ns0:v>Резистор 9,1 Ом ±1% 0805</ns0:v>
      </ns0:c>
      <x:c xmlns:x="http://schemas.openxmlformats.org/spreadsheetml/2006/main" r="T462" t="str" s="11">
        <x:v>C:\Users\Nomatin\Documents\Altium\MY_LIB\MY_LIB\Datasheets\YAGEO_RC_L.pdf</x:v>
      </x:c>
      <x:c xmlns:x="http://schemas.openxmlformats.org/spreadsheetml/2006/main" r="U462" t="str" s="11">
        <x:v>Даташит — локальный</x:v>
      </x:c>
      <x:c xmlns:x="http://schemas.openxmlformats.org/spreadsheetml/2006/main" r="V462" t="str" s="11">
        <x:v>C:\Users\Nomatin\Documents\Altium\MY_LIB\MY_LIB\Datasheets\YAGEO_RC_L.pdf</x:v>
      </x:c>
      <x:c xmlns:x="http://schemas.openxmlformats.org/spreadsheetml/2006/main" r="W462" t="str" s="11">
        <x:v>Даташит — производитель</x:v>
      </x:c>
      <x:c xmlns:x="http://schemas.openxmlformats.org/spreadsheetml/2006/main" r="X462" t="str" s="11">
        <x:v>https://yageogroup.com/content/datasheet/asset/file/PYU-RC_GROUP_51_ROHS_L</x:v>
      </x:c>
      <x:c xmlns:x="http://schemas.openxmlformats.org/spreadsheetml/2006/main" r="Y462" t="str" s="11">
        <x:v>C:\Users\Nomatin\Documents\Altium\MY_LIB\MY_LIB\Datasheets\YAGEO_RC_L.pdf</x:v>
      </x:c>
      <ns0:c xmlns:ns0="http://schemas.openxmlformats.org/spreadsheetml/2006/main" r="Z462" s="16" t="inlineStr">
        <ns0:is>
          <ns0:t>MY_LIB_R_TCR</ns0:t>
        </ns0:is>
      </ns0:c>
      <ns0:c xmlns:ns0="http://schemas.openxmlformats.org/spreadsheetml/2006/main" r="AA462" s="16" t="inlineStr">
        <ns0:is>
          <ns0:t>R(T), +200 ppm/C at 25 C; positive datasheet limit</ns0:t>
        </ns0:is>
      </ns0:c>
      <ns0:c xmlns:ns0="http://schemas.openxmlformats.org/spreadsheetml/2006/main" r="AB462" s="16" t="str">
        <ns0:v>General</ns0:v>
      </ns0:c>
      <ns0:c xmlns:ns0="http://schemas.openxmlformats.org/spreadsheetml/2006/main" r="AC462" s="16" t="inlineStr">
        <ns0:is>
          <ns0:t>Spice Subcircuit</ns0:t>
        </ns0:is>
      </ns0:c>
      <ns0:c xmlns:ns0="http://schemas.openxmlformats.org/spreadsheetml/2006/main" r="AD462" s="16" t="inlineStr">
        <ns0:is>
          <ns0:t>@DESIGNATOR %1 %2 @MODEL PARAMS: Rvalue=@VALUE TC1value=200u</ns0:t>
        </ns0:is>
      </ns0:c>
      <ns0:c xmlns:ns0="http://schemas.openxmlformats.org/spreadsheetml/2006/main" r="AE462" s="16" t="inlineStr">
        <ns0:is>
          <ns0:t>X</ns0:t>
        </ns0:is>
      </ns0:c>
      <ns0:c xmlns:ns0="http://schemas.openxmlformats.org/spreadsheetml/2006/main" r="AF462" s="16" t="str">
        <ns0:v>(1:1),(2:2)</ns0:v>
      </ns0:c>
      <ns0:c xmlns:ns0="http://schemas.openxmlformats.org/spreadsheetml/2006/main" r="AG462" s="16" t="inlineStr">
        <ns0:is>
          <ns0:t>Simulation\Resistors\MY_LIB_R_TCR.ckt</ns0:t>
        </ns0:is>
      </ns0:c>
      <ns0:c xmlns:ns0="http://schemas.openxmlformats.org/spreadsheetml/2006/main" r="AH462" s="16" t="inlineStr">
        <ns0:is>
          <ns0:t>±200 ppm/°C</ns0:t>
        </ns0:is>
      </ns0:c>
    </ns0:row>
    <ns0:row xmlns:ns0="http://schemas.openxmlformats.org/spreadsheetml/2006/main" r="463" ht="30" customHeight="1">
      <ns0:c r="A463" t="str" s="10">
        <ns0:v>R0469</ns0:v>
      </ns0:c>
      <ns0:c r="B463" t="str" s="10">
        <ns0:v>Резистор</ns0:v>
      </ns0:c>
      <ns0:c r="C463" t="str" s="10">
        <ns0:v>10R</ns0:v>
      </ns0:c>
      <ns0:c r="D463" t="str" s="11">
        <ns0:f>SUBSTITUTE(SUBSTITUTE(SUBSTITUTE(SUBSTITUTE(C463,"meg"," МОм"),"k"," кОм"),"R"," Ом"),".",",")</ns0:f>
        <ns0:v>10 Ом</ns0:v>
      </ns0:c>
      <ns0:c r="E463" t="str" s="10">
        <ns0:v>±1%</ns0:v>
      </ns0:c>
      <ns0:c r="F463" t="str" s="10">
        <ns0:v>0,125 Вт</ns0:v>
      </ns0:c>
      <ns0:c r="G463" t="str" s="10">
        <ns0:v>150 В макс.</ns0:v>
      </ns0:c>
      <ns0:c r="H463" t="str" s="12">
        <ns0:v>0805</ns0:v>
      </ns0:c>
      <ns0:c r="I463" t="str" s="10">
        <ns0:v>YAGEO</ns0:v>
      </ns0:c>
      <ns0:c r="J463" t="str" s="10">
        <ns0:v>RC0805FR-0710RL</ns0:v>
      </ns0:c>
      <ns0:c r="K463" t="str" s="11">
        <ns0:f>B463&amp;" "&amp;D463&amp;" "&amp;E463&amp;" "&amp;H463</ns0:f>
        <ns0:v>Резистор 10 Ом ±1% 0805</ns0:v>
      </ns0:c>
      <ns0:c r="L463" t="str" s="13">
        <ns0:v>R</ns0:v>
      </ns0:c>
      <ns0:c r="M463" t="str" s="13">
        <ns0:v>Symbols\MY_LIB_Resistors.SchLib</ns0:v>
      </ns0:c>
      <ns0:c r="N463" t="str" s="13">
        <ns0:v>RESC2012X70N</ns0:v>
      </ns0:c>
      <ns0:c r="O463" t="str" s="13">
        <ns0:v>Footprints\PBL - SMD Packages.PcbLib</ns0:v>
      </ns0:c>
      <ns0:c xmlns:ns0="http://schemas.openxmlformats.org/spreadsheetml/2006/main" r="P463" s="10" t="inlineStr">
        <ns0:is>
          <ns0:t>RC_L; E24; P при 70 °C; U ≤ min(√(P·R), Umax); SPICE: +200 ppm/°C при 25 °C — положительная граница ±200, не измеренный ТКС (RC_L, табл.2/5, стр.5/8).</ns0:t>
        </ns0:is>
      </ns0:c>
      <ns0:c r="Q463" s="10"/>
      <ns0:c r="R463" t="str" s="11">
        <ns0:f>D463</ns0:f>
        <ns0:v>10 Ом</ns0:v>
      </ns0:c>
      <ns0:c r="S463" t="str" s="11">
        <ns0:f>K463</ns0:f>
        <ns0:v>Резистор 10 Ом ±1% 0805</ns0:v>
      </ns0:c>
      <x:c xmlns:x="http://schemas.openxmlformats.org/spreadsheetml/2006/main" r="T463" t="str" s="11">
        <x:v>C:\Users\Nomatin\Documents\Altium\MY_LIB\MY_LIB\Datasheets\YAGEO_RC_L.pdf</x:v>
      </x:c>
      <x:c xmlns:x="http://schemas.openxmlformats.org/spreadsheetml/2006/main" r="U463" t="str" s="11">
        <x:v>Даташит — локальный</x:v>
      </x:c>
      <x:c xmlns:x="http://schemas.openxmlformats.org/spreadsheetml/2006/main" r="V463" t="str" s="11">
        <x:v>C:\Users\Nomatin\Documents\Altium\MY_LIB\MY_LIB\Datasheets\YAGEO_RC_L.pdf</x:v>
      </x:c>
      <x:c xmlns:x="http://schemas.openxmlformats.org/spreadsheetml/2006/main" r="W463" t="str" s="11">
        <x:v>Даташит — производитель</x:v>
      </x:c>
      <x:c xmlns:x="http://schemas.openxmlformats.org/spreadsheetml/2006/main" r="X463" t="str" s="11">
        <x:v>https://yageogroup.com/content/datasheet/asset/file/PYU-RC_GROUP_51_ROHS_L</x:v>
      </x:c>
      <x:c xmlns:x="http://schemas.openxmlformats.org/spreadsheetml/2006/main" r="Y463" t="str" s="11">
        <x:v>C:\Users\Nomatin\Documents\Altium\MY_LIB\MY_LIB\Datasheets\YAGEO_RC_L.pdf</x:v>
      </x:c>
      <ns0:c xmlns:ns0="http://schemas.openxmlformats.org/spreadsheetml/2006/main" r="Z463" s="16" t="inlineStr">
        <ns0:is>
          <ns0:t>MY_LIB_R_TCR</ns0:t>
        </ns0:is>
      </ns0:c>
      <ns0:c xmlns:ns0="http://schemas.openxmlformats.org/spreadsheetml/2006/main" r="AA463" s="16" t="inlineStr">
        <ns0:is>
          <ns0:t>R(T), +200 ppm/C at 25 C; positive datasheet limit</ns0:t>
        </ns0:is>
      </ns0:c>
      <ns0:c xmlns:ns0="http://schemas.openxmlformats.org/spreadsheetml/2006/main" r="AB463" s="16" t="str">
        <ns0:v>General</ns0:v>
      </ns0:c>
      <ns0:c xmlns:ns0="http://schemas.openxmlformats.org/spreadsheetml/2006/main" r="AC463" s="16" t="inlineStr">
        <ns0:is>
          <ns0:t>Spice Subcircuit</ns0:t>
        </ns0:is>
      </ns0:c>
      <ns0:c xmlns:ns0="http://schemas.openxmlformats.org/spreadsheetml/2006/main" r="AD463" s="16" t="inlineStr">
        <ns0:is>
          <ns0:t>@DESIGNATOR %1 %2 @MODEL PARAMS: Rvalue=@VALUE TC1value=200u</ns0:t>
        </ns0:is>
      </ns0:c>
      <ns0:c xmlns:ns0="http://schemas.openxmlformats.org/spreadsheetml/2006/main" r="AE463" s="16" t="inlineStr">
        <ns0:is>
          <ns0:t>X</ns0:t>
        </ns0:is>
      </ns0:c>
      <ns0:c xmlns:ns0="http://schemas.openxmlformats.org/spreadsheetml/2006/main" r="AF463" s="16" t="str">
        <ns0:v>(1:1),(2:2)</ns0:v>
      </ns0:c>
      <ns0:c xmlns:ns0="http://schemas.openxmlformats.org/spreadsheetml/2006/main" r="AG463" s="16" t="inlineStr">
        <ns0:is>
          <ns0:t>Simulation\Resistors\MY_LIB_R_TCR.ckt</ns0:t>
        </ns0:is>
      </ns0:c>
      <ns0:c xmlns:ns0="http://schemas.openxmlformats.org/spreadsheetml/2006/main" r="AH463" s="16" t="inlineStr">
        <ns0:is>
          <ns0:t>±200 ppm/°C</ns0:t>
        </ns0:is>
      </ns0:c>
    </ns0:row>
    <ns0:row xmlns:ns0="http://schemas.openxmlformats.org/spreadsheetml/2006/main" r="464" ht="30" customHeight="1">
      <ns0:c r="A464" t="str" s="10">
        <ns0:v>R0470</ns0:v>
      </ns0:c>
      <ns0:c r="B464" t="str" s="10">
        <ns0:v>Резистор</ns0:v>
      </ns0:c>
      <ns0:c r="C464" t="str" s="10">
        <ns0:v>11R</ns0:v>
      </ns0:c>
      <ns0:c r="D464" t="str" s="11">
        <ns0:f>SUBSTITUTE(SUBSTITUTE(SUBSTITUTE(SUBSTITUTE(C464,"meg"," МОм"),"k"," кОм"),"R"," Ом"),".",",")</ns0:f>
        <ns0:v>11 Ом</ns0:v>
      </ns0:c>
      <ns0:c r="E464" t="str" s="10">
        <ns0:v>±1%</ns0:v>
      </ns0:c>
      <ns0:c r="F464" t="str" s="10">
        <ns0:v>0,125 Вт</ns0:v>
      </ns0:c>
      <ns0:c r="G464" t="str" s="10">
        <ns0:v>150 В макс.</ns0:v>
      </ns0:c>
      <ns0:c r="H464" t="str" s="12">
        <ns0:v>0805</ns0:v>
      </ns0:c>
      <ns0:c r="I464" t="str" s="10">
        <ns0:v>YAGEO</ns0:v>
      </ns0:c>
      <ns0:c r="J464" t="str" s="10">
        <ns0:v>RC0805FR-0711RL</ns0:v>
      </ns0:c>
      <ns0:c r="K464" t="str" s="11">
        <ns0:f>B464&amp;" "&amp;D464&amp;" "&amp;E464&amp;" "&amp;H464</ns0:f>
        <ns0:v>Резистор 11 Ом ±1% 0805</ns0:v>
      </ns0:c>
      <ns0:c r="L464" t="str" s="13">
        <ns0:v>R</ns0:v>
      </ns0:c>
      <ns0:c r="M464" t="str" s="13">
        <ns0:v>Symbols\MY_LIB_Resistors.SchLib</ns0:v>
      </ns0:c>
      <ns0:c r="N464" t="str" s="13">
        <ns0:v>RESC2012X70N</ns0:v>
      </ns0:c>
      <ns0:c r="O464" t="str" s="13">
        <ns0:v>Footprints\PBL - SMD Packages.PcbLib</ns0:v>
      </ns0:c>
      <ns0:c xmlns:ns0="http://schemas.openxmlformats.org/spreadsheetml/2006/main" r="P46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4" s="10"/>
      <ns0:c r="R464" t="str" s="11">
        <ns0:f>D464</ns0:f>
        <ns0:v>11 Ом</ns0:v>
      </ns0:c>
      <ns0:c r="S464" t="str" s="11">
        <ns0:f>K464</ns0:f>
        <ns0:v>Резистор 11 Ом ±1% 0805</ns0:v>
      </ns0:c>
      <x:c xmlns:x="http://schemas.openxmlformats.org/spreadsheetml/2006/main" r="T464" t="str" s="11">
        <x:v>C:\Users\Nomatin\Documents\Altium\MY_LIB\MY_LIB\Datasheets\YAGEO_RC_L.pdf</x:v>
      </x:c>
      <x:c xmlns:x="http://schemas.openxmlformats.org/spreadsheetml/2006/main" r="U464" t="str" s="11">
        <x:v>Даташит — локальный</x:v>
      </x:c>
      <x:c xmlns:x="http://schemas.openxmlformats.org/spreadsheetml/2006/main" r="V464" t="str" s="11">
        <x:v>C:\Users\Nomatin\Documents\Altium\MY_LIB\MY_LIB\Datasheets\YAGEO_RC_L.pdf</x:v>
      </x:c>
      <x:c xmlns:x="http://schemas.openxmlformats.org/spreadsheetml/2006/main" r="W464" t="str" s="11">
        <x:v>Даташит — производитель</x:v>
      </x:c>
      <x:c xmlns:x="http://schemas.openxmlformats.org/spreadsheetml/2006/main" r="X464" t="str" s="11">
        <x:v>https://yageogroup.com/content/datasheet/asset/file/PYU-RC_GROUP_51_ROHS_L</x:v>
      </x:c>
      <x:c xmlns:x="http://schemas.openxmlformats.org/spreadsheetml/2006/main" r="Y464" t="str" s="11">
        <x:v>C:\Users\Nomatin\Documents\Altium\MY_LIB\MY_LIB\Datasheets\YAGEO_RC_L.pdf</x:v>
      </x:c>
      <ns0:c xmlns:ns0="http://schemas.openxmlformats.org/spreadsheetml/2006/main" r="Z464" s="16" t="inlineStr">
        <ns0:is>
          <ns0:t>MY_LIB_R_TCR</ns0:t>
        </ns0:is>
      </ns0:c>
      <ns0:c xmlns:ns0="http://schemas.openxmlformats.org/spreadsheetml/2006/main" r="AA464" s="16" t="inlineStr">
        <ns0:is>
          <ns0:t>R(T), +100 ppm/C at 25 C; positive datasheet limit</ns0:t>
        </ns0:is>
      </ns0:c>
      <ns0:c xmlns:ns0="http://schemas.openxmlformats.org/spreadsheetml/2006/main" r="AB464" s="16" t="str">
        <ns0:v>General</ns0:v>
      </ns0:c>
      <ns0:c xmlns:ns0="http://schemas.openxmlformats.org/spreadsheetml/2006/main" r="AC464" s="16" t="inlineStr">
        <ns0:is>
          <ns0:t>Spice Subcircuit</ns0:t>
        </ns0:is>
      </ns0:c>
      <ns0:c xmlns:ns0="http://schemas.openxmlformats.org/spreadsheetml/2006/main" r="AD464" s="16" t="inlineStr">
        <ns0:is>
          <ns0:t>@DESIGNATOR %1 %2 @MODEL PARAMS: Rvalue=@VALUE TC1value=100u</ns0:t>
        </ns0:is>
      </ns0:c>
      <ns0:c xmlns:ns0="http://schemas.openxmlformats.org/spreadsheetml/2006/main" r="AE464" s="16" t="inlineStr">
        <ns0:is>
          <ns0:t>X</ns0:t>
        </ns0:is>
      </ns0:c>
      <ns0:c xmlns:ns0="http://schemas.openxmlformats.org/spreadsheetml/2006/main" r="AF464" s="16" t="str">
        <ns0:v>(1:1),(2:2)</ns0:v>
      </ns0:c>
      <ns0:c xmlns:ns0="http://schemas.openxmlformats.org/spreadsheetml/2006/main" r="AG464" s="16" t="inlineStr">
        <ns0:is>
          <ns0:t>Simulation\Resistors\MY_LIB_R_TCR.ckt</ns0:t>
        </ns0:is>
      </ns0:c>
      <ns0:c xmlns:ns0="http://schemas.openxmlformats.org/spreadsheetml/2006/main" r="AH464" s="16" t="inlineStr">
        <ns0:is>
          <ns0:t>±100 ppm/°C</ns0:t>
        </ns0:is>
      </ns0:c>
    </ns0:row>
    <ns0:row xmlns:ns0="http://schemas.openxmlformats.org/spreadsheetml/2006/main" r="465" ht="30" customHeight="1">
      <ns0:c r="A465" t="str" s="10">
        <ns0:v>R0471</ns0:v>
      </ns0:c>
      <ns0:c r="B465" t="str" s="10">
        <ns0:v>Резистор</ns0:v>
      </ns0:c>
      <ns0:c r="C465" t="str" s="10">
        <ns0:v>12R</ns0:v>
      </ns0:c>
      <ns0:c r="D465" t="str" s="11">
        <ns0:f>SUBSTITUTE(SUBSTITUTE(SUBSTITUTE(SUBSTITUTE(C465,"meg"," МОм"),"k"," кОм"),"R"," Ом"),".",",")</ns0:f>
        <ns0:v>12 Ом</ns0:v>
      </ns0:c>
      <ns0:c r="E465" t="str" s="10">
        <ns0:v>±1%</ns0:v>
      </ns0:c>
      <ns0:c r="F465" t="str" s="10">
        <ns0:v>0,125 Вт</ns0:v>
      </ns0:c>
      <ns0:c r="G465" t="str" s="10">
        <ns0:v>150 В макс.</ns0:v>
      </ns0:c>
      <ns0:c r="H465" t="str" s="12">
        <ns0:v>0805</ns0:v>
      </ns0:c>
      <ns0:c r="I465" t="str" s="10">
        <ns0:v>YAGEO</ns0:v>
      </ns0:c>
      <ns0:c r="J465" t="str" s="10">
        <ns0:v>RC0805FR-0712RL</ns0:v>
      </ns0:c>
      <ns0:c r="K465" t="str" s="11">
        <ns0:f>B465&amp;" "&amp;D465&amp;" "&amp;E465&amp;" "&amp;H465</ns0:f>
        <ns0:v>Резистор 12 Ом ±1% 0805</ns0:v>
      </ns0:c>
      <ns0:c r="L465" t="str" s="13">
        <ns0:v>R</ns0:v>
      </ns0:c>
      <ns0:c r="M465" t="str" s="13">
        <ns0:v>Symbols\MY_LIB_Resistors.SchLib</ns0:v>
      </ns0:c>
      <ns0:c r="N465" t="str" s="13">
        <ns0:v>RESC2012X70N</ns0:v>
      </ns0:c>
      <ns0:c r="O465" t="str" s="13">
        <ns0:v>Footprints\PBL - SMD Packages.PcbLib</ns0:v>
      </ns0:c>
      <ns0:c xmlns:ns0="http://schemas.openxmlformats.org/spreadsheetml/2006/main" r="P46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5" s="10"/>
      <ns0:c r="R465" t="str" s="11">
        <ns0:f>D465</ns0:f>
        <ns0:v>12 Ом</ns0:v>
      </ns0:c>
      <ns0:c r="S465" t="str" s="11">
        <ns0:f>K465</ns0:f>
        <ns0:v>Резистор 12 Ом ±1% 0805</ns0:v>
      </ns0:c>
      <x:c xmlns:x="http://schemas.openxmlformats.org/spreadsheetml/2006/main" r="T465" t="str" s="11">
        <x:v>C:\Users\Nomatin\Documents\Altium\MY_LIB\MY_LIB\Datasheets\YAGEO_RC_L.pdf</x:v>
      </x:c>
      <x:c xmlns:x="http://schemas.openxmlformats.org/spreadsheetml/2006/main" r="U465" t="str" s="11">
        <x:v>Даташит — локальный</x:v>
      </x:c>
      <x:c xmlns:x="http://schemas.openxmlformats.org/spreadsheetml/2006/main" r="V465" t="str" s="11">
        <x:v>C:\Users\Nomatin\Documents\Altium\MY_LIB\MY_LIB\Datasheets\YAGEO_RC_L.pdf</x:v>
      </x:c>
      <x:c xmlns:x="http://schemas.openxmlformats.org/spreadsheetml/2006/main" r="W465" t="str" s="11">
        <x:v>Даташит — производитель</x:v>
      </x:c>
      <x:c xmlns:x="http://schemas.openxmlformats.org/spreadsheetml/2006/main" r="X465" t="str" s="11">
        <x:v>https://yageogroup.com/content/datasheet/asset/file/PYU-RC_GROUP_51_ROHS_L</x:v>
      </x:c>
      <x:c xmlns:x="http://schemas.openxmlformats.org/spreadsheetml/2006/main" r="Y465" t="str" s="11">
        <x:v>C:\Users\Nomatin\Documents\Altium\MY_LIB\MY_LIB\Datasheets\YAGEO_RC_L.pdf</x:v>
      </x:c>
      <ns0:c xmlns:ns0="http://schemas.openxmlformats.org/spreadsheetml/2006/main" r="Z465" s="16" t="inlineStr">
        <ns0:is>
          <ns0:t>MY_LIB_R_TCR</ns0:t>
        </ns0:is>
      </ns0:c>
      <ns0:c xmlns:ns0="http://schemas.openxmlformats.org/spreadsheetml/2006/main" r="AA465" s="16" t="inlineStr">
        <ns0:is>
          <ns0:t>R(T), +100 ppm/C at 25 C; positive datasheet limit</ns0:t>
        </ns0:is>
      </ns0:c>
      <ns0:c xmlns:ns0="http://schemas.openxmlformats.org/spreadsheetml/2006/main" r="AB465" s="16" t="str">
        <ns0:v>General</ns0:v>
      </ns0:c>
      <ns0:c xmlns:ns0="http://schemas.openxmlformats.org/spreadsheetml/2006/main" r="AC465" s="16" t="inlineStr">
        <ns0:is>
          <ns0:t>Spice Subcircuit</ns0:t>
        </ns0:is>
      </ns0:c>
      <ns0:c xmlns:ns0="http://schemas.openxmlformats.org/spreadsheetml/2006/main" r="AD465" s="16" t="inlineStr">
        <ns0:is>
          <ns0:t>@DESIGNATOR %1 %2 @MODEL PARAMS: Rvalue=@VALUE TC1value=100u</ns0:t>
        </ns0:is>
      </ns0:c>
      <ns0:c xmlns:ns0="http://schemas.openxmlformats.org/spreadsheetml/2006/main" r="AE465" s="16" t="inlineStr">
        <ns0:is>
          <ns0:t>X</ns0:t>
        </ns0:is>
      </ns0:c>
      <ns0:c xmlns:ns0="http://schemas.openxmlformats.org/spreadsheetml/2006/main" r="AF465" s="16" t="str">
        <ns0:v>(1:1),(2:2)</ns0:v>
      </ns0:c>
      <ns0:c xmlns:ns0="http://schemas.openxmlformats.org/spreadsheetml/2006/main" r="AG465" s="16" t="inlineStr">
        <ns0:is>
          <ns0:t>Simulation\Resistors\MY_LIB_R_TCR.ckt</ns0:t>
        </ns0:is>
      </ns0:c>
      <ns0:c xmlns:ns0="http://schemas.openxmlformats.org/spreadsheetml/2006/main" r="AH465" s="16" t="inlineStr">
        <ns0:is>
          <ns0:t>±100 ppm/°C</ns0:t>
        </ns0:is>
      </ns0:c>
    </ns0:row>
    <ns0:row xmlns:ns0="http://schemas.openxmlformats.org/spreadsheetml/2006/main" r="466" ht="30" customHeight="1">
      <ns0:c r="A466" t="str" s="10">
        <ns0:v>R0472</ns0:v>
      </ns0:c>
      <ns0:c r="B466" t="str" s="10">
        <ns0:v>Резистор</ns0:v>
      </ns0:c>
      <ns0:c r="C466" t="str" s="10">
        <ns0:v>13R</ns0:v>
      </ns0:c>
      <ns0:c r="D466" t="str" s="11">
        <ns0:f>SUBSTITUTE(SUBSTITUTE(SUBSTITUTE(SUBSTITUTE(C466,"meg"," МОм"),"k"," кОм"),"R"," Ом"),".",",")</ns0:f>
        <ns0:v>13 Ом</ns0:v>
      </ns0:c>
      <ns0:c r="E466" t="str" s="10">
        <ns0:v>±1%</ns0:v>
      </ns0:c>
      <ns0:c r="F466" t="str" s="10">
        <ns0:v>0,125 Вт</ns0:v>
      </ns0:c>
      <ns0:c r="G466" t="str" s="10">
        <ns0:v>150 В макс.</ns0:v>
      </ns0:c>
      <ns0:c r="H466" t="str" s="12">
        <ns0:v>0805</ns0:v>
      </ns0:c>
      <ns0:c r="I466" t="str" s="10">
        <ns0:v>YAGEO</ns0:v>
      </ns0:c>
      <ns0:c r="J466" t="str" s="10">
        <ns0:v>RC0805FR-0713RL</ns0:v>
      </ns0:c>
      <ns0:c r="K466" t="str" s="11">
        <ns0:f>B466&amp;" "&amp;D466&amp;" "&amp;E466&amp;" "&amp;H466</ns0:f>
        <ns0:v>Резистор 13 Ом ±1% 0805</ns0:v>
      </ns0:c>
      <ns0:c r="L466" t="str" s="13">
        <ns0:v>R</ns0:v>
      </ns0:c>
      <ns0:c r="M466" t="str" s="13">
        <ns0:v>Symbols\MY_LIB_Resistors.SchLib</ns0:v>
      </ns0:c>
      <ns0:c r="N466" t="str" s="13">
        <ns0:v>RESC2012X70N</ns0:v>
      </ns0:c>
      <ns0:c r="O466" t="str" s="13">
        <ns0:v>Footprints\PBL - SMD Packages.PcbLib</ns0:v>
      </ns0:c>
      <ns0:c xmlns:ns0="http://schemas.openxmlformats.org/spreadsheetml/2006/main" r="P46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6" s="10"/>
      <ns0:c r="R466" t="str" s="11">
        <ns0:f>D466</ns0:f>
        <ns0:v>13 Ом</ns0:v>
      </ns0:c>
      <ns0:c r="S466" t="str" s="11">
        <ns0:f>K466</ns0:f>
        <ns0:v>Резистор 13 Ом ±1% 0805</ns0:v>
      </ns0:c>
      <x:c xmlns:x="http://schemas.openxmlformats.org/spreadsheetml/2006/main" r="T466" t="str" s="11">
        <x:v>C:\Users\Nomatin\Documents\Altium\MY_LIB\MY_LIB\Datasheets\YAGEO_RC_L.pdf</x:v>
      </x:c>
      <x:c xmlns:x="http://schemas.openxmlformats.org/spreadsheetml/2006/main" r="U466" t="str" s="11">
        <x:v>Даташит — локальный</x:v>
      </x:c>
      <x:c xmlns:x="http://schemas.openxmlformats.org/spreadsheetml/2006/main" r="V466" t="str" s="11">
        <x:v>C:\Users\Nomatin\Documents\Altium\MY_LIB\MY_LIB\Datasheets\YAGEO_RC_L.pdf</x:v>
      </x:c>
      <x:c xmlns:x="http://schemas.openxmlformats.org/spreadsheetml/2006/main" r="W466" t="str" s="11">
        <x:v>Даташит — производитель</x:v>
      </x:c>
      <x:c xmlns:x="http://schemas.openxmlformats.org/spreadsheetml/2006/main" r="X466" t="str" s="11">
        <x:v>https://yageogroup.com/content/datasheet/asset/file/PYU-RC_GROUP_51_ROHS_L</x:v>
      </x:c>
      <x:c xmlns:x="http://schemas.openxmlformats.org/spreadsheetml/2006/main" r="Y466" t="str" s="11">
        <x:v>C:\Users\Nomatin\Documents\Altium\MY_LIB\MY_LIB\Datasheets\YAGEO_RC_L.pdf</x:v>
      </x:c>
      <ns0:c xmlns:ns0="http://schemas.openxmlformats.org/spreadsheetml/2006/main" r="Z466" s="16" t="inlineStr">
        <ns0:is>
          <ns0:t>MY_LIB_R_TCR</ns0:t>
        </ns0:is>
      </ns0:c>
      <ns0:c xmlns:ns0="http://schemas.openxmlformats.org/spreadsheetml/2006/main" r="AA466" s="16" t="inlineStr">
        <ns0:is>
          <ns0:t>R(T), +100 ppm/C at 25 C; positive datasheet limit</ns0:t>
        </ns0:is>
      </ns0:c>
      <ns0:c xmlns:ns0="http://schemas.openxmlformats.org/spreadsheetml/2006/main" r="AB466" s="16" t="str">
        <ns0:v>General</ns0:v>
      </ns0:c>
      <ns0:c xmlns:ns0="http://schemas.openxmlformats.org/spreadsheetml/2006/main" r="AC466" s="16" t="inlineStr">
        <ns0:is>
          <ns0:t>Spice Subcircuit</ns0:t>
        </ns0:is>
      </ns0:c>
      <ns0:c xmlns:ns0="http://schemas.openxmlformats.org/spreadsheetml/2006/main" r="AD466" s="16" t="inlineStr">
        <ns0:is>
          <ns0:t>@DESIGNATOR %1 %2 @MODEL PARAMS: Rvalue=@VALUE TC1value=100u</ns0:t>
        </ns0:is>
      </ns0:c>
      <ns0:c xmlns:ns0="http://schemas.openxmlformats.org/spreadsheetml/2006/main" r="AE466" s="16" t="inlineStr">
        <ns0:is>
          <ns0:t>X</ns0:t>
        </ns0:is>
      </ns0:c>
      <ns0:c xmlns:ns0="http://schemas.openxmlformats.org/spreadsheetml/2006/main" r="AF466" s="16" t="str">
        <ns0:v>(1:1),(2:2)</ns0:v>
      </ns0:c>
      <ns0:c xmlns:ns0="http://schemas.openxmlformats.org/spreadsheetml/2006/main" r="AG466" s="16" t="inlineStr">
        <ns0:is>
          <ns0:t>Simulation\Resistors\MY_LIB_R_TCR.ckt</ns0:t>
        </ns0:is>
      </ns0:c>
      <ns0:c xmlns:ns0="http://schemas.openxmlformats.org/spreadsheetml/2006/main" r="AH466" s="16" t="inlineStr">
        <ns0:is>
          <ns0:t>±100 ppm/°C</ns0:t>
        </ns0:is>
      </ns0:c>
    </ns0:row>
    <ns0:row xmlns:ns0="http://schemas.openxmlformats.org/spreadsheetml/2006/main" r="467" ht="30" customHeight="1">
      <ns0:c r="A467" t="str" s="10">
        <ns0:v>R0473</ns0:v>
      </ns0:c>
      <ns0:c r="B467" t="str" s="10">
        <ns0:v>Резистор</ns0:v>
      </ns0:c>
      <ns0:c r="C467" t="str" s="10">
        <ns0:v>15R</ns0:v>
      </ns0:c>
      <ns0:c r="D467" t="str" s="11">
        <ns0:f>SUBSTITUTE(SUBSTITUTE(SUBSTITUTE(SUBSTITUTE(C467,"meg"," МОм"),"k"," кОм"),"R"," Ом"),".",",")</ns0:f>
        <ns0:v>15 Ом</ns0:v>
      </ns0:c>
      <ns0:c r="E467" t="str" s="10">
        <ns0:v>±1%</ns0:v>
      </ns0:c>
      <ns0:c r="F467" t="str" s="10">
        <ns0:v>0,125 Вт</ns0:v>
      </ns0:c>
      <ns0:c r="G467" t="str" s="10">
        <ns0:v>150 В макс.</ns0:v>
      </ns0:c>
      <ns0:c r="H467" t="str" s="12">
        <ns0:v>0805</ns0:v>
      </ns0:c>
      <ns0:c r="I467" t="str" s="10">
        <ns0:v>YAGEO</ns0:v>
      </ns0:c>
      <ns0:c r="J467" t="str" s="10">
        <ns0:v>RC0805FR-0715RL</ns0:v>
      </ns0:c>
      <ns0:c r="K467" t="str" s="11">
        <ns0:f>B467&amp;" "&amp;D467&amp;" "&amp;E467&amp;" "&amp;H467</ns0:f>
        <ns0:v>Резистор 15 Ом ±1% 0805</ns0:v>
      </ns0:c>
      <ns0:c r="L467" t="str" s="13">
        <ns0:v>R</ns0:v>
      </ns0:c>
      <ns0:c r="M467" t="str" s="13">
        <ns0:v>Symbols\MY_LIB_Resistors.SchLib</ns0:v>
      </ns0:c>
      <ns0:c r="N467" t="str" s="13">
        <ns0:v>RESC2012X70N</ns0:v>
      </ns0:c>
      <ns0:c r="O467" t="str" s="13">
        <ns0:v>Footprints\PBL - SMD Packages.PcbLib</ns0:v>
      </ns0:c>
      <ns0:c xmlns:ns0="http://schemas.openxmlformats.org/spreadsheetml/2006/main" r="P46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7" s="10"/>
      <ns0:c r="R467" t="str" s="11">
        <ns0:f>D467</ns0:f>
        <ns0:v>15 Ом</ns0:v>
      </ns0:c>
      <ns0:c r="S467" t="str" s="11">
        <ns0:f>K467</ns0:f>
        <ns0:v>Резистор 15 Ом ±1% 0805</ns0:v>
      </ns0:c>
      <x:c xmlns:x="http://schemas.openxmlformats.org/spreadsheetml/2006/main" r="T467" t="str" s="11">
        <x:v>C:\Users\Nomatin\Documents\Altium\MY_LIB\MY_LIB\Datasheets\YAGEO_RC_L.pdf</x:v>
      </x:c>
      <x:c xmlns:x="http://schemas.openxmlformats.org/spreadsheetml/2006/main" r="U467" t="str" s="11">
        <x:v>Даташит — локальный</x:v>
      </x:c>
      <x:c xmlns:x="http://schemas.openxmlformats.org/spreadsheetml/2006/main" r="V467" t="str" s="11">
        <x:v>C:\Users\Nomatin\Documents\Altium\MY_LIB\MY_LIB\Datasheets\YAGEO_RC_L.pdf</x:v>
      </x:c>
      <x:c xmlns:x="http://schemas.openxmlformats.org/spreadsheetml/2006/main" r="W467" t="str" s="11">
        <x:v>Даташит — производитель</x:v>
      </x:c>
      <x:c xmlns:x="http://schemas.openxmlformats.org/spreadsheetml/2006/main" r="X467" t="str" s="11">
        <x:v>https://yageogroup.com/content/datasheet/asset/file/PYU-RC_GROUP_51_ROHS_L</x:v>
      </x:c>
      <x:c xmlns:x="http://schemas.openxmlformats.org/spreadsheetml/2006/main" r="Y467" t="str" s="11">
        <x:v>C:\Users\Nomatin\Documents\Altium\MY_LIB\MY_LIB\Datasheets\YAGEO_RC_L.pdf</x:v>
      </x:c>
      <ns0:c xmlns:ns0="http://schemas.openxmlformats.org/spreadsheetml/2006/main" r="Z467" s="16" t="inlineStr">
        <ns0:is>
          <ns0:t>MY_LIB_R_TCR</ns0:t>
        </ns0:is>
      </ns0:c>
      <ns0:c xmlns:ns0="http://schemas.openxmlformats.org/spreadsheetml/2006/main" r="AA467" s="16" t="inlineStr">
        <ns0:is>
          <ns0:t>R(T), +100 ppm/C at 25 C; positive datasheet limit</ns0:t>
        </ns0:is>
      </ns0:c>
      <ns0:c xmlns:ns0="http://schemas.openxmlformats.org/spreadsheetml/2006/main" r="AB467" s="16" t="str">
        <ns0:v>General</ns0:v>
      </ns0:c>
      <ns0:c xmlns:ns0="http://schemas.openxmlformats.org/spreadsheetml/2006/main" r="AC467" s="16" t="inlineStr">
        <ns0:is>
          <ns0:t>Spice Subcircuit</ns0:t>
        </ns0:is>
      </ns0:c>
      <ns0:c xmlns:ns0="http://schemas.openxmlformats.org/spreadsheetml/2006/main" r="AD467" s="16" t="inlineStr">
        <ns0:is>
          <ns0:t>@DESIGNATOR %1 %2 @MODEL PARAMS: Rvalue=@VALUE TC1value=100u</ns0:t>
        </ns0:is>
      </ns0:c>
      <ns0:c xmlns:ns0="http://schemas.openxmlformats.org/spreadsheetml/2006/main" r="AE467" s="16" t="inlineStr">
        <ns0:is>
          <ns0:t>X</ns0:t>
        </ns0:is>
      </ns0:c>
      <ns0:c xmlns:ns0="http://schemas.openxmlformats.org/spreadsheetml/2006/main" r="AF467" s="16" t="str">
        <ns0:v>(1:1),(2:2)</ns0:v>
      </ns0:c>
      <ns0:c xmlns:ns0="http://schemas.openxmlformats.org/spreadsheetml/2006/main" r="AG467" s="16" t="inlineStr">
        <ns0:is>
          <ns0:t>Simulation\Resistors\MY_LIB_R_TCR.ckt</ns0:t>
        </ns0:is>
      </ns0:c>
      <ns0:c xmlns:ns0="http://schemas.openxmlformats.org/spreadsheetml/2006/main" r="AH467" s="16" t="inlineStr">
        <ns0:is>
          <ns0:t>±100 ppm/°C</ns0:t>
        </ns0:is>
      </ns0:c>
    </ns0:row>
    <ns0:row xmlns:ns0="http://schemas.openxmlformats.org/spreadsheetml/2006/main" r="468" ht="30" customHeight="1">
      <ns0:c r="A468" t="str" s="10">
        <ns0:v>R0474</ns0:v>
      </ns0:c>
      <ns0:c r="B468" t="str" s="10">
        <ns0:v>Резистор</ns0:v>
      </ns0:c>
      <ns0:c r="C468" t="str" s="10">
        <ns0:v>16R</ns0:v>
      </ns0:c>
      <ns0:c r="D468" t="str" s="11">
        <ns0:f>SUBSTITUTE(SUBSTITUTE(SUBSTITUTE(SUBSTITUTE(C468,"meg"," МОм"),"k"," кОм"),"R"," Ом"),".",",")</ns0:f>
        <ns0:v>16 Ом</ns0:v>
      </ns0:c>
      <ns0:c r="E468" t="str" s="10">
        <ns0:v>±1%</ns0:v>
      </ns0:c>
      <ns0:c r="F468" t="str" s="10">
        <ns0:v>0,125 Вт</ns0:v>
      </ns0:c>
      <ns0:c r="G468" t="str" s="10">
        <ns0:v>150 В макс.</ns0:v>
      </ns0:c>
      <ns0:c r="H468" t="str" s="12">
        <ns0:v>0805</ns0:v>
      </ns0:c>
      <ns0:c r="I468" t="str" s="10">
        <ns0:v>YAGEO</ns0:v>
      </ns0:c>
      <ns0:c r="J468" t="str" s="10">
        <ns0:v>RC0805FR-0716RL</ns0:v>
      </ns0:c>
      <ns0:c r="K468" t="str" s="11">
        <ns0:f>B468&amp;" "&amp;D468&amp;" "&amp;E468&amp;" "&amp;H468</ns0:f>
        <ns0:v>Резистор 16 Ом ±1% 0805</ns0:v>
      </ns0:c>
      <ns0:c r="L468" t="str" s="13">
        <ns0:v>R</ns0:v>
      </ns0:c>
      <ns0:c r="M468" t="str" s="13">
        <ns0:v>Symbols\MY_LIB_Resistors.SchLib</ns0:v>
      </ns0:c>
      <ns0:c r="N468" t="str" s="13">
        <ns0:v>RESC2012X70N</ns0:v>
      </ns0:c>
      <ns0:c r="O468" t="str" s="13">
        <ns0:v>Footprints\PBL - SMD Packages.PcbLib</ns0:v>
      </ns0:c>
      <ns0:c xmlns:ns0="http://schemas.openxmlformats.org/spreadsheetml/2006/main" r="P46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8" s="10"/>
      <ns0:c r="R468" t="str" s="11">
        <ns0:f>D468</ns0:f>
        <ns0:v>16 Ом</ns0:v>
      </ns0:c>
      <ns0:c r="S468" t="str" s="11">
        <ns0:f>K468</ns0:f>
        <ns0:v>Резистор 16 Ом ±1% 0805</ns0:v>
      </ns0:c>
      <x:c xmlns:x="http://schemas.openxmlformats.org/spreadsheetml/2006/main" r="T468" t="str" s="11">
        <x:v>C:\Users\Nomatin\Documents\Altium\MY_LIB\MY_LIB\Datasheets\YAGEO_RC_L.pdf</x:v>
      </x:c>
      <x:c xmlns:x="http://schemas.openxmlformats.org/spreadsheetml/2006/main" r="U468" t="str" s="11">
        <x:v>Даташит — локальный</x:v>
      </x:c>
      <x:c xmlns:x="http://schemas.openxmlformats.org/spreadsheetml/2006/main" r="V468" t="str" s="11">
        <x:v>C:\Users\Nomatin\Documents\Altium\MY_LIB\MY_LIB\Datasheets\YAGEO_RC_L.pdf</x:v>
      </x:c>
      <x:c xmlns:x="http://schemas.openxmlformats.org/spreadsheetml/2006/main" r="W468" t="str" s="11">
        <x:v>Даташит — производитель</x:v>
      </x:c>
      <x:c xmlns:x="http://schemas.openxmlformats.org/spreadsheetml/2006/main" r="X468" t="str" s="11">
        <x:v>https://yageogroup.com/content/datasheet/asset/file/PYU-RC_GROUP_51_ROHS_L</x:v>
      </x:c>
      <x:c xmlns:x="http://schemas.openxmlformats.org/spreadsheetml/2006/main" r="Y468" t="str" s="11">
        <x:v>C:\Users\Nomatin\Documents\Altium\MY_LIB\MY_LIB\Datasheets\YAGEO_RC_L.pdf</x:v>
      </x:c>
      <ns0:c xmlns:ns0="http://schemas.openxmlformats.org/spreadsheetml/2006/main" r="Z468" s="16" t="inlineStr">
        <ns0:is>
          <ns0:t>MY_LIB_R_TCR</ns0:t>
        </ns0:is>
      </ns0:c>
      <ns0:c xmlns:ns0="http://schemas.openxmlformats.org/spreadsheetml/2006/main" r="AA468" s="16" t="inlineStr">
        <ns0:is>
          <ns0:t>R(T), +100 ppm/C at 25 C; positive datasheet limit</ns0:t>
        </ns0:is>
      </ns0:c>
      <ns0:c xmlns:ns0="http://schemas.openxmlformats.org/spreadsheetml/2006/main" r="AB468" s="16" t="str">
        <ns0:v>General</ns0:v>
      </ns0:c>
      <ns0:c xmlns:ns0="http://schemas.openxmlformats.org/spreadsheetml/2006/main" r="AC468" s="16" t="inlineStr">
        <ns0:is>
          <ns0:t>Spice Subcircuit</ns0:t>
        </ns0:is>
      </ns0:c>
      <ns0:c xmlns:ns0="http://schemas.openxmlformats.org/spreadsheetml/2006/main" r="AD468" s="16" t="inlineStr">
        <ns0:is>
          <ns0:t>@DESIGNATOR %1 %2 @MODEL PARAMS: Rvalue=@VALUE TC1value=100u</ns0:t>
        </ns0:is>
      </ns0:c>
      <ns0:c xmlns:ns0="http://schemas.openxmlformats.org/spreadsheetml/2006/main" r="AE468" s="16" t="inlineStr">
        <ns0:is>
          <ns0:t>X</ns0:t>
        </ns0:is>
      </ns0:c>
      <ns0:c xmlns:ns0="http://schemas.openxmlformats.org/spreadsheetml/2006/main" r="AF468" s="16" t="str">
        <ns0:v>(1:1),(2:2)</ns0:v>
      </ns0:c>
      <ns0:c xmlns:ns0="http://schemas.openxmlformats.org/spreadsheetml/2006/main" r="AG468" s="16" t="inlineStr">
        <ns0:is>
          <ns0:t>Simulation\Resistors\MY_LIB_R_TCR.ckt</ns0:t>
        </ns0:is>
      </ns0:c>
      <ns0:c xmlns:ns0="http://schemas.openxmlformats.org/spreadsheetml/2006/main" r="AH468" s="16" t="inlineStr">
        <ns0:is>
          <ns0:t>±100 ppm/°C</ns0:t>
        </ns0:is>
      </ns0:c>
    </ns0:row>
    <ns0:row xmlns:ns0="http://schemas.openxmlformats.org/spreadsheetml/2006/main" r="469" ht="30" customHeight="1">
      <ns0:c r="A469" t="str" s="10">
        <ns0:v>R0475</ns0:v>
      </ns0:c>
      <ns0:c r="B469" t="str" s="10">
        <ns0:v>Резистор</ns0:v>
      </ns0:c>
      <ns0:c r="C469" t="str" s="10">
        <ns0:v>18R</ns0:v>
      </ns0:c>
      <ns0:c r="D469" t="str" s="11">
        <ns0:f>SUBSTITUTE(SUBSTITUTE(SUBSTITUTE(SUBSTITUTE(C469,"meg"," МОм"),"k"," кОм"),"R"," Ом"),".",",")</ns0:f>
        <ns0:v>18 Ом</ns0:v>
      </ns0:c>
      <ns0:c r="E469" t="str" s="10">
        <ns0:v>±1%</ns0:v>
      </ns0:c>
      <ns0:c r="F469" t="str" s="10">
        <ns0:v>0,125 Вт</ns0:v>
      </ns0:c>
      <ns0:c r="G469" t="str" s="10">
        <ns0:v>150 В макс.</ns0:v>
      </ns0:c>
      <ns0:c r="H469" t="str" s="12">
        <ns0:v>0805</ns0:v>
      </ns0:c>
      <ns0:c r="I469" t="str" s="10">
        <ns0:v>YAGEO</ns0:v>
      </ns0:c>
      <ns0:c r="J469" t="str" s="10">
        <ns0:v>RC0805FR-0718RL</ns0:v>
      </ns0:c>
      <ns0:c r="K469" t="str" s="11">
        <ns0:f>B469&amp;" "&amp;D469&amp;" "&amp;E469&amp;" "&amp;H469</ns0:f>
        <ns0:v>Резистор 18 Ом ±1% 0805</ns0:v>
      </ns0:c>
      <ns0:c r="L469" t="str" s="13">
        <ns0:v>R</ns0:v>
      </ns0:c>
      <ns0:c r="M469" t="str" s="13">
        <ns0:v>Symbols\MY_LIB_Resistors.SchLib</ns0:v>
      </ns0:c>
      <ns0:c r="N469" t="str" s="13">
        <ns0:v>RESC2012X70N</ns0:v>
      </ns0:c>
      <ns0:c r="O469" t="str" s="13">
        <ns0:v>Footprints\PBL - SMD Packages.PcbLib</ns0:v>
      </ns0:c>
      <ns0:c xmlns:ns0="http://schemas.openxmlformats.org/spreadsheetml/2006/main" r="P46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69" s="10"/>
      <ns0:c r="R469" t="str" s="11">
        <ns0:f>D469</ns0:f>
        <ns0:v>18 Ом</ns0:v>
      </ns0:c>
      <ns0:c r="S469" t="str" s="11">
        <ns0:f>K469</ns0:f>
        <ns0:v>Резистор 18 Ом ±1% 0805</ns0:v>
      </ns0:c>
      <x:c xmlns:x="http://schemas.openxmlformats.org/spreadsheetml/2006/main" r="T469" t="str" s="11">
        <x:v>C:\Users\Nomatin\Documents\Altium\MY_LIB\MY_LIB\Datasheets\YAGEO_RC_L.pdf</x:v>
      </x:c>
      <x:c xmlns:x="http://schemas.openxmlformats.org/spreadsheetml/2006/main" r="U469" t="str" s="11">
        <x:v>Даташит — локальный</x:v>
      </x:c>
      <x:c xmlns:x="http://schemas.openxmlformats.org/spreadsheetml/2006/main" r="V469" t="str" s="11">
        <x:v>C:\Users\Nomatin\Documents\Altium\MY_LIB\MY_LIB\Datasheets\YAGEO_RC_L.pdf</x:v>
      </x:c>
      <x:c xmlns:x="http://schemas.openxmlformats.org/spreadsheetml/2006/main" r="W469" t="str" s="11">
        <x:v>Даташит — производитель</x:v>
      </x:c>
      <x:c xmlns:x="http://schemas.openxmlformats.org/spreadsheetml/2006/main" r="X469" t="str" s="11">
        <x:v>https://yageogroup.com/content/datasheet/asset/file/PYU-RC_GROUP_51_ROHS_L</x:v>
      </x:c>
      <x:c xmlns:x="http://schemas.openxmlformats.org/spreadsheetml/2006/main" r="Y469" t="str" s="11">
        <x:v>C:\Users\Nomatin\Documents\Altium\MY_LIB\MY_LIB\Datasheets\YAGEO_RC_L.pdf</x:v>
      </x:c>
      <ns0:c xmlns:ns0="http://schemas.openxmlformats.org/spreadsheetml/2006/main" r="Z469" s="16" t="inlineStr">
        <ns0:is>
          <ns0:t>MY_LIB_R_TCR</ns0:t>
        </ns0:is>
      </ns0:c>
      <ns0:c xmlns:ns0="http://schemas.openxmlformats.org/spreadsheetml/2006/main" r="AA469" s="16" t="inlineStr">
        <ns0:is>
          <ns0:t>R(T), +100 ppm/C at 25 C; positive datasheet limit</ns0:t>
        </ns0:is>
      </ns0:c>
      <ns0:c xmlns:ns0="http://schemas.openxmlformats.org/spreadsheetml/2006/main" r="AB469" s="16" t="str">
        <ns0:v>General</ns0:v>
      </ns0:c>
      <ns0:c xmlns:ns0="http://schemas.openxmlformats.org/spreadsheetml/2006/main" r="AC469" s="16" t="inlineStr">
        <ns0:is>
          <ns0:t>Spice Subcircuit</ns0:t>
        </ns0:is>
      </ns0:c>
      <ns0:c xmlns:ns0="http://schemas.openxmlformats.org/spreadsheetml/2006/main" r="AD469" s="16" t="inlineStr">
        <ns0:is>
          <ns0:t>@DESIGNATOR %1 %2 @MODEL PARAMS: Rvalue=@VALUE TC1value=100u</ns0:t>
        </ns0:is>
      </ns0:c>
      <ns0:c xmlns:ns0="http://schemas.openxmlformats.org/spreadsheetml/2006/main" r="AE469" s="16" t="inlineStr">
        <ns0:is>
          <ns0:t>X</ns0:t>
        </ns0:is>
      </ns0:c>
      <ns0:c xmlns:ns0="http://schemas.openxmlformats.org/spreadsheetml/2006/main" r="AF469" s="16" t="str">
        <ns0:v>(1:1),(2:2)</ns0:v>
      </ns0:c>
      <ns0:c xmlns:ns0="http://schemas.openxmlformats.org/spreadsheetml/2006/main" r="AG469" s="16" t="inlineStr">
        <ns0:is>
          <ns0:t>Simulation\Resistors\MY_LIB_R_TCR.ckt</ns0:t>
        </ns0:is>
      </ns0:c>
      <ns0:c xmlns:ns0="http://schemas.openxmlformats.org/spreadsheetml/2006/main" r="AH469" s="16" t="inlineStr">
        <ns0:is>
          <ns0:t>±100 ppm/°C</ns0:t>
        </ns0:is>
      </ns0:c>
    </ns0:row>
    <ns0:row xmlns:ns0="http://schemas.openxmlformats.org/spreadsheetml/2006/main" r="470" ht="30" customHeight="1">
      <ns0:c r="A470" t="str" s="10">
        <ns0:v>R0476</ns0:v>
      </ns0:c>
      <ns0:c r="B470" t="str" s="10">
        <ns0:v>Резистор</ns0:v>
      </ns0:c>
      <ns0:c r="C470" t="str" s="10">
        <ns0:v>20R</ns0:v>
      </ns0:c>
      <ns0:c r="D470" t="str" s="11">
        <ns0:f>SUBSTITUTE(SUBSTITUTE(SUBSTITUTE(SUBSTITUTE(C470,"meg"," МОм"),"k"," кОм"),"R"," Ом"),".",",")</ns0:f>
        <ns0:v>20 Ом</ns0:v>
      </ns0:c>
      <ns0:c r="E470" t="str" s="10">
        <ns0:v>±1%</ns0:v>
      </ns0:c>
      <ns0:c r="F470" t="str" s="10">
        <ns0:v>0,125 Вт</ns0:v>
      </ns0:c>
      <ns0:c r="G470" t="str" s="10">
        <ns0:v>150 В макс.</ns0:v>
      </ns0:c>
      <ns0:c r="H470" t="str" s="12">
        <ns0:v>0805</ns0:v>
      </ns0:c>
      <ns0:c r="I470" t="str" s="10">
        <ns0:v>YAGEO</ns0:v>
      </ns0:c>
      <ns0:c r="J470" t="str" s="10">
        <ns0:v>RC0805FR-0720RL</ns0:v>
      </ns0:c>
      <ns0:c r="K470" t="str" s="11">
        <ns0:f>B470&amp;" "&amp;D470&amp;" "&amp;E470&amp;" "&amp;H470</ns0:f>
        <ns0:v>Резистор 20 Ом ±1% 0805</ns0:v>
      </ns0:c>
      <ns0:c r="L470" t="str" s="13">
        <ns0:v>R</ns0:v>
      </ns0:c>
      <ns0:c r="M470" t="str" s="13">
        <ns0:v>Symbols\MY_LIB_Resistors.SchLib</ns0:v>
      </ns0:c>
      <ns0:c r="N470" t="str" s="13">
        <ns0:v>RESC2012X70N</ns0:v>
      </ns0:c>
      <ns0:c r="O470" t="str" s="13">
        <ns0:v>Footprints\PBL - SMD Packages.PcbLib</ns0:v>
      </ns0:c>
      <ns0:c xmlns:ns0="http://schemas.openxmlformats.org/spreadsheetml/2006/main" r="P47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0" s="10"/>
      <ns0:c r="R470" t="str" s="11">
        <ns0:f>D470</ns0:f>
        <ns0:v>20 Ом</ns0:v>
      </ns0:c>
      <ns0:c r="S470" t="str" s="11">
        <ns0:f>K470</ns0:f>
        <ns0:v>Резистор 20 Ом ±1% 0805</ns0:v>
      </ns0:c>
      <x:c xmlns:x="http://schemas.openxmlformats.org/spreadsheetml/2006/main" r="T470" t="str" s="11">
        <x:v>C:\Users\Nomatin\Documents\Altium\MY_LIB\MY_LIB\Datasheets\YAGEO_RC_L.pdf</x:v>
      </x:c>
      <x:c xmlns:x="http://schemas.openxmlformats.org/spreadsheetml/2006/main" r="U470" t="str" s="11">
        <x:v>Даташит — локальный</x:v>
      </x:c>
      <x:c xmlns:x="http://schemas.openxmlformats.org/spreadsheetml/2006/main" r="V470" t="str" s="11">
        <x:v>C:\Users\Nomatin\Documents\Altium\MY_LIB\MY_LIB\Datasheets\YAGEO_RC_L.pdf</x:v>
      </x:c>
      <x:c xmlns:x="http://schemas.openxmlformats.org/spreadsheetml/2006/main" r="W470" t="str" s="11">
        <x:v>Даташит — производитель</x:v>
      </x:c>
      <x:c xmlns:x="http://schemas.openxmlformats.org/spreadsheetml/2006/main" r="X470" t="str" s="11">
        <x:v>https://yageogroup.com/content/datasheet/asset/file/PYU-RC_GROUP_51_ROHS_L</x:v>
      </x:c>
      <x:c xmlns:x="http://schemas.openxmlformats.org/spreadsheetml/2006/main" r="Y470" t="str" s="11">
        <x:v>C:\Users\Nomatin\Documents\Altium\MY_LIB\MY_LIB\Datasheets\YAGEO_RC_L.pdf</x:v>
      </x:c>
      <ns0:c xmlns:ns0="http://schemas.openxmlformats.org/spreadsheetml/2006/main" r="Z470" s="16" t="inlineStr">
        <ns0:is>
          <ns0:t>MY_LIB_R_TCR</ns0:t>
        </ns0:is>
      </ns0:c>
      <ns0:c xmlns:ns0="http://schemas.openxmlformats.org/spreadsheetml/2006/main" r="AA470" s="16" t="inlineStr">
        <ns0:is>
          <ns0:t>R(T), +100 ppm/C at 25 C; positive datasheet limit</ns0:t>
        </ns0:is>
      </ns0:c>
      <ns0:c xmlns:ns0="http://schemas.openxmlformats.org/spreadsheetml/2006/main" r="AB470" s="16" t="str">
        <ns0:v>General</ns0:v>
      </ns0:c>
      <ns0:c xmlns:ns0="http://schemas.openxmlformats.org/spreadsheetml/2006/main" r="AC470" s="16" t="inlineStr">
        <ns0:is>
          <ns0:t>Spice Subcircuit</ns0:t>
        </ns0:is>
      </ns0:c>
      <ns0:c xmlns:ns0="http://schemas.openxmlformats.org/spreadsheetml/2006/main" r="AD470" s="16" t="inlineStr">
        <ns0:is>
          <ns0:t>@DESIGNATOR %1 %2 @MODEL PARAMS: Rvalue=@VALUE TC1value=100u</ns0:t>
        </ns0:is>
      </ns0:c>
      <ns0:c xmlns:ns0="http://schemas.openxmlformats.org/spreadsheetml/2006/main" r="AE470" s="16" t="inlineStr">
        <ns0:is>
          <ns0:t>X</ns0:t>
        </ns0:is>
      </ns0:c>
      <ns0:c xmlns:ns0="http://schemas.openxmlformats.org/spreadsheetml/2006/main" r="AF470" s="16" t="str">
        <ns0:v>(1:1),(2:2)</ns0:v>
      </ns0:c>
      <ns0:c xmlns:ns0="http://schemas.openxmlformats.org/spreadsheetml/2006/main" r="AG470" s="16" t="inlineStr">
        <ns0:is>
          <ns0:t>Simulation\Resistors\MY_LIB_R_TCR.ckt</ns0:t>
        </ns0:is>
      </ns0:c>
      <ns0:c xmlns:ns0="http://schemas.openxmlformats.org/spreadsheetml/2006/main" r="AH470" s="16" t="inlineStr">
        <ns0:is>
          <ns0:t>±100 ppm/°C</ns0:t>
        </ns0:is>
      </ns0:c>
    </ns0:row>
    <ns0:row xmlns:ns0="http://schemas.openxmlformats.org/spreadsheetml/2006/main" r="471" ht="30" customHeight="1">
      <ns0:c r="A471" t="str" s="10">
        <ns0:v>R0477</ns0:v>
      </ns0:c>
      <ns0:c r="B471" t="str" s="10">
        <ns0:v>Резистор</ns0:v>
      </ns0:c>
      <ns0:c r="C471" t="str" s="10">
        <ns0:v>22R</ns0:v>
      </ns0:c>
      <ns0:c r="D471" t="str" s="11">
        <ns0:f>SUBSTITUTE(SUBSTITUTE(SUBSTITUTE(SUBSTITUTE(C471,"meg"," МОм"),"k"," кОм"),"R"," Ом"),".",",")</ns0:f>
        <ns0:v>22 Ом</ns0:v>
      </ns0:c>
      <ns0:c r="E471" t="str" s="10">
        <ns0:v>±1%</ns0:v>
      </ns0:c>
      <ns0:c r="F471" t="str" s="10">
        <ns0:v>0,125 Вт</ns0:v>
      </ns0:c>
      <ns0:c r="G471" t="str" s="10">
        <ns0:v>150 В макс.</ns0:v>
      </ns0:c>
      <ns0:c r="H471" t="str" s="12">
        <ns0:v>0805</ns0:v>
      </ns0:c>
      <ns0:c r="I471" t="str" s="10">
        <ns0:v>YAGEO</ns0:v>
      </ns0:c>
      <ns0:c r="J471" t="str" s="10">
        <ns0:v>RC0805FR-0722RL</ns0:v>
      </ns0:c>
      <ns0:c r="K471" t="str" s="11">
        <ns0:f>B471&amp;" "&amp;D471&amp;" "&amp;E471&amp;" "&amp;H471</ns0:f>
        <ns0:v>Резистор 22 Ом ±1% 0805</ns0:v>
      </ns0:c>
      <ns0:c r="L471" t="str" s="13">
        <ns0:v>R</ns0:v>
      </ns0:c>
      <ns0:c r="M471" t="str" s="13">
        <ns0:v>Symbols\MY_LIB_Resistors.SchLib</ns0:v>
      </ns0:c>
      <ns0:c r="N471" t="str" s="13">
        <ns0:v>RESC2012X70N</ns0:v>
      </ns0:c>
      <ns0:c r="O471" t="str" s="13">
        <ns0:v>Footprints\PBL - SMD Packages.PcbLib</ns0:v>
      </ns0:c>
      <ns0:c xmlns:ns0="http://schemas.openxmlformats.org/spreadsheetml/2006/main" r="P47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1" s="10"/>
      <ns0:c r="R471" t="str" s="11">
        <ns0:f>D471</ns0:f>
        <ns0:v>22 Ом</ns0:v>
      </ns0:c>
      <ns0:c r="S471" t="str" s="11">
        <ns0:f>K471</ns0:f>
        <ns0:v>Резистор 22 Ом ±1% 0805</ns0:v>
      </ns0:c>
      <x:c xmlns:x="http://schemas.openxmlformats.org/spreadsheetml/2006/main" r="T471" t="str" s="11">
        <x:v>C:\Users\Nomatin\Documents\Altium\MY_LIB\MY_LIB\Datasheets\YAGEO_RC_L.pdf</x:v>
      </x:c>
      <x:c xmlns:x="http://schemas.openxmlformats.org/spreadsheetml/2006/main" r="U471" t="str" s="11">
        <x:v>Даташит — локальный</x:v>
      </x:c>
      <x:c xmlns:x="http://schemas.openxmlformats.org/spreadsheetml/2006/main" r="V471" t="str" s="11">
        <x:v>C:\Users\Nomatin\Documents\Altium\MY_LIB\MY_LIB\Datasheets\YAGEO_RC_L.pdf</x:v>
      </x:c>
      <x:c xmlns:x="http://schemas.openxmlformats.org/spreadsheetml/2006/main" r="W471" t="str" s="11">
        <x:v>Даташит — производитель</x:v>
      </x:c>
      <x:c xmlns:x="http://schemas.openxmlformats.org/spreadsheetml/2006/main" r="X471" t="str" s="11">
        <x:v>https://yageogroup.com/content/datasheet/asset/file/PYU-RC_GROUP_51_ROHS_L</x:v>
      </x:c>
      <x:c xmlns:x="http://schemas.openxmlformats.org/spreadsheetml/2006/main" r="Y471" t="str" s="11">
        <x:v>C:\Users\Nomatin\Documents\Altium\MY_LIB\MY_LIB\Datasheets\YAGEO_RC_L.pdf</x:v>
      </x:c>
      <ns0:c xmlns:ns0="http://schemas.openxmlformats.org/spreadsheetml/2006/main" r="Z471" s="16" t="inlineStr">
        <ns0:is>
          <ns0:t>MY_LIB_R_TCR</ns0:t>
        </ns0:is>
      </ns0:c>
      <ns0:c xmlns:ns0="http://schemas.openxmlformats.org/spreadsheetml/2006/main" r="AA471" s="16" t="inlineStr">
        <ns0:is>
          <ns0:t>R(T), +100 ppm/C at 25 C; positive datasheet limit</ns0:t>
        </ns0:is>
      </ns0:c>
      <ns0:c xmlns:ns0="http://schemas.openxmlformats.org/spreadsheetml/2006/main" r="AB471" s="16" t="str">
        <ns0:v>General</ns0:v>
      </ns0:c>
      <ns0:c xmlns:ns0="http://schemas.openxmlformats.org/spreadsheetml/2006/main" r="AC471" s="16" t="inlineStr">
        <ns0:is>
          <ns0:t>Spice Subcircuit</ns0:t>
        </ns0:is>
      </ns0:c>
      <ns0:c xmlns:ns0="http://schemas.openxmlformats.org/spreadsheetml/2006/main" r="AD471" s="16" t="inlineStr">
        <ns0:is>
          <ns0:t>@DESIGNATOR %1 %2 @MODEL PARAMS: Rvalue=@VALUE TC1value=100u</ns0:t>
        </ns0:is>
      </ns0:c>
      <ns0:c xmlns:ns0="http://schemas.openxmlformats.org/spreadsheetml/2006/main" r="AE471" s="16" t="inlineStr">
        <ns0:is>
          <ns0:t>X</ns0:t>
        </ns0:is>
      </ns0:c>
      <ns0:c xmlns:ns0="http://schemas.openxmlformats.org/spreadsheetml/2006/main" r="AF471" s="16" t="str">
        <ns0:v>(1:1),(2:2)</ns0:v>
      </ns0:c>
      <ns0:c xmlns:ns0="http://schemas.openxmlformats.org/spreadsheetml/2006/main" r="AG471" s="16" t="inlineStr">
        <ns0:is>
          <ns0:t>Simulation\Resistors\MY_LIB_R_TCR.ckt</ns0:t>
        </ns0:is>
      </ns0:c>
      <ns0:c xmlns:ns0="http://schemas.openxmlformats.org/spreadsheetml/2006/main" r="AH471" s="16" t="inlineStr">
        <ns0:is>
          <ns0:t>±100 ppm/°C</ns0:t>
        </ns0:is>
      </ns0:c>
    </ns0:row>
    <ns0:row xmlns:ns0="http://schemas.openxmlformats.org/spreadsheetml/2006/main" r="472" ht="30" customHeight="1">
      <ns0:c r="A472" t="str" s="10">
        <ns0:v>R0478</ns0:v>
      </ns0:c>
      <ns0:c r="B472" t="str" s="10">
        <ns0:v>Резистор</ns0:v>
      </ns0:c>
      <ns0:c r="C472" t="str" s="10">
        <ns0:v>24R</ns0:v>
      </ns0:c>
      <ns0:c r="D472" t="str" s="11">
        <ns0:f>SUBSTITUTE(SUBSTITUTE(SUBSTITUTE(SUBSTITUTE(C472,"meg"," МОм"),"k"," кОм"),"R"," Ом"),".",",")</ns0:f>
        <ns0:v>24 Ом</ns0:v>
      </ns0:c>
      <ns0:c r="E472" t="str" s="10">
        <ns0:v>±1%</ns0:v>
      </ns0:c>
      <ns0:c r="F472" t="str" s="10">
        <ns0:v>0,125 Вт</ns0:v>
      </ns0:c>
      <ns0:c r="G472" t="str" s="10">
        <ns0:v>150 В макс.</ns0:v>
      </ns0:c>
      <ns0:c r="H472" t="str" s="12">
        <ns0:v>0805</ns0:v>
      </ns0:c>
      <ns0:c r="I472" t="str" s="10">
        <ns0:v>YAGEO</ns0:v>
      </ns0:c>
      <ns0:c r="J472" t="str" s="10">
        <ns0:v>RC0805FR-0724RL</ns0:v>
      </ns0:c>
      <ns0:c r="K472" t="str" s="11">
        <ns0:f>B472&amp;" "&amp;D472&amp;" "&amp;E472&amp;" "&amp;H472</ns0:f>
        <ns0:v>Резистор 24 Ом ±1% 0805</ns0:v>
      </ns0:c>
      <ns0:c r="L472" t="str" s="13">
        <ns0:v>R</ns0:v>
      </ns0:c>
      <ns0:c r="M472" t="str" s="13">
        <ns0:v>Symbols\MY_LIB_Resistors.SchLib</ns0:v>
      </ns0:c>
      <ns0:c r="N472" t="str" s="13">
        <ns0:v>RESC2012X70N</ns0:v>
      </ns0:c>
      <ns0:c r="O472" t="str" s="13">
        <ns0:v>Footprints\PBL - SMD Packages.PcbLib</ns0:v>
      </ns0:c>
      <ns0:c xmlns:ns0="http://schemas.openxmlformats.org/spreadsheetml/2006/main" r="P47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2" s="10"/>
      <ns0:c r="R472" t="str" s="11">
        <ns0:f>D472</ns0:f>
        <ns0:v>24 Ом</ns0:v>
      </ns0:c>
      <ns0:c r="S472" t="str" s="11">
        <ns0:f>K472</ns0:f>
        <ns0:v>Резистор 24 Ом ±1% 0805</ns0:v>
      </ns0:c>
      <x:c xmlns:x="http://schemas.openxmlformats.org/spreadsheetml/2006/main" r="T472" t="str" s="11">
        <x:v>C:\Users\Nomatin\Documents\Altium\MY_LIB\MY_LIB\Datasheets\YAGEO_RC_L.pdf</x:v>
      </x:c>
      <x:c xmlns:x="http://schemas.openxmlformats.org/spreadsheetml/2006/main" r="U472" t="str" s="11">
        <x:v>Даташит — локальный</x:v>
      </x:c>
      <x:c xmlns:x="http://schemas.openxmlformats.org/spreadsheetml/2006/main" r="V472" t="str" s="11">
        <x:v>C:\Users\Nomatin\Documents\Altium\MY_LIB\MY_LIB\Datasheets\YAGEO_RC_L.pdf</x:v>
      </x:c>
      <x:c xmlns:x="http://schemas.openxmlformats.org/spreadsheetml/2006/main" r="W472" t="str" s="11">
        <x:v>Даташит — производитель</x:v>
      </x:c>
      <x:c xmlns:x="http://schemas.openxmlformats.org/spreadsheetml/2006/main" r="X472" t="str" s="11">
        <x:v>https://yageogroup.com/content/datasheet/asset/file/PYU-RC_GROUP_51_ROHS_L</x:v>
      </x:c>
      <x:c xmlns:x="http://schemas.openxmlformats.org/spreadsheetml/2006/main" r="Y472" t="str" s="11">
        <x:v>C:\Users\Nomatin\Documents\Altium\MY_LIB\MY_LIB\Datasheets\YAGEO_RC_L.pdf</x:v>
      </x:c>
      <ns0:c xmlns:ns0="http://schemas.openxmlformats.org/spreadsheetml/2006/main" r="Z472" s="16" t="inlineStr">
        <ns0:is>
          <ns0:t>MY_LIB_R_TCR</ns0:t>
        </ns0:is>
      </ns0:c>
      <ns0:c xmlns:ns0="http://schemas.openxmlformats.org/spreadsheetml/2006/main" r="AA472" s="16" t="inlineStr">
        <ns0:is>
          <ns0:t>R(T), +100 ppm/C at 25 C; positive datasheet limit</ns0:t>
        </ns0:is>
      </ns0:c>
      <ns0:c xmlns:ns0="http://schemas.openxmlformats.org/spreadsheetml/2006/main" r="AB472" s="16" t="str">
        <ns0:v>General</ns0:v>
      </ns0:c>
      <ns0:c xmlns:ns0="http://schemas.openxmlformats.org/spreadsheetml/2006/main" r="AC472" s="16" t="inlineStr">
        <ns0:is>
          <ns0:t>Spice Subcircuit</ns0:t>
        </ns0:is>
      </ns0:c>
      <ns0:c xmlns:ns0="http://schemas.openxmlformats.org/spreadsheetml/2006/main" r="AD472" s="16" t="inlineStr">
        <ns0:is>
          <ns0:t>@DESIGNATOR %1 %2 @MODEL PARAMS: Rvalue=@VALUE TC1value=100u</ns0:t>
        </ns0:is>
      </ns0:c>
      <ns0:c xmlns:ns0="http://schemas.openxmlformats.org/spreadsheetml/2006/main" r="AE472" s="16" t="inlineStr">
        <ns0:is>
          <ns0:t>X</ns0:t>
        </ns0:is>
      </ns0:c>
      <ns0:c xmlns:ns0="http://schemas.openxmlformats.org/spreadsheetml/2006/main" r="AF472" s="16" t="str">
        <ns0:v>(1:1),(2:2)</ns0:v>
      </ns0:c>
      <ns0:c xmlns:ns0="http://schemas.openxmlformats.org/spreadsheetml/2006/main" r="AG472" s="16" t="inlineStr">
        <ns0:is>
          <ns0:t>Simulation\Resistors\MY_LIB_R_TCR.ckt</ns0:t>
        </ns0:is>
      </ns0:c>
      <ns0:c xmlns:ns0="http://schemas.openxmlformats.org/spreadsheetml/2006/main" r="AH472" s="16" t="inlineStr">
        <ns0:is>
          <ns0:t>±100 ppm/°C</ns0:t>
        </ns0:is>
      </ns0:c>
    </ns0:row>
    <ns0:row xmlns:ns0="http://schemas.openxmlformats.org/spreadsheetml/2006/main" r="473" ht="30" customHeight="1">
      <ns0:c r="A473" t="str" s="10">
        <ns0:v>R0479</ns0:v>
      </ns0:c>
      <ns0:c r="B473" t="str" s="10">
        <ns0:v>Резистор</ns0:v>
      </ns0:c>
      <ns0:c r="C473" t="str" s="10">
        <ns0:v>27R</ns0:v>
      </ns0:c>
      <ns0:c r="D473" t="str" s="11">
        <ns0:f>SUBSTITUTE(SUBSTITUTE(SUBSTITUTE(SUBSTITUTE(C473,"meg"," МОм"),"k"," кОм"),"R"," Ом"),".",",")</ns0:f>
        <ns0:v>27 Ом</ns0:v>
      </ns0:c>
      <ns0:c r="E473" t="str" s="10">
        <ns0:v>±1%</ns0:v>
      </ns0:c>
      <ns0:c r="F473" t="str" s="10">
        <ns0:v>0,125 Вт</ns0:v>
      </ns0:c>
      <ns0:c r="G473" t="str" s="10">
        <ns0:v>150 В макс.</ns0:v>
      </ns0:c>
      <ns0:c r="H473" t="str" s="12">
        <ns0:v>0805</ns0:v>
      </ns0:c>
      <ns0:c r="I473" t="str" s="10">
        <ns0:v>YAGEO</ns0:v>
      </ns0:c>
      <ns0:c r="J473" t="str" s="10">
        <ns0:v>RC0805FR-0727RL</ns0:v>
      </ns0:c>
      <ns0:c r="K473" t="str" s="11">
        <ns0:f>B473&amp;" "&amp;D473&amp;" "&amp;E473&amp;" "&amp;H473</ns0:f>
        <ns0:v>Резистор 27 Ом ±1% 0805</ns0:v>
      </ns0:c>
      <ns0:c r="L473" t="str" s="13">
        <ns0:v>R</ns0:v>
      </ns0:c>
      <ns0:c r="M473" t="str" s="13">
        <ns0:v>Symbols\MY_LIB_Resistors.SchLib</ns0:v>
      </ns0:c>
      <ns0:c r="N473" t="str" s="13">
        <ns0:v>RESC2012X70N</ns0:v>
      </ns0:c>
      <ns0:c r="O473" t="str" s="13">
        <ns0:v>Footprints\PBL - SMD Packages.PcbLib</ns0:v>
      </ns0:c>
      <ns0:c xmlns:ns0="http://schemas.openxmlformats.org/spreadsheetml/2006/main" r="P47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3" s="10"/>
      <ns0:c r="R473" t="str" s="11">
        <ns0:f>D473</ns0:f>
        <ns0:v>27 Ом</ns0:v>
      </ns0:c>
      <ns0:c r="S473" t="str" s="11">
        <ns0:f>K473</ns0:f>
        <ns0:v>Резистор 27 Ом ±1% 0805</ns0:v>
      </ns0:c>
      <x:c xmlns:x="http://schemas.openxmlformats.org/spreadsheetml/2006/main" r="T473" t="str" s="11">
        <x:v>C:\Users\Nomatin\Documents\Altium\MY_LIB\MY_LIB\Datasheets\YAGEO_RC_L.pdf</x:v>
      </x:c>
      <x:c xmlns:x="http://schemas.openxmlformats.org/spreadsheetml/2006/main" r="U473" t="str" s="11">
        <x:v>Даташит — локальный</x:v>
      </x:c>
      <x:c xmlns:x="http://schemas.openxmlformats.org/spreadsheetml/2006/main" r="V473" t="str" s="11">
        <x:v>C:\Users\Nomatin\Documents\Altium\MY_LIB\MY_LIB\Datasheets\YAGEO_RC_L.pdf</x:v>
      </x:c>
      <x:c xmlns:x="http://schemas.openxmlformats.org/spreadsheetml/2006/main" r="W473" t="str" s="11">
        <x:v>Даташит — производитель</x:v>
      </x:c>
      <x:c xmlns:x="http://schemas.openxmlformats.org/spreadsheetml/2006/main" r="X473" t="str" s="11">
        <x:v>https://yageogroup.com/content/datasheet/asset/file/PYU-RC_GROUP_51_ROHS_L</x:v>
      </x:c>
      <x:c xmlns:x="http://schemas.openxmlformats.org/spreadsheetml/2006/main" r="Y473" t="str" s="11">
        <x:v>C:\Users\Nomatin\Documents\Altium\MY_LIB\MY_LIB\Datasheets\YAGEO_RC_L.pdf</x:v>
      </x:c>
      <ns0:c xmlns:ns0="http://schemas.openxmlformats.org/spreadsheetml/2006/main" r="Z473" s="16" t="inlineStr">
        <ns0:is>
          <ns0:t>MY_LIB_R_TCR</ns0:t>
        </ns0:is>
      </ns0:c>
      <ns0:c xmlns:ns0="http://schemas.openxmlformats.org/spreadsheetml/2006/main" r="AA473" s="16" t="inlineStr">
        <ns0:is>
          <ns0:t>R(T), +100 ppm/C at 25 C; positive datasheet limit</ns0:t>
        </ns0:is>
      </ns0:c>
      <ns0:c xmlns:ns0="http://schemas.openxmlformats.org/spreadsheetml/2006/main" r="AB473" s="16" t="str">
        <ns0:v>General</ns0:v>
      </ns0:c>
      <ns0:c xmlns:ns0="http://schemas.openxmlformats.org/spreadsheetml/2006/main" r="AC473" s="16" t="inlineStr">
        <ns0:is>
          <ns0:t>Spice Subcircuit</ns0:t>
        </ns0:is>
      </ns0:c>
      <ns0:c xmlns:ns0="http://schemas.openxmlformats.org/spreadsheetml/2006/main" r="AD473" s="16" t="inlineStr">
        <ns0:is>
          <ns0:t>@DESIGNATOR %1 %2 @MODEL PARAMS: Rvalue=@VALUE TC1value=100u</ns0:t>
        </ns0:is>
      </ns0:c>
      <ns0:c xmlns:ns0="http://schemas.openxmlformats.org/spreadsheetml/2006/main" r="AE473" s="16" t="inlineStr">
        <ns0:is>
          <ns0:t>X</ns0:t>
        </ns0:is>
      </ns0:c>
      <ns0:c xmlns:ns0="http://schemas.openxmlformats.org/spreadsheetml/2006/main" r="AF473" s="16" t="str">
        <ns0:v>(1:1),(2:2)</ns0:v>
      </ns0:c>
      <ns0:c xmlns:ns0="http://schemas.openxmlformats.org/spreadsheetml/2006/main" r="AG473" s="16" t="inlineStr">
        <ns0:is>
          <ns0:t>Simulation\Resistors\MY_LIB_R_TCR.ckt</ns0:t>
        </ns0:is>
      </ns0:c>
      <ns0:c xmlns:ns0="http://schemas.openxmlformats.org/spreadsheetml/2006/main" r="AH473" s="16" t="inlineStr">
        <ns0:is>
          <ns0:t>±100 ppm/°C</ns0:t>
        </ns0:is>
      </ns0:c>
    </ns0:row>
    <ns0:row xmlns:ns0="http://schemas.openxmlformats.org/spreadsheetml/2006/main" r="474" ht="30" customHeight="1">
      <ns0:c r="A474" t="str" s="10">
        <ns0:v>R0480</ns0:v>
      </ns0:c>
      <ns0:c r="B474" t="str" s="10">
        <ns0:v>Резистор</ns0:v>
      </ns0:c>
      <ns0:c r="C474" t="str" s="10">
        <ns0:v>30R</ns0:v>
      </ns0:c>
      <ns0:c r="D474" t="str" s="11">
        <ns0:f>SUBSTITUTE(SUBSTITUTE(SUBSTITUTE(SUBSTITUTE(C474,"meg"," МОм"),"k"," кОм"),"R"," Ом"),".",",")</ns0:f>
        <ns0:v>30 Ом</ns0:v>
      </ns0:c>
      <ns0:c r="E474" t="str" s="10">
        <ns0:v>±1%</ns0:v>
      </ns0:c>
      <ns0:c r="F474" t="str" s="10">
        <ns0:v>0,125 Вт</ns0:v>
      </ns0:c>
      <ns0:c r="G474" t="str" s="10">
        <ns0:v>150 В макс.</ns0:v>
      </ns0:c>
      <ns0:c r="H474" t="str" s="12">
        <ns0:v>0805</ns0:v>
      </ns0:c>
      <ns0:c r="I474" t="str" s="10">
        <ns0:v>YAGEO</ns0:v>
      </ns0:c>
      <ns0:c r="J474" t="str" s="10">
        <ns0:v>RC0805FR-0730RL</ns0:v>
      </ns0:c>
      <ns0:c r="K474" t="str" s="11">
        <ns0:f>B474&amp;" "&amp;D474&amp;" "&amp;E474&amp;" "&amp;H474</ns0:f>
        <ns0:v>Резистор 30 Ом ±1% 0805</ns0:v>
      </ns0:c>
      <ns0:c r="L474" t="str" s="13">
        <ns0:v>R</ns0:v>
      </ns0:c>
      <ns0:c r="M474" t="str" s="13">
        <ns0:v>Symbols\MY_LIB_Resistors.SchLib</ns0:v>
      </ns0:c>
      <ns0:c r="N474" t="str" s="13">
        <ns0:v>RESC2012X70N</ns0:v>
      </ns0:c>
      <ns0:c r="O474" t="str" s="13">
        <ns0:v>Footprints\PBL - SMD Packages.PcbLib</ns0:v>
      </ns0:c>
      <ns0:c xmlns:ns0="http://schemas.openxmlformats.org/spreadsheetml/2006/main" r="P47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4" s="10"/>
      <ns0:c r="R474" t="str" s="11">
        <ns0:f>D474</ns0:f>
        <ns0:v>30 Ом</ns0:v>
      </ns0:c>
      <ns0:c r="S474" t="str" s="11">
        <ns0:f>K474</ns0:f>
        <ns0:v>Резистор 30 Ом ±1% 0805</ns0:v>
      </ns0:c>
      <x:c xmlns:x="http://schemas.openxmlformats.org/spreadsheetml/2006/main" r="T474" t="str" s="11">
        <x:v>C:\Users\Nomatin\Documents\Altium\MY_LIB\MY_LIB\Datasheets\YAGEO_RC_L.pdf</x:v>
      </x:c>
      <x:c xmlns:x="http://schemas.openxmlformats.org/spreadsheetml/2006/main" r="U474" t="str" s="11">
        <x:v>Даташит — локальный</x:v>
      </x:c>
      <x:c xmlns:x="http://schemas.openxmlformats.org/spreadsheetml/2006/main" r="V474" t="str" s="11">
        <x:v>C:\Users\Nomatin\Documents\Altium\MY_LIB\MY_LIB\Datasheets\YAGEO_RC_L.pdf</x:v>
      </x:c>
      <x:c xmlns:x="http://schemas.openxmlformats.org/spreadsheetml/2006/main" r="W474" t="str" s="11">
        <x:v>Даташит — производитель</x:v>
      </x:c>
      <x:c xmlns:x="http://schemas.openxmlformats.org/spreadsheetml/2006/main" r="X474" t="str" s="11">
        <x:v>https://yageogroup.com/content/datasheet/asset/file/PYU-RC_GROUP_51_ROHS_L</x:v>
      </x:c>
      <x:c xmlns:x="http://schemas.openxmlformats.org/spreadsheetml/2006/main" r="Y474" t="str" s="11">
        <x:v>C:\Users\Nomatin\Documents\Altium\MY_LIB\MY_LIB\Datasheets\YAGEO_RC_L.pdf</x:v>
      </x:c>
      <ns0:c xmlns:ns0="http://schemas.openxmlformats.org/spreadsheetml/2006/main" r="Z474" s="16" t="inlineStr">
        <ns0:is>
          <ns0:t>MY_LIB_R_TCR</ns0:t>
        </ns0:is>
      </ns0:c>
      <ns0:c xmlns:ns0="http://schemas.openxmlformats.org/spreadsheetml/2006/main" r="AA474" s="16" t="inlineStr">
        <ns0:is>
          <ns0:t>R(T), +100 ppm/C at 25 C; positive datasheet limit</ns0:t>
        </ns0:is>
      </ns0:c>
      <ns0:c xmlns:ns0="http://schemas.openxmlformats.org/spreadsheetml/2006/main" r="AB474" s="16" t="str">
        <ns0:v>General</ns0:v>
      </ns0:c>
      <ns0:c xmlns:ns0="http://schemas.openxmlformats.org/spreadsheetml/2006/main" r="AC474" s="16" t="inlineStr">
        <ns0:is>
          <ns0:t>Spice Subcircuit</ns0:t>
        </ns0:is>
      </ns0:c>
      <ns0:c xmlns:ns0="http://schemas.openxmlformats.org/spreadsheetml/2006/main" r="AD474" s="16" t="inlineStr">
        <ns0:is>
          <ns0:t>@DESIGNATOR %1 %2 @MODEL PARAMS: Rvalue=@VALUE TC1value=100u</ns0:t>
        </ns0:is>
      </ns0:c>
      <ns0:c xmlns:ns0="http://schemas.openxmlformats.org/spreadsheetml/2006/main" r="AE474" s="16" t="inlineStr">
        <ns0:is>
          <ns0:t>X</ns0:t>
        </ns0:is>
      </ns0:c>
      <ns0:c xmlns:ns0="http://schemas.openxmlformats.org/spreadsheetml/2006/main" r="AF474" s="16" t="str">
        <ns0:v>(1:1),(2:2)</ns0:v>
      </ns0:c>
      <ns0:c xmlns:ns0="http://schemas.openxmlformats.org/spreadsheetml/2006/main" r="AG474" s="16" t="inlineStr">
        <ns0:is>
          <ns0:t>Simulation\Resistors\MY_LIB_R_TCR.ckt</ns0:t>
        </ns0:is>
      </ns0:c>
      <ns0:c xmlns:ns0="http://schemas.openxmlformats.org/spreadsheetml/2006/main" r="AH474" s="16" t="inlineStr">
        <ns0:is>
          <ns0:t>±100 ppm/°C</ns0:t>
        </ns0:is>
      </ns0:c>
    </ns0:row>
    <ns0:row xmlns:ns0="http://schemas.openxmlformats.org/spreadsheetml/2006/main" r="475" ht="30" customHeight="1">
      <ns0:c r="A475" t="str" s="10">
        <ns0:v>R0481</ns0:v>
      </ns0:c>
      <ns0:c r="B475" t="str" s="10">
        <ns0:v>Резистор</ns0:v>
      </ns0:c>
      <ns0:c r="C475" t="str" s="10">
        <ns0:v>33R</ns0:v>
      </ns0:c>
      <ns0:c r="D475" t="str" s="11">
        <ns0:f>SUBSTITUTE(SUBSTITUTE(SUBSTITUTE(SUBSTITUTE(C475,"meg"," МОм"),"k"," кОм"),"R"," Ом"),".",",")</ns0:f>
        <ns0:v>33 Ом</ns0:v>
      </ns0:c>
      <ns0:c r="E475" t="str" s="10">
        <ns0:v>±1%</ns0:v>
      </ns0:c>
      <ns0:c r="F475" t="str" s="10">
        <ns0:v>0,125 Вт</ns0:v>
      </ns0:c>
      <ns0:c r="G475" t="str" s="10">
        <ns0:v>150 В макс.</ns0:v>
      </ns0:c>
      <ns0:c r="H475" t="str" s="12">
        <ns0:v>0805</ns0:v>
      </ns0:c>
      <ns0:c r="I475" t="str" s="10">
        <ns0:v>YAGEO</ns0:v>
      </ns0:c>
      <ns0:c r="J475" t="str" s="10">
        <ns0:v>RC0805FR-0733RL</ns0:v>
      </ns0:c>
      <ns0:c r="K475" t="str" s="11">
        <ns0:f>B475&amp;" "&amp;D475&amp;" "&amp;E475&amp;" "&amp;H475</ns0:f>
        <ns0:v>Резистор 33 Ом ±1% 0805</ns0:v>
      </ns0:c>
      <ns0:c r="L475" t="str" s="13">
        <ns0:v>R</ns0:v>
      </ns0:c>
      <ns0:c r="M475" t="str" s="13">
        <ns0:v>Symbols\MY_LIB_Resistors.SchLib</ns0:v>
      </ns0:c>
      <ns0:c r="N475" t="str" s="13">
        <ns0:v>RESC2012X70N</ns0:v>
      </ns0:c>
      <ns0:c r="O475" t="str" s="13">
        <ns0:v>Footprints\PBL - SMD Packages.PcbLib</ns0:v>
      </ns0:c>
      <ns0:c xmlns:ns0="http://schemas.openxmlformats.org/spreadsheetml/2006/main" r="P47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5" s="10"/>
      <ns0:c r="R475" t="str" s="11">
        <ns0:f>D475</ns0:f>
        <ns0:v>33 Ом</ns0:v>
      </ns0:c>
      <ns0:c r="S475" t="str" s="11">
        <ns0:f>K475</ns0:f>
        <ns0:v>Резистор 33 Ом ±1% 0805</ns0:v>
      </ns0:c>
      <x:c xmlns:x="http://schemas.openxmlformats.org/spreadsheetml/2006/main" r="T475" t="str" s="11">
        <x:v>C:\Users\Nomatin\Documents\Altium\MY_LIB\MY_LIB\Datasheets\YAGEO_RC_L.pdf</x:v>
      </x:c>
      <x:c xmlns:x="http://schemas.openxmlformats.org/spreadsheetml/2006/main" r="U475" t="str" s="11">
        <x:v>Даташит — локальный</x:v>
      </x:c>
      <x:c xmlns:x="http://schemas.openxmlformats.org/spreadsheetml/2006/main" r="V475" t="str" s="11">
        <x:v>C:\Users\Nomatin\Documents\Altium\MY_LIB\MY_LIB\Datasheets\YAGEO_RC_L.pdf</x:v>
      </x:c>
      <x:c xmlns:x="http://schemas.openxmlformats.org/spreadsheetml/2006/main" r="W475" t="str" s="11">
        <x:v>Даташит — производитель</x:v>
      </x:c>
      <x:c xmlns:x="http://schemas.openxmlformats.org/spreadsheetml/2006/main" r="X475" t="str" s="11">
        <x:v>https://yageogroup.com/content/datasheet/asset/file/PYU-RC_GROUP_51_ROHS_L</x:v>
      </x:c>
      <x:c xmlns:x="http://schemas.openxmlformats.org/spreadsheetml/2006/main" r="Y475" t="str" s="11">
        <x:v>C:\Users\Nomatin\Documents\Altium\MY_LIB\MY_LIB\Datasheets\YAGEO_RC_L.pdf</x:v>
      </x:c>
      <ns0:c xmlns:ns0="http://schemas.openxmlformats.org/spreadsheetml/2006/main" r="Z475" s="16" t="inlineStr">
        <ns0:is>
          <ns0:t>MY_LIB_R_TCR</ns0:t>
        </ns0:is>
      </ns0:c>
      <ns0:c xmlns:ns0="http://schemas.openxmlformats.org/spreadsheetml/2006/main" r="AA475" s="16" t="inlineStr">
        <ns0:is>
          <ns0:t>R(T), +100 ppm/C at 25 C; positive datasheet limit</ns0:t>
        </ns0:is>
      </ns0:c>
      <ns0:c xmlns:ns0="http://schemas.openxmlformats.org/spreadsheetml/2006/main" r="AB475" s="16" t="str">
        <ns0:v>General</ns0:v>
      </ns0:c>
      <ns0:c xmlns:ns0="http://schemas.openxmlformats.org/spreadsheetml/2006/main" r="AC475" s="16" t="inlineStr">
        <ns0:is>
          <ns0:t>Spice Subcircuit</ns0:t>
        </ns0:is>
      </ns0:c>
      <ns0:c xmlns:ns0="http://schemas.openxmlformats.org/spreadsheetml/2006/main" r="AD475" s="16" t="inlineStr">
        <ns0:is>
          <ns0:t>@DESIGNATOR %1 %2 @MODEL PARAMS: Rvalue=@VALUE TC1value=100u</ns0:t>
        </ns0:is>
      </ns0:c>
      <ns0:c xmlns:ns0="http://schemas.openxmlformats.org/spreadsheetml/2006/main" r="AE475" s="16" t="inlineStr">
        <ns0:is>
          <ns0:t>X</ns0:t>
        </ns0:is>
      </ns0:c>
      <ns0:c xmlns:ns0="http://schemas.openxmlformats.org/spreadsheetml/2006/main" r="AF475" s="16" t="str">
        <ns0:v>(1:1),(2:2)</ns0:v>
      </ns0:c>
      <ns0:c xmlns:ns0="http://schemas.openxmlformats.org/spreadsheetml/2006/main" r="AG475" s="16" t="inlineStr">
        <ns0:is>
          <ns0:t>Simulation\Resistors\MY_LIB_R_TCR.ckt</ns0:t>
        </ns0:is>
      </ns0:c>
      <ns0:c xmlns:ns0="http://schemas.openxmlformats.org/spreadsheetml/2006/main" r="AH475" s="16" t="inlineStr">
        <ns0:is>
          <ns0:t>±100 ppm/°C</ns0:t>
        </ns0:is>
      </ns0:c>
    </ns0:row>
    <ns0:row xmlns:ns0="http://schemas.openxmlformats.org/spreadsheetml/2006/main" r="476" ht="30" customHeight="1">
      <ns0:c r="A476" t="str" s="10">
        <ns0:v>R0482</ns0:v>
      </ns0:c>
      <ns0:c r="B476" t="str" s="10">
        <ns0:v>Резистор</ns0:v>
      </ns0:c>
      <ns0:c r="C476" t="str" s="10">
        <ns0:v>36R</ns0:v>
      </ns0:c>
      <ns0:c r="D476" t="str" s="11">
        <ns0:f>SUBSTITUTE(SUBSTITUTE(SUBSTITUTE(SUBSTITUTE(C476,"meg"," МОм"),"k"," кОм"),"R"," Ом"),".",",")</ns0:f>
        <ns0:v>36 Ом</ns0:v>
      </ns0:c>
      <ns0:c r="E476" t="str" s="10">
        <ns0:v>±1%</ns0:v>
      </ns0:c>
      <ns0:c r="F476" t="str" s="10">
        <ns0:v>0,125 Вт</ns0:v>
      </ns0:c>
      <ns0:c r="G476" t="str" s="10">
        <ns0:v>150 В макс.</ns0:v>
      </ns0:c>
      <ns0:c r="H476" t="str" s="12">
        <ns0:v>0805</ns0:v>
      </ns0:c>
      <ns0:c r="I476" t="str" s="10">
        <ns0:v>YAGEO</ns0:v>
      </ns0:c>
      <ns0:c r="J476" t="str" s="10">
        <ns0:v>RC0805FR-0736RL</ns0:v>
      </ns0:c>
      <ns0:c r="K476" t="str" s="11">
        <ns0:f>B476&amp;" "&amp;D476&amp;" "&amp;E476&amp;" "&amp;H476</ns0:f>
        <ns0:v>Резистор 36 Ом ±1% 0805</ns0:v>
      </ns0:c>
      <ns0:c r="L476" t="str" s="13">
        <ns0:v>R</ns0:v>
      </ns0:c>
      <ns0:c r="M476" t="str" s="13">
        <ns0:v>Symbols\MY_LIB_Resistors.SchLib</ns0:v>
      </ns0:c>
      <ns0:c r="N476" t="str" s="13">
        <ns0:v>RESC2012X70N</ns0:v>
      </ns0:c>
      <ns0:c r="O476" t="str" s="13">
        <ns0:v>Footprints\PBL - SMD Packages.PcbLib</ns0:v>
      </ns0:c>
      <ns0:c xmlns:ns0="http://schemas.openxmlformats.org/spreadsheetml/2006/main" r="P47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6" s="10"/>
      <ns0:c r="R476" t="str" s="11">
        <ns0:f>D476</ns0:f>
        <ns0:v>36 Ом</ns0:v>
      </ns0:c>
      <ns0:c r="S476" t="str" s="11">
        <ns0:f>K476</ns0:f>
        <ns0:v>Резистор 36 Ом ±1% 0805</ns0:v>
      </ns0:c>
      <x:c xmlns:x="http://schemas.openxmlformats.org/spreadsheetml/2006/main" r="T476" t="str" s="11">
        <x:v>C:\Users\Nomatin\Documents\Altium\MY_LIB\MY_LIB\Datasheets\YAGEO_RC_L.pdf</x:v>
      </x:c>
      <x:c xmlns:x="http://schemas.openxmlformats.org/spreadsheetml/2006/main" r="U476" t="str" s="11">
        <x:v>Даташит — локальный</x:v>
      </x:c>
      <x:c xmlns:x="http://schemas.openxmlformats.org/spreadsheetml/2006/main" r="V476" t="str" s="11">
        <x:v>C:\Users\Nomatin\Documents\Altium\MY_LIB\MY_LIB\Datasheets\YAGEO_RC_L.pdf</x:v>
      </x:c>
      <x:c xmlns:x="http://schemas.openxmlformats.org/spreadsheetml/2006/main" r="W476" t="str" s="11">
        <x:v>Даташит — производитель</x:v>
      </x:c>
      <x:c xmlns:x="http://schemas.openxmlformats.org/spreadsheetml/2006/main" r="X476" t="str" s="11">
        <x:v>https://yageogroup.com/content/datasheet/asset/file/PYU-RC_GROUP_51_ROHS_L</x:v>
      </x:c>
      <x:c xmlns:x="http://schemas.openxmlformats.org/spreadsheetml/2006/main" r="Y476" t="str" s="11">
        <x:v>C:\Users\Nomatin\Documents\Altium\MY_LIB\MY_LIB\Datasheets\YAGEO_RC_L.pdf</x:v>
      </x:c>
      <ns0:c xmlns:ns0="http://schemas.openxmlformats.org/spreadsheetml/2006/main" r="Z476" s="16" t="inlineStr">
        <ns0:is>
          <ns0:t>MY_LIB_R_TCR</ns0:t>
        </ns0:is>
      </ns0:c>
      <ns0:c xmlns:ns0="http://schemas.openxmlformats.org/spreadsheetml/2006/main" r="AA476" s="16" t="inlineStr">
        <ns0:is>
          <ns0:t>R(T), +100 ppm/C at 25 C; positive datasheet limit</ns0:t>
        </ns0:is>
      </ns0:c>
      <ns0:c xmlns:ns0="http://schemas.openxmlformats.org/spreadsheetml/2006/main" r="AB476" s="16" t="str">
        <ns0:v>General</ns0:v>
      </ns0:c>
      <ns0:c xmlns:ns0="http://schemas.openxmlformats.org/spreadsheetml/2006/main" r="AC476" s="16" t="inlineStr">
        <ns0:is>
          <ns0:t>Spice Subcircuit</ns0:t>
        </ns0:is>
      </ns0:c>
      <ns0:c xmlns:ns0="http://schemas.openxmlformats.org/spreadsheetml/2006/main" r="AD476" s="16" t="inlineStr">
        <ns0:is>
          <ns0:t>@DESIGNATOR %1 %2 @MODEL PARAMS: Rvalue=@VALUE TC1value=100u</ns0:t>
        </ns0:is>
      </ns0:c>
      <ns0:c xmlns:ns0="http://schemas.openxmlformats.org/spreadsheetml/2006/main" r="AE476" s="16" t="inlineStr">
        <ns0:is>
          <ns0:t>X</ns0:t>
        </ns0:is>
      </ns0:c>
      <ns0:c xmlns:ns0="http://schemas.openxmlformats.org/spreadsheetml/2006/main" r="AF476" s="16" t="str">
        <ns0:v>(1:1),(2:2)</ns0:v>
      </ns0:c>
      <ns0:c xmlns:ns0="http://schemas.openxmlformats.org/spreadsheetml/2006/main" r="AG476" s="16" t="inlineStr">
        <ns0:is>
          <ns0:t>Simulation\Resistors\MY_LIB_R_TCR.ckt</ns0:t>
        </ns0:is>
      </ns0:c>
      <ns0:c xmlns:ns0="http://schemas.openxmlformats.org/spreadsheetml/2006/main" r="AH476" s="16" t="inlineStr">
        <ns0:is>
          <ns0:t>±100 ppm/°C</ns0:t>
        </ns0:is>
      </ns0:c>
    </ns0:row>
    <ns0:row xmlns:ns0="http://schemas.openxmlformats.org/spreadsheetml/2006/main" r="477" ht="30" customHeight="1">
      <ns0:c r="A477" t="str" s="10">
        <ns0:v>R0483</ns0:v>
      </ns0:c>
      <ns0:c r="B477" t="str" s="10">
        <ns0:v>Резистор</ns0:v>
      </ns0:c>
      <ns0:c r="C477" t="str" s="10">
        <ns0:v>39R</ns0:v>
      </ns0:c>
      <ns0:c r="D477" t="str" s="11">
        <ns0:f>SUBSTITUTE(SUBSTITUTE(SUBSTITUTE(SUBSTITUTE(C477,"meg"," МОм"),"k"," кОм"),"R"," Ом"),".",",")</ns0:f>
        <ns0:v>39 Ом</ns0:v>
      </ns0:c>
      <ns0:c r="E477" t="str" s="10">
        <ns0:v>±1%</ns0:v>
      </ns0:c>
      <ns0:c r="F477" t="str" s="10">
        <ns0:v>0,125 Вт</ns0:v>
      </ns0:c>
      <ns0:c r="G477" t="str" s="10">
        <ns0:v>150 В макс.</ns0:v>
      </ns0:c>
      <ns0:c r="H477" t="str" s="12">
        <ns0:v>0805</ns0:v>
      </ns0:c>
      <ns0:c r="I477" t="str" s="10">
        <ns0:v>YAGEO</ns0:v>
      </ns0:c>
      <ns0:c r="J477" t="str" s="10">
        <ns0:v>RC0805FR-0739RL</ns0:v>
      </ns0:c>
      <ns0:c r="K477" t="str" s="11">
        <ns0:f>B477&amp;" "&amp;D477&amp;" "&amp;E477&amp;" "&amp;H477</ns0:f>
        <ns0:v>Резистор 39 Ом ±1% 0805</ns0:v>
      </ns0:c>
      <ns0:c r="L477" t="str" s="13">
        <ns0:v>R</ns0:v>
      </ns0:c>
      <ns0:c r="M477" t="str" s="13">
        <ns0:v>Symbols\MY_LIB_Resistors.SchLib</ns0:v>
      </ns0:c>
      <ns0:c r="N477" t="str" s="13">
        <ns0:v>RESC2012X70N</ns0:v>
      </ns0:c>
      <ns0:c r="O477" t="str" s="13">
        <ns0:v>Footprints\PBL - SMD Packages.PcbLib</ns0:v>
      </ns0:c>
      <ns0:c xmlns:ns0="http://schemas.openxmlformats.org/spreadsheetml/2006/main" r="P47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7" s="10"/>
      <ns0:c r="R477" t="str" s="11">
        <ns0:f>D477</ns0:f>
        <ns0:v>39 Ом</ns0:v>
      </ns0:c>
      <ns0:c r="S477" t="str" s="11">
        <ns0:f>K477</ns0:f>
        <ns0:v>Резистор 39 Ом ±1% 0805</ns0:v>
      </ns0:c>
      <x:c xmlns:x="http://schemas.openxmlformats.org/spreadsheetml/2006/main" r="T477" t="str" s="11">
        <x:v>C:\Users\Nomatin\Documents\Altium\MY_LIB\MY_LIB\Datasheets\YAGEO_RC_L.pdf</x:v>
      </x:c>
      <x:c xmlns:x="http://schemas.openxmlformats.org/spreadsheetml/2006/main" r="U477" t="str" s="11">
        <x:v>Даташит — локальный</x:v>
      </x:c>
      <x:c xmlns:x="http://schemas.openxmlformats.org/spreadsheetml/2006/main" r="V477" t="str" s="11">
        <x:v>C:\Users\Nomatin\Documents\Altium\MY_LIB\MY_LIB\Datasheets\YAGEO_RC_L.pdf</x:v>
      </x:c>
      <x:c xmlns:x="http://schemas.openxmlformats.org/spreadsheetml/2006/main" r="W477" t="str" s="11">
        <x:v>Даташит — производитель</x:v>
      </x:c>
      <x:c xmlns:x="http://schemas.openxmlformats.org/spreadsheetml/2006/main" r="X477" t="str" s="11">
        <x:v>https://yageogroup.com/content/datasheet/asset/file/PYU-RC_GROUP_51_ROHS_L</x:v>
      </x:c>
      <x:c xmlns:x="http://schemas.openxmlformats.org/spreadsheetml/2006/main" r="Y477" t="str" s="11">
        <x:v>C:\Users\Nomatin\Documents\Altium\MY_LIB\MY_LIB\Datasheets\YAGEO_RC_L.pdf</x:v>
      </x:c>
      <ns0:c xmlns:ns0="http://schemas.openxmlformats.org/spreadsheetml/2006/main" r="Z477" s="16" t="inlineStr">
        <ns0:is>
          <ns0:t>MY_LIB_R_TCR</ns0:t>
        </ns0:is>
      </ns0:c>
      <ns0:c xmlns:ns0="http://schemas.openxmlformats.org/spreadsheetml/2006/main" r="AA477" s="16" t="inlineStr">
        <ns0:is>
          <ns0:t>R(T), +100 ppm/C at 25 C; positive datasheet limit</ns0:t>
        </ns0:is>
      </ns0:c>
      <ns0:c xmlns:ns0="http://schemas.openxmlformats.org/spreadsheetml/2006/main" r="AB477" s="16" t="str">
        <ns0:v>General</ns0:v>
      </ns0:c>
      <ns0:c xmlns:ns0="http://schemas.openxmlformats.org/spreadsheetml/2006/main" r="AC477" s="16" t="inlineStr">
        <ns0:is>
          <ns0:t>Spice Subcircuit</ns0:t>
        </ns0:is>
      </ns0:c>
      <ns0:c xmlns:ns0="http://schemas.openxmlformats.org/spreadsheetml/2006/main" r="AD477" s="16" t="inlineStr">
        <ns0:is>
          <ns0:t>@DESIGNATOR %1 %2 @MODEL PARAMS: Rvalue=@VALUE TC1value=100u</ns0:t>
        </ns0:is>
      </ns0:c>
      <ns0:c xmlns:ns0="http://schemas.openxmlformats.org/spreadsheetml/2006/main" r="AE477" s="16" t="inlineStr">
        <ns0:is>
          <ns0:t>X</ns0:t>
        </ns0:is>
      </ns0:c>
      <ns0:c xmlns:ns0="http://schemas.openxmlformats.org/spreadsheetml/2006/main" r="AF477" s="16" t="str">
        <ns0:v>(1:1),(2:2)</ns0:v>
      </ns0:c>
      <ns0:c xmlns:ns0="http://schemas.openxmlformats.org/spreadsheetml/2006/main" r="AG477" s="16" t="inlineStr">
        <ns0:is>
          <ns0:t>Simulation\Resistors\MY_LIB_R_TCR.ckt</ns0:t>
        </ns0:is>
      </ns0:c>
      <ns0:c xmlns:ns0="http://schemas.openxmlformats.org/spreadsheetml/2006/main" r="AH477" s="16" t="inlineStr">
        <ns0:is>
          <ns0:t>±100 ppm/°C</ns0:t>
        </ns0:is>
      </ns0:c>
    </ns0:row>
    <ns0:row xmlns:ns0="http://schemas.openxmlformats.org/spreadsheetml/2006/main" r="478" ht="30" customHeight="1">
      <ns0:c r="A478" t="str" s="10">
        <ns0:v>R0484</ns0:v>
      </ns0:c>
      <ns0:c r="B478" t="str" s="10">
        <ns0:v>Резистор</ns0:v>
      </ns0:c>
      <ns0:c r="C478" t="str" s="10">
        <ns0:v>43R</ns0:v>
      </ns0:c>
      <ns0:c r="D478" t="str" s="11">
        <ns0:f>SUBSTITUTE(SUBSTITUTE(SUBSTITUTE(SUBSTITUTE(C478,"meg"," МОм"),"k"," кОм"),"R"," Ом"),".",",")</ns0:f>
        <ns0:v>43 Ом</ns0:v>
      </ns0:c>
      <ns0:c r="E478" t="str" s="10">
        <ns0:v>±1%</ns0:v>
      </ns0:c>
      <ns0:c r="F478" t="str" s="10">
        <ns0:v>0,125 Вт</ns0:v>
      </ns0:c>
      <ns0:c r="G478" t="str" s="10">
        <ns0:v>150 В макс.</ns0:v>
      </ns0:c>
      <ns0:c r="H478" t="str" s="12">
        <ns0:v>0805</ns0:v>
      </ns0:c>
      <ns0:c r="I478" t="str" s="10">
        <ns0:v>YAGEO</ns0:v>
      </ns0:c>
      <ns0:c r="J478" t="str" s="10">
        <ns0:v>RC0805FR-0743RL</ns0:v>
      </ns0:c>
      <ns0:c r="K478" t="str" s="11">
        <ns0:f>B478&amp;" "&amp;D478&amp;" "&amp;E478&amp;" "&amp;H478</ns0:f>
        <ns0:v>Резистор 43 Ом ±1% 0805</ns0:v>
      </ns0:c>
      <ns0:c r="L478" t="str" s="13">
        <ns0:v>R</ns0:v>
      </ns0:c>
      <ns0:c r="M478" t="str" s="13">
        <ns0:v>Symbols\MY_LIB_Resistors.SchLib</ns0:v>
      </ns0:c>
      <ns0:c r="N478" t="str" s="13">
        <ns0:v>RESC2012X70N</ns0:v>
      </ns0:c>
      <ns0:c r="O478" t="str" s="13">
        <ns0:v>Footprints\PBL - SMD Packages.PcbLib</ns0:v>
      </ns0:c>
      <ns0:c xmlns:ns0="http://schemas.openxmlformats.org/spreadsheetml/2006/main" r="P47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8" s="10"/>
      <ns0:c r="R478" t="str" s="11">
        <ns0:f>D478</ns0:f>
        <ns0:v>43 Ом</ns0:v>
      </ns0:c>
      <ns0:c r="S478" t="str" s="11">
        <ns0:f>K478</ns0:f>
        <ns0:v>Резистор 43 Ом ±1% 0805</ns0:v>
      </ns0:c>
      <x:c xmlns:x="http://schemas.openxmlformats.org/spreadsheetml/2006/main" r="T478" t="str" s="11">
        <x:v>C:\Users\Nomatin\Documents\Altium\MY_LIB\MY_LIB\Datasheets\YAGEO_RC_L.pdf</x:v>
      </x:c>
      <x:c xmlns:x="http://schemas.openxmlformats.org/spreadsheetml/2006/main" r="U478" t="str" s="11">
        <x:v>Даташит — локальный</x:v>
      </x:c>
      <x:c xmlns:x="http://schemas.openxmlformats.org/spreadsheetml/2006/main" r="V478" t="str" s="11">
        <x:v>C:\Users\Nomatin\Documents\Altium\MY_LIB\MY_LIB\Datasheets\YAGEO_RC_L.pdf</x:v>
      </x:c>
      <x:c xmlns:x="http://schemas.openxmlformats.org/spreadsheetml/2006/main" r="W478" t="str" s="11">
        <x:v>Даташит — производитель</x:v>
      </x:c>
      <x:c xmlns:x="http://schemas.openxmlformats.org/spreadsheetml/2006/main" r="X478" t="str" s="11">
        <x:v>https://yageogroup.com/content/datasheet/asset/file/PYU-RC_GROUP_51_ROHS_L</x:v>
      </x:c>
      <x:c xmlns:x="http://schemas.openxmlformats.org/spreadsheetml/2006/main" r="Y478" t="str" s="11">
        <x:v>C:\Users\Nomatin\Documents\Altium\MY_LIB\MY_LIB\Datasheets\YAGEO_RC_L.pdf</x:v>
      </x:c>
      <ns0:c xmlns:ns0="http://schemas.openxmlformats.org/spreadsheetml/2006/main" r="Z478" s="16" t="inlineStr">
        <ns0:is>
          <ns0:t>MY_LIB_R_TCR</ns0:t>
        </ns0:is>
      </ns0:c>
      <ns0:c xmlns:ns0="http://schemas.openxmlformats.org/spreadsheetml/2006/main" r="AA478" s="16" t="inlineStr">
        <ns0:is>
          <ns0:t>R(T), +100 ppm/C at 25 C; positive datasheet limit</ns0:t>
        </ns0:is>
      </ns0:c>
      <ns0:c xmlns:ns0="http://schemas.openxmlformats.org/spreadsheetml/2006/main" r="AB478" s="16" t="str">
        <ns0:v>General</ns0:v>
      </ns0:c>
      <ns0:c xmlns:ns0="http://schemas.openxmlformats.org/spreadsheetml/2006/main" r="AC478" s="16" t="inlineStr">
        <ns0:is>
          <ns0:t>Spice Subcircuit</ns0:t>
        </ns0:is>
      </ns0:c>
      <ns0:c xmlns:ns0="http://schemas.openxmlformats.org/spreadsheetml/2006/main" r="AD478" s="16" t="inlineStr">
        <ns0:is>
          <ns0:t>@DESIGNATOR %1 %2 @MODEL PARAMS: Rvalue=@VALUE TC1value=100u</ns0:t>
        </ns0:is>
      </ns0:c>
      <ns0:c xmlns:ns0="http://schemas.openxmlformats.org/spreadsheetml/2006/main" r="AE478" s="16" t="inlineStr">
        <ns0:is>
          <ns0:t>X</ns0:t>
        </ns0:is>
      </ns0:c>
      <ns0:c xmlns:ns0="http://schemas.openxmlformats.org/spreadsheetml/2006/main" r="AF478" s="16" t="str">
        <ns0:v>(1:1),(2:2)</ns0:v>
      </ns0:c>
      <ns0:c xmlns:ns0="http://schemas.openxmlformats.org/spreadsheetml/2006/main" r="AG478" s="16" t="inlineStr">
        <ns0:is>
          <ns0:t>Simulation\Resistors\MY_LIB_R_TCR.ckt</ns0:t>
        </ns0:is>
      </ns0:c>
      <ns0:c xmlns:ns0="http://schemas.openxmlformats.org/spreadsheetml/2006/main" r="AH478" s="16" t="inlineStr">
        <ns0:is>
          <ns0:t>±100 ppm/°C</ns0:t>
        </ns0:is>
      </ns0:c>
    </ns0:row>
    <ns0:row xmlns:ns0="http://schemas.openxmlformats.org/spreadsheetml/2006/main" r="479" ht="30" customHeight="1">
      <ns0:c r="A479" t="str" s="10">
        <ns0:v>R0485</ns0:v>
      </ns0:c>
      <ns0:c r="B479" t="str" s="10">
        <ns0:v>Резистор</ns0:v>
      </ns0:c>
      <ns0:c r="C479" t="str" s="10">
        <ns0:v>47R</ns0:v>
      </ns0:c>
      <ns0:c r="D479" t="str" s="11">
        <ns0:f>SUBSTITUTE(SUBSTITUTE(SUBSTITUTE(SUBSTITUTE(C479,"meg"," МОм"),"k"," кОм"),"R"," Ом"),".",",")</ns0:f>
        <ns0:v>47 Ом</ns0:v>
      </ns0:c>
      <ns0:c r="E479" t="str" s="10">
        <ns0:v>±1%</ns0:v>
      </ns0:c>
      <ns0:c r="F479" t="str" s="10">
        <ns0:v>0,125 Вт</ns0:v>
      </ns0:c>
      <ns0:c r="G479" t="str" s="10">
        <ns0:v>150 В макс.</ns0:v>
      </ns0:c>
      <ns0:c r="H479" t="str" s="12">
        <ns0:v>0805</ns0:v>
      </ns0:c>
      <ns0:c r="I479" t="str" s="10">
        <ns0:v>YAGEO</ns0:v>
      </ns0:c>
      <ns0:c r="J479" t="str" s="10">
        <ns0:v>RC0805FR-0747RL</ns0:v>
      </ns0:c>
      <ns0:c r="K479" t="str" s="11">
        <ns0:f>B479&amp;" "&amp;D479&amp;" "&amp;E479&amp;" "&amp;H479</ns0:f>
        <ns0:v>Резистор 47 Ом ±1% 0805</ns0:v>
      </ns0:c>
      <ns0:c r="L479" t="str" s="13">
        <ns0:v>R</ns0:v>
      </ns0:c>
      <ns0:c r="M479" t="str" s="13">
        <ns0:v>Symbols\MY_LIB_Resistors.SchLib</ns0:v>
      </ns0:c>
      <ns0:c r="N479" t="str" s="13">
        <ns0:v>RESC2012X70N</ns0:v>
      </ns0:c>
      <ns0:c r="O479" t="str" s="13">
        <ns0:v>Footprints\PBL - SMD Packages.PcbLib</ns0:v>
      </ns0:c>
      <ns0:c xmlns:ns0="http://schemas.openxmlformats.org/spreadsheetml/2006/main" r="P47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79" s="10"/>
      <ns0:c r="R479" t="str" s="11">
        <ns0:f>D479</ns0:f>
        <ns0:v>47 Ом</ns0:v>
      </ns0:c>
      <ns0:c r="S479" t="str" s="11">
        <ns0:f>K479</ns0:f>
        <ns0:v>Резистор 47 Ом ±1% 0805</ns0:v>
      </ns0:c>
      <x:c xmlns:x="http://schemas.openxmlformats.org/spreadsheetml/2006/main" r="T479" t="str" s="11">
        <x:v>C:\Users\Nomatin\Documents\Altium\MY_LIB\MY_LIB\Datasheets\YAGEO_RC_L.pdf</x:v>
      </x:c>
      <x:c xmlns:x="http://schemas.openxmlformats.org/spreadsheetml/2006/main" r="U479" t="str" s="11">
        <x:v>Даташит — локальный</x:v>
      </x:c>
      <x:c xmlns:x="http://schemas.openxmlformats.org/spreadsheetml/2006/main" r="V479" t="str" s="11">
        <x:v>C:\Users\Nomatin\Documents\Altium\MY_LIB\MY_LIB\Datasheets\YAGEO_RC_L.pdf</x:v>
      </x:c>
      <x:c xmlns:x="http://schemas.openxmlformats.org/spreadsheetml/2006/main" r="W479" t="str" s="11">
        <x:v>Даташит — производитель</x:v>
      </x:c>
      <x:c xmlns:x="http://schemas.openxmlformats.org/spreadsheetml/2006/main" r="X479" t="str" s="11">
        <x:v>https://yageogroup.com/content/datasheet/asset/file/PYU-RC_GROUP_51_ROHS_L</x:v>
      </x:c>
      <x:c xmlns:x="http://schemas.openxmlformats.org/spreadsheetml/2006/main" r="Y479" t="str" s="11">
        <x:v>C:\Users\Nomatin\Documents\Altium\MY_LIB\MY_LIB\Datasheets\YAGEO_RC_L.pdf</x:v>
      </x:c>
      <ns0:c xmlns:ns0="http://schemas.openxmlformats.org/spreadsheetml/2006/main" r="Z479" s="16" t="inlineStr">
        <ns0:is>
          <ns0:t>MY_LIB_R_TCR</ns0:t>
        </ns0:is>
      </ns0:c>
      <ns0:c xmlns:ns0="http://schemas.openxmlformats.org/spreadsheetml/2006/main" r="AA479" s="16" t="inlineStr">
        <ns0:is>
          <ns0:t>R(T), +100 ppm/C at 25 C; positive datasheet limit</ns0:t>
        </ns0:is>
      </ns0:c>
      <ns0:c xmlns:ns0="http://schemas.openxmlformats.org/spreadsheetml/2006/main" r="AB479" s="16" t="str">
        <ns0:v>General</ns0:v>
      </ns0:c>
      <ns0:c xmlns:ns0="http://schemas.openxmlformats.org/spreadsheetml/2006/main" r="AC479" s="16" t="inlineStr">
        <ns0:is>
          <ns0:t>Spice Subcircuit</ns0:t>
        </ns0:is>
      </ns0:c>
      <ns0:c xmlns:ns0="http://schemas.openxmlformats.org/spreadsheetml/2006/main" r="AD479" s="16" t="inlineStr">
        <ns0:is>
          <ns0:t>@DESIGNATOR %1 %2 @MODEL PARAMS: Rvalue=@VALUE TC1value=100u</ns0:t>
        </ns0:is>
      </ns0:c>
      <ns0:c xmlns:ns0="http://schemas.openxmlformats.org/spreadsheetml/2006/main" r="AE479" s="16" t="inlineStr">
        <ns0:is>
          <ns0:t>X</ns0:t>
        </ns0:is>
      </ns0:c>
      <ns0:c xmlns:ns0="http://schemas.openxmlformats.org/spreadsheetml/2006/main" r="AF479" s="16" t="str">
        <ns0:v>(1:1),(2:2)</ns0:v>
      </ns0:c>
      <ns0:c xmlns:ns0="http://schemas.openxmlformats.org/spreadsheetml/2006/main" r="AG479" s="16" t="inlineStr">
        <ns0:is>
          <ns0:t>Simulation\Resistors\MY_LIB_R_TCR.ckt</ns0:t>
        </ns0:is>
      </ns0:c>
      <ns0:c xmlns:ns0="http://schemas.openxmlformats.org/spreadsheetml/2006/main" r="AH479" s="16" t="inlineStr">
        <ns0:is>
          <ns0:t>±100 ppm/°C</ns0:t>
        </ns0:is>
      </ns0:c>
    </ns0:row>
    <ns0:row xmlns:ns0="http://schemas.openxmlformats.org/spreadsheetml/2006/main" r="480" ht="30" customHeight="1">
      <ns0:c r="A480" t="str" s="10">
        <ns0:v>R0486</ns0:v>
      </ns0:c>
      <ns0:c r="B480" t="str" s="10">
        <ns0:v>Резистор</ns0:v>
      </ns0:c>
      <ns0:c r="C480" t="str" s="10">
        <ns0:v>51R</ns0:v>
      </ns0:c>
      <ns0:c r="D480" t="str" s="11">
        <ns0:f>SUBSTITUTE(SUBSTITUTE(SUBSTITUTE(SUBSTITUTE(C480,"meg"," МОм"),"k"," кОм"),"R"," Ом"),".",",")</ns0:f>
        <ns0:v>51 Ом</ns0:v>
      </ns0:c>
      <ns0:c r="E480" t="str" s="10">
        <ns0:v>±1%</ns0:v>
      </ns0:c>
      <ns0:c r="F480" t="str" s="10">
        <ns0:v>0,125 Вт</ns0:v>
      </ns0:c>
      <ns0:c r="G480" t="str" s="10">
        <ns0:v>150 В макс.</ns0:v>
      </ns0:c>
      <ns0:c r="H480" t="str" s="12">
        <ns0:v>0805</ns0:v>
      </ns0:c>
      <ns0:c r="I480" t="str" s="10">
        <ns0:v>YAGEO</ns0:v>
      </ns0:c>
      <ns0:c r="J480" t="str" s="10">
        <ns0:v>RC0805FR-0751RL</ns0:v>
      </ns0:c>
      <ns0:c r="K480" t="str" s="11">
        <ns0:f>B480&amp;" "&amp;D480&amp;" "&amp;E480&amp;" "&amp;H480</ns0:f>
        <ns0:v>Резистор 51 Ом ±1% 0805</ns0:v>
      </ns0:c>
      <ns0:c r="L480" t="str" s="13">
        <ns0:v>R</ns0:v>
      </ns0:c>
      <ns0:c r="M480" t="str" s="13">
        <ns0:v>Symbols\MY_LIB_Resistors.SchLib</ns0:v>
      </ns0:c>
      <ns0:c r="N480" t="str" s="13">
        <ns0:v>RESC2012X70N</ns0:v>
      </ns0:c>
      <ns0:c r="O480" t="str" s="13">
        <ns0:v>Footprints\PBL - SMD Packages.PcbLib</ns0:v>
      </ns0:c>
      <ns0:c xmlns:ns0="http://schemas.openxmlformats.org/spreadsheetml/2006/main" r="P48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0" s="10"/>
      <ns0:c r="R480" t="str" s="11">
        <ns0:f>D480</ns0:f>
        <ns0:v>51 Ом</ns0:v>
      </ns0:c>
      <ns0:c r="S480" t="str" s="11">
        <ns0:f>K480</ns0:f>
        <ns0:v>Резистор 51 Ом ±1% 0805</ns0:v>
      </ns0:c>
      <x:c xmlns:x="http://schemas.openxmlformats.org/spreadsheetml/2006/main" r="T480" t="str" s="11">
        <x:v>C:\Users\Nomatin\Documents\Altium\MY_LIB\MY_LIB\Datasheets\YAGEO_RC_L.pdf</x:v>
      </x:c>
      <x:c xmlns:x="http://schemas.openxmlformats.org/spreadsheetml/2006/main" r="U480" t="str" s="11">
        <x:v>Даташит — локальный</x:v>
      </x:c>
      <x:c xmlns:x="http://schemas.openxmlformats.org/spreadsheetml/2006/main" r="V480" t="str" s="11">
        <x:v>C:\Users\Nomatin\Documents\Altium\MY_LIB\MY_LIB\Datasheets\YAGEO_RC_L.pdf</x:v>
      </x:c>
      <x:c xmlns:x="http://schemas.openxmlformats.org/spreadsheetml/2006/main" r="W480" t="str" s="11">
        <x:v>Даташит — производитель</x:v>
      </x:c>
      <x:c xmlns:x="http://schemas.openxmlformats.org/spreadsheetml/2006/main" r="X480" t="str" s="11">
        <x:v>https://yageogroup.com/content/datasheet/asset/file/PYU-RC_GROUP_51_ROHS_L</x:v>
      </x:c>
      <x:c xmlns:x="http://schemas.openxmlformats.org/spreadsheetml/2006/main" r="Y480" t="str" s="11">
        <x:v>C:\Users\Nomatin\Documents\Altium\MY_LIB\MY_LIB\Datasheets\YAGEO_RC_L.pdf</x:v>
      </x:c>
      <ns0:c xmlns:ns0="http://schemas.openxmlformats.org/spreadsheetml/2006/main" r="Z480" s="16" t="inlineStr">
        <ns0:is>
          <ns0:t>MY_LIB_R_TCR</ns0:t>
        </ns0:is>
      </ns0:c>
      <ns0:c xmlns:ns0="http://schemas.openxmlformats.org/spreadsheetml/2006/main" r="AA480" s="16" t="inlineStr">
        <ns0:is>
          <ns0:t>R(T), +100 ppm/C at 25 C; positive datasheet limit</ns0:t>
        </ns0:is>
      </ns0:c>
      <ns0:c xmlns:ns0="http://schemas.openxmlformats.org/spreadsheetml/2006/main" r="AB480" s="16" t="str">
        <ns0:v>General</ns0:v>
      </ns0:c>
      <ns0:c xmlns:ns0="http://schemas.openxmlformats.org/spreadsheetml/2006/main" r="AC480" s="16" t="inlineStr">
        <ns0:is>
          <ns0:t>Spice Subcircuit</ns0:t>
        </ns0:is>
      </ns0:c>
      <ns0:c xmlns:ns0="http://schemas.openxmlformats.org/spreadsheetml/2006/main" r="AD480" s="16" t="inlineStr">
        <ns0:is>
          <ns0:t>@DESIGNATOR %1 %2 @MODEL PARAMS: Rvalue=@VALUE TC1value=100u</ns0:t>
        </ns0:is>
      </ns0:c>
      <ns0:c xmlns:ns0="http://schemas.openxmlformats.org/spreadsheetml/2006/main" r="AE480" s="16" t="inlineStr">
        <ns0:is>
          <ns0:t>X</ns0:t>
        </ns0:is>
      </ns0:c>
      <ns0:c xmlns:ns0="http://schemas.openxmlformats.org/spreadsheetml/2006/main" r="AF480" s="16" t="str">
        <ns0:v>(1:1),(2:2)</ns0:v>
      </ns0:c>
      <ns0:c xmlns:ns0="http://schemas.openxmlformats.org/spreadsheetml/2006/main" r="AG480" s="16" t="inlineStr">
        <ns0:is>
          <ns0:t>Simulation\Resistors\MY_LIB_R_TCR.ckt</ns0:t>
        </ns0:is>
      </ns0:c>
      <ns0:c xmlns:ns0="http://schemas.openxmlformats.org/spreadsheetml/2006/main" r="AH480" s="16" t="inlineStr">
        <ns0:is>
          <ns0:t>±100 ppm/°C</ns0:t>
        </ns0:is>
      </ns0:c>
    </ns0:row>
    <ns0:row xmlns:ns0="http://schemas.openxmlformats.org/spreadsheetml/2006/main" r="481" ht="30" customHeight="1">
      <ns0:c r="A481" t="str" s="10">
        <ns0:v>R0487</ns0:v>
      </ns0:c>
      <ns0:c r="B481" t="str" s="10">
        <ns0:v>Резистор</ns0:v>
      </ns0:c>
      <ns0:c r="C481" t="str" s="10">
        <ns0:v>56R</ns0:v>
      </ns0:c>
      <ns0:c r="D481" t="str" s="11">
        <ns0:f>SUBSTITUTE(SUBSTITUTE(SUBSTITUTE(SUBSTITUTE(C481,"meg"," МОм"),"k"," кОм"),"R"," Ом"),".",",")</ns0:f>
        <ns0:v>56 Ом</ns0:v>
      </ns0:c>
      <ns0:c r="E481" t="str" s="10">
        <ns0:v>±1%</ns0:v>
      </ns0:c>
      <ns0:c r="F481" t="str" s="10">
        <ns0:v>0,125 Вт</ns0:v>
      </ns0:c>
      <ns0:c r="G481" t="str" s="10">
        <ns0:v>150 В макс.</ns0:v>
      </ns0:c>
      <ns0:c r="H481" t="str" s="12">
        <ns0:v>0805</ns0:v>
      </ns0:c>
      <ns0:c r="I481" t="str" s="10">
        <ns0:v>YAGEO</ns0:v>
      </ns0:c>
      <ns0:c r="J481" t="str" s="10">
        <ns0:v>RC0805FR-0756RL</ns0:v>
      </ns0:c>
      <ns0:c r="K481" t="str" s="11">
        <ns0:f>B481&amp;" "&amp;D481&amp;" "&amp;E481&amp;" "&amp;H481</ns0:f>
        <ns0:v>Резистор 56 Ом ±1% 0805</ns0:v>
      </ns0:c>
      <ns0:c r="L481" t="str" s="13">
        <ns0:v>R</ns0:v>
      </ns0:c>
      <ns0:c r="M481" t="str" s="13">
        <ns0:v>Symbols\MY_LIB_Resistors.SchLib</ns0:v>
      </ns0:c>
      <ns0:c r="N481" t="str" s="13">
        <ns0:v>RESC2012X70N</ns0:v>
      </ns0:c>
      <ns0:c r="O481" t="str" s="13">
        <ns0:v>Footprints\PBL - SMD Packages.PcbLib</ns0:v>
      </ns0:c>
      <ns0:c xmlns:ns0="http://schemas.openxmlformats.org/spreadsheetml/2006/main" r="P48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1" s="10"/>
      <ns0:c r="R481" t="str" s="11">
        <ns0:f>D481</ns0:f>
        <ns0:v>56 Ом</ns0:v>
      </ns0:c>
      <ns0:c r="S481" t="str" s="11">
        <ns0:f>K481</ns0:f>
        <ns0:v>Резистор 56 Ом ±1% 0805</ns0:v>
      </ns0:c>
      <x:c xmlns:x="http://schemas.openxmlformats.org/spreadsheetml/2006/main" r="T481" t="str" s="11">
        <x:v>C:\Users\Nomatin\Documents\Altium\MY_LIB\MY_LIB\Datasheets\YAGEO_RC_L.pdf</x:v>
      </x:c>
      <x:c xmlns:x="http://schemas.openxmlformats.org/spreadsheetml/2006/main" r="U481" t="str" s="11">
        <x:v>Даташит — локальный</x:v>
      </x:c>
      <x:c xmlns:x="http://schemas.openxmlformats.org/spreadsheetml/2006/main" r="V481" t="str" s="11">
        <x:v>C:\Users\Nomatin\Documents\Altium\MY_LIB\MY_LIB\Datasheets\YAGEO_RC_L.pdf</x:v>
      </x:c>
      <x:c xmlns:x="http://schemas.openxmlformats.org/spreadsheetml/2006/main" r="W481" t="str" s="11">
        <x:v>Даташит — производитель</x:v>
      </x:c>
      <x:c xmlns:x="http://schemas.openxmlformats.org/spreadsheetml/2006/main" r="X481" t="str" s="11">
        <x:v>https://yageogroup.com/content/datasheet/asset/file/PYU-RC_GROUP_51_ROHS_L</x:v>
      </x:c>
      <x:c xmlns:x="http://schemas.openxmlformats.org/spreadsheetml/2006/main" r="Y481" t="str" s="11">
        <x:v>C:\Users\Nomatin\Documents\Altium\MY_LIB\MY_LIB\Datasheets\YAGEO_RC_L.pdf</x:v>
      </x:c>
      <ns0:c xmlns:ns0="http://schemas.openxmlformats.org/spreadsheetml/2006/main" r="Z481" s="16" t="inlineStr">
        <ns0:is>
          <ns0:t>MY_LIB_R_TCR</ns0:t>
        </ns0:is>
      </ns0:c>
      <ns0:c xmlns:ns0="http://schemas.openxmlformats.org/spreadsheetml/2006/main" r="AA481" s="16" t="inlineStr">
        <ns0:is>
          <ns0:t>R(T), +100 ppm/C at 25 C; positive datasheet limit</ns0:t>
        </ns0:is>
      </ns0:c>
      <ns0:c xmlns:ns0="http://schemas.openxmlformats.org/spreadsheetml/2006/main" r="AB481" s="16" t="str">
        <ns0:v>General</ns0:v>
      </ns0:c>
      <ns0:c xmlns:ns0="http://schemas.openxmlformats.org/spreadsheetml/2006/main" r="AC481" s="16" t="inlineStr">
        <ns0:is>
          <ns0:t>Spice Subcircuit</ns0:t>
        </ns0:is>
      </ns0:c>
      <ns0:c xmlns:ns0="http://schemas.openxmlformats.org/spreadsheetml/2006/main" r="AD481" s="16" t="inlineStr">
        <ns0:is>
          <ns0:t>@DESIGNATOR %1 %2 @MODEL PARAMS: Rvalue=@VALUE TC1value=100u</ns0:t>
        </ns0:is>
      </ns0:c>
      <ns0:c xmlns:ns0="http://schemas.openxmlformats.org/spreadsheetml/2006/main" r="AE481" s="16" t="inlineStr">
        <ns0:is>
          <ns0:t>X</ns0:t>
        </ns0:is>
      </ns0:c>
      <ns0:c xmlns:ns0="http://schemas.openxmlformats.org/spreadsheetml/2006/main" r="AF481" s="16" t="str">
        <ns0:v>(1:1),(2:2)</ns0:v>
      </ns0:c>
      <ns0:c xmlns:ns0="http://schemas.openxmlformats.org/spreadsheetml/2006/main" r="AG481" s="16" t="inlineStr">
        <ns0:is>
          <ns0:t>Simulation\Resistors\MY_LIB_R_TCR.ckt</ns0:t>
        </ns0:is>
      </ns0:c>
      <ns0:c xmlns:ns0="http://schemas.openxmlformats.org/spreadsheetml/2006/main" r="AH481" s="16" t="inlineStr">
        <ns0:is>
          <ns0:t>±100 ppm/°C</ns0:t>
        </ns0:is>
      </ns0:c>
    </ns0:row>
    <ns0:row xmlns:ns0="http://schemas.openxmlformats.org/spreadsheetml/2006/main" r="482" ht="30" customHeight="1">
      <ns0:c r="A482" t="str" s="10">
        <ns0:v>R0488</ns0:v>
      </ns0:c>
      <ns0:c r="B482" t="str" s="10">
        <ns0:v>Резистор</ns0:v>
      </ns0:c>
      <ns0:c r="C482" t="str" s="10">
        <ns0:v>62R</ns0:v>
      </ns0:c>
      <ns0:c r="D482" t="str" s="11">
        <ns0:f>SUBSTITUTE(SUBSTITUTE(SUBSTITUTE(SUBSTITUTE(C482,"meg"," МОм"),"k"," кОм"),"R"," Ом"),".",",")</ns0:f>
        <ns0:v>62 Ом</ns0:v>
      </ns0:c>
      <ns0:c r="E482" t="str" s="10">
        <ns0:v>±1%</ns0:v>
      </ns0:c>
      <ns0:c r="F482" t="str" s="10">
        <ns0:v>0,125 Вт</ns0:v>
      </ns0:c>
      <ns0:c r="G482" t="str" s="10">
        <ns0:v>150 В макс.</ns0:v>
      </ns0:c>
      <ns0:c r="H482" t="str" s="12">
        <ns0:v>0805</ns0:v>
      </ns0:c>
      <ns0:c r="I482" t="str" s="10">
        <ns0:v>YAGEO</ns0:v>
      </ns0:c>
      <ns0:c r="J482" t="str" s="10">
        <ns0:v>RC0805FR-0762RL</ns0:v>
      </ns0:c>
      <ns0:c r="K482" t="str" s="11">
        <ns0:f>B482&amp;" "&amp;D482&amp;" "&amp;E482&amp;" "&amp;H482</ns0:f>
        <ns0:v>Резистор 62 Ом ±1% 0805</ns0:v>
      </ns0:c>
      <ns0:c r="L482" t="str" s="13">
        <ns0:v>R</ns0:v>
      </ns0:c>
      <ns0:c r="M482" t="str" s="13">
        <ns0:v>Symbols\MY_LIB_Resistors.SchLib</ns0:v>
      </ns0:c>
      <ns0:c r="N482" t="str" s="13">
        <ns0:v>RESC2012X70N</ns0:v>
      </ns0:c>
      <ns0:c r="O482" t="str" s="13">
        <ns0:v>Footprints\PBL - SMD Packages.PcbLib</ns0:v>
      </ns0:c>
      <ns0:c xmlns:ns0="http://schemas.openxmlformats.org/spreadsheetml/2006/main" r="P48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2" s="10"/>
      <ns0:c r="R482" t="str" s="11">
        <ns0:f>D482</ns0:f>
        <ns0:v>62 Ом</ns0:v>
      </ns0:c>
      <ns0:c r="S482" t="str" s="11">
        <ns0:f>K482</ns0:f>
        <ns0:v>Резистор 62 Ом ±1% 0805</ns0:v>
      </ns0:c>
      <x:c xmlns:x="http://schemas.openxmlformats.org/spreadsheetml/2006/main" r="T482" t="str" s="11">
        <x:v>C:\Users\Nomatin\Documents\Altium\MY_LIB\MY_LIB\Datasheets\YAGEO_RC_L.pdf</x:v>
      </x:c>
      <x:c xmlns:x="http://schemas.openxmlformats.org/spreadsheetml/2006/main" r="U482" t="str" s="11">
        <x:v>Даташит — локальный</x:v>
      </x:c>
      <x:c xmlns:x="http://schemas.openxmlformats.org/spreadsheetml/2006/main" r="V482" t="str" s="11">
        <x:v>C:\Users\Nomatin\Documents\Altium\MY_LIB\MY_LIB\Datasheets\YAGEO_RC_L.pdf</x:v>
      </x:c>
      <x:c xmlns:x="http://schemas.openxmlformats.org/spreadsheetml/2006/main" r="W482" t="str" s="11">
        <x:v>Даташит — производитель</x:v>
      </x:c>
      <x:c xmlns:x="http://schemas.openxmlformats.org/spreadsheetml/2006/main" r="X482" t="str" s="11">
        <x:v>https://yageogroup.com/content/datasheet/asset/file/PYU-RC_GROUP_51_ROHS_L</x:v>
      </x:c>
      <x:c xmlns:x="http://schemas.openxmlformats.org/spreadsheetml/2006/main" r="Y482" t="str" s="11">
        <x:v>C:\Users\Nomatin\Documents\Altium\MY_LIB\MY_LIB\Datasheets\YAGEO_RC_L.pdf</x:v>
      </x:c>
      <ns0:c xmlns:ns0="http://schemas.openxmlformats.org/spreadsheetml/2006/main" r="Z482" s="16" t="inlineStr">
        <ns0:is>
          <ns0:t>MY_LIB_R_TCR</ns0:t>
        </ns0:is>
      </ns0:c>
      <ns0:c xmlns:ns0="http://schemas.openxmlformats.org/spreadsheetml/2006/main" r="AA482" s="16" t="inlineStr">
        <ns0:is>
          <ns0:t>R(T), +100 ppm/C at 25 C; positive datasheet limit</ns0:t>
        </ns0:is>
      </ns0:c>
      <ns0:c xmlns:ns0="http://schemas.openxmlformats.org/spreadsheetml/2006/main" r="AB482" s="16" t="str">
        <ns0:v>General</ns0:v>
      </ns0:c>
      <ns0:c xmlns:ns0="http://schemas.openxmlformats.org/spreadsheetml/2006/main" r="AC482" s="16" t="inlineStr">
        <ns0:is>
          <ns0:t>Spice Subcircuit</ns0:t>
        </ns0:is>
      </ns0:c>
      <ns0:c xmlns:ns0="http://schemas.openxmlformats.org/spreadsheetml/2006/main" r="AD482" s="16" t="inlineStr">
        <ns0:is>
          <ns0:t>@DESIGNATOR %1 %2 @MODEL PARAMS: Rvalue=@VALUE TC1value=100u</ns0:t>
        </ns0:is>
      </ns0:c>
      <ns0:c xmlns:ns0="http://schemas.openxmlformats.org/spreadsheetml/2006/main" r="AE482" s="16" t="inlineStr">
        <ns0:is>
          <ns0:t>X</ns0:t>
        </ns0:is>
      </ns0:c>
      <ns0:c xmlns:ns0="http://schemas.openxmlformats.org/spreadsheetml/2006/main" r="AF482" s="16" t="str">
        <ns0:v>(1:1),(2:2)</ns0:v>
      </ns0:c>
      <ns0:c xmlns:ns0="http://schemas.openxmlformats.org/spreadsheetml/2006/main" r="AG482" s="16" t="inlineStr">
        <ns0:is>
          <ns0:t>Simulation\Resistors\MY_LIB_R_TCR.ckt</ns0:t>
        </ns0:is>
      </ns0:c>
      <ns0:c xmlns:ns0="http://schemas.openxmlformats.org/spreadsheetml/2006/main" r="AH482" s="16" t="inlineStr">
        <ns0:is>
          <ns0:t>±100 ppm/°C</ns0:t>
        </ns0:is>
      </ns0:c>
    </ns0:row>
    <ns0:row xmlns:ns0="http://schemas.openxmlformats.org/spreadsheetml/2006/main" r="483" ht="30" customHeight="1">
      <ns0:c r="A483" t="str" s="10">
        <ns0:v>R0489</ns0:v>
      </ns0:c>
      <ns0:c r="B483" t="str" s="10">
        <ns0:v>Резистор</ns0:v>
      </ns0:c>
      <ns0:c r="C483" t="str" s="10">
        <ns0:v>68R</ns0:v>
      </ns0:c>
      <ns0:c r="D483" t="str" s="11">
        <ns0:f>SUBSTITUTE(SUBSTITUTE(SUBSTITUTE(SUBSTITUTE(C483,"meg"," МОм"),"k"," кОм"),"R"," Ом"),".",",")</ns0:f>
        <ns0:v>68 Ом</ns0:v>
      </ns0:c>
      <ns0:c r="E483" t="str" s="10">
        <ns0:v>±1%</ns0:v>
      </ns0:c>
      <ns0:c r="F483" t="str" s="10">
        <ns0:v>0,125 Вт</ns0:v>
      </ns0:c>
      <ns0:c r="G483" t="str" s="10">
        <ns0:v>150 В макс.</ns0:v>
      </ns0:c>
      <ns0:c r="H483" t="str" s="12">
        <ns0:v>0805</ns0:v>
      </ns0:c>
      <ns0:c r="I483" t="str" s="10">
        <ns0:v>YAGEO</ns0:v>
      </ns0:c>
      <ns0:c r="J483" t="str" s="10">
        <ns0:v>RC0805FR-0768RL</ns0:v>
      </ns0:c>
      <ns0:c r="K483" t="str" s="11">
        <ns0:f>B483&amp;" "&amp;D483&amp;" "&amp;E483&amp;" "&amp;H483</ns0:f>
        <ns0:v>Резистор 68 Ом ±1% 0805</ns0:v>
      </ns0:c>
      <ns0:c r="L483" t="str" s="13">
        <ns0:v>R</ns0:v>
      </ns0:c>
      <ns0:c r="M483" t="str" s="13">
        <ns0:v>Symbols\MY_LIB_Resistors.SchLib</ns0:v>
      </ns0:c>
      <ns0:c r="N483" t="str" s="13">
        <ns0:v>RESC2012X70N</ns0:v>
      </ns0:c>
      <ns0:c r="O483" t="str" s="13">
        <ns0:v>Footprints\PBL - SMD Packages.PcbLib</ns0:v>
      </ns0:c>
      <ns0:c xmlns:ns0="http://schemas.openxmlformats.org/spreadsheetml/2006/main" r="P48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3" s="10"/>
      <ns0:c r="R483" t="str" s="11">
        <ns0:f>D483</ns0:f>
        <ns0:v>68 Ом</ns0:v>
      </ns0:c>
      <ns0:c r="S483" t="str" s="11">
        <ns0:f>K483</ns0:f>
        <ns0:v>Резистор 68 Ом ±1% 0805</ns0:v>
      </ns0:c>
      <x:c xmlns:x="http://schemas.openxmlformats.org/spreadsheetml/2006/main" r="T483" t="str" s="11">
        <x:v>C:\Users\Nomatin\Documents\Altium\MY_LIB\MY_LIB\Datasheets\YAGEO_RC_L.pdf</x:v>
      </x:c>
      <x:c xmlns:x="http://schemas.openxmlformats.org/spreadsheetml/2006/main" r="U483" t="str" s="11">
        <x:v>Даташит — локальный</x:v>
      </x:c>
      <x:c xmlns:x="http://schemas.openxmlformats.org/spreadsheetml/2006/main" r="V483" t="str" s="11">
        <x:v>C:\Users\Nomatin\Documents\Altium\MY_LIB\MY_LIB\Datasheets\YAGEO_RC_L.pdf</x:v>
      </x:c>
      <x:c xmlns:x="http://schemas.openxmlformats.org/spreadsheetml/2006/main" r="W483" t="str" s="11">
        <x:v>Даташит — производитель</x:v>
      </x:c>
      <x:c xmlns:x="http://schemas.openxmlformats.org/spreadsheetml/2006/main" r="X483" t="str" s="11">
        <x:v>https://yageogroup.com/content/datasheet/asset/file/PYU-RC_GROUP_51_ROHS_L</x:v>
      </x:c>
      <x:c xmlns:x="http://schemas.openxmlformats.org/spreadsheetml/2006/main" r="Y483" t="str" s="11">
        <x:v>C:\Users\Nomatin\Documents\Altium\MY_LIB\MY_LIB\Datasheets\YAGEO_RC_L.pdf</x:v>
      </x:c>
      <ns0:c xmlns:ns0="http://schemas.openxmlformats.org/spreadsheetml/2006/main" r="Z483" s="16" t="inlineStr">
        <ns0:is>
          <ns0:t>MY_LIB_R_TCR</ns0:t>
        </ns0:is>
      </ns0:c>
      <ns0:c xmlns:ns0="http://schemas.openxmlformats.org/spreadsheetml/2006/main" r="AA483" s="16" t="inlineStr">
        <ns0:is>
          <ns0:t>R(T), +100 ppm/C at 25 C; positive datasheet limit</ns0:t>
        </ns0:is>
      </ns0:c>
      <ns0:c xmlns:ns0="http://schemas.openxmlformats.org/spreadsheetml/2006/main" r="AB483" s="16" t="str">
        <ns0:v>General</ns0:v>
      </ns0:c>
      <ns0:c xmlns:ns0="http://schemas.openxmlformats.org/spreadsheetml/2006/main" r="AC483" s="16" t="inlineStr">
        <ns0:is>
          <ns0:t>Spice Subcircuit</ns0:t>
        </ns0:is>
      </ns0:c>
      <ns0:c xmlns:ns0="http://schemas.openxmlformats.org/spreadsheetml/2006/main" r="AD483" s="16" t="inlineStr">
        <ns0:is>
          <ns0:t>@DESIGNATOR %1 %2 @MODEL PARAMS: Rvalue=@VALUE TC1value=100u</ns0:t>
        </ns0:is>
      </ns0:c>
      <ns0:c xmlns:ns0="http://schemas.openxmlformats.org/spreadsheetml/2006/main" r="AE483" s="16" t="inlineStr">
        <ns0:is>
          <ns0:t>X</ns0:t>
        </ns0:is>
      </ns0:c>
      <ns0:c xmlns:ns0="http://schemas.openxmlformats.org/spreadsheetml/2006/main" r="AF483" s="16" t="str">
        <ns0:v>(1:1),(2:2)</ns0:v>
      </ns0:c>
      <ns0:c xmlns:ns0="http://schemas.openxmlformats.org/spreadsheetml/2006/main" r="AG483" s="16" t="inlineStr">
        <ns0:is>
          <ns0:t>Simulation\Resistors\MY_LIB_R_TCR.ckt</ns0:t>
        </ns0:is>
      </ns0:c>
      <ns0:c xmlns:ns0="http://schemas.openxmlformats.org/spreadsheetml/2006/main" r="AH483" s="16" t="inlineStr">
        <ns0:is>
          <ns0:t>±100 ppm/°C</ns0:t>
        </ns0:is>
      </ns0:c>
    </ns0:row>
    <ns0:row xmlns:ns0="http://schemas.openxmlformats.org/spreadsheetml/2006/main" r="484" ht="30" customHeight="1">
      <ns0:c r="A484" t="str" s="10">
        <ns0:v>R0490</ns0:v>
      </ns0:c>
      <ns0:c r="B484" t="str" s="10">
        <ns0:v>Резистор</ns0:v>
      </ns0:c>
      <ns0:c r="C484" t="str" s="10">
        <ns0:v>75R</ns0:v>
      </ns0:c>
      <ns0:c r="D484" t="str" s="11">
        <ns0:f>SUBSTITUTE(SUBSTITUTE(SUBSTITUTE(SUBSTITUTE(C484,"meg"," МОм"),"k"," кОм"),"R"," Ом"),".",",")</ns0:f>
        <ns0:v>75 Ом</ns0:v>
      </ns0:c>
      <ns0:c r="E484" t="str" s="10">
        <ns0:v>±1%</ns0:v>
      </ns0:c>
      <ns0:c r="F484" t="str" s="10">
        <ns0:v>0,125 Вт</ns0:v>
      </ns0:c>
      <ns0:c r="G484" t="str" s="10">
        <ns0:v>150 В макс.</ns0:v>
      </ns0:c>
      <ns0:c r="H484" t="str" s="12">
        <ns0:v>0805</ns0:v>
      </ns0:c>
      <ns0:c r="I484" t="str" s="10">
        <ns0:v>YAGEO</ns0:v>
      </ns0:c>
      <ns0:c r="J484" t="str" s="10">
        <ns0:v>RC0805FR-0775RL</ns0:v>
      </ns0:c>
      <ns0:c r="K484" t="str" s="11">
        <ns0:f>B484&amp;" "&amp;D484&amp;" "&amp;E484&amp;" "&amp;H484</ns0:f>
        <ns0:v>Резистор 75 Ом ±1% 0805</ns0:v>
      </ns0:c>
      <ns0:c r="L484" t="str" s="13">
        <ns0:v>R</ns0:v>
      </ns0:c>
      <ns0:c r="M484" t="str" s="13">
        <ns0:v>Symbols\MY_LIB_Resistors.SchLib</ns0:v>
      </ns0:c>
      <ns0:c r="N484" t="str" s="13">
        <ns0:v>RESC2012X70N</ns0:v>
      </ns0:c>
      <ns0:c r="O484" t="str" s="13">
        <ns0:v>Footprints\PBL - SMD Packages.PcbLib</ns0:v>
      </ns0:c>
      <ns0:c xmlns:ns0="http://schemas.openxmlformats.org/spreadsheetml/2006/main" r="P48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4" s="10"/>
      <ns0:c r="R484" t="str" s="11">
        <ns0:f>D484</ns0:f>
        <ns0:v>75 Ом</ns0:v>
      </ns0:c>
      <ns0:c r="S484" t="str" s="11">
        <ns0:f>K484</ns0:f>
        <ns0:v>Резистор 75 Ом ±1% 0805</ns0:v>
      </ns0:c>
      <x:c xmlns:x="http://schemas.openxmlformats.org/spreadsheetml/2006/main" r="T484" t="str" s="11">
        <x:v>C:\Users\Nomatin\Documents\Altium\MY_LIB\MY_LIB\Datasheets\YAGEO_RC_L.pdf</x:v>
      </x:c>
      <x:c xmlns:x="http://schemas.openxmlformats.org/spreadsheetml/2006/main" r="U484" t="str" s="11">
        <x:v>Даташит — локальный</x:v>
      </x:c>
      <x:c xmlns:x="http://schemas.openxmlformats.org/spreadsheetml/2006/main" r="V484" t="str" s="11">
        <x:v>C:\Users\Nomatin\Documents\Altium\MY_LIB\MY_LIB\Datasheets\YAGEO_RC_L.pdf</x:v>
      </x:c>
      <x:c xmlns:x="http://schemas.openxmlformats.org/spreadsheetml/2006/main" r="W484" t="str" s="11">
        <x:v>Даташит — производитель</x:v>
      </x:c>
      <x:c xmlns:x="http://schemas.openxmlformats.org/spreadsheetml/2006/main" r="X484" t="str" s="11">
        <x:v>https://yageogroup.com/content/datasheet/asset/file/PYU-RC_GROUP_51_ROHS_L</x:v>
      </x:c>
      <x:c xmlns:x="http://schemas.openxmlformats.org/spreadsheetml/2006/main" r="Y484" t="str" s="11">
        <x:v>C:\Users\Nomatin\Documents\Altium\MY_LIB\MY_LIB\Datasheets\YAGEO_RC_L.pdf</x:v>
      </x:c>
      <ns0:c xmlns:ns0="http://schemas.openxmlformats.org/spreadsheetml/2006/main" r="Z484" s="16" t="inlineStr">
        <ns0:is>
          <ns0:t>MY_LIB_R_TCR</ns0:t>
        </ns0:is>
      </ns0:c>
      <ns0:c xmlns:ns0="http://schemas.openxmlformats.org/spreadsheetml/2006/main" r="AA484" s="16" t="inlineStr">
        <ns0:is>
          <ns0:t>R(T), +100 ppm/C at 25 C; positive datasheet limit</ns0:t>
        </ns0:is>
      </ns0:c>
      <ns0:c xmlns:ns0="http://schemas.openxmlformats.org/spreadsheetml/2006/main" r="AB484" s="16" t="str">
        <ns0:v>General</ns0:v>
      </ns0:c>
      <ns0:c xmlns:ns0="http://schemas.openxmlformats.org/spreadsheetml/2006/main" r="AC484" s="16" t="inlineStr">
        <ns0:is>
          <ns0:t>Spice Subcircuit</ns0:t>
        </ns0:is>
      </ns0:c>
      <ns0:c xmlns:ns0="http://schemas.openxmlformats.org/spreadsheetml/2006/main" r="AD484" s="16" t="inlineStr">
        <ns0:is>
          <ns0:t>@DESIGNATOR %1 %2 @MODEL PARAMS: Rvalue=@VALUE TC1value=100u</ns0:t>
        </ns0:is>
      </ns0:c>
      <ns0:c xmlns:ns0="http://schemas.openxmlformats.org/spreadsheetml/2006/main" r="AE484" s="16" t="inlineStr">
        <ns0:is>
          <ns0:t>X</ns0:t>
        </ns0:is>
      </ns0:c>
      <ns0:c xmlns:ns0="http://schemas.openxmlformats.org/spreadsheetml/2006/main" r="AF484" s="16" t="str">
        <ns0:v>(1:1),(2:2)</ns0:v>
      </ns0:c>
      <ns0:c xmlns:ns0="http://schemas.openxmlformats.org/spreadsheetml/2006/main" r="AG484" s="16" t="inlineStr">
        <ns0:is>
          <ns0:t>Simulation\Resistors\MY_LIB_R_TCR.ckt</ns0:t>
        </ns0:is>
      </ns0:c>
      <ns0:c xmlns:ns0="http://schemas.openxmlformats.org/spreadsheetml/2006/main" r="AH484" s="16" t="inlineStr">
        <ns0:is>
          <ns0:t>±100 ppm/°C</ns0:t>
        </ns0:is>
      </ns0:c>
    </ns0:row>
    <ns0:row xmlns:ns0="http://schemas.openxmlformats.org/spreadsheetml/2006/main" r="485" ht="30" customHeight="1">
      <ns0:c r="A485" t="str" s="10">
        <ns0:v>R0491</ns0:v>
      </ns0:c>
      <ns0:c r="B485" t="str" s="10">
        <ns0:v>Резистор</ns0:v>
      </ns0:c>
      <ns0:c r="C485" t="str" s="10">
        <ns0:v>82R</ns0:v>
      </ns0:c>
      <ns0:c r="D485" t="str" s="11">
        <ns0:f>SUBSTITUTE(SUBSTITUTE(SUBSTITUTE(SUBSTITUTE(C485,"meg"," МОм"),"k"," кОм"),"R"," Ом"),".",",")</ns0:f>
        <ns0:v>82 Ом</ns0:v>
      </ns0:c>
      <ns0:c r="E485" t="str" s="10">
        <ns0:v>±1%</ns0:v>
      </ns0:c>
      <ns0:c r="F485" t="str" s="10">
        <ns0:v>0,125 Вт</ns0:v>
      </ns0:c>
      <ns0:c r="G485" t="str" s="10">
        <ns0:v>150 В макс.</ns0:v>
      </ns0:c>
      <ns0:c r="H485" t="str" s="12">
        <ns0:v>0805</ns0:v>
      </ns0:c>
      <ns0:c r="I485" t="str" s="10">
        <ns0:v>YAGEO</ns0:v>
      </ns0:c>
      <ns0:c r="J485" t="str" s="10">
        <ns0:v>RC0805FR-0782RL</ns0:v>
      </ns0:c>
      <ns0:c r="K485" t="str" s="11">
        <ns0:f>B485&amp;" "&amp;D485&amp;" "&amp;E485&amp;" "&amp;H485</ns0:f>
        <ns0:v>Резистор 82 Ом ±1% 0805</ns0:v>
      </ns0:c>
      <ns0:c r="L485" t="str" s="13">
        <ns0:v>R</ns0:v>
      </ns0:c>
      <ns0:c r="M485" t="str" s="13">
        <ns0:v>Symbols\MY_LIB_Resistors.SchLib</ns0:v>
      </ns0:c>
      <ns0:c r="N485" t="str" s="13">
        <ns0:v>RESC2012X70N</ns0:v>
      </ns0:c>
      <ns0:c r="O485" t="str" s="13">
        <ns0:v>Footprints\PBL - SMD Packages.PcbLib</ns0:v>
      </ns0:c>
      <ns0:c xmlns:ns0="http://schemas.openxmlformats.org/spreadsheetml/2006/main" r="P48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5" s="10"/>
      <ns0:c r="R485" t="str" s="11">
        <ns0:f>D485</ns0:f>
        <ns0:v>82 Ом</ns0:v>
      </ns0:c>
      <ns0:c r="S485" t="str" s="11">
        <ns0:f>K485</ns0:f>
        <ns0:v>Резистор 82 Ом ±1% 0805</ns0:v>
      </ns0:c>
      <x:c xmlns:x="http://schemas.openxmlformats.org/spreadsheetml/2006/main" r="T485" t="str" s="11">
        <x:v>C:\Users\Nomatin\Documents\Altium\MY_LIB\MY_LIB\Datasheets\YAGEO_RC_L.pdf</x:v>
      </x:c>
      <x:c xmlns:x="http://schemas.openxmlformats.org/spreadsheetml/2006/main" r="U485" t="str" s="11">
        <x:v>Даташит — локальный</x:v>
      </x:c>
      <x:c xmlns:x="http://schemas.openxmlformats.org/spreadsheetml/2006/main" r="V485" t="str" s="11">
        <x:v>C:\Users\Nomatin\Documents\Altium\MY_LIB\MY_LIB\Datasheets\YAGEO_RC_L.pdf</x:v>
      </x:c>
      <x:c xmlns:x="http://schemas.openxmlformats.org/spreadsheetml/2006/main" r="W485" t="str" s="11">
        <x:v>Даташит — производитель</x:v>
      </x:c>
      <x:c xmlns:x="http://schemas.openxmlformats.org/spreadsheetml/2006/main" r="X485" t="str" s="11">
        <x:v>https://yageogroup.com/content/datasheet/asset/file/PYU-RC_GROUP_51_ROHS_L</x:v>
      </x:c>
      <x:c xmlns:x="http://schemas.openxmlformats.org/spreadsheetml/2006/main" r="Y485" t="str" s="11">
        <x:v>C:\Users\Nomatin\Documents\Altium\MY_LIB\MY_LIB\Datasheets\YAGEO_RC_L.pdf</x:v>
      </x:c>
      <ns0:c xmlns:ns0="http://schemas.openxmlformats.org/spreadsheetml/2006/main" r="Z485" s="16" t="inlineStr">
        <ns0:is>
          <ns0:t>MY_LIB_R_TCR</ns0:t>
        </ns0:is>
      </ns0:c>
      <ns0:c xmlns:ns0="http://schemas.openxmlformats.org/spreadsheetml/2006/main" r="AA485" s="16" t="inlineStr">
        <ns0:is>
          <ns0:t>R(T), +100 ppm/C at 25 C; positive datasheet limit</ns0:t>
        </ns0:is>
      </ns0:c>
      <ns0:c xmlns:ns0="http://schemas.openxmlformats.org/spreadsheetml/2006/main" r="AB485" s="16" t="str">
        <ns0:v>General</ns0:v>
      </ns0:c>
      <ns0:c xmlns:ns0="http://schemas.openxmlformats.org/spreadsheetml/2006/main" r="AC485" s="16" t="inlineStr">
        <ns0:is>
          <ns0:t>Spice Subcircuit</ns0:t>
        </ns0:is>
      </ns0:c>
      <ns0:c xmlns:ns0="http://schemas.openxmlformats.org/spreadsheetml/2006/main" r="AD485" s="16" t="inlineStr">
        <ns0:is>
          <ns0:t>@DESIGNATOR %1 %2 @MODEL PARAMS: Rvalue=@VALUE TC1value=100u</ns0:t>
        </ns0:is>
      </ns0:c>
      <ns0:c xmlns:ns0="http://schemas.openxmlformats.org/spreadsheetml/2006/main" r="AE485" s="16" t="inlineStr">
        <ns0:is>
          <ns0:t>X</ns0:t>
        </ns0:is>
      </ns0:c>
      <ns0:c xmlns:ns0="http://schemas.openxmlformats.org/spreadsheetml/2006/main" r="AF485" s="16" t="str">
        <ns0:v>(1:1),(2:2)</ns0:v>
      </ns0:c>
      <ns0:c xmlns:ns0="http://schemas.openxmlformats.org/spreadsheetml/2006/main" r="AG485" s="16" t="inlineStr">
        <ns0:is>
          <ns0:t>Simulation\Resistors\MY_LIB_R_TCR.ckt</ns0:t>
        </ns0:is>
      </ns0:c>
      <ns0:c xmlns:ns0="http://schemas.openxmlformats.org/spreadsheetml/2006/main" r="AH485" s="16" t="inlineStr">
        <ns0:is>
          <ns0:t>±100 ppm/°C</ns0:t>
        </ns0:is>
      </ns0:c>
    </ns0:row>
    <ns0:row xmlns:ns0="http://schemas.openxmlformats.org/spreadsheetml/2006/main" r="486" ht="30" customHeight="1">
      <ns0:c r="A486" t="str" s="10">
        <ns0:v>R0492</ns0:v>
      </ns0:c>
      <ns0:c r="B486" t="str" s="10">
        <ns0:v>Резистор</ns0:v>
      </ns0:c>
      <ns0:c r="C486" t="str" s="10">
        <ns0:v>91R</ns0:v>
      </ns0:c>
      <ns0:c r="D486" t="str" s="11">
        <ns0:f>SUBSTITUTE(SUBSTITUTE(SUBSTITUTE(SUBSTITUTE(C486,"meg"," МОм"),"k"," кОм"),"R"," Ом"),".",",")</ns0:f>
        <ns0:v>91 Ом</ns0:v>
      </ns0:c>
      <ns0:c r="E486" t="str" s="10">
        <ns0:v>±1%</ns0:v>
      </ns0:c>
      <ns0:c r="F486" t="str" s="10">
        <ns0:v>0,125 Вт</ns0:v>
      </ns0:c>
      <ns0:c r="G486" t="str" s="10">
        <ns0:v>150 В макс.</ns0:v>
      </ns0:c>
      <ns0:c r="H486" t="str" s="12">
        <ns0:v>0805</ns0:v>
      </ns0:c>
      <ns0:c r="I486" t="str" s="10">
        <ns0:v>YAGEO</ns0:v>
      </ns0:c>
      <ns0:c r="J486" t="str" s="10">
        <ns0:v>RC0805FR-0791RL</ns0:v>
      </ns0:c>
      <ns0:c r="K486" t="str" s="11">
        <ns0:f>B486&amp;" "&amp;D486&amp;" "&amp;E486&amp;" "&amp;H486</ns0:f>
        <ns0:v>Резистор 91 Ом ±1% 0805</ns0:v>
      </ns0:c>
      <ns0:c r="L486" t="str" s="13">
        <ns0:v>R</ns0:v>
      </ns0:c>
      <ns0:c r="M486" t="str" s="13">
        <ns0:v>Symbols\MY_LIB_Resistors.SchLib</ns0:v>
      </ns0:c>
      <ns0:c r="N486" t="str" s="13">
        <ns0:v>RESC2012X70N</ns0:v>
      </ns0:c>
      <ns0:c r="O486" t="str" s="13">
        <ns0:v>Footprints\PBL - SMD Packages.PcbLib</ns0:v>
      </ns0:c>
      <ns0:c xmlns:ns0="http://schemas.openxmlformats.org/spreadsheetml/2006/main" r="P48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6" s="10"/>
      <ns0:c r="R486" t="str" s="11">
        <ns0:f>D486</ns0:f>
        <ns0:v>91 Ом</ns0:v>
      </ns0:c>
      <ns0:c r="S486" t="str" s="11">
        <ns0:f>K486</ns0:f>
        <ns0:v>Резистор 91 Ом ±1% 0805</ns0:v>
      </ns0:c>
      <x:c xmlns:x="http://schemas.openxmlformats.org/spreadsheetml/2006/main" r="T486" t="str" s="11">
        <x:v>C:\Users\Nomatin\Documents\Altium\MY_LIB\MY_LIB\Datasheets\YAGEO_RC_L.pdf</x:v>
      </x:c>
      <x:c xmlns:x="http://schemas.openxmlformats.org/spreadsheetml/2006/main" r="U486" t="str" s="11">
        <x:v>Даташит — локальный</x:v>
      </x:c>
      <x:c xmlns:x="http://schemas.openxmlformats.org/spreadsheetml/2006/main" r="V486" t="str" s="11">
        <x:v>C:\Users\Nomatin\Documents\Altium\MY_LIB\MY_LIB\Datasheets\YAGEO_RC_L.pdf</x:v>
      </x:c>
      <x:c xmlns:x="http://schemas.openxmlformats.org/spreadsheetml/2006/main" r="W486" t="str" s="11">
        <x:v>Даташит — производитель</x:v>
      </x:c>
      <x:c xmlns:x="http://schemas.openxmlformats.org/spreadsheetml/2006/main" r="X486" t="str" s="11">
        <x:v>https://yageogroup.com/content/datasheet/asset/file/PYU-RC_GROUP_51_ROHS_L</x:v>
      </x:c>
      <x:c xmlns:x="http://schemas.openxmlformats.org/spreadsheetml/2006/main" r="Y486" t="str" s="11">
        <x:v>C:\Users\Nomatin\Documents\Altium\MY_LIB\MY_LIB\Datasheets\YAGEO_RC_L.pdf</x:v>
      </x:c>
      <ns0:c xmlns:ns0="http://schemas.openxmlformats.org/spreadsheetml/2006/main" r="Z486" s="16" t="inlineStr">
        <ns0:is>
          <ns0:t>MY_LIB_R_TCR</ns0:t>
        </ns0:is>
      </ns0:c>
      <ns0:c xmlns:ns0="http://schemas.openxmlformats.org/spreadsheetml/2006/main" r="AA486" s="16" t="inlineStr">
        <ns0:is>
          <ns0:t>R(T), +100 ppm/C at 25 C; positive datasheet limit</ns0:t>
        </ns0:is>
      </ns0:c>
      <ns0:c xmlns:ns0="http://schemas.openxmlformats.org/spreadsheetml/2006/main" r="AB486" s="16" t="str">
        <ns0:v>General</ns0:v>
      </ns0:c>
      <ns0:c xmlns:ns0="http://schemas.openxmlformats.org/spreadsheetml/2006/main" r="AC486" s="16" t="inlineStr">
        <ns0:is>
          <ns0:t>Spice Subcircuit</ns0:t>
        </ns0:is>
      </ns0:c>
      <ns0:c xmlns:ns0="http://schemas.openxmlformats.org/spreadsheetml/2006/main" r="AD486" s="16" t="inlineStr">
        <ns0:is>
          <ns0:t>@DESIGNATOR %1 %2 @MODEL PARAMS: Rvalue=@VALUE TC1value=100u</ns0:t>
        </ns0:is>
      </ns0:c>
      <ns0:c xmlns:ns0="http://schemas.openxmlformats.org/spreadsheetml/2006/main" r="AE486" s="16" t="inlineStr">
        <ns0:is>
          <ns0:t>X</ns0:t>
        </ns0:is>
      </ns0:c>
      <ns0:c xmlns:ns0="http://schemas.openxmlformats.org/spreadsheetml/2006/main" r="AF486" s="16" t="str">
        <ns0:v>(1:1),(2:2)</ns0:v>
      </ns0:c>
      <ns0:c xmlns:ns0="http://schemas.openxmlformats.org/spreadsheetml/2006/main" r="AG486" s="16" t="inlineStr">
        <ns0:is>
          <ns0:t>Simulation\Resistors\MY_LIB_R_TCR.ckt</ns0:t>
        </ns0:is>
      </ns0:c>
      <ns0:c xmlns:ns0="http://schemas.openxmlformats.org/spreadsheetml/2006/main" r="AH486" s="16" t="inlineStr">
        <ns0:is>
          <ns0:t>±100 ppm/°C</ns0:t>
        </ns0:is>
      </ns0:c>
    </ns0:row>
    <ns0:row xmlns:ns0="http://schemas.openxmlformats.org/spreadsheetml/2006/main" r="487" ht="30" customHeight="1">
      <ns0:c r="A487" t="str" s="10">
        <ns0:v>R0493</ns0:v>
      </ns0:c>
      <ns0:c r="B487" t="str" s="10">
        <ns0:v>Резистор</ns0:v>
      </ns0:c>
      <ns0:c r="C487" t="str" s="10">
        <ns0:v>100R</ns0:v>
      </ns0:c>
      <ns0:c r="D487" t="str" s="11">
        <ns0:f>SUBSTITUTE(SUBSTITUTE(SUBSTITUTE(SUBSTITUTE(C487,"meg"," МОм"),"k"," кОм"),"R"," Ом"),".",",")</ns0:f>
        <ns0:v>100 Ом</ns0:v>
      </ns0:c>
      <ns0:c r="E487" t="str" s="10">
        <ns0:v>±1%</ns0:v>
      </ns0:c>
      <ns0:c r="F487" t="str" s="10">
        <ns0:v>0,125 Вт</ns0:v>
      </ns0:c>
      <ns0:c r="G487" t="str" s="10">
        <ns0:v>150 В макс.</ns0:v>
      </ns0:c>
      <ns0:c r="H487" t="str" s="12">
        <ns0:v>0805</ns0:v>
      </ns0:c>
      <ns0:c r="I487" t="str" s="10">
        <ns0:v>YAGEO</ns0:v>
      </ns0:c>
      <ns0:c r="J487" t="str" s="10">
        <ns0:v>RC0805FR-07100RL</ns0:v>
      </ns0:c>
      <ns0:c r="K487" t="str" s="11">
        <ns0:f>B487&amp;" "&amp;D487&amp;" "&amp;E487&amp;" "&amp;H487</ns0:f>
        <ns0:v>Резистор 100 Ом ±1% 0805</ns0:v>
      </ns0:c>
      <ns0:c r="L487" t="str" s="13">
        <ns0:v>R</ns0:v>
      </ns0:c>
      <ns0:c r="M487" t="str" s="13">
        <ns0:v>Symbols\MY_LIB_Resistors.SchLib</ns0:v>
      </ns0:c>
      <ns0:c r="N487" t="str" s="13">
        <ns0:v>RESC2012X70N</ns0:v>
      </ns0:c>
      <ns0:c r="O487" t="str" s="13">
        <ns0:v>Footprints\PBL - SMD Packages.PcbLib</ns0:v>
      </ns0:c>
      <ns0:c xmlns:ns0="http://schemas.openxmlformats.org/spreadsheetml/2006/main" r="P48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7" s="10"/>
      <ns0:c r="R487" t="str" s="11">
        <ns0:f>D487</ns0:f>
        <ns0:v>100 Ом</ns0:v>
      </ns0:c>
      <ns0:c r="S487" t="str" s="11">
        <ns0:f>K487</ns0:f>
        <ns0:v>Резистор 100 Ом ±1% 0805</ns0:v>
      </ns0:c>
      <x:c xmlns:x="http://schemas.openxmlformats.org/spreadsheetml/2006/main" r="T487" t="str" s="11">
        <x:v>C:\Users\Nomatin\Documents\Altium\MY_LIB\MY_LIB\Datasheets\YAGEO_RC_L.pdf</x:v>
      </x:c>
      <x:c xmlns:x="http://schemas.openxmlformats.org/spreadsheetml/2006/main" r="U487" t="str" s="11">
        <x:v>Даташит — локальный</x:v>
      </x:c>
      <x:c xmlns:x="http://schemas.openxmlformats.org/spreadsheetml/2006/main" r="V487" t="str" s="11">
        <x:v>C:\Users\Nomatin\Documents\Altium\MY_LIB\MY_LIB\Datasheets\YAGEO_RC_L.pdf</x:v>
      </x:c>
      <x:c xmlns:x="http://schemas.openxmlformats.org/spreadsheetml/2006/main" r="W487" t="str" s="11">
        <x:v>Даташит — производитель</x:v>
      </x:c>
      <x:c xmlns:x="http://schemas.openxmlformats.org/spreadsheetml/2006/main" r="X487" t="str" s="11">
        <x:v>https://yageogroup.com/content/datasheet/asset/file/PYU-RC_GROUP_51_ROHS_L</x:v>
      </x:c>
      <x:c xmlns:x="http://schemas.openxmlformats.org/spreadsheetml/2006/main" r="Y487" t="str" s="11">
        <x:v>C:\Users\Nomatin\Documents\Altium\MY_LIB\MY_LIB\Datasheets\YAGEO_RC_L.pdf</x:v>
      </x:c>
      <ns0:c xmlns:ns0="http://schemas.openxmlformats.org/spreadsheetml/2006/main" r="Z487" s="16" t="inlineStr">
        <ns0:is>
          <ns0:t>MY_LIB_R_TCR</ns0:t>
        </ns0:is>
      </ns0:c>
      <ns0:c xmlns:ns0="http://schemas.openxmlformats.org/spreadsheetml/2006/main" r="AA487" s="16" t="inlineStr">
        <ns0:is>
          <ns0:t>R(T), +100 ppm/C at 25 C; positive datasheet limit</ns0:t>
        </ns0:is>
      </ns0:c>
      <ns0:c xmlns:ns0="http://schemas.openxmlformats.org/spreadsheetml/2006/main" r="AB487" s="16" t="str">
        <ns0:v>General</ns0:v>
      </ns0:c>
      <ns0:c xmlns:ns0="http://schemas.openxmlformats.org/spreadsheetml/2006/main" r="AC487" s="16" t="inlineStr">
        <ns0:is>
          <ns0:t>Spice Subcircuit</ns0:t>
        </ns0:is>
      </ns0:c>
      <ns0:c xmlns:ns0="http://schemas.openxmlformats.org/spreadsheetml/2006/main" r="AD487" s="16" t="inlineStr">
        <ns0:is>
          <ns0:t>@DESIGNATOR %1 %2 @MODEL PARAMS: Rvalue=@VALUE TC1value=100u</ns0:t>
        </ns0:is>
      </ns0:c>
      <ns0:c xmlns:ns0="http://schemas.openxmlformats.org/spreadsheetml/2006/main" r="AE487" s="16" t="inlineStr">
        <ns0:is>
          <ns0:t>X</ns0:t>
        </ns0:is>
      </ns0:c>
      <ns0:c xmlns:ns0="http://schemas.openxmlformats.org/spreadsheetml/2006/main" r="AF487" s="16" t="str">
        <ns0:v>(1:1),(2:2)</ns0:v>
      </ns0:c>
      <ns0:c xmlns:ns0="http://schemas.openxmlformats.org/spreadsheetml/2006/main" r="AG487" s="16" t="inlineStr">
        <ns0:is>
          <ns0:t>Simulation\Resistors\MY_LIB_R_TCR.ckt</ns0:t>
        </ns0:is>
      </ns0:c>
      <ns0:c xmlns:ns0="http://schemas.openxmlformats.org/spreadsheetml/2006/main" r="AH487" s="16" t="inlineStr">
        <ns0:is>
          <ns0:t>±100 ppm/°C</ns0:t>
        </ns0:is>
      </ns0:c>
    </ns0:row>
    <ns0:row xmlns:ns0="http://schemas.openxmlformats.org/spreadsheetml/2006/main" r="488" ht="30" customHeight="1">
      <ns0:c r="A488" t="str" s="10">
        <ns0:v>R0494</ns0:v>
      </ns0:c>
      <ns0:c r="B488" t="str" s="10">
        <ns0:v>Резистор</ns0:v>
      </ns0:c>
      <ns0:c r="C488" t="str" s="10">
        <ns0:v>110R</ns0:v>
      </ns0:c>
      <ns0:c r="D488" t="str" s="11">
        <ns0:f>SUBSTITUTE(SUBSTITUTE(SUBSTITUTE(SUBSTITUTE(C488,"meg"," МОм"),"k"," кОм"),"R"," Ом"),".",",")</ns0:f>
        <ns0:v>110 Ом</ns0:v>
      </ns0:c>
      <ns0:c r="E488" t="str" s="10">
        <ns0:v>±1%</ns0:v>
      </ns0:c>
      <ns0:c r="F488" t="str" s="10">
        <ns0:v>0,125 Вт</ns0:v>
      </ns0:c>
      <ns0:c r="G488" t="str" s="10">
        <ns0:v>150 В макс.</ns0:v>
      </ns0:c>
      <ns0:c r="H488" t="str" s="12">
        <ns0:v>0805</ns0:v>
      </ns0:c>
      <ns0:c r="I488" t="str" s="10">
        <ns0:v>YAGEO</ns0:v>
      </ns0:c>
      <ns0:c r="J488" t="str" s="10">
        <ns0:v>RC0805FR-07110RL</ns0:v>
      </ns0:c>
      <ns0:c r="K488" t="str" s="11">
        <ns0:f>B488&amp;" "&amp;D488&amp;" "&amp;E488&amp;" "&amp;H488</ns0:f>
        <ns0:v>Резистор 110 Ом ±1% 0805</ns0:v>
      </ns0:c>
      <ns0:c r="L488" t="str" s="13">
        <ns0:v>R</ns0:v>
      </ns0:c>
      <ns0:c r="M488" t="str" s="13">
        <ns0:v>Symbols\MY_LIB_Resistors.SchLib</ns0:v>
      </ns0:c>
      <ns0:c r="N488" t="str" s="13">
        <ns0:v>RESC2012X70N</ns0:v>
      </ns0:c>
      <ns0:c r="O488" t="str" s="13">
        <ns0:v>Footprints\PBL - SMD Packages.PcbLib</ns0:v>
      </ns0:c>
      <ns0:c xmlns:ns0="http://schemas.openxmlformats.org/spreadsheetml/2006/main" r="P48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8" s="10"/>
      <ns0:c r="R488" t="str" s="11">
        <ns0:f>D488</ns0:f>
        <ns0:v>110 Ом</ns0:v>
      </ns0:c>
      <ns0:c r="S488" t="str" s="11">
        <ns0:f>K488</ns0:f>
        <ns0:v>Резистор 110 Ом ±1% 0805</ns0:v>
      </ns0:c>
      <x:c xmlns:x="http://schemas.openxmlformats.org/spreadsheetml/2006/main" r="T488" t="str" s="11">
        <x:v>C:\Users\Nomatin\Documents\Altium\MY_LIB\MY_LIB\Datasheets\YAGEO_RC_L.pdf</x:v>
      </x:c>
      <x:c xmlns:x="http://schemas.openxmlformats.org/spreadsheetml/2006/main" r="U488" t="str" s="11">
        <x:v>Даташит — локальный</x:v>
      </x:c>
      <x:c xmlns:x="http://schemas.openxmlformats.org/spreadsheetml/2006/main" r="V488" t="str" s="11">
        <x:v>C:\Users\Nomatin\Documents\Altium\MY_LIB\MY_LIB\Datasheets\YAGEO_RC_L.pdf</x:v>
      </x:c>
      <x:c xmlns:x="http://schemas.openxmlformats.org/spreadsheetml/2006/main" r="W488" t="str" s="11">
        <x:v>Даташит — производитель</x:v>
      </x:c>
      <x:c xmlns:x="http://schemas.openxmlformats.org/spreadsheetml/2006/main" r="X488" t="str" s="11">
        <x:v>https://yageogroup.com/content/datasheet/asset/file/PYU-RC_GROUP_51_ROHS_L</x:v>
      </x:c>
      <x:c xmlns:x="http://schemas.openxmlformats.org/spreadsheetml/2006/main" r="Y488" t="str" s="11">
        <x:v>C:\Users\Nomatin\Documents\Altium\MY_LIB\MY_LIB\Datasheets\YAGEO_RC_L.pdf</x:v>
      </x:c>
      <ns0:c xmlns:ns0="http://schemas.openxmlformats.org/spreadsheetml/2006/main" r="Z488" s="16" t="inlineStr">
        <ns0:is>
          <ns0:t>MY_LIB_R_TCR</ns0:t>
        </ns0:is>
      </ns0:c>
      <ns0:c xmlns:ns0="http://schemas.openxmlformats.org/spreadsheetml/2006/main" r="AA488" s="16" t="inlineStr">
        <ns0:is>
          <ns0:t>R(T), +100 ppm/C at 25 C; positive datasheet limit</ns0:t>
        </ns0:is>
      </ns0:c>
      <ns0:c xmlns:ns0="http://schemas.openxmlformats.org/spreadsheetml/2006/main" r="AB488" s="16" t="str">
        <ns0:v>General</ns0:v>
      </ns0:c>
      <ns0:c xmlns:ns0="http://schemas.openxmlformats.org/spreadsheetml/2006/main" r="AC488" s="16" t="inlineStr">
        <ns0:is>
          <ns0:t>Spice Subcircuit</ns0:t>
        </ns0:is>
      </ns0:c>
      <ns0:c xmlns:ns0="http://schemas.openxmlformats.org/spreadsheetml/2006/main" r="AD488" s="16" t="inlineStr">
        <ns0:is>
          <ns0:t>@DESIGNATOR %1 %2 @MODEL PARAMS: Rvalue=@VALUE TC1value=100u</ns0:t>
        </ns0:is>
      </ns0:c>
      <ns0:c xmlns:ns0="http://schemas.openxmlformats.org/spreadsheetml/2006/main" r="AE488" s="16" t="inlineStr">
        <ns0:is>
          <ns0:t>X</ns0:t>
        </ns0:is>
      </ns0:c>
      <ns0:c xmlns:ns0="http://schemas.openxmlformats.org/spreadsheetml/2006/main" r="AF488" s="16" t="str">
        <ns0:v>(1:1),(2:2)</ns0:v>
      </ns0:c>
      <ns0:c xmlns:ns0="http://schemas.openxmlformats.org/spreadsheetml/2006/main" r="AG488" s="16" t="inlineStr">
        <ns0:is>
          <ns0:t>Simulation\Resistors\MY_LIB_R_TCR.ckt</ns0:t>
        </ns0:is>
      </ns0:c>
      <ns0:c xmlns:ns0="http://schemas.openxmlformats.org/spreadsheetml/2006/main" r="AH488" s="16" t="inlineStr">
        <ns0:is>
          <ns0:t>±100 ppm/°C</ns0:t>
        </ns0:is>
      </ns0:c>
    </ns0:row>
    <ns0:row xmlns:ns0="http://schemas.openxmlformats.org/spreadsheetml/2006/main" r="489" ht="30" customHeight="1">
      <ns0:c r="A489" t="str" s="10">
        <ns0:v>R0495</ns0:v>
      </ns0:c>
      <ns0:c r="B489" t="str" s="10">
        <ns0:v>Резистор</ns0:v>
      </ns0:c>
      <ns0:c r="C489" t="str" s="10">
        <ns0:v>120R</ns0:v>
      </ns0:c>
      <ns0:c r="D489" t="str" s="11">
        <ns0:f>SUBSTITUTE(SUBSTITUTE(SUBSTITUTE(SUBSTITUTE(C489,"meg"," МОм"),"k"," кОм"),"R"," Ом"),".",",")</ns0:f>
        <ns0:v>120 Ом</ns0:v>
      </ns0:c>
      <ns0:c r="E489" t="str" s="10">
        <ns0:v>±1%</ns0:v>
      </ns0:c>
      <ns0:c r="F489" t="str" s="10">
        <ns0:v>0,125 Вт</ns0:v>
      </ns0:c>
      <ns0:c r="G489" t="str" s="10">
        <ns0:v>150 В макс.</ns0:v>
      </ns0:c>
      <ns0:c r="H489" t="str" s="12">
        <ns0:v>0805</ns0:v>
      </ns0:c>
      <ns0:c r="I489" t="str" s="10">
        <ns0:v>YAGEO</ns0:v>
      </ns0:c>
      <ns0:c r="J489" t="str" s="10">
        <ns0:v>RC0805FR-07120RL</ns0:v>
      </ns0:c>
      <ns0:c r="K489" t="str" s="11">
        <ns0:f>B489&amp;" "&amp;D489&amp;" "&amp;E489&amp;" "&amp;H489</ns0:f>
        <ns0:v>Резистор 120 Ом ±1% 0805</ns0:v>
      </ns0:c>
      <ns0:c r="L489" t="str" s="13">
        <ns0:v>R</ns0:v>
      </ns0:c>
      <ns0:c r="M489" t="str" s="13">
        <ns0:v>Symbols\MY_LIB_Resistors.SchLib</ns0:v>
      </ns0:c>
      <ns0:c r="N489" t="str" s="13">
        <ns0:v>RESC2012X70N</ns0:v>
      </ns0:c>
      <ns0:c r="O489" t="str" s="13">
        <ns0:v>Footprints\PBL - SMD Packages.PcbLib</ns0:v>
      </ns0:c>
      <ns0:c xmlns:ns0="http://schemas.openxmlformats.org/spreadsheetml/2006/main" r="P48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89" s="10"/>
      <ns0:c r="R489" t="str" s="11">
        <ns0:f>D489</ns0:f>
        <ns0:v>120 Ом</ns0:v>
      </ns0:c>
      <ns0:c r="S489" t="str" s="11">
        <ns0:f>K489</ns0:f>
        <ns0:v>Резистор 120 Ом ±1% 0805</ns0:v>
      </ns0:c>
      <x:c xmlns:x="http://schemas.openxmlformats.org/spreadsheetml/2006/main" r="T489" t="str" s="11">
        <x:v>C:\Users\Nomatin\Documents\Altium\MY_LIB\MY_LIB\Datasheets\YAGEO_RC_L.pdf</x:v>
      </x:c>
      <x:c xmlns:x="http://schemas.openxmlformats.org/spreadsheetml/2006/main" r="U489" t="str" s="11">
        <x:v>Даташит — локальный</x:v>
      </x:c>
      <x:c xmlns:x="http://schemas.openxmlformats.org/spreadsheetml/2006/main" r="V489" t="str" s="11">
        <x:v>C:\Users\Nomatin\Documents\Altium\MY_LIB\MY_LIB\Datasheets\YAGEO_RC_L.pdf</x:v>
      </x:c>
      <x:c xmlns:x="http://schemas.openxmlformats.org/spreadsheetml/2006/main" r="W489" t="str" s="11">
        <x:v>Даташит — производитель</x:v>
      </x:c>
      <x:c xmlns:x="http://schemas.openxmlformats.org/spreadsheetml/2006/main" r="X489" t="str" s="11">
        <x:v>https://yageogroup.com/content/datasheet/asset/file/PYU-RC_GROUP_51_ROHS_L</x:v>
      </x:c>
      <x:c xmlns:x="http://schemas.openxmlformats.org/spreadsheetml/2006/main" r="Y489" t="str" s="11">
        <x:v>C:\Users\Nomatin\Documents\Altium\MY_LIB\MY_LIB\Datasheets\YAGEO_RC_L.pdf</x:v>
      </x:c>
      <ns0:c xmlns:ns0="http://schemas.openxmlformats.org/spreadsheetml/2006/main" r="Z489" s="16" t="inlineStr">
        <ns0:is>
          <ns0:t>MY_LIB_R_TCR</ns0:t>
        </ns0:is>
      </ns0:c>
      <ns0:c xmlns:ns0="http://schemas.openxmlformats.org/spreadsheetml/2006/main" r="AA489" s="16" t="inlineStr">
        <ns0:is>
          <ns0:t>R(T), +100 ppm/C at 25 C; positive datasheet limit</ns0:t>
        </ns0:is>
      </ns0:c>
      <ns0:c xmlns:ns0="http://schemas.openxmlformats.org/spreadsheetml/2006/main" r="AB489" s="16" t="str">
        <ns0:v>General</ns0:v>
      </ns0:c>
      <ns0:c xmlns:ns0="http://schemas.openxmlformats.org/spreadsheetml/2006/main" r="AC489" s="16" t="inlineStr">
        <ns0:is>
          <ns0:t>Spice Subcircuit</ns0:t>
        </ns0:is>
      </ns0:c>
      <ns0:c xmlns:ns0="http://schemas.openxmlformats.org/spreadsheetml/2006/main" r="AD489" s="16" t="inlineStr">
        <ns0:is>
          <ns0:t>@DESIGNATOR %1 %2 @MODEL PARAMS: Rvalue=@VALUE TC1value=100u</ns0:t>
        </ns0:is>
      </ns0:c>
      <ns0:c xmlns:ns0="http://schemas.openxmlformats.org/spreadsheetml/2006/main" r="AE489" s="16" t="inlineStr">
        <ns0:is>
          <ns0:t>X</ns0:t>
        </ns0:is>
      </ns0:c>
      <ns0:c xmlns:ns0="http://schemas.openxmlformats.org/spreadsheetml/2006/main" r="AF489" s="16" t="str">
        <ns0:v>(1:1),(2:2)</ns0:v>
      </ns0:c>
      <ns0:c xmlns:ns0="http://schemas.openxmlformats.org/spreadsheetml/2006/main" r="AG489" s="16" t="inlineStr">
        <ns0:is>
          <ns0:t>Simulation\Resistors\MY_LIB_R_TCR.ckt</ns0:t>
        </ns0:is>
      </ns0:c>
      <ns0:c xmlns:ns0="http://schemas.openxmlformats.org/spreadsheetml/2006/main" r="AH489" s="16" t="inlineStr">
        <ns0:is>
          <ns0:t>±100 ppm/°C</ns0:t>
        </ns0:is>
      </ns0:c>
    </ns0:row>
    <ns0:row xmlns:ns0="http://schemas.openxmlformats.org/spreadsheetml/2006/main" r="490" ht="30" customHeight="1">
      <ns0:c r="A490" t="str" s="10">
        <ns0:v>R0496</ns0:v>
      </ns0:c>
      <ns0:c r="B490" t="str" s="10">
        <ns0:v>Резистор</ns0:v>
      </ns0:c>
      <ns0:c r="C490" t="str" s="10">
        <ns0:v>130R</ns0:v>
      </ns0:c>
      <ns0:c r="D490" t="str" s="11">
        <ns0:f>SUBSTITUTE(SUBSTITUTE(SUBSTITUTE(SUBSTITUTE(C490,"meg"," МОм"),"k"," кОм"),"R"," Ом"),".",",")</ns0:f>
        <ns0:v>130 Ом</ns0:v>
      </ns0:c>
      <ns0:c r="E490" t="str" s="10">
        <ns0:v>±1%</ns0:v>
      </ns0:c>
      <ns0:c r="F490" t="str" s="10">
        <ns0:v>0,125 Вт</ns0:v>
      </ns0:c>
      <ns0:c r="G490" t="str" s="10">
        <ns0:v>150 В макс.</ns0:v>
      </ns0:c>
      <ns0:c r="H490" t="str" s="12">
        <ns0:v>0805</ns0:v>
      </ns0:c>
      <ns0:c r="I490" t="str" s="10">
        <ns0:v>YAGEO</ns0:v>
      </ns0:c>
      <ns0:c r="J490" t="str" s="10">
        <ns0:v>RC0805FR-07130RL</ns0:v>
      </ns0:c>
      <ns0:c r="K490" t="str" s="11">
        <ns0:f>B490&amp;" "&amp;D490&amp;" "&amp;E490&amp;" "&amp;H490</ns0:f>
        <ns0:v>Резистор 130 Ом ±1% 0805</ns0:v>
      </ns0:c>
      <ns0:c r="L490" t="str" s="13">
        <ns0:v>R</ns0:v>
      </ns0:c>
      <ns0:c r="M490" t="str" s="13">
        <ns0:v>Symbols\MY_LIB_Resistors.SchLib</ns0:v>
      </ns0:c>
      <ns0:c r="N490" t="str" s="13">
        <ns0:v>RESC2012X70N</ns0:v>
      </ns0:c>
      <ns0:c r="O490" t="str" s="13">
        <ns0:v>Footprints\PBL - SMD Packages.PcbLib</ns0:v>
      </ns0:c>
      <ns0:c xmlns:ns0="http://schemas.openxmlformats.org/spreadsheetml/2006/main" r="P49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0" s="10"/>
      <ns0:c r="R490" t="str" s="11">
        <ns0:f>D490</ns0:f>
        <ns0:v>130 Ом</ns0:v>
      </ns0:c>
      <ns0:c r="S490" t="str" s="11">
        <ns0:f>K490</ns0:f>
        <ns0:v>Резистор 130 Ом ±1% 0805</ns0:v>
      </ns0:c>
      <x:c xmlns:x="http://schemas.openxmlformats.org/spreadsheetml/2006/main" r="T490" t="str" s="11">
        <x:v>C:\Users\Nomatin\Documents\Altium\MY_LIB\MY_LIB\Datasheets\YAGEO_RC_L.pdf</x:v>
      </x:c>
      <x:c xmlns:x="http://schemas.openxmlformats.org/spreadsheetml/2006/main" r="U490" t="str" s="11">
        <x:v>Даташит — локальный</x:v>
      </x:c>
      <x:c xmlns:x="http://schemas.openxmlformats.org/spreadsheetml/2006/main" r="V490" t="str" s="11">
        <x:v>C:\Users\Nomatin\Documents\Altium\MY_LIB\MY_LIB\Datasheets\YAGEO_RC_L.pdf</x:v>
      </x:c>
      <x:c xmlns:x="http://schemas.openxmlformats.org/spreadsheetml/2006/main" r="W490" t="str" s="11">
        <x:v>Даташит — производитель</x:v>
      </x:c>
      <x:c xmlns:x="http://schemas.openxmlformats.org/spreadsheetml/2006/main" r="X490" t="str" s="11">
        <x:v>https://yageogroup.com/content/datasheet/asset/file/PYU-RC_GROUP_51_ROHS_L</x:v>
      </x:c>
      <x:c xmlns:x="http://schemas.openxmlformats.org/spreadsheetml/2006/main" r="Y490" t="str" s="11">
        <x:v>C:\Users\Nomatin\Documents\Altium\MY_LIB\MY_LIB\Datasheets\YAGEO_RC_L.pdf</x:v>
      </x:c>
      <ns0:c xmlns:ns0="http://schemas.openxmlformats.org/spreadsheetml/2006/main" r="Z490" s="16" t="inlineStr">
        <ns0:is>
          <ns0:t>MY_LIB_R_TCR</ns0:t>
        </ns0:is>
      </ns0:c>
      <ns0:c xmlns:ns0="http://schemas.openxmlformats.org/spreadsheetml/2006/main" r="AA490" s="16" t="inlineStr">
        <ns0:is>
          <ns0:t>R(T), +100 ppm/C at 25 C; positive datasheet limit</ns0:t>
        </ns0:is>
      </ns0:c>
      <ns0:c xmlns:ns0="http://schemas.openxmlformats.org/spreadsheetml/2006/main" r="AB490" s="16" t="str">
        <ns0:v>General</ns0:v>
      </ns0:c>
      <ns0:c xmlns:ns0="http://schemas.openxmlformats.org/spreadsheetml/2006/main" r="AC490" s="16" t="inlineStr">
        <ns0:is>
          <ns0:t>Spice Subcircuit</ns0:t>
        </ns0:is>
      </ns0:c>
      <ns0:c xmlns:ns0="http://schemas.openxmlformats.org/spreadsheetml/2006/main" r="AD490" s="16" t="inlineStr">
        <ns0:is>
          <ns0:t>@DESIGNATOR %1 %2 @MODEL PARAMS: Rvalue=@VALUE TC1value=100u</ns0:t>
        </ns0:is>
      </ns0:c>
      <ns0:c xmlns:ns0="http://schemas.openxmlformats.org/spreadsheetml/2006/main" r="AE490" s="16" t="inlineStr">
        <ns0:is>
          <ns0:t>X</ns0:t>
        </ns0:is>
      </ns0:c>
      <ns0:c xmlns:ns0="http://schemas.openxmlformats.org/spreadsheetml/2006/main" r="AF490" s="16" t="str">
        <ns0:v>(1:1),(2:2)</ns0:v>
      </ns0:c>
      <ns0:c xmlns:ns0="http://schemas.openxmlformats.org/spreadsheetml/2006/main" r="AG490" s="16" t="inlineStr">
        <ns0:is>
          <ns0:t>Simulation\Resistors\MY_LIB_R_TCR.ckt</ns0:t>
        </ns0:is>
      </ns0:c>
      <ns0:c xmlns:ns0="http://schemas.openxmlformats.org/spreadsheetml/2006/main" r="AH490" s="16" t="inlineStr">
        <ns0:is>
          <ns0:t>±100 ppm/°C</ns0:t>
        </ns0:is>
      </ns0:c>
    </ns0:row>
    <ns0:row xmlns:ns0="http://schemas.openxmlformats.org/spreadsheetml/2006/main" r="491" ht="30" customHeight="1">
      <ns0:c r="A491" t="str" s="10">
        <ns0:v>R0497</ns0:v>
      </ns0:c>
      <ns0:c r="B491" t="str" s="10">
        <ns0:v>Резистор</ns0:v>
      </ns0:c>
      <ns0:c r="C491" t="str" s="10">
        <ns0:v>150R</ns0:v>
      </ns0:c>
      <ns0:c r="D491" t="str" s="11">
        <ns0:f>SUBSTITUTE(SUBSTITUTE(SUBSTITUTE(SUBSTITUTE(C491,"meg"," МОм"),"k"," кОм"),"R"," Ом"),".",",")</ns0:f>
        <ns0:v>150 Ом</ns0:v>
      </ns0:c>
      <ns0:c r="E491" t="str" s="10">
        <ns0:v>±1%</ns0:v>
      </ns0:c>
      <ns0:c r="F491" t="str" s="10">
        <ns0:v>0,125 Вт</ns0:v>
      </ns0:c>
      <ns0:c r="G491" t="str" s="10">
        <ns0:v>150 В макс.</ns0:v>
      </ns0:c>
      <ns0:c r="H491" t="str" s="12">
        <ns0:v>0805</ns0:v>
      </ns0:c>
      <ns0:c r="I491" t="str" s="10">
        <ns0:v>YAGEO</ns0:v>
      </ns0:c>
      <ns0:c r="J491" t="str" s="10">
        <ns0:v>RC0805FR-07150RL</ns0:v>
      </ns0:c>
      <ns0:c r="K491" t="str" s="11">
        <ns0:f>B491&amp;" "&amp;D491&amp;" "&amp;E491&amp;" "&amp;H491</ns0:f>
        <ns0:v>Резистор 150 Ом ±1% 0805</ns0:v>
      </ns0:c>
      <ns0:c r="L491" t="str" s="13">
        <ns0:v>R</ns0:v>
      </ns0:c>
      <ns0:c r="M491" t="str" s="13">
        <ns0:v>Symbols\MY_LIB_Resistors.SchLib</ns0:v>
      </ns0:c>
      <ns0:c r="N491" t="str" s="13">
        <ns0:v>RESC2012X70N</ns0:v>
      </ns0:c>
      <ns0:c r="O491" t="str" s="13">
        <ns0:v>Footprints\PBL - SMD Packages.PcbLib</ns0:v>
      </ns0:c>
      <ns0:c xmlns:ns0="http://schemas.openxmlformats.org/spreadsheetml/2006/main" r="P49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1" s="10"/>
      <ns0:c r="R491" t="str" s="11">
        <ns0:f>D491</ns0:f>
        <ns0:v>150 Ом</ns0:v>
      </ns0:c>
      <ns0:c r="S491" t="str" s="11">
        <ns0:f>K491</ns0:f>
        <ns0:v>Резистор 150 Ом ±1% 0805</ns0:v>
      </ns0:c>
      <x:c xmlns:x="http://schemas.openxmlformats.org/spreadsheetml/2006/main" r="T491" t="str" s="11">
        <x:v>C:\Users\Nomatin\Documents\Altium\MY_LIB\MY_LIB\Datasheets\YAGEO_RC_L.pdf</x:v>
      </x:c>
      <x:c xmlns:x="http://schemas.openxmlformats.org/spreadsheetml/2006/main" r="U491" t="str" s="11">
        <x:v>Даташит — локальный</x:v>
      </x:c>
      <x:c xmlns:x="http://schemas.openxmlformats.org/spreadsheetml/2006/main" r="V491" t="str" s="11">
        <x:v>C:\Users\Nomatin\Documents\Altium\MY_LIB\MY_LIB\Datasheets\YAGEO_RC_L.pdf</x:v>
      </x:c>
      <x:c xmlns:x="http://schemas.openxmlformats.org/spreadsheetml/2006/main" r="W491" t="str" s="11">
        <x:v>Даташит — производитель</x:v>
      </x:c>
      <x:c xmlns:x="http://schemas.openxmlformats.org/spreadsheetml/2006/main" r="X491" t="str" s="11">
        <x:v>https://yageogroup.com/content/datasheet/asset/file/PYU-RC_GROUP_51_ROHS_L</x:v>
      </x:c>
      <x:c xmlns:x="http://schemas.openxmlformats.org/spreadsheetml/2006/main" r="Y491" t="str" s="11">
        <x:v>C:\Users\Nomatin\Documents\Altium\MY_LIB\MY_LIB\Datasheets\YAGEO_RC_L.pdf</x:v>
      </x:c>
      <ns0:c xmlns:ns0="http://schemas.openxmlformats.org/spreadsheetml/2006/main" r="Z491" s="16" t="inlineStr">
        <ns0:is>
          <ns0:t>MY_LIB_R_TCR</ns0:t>
        </ns0:is>
      </ns0:c>
      <ns0:c xmlns:ns0="http://schemas.openxmlformats.org/spreadsheetml/2006/main" r="AA491" s="16" t="inlineStr">
        <ns0:is>
          <ns0:t>R(T), +100 ppm/C at 25 C; positive datasheet limit</ns0:t>
        </ns0:is>
      </ns0:c>
      <ns0:c xmlns:ns0="http://schemas.openxmlformats.org/spreadsheetml/2006/main" r="AB491" s="16" t="str">
        <ns0:v>General</ns0:v>
      </ns0:c>
      <ns0:c xmlns:ns0="http://schemas.openxmlformats.org/spreadsheetml/2006/main" r="AC491" s="16" t="inlineStr">
        <ns0:is>
          <ns0:t>Spice Subcircuit</ns0:t>
        </ns0:is>
      </ns0:c>
      <ns0:c xmlns:ns0="http://schemas.openxmlformats.org/spreadsheetml/2006/main" r="AD491" s="16" t="inlineStr">
        <ns0:is>
          <ns0:t>@DESIGNATOR %1 %2 @MODEL PARAMS: Rvalue=@VALUE TC1value=100u</ns0:t>
        </ns0:is>
      </ns0:c>
      <ns0:c xmlns:ns0="http://schemas.openxmlformats.org/spreadsheetml/2006/main" r="AE491" s="16" t="inlineStr">
        <ns0:is>
          <ns0:t>X</ns0:t>
        </ns0:is>
      </ns0:c>
      <ns0:c xmlns:ns0="http://schemas.openxmlformats.org/spreadsheetml/2006/main" r="AF491" s="16" t="str">
        <ns0:v>(1:1),(2:2)</ns0:v>
      </ns0:c>
      <ns0:c xmlns:ns0="http://schemas.openxmlformats.org/spreadsheetml/2006/main" r="AG491" s="16" t="inlineStr">
        <ns0:is>
          <ns0:t>Simulation\Resistors\MY_LIB_R_TCR.ckt</ns0:t>
        </ns0:is>
      </ns0:c>
      <ns0:c xmlns:ns0="http://schemas.openxmlformats.org/spreadsheetml/2006/main" r="AH491" s="16" t="inlineStr">
        <ns0:is>
          <ns0:t>±100 ppm/°C</ns0:t>
        </ns0:is>
      </ns0:c>
    </ns0:row>
    <ns0:row xmlns:ns0="http://schemas.openxmlformats.org/spreadsheetml/2006/main" r="492" ht="30" customHeight="1">
      <ns0:c r="A492" t="str" s="10">
        <ns0:v>R0498</ns0:v>
      </ns0:c>
      <ns0:c r="B492" t="str" s="10">
        <ns0:v>Резистор</ns0:v>
      </ns0:c>
      <ns0:c r="C492" t="str" s="10">
        <ns0:v>160R</ns0:v>
      </ns0:c>
      <ns0:c r="D492" t="str" s="11">
        <ns0:f>SUBSTITUTE(SUBSTITUTE(SUBSTITUTE(SUBSTITUTE(C492,"meg"," МОм"),"k"," кОм"),"R"," Ом"),".",",")</ns0:f>
        <ns0:v>160 Ом</ns0:v>
      </ns0:c>
      <ns0:c r="E492" t="str" s="10">
        <ns0:v>±1%</ns0:v>
      </ns0:c>
      <ns0:c r="F492" t="str" s="10">
        <ns0:v>0,125 Вт</ns0:v>
      </ns0:c>
      <ns0:c r="G492" t="str" s="10">
        <ns0:v>150 В макс.</ns0:v>
      </ns0:c>
      <ns0:c r="H492" t="str" s="12">
        <ns0:v>0805</ns0:v>
      </ns0:c>
      <ns0:c r="I492" t="str" s="10">
        <ns0:v>YAGEO</ns0:v>
      </ns0:c>
      <ns0:c r="J492" t="str" s="10">
        <ns0:v>RC0805FR-07160RL</ns0:v>
      </ns0:c>
      <ns0:c r="K492" t="str" s="11">
        <ns0:f>B492&amp;" "&amp;D492&amp;" "&amp;E492&amp;" "&amp;H492</ns0:f>
        <ns0:v>Резистор 160 Ом ±1% 0805</ns0:v>
      </ns0:c>
      <ns0:c r="L492" t="str" s="13">
        <ns0:v>R</ns0:v>
      </ns0:c>
      <ns0:c r="M492" t="str" s="13">
        <ns0:v>Symbols\MY_LIB_Resistors.SchLib</ns0:v>
      </ns0:c>
      <ns0:c r="N492" t="str" s="13">
        <ns0:v>RESC2012X70N</ns0:v>
      </ns0:c>
      <ns0:c r="O492" t="str" s="13">
        <ns0:v>Footprints\PBL - SMD Packages.PcbLib</ns0:v>
      </ns0:c>
      <ns0:c xmlns:ns0="http://schemas.openxmlformats.org/spreadsheetml/2006/main" r="P49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2" s="10"/>
      <ns0:c r="R492" t="str" s="11">
        <ns0:f>D492</ns0:f>
        <ns0:v>160 Ом</ns0:v>
      </ns0:c>
      <ns0:c r="S492" t="str" s="11">
        <ns0:f>K492</ns0:f>
        <ns0:v>Резистор 160 Ом ±1% 0805</ns0:v>
      </ns0:c>
      <x:c xmlns:x="http://schemas.openxmlformats.org/spreadsheetml/2006/main" r="T492" t="str" s="11">
        <x:v>C:\Users\Nomatin\Documents\Altium\MY_LIB\MY_LIB\Datasheets\YAGEO_RC_L.pdf</x:v>
      </x:c>
      <x:c xmlns:x="http://schemas.openxmlformats.org/spreadsheetml/2006/main" r="U492" t="str" s="11">
        <x:v>Даташит — локальный</x:v>
      </x:c>
      <x:c xmlns:x="http://schemas.openxmlformats.org/spreadsheetml/2006/main" r="V492" t="str" s="11">
        <x:v>C:\Users\Nomatin\Documents\Altium\MY_LIB\MY_LIB\Datasheets\YAGEO_RC_L.pdf</x:v>
      </x:c>
      <x:c xmlns:x="http://schemas.openxmlformats.org/spreadsheetml/2006/main" r="W492" t="str" s="11">
        <x:v>Даташит — производитель</x:v>
      </x:c>
      <x:c xmlns:x="http://schemas.openxmlformats.org/spreadsheetml/2006/main" r="X492" t="str" s="11">
        <x:v>https://yageogroup.com/content/datasheet/asset/file/PYU-RC_GROUP_51_ROHS_L</x:v>
      </x:c>
      <x:c xmlns:x="http://schemas.openxmlformats.org/spreadsheetml/2006/main" r="Y492" t="str" s="11">
        <x:v>C:\Users\Nomatin\Documents\Altium\MY_LIB\MY_LIB\Datasheets\YAGEO_RC_L.pdf</x:v>
      </x:c>
      <ns0:c xmlns:ns0="http://schemas.openxmlformats.org/spreadsheetml/2006/main" r="Z492" s="16" t="inlineStr">
        <ns0:is>
          <ns0:t>MY_LIB_R_TCR</ns0:t>
        </ns0:is>
      </ns0:c>
      <ns0:c xmlns:ns0="http://schemas.openxmlformats.org/spreadsheetml/2006/main" r="AA492" s="16" t="inlineStr">
        <ns0:is>
          <ns0:t>R(T), +100 ppm/C at 25 C; positive datasheet limit</ns0:t>
        </ns0:is>
      </ns0:c>
      <ns0:c xmlns:ns0="http://schemas.openxmlformats.org/spreadsheetml/2006/main" r="AB492" s="16" t="str">
        <ns0:v>General</ns0:v>
      </ns0:c>
      <ns0:c xmlns:ns0="http://schemas.openxmlformats.org/spreadsheetml/2006/main" r="AC492" s="16" t="inlineStr">
        <ns0:is>
          <ns0:t>Spice Subcircuit</ns0:t>
        </ns0:is>
      </ns0:c>
      <ns0:c xmlns:ns0="http://schemas.openxmlformats.org/spreadsheetml/2006/main" r="AD492" s="16" t="inlineStr">
        <ns0:is>
          <ns0:t>@DESIGNATOR %1 %2 @MODEL PARAMS: Rvalue=@VALUE TC1value=100u</ns0:t>
        </ns0:is>
      </ns0:c>
      <ns0:c xmlns:ns0="http://schemas.openxmlformats.org/spreadsheetml/2006/main" r="AE492" s="16" t="inlineStr">
        <ns0:is>
          <ns0:t>X</ns0:t>
        </ns0:is>
      </ns0:c>
      <ns0:c xmlns:ns0="http://schemas.openxmlformats.org/spreadsheetml/2006/main" r="AF492" s="16" t="str">
        <ns0:v>(1:1),(2:2)</ns0:v>
      </ns0:c>
      <ns0:c xmlns:ns0="http://schemas.openxmlformats.org/spreadsheetml/2006/main" r="AG492" s="16" t="inlineStr">
        <ns0:is>
          <ns0:t>Simulation\Resistors\MY_LIB_R_TCR.ckt</ns0:t>
        </ns0:is>
      </ns0:c>
      <ns0:c xmlns:ns0="http://schemas.openxmlformats.org/spreadsheetml/2006/main" r="AH492" s="16" t="inlineStr">
        <ns0:is>
          <ns0:t>±100 ppm/°C</ns0:t>
        </ns0:is>
      </ns0:c>
    </ns0:row>
    <ns0:row xmlns:ns0="http://schemas.openxmlformats.org/spreadsheetml/2006/main" r="493" ht="30" customHeight="1">
      <ns0:c r="A493" t="str" s="10">
        <ns0:v>R0499</ns0:v>
      </ns0:c>
      <ns0:c r="B493" t="str" s="10">
        <ns0:v>Резистор</ns0:v>
      </ns0:c>
      <ns0:c r="C493" t="str" s="10">
        <ns0:v>180R</ns0:v>
      </ns0:c>
      <ns0:c r="D493" t="str" s="11">
        <ns0:f>SUBSTITUTE(SUBSTITUTE(SUBSTITUTE(SUBSTITUTE(C493,"meg"," МОм"),"k"," кОм"),"R"," Ом"),".",",")</ns0:f>
        <ns0:v>180 Ом</ns0:v>
      </ns0:c>
      <ns0:c r="E493" t="str" s="10">
        <ns0:v>±1%</ns0:v>
      </ns0:c>
      <ns0:c r="F493" t="str" s="10">
        <ns0:v>0,125 Вт</ns0:v>
      </ns0:c>
      <ns0:c r="G493" t="str" s="10">
        <ns0:v>150 В макс.</ns0:v>
      </ns0:c>
      <ns0:c r="H493" t="str" s="12">
        <ns0:v>0805</ns0:v>
      </ns0:c>
      <ns0:c r="I493" t="str" s="10">
        <ns0:v>YAGEO</ns0:v>
      </ns0:c>
      <ns0:c r="J493" t="str" s="10">
        <ns0:v>RC0805FR-07180RL</ns0:v>
      </ns0:c>
      <ns0:c r="K493" t="str" s="11">
        <ns0:f>B493&amp;" "&amp;D493&amp;" "&amp;E493&amp;" "&amp;H493</ns0:f>
        <ns0:v>Резистор 180 Ом ±1% 0805</ns0:v>
      </ns0:c>
      <ns0:c r="L493" t="str" s="13">
        <ns0:v>R</ns0:v>
      </ns0:c>
      <ns0:c r="M493" t="str" s="13">
        <ns0:v>Symbols\MY_LIB_Resistors.SchLib</ns0:v>
      </ns0:c>
      <ns0:c r="N493" t="str" s="13">
        <ns0:v>RESC2012X70N</ns0:v>
      </ns0:c>
      <ns0:c r="O493" t="str" s="13">
        <ns0:v>Footprints\PBL - SMD Packages.PcbLib</ns0:v>
      </ns0:c>
      <ns0:c xmlns:ns0="http://schemas.openxmlformats.org/spreadsheetml/2006/main" r="P49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3" s="10"/>
      <ns0:c r="R493" t="str" s="11">
        <ns0:f>D493</ns0:f>
        <ns0:v>180 Ом</ns0:v>
      </ns0:c>
      <ns0:c r="S493" t="str" s="11">
        <ns0:f>K493</ns0:f>
        <ns0:v>Резистор 180 Ом ±1% 0805</ns0:v>
      </ns0:c>
      <x:c xmlns:x="http://schemas.openxmlformats.org/spreadsheetml/2006/main" r="T493" t="str" s="11">
        <x:v>C:\Users\Nomatin\Documents\Altium\MY_LIB\MY_LIB\Datasheets\YAGEO_RC_L.pdf</x:v>
      </x:c>
      <x:c xmlns:x="http://schemas.openxmlformats.org/spreadsheetml/2006/main" r="U493" t="str" s="11">
        <x:v>Даташит — локальный</x:v>
      </x:c>
      <x:c xmlns:x="http://schemas.openxmlformats.org/spreadsheetml/2006/main" r="V493" t="str" s="11">
        <x:v>C:\Users\Nomatin\Documents\Altium\MY_LIB\MY_LIB\Datasheets\YAGEO_RC_L.pdf</x:v>
      </x:c>
      <x:c xmlns:x="http://schemas.openxmlformats.org/spreadsheetml/2006/main" r="W493" t="str" s="11">
        <x:v>Даташит — производитель</x:v>
      </x:c>
      <x:c xmlns:x="http://schemas.openxmlformats.org/spreadsheetml/2006/main" r="X493" t="str" s="11">
        <x:v>https://yageogroup.com/content/datasheet/asset/file/PYU-RC_GROUP_51_ROHS_L</x:v>
      </x:c>
      <x:c xmlns:x="http://schemas.openxmlformats.org/spreadsheetml/2006/main" r="Y493" t="str" s="11">
        <x:v>C:\Users\Nomatin\Documents\Altium\MY_LIB\MY_LIB\Datasheets\YAGEO_RC_L.pdf</x:v>
      </x:c>
      <ns0:c xmlns:ns0="http://schemas.openxmlformats.org/spreadsheetml/2006/main" r="Z493" s="16" t="inlineStr">
        <ns0:is>
          <ns0:t>MY_LIB_R_TCR</ns0:t>
        </ns0:is>
      </ns0:c>
      <ns0:c xmlns:ns0="http://schemas.openxmlformats.org/spreadsheetml/2006/main" r="AA493" s="16" t="inlineStr">
        <ns0:is>
          <ns0:t>R(T), +100 ppm/C at 25 C; positive datasheet limit</ns0:t>
        </ns0:is>
      </ns0:c>
      <ns0:c xmlns:ns0="http://schemas.openxmlformats.org/spreadsheetml/2006/main" r="AB493" s="16" t="str">
        <ns0:v>General</ns0:v>
      </ns0:c>
      <ns0:c xmlns:ns0="http://schemas.openxmlformats.org/spreadsheetml/2006/main" r="AC493" s="16" t="inlineStr">
        <ns0:is>
          <ns0:t>Spice Subcircuit</ns0:t>
        </ns0:is>
      </ns0:c>
      <ns0:c xmlns:ns0="http://schemas.openxmlformats.org/spreadsheetml/2006/main" r="AD493" s="16" t="inlineStr">
        <ns0:is>
          <ns0:t>@DESIGNATOR %1 %2 @MODEL PARAMS: Rvalue=@VALUE TC1value=100u</ns0:t>
        </ns0:is>
      </ns0:c>
      <ns0:c xmlns:ns0="http://schemas.openxmlformats.org/spreadsheetml/2006/main" r="AE493" s="16" t="inlineStr">
        <ns0:is>
          <ns0:t>X</ns0:t>
        </ns0:is>
      </ns0:c>
      <ns0:c xmlns:ns0="http://schemas.openxmlformats.org/spreadsheetml/2006/main" r="AF493" s="16" t="str">
        <ns0:v>(1:1),(2:2)</ns0:v>
      </ns0:c>
      <ns0:c xmlns:ns0="http://schemas.openxmlformats.org/spreadsheetml/2006/main" r="AG493" s="16" t="inlineStr">
        <ns0:is>
          <ns0:t>Simulation\Resistors\MY_LIB_R_TCR.ckt</ns0:t>
        </ns0:is>
      </ns0:c>
      <ns0:c xmlns:ns0="http://schemas.openxmlformats.org/spreadsheetml/2006/main" r="AH493" s="16" t="inlineStr">
        <ns0:is>
          <ns0:t>±100 ppm/°C</ns0:t>
        </ns0:is>
      </ns0:c>
    </ns0:row>
    <ns0:row xmlns:ns0="http://schemas.openxmlformats.org/spreadsheetml/2006/main" r="494" ht="30" customHeight="1">
      <ns0:c r="A494" t="str" s="10">
        <ns0:v>R0500</ns0:v>
      </ns0:c>
      <ns0:c r="B494" t="str" s="10">
        <ns0:v>Резистор</ns0:v>
      </ns0:c>
      <ns0:c r="C494" t="str" s="10">
        <ns0:v>200R</ns0:v>
      </ns0:c>
      <ns0:c r="D494" t="str" s="11">
        <ns0:f>SUBSTITUTE(SUBSTITUTE(SUBSTITUTE(SUBSTITUTE(C494,"meg"," МОм"),"k"," кОм"),"R"," Ом"),".",",")</ns0:f>
        <ns0:v>200 Ом</ns0:v>
      </ns0:c>
      <ns0:c r="E494" t="str" s="10">
        <ns0:v>±1%</ns0:v>
      </ns0:c>
      <ns0:c r="F494" t="str" s="10">
        <ns0:v>0,125 Вт</ns0:v>
      </ns0:c>
      <ns0:c r="G494" t="str" s="10">
        <ns0:v>150 В макс.</ns0:v>
      </ns0:c>
      <ns0:c r="H494" t="str" s="12">
        <ns0:v>0805</ns0:v>
      </ns0:c>
      <ns0:c r="I494" t="str" s="10">
        <ns0:v>YAGEO</ns0:v>
      </ns0:c>
      <ns0:c r="J494" t="str" s="10">
        <ns0:v>RC0805FR-07200RL</ns0:v>
      </ns0:c>
      <ns0:c r="K494" t="str" s="11">
        <ns0:f>B494&amp;" "&amp;D494&amp;" "&amp;E494&amp;" "&amp;H494</ns0:f>
        <ns0:v>Резистор 200 Ом ±1% 0805</ns0:v>
      </ns0:c>
      <ns0:c r="L494" t="str" s="13">
        <ns0:v>R</ns0:v>
      </ns0:c>
      <ns0:c r="M494" t="str" s="13">
        <ns0:v>Symbols\MY_LIB_Resistors.SchLib</ns0:v>
      </ns0:c>
      <ns0:c r="N494" t="str" s="13">
        <ns0:v>RESC2012X70N</ns0:v>
      </ns0:c>
      <ns0:c r="O494" t="str" s="13">
        <ns0:v>Footprints\PBL - SMD Packages.PcbLib</ns0:v>
      </ns0:c>
      <ns0:c xmlns:ns0="http://schemas.openxmlformats.org/spreadsheetml/2006/main" r="P49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4" s="10"/>
      <ns0:c r="R494" t="str" s="11">
        <ns0:f>D494</ns0:f>
        <ns0:v>200 Ом</ns0:v>
      </ns0:c>
      <ns0:c r="S494" t="str" s="11">
        <ns0:f>K494</ns0:f>
        <ns0:v>Резистор 200 Ом ±1% 0805</ns0:v>
      </ns0:c>
      <x:c xmlns:x="http://schemas.openxmlformats.org/spreadsheetml/2006/main" r="T494" t="str" s="11">
        <x:v>C:\Users\Nomatin\Documents\Altium\MY_LIB\MY_LIB\Datasheets\YAGEO_RC_L.pdf</x:v>
      </x:c>
      <x:c xmlns:x="http://schemas.openxmlformats.org/spreadsheetml/2006/main" r="U494" t="str" s="11">
        <x:v>Даташит — локальный</x:v>
      </x:c>
      <x:c xmlns:x="http://schemas.openxmlformats.org/spreadsheetml/2006/main" r="V494" t="str" s="11">
        <x:v>C:\Users\Nomatin\Documents\Altium\MY_LIB\MY_LIB\Datasheets\YAGEO_RC_L.pdf</x:v>
      </x:c>
      <x:c xmlns:x="http://schemas.openxmlformats.org/spreadsheetml/2006/main" r="W494" t="str" s="11">
        <x:v>Даташит — производитель</x:v>
      </x:c>
      <x:c xmlns:x="http://schemas.openxmlformats.org/spreadsheetml/2006/main" r="X494" t="str" s="11">
        <x:v>https://yageogroup.com/content/datasheet/asset/file/PYU-RC_GROUP_51_ROHS_L</x:v>
      </x:c>
      <x:c xmlns:x="http://schemas.openxmlformats.org/spreadsheetml/2006/main" r="Y494" t="str" s="11">
        <x:v>C:\Users\Nomatin\Documents\Altium\MY_LIB\MY_LIB\Datasheets\YAGEO_RC_L.pdf</x:v>
      </x:c>
      <ns0:c xmlns:ns0="http://schemas.openxmlformats.org/spreadsheetml/2006/main" r="Z494" s="16" t="inlineStr">
        <ns0:is>
          <ns0:t>MY_LIB_R_TCR</ns0:t>
        </ns0:is>
      </ns0:c>
      <ns0:c xmlns:ns0="http://schemas.openxmlformats.org/spreadsheetml/2006/main" r="AA494" s="16" t="inlineStr">
        <ns0:is>
          <ns0:t>R(T), +100 ppm/C at 25 C; positive datasheet limit</ns0:t>
        </ns0:is>
      </ns0:c>
      <ns0:c xmlns:ns0="http://schemas.openxmlformats.org/spreadsheetml/2006/main" r="AB494" s="16" t="str">
        <ns0:v>General</ns0:v>
      </ns0:c>
      <ns0:c xmlns:ns0="http://schemas.openxmlformats.org/spreadsheetml/2006/main" r="AC494" s="16" t="inlineStr">
        <ns0:is>
          <ns0:t>Spice Subcircuit</ns0:t>
        </ns0:is>
      </ns0:c>
      <ns0:c xmlns:ns0="http://schemas.openxmlformats.org/spreadsheetml/2006/main" r="AD494" s="16" t="inlineStr">
        <ns0:is>
          <ns0:t>@DESIGNATOR %1 %2 @MODEL PARAMS: Rvalue=@VALUE TC1value=100u</ns0:t>
        </ns0:is>
      </ns0:c>
      <ns0:c xmlns:ns0="http://schemas.openxmlformats.org/spreadsheetml/2006/main" r="AE494" s="16" t="inlineStr">
        <ns0:is>
          <ns0:t>X</ns0:t>
        </ns0:is>
      </ns0:c>
      <ns0:c xmlns:ns0="http://schemas.openxmlformats.org/spreadsheetml/2006/main" r="AF494" s="16" t="str">
        <ns0:v>(1:1),(2:2)</ns0:v>
      </ns0:c>
      <ns0:c xmlns:ns0="http://schemas.openxmlformats.org/spreadsheetml/2006/main" r="AG494" s="16" t="inlineStr">
        <ns0:is>
          <ns0:t>Simulation\Resistors\MY_LIB_R_TCR.ckt</ns0:t>
        </ns0:is>
      </ns0:c>
      <ns0:c xmlns:ns0="http://schemas.openxmlformats.org/spreadsheetml/2006/main" r="AH494" s="16" t="inlineStr">
        <ns0:is>
          <ns0:t>±100 ppm/°C</ns0:t>
        </ns0:is>
      </ns0:c>
    </ns0:row>
    <ns0:row xmlns:ns0="http://schemas.openxmlformats.org/spreadsheetml/2006/main" r="495" ht="30" customHeight="1">
      <ns0:c r="A495" t="str" s="10">
        <ns0:v>R0501</ns0:v>
      </ns0:c>
      <ns0:c r="B495" t="str" s="10">
        <ns0:v>Резистор</ns0:v>
      </ns0:c>
      <ns0:c r="C495" t="str" s="10">
        <ns0:v>220R</ns0:v>
      </ns0:c>
      <ns0:c r="D495" t="str" s="11">
        <ns0:f>SUBSTITUTE(SUBSTITUTE(SUBSTITUTE(SUBSTITUTE(C495,"meg"," МОм"),"k"," кОм"),"R"," Ом"),".",",")</ns0:f>
        <ns0:v>220 Ом</ns0:v>
      </ns0:c>
      <ns0:c r="E495" t="str" s="10">
        <ns0:v>±1%</ns0:v>
      </ns0:c>
      <ns0:c r="F495" t="str" s="10">
        <ns0:v>0,125 Вт</ns0:v>
      </ns0:c>
      <ns0:c r="G495" t="str" s="10">
        <ns0:v>150 В макс.</ns0:v>
      </ns0:c>
      <ns0:c r="H495" t="str" s="12">
        <ns0:v>0805</ns0:v>
      </ns0:c>
      <ns0:c r="I495" t="str" s="10">
        <ns0:v>YAGEO</ns0:v>
      </ns0:c>
      <ns0:c r="J495" t="str" s="10">
        <ns0:v>RC0805FR-07220RL</ns0:v>
      </ns0:c>
      <ns0:c r="K495" t="str" s="11">
        <ns0:f>B495&amp;" "&amp;D495&amp;" "&amp;E495&amp;" "&amp;H495</ns0:f>
        <ns0:v>Резистор 220 Ом ±1% 0805</ns0:v>
      </ns0:c>
      <ns0:c r="L495" t="str" s="13">
        <ns0:v>R</ns0:v>
      </ns0:c>
      <ns0:c r="M495" t="str" s="13">
        <ns0:v>Symbols\MY_LIB_Resistors.SchLib</ns0:v>
      </ns0:c>
      <ns0:c r="N495" t="str" s="13">
        <ns0:v>RESC2012X70N</ns0:v>
      </ns0:c>
      <ns0:c r="O495" t="str" s="13">
        <ns0:v>Footprints\PBL - SMD Packages.PcbLib</ns0:v>
      </ns0:c>
      <ns0:c xmlns:ns0="http://schemas.openxmlformats.org/spreadsheetml/2006/main" r="P49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5" s="10"/>
      <ns0:c r="R495" t="str" s="11">
        <ns0:f>D495</ns0:f>
        <ns0:v>220 Ом</ns0:v>
      </ns0:c>
      <ns0:c r="S495" t="str" s="11">
        <ns0:f>K495</ns0:f>
        <ns0:v>Резистор 220 Ом ±1% 0805</ns0:v>
      </ns0:c>
      <x:c xmlns:x="http://schemas.openxmlformats.org/spreadsheetml/2006/main" r="T495" t="str" s="11">
        <x:v>C:\Users\Nomatin\Documents\Altium\MY_LIB\MY_LIB\Datasheets\YAGEO_RC_L.pdf</x:v>
      </x:c>
      <x:c xmlns:x="http://schemas.openxmlformats.org/spreadsheetml/2006/main" r="U495" t="str" s="11">
        <x:v>Даташит — локальный</x:v>
      </x:c>
      <x:c xmlns:x="http://schemas.openxmlformats.org/spreadsheetml/2006/main" r="V495" t="str" s="11">
        <x:v>C:\Users\Nomatin\Documents\Altium\MY_LIB\MY_LIB\Datasheets\YAGEO_RC_L.pdf</x:v>
      </x:c>
      <x:c xmlns:x="http://schemas.openxmlformats.org/spreadsheetml/2006/main" r="W495" t="str" s="11">
        <x:v>Даташит — производитель</x:v>
      </x:c>
      <x:c xmlns:x="http://schemas.openxmlformats.org/spreadsheetml/2006/main" r="X495" t="str" s="11">
        <x:v>https://yageogroup.com/content/datasheet/asset/file/PYU-RC_GROUP_51_ROHS_L</x:v>
      </x:c>
      <x:c xmlns:x="http://schemas.openxmlformats.org/spreadsheetml/2006/main" r="Y495" t="str" s="11">
        <x:v>C:\Users\Nomatin\Documents\Altium\MY_LIB\MY_LIB\Datasheets\YAGEO_RC_L.pdf</x:v>
      </x:c>
      <ns0:c xmlns:ns0="http://schemas.openxmlformats.org/spreadsheetml/2006/main" r="Z495" s="16" t="inlineStr">
        <ns0:is>
          <ns0:t>MY_LIB_R_TCR</ns0:t>
        </ns0:is>
      </ns0:c>
      <ns0:c xmlns:ns0="http://schemas.openxmlformats.org/spreadsheetml/2006/main" r="AA495" s="16" t="inlineStr">
        <ns0:is>
          <ns0:t>R(T), +100 ppm/C at 25 C; positive datasheet limit</ns0:t>
        </ns0:is>
      </ns0:c>
      <ns0:c xmlns:ns0="http://schemas.openxmlformats.org/spreadsheetml/2006/main" r="AB495" s="16" t="str">
        <ns0:v>General</ns0:v>
      </ns0:c>
      <ns0:c xmlns:ns0="http://schemas.openxmlformats.org/spreadsheetml/2006/main" r="AC495" s="16" t="inlineStr">
        <ns0:is>
          <ns0:t>Spice Subcircuit</ns0:t>
        </ns0:is>
      </ns0:c>
      <ns0:c xmlns:ns0="http://schemas.openxmlformats.org/spreadsheetml/2006/main" r="AD495" s="16" t="inlineStr">
        <ns0:is>
          <ns0:t>@DESIGNATOR %1 %2 @MODEL PARAMS: Rvalue=@VALUE TC1value=100u</ns0:t>
        </ns0:is>
      </ns0:c>
      <ns0:c xmlns:ns0="http://schemas.openxmlformats.org/spreadsheetml/2006/main" r="AE495" s="16" t="inlineStr">
        <ns0:is>
          <ns0:t>X</ns0:t>
        </ns0:is>
      </ns0:c>
      <ns0:c xmlns:ns0="http://schemas.openxmlformats.org/spreadsheetml/2006/main" r="AF495" s="16" t="str">
        <ns0:v>(1:1),(2:2)</ns0:v>
      </ns0:c>
      <ns0:c xmlns:ns0="http://schemas.openxmlformats.org/spreadsheetml/2006/main" r="AG495" s="16" t="inlineStr">
        <ns0:is>
          <ns0:t>Simulation\Resistors\MY_LIB_R_TCR.ckt</ns0:t>
        </ns0:is>
      </ns0:c>
      <ns0:c xmlns:ns0="http://schemas.openxmlformats.org/spreadsheetml/2006/main" r="AH495" s="16" t="inlineStr">
        <ns0:is>
          <ns0:t>±100 ppm/°C</ns0:t>
        </ns0:is>
      </ns0:c>
    </ns0:row>
    <ns0:row xmlns:ns0="http://schemas.openxmlformats.org/spreadsheetml/2006/main" r="496" ht="30" customHeight="1">
      <ns0:c r="A496" t="str" s="10">
        <ns0:v>R0502</ns0:v>
      </ns0:c>
      <ns0:c r="B496" t="str" s="10">
        <ns0:v>Резистор</ns0:v>
      </ns0:c>
      <ns0:c r="C496" t="str" s="10">
        <ns0:v>240R</ns0:v>
      </ns0:c>
      <ns0:c r="D496" t="str" s="11">
        <ns0:f>SUBSTITUTE(SUBSTITUTE(SUBSTITUTE(SUBSTITUTE(C496,"meg"," МОм"),"k"," кОм"),"R"," Ом"),".",",")</ns0:f>
        <ns0:v>240 Ом</ns0:v>
      </ns0:c>
      <ns0:c r="E496" t="str" s="10">
        <ns0:v>±1%</ns0:v>
      </ns0:c>
      <ns0:c r="F496" t="str" s="10">
        <ns0:v>0,125 Вт</ns0:v>
      </ns0:c>
      <ns0:c r="G496" t="str" s="10">
        <ns0:v>150 В макс.</ns0:v>
      </ns0:c>
      <ns0:c r="H496" t="str" s="12">
        <ns0:v>0805</ns0:v>
      </ns0:c>
      <ns0:c r="I496" t="str" s="10">
        <ns0:v>YAGEO</ns0:v>
      </ns0:c>
      <ns0:c r="J496" t="str" s="10">
        <ns0:v>RC0805FR-07240RL</ns0:v>
      </ns0:c>
      <ns0:c r="K496" t="str" s="11">
        <ns0:f>B496&amp;" "&amp;D496&amp;" "&amp;E496&amp;" "&amp;H496</ns0:f>
        <ns0:v>Резистор 240 Ом ±1% 0805</ns0:v>
      </ns0:c>
      <ns0:c r="L496" t="str" s="13">
        <ns0:v>R</ns0:v>
      </ns0:c>
      <ns0:c r="M496" t="str" s="13">
        <ns0:v>Symbols\MY_LIB_Resistors.SchLib</ns0:v>
      </ns0:c>
      <ns0:c r="N496" t="str" s="13">
        <ns0:v>RESC2012X70N</ns0:v>
      </ns0:c>
      <ns0:c r="O496" t="str" s="13">
        <ns0:v>Footprints\PBL - SMD Packages.PcbLib</ns0:v>
      </ns0:c>
      <ns0:c xmlns:ns0="http://schemas.openxmlformats.org/spreadsheetml/2006/main" r="P49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6" s="10"/>
      <ns0:c r="R496" t="str" s="11">
        <ns0:f>D496</ns0:f>
        <ns0:v>240 Ом</ns0:v>
      </ns0:c>
      <ns0:c r="S496" t="str" s="11">
        <ns0:f>K496</ns0:f>
        <ns0:v>Резистор 240 Ом ±1% 0805</ns0:v>
      </ns0:c>
      <x:c xmlns:x="http://schemas.openxmlformats.org/spreadsheetml/2006/main" r="T496" t="str" s="11">
        <x:v>C:\Users\Nomatin\Documents\Altium\MY_LIB\MY_LIB\Datasheets\YAGEO_RC_L.pdf</x:v>
      </x:c>
      <x:c xmlns:x="http://schemas.openxmlformats.org/spreadsheetml/2006/main" r="U496" t="str" s="11">
        <x:v>Даташит — локальный</x:v>
      </x:c>
      <x:c xmlns:x="http://schemas.openxmlformats.org/spreadsheetml/2006/main" r="V496" t="str" s="11">
        <x:v>C:\Users\Nomatin\Documents\Altium\MY_LIB\MY_LIB\Datasheets\YAGEO_RC_L.pdf</x:v>
      </x:c>
      <x:c xmlns:x="http://schemas.openxmlformats.org/spreadsheetml/2006/main" r="W496" t="str" s="11">
        <x:v>Даташит — производитель</x:v>
      </x:c>
      <x:c xmlns:x="http://schemas.openxmlformats.org/spreadsheetml/2006/main" r="X496" t="str" s="11">
        <x:v>https://yageogroup.com/content/datasheet/asset/file/PYU-RC_GROUP_51_ROHS_L</x:v>
      </x:c>
      <x:c xmlns:x="http://schemas.openxmlformats.org/spreadsheetml/2006/main" r="Y496" t="str" s="11">
        <x:v>C:\Users\Nomatin\Documents\Altium\MY_LIB\MY_LIB\Datasheets\YAGEO_RC_L.pdf</x:v>
      </x:c>
      <ns0:c xmlns:ns0="http://schemas.openxmlformats.org/spreadsheetml/2006/main" r="Z496" s="16" t="inlineStr">
        <ns0:is>
          <ns0:t>MY_LIB_R_TCR</ns0:t>
        </ns0:is>
      </ns0:c>
      <ns0:c xmlns:ns0="http://schemas.openxmlformats.org/spreadsheetml/2006/main" r="AA496" s="16" t="inlineStr">
        <ns0:is>
          <ns0:t>R(T), +100 ppm/C at 25 C; positive datasheet limit</ns0:t>
        </ns0:is>
      </ns0:c>
      <ns0:c xmlns:ns0="http://schemas.openxmlformats.org/spreadsheetml/2006/main" r="AB496" s="16" t="str">
        <ns0:v>General</ns0:v>
      </ns0:c>
      <ns0:c xmlns:ns0="http://schemas.openxmlformats.org/spreadsheetml/2006/main" r="AC496" s="16" t="inlineStr">
        <ns0:is>
          <ns0:t>Spice Subcircuit</ns0:t>
        </ns0:is>
      </ns0:c>
      <ns0:c xmlns:ns0="http://schemas.openxmlformats.org/spreadsheetml/2006/main" r="AD496" s="16" t="inlineStr">
        <ns0:is>
          <ns0:t>@DESIGNATOR %1 %2 @MODEL PARAMS: Rvalue=@VALUE TC1value=100u</ns0:t>
        </ns0:is>
      </ns0:c>
      <ns0:c xmlns:ns0="http://schemas.openxmlformats.org/spreadsheetml/2006/main" r="AE496" s="16" t="inlineStr">
        <ns0:is>
          <ns0:t>X</ns0:t>
        </ns0:is>
      </ns0:c>
      <ns0:c xmlns:ns0="http://schemas.openxmlformats.org/spreadsheetml/2006/main" r="AF496" s="16" t="str">
        <ns0:v>(1:1),(2:2)</ns0:v>
      </ns0:c>
      <ns0:c xmlns:ns0="http://schemas.openxmlformats.org/spreadsheetml/2006/main" r="AG496" s="16" t="inlineStr">
        <ns0:is>
          <ns0:t>Simulation\Resistors\MY_LIB_R_TCR.ckt</ns0:t>
        </ns0:is>
      </ns0:c>
      <ns0:c xmlns:ns0="http://schemas.openxmlformats.org/spreadsheetml/2006/main" r="AH496" s="16" t="inlineStr">
        <ns0:is>
          <ns0:t>±100 ppm/°C</ns0:t>
        </ns0:is>
      </ns0:c>
    </ns0:row>
    <ns0:row xmlns:ns0="http://schemas.openxmlformats.org/spreadsheetml/2006/main" r="497" ht="30" customHeight="1">
      <ns0:c r="A497" t="str" s="10">
        <ns0:v>R0503</ns0:v>
      </ns0:c>
      <ns0:c r="B497" t="str" s="10">
        <ns0:v>Резистор</ns0:v>
      </ns0:c>
      <ns0:c r="C497" t="str" s="10">
        <ns0:v>270R</ns0:v>
      </ns0:c>
      <ns0:c r="D497" t="str" s="11">
        <ns0:f>SUBSTITUTE(SUBSTITUTE(SUBSTITUTE(SUBSTITUTE(C497,"meg"," МОм"),"k"," кОм"),"R"," Ом"),".",",")</ns0:f>
        <ns0:v>270 Ом</ns0:v>
      </ns0:c>
      <ns0:c r="E497" t="str" s="10">
        <ns0:v>±1%</ns0:v>
      </ns0:c>
      <ns0:c r="F497" t="str" s="10">
        <ns0:v>0,125 Вт</ns0:v>
      </ns0:c>
      <ns0:c r="G497" t="str" s="10">
        <ns0:v>150 В макс.</ns0:v>
      </ns0:c>
      <ns0:c r="H497" t="str" s="12">
        <ns0:v>0805</ns0:v>
      </ns0:c>
      <ns0:c r="I497" t="str" s="10">
        <ns0:v>YAGEO</ns0:v>
      </ns0:c>
      <ns0:c r="J497" t="str" s="10">
        <ns0:v>RC0805FR-07270RL</ns0:v>
      </ns0:c>
      <ns0:c r="K497" t="str" s="11">
        <ns0:f>B497&amp;" "&amp;D497&amp;" "&amp;E497&amp;" "&amp;H497</ns0:f>
        <ns0:v>Резистор 270 Ом ±1% 0805</ns0:v>
      </ns0:c>
      <ns0:c r="L497" t="str" s="13">
        <ns0:v>R</ns0:v>
      </ns0:c>
      <ns0:c r="M497" t="str" s="13">
        <ns0:v>Symbols\MY_LIB_Resistors.SchLib</ns0:v>
      </ns0:c>
      <ns0:c r="N497" t="str" s="13">
        <ns0:v>RESC2012X70N</ns0:v>
      </ns0:c>
      <ns0:c r="O497" t="str" s="13">
        <ns0:v>Footprints\PBL - SMD Packages.PcbLib</ns0:v>
      </ns0:c>
      <ns0:c xmlns:ns0="http://schemas.openxmlformats.org/spreadsheetml/2006/main" r="P49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7" s="10"/>
      <ns0:c r="R497" t="str" s="11">
        <ns0:f>D497</ns0:f>
        <ns0:v>270 Ом</ns0:v>
      </ns0:c>
      <ns0:c r="S497" t="str" s="11">
        <ns0:f>K497</ns0:f>
        <ns0:v>Резистор 270 Ом ±1% 0805</ns0:v>
      </ns0:c>
      <x:c xmlns:x="http://schemas.openxmlformats.org/spreadsheetml/2006/main" r="T497" t="str" s="11">
        <x:v>C:\Users\Nomatin\Documents\Altium\MY_LIB\MY_LIB\Datasheets\YAGEO_RC_L.pdf</x:v>
      </x:c>
      <x:c xmlns:x="http://schemas.openxmlformats.org/spreadsheetml/2006/main" r="U497" t="str" s="11">
        <x:v>Даташит — локальный</x:v>
      </x:c>
      <x:c xmlns:x="http://schemas.openxmlformats.org/spreadsheetml/2006/main" r="V497" t="str" s="11">
        <x:v>C:\Users\Nomatin\Documents\Altium\MY_LIB\MY_LIB\Datasheets\YAGEO_RC_L.pdf</x:v>
      </x:c>
      <x:c xmlns:x="http://schemas.openxmlformats.org/spreadsheetml/2006/main" r="W497" t="str" s="11">
        <x:v>Даташит — производитель</x:v>
      </x:c>
      <x:c xmlns:x="http://schemas.openxmlformats.org/spreadsheetml/2006/main" r="X497" t="str" s="11">
        <x:v>https://yageogroup.com/content/datasheet/asset/file/PYU-RC_GROUP_51_ROHS_L</x:v>
      </x:c>
      <x:c xmlns:x="http://schemas.openxmlformats.org/spreadsheetml/2006/main" r="Y497" t="str" s="11">
        <x:v>C:\Users\Nomatin\Documents\Altium\MY_LIB\MY_LIB\Datasheets\YAGEO_RC_L.pdf</x:v>
      </x:c>
      <ns0:c xmlns:ns0="http://schemas.openxmlformats.org/spreadsheetml/2006/main" r="Z497" s="16" t="inlineStr">
        <ns0:is>
          <ns0:t>MY_LIB_R_TCR</ns0:t>
        </ns0:is>
      </ns0:c>
      <ns0:c xmlns:ns0="http://schemas.openxmlformats.org/spreadsheetml/2006/main" r="AA497" s="16" t="inlineStr">
        <ns0:is>
          <ns0:t>R(T), +100 ppm/C at 25 C; positive datasheet limit</ns0:t>
        </ns0:is>
      </ns0:c>
      <ns0:c xmlns:ns0="http://schemas.openxmlformats.org/spreadsheetml/2006/main" r="AB497" s="16" t="str">
        <ns0:v>General</ns0:v>
      </ns0:c>
      <ns0:c xmlns:ns0="http://schemas.openxmlformats.org/spreadsheetml/2006/main" r="AC497" s="16" t="inlineStr">
        <ns0:is>
          <ns0:t>Spice Subcircuit</ns0:t>
        </ns0:is>
      </ns0:c>
      <ns0:c xmlns:ns0="http://schemas.openxmlformats.org/spreadsheetml/2006/main" r="AD497" s="16" t="inlineStr">
        <ns0:is>
          <ns0:t>@DESIGNATOR %1 %2 @MODEL PARAMS: Rvalue=@VALUE TC1value=100u</ns0:t>
        </ns0:is>
      </ns0:c>
      <ns0:c xmlns:ns0="http://schemas.openxmlformats.org/spreadsheetml/2006/main" r="AE497" s="16" t="inlineStr">
        <ns0:is>
          <ns0:t>X</ns0:t>
        </ns0:is>
      </ns0:c>
      <ns0:c xmlns:ns0="http://schemas.openxmlformats.org/spreadsheetml/2006/main" r="AF497" s="16" t="str">
        <ns0:v>(1:1),(2:2)</ns0:v>
      </ns0:c>
      <ns0:c xmlns:ns0="http://schemas.openxmlformats.org/spreadsheetml/2006/main" r="AG497" s="16" t="inlineStr">
        <ns0:is>
          <ns0:t>Simulation\Resistors\MY_LIB_R_TCR.ckt</ns0:t>
        </ns0:is>
      </ns0:c>
      <ns0:c xmlns:ns0="http://schemas.openxmlformats.org/spreadsheetml/2006/main" r="AH497" s="16" t="inlineStr">
        <ns0:is>
          <ns0:t>±100 ppm/°C</ns0:t>
        </ns0:is>
      </ns0:c>
    </ns0:row>
    <ns0:row xmlns:ns0="http://schemas.openxmlformats.org/spreadsheetml/2006/main" r="498" ht="30" customHeight="1">
      <ns0:c r="A498" t="str" s="10">
        <ns0:v>R0504</ns0:v>
      </ns0:c>
      <ns0:c r="B498" t="str" s="10">
        <ns0:v>Резистор</ns0:v>
      </ns0:c>
      <ns0:c r="C498" t="str" s="10">
        <ns0:v>300R</ns0:v>
      </ns0:c>
      <ns0:c r="D498" t="str" s="11">
        <ns0:f>SUBSTITUTE(SUBSTITUTE(SUBSTITUTE(SUBSTITUTE(C498,"meg"," МОм"),"k"," кОм"),"R"," Ом"),".",",")</ns0:f>
        <ns0:v>300 Ом</ns0:v>
      </ns0:c>
      <ns0:c r="E498" t="str" s="10">
        <ns0:v>±1%</ns0:v>
      </ns0:c>
      <ns0:c r="F498" t="str" s="10">
        <ns0:v>0,125 Вт</ns0:v>
      </ns0:c>
      <ns0:c r="G498" t="str" s="10">
        <ns0:v>150 В макс.</ns0:v>
      </ns0:c>
      <ns0:c r="H498" t="str" s="12">
        <ns0:v>0805</ns0:v>
      </ns0:c>
      <ns0:c r="I498" t="str" s="10">
        <ns0:v>YAGEO</ns0:v>
      </ns0:c>
      <ns0:c r="J498" t="str" s="10">
        <ns0:v>RC0805FR-07300RL</ns0:v>
      </ns0:c>
      <ns0:c r="K498" t="str" s="11">
        <ns0:f>B498&amp;" "&amp;D498&amp;" "&amp;E498&amp;" "&amp;H498</ns0:f>
        <ns0:v>Резистор 300 Ом ±1% 0805</ns0:v>
      </ns0:c>
      <ns0:c r="L498" t="str" s="13">
        <ns0:v>R</ns0:v>
      </ns0:c>
      <ns0:c r="M498" t="str" s="13">
        <ns0:v>Symbols\MY_LIB_Resistors.SchLib</ns0:v>
      </ns0:c>
      <ns0:c r="N498" t="str" s="13">
        <ns0:v>RESC2012X70N</ns0:v>
      </ns0:c>
      <ns0:c r="O498" t="str" s="13">
        <ns0:v>Footprints\PBL - SMD Packages.PcbLib</ns0:v>
      </ns0:c>
      <ns0:c xmlns:ns0="http://schemas.openxmlformats.org/spreadsheetml/2006/main" r="P49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8" s="10"/>
      <ns0:c r="R498" t="str" s="11">
        <ns0:f>D498</ns0:f>
        <ns0:v>300 Ом</ns0:v>
      </ns0:c>
      <ns0:c r="S498" t="str" s="11">
        <ns0:f>K498</ns0:f>
        <ns0:v>Резистор 300 Ом ±1% 0805</ns0:v>
      </ns0:c>
      <x:c xmlns:x="http://schemas.openxmlformats.org/spreadsheetml/2006/main" r="T498" t="str" s="11">
        <x:v>C:\Users\Nomatin\Documents\Altium\MY_LIB\MY_LIB\Datasheets\YAGEO_RC_L.pdf</x:v>
      </x:c>
      <x:c xmlns:x="http://schemas.openxmlformats.org/spreadsheetml/2006/main" r="U498" t="str" s="11">
        <x:v>Даташит — локальный</x:v>
      </x:c>
      <x:c xmlns:x="http://schemas.openxmlformats.org/spreadsheetml/2006/main" r="V498" t="str" s="11">
        <x:v>C:\Users\Nomatin\Documents\Altium\MY_LIB\MY_LIB\Datasheets\YAGEO_RC_L.pdf</x:v>
      </x:c>
      <x:c xmlns:x="http://schemas.openxmlformats.org/spreadsheetml/2006/main" r="W498" t="str" s="11">
        <x:v>Даташит — производитель</x:v>
      </x:c>
      <x:c xmlns:x="http://schemas.openxmlformats.org/spreadsheetml/2006/main" r="X498" t="str" s="11">
        <x:v>https://yageogroup.com/content/datasheet/asset/file/PYU-RC_GROUP_51_ROHS_L</x:v>
      </x:c>
      <x:c xmlns:x="http://schemas.openxmlformats.org/spreadsheetml/2006/main" r="Y498" t="str" s="11">
        <x:v>C:\Users\Nomatin\Documents\Altium\MY_LIB\MY_LIB\Datasheets\YAGEO_RC_L.pdf</x:v>
      </x:c>
      <ns0:c xmlns:ns0="http://schemas.openxmlformats.org/spreadsheetml/2006/main" r="Z498" s="16" t="inlineStr">
        <ns0:is>
          <ns0:t>MY_LIB_R_TCR</ns0:t>
        </ns0:is>
      </ns0:c>
      <ns0:c xmlns:ns0="http://schemas.openxmlformats.org/spreadsheetml/2006/main" r="AA498" s="16" t="inlineStr">
        <ns0:is>
          <ns0:t>R(T), +100 ppm/C at 25 C; positive datasheet limit</ns0:t>
        </ns0:is>
      </ns0:c>
      <ns0:c xmlns:ns0="http://schemas.openxmlformats.org/spreadsheetml/2006/main" r="AB498" s="16" t="str">
        <ns0:v>General</ns0:v>
      </ns0:c>
      <ns0:c xmlns:ns0="http://schemas.openxmlformats.org/spreadsheetml/2006/main" r="AC498" s="16" t="inlineStr">
        <ns0:is>
          <ns0:t>Spice Subcircuit</ns0:t>
        </ns0:is>
      </ns0:c>
      <ns0:c xmlns:ns0="http://schemas.openxmlformats.org/spreadsheetml/2006/main" r="AD498" s="16" t="inlineStr">
        <ns0:is>
          <ns0:t>@DESIGNATOR %1 %2 @MODEL PARAMS: Rvalue=@VALUE TC1value=100u</ns0:t>
        </ns0:is>
      </ns0:c>
      <ns0:c xmlns:ns0="http://schemas.openxmlformats.org/spreadsheetml/2006/main" r="AE498" s="16" t="inlineStr">
        <ns0:is>
          <ns0:t>X</ns0:t>
        </ns0:is>
      </ns0:c>
      <ns0:c xmlns:ns0="http://schemas.openxmlformats.org/spreadsheetml/2006/main" r="AF498" s="16" t="str">
        <ns0:v>(1:1),(2:2)</ns0:v>
      </ns0:c>
      <ns0:c xmlns:ns0="http://schemas.openxmlformats.org/spreadsheetml/2006/main" r="AG498" s="16" t="inlineStr">
        <ns0:is>
          <ns0:t>Simulation\Resistors\MY_LIB_R_TCR.ckt</ns0:t>
        </ns0:is>
      </ns0:c>
      <ns0:c xmlns:ns0="http://schemas.openxmlformats.org/spreadsheetml/2006/main" r="AH498" s="16" t="inlineStr">
        <ns0:is>
          <ns0:t>±100 ppm/°C</ns0:t>
        </ns0:is>
      </ns0:c>
    </ns0:row>
    <ns0:row xmlns:ns0="http://schemas.openxmlformats.org/spreadsheetml/2006/main" r="499" ht="30" customHeight="1">
      <ns0:c r="A499" t="str" s="10">
        <ns0:v>R0505</ns0:v>
      </ns0:c>
      <ns0:c r="B499" t="str" s="10">
        <ns0:v>Резистор</ns0:v>
      </ns0:c>
      <ns0:c r="C499" t="str" s="10">
        <ns0:v>330R</ns0:v>
      </ns0:c>
      <ns0:c r="D499" t="str" s="11">
        <ns0:f>SUBSTITUTE(SUBSTITUTE(SUBSTITUTE(SUBSTITUTE(C499,"meg"," МОм"),"k"," кОм"),"R"," Ом"),".",",")</ns0:f>
        <ns0:v>330 Ом</ns0:v>
      </ns0:c>
      <ns0:c r="E499" t="str" s="10">
        <ns0:v>±1%</ns0:v>
      </ns0:c>
      <ns0:c r="F499" t="str" s="10">
        <ns0:v>0,125 Вт</ns0:v>
      </ns0:c>
      <ns0:c r="G499" t="str" s="10">
        <ns0:v>150 В макс.</ns0:v>
      </ns0:c>
      <ns0:c r="H499" t="str" s="12">
        <ns0:v>0805</ns0:v>
      </ns0:c>
      <ns0:c r="I499" t="str" s="10">
        <ns0:v>YAGEO</ns0:v>
      </ns0:c>
      <ns0:c r="J499" t="str" s="10">
        <ns0:v>RC0805FR-07330RL</ns0:v>
      </ns0:c>
      <ns0:c r="K499" t="str" s="11">
        <ns0:f>B499&amp;" "&amp;D499&amp;" "&amp;E499&amp;" "&amp;H499</ns0:f>
        <ns0:v>Резистор 330 Ом ±1% 0805</ns0:v>
      </ns0:c>
      <ns0:c r="L499" t="str" s="13">
        <ns0:v>R</ns0:v>
      </ns0:c>
      <ns0:c r="M499" t="str" s="13">
        <ns0:v>Symbols\MY_LIB_Resistors.SchLib</ns0:v>
      </ns0:c>
      <ns0:c r="N499" t="str" s="13">
        <ns0:v>RESC2012X70N</ns0:v>
      </ns0:c>
      <ns0:c r="O499" t="str" s="13">
        <ns0:v>Footprints\PBL - SMD Packages.PcbLib</ns0:v>
      </ns0:c>
      <ns0:c xmlns:ns0="http://schemas.openxmlformats.org/spreadsheetml/2006/main" r="P49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499" s="10"/>
      <ns0:c r="R499" t="str" s="11">
        <ns0:f>D499</ns0:f>
        <ns0:v>330 Ом</ns0:v>
      </ns0:c>
      <ns0:c r="S499" t="str" s="11">
        <ns0:f>K499</ns0:f>
        <ns0:v>Резистор 330 Ом ±1% 0805</ns0:v>
      </ns0:c>
      <x:c xmlns:x="http://schemas.openxmlformats.org/spreadsheetml/2006/main" r="T499" t="str" s="11">
        <x:v>C:\Users\Nomatin\Documents\Altium\MY_LIB\MY_LIB\Datasheets\YAGEO_RC_L.pdf</x:v>
      </x:c>
      <x:c xmlns:x="http://schemas.openxmlformats.org/spreadsheetml/2006/main" r="U499" t="str" s="11">
        <x:v>Даташит — локальный</x:v>
      </x:c>
      <x:c xmlns:x="http://schemas.openxmlformats.org/spreadsheetml/2006/main" r="V499" t="str" s="11">
        <x:v>C:\Users\Nomatin\Documents\Altium\MY_LIB\MY_LIB\Datasheets\YAGEO_RC_L.pdf</x:v>
      </x:c>
      <x:c xmlns:x="http://schemas.openxmlformats.org/spreadsheetml/2006/main" r="W499" t="str" s="11">
        <x:v>Даташит — производитель</x:v>
      </x:c>
      <x:c xmlns:x="http://schemas.openxmlformats.org/spreadsheetml/2006/main" r="X499" t="str" s="11">
        <x:v>https://yageogroup.com/content/datasheet/asset/file/PYU-RC_GROUP_51_ROHS_L</x:v>
      </x:c>
      <x:c xmlns:x="http://schemas.openxmlformats.org/spreadsheetml/2006/main" r="Y499" t="str" s="11">
        <x:v>C:\Users\Nomatin\Documents\Altium\MY_LIB\MY_LIB\Datasheets\YAGEO_RC_L.pdf</x:v>
      </x:c>
      <ns0:c xmlns:ns0="http://schemas.openxmlformats.org/spreadsheetml/2006/main" r="Z499" s="16" t="inlineStr">
        <ns0:is>
          <ns0:t>MY_LIB_R_TCR</ns0:t>
        </ns0:is>
      </ns0:c>
      <ns0:c xmlns:ns0="http://schemas.openxmlformats.org/spreadsheetml/2006/main" r="AA499" s="16" t="inlineStr">
        <ns0:is>
          <ns0:t>R(T), +100 ppm/C at 25 C; positive datasheet limit</ns0:t>
        </ns0:is>
      </ns0:c>
      <ns0:c xmlns:ns0="http://schemas.openxmlformats.org/spreadsheetml/2006/main" r="AB499" s="16" t="str">
        <ns0:v>General</ns0:v>
      </ns0:c>
      <ns0:c xmlns:ns0="http://schemas.openxmlformats.org/spreadsheetml/2006/main" r="AC499" s="16" t="inlineStr">
        <ns0:is>
          <ns0:t>Spice Subcircuit</ns0:t>
        </ns0:is>
      </ns0:c>
      <ns0:c xmlns:ns0="http://schemas.openxmlformats.org/spreadsheetml/2006/main" r="AD499" s="16" t="inlineStr">
        <ns0:is>
          <ns0:t>@DESIGNATOR %1 %2 @MODEL PARAMS: Rvalue=@VALUE TC1value=100u</ns0:t>
        </ns0:is>
      </ns0:c>
      <ns0:c xmlns:ns0="http://schemas.openxmlformats.org/spreadsheetml/2006/main" r="AE499" s="16" t="inlineStr">
        <ns0:is>
          <ns0:t>X</ns0:t>
        </ns0:is>
      </ns0:c>
      <ns0:c xmlns:ns0="http://schemas.openxmlformats.org/spreadsheetml/2006/main" r="AF499" s="16" t="str">
        <ns0:v>(1:1),(2:2)</ns0:v>
      </ns0:c>
      <ns0:c xmlns:ns0="http://schemas.openxmlformats.org/spreadsheetml/2006/main" r="AG499" s="16" t="inlineStr">
        <ns0:is>
          <ns0:t>Simulation\Resistors\MY_LIB_R_TCR.ckt</ns0:t>
        </ns0:is>
      </ns0:c>
      <ns0:c xmlns:ns0="http://schemas.openxmlformats.org/spreadsheetml/2006/main" r="AH499" s="16" t="inlineStr">
        <ns0:is>
          <ns0:t>±100 ppm/°C</ns0:t>
        </ns0:is>
      </ns0:c>
    </ns0:row>
    <ns0:row xmlns:ns0="http://schemas.openxmlformats.org/spreadsheetml/2006/main" r="500" ht="30" customHeight="1">
      <ns0:c r="A500" t="str" s="10">
        <ns0:v>R0506</ns0:v>
      </ns0:c>
      <ns0:c r="B500" t="str" s="10">
        <ns0:v>Резистор</ns0:v>
      </ns0:c>
      <ns0:c r="C500" t="str" s="10">
        <ns0:v>360R</ns0:v>
      </ns0:c>
      <ns0:c r="D500" t="str" s="11">
        <ns0:f>SUBSTITUTE(SUBSTITUTE(SUBSTITUTE(SUBSTITUTE(C500,"meg"," МОм"),"k"," кОм"),"R"," Ом"),".",",")</ns0:f>
        <ns0:v>360 Ом</ns0:v>
      </ns0:c>
      <ns0:c r="E500" t="str" s="10">
        <ns0:v>±1%</ns0:v>
      </ns0:c>
      <ns0:c r="F500" t="str" s="10">
        <ns0:v>0,125 Вт</ns0:v>
      </ns0:c>
      <ns0:c r="G500" t="str" s="10">
        <ns0:v>150 В макс.</ns0:v>
      </ns0:c>
      <ns0:c r="H500" t="str" s="12">
        <ns0:v>0805</ns0:v>
      </ns0:c>
      <ns0:c r="I500" t="str" s="10">
        <ns0:v>YAGEO</ns0:v>
      </ns0:c>
      <ns0:c r="J500" t="str" s="10">
        <ns0:v>RC0805FR-07360RL</ns0:v>
      </ns0:c>
      <ns0:c r="K500" t="str" s="11">
        <ns0:f>B500&amp;" "&amp;D500&amp;" "&amp;E500&amp;" "&amp;H500</ns0:f>
        <ns0:v>Резистор 360 Ом ±1% 0805</ns0:v>
      </ns0:c>
      <ns0:c r="L500" t="str" s="13">
        <ns0:v>R</ns0:v>
      </ns0:c>
      <ns0:c r="M500" t="str" s="13">
        <ns0:v>Symbols\MY_LIB_Resistors.SchLib</ns0:v>
      </ns0:c>
      <ns0:c r="N500" t="str" s="13">
        <ns0:v>RESC2012X70N</ns0:v>
      </ns0:c>
      <ns0:c r="O500" t="str" s="13">
        <ns0:v>Footprints\PBL - SMD Packages.PcbLib</ns0:v>
      </ns0:c>
      <ns0:c xmlns:ns0="http://schemas.openxmlformats.org/spreadsheetml/2006/main" r="P50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0" s="10"/>
      <ns0:c r="R500" t="str" s="11">
        <ns0:f>D500</ns0:f>
        <ns0:v>360 Ом</ns0:v>
      </ns0:c>
      <ns0:c r="S500" t="str" s="11">
        <ns0:f>K500</ns0:f>
        <ns0:v>Резистор 360 Ом ±1% 0805</ns0:v>
      </ns0:c>
      <x:c xmlns:x="http://schemas.openxmlformats.org/spreadsheetml/2006/main" r="T500" t="str" s="11">
        <x:v>C:\Users\Nomatin\Documents\Altium\MY_LIB\MY_LIB\Datasheets\YAGEO_RC_L.pdf</x:v>
      </x:c>
      <x:c xmlns:x="http://schemas.openxmlformats.org/spreadsheetml/2006/main" r="U500" t="str" s="11">
        <x:v>Даташит — локальный</x:v>
      </x:c>
      <x:c xmlns:x="http://schemas.openxmlformats.org/spreadsheetml/2006/main" r="V500" t="str" s="11">
        <x:v>C:\Users\Nomatin\Documents\Altium\MY_LIB\MY_LIB\Datasheets\YAGEO_RC_L.pdf</x:v>
      </x:c>
      <x:c xmlns:x="http://schemas.openxmlformats.org/spreadsheetml/2006/main" r="W500" t="str" s="11">
        <x:v>Даташит — производитель</x:v>
      </x:c>
      <x:c xmlns:x="http://schemas.openxmlformats.org/spreadsheetml/2006/main" r="X500" t="str" s="11">
        <x:v>https://yageogroup.com/content/datasheet/asset/file/PYU-RC_GROUP_51_ROHS_L</x:v>
      </x:c>
      <x:c xmlns:x="http://schemas.openxmlformats.org/spreadsheetml/2006/main" r="Y500" t="str" s="11">
        <x:v>C:\Users\Nomatin\Documents\Altium\MY_LIB\MY_LIB\Datasheets\YAGEO_RC_L.pdf</x:v>
      </x:c>
      <ns0:c xmlns:ns0="http://schemas.openxmlformats.org/spreadsheetml/2006/main" r="Z500" s="16" t="inlineStr">
        <ns0:is>
          <ns0:t>MY_LIB_R_TCR</ns0:t>
        </ns0:is>
      </ns0:c>
      <ns0:c xmlns:ns0="http://schemas.openxmlformats.org/spreadsheetml/2006/main" r="AA500" s="16" t="inlineStr">
        <ns0:is>
          <ns0:t>R(T), +100 ppm/C at 25 C; positive datasheet limit</ns0:t>
        </ns0:is>
      </ns0:c>
      <ns0:c xmlns:ns0="http://schemas.openxmlformats.org/spreadsheetml/2006/main" r="AB500" s="16" t="str">
        <ns0:v>General</ns0:v>
      </ns0:c>
      <ns0:c xmlns:ns0="http://schemas.openxmlformats.org/spreadsheetml/2006/main" r="AC500" s="16" t="inlineStr">
        <ns0:is>
          <ns0:t>Spice Subcircuit</ns0:t>
        </ns0:is>
      </ns0:c>
      <ns0:c xmlns:ns0="http://schemas.openxmlformats.org/spreadsheetml/2006/main" r="AD500" s="16" t="inlineStr">
        <ns0:is>
          <ns0:t>@DESIGNATOR %1 %2 @MODEL PARAMS: Rvalue=@VALUE TC1value=100u</ns0:t>
        </ns0:is>
      </ns0:c>
      <ns0:c xmlns:ns0="http://schemas.openxmlformats.org/spreadsheetml/2006/main" r="AE500" s="16" t="inlineStr">
        <ns0:is>
          <ns0:t>X</ns0:t>
        </ns0:is>
      </ns0:c>
      <ns0:c xmlns:ns0="http://schemas.openxmlformats.org/spreadsheetml/2006/main" r="AF500" s="16" t="str">
        <ns0:v>(1:1),(2:2)</ns0:v>
      </ns0:c>
      <ns0:c xmlns:ns0="http://schemas.openxmlformats.org/spreadsheetml/2006/main" r="AG500" s="16" t="inlineStr">
        <ns0:is>
          <ns0:t>Simulation\Resistors\MY_LIB_R_TCR.ckt</ns0:t>
        </ns0:is>
      </ns0:c>
      <ns0:c xmlns:ns0="http://schemas.openxmlformats.org/spreadsheetml/2006/main" r="AH500" s="16" t="inlineStr">
        <ns0:is>
          <ns0:t>±100 ppm/°C</ns0:t>
        </ns0:is>
      </ns0:c>
    </ns0:row>
    <ns0:row xmlns:ns0="http://schemas.openxmlformats.org/spreadsheetml/2006/main" r="501" ht="30" customHeight="1">
      <ns0:c r="A501" t="str" s="10">
        <ns0:v>R0507</ns0:v>
      </ns0:c>
      <ns0:c r="B501" t="str" s="10">
        <ns0:v>Резистор</ns0:v>
      </ns0:c>
      <ns0:c r="C501" t="str" s="10">
        <ns0:v>390R</ns0:v>
      </ns0:c>
      <ns0:c r="D501" t="str" s="11">
        <ns0:f>SUBSTITUTE(SUBSTITUTE(SUBSTITUTE(SUBSTITUTE(C501,"meg"," МОм"),"k"," кОм"),"R"," Ом"),".",",")</ns0:f>
        <ns0:v>390 Ом</ns0:v>
      </ns0:c>
      <ns0:c r="E501" t="str" s="10">
        <ns0:v>±1%</ns0:v>
      </ns0:c>
      <ns0:c r="F501" t="str" s="10">
        <ns0:v>0,125 Вт</ns0:v>
      </ns0:c>
      <ns0:c r="G501" t="str" s="10">
        <ns0:v>150 В макс.</ns0:v>
      </ns0:c>
      <ns0:c r="H501" t="str" s="12">
        <ns0:v>0805</ns0:v>
      </ns0:c>
      <ns0:c r="I501" t="str" s="10">
        <ns0:v>YAGEO</ns0:v>
      </ns0:c>
      <ns0:c r="J501" t="str" s="10">
        <ns0:v>RC0805FR-07390RL</ns0:v>
      </ns0:c>
      <ns0:c r="K501" t="str" s="11">
        <ns0:f>B501&amp;" "&amp;D501&amp;" "&amp;E501&amp;" "&amp;H501</ns0:f>
        <ns0:v>Резистор 390 Ом ±1% 0805</ns0:v>
      </ns0:c>
      <ns0:c r="L501" t="str" s="13">
        <ns0:v>R</ns0:v>
      </ns0:c>
      <ns0:c r="M501" t="str" s="13">
        <ns0:v>Symbols\MY_LIB_Resistors.SchLib</ns0:v>
      </ns0:c>
      <ns0:c r="N501" t="str" s="13">
        <ns0:v>RESC2012X70N</ns0:v>
      </ns0:c>
      <ns0:c r="O501" t="str" s="13">
        <ns0:v>Footprints\PBL - SMD Packages.PcbLib</ns0:v>
      </ns0:c>
      <ns0:c xmlns:ns0="http://schemas.openxmlformats.org/spreadsheetml/2006/main" r="P50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1" s="10"/>
      <ns0:c r="R501" t="str" s="11">
        <ns0:f>D501</ns0:f>
        <ns0:v>390 Ом</ns0:v>
      </ns0:c>
      <ns0:c r="S501" t="str" s="11">
        <ns0:f>K501</ns0:f>
        <ns0:v>Резистор 390 Ом ±1% 0805</ns0:v>
      </ns0:c>
      <x:c xmlns:x="http://schemas.openxmlformats.org/spreadsheetml/2006/main" r="T501" t="str" s="11">
        <x:v>C:\Users\Nomatin\Documents\Altium\MY_LIB\MY_LIB\Datasheets\YAGEO_RC_L.pdf</x:v>
      </x:c>
      <x:c xmlns:x="http://schemas.openxmlformats.org/spreadsheetml/2006/main" r="U501" t="str" s="11">
        <x:v>Даташит — локальный</x:v>
      </x:c>
      <x:c xmlns:x="http://schemas.openxmlformats.org/spreadsheetml/2006/main" r="V501" t="str" s="11">
        <x:v>C:\Users\Nomatin\Documents\Altium\MY_LIB\MY_LIB\Datasheets\YAGEO_RC_L.pdf</x:v>
      </x:c>
      <x:c xmlns:x="http://schemas.openxmlformats.org/spreadsheetml/2006/main" r="W501" t="str" s="11">
        <x:v>Даташит — производитель</x:v>
      </x:c>
      <x:c xmlns:x="http://schemas.openxmlformats.org/spreadsheetml/2006/main" r="X501" t="str" s="11">
        <x:v>https://yageogroup.com/content/datasheet/asset/file/PYU-RC_GROUP_51_ROHS_L</x:v>
      </x:c>
      <x:c xmlns:x="http://schemas.openxmlformats.org/spreadsheetml/2006/main" r="Y501" t="str" s="11">
        <x:v>C:\Users\Nomatin\Documents\Altium\MY_LIB\MY_LIB\Datasheets\YAGEO_RC_L.pdf</x:v>
      </x:c>
      <ns0:c xmlns:ns0="http://schemas.openxmlformats.org/spreadsheetml/2006/main" r="Z501" s="16" t="inlineStr">
        <ns0:is>
          <ns0:t>MY_LIB_R_TCR</ns0:t>
        </ns0:is>
      </ns0:c>
      <ns0:c xmlns:ns0="http://schemas.openxmlformats.org/spreadsheetml/2006/main" r="AA501" s="16" t="inlineStr">
        <ns0:is>
          <ns0:t>R(T), +100 ppm/C at 25 C; positive datasheet limit</ns0:t>
        </ns0:is>
      </ns0:c>
      <ns0:c xmlns:ns0="http://schemas.openxmlformats.org/spreadsheetml/2006/main" r="AB501" s="16" t="str">
        <ns0:v>General</ns0:v>
      </ns0:c>
      <ns0:c xmlns:ns0="http://schemas.openxmlformats.org/spreadsheetml/2006/main" r="AC501" s="16" t="inlineStr">
        <ns0:is>
          <ns0:t>Spice Subcircuit</ns0:t>
        </ns0:is>
      </ns0:c>
      <ns0:c xmlns:ns0="http://schemas.openxmlformats.org/spreadsheetml/2006/main" r="AD501" s="16" t="inlineStr">
        <ns0:is>
          <ns0:t>@DESIGNATOR %1 %2 @MODEL PARAMS: Rvalue=@VALUE TC1value=100u</ns0:t>
        </ns0:is>
      </ns0:c>
      <ns0:c xmlns:ns0="http://schemas.openxmlformats.org/spreadsheetml/2006/main" r="AE501" s="16" t="inlineStr">
        <ns0:is>
          <ns0:t>X</ns0:t>
        </ns0:is>
      </ns0:c>
      <ns0:c xmlns:ns0="http://schemas.openxmlformats.org/spreadsheetml/2006/main" r="AF501" s="16" t="str">
        <ns0:v>(1:1),(2:2)</ns0:v>
      </ns0:c>
      <ns0:c xmlns:ns0="http://schemas.openxmlformats.org/spreadsheetml/2006/main" r="AG501" s="16" t="inlineStr">
        <ns0:is>
          <ns0:t>Simulation\Resistors\MY_LIB_R_TCR.ckt</ns0:t>
        </ns0:is>
      </ns0:c>
      <ns0:c xmlns:ns0="http://schemas.openxmlformats.org/spreadsheetml/2006/main" r="AH501" s="16" t="inlineStr">
        <ns0:is>
          <ns0:t>±100 ppm/°C</ns0:t>
        </ns0:is>
      </ns0:c>
    </ns0:row>
    <ns0:row xmlns:ns0="http://schemas.openxmlformats.org/spreadsheetml/2006/main" r="502" ht="30" customHeight="1">
      <ns0:c r="A502" t="str" s="10">
        <ns0:v>R0508</ns0:v>
      </ns0:c>
      <ns0:c r="B502" t="str" s="10">
        <ns0:v>Резистор</ns0:v>
      </ns0:c>
      <ns0:c r="C502" t="str" s="10">
        <ns0:v>430R</ns0:v>
      </ns0:c>
      <ns0:c r="D502" t="str" s="11">
        <ns0:f>SUBSTITUTE(SUBSTITUTE(SUBSTITUTE(SUBSTITUTE(C502,"meg"," МОм"),"k"," кОм"),"R"," Ом"),".",",")</ns0:f>
        <ns0:v>430 Ом</ns0:v>
      </ns0:c>
      <ns0:c r="E502" t="str" s="10">
        <ns0:v>±1%</ns0:v>
      </ns0:c>
      <ns0:c r="F502" t="str" s="10">
        <ns0:v>0,125 Вт</ns0:v>
      </ns0:c>
      <ns0:c r="G502" t="str" s="10">
        <ns0:v>150 В макс.</ns0:v>
      </ns0:c>
      <ns0:c r="H502" t="str" s="12">
        <ns0:v>0805</ns0:v>
      </ns0:c>
      <ns0:c r="I502" t="str" s="10">
        <ns0:v>YAGEO</ns0:v>
      </ns0:c>
      <ns0:c r="J502" t="str" s="10">
        <ns0:v>RC0805FR-07430RL</ns0:v>
      </ns0:c>
      <ns0:c r="K502" t="str" s="11">
        <ns0:f>B502&amp;" "&amp;D502&amp;" "&amp;E502&amp;" "&amp;H502</ns0:f>
        <ns0:v>Резистор 430 Ом ±1% 0805</ns0:v>
      </ns0:c>
      <ns0:c r="L502" t="str" s="13">
        <ns0:v>R</ns0:v>
      </ns0:c>
      <ns0:c r="M502" t="str" s="13">
        <ns0:v>Symbols\MY_LIB_Resistors.SchLib</ns0:v>
      </ns0:c>
      <ns0:c r="N502" t="str" s="13">
        <ns0:v>RESC2012X70N</ns0:v>
      </ns0:c>
      <ns0:c r="O502" t="str" s="13">
        <ns0:v>Footprints\PBL - SMD Packages.PcbLib</ns0:v>
      </ns0:c>
      <ns0:c xmlns:ns0="http://schemas.openxmlformats.org/spreadsheetml/2006/main" r="P50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2" s="10"/>
      <ns0:c r="R502" t="str" s="11">
        <ns0:f>D502</ns0:f>
        <ns0:v>430 Ом</ns0:v>
      </ns0:c>
      <ns0:c r="S502" t="str" s="11">
        <ns0:f>K502</ns0:f>
        <ns0:v>Резистор 430 Ом ±1% 0805</ns0:v>
      </ns0:c>
      <x:c xmlns:x="http://schemas.openxmlformats.org/spreadsheetml/2006/main" r="T502" t="str" s="11">
        <x:v>C:\Users\Nomatin\Documents\Altium\MY_LIB\MY_LIB\Datasheets\YAGEO_RC_L.pdf</x:v>
      </x:c>
      <x:c xmlns:x="http://schemas.openxmlformats.org/spreadsheetml/2006/main" r="U502" t="str" s="11">
        <x:v>Даташит — локальный</x:v>
      </x:c>
      <x:c xmlns:x="http://schemas.openxmlformats.org/spreadsheetml/2006/main" r="V502" t="str" s="11">
        <x:v>C:\Users\Nomatin\Documents\Altium\MY_LIB\MY_LIB\Datasheets\YAGEO_RC_L.pdf</x:v>
      </x:c>
      <x:c xmlns:x="http://schemas.openxmlformats.org/spreadsheetml/2006/main" r="W502" t="str" s="11">
        <x:v>Даташит — производитель</x:v>
      </x:c>
      <x:c xmlns:x="http://schemas.openxmlformats.org/spreadsheetml/2006/main" r="X502" t="str" s="11">
        <x:v>https://yageogroup.com/content/datasheet/asset/file/PYU-RC_GROUP_51_ROHS_L</x:v>
      </x:c>
      <x:c xmlns:x="http://schemas.openxmlformats.org/spreadsheetml/2006/main" r="Y502" t="str" s="11">
        <x:v>C:\Users\Nomatin\Documents\Altium\MY_LIB\MY_LIB\Datasheets\YAGEO_RC_L.pdf</x:v>
      </x:c>
      <ns0:c xmlns:ns0="http://schemas.openxmlformats.org/spreadsheetml/2006/main" r="Z502" s="16" t="inlineStr">
        <ns0:is>
          <ns0:t>MY_LIB_R_TCR</ns0:t>
        </ns0:is>
      </ns0:c>
      <ns0:c xmlns:ns0="http://schemas.openxmlformats.org/spreadsheetml/2006/main" r="AA502" s="16" t="inlineStr">
        <ns0:is>
          <ns0:t>R(T), +100 ppm/C at 25 C; positive datasheet limit</ns0:t>
        </ns0:is>
      </ns0:c>
      <ns0:c xmlns:ns0="http://schemas.openxmlformats.org/spreadsheetml/2006/main" r="AB502" s="16" t="str">
        <ns0:v>General</ns0:v>
      </ns0:c>
      <ns0:c xmlns:ns0="http://schemas.openxmlformats.org/spreadsheetml/2006/main" r="AC502" s="16" t="inlineStr">
        <ns0:is>
          <ns0:t>Spice Subcircuit</ns0:t>
        </ns0:is>
      </ns0:c>
      <ns0:c xmlns:ns0="http://schemas.openxmlformats.org/spreadsheetml/2006/main" r="AD502" s="16" t="inlineStr">
        <ns0:is>
          <ns0:t>@DESIGNATOR %1 %2 @MODEL PARAMS: Rvalue=@VALUE TC1value=100u</ns0:t>
        </ns0:is>
      </ns0:c>
      <ns0:c xmlns:ns0="http://schemas.openxmlformats.org/spreadsheetml/2006/main" r="AE502" s="16" t="inlineStr">
        <ns0:is>
          <ns0:t>X</ns0:t>
        </ns0:is>
      </ns0:c>
      <ns0:c xmlns:ns0="http://schemas.openxmlformats.org/spreadsheetml/2006/main" r="AF502" s="16" t="str">
        <ns0:v>(1:1),(2:2)</ns0:v>
      </ns0:c>
      <ns0:c xmlns:ns0="http://schemas.openxmlformats.org/spreadsheetml/2006/main" r="AG502" s="16" t="inlineStr">
        <ns0:is>
          <ns0:t>Simulation\Resistors\MY_LIB_R_TCR.ckt</ns0:t>
        </ns0:is>
      </ns0:c>
      <ns0:c xmlns:ns0="http://schemas.openxmlformats.org/spreadsheetml/2006/main" r="AH502" s="16" t="inlineStr">
        <ns0:is>
          <ns0:t>±100 ppm/°C</ns0:t>
        </ns0:is>
      </ns0:c>
    </ns0:row>
    <ns0:row xmlns:ns0="http://schemas.openxmlformats.org/spreadsheetml/2006/main" r="503" ht="30" customHeight="1">
      <ns0:c r="A503" t="str" s="10">
        <ns0:v>R0509</ns0:v>
      </ns0:c>
      <ns0:c r="B503" t="str" s="10">
        <ns0:v>Резистор</ns0:v>
      </ns0:c>
      <ns0:c r="C503" t="str" s="10">
        <ns0:v>470R</ns0:v>
      </ns0:c>
      <ns0:c r="D503" t="str" s="11">
        <ns0:f>SUBSTITUTE(SUBSTITUTE(SUBSTITUTE(SUBSTITUTE(C503,"meg"," МОм"),"k"," кОм"),"R"," Ом"),".",",")</ns0:f>
        <ns0:v>470 Ом</ns0:v>
      </ns0:c>
      <ns0:c r="E503" t="str" s="10">
        <ns0:v>±1%</ns0:v>
      </ns0:c>
      <ns0:c r="F503" t="str" s="10">
        <ns0:v>0,125 Вт</ns0:v>
      </ns0:c>
      <ns0:c r="G503" t="str" s="10">
        <ns0:v>150 В макс.</ns0:v>
      </ns0:c>
      <ns0:c r="H503" t="str" s="12">
        <ns0:v>0805</ns0:v>
      </ns0:c>
      <ns0:c r="I503" t="str" s="10">
        <ns0:v>YAGEO</ns0:v>
      </ns0:c>
      <ns0:c r="J503" t="str" s="10">
        <ns0:v>RC0805FR-07470RL</ns0:v>
      </ns0:c>
      <ns0:c r="K503" t="str" s="11">
        <ns0:f>B503&amp;" "&amp;D503&amp;" "&amp;E503&amp;" "&amp;H503</ns0:f>
        <ns0:v>Резистор 470 Ом ±1% 0805</ns0:v>
      </ns0:c>
      <ns0:c r="L503" t="str" s="13">
        <ns0:v>R</ns0:v>
      </ns0:c>
      <ns0:c r="M503" t="str" s="13">
        <ns0:v>Symbols\MY_LIB_Resistors.SchLib</ns0:v>
      </ns0:c>
      <ns0:c r="N503" t="str" s="13">
        <ns0:v>RESC2012X70N</ns0:v>
      </ns0:c>
      <ns0:c r="O503" t="str" s="13">
        <ns0:v>Footprints\PBL - SMD Packages.PcbLib</ns0:v>
      </ns0:c>
      <ns0:c xmlns:ns0="http://schemas.openxmlformats.org/spreadsheetml/2006/main" r="P50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3" s="10"/>
      <ns0:c r="R503" t="str" s="11">
        <ns0:f>D503</ns0:f>
        <ns0:v>470 Ом</ns0:v>
      </ns0:c>
      <ns0:c r="S503" t="str" s="11">
        <ns0:f>K503</ns0:f>
        <ns0:v>Резистор 470 Ом ±1% 0805</ns0:v>
      </ns0:c>
      <x:c xmlns:x="http://schemas.openxmlformats.org/spreadsheetml/2006/main" r="T503" t="str" s="11">
        <x:v>C:\Users\Nomatin\Documents\Altium\MY_LIB\MY_LIB\Datasheets\YAGEO_RC_L.pdf</x:v>
      </x:c>
      <x:c xmlns:x="http://schemas.openxmlformats.org/spreadsheetml/2006/main" r="U503" t="str" s="11">
        <x:v>Даташит — локальный</x:v>
      </x:c>
      <x:c xmlns:x="http://schemas.openxmlformats.org/spreadsheetml/2006/main" r="V503" t="str" s="11">
        <x:v>C:\Users\Nomatin\Documents\Altium\MY_LIB\MY_LIB\Datasheets\YAGEO_RC_L.pdf</x:v>
      </x:c>
      <x:c xmlns:x="http://schemas.openxmlformats.org/spreadsheetml/2006/main" r="W503" t="str" s="11">
        <x:v>Даташит — производитель</x:v>
      </x:c>
      <x:c xmlns:x="http://schemas.openxmlformats.org/spreadsheetml/2006/main" r="X503" t="str" s="11">
        <x:v>https://yageogroup.com/content/datasheet/asset/file/PYU-RC_GROUP_51_ROHS_L</x:v>
      </x:c>
      <x:c xmlns:x="http://schemas.openxmlformats.org/spreadsheetml/2006/main" r="Y503" t="str" s="11">
        <x:v>C:\Users\Nomatin\Documents\Altium\MY_LIB\MY_LIB\Datasheets\YAGEO_RC_L.pdf</x:v>
      </x:c>
      <ns0:c xmlns:ns0="http://schemas.openxmlformats.org/spreadsheetml/2006/main" r="Z503" s="16" t="inlineStr">
        <ns0:is>
          <ns0:t>MY_LIB_R_TCR</ns0:t>
        </ns0:is>
      </ns0:c>
      <ns0:c xmlns:ns0="http://schemas.openxmlformats.org/spreadsheetml/2006/main" r="AA503" s="16" t="inlineStr">
        <ns0:is>
          <ns0:t>R(T), +100 ppm/C at 25 C; positive datasheet limit</ns0:t>
        </ns0:is>
      </ns0:c>
      <ns0:c xmlns:ns0="http://schemas.openxmlformats.org/spreadsheetml/2006/main" r="AB503" s="16" t="str">
        <ns0:v>General</ns0:v>
      </ns0:c>
      <ns0:c xmlns:ns0="http://schemas.openxmlformats.org/spreadsheetml/2006/main" r="AC503" s="16" t="inlineStr">
        <ns0:is>
          <ns0:t>Spice Subcircuit</ns0:t>
        </ns0:is>
      </ns0:c>
      <ns0:c xmlns:ns0="http://schemas.openxmlformats.org/spreadsheetml/2006/main" r="AD503" s="16" t="inlineStr">
        <ns0:is>
          <ns0:t>@DESIGNATOR %1 %2 @MODEL PARAMS: Rvalue=@VALUE TC1value=100u</ns0:t>
        </ns0:is>
      </ns0:c>
      <ns0:c xmlns:ns0="http://schemas.openxmlformats.org/spreadsheetml/2006/main" r="AE503" s="16" t="inlineStr">
        <ns0:is>
          <ns0:t>X</ns0:t>
        </ns0:is>
      </ns0:c>
      <ns0:c xmlns:ns0="http://schemas.openxmlformats.org/spreadsheetml/2006/main" r="AF503" s="16" t="str">
        <ns0:v>(1:1),(2:2)</ns0:v>
      </ns0:c>
      <ns0:c xmlns:ns0="http://schemas.openxmlformats.org/spreadsheetml/2006/main" r="AG503" s="16" t="inlineStr">
        <ns0:is>
          <ns0:t>Simulation\Resistors\MY_LIB_R_TCR.ckt</ns0:t>
        </ns0:is>
      </ns0:c>
      <ns0:c xmlns:ns0="http://schemas.openxmlformats.org/spreadsheetml/2006/main" r="AH503" s="16" t="inlineStr">
        <ns0:is>
          <ns0:t>±100 ppm/°C</ns0:t>
        </ns0:is>
      </ns0:c>
    </ns0:row>
    <ns0:row xmlns:ns0="http://schemas.openxmlformats.org/spreadsheetml/2006/main" r="504" ht="30" customHeight="1">
      <ns0:c r="A504" t="str" s="10">
        <ns0:v>R0510</ns0:v>
      </ns0:c>
      <ns0:c r="B504" t="str" s="10">
        <ns0:v>Резистор</ns0:v>
      </ns0:c>
      <ns0:c r="C504" t="str" s="10">
        <ns0:v>510R</ns0:v>
      </ns0:c>
      <ns0:c r="D504" t="str" s="11">
        <ns0:f>SUBSTITUTE(SUBSTITUTE(SUBSTITUTE(SUBSTITUTE(C504,"meg"," МОм"),"k"," кОм"),"R"," Ом"),".",",")</ns0:f>
        <ns0:v>510 Ом</ns0:v>
      </ns0:c>
      <ns0:c r="E504" t="str" s="10">
        <ns0:v>±1%</ns0:v>
      </ns0:c>
      <ns0:c r="F504" t="str" s="10">
        <ns0:v>0,125 Вт</ns0:v>
      </ns0:c>
      <ns0:c r="G504" t="str" s="10">
        <ns0:v>150 В макс.</ns0:v>
      </ns0:c>
      <ns0:c r="H504" t="str" s="12">
        <ns0:v>0805</ns0:v>
      </ns0:c>
      <ns0:c r="I504" t="str" s="10">
        <ns0:v>YAGEO</ns0:v>
      </ns0:c>
      <ns0:c r="J504" t="str" s="10">
        <ns0:v>RC0805FR-07510RL</ns0:v>
      </ns0:c>
      <ns0:c r="K504" t="str" s="11">
        <ns0:f>B504&amp;" "&amp;D504&amp;" "&amp;E504&amp;" "&amp;H504</ns0:f>
        <ns0:v>Резистор 510 Ом ±1% 0805</ns0:v>
      </ns0:c>
      <ns0:c r="L504" t="str" s="13">
        <ns0:v>R</ns0:v>
      </ns0:c>
      <ns0:c r="M504" t="str" s="13">
        <ns0:v>Symbols\MY_LIB_Resistors.SchLib</ns0:v>
      </ns0:c>
      <ns0:c r="N504" t="str" s="13">
        <ns0:v>RESC2012X70N</ns0:v>
      </ns0:c>
      <ns0:c r="O504" t="str" s="13">
        <ns0:v>Footprints\PBL - SMD Packages.PcbLib</ns0:v>
      </ns0:c>
      <ns0:c xmlns:ns0="http://schemas.openxmlformats.org/spreadsheetml/2006/main" r="P50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4" s="10"/>
      <ns0:c r="R504" t="str" s="11">
        <ns0:f>D504</ns0:f>
        <ns0:v>510 Ом</ns0:v>
      </ns0:c>
      <ns0:c r="S504" t="str" s="11">
        <ns0:f>K504</ns0:f>
        <ns0:v>Резистор 510 Ом ±1% 0805</ns0:v>
      </ns0:c>
      <x:c xmlns:x="http://schemas.openxmlformats.org/spreadsheetml/2006/main" r="T504" t="str" s="11">
        <x:v>C:\Users\Nomatin\Documents\Altium\MY_LIB\MY_LIB\Datasheets\YAGEO_RC_L.pdf</x:v>
      </x:c>
      <x:c xmlns:x="http://schemas.openxmlformats.org/spreadsheetml/2006/main" r="U504" t="str" s="11">
        <x:v>Даташит — локальный</x:v>
      </x:c>
      <x:c xmlns:x="http://schemas.openxmlformats.org/spreadsheetml/2006/main" r="V504" t="str" s="11">
        <x:v>C:\Users\Nomatin\Documents\Altium\MY_LIB\MY_LIB\Datasheets\YAGEO_RC_L.pdf</x:v>
      </x:c>
      <x:c xmlns:x="http://schemas.openxmlformats.org/spreadsheetml/2006/main" r="W504" t="str" s="11">
        <x:v>Даташит — производитель</x:v>
      </x:c>
      <x:c xmlns:x="http://schemas.openxmlformats.org/spreadsheetml/2006/main" r="X504" t="str" s="11">
        <x:v>https://yageogroup.com/content/datasheet/asset/file/PYU-RC_GROUP_51_ROHS_L</x:v>
      </x:c>
      <x:c xmlns:x="http://schemas.openxmlformats.org/spreadsheetml/2006/main" r="Y504" t="str" s="11">
        <x:v>C:\Users\Nomatin\Documents\Altium\MY_LIB\MY_LIB\Datasheets\YAGEO_RC_L.pdf</x:v>
      </x:c>
      <ns0:c xmlns:ns0="http://schemas.openxmlformats.org/spreadsheetml/2006/main" r="Z504" s="16" t="inlineStr">
        <ns0:is>
          <ns0:t>MY_LIB_R_TCR</ns0:t>
        </ns0:is>
      </ns0:c>
      <ns0:c xmlns:ns0="http://schemas.openxmlformats.org/spreadsheetml/2006/main" r="AA504" s="16" t="inlineStr">
        <ns0:is>
          <ns0:t>R(T), +100 ppm/C at 25 C; positive datasheet limit</ns0:t>
        </ns0:is>
      </ns0:c>
      <ns0:c xmlns:ns0="http://schemas.openxmlformats.org/spreadsheetml/2006/main" r="AB504" s="16" t="str">
        <ns0:v>General</ns0:v>
      </ns0:c>
      <ns0:c xmlns:ns0="http://schemas.openxmlformats.org/spreadsheetml/2006/main" r="AC504" s="16" t="inlineStr">
        <ns0:is>
          <ns0:t>Spice Subcircuit</ns0:t>
        </ns0:is>
      </ns0:c>
      <ns0:c xmlns:ns0="http://schemas.openxmlformats.org/spreadsheetml/2006/main" r="AD504" s="16" t="inlineStr">
        <ns0:is>
          <ns0:t>@DESIGNATOR %1 %2 @MODEL PARAMS: Rvalue=@VALUE TC1value=100u</ns0:t>
        </ns0:is>
      </ns0:c>
      <ns0:c xmlns:ns0="http://schemas.openxmlformats.org/spreadsheetml/2006/main" r="AE504" s="16" t="inlineStr">
        <ns0:is>
          <ns0:t>X</ns0:t>
        </ns0:is>
      </ns0:c>
      <ns0:c xmlns:ns0="http://schemas.openxmlformats.org/spreadsheetml/2006/main" r="AF504" s="16" t="str">
        <ns0:v>(1:1),(2:2)</ns0:v>
      </ns0:c>
      <ns0:c xmlns:ns0="http://schemas.openxmlformats.org/spreadsheetml/2006/main" r="AG504" s="16" t="inlineStr">
        <ns0:is>
          <ns0:t>Simulation\Resistors\MY_LIB_R_TCR.ckt</ns0:t>
        </ns0:is>
      </ns0:c>
      <ns0:c xmlns:ns0="http://schemas.openxmlformats.org/spreadsheetml/2006/main" r="AH504" s="16" t="inlineStr">
        <ns0:is>
          <ns0:t>±100 ppm/°C</ns0:t>
        </ns0:is>
      </ns0:c>
    </ns0:row>
    <ns0:row xmlns:ns0="http://schemas.openxmlformats.org/spreadsheetml/2006/main" r="505" ht="30" customHeight="1">
      <ns0:c r="A505" t="str" s="10">
        <ns0:v>R0511</ns0:v>
      </ns0:c>
      <ns0:c r="B505" t="str" s="10">
        <ns0:v>Резистор</ns0:v>
      </ns0:c>
      <ns0:c r="C505" t="str" s="10">
        <ns0:v>560R</ns0:v>
      </ns0:c>
      <ns0:c r="D505" t="str" s="11">
        <ns0:f>SUBSTITUTE(SUBSTITUTE(SUBSTITUTE(SUBSTITUTE(C505,"meg"," МОм"),"k"," кОм"),"R"," Ом"),".",",")</ns0:f>
        <ns0:v>560 Ом</ns0:v>
      </ns0:c>
      <ns0:c r="E505" t="str" s="10">
        <ns0:v>±1%</ns0:v>
      </ns0:c>
      <ns0:c r="F505" t="str" s="10">
        <ns0:v>0,125 Вт</ns0:v>
      </ns0:c>
      <ns0:c r="G505" t="str" s="10">
        <ns0:v>150 В макс.</ns0:v>
      </ns0:c>
      <ns0:c r="H505" t="str" s="12">
        <ns0:v>0805</ns0:v>
      </ns0:c>
      <ns0:c r="I505" t="str" s="10">
        <ns0:v>YAGEO</ns0:v>
      </ns0:c>
      <ns0:c r="J505" t="str" s="10">
        <ns0:v>RC0805FR-07560RL</ns0:v>
      </ns0:c>
      <ns0:c r="K505" t="str" s="11">
        <ns0:f>B505&amp;" "&amp;D505&amp;" "&amp;E505&amp;" "&amp;H505</ns0:f>
        <ns0:v>Резистор 560 Ом ±1% 0805</ns0:v>
      </ns0:c>
      <ns0:c r="L505" t="str" s="13">
        <ns0:v>R</ns0:v>
      </ns0:c>
      <ns0:c r="M505" t="str" s="13">
        <ns0:v>Symbols\MY_LIB_Resistors.SchLib</ns0:v>
      </ns0:c>
      <ns0:c r="N505" t="str" s="13">
        <ns0:v>RESC2012X70N</ns0:v>
      </ns0:c>
      <ns0:c r="O505" t="str" s="13">
        <ns0:v>Footprints\PBL - SMD Packages.PcbLib</ns0:v>
      </ns0:c>
      <ns0:c xmlns:ns0="http://schemas.openxmlformats.org/spreadsheetml/2006/main" r="P50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5" s="10"/>
      <ns0:c r="R505" t="str" s="11">
        <ns0:f>D505</ns0:f>
        <ns0:v>560 Ом</ns0:v>
      </ns0:c>
      <ns0:c r="S505" t="str" s="11">
        <ns0:f>K505</ns0:f>
        <ns0:v>Резистор 560 Ом ±1% 0805</ns0:v>
      </ns0:c>
      <x:c xmlns:x="http://schemas.openxmlformats.org/spreadsheetml/2006/main" r="T505" t="str" s="11">
        <x:v>C:\Users\Nomatin\Documents\Altium\MY_LIB\MY_LIB\Datasheets\YAGEO_RC_L.pdf</x:v>
      </x:c>
      <x:c xmlns:x="http://schemas.openxmlformats.org/spreadsheetml/2006/main" r="U505" t="str" s="11">
        <x:v>Даташит — локальный</x:v>
      </x:c>
      <x:c xmlns:x="http://schemas.openxmlformats.org/spreadsheetml/2006/main" r="V505" t="str" s="11">
        <x:v>C:\Users\Nomatin\Documents\Altium\MY_LIB\MY_LIB\Datasheets\YAGEO_RC_L.pdf</x:v>
      </x:c>
      <x:c xmlns:x="http://schemas.openxmlformats.org/spreadsheetml/2006/main" r="W505" t="str" s="11">
        <x:v>Даташит — производитель</x:v>
      </x:c>
      <x:c xmlns:x="http://schemas.openxmlformats.org/spreadsheetml/2006/main" r="X505" t="str" s="11">
        <x:v>https://yageogroup.com/content/datasheet/asset/file/PYU-RC_GROUP_51_ROHS_L</x:v>
      </x:c>
      <x:c xmlns:x="http://schemas.openxmlformats.org/spreadsheetml/2006/main" r="Y505" t="str" s="11">
        <x:v>C:\Users\Nomatin\Documents\Altium\MY_LIB\MY_LIB\Datasheets\YAGEO_RC_L.pdf</x:v>
      </x:c>
      <ns0:c xmlns:ns0="http://schemas.openxmlformats.org/spreadsheetml/2006/main" r="Z505" s="16" t="inlineStr">
        <ns0:is>
          <ns0:t>MY_LIB_R_TCR</ns0:t>
        </ns0:is>
      </ns0:c>
      <ns0:c xmlns:ns0="http://schemas.openxmlformats.org/spreadsheetml/2006/main" r="AA505" s="16" t="inlineStr">
        <ns0:is>
          <ns0:t>R(T), +100 ppm/C at 25 C; positive datasheet limit</ns0:t>
        </ns0:is>
      </ns0:c>
      <ns0:c xmlns:ns0="http://schemas.openxmlformats.org/spreadsheetml/2006/main" r="AB505" s="16" t="str">
        <ns0:v>General</ns0:v>
      </ns0:c>
      <ns0:c xmlns:ns0="http://schemas.openxmlformats.org/spreadsheetml/2006/main" r="AC505" s="16" t="inlineStr">
        <ns0:is>
          <ns0:t>Spice Subcircuit</ns0:t>
        </ns0:is>
      </ns0:c>
      <ns0:c xmlns:ns0="http://schemas.openxmlformats.org/spreadsheetml/2006/main" r="AD505" s="16" t="inlineStr">
        <ns0:is>
          <ns0:t>@DESIGNATOR %1 %2 @MODEL PARAMS: Rvalue=@VALUE TC1value=100u</ns0:t>
        </ns0:is>
      </ns0:c>
      <ns0:c xmlns:ns0="http://schemas.openxmlformats.org/spreadsheetml/2006/main" r="AE505" s="16" t="inlineStr">
        <ns0:is>
          <ns0:t>X</ns0:t>
        </ns0:is>
      </ns0:c>
      <ns0:c xmlns:ns0="http://schemas.openxmlformats.org/spreadsheetml/2006/main" r="AF505" s="16" t="str">
        <ns0:v>(1:1),(2:2)</ns0:v>
      </ns0:c>
      <ns0:c xmlns:ns0="http://schemas.openxmlformats.org/spreadsheetml/2006/main" r="AG505" s="16" t="inlineStr">
        <ns0:is>
          <ns0:t>Simulation\Resistors\MY_LIB_R_TCR.ckt</ns0:t>
        </ns0:is>
      </ns0:c>
      <ns0:c xmlns:ns0="http://schemas.openxmlformats.org/spreadsheetml/2006/main" r="AH505" s="16" t="inlineStr">
        <ns0:is>
          <ns0:t>±100 ppm/°C</ns0:t>
        </ns0:is>
      </ns0:c>
    </ns0:row>
    <ns0:row xmlns:ns0="http://schemas.openxmlformats.org/spreadsheetml/2006/main" r="506" ht="30" customHeight="1">
      <ns0:c r="A506" t="str" s="10">
        <ns0:v>R0512</ns0:v>
      </ns0:c>
      <ns0:c r="B506" t="str" s="10">
        <ns0:v>Резистор</ns0:v>
      </ns0:c>
      <ns0:c r="C506" t="str" s="10">
        <ns0:v>620R</ns0:v>
      </ns0:c>
      <ns0:c r="D506" t="str" s="11">
        <ns0:f>SUBSTITUTE(SUBSTITUTE(SUBSTITUTE(SUBSTITUTE(C506,"meg"," МОм"),"k"," кОм"),"R"," Ом"),".",",")</ns0:f>
        <ns0:v>620 Ом</ns0:v>
      </ns0:c>
      <ns0:c r="E506" t="str" s="10">
        <ns0:v>±1%</ns0:v>
      </ns0:c>
      <ns0:c r="F506" t="str" s="10">
        <ns0:v>0,125 Вт</ns0:v>
      </ns0:c>
      <ns0:c r="G506" t="str" s="10">
        <ns0:v>150 В макс.</ns0:v>
      </ns0:c>
      <ns0:c r="H506" t="str" s="12">
        <ns0:v>0805</ns0:v>
      </ns0:c>
      <ns0:c r="I506" t="str" s="10">
        <ns0:v>YAGEO</ns0:v>
      </ns0:c>
      <ns0:c r="J506" t="str" s="10">
        <ns0:v>RC0805FR-07620RL</ns0:v>
      </ns0:c>
      <ns0:c r="K506" t="str" s="11">
        <ns0:f>B506&amp;" "&amp;D506&amp;" "&amp;E506&amp;" "&amp;H506</ns0:f>
        <ns0:v>Резистор 620 Ом ±1% 0805</ns0:v>
      </ns0:c>
      <ns0:c r="L506" t="str" s="13">
        <ns0:v>R</ns0:v>
      </ns0:c>
      <ns0:c r="M506" t="str" s="13">
        <ns0:v>Symbols\MY_LIB_Resistors.SchLib</ns0:v>
      </ns0:c>
      <ns0:c r="N506" t="str" s="13">
        <ns0:v>RESC2012X70N</ns0:v>
      </ns0:c>
      <ns0:c r="O506" t="str" s="13">
        <ns0:v>Footprints\PBL - SMD Packages.PcbLib</ns0:v>
      </ns0:c>
      <ns0:c xmlns:ns0="http://schemas.openxmlformats.org/spreadsheetml/2006/main" r="P50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6" s="10"/>
      <ns0:c r="R506" t="str" s="11">
        <ns0:f>D506</ns0:f>
        <ns0:v>620 Ом</ns0:v>
      </ns0:c>
      <ns0:c r="S506" t="str" s="11">
        <ns0:f>K506</ns0:f>
        <ns0:v>Резистор 620 Ом ±1% 0805</ns0:v>
      </ns0:c>
      <x:c xmlns:x="http://schemas.openxmlformats.org/spreadsheetml/2006/main" r="T506" t="str" s="11">
        <x:v>C:\Users\Nomatin\Documents\Altium\MY_LIB\MY_LIB\Datasheets\YAGEO_RC_L.pdf</x:v>
      </x:c>
      <x:c xmlns:x="http://schemas.openxmlformats.org/spreadsheetml/2006/main" r="U506" t="str" s="11">
        <x:v>Даташит — локальный</x:v>
      </x:c>
      <x:c xmlns:x="http://schemas.openxmlformats.org/spreadsheetml/2006/main" r="V506" t="str" s="11">
        <x:v>C:\Users\Nomatin\Documents\Altium\MY_LIB\MY_LIB\Datasheets\YAGEO_RC_L.pdf</x:v>
      </x:c>
      <x:c xmlns:x="http://schemas.openxmlformats.org/spreadsheetml/2006/main" r="W506" t="str" s="11">
        <x:v>Даташит — производитель</x:v>
      </x:c>
      <x:c xmlns:x="http://schemas.openxmlformats.org/spreadsheetml/2006/main" r="X506" t="str" s="11">
        <x:v>https://yageogroup.com/content/datasheet/asset/file/PYU-RC_GROUP_51_ROHS_L</x:v>
      </x:c>
      <x:c xmlns:x="http://schemas.openxmlformats.org/spreadsheetml/2006/main" r="Y506" t="str" s="11">
        <x:v>C:\Users\Nomatin\Documents\Altium\MY_LIB\MY_LIB\Datasheets\YAGEO_RC_L.pdf</x:v>
      </x:c>
      <ns0:c xmlns:ns0="http://schemas.openxmlformats.org/spreadsheetml/2006/main" r="Z506" s="16" t="inlineStr">
        <ns0:is>
          <ns0:t>MY_LIB_R_TCR</ns0:t>
        </ns0:is>
      </ns0:c>
      <ns0:c xmlns:ns0="http://schemas.openxmlformats.org/spreadsheetml/2006/main" r="AA506" s="16" t="inlineStr">
        <ns0:is>
          <ns0:t>R(T), +100 ppm/C at 25 C; positive datasheet limit</ns0:t>
        </ns0:is>
      </ns0:c>
      <ns0:c xmlns:ns0="http://schemas.openxmlformats.org/spreadsheetml/2006/main" r="AB506" s="16" t="str">
        <ns0:v>General</ns0:v>
      </ns0:c>
      <ns0:c xmlns:ns0="http://schemas.openxmlformats.org/spreadsheetml/2006/main" r="AC506" s="16" t="inlineStr">
        <ns0:is>
          <ns0:t>Spice Subcircuit</ns0:t>
        </ns0:is>
      </ns0:c>
      <ns0:c xmlns:ns0="http://schemas.openxmlformats.org/spreadsheetml/2006/main" r="AD506" s="16" t="inlineStr">
        <ns0:is>
          <ns0:t>@DESIGNATOR %1 %2 @MODEL PARAMS: Rvalue=@VALUE TC1value=100u</ns0:t>
        </ns0:is>
      </ns0:c>
      <ns0:c xmlns:ns0="http://schemas.openxmlformats.org/spreadsheetml/2006/main" r="AE506" s="16" t="inlineStr">
        <ns0:is>
          <ns0:t>X</ns0:t>
        </ns0:is>
      </ns0:c>
      <ns0:c xmlns:ns0="http://schemas.openxmlformats.org/spreadsheetml/2006/main" r="AF506" s="16" t="str">
        <ns0:v>(1:1),(2:2)</ns0:v>
      </ns0:c>
      <ns0:c xmlns:ns0="http://schemas.openxmlformats.org/spreadsheetml/2006/main" r="AG506" s="16" t="inlineStr">
        <ns0:is>
          <ns0:t>Simulation\Resistors\MY_LIB_R_TCR.ckt</ns0:t>
        </ns0:is>
      </ns0:c>
      <ns0:c xmlns:ns0="http://schemas.openxmlformats.org/spreadsheetml/2006/main" r="AH506" s="16" t="inlineStr">
        <ns0:is>
          <ns0:t>±100 ppm/°C</ns0:t>
        </ns0:is>
      </ns0:c>
    </ns0:row>
    <ns0:row xmlns:ns0="http://schemas.openxmlformats.org/spreadsheetml/2006/main" r="507" ht="30" customHeight="1">
      <ns0:c r="A507" t="str" s="10">
        <ns0:v>R0513</ns0:v>
      </ns0:c>
      <ns0:c r="B507" t="str" s="10">
        <ns0:v>Резистор</ns0:v>
      </ns0:c>
      <ns0:c r="C507" t="str" s="10">
        <ns0:v>680R</ns0:v>
      </ns0:c>
      <ns0:c r="D507" t="str" s="11">
        <ns0:f>SUBSTITUTE(SUBSTITUTE(SUBSTITUTE(SUBSTITUTE(C507,"meg"," МОм"),"k"," кОм"),"R"," Ом"),".",",")</ns0:f>
        <ns0:v>680 Ом</ns0:v>
      </ns0:c>
      <ns0:c r="E507" t="str" s="10">
        <ns0:v>±1%</ns0:v>
      </ns0:c>
      <ns0:c r="F507" t="str" s="10">
        <ns0:v>0,125 Вт</ns0:v>
      </ns0:c>
      <ns0:c r="G507" t="str" s="10">
        <ns0:v>150 В макс.</ns0:v>
      </ns0:c>
      <ns0:c r="H507" t="str" s="12">
        <ns0:v>0805</ns0:v>
      </ns0:c>
      <ns0:c r="I507" t="str" s="10">
        <ns0:v>YAGEO</ns0:v>
      </ns0:c>
      <ns0:c r="J507" t="str" s="10">
        <ns0:v>RC0805FR-07680RL</ns0:v>
      </ns0:c>
      <ns0:c r="K507" t="str" s="11">
        <ns0:f>B507&amp;" "&amp;D507&amp;" "&amp;E507&amp;" "&amp;H507</ns0:f>
        <ns0:v>Резистор 680 Ом ±1% 0805</ns0:v>
      </ns0:c>
      <ns0:c r="L507" t="str" s="13">
        <ns0:v>R</ns0:v>
      </ns0:c>
      <ns0:c r="M507" t="str" s="13">
        <ns0:v>Symbols\MY_LIB_Resistors.SchLib</ns0:v>
      </ns0:c>
      <ns0:c r="N507" t="str" s="13">
        <ns0:v>RESC2012X70N</ns0:v>
      </ns0:c>
      <ns0:c r="O507" t="str" s="13">
        <ns0:v>Footprints\PBL - SMD Packages.PcbLib</ns0:v>
      </ns0:c>
      <ns0:c xmlns:ns0="http://schemas.openxmlformats.org/spreadsheetml/2006/main" r="P50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7" s="10"/>
      <ns0:c r="R507" t="str" s="11">
        <ns0:f>D507</ns0:f>
        <ns0:v>680 Ом</ns0:v>
      </ns0:c>
      <ns0:c r="S507" t="str" s="11">
        <ns0:f>K507</ns0:f>
        <ns0:v>Резистор 680 Ом ±1% 0805</ns0:v>
      </ns0:c>
      <x:c xmlns:x="http://schemas.openxmlformats.org/spreadsheetml/2006/main" r="T507" t="str" s="11">
        <x:v>C:\Users\Nomatin\Documents\Altium\MY_LIB\MY_LIB\Datasheets\YAGEO_RC_L.pdf</x:v>
      </x:c>
      <x:c xmlns:x="http://schemas.openxmlformats.org/spreadsheetml/2006/main" r="U507" t="str" s="11">
        <x:v>Даташит — локальный</x:v>
      </x:c>
      <x:c xmlns:x="http://schemas.openxmlformats.org/spreadsheetml/2006/main" r="V507" t="str" s="11">
        <x:v>C:\Users\Nomatin\Documents\Altium\MY_LIB\MY_LIB\Datasheets\YAGEO_RC_L.pdf</x:v>
      </x:c>
      <x:c xmlns:x="http://schemas.openxmlformats.org/spreadsheetml/2006/main" r="W507" t="str" s="11">
        <x:v>Даташит — производитель</x:v>
      </x:c>
      <x:c xmlns:x="http://schemas.openxmlformats.org/spreadsheetml/2006/main" r="X507" t="str" s="11">
        <x:v>https://yageogroup.com/content/datasheet/asset/file/PYU-RC_GROUP_51_ROHS_L</x:v>
      </x:c>
      <x:c xmlns:x="http://schemas.openxmlformats.org/spreadsheetml/2006/main" r="Y507" t="str" s="11">
        <x:v>C:\Users\Nomatin\Documents\Altium\MY_LIB\MY_LIB\Datasheets\YAGEO_RC_L.pdf</x:v>
      </x:c>
      <ns0:c xmlns:ns0="http://schemas.openxmlformats.org/spreadsheetml/2006/main" r="Z507" s="16" t="inlineStr">
        <ns0:is>
          <ns0:t>MY_LIB_R_TCR</ns0:t>
        </ns0:is>
      </ns0:c>
      <ns0:c xmlns:ns0="http://schemas.openxmlformats.org/spreadsheetml/2006/main" r="AA507" s="16" t="inlineStr">
        <ns0:is>
          <ns0:t>R(T), +100 ppm/C at 25 C; positive datasheet limit</ns0:t>
        </ns0:is>
      </ns0:c>
      <ns0:c xmlns:ns0="http://schemas.openxmlformats.org/spreadsheetml/2006/main" r="AB507" s="16" t="str">
        <ns0:v>General</ns0:v>
      </ns0:c>
      <ns0:c xmlns:ns0="http://schemas.openxmlformats.org/spreadsheetml/2006/main" r="AC507" s="16" t="inlineStr">
        <ns0:is>
          <ns0:t>Spice Subcircuit</ns0:t>
        </ns0:is>
      </ns0:c>
      <ns0:c xmlns:ns0="http://schemas.openxmlformats.org/spreadsheetml/2006/main" r="AD507" s="16" t="inlineStr">
        <ns0:is>
          <ns0:t>@DESIGNATOR %1 %2 @MODEL PARAMS: Rvalue=@VALUE TC1value=100u</ns0:t>
        </ns0:is>
      </ns0:c>
      <ns0:c xmlns:ns0="http://schemas.openxmlformats.org/spreadsheetml/2006/main" r="AE507" s="16" t="inlineStr">
        <ns0:is>
          <ns0:t>X</ns0:t>
        </ns0:is>
      </ns0:c>
      <ns0:c xmlns:ns0="http://schemas.openxmlformats.org/spreadsheetml/2006/main" r="AF507" s="16" t="str">
        <ns0:v>(1:1),(2:2)</ns0:v>
      </ns0:c>
      <ns0:c xmlns:ns0="http://schemas.openxmlformats.org/spreadsheetml/2006/main" r="AG507" s="16" t="inlineStr">
        <ns0:is>
          <ns0:t>Simulation\Resistors\MY_LIB_R_TCR.ckt</ns0:t>
        </ns0:is>
      </ns0:c>
      <ns0:c xmlns:ns0="http://schemas.openxmlformats.org/spreadsheetml/2006/main" r="AH507" s="16" t="inlineStr">
        <ns0:is>
          <ns0:t>±100 ppm/°C</ns0:t>
        </ns0:is>
      </ns0:c>
    </ns0:row>
    <ns0:row xmlns:ns0="http://schemas.openxmlformats.org/spreadsheetml/2006/main" r="508" ht="30" customHeight="1">
      <ns0:c r="A508" t="str" s="10">
        <ns0:v>R0514</ns0:v>
      </ns0:c>
      <ns0:c r="B508" t="str" s="10">
        <ns0:v>Резистор</ns0:v>
      </ns0:c>
      <ns0:c r="C508" t="str" s="10">
        <ns0:v>750R</ns0:v>
      </ns0:c>
      <ns0:c r="D508" t="str" s="11">
        <ns0:f>SUBSTITUTE(SUBSTITUTE(SUBSTITUTE(SUBSTITUTE(C508,"meg"," МОм"),"k"," кОм"),"R"," Ом"),".",",")</ns0:f>
        <ns0:v>750 Ом</ns0:v>
      </ns0:c>
      <ns0:c r="E508" t="str" s="10">
        <ns0:v>±1%</ns0:v>
      </ns0:c>
      <ns0:c r="F508" t="str" s="10">
        <ns0:v>0,125 Вт</ns0:v>
      </ns0:c>
      <ns0:c r="G508" t="str" s="10">
        <ns0:v>150 В макс.</ns0:v>
      </ns0:c>
      <ns0:c r="H508" t="str" s="12">
        <ns0:v>0805</ns0:v>
      </ns0:c>
      <ns0:c r="I508" t="str" s="10">
        <ns0:v>YAGEO</ns0:v>
      </ns0:c>
      <ns0:c r="J508" t="str" s="10">
        <ns0:v>RC0805FR-07750RL</ns0:v>
      </ns0:c>
      <ns0:c r="K508" t="str" s="11">
        <ns0:f>B508&amp;" "&amp;D508&amp;" "&amp;E508&amp;" "&amp;H508</ns0:f>
        <ns0:v>Резистор 750 Ом ±1% 0805</ns0:v>
      </ns0:c>
      <ns0:c r="L508" t="str" s="13">
        <ns0:v>R</ns0:v>
      </ns0:c>
      <ns0:c r="M508" t="str" s="13">
        <ns0:v>Symbols\MY_LIB_Resistors.SchLib</ns0:v>
      </ns0:c>
      <ns0:c r="N508" t="str" s="13">
        <ns0:v>RESC2012X70N</ns0:v>
      </ns0:c>
      <ns0:c r="O508" t="str" s="13">
        <ns0:v>Footprints\PBL - SMD Packages.PcbLib</ns0:v>
      </ns0:c>
      <ns0:c xmlns:ns0="http://schemas.openxmlformats.org/spreadsheetml/2006/main" r="P50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8" s="10"/>
      <ns0:c r="R508" t="str" s="11">
        <ns0:f>D508</ns0:f>
        <ns0:v>750 Ом</ns0:v>
      </ns0:c>
      <ns0:c r="S508" t="str" s="11">
        <ns0:f>K508</ns0:f>
        <ns0:v>Резистор 750 Ом ±1% 0805</ns0:v>
      </ns0:c>
      <x:c xmlns:x="http://schemas.openxmlformats.org/spreadsheetml/2006/main" r="T508" t="str" s="11">
        <x:v>C:\Users\Nomatin\Documents\Altium\MY_LIB\MY_LIB\Datasheets\YAGEO_RC_L.pdf</x:v>
      </x:c>
      <x:c xmlns:x="http://schemas.openxmlformats.org/spreadsheetml/2006/main" r="U508" t="str" s="11">
        <x:v>Даташит — локальный</x:v>
      </x:c>
      <x:c xmlns:x="http://schemas.openxmlformats.org/spreadsheetml/2006/main" r="V508" t="str" s="11">
        <x:v>C:\Users\Nomatin\Documents\Altium\MY_LIB\MY_LIB\Datasheets\YAGEO_RC_L.pdf</x:v>
      </x:c>
      <x:c xmlns:x="http://schemas.openxmlformats.org/spreadsheetml/2006/main" r="W508" t="str" s="11">
        <x:v>Даташит — производитель</x:v>
      </x:c>
      <x:c xmlns:x="http://schemas.openxmlformats.org/spreadsheetml/2006/main" r="X508" t="str" s="11">
        <x:v>https://yageogroup.com/content/datasheet/asset/file/PYU-RC_GROUP_51_ROHS_L</x:v>
      </x:c>
      <x:c xmlns:x="http://schemas.openxmlformats.org/spreadsheetml/2006/main" r="Y508" t="str" s="11">
        <x:v>C:\Users\Nomatin\Documents\Altium\MY_LIB\MY_LIB\Datasheets\YAGEO_RC_L.pdf</x:v>
      </x:c>
      <ns0:c xmlns:ns0="http://schemas.openxmlformats.org/spreadsheetml/2006/main" r="Z508" s="16" t="inlineStr">
        <ns0:is>
          <ns0:t>MY_LIB_R_TCR</ns0:t>
        </ns0:is>
      </ns0:c>
      <ns0:c xmlns:ns0="http://schemas.openxmlformats.org/spreadsheetml/2006/main" r="AA508" s="16" t="inlineStr">
        <ns0:is>
          <ns0:t>R(T), +100 ppm/C at 25 C; positive datasheet limit</ns0:t>
        </ns0:is>
      </ns0:c>
      <ns0:c xmlns:ns0="http://schemas.openxmlformats.org/spreadsheetml/2006/main" r="AB508" s="16" t="str">
        <ns0:v>General</ns0:v>
      </ns0:c>
      <ns0:c xmlns:ns0="http://schemas.openxmlformats.org/spreadsheetml/2006/main" r="AC508" s="16" t="inlineStr">
        <ns0:is>
          <ns0:t>Spice Subcircuit</ns0:t>
        </ns0:is>
      </ns0:c>
      <ns0:c xmlns:ns0="http://schemas.openxmlformats.org/spreadsheetml/2006/main" r="AD508" s="16" t="inlineStr">
        <ns0:is>
          <ns0:t>@DESIGNATOR %1 %2 @MODEL PARAMS: Rvalue=@VALUE TC1value=100u</ns0:t>
        </ns0:is>
      </ns0:c>
      <ns0:c xmlns:ns0="http://schemas.openxmlformats.org/spreadsheetml/2006/main" r="AE508" s="16" t="inlineStr">
        <ns0:is>
          <ns0:t>X</ns0:t>
        </ns0:is>
      </ns0:c>
      <ns0:c xmlns:ns0="http://schemas.openxmlformats.org/spreadsheetml/2006/main" r="AF508" s="16" t="str">
        <ns0:v>(1:1),(2:2)</ns0:v>
      </ns0:c>
      <ns0:c xmlns:ns0="http://schemas.openxmlformats.org/spreadsheetml/2006/main" r="AG508" s="16" t="inlineStr">
        <ns0:is>
          <ns0:t>Simulation\Resistors\MY_LIB_R_TCR.ckt</ns0:t>
        </ns0:is>
      </ns0:c>
      <ns0:c xmlns:ns0="http://schemas.openxmlformats.org/spreadsheetml/2006/main" r="AH508" s="16" t="inlineStr">
        <ns0:is>
          <ns0:t>±100 ppm/°C</ns0:t>
        </ns0:is>
      </ns0:c>
    </ns0:row>
    <ns0:row xmlns:ns0="http://schemas.openxmlformats.org/spreadsheetml/2006/main" r="509" ht="30" customHeight="1">
      <ns0:c r="A509" t="str" s="10">
        <ns0:v>R0515</ns0:v>
      </ns0:c>
      <ns0:c r="B509" t="str" s="10">
        <ns0:v>Резистор</ns0:v>
      </ns0:c>
      <ns0:c r="C509" t="str" s="10">
        <ns0:v>820R</ns0:v>
      </ns0:c>
      <ns0:c r="D509" t="str" s="11">
        <ns0:f>SUBSTITUTE(SUBSTITUTE(SUBSTITUTE(SUBSTITUTE(C509,"meg"," МОм"),"k"," кОм"),"R"," Ом"),".",",")</ns0:f>
        <ns0:v>820 Ом</ns0:v>
      </ns0:c>
      <ns0:c r="E509" t="str" s="10">
        <ns0:v>±1%</ns0:v>
      </ns0:c>
      <ns0:c r="F509" t="str" s="10">
        <ns0:v>0,125 Вт</ns0:v>
      </ns0:c>
      <ns0:c r="G509" t="str" s="10">
        <ns0:v>150 В макс.</ns0:v>
      </ns0:c>
      <ns0:c r="H509" t="str" s="12">
        <ns0:v>0805</ns0:v>
      </ns0:c>
      <ns0:c r="I509" t="str" s="10">
        <ns0:v>YAGEO</ns0:v>
      </ns0:c>
      <ns0:c r="J509" t="str" s="10">
        <ns0:v>RC0805FR-07820RL</ns0:v>
      </ns0:c>
      <ns0:c r="K509" t="str" s="11">
        <ns0:f>B509&amp;" "&amp;D509&amp;" "&amp;E509&amp;" "&amp;H509</ns0:f>
        <ns0:v>Резистор 820 Ом ±1% 0805</ns0:v>
      </ns0:c>
      <ns0:c r="L509" t="str" s="13">
        <ns0:v>R</ns0:v>
      </ns0:c>
      <ns0:c r="M509" t="str" s="13">
        <ns0:v>Symbols\MY_LIB_Resistors.SchLib</ns0:v>
      </ns0:c>
      <ns0:c r="N509" t="str" s="13">
        <ns0:v>RESC2012X70N</ns0:v>
      </ns0:c>
      <ns0:c r="O509" t="str" s="13">
        <ns0:v>Footprints\PBL - SMD Packages.PcbLib</ns0:v>
      </ns0:c>
      <ns0:c xmlns:ns0="http://schemas.openxmlformats.org/spreadsheetml/2006/main" r="P50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09" s="10"/>
      <ns0:c r="R509" t="str" s="11">
        <ns0:f>D509</ns0:f>
        <ns0:v>820 Ом</ns0:v>
      </ns0:c>
      <ns0:c r="S509" t="str" s="11">
        <ns0:f>K509</ns0:f>
        <ns0:v>Резистор 820 Ом ±1% 0805</ns0:v>
      </ns0:c>
      <x:c xmlns:x="http://schemas.openxmlformats.org/spreadsheetml/2006/main" r="T509" t="str" s="11">
        <x:v>C:\Users\Nomatin\Documents\Altium\MY_LIB\MY_LIB\Datasheets\YAGEO_RC_L.pdf</x:v>
      </x:c>
      <x:c xmlns:x="http://schemas.openxmlformats.org/spreadsheetml/2006/main" r="U509" t="str" s="11">
        <x:v>Даташит — локальный</x:v>
      </x:c>
      <x:c xmlns:x="http://schemas.openxmlformats.org/spreadsheetml/2006/main" r="V509" t="str" s="11">
        <x:v>C:\Users\Nomatin\Documents\Altium\MY_LIB\MY_LIB\Datasheets\YAGEO_RC_L.pdf</x:v>
      </x:c>
      <x:c xmlns:x="http://schemas.openxmlformats.org/spreadsheetml/2006/main" r="W509" t="str" s="11">
        <x:v>Даташит — производитель</x:v>
      </x:c>
      <x:c xmlns:x="http://schemas.openxmlformats.org/spreadsheetml/2006/main" r="X509" t="str" s="11">
        <x:v>https://yageogroup.com/content/datasheet/asset/file/PYU-RC_GROUP_51_ROHS_L</x:v>
      </x:c>
      <x:c xmlns:x="http://schemas.openxmlformats.org/spreadsheetml/2006/main" r="Y509" t="str" s="11">
        <x:v>C:\Users\Nomatin\Documents\Altium\MY_LIB\MY_LIB\Datasheets\YAGEO_RC_L.pdf</x:v>
      </x:c>
      <ns0:c xmlns:ns0="http://schemas.openxmlformats.org/spreadsheetml/2006/main" r="Z509" s="16" t="inlineStr">
        <ns0:is>
          <ns0:t>MY_LIB_R_TCR</ns0:t>
        </ns0:is>
      </ns0:c>
      <ns0:c xmlns:ns0="http://schemas.openxmlformats.org/spreadsheetml/2006/main" r="AA509" s="16" t="inlineStr">
        <ns0:is>
          <ns0:t>R(T), +100 ppm/C at 25 C; positive datasheet limit</ns0:t>
        </ns0:is>
      </ns0:c>
      <ns0:c xmlns:ns0="http://schemas.openxmlformats.org/spreadsheetml/2006/main" r="AB509" s="16" t="str">
        <ns0:v>General</ns0:v>
      </ns0:c>
      <ns0:c xmlns:ns0="http://schemas.openxmlformats.org/spreadsheetml/2006/main" r="AC509" s="16" t="inlineStr">
        <ns0:is>
          <ns0:t>Spice Subcircuit</ns0:t>
        </ns0:is>
      </ns0:c>
      <ns0:c xmlns:ns0="http://schemas.openxmlformats.org/spreadsheetml/2006/main" r="AD509" s="16" t="inlineStr">
        <ns0:is>
          <ns0:t>@DESIGNATOR %1 %2 @MODEL PARAMS: Rvalue=@VALUE TC1value=100u</ns0:t>
        </ns0:is>
      </ns0:c>
      <ns0:c xmlns:ns0="http://schemas.openxmlformats.org/spreadsheetml/2006/main" r="AE509" s="16" t="inlineStr">
        <ns0:is>
          <ns0:t>X</ns0:t>
        </ns0:is>
      </ns0:c>
      <ns0:c xmlns:ns0="http://schemas.openxmlformats.org/spreadsheetml/2006/main" r="AF509" s="16" t="str">
        <ns0:v>(1:1),(2:2)</ns0:v>
      </ns0:c>
      <ns0:c xmlns:ns0="http://schemas.openxmlformats.org/spreadsheetml/2006/main" r="AG509" s="16" t="inlineStr">
        <ns0:is>
          <ns0:t>Simulation\Resistors\MY_LIB_R_TCR.ckt</ns0:t>
        </ns0:is>
      </ns0:c>
      <ns0:c xmlns:ns0="http://schemas.openxmlformats.org/spreadsheetml/2006/main" r="AH509" s="16" t="inlineStr">
        <ns0:is>
          <ns0:t>±100 ppm/°C</ns0:t>
        </ns0:is>
      </ns0:c>
    </ns0:row>
    <ns0:row xmlns:ns0="http://schemas.openxmlformats.org/spreadsheetml/2006/main" r="510" ht="30" customHeight="1">
      <ns0:c r="A510" t="str" s="10">
        <ns0:v>R0516</ns0:v>
      </ns0:c>
      <ns0:c r="B510" t="str" s="10">
        <ns0:v>Резистор</ns0:v>
      </ns0:c>
      <ns0:c r="C510" t="str" s="10">
        <ns0:v>910R</ns0:v>
      </ns0:c>
      <ns0:c r="D510" t="str" s="11">
        <ns0:f>SUBSTITUTE(SUBSTITUTE(SUBSTITUTE(SUBSTITUTE(C510,"meg"," МОм"),"k"," кОм"),"R"," Ом"),".",",")</ns0:f>
        <ns0:v>910 Ом</ns0:v>
      </ns0:c>
      <ns0:c r="E510" t="str" s="10">
        <ns0:v>±1%</ns0:v>
      </ns0:c>
      <ns0:c r="F510" t="str" s="10">
        <ns0:v>0,125 Вт</ns0:v>
      </ns0:c>
      <ns0:c r="G510" t="str" s="10">
        <ns0:v>150 В макс.</ns0:v>
      </ns0:c>
      <ns0:c r="H510" t="str" s="12">
        <ns0:v>0805</ns0:v>
      </ns0:c>
      <ns0:c r="I510" t="str" s="10">
        <ns0:v>YAGEO</ns0:v>
      </ns0:c>
      <ns0:c r="J510" t="str" s="10">
        <ns0:v>RC0805FR-07910RL</ns0:v>
      </ns0:c>
      <ns0:c r="K510" t="str" s="11">
        <ns0:f>B510&amp;" "&amp;D510&amp;" "&amp;E510&amp;" "&amp;H510</ns0:f>
        <ns0:v>Резистор 910 Ом ±1% 0805</ns0:v>
      </ns0:c>
      <ns0:c r="L510" t="str" s="13">
        <ns0:v>R</ns0:v>
      </ns0:c>
      <ns0:c r="M510" t="str" s="13">
        <ns0:v>Symbols\MY_LIB_Resistors.SchLib</ns0:v>
      </ns0:c>
      <ns0:c r="N510" t="str" s="13">
        <ns0:v>RESC2012X70N</ns0:v>
      </ns0:c>
      <ns0:c r="O510" t="str" s="13">
        <ns0:v>Footprints\PBL - SMD Packages.PcbLib</ns0:v>
      </ns0:c>
      <ns0:c xmlns:ns0="http://schemas.openxmlformats.org/spreadsheetml/2006/main" r="P51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0" s="10"/>
      <ns0:c r="R510" t="str" s="11">
        <ns0:f>D510</ns0:f>
        <ns0:v>910 Ом</ns0:v>
      </ns0:c>
      <ns0:c r="S510" t="str" s="11">
        <ns0:f>K510</ns0:f>
        <ns0:v>Резистор 910 Ом ±1% 0805</ns0:v>
      </ns0:c>
      <x:c xmlns:x="http://schemas.openxmlformats.org/spreadsheetml/2006/main" r="T510" t="str" s="11">
        <x:v>C:\Users\Nomatin\Documents\Altium\MY_LIB\MY_LIB\Datasheets\YAGEO_RC_L.pdf</x:v>
      </x:c>
      <x:c xmlns:x="http://schemas.openxmlformats.org/spreadsheetml/2006/main" r="U510" t="str" s="11">
        <x:v>Даташит — локальный</x:v>
      </x:c>
      <x:c xmlns:x="http://schemas.openxmlformats.org/spreadsheetml/2006/main" r="V510" t="str" s="11">
        <x:v>C:\Users\Nomatin\Documents\Altium\MY_LIB\MY_LIB\Datasheets\YAGEO_RC_L.pdf</x:v>
      </x:c>
      <x:c xmlns:x="http://schemas.openxmlformats.org/spreadsheetml/2006/main" r="W510" t="str" s="11">
        <x:v>Даташит — производитель</x:v>
      </x:c>
      <x:c xmlns:x="http://schemas.openxmlformats.org/spreadsheetml/2006/main" r="X510" t="str" s="11">
        <x:v>https://yageogroup.com/content/datasheet/asset/file/PYU-RC_GROUP_51_ROHS_L</x:v>
      </x:c>
      <x:c xmlns:x="http://schemas.openxmlformats.org/spreadsheetml/2006/main" r="Y510" t="str" s="11">
        <x:v>C:\Users\Nomatin\Documents\Altium\MY_LIB\MY_LIB\Datasheets\YAGEO_RC_L.pdf</x:v>
      </x:c>
      <ns0:c xmlns:ns0="http://schemas.openxmlformats.org/spreadsheetml/2006/main" r="Z510" s="16" t="inlineStr">
        <ns0:is>
          <ns0:t>MY_LIB_R_TCR</ns0:t>
        </ns0:is>
      </ns0:c>
      <ns0:c xmlns:ns0="http://schemas.openxmlformats.org/spreadsheetml/2006/main" r="AA510" s="16" t="inlineStr">
        <ns0:is>
          <ns0:t>R(T), +100 ppm/C at 25 C; positive datasheet limit</ns0:t>
        </ns0:is>
      </ns0:c>
      <ns0:c xmlns:ns0="http://schemas.openxmlformats.org/spreadsheetml/2006/main" r="AB510" s="16" t="str">
        <ns0:v>General</ns0:v>
      </ns0:c>
      <ns0:c xmlns:ns0="http://schemas.openxmlformats.org/spreadsheetml/2006/main" r="AC510" s="16" t="inlineStr">
        <ns0:is>
          <ns0:t>Spice Subcircuit</ns0:t>
        </ns0:is>
      </ns0:c>
      <ns0:c xmlns:ns0="http://schemas.openxmlformats.org/spreadsheetml/2006/main" r="AD510" s="16" t="inlineStr">
        <ns0:is>
          <ns0:t>@DESIGNATOR %1 %2 @MODEL PARAMS: Rvalue=@VALUE TC1value=100u</ns0:t>
        </ns0:is>
      </ns0:c>
      <ns0:c xmlns:ns0="http://schemas.openxmlformats.org/spreadsheetml/2006/main" r="AE510" s="16" t="inlineStr">
        <ns0:is>
          <ns0:t>X</ns0:t>
        </ns0:is>
      </ns0:c>
      <ns0:c xmlns:ns0="http://schemas.openxmlformats.org/spreadsheetml/2006/main" r="AF510" s="16" t="str">
        <ns0:v>(1:1),(2:2)</ns0:v>
      </ns0:c>
      <ns0:c xmlns:ns0="http://schemas.openxmlformats.org/spreadsheetml/2006/main" r="AG510" s="16" t="inlineStr">
        <ns0:is>
          <ns0:t>Simulation\Resistors\MY_LIB_R_TCR.ckt</ns0:t>
        </ns0:is>
      </ns0:c>
      <ns0:c xmlns:ns0="http://schemas.openxmlformats.org/spreadsheetml/2006/main" r="AH510" s="16" t="inlineStr">
        <ns0:is>
          <ns0:t>±100 ppm/°C</ns0:t>
        </ns0:is>
      </ns0:c>
    </ns0:row>
    <ns0:row xmlns:ns0="http://schemas.openxmlformats.org/spreadsheetml/2006/main" r="511" ht="30" customHeight="1">
      <ns0:c r="A511" t="str" s="10">
        <ns0:v>R0517</ns0:v>
      </ns0:c>
      <ns0:c r="B511" t="str" s="10">
        <ns0:v>Резистор</ns0:v>
      </ns0:c>
      <ns0:c r="C511" t="str" s="10">
        <ns0:v>1k</ns0:v>
      </ns0:c>
      <ns0:c r="D511" t="str" s="11">
        <ns0:f>SUBSTITUTE(SUBSTITUTE(SUBSTITUTE(SUBSTITUTE(C511,"meg"," МОм"),"k"," кОм"),"R"," Ом"),".",",")</ns0:f>
        <ns0:v>1 кОм</ns0:v>
      </ns0:c>
      <ns0:c r="E511" t="str" s="10">
        <ns0:v>±1%</ns0:v>
      </ns0:c>
      <ns0:c r="F511" t="str" s="10">
        <ns0:v>0,125 Вт</ns0:v>
      </ns0:c>
      <ns0:c r="G511" t="str" s="10">
        <ns0:v>150 В макс.</ns0:v>
      </ns0:c>
      <ns0:c r="H511" t="str" s="12">
        <ns0:v>0805</ns0:v>
      </ns0:c>
      <ns0:c r="I511" t="str" s="10">
        <ns0:v>YAGEO</ns0:v>
      </ns0:c>
      <ns0:c r="J511" t="str" s="10">
        <ns0:v>RC0805FR-071KL</ns0:v>
      </ns0:c>
      <ns0:c r="K511" t="str" s="11">
        <ns0:f>B511&amp;" "&amp;D511&amp;" "&amp;E511&amp;" "&amp;H511</ns0:f>
        <ns0:v>Резистор 1 кОм ±1% 0805</ns0:v>
      </ns0:c>
      <ns0:c r="L511" t="str" s="13">
        <ns0:v>R</ns0:v>
      </ns0:c>
      <ns0:c r="M511" t="str" s="13">
        <ns0:v>Symbols\MY_LIB_Resistors.SchLib</ns0:v>
      </ns0:c>
      <ns0:c r="N511" t="str" s="13">
        <ns0:v>RESC2012X70N</ns0:v>
      </ns0:c>
      <ns0:c r="O511" t="str" s="13">
        <ns0:v>Footprints\PBL - SMD Packages.PcbLib</ns0:v>
      </ns0:c>
      <ns0:c xmlns:ns0="http://schemas.openxmlformats.org/spreadsheetml/2006/main" r="P51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1" s="10"/>
      <ns0:c r="R511" t="str" s="11">
        <ns0:f>D511</ns0:f>
        <ns0:v>1 кОм</ns0:v>
      </ns0:c>
      <ns0:c r="S511" t="str" s="11">
        <ns0:f>K511</ns0:f>
        <ns0:v>Резистор 1 кОм ±1% 0805</ns0:v>
      </ns0:c>
      <x:c xmlns:x="http://schemas.openxmlformats.org/spreadsheetml/2006/main" r="T511" t="str" s="11">
        <x:v>C:\Users\Nomatin\Documents\Altium\MY_LIB\MY_LIB\Datasheets\YAGEO_RC_L.pdf</x:v>
      </x:c>
      <x:c xmlns:x="http://schemas.openxmlformats.org/spreadsheetml/2006/main" r="U511" t="str" s="11">
        <x:v>Даташит — локальный</x:v>
      </x:c>
      <x:c xmlns:x="http://schemas.openxmlformats.org/spreadsheetml/2006/main" r="V511" t="str" s="11">
        <x:v>C:\Users\Nomatin\Documents\Altium\MY_LIB\MY_LIB\Datasheets\YAGEO_RC_L.pdf</x:v>
      </x:c>
      <x:c xmlns:x="http://schemas.openxmlformats.org/spreadsheetml/2006/main" r="W511" t="str" s="11">
        <x:v>Даташит — производитель</x:v>
      </x:c>
      <x:c xmlns:x="http://schemas.openxmlformats.org/spreadsheetml/2006/main" r="X511" t="str" s="11">
        <x:v>https://yageogroup.com/content/datasheet/asset/file/PYU-RC_GROUP_51_ROHS_L</x:v>
      </x:c>
      <x:c xmlns:x="http://schemas.openxmlformats.org/spreadsheetml/2006/main" r="Y511" t="str" s="11">
        <x:v>C:\Users\Nomatin\Documents\Altium\MY_LIB\MY_LIB\Datasheets\YAGEO_RC_L.pdf</x:v>
      </x:c>
      <ns0:c xmlns:ns0="http://schemas.openxmlformats.org/spreadsheetml/2006/main" r="Z511" s="16" t="inlineStr">
        <ns0:is>
          <ns0:t>MY_LIB_R_TCR</ns0:t>
        </ns0:is>
      </ns0:c>
      <ns0:c xmlns:ns0="http://schemas.openxmlformats.org/spreadsheetml/2006/main" r="AA511" s="16" t="inlineStr">
        <ns0:is>
          <ns0:t>R(T), +100 ppm/C at 25 C; positive datasheet limit</ns0:t>
        </ns0:is>
      </ns0:c>
      <ns0:c xmlns:ns0="http://schemas.openxmlformats.org/spreadsheetml/2006/main" r="AB511" s="16" t="str">
        <ns0:v>General</ns0:v>
      </ns0:c>
      <ns0:c xmlns:ns0="http://schemas.openxmlformats.org/spreadsheetml/2006/main" r="AC511" s="16" t="inlineStr">
        <ns0:is>
          <ns0:t>Spice Subcircuit</ns0:t>
        </ns0:is>
      </ns0:c>
      <ns0:c xmlns:ns0="http://schemas.openxmlformats.org/spreadsheetml/2006/main" r="AD511" s="16" t="inlineStr">
        <ns0:is>
          <ns0:t>@DESIGNATOR %1 %2 @MODEL PARAMS: Rvalue=@VALUE TC1value=100u</ns0:t>
        </ns0:is>
      </ns0:c>
      <ns0:c xmlns:ns0="http://schemas.openxmlformats.org/spreadsheetml/2006/main" r="AE511" s="16" t="inlineStr">
        <ns0:is>
          <ns0:t>X</ns0:t>
        </ns0:is>
      </ns0:c>
      <ns0:c xmlns:ns0="http://schemas.openxmlformats.org/spreadsheetml/2006/main" r="AF511" s="16" t="str">
        <ns0:v>(1:1),(2:2)</ns0:v>
      </ns0:c>
      <ns0:c xmlns:ns0="http://schemas.openxmlformats.org/spreadsheetml/2006/main" r="AG511" s="16" t="inlineStr">
        <ns0:is>
          <ns0:t>Simulation\Resistors\MY_LIB_R_TCR.ckt</ns0:t>
        </ns0:is>
      </ns0:c>
      <ns0:c xmlns:ns0="http://schemas.openxmlformats.org/spreadsheetml/2006/main" r="AH511" s="16" t="inlineStr">
        <ns0:is>
          <ns0:t>±100 ppm/°C</ns0:t>
        </ns0:is>
      </ns0:c>
    </ns0:row>
    <ns0:row xmlns:ns0="http://schemas.openxmlformats.org/spreadsheetml/2006/main" r="512" ht="30" customHeight="1">
      <ns0:c r="A512" t="str" s="10">
        <ns0:v>R0518</ns0:v>
      </ns0:c>
      <ns0:c r="B512" t="str" s="10">
        <ns0:v>Резистор</ns0:v>
      </ns0:c>
      <ns0:c r="C512" t="str" s="10">
        <ns0:v>1.1k</ns0:v>
      </ns0:c>
      <ns0:c r="D512" t="str" s="11">
        <ns0:f>SUBSTITUTE(SUBSTITUTE(SUBSTITUTE(SUBSTITUTE(C512,"meg"," МОм"),"k"," кОм"),"R"," Ом"),".",",")</ns0:f>
        <ns0:v>1,1 кОм</ns0:v>
      </ns0:c>
      <ns0:c r="E512" t="str" s="10">
        <ns0:v>±1%</ns0:v>
      </ns0:c>
      <ns0:c r="F512" t="str" s="10">
        <ns0:v>0,125 Вт</ns0:v>
      </ns0:c>
      <ns0:c r="G512" t="str" s="10">
        <ns0:v>150 В макс.</ns0:v>
      </ns0:c>
      <ns0:c r="H512" t="str" s="12">
        <ns0:v>0805</ns0:v>
      </ns0:c>
      <ns0:c r="I512" t="str" s="10">
        <ns0:v>YAGEO</ns0:v>
      </ns0:c>
      <ns0:c r="J512" t="str" s="10">
        <ns0:v>RC0805FR-071K1L</ns0:v>
      </ns0:c>
      <ns0:c r="K512" t="str" s="11">
        <ns0:f>B512&amp;" "&amp;D512&amp;" "&amp;E512&amp;" "&amp;H512</ns0:f>
        <ns0:v>Резистор 1,1 кОм ±1% 0805</ns0:v>
      </ns0:c>
      <ns0:c r="L512" t="str" s="13">
        <ns0:v>R</ns0:v>
      </ns0:c>
      <ns0:c r="M512" t="str" s="13">
        <ns0:v>Symbols\MY_LIB_Resistors.SchLib</ns0:v>
      </ns0:c>
      <ns0:c r="N512" t="str" s="13">
        <ns0:v>RESC2012X70N</ns0:v>
      </ns0:c>
      <ns0:c r="O512" t="str" s="13">
        <ns0:v>Footprints\PBL - SMD Packages.PcbLib</ns0:v>
      </ns0:c>
      <ns0:c xmlns:ns0="http://schemas.openxmlformats.org/spreadsheetml/2006/main" r="P51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2" s="10"/>
      <ns0:c r="R512" t="str" s="11">
        <ns0:f>D512</ns0:f>
        <ns0:v>1,1 кОм</ns0:v>
      </ns0:c>
      <ns0:c r="S512" t="str" s="11">
        <ns0:f>K512</ns0:f>
        <ns0:v>Резистор 1,1 кОм ±1% 0805</ns0:v>
      </ns0:c>
      <x:c xmlns:x="http://schemas.openxmlformats.org/spreadsheetml/2006/main" r="T512" t="str" s="11">
        <x:v>C:\Users\Nomatin\Documents\Altium\MY_LIB\MY_LIB\Datasheets\YAGEO_RC_L.pdf</x:v>
      </x:c>
      <x:c xmlns:x="http://schemas.openxmlformats.org/spreadsheetml/2006/main" r="U512" t="str" s="11">
        <x:v>Даташит — локальный</x:v>
      </x:c>
      <x:c xmlns:x="http://schemas.openxmlformats.org/spreadsheetml/2006/main" r="V512" t="str" s="11">
        <x:v>C:\Users\Nomatin\Documents\Altium\MY_LIB\MY_LIB\Datasheets\YAGEO_RC_L.pdf</x:v>
      </x:c>
      <x:c xmlns:x="http://schemas.openxmlformats.org/spreadsheetml/2006/main" r="W512" t="str" s="11">
        <x:v>Даташит — производитель</x:v>
      </x:c>
      <x:c xmlns:x="http://schemas.openxmlformats.org/spreadsheetml/2006/main" r="X512" t="str" s="11">
        <x:v>https://yageogroup.com/content/datasheet/asset/file/PYU-RC_GROUP_51_ROHS_L</x:v>
      </x:c>
      <x:c xmlns:x="http://schemas.openxmlformats.org/spreadsheetml/2006/main" r="Y512" t="str" s="11">
        <x:v>C:\Users\Nomatin\Documents\Altium\MY_LIB\MY_LIB\Datasheets\YAGEO_RC_L.pdf</x:v>
      </x:c>
      <ns0:c xmlns:ns0="http://schemas.openxmlformats.org/spreadsheetml/2006/main" r="Z512" s="16" t="inlineStr">
        <ns0:is>
          <ns0:t>MY_LIB_R_TCR</ns0:t>
        </ns0:is>
      </ns0:c>
      <ns0:c xmlns:ns0="http://schemas.openxmlformats.org/spreadsheetml/2006/main" r="AA512" s="16" t="inlineStr">
        <ns0:is>
          <ns0:t>R(T), +100 ppm/C at 25 C; positive datasheet limit</ns0:t>
        </ns0:is>
      </ns0:c>
      <ns0:c xmlns:ns0="http://schemas.openxmlformats.org/spreadsheetml/2006/main" r="AB512" s="16" t="str">
        <ns0:v>General</ns0:v>
      </ns0:c>
      <ns0:c xmlns:ns0="http://schemas.openxmlformats.org/spreadsheetml/2006/main" r="AC512" s="16" t="inlineStr">
        <ns0:is>
          <ns0:t>Spice Subcircuit</ns0:t>
        </ns0:is>
      </ns0:c>
      <ns0:c xmlns:ns0="http://schemas.openxmlformats.org/spreadsheetml/2006/main" r="AD512" s="16" t="inlineStr">
        <ns0:is>
          <ns0:t>@DESIGNATOR %1 %2 @MODEL PARAMS: Rvalue=@VALUE TC1value=100u</ns0:t>
        </ns0:is>
      </ns0:c>
      <ns0:c xmlns:ns0="http://schemas.openxmlformats.org/spreadsheetml/2006/main" r="AE512" s="16" t="inlineStr">
        <ns0:is>
          <ns0:t>X</ns0:t>
        </ns0:is>
      </ns0:c>
      <ns0:c xmlns:ns0="http://schemas.openxmlformats.org/spreadsheetml/2006/main" r="AF512" s="16" t="str">
        <ns0:v>(1:1),(2:2)</ns0:v>
      </ns0:c>
      <ns0:c xmlns:ns0="http://schemas.openxmlformats.org/spreadsheetml/2006/main" r="AG512" s="16" t="inlineStr">
        <ns0:is>
          <ns0:t>Simulation\Resistors\MY_LIB_R_TCR.ckt</ns0:t>
        </ns0:is>
      </ns0:c>
      <ns0:c xmlns:ns0="http://schemas.openxmlformats.org/spreadsheetml/2006/main" r="AH512" s="16" t="inlineStr">
        <ns0:is>
          <ns0:t>±100 ppm/°C</ns0:t>
        </ns0:is>
      </ns0:c>
    </ns0:row>
    <ns0:row xmlns:ns0="http://schemas.openxmlformats.org/spreadsheetml/2006/main" r="513" ht="30" customHeight="1">
      <ns0:c r="A513" t="str" s="10">
        <ns0:v>R0519</ns0:v>
      </ns0:c>
      <ns0:c r="B513" t="str" s="10">
        <ns0:v>Резистор</ns0:v>
      </ns0:c>
      <ns0:c r="C513" t="str" s="10">
        <ns0:v>1.2k</ns0:v>
      </ns0:c>
      <ns0:c r="D513" t="str" s="11">
        <ns0:f>SUBSTITUTE(SUBSTITUTE(SUBSTITUTE(SUBSTITUTE(C513,"meg"," МОм"),"k"," кОм"),"R"," Ом"),".",",")</ns0:f>
        <ns0:v>1,2 кОм</ns0:v>
      </ns0:c>
      <ns0:c r="E513" t="str" s="10">
        <ns0:v>±1%</ns0:v>
      </ns0:c>
      <ns0:c r="F513" t="str" s="10">
        <ns0:v>0,125 Вт</ns0:v>
      </ns0:c>
      <ns0:c r="G513" t="str" s="10">
        <ns0:v>150 В макс.</ns0:v>
      </ns0:c>
      <ns0:c r="H513" t="str" s="12">
        <ns0:v>0805</ns0:v>
      </ns0:c>
      <ns0:c r="I513" t="str" s="10">
        <ns0:v>YAGEO</ns0:v>
      </ns0:c>
      <ns0:c r="J513" t="str" s="10">
        <ns0:v>RC0805FR-071K2L</ns0:v>
      </ns0:c>
      <ns0:c r="K513" t="str" s="11">
        <ns0:f>B513&amp;" "&amp;D513&amp;" "&amp;E513&amp;" "&amp;H513</ns0:f>
        <ns0:v>Резистор 1,2 кОм ±1% 0805</ns0:v>
      </ns0:c>
      <ns0:c r="L513" t="str" s="13">
        <ns0:v>R</ns0:v>
      </ns0:c>
      <ns0:c r="M513" t="str" s="13">
        <ns0:v>Symbols\MY_LIB_Resistors.SchLib</ns0:v>
      </ns0:c>
      <ns0:c r="N513" t="str" s="13">
        <ns0:v>RESC2012X70N</ns0:v>
      </ns0:c>
      <ns0:c r="O513" t="str" s="13">
        <ns0:v>Footprints\PBL - SMD Packages.PcbLib</ns0:v>
      </ns0:c>
      <ns0:c xmlns:ns0="http://schemas.openxmlformats.org/spreadsheetml/2006/main" r="P51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3" s="10"/>
      <ns0:c r="R513" t="str" s="11">
        <ns0:f>D513</ns0:f>
        <ns0:v>1,2 кОм</ns0:v>
      </ns0:c>
      <ns0:c r="S513" t="str" s="11">
        <ns0:f>K513</ns0:f>
        <ns0:v>Резистор 1,2 кОм ±1% 0805</ns0:v>
      </ns0:c>
      <x:c xmlns:x="http://schemas.openxmlformats.org/spreadsheetml/2006/main" r="T513" t="str" s="11">
        <x:v>C:\Users\Nomatin\Documents\Altium\MY_LIB\MY_LIB\Datasheets\YAGEO_RC_L.pdf</x:v>
      </x:c>
      <x:c xmlns:x="http://schemas.openxmlformats.org/spreadsheetml/2006/main" r="U513" t="str" s="11">
        <x:v>Даташит — локальный</x:v>
      </x:c>
      <x:c xmlns:x="http://schemas.openxmlformats.org/spreadsheetml/2006/main" r="V513" t="str" s="11">
        <x:v>C:\Users\Nomatin\Documents\Altium\MY_LIB\MY_LIB\Datasheets\YAGEO_RC_L.pdf</x:v>
      </x:c>
      <x:c xmlns:x="http://schemas.openxmlformats.org/spreadsheetml/2006/main" r="W513" t="str" s="11">
        <x:v>Даташит — производитель</x:v>
      </x:c>
      <x:c xmlns:x="http://schemas.openxmlformats.org/spreadsheetml/2006/main" r="X513" t="str" s="11">
        <x:v>https://yageogroup.com/content/datasheet/asset/file/PYU-RC_GROUP_51_ROHS_L</x:v>
      </x:c>
      <x:c xmlns:x="http://schemas.openxmlformats.org/spreadsheetml/2006/main" r="Y513" t="str" s="11">
        <x:v>C:\Users\Nomatin\Documents\Altium\MY_LIB\MY_LIB\Datasheets\YAGEO_RC_L.pdf</x:v>
      </x:c>
      <ns0:c xmlns:ns0="http://schemas.openxmlformats.org/spreadsheetml/2006/main" r="Z513" s="16" t="inlineStr">
        <ns0:is>
          <ns0:t>MY_LIB_R_TCR</ns0:t>
        </ns0:is>
      </ns0:c>
      <ns0:c xmlns:ns0="http://schemas.openxmlformats.org/spreadsheetml/2006/main" r="AA513" s="16" t="inlineStr">
        <ns0:is>
          <ns0:t>R(T), +100 ppm/C at 25 C; positive datasheet limit</ns0:t>
        </ns0:is>
      </ns0:c>
      <ns0:c xmlns:ns0="http://schemas.openxmlformats.org/spreadsheetml/2006/main" r="AB513" s="16" t="str">
        <ns0:v>General</ns0:v>
      </ns0:c>
      <ns0:c xmlns:ns0="http://schemas.openxmlformats.org/spreadsheetml/2006/main" r="AC513" s="16" t="inlineStr">
        <ns0:is>
          <ns0:t>Spice Subcircuit</ns0:t>
        </ns0:is>
      </ns0:c>
      <ns0:c xmlns:ns0="http://schemas.openxmlformats.org/spreadsheetml/2006/main" r="AD513" s="16" t="inlineStr">
        <ns0:is>
          <ns0:t>@DESIGNATOR %1 %2 @MODEL PARAMS: Rvalue=@VALUE TC1value=100u</ns0:t>
        </ns0:is>
      </ns0:c>
      <ns0:c xmlns:ns0="http://schemas.openxmlformats.org/spreadsheetml/2006/main" r="AE513" s="16" t="inlineStr">
        <ns0:is>
          <ns0:t>X</ns0:t>
        </ns0:is>
      </ns0:c>
      <ns0:c xmlns:ns0="http://schemas.openxmlformats.org/spreadsheetml/2006/main" r="AF513" s="16" t="str">
        <ns0:v>(1:1),(2:2)</ns0:v>
      </ns0:c>
      <ns0:c xmlns:ns0="http://schemas.openxmlformats.org/spreadsheetml/2006/main" r="AG513" s="16" t="inlineStr">
        <ns0:is>
          <ns0:t>Simulation\Resistors\MY_LIB_R_TCR.ckt</ns0:t>
        </ns0:is>
      </ns0:c>
      <ns0:c xmlns:ns0="http://schemas.openxmlformats.org/spreadsheetml/2006/main" r="AH513" s="16" t="inlineStr">
        <ns0:is>
          <ns0:t>±100 ppm/°C</ns0:t>
        </ns0:is>
      </ns0:c>
    </ns0:row>
    <ns0:row xmlns:ns0="http://schemas.openxmlformats.org/spreadsheetml/2006/main" r="514" ht="30" customHeight="1">
      <ns0:c r="A514" t="str" s="10">
        <ns0:v>R0520</ns0:v>
      </ns0:c>
      <ns0:c r="B514" t="str" s="10">
        <ns0:v>Резистор</ns0:v>
      </ns0:c>
      <ns0:c r="C514" t="str" s="10">
        <ns0:v>1.3k</ns0:v>
      </ns0:c>
      <ns0:c r="D514" t="str" s="11">
        <ns0:f>SUBSTITUTE(SUBSTITUTE(SUBSTITUTE(SUBSTITUTE(C514,"meg"," МОм"),"k"," кОм"),"R"," Ом"),".",",")</ns0:f>
        <ns0:v>1,3 кОм</ns0:v>
      </ns0:c>
      <ns0:c r="E514" t="str" s="10">
        <ns0:v>±1%</ns0:v>
      </ns0:c>
      <ns0:c r="F514" t="str" s="10">
        <ns0:v>0,125 Вт</ns0:v>
      </ns0:c>
      <ns0:c r="G514" t="str" s="10">
        <ns0:v>150 В макс.</ns0:v>
      </ns0:c>
      <ns0:c r="H514" t="str" s="12">
        <ns0:v>0805</ns0:v>
      </ns0:c>
      <ns0:c r="I514" t="str" s="10">
        <ns0:v>YAGEO</ns0:v>
      </ns0:c>
      <ns0:c r="J514" t="str" s="10">
        <ns0:v>RC0805FR-071K3L</ns0:v>
      </ns0:c>
      <ns0:c r="K514" t="str" s="11">
        <ns0:f>B514&amp;" "&amp;D514&amp;" "&amp;E514&amp;" "&amp;H514</ns0:f>
        <ns0:v>Резистор 1,3 кОм ±1% 0805</ns0:v>
      </ns0:c>
      <ns0:c r="L514" t="str" s="13">
        <ns0:v>R</ns0:v>
      </ns0:c>
      <ns0:c r="M514" t="str" s="13">
        <ns0:v>Symbols\MY_LIB_Resistors.SchLib</ns0:v>
      </ns0:c>
      <ns0:c r="N514" t="str" s="13">
        <ns0:v>RESC2012X70N</ns0:v>
      </ns0:c>
      <ns0:c r="O514" t="str" s="13">
        <ns0:v>Footprints\PBL - SMD Packages.PcbLib</ns0:v>
      </ns0:c>
      <ns0:c xmlns:ns0="http://schemas.openxmlformats.org/spreadsheetml/2006/main" r="P51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4" s="10"/>
      <ns0:c r="R514" t="str" s="11">
        <ns0:f>D514</ns0:f>
        <ns0:v>1,3 кОм</ns0:v>
      </ns0:c>
      <ns0:c r="S514" t="str" s="11">
        <ns0:f>K514</ns0:f>
        <ns0:v>Резистор 1,3 кОм ±1% 0805</ns0:v>
      </ns0:c>
      <x:c xmlns:x="http://schemas.openxmlformats.org/spreadsheetml/2006/main" r="T514" t="str" s="11">
        <x:v>C:\Users\Nomatin\Documents\Altium\MY_LIB\MY_LIB\Datasheets\YAGEO_RC_L.pdf</x:v>
      </x:c>
      <x:c xmlns:x="http://schemas.openxmlformats.org/spreadsheetml/2006/main" r="U514" t="str" s="11">
        <x:v>Даташит — локальный</x:v>
      </x:c>
      <x:c xmlns:x="http://schemas.openxmlformats.org/spreadsheetml/2006/main" r="V514" t="str" s="11">
        <x:v>C:\Users\Nomatin\Documents\Altium\MY_LIB\MY_LIB\Datasheets\YAGEO_RC_L.pdf</x:v>
      </x:c>
      <x:c xmlns:x="http://schemas.openxmlformats.org/spreadsheetml/2006/main" r="W514" t="str" s="11">
        <x:v>Даташит — производитель</x:v>
      </x:c>
      <x:c xmlns:x="http://schemas.openxmlformats.org/spreadsheetml/2006/main" r="X514" t="str" s="11">
        <x:v>https://yageogroup.com/content/datasheet/asset/file/PYU-RC_GROUP_51_ROHS_L</x:v>
      </x:c>
      <x:c xmlns:x="http://schemas.openxmlformats.org/spreadsheetml/2006/main" r="Y514" t="str" s="11">
        <x:v>C:\Users\Nomatin\Documents\Altium\MY_LIB\MY_LIB\Datasheets\YAGEO_RC_L.pdf</x:v>
      </x:c>
      <ns0:c xmlns:ns0="http://schemas.openxmlformats.org/spreadsheetml/2006/main" r="Z514" s="16" t="inlineStr">
        <ns0:is>
          <ns0:t>MY_LIB_R_TCR</ns0:t>
        </ns0:is>
      </ns0:c>
      <ns0:c xmlns:ns0="http://schemas.openxmlformats.org/spreadsheetml/2006/main" r="AA514" s="16" t="inlineStr">
        <ns0:is>
          <ns0:t>R(T), +100 ppm/C at 25 C; positive datasheet limit</ns0:t>
        </ns0:is>
      </ns0:c>
      <ns0:c xmlns:ns0="http://schemas.openxmlformats.org/spreadsheetml/2006/main" r="AB514" s="16" t="str">
        <ns0:v>General</ns0:v>
      </ns0:c>
      <ns0:c xmlns:ns0="http://schemas.openxmlformats.org/spreadsheetml/2006/main" r="AC514" s="16" t="inlineStr">
        <ns0:is>
          <ns0:t>Spice Subcircuit</ns0:t>
        </ns0:is>
      </ns0:c>
      <ns0:c xmlns:ns0="http://schemas.openxmlformats.org/spreadsheetml/2006/main" r="AD514" s="16" t="inlineStr">
        <ns0:is>
          <ns0:t>@DESIGNATOR %1 %2 @MODEL PARAMS: Rvalue=@VALUE TC1value=100u</ns0:t>
        </ns0:is>
      </ns0:c>
      <ns0:c xmlns:ns0="http://schemas.openxmlformats.org/spreadsheetml/2006/main" r="AE514" s="16" t="inlineStr">
        <ns0:is>
          <ns0:t>X</ns0:t>
        </ns0:is>
      </ns0:c>
      <ns0:c xmlns:ns0="http://schemas.openxmlformats.org/spreadsheetml/2006/main" r="AF514" s="16" t="str">
        <ns0:v>(1:1),(2:2)</ns0:v>
      </ns0:c>
      <ns0:c xmlns:ns0="http://schemas.openxmlformats.org/spreadsheetml/2006/main" r="AG514" s="16" t="inlineStr">
        <ns0:is>
          <ns0:t>Simulation\Resistors\MY_LIB_R_TCR.ckt</ns0:t>
        </ns0:is>
      </ns0:c>
      <ns0:c xmlns:ns0="http://schemas.openxmlformats.org/spreadsheetml/2006/main" r="AH514" s="16" t="inlineStr">
        <ns0:is>
          <ns0:t>±100 ppm/°C</ns0:t>
        </ns0:is>
      </ns0:c>
    </ns0:row>
    <ns0:row xmlns:ns0="http://schemas.openxmlformats.org/spreadsheetml/2006/main" r="515" ht="30" customHeight="1">
      <ns0:c r="A515" t="str" s="10">
        <ns0:v>R0521</ns0:v>
      </ns0:c>
      <ns0:c r="B515" t="str" s="10">
        <ns0:v>Резистор</ns0:v>
      </ns0:c>
      <ns0:c r="C515" t="str" s="10">
        <ns0:v>1.5k</ns0:v>
      </ns0:c>
      <ns0:c r="D515" t="str" s="11">
        <ns0:f>SUBSTITUTE(SUBSTITUTE(SUBSTITUTE(SUBSTITUTE(C515,"meg"," МОм"),"k"," кОм"),"R"," Ом"),".",",")</ns0:f>
        <ns0:v>1,5 кОм</ns0:v>
      </ns0:c>
      <ns0:c r="E515" t="str" s="10">
        <ns0:v>±1%</ns0:v>
      </ns0:c>
      <ns0:c r="F515" t="str" s="10">
        <ns0:v>0,125 Вт</ns0:v>
      </ns0:c>
      <ns0:c r="G515" t="str" s="10">
        <ns0:v>150 В макс.</ns0:v>
      </ns0:c>
      <ns0:c r="H515" t="str" s="12">
        <ns0:v>0805</ns0:v>
      </ns0:c>
      <ns0:c r="I515" t="str" s="10">
        <ns0:v>YAGEO</ns0:v>
      </ns0:c>
      <ns0:c r="J515" t="str" s="10">
        <ns0:v>RC0805FR-071K5L</ns0:v>
      </ns0:c>
      <ns0:c r="K515" t="str" s="11">
        <ns0:f>B515&amp;" "&amp;D515&amp;" "&amp;E515&amp;" "&amp;H515</ns0:f>
        <ns0:v>Резистор 1,5 кОм ±1% 0805</ns0:v>
      </ns0:c>
      <ns0:c r="L515" t="str" s="13">
        <ns0:v>R</ns0:v>
      </ns0:c>
      <ns0:c r="M515" t="str" s="13">
        <ns0:v>Symbols\MY_LIB_Resistors.SchLib</ns0:v>
      </ns0:c>
      <ns0:c r="N515" t="str" s="13">
        <ns0:v>RESC2012X70N</ns0:v>
      </ns0:c>
      <ns0:c r="O515" t="str" s="13">
        <ns0:v>Footprints\PBL - SMD Packages.PcbLib</ns0:v>
      </ns0:c>
      <ns0:c xmlns:ns0="http://schemas.openxmlformats.org/spreadsheetml/2006/main" r="P51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5" s="10"/>
      <ns0:c r="R515" t="str" s="11">
        <ns0:f>D515</ns0:f>
        <ns0:v>1,5 кОм</ns0:v>
      </ns0:c>
      <ns0:c r="S515" t="str" s="11">
        <ns0:f>K515</ns0:f>
        <ns0:v>Резистор 1,5 кОм ±1% 0805</ns0:v>
      </ns0:c>
      <x:c xmlns:x="http://schemas.openxmlformats.org/spreadsheetml/2006/main" r="T515" t="str" s="11">
        <x:v>C:\Users\Nomatin\Documents\Altium\MY_LIB\MY_LIB\Datasheets\YAGEO_RC_L.pdf</x:v>
      </x:c>
      <x:c xmlns:x="http://schemas.openxmlformats.org/spreadsheetml/2006/main" r="U515" t="str" s="11">
        <x:v>Даташит — локальный</x:v>
      </x:c>
      <x:c xmlns:x="http://schemas.openxmlformats.org/spreadsheetml/2006/main" r="V515" t="str" s="11">
        <x:v>C:\Users\Nomatin\Documents\Altium\MY_LIB\MY_LIB\Datasheets\YAGEO_RC_L.pdf</x:v>
      </x:c>
      <x:c xmlns:x="http://schemas.openxmlformats.org/spreadsheetml/2006/main" r="W515" t="str" s="11">
        <x:v>Даташит — производитель</x:v>
      </x:c>
      <x:c xmlns:x="http://schemas.openxmlformats.org/spreadsheetml/2006/main" r="X515" t="str" s="11">
        <x:v>https://yageogroup.com/content/datasheet/asset/file/PYU-RC_GROUP_51_ROHS_L</x:v>
      </x:c>
      <x:c xmlns:x="http://schemas.openxmlformats.org/spreadsheetml/2006/main" r="Y515" t="str" s="11">
        <x:v>C:\Users\Nomatin\Documents\Altium\MY_LIB\MY_LIB\Datasheets\YAGEO_RC_L.pdf</x:v>
      </x:c>
      <ns0:c xmlns:ns0="http://schemas.openxmlformats.org/spreadsheetml/2006/main" r="Z515" s="16" t="inlineStr">
        <ns0:is>
          <ns0:t>MY_LIB_R_TCR</ns0:t>
        </ns0:is>
      </ns0:c>
      <ns0:c xmlns:ns0="http://schemas.openxmlformats.org/spreadsheetml/2006/main" r="AA515" s="16" t="inlineStr">
        <ns0:is>
          <ns0:t>R(T), +100 ppm/C at 25 C; positive datasheet limit</ns0:t>
        </ns0:is>
      </ns0:c>
      <ns0:c xmlns:ns0="http://schemas.openxmlformats.org/spreadsheetml/2006/main" r="AB515" s="16" t="str">
        <ns0:v>General</ns0:v>
      </ns0:c>
      <ns0:c xmlns:ns0="http://schemas.openxmlformats.org/spreadsheetml/2006/main" r="AC515" s="16" t="inlineStr">
        <ns0:is>
          <ns0:t>Spice Subcircuit</ns0:t>
        </ns0:is>
      </ns0:c>
      <ns0:c xmlns:ns0="http://schemas.openxmlformats.org/spreadsheetml/2006/main" r="AD515" s="16" t="inlineStr">
        <ns0:is>
          <ns0:t>@DESIGNATOR %1 %2 @MODEL PARAMS: Rvalue=@VALUE TC1value=100u</ns0:t>
        </ns0:is>
      </ns0:c>
      <ns0:c xmlns:ns0="http://schemas.openxmlformats.org/spreadsheetml/2006/main" r="AE515" s="16" t="inlineStr">
        <ns0:is>
          <ns0:t>X</ns0:t>
        </ns0:is>
      </ns0:c>
      <ns0:c xmlns:ns0="http://schemas.openxmlformats.org/spreadsheetml/2006/main" r="AF515" s="16" t="str">
        <ns0:v>(1:1),(2:2)</ns0:v>
      </ns0:c>
      <ns0:c xmlns:ns0="http://schemas.openxmlformats.org/spreadsheetml/2006/main" r="AG515" s="16" t="inlineStr">
        <ns0:is>
          <ns0:t>Simulation\Resistors\MY_LIB_R_TCR.ckt</ns0:t>
        </ns0:is>
      </ns0:c>
      <ns0:c xmlns:ns0="http://schemas.openxmlformats.org/spreadsheetml/2006/main" r="AH515" s="16" t="inlineStr">
        <ns0:is>
          <ns0:t>±100 ppm/°C</ns0:t>
        </ns0:is>
      </ns0:c>
    </ns0:row>
    <ns0:row xmlns:ns0="http://schemas.openxmlformats.org/spreadsheetml/2006/main" r="516" ht="30" customHeight="1">
      <ns0:c r="A516" t="str" s="10">
        <ns0:v>R0522</ns0:v>
      </ns0:c>
      <ns0:c r="B516" t="str" s="10">
        <ns0:v>Резистор</ns0:v>
      </ns0:c>
      <ns0:c r="C516" t="str" s="10">
        <ns0:v>1.6k</ns0:v>
      </ns0:c>
      <ns0:c r="D516" t="str" s="11">
        <ns0:f>SUBSTITUTE(SUBSTITUTE(SUBSTITUTE(SUBSTITUTE(C516,"meg"," МОм"),"k"," кОм"),"R"," Ом"),".",",")</ns0:f>
        <ns0:v>1,6 кОм</ns0:v>
      </ns0:c>
      <ns0:c r="E516" t="str" s="10">
        <ns0:v>±1%</ns0:v>
      </ns0:c>
      <ns0:c r="F516" t="str" s="10">
        <ns0:v>0,125 Вт</ns0:v>
      </ns0:c>
      <ns0:c r="G516" t="str" s="10">
        <ns0:v>150 В макс.</ns0:v>
      </ns0:c>
      <ns0:c r="H516" t="str" s="12">
        <ns0:v>0805</ns0:v>
      </ns0:c>
      <ns0:c r="I516" t="str" s="10">
        <ns0:v>YAGEO</ns0:v>
      </ns0:c>
      <ns0:c r="J516" t="str" s="10">
        <ns0:v>RC0805FR-071K6L</ns0:v>
      </ns0:c>
      <ns0:c r="K516" t="str" s="11">
        <ns0:f>B516&amp;" "&amp;D516&amp;" "&amp;E516&amp;" "&amp;H516</ns0:f>
        <ns0:v>Резистор 1,6 кОм ±1% 0805</ns0:v>
      </ns0:c>
      <ns0:c r="L516" t="str" s="13">
        <ns0:v>R</ns0:v>
      </ns0:c>
      <ns0:c r="M516" t="str" s="13">
        <ns0:v>Symbols\MY_LIB_Resistors.SchLib</ns0:v>
      </ns0:c>
      <ns0:c r="N516" t="str" s="13">
        <ns0:v>RESC2012X70N</ns0:v>
      </ns0:c>
      <ns0:c r="O516" t="str" s="13">
        <ns0:v>Footprints\PBL - SMD Packages.PcbLib</ns0:v>
      </ns0:c>
      <ns0:c xmlns:ns0="http://schemas.openxmlformats.org/spreadsheetml/2006/main" r="P51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6" s="10"/>
      <ns0:c r="R516" t="str" s="11">
        <ns0:f>D516</ns0:f>
        <ns0:v>1,6 кОм</ns0:v>
      </ns0:c>
      <ns0:c r="S516" t="str" s="11">
        <ns0:f>K516</ns0:f>
        <ns0:v>Резистор 1,6 кОм ±1% 0805</ns0:v>
      </ns0:c>
      <x:c xmlns:x="http://schemas.openxmlformats.org/spreadsheetml/2006/main" r="T516" t="str" s="11">
        <x:v>C:\Users\Nomatin\Documents\Altium\MY_LIB\MY_LIB\Datasheets\YAGEO_RC_L.pdf</x:v>
      </x:c>
      <x:c xmlns:x="http://schemas.openxmlformats.org/spreadsheetml/2006/main" r="U516" t="str" s="11">
        <x:v>Даташит — локальный</x:v>
      </x:c>
      <x:c xmlns:x="http://schemas.openxmlformats.org/spreadsheetml/2006/main" r="V516" t="str" s="11">
        <x:v>C:\Users\Nomatin\Documents\Altium\MY_LIB\MY_LIB\Datasheets\YAGEO_RC_L.pdf</x:v>
      </x:c>
      <x:c xmlns:x="http://schemas.openxmlformats.org/spreadsheetml/2006/main" r="W516" t="str" s="11">
        <x:v>Даташит — производитель</x:v>
      </x:c>
      <x:c xmlns:x="http://schemas.openxmlformats.org/spreadsheetml/2006/main" r="X516" t="str" s="11">
        <x:v>https://yageogroup.com/content/datasheet/asset/file/PYU-RC_GROUP_51_ROHS_L</x:v>
      </x:c>
      <x:c xmlns:x="http://schemas.openxmlformats.org/spreadsheetml/2006/main" r="Y516" t="str" s="11">
        <x:v>C:\Users\Nomatin\Documents\Altium\MY_LIB\MY_LIB\Datasheets\YAGEO_RC_L.pdf</x:v>
      </x:c>
      <ns0:c xmlns:ns0="http://schemas.openxmlformats.org/spreadsheetml/2006/main" r="Z516" s="16" t="inlineStr">
        <ns0:is>
          <ns0:t>MY_LIB_R_TCR</ns0:t>
        </ns0:is>
      </ns0:c>
      <ns0:c xmlns:ns0="http://schemas.openxmlformats.org/spreadsheetml/2006/main" r="AA516" s="16" t="inlineStr">
        <ns0:is>
          <ns0:t>R(T), +100 ppm/C at 25 C; positive datasheet limit</ns0:t>
        </ns0:is>
      </ns0:c>
      <ns0:c xmlns:ns0="http://schemas.openxmlformats.org/spreadsheetml/2006/main" r="AB516" s="16" t="str">
        <ns0:v>General</ns0:v>
      </ns0:c>
      <ns0:c xmlns:ns0="http://schemas.openxmlformats.org/spreadsheetml/2006/main" r="AC516" s="16" t="inlineStr">
        <ns0:is>
          <ns0:t>Spice Subcircuit</ns0:t>
        </ns0:is>
      </ns0:c>
      <ns0:c xmlns:ns0="http://schemas.openxmlformats.org/spreadsheetml/2006/main" r="AD516" s="16" t="inlineStr">
        <ns0:is>
          <ns0:t>@DESIGNATOR %1 %2 @MODEL PARAMS: Rvalue=@VALUE TC1value=100u</ns0:t>
        </ns0:is>
      </ns0:c>
      <ns0:c xmlns:ns0="http://schemas.openxmlformats.org/spreadsheetml/2006/main" r="AE516" s="16" t="inlineStr">
        <ns0:is>
          <ns0:t>X</ns0:t>
        </ns0:is>
      </ns0:c>
      <ns0:c xmlns:ns0="http://schemas.openxmlformats.org/spreadsheetml/2006/main" r="AF516" s="16" t="str">
        <ns0:v>(1:1),(2:2)</ns0:v>
      </ns0:c>
      <ns0:c xmlns:ns0="http://schemas.openxmlformats.org/spreadsheetml/2006/main" r="AG516" s="16" t="inlineStr">
        <ns0:is>
          <ns0:t>Simulation\Resistors\MY_LIB_R_TCR.ckt</ns0:t>
        </ns0:is>
      </ns0:c>
      <ns0:c xmlns:ns0="http://schemas.openxmlformats.org/spreadsheetml/2006/main" r="AH516" s="16" t="inlineStr">
        <ns0:is>
          <ns0:t>±100 ppm/°C</ns0:t>
        </ns0:is>
      </ns0:c>
    </ns0:row>
    <ns0:row xmlns:ns0="http://schemas.openxmlformats.org/spreadsheetml/2006/main" r="517" ht="30" customHeight="1">
      <ns0:c r="A517" t="str" s="10">
        <ns0:v>R0523</ns0:v>
      </ns0:c>
      <ns0:c r="B517" t="str" s="10">
        <ns0:v>Резистор</ns0:v>
      </ns0:c>
      <ns0:c r="C517" t="str" s="10">
        <ns0:v>1.8k</ns0:v>
      </ns0:c>
      <ns0:c r="D517" t="str" s="11">
        <ns0:f>SUBSTITUTE(SUBSTITUTE(SUBSTITUTE(SUBSTITUTE(C517,"meg"," МОм"),"k"," кОм"),"R"," Ом"),".",",")</ns0:f>
        <ns0:v>1,8 кОм</ns0:v>
      </ns0:c>
      <ns0:c r="E517" t="str" s="10">
        <ns0:v>±1%</ns0:v>
      </ns0:c>
      <ns0:c r="F517" t="str" s="10">
        <ns0:v>0,125 Вт</ns0:v>
      </ns0:c>
      <ns0:c r="G517" t="str" s="10">
        <ns0:v>150 В макс.</ns0:v>
      </ns0:c>
      <ns0:c r="H517" t="str" s="12">
        <ns0:v>0805</ns0:v>
      </ns0:c>
      <ns0:c r="I517" t="str" s="10">
        <ns0:v>YAGEO</ns0:v>
      </ns0:c>
      <ns0:c r="J517" t="str" s="10">
        <ns0:v>RC0805FR-071K8L</ns0:v>
      </ns0:c>
      <ns0:c r="K517" t="str" s="11">
        <ns0:f>B517&amp;" "&amp;D517&amp;" "&amp;E517&amp;" "&amp;H517</ns0:f>
        <ns0:v>Резистор 1,8 кОм ±1% 0805</ns0:v>
      </ns0:c>
      <ns0:c r="L517" t="str" s="13">
        <ns0:v>R</ns0:v>
      </ns0:c>
      <ns0:c r="M517" t="str" s="13">
        <ns0:v>Symbols\MY_LIB_Resistors.SchLib</ns0:v>
      </ns0:c>
      <ns0:c r="N517" t="str" s="13">
        <ns0:v>RESC2012X70N</ns0:v>
      </ns0:c>
      <ns0:c r="O517" t="str" s="13">
        <ns0:v>Footprints\PBL - SMD Packages.PcbLib</ns0:v>
      </ns0:c>
      <ns0:c xmlns:ns0="http://schemas.openxmlformats.org/spreadsheetml/2006/main" r="P51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7" s="10"/>
      <ns0:c r="R517" t="str" s="11">
        <ns0:f>D517</ns0:f>
        <ns0:v>1,8 кОм</ns0:v>
      </ns0:c>
      <ns0:c r="S517" t="str" s="11">
        <ns0:f>K517</ns0:f>
        <ns0:v>Резистор 1,8 кОм ±1% 0805</ns0:v>
      </ns0:c>
      <x:c xmlns:x="http://schemas.openxmlformats.org/spreadsheetml/2006/main" r="T517" t="str" s="11">
        <x:v>C:\Users\Nomatin\Documents\Altium\MY_LIB\MY_LIB\Datasheets\YAGEO_RC_L.pdf</x:v>
      </x:c>
      <x:c xmlns:x="http://schemas.openxmlformats.org/spreadsheetml/2006/main" r="U517" t="str" s="11">
        <x:v>Даташит — локальный</x:v>
      </x:c>
      <x:c xmlns:x="http://schemas.openxmlformats.org/spreadsheetml/2006/main" r="V517" t="str" s="11">
        <x:v>C:\Users\Nomatin\Documents\Altium\MY_LIB\MY_LIB\Datasheets\YAGEO_RC_L.pdf</x:v>
      </x:c>
      <x:c xmlns:x="http://schemas.openxmlformats.org/spreadsheetml/2006/main" r="W517" t="str" s="11">
        <x:v>Даташит — производитель</x:v>
      </x:c>
      <x:c xmlns:x="http://schemas.openxmlformats.org/spreadsheetml/2006/main" r="X517" t="str" s="11">
        <x:v>https://yageogroup.com/content/datasheet/asset/file/PYU-RC_GROUP_51_ROHS_L</x:v>
      </x:c>
      <x:c xmlns:x="http://schemas.openxmlformats.org/spreadsheetml/2006/main" r="Y517" t="str" s="11">
        <x:v>C:\Users\Nomatin\Documents\Altium\MY_LIB\MY_LIB\Datasheets\YAGEO_RC_L.pdf</x:v>
      </x:c>
      <ns0:c xmlns:ns0="http://schemas.openxmlformats.org/spreadsheetml/2006/main" r="Z517" s="16" t="inlineStr">
        <ns0:is>
          <ns0:t>MY_LIB_R_TCR</ns0:t>
        </ns0:is>
      </ns0:c>
      <ns0:c xmlns:ns0="http://schemas.openxmlformats.org/spreadsheetml/2006/main" r="AA517" s="16" t="inlineStr">
        <ns0:is>
          <ns0:t>R(T), +100 ppm/C at 25 C; positive datasheet limit</ns0:t>
        </ns0:is>
      </ns0:c>
      <ns0:c xmlns:ns0="http://schemas.openxmlformats.org/spreadsheetml/2006/main" r="AB517" s="16" t="str">
        <ns0:v>General</ns0:v>
      </ns0:c>
      <ns0:c xmlns:ns0="http://schemas.openxmlformats.org/spreadsheetml/2006/main" r="AC517" s="16" t="inlineStr">
        <ns0:is>
          <ns0:t>Spice Subcircuit</ns0:t>
        </ns0:is>
      </ns0:c>
      <ns0:c xmlns:ns0="http://schemas.openxmlformats.org/spreadsheetml/2006/main" r="AD517" s="16" t="inlineStr">
        <ns0:is>
          <ns0:t>@DESIGNATOR %1 %2 @MODEL PARAMS: Rvalue=@VALUE TC1value=100u</ns0:t>
        </ns0:is>
      </ns0:c>
      <ns0:c xmlns:ns0="http://schemas.openxmlformats.org/spreadsheetml/2006/main" r="AE517" s="16" t="inlineStr">
        <ns0:is>
          <ns0:t>X</ns0:t>
        </ns0:is>
      </ns0:c>
      <ns0:c xmlns:ns0="http://schemas.openxmlformats.org/spreadsheetml/2006/main" r="AF517" s="16" t="str">
        <ns0:v>(1:1),(2:2)</ns0:v>
      </ns0:c>
      <ns0:c xmlns:ns0="http://schemas.openxmlformats.org/spreadsheetml/2006/main" r="AG517" s="16" t="inlineStr">
        <ns0:is>
          <ns0:t>Simulation\Resistors\MY_LIB_R_TCR.ckt</ns0:t>
        </ns0:is>
      </ns0:c>
      <ns0:c xmlns:ns0="http://schemas.openxmlformats.org/spreadsheetml/2006/main" r="AH517" s="16" t="inlineStr">
        <ns0:is>
          <ns0:t>±100 ppm/°C</ns0:t>
        </ns0:is>
      </ns0:c>
    </ns0:row>
    <ns0:row xmlns:ns0="http://schemas.openxmlformats.org/spreadsheetml/2006/main" r="518" ht="30" customHeight="1">
      <ns0:c r="A518" t="str" s="10">
        <ns0:v>R0524</ns0:v>
      </ns0:c>
      <ns0:c r="B518" t="str" s="10">
        <ns0:v>Резистор</ns0:v>
      </ns0:c>
      <ns0:c r="C518" t="str" s="10">
        <ns0:v>2k</ns0:v>
      </ns0:c>
      <ns0:c r="D518" t="str" s="11">
        <ns0:f>SUBSTITUTE(SUBSTITUTE(SUBSTITUTE(SUBSTITUTE(C518,"meg"," МОм"),"k"," кОм"),"R"," Ом"),".",",")</ns0:f>
        <ns0:v>2 кОм</ns0:v>
      </ns0:c>
      <ns0:c r="E518" t="str" s="10">
        <ns0:v>±1%</ns0:v>
      </ns0:c>
      <ns0:c r="F518" t="str" s="10">
        <ns0:v>0,125 Вт</ns0:v>
      </ns0:c>
      <ns0:c r="G518" t="str" s="10">
        <ns0:v>150 В макс.</ns0:v>
      </ns0:c>
      <ns0:c r="H518" t="str" s="12">
        <ns0:v>0805</ns0:v>
      </ns0:c>
      <ns0:c r="I518" t="str" s="10">
        <ns0:v>YAGEO</ns0:v>
      </ns0:c>
      <ns0:c r="J518" t="str" s="10">
        <ns0:v>RC0805FR-072KL</ns0:v>
      </ns0:c>
      <ns0:c r="K518" t="str" s="11">
        <ns0:f>B518&amp;" "&amp;D518&amp;" "&amp;E518&amp;" "&amp;H518</ns0:f>
        <ns0:v>Резистор 2 кОм ±1% 0805</ns0:v>
      </ns0:c>
      <ns0:c r="L518" t="str" s="13">
        <ns0:v>R</ns0:v>
      </ns0:c>
      <ns0:c r="M518" t="str" s="13">
        <ns0:v>Symbols\MY_LIB_Resistors.SchLib</ns0:v>
      </ns0:c>
      <ns0:c r="N518" t="str" s="13">
        <ns0:v>RESC2012X70N</ns0:v>
      </ns0:c>
      <ns0:c r="O518" t="str" s="13">
        <ns0:v>Footprints\PBL - SMD Packages.PcbLib</ns0:v>
      </ns0:c>
      <ns0:c xmlns:ns0="http://schemas.openxmlformats.org/spreadsheetml/2006/main" r="P51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8" s="10"/>
      <ns0:c r="R518" t="str" s="11">
        <ns0:f>D518</ns0:f>
        <ns0:v>2 кОм</ns0:v>
      </ns0:c>
      <ns0:c r="S518" t="str" s="11">
        <ns0:f>K518</ns0:f>
        <ns0:v>Резистор 2 кОм ±1% 0805</ns0:v>
      </ns0:c>
      <x:c xmlns:x="http://schemas.openxmlformats.org/spreadsheetml/2006/main" r="T518" t="str" s="11">
        <x:v>C:\Users\Nomatin\Documents\Altium\MY_LIB\MY_LIB\Datasheets\YAGEO_RC_L.pdf</x:v>
      </x:c>
      <x:c xmlns:x="http://schemas.openxmlformats.org/spreadsheetml/2006/main" r="U518" t="str" s="11">
        <x:v>Даташит — локальный</x:v>
      </x:c>
      <x:c xmlns:x="http://schemas.openxmlformats.org/spreadsheetml/2006/main" r="V518" t="str" s="11">
        <x:v>C:\Users\Nomatin\Documents\Altium\MY_LIB\MY_LIB\Datasheets\YAGEO_RC_L.pdf</x:v>
      </x:c>
      <x:c xmlns:x="http://schemas.openxmlformats.org/spreadsheetml/2006/main" r="W518" t="str" s="11">
        <x:v>Даташит — производитель</x:v>
      </x:c>
      <x:c xmlns:x="http://schemas.openxmlformats.org/spreadsheetml/2006/main" r="X518" t="str" s="11">
        <x:v>https://yageogroup.com/content/datasheet/asset/file/PYU-RC_GROUP_51_ROHS_L</x:v>
      </x:c>
      <x:c xmlns:x="http://schemas.openxmlformats.org/spreadsheetml/2006/main" r="Y518" t="str" s="11">
        <x:v>C:\Users\Nomatin\Documents\Altium\MY_LIB\MY_LIB\Datasheets\YAGEO_RC_L.pdf</x:v>
      </x:c>
      <ns0:c xmlns:ns0="http://schemas.openxmlformats.org/spreadsheetml/2006/main" r="Z518" s="16" t="inlineStr">
        <ns0:is>
          <ns0:t>MY_LIB_R_TCR</ns0:t>
        </ns0:is>
      </ns0:c>
      <ns0:c xmlns:ns0="http://schemas.openxmlformats.org/spreadsheetml/2006/main" r="AA518" s="16" t="inlineStr">
        <ns0:is>
          <ns0:t>R(T), +100 ppm/C at 25 C; positive datasheet limit</ns0:t>
        </ns0:is>
      </ns0:c>
      <ns0:c xmlns:ns0="http://schemas.openxmlformats.org/spreadsheetml/2006/main" r="AB518" s="16" t="str">
        <ns0:v>General</ns0:v>
      </ns0:c>
      <ns0:c xmlns:ns0="http://schemas.openxmlformats.org/spreadsheetml/2006/main" r="AC518" s="16" t="inlineStr">
        <ns0:is>
          <ns0:t>Spice Subcircuit</ns0:t>
        </ns0:is>
      </ns0:c>
      <ns0:c xmlns:ns0="http://schemas.openxmlformats.org/spreadsheetml/2006/main" r="AD518" s="16" t="inlineStr">
        <ns0:is>
          <ns0:t>@DESIGNATOR %1 %2 @MODEL PARAMS: Rvalue=@VALUE TC1value=100u</ns0:t>
        </ns0:is>
      </ns0:c>
      <ns0:c xmlns:ns0="http://schemas.openxmlformats.org/spreadsheetml/2006/main" r="AE518" s="16" t="inlineStr">
        <ns0:is>
          <ns0:t>X</ns0:t>
        </ns0:is>
      </ns0:c>
      <ns0:c xmlns:ns0="http://schemas.openxmlformats.org/spreadsheetml/2006/main" r="AF518" s="16" t="str">
        <ns0:v>(1:1),(2:2)</ns0:v>
      </ns0:c>
      <ns0:c xmlns:ns0="http://schemas.openxmlformats.org/spreadsheetml/2006/main" r="AG518" s="16" t="inlineStr">
        <ns0:is>
          <ns0:t>Simulation\Resistors\MY_LIB_R_TCR.ckt</ns0:t>
        </ns0:is>
      </ns0:c>
      <ns0:c xmlns:ns0="http://schemas.openxmlformats.org/spreadsheetml/2006/main" r="AH518" s="16" t="inlineStr">
        <ns0:is>
          <ns0:t>±100 ppm/°C</ns0:t>
        </ns0:is>
      </ns0:c>
    </ns0:row>
    <ns0:row xmlns:ns0="http://schemas.openxmlformats.org/spreadsheetml/2006/main" r="519" ht="30" customHeight="1">
      <ns0:c r="A519" t="str" s="10">
        <ns0:v>R0525</ns0:v>
      </ns0:c>
      <ns0:c r="B519" t="str" s="10">
        <ns0:v>Резистор</ns0:v>
      </ns0:c>
      <ns0:c r="C519" t="str" s="10">
        <ns0:v>2.2k</ns0:v>
      </ns0:c>
      <ns0:c r="D519" t="str" s="11">
        <ns0:f>SUBSTITUTE(SUBSTITUTE(SUBSTITUTE(SUBSTITUTE(C519,"meg"," МОм"),"k"," кОм"),"R"," Ом"),".",",")</ns0:f>
        <ns0:v>2,2 кОм</ns0:v>
      </ns0:c>
      <ns0:c r="E519" t="str" s="10">
        <ns0:v>±1%</ns0:v>
      </ns0:c>
      <ns0:c r="F519" t="str" s="10">
        <ns0:v>0,125 Вт</ns0:v>
      </ns0:c>
      <ns0:c r="G519" t="str" s="10">
        <ns0:v>150 В макс.</ns0:v>
      </ns0:c>
      <ns0:c r="H519" t="str" s="12">
        <ns0:v>0805</ns0:v>
      </ns0:c>
      <ns0:c r="I519" t="str" s="10">
        <ns0:v>YAGEO</ns0:v>
      </ns0:c>
      <ns0:c r="J519" t="str" s="10">
        <ns0:v>RC0805FR-072K2L</ns0:v>
      </ns0:c>
      <ns0:c r="K519" t="str" s="11">
        <ns0:f>B519&amp;" "&amp;D519&amp;" "&amp;E519&amp;" "&amp;H519</ns0:f>
        <ns0:v>Резистор 2,2 кОм ±1% 0805</ns0:v>
      </ns0:c>
      <ns0:c r="L519" t="str" s="13">
        <ns0:v>R</ns0:v>
      </ns0:c>
      <ns0:c r="M519" t="str" s="13">
        <ns0:v>Symbols\MY_LIB_Resistors.SchLib</ns0:v>
      </ns0:c>
      <ns0:c r="N519" t="str" s="13">
        <ns0:v>RESC2012X70N</ns0:v>
      </ns0:c>
      <ns0:c r="O519" t="str" s="13">
        <ns0:v>Footprints\PBL - SMD Packages.PcbLib</ns0:v>
      </ns0:c>
      <ns0:c xmlns:ns0="http://schemas.openxmlformats.org/spreadsheetml/2006/main" r="P51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19" s="10"/>
      <ns0:c r="R519" t="str" s="11">
        <ns0:f>D519</ns0:f>
        <ns0:v>2,2 кОм</ns0:v>
      </ns0:c>
      <ns0:c r="S519" t="str" s="11">
        <ns0:f>K519</ns0:f>
        <ns0:v>Резистор 2,2 кОм ±1% 0805</ns0:v>
      </ns0:c>
      <x:c xmlns:x="http://schemas.openxmlformats.org/spreadsheetml/2006/main" r="T519" t="str" s="11">
        <x:v>C:\Users\Nomatin\Documents\Altium\MY_LIB\MY_LIB\Datasheets\YAGEO_RC_L.pdf</x:v>
      </x:c>
      <x:c xmlns:x="http://schemas.openxmlformats.org/spreadsheetml/2006/main" r="U519" t="str" s="11">
        <x:v>Даташит — локальный</x:v>
      </x:c>
      <x:c xmlns:x="http://schemas.openxmlformats.org/spreadsheetml/2006/main" r="V519" t="str" s="11">
        <x:v>C:\Users\Nomatin\Documents\Altium\MY_LIB\MY_LIB\Datasheets\YAGEO_RC_L.pdf</x:v>
      </x:c>
      <x:c xmlns:x="http://schemas.openxmlformats.org/spreadsheetml/2006/main" r="W519" t="str" s="11">
        <x:v>Даташит — производитель</x:v>
      </x:c>
      <x:c xmlns:x="http://schemas.openxmlformats.org/spreadsheetml/2006/main" r="X519" t="str" s="11">
        <x:v>https://yageogroup.com/content/datasheet/asset/file/PYU-RC_GROUP_51_ROHS_L</x:v>
      </x:c>
      <x:c xmlns:x="http://schemas.openxmlformats.org/spreadsheetml/2006/main" r="Y519" t="str" s="11">
        <x:v>C:\Users\Nomatin\Documents\Altium\MY_LIB\MY_LIB\Datasheets\YAGEO_RC_L.pdf</x:v>
      </x:c>
      <ns0:c xmlns:ns0="http://schemas.openxmlformats.org/spreadsheetml/2006/main" r="Z519" s="16" t="inlineStr">
        <ns0:is>
          <ns0:t>MY_LIB_R_TCR</ns0:t>
        </ns0:is>
      </ns0:c>
      <ns0:c xmlns:ns0="http://schemas.openxmlformats.org/spreadsheetml/2006/main" r="AA519" s="16" t="inlineStr">
        <ns0:is>
          <ns0:t>R(T), +100 ppm/C at 25 C; positive datasheet limit</ns0:t>
        </ns0:is>
      </ns0:c>
      <ns0:c xmlns:ns0="http://schemas.openxmlformats.org/spreadsheetml/2006/main" r="AB519" s="16" t="str">
        <ns0:v>General</ns0:v>
      </ns0:c>
      <ns0:c xmlns:ns0="http://schemas.openxmlformats.org/spreadsheetml/2006/main" r="AC519" s="16" t="inlineStr">
        <ns0:is>
          <ns0:t>Spice Subcircuit</ns0:t>
        </ns0:is>
      </ns0:c>
      <ns0:c xmlns:ns0="http://schemas.openxmlformats.org/spreadsheetml/2006/main" r="AD519" s="16" t="inlineStr">
        <ns0:is>
          <ns0:t>@DESIGNATOR %1 %2 @MODEL PARAMS: Rvalue=@VALUE TC1value=100u</ns0:t>
        </ns0:is>
      </ns0:c>
      <ns0:c xmlns:ns0="http://schemas.openxmlformats.org/spreadsheetml/2006/main" r="AE519" s="16" t="inlineStr">
        <ns0:is>
          <ns0:t>X</ns0:t>
        </ns0:is>
      </ns0:c>
      <ns0:c xmlns:ns0="http://schemas.openxmlformats.org/spreadsheetml/2006/main" r="AF519" s="16" t="str">
        <ns0:v>(1:1),(2:2)</ns0:v>
      </ns0:c>
      <ns0:c xmlns:ns0="http://schemas.openxmlformats.org/spreadsheetml/2006/main" r="AG519" s="16" t="inlineStr">
        <ns0:is>
          <ns0:t>Simulation\Resistors\MY_LIB_R_TCR.ckt</ns0:t>
        </ns0:is>
      </ns0:c>
      <ns0:c xmlns:ns0="http://schemas.openxmlformats.org/spreadsheetml/2006/main" r="AH519" s="16" t="inlineStr">
        <ns0:is>
          <ns0:t>±100 ppm/°C</ns0:t>
        </ns0:is>
      </ns0:c>
    </ns0:row>
    <ns0:row xmlns:ns0="http://schemas.openxmlformats.org/spreadsheetml/2006/main" r="520" ht="30" customHeight="1">
      <ns0:c r="A520" t="str" s="10">
        <ns0:v>R0526</ns0:v>
      </ns0:c>
      <ns0:c r="B520" t="str" s="10">
        <ns0:v>Резистор</ns0:v>
      </ns0:c>
      <ns0:c r="C520" t="str" s="10">
        <ns0:v>2.4k</ns0:v>
      </ns0:c>
      <ns0:c r="D520" t="str" s="11">
        <ns0:f>SUBSTITUTE(SUBSTITUTE(SUBSTITUTE(SUBSTITUTE(C520,"meg"," МОм"),"k"," кОм"),"R"," Ом"),".",",")</ns0:f>
        <ns0:v>2,4 кОм</ns0:v>
      </ns0:c>
      <ns0:c r="E520" t="str" s="10">
        <ns0:v>±1%</ns0:v>
      </ns0:c>
      <ns0:c r="F520" t="str" s="10">
        <ns0:v>0,125 Вт</ns0:v>
      </ns0:c>
      <ns0:c r="G520" t="str" s="10">
        <ns0:v>150 В макс.</ns0:v>
      </ns0:c>
      <ns0:c r="H520" t="str" s="12">
        <ns0:v>0805</ns0:v>
      </ns0:c>
      <ns0:c r="I520" t="str" s="10">
        <ns0:v>YAGEO</ns0:v>
      </ns0:c>
      <ns0:c r="J520" t="str" s="10">
        <ns0:v>RC0805FR-072K4L</ns0:v>
      </ns0:c>
      <ns0:c r="K520" t="str" s="11">
        <ns0:f>B520&amp;" "&amp;D520&amp;" "&amp;E520&amp;" "&amp;H520</ns0:f>
        <ns0:v>Резистор 2,4 кОм ±1% 0805</ns0:v>
      </ns0:c>
      <ns0:c r="L520" t="str" s="13">
        <ns0:v>R</ns0:v>
      </ns0:c>
      <ns0:c r="M520" t="str" s="13">
        <ns0:v>Symbols\MY_LIB_Resistors.SchLib</ns0:v>
      </ns0:c>
      <ns0:c r="N520" t="str" s="13">
        <ns0:v>RESC2012X70N</ns0:v>
      </ns0:c>
      <ns0:c r="O520" t="str" s="13">
        <ns0:v>Footprints\PBL - SMD Packages.PcbLib</ns0:v>
      </ns0:c>
      <ns0:c xmlns:ns0="http://schemas.openxmlformats.org/spreadsheetml/2006/main" r="P52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0" s="10"/>
      <ns0:c r="R520" t="str" s="11">
        <ns0:f>D520</ns0:f>
        <ns0:v>2,4 кОм</ns0:v>
      </ns0:c>
      <ns0:c r="S520" t="str" s="11">
        <ns0:f>K520</ns0:f>
        <ns0:v>Резистор 2,4 кОм ±1% 0805</ns0:v>
      </ns0:c>
      <x:c xmlns:x="http://schemas.openxmlformats.org/spreadsheetml/2006/main" r="T520" t="str" s="11">
        <x:v>C:\Users\Nomatin\Documents\Altium\MY_LIB\MY_LIB\Datasheets\YAGEO_RC_L.pdf</x:v>
      </x:c>
      <x:c xmlns:x="http://schemas.openxmlformats.org/spreadsheetml/2006/main" r="U520" t="str" s="11">
        <x:v>Даташит — локальный</x:v>
      </x:c>
      <x:c xmlns:x="http://schemas.openxmlformats.org/spreadsheetml/2006/main" r="V520" t="str" s="11">
        <x:v>C:\Users\Nomatin\Documents\Altium\MY_LIB\MY_LIB\Datasheets\YAGEO_RC_L.pdf</x:v>
      </x:c>
      <x:c xmlns:x="http://schemas.openxmlformats.org/spreadsheetml/2006/main" r="W520" t="str" s="11">
        <x:v>Даташит — производитель</x:v>
      </x:c>
      <x:c xmlns:x="http://schemas.openxmlformats.org/spreadsheetml/2006/main" r="X520" t="str" s="11">
        <x:v>https://yageogroup.com/content/datasheet/asset/file/PYU-RC_GROUP_51_ROHS_L</x:v>
      </x:c>
      <x:c xmlns:x="http://schemas.openxmlformats.org/spreadsheetml/2006/main" r="Y520" t="str" s="11">
        <x:v>C:\Users\Nomatin\Documents\Altium\MY_LIB\MY_LIB\Datasheets\YAGEO_RC_L.pdf</x:v>
      </x:c>
      <ns0:c xmlns:ns0="http://schemas.openxmlformats.org/spreadsheetml/2006/main" r="Z520" s="16" t="inlineStr">
        <ns0:is>
          <ns0:t>MY_LIB_R_TCR</ns0:t>
        </ns0:is>
      </ns0:c>
      <ns0:c xmlns:ns0="http://schemas.openxmlformats.org/spreadsheetml/2006/main" r="AA520" s="16" t="inlineStr">
        <ns0:is>
          <ns0:t>R(T), +100 ppm/C at 25 C; positive datasheet limit</ns0:t>
        </ns0:is>
      </ns0:c>
      <ns0:c xmlns:ns0="http://schemas.openxmlformats.org/spreadsheetml/2006/main" r="AB520" s="16" t="str">
        <ns0:v>General</ns0:v>
      </ns0:c>
      <ns0:c xmlns:ns0="http://schemas.openxmlformats.org/spreadsheetml/2006/main" r="AC520" s="16" t="inlineStr">
        <ns0:is>
          <ns0:t>Spice Subcircuit</ns0:t>
        </ns0:is>
      </ns0:c>
      <ns0:c xmlns:ns0="http://schemas.openxmlformats.org/spreadsheetml/2006/main" r="AD520" s="16" t="inlineStr">
        <ns0:is>
          <ns0:t>@DESIGNATOR %1 %2 @MODEL PARAMS: Rvalue=@VALUE TC1value=100u</ns0:t>
        </ns0:is>
      </ns0:c>
      <ns0:c xmlns:ns0="http://schemas.openxmlformats.org/spreadsheetml/2006/main" r="AE520" s="16" t="inlineStr">
        <ns0:is>
          <ns0:t>X</ns0:t>
        </ns0:is>
      </ns0:c>
      <ns0:c xmlns:ns0="http://schemas.openxmlformats.org/spreadsheetml/2006/main" r="AF520" s="16" t="str">
        <ns0:v>(1:1),(2:2)</ns0:v>
      </ns0:c>
      <ns0:c xmlns:ns0="http://schemas.openxmlformats.org/spreadsheetml/2006/main" r="AG520" s="16" t="inlineStr">
        <ns0:is>
          <ns0:t>Simulation\Resistors\MY_LIB_R_TCR.ckt</ns0:t>
        </ns0:is>
      </ns0:c>
      <ns0:c xmlns:ns0="http://schemas.openxmlformats.org/spreadsheetml/2006/main" r="AH520" s="16" t="inlineStr">
        <ns0:is>
          <ns0:t>±100 ppm/°C</ns0:t>
        </ns0:is>
      </ns0:c>
    </ns0:row>
    <ns0:row xmlns:ns0="http://schemas.openxmlformats.org/spreadsheetml/2006/main" r="521" ht="30" customHeight="1">
      <ns0:c r="A521" t="str" s="10">
        <ns0:v>R0527</ns0:v>
      </ns0:c>
      <ns0:c r="B521" t="str" s="10">
        <ns0:v>Резистор</ns0:v>
      </ns0:c>
      <ns0:c r="C521" t="str" s="10">
        <ns0:v>2.7k</ns0:v>
      </ns0:c>
      <ns0:c r="D521" t="str" s="11">
        <ns0:f>SUBSTITUTE(SUBSTITUTE(SUBSTITUTE(SUBSTITUTE(C521,"meg"," МОм"),"k"," кОм"),"R"," Ом"),".",",")</ns0:f>
        <ns0:v>2,7 кОм</ns0:v>
      </ns0:c>
      <ns0:c r="E521" t="str" s="10">
        <ns0:v>±1%</ns0:v>
      </ns0:c>
      <ns0:c r="F521" t="str" s="10">
        <ns0:v>0,125 Вт</ns0:v>
      </ns0:c>
      <ns0:c r="G521" t="str" s="10">
        <ns0:v>150 В макс.</ns0:v>
      </ns0:c>
      <ns0:c r="H521" t="str" s="12">
        <ns0:v>0805</ns0:v>
      </ns0:c>
      <ns0:c r="I521" t="str" s="10">
        <ns0:v>YAGEO</ns0:v>
      </ns0:c>
      <ns0:c r="J521" t="str" s="10">
        <ns0:v>RC0805FR-072K7L</ns0:v>
      </ns0:c>
      <ns0:c r="K521" t="str" s="11">
        <ns0:f>B521&amp;" "&amp;D521&amp;" "&amp;E521&amp;" "&amp;H521</ns0:f>
        <ns0:v>Резистор 2,7 кОм ±1% 0805</ns0:v>
      </ns0:c>
      <ns0:c r="L521" t="str" s="13">
        <ns0:v>R</ns0:v>
      </ns0:c>
      <ns0:c r="M521" t="str" s="13">
        <ns0:v>Symbols\MY_LIB_Resistors.SchLib</ns0:v>
      </ns0:c>
      <ns0:c r="N521" t="str" s="13">
        <ns0:v>RESC2012X70N</ns0:v>
      </ns0:c>
      <ns0:c r="O521" t="str" s="13">
        <ns0:v>Footprints\PBL - SMD Packages.PcbLib</ns0:v>
      </ns0:c>
      <ns0:c xmlns:ns0="http://schemas.openxmlformats.org/spreadsheetml/2006/main" r="P52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1" s="10"/>
      <ns0:c r="R521" t="str" s="11">
        <ns0:f>D521</ns0:f>
        <ns0:v>2,7 кОм</ns0:v>
      </ns0:c>
      <ns0:c r="S521" t="str" s="11">
        <ns0:f>K521</ns0:f>
        <ns0:v>Резистор 2,7 кОм ±1% 0805</ns0:v>
      </ns0:c>
      <x:c xmlns:x="http://schemas.openxmlformats.org/spreadsheetml/2006/main" r="T521" t="str" s="11">
        <x:v>C:\Users\Nomatin\Documents\Altium\MY_LIB\MY_LIB\Datasheets\YAGEO_RC_L.pdf</x:v>
      </x:c>
      <x:c xmlns:x="http://schemas.openxmlformats.org/spreadsheetml/2006/main" r="U521" t="str" s="11">
        <x:v>Даташит — локальный</x:v>
      </x:c>
      <x:c xmlns:x="http://schemas.openxmlformats.org/spreadsheetml/2006/main" r="V521" t="str" s="11">
        <x:v>C:\Users\Nomatin\Documents\Altium\MY_LIB\MY_LIB\Datasheets\YAGEO_RC_L.pdf</x:v>
      </x:c>
      <x:c xmlns:x="http://schemas.openxmlformats.org/spreadsheetml/2006/main" r="W521" t="str" s="11">
        <x:v>Даташит — производитель</x:v>
      </x:c>
      <x:c xmlns:x="http://schemas.openxmlformats.org/spreadsheetml/2006/main" r="X521" t="str" s="11">
        <x:v>https://yageogroup.com/content/datasheet/asset/file/PYU-RC_GROUP_51_ROHS_L</x:v>
      </x:c>
      <x:c xmlns:x="http://schemas.openxmlformats.org/spreadsheetml/2006/main" r="Y521" t="str" s="11">
        <x:v>C:\Users\Nomatin\Documents\Altium\MY_LIB\MY_LIB\Datasheets\YAGEO_RC_L.pdf</x:v>
      </x:c>
      <ns0:c xmlns:ns0="http://schemas.openxmlformats.org/spreadsheetml/2006/main" r="Z521" s="16" t="inlineStr">
        <ns0:is>
          <ns0:t>MY_LIB_R_TCR</ns0:t>
        </ns0:is>
      </ns0:c>
      <ns0:c xmlns:ns0="http://schemas.openxmlformats.org/spreadsheetml/2006/main" r="AA521" s="16" t="inlineStr">
        <ns0:is>
          <ns0:t>R(T), +100 ppm/C at 25 C; positive datasheet limit</ns0:t>
        </ns0:is>
      </ns0:c>
      <ns0:c xmlns:ns0="http://schemas.openxmlformats.org/spreadsheetml/2006/main" r="AB521" s="16" t="str">
        <ns0:v>General</ns0:v>
      </ns0:c>
      <ns0:c xmlns:ns0="http://schemas.openxmlformats.org/spreadsheetml/2006/main" r="AC521" s="16" t="inlineStr">
        <ns0:is>
          <ns0:t>Spice Subcircuit</ns0:t>
        </ns0:is>
      </ns0:c>
      <ns0:c xmlns:ns0="http://schemas.openxmlformats.org/spreadsheetml/2006/main" r="AD521" s="16" t="inlineStr">
        <ns0:is>
          <ns0:t>@DESIGNATOR %1 %2 @MODEL PARAMS: Rvalue=@VALUE TC1value=100u</ns0:t>
        </ns0:is>
      </ns0:c>
      <ns0:c xmlns:ns0="http://schemas.openxmlformats.org/spreadsheetml/2006/main" r="AE521" s="16" t="inlineStr">
        <ns0:is>
          <ns0:t>X</ns0:t>
        </ns0:is>
      </ns0:c>
      <ns0:c xmlns:ns0="http://schemas.openxmlformats.org/spreadsheetml/2006/main" r="AF521" s="16" t="str">
        <ns0:v>(1:1),(2:2)</ns0:v>
      </ns0:c>
      <ns0:c xmlns:ns0="http://schemas.openxmlformats.org/spreadsheetml/2006/main" r="AG521" s="16" t="inlineStr">
        <ns0:is>
          <ns0:t>Simulation\Resistors\MY_LIB_R_TCR.ckt</ns0:t>
        </ns0:is>
      </ns0:c>
      <ns0:c xmlns:ns0="http://schemas.openxmlformats.org/spreadsheetml/2006/main" r="AH521" s="16" t="inlineStr">
        <ns0:is>
          <ns0:t>±100 ppm/°C</ns0:t>
        </ns0:is>
      </ns0:c>
    </ns0:row>
    <ns0:row xmlns:ns0="http://schemas.openxmlformats.org/spreadsheetml/2006/main" r="522" ht="30" customHeight="1">
      <ns0:c r="A522" t="str" s="10">
        <ns0:v>R0528</ns0:v>
      </ns0:c>
      <ns0:c r="B522" t="str" s="10">
        <ns0:v>Резистор</ns0:v>
      </ns0:c>
      <ns0:c r="C522" t="str" s="10">
        <ns0:v>3k</ns0:v>
      </ns0:c>
      <ns0:c r="D522" t="str" s="11">
        <ns0:f>SUBSTITUTE(SUBSTITUTE(SUBSTITUTE(SUBSTITUTE(C522,"meg"," МОм"),"k"," кОм"),"R"," Ом"),".",",")</ns0:f>
        <ns0:v>3 кОм</ns0:v>
      </ns0:c>
      <ns0:c r="E522" t="str" s="10">
        <ns0:v>±1%</ns0:v>
      </ns0:c>
      <ns0:c r="F522" t="str" s="10">
        <ns0:v>0,125 Вт</ns0:v>
      </ns0:c>
      <ns0:c r="G522" t="str" s="10">
        <ns0:v>150 В макс.</ns0:v>
      </ns0:c>
      <ns0:c r="H522" t="str" s="12">
        <ns0:v>0805</ns0:v>
      </ns0:c>
      <ns0:c r="I522" t="str" s="10">
        <ns0:v>YAGEO</ns0:v>
      </ns0:c>
      <ns0:c r="J522" t="str" s="10">
        <ns0:v>RC0805FR-073KL</ns0:v>
      </ns0:c>
      <ns0:c r="K522" t="str" s="11">
        <ns0:f>B522&amp;" "&amp;D522&amp;" "&amp;E522&amp;" "&amp;H522</ns0:f>
        <ns0:v>Резистор 3 кОм ±1% 0805</ns0:v>
      </ns0:c>
      <ns0:c r="L522" t="str" s="13">
        <ns0:v>R</ns0:v>
      </ns0:c>
      <ns0:c r="M522" t="str" s="13">
        <ns0:v>Symbols\MY_LIB_Resistors.SchLib</ns0:v>
      </ns0:c>
      <ns0:c r="N522" t="str" s="13">
        <ns0:v>RESC2012X70N</ns0:v>
      </ns0:c>
      <ns0:c r="O522" t="str" s="13">
        <ns0:v>Footprints\PBL - SMD Packages.PcbLib</ns0:v>
      </ns0:c>
      <ns0:c xmlns:ns0="http://schemas.openxmlformats.org/spreadsheetml/2006/main" r="P52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2" s="10"/>
      <ns0:c r="R522" t="str" s="11">
        <ns0:f>D522</ns0:f>
        <ns0:v>3 кОм</ns0:v>
      </ns0:c>
      <ns0:c r="S522" t="str" s="11">
        <ns0:f>K522</ns0:f>
        <ns0:v>Резистор 3 кОм ±1% 0805</ns0:v>
      </ns0:c>
      <x:c xmlns:x="http://schemas.openxmlformats.org/spreadsheetml/2006/main" r="T522" t="str" s="11">
        <x:v>C:\Users\Nomatin\Documents\Altium\MY_LIB\MY_LIB\Datasheets\YAGEO_RC_L.pdf</x:v>
      </x:c>
      <x:c xmlns:x="http://schemas.openxmlformats.org/spreadsheetml/2006/main" r="U522" t="str" s="11">
        <x:v>Даташит — локальный</x:v>
      </x:c>
      <x:c xmlns:x="http://schemas.openxmlformats.org/spreadsheetml/2006/main" r="V522" t="str" s="11">
        <x:v>C:\Users\Nomatin\Documents\Altium\MY_LIB\MY_LIB\Datasheets\YAGEO_RC_L.pdf</x:v>
      </x:c>
      <x:c xmlns:x="http://schemas.openxmlformats.org/spreadsheetml/2006/main" r="W522" t="str" s="11">
        <x:v>Даташит — производитель</x:v>
      </x:c>
      <x:c xmlns:x="http://schemas.openxmlformats.org/spreadsheetml/2006/main" r="X522" t="str" s="11">
        <x:v>https://yageogroup.com/content/datasheet/asset/file/PYU-RC_GROUP_51_ROHS_L</x:v>
      </x:c>
      <x:c xmlns:x="http://schemas.openxmlformats.org/spreadsheetml/2006/main" r="Y522" t="str" s="11">
        <x:v>C:\Users\Nomatin\Documents\Altium\MY_LIB\MY_LIB\Datasheets\YAGEO_RC_L.pdf</x:v>
      </x:c>
      <ns0:c xmlns:ns0="http://schemas.openxmlformats.org/spreadsheetml/2006/main" r="Z522" s="16" t="inlineStr">
        <ns0:is>
          <ns0:t>MY_LIB_R_TCR</ns0:t>
        </ns0:is>
      </ns0:c>
      <ns0:c xmlns:ns0="http://schemas.openxmlformats.org/spreadsheetml/2006/main" r="AA522" s="16" t="inlineStr">
        <ns0:is>
          <ns0:t>R(T), +100 ppm/C at 25 C; positive datasheet limit</ns0:t>
        </ns0:is>
      </ns0:c>
      <ns0:c xmlns:ns0="http://schemas.openxmlformats.org/spreadsheetml/2006/main" r="AB522" s="16" t="str">
        <ns0:v>General</ns0:v>
      </ns0:c>
      <ns0:c xmlns:ns0="http://schemas.openxmlformats.org/spreadsheetml/2006/main" r="AC522" s="16" t="inlineStr">
        <ns0:is>
          <ns0:t>Spice Subcircuit</ns0:t>
        </ns0:is>
      </ns0:c>
      <ns0:c xmlns:ns0="http://schemas.openxmlformats.org/spreadsheetml/2006/main" r="AD522" s="16" t="inlineStr">
        <ns0:is>
          <ns0:t>@DESIGNATOR %1 %2 @MODEL PARAMS: Rvalue=@VALUE TC1value=100u</ns0:t>
        </ns0:is>
      </ns0:c>
      <ns0:c xmlns:ns0="http://schemas.openxmlformats.org/spreadsheetml/2006/main" r="AE522" s="16" t="inlineStr">
        <ns0:is>
          <ns0:t>X</ns0:t>
        </ns0:is>
      </ns0:c>
      <ns0:c xmlns:ns0="http://schemas.openxmlformats.org/spreadsheetml/2006/main" r="AF522" s="16" t="str">
        <ns0:v>(1:1),(2:2)</ns0:v>
      </ns0:c>
      <ns0:c xmlns:ns0="http://schemas.openxmlformats.org/spreadsheetml/2006/main" r="AG522" s="16" t="inlineStr">
        <ns0:is>
          <ns0:t>Simulation\Resistors\MY_LIB_R_TCR.ckt</ns0:t>
        </ns0:is>
      </ns0:c>
      <ns0:c xmlns:ns0="http://schemas.openxmlformats.org/spreadsheetml/2006/main" r="AH522" s="16" t="inlineStr">
        <ns0:is>
          <ns0:t>±100 ppm/°C</ns0:t>
        </ns0:is>
      </ns0:c>
    </ns0:row>
    <ns0:row xmlns:ns0="http://schemas.openxmlformats.org/spreadsheetml/2006/main" r="523" ht="30" customHeight="1">
      <ns0:c r="A523" t="str" s="10">
        <ns0:v>R0529</ns0:v>
      </ns0:c>
      <ns0:c r="B523" t="str" s="10">
        <ns0:v>Резистор</ns0:v>
      </ns0:c>
      <ns0:c r="C523" t="str" s="10">
        <ns0:v>3.3k</ns0:v>
      </ns0:c>
      <ns0:c r="D523" t="str" s="11">
        <ns0:f>SUBSTITUTE(SUBSTITUTE(SUBSTITUTE(SUBSTITUTE(C523,"meg"," МОм"),"k"," кОм"),"R"," Ом"),".",",")</ns0:f>
        <ns0:v>3,3 кОм</ns0:v>
      </ns0:c>
      <ns0:c r="E523" t="str" s="10">
        <ns0:v>±1%</ns0:v>
      </ns0:c>
      <ns0:c r="F523" t="str" s="10">
        <ns0:v>0,125 Вт</ns0:v>
      </ns0:c>
      <ns0:c r="G523" t="str" s="10">
        <ns0:v>150 В макс.</ns0:v>
      </ns0:c>
      <ns0:c r="H523" t="str" s="12">
        <ns0:v>0805</ns0:v>
      </ns0:c>
      <ns0:c r="I523" t="str" s="10">
        <ns0:v>YAGEO</ns0:v>
      </ns0:c>
      <ns0:c r="J523" t="str" s="10">
        <ns0:v>RC0805FR-073K3L</ns0:v>
      </ns0:c>
      <ns0:c r="K523" t="str" s="11">
        <ns0:f>B523&amp;" "&amp;D523&amp;" "&amp;E523&amp;" "&amp;H523</ns0:f>
        <ns0:v>Резистор 3,3 кОм ±1% 0805</ns0:v>
      </ns0:c>
      <ns0:c r="L523" t="str" s="13">
        <ns0:v>R</ns0:v>
      </ns0:c>
      <ns0:c r="M523" t="str" s="13">
        <ns0:v>Symbols\MY_LIB_Resistors.SchLib</ns0:v>
      </ns0:c>
      <ns0:c r="N523" t="str" s="13">
        <ns0:v>RESC2012X70N</ns0:v>
      </ns0:c>
      <ns0:c r="O523" t="str" s="13">
        <ns0:v>Footprints\PBL - SMD Packages.PcbLib</ns0:v>
      </ns0:c>
      <ns0:c xmlns:ns0="http://schemas.openxmlformats.org/spreadsheetml/2006/main" r="P52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3" s="10"/>
      <ns0:c r="R523" t="str" s="11">
        <ns0:f>D523</ns0:f>
        <ns0:v>3,3 кОм</ns0:v>
      </ns0:c>
      <ns0:c r="S523" t="str" s="11">
        <ns0:f>K523</ns0:f>
        <ns0:v>Резистор 3,3 кОм ±1% 0805</ns0:v>
      </ns0:c>
      <x:c xmlns:x="http://schemas.openxmlformats.org/spreadsheetml/2006/main" r="T523" t="str" s="11">
        <x:v>C:\Users\Nomatin\Documents\Altium\MY_LIB\MY_LIB\Datasheets\YAGEO_RC_L.pdf</x:v>
      </x:c>
      <x:c xmlns:x="http://schemas.openxmlformats.org/spreadsheetml/2006/main" r="U523" t="str" s="11">
        <x:v>Даташит — локальный</x:v>
      </x:c>
      <x:c xmlns:x="http://schemas.openxmlformats.org/spreadsheetml/2006/main" r="V523" t="str" s="11">
        <x:v>C:\Users\Nomatin\Documents\Altium\MY_LIB\MY_LIB\Datasheets\YAGEO_RC_L.pdf</x:v>
      </x:c>
      <x:c xmlns:x="http://schemas.openxmlformats.org/spreadsheetml/2006/main" r="W523" t="str" s="11">
        <x:v>Даташит — производитель</x:v>
      </x:c>
      <x:c xmlns:x="http://schemas.openxmlformats.org/spreadsheetml/2006/main" r="X523" t="str" s="11">
        <x:v>https://yageogroup.com/content/datasheet/asset/file/PYU-RC_GROUP_51_ROHS_L</x:v>
      </x:c>
      <x:c xmlns:x="http://schemas.openxmlformats.org/spreadsheetml/2006/main" r="Y523" t="str" s="11">
        <x:v>C:\Users\Nomatin\Documents\Altium\MY_LIB\MY_LIB\Datasheets\YAGEO_RC_L.pdf</x:v>
      </x:c>
      <ns0:c xmlns:ns0="http://schemas.openxmlformats.org/spreadsheetml/2006/main" r="Z523" s="16" t="inlineStr">
        <ns0:is>
          <ns0:t>MY_LIB_R_TCR</ns0:t>
        </ns0:is>
      </ns0:c>
      <ns0:c xmlns:ns0="http://schemas.openxmlformats.org/spreadsheetml/2006/main" r="AA523" s="16" t="inlineStr">
        <ns0:is>
          <ns0:t>R(T), +100 ppm/C at 25 C; positive datasheet limit</ns0:t>
        </ns0:is>
      </ns0:c>
      <ns0:c xmlns:ns0="http://schemas.openxmlformats.org/spreadsheetml/2006/main" r="AB523" s="16" t="str">
        <ns0:v>General</ns0:v>
      </ns0:c>
      <ns0:c xmlns:ns0="http://schemas.openxmlformats.org/spreadsheetml/2006/main" r="AC523" s="16" t="inlineStr">
        <ns0:is>
          <ns0:t>Spice Subcircuit</ns0:t>
        </ns0:is>
      </ns0:c>
      <ns0:c xmlns:ns0="http://schemas.openxmlformats.org/spreadsheetml/2006/main" r="AD523" s="16" t="inlineStr">
        <ns0:is>
          <ns0:t>@DESIGNATOR %1 %2 @MODEL PARAMS: Rvalue=@VALUE TC1value=100u</ns0:t>
        </ns0:is>
      </ns0:c>
      <ns0:c xmlns:ns0="http://schemas.openxmlformats.org/spreadsheetml/2006/main" r="AE523" s="16" t="inlineStr">
        <ns0:is>
          <ns0:t>X</ns0:t>
        </ns0:is>
      </ns0:c>
      <ns0:c xmlns:ns0="http://schemas.openxmlformats.org/spreadsheetml/2006/main" r="AF523" s="16" t="str">
        <ns0:v>(1:1),(2:2)</ns0:v>
      </ns0:c>
      <ns0:c xmlns:ns0="http://schemas.openxmlformats.org/spreadsheetml/2006/main" r="AG523" s="16" t="inlineStr">
        <ns0:is>
          <ns0:t>Simulation\Resistors\MY_LIB_R_TCR.ckt</ns0:t>
        </ns0:is>
      </ns0:c>
      <ns0:c xmlns:ns0="http://schemas.openxmlformats.org/spreadsheetml/2006/main" r="AH523" s="16" t="inlineStr">
        <ns0:is>
          <ns0:t>±100 ppm/°C</ns0:t>
        </ns0:is>
      </ns0:c>
    </ns0:row>
    <ns0:row xmlns:ns0="http://schemas.openxmlformats.org/spreadsheetml/2006/main" r="524" ht="30" customHeight="1">
      <ns0:c r="A524" t="str" s="10">
        <ns0:v>R0530</ns0:v>
      </ns0:c>
      <ns0:c r="B524" t="str" s="10">
        <ns0:v>Резистор</ns0:v>
      </ns0:c>
      <ns0:c r="C524" t="str" s="10">
        <ns0:v>3.6k</ns0:v>
      </ns0:c>
      <ns0:c r="D524" t="str" s="11">
        <ns0:f>SUBSTITUTE(SUBSTITUTE(SUBSTITUTE(SUBSTITUTE(C524,"meg"," МОм"),"k"," кОм"),"R"," Ом"),".",",")</ns0:f>
        <ns0:v>3,6 кОм</ns0:v>
      </ns0:c>
      <ns0:c r="E524" t="str" s="10">
        <ns0:v>±1%</ns0:v>
      </ns0:c>
      <ns0:c r="F524" t="str" s="10">
        <ns0:v>0,125 Вт</ns0:v>
      </ns0:c>
      <ns0:c r="G524" t="str" s="10">
        <ns0:v>150 В макс.</ns0:v>
      </ns0:c>
      <ns0:c r="H524" t="str" s="12">
        <ns0:v>0805</ns0:v>
      </ns0:c>
      <ns0:c r="I524" t="str" s="10">
        <ns0:v>YAGEO</ns0:v>
      </ns0:c>
      <ns0:c r="J524" t="str" s="10">
        <ns0:v>RC0805FR-073K6L</ns0:v>
      </ns0:c>
      <ns0:c r="K524" t="str" s="11">
        <ns0:f>B524&amp;" "&amp;D524&amp;" "&amp;E524&amp;" "&amp;H524</ns0:f>
        <ns0:v>Резистор 3,6 кОм ±1% 0805</ns0:v>
      </ns0:c>
      <ns0:c r="L524" t="str" s="13">
        <ns0:v>R</ns0:v>
      </ns0:c>
      <ns0:c r="M524" t="str" s="13">
        <ns0:v>Symbols\MY_LIB_Resistors.SchLib</ns0:v>
      </ns0:c>
      <ns0:c r="N524" t="str" s="13">
        <ns0:v>RESC2012X70N</ns0:v>
      </ns0:c>
      <ns0:c r="O524" t="str" s="13">
        <ns0:v>Footprints\PBL - SMD Packages.PcbLib</ns0:v>
      </ns0:c>
      <ns0:c xmlns:ns0="http://schemas.openxmlformats.org/spreadsheetml/2006/main" r="P52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4" s="10"/>
      <ns0:c r="R524" t="str" s="11">
        <ns0:f>D524</ns0:f>
        <ns0:v>3,6 кОм</ns0:v>
      </ns0:c>
      <ns0:c r="S524" t="str" s="11">
        <ns0:f>K524</ns0:f>
        <ns0:v>Резистор 3,6 кОм ±1% 0805</ns0:v>
      </ns0:c>
      <x:c xmlns:x="http://schemas.openxmlformats.org/spreadsheetml/2006/main" r="T524" t="str" s="11">
        <x:v>C:\Users\Nomatin\Documents\Altium\MY_LIB\MY_LIB\Datasheets\YAGEO_RC_L.pdf</x:v>
      </x:c>
      <x:c xmlns:x="http://schemas.openxmlformats.org/spreadsheetml/2006/main" r="U524" t="str" s="11">
        <x:v>Даташит — локальный</x:v>
      </x:c>
      <x:c xmlns:x="http://schemas.openxmlformats.org/spreadsheetml/2006/main" r="V524" t="str" s="11">
        <x:v>C:\Users\Nomatin\Documents\Altium\MY_LIB\MY_LIB\Datasheets\YAGEO_RC_L.pdf</x:v>
      </x:c>
      <x:c xmlns:x="http://schemas.openxmlformats.org/spreadsheetml/2006/main" r="W524" t="str" s="11">
        <x:v>Даташит — производитель</x:v>
      </x:c>
      <x:c xmlns:x="http://schemas.openxmlformats.org/spreadsheetml/2006/main" r="X524" t="str" s="11">
        <x:v>https://yageogroup.com/content/datasheet/asset/file/PYU-RC_GROUP_51_ROHS_L</x:v>
      </x:c>
      <x:c xmlns:x="http://schemas.openxmlformats.org/spreadsheetml/2006/main" r="Y524" t="str" s="11">
        <x:v>C:\Users\Nomatin\Documents\Altium\MY_LIB\MY_LIB\Datasheets\YAGEO_RC_L.pdf</x:v>
      </x:c>
      <ns0:c xmlns:ns0="http://schemas.openxmlformats.org/spreadsheetml/2006/main" r="Z524" s="16" t="inlineStr">
        <ns0:is>
          <ns0:t>MY_LIB_R_TCR</ns0:t>
        </ns0:is>
      </ns0:c>
      <ns0:c xmlns:ns0="http://schemas.openxmlformats.org/spreadsheetml/2006/main" r="AA524" s="16" t="inlineStr">
        <ns0:is>
          <ns0:t>R(T), +100 ppm/C at 25 C; positive datasheet limit</ns0:t>
        </ns0:is>
      </ns0:c>
      <ns0:c xmlns:ns0="http://schemas.openxmlformats.org/spreadsheetml/2006/main" r="AB524" s="16" t="str">
        <ns0:v>General</ns0:v>
      </ns0:c>
      <ns0:c xmlns:ns0="http://schemas.openxmlformats.org/spreadsheetml/2006/main" r="AC524" s="16" t="inlineStr">
        <ns0:is>
          <ns0:t>Spice Subcircuit</ns0:t>
        </ns0:is>
      </ns0:c>
      <ns0:c xmlns:ns0="http://schemas.openxmlformats.org/spreadsheetml/2006/main" r="AD524" s="16" t="inlineStr">
        <ns0:is>
          <ns0:t>@DESIGNATOR %1 %2 @MODEL PARAMS: Rvalue=@VALUE TC1value=100u</ns0:t>
        </ns0:is>
      </ns0:c>
      <ns0:c xmlns:ns0="http://schemas.openxmlformats.org/spreadsheetml/2006/main" r="AE524" s="16" t="inlineStr">
        <ns0:is>
          <ns0:t>X</ns0:t>
        </ns0:is>
      </ns0:c>
      <ns0:c xmlns:ns0="http://schemas.openxmlformats.org/spreadsheetml/2006/main" r="AF524" s="16" t="str">
        <ns0:v>(1:1),(2:2)</ns0:v>
      </ns0:c>
      <ns0:c xmlns:ns0="http://schemas.openxmlformats.org/spreadsheetml/2006/main" r="AG524" s="16" t="inlineStr">
        <ns0:is>
          <ns0:t>Simulation\Resistors\MY_LIB_R_TCR.ckt</ns0:t>
        </ns0:is>
      </ns0:c>
      <ns0:c xmlns:ns0="http://schemas.openxmlformats.org/spreadsheetml/2006/main" r="AH524" s="16" t="inlineStr">
        <ns0:is>
          <ns0:t>±100 ppm/°C</ns0:t>
        </ns0:is>
      </ns0:c>
    </ns0:row>
    <ns0:row xmlns:ns0="http://schemas.openxmlformats.org/spreadsheetml/2006/main" r="525" ht="30" customHeight="1">
      <ns0:c r="A525" t="str" s="10">
        <ns0:v>R0531</ns0:v>
      </ns0:c>
      <ns0:c r="B525" t="str" s="10">
        <ns0:v>Резистор</ns0:v>
      </ns0:c>
      <ns0:c r="C525" t="str" s="10">
        <ns0:v>3.9k</ns0:v>
      </ns0:c>
      <ns0:c r="D525" t="str" s="11">
        <ns0:f>SUBSTITUTE(SUBSTITUTE(SUBSTITUTE(SUBSTITUTE(C525,"meg"," МОм"),"k"," кОм"),"R"," Ом"),".",",")</ns0:f>
        <ns0:v>3,9 кОм</ns0:v>
      </ns0:c>
      <ns0:c r="E525" t="str" s="10">
        <ns0:v>±1%</ns0:v>
      </ns0:c>
      <ns0:c r="F525" t="str" s="10">
        <ns0:v>0,125 Вт</ns0:v>
      </ns0:c>
      <ns0:c r="G525" t="str" s="10">
        <ns0:v>150 В макс.</ns0:v>
      </ns0:c>
      <ns0:c r="H525" t="str" s="12">
        <ns0:v>0805</ns0:v>
      </ns0:c>
      <ns0:c r="I525" t="str" s="10">
        <ns0:v>YAGEO</ns0:v>
      </ns0:c>
      <ns0:c r="J525" t="str" s="10">
        <ns0:v>RC0805FR-073K9L</ns0:v>
      </ns0:c>
      <ns0:c r="K525" t="str" s="11">
        <ns0:f>B525&amp;" "&amp;D525&amp;" "&amp;E525&amp;" "&amp;H525</ns0:f>
        <ns0:v>Резистор 3,9 кОм ±1% 0805</ns0:v>
      </ns0:c>
      <ns0:c r="L525" t="str" s="13">
        <ns0:v>R</ns0:v>
      </ns0:c>
      <ns0:c r="M525" t="str" s="13">
        <ns0:v>Symbols\MY_LIB_Resistors.SchLib</ns0:v>
      </ns0:c>
      <ns0:c r="N525" t="str" s="13">
        <ns0:v>RESC2012X70N</ns0:v>
      </ns0:c>
      <ns0:c r="O525" t="str" s="13">
        <ns0:v>Footprints\PBL - SMD Packages.PcbLib</ns0:v>
      </ns0:c>
      <ns0:c xmlns:ns0="http://schemas.openxmlformats.org/spreadsheetml/2006/main" r="P52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5" s="10"/>
      <ns0:c r="R525" t="str" s="11">
        <ns0:f>D525</ns0:f>
        <ns0:v>3,9 кОм</ns0:v>
      </ns0:c>
      <ns0:c r="S525" t="str" s="11">
        <ns0:f>K525</ns0:f>
        <ns0:v>Резистор 3,9 кОм ±1% 0805</ns0:v>
      </ns0:c>
      <x:c xmlns:x="http://schemas.openxmlformats.org/spreadsheetml/2006/main" r="T525" t="str" s="11">
        <x:v>C:\Users\Nomatin\Documents\Altium\MY_LIB\MY_LIB\Datasheets\YAGEO_RC_L.pdf</x:v>
      </x:c>
      <x:c xmlns:x="http://schemas.openxmlformats.org/spreadsheetml/2006/main" r="U525" t="str" s="11">
        <x:v>Даташит — локальный</x:v>
      </x:c>
      <x:c xmlns:x="http://schemas.openxmlformats.org/spreadsheetml/2006/main" r="V525" t="str" s="11">
        <x:v>C:\Users\Nomatin\Documents\Altium\MY_LIB\MY_LIB\Datasheets\YAGEO_RC_L.pdf</x:v>
      </x:c>
      <x:c xmlns:x="http://schemas.openxmlformats.org/spreadsheetml/2006/main" r="W525" t="str" s="11">
        <x:v>Даташит — производитель</x:v>
      </x:c>
      <x:c xmlns:x="http://schemas.openxmlformats.org/spreadsheetml/2006/main" r="X525" t="str" s="11">
        <x:v>https://yageogroup.com/content/datasheet/asset/file/PYU-RC_GROUP_51_ROHS_L</x:v>
      </x:c>
      <x:c xmlns:x="http://schemas.openxmlformats.org/spreadsheetml/2006/main" r="Y525" t="str" s="11">
        <x:v>C:\Users\Nomatin\Documents\Altium\MY_LIB\MY_LIB\Datasheets\YAGEO_RC_L.pdf</x:v>
      </x:c>
      <ns0:c xmlns:ns0="http://schemas.openxmlformats.org/spreadsheetml/2006/main" r="Z525" s="16" t="inlineStr">
        <ns0:is>
          <ns0:t>MY_LIB_R_TCR</ns0:t>
        </ns0:is>
      </ns0:c>
      <ns0:c xmlns:ns0="http://schemas.openxmlformats.org/spreadsheetml/2006/main" r="AA525" s="16" t="inlineStr">
        <ns0:is>
          <ns0:t>R(T), +100 ppm/C at 25 C; positive datasheet limit</ns0:t>
        </ns0:is>
      </ns0:c>
      <ns0:c xmlns:ns0="http://schemas.openxmlformats.org/spreadsheetml/2006/main" r="AB525" s="16" t="str">
        <ns0:v>General</ns0:v>
      </ns0:c>
      <ns0:c xmlns:ns0="http://schemas.openxmlformats.org/spreadsheetml/2006/main" r="AC525" s="16" t="inlineStr">
        <ns0:is>
          <ns0:t>Spice Subcircuit</ns0:t>
        </ns0:is>
      </ns0:c>
      <ns0:c xmlns:ns0="http://schemas.openxmlformats.org/spreadsheetml/2006/main" r="AD525" s="16" t="inlineStr">
        <ns0:is>
          <ns0:t>@DESIGNATOR %1 %2 @MODEL PARAMS: Rvalue=@VALUE TC1value=100u</ns0:t>
        </ns0:is>
      </ns0:c>
      <ns0:c xmlns:ns0="http://schemas.openxmlformats.org/spreadsheetml/2006/main" r="AE525" s="16" t="inlineStr">
        <ns0:is>
          <ns0:t>X</ns0:t>
        </ns0:is>
      </ns0:c>
      <ns0:c xmlns:ns0="http://schemas.openxmlformats.org/spreadsheetml/2006/main" r="AF525" s="16" t="str">
        <ns0:v>(1:1),(2:2)</ns0:v>
      </ns0:c>
      <ns0:c xmlns:ns0="http://schemas.openxmlformats.org/spreadsheetml/2006/main" r="AG525" s="16" t="inlineStr">
        <ns0:is>
          <ns0:t>Simulation\Resistors\MY_LIB_R_TCR.ckt</ns0:t>
        </ns0:is>
      </ns0:c>
      <ns0:c xmlns:ns0="http://schemas.openxmlformats.org/spreadsheetml/2006/main" r="AH525" s="16" t="inlineStr">
        <ns0:is>
          <ns0:t>±100 ppm/°C</ns0:t>
        </ns0:is>
      </ns0:c>
    </ns0:row>
    <ns0:row xmlns:ns0="http://schemas.openxmlformats.org/spreadsheetml/2006/main" r="526" ht="30" customHeight="1">
      <ns0:c r="A526" t="str" s="10">
        <ns0:v>R0532</ns0:v>
      </ns0:c>
      <ns0:c r="B526" t="str" s="10">
        <ns0:v>Резистор</ns0:v>
      </ns0:c>
      <ns0:c r="C526" t="str" s="10">
        <ns0:v>4.3k</ns0:v>
      </ns0:c>
      <ns0:c r="D526" t="str" s="11">
        <ns0:f>SUBSTITUTE(SUBSTITUTE(SUBSTITUTE(SUBSTITUTE(C526,"meg"," МОм"),"k"," кОм"),"R"," Ом"),".",",")</ns0:f>
        <ns0:v>4,3 кОм</ns0:v>
      </ns0:c>
      <ns0:c r="E526" t="str" s="10">
        <ns0:v>±1%</ns0:v>
      </ns0:c>
      <ns0:c r="F526" t="str" s="10">
        <ns0:v>0,125 Вт</ns0:v>
      </ns0:c>
      <ns0:c r="G526" t="str" s="10">
        <ns0:v>150 В макс.</ns0:v>
      </ns0:c>
      <ns0:c r="H526" t="str" s="12">
        <ns0:v>0805</ns0:v>
      </ns0:c>
      <ns0:c r="I526" t="str" s="10">
        <ns0:v>YAGEO</ns0:v>
      </ns0:c>
      <ns0:c r="J526" t="str" s="10">
        <ns0:v>RC0805FR-074K3L</ns0:v>
      </ns0:c>
      <ns0:c r="K526" t="str" s="11">
        <ns0:f>B526&amp;" "&amp;D526&amp;" "&amp;E526&amp;" "&amp;H526</ns0:f>
        <ns0:v>Резистор 4,3 кОм ±1% 0805</ns0:v>
      </ns0:c>
      <ns0:c r="L526" t="str" s="13">
        <ns0:v>R</ns0:v>
      </ns0:c>
      <ns0:c r="M526" t="str" s="13">
        <ns0:v>Symbols\MY_LIB_Resistors.SchLib</ns0:v>
      </ns0:c>
      <ns0:c r="N526" t="str" s="13">
        <ns0:v>RESC2012X70N</ns0:v>
      </ns0:c>
      <ns0:c r="O526" t="str" s="13">
        <ns0:v>Footprints\PBL - SMD Packages.PcbLib</ns0:v>
      </ns0:c>
      <ns0:c xmlns:ns0="http://schemas.openxmlformats.org/spreadsheetml/2006/main" r="P52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6" s="10"/>
      <ns0:c r="R526" t="str" s="11">
        <ns0:f>D526</ns0:f>
        <ns0:v>4,3 кОм</ns0:v>
      </ns0:c>
      <ns0:c r="S526" t="str" s="11">
        <ns0:f>K526</ns0:f>
        <ns0:v>Резистор 4,3 кОм ±1% 0805</ns0:v>
      </ns0:c>
      <x:c xmlns:x="http://schemas.openxmlformats.org/spreadsheetml/2006/main" r="T526" t="str" s="11">
        <x:v>C:\Users\Nomatin\Documents\Altium\MY_LIB\MY_LIB\Datasheets\YAGEO_RC_L.pdf</x:v>
      </x:c>
      <x:c xmlns:x="http://schemas.openxmlformats.org/spreadsheetml/2006/main" r="U526" t="str" s="11">
        <x:v>Даташит — локальный</x:v>
      </x:c>
      <x:c xmlns:x="http://schemas.openxmlformats.org/spreadsheetml/2006/main" r="V526" t="str" s="11">
        <x:v>C:\Users\Nomatin\Documents\Altium\MY_LIB\MY_LIB\Datasheets\YAGEO_RC_L.pdf</x:v>
      </x:c>
      <x:c xmlns:x="http://schemas.openxmlformats.org/spreadsheetml/2006/main" r="W526" t="str" s="11">
        <x:v>Даташит — производитель</x:v>
      </x:c>
      <x:c xmlns:x="http://schemas.openxmlformats.org/spreadsheetml/2006/main" r="X526" t="str" s="11">
        <x:v>https://yageogroup.com/content/datasheet/asset/file/PYU-RC_GROUP_51_ROHS_L</x:v>
      </x:c>
      <x:c xmlns:x="http://schemas.openxmlformats.org/spreadsheetml/2006/main" r="Y526" t="str" s="11">
        <x:v>C:\Users\Nomatin\Documents\Altium\MY_LIB\MY_LIB\Datasheets\YAGEO_RC_L.pdf</x:v>
      </x:c>
      <ns0:c xmlns:ns0="http://schemas.openxmlformats.org/spreadsheetml/2006/main" r="Z526" s="16" t="inlineStr">
        <ns0:is>
          <ns0:t>MY_LIB_R_TCR</ns0:t>
        </ns0:is>
      </ns0:c>
      <ns0:c xmlns:ns0="http://schemas.openxmlformats.org/spreadsheetml/2006/main" r="AA526" s="16" t="inlineStr">
        <ns0:is>
          <ns0:t>R(T), +100 ppm/C at 25 C; positive datasheet limit</ns0:t>
        </ns0:is>
      </ns0:c>
      <ns0:c xmlns:ns0="http://schemas.openxmlformats.org/spreadsheetml/2006/main" r="AB526" s="16" t="str">
        <ns0:v>General</ns0:v>
      </ns0:c>
      <ns0:c xmlns:ns0="http://schemas.openxmlformats.org/spreadsheetml/2006/main" r="AC526" s="16" t="inlineStr">
        <ns0:is>
          <ns0:t>Spice Subcircuit</ns0:t>
        </ns0:is>
      </ns0:c>
      <ns0:c xmlns:ns0="http://schemas.openxmlformats.org/spreadsheetml/2006/main" r="AD526" s="16" t="inlineStr">
        <ns0:is>
          <ns0:t>@DESIGNATOR %1 %2 @MODEL PARAMS: Rvalue=@VALUE TC1value=100u</ns0:t>
        </ns0:is>
      </ns0:c>
      <ns0:c xmlns:ns0="http://schemas.openxmlformats.org/spreadsheetml/2006/main" r="AE526" s="16" t="inlineStr">
        <ns0:is>
          <ns0:t>X</ns0:t>
        </ns0:is>
      </ns0:c>
      <ns0:c xmlns:ns0="http://schemas.openxmlformats.org/spreadsheetml/2006/main" r="AF526" s="16" t="str">
        <ns0:v>(1:1),(2:2)</ns0:v>
      </ns0:c>
      <ns0:c xmlns:ns0="http://schemas.openxmlformats.org/spreadsheetml/2006/main" r="AG526" s="16" t="inlineStr">
        <ns0:is>
          <ns0:t>Simulation\Resistors\MY_LIB_R_TCR.ckt</ns0:t>
        </ns0:is>
      </ns0:c>
      <ns0:c xmlns:ns0="http://schemas.openxmlformats.org/spreadsheetml/2006/main" r="AH526" s="16" t="inlineStr">
        <ns0:is>
          <ns0:t>±100 ppm/°C</ns0:t>
        </ns0:is>
      </ns0:c>
    </ns0:row>
    <ns0:row xmlns:ns0="http://schemas.openxmlformats.org/spreadsheetml/2006/main" r="527" ht="30" customHeight="1">
      <ns0:c r="A527" t="str" s="10">
        <ns0:v>R0533</ns0:v>
      </ns0:c>
      <ns0:c r="B527" t="str" s="10">
        <ns0:v>Резистор</ns0:v>
      </ns0:c>
      <ns0:c r="C527" t="str" s="10">
        <ns0:v>4.7k</ns0:v>
      </ns0:c>
      <ns0:c r="D527" t="str" s="11">
        <ns0:f>SUBSTITUTE(SUBSTITUTE(SUBSTITUTE(SUBSTITUTE(C527,"meg"," МОм"),"k"," кОм"),"R"," Ом"),".",",")</ns0:f>
        <ns0:v>4,7 кОм</ns0:v>
      </ns0:c>
      <ns0:c r="E527" t="str" s="10">
        <ns0:v>±1%</ns0:v>
      </ns0:c>
      <ns0:c r="F527" t="str" s="10">
        <ns0:v>0,125 Вт</ns0:v>
      </ns0:c>
      <ns0:c r="G527" t="str" s="10">
        <ns0:v>150 В макс.</ns0:v>
      </ns0:c>
      <ns0:c r="H527" t="str" s="12">
        <ns0:v>0805</ns0:v>
      </ns0:c>
      <ns0:c r="I527" t="str" s="10">
        <ns0:v>YAGEO</ns0:v>
      </ns0:c>
      <ns0:c r="J527" t="str" s="10">
        <ns0:v>RC0805FR-074K7L</ns0:v>
      </ns0:c>
      <ns0:c r="K527" t="str" s="11">
        <ns0:f>B527&amp;" "&amp;D527&amp;" "&amp;E527&amp;" "&amp;H527</ns0:f>
        <ns0:v>Резистор 4,7 кОм ±1% 0805</ns0:v>
      </ns0:c>
      <ns0:c r="L527" t="str" s="13">
        <ns0:v>R</ns0:v>
      </ns0:c>
      <ns0:c r="M527" t="str" s="13">
        <ns0:v>Symbols\MY_LIB_Resistors.SchLib</ns0:v>
      </ns0:c>
      <ns0:c r="N527" t="str" s="13">
        <ns0:v>RESC2012X70N</ns0:v>
      </ns0:c>
      <ns0:c r="O527" t="str" s="13">
        <ns0:v>Footprints\PBL - SMD Packages.PcbLib</ns0:v>
      </ns0:c>
      <ns0:c xmlns:ns0="http://schemas.openxmlformats.org/spreadsheetml/2006/main" r="P52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7" s="10"/>
      <ns0:c r="R527" t="str" s="11">
        <ns0:f>D527</ns0:f>
        <ns0:v>4,7 кОм</ns0:v>
      </ns0:c>
      <ns0:c r="S527" t="str" s="11">
        <ns0:f>K527</ns0:f>
        <ns0:v>Резистор 4,7 кОм ±1% 0805</ns0:v>
      </ns0:c>
      <x:c xmlns:x="http://schemas.openxmlformats.org/spreadsheetml/2006/main" r="T527" t="str" s="11">
        <x:v>C:\Users\Nomatin\Documents\Altium\MY_LIB\MY_LIB\Datasheets\YAGEO_RC_L.pdf</x:v>
      </x:c>
      <x:c xmlns:x="http://schemas.openxmlformats.org/spreadsheetml/2006/main" r="U527" t="str" s="11">
        <x:v>Даташит — локальный</x:v>
      </x:c>
      <x:c xmlns:x="http://schemas.openxmlformats.org/spreadsheetml/2006/main" r="V527" t="str" s="11">
        <x:v>C:\Users\Nomatin\Documents\Altium\MY_LIB\MY_LIB\Datasheets\YAGEO_RC_L.pdf</x:v>
      </x:c>
      <x:c xmlns:x="http://schemas.openxmlformats.org/spreadsheetml/2006/main" r="W527" t="str" s="11">
        <x:v>Даташит — производитель</x:v>
      </x:c>
      <x:c xmlns:x="http://schemas.openxmlformats.org/spreadsheetml/2006/main" r="X527" t="str" s="11">
        <x:v>https://yageogroup.com/content/datasheet/asset/file/PYU-RC_GROUP_51_ROHS_L</x:v>
      </x:c>
      <x:c xmlns:x="http://schemas.openxmlformats.org/spreadsheetml/2006/main" r="Y527" t="str" s="11">
        <x:v>C:\Users\Nomatin\Documents\Altium\MY_LIB\MY_LIB\Datasheets\YAGEO_RC_L.pdf</x:v>
      </x:c>
      <ns0:c xmlns:ns0="http://schemas.openxmlformats.org/spreadsheetml/2006/main" r="Z527" s="16" t="inlineStr">
        <ns0:is>
          <ns0:t>MY_LIB_R_TCR</ns0:t>
        </ns0:is>
      </ns0:c>
      <ns0:c xmlns:ns0="http://schemas.openxmlformats.org/spreadsheetml/2006/main" r="AA527" s="16" t="inlineStr">
        <ns0:is>
          <ns0:t>R(T), +100 ppm/C at 25 C; positive datasheet limit</ns0:t>
        </ns0:is>
      </ns0:c>
      <ns0:c xmlns:ns0="http://schemas.openxmlformats.org/spreadsheetml/2006/main" r="AB527" s="16" t="str">
        <ns0:v>General</ns0:v>
      </ns0:c>
      <ns0:c xmlns:ns0="http://schemas.openxmlformats.org/spreadsheetml/2006/main" r="AC527" s="16" t="inlineStr">
        <ns0:is>
          <ns0:t>Spice Subcircuit</ns0:t>
        </ns0:is>
      </ns0:c>
      <ns0:c xmlns:ns0="http://schemas.openxmlformats.org/spreadsheetml/2006/main" r="AD527" s="16" t="inlineStr">
        <ns0:is>
          <ns0:t>@DESIGNATOR %1 %2 @MODEL PARAMS: Rvalue=@VALUE TC1value=100u</ns0:t>
        </ns0:is>
      </ns0:c>
      <ns0:c xmlns:ns0="http://schemas.openxmlformats.org/spreadsheetml/2006/main" r="AE527" s="16" t="inlineStr">
        <ns0:is>
          <ns0:t>X</ns0:t>
        </ns0:is>
      </ns0:c>
      <ns0:c xmlns:ns0="http://schemas.openxmlformats.org/spreadsheetml/2006/main" r="AF527" s="16" t="str">
        <ns0:v>(1:1),(2:2)</ns0:v>
      </ns0:c>
      <ns0:c xmlns:ns0="http://schemas.openxmlformats.org/spreadsheetml/2006/main" r="AG527" s="16" t="inlineStr">
        <ns0:is>
          <ns0:t>Simulation\Resistors\MY_LIB_R_TCR.ckt</ns0:t>
        </ns0:is>
      </ns0:c>
      <ns0:c xmlns:ns0="http://schemas.openxmlformats.org/spreadsheetml/2006/main" r="AH527" s="16" t="inlineStr">
        <ns0:is>
          <ns0:t>±100 ppm/°C</ns0:t>
        </ns0:is>
      </ns0:c>
    </ns0:row>
    <ns0:row xmlns:ns0="http://schemas.openxmlformats.org/spreadsheetml/2006/main" r="528" ht="30" customHeight="1">
      <ns0:c r="A528" t="str" s="10">
        <ns0:v>R0534</ns0:v>
      </ns0:c>
      <ns0:c r="B528" t="str" s="10">
        <ns0:v>Резистор</ns0:v>
      </ns0:c>
      <ns0:c r="C528" t="str" s="10">
        <ns0:v>5.1k</ns0:v>
      </ns0:c>
      <ns0:c r="D528" t="str" s="11">
        <ns0:f>SUBSTITUTE(SUBSTITUTE(SUBSTITUTE(SUBSTITUTE(C528,"meg"," МОм"),"k"," кОм"),"R"," Ом"),".",",")</ns0:f>
        <ns0:v>5,1 кОм</ns0:v>
      </ns0:c>
      <ns0:c r="E528" t="str" s="10">
        <ns0:v>±1%</ns0:v>
      </ns0:c>
      <ns0:c r="F528" t="str" s="10">
        <ns0:v>0,125 Вт</ns0:v>
      </ns0:c>
      <ns0:c r="G528" t="str" s="10">
        <ns0:v>150 В макс.</ns0:v>
      </ns0:c>
      <ns0:c r="H528" t="str" s="12">
        <ns0:v>0805</ns0:v>
      </ns0:c>
      <ns0:c r="I528" t="str" s="10">
        <ns0:v>YAGEO</ns0:v>
      </ns0:c>
      <ns0:c r="J528" t="str" s="10">
        <ns0:v>RC0805FR-075K1L</ns0:v>
      </ns0:c>
      <ns0:c r="K528" t="str" s="11">
        <ns0:f>B528&amp;" "&amp;D528&amp;" "&amp;E528&amp;" "&amp;H528</ns0:f>
        <ns0:v>Резистор 5,1 кОм ±1% 0805</ns0:v>
      </ns0:c>
      <ns0:c r="L528" t="str" s="13">
        <ns0:v>R</ns0:v>
      </ns0:c>
      <ns0:c r="M528" t="str" s="13">
        <ns0:v>Symbols\MY_LIB_Resistors.SchLib</ns0:v>
      </ns0:c>
      <ns0:c r="N528" t="str" s="13">
        <ns0:v>RESC2012X70N</ns0:v>
      </ns0:c>
      <ns0:c r="O528" t="str" s="13">
        <ns0:v>Footprints\PBL - SMD Packages.PcbLib</ns0:v>
      </ns0:c>
      <ns0:c xmlns:ns0="http://schemas.openxmlformats.org/spreadsheetml/2006/main" r="P52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8" s="10"/>
      <ns0:c r="R528" t="str" s="11">
        <ns0:f>D528</ns0:f>
        <ns0:v>5,1 кОм</ns0:v>
      </ns0:c>
      <ns0:c r="S528" t="str" s="11">
        <ns0:f>K528</ns0:f>
        <ns0:v>Резистор 5,1 кОм ±1% 0805</ns0:v>
      </ns0:c>
      <x:c xmlns:x="http://schemas.openxmlformats.org/spreadsheetml/2006/main" r="T528" t="str" s="11">
        <x:v>C:\Users\Nomatin\Documents\Altium\MY_LIB\MY_LIB\Datasheets\YAGEO_RC_L.pdf</x:v>
      </x:c>
      <x:c xmlns:x="http://schemas.openxmlformats.org/spreadsheetml/2006/main" r="U528" t="str" s="11">
        <x:v>Даташит — локальный</x:v>
      </x:c>
      <x:c xmlns:x="http://schemas.openxmlformats.org/spreadsheetml/2006/main" r="V528" t="str" s="11">
        <x:v>C:\Users\Nomatin\Documents\Altium\MY_LIB\MY_LIB\Datasheets\YAGEO_RC_L.pdf</x:v>
      </x:c>
      <x:c xmlns:x="http://schemas.openxmlformats.org/spreadsheetml/2006/main" r="W528" t="str" s="11">
        <x:v>Даташит — производитель</x:v>
      </x:c>
      <x:c xmlns:x="http://schemas.openxmlformats.org/spreadsheetml/2006/main" r="X528" t="str" s="11">
        <x:v>https://yageogroup.com/content/datasheet/asset/file/PYU-RC_GROUP_51_ROHS_L</x:v>
      </x:c>
      <x:c xmlns:x="http://schemas.openxmlformats.org/spreadsheetml/2006/main" r="Y528" t="str" s="11">
        <x:v>C:\Users\Nomatin\Documents\Altium\MY_LIB\MY_LIB\Datasheets\YAGEO_RC_L.pdf</x:v>
      </x:c>
      <ns0:c xmlns:ns0="http://schemas.openxmlformats.org/spreadsheetml/2006/main" r="Z528" s="16" t="inlineStr">
        <ns0:is>
          <ns0:t>MY_LIB_R_TCR</ns0:t>
        </ns0:is>
      </ns0:c>
      <ns0:c xmlns:ns0="http://schemas.openxmlformats.org/spreadsheetml/2006/main" r="AA528" s="16" t="inlineStr">
        <ns0:is>
          <ns0:t>R(T), +100 ppm/C at 25 C; positive datasheet limit</ns0:t>
        </ns0:is>
      </ns0:c>
      <ns0:c xmlns:ns0="http://schemas.openxmlformats.org/spreadsheetml/2006/main" r="AB528" s="16" t="str">
        <ns0:v>General</ns0:v>
      </ns0:c>
      <ns0:c xmlns:ns0="http://schemas.openxmlformats.org/spreadsheetml/2006/main" r="AC528" s="16" t="inlineStr">
        <ns0:is>
          <ns0:t>Spice Subcircuit</ns0:t>
        </ns0:is>
      </ns0:c>
      <ns0:c xmlns:ns0="http://schemas.openxmlformats.org/spreadsheetml/2006/main" r="AD528" s="16" t="inlineStr">
        <ns0:is>
          <ns0:t>@DESIGNATOR %1 %2 @MODEL PARAMS: Rvalue=@VALUE TC1value=100u</ns0:t>
        </ns0:is>
      </ns0:c>
      <ns0:c xmlns:ns0="http://schemas.openxmlformats.org/spreadsheetml/2006/main" r="AE528" s="16" t="inlineStr">
        <ns0:is>
          <ns0:t>X</ns0:t>
        </ns0:is>
      </ns0:c>
      <ns0:c xmlns:ns0="http://schemas.openxmlformats.org/spreadsheetml/2006/main" r="AF528" s="16" t="str">
        <ns0:v>(1:1),(2:2)</ns0:v>
      </ns0:c>
      <ns0:c xmlns:ns0="http://schemas.openxmlformats.org/spreadsheetml/2006/main" r="AG528" s="16" t="inlineStr">
        <ns0:is>
          <ns0:t>Simulation\Resistors\MY_LIB_R_TCR.ckt</ns0:t>
        </ns0:is>
      </ns0:c>
      <ns0:c xmlns:ns0="http://schemas.openxmlformats.org/spreadsheetml/2006/main" r="AH528" s="16" t="inlineStr">
        <ns0:is>
          <ns0:t>±100 ppm/°C</ns0:t>
        </ns0:is>
      </ns0:c>
    </ns0:row>
    <ns0:row xmlns:ns0="http://schemas.openxmlformats.org/spreadsheetml/2006/main" r="529" ht="30" customHeight="1">
      <ns0:c r="A529" t="str" s="10">
        <ns0:v>R0535</ns0:v>
      </ns0:c>
      <ns0:c r="B529" t="str" s="10">
        <ns0:v>Резистор</ns0:v>
      </ns0:c>
      <ns0:c r="C529" t="str" s="10">
        <ns0:v>5.6k</ns0:v>
      </ns0:c>
      <ns0:c r="D529" t="str" s="11">
        <ns0:f>SUBSTITUTE(SUBSTITUTE(SUBSTITUTE(SUBSTITUTE(C529,"meg"," МОм"),"k"," кОм"),"R"," Ом"),".",",")</ns0:f>
        <ns0:v>5,6 кОм</ns0:v>
      </ns0:c>
      <ns0:c r="E529" t="str" s="10">
        <ns0:v>±1%</ns0:v>
      </ns0:c>
      <ns0:c r="F529" t="str" s="10">
        <ns0:v>0,125 Вт</ns0:v>
      </ns0:c>
      <ns0:c r="G529" t="str" s="10">
        <ns0:v>150 В макс.</ns0:v>
      </ns0:c>
      <ns0:c r="H529" t="str" s="12">
        <ns0:v>0805</ns0:v>
      </ns0:c>
      <ns0:c r="I529" t="str" s="10">
        <ns0:v>YAGEO</ns0:v>
      </ns0:c>
      <ns0:c r="J529" t="str" s="10">
        <ns0:v>RC0805FR-075K6L</ns0:v>
      </ns0:c>
      <ns0:c r="K529" t="str" s="11">
        <ns0:f>B529&amp;" "&amp;D529&amp;" "&amp;E529&amp;" "&amp;H529</ns0:f>
        <ns0:v>Резистор 5,6 кОм ±1% 0805</ns0:v>
      </ns0:c>
      <ns0:c r="L529" t="str" s="13">
        <ns0:v>R</ns0:v>
      </ns0:c>
      <ns0:c r="M529" t="str" s="13">
        <ns0:v>Symbols\MY_LIB_Resistors.SchLib</ns0:v>
      </ns0:c>
      <ns0:c r="N529" t="str" s="13">
        <ns0:v>RESC2012X70N</ns0:v>
      </ns0:c>
      <ns0:c r="O529" t="str" s="13">
        <ns0:v>Footprints\PBL - SMD Packages.PcbLib</ns0:v>
      </ns0:c>
      <ns0:c xmlns:ns0="http://schemas.openxmlformats.org/spreadsheetml/2006/main" r="P52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29" s="10"/>
      <ns0:c r="R529" t="str" s="11">
        <ns0:f>D529</ns0:f>
        <ns0:v>5,6 кОм</ns0:v>
      </ns0:c>
      <ns0:c r="S529" t="str" s="11">
        <ns0:f>K529</ns0:f>
        <ns0:v>Резистор 5,6 кОм ±1% 0805</ns0:v>
      </ns0:c>
      <x:c xmlns:x="http://schemas.openxmlformats.org/spreadsheetml/2006/main" r="T529" t="str" s="11">
        <x:v>C:\Users\Nomatin\Documents\Altium\MY_LIB\MY_LIB\Datasheets\YAGEO_RC_L.pdf</x:v>
      </x:c>
      <x:c xmlns:x="http://schemas.openxmlformats.org/spreadsheetml/2006/main" r="U529" t="str" s="11">
        <x:v>Даташит — локальный</x:v>
      </x:c>
      <x:c xmlns:x="http://schemas.openxmlformats.org/spreadsheetml/2006/main" r="V529" t="str" s="11">
        <x:v>C:\Users\Nomatin\Documents\Altium\MY_LIB\MY_LIB\Datasheets\YAGEO_RC_L.pdf</x:v>
      </x:c>
      <x:c xmlns:x="http://schemas.openxmlformats.org/spreadsheetml/2006/main" r="W529" t="str" s="11">
        <x:v>Даташит — производитель</x:v>
      </x:c>
      <x:c xmlns:x="http://schemas.openxmlformats.org/spreadsheetml/2006/main" r="X529" t="str" s="11">
        <x:v>https://yageogroup.com/content/datasheet/asset/file/PYU-RC_GROUP_51_ROHS_L</x:v>
      </x:c>
      <x:c xmlns:x="http://schemas.openxmlformats.org/spreadsheetml/2006/main" r="Y529" t="str" s="11">
        <x:v>C:\Users\Nomatin\Documents\Altium\MY_LIB\MY_LIB\Datasheets\YAGEO_RC_L.pdf</x:v>
      </x:c>
      <ns0:c xmlns:ns0="http://schemas.openxmlformats.org/spreadsheetml/2006/main" r="Z529" s="16" t="inlineStr">
        <ns0:is>
          <ns0:t>MY_LIB_R_TCR</ns0:t>
        </ns0:is>
      </ns0:c>
      <ns0:c xmlns:ns0="http://schemas.openxmlformats.org/spreadsheetml/2006/main" r="AA529" s="16" t="inlineStr">
        <ns0:is>
          <ns0:t>R(T), +100 ppm/C at 25 C; positive datasheet limit</ns0:t>
        </ns0:is>
      </ns0:c>
      <ns0:c xmlns:ns0="http://schemas.openxmlformats.org/spreadsheetml/2006/main" r="AB529" s="16" t="str">
        <ns0:v>General</ns0:v>
      </ns0:c>
      <ns0:c xmlns:ns0="http://schemas.openxmlformats.org/spreadsheetml/2006/main" r="AC529" s="16" t="inlineStr">
        <ns0:is>
          <ns0:t>Spice Subcircuit</ns0:t>
        </ns0:is>
      </ns0:c>
      <ns0:c xmlns:ns0="http://schemas.openxmlformats.org/spreadsheetml/2006/main" r="AD529" s="16" t="inlineStr">
        <ns0:is>
          <ns0:t>@DESIGNATOR %1 %2 @MODEL PARAMS: Rvalue=@VALUE TC1value=100u</ns0:t>
        </ns0:is>
      </ns0:c>
      <ns0:c xmlns:ns0="http://schemas.openxmlformats.org/spreadsheetml/2006/main" r="AE529" s="16" t="inlineStr">
        <ns0:is>
          <ns0:t>X</ns0:t>
        </ns0:is>
      </ns0:c>
      <ns0:c xmlns:ns0="http://schemas.openxmlformats.org/spreadsheetml/2006/main" r="AF529" s="16" t="str">
        <ns0:v>(1:1),(2:2)</ns0:v>
      </ns0:c>
      <ns0:c xmlns:ns0="http://schemas.openxmlformats.org/spreadsheetml/2006/main" r="AG529" s="16" t="inlineStr">
        <ns0:is>
          <ns0:t>Simulation\Resistors\MY_LIB_R_TCR.ckt</ns0:t>
        </ns0:is>
      </ns0:c>
      <ns0:c xmlns:ns0="http://schemas.openxmlformats.org/spreadsheetml/2006/main" r="AH529" s="16" t="inlineStr">
        <ns0:is>
          <ns0:t>±100 ppm/°C</ns0:t>
        </ns0:is>
      </ns0:c>
    </ns0:row>
    <ns0:row xmlns:ns0="http://schemas.openxmlformats.org/spreadsheetml/2006/main" r="530" ht="30" customHeight="1">
      <ns0:c r="A530" t="str" s="10">
        <ns0:v>R0536</ns0:v>
      </ns0:c>
      <ns0:c r="B530" t="str" s="10">
        <ns0:v>Резистор</ns0:v>
      </ns0:c>
      <ns0:c r="C530" t="str" s="10">
        <ns0:v>6.2k</ns0:v>
      </ns0:c>
      <ns0:c r="D530" t="str" s="11">
        <ns0:f>SUBSTITUTE(SUBSTITUTE(SUBSTITUTE(SUBSTITUTE(C530,"meg"," МОм"),"k"," кОм"),"R"," Ом"),".",",")</ns0:f>
        <ns0:v>6,2 кОм</ns0:v>
      </ns0:c>
      <ns0:c r="E530" t="str" s="10">
        <ns0:v>±1%</ns0:v>
      </ns0:c>
      <ns0:c r="F530" t="str" s="10">
        <ns0:v>0,125 Вт</ns0:v>
      </ns0:c>
      <ns0:c r="G530" t="str" s="10">
        <ns0:v>150 В макс.</ns0:v>
      </ns0:c>
      <ns0:c r="H530" t="str" s="12">
        <ns0:v>0805</ns0:v>
      </ns0:c>
      <ns0:c r="I530" t="str" s="10">
        <ns0:v>YAGEO</ns0:v>
      </ns0:c>
      <ns0:c r="J530" t="str" s="10">
        <ns0:v>RC0805FR-076K2L</ns0:v>
      </ns0:c>
      <ns0:c r="K530" t="str" s="11">
        <ns0:f>B530&amp;" "&amp;D530&amp;" "&amp;E530&amp;" "&amp;H530</ns0:f>
        <ns0:v>Резистор 6,2 кОм ±1% 0805</ns0:v>
      </ns0:c>
      <ns0:c r="L530" t="str" s="13">
        <ns0:v>R</ns0:v>
      </ns0:c>
      <ns0:c r="M530" t="str" s="13">
        <ns0:v>Symbols\MY_LIB_Resistors.SchLib</ns0:v>
      </ns0:c>
      <ns0:c r="N530" t="str" s="13">
        <ns0:v>RESC2012X70N</ns0:v>
      </ns0:c>
      <ns0:c r="O530" t="str" s="13">
        <ns0:v>Footprints\PBL - SMD Packages.PcbLib</ns0:v>
      </ns0:c>
      <ns0:c xmlns:ns0="http://schemas.openxmlformats.org/spreadsheetml/2006/main" r="P53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0" s="10"/>
      <ns0:c r="R530" t="str" s="11">
        <ns0:f>D530</ns0:f>
        <ns0:v>6,2 кОм</ns0:v>
      </ns0:c>
      <ns0:c r="S530" t="str" s="11">
        <ns0:f>K530</ns0:f>
        <ns0:v>Резистор 6,2 кОм ±1% 0805</ns0:v>
      </ns0:c>
      <x:c xmlns:x="http://schemas.openxmlformats.org/spreadsheetml/2006/main" r="T530" t="str" s="11">
        <x:v>C:\Users\Nomatin\Documents\Altium\MY_LIB\MY_LIB\Datasheets\YAGEO_RC_L.pdf</x:v>
      </x:c>
      <x:c xmlns:x="http://schemas.openxmlformats.org/spreadsheetml/2006/main" r="U530" t="str" s="11">
        <x:v>Даташит — локальный</x:v>
      </x:c>
      <x:c xmlns:x="http://schemas.openxmlformats.org/spreadsheetml/2006/main" r="V530" t="str" s="11">
        <x:v>C:\Users\Nomatin\Documents\Altium\MY_LIB\MY_LIB\Datasheets\YAGEO_RC_L.pdf</x:v>
      </x:c>
      <x:c xmlns:x="http://schemas.openxmlformats.org/spreadsheetml/2006/main" r="W530" t="str" s="11">
        <x:v>Даташит — производитель</x:v>
      </x:c>
      <x:c xmlns:x="http://schemas.openxmlformats.org/spreadsheetml/2006/main" r="X530" t="str" s="11">
        <x:v>https://yageogroup.com/content/datasheet/asset/file/PYU-RC_GROUP_51_ROHS_L</x:v>
      </x:c>
      <x:c xmlns:x="http://schemas.openxmlformats.org/spreadsheetml/2006/main" r="Y530" t="str" s="11">
        <x:v>C:\Users\Nomatin\Documents\Altium\MY_LIB\MY_LIB\Datasheets\YAGEO_RC_L.pdf</x:v>
      </x:c>
      <ns0:c xmlns:ns0="http://schemas.openxmlformats.org/spreadsheetml/2006/main" r="Z530" s="16" t="inlineStr">
        <ns0:is>
          <ns0:t>MY_LIB_R_TCR</ns0:t>
        </ns0:is>
      </ns0:c>
      <ns0:c xmlns:ns0="http://schemas.openxmlformats.org/spreadsheetml/2006/main" r="AA530" s="16" t="inlineStr">
        <ns0:is>
          <ns0:t>R(T), +100 ppm/C at 25 C; positive datasheet limit</ns0:t>
        </ns0:is>
      </ns0:c>
      <ns0:c xmlns:ns0="http://schemas.openxmlformats.org/spreadsheetml/2006/main" r="AB530" s="16" t="str">
        <ns0:v>General</ns0:v>
      </ns0:c>
      <ns0:c xmlns:ns0="http://schemas.openxmlformats.org/spreadsheetml/2006/main" r="AC530" s="16" t="inlineStr">
        <ns0:is>
          <ns0:t>Spice Subcircuit</ns0:t>
        </ns0:is>
      </ns0:c>
      <ns0:c xmlns:ns0="http://schemas.openxmlformats.org/spreadsheetml/2006/main" r="AD530" s="16" t="inlineStr">
        <ns0:is>
          <ns0:t>@DESIGNATOR %1 %2 @MODEL PARAMS: Rvalue=@VALUE TC1value=100u</ns0:t>
        </ns0:is>
      </ns0:c>
      <ns0:c xmlns:ns0="http://schemas.openxmlformats.org/spreadsheetml/2006/main" r="AE530" s="16" t="inlineStr">
        <ns0:is>
          <ns0:t>X</ns0:t>
        </ns0:is>
      </ns0:c>
      <ns0:c xmlns:ns0="http://schemas.openxmlformats.org/spreadsheetml/2006/main" r="AF530" s="16" t="str">
        <ns0:v>(1:1),(2:2)</ns0:v>
      </ns0:c>
      <ns0:c xmlns:ns0="http://schemas.openxmlformats.org/spreadsheetml/2006/main" r="AG530" s="16" t="inlineStr">
        <ns0:is>
          <ns0:t>Simulation\Resistors\MY_LIB_R_TCR.ckt</ns0:t>
        </ns0:is>
      </ns0:c>
      <ns0:c xmlns:ns0="http://schemas.openxmlformats.org/spreadsheetml/2006/main" r="AH530" s="16" t="inlineStr">
        <ns0:is>
          <ns0:t>±100 ppm/°C</ns0:t>
        </ns0:is>
      </ns0:c>
    </ns0:row>
    <ns0:row xmlns:ns0="http://schemas.openxmlformats.org/spreadsheetml/2006/main" r="531" ht="30" customHeight="1">
      <ns0:c r="A531" t="str" s="10">
        <ns0:v>R0537</ns0:v>
      </ns0:c>
      <ns0:c r="B531" t="str" s="10">
        <ns0:v>Резистор</ns0:v>
      </ns0:c>
      <ns0:c r="C531" t="str" s="10">
        <ns0:v>6.8k</ns0:v>
      </ns0:c>
      <ns0:c r="D531" t="str" s="11">
        <ns0:f>SUBSTITUTE(SUBSTITUTE(SUBSTITUTE(SUBSTITUTE(C531,"meg"," МОм"),"k"," кОм"),"R"," Ом"),".",",")</ns0:f>
        <ns0:v>6,8 кОм</ns0:v>
      </ns0:c>
      <ns0:c r="E531" t="str" s="10">
        <ns0:v>±1%</ns0:v>
      </ns0:c>
      <ns0:c r="F531" t="str" s="10">
        <ns0:v>0,125 Вт</ns0:v>
      </ns0:c>
      <ns0:c r="G531" t="str" s="10">
        <ns0:v>150 В макс.</ns0:v>
      </ns0:c>
      <ns0:c r="H531" t="str" s="12">
        <ns0:v>0805</ns0:v>
      </ns0:c>
      <ns0:c r="I531" t="str" s="10">
        <ns0:v>YAGEO</ns0:v>
      </ns0:c>
      <ns0:c r="J531" t="str" s="10">
        <ns0:v>RC0805FR-076K8L</ns0:v>
      </ns0:c>
      <ns0:c r="K531" t="str" s="11">
        <ns0:f>B531&amp;" "&amp;D531&amp;" "&amp;E531&amp;" "&amp;H531</ns0:f>
        <ns0:v>Резистор 6,8 кОм ±1% 0805</ns0:v>
      </ns0:c>
      <ns0:c r="L531" t="str" s="13">
        <ns0:v>R</ns0:v>
      </ns0:c>
      <ns0:c r="M531" t="str" s="13">
        <ns0:v>Symbols\MY_LIB_Resistors.SchLib</ns0:v>
      </ns0:c>
      <ns0:c r="N531" t="str" s="13">
        <ns0:v>RESC2012X70N</ns0:v>
      </ns0:c>
      <ns0:c r="O531" t="str" s="13">
        <ns0:v>Footprints\PBL - SMD Packages.PcbLib</ns0:v>
      </ns0:c>
      <ns0:c xmlns:ns0="http://schemas.openxmlformats.org/spreadsheetml/2006/main" r="P53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1" s="10"/>
      <ns0:c r="R531" t="str" s="11">
        <ns0:f>D531</ns0:f>
        <ns0:v>6,8 кОм</ns0:v>
      </ns0:c>
      <ns0:c r="S531" t="str" s="11">
        <ns0:f>K531</ns0:f>
        <ns0:v>Резистор 6,8 кОм ±1% 0805</ns0:v>
      </ns0:c>
      <x:c xmlns:x="http://schemas.openxmlformats.org/spreadsheetml/2006/main" r="T531" t="str" s="11">
        <x:v>C:\Users\Nomatin\Documents\Altium\MY_LIB\MY_LIB\Datasheets\YAGEO_RC_L.pdf</x:v>
      </x:c>
      <x:c xmlns:x="http://schemas.openxmlformats.org/spreadsheetml/2006/main" r="U531" t="str" s="11">
        <x:v>Даташит — локальный</x:v>
      </x:c>
      <x:c xmlns:x="http://schemas.openxmlformats.org/spreadsheetml/2006/main" r="V531" t="str" s="11">
        <x:v>C:\Users\Nomatin\Documents\Altium\MY_LIB\MY_LIB\Datasheets\YAGEO_RC_L.pdf</x:v>
      </x:c>
      <x:c xmlns:x="http://schemas.openxmlformats.org/spreadsheetml/2006/main" r="W531" t="str" s="11">
        <x:v>Даташит — производитель</x:v>
      </x:c>
      <x:c xmlns:x="http://schemas.openxmlformats.org/spreadsheetml/2006/main" r="X531" t="str" s="11">
        <x:v>https://yageogroup.com/content/datasheet/asset/file/PYU-RC_GROUP_51_ROHS_L</x:v>
      </x:c>
      <x:c xmlns:x="http://schemas.openxmlformats.org/spreadsheetml/2006/main" r="Y531" t="str" s="11">
        <x:v>C:\Users\Nomatin\Documents\Altium\MY_LIB\MY_LIB\Datasheets\YAGEO_RC_L.pdf</x:v>
      </x:c>
      <ns0:c xmlns:ns0="http://schemas.openxmlformats.org/spreadsheetml/2006/main" r="Z531" s="16" t="inlineStr">
        <ns0:is>
          <ns0:t>MY_LIB_R_TCR</ns0:t>
        </ns0:is>
      </ns0:c>
      <ns0:c xmlns:ns0="http://schemas.openxmlformats.org/spreadsheetml/2006/main" r="AA531" s="16" t="inlineStr">
        <ns0:is>
          <ns0:t>R(T), +100 ppm/C at 25 C; positive datasheet limit</ns0:t>
        </ns0:is>
      </ns0:c>
      <ns0:c xmlns:ns0="http://schemas.openxmlformats.org/spreadsheetml/2006/main" r="AB531" s="16" t="str">
        <ns0:v>General</ns0:v>
      </ns0:c>
      <ns0:c xmlns:ns0="http://schemas.openxmlformats.org/spreadsheetml/2006/main" r="AC531" s="16" t="inlineStr">
        <ns0:is>
          <ns0:t>Spice Subcircuit</ns0:t>
        </ns0:is>
      </ns0:c>
      <ns0:c xmlns:ns0="http://schemas.openxmlformats.org/spreadsheetml/2006/main" r="AD531" s="16" t="inlineStr">
        <ns0:is>
          <ns0:t>@DESIGNATOR %1 %2 @MODEL PARAMS: Rvalue=@VALUE TC1value=100u</ns0:t>
        </ns0:is>
      </ns0:c>
      <ns0:c xmlns:ns0="http://schemas.openxmlformats.org/spreadsheetml/2006/main" r="AE531" s="16" t="inlineStr">
        <ns0:is>
          <ns0:t>X</ns0:t>
        </ns0:is>
      </ns0:c>
      <ns0:c xmlns:ns0="http://schemas.openxmlformats.org/spreadsheetml/2006/main" r="AF531" s="16" t="str">
        <ns0:v>(1:1),(2:2)</ns0:v>
      </ns0:c>
      <ns0:c xmlns:ns0="http://schemas.openxmlformats.org/spreadsheetml/2006/main" r="AG531" s="16" t="inlineStr">
        <ns0:is>
          <ns0:t>Simulation\Resistors\MY_LIB_R_TCR.ckt</ns0:t>
        </ns0:is>
      </ns0:c>
      <ns0:c xmlns:ns0="http://schemas.openxmlformats.org/spreadsheetml/2006/main" r="AH531" s="16" t="inlineStr">
        <ns0:is>
          <ns0:t>±100 ppm/°C</ns0:t>
        </ns0:is>
      </ns0:c>
    </ns0:row>
    <ns0:row xmlns:ns0="http://schemas.openxmlformats.org/spreadsheetml/2006/main" r="532" ht="30" customHeight="1">
      <ns0:c r="A532" t="str" s="10">
        <ns0:v>R0538</ns0:v>
      </ns0:c>
      <ns0:c r="B532" t="str" s="10">
        <ns0:v>Резистор</ns0:v>
      </ns0:c>
      <ns0:c r="C532" t="str" s="10">
        <ns0:v>7.5k</ns0:v>
      </ns0:c>
      <ns0:c r="D532" t="str" s="11">
        <ns0:f>SUBSTITUTE(SUBSTITUTE(SUBSTITUTE(SUBSTITUTE(C532,"meg"," МОм"),"k"," кОм"),"R"," Ом"),".",",")</ns0:f>
        <ns0:v>7,5 кОм</ns0:v>
      </ns0:c>
      <ns0:c r="E532" t="str" s="10">
        <ns0:v>±1%</ns0:v>
      </ns0:c>
      <ns0:c r="F532" t="str" s="10">
        <ns0:v>0,125 Вт</ns0:v>
      </ns0:c>
      <ns0:c r="G532" t="str" s="10">
        <ns0:v>150 В макс.</ns0:v>
      </ns0:c>
      <ns0:c r="H532" t="str" s="12">
        <ns0:v>0805</ns0:v>
      </ns0:c>
      <ns0:c r="I532" t="str" s="10">
        <ns0:v>YAGEO</ns0:v>
      </ns0:c>
      <ns0:c r="J532" t="str" s="10">
        <ns0:v>RC0805FR-077K5L</ns0:v>
      </ns0:c>
      <ns0:c r="K532" t="str" s="11">
        <ns0:f>B532&amp;" "&amp;D532&amp;" "&amp;E532&amp;" "&amp;H532</ns0:f>
        <ns0:v>Резистор 7,5 кОм ±1% 0805</ns0:v>
      </ns0:c>
      <ns0:c r="L532" t="str" s="13">
        <ns0:v>R</ns0:v>
      </ns0:c>
      <ns0:c r="M532" t="str" s="13">
        <ns0:v>Symbols\MY_LIB_Resistors.SchLib</ns0:v>
      </ns0:c>
      <ns0:c r="N532" t="str" s="13">
        <ns0:v>RESC2012X70N</ns0:v>
      </ns0:c>
      <ns0:c r="O532" t="str" s="13">
        <ns0:v>Footprints\PBL - SMD Packages.PcbLib</ns0:v>
      </ns0:c>
      <ns0:c xmlns:ns0="http://schemas.openxmlformats.org/spreadsheetml/2006/main" r="P53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2" s="10"/>
      <ns0:c r="R532" t="str" s="11">
        <ns0:f>D532</ns0:f>
        <ns0:v>7,5 кОм</ns0:v>
      </ns0:c>
      <ns0:c r="S532" t="str" s="11">
        <ns0:f>K532</ns0:f>
        <ns0:v>Резистор 7,5 кОм ±1% 0805</ns0:v>
      </ns0:c>
      <x:c xmlns:x="http://schemas.openxmlformats.org/spreadsheetml/2006/main" r="T532" t="str" s="11">
        <x:v>C:\Users\Nomatin\Documents\Altium\MY_LIB\MY_LIB\Datasheets\YAGEO_RC_L.pdf</x:v>
      </x:c>
      <x:c xmlns:x="http://schemas.openxmlformats.org/spreadsheetml/2006/main" r="U532" t="str" s="11">
        <x:v>Даташит — локальный</x:v>
      </x:c>
      <x:c xmlns:x="http://schemas.openxmlformats.org/spreadsheetml/2006/main" r="V532" t="str" s="11">
        <x:v>C:\Users\Nomatin\Documents\Altium\MY_LIB\MY_LIB\Datasheets\YAGEO_RC_L.pdf</x:v>
      </x:c>
      <x:c xmlns:x="http://schemas.openxmlformats.org/spreadsheetml/2006/main" r="W532" t="str" s="11">
        <x:v>Даташит — производитель</x:v>
      </x:c>
      <x:c xmlns:x="http://schemas.openxmlformats.org/spreadsheetml/2006/main" r="X532" t="str" s="11">
        <x:v>https://yageogroup.com/content/datasheet/asset/file/PYU-RC_GROUP_51_ROHS_L</x:v>
      </x:c>
      <x:c xmlns:x="http://schemas.openxmlformats.org/spreadsheetml/2006/main" r="Y532" t="str" s="11">
        <x:v>C:\Users\Nomatin\Documents\Altium\MY_LIB\MY_LIB\Datasheets\YAGEO_RC_L.pdf</x:v>
      </x:c>
      <ns0:c xmlns:ns0="http://schemas.openxmlformats.org/spreadsheetml/2006/main" r="Z532" s="16" t="inlineStr">
        <ns0:is>
          <ns0:t>MY_LIB_R_TCR</ns0:t>
        </ns0:is>
      </ns0:c>
      <ns0:c xmlns:ns0="http://schemas.openxmlformats.org/spreadsheetml/2006/main" r="AA532" s="16" t="inlineStr">
        <ns0:is>
          <ns0:t>R(T), +100 ppm/C at 25 C; positive datasheet limit</ns0:t>
        </ns0:is>
      </ns0:c>
      <ns0:c xmlns:ns0="http://schemas.openxmlformats.org/spreadsheetml/2006/main" r="AB532" s="16" t="str">
        <ns0:v>General</ns0:v>
      </ns0:c>
      <ns0:c xmlns:ns0="http://schemas.openxmlformats.org/spreadsheetml/2006/main" r="AC532" s="16" t="inlineStr">
        <ns0:is>
          <ns0:t>Spice Subcircuit</ns0:t>
        </ns0:is>
      </ns0:c>
      <ns0:c xmlns:ns0="http://schemas.openxmlformats.org/spreadsheetml/2006/main" r="AD532" s="16" t="inlineStr">
        <ns0:is>
          <ns0:t>@DESIGNATOR %1 %2 @MODEL PARAMS: Rvalue=@VALUE TC1value=100u</ns0:t>
        </ns0:is>
      </ns0:c>
      <ns0:c xmlns:ns0="http://schemas.openxmlformats.org/spreadsheetml/2006/main" r="AE532" s="16" t="inlineStr">
        <ns0:is>
          <ns0:t>X</ns0:t>
        </ns0:is>
      </ns0:c>
      <ns0:c xmlns:ns0="http://schemas.openxmlformats.org/spreadsheetml/2006/main" r="AF532" s="16" t="str">
        <ns0:v>(1:1),(2:2)</ns0:v>
      </ns0:c>
      <ns0:c xmlns:ns0="http://schemas.openxmlformats.org/spreadsheetml/2006/main" r="AG532" s="16" t="inlineStr">
        <ns0:is>
          <ns0:t>Simulation\Resistors\MY_LIB_R_TCR.ckt</ns0:t>
        </ns0:is>
      </ns0:c>
      <ns0:c xmlns:ns0="http://schemas.openxmlformats.org/spreadsheetml/2006/main" r="AH532" s="16" t="inlineStr">
        <ns0:is>
          <ns0:t>±100 ppm/°C</ns0:t>
        </ns0:is>
      </ns0:c>
    </ns0:row>
    <ns0:row xmlns:ns0="http://schemas.openxmlformats.org/spreadsheetml/2006/main" r="533" ht="30" customHeight="1">
      <ns0:c r="A533" t="str" s="10">
        <ns0:v>R0539</ns0:v>
      </ns0:c>
      <ns0:c r="B533" t="str" s="10">
        <ns0:v>Резистор</ns0:v>
      </ns0:c>
      <ns0:c r="C533" t="str" s="10">
        <ns0:v>8.2k</ns0:v>
      </ns0:c>
      <ns0:c r="D533" t="str" s="11">
        <ns0:f>SUBSTITUTE(SUBSTITUTE(SUBSTITUTE(SUBSTITUTE(C533,"meg"," МОм"),"k"," кОм"),"R"," Ом"),".",",")</ns0:f>
        <ns0:v>8,2 кОм</ns0:v>
      </ns0:c>
      <ns0:c r="E533" t="str" s="10">
        <ns0:v>±1%</ns0:v>
      </ns0:c>
      <ns0:c r="F533" t="str" s="10">
        <ns0:v>0,125 Вт</ns0:v>
      </ns0:c>
      <ns0:c r="G533" t="str" s="10">
        <ns0:v>150 В макс.</ns0:v>
      </ns0:c>
      <ns0:c r="H533" t="str" s="12">
        <ns0:v>0805</ns0:v>
      </ns0:c>
      <ns0:c r="I533" t="str" s="10">
        <ns0:v>YAGEO</ns0:v>
      </ns0:c>
      <ns0:c r="J533" t="str" s="10">
        <ns0:v>RC0805FR-078K2L</ns0:v>
      </ns0:c>
      <ns0:c r="K533" t="str" s="11">
        <ns0:f>B533&amp;" "&amp;D533&amp;" "&amp;E533&amp;" "&amp;H533</ns0:f>
        <ns0:v>Резистор 8,2 кОм ±1% 0805</ns0:v>
      </ns0:c>
      <ns0:c r="L533" t="str" s="13">
        <ns0:v>R</ns0:v>
      </ns0:c>
      <ns0:c r="M533" t="str" s="13">
        <ns0:v>Symbols\MY_LIB_Resistors.SchLib</ns0:v>
      </ns0:c>
      <ns0:c r="N533" t="str" s="13">
        <ns0:v>RESC2012X70N</ns0:v>
      </ns0:c>
      <ns0:c r="O533" t="str" s="13">
        <ns0:v>Footprints\PBL - SMD Packages.PcbLib</ns0:v>
      </ns0:c>
      <ns0:c xmlns:ns0="http://schemas.openxmlformats.org/spreadsheetml/2006/main" r="P53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3" s="10"/>
      <ns0:c r="R533" t="str" s="11">
        <ns0:f>D533</ns0:f>
        <ns0:v>8,2 кОм</ns0:v>
      </ns0:c>
      <ns0:c r="S533" t="str" s="11">
        <ns0:f>K533</ns0:f>
        <ns0:v>Резистор 8,2 кОм ±1% 0805</ns0:v>
      </ns0:c>
      <x:c xmlns:x="http://schemas.openxmlformats.org/spreadsheetml/2006/main" r="T533" t="str" s="11">
        <x:v>C:\Users\Nomatin\Documents\Altium\MY_LIB\MY_LIB\Datasheets\YAGEO_RC_L.pdf</x:v>
      </x:c>
      <x:c xmlns:x="http://schemas.openxmlformats.org/spreadsheetml/2006/main" r="U533" t="str" s="11">
        <x:v>Даташит — локальный</x:v>
      </x:c>
      <x:c xmlns:x="http://schemas.openxmlformats.org/spreadsheetml/2006/main" r="V533" t="str" s="11">
        <x:v>C:\Users\Nomatin\Documents\Altium\MY_LIB\MY_LIB\Datasheets\YAGEO_RC_L.pdf</x:v>
      </x:c>
      <x:c xmlns:x="http://schemas.openxmlformats.org/spreadsheetml/2006/main" r="W533" t="str" s="11">
        <x:v>Даташит — производитель</x:v>
      </x:c>
      <x:c xmlns:x="http://schemas.openxmlformats.org/spreadsheetml/2006/main" r="X533" t="str" s="11">
        <x:v>https://yageogroup.com/content/datasheet/asset/file/PYU-RC_GROUP_51_ROHS_L</x:v>
      </x:c>
      <x:c xmlns:x="http://schemas.openxmlformats.org/spreadsheetml/2006/main" r="Y533" t="str" s="11">
        <x:v>C:\Users\Nomatin\Documents\Altium\MY_LIB\MY_LIB\Datasheets\YAGEO_RC_L.pdf</x:v>
      </x:c>
      <ns0:c xmlns:ns0="http://schemas.openxmlformats.org/spreadsheetml/2006/main" r="Z533" s="16" t="inlineStr">
        <ns0:is>
          <ns0:t>MY_LIB_R_TCR</ns0:t>
        </ns0:is>
      </ns0:c>
      <ns0:c xmlns:ns0="http://schemas.openxmlformats.org/spreadsheetml/2006/main" r="AA533" s="16" t="inlineStr">
        <ns0:is>
          <ns0:t>R(T), +100 ppm/C at 25 C; positive datasheet limit</ns0:t>
        </ns0:is>
      </ns0:c>
      <ns0:c xmlns:ns0="http://schemas.openxmlformats.org/spreadsheetml/2006/main" r="AB533" s="16" t="str">
        <ns0:v>General</ns0:v>
      </ns0:c>
      <ns0:c xmlns:ns0="http://schemas.openxmlformats.org/spreadsheetml/2006/main" r="AC533" s="16" t="inlineStr">
        <ns0:is>
          <ns0:t>Spice Subcircuit</ns0:t>
        </ns0:is>
      </ns0:c>
      <ns0:c xmlns:ns0="http://schemas.openxmlformats.org/spreadsheetml/2006/main" r="AD533" s="16" t="inlineStr">
        <ns0:is>
          <ns0:t>@DESIGNATOR %1 %2 @MODEL PARAMS: Rvalue=@VALUE TC1value=100u</ns0:t>
        </ns0:is>
      </ns0:c>
      <ns0:c xmlns:ns0="http://schemas.openxmlformats.org/spreadsheetml/2006/main" r="AE533" s="16" t="inlineStr">
        <ns0:is>
          <ns0:t>X</ns0:t>
        </ns0:is>
      </ns0:c>
      <ns0:c xmlns:ns0="http://schemas.openxmlformats.org/spreadsheetml/2006/main" r="AF533" s="16" t="str">
        <ns0:v>(1:1),(2:2)</ns0:v>
      </ns0:c>
      <ns0:c xmlns:ns0="http://schemas.openxmlformats.org/spreadsheetml/2006/main" r="AG533" s="16" t="inlineStr">
        <ns0:is>
          <ns0:t>Simulation\Resistors\MY_LIB_R_TCR.ckt</ns0:t>
        </ns0:is>
      </ns0:c>
      <ns0:c xmlns:ns0="http://schemas.openxmlformats.org/spreadsheetml/2006/main" r="AH533" s="16" t="inlineStr">
        <ns0:is>
          <ns0:t>±100 ppm/°C</ns0:t>
        </ns0:is>
      </ns0:c>
    </ns0:row>
    <ns0:row xmlns:ns0="http://schemas.openxmlformats.org/spreadsheetml/2006/main" r="534" ht="30" customHeight="1">
      <ns0:c r="A534" t="str" s="10">
        <ns0:v>R0540</ns0:v>
      </ns0:c>
      <ns0:c r="B534" t="str" s="10">
        <ns0:v>Резистор</ns0:v>
      </ns0:c>
      <ns0:c r="C534" t="str" s="10">
        <ns0:v>9.1k</ns0:v>
      </ns0:c>
      <ns0:c r="D534" t="str" s="11">
        <ns0:f>SUBSTITUTE(SUBSTITUTE(SUBSTITUTE(SUBSTITUTE(C534,"meg"," МОм"),"k"," кОм"),"R"," Ом"),".",",")</ns0:f>
        <ns0:v>9,1 кОм</ns0:v>
      </ns0:c>
      <ns0:c r="E534" t="str" s="10">
        <ns0:v>±1%</ns0:v>
      </ns0:c>
      <ns0:c r="F534" t="str" s="10">
        <ns0:v>0,125 Вт</ns0:v>
      </ns0:c>
      <ns0:c r="G534" t="str" s="10">
        <ns0:v>150 В макс.</ns0:v>
      </ns0:c>
      <ns0:c r="H534" t="str" s="12">
        <ns0:v>0805</ns0:v>
      </ns0:c>
      <ns0:c r="I534" t="str" s="10">
        <ns0:v>YAGEO</ns0:v>
      </ns0:c>
      <ns0:c r="J534" t="str" s="10">
        <ns0:v>RC0805FR-079K1L</ns0:v>
      </ns0:c>
      <ns0:c r="K534" t="str" s="11">
        <ns0:f>B534&amp;" "&amp;D534&amp;" "&amp;E534&amp;" "&amp;H534</ns0:f>
        <ns0:v>Резистор 9,1 кОм ±1% 0805</ns0:v>
      </ns0:c>
      <ns0:c r="L534" t="str" s="13">
        <ns0:v>R</ns0:v>
      </ns0:c>
      <ns0:c r="M534" t="str" s="13">
        <ns0:v>Symbols\MY_LIB_Resistors.SchLib</ns0:v>
      </ns0:c>
      <ns0:c r="N534" t="str" s="13">
        <ns0:v>RESC2012X70N</ns0:v>
      </ns0:c>
      <ns0:c r="O534" t="str" s="13">
        <ns0:v>Footprints\PBL - SMD Packages.PcbLib</ns0:v>
      </ns0:c>
      <ns0:c xmlns:ns0="http://schemas.openxmlformats.org/spreadsheetml/2006/main" r="P53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4" s="10"/>
      <ns0:c r="R534" t="str" s="11">
        <ns0:f>D534</ns0:f>
        <ns0:v>9,1 кОм</ns0:v>
      </ns0:c>
      <ns0:c r="S534" t="str" s="11">
        <ns0:f>K534</ns0:f>
        <ns0:v>Резистор 9,1 кОм ±1% 0805</ns0:v>
      </ns0:c>
      <x:c xmlns:x="http://schemas.openxmlformats.org/spreadsheetml/2006/main" r="T534" t="str" s="11">
        <x:v>C:\Users\Nomatin\Documents\Altium\MY_LIB\MY_LIB\Datasheets\YAGEO_RC_L.pdf</x:v>
      </x:c>
      <x:c xmlns:x="http://schemas.openxmlformats.org/spreadsheetml/2006/main" r="U534" t="str" s="11">
        <x:v>Даташит — локальный</x:v>
      </x:c>
      <x:c xmlns:x="http://schemas.openxmlformats.org/spreadsheetml/2006/main" r="V534" t="str" s="11">
        <x:v>C:\Users\Nomatin\Documents\Altium\MY_LIB\MY_LIB\Datasheets\YAGEO_RC_L.pdf</x:v>
      </x:c>
      <x:c xmlns:x="http://schemas.openxmlformats.org/spreadsheetml/2006/main" r="W534" t="str" s="11">
        <x:v>Даташит — производитель</x:v>
      </x:c>
      <x:c xmlns:x="http://schemas.openxmlformats.org/spreadsheetml/2006/main" r="X534" t="str" s="11">
        <x:v>https://yageogroup.com/content/datasheet/asset/file/PYU-RC_GROUP_51_ROHS_L</x:v>
      </x:c>
      <x:c xmlns:x="http://schemas.openxmlformats.org/spreadsheetml/2006/main" r="Y534" t="str" s="11">
        <x:v>C:\Users\Nomatin\Documents\Altium\MY_LIB\MY_LIB\Datasheets\YAGEO_RC_L.pdf</x:v>
      </x:c>
      <ns0:c xmlns:ns0="http://schemas.openxmlformats.org/spreadsheetml/2006/main" r="Z534" s="16" t="inlineStr">
        <ns0:is>
          <ns0:t>MY_LIB_R_TCR</ns0:t>
        </ns0:is>
      </ns0:c>
      <ns0:c xmlns:ns0="http://schemas.openxmlformats.org/spreadsheetml/2006/main" r="AA534" s="16" t="inlineStr">
        <ns0:is>
          <ns0:t>R(T), +100 ppm/C at 25 C; positive datasheet limit</ns0:t>
        </ns0:is>
      </ns0:c>
      <ns0:c xmlns:ns0="http://schemas.openxmlformats.org/spreadsheetml/2006/main" r="AB534" s="16" t="str">
        <ns0:v>General</ns0:v>
      </ns0:c>
      <ns0:c xmlns:ns0="http://schemas.openxmlformats.org/spreadsheetml/2006/main" r="AC534" s="16" t="inlineStr">
        <ns0:is>
          <ns0:t>Spice Subcircuit</ns0:t>
        </ns0:is>
      </ns0:c>
      <ns0:c xmlns:ns0="http://schemas.openxmlformats.org/spreadsheetml/2006/main" r="AD534" s="16" t="inlineStr">
        <ns0:is>
          <ns0:t>@DESIGNATOR %1 %2 @MODEL PARAMS: Rvalue=@VALUE TC1value=100u</ns0:t>
        </ns0:is>
      </ns0:c>
      <ns0:c xmlns:ns0="http://schemas.openxmlformats.org/spreadsheetml/2006/main" r="AE534" s="16" t="inlineStr">
        <ns0:is>
          <ns0:t>X</ns0:t>
        </ns0:is>
      </ns0:c>
      <ns0:c xmlns:ns0="http://schemas.openxmlformats.org/spreadsheetml/2006/main" r="AF534" s="16" t="str">
        <ns0:v>(1:1),(2:2)</ns0:v>
      </ns0:c>
      <ns0:c xmlns:ns0="http://schemas.openxmlformats.org/spreadsheetml/2006/main" r="AG534" s="16" t="inlineStr">
        <ns0:is>
          <ns0:t>Simulation\Resistors\MY_LIB_R_TCR.ckt</ns0:t>
        </ns0:is>
      </ns0:c>
      <ns0:c xmlns:ns0="http://schemas.openxmlformats.org/spreadsheetml/2006/main" r="AH534" s="16" t="inlineStr">
        <ns0:is>
          <ns0:t>±100 ppm/°C</ns0:t>
        </ns0:is>
      </ns0:c>
    </ns0:row>
    <ns0:row xmlns:ns0="http://schemas.openxmlformats.org/spreadsheetml/2006/main" r="535" ht="30" customHeight="1">
      <ns0:c r="A535" t="str" s="10">
        <ns0:v>R0541</ns0:v>
      </ns0:c>
      <ns0:c r="B535" t="str" s="10">
        <ns0:v>Резистор</ns0:v>
      </ns0:c>
      <ns0:c r="C535" t="str" s="10">
        <ns0:v>10k</ns0:v>
      </ns0:c>
      <ns0:c r="D535" t="str" s="11">
        <ns0:f>SUBSTITUTE(SUBSTITUTE(SUBSTITUTE(SUBSTITUTE(C535,"meg"," МОм"),"k"," кОм"),"R"," Ом"),".",",")</ns0:f>
        <ns0:v>10 кОм</ns0:v>
      </ns0:c>
      <ns0:c r="E535" t="str" s="10">
        <ns0:v>±1%</ns0:v>
      </ns0:c>
      <ns0:c r="F535" t="str" s="10">
        <ns0:v>0,125 Вт</ns0:v>
      </ns0:c>
      <ns0:c r="G535" t="str" s="10">
        <ns0:v>150 В макс.</ns0:v>
      </ns0:c>
      <ns0:c r="H535" t="str" s="12">
        <ns0:v>0805</ns0:v>
      </ns0:c>
      <ns0:c r="I535" t="str" s="10">
        <ns0:v>YAGEO</ns0:v>
      </ns0:c>
      <ns0:c r="J535" t="str" s="10">
        <ns0:v>RC0805FR-0710KL</ns0:v>
      </ns0:c>
      <ns0:c r="K535" t="str" s="11">
        <ns0:f>B535&amp;" "&amp;D535&amp;" "&amp;E535&amp;" "&amp;H535</ns0:f>
        <ns0:v>Резистор 10 кОм ±1% 0805</ns0:v>
      </ns0:c>
      <ns0:c r="L535" t="str" s="13">
        <ns0:v>R</ns0:v>
      </ns0:c>
      <ns0:c r="M535" t="str" s="13">
        <ns0:v>Symbols\MY_LIB_Resistors.SchLib</ns0:v>
      </ns0:c>
      <ns0:c r="N535" t="str" s="13">
        <ns0:v>RESC2012X70N</ns0:v>
      </ns0:c>
      <ns0:c r="O535" t="str" s="13">
        <ns0:v>Footprints\PBL - SMD Packages.PcbLib</ns0:v>
      </ns0:c>
      <ns0:c xmlns:ns0="http://schemas.openxmlformats.org/spreadsheetml/2006/main" r="P53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5" s="10"/>
      <ns0:c r="R535" t="str" s="11">
        <ns0:f>D535</ns0:f>
        <ns0:v>10 кОм</ns0:v>
      </ns0:c>
      <ns0:c r="S535" t="str" s="11">
        <ns0:f>K535</ns0:f>
        <ns0:v>Резистор 10 кОм ±1% 0805</ns0:v>
      </ns0:c>
      <x:c xmlns:x="http://schemas.openxmlformats.org/spreadsheetml/2006/main" r="T535" t="str" s="11">
        <x:v>C:\Users\Nomatin\Documents\Altium\MY_LIB\MY_LIB\Datasheets\YAGEO_RC_L.pdf</x:v>
      </x:c>
      <x:c xmlns:x="http://schemas.openxmlformats.org/spreadsheetml/2006/main" r="U535" t="str" s="11">
        <x:v>Даташит — локальный</x:v>
      </x:c>
      <x:c xmlns:x="http://schemas.openxmlformats.org/spreadsheetml/2006/main" r="V535" t="str" s="11">
        <x:v>C:\Users\Nomatin\Documents\Altium\MY_LIB\MY_LIB\Datasheets\YAGEO_RC_L.pdf</x:v>
      </x:c>
      <x:c xmlns:x="http://schemas.openxmlformats.org/spreadsheetml/2006/main" r="W535" t="str" s="11">
        <x:v>Даташит — производитель</x:v>
      </x:c>
      <x:c xmlns:x="http://schemas.openxmlformats.org/spreadsheetml/2006/main" r="X535" t="str" s="11">
        <x:v>https://yageogroup.com/content/datasheet/asset/file/PYU-RC_GROUP_51_ROHS_L</x:v>
      </x:c>
      <x:c xmlns:x="http://schemas.openxmlformats.org/spreadsheetml/2006/main" r="Y535" t="str" s="11">
        <x:v>C:\Users\Nomatin\Documents\Altium\MY_LIB\MY_LIB\Datasheets\YAGEO_RC_L.pdf</x:v>
      </x:c>
      <ns0:c xmlns:ns0="http://schemas.openxmlformats.org/spreadsheetml/2006/main" r="Z535" s="16" t="inlineStr">
        <ns0:is>
          <ns0:t>MY_LIB_R_TCR</ns0:t>
        </ns0:is>
      </ns0:c>
      <ns0:c xmlns:ns0="http://schemas.openxmlformats.org/spreadsheetml/2006/main" r="AA535" s="16" t="inlineStr">
        <ns0:is>
          <ns0:t>R(T), +100 ppm/C at 25 C; positive datasheet limit</ns0:t>
        </ns0:is>
      </ns0:c>
      <ns0:c xmlns:ns0="http://schemas.openxmlformats.org/spreadsheetml/2006/main" r="AB535" s="16" t="str">
        <ns0:v>General</ns0:v>
      </ns0:c>
      <ns0:c xmlns:ns0="http://schemas.openxmlformats.org/spreadsheetml/2006/main" r="AC535" s="16" t="inlineStr">
        <ns0:is>
          <ns0:t>Spice Subcircuit</ns0:t>
        </ns0:is>
      </ns0:c>
      <ns0:c xmlns:ns0="http://schemas.openxmlformats.org/spreadsheetml/2006/main" r="AD535" s="16" t="inlineStr">
        <ns0:is>
          <ns0:t>@DESIGNATOR %1 %2 @MODEL PARAMS: Rvalue=@VALUE TC1value=100u</ns0:t>
        </ns0:is>
      </ns0:c>
      <ns0:c xmlns:ns0="http://schemas.openxmlformats.org/spreadsheetml/2006/main" r="AE535" s="16" t="inlineStr">
        <ns0:is>
          <ns0:t>X</ns0:t>
        </ns0:is>
      </ns0:c>
      <ns0:c xmlns:ns0="http://schemas.openxmlformats.org/spreadsheetml/2006/main" r="AF535" s="16" t="str">
        <ns0:v>(1:1),(2:2)</ns0:v>
      </ns0:c>
      <ns0:c xmlns:ns0="http://schemas.openxmlformats.org/spreadsheetml/2006/main" r="AG535" s="16" t="inlineStr">
        <ns0:is>
          <ns0:t>Simulation\Resistors\MY_LIB_R_TCR.ckt</ns0:t>
        </ns0:is>
      </ns0:c>
      <ns0:c xmlns:ns0="http://schemas.openxmlformats.org/spreadsheetml/2006/main" r="AH535" s="16" t="inlineStr">
        <ns0:is>
          <ns0:t>±100 ppm/°C</ns0:t>
        </ns0:is>
      </ns0:c>
    </ns0:row>
    <ns0:row xmlns:ns0="http://schemas.openxmlformats.org/spreadsheetml/2006/main" r="536" ht="30" customHeight="1">
      <ns0:c r="A536" t="str" s="10">
        <ns0:v>R0542</ns0:v>
      </ns0:c>
      <ns0:c r="B536" t="str" s="10">
        <ns0:v>Резистор</ns0:v>
      </ns0:c>
      <ns0:c r="C536" t="str" s="10">
        <ns0:v>11k</ns0:v>
      </ns0:c>
      <ns0:c r="D536" t="str" s="11">
        <ns0:f>SUBSTITUTE(SUBSTITUTE(SUBSTITUTE(SUBSTITUTE(C536,"meg"," МОм"),"k"," кОм"),"R"," Ом"),".",",")</ns0:f>
        <ns0:v>11 кОм</ns0:v>
      </ns0:c>
      <ns0:c r="E536" t="str" s="10">
        <ns0:v>±1%</ns0:v>
      </ns0:c>
      <ns0:c r="F536" t="str" s="10">
        <ns0:v>0,125 Вт</ns0:v>
      </ns0:c>
      <ns0:c r="G536" t="str" s="10">
        <ns0:v>150 В макс.</ns0:v>
      </ns0:c>
      <ns0:c r="H536" t="str" s="12">
        <ns0:v>0805</ns0:v>
      </ns0:c>
      <ns0:c r="I536" t="str" s="10">
        <ns0:v>YAGEO</ns0:v>
      </ns0:c>
      <ns0:c r="J536" t="str" s="10">
        <ns0:v>RC0805FR-0711KL</ns0:v>
      </ns0:c>
      <ns0:c r="K536" t="str" s="11">
        <ns0:f>B536&amp;" "&amp;D536&amp;" "&amp;E536&amp;" "&amp;H536</ns0:f>
        <ns0:v>Резистор 11 кОм ±1% 0805</ns0:v>
      </ns0:c>
      <ns0:c r="L536" t="str" s="13">
        <ns0:v>R</ns0:v>
      </ns0:c>
      <ns0:c r="M536" t="str" s="13">
        <ns0:v>Symbols\MY_LIB_Resistors.SchLib</ns0:v>
      </ns0:c>
      <ns0:c r="N536" t="str" s="13">
        <ns0:v>RESC2012X70N</ns0:v>
      </ns0:c>
      <ns0:c r="O536" t="str" s="13">
        <ns0:v>Footprints\PBL - SMD Packages.PcbLib</ns0:v>
      </ns0:c>
      <ns0:c xmlns:ns0="http://schemas.openxmlformats.org/spreadsheetml/2006/main" r="P53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6" s="10"/>
      <ns0:c r="R536" t="str" s="11">
        <ns0:f>D536</ns0:f>
        <ns0:v>11 кОм</ns0:v>
      </ns0:c>
      <ns0:c r="S536" t="str" s="11">
        <ns0:f>K536</ns0:f>
        <ns0:v>Резистор 11 кОм ±1% 0805</ns0:v>
      </ns0:c>
      <x:c xmlns:x="http://schemas.openxmlformats.org/spreadsheetml/2006/main" r="T536" t="str" s="11">
        <x:v>C:\Users\Nomatin\Documents\Altium\MY_LIB\MY_LIB\Datasheets\YAGEO_RC_L.pdf</x:v>
      </x:c>
      <x:c xmlns:x="http://schemas.openxmlformats.org/spreadsheetml/2006/main" r="U536" t="str" s="11">
        <x:v>Даташит — локальный</x:v>
      </x:c>
      <x:c xmlns:x="http://schemas.openxmlformats.org/spreadsheetml/2006/main" r="V536" t="str" s="11">
        <x:v>C:\Users\Nomatin\Documents\Altium\MY_LIB\MY_LIB\Datasheets\YAGEO_RC_L.pdf</x:v>
      </x:c>
      <x:c xmlns:x="http://schemas.openxmlformats.org/spreadsheetml/2006/main" r="W536" t="str" s="11">
        <x:v>Даташит — производитель</x:v>
      </x:c>
      <x:c xmlns:x="http://schemas.openxmlformats.org/spreadsheetml/2006/main" r="X536" t="str" s="11">
        <x:v>https://yageogroup.com/content/datasheet/asset/file/PYU-RC_GROUP_51_ROHS_L</x:v>
      </x:c>
      <x:c xmlns:x="http://schemas.openxmlformats.org/spreadsheetml/2006/main" r="Y536" t="str" s="11">
        <x:v>C:\Users\Nomatin\Documents\Altium\MY_LIB\MY_LIB\Datasheets\YAGEO_RC_L.pdf</x:v>
      </x:c>
      <ns0:c xmlns:ns0="http://schemas.openxmlformats.org/spreadsheetml/2006/main" r="Z536" s="16" t="inlineStr">
        <ns0:is>
          <ns0:t>MY_LIB_R_TCR</ns0:t>
        </ns0:is>
      </ns0:c>
      <ns0:c xmlns:ns0="http://schemas.openxmlformats.org/spreadsheetml/2006/main" r="AA536" s="16" t="inlineStr">
        <ns0:is>
          <ns0:t>R(T), +100 ppm/C at 25 C; positive datasheet limit</ns0:t>
        </ns0:is>
      </ns0:c>
      <ns0:c xmlns:ns0="http://schemas.openxmlformats.org/spreadsheetml/2006/main" r="AB536" s="16" t="str">
        <ns0:v>General</ns0:v>
      </ns0:c>
      <ns0:c xmlns:ns0="http://schemas.openxmlformats.org/spreadsheetml/2006/main" r="AC536" s="16" t="inlineStr">
        <ns0:is>
          <ns0:t>Spice Subcircuit</ns0:t>
        </ns0:is>
      </ns0:c>
      <ns0:c xmlns:ns0="http://schemas.openxmlformats.org/spreadsheetml/2006/main" r="AD536" s="16" t="inlineStr">
        <ns0:is>
          <ns0:t>@DESIGNATOR %1 %2 @MODEL PARAMS: Rvalue=@VALUE TC1value=100u</ns0:t>
        </ns0:is>
      </ns0:c>
      <ns0:c xmlns:ns0="http://schemas.openxmlformats.org/spreadsheetml/2006/main" r="AE536" s="16" t="inlineStr">
        <ns0:is>
          <ns0:t>X</ns0:t>
        </ns0:is>
      </ns0:c>
      <ns0:c xmlns:ns0="http://schemas.openxmlformats.org/spreadsheetml/2006/main" r="AF536" s="16" t="str">
        <ns0:v>(1:1),(2:2)</ns0:v>
      </ns0:c>
      <ns0:c xmlns:ns0="http://schemas.openxmlformats.org/spreadsheetml/2006/main" r="AG536" s="16" t="inlineStr">
        <ns0:is>
          <ns0:t>Simulation\Resistors\MY_LIB_R_TCR.ckt</ns0:t>
        </ns0:is>
      </ns0:c>
      <ns0:c xmlns:ns0="http://schemas.openxmlformats.org/spreadsheetml/2006/main" r="AH536" s="16" t="inlineStr">
        <ns0:is>
          <ns0:t>±100 ppm/°C</ns0:t>
        </ns0:is>
      </ns0:c>
    </ns0:row>
    <ns0:row xmlns:ns0="http://schemas.openxmlformats.org/spreadsheetml/2006/main" r="537" ht="30" customHeight="1">
      <ns0:c r="A537" t="str" s="10">
        <ns0:v>R0543</ns0:v>
      </ns0:c>
      <ns0:c r="B537" t="str" s="10">
        <ns0:v>Резистор</ns0:v>
      </ns0:c>
      <ns0:c r="C537" t="str" s="10">
        <ns0:v>12k</ns0:v>
      </ns0:c>
      <ns0:c r="D537" t="str" s="11">
        <ns0:f>SUBSTITUTE(SUBSTITUTE(SUBSTITUTE(SUBSTITUTE(C537,"meg"," МОм"),"k"," кОм"),"R"," Ом"),".",",")</ns0:f>
        <ns0:v>12 кОм</ns0:v>
      </ns0:c>
      <ns0:c r="E537" t="str" s="10">
        <ns0:v>±1%</ns0:v>
      </ns0:c>
      <ns0:c r="F537" t="str" s="10">
        <ns0:v>0,125 Вт</ns0:v>
      </ns0:c>
      <ns0:c r="G537" t="str" s="10">
        <ns0:v>150 В макс.</ns0:v>
      </ns0:c>
      <ns0:c r="H537" t="str" s="12">
        <ns0:v>0805</ns0:v>
      </ns0:c>
      <ns0:c r="I537" t="str" s="10">
        <ns0:v>YAGEO</ns0:v>
      </ns0:c>
      <ns0:c r="J537" t="str" s="10">
        <ns0:v>RC0805FR-0712KL</ns0:v>
      </ns0:c>
      <ns0:c r="K537" t="str" s="11">
        <ns0:f>B537&amp;" "&amp;D537&amp;" "&amp;E537&amp;" "&amp;H537</ns0:f>
        <ns0:v>Резистор 12 кОм ±1% 0805</ns0:v>
      </ns0:c>
      <ns0:c r="L537" t="str" s="13">
        <ns0:v>R</ns0:v>
      </ns0:c>
      <ns0:c r="M537" t="str" s="13">
        <ns0:v>Symbols\MY_LIB_Resistors.SchLib</ns0:v>
      </ns0:c>
      <ns0:c r="N537" t="str" s="13">
        <ns0:v>RESC2012X70N</ns0:v>
      </ns0:c>
      <ns0:c r="O537" t="str" s="13">
        <ns0:v>Footprints\PBL - SMD Packages.PcbLib</ns0:v>
      </ns0:c>
      <ns0:c xmlns:ns0="http://schemas.openxmlformats.org/spreadsheetml/2006/main" r="P53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7" s="10"/>
      <ns0:c r="R537" t="str" s="11">
        <ns0:f>D537</ns0:f>
        <ns0:v>12 кОм</ns0:v>
      </ns0:c>
      <ns0:c r="S537" t="str" s="11">
        <ns0:f>K537</ns0:f>
        <ns0:v>Резистор 12 кОм ±1% 0805</ns0:v>
      </ns0:c>
      <x:c xmlns:x="http://schemas.openxmlformats.org/spreadsheetml/2006/main" r="T537" t="str" s="11">
        <x:v>C:\Users\Nomatin\Documents\Altium\MY_LIB\MY_LIB\Datasheets\YAGEO_RC_L.pdf</x:v>
      </x:c>
      <x:c xmlns:x="http://schemas.openxmlformats.org/spreadsheetml/2006/main" r="U537" t="str" s="11">
        <x:v>Даташит — локальный</x:v>
      </x:c>
      <x:c xmlns:x="http://schemas.openxmlformats.org/spreadsheetml/2006/main" r="V537" t="str" s="11">
        <x:v>C:\Users\Nomatin\Documents\Altium\MY_LIB\MY_LIB\Datasheets\YAGEO_RC_L.pdf</x:v>
      </x:c>
      <x:c xmlns:x="http://schemas.openxmlformats.org/spreadsheetml/2006/main" r="W537" t="str" s="11">
        <x:v>Даташит — производитель</x:v>
      </x:c>
      <x:c xmlns:x="http://schemas.openxmlformats.org/spreadsheetml/2006/main" r="X537" t="str" s="11">
        <x:v>https://yageogroup.com/content/datasheet/asset/file/PYU-RC_GROUP_51_ROHS_L</x:v>
      </x:c>
      <x:c xmlns:x="http://schemas.openxmlformats.org/spreadsheetml/2006/main" r="Y537" t="str" s="11">
        <x:v>C:\Users\Nomatin\Documents\Altium\MY_LIB\MY_LIB\Datasheets\YAGEO_RC_L.pdf</x:v>
      </x:c>
      <ns0:c xmlns:ns0="http://schemas.openxmlformats.org/spreadsheetml/2006/main" r="Z537" s="16" t="inlineStr">
        <ns0:is>
          <ns0:t>MY_LIB_R_TCR</ns0:t>
        </ns0:is>
      </ns0:c>
      <ns0:c xmlns:ns0="http://schemas.openxmlformats.org/spreadsheetml/2006/main" r="AA537" s="16" t="inlineStr">
        <ns0:is>
          <ns0:t>R(T), +100 ppm/C at 25 C; positive datasheet limit</ns0:t>
        </ns0:is>
      </ns0:c>
      <ns0:c xmlns:ns0="http://schemas.openxmlformats.org/spreadsheetml/2006/main" r="AB537" s="16" t="str">
        <ns0:v>General</ns0:v>
      </ns0:c>
      <ns0:c xmlns:ns0="http://schemas.openxmlformats.org/spreadsheetml/2006/main" r="AC537" s="16" t="inlineStr">
        <ns0:is>
          <ns0:t>Spice Subcircuit</ns0:t>
        </ns0:is>
      </ns0:c>
      <ns0:c xmlns:ns0="http://schemas.openxmlformats.org/spreadsheetml/2006/main" r="AD537" s="16" t="inlineStr">
        <ns0:is>
          <ns0:t>@DESIGNATOR %1 %2 @MODEL PARAMS: Rvalue=@VALUE TC1value=100u</ns0:t>
        </ns0:is>
      </ns0:c>
      <ns0:c xmlns:ns0="http://schemas.openxmlformats.org/spreadsheetml/2006/main" r="AE537" s="16" t="inlineStr">
        <ns0:is>
          <ns0:t>X</ns0:t>
        </ns0:is>
      </ns0:c>
      <ns0:c xmlns:ns0="http://schemas.openxmlformats.org/spreadsheetml/2006/main" r="AF537" s="16" t="str">
        <ns0:v>(1:1),(2:2)</ns0:v>
      </ns0:c>
      <ns0:c xmlns:ns0="http://schemas.openxmlformats.org/spreadsheetml/2006/main" r="AG537" s="16" t="inlineStr">
        <ns0:is>
          <ns0:t>Simulation\Resistors\MY_LIB_R_TCR.ckt</ns0:t>
        </ns0:is>
      </ns0:c>
      <ns0:c xmlns:ns0="http://schemas.openxmlformats.org/spreadsheetml/2006/main" r="AH537" s="16" t="inlineStr">
        <ns0:is>
          <ns0:t>±100 ppm/°C</ns0:t>
        </ns0:is>
      </ns0:c>
    </ns0:row>
    <ns0:row xmlns:ns0="http://schemas.openxmlformats.org/spreadsheetml/2006/main" r="538" ht="30" customHeight="1">
      <ns0:c r="A538" t="str" s="10">
        <ns0:v>R0544</ns0:v>
      </ns0:c>
      <ns0:c r="B538" t="str" s="10">
        <ns0:v>Резистор</ns0:v>
      </ns0:c>
      <ns0:c r="C538" t="str" s="10">
        <ns0:v>13k</ns0:v>
      </ns0:c>
      <ns0:c r="D538" t="str" s="11">
        <ns0:f>SUBSTITUTE(SUBSTITUTE(SUBSTITUTE(SUBSTITUTE(C538,"meg"," МОм"),"k"," кОм"),"R"," Ом"),".",",")</ns0:f>
        <ns0:v>13 кОм</ns0:v>
      </ns0:c>
      <ns0:c r="E538" t="str" s="10">
        <ns0:v>±1%</ns0:v>
      </ns0:c>
      <ns0:c r="F538" t="str" s="10">
        <ns0:v>0,125 Вт</ns0:v>
      </ns0:c>
      <ns0:c r="G538" t="str" s="10">
        <ns0:v>150 В макс.</ns0:v>
      </ns0:c>
      <ns0:c r="H538" t="str" s="12">
        <ns0:v>0805</ns0:v>
      </ns0:c>
      <ns0:c r="I538" t="str" s="10">
        <ns0:v>YAGEO</ns0:v>
      </ns0:c>
      <ns0:c r="J538" t="str" s="10">
        <ns0:v>RC0805FR-0713KL</ns0:v>
      </ns0:c>
      <ns0:c r="K538" t="str" s="11">
        <ns0:f>B538&amp;" "&amp;D538&amp;" "&amp;E538&amp;" "&amp;H538</ns0:f>
        <ns0:v>Резистор 13 кОм ±1% 0805</ns0:v>
      </ns0:c>
      <ns0:c r="L538" t="str" s="13">
        <ns0:v>R</ns0:v>
      </ns0:c>
      <ns0:c r="M538" t="str" s="13">
        <ns0:v>Symbols\MY_LIB_Resistors.SchLib</ns0:v>
      </ns0:c>
      <ns0:c r="N538" t="str" s="13">
        <ns0:v>RESC2012X70N</ns0:v>
      </ns0:c>
      <ns0:c r="O538" t="str" s="13">
        <ns0:v>Footprints\PBL - SMD Packages.PcbLib</ns0:v>
      </ns0:c>
      <ns0:c xmlns:ns0="http://schemas.openxmlformats.org/spreadsheetml/2006/main" r="P53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8" s="10"/>
      <ns0:c r="R538" t="str" s="11">
        <ns0:f>D538</ns0:f>
        <ns0:v>13 кОм</ns0:v>
      </ns0:c>
      <ns0:c r="S538" t="str" s="11">
        <ns0:f>K538</ns0:f>
        <ns0:v>Резистор 13 кОм ±1% 0805</ns0:v>
      </ns0:c>
      <x:c xmlns:x="http://schemas.openxmlformats.org/spreadsheetml/2006/main" r="T538" t="str" s="11">
        <x:v>C:\Users\Nomatin\Documents\Altium\MY_LIB\MY_LIB\Datasheets\YAGEO_RC_L.pdf</x:v>
      </x:c>
      <x:c xmlns:x="http://schemas.openxmlformats.org/spreadsheetml/2006/main" r="U538" t="str" s="11">
        <x:v>Даташит — локальный</x:v>
      </x:c>
      <x:c xmlns:x="http://schemas.openxmlformats.org/spreadsheetml/2006/main" r="V538" t="str" s="11">
        <x:v>C:\Users\Nomatin\Documents\Altium\MY_LIB\MY_LIB\Datasheets\YAGEO_RC_L.pdf</x:v>
      </x:c>
      <x:c xmlns:x="http://schemas.openxmlformats.org/spreadsheetml/2006/main" r="W538" t="str" s="11">
        <x:v>Даташит — производитель</x:v>
      </x:c>
      <x:c xmlns:x="http://schemas.openxmlformats.org/spreadsheetml/2006/main" r="X538" t="str" s="11">
        <x:v>https://yageogroup.com/content/datasheet/asset/file/PYU-RC_GROUP_51_ROHS_L</x:v>
      </x:c>
      <x:c xmlns:x="http://schemas.openxmlformats.org/spreadsheetml/2006/main" r="Y538" t="str" s="11">
        <x:v>C:\Users\Nomatin\Documents\Altium\MY_LIB\MY_LIB\Datasheets\YAGEO_RC_L.pdf</x:v>
      </x:c>
      <ns0:c xmlns:ns0="http://schemas.openxmlformats.org/spreadsheetml/2006/main" r="Z538" s="16" t="inlineStr">
        <ns0:is>
          <ns0:t>MY_LIB_R_TCR</ns0:t>
        </ns0:is>
      </ns0:c>
      <ns0:c xmlns:ns0="http://schemas.openxmlformats.org/spreadsheetml/2006/main" r="AA538" s="16" t="inlineStr">
        <ns0:is>
          <ns0:t>R(T), +100 ppm/C at 25 C; positive datasheet limit</ns0:t>
        </ns0:is>
      </ns0:c>
      <ns0:c xmlns:ns0="http://schemas.openxmlformats.org/spreadsheetml/2006/main" r="AB538" s="16" t="str">
        <ns0:v>General</ns0:v>
      </ns0:c>
      <ns0:c xmlns:ns0="http://schemas.openxmlformats.org/spreadsheetml/2006/main" r="AC538" s="16" t="inlineStr">
        <ns0:is>
          <ns0:t>Spice Subcircuit</ns0:t>
        </ns0:is>
      </ns0:c>
      <ns0:c xmlns:ns0="http://schemas.openxmlformats.org/spreadsheetml/2006/main" r="AD538" s="16" t="inlineStr">
        <ns0:is>
          <ns0:t>@DESIGNATOR %1 %2 @MODEL PARAMS: Rvalue=@VALUE TC1value=100u</ns0:t>
        </ns0:is>
      </ns0:c>
      <ns0:c xmlns:ns0="http://schemas.openxmlformats.org/spreadsheetml/2006/main" r="AE538" s="16" t="inlineStr">
        <ns0:is>
          <ns0:t>X</ns0:t>
        </ns0:is>
      </ns0:c>
      <ns0:c xmlns:ns0="http://schemas.openxmlformats.org/spreadsheetml/2006/main" r="AF538" s="16" t="str">
        <ns0:v>(1:1),(2:2)</ns0:v>
      </ns0:c>
      <ns0:c xmlns:ns0="http://schemas.openxmlformats.org/spreadsheetml/2006/main" r="AG538" s="16" t="inlineStr">
        <ns0:is>
          <ns0:t>Simulation\Resistors\MY_LIB_R_TCR.ckt</ns0:t>
        </ns0:is>
      </ns0:c>
      <ns0:c xmlns:ns0="http://schemas.openxmlformats.org/spreadsheetml/2006/main" r="AH538" s="16" t="inlineStr">
        <ns0:is>
          <ns0:t>±100 ppm/°C</ns0:t>
        </ns0:is>
      </ns0:c>
    </ns0:row>
    <ns0:row xmlns:ns0="http://schemas.openxmlformats.org/spreadsheetml/2006/main" r="539" ht="30" customHeight="1">
      <ns0:c r="A539" t="str" s="10">
        <ns0:v>R0545</ns0:v>
      </ns0:c>
      <ns0:c r="B539" t="str" s="10">
        <ns0:v>Резистор</ns0:v>
      </ns0:c>
      <ns0:c r="C539" t="str" s="10">
        <ns0:v>15k</ns0:v>
      </ns0:c>
      <ns0:c r="D539" t="str" s="11">
        <ns0:f>SUBSTITUTE(SUBSTITUTE(SUBSTITUTE(SUBSTITUTE(C539,"meg"," МОм"),"k"," кОм"),"R"," Ом"),".",",")</ns0:f>
        <ns0:v>15 кОм</ns0:v>
      </ns0:c>
      <ns0:c r="E539" t="str" s="10">
        <ns0:v>±1%</ns0:v>
      </ns0:c>
      <ns0:c r="F539" t="str" s="10">
        <ns0:v>0,125 Вт</ns0:v>
      </ns0:c>
      <ns0:c r="G539" t="str" s="10">
        <ns0:v>150 В макс.</ns0:v>
      </ns0:c>
      <ns0:c r="H539" t="str" s="12">
        <ns0:v>0805</ns0:v>
      </ns0:c>
      <ns0:c r="I539" t="str" s="10">
        <ns0:v>YAGEO</ns0:v>
      </ns0:c>
      <ns0:c r="J539" t="str" s="10">
        <ns0:v>RC0805FR-0715KL</ns0:v>
      </ns0:c>
      <ns0:c r="K539" t="str" s="11">
        <ns0:f>B539&amp;" "&amp;D539&amp;" "&amp;E539&amp;" "&amp;H539</ns0:f>
        <ns0:v>Резистор 15 кОм ±1% 0805</ns0:v>
      </ns0:c>
      <ns0:c r="L539" t="str" s="13">
        <ns0:v>R</ns0:v>
      </ns0:c>
      <ns0:c r="M539" t="str" s="13">
        <ns0:v>Symbols\MY_LIB_Resistors.SchLib</ns0:v>
      </ns0:c>
      <ns0:c r="N539" t="str" s="13">
        <ns0:v>RESC2012X70N</ns0:v>
      </ns0:c>
      <ns0:c r="O539" t="str" s="13">
        <ns0:v>Footprints\PBL - SMD Packages.PcbLib</ns0:v>
      </ns0:c>
      <ns0:c xmlns:ns0="http://schemas.openxmlformats.org/spreadsheetml/2006/main" r="P53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39" s="10"/>
      <ns0:c r="R539" t="str" s="11">
        <ns0:f>D539</ns0:f>
        <ns0:v>15 кОм</ns0:v>
      </ns0:c>
      <ns0:c r="S539" t="str" s="11">
        <ns0:f>K539</ns0:f>
        <ns0:v>Резистор 15 кОм ±1% 0805</ns0:v>
      </ns0:c>
      <x:c xmlns:x="http://schemas.openxmlformats.org/spreadsheetml/2006/main" r="T539" t="str" s="11">
        <x:v>C:\Users\Nomatin\Documents\Altium\MY_LIB\MY_LIB\Datasheets\YAGEO_RC_L.pdf</x:v>
      </x:c>
      <x:c xmlns:x="http://schemas.openxmlformats.org/spreadsheetml/2006/main" r="U539" t="str" s="11">
        <x:v>Даташит — локальный</x:v>
      </x:c>
      <x:c xmlns:x="http://schemas.openxmlformats.org/spreadsheetml/2006/main" r="V539" t="str" s="11">
        <x:v>C:\Users\Nomatin\Documents\Altium\MY_LIB\MY_LIB\Datasheets\YAGEO_RC_L.pdf</x:v>
      </x:c>
      <x:c xmlns:x="http://schemas.openxmlformats.org/spreadsheetml/2006/main" r="W539" t="str" s="11">
        <x:v>Даташит — производитель</x:v>
      </x:c>
      <x:c xmlns:x="http://schemas.openxmlformats.org/spreadsheetml/2006/main" r="X539" t="str" s="11">
        <x:v>https://yageogroup.com/content/datasheet/asset/file/PYU-RC_GROUP_51_ROHS_L</x:v>
      </x:c>
      <x:c xmlns:x="http://schemas.openxmlformats.org/spreadsheetml/2006/main" r="Y539" t="str" s="11">
        <x:v>C:\Users\Nomatin\Documents\Altium\MY_LIB\MY_LIB\Datasheets\YAGEO_RC_L.pdf</x:v>
      </x:c>
      <ns0:c xmlns:ns0="http://schemas.openxmlformats.org/spreadsheetml/2006/main" r="Z539" s="16" t="inlineStr">
        <ns0:is>
          <ns0:t>MY_LIB_R_TCR</ns0:t>
        </ns0:is>
      </ns0:c>
      <ns0:c xmlns:ns0="http://schemas.openxmlformats.org/spreadsheetml/2006/main" r="AA539" s="16" t="inlineStr">
        <ns0:is>
          <ns0:t>R(T), +100 ppm/C at 25 C; positive datasheet limit</ns0:t>
        </ns0:is>
      </ns0:c>
      <ns0:c xmlns:ns0="http://schemas.openxmlformats.org/spreadsheetml/2006/main" r="AB539" s="16" t="str">
        <ns0:v>General</ns0:v>
      </ns0:c>
      <ns0:c xmlns:ns0="http://schemas.openxmlformats.org/spreadsheetml/2006/main" r="AC539" s="16" t="inlineStr">
        <ns0:is>
          <ns0:t>Spice Subcircuit</ns0:t>
        </ns0:is>
      </ns0:c>
      <ns0:c xmlns:ns0="http://schemas.openxmlformats.org/spreadsheetml/2006/main" r="AD539" s="16" t="inlineStr">
        <ns0:is>
          <ns0:t>@DESIGNATOR %1 %2 @MODEL PARAMS: Rvalue=@VALUE TC1value=100u</ns0:t>
        </ns0:is>
      </ns0:c>
      <ns0:c xmlns:ns0="http://schemas.openxmlformats.org/spreadsheetml/2006/main" r="AE539" s="16" t="inlineStr">
        <ns0:is>
          <ns0:t>X</ns0:t>
        </ns0:is>
      </ns0:c>
      <ns0:c xmlns:ns0="http://schemas.openxmlformats.org/spreadsheetml/2006/main" r="AF539" s="16" t="str">
        <ns0:v>(1:1),(2:2)</ns0:v>
      </ns0:c>
      <ns0:c xmlns:ns0="http://schemas.openxmlformats.org/spreadsheetml/2006/main" r="AG539" s="16" t="inlineStr">
        <ns0:is>
          <ns0:t>Simulation\Resistors\MY_LIB_R_TCR.ckt</ns0:t>
        </ns0:is>
      </ns0:c>
      <ns0:c xmlns:ns0="http://schemas.openxmlformats.org/spreadsheetml/2006/main" r="AH539" s="16" t="inlineStr">
        <ns0:is>
          <ns0:t>±100 ppm/°C</ns0:t>
        </ns0:is>
      </ns0:c>
    </ns0:row>
    <ns0:row xmlns:ns0="http://schemas.openxmlformats.org/spreadsheetml/2006/main" r="540" ht="30" customHeight="1">
      <ns0:c r="A540" t="str" s="10">
        <ns0:v>R0546</ns0:v>
      </ns0:c>
      <ns0:c r="B540" t="str" s="10">
        <ns0:v>Резистор</ns0:v>
      </ns0:c>
      <ns0:c r="C540" t="str" s="10">
        <ns0:v>16k</ns0:v>
      </ns0:c>
      <ns0:c r="D540" t="str" s="11">
        <ns0:f>SUBSTITUTE(SUBSTITUTE(SUBSTITUTE(SUBSTITUTE(C540,"meg"," МОм"),"k"," кОм"),"R"," Ом"),".",",")</ns0:f>
        <ns0:v>16 кОм</ns0:v>
      </ns0:c>
      <ns0:c r="E540" t="str" s="10">
        <ns0:v>±1%</ns0:v>
      </ns0:c>
      <ns0:c r="F540" t="str" s="10">
        <ns0:v>0,125 Вт</ns0:v>
      </ns0:c>
      <ns0:c r="G540" t="str" s="10">
        <ns0:v>150 В макс.</ns0:v>
      </ns0:c>
      <ns0:c r="H540" t="str" s="12">
        <ns0:v>0805</ns0:v>
      </ns0:c>
      <ns0:c r="I540" t="str" s="10">
        <ns0:v>YAGEO</ns0:v>
      </ns0:c>
      <ns0:c r="J540" t="str" s="10">
        <ns0:v>RC0805FR-0716KL</ns0:v>
      </ns0:c>
      <ns0:c r="K540" t="str" s="11">
        <ns0:f>B540&amp;" "&amp;D540&amp;" "&amp;E540&amp;" "&amp;H540</ns0:f>
        <ns0:v>Резистор 16 кОм ±1% 0805</ns0:v>
      </ns0:c>
      <ns0:c r="L540" t="str" s="13">
        <ns0:v>R</ns0:v>
      </ns0:c>
      <ns0:c r="M540" t="str" s="13">
        <ns0:v>Symbols\MY_LIB_Resistors.SchLib</ns0:v>
      </ns0:c>
      <ns0:c r="N540" t="str" s="13">
        <ns0:v>RESC2012X70N</ns0:v>
      </ns0:c>
      <ns0:c r="O540" t="str" s="13">
        <ns0:v>Footprints\PBL - SMD Packages.PcbLib</ns0:v>
      </ns0:c>
      <ns0:c xmlns:ns0="http://schemas.openxmlformats.org/spreadsheetml/2006/main" r="P54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0" s="10"/>
      <ns0:c r="R540" t="str" s="11">
        <ns0:f>D540</ns0:f>
        <ns0:v>16 кОм</ns0:v>
      </ns0:c>
      <ns0:c r="S540" t="str" s="11">
        <ns0:f>K540</ns0:f>
        <ns0:v>Резистор 16 кОм ±1% 0805</ns0:v>
      </ns0:c>
      <x:c xmlns:x="http://schemas.openxmlformats.org/spreadsheetml/2006/main" r="T540" t="str" s="11">
        <x:v>C:\Users\Nomatin\Documents\Altium\MY_LIB\MY_LIB\Datasheets\YAGEO_RC_L.pdf</x:v>
      </x:c>
      <x:c xmlns:x="http://schemas.openxmlformats.org/spreadsheetml/2006/main" r="U540" t="str" s="11">
        <x:v>Даташит — локальный</x:v>
      </x:c>
      <x:c xmlns:x="http://schemas.openxmlformats.org/spreadsheetml/2006/main" r="V540" t="str" s="11">
        <x:v>C:\Users\Nomatin\Documents\Altium\MY_LIB\MY_LIB\Datasheets\YAGEO_RC_L.pdf</x:v>
      </x:c>
      <x:c xmlns:x="http://schemas.openxmlformats.org/spreadsheetml/2006/main" r="W540" t="str" s="11">
        <x:v>Даташит — производитель</x:v>
      </x:c>
      <x:c xmlns:x="http://schemas.openxmlformats.org/spreadsheetml/2006/main" r="X540" t="str" s="11">
        <x:v>https://yageogroup.com/content/datasheet/asset/file/PYU-RC_GROUP_51_ROHS_L</x:v>
      </x:c>
      <x:c xmlns:x="http://schemas.openxmlformats.org/spreadsheetml/2006/main" r="Y540" t="str" s="11">
        <x:v>C:\Users\Nomatin\Documents\Altium\MY_LIB\MY_LIB\Datasheets\YAGEO_RC_L.pdf</x:v>
      </x:c>
      <ns0:c xmlns:ns0="http://schemas.openxmlformats.org/spreadsheetml/2006/main" r="Z540" s="16" t="inlineStr">
        <ns0:is>
          <ns0:t>MY_LIB_R_TCR</ns0:t>
        </ns0:is>
      </ns0:c>
      <ns0:c xmlns:ns0="http://schemas.openxmlformats.org/spreadsheetml/2006/main" r="AA540" s="16" t="inlineStr">
        <ns0:is>
          <ns0:t>R(T), +100 ppm/C at 25 C; positive datasheet limit</ns0:t>
        </ns0:is>
      </ns0:c>
      <ns0:c xmlns:ns0="http://schemas.openxmlformats.org/spreadsheetml/2006/main" r="AB540" s="16" t="str">
        <ns0:v>General</ns0:v>
      </ns0:c>
      <ns0:c xmlns:ns0="http://schemas.openxmlformats.org/spreadsheetml/2006/main" r="AC540" s="16" t="inlineStr">
        <ns0:is>
          <ns0:t>Spice Subcircuit</ns0:t>
        </ns0:is>
      </ns0:c>
      <ns0:c xmlns:ns0="http://schemas.openxmlformats.org/spreadsheetml/2006/main" r="AD540" s="16" t="inlineStr">
        <ns0:is>
          <ns0:t>@DESIGNATOR %1 %2 @MODEL PARAMS: Rvalue=@VALUE TC1value=100u</ns0:t>
        </ns0:is>
      </ns0:c>
      <ns0:c xmlns:ns0="http://schemas.openxmlformats.org/spreadsheetml/2006/main" r="AE540" s="16" t="inlineStr">
        <ns0:is>
          <ns0:t>X</ns0:t>
        </ns0:is>
      </ns0:c>
      <ns0:c xmlns:ns0="http://schemas.openxmlformats.org/spreadsheetml/2006/main" r="AF540" s="16" t="str">
        <ns0:v>(1:1),(2:2)</ns0:v>
      </ns0:c>
      <ns0:c xmlns:ns0="http://schemas.openxmlformats.org/spreadsheetml/2006/main" r="AG540" s="16" t="inlineStr">
        <ns0:is>
          <ns0:t>Simulation\Resistors\MY_LIB_R_TCR.ckt</ns0:t>
        </ns0:is>
      </ns0:c>
      <ns0:c xmlns:ns0="http://schemas.openxmlformats.org/spreadsheetml/2006/main" r="AH540" s="16" t="inlineStr">
        <ns0:is>
          <ns0:t>±100 ppm/°C</ns0:t>
        </ns0:is>
      </ns0:c>
    </ns0:row>
    <ns0:row xmlns:ns0="http://schemas.openxmlformats.org/spreadsheetml/2006/main" r="541" ht="30" customHeight="1">
      <ns0:c r="A541" t="str" s="10">
        <ns0:v>R0547</ns0:v>
      </ns0:c>
      <ns0:c r="B541" t="str" s="10">
        <ns0:v>Резистор</ns0:v>
      </ns0:c>
      <ns0:c r="C541" t="str" s="10">
        <ns0:v>18k</ns0:v>
      </ns0:c>
      <ns0:c r="D541" t="str" s="11">
        <ns0:f>SUBSTITUTE(SUBSTITUTE(SUBSTITUTE(SUBSTITUTE(C541,"meg"," МОм"),"k"," кОм"),"R"," Ом"),".",",")</ns0:f>
        <ns0:v>18 кОм</ns0:v>
      </ns0:c>
      <ns0:c r="E541" t="str" s="10">
        <ns0:v>±1%</ns0:v>
      </ns0:c>
      <ns0:c r="F541" t="str" s="10">
        <ns0:v>0,125 Вт</ns0:v>
      </ns0:c>
      <ns0:c r="G541" t="str" s="10">
        <ns0:v>150 В макс.</ns0:v>
      </ns0:c>
      <ns0:c r="H541" t="str" s="12">
        <ns0:v>0805</ns0:v>
      </ns0:c>
      <ns0:c r="I541" t="str" s="10">
        <ns0:v>YAGEO</ns0:v>
      </ns0:c>
      <ns0:c r="J541" t="str" s="10">
        <ns0:v>RC0805FR-0718KL</ns0:v>
      </ns0:c>
      <ns0:c r="K541" t="str" s="11">
        <ns0:f>B541&amp;" "&amp;D541&amp;" "&amp;E541&amp;" "&amp;H541</ns0:f>
        <ns0:v>Резистор 18 кОм ±1% 0805</ns0:v>
      </ns0:c>
      <ns0:c r="L541" t="str" s="13">
        <ns0:v>R</ns0:v>
      </ns0:c>
      <ns0:c r="M541" t="str" s="13">
        <ns0:v>Symbols\MY_LIB_Resistors.SchLib</ns0:v>
      </ns0:c>
      <ns0:c r="N541" t="str" s="13">
        <ns0:v>RESC2012X70N</ns0:v>
      </ns0:c>
      <ns0:c r="O541" t="str" s="13">
        <ns0:v>Footprints\PBL - SMD Packages.PcbLib</ns0:v>
      </ns0:c>
      <ns0:c xmlns:ns0="http://schemas.openxmlformats.org/spreadsheetml/2006/main" r="P54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1" s="10"/>
      <ns0:c r="R541" t="str" s="11">
        <ns0:f>D541</ns0:f>
        <ns0:v>18 кОм</ns0:v>
      </ns0:c>
      <ns0:c r="S541" t="str" s="11">
        <ns0:f>K541</ns0:f>
        <ns0:v>Резистор 18 кОм ±1% 0805</ns0:v>
      </ns0:c>
      <x:c xmlns:x="http://schemas.openxmlformats.org/spreadsheetml/2006/main" r="T541" t="str" s="11">
        <x:v>C:\Users\Nomatin\Documents\Altium\MY_LIB\MY_LIB\Datasheets\YAGEO_RC_L.pdf</x:v>
      </x:c>
      <x:c xmlns:x="http://schemas.openxmlformats.org/spreadsheetml/2006/main" r="U541" t="str" s="11">
        <x:v>Даташит — локальный</x:v>
      </x:c>
      <x:c xmlns:x="http://schemas.openxmlformats.org/spreadsheetml/2006/main" r="V541" t="str" s="11">
        <x:v>C:\Users\Nomatin\Documents\Altium\MY_LIB\MY_LIB\Datasheets\YAGEO_RC_L.pdf</x:v>
      </x:c>
      <x:c xmlns:x="http://schemas.openxmlformats.org/spreadsheetml/2006/main" r="W541" t="str" s="11">
        <x:v>Даташит — производитель</x:v>
      </x:c>
      <x:c xmlns:x="http://schemas.openxmlformats.org/spreadsheetml/2006/main" r="X541" t="str" s="11">
        <x:v>https://yageogroup.com/content/datasheet/asset/file/PYU-RC_GROUP_51_ROHS_L</x:v>
      </x:c>
      <x:c xmlns:x="http://schemas.openxmlformats.org/spreadsheetml/2006/main" r="Y541" t="str" s="11">
        <x:v>C:\Users\Nomatin\Documents\Altium\MY_LIB\MY_LIB\Datasheets\YAGEO_RC_L.pdf</x:v>
      </x:c>
      <ns0:c xmlns:ns0="http://schemas.openxmlformats.org/spreadsheetml/2006/main" r="Z541" s="16" t="inlineStr">
        <ns0:is>
          <ns0:t>MY_LIB_R_TCR</ns0:t>
        </ns0:is>
      </ns0:c>
      <ns0:c xmlns:ns0="http://schemas.openxmlformats.org/spreadsheetml/2006/main" r="AA541" s="16" t="inlineStr">
        <ns0:is>
          <ns0:t>R(T), +100 ppm/C at 25 C; positive datasheet limit</ns0:t>
        </ns0:is>
      </ns0:c>
      <ns0:c xmlns:ns0="http://schemas.openxmlformats.org/spreadsheetml/2006/main" r="AB541" s="16" t="str">
        <ns0:v>General</ns0:v>
      </ns0:c>
      <ns0:c xmlns:ns0="http://schemas.openxmlformats.org/spreadsheetml/2006/main" r="AC541" s="16" t="inlineStr">
        <ns0:is>
          <ns0:t>Spice Subcircuit</ns0:t>
        </ns0:is>
      </ns0:c>
      <ns0:c xmlns:ns0="http://schemas.openxmlformats.org/spreadsheetml/2006/main" r="AD541" s="16" t="inlineStr">
        <ns0:is>
          <ns0:t>@DESIGNATOR %1 %2 @MODEL PARAMS: Rvalue=@VALUE TC1value=100u</ns0:t>
        </ns0:is>
      </ns0:c>
      <ns0:c xmlns:ns0="http://schemas.openxmlformats.org/spreadsheetml/2006/main" r="AE541" s="16" t="inlineStr">
        <ns0:is>
          <ns0:t>X</ns0:t>
        </ns0:is>
      </ns0:c>
      <ns0:c xmlns:ns0="http://schemas.openxmlformats.org/spreadsheetml/2006/main" r="AF541" s="16" t="str">
        <ns0:v>(1:1),(2:2)</ns0:v>
      </ns0:c>
      <ns0:c xmlns:ns0="http://schemas.openxmlformats.org/spreadsheetml/2006/main" r="AG541" s="16" t="inlineStr">
        <ns0:is>
          <ns0:t>Simulation\Resistors\MY_LIB_R_TCR.ckt</ns0:t>
        </ns0:is>
      </ns0:c>
      <ns0:c xmlns:ns0="http://schemas.openxmlformats.org/spreadsheetml/2006/main" r="AH541" s="16" t="inlineStr">
        <ns0:is>
          <ns0:t>±100 ppm/°C</ns0:t>
        </ns0:is>
      </ns0:c>
    </ns0:row>
    <ns0:row xmlns:ns0="http://schemas.openxmlformats.org/spreadsheetml/2006/main" r="542" ht="30" customHeight="1">
      <ns0:c r="A542" t="str" s="10">
        <ns0:v>R0548</ns0:v>
      </ns0:c>
      <ns0:c r="B542" t="str" s="10">
        <ns0:v>Резистор</ns0:v>
      </ns0:c>
      <ns0:c r="C542" t="str" s="10">
        <ns0:v>20k</ns0:v>
      </ns0:c>
      <ns0:c r="D542" t="str" s="11">
        <ns0:f>SUBSTITUTE(SUBSTITUTE(SUBSTITUTE(SUBSTITUTE(C542,"meg"," МОм"),"k"," кОм"),"R"," Ом"),".",",")</ns0:f>
        <ns0:v>20 кОм</ns0:v>
      </ns0:c>
      <ns0:c r="E542" t="str" s="10">
        <ns0:v>±1%</ns0:v>
      </ns0:c>
      <ns0:c r="F542" t="str" s="10">
        <ns0:v>0,125 Вт</ns0:v>
      </ns0:c>
      <ns0:c r="G542" t="str" s="10">
        <ns0:v>150 В макс.</ns0:v>
      </ns0:c>
      <ns0:c r="H542" t="str" s="12">
        <ns0:v>0805</ns0:v>
      </ns0:c>
      <ns0:c r="I542" t="str" s="10">
        <ns0:v>YAGEO</ns0:v>
      </ns0:c>
      <ns0:c r="J542" t="str" s="10">
        <ns0:v>RC0805FR-0720KL</ns0:v>
      </ns0:c>
      <ns0:c r="K542" t="str" s="11">
        <ns0:f>B542&amp;" "&amp;D542&amp;" "&amp;E542&amp;" "&amp;H542</ns0:f>
        <ns0:v>Резистор 20 кОм ±1% 0805</ns0:v>
      </ns0:c>
      <ns0:c r="L542" t="str" s="13">
        <ns0:v>R</ns0:v>
      </ns0:c>
      <ns0:c r="M542" t="str" s="13">
        <ns0:v>Symbols\MY_LIB_Resistors.SchLib</ns0:v>
      </ns0:c>
      <ns0:c r="N542" t="str" s="13">
        <ns0:v>RESC2012X70N</ns0:v>
      </ns0:c>
      <ns0:c r="O542" t="str" s="13">
        <ns0:v>Footprints\PBL - SMD Packages.PcbLib</ns0:v>
      </ns0:c>
      <ns0:c xmlns:ns0="http://schemas.openxmlformats.org/spreadsheetml/2006/main" r="P54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2" s="10"/>
      <ns0:c r="R542" t="str" s="11">
        <ns0:f>D542</ns0:f>
        <ns0:v>20 кОм</ns0:v>
      </ns0:c>
      <ns0:c r="S542" t="str" s="11">
        <ns0:f>K542</ns0:f>
        <ns0:v>Резистор 20 кОм ±1% 0805</ns0:v>
      </ns0:c>
      <x:c xmlns:x="http://schemas.openxmlformats.org/spreadsheetml/2006/main" r="T542" t="str" s="11">
        <x:v>C:\Users\Nomatin\Documents\Altium\MY_LIB\MY_LIB\Datasheets\YAGEO_RC_L.pdf</x:v>
      </x:c>
      <x:c xmlns:x="http://schemas.openxmlformats.org/spreadsheetml/2006/main" r="U542" t="str" s="11">
        <x:v>Даташит — локальный</x:v>
      </x:c>
      <x:c xmlns:x="http://schemas.openxmlformats.org/spreadsheetml/2006/main" r="V542" t="str" s="11">
        <x:v>C:\Users\Nomatin\Documents\Altium\MY_LIB\MY_LIB\Datasheets\YAGEO_RC_L.pdf</x:v>
      </x:c>
      <x:c xmlns:x="http://schemas.openxmlformats.org/spreadsheetml/2006/main" r="W542" t="str" s="11">
        <x:v>Даташит — производитель</x:v>
      </x:c>
      <x:c xmlns:x="http://schemas.openxmlformats.org/spreadsheetml/2006/main" r="X542" t="str" s="11">
        <x:v>https://yageogroup.com/content/datasheet/asset/file/PYU-RC_GROUP_51_ROHS_L</x:v>
      </x:c>
      <x:c xmlns:x="http://schemas.openxmlformats.org/spreadsheetml/2006/main" r="Y542" t="str" s="11">
        <x:v>C:\Users\Nomatin\Documents\Altium\MY_LIB\MY_LIB\Datasheets\YAGEO_RC_L.pdf</x:v>
      </x:c>
      <ns0:c xmlns:ns0="http://schemas.openxmlformats.org/spreadsheetml/2006/main" r="Z542" s="16" t="inlineStr">
        <ns0:is>
          <ns0:t>MY_LIB_R_TCR</ns0:t>
        </ns0:is>
      </ns0:c>
      <ns0:c xmlns:ns0="http://schemas.openxmlformats.org/spreadsheetml/2006/main" r="AA542" s="16" t="inlineStr">
        <ns0:is>
          <ns0:t>R(T), +100 ppm/C at 25 C; positive datasheet limit</ns0:t>
        </ns0:is>
      </ns0:c>
      <ns0:c xmlns:ns0="http://schemas.openxmlformats.org/spreadsheetml/2006/main" r="AB542" s="16" t="str">
        <ns0:v>General</ns0:v>
      </ns0:c>
      <ns0:c xmlns:ns0="http://schemas.openxmlformats.org/spreadsheetml/2006/main" r="AC542" s="16" t="inlineStr">
        <ns0:is>
          <ns0:t>Spice Subcircuit</ns0:t>
        </ns0:is>
      </ns0:c>
      <ns0:c xmlns:ns0="http://schemas.openxmlformats.org/spreadsheetml/2006/main" r="AD542" s="16" t="inlineStr">
        <ns0:is>
          <ns0:t>@DESIGNATOR %1 %2 @MODEL PARAMS: Rvalue=@VALUE TC1value=100u</ns0:t>
        </ns0:is>
      </ns0:c>
      <ns0:c xmlns:ns0="http://schemas.openxmlformats.org/spreadsheetml/2006/main" r="AE542" s="16" t="inlineStr">
        <ns0:is>
          <ns0:t>X</ns0:t>
        </ns0:is>
      </ns0:c>
      <ns0:c xmlns:ns0="http://schemas.openxmlformats.org/spreadsheetml/2006/main" r="AF542" s="16" t="str">
        <ns0:v>(1:1),(2:2)</ns0:v>
      </ns0:c>
      <ns0:c xmlns:ns0="http://schemas.openxmlformats.org/spreadsheetml/2006/main" r="AG542" s="16" t="inlineStr">
        <ns0:is>
          <ns0:t>Simulation\Resistors\MY_LIB_R_TCR.ckt</ns0:t>
        </ns0:is>
      </ns0:c>
      <ns0:c xmlns:ns0="http://schemas.openxmlformats.org/spreadsheetml/2006/main" r="AH542" s="16" t="inlineStr">
        <ns0:is>
          <ns0:t>±100 ppm/°C</ns0:t>
        </ns0:is>
      </ns0:c>
    </ns0:row>
    <ns0:row xmlns:ns0="http://schemas.openxmlformats.org/spreadsheetml/2006/main" r="543" ht="30" customHeight="1">
      <ns0:c r="A543" t="str" s="10">
        <ns0:v>R0549</ns0:v>
      </ns0:c>
      <ns0:c r="B543" t="str" s="10">
        <ns0:v>Резистор</ns0:v>
      </ns0:c>
      <ns0:c r="C543" t="str" s="10">
        <ns0:v>22k</ns0:v>
      </ns0:c>
      <ns0:c r="D543" t="str" s="11">
        <ns0:f>SUBSTITUTE(SUBSTITUTE(SUBSTITUTE(SUBSTITUTE(C543,"meg"," МОм"),"k"," кОм"),"R"," Ом"),".",",")</ns0:f>
        <ns0:v>22 кОм</ns0:v>
      </ns0:c>
      <ns0:c r="E543" t="str" s="10">
        <ns0:v>±1%</ns0:v>
      </ns0:c>
      <ns0:c r="F543" t="str" s="10">
        <ns0:v>0,125 Вт</ns0:v>
      </ns0:c>
      <ns0:c r="G543" t="str" s="10">
        <ns0:v>150 В макс.</ns0:v>
      </ns0:c>
      <ns0:c r="H543" t="str" s="12">
        <ns0:v>0805</ns0:v>
      </ns0:c>
      <ns0:c r="I543" t="str" s="10">
        <ns0:v>YAGEO</ns0:v>
      </ns0:c>
      <ns0:c r="J543" t="str" s="10">
        <ns0:v>RC0805FR-0722KL</ns0:v>
      </ns0:c>
      <ns0:c r="K543" t="str" s="11">
        <ns0:f>B543&amp;" "&amp;D543&amp;" "&amp;E543&amp;" "&amp;H543</ns0:f>
        <ns0:v>Резистор 22 кОм ±1% 0805</ns0:v>
      </ns0:c>
      <ns0:c r="L543" t="str" s="13">
        <ns0:v>R</ns0:v>
      </ns0:c>
      <ns0:c r="M543" t="str" s="13">
        <ns0:v>Symbols\MY_LIB_Resistors.SchLib</ns0:v>
      </ns0:c>
      <ns0:c r="N543" t="str" s="13">
        <ns0:v>RESC2012X70N</ns0:v>
      </ns0:c>
      <ns0:c r="O543" t="str" s="13">
        <ns0:v>Footprints\PBL - SMD Packages.PcbLib</ns0:v>
      </ns0:c>
      <ns0:c xmlns:ns0="http://schemas.openxmlformats.org/spreadsheetml/2006/main" r="P54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3" s="10"/>
      <ns0:c r="R543" t="str" s="11">
        <ns0:f>D543</ns0:f>
        <ns0:v>22 кОм</ns0:v>
      </ns0:c>
      <ns0:c r="S543" t="str" s="11">
        <ns0:f>K543</ns0:f>
        <ns0:v>Резистор 22 кОм ±1% 0805</ns0:v>
      </ns0:c>
      <x:c xmlns:x="http://schemas.openxmlformats.org/spreadsheetml/2006/main" r="T543" t="str" s="11">
        <x:v>C:\Users\Nomatin\Documents\Altium\MY_LIB\MY_LIB\Datasheets\YAGEO_RC_L.pdf</x:v>
      </x:c>
      <x:c xmlns:x="http://schemas.openxmlformats.org/spreadsheetml/2006/main" r="U543" t="str" s="11">
        <x:v>Даташит — локальный</x:v>
      </x:c>
      <x:c xmlns:x="http://schemas.openxmlformats.org/spreadsheetml/2006/main" r="V543" t="str" s="11">
        <x:v>C:\Users\Nomatin\Documents\Altium\MY_LIB\MY_LIB\Datasheets\YAGEO_RC_L.pdf</x:v>
      </x:c>
      <x:c xmlns:x="http://schemas.openxmlformats.org/spreadsheetml/2006/main" r="W543" t="str" s="11">
        <x:v>Даташит — производитель</x:v>
      </x:c>
      <x:c xmlns:x="http://schemas.openxmlformats.org/spreadsheetml/2006/main" r="X543" t="str" s="11">
        <x:v>https://yageogroup.com/content/datasheet/asset/file/PYU-RC_GROUP_51_ROHS_L</x:v>
      </x:c>
      <x:c xmlns:x="http://schemas.openxmlformats.org/spreadsheetml/2006/main" r="Y543" t="str" s="11">
        <x:v>C:\Users\Nomatin\Documents\Altium\MY_LIB\MY_LIB\Datasheets\YAGEO_RC_L.pdf</x:v>
      </x:c>
      <ns0:c xmlns:ns0="http://schemas.openxmlformats.org/spreadsheetml/2006/main" r="Z543" s="16" t="inlineStr">
        <ns0:is>
          <ns0:t>MY_LIB_R_TCR</ns0:t>
        </ns0:is>
      </ns0:c>
      <ns0:c xmlns:ns0="http://schemas.openxmlformats.org/spreadsheetml/2006/main" r="AA543" s="16" t="inlineStr">
        <ns0:is>
          <ns0:t>R(T), +100 ppm/C at 25 C; positive datasheet limit</ns0:t>
        </ns0:is>
      </ns0:c>
      <ns0:c xmlns:ns0="http://schemas.openxmlformats.org/spreadsheetml/2006/main" r="AB543" s="16" t="str">
        <ns0:v>General</ns0:v>
      </ns0:c>
      <ns0:c xmlns:ns0="http://schemas.openxmlformats.org/spreadsheetml/2006/main" r="AC543" s="16" t="inlineStr">
        <ns0:is>
          <ns0:t>Spice Subcircuit</ns0:t>
        </ns0:is>
      </ns0:c>
      <ns0:c xmlns:ns0="http://schemas.openxmlformats.org/spreadsheetml/2006/main" r="AD543" s="16" t="inlineStr">
        <ns0:is>
          <ns0:t>@DESIGNATOR %1 %2 @MODEL PARAMS: Rvalue=@VALUE TC1value=100u</ns0:t>
        </ns0:is>
      </ns0:c>
      <ns0:c xmlns:ns0="http://schemas.openxmlformats.org/spreadsheetml/2006/main" r="AE543" s="16" t="inlineStr">
        <ns0:is>
          <ns0:t>X</ns0:t>
        </ns0:is>
      </ns0:c>
      <ns0:c xmlns:ns0="http://schemas.openxmlformats.org/spreadsheetml/2006/main" r="AF543" s="16" t="str">
        <ns0:v>(1:1),(2:2)</ns0:v>
      </ns0:c>
      <ns0:c xmlns:ns0="http://schemas.openxmlformats.org/spreadsheetml/2006/main" r="AG543" s="16" t="inlineStr">
        <ns0:is>
          <ns0:t>Simulation\Resistors\MY_LIB_R_TCR.ckt</ns0:t>
        </ns0:is>
      </ns0:c>
      <ns0:c xmlns:ns0="http://schemas.openxmlformats.org/spreadsheetml/2006/main" r="AH543" s="16" t="inlineStr">
        <ns0:is>
          <ns0:t>±100 ppm/°C</ns0:t>
        </ns0:is>
      </ns0:c>
    </ns0:row>
    <ns0:row xmlns:ns0="http://schemas.openxmlformats.org/spreadsheetml/2006/main" r="544" ht="30" customHeight="1">
      <ns0:c r="A544" t="str" s="10">
        <ns0:v>R0550</ns0:v>
      </ns0:c>
      <ns0:c r="B544" t="str" s="10">
        <ns0:v>Резистор</ns0:v>
      </ns0:c>
      <ns0:c r="C544" t="str" s="10">
        <ns0:v>24k</ns0:v>
      </ns0:c>
      <ns0:c r="D544" t="str" s="11">
        <ns0:f>SUBSTITUTE(SUBSTITUTE(SUBSTITUTE(SUBSTITUTE(C544,"meg"," МОм"),"k"," кОм"),"R"," Ом"),".",",")</ns0:f>
        <ns0:v>24 кОм</ns0:v>
      </ns0:c>
      <ns0:c r="E544" t="str" s="10">
        <ns0:v>±1%</ns0:v>
      </ns0:c>
      <ns0:c r="F544" t="str" s="10">
        <ns0:v>0,125 Вт</ns0:v>
      </ns0:c>
      <ns0:c r="G544" t="str" s="10">
        <ns0:v>150 В макс.</ns0:v>
      </ns0:c>
      <ns0:c r="H544" t="str" s="12">
        <ns0:v>0805</ns0:v>
      </ns0:c>
      <ns0:c r="I544" t="str" s="10">
        <ns0:v>YAGEO</ns0:v>
      </ns0:c>
      <ns0:c r="J544" t="str" s="10">
        <ns0:v>RC0805FR-0724KL</ns0:v>
      </ns0:c>
      <ns0:c r="K544" t="str" s="11">
        <ns0:f>B544&amp;" "&amp;D544&amp;" "&amp;E544&amp;" "&amp;H544</ns0:f>
        <ns0:v>Резистор 24 кОм ±1% 0805</ns0:v>
      </ns0:c>
      <ns0:c r="L544" t="str" s="13">
        <ns0:v>R</ns0:v>
      </ns0:c>
      <ns0:c r="M544" t="str" s="13">
        <ns0:v>Symbols\MY_LIB_Resistors.SchLib</ns0:v>
      </ns0:c>
      <ns0:c r="N544" t="str" s="13">
        <ns0:v>RESC2012X70N</ns0:v>
      </ns0:c>
      <ns0:c r="O544" t="str" s="13">
        <ns0:v>Footprints\PBL - SMD Packages.PcbLib</ns0:v>
      </ns0:c>
      <ns0:c xmlns:ns0="http://schemas.openxmlformats.org/spreadsheetml/2006/main" r="P54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4" s="10"/>
      <ns0:c r="R544" t="str" s="11">
        <ns0:f>D544</ns0:f>
        <ns0:v>24 кОм</ns0:v>
      </ns0:c>
      <ns0:c r="S544" t="str" s="11">
        <ns0:f>K544</ns0:f>
        <ns0:v>Резистор 24 кОм ±1% 0805</ns0:v>
      </ns0:c>
      <x:c xmlns:x="http://schemas.openxmlformats.org/spreadsheetml/2006/main" r="T544" t="str" s="11">
        <x:v>C:\Users\Nomatin\Documents\Altium\MY_LIB\MY_LIB\Datasheets\YAGEO_RC_L.pdf</x:v>
      </x:c>
      <x:c xmlns:x="http://schemas.openxmlformats.org/spreadsheetml/2006/main" r="U544" t="str" s="11">
        <x:v>Даташит — локальный</x:v>
      </x:c>
      <x:c xmlns:x="http://schemas.openxmlformats.org/spreadsheetml/2006/main" r="V544" t="str" s="11">
        <x:v>C:\Users\Nomatin\Documents\Altium\MY_LIB\MY_LIB\Datasheets\YAGEO_RC_L.pdf</x:v>
      </x:c>
      <x:c xmlns:x="http://schemas.openxmlformats.org/spreadsheetml/2006/main" r="W544" t="str" s="11">
        <x:v>Даташит — производитель</x:v>
      </x:c>
      <x:c xmlns:x="http://schemas.openxmlformats.org/spreadsheetml/2006/main" r="X544" t="str" s="11">
        <x:v>https://yageogroup.com/content/datasheet/asset/file/PYU-RC_GROUP_51_ROHS_L</x:v>
      </x:c>
      <x:c xmlns:x="http://schemas.openxmlformats.org/spreadsheetml/2006/main" r="Y544" t="str" s="11">
        <x:v>C:\Users\Nomatin\Documents\Altium\MY_LIB\MY_LIB\Datasheets\YAGEO_RC_L.pdf</x:v>
      </x:c>
      <ns0:c xmlns:ns0="http://schemas.openxmlformats.org/spreadsheetml/2006/main" r="Z544" s="16" t="inlineStr">
        <ns0:is>
          <ns0:t>MY_LIB_R_TCR</ns0:t>
        </ns0:is>
      </ns0:c>
      <ns0:c xmlns:ns0="http://schemas.openxmlformats.org/spreadsheetml/2006/main" r="AA544" s="16" t="inlineStr">
        <ns0:is>
          <ns0:t>R(T), +100 ppm/C at 25 C; positive datasheet limit</ns0:t>
        </ns0:is>
      </ns0:c>
      <ns0:c xmlns:ns0="http://schemas.openxmlformats.org/spreadsheetml/2006/main" r="AB544" s="16" t="str">
        <ns0:v>General</ns0:v>
      </ns0:c>
      <ns0:c xmlns:ns0="http://schemas.openxmlformats.org/spreadsheetml/2006/main" r="AC544" s="16" t="inlineStr">
        <ns0:is>
          <ns0:t>Spice Subcircuit</ns0:t>
        </ns0:is>
      </ns0:c>
      <ns0:c xmlns:ns0="http://schemas.openxmlformats.org/spreadsheetml/2006/main" r="AD544" s="16" t="inlineStr">
        <ns0:is>
          <ns0:t>@DESIGNATOR %1 %2 @MODEL PARAMS: Rvalue=@VALUE TC1value=100u</ns0:t>
        </ns0:is>
      </ns0:c>
      <ns0:c xmlns:ns0="http://schemas.openxmlformats.org/spreadsheetml/2006/main" r="AE544" s="16" t="inlineStr">
        <ns0:is>
          <ns0:t>X</ns0:t>
        </ns0:is>
      </ns0:c>
      <ns0:c xmlns:ns0="http://schemas.openxmlformats.org/spreadsheetml/2006/main" r="AF544" s="16" t="str">
        <ns0:v>(1:1),(2:2)</ns0:v>
      </ns0:c>
      <ns0:c xmlns:ns0="http://schemas.openxmlformats.org/spreadsheetml/2006/main" r="AG544" s="16" t="inlineStr">
        <ns0:is>
          <ns0:t>Simulation\Resistors\MY_LIB_R_TCR.ckt</ns0:t>
        </ns0:is>
      </ns0:c>
      <ns0:c xmlns:ns0="http://schemas.openxmlformats.org/spreadsheetml/2006/main" r="AH544" s="16" t="inlineStr">
        <ns0:is>
          <ns0:t>±100 ppm/°C</ns0:t>
        </ns0:is>
      </ns0:c>
    </ns0:row>
    <ns0:row xmlns:ns0="http://schemas.openxmlformats.org/spreadsheetml/2006/main" r="545" ht="30" customHeight="1">
      <ns0:c r="A545" t="str" s="10">
        <ns0:v>R0551</ns0:v>
      </ns0:c>
      <ns0:c r="B545" t="str" s="10">
        <ns0:v>Резистор</ns0:v>
      </ns0:c>
      <ns0:c r="C545" t="str" s="10">
        <ns0:v>27k</ns0:v>
      </ns0:c>
      <ns0:c r="D545" t="str" s="11">
        <ns0:f>SUBSTITUTE(SUBSTITUTE(SUBSTITUTE(SUBSTITUTE(C545,"meg"," МОм"),"k"," кОм"),"R"," Ом"),".",",")</ns0:f>
        <ns0:v>27 кОм</ns0:v>
      </ns0:c>
      <ns0:c r="E545" t="str" s="10">
        <ns0:v>±1%</ns0:v>
      </ns0:c>
      <ns0:c r="F545" t="str" s="10">
        <ns0:v>0,125 Вт</ns0:v>
      </ns0:c>
      <ns0:c r="G545" t="str" s="10">
        <ns0:v>150 В макс.</ns0:v>
      </ns0:c>
      <ns0:c r="H545" t="str" s="12">
        <ns0:v>0805</ns0:v>
      </ns0:c>
      <ns0:c r="I545" t="str" s="10">
        <ns0:v>YAGEO</ns0:v>
      </ns0:c>
      <ns0:c r="J545" t="str" s="10">
        <ns0:v>RC0805FR-0727KL</ns0:v>
      </ns0:c>
      <ns0:c r="K545" t="str" s="11">
        <ns0:f>B545&amp;" "&amp;D545&amp;" "&amp;E545&amp;" "&amp;H545</ns0:f>
        <ns0:v>Резистор 27 кОм ±1% 0805</ns0:v>
      </ns0:c>
      <ns0:c r="L545" t="str" s="13">
        <ns0:v>R</ns0:v>
      </ns0:c>
      <ns0:c r="M545" t="str" s="13">
        <ns0:v>Symbols\MY_LIB_Resistors.SchLib</ns0:v>
      </ns0:c>
      <ns0:c r="N545" t="str" s="13">
        <ns0:v>RESC2012X70N</ns0:v>
      </ns0:c>
      <ns0:c r="O545" t="str" s="13">
        <ns0:v>Footprints\PBL - SMD Packages.PcbLib</ns0:v>
      </ns0:c>
      <ns0:c xmlns:ns0="http://schemas.openxmlformats.org/spreadsheetml/2006/main" r="P54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5" s="10"/>
      <ns0:c r="R545" t="str" s="11">
        <ns0:f>D545</ns0:f>
        <ns0:v>27 кОм</ns0:v>
      </ns0:c>
      <ns0:c r="S545" t="str" s="11">
        <ns0:f>K545</ns0:f>
        <ns0:v>Резистор 27 кОм ±1% 0805</ns0:v>
      </ns0:c>
      <x:c xmlns:x="http://schemas.openxmlformats.org/spreadsheetml/2006/main" r="T545" t="str" s="11">
        <x:v>C:\Users\Nomatin\Documents\Altium\MY_LIB\MY_LIB\Datasheets\YAGEO_RC_L.pdf</x:v>
      </x:c>
      <x:c xmlns:x="http://schemas.openxmlformats.org/spreadsheetml/2006/main" r="U545" t="str" s="11">
        <x:v>Даташит — локальный</x:v>
      </x:c>
      <x:c xmlns:x="http://schemas.openxmlformats.org/spreadsheetml/2006/main" r="V545" t="str" s="11">
        <x:v>C:\Users\Nomatin\Documents\Altium\MY_LIB\MY_LIB\Datasheets\YAGEO_RC_L.pdf</x:v>
      </x:c>
      <x:c xmlns:x="http://schemas.openxmlformats.org/spreadsheetml/2006/main" r="W545" t="str" s="11">
        <x:v>Даташит — производитель</x:v>
      </x:c>
      <x:c xmlns:x="http://schemas.openxmlformats.org/spreadsheetml/2006/main" r="X545" t="str" s="11">
        <x:v>https://yageogroup.com/content/datasheet/asset/file/PYU-RC_GROUP_51_ROHS_L</x:v>
      </x:c>
      <x:c xmlns:x="http://schemas.openxmlformats.org/spreadsheetml/2006/main" r="Y545" t="str" s="11">
        <x:v>C:\Users\Nomatin\Documents\Altium\MY_LIB\MY_LIB\Datasheets\YAGEO_RC_L.pdf</x:v>
      </x:c>
      <ns0:c xmlns:ns0="http://schemas.openxmlformats.org/spreadsheetml/2006/main" r="Z545" s="16" t="inlineStr">
        <ns0:is>
          <ns0:t>MY_LIB_R_TCR</ns0:t>
        </ns0:is>
      </ns0:c>
      <ns0:c xmlns:ns0="http://schemas.openxmlformats.org/spreadsheetml/2006/main" r="AA545" s="16" t="inlineStr">
        <ns0:is>
          <ns0:t>R(T), +100 ppm/C at 25 C; positive datasheet limit</ns0:t>
        </ns0:is>
      </ns0:c>
      <ns0:c xmlns:ns0="http://schemas.openxmlformats.org/spreadsheetml/2006/main" r="AB545" s="16" t="str">
        <ns0:v>General</ns0:v>
      </ns0:c>
      <ns0:c xmlns:ns0="http://schemas.openxmlformats.org/spreadsheetml/2006/main" r="AC545" s="16" t="inlineStr">
        <ns0:is>
          <ns0:t>Spice Subcircuit</ns0:t>
        </ns0:is>
      </ns0:c>
      <ns0:c xmlns:ns0="http://schemas.openxmlformats.org/spreadsheetml/2006/main" r="AD545" s="16" t="inlineStr">
        <ns0:is>
          <ns0:t>@DESIGNATOR %1 %2 @MODEL PARAMS: Rvalue=@VALUE TC1value=100u</ns0:t>
        </ns0:is>
      </ns0:c>
      <ns0:c xmlns:ns0="http://schemas.openxmlformats.org/spreadsheetml/2006/main" r="AE545" s="16" t="inlineStr">
        <ns0:is>
          <ns0:t>X</ns0:t>
        </ns0:is>
      </ns0:c>
      <ns0:c xmlns:ns0="http://schemas.openxmlformats.org/spreadsheetml/2006/main" r="AF545" s="16" t="str">
        <ns0:v>(1:1),(2:2)</ns0:v>
      </ns0:c>
      <ns0:c xmlns:ns0="http://schemas.openxmlformats.org/spreadsheetml/2006/main" r="AG545" s="16" t="inlineStr">
        <ns0:is>
          <ns0:t>Simulation\Resistors\MY_LIB_R_TCR.ckt</ns0:t>
        </ns0:is>
      </ns0:c>
      <ns0:c xmlns:ns0="http://schemas.openxmlformats.org/spreadsheetml/2006/main" r="AH545" s="16" t="inlineStr">
        <ns0:is>
          <ns0:t>±100 ppm/°C</ns0:t>
        </ns0:is>
      </ns0:c>
    </ns0:row>
    <ns0:row xmlns:ns0="http://schemas.openxmlformats.org/spreadsheetml/2006/main" r="546" ht="30" customHeight="1">
      <ns0:c r="A546" t="str" s="10">
        <ns0:v>R0552</ns0:v>
      </ns0:c>
      <ns0:c r="B546" t="str" s="10">
        <ns0:v>Резистор</ns0:v>
      </ns0:c>
      <ns0:c r="C546" t="str" s="10">
        <ns0:v>30k</ns0:v>
      </ns0:c>
      <ns0:c r="D546" t="str" s="11">
        <ns0:f>SUBSTITUTE(SUBSTITUTE(SUBSTITUTE(SUBSTITUTE(C546,"meg"," МОм"),"k"," кОм"),"R"," Ом"),".",",")</ns0:f>
        <ns0:v>30 кОм</ns0:v>
      </ns0:c>
      <ns0:c r="E546" t="str" s="10">
        <ns0:v>±1%</ns0:v>
      </ns0:c>
      <ns0:c r="F546" t="str" s="10">
        <ns0:v>0,125 Вт</ns0:v>
      </ns0:c>
      <ns0:c r="G546" t="str" s="10">
        <ns0:v>150 В макс.</ns0:v>
      </ns0:c>
      <ns0:c r="H546" t="str" s="12">
        <ns0:v>0805</ns0:v>
      </ns0:c>
      <ns0:c r="I546" t="str" s="10">
        <ns0:v>YAGEO</ns0:v>
      </ns0:c>
      <ns0:c r="J546" t="str" s="10">
        <ns0:v>RC0805FR-0730KL</ns0:v>
      </ns0:c>
      <ns0:c r="K546" t="str" s="11">
        <ns0:f>B546&amp;" "&amp;D546&amp;" "&amp;E546&amp;" "&amp;H546</ns0:f>
        <ns0:v>Резистор 30 кОм ±1% 0805</ns0:v>
      </ns0:c>
      <ns0:c r="L546" t="str" s="13">
        <ns0:v>R</ns0:v>
      </ns0:c>
      <ns0:c r="M546" t="str" s="13">
        <ns0:v>Symbols\MY_LIB_Resistors.SchLib</ns0:v>
      </ns0:c>
      <ns0:c r="N546" t="str" s="13">
        <ns0:v>RESC2012X70N</ns0:v>
      </ns0:c>
      <ns0:c r="O546" t="str" s="13">
        <ns0:v>Footprints\PBL - SMD Packages.PcbLib</ns0:v>
      </ns0:c>
      <ns0:c xmlns:ns0="http://schemas.openxmlformats.org/spreadsheetml/2006/main" r="P54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6" s="10"/>
      <ns0:c r="R546" t="str" s="11">
        <ns0:f>D546</ns0:f>
        <ns0:v>30 кОм</ns0:v>
      </ns0:c>
      <ns0:c r="S546" t="str" s="11">
        <ns0:f>K546</ns0:f>
        <ns0:v>Резистор 30 кОм ±1% 0805</ns0:v>
      </ns0:c>
      <x:c xmlns:x="http://schemas.openxmlformats.org/spreadsheetml/2006/main" r="T546" t="str" s="11">
        <x:v>C:\Users\Nomatin\Documents\Altium\MY_LIB\MY_LIB\Datasheets\YAGEO_RC_L.pdf</x:v>
      </x:c>
      <x:c xmlns:x="http://schemas.openxmlformats.org/spreadsheetml/2006/main" r="U546" t="str" s="11">
        <x:v>Даташит — локальный</x:v>
      </x:c>
      <x:c xmlns:x="http://schemas.openxmlformats.org/spreadsheetml/2006/main" r="V546" t="str" s="11">
        <x:v>C:\Users\Nomatin\Documents\Altium\MY_LIB\MY_LIB\Datasheets\YAGEO_RC_L.pdf</x:v>
      </x:c>
      <x:c xmlns:x="http://schemas.openxmlformats.org/spreadsheetml/2006/main" r="W546" t="str" s="11">
        <x:v>Даташит — производитель</x:v>
      </x:c>
      <x:c xmlns:x="http://schemas.openxmlformats.org/spreadsheetml/2006/main" r="X546" t="str" s="11">
        <x:v>https://yageogroup.com/content/datasheet/asset/file/PYU-RC_GROUP_51_ROHS_L</x:v>
      </x:c>
      <x:c xmlns:x="http://schemas.openxmlformats.org/spreadsheetml/2006/main" r="Y546" t="str" s="11">
        <x:v>C:\Users\Nomatin\Documents\Altium\MY_LIB\MY_LIB\Datasheets\YAGEO_RC_L.pdf</x:v>
      </x:c>
      <ns0:c xmlns:ns0="http://schemas.openxmlformats.org/spreadsheetml/2006/main" r="Z546" s="16" t="inlineStr">
        <ns0:is>
          <ns0:t>MY_LIB_R_TCR</ns0:t>
        </ns0:is>
      </ns0:c>
      <ns0:c xmlns:ns0="http://schemas.openxmlformats.org/spreadsheetml/2006/main" r="AA546" s="16" t="inlineStr">
        <ns0:is>
          <ns0:t>R(T), +100 ppm/C at 25 C; positive datasheet limit</ns0:t>
        </ns0:is>
      </ns0:c>
      <ns0:c xmlns:ns0="http://schemas.openxmlformats.org/spreadsheetml/2006/main" r="AB546" s="16" t="str">
        <ns0:v>General</ns0:v>
      </ns0:c>
      <ns0:c xmlns:ns0="http://schemas.openxmlformats.org/spreadsheetml/2006/main" r="AC546" s="16" t="inlineStr">
        <ns0:is>
          <ns0:t>Spice Subcircuit</ns0:t>
        </ns0:is>
      </ns0:c>
      <ns0:c xmlns:ns0="http://schemas.openxmlformats.org/spreadsheetml/2006/main" r="AD546" s="16" t="inlineStr">
        <ns0:is>
          <ns0:t>@DESIGNATOR %1 %2 @MODEL PARAMS: Rvalue=@VALUE TC1value=100u</ns0:t>
        </ns0:is>
      </ns0:c>
      <ns0:c xmlns:ns0="http://schemas.openxmlformats.org/spreadsheetml/2006/main" r="AE546" s="16" t="inlineStr">
        <ns0:is>
          <ns0:t>X</ns0:t>
        </ns0:is>
      </ns0:c>
      <ns0:c xmlns:ns0="http://schemas.openxmlformats.org/spreadsheetml/2006/main" r="AF546" s="16" t="str">
        <ns0:v>(1:1),(2:2)</ns0:v>
      </ns0:c>
      <ns0:c xmlns:ns0="http://schemas.openxmlformats.org/spreadsheetml/2006/main" r="AG546" s="16" t="inlineStr">
        <ns0:is>
          <ns0:t>Simulation\Resistors\MY_LIB_R_TCR.ckt</ns0:t>
        </ns0:is>
      </ns0:c>
      <ns0:c xmlns:ns0="http://schemas.openxmlformats.org/spreadsheetml/2006/main" r="AH546" s="16" t="inlineStr">
        <ns0:is>
          <ns0:t>±100 ppm/°C</ns0:t>
        </ns0:is>
      </ns0:c>
    </ns0:row>
    <ns0:row xmlns:ns0="http://schemas.openxmlformats.org/spreadsheetml/2006/main" r="547" ht="30" customHeight="1">
      <ns0:c r="A547" t="str" s="10">
        <ns0:v>R0553</ns0:v>
      </ns0:c>
      <ns0:c r="B547" t="str" s="10">
        <ns0:v>Резистор</ns0:v>
      </ns0:c>
      <ns0:c r="C547" t="str" s="10">
        <ns0:v>33k</ns0:v>
      </ns0:c>
      <ns0:c r="D547" t="str" s="11">
        <ns0:f>SUBSTITUTE(SUBSTITUTE(SUBSTITUTE(SUBSTITUTE(C547,"meg"," МОм"),"k"," кОм"),"R"," Ом"),".",",")</ns0:f>
        <ns0:v>33 кОм</ns0:v>
      </ns0:c>
      <ns0:c r="E547" t="str" s="10">
        <ns0:v>±1%</ns0:v>
      </ns0:c>
      <ns0:c r="F547" t="str" s="10">
        <ns0:v>0,125 Вт</ns0:v>
      </ns0:c>
      <ns0:c r="G547" t="str" s="10">
        <ns0:v>150 В макс.</ns0:v>
      </ns0:c>
      <ns0:c r="H547" t="str" s="12">
        <ns0:v>0805</ns0:v>
      </ns0:c>
      <ns0:c r="I547" t="str" s="10">
        <ns0:v>YAGEO</ns0:v>
      </ns0:c>
      <ns0:c r="J547" t="str" s="10">
        <ns0:v>RC0805FR-0733KL</ns0:v>
      </ns0:c>
      <ns0:c r="K547" t="str" s="11">
        <ns0:f>B547&amp;" "&amp;D547&amp;" "&amp;E547&amp;" "&amp;H547</ns0:f>
        <ns0:v>Резистор 33 кОм ±1% 0805</ns0:v>
      </ns0:c>
      <ns0:c r="L547" t="str" s="13">
        <ns0:v>R</ns0:v>
      </ns0:c>
      <ns0:c r="M547" t="str" s="13">
        <ns0:v>Symbols\MY_LIB_Resistors.SchLib</ns0:v>
      </ns0:c>
      <ns0:c r="N547" t="str" s="13">
        <ns0:v>RESC2012X70N</ns0:v>
      </ns0:c>
      <ns0:c r="O547" t="str" s="13">
        <ns0:v>Footprints\PBL - SMD Packages.PcbLib</ns0:v>
      </ns0:c>
      <ns0:c xmlns:ns0="http://schemas.openxmlformats.org/spreadsheetml/2006/main" r="P54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7" s="10"/>
      <ns0:c r="R547" t="str" s="11">
        <ns0:f>D547</ns0:f>
        <ns0:v>33 кОм</ns0:v>
      </ns0:c>
      <ns0:c r="S547" t="str" s="11">
        <ns0:f>K547</ns0:f>
        <ns0:v>Резистор 33 кОм ±1% 0805</ns0:v>
      </ns0:c>
      <x:c xmlns:x="http://schemas.openxmlformats.org/spreadsheetml/2006/main" r="T547" t="str" s="11">
        <x:v>C:\Users\Nomatin\Documents\Altium\MY_LIB\MY_LIB\Datasheets\YAGEO_RC_L.pdf</x:v>
      </x:c>
      <x:c xmlns:x="http://schemas.openxmlformats.org/spreadsheetml/2006/main" r="U547" t="str" s="11">
        <x:v>Даташит — локальный</x:v>
      </x:c>
      <x:c xmlns:x="http://schemas.openxmlformats.org/spreadsheetml/2006/main" r="V547" t="str" s="11">
        <x:v>C:\Users\Nomatin\Documents\Altium\MY_LIB\MY_LIB\Datasheets\YAGEO_RC_L.pdf</x:v>
      </x:c>
      <x:c xmlns:x="http://schemas.openxmlformats.org/spreadsheetml/2006/main" r="W547" t="str" s="11">
        <x:v>Даташит — производитель</x:v>
      </x:c>
      <x:c xmlns:x="http://schemas.openxmlformats.org/spreadsheetml/2006/main" r="X547" t="str" s="11">
        <x:v>https://yageogroup.com/content/datasheet/asset/file/PYU-RC_GROUP_51_ROHS_L</x:v>
      </x:c>
      <x:c xmlns:x="http://schemas.openxmlformats.org/spreadsheetml/2006/main" r="Y547" t="str" s="11">
        <x:v>C:\Users\Nomatin\Documents\Altium\MY_LIB\MY_LIB\Datasheets\YAGEO_RC_L.pdf</x:v>
      </x:c>
      <ns0:c xmlns:ns0="http://schemas.openxmlformats.org/spreadsheetml/2006/main" r="Z547" s="16" t="inlineStr">
        <ns0:is>
          <ns0:t>MY_LIB_R_TCR</ns0:t>
        </ns0:is>
      </ns0:c>
      <ns0:c xmlns:ns0="http://schemas.openxmlformats.org/spreadsheetml/2006/main" r="AA547" s="16" t="inlineStr">
        <ns0:is>
          <ns0:t>R(T), +100 ppm/C at 25 C; positive datasheet limit</ns0:t>
        </ns0:is>
      </ns0:c>
      <ns0:c xmlns:ns0="http://schemas.openxmlformats.org/spreadsheetml/2006/main" r="AB547" s="16" t="str">
        <ns0:v>General</ns0:v>
      </ns0:c>
      <ns0:c xmlns:ns0="http://schemas.openxmlformats.org/spreadsheetml/2006/main" r="AC547" s="16" t="inlineStr">
        <ns0:is>
          <ns0:t>Spice Subcircuit</ns0:t>
        </ns0:is>
      </ns0:c>
      <ns0:c xmlns:ns0="http://schemas.openxmlformats.org/spreadsheetml/2006/main" r="AD547" s="16" t="inlineStr">
        <ns0:is>
          <ns0:t>@DESIGNATOR %1 %2 @MODEL PARAMS: Rvalue=@VALUE TC1value=100u</ns0:t>
        </ns0:is>
      </ns0:c>
      <ns0:c xmlns:ns0="http://schemas.openxmlformats.org/spreadsheetml/2006/main" r="AE547" s="16" t="inlineStr">
        <ns0:is>
          <ns0:t>X</ns0:t>
        </ns0:is>
      </ns0:c>
      <ns0:c xmlns:ns0="http://schemas.openxmlformats.org/spreadsheetml/2006/main" r="AF547" s="16" t="str">
        <ns0:v>(1:1),(2:2)</ns0:v>
      </ns0:c>
      <ns0:c xmlns:ns0="http://schemas.openxmlformats.org/spreadsheetml/2006/main" r="AG547" s="16" t="inlineStr">
        <ns0:is>
          <ns0:t>Simulation\Resistors\MY_LIB_R_TCR.ckt</ns0:t>
        </ns0:is>
      </ns0:c>
      <ns0:c xmlns:ns0="http://schemas.openxmlformats.org/spreadsheetml/2006/main" r="AH547" s="16" t="inlineStr">
        <ns0:is>
          <ns0:t>±100 ppm/°C</ns0:t>
        </ns0:is>
      </ns0:c>
    </ns0:row>
    <ns0:row xmlns:ns0="http://schemas.openxmlformats.org/spreadsheetml/2006/main" r="548" ht="30" customHeight="1">
      <ns0:c r="A548" t="str" s="10">
        <ns0:v>R0554</ns0:v>
      </ns0:c>
      <ns0:c r="B548" t="str" s="10">
        <ns0:v>Резистор</ns0:v>
      </ns0:c>
      <ns0:c r="C548" t="str" s="10">
        <ns0:v>36k</ns0:v>
      </ns0:c>
      <ns0:c r="D548" t="str" s="11">
        <ns0:f>SUBSTITUTE(SUBSTITUTE(SUBSTITUTE(SUBSTITUTE(C548,"meg"," МОм"),"k"," кОм"),"R"," Ом"),".",",")</ns0:f>
        <ns0:v>36 кОм</ns0:v>
      </ns0:c>
      <ns0:c r="E548" t="str" s="10">
        <ns0:v>±1%</ns0:v>
      </ns0:c>
      <ns0:c r="F548" t="str" s="10">
        <ns0:v>0,125 Вт</ns0:v>
      </ns0:c>
      <ns0:c r="G548" t="str" s="10">
        <ns0:v>150 В макс.</ns0:v>
      </ns0:c>
      <ns0:c r="H548" t="str" s="12">
        <ns0:v>0805</ns0:v>
      </ns0:c>
      <ns0:c r="I548" t="str" s="10">
        <ns0:v>YAGEO</ns0:v>
      </ns0:c>
      <ns0:c r="J548" t="str" s="10">
        <ns0:v>RC0805FR-0736KL</ns0:v>
      </ns0:c>
      <ns0:c r="K548" t="str" s="11">
        <ns0:f>B548&amp;" "&amp;D548&amp;" "&amp;E548&amp;" "&amp;H548</ns0:f>
        <ns0:v>Резистор 36 кОм ±1% 0805</ns0:v>
      </ns0:c>
      <ns0:c r="L548" t="str" s="13">
        <ns0:v>R</ns0:v>
      </ns0:c>
      <ns0:c r="M548" t="str" s="13">
        <ns0:v>Symbols\MY_LIB_Resistors.SchLib</ns0:v>
      </ns0:c>
      <ns0:c r="N548" t="str" s="13">
        <ns0:v>RESC2012X70N</ns0:v>
      </ns0:c>
      <ns0:c r="O548" t="str" s="13">
        <ns0:v>Footprints\PBL - SMD Packages.PcbLib</ns0:v>
      </ns0:c>
      <ns0:c xmlns:ns0="http://schemas.openxmlformats.org/spreadsheetml/2006/main" r="P54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8" s="10"/>
      <ns0:c r="R548" t="str" s="11">
        <ns0:f>D548</ns0:f>
        <ns0:v>36 кОм</ns0:v>
      </ns0:c>
      <ns0:c r="S548" t="str" s="11">
        <ns0:f>K548</ns0:f>
        <ns0:v>Резистор 36 кОм ±1% 0805</ns0:v>
      </ns0:c>
      <x:c xmlns:x="http://schemas.openxmlformats.org/spreadsheetml/2006/main" r="T548" t="str" s="11">
        <x:v>C:\Users\Nomatin\Documents\Altium\MY_LIB\MY_LIB\Datasheets\YAGEO_RC_L.pdf</x:v>
      </x:c>
      <x:c xmlns:x="http://schemas.openxmlformats.org/spreadsheetml/2006/main" r="U548" t="str" s="11">
        <x:v>Даташит — локальный</x:v>
      </x:c>
      <x:c xmlns:x="http://schemas.openxmlformats.org/spreadsheetml/2006/main" r="V548" t="str" s="11">
        <x:v>C:\Users\Nomatin\Documents\Altium\MY_LIB\MY_LIB\Datasheets\YAGEO_RC_L.pdf</x:v>
      </x:c>
      <x:c xmlns:x="http://schemas.openxmlformats.org/spreadsheetml/2006/main" r="W548" t="str" s="11">
        <x:v>Даташит — производитель</x:v>
      </x:c>
      <x:c xmlns:x="http://schemas.openxmlformats.org/spreadsheetml/2006/main" r="X548" t="str" s="11">
        <x:v>https://yageogroup.com/content/datasheet/asset/file/PYU-RC_GROUP_51_ROHS_L</x:v>
      </x:c>
      <x:c xmlns:x="http://schemas.openxmlformats.org/spreadsheetml/2006/main" r="Y548" t="str" s="11">
        <x:v>C:\Users\Nomatin\Documents\Altium\MY_LIB\MY_LIB\Datasheets\YAGEO_RC_L.pdf</x:v>
      </x:c>
      <ns0:c xmlns:ns0="http://schemas.openxmlformats.org/spreadsheetml/2006/main" r="Z548" s="16" t="inlineStr">
        <ns0:is>
          <ns0:t>MY_LIB_R_TCR</ns0:t>
        </ns0:is>
      </ns0:c>
      <ns0:c xmlns:ns0="http://schemas.openxmlformats.org/spreadsheetml/2006/main" r="AA548" s="16" t="inlineStr">
        <ns0:is>
          <ns0:t>R(T), +100 ppm/C at 25 C; positive datasheet limit</ns0:t>
        </ns0:is>
      </ns0:c>
      <ns0:c xmlns:ns0="http://schemas.openxmlformats.org/spreadsheetml/2006/main" r="AB548" s="16" t="str">
        <ns0:v>General</ns0:v>
      </ns0:c>
      <ns0:c xmlns:ns0="http://schemas.openxmlformats.org/spreadsheetml/2006/main" r="AC548" s="16" t="inlineStr">
        <ns0:is>
          <ns0:t>Spice Subcircuit</ns0:t>
        </ns0:is>
      </ns0:c>
      <ns0:c xmlns:ns0="http://schemas.openxmlformats.org/spreadsheetml/2006/main" r="AD548" s="16" t="inlineStr">
        <ns0:is>
          <ns0:t>@DESIGNATOR %1 %2 @MODEL PARAMS: Rvalue=@VALUE TC1value=100u</ns0:t>
        </ns0:is>
      </ns0:c>
      <ns0:c xmlns:ns0="http://schemas.openxmlformats.org/spreadsheetml/2006/main" r="AE548" s="16" t="inlineStr">
        <ns0:is>
          <ns0:t>X</ns0:t>
        </ns0:is>
      </ns0:c>
      <ns0:c xmlns:ns0="http://schemas.openxmlformats.org/spreadsheetml/2006/main" r="AF548" s="16" t="str">
        <ns0:v>(1:1),(2:2)</ns0:v>
      </ns0:c>
      <ns0:c xmlns:ns0="http://schemas.openxmlformats.org/spreadsheetml/2006/main" r="AG548" s="16" t="inlineStr">
        <ns0:is>
          <ns0:t>Simulation\Resistors\MY_LIB_R_TCR.ckt</ns0:t>
        </ns0:is>
      </ns0:c>
      <ns0:c xmlns:ns0="http://schemas.openxmlformats.org/spreadsheetml/2006/main" r="AH548" s="16" t="inlineStr">
        <ns0:is>
          <ns0:t>±100 ppm/°C</ns0:t>
        </ns0:is>
      </ns0:c>
    </ns0:row>
    <ns0:row xmlns:ns0="http://schemas.openxmlformats.org/spreadsheetml/2006/main" r="549" ht="30" customHeight="1">
      <ns0:c r="A549" t="str" s="10">
        <ns0:v>R0555</ns0:v>
      </ns0:c>
      <ns0:c r="B549" t="str" s="10">
        <ns0:v>Резистор</ns0:v>
      </ns0:c>
      <ns0:c r="C549" t="str" s="10">
        <ns0:v>39k</ns0:v>
      </ns0:c>
      <ns0:c r="D549" t="str" s="11">
        <ns0:f>SUBSTITUTE(SUBSTITUTE(SUBSTITUTE(SUBSTITUTE(C549,"meg"," МОм"),"k"," кОм"),"R"," Ом"),".",",")</ns0:f>
        <ns0:v>39 кОм</ns0:v>
      </ns0:c>
      <ns0:c r="E549" t="str" s="10">
        <ns0:v>±1%</ns0:v>
      </ns0:c>
      <ns0:c r="F549" t="str" s="10">
        <ns0:v>0,125 Вт</ns0:v>
      </ns0:c>
      <ns0:c r="G549" t="str" s="10">
        <ns0:v>150 В макс.</ns0:v>
      </ns0:c>
      <ns0:c r="H549" t="str" s="12">
        <ns0:v>0805</ns0:v>
      </ns0:c>
      <ns0:c r="I549" t="str" s="10">
        <ns0:v>YAGEO</ns0:v>
      </ns0:c>
      <ns0:c r="J549" t="str" s="10">
        <ns0:v>RC0805FR-0739KL</ns0:v>
      </ns0:c>
      <ns0:c r="K549" t="str" s="11">
        <ns0:f>B549&amp;" "&amp;D549&amp;" "&amp;E549&amp;" "&amp;H549</ns0:f>
        <ns0:v>Резистор 39 кОм ±1% 0805</ns0:v>
      </ns0:c>
      <ns0:c r="L549" t="str" s="13">
        <ns0:v>R</ns0:v>
      </ns0:c>
      <ns0:c r="M549" t="str" s="13">
        <ns0:v>Symbols\MY_LIB_Resistors.SchLib</ns0:v>
      </ns0:c>
      <ns0:c r="N549" t="str" s="13">
        <ns0:v>RESC2012X70N</ns0:v>
      </ns0:c>
      <ns0:c r="O549" t="str" s="13">
        <ns0:v>Footprints\PBL - SMD Packages.PcbLib</ns0:v>
      </ns0:c>
      <ns0:c xmlns:ns0="http://schemas.openxmlformats.org/spreadsheetml/2006/main" r="P54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49" s="10"/>
      <ns0:c r="R549" t="str" s="11">
        <ns0:f>D549</ns0:f>
        <ns0:v>39 кОм</ns0:v>
      </ns0:c>
      <ns0:c r="S549" t="str" s="11">
        <ns0:f>K549</ns0:f>
        <ns0:v>Резистор 39 кОм ±1% 0805</ns0:v>
      </ns0:c>
      <x:c xmlns:x="http://schemas.openxmlformats.org/spreadsheetml/2006/main" r="T549" t="str" s="11">
        <x:v>C:\Users\Nomatin\Documents\Altium\MY_LIB\MY_LIB\Datasheets\YAGEO_RC_L.pdf</x:v>
      </x:c>
      <x:c xmlns:x="http://schemas.openxmlformats.org/spreadsheetml/2006/main" r="U549" t="str" s="11">
        <x:v>Даташит — локальный</x:v>
      </x:c>
      <x:c xmlns:x="http://schemas.openxmlformats.org/spreadsheetml/2006/main" r="V549" t="str" s="11">
        <x:v>C:\Users\Nomatin\Documents\Altium\MY_LIB\MY_LIB\Datasheets\YAGEO_RC_L.pdf</x:v>
      </x:c>
      <x:c xmlns:x="http://schemas.openxmlformats.org/spreadsheetml/2006/main" r="W549" t="str" s="11">
        <x:v>Даташит — производитель</x:v>
      </x:c>
      <x:c xmlns:x="http://schemas.openxmlformats.org/spreadsheetml/2006/main" r="X549" t="str" s="11">
        <x:v>https://yageogroup.com/content/datasheet/asset/file/PYU-RC_GROUP_51_ROHS_L</x:v>
      </x:c>
      <x:c xmlns:x="http://schemas.openxmlformats.org/spreadsheetml/2006/main" r="Y549" t="str" s="11">
        <x:v>C:\Users\Nomatin\Documents\Altium\MY_LIB\MY_LIB\Datasheets\YAGEO_RC_L.pdf</x:v>
      </x:c>
      <ns0:c xmlns:ns0="http://schemas.openxmlformats.org/spreadsheetml/2006/main" r="Z549" s="16" t="inlineStr">
        <ns0:is>
          <ns0:t>MY_LIB_R_TCR</ns0:t>
        </ns0:is>
      </ns0:c>
      <ns0:c xmlns:ns0="http://schemas.openxmlformats.org/spreadsheetml/2006/main" r="AA549" s="16" t="inlineStr">
        <ns0:is>
          <ns0:t>R(T), +100 ppm/C at 25 C; positive datasheet limit</ns0:t>
        </ns0:is>
      </ns0:c>
      <ns0:c xmlns:ns0="http://schemas.openxmlformats.org/spreadsheetml/2006/main" r="AB549" s="16" t="str">
        <ns0:v>General</ns0:v>
      </ns0:c>
      <ns0:c xmlns:ns0="http://schemas.openxmlformats.org/spreadsheetml/2006/main" r="AC549" s="16" t="inlineStr">
        <ns0:is>
          <ns0:t>Spice Subcircuit</ns0:t>
        </ns0:is>
      </ns0:c>
      <ns0:c xmlns:ns0="http://schemas.openxmlformats.org/spreadsheetml/2006/main" r="AD549" s="16" t="inlineStr">
        <ns0:is>
          <ns0:t>@DESIGNATOR %1 %2 @MODEL PARAMS: Rvalue=@VALUE TC1value=100u</ns0:t>
        </ns0:is>
      </ns0:c>
      <ns0:c xmlns:ns0="http://schemas.openxmlformats.org/spreadsheetml/2006/main" r="AE549" s="16" t="inlineStr">
        <ns0:is>
          <ns0:t>X</ns0:t>
        </ns0:is>
      </ns0:c>
      <ns0:c xmlns:ns0="http://schemas.openxmlformats.org/spreadsheetml/2006/main" r="AF549" s="16" t="str">
        <ns0:v>(1:1),(2:2)</ns0:v>
      </ns0:c>
      <ns0:c xmlns:ns0="http://schemas.openxmlformats.org/spreadsheetml/2006/main" r="AG549" s="16" t="inlineStr">
        <ns0:is>
          <ns0:t>Simulation\Resistors\MY_LIB_R_TCR.ckt</ns0:t>
        </ns0:is>
      </ns0:c>
      <ns0:c xmlns:ns0="http://schemas.openxmlformats.org/spreadsheetml/2006/main" r="AH549" s="16" t="inlineStr">
        <ns0:is>
          <ns0:t>±100 ppm/°C</ns0:t>
        </ns0:is>
      </ns0:c>
    </ns0:row>
    <ns0:row xmlns:ns0="http://schemas.openxmlformats.org/spreadsheetml/2006/main" r="550" ht="30" customHeight="1">
      <ns0:c r="A550" t="str" s="10">
        <ns0:v>R0556</ns0:v>
      </ns0:c>
      <ns0:c r="B550" t="str" s="10">
        <ns0:v>Резистор</ns0:v>
      </ns0:c>
      <ns0:c r="C550" t="str" s="10">
        <ns0:v>43k</ns0:v>
      </ns0:c>
      <ns0:c r="D550" t="str" s="11">
        <ns0:f>SUBSTITUTE(SUBSTITUTE(SUBSTITUTE(SUBSTITUTE(C550,"meg"," МОм"),"k"," кОм"),"R"," Ом"),".",",")</ns0:f>
        <ns0:v>43 кОм</ns0:v>
      </ns0:c>
      <ns0:c r="E550" t="str" s="10">
        <ns0:v>±1%</ns0:v>
      </ns0:c>
      <ns0:c r="F550" t="str" s="10">
        <ns0:v>0,125 Вт</ns0:v>
      </ns0:c>
      <ns0:c r="G550" t="str" s="10">
        <ns0:v>150 В макс.</ns0:v>
      </ns0:c>
      <ns0:c r="H550" t="str" s="12">
        <ns0:v>0805</ns0:v>
      </ns0:c>
      <ns0:c r="I550" t="str" s="10">
        <ns0:v>YAGEO</ns0:v>
      </ns0:c>
      <ns0:c r="J550" t="str" s="10">
        <ns0:v>RC0805FR-0743KL</ns0:v>
      </ns0:c>
      <ns0:c r="K550" t="str" s="11">
        <ns0:f>B550&amp;" "&amp;D550&amp;" "&amp;E550&amp;" "&amp;H550</ns0:f>
        <ns0:v>Резистор 43 кОм ±1% 0805</ns0:v>
      </ns0:c>
      <ns0:c r="L550" t="str" s="13">
        <ns0:v>R</ns0:v>
      </ns0:c>
      <ns0:c r="M550" t="str" s="13">
        <ns0:v>Symbols\MY_LIB_Resistors.SchLib</ns0:v>
      </ns0:c>
      <ns0:c r="N550" t="str" s="13">
        <ns0:v>RESC2012X70N</ns0:v>
      </ns0:c>
      <ns0:c r="O550" t="str" s="13">
        <ns0:v>Footprints\PBL - SMD Packages.PcbLib</ns0:v>
      </ns0:c>
      <ns0:c xmlns:ns0="http://schemas.openxmlformats.org/spreadsheetml/2006/main" r="P55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0" s="10"/>
      <ns0:c r="R550" t="str" s="11">
        <ns0:f>D550</ns0:f>
        <ns0:v>43 кОм</ns0:v>
      </ns0:c>
      <ns0:c r="S550" t="str" s="11">
        <ns0:f>K550</ns0:f>
        <ns0:v>Резистор 43 кОм ±1% 0805</ns0:v>
      </ns0:c>
      <x:c xmlns:x="http://schemas.openxmlformats.org/spreadsheetml/2006/main" r="T550" t="str" s="11">
        <x:v>C:\Users\Nomatin\Documents\Altium\MY_LIB\MY_LIB\Datasheets\YAGEO_RC_L.pdf</x:v>
      </x:c>
      <x:c xmlns:x="http://schemas.openxmlformats.org/spreadsheetml/2006/main" r="U550" t="str" s="11">
        <x:v>Даташит — локальный</x:v>
      </x:c>
      <x:c xmlns:x="http://schemas.openxmlformats.org/spreadsheetml/2006/main" r="V550" t="str" s="11">
        <x:v>C:\Users\Nomatin\Documents\Altium\MY_LIB\MY_LIB\Datasheets\YAGEO_RC_L.pdf</x:v>
      </x:c>
      <x:c xmlns:x="http://schemas.openxmlformats.org/spreadsheetml/2006/main" r="W550" t="str" s="11">
        <x:v>Даташит — производитель</x:v>
      </x:c>
      <x:c xmlns:x="http://schemas.openxmlformats.org/spreadsheetml/2006/main" r="X550" t="str" s="11">
        <x:v>https://yageogroup.com/content/datasheet/asset/file/PYU-RC_GROUP_51_ROHS_L</x:v>
      </x:c>
      <x:c xmlns:x="http://schemas.openxmlformats.org/spreadsheetml/2006/main" r="Y550" t="str" s="11">
        <x:v>C:\Users\Nomatin\Documents\Altium\MY_LIB\MY_LIB\Datasheets\YAGEO_RC_L.pdf</x:v>
      </x:c>
      <ns0:c xmlns:ns0="http://schemas.openxmlformats.org/spreadsheetml/2006/main" r="Z550" s="16" t="inlineStr">
        <ns0:is>
          <ns0:t>MY_LIB_R_TCR</ns0:t>
        </ns0:is>
      </ns0:c>
      <ns0:c xmlns:ns0="http://schemas.openxmlformats.org/spreadsheetml/2006/main" r="AA550" s="16" t="inlineStr">
        <ns0:is>
          <ns0:t>R(T), +100 ppm/C at 25 C; positive datasheet limit</ns0:t>
        </ns0:is>
      </ns0:c>
      <ns0:c xmlns:ns0="http://schemas.openxmlformats.org/spreadsheetml/2006/main" r="AB550" s="16" t="str">
        <ns0:v>General</ns0:v>
      </ns0:c>
      <ns0:c xmlns:ns0="http://schemas.openxmlformats.org/spreadsheetml/2006/main" r="AC550" s="16" t="inlineStr">
        <ns0:is>
          <ns0:t>Spice Subcircuit</ns0:t>
        </ns0:is>
      </ns0:c>
      <ns0:c xmlns:ns0="http://schemas.openxmlformats.org/spreadsheetml/2006/main" r="AD550" s="16" t="inlineStr">
        <ns0:is>
          <ns0:t>@DESIGNATOR %1 %2 @MODEL PARAMS: Rvalue=@VALUE TC1value=100u</ns0:t>
        </ns0:is>
      </ns0:c>
      <ns0:c xmlns:ns0="http://schemas.openxmlformats.org/spreadsheetml/2006/main" r="AE550" s="16" t="inlineStr">
        <ns0:is>
          <ns0:t>X</ns0:t>
        </ns0:is>
      </ns0:c>
      <ns0:c xmlns:ns0="http://schemas.openxmlformats.org/spreadsheetml/2006/main" r="AF550" s="16" t="str">
        <ns0:v>(1:1),(2:2)</ns0:v>
      </ns0:c>
      <ns0:c xmlns:ns0="http://schemas.openxmlformats.org/spreadsheetml/2006/main" r="AG550" s="16" t="inlineStr">
        <ns0:is>
          <ns0:t>Simulation\Resistors\MY_LIB_R_TCR.ckt</ns0:t>
        </ns0:is>
      </ns0:c>
      <ns0:c xmlns:ns0="http://schemas.openxmlformats.org/spreadsheetml/2006/main" r="AH550" s="16" t="inlineStr">
        <ns0:is>
          <ns0:t>±100 ppm/°C</ns0:t>
        </ns0:is>
      </ns0:c>
    </ns0:row>
    <ns0:row xmlns:ns0="http://schemas.openxmlformats.org/spreadsheetml/2006/main" r="551" ht="30" customHeight="1">
      <ns0:c r="A551" t="str" s="10">
        <ns0:v>R0557</ns0:v>
      </ns0:c>
      <ns0:c r="B551" t="str" s="10">
        <ns0:v>Резистор</ns0:v>
      </ns0:c>
      <ns0:c r="C551" t="str" s="10">
        <ns0:v>47k</ns0:v>
      </ns0:c>
      <ns0:c r="D551" t="str" s="11">
        <ns0:f>SUBSTITUTE(SUBSTITUTE(SUBSTITUTE(SUBSTITUTE(C551,"meg"," МОм"),"k"," кОм"),"R"," Ом"),".",",")</ns0:f>
        <ns0:v>47 кОм</ns0:v>
      </ns0:c>
      <ns0:c r="E551" t="str" s="10">
        <ns0:v>±1%</ns0:v>
      </ns0:c>
      <ns0:c r="F551" t="str" s="10">
        <ns0:v>0,125 Вт</ns0:v>
      </ns0:c>
      <ns0:c r="G551" t="str" s="10">
        <ns0:v>150 В макс.</ns0:v>
      </ns0:c>
      <ns0:c r="H551" t="str" s="12">
        <ns0:v>0805</ns0:v>
      </ns0:c>
      <ns0:c r="I551" t="str" s="10">
        <ns0:v>YAGEO</ns0:v>
      </ns0:c>
      <ns0:c r="J551" t="str" s="10">
        <ns0:v>RC0805FR-0747KL</ns0:v>
      </ns0:c>
      <ns0:c r="K551" t="str" s="11">
        <ns0:f>B551&amp;" "&amp;D551&amp;" "&amp;E551&amp;" "&amp;H551</ns0:f>
        <ns0:v>Резистор 47 кОм ±1% 0805</ns0:v>
      </ns0:c>
      <ns0:c r="L551" t="str" s="13">
        <ns0:v>R</ns0:v>
      </ns0:c>
      <ns0:c r="M551" t="str" s="13">
        <ns0:v>Symbols\MY_LIB_Resistors.SchLib</ns0:v>
      </ns0:c>
      <ns0:c r="N551" t="str" s="13">
        <ns0:v>RESC2012X70N</ns0:v>
      </ns0:c>
      <ns0:c r="O551" t="str" s="13">
        <ns0:v>Footprints\PBL - SMD Packages.PcbLib</ns0:v>
      </ns0:c>
      <ns0:c xmlns:ns0="http://schemas.openxmlformats.org/spreadsheetml/2006/main" r="P55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1" s="10"/>
      <ns0:c r="R551" t="str" s="11">
        <ns0:f>D551</ns0:f>
        <ns0:v>47 кОм</ns0:v>
      </ns0:c>
      <ns0:c r="S551" t="str" s="11">
        <ns0:f>K551</ns0:f>
        <ns0:v>Резистор 47 кОм ±1% 0805</ns0:v>
      </ns0:c>
      <x:c xmlns:x="http://schemas.openxmlformats.org/spreadsheetml/2006/main" r="T551" t="str" s="11">
        <x:v>C:\Users\Nomatin\Documents\Altium\MY_LIB\MY_LIB\Datasheets\YAGEO_RC_L.pdf</x:v>
      </x:c>
      <x:c xmlns:x="http://schemas.openxmlformats.org/spreadsheetml/2006/main" r="U551" t="str" s="11">
        <x:v>Даташит — локальный</x:v>
      </x:c>
      <x:c xmlns:x="http://schemas.openxmlformats.org/spreadsheetml/2006/main" r="V551" t="str" s="11">
        <x:v>C:\Users\Nomatin\Documents\Altium\MY_LIB\MY_LIB\Datasheets\YAGEO_RC_L.pdf</x:v>
      </x:c>
      <x:c xmlns:x="http://schemas.openxmlformats.org/spreadsheetml/2006/main" r="W551" t="str" s="11">
        <x:v>Даташит — производитель</x:v>
      </x:c>
      <x:c xmlns:x="http://schemas.openxmlformats.org/spreadsheetml/2006/main" r="X551" t="str" s="11">
        <x:v>https://yageogroup.com/content/datasheet/asset/file/PYU-RC_GROUP_51_ROHS_L</x:v>
      </x:c>
      <x:c xmlns:x="http://schemas.openxmlformats.org/spreadsheetml/2006/main" r="Y551" t="str" s="11">
        <x:v>C:\Users\Nomatin\Documents\Altium\MY_LIB\MY_LIB\Datasheets\YAGEO_RC_L.pdf</x:v>
      </x:c>
      <ns0:c xmlns:ns0="http://schemas.openxmlformats.org/spreadsheetml/2006/main" r="Z551" s="16" t="inlineStr">
        <ns0:is>
          <ns0:t>MY_LIB_R_TCR</ns0:t>
        </ns0:is>
      </ns0:c>
      <ns0:c xmlns:ns0="http://schemas.openxmlformats.org/spreadsheetml/2006/main" r="AA551" s="16" t="inlineStr">
        <ns0:is>
          <ns0:t>R(T), +100 ppm/C at 25 C; positive datasheet limit</ns0:t>
        </ns0:is>
      </ns0:c>
      <ns0:c xmlns:ns0="http://schemas.openxmlformats.org/spreadsheetml/2006/main" r="AB551" s="16" t="str">
        <ns0:v>General</ns0:v>
      </ns0:c>
      <ns0:c xmlns:ns0="http://schemas.openxmlformats.org/spreadsheetml/2006/main" r="AC551" s="16" t="inlineStr">
        <ns0:is>
          <ns0:t>Spice Subcircuit</ns0:t>
        </ns0:is>
      </ns0:c>
      <ns0:c xmlns:ns0="http://schemas.openxmlformats.org/spreadsheetml/2006/main" r="AD551" s="16" t="inlineStr">
        <ns0:is>
          <ns0:t>@DESIGNATOR %1 %2 @MODEL PARAMS: Rvalue=@VALUE TC1value=100u</ns0:t>
        </ns0:is>
      </ns0:c>
      <ns0:c xmlns:ns0="http://schemas.openxmlformats.org/spreadsheetml/2006/main" r="AE551" s="16" t="inlineStr">
        <ns0:is>
          <ns0:t>X</ns0:t>
        </ns0:is>
      </ns0:c>
      <ns0:c xmlns:ns0="http://schemas.openxmlformats.org/spreadsheetml/2006/main" r="AF551" s="16" t="str">
        <ns0:v>(1:1),(2:2)</ns0:v>
      </ns0:c>
      <ns0:c xmlns:ns0="http://schemas.openxmlformats.org/spreadsheetml/2006/main" r="AG551" s="16" t="inlineStr">
        <ns0:is>
          <ns0:t>Simulation\Resistors\MY_LIB_R_TCR.ckt</ns0:t>
        </ns0:is>
      </ns0:c>
      <ns0:c xmlns:ns0="http://schemas.openxmlformats.org/spreadsheetml/2006/main" r="AH551" s="16" t="inlineStr">
        <ns0:is>
          <ns0:t>±100 ppm/°C</ns0:t>
        </ns0:is>
      </ns0:c>
    </ns0:row>
    <ns0:row xmlns:ns0="http://schemas.openxmlformats.org/spreadsheetml/2006/main" r="552" ht="30" customHeight="1">
      <ns0:c r="A552" t="str" s="10">
        <ns0:v>R0558</ns0:v>
      </ns0:c>
      <ns0:c r="B552" t="str" s="10">
        <ns0:v>Резистор</ns0:v>
      </ns0:c>
      <ns0:c r="C552" t="str" s="10">
        <ns0:v>51k</ns0:v>
      </ns0:c>
      <ns0:c r="D552" t="str" s="11">
        <ns0:f>SUBSTITUTE(SUBSTITUTE(SUBSTITUTE(SUBSTITUTE(C552,"meg"," МОм"),"k"," кОм"),"R"," Ом"),".",",")</ns0:f>
        <ns0:v>51 кОм</ns0:v>
      </ns0:c>
      <ns0:c r="E552" t="str" s="10">
        <ns0:v>±1%</ns0:v>
      </ns0:c>
      <ns0:c r="F552" t="str" s="10">
        <ns0:v>0,125 Вт</ns0:v>
      </ns0:c>
      <ns0:c r="G552" t="str" s="10">
        <ns0:v>150 В макс.</ns0:v>
      </ns0:c>
      <ns0:c r="H552" t="str" s="12">
        <ns0:v>0805</ns0:v>
      </ns0:c>
      <ns0:c r="I552" t="str" s="10">
        <ns0:v>YAGEO</ns0:v>
      </ns0:c>
      <ns0:c r="J552" t="str" s="10">
        <ns0:v>RC0805FR-0751KL</ns0:v>
      </ns0:c>
      <ns0:c r="K552" t="str" s="11">
        <ns0:f>B552&amp;" "&amp;D552&amp;" "&amp;E552&amp;" "&amp;H552</ns0:f>
        <ns0:v>Резистор 51 кОм ±1% 0805</ns0:v>
      </ns0:c>
      <ns0:c r="L552" t="str" s="13">
        <ns0:v>R</ns0:v>
      </ns0:c>
      <ns0:c r="M552" t="str" s="13">
        <ns0:v>Symbols\MY_LIB_Resistors.SchLib</ns0:v>
      </ns0:c>
      <ns0:c r="N552" t="str" s="13">
        <ns0:v>RESC2012X70N</ns0:v>
      </ns0:c>
      <ns0:c r="O552" t="str" s="13">
        <ns0:v>Footprints\PBL - SMD Packages.PcbLib</ns0:v>
      </ns0:c>
      <ns0:c xmlns:ns0="http://schemas.openxmlformats.org/spreadsheetml/2006/main" r="P55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2" s="10"/>
      <ns0:c r="R552" t="str" s="11">
        <ns0:f>D552</ns0:f>
        <ns0:v>51 кОм</ns0:v>
      </ns0:c>
      <ns0:c r="S552" t="str" s="11">
        <ns0:f>K552</ns0:f>
        <ns0:v>Резистор 51 кОм ±1% 0805</ns0:v>
      </ns0:c>
      <x:c xmlns:x="http://schemas.openxmlformats.org/spreadsheetml/2006/main" r="T552" t="str" s="11">
        <x:v>C:\Users\Nomatin\Documents\Altium\MY_LIB\MY_LIB\Datasheets\YAGEO_RC_L.pdf</x:v>
      </x:c>
      <x:c xmlns:x="http://schemas.openxmlformats.org/spreadsheetml/2006/main" r="U552" t="str" s="11">
        <x:v>Даташит — локальный</x:v>
      </x:c>
      <x:c xmlns:x="http://schemas.openxmlformats.org/spreadsheetml/2006/main" r="V552" t="str" s="11">
        <x:v>C:\Users\Nomatin\Documents\Altium\MY_LIB\MY_LIB\Datasheets\YAGEO_RC_L.pdf</x:v>
      </x:c>
      <x:c xmlns:x="http://schemas.openxmlformats.org/spreadsheetml/2006/main" r="W552" t="str" s="11">
        <x:v>Даташит — производитель</x:v>
      </x:c>
      <x:c xmlns:x="http://schemas.openxmlformats.org/spreadsheetml/2006/main" r="X552" t="str" s="11">
        <x:v>https://yageogroup.com/content/datasheet/asset/file/PYU-RC_GROUP_51_ROHS_L</x:v>
      </x:c>
      <x:c xmlns:x="http://schemas.openxmlformats.org/spreadsheetml/2006/main" r="Y552" t="str" s="11">
        <x:v>C:\Users\Nomatin\Documents\Altium\MY_LIB\MY_LIB\Datasheets\YAGEO_RC_L.pdf</x:v>
      </x:c>
      <ns0:c xmlns:ns0="http://schemas.openxmlformats.org/spreadsheetml/2006/main" r="Z552" s="16" t="inlineStr">
        <ns0:is>
          <ns0:t>MY_LIB_R_TCR</ns0:t>
        </ns0:is>
      </ns0:c>
      <ns0:c xmlns:ns0="http://schemas.openxmlformats.org/spreadsheetml/2006/main" r="AA552" s="16" t="inlineStr">
        <ns0:is>
          <ns0:t>R(T), +100 ppm/C at 25 C; positive datasheet limit</ns0:t>
        </ns0:is>
      </ns0:c>
      <ns0:c xmlns:ns0="http://schemas.openxmlformats.org/spreadsheetml/2006/main" r="AB552" s="16" t="str">
        <ns0:v>General</ns0:v>
      </ns0:c>
      <ns0:c xmlns:ns0="http://schemas.openxmlformats.org/spreadsheetml/2006/main" r="AC552" s="16" t="inlineStr">
        <ns0:is>
          <ns0:t>Spice Subcircuit</ns0:t>
        </ns0:is>
      </ns0:c>
      <ns0:c xmlns:ns0="http://schemas.openxmlformats.org/spreadsheetml/2006/main" r="AD552" s="16" t="inlineStr">
        <ns0:is>
          <ns0:t>@DESIGNATOR %1 %2 @MODEL PARAMS: Rvalue=@VALUE TC1value=100u</ns0:t>
        </ns0:is>
      </ns0:c>
      <ns0:c xmlns:ns0="http://schemas.openxmlformats.org/spreadsheetml/2006/main" r="AE552" s="16" t="inlineStr">
        <ns0:is>
          <ns0:t>X</ns0:t>
        </ns0:is>
      </ns0:c>
      <ns0:c xmlns:ns0="http://schemas.openxmlformats.org/spreadsheetml/2006/main" r="AF552" s="16" t="str">
        <ns0:v>(1:1),(2:2)</ns0:v>
      </ns0:c>
      <ns0:c xmlns:ns0="http://schemas.openxmlformats.org/spreadsheetml/2006/main" r="AG552" s="16" t="inlineStr">
        <ns0:is>
          <ns0:t>Simulation\Resistors\MY_LIB_R_TCR.ckt</ns0:t>
        </ns0:is>
      </ns0:c>
      <ns0:c xmlns:ns0="http://schemas.openxmlformats.org/spreadsheetml/2006/main" r="AH552" s="16" t="inlineStr">
        <ns0:is>
          <ns0:t>±100 ppm/°C</ns0:t>
        </ns0:is>
      </ns0:c>
    </ns0:row>
    <ns0:row xmlns:ns0="http://schemas.openxmlformats.org/spreadsheetml/2006/main" r="553" ht="30" customHeight="1">
      <ns0:c r="A553" t="str" s="10">
        <ns0:v>R0559</ns0:v>
      </ns0:c>
      <ns0:c r="B553" t="str" s="10">
        <ns0:v>Резистор</ns0:v>
      </ns0:c>
      <ns0:c r="C553" t="str" s="10">
        <ns0:v>56k</ns0:v>
      </ns0:c>
      <ns0:c r="D553" t="str" s="11">
        <ns0:f>SUBSTITUTE(SUBSTITUTE(SUBSTITUTE(SUBSTITUTE(C553,"meg"," МОм"),"k"," кОм"),"R"," Ом"),".",",")</ns0:f>
        <ns0:v>56 кОм</ns0:v>
      </ns0:c>
      <ns0:c r="E553" t="str" s="10">
        <ns0:v>±1%</ns0:v>
      </ns0:c>
      <ns0:c r="F553" t="str" s="10">
        <ns0:v>0,125 Вт</ns0:v>
      </ns0:c>
      <ns0:c r="G553" t="str" s="10">
        <ns0:v>150 В макс.</ns0:v>
      </ns0:c>
      <ns0:c r="H553" t="str" s="12">
        <ns0:v>0805</ns0:v>
      </ns0:c>
      <ns0:c r="I553" t="str" s="10">
        <ns0:v>YAGEO</ns0:v>
      </ns0:c>
      <ns0:c r="J553" t="str" s="10">
        <ns0:v>RC0805FR-0756KL</ns0:v>
      </ns0:c>
      <ns0:c r="K553" t="str" s="11">
        <ns0:f>B553&amp;" "&amp;D553&amp;" "&amp;E553&amp;" "&amp;H553</ns0:f>
        <ns0:v>Резистор 56 кОм ±1% 0805</ns0:v>
      </ns0:c>
      <ns0:c r="L553" t="str" s="13">
        <ns0:v>R</ns0:v>
      </ns0:c>
      <ns0:c r="M553" t="str" s="13">
        <ns0:v>Symbols\MY_LIB_Resistors.SchLib</ns0:v>
      </ns0:c>
      <ns0:c r="N553" t="str" s="13">
        <ns0:v>RESC2012X70N</ns0:v>
      </ns0:c>
      <ns0:c r="O553" t="str" s="13">
        <ns0:v>Footprints\PBL - SMD Packages.PcbLib</ns0:v>
      </ns0:c>
      <ns0:c xmlns:ns0="http://schemas.openxmlformats.org/spreadsheetml/2006/main" r="P55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3" s="10"/>
      <ns0:c r="R553" t="str" s="11">
        <ns0:f>D553</ns0:f>
        <ns0:v>56 кОм</ns0:v>
      </ns0:c>
      <ns0:c r="S553" t="str" s="11">
        <ns0:f>K553</ns0:f>
        <ns0:v>Резистор 56 кОм ±1% 0805</ns0:v>
      </ns0:c>
      <x:c xmlns:x="http://schemas.openxmlformats.org/spreadsheetml/2006/main" r="T553" t="str" s="11">
        <x:v>C:\Users\Nomatin\Documents\Altium\MY_LIB\MY_LIB\Datasheets\YAGEO_RC_L.pdf</x:v>
      </x:c>
      <x:c xmlns:x="http://schemas.openxmlformats.org/spreadsheetml/2006/main" r="U553" t="str" s="11">
        <x:v>Даташит — локальный</x:v>
      </x:c>
      <x:c xmlns:x="http://schemas.openxmlformats.org/spreadsheetml/2006/main" r="V553" t="str" s="11">
        <x:v>C:\Users\Nomatin\Documents\Altium\MY_LIB\MY_LIB\Datasheets\YAGEO_RC_L.pdf</x:v>
      </x:c>
      <x:c xmlns:x="http://schemas.openxmlformats.org/spreadsheetml/2006/main" r="W553" t="str" s="11">
        <x:v>Даташит — производитель</x:v>
      </x:c>
      <x:c xmlns:x="http://schemas.openxmlformats.org/spreadsheetml/2006/main" r="X553" t="str" s="11">
        <x:v>https://yageogroup.com/content/datasheet/asset/file/PYU-RC_GROUP_51_ROHS_L</x:v>
      </x:c>
      <x:c xmlns:x="http://schemas.openxmlformats.org/spreadsheetml/2006/main" r="Y553" t="str" s="11">
        <x:v>C:\Users\Nomatin\Documents\Altium\MY_LIB\MY_LIB\Datasheets\YAGEO_RC_L.pdf</x:v>
      </x:c>
      <ns0:c xmlns:ns0="http://schemas.openxmlformats.org/spreadsheetml/2006/main" r="Z553" s="16" t="inlineStr">
        <ns0:is>
          <ns0:t>MY_LIB_R_TCR</ns0:t>
        </ns0:is>
      </ns0:c>
      <ns0:c xmlns:ns0="http://schemas.openxmlformats.org/spreadsheetml/2006/main" r="AA553" s="16" t="inlineStr">
        <ns0:is>
          <ns0:t>R(T), +100 ppm/C at 25 C; positive datasheet limit</ns0:t>
        </ns0:is>
      </ns0:c>
      <ns0:c xmlns:ns0="http://schemas.openxmlformats.org/spreadsheetml/2006/main" r="AB553" s="16" t="str">
        <ns0:v>General</ns0:v>
      </ns0:c>
      <ns0:c xmlns:ns0="http://schemas.openxmlformats.org/spreadsheetml/2006/main" r="AC553" s="16" t="inlineStr">
        <ns0:is>
          <ns0:t>Spice Subcircuit</ns0:t>
        </ns0:is>
      </ns0:c>
      <ns0:c xmlns:ns0="http://schemas.openxmlformats.org/spreadsheetml/2006/main" r="AD553" s="16" t="inlineStr">
        <ns0:is>
          <ns0:t>@DESIGNATOR %1 %2 @MODEL PARAMS: Rvalue=@VALUE TC1value=100u</ns0:t>
        </ns0:is>
      </ns0:c>
      <ns0:c xmlns:ns0="http://schemas.openxmlformats.org/spreadsheetml/2006/main" r="AE553" s="16" t="inlineStr">
        <ns0:is>
          <ns0:t>X</ns0:t>
        </ns0:is>
      </ns0:c>
      <ns0:c xmlns:ns0="http://schemas.openxmlformats.org/spreadsheetml/2006/main" r="AF553" s="16" t="str">
        <ns0:v>(1:1),(2:2)</ns0:v>
      </ns0:c>
      <ns0:c xmlns:ns0="http://schemas.openxmlformats.org/spreadsheetml/2006/main" r="AG553" s="16" t="inlineStr">
        <ns0:is>
          <ns0:t>Simulation\Resistors\MY_LIB_R_TCR.ckt</ns0:t>
        </ns0:is>
      </ns0:c>
      <ns0:c xmlns:ns0="http://schemas.openxmlformats.org/spreadsheetml/2006/main" r="AH553" s="16" t="inlineStr">
        <ns0:is>
          <ns0:t>±100 ppm/°C</ns0:t>
        </ns0:is>
      </ns0:c>
    </ns0:row>
    <ns0:row xmlns:ns0="http://schemas.openxmlformats.org/spreadsheetml/2006/main" r="554" ht="30" customHeight="1">
      <ns0:c r="A554" t="str" s="10">
        <ns0:v>R0560</ns0:v>
      </ns0:c>
      <ns0:c r="B554" t="str" s="10">
        <ns0:v>Резистор</ns0:v>
      </ns0:c>
      <ns0:c r="C554" t="str" s="10">
        <ns0:v>62k</ns0:v>
      </ns0:c>
      <ns0:c r="D554" t="str" s="11">
        <ns0:f>SUBSTITUTE(SUBSTITUTE(SUBSTITUTE(SUBSTITUTE(C554,"meg"," МОм"),"k"," кОм"),"R"," Ом"),".",",")</ns0:f>
        <ns0:v>62 кОм</ns0:v>
      </ns0:c>
      <ns0:c r="E554" t="str" s="10">
        <ns0:v>±1%</ns0:v>
      </ns0:c>
      <ns0:c r="F554" t="str" s="10">
        <ns0:v>0,125 Вт</ns0:v>
      </ns0:c>
      <ns0:c r="G554" t="str" s="10">
        <ns0:v>150 В макс.</ns0:v>
      </ns0:c>
      <ns0:c r="H554" t="str" s="12">
        <ns0:v>0805</ns0:v>
      </ns0:c>
      <ns0:c r="I554" t="str" s="10">
        <ns0:v>YAGEO</ns0:v>
      </ns0:c>
      <ns0:c r="J554" t="str" s="10">
        <ns0:v>RC0805FR-0762KL</ns0:v>
      </ns0:c>
      <ns0:c r="K554" t="str" s="11">
        <ns0:f>B554&amp;" "&amp;D554&amp;" "&amp;E554&amp;" "&amp;H554</ns0:f>
        <ns0:v>Резистор 62 кОм ±1% 0805</ns0:v>
      </ns0:c>
      <ns0:c r="L554" t="str" s="13">
        <ns0:v>R</ns0:v>
      </ns0:c>
      <ns0:c r="M554" t="str" s="13">
        <ns0:v>Symbols\MY_LIB_Resistors.SchLib</ns0:v>
      </ns0:c>
      <ns0:c r="N554" t="str" s="13">
        <ns0:v>RESC2012X70N</ns0:v>
      </ns0:c>
      <ns0:c r="O554" t="str" s="13">
        <ns0:v>Footprints\PBL - SMD Packages.PcbLib</ns0:v>
      </ns0:c>
      <ns0:c xmlns:ns0="http://schemas.openxmlformats.org/spreadsheetml/2006/main" r="P55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4" s="10"/>
      <ns0:c r="R554" t="str" s="11">
        <ns0:f>D554</ns0:f>
        <ns0:v>62 кОм</ns0:v>
      </ns0:c>
      <ns0:c r="S554" t="str" s="11">
        <ns0:f>K554</ns0:f>
        <ns0:v>Резистор 62 кОм ±1% 0805</ns0:v>
      </ns0:c>
      <x:c xmlns:x="http://schemas.openxmlformats.org/spreadsheetml/2006/main" r="T554" t="str" s="11">
        <x:v>C:\Users\Nomatin\Documents\Altium\MY_LIB\MY_LIB\Datasheets\YAGEO_RC_L.pdf</x:v>
      </x:c>
      <x:c xmlns:x="http://schemas.openxmlformats.org/spreadsheetml/2006/main" r="U554" t="str" s="11">
        <x:v>Даташит — локальный</x:v>
      </x:c>
      <x:c xmlns:x="http://schemas.openxmlformats.org/spreadsheetml/2006/main" r="V554" t="str" s="11">
        <x:v>C:\Users\Nomatin\Documents\Altium\MY_LIB\MY_LIB\Datasheets\YAGEO_RC_L.pdf</x:v>
      </x:c>
      <x:c xmlns:x="http://schemas.openxmlformats.org/spreadsheetml/2006/main" r="W554" t="str" s="11">
        <x:v>Даташит — производитель</x:v>
      </x:c>
      <x:c xmlns:x="http://schemas.openxmlformats.org/spreadsheetml/2006/main" r="X554" t="str" s="11">
        <x:v>https://yageogroup.com/content/datasheet/asset/file/PYU-RC_GROUP_51_ROHS_L</x:v>
      </x:c>
      <x:c xmlns:x="http://schemas.openxmlformats.org/spreadsheetml/2006/main" r="Y554" t="str" s="11">
        <x:v>C:\Users\Nomatin\Documents\Altium\MY_LIB\MY_LIB\Datasheets\YAGEO_RC_L.pdf</x:v>
      </x:c>
      <ns0:c xmlns:ns0="http://schemas.openxmlformats.org/spreadsheetml/2006/main" r="Z554" s="16" t="inlineStr">
        <ns0:is>
          <ns0:t>MY_LIB_R_TCR</ns0:t>
        </ns0:is>
      </ns0:c>
      <ns0:c xmlns:ns0="http://schemas.openxmlformats.org/spreadsheetml/2006/main" r="AA554" s="16" t="inlineStr">
        <ns0:is>
          <ns0:t>R(T), +100 ppm/C at 25 C; positive datasheet limit</ns0:t>
        </ns0:is>
      </ns0:c>
      <ns0:c xmlns:ns0="http://schemas.openxmlformats.org/spreadsheetml/2006/main" r="AB554" s="16" t="str">
        <ns0:v>General</ns0:v>
      </ns0:c>
      <ns0:c xmlns:ns0="http://schemas.openxmlformats.org/spreadsheetml/2006/main" r="AC554" s="16" t="inlineStr">
        <ns0:is>
          <ns0:t>Spice Subcircuit</ns0:t>
        </ns0:is>
      </ns0:c>
      <ns0:c xmlns:ns0="http://schemas.openxmlformats.org/spreadsheetml/2006/main" r="AD554" s="16" t="inlineStr">
        <ns0:is>
          <ns0:t>@DESIGNATOR %1 %2 @MODEL PARAMS: Rvalue=@VALUE TC1value=100u</ns0:t>
        </ns0:is>
      </ns0:c>
      <ns0:c xmlns:ns0="http://schemas.openxmlformats.org/spreadsheetml/2006/main" r="AE554" s="16" t="inlineStr">
        <ns0:is>
          <ns0:t>X</ns0:t>
        </ns0:is>
      </ns0:c>
      <ns0:c xmlns:ns0="http://schemas.openxmlformats.org/spreadsheetml/2006/main" r="AF554" s="16" t="str">
        <ns0:v>(1:1),(2:2)</ns0:v>
      </ns0:c>
      <ns0:c xmlns:ns0="http://schemas.openxmlformats.org/spreadsheetml/2006/main" r="AG554" s="16" t="inlineStr">
        <ns0:is>
          <ns0:t>Simulation\Resistors\MY_LIB_R_TCR.ckt</ns0:t>
        </ns0:is>
      </ns0:c>
      <ns0:c xmlns:ns0="http://schemas.openxmlformats.org/spreadsheetml/2006/main" r="AH554" s="16" t="inlineStr">
        <ns0:is>
          <ns0:t>±100 ppm/°C</ns0:t>
        </ns0:is>
      </ns0:c>
    </ns0:row>
    <ns0:row xmlns:ns0="http://schemas.openxmlformats.org/spreadsheetml/2006/main" r="555" ht="30" customHeight="1">
      <ns0:c r="A555" t="str" s="10">
        <ns0:v>R0561</ns0:v>
      </ns0:c>
      <ns0:c r="B555" t="str" s="10">
        <ns0:v>Резистор</ns0:v>
      </ns0:c>
      <ns0:c r="C555" t="str" s="10">
        <ns0:v>68k</ns0:v>
      </ns0:c>
      <ns0:c r="D555" t="str" s="11">
        <ns0:f>SUBSTITUTE(SUBSTITUTE(SUBSTITUTE(SUBSTITUTE(C555,"meg"," МОм"),"k"," кОм"),"R"," Ом"),".",",")</ns0:f>
        <ns0:v>68 кОм</ns0:v>
      </ns0:c>
      <ns0:c r="E555" t="str" s="10">
        <ns0:v>±1%</ns0:v>
      </ns0:c>
      <ns0:c r="F555" t="str" s="10">
        <ns0:v>0,125 Вт</ns0:v>
      </ns0:c>
      <ns0:c r="G555" t="str" s="10">
        <ns0:v>150 В макс.</ns0:v>
      </ns0:c>
      <ns0:c r="H555" t="str" s="12">
        <ns0:v>0805</ns0:v>
      </ns0:c>
      <ns0:c r="I555" t="str" s="10">
        <ns0:v>YAGEO</ns0:v>
      </ns0:c>
      <ns0:c r="J555" t="str" s="10">
        <ns0:v>RC0805FR-0768KL</ns0:v>
      </ns0:c>
      <ns0:c r="K555" t="str" s="11">
        <ns0:f>B555&amp;" "&amp;D555&amp;" "&amp;E555&amp;" "&amp;H555</ns0:f>
        <ns0:v>Резистор 68 кОм ±1% 0805</ns0:v>
      </ns0:c>
      <ns0:c r="L555" t="str" s="13">
        <ns0:v>R</ns0:v>
      </ns0:c>
      <ns0:c r="M555" t="str" s="13">
        <ns0:v>Symbols\MY_LIB_Resistors.SchLib</ns0:v>
      </ns0:c>
      <ns0:c r="N555" t="str" s="13">
        <ns0:v>RESC2012X70N</ns0:v>
      </ns0:c>
      <ns0:c r="O555" t="str" s="13">
        <ns0:v>Footprints\PBL - SMD Packages.PcbLib</ns0:v>
      </ns0:c>
      <ns0:c xmlns:ns0="http://schemas.openxmlformats.org/spreadsheetml/2006/main" r="P55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5" s="10"/>
      <ns0:c r="R555" t="str" s="11">
        <ns0:f>D555</ns0:f>
        <ns0:v>68 кОм</ns0:v>
      </ns0:c>
      <ns0:c r="S555" t="str" s="11">
        <ns0:f>K555</ns0:f>
        <ns0:v>Резистор 68 кОм ±1% 0805</ns0:v>
      </ns0:c>
      <x:c xmlns:x="http://schemas.openxmlformats.org/spreadsheetml/2006/main" r="T555" t="str" s="11">
        <x:v>C:\Users\Nomatin\Documents\Altium\MY_LIB\MY_LIB\Datasheets\YAGEO_RC_L.pdf</x:v>
      </x:c>
      <x:c xmlns:x="http://schemas.openxmlformats.org/spreadsheetml/2006/main" r="U555" t="str" s="11">
        <x:v>Даташит — локальный</x:v>
      </x:c>
      <x:c xmlns:x="http://schemas.openxmlformats.org/spreadsheetml/2006/main" r="V555" t="str" s="11">
        <x:v>C:\Users\Nomatin\Documents\Altium\MY_LIB\MY_LIB\Datasheets\YAGEO_RC_L.pdf</x:v>
      </x:c>
      <x:c xmlns:x="http://schemas.openxmlformats.org/spreadsheetml/2006/main" r="W555" t="str" s="11">
        <x:v>Даташит — производитель</x:v>
      </x:c>
      <x:c xmlns:x="http://schemas.openxmlformats.org/spreadsheetml/2006/main" r="X555" t="str" s="11">
        <x:v>https://yageogroup.com/content/datasheet/asset/file/PYU-RC_GROUP_51_ROHS_L</x:v>
      </x:c>
      <x:c xmlns:x="http://schemas.openxmlformats.org/spreadsheetml/2006/main" r="Y555" t="str" s="11">
        <x:v>C:\Users\Nomatin\Documents\Altium\MY_LIB\MY_LIB\Datasheets\YAGEO_RC_L.pdf</x:v>
      </x:c>
      <ns0:c xmlns:ns0="http://schemas.openxmlformats.org/spreadsheetml/2006/main" r="Z555" s="16" t="inlineStr">
        <ns0:is>
          <ns0:t>MY_LIB_R_TCR</ns0:t>
        </ns0:is>
      </ns0:c>
      <ns0:c xmlns:ns0="http://schemas.openxmlformats.org/spreadsheetml/2006/main" r="AA555" s="16" t="inlineStr">
        <ns0:is>
          <ns0:t>R(T), +100 ppm/C at 25 C; positive datasheet limit</ns0:t>
        </ns0:is>
      </ns0:c>
      <ns0:c xmlns:ns0="http://schemas.openxmlformats.org/spreadsheetml/2006/main" r="AB555" s="16" t="str">
        <ns0:v>General</ns0:v>
      </ns0:c>
      <ns0:c xmlns:ns0="http://schemas.openxmlformats.org/spreadsheetml/2006/main" r="AC555" s="16" t="inlineStr">
        <ns0:is>
          <ns0:t>Spice Subcircuit</ns0:t>
        </ns0:is>
      </ns0:c>
      <ns0:c xmlns:ns0="http://schemas.openxmlformats.org/spreadsheetml/2006/main" r="AD555" s="16" t="inlineStr">
        <ns0:is>
          <ns0:t>@DESIGNATOR %1 %2 @MODEL PARAMS: Rvalue=@VALUE TC1value=100u</ns0:t>
        </ns0:is>
      </ns0:c>
      <ns0:c xmlns:ns0="http://schemas.openxmlformats.org/spreadsheetml/2006/main" r="AE555" s="16" t="inlineStr">
        <ns0:is>
          <ns0:t>X</ns0:t>
        </ns0:is>
      </ns0:c>
      <ns0:c xmlns:ns0="http://schemas.openxmlformats.org/spreadsheetml/2006/main" r="AF555" s="16" t="str">
        <ns0:v>(1:1),(2:2)</ns0:v>
      </ns0:c>
      <ns0:c xmlns:ns0="http://schemas.openxmlformats.org/spreadsheetml/2006/main" r="AG555" s="16" t="inlineStr">
        <ns0:is>
          <ns0:t>Simulation\Resistors\MY_LIB_R_TCR.ckt</ns0:t>
        </ns0:is>
      </ns0:c>
      <ns0:c xmlns:ns0="http://schemas.openxmlformats.org/spreadsheetml/2006/main" r="AH555" s="16" t="inlineStr">
        <ns0:is>
          <ns0:t>±100 ppm/°C</ns0:t>
        </ns0:is>
      </ns0:c>
    </ns0:row>
    <ns0:row xmlns:ns0="http://schemas.openxmlformats.org/spreadsheetml/2006/main" r="556" ht="30" customHeight="1">
      <ns0:c r="A556" t="str" s="10">
        <ns0:v>R0562</ns0:v>
      </ns0:c>
      <ns0:c r="B556" t="str" s="10">
        <ns0:v>Резистор</ns0:v>
      </ns0:c>
      <ns0:c r="C556" t="str" s="10">
        <ns0:v>75k</ns0:v>
      </ns0:c>
      <ns0:c r="D556" t="str" s="11">
        <ns0:f>SUBSTITUTE(SUBSTITUTE(SUBSTITUTE(SUBSTITUTE(C556,"meg"," МОм"),"k"," кОм"),"R"," Ом"),".",",")</ns0:f>
        <ns0:v>75 кОм</ns0:v>
      </ns0:c>
      <ns0:c r="E556" t="str" s="10">
        <ns0:v>±1%</ns0:v>
      </ns0:c>
      <ns0:c r="F556" t="str" s="10">
        <ns0:v>0,125 Вт</ns0:v>
      </ns0:c>
      <ns0:c r="G556" t="str" s="10">
        <ns0:v>150 В макс.</ns0:v>
      </ns0:c>
      <ns0:c r="H556" t="str" s="12">
        <ns0:v>0805</ns0:v>
      </ns0:c>
      <ns0:c r="I556" t="str" s="10">
        <ns0:v>YAGEO</ns0:v>
      </ns0:c>
      <ns0:c r="J556" t="str" s="10">
        <ns0:v>RC0805FR-0775KL</ns0:v>
      </ns0:c>
      <ns0:c r="K556" t="str" s="11">
        <ns0:f>B556&amp;" "&amp;D556&amp;" "&amp;E556&amp;" "&amp;H556</ns0:f>
        <ns0:v>Резистор 75 кОм ±1% 0805</ns0:v>
      </ns0:c>
      <ns0:c r="L556" t="str" s="13">
        <ns0:v>R</ns0:v>
      </ns0:c>
      <ns0:c r="M556" t="str" s="13">
        <ns0:v>Symbols\MY_LIB_Resistors.SchLib</ns0:v>
      </ns0:c>
      <ns0:c r="N556" t="str" s="13">
        <ns0:v>RESC2012X70N</ns0:v>
      </ns0:c>
      <ns0:c r="O556" t="str" s="13">
        <ns0:v>Footprints\PBL - SMD Packages.PcbLib</ns0:v>
      </ns0:c>
      <ns0:c xmlns:ns0="http://schemas.openxmlformats.org/spreadsheetml/2006/main" r="P55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6" s="10"/>
      <ns0:c r="R556" t="str" s="11">
        <ns0:f>D556</ns0:f>
        <ns0:v>75 кОм</ns0:v>
      </ns0:c>
      <ns0:c r="S556" t="str" s="11">
        <ns0:f>K556</ns0:f>
        <ns0:v>Резистор 75 кОм ±1% 0805</ns0:v>
      </ns0:c>
      <x:c xmlns:x="http://schemas.openxmlformats.org/spreadsheetml/2006/main" r="T556" t="str" s="11">
        <x:v>C:\Users\Nomatin\Documents\Altium\MY_LIB\MY_LIB\Datasheets\YAGEO_RC_L.pdf</x:v>
      </x:c>
      <x:c xmlns:x="http://schemas.openxmlformats.org/spreadsheetml/2006/main" r="U556" t="str" s="11">
        <x:v>Даташит — локальный</x:v>
      </x:c>
      <x:c xmlns:x="http://schemas.openxmlformats.org/spreadsheetml/2006/main" r="V556" t="str" s="11">
        <x:v>C:\Users\Nomatin\Documents\Altium\MY_LIB\MY_LIB\Datasheets\YAGEO_RC_L.pdf</x:v>
      </x:c>
      <x:c xmlns:x="http://schemas.openxmlformats.org/spreadsheetml/2006/main" r="W556" t="str" s="11">
        <x:v>Даташит — производитель</x:v>
      </x:c>
      <x:c xmlns:x="http://schemas.openxmlformats.org/spreadsheetml/2006/main" r="X556" t="str" s="11">
        <x:v>https://yageogroup.com/content/datasheet/asset/file/PYU-RC_GROUP_51_ROHS_L</x:v>
      </x:c>
      <x:c xmlns:x="http://schemas.openxmlformats.org/spreadsheetml/2006/main" r="Y556" t="str" s="11">
        <x:v>C:\Users\Nomatin\Documents\Altium\MY_LIB\MY_LIB\Datasheets\YAGEO_RC_L.pdf</x:v>
      </x:c>
      <ns0:c xmlns:ns0="http://schemas.openxmlformats.org/spreadsheetml/2006/main" r="Z556" s="16" t="inlineStr">
        <ns0:is>
          <ns0:t>MY_LIB_R_TCR</ns0:t>
        </ns0:is>
      </ns0:c>
      <ns0:c xmlns:ns0="http://schemas.openxmlformats.org/spreadsheetml/2006/main" r="AA556" s="16" t="inlineStr">
        <ns0:is>
          <ns0:t>R(T), +100 ppm/C at 25 C; positive datasheet limit</ns0:t>
        </ns0:is>
      </ns0:c>
      <ns0:c xmlns:ns0="http://schemas.openxmlformats.org/spreadsheetml/2006/main" r="AB556" s="16" t="str">
        <ns0:v>General</ns0:v>
      </ns0:c>
      <ns0:c xmlns:ns0="http://schemas.openxmlformats.org/spreadsheetml/2006/main" r="AC556" s="16" t="inlineStr">
        <ns0:is>
          <ns0:t>Spice Subcircuit</ns0:t>
        </ns0:is>
      </ns0:c>
      <ns0:c xmlns:ns0="http://schemas.openxmlformats.org/spreadsheetml/2006/main" r="AD556" s="16" t="inlineStr">
        <ns0:is>
          <ns0:t>@DESIGNATOR %1 %2 @MODEL PARAMS: Rvalue=@VALUE TC1value=100u</ns0:t>
        </ns0:is>
      </ns0:c>
      <ns0:c xmlns:ns0="http://schemas.openxmlformats.org/spreadsheetml/2006/main" r="AE556" s="16" t="inlineStr">
        <ns0:is>
          <ns0:t>X</ns0:t>
        </ns0:is>
      </ns0:c>
      <ns0:c xmlns:ns0="http://schemas.openxmlformats.org/spreadsheetml/2006/main" r="AF556" s="16" t="str">
        <ns0:v>(1:1),(2:2)</ns0:v>
      </ns0:c>
      <ns0:c xmlns:ns0="http://schemas.openxmlformats.org/spreadsheetml/2006/main" r="AG556" s="16" t="inlineStr">
        <ns0:is>
          <ns0:t>Simulation\Resistors\MY_LIB_R_TCR.ckt</ns0:t>
        </ns0:is>
      </ns0:c>
      <ns0:c xmlns:ns0="http://schemas.openxmlformats.org/spreadsheetml/2006/main" r="AH556" s="16" t="inlineStr">
        <ns0:is>
          <ns0:t>±100 ppm/°C</ns0:t>
        </ns0:is>
      </ns0:c>
    </ns0:row>
    <ns0:row xmlns:ns0="http://schemas.openxmlformats.org/spreadsheetml/2006/main" r="557" ht="30" customHeight="1">
      <ns0:c r="A557" t="str" s="10">
        <ns0:v>R0563</ns0:v>
      </ns0:c>
      <ns0:c r="B557" t="str" s="10">
        <ns0:v>Резистор</ns0:v>
      </ns0:c>
      <ns0:c r="C557" t="str" s="10">
        <ns0:v>82k</ns0:v>
      </ns0:c>
      <ns0:c r="D557" t="str" s="11">
        <ns0:f>SUBSTITUTE(SUBSTITUTE(SUBSTITUTE(SUBSTITUTE(C557,"meg"," МОм"),"k"," кОм"),"R"," Ом"),".",",")</ns0:f>
        <ns0:v>82 кОм</ns0:v>
      </ns0:c>
      <ns0:c r="E557" t="str" s="10">
        <ns0:v>±1%</ns0:v>
      </ns0:c>
      <ns0:c r="F557" t="str" s="10">
        <ns0:v>0,125 Вт</ns0:v>
      </ns0:c>
      <ns0:c r="G557" t="str" s="10">
        <ns0:v>150 В макс.</ns0:v>
      </ns0:c>
      <ns0:c r="H557" t="str" s="12">
        <ns0:v>0805</ns0:v>
      </ns0:c>
      <ns0:c r="I557" t="str" s="10">
        <ns0:v>YAGEO</ns0:v>
      </ns0:c>
      <ns0:c r="J557" t="str" s="10">
        <ns0:v>RC0805FR-0782KL</ns0:v>
      </ns0:c>
      <ns0:c r="K557" t="str" s="11">
        <ns0:f>B557&amp;" "&amp;D557&amp;" "&amp;E557&amp;" "&amp;H557</ns0:f>
        <ns0:v>Резистор 82 кОм ±1% 0805</ns0:v>
      </ns0:c>
      <ns0:c r="L557" t="str" s="13">
        <ns0:v>R</ns0:v>
      </ns0:c>
      <ns0:c r="M557" t="str" s="13">
        <ns0:v>Symbols\MY_LIB_Resistors.SchLib</ns0:v>
      </ns0:c>
      <ns0:c r="N557" t="str" s="13">
        <ns0:v>RESC2012X70N</ns0:v>
      </ns0:c>
      <ns0:c r="O557" t="str" s="13">
        <ns0:v>Footprints\PBL - SMD Packages.PcbLib</ns0:v>
      </ns0:c>
      <ns0:c xmlns:ns0="http://schemas.openxmlformats.org/spreadsheetml/2006/main" r="P55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7" s="10"/>
      <ns0:c r="R557" t="str" s="11">
        <ns0:f>D557</ns0:f>
        <ns0:v>82 кОм</ns0:v>
      </ns0:c>
      <ns0:c r="S557" t="str" s="11">
        <ns0:f>K557</ns0:f>
        <ns0:v>Резистор 82 кОм ±1% 0805</ns0:v>
      </ns0:c>
      <x:c xmlns:x="http://schemas.openxmlformats.org/spreadsheetml/2006/main" r="T557" t="str" s="11">
        <x:v>C:\Users\Nomatin\Documents\Altium\MY_LIB\MY_LIB\Datasheets\YAGEO_RC_L.pdf</x:v>
      </x:c>
      <x:c xmlns:x="http://schemas.openxmlformats.org/spreadsheetml/2006/main" r="U557" t="str" s="11">
        <x:v>Даташит — локальный</x:v>
      </x:c>
      <x:c xmlns:x="http://schemas.openxmlformats.org/spreadsheetml/2006/main" r="V557" t="str" s="11">
        <x:v>C:\Users\Nomatin\Documents\Altium\MY_LIB\MY_LIB\Datasheets\YAGEO_RC_L.pdf</x:v>
      </x:c>
      <x:c xmlns:x="http://schemas.openxmlformats.org/spreadsheetml/2006/main" r="W557" t="str" s="11">
        <x:v>Даташит — производитель</x:v>
      </x:c>
      <x:c xmlns:x="http://schemas.openxmlformats.org/spreadsheetml/2006/main" r="X557" t="str" s="11">
        <x:v>https://yageogroup.com/content/datasheet/asset/file/PYU-RC_GROUP_51_ROHS_L</x:v>
      </x:c>
      <x:c xmlns:x="http://schemas.openxmlformats.org/spreadsheetml/2006/main" r="Y557" t="str" s="11">
        <x:v>C:\Users\Nomatin\Documents\Altium\MY_LIB\MY_LIB\Datasheets\YAGEO_RC_L.pdf</x:v>
      </x:c>
      <ns0:c xmlns:ns0="http://schemas.openxmlformats.org/spreadsheetml/2006/main" r="Z557" s="16" t="inlineStr">
        <ns0:is>
          <ns0:t>MY_LIB_R_TCR</ns0:t>
        </ns0:is>
      </ns0:c>
      <ns0:c xmlns:ns0="http://schemas.openxmlformats.org/spreadsheetml/2006/main" r="AA557" s="16" t="inlineStr">
        <ns0:is>
          <ns0:t>R(T), +100 ppm/C at 25 C; positive datasheet limit</ns0:t>
        </ns0:is>
      </ns0:c>
      <ns0:c xmlns:ns0="http://schemas.openxmlformats.org/spreadsheetml/2006/main" r="AB557" s="16" t="str">
        <ns0:v>General</ns0:v>
      </ns0:c>
      <ns0:c xmlns:ns0="http://schemas.openxmlformats.org/spreadsheetml/2006/main" r="AC557" s="16" t="inlineStr">
        <ns0:is>
          <ns0:t>Spice Subcircuit</ns0:t>
        </ns0:is>
      </ns0:c>
      <ns0:c xmlns:ns0="http://schemas.openxmlformats.org/spreadsheetml/2006/main" r="AD557" s="16" t="inlineStr">
        <ns0:is>
          <ns0:t>@DESIGNATOR %1 %2 @MODEL PARAMS: Rvalue=@VALUE TC1value=100u</ns0:t>
        </ns0:is>
      </ns0:c>
      <ns0:c xmlns:ns0="http://schemas.openxmlformats.org/spreadsheetml/2006/main" r="AE557" s="16" t="inlineStr">
        <ns0:is>
          <ns0:t>X</ns0:t>
        </ns0:is>
      </ns0:c>
      <ns0:c xmlns:ns0="http://schemas.openxmlformats.org/spreadsheetml/2006/main" r="AF557" s="16" t="str">
        <ns0:v>(1:1),(2:2)</ns0:v>
      </ns0:c>
      <ns0:c xmlns:ns0="http://schemas.openxmlformats.org/spreadsheetml/2006/main" r="AG557" s="16" t="inlineStr">
        <ns0:is>
          <ns0:t>Simulation\Resistors\MY_LIB_R_TCR.ckt</ns0:t>
        </ns0:is>
      </ns0:c>
      <ns0:c xmlns:ns0="http://schemas.openxmlformats.org/spreadsheetml/2006/main" r="AH557" s="16" t="inlineStr">
        <ns0:is>
          <ns0:t>±100 ppm/°C</ns0:t>
        </ns0:is>
      </ns0:c>
    </ns0:row>
    <ns0:row xmlns:ns0="http://schemas.openxmlformats.org/spreadsheetml/2006/main" r="558" ht="30" customHeight="1">
      <ns0:c r="A558" t="str" s="10">
        <ns0:v>R0564</ns0:v>
      </ns0:c>
      <ns0:c r="B558" t="str" s="10">
        <ns0:v>Резистор</ns0:v>
      </ns0:c>
      <ns0:c r="C558" t="str" s="10">
        <ns0:v>91k</ns0:v>
      </ns0:c>
      <ns0:c r="D558" t="str" s="11">
        <ns0:f>SUBSTITUTE(SUBSTITUTE(SUBSTITUTE(SUBSTITUTE(C558,"meg"," МОм"),"k"," кОм"),"R"," Ом"),".",",")</ns0:f>
        <ns0:v>91 кОм</ns0:v>
      </ns0:c>
      <ns0:c r="E558" t="str" s="10">
        <ns0:v>±1%</ns0:v>
      </ns0:c>
      <ns0:c r="F558" t="str" s="10">
        <ns0:v>0,125 Вт</ns0:v>
      </ns0:c>
      <ns0:c r="G558" t="str" s="10">
        <ns0:v>150 В макс.</ns0:v>
      </ns0:c>
      <ns0:c r="H558" t="str" s="12">
        <ns0:v>0805</ns0:v>
      </ns0:c>
      <ns0:c r="I558" t="str" s="10">
        <ns0:v>YAGEO</ns0:v>
      </ns0:c>
      <ns0:c r="J558" t="str" s="10">
        <ns0:v>RC0805FR-0791KL</ns0:v>
      </ns0:c>
      <ns0:c r="K558" t="str" s="11">
        <ns0:f>B558&amp;" "&amp;D558&amp;" "&amp;E558&amp;" "&amp;H558</ns0:f>
        <ns0:v>Резистор 91 кОм ±1% 0805</ns0:v>
      </ns0:c>
      <ns0:c r="L558" t="str" s="13">
        <ns0:v>R</ns0:v>
      </ns0:c>
      <ns0:c r="M558" t="str" s="13">
        <ns0:v>Symbols\MY_LIB_Resistors.SchLib</ns0:v>
      </ns0:c>
      <ns0:c r="N558" t="str" s="13">
        <ns0:v>RESC2012X70N</ns0:v>
      </ns0:c>
      <ns0:c r="O558" t="str" s="13">
        <ns0:v>Footprints\PBL - SMD Packages.PcbLib</ns0:v>
      </ns0:c>
      <ns0:c xmlns:ns0="http://schemas.openxmlformats.org/spreadsheetml/2006/main" r="P55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8" s="10"/>
      <ns0:c r="R558" t="str" s="11">
        <ns0:f>D558</ns0:f>
        <ns0:v>91 кОм</ns0:v>
      </ns0:c>
      <ns0:c r="S558" t="str" s="11">
        <ns0:f>K558</ns0:f>
        <ns0:v>Резистор 91 кОм ±1% 0805</ns0:v>
      </ns0:c>
      <x:c xmlns:x="http://schemas.openxmlformats.org/spreadsheetml/2006/main" r="T558" t="str" s="11">
        <x:v>C:\Users\Nomatin\Documents\Altium\MY_LIB\MY_LIB\Datasheets\YAGEO_RC_L.pdf</x:v>
      </x:c>
      <x:c xmlns:x="http://schemas.openxmlformats.org/spreadsheetml/2006/main" r="U558" t="str" s="11">
        <x:v>Даташит — локальный</x:v>
      </x:c>
      <x:c xmlns:x="http://schemas.openxmlformats.org/spreadsheetml/2006/main" r="V558" t="str" s="11">
        <x:v>C:\Users\Nomatin\Documents\Altium\MY_LIB\MY_LIB\Datasheets\YAGEO_RC_L.pdf</x:v>
      </x:c>
      <x:c xmlns:x="http://schemas.openxmlformats.org/spreadsheetml/2006/main" r="W558" t="str" s="11">
        <x:v>Даташит — производитель</x:v>
      </x:c>
      <x:c xmlns:x="http://schemas.openxmlformats.org/spreadsheetml/2006/main" r="X558" t="str" s="11">
        <x:v>https://yageogroup.com/content/datasheet/asset/file/PYU-RC_GROUP_51_ROHS_L</x:v>
      </x:c>
      <x:c xmlns:x="http://schemas.openxmlformats.org/spreadsheetml/2006/main" r="Y558" t="str" s="11">
        <x:v>C:\Users\Nomatin\Documents\Altium\MY_LIB\MY_LIB\Datasheets\YAGEO_RC_L.pdf</x:v>
      </x:c>
      <ns0:c xmlns:ns0="http://schemas.openxmlformats.org/spreadsheetml/2006/main" r="Z558" s="16" t="inlineStr">
        <ns0:is>
          <ns0:t>MY_LIB_R_TCR</ns0:t>
        </ns0:is>
      </ns0:c>
      <ns0:c xmlns:ns0="http://schemas.openxmlformats.org/spreadsheetml/2006/main" r="AA558" s="16" t="inlineStr">
        <ns0:is>
          <ns0:t>R(T), +100 ppm/C at 25 C; positive datasheet limit</ns0:t>
        </ns0:is>
      </ns0:c>
      <ns0:c xmlns:ns0="http://schemas.openxmlformats.org/spreadsheetml/2006/main" r="AB558" s="16" t="str">
        <ns0:v>General</ns0:v>
      </ns0:c>
      <ns0:c xmlns:ns0="http://schemas.openxmlformats.org/spreadsheetml/2006/main" r="AC558" s="16" t="inlineStr">
        <ns0:is>
          <ns0:t>Spice Subcircuit</ns0:t>
        </ns0:is>
      </ns0:c>
      <ns0:c xmlns:ns0="http://schemas.openxmlformats.org/spreadsheetml/2006/main" r="AD558" s="16" t="inlineStr">
        <ns0:is>
          <ns0:t>@DESIGNATOR %1 %2 @MODEL PARAMS: Rvalue=@VALUE TC1value=100u</ns0:t>
        </ns0:is>
      </ns0:c>
      <ns0:c xmlns:ns0="http://schemas.openxmlformats.org/spreadsheetml/2006/main" r="AE558" s="16" t="inlineStr">
        <ns0:is>
          <ns0:t>X</ns0:t>
        </ns0:is>
      </ns0:c>
      <ns0:c xmlns:ns0="http://schemas.openxmlformats.org/spreadsheetml/2006/main" r="AF558" s="16" t="str">
        <ns0:v>(1:1),(2:2)</ns0:v>
      </ns0:c>
      <ns0:c xmlns:ns0="http://schemas.openxmlformats.org/spreadsheetml/2006/main" r="AG558" s="16" t="inlineStr">
        <ns0:is>
          <ns0:t>Simulation\Resistors\MY_LIB_R_TCR.ckt</ns0:t>
        </ns0:is>
      </ns0:c>
      <ns0:c xmlns:ns0="http://schemas.openxmlformats.org/spreadsheetml/2006/main" r="AH558" s="16" t="inlineStr">
        <ns0:is>
          <ns0:t>±100 ppm/°C</ns0:t>
        </ns0:is>
      </ns0:c>
    </ns0:row>
    <ns0:row xmlns:ns0="http://schemas.openxmlformats.org/spreadsheetml/2006/main" r="559" ht="30" customHeight="1">
      <ns0:c r="A559" t="str" s="10">
        <ns0:v>R0565</ns0:v>
      </ns0:c>
      <ns0:c r="B559" t="str" s="10">
        <ns0:v>Резистор</ns0:v>
      </ns0:c>
      <ns0:c r="C559" t="str" s="10">
        <ns0:v>100k</ns0:v>
      </ns0:c>
      <ns0:c r="D559" t="str" s="11">
        <ns0:f>SUBSTITUTE(SUBSTITUTE(SUBSTITUTE(SUBSTITUTE(C559,"meg"," МОм"),"k"," кОм"),"R"," Ом"),".",",")</ns0:f>
        <ns0:v>100 кОм</ns0:v>
      </ns0:c>
      <ns0:c r="E559" t="str" s="10">
        <ns0:v>±1%</ns0:v>
      </ns0:c>
      <ns0:c r="F559" t="str" s="10">
        <ns0:v>0,125 Вт</ns0:v>
      </ns0:c>
      <ns0:c r="G559" t="str" s="10">
        <ns0:v>150 В макс.</ns0:v>
      </ns0:c>
      <ns0:c r="H559" t="str" s="12">
        <ns0:v>0805</ns0:v>
      </ns0:c>
      <ns0:c r="I559" t="str" s="10">
        <ns0:v>YAGEO</ns0:v>
      </ns0:c>
      <ns0:c r="J559" t="str" s="10">
        <ns0:v>RC0805FR-07100KL</ns0:v>
      </ns0:c>
      <ns0:c r="K559" t="str" s="11">
        <ns0:f>B559&amp;" "&amp;D559&amp;" "&amp;E559&amp;" "&amp;H559</ns0:f>
        <ns0:v>Резистор 100 кОм ±1% 0805</ns0:v>
      </ns0:c>
      <ns0:c r="L559" t="str" s="13">
        <ns0:v>R</ns0:v>
      </ns0:c>
      <ns0:c r="M559" t="str" s="13">
        <ns0:v>Symbols\MY_LIB_Resistors.SchLib</ns0:v>
      </ns0:c>
      <ns0:c r="N559" t="str" s="13">
        <ns0:v>RESC2012X70N</ns0:v>
      </ns0:c>
      <ns0:c r="O559" t="str" s="13">
        <ns0:v>Footprints\PBL - SMD Packages.PcbLib</ns0:v>
      </ns0:c>
      <ns0:c xmlns:ns0="http://schemas.openxmlformats.org/spreadsheetml/2006/main" r="P55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59" s="10"/>
      <ns0:c r="R559" t="str" s="11">
        <ns0:f>D559</ns0:f>
        <ns0:v>100 кОм</ns0:v>
      </ns0:c>
      <ns0:c r="S559" t="str" s="11">
        <ns0:f>K559</ns0:f>
        <ns0:v>Резистор 100 кОм ±1% 0805</ns0:v>
      </ns0:c>
      <x:c xmlns:x="http://schemas.openxmlformats.org/spreadsheetml/2006/main" r="T559" t="str" s="11">
        <x:v>C:\Users\Nomatin\Documents\Altium\MY_LIB\MY_LIB\Datasheets\YAGEO_RC_L.pdf</x:v>
      </x:c>
      <x:c xmlns:x="http://schemas.openxmlformats.org/spreadsheetml/2006/main" r="U559" t="str" s="11">
        <x:v>Даташит — локальный</x:v>
      </x:c>
      <x:c xmlns:x="http://schemas.openxmlformats.org/spreadsheetml/2006/main" r="V559" t="str" s="11">
        <x:v>C:\Users\Nomatin\Documents\Altium\MY_LIB\MY_LIB\Datasheets\YAGEO_RC_L.pdf</x:v>
      </x:c>
      <x:c xmlns:x="http://schemas.openxmlformats.org/spreadsheetml/2006/main" r="W559" t="str" s="11">
        <x:v>Даташит — производитель</x:v>
      </x:c>
      <x:c xmlns:x="http://schemas.openxmlformats.org/spreadsheetml/2006/main" r="X559" t="str" s="11">
        <x:v>https://yageogroup.com/content/datasheet/asset/file/PYU-RC_GROUP_51_ROHS_L</x:v>
      </x:c>
      <x:c xmlns:x="http://schemas.openxmlformats.org/spreadsheetml/2006/main" r="Y559" t="str" s="11">
        <x:v>C:\Users\Nomatin\Documents\Altium\MY_LIB\MY_LIB\Datasheets\YAGEO_RC_L.pdf</x:v>
      </x:c>
      <ns0:c xmlns:ns0="http://schemas.openxmlformats.org/spreadsheetml/2006/main" r="Z559" s="16" t="inlineStr">
        <ns0:is>
          <ns0:t>MY_LIB_R_TCR</ns0:t>
        </ns0:is>
      </ns0:c>
      <ns0:c xmlns:ns0="http://schemas.openxmlformats.org/spreadsheetml/2006/main" r="AA559" s="16" t="inlineStr">
        <ns0:is>
          <ns0:t>R(T), +100 ppm/C at 25 C; positive datasheet limit</ns0:t>
        </ns0:is>
      </ns0:c>
      <ns0:c xmlns:ns0="http://schemas.openxmlformats.org/spreadsheetml/2006/main" r="AB559" s="16" t="str">
        <ns0:v>General</ns0:v>
      </ns0:c>
      <ns0:c xmlns:ns0="http://schemas.openxmlformats.org/spreadsheetml/2006/main" r="AC559" s="16" t="inlineStr">
        <ns0:is>
          <ns0:t>Spice Subcircuit</ns0:t>
        </ns0:is>
      </ns0:c>
      <ns0:c xmlns:ns0="http://schemas.openxmlformats.org/spreadsheetml/2006/main" r="AD559" s="16" t="inlineStr">
        <ns0:is>
          <ns0:t>@DESIGNATOR %1 %2 @MODEL PARAMS: Rvalue=@VALUE TC1value=100u</ns0:t>
        </ns0:is>
      </ns0:c>
      <ns0:c xmlns:ns0="http://schemas.openxmlformats.org/spreadsheetml/2006/main" r="AE559" s="16" t="inlineStr">
        <ns0:is>
          <ns0:t>X</ns0:t>
        </ns0:is>
      </ns0:c>
      <ns0:c xmlns:ns0="http://schemas.openxmlformats.org/spreadsheetml/2006/main" r="AF559" s="16" t="str">
        <ns0:v>(1:1),(2:2)</ns0:v>
      </ns0:c>
      <ns0:c xmlns:ns0="http://schemas.openxmlformats.org/spreadsheetml/2006/main" r="AG559" s="16" t="inlineStr">
        <ns0:is>
          <ns0:t>Simulation\Resistors\MY_LIB_R_TCR.ckt</ns0:t>
        </ns0:is>
      </ns0:c>
      <ns0:c xmlns:ns0="http://schemas.openxmlformats.org/spreadsheetml/2006/main" r="AH559" s="16" t="inlineStr">
        <ns0:is>
          <ns0:t>±100 ppm/°C</ns0:t>
        </ns0:is>
      </ns0:c>
    </ns0:row>
    <ns0:row xmlns:ns0="http://schemas.openxmlformats.org/spreadsheetml/2006/main" r="560" ht="30" customHeight="1">
      <ns0:c r="A560" t="str" s="10">
        <ns0:v>R0566</ns0:v>
      </ns0:c>
      <ns0:c r="B560" t="str" s="10">
        <ns0:v>Резистор</ns0:v>
      </ns0:c>
      <ns0:c r="C560" t="str" s="10">
        <ns0:v>110k</ns0:v>
      </ns0:c>
      <ns0:c r="D560" t="str" s="11">
        <ns0:f>SUBSTITUTE(SUBSTITUTE(SUBSTITUTE(SUBSTITUTE(C560,"meg"," МОм"),"k"," кОм"),"R"," Ом"),".",",")</ns0:f>
        <ns0:v>110 кОм</ns0:v>
      </ns0:c>
      <ns0:c r="E560" t="str" s="10">
        <ns0:v>±1%</ns0:v>
      </ns0:c>
      <ns0:c r="F560" t="str" s="10">
        <ns0:v>0,125 Вт</ns0:v>
      </ns0:c>
      <ns0:c r="G560" t="str" s="10">
        <ns0:v>150 В макс.</ns0:v>
      </ns0:c>
      <ns0:c r="H560" t="str" s="12">
        <ns0:v>0805</ns0:v>
      </ns0:c>
      <ns0:c r="I560" t="str" s="10">
        <ns0:v>YAGEO</ns0:v>
      </ns0:c>
      <ns0:c r="J560" t="str" s="10">
        <ns0:v>RC0805FR-07110KL</ns0:v>
      </ns0:c>
      <ns0:c r="K560" t="str" s="11">
        <ns0:f>B560&amp;" "&amp;D560&amp;" "&amp;E560&amp;" "&amp;H560</ns0:f>
        <ns0:v>Резистор 110 кОм ±1% 0805</ns0:v>
      </ns0:c>
      <ns0:c r="L560" t="str" s="13">
        <ns0:v>R</ns0:v>
      </ns0:c>
      <ns0:c r="M560" t="str" s="13">
        <ns0:v>Symbols\MY_LIB_Resistors.SchLib</ns0:v>
      </ns0:c>
      <ns0:c r="N560" t="str" s="13">
        <ns0:v>RESC2012X70N</ns0:v>
      </ns0:c>
      <ns0:c r="O560" t="str" s="13">
        <ns0:v>Footprints\PBL - SMD Packages.PcbLib</ns0:v>
      </ns0:c>
      <ns0:c xmlns:ns0="http://schemas.openxmlformats.org/spreadsheetml/2006/main" r="P56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0" s="10"/>
      <ns0:c r="R560" t="str" s="11">
        <ns0:f>D560</ns0:f>
        <ns0:v>110 кОм</ns0:v>
      </ns0:c>
      <ns0:c r="S560" t="str" s="11">
        <ns0:f>K560</ns0:f>
        <ns0:v>Резистор 110 кОм ±1% 0805</ns0:v>
      </ns0:c>
      <x:c xmlns:x="http://schemas.openxmlformats.org/spreadsheetml/2006/main" r="T560" t="str" s="11">
        <x:v>C:\Users\Nomatin\Documents\Altium\MY_LIB\MY_LIB\Datasheets\YAGEO_RC_L.pdf</x:v>
      </x:c>
      <x:c xmlns:x="http://schemas.openxmlformats.org/spreadsheetml/2006/main" r="U560" t="str" s="11">
        <x:v>Даташит — локальный</x:v>
      </x:c>
      <x:c xmlns:x="http://schemas.openxmlformats.org/spreadsheetml/2006/main" r="V560" t="str" s="11">
        <x:v>C:\Users\Nomatin\Documents\Altium\MY_LIB\MY_LIB\Datasheets\YAGEO_RC_L.pdf</x:v>
      </x:c>
      <x:c xmlns:x="http://schemas.openxmlformats.org/spreadsheetml/2006/main" r="W560" t="str" s="11">
        <x:v>Даташит — производитель</x:v>
      </x:c>
      <x:c xmlns:x="http://schemas.openxmlformats.org/spreadsheetml/2006/main" r="X560" t="str" s="11">
        <x:v>https://yageogroup.com/content/datasheet/asset/file/PYU-RC_GROUP_51_ROHS_L</x:v>
      </x:c>
      <x:c xmlns:x="http://schemas.openxmlformats.org/spreadsheetml/2006/main" r="Y560" t="str" s="11">
        <x:v>C:\Users\Nomatin\Documents\Altium\MY_LIB\MY_LIB\Datasheets\YAGEO_RC_L.pdf</x:v>
      </x:c>
      <ns0:c xmlns:ns0="http://schemas.openxmlformats.org/spreadsheetml/2006/main" r="Z560" s="16" t="inlineStr">
        <ns0:is>
          <ns0:t>MY_LIB_R_TCR</ns0:t>
        </ns0:is>
      </ns0:c>
      <ns0:c xmlns:ns0="http://schemas.openxmlformats.org/spreadsheetml/2006/main" r="AA560" s="16" t="inlineStr">
        <ns0:is>
          <ns0:t>R(T), +100 ppm/C at 25 C; positive datasheet limit</ns0:t>
        </ns0:is>
      </ns0:c>
      <ns0:c xmlns:ns0="http://schemas.openxmlformats.org/spreadsheetml/2006/main" r="AB560" s="16" t="str">
        <ns0:v>General</ns0:v>
      </ns0:c>
      <ns0:c xmlns:ns0="http://schemas.openxmlformats.org/spreadsheetml/2006/main" r="AC560" s="16" t="inlineStr">
        <ns0:is>
          <ns0:t>Spice Subcircuit</ns0:t>
        </ns0:is>
      </ns0:c>
      <ns0:c xmlns:ns0="http://schemas.openxmlformats.org/spreadsheetml/2006/main" r="AD560" s="16" t="inlineStr">
        <ns0:is>
          <ns0:t>@DESIGNATOR %1 %2 @MODEL PARAMS: Rvalue=@VALUE TC1value=100u</ns0:t>
        </ns0:is>
      </ns0:c>
      <ns0:c xmlns:ns0="http://schemas.openxmlformats.org/spreadsheetml/2006/main" r="AE560" s="16" t="inlineStr">
        <ns0:is>
          <ns0:t>X</ns0:t>
        </ns0:is>
      </ns0:c>
      <ns0:c xmlns:ns0="http://schemas.openxmlformats.org/spreadsheetml/2006/main" r="AF560" s="16" t="str">
        <ns0:v>(1:1),(2:2)</ns0:v>
      </ns0:c>
      <ns0:c xmlns:ns0="http://schemas.openxmlformats.org/spreadsheetml/2006/main" r="AG560" s="16" t="inlineStr">
        <ns0:is>
          <ns0:t>Simulation\Resistors\MY_LIB_R_TCR.ckt</ns0:t>
        </ns0:is>
      </ns0:c>
      <ns0:c xmlns:ns0="http://schemas.openxmlformats.org/spreadsheetml/2006/main" r="AH560" s="16" t="inlineStr">
        <ns0:is>
          <ns0:t>±100 ppm/°C</ns0:t>
        </ns0:is>
      </ns0:c>
    </ns0:row>
    <ns0:row xmlns:ns0="http://schemas.openxmlformats.org/spreadsheetml/2006/main" r="561" ht="30" customHeight="1">
      <ns0:c r="A561" t="str" s="10">
        <ns0:v>R0567</ns0:v>
      </ns0:c>
      <ns0:c r="B561" t="str" s="10">
        <ns0:v>Резистор</ns0:v>
      </ns0:c>
      <ns0:c r="C561" t="str" s="10">
        <ns0:v>120k</ns0:v>
      </ns0:c>
      <ns0:c r="D561" t="str" s="11">
        <ns0:f>SUBSTITUTE(SUBSTITUTE(SUBSTITUTE(SUBSTITUTE(C561,"meg"," МОм"),"k"," кОм"),"R"," Ом"),".",",")</ns0:f>
        <ns0:v>120 кОм</ns0:v>
      </ns0:c>
      <ns0:c r="E561" t="str" s="10">
        <ns0:v>±1%</ns0:v>
      </ns0:c>
      <ns0:c r="F561" t="str" s="10">
        <ns0:v>0,125 Вт</ns0:v>
      </ns0:c>
      <ns0:c r="G561" t="str" s="10">
        <ns0:v>150 В макс.</ns0:v>
      </ns0:c>
      <ns0:c r="H561" t="str" s="12">
        <ns0:v>0805</ns0:v>
      </ns0:c>
      <ns0:c r="I561" t="str" s="10">
        <ns0:v>YAGEO</ns0:v>
      </ns0:c>
      <ns0:c r="J561" t="str" s="10">
        <ns0:v>RC0805FR-07120KL</ns0:v>
      </ns0:c>
      <ns0:c r="K561" t="str" s="11">
        <ns0:f>B561&amp;" "&amp;D561&amp;" "&amp;E561&amp;" "&amp;H561</ns0:f>
        <ns0:v>Резистор 120 кОм ±1% 0805</ns0:v>
      </ns0:c>
      <ns0:c r="L561" t="str" s="13">
        <ns0:v>R</ns0:v>
      </ns0:c>
      <ns0:c r="M561" t="str" s="13">
        <ns0:v>Symbols\MY_LIB_Resistors.SchLib</ns0:v>
      </ns0:c>
      <ns0:c r="N561" t="str" s="13">
        <ns0:v>RESC2012X70N</ns0:v>
      </ns0:c>
      <ns0:c r="O561" t="str" s="13">
        <ns0:v>Footprints\PBL - SMD Packages.PcbLib</ns0:v>
      </ns0:c>
      <ns0:c xmlns:ns0="http://schemas.openxmlformats.org/spreadsheetml/2006/main" r="P56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1" s="10"/>
      <ns0:c r="R561" t="str" s="11">
        <ns0:f>D561</ns0:f>
        <ns0:v>120 кОм</ns0:v>
      </ns0:c>
      <ns0:c r="S561" t="str" s="11">
        <ns0:f>K561</ns0:f>
        <ns0:v>Резистор 120 кОм ±1% 0805</ns0:v>
      </ns0:c>
      <x:c xmlns:x="http://schemas.openxmlformats.org/spreadsheetml/2006/main" r="T561" t="str" s="11">
        <x:v>C:\Users\Nomatin\Documents\Altium\MY_LIB\MY_LIB\Datasheets\YAGEO_RC_L.pdf</x:v>
      </x:c>
      <x:c xmlns:x="http://schemas.openxmlformats.org/spreadsheetml/2006/main" r="U561" t="str" s="11">
        <x:v>Даташит — локальный</x:v>
      </x:c>
      <x:c xmlns:x="http://schemas.openxmlformats.org/spreadsheetml/2006/main" r="V561" t="str" s="11">
        <x:v>C:\Users\Nomatin\Documents\Altium\MY_LIB\MY_LIB\Datasheets\YAGEO_RC_L.pdf</x:v>
      </x:c>
      <x:c xmlns:x="http://schemas.openxmlformats.org/spreadsheetml/2006/main" r="W561" t="str" s="11">
        <x:v>Даташит — производитель</x:v>
      </x:c>
      <x:c xmlns:x="http://schemas.openxmlformats.org/spreadsheetml/2006/main" r="X561" t="str" s="11">
        <x:v>https://yageogroup.com/content/datasheet/asset/file/PYU-RC_GROUP_51_ROHS_L</x:v>
      </x:c>
      <x:c xmlns:x="http://schemas.openxmlformats.org/spreadsheetml/2006/main" r="Y561" t="str" s="11">
        <x:v>C:\Users\Nomatin\Documents\Altium\MY_LIB\MY_LIB\Datasheets\YAGEO_RC_L.pdf</x:v>
      </x:c>
      <ns0:c xmlns:ns0="http://schemas.openxmlformats.org/spreadsheetml/2006/main" r="Z561" s="16" t="inlineStr">
        <ns0:is>
          <ns0:t>MY_LIB_R_TCR</ns0:t>
        </ns0:is>
      </ns0:c>
      <ns0:c xmlns:ns0="http://schemas.openxmlformats.org/spreadsheetml/2006/main" r="AA561" s="16" t="inlineStr">
        <ns0:is>
          <ns0:t>R(T), +100 ppm/C at 25 C; positive datasheet limit</ns0:t>
        </ns0:is>
      </ns0:c>
      <ns0:c xmlns:ns0="http://schemas.openxmlformats.org/spreadsheetml/2006/main" r="AB561" s="16" t="str">
        <ns0:v>General</ns0:v>
      </ns0:c>
      <ns0:c xmlns:ns0="http://schemas.openxmlformats.org/spreadsheetml/2006/main" r="AC561" s="16" t="inlineStr">
        <ns0:is>
          <ns0:t>Spice Subcircuit</ns0:t>
        </ns0:is>
      </ns0:c>
      <ns0:c xmlns:ns0="http://schemas.openxmlformats.org/spreadsheetml/2006/main" r="AD561" s="16" t="inlineStr">
        <ns0:is>
          <ns0:t>@DESIGNATOR %1 %2 @MODEL PARAMS: Rvalue=@VALUE TC1value=100u</ns0:t>
        </ns0:is>
      </ns0:c>
      <ns0:c xmlns:ns0="http://schemas.openxmlformats.org/spreadsheetml/2006/main" r="AE561" s="16" t="inlineStr">
        <ns0:is>
          <ns0:t>X</ns0:t>
        </ns0:is>
      </ns0:c>
      <ns0:c xmlns:ns0="http://schemas.openxmlformats.org/spreadsheetml/2006/main" r="AF561" s="16" t="str">
        <ns0:v>(1:1),(2:2)</ns0:v>
      </ns0:c>
      <ns0:c xmlns:ns0="http://schemas.openxmlformats.org/spreadsheetml/2006/main" r="AG561" s="16" t="inlineStr">
        <ns0:is>
          <ns0:t>Simulation\Resistors\MY_LIB_R_TCR.ckt</ns0:t>
        </ns0:is>
      </ns0:c>
      <ns0:c xmlns:ns0="http://schemas.openxmlformats.org/spreadsheetml/2006/main" r="AH561" s="16" t="inlineStr">
        <ns0:is>
          <ns0:t>±100 ppm/°C</ns0:t>
        </ns0:is>
      </ns0:c>
    </ns0:row>
    <ns0:row xmlns:ns0="http://schemas.openxmlformats.org/spreadsheetml/2006/main" r="562" ht="30" customHeight="1">
      <ns0:c r="A562" t="str" s="10">
        <ns0:v>R0568</ns0:v>
      </ns0:c>
      <ns0:c r="B562" t="str" s="10">
        <ns0:v>Резистор</ns0:v>
      </ns0:c>
      <ns0:c r="C562" t="str" s="10">
        <ns0:v>130k</ns0:v>
      </ns0:c>
      <ns0:c r="D562" t="str" s="11">
        <ns0:f>SUBSTITUTE(SUBSTITUTE(SUBSTITUTE(SUBSTITUTE(C562,"meg"," МОм"),"k"," кОм"),"R"," Ом"),".",",")</ns0:f>
        <ns0:v>130 кОм</ns0:v>
      </ns0:c>
      <ns0:c r="E562" t="str" s="10">
        <ns0:v>±1%</ns0:v>
      </ns0:c>
      <ns0:c r="F562" t="str" s="10">
        <ns0:v>0,125 Вт</ns0:v>
      </ns0:c>
      <ns0:c r="G562" t="str" s="10">
        <ns0:v>150 В макс.</ns0:v>
      </ns0:c>
      <ns0:c r="H562" t="str" s="12">
        <ns0:v>0805</ns0:v>
      </ns0:c>
      <ns0:c r="I562" t="str" s="10">
        <ns0:v>YAGEO</ns0:v>
      </ns0:c>
      <ns0:c r="J562" t="str" s="10">
        <ns0:v>RC0805FR-07130KL</ns0:v>
      </ns0:c>
      <ns0:c r="K562" t="str" s="11">
        <ns0:f>B562&amp;" "&amp;D562&amp;" "&amp;E562&amp;" "&amp;H562</ns0:f>
        <ns0:v>Резистор 130 кОм ±1% 0805</ns0:v>
      </ns0:c>
      <ns0:c r="L562" t="str" s="13">
        <ns0:v>R</ns0:v>
      </ns0:c>
      <ns0:c r="M562" t="str" s="13">
        <ns0:v>Symbols\MY_LIB_Resistors.SchLib</ns0:v>
      </ns0:c>
      <ns0:c r="N562" t="str" s="13">
        <ns0:v>RESC2012X70N</ns0:v>
      </ns0:c>
      <ns0:c r="O562" t="str" s="13">
        <ns0:v>Footprints\PBL - SMD Packages.PcbLib</ns0:v>
      </ns0:c>
      <ns0:c xmlns:ns0="http://schemas.openxmlformats.org/spreadsheetml/2006/main" r="P56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2" s="10"/>
      <ns0:c r="R562" t="str" s="11">
        <ns0:f>D562</ns0:f>
        <ns0:v>130 кОм</ns0:v>
      </ns0:c>
      <ns0:c r="S562" t="str" s="11">
        <ns0:f>K562</ns0:f>
        <ns0:v>Резистор 130 кОм ±1% 0805</ns0:v>
      </ns0:c>
      <x:c xmlns:x="http://schemas.openxmlformats.org/spreadsheetml/2006/main" r="T562" t="str" s="11">
        <x:v>C:\Users\Nomatin\Documents\Altium\MY_LIB\MY_LIB\Datasheets\YAGEO_RC_L.pdf</x:v>
      </x:c>
      <x:c xmlns:x="http://schemas.openxmlformats.org/spreadsheetml/2006/main" r="U562" t="str" s="11">
        <x:v>Даташит — локальный</x:v>
      </x:c>
      <x:c xmlns:x="http://schemas.openxmlformats.org/spreadsheetml/2006/main" r="V562" t="str" s="11">
        <x:v>C:\Users\Nomatin\Documents\Altium\MY_LIB\MY_LIB\Datasheets\YAGEO_RC_L.pdf</x:v>
      </x:c>
      <x:c xmlns:x="http://schemas.openxmlformats.org/spreadsheetml/2006/main" r="W562" t="str" s="11">
        <x:v>Даташит — производитель</x:v>
      </x:c>
      <x:c xmlns:x="http://schemas.openxmlformats.org/spreadsheetml/2006/main" r="X562" t="str" s="11">
        <x:v>https://yageogroup.com/content/datasheet/asset/file/PYU-RC_GROUP_51_ROHS_L</x:v>
      </x:c>
      <x:c xmlns:x="http://schemas.openxmlformats.org/spreadsheetml/2006/main" r="Y562" t="str" s="11">
        <x:v>C:\Users\Nomatin\Documents\Altium\MY_LIB\MY_LIB\Datasheets\YAGEO_RC_L.pdf</x:v>
      </x:c>
      <ns0:c xmlns:ns0="http://schemas.openxmlformats.org/spreadsheetml/2006/main" r="Z562" s="16" t="inlineStr">
        <ns0:is>
          <ns0:t>MY_LIB_R_TCR</ns0:t>
        </ns0:is>
      </ns0:c>
      <ns0:c xmlns:ns0="http://schemas.openxmlformats.org/spreadsheetml/2006/main" r="AA562" s="16" t="inlineStr">
        <ns0:is>
          <ns0:t>R(T), +100 ppm/C at 25 C; positive datasheet limit</ns0:t>
        </ns0:is>
      </ns0:c>
      <ns0:c xmlns:ns0="http://schemas.openxmlformats.org/spreadsheetml/2006/main" r="AB562" s="16" t="str">
        <ns0:v>General</ns0:v>
      </ns0:c>
      <ns0:c xmlns:ns0="http://schemas.openxmlformats.org/spreadsheetml/2006/main" r="AC562" s="16" t="inlineStr">
        <ns0:is>
          <ns0:t>Spice Subcircuit</ns0:t>
        </ns0:is>
      </ns0:c>
      <ns0:c xmlns:ns0="http://schemas.openxmlformats.org/spreadsheetml/2006/main" r="AD562" s="16" t="inlineStr">
        <ns0:is>
          <ns0:t>@DESIGNATOR %1 %2 @MODEL PARAMS: Rvalue=@VALUE TC1value=100u</ns0:t>
        </ns0:is>
      </ns0:c>
      <ns0:c xmlns:ns0="http://schemas.openxmlformats.org/spreadsheetml/2006/main" r="AE562" s="16" t="inlineStr">
        <ns0:is>
          <ns0:t>X</ns0:t>
        </ns0:is>
      </ns0:c>
      <ns0:c xmlns:ns0="http://schemas.openxmlformats.org/spreadsheetml/2006/main" r="AF562" s="16" t="str">
        <ns0:v>(1:1),(2:2)</ns0:v>
      </ns0:c>
      <ns0:c xmlns:ns0="http://schemas.openxmlformats.org/spreadsheetml/2006/main" r="AG562" s="16" t="inlineStr">
        <ns0:is>
          <ns0:t>Simulation\Resistors\MY_LIB_R_TCR.ckt</ns0:t>
        </ns0:is>
      </ns0:c>
      <ns0:c xmlns:ns0="http://schemas.openxmlformats.org/spreadsheetml/2006/main" r="AH562" s="16" t="inlineStr">
        <ns0:is>
          <ns0:t>±100 ppm/°C</ns0:t>
        </ns0:is>
      </ns0:c>
    </ns0:row>
    <ns0:row xmlns:ns0="http://schemas.openxmlformats.org/spreadsheetml/2006/main" r="563" ht="30" customHeight="1">
      <ns0:c r="A563" t="str" s="10">
        <ns0:v>R0569</ns0:v>
      </ns0:c>
      <ns0:c r="B563" t="str" s="10">
        <ns0:v>Резистор</ns0:v>
      </ns0:c>
      <ns0:c r="C563" t="str" s="10">
        <ns0:v>150k</ns0:v>
      </ns0:c>
      <ns0:c r="D563" t="str" s="11">
        <ns0:f>SUBSTITUTE(SUBSTITUTE(SUBSTITUTE(SUBSTITUTE(C563,"meg"," МОм"),"k"," кОм"),"R"," Ом"),".",",")</ns0:f>
        <ns0:v>150 кОм</ns0:v>
      </ns0:c>
      <ns0:c r="E563" t="str" s="10">
        <ns0:v>±1%</ns0:v>
      </ns0:c>
      <ns0:c r="F563" t="str" s="10">
        <ns0:v>0,125 Вт</ns0:v>
      </ns0:c>
      <ns0:c r="G563" t="str" s="10">
        <ns0:v>150 В макс.</ns0:v>
      </ns0:c>
      <ns0:c r="H563" t="str" s="12">
        <ns0:v>0805</ns0:v>
      </ns0:c>
      <ns0:c r="I563" t="str" s="10">
        <ns0:v>YAGEO</ns0:v>
      </ns0:c>
      <ns0:c r="J563" t="str" s="10">
        <ns0:v>RC0805FR-07150KL</ns0:v>
      </ns0:c>
      <ns0:c r="K563" t="str" s="11">
        <ns0:f>B563&amp;" "&amp;D563&amp;" "&amp;E563&amp;" "&amp;H563</ns0:f>
        <ns0:v>Резистор 150 кОм ±1% 0805</ns0:v>
      </ns0:c>
      <ns0:c r="L563" t="str" s="13">
        <ns0:v>R</ns0:v>
      </ns0:c>
      <ns0:c r="M563" t="str" s="13">
        <ns0:v>Symbols\MY_LIB_Resistors.SchLib</ns0:v>
      </ns0:c>
      <ns0:c r="N563" t="str" s="13">
        <ns0:v>RESC2012X70N</ns0:v>
      </ns0:c>
      <ns0:c r="O563" t="str" s="13">
        <ns0:v>Footprints\PBL - SMD Packages.PcbLib</ns0:v>
      </ns0:c>
      <ns0:c xmlns:ns0="http://schemas.openxmlformats.org/spreadsheetml/2006/main" r="P56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3" s="10"/>
      <ns0:c r="R563" t="str" s="11">
        <ns0:f>D563</ns0:f>
        <ns0:v>150 кОм</ns0:v>
      </ns0:c>
      <ns0:c r="S563" t="str" s="11">
        <ns0:f>K563</ns0:f>
        <ns0:v>Резистор 150 кОм ±1% 0805</ns0:v>
      </ns0:c>
      <x:c xmlns:x="http://schemas.openxmlformats.org/spreadsheetml/2006/main" r="T563" t="str" s="11">
        <x:v>C:\Users\Nomatin\Documents\Altium\MY_LIB\MY_LIB\Datasheets\YAGEO_RC_L.pdf</x:v>
      </x:c>
      <x:c xmlns:x="http://schemas.openxmlformats.org/spreadsheetml/2006/main" r="U563" t="str" s="11">
        <x:v>Даташит — локальный</x:v>
      </x:c>
      <x:c xmlns:x="http://schemas.openxmlformats.org/spreadsheetml/2006/main" r="V563" t="str" s="11">
        <x:v>C:\Users\Nomatin\Documents\Altium\MY_LIB\MY_LIB\Datasheets\YAGEO_RC_L.pdf</x:v>
      </x:c>
      <x:c xmlns:x="http://schemas.openxmlformats.org/spreadsheetml/2006/main" r="W563" t="str" s="11">
        <x:v>Даташит — производитель</x:v>
      </x:c>
      <x:c xmlns:x="http://schemas.openxmlformats.org/spreadsheetml/2006/main" r="X563" t="str" s="11">
        <x:v>https://yageogroup.com/content/datasheet/asset/file/PYU-RC_GROUP_51_ROHS_L</x:v>
      </x:c>
      <x:c xmlns:x="http://schemas.openxmlformats.org/spreadsheetml/2006/main" r="Y563" t="str" s="11">
        <x:v>C:\Users\Nomatin\Documents\Altium\MY_LIB\MY_LIB\Datasheets\YAGEO_RC_L.pdf</x:v>
      </x:c>
      <ns0:c xmlns:ns0="http://schemas.openxmlformats.org/spreadsheetml/2006/main" r="Z563" s="16" t="inlineStr">
        <ns0:is>
          <ns0:t>MY_LIB_R_TCR</ns0:t>
        </ns0:is>
      </ns0:c>
      <ns0:c xmlns:ns0="http://schemas.openxmlformats.org/spreadsheetml/2006/main" r="AA563" s="16" t="inlineStr">
        <ns0:is>
          <ns0:t>R(T), +100 ppm/C at 25 C; positive datasheet limit</ns0:t>
        </ns0:is>
      </ns0:c>
      <ns0:c xmlns:ns0="http://schemas.openxmlformats.org/spreadsheetml/2006/main" r="AB563" s="16" t="str">
        <ns0:v>General</ns0:v>
      </ns0:c>
      <ns0:c xmlns:ns0="http://schemas.openxmlformats.org/spreadsheetml/2006/main" r="AC563" s="16" t="inlineStr">
        <ns0:is>
          <ns0:t>Spice Subcircuit</ns0:t>
        </ns0:is>
      </ns0:c>
      <ns0:c xmlns:ns0="http://schemas.openxmlformats.org/spreadsheetml/2006/main" r="AD563" s="16" t="inlineStr">
        <ns0:is>
          <ns0:t>@DESIGNATOR %1 %2 @MODEL PARAMS: Rvalue=@VALUE TC1value=100u</ns0:t>
        </ns0:is>
      </ns0:c>
      <ns0:c xmlns:ns0="http://schemas.openxmlformats.org/spreadsheetml/2006/main" r="AE563" s="16" t="inlineStr">
        <ns0:is>
          <ns0:t>X</ns0:t>
        </ns0:is>
      </ns0:c>
      <ns0:c xmlns:ns0="http://schemas.openxmlformats.org/spreadsheetml/2006/main" r="AF563" s="16" t="str">
        <ns0:v>(1:1),(2:2)</ns0:v>
      </ns0:c>
      <ns0:c xmlns:ns0="http://schemas.openxmlformats.org/spreadsheetml/2006/main" r="AG563" s="16" t="inlineStr">
        <ns0:is>
          <ns0:t>Simulation\Resistors\MY_LIB_R_TCR.ckt</ns0:t>
        </ns0:is>
      </ns0:c>
      <ns0:c xmlns:ns0="http://schemas.openxmlformats.org/spreadsheetml/2006/main" r="AH563" s="16" t="inlineStr">
        <ns0:is>
          <ns0:t>±100 ppm/°C</ns0:t>
        </ns0:is>
      </ns0:c>
    </ns0:row>
    <ns0:row xmlns:ns0="http://schemas.openxmlformats.org/spreadsheetml/2006/main" r="564" ht="30" customHeight="1">
      <ns0:c r="A564" t="str" s="10">
        <ns0:v>R0570</ns0:v>
      </ns0:c>
      <ns0:c r="B564" t="str" s="10">
        <ns0:v>Резистор</ns0:v>
      </ns0:c>
      <ns0:c r="C564" t="str" s="10">
        <ns0:v>160k</ns0:v>
      </ns0:c>
      <ns0:c r="D564" t="str" s="11">
        <ns0:f>SUBSTITUTE(SUBSTITUTE(SUBSTITUTE(SUBSTITUTE(C564,"meg"," МОм"),"k"," кОм"),"R"," Ом"),".",",")</ns0:f>
        <ns0:v>160 кОм</ns0:v>
      </ns0:c>
      <ns0:c r="E564" t="str" s="10">
        <ns0:v>±1%</ns0:v>
      </ns0:c>
      <ns0:c r="F564" t="str" s="10">
        <ns0:v>0,125 Вт</ns0:v>
      </ns0:c>
      <ns0:c r="G564" t="str" s="10">
        <ns0:v>150 В макс.</ns0:v>
      </ns0:c>
      <ns0:c r="H564" t="str" s="12">
        <ns0:v>0805</ns0:v>
      </ns0:c>
      <ns0:c r="I564" t="str" s="10">
        <ns0:v>YAGEO</ns0:v>
      </ns0:c>
      <ns0:c r="J564" t="str" s="10">
        <ns0:v>RC0805FR-07160KL</ns0:v>
      </ns0:c>
      <ns0:c r="K564" t="str" s="11">
        <ns0:f>B564&amp;" "&amp;D564&amp;" "&amp;E564&amp;" "&amp;H564</ns0:f>
        <ns0:v>Резистор 160 кОм ±1% 0805</ns0:v>
      </ns0:c>
      <ns0:c r="L564" t="str" s="13">
        <ns0:v>R</ns0:v>
      </ns0:c>
      <ns0:c r="M564" t="str" s="13">
        <ns0:v>Symbols\MY_LIB_Resistors.SchLib</ns0:v>
      </ns0:c>
      <ns0:c r="N564" t="str" s="13">
        <ns0:v>RESC2012X70N</ns0:v>
      </ns0:c>
      <ns0:c r="O564" t="str" s="13">
        <ns0:v>Footprints\PBL - SMD Packages.PcbLib</ns0:v>
      </ns0:c>
      <ns0:c xmlns:ns0="http://schemas.openxmlformats.org/spreadsheetml/2006/main" r="P56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4" s="10"/>
      <ns0:c r="R564" t="str" s="11">
        <ns0:f>D564</ns0:f>
        <ns0:v>160 кОм</ns0:v>
      </ns0:c>
      <ns0:c r="S564" t="str" s="11">
        <ns0:f>K564</ns0:f>
        <ns0:v>Резистор 160 кОм ±1% 0805</ns0:v>
      </ns0:c>
      <x:c xmlns:x="http://schemas.openxmlformats.org/spreadsheetml/2006/main" r="T564" t="str" s="11">
        <x:v>C:\Users\Nomatin\Documents\Altium\MY_LIB\MY_LIB\Datasheets\YAGEO_RC_L.pdf</x:v>
      </x:c>
      <x:c xmlns:x="http://schemas.openxmlformats.org/spreadsheetml/2006/main" r="U564" t="str" s="11">
        <x:v>Даташит — локальный</x:v>
      </x:c>
      <x:c xmlns:x="http://schemas.openxmlformats.org/spreadsheetml/2006/main" r="V564" t="str" s="11">
        <x:v>C:\Users\Nomatin\Documents\Altium\MY_LIB\MY_LIB\Datasheets\YAGEO_RC_L.pdf</x:v>
      </x:c>
      <x:c xmlns:x="http://schemas.openxmlformats.org/spreadsheetml/2006/main" r="W564" t="str" s="11">
        <x:v>Даташит — производитель</x:v>
      </x:c>
      <x:c xmlns:x="http://schemas.openxmlformats.org/spreadsheetml/2006/main" r="X564" t="str" s="11">
        <x:v>https://yageogroup.com/content/datasheet/asset/file/PYU-RC_GROUP_51_ROHS_L</x:v>
      </x:c>
      <x:c xmlns:x="http://schemas.openxmlformats.org/spreadsheetml/2006/main" r="Y564" t="str" s="11">
        <x:v>C:\Users\Nomatin\Documents\Altium\MY_LIB\MY_LIB\Datasheets\YAGEO_RC_L.pdf</x:v>
      </x:c>
      <ns0:c xmlns:ns0="http://schemas.openxmlformats.org/spreadsheetml/2006/main" r="Z564" s="16" t="inlineStr">
        <ns0:is>
          <ns0:t>MY_LIB_R_TCR</ns0:t>
        </ns0:is>
      </ns0:c>
      <ns0:c xmlns:ns0="http://schemas.openxmlformats.org/spreadsheetml/2006/main" r="AA564" s="16" t="inlineStr">
        <ns0:is>
          <ns0:t>R(T), +100 ppm/C at 25 C; positive datasheet limit</ns0:t>
        </ns0:is>
      </ns0:c>
      <ns0:c xmlns:ns0="http://schemas.openxmlformats.org/spreadsheetml/2006/main" r="AB564" s="16" t="str">
        <ns0:v>General</ns0:v>
      </ns0:c>
      <ns0:c xmlns:ns0="http://schemas.openxmlformats.org/spreadsheetml/2006/main" r="AC564" s="16" t="inlineStr">
        <ns0:is>
          <ns0:t>Spice Subcircuit</ns0:t>
        </ns0:is>
      </ns0:c>
      <ns0:c xmlns:ns0="http://schemas.openxmlformats.org/spreadsheetml/2006/main" r="AD564" s="16" t="inlineStr">
        <ns0:is>
          <ns0:t>@DESIGNATOR %1 %2 @MODEL PARAMS: Rvalue=@VALUE TC1value=100u</ns0:t>
        </ns0:is>
      </ns0:c>
      <ns0:c xmlns:ns0="http://schemas.openxmlformats.org/spreadsheetml/2006/main" r="AE564" s="16" t="inlineStr">
        <ns0:is>
          <ns0:t>X</ns0:t>
        </ns0:is>
      </ns0:c>
      <ns0:c xmlns:ns0="http://schemas.openxmlformats.org/spreadsheetml/2006/main" r="AF564" s="16" t="str">
        <ns0:v>(1:1),(2:2)</ns0:v>
      </ns0:c>
      <ns0:c xmlns:ns0="http://schemas.openxmlformats.org/spreadsheetml/2006/main" r="AG564" s="16" t="inlineStr">
        <ns0:is>
          <ns0:t>Simulation\Resistors\MY_LIB_R_TCR.ckt</ns0:t>
        </ns0:is>
      </ns0:c>
      <ns0:c xmlns:ns0="http://schemas.openxmlformats.org/spreadsheetml/2006/main" r="AH564" s="16" t="inlineStr">
        <ns0:is>
          <ns0:t>±100 ppm/°C</ns0:t>
        </ns0:is>
      </ns0:c>
    </ns0:row>
    <ns0:row xmlns:ns0="http://schemas.openxmlformats.org/spreadsheetml/2006/main" r="565" ht="30" customHeight="1">
      <ns0:c r="A565" t="str" s="10">
        <ns0:v>R0571</ns0:v>
      </ns0:c>
      <ns0:c r="B565" t="str" s="10">
        <ns0:v>Резистор</ns0:v>
      </ns0:c>
      <ns0:c r="C565" t="str" s="10">
        <ns0:v>180k</ns0:v>
      </ns0:c>
      <ns0:c r="D565" t="str" s="11">
        <ns0:f>SUBSTITUTE(SUBSTITUTE(SUBSTITUTE(SUBSTITUTE(C565,"meg"," МОм"),"k"," кОм"),"R"," Ом"),".",",")</ns0:f>
        <ns0:v>180 кОм</ns0:v>
      </ns0:c>
      <ns0:c r="E565" t="str" s="10">
        <ns0:v>±1%</ns0:v>
      </ns0:c>
      <ns0:c r="F565" t="str" s="10">
        <ns0:v>0,125 Вт</ns0:v>
      </ns0:c>
      <ns0:c r="G565" t="str" s="10">
        <ns0:v>150 В макс.</ns0:v>
      </ns0:c>
      <ns0:c r="H565" t="str" s="12">
        <ns0:v>0805</ns0:v>
      </ns0:c>
      <ns0:c r="I565" t="str" s="10">
        <ns0:v>YAGEO</ns0:v>
      </ns0:c>
      <ns0:c r="J565" t="str" s="10">
        <ns0:v>RC0805FR-07180KL</ns0:v>
      </ns0:c>
      <ns0:c r="K565" t="str" s="11">
        <ns0:f>B565&amp;" "&amp;D565&amp;" "&amp;E565&amp;" "&amp;H565</ns0:f>
        <ns0:v>Резистор 180 кОм ±1% 0805</ns0:v>
      </ns0:c>
      <ns0:c r="L565" t="str" s="13">
        <ns0:v>R</ns0:v>
      </ns0:c>
      <ns0:c r="M565" t="str" s="13">
        <ns0:v>Symbols\MY_LIB_Resistors.SchLib</ns0:v>
      </ns0:c>
      <ns0:c r="N565" t="str" s="13">
        <ns0:v>RESC2012X70N</ns0:v>
      </ns0:c>
      <ns0:c r="O565" t="str" s="13">
        <ns0:v>Footprints\PBL - SMD Packages.PcbLib</ns0:v>
      </ns0:c>
      <ns0:c xmlns:ns0="http://schemas.openxmlformats.org/spreadsheetml/2006/main" r="P56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5" s="10"/>
      <ns0:c r="R565" t="str" s="11">
        <ns0:f>D565</ns0:f>
        <ns0:v>180 кОм</ns0:v>
      </ns0:c>
      <ns0:c r="S565" t="str" s="11">
        <ns0:f>K565</ns0:f>
        <ns0:v>Резистор 180 кОм ±1% 0805</ns0:v>
      </ns0:c>
      <x:c xmlns:x="http://schemas.openxmlformats.org/spreadsheetml/2006/main" r="T565" t="str" s="11">
        <x:v>C:\Users\Nomatin\Documents\Altium\MY_LIB\MY_LIB\Datasheets\YAGEO_RC_L.pdf</x:v>
      </x:c>
      <x:c xmlns:x="http://schemas.openxmlformats.org/spreadsheetml/2006/main" r="U565" t="str" s="11">
        <x:v>Даташит — локальный</x:v>
      </x:c>
      <x:c xmlns:x="http://schemas.openxmlformats.org/spreadsheetml/2006/main" r="V565" t="str" s="11">
        <x:v>C:\Users\Nomatin\Documents\Altium\MY_LIB\MY_LIB\Datasheets\YAGEO_RC_L.pdf</x:v>
      </x:c>
      <x:c xmlns:x="http://schemas.openxmlformats.org/spreadsheetml/2006/main" r="W565" t="str" s="11">
        <x:v>Даташит — производитель</x:v>
      </x:c>
      <x:c xmlns:x="http://schemas.openxmlformats.org/spreadsheetml/2006/main" r="X565" t="str" s="11">
        <x:v>https://yageogroup.com/content/datasheet/asset/file/PYU-RC_GROUP_51_ROHS_L</x:v>
      </x:c>
      <x:c xmlns:x="http://schemas.openxmlformats.org/spreadsheetml/2006/main" r="Y565" t="str" s="11">
        <x:v>C:\Users\Nomatin\Documents\Altium\MY_LIB\MY_LIB\Datasheets\YAGEO_RC_L.pdf</x:v>
      </x:c>
      <ns0:c xmlns:ns0="http://schemas.openxmlformats.org/spreadsheetml/2006/main" r="Z565" s="16" t="inlineStr">
        <ns0:is>
          <ns0:t>MY_LIB_R_TCR</ns0:t>
        </ns0:is>
      </ns0:c>
      <ns0:c xmlns:ns0="http://schemas.openxmlformats.org/spreadsheetml/2006/main" r="AA565" s="16" t="inlineStr">
        <ns0:is>
          <ns0:t>R(T), +100 ppm/C at 25 C; positive datasheet limit</ns0:t>
        </ns0:is>
      </ns0:c>
      <ns0:c xmlns:ns0="http://schemas.openxmlformats.org/spreadsheetml/2006/main" r="AB565" s="16" t="str">
        <ns0:v>General</ns0:v>
      </ns0:c>
      <ns0:c xmlns:ns0="http://schemas.openxmlformats.org/spreadsheetml/2006/main" r="AC565" s="16" t="inlineStr">
        <ns0:is>
          <ns0:t>Spice Subcircuit</ns0:t>
        </ns0:is>
      </ns0:c>
      <ns0:c xmlns:ns0="http://schemas.openxmlformats.org/spreadsheetml/2006/main" r="AD565" s="16" t="inlineStr">
        <ns0:is>
          <ns0:t>@DESIGNATOR %1 %2 @MODEL PARAMS: Rvalue=@VALUE TC1value=100u</ns0:t>
        </ns0:is>
      </ns0:c>
      <ns0:c xmlns:ns0="http://schemas.openxmlformats.org/spreadsheetml/2006/main" r="AE565" s="16" t="inlineStr">
        <ns0:is>
          <ns0:t>X</ns0:t>
        </ns0:is>
      </ns0:c>
      <ns0:c xmlns:ns0="http://schemas.openxmlformats.org/spreadsheetml/2006/main" r="AF565" s="16" t="str">
        <ns0:v>(1:1),(2:2)</ns0:v>
      </ns0:c>
      <ns0:c xmlns:ns0="http://schemas.openxmlformats.org/spreadsheetml/2006/main" r="AG565" s="16" t="inlineStr">
        <ns0:is>
          <ns0:t>Simulation\Resistors\MY_LIB_R_TCR.ckt</ns0:t>
        </ns0:is>
      </ns0:c>
      <ns0:c xmlns:ns0="http://schemas.openxmlformats.org/spreadsheetml/2006/main" r="AH565" s="16" t="inlineStr">
        <ns0:is>
          <ns0:t>±100 ppm/°C</ns0:t>
        </ns0:is>
      </ns0:c>
    </ns0:row>
    <ns0:row xmlns:ns0="http://schemas.openxmlformats.org/spreadsheetml/2006/main" r="566" ht="30" customHeight="1">
      <ns0:c r="A566" t="str" s="10">
        <ns0:v>R0572</ns0:v>
      </ns0:c>
      <ns0:c r="B566" t="str" s="10">
        <ns0:v>Резистор</ns0:v>
      </ns0:c>
      <ns0:c r="C566" t="str" s="10">
        <ns0:v>200k</ns0:v>
      </ns0:c>
      <ns0:c r="D566" t="str" s="11">
        <ns0:f>SUBSTITUTE(SUBSTITUTE(SUBSTITUTE(SUBSTITUTE(C566,"meg"," МОм"),"k"," кОм"),"R"," Ом"),".",",")</ns0:f>
        <ns0:v>200 кОм</ns0:v>
      </ns0:c>
      <ns0:c r="E566" t="str" s="10">
        <ns0:v>±1%</ns0:v>
      </ns0:c>
      <ns0:c r="F566" t="str" s="10">
        <ns0:v>0,125 Вт</ns0:v>
      </ns0:c>
      <ns0:c r="G566" t="str" s="10">
        <ns0:v>150 В макс.</ns0:v>
      </ns0:c>
      <ns0:c r="H566" t="str" s="12">
        <ns0:v>0805</ns0:v>
      </ns0:c>
      <ns0:c r="I566" t="str" s="10">
        <ns0:v>YAGEO</ns0:v>
      </ns0:c>
      <ns0:c r="J566" t="str" s="10">
        <ns0:v>RC0805FR-07200KL</ns0:v>
      </ns0:c>
      <ns0:c r="K566" t="str" s="11">
        <ns0:f>B566&amp;" "&amp;D566&amp;" "&amp;E566&amp;" "&amp;H566</ns0:f>
        <ns0:v>Резистор 200 кОм ±1% 0805</ns0:v>
      </ns0:c>
      <ns0:c r="L566" t="str" s="13">
        <ns0:v>R</ns0:v>
      </ns0:c>
      <ns0:c r="M566" t="str" s="13">
        <ns0:v>Symbols\MY_LIB_Resistors.SchLib</ns0:v>
      </ns0:c>
      <ns0:c r="N566" t="str" s="13">
        <ns0:v>RESC2012X70N</ns0:v>
      </ns0:c>
      <ns0:c r="O566" t="str" s="13">
        <ns0:v>Footprints\PBL - SMD Packages.PcbLib</ns0:v>
      </ns0:c>
      <ns0:c xmlns:ns0="http://schemas.openxmlformats.org/spreadsheetml/2006/main" r="P56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6" s="10"/>
      <ns0:c r="R566" t="str" s="11">
        <ns0:f>D566</ns0:f>
        <ns0:v>200 кОм</ns0:v>
      </ns0:c>
      <ns0:c r="S566" t="str" s="11">
        <ns0:f>K566</ns0:f>
        <ns0:v>Резистор 200 кОм ±1% 0805</ns0:v>
      </ns0:c>
      <x:c xmlns:x="http://schemas.openxmlformats.org/spreadsheetml/2006/main" r="T566" t="str" s="11">
        <x:v>C:\Users\Nomatin\Documents\Altium\MY_LIB\MY_LIB\Datasheets\YAGEO_RC_L.pdf</x:v>
      </x:c>
      <x:c xmlns:x="http://schemas.openxmlformats.org/spreadsheetml/2006/main" r="U566" t="str" s="11">
        <x:v>Даташит — локальный</x:v>
      </x:c>
      <x:c xmlns:x="http://schemas.openxmlformats.org/spreadsheetml/2006/main" r="V566" t="str" s="11">
        <x:v>C:\Users\Nomatin\Documents\Altium\MY_LIB\MY_LIB\Datasheets\YAGEO_RC_L.pdf</x:v>
      </x:c>
      <x:c xmlns:x="http://schemas.openxmlformats.org/spreadsheetml/2006/main" r="W566" t="str" s="11">
        <x:v>Даташит — производитель</x:v>
      </x:c>
      <x:c xmlns:x="http://schemas.openxmlformats.org/spreadsheetml/2006/main" r="X566" t="str" s="11">
        <x:v>https://yageogroup.com/content/datasheet/asset/file/PYU-RC_GROUP_51_ROHS_L</x:v>
      </x:c>
      <x:c xmlns:x="http://schemas.openxmlformats.org/spreadsheetml/2006/main" r="Y566" t="str" s="11">
        <x:v>C:\Users\Nomatin\Documents\Altium\MY_LIB\MY_LIB\Datasheets\YAGEO_RC_L.pdf</x:v>
      </x:c>
      <ns0:c xmlns:ns0="http://schemas.openxmlformats.org/spreadsheetml/2006/main" r="Z566" s="16" t="inlineStr">
        <ns0:is>
          <ns0:t>MY_LIB_R_TCR</ns0:t>
        </ns0:is>
      </ns0:c>
      <ns0:c xmlns:ns0="http://schemas.openxmlformats.org/spreadsheetml/2006/main" r="AA566" s="16" t="inlineStr">
        <ns0:is>
          <ns0:t>R(T), +100 ppm/C at 25 C; positive datasheet limit</ns0:t>
        </ns0:is>
      </ns0:c>
      <ns0:c xmlns:ns0="http://schemas.openxmlformats.org/spreadsheetml/2006/main" r="AB566" s="16" t="str">
        <ns0:v>General</ns0:v>
      </ns0:c>
      <ns0:c xmlns:ns0="http://schemas.openxmlformats.org/spreadsheetml/2006/main" r="AC566" s="16" t="inlineStr">
        <ns0:is>
          <ns0:t>Spice Subcircuit</ns0:t>
        </ns0:is>
      </ns0:c>
      <ns0:c xmlns:ns0="http://schemas.openxmlformats.org/spreadsheetml/2006/main" r="AD566" s="16" t="inlineStr">
        <ns0:is>
          <ns0:t>@DESIGNATOR %1 %2 @MODEL PARAMS: Rvalue=@VALUE TC1value=100u</ns0:t>
        </ns0:is>
      </ns0:c>
      <ns0:c xmlns:ns0="http://schemas.openxmlformats.org/spreadsheetml/2006/main" r="AE566" s="16" t="inlineStr">
        <ns0:is>
          <ns0:t>X</ns0:t>
        </ns0:is>
      </ns0:c>
      <ns0:c xmlns:ns0="http://schemas.openxmlformats.org/spreadsheetml/2006/main" r="AF566" s="16" t="str">
        <ns0:v>(1:1),(2:2)</ns0:v>
      </ns0:c>
      <ns0:c xmlns:ns0="http://schemas.openxmlformats.org/spreadsheetml/2006/main" r="AG566" s="16" t="inlineStr">
        <ns0:is>
          <ns0:t>Simulation\Resistors\MY_LIB_R_TCR.ckt</ns0:t>
        </ns0:is>
      </ns0:c>
      <ns0:c xmlns:ns0="http://schemas.openxmlformats.org/spreadsheetml/2006/main" r="AH566" s="16" t="inlineStr">
        <ns0:is>
          <ns0:t>±100 ppm/°C</ns0:t>
        </ns0:is>
      </ns0:c>
    </ns0:row>
    <ns0:row xmlns:ns0="http://schemas.openxmlformats.org/spreadsheetml/2006/main" r="567" ht="30" customHeight="1">
      <ns0:c r="A567" t="str" s="10">
        <ns0:v>R0573</ns0:v>
      </ns0:c>
      <ns0:c r="B567" t="str" s="10">
        <ns0:v>Резистор</ns0:v>
      </ns0:c>
      <ns0:c r="C567" t="str" s="10">
        <ns0:v>220k</ns0:v>
      </ns0:c>
      <ns0:c r="D567" t="str" s="11">
        <ns0:f>SUBSTITUTE(SUBSTITUTE(SUBSTITUTE(SUBSTITUTE(C567,"meg"," МОм"),"k"," кОм"),"R"," Ом"),".",",")</ns0:f>
        <ns0:v>220 кОм</ns0:v>
      </ns0:c>
      <ns0:c r="E567" t="str" s="10">
        <ns0:v>±1%</ns0:v>
      </ns0:c>
      <ns0:c r="F567" t="str" s="10">
        <ns0:v>0,125 Вт</ns0:v>
      </ns0:c>
      <ns0:c r="G567" t="str" s="10">
        <ns0:v>150 В макс.</ns0:v>
      </ns0:c>
      <ns0:c r="H567" t="str" s="12">
        <ns0:v>0805</ns0:v>
      </ns0:c>
      <ns0:c r="I567" t="str" s="10">
        <ns0:v>YAGEO</ns0:v>
      </ns0:c>
      <ns0:c r="J567" t="str" s="10">
        <ns0:v>RC0805FR-07220KL</ns0:v>
      </ns0:c>
      <ns0:c r="K567" t="str" s="11">
        <ns0:f>B567&amp;" "&amp;D567&amp;" "&amp;E567&amp;" "&amp;H567</ns0:f>
        <ns0:v>Резистор 220 кОм ±1% 0805</ns0:v>
      </ns0:c>
      <ns0:c r="L567" t="str" s="13">
        <ns0:v>R</ns0:v>
      </ns0:c>
      <ns0:c r="M567" t="str" s="13">
        <ns0:v>Symbols\MY_LIB_Resistors.SchLib</ns0:v>
      </ns0:c>
      <ns0:c r="N567" t="str" s="13">
        <ns0:v>RESC2012X70N</ns0:v>
      </ns0:c>
      <ns0:c r="O567" t="str" s="13">
        <ns0:v>Footprints\PBL - SMD Packages.PcbLib</ns0:v>
      </ns0:c>
      <ns0:c xmlns:ns0="http://schemas.openxmlformats.org/spreadsheetml/2006/main" r="P56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7" s="10"/>
      <ns0:c r="R567" t="str" s="11">
        <ns0:f>D567</ns0:f>
        <ns0:v>220 кОм</ns0:v>
      </ns0:c>
      <ns0:c r="S567" t="str" s="11">
        <ns0:f>K567</ns0:f>
        <ns0:v>Резистор 220 кОм ±1% 0805</ns0:v>
      </ns0:c>
      <x:c xmlns:x="http://schemas.openxmlformats.org/spreadsheetml/2006/main" r="T567" t="str" s="11">
        <x:v>C:\Users\Nomatin\Documents\Altium\MY_LIB\MY_LIB\Datasheets\YAGEO_RC_L.pdf</x:v>
      </x:c>
      <x:c xmlns:x="http://schemas.openxmlformats.org/spreadsheetml/2006/main" r="U567" t="str" s="11">
        <x:v>Даташит — локальный</x:v>
      </x:c>
      <x:c xmlns:x="http://schemas.openxmlformats.org/spreadsheetml/2006/main" r="V567" t="str" s="11">
        <x:v>C:\Users\Nomatin\Documents\Altium\MY_LIB\MY_LIB\Datasheets\YAGEO_RC_L.pdf</x:v>
      </x:c>
      <x:c xmlns:x="http://schemas.openxmlformats.org/spreadsheetml/2006/main" r="W567" t="str" s="11">
        <x:v>Даташит — производитель</x:v>
      </x:c>
      <x:c xmlns:x="http://schemas.openxmlformats.org/spreadsheetml/2006/main" r="X567" t="str" s="11">
        <x:v>https://yageogroup.com/content/datasheet/asset/file/PYU-RC_GROUP_51_ROHS_L</x:v>
      </x:c>
      <x:c xmlns:x="http://schemas.openxmlformats.org/spreadsheetml/2006/main" r="Y567" t="str" s="11">
        <x:v>C:\Users\Nomatin\Documents\Altium\MY_LIB\MY_LIB\Datasheets\YAGEO_RC_L.pdf</x:v>
      </x:c>
      <ns0:c xmlns:ns0="http://schemas.openxmlformats.org/spreadsheetml/2006/main" r="Z567" s="16" t="inlineStr">
        <ns0:is>
          <ns0:t>MY_LIB_R_TCR</ns0:t>
        </ns0:is>
      </ns0:c>
      <ns0:c xmlns:ns0="http://schemas.openxmlformats.org/spreadsheetml/2006/main" r="AA567" s="16" t="inlineStr">
        <ns0:is>
          <ns0:t>R(T), +100 ppm/C at 25 C; positive datasheet limit</ns0:t>
        </ns0:is>
      </ns0:c>
      <ns0:c xmlns:ns0="http://schemas.openxmlformats.org/spreadsheetml/2006/main" r="AB567" s="16" t="str">
        <ns0:v>General</ns0:v>
      </ns0:c>
      <ns0:c xmlns:ns0="http://schemas.openxmlformats.org/spreadsheetml/2006/main" r="AC567" s="16" t="inlineStr">
        <ns0:is>
          <ns0:t>Spice Subcircuit</ns0:t>
        </ns0:is>
      </ns0:c>
      <ns0:c xmlns:ns0="http://schemas.openxmlformats.org/spreadsheetml/2006/main" r="AD567" s="16" t="inlineStr">
        <ns0:is>
          <ns0:t>@DESIGNATOR %1 %2 @MODEL PARAMS: Rvalue=@VALUE TC1value=100u</ns0:t>
        </ns0:is>
      </ns0:c>
      <ns0:c xmlns:ns0="http://schemas.openxmlformats.org/spreadsheetml/2006/main" r="AE567" s="16" t="inlineStr">
        <ns0:is>
          <ns0:t>X</ns0:t>
        </ns0:is>
      </ns0:c>
      <ns0:c xmlns:ns0="http://schemas.openxmlformats.org/spreadsheetml/2006/main" r="AF567" s="16" t="str">
        <ns0:v>(1:1),(2:2)</ns0:v>
      </ns0:c>
      <ns0:c xmlns:ns0="http://schemas.openxmlformats.org/spreadsheetml/2006/main" r="AG567" s="16" t="inlineStr">
        <ns0:is>
          <ns0:t>Simulation\Resistors\MY_LIB_R_TCR.ckt</ns0:t>
        </ns0:is>
      </ns0:c>
      <ns0:c xmlns:ns0="http://schemas.openxmlformats.org/spreadsheetml/2006/main" r="AH567" s="16" t="inlineStr">
        <ns0:is>
          <ns0:t>±100 ppm/°C</ns0:t>
        </ns0:is>
      </ns0:c>
    </ns0:row>
    <ns0:row xmlns:ns0="http://schemas.openxmlformats.org/spreadsheetml/2006/main" r="568" ht="30" customHeight="1">
      <ns0:c r="A568" t="str" s="10">
        <ns0:v>R0574</ns0:v>
      </ns0:c>
      <ns0:c r="B568" t="str" s="10">
        <ns0:v>Резистор</ns0:v>
      </ns0:c>
      <ns0:c r="C568" t="str" s="10">
        <ns0:v>240k</ns0:v>
      </ns0:c>
      <ns0:c r="D568" t="str" s="11">
        <ns0:f>SUBSTITUTE(SUBSTITUTE(SUBSTITUTE(SUBSTITUTE(C568,"meg"," МОм"),"k"," кОм"),"R"," Ом"),".",",")</ns0:f>
        <ns0:v>240 кОм</ns0:v>
      </ns0:c>
      <ns0:c r="E568" t="str" s="10">
        <ns0:v>±1%</ns0:v>
      </ns0:c>
      <ns0:c r="F568" t="str" s="10">
        <ns0:v>0,125 Вт</ns0:v>
      </ns0:c>
      <ns0:c r="G568" t="str" s="10">
        <ns0:v>150 В макс.</ns0:v>
      </ns0:c>
      <ns0:c r="H568" t="str" s="12">
        <ns0:v>0805</ns0:v>
      </ns0:c>
      <ns0:c r="I568" t="str" s="10">
        <ns0:v>YAGEO</ns0:v>
      </ns0:c>
      <ns0:c r="J568" t="str" s="10">
        <ns0:v>RC0805FR-07240KL</ns0:v>
      </ns0:c>
      <ns0:c r="K568" t="str" s="11">
        <ns0:f>B568&amp;" "&amp;D568&amp;" "&amp;E568&amp;" "&amp;H568</ns0:f>
        <ns0:v>Резистор 240 кОм ±1% 0805</ns0:v>
      </ns0:c>
      <ns0:c r="L568" t="str" s="13">
        <ns0:v>R</ns0:v>
      </ns0:c>
      <ns0:c r="M568" t="str" s="13">
        <ns0:v>Symbols\MY_LIB_Resistors.SchLib</ns0:v>
      </ns0:c>
      <ns0:c r="N568" t="str" s="13">
        <ns0:v>RESC2012X70N</ns0:v>
      </ns0:c>
      <ns0:c r="O568" t="str" s="13">
        <ns0:v>Footprints\PBL - SMD Packages.PcbLib</ns0:v>
      </ns0:c>
      <ns0:c xmlns:ns0="http://schemas.openxmlformats.org/spreadsheetml/2006/main" r="P56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8" s="10"/>
      <ns0:c r="R568" t="str" s="11">
        <ns0:f>D568</ns0:f>
        <ns0:v>240 кОм</ns0:v>
      </ns0:c>
      <ns0:c r="S568" t="str" s="11">
        <ns0:f>K568</ns0:f>
        <ns0:v>Резистор 240 кОм ±1% 0805</ns0:v>
      </ns0:c>
      <x:c xmlns:x="http://schemas.openxmlformats.org/spreadsheetml/2006/main" r="T568" t="str" s="11">
        <x:v>C:\Users\Nomatin\Documents\Altium\MY_LIB\MY_LIB\Datasheets\YAGEO_RC_L.pdf</x:v>
      </x:c>
      <x:c xmlns:x="http://schemas.openxmlformats.org/spreadsheetml/2006/main" r="U568" t="str" s="11">
        <x:v>Даташит — локальный</x:v>
      </x:c>
      <x:c xmlns:x="http://schemas.openxmlformats.org/spreadsheetml/2006/main" r="V568" t="str" s="11">
        <x:v>C:\Users\Nomatin\Documents\Altium\MY_LIB\MY_LIB\Datasheets\YAGEO_RC_L.pdf</x:v>
      </x:c>
      <x:c xmlns:x="http://schemas.openxmlformats.org/spreadsheetml/2006/main" r="W568" t="str" s="11">
        <x:v>Даташит — производитель</x:v>
      </x:c>
      <x:c xmlns:x="http://schemas.openxmlformats.org/spreadsheetml/2006/main" r="X568" t="str" s="11">
        <x:v>https://yageogroup.com/content/datasheet/asset/file/PYU-RC_GROUP_51_ROHS_L</x:v>
      </x:c>
      <x:c xmlns:x="http://schemas.openxmlformats.org/spreadsheetml/2006/main" r="Y568" t="str" s="11">
        <x:v>C:\Users\Nomatin\Documents\Altium\MY_LIB\MY_LIB\Datasheets\YAGEO_RC_L.pdf</x:v>
      </x:c>
      <ns0:c xmlns:ns0="http://schemas.openxmlformats.org/spreadsheetml/2006/main" r="Z568" s="16" t="inlineStr">
        <ns0:is>
          <ns0:t>MY_LIB_R_TCR</ns0:t>
        </ns0:is>
      </ns0:c>
      <ns0:c xmlns:ns0="http://schemas.openxmlformats.org/spreadsheetml/2006/main" r="AA568" s="16" t="inlineStr">
        <ns0:is>
          <ns0:t>R(T), +100 ppm/C at 25 C; positive datasheet limit</ns0:t>
        </ns0:is>
      </ns0:c>
      <ns0:c xmlns:ns0="http://schemas.openxmlformats.org/spreadsheetml/2006/main" r="AB568" s="16" t="str">
        <ns0:v>General</ns0:v>
      </ns0:c>
      <ns0:c xmlns:ns0="http://schemas.openxmlformats.org/spreadsheetml/2006/main" r="AC568" s="16" t="inlineStr">
        <ns0:is>
          <ns0:t>Spice Subcircuit</ns0:t>
        </ns0:is>
      </ns0:c>
      <ns0:c xmlns:ns0="http://schemas.openxmlformats.org/spreadsheetml/2006/main" r="AD568" s="16" t="inlineStr">
        <ns0:is>
          <ns0:t>@DESIGNATOR %1 %2 @MODEL PARAMS: Rvalue=@VALUE TC1value=100u</ns0:t>
        </ns0:is>
      </ns0:c>
      <ns0:c xmlns:ns0="http://schemas.openxmlformats.org/spreadsheetml/2006/main" r="AE568" s="16" t="inlineStr">
        <ns0:is>
          <ns0:t>X</ns0:t>
        </ns0:is>
      </ns0:c>
      <ns0:c xmlns:ns0="http://schemas.openxmlformats.org/spreadsheetml/2006/main" r="AF568" s="16" t="str">
        <ns0:v>(1:1),(2:2)</ns0:v>
      </ns0:c>
      <ns0:c xmlns:ns0="http://schemas.openxmlformats.org/spreadsheetml/2006/main" r="AG568" s="16" t="inlineStr">
        <ns0:is>
          <ns0:t>Simulation\Resistors\MY_LIB_R_TCR.ckt</ns0:t>
        </ns0:is>
      </ns0:c>
      <ns0:c xmlns:ns0="http://schemas.openxmlformats.org/spreadsheetml/2006/main" r="AH568" s="16" t="inlineStr">
        <ns0:is>
          <ns0:t>±100 ppm/°C</ns0:t>
        </ns0:is>
      </ns0:c>
    </ns0:row>
    <ns0:row xmlns:ns0="http://schemas.openxmlformats.org/spreadsheetml/2006/main" r="569" ht="30" customHeight="1">
      <ns0:c r="A569" t="str" s="10">
        <ns0:v>R0575</ns0:v>
      </ns0:c>
      <ns0:c r="B569" t="str" s="10">
        <ns0:v>Резистор</ns0:v>
      </ns0:c>
      <ns0:c r="C569" t="str" s="10">
        <ns0:v>270k</ns0:v>
      </ns0:c>
      <ns0:c r="D569" t="str" s="11">
        <ns0:f>SUBSTITUTE(SUBSTITUTE(SUBSTITUTE(SUBSTITUTE(C569,"meg"," МОм"),"k"," кОм"),"R"," Ом"),".",",")</ns0:f>
        <ns0:v>270 кОм</ns0:v>
      </ns0:c>
      <ns0:c r="E569" t="str" s="10">
        <ns0:v>±1%</ns0:v>
      </ns0:c>
      <ns0:c r="F569" t="str" s="10">
        <ns0:v>0,125 Вт</ns0:v>
      </ns0:c>
      <ns0:c r="G569" t="str" s="10">
        <ns0:v>150 В макс.</ns0:v>
      </ns0:c>
      <ns0:c r="H569" t="str" s="12">
        <ns0:v>0805</ns0:v>
      </ns0:c>
      <ns0:c r="I569" t="str" s="10">
        <ns0:v>YAGEO</ns0:v>
      </ns0:c>
      <ns0:c r="J569" t="str" s="10">
        <ns0:v>RC0805FR-07270KL</ns0:v>
      </ns0:c>
      <ns0:c r="K569" t="str" s="11">
        <ns0:f>B569&amp;" "&amp;D569&amp;" "&amp;E569&amp;" "&amp;H569</ns0:f>
        <ns0:v>Резистор 270 кОм ±1% 0805</ns0:v>
      </ns0:c>
      <ns0:c r="L569" t="str" s="13">
        <ns0:v>R</ns0:v>
      </ns0:c>
      <ns0:c r="M569" t="str" s="13">
        <ns0:v>Symbols\MY_LIB_Resistors.SchLib</ns0:v>
      </ns0:c>
      <ns0:c r="N569" t="str" s="13">
        <ns0:v>RESC2012X70N</ns0:v>
      </ns0:c>
      <ns0:c r="O569" t="str" s="13">
        <ns0:v>Footprints\PBL - SMD Packages.PcbLib</ns0:v>
      </ns0:c>
      <ns0:c xmlns:ns0="http://schemas.openxmlformats.org/spreadsheetml/2006/main" r="P56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69" s="10"/>
      <ns0:c r="R569" t="str" s="11">
        <ns0:f>D569</ns0:f>
        <ns0:v>270 кОм</ns0:v>
      </ns0:c>
      <ns0:c r="S569" t="str" s="11">
        <ns0:f>K569</ns0:f>
        <ns0:v>Резистор 270 кОм ±1% 0805</ns0:v>
      </ns0:c>
      <x:c xmlns:x="http://schemas.openxmlformats.org/spreadsheetml/2006/main" r="T569" t="str" s="11">
        <x:v>C:\Users\Nomatin\Documents\Altium\MY_LIB\MY_LIB\Datasheets\YAGEO_RC_L.pdf</x:v>
      </x:c>
      <x:c xmlns:x="http://schemas.openxmlformats.org/spreadsheetml/2006/main" r="U569" t="str" s="11">
        <x:v>Даташит — локальный</x:v>
      </x:c>
      <x:c xmlns:x="http://schemas.openxmlformats.org/spreadsheetml/2006/main" r="V569" t="str" s="11">
        <x:v>C:\Users\Nomatin\Documents\Altium\MY_LIB\MY_LIB\Datasheets\YAGEO_RC_L.pdf</x:v>
      </x:c>
      <x:c xmlns:x="http://schemas.openxmlformats.org/spreadsheetml/2006/main" r="W569" t="str" s="11">
        <x:v>Даташит — производитель</x:v>
      </x:c>
      <x:c xmlns:x="http://schemas.openxmlformats.org/spreadsheetml/2006/main" r="X569" t="str" s="11">
        <x:v>https://yageogroup.com/content/datasheet/asset/file/PYU-RC_GROUP_51_ROHS_L</x:v>
      </x:c>
      <x:c xmlns:x="http://schemas.openxmlformats.org/spreadsheetml/2006/main" r="Y569" t="str" s="11">
        <x:v>C:\Users\Nomatin\Documents\Altium\MY_LIB\MY_LIB\Datasheets\YAGEO_RC_L.pdf</x:v>
      </x:c>
      <ns0:c xmlns:ns0="http://schemas.openxmlformats.org/spreadsheetml/2006/main" r="Z569" s="16" t="inlineStr">
        <ns0:is>
          <ns0:t>MY_LIB_R_TCR</ns0:t>
        </ns0:is>
      </ns0:c>
      <ns0:c xmlns:ns0="http://schemas.openxmlformats.org/spreadsheetml/2006/main" r="AA569" s="16" t="inlineStr">
        <ns0:is>
          <ns0:t>R(T), +100 ppm/C at 25 C; positive datasheet limit</ns0:t>
        </ns0:is>
      </ns0:c>
      <ns0:c xmlns:ns0="http://schemas.openxmlformats.org/spreadsheetml/2006/main" r="AB569" s="16" t="str">
        <ns0:v>General</ns0:v>
      </ns0:c>
      <ns0:c xmlns:ns0="http://schemas.openxmlformats.org/spreadsheetml/2006/main" r="AC569" s="16" t="inlineStr">
        <ns0:is>
          <ns0:t>Spice Subcircuit</ns0:t>
        </ns0:is>
      </ns0:c>
      <ns0:c xmlns:ns0="http://schemas.openxmlformats.org/spreadsheetml/2006/main" r="AD569" s="16" t="inlineStr">
        <ns0:is>
          <ns0:t>@DESIGNATOR %1 %2 @MODEL PARAMS: Rvalue=@VALUE TC1value=100u</ns0:t>
        </ns0:is>
      </ns0:c>
      <ns0:c xmlns:ns0="http://schemas.openxmlformats.org/spreadsheetml/2006/main" r="AE569" s="16" t="inlineStr">
        <ns0:is>
          <ns0:t>X</ns0:t>
        </ns0:is>
      </ns0:c>
      <ns0:c xmlns:ns0="http://schemas.openxmlformats.org/spreadsheetml/2006/main" r="AF569" s="16" t="str">
        <ns0:v>(1:1),(2:2)</ns0:v>
      </ns0:c>
      <ns0:c xmlns:ns0="http://schemas.openxmlformats.org/spreadsheetml/2006/main" r="AG569" s="16" t="inlineStr">
        <ns0:is>
          <ns0:t>Simulation\Resistors\MY_LIB_R_TCR.ckt</ns0:t>
        </ns0:is>
      </ns0:c>
      <ns0:c xmlns:ns0="http://schemas.openxmlformats.org/spreadsheetml/2006/main" r="AH569" s="16" t="inlineStr">
        <ns0:is>
          <ns0:t>±100 ppm/°C</ns0:t>
        </ns0:is>
      </ns0:c>
    </ns0:row>
    <ns0:row xmlns:ns0="http://schemas.openxmlformats.org/spreadsheetml/2006/main" r="570" ht="30" customHeight="1">
      <ns0:c r="A570" t="str" s="10">
        <ns0:v>R0576</ns0:v>
      </ns0:c>
      <ns0:c r="B570" t="str" s="10">
        <ns0:v>Резистор</ns0:v>
      </ns0:c>
      <ns0:c r="C570" t="str" s="10">
        <ns0:v>300k</ns0:v>
      </ns0:c>
      <ns0:c r="D570" t="str" s="11">
        <ns0:f>SUBSTITUTE(SUBSTITUTE(SUBSTITUTE(SUBSTITUTE(C570,"meg"," МОм"),"k"," кОм"),"R"," Ом"),".",",")</ns0:f>
        <ns0:v>300 кОм</ns0:v>
      </ns0:c>
      <ns0:c r="E570" t="str" s="10">
        <ns0:v>±1%</ns0:v>
      </ns0:c>
      <ns0:c r="F570" t="str" s="10">
        <ns0:v>0,125 Вт</ns0:v>
      </ns0:c>
      <ns0:c r="G570" t="str" s="10">
        <ns0:v>150 В макс.</ns0:v>
      </ns0:c>
      <ns0:c r="H570" t="str" s="12">
        <ns0:v>0805</ns0:v>
      </ns0:c>
      <ns0:c r="I570" t="str" s="10">
        <ns0:v>YAGEO</ns0:v>
      </ns0:c>
      <ns0:c r="J570" t="str" s="10">
        <ns0:v>RC0805FR-07300KL</ns0:v>
      </ns0:c>
      <ns0:c r="K570" t="str" s="11">
        <ns0:f>B570&amp;" "&amp;D570&amp;" "&amp;E570&amp;" "&amp;H570</ns0:f>
        <ns0:v>Резистор 300 кОм ±1% 0805</ns0:v>
      </ns0:c>
      <ns0:c r="L570" t="str" s="13">
        <ns0:v>R</ns0:v>
      </ns0:c>
      <ns0:c r="M570" t="str" s="13">
        <ns0:v>Symbols\MY_LIB_Resistors.SchLib</ns0:v>
      </ns0:c>
      <ns0:c r="N570" t="str" s="13">
        <ns0:v>RESC2012X70N</ns0:v>
      </ns0:c>
      <ns0:c r="O570" t="str" s="13">
        <ns0:v>Footprints\PBL - SMD Packages.PcbLib</ns0:v>
      </ns0:c>
      <ns0:c xmlns:ns0="http://schemas.openxmlformats.org/spreadsheetml/2006/main" r="P57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0" s="10"/>
      <ns0:c r="R570" t="str" s="11">
        <ns0:f>D570</ns0:f>
        <ns0:v>300 кОм</ns0:v>
      </ns0:c>
      <ns0:c r="S570" t="str" s="11">
        <ns0:f>K570</ns0:f>
        <ns0:v>Резистор 300 кОм ±1% 0805</ns0:v>
      </ns0:c>
      <x:c xmlns:x="http://schemas.openxmlformats.org/spreadsheetml/2006/main" r="T570" t="str" s="11">
        <x:v>C:\Users\Nomatin\Documents\Altium\MY_LIB\MY_LIB\Datasheets\YAGEO_RC_L.pdf</x:v>
      </x:c>
      <x:c xmlns:x="http://schemas.openxmlformats.org/spreadsheetml/2006/main" r="U570" t="str" s="11">
        <x:v>Даташит — локальный</x:v>
      </x:c>
      <x:c xmlns:x="http://schemas.openxmlformats.org/spreadsheetml/2006/main" r="V570" t="str" s="11">
        <x:v>C:\Users\Nomatin\Documents\Altium\MY_LIB\MY_LIB\Datasheets\YAGEO_RC_L.pdf</x:v>
      </x:c>
      <x:c xmlns:x="http://schemas.openxmlformats.org/spreadsheetml/2006/main" r="W570" t="str" s="11">
        <x:v>Даташит — производитель</x:v>
      </x:c>
      <x:c xmlns:x="http://schemas.openxmlformats.org/spreadsheetml/2006/main" r="X570" t="str" s="11">
        <x:v>https://yageogroup.com/content/datasheet/asset/file/PYU-RC_GROUP_51_ROHS_L</x:v>
      </x:c>
      <x:c xmlns:x="http://schemas.openxmlformats.org/spreadsheetml/2006/main" r="Y570" t="str" s="11">
        <x:v>C:\Users\Nomatin\Documents\Altium\MY_LIB\MY_LIB\Datasheets\YAGEO_RC_L.pdf</x:v>
      </x:c>
      <ns0:c xmlns:ns0="http://schemas.openxmlformats.org/spreadsheetml/2006/main" r="Z570" s="16" t="inlineStr">
        <ns0:is>
          <ns0:t>MY_LIB_R_TCR</ns0:t>
        </ns0:is>
      </ns0:c>
      <ns0:c xmlns:ns0="http://schemas.openxmlformats.org/spreadsheetml/2006/main" r="AA570" s="16" t="inlineStr">
        <ns0:is>
          <ns0:t>R(T), +100 ppm/C at 25 C; positive datasheet limit</ns0:t>
        </ns0:is>
      </ns0:c>
      <ns0:c xmlns:ns0="http://schemas.openxmlformats.org/spreadsheetml/2006/main" r="AB570" s="16" t="str">
        <ns0:v>General</ns0:v>
      </ns0:c>
      <ns0:c xmlns:ns0="http://schemas.openxmlformats.org/spreadsheetml/2006/main" r="AC570" s="16" t="inlineStr">
        <ns0:is>
          <ns0:t>Spice Subcircuit</ns0:t>
        </ns0:is>
      </ns0:c>
      <ns0:c xmlns:ns0="http://schemas.openxmlformats.org/spreadsheetml/2006/main" r="AD570" s="16" t="inlineStr">
        <ns0:is>
          <ns0:t>@DESIGNATOR %1 %2 @MODEL PARAMS: Rvalue=@VALUE TC1value=100u</ns0:t>
        </ns0:is>
      </ns0:c>
      <ns0:c xmlns:ns0="http://schemas.openxmlformats.org/spreadsheetml/2006/main" r="AE570" s="16" t="inlineStr">
        <ns0:is>
          <ns0:t>X</ns0:t>
        </ns0:is>
      </ns0:c>
      <ns0:c xmlns:ns0="http://schemas.openxmlformats.org/spreadsheetml/2006/main" r="AF570" s="16" t="str">
        <ns0:v>(1:1),(2:2)</ns0:v>
      </ns0:c>
      <ns0:c xmlns:ns0="http://schemas.openxmlformats.org/spreadsheetml/2006/main" r="AG570" s="16" t="inlineStr">
        <ns0:is>
          <ns0:t>Simulation\Resistors\MY_LIB_R_TCR.ckt</ns0:t>
        </ns0:is>
      </ns0:c>
      <ns0:c xmlns:ns0="http://schemas.openxmlformats.org/spreadsheetml/2006/main" r="AH570" s="16" t="inlineStr">
        <ns0:is>
          <ns0:t>±100 ppm/°C</ns0:t>
        </ns0:is>
      </ns0:c>
    </ns0:row>
    <ns0:row xmlns:ns0="http://schemas.openxmlformats.org/spreadsheetml/2006/main" r="571" ht="30" customHeight="1">
      <ns0:c r="A571" t="str" s="10">
        <ns0:v>R0577</ns0:v>
      </ns0:c>
      <ns0:c r="B571" t="str" s="10">
        <ns0:v>Резистор</ns0:v>
      </ns0:c>
      <ns0:c r="C571" t="str" s="10">
        <ns0:v>330k</ns0:v>
      </ns0:c>
      <ns0:c r="D571" t="str" s="11">
        <ns0:f>SUBSTITUTE(SUBSTITUTE(SUBSTITUTE(SUBSTITUTE(C571,"meg"," МОм"),"k"," кОм"),"R"," Ом"),".",",")</ns0:f>
        <ns0:v>330 кОм</ns0:v>
      </ns0:c>
      <ns0:c r="E571" t="str" s="10">
        <ns0:v>±1%</ns0:v>
      </ns0:c>
      <ns0:c r="F571" t="str" s="10">
        <ns0:v>0,125 Вт</ns0:v>
      </ns0:c>
      <ns0:c r="G571" t="str" s="10">
        <ns0:v>150 В макс.</ns0:v>
      </ns0:c>
      <ns0:c r="H571" t="str" s="12">
        <ns0:v>0805</ns0:v>
      </ns0:c>
      <ns0:c r="I571" t="str" s="10">
        <ns0:v>YAGEO</ns0:v>
      </ns0:c>
      <ns0:c r="J571" t="str" s="10">
        <ns0:v>RC0805FR-07330KL</ns0:v>
      </ns0:c>
      <ns0:c r="K571" t="str" s="11">
        <ns0:f>B571&amp;" "&amp;D571&amp;" "&amp;E571&amp;" "&amp;H571</ns0:f>
        <ns0:v>Резистор 330 кОм ±1% 0805</ns0:v>
      </ns0:c>
      <ns0:c r="L571" t="str" s="13">
        <ns0:v>R</ns0:v>
      </ns0:c>
      <ns0:c r="M571" t="str" s="13">
        <ns0:v>Symbols\MY_LIB_Resistors.SchLib</ns0:v>
      </ns0:c>
      <ns0:c r="N571" t="str" s="13">
        <ns0:v>RESC2012X70N</ns0:v>
      </ns0:c>
      <ns0:c r="O571" t="str" s="13">
        <ns0:v>Footprints\PBL - SMD Packages.PcbLib</ns0:v>
      </ns0:c>
      <ns0:c xmlns:ns0="http://schemas.openxmlformats.org/spreadsheetml/2006/main" r="P57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1" s="10"/>
      <ns0:c r="R571" t="str" s="11">
        <ns0:f>D571</ns0:f>
        <ns0:v>330 кОм</ns0:v>
      </ns0:c>
      <ns0:c r="S571" t="str" s="11">
        <ns0:f>K571</ns0:f>
        <ns0:v>Резистор 330 кОм ±1% 0805</ns0:v>
      </ns0:c>
      <x:c xmlns:x="http://schemas.openxmlformats.org/spreadsheetml/2006/main" r="T571" t="str" s="11">
        <x:v>C:\Users\Nomatin\Documents\Altium\MY_LIB\MY_LIB\Datasheets\YAGEO_RC_L.pdf</x:v>
      </x:c>
      <x:c xmlns:x="http://schemas.openxmlformats.org/spreadsheetml/2006/main" r="U571" t="str" s="11">
        <x:v>Даташит — локальный</x:v>
      </x:c>
      <x:c xmlns:x="http://schemas.openxmlformats.org/spreadsheetml/2006/main" r="V571" t="str" s="11">
        <x:v>C:\Users\Nomatin\Documents\Altium\MY_LIB\MY_LIB\Datasheets\YAGEO_RC_L.pdf</x:v>
      </x:c>
      <x:c xmlns:x="http://schemas.openxmlformats.org/spreadsheetml/2006/main" r="W571" t="str" s="11">
        <x:v>Даташит — производитель</x:v>
      </x:c>
      <x:c xmlns:x="http://schemas.openxmlformats.org/spreadsheetml/2006/main" r="X571" t="str" s="11">
        <x:v>https://yageogroup.com/content/datasheet/asset/file/PYU-RC_GROUP_51_ROHS_L</x:v>
      </x:c>
      <x:c xmlns:x="http://schemas.openxmlformats.org/spreadsheetml/2006/main" r="Y571" t="str" s="11">
        <x:v>C:\Users\Nomatin\Documents\Altium\MY_LIB\MY_LIB\Datasheets\YAGEO_RC_L.pdf</x:v>
      </x:c>
      <ns0:c xmlns:ns0="http://schemas.openxmlformats.org/spreadsheetml/2006/main" r="Z571" s="16" t="inlineStr">
        <ns0:is>
          <ns0:t>MY_LIB_R_TCR</ns0:t>
        </ns0:is>
      </ns0:c>
      <ns0:c xmlns:ns0="http://schemas.openxmlformats.org/spreadsheetml/2006/main" r="AA571" s="16" t="inlineStr">
        <ns0:is>
          <ns0:t>R(T), +100 ppm/C at 25 C; positive datasheet limit</ns0:t>
        </ns0:is>
      </ns0:c>
      <ns0:c xmlns:ns0="http://schemas.openxmlformats.org/spreadsheetml/2006/main" r="AB571" s="16" t="str">
        <ns0:v>General</ns0:v>
      </ns0:c>
      <ns0:c xmlns:ns0="http://schemas.openxmlformats.org/spreadsheetml/2006/main" r="AC571" s="16" t="inlineStr">
        <ns0:is>
          <ns0:t>Spice Subcircuit</ns0:t>
        </ns0:is>
      </ns0:c>
      <ns0:c xmlns:ns0="http://schemas.openxmlformats.org/spreadsheetml/2006/main" r="AD571" s="16" t="inlineStr">
        <ns0:is>
          <ns0:t>@DESIGNATOR %1 %2 @MODEL PARAMS: Rvalue=@VALUE TC1value=100u</ns0:t>
        </ns0:is>
      </ns0:c>
      <ns0:c xmlns:ns0="http://schemas.openxmlformats.org/spreadsheetml/2006/main" r="AE571" s="16" t="inlineStr">
        <ns0:is>
          <ns0:t>X</ns0:t>
        </ns0:is>
      </ns0:c>
      <ns0:c xmlns:ns0="http://schemas.openxmlformats.org/spreadsheetml/2006/main" r="AF571" s="16" t="str">
        <ns0:v>(1:1),(2:2)</ns0:v>
      </ns0:c>
      <ns0:c xmlns:ns0="http://schemas.openxmlformats.org/spreadsheetml/2006/main" r="AG571" s="16" t="inlineStr">
        <ns0:is>
          <ns0:t>Simulation\Resistors\MY_LIB_R_TCR.ckt</ns0:t>
        </ns0:is>
      </ns0:c>
      <ns0:c xmlns:ns0="http://schemas.openxmlformats.org/spreadsheetml/2006/main" r="AH571" s="16" t="inlineStr">
        <ns0:is>
          <ns0:t>±100 ppm/°C</ns0:t>
        </ns0:is>
      </ns0:c>
    </ns0:row>
    <ns0:row xmlns:ns0="http://schemas.openxmlformats.org/spreadsheetml/2006/main" r="572" ht="30" customHeight="1">
      <ns0:c r="A572" t="str" s="10">
        <ns0:v>R0578</ns0:v>
      </ns0:c>
      <ns0:c r="B572" t="str" s="10">
        <ns0:v>Резистор</ns0:v>
      </ns0:c>
      <ns0:c r="C572" t="str" s="10">
        <ns0:v>360k</ns0:v>
      </ns0:c>
      <ns0:c r="D572" t="str" s="11">
        <ns0:f>SUBSTITUTE(SUBSTITUTE(SUBSTITUTE(SUBSTITUTE(C572,"meg"," МОм"),"k"," кОм"),"R"," Ом"),".",",")</ns0:f>
        <ns0:v>360 кОм</ns0:v>
      </ns0:c>
      <ns0:c r="E572" t="str" s="10">
        <ns0:v>±1%</ns0:v>
      </ns0:c>
      <ns0:c r="F572" t="str" s="10">
        <ns0:v>0,125 Вт</ns0:v>
      </ns0:c>
      <ns0:c r="G572" t="str" s="10">
        <ns0:v>150 В макс.</ns0:v>
      </ns0:c>
      <ns0:c r="H572" t="str" s="12">
        <ns0:v>0805</ns0:v>
      </ns0:c>
      <ns0:c r="I572" t="str" s="10">
        <ns0:v>YAGEO</ns0:v>
      </ns0:c>
      <ns0:c r="J572" t="str" s="10">
        <ns0:v>RC0805FR-07360KL</ns0:v>
      </ns0:c>
      <ns0:c r="K572" t="str" s="11">
        <ns0:f>B572&amp;" "&amp;D572&amp;" "&amp;E572&amp;" "&amp;H572</ns0:f>
        <ns0:v>Резистор 360 кОм ±1% 0805</ns0:v>
      </ns0:c>
      <ns0:c r="L572" t="str" s="13">
        <ns0:v>R</ns0:v>
      </ns0:c>
      <ns0:c r="M572" t="str" s="13">
        <ns0:v>Symbols\MY_LIB_Resistors.SchLib</ns0:v>
      </ns0:c>
      <ns0:c r="N572" t="str" s="13">
        <ns0:v>RESC2012X70N</ns0:v>
      </ns0:c>
      <ns0:c r="O572" t="str" s="13">
        <ns0:v>Footprints\PBL - SMD Packages.PcbLib</ns0:v>
      </ns0:c>
      <ns0:c xmlns:ns0="http://schemas.openxmlformats.org/spreadsheetml/2006/main" r="P57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2" s="10"/>
      <ns0:c r="R572" t="str" s="11">
        <ns0:f>D572</ns0:f>
        <ns0:v>360 кОм</ns0:v>
      </ns0:c>
      <ns0:c r="S572" t="str" s="11">
        <ns0:f>K572</ns0:f>
        <ns0:v>Резистор 360 кОм ±1% 0805</ns0:v>
      </ns0:c>
      <x:c xmlns:x="http://schemas.openxmlformats.org/spreadsheetml/2006/main" r="T572" t="str" s="11">
        <x:v>C:\Users\Nomatin\Documents\Altium\MY_LIB\MY_LIB\Datasheets\YAGEO_RC_L.pdf</x:v>
      </x:c>
      <x:c xmlns:x="http://schemas.openxmlformats.org/spreadsheetml/2006/main" r="U572" t="str" s="11">
        <x:v>Даташит — локальный</x:v>
      </x:c>
      <x:c xmlns:x="http://schemas.openxmlformats.org/spreadsheetml/2006/main" r="V572" t="str" s="11">
        <x:v>C:\Users\Nomatin\Documents\Altium\MY_LIB\MY_LIB\Datasheets\YAGEO_RC_L.pdf</x:v>
      </x:c>
      <x:c xmlns:x="http://schemas.openxmlformats.org/spreadsheetml/2006/main" r="W572" t="str" s="11">
        <x:v>Даташит — производитель</x:v>
      </x:c>
      <x:c xmlns:x="http://schemas.openxmlformats.org/spreadsheetml/2006/main" r="X572" t="str" s="11">
        <x:v>https://yageogroup.com/content/datasheet/asset/file/PYU-RC_GROUP_51_ROHS_L</x:v>
      </x:c>
      <x:c xmlns:x="http://schemas.openxmlformats.org/spreadsheetml/2006/main" r="Y572" t="str" s="11">
        <x:v>C:\Users\Nomatin\Documents\Altium\MY_LIB\MY_LIB\Datasheets\YAGEO_RC_L.pdf</x:v>
      </x:c>
      <ns0:c xmlns:ns0="http://schemas.openxmlformats.org/spreadsheetml/2006/main" r="Z572" s="16" t="inlineStr">
        <ns0:is>
          <ns0:t>MY_LIB_R_TCR</ns0:t>
        </ns0:is>
      </ns0:c>
      <ns0:c xmlns:ns0="http://schemas.openxmlformats.org/spreadsheetml/2006/main" r="AA572" s="16" t="inlineStr">
        <ns0:is>
          <ns0:t>R(T), +100 ppm/C at 25 C; positive datasheet limit</ns0:t>
        </ns0:is>
      </ns0:c>
      <ns0:c xmlns:ns0="http://schemas.openxmlformats.org/spreadsheetml/2006/main" r="AB572" s="16" t="str">
        <ns0:v>General</ns0:v>
      </ns0:c>
      <ns0:c xmlns:ns0="http://schemas.openxmlformats.org/spreadsheetml/2006/main" r="AC572" s="16" t="inlineStr">
        <ns0:is>
          <ns0:t>Spice Subcircuit</ns0:t>
        </ns0:is>
      </ns0:c>
      <ns0:c xmlns:ns0="http://schemas.openxmlformats.org/spreadsheetml/2006/main" r="AD572" s="16" t="inlineStr">
        <ns0:is>
          <ns0:t>@DESIGNATOR %1 %2 @MODEL PARAMS: Rvalue=@VALUE TC1value=100u</ns0:t>
        </ns0:is>
      </ns0:c>
      <ns0:c xmlns:ns0="http://schemas.openxmlformats.org/spreadsheetml/2006/main" r="AE572" s="16" t="inlineStr">
        <ns0:is>
          <ns0:t>X</ns0:t>
        </ns0:is>
      </ns0:c>
      <ns0:c xmlns:ns0="http://schemas.openxmlformats.org/spreadsheetml/2006/main" r="AF572" s="16" t="str">
        <ns0:v>(1:1),(2:2)</ns0:v>
      </ns0:c>
      <ns0:c xmlns:ns0="http://schemas.openxmlformats.org/spreadsheetml/2006/main" r="AG572" s="16" t="inlineStr">
        <ns0:is>
          <ns0:t>Simulation\Resistors\MY_LIB_R_TCR.ckt</ns0:t>
        </ns0:is>
      </ns0:c>
      <ns0:c xmlns:ns0="http://schemas.openxmlformats.org/spreadsheetml/2006/main" r="AH572" s="16" t="inlineStr">
        <ns0:is>
          <ns0:t>±100 ppm/°C</ns0:t>
        </ns0:is>
      </ns0:c>
    </ns0:row>
    <ns0:row xmlns:ns0="http://schemas.openxmlformats.org/spreadsheetml/2006/main" r="573" ht="30" customHeight="1">
      <ns0:c r="A573" t="str" s="10">
        <ns0:v>R0579</ns0:v>
      </ns0:c>
      <ns0:c r="B573" t="str" s="10">
        <ns0:v>Резистор</ns0:v>
      </ns0:c>
      <ns0:c r="C573" t="str" s="10">
        <ns0:v>390k</ns0:v>
      </ns0:c>
      <ns0:c r="D573" t="str" s="11">
        <ns0:f>SUBSTITUTE(SUBSTITUTE(SUBSTITUTE(SUBSTITUTE(C573,"meg"," МОм"),"k"," кОм"),"R"," Ом"),".",",")</ns0:f>
        <ns0:v>390 кОм</ns0:v>
      </ns0:c>
      <ns0:c r="E573" t="str" s="10">
        <ns0:v>±1%</ns0:v>
      </ns0:c>
      <ns0:c r="F573" t="str" s="10">
        <ns0:v>0,125 Вт</ns0:v>
      </ns0:c>
      <ns0:c r="G573" t="str" s="10">
        <ns0:v>150 В макс.</ns0:v>
      </ns0:c>
      <ns0:c r="H573" t="str" s="12">
        <ns0:v>0805</ns0:v>
      </ns0:c>
      <ns0:c r="I573" t="str" s="10">
        <ns0:v>YAGEO</ns0:v>
      </ns0:c>
      <ns0:c r="J573" t="str" s="10">
        <ns0:v>RC0805FR-07390KL</ns0:v>
      </ns0:c>
      <ns0:c r="K573" t="str" s="11">
        <ns0:f>B573&amp;" "&amp;D573&amp;" "&amp;E573&amp;" "&amp;H573</ns0:f>
        <ns0:v>Резистор 390 кОм ±1% 0805</ns0:v>
      </ns0:c>
      <ns0:c r="L573" t="str" s="13">
        <ns0:v>R</ns0:v>
      </ns0:c>
      <ns0:c r="M573" t="str" s="13">
        <ns0:v>Symbols\MY_LIB_Resistors.SchLib</ns0:v>
      </ns0:c>
      <ns0:c r="N573" t="str" s="13">
        <ns0:v>RESC2012X70N</ns0:v>
      </ns0:c>
      <ns0:c r="O573" t="str" s="13">
        <ns0:v>Footprints\PBL - SMD Packages.PcbLib</ns0:v>
      </ns0:c>
      <ns0:c xmlns:ns0="http://schemas.openxmlformats.org/spreadsheetml/2006/main" r="P57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3" s="10"/>
      <ns0:c r="R573" t="str" s="11">
        <ns0:f>D573</ns0:f>
        <ns0:v>390 кОм</ns0:v>
      </ns0:c>
      <ns0:c r="S573" t="str" s="11">
        <ns0:f>K573</ns0:f>
        <ns0:v>Резистор 390 кОм ±1% 0805</ns0:v>
      </ns0:c>
      <x:c xmlns:x="http://schemas.openxmlformats.org/spreadsheetml/2006/main" r="T573" t="str" s="11">
        <x:v>C:\Users\Nomatin\Documents\Altium\MY_LIB\MY_LIB\Datasheets\YAGEO_RC_L.pdf</x:v>
      </x:c>
      <x:c xmlns:x="http://schemas.openxmlformats.org/spreadsheetml/2006/main" r="U573" t="str" s="11">
        <x:v>Даташит — локальный</x:v>
      </x:c>
      <x:c xmlns:x="http://schemas.openxmlformats.org/spreadsheetml/2006/main" r="V573" t="str" s="11">
        <x:v>C:\Users\Nomatin\Documents\Altium\MY_LIB\MY_LIB\Datasheets\YAGEO_RC_L.pdf</x:v>
      </x:c>
      <x:c xmlns:x="http://schemas.openxmlformats.org/spreadsheetml/2006/main" r="W573" t="str" s="11">
        <x:v>Даташит — производитель</x:v>
      </x:c>
      <x:c xmlns:x="http://schemas.openxmlformats.org/spreadsheetml/2006/main" r="X573" t="str" s="11">
        <x:v>https://yageogroup.com/content/datasheet/asset/file/PYU-RC_GROUP_51_ROHS_L</x:v>
      </x:c>
      <x:c xmlns:x="http://schemas.openxmlformats.org/spreadsheetml/2006/main" r="Y573" t="str" s="11">
        <x:v>C:\Users\Nomatin\Documents\Altium\MY_LIB\MY_LIB\Datasheets\YAGEO_RC_L.pdf</x:v>
      </x:c>
      <ns0:c xmlns:ns0="http://schemas.openxmlformats.org/spreadsheetml/2006/main" r="Z573" s="16" t="inlineStr">
        <ns0:is>
          <ns0:t>MY_LIB_R_TCR</ns0:t>
        </ns0:is>
      </ns0:c>
      <ns0:c xmlns:ns0="http://schemas.openxmlformats.org/spreadsheetml/2006/main" r="AA573" s="16" t="inlineStr">
        <ns0:is>
          <ns0:t>R(T), +100 ppm/C at 25 C; positive datasheet limit</ns0:t>
        </ns0:is>
      </ns0:c>
      <ns0:c xmlns:ns0="http://schemas.openxmlformats.org/spreadsheetml/2006/main" r="AB573" s="16" t="str">
        <ns0:v>General</ns0:v>
      </ns0:c>
      <ns0:c xmlns:ns0="http://schemas.openxmlformats.org/spreadsheetml/2006/main" r="AC573" s="16" t="inlineStr">
        <ns0:is>
          <ns0:t>Spice Subcircuit</ns0:t>
        </ns0:is>
      </ns0:c>
      <ns0:c xmlns:ns0="http://schemas.openxmlformats.org/spreadsheetml/2006/main" r="AD573" s="16" t="inlineStr">
        <ns0:is>
          <ns0:t>@DESIGNATOR %1 %2 @MODEL PARAMS: Rvalue=@VALUE TC1value=100u</ns0:t>
        </ns0:is>
      </ns0:c>
      <ns0:c xmlns:ns0="http://schemas.openxmlformats.org/spreadsheetml/2006/main" r="AE573" s="16" t="inlineStr">
        <ns0:is>
          <ns0:t>X</ns0:t>
        </ns0:is>
      </ns0:c>
      <ns0:c xmlns:ns0="http://schemas.openxmlformats.org/spreadsheetml/2006/main" r="AF573" s="16" t="str">
        <ns0:v>(1:1),(2:2)</ns0:v>
      </ns0:c>
      <ns0:c xmlns:ns0="http://schemas.openxmlformats.org/spreadsheetml/2006/main" r="AG573" s="16" t="inlineStr">
        <ns0:is>
          <ns0:t>Simulation\Resistors\MY_LIB_R_TCR.ckt</ns0:t>
        </ns0:is>
      </ns0:c>
      <ns0:c xmlns:ns0="http://schemas.openxmlformats.org/spreadsheetml/2006/main" r="AH573" s="16" t="inlineStr">
        <ns0:is>
          <ns0:t>±100 ppm/°C</ns0:t>
        </ns0:is>
      </ns0:c>
    </ns0:row>
    <ns0:row xmlns:ns0="http://schemas.openxmlformats.org/spreadsheetml/2006/main" r="574" ht="30" customHeight="1">
      <ns0:c r="A574" t="str" s="10">
        <ns0:v>R0580</ns0:v>
      </ns0:c>
      <ns0:c r="B574" t="str" s="10">
        <ns0:v>Резистор</ns0:v>
      </ns0:c>
      <ns0:c r="C574" t="str" s="10">
        <ns0:v>430k</ns0:v>
      </ns0:c>
      <ns0:c r="D574" t="str" s="11">
        <ns0:f>SUBSTITUTE(SUBSTITUTE(SUBSTITUTE(SUBSTITUTE(C574,"meg"," МОм"),"k"," кОм"),"R"," Ом"),".",",")</ns0:f>
        <ns0:v>430 кОм</ns0:v>
      </ns0:c>
      <ns0:c r="E574" t="str" s="10">
        <ns0:v>±1%</ns0:v>
      </ns0:c>
      <ns0:c r="F574" t="str" s="10">
        <ns0:v>0,125 Вт</ns0:v>
      </ns0:c>
      <ns0:c r="G574" t="str" s="10">
        <ns0:v>150 В макс.</ns0:v>
      </ns0:c>
      <ns0:c r="H574" t="str" s="12">
        <ns0:v>0805</ns0:v>
      </ns0:c>
      <ns0:c r="I574" t="str" s="10">
        <ns0:v>YAGEO</ns0:v>
      </ns0:c>
      <ns0:c r="J574" t="str" s="10">
        <ns0:v>RC0805FR-07430KL</ns0:v>
      </ns0:c>
      <ns0:c r="K574" t="str" s="11">
        <ns0:f>B574&amp;" "&amp;D574&amp;" "&amp;E574&amp;" "&amp;H574</ns0:f>
        <ns0:v>Резистор 430 кОм ±1% 0805</ns0:v>
      </ns0:c>
      <ns0:c r="L574" t="str" s="13">
        <ns0:v>R</ns0:v>
      </ns0:c>
      <ns0:c r="M574" t="str" s="13">
        <ns0:v>Symbols\MY_LIB_Resistors.SchLib</ns0:v>
      </ns0:c>
      <ns0:c r="N574" t="str" s="13">
        <ns0:v>RESC2012X70N</ns0:v>
      </ns0:c>
      <ns0:c r="O574" t="str" s="13">
        <ns0:v>Footprints\PBL - SMD Packages.PcbLib</ns0:v>
      </ns0:c>
      <ns0:c xmlns:ns0="http://schemas.openxmlformats.org/spreadsheetml/2006/main" r="P574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4" s="10"/>
      <ns0:c r="R574" t="str" s="11">
        <ns0:f>D574</ns0:f>
        <ns0:v>430 кОм</ns0:v>
      </ns0:c>
      <ns0:c r="S574" t="str" s="11">
        <ns0:f>K574</ns0:f>
        <ns0:v>Резистор 430 кОм ±1% 0805</ns0:v>
      </ns0:c>
      <x:c xmlns:x="http://schemas.openxmlformats.org/spreadsheetml/2006/main" r="T574" t="str" s="11">
        <x:v>C:\Users\Nomatin\Documents\Altium\MY_LIB\MY_LIB\Datasheets\YAGEO_RC_L.pdf</x:v>
      </x:c>
      <x:c xmlns:x="http://schemas.openxmlformats.org/spreadsheetml/2006/main" r="U574" t="str" s="11">
        <x:v>Даташит — локальный</x:v>
      </x:c>
      <x:c xmlns:x="http://schemas.openxmlformats.org/spreadsheetml/2006/main" r="V574" t="str" s="11">
        <x:v>C:\Users\Nomatin\Documents\Altium\MY_LIB\MY_LIB\Datasheets\YAGEO_RC_L.pdf</x:v>
      </x:c>
      <x:c xmlns:x="http://schemas.openxmlformats.org/spreadsheetml/2006/main" r="W574" t="str" s="11">
        <x:v>Даташит — производитель</x:v>
      </x:c>
      <x:c xmlns:x="http://schemas.openxmlformats.org/spreadsheetml/2006/main" r="X574" t="str" s="11">
        <x:v>https://yageogroup.com/content/datasheet/asset/file/PYU-RC_GROUP_51_ROHS_L</x:v>
      </x:c>
      <x:c xmlns:x="http://schemas.openxmlformats.org/spreadsheetml/2006/main" r="Y574" t="str" s="11">
        <x:v>C:\Users\Nomatin\Documents\Altium\MY_LIB\MY_LIB\Datasheets\YAGEO_RC_L.pdf</x:v>
      </x:c>
      <ns0:c xmlns:ns0="http://schemas.openxmlformats.org/spreadsheetml/2006/main" r="Z574" s="16" t="inlineStr">
        <ns0:is>
          <ns0:t>MY_LIB_R_TCR</ns0:t>
        </ns0:is>
      </ns0:c>
      <ns0:c xmlns:ns0="http://schemas.openxmlformats.org/spreadsheetml/2006/main" r="AA574" s="16" t="inlineStr">
        <ns0:is>
          <ns0:t>R(T), +100 ppm/C at 25 C; positive datasheet limit</ns0:t>
        </ns0:is>
      </ns0:c>
      <ns0:c xmlns:ns0="http://schemas.openxmlformats.org/spreadsheetml/2006/main" r="AB574" s="16" t="str">
        <ns0:v>General</ns0:v>
      </ns0:c>
      <ns0:c xmlns:ns0="http://schemas.openxmlformats.org/spreadsheetml/2006/main" r="AC574" s="16" t="inlineStr">
        <ns0:is>
          <ns0:t>Spice Subcircuit</ns0:t>
        </ns0:is>
      </ns0:c>
      <ns0:c xmlns:ns0="http://schemas.openxmlformats.org/spreadsheetml/2006/main" r="AD574" s="16" t="inlineStr">
        <ns0:is>
          <ns0:t>@DESIGNATOR %1 %2 @MODEL PARAMS: Rvalue=@VALUE TC1value=100u</ns0:t>
        </ns0:is>
      </ns0:c>
      <ns0:c xmlns:ns0="http://schemas.openxmlformats.org/spreadsheetml/2006/main" r="AE574" s="16" t="inlineStr">
        <ns0:is>
          <ns0:t>X</ns0:t>
        </ns0:is>
      </ns0:c>
      <ns0:c xmlns:ns0="http://schemas.openxmlformats.org/spreadsheetml/2006/main" r="AF574" s="16" t="str">
        <ns0:v>(1:1),(2:2)</ns0:v>
      </ns0:c>
      <ns0:c xmlns:ns0="http://schemas.openxmlformats.org/spreadsheetml/2006/main" r="AG574" s="16" t="inlineStr">
        <ns0:is>
          <ns0:t>Simulation\Resistors\MY_LIB_R_TCR.ckt</ns0:t>
        </ns0:is>
      </ns0:c>
      <ns0:c xmlns:ns0="http://schemas.openxmlformats.org/spreadsheetml/2006/main" r="AH574" s="16" t="inlineStr">
        <ns0:is>
          <ns0:t>±100 ppm/°C</ns0:t>
        </ns0:is>
      </ns0:c>
    </ns0:row>
    <ns0:row xmlns:ns0="http://schemas.openxmlformats.org/spreadsheetml/2006/main" r="575" ht="30" customHeight="1">
      <ns0:c r="A575" t="str" s="10">
        <ns0:v>R0581</ns0:v>
      </ns0:c>
      <ns0:c r="B575" t="str" s="10">
        <ns0:v>Резистор</ns0:v>
      </ns0:c>
      <ns0:c r="C575" t="str" s="10">
        <ns0:v>470k</ns0:v>
      </ns0:c>
      <ns0:c r="D575" t="str" s="11">
        <ns0:f>SUBSTITUTE(SUBSTITUTE(SUBSTITUTE(SUBSTITUTE(C575,"meg"," МОм"),"k"," кОм"),"R"," Ом"),".",",")</ns0:f>
        <ns0:v>470 кОм</ns0:v>
      </ns0:c>
      <ns0:c r="E575" t="str" s="10">
        <ns0:v>±1%</ns0:v>
      </ns0:c>
      <ns0:c r="F575" t="str" s="10">
        <ns0:v>0,125 Вт</ns0:v>
      </ns0:c>
      <ns0:c r="G575" t="str" s="10">
        <ns0:v>150 В макс.</ns0:v>
      </ns0:c>
      <ns0:c r="H575" t="str" s="12">
        <ns0:v>0805</ns0:v>
      </ns0:c>
      <ns0:c r="I575" t="str" s="10">
        <ns0:v>YAGEO</ns0:v>
      </ns0:c>
      <ns0:c r="J575" t="str" s="10">
        <ns0:v>RC0805FR-07470KL</ns0:v>
      </ns0:c>
      <ns0:c r="K575" t="str" s="11">
        <ns0:f>B575&amp;" "&amp;D575&amp;" "&amp;E575&amp;" "&amp;H575</ns0:f>
        <ns0:v>Резистор 470 кОм ±1% 0805</ns0:v>
      </ns0:c>
      <ns0:c r="L575" t="str" s="13">
        <ns0:v>R</ns0:v>
      </ns0:c>
      <ns0:c r="M575" t="str" s="13">
        <ns0:v>Symbols\MY_LIB_Resistors.SchLib</ns0:v>
      </ns0:c>
      <ns0:c r="N575" t="str" s="13">
        <ns0:v>RESC2012X70N</ns0:v>
      </ns0:c>
      <ns0:c r="O575" t="str" s="13">
        <ns0:v>Footprints\PBL - SMD Packages.PcbLib</ns0:v>
      </ns0:c>
      <ns0:c xmlns:ns0="http://schemas.openxmlformats.org/spreadsheetml/2006/main" r="P575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5" s="10"/>
      <ns0:c r="R575" t="str" s="11">
        <ns0:f>D575</ns0:f>
        <ns0:v>470 кОм</ns0:v>
      </ns0:c>
      <ns0:c r="S575" t="str" s="11">
        <ns0:f>K575</ns0:f>
        <ns0:v>Резистор 470 кОм ±1% 0805</ns0:v>
      </ns0:c>
      <x:c xmlns:x="http://schemas.openxmlformats.org/spreadsheetml/2006/main" r="T575" t="str" s="11">
        <x:v>C:\Users\Nomatin\Documents\Altium\MY_LIB\MY_LIB\Datasheets\YAGEO_RC_L.pdf</x:v>
      </x:c>
      <x:c xmlns:x="http://schemas.openxmlformats.org/spreadsheetml/2006/main" r="U575" t="str" s="11">
        <x:v>Даташит — локальный</x:v>
      </x:c>
      <x:c xmlns:x="http://schemas.openxmlformats.org/spreadsheetml/2006/main" r="V575" t="str" s="11">
        <x:v>C:\Users\Nomatin\Documents\Altium\MY_LIB\MY_LIB\Datasheets\YAGEO_RC_L.pdf</x:v>
      </x:c>
      <x:c xmlns:x="http://schemas.openxmlformats.org/spreadsheetml/2006/main" r="W575" t="str" s="11">
        <x:v>Даташит — производитель</x:v>
      </x:c>
      <x:c xmlns:x="http://schemas.openxmlformats.org/spreadsheetml/2006/main" r="X575" t="str" s="11">
        <x:v>https://yageogroup.com/content/datasheet/asset/file/PYU-RC_GROUP_51_ROHS_L</x:v>
      </x:c>
      <x:c xmlns:x="http://schemas.openxmlformats.org/spreadsheetml/2006/main" r="Y575" t="str" s="11">
        <x:v>C:\Users\Nomatin\Documents\Altium\MY_LIB\MY_LIB\Datasheets\YAGEO_RC_L.pdf</x:v>
      </x:c>
      <ns0:c xmlns:ns0="http://schemas.openxmlformats.org/spreadsheetml/2006/main" r="Z575" s="16" t="inlineStr">
        <ns0:is>
          <ns0:t>MY_LIB_R_TCR</ns0:t>
        </ns0:is>
      </ns0:c>
      <ns0:c xmlns:ns0="http://schemas.openxmlformats.org/spreadsheetml/2006/main" r="AA575" s="16" t="inlineStr">
        <ns0:is>
          <ns0:t>R(T), +100 ppm/C at 25 C; positive datasheet limit</ns0:t>
        </ns0:is>
      </ns0:c>
      <ns0:c xmlns:ns0="http://schemas.openxmlformats.org/spreadsheetml/2006/main" r="AB575" s="16" t="str">
        <ns0:v>General</ns0:v>
      </ns0:c>
      <ns0:c xmlns:ns0="http://schemas.openxmlformats.org/spreadsheetml/2006/main" r="AC575" s="16" t="inlineStr">
        <ns0:is>
          <ns0:t>Spice Subcircuit</ns0:t>
        </ns0:is>
      </ns0:c>
      <ns0:c xmlns:ns0="http://schemas.openxmlformats.org/spreadsheetml/2006/main" r="AD575" s="16" t="inlineStr">
        <ns0:is>
          <ns0:t>@DESIGNATOR %1 %2 @MODEL PARAMS: Rvalue=@VALUE TC1value=100u</ns0:t>
        </ns0:is>
      </ns0:c>
      <ns0:c xmlns:ns0="http://schemas.openxmlformats.org/spreadsheetml/2006/main" r="AE575" s="16" t="inlineStr">
        <ns0:is>
          <ns0:t>X</ns0:t>
        </ns0:is>
      </ns0:c>
      <ns0:c xmlns:ns0="http://schemas.openxmlformats.org/spreadsheetml/2006/main" r="AF575" s="16" t="str">
        <ns0:v>(1:1),(2:2)</ns0:v>
      </ns0:c>
      <ns0:c xmlns:ns0="http://schemas.openxmlformats.org/spreadsheetml/2006/main" r="AG575" s="16" t="inlineStr">
        <ns0:is>
          <ns0:t>Simulation\Resistors\MY_LIB_R_TCR.ckt</ns0:t>
        </ns0:is>
      </ns0:c>
      <ns0:c xmlns:ns0="http://schemas.openxmlformats.org/spreadsheetml/2006/main" r="AH575" s="16" t="inlineStr">
        <ns0:is>
          <ns0:t>±100 ppm/°C</ns0:t>
        </ns0:is>
      </ns0:c>
    </ns0:row>
    <ns0:row xmlns:ns0="http://schemas.openxmlformats.org/spreadsheetml/2006/main" r="576" ht="30" customHeight="1">
      <ns0:c r="A576" t="str" s="10">
        <ns0:v>R0582</ns0:v>
      </ns0:c>
      <ns0:c r="B576" t="str" s="10">
        <ns0:v>Резистор</ns0:v>
      </ns0:c>
      <ns0:c r="C576" t="str" s="10">
        <ns0:v>510k</ns0:v>
      </ns0:c>
      <ns0:c r="D576" t="str" s="11">
        <ns0:f>SUBSTITUTE(SUBSTITUTE(SUBSTITUTE(SUBSTITUTE(C576,"meg"," МОм"),"k"," кОм"),"R"," Ом"),".",",")</ns0:f>
        <ns0:v>510 кОм</ns0:v>
      </ns0:c>
      <ns0:c r="E576" t="str" s="10">
        <ns0:v>±1%</ns0:v>
      </ns0:c>
      <ns0:c r="F576" t="str" s="10">
        <ns0:v>0,125 Вт</ns0:v>
      </ns0:c>
      <ns0:c r="G576" t="str" s="10">
        <ns0:v>150 В макс.</ns0:v>
      </ns0:c>
      <ns0:c r="H576" t="str" s="12">
        <ns0:v>0805</ns0:v>
      </ns0:c>
      <ns0:c r="I576" t="str" s="10">
        <ns0:v>YAGEO</ns0:v>
      </ns0:c>
      <ns0:c r="J576" t="str" s="10">
        <ns0:v>RC0805FR-07510KL</ns0:v>
      </ns0:c>
      <ns0:c r="K576" t="str" s="11">
        <ns0:f>B576&amp;" "&amp;D576&amp;" "&amp;E576&amp;" "&amp;H576</ns0:f>
        <ns0:v>Резистор 510 кОм ±1% 0805</ns0:v>
      </ns0:c>
      <ns0:c r="L576" t="str" s="13">
        <ns0:v>R</ns0:v>
      </ns0:c>
      <ns0:c r="M576" t="str" s="13">
        <ns0:v>Symbols\MY_LIB_Resistors.SchLib</ns0:v>
      </ns0:c>
      <ns0:c r="N576" t="str" s="13">
        <ns0:v>RESC2012X70N</ns0:v>
      </ns0:c>
      <ns0:c r="O576" t="str" s="13">
        <ns0:v>Footprints\PBL - SMD Packages.PcbLib</ns0:v>
      </ns0:c>
      <ns0:c xmlns:ns0="http://schemas.openxmlformats.org/spreadsheetml/2006/main" r="P576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6" s="10"/>
      <ns0:c r="R576" t="str" s="11">
        <ns0:f>D576</ns0:f>
        <ns0:v>510 кОм</ns0:v>
      </ns0:c>
      <ns0:c r="S576" t="str" s="11">
        <ns0:f>K576</ns0:f>
        <ns0:v>Резистор 510 кОм ±1% 0805</ns0:v>
      </ns0:c>
      <x:c xmlns:x="http://schemas.openxmlformats.org/spreadsheetml/2006/main" r="T576" t="str" s="11">
        <x:v>C:\Users\Nomatin\Documents\Altium\MY_LIB\MY_LIB\Datasheets\YAGEO_RC_L.pdf</x:v>
      </x:c>
      <x:c xmlns:x="http://schemas.openxmlformats.org/spreadsheetml/2006/main" r="U576" t="str" s="11">
        <x:v>Даташит — локальный</x:v>
      </x:c>
      <x:c xmlns:x="http://schemas.openxmlformats.org/spreadsheetml/2006/main" r="V576" t="str" s="11">
        <x:v>C:\Users\Nomatin\Documents\Altium\MY_LIB\MY_LIB\Datasheets\YAGEO_RC_L.pdf</x:v>
      </x:c>
      <x:c xmlns:x="http://schemas.openxmlformats.org/spreadsheetml/2006/main" r="W576" t="str" s="11">
        <x:v>Даташит — производитель</x:v>
      </x:c>
      <x:c xmlns:x="http://schemas.openxmlformats.org/spreadsheetml/2006/main" r="X576" t="str" s="11">
        <x:v>https://yageogroup.com/content/datasheet/asset/file/PYU-RC_GROUP_51_ROHS_L</x:v>
      </x:c>
      <x:c xmlns:x="http://schemas.openxmlformats.org/spreadsheetml/2006/main" r="Y576" t="str" s="11">
        <x:v>C:\Users\Nomatin\Documents\Altium\MY_LIB\MY_LIB\Datasheets\YAGEO_RC_L.pdf</x:v>
      </x:c>
      <ns0:c xmlns:ns0="http://schemas.openxmlformats.org/spreadsheetml/2006/main" r="Z576" s="16" t="inlineStr">
        <ns0:is>
          <ns0:t>MY_LIB_R_TCR</ns0:t>
        </ns0:is>
      </ns0:c>
      <ns0:c xmlns:ns0="http://schemas.openxmlformats.org/spreadsheetml/2006/main" r="AA576" s="16" t="inlineStr">
        <ns0:is>
          <ns0:t>R(T), +100 ppm/C at 25 C; positive datasheet limit</ns0:t>
        </ns0:is>
      </ns0:c>
      <ns0:c xmlns:ns0="http://schemas.openxmlformats.org/spreadsheetml/2006/main" r="AB576" s="16" t="str">
        <ns0:v>General</ns0:v>
      </ns0:c>
      <ns0:c xmlns:ns0="http://schemas.openxmlformats.org/spreadsheetml/2006/main" r="AC576" s="16" t="inlineStr">
        <ns0:is>
          <ns0:t>Spice Subcircuit</ns0:t>
        </ns0:is>
      </ns0:c>
      <ns0:c xmlns:ns0="http://schemas.openxmlformats.org/spreadsheetml/2006/main" r="AD576" s="16" t="inlineStr">
        <ns0:is>
          <ns0:t>@DESIGNATOR %1 %2 @MODEL PARAMS: Rvalue=@VALUE TC1value=100u</ns0:t>
        </ns0:is>
      </ns0:c>
      <ns0:c xmlns:ns0="http://schemas.openxmlformats.org/spreadsheetml/2006/main" r="AE576" s="16" t="inlineStr">
        <ns0:is>
          <ns0:t>X</ns0:t>
        </ns0:is>
      </ns0:c>
      <ns0:c xmlns:ns0="http://schemas.openxmlformats.org/spreadsheetml/2006/main" r="AF576" s="16" t="str">
        <ns0:v>(1:1),(2:2)</ns0:v>
      </ns0:c>
      <ns0:c xmlns:ns0="http://schemas.openxmlformats.org/spreadsheetml/2006/main" r="AG576" s="16" t="inlineStr">
        <ns0:is>
          <ns0:t>Simulation\Resistors\MY_LIB_R_TCR.ckt</ns0:t>
        </ns0:is>
      </ns0:c>
      <ns0:c xmlns:ns0="http://schemas.openxmlformats.org/spreadsheetml/2006/main" r="AH576" s="16" t="inlineStr">
        <ns0:is>
          <ns0:t>±100 ppm/°C</ns0:t>
        </ns0:is>
      </ns0:c>
    </ns0:row>
    <ns0:row xmlns:ns0="http://schemas.openxmlformats.org/spreadsheetml/2006/main" r="577" ht="30" customHeight="1">
      <ns0:c r="A577" t="str" s="10">
        <ns0:v>R0583</ns0:v>
      </ns0:c>
      <ns0:c r="B577" t="str" s="10">
        <ns0:v>Резистор</ns0:v>
      </ns0:c>
      <ns0:c r="C577" t="str" s="10">
        <ns0:v>560k</ns0:v>
      </ns0:c>
      <ns0:c r="D577" t="str" s="11">
        <ns0:f>SUBSTITUTE(SUBSTITUTE(SUBSTITUTE(SUBSTITUTE(C577,"meg"," МОм"),"k"," кОм"),"R"," Ом"),".",",")</ns0:f>
        <ns0:v>560 кОм</ns0:v>
      </ns0:c>
      <ns0:c r="E577" t="str" s="10">
        <ns0:v>±1%</ns0:v>
      </ns0:c>
      <ns0:c r="F577" t="str" s="10">
        <ns0:v>0,125 Вт</ns0:v>
      </ns0:c>
      <ns0:c r="G577" t="str" s="10">
        <ns0:v>150 В макс.</ns0:v>
      </ns0:c>
      <ns0:c r="H577" t="str" s="12">
        <ns0:v>0805</ns0:v>
      </ns0:c>
      <ns0:c r="I577" t="str" s="10">
        <ns0:v>YAGEO</ns0:v>
      </ns0:c>
      <ns0:c r="J577" t="str" s="10">
        <ns0:v>RC0805FR-07560KL</ns0:v>
      </ns0:c>
      <ns0:c r="K577" t="str" s="11">
        <ns0:f>B577&amp;" "&amp;D577&amp;" "&amp;E577&amp;" "&amp;H577</ns0:f>
        <ns0:v>Резистор 560 кОм ±1% 0805</ns0:v>
      </ns0:c>
      <ns0:c r="L577" t="str" s="13">
        <ns0:v>R</ns0:v>
      </ns0:c>
      <ns0:c r="M577" t="str" s="13">
        <ns0:v>Symbols\MY_LIB_Resistors.SchLib</ns0:v>
      </ns0:c>
      <ns0:c r="N577" t="str" s="13">
        <ns0:v>RESC2012X70N</ns0:v>
      </ns0:c>
      <ns0:c r="O577" t="str" s="13">
        <ns0:v>Footprints\PBL - SMD Packages.PcbLib</ns0:v>
      </ns0:c>
      <ns0:c xmlns:ns0="http://schemas.openxmlformats.org/spreadsheetml/2006/main" r="P577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7" s="10"/>
      <ns0:c r="R577" t="str" s="11">
        <ns0:f>D577</ns0:f>
        <ns0:v>560 кОм</ns0:v>
      </ns0:c>
      <ns0:c r="S577" t="str" s="11">
        <ns0:f>K577</ns0:f>
        <ns0:v>Резистор 560 кОм ±1% 0805</ns0:v>
      </ns0:c>
      <x:c xmlns:x="http://schemas.openxmlformats.org/spreadsheetml/2006/main" r="T577" t="str" s="11">
        <x:v>C:\Users\Nomatin\Documents\Altium\MY_LIB\MY_LIB\Datasheets\YAGEO_RC_L.pdf</x:v>
      </x:c>
      <x:c xmlns:x="http://schemas.openxmlformats.org/spreadsheetml/2006/main" r="U577" t="str" s="11">
        <x:v>Даташит — локальный</x:v>
      </x:c>
      <x:c xmlns:x="http://schemas.openxmlformats.org/spreadsheetml/2006/main" r="V577" t="str" s="11">
        <x:v>C:\Users\Nomatin\Documents\Altium\MY_LIB\MY_LIB\Datasheets\YAGEO_RC_L.pdf</x:v>
      </x:c>
      <x:c xmlns:x="http://schemas.openxmlformats.org/spreadsheetml/2006/main" r="W577" t="str" s="11">
        <x:v>Даташит — производитель</x:v>
      </x:c>
      <x:c xmlns:x="http://schemas.openxmlformats.org/spreadsheetml/2006/main" r="X577" t="str" s="11">
        <x:v>https://yageogroup.com/content/datasheet/asset/file/PYU-RC_GROUP_51_ROHS_L</x:v>
      </x:c>
      <x:c xmlns:x="http://schemas.openxmlformats.org/spreadsheetml/2006/main" r="Y577" t="str" s="11">
        <x:v>C:\Users\Nomatin\Documents\Altium\MY_LIB\MY_LIB\Datasheets\YAGEO_RC_L.pdf</x:v>
      </x:c>
      <ns0:c xmlns:ns0="http://schemas.openxmlformats.org/spreadsheetml/2006/main" r="Z577" s="16" t="inlineStr">
        <ns0:is>
          <ns0:t>MY_LIB_R_TCR</ns0:t>
        </ns0:is>
      </ns0:c>
      <ns0:c xmlns:ns0="http://schemas.openxmlformats.org/spreadsheetml/2006/main" r="AA577" s="16" t="inlineStr">
        <ns0:is>
          <ns0:t>R(T), +100 ppm/C at 25 C; positive datasheet limit</ns0:t>
        </ns0:is>
      </ns0:c>
      <ns0:c xmlns:ns0="http://schemas.openxmlformats.org/spreadsheetml/2006/main" r="AB577" s="16" t="str">
        <ns0:v>General</ns0:v>
      </ns0:c>
      <ns0:c xmlns:ns0="http://schemas.openxmlformats.org/spreadsheetml/2006/main" r="AC577" s="16" t="inlineStr">
        <ns0:is>
          <ns0:t>Spice Subcircuit</ns0:t>
        </ns0:is>
      </ns0:c>
      <ns0:c xmlns:ns0="http://schemas.openxmlformats.org/spreadsheetml/2006/main" r="AD577" s="16" t="inlineStr">
        <ns0:is>
          <ns0:t>@DESIGNATOR %1 %2 @MODEL PARAMS: Rvalue=@VALUE TC1value=100u</ns0:t>
        </ns0:is>
      </ns0:c>
      <ns0:c xmlns:ns0="http://schemas.openxmlformats.org/spreadsheetml/2006/main" r="AE577" s="16" t="inlineStr">
        <ns0:is>
          <ns0:t>X</ns0:t>
        </ns0:is>
      </ns0:c>
      <ns0:c xmlns:ns0="http://schemas.openxmlformats.org/spreadsheetml/2006/main" r="AF577" s="16" t="str">
        <ns0:v>(1:1),(2:2)</ns0:v>
      </ns0:c>
      <ns0:c xmlns:ns0="http://schemas.openxmlformats.org/spreadsheetml/2006/main" r="AG577" s="16" t="inlineStr">
        <ns0:is>
          <ns0:t>Simulation\Resistors\MY_LIB_R_TCR.ckt</ns0:t>
        </ns0:is>
      </ns0:c>
      <ns0:c xmlns:ns0="http://schemas.openxmlformats.org/spreadsheetml/2006/main" r="AH577" s="16" t="inlineStr">
        <ns0:is>
          <ns0:t>±100 ppm/°C</ns0:t>
        </ns0:is>
      </ns0:c>
    </ns0:row>
    <ns0:row xmlns:ns0="http://schemas.openxmlformats.org/spreadsheetml/2006/main" r="578" ht="30" customHeight="1">
      <ns0:c r="A578" t="str" s="10">
        <ns0:v>R0584</ns0:v>
      </ns0:c>
      <ns0:c r="B578" t="str" s="10">
        <ns0:v>Резистор</ns0:v>
      </ns0:c>
      <ns0:c r="C578" t="str" s="10">
        <ns0:v>620k</ns0:v>
      </ns0:c>
      <ns0:c r="D578" t="str" s="11">
        <ns0:f>SUBSTITUTE(SUBSTITUTE(SUBSTITUTE(SUBSTITUTE(C578,"meg"," МОм"),"k"," кОм"),"R"," Ом"),".",",")</ns0:f>
        <ns0:v>620 кОм</ns0:v>
      </ns0:c>
      <ns0:c r="E578" t="str" s="10">
        <ns0:v>±1%</ns0:v>
      </ns0:c>
      <ns0:c r="F578" t="str" s="10">
        <ns0:v>0,125 Вт</ns0:v>
      </ns0:c>
      <ns0:c r="G578" t="str" s="10">
        <ns0:v>150 В макс.</ns0:v>
      </ns0:c>
      <ns0:c r="H578" t="str" s="12">
        <ns0:v>0805</ns0:v>
      </ns0:c>
      <ns0:c r="I578" t="str" s="10">
        <ns0:v>YAGEO</ns0:v>
      </ns0:c>
      <ns0:c r="J578" t="str" s="10">
        <ns0:v>RC0805FR-07620KL</ns0:v>
      </ns0:c>
      <ns0:c r="K578" t="str" s="11">
        <ns0:f>B578&amp;" "&amp;D578&amp;" "&amp;E578&amp;" "&amp;H578</ns0:f>
        <ns0:v>Резистор 620 кОм ±1% 0805</ns0:v>
      </ns0:c>
      <ns0:c r="L578" t="str" s="13">
        <ns0:v>R</ns0:v>
      </ns0:c>
      <ns0:c r="M578" t="str" s="13">
        <ns0:v>Symbols\MY_LIB_Resistors.SchLib</ns0:v>
      </ns0:c>
      <ns0:c r="N578" t="str" s="13">
        <ns0:v>RESC2012X70N</ns0:v>
      </ns0:c>
      <ns0:c r="O578" t="str" s="13">
        <ns0:v>Footprints\PBL - SMD Packages.PcbLib</ns0:v>
      </ns0:c>
      <ns0:c xmlns:ns0="http://schemas.openxmlformats.org/spreadsheetml/2006/main" r="P578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8" s="10"/>
      <ns0:c r="R578" t="str" s="11">
        <ns0:f>D578</ns0:f>
        <ns0:v>620 кОм</ns0:v>
      </ns0:c>
      <ns0:c r="S578" t="str" s="11">
        <ns0:f>K578</ns0:f>
        <ns0:v>Резистор 620 кОм ±1% 0805</ns0:v>
      </ns0:c>
      <x:c xmlns:x="http://schemas.openxmlformats.org/spreadsheetml/2006/main" r="T578" t="str" s="11">
        <x:v>C:\Users\Nomatin\Documents\Altium\MY_LIB\MY_LIB\Datasheets\YAGEO_RC_L.pdf</x:v>
      </x:c>
      <x:c xmlns:x="http://schemas.openxmlformats.org/spreadsheetml/2006/main" r="U578" t="str" s="11">
        <x:v>Даташит — локальный</x:v>
      </x:c>
      <x:c xmlns:x="http://schemas.openxmlformats.org/spreadsheetml/2006/main" r="V578" t="str" s="11">
        <x:v>C:\Users\Nomatin\Documents\Altium\MY_LIB\MY_LIB\Datasheets\YAGEO_RC_L.pdf</x:v>
      </x:c>
      <x:c xmlns:x="http://schemas.openxmlformats.org/spreadsheetml/2006/main" r="W578" t="str" s="11">
        <x:v>Даташит — производитель</x:v>
      </x:c>
      <x:c xmlns:x="http://schemas.openxmlformats.org/spreadsheetml/2006/main" r="X578" t="str" s="11">
        <x:v>https://yageogroup.com/content/datasheet/asset/file/PYU-RC_GROUP_51_ROHS_L</x:v>
      </x:c>
      <x:c xmlns:x="http://schemas.openxmlformats.org/spreadsheetml/2006/main" r="Y578" t="str" s="11">
        <x:v>C:\Users\Nomatin\Documents\Altium\MY_LIB\MY_LIB\Datasheets\YAGEO_RC_L.pdf</x:v>
      </x:c>
      <ns0:c xmlns:ns0="http://schemas.openxmlformats.org/spreadsheetml/2006/main" r="Z578" s="16" t="inlineStr">
        <ns0:is>
          <ns0:t>MY_LIB_R_TCR</ns0:t>
        </ns0:is>
      </ns0:c>
      <ns0:c xmlns:ns0="http://schemas.openxmlformats.org/spreadsheetml/2006/main" r="AA578" s="16" t="inlineStr">
        <ns0:is>
          <ns0:t>R(T), +100 ppm/C at 25 C; positive datasheet limit</ns0:t>
        </ns0:is>
      </ns0:c>
      <ns0:c xmlns:ns0="http://schemas.openxmlformats.org/spreadsheetml/2006/main" r="AB578" s="16" t="str">
        <ns0:v>General</ns0:v>
      </ns0:c>
      <ns0:c xmlns:ns0="http://schemas.openxmlformats.org/spreadsheetml/2006/main" r="AC578" s="16" t="inlineStr">
        <ns0:is>
          <ns0:t>Spice Subcircuit</ns0:t>
        </ns0:is>
      </ns0:c>
      <ns0:c xmlns:ns0="http://schemas.openxmlformats.org/spreadsheetml/2006/main" r="AD578" s="16" t="inlineStr">
        <ns0:is>
          <ns0:t>@DESIGNATOR %1 %2 @MODEL PARAMS: Rvalue=@VALUE TC1value=100u</ns0:t>
        </ns0:is>
      </ns0:c>
      <ns0:c xmlns:ns0="http://schemas.openxmlformats.org/spreadsheetml/2006/main" r="AE578" s="16" t="inlineStr">
        <ns0:is>
          <ns0:t>X</ns0:t>
        </ns0:is>
      </ns0:c>
      <ns0:c xmlns:ns0="http://schemas.openxmlformats.org/spreadsheetml/2006/main" r="AF578" s="16" t="str">
        <ns0:v>(1:1),(2:2)</ns0:v>
      </ns0:c>
      <ns0:c xmlns:ns0="http://schemas.openxmlformats.org/spreadsheetml/2006/main" r="AG578" s="16" t="inlineStr">
        <ns0:is>
          <ns0:t>Simulation\Resistors\MY_LIB_R_TCR.ckt</ns0:t>
        </ns0:is>
      </ns0:c>
      <ns0:c xmlns:ns0="http://schemas.openxmlformats.org/spreadsheetml/2006/main" r="AH578" s="16" t="inlineStr">
        <ns0:is>
          <ns0:t>±100 ppm/°C</ns0:t>
        </ns0:is>
      </ns0:c>
    </ns0:row>
    <ns0:row xmlns:ns0="http://schemas.openxmlformats.org/spreadsheetml/2006/main" r="579" ht="30" customHeight="1">
      <ns0:c r="A579" t="str" s="10">
        <ns0:v>R0585</ns0:v>
      </ns0:c>
      <ns0:c r="B579" t="str" s="10">
        <ns0:v>Резистор</ns0:v>
      </ns0:c>
      <ns0:c r="C579" t="str" s="10">
        <ns0:v>680k</ns0:v>
      </ns0:c>
      <ns0:c r="D579" t="str" s="11">
        <ns0:f>SUBSTITUTE(SUBSTITUTE(SUBSTITUTE(SUBSTITUTE(C579,"meg"," МОм"),"k"," кОм"),"R"," Ом"),".",",")</ns0:f>
        <ns0:v>680 кОм</ns0:v>
      </ns0:c>
      <ns0:c r="E579" t="str" s="10">
        <ns0:v>±1%</ns0:v>
      </ns0:c>
      <ns0:c r="F579" t="str" s="10">
        <ns0:v>0,125 Вт</ns0:v>
      </ns0:c>
      <ns0:c r="G579" t="str" s="10">
        <ns0:v>150 В макс.</ns0:v>
      </ns0:c>
      <ns0:c r="H579" t="str" s="12">
        <ns0:v>0805</ns0:v>
      </ns0:c>
      <ns0:c r="I579" t="str" s="10">
        <ns0:v>YAGEO</ns0:v>
      </ns0:c>
      <ns0:c r="J579" t="str" s="10">
        <ns0:v>RC0805FR-07680KL</ns0:v>
      </ns0:c>
      <ns0:c r="K579" t="str" s="11">
        <ns0:f>B579&amp;" "&amp;D579&amp;" "&amp;E579&amp;" "&amp;H579</ns0:f>
        <ns0:v>Резистор 680 кОм ±1% 0805</ns0:v>
      </ns0:c>
      <ns0:c r="L579" t="str" s="13">
        <ns0:v>R</ns0:v>
      </ns0:c>
      <ns0:c r="M579" t="str" s="13">
        <ns0:v>Symbols\MY_LIB_Resistors.SchLib</ns0:v>
      </ns0:c>
      <ns0:c r="N579" t="str" s="13">
        <ns0:v>RESC2012X70N</ns0:v>
      </ns0:c>
      <ns0:c r="O579" t="str" s="13">
        <ns0:v>Footprints\PBL - SMD Packages.PcbLib</ns0:v>
      </ns0:c>
      <ns0:c xmlns:ns0="http://schemas.openxmlformats.org/spreadsheetml/2006/main" r="P579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79" s="10"/>
      <ns0:c r="R579" t="str" s="11">
        <ns0:f>D579</ns0:f>
        <ns0:v>680 кОм</ns0:v>
      </ns0:c>
      <ns0:c r="S579" t="str" s="11">
        <ns0:f>K579</ns0:f>
        <ns0:v>Резистор 680 кОм ±1% 0805</ns0:v>
      </ns0:c>
      <x:c xmlns:x="http://schemas.openxmlformats.org/spreadsheetml/2006/main" r="T579" t="str" s="11">
        <x:v>C:\Users\Nomatin\Documents\Altium\MY_LIB\MY_LIB\Datasheets\YAGEO_RC_L.pdf</x:v>
      </x:c>
      <x:c xmlns:x="http://schemas.openxmlformats.org/spreadsheetml/2006/main" r="U579" t="str" s="11">
        <x:v>Даташит — локальный</x:v>
      </x:c>
      <x:c xmlns:x="http://schemas.openxmlformats.org/spreadsheetml/2006/main" r="V579" t="str" s="11">
        <x:v>C:\Users\Nomatin\Documents\Altium\MY_LIB\MY_LIB\Datasheets\YAGEO_RC_L.pdf</x:v>
      </x:c>
      <x:c xmlns:x="http://schemas.openxmlformats.org/spreadsheetml/2006/main" r="W579" t="str" s="11">
        <x:v>Даташит — производитель</x:v>
      </x:c>
      <x:c xmlns:x="http://schemas.openxmlformats.org/spreadsheetml/2006/main" r="X579" t="str" s="11">
        <x:v>https://yageogroup.com/content/datasheet/asset/file/PYU-RC_GROUP_51_ROHS_L</x:v>
      </x:c>
      <x:c xmlns:x="http://schemas.openxmlformats.org/spreadsheetml/2006/main" r="Y579" t="str" s="11">
        <x:v>C:\Users\Nomatin\Documents\Altium\MY_LIB\MY_LIB\Datasheets\YAGEO_RC_L.pdf</x:v>
      </x:c>
      <ns0:c xmlns:ns0="http://schemas.openxmlformats.org/spreadsheetml/2006/main" r="Z579" s="16" t="inlineStr">
        <ns0:is>
          <ns0:t>MY_LIB_R_TCR</ns0:t>
        </ns0:is>
      </ns0:c>
      <ns0:c xmlns:ns0="http://schemas.openxmlformats.org/spreadsheetml/2006/main" r="AA579" s="16" t="inlineStr">
        <ns0:is>
          <ns0:t>R(T), +100 ppm/C at 25 C; positive datasheet limit</ns0:t>
        </ns0:is>
      </ns0:c>
      <ns0:c xmlns:ns0="http://schemas.openxmlformats.org/spreadsheetml/2006/main" r="AB579" s="16" t="str">
        <ns0:v>General</ns0:v>
      </ns0:c>
      <ns0:c xmlns:ns0="http://schemas.openxmlformats.org/spreadsheetml/2006/main" r="AC579" s="16" t="inlineStr">
        <ns0:is>
          <ns0:t>Spice Subcircuit</ns0:t>
        </ns0:is>
      </ns0:c>
      <ns0:c xmlns:ns0="http://schemas.openxmlformats.org/spreadsheetml/2006/main" r="AD579" s="16" t="inlineStr">
        <ns0:is>
          <ns0:t>@DESIGNATOR %1 %2 @MODEL PARAMS: Rvalue=@VALUE TC1value=100u</ns0:t>
        </ns0:is>
      </ns0:c>
      <ns0:c xmlns:ns0="http://schemas.openxmlformats.org/spreadsheetml/2006/main" r="AE579" s="16" t="inlineStr">
        <ns0:is>
          <ns0:t>X</ns0:t>
        </ns0:is>
      </ns0:c>
      <ns0:c xmlns:ns0="http://schemas.openxmlformats.org/spreadsheetml/2006/main" r="AF579" s="16" t="str">
        <ns0:v>(1:1),(2:2)</ns0:v>
      </ns0:c>
      <ns0:c xmlns:ns0="http://schemas.openxmlformats.org/spreadsheetml/2006/main" r="AG579" s="16" t="inlineStr">
        <ns0:is>
          <ns0:t>Simulation\Resistors\MY_LIB_R_TCR.ckt</ns0:t>
        </ns0:is>
      </ns0:c>
      <ns0:c xmlns:ns0="http://schemas.openxmlformats.org/spreadsheetml/2006/main" r="AH579" s="16" t="inlineStr">
        <ns0:is>
          <ns0:t>±100 ppm/°C</ns0:t>
        </ns0:is>
      </ns0:c>
    </ns0:row>
    <ns0:row xmlns:ns0="http://schemas.openxmlformats.org/spreadsheetml/2006/main" r="580" ht="30" customHeight="1">
      <ns0:c r="A580" t="str" s="10">
        <ns0:v>R0586</ns0:v>
      </ns0:c>
      <ns0:c r="B580" t="str" s="10">
        <ns0:v>Резистор</ns0:v>
      </ns0:c>
      <ns0:c r="C580" t="str" s="10">
        <ns0:v>750k</ns0:v>
      </ns0:c>
      <ns0:c r="D580" t="str" s="11">
        <ns0:f>SUBSTITUTE(SUBSTITUTE(SUBSTITUTE(SUBSTITUTE(C580,"meg"," МОм"),"k"," кОм"),"R"," Ом"),".",",")</ns0:f>
        <ns0:v>750 кОм</ns0:v>
      </ns0:c>
      <ns0:c r="E580" t="str" s="10">
        <ns0:v>±1%</ns0:v>
      </ns0:c>
      <ns0:c r="F580" t="str" s="10">
        <ns0:v>0,125 Вт</ns0:v>
      </ns0:c>
      <ns0:c r="G580" t="str" s="10">
        <ns0:v>150 В макс.</ns0:v>
      </ns0:c>
      <ns0:c r="H580" t="str" s="12">
        <ns0:v>0805</ns0:v>
      </ns0:c>
      <ns0:c r="I580" t="str" s="10">
        <ns0:v>YAGEO</ns0:v>
      </ns0:c>
      <ns0:c r="J580" t="str" s="10">
        <ns0:v>RC0805FR-07750KL</ns0:v>
      </ns0:c>
      <ns0:c r="K580" t="str" s="11">
        <ns0:f>B580&amp;" "&amp;D580&amp;" "&amp;E580&amp;" "&amp;H580</ns0:f>
        <ns0:v>Резистор 750 кОм ±1% 0805</ns0:v>
      </ns0:c>
      <ns0:c r="L580" t="str" s="13">
        <ns0:v>R</ns0:v>
      </ns0:c>
      <ns0:c r="M580" t="str" s="13">
        <ns0:v>Symbols\MY_LIB_Resistors.SchLib</ns0:v>
      </ns0:c>
      <ns0:c r="N580" t="str" s="13">
        <ns0:v>RESC2012X70N</ns0:v>
      </ns0:c>
      <ns0:c r="O580" t="str" s="13">
        <ns0:v>Footprints\PBL - SMD Packages.PcbLib</ns0:v>
      </ns0:c>
      <ns0:c xmlns:ns0="http://schemas.openxmlformats.org/spreadsheetml/2006/main" r="P580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80" s="10"/>
      <ns0:c r="R580" t="str" s="11">
        <ns0:f>D580</ns0:f>
        <ns0:v>750 кОм</ns0:v>
      </ns0:c>
      <ns0:c r="S580" t="str" s="11">
        <ns0:f>K580</ns0:f>
        <ns0:v>Резистор 750 кОм ±1% 0805</ns0:v>
      </ns0:c>
      <x:c xmlns:x="http://schemas.openxmlformats.org/spreadsheetml/2006/main" r="T580" t="str" s="11">
        <x:v>C:\Users\Nomatin\Documents\Altium\MY_LIB\MY_LIB\Datasheets\YAGEO_RC_L.pdf</x:v>
      </x:c>
      <x:c xmlns:x="http://schemas.openxmlformats.org/spreadsheetml/2006/main" r="U580" t="str" s="11">
        <x:v>Даташит — локальный</x:v>
      </x:c>
      <x:c xmlns:x="http://schemas.openxmlformats.org/spreadsheetml/2006/main" r="V580" t="str" s="11">
        <x:v>C:\Users\Nomatin\Documents\Altium\MY_LIB\MY_LIB\Datasheets\YAGEO_RC_L.pdf</x:v>
      </x:c>
      <x:c xmlns:x="http://schemas.openxmlformats.org/spreadsheetml/2006/main" r="W580" t="str" s="11">
        <x:v>Даташит — производитель</x:v>
      </x:c>
      <x:c xmlns:x="http://schemas.openxmlformats.org/spreadsheetml/2006/main" r="X580" t="str" s="11">
        <x:v>https://yageogroup.com/content/datasheet/asset/file/PYU-RC_GROUP_51_ROHS_L</x:v>
      </x:c>
      <x:c xmlns:x="http://schemas.openxmlformats.org/spreadsheetml/2006/main" r="Y580" t="str" s="11">
        <x:v>C:\Users\Nomatin\Documents\Altium\MY_LIB\MY_LIB\Datasheets\YAGEO_RC_L.pdf</x:v>
      </x:c>
      <ns0:c xmlns:ns0="http://schemas.openxmlformats.org/spreadsheetml/2006/main" r="Z580" s="16" t="inlineStr">
        <ns0:is>
          <ns0:t>MY_LIB_R_TCR</ns0:t>
        </ns0:is>
      </ns0:c>
      <ns0:c xmlns:ns0="http://schemas.openxmlformats.org/spreadsheetml/2006/main" r="AA580" s="16" t="inlineStr">
        <ns0:is>
          <ns0:t>R(T), +100 ppm/C at 25 C; positive datasheet limit</ns0:t>
        </ns0:is>
      </ns0:c>
      <ns0:c xmlns:ns0="http://schemas.openxmlformats.org/spreadsheetml/2006/main" r="AB580" s="16" t="str">
        <ns0:v>General</ns0:v>
      </ns0:c>
      <ns0:c xmlns:ns0="http://schemas.openxmlformats.org/spreadsheetml/2006/main" r="AC580" s="16" t="inlineStr">
        <ns0:is>
          <ns0:t>Spice Subcircuit</ns0:t>
        </ns0:is>
      </ns0:c>
      <ns0:c xmlns:ns0="http://schemas.openxmlformats.org/spreadsheetml/2006/main" r="AD580" s="16" t="inlineStr">
        <ns0:is>
          <ns0:t>@DESIGNATOR %1 %2 @MODEL PARAMS: Rvalue=@VALUE TC1value=100u</ns0:t>
        </ns0:is>
      </ns0:c>
      <ns0:c xmlns:ns0="http://schemas.openxmlformats.org/spreadsheetml/2006/main" r="AE580" s="16" t="inlineStr">
        <ns0:is>
          <ns0:t>X</ns0:t>
        </ns0:is>
      </ns0:c>
      <ns0:c xmlns:ns0="http://schemas.openxmlformats.org/spreadsheetml/2006/main" r="AF580" s="16" t="str">
        <ns0:v>(1:1),(2:2)</ns0:v>
      </ns0:c>
      <ns0:c xmlns:ns0="http://schemas.openxmlformats.org/spreadsheetml/2006/main" r="AG580" s="16" t="inlineStr">
        <ns0:is>
          <ns0:t>Simulation\Resistors\MY_LIB_R_TCR.ckt</ns0:t>
        </ns0:is>
      </ns0:c>
      <ns0:c xmlns:ns0="http://schemas.openxmlformats.org/spreadsheetml/2006/main" r="AH580" s="16" t="inlineStr">
        <ns0:is>
          <ns0:t>±100 ppm/°C</ns0:t>
        </ns0:is>
      </ns0:c>
    </ns0:row>
    <ns0:row xmlns:ns0="http://schemas.openxmlformats.org/spreadsheetml/2006/main" r="581" ht="30" customHeight="1">
      <ns0:c r="A581" t="str" s="10">
        <ns0:v>R0587</ns0:v>
      </ns0:c>
      <ns0:c r="B581" t="str" s="10">
        <ns0:v>Резистор</ns0:v>
      </ns0:c>
      <ns0:c r="C581" t="str" s="10">
        <ns0:v>820k</ns0:v>
      </ns0:c>
      <ns0:c r="D581" t="str" s="11">
        <ns0:f>SUBSTITUTE(SUBSTITUTE(SUBSTITUTE(SUBSTITUTE(C581,"meg"," МОм"),"k"," кОм"),"R"," Ом"),".",",")</ns0:f>
        <ns0:v>820 кОм</ns0:v>
      </ns0:c>
      <ns0:c r="E581" t="str" s="10">
        <ns0:v>±1%</ns0:v>
      </ns0:c>
      <ns0:c r="F581" t="str" s="10">
        <ns0:v>0,125 Вт</ns0:v>
      </ns0:c>
      <ns0:c r="G581" t="str" s="10">
        <ns0:v>150 В макс.</ns0:v>
      </ns0:c>
      <ns0:c r="H581" t="str" s="12">
        <ns0:v>0805</ns0:v>
      </ns0:c>
      <ns0:c r="I581" t="str" s="10">
        <ns0:v>YAGEO</ns0:v>
      </ns0:c>
      <ns0:c r="J581" t="str" s="10">
        <ns0:v>RC0805FR-07820KL</ns0:v>
      </ns0:c>
      <ns0:c r="K581" t="str" s="11">
        <ns0:f>B581&amp;" "&amp;D581&amp;" "&amp;E581&amp;" "&amp;H581</ns0:f>
        <ns0:v>Резистор 820 кОм ±1% 0805</ns0:v>
      </ns0:c>
      <ns0:c r="L581" t="str" s="13">
        <ns0:v>R</ns0:v>
      </ns0:c>
      <ns0:c r="M581" t="str" s="13">
        <ns0:v>Symbols\MY_LIB_Resistors.SchLib</ns0:v>
      </ns0:c>
      <ns0:c r="N581" t="str" s="13">
        <ns0:v>RESC2012X70N</ns0:v>
      </ns0:c>
      <ns0:c r="O581" t="str" s="13">
        <ns0:v>Footprints\PBL - SMD Packages.PcbLib</ns0:v>
      </ns0:c>
      <ns0:c xmlns:ns0="http://schemas.openxmlformats.org/spreadsheetml/2006/main" r="P581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81" s="10"/>
      <ns0:c r="R581" t="str" s="11">
        <ns0:f>D581</ns0:f>
        <ns0:v>820 кОм</ns0:v>
      </ns0:c>
      <ns0:c r="S581" t="str" s="11">
        <ns0:f>K581</ns0:f>
        <ns0:v>Резистор 820 кОм ±1% 0805</ns0:v>
      </ns0:c>
      <x:c xmlns:x="http://schemas.openxmlformats.org/spreadsheetml/2006/main" r="T581" t="str" s="11">
        <x:v>C:\Users\Nomatin\Documents\Altium\MY_LIB\MY_LIB\Datasheets\YAGEO_RC_L.pdf</x:v>
      </x:c>
      <x:c xmlns:x="http://schemas.openxmlformats.org/spreadsheetml/2006/main" r="U581" t="str" s="11">
        <x:v>Даташит — локальный</x:v>
      </x:c>
      <x:c xmlns:x="http://schemas.openxmlformats.org/spreadsheetml/2006/main" r="V581" t="str" s="11">
        <x:v>C:\Users\Nomatin\Documents\Altium\MY_LIB\MY_LIB\Datasheets\YAGEO_RC_L.pdf</x:v>
      </x:c>
      <x:c xmlns:x="http://schemas.openxmlformats.org/spreadsheetml/2006/main" r="W581" t="str" s="11">
        <x:v>Даташит — производитель</x:v>
      </x:c>
      <x:c xmlns:x="http://schemas.openxmlformats.org/spreadsheetml/2006/main" r="X581" t="str" s="11">
        <x:v>https://yageogroup.com/content/datasheet/asset/file/PYU-RC_GROUP_51_ROHS_L</x:v>
      </x:c>
      <x:c xmlns:x="http://schemas.openxmlformats.org/spreadsheetml/2006/main" r="Y581" t="str" s="11">
        <x:v>C:\Users\Nomatin\Documents\Altium\MY_LIB\MY_LIB\Datasheets\YAGEO_RC_L.pdf</x:v>
      </x:c>
      <ns0:c xmlns:ns0="http://schemas.openxmlformats.org/spreadsheetml/2006/main" r="Z581" s="16" t="inlineStr">
        <ns0:is>
          <ns0:t>MY_LIB_R_TCR</ns0:t>
        </ns0:is>
      </ns0:c>
      <ns0:c xmlns:ns0="http://schemas.openxmlformats.org/spreadsheetml/2006/main" r="AA581" s="16" t="inlineStr">
        <ns0:is>
          <ns0:t>R(T), +100 ppm/C at 25 C; positive datasheet limit</ns0:t>
        </ns0:is>
      </ns0:c>
      <ns0:c xmlns:ns0="http://schemas.openxmlformats.org/spreadsheetml/2006/main" r="AB581" s="16" t="str">
        <ns0:v>General</ns0:v>
      </ns0:c>
      <ns0:c xmlns:ns0="http://schemas.openxmlformats.org/spreadsheetml/2006/main" r="AC581" s="16" t="inlineStr">
        <ns0:is>
          <ns0:t>Spice Subcircuit</ns0:t>
        </ns0:is>
      </ns0:c>
      <ns0:c xmlns:ns0="http://schemas.openxmlformats.org/spreadsheetml/2006/main" r="AD581" s="16" t="inlineStr">
        <ns0:is>
          <ns0:t>@DESIGNATOR %1 %2 @MODEL PARAMS: Rvalue=@VALUE TC1value=100u</ns0:t>
        </ns0:is>
      </ns0:c>
      <ns0:c xmlns:ns0="http://schemas.openxmlformats.org/spreadsheetml/2006/main" r="AE581" s="16" t="inlineStr">
        <ns0:is>
          <ns0:t>X</ns0:t>
        </ns0:is>
      </ns0:c>
      <ns0:c xmlns:ns0="http://schemas.openxmlformats.org/spreadsheetml/2006/main" r="AF581" s="16" t="str">
        <ns0:v>(1:1),(2:2)</ns0:v>
      </ns0:c>
      <ns0:c xmlns:ns0="http://schemas.openxmlformats.org/spreadsheetml/2006/main" r="AG581" s="16" t="inlineStr">
        <ns0:is>
          <ns0:t>Simulation\Resistors\MY_LIB_R_TCR.ckt</ns0:t>
        </ns0:is>
      </ns0:c>
      <ns0:c xmlns:ns0="http://schemas.openxmlformats.org/spreadsheetml/2006/main" r="AH581" s="16" t="inlineStr">
        <ns0:is>
          <ns0:t>±100 ppm/°C</ns0:t>
        </ns0:is>
      </ns0:c>
    </ns0:row>
    <ns0:row xmlns:ns0="http://schemas.openxmlformats.org/spreadsheetml/2006/main" r="582" ht="30" customHeight="1">
      <ns0:c r="A582" t="str" s="10">
        <ns0:v>R0588</ns0:v>
      </ns0:c>
      <ns0:c r="B582" t="str" s="10">
        <ns0:v>Резистор</ns0:v>
      </ns0:c>
      <ns0:c r="C582" t="str" s="10">
        <ns0:v>910k</ns0:v>
      </ns0:c>
      <ns0:c r="D582" t="str" s="11">
        <ns0:f>SUBSTITUTE(SUBSTITUTE(SUBSTITUTE(SUBSTITUTE(C582,"meg"," МОм"),"k"," кОм"),"R"," Ом"),".",",")</ns0:f>
        <ns0:v>910 кОм</ns0:v>
      </ns0:c>
      <ns0:c r="E582" t="str" s="10">
        <ns0:v>±1%</ns0:v>
      </ns0:c>
      <ns0:c r="F582" t="str" s="10">
        <ns0:v>0,125 Вт</ns0:v>
      </ns0:c>
      <ns0:c r="G582" t="str" s="10">
        <ns0:v>150 В макс.</ns0:v>
      </ns0:c>
      <ns0:c r="H582" t="str" s="12">
        <ns0:v>0805</ns0:v>
      </ns0:c>
      <ns0:c r="I582" t="str" s="10">
        <ns0:v>YAGEO</ns0:v>
      </ns0:c>
      <ns0:c r="J582" t="str" s="10">
        <ns0:v>RC0805FR-07910KL</ns0:v>
      </ns0:c>
      <ns0:c r="K582" t="str" s="11">
        <ns0:f>B582&amp;" "&amp;D582&amp;" "&amp;E582&amp;" "&amp;H582</ns0:f>
        <ns0:v>Резистор 910 кОм ±1% 0805</ns0:v>
      </ns0:c>
      <ns0:c r="L582" t="str" s="13">
        <ns0:v>R</ns0:v>
      </ns0:c>
      <ns0:c r="M582" t="str" s="13">
        <ns0:v>Symbols\MY_LIB_Resistors.SchLib</ns0:v>
      </ns0:c>
      <ns0:c r="N582" t="str" s="13">
        <ns0:v>RESC2012X70N</ns0:v>
      </ns0:c>
      <ns0:c r="O582" t="str" s="13">
        <ns0:v>Footprints\PBL - SMD Packages.PcbLib</ns0:v>
      </ns0:c>
      <ns0:c xmlns:ns0="http://schemas.openxmlformats.org/spreadsheetml/2006/main" r="P582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82" s="10"/>
      <ns0:c r="R582" t="str" s="11">
        <ns0:f>D582</ns0:f>
        <ns0:v>910 кОм</ns0:v>
      </ns0:c>
      <ns0:c r="S582" t="str" s="11">
        <ns0:f>K582</ns0:f>
        <ns0:v>Резистор 910 кОм ±1% 0805</ns0:v>
      </ns0:c>
      <x:c xmlns:x="http://schemas.openxmlformats.org/spreadsheetml/2006/main" r="T582" t="str" s="11">
        <x:v>C:\Users\Nomatin\Documents\Altium\MY_LIB\MY_LIB\Datasheets\YAGEO_RC_L.pdf</x:v>
      </x:c>
      <x:c xmlns:x="http://schemas.openxmlformats.org/spreadsheetml/2006/main" r="U582" t="str" s="11">
        <x:v>Даташит — локальный</x:v>
      </x:c>
      <x:c xmlns:x="http://schemas.openxmlformats.org/spreadsheetml/2006/main" r="V582" t="str" s="11">
        <x:v>C:\Users\Nomatin\Documents\Altium\MY_LIB\MY_LIB\Datasheets\YAGEO_RC_L.pdf</x:v>
      </x:c>
      <x:c xmlns:x="http://schemas.openxmlformats.org/spreadsheetml/2006/main" r="W582" t="str" s="11">
        <x:v>Даташит — производитель</x:v>
      </x:c>
      <x:c xmlns:x="http://schemas.openxmlformats.org/spreadsheetml/2006/main" r="X582" t="str" s="11">
        <x:v>https://yageogroup.com/content/datasheet/asset/file/PYU-RC_GROUP_51_ROHS_L</x:v>
      </x:c>
      <x:c xmlns:x="http://schemas.openxmlformats.org/spreadsheetml/2006/main" r="Y582" t="str" s="11">
        <x:v>C:\Users\Nomatin\Documents\Altium\MY_LIB\MY_LIB\Datasheets\YAGEO_RC_L.pdf</x:v>
      </x:c>
      <ns0:c xmlns:ns0="http://schemas.openxmlformats.org/spreadsheetml/2006/main" r="Z582" s="16" t="inlineStr">
        <ns0:is>
          <ns0:t>MY_LIB_R_TCR</ns0:t>
        </ns0:is>
      </ns0:c>
      <ns0:c xmlns:ns0="http://schemas.openxmlformats.org/spreadsheetml/2006/main" r="AA582" s="16" t="inlineStr">
        <ns0:is>
          <ns0:t>R(T), +100 ppm/C at 25 C; positive datasheet limit</ns0:t>
        </ns0:is>
      </ns0:c>
      <ns0:c xmlns:ns0="http://schemas.openxmlformats.org/spreadsheetml/2006/main" r="AB582" s="16" t="str">
        <ns0:v>General</ns0:v>
      </ns0:c>
      <ns0:c xmlns:ns0="http://schemas.openxmlformats.org/spreadsheetml/2006/main" r="AC582" s="16" t="inlineStr">
        <ns0:is>
          <ns0:t>Spice Subcircuit</ns0:t>
        </ns0:is>
      </ns0:c>
      <ns0:c xmlns:ns0="http://schemas.openxmlformats.org/spreadsheetml/2006/main" r="AD582" s="16" t="inlineStr">
        <ns0:is>
          <ns0:t>@DESIGNATOR %1 %2 @MODEL PARAMS: Rvalue=@VALUE TC1value=100u</ns0:t>
        </ns0:is>
      </ns0:c>
      <ns0:c xmlns:ns0="http://schemas.openxmlformats.org/spreadsheetml/2006/main" r="AE582" s="16" t="inlineStr">
        <ns0:is>
          <ns0:t>X</ns0:t>
        </ns0:is>
      </ns0:c>
      <ns0:c xmlns:ns0="http://schemas.openxmlformats.org/spreadsheetml/2006/main" r="AF582" s="16" t="str">
        <ns0:v>(1:1),(2:2)</ns0:v>
      </ns0:c>
      <ns0:c xmlns:ns0="http://schemas.openxmlformats.org/spreadsheetml/2006/main" r="AG582" s="16" t="inlineStr">
        <ns0:is>
          <ns0:t>Simulation\Resistors\MY_LIB_R_TCR.ckt</ns0:t>
        </ns0:is>
      </ns0:c>
      <ns0:c xmlns:ns0="http://schemas.openxmlformats.org/spreadsheetml/2006/main" r="AH582" s="16" t="inlineStr">
        <ns0:is>
          <ns0:t>±100 ppm/°C</ns0:t>
        </ns0:is>
      </ns0:c>
    </ns0:row>
    <ns0:row xmlns:ns0="http://schemas.openxmlformats.org/spreadsheetml/2006/main" r="583" ht="30" customHeight="1">
      <ns0:c r="A583" t="str" s="10">
        <ns0:v>R0589</ns0:v>
      </ns0:c>
      <ns0:c r="B583" t="str" s="10">
        <ns0:v>Резистор</ns0:v>
      </ns0:c>
      <ns0:c r="C583" t="str" s="10">
        <ns0:v>1meg</ns0:v>
      </ns0:c>
      <ns0:c r="D583" t="str" s="11">
        <ns0:f>SUBSTITUTE(SUBSTITUTE(SUBSTITUTE(SUBSTITUTE(C583,"meg"," МОм"),"k"," кОм"),"R"," Ом"),".",",")</ns0:f>
        <ns0:v>1 МОм</ns0:v>
      </ns0:c>
      <ns0:c r="E583" t="str" s="10">
        <ns0:v>±1%</ns0:v>
      </ns0:c>
      <ns0:c r="F583" t="str" s="10">
        <ns0:v>0,125 Вт</ns0:v>
      </ns0:c>
      <ns0:c r="G583" t="str" s="10">
        <ns0:v>150 В макс.</ns0:v>
      </ns0:c>
      <ns0:c r="H583" t="str" s="12">
        <ns0:v>0805</ns0:v>
      </ns0:c>
      <ns0:c r="I583" t="str" s="10">
        <ns0:v>YAGEO</ns0:v>
      </ns0:c>
      <ns0:c r="J583" t="str" s="10">
        <ns0:v>RC0805FR-071ML</ns0:v>
      </ns0:c>
      <ns0:c r="K583" t="str" s="11">
        <ns0:f>B583&amp;" "&amp;D583&amp;" "&amp;E583&amp;" "&amp;H583</ns0:f>
        <ns0:v>Резистор 1 МОм ±1% 0805</ns0:v>
      </ns0:c>
      <ns0:c r="L583" t="str" s="13">
        <ns0:v>R</ns0:v>
      </ns0:c>
      <ns0:c r="M583" t="str" s="13">
        <ns0:v>Symbols\MY_LIB_Resistors.SchLib</ns0:v>
      </ns0:c>
      <ns0:c r="N583" t="str" s="13">
        <ns0:v>RESC2012X70N</ns0:v>
      </ns0:c>
      <ns0:c r="O583" t="str" s="13">
        <ns0:v>Footprints\PBL - SMD Packages.PcbLib</ns0:v>
      </ns0:c>
      <ns0:c xmlns:ns0="http://schemas.openxmlformats.org/spreadsheetml/2006/main" r="P583" s="10" t="inlineStr">
        <ns0:is>
          <ns0:t>RC_L; E24; P при 70 °C; U ≤ min(√(P·R), Umax); SPICE: +100 ppm/°C при 25 °C — положительная граница ±100, не измеренный ТКС (RC_L, табл.2/5, стр.5/8).</ns0:t>
        </ns0:is>
      </ns0:c>
      <ns0:c r="Q583" s="10"/>
      <ns0:c r="R583" t="str" s="11">
        <ns0:f>D583</ns0:f>
        <ns0:v>1 МОм</ns0:v>
      </ns0:c>
      <ns0:c r="S583" t="str" s="11">
        <ns0:f>K583</ns0:f>
        <ns0:v>Резистор 1 МОм ±1% 0805</ns0:v>
      </ns0:c>
      <x:c xmlns:x="http://schemas.openxmlformats.org/spreadsheetml/2006/main" r="T583" t="str" s="11">
        <x:v>C:\Users\Nomatin\Documents\Altium\MY_LIB\MY_LIB\Datasheets\YAGEO_RC_L.pdf</x:v>
      </x:c>
      <x:c xmlns:x="http://schemas.openxmlformats.org/spreadsheetml/2006/main" r="U583" t="str" s="11">
        <x:v>Даташит — локальный</x:v>
      </x:c>
      <x:c xmlns:x="http://schemas.openxmlformats.org/spreadsheetml/2006/main" r="V583" t="str" s="11">
        <x:v>C:\Users\Nomatin\Documents\Altium\MY_LIB\MY_LIB\Datasheets\YAGEO_RC_L.pdf</x:v>
      </x:c>
      <x:c xmlns:x="http://schemas.openxmlformats.org/spreadsheetml/2006/main" r="W583" t="str" s="11">
        <x:v>Даташит — производитель</x:v>
      </x:c>
      <x:c xmlns:x="http://schemas.openxmlformats.org/spreadsheetml/2006/main" r="X583" t="str" s="11">
        <x:v>https://yageogroup.com/content/datasheet/asset/file/PYU-RC_GROUP_51_ROHS_L</x:v>
      </x:c>
      <x:c xmlns:x="http://schemas.openxmlformats.org/spreadsheetml/2006/main" r="Y583" t="str" s="11">
        <x:v>C:\Users\Nomatin\Documents\Altium\MY_LIB\MY_LIB\Datasheets\YAGEO_RC_L.pdf</x:v>
      </x:c>
      <ns0:c xmlns:ns0="http://schemas.openxmlformats.org/spreadsheetml/2006/main" r="Z583" s="16" t="inlineStr">
        <ns0:is>
          <ns0:t>MY_LIB_R_TCR</ns0:t>
        </ns0:is>
      </ns0:c>
      <ns0:c xmlns:ns0="http://schemas.openxmlformats.org/spreadsheetml/2006/main" r="AA583" s="16" t="inlineStr">
        <ns0:is>
          <ns0:t>R(T), +100 ppm/C at 25 C; positive datasheet limit</ns0:t>
        </ns0:is>
      </ns0:c>
      <ns0:c xmlns:ns0="http://schemas.openxmlformats.org/spreadsheetml/2006/main" r="AB583" s="16" t="str">
        <ns0:v>General</ns0:v>
      </ns0:c>
      <ns0:c xmlns:ns0="http://schemas.openxmlformats.org/spreadsheetml/2006/main" r="AC583" s="16" t="inlineStr">
        <ns0:is>
          <ns0:t>Spice Subcircuit</ns0:t>
        </ns0:is>
      </ns0:c>
      <ns0:c xmlns:ns0="http://schemas.openxmlformats.org/spreadsheetml/2006/main" r="AD583" s="16" t="inlineStr">
        <ns0:is>
          <ns0:t>@DESIGNATOR %1 %2 @MODEL PARAMS: Rvalue=@VALUE TC1value=100u</ns0:t>
        </ns0:is>
      </ns0:c>
      <ns0:c xmlns:ns0="http://schemas.openxmlformats.org/spreadsheetml/2006/main" r="AE583" s="16" t="inlineStr">
        <ns0:is>
          <ns0:t>X</ns0:t>
        </ns0:is>
      </ns0:c>
      <ns0:c xmlns:ns0="http://schemas.openxmlformats.org/spreadsheetml/2006/main" r="AF583" s="16" t="str">
        <ns0:v>(1:1),(2:2)</ns0:v>
      </ns0:c>
      <ns0:c xmlns:ns0="http://schemas.openxmlformats.org/spreadsheetml/2006/main" r="AG583" s="16" t="inlineStr">
        <ns0:is>
          <ns0:t>Simulation\Resistors\MY_LIB_R_TCR.ckt</ns0:t>
        </ns0:is>
      </ns0:c>
      <ns0:c xmlns:ns0="http://schemas.openxmlformats.org/spreadsheetml/2006/main" r="AH583" s="16" t="inlineStr">
        <ns0:is>
          <ns0:t>±100 ppm/°C</ns0:t>
        </ns0:is>
      </ns0:c>
    </ns0:row>
  </ns0:sheetData>
  <x:pageMargins left="0.7" right="0.7" top="0.75" bottom="0.75" header="0.3" footer="0.3"/>
  <x:tableParts count="1">
    <x:tablePart xmlns:r="http://schemas.openxmlformats.org/officeDocument/2006/relationships" r:id="R485285ebd89b4ff3"/>
  </x:tableParts>
</x:worksheet>
</file>

<file path=xl/worksheets/sheet2.xml><?xml version="1.0" encoding="utf-8"?>
<x:worksheet xmlns:x="http://schemas.openxmlformats.org/spreadsheetml/2006/main">
  <x:sheetPr>
    <x:tabColor rgb="FF24435B"/>
  </x:sheetPr>
  <x:sheetViews>
    <x:sheetView showGridLines="0" workbookViewId="0">
      <x:pane xSplit="2" ySplit="1" topLeftCell="C2" activePane="bottomRight" state="frozen"/>
    </x:sheetView>
  </x:sheetViews>
  <x:sheetFormatPr defaultRowHeight="14.25"/>
  <x:cols>
    <x:col min="1" max="1" width="12" customWidth="1"/>
    <x:col min="2" max="2" width="20" customWidth="1"/>
    <x:col min="3" max="3" width="13" customWidth="1"/>
    <x:col min="4" max="4" width="19" customWidth="1"/>
    <x:col min="5" max="5" width="15" customWidth="1"/>
    <x:col min="6" max="6" width="16" customWidth="1"/>
    <x:col min="7" max="7" width="14" customWidth="1"/>
    <x:col min="8" max="8" width="18" customWidth="1"/>
    <x:col min="9" max="9" width="14" customWidth="1"/>
    <x:col min="10" max="10" width="24" customWidth="1"/>
    <x:col min="11" max="11" width="22" customWidth="1"/>
    <x:col min="12" max="12" width="61" customWidth="1"/>
    <x:col min="13" max="13" width="22" customWidth="1"/>
    <x:col min="14" max="14" width="34" hidden="0" customWidth="1"/>
    <x:col min="15" max="15" width="22" customWidth="1"/>
    <x:col min="16" max="16" width="43" hidden="0" customWidth="1"/>
    <x:col min="17" max="17" width="62" customWidth="1"/>
    <x:col min="18" max="18" width="20" hidden="0" customWidth="1"/>
    <x:col min="19" max="19" width="60" hidden="0" customWidth="1"/>
    <x:col min="20" max="20" width="45" customWidth="1"/>
    <x:col min="21" max="21" width="45" customWidth="1"/>
    <x:col min="22" max="22" width="45" customWidth="1"/>
    <x:col min="23" max="23" width="45" customWidth="1"/>
    <x:col min="24" max="24" width="45" customWidth="1"/>
    <x:col min="25" max="25" width="45" customWidth="1"/>
  </x:cols>
  <ns0:sheetData xmlns:ns0="http://schemas.openxmlformats.org/spreadsheetml/2006/main">
    <ns0:row r="1" ht="34.04999923706055" customHeight="1">
      <ns0:c r="A1" t="inlineStr" s="9">
        <ns0:is>
          <ns0:t>ID</ns0:t>
        </ns0:is>
      </ns0:c>
      <ns0:c r="B1" t="inlineStr" s="9">
        <ns0:is>
          <ns0:t>Type</ns0:t>
        </ns0:is>
      </ns0:c>
      <ns0:c r="C1" t="inlineStr" s="9">
        <ns0:is>
          <ns0:t>Value</ns0:t>
        </ns0:is>
      </ns0:c>
      <ns0:c r="D1" t="inlineStr" s="9">
        <ns0:is>
          <ns0:t>ESKD_value</ns0:t>
        </ns0:is>
      </ns0:c>
      <ns0:c r="E1" t="inlineStr" s="9">
        <ns0:is>
          <ns0:t>Tolerance</ns0:t>
        </ns0:is>
      </ns0:c>
      <ns0:c r="F1" t="inlineStr" s="9">
        <ns0:is>
          <ns0:t>Power</ns0:t>
        </ns0:is>
      </ns0:c>
      <ns0:c r="G1" t="inlineStr" s="9">
        <ns0:is>
          <ns0:t>Voltage</ns0:t>
        </ns0:is>
      </ns0:c>
      <ns0:c r="H1" t="inlineStr" s="9">
        <ns0:is>
          <ns0:t>Dielectric</ns0:t>
        </ns0:is>
      </ns0:c>
      <ns0:c r="I1" t="inlineStr" s="9">
        <ns0:is>
          <ns0:t>Package</ns0:t>
        </ns0:is>
      </ns0:c>
      <ns0:c r="J1" t="inlineStr" s="9">
        <ns0:is>
          <ns0:t>Manufacturer</ns0:t>
        </ns0:is>
      </ns0:c>
      <ns0:c r="K1" t="inlineStr" s="9">
        <ns0:is>
          <ns0:t>MPN</ns0:t>
        </ns0:is>
      </ns0:c>
      <ns0:c r="L1" t="inlineStr" s="9">
        <ns0:is>
          <ns0:t>CommentBase</ns0:t>
        </ns0:is>
      </ns0:c>
      <ns0:c r="M1" t="inlineStr" s="9">
        <ns0:is>
          <ns0:t>Library Ref</ns0:t>
        </ns0:is>
      </ns0:c>
      <ns0:c r="N1" t="inlineStr" s="9">
        <ns0:is>
          <ns0:t>Library Path</ns0:t>
        </ns0:is>
      </ns0:c>
      <ns0:c r="O1" t="inlineStr" s="9">
        <ns0:is>
          <ns0:t>Footprint Ref</ns0:t>
        </ns0:is>
      </ns0:c>
      <ns0:c r="P1" t="inlineStr" s="9">
        <ns0:is>
          <ns0:t>Footprint Path</ns0:t>
        </ns0:is>
      </ns0:c>
      <ns0:c r="Q1" t="inlineStr" s="9">
        <ns0:is>
          <ns0:t>Notes</ns0:t>
        </ns0:is>
      </ns0:c>
      <ns0:c r="R1" t="str" s="9">
        <ns0:v>Comment</ns0:v>
      </ns0:c>
      <ns0:c r="S1" t="str" s="9">
        <ns0:v>Description</ns0:v>
      </ns0:c>
      <x:c xmlns:x="http://schemas.openxmlformats.org/spreadsheetml/2006/main" r="T1" t="str" s="9">
        <x:v>Datasheet</x:v>
      </x:c>
      <x:c xmlns:x="http://schemas.openxmlformats.org/spreadsheetml/2006/main" r="U1" t="str" s="9">
        <x:v>ComponentLink1Description</x:v>
      </x:c>
      <x:c xmlns:x="http://schemas.openxmlformats.org/spreadsheetml/2006/main" r="V1" t="str" s="9">
        <x:v>ComponentLink1URL</x:v>
      </x:c>
      <x:c xmlns:x="http://schemas.openxmlformats.org/spreadsheetml/2006/main" r="W1" t="str" s="9">
        <x:v>ComponentLink2Description</x:v>
      </x:c>
      <x:c xmlns:x="http://schemas.openxmlformats.org/spreadsheetml/2006/main" r="X1" t="str" s="9">
        <x:v>ComponentLink2URL</x:v>
      </x:c>
      <x:c xmlns:x="http://schemas.openxmlformats.org/spreadsheetml/2006/main" r="Y1" t="str" s="9">
        <x:v>HelpURL</x:v>
      </x:c>
      <ns0:c xmlns:ns0="http://schemas.openxmlformats.org/spreadsheetml/2006/main" r="Z1" s="9" t="inlineStr">
        <ns0:is>
          <ns0:t>CapacitanceNominalF</ns0:t>
        </ns0:is>
      </ns0:c>
      <ns0:c xmlns:ns0="http://schemas.openxmlformats.org/spreadsheetml/2006/main" r="AA1" s="9" t="inlineStr">
        <ns0:is>
          <ns0:t>DissipationFactorMax</ns0:t>
        </ns0:is>
      </ns0:c>
      <ns0:c xmlns:ns0="http://schemas.openxmlformats.org/spreadsheetml/2006/main" r="AB1" s="9" t="inlineStr">
        <ns0:is>
          <ns0:t>DFTestFrequencyHz</ns0:t>
        </ns0:is>
      </ns0:c>
      <ns0:c xmlns:ns0="http://schemas.openxmlformats.org/spreadsheetml/2006/main" r="AC1" s="9" t="inlineStr">
        <ns0:is>
          <ns0:t>DFTestVoltageVrms</ns0:t>
        </ns0:is>
      </ns0:c>
      <ns0:c xmlns:ns0="http://schemas.openxmlformats.org/spreadsheetml/2006/main" r="AD1" s="9" t="inlineStr">
        <ns0:is>
          <ns0:t>DFTestTemperatureC</ns0:t>
        </ns0:is>
      </ns0:c>
      <ns0:c xmlns:ns0="http://schemas.openxmlformats.org/spreadsheetml/2006/main" r="AE1" s="9" t="inlineStr">
        <ns0:is>
          <ns0:t>InsulationTimeConstantMinS</ns0:t>
        </ns0:is>
      </ns0:c>
      <ns0:c xmlns:ns0="http://schemas.openxmlformats.org/spreadsheetml/2006/main" r="AF1" s="9" t="inlineStr">
        <ns0:is>
          <ns0:t>InsulationResistanceMinOhm</ns0:t>
        </ns0:is>
      </ns0:c>
      <ns0:c xmlns:ns0="http://schemas.openxmlformats.org/spreadsheetml/2006/main" r="AG1" s="9" t="inlineStr">
        <ns0:is>
          <ns0:t>InsulationTestVoltageV</ns0:t>
        </ns0:is>
      </ns0:c>
      <ns0:c xmlns:ns0="http://schemas.openxmlformats.org/spreadsheetml/2006/main" r="AH1" s="9" t="inlineStr">
        <ns0:is>
          <ns0:t>InsulationTestDurationS</ns0:t>
        </ns0:is>
      </ns0:c>
      <ns0:c xmlns:ns0="http://schemas.openxmlformats.org/spreadsheetml/2006/main" r="AI1" s="9" t="inlineStr">
        <ns0:is>
          <ns0:t>EquivalentSeriesResistanceOhm</ns0:t>
        </ns0:is>
      </ns0:c>
      <ns0:c xmlns:ns0="http://schemas.openxmlformats.org/spreadsheetml/2006/main" r="AJ1" s="9" t="inlineStr">
        <ns0:is>
          <ns0:t>Sim Model Name</ns0:t>
        </ns0:is>
      </ns0:c>
      <ns0:c xmlns:ns0="http://schemas.openxmlformats.org/spreadsheetml/2006/main" r="AK1" s="9" t="inlineStr">
        <ns0:is>
          <ns0:t>Sim Description</ns0:t>
        </ns0:is>
      </ns0:c>
      <ns0:c xmlns:ns0="http://schemas.openxmlformats.org/spreadsheetml/2006/main" r="AL1" s="9" t="inlineStr">
        <ns0:is>
          <ns0:t>Sim Kind</ns0:t>
        </ns0:is>
      </ns0:c>
      <ns0:c xmlns:ns0="http://schemas.openxmlformats.org/spreadsheetml/2006/main" r="AM1" s="9" t="inlineStr">
        <ns0:is>
          <ns0:t>Sim SubKind</ns0:t>
        </ns0:is>
      </ns0:c>
      <ns0:c xmlns:ns0="http://schemas.openxmlformats.org/spreadsheetml/2006/main" r="AN1" s="9" t="inlineStr">
        <ns0:is>
          <ns0:t>Sim Netlist</ns0:t>
        </ns0:is>
      </ns0:c>
      <ns0:c xmlns:ns0="http://schemas.openxmlformats.org/spreadsheetml/2006/main" r="AO1" s="9" t="inlineStr">
        <ns0:is>
          <ns0:t>Sim Spice Prefix</ns0:t>
        </ns0:is>
      </ns0:c>
      <ns0:c xmlns:ns0="http://schemas.openxmlformats.org/spreadsheetml/2006/main" r="AP1" s="9" t="inlineStr">
        <ns0:is>
          <ns0:t>Sim Port Map</ns0:t>
        </ns0:is>
      </ns0:c>
      <ns0:c xmlns:ns0="http://schemas.openxmlformats.org/spreadsheetml/2006/main" r="AQ1" s="9" t="inlineStr">
        <ns0:is>
          <ns0:t>Sim File</ns0:t>
        </ns0:is>
      </ns0:c>
    </ns0:row>
    <ns0:row r="2" ht="30" customHeight="1">
      <ns0:c r="A2" t="str" s="14">
        <ns0:v>C0003</ns0:v>
      </ns0:c>
      <ns0:c r="B2" t="str" s="14">
        <ns0:v>Конденсатор</ns0:v>
      </ns0:c>
      <ns0:c r="C2" t="str" s="14">
        <ns0:v>100p</ns0:v>
      </ns0:c>
      <ns0:c r="D2" t="str" s="11">
        <ns0:f>SUBSTITUTE(SUBSTITUTE(SUBSTITUTE(SUBSTITUTE(C2,"p"," пФ"),"n"," нФ"),"u"," мкФ"),".",",")</ns0:f>
        <ns0:v>100 пФ</ns0:v>
      </ns0:c>
      <ns0:c r="E2" t="str" s="14">
        <ns0:v>±5%</ns0:v>
      </ns0:c>
      <ns0:c r="F2" s="14"/>
      <ns0:c r="G2" t="str" s="14">
        <ns0:v>100 В</ns0:v>
      </ns0:c>
      <ns0:c r="H2" t="str" s="14">
        <ns0:v>X7R</ns0:v>
      </ns0:c>
      <ns0:c r="I2" t="str" s="15">
        <ns0:v>0805</ns0:v>
      </ns0:c>
      <ns0:c r="J2" t="str" s="14">
        <ns0:v>YAGEO</ns0:v>
      </ns0:c>
      <ns0:c r="K2" t="str" s="14">
        <ns0:v>CC0805JRX7R0BB101</ns0:v>
      </ns0:c>
      <ns0:c r="L2" t="str" s="11">
        <ns0:f>B2&amp;" "&amp;D2&amp;" "&amp;E2&amp;" "&amp;G2&amp;" "&amp;H2&amp;" "&amp;I2</ns0:f>
        <ns0:v>Конденсатор 100 пФ ±5% 100 В X7R 0805</ns0:v>
      </ns0:c>
      <ns0:c r="M2" t="str" s="13">
        <ns0:v>C</ns0:v>
      </ns0:c>
      <ns0:c r="N2" t="str" s="13">
        <ns0:v>Symbols\MY_LIB_Capacitors.SchLib</ns0:v>
      </ns0:c>
      <ns0:c r="O2" t="str" s="13">
        <ns0:v>CAPC2012X135N</ns0:v>
      </ns0:c>
      <ns0:c r="P2" t="str" s="13">
        <ns0:v>Footprints\PBL - SMD Packages.PcbLib</ns0:v>
      </ns0:c>
      <ns0:c r="Q2" t="str" s="14">
        <ns0:v>YAGEO CC; список 20.10.2026</ns0:v>
      </ns0:c>
      <ns0:c r="R2" t="str" s="11">
        <ns0:f>D2</ns0:f>
        <ns0:v>100 пФ</ns0:v>
      </ns0:c>
      <ns0:c r="S2" t="str" s="11">
        <ns0:f>L2</ns0:f>
        <ns0:v>Конденсатор 100 пФ ±5% 100 В X7R 0805</ns0:v>
      </ns0:c>
      <x:c xmlns:x="http://schemas.openxmlformats.org/spreadsheetml/2006/main" r="T2" t="str" s="11">
        <x:v>C:\Users\Nomatin\Documents\Altium\MY_LIB\MY_LIB\Datasheets\YAGEO_CC_X7R.pdf</x:v>
      </x:c>
      <x:c xmlns:x="http://schemas.openxmlformats.org/spreadsheetml/2006/main" r="U2" t="str" s="11">
        <x:v>Даташит — локальный</x:v>
      </x:c>
      <x:c xmlns:x="http://schemas.openxmlformats.org/spreadsheetml/2006/main" r="V2" t="str" s="11">
        <x:v>C:\Users\Nomatin\Documents\Altium\MY_LIB\MY_LIB\Datasheets\YAGEO_CC_X7R.pdf</x:v>
      </x:c>
      <x:c xmlns:x="http://schemas.openxmlformats.org/spreadsheetml/2006/main" r="W2" t="str" s="11">
        <x:v>Даташит — производитель</x:v>
      </x:c>
      <x:c xmlns:x="http://schemas.openxmlformats.org/spreadsheetml/2006/main" r="X2" t="str" s="11">
        <x:v>https://yageogroup.com/content/datasheet/asset/file/UPY-GPHC_X7R_6_3V-TO-250V</x:v>
      </x:c>
      <x:c xmlns:x="http://schemas.openxmlformats.org/spreadsheetml/2006/main" r="Y2" t="str" s="11">
        <x:v>C:\Users\Nomatin\Documents\Altium\MY_LIB\MY_LIB\Datasheets\YAGEO_CC_X7R.pdf</x:v>
      </x:c>
      <ns0:c xmlns:ns0="http://schemas.openxmlformats.org/spreadsheetml/2006/main" r="Z2" s="11">
        <ns0:v>1e-10</ns0:v>
      </ns0:c>
      <ns0:c xmlns:ns0="http://schemas.openxmlformats.org/spreadsheetml/2006/main" r="AA2" s="11">
        <ns0:v>0.025</ns0:v>
      </ns0:c>
      <ns0:c xmlns:ns0="http://schemas.openxmlformats.org/spreadsheetml/2006/main" r="AB2" s="11">
        <ns0:v>1000</ns0:v>
      </ns0:c>
      <ns0:c xmlns:ns0="http://schemas.openxmlformats.org/spreadsheetml/2006/main" r="AC2" s="11">
        <ns0:v>1</ns0:v>
      </ns0:c>
      <ns0:c xmlns:ns0="http://schemas.openxmlformats.org/spreadsheetml/2006/main" r="AD2" s="11">
        <ns0:v>20</ns0:v>
      </ns0:c>
      <ns0:c xmlns:ns0="http://schemas.openxmlformats.org/spreadsheetml/2006/main" r="AE2" s="11">
        <ns0:v>500</ns0:v>
      </ns0:c>
      <ns0:c xmlns:ns0="http://schemas.openxmlformats.org/spreadsheetml/2006/main" r="AF2" s="11">
        <ns0:v>10000000000</ns0:v>
      </ns0:c>
      <ns0:c xmlns:ns0="http://schemas.openxmlformats.org/spreadsheetml/2006/main" r="AG2" s="11">
        <ns0:v>100</ns0:v>
      </ns0:c>
      <ns0:c xmlns:ns0="http://schemas.openxmlformats.org/spreadsheetml/2006/main" r="AH2" s="11">
        <ns0:v>60</ns0:v>
      </ns0:c>
      <ns0:c xmlns:ns0="http://schemas.openxmlformats.org/spreadsheetml/2006/main" r="AI2" s="11">
        <ns0:v>39788.7357729738</ns0:v>
      </ns0:c>
      <ns0:c xmlns:ns0="http://schemas.openxmlformats.org/spreadsheetml/2006/main" r="AJ2" s="11" t="inlineStr">
        <ns0:is>
          <ns0:t>MY_LIB_C_RC</ns0:t>
        </ns0:is>
      </ns0:c>
      <ns0:c xmlns:ns0="http://schemas.openxmlformats.org/spreadsheetml/2006/main" r="AK2" s="11" t="inlineStr">
        <ns0:is>
          <ns0:t>Nominal C; DFmax at 1kHz; minimum insulation; no temperature/bias/ESL</ns0:t>
        </ns0:is>
      </ns0:c>
      <ns0:c xmlns:ns0="http://schemas.openxmlformats.org/spreadsheetml/2006/main" r="AL2" s="11" t="inlineStr">
        <ns0:is>
          <ns0:t>General</ns0:t>
        </ns0:is>
      </ns0:c>
      <ns0:c xmlns:ns0="http://schemas.openxmlformats.org/spreadsheetml/2006/main" r="AM2" s="11" t="inlineStr">
        <ns0:is>
          <ns0:t>Spice Subcircuit</ns0:t>
        </ns0:is>
      </ns0:c>
      <ns0:c xmlns:ns0="http://schemas.openxmlformats.org/spreadsheetml/2006/main" r="AN2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2" s="11" t="inlineStr">
        <ns0:is>
          <ns0:t>X</ns0:t>
        </ns0:is>
      </ns0:c>
      <ns0:c xmlns:ns0="http://schemas.openxmlformats.org/spreadsheetml/2006/main" r="AP2" s="11" t="inlineStr">
        <ns0:is>
          <ns0:t>(1:1),(2:2)</ns0:t>
        </ns0:is>
      </ns0:c>
      <ns0:c xmlns:ns0="http://schemas.openxmlformats.org/spreadsheetml/2006/main" r="AQ2" s="11" t="inlineStr">
        <ns0:is>
          <ns0:t>Simulation\Capacitors\MY_LIB_C_RC.ckt</ns0:t>
        </ns0:is>
      </ns0:c>
    </ns0:row>
    <ns0:row r="3" ht="30" customHeight="1">
      <ns0:c r="A3" t="str" s="14">
        <ns0:v>C0004</ns0:v>
      </ns0:c>
      <ns0:c r="B3" t="str" s="14">
        <ns0:v>Конденсатор</ns0:v>
      </ns0:c>
      <ns0:c r="C3" t="str" s="14">
        <ns0:v>150p</ns0:v>
      </ns0:c>
      <ns0:c r="D3" t="str" s="11">
        <ns0:f>SUBSTITUTE(SUBSTITUTE(SUBSTITUTE(SUBSTITUTE(C3,"p"," пФ"),"n"," нФ"),"u"," мкФ"),".",",")</ns0:f>
        <ns0:v>150 пФ</ns0:v>
      </ns0:c>
      <ns0:c r="E3" t="str" s="14">
        <ns0:v>±5%</ns0:v>
      </ns0:c>
      <ns0:c r="F3" s="14"/>
      <ns0:c r="G3" t="str" s="14">
        <ns0:v>100 В</ns0:v>
      </ns0:c>
      <ns0:c r="H3" t="str" s="14">
        <ns0:v>X7R</ns0:v>
      </ns0:c>
      <ns0:c r="I3" t="str" s="15">
        <ns0:v>0805</ns0:v>
      </ns0:c>
      <ns0:c r="J3" t="str" s="14">
        <ns0:v>YAGEO</ns0:v>
      </ns0:c>
      <ns0:c r="K3" t="str" s="14">
        <ns0:v>CC0805JRX7R0BB151</ns0:v>
      </ns0:c>
      <ns0:c r="L3" t="str" s="11">
        <ns0:f>B3&amp;" "&amp;D3&amp;" "&amp;E3&amp;" "&amp;G3&amp;" "&amp;H3&amp;" "&amp;I3</ns0:f>
        <ns0:v>Конденсатор 150 пФ ±5% 100 В X7R 0805</ns0:v>
      </ns0:c>
      <ns0:c r="M3" t="str" s="13">
        <ns0:v>C</ns0:v>
      </ns0:c>
      <ns0:c r="N3" t="str" s="13">
        <ns0:v>Symbols\MY_LIB_Capacitors.SchLib</ns0:v>
      </ns0:c>
      <ns0:c r="O3" t="str" s="13">
        <ns0:v>CAPC2012X135N</ns0:v>
      </ns0:c>
      <ns0:c r="P3" t="str" s="13">
        <ns0:v>Footprints\PBL - SMD Packages.PcbLib</ns0:v>
      </ns0:c>
      <ns0:c r="Q3" t="str" s="14">
        <ns0:v>YAGEO CC; список 20.10.2026</ns0:v>
      </ns0:c>
      <ns0:c r="R3" t="str" s="11">
        <ns0:f>D3</ns0:f>
        <ns0:v>150 пФ</ns0:v>
      </ns0:c>
      <ns0:c r="S3" t="str" s="11">
        <ns0:f>L3</ns0:f>
        <ns0:v>Конденсатор 150 пФ ±5% 100 В X7R 0805</ns0:v>
      </ns0:c>
      <x:c xmlns:x="http://schemas.openxmlformats.org/spreadsheetml/2006/main" r="T3" t="str" s="11">
        <x:v>C:\Users\Nomatin\Documents\Altium\MY_LIB\MY_LIB\Datasheets\YAGEO_CC_X7R.pdf</x:v>
      </x:c>
      <x:c xmlns:x="http://schemas.openxmlformats.org/spreadsheetml/2006/main" r="U3" t="str" s="11">
        <x:v>Даташит — локальный</x:v>
      </x:c>
      <x:c xmlns:x="http://schemas.openxmlformats.org/spreadsheetml/2006/main" r="V3" t="str" s="11">
        <x:v>C:\Users\Nomatin\Documents\Altium\MY_LIB\MY_LIB\Datasheets\YAGEO_CC_X7R.pdf</x:v>
      </x:c>
      <x:c xmlns:x="http://schemas.openxmlformats.org/spreadsheetml/2006/main" r="W3" t="str" s="11">
        <x:v>Даташит — производитель</x:v>
      </x:c>
      <x:c xmlns:x="http://schemas.openxmlformats.org/spreadsheetml/2006/main" r="X3" t="str" s="11">
        <x:v>https://yageogroup.com/content/datasheet/asset/file/UPY-GPHC_X7R_6_3V-TO-250V</x:v>
      </x:c>
      <x:c xmlns:x="http://schemas.openxmlformats.org/spreadsheetml/2006/main" r="Y3" t="str" s="11">
        <x:v>C:\Users\Nomatin\Documents\Altium\MY_LIB\MY_LIB\Datasheets\YAGEO_CC_X7R.pdf</x:v>
      </x:c>
      <ns0:c xmlns:ns0="http://schemas.openxmlformats.org/spreadsheetml/2006/main" r="Z3" s="11">
        <ns0:v>1.5e-10</ns0:v>
      </ns0:c>
      <ns0:c xmlns:ns0="http://schemas.openxmlformats.org/spreadsheetml/2006/main" r="AA3" s="11">
        <ns0:v>0.025</ns0:v>
      </ns0:c>
      <ns0:c xmlns:ns0="http://schemas.openxmlformats.org/spreadsheetml/2006/main" r="AB3" s="11">
        <ns0:v>1000</ns0:v>
      </ns0:c>
      <ns0:c xmlns:ns0="http://schemas.openxmlformats.org/spreadsheetml/2006/main" r="AC3" s="11">
        <ns0:v>1</ns0:v>
      </ns0:c>
      <ns0:c xmlns:ns0="http://schemas.openxmlformats.org/spreadsheetml/2006/main" r="AD3" s="11">
        <ns0:v>20</ns0:v>
      </ns0:c>
      <ns0:c xmlns:ns0="http://schemas.openxmlformats.org/spreadsheetml/2006/main" r="AE3" s="11">
        <ns0:v>500</ns0:v>
      </ns0:c>
      <ns0:c xmlns:ns0="http://schemas.openxmlformats.org/spreadsheetml/2006/main" r="AF3" s="11">
        <ns0:v>10000000000</ns0:v>
      </ns0:c>
      <ns0:c xmlns:ns0="http://schemas.openxmlformats.org/spreadsheetml/2006/main" r="AG3" s="11">
        <ns0:v>100</ns0:v>
      </ns0:c>
      <ns0:c xmlns:ns0="http://schemas.openxmlformats.org/spreadsheetml/2006/main" r="AH3" s="11">
        <ns0:v>60</ns0:v>
      </ns0:c>
      <ns0:c xmlns:ns0="http://schemas.openxmlformats.org/spreadsheetml/2006/main" r="AI3" s="11">
        <ns0:v>26525.8238486492</ns0:v>
      </ns0:c>
      <ns0:c xmlns:ns0="http://schemas.openxmlformats.org/spreadsheetml/2006/main" r="AJ3" s="11" t="inlineStr">
        <ns0:is>
          <ns0:t>MY_LIB_C_RC</ns0:t>
        </ns0:is>
      </ns0:c>
      <ns0:c xmlns:ns0="http://schemas.openxmlformats.org/spreadsheetml/2006/main" r="AK3" s="11" t="inlineStr">
        <ns0:is>
          <ns0:t>Nominal C; DFmax at 1kHz; minimum insulation; no temperature/bias/ESL</ns0:t>
        </ns0:is>
      </ns0:c>
      <ns0:c xmlns:ns0="http://schemas.openxmlformats.org/spreadsheetml/2006/main" r="AL3" s="11" t="inlineStr">
        <ns0:is>
          <ns0:t>General</ns0:t>
        </ns0:is>
      </ns0:c>
      <ns0:c xmlns:ns0="http://schemas.openxmlformats.org/spreadsheetml/2006/main" r="AM3" s="11" t="inlineStr">
        <ns0:is>
          <ns0:t>Spice Subcircuit</ns0:t>
        </ns0:is>
      </ns0:c>
      <ns0:c xmlns:ns0="http://schemas.openxmlformats.org/spreadsheetml/2006/main" r="AN3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3" s="11" t="inlineStr">
        <ns0:is>
          <ns0:t>X</ns0:t>
        </ns0:is>
      </ns0:c>
      <ns0:c xmlns:ns0="http://schemas.openxmlformats.org/spreadsheetml/2006/main" r="AP3" s="11" t="inlineStr">
        <ns0:is>
          <ns0:t>(1:1),(2:2)</ns0:t>
        </ns0:is>
      </ns0:c>
      <ns0:c xmlns:ns0="http://schemas.openxmlformats.org/spreadsheetml/2006/main" r="AQ3" s="11" t="inlineStr">
        <ns0:is>
          <ns0:t>Simulation\Capacitors\MY_LIB_C_RC.ckt</ns0:t>
        </ns0:is>
      </ns0:c>
    </ns0:row>
    <ns0:row r="4" ht="30" customHeight="1">
      <ns0:c r="A4" t="str" s="14">
        <ns0:v>C0005</ns0:v>
      </ns0:c>
      <ns0:c r="B4" t="str" s="14">
        <ns0:v>Конденсатор</ns0:v>
      </ns0:c>
      <ns0:c r="C4" t="str" s="14">
        <ns0:v>180p</ns0:v>
      </ns0:c>
      <ns0:c r="D4" t="str" s="11">
        <ns0:f>SUBSTITUTE(SUBSTITUTE(SUBSTITUTE(SUBSTITUTE(C4,"p"," пФ"),"n"," нФ"),"u"," мкФ"),".",",")</ns0:f>
        <ns0:v>180 пФ</ns0:v>
      </ns0:c>
      <ns0:c r="E4" t="str" s="14">
        <ns0:v>±5%</ns0:v>
      </ns0:c>
      <ns0:c r="F4" s="14"/>
      <ns0:c r="G4" t="str" s="14">
        <ns0:v>100 В</ns0:v>
      </ns0:c>
      <ns0:c r="H4" t="str" s="14">
        <ns0:v>X7R</ns0:v>
      </ns0:c>
      <ns0:c r="I4" t="str" s="15">
        <ns0:v>0805</ns0:v>
      </ns0:c>
      <ns0:c r="J4" t="str" s="14">
        <ns0:v>YAGEO</ns0:v>
      </ns0:c>
      <ns0:c r="K4" t="str" s="14">
        <ns0:v>CC0805JRX7R0BB181</ns0:v>
      </ns0:c>
      <ns0:c r="L4" t="str" s="11">
        <ns0:f>B4&amp;" "&amp;D4&amp;" "&amp;E4&amp;" "&amp;G4&amp;" "&amp;H4&amp;" "&amp;I4</ns0:f>
        <ns0:v>Конденсатор 180 пФ ±5% 100 В X7R 0805</ns0:v>
      </ns0:c>
      <ns0:c r="M4" t="str" s="13">
        <ns0:v>C</ns0:v>
      </ns0:c>
      <ns0:c r="N4" t="str" s="13">
        <ns0:v>Symbols\MY_LIB_Capacitors.SchLib</ns0:v>
      </ns0:c>
      <ns0:c r="O4" t="str" s="13">
        <ns0:v>CAPC2012X135N</ns0:v>
      </ns0:c>
      <ns0:c r="P4" t="str" s="13">
        <ns0:v>Footprints\PBL - SMD Packages.PcbLib</ns0:v>
      </ns0:c>
      <ns0:c r="Q4" t="str" s="14">
        <ns0:v>YAGEO CC; список 20.10.2026</ns0:v>
      </ns0:c>
      <ns0:c r="R4" t="str" s="11">
        <ns0:f>D4</ns0:f>
        <ns0:v>180 пФ</ns0:v>
      </ns0:c>
      <ns0:c r="S4" t="str" s="11">
        <ns0:f>L4</ns0:f>
        <ns0:v>Конденсатор 180 пФ ±5% 100 В X7R 0805</ns0:v>
      </ns0:c>
      <x:c xmlns:x="http://schemas.openxmlformats.org/spreadsheetml/2006/main" r="T4" t="str" s="11">
        <x:v>C:\Users\Nomatin\Documents\Altium\MY_LIB\MY_LIB\Datasheets\YAGEO_CC_X7R.pdf</x:v>
      </x:c>
      <x:c xmlns:x="http://schemas.openxmlformats.org/spreadsheetml/2006/main" r="U4" t="str" s="11">
        <x:v>Даташит — локальный</x:v>
      </x:c>
      <x:c xmlns:x="http://schemas.openxmlformats.org/spreadsheetml/2006/main" r="V4" t="str" s="11">
        <x:v>C:\Users\Nomatin\Documents\Altium\MY_LIB\MY_LIB\Datasheets\YAGEO_CC_X7R.pdf</x:v>
      </x:c>
      <x:c xmlns:x="http://schemas.openxmlformats.org/spreadsheetml/2006/main" r="W4" t="str" s="11">
        <x:v>Даташит — производитель</x:v>
      </x:c>
      <x:c xmlns:x="http://schemas.openxmlformats.org/spreadsheetml/2006/main" r="X4" t="str" s="11">
        <x:v>https://yageogroup.com/content/datasheet/asset/file/UPY-GPHC_X7R_6_3V-TO-250V</x:v>
      </x:c>
      <x:c xmlns:x="http://schemas.openxmlformats.org/spreadsheetml/2006/main" r="Y4" t="str" s="11">
        <x:v>C:\Users\Nomatin\Documents\Altium\MY_LIB\MY_LIB\Datasheets\YAGEO_CC_X7R.pdf</x:v>
      </x:c>
      <ns0:c xmlns:ns0="http://schemas.openxmlformats.org/spreadsheetml/2006/main" r="Z4" s="11">
        <ns0:v>1.8e-10</ns0:v>
      </ns0:c>
      <ns0:c xmlns:ns0="http://schemas.openxmlformats.org/spreadsheetml/2006/main" r="AA4" s="11">
        <ns0:v>0.025</ns0:v>
      </ns0:c>
      <ns0:c xmlns:ns0="http://schemas.openxmlformats.org/spreadsheetml/2006/main" r="AB4" s="11">
        <ns0:v>1000</ns0:v>
      </ns0:c>
      <ns0:c xmlns:ns0="http://schemas.openxmlformats.org/spreadsheetml/2006/main" r="AC4" s="11">
        <ns0:v>1</ns0:v>
      </ns0:c>
      <ns0:c xmlns:ns0="http://schemas.openxmlformats.org/spreadsheetml/2006/main" r="AD4" s="11">
        <ns0:v>20</ns0:v>
      </ns0:c>
      <ns0:c xmlns:ns0="http://schemas.openxmlformats.org/spreadsheetml/2006/main" r="AE4" s="11">
        <ns0:v>500</ns0:v>
      </ns0:c>
      <ns0:c xmlns:ns0="http://schemas.openxmlformats.org/spreadsheetml/2006/main" r="AF4" s="11">
        <ns0:v>10000000000</ns0:v>
      </ns0:c>
      <ns0:c xmlns:ns0="http://schemas.openxmlformats.org/spreadsheetml/2006/main" r="AG4" s="11">
        <ns0:v>100</ns0:v>
      </ns0:c>
      <ns0:c xmlns:ns0="http://schemas.openxmlformats.org/spreadsheetml/2006/main" r="AH4" s="11">
        <ns0:v>60</ns0:v>
      </ns0:c>
      <ns0:c xmlns:ns0="http://schemas.openxmlformats.org/spreadsheetml/2006/main" r="AI4" s="11">
        <ns0:v>22104.8532072077</ns0:v>
      </ns0:c>
      <ns0:c xmlns:ns0="http://schemas.openxmlformats.org/spreadsheetml/2006/main" r="AJ4" s="11" t="inlineStr">
        <ns0:is>
          <ns0:t>MY_LIB_C_RC</ns0:t>
        </ns0:is>
      </ns0:c>
      <ns0:c xmlns:ns0="http://schemas.openxmlformats.org/spreadsheetml/2006/main" r="AK4" s="11" t="inlineStr">
        <ns0:is>
          <ns0:t>Nominal C; DFmax at 1kHz; minimum insulation; no temperature/bias/ESL</ns0:t>
        </ns0:is>
      </ns0:c>
      <ns0:c xmlns:ns0="http://schemas.openxmlformats.org/spreadsheetml/2006/main" r="AL4" s="11" t="inlineStr">
        <ns0:is>
          <ns0:t>General</ns0:t>
        </ns0:is>
      </ns0:c>
      <ns0:c xmlns:ns0="http://schemas.openxmlformats.org/spreadsheetml/2006/main" r="AM4" s="11" t="inlineStr">
        <ns0:is>
          <ns0:t>Spice Subcircuit</ns0:t>
        </ns0:is>
      </ns0:c>
      <ns0:c xmlns:ns0="http://schemas.openxmlformats.org/spreadsheetml/2006/main" r="AN4" s="11" t="inlineStr">
        <ns0:is>
          <ns0:t>@DESIGNATOR %1 %2 @MODEL PARAMS: Cvalue=1.8e-10 Rsvalue=22104.8532072077 Rinsvalue=10000000000</ns0:t>
        </ns0:is>
      </ns0:c>
      <ns0:c xmlns:ns0="http://schemas.openxmlformats.org/spreadsheetml/2006/main" r="AO4" s="11" t="inlineStr">
        <ns0:is>
          <ns0:t>X</ns0:t>
        </ns0:is>
      </ns0:c>
      <ns0:c xmlns:ns0="http://schemas.openxmlformats.org/spreadsheetml/2006/main" r="AP4" s="11" t="inlineStr">
        <ns0:is>
          <ns0:t>(1:1),(2:2)</ns0:t>
        </ns0:is>
      </ns0:c>
      <ns0:c xmlns:ns0="http://schemas.openxmlformats.org/spreadsheetml/2006/main" r="AQ4" s="11" t="inlineStr">
        <ns0:is>
          <ns0:t>Simulation\Capacitors\MY_LIB_C_RC.ckt</ns0:t>
        </ns0:is>
      </ns0:c>
    </ns0:row>
    <ns0:row r="5" ht="30" customHeight="1">
      <ns0:c r="A5" t="str" s="14">
        <ns0:v>C0006</ns0:v>
      </ns0:c>
      <ns0:c r="B5" t="str" s="14">
        <ns0:v>Конденсатор</ns0:v>
      </ns0:c>
      <ns0:c r="C5" t="str" s="14">
        <ns0:v>220p</ns0:v>
      </ns0:c>
      <ns0:c r="D5" t="str" s="11">
        <ns0:f>SUBSTITUTE(SUBSTITUTE(SUBSTITUTE(SUBSTITUTE(C5,"p"," пФ"),"n"," нФ"),"u"," мкФ"),".",",")</ns0:f>
        <ns0:v>220 пФ</ns0:v>
      </ns0:c>
      <ns0:c r="E5" t="str" s="14">
        <ns0:v>±5%</ns0:v>
      </ns0:c>
      <ns0:c r="F5" s="14"/>
      <ns0:c r="G5" t="str" s="14">
        <ns0:v>100 В</ns0:v>
      </ns0:c>
      <ns0:c r="H5" t="str" s="14">
        <ns0:v>X7R</ns0:v>
      </ns0:c>
      <ns0:c r="I5" t="str" s="15">
        <ns0:v>0805</ns0:v>
      </ns0:c>
      <ns0:c r="J5" t="str" s="14">
        <ns0:v>YAGEO</ns0:v>
      </ns0:c>
      <ns0:c r="K5" t="str" s="14">
        <ns0:v>CC0805JRX7R0BB221</ns0:v>
      </ns0:c>
      <ns0:c r="L5" t="str" s="11">
        <ns0:f>B5&amp;" "&amp;D5&amp;" "&amp;E5&amp;" "&amp;G5&amp;" "&amp;H5&amp;" "&amp;I5</ns0:f>
        <ns0:v>Конденсатор 220 пФ ±5% 100 В X7R 0805</ns0:v>
      </ns0:c>
      <ns0:c r="M5" t="str" s="13">
        <ns0:v>C</ns0:v>
      </ns0:c>
      <ns0:c r="N5" t="str" s="13">
        <ns0:v>Symbols\MY_LIB_Capacitors.SchLib</ns0:v>
      </ns0:c>
      <ns0:c r="O5" t="str" s="13">
        <ns0:v>CAPC2012X135N</ns0:v>
      </ns0:c>
      <ns0:c r="P5" t="str" s="13">
        <ns0:v>Footprints\PBL - SMD Packages.PcbLib</ns0:v>
      </ns0:c>
      <ns0:c r="Q5" t="str" s="14">
        <ns0:v>YAGEO CC; список 20.10.2026</ns0:v>
      </ns0:c>
      <ns0:c r="R5" t="str" s="11">
        <ns0:f>D5</ns0:f>
        <ns0:v>220 пФ</ns0:v>
      </ns0:c>
      <ns0:c r="S5" t="str" s="11">
        <ns0:f>L5</ns0:f>
        <ns0:v>Конденсатор 220 пФ ±5% 100 В X7R 0805</ns0:v>
      </ns0:c>
      <x:c xmlns:x="http://schemas.openxmlformats.org/spreadsheetml/2006/main" r="T5" t="str" s="11">
        <x:v>C:\Users\Nomatin\Documents\Altium\MY_LIB\MY_LIB\Datasheets\YAGEO_CC_X7R.pdf</x:v>
      </x:c>
      <x:c xmlns:x="http://schemas.openxmlformats.org/spreadsheetml/2006/main" r="U5" t="str" s="11">
        <x:v>Даташит — локальный</x:v>
      </x:c>
      <x:c xmlns:x="http://schemas.openxmlformats.org/spreadsheetml/2006/main" r="V5" t="str" s="11">
        <x:v>C:\Users\Nomatin\Documents\Altium\MY_LIB\MY_LIB\Datasheets\YAGEO_CC_X7R.pdf</x:v>
      </x:c>
      <x:c xmlns:x="http://schemas.openxmlformats.org/spreadsheetml/2006/main" r="W5" t="str" s="11">
        <x:v>Даташит — производитель</x:v>
      </x:c>
      <x:c xmlns:x="http://schemas.openxmlformats.org/spreadsheetml/2006/main" r="X5" t="str" s="11">
        <x:v>https://yageogroup.com/content/datasheet/asset/file/UPY-GPHC_X7R_6_3V-TO-250V</x:v>
      </x:c>
      <x:c xmlns:x="http://schemas.openxmlformats.org/spreadsheetml/2006/main" r="Y5" t="str" s="11">
        <x:v>C:\Users\Nomatin\Documents\Altium\MY_LIB\MY_LIB\Datasheets\YAGEO_CC_X7R.pdf</x:v>
      </x:c>
      <ns0:c xmlns:ns0="http://schemas.openxmlformats.org/spreadsheetml/2006/main" r="Z5" s="11">
        <ns0:v>2.2e-10</ns0:v>
      </ns0:c>
      <ns0:c xmlns:ns0="http://schemas.openxmlformats.org/spreadsheetml/2006/main" r="AA5" s="11">
        <ns0:v>0.025</ns0:v>
      </ns0:c>
      <ns0:c xmlns:ns0="http://schemas.openxmlformats.org/spreadsheetml/2006/main" r="AB5" s="11">
        <ns0:v>1000</ns0:v>
      </ns0:c>
      <ns0:c xmlns:ns0="http://schemas.openxmlformats.org/spreadsheetml/2006/main" r="AC5" s="11">
        <ns0:v>1</ns0:v>
      </ns0:c>
      <ns0:c xmlns:ns0="http://schemas.openxmlformats.org/spreadsheetml/2006/main" r="AD5" s="11">
        <ns0:v>20</ns0:v>
      </ns0:c>
      <ns0:c xmlns:ns0="http://schemas.openxmlformats.org/spreadsheetml/2006/main" r="AE5" s="11">
        <ns0:v>500</ns0:v>
      </ns0:c>
      <ns0:c xmlns:ns0="http://schemas.openxmlformats.org/spreadsheetml/2006/main" r="AF5" s="11">
        <ns0:v>10000000000</ns0:v>
      </ns0:c>
      <ns0:c xmlns:ns0="http://schemas.openxmlformats.org/spreadsheetml/2006/main" r="AG5" s="11">
        <ns0:v>100</ns0:v>
      </ns0:c>
      <ns0:c xmlns:ns0="http://schemas.openxmlformats.org/spreadsheetml/2006/main" r="AH5" s="11">
        <ns0:v>60</ns0:v>
      </ns0:c>
      <ns0:c xmlns:ns0="http://schemas.openxmlformats.org/spreadsheetml/2006/main" r="AI5" s="11">
        <ns0:v>18085.7889877154</ns0:v>
      </ns0:c>
      <ns0:c xmlns:ns0="http://schemas.openxmlformats.org/spreadsheetml/2006/main" r="AJ5" s="11" t="inlineStr">
        <ns0:is>
          <ns0:t>MY_LIB_C_RC</ns0:t>
        </ns0:is>
      </ns0:c>
      <ns0:c xmlns:ns0="http://schemas.openxmlformats.org/spreadsheetml/2006/main" r="AK5" s="11" t="inlineStr">
        <ns0:is>
          <ns0:t>Nominal C; DFmax at 1kHz; minimum insulation; no temperature/bias/ESL</ns0:t>
        </ns0:is>
      </ns0:c>
      <ns0:c xmlns:ns0="http://schemas.openxmlformats.org/spreadsheetml/2006/main" r="AL5" s="11" t="inlineStr">
        <ns0:is>
          <ns0:t>General</ns0:t>
        </ns0:is>
      </ns0:c>
      <ns0:c xmlns:ns0="http://schemas.openxmlformats.org/spreadsheetml/2006/main" r="AM5" s="11" t="inlineStr">
        <ns0:is>
          <ns0:t>Spice Subcircuit</ns0:t>
        </ns0:is>
      </ns0:c>
      <ns0:c xmlns:ns0="http://schemas.openxmlformats.org/spreadsheetml/2006/main" r="AN5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5" s="11" t="inlineStr">
        <ns0:is>
          <ns0:t>X</ns0:t>
        </ns0:is>
      </ns0:c>
      <ns0:c xmlns:ns0="http://schemas.openxmlformats.org/spreadsheetml/2006/main" r="AP5" s="11" t="inlineStr">
        <ns0:is>
          <ns0:t>(1:1),(2:2)</ns0:t>
        </ns0:is>
      </ns0:c>
      <ns0:c xmlns:ns0="http://schemas.openxmlformats.org/spreadsheetml/2006/main" r="AQ5" s="11" t="inlineStr">
        <ns0:is>
          <ns0:t>Simulation\Capacitors\MY_LIB_C_RC.ckt</ns0:t>
        </ns0:is>
      </ns0:c>
    </ns0:row>
    <ns0:row r="6" ht="30" customHeight="1">
      <ns0:c r="A6" t="str" s="14">
        <ns0:v>C0007</ns0:v>
      </ns0:c>
      <ns0:c r="B6" t="str" s="14">
        <ns0:v>Конденсатор</ns0:v>
      </ns0:c>
      <ns0:c r="C6" t="str" s="14">
        <ns0:v>270p</ns0:v>
      </ns0:c>
      <ns0:c r="D6" t="str" s="11">
        <ns0:f>SUBSTITUTE(SUBSTITUTE(SUBSTITUTE(SUBSTITUTE(C6,"p"," пФ"),"n"," нФ"),"u"," мкФ"),".",",")</ns0:f>
        <ns0:v>270 пФ</ns0:v>
      </ns0:c>
      <ns0:c r="E6" t="str" s="14">
        <ns0:v>±5%</ns0:v>
      </ns0:c>
      <ns0:c r="F6" s="14"/>
      <ns0:c r="G6" t="str" s="14">
        <ns0:v>100 В</ns0:v>
      </ns0:c>
      <ns0:c r="H6" t="str" s="14">
        <ns0:v>X7R</ns0:v>
      </ns0:c>
      <ns0:c r="I6" t="str" s="15">
        <ns0:v>0805</ns0:v>
      </ns0:c>
      <ns0:c r="J6" t="str" s="14">
        <ns0:v>YAGEO</ns0:v>
      </ns0:c>
      <ns0:c r="K6" t="str" s="14">
        <ns0:v>CC0805JRX7R0BB271</ns0:v>
      </ns0:c>
      <ns0:c r="L6" t="str" s="11">
        <ns0:f>B6&amp;" "&amp;D6&amp;" "&amp;E6&amp;" "&amp;G6&amp;" "&amp;H6&amp;" "&amp;I6</ns0:f>
        <ns0:v>Конденсатор 270 пФ ±5% 100 В X7R 0805</ns0:v>
      </ns0:c>
      <ns0:c r="M6" t="str" s="13">
        <ns0:v>C</ns0:v>
      </ns0:c>
      <ns0:c r="N6" t="str" s="13">
        <ns0:v>Symbols\MY_LIB_Capacitors.SchLib</ns0:v>
      </ns0:c>
      <ns0:c r="O6" t="str" s="13">
        <ns0:v>CAPC2012X135N</ns0:v>
      </ns0:c>
      <ns0:c r="P6" t="str" s="13">
        <ns0:v>Footprints\PBL - SMD Packages.PcbLib</ns0:v>
      </ns0:c>
      <ns0:c r="Q6" t="str" s="14">
        <ns0:v>YAGEO CC; список 20.10.2026</ns0:v>
      </ns0:c>
      <ns0:c r="R6" t="str" s="11">
        <ns0:f>D6</ns0:f>
        <ns0:v>270 пФ</ns0:v>
      </ns0:c>
      <ns0:c r="S6" t="str" s="11">
        <ns0:f>L6</ns0:f>
        <ns0:v>Конденсатор 270 пФ ±5% 100 В X7R 0805</ns0:v>
      </ns0:c>
      <x:c xmlns:x="http://schemas.openxmlformats.org/spreadsheetml/2006/main" r="T6" t="str" s="11">
        <x:v>C:\Users\Nomatin\Documents\Altium\MY_LIB\MY_LIB\Datasheets\YAGEO_CC_X7R.pdf</x:v>
      </x:c>
      <x:c xmlns:x="http://schemas.openxmlformats.org/spreadsheetml/2006/main" r="U6" t="str" s="11">
        <x:v>Даташит — локальный</x:v>
      </x:c>
      <x:c xmlns:x="http://schemas.openxmlformats.org/spreadsheetml/2006/main" r="V6" t="str" s="11">
        <x:v>C:\Users\Nomatin\Documents\Altium\MY_LIB\MY_LIB\Datasheets\YAGEO_CC_X7R.pdf</x:v>
      </x:c>
      <x:c xmlns:x="http://schemas.openxmlformats.org/spreadsheetml/2006/main" r="W6" t="str" s="11">
        <x:v>Даташит — производитель</x:v>
      </x:c>
      <x:c xmlns:x="http://schemas.openxmlformats.org/spreadsheetml/2006/main" r="X6" t="str" s="11">
        <x:v>https://yageogroup.com/content/datasheet/asset/file/UPY-GPHC_X7R_6_3V-TO-250V</x:v>
      </x:c>
      <x:c xmlns:x="http://schemas.openxmlformats.org/spreadsheetml/2006/main" r="Y6" t="str" s="11">
        <x:v>C:\Users\Nomatin\Documents\Altium\MY_LIB\MY_LIB\Datasheets\YAGEO_CC_X7R.pdf</x:v>
      </x:c>
      <ns0:c xmlns:ns0="http://schemas.openxmlformats.org/spreadsheetml/2006/main" r="Z6" s="11">
        <ns0:v>2.7e-10</ns0:v>
      </ns0:c>
      <ns0:c xmlns:ns0="http://schemas.openxmlformats.org/spreadsheetml/2006/main" r="AA6" s="11">
        <ns0:v>0.025</ns0:v>
      </ns0:c>
      <ns0:c xmlns:ns0="http://schemas.openxmlformats.org/spreadsheetml/2006/main" r="AB6" s="11">
        <ns0:v>1000</ns0:v>
      </ns0:c>
      <ns0:c xmlns:ns0="http://schemas.openxmlformats.org/spreadsheetml/2006/main" r="AC6" s="11">
        <ns0:v>1</ns0:v>
      </ns0:c>
      <ns0:c xmlns:ns0="http://schemas.openxmlformats.org/spreadsheetml/2006/main" r="AD6" s="11">
        <ns0:v>20</ns0:v>
      </ns0:c>
      <ns0:c xmlns:ns0="http://schemas.openxmlformats.org/spreadsheetml/2006/main" r="AE6" s="11">
        <ns0:v>500</ns0:v>
      </ns0:c>
      <ns0:c xmlns:ns0="http://schemas.openxmlformats.org/spreadsheetml/2006/main" r="AF6" s="11">
        <ns0:v>10000000000</ns0:v>
      </ns0:c>
      <ns0:c xmlns:ns0="http://schemas.openxmlformats.org/spreadsheetml/2006/main" r="AG6" s="11">
        <ns0:v>100</ns0:v>
      </ns0:c>
      <ns0:c xmlns:ns0="http://schemas.openxmlformats.org/spreadsheetml/2006/main" r="AH6" s="11">
        <ns0:v>60</ns0:v>
      </ns0:c>
      <ns0:c xmlns:ns0="http://schemas.openxmlformats.org/spreadsheetml/2006/main" r="AI6" s="11">
        <ns0:v>14736.5688048051</ns0:v>
      </ns0:c>
      <ns0:c xmlns:ns0="http://schemas.openxmlformats.org/spreadsheetml/2006/main" r="AJ6" s="11" t="inlineStr">
        <ns0:is>
          <ns0:t>MY_LIB_C_RC</ns0:t>
        </ns0:is>
      </ns0:c>
      <ns0:c xmlns:ns0="http://schemas.openxmlformats.org/spreadsheetml/2006/main" r="AK6" s="11" t="inlineStr">
        <ns0:is>
          <ns0:t>Nominal C; DFmax at 1kHz; minimum insulation; no temperature/bias/ESL</ns0:t>
        </ns0:is>
      </ns0:c>
      <ns0:c xmlns:ns0="http://schemas.openxmlformats.org/spreadsheetml/2006/main" r="AL6" s="11" t="inlineStr">
        <ns0:is>
          <ns0:t>General</ns0:t>
        </ns0:is>
      </ns0:c>
      <ns0:c xmlns:ns0="http://schemas.openxmlformats.org/spreadsheetml/2006/main" r="AM6" s="11" t="inlineStr">
        <ns0:is>
          <ns0:t>Spice Subcircuit</ns0:t>
        </ns0:is>
      </ns0:c>
      <ns0:c xmlns:ns0="http://schemas.openxmlformats.org/spreadsheetml/2006/main" r="AN6" s="11" t="inlineStr">
        <ns0:is>
          <ns0:t>@DESIGNATOR %1 %2 @MODEL PARAMS: Cvalue=2.7e-10 Rsvalue=14736.5688048051 Rinsvalue=10000000000</ns0:t>
        </ns0:is>
      </ns0:c>
      <ns0:c xmlns:ns0="http://schemas.openxmlformats.org/spreadsheetml/2006/main" r="AO6" s="11" t="inlineStr">
        <ns0:is>
          <ns0:t>X</ns0:t>
        </ns0:is>
      </ns0:c>
      <ns0:c xmlns:ns0="http://schemas.openxmlformats.org/spreadsheetml/2006/main" r="AP6" s="11" t="inlineStr">
        <ns0:is>
          <ns0:t>(1:1),(2:2)</ns0:t>
        </ns0:is>
      </ns0:c>
      <ns0:c xmlns:ns0="http://schemas.openxmlformats.org/spreadsheetml/2006/main" r="AQ6" s="11" t="inlineStr">
        <ns0:is>
          <ns0:t>Simulation\Capacitors\MY_LIB_C_RC.ckt</ns0:t>
        </ns0:is>
      </ns0:c>
    </ns0:row>
    <ns0:row r="7" ht="30" customHeight="1">
      <ns0:c r="A7" t="str" s="14">
        <ns0:v>C0008</ns0:v>
      </ns0:c>
      <ns0:c r="B7" t="str" s="14">
        <ns0:v>Конденсатор</ns0:v>
      </ns0:c>
      <ns0:c r="C7" t="str" s="14">
        <ns0:v>330p</ns0:v>
      </ns0:c>
      <ns0:c r="D7" t="str" s="11">
        <ns0:f>SUBSTITUTE(SUBSTITUTE(SUBSTITUTE(SUBSTITUTE(C7,"p"," пФ"),"n"," нФ"),"u"," мкФ"),".",",")</ns0:f>
        <ns0:v>330 пФ</ns0:v>
      </ns0:c>
      <ns0:c r="E7" t="str" s="14">
        <ns0:v>±5%</ns0:v>
      </ns0:c>
      <ns0:c r="F7" s="14"/>
      <ns0:c r="G7" t="str" s="14">
        <ns0:v>100 В</ns0:v>
      </ns0:c>
      <ns0:c r="H7" t="str" s="14">
        <ns0:v>X7R</ns0:v>
      </ns0:c>
      <ns0:c r="I7" t="str" s="15">
        <ns0:v>0805</ns0:v>
      </ns0:c>
      <ns0:c r="J7" t="str" s="14">
        <ns0:v>YAGEO</ns0:v>
      </ns0:c>
      <ns0:c r="K7" t="str" s="14">
        <ns0:v>CC0805JRX7R0BB331</ns0:v>
      </ns0:c>
      <ns0:c r="L7" t="str" s="11">
        <ns0:f>B7&amp;" "&amp;D7&amp;" "&amp;E7&amp;" "&amp;G7&amp;" "&amp;H7&amp;" "&amp;I7</ns0:f>
        <ns0:v>Конденсатор 330 пФ ±5% 100 В X7R 0805</ns0:v>
      </ns0:c>
      <ns0:c r="M7" t="str" s="13">
        <ns0:v>C</ns0:v>
      </ns0:c>
      <ns0:c r="N7" t="str" s="13">
        <ns0:v>Symbols\MY_LIB_Capacitors.SchLib</ns0:v>
      </ns0:c>
      <ns0:c r="O7" t="str" s="13">
        <ns0:v>CAPC2012X135N</ns0:v>
      </ns0:c>
      <ns0:c r="P7" t="str" s="13">
        <ns0:v>Footprints\PBL - SMD Packages.PcbLib</ns0:v>
      </ns0:c>
      <ns0:c r="Q7" t="str" s="14">
        <ns0:v>YAGEO CC; список 20.10.2026</ns0:v>
      </ns0:c>
      <ns0:c r="R7" t="str" s="11">
        <ns0:f>D7</ns0:f>
        <ns0:v>330 пФ</ns0:v>
      </ns0:c>
      <ns0:c r="S7" t="str" s="11">
        <ns0:f>L7</ns0:f>
        <ns0:v>Конденсатор 330 пФ ±5% 100 В X7R 0805</ns0:v>
      </ns0:c>
      <x:c xmlns:x="http://schemas.openxmlformats.org/spreadsheetml/2006/main" r="T7" t="str" s="11">
        <x:v>C:\Users\Nomatin\Documents\Altium\MY_LIB\MY_LIB\Datasheets\YAGEO_CC_X7R.pdf</x:v>
      </x:c>
      <x:c xmlns:x="http://schemas.openxmlformats.org/spreadsheetml/2006/main" r="U7" t="str" s="11">
        <x:v>Даташит — локальный</x:v>
      </x:c>
      <x:c xmlns:x="http://schemas.openxmlformats.org/spreadsheetml/2006/main" r="V7" t="str" s="11">
        <x:v>C:\Users\Nomatin\Documents\Altium\MY_LIB\MY_LIB\Datasheets\YAGEO_CC_X7R.pdf</x:v>
      </x:c>
      <x:c xmlns:x="http://schemas.openxmlformats.org/spreadsheetml/2006/main" r="W7" t="str" s="11">
        <x:v>Даташит — производитель</x:v>
      </x:c>
      <x:c xmlns:x="http://schemas.openxmlformats.org/spreadsheetml/2006/main" r="X7" t="str" s="11">
        <x:v>https://yageogroup.com/content/datasheet/asset/file/UPY-GPHC_X7R_6_3V-TO-250V</x:v>
      </x:c>
      <x:c xmlns:x="http://schemas.openxmlformats.org/spreadsheetml/2006/main" r="Y7" t="str" s="11">
        <x:v>C:\Users\Nomatin\Documents\Altium\MY_LIB\MY_LIB\Datasheets\YAGEO_CC_X7R.pdf</x:v>
      </x:c>
      <ns0:c xmlns:ns0="http://schemas.openxmlformats.org/spreadsheetml/2006/main" r="Z7" s="11">
        <ns0:v>3.3e-10</ns0:v>
      </ns0:c>
      <ns0:c xmlns:ns0="http://schemas.openxmlformats.org/spreadsheetml/2006/main" r="AA7" s="11">
        <ns0:v>0.025</ns0:v>
      </ns0:c>
      <ns0:c xmlns:ns0="http://schemas.openxmlformats.org/spreadsheetml/2006/main" r="AB7" s="11">
        <ns0:v>1000</ns0:v>
      </ns0:c>
      <ns0:c xmlns:ns0="http://schemas.openxmlformats.org/spreadsheetml/2006/main" r="AC7" s="11">
        <ns0:v>1</ns0:v>
      </ns0:c>
      <ns0:c xmlns:ns0="http://schemas.openxmlformats.org/spreadsheetml/2006/main" r="AD7" s="11">
        <ns0:v>20</ns0:v>
      </ns0:c>
      <ns0:c xmlns:ns0="http://schemas.openxmlformats.org/spreadsheetml/2006/main" r="AE7" s="11">
        <ns0:v>500</ns0:v>
      </ns0:c>
      <ns0:c xmlns:ns0="http://schemas.openxmlformats.org/spreadsheetml/2006/main" r="AF7" s="11">
        <ns0:v>10000000000</ns0:v>
      </ns0:c>
      <ns0:c xmlns:ns0="http://schemas.openxmlformats.org/spreadsheetml/2006/main" r="AG7" s="11">
        <ns0:v>100</ns0:v>
      </ns0:c>
      <ns0:c xmlns:ns0="http://schemas.openxmlformats.org/spreadsheetml/2006/main" r="AH7" s="11">
        <ns0:v>60</ns0:v>
      </ns0:c>
      <ns0:c xmlns:ns0="http://schemas.openxmlformats.org/spreadsheetml/2006/main" r="AI7" s="11">
        <ns0:v>12057.1926584769</ns0:v>
      </ns0:c>
      <ns0:c xmlns:ns0="http://schemas.openxmlformats.org/spreadsheetml/2006/main" r="AJ7" s="11" t="inlineStr">
        <ns0:is>
          <ns0:t>MY_LIB_C_RC</ns0:t>
        </ns0:is>
      </ns0:c>
      <ns0:c xmlns:ns0="http://schemas.openxmlformats.org/spreadsheetml/2006/main" r="AK7" s="11" t="inlineStr">
        <ns0:is>
          <ns0:t>Nominal C; DFmax at 1kHz; minimum insulation; no temperature/bias/ESL</ns0:t>
        </ns0:is>
      </ns0:c>
      <ns0:c xmlns:ns0="http://schemas.openxmlformats.org/spreadsheetml/2006/main" r="AL7" s="11" t="inlineStr">
        <ns0:is>
          <ns0:t>General</ns0:t>
        </ns0:is>
      </ns0:c>
      <ns0:c xmlns:ns0="http://schemas.openxmlformats.org/spreadsheetml/2006/main" r="AM7" s="11" t="inlineStr">
        <ns0:is>
          <ns0:t>Spice Subcircuit</ns0:t>
        </ns0:is>
      </ns0:c>
      <ns0:c xmlns:ns0="http://schemas.openxmlformats.org/spreadsheetml/2006/main" r="AN7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7" s="11" t="inlineStr">
        <ns0:is>
          <ns0:t>X</ns0:t>
        </ns0:is>
      </ns0:c>
      <ns0:c xmlns:ns0="http://schemas.openxmlformats.org/spreadsheetml/2006/main" r="AP7" s="11" t="inlineStr">
        <ns0:is>
          <ns0:t>(1:1),(2:2)</ns0:t>
        </ns0:is>
      </ns0:c>
      <ns0:c xmlns:ns0="http://schemas.openxmlformats.org/spreadsheetml/2006/main" r="AQ7" s="11" t="inlineStr">
        <ns0:is>
          <ns0:t>Simulation\Capacitors\MY_LIB_C_RC.ckt</ns0:t>
        </ns0:is>
      </ns0:c>
    </ns0:row>
    <ns0:row r="8" ht="30" customHeight="1">
      <ns0:c r="A8" t="str" s="14">
        <ns0:v>C0009</ns0:v>
      </ns0:c>
      <ns0:c r="B8" t="str" s="14">
        <ns0:v>Конденсатор</ns0:v>
      </ns0:c>
      <ns0:c r="C8" t="str" s="14">
        <ns0:v>390p</ns0:v>
      </ns0:c>
      <ns0:c r="D8" t="str" s="11">
        <ns0:f>SUBSTITUTE(SUBSTITUTE(SUBSTITUTE(SUBSTITUTE(C8,"p"," пФ"),"n"," нФ"),"u"," мкФ"),".",",")</ns0:f>
        <ns0:v>390 пФ</ns0:v>
      </ns0:c>
      <ns0:c r="E8" t="str" s="14">
        <ns0:v>±5%</ns0:v>
      </ns0:c>
      <ns0:c r="F8" s="14"/>
      <ns0:c r="G8" t="str" s="14">
        <ns0:v>50 В</ns0:v>
      </ns0:c>
      <ns0:c r="H8" t="str" s="14">
        <ns0:v>X7R</ns0:v>
      </ns0:c>
      <ns0:c r="I8" t="str" s="15">
        <ns0:v>0805</ns0:v>
      </ns0:c>
      <ns0:c r="J8" t="str" s="14">
        <ns0:v>YAGEO</ns0:v>
      </ns0:c>
      <ns0:c r="K8" t="str" s="14">
        <ns0:v>CC0805JRX7R9BB391</ns0:v>
      </ns0:c>
      <ns0:c r="L8" t="str" s="11">
        <ns0:f>B8&amp;" "&amp;D8&amp;" "&amp;E8&amp;" "&amp;G8&amp;" "&amp;H8&amp;" "&amp;I8</ns0:f>
        <ns0:v>Конденсатор 390 пФ ±5% 50 В X7R 0805</ns0:v>
      </ns0:c>
      <ns0:c r="M8" t="str" s="13">
        <ns0:v>C</ns0:v>
      </ns0:c>
      <ns0:c r="N8" t="str" s="13">
        <ns0:v>Symbols\MY_LIB_Capacitors.SchLib</ns0:v>
      </ns0:c>
      <ns0:c r="O8" t="str" s="13">
        <ns0:v>CAPC2012X135N</ns0:v>
      </ns0:c>
      <ns0:c r="P8" t="str" s="13">
        <ns0:v>Footprints\PBL - SMD Packages.PcbLib</ns0:v>
      </ns0:c>
      <ns0:c r="Q8" t="str" s="14">
        <ns0:v>YAGEO CC; список 20.10.2026</ns0:v>
      </ns0:c>
      <ns0:c r="R8" t="str" s="11">
        <ns0:f>D8</ns0:f>
        <ns0:v>390 пФ</ns0:v>
      </ns0:c>
      <ns0:c r="S8" t="str" s="11">
        <ns0:f>L8</ns0:f>
        <ns0:v>Конденсатор 390 пФ ±5% 50 В X7R 0805</ns0:v>
      </ns0:c>
      <x:c xmlns:x="http://schemas.openxmlformats.org/spreadsheetml/2006/main" r="T8" t="str" s="11">
        <x:v>C:\Users\Nomatin\Documents\Altium\MY_LIB\MY_LIB\Datasheets\YAGEO_CC_X7R.pdf</x:v>
      </x:c>
      <x:c xmlns:x="http://schemas.openxmlformats.org/spreadsheetml/2006/main" r="U8" t="str" s="11">
        <x:v>Даташит — локальный</x:v>
      </x:c>
      <x:c xmlns:x="http://schemas.openxmlformats.org/spreadsheetml/2006/main" r="V8" t="str" s="11">
        <x:v>C:\Users\Nomatin\Documents\Altium\MY_LIB\MY_LIB\Datasheets\YAGEO_CC_X7R.pdf</x:v>
      </x:c>
      <x:c xmlns:x="http://schemas.openxmlformats.org/spreadsheetml/2006/main" r="W8" t="str" s="11">
        <x:v>Даташит — производитель</x:v>
      </x:c>
      <x:c xmlns:x="http://schemas.openxmlformats.org/spreadsheetml/2006/main" r="X8" t="str" s="11">
        <x:v>https://yageogroup.com/content/datasheet/asset/file/UPY-GPHC_X7R_6_3V-TO-250V</x:v>
      </x:c>
      <x:c xmlns:x="http://schemas.openxmlformats.org/spreadsheetml/2006/main" r="Y8" t="str" s="11">
        <x:v>C:\Users\Nomatin\Documents\Altium\MY_LIB\MY_LIB\Datasheets\YAGEO_CC_X7R.pdf</x:v>
      </x:c>
      <ns0:c xmlns:ns0="http://schemas.openxmlformats.org/spreadsheetml/2006/main" r="Z8" s="11">
        <ns0:v>3.9e-10</ns0:v>
      </ns0:c>
      <ns0:c xmlns:ns0="http://schemas.openxmlformats.org/spreadsheetml/2006/main" r="AA8" s="11">
        <ns0:v>0.025</ns0:v>
      </ns0:c>
      <ns0:c xmlns:ns0="http://schemas.openxmlformats.org/spreadsheetml/2006/main" r="AB8" s="11">
        <ns0:v>1000</ns0:v>
      </ns0:c>
      <ns0:c xmlns:ns0="http://schemas.openxmlformats.org/spreadsheetml/2006/main" r="AC8" s="11">
        <ns0:v>1</ns0:v>
      </ns0:c>
      <ns0:c xmlns:ns0="http://schemas.openxmlformats.org/spreadsheetml/2006/main" r="AD8" s="11">
        <ns0:v>20</ns0:v>
      </ns0:c>
      <ns0:c xmlns:ns0="http://schemas.openxmlformats.org/spreadsheetml/2006/main" r="AE8" s="11">
        <ns0:v>500</ns0:v>
      </ns0:c>
      <ns0:c xmlns:ns0="http://schemas.openxmlformats.org/spreadsheetml/2006/main" r="AF8" s="11">
        <ns0:v>10000000000</ns0:v>
      </ns0:c>
      <ns0:c xmlns:ns0="http://schemas.openxmlformats.org/spreadsheetml/2006/main" r="AG8" s="11">
        <ns0:v>50</ns0:v>
      </ns0:c>
      <ns0:c xmlns:ns0="http://schemas.openxmlformats.org/spreadsheetml/2006/main" r="AH8" s="11">
        <ns0:v>60</ns0:v>
      </ns0:c>
      <ns0:c xmlns:ns0="http://schemas.openxmlformats.org/spreadsheetml/2006/main" r="AI8" s="11">
        <ns0:v>10202.2399417882</ns0:v>
      </ns0:c>
      <ns0:c xmlns:ns0="http://schemas.openxmlformats.org/spreadsheetml/2006/main" r="AJ8" s="11" t="inlineStr">
        <ns0:is>
          <ns0:t>MY_LIB_C_RC</ns0:t>
        </ns0:is>
      </ns0:c>
      <ns0:c xmlns:ns0="http://schemas.openxmlformats.org/spreadsheetml/2006/main" r="AK8" s="11" t="inlineStr">
        <ns0:is>
          <ns0:t>Nominal C; DFmax at 1kHz; minimum insulation; no temperature/bias/ESL</ns0:t>
        </ns0:is>
      </ns0:c>
      <ns0:c xmlns:ns0="http://schemas.openxmlformats.org/spreadsheetml/2006/main" r="AL8" s="11" t="inlineStr">
        <ns0:is>
          <ns0:t>General</ns0:t>
        </ns0:is>
      </ns0:c>
      <ns0:c xmlns:ns0="http://schemas.openxmlformats.org/spreadsheetml/2006/main" r="AM8" s="11" t="inlineStr">
        <ns0:is>
          <ns0:t>Spice Subcircuit</ns0:t>
        </ns0:is>
      </ns0:c>
      <ns0:c xmlns:ns0="http://schemas.openxmlformats.org/spreadsheetml/2006/main" r="AN8" s="11" t="inlineStr">
        <ns0:is>
          <ns0:t>@DESIGNATOR %1 %2 @MODEL PARAMS: Cvalue=3.9e-10 Rsvalue=10202.2399417882 Rinsvalue=10000000000</ns0:t>
        </ns0:is>
      </ns0:c>
      <ns0:c xmlns:ns0="http://schemas.openxmlformats.org/spreadsheetml/2006/main" r="AO8" s="11" t="inlineStr">
        <ns0:is>
          <ns0:t>X</ns0:t>
        </ns0:is>
      </ns0:c>
      <ns0:c xmlns:ns0="http://schemas.openxmlformats.org/spreadsheetml/2006/main" r="AP8" s="11" t="inlineStr">
        <ns0:is>
          <ns0:t>(1:1),(2:2)</ns0:t>
        </ns0:is>
      </ns0:c>
      <ns0:c xmlns:ns0="http://schemas.openxmlformats.org/spreadsheetml/2006/main" r="AQ8" s="11" t="inlineStr">
        <ns0:is>
          <ns0:t>Simulation\Capacitors\MY_LIB_C_RC.ckt</ns0:t>
        </ns0:is>
      </ns0:c>
    </ns0:row>
    <ns0:row r="9" ht="30" customHeight="1">
      <ns0:c r="A9" t="str" s="14">
        <ns0:v>C0010</ns0:v>
      </ns0:c>
      <ns0:c r="B9" t="str" s="14">
        <ns0:v>Конденсатор</ns0:v>
      </ns0:c>
      <ns0:c r="C9" t="str" s="14">
        <ns0:v>470p</ns0:v>
      </ns0:c>
      <ns0:c r="D9" t="str" s="11">
        <ns0:f>SUBSTITUTE(SUBSTITUTE(SUBSTITUTE(SUBSTITUTE(C9,"p"," пФ"),"n"," нФ"),"u"," мкФ"),".",",")</ns0:f>
        <ns0:v>470 пФ</ns0:v>
      </ns0:c>
      <ns0:c r="E9" t="str" s="14">
        <ns0:v>±5%</ns0:v>
      </ns0:c>
      <ns0:c r="F9" s="14"/>
      <ns0:c r="G9" t="str" s="14">
        <ns0:v>100 В</ns0:v>
      </ns0:c>
      <ns0:c r="H9" t="str" s="14">
        <ns0:v>X7R</ns0:v>
      </ns0:c>
      <ns0:c r="I9" t="str" s="15">
        <ns0:v>0805</ns0:v>
      </ns0:c>
      <ns0:c r="J9" t="str" s="14">
        <ns0:v>YAGEO</ns0:v>
      </ns0:c>
      <ns0:c r="K9" t="str" s="14">
        <ns0:v>CC0805JRX7R0BB471</ns0:v>
      </ns0:c>
      <ns0:c r="L9" t="str" s="11">
        <ns0:f>B9&amp;" "&amp;D9&amp;" "&amp;E9&amp;" "&amp;G9&amp;" "&amp;H9&amp;" "&amp;I9</ns0:f>
        <ns0:v>Конденсатор 470 пФ ±5% 100 В X7R 0805</ns0:v>
      </ns0:c>
      <ns0:c r="M9" t="str" s="13">
        <ns0:v>C</ns0:v>
      </ns0:c>
      <ns0:c r="N9" t="str" s="13">
        <ns0:v>Symbols\MY_LIB_Capacitors.SchLib</ns0:v>
      </ns0:c>
      <ns0:c r="O9" t="str" s="13">
        <ns0:v>CAPC2012X135N</ns0:v>
      </ns0:c>
      <ns0:c r="P9" t="str" s="13">
        <ns0:v>Footprints\PBL - SMD Packages.PcbLib</ns0:v>
      </ns0:c>
      <ns0:c r="Q9" t="str" s="14">
        <ns0:v>YAGEO CC; список 20.10.2026</ns0:v>
      </ns0:c>
      <ns0:c r="R9" t="str" s="11">
        <ns0:f>D9</ns0:f>
        <ns0:v>470 пФ</ns0:v>
      </ns0:c>
      <ns0:c r="S9" t="str" s="11">
        <ns0:f>L9</ns0:f>
        <ns0:v>Конденсатор 470 пФ ±5% 100 В X7R 0805</ns0:v>
      </ns0:c>
      <x:c xmlns:x="http://schemas.openxmlformats.org/spreadsheetml/2006/main" r="T9" t="str" s="11">
        <x:v>C:\Users\Nomatin\Documents\Altium\MY_LIB\MY_LIB\Datasheets\YAGEO_CC_X7R.pdf</x:v>
      </x:c>
      <x:c xmlns:x="http://schemas.openxmlformats.org/spreadsheetml/2006/main" r="U9" t="str" s="11">
        <x:v>Даташит — локальный</x:v>
      </x:c>
      <x:c xmlns:x="http://schemas.openxmlformats.org/spreadsheetml/2006/main" r="V9" t="str" s="11">
        <x:v>C:\Users\Nomatin\Documents\Altium\MY_LIB\MY_LIB\Datasheets\YAGEO_CC_X7R.pdf</x:v>
      </x:c>
      <x:c xmlns:x="http://schemas.openxmlformats.org/spreadsheetml/2006/main" r="W9" t="str" s="11">
        <x:v>Даташит — производитель</x:v>
      </x:c>
      <x:c xmlns:x="http://schemas.openxmlformats.org/spreadsheetml/2006/main" r="X9" t="str" s="11">
        <x:v>https://yageogroup.com/content/datasheet/asset/file/UPY-GPHC_X7R_6_3V-TO-250V</x:v>
      </x:c>
      <x:c xmlns:x="http://schemas.openxmlformats.org/spreadsheetml/2006/main" r="Y9" t="str" s="11">
        <x:v>C:\Users\Nomatin\Documents\Altium\MY_LIB\MY_LIB\Datasheets\YAGEO_CC_X7R.pdf</x:v>
      </x:c>
      <ns0:c xmlns:ns0="http://schemas.openxmlformats.org/spreadsheetml/2006/main" r="Z9" s="11">
        <ns0:v>4.7e-10</ns0:v>
      </ns0:c>
      <ns0:c xmlns:ns0="http://schemas.openxmlformats.org/spreadsheetml/2006/main" r="AA9" s="11">
        <ns0:v>0.025</ns0:v>
      </ns0:c>
      <ns0:c xmlns:ns0="http://schemas.openxmlformats.org/spreadsheetml/2006/main" r="AB9" s="11">
        <ns0:v>1000</ns0:v>
      </ns0:c>
      <ns0:c xmlns:ns0="http://schemas.openxmlformats.org/spreadsheetml/2006/main" r="AC9" s="11">
        <ns0:v>1</ns0:v>
      </ns0:c>
      <ns0:c xmlns:ns0="http://schemas.openxmlformats.org/spreadsheetml/2006/main" r="AD9" s="11">
        <ns0:v>20</ns0:v>
      </ns0:c>
      <ns0:c xmlns:ns0="http://schemas.openxmlformats.org/spreadsheetml/2006/main" r="AE9" s="11">
        <ns0:v>500</ns0:v>
      </ns0:c>
      <ns0:c xmlns:ns0="http://schemas.openxmlformats.org/spreadsheetml/2006/main" r="AF9" s="11">
        <ns0:v>10000000000</ns0:v>
      </ns0:c>
      <ns0:c xmlns:ns0="http://schemas.openxmlformats.org/spreadsheetml/2006/main" r="AG9" s="11">
        <ns0:v>100</ns0:v>
      </ns0:c>
      <ns0:c xmlns:ns0="http://schemas.openxmlformats.org/spreadsheetml/2006/main" r="AH9" s="11">
        <ns0:v>60</ns0:v>
      </ns0:c>
      <ns0:c xmlns:ns0="http://schemas.openxmlformats.org/spreadsheetml/2006/main" r="AI9" s="11">
        <ns0:v>8465.68846233486</ns0:v>
      </ns0:c>
      <ns0:c xmlns:ns0="http://schemas.openxmlformats.org/spreadsheetml/2006/main" r="AJ9" s="11" t="inlineStr">
        <ns0:is>
          <ns0:t>MY_LIB_C_RC</ns0:t>
        </ns0:is>
      </ns0:c>
      <ns0:c xmlns:ns0="http://schemas.openxmlformats.org/spreadsheetml/2006/main" r="AK9" s="11" t="inlineStr">
        <ns0:is>
          <ns0:t>Nominal C; DFmax at 1kHz; minimum insulation; no temperature/bias/ESL</ns0:t>
        </ns0:is>
      </ns0:c>
      <ns0:c xmlns:ns0="http://schemas.openxmlformats.org/spreadsheetml/2006/main" r="AL9" s="11" t="inlineStr">
        <ns0:is>
          <ns0:t>General</ns0:t>
        </ns0:is>
      </ns0:c>
      <ns0:c xmlns:ns0="http://schemas.openxmlformats.org/spreadsheetml/2006/main" r="AM9" s="11" t="inlineStr">
        <ns0:is>
          <ns0:t>Spice Subcircuit</ns0:t>
        </ns0:is>
      </ns0:c>
      <ns0:c xmlns:ns0="http://schemas.openxmlformats.org/spreadsheetml/2006/main" r="AN9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9" s="11" t="inlineStr">
        <ns0:is>
          <ns0:t>X</ns0:t>
        </ns0:is>
      </ns0:c>
      <ns0:c xmlns:ns0="http://schemas.openxmlformats.org/spreadsheetml/2006/main" r="AP9" s="11" t="inlineStr">
        <ns0:is>
          <ns0:t>(1:1),(2:2)</ns0:t>
        </ns0:is>
      </ns0:c>
      <ns0:c xmlns:ns0="http://schemas.openxmlformats.org/spreadsheetml/2006/main" r="AQ9" s="11" t="inlineStr">
        <ns0:is>
          <ns0:t>Simulation\Capacitors\MY_LIB_C_RC.ckt</ns0:t>
        </ns0:is>
      </ns0:c>
    </ns0:row>
    <ns0:row r="10" ht="30" customHeight="1">
      <ns0:c r="A10" t="str" s="14">
        <ns0:v>C0011</ns0:v>
      </ns0:c>
      <ns0:c r="B10" t="str" s="14">
        <ns0:v>Конденсатор</ns0:v>
      </ns0:c>
      <ns0:c r="C10" t="str" s="14">
        <ns0:v>560p</ns0:v>
      </ns0:c>
      <ns0:c r="D10" t="str" s="11">
        <ns0:f>SUBSTITUTE(SUBSTITUTE(SUBSTITUTE(SUBSTITUTE(C10,"p"," пФ"),"n"," нФ"),"u"," мкФ"),".",",")</ns0:f>
        <ns0:v>560 пФ</ns0:v>
      </ns0:c>
      <ns0:c r="E10" t="str" s="14">
        <ns0:v>±5%</ns0:v>
      </ns0:c>
      <ns0:c r="F10" s="14"/>
      <ns0:c r="G10" t="str" s="14">
        <ns0:v>100 В</ns0:v>
      </ns0:c>
      <ns0:c r="H10" t="str" s="14">
        <ns0:v>X7R</ns0:v>
      </ns0:c>
      <ns0:c r="I10" t="str" s="15">
        <ns0:v>0805</ns0:v>
      </ns0:c>
      <ns0:c r="J10" t="str" s="14">
        <ns0:v>YAGEO</ns0:v>
      </ns0:c>
      <ns0:c r="K10" t="str" s="14">
        <ns0:v>CC0805JRX7R0BB561</ns0:v>
      </ns0:c>
      <ns0:c r="L10" t="str" s="11">
        <ns0:f>B10&amp;" "&amp;D10&amp;" "&amp;E10&amp;" "&amp;G10&amp;" "&amp;H10&amp;" "&amp;I10</ns0:f>
        <ns0:v>Конденсатор 560 пФ ±5% 100 В X7R 0805</ns0:v>
      </ns0:c>
      <ns0:c r="M10" t="str" s="13">
        <ns0:v>C</ns0:v>
      </ns0:c>
      <ns0:c r="N10" t="str" s="13">
        <ns0:v>Symbols\MY_LIB_Capacitors.SchLib</ns0:v>
      </ns0:c>
      <ns0:c r="O10" t="str" s="13">
        <ns0:v>CAPC2012X135N</ns0:v>
      </ns0:c>
      <ns0:c r="P10" t="str" s="13">
        <ns0:v>Footprints\PBL - SMD Packages.PcbLib</ns0:v>
      </ns0:c>
      <ns0:c r="Q10" t="str" s="14">
        <ns0:v>YAGEO CC; список 20.10.2026</ns0:v>
      </ns0:c>
      <ns0:c r="R10" t="str" s="11">
        <ns0:f>D10</ns0:f>
        <ns0:v>560 пФ</ns0:v>
      </ns0:c>
      <ns0:c r="S10" t="str" s="11">
        <ns0:f>L10</ns0:f>
        <ns0:v>Конденсатор 560 пФ ±5% 100 В X7R 0805</ns0:v>
      </ns0:c>
      <x:c xmlns:x="http://schemas.openxmlformats.org/spreadsheetml/2006/main" r="T10" t="str" s="11">
        <x:v>C:\Users\Nomatin\Documents\Altium\MY_LIB\MY_LIB\Datasheets\YAGEO_CC_X7R.pdf</x:v>
      </x:c>
      <x:c xmlns:x="http://schemas.openxmlformats.org/spreadsheetml/2006/main" r="U10" t="str" s="11">
        <x:v>Даташит — локальный</x:v>
      </x:c>
      <x:c xmlns:x="http://schemas.openxmlformats.org/spreadsheetml/2006/main" r="V10" t="str" s="11">
        <x:v>C:\Users\Nomatin\Documents\Altium\MY_LIB\MY_LIB\Datasheets\YAGEO_CC_X7R.pdf</x:v>
      </x:c>
      <x:c xmlns:x="http://schemas.openxmlformats.org/spreadsheetml/2006/main" r="W10" t="str" s="11">
        <x:v>Даташит — производитель</x:v>
      </x:c>
      <x:c xmlns:x="http://schemas.openxmlformats.org/spreadsheetml/2006/main" r="X10" t="str" s="11">
        <x:v>https://yageogroup.com/content/datasheet/asset/file/UPY-GPHC_X7R_6_3V-TO-250V</x:v>
      </x:c>
      <x:c xmlns:x="http://schemas.openxmlformats.org/spreadsheetml/2006/main" r="Y10" t="str" s="11">
        <x:v>C:\Users\Nomatin\Documents\Altium\MY_LIB\MY_LIB\Datasheets\YAGEO_CC_X7R.pdf</x:v>
      </x:c>
      <ns0:c xmlns:ns0="http://schemas.openxmlformats.org/spreadsheetml/2006/main" r="Z10" s="11">
        <ns0:v>5.6e-10</ns0:v>
      </ns0:c>
      <ns0:c xmlns:ns0="http://schemas.openxmlformats.org/spreadsheetml/2006/main" r="AA10" s="11">
        <ns0:v>0.025</ns0:v>
      </ns0:c>
      <ns0:c xmlns:ns0="http://schemas.openxmlformats.org/spreadsheetml/2006/main" r="AB10" s="11">
        <ns0:v>1000</ns0:v>
      </ns0:c>
      <ns0:c xmlns:ns0="http://schemas.openxmlformats.org/spreadsheetml/2006/main" r="AC10" s="11">
        <ns0:v>1</ns0:v>
      </ns0:c>
      <ns0:c xmlns:ns0="http://schemas.openxmlformats.org/spreadsheetml/2006/main" r="AD10" s="11">
        <ns0:v>20</ns0:v>
      </ns0:c>
      <ns0:c xmlns:ns0="http://schemas.openxmlformats.org/spreadsheetml/2006/main" r="AE10" s="11">
        <ns0:v>500</ns0:v>
      </ns0:c>
      <ns0:c xmlns:ns0="http://schemas.openxmlformats.org/spreadsheetml/2006/main" r="AF10" s="11">
        <ns0:v>10000000000</ns0:v>
      </ns0:c>
      <ns0:c xmlns:ns0="http://schemas.openxmlformats.org/spreadsheetml/2006/main" r="AG10" s="11">
        <ns0:v>100</ns0:v>
      </ns0:c>
      <ns0:c xmlns:ns0="http://schemas.openxmlformats.org/spreadsheetml/2006/main" r="AH10" s="11">
        <ns0:v>60</ns0:v>
      </ns0:c>
      <ns0:c xmlns:ns0="http://schemas.openxmlformats.org/spreadsheetml/2006/main" r="AI10" s="11">
        <ns0:v>7105.13138803104</ns0:v>
      </ns0:c>
      <ns0:c xmlns:ns0="http://schemas.openxmlformats.org/spreadsheetml/2006/main" r="AJ10" s="11" t="inlineStr">
        <ns0:is>
          <ns0:t>MY_LIB_C_RC</ns0:t>
        </ns0:is>
      </ns0:c>
      <ns0:c xmlns:ns0="http://schemas.openxmlformats.org/spreadsheetml/2006/main" r="AK10" s="11" t="inlineStr">
        <ns0:is>
          <ns0:t>Nominal C; DFmax at 1kHz; minimum insulation; no temperature/bias/ESL</ns0:t>
        </ns0:is>
      </ns0:c>
      <ns0:c xmlns:ns0="http://schemas.openxmlformats.org/spreadsheetml/2006/main" r="AL10" s="11" t="inlineStr">
        <ns0:is>
          <ns0:t>General</ns0:t>
        </ns0:is>
      </ns0:c>
      <ns0:c xmlns:ns0="http://schemas.openxmlformats.org/spreadsheetml/2006/main" r="AM10" s="11" t="inlineStr">
        <ns0:is>
          <ns0:t>Spice Subcircuit</ns0:t>
        </ns0:is>
      </ns0:c>
      <ns0:c xmlns:ns0="http://schemas.openxmlformats.org/spreadsheetml/2006/main" r="AN10" s="11" t="inlineStr">
        <ns0:is>
          <ns0:t>@DESIGNATOR %1 %2 @MODEL PARAMS: Cvalue=5.6e-10 Rsvalue=7105.13138803104 Rinsvalue=10000000000</ns0:t>
        </ns0:is>
      </ns0:c>
      <ns0:c xmlns:ns0="http://schemas.openxmlformats.org/spreadsheetml/2006/main" r="AO10" s="11" t="inlineStr">
        <ns0:is>
          <ns0:t>X</ns0:t>
        </ns0:is>
      </ns0:c>
      <ns0:c xmlns:ns0="http://schemas.openxmlformats.org/spreadsheetml/2006/main" r="AP10" s="11" t="inlineStr">
        <ns0:is>
          <ns0:t>(1:1),(2:2)</ns0:t>
        </ns0:is>
      </ns0:c>
      <ns0:c xmlns:ns0="http://schemas.openxmlformats.org/spreadsheetml/2006/main" r="AQ10" s="11" t="inlineStr">
        <ns0:is>
          <ns0:t>Simulation\Capacitors\MY_LIB_C_RC.ckt</ns0:t>
        </ns0:is>
      </ns0:c>
    </ns0:row>
    <ns0:row r="11" ht="30" customHeight="1">
      <ns0:c r="A11" t="str" s="14">
        <ns0:v>C0012</ns0:v>
      </ns0:c>
      <ns0:c r="B11" t="str" s="14">
        <ns0:v>Конденсатор</ns0:v>
      </ns0:c>
      <ns0:c r="C11" t="str" s="14">
        <ns0:v>680p</ns0:v>
      </ns0:c>
      <ns0:c r="D11" t="str" s="11">
        <ns0:f>SUBSTITUTE(SUBSTITUTE(SUBSTITUTE(SUBSTITUTE(C11,"p"," пФ"),"n"," нФ"),"u"," мкФ"),".",",")</ns0:f>
        <ns0:v>680 пФ</ns0:v>
      </ns0:c>
      <ns0:c r="E11" t="str" s="14">
        <ns0:v>±5%</ns0:v>
      </ns0:c>
      <ns0:c r="F11" s="14"/>
      <ns0:c r="G11" t="str" s="14">
        <ns0:v>100 В</ns0:v>
      </ns0:c>
      <ns0:c r="H11" t="str" s="14">
        <ns0:v>X7R</ns0:v>
      </ns0:c>
      <ns0:c r="I11" t="str" s="15">
        <ns0:v>0805</ns0:v>
      </ns0:c>
      <ns0:c r="J11" t="str" s="14">
        <ns0:v>YAGEO</ns0:v>
      </ns0:c>
      <ns0:c r="K11" t="str" s="14">
        <ns0:v>CC0805JRX7R0BB681</ns0:v>
      </ns0:c>
      <ns0:c r="L11" t="str" s="11">
        <ns0:f>B11&amp;" "&amp;D11&amp;" "&amp;E11&amp;" "&amp;G11&amp;" "&amp;H11&amp;" "&amp;I11</ns0:f>
        <ns0:v>Конденсатор 680 пФ ±5% 100 В X7R 0805</ns0:v>
      </ns0:c>
      <ns0:c r="M11" t="str" s="13">
        <ns0:v>C</ns0:v>
      </ns0:c>
      <ns0:c r="N11" t="str" s="13">
        <ns0:v>Symbols\MY_LIB_Capacitors.SchLib</ns0:v>
      </ns0:c>
      <ns0:c r="O11" t="str" s="13">
        <ns0:v>CAPC2012X135N</ns0:v>
      </ns0:c>
      <ns0:c r="P11" t="str" s="13">
        <ns0:v>Footprints\PBL - SMD Packages.PcbLib</ns0:v>
      </ns0:c>
      <ns0:c r="Q11" t="str" s="14">
        <ns0:v>YAGEO CC; список 20.10.2026</ns0:v>
      </ns0:c>
      <ns0:c r="R11" t="str" s="11">
        <ns0:f>D11</ns0:f>
        <ns0:v>680 пФ</ns0:v>
      </ns0:c>
      <ns0:c r="S11" t="str" s="11">
        <ns0:f>L11</ns0:f>
        <ns0:v>Конденсатор 680 пФ ±5% 100 В X7R 0805</ns0:v>
      </ns0:c>
      <x:c xmlns:x="http://schemas.openxmlformats.org/spreadsheetml/2006/main" r="T11" t="str" s="11">
        <x:v>C:\Users\Nomatin\Documents\Altium\MY_LIB\MY_LIB\Datasheets\YAGEO_CC_X7R.pdf</x:v>
      </x:c>
      <x:c xmlns:x="http://schemas.openxmlformats.org/spreadsheetml/2006/main" r="U11" t="str" s="11">
        <x:v>Даташит — локальный</x:v>
      </x:c>
      <x:c xmlns:x="http://schemas.openxmlformats.org/spreadsheetml/2006/main" r="V11" t="str" s="11">
        <x:v>C:\Users\Nomatin\Documents\Altium\MY_LIB\MY_LIB\Datasheets\YAGEO_CC_X7R.pdf</x:v>
      </x:c>
      <x:c xmlns:x="http://schemas.openxmlformats.org/spreadsheetml/2006/main" r="W11" t="str" s="11">
        <x:v>Даташит — производитель</x:v>
      </x:c>
      <x:c xmlns:x="http://schemas.openxmlformats.org/spreadsheetml/2006/main" r="X11" t="str" s="11">
        <x:v>https://yageogroup.com/content/datasheet/asset/file/UPY-GPHC_X7R_6_3V-TO-250V</x:v>
      </x:c>
      <x:c xmlns:x="http://schemas.openxmlformats.org/spreadsheetml/2006/main" r="Y11" t="str" s="11">
        <x:v>C:\Users\Nomatin\Documents\Altium\MY_LIB\MY_LIB\Datasheets\YAGEO_CC_X7R.pdf</x:v>
      </x:c>
      <ns0:c xmlns:ns0="http://schemas.openxmlformats.org/spreadsheetml/2006/main" r="Z11" s="11">
        <ns0:v>6.8e-10</ns0:v>
      </ns0:c>
      <ns0:c xmlns:ns0="http://schemas.openxmlformats.org/spreadsheetml/2006/main" r="AA11" s="11">
        <ns0:v>0.025</ns0:v>
      </ns0:c>
      <ns0:c xmlns:ns0="http://schemas.openxmlformats.org/spreadsheetml/2006/main" r="AB11" s="11">
        <ns0:v>1000</ns0:v>
      </ns0:c>
      <ns0:c xmlns:ns0="http://schemas.openxmlformats.org/spreadsheetml/2006/main" r="AC11" s="11">
        <ns0:v>1</ns0:v>
      </ns0:c>
      <ns0:c xmlns:ns0="http://schemas.openxmlformats.org/spreadsheetml/2006/main" r="AD11" s="11">
        <ns0:v>20</ns0:v>
      </ns0:c>
      <ns0:c xmlns:ns0="http://schemas.openxmlformats.org/spreadsheetml/2006/main" r="AE11" s="11">
        <ns0:v>500</ns0:v>
      </ns0:c>
      <ns0:c xmlns:ns0="http://schemas.openxmlformats.org/spreadsheetml/2006/main" r="AF11" s="11">
        <ns0:v>10000000000</ns0:v>
      </ns0:c>
      <ns0:c xmlns:ns0="http://schemas.openxmlformats.org/spreadsheetml/2006/main" r="AG11" s="11">
        <ns0:v>100</ns0:v>
      </ns0:c>
      <ns0:c xmlns:ns0="http://schemas.openxmlformats.org/spreadsheetml/2006/main" r="AH11" s="11">
        <ns0:v>60</ns0:v>
      </ns0:c>
      <ns0:c xmlns:ns0="http://schemas.openxmlformats.org/spreadsheetml/2006/main" r="AI11" s="11">
        <ns0:v>5851.28467249615</ns0:v>
      </ns0:c>
      <ns0:c xmlns:ns0="http://schemas.openxmlformats.org/spreadsheetml/2006/main" r="AJ11" s="11" t="inlineStr">
        <ns0:is>
          <ns0:t>MY_LIB_C_RC</ns0:t>
        </ns0:is>
      </ns0:c>
      <ns0:c xmlns:ns0="http://schemas.openxmlformats.org/spreadsheetml/2006/main" r="AK11" s="11" t="inlineStr">
        <ns0:is>
          <ns0:t>Nominal C; DFmax at 1kHz; minimum insulation; no temperature/bias/ESL</ns0:t>
        </ns0:is>
      </ns0:c>
      <ns0:c xmlns:ns0="http://schemas.openxmlformats.org/spreadsheetml/2006/main" r="AL11" s="11" t="inlineStr">
        <ns0:is>
          <ns0:t>General</ns0:t>
        </ns0:is>
      </ns0:c>
      <ns0:c xmlns:ns0="http://schemas.openxmlformats.org/spreadsheetml/2006/main" r="AM11" s="11" t="inlineStr">
        <ns0:is>
          <ns0:t>Spice Subcircuit</ns0:t>
        </ns0:is>
      </ns0:c>
      <ns0:c xmlns:ns0="http://schemas.openxmlformats.org/spreadsheetml/2006/main" r="AN11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11" s="11" t="inlineStr">
        <ns0:is>
          <ns0:t>X</ns0:t>
        </ns0:is>
      </ns0:c>
      <ns0:c xmlns:ns0="http://schemas.openxmlformats.org/spreadsheetml/2006/main" r="AP11" s="11" t="inlineStr">
        <ns0:is>
          <ns0:t>(1:1),(2:2)</ns0:t>
        </ns0:is>
      </ns0:c>
      <ns0:c xmlns:ns0="http://schemas.openxmlformats.org/spreadsheetml/2006/main" r="AQ11" s="11" t="inlineStr">
        <ns0:is>
          <ns0:t>Simulation\Capacitors\MY_LIB_C_RC.ckt</ns0:t>
        </ns0:is>
      </ns0:c>
    </ns0:row>
    <ns0:row r="12" ht="30" customHeight="1">
      <ns0:c r="A12" t="str" s="14">
        <ns0:v>C0013</ns0:v>
      </ns0:c>
      <ns0:c r="B12" t="str" s="14">
        <ns0:v>Конденсатор</ns0:v>
      </ns0:c>
      <ns0:c r="C12" t="str" s="14">
        <ns0:v>820p</ns0:v>
      </ns0:c>
      <ns0:c r="D12" t="str" s="11">
        <ns0:f>SUBSTITUTE(SUBSTITUTE(SUBSTITUTE(SUBSTITUTE(C12,"p"," пФ"),"n"," нФ"),"u"," мкФ"),".",",")</ns0:f>
        <ns0:v>820 пФ</ns0:v>
      </ns0:c>
      <ns0:c r="E12" t="str" s="14">
        <ns0:v>±5%</ns0:v>
      </ns0:c>
      <ns0:c r="F12" s="14"/>
      <ns0:c r="G12" t="str" s="14">
        <ns0:v>50 В</ns0:v>
      </ns0:c>
      <ns0:c r="H12" t="str" s="14">
        <ns0:v>X7R</ns0:v>
      </ns0:c>
      <ns0:c r="I12" t="str" s="15">
        <ns0:v>0805</ns0:v>
      </ns0:c>
      <ns0:c r="J12" t="str" s="14">
        <ns0:v>YAGEO</ns0:v>
      </ns0:c>
      <ns0:c r="K12" t="str" s="14">
        <ns0:v>CC0805JRX7R9BB821</ns0:v>
      </ns0:c>
      <ns0:c r="L12" t="str" s="11">
        <ns0:f>B12&amp;" "&amp;D12&amp;" "&amp;E12&amp;" "&amp;G12&amp;" "&amp;H12&amp;" "&amp;I12</ns0:f>
        <ns0:v>Конденсатор 820 пФ ±5% 50 В X7R 0805</ns0:v>
      </ns0:c>
      <ns0:c r="M12" t="str" s="13">
        <ns0:v>C</ns0:v>
      </ns0:c>
      <ns0:c r="N12" t="str" s="13">
        <ns0:v>Symbols\MY_LIB_Capacitors.SchLib</ns0:v>
      </ns0:c>
      <ns0:c r="O12" t="str" s="13">
        <ns0:v>CAPC2012X135N</ns0:v>
      </ns0:c>
      <ns0:c r="P12" t="str" s="13">
        <ns0:v>Footprints\PBL - SMD Packages.PcbLib</ns0:v>
      </ns0:c>
      <ns0:c r="Q12" t="str" s="14">
        <ns0:v>YAGEO CC; список 20.10.2026</ns0:v>
      </ns0:c>
      <ns0:c r="R12" t="str" s="11">
        <ns0:f>D12</ns0:f>
        <ns0:v>820 пФ</ns0:v>
      </ns0:c>
      <ns0:c r="S12" t="str" s="11">
        <ns0:f>L12</ns0:f>
        <ns0:v>Конденсатор 820 пФ ±5% 50 В X7R 0805</ns0:v>
      </ns0:c>
      <x:c xmlns:x="http://schemas.openxmlformats.org/spreadsheetml/2006/main" r="T12" t="str" s="11">
        <x:v>C:\Users\Nomatin\Documents\Altium\MY_LIB\MY_LIB\Datasheets\YAGEO_CC_X7R.pdf</x:v>
      </x:c>
      <x:c xmlns:x="http://schemas.openxmlformats.org/spreadsheetml/2006/main" r="U12" t="str" s="11">
        <x:v>Даташит — локальный</x:v>
      </x:c>
      <x:c xmlns:x="http://schemas.openxmlformats.org/spreadsheetml/2006/main" r="V12" t="str" s="11">
        <x:v>C:\Users\Nomatin\Documents\Altium\MY_LIB\MY_LIB\Datasheets\YAGEO_CC_X7R.pdf</x:v>
      </x:c>
      <x:c xmlns:x="http://schemas.openxmlformats.org/spreadsheetml/2006/main" r="W12" t="str" s="11">
        <x:v>Даташит — производитель</x:v>
      </x:c>
      <x:c xmlns:x="http://schemas.openxmlformats.org/spreadsheetml/2006/main" r="X12" t="str" s="11">
        <x:v>https://yageogroup.com/content/datasheet/asset/file/UPY-GPHC_X7R_6_3V-TO-250V</x:v>
      </x:c>
      <x:c xmlns:x="http://schemas.openxmlformats.org/spreadsheetml/2006/main" r="Y12" t="str" s="11">
        <x:v>C:\Users\Nomatin\Documents\Altium\MY_LIB\MY_LIB\Datasheets\YAGEO_CC_X7R.pdf</x:v>
      </x:c>
      <ns0:c xmlns:ns0="http://schemas.openxmlformats.org/spreadsheetml/2006/main" r="Z12" s="11">
        <ns0:v>8.2e-10</ns0:v>
      </ns0:c>
      <ns0:c xmlns:ns0="http://schemas.openxmlformats.org/spreadsheetml/2006/main" r="AA12" s="11">
        <ns0:v>0.025</ns0:v>
      </ns0:c>
      <ns0:c xmlns:ns0="http://schemas.openxmlformats.org/spreadsheetml/2006/main" r="AB12" s="11">
        <ns0:v>1000</ns0:v>
      </ns0:c>
      <ns0:c xmlns:ns0="http://schemas.openxmlformats.org/spreadsheetml/2006/main" r="AC12" s="11">
        <ns0:v>1</ns0:v>
      </ns0:c>
      <ns0:c xmlns:ns0="http://schemas.openxmlformats.org/spreadsheetml/2006/main" r="AD12" s="11">
        <ns0:v>20</ns0:v>
      </ns0:c>
      <ns0:c xmlns:ns0="http://schemas.openxmlformats.org/spreadsheetml/2006/main" r="AE12" s="11">
        <ns0:v>500</ns0:v>
      </ns0:c>
      <ns0:c xmlns:ns0="http://schemas.openxmlformats.org/spreadsheetml/2006/main" r="AF12" s="11">
        <ns0:v>10000000000</ns0:v>
      </ns0:c>
      <ns0:c xmlns:ns0="http://schemas.openxmlformats.org/spreadsheetml/2006/main" r="AG12" s="11">
        <ns0:v>50</ns0:v>
      </ns0:c>
      <ns0:c xmlns:ns0="http://schemas.openxmlformats.org/spreadsheetml/2006/main" r="AH12" s="11">
        <ns0:v>60</ns0:v>
      </ns0:c>
      <ns0:c xmlns:ns0="http://schemas.openxmlformats.org/spreadsheetml/2006/main" r="AI12" s="11">
        <ns0:v>4852.28485036266</ns0:v>
      </ns0:c>
      <ns0:c xmlns:ns0="http://schemas.openxmlformats.org/spreadsheetml/2006/main" r="AJ12" s="11" t="inlineStr">
        <ns0:is>
          <ns0:t>MY_LIB_C_RC</ns0:t>
        </ns0:is>
      </ns0:c>
      <ns0:c xmlns:ns0="http://schemas.openxmlformats.org/spreadsheetml/2006/main" r="AK12" s="11" t="inlineStr">
        <ns0:is>
          <ns0:t>Nominal C; DFmax at 1kHz; minimum insulation; no temperature/bias/ESL</ns0:t>
        </ns0:is>
      </ns0:c>
      <ns0:c xmlns:ns0="http://schemas.openxmlformats.org/spreadsheetml/2006/main" r="AL12" s="11" t="inlineStr">
        <ns0:is>
          <ns0:t>General</ns0:t>
        </ns0:is>
      </ns0:c>
      <ns0:c xmlns:ns0="http://schemas.openxmlformats.org/spreadsheetml/2006/main" r="AM12" s="11" t="inlineStr">
        <ns0:is>
          <ns0:t>Spice Subcircuit</ns0:t>
        </ns0:is>
      </ns0:c>
      <ns0:c xmlns:ns0="http://schemas.openxmlformats.org/spreadsheetml/2006/main" r="AN12" s="11" t="inlineStr">
        <ns0:is>
          <ns0:t>@DESIGNATOR %1 %2 @MODEL PARAMS: Cvalue=8.2e-10 Rsvalue=4852.28485036266 Rinsvalue=10000000000</ns0:t>
        </ns0:is>
      </ns0:c>
      <ns0:c xmlns:ns0="http://schemas.openxmlformats.org/spreadsheetml/2006/main" r="AO12" s="11" t="inlineStr">
        <ns0:is>
          <ns0:t>X</ns0:t>
        </ns0:is>
      </ns0:c>
      <ns0:c xmlns:ns0="http://schemas.openxmlformats.org/spreadsheetml/2006/main" r="AP12" s="11" t="inlineStr">
        <ns0:is>
          <ns0:t>(1:1),(2:2)</ns0:t>
        </ns0:is>
      </ns0:c>
      <ns0:c xmlns:ns0="http://schemas.openxmlformats.org/spreadsheetml/2006/main" r="AQ12" s="11" t="inlineStr">
        <ns0:is>
          <ns0:t>Simulation\Capacitors\MY_LIB_C_RC.ckt</ns0:t>
        </ns0:is>
      </ns0:c>
    </ns0:row>
    <ns0:row r="13" ht="30" customHeight="1">
      <ns0:c r="A13" t="str" s="14">
        <ns0:v>C0014</ns0:v>
      </ns0:c>
      <ns0:c r="B13" t="str" s="14">
        <ns0:v>Конденсатор</ns0:v>
      </ns0:c>
      <ns0:c r="C13" t="str" s="14">
        <ns0:v>1n</ns0:v>
      </ns0:c>
      <ns0:c r="D13" t="str" s="11">
        <ns0:f>SUBSTITUTE(SUBSTITUTE(SUBSTITUTE(SUBSTITUTE(C13,"p"," пФ"),"n"," нФ"),"u"," мкФ"),".",",")</ns0:f>
        <ns0:v>1 нФ</ns0:v>
      </ns0:c>
      <ns0:c r="E13" t="str" s="14">
        <ns0:v>±5%</ns0:v>
      </ns0:c>
      <ns0:c r="F13" s="14"/>
      <ns0:c r="G13" t="str" s="14">
        <ns0:v>100 В</ns0:v>
      </ns0:c>
      <ns0:c r="H13" t="str" s="14">
        <ns0:v>X7R</ns0:v>
      </ns0:c>
      <ns0:c r="I13" t="str" s="15">
        <ns0:v>0805</ns0:v>
      </ns0:c>
      <ns0:c r="J13" t="str" s="14">
        <ns0:v>YAGEO</ns0:v>
      </ns0:c>
      <ns0:c r="K13" t="str" s="14">
        <ns0:v>CC0805JRX7R0BB102</ns0:v>
      </ns0:c>
      <ns0:c r="L13" t="str" s="11">
        <ns0:f>B13&amp;" "&amp;D13&amp;" "&amp;E13&amp;" "&amp;G13&amp;" "&amp;H13&amp;" "&amp;I13</ns0:f>
        <ns0:v>Конденсатор 1 нФ ±5% 100 В X7R 0805</ns0:v>
      </ns0:c>
      <ns0:c r="M13" t="str" s="13">
        <ns0:v>C</ns0:v>
      </ns0:c>
      <ns0:c r="N13" t="str" s="13">
        <ns0:v>Symbols\MY_LIB_Capacitors.SchLib</ns0:v>
      </ns0:c>
      <ns0:c r="O13" t="str" s="13">
        <ns0:v>CAPC2012X135N</ns0:v>
      </ns0:c>
      <ns0:c r="P13" t="str" s="13">
        <ns0:v>Footprints\PBL - SMD Packages.PcbLib</ns0:v>
      </ns0:c>
      <ns0:c r="Q13" t="str" s="14">
        <ns0:v>YAGEO CC; список 20.10.2026</ns0:v>
      </ns0:c>
      <ns0:c r="R13" t="str" s="11">
        <ns0:f>D13</ns0:f>
        <ns0:v>1 нФ</ns0:v>
      </ns0:c>
      <ns0:c r="S13" t="str" s="11">
        <ns0:f>L13</ns0:f>
        <ns0:v>Конденсатор 1 нФ ±5% 100 В X7R 0805</ns0:v>
      </ns0:c>
      <x:c xmlns:x="http://schemas.openxmlformats.org/spreadsheetml/2006/main" r="T13" t="str" s="11">
        <x:v>C:\Users\Nomatin\Documents\Altium\MY_LIB\MY_LIB\Datasheets\YAGEO_CC_X7R.pdf</x:v>
      </x:c>
      <x:c xmlns:x="http://schemas.openxmlformats.org/spreadsheetml/2006/main" r="U13" t="str" s="11">
        <x:v>Даташит — локальный</x:v>
      </x:c>
      <x:c xmlns:x="http://schemas.openxmlformats.org/spreadsheetml/2006/main" r="V13" t="str" s="11">
        <x:v>C:\Users\Nomatin\Documents\Altium\MY_LIB\MY_LIB\Datasheets\YAGEO_CC_X7R.pdf</x:v>
      </x:c>
      <x:c xmlns:x="http://schemas.openxmlformats.org/spreadsheetml/2006/main" r="W13" t="str" s="11">
        <x:v>Даташит — производитель</x:v>
      </x:c>
      <x:c xmlns:x="http://schemas.openxmlformats.org/spreadsheetml/2006/main" r="X13" t="str" s="11">
        <x:v>https://yageogroup.com/content/datasheet/asset/file/UPY-GPHC_X7R_6_3V-TO-250V</x:v>
      </x:c>
      <x:c xmlns:x="http://schemas.openxmlformats.org/spreadsheetml/2006/main" r="Y13" t="str" s="11">
        <x:v>C:\Users\Nomatin\Documents\Altium\MY_LIB\MY_LIB\Datasheets\YAGEO_CC_X7R.pdf</x:v>
      </x:c>
      <ns0:c xmlns:ns0="http://schemas.openxmlformats.org/spreadsheetml/2006/main" r="Z13" s="11">
        <ns0:v>1e-09</ns0:v>
      </ns0:c>
      <ns0:c xmlns:ns0="http://schemas.openxmlformats.org/spreadsheetml/2006/main" r="AA13" s="11">
        <ns0:v>0.025</ns0:v>
      </ns0:c>
      <ns0:c xmlns:ns0="http://schemas.openxmlformats.org/spreadsheetml/2006/main" r="AB13" s="11">
        <ns0:v>1000</ns0:v>
      </ns0:c>
      <ns0:c xmlns:ns0="http://schemas.openxmlformats.org/spreadsheetml/2006/main" r="AC13" s="11">
        <ns0:v>1</ns0:v>
      </ns0:c>
      <ns0:c xmlns:ns0="http://schemas.openxmlformats.org/spreadsheetml/2006/main" r="AD13" s="11">
        <ns0:v>20</ns0:v>
      </ns0:c>
      <ns0:c xmlns:ns0="http://schemas.openxmlformats.org/spreadsheetml/2006/main" r="AE13" s="11">
        <ns0:v>500</ns0:v>
      </ns0:c>
      <ns0:c xmlns:ns0="http://schemas.openxmlformats.org/spreadsheetml/2006/main" r="AF13" s="11">
        <ns0:v>10000000000</ns0:v>
      </ns0:c>
      <ns0:c xmlns:ns0="http://schemas.openxmlformats.org/spreadsheetml/2006/main" r="AG13" s="11">
        <ns0:v>100</ns0:v>
      </ns0:c>
      <ns0:c xmlns:ns0="http://schemas.openxmlformats.org/spreadsheetml/2006/main" r="AH13" s="11">
        <ns0:v>60</ns0:v>
      </ns0:c>
      <ns0:c xmlns:ns0="http://schemas.openxmlformats.org/spreadsheetml/2006/main" r="AI13" s="11">
        <ns0:v>3978.87357729738</ns0:v>
      </ns0:c>
      <ns0:c xmlns:ns0="http://schemas.openxmlformats.org/spreadsheetml/2006/main" r="AJ13" s="11" t="inlineStr">
        <ns0:is>
          <ns0:t>MY_LIB_C_RC</ns0:t>
        </ns0:is>
      </ns0:c>
      <ns0:c xmlns:ns0="http://schemas.openxmlformats.org/spreadsheetml/2006/main" r="AK13" s="11" t="inlineStr">
        <ns0:is>
          <ns0:t>Nominal C; DFmax at 1kHz; minimum insulation; no temperature/bias/ESL</ns0:t>
        </ns0:is>
      </ns0:c>
      <ns0:c xmlns:ns0="http://schemas.openxmlformats.org/spreadsheetml/2006/main" r="AL13" s="11" t="inlineStr">
        <ns0:is>
          <ns0:t>General</ns0:t>
        </ns0:is>
      </ns0:c>
      <ns0:c xmlns:ns0="http://schemas.openxmlformats.org/spreadsheetml/2006/main" r="AM13" s="11" t="inlineStr">
        <ns0:is>
          <ns0:t>Spice Subcircuit</ns0:t>
        </ns0:is>
      </ns0:c>
      <ns0:c xmlns:ns0="http://schemas.openxmlformats.org/spreadsheetml/2006/main" r="AN13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13" s="11" t="inlineStr">
        <ns0:is>
          <ns0:t>X</ns0:t>
        </ns0:is>
      </ns0:c>
      <ns0:c xmlns:ns0="http://schemas.openxmlformats.org/spreadsheetml/2006/main" r="AP13" s="11" t="inlineStr">
        <ns0:is>
          <ns0:t>(1:1),(2:2)</ns0:t>
        </ns0:is>
      </ns0:c>
      <ns0:c xmlns:ns0="http://schemas.openxmlformats.org/spreadsheetml/2006/main" r="AQ13" s="11" t="inlineStr">
        <ns0:is>
          <ns0:t>Simulation\Capacitors\MY_LIB_C_RC.ckt</ns0:t>
        </ns0:is>
      </ns0:c>
    </ns0:row>
    <ns0:row r="14" ht="30" customHeight="1">
      <ns0:c r="A14" t="str" s="14">
        <ns0:v>C0015</ns0:v>
      </ns0:c>
      <ns0:c r="B14" t="str" s="14">
        <ns0:v>Конденсатор</ns0:v>
      </ns0:c>
      <ns0:c r="C14" t="str" s="14">
        <ns0:v>1.2n</ns0:v>
      </ns0:c>
      <ns0:c r="D14" t="str" s="11">
        <ns0:f>SUBSTITUTE(SUBSTITUTE(SUBSTITUTE(SUBSTITUTE(C14,"p"," пФ"),"n"," нФ"),"u"," мкФ"),".",",")</ns0:f>
        <ns0:v>1,2 нФ</ns0:v>
      </ns0:c>
      <ns0:c r="E14" t="str" s="14">
        <ns0:v>±5%</ns0:v>
      </ns0:c>
      <ns0:c r="F14" s="14"/>
      <ns0:c r="G14" t="str" s="14">
        <ns0:v>100 В</ns0:v>
      </ns0:c>
      <ns0:c r="H14" t="str" s="14">
        <ns0:v>X7R</ns0:v>
      </ns0:c>
      <ns0:c r="I14" t="str" s="15">
        <ns0:v>0805</ns0:v>
      </ns0:c>
      <ns0:c r="J14" t="str" s="14">
        <ns0:v>YAGEO</ns0:v>
      </ns0:c>
      <ns0:c r="K14" t="str" s="14">
        <ns0:v>CC0805JRX7R0BB122</ns0:v>
      </ns0:c>
      <ns0:c r="L14" t="str" s="11">
        <ns0:f>B14&amp;" "&amp;D14&amp;" "&amp;E14&amp;" "&amp;G14&amp;" "&amp;H14&amp;" "&amp;I14</ns0:f>
        <ns0:v>Конденсатор 1,2 нФ ±5% 100 В X7R 0805</ns0:v>
      </ns0:c>
      <ns0:c r="M14" t="str" s="13">
        <ns0:v>C</ns0:v>
      </ns0:c>
      <ns0:c r="N14" t="str" s="13">
        <ns0:v>Symbols\MY_LIB_Capacitors.SchLib</ns0:v>
      </ns0:c>
      <ns0:c r="O14" t="str" s="13">
        <ns0:v>CAPC2012X135N</ns0:v>
      </ns0:c>
      <ns0:c r="P14" t="str" s="13">
        <ns0:v>Footprints\PBL - SMD Packages.PcbLib</ns0:v>
      </ns0:c>
      <ns0:c r="Q14" t="str" s="14">
        <ns0:v>YAGEO CC; список 20.10.2026</ns0:v>
      </ns0:c>
      <ns0:c r="R14" t="str" s="11">
        <ns0:f>D14</ns0:f>
        <ns0:v>1,2 нФ</ns0:v>
      </ns0:c>
      <ns0:c r="S14" t="str" s="11">
        <ns0:f>L14</ns0:f>
        <ns0:v>Конденсатор 1,2 нФ ±5% 100 В X7R 0805</ns0:v>
      </ns0:c>
      <x:c xmlns:x="http://schemas.openxmlformats.org/spreadsheetml/2006/main" r="T14" t="str" s="11">
        <x:v>C:\Users\Nomatin\Documents\Altium\MY_LIB\MY_LIB\Datasheets\YAGEO_CC_X7R.pdf</x:v>
      </x:c>
      <x:c xmlns:x="http://schemas.openxmlformats.org/spreadsheetml/2006/main" r="U14" t="str" s="11">
        <x:v>Даташит — локальный</x:v>
      </x:c>
      <x:c xmlns:x="http://schemas.openxmlformats.org/spreadsheetml/2006/main" r="V14" t="str" s="11">
        <x:v>C:\Users\Nomatin\Documents\Altium\MY_LIB\MY_LIB\Datasheets\YAGEO_CC_X7R.pdf</x:v>
      </x:c>
      <x:c xmlns:x="http://schemas.openxmlformats.org/spreadsheetml/2006/main" r="W14" t="str" s="11">
        <x:v>Даташит — производитель</x:v>
      </x:c>
      <x:c xmlns:x="http://schemas.openxmlformats.org/spreadsheetml/2006/main" r="X14" t="str" s="11">
        <x:v>https://yageogroup.com/content/datasheet/asset/file/UPY-GPHC_X7R_6_3V-TO-250V</x:v>
      </x:c>
      <x:c xmlns:x="http://schemas.openxmlformats.org/spreadsheetml/2006/main" r="Y14" t="str" s="11">
        <x:v>C:\Users\Nomatin\Documents\Altium\MY_LIB\MY_LIB\Datasheets\YAGEO_CC_X7R.pdf</x:v>
      </x:c>
      <ns0:c xmlns:ns0="http://schemas.openxmlformats.org/spreadsheetml/2006/main" r="Z14" s="11">
        <ns0:v>1.2e-09</ns0:v>
      </ns0:c>
      <ns0:c xmlns:ns0="http://schemas.openxmlformats.org/spreadsheetml/2006/main" r="AA14" s="11">
        <ns0:v>0.025</ns0:v>
      </ns0:c>
      <ns0:c xmlns:ns0="http://schemas.openxmlformats.org/spreadsheetml/2006/main" r="AB14" s="11">
        <ns0:v>1000</ns0:v>
      </ns0:c>
      <ns0:c xmlns:ns0="http://schemas.openxmlformats.org/spreadsheetml/2006/main" r="AC14" s="11">
        <ns0:v>1</ns0:v>
      </ns0:c>
      <ns0:c xmlns:ns0="http://schemas.openxmlformats.org/spreadsheetml/2006/main" r="AD14" s="11">
        <ns0:v>20</ns0:v>
      </ns0:c>
      <ns0:c xmlns:ns0="http://schemas.openxmlformats.org/spreadsheetml/2006/main" r="AE14" s="11">
        <ns0:v>500</ns0:v>
      </ns0:c>
      <ns0:c xmlns:ns0="http://schemas.openxmlformats.org/spreadsheetml/2006/main" r="AF14" s="11">
        <ns0:v>10000000000</ns0:v>
      </ns0:c>
      <ns0:c xmlns:ns0="http://schemas.openxmlformats.org/spreadsheetml/2006/main" r="AG14" s="11">
        <ns0:v>100</ns0:v>
      </ns0:c>
      <ns0:c xmlns:ns0="http://schemas.openxmlformats.org/spreadsheetml/2006/main" r="AH14" s="11">
        <ns0:v>60</ns0:v>
      </ns0:c>
      <ns0:c xmlns:ns0="http://schemas.openxmlformats.org/spreadsheetml/2006/main" r="AI14" s="11">
        <ns0:v>3315.72798108115</ns0:v>
      </ns0:c>
      <ns0:c xmlns:ns0="http://schemas.openxmlformats.org/spreadsheetml/2006/main" r="AJ14" s="11" t="inlineStr">
        <ns0:is>
          <ns0:t>MY_LIB_C_RC</ns0:t>
        </ns0:is>
      </ns0:c>
      <ns0:c xmlns:ns0="http://schemas.openxmlformats.org/spreadsheetml/2006/main" r="AK14" s="11" t="inlineStr">
        <ns0:is>
          <ns0:t>Nominal C; DFmax at 1kHz; minimum insulation; no temperature/bias/ESL</ns0:t>
        </ns0:is>
      </ns0:c>
      <ns0:c xmlns:ns0="http://schemas.openxmlformats.org/spreadsheetml/2006/main" r="AL14" s="11" t="inlineStr">
        <ns0:is>
          <ns0:t>General</ns0:t>
        </ns0:is>
      </ns0:c>
      <ns0:c xmlns:ns0="http://schemas.openxmlformats.org/spreadsheetml/2006/main" r="AM14" s="11" t="inlineStr">
        <ns0:is>
          <ns0:t>Spice Subcircuit</ns0:t>
        </ns0:is>
      </ns0:c>
      <ns0:c xmlns:ns0="http://schemas.openxmlformats.org/spreadsheetml/2006/main" r="AN14" s="11" t="inlineStr">
        <ns0:is>
          <ns0:t>@DESIGNATOR %1 %2 @MODEL PARAMS: Cvalue=1.2e-09 Rsvalue=3315.72798108115 Rinsvalue=10000000000</ns0:t>
        </ns0:is>
      </ns0:c>
      <ns0:c xmlns:ns0="http://schemas.openxmlformats.org/spreadsheetml/2006/main" r="AO14" s="11" t="inlineStr">
        <ns0:is>
          <ns0:t>X</ns0:t>
        </ns0:is>
      </ns0:c>
      <ns0:c xmlns:ns0="http://schemas.openxmlformats.org/spreadsheetml/2006/main" r="AP14" s="11" t="inlineStr">
        <ns0:is>
          <ns0:t>(1:1),(2:2)</ns0:t>
        </ns0:is>
      </ns0:c>
      <ns0:c xmlns:ns0="http://schemas.openxmlformats.org/spreadsheetml/2006/main" r="AQ14" s="11" t="inlineStr">
        <ns0:is>
          <ns0:t>Simulation\Capacitors\MY_LIB_C_RC.ckt</ns0:t>
        </ns0:is>
      </ns0:c>
    </ns0:row>
    <ns0:row r="15" ht="30" customHeight="1">
      <ns0:c r="A15" t="str" s="14">
        <ns0:v>C0016</ns0:v>
      </ns0:c>
      <ns0:c r="B15" t="str" s="14">
        <ns0:v>Конденсатор</ns0:v>
      </ns0:c>
      <ns0:c r="C15" t="str" s="14">
        <ns0:v>1.5n</ns0:v>
      </ns0:c>
      <ns0:c r="D15" t="str" s="11">
        <ns0:f>SUBSTITUTE(SUBSTITUTE(SUBSTITUTE(SUBSTITUTE(C15,"p"," пФ"),"n"," нФ"),"u"," мкФ"),".",",")</ns0:f>
        <ns0:v>1,5 нФ</ns0:v>
      </ns0:c>
      <ns0:c r="E15" t="str" s="14">
        <ns0:v>±5%</ns0:v>
      </ns0:c>
      <ns0:c r="F15" s="14"/>
      <ns0:c r="G15" t="str" s="14">
        <ns0:v>100 В</ns0:v>
      </ns0:c>
      <ns0:c r="H15" t="str" s="14">
        <ns0:v>X7R</ns0:v>
      </ns0:c>
      <ns0:c r="I15" t="str" s="15">
        <ns0:v>0805</ns0:v>
      </ns0:c>
      <ns0:c r="J15" t="str" s="14">
        <ns0:v>YAGEO</ns0:v>
      </ns0:c>
      <ns0:c r="K15" t="str" s="14">
        <ns0:v>CC0805JRX7R0BB152</ns0:v>
      </ns0:c>
      <ns0:c r="L15" t="str" s="11">
        <ns0:f>B15&amp;" "&amp;D15&amp;" "&amp;E15&amp;" "&amp;G15&amp;" "&amp;H15&amp;" "&amp;I15</ns0:f>
        <ns0:v>Конденсатор 1,5 нФ ±5% 100 В X7R 0805</ns0:v>
      </ns0:c>
      <ns0:c r="M15" t="str" s="13">
        <ns0:v>C</ns0:v>
      </ns0:c>
      <ns0:c r="N15" t="str" s="13">
        <ns0:v>Symbols\MY_LIB_Capacitors.SchLib</ns0:v>
      </ns0:c>
      <ns0:c r="O15" t="str" s="13">
        <ns0:v>CAPC2012X135N</ns0:v>
      </ns0:c>
      <ns0:c r="P15" t="str" s="13">
        <ns0:v>Footprints\PBL - SMD Packages.PcbLib</ns0:v>
      </ns0:c>
      <ns0:c r="Q15" t="str" s="14">
        <ns0:v>YAGEO CC; список 20.10.2026</ns0:v>
      </ns0:c>
      <ns0:c r="R15" t="str" s="11">
        <ns0:f>D15</ns0:f>
        <ns0:v>1,5 нФ</ns0:v>
      </ns0:c>
      <ns0:c r="S15" t="str" s="11">
        <ns0:f>L15</ns0:f>
        <ns0:v>Конденсатор 1,5 нФ ±5% 100 В X7R 0805</ns0:v>
      </ns0:c>
      <x:c xmlns:x="http://schemas.openxmlformats.org/spreadsheetml/2006/main" r="T15" t="str" s="11">
        <x:v>C:\Users\Nomatin\Documents\Altium\MY_LIB\MY_LIB\Datasheets\YAGEO_CC_X7R.pdf</x:v>
      </x:c>
      <x:c xmlns:x="http://schemas.openxmlformats.org/spreadsheetml/2006/main" r="U15" t="str" s="11">
        <x:v>Даташит — локальный</x:v>
      </x:c>
      <x:c xmlns:x="http://schemas.openxmlformats.org/spreadsheetml/2006/main" r="V15" t="str" s="11">
        <x:v>C:\Users\Nomatin\Documents\Altium\MY_LIB\MY_LIB\Datasheets\YAGEO_CC_X7R.pdf</x:v>
      </x:c>
      <x:c xmlns:x="http://schemas.openxmlformats.org/spreadsheetml/2006/main" r="W15" t="str" s="11">
        <x:v>Даташит — производитель</x:v>
      </x:c>
      <x:c xmlns:x="http://schemas.openxmlformats.org/spreadsheetml/2006/main" r="X15" t="str" s="11">
        <x:v>https://yageogroup.com/content/datasheet/asset/file/UPY-GPHC_X7R_6_3V-TO-250V</x:v>
      </x:c>
      <x:c xmlns:x="http://schemas.openxmlformats.org/spreadsheetml/2006/main" r="Y15" t="str" s="11">
        <x:v>C:\Users\Nomatin\Documents\Altium\MY_LIB\MY_LIB\Datasheets\YAGEO_CC_X7R.pdf</x:v>
      </x:c>
      <ns0:c xmlns:ns0="http://schemas.openxmlformats.org/spreadsheetml/2006/main" r="Z15" s="11">
        <ns0:v>1.5e-09</ns0:v>
      </ns0:c>
      <ns0:c xmlns:ns0="http://schemas.openxmlformats.org/spreadsheetml/2006/main" r="AA15" s="11">
        <ns0:v>0.025</ns0:v>
      </ns0:c>
      <ns0:c xmlns:ns0="http://schemas.openxmlformats.org/spreadsheetml/2006/main" r="AB15" s="11">
        <ns0:v>1000</ns0:v>
      </ns0:c>
      <ns0:c xmlns:ns0="http://schemas.openxmlformats.org/spreadsheetml/2006/main" r="AC15" s="11">
        <ns0:v>1</ns0:v>
      </ns0:c>
      <ns0:c xmlns:ns0="http://schemas.openxmlformats.org/spreadsheetml/2006/main" r="AD15" s="11">
        <ns0:v>20</ns0:v>
      </ns0:c>
      <ns0:c xmlns:ns0="http://schemas.openxmlformats.org/spreadsheetml/2006/main" r="AE15" s="11">
        <ns0:v>500</ns0:v>
      </ns0:c>
      <ns0:c xmlns:ns0="http://schemas.openxmlformats.org/spreadsheetml/2006/main" r="AF15" s="11">
        <ns0:v>10000000000</ns0:v>
      </ns0:c>
      <ns0:c xmlns:ns0="http://schemas.openxmlformats.org/spreadsheetml/2006/main" r="AG15" s="11">
        <ns0:v>100</ns0:v>
      </ns0:c>
      <ns0:c xmlns:ns0="http://schemas.openxmlformats.org/spreadsheetml/2006/main" r="AH15" s="11">
        <ns0:v>60</ns0:v>
      </ns0:c>
      <ns0:c xmlns:ns0="http://schemas.openxmlformats.org/spreadsheetml/2006/main" r="AI15" s="11">
        <ns0:v>2652.58238486492</ns0:v>
      </ns0:c>
      <ns0:c xmlns:ns0="http://schemas.openxmlformats.org/spreadsheetml/2006/main" r="AJ15" s="11" t="inlineStr">
        <ns0:is>
          <ns0:t>MY_LIB_C_RC</ns0:t>
        </ns0:is>
      </ns0:c>
      <ns0:c xmlns:ns0="http://schemas.openxmlformats.org/spreadsheetml/2006/main" r="AK15" s="11" t="inlineStr">
        <ns0:is>
          <ns0:t>Nominal C; DFmax at 1kHz; minimum insulation; no temperature/bias/ESL</ns0:t>
        </ns0:is>
      </ns0:c>
      <ns0:c xmlns:ns0="http://schemas.openxmlformats.org/spreadsheetml/2006/main" r="AL15" s="11" t="inlineStr">
        <ns0:is>
          <ns0:t>General</ns0:t>
        </ns0:is>
      </ns0:c>
      <ns0:c xmlns:ns0="http://schemas.openxmlformats.org/spreadsheetml/2006/main" r="AM15" s="11" t="inlineStr">
        <ns0:is>
          <ns0:t>Spice Subcircuit</ns0:t>
        </ns0:is>
      </ns0:c>
      <ns0:c xmlns:ns0="http://schemas.openxmlformats.org/spreadsheetml/2006/main" r="AN15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15" s="11" t="inlineStr">
        <ns0:is>
          <ns0:t>X</ns0:t>
        </ns0:is>
      </ns0:c>
      <ns0:c xmlns:ns0="http://schemas.openxmlformats.org/spreadsheetml/2006/main" r="AP15" s="11" t="inlineStr">
        <ns0:is>
          <ns0:t>(1:1),(2:2)</ns0:t>
        </ns0:is>
      </ns0:c>
      <ns0:c xmlns:ns0="http://schemas.openxmlformats.org/spreadsheetml/2006/main" r="AQ15" s="11" t="inlineStr">
        <ns0:is>
          <ns0:t>Simulation\Capacitors\MY_LIB_C_RC.ckt</ns0:t>
        </ns0:is>
      </ns0:c>
    </ns0:row>
    <ns0:row r="16" ht="30" customHeight="1">
      <ns0:c r="A16" t="str" s="14">
        <ns0:v>C0017</ns0:v>
      </ns0:c>
      <ns0:c r="B16" t="str" s="14">
        <ns0:v>Конденсатор</ns0:v>
      </ns0:c>
      <ns0:c r="C16" t="str" s="14">
        <ns0:v>1.8n</ns0:v>
      </ns0:c>
      <ns0:c r="D16" t="str" s="11">
        <ns0:f>SUBSTITUTE(SUBSTITUTE(SUBSTITUTE(SUBSTITUTE(C16,"p"," пФ"),"n"," нФ"),"u"," мкФ"),".",",")</ns0:f>
        <ns0:v>1,8 нФ</ns0:v>
      </ns0:c>
      <ns0:c r="E16" t="str" s="14">
        <ns0:v>±5%</ns0:v>
      </ns0:c>
      <ns0:c r="F16" s="14"/>
      <ns0:c r="G16" t="str" s="14">
        <ns0:v>100 В</ns0:v>
      </ns0:c>
      <ns0:c r="H16" t="str" s="14">
        <ns0:v>X7R</ns0:v>
      </ns0:c>
      <ns0:c r="I16" t="str" s="15">
        <ns0:v>0805</ns0:v>
      </ns0:c>
      <ns0:c r="J16" t="str" s="14">
        <ns0:v>YAGEO</ns0:v>
      </ns0:c>
      <ns0:c r="K16" t="str" s="14">
        <ns0:v>CC0805JRX7R0BB182</ns0:v>
      </ns0:c>
      <ns0:c r="L16" t="str" s="11">
        <ns0:f>B16&amp;" "&amp;D16&amp;" "&amp;E16&amp;" "&amp;G16&amp;" "&amp;H16&amp;" "&amp;I16</ns0:f>
        <ns0:v>Конденсатор 1,8 нФ ±5% 100 В X7R 0805</ns0:v>
      </ns0:c>
      <ns0:c r="M16" t="str" s="13">
        <ns0:v>C</ns0:v>
      </ns0:c>
      <ns0:c r="N16" t="str" s="13">
        <ns0:v>Symbols\MY_LIB_Capacitors.SchLib</ns0:v>
      </ns0:c>
      <ns0:c r="O16" t="str" s="13">
        <ns0:v>CAPC2012X135N</ns0:v>
      </ns0:c>
      <ns0:c r="P16" t="str" s="13">
        <ns0:v>Footprints\PBL - SMD Packages.PcbLib</ns0:v>
      </ns0:c>
      <ns0:c r="Q16" t="str" s="14">
        <ns0:v>YAGEO CC; список 20.10.2026</ns0:v>
      </ns0:c>
      <ns0:c r="R16" t="str" s="11">
        <ns0:f>D16</ns0:f>
        <ns0:v>1,8 нФ</ns0:v>
      </ns0:c>
      <ns0:c r="S16" t="str" s="11">
        <ns0:f>L16</ns0:f>
        <ns0:v>Конденсатор 1,8 нФ ±5% 100 В X7R 0805</ns0:v>
      </ns0:c>
      <x:c xmlns:x="http://schemas.openxmlformats.org/spreadsheetml/2006/main" r="T16" t="str" s="11">
        <x:v>C:\Users\Nomatin\Documents\Altium\MY_LIB\MY_LIB\Datasheets\YAGEO_CC_X7R.pdf</x:v>
      </x:c>
      <x:c xmlns:x="http://schemas.openxmlformats.org/spreadsheetml/2006/main" r="U16" t="str" s="11">
        <x:v>Даташит — локальный</x:v>
      </x:c>
      <x:c xmlns:x="http://schemas.openxmlformats.org/spreadsheetml/2006/main" r="V16" t="str" s="11">
        <x:v>C:\Users\Nomatin\Documents\Altium\MY_LIB\MY_LIB\Datasheets\YAGEO_CC_X7R.pdf</x:v>
      </x:c>
      <x:c xmlns:x="http://schemas.openxmlformats.org/spreadsheetml/2006/main" r="W16" t="str" s="11">
        <x:v>Даташит — производитель</x:v>
      </x:c>
      <x:c xmlns:x="http://schemas.openxmlformats.org/spreadsheetml/2006/main" r="X16" t="str" s="11">
        <x:v>https://yageogroup.com/content/datasheet/asset/file/UPY-GPHC_X7R_6_3V-TO-250V</x:v>
      </x:c>
      <x:c xmlns:x="http://schemas.openxmlformats.org/spreadsheetml/2006/main" r="Y16" t="str" s="11">
        <x:v>C:\Users\Nomatin\Documents\Altium\MY_LIB\MY_LIB\Datasheets\YAGEO_CC_X7R.pdf</x:v>
      </x:c>
      <ns0:c xmlns:ns0="http://schemas.openxmlformats.org/spreadsheetml/2006/main" r="Z16" s="11">
        <ns0:v>1.8e-09</ns0:v>
      </ns0:c>
      <ns0:c xmlns:ns0="http://schemas.openxmlformats.org/spreadsheetml/2006/main" r="AA16" s="11">
        <ns0:v>0.025</ns0:v>
      </ns0:c>
      <ns0:c xmlns:ns0="http://schemas.openxmlformats.org/spreadsheetml/2006/main" r="AB16" s="11">
        <ns0:v>1000</ns0:v>
      </ns0:c>
      <ns0:c xmlns:ns0="http://schemas.openxmlformats.org/spreadsheetml/2006/main" r="AC16" s="11">
        <ns0:v>1</ns0:v>
      </ns0:c>
      <ns0:c xmlns:ns0="http://schemas.openxmlformats.org/spreadsheetml/2006/main" r="AD16" s="11">
        <ns0:v>20</ns0:v>
      </ns0:c>
      <ns0:c xmlns:ns0="http://schemas.openxmlformats.org/spreadsheetml/2006/main" r="AE16" s="11">
        <ns0:v>500</ns0:v>
      </ns0:c>
      <ns0:c xmlns:ns0="http://schemas.openxmlformats.org/spreadsheetml/2006/main" r="AF16" s="11">
        <ns0:v>10000000000</ns0:v>
      </ns0:c>
      <ns0:c xmlns:ns0="http://schemas.openxmlformats.org/spreadsheetml/2006/main" r="AG16" s="11">
        <ns0:v>100</ns0:v>
      </ns0:c>
      <ns0:c xmlns:ns0="http://schemas.openxmlformats.org/spreadsheetml/2006/main" r="AH16" s="11">
        <ns0:v>60</ns0:v>
      </ns0:c>
      <ns0:c xmlns:ns0="http://schemas.openxmlformats.org/spreadsheetml/2006/main" r="AI16" s="11">
        <ns0:v>2210.48532072077</ns0:v>
      </ns0:c>
      <ns0:c xmlns:ns0="http://schemas.openxmlformats.org/spreadsheetml/2006/main" r="AJ16" s="11" t="inlineStr">
        <ns0:is>
          <ns0:t>MY_LIB_C_RC</ns0:t>
        </ns0:is>
      </ns0:c>
      <ns0:c xmlns:ns0="http://schemas.openxmlformats.org/spreadsheetml/2006/main" r="AK16" s="11" t="inlineStr">
        <ns0:is>
          <ns0:t>Nominal C; DFmax at 1kHz; minimum insulation; no temperature/bias/ESL</ns0:t>
        </ns0:is>
      </ns0:c>
      <ns0:c xmlns:ns0="http://schemas.openxmlformats.org/spreadsheetml/2006/main" r="AL16" s="11" t="inlineStr">
        <ns0:is>
          <ns0:t>General</ns0:t>
        </ns0:is>
      </ns0:c>
      <ns0:c xmlns:ns0="http://schemas.openxmlformats.org/spreadsheetml/2006/main" r="AM16" s="11" t="inlineStr">
        <ns0:is>
          <ns0:t>Spice Subcircuit</ns0:t>
        </ns0:is>
      </ns0:c>
      <ns0:c xmlns:ns0="http://schemas.openxmlformats.org/spreadsheetml/2006/main" r="AN16" s="11" t="inlineStr">
        <ns0:is>
          <ns0:t>@DESIGNATOR %1 %2 @MODEL PARAMS: Cvalue=1.8e-09 Rsvalue=2210.48532072077 Rinsvalue=10000000000</ns0:t>
        </ns0:is>
      </ns0:c>
      <ns0:c xmlns:ns0="http://schemas.openxmlformats.org/spreadsheetml/2006/main" r="AO16" s="11" t="inlineStr">
        <ns0:is>
          <ns0:t>X</ns0:t>
        </ns0:is>
      </ns0:c>
      <ns0:c xmlns:ns0="http://schemas.openxmlformats.org/spreadsheetml/2006/main" r="AP16" s="11" t="inlineStr">
        <ns0:is>
          <ns0:t>(1:1),(2:2)</ns0:t>
        </ns0:is>
      </ns0:c>
      <ns0:c xmlns:ns0="http://schemas.openxmlformats.org/spreadsheetml/2006/main" r="AQ16" s="11" t="inlineStr">
        <ns0:is>
          <ns0:t>Simulation\Capacitors\MY_LIB_C_RC.ckt</ns0:t>
        </ns0:is>
      </ns0:c>
    </ns0:row>
    <ns0:row r="17" ht="30" customHeight="1">
      <ns0:c r="A17" t="str" s="14">
        <ns0:v>C0018</ns0:v>
      </ns0:c>
      <ns0:c r="B17" t="str" s="14">
        <ns0:v>Конденсатор</ns0:v>
      </ns0:c>
      <ns0:c r="C17" t="str" s="14">
        <ns0:v>2n</ns0:v>
      </ns0:c>
      <ns0:c r="D17" t="str" s="11">
        <ns0:f>SUBSTITUTE(SUBSTITUTE(SUBSTITUTE(SUBSTITUTE(C17,"p"," пФ"),"n"," нФ"),"u"," мкФ"),".",",")</ns0:f>
        <ns0:v>2 нФ</ns0:v>
      </ns0:c>
      <ns0:c r="E17" t="str" s="14">
        <ns0:v>±5%</ns0:v>
      </ns0:c>
      <ns0:c r="F17" s="14"/>
      <ns0:c r="G17" t="str" s="14">
        <ns0:v>50 В</ns0:v>
      </ns0:c>
      <ns0:c r="H17" t="str" s="14">
        <ns0:v>X7R</ns0:v>
      </ns0:c>
      <ns0:c r="I17" t="str" s="15">
        <ns0:v>0805</ns0:v>
      </ns0:c>
      <ns0:c r="J17" t="str" s="14">
        <ns0:v>YAGEO</ns0:v>
      </ns0:c>
      <ns0:c r="K17" t="str" s="14">
        <ns0:v>CC0805JRX7R9BB202</ns0:v>
      </ns0:c>
      <ns0:c r="L17" t="str" s="11">
        <ns0:f>B17&amp;" "&amp;D17&amp;" "&amp;E17&amp;" "&amp;G17&amp;" "&amp;H17&amp;" "&amp;I17</ns0:f>
        <ns0:v>Конденсатор 2 нФ ±5% 50 В X7R 0805</ns0:v>
      </ns0:c>
      <ns0:c r="M17" t="str" s="13">
        <ns0:v>C</ns0:v>
      </ns0:c>
      <ns0:c r="N17" t="str" s="13">
        <ns0:v>Symbols\MY_LIB_Capacitors.SchLib</ns0:v>
      </ns0:c>
      <ns0:c r="O17" t="str" s="13">
        <ns0:v>CAPC2012X135N</ns0:v>
      </ns0:c>
      <ns0:c r="P17" t="str" s="13">
        <ns0:v>Footprints\PBL - SMD Packages.PcbLib</ns0:v>
      </ns0:c>
      <ns0:c r="Q17" t="str" s="14">
        <ns0:v>YAGEO CC; список 20.10.2026</ns0:v>
      </ns0:c>
      <ns0:c r="R17" t="str" s="11">
        <ns0:f>D17</ns0:f>
        <ns0:v>2 нФ</ns0:v>
      </ns0:c>
      <ns0:c r="S17" t="str" s="11">
        <ns0:f>L17</ns0:f>
        <ns0:v>Конденсатор 2 нФ ±5% 50 В X7R 0805</ns0:v>
      </ns0:c>
      <x:c xmlns:x="http://schemas.openxmlformats.org/spreadsheetml/2006/main" r="T17" t="str" s="11">
        <x:v>C:\Users\Nomatin\Documents\Altium\MY_LIB\MY_LIB\Datasheets\YAGEO_CC_X7R.pdf</x:v>
      </x:c>
      <x:c xmlns:x="http://schemas.openxmlformats.org/spreadsheetml/2006/main" r="U17" t="str" s="11">
        <x:v>Даташит — локальный</x:v>
      </x:c>
      <x:c xmlns:x="http://schemas.openxmlformats.org/spreadsheetml/2006/main" r="V17" t="str" s="11">
        <x:v>C:\Users\Nomatin\Documents\Altium\MY_LIB\MY_LIB\Datasheets\YAGEO_CC_X7R.pdf</x:v>
      </x:c>
      <x:c xmlns:x="http://schemas.openxmlformats.org/spreadsheetml/2006/main" r="W17" t="str" s="11">
        <x:v>Даташит — производитель</x:v>
      </x:c>
      <x:c xmlns:x="http://schemas.openxmlformats.org/spreadsheetml/2006/main" r="X17" t="str" s="11">
        <x:v>https://yageogroup.com/content/datasheet/asset/file/UPY-GPHC_X7R_6_3V-TO-250V</x:v>
      </x:c>
      <x:c xmlns:x="http://schemas.openxmlformats.org/spreadsheetml/2006/main" r="Y17" t="str" s="11">
        <x:v>C:\Users\Nomatin\Documents\Altium\MY_LIB\MY_LIB\Datasheets\YAGEO_CC_X7R.pdf</x:v>
      </x:c>
      <ns0:c xmlns:ns0="http://schemas.openxmlformats.org/spreadsheetml/2006/main" r="Z17" s="11">
        <ns0:v>2e-09</ns0:v>
      </ns0:c>
      <ns0:c xmlns:ns0="http://schemas.openxmlformats.org/spreadsheetml/2006/main" r="AA17" s="11">
        <ns0:v>0.025</ns0:v>
      </ns0:c>
      <ns0:c xmlns:ns0="http://schemas.openxmlformats.org/spreadsheetml/2006/main" r="AB17" s="11">
        <ns0:v>1000</ns0:v>
      </ns0:c>
      <ns0:c xmlns:ns0="http://schemas.openxmlformats.org/spreadsheetml/2006/main" r="AC17" s="11">
        <ns0:v>1</ns0:v>
      </ns0:c>
      <ns0:c xmlns:ns0="http://schemas.openxmlformats.org/spreadsheetml/2006/main" r="AD17" s="11">
        <ns0:v>20</ns0:v>
      </ns0:c>
      <ns0:c xmlns:ns0="http://schemas.openxmlformats.org/spreadsheetml/2006/main" r="AE17" s="11">
        <ns0:v>500</ns0:v>
      </ns0:c>
      <ns0:c xmlns:ns0="http://schemas.openxmlformats.org/spreadsheetml/2006/main" r="AF17" s="11">
        <ns0:v>10000000000</ns0:v>
      </ns0:c>
      <ns0:c xmlns:ns0="http://schemas.openxmlformats.org/spreadsheetml/2006/main" r="AG17" s="11">
        <ns0:v>50</ns0:v>
      </ns0:c>
      <ns0:c xmlns:ns0="http://schemas.openxmlformats.org/spreadsheetml/2006/main" r="AH17" s="11">
        <ns0:v>60</ns0:v>
      </ns0:c>
      <ns0:c xmlns:ns0="http://schemas.openxmlformats.org/spreadsheetml/2006/main" r="AI17" s="11">
        <ns0:v>1989.43678864869</ns0:v>
      </ns0:c>
      <ns0:c xmlns:ns0="http://schemas.openxmlformats.org/spreadsheetml/2006/main" r="AJ17" s="11" t="inlineStr">
        <ns0:is>
          <ns0:t>MY_LIB_C_RC</ns0:t>
        </ns0:is>
      </ns0:c>
      <ns0:c xmlns:ns0="http://schemas.openxmlformats.org/spreadsheetml/2006/main" r="AK17" s="11" t="inlineStr">
        <ns0:is>
          <ns0:t>Nominal C; DFmax at 1kHz; minimum insulation; no temperature/bias/ESL</ns0:t>
        </ns0:is>
      </ns0:c>
      <ns0:c xmlns:ns0="http://schemas.openxmlformats.org/spreadsheetml/2006/main" r="AL17" s="11" t="inlineStr">
        <ns0:is>
          <ns0:t>General</ns0:t>
        </ns0:is>
      </ns0:c>
      <ns0:c xmlns:ns0="http://schemas.openxmlformats.org/spreadsheetml/2006/main" r="AM17" s="11" t="inlineStr">
        <ns0:is>
          <ns0:t>Spice Subcircuit</ns0:t>
        </ns0:is>
      </ns0:c>
      <ns0:c xmlns:ns0="http://schemas.openxmlformats.org/spreadsheetml/2006/main" r="AN17" s="11" t="inlineStr">
        <ns0:is>
          <ns0:t>@DESIGNATOR %1 %2 @MODEL PARAMS: Cvalue=2e-09 Rsvalue=1989.43678864869 Rinsvalue=10000000000</ns0:t>
        </ns0:is>
      </ns0:c>
      <ns0:c xmlns:ns0="http://schemas.openxmlformats.org/spreadsheetml/2006/main" r="AO17" s="11" t="inlineStr">
        <ns0:is>
          <ns0:t>X</ns0:t>
        </ns0:is>
      </ns0:c>
      <ns0:c xmlns:ns0="http://schemas.openxmlformats.org/spreadsheetml/2006/main" r="AP17" s="11" t="inlineStr">
        <ns0:is>
          <ns0:t>(1:1),(2:2)</ns0:t>
        </ns0:is>
      </ns0:c>
      <ns0:c xmlns:ns0="http://schemas.openxmlformats.org/spreadsheetml/2006/main" r="AQ17" s="11" t="inlineStr">
        <ns0:is>
          <ns0:t>Simulation\Capacitors\MY_LIB_C_RC.ckt</ns0:t>
        </ns0:is>
      </ns0:c>
    </ns0:row>
    <ns0:row r="18" ht="30" customHeight="1">
      <ns0:c r="A18" t="str" s="14">
        <ns0:v>C0019</ns0:v>
      </ns0:c>
      <ns0:c r="B18" t="str" s="14">
        <ns0:v>Конденсатор</ns0:v>
      </ns0:c>
      <ns0:c r="C18" t="str" s="14">
        <ns0:v>2.2n</ns0:v>
      </ns0:c>
      <ns0:c r="D18" t="str" s="11">
        <ns0:f>SUBSTITUTE(SUBSTITUTE(SUBSTITUTE(SUBSTITUTE(C18,"p"," пФ"),"n"," нФ"),"u"," мкФ"),".",",")</ns0:f>
        <ns0:v>2,2 нФ</ns0:v>
      </ns0:c>
      <ns0:c r="E18" t="str" s="14">
        <ns0:v>±5%</ns0:v>
      </ns0:c>
      <ns0:c r="F18" s="14"/>
      <ns0:c r="G18" t="str" s="14">
        <ns0:v>100 В</ns0:v>
      </ns0:c>
      <ns0:c r="H18" t="str" s="14">
        <ns0:v>X7R</ns0:v>
      </ns0:c>
      <ns0:c r="I18" t="str" s="15">
        <ns0:v>0805</ns0:v>
      </ns0:c>
      <ns0:c r="J18" t="str" s="14">
        <ns0:v>YAGEO</ns0:v>
      </ns0:c>
      <ns0:c r="K18" t="str" s="14">
        <ns0:v>CC0805JRX7R0BB222</ns0:v>
      </ns0:c>
      <ns0:c r="L18" t="str" s="11">
        <ns0:f>B18&amp;" "&amp;D18&amp;" "&amp;E18&amp;" "&amp;G18&amp;" "&amp;H18&amp;" "&amp;I18</ns0:f>
        <ns0:v>Конденсатор 2,2 нФ ±5% 100 В X7R 0805</ns0:v>
      </ns0:c>
      <ns0:c r="M18" t="str" s="13">
        <ns0:v>C</ns0:v>
      </ns0:c>
      <ns0:c r="N18" t="str" s="13">
        <ns0:v>Symbols\MY_LIB_Capacitors.SchLib</ns0:v>
      </ns0:c>
      <ns0:c r="O18" t="str" s="13">
        <ns0:v>CAPC2012X135N</ns0:v>
      </ns0:c>
      <ns0:c r="P18" t="str" s="13">
        <ns0:v>Footprints\PBL - SMD Packages.PcbLib</ns0:v>
      </ns0:c>
      <ns0:c r="Q18" t="str" s="14">
        <ns0:v>YAGEO CC; список 20.10.2026</ns0:v>
      </ns0:c>
      <ns0:c r="R18" t="str" s="11">
        <ns0:f>D18</ns0:f>
        <ns0:v>2,2 нФ</ns0:v>
      </ns0:c>
      <ns0:c r="S18" t="str" s="11">
        <ns0:f>L18</ns0:f>
        <ns0:v>Конденсатор 2,2 нФ ±5% 100 В X7R 0805</ns0:v>
      </ns0:c>
      <x:c xmlns:x="http://schemas.openxmlformats.org/spreadsheetml/2006/main" r="T18" t="str" s="11">
        <x:v>C:\Users\Nomatin\Documents\Altium\MY_LIB\MY_LIB\Datasheets\YAGEO_CC_X7R.pdf</x:v>
      </x:c>
      <x:c xmlns:x="http://schemas.openxmlformats.org/spreadsheetml/2006/main" r="U18" t="str" s="11">
        <x:v>Даташит — локальный</x:v>
      </x:c>
      <x:c xmlns:x="http://schemas.openxmlformats.org/spreadsheetml/2006/main" r="V18" t="str" s="11">
        <x:v>C:\Users\Nomatin\Documents\Altium\MY_LIB\MY_LIB\Datasheets\YAGEO_CC_X7R.pdf</x:v>
      </x:c>
      <x:c xmlns:x="http://schemas.openxmlformats.org/spreadsheetml/2006/main" r="W18" t="str" s="11">
        <x:v>Даташит — производитель</x:v>
      </x:c>
      <x:c xmlns:x="http://schemas.openxmlformats.org/spreadsheetml/2006/main" r="X18" t="str" s="11">
        <x:v>https://yageogroup.com/content/datasheet/asset/file/UPY-GPHC_X7R_6_3V-TO-250V</x:v>
      </x:c>
      <x:c xmlns:x="http://schemas.openxmlformats.org/spreadsheetml/2006/main" r="Y18" t="str" s="11">
        <x:v>C:\Users\Nomatin\Documents\Altium\MY_LIB\MY_LIB\Datasheets\YAGEO_CC_X7R.pdf</x:v>
      </x:c>
      <ns0:c xmlns:ns0="http://schemas.openxmlformats.org/spreadsheetml/2006/main" r="Z18" s="11">
        <ns0:v>2.2e-09</ns0:v>
      </ns0:c>
      <ns0:c xmlns:ns0="http://schemas.openxmlformats.org/spreadsheetml/2006/main" r="AA18" s="11">
        <ns0:v>0.025</ns0:v>
      </ns0:c>
      <ns0:c xmlns:ns0="http://schemas.openxmlformats.org/spreadsheetml/2006/main" r="AB18" s="11">
        <ns0:v>1000</ns0:v>
      </ns0:c>
      <ns0:c xmlns:ns0="http://schemas.openxmlformats.org/spreadsheetml/2006/main" r="AC18" s="11">
        <ns0:v>1</ns0:v>
      </ns0:c>
      <ns0:c xmlns:ns0="http://schemas.openxmlformats.org/spreadsheetml/2006/main" r="AD18" s="11">
        <ns0:v>20</ns0:v>
      </ns0:c>
      <ns0:c xmlns:ns0="http://schemas.openxmlformats.org/spreadsheetml/2006/main" r="AE18" s="11">
        <ns0:v>500</ns0:v>
      </ns0:c>
      <ns0:c xmlns:ns0="http://schemas.openxmlformats.org/spreadsheetml/2006/main" r="AF18" s="11">
        <ns0:v>10000000000</ns0:v>
      </ns0:c>
      <ns0:c xmlns:ns0="http://schemas.openxmlformats.org/spreadsheetml/2006/main" r="AG18" s="11">
        <ns0:v>100</ns0:v>
      </ns0:c>
      <ns0:c xmlns:ns0="http://schemas.openxmlformats.org/spreadsheetml/2006/main" r="AH18" s="11">
        <ns0:v>60</ns0:v>
      </ns0:c>
      <ns0:c xmlns:ns0="http://schemas.openxmlformats.org/spreadsheetml/2006/main" r="AI18" s="11">
        <ns0:v>1808.57889877154</ns0:v>
      </ns0:c>
      <ns0:c xmlns:ns0="http://schemas.openxmlformats.org/spreadsheetml/2006/main" r="AJ18" s="11" t="inlineStr">
        <ns0:is>
          <ns0:t>MY_LIB_C_RC</ns0:t>
        </ns0:is>
      </ns0:c>
      <ns0:c xmlns:ns0="http://schemas.openxmlformats.org/spreadsheetml/2006/main" r="AK18" s="11" t="inlineStr">
        <ns0:is>
          <ns0:t>Nominal C; DFmax at 1kHz; minimum insulation; no temperature/bias/ESL</ns0:t>
        </ns0:is>
      </ns0:c>
      <ns0:c xmlns:ns0="http://schemas.openxmlformats.org/spreadsheetml/2006/main" r="AL18" s="11" t="inlineStr">
        <ns0:is>
          <ns0:t>General</ns0:t>
        </ns0:is>
      </ns0:c>
      <ns0:c xmlns:ns0="http://schemas.openxmlformats.org/spreadsheetml/2006/main" r="AM18" s="11" t="inlineStr">
        <ns0:is>
          <ns0:t>Spice Subcircuit</ns0:t>
        </ns0:is>
      </ns0:c>
      <ns0:c xmlns:ns0="http://schemas.openxmlformats.org/spreadsheetml/2006/main" r="AN18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18" s="11" t="inlineStr">
        <ns0:is>
          <ns0:t>X</ns0:t>
        </ns0:is>
      </ns0:c>
      <ns0:c xmlns:ns0="http://schemas.openxmlformats.org/spreadsheetml/2006/main" r="AP18" s="11" t="inlineStr">
        <ns0:is>
          <ns0:t>(1:1),(2:2)</ns0:t>
        </ns0:is>
      </ns0:c>
      <ns0:c xmlns:ns0="http://schemas.openxmlformats.org/spreadsheetml/2006/main" r="AQ18" s="11" t="inlineStr">
        <ns0:is>
          <ns0:t>Simulation\Capacitors\MY_LIB_C_RC.ckt</ns0:t>
        </ns0:is>
      </ns0:c>
    </ns0:row>
    <ns0:row r="19" ht="30" customHeight="1">
      <ns0:c r="A19" t="str" s="14">
        <ns0:v>C0020</ns0:v>
      </ns0:c>
      <ns0:c r="B19" t="str" s="14">
        <ns0:v>Конденсатор</ns0:v>
      </ns0:c>
      <ns0:c r="C19" t="str" s="14">
        <ns0:v>2.7n</ns0:v>
      </ns0:c>
      <ns0:c r="D19" t="str" s="11">
        <ns0:f>SUBSTITUTE(SUBSTITUTE(SUBSTITUTE(SUBSTITUTE(C19,"p"," пФ"),"n"," нФ"),"u"," мкФ"),".",",")</ns0:f>
        <ns0:v>2,7 нФ</ns0:v>
      </ns0:c>
      <ns0:c r="E19" t="str" s="14">
        <ns0:v>±5%</ns0:v>
      </ns0:c>
      <ns0:c r="F19" s="14"/>
      <ns0:c r="G19" t="str" s="14">
        <ns0:v>50 В</ns0:v>
      </ns0:c>
      <ns0:c r="H19" t="str" s="14">
        <ns0:v>X7R</ns0:v>
      </ns0:c>
      <ns0:c r="I19" t="str" s="15">
        <ns0:v>0805</ns0:v>
      </ns0:c>
      <ns0:c r="J19" t="str" s="14">
        <ns0:v>YAGEO</ns0:v>
      </ns0:c>
      <ns0:c r="K19" t="str" s="14">
        <ns0:v>CC0805JRX7R9BB272</ns0:v>
      </ns0:c>
      <ns0:c r="L19" t="str" s="11">
        <ns0:f>B19&amp;" "&amp;D19&amp;" "&amp;E19&amp;" "&amp;G19&amp;" "&amp;H19&amp;" "&amp;I19</ns0:f>
        <ns0:v>Конденсатор 2,7 нФ ±5% 50 В X7R 0805</ns0:v>
      </ns0:c>
      <ns0:c r="M19" t="str" s="13">
        <ns0:v>C</ns0:v>
      </ns0:c>
      <ns0:c r="N19" t="str" s="13">
        <ns0:v>Symbols\MY_LIB_Capacitors.SchLib</ns0:v>
      </ns0:c>
      <ns0:c r="O19" t="str" s="13">
        <ns0:v>CAPC2012X135N</ns0:v>
      </ns0:c>
      <ns0:c r="P19" t="str" s="13">
        <ns0:v>Footprints\PBL - SMD Packages.PcbLib</ns0:v>
      </ns0:c>
      <ns0:c r="Q19" t="str" s="14">
        <ns0:v>YAGEO CC; список 20.10.2026</ns0:v>
      </ns0:c>
      <ns0:c r="R19" t="str" s="11">
        <ns0:f>D19</ns0:f>
        <ns0:v>2,7 нФ</ns0:v>
      </ns0:c>
      <ns0:c r="S19" t="str" s="11">
        <ns0:f>L19</ns0:f>
        <ns0:v>Конденсатор 2,7 нФ ±5% 50 В X7R 0805</ns0:v>
      </ns0:c>
      <x:c xmlns:x="http://schemas.openxmlformats.org/spreadsheetml/2006/main" r="T19" t="str" s="11">
        <x:v>C:\Users\Nomatin\Documents\Altium\MY_LIB\MY_LIB\Datasheets\YAGEO_CC_X7R.pdf</x:v>
      </x:c>
      <x:c xmlns:x="http://schemas.openxmlformats.org/spreadsheetml/2006/main" r="U19" t="str" s="11">
        <x:v>Даташит — локальный</x:v>
      </x:c>
      <x:c xmlns:x="http://schemas.openxmlformats.org/spreadsheetml/2006/main" r="V19" t="str" s="11">
        <x:v>C:\Users\Nomatin\Documents\Altium\MY_LIB\MY_LIB\Datasheets\YAGEO_CC_X7R.pdf</x:v>
      </x:c>
      <x:c xmlns:x="http://schemas.openxmlformats.org/spreadsheetml/2006/main" r="W19" t="str" s="11">
        <x:v>Даташит — производитель</x:v>
      </x:c>
      <x:c xmlns:x="http://schemas.openxmlformats.org/spreadsheetml/2006/main" r="X19" t="str" s="11">
        <x:v>https://yageogroup.com/content/datasheet/asset/file/UPY-GPHC_X7R_6_3V-TO-250V</x:v>
      </x:c>
      <x:c xmlns:x="http://schemas.openxmlformats.org/spreadsheetml/2006/main" r="Y19" t="str" s="11">
        <x:v>C:\Users\Nomatin\Documents\Altium\MY_LIB\MY_LIB\Datasheets\YAGEO_CC_X7R.pdf</x:v>
      </x:c>
      <ns0:c xmlns:ns0="http://schemas.openxmlformats.org/spreadsheetml/2006/main" r="Z19" s="11">
        <ns0:v>2.7e-09</ns0:v>
      </ns0:c>
      <ns0:c xmlns:ns0="http://schemas.openxmlformats.org/spreadsheetml/2006/main" r="AA19" s="11">
        <ns0:v>0.025</ns0:v>
      </ns0:c>
      <ns0:c xmlns:ns0="http://schemas.openxmlformats.org/spreadsheetml/2006/main" r="AB19" s="11">
        <ns0:v>1000</ns0:v>
      </ns0:c>
      <ns0:c xmlns:ns0="http://schemas.openxmlformats.org/spreadsheetml/2006/main" r="AC19" s="11">
        <ns0:v>1</ns0:v>
      </ns0:c>
      <ns0:c xmlns:ns0="http://schemas.openxmlformats.org/spreadsheetml/2006/main" r="AD19" s="11">
        <ns0:v>20</ns0:v>
      </ns0:c>
      <ns0:c xmlns:ns0="http://schemas.openxmlformats.org/spreadsheetml/2006/main" r="AE19" s="11">
        <ns0:v>500</ns0:v>
      </ns0:c>
      <ns0:c xmlns:ns0="http://schemas.openxmlformats.org/spreadsheetml/2006/main" r="AF19" s="11">
        <ns0:v>10000000000</ns0:v>
      </ns0:c>
      <ns0:c xmlns:ns0="http://schemas.openxmlformats.org/spreadsheetml/2006/main" r="AG19" s="11">
        <ns0:v>50</ns0:v>
      </ns0:c>
      <ns0:c xmlns:ns0="http://schemas.openxmlformats.org/spreadsheetml/2006/main" r="AH19" s="11">
        <ns0:v>60</ns0:v>
      </ns0:c>
      <ns0:c xmlns:ns0="http://schemas.openxmlformats.org/spreadsheetml/2006/main" r="AI19" s="11">
        <ns0:v>1473.65688048051</ns0:v>
      </ns0:c>
      <ns0:c xmlns:ns0="http://schemas.openxmlformats.org/spreadsheetml/2006/main" r="AJ19" s="11" t="inlineStr">
        <ns0:is>
          <ns0:t>MY_LIB_C_RC</ns0:t>
        </ns0:is>
      </ns0:c>
      <ns0:c xmlns:ns0="http://schemas.openxmlformats.org/spreadsheetml/2006/main" r="AK19" s="11" t="inlineStr">
        <ns0:is>
          <ns0:t>Nominal C; DFmax at 1kHz; minimum insulation; no temperature/bias/ESL</ns0:t>
        </ns0:is>
      </ns0:c>
      <ns0:c xmlns:ns0="http://schemas.openxmlformats.org/spreadsheetml/2006/main" r="AL19" s="11" t="inlineStr">
        <ns0:is>
          <ns0:t>General</ns0:t>
        </ns0:is>
      </ns0:c>
      <ns0:c xmlns:ns0="http://schemas.openxmlformats.org/spreadsheetml/2006/main" r="AM19" s="11" t="inlineStr">
        <ns0:is>
          <ns0:t>Spice Subcircuit</ns0:t>
        </ns0:is>
      </ns0:c>
      <ns0:c xmlns:ns0="http://schemas.openxmlformats.org/spreadsheetml/2006/main" r="AN19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19" s="11" t="inlineStr">
        <ns0:is>
          <ns0:t>X</ns0:t>
        </ns0:is>
      </ns0:c>
      <ns0:c xmlns:ns0="http://schemas.openxmlformats.org/spreadsheetml/2006/main" r="AP19" s="11" t="inlineStr">
        <ns0:is>
          <ns0:t>(1:1),(2:2)</ns0:t>
        </ns0:is>
      </ns0:c>
      <ns0:c xmlns:ns0="http://schemas.openxmlformats.org/spreadsheetml/2006/main" r="AQ19" s="11" t="inlineStr">
        <ns0:is>
          <ns0:t>Simulation\Capacitors\MY_LIB_C_RC.ckt</ns0:t>
        </ns0:is>
      </ns0:c>
    </ns0:row>
    <ns0:row r="20" ht="30" customHeight="1">
      <ns0:c r="A20" t="str" s="14">
        <ns0:v>C0021</ns0:v>
      </ns0:c>
      <ns0:c r="B20" t="str" s="14">
        <ns0:v>Конденсатор</ns0:v>
      </ns0:c>
      <ns0:c r="C20" t="str" s="14">
        <ns0:v>3.3n</ns0:v>
      </ns0:c>
      <ns0:c r="D20" t="str" s="11">
        <ns0:f>SUBSTITUTE(SUBSTITUTE(SUBSTITUTE(SUBSTITUTE(C20,"p"," пФ"),"n"," нФ"),"u"," мкФ"),".",",")</ns0:f>
        <ns0:v>3,3 нФ</ns0:v>
      </ns0:c>
      <ns0:c r="E20" t="str" s="14">
        <ns0:v>±5%</ns0:v>
      </ns0:c>
      <ns0:c r="F20" s="14"/>
      <ns0:c r="G20" t="str" s="14">
        <ns0:v>100 В</ns0:v>
      </ns0:c>
      <ns0:c r="H20" t="str" s="14">
        <ns0:v>X7R</ns0:v>
      </ns0:c>
      <ns0:c r="I20" t="str" s="15">
        <ns0:v>0805</ns0:v>
      </ns0:c>
      <ns0:c r="J20" t="str" s="14">
        <ns0:v>YAGEO</ns0:v>
      </ns0:c>
      <ns0:c r="K20" t="str" s="14">
        <ns0:v>CC0805JRX7R0BB332</ns0:v>
      </ns0:c>
      <ns0:c r="L20" t="str" s="11">
        <ns0:f>B20&amp;" "&amp;D20&amp;" "&amp;E20&amp;" "&amp;G20&amp;" "&amp;H20&amp;" "&amp;I20</ns0:f>
        <ns0:v>Конденсатор 3,3 нФ ±5% 100 В X7R 0805</ns0:v>
      </ns0:c>
      <ns0:c r="M20" t="str" s="13">
        <ns0:v>C</ns0:v>
      </ns0:c>
      <ns0:c r="N20" t="str" s="13">
        <ns0:v>Symbols\MY_LIB_Capacitors.SchLib</ns0:v>
      </ns0:c>
      <ns0:c r="O20" t="str" s="13">
        <ns0:v>CAPC2012X135N</ns0:v>
      </ns0:c>
      <ns0:c r="P20" t="str" s="13">
        <ns0:v>Footprints\PBL - SMD Packages.PcbLib</ns0:v>
      </ns0:c>
      <ns0:c r="Q20" t="str" s="14">
        <ns0:v>YAGEO CC; список 20.10.2026</ns0:v>
      </ns0:c>
      <ns0:c r="R20" t="str" s="11">
        <ns0:f>D20</ns0:f>
        <ns0:v>3,3 нФ</ns0:v>
      </ns0:c>
      <ns0:c r="S20" t="str" s="11">
        <ns0:f>L20</ns0:f>
        <ns0:v>Конденсатор 3,3 нФ ±5% 100 В X7R 0805</ns0:v>
      </ns0:c>
      <x:c xmlns:x="http://schemas.openxmlformats.org/spreadsheetml/2006/main" r="T20" t="str" s="11">
        <x:v>C:\Users\Nomatin\Documents\Altium\MY_LIB\MY_LIB\Datasheets\YAGEO_CC_X7R.pdf</x:v>
      </x:c>
      <x:c xmlns:x="http://schemas.openxmlformats.org/spreadsheetml/2006/main" r="U20" t="str" s="11">
        <x:v>Даташит — локальный</x:v>
      </x:c>
      <x:c xmlns:x="http://schemas.openxmlformats.org/spreadsheetml/2006/main" r="V20" t="str" s="11">
        <x:v>C:\Users\Nomatin\Documents\Altium\MY_LIB\MY_LIB\Datasheets\YAGEO_CC_X7R.pdf</x:v>
      </x:c>
      <x:c xmlns:x="http://schemas.openxmlformats.org/spreadsheetml/2006/main" r="W20" t="str" s="11">
        <x:v>Даташит — производитель</x:v>
      </x:c>
      <x:c xmlns:x="http://schemas.openxmlformats.org/spreadsheetml/2006/main" r="X20" t="str" s="11">
        <x:v>https://yageogroup.com/content/datasheet/asset/file/UPY-GPHC_X7R_6_3V-TO-250V</x:v>
      </x:c>
      <x:c xmlns:x="http://schemas.openxmlformats.org/spreadsheetml/2006/main" r="Y20" t="str" s="11">
        <x:v>C:\Users\Nomatin\Documents\Altium\MY_LIB\MY_LIB\Datasheets\YAGEO_CC_X7R.pdf</x:v>
      </x:c>
      <ns0:c xmlns:ns0="http://schemas.openxmlformats.org/spreadsheetml/2006/main" r="Z20" s="11">
        <ns0:v>3.3e-09</ns0:v>
      </ns0:c>
      <ns0:c xmlns:ns0="http://schemas.openxmlformats.org/spreadsheetml/2006/main" r="AA20" s="11">
        <ns0:v>0.025</ns0:v>
      </ns0:c>
      <ns0:c xmlns:ns0="http://schemas.openxmlformats.org/spreadsheetml/2006/main" r="AB20" s="11">
        <ns0:v>1000</ns0:v>
      </ns0:c>
      <ns0:c xmlns:ns0="http://schemas.openxmlformats.org/spreadsheetml/2006/main" r="AC20" s="11">
        <ns0:v>1</ns0:v>
      </ns0:c>
      <ns0:c xmlns:ns0="http://schemas.openxmlformats.org/spreadsheetml/2006/main" r="AD20" s="11">
        <ns0:v>20</ns0:v>
      </ns0:c>
      <ns0:c xmlns:ns0="http://schemas.openxmlformats.org/spreadsheetml/2006/main" r="AE20" s="11">
        <ns0:v>500</ns0:v>
      </ns0:c>
      <ns0:c xmlns:ns0="http://schemas.openxmlformats.org/spreadsheetml/2006/main" r="AF20" s="11">
        <ns0:v>10000000000</ns0:v>
      </ns0:c>
      <ns0:c xmlns:ns0="http://schemas.openxmlformats.org/spreadsheetml/2006/main" r="AG20" s="11">
        <ns0:v>100</ns0:v>
      </ns0:c>
      <ns0:c xmlns:ns0="http://schemas.openxmlformats.org/spreadsheetml/2006/main" r="AH20" s="11">
        <ns0:v>60</ns0:v>
      </ns0:c>
      <ns0:c xmlns:ns0="http://schemas.openxmlformats.org/spreadsheetml/2006/main" r="AI20" s="11">
        <ns0:v>1205.71926584769</ns0:v>
      </ns0:c>
      <ns0:c xmlns:ns0="http://schemas.openxmlformats.org/spreadsheetml/2006/main" r="AJ20" s="11" t="inlineStr">
        <ns0:is>
          <ns0:t>MY_LIB_C_RC</ns0:t>
        </ns0:is>
      </ns0:c>
      <ns0:c xmlns:ns0="http://schemas.openxmlformats.org/spreadsheetml/2006/main" r="AK20" s="11" t="inlineStr">
        <ns0:is>
          <ns0:t>Nominal C; DFmax at 1kHz; minimum insulation; no temperature/bias/ESL</ns0:t>
        </ns0:is>
      </ns0:c>
      <ns0:c xmlns:ns0="http://schemas.openxmlformats.org/spreadsheetml/2006/main" r="AL20" s="11" t="inlineStr">
        <ns0:is>
          <ns0:t>General</ns0:t>
        </ns0:is>
      </ns0:c>
      <ns0:c xmlns:ns0="http://schemas.openxmlformats.org/spreadsheetml/2006/main" r="AM20" s="11" t="inlineStr">
        <ns0:is>
          <ns0:t>Spice Subcircuit</ns0:t>
        </ns0:is>
      </ns0:c>
      <ns0:c xmlns:ns0="http://schemas.openxmlformats.org/spreadsheetml/2006/main" r="AN20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20" s="11" t="inlineStr">
        <ns0:is>
          <ns0:t>X</ns0:t>
        </ns0:is>
      </ns0:c>
      <ns0:c xmlns:ns0="http://schemas.openxmlformats.org/spreadsheetml/2006/main" r="AP20" s="11" t="inlineStr">
        <ns0:is>
          <ns0:t>(1:1),(2:2)</ns0:t>
        </ns0:is>
      </ns0:c>
      <ns0:c xmlns:ns0="http://schemas.openxmlformats.org/spreadsheetml/2006/main" r="AQ20" s="11" t="inlineStr">
        <ns0:is>
          <ns0:t>Simulation\Capacitors\MY_LIB_C_RC.ckt</ns0:t>
        </ns0:is>
      </ns0:c>
    </ns0:row>
    <ns0:row r="21" ht="30" customHeight="1">
      <ns0:c r="A21" t="str" s="14">
        <ns0:v>C0022</ns0:v>
      </ns0:c>
      <ns0:c r="B21" t="str" s="14">
        <ns0:v>Конденсатор</ns0:v>
      </ns0:c>
      <ns0:c r="C21" t="str" s="14">
        <ns0:v>3.9n</ns0:v>
      </ns0:c>
      <ns0:c r="D21" t="str" s="11">
        <ns0:f>SUBSTITUTE(SUBSTITUTE(SUBSTITUTE(SUBSTITUTE(C21,"p"," пФ"),"n"," нФ"),"u"," мкФ"),".",",")</ns0:f>
        <ns0:v>3,9 нФ</ns0:v>
      </ns0:c>
      <ns0:c r="E21" t="str" s="14">
        <ns0:v>±5%</ns0:v>
      </ns0:c>
      <ns0:c r="F21" s="14"/>
      <ns0:c r="G21" t="str" s="14">
        <ns0:v>100 В</ns0:v>
      </ns0:c>
      <ns0:c r="H21" t="str" s="14">
        <ns0:v>X7R</ns0:v>
      </ns0:c>
      <ns0:c r="I21" t="str" s="15">
        <ns0:v>0805</ns0:v>
      </ns0:c>
      <ns0:c r="J21" t="str" s="14">
        <ns0:v>YAGEO</ns0:v>
      </ns0:c>
      <ns0:c r="K21" t="str" s="14">
        <ns0:v>CC0805JRX7R0BB392</ns0:v>
      </ns0:c>
      <ns0:c r="L21" t="str" s="11">
        <ns0:f>B21&amp;" "&amp;D21&amp;" "&amp;E21&amp;" "&amp;G21&amp;" "&amp;H21&amp;" "&amp;I21</ns0:f>
        <ns0:v>Конденсатор 3,9 нФ ±5% 100 В X7R 0805</ns0:v>
      </ns0:c>
      <ns0:c r="M21" t="str" s="13">
        <ns0:v>C</ns0:v>
      </ns0:c>
      <ns0:c r="N21" t="str" s="13">
        <ns0:v>Symbols\MY_LIB_Capacitors.SchLib</ns0:v>
      </ns0:c>
      <ns0:c r="O21" t="str" s="13">
        <ns0:v>CAPC2012X135N</ns0:v>
      </ns0:c>
      <ns0:c r="P21" t="str" s="13">
        <ns0:v>Footprints\PBL - SMD Packages.PcbLib</ns0:v>
      </ns0:c>
      <ns0:c r="Q21" t="str" s="14">
        <ns0:v>YAGEO CC; список 20.10.2026</ns0:v>
      </ns0:c>
      <ns0:c r="R21" t="str" s="11">
        <ns0:f>D21</ns0:f>
        <ns0:v>3,9 нФ</ns0:v>
      </ns0:c>
      <ns0:c r="S21" t="str" s="11">
        <ns0:f>L21</ns0:f>
        <ns0:v>Конденсатор 3,9 нФ ±5% 100 В X7R 0805</ns0:v>
      </ns0:c>
      <x:c xmlns:x="http://schemas.openxmlformats.org/spreadsheetml/2006/main" r="T21" t="str" s="11">
        <x:v>C:\Users\Nomatin\Documents\Altium\MY_LIB\MY_LIB\Datasheets\YAGEO_CC_X7R.pdf</x:v>
      </x:c>
      <x:c xmlns:x="http://schemas.openxmlformats.org/spreadsheetml/2006/main" r="U21" t="str" s="11">
        <x:v>Даташит — локальный</x:v>
      </x:c>
      <x:c xmlns:x="http://schemas.openxmlformats.org/spreadsheetml/2006/main" r="V21" t="str" s="11">
        <x:v>C:\Users\Nomatin\Documents\Altium\MY_LIB\MY_LIB\Datasheets\YAGEO_CC_X7R.pdf</x:v>
      </x:c>
      <x:c xmlns:x="http://schemas.openxmlformats.org/spreadsheetml/2006/main" r="W21" t="str" s="11">
        <x:v>Даташит — производитель</x:v>
      </x:c>
      <x:c xmlns:x="http://schemas.openxmlformats.org/spreadsheetml/2006/main" r="X21" t="str" s="11">
        <x:v>https://yageogroup.com/content/datasheet/asset/file/UPY-GPHC_X7R_6_3V-TO-250V</x:v>
      </x:c>
      <x:c xmlns:x="http://schemas.openxmlformats.org/spreadsheetml/2006/main" r="Y21" t="str" s="11">
        <x:v>C:\Users\Nomatin\Documents\Altium\MY_LIB\MY_LIB\Datasheets\YAGEO_CC_X7R.pdf</x:v>
      </x:c>
      <ns0:c xmlns:ns0="http://schemas.openxmlformats.org/spreadsheetml/2006/main" r="Z21" s="11">
        <ns0:v>3.9e-09</ns0:v>
      </ns0:c>
      <ns0:c xmlns:ns0="http://schemas.openxmlformats.org/spreadsheetml/2006/main" r="AA21" s="11">
        <ns0:v>0.025</ns0:v>
      </ns0:c>
      <ns0:c xmlns:ns0="http://schemas.openxmlformats.org/spreadsheetml/2006/main" r="AB21" s="11">
        <ns0:v>1000</ns0:v>
      </ns0:c>
      <ns0:c xmlns:ns0="http://schemas.openxmlformats.org/spreadsheetml/2006/main" r="AC21" s="11">
        <ns0:v>1</ns0:v>
      </ns0:c>
      <ns0:c xmlns:ns0="http://schemas.openxmlformats.org/spreadsheetml/2006/main" r="AD21" s="11">
        <ns0:v>20</ns0:v>
      </ns0:c>
      <ns0:c xmlns:ns0="http://schemas.openxmlformats.org/spreadsheetml/2006/main" r="AE21" s="11">
        <ns0:v>500</ns0:v>
      </ns0:c>
      <ns0:c xmlns:ns0="http://schemas.openxmlformats.org/spreadsheetml/2006/main" r="AF21" s="11">
        <ns0:v>10000000000</ns0:v>
      </ns0:c>
      <ns0:c xmlns:ns0="http://schemas.openxmlformats.org/spreadsheetml/2006/main" r="AG21" s="11">
        <ns0:v>100</ns0:v>
      </ns0:c>
      <ns0:c xmlns:ns0="http://schemas.openxmlformats.org/spreadsheetml/2006/main" r="AH21" s="11">
        <ns0:v>60</ns0:v>
      </ns0:c>
      <ns0:c xmlns:ns0="http://schemas.openxmlformats.org/spreadsheetml/2006/main" r="AI21" s="11">
        <ns0:v>1020.22399417882</ns0:v>
      </ns0:c>
      <ns0:c xmlns:ns0="http://schemas.openxmlformats.org/spreadsheetml/2006/main" r="AJ21" s="11" t="inlineStr">
        <ns0:is>
          <ns0:t>MY_LIB_C_RC</ns0:t>
        </ns0:is>
      </ns0:c>
      <ns0:c xmlns:ns0="http://schemas.openxmlformats.org/spreadsheetml/2006/main" r="AK21" s="11" t="inlineStr">
        <ns0:is>
          <ns0:t>Nominal C; DFmax at 1kHz; minimum insulation; no temperature/bias/ESL</ns0:t>
        </ns0:is>
      </ns0:c>
      <ns0:c xmlns:ns0="http://schemas.openxmlformats.org/spreadsheetml/2006/main" r="AL21" s="11" t="inlineStr">
        <ns0:is>
          <ns0:t>General</ns0:t>
        </ns0:is>
      </ns0:c>
      <ns0:c xmlns:ns0="http://schemas.openxmlformats.org/spreadsheetml/2006/main" r="AM21" s="11" t="inlineStr">
        <ns0:is>
          <ns0:t>Spice Subcircuit</ns0:t>
        </ns0:is>
      </ns0:c>
      <ns0:c xmlns:ns0="http://schemas.openxmlformats.org/spreadsheetml/2006/main" r="AN21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21" s="11" t="inlineStr">
        <ns0:is>
          <ns0:t>X</ns0:t>
        </ns0:is>
      </ns0:c>
      <ns0:c xmlns:ns0="http://schemas.openxmlformats.org/spreadsheetml/2006/main" r="AP21" s="11" t="inlineStr">
        <ns0:is>
          <ns0:t>(1:1),(2:2)</ns0:t>
        </ns0:is>
      </ns0:c>
      <ns0:c xmlns:ns0="http://schemas.openxmlformats.org/spreadsheetml/2006/main" r="AQ21" s="11" t="inlineStr">
        <ns0:is>
          <ns0:t>Simulation\Capacitors\MY_LIB_C_RC.ckt</ns0:t>
        </ns0:is>
      </ns0:c>
    </ns0:row>
    <ns0:row r="22" ht="30" customHeight="1">
      <ns0:c r="A22" t="str" s="14">
        <ns0:v>C0023</ns0:v>
      </ns0:c>
      <ns0:c r="B22" t="str" s="14">
        <ns0:v>Конденсатор</ns0:v>
      </ns0:c>
      <ns0:c r="C22" t="str" s="14">
        <ns0:v>4.7n</ns0:v>
      </ns0:c>
      <ns0:c r="D22" t="str" s="11">
        <ns0:f>SUBSTITUTE(SUBSTITUTE(SUBSTITUTE(SUBSTITUTE(C22,"p"," пФ"),"n"," нФ"),"u"," мкФ"),".",",")</ns0:f>
        <ns0:v>4,7 нФ</ns0:v>
      </ns0:c>
      <ns0:c r="E22" t="str" s="14">
        <ns0:v>±5%</ns0:v>
      </ns0:c>
      <ns0:c r="F22" s="14"/>
      <ns0:c r="G22" t="str" s="14">
        <ns0:v>100 В</ns0:v>
      </ns0:c>
      <ns0:c r="H22" t="str" s="14">
        <ns0:v>X7R</ns0:v>
      </ns0:c>
      <ns0:c r="I22" t="str" s="15">
        <ns0:v>0805</ns0:v>
      </ns0:c>
      <ns0:c r="J22" t="str" s="14">
        <ns0:v>YAGEO</ns0:v>
      </ns0:c>
      <ns0:c r="K22" t="str" s="14">
        <ns0:v>CC0805JRX7R0BB472</ns0:v>
      </ns0:c>
      <ns0:c r="L22" t="str" s="11">
        <ns0:f>B22&amp;" "&amp;D22&amp;" "&amp;E22&amp;" "&amp;G22&amp;" "&amp;H22&amp;" "&amp;I22</ns0:f>
        <ns0:v>Конденсатор 4,7 нФ ±5% 100 В X7R 0805</ns0:v>
      </ns0:c>
      <ns0:c r="M22" t="str" s="13">
        <ns0:v>C</ns0:v>
      </ns0:c>
      <ns0:c r="N22" t="str" s="13">
        <ns0:v>Symbols\MY_LIB_Capacitors.SchLib</ns0:v>
      </ns0:c>
      <ns0:c r="O22" t="str" s="13">
        <ns0:v>CAPC2012X135N</ns0:v>
      </ns0:c>
      <ns0:c r="P22" t="str" s="13">
        <ns0:v>Footprints\PBL - SMD Packages.PcbLib</ns0:v>
      </ns0:c>
      <ns0:c r="Q22" t="str" s="14">
        <ns0:v>YAGEO CC; список 20.10.2026</ns0:v>
      </ns0:c>
      <ns0:c r="R22" t="str" s="11">
        <ns0:f>D22</ns0:f>
        <ns0:v>4,7 нФ</ns0:v>
      </ns0:c>
      <ns0:c r="S22" t="str" s="11">
        <ns0:f>L22</ns0:f>
        <ns0:v>Конденсатор 4,7 нФ ±5% 100 В X7R 0805</ns0:v>
      </ns0:c>
      <x:c xmlns:x="http://schemas.openxmlformats.org/spreadsheetml/2006/main" r="T22" t="str" s="11">
        <x:v>C:\Users\Nomatin\Documents\Altium\MY_LIB\MY_LIB\Datasheets\YAGEO_CC_X7R.pdf</x:v>
      </x:c>
      <x:c xmlns:x="http://schemas.openxmlformats.org/spreadsheetml/2006/main" r="U22" t="str" s="11">
        <x:v>Даташит — локальный</x:v>
      </x:c>
      <x:c xmlns:x="http://schemas.openxmlformats.org/spreadsheetml/2006/main" r="V22" t="str" s="11">
        <x:v>C:\Users\Nomatin\Documents\Altium\MY_LIB\MY_LIB\Datasheets\YAGEO_CC_X7R.pdf</x:v>
      </x:c>
      <x:c xmlns:x="http://schemas.openxmlformats.org/spreadsheetml/2006/main" r="W22" t="str" s="11">
        <x:v>Даташит — производитель</x:v>
      </x:c>
      <x:c xmlns:x="http://schemas.openxmlformats.org/spreadsheetml/2006/main" r="X22" t="str" s="11">
        <x:v>https://yageogroup.com/content/datasheet/asset/file/UPY-GPHC_X7R_6_3V-TO-250V</x:v>
      </x:c>
      <x:c xmlns:x="http://schemas.openxmlformats.org/spreadsheetml/2006/main" r="Y22" t="str" s="11">
        <x:v>C:\Users\Nomatin\Documents\Altium\MY_LIB\MY_LIB\Datasheets\YAGEO_CC_X7R.pdf</x:v>
      </x:c>
      <ns0:c xmlns:ns0="http://schemas.openxmlformats.org/spreadsheetml/2006/main" r="Z22" s="11">
        <ns0:v>4.7e-09</ns0:v>
      </ns0:c>
      <ns0:c xmlns:ns0="http://schemas.openxmlformats.org/spreadsheetml/2006/main" r="AA22" s="11">
        <ns0:v>0.025</ns0:v>
      </ns0:c>
      <ns0:c xmlns:ns0="http://schemas.openxmlformats.org/spreadsheetml/2006/main" r="AB22" s="11">
        <ns0:v>1000</ns0:v>
      </ns0:c>
      <ns0:c xmlns:ns0="http://schemas.openxmlformats.org/spreadsheetml/2006/main" r="AC22" s="11">
        <ns0:v>1</ns0:v>
      </ns0:c>
      <ns0:c xmlns:ns0="http://schemas.openxmlformats.org/spreadsheetml/2006/main" r="AD22" s="11">
        <ns0:v>20</ns0:v>
      </ns0:c>
      <ns0:c xmlns:ns0="http://schemas.openxmlformats.org/spreadsheetml/2006/main" r="AE22" s="11">
        <ns0:v>500</ns0:v>
      </ns0:c>
      <ns0:c xmlns:ns0="http://schemas.openxmlformats.org/spreadsheetml/2006/main" r="AF22" s="11">
        <ns0:v>10000000000</ns0:v>
      </ns0:c>
      <ns0:c xmlns:ns0="http://schemas.openxmlformats.org/spreadsheetml/2006/main" r="AG22" s="11">
        <ns0:v>100</ns0:v>
      </ns0:c>
      <ns0:c xmlns:ns0="http://schemas.openxmlformats.org/spreadsheetml/2006/main" r="AH22" s="11">
        <ns0:v>60</ns0:v>
      </ns0:c>
      <ns0:c xmlns:ns0="http://schemas.openxmlformats.org/spreadsheetml/2006/main" r="AI22" s="11">
        <ns0:v>846.568846233486</ns0:v>
      </ns0:c>
      <ns0:c xmlns:ns0="http://schemas.openxmlformats.org/spreadsheetml/2006/main" r="AJ22" s="11" t="inlineStr">
        <ns0:is>
          <ns0:t>MY_LIB_C_RC</ns0:t>
        </ns0:is>
      </ns0:c>
      <ns0:c xmlns:ns0="http://schemas.openxmlformats.org/spreadsheetml/2006/main" r="AK22" s="11" t="inlineStr">
        <ns0:is>
          <ns0:t>Nominal C; DFmax at 1kHz; minimum insulation; no temperature/bias/ESL</ns0:t>
        </ns0:is>
      </ns0:c>
      <ns0:c xmlns:ns0="http://schemas.openxmlformats.org/spreadsheetml/2006/main" r="AL22" s="11" t="inlineStr">
        <ns0:is>
          <ns0:t>General</ns0:t>
        </ns0:is>
      </ns0:c>
      <ns0:c xmlns:ns0="http://schemas.openxmlformats.org/spreadsheetml/2006/main" r="AM22" s="11" t="inlineStr">
        <ns0:is>
          <ns0:t>Spice Subcircuit</ns0:t>
        </ns0:is>
      </ns0:c>
      <ns0:c xmlns:ns0="http://schemas.openxmlformats.org/spreadsheetml/2006/main" r="AN22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22" s="11" t="inlineStr">
        <ns0:is>
          <ns0:t>X</ns0:t>
        </ns0:is>
      </ns0:c>
      <ns0:c xmlns:ns0="http://schemas.openxmlformats.org/spreadsheetml/2006/main" r="AP22" s="11" t="inlineStr">
        <ns0:is>
          <ns0:t>(1:1),(2:2)</ns0:t>
        </ns0:is>
      </ns0:c>
      <ns0:c xmlns:ns0="http://schemas.openxmlformats.org/spreadsheetml/2006/main" r="AQ22" s="11" t="inlineStr">
        <ns0:is>
          <ns0:t>Simulation\Capacitors\MY_LIB_C_RC.ckt</ns0:t>
        </ns0:is>
      </ns0:c>
    </ns0:row>
    <ns0:row r="23" ht="30" customHeight="1">
      <ns0:c r="A23" t="str" s="14">
        <ns0:v>C0024</ns0:v>
      </ns0:c>
      <ns0:c r="B23" t="str" s="14">
        <ns0:v>Конденсатор</ns0:v>
      </ns0:c>
      <ns0:c r="C23" t="str" s="14">
        <ns0:v>5.6n</ns0:v>
      </ns0:c>
      <ns0:c r="D23" t="str" s="11">
        <ns0:f>SUBSTITUTE(SUBSTITUTE(SUBSTITUTE(SUBSTITUTE(C23,"p"," пФ"),"n"," нФ"),"u"," мкФ"),".",",")</ns0:f>
        <ns0:v>5,6 нФ</ns0:v>
      </ns0:c>
      <ns0:c r="E23" t="str" s="14">
        <ns0:v>±5%</ns0:v>
      </ns0:c>
      <ns0:c r="F23" s="14"/>
      <ns0:c r="G23" t="str" s="14">
        <ns0:v>100 В</ns0:v>
      </ns0:c>
      <ns0:c r="H23" t="str" s="14">
        <ns0:v>X7R</ns0:v>
      </ns0:c>
      <ns0:c r="I23" t="str" s="15">
        <ns0:v>0805</ns0:v>
      </ns0:c>
      <ns0:c r="J23" t="str" s="14">
        <ns0:v>YAGEO</ns0:v>
      </ns0:c>
      <ns0:c r="K23" t="str" s="14">
        <ns0:v>CC0805JRX7R0BB562</ns0:v>
      </ns0:c>
      <ns0:c r="L23" t="str" s="11">
        <ns0:f>B23&amp;" "&amp;D23&amp;" "&amp;E23&amp;" "&amp;G23&amp;" "&amp;H23&amp;" "&amp;I23</ns0:f>
        <ns0:v>Конденсатор 5,6 нФ ±5% 100 В X7R 0805</ns0:v>
      </ns0:c>
      <ns0:c r="M23" t="str" s="13">
        <ns0:v>C</ns0:v>
      </ns0:c>
      <ns0:c r="N23" t="str" s="13">
        <ns0:v>Symbols\MY_LIB_Capacitors.SchLib</ns0:v>
      </ns0:c>
      <ns0:c r="O23" t="str" s="13">
        <ns0:v>CAPC2012X135N</ns0:v>
      </ns0:c>
      <ns0:c r="P23" t="str" s="13">
        <ns0:v>Footprints\PBL - SMD Packages.PcbLib</ns0:v>
      </ns0:c>
      <ns0:c r="Q23" t="str" s="14">
        <ns0:v>YAGEO CC; список 20.10.2026</ns0:v>
      </ns0:c>
      <ns0:c r="R23" t="str" s="11">
        <ns0:f>D23</ns0:f>
        <ns0:v>5,6 нФ</ns0:v>
      </ns0:c>
      <ns0:c r="S23" t="str" s="11">
        <ns0:f>L23</ns0:f>
        <ns0:v>Конденсатор 5,6 нФ ±5% 100 В X7R 0805</ns0:v>
      </ns0:c>
      <x:c xmlns:x="http://schemas.openxmlformats.org/spreadsheetml/2006/main" r="T23" t="str" s="11">
        <x:v>C:\Users\Nomatin\Documents\Altium\MY_LIB\MY_LIB\Datasheets\YAGEO_CC_X7R.pdf</x:v>
      </x:c>
      <x:c xmlns:x="http://schemas.openxmlformats.org/spreadsheetml/2006/main" r="U23" t="str" s="11">
        <x:v>Даташит — локальный</x:v>
      </x:c>
      <x:c xmlns:x="http://schemas.openxmlformats.org/spreadsheetml/2006/main" r="V23" t="str" s="11">
        <x:v>C:\Users\Nomatin\Documents\Altium\MY_LIB\MY_LIB\Datasheets\YAGEO_CC_X7R.pdf</x:v>
      </x:c>
      <x:c xmlns:x="http://schemas.openxmlformats.org/spreadsheetml/2006/main" r="W23" t="str" s="11">
        <x:v>Даташит — производитель</x:v>
      </x:c>
      <x:c xmlns:x="http://schemas.openxmlformats.org/spreadsheetml/2006/main" r="X23" t="str" s="11">
        <x:v>https://yageogroup.com/content/datasheet/asset/file/UPY-GPHC_X7R_6_3V-TO-250V</x:v>
      </x:c>
      <x:c xmlns:x="http://schemas.openxmlformats.org/spreadsheetml/2006/main" r="Y23" t="str" s="11">
        <x:v>C:\Users\Nomatin\Documents\Altium\MY_LIB\MY_LIB\Datasheets\YAGEO_CC_X7R.pdf</x:v>
      </x:c>
      <ns0:c xmlns:ns0="http://schemas.openxmlformats.org/spreadsheetml/2006/main" r="Z23" s="11">
        <ns0:v>5.6e-09</ns0:v>
      </ns0:c>
      <ns0:c xmlns:ns0="http://schemas.openxmlformats.org/spreadsheetml/2006/main" r="AA23" s="11">
        <ns0:v>0.025</ns0:v>
      </ns0:c>
      <ns0:c xmlns:ns0="http://schemas.openxmlformats.org/spreadsheetml/2006/main" r="AB23" s="11">
        <ns0:v>1000</ns0:v>
      </ns0:c>
      <ns0:c xmlns:ns0="http://schemas.openxmlformats.org/spreadsheetml/2006/main" r="AC23" s="11">
        <ns0:v>1</ns0:v>
      </ns0:c>
      <ns0:c xmlns:ns0="http://schemas.openxmlformats.org/spreadsheetml/2006/main" r="AD23" s="11">
        <ns0:v>20</ns0:v>
      </ns0:c>
      <ns0:c xmlns:ns0="http://schemas.openxmlformats.org/spreadsheetml/2006/main" r="AE23" s="11">
        <ns0:v>500</ns0:v>
      </ns0:c>
      <ns0:c xmlns:ns0="http://schemas.openxmlformats.org/spreadsheetml/2006/main" r="AF23" s="11">
        <ns0:v>10000000000</ns0:v>
      </ns0:c>
      <ns0:c xmlns:ns0="http://schemas.openxmlformats.org/spreadsheetml/2006/main" r="AG23" s="11">
        <ns0:v>100</ns0:v>
      </ns0:c>
      <ns0:c xmlns:ns0="http://schemas.openxmlformats.org/spreadsheetml/2006/main" r="AH23" s="11">
        <ns0:v>60</ns0:v>
      </ns0:c>
      <ns0:c xmlns:ns0="http://schemas.openxmlformats.org/spreadsheetml/2006/main" r="AI23" s="11">
        <ns0:v>710.513138803104</ns0:v>
      </ns0:c>
      <ns0:c xmlns:ns0="http://schemas.openxmlformats.org/spreadsheetml/2006/main" r="AJ23" s="11" t="inlineStr">
        <ns0:is>
          <ns0:t>MY_LIB_C_RC</ns0:t>
        </ns0:is>
      </ns0:c>
      <ns0:c xmlns:ns0="http://schemas.openxmlformats.org/spreadsheetml/2006/main" r="AK23" s="11" t="inlineStr">
        <ns0:is>
          <ns0:t>Nominal C; DFmax at 1kHz; minimum insulation; no temperature/bias/ESL</ns0:t>
        </ns0:is>
      </ns0:c>
      <ns0:c xmlns:ns0="http://schemas.openxmlformats.org/spreadsheetml/2006/main" r="AL23" s="11" t="inlineStr">
        <ns0:is>
          <ns0:t>General</ns0:t>
        </ns0:is>
      </ns0:c>
      <ns0:c xmlns:ns0="http://schemas.openxmlformats.org/spreadsheetml/2006/main" r="AM23" s="11" t="inlineStr">
        <ns0:is>
          <ns0:t>Spice Subcircuit</ns0:t>
        </ns0:is>
      </ns0:c>
      <ns0:c xmlns:ns0="http://schemas.openxmlformats.org/spreadsheetml/2006/main" r="AN23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23" s="11" t="inlineStr">
        <ns0:is>
          <ns0:t>X</ns0:t>
        </ns0:is>
      </ns0:c>
      <ns0:c xmlns:ns0="http://schemas.openxmlformats.org/spreadsheetml/2006/main" r="AP23" s="11" t="inlineStr">
        <ns0:is>
          <ns0:t>(1:1),(2:2)</ns0:t>
        </ns0:is>
      </ns0:c>
      <ns0:c xmlns:ns0="http://schemas.openxmlformats.org/spreadsheetml/2006/main" r="AQ23" s="11" t="inlineStr">
        <ns0:is>
          <ns0:t>Simulation\Capacitors\MY_LIB_C_RC.ckt</ns0:t>
        </ns0:is>
      </ns0:c>
    </ns0:row>
    <ns0:row r="24" ht="30" customHeight="1">
      <ns0:c r="A24" t="str" s="14">
        <ns0:v>C0025</ns0:v>
      </ns0:c>
      <ns0:c r="B24" t="str" s="14">
        <ns0:v>Конденсатор</ns0:v>
      </ns0:c>
      <ns0:c r="C24" t="str" s="14">
        <ns0:v>6.8n</ns0:v>
      </ns0:c>
      <ns0:c r="D24" t="str" s="11">
        <ns0:f>SUBSTITUTE(SUBSTITUTE(SUBSTITUTE(SUBSTITUTE(C24,"p"," пФ"),"n"," нФ"),"u"," мкФ"),".",",")</ns0:f>
        <ns0:v>6,8 нФ</ns0:v>
      </ns0:c>
      <ns0:c r="E24" t="str" s="14">
        <ns0:v>±5%</ns0:v>
      </ns0:c>
      <ns0:c r="F24" s="14"/>
      <ns0:c r="G24" t="str" s="14">
        <ns0:v>100 В</ns0:v>
      </ns0:c>
      <ns0:c r="H24" t="str" s="14">
        <ns0:v>X7R</ns0:v>
      </ns0:c>
      <ns0:c r="I24" t="str" s="15">
        <ns0:v>0805</ns0:v>
      </ns0:c>
      <ns0:c r="J24" t="str" s="14">
        <ns0:v>YAGEO</ns0:v>
      </ns0:c>
      <ns0:c r="K24" t="str" s="14">
        <ns0:v>CC0805JRX7R0BB682</ns0:v>
      </ns0:c>
      <ns0:c r="L24" t="str" s="11">
        <ns0:f>B24&amp;" "&amp;D24&amp;" "&amp;E24&amp;" "&amp;G24&amp;" "&amp;H24&amp;" "&amp;I24</ns0:f>
        <ns0:v>Конденсатор 6,8 нФ ±5% 100 В X7R 0805</ns0:v>
      </ns0:c>
      <ns0:c r="M24" t="str" s="13">
        <ns0:v>C</ns0:v>
      </ns0:c>
      <ns0:c r="N24" t="str" s="13">
        <ns0:v>Symbols\MY_LIB_Capacitors.SchLib</ns0:v>
      </ns0:c>
      <ns0:c r="O24" t="str" s="13">
        <ns0:v>CAPC2012X135N</ns0:v>
      </ns0:c>
      <ns0:c r="P24" t="str" s="13">
        <ns0:v>Footprints\PBL - SMD Packages.PcbLib</ns0:v>
      </ns0:c>
      <ns0:c r="Q24" t="str" s="14">
        <ns0:v>YAGEO CC; список 20.10.2026</ns0:v>
      </ns0:c>
      <ns0:c r="R24" t="str" s="11">
        <ns0:f>D24</ns0:f>
        <ns0:v>6,8 нФ</ns0:v>
      </ns0:c>
      <ns0:c r="S24" t="str" s="11">
        <ns0:f>L24</ns0:f>
        <ns0:v>Конденсатор 6,8 нФ ±5% 100 В X7R 0805</ns0:v>
      </ns0:c>
      <x:c xmlns:x="http://schemas.openxmlformats.org/spreadsheetml/2006/main" r="T24" t="str" s="11">
        <x:v>C:\Users\Nomatin\Documents\Altium\MY_LIB\MY_LIB\Datasheets\YAGEO_CC_X7R.pdf</x:v>
      </x:c>
      <x:c xmlns:x="http://schemas.openxmlformats.org/spreadsheetml/2006/main" r="U24" t="str" s="11">
        <x:v>Даташит — локальный</x:v>
      </x:c>
      <x:c xmlns:x="http://schemas.openxmlformats.org/spreadsheetml/2006/main" r="V24" t="str" s="11">
        <x:v>C:\Users\Nomatin\Documents\Altium\MY_LIB\MY_LIB\Datasheets\YAGEO_CC_X7R.pdf</x:v>
      </x:c>
      <x:c xmlns:x="http://schemas.openxmlformats.org/spreadsheetml/2006/main" r="W24" t="str" s="11">
        <x:v>Даташит — производитель</x:v>
      </x:c>
      <x:c xmlns:x="http://schemas.openxmlformats.org/spreadsheetml/2006/main" r="X24" t="str" s="11">
        <x:v>https://yageogroup.com/content/datasheet/asset/file/UPY-GPHC_X7R_6_3V-TO-250V</x:v>
      </x:c>
      <x:c xmlns:x="http://schemas.openxmlformats.org/spreadsheetml/2006/main" r="Y24" t="str" s="11">
        <x:v>C:\Users\Nomatin\Documents\Altium\MY_LIB\MY_LIB\Datasheets\YAGEO_CC_X7R.pdf</x:v>
      </x:c>
      <ns0:c xmlns:ns0="http://schemas.openxmlformats.org/spreadsheetml/2006/main" r="Z24" s="11">
        <ns0:v>6.8e-09</ns0:v>
      </ns0:c>
      <ns0:c xmlns:ns0="http://schemas.openxmlformats.org/spreadsheetml/2006/main" r="AA24" s="11">
        <ns0:v>0.025</ns0:v>
      </ns0:c>
      <ns0:c xmlns:ns0="http://schemas.openxmlformats.org/spreadsheetml/2006/main" r="AB24" s="11">
        <ns0:v>1000</ns0:v>
      </ns0:c>
      <ns0:c xmlns:ns0="http://schemas.openxmlformats.org/spreadsheetml/2006/main" r="AC24" s="11">
        <ns0:v>1</ns0:v>
      </ns0:c>
      <ns0:c xmlns:ns0="http://schemas.openxmlformats.org/spreadsheetml/2006/main" r="AD24" s="11">
        <ns0:v>20</ns0:v>
      </ns0:c>
      <ns0:c xmlns:ns0="http://schemas.openxmlformats.org/spreadsheetml/2006/main" r="AE24" s="11">
        <ns0:v>500</ns0:v>
      </ns0:c>
      <ns0:c xmlns:ns0="http://schemas.openxmlformats.org/spreadsheetml/2006/main" r="AF24" s="11">
        <ns0:v>10000000000</ns0:v>
      </ns0:c>
      <ns0:c xmlns:ns0="http://schemas.openxmlformats.org/spreadsheetml/2006/main" r="AG24" s="11">
        <ns0:v>100</ns0:v>
      </ns0:c>
      <ns0:c xmlns:ns0="http://schemas.openxmlformats.org/spreadsheetml/2006/main" r="AH24" s="11">
        <ns0:v>60</ns0:v>
      </ns0:c>
      <ns0:c xmlns:ns0="http://schemas.openxmlformats.org/spreadsheetml/2006/main" r="AI24" s="11">
        <ns0:v>585.128467249615</ns0:v>
      </ns0:c>
      <ns0:c xmlns:ns0="http://schemas.openxmlformats.org/spreadsheetml/2006/main" r="AJ24" s="11" t="inlineStr">
        <ns0:is>
          <ns0:t>MY_LIB_C_RC</ns0:t>
        </ns0:is>
      </ns0:c>
      <ns0:c xmlns:ns0="http://schemas.openxmlformats.org/spreadsheetml/2006/main" r="AK24" s="11" t="inlineStr">
        <ns0:is>
          <ns0:t>Nominal C; DFmax at 1kHz; minimum insulation; no temperature/bias/ESL</ns0:t>
        </ns0:is>
      </ns0:c>
      <ns0:c xmlns:ns0="http://schemas.openxmlformats.org/spreadsheetml/2006/main" r="AL24" s="11" t="inlineStr">
        <ns0:is>
          <ns0:t>General</ns0:t>
        </ns0:is>
      </ns0:c>
      <ns0:c xmlns:ns0="http://schemas.openxmlformats.org/spreadsheetml/2006/main" r="AM24" s="11" t="inlineStr">
        <ns0:is>
          <ns0:t>Spice Subcircuit</ns0:t>
        </ns0:is>
      </ns0:c>
      <ns0:c xmlns:ns0="http://schemas.openxmlformats.org/spreadsheetml/2006/main" r="AN24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24" s="11" t="inlineStr">
        <ns0:is>
          <ns0:t>X</ns0:t>
        </ns0:is>
      </ns0:c>
      <ns0:c xmlns:ns0="http://schemas.openxmlformats.org/spreadsheetml/2006/main" r="AP24" s="11" t="inlineStr">
        <ns0:is>
          <ns0:t>(1:1),(2:2)</ns0:t>
        </ns0:is>
      </ns0:c>
      <ns0:c xmlns:ns0="http://schemas.openxmlformats.org/spreadsheetml/2006/main" r="AQ24" s="11" t="inlineStr">
        <ns0:is>
          <ns0:t>Simulation\Capacitors\MY_LIB_C_RC.ckt</ns0:t>
        </ns0:is>
      </ns0:c>
    </ns0:row>
    <ns0:row r="25" ht="30" customHeight="1">
      <ns0:c r="A25" t="str" s="14">
        <ns0:v>C0026</ns0:v>
      </ns0:c>
      <ns0:c r="B25" t="str" s="14">
        <ns0:v>Конденсатор</ns0:v>
      </ns0:c>
      <ns0:c r="C25" t="str" s="14">
        <ns0:v>8.2n</ns0:v>
      </ns0:c>
      <ns0:c r="D25" t="str" s="11">
        <ns0:f>SUBSTITUTE(SUBSTITUTE(SUBSTITUTE(SUBSTITUTE(C25,"p"," пФ"),"n"," нФ"),"u"," мкФ"),".",",")</ns0:f>
        <ns0:v>8,2 нФ</ns0:v>
      </ns0:c>
      <ns0:c r="E25" t="str" s="14">
        <ns0:v>±5%</ns0:v>
      </ns0:c>
      <ns0:c r="F25" s="14"/>
      <ns0:c r="G25" t="str" s="14">
        <ns0:v>100 В</ns0:v>
      </ns0:c>
      <ns0:c r="H25" t="str" s="14">
        <ns0:v>X7R</ns0:v>
      </ns0:c>
      <ns0:c r="I25" t="str" s="15">
        <ns0:v>0805</ns0:v>
      </ns0:c>
      <ns0:c r="J25" t="str" s="14">
        <ns0:v>YAGEO</ns0:v>
      </ns0:c>
      <ns0:c r="K25" t="str" s="14">
        <ns0:v>CC0805JRX7R0BB822</ns0:v>
      </ns0:c>
      <ns0:c r="L25" t="str" s="11">
        <ns0:f>B25&amp;" "&amp;D25&amp;" "&amp;E25&amp;" "&amp;G25&amp;" "&amp;H25&amp;" "&amp;I25</ns0:f>
        <ns0:v>Конденсатор 8,2 нФ ±5% 100 В X7R 0805</ns0:v>
      </ns0:c>
      <ns0:c r="M25" t="str" s="13">
        <ns0:v>C</ns0:v>
      </ns0:c>
      <ns0:c r="N25" t="str" s="13">
        <ns0:v>Symbols\MY_LIB_Capacitors.SchLib</ns0:v>
      </ns0:c>
      <ns0:c r="O25" t="str" s="13">
        <ns0:v>CAPC2012X135N</ns0:v>
      </ns0:c>
      <ns0:c r="P25" t="str" s="13">
        <ns0:v>Footprints\PBL - SMD Packages.PcbLib</ns0:v>
      </ns0:c>
      <ns0:c r="Q25" t="str" s="14">
        <ns0:v>YAGEO CC; список 20.10.2026</ns0:v>
      </ns0:c>
      <ns0:c r="R25" t="str" s="11">
        <ns0:f>D25</ns0:f>
        <ns0:v>8,2 нФ</ns0:v>
      </ns0:c>
      <ns0:c r="S25" t="str" s="11">
        <ns0:f>L25</ns0:f>
        <ns0:v>Конденсатор 8,2 нФ ±5% 100 В X7R 0805</ns0:v>
      </ns0:c>
      <x:c xmlns:x="http://schemas.openxmlformats.org/spreadsheetml/2006/main" r="T25" t="str" s="11">
        <x:v>C:\Users\Nomatin\Documents\Altium\MY_LIB\MY_LIB\Datasheets\YAGEO_CC_X7R.pdf</x:v>
      </x:c>
      <x:c xmlns:x="http://schemas.openxmlformats.org/spreadsheetml/2006/main" r="U25" t="str" s="11">
        <x:v>Даташит — локальный</x:v>
      </x:c>
      <x:c xmlns:x="http://schemas.openxmlformats.org/spreadsheetml/2006/main" r="V25" t="str" s="11">
        <x:v>C:\Users\Nomatin\Documents\Altium\MY_LIB\MY_LIB\Datasheets\YAGEO_CC_X7R.pdf</x:v>
      </x:c>
      <x:c xmlns:x="http://schemas.openxmlformats.org/spreadsheetml/2006/main" r="W25" t="str" s="11">
        <x:v>Даташит — производитель</x:v>
      </x:c>
      <x:c xmlns:x="http://schemas.openxmlformats.org/spreadsheetml/2006/main" r="X25" t="str" s="11">
        <x:v>https://yageogroup.com/content/datasheet/asset/file/UPY-GPHC_X7R_6_3V-TO-250V</x:v>
      </x:c>
      <x:c xmlns:x="http://schemas.openxmlformats.org/spreadsheetml/2006/main" r="Y25" t="str" s="11">
        <x:v>C:\Users\Nomatin\Documents\Altium\MY_LIB\MY_LIB\Datasheets\YAGEO_CC_X7R.pdf</x:v>
      </x:c>
      <ns0:c xmlns:ns0="http://schemas.openxmlformats.org/spreadsheetml/2006/main" r="Z25" s="11">
        <ns0:v>8.2e-09</ns0:v>
      </ns0:c>
      <ns0:c xmlns:ns0="http://schemas.openxmlformats.org/spreadsheetml/2006/main" r="AA25" s="11">
        <ns0:v>0.025</ns0:v>
      </ns0:c>
      <ns0:c xmlns:ns0="http://schemas.openxmlformats.org/spreadsheetml/2006/main" r="AB25" s="11">
        <ns0:v>1000</ns0:v>
      </ns0:c>
      <ns0:c xmlns:ns0="http://schemas.openxmlformats.org/spreadsheetml/2006/main" r="AC25" s="11">
        <ns0:v>1</ns0:v>
      </ns0:c>
      <ns0:c xmlns:ns0="http://schemas.openxmlformats.org/spreadsheetml/2006/main" r="AD25" s="11">
        <ns0:v>20</ns0:v>
      </ns0:c>
      <ns0:c xmlns:ns0="http://schemas.openxmlformats.org/spreadsheetml/2006/main" r="AE25" s="11">
        <ns0:v>500</ns0:v>
      </ns0:c>
      <ns0:c xmlns:ns0="http://schemas.openxmlformats.org/spreadsheetml/2006/main" r="AF25" s="11">
        <ns0:v>10000000000</ns0:v>
      </ns0:c>
      <ns0:c xmlns:ns0="http://schemas.openxmlformats.org/spreadsheetml/2006/main" r="AG25" s="11">
        <ns0:v>100</ns0:v>
      </ns0:c>
      <ns0:c xmlns:ns0="http://schemas.openxmlformats.org/spreadsheetml/2006/main" r="AH25" s="11">
        <ns0:v>60</ns0:v>
      </ns0:c>
      <ns0:c xmlns:ns0="http://schemas.openxmlformats.org/spreadsheetml/2006/main" r="AI25" s="11">
        <ns0:v>485.228485036266</ns0:v>
      </ns0:c>
      <ns0:c xmlns:ns0="http://schemas.openxmlformats.org/spreadsheetml/2006/main" r="AJ25" s="11" t="inlineStr">
        <ns0:is>
          <ns0:t>MY_LIB_C_RC</ns0:t>
        </ns0:is>
      </ns0:c>
      <ns0:c xmlns:ns0="http://schemas.openxmlformats.org/spreadsheetml/2006/main" r="AK25" s="11" t="inlineStr">
        <ns0:is>
          <ns0:t>Nominal C; DFmax at 1kHz; minimum insulation; no temperature/bias/ESL</ns0:t>
        </ns0:is>
      </ns0:c>
      <ns0:c xmlns:ns0="http://schemas.openxmlformats.org/spreadsheetml/2006/main" r="AL25" s="11" t="inlineStr">
        <ns0:is>
          <ns0:t>General</ns0:t>
        </ns0:is>
      </ns0:c>
      <ns0:c xmlns:ns0="http://schemas.openxmlformats.org/spreadsheetml/2006/main" r="AM25" s="11" t="inlineStr">
        <ns0:is>
          <ns0:t>Spice Subcircuit</ns0:t>
        </ns0:is>
      </ns0:c>
      <ns0:c xmlns:ns0="http://schemas.openxmlformats.org/spreadsheetml/2006/main" r="AN25" s="11" t="inlineStr">
        <ns0:is>
          <ns0:t>@DESIGNATOR %1 %2 @MODEL PARAMS: Cvalue=8.2e-09 Rsvalue=485.228485036266 Rinsvalue=10000000000</ns0:t>
        </ns0:is>
      </ns0:c>
      <ns0:c xmlns:ns0="http://schemas.openxmlformats.org/spreadsheetml/2006/main" r="AO25" s="11" t="inlineStr">
        <ns0:is>
          <ns0:t>X</ns0:t>
        </ns0:is>
      </ns0:c>
      <ns0:c xmlns:ns0="http://schemas.openxmlformats.org/spreadsheetml/2006/main" r="AP25" s="11" t="inlineStr">
        <ns0:is>
          <ns0:t>(1:1),(2:2)</ns0:t>
        </ns0:is>
      </ns0:c>
      <ns0:c xmlns:ns0="http://schemas.openxmlformats.org/spreadsheetml/2006/main" r="AQ25" s="11" t="inlineStr">
        <ns0:is>
          <ns0:t>Simulation\Capacitors\MY_LIB_C_RC.ckt</ns0:t>
        </ns0:is>
      </ns0:c>
    </ns0:row>
    <ns0:row r="26" ht="30" customHeight="1">
      <ns0:c r="A26" t="str" s="14">
        <ns0:v>C0027</ns0:v>
      </ns0:c>
      <ns0:c r="B26" t="str" s="14">
        <ns0:v>Конденсатор</ns0:v>
      </ns0:c>
      <ns0:c r="C26" t="str" s="14">
        <ns0:v>10n</ns0:v>
      </ns0:c>
      <ns0:c r="D26" t="str" s="11">
        <ns0:f>SUBSTITUTE(SUBSTITUTE(SUBSTITUTE(SUBSTITUTE(C26,"p"," пФ"),"n"," нФ"),"u"," мкФ"),".",",")</ns0:f>
        <ns0:v>10 нФ</ns0:v>
      </ns0:c>
      <ns0:c r="E26" t="str" s="14">
        <ns0:v>±5%</ns0:v>
      </ns0:c>
      <ns0:c r="F26" s="14"/>
      <ns0:c r="G26" t="str" s="14">
        <ns0:v>100 В</ns0:v>
      </ns0:c>
      <ns0:c r="H26" t="str" s="14">
        <ns0:v>X7R</ns0:v>
      </ns0:c>
      <ns0:c r="I26" t="str" s="15">
        <ns0:v>0805</ns0:v>
      </ns0:c>
      <ns0:c r="J26" t="str" s="14">
        <ns0:v>YAGEO</ns0:v>
      </ns0:c>
      <ns0:c r="K26" t="str" s="14">
        <ns0:v>CC0805JKX7R0BB103</ns0:v>
      </ns0:c>
      <ns0:c r="L26" t="str" s="11">
        <ns0:f>B26&amp;" "&amp;D26&amp;" "&amp;E26&amp;" "&amp;G26&amp;" "&amp;H26&amp;" "&amp;I26</ns0:f>
        <ns0:v>Конденсатор 10 нФ ±5% 100 В X7R 0805</ns0:v>
      </ns0:c>
      <ns0:c r="M26" t="str" s="13">
        <ns0:v>C</ns0:v>
      </ns0:c>
      <ns0:c r="N26" t="str" s="13">
        <ns0:v>Symbols\MY_LIB_Capacitors.SchLib</ns0:v>
      </ns0:c>
      <ns0:c r="O26" t="str" s="13">
        <ns0:v>CAPC2012X135N</ns0:v>
      </ns0:c>
      <ns0:c r="P26" t="str" s="13">
        <ns0:v>Footprints\PBL - SMD Packages.PcbLib</ns0:v>
      </ns0:c>
      <ns0:c r="Q26" t="str" s="14">
        <ns0:v>YAGEO CC; список 20.10.2026</ns0:v>
      </ns0:c>
      <ns0:c r="R26" t="str" s="11">
        <ns0:f>D26</ns0:f>
        <ns0:v>10 нФ</ns0:v>
      </ns0:c>
      <ns0:c r="S26" t="str" s="11">
        <ns0:f>L26</ns0:f>
        <ns0:v>Конденсатор 10 нФ ±5% 100 В X7R 0805</ns0:v>
      </ns0:c>
      <x:c xmlns:x="http://schemas.openxmlformats.org/spreadsheetml/2006/main" r="T26" t="str" s="11">
        <x:v>C:\Users\Nomatin\Documents\Altium\MY_LIB\MY_LIB\Datasheets\YAGEO_CC_X7R.pdf</x:v>
      </x:c>
      <x:c xmlns:x="http://schemas.openxmlformats.org/spreadsheetml/2006/main" r="U26" t="str" s="11">
        <x:v>Даташит — локальный</x:v>
      </x:c>
      <x:c xmlns:x="http://schemas.openxmlformats.org/spreadsheetml/2006/main" r="V26" t="str" s="11">
        <x:v>C:\Users\Nomatin\Documents\Altium\MY_LIB\MY_LIB\Datasheets\YAGEO_CC_X7R.pdf</x:v>
      </x:c>
      <x:c xmlns:x="http://schemas.openxmlformats.org/spreadsheetml/2006/main" r="W26" t="str" s="11">
        <x:v>Даташит — производитель</x:v>
      </x:c>
      <x:c xmlns:x="http://schemas.openxmlformats.org/spreadsheetml/2006/main" r="X26" t="str" s="11">
        <x:v>https://yageogroup.com/content/datasheet/asset/file/UPY-GPHC_X7R_6_3V-TO-250V</x:v>
      </x:c>
      <x:c xmlns:x="http://schemas.openxmlformats.org/spreadsheetml/2006/main" r="Y26" t="str" s="11">
        <x:v>C:\Users\Nomatin\Documents\Altium\MY_LIB\MY_LIB\Datasheets\YAGEO_CC_X7R.pdf</x:v>
      </x:c>
      <ns0:c xmlns:ns0="http://schemas.openxmlformats.org/spreadsheetml/2006/main" r="Z26" s="11">
        <ns0:v>1e-08</ns0:v>
      </ns0:c>
      <ns0:c xmlns:ns0="http://schemas.openxmlformats.org/spreadsheetml/2006/main" r="AA26" s="11">
        <ns0:v>0.025</ns0:v>
      </ns0:c>
      <ns0:c xmlns:ns0="http://schemas.openxmlformats.org/spreadsheetml/2006/main" r="AB26" s="11">
        <ns0:v>1000</ns0:v>
      </ns0:c>
      <ns0:c xmlns:ns0="http://schemas.openxmlformats.org/spreadsheetml/2006/main" r="AC26" s="11">
        <ns0:v>1</ns0:v>
      </ns0:c>
      <ns0:c xmlns:ns0="http://schemas.openxmlformats.org/spreadsheetml/2006/main" r="AD26" s="11">
        <ns0:v>20</ns0:v>
      </ns0:c>
      <ns0:c xmlns:ns0="http://schemas.openxmlformats.org/spreadsheetml/2006/main" r="AE26" s="11">
        <ns0:v>500</ns0:v>
      </ns0:c>
      <ns0:c xmlns:ns0="http://schemas.openxmlformats.org/spreadsheetml/2006/main" r="AF26" s="11">
        <ns0:v>10000000000</ns0:v>
      </ns0:c>
      <ns0:c xmlns:ns0="http://schemas.openxmlformats.org/spreadsheetml/2006/main" r="AG26" s="11">
        <ns0:v>100</ns0:v>
      </ns0:c>
      <ns0:c xmlns:ns0="http://schemas.openxmlformats.org/spreadsheetml/2006/main" r="AH26" s="11">
        <ns0:v>60</ns0:v>
      </ns0:c>
      <ns0:c xmlns:ns0="http://schemas.openxmlformats.org/spreadsheetml/2006/main" r="AI26" s="11">
        <ns0:v>397.887357729738</ns0:v>
      </ns0:c>
      <ns0:c xmlns:ns0="http://schemas.openxmlformats.org/spreadsheetml/2006/main" r="AJ26" s="11" t="inlineStr">
        <ns0:is>
          <ns0:t>MY_LIB_C_RC</ns0:t>
        </ns0:is>
      </ns0:c>
      <ns0:c xmlns:ns0="http://schemas.openxmlformats.org/spreadsheetml/2006/main" r="AK26" s="11" t="inlineStr">
        <ns0:is>
          <ns0:t>Nominal C; DFmax at 1kHz; minimum insulation; no temperature/bias/ESL</ns0:t>
        </ns0:is>
      </ns0:c>
      <ns0:c xmlns:ns0="http://schemas.openxmlformats.org/spreadsheetml/2006/main" r="AL26" s="11" t="inlineStr">
        <ns0:is>
          <ns0:t>General</ns0:t>
        </ns0:is>
      </ns0:c>
      <ns0:c xmlns:ns0="http://schemas.openxmlformats.org/spreadsheetml/2006/main" r="AM26" s="11" t="inlineStr">
        <ns0:is>
          <ns0:t>Spice Subcircuit</ns0:t>
        </ns0:is>
      </ns0:c>
      <ns0:c xmlns:ns0="http://schemas.openxmlformats.org/spreadsheetml/2006/main" r="AN26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26" s="11" t="inlineStr">
        <ns0:is>
          <ns0:t>X</ns0:t>
        </ns0:is>
      </ns0:c>
      <ns0:c xmlns:ns0="http://schemas.openxmlformats.org/spreadsheetml/2006/main" r="AP26" s="11" t="inlineStr">
        <ns0:is>
          <ns0:t>(1:1),(2:2)</ns0:t>
        </ns0:is>
      </ns0:c>
      <ns0:c xmlns:ns0="http://schemas.openxmlformats.org/spreadsheetml/2006/main" r="AQ26" s="11" t="inlineStr">
        <ns0:is>
          <ns0:t>Simulation\Capacitors\MY_LIB_C_RC.ckt</ns0:t>
        </ns0:is>
      </ns0:c>
    </ns0:row>
    <ns0:row r="27" ht="30" customHeight="1">
      <ns0:c r="A27" t="str" s="14">
        <ns0:v>C0028</ns0:v>
      </ns0:c>
      <ns0:c r="B27" t="str" s="14">
        <ns0:v>Конденсатор</ns0:v>
      </ns0:c>
      <ns0:c r="C27" t="str" s="14">
        <ns0:v>12n</ns0:v>
      </ns0:c>
      <ns0:c r="D27" t="str" s="11">
        <ns0:f>SUBSTITUTE(SUBSTITUTE(SUBSTITUTE(SUBSTITUTE(C27,"p"," пФ"),"n"," нФ"),"u"," мкФ"),".",",")</ns0:f>
        <ns0:v>12 нФ</ns0:v>
      </ns0:c>
      <ns0:c r="E27" t="str" s="14">
        <ns0:v>±5%</ns0:v>
      </ns0:c>
      <ns0:c r="F27" s="14"/>
      <ns0:c r="G27" t="str" s="14">
        <ns0:v>50 В</ns0:v>
      </ns0:c>
      <ns0:c r="H27" t="str" s="14">
        <ns0:v>X7R</ns0:v>
      </ns0:c>
      <ns0:c r="I27" t="str" s="15">
        <ns0:v>0805</ns0:v>
      </ns0:c>
      <ns0:c r="J27" t="str" s="14">
        <ns0:v>YAGEO</ns0:v>
      </ns0:c>
      <ns0:c r="K27" t="str" s="14">
        <ns0:v>CC0805JRX7R9BB123</ns0:v>
      </ns0:c>
      <ns0:c r="L27" t="str" s="11">
        <ns0:f>B27&amp;" "&amp;D27&amp;" "&amp;E27&amp;" "&amp;G27&amp;" "&amp;H27&amp;" "&amp;I27</ns0:f>
        <ns0:v>Конденсатор 12 нФ ±5% 50 В X7R 0805</ns0:v>
      </ns0:c>
      <ns0:c r="M27" t="str" s="13">
        <ns0:v>C</ns0:v>
      </ns0:c>
      <ns0:c r="N27" t="str" s="13">
        <ns0:v>Symbols\MY_LIB_Capacitors.SchLib</ns0:v>
      </ns0:c>
      <ns0:c r="O27" t="str" s="13">
        <ns0:v>CAPC2012X135N</ns0:v>
      </ns0:c>
      <ns0:c r="P27" t="str" s="13">
        <ns0:v>Footprints\PBL - SMD Packages.PcbLib</ns0:v>
      </ns0:c>
      <ns0:c r="Q27" t="str" s="14">
        <ns0:v>YAGEO CC; список 20.10.2026</ns0:v>
      </ns0:c>
      <ns0:c r="R27" t="str" s="11">
        <ns0:f>D27</ns0:f>
        <ns0:v>12 нФ</ns0:v>
      </ns0:c>
      <ns0:c r="S27" t="str" s="11">
        <ns0:f>L27</ns0:f>
        <ns0:v>Конденсатор 12 нФ ±5% 50 В X7R 0805</ns0:v>
      </ns0:c>
      <x:c xmlns:x="http://schemas.openxmlformats.org/spreadsheetml/2006/main" r="T27" t="str" s="11">
        <x:v>C:\Users\Nomatin\Documents\Altium\MY_LIB\MY_LIB\Datasheets\YAGEO_CC_X7R.pdf</x:v>
      </x:c>
      <x:c xmlns:x="http://schemas.openxmlformats.org/spreadsheetml/2006/main" r="U27" t="str" s="11">
        <x:v>Даташит — локальный</x:v>
      </x:c>
      <x:c xmlns:x="http://schemas.openxmlformats.org/spreadsheetml/2006/main" r="V27" t="str" s="11">
        <x:v>C:\Users\Nomatin\Documents\Altium\MY_LIB\MY_LIB\Datasheets\YAGEO_CC_X7R.pdf</x:v>
      </x:c>
      <x:c xmlns:x="http://schemas.openxmlformats.org/spreadsheetml/2006/main" r="W27" t="str" s="11">
        <x:v>Даташит — производитель</x:v>
      </x:c>
      <x:c xmlns:x="http://schemas.openxmlformats.org/spreadsheetml/2006/main" r="X27" t="str" s="11">
        <x:v>https://yageogroup.com/content/datasheet/asset/file/UPY-GPHC_X7R_6_3V-TO-250V</x:v>
      </x:c>
      <x:c xmlns:x="http://schemas.openxmlformats.org/spreadsheetml/2006/main" r="Y27" t="str" s="11">
        <x:v>C:\Users\Nomatin\Documents\Altium\MY_LIB\MY_LIB\Datasheets\YAGEO_CC_X7R.pdf</x:v>
      </x:c>
      <ns0:c xmlns:ns0="http://schemas.openxmlformats.org/spreadsheetml/2006/main" r="Z27" s="11">
        <ns0:v>1.2e-08</ns0:v>
      </ns0:c>
      <ns0:c xmlns:ns0="http://schemas.openxmlformats.org/spreadsheetml/2006/main" r="AA27" s="11">
        <ns0:v>0.025</ns0:v>
      </ns0:c>
      <ns0:c xmlns:ns0="http://schemas.openxmlformats.org/spreadsheetml/2006/main" r="AB27" s="11">
        <ns0:v>1000</ns0:v>
      </ns0:c>
      <ns0:c xmlns:ns0="http://schemas.openxmlformats.org/spreadsheetml/2006/main" r="AC27" s="11">
        <ns0:v>1</ns0:v>
      </ns0:c>
      <ns0:c xmlns:ns0="http://schemas.openxmlformats.org/spreadsheetml/2006/main" r="AD27" s="11">
        <ns0:v>20</ns0:v>
      </ns0:c>
      <ns0:c xmlns:ns0="http://schemas.openxmlformats.org/spreadsheetml/2006/main" r="AE27" s="11">
        <ns0:v>500</ns0:v>
      </ns0:c>
      <ns0:c xmlns:ns0="http://schemas.openxmlformats.org/spreadsheetml/2006/main" r="AF27" s="11">
        <ns0:v>10000000000</ns0:v>
      </ns0:c>
      <ns0:c xmlns:ns0="http://schemas.openxmlformats.org/spreadsheetml/2006/main" r="AG27" s="11">
        <ns0:v>50</ns0:v>
      </ns0:c>
      <ns0:c xmlns:ns0="http://schemas.openxmlformats.org/spreadsheetml/2006/main" r="AH27" s="11">
        <ns0:v>60</ns0:v>
      </ns0:c>
      <ns0:c xmlns:ns0="http://schemas.openxmlformats.org/spreadsheetml/2006/main" r="AI27" s="11">
        <ns0:v>331.572798108115</ns0:v>
      </ns0:c>
      <ns0:c xmlns:ns0="http://schemas.openxmlformats.org/spreadsheetml/2006/main" r="AJ27" s="11" t="inlineStr">
        <ns0:is>
          <ns0:t>MY_LIB_C_RC</ns0:t>
        </ns0:is>
      </ns0:c>
      <ns0:c xmlns:ns0="http://schemas.openxmlformats.org/spreadsheetml/2006/main" r="AK27" s="11" t="inlineStr">
        <ns0:is>
          <ns0:t>Nominal C; DFmax at 1kHz; minimum insulation; no temperature/bias/ESL</ns0:t>
        </ns0:is>
      </ns0:c>
      <ns0:c xmlns:ns0="http://schemas.openxmlformats.org/spreadsheetml/2006/main" r="AL27" s="11" t="inlineStr">
        <ns0:is>
          <ns0:t>General</ns0:t>
        </ns0:is>
      </ns0:c>
      <ns0:c xmlns:ns0="http://schemas.openxmlformats.org/spreadsheetml/2006/main" r="AM27" s="11" t="inlineStr">
        <ns0:is>
          <ns0:t>Spice Subcircuit</ns0:t>
        </ns0:is>
      </ns0:c>
      <ns0:c xmlns:ns0="http://schemas.openxmlformats.org/spreadsheetml/2006/main" r="AN27" s="11" t="inlineStr">
        <ns0:is>
          <ns0:t>@DESIGNATOR %1 %2 @MODEL PARAMS: Cvalue=1.2e-08 Rsvalue=331.572798108115 Rinsvalue=10000000000</ns0:t>
        </ns0:is>
      </ns0:c>
      <ns0:c xmlns:ns0="http://schemas.openxmlformats.org/spreadsheetml/2006/main" r="AO27" s="11" t="inlineStr">
        <ns0:is>
          <ns0:t>X</ns0:t>
        </ns0:is>
      </ns0:c>
      <ns0:c xmlns:ns0="http://schemas.openxmlformats.org/spreadsheetml/2006/main" r="AP27" s="11" t="inlineStr">
        <ns0:is>
          <ns0:t>(1:1),(2:2)</ns0:t>
        </ns0:is>
      </ns0:c>
      <ns0:c xmlns:ns0="http://schemas.openxmlformats.org/spreadsheetml/2006/main" r="AQ27" s="11" t="inlineStr">
        <ns0:is>
          <ns0:t>Simulation\Capacitors\MY_LIB_C_RC.ckt</ns0:t>
        </ns0:is>
      </ns0:c>
    </ns0:row>
    <ns0:row r="28" ht="30" customHeight="1">
      <ns0:c r="A28" t="str" s="14">
        <ns0:v>C0029</ns0:v>
      </ns0:c>
      <ns0:c r="B28" t="str" s="14">
        <ns0:v>Конденсатор</ns0:v>
      </ns0:c>
      <ns0:c r="C28" t="str" s="14">
        <ns0:v>15n</ns0:v>
      </ns0:c>
      <ns0:c r="D28" t="str" s="11">
        <ns0:f>SUBSTITUTE(SUBSTITUTE(SUBSTITUTE(SUBSTITUTE(C28,"p"," пФ"),"n"," нФ"),"u"," мкФ"),".",",")</ns0:f>
        <ns0:v>15 нФ</ns0:v>
      </ns0:c>
      <ns0:c r="E28" t="str" s="14">
        <ns0:v>±5%</ns0:v>
      </ns0:c>
      <ns0:c r="F28" s="14"/>
      <ns0:c r="G28" t="str" s="14">
        <ns0:v>100 В</ns0:v>
      </ns0:c>
      <ns0:c r="H28" t="str" s="14">
        <ns0:v>X7R</ns0:v>
      </ns0:c>
      <ns0:c r="I28" t="str" s="15">
        <ns0:v>0805</ns0:v>
      </ns0:c>
      <ns0:c r="J28" t="str" s="14">
        <ns0:v>YAGEO</ns0:v>
      </ns0:c>
      <ns0:c r="K28" t="str" s="14">
        <ns0:v>CC0805JKX7R0BB153</ns0:v>
      </ns0:c>
      <ns0:c r="L28" t="str" s="11">
        <ns0:f>B28&amp;" "&amp;D28&amp;" "&amp;E28&amp;" "&amp;G28&amp;" "&amp;H28&amp;" "&amp;I28</ns0:f>
        <ns0:v>Конденсатор 15 нФ ±5% 100 В X7R 0805</ns0:v>
      </ns0:c>
      <ns0:c r="M28" t="str" s="13">
        <ns0:v>C</ns0:v>
      </ns0:c>
      <ns0:c r="N28" t="str" s="13">
        <ns0:v>Symbols\MY_LIB_Capacitors.SchLib</ns0:v>
      </ns0:c>
      <ns0:c r="O28" t="str" s="13">
        <ns0:v>CAPC2012X135N</ns0:v>
      </ns0:c>
      <ns0:c r="P28" t="str" s="13">
        <ns0:v>Footprints\PBL - SMD Packages.PcbLib</ns0:v>
      </ns0:c>
      <ns0:c r="Q28" t="str" s="14">
        <ns0:v>YAGEO CC; список 20.10.2026</ns0:v>
      </ns0:c>
      <ns0:c r="R28" t="str" s="11">
        <ns0:f>D28</ns0:f>
        <ns0:v>15 нФ</ns0:v>
      </ns0:c>
      <ns0:c r="S28" t="str" s="11">
        <ns0:f>L28</ns0:f>
        <ns0:v>Конденсатор 15 нФ ±5% 100 В X7R 0805</ns0:v>
      </ns0:c>
      <x:c xmlns:x="http://schemas.openxmlformats.org/spreadsheetml/2006/main" r="T28" t="str" s="11">
        <x:v>C:\Users\Nomatin\Documents\Altium\MY_LIB\MY_LIB\Datasheets\YAGEO_CC_X7R.pdf</x:v>
      </x:c>
      <x:c xmlns:x="http://schemas.openxmlformats.org/spreadsheetml/2006/main" r="U28" t="str" s="11">
        <x:v>Даташит — локальный</x:v>
      </x:c>
      <x:c xmlns:x="http://schemas.openxmlformats.org/spreadsheetml/2006/main" r="V28" t="str" s="11">
        <x:v>C:\Users\Nomatin\Documents\Altium\MY_LIB\MY_LIB\Datasheets\YAGEO_CC_X7R.pdf</x:v>
      </x:c>
      <x:c xmlns:x="http://schemas.openxmlformats.org/spreadsheetml/2006/main" r="W28" t="str" s="11">
        <x:v>Даташит — производитель</x:v>
      </x:c>
      <x:c xmlns:x="http://schemas.openxmlformats.org/spreadsheetml/2006/main" r="X28" t="str" s="11">
        <x:v>https://yageogroup.com/content/datasheet/asset/file/UPY-GPHC_X7R_6_3V-TO-250V</x:v>
      </x:c>
      <x:c xmlns:x="http://schemas.openxmlformats.org/spreadsheetml/2006/main" r="Y28" t="str" s="11">
        <x:v>C:\Users\Nomatin\Documents\Altium\MY_LIB\MY_LIB\Datasheets\YAGEO_CC_X7R.pdf</x:v>
      </x:c>
      <ns0:c xmlns:ns0="http://schemas.openxmlformats.org/spreadsheetml/2006/main" r="Z28" s="11">
        <ns0:v>1.5e-08</ns0:v>
      </ns0:c>
      <ns0:c xmlns:ns0="http://schemas.openxmlformats.org/spreadsheetml/2006/main" r="AA28" s="11">
        <ns0:v>0.025</ns0:v>
      </ns0:c>
      <ns0:c xmlns:ns0="http://schemas.openxmlformats.org/spreadsheetml/2006/main" r="AB28" s="11">
        <ns0:v>1000</ns0:v>
      </ns0:c>
      <ns0:c xmlns:ns0="http://schemas.openxmlformats.org/spreadsheetml/2006/main" r="AC28" s="11">
        <ns0:v>1</ns0:v>
      </ns0:c>
      <ns0:c xmlns:ns0="http://schemas.openxmlformats.org/spreadsheetml/2006/main" r="AD28" s="11">
        <ns0:v>20</ns0:v>
      </ns0:c>
      <ns0:c xmlns:ns0="http://schemas.openxmlformats.org/spreadsheetml/2006/main" r="AE28" s="11">
        <ns0:v>500</ns0:v>
      </ns0:c>
      <ns0:c xmlns:ns0="http://schemas.openxmlformats.org/spreadsheetml/2006/main" r="AF28" s="11">
        <ns0:v>10000000000</ns0:v>
      </ns0:c>
      <ns0:c xmlns:ns0="http://schemas.openxmlformats.org/spreadsheetml/2006/main" r="AG28" s="11">
        <ns0:v>100</ns0:v>
      </ns0:c>
      <ns0:c xmlns:ns0="http://schemas.openxmlformats.org/spreadsheetml/2006/main" r="AH28" s="11">
        <ns0:v>60</ns0:v>
      </ns0:c>
      <ns0:c xmlns:ns0="http://schemas.openxmlformats.org/spreadsheetml/2006/main" r="AI28" s="11">
        <ns0:v>265.258238486492</ns0:v>
      </ns0:c>
      <ns0:c xmlns:ns0="http://schemas.openxmlformats.org/spreadsheetml/2006/main" r="AJ28" s="11" t="inlineStr">
        <ns0:is>
          <ns0:t>MY_LIB_C_RC</ns0:t>
        </ns0:is>
      </ns0:c>
      <ns0:c xmlns:ns0="http://schemas.openxmlformats.org/spreadsheetml/2006/main" r="AK28" s="11" t="inlineStr">
        <ns0:is>
          <ns0:t>Nominal C; DFmax at 1kHz; minimum insulation; no temperature/bias/ESL</ns0:t>
        </ns0:is>
      </ns0:c>
      <ns0:c xmlns:ns0="http://schemas.openxmlformats.org/spreadsheetml/2006/main" r="AL28" s="11" t="inlineStr">
        <ns0:is>
          <ns0:t>General</ns0:t>
        </ns0:is>
      </ns0:c>
      <ns0:c xmlns:ns0="http://schemas.openxmlformats.org/spreadsheetml/2006/main" r="AM28" s="11" t="inlineStr">
        <ns0:is>
          <ns0:t>Spice Subcircuit</ns0:t>
        </ns0:is>
      </ns0:c>
      <ns0:c xmlns:ns0="http://schemas.openxmlformats.org/spreadsheetml/2006/main" r="AN28" s="11" t="inlineStr">
        <ns0:is>
          <ns0:t>@DESIGNATOR %1 %2 @MODEL PARAMS: Cvalue=1.5e-08 Rsvalue=265.258238486492 Rinsvalue=10000000000</ns0:t>
        </ns0:is>
      </ns0:c>
      <ns0:c xmlns:ns0="http://schemas.openxmlformats.org/spreadsheetml/2006/main" r="AO28" s="11" t="inlineStr">
        <ns0:is>
          <ns0:t>X</ns0:t>
        </ns0:is>
      </ns0:c>
      <ns0:c xmlns:ns0="http://schemas.openxmlformats.org/spreadsheetml/2006/main" r="AP28" s="11" t="inlineStr">
        <ns0:is>
          <ns0:t>(1:1),(2:2)</ns0:t>
        </ns0:is>
      </ns0:c>
      <ns0:c xmlns:ns0="http://schemas.openxmlformats.org/spreadsheetml/2006/main" r="AQ28" s="11" t="inlineStr">
        <ns0:is>
          <ns0:t>Simulation\Capacitors\MY_LIB_C_RC.ckt</ns0:t>
        </ns0:is>
      </ns0:c>
    </ns0:row>
    <ns0:row r="29" ht="30" customHeight="1">
      <ns0:c r="A29" t="str" s="14">
        <ns0:v>C0030</ns0:v>
      </ns0:c>
      <ns0:c r="B29" t="str" s="14">
        <ns0:v>Конденсатор</ns0:v>
      </ns0:c>
      <ns0:c r="C29" t="str" s="14">
        <ns0:v>18n</ns0:v>
      </ns0:c>
      <ns0:c r="D29" t="str" s="11">
        <ns0:f>SUBSTITUTE(SUBSTITUTE(SUBSTITUTE(SUBSTITUTE(C29,"p"," пФ"),"n"," нФ"),"u"," мкФ"),".",",")</ns0:f>
        <ns0:v>18 нФ</ns0:v>
      </ns0:c>
      <ns0:c r="E29" t="str" s="14">
        <ns0:v>±5%</ns0:v>
      </ns0:c>
      <ns0:c r="F29" s="14"/>
      <ns0:c r="G29" t="str" s="14">
        <ns0:v>50 В</ns0:v>
      </ns0:c>
      <ns0:c r="H29" t="str" s="14">
        <ns0:v>X7R</ns0:v>
      </ns0:c>
      <ns0:c r="I29" t="str" s="15">
        <ns0:v>0805</ns0:v>
      </ns0:c>
      <ns0:c r="J29" t="str" s="14">
        <ns0:v>YAGEO</ns0:v>
      </ns0:c>
      <ns0:c r="K29" t="str" s="14">
        <ns0:v>CC0805JRX7R9BB183</ns0:v>
      </ns0:c>
      <ns0:c r="L29" t="str" s="11">
        <ns0:f>B29&amp;" "&amp;D29&amp;" "&amp;E29&amp;" "&amp;G29&amp;" "&amp;H29&amp;" "&amp;I29</ns0:f>
        <ns0:v>Конденсатор 18 нФ ±5% 50 В X7R 0805</ns0:v>
      </ns0:c>
      <ns0:c r="M29" t="str" s="13">
        <ns0:v>C</ns0:v>
      </ns0:c>
      <ns0:c r="N29" t="str" s="13">
        <ns0:v>Symbols\MY_LIB_Capacitors.SchLib</ns0:v>
      </ns0:c>
      <ns0:c r="O29" t="str" s="13">
        <ns0:v>CAPC2012X135N</ns0:v>
      </ns0:c>
      <ns0:c r="P29" t="str" s="13">
        <ns0:v>Footprints\PBL - SMD Packages.PcbLib</ns0:v>
      </ns0:c>
      <ns0:c r="Q29" t="str" s="14">
        <ns0:v>YAGEO CC; список 20.10.2026</ns0:v>
      </ns0:c>
      <ns0:c r="R29" t="str" s="11">
        <ns0:f>D29</ns0:f>
        <ns0:v>18 нФ</ns0:v>
      </ns0:c>
      <ns0:c r="S29" t="str" s="11">
        <ns0:f>L29</ns0:f>
        <ns0:v>Конденсатор 18 нФ ±5% 50 В X7R 0805</ns0:v>
      </ns0:c>
      <x:c xmlns:x="http://schemas.openxmlformats.org/spreadsheetml/2006/main" r="T29" t="str" s="11">
        <x:v>C:\Users\Nomatin\Documents\Altium\MY_LIB\MY_LIB\Datasheets\YAGEO_CC_X7R.pdf</x:v>
      </x:c>
      <x:c xmlns:x="http://schemas.openxmlformats.org/spreadsheetml/2006/main" r="U29" t="str" s="11">
        <x:v>Даташит — локальный</x:v>
      </x:c>
      <x:c xmlns:x="http://schemas.openxmlformats.org/spreadsheetml/2006/main" r="V29" t="str" s="11">
        <x:v>C:\Users\Nomatin\Documents\Altium\MY_LIB\MY_LIB\Datasheets\YAGEO_CC_X7R.pdf</x:v>
      </x:c>
      <x:c xmlns:x="http://schemas.openxmlformats.org/spreadsheetml/2006/main" r="W29" t="str" s="11">
        <x:v>Даташит — производитель</x:v>
      </x:c>
      <x:c xmlns:x="http://schemas.openxmlformats.org/spreadsheetml/2006/main" r="X29" t="str" s="11">
        <x:v>https://yageogroup.com/content/datasheet/asset/file/UPY-GPHC_X7R_6_3V-TO-250V</x:v>
      </x:c>
      <x:c xmlns:x="http://schemas.openxmlformats.org/spreadsheetml/2006/main" r="Y29" t="str" s="11">
        <x:v>C:\Users\Nomatin\Documents\Altium\MY_LIB\MY_LIB\Datasheets\YAGEO_CC_X7R.pdf</x:v>
      </x:c>
      <ns0:c xmlns:ns0="http://schemas.openxmlformats.org/spreadsheetml/2006/main" r="Z29" s="11">
        <ns0:v>1.8e-08</ns0:v>
      </ns0:c>
      <ns0:c xmlns:ns0="http://schemas.openxmlformats.org/spreadsheetml/2006/main" r="AA29" s="11">
        <ns0:v>0.025</ns0:v>
      </ns0:c>
      <ns0:c xmlns:ns0="http://schemas.openxmlformats.org/spreadsheetml/2006/main" r="AB29" s="11">
        <ns0:v>1000</ns0:v>
      </ns0:c>
      <ns0:c xmlns:ns0="http://schemas.openxmlformats.org/spreadsheetml/2006/main" r="AC29" s="11">
        <ns0:v>1</ns0:v>
      </ns0:c>
      <ns0:c xmlns:ns0="http://schemas.openxmlformats.org/spreadsheetml/2006/main" r="AD29" s="11">
        <ns0:v>20</ns0:v>
      </ns0:c>
      <ns0:c xmlns:ns0="http://schemas.openxmlformats.org/spreadsheetml/2006/main" r="AE29" s="11">
        <ns0:v>500</ns0:v>
      </ns0:c>
      <ns0:c xmlns:ns0="http://schemas.openxmlformats.org/spreadsheetml/2006/main" r="AF29" s="11">
        <ns0:v>10000000000</ns0:v>
      </ns0:c>
      <ns0:c xmlns:ns0="http://schemas.openxmlformats.org/spreadsheetml/2006/main" r="AG29" s="11">
        <ns0:v>50</ns0:v>
      </ns0:c>
      <ns0:c xmlns:ns0="http://schemas.openxmlformats.org/spreadsheetml/2006/main" r="AH29" s="11">
        <ns0:v>60</ns0:v>
      </ns0:c>
      <ns0:c xmlns:ns0="http://schemas.openxmlformats.org/spreadsheetml/2006/main" r="AI29" s="11">
        <ns0:v>221.048532072077</ns0:v>
      </ns0:c>
      <ns0:c xmlns:ns0="http://schemas.openxmlformats.org/spreadsheetml/2006/main" r="AJ29" s="11" t="inlineStr">
        <ns0:is>
          <ns0:t>MY_LIB_C_RC</ns0:t>
        </ns0:is>
      </ns0:c>
      <ns0:c xmlns:ns0="http://schemas.openxmlformats.org/spreadsheetml/2006/main" r="AK29" s="11" t="inlineStr">
        <ns0:is>
          <ns0:t>Nominal C; DFmax at 1kHz; minimum insulation; no temperature/bias/ESL</ns0:t>
        </ns0:is>
      </ns0:c>
      <ns0:c xmlns:ns0="http://schemas.openxmlformats.org/spreadsheetml/2006/main" r="AL29" s="11" t="inlineStr">
        <ns0:is>
          <ns0:t>General</ns0:t>
        </ns0:is>
      </ns0:c>
      <ns0:c xmlns:ns0="http://schemas.openxmlformats.org/spreadsheetml/2006/main" r="AM29" s="11" t="inlineStr">
        <ns0:is>
          <ns0:t>Spice Subcircuit</ns0:t>
        </ns0:is>
      </ns0:c>
      <ns0:c xmlns:ns0="http://schemas.openxmlformats.org/spreadsheetml/2006/main" r="AN29" s="11" t="inlineStr">
        <ns0:is>
          <ns0:t>@DESIGNATOR %1 %2 @MODEL PARAMS: Cvalue=1.8e-08 Rsvalue=221.048532072077 Rinsvalue=10000000000</ns0:t>
        </ns0:is>
      </ns0:c>
      <ns0:c xmlns:ns0="http://schemas.openxmlformats.org/spreadsheetml/2006/main" r="AO29" s="11" t="inlineStr">
        <ns0:is>
          <ns0:t>X</ns0:t>
        </ns0:is>
      </ns0:c>
      <ns0:c xmlns:ns0="http://schemas.openxmlformats.org/spreadsheetml/2006/main" r="AP29" s="11" t="inlineStr">
        <ns0:is>
          <ns0:t>(1:1),(2:2)</ns0:t>
        </ns0:is>
      </ns0:c>
      <ns0:c xmlns:ns0="http://schemas.openxmlformats.org/spreadsheetml/2006/main" r="AQ29" s="11" t="inlineStr">
        <ns0:is>
          <ns0:t>Simulation\Capacitors\MY_LIB_C_RC.ckt</ns0:t>
        </ns0:is>
      </ns0:c>
    </ns0:row>
    <ns0:row r="30" ht="30" customHeight="1">
      <ns0:c r="A30" t="str" s="14">
        <ns0:v>C0031</ns0:v>
      </ns0:c>
      <ns0:c r="B30" t="str" s="14">
        <ns0:v>Конденсатор</ns0:v>
      </ns0:c>
      <ns0:c r="C30" t="str" s="14">
        <ns0:v>20n</ns0:v>
      </ns0:c>
      <ns0:c r="D30" t="str" s="11">
        <ns0:f>SUBSTITUTE(SUBSTITUTE(SUBSTITUTE(SUBSTITUTE(C30,"p"," пФ"),"n"," нФ"),"u"," мкФ"),".",",")</ns0:f>
        <ns0:v>20 нФ</ns0:v>
      </ns0:c>
      <ns0:c r="E30" t="str" s="14">
        <ns0:v>±5%</ns0:v>
      </ns0:c>
      <ns0:c r="F30" s="14"/>
      <ns0:c r="G30" t="str" s="14">
        <ns0:v>50 В</ns0:v>
      </ns0:c>
      <ns0:c r="H30" t="str" s="14">
        <ns0:v>X7R</ns0:v>
      </ns0:c>
      <ns0:c r="I30" t="str" s="15">
        <ns0:v>0805</ns0:v>
      </ns0:c>
      <ns0:c r="J30" t="str" s="14">
        <ns0:v>YAGEO</ns0:v>
      </ns0:c>
      <ns0:c r="K30" t="str" s="14">
        <ns0:v>CC0805JRX7R9BB203</ns0:v>
      </ns0:c>
      <ns0:c r="L30" t="str" s="11">
        <ns0:f>B30&amp;" "&amp;D30&amp;" "&amp;E30&amp;" "&amp;G30&amp;" "&amp;H30&amp;" "&amp;I30</ns0:f>
        <ns0:v>Конденсатор 20 нФ ±5% 50 В X7R 0805</ns0:v>
      </ns0:c>
      <ns0:c r="M30" t="str" s="13">
        <ns0:v>C</ns0:v>
      </ns0:c>
      <ns0:c r="N30" t="str" s="13">
        <ns0:v>Symbols\MY_LIB_Capacitors.SchLib</ns0:v>
      </ns0:c>
      <ns0:c r="O30" t="str" s="13">
        <ns0:v>CAPC2012X135N</ns0:v>
      </ns0:c>
      <ns0:c r="P30" t="str" s="13">
        <ns0:v>Footprints\PBL - SMD Packages.PcbLib</ns0:v>
      </ns0:c>
      <ns0:c r="Q30" t="str" s="14">
        <ns0:v>YAGEO CC; список 20.10.2026</ns0:v>
      </ns0:c>
      <ns0:c r="R30" t="str" s="11">
        <ns0:f>D30</ns0:f>
        <ns0:v>20 нФ</ns0:v>
      </ns0:c>
      <ns0:c r="S30" t="str" s="11">
        <ns0:f>L30</ns0:f>
        <ns0:v>Конденсатор 20 нФ ±5% 50 В X7R 0805</ns0:v>
      </ns0:c>
      <x:c xmlns:x="http://schemas.openxmlformats.org/spreadsheetml/2006/main" r="T30" t="str" s="11">
        <x:v>C:\Users\Nomatin\Documents\Altium\MY_LIB\MY_LIB\Datasheets\YAGEO_CC_X7R.pdf</x:v>
      </x:c>
      <x:c xmlns:x="http://schemas.openxmlformats.org/spreadsheetml/2006/main" r="U30" t="str" s="11">
        <x:v>Даташит — локальный</x:v>
      </x:c>
      <x:c xmlns:x="http://schemas.openxmlformats.org/spreadsheetml/2006/main" r="V30" t="str" s="11">
        <x:v>C:\Users\Nomatin\Documents\Altium\MY_LIB\MY_LIB\Datasheets\YAGEO_CC_X7R.pdf</x:v>
      </x:c>
      <x:c xmlns:x="http://schemas.openxmlformats.org/spreadsheetml/2006/main" r="W30" t="str" s="11">
        <x:v>Даташит — производитель</x:v>
      </x:c>
      <x:c xmlns:x="http://schemas.openxmlformats.org/spreadsheetml/2006/main" r="X30" t="str" s="11">
        <x:v>https://yageogroup.com/content/datasheet/asset/file/UPY-GPHC_X7R_6_3V-TO-250V</x:v>
      </x:c>
      <x:c xmlns:x="http://schemas.openxmlformats.org/spreadsheetml/2006/main" r="Y30" t="str" s="11">
        <x:v>C:\Users\Nomatin\Documents\Altium\MY_LIB\MY_LIB\Datasheets\YAGEO_CC_X7R.pdf</x:v>
      </x:c>
      <ns0:c xmlns:ns0="http://schemas.openxmlformats.org/spreadsheetml/2006/main" r="Z30" s="11">
        <ns0:v>2e-08</ns0:v>
      </ns0:c>
      <ns0:c xmlns:ns0="http://schemas.openxmlformats.org/spreadsheetml/2006/main" r="AA30" s="11">
        <ns0:v>0.025</ns0:v>
      </ns0:c>
      <ns0:c xmlns:ns0="http://schemas.openxmlformats.org/spreadsheetml/2006/main" r="AB30" s="11">
        <ns0:v>1000</ns0:v>
      </ns0:c>
      <ns0:c xmlns:ns0="http://schemas.openxmlformats.org/spreadsheetml/2006/main" r="AC30" s="11">
        <ns0:v>1</ns0:v>
      </ns0:c>
      <ns0:c xmlns:ns0="http://schemas.openxmlformats.org/spreadsheetml/2006/main" r="AD30" s="11">
        <ns0:v>20</ns0:v>
      </ns0:c>
      <ns0:c xmlns:ns0="http://schemas.openxmlformats.org/spreadsheetml/2006/main" r="AE30" s="11">
        <ns0:v>500</ns0:v>
      </ns0:c>
      <ns0:c xmlns:ns0="http://schemas.openxmlformats.org/spreadsheetml/2006/main" r="AF30" s="11">
        <ns0:v>10000000000</ns0:v>
      </ns0:c>
      <ns0:c xmlns:ns0="http://schemas.openxmlformats.org/spreadsheetml/2006/main" r="AG30" s="11">
        <ns0:v>50</ns0:v>
      </ns0:c>
      <ns0:c xmlns:ns0="http://schemas.openxmlformats.org/spreadsheetml/2006/main" r="AH30" s="11">
        <ns0:v>60</ns0:v>
      </ns0:c>
      <ns0:c xmlns:ns0="http://schemas.openxmlformats.org/spreadsheetml/2006/main" r="AI30" s="11">
        <ns0:v>198.943678864869</ns0:v>
      </ns0:c>
      <ns0:c xmlns:ns0="http://schemas.openxmlformats.org/spreadsheetml/2006/main" r="AJ30" s="11" t="inlineStr">
        <ns0:is>
          <ns0:t>MY_LIB_C_RC</ns0:t>
        </ns0:is>
      </ns0:c>
      <ns0:c xmlns:ns0="http://schemas.openxmlformats.org/spreadsheetml/2006/main" r="AK30" s="11" t="inlineStr">
        <ns0:is>
          <ns0:t>Nominal C; DFmax at 1kHz; minimum insulation; no temperature/bias/ESL</ns0:t>
        </ns0:is>
      </ns0:c>
      <ns0:c xmlns:ns0="http://schemas.openxmlformats.org/spreadsheetml/2006/main" r="AL30" s="11" t="inlineStr">
        <ns0:is>
          <ns0:t>General</ns0:t>
        </ns0:is>
      </ns0:c>
      <ns0:c xmlns:ns0="http://schemas.openxmlformats.org/spreadsheetml/2006/main" r="AM30" s="11" t="inlineStr">
        <ns0:is>
          <ns0:t>Spice Subcircuit</ns0:t>
        </ns0:is>
      </ns0:c>
      <ns0:c xmlns:ns0="http://schemas.openxmlformats.org/spreadsheetml/2006/main" r="AN30" s="11" t="inlineStr">
        <ns0:is>
          <ns0:t>@DESIGNATOR %1 %2 @MODEL PARAMS: Cvalue=2e-08 Rsvalue=198.943678864869 Rinsvalue=10000000000</ns0:t>
        </ns0:is>
      </ns0:c>
      <ns0:c xmlns:ns0="http://schemas.openxmlformats.org/spreadsheetml/2006/main" r="AO30" s="11" t="inlineStr">
        <ns0:is>
          <ns0:t>X</ns0:t>
        </ns0:is>
      </ns0:c>
      <ns0:c xmlns:ns0="http://schemas.openxmlformats.org/spreadsheetml/2006/main" r="AP30" s="11" t="inlineStr">
        <ns0:is>
          <ns0:t>(1:1),(2:2)</ns0:t>
        </ns0:is>
      </ns0:c>
      <ns0:c xmlns:ns0="http://schemas.openxmlformats.org/spreadsheetml/2006/main" r="AQ30" s="11" t="inlineStr">
        <ns0:is>
          <ns0:t>Simulation\Capacitors\MY_LIB_C_RC.ckt</ns0:t>
        </ns0:is>
      </ns0:c>
    </ns0:row>
    <ns0:row r="31" ht="30" customHeight="1">
      <ns0:c r="A31" t="str" s="14">
        <ns0:v>C0032</ns0:v>
      </ns0:c>
      <ns0:c r="B31" t="str" s="14">
        <ns0:v>Конденсатор</ns0:v>
      </ns0:c>
      <ns0:c r="C31" t="str" s="14">
        <ns0:v>22n</ns0:v>
      </ns0:c>
      <ns0:c r="D31" t="str" s="11">
        <ns0:f>SUBSTITUTE(SUBSTITUTE(SUBSTITUTE(SUBSTITUTE(C31,"p"," пФ"),"n"," нФ"),"u"," мкФ"),".",",")</ns0:f>
        <ns0:v>22 нФ</ns0:v>
      </ns0:c>
      <ns0:c r="E31" t="str" s="14">
        <ns0:v>±5%</ns0:v>
      </ns0:c>
      <ns0:c r="F31" s="14"/>
      <ns0:c r="G31" t="str" s="14">
        <ns0:v>100 В</ns0:v>
      </ns0:c>
      <ns0:c r="H31" t="str" s="14">
        <ns0:v>X7R</ns0:v>
      </ns0:c>
      <ns0:c r="I31" t="str" s="15">
        <ns0:v>0805</ns0:v>
      </ns0:c>
      <ns0:c r="J31" t="str" s="14">
        <ns0:v>YAGEO</ns0:v>
      </ns0:c>
      <ns0:c r="K31" t="str" s="14">
        <ns0:v>CC0805JKX7R0BB223</ns0:v>
      </ns0:c>
      <ns0:c r="L31" t="str" s="11">
        <ns0:f>B31&amp;" "&amp;D31&amp;" "&amp;E31&amp;" "&amp;G31&amp;" "&amp;H31&amp;" "&amp;I31</ns0:f>
        <ns0:v>Конденсатор 22 нФ ±5% 100 В X7R 0805</ns0:v>
      </ns0:c>
      <ns0:c r="M31" t="str" s="13">
        <ns0:v>C</ns0:v>
      </ns0:c>
      <ns0:c r="N31" t="str" s="13">
        <ns0:v>Symbols\MY_LIB_Capacitors.SchLib</ns0:v>
      </ns0:c>
      <ns0:c r="O31" t="str" s="13">
        <ns0:v>CAPC2012X135N</ns0:v>
      </ns0:c>
      <ns0:c r="P31" t="str" s="13">
        <ns0:v>Footprints\PBL - SMD Packages.PcbLib</ns0:v>
      </ns0:c>
      <ns0:c r="Q31" t="str" s="14">
        <ns0:v>YAGEO CC; список 20.10.2026</ns0:v>
      </ns0:c>
      <ns0:c r="R31" t="str" s="11">
        <ns0:f>D31</ns0:f>
        <ns0:v>22 нФ</ns0:v>
      </ns0:c>
      <ns0:c r="S31" t="str" s="11">
        <ns0:f>L31</ns0:f>
        <ns0:v>Конденсатор 22 нФ ±5% 100 В X7R 0805</ns0:v>
      </ns0:c>
      <x:c xmlns:x="http://schemas.openxmlformats.org/spreadsheetml/2006/main" r="T31" t="str" s="11">
        <x:v>C:\Users\Nomatin\Documents\Altium\MY_LIB\MY_LIB\Datasheets\YAGEO_CC_X7R.pdf</x:v>
      </x:c>
      <x:c xmlns:x="http://schemas.openxmlformats.org/spreadsheetml/2006/main" r="U31" t="str" s="11">
        <x:v>Даташит — локальный</x:v>
      </x:c>
      <x:c xmlns:x="http://schemas.openxmlformats.org/spreadsheetml/2006/main" r="V31" t="str" s="11">
        <x:v>C:\Users\Nomatin\Documents\Altium\MY_LIB\MY_LIB\Datasheets\YAGEO_CC_X7R.pdf</x:v>
      </x:c>
      <x:c xmlns:x="http://schemas.openxmlformats.org/spreadsheetml/2006/main" r="W31" t="str" s="11">
        <x:v>Даташит — производитель</x:v>
      </x:c>
      <x:c xmlns:x="http://schemas.openxmlformats.org/spreadsheetml/2006/main" r="X31" t="str" s="11">
        <x:v>https://yageogroup.com/content/datasheet/asset/file/UPY-GPHC_X7R_6_3V-TO-250V</x:v>
      </x:c>
      <x:c xmlns:x="http://schemas.openxmlformats.org/spreadsheetml/2006/main" r="Y31" t="str" s="11">
        <x:v>C:\Users\Nomatin\Documents\Altium\MY_LIB\MY_LIB\Datasheets\YAGEO_CC_X7R.pdf</x:v>
      </x:c>
      <ns0:c xmlns:ns0="http://schemas.openxmlformats.org/spreadsheetml/2006/main" r="Z31" s="11">
        <ns0:v>2.2e-08</ns0:v>
      </ns0:c>
      <ns0:c xmlns:ns0="http://schemas.openxmlformats.org/spreadsheetml/2006/main" r="AA31" s="11">
        <ns0:v>0.025</ns0:v>
      </ns0:c>
      <ns0:c xmlns:ns0="http://schemas.openxmlformats.org/spreadsheetml/2006/main" r="AB31" s="11">
        <ns0:v>1000</ns0:v>
      </ns0:c>
      <ns0:c xmlns:ns0="http://schemas.openxmlformats.org/spreadsheetml/2006/main" r="AC31" s="11">
        <ns0:v>1</ns0:v>
      </ns0:c>
      <ns0:c xmlns:ns0="http://schemas.openxmlformats.org/spreadsheetml/2006/main" r="AD31" s="11">
        <ns0:v>20</ns0:v>
      </ns0:c>
      <ns0:c xmlns:ns0="http://schemas.openxmlformats.org/spreadsheetml/2006/main" r="AE31" s="11">
        <ns0:v>500</ns0:v>
      </ns0:c>
      <ns0:c xmlns:ns0="http://schemas.openxmlformats.org/spreadsheetml/2006/main" r="AF31" s="11">
        <ns0:v>10000000000</ns0:v>
      </ns0:c>
      <ns0:c xmlns:ns0="http://schemas.openxmlformats.org/spreadsheetml/2006/main" r="AG31" s="11">
        <ns0:v>100</ns0:v>
      </ns0:c>
      <ns0:c xmlns:ns0="http://schemas.openxmlformats.org/spreadsheetml/2006/main" r="AH31" s="11">
        <ns0:v>60</ns0:v>
      </ns0:c>
      <ns0:c xmlns:ns0="http://schemas.openxmlformats.org/spreadsheetml/2006/main" r="AI31" s="11">
        <ns0:v>180.857889877154</ns0:v>
      </ns0:c>
      <ns0:c xmlns:ns0="http://schemas.openxmlformats.org/spreadsheetml/2006/main" r="AJ31" s="11" t="inlineStr">
        <ns0:is>
          <ns0:t>MY_LIB_C_RC</ns0:t>
        </ns0:is>
      </ns0:c>
      <ns0:c xmlns:ns0="http://schemas.openxmlformats.org/spreadsheetml/2006/main" r="AK31" s="11" t="inlineStr">
        <ns0:is>
          <ns0:t>Nominal C; DFmax at 1kHz; minimum insulation; no temperature/bias/ESL</ns0:t>
        </ns0:is>
      </ns0:c>
      <ns0:c xmlns:ns0="http://schemas.openxmlformats.org/spreadsheetml/2006/main" r="AL31" s="11" t="inlineStr">
        <ns0:is>
          <ns0:t>General</ns0:t>
        </ns0:is>
      </ns0:c>
      <ns0:c xmlns:ns0="http://schemas.openxmlformats.org/spreadsheetml/2006/main" r="AM31" s="11" t="inlineStr">
        <ns0:is>
          <ns0:t>Spice Subcircuit</ns0:t>
        </ns0:is>
      </ns0:c>
      <ns0:c xmlns:ns0="http://schemas.openxmlformats.org/spreadsheetml/2006/main" r="AN31" s="11" t="inlineStr">
        <ns0:is>
          <ns0:t>@DESIGNATOR %1 %2 @MODEL PARAMS: Cvalue=2.2e-08 Rsvalue=180.857889877154 Rinsvalue=10000000000</ns0:t>
        </ns0:is>
      </ns0:c>
      <ns0:c xmlns:ns0="http://schemas.openxmlformats.org/spreadsheetml/2006/main" r="AO31" s="11" t="inlineStr">
        <ns0:is>
          <ns0:t>X</ns0:t>
        </ns0:is>
      </ns0:c>
      <ns0:c xmlns:ns0="http://schemas.openxmlformats.org/spreadsheetml/2006/main" r="AP31" s="11" t="inlineStr">
        <ns0:is>
          <ns0:t>(1:1),(2:2)</ns0:t>
        </ns0:is>
      </ns0:c>
      <ns0:c xmlns:ns0="http://schemas.openxmlformats.org/spreadsheetml/2006/main" r="AQ31" s="11" t="inlineStr">
        <ns0:is>
          <ns0:t>Simulation\Capacitors\MY_LIB_C_RC.ckt</ns0:t>
        </ns0:is>
      </ns0:c>
    </ns0:row>
    <ns0:row r="32" ht="30" customHeight="1">
      <ns0:c r="A32" t="str" s="14">
        <ns0:v>C0033</ns0:v>
      </ns0:c>
      <ns0:c r="B32" t="str" s="14">
        <ns0:v>Конденсатор</ns0:v>
      </ns0:c>
      <ns0:c r="C32" t="str" s="14">
        <ns0:v>27n</ns0:v>
      </ns0:c>
      <ns0:c r="D32" t="str" s="11">
        <ns0:f>SUBSTITUTE(SUBSTITUTE(SUBSTITUTE(SUBSTITUTE(C32,"p"," пФ"),"n"," нФ"),"u"," мкФ"),".",",")</ns0:f>
        <ns0:v>27 нФ</ns0:v>
      </ns0:c>
      <ns0:c r="E32" t="str" s="14">
        <ns0:v>±5%</ns0:v>
      </ns0:c>
      <ns0:c r="F32" s="14"/>
      <ns0:c r="G32" t="str" s="14">
        <ns0:v>50 В</ns0:v>
      </ns0:c>
      <ns0:c r="H32" t="str" s="14">
        <ns0:v>X7R</ns0:v>
      </ns0:c>
      <ns0:c r="I32" t="str" s="15">
        <ns0:v>0805</ns0:v>
      </ns0:c>
      <ns0:c r="J32" t="str" s="14">
        <ns0:v>YAGEO</ns0:v>
      </ns0:c>
      <ns0:c r="K32" t="str" s="14">
        <ns0:v>CC0805JRX7R9BB273</ns0:v>
      </ns0:c>
      <ns0:c r="L32" t="str" s="11">
        <ns0:f>B32&amp;" "&amp;D32&amp;" "&amp;E32&amp;" "&amp;G32&amp;" "&amp;H32&amp;" "&amp;I32</ns0:f>
        <ns0:v>Конденсатор 27 нФ ±5% 50 В X7R 0805</ns0:v>
      </ns0:c>
      <ns0:c r="M32" t="str" s="13">
        <ns0:v>C</ns0:v>
      </ns0:c>
      <ns0:c r="N32" t="str" s="13">
        <ns0:v>Symbols\MY_LIB_Capacitors.SchLib</ns0:v>
      </ns0:c>
      <ns0:c r="O32" t="str" s="13">
        <ns0:v>CAPC2012X135N</ns0:v>
      </ns0:c>
      <ns0:c r="P32" t="str" s="13">
        <ns0:v>Footprints\PBL - SMD Packages.PcbLib</ns0:v>
      </ns0:c>
      <ns0:c r="Q32" t="str" s="14">
        <ns0:v>YAGEO CC; список 20.10.2026</ns0:v>
      </ns0:c>
      <ns0:c r="R32" t="str" s="11">
        <ns0:f>D32</ns0:f>
        <ns0:v>27 нФ</ns0:v>
      </ns0:c>
      <ns0:c r="S32" t="str" s="11">
        <ns0:f>L32</ns0:f>
        <ns0:v>Конденсатор 27 нФ ±5% 50 В X7R 0805</ns0:v>
      </ns0:c>
      <x:c xmlns:x="http://schemas.openxmlformats.org/spreadsheetml/2006/main" r="T32" t="str" s="11">
        <x:v>C:\Users\Nomatin\Documents\Altium\MY_LIB\MY_LIB\Datasheets\YAGEO_CC_X7R.pdf</x:v>
      </x:c>
      <x:c xmlns:x="http://schemas.openxmlformats.org/spreadsheetml/2006/main" r="U32" t="str" s="11">
        <x:v>Даташит — локальный</x:v>
      </x:c>
      <x:c xmlns:x="http://schemas.openxmlformats.org/spreadsheetml/2006/main" r="V32" t="str" s="11">
        <x:v>C:\Users\Nomatin\Documents\Altium\MY_LIB\MY_LIB\Datasheets\YAGEO_CC_X7R.pdf</x:v>
      </x:c>
      <x:c xmlns:x="http://schemas.openxmlformats.org/spreadsheetml/2006/main" r="W32" t="str" s="11">
        <x:v>Даташит — производитель</x:v>
      </x:c>
      <x:c xmlns:x="http://schemas.openxmlformats.org/spreadsheetml/2006/main" r="X32" t="str" s="11">
        <x:v>https://yageogroup.com/content/datasheet/asset/file/UPY-GPHC_X7R_6_3V-TO-250V</x:v>
      </x:c>
      <x:c xmlns:x="http://schemas.openxmlformats.org/spreadsheetml/2006/main" r="Y32" t="str" s="11">
        <x:v>C:\Users\Nomatin\Documents\Altium\MY_LIB\MY_LIB\Datasheets\YAGEO_CC_X7R.pdf</x:v>
      </x:c>
      <ns0:c xmlns:ns0="http://schemas.openxmlformats.org/spreadsheetml/2006/main" r="Z32" s="11">
        <ns0:v>2.7e-08</ns0:v>
      </ns0:c>
      <ns0:c xmlns:ns0="http://schemas.openxmlformats.org/spreadsheetml/2006/main" r="AA32" s="11">
        <ns0:v>0.025</ns0:v>
      </ns0:c>
      <ns0:c xmlns:ns0="http://schemas.openxmlformats.org/spreadsheetml/2006/main" r="AB32" s="11">
        <ns0:v>1000</ns0:v>
      </ns0:c>
      <ns0:c xmlns:ns0="http://schemas.openxmlformats.org/spreadsheetml/2006/main" r="AC32" s="11">
        <ns0:v>1</ns0:v>
      </ns0:c>
      <ns0:c xmlns:ns0="http://schemas.openxmlformats.org/spreadsheetml/2006/main" r="AD32" s="11">
        <ns0:v>20</ns0:v>
      </ns0:c>
      <ns0:c xmlns:ns0="http://schemas.openxmlformats.org/spreadsheetml/2006/main" r="AE32" s="11">
        <ns0:v>500</ns0:v>
      </ns0:c>
      <ns0:c xmlns:ns0="http://schemas.openxmlformats.org/spreadsheetml/2006/main" r="AF32" s="11">
        <ns0:v>10000000000</ns0:v>
      </ns0:c>
      <ns0:c xmlns:ns0="http://schemas.openxmlformats.org/spreadsheetml/2006/main" r="AG32" s="11">
        <ns0:v>50</ns0:v>
      </ns0:c>
      <ns0:c xmlns:ns0="http://schemas.openxmlformats.org/spreadsheetml/2006/main" r="AH32" s="11">
        <ns0:v>60</ns0:v>
      </ns0:c>
      <ns0:c xmlns:ns0="http://schemas.openxmlformats.org/spreadsheetml/2006/main" r="AI32" s="11">
        <ns0:v>147.365688048051</ns0:v>
      </ns0:c>
      <ns0:c xmlns:ns0="http://schemas.openxmlformats.org/spreadsheetml/2006/main" r="AJ32" s="11" t="inlineStr">
        <ns0:is>
          <ns0:t>MY_LIB_C_RC</ns0:t>
        </ns0:is>
      </ns0:c>
      <ns0:c xmlns:ns0="http://schemas.openxmlformats.org/spreadsheetml/2006/main" r="AK32" s="11" t="inlineStr">
        <ns0:is>
          <ns0:t>Nominal C; DFmax at 1kHz; minimum insulation; no temperature/bias/ESL</ns0:t>
        </ns0:is>
      </ns0:c>
      <ns0:c xmlns:ns0="http://schemas.openxmlformats.org/spreadsheetml/2006/main" r="AL32" s="11" t="inlineStr">
        <ns0:is>
          <ns0:t>General</ns0:t>
        </ns0:is>
      </ns0:c>
      <ns0:c xmlns:ns0="http://schemas.openxmlformats.org/spreadsheetml/2006/main" r="AM32" s="11" t="inlineStr">
        <ns0:is>
          <ns0:t>Spice Subcircuit</ns0:t>
        </ns0:is>
      </ns0:c>
      <ns0:c xmlns:ns0="http://schemas.openxmlformats.org/spreadsheetml/2006/main" r="AN32" s="11" t="inlineStr">
        <ns0:is>
          <ns0:t>@DESIGNATOR %1 %2 @MODEL PARAMS: Cvalue=2.7e-08 Rsvalue=147.365688048051 Rinsvalue=10000000000</ns0:t>
        </ns0:is>
      </ns0:c>
      <ns0:c xmlns:ns0="http://schemas.openxmlformats.org/spreadsheetml/2006/main" r="AO32" s="11" t="inlineStr">
        <ns0:is>
          <ns0:t>X</ns0:t>
        </ns0:is>
      </ns0:c>
      <ns0:c xmlns:ns0="http://schemas.openxmlformats.org/spreadsheetml/2006/main" r="AP32" s="11" t="inlineStr">
        <ns0:is>
          <ns0:t>(1:1),(2:2)</ns0:t>
        </ns0:is>
      </ns0:c>
      <ns0:c xmlns:ns0="http://schemas.openxmlformats.org/spreadsheetml/2006/main" r="AQ32" s="11" t="inlineStr">
        <ns0:is>
          <ns0:t>Simulation\Capacitors\MY_LIB_C_RC.ckt</ns0:t>
        </ns0:is>
      </ns0:c>
    </ns0:row>
    <ns0:row r="33" ht="30" customHeight="1">
      <ns0:c r="A33" t="str" s="14">
        <ns0:v>C0034</ns0:v>
      </ns0:c>
      <ns0:c r="B33" t="str" s="14">
        <ns0:v>Конденсатор</ns0:v>
      </ns0:c>
      <ns0:c r="C33" t="str" s="14">
        <ns0:v>33n</ns0:v>
      </ns0:c>
      <ns0:c r="D33" t="str" s="11">
        <ns0:f>SUBSTITUTE(SUBSTITUTE(SUBSTITUTE(SUBSTITUTE(C33,"p"," пФ"),"n"," нФ"),"u"," мкФ"),".",",")</ns0:f>
        <ns0:v>33 нФ</ns0:v>
      </ns0:c>
      <ns0:c r="E33" t="str" s="14">
        <ns0:v>±5%</ns0:v>
      </ns0:c>
      <ns0:c r="F33" s="14"/>
      <ns0:c r="G33" t="str" s="14">
        <ns0:v>100 В</ns0:v>
      </ns0:c>
      <ns0:c r="H33" t="str" s="14">
        <ns0:v>X7R</ns0:v>
      </ns0:c>
      <ns0:c r="I33" t="str" s="15">
        <ns0:v>0805</ns0:v>
      </ns0:c>
      <ns0:c r="J33" t="str" s="14">
        <ns0:v>YAGEO</ns0:v>
      </ns0:c>
      <ns0:c r="K33" t="str" s="14">
        <ns0:v>CC0805JKX7R0BB333</ns0:v>
      </ns0:c>
      <ns0:c r="L33" t="str" s="11">
        <ns0:f>B33&amp;" "&amp;D33&amp;" "&amp;E33&amp;" "&amp;G33&amp;" "&amp;H33&amp;" "&amp;I33</ns0:f>
        <ns0:v>Конденсатор 33 нФ ±5% 100 В X7R 0805</ns0:v>
      </ns0:c>
      <ns0:c r="M33" t="str" s="13">
        <ns0:v>C</ns0:v>
      </ns0:c>
      <ns0:c r="N33" t="str" s="13">
        <ns0:v>Symbols\MY_LIB_Capacitors.SchLib</ns0:v>
      </ns0:c>
      <ns0:c r="O33" t="str" s="13">
        <ns0:v>CAPC2012X135N</ns0:v>
      </ns0:c>
      <ns0:c r="P33" t="str" s="13">
        <ns0:v>Footprints\PBL - SMD Packages.PcbLib</ns0:v>
      </ns0:c>
      <ns0:c r="Q33" t="str" s="14">
        <ns0:v>YAGEO CC; список 20.10.2026</ns0:v>
      </ns0:c>
      <ns0:c r="R33" t="str" s="11">
        <ns0:f>D33</ns0:f>
        <ns0:v>33 нФ</ns0:v>
      </ns0:c>
      <ns0:c r="S33" t="str" s="11">
        <ns0:f>L33</ns0:f>
        <ns0:v>Конденсатор 33 нФ ±5% 100 В X7R 0805</ns0:v>
      </ns0:c>
      <x:c xmlns:x="http://schemas.openxmlformats.org/spreadsheetml/2006/main" r="T33" t="str" s="11">
        <x:v>C:\Users\Nomatin\Documents\Altium\MY_LIB\MY_LIB\Datasheets\YAGEO_CC_X7R.pdf</x:v>
      </x:c>
      <x:c xmlns:x="http://schemas.openxmlformats.org/spreadsheetml/2006/main" r="U33" t="str" s="11">
        <x:v>Даташит — локальный</x:v>
      </x:c>
      <x:c xmlns:x="http://schemas.openxmlformats.org/spreadsheetml/2006/main" r="V33" t="str" s="11">
        <x:v>C:\Users\Nomatin\Documents\Altium\MY_LIB\MY_LIB\Datasheets\YAGEO_CC_X7R.pdf</x:v>
      </x:c>
      <x:c xmlns:x="http://schemas.openxmlformats.org/spreadsheetml/2006/main" r="W33" t="str" s="11">
        <x:v>Даташит — производитель</x:v>
      </x:c>
      <x:c xmlns:x="http://schemas.openxmlformats.org/spreadsheetml/2006/main" r="X33" t="str" s="11">
        <x:v>https://yageogroup.com/content/datasheet/asset/file/UPY-GPHC_X7R_6_3V-TO-250V</x:v>
      </x:c>
      <x:c xmlns:x="http://schemas.openxmlformats.org/spreadsheetml/2006/main" r="Y33" t="str" s="11">
        <x:v>C:\Users\Nomatin\Documents\Altium\MY_LIB\MY_LIB\Datasheets\YAGEO_CC_X7R.pdf</x:v>
      </x:c>
      <ns0:c xmlns:ns0="http://schemas.openxmlformats.org/spreadsheetml/2006/main" r="Z33" s="11">
        <ns0:v>3.3e-08</ns0:v>
      </ns0:c>
      <ns0:c xmlns:ns0="http://schemas.openxmlformats.org/spreadsheetml/2006/main" r="AA33" s="11">
        <ns0:v>0.025</ns0:v>
      </ns0:c>
      <ns0:c xmlns:ns0="http://schemas.openxmlformats.org/spreadsheetml/2006/main" r="AB33" s="11">
        <ns0:v>1000</ns0:v>
      </ns0:c>
      <ns0:c xmlns:ns0="http://schemas.openxmlformats.org/spreadsheetml/2006/main" r="AC33" s="11">
        <ns0:v>1</ns0:v>
      </ns0:c>
      <ns0:c xmlns:ns0="http://schemas.openxmlformats.org/spreadsheetml/2006/main" r="AD33" s="11">
        <ns0:v>20</ns0:v>
      </ns0:c>
      <ns0:c xmlns:ns0="http://schemas.openxmlformats.org/spreadsheetml/2006/main" r="AE33" s="11">
        <ns0:v>500</ns0:v>
      </ns0:c>
      <ns0:c xmlns:ns0="http://schemas.openxmlformats.org/spreadsheetml/2006/main" r="AF33" s="11">
        <ns0:v>10000000000</ns0:v>
      </ns0:c>
      <ns0:c xmlns:ns0="http://schemas.openxmlformats.org/spreadsheetml/2006/main" r="AG33" s="11">
        <ns0:v>100</ns0:v>
      </ns0:c>
      <ns0:c xmlns:ns0="http://schemas.openxmlformats.org/spreadsheetml/2006/main" r="AH33" s="11">
        <ns0:v>60</ns0:v>
      </ns0:c>
      <ns0:c xmlns:ns0="http://schemas.openxmlformats.org/spreadsheetml/2006/main" r="AI33" s="11">
        <ns0:v>120.571926584769</ns0:v>
      </ns0:c>
      <ns0:c xmlns:ns0="http://schemas.openxmlformats.org/spreadsheetml/2006/main" r="AJ33" s="11" t="inlineStr">
        <ns0:is>
          <ns0:t>MY_LIB_C_RC</ns0:t>
        </ns0:is>
      </ns0:c>
      <ns0:c xmlns:ns0="http://schemas.openxmlformats.org/spreadsheetml/2006/main" r="AK33" s="11" t="inlineStr">
        <ns0:is>
          <ns0:t>Nominal C; DFmax at 1kHz; minimum insulation; no temperature/bias/ESL</ns0:t>
        </ns0:is>
      </ns0:c>
      <ns0:c xmlns:ns0="http://schemas.openxmlformats.org/spreadsheetml/2006/main" r="AL33" s="11" t="inlineStr">
        <ns0:is>
          <ns0:t>General</ns0:t>
        </ns0:is>
      </ns0:c>
      <ns0:c xmlns:ns0="http://schemas.openxmlformats.org/spreadsheetml/2006/main" r="AM33" s="11" t="inlineStr">
        <ns0:is>
          <ns0:t>Spice Subcircuit</ns0:t>
        </ns0:is>
      </ns0:c>
      <ns0:c xmlns:ns0="http://schemas.openxmlformats.org/spreadsheetml/2006/main" r="AN33" s="11" t="inlineStr">
        <ns0:is>
          <ns0:t>@DESIGNATOR %1 %2 @MODEL PARAMS: Cvalue=3.3e-08 Rsvalue=120.571926584769 Rinsvalue=10000000000</ns0:t>
        </ns0:is>
      </ns0:c>
      <ns0:c xmlns:ns0="http://schemas.openxmlformats.org/spreadsheetml/2006/main" r="AO33" s="11" t="inlineStr">
        <ns0:is>
          <ns0:t>X</ns0:t>
        </ns0:is>
      </ns0:c>
      <ns0:c xmlns:ns0="http://schemas.openxmlformats.org/spreadsheetml/2006/main" r="AP33" s="11" t="inlineStr">
        <ns0:is>
          <ns0:t>(1:1),(2:2)</ns0:t>
        </ns0:is>
      </ns0:c>
      <ns0:c xmlns:ns0="http://schemas.openxmlformats.org/spreadsheetml/2006/main" r="AQ33" s="11" t="inlineStr">
        <ns0:is>
          <ns0:t>Simulation\Capacitors\MY_LIB_C_RC.ckt</ns0:t>
        </ns0:is>
      </ns0:c>
    </ns0:row>
    <ns0:row r="34" ht="30" customHeight="1">
      <ns0:c r="A34" t="str" s="14">
        <ns0:v>C0035</ns0:v>
      </ns0:c>
      <ns0:c r="B34" t="str" s="14">
        <ns0:v>Конденсатор</ns0:v>
      </ns0:c>
      <ns0:c r="C34" t="str" s="14">
        <ns0:v>39n</ns0:v>
      </ns0:c>
      <ns0:c r="D34" t="str" s="11">
        <ns0:f>SUBSTITUTE(SUBSTITUTE(SUBSTITUTE(SUBSTITUTE(C34,"p"," пФ"),"n"," нФ"),"u"," мкФ"),".",",")</ns0:f>
        <ns0:v>39 нФ</ns0:v>
      </ns0:c>
      <ns0:c r="E34" t="str" s="14">
        <ns0:v>±5%</ns0:v>
      </ns0:c>
      <ns0:c r="F34" s="14"/>
      <ns0:c r="G34" t="str" s="14">
        <ns0:v>50 В</ns0:v>
      </ns0:c>
      <ns0:c r="H34" t="str" s="14">
        <ns0:v>X7R</ns0:v>
      </ns0:c>
      <ns0:c r="I34" t="str" s="15">
        <ns0:v>0805</ns0:v>
      </ns0:c>
      <ns0:c r="J34" t="str" s="14">
        <ns0:v>YAGEO</ns0:v>
      </ns0:c>
      <ns0:c r="K34" t="str" s="14">
        <ns0:v>CC0805JRX7R9BB393</ns0:v>
      </ns0:c>
      <ns0:c r="L34" t="str" s="11">
        <ns0:f>B34&amp;" "&amp;D34&amp;" "&amp;E34&amp;" "&amp;G34&amp;" "&amp;H34&amp;" "&amp;I34</ns0:f>
        <ns0:v>Конденсатор 39 нФ ±5% 50 В X7R 0805</ns0:v>
      </ns0:c>
      <ns0:c r="M34" t="str" s="13">
        <ns0:v>C</ns0:v>
      </ns0:c>
      <ns0:c r="N34" t="str" s="13">
        <ns0:v>Symbols\MY_LIB_Capacitors.SchLib</ns0:v>
      </ns0:c>
      <ns0:c r="O34" t="str" s="13">
        <ns0:v>CAPC2012X135N</ns0:v>
      </ns0:c>
      <ns0:c r="P34" t="str" s="13">
        <ns0:v>Footprints\PBL - SMD Packages.PcbLib</ns0:v>
      </ns0:c>
      <ns0:c r="Q34" t="str" s="14">
        <ns0:v>YAGEO CC; список 20.10.2026</ns0:v>
      </ns0:c>
      <ns0:c r="R34" t="str" s="11">
        <ns0:f>D34</ns0:f>
        <ns0:v>39 нФ</ns0:v>
      </ns0:c>
      <ns0:c r="S34" t="str" s="11">
        <ns0:f>L34</ns0:f>
        <ns0:v>Конденсатор 39 нФ ±5% 50 В X7R 0805</ns0:v>
      </ns0:c>
      <x:c xmlns:x="http://schemas.openxmlformats.org/spreadsheetml/2006/main" r="T34" t="str" s="11">
        <x:v>C:\Users\Nomatin\Documents\Altium\MY_LIB\MY_LIB\Datasheets\YAGEO_CC_X7R.pdf</x:v>
      </x:c>
      <x:c xmlns:x="http://schemas.openxmlformats.org/spreadsheetml/2006/main" r="U34" t="str" s="11">
        <x:v>Даташит — локальный</x:v>
      </x:c>
      <x:c xmlns:x="http://schemas.openxmlformats.org/spreadsheetml/2006/main" r="V34" t="str" s="11">
        <x:v>C:\Users\Nomatin\Documents\Altium\MY_LIB\MY_LIB\Datasheets\YAGEO_CC_X7R.pdf</x:v>
      </x:c>
      <x:c xmlns:x="http://schemas.openxmlformats.org/spreadsheetml/2006/main" r="W34" t="str" s="11">
        <x:v>Даташит — производитель</x:v>
      </x:c>
      <x:c xmlns:x="http://schemas.openxmlformats.org/spreadsheetml/2006/main" r="X34" t="str" s="11">
        <x:v>https://yageogroup.com/content/datasheet/asset/file/UPY-GPHC_X7R_6_3V-TO-250V</x:v>
      </x:c>
      <x:c xmlns:x="http://schemas.openxmlformats.org/spreadsheetml/2006/main" r="Y34" t="str" s="11">
        <x:v>C:\Users\Nomatin\Documents\Altium\MY_LIB\MY_LIB\Datasheets\YAGEO_CC_X7R.pdf</x:v>
      </x:c>
      <ns0:c xmlns:ns0="http://schemas.openxmlformats.org/spreadsheetml/2006/main" r="Z34" s="11">
        <ns0:v>3.9e-08</ns0:v>
      </ns0:c>
      <ns0:c xmlns:ns0="http://schemas.openxmlformats.org/spreadsheetml/2006/main" r="AA34" s="11">
        <ns0:v>0.025</ns0:v>
      </ns0:c>
      <ns0:c xmlns:ns0="http://schemas.openxmlformats.org/spreadsheetml/2006/main" r="AB34" s="11">
        <ns0:v>1000</ns0:v>
      </ns0:c>
      <ns0:c xmlns:ns0="http://schemas.openxmlformats.org/spreadsheetml/2006/main" r="AC34" s="11">
        <ns0:v>1</ns0:v>
      </ns0:c>
      <ns0:c xmlns:ns0="http://schemas.openxmlformats.org/spreadsheetml/2006/main" r="AD34" s="11">
        <ns0:v>20</ns0:v>
      </ns0:c>
      <ns0:c xmlns:ns0="http://schemas.openxmlformats.org/spreadsheetml/2006/main" r="AE34" s="11">
        <ns0:v>500</ns0:v>
      </ns0:c>
      <ns0:c xmlns:ns0="http://schemas.openxmlformats.org/spreadsheetml/2006/main" r="AF34" s="11">
        <ns0:v>10000000000</ns0:v>
      </ns0:c>
      <ns0:c xmlns:ns0="http://schemas.openxmlformats.org/spreadsheetml/2006/main" r="AG34" s="11">
        <ns0:v>50</ns0:v>
      </ns0:c>
      <ns0:c xmlns:ns0="http://schemas.openxmlformats.org/spreadsheetml/2006/main" r="AH34" s="11">
        <ns0:v>60</ns0:v>
      </ns0:c>
      <ns0:c xmlns:ns0="http://schemas.openxmlformats.org/spreadsheetml/2006/main" r="AI34" s="11">
        <ns0:v>102.022399417882</ns0:v>
      </ns0:c>
      <ns0:c xmlns:ns0="http://schemas.openxmlformats.org/spreadsheetml/2006/main" r="AJ34" s="11" t="inlineStr">
        <ns0:is>
          <ns0:t>MY_LIB_C_RC</ns0:t>
        </ns0:is>
      </ns0:c>
      <ns0:c xmlns:ns0="http://schemas.openxmlformats.org/spreadsheetml/2006/main" r="AK34" s="11" t="inlineStr">
        <ns0:is>
          <ns0:t>Nominal C; DFmax at 1kHz; minimum insulation; no temperature/bias/ESL</ns0:t>
        </ns0:is>
      </ns0:c>
      <ns0:c xmlns:ns0="http://schemas.openxmlformats.org/spreadsheetml/2006/main" r="AL34" s="11" t="inlineStr">
        <ns0:is>
          <ns0:t>General</ns0:t>
        </ns0:is>
      </ns0:c>
      <ns0:c xmlns:ns0="http://schemas.openxmlformats.org/spreadsheetml/2006/main" r="AM34" s="11" t="inlineStr">
        <ns0:is>
          <ns0:t>Spice Subcircuit</ns0:t>
        </ns0:is>
      </ns0:c>
      <ns0:c xmlns:ns0="http://schemas.openxmlformats.org/spreadsheetml/2006/main" r="AN34" s="11" t="inlineStr">
        <ns0:is>
          <ns0:t>@DESIGNATOR %1 %2 @MODEL PARAMS: Cvalue=3.9e-08 Rsvalue=102.022399417882 Rinsvalue=10000000000</ns0:t>
        </ns0:is>
      </ns0:c>
      <ns0:c xmlns:ns0="http://schemas.openxmlformats.org/spreadsheetml/2006/main" r="AO34" s="11" t="inlineStr">
        <ns0:is>
          <ns0:t>X</ns0:t>
        </ns0:is>
      </ns0:c>
      <ns0:c xmlns:ns0="http://schemas.openxmlformats.org/spreadsheetml/2006/main" r="AP34" s="11" t="inlineStr">
        <ns0:is>
          <ns0:t>(1:1),(2:2)</ns0:t>
        </ns0:is>
      </ns0:c>
      <ns0:c xmlns:ns0="http://schemas.openxmlformats.org/spreadsheetml/2006/main" r="AQ34" s="11" t="inlineStr">
        <ns0:is>
          <ns0:t>Simulation\Capacitors\MY_LIB_C_RC.ckt</ns0:t>
        </ns0:is>
      </ns0:c>
    </ns0:row>
    <ns0:row r="35" ht="30" customHeight="1">
      <ns0:c r="A35" t="str" s="14">
        <ns0:v>C0036</ns0:v>
      </ns0:c>
      <ns0:c r="B35" t="str" s="14">
        <ns0:v>Конденсатор</ns0:v>
      </ns0:c>
      <ns0:c r="C35" t="str" s="14">
        <ns0:v>47n</ns0:v>
      </ns0:c>
      <ns0:c r="D35" t="str" s="11">
        <ns0:f>SUBSTITUTE(SUBSTITUTE(SUBSTITUTE(SUBSTITUTE(C35,"p"," пФ"),"n"," нФ"),"u"," мкФ"),".",",")</ns0:f>
        <ns0:v>47 нФ</ns0:v>
      </ns0:c>
      <ns0:c r="E35" t="str" s="14">
        <ns0:v>±5%</ns0:v>
      </ns0:c>
      <ns0:c r="F35" s="14"/>
      <ns0:c r="G35" t="str" s="14">
        <ns0:v>100 В</ns0:v>
      </ns0:c>
      <ns0:c r="H35" t="str" s="14">
        <ns0:v>X7R</ns0:v>
      </ns0:c>
      <ns0:c r="I35" t="str" s="15">
        <ns0:v>0805</ns0:v>
      </ns0:c>
      <ns0:c r="J35" t="str" s="14">
        <ns0:v>YAGEO</ns0:v>
      </ns0:c>
      <ns0:c r="K35" t="str" s="14">
        <ns0:v>CC0805JKX7R0BB473</ns0:v>
      </ns0:c>
      <ns0:c r="L35" t="str" s="11">
        <ns0:f>B35&amp;" "&amp;D35&amp;" "&amp;E35&amp;" "&amp;G35&amp;" "&amp;H35&amp;" "&amp;I35</ns0:f>
        <ns0:v>Конденсатор 47 нФ ±5% 100 В X7R 0805</ns0:v>
      </ns0:c>
      <ns0:c r="M35" t="str" s="13">
        <ns0:v>C</ns0:v>
      </ns0:c>
      <ns0:c r="N35" t="str" s="13">
        <ns0:v>Symbols\MY_LIB_Capacitors.SchLib</ns0:v>
      </ns0:c>
      <ns0:c r="O35" t="str" s="13">
        <ns0:v>CAPC2012X135N</ns0:v>
      </ns0:c>
      <ns0:c r="P35" t="str" s="13">
        <ns0:v>Footprints\PBL - SMD Packages.PcbLib</ns0:v>
      </ns0:c>
      <ns0:c r="Q35" t="str" s="14">
        <ns0:v>YAGEO CC; список 20.10.2026</ns0:v>
      </ns0:c>
      <ns0:c r="R35" t="str" s="11">
        <ns0:f>D35</ns0:f>
        <ns0:v>47 нФ</ns0:v>
      </ns0:c>
      <ns0:c r="S35" t="str" s="11">
        <ns0:f>L35</ns0:f>
        <ns0:v>Конденсатор 47 нФ ±5% 100 В X7R 0805</ns0:v>
      </ns0:c>
      <x:c xmlns:x="http://schemas.openxmlformats.org/spreadsheetml/2006/main" r="T35" t="str" s="11">
        <x:v>C:\Users\Nomatin\Documents\Altium\MY_LIB\MY_LIB\Datasheets\YAGEO_CC_X7R.pdf</x:v>
      </x:c>
      <x:c xmlns:x="http://schemas.openxmlformats.org/spreadsheetml/2006/main" r="U35" t="str" s="11">
        <x:v>Даташит — локальный</x:v>
      </x:c>
      <x:c xmlns:x="http://schemas.openxmlformats.org/spreadsheetml/2006/main" r="V35" t="str" s="11">
        <x:v>C:\Users\Nomatin\Documents\Altium\MY_LIB\MY_LIB\Datasheets\YAGEO_CC_X7R.pdf</x:v>
      </x:c>
      <x:c xmlns:x="http://schemas.openxmlformats.org/spreadsheetml/2006/main" r="W35" t="str" s="11">
        <x:v>Даташит — производитель</x:v>
      </x:c>
      <x:c xmlns:x="http://schemas.openxmlformats.org/spreadsheetml/2006/main" r="X35" t="str" s="11">
        <x:v>https://yageogroup.com/content/datasheet/asset/file/UPY-GPHC_X7R_6_3V-TO-250V</x:v>
      </x:c>
      <x:c xmlns:x="http://schemas.openxmlformats.org/spreadsheetml/2006/main" r="Y35" t="str" s="11">
        <x:v>C:\Users\Nomatin\Documents\Altium\MY_LIB\MY_LIB\Datasheets\YAGEO_CC_X7R.pdf</x:v>
      </x:c>
      <ns0:c xmlns:ns0="http://schemas.openxmlformats.org/spreadsheetml/2006/main" r="Z35" s="11">
        <ns0:v>4.7e-08</ns0:v>
      </ns0:c>
      <ns0:c xmlns:ns0="http://schemas.openxmlformats.org/spreadsheetml/2006/main" r="AA35" s="11">
        <ns0:v>0.025</ns0:v>
      </ns0:c>
      <ns0:c xmlns:ns0="http://schemas.openxmlformats.org/spreadsheetml/2006/main" r="AB35" s="11">
        <ns0:v>1000</ns0:v>
      </ns0:c>
      <ns0:c xmlns:ns0="http://schemas.openxmlformats.org/spreadsheetml/2006/main" r="AC35" s="11">
        <ns0:v>1</ns0:v>
      </ns0:c>
      <ns0:c xmlns:ns0="http://schemas.openxmlformats.org/spreadsheetml/2006/main" r="AD35" s="11">
        <ns0:v>20</ns0:v>
      </ns0:c>
      <ns0:c xmlns:ns0="http://schemas.openxmlformats.org/spreadsheetml/2006/main" r="AE35" s="11">
        <ns0:v>500</ns0:v>
      </ns0:c>
      <ns0:c xmlns:ns0="http://schemas.openxmlformats.org/spreadsheetml/2006/main" r="AF35" s="11">
        <ns0:v>10000000000</ns0:v>
      </ns0:c>
      <ns0:c xmlns:ns0="http://schemas.openxmlformats.org/spreadsheetml/2006/main" r="AG35" s="11">
        <ns0:v>100</ns0:v>
      </ns0:c>
      <ns0:c xmlns:ns0="http://schemas.openxmlformats.org/spreadsheetml/2006/main" r="AH35" s="11">
        <ns0:v>60</ns0:v>
      </ns0:c>
      <ns0:c xmlns:ns0="http://schemas.openxmlformats.org/spreadsheetml/2006/main" r="AI35" s="11">
        <ns0:v>84.6568846233486</ns0:v>
      </ns0:c>
      <ns0:c xmlns:ns0="http://schemas.openxmlformats.org/spreadsheetml/2006/main" r="AJ35" s="11" t="inlineStr">
        <ns0:is>
          <ns0:t>MY_LIB_C_RC</ns0:t>
        </ns0:is>
      </ns0:c>
      <ns0:c xmlns:ns0="http://schemas.openxmlformats.org/spreadsheetml/2006/main" r="AK35" s="11" t="inlineStr">
        <ns0:is>
          <ns0:t>Nominal C; DFmax at 1kHz; minimum insulation; no temperature/bias/ESL</ns0:t>
        </ns0:is>
      </ns0:c>
      <ns0:c xmlns:ns0="http://schemas.openxmlformats.org/spreadsheetml/2006/main" r="AL35" s="11" t="inlineStr">
        <ns0:is>
          <ns0:t>General</ns0:t>
        </ns0:is>
      </ns0:c>
      <ns0:c xmlns:ns0="http://schemas.openxmlformats.org/spreadsheetml/2006/main" r="AM35" s="11" t="inlineStr">
        <ns0:is>
          <ns0:t>Spice Subcircuit</ns0:t>
        </ns0:is>
      </ns0:c>
      <ns0:c xmlns:ns0="http://schemas.openxmlformats.org/spreadsheetml/2006/main" r="AN35" s="11" t="inlineStr">
        <ns0:is>
          <ns0:t>@DESIGNATOR %1 %2 @MODEL PARAMS: Cvalue=4.7e-08 Rsvalue=84.6568846233486 Rinsvalue=10000000000</ns0:t>
        </ns0:is>
      </ns0:c>
      <ns0:c xmlns:ns0="http://schemas.openxmlformats.org/spreadsheetml/2006/main" r="AO35" s="11" t="inlineStr">
        <ns0:is>
          <ns0:t>X</ns0:t>
        </ns0:is>
      </ns0:c>
      <ns0:c xmlns:ns0="http://schemas.openxmlformats.org/spreadsheetml/2006/main" r="AP35" s="11" t="inlineStr">
        <ns0:is>
          <ns0:t>(1:1),(2:2)</ns0:t>
        </ns0:is>
      </ns0:c>
      <ns0:c xmlns:ns0="http://schemas.openxmlformats.org/spreadsheetml/2006/main" r="AQ35" s="11" t="inlineStr">
        <ns0:is>
          <ns0:t>Simulation\Capacitors\MY_LIB_C_RC.ckt</ns0:t>
        </ns0:is>
      </ns0:c>
    </ns0:row>
    <ns0:row r="36" ht="30" customHeight="1">
      <ns0:c r="A36" t="str" s="14">
        <ns0:v>C0037</ns0:v>
      </ns0:c>
      <ns0:c r="B36" t="str" s="14">
        <ns0:v>Конденсатор</ns0:v>
      </ns0:c>
      <ns0:c r="C36" t="str" s="14">
        <ns0:v>56n</ns0:v>
      </ns0:c>
      <ns0:c r="D36" t="str" s="11">
        <ns0:f>SUBSTITUTE(SUBSTITUTE(SUBSTITUTE(SUBSTITUTE(C36,"p"," пФ"),"n"," нФ"),"u"," мкФ"),".",",")</ns0:f>
        <ns0:v>56 нФ</ns0:v>
      </ns0:c>
      <ns0:c r="E36" t="str" s="14">
        <ns0:v>±5%</ns0:v>
      </ns0:c>
      <ns0:c r="F36" s="14"/>
      <ns0:c r="G36" t="str" s="14">
        <ns0:v>50 В</ns0:v>
      </ns0:c>
      <ns0:c r="H36" t="str" s="14">
        <ns0:v>X7R</ns0:v>
      </ns0:c>
      <ns0:c r="I36" t="str" s="15">
        <ns0:v>0805</ns0:v>
      </ns0:c>
      <ns0:c r="J36" t="str" s="14">
        <ns0:v>YAGEO</ns0:v>
      </ns0:c>
      <ns0:c r="K36" t="str" s="14">
        <ns0:v>CC0805JRX7R9BB563</ns0:v>
      </ns0:c>
      <ns0:c r="L36" t="str" s="11">
        <ns0:f>B36&amp;" "&amp;D36&amp;" "&amp;E36&amp;" "&amp;G36&amp;" "&amp;H36&amp;" "&amp;I36</ns0:f>
        <ns0:v>Конденсатор 56 нФ ±5% 50 В X7R 0805</ns0:v>
      </ns0:c>
      <ns0:c r="M36" t="str" s="13">
        <ns0:v>C</ns0:v>
      </ns0:c>
      <ns0:c r="N36" t="str" s="13">
        <ns0:v>Symbols\MY_LIB_Capacitors.SchLib</ns0:v>
      </ns0:c>
      <ns0:c r="O36" t="str" s="13">
        <ns0:v>CAPC2012X135N</ns0:v>
      </ns0:c>
      <ns0:c r="P36" t="str" s="13">
        <ns0:v>Footprints\PBL - SMD Packages.PcbLib</ns0:v>
      </ns0:c>
      <ns0:c r="Q36" t="str" s="14">
        <ns0:v>YAGEO CC; список 20.10.2026</ns0:v>
      </ns0:c>
      <ns0:c r="R36" t="str" s="11">
        <ns0:f>D36</ns0:f>
        <ns0:v>56 нФ</ns0:v>
      </ns0:c>
      <ns0:c r="S36" t="str" s="11">
        <ns0:f>L36</ns0:f>
        <ns0:v>Конденсатор 56 нФ ±5% 50 В X7R 0805</ns0:v>
      </ns0:c>
      <x:c xmlns:x="http://schemas.openxmlformats.org/spreadsheetml/2006/main" r="T36" t="str" s="11">
        <x:v>C:\Users\Nomatin\Documents\Altium\MY_LIB\MY_LIB\Datasheets\YAGEO_CC_X7R.pdf</x:v>
      </x:c>
      <x:c xmlns:x="http://schemas.openxmlformats.org/spreadsheetml/2006/main" r="U36" t="str" s="11">
        <x:v>Даташит — локальный</x:v>
      </x:c>
      <x:c xmlns:x="http://schemas.openxmlformats.org/spreadsheetml/2006/main" r="V36" t="str" s="11">
        <x:v>C:\Users\Nomatin\Documents\Altium\MY_LIB\MY_LIB\Datasheets\YAGEO_CC_X7R.pdf</x:v>
      </x:c>
      <x:c xmlns:x="http://schemas.openxmlformats.org/spreadsheetml/2006/main" r="W36" t="str" s="11">
        <x:v>Даташит — производитель</x:v>
      </x:c>
      <x:c xmlns:x="http://schemas.openxmlformats.org/spreadsheetml/2006/main" r="X36" t="str" s="11">
        <x:v>https://yageogroup.com/content/datasheet/asset/file/UPY-GPHC_X7R_6_3V-TO-250V</x:v>
      </x:c>
      <x:c xmlns:x="http://schemas.openxmlformats.org/spreadsheetml/2006/main" r="Y36" t="str" s="11">
        <x:v>C:\Users\Nomatin\Documents\Altium\MY_LIB\MY_LIB\Datasheets\YAGEO_CC_X7R.pdf</x:v>
      </x:c>
      <ns0:c xmlns:ns0="http://schemas.openxmlformats.org/spreadsheetml/2006/main" r="Z36" s="11">
        <ns0:v>5.6e-08</ns0:v>
      </ns0:c>
      <ns0:c xmlns:ns0="http://schemas.openxmlformats.org/spreadsheetml/2006/main" r="AA36" s="11">
        <ns0:v>0.025</ns0:v>
      </ns0:c>
      <ns0:c xmlns:ns0="http://schemas.openxmlformats.org/spreadsheetml/2006/main" r="AB36" s="11">
        <ns0:v>1000</ns0:v>
      </ns0:c>
      <ns0:c xmlns:ns0="http://schemas.openxmlformats.org/spreadsheetml/2006/main" r="AC36" s="11">
        <ns0:v>1</ns0:v>
      </ns0:c>
      <ns0:c xmlns:ns0="http://schemas.openxmlformats.org/spreadsheetml/2006/main" r="AD36" s="11">
        <ns0:v>20</ns0:v>
      </ns0:c>
      <ns0:c xmlns:ns0="http://schemas.openxmlformats.org/spreadsheetml/2006/main" r="AE36" s="11">
        <ns0:v>500</ns0:v>
      </ns0:c>
      <ns0:c xmlns:ns0="http://schemas.openxmlformats.org/spreadsheetml/2006/main" r="AF36" s="11">
        <ns0:v>8928571428.57143</ns0:v>
      </ns0:c>
      <ns0:c xmlns:ns0="http://schemas.openxmlformats.org/spreadsheetml/2006/main" r="AG36" s="11">
        <ns0:v>50</ns0:v>
      </ns0:c>
      <ns0:c xmlns:ns0="http://schemas.openxmlformats.org/spreadsheetml/2006/main" r="AH36" s="11">
        <ns0:v>60</ns0:v>
      </ns0:c>
      <ns0:c xmlns:ns0="http://schemas.openxmlformats.org/spreadsheetml/2006/main" r="AI36" s="11">
        <ns0:v>71.0513138803104</ns0:v>
      </ns0:c>
      <ns0:c xmlns:ns0="http://schemas.openxmlformats.org/spreadsheetml/2006/main" r="AJ36" s="11" t="inlineStr">
        <ns0:is>
          <ns0:t>MY_LIB_C_RC</ns0:t>
        </ns0:is>
      </ns0:c>
      <ns0:c xmlns:ns0="http://schemas.openxmlformats.org/spreadsheetml/2006/main" r="AK36" s="11" t="inlineStr">
        <ns0:is>
          <ns0:t>Nominal C; DFmax at 1kHz; minimum insulation; no temperature/bias/ESL</ns0:t>
        </ns0:is>
      </ns0:c>
      <ns0:c xmlns:ns0="http://schemas.openxmlformats.org/spreadsheetml/2006/main" r="AL36" s="11" t="inlineStr">
        <ns0:is>
          <ns0:t>General</ns0:t>
        </ns0:is>
      </ns0:c>
      <ns0:c xmlns:ns0="http://schemas.openxmlformats.org/spreadsheetml/2006/main" r="AM36" s="11" t="inlineStr">
        <ns0:is>
          <ns0:t>Spice Subcircuit</ns0:t>
        </ns0:is>
      </ns0:c>
      <ns0:c xmlns:ns0="http://schemas.openxmlformats.org/spreadsheetml/2006/main" r="AN36" s="11" t="inlineStr">
        <ns0:is>
          <ns0:t>@DESIGNATOR %1 %2 @MODEL PARAMS: Cvalue=5.6e-08 Rsvalue=71.0513138803104 Rinsvalue=8928571428.57143</ns0:t>
        </ns0:is>
      </ns0:c>
      <ns0:c xmlns:ns0="http://schemas.openxmlformats.org/spreadsheetml/2006/main" r="AO36" s="11" t="inlineStr">
        <ns0:is>
          <ns0:t>X</ns0:t>
        </ns0:is>
      </ns0:c>
      <ns0:c xmlns:ns0="http://schemas.openxmlformats.org/spreadsheetml/2006/main" r="AP36" s="11" t="inlineStr">
        <ns0:is>
          <ns0:t>(1:1),(2:2)</ns0:t>
        </ns0:is>
      </ns0:c>
      <ns0:c xmlns:ns0="http://schemas.openxmlformats.org/spreadsheetml/2006/main" r="AQ36" s="11" t="inlineStr">
        <ns0:is>
          <ns0:t>Simulation\Capacitors\MY_LIB_C_RC.ckt</ns0:t>
        </ns0:is>
      </ns0:c>
    </ns0:row>
    <ns0:row r="37" ht="30" customHeight="1">
      <ns0:c r="A37" t="str" s="14">
        <ns0:v>C0038</ns0:v>
      </ns0:c>
      <ns0:c r="B37" t="str" s="14">
        <ns0:v>Конденсатор</ns0:v>
      </ns0:c>
      <ns0:c r="C37" t="str" s="14">
        <ns0:v>68n</ns0:v>
      </ns0:c>
      <ns0:c r="D37" t="str" s="11">
        <ns0:f>SUBSTITUTE(SUBSTITUTE(SUBSTITUTE(SUBSTITUTE(C37,"p"," пФ"),"n"," нФ"),"u"," мкФ"),".",",")</ns0:f>
        <ns0:v>68 нФ</ns0:v>
      </ns0:c>
      <ns0:c r="E37" t="str" s="14">
        <ns0:v>±5%</ns0:v>
      </ns0:c>
      <ns0:c r="F37" s="14"/>
      <ns0:c r="G37" t="str" s="14">
        <ns0:v>100 В</ns0:v>
      </ns0:c>
      <ns0:c r="H37" t="str" s="14">
        <ns0:v>X7R</ns0:v>
      </ns0:c>
      <ns0:c r="I37" t="str" s="15">
        <ns0:v>0805</ns0:v>
      </ns0:c>
      <ns0:c r="J37" t="str" s="14">
        <ns0:v>YAGEO</ns0:v>
      </ns0:c>
      <ns0:c r="K37" t="str" s="14">
        <ns0:v>CC0805JKX7R0BB683</ns0:v>
      </ns0:c>
      <ns0:c r="L37" t="str" s="11">
        <ns0:f>B37&amp;" "&amp;D37&amp;" "&amp;E37&amp;" "&amp;G37&amp;" "&amp;H37&amp;" "&amp;I37</ns0:f>
        <ns0:v>Конденсатор 68 нФ ±5% 100 В X7R 0805</ns0:v>
      </ns0:c>
      <ns0:c r="M37" t="str" s="13">
        <ns0:v>C</ns0:v>
      </ns0:c>
      <ns0:c r="N37" t="str" s="13">
        <ns0:v>Symbols\MY_LIB_Capacitors.SchLib</ns0:v>
      </ns0:c>
      <ns0:c r="O37" t="str" s="13">
        <ns0:v>CAPC2012X135N</ns0:v>
      </ns0:c>
      <ns0:c r="P37" t="str" s="13">
        <ns0:v>Footprints\PBL - SMD Packages.PcbLib</ns0:v>
      </ns0:c>
      <ns0:c r="Q37" t="str" s="14">
        <ns0:v>YAGEO CC; список 20.10.2026</ns0:v>
      </ns0:c>
      <ns0:c r="R37" t="str" s="11">
        <ns0:f>D37</ns0:f>
        <ns0:v>68 нФ</ns0:v>
      </ns0:c>
      <ns0:c r="S37" t="str" s="11">
        <ns0:f>L37</ns0:f>
        <ns0:v>Конденсатор 68 нФ ±5% 100 В X7R 0805</ns0:v>
      </ns0:c>
      <x:c xmlns:x="http://schemas.openxmlformats.org/spreadsheetml/2006/main" r="T37" t="str" s="11">
        <x:v>C:\Users\Nomatin\Documents\Altium\MY_LIB\MY_LIB\Datasheets\YAGEO_CC_X7R.pdf</x:v>
      </x:c>
      <x:c xmlns:x="http://schemas.openxmlformats.org/spreadsheetml/2006/main" r="U37" t="str" s="11">
        <x:v>Даташит — локальный</x:v>
      </x:c>
      <x:c xmlns:x="http://schemas.openxmlformats.org/spreadsheetml/2006/main" r="V37" t="str" s="11">
        <x:v>C:\Users\Nomatin\Documents\Altium\MY_LIB\MY_LIB\Datasheets\YAGEO_CC_X7R.pdf</x:v>
      </x:c>
      <x:c xmlns:x="http://schemas.openxmlformats.org/spreadsheetml/2006/main" r="W37" t="str" s="11">
        <x:v>Даташит — производитель</x:v>
      </x:c>
      <x:c xmlns:x="http://schemas.openxmlformats.org/spreadsheetml/2006/main" r="X37" t="str" s="11">
        <x:v>https://yageogroup.com/content/datasheet/asset/file/UPY-GPHC_X7R_6_3V-TO-250V</x:v>
      </x:c>
      <x:c xmlns:x="http://schemas.openxmlformats.org/spreadsheetml/2006/main" r="Y37" t="str" s="11">
        <x:v>C:\Users\Nomatin\Documents\Altium\MY_LIB\MY_LIB\Datasheets\YAGEO_CC_X7R.pdf</x:v>
      </x:c>
      <ns0:c xmlns:ns0="http://schemas.openxmlformats.org/spreadsheetml/2006/main" r="Z37" s="11">
        <ns0:v>6.8e-08</ns0:v>
      </ns0:c>
      <ns0:c xmlns:ns0="http://schemas.openxmlformats.org/spreadsheetml/2006/main" r="AA37" s="11">
        <ns0:v>0.025</ns0:v>
      </ns0:c>
      <ns0:c xmlns:ns0="http://schemas.openxmlformats.org/spreadsheetml/2006/main" r="AB37" s="11">
        <ns0:v>1000</ns0:v>
      </ns0:c>
      <ns0:c xmlns:ns0="http://schemas.openxmlformats.org/spreadsheetml/2006/main" r="AC37" s="11">
        <ns0:v>1</ns0:v>
      </ns0:c>
      <ns0:c xmlns:ns0="http://schemas.openxmlformats.org/spreadsheetml/2006/main" r="AD37" s="11">
        <ns0:v>20</ns0:v>
      </ns0:c>
      <ns0:c xmlns:ns0="http://schemas.openxmlformats.org/spreadsheetml/2006/main" r="AE37" s="11">
        <ns0:v>500</ns0:v>
      </ns0:c>
      <ns0:c xmlns:ns0="http://schemas.openxmlformats.org/spreadsheetml/2006/main" r="AF37" s="11">
        <ns0:v>7352941176.47059</ns0:v>
      </ns0:c>
      <ns0:c xmlns:ns0="http://schemas.openxmlformats.org/spreadsheetml/2006/main" r="AG37" s="11">
        <ns0:v>100</ns0:v>
      </ns0:c>
      <ns0:c xmlns:ns0="http://schemas.openxmlformats.org/spreadsheetml/2006/main" r="AH37" s="11">
        <ns0:v>60</ns0:v>
      </ns0:c>
      <ns0:c xmlns:ns0="http://schemas.openxmlformats.org/spreadsheetml/2006/main" r="AI37" s="11">
        <ns0:v>58.5128467249615</ns0:v>
      </ns0:c>
      <ns0:c xmlns:ns0="http://schemas.openxmlformats.org/spreadsheetml/2006/main" r="AJ37" s="11" t="inlineStr">
        <ns0:is>
          <ns0:t>MY_LIB_C_RC</ns0:t>
        </ns0:is>
      </ns0:c>
      <ns0:c xmlns:ns0="http://schemas.openxmlformats.org/spreadsheetml/2006/main" r="AK37" s="11" t="inlineStr">
        <ns0:is>
          <ns0:t>Nominal C; DFmax at 1kHz; minimum insulation; no temperature/bias/ESL</ns0:t>
        </ns0:is>
      </ns0:c>
      <ns0:c xmlns:ns0="http://schemas.openxmlformats.org/spreadsheetml/2006/main" r="AL37" s="11" t="inlineStr">
        <ns0:is>
          <ns0:t>General</ns0:t>
        </ns0:is>
      </ns0:c>
      <ns0:c xmlns:ns0="http://schemas.openxmlformats.org/spreadsheetml/2006/main" r="AM37" s="11" t="inlineStr">
        <ns0:is>
          <ns0:t>Spice Subcircuit</ns0:t>
        </ns0:is>
      </ns0:c>
      <ns0:c xmlns:ns0="http://schemas.openxmlformats.org/spreadsheetml/2006/main" r="AN37" s="11" t="inlineStr">
        <ns0:is>
          <ns0:t>@DESIGNATOR %1 %2 @MODEL PARAMS: Cvalue=6.8e-08 Rsvalue=58.5128467249615 Rinsvalue=7352941176.47059</ns0:t>
        </ns0:is>
      </ns0:c>
      <ns0:c xmlns:ns0="http://schemas.openxmlformats.org/spreadsheetml/2006/main" r="AO37" s="11" t="inlineStr">
        <ns0:is>
          <ns0:t>X</ns0:t>
        </ns0:is>
      </ns0:c>
      <ns0:c xmlns:ns0="http://schemas.openxmlformats.org/spreadsheetml/2006/main" r="AP37" s="11" t="inlineStr">
        <ns0:is>
          <ns0:t>(1:1),(2:2)</ns0:t>
        </ns0:is>
      </ns0:c>
      <ns0:c xmlns:ns0="http://schemas.openxmlformats.org/spreadsheetml/2006/main" r="AQ37" s="11" t="inlineStr">
        <ns0:is>
          <ns0:t>Simulation\Capacitors\MY_LIB_C_RC.ckt</ns0:t>
        </ns0:is>
      </ns0:c>
    </ns0:row>
    <ns0:row r="38" ht="30" customHeight="1">
      <ns0:c r="A38" t="str" s="14">
        <ns0:v>C0039</ns0:v>
      </ns0:c>
      <ns0:c r="B38" t="str" s="14">
        <ns0:v>Конденсатор</ns0:v>
      </ns0:c>
      <ns0:c r="C38" t="str" s="14">
        <ns0:v>82n</ns0:v>
      </ns0:c>
      <ns0:c r="D38" t="str" s="11">
        <ns0:f>SUBSTITUTE(SUBSTITUTE(SUBSTITUTE(SUBSTITUTE(C38,"p"," пФ"),"n"," нФ"),"u"," мкФ"),".",",")</ns0:f>
        <ns0:v>82 нФ</ns0:v>
      </ns0:c>
      <ns0:c r="E38" t="str" s="14">
        <ns0:v>±5%</ns0:v>
      </ns0:c>
      <ns0:c r="F38" s="14"/>
      <ns0:c r="G38" t="str" s="14">
        <ns0:v>50 В</ns0:v>
      </ns0:c>
      <ns0:c r="H38" t="str" s="14">
        <ns0:v>X7R</ns0:v>
      </ns0:c>
      <ns0:c r="I38" t="str" s="15">
        <ns0:v>0805</ns0:v>
      </ns0:c>
      <ns0:c r="J38" t="str" s="14">
        <ns0:v>YAGEO</ns0:v>
      </ns0:c>
      <ns0:c r="K38" t="str" s="14">
        <ns0:v>CC0805JRX7R9BB823</ns0:v>
      </ns0:c>
      <ns0:c r="L38" t="str" s="11">
        <ns0:f>B38&amp;" "&amp;D38&amp;" "&amp;E38&amp;" "&amp;G38&amp;" "&amp;H38&amp;" "&amp;I38</ns0:f>
        <ns0:v>Конденсатор 82 нФ ±5% 50 В X7R 0805</ns0:v>
      </ns0:c>
      <ns0:c r="M38" t="str" s="13">
        <ns0:v>C</ns0:v>
      </ns0:c>
      <ns0:c r="N38" t="str" s="13">
        <ns0:v>Symbols\MY_LIB_Capacitors.SchLib</ns0:v>
      </ns0:c>
      <ns0:c r="O38" t="str" s="13">
        <ns0:v>CAPC2012X135N</ns0:v>
      </ns0:c>
      <ns0:c r="P38" t="str" s="13">
        <ns0:v>Footprints\PBL - SMD Packages.PcbLib</ns0:v>
      </ns0:c>
      <ns0:c r="Q38" t="str" s="14">
        <ns0:v>YAGEO CC; список 20.10.2026</ns0:v>
      </ns0:c>
      <ns0:c r="R38" t="str" s="11">
        <ns0:f>D38</ns0:f>
        <ns0:v>82 нФ</ns0:v>
      </ns0:c>
      <ns0:c r="S38" t="str" s="11">
        <ns0:f>L38</ns0:f>
        <ns0:v>Конденсатор 82 нФ ±5% 50 В X7R 0805</ns0:v>
      </ns0:c>
      <x:c xmlns:x="http://schemas.openxmlformats.org/spreadsheetml/2006/main" r="T38" t="str" s="11">
        <x:v>C:\Users\Nomatin\Documents\Altium\MY_LIB\MY_LIB\Datasheets\YAGEO_CC_X7R.pdf</x:v>
      </x:c>
      <x:c xmlns:x="http://schemas.openxmlformats.org/spreadsheetml/2006/main" r="U38" t="str" s="11">
        <x:v>Даташит — локальный</x:v>
      </x:c>
      <x:c xmlns:x="http://schemas.openxmlformats.org/spreadsheetml/2006/main" r="V38" t="str" s="11">
        <x:v>C:\Users\Nomatin\Documents\Altium\MY_LIB\MY_LIB\Datasheets\YAGEO_CC_X7R.pdf</x:v>
      </x:c>
      <x:c xmlns:x="http://schemas.openxmlformats.org/spreadsheetml/2006/main" r="W38" t="str" s="11">
        <x:v>Даташит — производитель</x:v>
      </x:c>
      <x:c xmlns:x="http://schemas.openxmlformats.org/spreadsheetml/2006/main" r="X38" t="str" s="11">
        <x:v>https://yageogroup.com/content/datasheet/asset/file/UPY-GPHC_X7R_6_3V-TO-250V</x:v>
      </x:c>
      <x:c xmlns:x="http://schemas.openxmlformats.org/spreadsheetml/2006/main" r="Y38" t="str" s="11">
        <x:v>C:\Users\Nomatin\Documents\Altium\MY_LIB\MY_LIB\Datasheets\YAGEO_CC_X7R.pdf</x:v>
      </x:c>
      <ns0:c xmlns:ns0="http://schemas.openxmlformats.org/spreadsheetml/2006/main" r="Z38" s="11">
        <ns0:v>8.2e-08</ns0:v>
      </ns0:c>
      <ns0:c xmlns:ns0="http://schemas.openxmlformats.org/spreadsheetml/2006/main" r="AA38" s="11">
        <ns0:v>0.025</ns0:v>
      </ns0:c>
      <ns0:c xmlns:ns0="http://schemas.openxmlformats.org/spreadsheetml/2006/main" r="AB38" s="11">
        <ns0:v>1000</ns0:v>
      </ns0:c>
      <ns0:c xmlns:ns0="http://schemas.openxmlformats.org/spreadsheetml/2006/main" r="AC38" s="11">
        <ns0:v>1</ns0:v>
      </ns0:c>
      <ns0:c xmlns:ns0="http://schemas.openxmlformats.org/spreadsheetml/2006/main" r="AD38" s="11">
        <ns0:v>20</ns0:v>
      </ns0:c>
      <ns0:c xmlns:ns0="http://schemas.openxmlformats.org/spreadsheetml/2006/main" r="AE38" s="11">
        <ns0:v>500</ns0:v>
      </ns0:c>
      <ns0:c xmlns:ns0="http://schemas.openxmlformats.org/spreadsheetml/2006/main" r="AF38" s="11">
        <ns0:v>6097560975.60976</ns0:v>
      </ns0:c>
      <ns0:c xmlns:ns0="http://schemas.openxmlformats.org/spreadsheetml/2006/main" r="AG38" s="11">
        <ns0:v>50</ns0:v>
      </ns0:c>
      <ns0:c xmlns:ns0="http://schemas.openxmlformats.org/spreadsheetml/2006/main" r="AH38" s="11">
        <ns0:v>60</ns0:v>
      </ns0:c>
      <ns0:c xmlns:ns0="http://schemas.openxmlformats.org/spreadsheetml/2006/main" r="AI38" s="11">
        <ns0:v>48.5228485036266</ns0:v>
      </ns0:c>
      <ns0:c xmlns:ns0="http://schemas.openxmlformats.org/spreadsheetml/2006/main" r="AJ38" s="11" t="inlineStr">
        <ns0:is>
          <ns0:t>MY_LIB_C_RC</ns0:t>
        </ns0:is>
      </ns0:c>
      <ns0:c xmlns:ns0="http://schemas.openxmlformats.org/spreadsheetml/2006/main" r="AK38" s="11" t="inlineStr">
        <ns0:is>
          <ns0:t>Nominal C; DFmax at 1kHz; minimum insulation; no temperature/bias/ESL</ns0:t>
        </ns0:is>
      </ns0:c>
      <ns0:c xmlns:ns0="http://schemas.openxmlformats.org/spreadsheetml/2006/main" r="AL38" s="11" t="inlineStr">
        <ns0:is>
          <ns0:t>General</ns0:t>
        </ns0:is>
      </ns0:c>
      <ns0:c xmlns:ns0="http://schemas.openxmlformats.org/spreadsheetml/2006/main" r="AM38" s="11" t="inlineStr">
        <ns0:is>
          <ns0:t>Spice Subcircuit</ns0:t>
        </ns0:is>
      </ns0:c>
      <ns0:c xmlns:ns0="http://schemas.openxmlformats.org/spreadsheetml/2006/main" r="AN38" s="11" t="inlineStr">
        <ns0:is>
          <ns0:t>@DESIGNATOR %1 %2 @MODEL PARAMS: Cvalue=8.2e-08 Rsvalue=48.5228485036266 Rinsvalue=6097560975.60976</ns0:t>
        </ns0:is>
      </ns0:c>
      <ns0:c xmlns:ns0="http://schemas.openxmlformats.org/spreadsheetml/2006/main" r="AO38" s="11" t="inlineStr">
        <ns0:is>
          <ns0:t>X</ns0:t>
        </ns0:is>
      </ns0:c>
      <ns0:c xmlns:ns0="http://schemas.openxmlformats.org/spreadsheetml/2006/main" r="AP38" s="11" t="inlineStr">
        <ns0:is>
          <ns0:t>(1:1),(2:2)</ns0:t>
        </ns0:is>
      </ns0:c>
      <ns0:c xmlns:ns0="http://schemas.openxmlformats.org/spreadsheetml/2006/main" r="AQ38" s="11" t="inlineStr">
        <ns0:is>
          <ns0:t>Simulation\Capacitors\MY_LIB_C_RC.ckt</ns0:t>
        </ns0:is>
      </ns0:c>
    </ns0:row>
    <ns0:row r="39" ht="30" customHeight="1">
      <ns0:c r="A39" t="str" s="14">
        <ns0:v>C0040</ns0:v>
      </ns0:c>
      <ns0:c r="B39" t="str" s="14">
        <ns0:v>Конденсатор</ns0:v>
      </ns0:c>
      <ns0:c r="C39" t="str" s="14">
        <ns0:v>100n</ns0:v>
      </ns0:c>
      <ns0:c r="D39" t="str" s="11">
        <ns0:f>SUBSTITUTE(SUBSTITUTE(SUBSTITUTE(SUBSTITUTE(C39,"p"," пФ"),"n"," нФ"),"u"," мкФ"),".",",")</ns0:f>
        <ns0:v>100 нФ</ns0:v>
      </ns0:c>
      <ns0:c r="E39" t="str" s="14">
        <ns0:v>±5%</ns0:v>
      </ns0:c>
      <ns0:c r="F39" s="14"/>
      <ns0:c r="G39" t="str" s="14">
        <ns0:v>100 В</ns0:v>
      </ns0:c>
      <ns0:c r="H39" t="str" s="14">
        <ns0:v>X7R</ns0:v>
      </ns0:c>
      <ns0:c r="I39" t="str" s="15">
        <ns0:v>0805</ns0:v>
      </ns0:c>
      <ns0:c r="J39" t="str" s="14">
        <ns0:v>YAGEO</ns0:v>
      </ns0:c>
      <ns0:c r="K39" t="str" s="14">
        <ns0:v>CC0805JKX7R0BB104</ns0:v>
      </ns0:c>
      <ns0:c r="L39" t="str" s="11">
        <ns0:f>B39&amp;" "&amp;D39&amp;" "&amp;E39&amp;" "&amp;G39&amp;" "&amp;H39&amp;" "&amp;I39</ns0:f>
        <ns0:v>Конденсатор 100 нФ ±5% 100 В X7R 0805</ns0:v>
      </ns0:c>
      <ns0:c r="M39" t="str" s="13">
        <ns0:v>C</ns0:v>
      </ns0:c>
      <ns0:c r="N39" t="str" s="13">
        <ns0:v>Symbols\MY_LIB_Capacitors.SchLib</ns0:v>
      </ns0:c>
      <ns0:c r="O39" t="str" s="13">
        <ns0:v>CAPC2012X135N</ns0:v>
      </ns0:c>
      <ns0:c r="P39" t="str" s="13">
        <ns0:v>Footprints\PBL - SMD Packages.PcbLib</ns0:v>
      </ns0:c>
      <ns0:c r="Q39" t="str" s="14">
        <ns0:v>YAGEO CC; список 20.10.2026</ns0:v>
      </ns0:c>
      <ns0:c r="R39" t="str" s="11">
        <ns0:f>D39</ns0:f>
        <ns0:v>100 нФ</ns0:v>
      </ns0:c>
      <ns0:c r="S39" t="str" s="11">
        <ns0:f>L39</ns0:f>
        <ns0:v>Конденсатор 100 нФ ±5% 100 В X7R 0805</ns0:v>
      </ns0:c>
      <x:c xmlns:x="http://schemas.openxmlformats.org/spreadsheetml/2006/main" r="T39" t="str" s="11">
        <x:v>C:\Users\Nomatin\Documents\Altium\MY_LIB\MY_LIB\Datasheets\YAGEO_CC_X7R.pdf</x:v>
      </x:c>
      <x:c xmlns:x="http://schemas.openxmlformats.org/spreadsheetml/2006/main" r="U39" t="str" s="11">
        <x:v>Даташит — локальный</x:v>
      </x:c>
      <x:c xmlns:x="http://schemas.openxmlformats.org/spreadsheetml/2006/main" r="V39" t="str" s="11">
        <x:v>C:\Users\Nomatin\Documents\Altium\MY_LIB\MY_LIB\Datasheets\YAGEO_CC_X7R.pdf</x:v>
      </x:c>
      <x:c xmlns:x="http://schemas.openxmlformats.org/spreadsheetml/2006/main" r="W39" t="str" s="11">
        <x:v>Даташит — производитель</x:v>
      </x:c>
      <x:c xmlns:x="http://schemas.openxmlformats.org/spreadsheetml/2006/main" r="X39" t="str" s="11">
        <x:v>https://yageogroup.com/content/datasheet/asset/file/UPY-GPHC_X7R_6_3V-TO-250V</x:v>
      </x:c>
      <x:c xmlns:x="http://schemas.openxmlformats.org/spreadsheetml/2006/main" r="Y39" t="str" s="11">
        <x:v>C:\Users\Nomatin\Documents\Altium\MY_LIB\MY_LIB\Datasheets\YAGEO_CC_X7R.pdf</x:v>
      </x:c>
      <ns0:c xmlns:ns0="http://schemas.openxmlformats.org/spreadsheetml/2006/main" r="Z39" s="11">
        <ns0:v>1e-07</ns0:v>
      </ns0:c>
      <ns0:c xmlns:ns0="http://schemas.openxmlformats.org/spreadsheetml/2006/main" r="AA39" s="11">
        <ns0:v>0.025</ns0:v>
      </ns0:c>
      <ns0:c xmlns:ns0="http://schemas.openxmlformats.org/spreadsheetml/2006/main" r="AB39" s="11">
        <ns0:v>1000</ns0:v>
      </ns0:c>
      <ns0:c xmlns:ns0="http://schemas.openxmlformats.org/spreadsheetml/2006/main" r="AC39" s="11">
        <ns0:v>1</ns0:v>
      </ns0:c>
      <ns0:c xmlns:ns0="http://schemas.openxmlformats.org/spreadsheetml/2006/main" r="AD39" s="11">
        <ns0:v>20</ns0:v>
      </ns0:c>
      <ns0:c xmlns:ns0="http://schemas.openxmlformats.org/spreadsheetml/2006/main" r="AE39" s="11">
        <ns0:v>500</ns0:v>
      </ns0:c>
      <ns0:c xmlns:ns0="http://schemas.openxmlformats.org/spreadsheetml/2006/main" r="AF39" s="11">
        <ns0:v>5000000000</ns0:v>
      </ns0:c>
      <ns0:c xmlns:ns0="http://schemas.openxmlformats.org/spreadsheetml/2006/main" r="AG39" s="11">
        <ns0:v>100</ns0:v>
      </ns0:c>
      <ns0:c xmlns:ns0="http://schemas.openxmlformats.org/spreadsheetml/2006/main" r="AH39" s="11">
        <ns0:v>60</ns0:v>
      </ns0:c>
      <ns0:c xmlns:ns0="http://schemas.openxmlformats.org/spreadsheetml/2006/main" r="AI39" s="11">
        <ns0:v>39.7887357729738</ns0:v>
      </ns0:c>
      <ns0:c xmlns:ns0="http://schemas.openxmlformats.org/spreadsheetml/2006/main" r="AJ39" s="11" t="inlineStr">
        <ns0:is>
          <ns0:t>MY_LIB_C_RC</ns0:t>
        </ns0:is>
      </ns0:c>
      <ns0:c xmlns:ns0="http://schemas.openxmlformats.org/spreadsheetml/2006/main" r="AK39" s="11" t="inlineStr">
        <ns0:is>
          <ns0:t>Nominal C; DFmax at 1kHz; minimum insulation; no temperature/bias/ESL</ns0:t>
        </ns0:is>
      </ns0:c>
      <ns0:c xmlns:ns0="http://schemas.openxmlformats.org/spreadsheetml/2006/main" r="AL39" s="11" t="inlineStr">
        <ns0:is>
          <ns0:t>General</ns0:t>
        </ns0:is>
      </ns0:c>
      <ns0:c xmlns:ns0="http://schemas.openxmlformats.org/spreadsheetml/2006/main" r="AM39" s="11" t="inlineStr">
        <ns0:is>
          <ns0:t>Spice Subcircuit</ns0:t>
        </ns0:is>
      </ns0:c>
      <ns0:c xmlns:ns0="http://schemas.openxmlformats.org/spreadsheetml/2006/main" r="AN39" s="11" t="inlineStr">
        <ns0:is>
          <ns0:t>@DESIGNATOR %1 %2 @MODEL PARAMS: Cvalue=1e-07 Rsvalue=39.7887357729738 Rinsvalue=5000000000</ns0:t>
        </ns0:is>
      </ns0:c>
      <ns0:c xmlns:ns0="http://schemas.openxmlformats.org/spreadsheetml/2006/main" r="AO39" s="11" t="inlineStr">
        <ns0:is>
          <ns0:t>X</ns0:t>
        </ns0:is>
      </ns0:c>
      <ns0:c xmlns:ns0="http://schemas.openxmlformats.org/spreadsheetml/2006/main" r="AP39" s="11" t="inlineStr">
        <ns0:is>
          <ns0:t>(1:1),(2:2)</ns0:t>
        </ns0:is>
      </ns0:c>
      <ns0:c xmlns:ns0="http://schemas.openxmlformats.org/spreadsheetml/2006/main" r="AQ39" s="11" t="inlineStr">
        <ns0:is>
          <ns0:t>Simulation\Capacitors\MY_LIB_C_RC.ckt</ns0:t>
        </ns0:is>
      </ns0:c>
    </ns0:row>
    <ns0:row r="40" ht="30" customHeight="1">
      <ns0:c r="A40" t="str" s="14">
        <ns0:v>C0041</ns0:v>
      </ns0:c>
      <ns0:c r="B40" t="str" s="14">
        <ns0:v>Конденсатор</ns0:v>
      </ns0:c>
      <ns0:c r="C40" t="str" s="14">
        <ns0:v>120n</ns0:v>
      </ns0:c>
      <ns0:c r="D40" t="str" s="11">
        <ns0:f>SUBSTITUTE(SUBSTITUTE(SUBSTITUTE(SUBSTITUTE(C40,"p"," пФ"),"n"," нФ"),"u"," мкФ"),".",",")</ns0:f>
        <ns0:v>120 нФ</ns0:v>
      </ns0:c>
      <ns0:c r="E40" t="str" s="14">
        <ns0:v>±5%</ns0:v>
      </ns0:c>
      <ns0:c r="F40" s="14"/>
      <ns0:c r="G40" t="str" s="14">
        <ns0:v>50 В</ns0:v>
      </ns0:c>
      <ns0:c r="H40" t="str" s="14">
        <ns0:v>X7R</ns0:v>
      </ns0:c>
      <ns0:c r="I40" t="str" s="15">
        <ns0:v>0805</ns0:v>
      </ns0:c>
      <ns0:c r="J40" t="str" s="14">
        <ns0:v>YAGEO</ns0:v>
      </ns0:c>
      <ns0:c r="K40" t="str" s="14">
        <ns0:v>CC0805JRX7R9BB124</ns0:v>
      </ns0:c>
      <ns0:c r="L40" t="str" s="11">
        <ns0:f>B40&amp;" "&amp;D40&amp;" "&amp;E40&amp;" "&amp;G40&amp;" "&amp;H40&amp;" "&amp;I40</ns0:f>
        <ns0:v>Конденсатор 120 нФ ±5% 50 В X7R 0805</ns0:v>
      </ns0:c>
      <ns0:c r="M40" t="str" s="13">
        <ns0:v>C</ns0:v>
      </ns0:c>
      <ns0:c r="N40" t="str" s="13">
        <ns0:v>Symbols\MY_LIB_Capacitors.SchLib</ns0:v>
      </ns0:c>
      <ns0:c r="O40" t="str" s="13">
        <ns0:v>CAPC2012X135N</ns0:v>
      </ns0:c>
      <ns0:c r="P40" t="str" s="13">
        <ns0:v>Footprints\PBL - SMD Packages.PcbLib</ns0:v>
      </ns0:c>
      <ns0:c r="Q40" t="str" s="14">
        <ns0:v>YAGEO CC; список 20.10.2026</ns0:v>
      </ns0:c>
      <ns0:c r="R40" t="str" s="11">
        <ns0:f>D40</ns0:f>
        <ns0:v>120 нФ</ns0:v>
      </ns0:c>
      <ns0:c r="S40" t="str" s="11">
        <ns0:f>L40</ns0:f>
        <ns0:v>Конденсатор 120 нФ ±5% 50 В X7R 0805</ns0:v>
      </ns0:c>
      <x:c xmlns:x="http://schemas.openxmlformats.org/spreadsheetml/2006/main" r="T40" t="str" s="11">
        <x:v>C:\Users\Nomatin\Documents\Altium\MY_LIB\MY_LIB\Datasheets\YAGEO_CC_X7R.pdf</x:v>
      </x:c>
      <x:c xmlns:x="http://schemas.openxmlformats.org/spreadsheetml/2006/main" r="U40" t="str" s="11">
        <x:v>Даташит — локальный</x:v>
      </x:c>
      <x:c xmlns:x="http://schemas.openxmlformats.org/spreadsheetml/2006/main" r="V40" t="str" s="11">
        <x:v>C:\Users\Nomatin\Documents\Altium\MY_LIB\MY_LIB\Datasheets\YAGEO_CC_X7R.pdf</x:v>
      </x:c>
      <x:c xmlns:x="http://schemas.openxmlformats.org/spreadsheetml/2006/main" r="W40" t="str" s="11">
        <x:v>Даташит — производитель</x:v>
      </x:c>
      <x:c xmlns:x="http://schemas.openxmlformats.org/spreadsheetml/2006/main" r="X40" t="str" s="11">
        <x:v>https://yageogroup.com/content/datasheet/asset/file/UPY-GPHC_X7R_6_3V-TO-250V</x:v>
      </x:c>
      <x:c xmlns:x="http://schemas.openxmlformats.org/spreadsheetml/2006/main" r="Y40" t="str" s="11">
        <x:v>C:\Users\Nomatin\Documents\Altium\MY_LIB\MY_LIB\Datasheets\YAGEO_CC_X7R.pdf</x:v>
      </x:c>
      <ns0:c xmlns:ns0="http://schemas.openxmlformats.org/spreadsheetml/2006/main" r="Z40" s="11">
        <ns0:v>1.2e-07</ns0:v>
      </ns0:c>
      <ns0:c xmlns:ns0="http://schemas.openxmlformats.org/spreadsheetml/2006/main" r="AA40" s="11">
        <ns0:v>0.025</ns0:v>
      </ns0:c>
      <ns0:c xmlns:ns0="http://schemas.openxmlformats.org/spreadsheetml/2006/main" r="AB40" s="11">
        <ns0:v>1000</ns0:v>
      </ns0:c>
      <ns0:c xmlns:ns0="http://schemas.openxmlformats.org/spreadsheetml/2006/main" r="AC40" s="11">
        <ns0:v>1</ns0:v>
      </ns0:c>
      <ns0:c xmlns:ns0="http://schemas.openxmlformats.org/spreadsheetml/2006/main" r="AD40" s="11">
        <ns0:v>20</ns0:v>
      </ns0:c>
      <ns0:c xmlns:ns0="http://schemas.openxmlformats.org/spreadsheetml/2006/main" r="AE40" s="11">
        <ns0:v>500</ns0:v>
      </ns0:c>
      <ns0:c xmlns:ns0="http://schemas.openxmlformats.org/spreadsheetml/2006/main" r="AF40" s="11">
        <ns0:v>4166666666.66667</ns0:v>
      </ns0:c>
      <ns0:c xmlns:ns0="http://schemas.openxmlformats.org/spreadsheetml/2006/main" r="AG40" s="11">
        <ns0:v>50</ns0:v>
      </ns0:c>
      <ns0:c xmlns:ns0="http://schemas.openxmlformats.org/spreadsheetml/2006/main" r="AH40" s="11">
        <ns0:v>60</ns0:v>
      </ns0:c>
      <ns0:c xmlns:ns0="http://schemas.openxmlformats.org/spreadsheetml/2006/main" r="AI40" s="11">
        <ns0:v>33.1572798108115</ns0:v>
      </ns0:c>
      <ns0:c xmlns:ns0="http://schemas.openxmlformats.org/spreadsheetml/2006/main" r="AJ40" s="11" t="inlineStr">
        <ns0:is>
          <ns0:t>MY_LIB_C_RC</ns0:t>
        </ns0:is>
      </ns0:c>
      <ns0:c xmlns:ns0="http://schemas.openxmlformats.org/spreadsheetml/2006/main" r="AK40" s="11" t="inlineStr">
        <ns0:is>
          <ns0:t>Nominal C; DFmax at 1kHz; minimum insulation; no temperature/bias/ESL</ns0:t>
        </ns0:is>
      </ns0:c>
      <ns0:c xmlns:ns0="http://schemas.openxmlformats.org/spreadsheetml/2006/main" r="AL40" s="11" t="inlineStr">
        <ns0:is>
          <ns0:t>General</ns0:t>
        </ns0:is>
      </ns0:c>
      <ns0:c xmlns:ns0="http://schemas.openxmlformats.org/spreadsheetml/2006/main" r="AM40" s="11" t="inlineStr">
        <ns0:is>
          <ns0:t>Spice Subcircuit</ns0:t>
        </ns0:is>
      </ns0:c>
      <ns0:c xmlns:ns0="http://schemas.openxmlformats.org/spreadsheetml/2006/main" r="AN40" s="11" t="inlineStr">
        <ns0:is>
          <ns0:t>@DESIGNATOR %1 %2 @MODEL PARAMS: Cvalue=1.2e-07 Rsvalue=33.1572798108115 Rinsvalue=4166666666.66667</ns0:t>
        </ns0:is>
      </ns0:c>
      <ns0:c xmlns:ns0="http://schemas.openxmlformats.org/spreadsheetml/2006/main" r="AO40" s="11" t="inlineStr">
        <ns0:is>
          <ns0:t>X</ns0:t>
        </ns0:is>
      </ns0:c>
      <ns0:c xmlns:ns0="http://schemas.openxmlformats.org/spreadsheetml/2006/main" r="AP40" s="11" t="inlineStr">
        <ns0:is>
          <ns0:t>(1:1),(2:2)</ns0:t>
        </ns0:is>
      </ns0:c>
      <ns0:c xmlns:ns0="http://schemas.openxmlformats.org/spreadsheetml/2006/main" r="AQ40" s="11" t="inlineStr">
        <ns0:is>
          <ns0:t>Simulation\Capacitors\MY_LIB_C_RC.ckt</ns0:t>
        </ns0:is>
      </ns0:c>
    </ns0:row>
    <ns0:row r="41" ht="30" customHeight="1">
      <ns0:c r="A41" t="str" s="14">
        <ns0:v>C0042</ns0:v>
      </ns0:c>
      <ns0:c r="B41" t="str" s="14">
        <ns0:v>Конденсатор</ns0:v>
      </ns0:c>
      <ns0:c r="C41" t="str" s="14">
        <ns0:v>150n</ns0:v>
      </ns0:c>
      <ns0:c r="D41" t="str" s="11">
        <ns0:f>SUBSTITUTE(SUBSTITUTE(SUBSTITUTE(SUBSTITUTE(C41,"p"," пФ"),"n"," нФ"),"u"," мкФ"),".",",")</ns0:f>
        <ns0:v>150 нФ</ns0:v>
      </ns0:c>
      <ns0:c r="E41" t="str" s="14">
        <ns0:v>±5%</ns0:v>
      </ns0:c>
      <ns0:c r="F41" s="14"/>
      <ns0:c r="G41" t="str" s="14">
        <ns0:v>100 В</ns0:v>
      </ns0:c>
      <ns0:c r="H41" t="str" s="14">
        <ns0:v>X7R</ns0:v>
      </ns0:c>
      <ns0:c r="I41" t="str" s="15">
        <ns0:v>0805</ns0:v>
      </ns0:c>
      <ns0:c r="J41" t="str" s="14">
        <ns0:v>YAGEO</ns0:v>
      </ns0:c>
      <ns0:c r="K41" t="str" s="14">
        <ns0:v>CC0805JKX7R0BB154</ns0:v>
      </ns0:c>
      <ns0:c r="L41" t="str" s="11">
        <ns0:f>B41&amp;" "&amp;D41&amp;" "&amp;E41&amp;" "&amp;G41&amp;" "&amp;H41&amp;" "&amp;I41</ns0:f>
        <ns0:v>Конденсатор 150 нФ ±5% 100 В X7R 0805</ns0:v>
      </ns0:c>
      <ns0:c r="M41" t="str" s="13">
        <ns0:v>C</ns0:v>
      </ns0:c>
      <ns0:c r="N41" t="str" s="13">
        <ns0:v>Symbols\MY_LIB_Capacitors.SchLib</ns0:v>
      </ns0:c>
      <ns0:c r="O41" t="str" s="13">
        <ns0:v>CAPC2012X135N</ns0:v>
      </ns0:c>
      <ns0:c r="P41" t="str" s="13">
        <ns0:v>Footprints\PBL - SMD Packages.PcbLib</ns0:v>
      </ns0:c>
      <ns0:c r="Q41" t="str" s="14">
        <ns0:v>YAGEO CC; список 20.10.2026</ns0:v>
      </ns0:c>
      <ns0:c r="R41" t="str" s="11">
        <ns0:f>D41</ns0:f>
        <ns0:v>150 нФ</ns0:v>
      </ns0:c>
      <ns0:c r="S41" t="str" s="11">
        <ns0:f>L41</ns0:f>
        <ns0:v>Конденсатор 150 нФ ±5% 100 В X7R 0805</ns0:v>
      </ns0:c>
      <x:c xmlns:x="http://schemas.openxmlformats.org/spreadsheetml/2006/main" r="T41" t="str" s="11">
        <x:v>C:\Users\Nomatin\Documents\Altium\MY_LIB\MY_LIB\Datasheets\YAGEO_CC_X7R.pdf</x:v>
      </x:c>
      <x:c xmlns:x="http://schemas.openxmlformats.org/spreadsheetml/2006/main" r="U41" t="str" s="11">
        <x:v>Даташит — локальный</x:v>
      </x:c>
      <x:c xmlns:x="http://schemas.openxmlformats.org/spreadsheetml/2006/main" r="V41" t="str" s="11">
        <x:v>C:\Users\Nomatin\Documents\Altium\MY_LIB\MY_LIB\Datasheets\YAGEO_CC_X7R.pdf</x:v>
      </x:c>
      <x:c xmlns:x="http://schemas.openxmlformats.org/spreadsheetml/2006/main" r="W41" t="str" s="11">
        <x:v>Даташит — производитель</x:v>
      </x:c>
      <x:c xmlns:x="http://schemas.openxmlformats.org/spreadsheetml/2006/main" r="X41" t="str" s="11">
        <x:v>https://yageogroup.com/content/datasheet/asset/file/UPY-GPHC_X7R_6_3V-TO-250V</x:v>
      </x:c>
      <x:c xmlns:x="http://schemas.openxmlformats.org/spreadsheetml/2006/main" r="Y41" t="str" s="11">
        <x:v>C:\Users\Nomatin\Documents\Altium\MY_LIB\MY_LIB\Datasheets\YAGEO_CC_X7R.pdf</x:v>
      </x:c>
      <ns0:c xmlns:ns0="http://schemas.openxmlformats.org/spreadsheetml/2006/main" r="Z41" s="11">
        <ns0:v>1.5e-07</ns0:v>
      </ns0:c>
      <ns0:c xmlns:ns0="http://schemas.openxmlformats.org/spreadsheetml/2006/main" r="AA41" s="11">
        <ns0:v>0.025</ns0:v>
      </ns0:c>
      <ns0:c xmlns:ns0="http://schemas.openxmlformats.org/spreadsheetml/2006/main" r="AB41" s="11">
        <ns0:v>1000</ns0:v>
      </ns0:c>
      <ns0:c xmlns:ns0="http://schemas.openxmlformats.org/spreadsheetml/2006/main" r="AC41" s="11">
        <ns0:v>1</ns0:v>
      </ns0:c>
      <ns0:c xmlns:ns0="http://schemas.openxmlformats.org/spreadsheetml/2006/main" r="AD41" s="11">
        <ns0:v>20</ns0:v>
      </ns0:c>
      <ns0:c xmlns:ns0="http://schemas.openxmlformats.org/spreadsheetml/2006/main" r="AE41" s="11">
        <ns0:v>500</ns0:v>
      </ns0:c>
      <ns0:c xmlns:ns0="http://schemas.openxmlformats.org/spreadsheetml/2006/main" r="AF41" s="11">
        <ns0:v>3333333333.33333</ns0:v>
      </ns0:c>
      <ns0:c xmlns:ns0="http://schemas.openxmlformats.org/spreadsheetml/2006/main" r="AG41" s="11">
        <ns0:v>100</ns0:v>
      </ns0:c>
      <ns0:c xmlns:ns0="http://schemas.openxmlformats.org/spreadsheetml/2006/main" r="AH41" s="11">
        <ns0:v>60</ns0:v>
      </ns0:c>
      <ns0:c xmlns:ns0="http://schemas.openxmlformats.org/spreadsheetml/2006/main" r="AI41" s="11">
        <ns0:v>26.5258238486492</ns0:v>
      </ns0:c>
      <ns0:c xmlns:ns0="http://schemas.openxmlformats.org/spreadsheetml/2006/main" r="AJ41" s="11" t="inlineStr">
        <ns0:is>
          <ns0:t>MY_LIB_C_RC</ns0:t>
        </ns0:is>
      </ns0:c>
      <ns0:c xmlns:ns0="http://schemas.openxmlformats.org/spreadsheetml/2006/main" r="AK41" s="11" t="inlineStr">
        <ns0:is>
          <ns0:t>Nominal C; DFmax at 1kHz; minimum insulation; no temperature/bias/ESL</ns0:t>
        </ns0:is>
      </ns0:c>
      <ns0:c xmlns:ns0="http://schemas.openxmlformats.org/spreadsheetml/2006/main" r="AL41" s="11" t="inlineStr">
        <ns0:is>
          <ns0:t>General</ns0:t>
        </ns0:is>
      </ns0:c>
      <ns0:c xmlns:ns0="http://schemas.openxmlformats.org/spreadsheetml/2006/main" r="AM41" s="11" t="inlineStr">
        <ns0:is>
          <ns0:t>Spice Subcircuit</ns0:t>
        </ns0:is>
      </ns0:c>
      <ns0:c xmlns:ns0="http://schemas.openxmlformats.org/spreadsheetml/2006/main" r="AN41" s="11" t="inlineStr">
        <ns0:is>
          <ns0:t>@DESIGNATOR %1 %2 @MODEL PARAMS: Cvalue=1.5e-07 Rsvalue=26.5258238486492 Rinsvalue=3333333333.33333</ns0:t>
        </ns0:is>
      </ns0:c>
      <ns0:c xmlns:ns0="http://schemas.openxmlformats.org/spreadsheetml/2006/main" r="AO41" s="11" t="inlineStr">
        <ns0:is>
          <ns0:t>X</ns0:t>
        </ns0:is>
      </ns0:c>
      <ns0:c xmlns:ns0="http://schemas.openxmlformats.org/spreadsheetml/2006/main" r="AP41" s="11" t="inlineStr">
        <ns0:is>
          <ns0:t>(1:1),(2:2)</ns0:t>
        </ns0:is>
      </ns0:c>
      <ns0:c xmlns:ns0="http://schemas.openxmlformats.org/spreadsheetml/2006/main" r="AQ41" s="11" t="inlineStr">
        <ns0:is>
          <ns0:t>Simulation\Capacitors\MY_LIB_C_RC.ckt</ns0:t>
        </ns0:is>
      </ns0:c>
    </ns0:row>
    <ns0:row r="42" ht="30" customHeight="1">
      <ns0:c r="A42" t="str" s="14">
        <ns0:v>C0043</ns0:v>
      </ns0:c>
      <ns0:c r="B42" t="str" s="14">
        <ns0:v>Конденсатор</ns0:v>
      </ns0:c>
      <ns0:c r="C42" t="str" s="14">
        <ns0:v>180n</ns0:v>
      </ns0:c>
      <ns0:c r="D42" t="str" s="11">
        <ns0:f>SUBSTITUTE(SUBSTITUTE(SUBSTITUTE(SUBSTITUTE(C42,"p"," пФ"),"n"," нФ"),"u"," мкФ"),".",",")</ns0:f>
        <ns0:v>180 нФ</ns0:v>
      </ns0:c>
      <ns0:c r="E42" t="str" s="14">
        <ns0:v>±5%</ns0:v>
      </ns0:c>
      <ns0:c r="F42" s="14"/>
      <ns0:c r="G42" t="str" s="14">
        <ns0:v>50 В</ns0:v>
      </ns0:c>
      <ns0:c r="H42" t="str" s="14">
        <ns0:v>X7R</ns0:v>
      </ns0:c>
      <ns0:c r="I42" t="str" s="15">
        <ns0:v>0805</ns0:v>
      </ns0:c>
      <ns0:c r="J42" t="str" s="14">
        <ns0:v>YAGEO</ns0:v>
      </ns0:c>
      <ns0:c r="K42" t="str" s="14">
        <ns0:v>CC0805JRX7R9BB184</ns0:v>
      </ns0:c>
      <ns0:c r="L42" t="str" s="11">
        <ns0:f>B42&amp;" "&amp;D42&amp;" "&amp;E42&amp;" "&amp;G42&amp;" "&amp;H42&amp;" "&amp;I42</ns0:f>
        <ns0:v>Конденсатор 180 нФ ±5% 50 В X7R 0805</ns0:v>
      </ns0:c>
      <ns0:c r="M42" t="str" s="13">
        <ns0:v>C</ns0:v>
      </ns0:c>
      <ns0:c r="N42" t="str" s="13">
        <ns0:v>Symbols\MY_LIB_Capacitors.SchLib</ns0:v>
      </ns0:c>
      <ns0:c r="O42" t="str" s="13">
        <ns0:v>CAPC2012X135N</ns0:v>
      </ns0:c>
      <ns0:c r="P42" t="str" s="13">
        <ns0:v>Footprints\PBL - SMD Packages.PcbLib</ns0:v>
      </ns0:c>
      <ns0:c r="Q42" t="str" s="14">
        <ns0:v>YAGEO CC; список 20.10.2026</ns0:v>
      </ns0:c>
      <ns0:c r="R42" t="str" s="11">
        <ns0:f>D42</ns0:f>
        <ns0:v>180 нФ</ns0:v>
      </ns0:c>
      <ns0:c r="S42" t="str" s="11">
        <ns0:f>L42</ns0:f>
        <ns0:v>Конденсатор 180 нФ ±5% 50 В X7R 0805</ns0:v>
      </ns0:c>
      <x:c xmlns:x="http://schemas.openxmlformats.org/spreadsheetml/2006/main" r="T42" t="str" s="11">
        <x:v>C:\Users\Nomatin\Documents\Altium\MY_LIB\MY_LIB\Datasheets\YAGEO_CC_X7R.pdf</x:v>
      </x:c>
      <x:c xmlns:x="http://schemas.openxmlformats.org/spreadsheetml/2006/main" r="U42" t="str" s="11">
        <x:v>Даташит — локальный</x:v>
      </x:c>
      <x:c xmlns:x="http://schemas.openxmlformats.org/spreadsheetml/2006/main" r="V42" t="str" s="11">
        <x:v>C:\Users\Nomatin\Documents\Altium\MY_LIB\MY_LIB\Datasheets\YAGEO_CC_X7R.pdf</x:v>
      </x:c>
      <x:c xmlns:x="http://schemas.openxmlformats.org/spreadsheetml/2006/main" r="W42" t="str" s="11">
        <x:v>Даташит — производитель</x:v>
      </x:c>
      <x:c xmlns:x="http://schemas.openxmlformats.org/spreadsheetml/2006/main" r="X42" t="str" s="11">
        <x:v>https://yageogroup.com/content/datasheet/asset/file/UPY-GPHC_X7R_6_3V-TO-250V</x:v>
      </x:c>
      <x:c xmlns:x="http://schemas.openxmlformats.org/spreadsheetml/2006/main" r="Y42" t="str" s="11">
        <x:v>C:\Users\Nomatin\Documents\Altium\MY_LIB\MY_LIB\Datasheets\YAGEO_CC_X7R.pdf</x:v>
      </x:c>
      <ns0:c xmlns:ns0="http://schemas.openxmlformats.org/spreadsheetml/2006/main" r="Z42" s="11">
        <ns0:v>1.8e-07</ns0:v>
      </ns0:c>
      <ns0:c xmlns:ns0="http://schemas.openxmlformats.org/spreadsheetml/2006/main" r="AA42" s="11">
        <ns0:v>0.025</ns0:v>
      </ns0:c>
      <ns0:c xmlns:ns0="http://schemas.openxmlformats.org/spreadsheetml/2006/main" r="AB42" s="11">
        <ns0:v>1000</ns0:v>
      </ns0:c>
      <ns0:c xmlns:ns0="http://schemas.openxmlformats.org/spreadsheetml/2006/main" r="AC42" s="11">
        <ns0:v>1</ns0:v>
      </ns0:c>
      <ns0:c xmlns:ns0="http://schemas.openxmlformats.org/spreadsheetml/2006/main" r="AD42" s="11">
        <ns0:v>20</ns0:v>
      </ns0:c>
      <ns0:c xmlns:ns0="http://schemas.openxmlformats.org/spreadsheetml/2006/main" r="AE42" s="11">
        <ns0:v>500</ns0:v>
      </ns0:c>
      <ns0:c xmlns:ns0="http://schemas.openxmlformats.org/spreadsheetml/2006/main" r="AF42" s="11">
        <ns0:v>2777777777.77778</ns0:v>
      </ns0:c>
      <ns0:c xmlns:ns0="http://schemas.openxmlformats.org/spreadsheetml/2006/main" r="AG42" s="11">
        <ns0:v>50</ns0:v>
      </ns0:c>
      <ns0:c xmlns:ns0="http://schemas.openxmlformats.org/spreadsheetml/2006/main" r="AH42" s="11">
        <ns0:v>60</ns0:v>
      </ns0:c>
      <ns0:c xmlns:ns0="http://schemas.openxmlformats.org/spreadsheetml/2006/main" r="AI42" s="11">
        <ns0:v>22.1048532072077</ns0:v>
      </ns0:c>
      <ns0:c xmlns:ns0="http://schemas.openxmlformats.org/spreadsheetml/2006/main" r="AJ42" s="11" t="inlineStr">
        <ns0:is>
          <ns0:t>MY_LIB_C_RC</ns0:t>
        </ns0:is>
      </ns0:c>
      <ns0:c xmlns:ns0="http://schemas.openxmlformats.org/spreadsheetml/2006/main" r="AK42" s="11" t="inlineStr">
        <ns0:is>
          <ns0:t>Nominal C; DFmax at 1kHz; minimum insulation; no temperature/bias/ESL</ns0:t>
        </ns0:is>
      </ns0:c>
      <ns0:c xmlns:ns0="http://schemas.openxmlformats.org/spreadsheetml/2006/main" r="AL42" s="11" t="inlineStr">
        <ns0:is>
          <ns0:t>General</ns0:t>
        </ns0:is>
      </ns0:c>
      <ns0:c xmlns:ns0="http://schemas.openxmlformats.org/spreadsheetml/2006/main" r="AM42" s="11" t="inlineStr">
        <ns0:is>
          <ns0:t>Spice Subcircuit</ns0:t>
        </ns0:is>
      </ns0:c>
      <ns0:c xmlns:ns0="http://schemas.openxmlformats.org/spreadsheetml/2006/main" r="AN42" s="11" t="inlineStr">
        <ns0:is>
          <ns0:t>@DESIGNATOR %1 %2 @MODEL PARAMS: Cvalue=1.8e-07 Rsvalue=22.1048532072077 Rinsvalue=2777777777.77778</ns0:t>
        </ns0:is>
      </ns0:c>
      <ns0:c xmlns:ns0="http://schemas.openxmlformats.org/spreadsheetml/2006/main" r="AO42" s="11" t="inlineStr">
        <ns0:is>
          <ns0:t>X</ns0:t>
        </ns0:is>
      </ns0:c>
      <ns0:c xmlns:ns0="http://schemas.openxmlformats.org/spreadsheetml/2006/main" r="AP42" s="11" t="inlineStr">
        <ns0:is>
          <ns0:t>(1:1),(2:2)</ns0:t>
        </ns0:is>
      </ns0:c>
      <ns0:c xmlns:ns0="http://schemas.openxmlformats.org/spreadsheetml/2006/main" r="AQ42" s="11" t="inlineStr">
        <ns0:is>
          <ns0:t>Simulation\Capacitors\MY_LIB_C_RC.ckt</ns0:t>
        </ns0:is>
      </ns0:c>
    </ns0:row>
    <ns0:row r="43" ht="30" customHeight="1">
      <ns0:c r="A43" t="str" s="14">
        <ns0:v>C0044</ns0:v>
      </ns0:c>
      <ns0:c r="B43" t="str" s="14">
        <ns0:v>Конденсатор</ns0:v>
      </ns0:c>
      <ns0:c r="C43" t="str" s="14">
        <ns0:v>220n</ns0:v>
      </ns0:c>
      <ns0:c r="D43" t="str" s="11">
        <ns0:f>SUBSTITUTE(SUBSTITUTE(SUBSTITUTE(SUBSTITUTE(C43,"p"," пФ"),"n"," нФ"),"u"," мкФ"),".",",")</ns0:f>
        <ns0:v>220 нФ</ns0:v>
      </ns0:c>
      <ns0:c r="E43" t="str" s="14">
        <ns0:v>±5%</ns0:v>
      </ns0:c>
      <ns0:c r="F43" s="14"/>
      <ns0:c r="G43" t="str" s="14">
        <ns0:v>100 В</ns0:v>
      </ns0:c>
      <ns0:c r="H43" t="str" s="14">
        <ns0:v>X7R</ns0:v>
      </ns0:c>
      <ns0:c r="I43" t="str" s="15">
        <ns0:v>0805</ns0:v>
      </ns0:c>
      <ns0:c r="J43" t="str" s="14">
        <ns0:v>YAGEO</ns0:v>
      </ns0:c>
      <ns0:c r="K43" t="str" s="14">
        <ns0:v>CC0805JKX7R0BB224</ns0:v>
      </ns0:c>
      <ns0:c r="L43" t="str" s="11">
        <ns0:f>B43&amp;" "&amp;D43&amp;" "&amp;E43&amp;" "&amp;G43&amp;" "&amp;H43&amp;" "&amp;I43</ns0:f>
        <ns0:v>Конденсатор 220 нФ ±5% 100 В X7R 0805</ns0:v>
      </ns0:c>
      <ns0:c r="M43" t="str" s="13">
        <ns0:v>C</ns0:v>
      </ns0:c>
      <ns0:c r="N43" t="str" s="13">
        <ns0:v>Symbols\MY_LIB_Capacitors.SchLib</ns0:v>
      </ns0:c>
      <ns0:c r="O43" t="str" s="13">
        <ns0:v>CAPC2012X135N</ns0:v>
      </ns0:c>
      <ns0:c r="P43" t="str" s="13">
        <ns0:v>Footprints\PBL - SMD Packages.PcbLib</ns0:v>
      </ns0:c>
      <ns0:c r="Q43" t="str" s="14">
        <ns0:v>YAGEO CC; список 20.10.2026</ns0:v>
      </ns0:c>
      <ns0:c r="R43" t="str" s="11">
        <ns0:f>D43</ns0:f>
        <ns0:v>220 нФ</ns0:v>
      </ns0:c>
      <ns0:c r="S43" t="str" s="11">
        <ns0:f>L43</ns0:f>
        <ns0:v>Конденсатор 220 нФ ±5% 100 В X7R 0805</ns0:v>
      </ns0:c>
      <x:c xmlns:x="http://schemas.openxmlformats.org/spreadsheetml/2006/main" r="T43" t="str" s="11">
        <x:v>C:\Users\Nomatin\Documents\Altium\MY_LIB\MY_LIB\Datasheets\YAGEO_CC_X7R.pdf</x:v>
      </x:c>
      <x:c xmlns:x="http://schemas.openxmlformats.org/spreadsheetml/2006/main" r="U43" t="str" s="11">
        <x:v>Даташит — локальный</x:v>
      </x:c>
      <x:c xmlns:x="http://schemas.openxmlformats.org/spreadsheetml/2006/main" r="V43" t="str" s="11">
        <x:v>C:\Users\Nomatin\Documents\Altium\MY_LIB\MY_LIB\Datasheets\YAGEO_CC_X7R.pdf</x:v>
      </x:c>
      <x:c xmlns:x="http://schemas.openxmlformats.org/spreadsheetml/2006/main" r="W43" t="str" s="11">
        <x:v>Даташит — производитель</x:v>
      </x:c>
      <x:c xmlns:x="http://schemas.openxmlformats.org/spreadsheetml/2006/main" r="X43" t="str" s="11">
        <x:v>https://yageogroup.com/content/datasheet/asset/file/UPY-GPHC_X7R_6_3V-TO-250V</x:v>
      </x:c>
      <x:c xmlns:x="http://schemas.openxmlformats.org/spreadsheetml/2006/main" r="Y43" t="str" s="11">
        <x:v>C:\Users\Nomatin\Documents\Altium\MY_LIB\MY_LIB\Datasheets\YAGEO_CC_X7R.pdf</x:v>
      </x:c>
      <ns0:c xmlns:ns0="http://schemas.openxmlformats.org/spreadsheetml/2006/main" r="Z43" s="11">
        <ns0:v>2.2e-07</ns0:v>
      </ns0:c>
      <ns0:c xmlns:ns0="http://schemas.openxmlformats.org/spreadsheetml/2006/main" r="AA43" s="11">
        <ns0:v>0.025</ns0:v>
      </ns0:c>
      <ns0:c xmlns:ns0="http://schemas.openxmlformats.org/spreadsheetml/2006/main" r="AB43" s="11">
        <ns0:v>1000</ns0:v>
      </ns0:c>
      <ns0:c xmlns:ns0="http://schemas.openxmlformats.org/spreadsheetml/2006/main" r="AC43" s="11">
        <ns0:v>1</ns0:v>
      </ns0:c>
      <ns0:c xmlns:ns0="http://schemas.openxmlformats.org/spreadsheetml/2006/main" r="AD43" s="11">
        <ns0:v>20</ns0:v>
      </ns0:c>
      <ns0:c xmlns:ns0="http://schemas.openxmlformats.org/spreadsheetml/2006/main" r="AE43" s="11">
        <ns0:v>500</ns0:v>
      </ns0:c>
      <ns0:c xmlns:ns0="http://schemas.openxmlformats.org/spreadsheetml/2006/main" r="AF43" s="11">
        <ns0:v>2272727272.72727</ns0:v>
      </ns0:c>
      <ns0:c xmlns:ns0="http://schemas.openxmlformats.org/spreadsheetml/2006/main" r="AG43" s="11">
        <ns0:v>100</ns0:v>
      </ns0:c>
      <ns0:c xmlns:ns0="http://schemas.openxmlformats.org/spreadsheetml/2006/main" r="AH43" s="11">
        <ns0:v>60</ns0:v>
      </ns0:c>
      <ns0:c xmlns:ns0="http://schemas.openxmlformats.org/spreadsheetml/2006/main" r="AI43" s="11">
        <ns0:v>18.0857889877154</ns0:v>
      </ns0:c>
      <ns0:c xmlns:ns0="http://schemas.openxmlformats.org/spreadsheetml/2006/main" r="AJ43" s="11" t="inlineStr">
        <ns0:is>
          <ns0:t>MY_LIB_C_RC</ns0:t>
        </ns0:is>
      </ns0:c>
      <ns0:c xmlns:ns0="http://schemas.openxmlformats.org/spreadsheetml/2006/main" r="AK43" s="11" t="inlineStr">
        <ns0:is>
          <ns0:t>Nominal C; DFmax at 1kHz; minimum insulation; no temperature/bias/ESL</ns0:t>
        </ns0:is>
      </ns0:c>
      <ns0:c xmlns:ns0="http://schemas.openxmlformats.org/spreadsheetml/2006/main" r="AL43" s="11" t="inlineStr">
        <ns0:is>
          <ns0:t>General</ns0:t>
        </ns0:is>
      </ns0:c>
      <ns0:c xmlns:ns0="http://schemas.openxmlformats.org/spreadsheetml/2006/main" r="AM43" s="11" t="inlineStr">
        <ns0:is>
          <ns0:t>Spice Subcircuit</ns0:t>
        </ns0:is>
      </ns0:c>
      <ns0:c xmlns:ns0="http://schemas.openxmlformats.org/spreadsheetml/2006/main" r="AN43" s="11" t="inlineStr">
        <ns0:is>
          <ns0:t>@DESIGNATOR %1 %2 @MODEL PARAMS: Cvalue=2.2e-07 Rsvalue=18.0857889877154 Rinsvalue=2272727272.72727</ns0:t>
        </ns0:is>
      </ns0:c>
      <ns0:c xmlns:ns0="http://schemas.openxmlformats.org/spreadsheetml/2006/main" r="AO43" s="11" t="inlineStr">
        <ns0:is>
          <ns0:t>X</ns0:t>
        </ns0:is>
      </ns0:c>
      <ns0:c xmlns:ns0="http://schemas.openxmlformats.org/spreadsheetml/2006/main" r="AP43" s="11" t="inlineStr">
        <ns0:is>
          <ns0:t>(1:1),(2:2)</ns0:t>
        </ns0:is>
      </ns0:c>
      <ns0:c xmlns:ns0="http://schemas.openxmlformats.org/spreadsheetml/2006/main" r="AQ43" s="11" t="inlineStr">
        <ns0:is>
          <ns0:t>Simulation\Capacitors\MY_LIB_C_RC.ckt</ns0:t>
        </ns0:is>
      </ns0:c>
    </ns0:row>
    <ns0:row r="44" ht="30" customHeight="1">
      <ns0:c r="A44" t="str" s="14">
        <ns0:v>C0045</ns0:v>
      </ns0:c>
      <ns0:c r="B44" t="str" s="14">
        <ns0:v>Конденсатор</ns0:v>
      </ns0:c>
      <ns0:c r="C44" t="str" s="14">
        <ns0:v>270n</ns0:v>
      </ns0:c>
      <ns0:c r="D44" t="str" s="11">
        <ns0:f>SUBSTITUTE(SUBSTITUTE(SUBSTITUTE(SUBSTITUTE(C44,"p"," пФ"),"n"," нФ"),"u"," мкФ"),".",",")</ns0:f>
        <ns0:v>270 нФ</ns0:v>
      </ns0:c>
      <ns0:c r="E44" t="str" s="14">
        <ns0:v>±5%</ns0:v>
      </ns0:c>
      <ns0:c r="F44" s="14"/>
      <ns0:c r="G44" t="str" s="14">
        <ns0:v>16 В</ns0:v>
      </ns0:c>
      <ns0:c r="H44" t="str" s="14">
        <ns0:v>X7R</ns0:v>
      </ns0:c>
      <ns0:c r="I44" t="str" s="15">
        <ns0:v>0805</ns0:v>
      </ns0:c>
      <ns0:c r="J44" t="str" s="14">
        <ns0:v>YAGEO</ns0:v>
      </ns0:c>
      <ns0:c r="K44" t="str" s="14">
        <ns0:v>CC0805JRX7R7BB274</ns0:v>
      </ns0:c>
      <ns0:c r="L44" t="str" s="11">
        <ns0:f>B44&amp;" "&amp;D44&amp;" "&amp;E44&amp;" "&amp;G44&amp;" "&amp;H44&amp;" "&amp;I44</ns0:f>
        <ns0:v>Конденсатор 270 нФ ±5% 16 В X7R 0805</ns0:v>
      </ns0:c>
      <ns0:c r="M44" t="str" s="13">
        <ns0:v>C</ns0:v>
      </ns0:c>
      <ns0:c r="N44" t="str" s="13">
        <ns0:v>Symbols\MY_LIB_Capacitors.SchLib</ns0:v>
      </ns0:c>
      <ns0:c r="O44" t="str" s="13">
        <ns0:v>CAPC2012X135N</ns0:v>
      </ns0:c>
      <ns0:c r="P44" t="str" s="13">
        <ns0:v>Footprints\PBL - SMD Packages.PcbLib</ns0:v>
      </ns0:c>
      <ns0:c r="Q44" t="str" s="14">
        <ns0:v>YAGEO CC; список 20.10.2026</ns0:v>
      </ns0:c>
      <ns0:c r="R44" t="str" s="11">
        <ns0:f>D44</ns0:f>
        <ns0:v>270 нФ</ns0:v>
      </ns0:c>
      <ns0:c r="S44" t="str" s="11">
        <ns0:f>L44</ns0:f>
        <ns0:v>Конденсатор 270 нФ ±5% 16 В X7R 0805</ns0:v>
      </ns0:c>
      <x:c xmlns:x="http://schemas.openxmlformats.org/spreadsheetml/2006/main" r="T44" t="str" s="11">
        <x:v>C:\Users\Nomatin\Documents\Altium\MY_LIB\MY_LIB\Datasheets\YAGEO_CC_X7R.pdf</x:v>
      </x:c>
      <x:c xmlns:x="http://schemas.openxmlformats.org/spreadsheetml/2006/main" r="U44" t="str" s="11">
        <x:v>Даташит — локальный</x:v>
      </x:c>
      <x:c xmlns:x="http://schemas.openxmlformats.org/spreadsheetml/2006/main" r="V44" t="str" s="11">
        <x:v>C:\Users\Nomatin\Documents\Altium\MY_LIB\MY_LIB\Datasheets\YAGEO_CC_X7R.pdf</x:v>
      </x:c>
      <x:c xmlns:x="http://schemas.openxmlformats.org/spreadsheetml/2006/main" r="W44" t="str" s="11">
        <x:v>Даташит — производитель</x:v>
      </x:c>
      <x:c xmlns:x="http://schemas.openxmlformats.org/spreadsheetml/2006/main" r="X44" t="str" s="11">
        <x:v>https://yageogroup.com/content/datasheet/asset/file/UPY-GPHC_X7R_6_3V-TO-250V</x:v>
      </x:c>
      <x:c xmlns:x="http://schemas.openxmlformats.org/spreadsheetml/2006/main" r="Y44" t="str" s="11">
        <x:v>C:\Users\Nomatin\Documents\Altium\MY_LIB\MY_LIB\Datasheets\YAGEO_CC_X7R.pdf</x:v>
      </x:c>
      <ns0:c xmlns:ns0="http://schemas.openxmlformats.org/spreadsheetml/2006/main" r="Z44" s="11">
        <ns0:v>2.7e-07</ns0:v>
      </ns0:c>
      <ns0:c xmlns:ns0="http://schemas.openxmlformats.org/spreadsheetml/2006/main" r="AA44" s="11">
        <ns0:v>0.035</ns0:v>
      </ns0:c>
      <ns0:c xmlns:ns0="http://schemas.openxmlformats.org/spreadsheetml/2006/main" r="AB44" s="11">
        <ns0:v>1000</ns0:v>
      </ns0:c>
      <ns0:c xmlns:ns0="http://schemas.openxmlformats.org/spreadsheetml/2006/main" r="AC44" s="11">
        <ns0:v>1</ns0:v>
      </ns0:c>
      <ns0:c xmlns:ns0="http://schemas.openxmlformats.org/spreadsheetml/2006/main" r="AD44" s="11">
        <ns0:v>20</ns0:v>
      </ns0:c>
      <ns0:c xmlns:ns0="http://schemas.openxmlformats.org/spreadsheetml/2006/main" r="AE44" s="11">
        <ns0:v>500</ns0:v>
      </ns0:c>
      <ns0:c xmlns:ns0="http://schemas.openxmlformats.org/spreadsheetml/2006/main" r="AF44" s="11">
        <ns0:v>1851851851.85185</ns0:v>
      </ns0:c>
      <ns0:c xmlns:ns0="http://schemas.openxmlformats.org/spreadsheetml/2006/main" r="AG44" s="11">
        <ns0:v>16</ns0:v>
      </ns0:c>
      <ns0:c xmlns:ns0="http://schemas.openxmlformats.org/spreadsheetml/2006/main" r="AH44" s="11">
        <ns0:v>60</ns0:v>
      </ns0:c>
      <ns0:c xmlns:ns0="http://schemas.openxmlformats.org/spreadsheetml/2006/main" r="AI44" s="11">
        <ns0:v>20.6311963267272</ns0:v>
      </ns0:c>
      <ns0:c xmlns:ns0="http://schemas.openxmlformats.org/spreadsheetml/2006/main" r="AJ44" s="11" t="inlineStr">
        <ns0:is>
          <ns0:t>MY_LIB_C_RC</ns0:t>
        </ns0:is>
      </ns0:c>
      <ns0:c xmlns:ns0="http://schemas.openxmlformats.org/spreadsheetml/2006/main" r="AK44" s="11" t="inlineStr">
        <ns0:is>
          <ns0:t>Nominal C; DFmax at 1kHz; minimum insulation; no temperature/bias/ESL</ns0:t>
        </ns0:is>
      </ns0:c>
      <ns0:c xmlns:ns0="http://schemas.openxmlformats.org/spreadsheetml/2006/main" r="AL44" s="11" t="inlineStr">
        <ns0:is>
          <ns0:t>General</ns0:t>
        </ns0:is>
      </ns0:c>
      <ns0:c xmlns:ns0="http://schemas.openxmlformats.org/spreadsheetml/2006/main" r="AM44" s="11" t="inlineStr">
        <ns0:is>
          <ns0:t>Spice Subcircuit</ns0:t>
        </ns0:is>
      </ns0:c>
      <ns0:c xmlns:ns0="http://schemas.openxmlformats.org/spreadsheetml/2006/main" r="AN44" s="11" t="inlineStr">
        <ns0:is>
          <ns0:t>@DESIGNATOR %1 %2 @MODEL PARAMS: Cvalue=2.7e-07 Rsvalue=20.6311963267272 Rinsvalue=1851851851.85185</ns0:t>
        </ns0:is>
      </ns0:c>
      <ns0:c xmlns:ns0="http://schemas.openxmlformats.org/spreadsheetml/2006/main" r="AO44" s="11" t="inlineStr">
        <ns0:is>
          <ns0:t>X</ns0:t>
        </ns0:is>
      </ns0:c>
      <ns0:c xmlns:ns0="http://schemas.openxmlformats.org/spreadsheetml/2006/main" r="AP44" s="11" t="inlineStr">
        <ns0:is>
          <ns0:t>(1:1),(2:2)</ns0:t>
        </ns0:is>
      </ns0:c>
      <ns0:c xmlns:ns0="http://schemas.openxmlformats.org/spreadsheetml/2006/main" r="AQ44" s="11" t="inlineStr">
        <ns0:is>
          <ns0:t>Simulation\Capacitors\MY_LIB_C_RC.ckt</ns0:t>
        </ns0:is>
      </ns0:c>
    </ns0:row>
    <ns0:row r="45" ht="30" customHeight="1">
      <ns0:c r="A45" t="str" s="14">
        <ns0:v>C0046</ns0:v>
      </ns0:c>
      <ns0:c r="B45" t="str" s="14">
        <ns0:v>Конденсатор</ns0:v>
      </ns0:c>
      <ns0:c r="C45" t="str" s="14">
        <ns0:v>330n</ns0:v>
      </ns0:c>
      <ns0:c r="D45" t="str" s="11">
        <ns0:f>SUBSTITUTE(SUBSTITUTE(SUBSTITUTE(SUBSTITUTE(C45,"p"," пФ"),"n"," нФ"),"u"," мкФ"),".",",")</ns0:f>
        <ns0:v>330 нФ</ns0:v>
      </ns0:c>
      <ns0:c r="E45" t="str" s="14">
        <ns0:v>±5%</ns0:v>
      </ns0:c>
      <ns0:c r="F45" s="14"/>
      <ns0:c r="G45" t="str" s="14">
        <ns0:v>100 В</ns0:v>
      </ns0:c>
      <ns0:c r="H45" t="str" s="14">
        <ns0:v>X7R</ns0:v>
      </ns0:c>
      <ns0:c r="I45" t="str" s="15">
        <ns0:v>0805</ns0:v>
      </ns0:c>
      <ns0:c r="J45" t="str" s="14">
        <ns0:v>YAGEO</ns0:v>
      </ns0:c>
      <ns0:c r="K45" t="str" s="14">
        <ns0:v>CC0805JKX7R0BB334</ns0:v>
      </ns0:c>
      <ns0:c r="L45" t="str" s="11">
        <ns0:f>B45&amp;" "&amp;D45&amp;" "&amp;E45&amp;" "&amp;G45&amp;" "&amp;H45&amp;" "&amp;I45</ns0:f>
        <ns0:v>Конденсатор 330 нФ ±5% 100 В X7R 0805</ns0:v>
      </ns0:c>
      <ns0:c r="M45" t="str" s="13">
        <ns0:v>C</ns0:v>
      </ns0:c>
      <ns0:c r="N45" t="str" s="13">
        <ns0:v>Symbols\MY_LIB_Capacitors.SchLib</ns0:v>
      </ns0:c>
      <ns0:c r="O45" t="str" s="13">
        <ns0:v>CAPC2012X135N</ns0:v>
      </ns0:c>
      <ns0:c r="P45" t="str" s="13">
        <ns0:v>Footprints\PBL - SMD Packages.PcbLib</ns0:v>
      </ns0:c>
      <ns0:c r="Q45" t="str" s="14">
        <ns0:v>YAGEO CC; список 20.10.2026</ns0:v>
      </ns0:c>
      <ns0:c r="R45" t="str" s="11">
        <ns0:f>D45</ns0:f>
        <ns0:v>330 нФ</ns0:v>
      </ns0:c>
      <ns0:c r="S45" t="str" s="11">
        <ns0:f>L45</ns0:f>
        <ns0:v>Конденсатор 330 нФ ±5% 100 В X7R 0805</ns0:v>
      </ns0:c>
      <x:c xmlns:x="http://schemas.openxmlformats.org/spreadsheetml/2006/main" r="T45" t="str" s="11">
        <x:v>C:\Users\Nomatin\Documents\Altium\MY_LIB\MY_LIB\Datasheets\YAGEO_CC_X7R.pdf</x:v>
      </x:c>
      <x:c xmlns:x="http://schemas.openxmlformats.org/spreadsheetml/2006/main" r="U45" t="str" s="11">
        <x:v>Даташит — локальный</x:v>
      </x:c>
      <x:c xmlns:x="http://schemas.openxmlformats.org/spreadsheetml/2006/main" r="V45" t="str" s="11">
        <x:v>C:\Users\Nomatin\Documents\Altium\MY_LIB\MY_LIB\Datasheets\YAGEO_CC_X7R.pdf</x:v>
      </x:c>
      <x:c xmlns:x="http://schemas.openxmlformats.org/spreadsheetml/2006/main" r="W45" t="str" s="11">
        <x:v>Даташит — производитель</x:v>
      </x:c>
      <x:c xmlns:x="http://schemas.openxmlformats.org/spreadsheetml/2006/main" r="X45" t="str" s="11">
        <x:v>https://yageogroup.com/content/datasheet/asset/file/UPY-GPHC_X7R_6_3V-TO-250V</x:v>
      </x:c>
      <x:c xmlns:x="http://schemas.openxmlformats.org/spreadsheetml/2006/main" r="Y45" t="str" s="11">
        <x:v>C:\Users\Nomatin\Documents\Altium\MY_LIB\MY_LIB\Datasheets\YAGEO_CC_X7R.pdf</x:v>
      </x:c>
      <ns0:c xmlns:ns0="http://schemas.openxmlformats.org/spreadsheetml/2006/main" r="Z45" s="11">
        <ns0:v>3.3e-07</ns0:v>
      </ns0:c>
      <ns0:c xmlns:ns0="http://schemas.openxmlformats.org/spreadsheetml/2006/main" r="AA45" s="11">
        <ns0:v>0.025</ns0:v>
      </ns0:c>
      <ns0:c xmlns:ns0="http://schemas.openxmlformats.org/spreadsheetml/2006/main" r="AB45" s="11">
        <ns0:v>1000</ns0:v>
      </ns0:c>
      <ns0:c xmlns:ns0="http://schemas.openxmlformats.org/spreadsheetml/2006/main" r="AC45" s="11">
        <ns0:v>1</ns0:v>
      </ns0:c>
      <ns0:c xmlns:ns0="http://schemas.openxmlformats.org/spreadsheetml/2006/main" r="AD45" s="11">
        <ns0:v>20</ns0:v>
      </ns0:c>
      <ns0:c xmlns:ns0="http://schemas.openxmlformats.org/spreadsheetml/2006/main" r="AE45" s="11">
        <ns0:v>500</ns0:v>
      </ns0:c>
      <ns0:c xmlns:ns0="http://schemas.openxmlformats.org/spreadsheetml/2006/main" r="AF45" s="11">
        <ns0:v>1515151515.15152</ns0:v>
      </ns0:c>
      <ns0:c xmlns:ns0="http://schemas.openxmlformats.org/spreadsheetml/2006/main" r="AG45" s="11">
        <ns0:v>100</ns0:v>
      </ns0:c>
      <ns0:c xmlns:ns0="http://schemas.openxmlformats.org/spreadsheetml/2006/main" r="AH45" s="11">
        <ns0:v>60</ns0:v>
      </ns0:c>
      <ns0:c xmlns:ns0="http://schemas.openxmlformats.org/spreadsheetml/2006/main" r="AI45" s="11">
        <ns0:v>12.0571926584769</ns0:v>
      </ns0:c>
      <ns0:c xmlns:ns0="http://schemas.openxmlformats.org/spreadsheetml/2006/main" r="AJ45" s="11" t="inlineStr">
        <ns0:is>
          <ns0:t>MY_LIB_C_RC</ns0:t>
        </ns0:is>
      </ns0:c>
      <ns0:c xmlns:ns0="http://schemas.openxmlformats.org/spreadsheetml/2006/main" r="AK45" s="11" t="inlineStr">
        <ns0:is>
          <ns0:t>Nominal C; DFmax at 1kHz; minimum insulation; no temperature/bias/ESL</ns0:t>
        </ns0:is>
      </ns0:c>
      <ns0:c xmlns:ns0="http://schemas.openxmlformats.org/spreadsheetml/2006/main" r="AL45" s="11" t="inlineStr">
        <ns0:is>
          <ns0:t>General</ns0:t>
        </ns0:is>
      </ns0:c>
      <ns0:c xmlns:ns0="http://schemas.openxmlformats.org/spreadsheetml/2006/main" r="AM45" s="11" t="inlineStr">
        <ns0:is>
          <ns0:t>Spice Subcircuit</ns0:t>
        </ns0:is>
      </ns0:c>
      <ns0:c xmlns:ns0="http://schemas.openxmlformats.org/spreadsheetml/2006/main" r="AN45" s="11" t="inlineStr">
        <ns0:is>
          <ns0:t>@DESIGNATOR %1 %2 @MODEL PARAMS: Cvalue=3.3e-07 Rsvalue=12.0571926584769 Rinsvalue=1515151515.15152</ns0:t>
        </ns0:is>
      </ns0:c>
      <ns0:c xmlns:ns0="http://schemas.openxmlformats.org/spreadsheetml/2006/main" r="AO45" s="11" t="inlineStr">
        <ns0:is>
          <ns0:t>X</ns0:t>
        </ns0:is>
      </ns0:c>
      <ns0:c xmlns:ns0="http://schemas.openxmlformats.org/spreadsheetml/2006/main" r="AP45" s="11" t="inlineStr">
        <ns0:is>
          <ns0:t>(1:1),(2:2)</ns0:t>
        </ns0:is>
      </ns0:c>
      <ns0:c xmlns:ns0="http://schemas.openxmlformats.org/spreadsheetml/2006/main" r="AQ45" s="11" t="inlineStr">
        <ns0:is>
          <ns0:t>Simulation\Capacitors\MY_LIB_C_RC.ckt</ns0:t>
        </ns0:is>
      </ns0:c>
    </ns0:row>
    <ns0:row r="46" ht="30" customHeight="1">
      <ns0:c r="A46" t="str" s="14">
        <ns0:v>C0047</ns0:v>
      </ns0:c>
      <ns0:c r="B46" t="str" s="14">
        <ns0:v>Конденсатор</ns0:v>
      </ns0:c>
      <ns0:c r="C46" t="str" s="14">
        <ns0:v>390n</ns0:v>
      </ns0:c>
      <ns0:c r="D46" t="str" s="11">
        <ns0:f>SUBSTITUTE(SUBSTITUTE(SUBSTITUTE(SUBSTITUTE(C46,"p"," пФ"),"n"," нФ"),"u"," мкФ"),".",",")</ns0:f>
        <ns0:v>390 нФ</ns0:v>
      </ns0:c>
      <ns0:c r="E46" t="str" s="14">
        <ns0:v>±5%</ns0:v>
      </ns0:c>
      <ns0:c r="F46" s="14"/>
      <ns0:c r="G46" t="str" s="14">
        <ns0:v>16 В</ns0:v>
      </ns0:c>
      <ns0:c r="H46" t="str" s="14">
        <ns0:v>X7R</ns0:v>
      </ns0:c>
      <ns0:c r="I46" t="str" s="15">
        <ns0:v>0805</ns0:v>
      </ns0:c>
      <ns0:c r="J46" t="str" s="14">
        <ns0:v>YAGEO</ns0:v>
      </ns0:c>
      <ns0:c r="K46" t="str" s="14">
        <ns0:v>CC0805JKX7R7BB394</ns0:v>
      </ns0:c>
      <ns0:c r="L46" t="str" s="11">
        <ns0:f>B46&amp;" "&amp;D46&amp;" "&amp;E46&amp;" "&amp;G46&amp;" "&amp;H46&amp;" "&amp;I46</ns0:f>
        <ns0:v>Конденсатор 390 нФ ±5% 16 В X7R 0805</ns0:v>
      </ns0:c>
      <ns0:c r="M46" t="str" s="13">
        <ns0:v>C</ns0:v>
      </ns0:c>
      <ns0:c r="N46" t="str" s="13">
        <ns0:v>Symbols\MY_LIB_Capacitors.SchLib</ns0:v>
      </ns0:c>
      <ns0:c r="O46" t="str" s="13">
        <ns0:v>CAPC2012X135N</ns0:v>
      </ns0:c>
      <ns0:c r="P46" t="str" s="13">
        <ns0:v>Footprints\PBL - SMD Packages.PcbLib</ns0:v>
      </ns0:c>
      <ns0:c r="Q46" t="str" s="14">
        <ns0:v>YAGEO CC; список 20.10.2026</ns0:v>
      </ns0:c>
      <ns0:c r="R46" t="str" s="11">
        <ns0:f>D46</ns0:f>
        <ns0:v>390 нФ</ns0:v>
      </ns0:c>
      <ns0:c r="S46" t="str" s="11">
        <ns0:f>L46</ns0:f>
        <ns0:v>Конденсатор 390 нФ ±5% 16 В X7R 0805</ns0:v>
      </ns0:c>
      <x:c xmlns:x="http://schemas.openxmlformats.org/spreadsheetml/2006/main" r="T46" t="str" s="11">
        <x:v>C:\Users\Nomatin\Documents\Altium\MY_LIB\MY_LIB\Datasheets\YAGEO_CC_X7R.pdf</x:v>
      </x:c>
      <x:c xmlns:x="http://schemas.openxmlformats.org/spreadsheetml/2006/main" r="U46" t="str" s="11">
        <x:v>Даташит — локальный</x:v>
      </x:c>
      <x:c xmlns:x="http://schemas.openxmlformats.org/spreadsheetml/2006/main" r="V46" t="str" s="11">
        <x:v>C:\Users\Nomatin\Documents\Altium\MY_LIB\MY_LIB\Datasheets\YAGEO_CC_X7R.pdf</x:v>
      </x:c>
      <x:c xmlns:x="http://schemas.openxmlformats.org/spreadsheetml/2006/main" r="W46" t="str" s="11">
        <x:v>Даташит — производитель</x:v>
      </x:c>
      <x:c xmlns:x="http://schemas.openxmlformats.org/spreadsheetml/2006/main" r="X46" t="str" s="11">
        <x:v>https://yageogroup.com/content/datasheet/asset/file/UPY-GPHC_X7R_6_3V-TO-250V</x:v>
      </x:c>
      <x:c xmlns:x="http://schemas.openxmlformats.org/spreadsheetml/2006/main" r="Y46" t="str" s="11">
        <x:v>C:\Users\Nomatin\Documents\Altium\MY_LIB\MY_LIB\Datasheets\YAGEO_CC_X7R.pdf</x:v>
      </x:c>
      <ns0:c xmlns:ns0="http://schemas.openxmlformats.org/spreadsheetml/2006/main" r="Z46" s="11">
        <ns0:v>3.9e-07</ns0:v>
      </ns0:c>
      <ns0:c xmlns:ns0="http://schemas.openxmlformats.org/spreadsheetml/2006/main" r="AA46" s="11">
        <ns0:v>0.035</ns0:v>
      </ns0:c>
      <ns0:c xmlns:ns0="http://schemas.openxmlformats.org/spreadsheetml/2006/main" r="AB46" s="11">
        <ns0:v>1000</ns0:v>
      </ns0:c>
      <ns0:c xmlns:ns0="http://schemas.openxmlformats.org/spreadsheetml/2006/main" r="AC46" s="11">
        <ns0:v>1</ns0:v>
      </ns0:c>
      <ns0:c xmlns:ns0="http://schemas.openxmlformats.org/spreadsheetml/2006/main" r="AD46" s="11">
        <ns0:v>20</ns0:v>
      </ns0:c>
      <ns0:c xmlns:ns0="http://schemas.openxmlformats.org/spreadsheetml/2006/main" r="AE46" s="11">
        <ns0:v>500</ns0:v>
      </ns0:c>
      <ns0:c xmlns:ns0="http://schemas.openxmlformats.org/spreadsheetml/2006/main" r="AF46" s="11">
        <ns0:v>1282051282.05128</ns0:v>
      </ns0:c>
      <ns0:c xmlns:ns0="http://schemas.openxmlformats.org/spreadsheetml/2006/main" r="AG46" s="11">
        <ns0:v>16</ns0:v>
      </ns0:c>
      <ns0:c xmlns:ns0="http://schemas.openxmlformats.org/spreadsheetml/2006/main" r="AH46" s="11">
        <ns0:v>60</ns0:v>
      </ns0:c>
      <ns0:c xmlns:ns0="http://schemas.openxmlformats.org/spreadsheetml/2006/main" r="AI46" s="11">
        <ns0:v>14.2831359185034</ns0:v>
      </ns0:c>
      <ns0:c xmlns:ns0="http://schemas.openxmlformats.org/spreadsheetml/2006/main" r="AJ46" s="11" t="inlineStr">
        <ns0:is>
          <ns0:t>MY_LIB_C_RC</ns0:t>
        </ns0:is>
      </ns0:c>
      <ns0:c xmlns:ns0="http://schemas.openxmlformats.org/spreadsheetml/2006/main" r="AK46" s="11" t="inlineStr">
        <ns0:is>
          <ns0:t>Nominal C; DFmax at 1kHz; minimum insulation; no temperature/bias/ESL</ns0:t>
        </ns0:is>
      </ns0:c>
      <ns0:c xmlns:ns0="http://schemas.openxmlformats.org/spreadsheetml/2006/main" r="AL46" s="11" t="inlineStr">
        <ns0:is>
          <ns0:t>General</ns0:t>
        </ns0:is>
      </ns0:c>
      <ns0:c xmlns:ns0="http://schemas.openxmlformats.org/spreadsheetml/2006/main" r="AM46" s="11" t="inlineStr">
        <ns0:is>
          <ns0:t>Spice Subcircuit</ns0:t>
        </ns0:is>
      </ns0:c>
      <ns0:c xmlns:ns0="http://schemas.openxmlformats.org/spreadsheetml/2006/main" r="AN46" s="11" t="inlineStr">
        <ns0:is>
          <ns0:t>@DESIGNATOR %1 %2 @MODEL PARAMS: Cvalue=3.9e-07 Rsvalue=14.2831359185034 Rinsvalue=1282051282.05128</ns0:t>
        </ns0:is>
      </ns0:c>
      <ns0:c xmlns:ns0="http://schemas.openxmlformats.org/spreadsheetml/2006/main" r="AO46" s="11" t="inlineStr">
        <ns0:is>
          <ns0:t>X</ns0:t>
        </ns0:is>
      </ns0:c>
      <ns0:c xmlns:ns0="http://schemas.openxmlformats.org/spreadsheetml/2006/main" r="AP46" s="11" t="inlineStr">
        <ns0:is>
          <ns0:t>(1:1),(2:2)</ns0:t>
        </ns0:is>
      </ns0:c>
      <ns0:c xmlns:ns0="http://schemas.openxmlformats.org/spreadsheetml/2006/main" r="AQ46" s="11" t="inlineStr">
        <ns0:is>
          <ns0:t>Simulation\Capacitors\MY_LIB_C_RC.ckt</ns0:t>
        </ns0:is>
      </ns0:c>
    </ns0:row>
    <ns0:row r="47" ht="30" customHeight="1">
      <ns0:c r="A47" t="str" s="14">
        <ns0:v>C0048</ns0:v>
      </ns0:c>
      <ns0:c r="B47" t="str" s="14">
        <ns0:v>Конденсатор</ns0:v>
      </ns0:c>
      <ns0:c r="C47" t="str" s="14">
        <ns0:v>470n</ns0:v>
      </ns0:c>
      <ns0:c r="D47" t="str" s="11">
        <ns0:f>SUBSTITUTE(SUBSTITUTE(SUBSTITUTE(SUBSTITUTE(C47,"p"," пФ"),"n"," нФ"),"u"," мкФ"),".",",")</ns0:f>
        <ns0:v>470 нФ</ns0:v>
      </ns0:c>
      <ns0:c r="E47" t="str" s="14">
        <ns0:v>±5%</ns0:v>
      </ns0:c>
      <ns0:c r="F47" s="14"/>
      <ns0:c r="G47" t="str" s="14">
        <ns0:v>100 В</ns0:v>
      </ns0:c>
      <ns0:c r="H47" t="str" s="14">
        <ns0:v>X7R</ns0:v>
      </ns0:c>
      <ns0:c r="I47" t="str" s="15">
        <ns0:v>0805</ns0:v>
      </ns0:c>
      <ns0:c r="J47" t="str" s="14">
        <ns0:v>YAGEO</ns0:v>
      </ns0:c>
      <ns0:c r="K47" t="str" s="14">
        <ns0:v>CC0805JKX7R0BB474</ns0:v>
      </ns0:c>
      <ns0:c r="L47" t="str" s="11">
        <ns0:f>B47&amp;" "&amp;D47&amp;" "&amp;E47&amp;" "&amp;G47&amp;" "&amp;H47&amp;" "&amp;I47</ns0:f>
        <ns0:v>Конденсатор 470 нФ ±5% 100 В X7R 0805</ns0:v>
      </ns0:c>
      <ns0:c r="M47" t="str" s="13">
        <ns0:v>C</ns0:v>
      </ns0:c>
      <ns0:c r="N47" t="str" s="13">
        <ns0:v>Symbols\MY_LIB_Capacitors.SchLib</ns0:v>
      </ns0:c>
      <ns0:c r="O47" t="str" s="13">
        <ns0:v>CAPC2012X135N</ns0:v>
      </ns0:c>
      <ns0:c r="P47" t="str" s="13">
        <ns0:v>Footprints\PBL - SMD Packages.PcbLib</ns0:v>
      </ns0:c>
      <ns0:c r="Q47" t="str" s="14">
        <ns0:v>YAGEO CC; список 20.10.2026</ns0:v>
      </ns0:c>
      <ns0:c r="R47" t="str" s="11">
        <ns0:f>D47</ns0:f>
        <ns0:v>470 нФ</ns0:v>
      </ns0:c>
      <ns0:c r="S47" t="str" s="11">
        <ns0:f>L47</ns0:f>
        <ns0:v>Конденсатор 470 нФ ±5% 100 В X7R 0805</ns0:v>
      </ns0:c>
      <x:c xmlns:x="http://schemas.openxmlformats.org/spreadsheetml/2006/main" r="T47" t="str" s="11">
        <x:v>C:\Users\Nomatin\Documents\Altium\MY_LIB\MY_LIB\Datasheets\YAGEO_CC_X7R.pdf</x:v>
      </x:c>
      <x:c xmlns:x="http://schemas.openxmlformats.org/spreadsheetml/2006/main" r="U47" t="str" s="11">
        <x:v>Даташит — локальный</x:v>
      </x:c>
      <x:c xmlns:x="http://schemas.openxmlformats.org/spreadsheetml/2006/main" r="V47" t="str" s="11">
        <x:v>C:\Users\Nomatin\Documents\Altium\MY_LIB\MY_LIB\Datasheets\YAGEO_CC_X7R.pdf</x:v>
      </x:c>
      <x:c xmlns:x="http://schemas.openxmlformats.org/spreadsheetml/2006/main" r="W47" t="str" s="11">
        <x:v>Даташит — производитель</x:v>
      </x:c>
      <x:c xmlns:x="http://schemas.openxmlformats.org/spreadsheetml/2006/main" r="X47" t="str" s="11">
        <x:v>https://yageogroup.com/content/datasheet/asset/file/UPY-GPHC_X7R_6_3V-TO-250V</x:v>
      </x:c>
      <x:c xmlns:x="http://schemas.openxmlformats.org/spreadsheetml/2006/main" r="Y47" t="str" s="11">
        <x:v>C:\Users\Nomatin\Documents\Altium\MY_LIB\MY_LIB\Datasheets\YAGEO_CC_X7R.pdf</x:v>
      </x:c>
      <ns0:c xmlns:ns0="http://schemas.openxmlformats.org/spreadsheetml/2006/main" r="Z47" s="11">
        <ns0:v>4.7e-07</ns0:v>
      </ns0:c>
      <ns0:c xmlns:ns0="http://schemas.openxmlformats.org/spreadsheetml/2006/main" r="AA47" s="11">
        <ns0:v>0.025</ns0:v>
      </ns0:c>
      <ns0:c xmlns:ns0="http://schemas.openxmlformats.org/spreadsheetml/2006/main" r="AB47" s="11">
        <ns0:v>1000</ns0:v>
      </ns0:c>
      <ns0:c xmlns:ns0="http://schemas.openxmlformats.org/spreadsheetml/2006/main" r="AC47" s="11">
        <ns0:v>1</ns0:v>
      </ns0:c>
      <ns0:c xmlns:ns0="http://schemas.openxmlformats.org/spreadsheetml/2006/main" r="AD47" s="11">
        <ns0:v>20</ns0:v>
      </ns0:c>
      <ns0:c xmlns:ns0="http://schemas.openxmlformats.org/spreadsheetml/2006/main" r="AE47" s="11">
        <ns0:v>500</ns0:v>
      </ns0:c>
      <ns0:c xmlns:ns0="http://schemas.openxmlformats.org/spreadsheetml/2006/main" r="AF47" s="11">
        <ns0:v>1063829787.23404</ns0:v>
      </ns0:c>
      <ns0:c xmlns:ns0="http://schemas.openxmlformats.org/spreadsheetml/2006/main" r="AG47" s="11">
        <ns0:v>100</ns0:v>
      </ns0:c>
      <ns0:c xmlns:ns0="http://schemas.openxmlformats.org/spreadsheetml/2006/main" r="AH47" s="11">
        <ns0:v>60</ns0:v>
      </ns0:c>
      <ns0:c xmlns:ns0="http://schemas.openxmlformats.org/spreadsheetml/2006/main" r="AI47" s="11">
        <ns0:v>8.46568846233486</ns0:v>
      </ns0:c>
      <ns0:c xmlns:ns0="http://schemas.openxmlformats.org/spreadsheetml/2006/main" r="AJ47" s="11" t="inlineStr">
        <ns0:is>
          <ns0:t>MY_LIB_C_RC</ns0:t>
        </ns0:is>
      </ns0:c>
      <ns0:c xmlns:ns0="http://schemas.openxmlformats.org/spreadsheetml/2006/main" r="AK47" s="11" t="inlineStr">
        <ns0:is>
          <ns0:t>Nominal C; DFmax at 1kHz; minimum insulation; no temperature/bias/ESL</ns0:t>
        </ns0:is>
      </ns0:c>
      <ns0:c xmlns:ns0="http://schemas.openxmlformats.org/spreadsheetml/2006/main" r="AL47" s="11" t="inlineStr">
        <ns0:is>
          <ns0:t>General</ns0:t>
        </ns0:is>
      </ns0:c>
      <ns0:c xmlns:ns0="http://schemas.openxmlformats.org/spreadsheetml/2006/main" r="AM47" s="11" t="inlineStr">
        <ns0:is>
          <ns0:t>Spice Subcircuit</ns0:t>
        </ns0:is>
      </ns0:c>
      <ns0:c xmlns:ns0="http://schemas.openxmlformats.org/spreadsheetml/2006/main" r="AN47" s="11" t="inlineStr">
        <ns0:is>
          <ns0:t>@DESIGNATOR %1 %2 @MODEL PARAMS: Cvalue=4.7e-07 Rsvalue=8.46568846233486 Rinsvalue=1063829787.23404</ns0:t>
        </ns0:is>
      </ns0:c>
      <ns0:c xmlns:ns0="http://schemas.openxmlformats.org/spreadsheetml/2006/main" r="AO47" s="11" t="inlineStr">
        <ns0:is>
          <ns0:t>X</ns0:t>
        </ns0:is>
      </ns0:c>
      <ns0:c xmlns:ns0="http://schemas.openxmlformats.org/spreadsheetml/2006/main" r="AP47" s="11" t="inlineStr">
        <ns0:is>
          <ns0:t>(1:1),(2:2)</ns0:t>
        </ns0:is>
      </ns0:c>
      <ns0:c xmlns:ns0="http://schemas.openxmlformats.org/spreadsheetml/2006/main" r="AQ47" s="11" t="inlineStr">
        <ns0:is>
          <ns0:t>Simulation\Capacitors\MY_LIB_C_RC.ckt</ns0:t>
        </ns0:is>
      </ns0:c>
    </ns0:row>
    <ns0:row r="48" ht="30" customHeight="1">
      <ns0:c r="A48" t="str" s="14">
        <ns0:v>C0049</ns0:v>
      </ns0:c>
      <ns0:c r="B48" t="str" s="14">
        <ns0:v>Конденсатор</ns0:v>
      </ns0:c>
      <ns0:c r="C48" t="str" s="14">
        <ns0:v>560n</ns0:v>
      </ns0:c>
      <ns0:c r="D48" t="str" s="11">
        <ns0:f>SUBSTITUTE(SUBSTITUTE(SUBSTITUTE(SUBSTITUTE(C48,"p"," пФ"),"n"," нФ"),"u"," мкФ"),".",",")</ns0:f>
        <ns0:v>560 нФ</ns0:v>
      </ns0:c>
      <ns0:c r="E48" t="str" s="14">
        <ns0:v>±5%</ns0:v>
      </ns0:c>
      <ns0:c r="F48" s="14"/>
      <ns0:c r="G48" t="str" s="14">
        <ns0:v>25 В</ns0:v>
      </ns0:c>
      <ns0:c r="H48" t="str" s="14">
        <ns0:v>X7R</ns0:v>
      </ns0:c>
      <ns0:c r="I48" t="str" s="15">
        <ns0:v>0805</ns0:v>
      </ns0:c>
      <ns0:c r="J48" t="str" s="14">
        <ns0:v>YAGEO</ns0:v>
      </ns0:c>
      <ns0:c r="K48" t="str" s="14">
        <ns0:v>CC0805JKX7R8BB564</ns0:v>
      </ns0:c>
      <ns0:c r="L48" t="str" s="11">
        <ns0:f>B48&amp;" "&amp;D48&amp;" "&amp;E48&amp;" "&amp;G48&amp;" "&amp;H48&amp;" "&amp;I48</ns0:f>
        <ns0:v>Конденсатор 560 нФ ±5% 25 В X7R 0805</ns0:v>
      </ns0:c>
      <ns0:c r="M48" t="str" s="13">
        <ns0:v>C</ns0:v>
      </ns0:c>
      <ns0:c r="N48" t="str" s="13">
        <ns0:v>Symbols\MY_LIB_Capacitors.SchLib</ns0:v>
      </ns0:c>
      <ns0:c r="O48" t="str" s="13">
        <ns0:v>CAPC2012X135N</ns0:v>
      </ns0:c>
      <ns0:c r="P48" t="str" s="13">
        <ns0:v>Footprints\PBL - SMD Packages.PcbLib</ns0:v>
      </ns0:c>
      <ns0:c r="Q48" t="str" s="14">
        <ns0:v>YAGEO CC; список 20.10.2026</ns0:v>
      </ns0:c>
      <ns0:c r="R48" t="str" s="11">
        <ns0:f>D48</ns0:f>
        <ns0:v>560 нФ</ns0:v>
      </ns0:c>
      <ns0:c r="S48" t="str" s="11">
        <ns0:f>L48</ns0:f>
        <ns0:v>Конденсатор 560 нФ ±5% 25 В X7R 0805</ns0:v>
      </ns0:c>
      <x:c xmlns:x="http://schemas.openxmlformats.org/spreadsheetml/2006/main" r="T48" t="str" s="11">
        <x:v>C:\Users\Nomatin\Documents\Altium\MY_LIB\MY_LIB\Datasheets\YAGEO_CC_X7R.pdf</x:v>
      </x:c>
      <x:c xmlns:x="http://schemas.openxmlformats.org/spreadsheetml/2006/main" r="U48" t="str" s="11">
        <x:v>Даташит — локальный</x:v>
      </x:c>
      <x:c xmlns:x="http://schemas.openxmlformats.org/spreadsheetml/2006/main" r="V48" t="str" s="11">
        <x:v>C:\Users\Nomatin\Documents\Altium\MY_LIB\MY_LIB\Datasheets\YAGEO_CC_X7R.pdf</x:v>
      </x:c>
      <x:c xmlns:x="http://schemas.openxmlformats.org/spreadsheetml/2006/main" r="W48" t="str" s="11">
        <x:v>Даташит — производитель</x:v>
      </x:c>
      <x:c xmlns:x="http://schemas.openxmlformats.org/spreadsheetml/2006/main" r="X48" t="str" s="11">
        <x:v>https://yageogroup.com/content/datasheet/asset/file/UPY-GPHC_X7R_6_3V-TO-250V</x:v>
      </x:c>
      <x:c xmlns:x="http://schemas.openxmlformats.org/spreadsheetml/2006/main" r="Y48" t="str" s="11">
        <x:v>C:\Users\Nomatin\Documents\Altium\MY_LIB\MY_LIB\Datasheets\YAGEO_CC_X7R.pdf</x:v>
      </x:c>
      <ns0:c xmlns:ns0="http://schemas.openxmlformats.org/spreadsheetml/2006/main" r="Z48" s="11">
        <ns0:v>5.6e-07</ns0:v>
      </ns0:c>
      <ns0:c xmlns:ns0="http://schemas.openxmlformats.org/spreadsheetml/2006/main" r="AA48" s="11">
        <ns0:v>0.05</ns0:v>
      </ns0:c>
      <ns0:c xmlns:ns0="http://schemas.openxmlformats.org/spreadsheetml/2006/main" r="AB48" s="11">
        <ns0:v>1000</ns0:v>
      </ns0:c>
      <ns0:c xmlns:ns0="http://schemas.openxmlformats.org/spreadsheetml/2006/main" r="AC48" s="11">
        <ns0:v>1</ns0:v>
      </ns0:c>
      <ns0:c xmlns:ns0="http://schemas.openxmlformats.org/spreadsheetml/2006/main" r="AD48" s="11">
        <ns0:v>20</ns0:v>
      </ns0:c>
      <ns0:c xmlns:ns0="http://schemas.openxmlformats.org/spreadsheetml/2006/main" r="AE48" s="11">
        <ns0:v>500</ns0:v>
      </ns0:c>
      <ns0:c xmlns:ns0="http://schemas.openxmlformats.org/spreadsheetml/2006/main" r="AF48" s="11">
        <ns0:v>892857142.857143</ns0:v>
      </ns0:c>
      <ns0:c xmlns:ns0="http://schemas.openxmlformats.org/spreadsheetml/2006/main" r="AG48" s="11">
        <ns0:v>25</ns0:v>
      </ns0:c>
      <ns0:c xmlns:ns0="http://schemas.openxmlformats.org/spreadsheetml/2006/main" r="AH48" s="11">
        <ns0:v>60</ns0:v>
      </ns0:c>
      <ns0:c xmlns:ns0="http://schemas.openxmlformats.org/spreadsheetml/2006/main" r="AI48" s="11">
        <ns0:v>14.2102627760621</ns0:v>
      </ns0:c>
      <ns0:c xmlns:ns0="http://schemas.openxmlformats.org/spreadsheetml/2006/main" r="AJ48" s="11" t="inlineStr">
        <ns0:is>
          <ns0:t>MY_LIB_C_RC</ns0:t>
        </ns0:is>
      </ns0:c>
      <ns0:c xmlns:ns0="http://schemas.openxmlformats.org/spreadsheetml/2006/main" r="AK48" s="11" t="inlineStr">
        <ns0:is>
          <ns0:t>Nominal C; DFmax at 1kHz; minimum insulation; no temperature/bias/ESL</ns0:t>
        </ns0:is>
      </ns0:c>
      <ns0:c xmlns:ns0="http://schemas.openxmlformats.org/spreadsheetml/2006/main" r="AL48" s="11" t="inlineStr">
        <ns0:is>
          <ns0:t>General</ns0:t>
        </ns0:is>
      </ns0:c>
      <ns0:c xmlns:ns0="http://schemas.openxmlformats.org/spreadsheetml/2006/main" r="AM48" s="11" t="inlineStr">
        <ns0:is>
          <ns0:t>Spice Subcircuit</ns0:t>
        </ns0:is>
      </ns0:c>
      <ns0:c xmlns:ns0="http://schemas.openxmlformats.org/spreadsheetml/2006/main" r="AN48" s="11" t="inlineStr">
        <ns0:is>
          <ns0:t>@DESIGNATOR %1 %2 @MODEL PARAMS: Cvalue=5.6e-07 Rsvalue=14.2102627760621 Rinsvalue=892857142.857143</ns0:t>
        </ns0:is>
      </ns0:c>
      <ns0:c xmlns:ns0="http://schemas.openxmlformats.org/spreadsheetml/2006/main" r="AO48" s="11" t="inlineStr">
        <ns0:is>
          <ns0:t>X</ns0:t>
        </ns0:is>
      </ns0:c>
      <ns0:c xmlns:ns0="http://schemas.openxmlformats.org/spreadsheetml/2006/main" r="AP48" s="11" t="inlineStr">
        <ns0:is>
          <ns0:t>(1:1),(2:2)</ns0:t>
        </ns0:is>
      </ns0:c>
      <ns0:c xmlns:ns0="http://schemas.openxmlformats.org/spreadsheetml/2006/main" r="AQ48" s="11" t="inlineStr">
        <ns0:is>
          <ns0:t>Simulation\Capacitors\MY_LIB_C_RC.ckt</ns0:t>
        </ns0:is>
      </ns0:c>
    </ns0:row>
    <ns0:row r="49" ht="30" customHeight="1">
      <ns0:c r="A49" t="str" s="14">
        <ns0:v>C0050</ns0:v>
      </ns0:c>
      <ns0:c r="B49" t="str" s="14">
        <ns0:v>Конденсатор</ns0:v>
      </ns0:c>
      <ns0:c r="C49" t="str" s="14">
        <ns0:v>680n</ns0:v>
      </ns0:c>
      <ns0:c r="D49" t="str" s="11">
        <ns0:f>SUBSTITUTE(SUBSTITUTE(SUBSTITUTE(SUBSTITUTE(C49,"p"," пФ"),"n"," нФ"),"u"," мкФ"),".",",")</ns0:f>
        <ns0:v>680 нФ</ns0:v>
      </ns0:c>
      <ns0:c r="E49" t="str" s="14">
        <ns0:v>±5%</ns0:v>
      </ns0:c>
      <ns0:c r="F49" s="14"/>
      <ns0:c r="G49" t="str" s="14">
        <ns0:v>100 В</ns0:v>
      </ns0:c>
      <ns0:c r="H49" t="str" s="14">
        <ns0:v>X7R</ns0:v>
      </ns0:c>
      <ns0:c r="I49" t="str" s="15">
        <ns0:v>0805</ns0:v>
      </ns0:c>
      <ns0:c r="J49" t="str" s="14">
        <ns0:v>YAGEO</ns0:v>
      </ns0:c>
      <ns0:c r="K49" t="str" s="14">
        <ns0:v>CC0805JKX7R0BB684</ns0:v>
      </ns0:c>
      <ns0:c r="L49" t="str" s="11">
        <ns0:f>B49&amp;" "&amp;D49&amp;" "&amp;E49&amp;" "&amp;G49&amp;" "&amp;H49&amp;" "&amp;I49</ns0:f>
        <ns0:v>Конденсатор 680 нФ ±5% 100 В X7R 0805</ns0:v>
      </ns0:c>
      <ns0:c r="M49" t="str" s="13">
        <ns0:v>C</ns0:v>
      </ns0:c>
      <ns0:c r="N49" t="str" s="13">
        <ns0:v>Symbols\MY_LIB_Capacitors.SchLib</ns0:v>
      </ns0:c>
      <ns0:c r="O49" t="str" s="13">
        <ns0:v>CAPC2012X135N</ns0:v>
      </ns0:c>
      <ns0:c r="P49" t="str" s="13">
        <ns0:v>Footprints\PBL - SMD Packages.PcbLib</ns0:v>
      </ns0:c>
      <ns0:c r="Q49" t="str" s="14">
        <ns0:v>YAGEO CC; список 20.10.2026</ns0:v>
      </ns0:c>
      <ns0:c r="R49" t="str" s="11">
        <ns0:f>D49</ns0:f>
        <ns0:v>680 нФ</ns0:v>
      </ns0:c>
      <ns0:c r="S49" t="str" s="11">
        <ns0:f>L49</ns0:f>
        <ns0:v>Конденсатор 680 нФ ±5% 100 В X7R 0805</ns0:v>
      </ns0:c>
      <x:c xmlns:x="http://schemas.openxmlformats.org/spreadsheetml/2006/main" r="T49" t="str" s="11">
        <x:v>C:\Users\Nomatin\Documents\Altium\MY_LIB\MY_LIB\Datasheets\YAGEO_CC_X7R.pdf</x:v>
      </x:c>
      <x:c xmlns:x="http://schemas.openxmlformats.org/spreadsheetml/2006/main" r="U49" t="str" s="11">
        <x:v>Даташит — локальный</x:v>
      </x:c>
      <x:c xmlns:x="http://schemas.openxmlformats.org/spreadsheetml/2006/main" r="V49" t="str" s="11">
        <x:v>C:\Users\Nomatin\Documents\Altium\MY_LIB\MY_LIB\Datasheets\YAGEO_CC_X7R.pdf</x:v>
      </x:c>
      <x:c xmlns:x="http://schemas.openxmlformats.org/spreadsheetml/2006/main" r="W49" t="str" s="11">
        <x:v>Даташит — производитель</x:v>
      </x:c>
      <x:c xmlns:x="http://schemas.openxmlformats.org/spreadsheetml/2006/main" r="X49" t="str" s="11">
        <x:v>https://yageogroup.com/content/datasheet/asset/file/UPY-GPHC_X7R_6_3V-TO-250V</x:v>
      </x:c>
      <x:c xmlns:x="http://schemas.openxmlformats.org/spreadsheetml/2006/main" r="Y49" t="str" s="11">
        <x:v>C:\Users\Nomatin\Documents\Altium\MY_LIB\MY_LIB\Datasheets\YAGEO_CC_X7R.pdf</x:v>
      </x:c>
      <ns0:c xmlns:ns0="http://schemas.openxmlformats.org/spreadsheetml/2006/main" r="Z49" s="11">
        <ns0:v>6.8e-07</ns0:v>
      </ns0:c>
      <ns0:c xmlns:ns0="http://schemas.openxmlformats.org/spreadsheetml/2006/main" r="AA49" s="11">
        <ns0:v>0.05</ns0:v>
      </ns0:c>
      <ns0:c xmlns:ns0="http://schemas.openxmlformats.org/spreadsheetml/2006/main" r="AB49" s="11">
        <ns0:v>1000</ns0:v>
      </ns0:c>
      <ns0:c xmlns:ns0="http://schemas.openxmlformats.org/spreadsheetml/2006/main" r="AC49" s="11">
        <ns0:v>1</ns0:v>
      </ns0:c>
      <ns0:c xmlns:ns0="http://schemas.openxmlformats.org/spreadsheetml/2006/main" r="AD49" s="11">
        <ns0:v>20</ns0:v>
      </ns0:c>
      <ns0:c xmlns:ns0="http://schemas.openxmlformats.org/spreadsheetml/2006/main" r="AE49" s="11">
        <ns0:v>500</ns0:v>
      </ns0:c>
      <ns0:c xmlns:ns0="http://schemas.openxmlformats.org/spreadsheetml/2006/main" r="AF49" s="11">
        <ns0:v>735294117.647059</ns0:v>
      </ns0:c>
      <ns0:c xmlns:ns0="http://schemas.openxmlformats.org/spreadsheetml/2006/main" r="AG49" s="11">
        <ns0:v>100</ns0:v>
      </ns0:c>
      <ns0:c xmlns:ns0="http://schemas.openxmlformats.org/spreadsheetml/2006/main" r="AH49" s="11">
        <ns0:v>60</ns0:v>
      </ns0:c>
      <ns0:c xmlns:ns0="http://schemas.openxmlformats.org/spreadsheetml/2006/main" r="AI49" s="11">
        <ns0:v>11.7025693449923</ns0:v>
      </ns0:c>
      <ns0:c xmlns:ns0="http://schemas.openxmlformats.org/spreadsheetml/2006/main" r="AJ49" s="11" t="inlineStr">
        <ns0:is>
          <ns0:t>MY_LIB_C_RC</ns0:t>
        </ns0:is>
      </ns0:c>
      <ns0:c xmlns:ns0="http://schemas.openxmlformats.org/spreadsheetml/2006/main" r="AK49" s="11" t="inlineStr">
        <ns0:is>
          <ns0:t>Nominal C; DFmax at 1kHz; minimum insulation; no temperature/bias/ESL</ns0:t>
        </ns0:is>
      </ns0:c>
      <ns0:c xmlns:ns0="http://schemas.openxmlformats.org/spreadsheetml/2006/main" r="AL49" s="11" t="inlineStr">
        <ns0:is>
          <ns0:t>General</ns0:t>
        </ns0:is>
      </ns0:c>
      <ns0:c xmlns:ns0="http://schemas.openxmlformats.org/spreadsheetml/2006/main" r="AM49" s="11" t="inlineStr">
        <ns0:is>
          <ns0:t>Spice Subcircuit</ns0:t>
        </ns0:is>
      </ns0:c>
      <ns0:c xmlns:ns0="http://schemas.openxmlformats.org/spreadsheetml/2006/main" r="AN49" s="11" t="inlineStr">
        <ns0:is>
          <ns0:t>@DESIGNATOR %1 %2 @MODEL PARAMS: Cvalue=6.8e-07 Rsvalue=11.7025693449923 Rinsvalue=735294117.647059</ns0:t>
        </ns0:is>
      </ns0:c>
      <ns0:c xmlns:ns0="http://schemas.openxmlformats.org/spreadsheetml/2006/main" r="AO49" s="11" t="inlineStr">
        <ns0:is>
          <ns0:t>X</ns0:t>
        </ns0:is>
      </ns0:c>
      <ns0:c xmlns:ns0="http://schemas.openxmlformats.org/spreadsheetml/2006/main" r="AP49" s="11" t="inlineStr">
        <ns0:is>
          <ns0:t>(1:1),(2:2)</ns0:t>
        </ns0:is>
      </ns0:c>
      <ns0:c xmlns:ns0="http://schemas.openxmlformats.org/spreadsheetml/2006/main" r="AQ49" s="11" t="inlineStr">
        <ns0:is>
          <ns0:t>Simulation\Capacitors\MY_LIB_C_RC.ckt</ns0:t>
        </ns0:is>
      </ns0:c>
    </ns0:row>
    <ns0:row r="50" ht="30" customHeight="1">
      <ns0:c r="A50" t="str" s="14">
        <ns0:v>C0051</ns0:v>
      </ns0:c>
      <ns0:c r="B50" t="str" s="14">
        <ns0:v>Конденсатор</ns0:v>
      </ns0:c>
      <ns0:c r="C50" t="str" s="14">
        <ns0:v>1u</ns0:v>
      </ns0:c>
      <ns0:c r="D50" t="str" s="11">
        <ns0:f>SUBSTITUTE(SUBSTITUTE(SUBSTITUTE(SUBSTITUTE(C50,"p"," пФ"),"n"," нФ"),"u"," мкФ"),".",",")</ns0:f>
        <ns0:v>1 мкФ</ns0:v>
      </ns0:c>
      <ns0:c r="E50" t="str" s="14">
        <ns0:v>±5%</ns0:v>
      </ns0:c>
      <ns0:c r="F50" s="14"/>
      <ns0:c r="G50" t="str" s="14">
        <ns0:v>100 В</ns0:v>
      </ns0:c>
      <ns0:c r="H50" t="str" s="14">
        <ns0:v>X7R</ns0:v>
      </ns0:c>
      <ns0:c r="I50" t="str" s="15">
        <ns0:v>0805</ns0:v>
      </ns0:c>
      <ns0:c r="J50" t="str" s="14">
        <ns0:v>YAGEO</ns0:v>
      </ns0:c>
      <ns0:c r="K50" t="str" s="14">
        <ns0:v>CC0805JKX7R0BB105</ns0:v>
      </ns0:c>
      <ns0:c r="L50" t="str" s="11">
        <ns0:f>B50&amp;" "&amp;D50&amp;" "&amp;E50&amp;" "&amp;G50&amp;" "&amp;H50&amp;" "&amp;I50</ns0:f>
        <ns0:v>Конденсатор 1 мкФ ±5% 100 В X7R 0805</ns0:v>
      </ns0:c>
      <ns0:c r="M50" t="str" s="13">
        <ns0:v>C</ns0:v>
      </ns0:c>
      <ns0:c r="N50" t="str" s="13">
        <ns0:v>Symbols\MY_LIB_Capacitors.SchLib</ns0:v>
      </ns0:c>
      <ns0:c r="O50" t="str" s="13">
        <ns0:v>CAPC2012X135N</ns0:v>
      </ns0:c>
      <ns0:c r="P50" t="str" s="13">
        <ns0:v>Footprints\PBL - SMD Packages.PcbLib</ns0:v>
      </ns0:c>
      <ns0:c r="Q50" t="str" s="14">
        <ns0:v>YAGEO CC; список 20.10.2026</ns0:v>
      </ns0:c>
      <ns0:c r="R50" t="str" s="11">
        <ns0:f>D50</ns0:f>
        <ns0:v>1 мкФ</ns0:v>
      </ns0:c>
      <ns0:c r="S50" t="str" s="11">
        <ns0:f>L50</ns0:f>
        <ns0:v>Конденсатор 1 мкФ ±5% 100 В X7R 0805</ns0:v>
      </ns0:c>
      <x:c xmlns:x="http://schemas.openxmlformats.org/spreadsheetml/2006/main" r="T50" t="str" s="11">
        <x:v>C:\Users\Nomatin\Documents\Altium\MY_LIB\MY_LIB\Datasheets\YAGEO_CC_X7R.pdf</x:v>
      </x:c>
      <x:c xmlns:x="http://schemas.openxmlformats.org/spreadsheetml/2006/main" r="U50" t="str" s="11">
        <x:v>Даташит — локальный</x:v>
      </x:c>
      <x:c xmlns:x="http://schemas.openxmlformats.org/spreadsheetml/2006/main" r="V50" t="str" s="11">
        <x:v>C:\Users\Nomatin\Documents\Altium\MY_LIB\MY_LIB\Datasheets\YAGEO_CC_X7R.pdf</x:v>
      </x:c>
      <x:c xmlns:x="http://schemas.openxmlformats.org/spreadsheetml/2006/main" r="W50" t="str" s="11">
        <x:v>Даташит — производитель</x:v>
      </x:c>
      <x:c xmlns:x="http://schemas.openxmlformats.org/spreadsheetml/2006/main" r="X50" t="str" s="11">
        <x:v>https://yageogroup.com/content/datasheet/asset/file/UPY-GPHC_X7R_6_3V-TO-250V</x:v>
      </x:c>
      <x:c xmlns:x="http://schemas.openxmlformats.org/spreadsheetml/2006/main" r="Y50" t="str" s="11">
        <x:v>C:\Users\Nomatin\Documents\Altium\MY_LIB\MY_LIB\Datasheets\YAGEO_CC_X7R.pdf</x:v>
      </x:c>
      <ns0:c xmlns:ns0="http://schemas.openxmlformats.org/spreadsheetml/2006/main" r="Z50" s="11">
        <ns0:v>1e-06</ns0:v>
      </ns0:c>
      <ns0:c xmlns:ns0="http://schemas.openxmlformats.org/spreadsheetml/2006/main" r="AA50" s="11">
        <ns0:v>0.05</ns0:v>
      </ns0:c>
      <ns0:c xmlns:ns0="http://schemas.openxmlformats.org/spreadsheetml/2006/main" r="AB50" s="11">
        <ns0:v>1000</ns0:v>
      </ns0:c>
      <ns0:c xmlns:ns0="http://schemas.openxmlformats.org/spreadsheetml/2006/main" r="AC50" s="11">
        <ns0:v>1</ns0:v>
      </ns0:c>
      <ns0:c xmlns:ns0="http://schemas.openxmlformats.org/spreadsheetml/2006/main" r="AD50" s="11">
        <ns0:v>20</ns0:v>
      </ns0:c>
      <ns0:c xmlns:ns0="http://schemas.openxmlformats.org/spreadsheetml/2006/main" r="AE50" s="11">
        <ns0:v>500</ns0:v>
      </ns0:c>
      <ns0:c xmlns:ns0="http://schemas.openxmlformats.org/spreadsheetml/2006/main" r="AF50" s="11">
        <ns0:v>500000000</ns0:v>
      </ns0:c>
      <ns0:c xmlns:ns0="http://schemas.openxmlformats.org/spreadsheetml/2006/main" r="AG50" s="11">
        <ns0:v>100</ns0:v>
      </ns0:c>
      <ns0:c xmlns:ns0="http://schemas.openxmlformats.org/spreadsheetml/2006/main" r="AH50" s="11">
        <ns0:v>60</ns0:v>
      </ns0:c>
      <ns0:c xmlns:ns0="http://schemas.openxmlformats.org/spreadsheetml/2006/main" r="AI50" s="11">
        <ns0:v>7.95774715459477</ns0:v>
      </ns0:c>
      <ns0:c xmlns:ns0="http://schemas.openxmlformats.org/spreadsheetml/2006/main" r="AJ50" s="11" t="inlineStr">
        <ns0:is>
          <ns0:t>MY_LIB_C_RC</ns0:t>
        </ns0:is>
      </ns0:c>
      <ns0:c xmlns:ns0="http://schemas.openxmlformats.org/spreadsheetml/2006/main" r="AK50" s="11" t="inlineStr">
        <ns0:is>
          <ns0:t>Nominal C; DFmax at 1kHz; minimum insulation; no temperature/bias/ESL</ns0:t>
        </ns0:is>
      </ns0:c>
      <ns0:c xmlns:ns0="http://schemas.openxmlformats.org/spreadsheetml/2006/main" r="AL50" s="11" t="inlineStr">
        <ns0:is>
          <ns0:t>General</ns0:t>
        </ns0:is>
      </ns0:c>
      <ns0:c xmlns:ns0="http://schemas.openxmlformats.org/spreadsheetml/2006/main" r="AM50" s="11" t="inlineStr">
        <ns0:is>
          <ns0:t>Spice Subcircuit</ns0:t>
        </ns0:is>
      </ns0:c>
      <ns0:c xmlns:ns0="http://schemas.openxmlformats.org/spreadsheetml/2006/main" r="AN50" s="11" t="inlineStr">
        <ns0:is>
          <ns0:t>@DESIGNATOR %1 %2 @MODEL PARAMS: Cvalue=1e-06 Rsvalue=7.95774715459477 Rinsvalue=500000000</ns0:t>
        </ns0:is>
      </ns0:c>
      <ns0:c xmlns:ns0="http://schemas.openxmlformats.org/spreadsheetml/2006/main" r="AO50" s="11" t="inlineStr">
        <ns0:is>
          <ns0:t>X</ns0:t>
        </ns0:is>
      </ns0:c>
      <ns0:c xmlns:ns0="http://schemas.openxmlformats.org/spreadsheetml/2006/main" r="AP50" s="11" t="inlineStr">
        <ns0:is>
          <ns0:t>(1:1),(2:2)</ns0:t>
        </ns0:is>
      </ns0:c>
      <ns0:c xmlns:ns0="http://schemas.openxmlformats.org/spreadsheetml/2006/main" r="AQ50" s="11" t="inlineStr">
        <ns0:is>
          <ns0:t>Simulation\Capacitors\MY_LIB_C_RC.ckt</ns0:t>
        </ns0:is>
      </ns0:c>
    </ns0:row>
    <ns0:row r="51" ht="30" customHeight="1">
      <ns0:c r="A51" t="str" s="14">
        <ns0:v>C0052</ns0:v>
      </ns0:c>
      <ns0:c r="B51" t="str" s="14">
        <ns0:v>Конденсатор</ns0:v>
      </ns0:c>
      <ns0:c r="C51" t="str" s="14">
        <ns0:v>2.2u</ns0:v>
      </ns0:c>
      <ns0:c r="D51" t="str" s="11">
        <ns0:f>SUBSTITUTE(SUBSTITUTE(SUBSTITUTE(SUBSTITUTE(C51,"p"," пФ"),"n"," нФ"),"u"," мкФ"),".",",")</ns0:f>
        <ns0:v>2,2 мкФ</ns0:v>
      </ns0:c>
      <ns0:c r="E51" t="str" s="14">
        <ns0:v>±5%</ns0:v>
      </ns0:c>
      <ns0:c r="F51" s="14"/>
      <ns0:c r="G51" t="str" s="14">
        <ns0:v>50 В</ns0:v>
      </ns0:c>
      <ns0:c r="H51" t="str" s="14">
        <ns0:v>X7R</ns0:v>
      </ns0:c>
      <ns0:c r="I51" t="str" s="15">
        <ns0:v>0805</ns0:v>
      </ns0:c>
      <ns0:c r="J51" t="str" s="14">
        <ns0:v>YAGEO</ns0:v>
      </ns0:c>
      <ns0:c r="K51" t="str" s="14">
        <ns0:v>CC0805JKX7R9BB225</ns0:v>
      </ns0:c>
      <ns0:c r="L51" t="str" s="11">
        <ns0:f>B51&amp;" "&amp;D51&amp;" "&amp;E51&amp;" "&amp;G51&amp;" "&amp;H51&amp;" "&amp;I51</ns0:f>
        <ns0:v>Конденсатор 2,2 мкФ ±5% 50 В X7R 0805</ns0:v>
      </ns0:c>
      <ns0:c r="M51" t="str" s="13">
        <ns0:v>C</ns0:v>
      </ns0:c>
      <ns0:c r="N51" t="str" s="13">
        <ns0:v>Symbols\MY_LIB_Capacitors.SchLib</ns0:v>
      </ns0:c>
      <ns0:c r="O51" t="str" s="13">
        <ns0:v>CAPC2012X135N</ns0:v>
      </ns0:c>
      <ns0:c r="P51" t="str" s="13">
        <ns0:v>Footprints\PBL - SMD Packages.PcbLib</ns0:v>
      </ns0:c>
      <ns0:c r="Q51" t="str" s="14">
        <ns0:v>YAGEO CC; список 20.10.2026</ns0:v>
      </ns0:c>
      <ns0:c r="R51" t="str" s="11">
        <ns0:f>D51</ns0:f>
        <ns0:v>2,2 мкФ</ns0:v>
      </ns0:c>
      <ns0:c r="S51" t="str" s="11">
        <ns0:f>L51</ns0:f>
        <ns0:v>Конденсатор 2,2 мкФ ±5% 50 В X7R 0805</ns0:v>
      </ns0:c>
      <x:c xmlns:x="http://schemas.openxmlformats.org/spreadsheetml/2006/main" r="T51" t="str" s="11">
        <x:v>C:\Users\Nomatin\Documents\Altium\MY_LIB\MY_LIB\Datasheets\YAGEO_CC_X7R.pdf</x:v>
      </x:c>
      <x:c xmlns:x="http://schemas.openxmlformats.org/spreadsheetml/2006/main" r="U51" t="str" s="11">
        <x:v>Даташит — локальный</x:v>
      </x:c>
      <x:c xmlns:x="http://schemas.openxmlformats.org/spreadsheetml/2006/main" r="V51" t="str" s="11">
        <x:v>C:\Users\Nomatin\Documents\Altium\MY_LIB\MY_LIB\Datasheets\YAGEO_CC_X7R.pdf</x:v>
      </x:c>
      <x:c xmlns:x="http://schemas.openxmlformats.org/spreadsheetml/2006/main" r="W51" t="str" s="11">
        <x:v>Даташит — производитель</x:v>
      </x:c>
      <x:c xmlns:x="http://schemas.openxmlformats.org/spreadsheetml/2006/main" r="X51" t="str" s="11">
        <x:v>https://yageogroup.com/content/datasheet/asset/file/UPY-GPHC_X7R_6_3V-TO-250V</x:v>
      </x:c>
      <x:c xmlns:x="http://schemas.openxmlformats.org/spreadsheetml/2006/main" r="Y51" t="str" s="11">
        <x:v>C:\Users\Nomatin\Documents\Altium\MY_LIB\MY_LIB\Datasheets\YAGEO_CC_X7R.pdf</x:v>
      </x:c>
      <ns0:c xmlns:ns0="http://schemas.openxmlformats.org/spreadsheetml/2006/main" r="Z51" s="11">
        <ns0:v>2.2e-06</ns0:v>
      </ns0:c>
      <ns0:c xmlns:ns0="http://schemas.openxmlformats.org/spreadsheetml/2006/main" r="AA51" s="11">
        <ns0:v>0.1</ns0:v>
      </ns0:c>
      <ns0:c xmlns:ns0="http://schemas.openxmlformats.org/spreadsheetml/2006/main" r="AB51" s="11">
        <ns0:v>1000</ns0:v>
      </ns0:c>
      <ns0:c xmlns:ns0="http://schemas.openxmlformats.org/spreadsheetml/2006/main" r="AC51" s="11">
        <ns0:v>1</ns0:v>
      </ns0:c>
      <ns0:c xmlns:ns0="http://schemas.openxmlformats.org/spreadsheetml/2006/main" r="AD51" s="11">
        <ns0:v>20</ns0:v>
      </ns0:c>
      <ns0:c xmlns:ns0="http://schemas.openxmlformats.org/spreadsheetml/2006/main" r="AE51" s="11">
        <ns0:v>100</ns0:v>
      </ns0:c>
      <ns0:c xmlns:ns0="http://schemas.openxmlformats.org/spreadsheetml/2006/main" r="AF51" s="11">
        <ns0:v>45454545.4545455</ns0:v>
      </ns0:c>
      <ns0:c xmlns:ns0="http://schemas.openxmlformats.org/spreadsheetml/2006/main" r="AG51" s="11">
        <ns0:v>50</ns0:v>
      </ns0:c>
      <ns0:c xmlns:ns0="http://schemas.openxmlformats.org/spreadsheetml/2006/main" r="AH51" s="11">
        <ns0:v>60</ns0:v>
      </ns0:c>
      <ns0:c xmlns:ns0="http://schemas.openxmlformats.org/spreadsheetml/2006/main" r="AI51" s="11">
        <ns0:v>7.23431559508615</ns0:v>
      </ns0:c>
      <ns0:c xmlns:ns0="http://schemas.openxmlformats.org/spreadsheetml/2006/main" r="AJ51" s="11" t="inlineStr">
        <ns0:is>
          <ns0:t>MY_LIB_C_RC</ns0:t>
        </ns0:is>
      </ns0:c>
      <ns0:c xmlns:ns0="http://schemas.openxmlformats.org/spreadsheetml/2006/main" r="AK51" s="11" t="inlineStr">
        <ns0:is>
          <ns0:t>Nominal C; DFmax at 1kHz; minimum insulation; no temperature/bias/ESL</ns0:t>
        </ns0:is>
      </ns0:c>
      <ns0:c xmlns:ns0="http://schemas.openxmlformats.org/spreadsheetml/2006/main" r="AL51" s="11" t="inlineStr">
        <ns0:is>
          <ns0:t>General</ns0:t>
        </ns0:is>
      </ns0:c>
      <ns0:c xmlns:ns0="http://schemas.openxmlformats.org/spreadsheetml/2006/main" r="AM51" s="11" t="inlineStr">
        <ns0:is>
          <ns0:t>Spice Subcircuit</ns0:t>
        </ns0:is>
      </ns0:c>
      <ns0:c xmlns:ns0="http://schemas.openxmlformats.org/spreadsheetml/2006/main" r="AN51" s="11" t="inlineStr">
        <ns0:is>
          <ns0:t>@DESIGNATOR %1 %2 @MODEL PARAMS: Cvalue=2.2e-06 Rsvalue=7.23431559508615 Rinsvalue=45454545.4545455</ns0:t>
        </ns0:is>
      </ns0:c>
      <ns0:c xmlns:ns0="http://schemas.openxmlformats.org/spreadsheetml/2006/main" r="AO51" s="11" t="inlineStr">
        <ns0:is>
          <ns0:t>X</ns0:t>
        </ns0:is>
      </ns0:c>
      <ns0:c xmlns:ns0="http://schemas.openxmlformats.org/spreadsheetml/2006/main" r="AP51" s="11" t="inlineStr">
        <ns0:is>
          <ns0:t>(1:1),(2:2)</ns0:t>
        </ns0:is>
      </ns0:c>
      <ns0:c xmlns:ns0="http://schemas.openxmlformats.org/spreadsheetml/2006/main" r="AQ51" s="11" t="inlineStr">
        <ns0:is>
          <ns0:t>Simulation\Capacitors\MY_LIB_C_RC.ckt</ns0:t>
        </ns0:is>
      </ns0:c>
    </ns0:row>
    <ns0:row r="52" ht="30" customHeight="1">
      <ns0:c r="A52" t="str" s="14">
        <ns0:v>C0053</ns0:v>
      </ns0:c>
      <ns0:c r="B52" t="str" s="14">
        <ns0:v>Конденсатор</ns0:v>
      </ns0:c>
      <ns0:c r="C52" t="str" s="14">
        <ns0:v>100p</ns0:v>
      </ns0:c>
      <ns0:c r="D52" t="str" s="11">
        <ns0:f>SUBSTITUTE(SUBSTITUTE(SUBSTITUTE(SUBSTITUTE(C52,"p"," пФ"),"n"," нФ"),"u"," мкФ"),".",",")</ns0:f>
        <ns0:v>100 пФ</ns0:v>
      </ns0:c>
      <ns0:c r="E52" t="str" s="14">
        <ns0:v>±10%</ns0:v>
      </ns0:c>
      <ns0:c r="F52" s="14"/>
      <ns0:c r="G52" t="str" s="14">
        <ns0:v>100 В</ns0:v>
      </ns0:c>
      <ns0:c r="H52" t="str" s="14">
        <ns0:v>X7R</ns0:v>
      </ns0:c>
      <ns0:c r="I52" t="str" s="15">
        <ns0:v>0805</ns0:v>
      </ns0:c>
      <ns0:c r="J52" t="str" s="14">
        <ns0:v>YAGEO</ns0:v>
      </ns0:c>
      <ns0:c r="K52" t="str" s="14">
        <ns0:v>CC0805KRX7R0BB101</ns0:v>
      </ns0:c>
      <ns0:c r="L52" t="str" s="11">
        <ns0:f>B52&amp;" "&amp;D52&amp;" "&amp;E52&amp;" "&amp;G52&amp;" "&amp;H52&amp;" "&amp;I52</ns0:f>
        <ns0:v>Конденсатор 100 пФ ±10% 100 В X7R 0805</ns0:v>
      </ns0:c>
      <ns0:c r="M52" t="str" s="13">
        <ns0:v>C</ns0:v>
      </ns0:c>
      <ns0:c r="N52" t="str" s="13">
        <ns0:v>Symbols\MY_LIB_Capacitors.SchLib</ns0:v>
      </ns0:c>
      <ns0:c r="O52" t="str" s="13">
        <ns0:v>CAPC2012X135N</ns0:v>
      </ns0:c>
      <ns0:c r="P52" t="str" s="13">
        <ns0:v>Footprints\PBL - SMD Packages.PcbLib</ns0:v>
      </ns0:c>
      <ns0:c r="Q52" t="str" s="14">
        <ns0:v>YAGEO CC; список 20.10.2026</ns0:v>
      </ns0:c>
      <ns0:c r="R52" t="str" s="11">
        <ns0:f>D52</ns0:f>
        <ns0:v>100 пФ</ns0:v>
      </ns0:c>
      <ns0:c r="S52" t="str" s="11">
        <ns0:f>L52</ns0:f>
        <ns0:v>Конденсатор 100 пФ ±10% 100 В X7R 0805</ns0:v>
      </ns0:c>
      <x:c xmlns:x="http://schemas.openxmlformats.org/spreadsheetml/2006/main" r="T52" t="str" s="11">
        <x:v>C:\Users\Nomatin\Documents\Altium\MY_LIB\MY_LIB\Datasheets\YAGEO_CC_X7R.pdf</x:v>
      </x:c>
      <x:c xmlns:x="http://schemas.openxmlformats.org/spreadsheetml/2006/main" r="U52" t="str" s="11">
        <x:v>Даташит — локальный</x:v>
      </x:c>
      <x:c xmlns:x="http://schemas.openxmlformats.org/spreadsheetml/2006/main" r="V52" t="str" s="11">
        <x:v>C:\Users\Nomatin\Documents\Altium\MY_LIB\MY_LIB\Datasheets\YAGEO_CC_X7R.pdf</x:v>
      </x:c>
      <x:c xmlns:x="http://schemas.openxmlformats.org/spreadsheetml/2006/main" r="W52" t="str" s="11">
        <x:v>Даташит — производитель</x:v>
      </x:c>
      <x:c xmlns:x="http://schemas.openxmlformats.org/spreadsheetml/2006/main" r="X52" t="str" s="11">
        <x:v>https://yageogroup.com/content/datasheet/asset/file/UPY-GPHC_X7R_6_3V-TO-250V</x:v>
      </x:c>
      <x:c xmlns:x="http://schemas.openxmlformats.org/spreadsheetml/2006/main" r="Y52" t="str" s="11">
        <x:v>C:\Users\Nomatin\Documents\Altium\MY_LIB\MY_LIB\Datasheets\YAGEO_CC_X7R.pdf</x:v>
      </x:c>
      <ns0:c xmlns:ns0="http://schemas.openxmlformats.org/spreadsheetml/2006/main" r="Z52" s="11">
        <ns0:v>1e-10</ns0:v>
      </ns0:c>
      <ns0:c xmlns:ns0="http://schemas.openxmlformats.org/spreadsheetml/2006/main" r="AA52" s="11">
        <ns0:v>0.025</ns0:v>
      </ns0:c>
      <ns0:c xmlns:ns0="http://schemas.openxmlformats.org/spreadsheetml/2006/main" r="AB52" s="11">
        <ns0:v>1000</ns0:v>
      </ns0:c>
      <ns0:c xmlns:ns0="http://schemas.openxmlformats.org/spreadsheetml/2006/main" r="AC52" s="11">
        <ns0:v>1</ns0:v>
      </ns0:c>
      <ns0:c xmlns:ns0="http://schemas.openxmlformats.org/spreadsheetml/2006/main" r="AD52" s="11">
        <ns0:v>20</ns0:v>
      </ns0:c>
      <ns0:c xmlns:ns0="http://schemas.openxmlformats.org/spreadsheetml/2006/main" r="AE52" s="11">
        <ns0:v>500</ns0:v>
      </ns0:c>
      <ns0:c xmlns:ns0="http://schemas.openxmlformats.org/spreadsheetml/2006/main" r="AF52" s="11">
        <ns0:v>10000000000</ns0:v>
      </ns0:c>
      <ns0:c xmlns:ns0="http://schemas.openxmlformats.org/spreadsheetml/2006/main" r="AG52" s="11">
        <ns0:v>100</ns0:v>
      </ns0:c>
      <ns0:c xmlns:ns0="http://schemas.openxmlformats.org/spreadsheetml/2006/main" r="AH52" s="11">
        <ns0:v>60</ns0:v>
      </ns0:c>
      <ns0:c xmlns:ns0="http://schemas.openxmlformats.org/spreadsheetml/2006/main" r="AI52" s="11">
        <ns0:v>39788.7357729738</ns0:v>
      </ns0:c>
      <ns0:c xmlns:ns0="http://schemas.openxmlformats.org/spreadsheetml/2006/main" r="AJ52" s="11" t="inlineStr">
        <ns0:is>
          <ns0:t>MY_LIB_C_RC</ns0:t>
        </ns0:is>
      </ns0:c>
      <ns0:c xmlns:ns0="http://schemas.openxmlformats.org/spreadsheetml/2006/main" r="AK52" s="11" t="inlineStr">
        <ns0:is>
          <ns0:t>Nominal C; DFmax at 1kHz; minimum insulation; no temperature/bias/ESL</ns0:t>
        </ns0:is>
      </ns0:c>
      <ns0:c xmlns:ns0="http://schemas.openxmlformats.org/spreadsheetml/2006/main" r="AL52" s="11" t="inlineStr">
        <ns0:is>
          <ns0:t>General</ns0:t>
        </ns0:is>
      </ns0:c>
      <ns0:c xmlns:ns0="http://schemas.openxmlformats.org/spreadsheetml/2006/main" r="AM52" s="11" t="inlineStr">
        <ns0:is>
          <ns0:t>Spice Subcircuit</ns0:t>
        </ns0:is>
      </ns0:c>
      <ns0:c xmlns:ns0="http://schemas.openxmlformats.org/spreadsheetml/2006/main" r="AN52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52" s="11" t="inlineStr">
        <ns0:is>
          <ns0:t>X</ns0:t>
        </ns0:is>
      </ns0:c>
      <ns0:c xmlns:ns0="http://schemas.openxmlformats.org/spreadsheetml/2006/main" r="AP52" s="11" t="inlineStr">
        <ns0:is>
          <ns0:t>(1:1),(2:2)</ns0:t>
        </ns0:is>
      </ns0:c>
      <ns0:c xmlns:ns0="http://schemas.openxmlformats.org/spreadsheetml/2006/main" r="AQ52" s="11" t="inlineStr">
        <ns0:is>
          <ns0:t>Simulation\Capacitors\MY_LIB_C_RC.ckt</ns0:t>
        </ns0:is>
      </ns0:c>
    </ns0:row>
    <ns0:row r="53" ht="30" customHeight="1">
      <ns0:c r="A53" t="str" s="14">
        <ns0:v>C0054</ns0:v>
      </ns0:c>
      <ns0:c r="B53" t="str" s="14">
        <ns0:v>Конденсатор</ns0:v>
      </ns0:c>
      <ns0:c r="C53" t="str" s="14">
        <ns0:v>120p</ns0:v>
      </ns0:c>
      <ns0:c r="D53" t="str" s="11">
        <ns0:f>SUBSTITUTE(SUBSTITUTE(SUBSTITUTE(SUBSTITUTE(C53,"p"," пФ"),"n"," нФ"),"u"," мкФ"),".",",")</ns0:f>
        <ns0:v>120 пФ</ns0:v>
      </ns0:c>
      <ns0:c r="E53" t="str" s="14">
        <ns0:v>±10%</ns0:v>
      </ns0:c>
      <ns0:c r="F53" s="14"/>
      <ns0:c r="G53" t="str" s="14">
        <ns0:v>25 В</ns0:v>
      </ns0:c>
      <ns0:c r="H53" t="str" s="14">
        <ns0:v>X7R</ns0:v>
      </ns0:c>
      <ns0:c r="I53" t="str" s="15">
        <ns0:v>0805</ns0:v>
      </ns0:c>
      <ns0:c r="J53" t="str" s="14">
        <ns0:v>YAGEO</ns0:v>
      </ns0:c>
      <ns0:c r="K53" t="str" s="14">
        <ns0:v>CC0805KRX7R8BB121</ns0:v>
      </ns0:c>
      <ns0:c r="L53" t="str" s="11">
        <ns0:f>B53&amp;" "&amp;D53&amp;" "&amp;E53&amp;" "&amp;G53&amp;" "&amp;H53&amp;" "&amp;I53</ns0:f>
        <ns0:v>Конденсатор 120 пФ ±10% 25 В X7R 0805</ns0:v>
      </ns0:c>
      <ns0:c r="M53" t="str" s="13">
        <ns0:v>C</ns0:v>
      </ns0:c>
      <ns0:c r="N53" t="str" s="13">
        <ns0:v>Symbols\MY_LIB_Capacitors.SchLib</ns0:v>
      </ns0:c>
      <ns0:c r="O53" t="str" s="13">
        <ns0:v>CAPC2012X135N</ns0:v>
      </ns0:c>
      <ns0:c r="P53" t="str" s="13">
        <ns0:v>Footprints\PBL - SMD Packages.PcbLib</ns0:v>
      </ns0:c>
      <ns0:c r="Q53" t="str" s="14">
        <ns0:v>YAGEO CC; список 20.10.2026</ns0:v>
      </ns0:c>
      <ns0:c r="R53" t="str" s="11">
        <ns0:f>D53</ns0:f>
        <ns0:v>120 пФ</ns0:v>
      </ns0:c>
      <ns0:c r="S53" t="str" s="11">
        <ns0:f>L53</ns0:f>
        <ns0:v>Конденсатор 120 пФ ±10% 25 В X7R 0805</ns0:v>
      </ns0:c>
      <x:c xmlns:x="http://schemas.openxmlformats.org/spreadsheetml/2006/main" r="T53" t="str" s="11">
        <x:v>C:\Users\Nomatin\Documents\Altium\MY_LIB\MY_LIB\Datasheets\YAGEO_CC_X7R.pdf</x:v>
      </x:c>
      <x:c xmlns:x="http://schemas.openxmlformats.org/spreadsheetml/2006/main" r="U53" t="str" s="11">
        <x:v>Даташит — локальный</x:v>
      </x:c>
      <x:c xmlns:x="http://schemas.openxmlformats.org/spreadsheetml/2006/main" r="V53" t="str" s="11">
        <x:v>C:\Users\Nomatin\Documents\Altium\MY_LIB\MY_LIB\Datasheets\YAGEO_CC_X7R.pdf</x:v>
      </x:c>
      <x:c xmlns:x="http://schemas.openxmlformats.org/spreadsheetml/2006/main" r="W53" t="str" s="11">
        <x:v>Даташит — производитель</x:v>
      </x:c>
      <x:c xmlns:x="http://schemas.openxmlformats.org/spreadsheetml/2006/main" r="X53" t="str" s="11">
        <x:v>https://yageogroup.com/content/datasheet/asset/file/UPY-GPHC_X7R_6_3V-TO-250V</x:v>
      </x:c>
      <x:c xmlns:x="http://schemas.openxmlformats.org/spreadsheetml/2006/main" r="Y53" t="str" s="11">
        <x:v>C:\Users\Nomatin\Documents\Altium\MY_LIB\MY_LIB\Datasheets\YAGEO_CC_X7R.pdf</x:v>
      </x:c>
      <ns0:c xmlns:ns0="http://schemas.openxmlformats.org/spreadsheetml/2006/main" r="Z53" s="11">
        <ns0:v>1.2e-10</ns0:v>
      </ns0:c>
      <ns0:c xmlns:ns0="http://schemas.openxmlformats.org/spreadsheetml/2006/main" r="AA53" s="11">
        <ns0:v>0.025</ns0:v>
      </ns0:c>
      <ns0:c xmlns:ns0="http://schemas.openxmlformats.org/spreadsheetml/2006/main" r="AB53" s="11">
        <ns0:v>1000</ns0:v>
      </ns0:c>
      <ns0:c xmlns:ns0="http://schemas.openxmlformats.org/spreadsheetml/2006/main" r="AC53" s="11">
        <ns0:v>1</ns0:v>
      </ns0:c>
      <ns0:c xmlns:ns0="http://schemas.openxmlformats.org/spreadsheetml/2006/main" r="AD53" s="11">
        <ns0:v>20</ns0:v>
      </ns0:c>
      <ns0:c xmlns:ns0="http://schemas.openxmlformats.org/spreadsheetml/2006/main" r="AE53" s="11">
        <ns0:v>500</ns0:v>
      </ns0:c>
      <ns0:c xmlns:ns0="http://schemas.openxmlformats.org/spreadsheetml/2006/main" r="AF53" s="11">
        <ns0:v>10000000000</ns0:v>
      </ns0:c>
      <ns0:c xmlns:ns0="http://schemas.openxmlformats.org/spreadsheetml/2006/main" r="AG53" s="11">
        <ns0:v>25</ns0:v>
      </ns0:c>
      <ns0:c xmlns:ns0="http://schemas.openxmlformats.org/spreadsheetml/2006/main" r="AH53" s="11">
        <ns0:v>60</ns0:v>
      </ns0:c>
      <ns0:c xmlns:ns0="http://schemas.openxmlformats.org/spreadsheetml/2006/main" r="AI53" s="11">
        <ns0:v>33157.2798108115</ns0:v>
      </ns0:c>
      <ns0:c xmlns:ns0="http://schemas.openxmlformats.org/spreadsheetml/2006/main" r="AJ53" s="11" t="inlineStr">
        <ns0:is>
          <ns0:t>MY_LIB_C_RC</ns0:t>
        </ns0:is>
      </ns0:c>
      <ns0:c xmlns:ns0="http://schemas.openxmlformats.org/spreadsheetml/2006/main" r="AK53" s="11" t="inlineStr">
        <ns0:is>
          <ns0:t>Nominal C; DFmax at 1kHz; minimum insulation; no temperature/bias/ESL</ns0:t>
        </ns0:is>
      </ns0:c>
      <ns0:c xmlns:ns0="http://schemas.openxmlformats.org/spreadsheetml/2006/main" r="AL53" s="11" t="inlineStr">
        <ns0:is>
          <ns0:t>General</ns0:t>
        </ns0:is>
      </ns0:c>
      <ns0:c xmlns:ns0="http://schemas.openxmlformats.org/spreadsheetml/2006/main" r="AM53" s="11" t="inlineStr">
        <ns0:is>
          <ns0:t>Spice Subcircuit</ns0:t>
        </ns0:is>
      </ns0:c>
      <ns0:c xmlns:ns0="http://schemas.openxmlformats.org/spreadsheetml/2006/main" r="AN53" s="11" t="inlineStr">
        <ns0:is>
          <ns0:t>@DESIGNATOR %1 %2 @MODEL PARAMS: Cvalue=1.2e-10 Rsvalue=33157.2798108115 Rinsvalue=10000000000</ns0:t>
        </ns0:is>
      </ns0:c>
      <ns0:c xmlns:ns0="http://schemas.openxmlformats.org/spreadsheetml/2006/main" r="AO53" s="11" t="inlineStr">
        <ns0:is>
          <ns0:t>X</ns0:t>
        </ns0:is>
      </ns0:c>
      <ns0:c xmlns:ns0="http://schemas.openxmlformats.org/spreadsheetml/2006/main" r="AP53" s="11" t="inlineStr">
        <ns0:is>
          <ns0:t>(1:1),(2:2)</ns0:t>
        </ns0:is>
      </ns0:c>
      <ns0:c xmlns:ns0="http://schemas.openxmlformats.org/spreadsheetml/2006/main" r="AQ53" s="11" t="inlineStr">
        <ns0:is>
          <ns0:t>Simulation\Capacitors\MY_LIB_C_RC.ckt</ns0:t>
        </ns0:is>
      </ns0:c>
    </ns0:row>
    <ns0:row r="54" ht="30" customHeight="1">
      <ns0:c r="A54" t="str" s="14">
        <ns0:v>C0055</ns0:v>
      </ns0:c>
      <ns0:c r="B54" t="str" s="14">
        <ns0:v>Конденсатор</ns0:v>
      </ns0:c>
      <ns0:c r="C54" t="str" s="14">
        <ns0:v>150p</ns0:v>
      </ns0:c>
      <ns0:c r="D54" t="str" s="11">
        <ns0:f>SUBSTITUTE(SUBSTITUTE(SUBSTITUTE(SUBSTITUTE(C54,"p"," пФ"),"n"," нФ"),"u"," мкФ"),".",",")</ns0:f>
        <ns0:v>150 пФ</ns0:v>
      </ns0:c>
      <ns0:c r="E54" t="str" s="14">
        <ns0:v>±10%</ns0:v>
      </ns0:c>
      <ns0:c r="F54" s="14"/>
      <ns0:c r="G54" t="str" s="14">
        <ns0:v>100 В</ns0:v>
      </ns0:c>
      <ns0:c r="H54" t="str" s="14">
        <ns0:v>X7R</ns0:v>
      </ns0:c>
      <ns0:c r="I54" t="str" s="15">
        <ns0:v>0805</ns0:v>
      </ns0:c>
      <ns0:c r="J54" t="str" s="14">
        <ns0:v>YAGEO</ns0:v>
      </ns0:c>
      <ns0:c r="K54" t="str" s="14">
        <ns0:v>CC0805KRX7R0BB151</ns0:v>
      </ns0:c>
      <ns0:c r="L54" t="str" s="11">
        <ns0:f>B54&amp;" "&amp;D54&amp;" "&amp;E54&amp;" "&amp;G54&amp;" "&amp;H54&amp;" "&amp;I54</ns0:f>
        <ns0:v>Конденсатор 150 пФ ±10% 100 В X7R 0805</ns0:v>
      </ns0:c>
      <ns0:c r="M54" t="str" s="13">
        <ns0:v>C</ns0:v>
      </ns0:c>
      <ns0:c r="N54" t="str" s="13">
        <ns0:v>Symbols\MY_LIB_Capacitors.SchLib</ns0:v>
      </ns0:c>
      <ns0:c r="O54" t="str" s="13">
        <ns0:v>CAPC2012X135N</ns0:v>
      </ns0:c>
      <ns0:c r="P54" t="str" s="13">
        <ns0:v>Footprints\PBL - SMD Packages.PcbLib</ns0:v>
      </ns0:c>
      <ns0:c r="Q54" t="str" s="14">
        <ns0:v>YAGEO CC; список 20.10.2026</ns0:v>
      </ns0:c>
      <ns0:c r="R54" t="str" s="11">
        <ns0:f>D54</ns0:f>
        <ns0:v>150 пФ</ns0:v>
      </ns0:c>
      <ns0:c r="S54" t="str" s="11">
        <ns0:f>L54</ns0:f>
        <ns0:v>Конденсатор 150 пФ ±10% 100 В X7R 0805</ns0:v>
      </ns0:c>
      <x:c xmlns:x="http://schemas.openxmlformats.org/spreadsheetml/2006/main" r="T54" t="str" s="11">
        <x:v>C:\Users\Nomatin\Documents\Altium\MY_LIB\MY_LIB\Datasheets\YAGEO_CC_X7R.pdf</x:v>
      </x:c>
      <x:c xmlns:x="http://schemas.openxmlformats.org/spreadsheetml/2006/main" r="U54" t="str" s="11">
        <x:v>Даташит — локальный</x:v>
      </x:c>
      <x:c xmlns:x="http://schemas.openxmlformats.org/spreadsheetml/2006/main" r="V54" t="str" s="11">
        <x:v>C:\Users\Nomatin\Documents\Altium\MY_LIB\MY_LIB\Datasheets\YAGEO_CC_X7R.pdf</x:v>
      </x:c>
      <x:c xmlns:x="http://schemas.openxmlformats.org/spreadsheetml/2006/main" r="W54" t="str" s="11">
        <x:v>Даташит — производитель</x:v>
      </x:c>
      <x:c xmlns:x="http://schemas.openxmlformats.org/spreadsheetml/2006/main" r="X54" t="str" s="11">
        <x:v>https://yageogroup.com/content/datasheet/asset/file/UPY-GPHC_X7R_6_3V-TO-250V</x:v>
      </x:c>
      <x:c xmlns:x="http://schemas.openxmlformats.org/spreadsheetml/2006/main" r="Y54" t="str" s="11">
        <x:v>C:\Users\Nomatin\Documents\Altium\MY_LIB\MY_LIB\Datasheets\YAGEO_CC_X7R.pdf</x:v>
      </x:c>
      <ns0:c xmlns:ns0="http://schemas.openxmlformats.org/spreadsheetml/2006/main" r="Z54" s="11">
        <ns0:v>1.5e-10</ns0:v>
      </ns0:c>
      <ns0:c xmlns:ns0="http://schemas.openxmlformats.org/spreadsheetml/2006/main" r="AA54" s="11">
        <ns0:v>0.025</ns0:v>
      </ns0:c>
      <ns0:c xmlns:ns0="http://schemas.openxmlformats.org/spreadsheetml/2006/main" r="AB54" s="11">
        <ns0:v>1000</ns0:v>
      </ns0:c>
      <ns0:c xmlns:ns0="http://schemas.openxmlformats.org/spreadsheetml/2006/main" r="AC54" s="11">
        <ns0:v>1</ns0:v>
      </ns0:c>
      <ns0:c xmlns:ns0="http://schemas.openxmlformats.org/spreadsheetml/2006/main" r="AD54" s="11">
        <ns0:v>20</ns0:v>
      </ns0:c>
      <ns0:c xmlns:ns0="http://schemas.openxmlformats.org/spreadsheetml/2006/main" r="AE54" s="11">
        <ns0:v>500</ns0:v>
      </ns0:c>
      <ns0:c xmlns:ns0="http://schemas.openxmlformats.org/spreadsheetml/2006/main" r="AF54" s="11">
        <ns0:v>10000000000</ns0:v>
      </ns0:c>
      <ns0:c xmlns:ns0="http://schemas.openxmlformats.org/spreadsheetml/2006/main" r="AG54" s="11">
        <ns0:v>100</ns0:v>
      </ns0:c>
      <ns0:c xmlns:ns0="http://schemas.openxmlformats.org/spreadsheetml/2006/main" r="AH54" s="11">
        <ns0:v>60</ns0:v>
      </ns0:c>
      <ns0:c xmlns:ns0="http://schemas.openxmlformats.org/spreadsheetml/2006/main" r="AI54" s="11">
        <ns0:v>26525.8238486492</ns0:v>
      </ns0:c>
      <ns0:c xmlns:ns0="http://schemas.openxmlformats.org/spreadsheetml/2006/main" r="AJ54" s="11" t="inlineStr">
        <ns0:is>
          <ns0:t>MY_LIB_C_RC</ns0:t>
        </ns0:is>
      </ns0:c>
      <ns0:c xmlns:ns0="http://schemas.openxmlformats.org/spreadsheetml/2006/main" r="AK54" s="11" t="inlineStr">
        <ns0:is>
          <ns0:t>Nominal C; DFmax at 1kHz; minimum insulation; no temperature/bias/ESL</ns0:t>
        </ns0:is>
      </ns0:c>
      <ns0:c xmlns:ns0="http://schemas.openxmlformats.org/spreadsheetml/2006/main" r="AL54" s="11" t="inlineStr">
        <ns0:is>
          <ns0:t>General</ns0:t>
        </ns0:is>
      </ns0:c>
      <ns0:c xmlns:ns0="http://schemas.openxmlformats.org/spreadsheetml/2006/main" r="AM54" s="11" t="inlineStr">
        <ns0:is>
          <ns0:t>Spice Subcircuit</ns0:t>
        </ns0:is>
      </ns0:c>
      <ns0:c xmlns:ns0="http://schemas.openxmlformats.org/spreadsheetml/2006/main" r="AN54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54" s="11" t="inlineStr">
        <ns0:is>
          <ns0:t>X</ns0:t>
        </ns0:is>
      </ns0:c>
      <ns0:c xmlns:ns0="http://schemas.openxmlformats.org/spreadsheetml/2006/main" r="AP54" s="11" t="inlineStr">
        <ns0:is>
          <ns0:t>(1:1),(2:2)</ns0:t>
        </ns0:is>
      </ns0:c>
      <ns0:c xmlns:ns0="http://schemas.openxmlformats.org/spreadsheetml/2006/main" r="AQ54" s="11" t="inlineStr">
        <ns0:is>
          <ns0:t>Simulation\Capacitors\MY_LIB_C_RC.ckt</ns0:t>
        </ns0:is>
      </ns0:c>
    </ns0:row>
    <ns0:row r="55" ht="30" customHeight="1">
      <ns0:c r="A55" t="str" s="14">
        <ns0:v>C0056</ns0:v>
      </ns0:c>
      <ns0:c r="B55" t="str" s="14">
        <ns0:v>Конденсатор</ns0:v>
      </ns0:c>
      <ns0:c r="C55" t="str" s="14">
        <ns0:v>180p</ns0:v>
      </ns0:c>
      <ns0:c r="D55" t="str" s="11">
        <ns0:f>SUBSTITUTE(SUBSTITUTE(SUBSTITUTE(SUBSTITUTE(C55,"p"," пФ"),"n"," нФ"),"u"," мкФ"),".",",")</ns0:f>
        <ns0:v>180 пФ</ns0:v>
      </ns0:c>
      <ns0:c r="E55" t="str" s="14">
        <ns0:v>±10%</ns0:v>
      </ns0:c>
      <ns0:c r="F55" s="14"/>
      <ns0:c r="G55" t="str" s="14">
        <ns0:v>50 В</ns0:v>
      </ns0:c>
      <ns0:c r="H55" t="str" s="14">
        <ns0:v>X7R</ns0:v>
      </ns0:c>
      <ns0:c r="I55" t="str" s="15">
        <ns0:v>0805</ns0:v>
      </ns0:c>
      <ns0:c r="J55" t="str" s="14">
        <ns0:v>YAGEO</ns0:v>
      </ns0:c>
      <ns0:c r="K55" t="str" s="14">
        <ns0:v>CC0805KRX7R9BB181</ns0:v>
      </ns0:c>
      <ns0:c r="L55" t="str" s="11">
        <ns0:f>B55&amp;" "&amp;D55&amp;" "&amp;E55&amp;" "&amp;G55&amp;" "&amp;H55&amp;" "&amp;I55</ns0:f>
        <ns0:v>Конденсатор 180 пФ ±10% 50 В X7R 0805</ns0:v>
      </ns0:c>
      <ns0:c r="M55" t="str" s="13">
        <ns0:v>C</ns0:v>
      </ns0:c>
      <ns0:c r="N55" t="str" s="13">
        <ns0:v>Symbols\MY_LIB_Capacitors.SchLib</ns0:v>
      </ns0:c>
      <ns0:c r="O55" t="str" s="13">
        <ns0:v>CAPC2012X135N</ns0:v>
      </ns0:c>
      <ns0:c r="P55" t="str" s="13">
        <ns0:v>Footprints\PBL - SMD Packages.PcbLib</ns0:v>
      </ns0:c>
      <ns0:c r="Q55" t="str" s="14">
        <ns0:v>YAGEO CC; список 20.10.2026</ns0:v>
      </ns0:c>
      <ns0:c r="R55" t="str" s="11">
        <ns0:f>D55</ns0:f>
        <ns0:v>180 пФ</ns0:v>
      </ns0:c>
      <ns0:c r="S55" t="str" s="11">
        <ns0:f>L55</ns0:f>
        <ns0:v>Конденсатор 180 пФ ±10% 50 В X7R 0805</ns0:v>
      </ns0:c>
      <x:c xmlns:x="http://schemas.openxmlformats.org/spreadsheetml/2006/main" r="T55" t="str" s="11">
        <x:v>C:\Users\Nomatin\Documents\Altium\MY_LIB\MY_LIB\Datasheets\YAGEO_CC_X7R.pdf</x:v>
      </x:c>
      <x:c xmlns:x="http://schemas.openxmlformats.org/spreadsheetml/2006/main" r="U55" t="str" s="11">
        <x:v>Даташит — локальный</x:v>
      </x:c>
      <x:c xmlns:x="http://schemas.openxmlformats.org/spreadsheetml/2006/main" r="V55" t="str" s="11">
        <x:v>C:\Users\Nomatin\Documents\Altium\MY_LIB\MY_LIB\Datasheets\YAGEO_CC_X7R.pdf</x:v>
      </x:c>
      <x:c xmlns:x="http://schemas.openxmlformats.org/spreadsheetml/2006/main" r="W55" t="str" s="11">
        <x:v>Даташит — производитель</x:v>
      </x:c>
      <x:c xmlns:x="http://schemas.openxmlformats.org/spreadsheetml/2006/main" r="X55" t="str" s="11">
        <x:v>https://yageogroup.com/content/datasheet/asset/file/UPY-GPHC_X7R_6_3V-TO-250V</x:v>
      </x:c>
      <x:c xmlns:x="http://schemas.openxmlformats.org/spreadsheetml/2006/main" r="Y55" t="str" s="11">
        <x:v>C:\Users\Nomatin\Documents\Altium\MY_LIB\MY_LIB\Datasheets\YAGEO_CC_X7R.pdf</x:v>
      </x:c>
      <ns0:c xmlns:ns0="http://schemas.openxmlformats.org/spreadsheetml/2006/main" r="Z55" s="11">
        <ns0:v>1.8e-10</ns0:v>
      </ns0:c>
      <ns0:c xmlns:ns0="http://schemas.openxmlformats.org/spreadsheetml/2006/main" r="AA55" s="11">
        <ns0:v>0.025</ns0:v>
      </ns0:c>
      <ns0:c xmlns:ns0="http://schemas.openxmlformats.org/spreadsheetml/2006/main" r="AB55" s="11">
        <ns0:v>1000</ns0:v>
      </ns0:c>
      <ns0:c xmlns:ns0="http://schemas.openxmlformats.org/spreadsheetml/2006/main" r="AC55" s="11">
        <ns0:v>1</ns0:v>
      </ns0:c>
      <ns0:c xmlns:ns0="http://schemas.openxmlformats.org/spreadsheetml/2006/main" r="AD55" s="11">
        <ns0:v>20</ns0:v>
      </ns0:c>
      <ns0:c xmlns:ns0="http://schemas.openxmlformats.org/spreadsheetml/2006/main" r="AE55" s="11">
        <ns0:v>500</ns0:v>
      </ns0:c>
      <ns0:c xmlns:ns0="http://schemas.openxmlformats.org/spreadsheetml/2006/main" r="AF55" s="11">
        <ns0:v>10000000000</ns0:v>
      </ns0:c>
      <ns0:c xmlns:ns0="http://schemas.openxmlformats.org/spreadsheetml/2006/main" r="AG55" s="11">
        <ns0:v>50</ns0:v>
      </ns0:c>
      <ns0:c xmlns:ns0="http://schemas.openxmlformats.org/spreadsheetml/2006/main" r="AH55" s="11">
        <ns0:v>60</ns0:v>
      </ns0:c>
      <ns0:c xmlns:ns0="http://schemas.openxmlformats.org/spreadsheetml/2006/main" r="AI55" s="11">
        <ns0:v>22104.8532072077</ns0:v>
      </ns0:c>
      <ns0:c xmlns:ns0="http://schemas.openxmlformats.org/spreadsheetml/2006/main" r="AJ55" s="11" t="inlineStr">
        <ns0:is>
          <ns0:t>MY_LIB_C_RC</ns0:t>
        </ns0:is>
      </ns0:c>
      <ns0:c xmlns:ns0="http://schemas.openxmlformats.org/spreadsheetml/2006/main" r="AK55" s="11" t="inlineStr">
        <ns0:is>
          <ns0:t>Nominal C; DFmax at 1kHz; minimum insulation; no temperature/bias/ESL</ns0:t>
        </ns0:is>
      </ns0:c>
      <ns0:c xmlns:ns0="http://schemas.openxmlformats.org/spreadsheetml/2006/main" r="AL55" s="11" t="inlineStr">
        <ns0:is>
          <ns0:t>General</ns0:t>
        </ns0:is>
      </ns0:c>
      <ns0:c xmlns:ns0="http://schemas.openxmlformats.org/spreadsheetml/2006/main" r="AM55" s="11" t="inlineStr">
        <ns0:is>
          <ns0:t>Spice Subcircuit</ns0:t>
        </ns0:is>
      </ns0:c>
      <ns0:c xmlns:ns0="http://schemas.openxmlformats.org/spreadsheetml/2006/main" r="AN55" s="11" t="inlineStr">
        <ns0:is>
          <ns0:t>@DESIGNATOR %1 %2 @MODEL PARAMS: Cvalue=1.8e-10 Rsvalue=22104.8532072077 Rinsvalue=10000000000</ns0:t>
        </ns0:is>
      </ns0:c>
      <ns0:c xmlns:ns0="http://schemas.openxmlformats.org/spreadsheetml/2006/main" r="AO55" s="11" t="inlineStr">
        <ns0:is>
          <ns0:t>X</ns0:t>
        </ns0:is>
      </ns0:c>
      <ns0:c xmlns:ns0="http://schemas.openxmlformats.org/spreadsheetml/2006/main" r="AP55" s="11" t="inlineStr">
        <ns0:is>
          <ns0:t>(1:1),(2:2)</ns0:t>
        </ns0:is>
      </ns0:c>
      <ns0:c xmlns:ns0="http://schemas.openxmlformats.org/spreadsheetml/2006/main" r="AQ55" s="11" t="inlineStr">
        <ns0:is>
          <ns0:t>Simulation\Capacitors\MY_LIB_C_RC.ckt</ns0:t>
        </ns0:is>
      </ns0:c>
    </ns0:row>
    <ns0:row r="56" ht="30" customHeight="1">
      <ns0:c r="A56" t="str" s="14">
        <ns0:v>C0057</ns0:v>
      </ns0:c>
      <ns0:c r="B56" t="str" s="14">
        <ns0:v>Конденсатор</ns0:v>
      </ns0:c>
      <ns0:c r="C56" t="str" s="14">
        <ns0:v>200p</ns0:v>
      </ns0:c>
      <ns0:c r="D56" t="str" s="11">
        <ns0:f>SUBSTITUTE(SUBSTITUTE(SUBSTITUTE(SUBSTITUTE(C56,"p"," пФ"),"n"," нФ"),"u"," мкФ"),".",",")</ns0:f>
        <ns0:v>200 пФ</ns0:v>
      </ns0:c>
      <ns0:c r="E56" t="str" s="14">
        <ns0:v>±10%</ns0:v>
      </ns0:c>
      <ns0:c r="F56" s="14"/>
      <ns0:c r="G56" t="str" s="14">
        <ns0:v>50 В</ns0:v>
      </ns0:c>
      <ns0:c r="H56" t="str" s="14">
        <ns0:v>X7R</ns0:v>
      </ns0:c>
      <ns0:c r="I56" t="str" s="15">
        <ns0:v>0805</ns0:v>
      </ns0:c>
      <ns0:c r="J56" t="str" s="14">
        <ns0:v>YAGEO</ns0:v>
      </ns0:c>
      <ns0:c r="K56" t="str" s="14">
        <ns0:v>CC0805KRX7R9BB201</ns0:v>
      </ns0:c>
      <ns0:c r="L56" t="str" s="11">
        <ns0:f>B56&amp;" "&amp;D56&amp;" "&amp;E56&amp;" "&amp;G56&amp;" "&amp;H56&amp;" "&amp;I56</ns0:f>
        <ns0:v>Конденсатор 200 пФ ±10% 50 В X7R 0805</ns0:v>
      </ns0:c>
      <ns0:c r="M56" t="str" s="13">
        <ns0:v>C</ns0:v>
      </ns0:c>
      <ns0:c r="N56" t="str" s="13">
        <ns0:v>Symbols\MY_LIB_Capacitors.SchLib</ns0:v>
      </ns0:c>
      <ns0:c r="O56" t="str" s="13">
        <ns0:v>CAPC2012X135N</ns0:v>
      </ns0:c>
      <ns0:c r="P56" t="str" s="13">
        <ns0:v>Footprints\PBL - SMD Packages.PcbLib</ns0:v>
      </ns0:c>
      <ns0:c r="Q56" t="str" s="14">
        <ns0:v>YAGEO CC; список 20.10.2026</ns0:v>
      </ns0:c>
      <ns0:c r="R56" t="str" s="11">
        <ns0:f>D56</ns0:f>
        <ns0:v>200 пФ</ns0:v>
      </ns0:c>
      <ns0:c r="S56" t="str" s="11">
        <ns0:f>L56</ns0:f>
        <ns0:v>Конденсатор 200 пФ ±10% 50 В X7R 0805</ns0:v>
      </ns0:c>
      <x:c xmlns:x="http://schemas.openxmlformats.org/spreadsheetml/2006/main" r="T56" t="str" s="11">
        <x:v>C:\Users\Nomatin\Documents\Altium\MY_LIB\MY_LIB\Datasheets\YAGEO_CC_X7R.pdf</x:v>
      </x:c>
      <x:c xmlns:x="http://schemas.openxmlformats.org/spreadsheetml/2006/main" r="U56" t="str" s="11">
        <x:v>Даташит — локальный</x:v>
      </x:c>
      <x:c xmlns:x="http://schemas.openxmlformats.org/spreadsheetml/2006/main" r="V56" t="str" s="11">
        <x:v>C:\Users\Nomatin\Documents\Altium\MY_LIB\MY_LIB\Datasheets\YAGEO_CC_X7R.pdf</x:v>
      </x:c>
      <x:c xmlns:x="http://schemas.openxmlformats.org/spreadsheetml/2006/main" r="W56" t="str" s="11">
        <x:v>Даташит — производитель</x:v>
      </x:c>
      <x:c xmlns:x="http://schemas.openxmlformats.org/spreadsheetml/2006/main" r="X56" t="str" s="11">
        <x:v>https://yageogroup.com/content/datasheet/asset/file/UPY-GPHC_X7R_6_3V-TO-250V</x:v>
      </x:c>
      <x:c xmlns:x="http://schemas.openxmlformats.org/spreadsheetml/2006/main" r="Y56" t="str" s="11">
        <x:v>C:\Users\Nomatin\Documents\Altium\MY_LIB\MY_LIB\Datasheets\YAGEO_CC_X7R.pdf</x:v>
      </x:c>
      <ns0:c xmlns:ns0="http://schemas.openxmlformats.org/spreadsheetml/2006/main" r="Z56" s="11">
        <ns0:v>2e-10</ns0:v>
      </ns0:c>
      <ns0:c xmlns:ns0="http://schemas.openxmlformats.org/spreadsheetml/2006/main" r="AA56" s="11">
        <ns0:v>0.025</ns0:v>
      </ns0:c>
      <ns0:c xmlns:ns0="http://schemas.openxmlformats.org/spreadsheetml/2006/main" r="AB56" s="11">
        <ns0:v>1000</ns0:v>
      </ns0:c>
      <ns0:c xmlns:ns0="http://schemas.openxmlformats.org/spreadsheetml/2006/main" r="AC56" s="11">
        <ns0:v>1</ns0:v>
      </ns0:c>
      <ns0:c xmlns:ns0="http://schemas.openxmlformats.org/spreadsheetml/2006/main" r="AD56" s="11">
        <ns0:v>20</ns0:v>
      </ns0:c>
      <ns0:c xmlns:ns0="http://schemas.openxmlformats.org/spreadsheetml/2006/main" r="AE56" s="11">
        <ns0:v>500</ns0:v>
      </ns0:c>
      <ns0:c xmlns:ns0="http://schemas.openxmlformats.org/spreadsheetml/2006/main" r="AF56" s="11">
        <ns0:v>10000000000</ns0:v>
      </ns0:c>
      <ns0:c xmlns:ns0="http://schemas.openxmlformats.org/spreadsheetml/2006/main" r="AG56" s="11">
        <ns0:v>50</ns0:v>
      </ns0:c>
      <ns0:c xmlns:ns0="http://schemas.openxmlformats.org/spreadsheetml/2006/main" r="AH56" s="11">
        <ns0:v>60</ns0:v>
      </ns0:c>
      <ns0:c xmlns:ns0="http://schemas.openxmlformats.org/spreadsheetml/2006/main" r="AI56" s="11">
        <ns0:v>19894.3678864869</ns0:v>
      </ns0:c>
      <ns0:c xmlns:ns0="http://schemas.openxmlformats.org/spreadsheetml/2006/main" r="AJ56" s="11" t="inlineStr">
        <ns0:is>
          <ns0:t>MY_LIB_C_RC</ns0:t>
        </ns0:is>
      </ns0:c>
      <ns0:c xmlns:ns0="http://schemas.openxmlformats.org/spreadsheetml/2006/main" r="AK56" s="11" t="inlineStr">
        <ns0:is>
          <ns0:t>Nominal C; DFmax at 1kHz; minimum insulation; no temperature/bias/ESL</ns0:t>
        </ns0:is>
      </ns0:c>
      <ns0:c xmlns:ns0="http://schemas.openxmlformats.org/spreadsheetml/2006/main" r="AL56" s="11" t="inlineStr">
        <ns0:is>
          <ns0:t>General</ns0:t>
        </ns0:is>
      </ns0:c>
      <ns0:c xmlns:ns0="http://schemas.openxmlformats.org/spreadsheetml/2006/main" r="AM56" s="11" t="inlineStr">
        <ns0:is>
          <ns0:t>Spice Subcircuit</ns0:t>
        </ns0:is>
      </ns0:c>
      <ns0:c xmlns:ns0="http://schemas.openxmlformats.org/spreadsheetml/2006/main" r="AN56" s="11" t="inlineStr">
        <ns0:is>
          <ns0:t>@DESIGNATOR %1 %2 @MODEL PARAMS: Cvalue=2e-10 Rsvalue=19894.3678864869 Rinsvalue=10000000000</ns0:t>
        </ns0:is>
      </ns0:c>
      <ns0:c xmlns:ns0="http://schemas.openxmlformats.org/spreadsheetml/2006/main" r="AO56" s="11" t="inlineStr">
        <ns0:is>
          <ns0:t>X</ns0:t>
        </ns0:is>
      </ns0:c>
      <ns0:c xmlns:ns0="http://schemas.openxmlformats.org/spreadsheetml/2006/main" r="AP56" s="11" t="inlineStr">
        <ns0:is>
          <ns0:t>(1:1),(2:2)</ns0:t>
        </ns0:is>
      </ns0:c>
      <ns0:c xmlns:ns0="http://schemas.openxmlformats.org/spreadsheetml/2006/main" r="AQ56" s="11" t="inlineStr">
        <ns0:is>
          <ns0:t>Simulation\Capacitors\MY_LIB_C_RC.ckt</ns0:t>
        </ns0:is>
      </ns0:c>
    </ns0:row>
    <ns0:row r="57" ht="30" customHeight="1">
      <ns0:c r="A57" t="str" s="14">
        <ns0:v>C0058</ns0:v>
      </ns0:c>
      <ns0:c r="B57" t="str" s="14">
        <ns0:v>Конденсатор</ns0:v>
      </ns0:c>
      <ns0:c r="C57" t="str" s="14">
        <ns0:v>220p</ns0:v>
      </ns0:c>
      <ns0:c r="D57" t="str" s="11">
        <ns0:f>SUBSTITUTE(SUBSTITUTE(SUBSTITUTE(SUBSTITUTE(C57,"p"," пФ"),"n"," нФ"),"u"," мкФ"),".",",")</ns0:f>
        <ns0:v>220 пФ</ns0:v>
      </ns0:c>
      <ns0:c r="E57" t="str" s="14">
        <ns0:v>±10%</ns0:v>
      </ns0:c>
      <ns0:c r="F57" s="14"/>
      <ns0:c r="G57" t="str" s="14">
        <ns0:v>100 В</ns0:v>
      </ns0:c>
      <ns0:c r="H57" t="str" s="14">
        <ns0:v>X7R</ns0:v>
      </ns0:c>
      <ns0:c r="I57" t="str" s="15">
        <ns0:v>0805</ns0:v>
      </ns0:c>
      <ns0:c r="J57" t="str" s="14">
        <ns0:v>YAGEO</ns0:v>
      </ns0:c>
      <ns0:c r="K57" t="str" s="14">
        <ns0:v>CC0805KKX7R0BB221</ns0:v>
      </ns0:c>
      <ns0:c r="L57" t="str" s="11">
        <ns0:f>B57&amp;" "&amp;D57&amp;" "&amp;E57&amp;" "&amp;G57&amp;" "&amp;H57&amp;" "&amp;I57</ns0:f>
        <ns0:v>Конденсатор 220 пФ ±10% 100 В X7R 0805</ns0:v>
      </ns0:c>
      <ns0:c r="M57" t="str" s="13">
        <ns0:v>C</ns0:v>
      </ns0:c>
      <ns0:c r="N57" t="str" s="13">
        <ns0:v>Symbols\MY_LIB_Capacitors.SchLib</ns0:v>
      </ns0:c>
      <ns0:c r="O57" t="str" s="13">
        <ns0:v>CAPC2012X135N</ns0:v>
      </ns0:c>
      <ns0:c r="P57" t="str" s="13">
        <ns0:v>Footprints\PBL - SMD Packages.PcbLib</ns0:v>
      </ns0:c>
      <ns0:c r="Q57" t="str" s="14">
        <ns0:v>YAGEO CC; список 20.10.2026</ns0:v>
      </ns0:c>
      <ns0:c r="R57" t="str" s="11">
        <ns0:f>D57</ns0:f>
        <ns0:v>220 пФ</ns0:v>
      </ns0:c>
      <ns0:c r="S57" t="str" s="11">
        <ns0:f>L57</ns0:f>
        <ns0:v>Конденсатор 220 пФ ±10% 100 В X7R 0805</ns0:v>
      </ns0:c>
      <x:c xmlns:x="http://schemas.openxmlformats.org/spreadsheetml/2006/main" r="T57" t="str" s="11">
        <x:v>C:\Users\Nomatin\Documents\Altium\MY_LIB\MY_LIB\Datasheets\YAGEO_CC_X7R.pdf</x:v>
      </x:c>
      <x:c xmlns:x="http://schemas.openxmlformats.org/spreadsheetml/2006/main" r="U57" t="str" s="11">
        <x:v>Даташит — локальный</x:v>
      </x:c>
      <x:c xmlns:x="http://schemas.openxmlformats.org/spreadsheetml/2006/main" r="V57" t="str" s="11">
        <x:v>C:\Users\Nomatin\Documents\Altium\MY_LIB\MY_LIB\Datasheets\YAGEO_CC_X7R.pdf</x:v>
      </x:c>
      <x:c xmlns:x="http://schemas.openxmlformats.org/spreadsheetml/2006/main" r="W57" t="str" s="11">
        <x:v>Даташит — производитель</x:v>
      </x:c>
      <x:c xmlns:x="http://schemas.openxmlformats.org/spreadsheetml/2006/main" r="X57" t="str" s="11">
        <x:v>https://yageogroup.com/content/datasheet/asset/file/UPY-GPHC_X7R_6_3V-TO-250V</x:v>
      </x:c>
      <x:c xmlns:x="http://schemas.openxmlformats.org/spreadsheetml/2006/main" r="Y57" t="str" s="11">
        <x:v>C:\Users\Nomatin\Documents\Altium\MY_LIB\MY_LIB\Datasheets\YAGEO_CC_X7R.pdf</x:v>
      </x:c>
      <ns0:c xmlns:ns0="http://schemas.openxmlformats.org/spreadsheetml/2006/main" r="Z57" s="11">
        <ns0:v>2.2e-10</ns0:v>
      </ns0:c>
      <ns0:c xmlns:ns0="http://schemas.openxmlformats.org/spreadsheetml/2006/main" r="AA57" s="11">
        <ns0:v>0.025</ns0:v>
      </ns0:c>
      <ns0:c xmlns:ns0="http://schemas.openxmlformats.org/spreadsheetml/2006/main" r="AB57" s="11">
        <ns0:v>1000</ns0:v>
      </ns0:c>
      <ns0:c xmlns:ns0="http://schemas.openxmlformats.org/spreadsheetml/2006/main" r="AC57" s="11">
        <ns0:v>1</ns0:v>
      </ns0:c>
      <ns0:c xmlns:ns0="http://schemas.openxmlformats.org/spreadsheetml/2006/main" r="AD57" s="11">
        <ns0:v>20</ns0:v>
      </ns0:c>
      <ns0:c xmlns:ns0="http://schemas.openxmlformats.org/spreadsheetml/2006/main" r="AE57" s="11">
        <ns0:v>500</ns0:v>
      </ns0:c>
      <ns0:c xmlns:ns0="http://schemas.openxmlformats.org/spreadsheetml/2006/main" r="AF57" s="11">
        <ns0:v>10000000000</ns0:v>
      </ns0:c>
      <ns0:c xmlns:ns0="http://schemas.openxmlformats.org/spreadsheetml/2006/main" r="AG57" s="11">
        <ns0:v>100</ns0:v>
      </ns0:c>
      <ns0:c xmlns:ns0="http://schemas.openxmlformats.org/spreadsheetml/2006/main" r="AH57" s="11">
        <ns0:v>60</ns0:v>
      </ns0:c>
      <ns0:c xmlns:ns0="http://schemas.openxmlformats.org/spreadsheetml/2006/main" r="AI57" s="11">
        <ns0:v>18085.7889877154</ns0:v>
      </ns0:c>
      <ns0:c xmlns:ns0="http://schemas.openxmlformats.org/spreadsheetml/2006/main" r="AJ57" s="11" t="inlineStr">
        <ns0:is>
          <ns0:t>MY_LIB_C_RC</ns0:t>
        </ns0:is>
      </ns0:c>
      <ns0:c xmlns:ns0="http://schemas.openxmlformats.org/spreadsheetml/2006/main" r="AK57" s="11" t="inlineStr">
        <ns0:is>
          <ns0:t>Nominal C; DFmax at 1kHz; minimum insulation; no temperature/bias/ESL</ns0:t>
        </ns0:is>
      </ns0:c>
      <ns0:c xmlns:ns0="http://schemas.openxmlformats.org/spreadsheetml/2006/main" r="AL57" s="11" t="inlineStr">
        <ns0:is>
          <ns0:t>General</ns0:t>
        </ns0:is>
      </ns0:c>
      <ns0:c xmlns:ns0="http://schemas.openxmlformats.org/spreadsheetml/2006/main" r="AM57" s="11" t="inlineStr">
        <ns0:is>
          <ns0:t>Spice Subcircuit</ns0:t>
        </ns0:is>
      </ns0:c>
      <ns0:c xmlns:ns0="http://schemas.openxmlformats.org/spreadsheetml/2006/main" r="AN57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57" s="11" t="inlineStr">
        <ns0:is>
          <ns0:t>X</ns0:t>
        </ns0:is>
      </ns0:c>
      <ns0:c xmlns:ns0="http://schemas.openxmlformats.org/spreadsheetml/2006/main" r="AP57" s="11" t="inlineStr">
        <ns0:is>
          <ns0:t>(1:1),(2:2)</ns0:t>
        </ns0:is>
      </ns0:c>
      <ns0:c xmlns:ns0="http://schemas.openxmlformats.org/spreadsheetml/2006/main" r="AQ57" s="11" t="inlineStr">
        <ns0:is>
          <ns0:t>Simulation\Capacitors\MY_LIB_C_RC.ckt</ns0:t>
        </ns0:is>
      </ns0:c>
    </ns0:row>
    <ns0:row r="58" ht="30" customHeight="1">
      <ns0:c r="A58" t="str" s="14">
        <ns0:v>C0059</ns0:v>
      </ns0:c>
      <ns0:c r="B58" t="str" s="14">
        <ns0:v>Конденсатор</ns0:v>
      </ns0:c>
      <ns0:c r="C58" t="str" s="14">
        <ns0:v>270p</ns0:v>
      </ns0:c>
      <ns0:c r="D58" t="str" s="11">
        <ns0:f>SUBSTITUTE(SUBSTITUTE(SUBSTITUTE(SUBSTITUTE(C58,"p"," пФ"),"n"," нФ"),"u"," мкФ"),".",",")</ns0:f>
        <ns0:v>270 пФ</ns0:v>
      </ns0:c>
      <ns0:c r="E58" t="str" s="14">
        <ns0:v>±10%</ns0:v>
      </ns0:c>
      <ns0:c r="F58" s="14"/>
      <ns0:c r="G58" t="str" s="14">
        <ns0:v>100 В</ns0:v>
      </ns0:c>
      <ns0:c r="H58" t="str" s="14">
        <ns0:v>X7R</ns0:v>
      </ns0:c>
      <ns0:c r="I58" t="str" s="15">
        <ns0:v>0805</ns0:v>
      </ns0:c>
      <ns0:c r="J58" t="str" s="14">
        <ns0:v>YAGEO</ns0:v>
      </ns0:c>
      <ns0:c r="K58" t="str" s="14">
        <ns0:v>CC0805KRX7R0BB271</ns0:v>
      </ns0:c>
      <ns0:c r="L58" t="str" s="11">
        <ns0:f>B58&amp;" "&amp;D58&amp;" "&amp;E58&amp;" "&amp;G58&amp;" "&amp;H58&amp;" "&amp;I58</ns0:f>
        <ns0:v>Конденсатор 270 пФ ±10% 100 В X7R 0805</ns0:v>
      </ns0:c>
      <ns0:c r="M58" t="str" s="13">
        <ns0:v>C</ns0:v>
      </ns0:c>
      <ns0:c r="N58" t="str" s="13">
        <ns0:v>Symbols\MY_LIB_Capacitors.SchLib</ns0:v>
      </ns0:c>
      <ns0:c r="O58" t="str" s="13">
        <ns0:v>CAPC2012X135N</ns0:v>
      </ns0:c>
      <ns0:c r="P58" t="str" s="13">
        <ns0:v>Footprints\PBL - SMD Packages.PcbLib</ns0:v>
      </ns0:c>
      <ns0:c r="Q58" t="str" s="14">
        <ns0:v>YAGEO CC; список 20.10.2026</ns0:v>
      </ns0:c>
      <ns0:c r="R58" t="str" s="11">
        <ns0:f>D58</ns0:f>
        <ns0:v>270 пФ</ns0:v>
      </ns0:c>
      <ns0:c r="S58" t="str" s="11">
        <ns0:f>L58</ns0:f>
        <ns0:v>Конденсатор 270 пФ ±10% 100 В X7R 0805</ns0:v>
      </ns0:c>
      <x:c xmlns:x="http://schemas.openxmlformats.org/spreadsheetml/2006/main" r="T58" t="str" s="11">
        <x:v>C:\Users\Nomatin\Documents\Altium\MY_LIB\MY_LIB\Datasheets\YAGEO_CC_X7R.pdf</x:v>
      </x:c>
      <x:c xmlns:x="http://schemas.openxmlformats.org/spreadsheetml/2006/main" r="U58" t="str" s="11">
        <x:v>Даташит — локальный</x:v>
      </x:c>
      <x:c xmlns:x="http://schemas.openxmlformats.org/spreadsheetml/2006/main" r="V58" t="str" s="11">
        <x:v>C:\Users\Nomatin\Documents\Altium\MY_LIB\MY_LIB\Datasheets\YAGEO_CC_X7R.pdf</x:v>
      </x:c>
      <x:c xmlns:x="http://schemas.openxmlformats.org/spreadsheetml/2006/main" r="W58" t="str" s="11">
        <x:v>Даташит — производитель</x:v>
      </x:c>
      <x:c xmlns:x="http://schemas.openxmlformats.org/spreadsheetml/2006/main" r="X58" t="str" s="11">
        <x:v>https://yageogroup.com/content/datasheet/asset/file/UPY-GPHC_X7R_6_3V-TO-250V</x:v>
      </x:c>
      <x:c xmlns:x="http://schemas.openxmlformats.org/spreadsheetml/2006/main" r="Y58" t="str" s="11">
        <x:v>C:\Users\Nomatin\Documents\Altium\MY_LIB\MY_LIB\Datasheets\YAGEO_CC_X7R.pdf</x:v>
      </x:c>
      <ns0:c xmlns:ns0="http://schemas.openxmlformats.org/spreadsheetml/2006/main" r="Z58" s="11">
        <ns0:v>2.7e-10</ns0:v>
      </ns0:c>
      <ns0:c xmlns:ns0="http://schemas.openxmlformats.org/spreadsheetml/2006/main" r="AA58" s="11">
        <ns0:v>0.025</ns0:v>
      </ns0:c>
      <ns0:c xmlns:ns0="http://schemas.openxmlformats.org/spreadsheetml/2006/main" r="AB58" s="11">
        <ns0:v>1000</ns0:v>
      </ns0:c>
      <ns0:c xmlns:ns0="http://schemas.openxmlformats.org/spreadsheetml/2006/main" r="AC58" s="11">
        <ns0:v>1</ns0:v>
      </ns0:c>
      <ns0:c xmlns:ns0="http://schemas.openxmlformats.org/spreadsheetml/2006/main" r="AD58" s="11">
        <ns0:v>20</ns0:v>
      </ns0:c>
      <ns0:c xmlns:ns0="http://schemas.openxmlformats.org/spreadsheetml/2006/main" r="AE58" s="11">
        <ns0:v>500</ns0:v>
      </ns0:c>
      <ns0:c xmlns:ns0="http://schemas.openxmlformats.org/spreadsheetml/2006/main" r="AF58" s="11">
        <ns0:v>10000000000</ns0:v>
      </ns0:c>
      <ns0:c xmlns:ns0="http://schemas.openxmlformats.org/spreadsheetml/2006/main" r="AG58" s="11">
        <ns0:v>100</ns0:v>
      </ns0:c>
      <ns0:c xmlns:ns0="http://schemas.openxmlformats.org/spreadsheetml/2006/main" r="AH58" s="11">
        <ns0:v>60</ns0:v>
      </ns0:c>
      <ns0:c xmlns:ns0="http://schemas.openxmlformats.org/spreadsheetml/2006/main" r="AI58" s="11">
        <ns0:v>14736.5688048051</ns0:v>
      </ns0:c>
      <ns0:c xmlns:ns0="http://schemas.openxmlformats.org/spreadsheetml/2006/main" r="AJ58" s="11" t="inlineStr">
        <ns0:is>
          <ns0:t>MY_LIB_C_RC</ns0:t>
        </ns0:is>
      </ns0:c>
      <ns0:c xmlns:ns0="http://schemas.openxmlformats.org/spreadsheetml/2006/main" r="AK58" s="11" t="inlineStr">
        <ns0:is>
          <ns0:t>Nominal C; DFmax at 1kHz; minimum insulation; no temperature/bias/ESL</ns0:t>
        </ns0:is>
      </ns0:c>
      <ns0:c xmlns:ns0="http://schemas.openxmlformats.org/spreadsheetml/2006/main" r="AL58" s="11" t="inlineStr">
        <ns0:is>
          <ns0:t>General</ns0:t>
        </ns0:is>
      </ns0:c>
      <ns0:c xmlns:ns0="http://schemas.openxmlformats.org/spreadsheetml/2006/main" r="AM58" s="11" t="inlineStr">
        <ns0:is>
          <ns0:t>Spice Subcircuit</ns0:t>
        </ns0:is>
      </ns0:c>
      <ns0:c xmlns:ns0="http://schemas.openxmlformats.org/spreadsheetml/2006/main" r="AN58" s="11" t="inlineStr">
        <ns0:is>
          <ns0:t>@DESIGNATOR %1 %2 @MODEL PARAMS: Cvalue=2.7e-10 Rsvalue=14736.5688048051 Rinsvalue=10000000000</ns0:t>
        </ns0:is>
      </ns0:c>
      <ns0:c xmlns:ns0="http://schemas.openxmlformats.org/spreadsheetml/2006/main" r="AO58" s="11" t="inlineStr">
        <ns0:is>
          <ns0:t>X</ns0:t>
        </ns0:is>
      </ns0:c>
      <ns0:c xmlns:ns0="http://schemas.openxmlformats.org/spreadsheetml/2006/main" r="AP58" s="11" t="inlineStr">
        <ns0:is>
          <ns0:t>(1:1),(2:2)</ns0:t>
        </ns0:is>
      </ns0:c>
      <ns0:c xmlns:ns0="http://schemas.openxmlformats.org/spreadsheetml/2006/main" r="AQ58" s="11" t="inlineStr">
        <ns0:is>
          <ns0:t>Simulation\Capacitors\MY_LIB_C_RC.ckt</ns0:t>
        </ns0:is>
      </ns0:c>
    </ns0:row>
    <ns0:row r="59" ht="30" customHeight="1">
      <ns0:c r="A59" t="str" s="14">
        <ns0:v>C0060</ns0:v>
      </ns0:c>
      <ns0:c r="B59" t="str" s="14">
        <ns0:v>Конденсатор</ns0:v>
      </ns0:c>
      <ns0:c r="C59" t="str" s="14">
        <ns0:v>300p</ns0:v>
      </ns0:c>
      <ns0:c r="D59" t="str" s="11">
        <ns0:f>SUBSTITUTE(SUBSTITUTE(SUBSTITUTE(SUBSTITUTE(C59,"p"," пФ"),"n"," нФ"),"u"," мкФ"),".",",")</ns0:f>
        <ns0:v>300 пФ</ns0:v>
      </ns0:c>
      <ns0:c r="E59" t="str" s="14">
        <ns0:v>±10%</ns0:v>
      </ns0:c>
      <ns0:c r="F59" s="14"/>
      <ns0:c r="G59" t="str" s="14">
        <ns0:v>50 В</ns0:v>
      </ns0:c>
      <ns0:c r="H59" t="str" s="14">
        <ns0:v>X7R</ns0:v>
      </ns0:c>
      <ns0:c r="I59" t="str" s="15">
        <ns0:v>0805</ns0:v>
      </ns0:c>
      <ns0:c r="J59" t="str" s="14">
        <ns0:v>YAGEO</ns0:v>
      </ns0:c>
      <ns0:c r="K59" t="str" s="14">
        <ns0:v>CC0805KRX7R9BB301</ns0:v>
      </ns0:c>
      <ns0:c r="L59" t="str" s="11">
        <ns0:f>B59&amp;" "&amp;D59&amp;" "&amp;E59&amp;" "&amp;G59&amp;" "&amp;H59&amp;" "&amp;I59</ns0:f>
        <ns0:v>Конденсатор 300 пФ ±10% 50 В X7R 0805</ns0:v>
      </ns0:c>
      <ns0:c r="M59" t="str" s="13">
        <ns0:v>C</ns0:v>
      </ns0:c>
      <ns0:c r="N59" t="str" s="13">
        <ns0:v>Symbols\MY_LIB_Capacitors.SchLib</ns0:v>
      </ns0:c>
      <ns0:c r="O59" t="str" s="13">
        <ns0:v>CAPC2012X135N</ns0:v>
      </ns0:c>
      <ns0:c r="P59" t="str" s="13">
        <ns0:v>Footprints\PBL - SMD Packages.PcbLib</ns0:v>
      </ns0:c>
      <ns0:c r="Q59" t="str" s="14">
        <ns0:v>YAGEO CC; список 20.10.2026</ns0:v>
      </ns0:c>
      <ns0:c r="R59" t="str" s="11">
        <ns0:f>D59</ns0:f>
        <ns0:v>300 пФ</ns0:v>
      </ns0:c>
      <ns0:c r="S59" t="str" s="11">
        <ns0:f>L59</ns0:f>
        <ns0:v>Конденсатор 300 пФ ±10% 50 В X7R 0805</ns0:v>
      </ns0:c>
      <x:c xmlns:x="http://schemas.openxmlformats.org/spreadsheetml/2006/main" r="T59" t="str" s="11">
        <x:v>C:\Users\Nomatin\Documents\Altium\MY_LIB\MY_LIB\Datasheets\YAGEO_CC_X7R.pdf</x:v>
      </x:c>
      <x:c xmlns:x="http://schemas.openxmlformats.org/spreadsheetml/2006/main" r="U59" t="str" s="11">
        <x:v>Даташит — локальный</x:v>
      </x:c>
      <x:c xmlns:x="http://schemas.openxmlformats.org/spreadsheetml/2006/main" r="V59" t="str" s="11">
        <x:v>C:\Users\Nomatin\Documents\Altium\MY_LIB\MY_LIB\Datasheets\YAGEO_CC_X7R.pdf</x:v>
      </x:c>
      <x:c xmlns:x="http://schemas.openxmlformats.org/spreadsheetml/2006/main" r="W59" t="str" s="11">
        <x:v>Даташит — производитель</x:v>
      </x:c>
      <x:c xmlns:x="http://schemas.openxmlformats.org/spreadsheetml/2006/main" r="X59" t="str" s="11">
        <x:v>https://yageogroup.com/content/datasheet/asset/file/UPY-GPHC_X7R_6_3V-TO-250V</x:v>
      </x:c>
      <x:c xmlns:x="http://schemas.openxmlformats.org/spreadsheetml/2006/main" r="Y59" t="str" s="11">
        <x:v>C:\Users\Nomatin\Documents\Altium\MY_LIB\MY_LIB\Datasheets\YAGEO_CC_X7R.pdf</x:v>
      </x:c>
      <ns0:c xmlns:ns0="http://schemas.openxmlformats.org/spreadsheetml/2006/main" r="Z59" s="11">
        <ns0:v>3e-10</ns0:v>
      </ns0:c>
      <ns0:c xmlns:ns0="http://schemas.openxmlformats.org/spreadsheetml/2006/main" r="AA59" s="11">
        <ns0:v>0.025</ns0:v>
      </ns0:c>
      <ns0:c xmlns:ns0="http://schemas.openxmlformats.org/spreadsheetml/2006/main" r="AB59" s="11">
        <ns0:v>1000</ns0:v>
      </ns0:c>
      <ns0:c xmlns:ns0="http://schemas.openxmlformats.org/spreadsheetml/2006/main" r="AC59" s="11">
        <ns0:v>1</ns0:v>
      </ns0:c>
      <ns0:c xmlns:ns0="http://schemas.openxmlformats.org/spreadsheetml/2006/main" r="AD59" s="11">
        <ns0:v>20</ns0:v>
      </ns0:c>
      <ns0:c xmlns:ns0="http://schemas.openxmlformats.org/spreadsheetml/2006/main" r="AE59" s="11">
        <ns0:v>500</ns0:v>
      </ns0:c>
      <ns0:c xmlns:ns0="http://schemas.openxmlformats.org/spreadsheetml/2006/main" r="AF59" s="11">
        <ns0:v>10000000000</ns0:v>
      </ns0:c>
      <ns0:c xmlns:ns0="http://schemas.openxmlformats.org/spreadsheetml/2006/main" r="AG59" s="11">
        <ns0:v>50</ns0:v>
      </ns0:c>
      <ns0:c xmlns:ns0="http://schemas.openxmlformats.org/spreadsheetml/2006/main" r="AH59" s="11">
        <ns0:v>60</ns0:v>
      </ns0:c>
      <ns0:c xmlns:ns0="http://schemas.openxmlformats.org/spreadsheetml/2006/main" r="AI59" s="11">
        <ns0:v>13262.9119243246</ns0:v>
      </ns0:c>
      <ns0:c xmlns:ns0="http://schemas.openxmlformats.org/spreadsheetml/2006/main" r="AJ59" s="11" t="inlineStr">
        <ns0:is>
          <ns0:t>MY_LIB_C_RC</ns0:t>
        </ns0:is>
      </ns0:c>
      <ns0:c xmlns:ns0="http://schemas.openxmlformats.org/spreadsheetml/2006/main" r="AK59" s="11" t="inlineStr">
        <ns0:is>
          <ns0:t>Nominal C; DFmax at 1kHz; minimum insulation; no temperature/bias/ESL</ns0:t>
        </ns0:is>
      </ns0:c>
      <ns0:c xmlns:ns0="http://schemas.openxmlformats.org/spreadsheetml/2006/main" r="AL59" s="11" t="inlineStr">
        <ns0:is>
          <ns0:t>General</ns0:t>
        </ns0:is>
      </ns0:c>
      <ns0:c xmlns:ns0="http://schemas.openxmlformats.org/spreadsheetml/2006/main" r="AM59" s="11" t="inlineStr">
        <ns0:is>
          <ns0:t>Spice Subcircuit</ns0:t>
        </ns0:is>
      </ns0:c>
      <ns0:c xmlns:ns0="http://schemas.openxmlformats.org/spreadsheetml/2006/main" r="AN59" s="11" t="inlineStr">
        <ns0:is>
          <ns0:t>@DESIGNATOR %1 %2 @MODEL PARAMS: Cvalue=3e-10 Rsvalue=13262.9119243246 Rinsvalue=10000000000</ns0:t>
        </ns0:is>
      </ns0:c>
      <ns0:c xmlns:ns0="http://schemas.openxmlformats.org/spreadsheetml/2006/main" r="AO59" s="11" t="inlineStr">
        <ns0:is>
          <ns0:t>X</ns0:t>
        </ns0:is>
      </ns0:c>
      <ns0:c xmlns:ns0="http://schemas.openxmlformats.org/spreadsheetml/2006/main" r="AP59" s="11" t="inlineStr">
        <ns0:is>
          <ns0:t>(1:1),(2:2)</ns0:t>
        </ns0:is>
      </ns0:c>
      <ns0:c xmlns:ns0="http://schemas.openxmlformats.org/spreadsheetml/2006/main" r="AQ59" s="11" t="inlineStr">
        <ns0:is>
          <ns0:t>Simulation\Capacitors\MY_LIB_C_RC.ckt</ns0:t>
        </ns0:is>
      </ns0:c>
    </ns0:row>
    <ns0:row r="60" ht="30" customHeight="1">
      <ns0:c r="A60" t="str" s="14">
        <ns0:v>C0061</ns0:v>
      </ns0:c>
      <ns0:c r="B60" t="str" s="14">
        <ns0:v>Конденсатор</ns0:v>
      </ns0:c>
      <ns0:c r="C60" t="str" s="14">
        <ns0:v>330p</ns0:v>
      </ns0:c>
      <ns0:c r="D60" t="str" s="11">
        <ns0:f>SUBSTITUTE(SUBSTITUTE(SUBSTITUTE(SUBSTITUTE(C60,"p"," пФ"),"n"," нФ"),"u"," мкФ"),".",",")</ns0:f>
        <ns0:v>330 пФ</ns0:v>
      </ns0:c>
      <ns0:c r="E60" t="str" s="14">
        <ns0:v>±10%</ns0:v>
      </ns0:c>
      <ns0:c r="F60" s="14"/>
      <ns0:c r="G60" t="str" s="14">
        <ns0:v>100 В</ns0:v>
      </ns0:c>
      <ns0:c r="H60" t="str" s="14">
        <ns0:v>X7R</ns0:v>
      </ns0:c>
      <ns0:c r="I60" t="str" s="15">
        <ns0:v>0805</ns0:v>
      </ns0:c>
      <ns0:c r="J60" t="str" s="14">
        <ns0:v>YAGEO</ns0:v>
      </ns0:c>
      <ns0:c r="K60" t="str" s="14">
        <ns0:v>CC0805KKX7R0BB331</ns0:v>
      </ns0:c>
      <ns0:c r="L60" t="str" s="11">
        <ns0:f>B60&amp;" "&amp;D60&amp;" "&amp;E60&amp;" "&amp;G60&amp;" "&amp;H60&amp;" "&amp;I60</ns0:f>
        <ns0:v>Конденсатор 330 пФ ±10% 100 В X7R 0805</ns0:v>
      </ns0:c>
      <ns0:c r="M60" t="str" s="13">
        <ns0:v>C</ns0:v>
      </ns0:c>
      <ns0:c r="N60" t="str" s="13">
        <ns0:v>Symbols\MY_LIB_Capacitors.SchLib</ns0:v>
      </ns0:c>
      <ns0:c r="O60" t="str" s="13">
        <ns0:v>CAPC2012X135N</ns0:v>
      </ns0:c>
      <ns0:c r="P60" t="str" s="13">
        <ns0:v>Footprints\PBL - SMD Packages.PcbLib</ns0:v>
      </ns0:c>
      <ns0:c r="Q60" t="str" s="14">
        <ns0:v>YAGEO CC; список 20.10.2026</ns0:v>
      </ns0:c>
      <ns0:c r="R60" t="str" s="11">
        <ns0:f>D60</ns0:f>
        <ns0:v>330 пФ</ns0:v>
      </ns0:c>
      <ns0:c r="S60" t="str" s="11">
        <ns0:f>L60</ns0:f>
        <ns0:v>Конденсатор 330 пФ ±10% 100 В X7R 0805</ns0:v>
      </ns0:c>
      <x:c xmlns:x="http://schemas.openxmlformats.org/spreadsheetml/2006/main" r="T60" t="str" s="11">
        <x:v>C:\Users\Nomatin\Documents\Altium\MY_LIB\MY_LIB\Datasheets\YAGEO_CC_X7R.pdf</x:v>
      </x:c>
      <x:c xmlns:x="http://schemas.openxmlformats.org/spreadsheetml/2006/main" r="U60" t="str" s="11">
        <x:v>Даташит — локальный</x:v>
      </x:c>
      <x:c xmlns:x="http://schemas.openxmlformats.org/spreadsheetml/2006/main" r="V60" t="str" s="11">
        <x:v>C:\Users\Nomatin\Documents\Altium\MY_LIB\MY_LIB\Datasheets\YAGEO_CC_X7R.pdf</x:v>
      </x:c>
      <x:c xmlns:x="http://schemas.openxmlformats.org/spreadsheetml/2006/main" r="W60" t="str" s="11">
        <x:v>Даташит — производитель</x:v>
      </x:c>
      <x:c xmlns:x="http://schemas.openxmlformats.org/spreadsheetml/2006/main" r="X60" t="str" s="11">
        <x:v>https://yageogroup.com/content/datasheet/asset/file/UPY-GPHC_X7R_6_3V-TO-250V</x:v>
      </x:c>
      <x:c xmlns:x="http://schemas.openxmlformats.org/spreadsheetml/2006/main" r="Y60" t="str" s="11">
        <x:v>C:\Users\Nomatin\Documents\Altium\MY_LIB\MY_LIB\Datasheets\YAGEO_CC_X7R.pdf</x:v>
      </x:c>
      <ns0:c xmlns:ns0="http://schemas.openxmlformats.org/spreadsheetml/2006/main" r="Z60" s="11">
        <ns0:v>3.3e-10</ns0:v>
      </ns0:c>
      <ns0:c xmlns:ns0="http://schemas.openxmlformats.org/spreadsheetml/2006/main" r="AA60" s="11">
        <ns0:v>0.025</ns0:v>
      </ns0:c>
      <ns0:c xmlns:ns0="http://schemas.openxmlformats.org/spreadsheetml/2006/main" r="AB60" s="11">
        <ns0:v>1000</ns0:v>
      </ns0:c>
      <ns0:c xmlns:ns0="http://schemas.openxmlformats.org/spreadsheetml/2006/main" r="AC60" s="11">
        <ns0:v>1</ns0:v>
      </ns0:c>
      <ns0:c xmlns:ns0="http://schemas.openxmlformats.org/spreadsheetml/2006/main" r="AD60" s="11">
        <ns0:v>20</ns0:v>
      </ns0:c>
      <ns0:c xmlns:ns0="http://schemas.openxmlformats.org/spreadsheetml/2006/main" r="AE60" s="11">
        <ns0:v>500</ns0:v>
      </ns0:c>
      <ns0:c xmlns:ns0="http://schemas.openxmlformats.org/spreadsheetml/2006/main" r="AF60" s="11">
        <ns0:v>10000000000</ns0:v>
      </ns0:c>
      <ns0:c xmlns:ns0="http://schemas.openxmlformats.org/spreadsheetml/2006/main" r="AG60" s="11">
        <ns0:v>100</ns0:v>
      </ns0:c>
      <ns0:c xmlns:ns0="http://schemas.openxmlformats.org/spreadsheetml/2006/main" r="AH60" s="11">
        <ns0:v>60</ns0:v>
      </ns0:c>
      <ns0:c xmlns:ns0="http://schemas.openxmlformats.org/spreadsheetml/2006/main" r="AI60" s="11">
        <ns0:v>12057.1926584769</ns0:v>
      </ns0:c>
      <ns0:c xmlns:ns0="http://schemas.openxmlformats.org/spreadsheetml/2006/main" r="AJ60" s="11" t="inlineStr">
        <ns0:is>
          <ns0:t>MY_LIB_C_RC</ns0:t>
        </ns0:is>
      </ns0:c>
      <ns0:c xmlns:ns0="http://schemas.openxmlformats.org/spreadsheetml/2006/main" r="AK60" s="11" t="inlineStr">
        <ns0:is>
          <ns0:t>Nominal C; DFmax at 1kHz; minimum insulation; no temperature/bias/ESL</ns0:t>
        </ns0:is>
      </ns0:c>
      <ns0:c xmlns:ns0="http://schemas.openxmlformats.org/spreadsheetml/2006/main" r="AL60" s="11" t="inlineStr">
        <ns0:is>
          <ns0:t>General</ns0:t>
        </ns0:is>
      </ns0:c>
      <ns0:c xmlns:ns0="http://schemas.openxmlformats.org/spreadsheetml/2006/main" r="AM60" s="11" t="inlineStr">
        <ns0:is>
          <ns0:t>Spice Subcircuit</ns0:t>
        </ns0:is>
      </ns0:c>
      <ns0:c xmlns:ns0="http://schemas.openxmlformats.org/spreadsheetml/2006/main" r="AN60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60" s="11" t="inlineStr">
        <ns0:is>
          <ns0:t>X</ns0:t>
        </ns0:is>
      </ns0:c>
      <ns0:c xmlns:ns0="http://schemas.openxmlformats.org/spreadsheetml/2006/main" r="AP60" s="11" t="inlineStr">
        <ns0:is>
          <ns0:t>(1:1),(2:2)</ns0:t>
        </ns0:is>
      </ns0:c>
      <ns0:c xmlns:ns0="http://schemas.openxmlformats.org/spreadsheetml/2006/main" r="AQ60" s="11" t="inlineStr">
        <ns0:is>
          <ns0:t>Simulation\Capacitors\MY_LIB_C_RC.ckt</ns0:t>
        </ns0:is>
      </ns0:c>
    </ns0:row>
    <ns0:row r="61" ht="30" customHeight="1">
      <ns0:c r="A61" t="str" s="14">
        <ns0:v>C0062</ns0:v>
      </ns0:c>
      <ns0:c r="B61" t="str" s="14">
        <ns0:v>Конденсатор</ns0:v>
      </ns0:c>
      <ns0:c r="C61" t="str" s="14">
        <ns0:v>390p</ns0:v>
      </ns0:c>
      <ns0:c r="D61" t="str" s="11">
        <ns0:f>SUBSTITUTE(SUBSTITUTE(SUBSTITUTE(SUBSTITUTE(C61,"p"," пФ"),"n"," нФ"),"u"," мкФ"),".",",")</ns0:f>
        <ns0:v>390 пФ</ns0:v>
      </ns0:c>
      <ns0:c r="E61" t="str" s="14">
        <ns0:v>±10%</ns0:v>
      </ns0:c>
      <ns0:c r="F61" s="14"/>
      <ns0:c r="G61" t="str" s="14">
        <ns0:v>100 В</ns0:v>
      </ns0:c>
      <ns0:c r="H61" t="str" s="14">
        <ns0:v>X7R</ns0:v>
      </ns0:c>
      <ns0:c r="I61" t="str" s="15">
        <ns0:v>0805</ns0:v>
      </ns0:c>
      <ns0:c r="J61" t="str" s="14">
        <ns0:v>YAGEO</ns0:v>
      </ns0:c>
      <ns0:c r="K61" t="str" s="14">
        <ns0:v>CC0805KRX7R0BB391</ns0:v>
      </ns0:c>
      <ns0:c r="L61" t="str" s="11">
        <ns0:f>B61&amp;" "&amp;D61&amp;" "&amp;E61&amp;" "&amp;G61&amp;" "&amp;H61&amp;" "&amp;I61</ns0:f>
        <ns0:v>Конденсатор 390 пФ ±10% 100 В X7R 0805</ns0:v>
      </ns0:c>
      <ns0:c r="M61" t="str" s="13">
        <ns0:v>C</ns0:v>
      </ns0:c>
      <ns0:c r="N61" t="str" s="13">
        <ns0:v>Symbols\MY_LIB_Capacitors.SchLib</ns0:v>
      </ns0:c>
      <ns0:c r="O61" t="str" s="13">
        <ns0:v>CAPC2012X135N</ns0:v>
      </ns0:c>
      <ns0:c r="P61" t="str" s="13">
        <ns0:v>Footprints\PBL - SMD Packages.PcbLib</ns0:v>
      </ns0:c>
      <ns0:c r="Q61" t="str" s="14">
        <ns0:v>YAGEO CC; список 20.10.2026</ns0:v>
      </ns0:c>
      <ns0:c r="R61" t="str" s="11">
        <ns0:f>D61</ns0:f>
        <ns0:v>390 пФ</ns0:v>
      </ns0:c>
      <ns0:c r="S61" t="str" s="11">
        <ns0:f>L61</ns0:f>
        <ns0:v>Конденсатор 390 пФ ±10% 100 В X7R 0805</ns0:v>
      </ns0:c>
      <x:c xmlns:x="http://schemas.openxmlformats.org/spreadsheetml/2006/main" r="T61" t="str" s="11">
        <x:v>C:\Users\Nomatin\Documents\Altium\MY_LIB\MY_LIB\Datasheets\YAGEO_CC_X7R.pdf</x:v>
      </x:c>
      <x:c xmlns:x="http://schemas.openxmlformats.org/spreadsheetml/2006/main" r="U61" t="str" s="11">
        <x:v>Даташит — локальный</x:v>
      </x:c>
      <x:c xmlns:x="http://schemas.openxmlformats.org/spreadsheetml/2006/main" r="V61" t="str" s="11">
        <x:v>C:\Users\Nomatin\Documents\Altium\MY_LIB\MY_LIB\Datasheets\YAGEO_CC_X7R.pdf</x:v>
      </x:c>
      <x:c xmlns:x="http://schemas.openxmlformats.org/spreadsheetml/2006/main" r="W61" t="str" s="11">
        <x:v>Даташит — производитель</x:v>
      </x:c>
      <x:c xmlns:x="http://schemas.openxmlformats.org/spreadsheetml/2006/main" r="X61" t="str" s="11">
        <x:v>https://yageogroup.com/content/datasheet/asset/file/UPY-GPHC_X7R_6_3V-TO-250V</x:v>
      </x:c>
      <x:c xmlns:x="http://schemas.openxmlformats.org/spreadsheetml/2006/main" r="Y61" t="str" s="11">
        <x:v>C:\Users\Nomatin\Documents\Altium\MY_LIB\MY_LIB\Datasheets\YAGEO_CC_X7R.pdf</x:v>
      </x:c>
      <ns0:c xmlns:ns0="http://schemas.openxmlformats.org/spreadsheetml/2006/main" r="Z61" s="11">
        <ns0:v>3.9e-10</ns0:v>
      </ns0:c>
      <ns0:c xmlns:ns0="http://schemas.openxmlformats.org/spreadsheetml/2006/main" r="AA61" s="11">
        <ns0:v>0.025</ns0:v>
      </ns0:c>
      <ns0:c xmlns:ns0="http://schemas.openxmlformats.org/spreadsheetml/2006/main" r="AB61" s="11">
        <ns0:v>1000</ns0:v>
      </ns0:c>
      <ns0:c xmlns:ns0="http://schemas.openxmlformats.org/spreadsheetml/2006/main" r="AC61" s="11">
        <ns0:v>1</ns0:v>
      </ns0:c>
      <ns0:c xmlns:ns0="http://schemas.openxmlformats.org/spreadsheetml/2006/main" r="AD61" s="11">
        <ns0:v>20</ns0:v>
      </ns0:c>
      <ns0:c xmlns:ns0="http://schemas.openxmlformats.org/spreadsheetml/2006/main" r="AE61" s="11">
        <ns0:v>500</ns0:v>
      </ns0:c>
      <ns0:c xmlns:ns0="http://schemas.openxmlformats.org/spreadsheetml/2006/main" r="AF61" s="11">
        <ns0:v>10000000000</ns0:v>
      </ns0:c>
      <ns0:c xmlns:ns0="http://schemas.openxmlformats.org/spreadsheetml/2006/main" r="AG61" s="11">
        <ns0:v>100</ns0:v>
      </ns0:c>
      <ns0:c xmlns:ns0="http://schemas.openxmlformats.org/spreadsheetml/2006/main" r="AH61" s="11">
        <ns0:v>60</ns0:v>
      </ns0:c>
      <ns0:c xmlns:ns0="http://schemas.openxmlformats.org/spreadsheetml/2006/main" r="AI61" s="11">
        <ns0:v>10202.2399417882</ns0:v>
      </ns0:c>
      <ns0:c xmlns:ns0="http://schemas.openxmlformats.org/spreadsheetml/2006/main" r="AJ61" s="11" t="inlineStr">
        <ns0:is>
          <ns0:t>MY_LIB_C_RC</ns0:t>
        </ns0:is>
      </ns0:c>
      <ns0:c xmlns:ns0="http://schemas.openxmlformats.org/spreadsheetml/2006/main" r="AK61" s="11" t="inlineStr">
        <ns0:is>
          <ns0:t>Nominal C; DFmax at 1kHz; minimum insulation; no temperature/bias/ESL</ns0:t>
        </ns0:is>
      </ns0:c>
      <ns0:c xmlns:ns0="http://schemas.openxmlformats.org/spreadsheetml/2006/main" r="AL61" s="11" t="inlineStr">
        <ns0:is>
          <ns0:t>General</ns0:t>
        </ns0:is>
      </ns0:c>
      <ns0:c xmlns:ns0="http://schemas.openxmlformats.org/spreadsheetml/2006/main" r="AM61" s="11" t="inlineStr">
        <ns0:is>
          <ns0:t>Spice Subcircuit</ns0:t>
        </ns0:is>
      </ns0:c>
      <ns0:c xmlns:ns0="http://schemas.openxmlformats.org/spreadsheetml/2006/main" r="AN61" s="11" t="inlineStr">
        <ns0:is>
          <ns0:t>@DESIGNATOR %1 %2 @MODEL PARAMS: Cvalue=3.9e-10 Rsvalue=10202.2399417882 Rinsvalue=10000000000</ns0:t>
        </ns0:is>
      </ns0:c>
      <ns0:c xmlns:ns0="http://schemas.openxmlformats.org/spreadsheetml/2006/main" r="AO61" s="11" t="inlineStr">
        <ns0:is>
          <ns0:t>X</ns0:t>
        </ns0:is>
      </ns0:c>
      <ns0:c xmlns:ns0="http://schemas.openxmlformats.org/spreadsheetml/2006/main" r="AP61" s="11" t="inlineStr">
        <ns0:is>
          <ns0:t>(1:1),(2:2)</ns0:t>
        </ns0:is>
      </ns0:c>
      <ns0:c xmlns:ns0="http://schemas.openxmlformats.org/spreadsheetml/2006/main" r="AQ61" s="11" t="inlineStr">
        <ns0:is>
          <ns0:t>Simulation\Capacitors\MY_LIB_C_RC.ckt</ns0:t>
        </ns0:is>
      </ns0:c>
    </ns0:row>
    <ns0:row r="62" ht="30" customHeight="1">
      <ns0:c r="A62" t="str" s="14">
        <ns0:v>C0063</ns0:v>
      </ns0:c>
      <ns0:c r="B62" t="str" s="14">
        <ns0:v>Конденсатор</ns0:v>
      </ns0:c>
      <ns0:c r="C62" t="str" s="14">
        <ns0:v>470p</ns0:v>
      </ns0:c>
      <ns0:c r="D62" t="str" s="11">
        <ns0:f>SUBSTITUTE(SUBSTITUTE(SUBSTITUTE(SUBSTITUTE(C62,"p"," пФ"),"n"," нФ"),"u"," мкФ"),".",",")</ns0:f>
        <ns0:v>470 пФ</ns0:v>
      </ns0:c>
      <ns0:c r="E62" t="str" s="14">
        <ns0:v>±10%</ns0:v>
      </ns0:c>
      <ns0:c r="F62" s="14"/>
      <ns0:c r="G62" t="str" s="14">
        <ns0:v>100 В</ns0:v>
      </ns0:c>
      <ns0:c r="H62" t="str" s="14">
        <ns0:v>X7R</ns0:v>
      </ns0:c>
      <ns0:c r="I62" t="str" s="15">
        <ns0:v>0805</ns0:v>
      </ns0:c>
      <ns0:c r="J62" t="str" s="14">
        <ns0:v>YAGEO</ns0:v>
      </ns0:c>
      <ns0:c r="K62" t="str" s="14">
        <ns0:v>CC0805KRX7R0BB471</ns0:v>
      </ns0:c>
      <ns0:c r="L62" t="str" s="11">
        <ns0:f>B62&amp;" "&amp;D62&amp;" "&amp;E62&amp;" "&amp;G62&amp;" "&amp;H62&amp;" "&amp;I62</ns0:f>
        <ns0:v>Конденсатор 470 пФ ±10% 100 В X7R 0805</ns0:v>
      </ns0:c>
      <ns0:c r="M62" t="str" s="13">
        <ns0:v>C</ns0:v>
      </ns0:c>
      <ns0:c r="N62" t="str" s="13">
        <ns0:v>Symbols\MY_LIB_Capacitors.SchLib</ns0:v>
      </ns0:c>
      <ns0:c r="O62" t="str" s="13">
        <ns0:v>CAPC2012X135N</ns0:v>
      </ns0:c>
      <ns0:c r="P62" t="str" s="13">
        <ns0:v>Footprints\PBL - SMD Packages.PcbLib</ns0:v>
      </ns0:c>
      <ns0:c r="Q62" t="str" s="14">
        <ns0:v>YAGEO CC; список 20.10.2026</ns0:v>
      </ns0:c>
      <ns0:c r="R62" t="str" s="11">
        <ns0:f>D62</ns0:f>
        <ns0:v>470 пФ</ns0:v>
      </ns0:c>
      <ns0:c r="S62" t="str" s="11">
        <ns0:f>L62</ns0:f>
        <ns0:v>Конденсатор 470 пФ ±10% 100 В X7R 0805</ns0:v>
      </ns0:c>
      <x:c xmlns:x="http://schemas.openxmlformats.org/spreadsheetml/2006/main" r="T62" t="str" s="11">
        <x:v>C:\Users\Nomatin\Documents\Altium\MY_LIB\MY_LIB\Datasheets\YAGEO_CC_X7R.pdf</x:v>
      </x:c>
      <x:c xmlns:x="http://schemas.openxmlformats.org/spreadsheetml/2006/main" r="U62" t="str" s="11">
        <x:v>Даташит — локальный</x:v>
      </x:c>
      <x:c xmlns:x="http://schemas.openxmlformats.org/spreadsheetml/2006/main" r="V62" t="str" s="11">
        <x:v>C:\Users\Nomatin\Documents\Altium\MY_LIB\MY_LIB\Datasheets\YAGEO_CC_X7R.pdf</x:v>
      </x:c>
      <x:c xmlns:x="http://schemas.openxmlformats.org/spreadsheetml/2006/main" r="W62" t="str" s="11">
        <x:v>Даташит — производитель</x:v>
      </x:c>
      <x:c xmlns:x="http://schemas.openxmlformats.org/spreadsheetml/2006/main" r="X62" t="str" s="11">
        <x:v>https://yageogroup.com/content/datasheet/asset/file/UPY-GPHC_X7R_6_3V-TO-250V</x:v>
      </x:c>
      <x:c xmlns:x="http://schemas.openxmlformats.org/spreadsheetml/2006/main" r="Y62" t="str" s="11">
        <x:v>C:\Users\Nomatin\Documents\Altium\MY_LIB\MY_LIB\Datasheets\YAGEO_CC_X7R.pdf</x:v>
      </x:c>
      <ns0:c xmlns:ns0="http://schemas.openxmlformats.org/spreadsheetml/2006/main" r="Z62" s="11">
        <ns0:v>4.7e-10</ns0:v>
      </ns0:c>
      <ns0:c xmlns:ns0="http://schemas.openxmlformats.org/spreadsheetml/2006/main" r="AA62" s="11">
        <ns0:v>0.025</ns0:v>
      </ns0:c>
      <ns0:c xmlns:ns0="http://schemas.openxmlformats.org/spreadsheetml/2006/main" r="AB62" s="11">
        <ns0:v>1000</ns0:v>
      </ns0:c>
      <ns0:c xmlns:ns0="http://schemas.openxmlformats.org/spreadsheetml/2006/main" r="AC62" s="11">
        <ns0:v>1</ns0:v>
      </ns0:c>
      <ns0:c xmlns:ns0="http://schemas.openxmlformats.org/spreadsheetml/2006/main" r="AD62" s="11">
        <ns0:v>20</ns0:v>
      </ns0:c>
      <ns0:c xmlns:ns0="http://schemas.openxmlformats.org/spreadsheetml/2006/main" r="AE62" s="11">
        <ns0:v>500</ns0:v>
      </ns0:c>
      <ns0:c xmlns:ns0="http://schemas.openxmlformats.org/spreadsheetml/2006/main" r="AF62" s="11">
        <ns0:v>10000000000</ns0:v>
      </ns0:c>
      <ns0:c xmlns:ns0="http://schemas.openxmlformats.org/spreadsheetml/2006/main" r="AG62" s="11">
        <ns0:v>100</ns0:v>
      </ns0:c>
      <ns0:c xmlns:ns0="http://schemas.openxmlformats.org/spreadsheetml/2006/main" r="AH62" s="11">
        <ns0:v>60</ns0:v>
      </ns0:c>
      <ns0:c xmlns:ns0="http://schemas.openxmlformats.org/spreadsheetml/2006/main" r="AI62" s="11">
        <ns0:v>8465.68846233486</ns0:v>
      </ns0:c>
      <ns0:c xmlns:ns0="http://schemas.openxmlformats.org/spreadsheetml/2006/main" r="AJ62" s="11" t="inlineStr">
        <ns0:is>
          <ns0:t>MY_LIB_C_RC</ns0:t>
        </ns0:is>
      </ns0:c>
      <ns0:c xmlns:ns0="http://schemas.openxmlformats.org/spreadsheetml/2006/main" r="AK62" s="11" t="inlineStr">
        <ns0:is>
          <ns0:t>Nominal C; DFmax at 1kHz; minimum insulation; no temperature/bias/ESL</ns0:t>
        </ns0:is>
      </ns0:c>
      <ns0:c xmlns:ns0="http://schemas.openxmlformats.org/spreadsheetml/2006/main" r="AL62" s="11" t="inlineStr">
        <ns0:is>
          <ns0:t>General</ns0:t>
        </ns0:is>
      </ns0:c>
      <ns0:c xmlns:ns0="http://schemas.openxmlformats.org/spreadsheetml/2006/main" r="AM62" s="11" t="inlineStr">
        <ns0:is>
          <ns0:t>Spice Subcircuit</ns0:t>
        </ns0:is>
      </ns0:c>
      <ns0:c xmlns:ns0="http://schemas.openxmlformats.org/spreadsheetml/2006/main" r="AN62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62" s="11" t="inlineStr">
        <ns0:is>
          <ns0:t>X</ns0:t>
        </ns0:is>
      </ns0:c>
      <ns0:c xmlns:ns0="http://schemas.openxmlformats.org/spreadsheetml/2006/main" r="AP62" s="11" t="inlineStr">
        <ns0:is>
          <ns0:t>(1:1),(2:2)</ns0:t>
        </ns0:is>
      </ns0:c>
      <ns0:c xmlns:ns0="http://schemas.openxmlformats.org/spreadsheetml/2006/main" r="AQ62" s="11" t="inlineStr">
        <ns0:is>
          <ns0:t>Simulation\Capacitors\MY_LIB_C_RC.ckt</ns0:t>
        </ns0:is>
      </ns0:c>
    </ns0:row>
    <ns0:row r="63" ht="30" customHeight="1">
      <ns0:c r="A63" t="str" s="14">
        <ns0:v>C0064</ns0:v>
      </ns0:c>
      <ns0:c r="B63" t="str" s="14">
        <ns0:v>Конденсатор</ns0:v>
      </ns0:c>
      <ns0:c r="C63" t="str" s="14">
        <ns0:v>560p</ns0:v>
      </ns0:c>
      <ns0:c r="D63" t="str" s="11">
        <ns0:f>SUBSTITUTE(SUBSTITUTE(SUBSTITUTE(SUBSTITUTE(C63,"p"," пФ"),"n"," нФ"),"u"," мкФ"),".",",")</ns0:f>
        <ns0:v>560 пФ</ns0:v>
      </ns0:c>
      <ns0:c r="E63" t="str" s="14">
        <ns0:v>±10%</ns0:v>
      </ns0:c>
      <ns0:c r="F63" s="14"/>
      <ns0:c r="G63" t="str" s="14">
        <ns0:v>100 В</ns0:v>
      </ns0:c>
      <ns0:c r="H63" t="str" s="14">
        <ns0:v>X7R</ns0:v>
      </ns0:c>
      <ns0:c r="I63" t="str" s="15">
        <ns0:v>0805</ns0:v>
      </ns0:c>
      <ns0:c r="J63" t="str" s="14">
        <ns0:v>YAGEO</ns0:v>
      </ns0:c>
      <ns0:c r="K63" t="str" s="14">
        <ns0:v>CC0805KRX7R0BB561</ns0:v>
      </ns0:c>
      <ns0:c r="L63" t="str" s="11">
        <ns0:f>B63&amp;" "&amp;D63&amp;" "&amp;E63&amp;" "&amp;G63&amp;" "&amp;H63&amp;" "&amp;I63</ns0:f>
        <ns0:v>Конденсатор 560 пФ ±10% 100 В X7R 0805</ns0:v>
      </ns0:c>
      <ns0:c r="M63" t="str" s="13">
        <ns0:v>C</ns0:v>
      </ns0:c>
      <ns0:c r="N63" t="str" s="13">
        <ns0:v>Symbols\MY_LIB_Capacitors.SchLib</ns0:v>
      </ns0:c>
      <ns0:c r="O63" t="str" s="13">
        <ns0:v>CAPC2012X135N</ns0:v>
      </ns0:c>
      <ns0:c r="P63" t="str" s="13">
        <ns0:v>Footprints\PBL - SMD Packages.PcbLib</ns0:v>
      </ns0:c>
      <ns0:c r="Q63" t="str" s="14">
        <ns0:v>YAGEO CC; список 20.10.2026</ns0:v>
      </ns0:c>
      <ns0:c r="R63" t="str" s="11">
        <ns0:f>D63</ns0:f>
        <ns0:v>560 пФ</ns0:v>
      </ns0:c>
      <ns0:c r="S63" t="str" s="11">
        <ns0:f>L63</ns0:f>
        <ns0:v>Конденсатор 560 пФ ±10% 100 В X7R 0805</ns0:v>
      </ns0:c>
      <x:c xmlns:x="http://schemas.openxmlformats.org/spreadsheetml/2006/main" r="T63" t="str" s="11">
        <x:v>C:\Users\Nomatin\Documents\Altium\MY_LIB\MY_LIB\Datasheets\YAGEO_CC_X7R.pdf</x:v>
      </x:c>
      <x:c xmlns:x="http://schemas.openxmlformats.org/spreadsheetml/2006/main" r="U63" t="str" s="11">
        <x:v>Даташит — локальный</x:v>
      </x:c>
      <x:c xmlns:x="http://schemas.openxmlformats.org/spreadsheetml/2006/main" r="V63" t="str" s="11">
        <x:v>C:\Users\Nomatin\Documents\Altium\MY_LIB\MY_LIB\Datasheets\YAGEO_CC_X7R.pdf</x:v>
      </x:c>
      <x:c xmlns:x="http://schemas.openxmlformats.org/spreadsheetml/2006/main" r="W63" t="str" s="11">
        <x:v>Даташит — производитель</x:v>
      </x:c>
      <x:c xmlns:x="http://schemas.openxmlformats.org/spreadsheetml/2006/main" r="X63" t="str" s="11">
        <x:v>https://yageogroup.com/content/datasheet/asset/file/UPY-GPHC_X7R_6_3V-TO-250V</x:v>
      </x:c>
      <x:c xmlns:x="http://schemas.openxmlformats.org/spreadsheetml/2006/main" r="Y63" t="str" s="11">
        <x:v>C:\Users\Nomatin\Documents\Altium\MY_LIB\MY_LIB\Datasheets\YAGEO_CC_X7R.pdf</x:v>
      </x:c>
      <ns0:c xmlns:ns0="http://schemas.openxmlformats.org/spreadsheetml/2006/main" r="Z63" s="11">
        <ns0:v>5.6e-10</ns0:v>
      </ns0:c>
      <ns0:c xmlns:ns0="http://schemas.openxmlformats.org/spreadsheetml/2006/main" r="AA63" s="11">
        <ns0:v>0.025</ns0:v>
      </ns0:c>
      <ns0:c xmlns:ns0="http://schemas.openxmlformats.org/spreadsheetml/2006/main" r="AB63" s="11">
        <ns0:v>1000</ns0:v>
      </ns0:c>
      <ns0:c xmlns:ns0="http://schemas.openxmlformats.org/spreadsheetml/2006/main" r="AC63" s="11">
        <ns0:v>1</ns0:v>
      </ns0:c>
      <ns0:c xmlns:ns0="http://schemas.openxmlformats.org/spreadsheetml/2006/main" r="AD63" s="11">
        <ns0:v>20</ns0:v>
      </ns0:c>
      <ns0:c xmlns:ns0="http://schemas.openxmlformats.org/spreadsheetml/2006/main" r="AE63" s="11">
        <ns0:v>500</ns0:v>
      </ns0:c>
      <ns0:c xmlns:ns0="http://schemas.openxmlformats.org/spreadsheetml/2006/main" r="AF63" s="11">
        <ns0:v>10000000000</ns0:v>
      </ns0:c>
      <ns0:c xmlns:ns0="http://schemas.openxmlformats.org/spreadsheetml/2006/main" r="AG63" s="11">
        <ns0:v>100</ns0:v>
      </ns0:c>
      <ns0:c xmlns:ns0="http://schemas.openxmlformats.org/spreadsheetml/2006/main" r="AH63" s="11">
        <ns0:v>60</ns0:v>
      </ns0:c>
      <ns0:c xmlns:ns0="http://schemas.openxmlformats.org/spreadsheetml/2006/main" r="AI63" s="11">
        <ns0:v>7105.13138803104</ns0:v>
      </ns0:c>
      <ns0:c xmlns:ns0="http://schemas.openxmlformats.org/spreadsheetml/2006/main" r="AJ63" s="11" t="inlineStr">
        <ns0:is>
          <ns0:t>MY_LIB_C_RC</ns0:t>
        </ns0:is>
      </ns0:c>
      <ns0:c xmlns:ns0="http://schemas.openxmlformats.org/spreadsheetml/2006/main" r="AK63" s="11" t="inlineStr">
        <ns0:is>
          <ns0:t>Nominal C; DFmax at 1kHz; minimum insulation; no temperature/bias/ESL</ns0:t>
        </ns0:is>
      </ns0:c>
      <ns0:c xmlns:ns0="http://schemas.openxmlformats.org/spreadsheetml/2006/main" r="AL63" s="11" t="inlineStr">
        <ns0:is>
          <ns0:t>General</ns0:t>
        </ns0:is>
      </ns0:c>
      <ns0:c xmlns:ns0="http://schemas.openxmlformats.org/spreadsheetml/2006/main" r="AM63" s="11" t="inlineStr">
        <ns0:is>
          <ns0:t>Spice Subcircuit</ns0:t>
        </ns0:is>
      </ns0:c>
      <ns0:c xmlns:ns0="http://schemas.openxmlformats.org/spreadsheetml/2006/main" r="AN63" s="11" t="inlineStr">
        <ns0:is>
          <ns0:t>@DESIGNATOR %1 %2 @MODEL PARAMS: Cvalue=5.6e-10 Rsvalue=7105.13138803104 Rinsvalue=10000000000</ns0:t>
        </ns0:is>
      </ns0:c>
      <ns0:c xmlns:ns0="http://schemas.openxmlformats.org/spreadsheetml/2006/main" r="AO63" s="11" t="inlineStr">
        <ns0:is>
          <ns0:t>X</ns0:t>
        </ns0:is>
      </ns0:c>
      <ns0:c xmlns:ns0="http://schemas.openxmlformats.org/spreadsheetml/2006/main" r="AP63" s="11" t="inlineStr">
        <ns0:is>
          <ns0:t>(1:1),(2:2)</ns0:t>
        </ns0:is>
      </ns0:c>
      <ns0:c xmlns:ns0="http://schemas.openxmlformats.org/spreadsheetml/2006/main" r="AQ63" s="11" t="inlineStr">
        <ns0:is>
          <ns0:t>Simulation\Capacitors\MY_LIB_C_RC.ckt</ns0:t>
        </ns0:is>
      </ns0:c>
    </ns0:row>
    <ns0:row r="64" ht="30" customHeight="1">
      <ns0:c r="A64" t="str" s="14">
        <ns0:v>C0065</ns0:v>
      </ns0:c>
      <ns0:c r="B64" t="str" s="14">
        <ns0:v>Конденсатор</ns0:v>
      </ns0:c>
      <ns0:c r="C64" t="str" s="14">
        <ns0:v>680p</ns0:v>
      </ns0:c>
      <ns0:c r="D64" t="str" s="11">
        <ns0:f>SUBSTITUTE(SUBSTITUTE(SUBSTITUTE(SUBSTITUTE(C64,"p"," пФ"),"n"," нФ"),"u"," мкФ"),".",",")</ns0:f>
        <ns0:v>680 пФ</ns0:v>
      </ns0:c>
      <ns0:c r="E64" t="str" s="14">
        <ns0:v>±10%</ns0:v>
      </ns0:c>
      <ns0:c r="F64" s="14"/>
      <ns0:c r="G64" t="str" s="14">
        <ns0:v>100 В</ns0:v>
      </ns0:c>
      <ns0:c r="H64" t="str" s="14">
        <ns0:v>X7R</ns0:v>
      </ns0:c>
      <ns0:c r="I64" t="str" s="15">
        <ns0:v>0805</ns0:v>
      </ns0:c>
      <ns0:c r="J64" t="str" s="14">
        <ns0:v>YAGEO</ns0:v>
      </ns0:c>
      <ns0:c r="K64" t="str" s="14">
        <ns0:v>CC0805KRX7R0BB681</ns0:v>
      </ns0:c>
      <ns0:c r="L64" t="str" s="11">
        <ns0:f>B64&amp;" "&amp;D64&amp;" "&amp;E64&amp;" "&amp;G64&amp;" "&amp;H64&amp;" "&amp;I64</ns0:f>
        <ns0:v>Конденсатор 680 пФ ±10% 100 В X7R 0805</ns0:v>
      </ns0:c>
      <ns0:c r="M64" t="str" s="13">
        <ns0:v>C</ns0:v>
      </ns0:c>
      <ns0:c r="N64" t="str" s="13">
        <ns0:v>Symbols\MY_LIB_Capacitors.SchLib</ns0:v>
      </ns0:c>
      <ns0:c r="O64" t="str" s="13">
        <ns0:v>CAPC2012X135N</ns0:v>
      </ns0:c>
      <ns0:c r="P64" t="str" s="13">
        <ns0:v>Footprints\PBL - SMD Packages.PcbLib</ns0:v>
      </ns0:c>
      <ns0:c r="Q64" t="str" s="14">
        <ns0:v>YAGEO CC; список 20.10.2026</ns0:v>
      </ns0:c>
      <ns0:c r="R64" t="str" s="11">
        <ns0:f>D64</ns0:f>
        <ns0:v>680 пФ</ns0:v>
      </ns0:c>
      <ns0:c r="S64" t="str" s="11">
        <ns0:f>L64</ns0:f>
        <ns0:v>Конденсатор 680 пФ ±10% 100 В X7R 0805</ns0:v>
      </ns0:c>
      <x:c xmlns:x="http://schemas.openxmlformats.org/spreadsheetml/2006/main" r="T64" t="str" s="11">
        <x:v>C:\Users\Nomatin\Documents\Altium\MY_LIB\MY_LIB\Datasheets\YAGEO_CC_X7R.pdf</x:v>
      </x:c>
      <x:c xmlns:x="http://schemas.openxmlformats.org/spreadsheetml/2006/main" r="U64" t="str" s="11">
        <x:v>Даташит — локальный</x:v>
      </x:c>
      <x:c xmlns:x="http://schemas.openxmlformats.org/spreadsheetml/2006/main" r="V64" t="str" s="11">
        <x:v>C:\Users\Nomatin\Documents\Altium\MY_LIB\MY_LIB\Datasheets\YAGEO_CC_X7R.pdf</x:v>
      </x:c>
      <x:c xmlns:x="http://schemas.openxmlformats.org/spreadsheetml/2006/main" r="W64" t="str" s="11">
        <x:v>Даташит — производитель</x:v>
      </x:c>
      <x:c xmlns:x="http://schemas.openxmlformats.org/spreadsheetml/2006/main" r="X64" t="str" s="11">
        <x:v>https://yageogroup.com/content/datasheet/asset/file/UPY-GPHC_X7R_6_3V-TO-250V</x:v>
      </x:c>
      <x:c xmlns:x="http://schemas.openxmlformats.org/spreadsheetml/2006/main" r="Y64" t="str" s="11">
        <x:v>C:\Users\Nomatin\Documents\Altium\MY_LIB\MY_LIB\Datasheets\YAGEO_CC_X7R.pdf</x:v>
      </x:c>
      <ns0:c xmlns:ns0="http://schemas.openxmlformats.org/spreadsheetml/2006/main" r="Z64" s="11">
        <ns0:v>6.8e-10</ns0:v>
      </ns0:c>
      <ns0:c xmlns:ns0="http://schemas.openxmlformats.org/spreadsheetml/2006/main" r="AA64" s="11">
        <ns0:v>0.025</ns0:v>
      </ns0:c>
      <ns0:c xmlns:ns0="http://schemas.openxmlformats.org/spreadsheetml/2006/main" r="AB64" s="11">
        <ns0:v>1000</ns0:v>
      </ns0:c>
      <ns0:c xmlns:ns0="http://schemas.openxmlformats.org/spreadsheetml/2006/main" r="AC64" s="11">
        <ns0:v>1</ns0:v>
      </ns0:c>
      <ns0:c xmlns:ns0="http://schemas.openxmlformats.org/spreadsheetml/2006/main" r="AD64" s="11">
        <ns0:v>20</ns0:v>
      </ns0:c>
      <ns0:c xmlns:ns0="http://schemas.openxmlformats.org/spreadsheetml/2006/main" r="AE64" s="11">
        <ns0:v>500</ns0:v>
      </ns0:c>
      <ns0:c xmlns:ns0="http://schemas.openxmlformats.org/spreadsheetml/2006/main" r="AF64" s="11">
        <ns0:v>10000000000</ns0:v>
      </ns0:c>
      <ns0:c xmlns:ns0="http://schemas.openxmlformats.org/spreadsheetml/2006/main" r="AG64" s="11">
        <ns0:v>100</ns0:v>
      </ns0:c>
      <ns0:c xmlns:ns0="http://schemas.openxmlformats.org/spreadsheetml/2006/main" r="AH64" s="11">
        <ns0:v>60</ns0:v>
      </ns0:c>
      <ns0:c xmlns:ns0="http://schemas.openxmlformats.org/spreadsheetml/2006/main" r="AI64" s="11">
        <ns0:v>5851.28467249615</ns0:v>
      </ns0:c>
      <ns0:c xmlns:ns0="http://schemas.openxmlformats.org/spreadsheetml/2006/main" r="AJ64" s="11" t="inlineStr">
        <ns0:is>
          <ns0:t>MY_LIB_C_RC</ns0:t>
        </ns0:is>
      </ns0:c>
      <ns0:c xmlns:ns0="http://schemas.openxmlformats.org/spreadsheetml/2006/main" r="AK64" s="11" t="inlineStr">
        <ns0:is>
          <ns0:t>Nominal C; DFmax at 1kHz; minimum insulation; no temperature/bias/ESL</ns0:t>
        </ns0:is>
      </ns0:c>
      <ns0:c xmlns:ns0="http://schemas.openxmlformats.org/spreadsheetml/2006/main" r="AL64" s="11" t="inlineStr">
        <ns0:is>
          <ns0:t>General</ns0:t>
        </ns0:is>
      </ns0:c>
      <ns0:c xmlns:ns0="http://schemas.openxmlformats.org/spreadsheetml/2006/main" r="AM64" s="11" t="inlineStr">
        <ns0:is>
          <ns0:t>Spice Subcircuit</ns0:t>
        </ns0:is>
      </ns0:c>
      <ns0:c xmlns:ns0="http://schemas.openxmlformats.org/spreadsheetml/2006/main" r="AN64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64" s="11" t="inlineStr">
        <ns0:is>
          <ns0:t>X</ns0:t>
        </ns0:is>
      </ns0:c>
      <ns0:c xmlns:ns0="http://schemas.openxmlformats.org/spreadsheetml/2006/main" r="AP64" s="11" t="inlineStr">
        <ns0:is>
          <ns0:t>(1:1),(2:2)</ns0:t>
        </ns0:is>
      </ns0:c>
      <ns0:c xmlns:ns0="http://schemas.openxmlformats.org/spreadsheetml/2006/main" r="AQ64" s="11" t="inlineStr">
        <ns0:is>
          <ns0:t>Simulation\Capacitors\MY_LIB_C_RC.ckt</ns0:t>
        </ns0:is>
      </ns0:c>
    </ns0:row>
    <ns0:row r="65" ht="30" customHeight="1">
      <ns0:c r="A65" t="str" s="14">
        <ns0:v>C0066</ns0:v>
      </ns0:c>
      <ns0:c r="B65" t="str" s="14">
        <ns0:v>Конденсатор</ns0:v>
      </ns0:c>
      <ns0:c r="C65" t="str" s="14">
        <ns0:v>820p</ns0:v>
      </ns0:c>
      <ns0:c r="D65" t="str" s="11">
        <ns0:f>SUBSTITUTE(SUBSTITUTE(SUBSTITUTE(SUBSTITUTE(C65,"p"," пФ"),"n"," нФ"),"u"," мкФ"),".",",")</ns0:f>
        <ns0:v>820 пФ</ns0:v>
      </ns0:c>
      <ns0:c r="E65" t="str" s="14">
        <ns0:v>±10%</ns0:v>
      </ns0:c>
      <ns0:c r="F65" s="14"/>
      <ns0:c r="G65" t="str" s="14">
        <ns0:v>100 В</ns0:v>
      </ns0:c>
      <ns0:c r="H65" t="str" s="14">
        <ns0:v>X7R</ns0:v>
      </ns0:c>
      <ns0:c r="I65" t="str" s="15">
        <ns0:v>0805</ns0:v>
      </ns0:c>
      <ns0:c r="J65" t="str" s="14">
        <ns0:v>YAGEO</ns0:v>
      </ns0:c>
      <ns0:c r="K65" t="str" s="14">
        <ns0:v>CC0805KRX7R0BB821</ns0:v>
      </ns0:c>
      <ns0:c r="L65" t="str" s="11">
        <ns0:f>B65&amp;" "&amp;D65&amp;" "&amp;E65&amp;" "&amp;G65&amp;" "&amp;H65&amp;" "&amp;I65</ns0:f>
        <ns0:v>Конденсатор 820 пФ ±10% 100 В X7R 0805</ns0:v>
      </ns0:c>
      <ns0:c r="M65" t="str" s="13">
        <ns0:v>C</ns0:v>
      </ns0:c>
      <ns0:c r="N65" t="str" s="13">
        <ns0:v>Symbols\MY_LIB_Capacitors.SchLib</ns0:v>
      </ns0:c>
      <ns0:c r="O65" t="str" s="13">
        <ns0:v>CAPC2012X135N</ns0:v>
      </ns0:c>
      <ns0:c r="P65" t="str" s="13">
        <ns0:v>Footprints\PBL - SMD Packages.PcbLib</ns0:v>
      </ns0:c>
      <ns0:c r="Q65" t="str" s="14">
        <ns0:v>YAGEO CC; список 20.10.2026</ns0:v>
      </ns0:c>
      <ns0:c r="R65" t="str" s="11">
        <ns0:f>D65</ns0:f>
        <ns0:v>820 пФ</ns0:v>
      </ns0:c>
      <ns0:c r="S65" t="str" s="11">
        <ns0:f>L65</ns0:f>
        <ns0:v>Конденсатор 820 пФ ±10% 100 В X7R 0805</ns0:v>
      </ns0:c>
      <x:c xmlns:x="http://schemas.openxmlformats.org/spreadsheetml/2006/main" r="T65" t="str" s="11">
        <x:v>C:\Users\Nomatin\Documents\Altium\MY_LIB\MY_LIB\Datasheets\YAGEO_CC_X7R.pdf</x:v>
      </x:c>
      <x:c xmlns:x="http://schemas.openxmlformats.org/spreadsheetml/2006/main" r="U65" t="str" s="11">
        <x:v>Даташит — локальный</x:v>
      </x:c>
      <x:c xmlns:x="http://schemas.openxmlformats.org/spreadsheetml/2006/main" r="V65" t="str" s="11">
        <x:v>C:\Users\Nomatin\Documents\Altium\MY_LIB\MY_LIB\Datasheets\YAGEO_CC_X7R.pdf</x:v>
      </x:c>
      <x:c xmlns:x="http://schemas.openxmlformats.org/spreadsheetml/2006/main" r="W65" t="str" s="11">
        <x:v>Даташит — производитель</x:v>
      </x:c>
      <x:c xmlns:x="http://schemas.openxmlformats.org/spreadsheetml/2006/main" r="X65" t="str" s="11">
        <x:v>https://yageogroup.com/content/datasheet/asset/file/UPY-GPHC_X7R_6_3V-TO-250V</x:v>
      </x:c>
      <x:c xmlns:x="http://schemas.openxmlformats.org/spreadsheetml/2006/main" r="Y65" t="str" s="11">
        <x:v>C:\Users\Nomatin\Documents\Altium\MY_LIB\MY_LIB\Datasheets\YAGEO_CC_X7R.pdf</x:v>
      </x:c>
      <ns0:c xmlns:ns0="http://schemas.openxmlformats.org/spreadsheetml/2006/main" r="Z65" s="11">
        <ns0:v>8.2e-10</ns0:v>
      </ns0:c>
      <ns0:c xmlns:ns0="http://schemas.openxmlformats.org/spreadsheetml/2006/main" r="AA65" s="11">
        <ns0:v>0.025</ns0:v>
      </ns0:c>
      <ns0:c xmlns:ns0="http://schemas.openxmlformats.org/spreadsheetml/2006/main" r="AB65" s="11">
        <ns0:v>1000</ns0:v>
      </ns0:c>
      <ns0:c xmlns:ns0="http://schemas.openxmlformats.org/spreadsheetml/2006/main" r="AC65" s="11">
        <ns0:v>1</ns0:v>
      </ns0:c>
      <ns0:c xmlns:ns0="http://schemas.openxmlformats.org/spreadsheetml/2006/main" r="AD65" s="11">
        <ns0:v>20</ns0:v>
      </ns0:c>
      <ns0:c xmlns:ns0="http://schemas.openxmlformats.org/spreadsheetml/2006/main" r="AE65" s="11">
        <ns0:v>500</ns0:v>
      </ns0:c>
      <ns0:c xmlns:ns0="http://schemas.openxmlformats.org/spreadsheetml/2006/main" r="AF65" s="11">
        <ns0:v>10000000000</ns0:v>
      </ns0:c>
      <ns0:c xmlns:ns0="http://schemas.openxmlformats.org/spreadsheetml/2006/main" r="AG65" s="11">
        <ns0:v>100</ns0:v>
      </ns0:c>
      <ns0:c xmlns:ns0="http://schemas.openxmlformats.org/spreadsheetml/2006/main" r="AH65" s="11">
        <ns0:v>60</ns0:v>
      </ns0:c>
      <ns0:c xmlns:ns0="http://schemas.openxmlformats.org/spreadsheetml/2006/main" r="AI65" s="11">
        <ns0:v>4852.28485036266</ns0:v>
      </ns0:c>
      <ns0:c xmlns:ns0="http://schemas.openxmlformats.org/spreadsheetml/2006/main" r="AJ65" s="11" t="inlineStr">
        <ns0:is>
          <ns0:t>MY_LIB_C_RC</ns0:t>
        </ns0:is>
      </ns0:c>
      <ns0:c xmlns:ns0="http://schemas.openxmlformats.org/spreadsheetml/2006/main" r="AK65" s="11" t="inlineStr">
        <ns0:is>
          <ns0:t>Nominal C; DFmax at 1kHz; minimum insulation; no temperature/bias/ESL</ns0:t>
        </ns0:is>
      </ns0:c>
      <ns0:c xmlns:ns0="http://schemas.openxmlformats.org/spreadsheetml/2006/main" r="AL65" s="11" t="inlineStr">
        <ns0:is>
          <ns0:t>General</ns0:t>
        </ns0:is>
      </ns0:c>
      <ns0:c xmlns:ns0="http://schemas.openxmlformats.org/spreadsheetml/2006/main" r="AM65" s="11" t="inlineStr">
        <ns0:is>
          <ns0:t>Spice Subcircuit</ns0:t>
        </ns0:is>
      </ns0:c>
      <ns0:c xmlns:ns0="http://schemas.openxmlformats.org/spreadsheetml/2006/main" r="AN65" s="11" t="inlineStr">
        <ns0:is>
          <ns0:t>@DESIGNATOR %1 %2 @MODEL PARAMS: Cvalue=8.2e-10 Rsvalue=4852.28485036266 Rinsvalue=10000000000</ns0:t>
        </ns0:is>
      </ns0:c>
      <ns0:c xmlns:ns0="http://schemas.openxmlformats.org/spreadsheetml/2006/main" r="AO65" s="11" t="inlineStr">
        <ns0:is>
          <ns0:t>X</ns0:t>
        </ns0:is>
      </ns0:c>
      <ns0:c xmlns:ns0="http://schemas.openxmlformats.org/spreadsheetml/2006/main" r="AP65" s="11" t="inlineStr">
        <ns0:is>
          <ns0:t>(1:1),(2:2)</ns0:t>
        </ns0:is>
      </ns0:c>
      <ns0:c xmlns:ns0="http://schemas.openxmlformats.org/spreadsheetml/2006/main" r="AQ65" s="11" t="inlineStr">
        <ns0:is>
          <ns0:t>Simulation\Capacitors\MY_LIB_C_RC.ckt</ns0:t>
        </ns0:is>
      </ns0:c>
    </ns0:row>
    <ns0:row r="66" ht="30" customHeight="1">
      <ns0:c r="A66" t="str" s="14">
        <ns0:v>C0067</ns0:v>
      </ns0:c>
      <ns0:c r="B66" t="str" s="14">
        <ns0:v>Конденсатор</ns0:v>
      </ns0:c>
      <ns0:c r="C66" t="str" s="14">
        <ns0:v>1n</ns0:v>
      </ns0:c>
      <ns0:c r="D66" t="str" s="11">
        <ns0:f>SUBSTITUTE(SUBSTITUTE(SUBSTITUTE(SUBSTITUTE(C66,"p"," пФ"),"n"," нФ"),"u"," мкФ"),".",",")</ns0:f>
        <ns0:v>1 нФ</ns0:v>
      </ns0:c>
      <ns0:c r="E66" t="str" s="14">
        <ns0:v>±10%</ns0:v>
      </ns0:c>
      <ns0:c r="F66" s="14"/>
      <ns0:c r="G66" t="str" s="14">
        <ns0:v>100 В</ns0:v>
      </ns0:c>
      <ns0:c r="H66" t="str" s="14">
        <ns0:v>X7R</ns0:v>
      </ns0:c>
      <ns0:c r="I66" t="str" s="15">
        <ns0:v>0805</ns0:v>
      </ns0:c>
      <ns0:c r="J66" t="str" s="14">
        <ns0:v>YAGEO</ns0:v>
      </ns0:c>
      <ns0:c r="K66" t="str" s="14">
        <ns0:v>CC0805KKX7R0BB102</ns0:v>
      </ns0:c>
      <ns0:c r="L66" t="str" s="11">
        <ns0:f>B66&amp;" "&amp;D66&amp;" "&amp;E66&amp;" "&amp;G66&amp;" "&amp;H66&amp;" "&amp;I66</ns0:f>
        <ns0:v>Конденсатор 1 нФ ±10% 100 В X7R 0805</ns0:v>
      </ns0:c>
      <ns0:c r="M66" t="str" s="13">
        <ns0:v>C</ns0:v>
      </ns0:c>
      <ns0:c r="N66" t="str" s="13">
        <ns0:v>Symbols\MY_LIB_Capacitors.SchLib</ns0:v>
      </ns0:c>
      <ns0:c r="O66" t="str" s="13">
        <ns0:v>CAPC2012X135N</ns0:v>
      </ns0:c>
      <ns0:c r="P66" t="str" s="13">
        <ns0:v>Footprints\PBL - SMD Packages.PcbLib</ns0:v>
      </ns0:c>
      <ns0:c r="Q66" t="str" s="14">
        <ns0:v>YAGEO CC; список 20.10.2026</ns0:v>
      </ns0:c>
      <ns0:c r="R66" t="str" s="11">
        <ns0:f>D66</ns0:f>
        <ns0:v>1 нФ</ns0:v>
      </ns0:c>
      <ns0:c r="S66" t="str" s="11">
        <ns0:f>L66</ns0:f>
        <ns0:v>Конденсатор 1 нФ ±10% 100 В X7R 0805</ns0:v>
      </ns0:c>
      <x:c xmlns:x="http://schemas.openxmlformats.org/spreadsheetml/2006/main" r="T66" t="str" s="11">
        <x:v>C:\Users\Nomatin\Documents\Altium\MY_LIB\MY_LIB\Datasheets\YAGEO_CC_X7R.pdf</x:v>
      </x:c>
      <x:c xmlns:x="http://schemas.openxmlformats.org/spreadsheetml/2006/main" r="U66" t="str" s="11">
        <x:v>Даташит — локальный</x:v>
      </x:c>
      <x:c xmlns:x="http://schemas.openxmlformats.org/spreadsheetml/2006/main" r="V66" t="str" s="11">
        <x:v>C:\Users\Nomatin\Documents\Altium\MY_LIB\MY_LIB\Datasheets\YAGEO_CC_X7R.pdf</x:v>
      </x:c>
      <x:c xmlns:x="http://schemas.openxmlformats.org/spreadsheetml/2006/main" r="W66" t="str" s="11">
        <x:v>Даташит — производитель</x:v>
      </x:c>
      <x:c xmlns:x="http://schemas.openxmlformats.org/spreadsheetml/2006/main" r="X66" t="str" s="11">
        <x:v>https://yageogroup.com/content/datasheet/asset/file/UPY-GPHC_X7R_6_3V-TO-250V</x:v>
      </x:c>
      <x:c xmlns:x="http://schemas.openxmlformats.org/spreadsheetml/2006/main" r="Y66" t="str" s="11">
        <x:v>C:\Users\Nomatin\Documents\Altium\MY_LIB\MY_LIB\Datasheets\YAGEO_CC_X7R.pdf</x:v>
      </x:c>
      <ns0:c xmlns:ns0="http://schemas.openxmlformats.org/spreadsheetml/2006/main" r="Z66" s="11">
        <ns0:v>1e-09</ns0:v>
      </ns0:c>
      <ns0:c xmlns:ns0="http://schemas.openxmlformats.org/spreadsheetml/2006/main" r="AA66" s="11">
        <ns0:v>0.025</ns0:v>
      </ns0:c>
      <ns0:c xmlns:ns0="http://schemas.openxmlformats.org/spreadsheetml/2006/main" r="AB66" s="11">
        <ns0:v>1000</ns0:v>
      </ns0:c>
      <ns0:c xmlns:ns0="http://schemas.openxmlformats.org/spreadsheetml/2006/main" r="AC66" s="11">
        <ns0:v>1</ns0:v>
      </ns0:c>
      <ns0:c xmlns:ns0="http://schemas.openxmlformats.org/spreadsheetml/2006/main" r="AD66" s="11">
        <ns0:v>20</ns0:v>
      </ns0:c>
      <ns0:c xmlns:ns0="http://schemas.openxmlformats.org/spreadsheetml/2006/main" r="AE66" s="11">
        <ns0:v>500</ns0:v>
      </ns0:c>
      <ns0:c xmlns:ns0="http://schemas.openxmlformats.org/spreadsheetml/2006/main" r="AF66" s="11">
        <ns0:v>10000000000</ns0:v>
      </ns0:c>
      <ns0:c xmlns:ns0="http://schemas.openxmlformats.org/spreadsheetml/2006/main" r="AG66" s="11">
        <ns0:v>100</ns0:v>
      </ns0:c>
      <ns0:c xmlns:ns0="http://schemas.openxmlformats.org/spreadsheetml/2006/main" r="AH66" s="11">
        <ns0:v>60</ns0:v>
      </ns0:c>
      <ns0:c xmlns:ns0="http://schemas.openxmlformats.org/spreadsheetml/2006/main" r="AI66" s="11">
        <ns0:v>3978.87357729738</ns0:v>
      </ns0:c>
      <ns0:c xmlns:ns0="http://schemas.openxmlformats.org/spreadsheetml/2006/main" r="AJ66" s="11" t="inlineStr">
        <ns0:is>
          <ns0:t>MY_LIB_C_RC</ns0:t>
        </ns0:is>
      </ns0:c>
      <ns0:c xmlns:ns0="http://schemas.openxmlformats.org/spreadsheetml/2006/main" r="AK66" s="11" t="inlineStr">
        <ns0:is>
          <ns0:t>Nominal C; DFmax at 1kHz; minimum insulation; no temperature/bias/ESL</ns0:t>
        </ns0:is>
      </ns0:c>
      <ns0:c xmlns:ns0="http://schemas.openxmlformats.org/spreadsheetml/2006/main" r="AL66" s="11" t="inlineStr">
        <ns0:is>
          <ns0:t>General</ns0:t>
        </ns0:is>
      </ns0:c>
      <ns0:c xmlns:ns0="http://schemas.openxmlformats.org/spreadsheetml/2006/main" r="AM66" s="11" t="inlineStr">
        <ns0:is>
          <ns0:t>Spice Subcircuit</ns0:t>
        </ns0:is>
      </ns0:c>
      <ns0:c xmlns:ns0="http://schemas.openxmlformats.org/spreadsheetml/2006/main" r="AN66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66" s="11" t="inlineStr">
        <ns0:is>
          <ns0:t>X</ns0:t>
        </ns0:is>
      </ns0:c>
      <ns0:c xmlns:ns0="http://schemas.openxmlformats.org/spreadsheetml/2006/main" r="AP66" s="11" t="inlineStr">
        <ns0:is>
          <ns0:t>(1:1),(2:2)</ns0:t>
        </ns0:is>
      </ns0:c>
      <ns0:c xmlns:ns0="http://schemas.openxmlformats.org/spreadsheetml/2006/main" r="AQ66" s="11" t="inlineStr">
        <ns0:is>
          <ns0:t>Simulation\Capacitors\MY_LIB_C_RC.ckt</ns0:t>
        </ns0:is>
      </ns0:c>
    </ns0:row>
    <ns0:row r="67" ht="30" customHeight="1">
      <ns0:c r="A67" t="str" s="14">
        <ns0:v>C0068</ns0:v>
      </ns0:c>
      <ns0:c r="B67" t="str" s="14">
        <ns0:v>Конденсатор</ns0:v>
      </ns0:c>
      <ns0:c r="C67" t="str" s="14">
        <ns0:v>1.2n</ns0:v>
      </ns0:c>
      <ns0:c r="D67" t="str" s="11">
        <ns0:f>SUBSTITUTE(SUBSTITUTE(SUBSTITUTE(SUBSTITUTE(C67,"p"," пФ"),"n"," нФ"),"u"," мкФ"),".",",")</ns0:f>
        <ns0:v>1,2 нФ</ns0:v>
      </ns0:c>
      <ns0:c r="E67" t="str" s="14">
        <ns0:v>±10%</ns0:v>
      </ns0:c>
      <ns0:c r="F67" s="14"/>
      <ns0:c r="G67" t="str" s="14">
        <ns0:v>100 В</ns0:v>
      </ns0:c>
      <ns0:c r="H67" t="str" s="14">
        <ns0:v>X7R</ns0:v>
      </ns0:c>
      <ns0:c r="I67" t="str" s="15">
        <ns0:v>0805</ns0:v>
      </ns0:c>
      <ns0:c r="J67" t="str" s="14">
        <ns0:v>YAGEO</ns0:v>
      </ns0:c>
      <ns0:c r="K67" t="str" s="14">
        <ns0:v>CC0805KRX7R0BB122</ns0:v>
      </ns0:c>
      <ns0:c r="L67" t="str" s="11">
        <ns0:f>B67&amp;" "&amp;D67&amp;" "&amp;E67&amp;" "&amp;G67&amp;" "&amp;H67&amp;" "&amp;I67</ns0:f>
        <ns0:v>Конденсатор 1,2 нФ ±10% 100 В X7R 0805</ns0:v>
      </ns0:c>
      <ns0:c r="M67" t="str" s="13">
        <ns0:v>C</ns0:v>
      </ns0:c>
      <ns0:c r="N67" t="str" s="13">
        <ns0:v>Symbols\MY_LIB_Capacitors.SchLib</ns0:v>
      </ns0:c>
      <ns0:c r="O67" t="str" s="13">
        <ns0:v>CAPC2012X135N</ns0:v>
      </ns0:c>
      <ns0:c r="P67" t="str" s="13">
        <ns0:v>Footprints\PBL - SMD Packages.PcbLib</ns0:v>
      </ns0:c>
      <ns0:c r="Q67" t="str" s="14">
        <ns0:v>YAGEO CC; список 20.10.2026</ns0:v>
      </ns0:c>
      <ns0:c r="R67" t="str" s="11">
        <ns0:f>D67</ns0:f>
        <ns0:v>1,2 нФ</ns0:v>
      </ns0:c>
      <ns0:c r="S67" t="str" s="11">
        <ns0:f>L67</ns0:f>
        <ns0:v>Конденсатор 1,2 нФ ±10% 100 В X7R 0805</ns0:v>
      </ns0:c>
      <x:c xmlns:x="http://schemas.openxmlformats.org/spreadsheetml/2006/main" r="T67" t="str" s="11">
        <x:v>C:\Users\Nomatin\Documents\Altium\MY_LIB\MY_LIB\Datasheets\YAGEO_CC_X7R.pdf</x:v>
      </x:c>
      <x:c xmlns:x="http://schemas.openxmlformats.org/spreadsheetml/2006/main" r="U67" t="str" s="11">
        <x:v>Даташит — локальный</x:v>
      </x:c>
      <x:c xmlns:x="http://schemas.openxmlformats.org/spreadsheetml/2006/main" r="V67" t="str" s="11">
        <x:v>C:\Users\Nomatin\Documents\Altium\MY_LIB\MY_LIB\Datasheets\YAGEO_CC_X7R.pdf</x:v>
      </x:c>
      <x:c xmlns:x="http://schemas.openxmlformats.org/spreadsheetml/2006/main" r="W67" t="str" s="11">
        <x:v>Даташит — производитель</x:v>
      </x:c>
      <x:c xmlns:x="http://schemas.openxmlformats.org/spreadsheetml/2006/main" r="X67" t="str" s="11">
        <x:v>https://yageogroup.com/content/datasheet/asset/file/UPY-GPHC_X7R_6_3V-TO-250V</x:v>
      </x:c>
      <x:c xmlns:x="http://schemas.openxmlformats.org/spreadsheetml/2006/main" r="Y67" t="str" s="11">
        <x:v>C:\Users\Nomatin\Documents\Altium\MY_LIB\MY_LIB\Datasheets\YAGEO_CC_X7R.pdf</x:v>
      </x:c>
      <ns0:c xmlns:ns0="http://schemas.openxmlformats.org/spreadsheetml/2006/main" r="Z67" s="11">
        <ns0:v>1.2e-09</ns0:v>
      </ns0:c>
      <ns0:c xmlns:ns0="http://schemas.openxmlformats.org/spreadsheetml/2006/main" r="AA67" s="11">
        <ns0:v>0.025</ns0:v>
      </ns0:c>
      <ns0:c xmlns:ns0="http://schemas.openxmlformats.org/spreadsheetml/2006/main" r="AB67" s="11">
        <ns0:v>1000</ns0:v>
      </ns0:c>
      <ns0:c xmlns:ns0="http://schemas.openxmlformats.org/spreadsheetml/2006/main" r="AC67" s="11">
        <ns0:v>1</ns0:v>
      </ns0:c>
      <ns0:c xmlns:ns0="http://schemas.openxmlformats.org/spreadsheetml/2006/main" r="AD67" s="11">
        <ns0:v>20</ns0:v>
      </ns0:c>
      <ns0:c xmlns:ns0="http://schemas.openxmlformats.org/spreadsheetml/2006/main" r="AE67" s="11">
        <ns0:v>500</ns0:v>
      </ns0:c>
      <ns0:c xmlns:ns0="http://schemas.openxmlformats.org/spreadsheetml/2006/main" r="AF67" s="11">
        <ns0:v>10000000000</ns0:v>
      </ns0:c>
      <ns0:c xmlns:ns0="http://schemas.openxmlformats.org/spreadsheetml/2006/main" r="AG67" s="11">
        <ns0:v>100</ns0:v>
      </ns0:c>
      <ns0:c xmlns:ns0="http://schemas.openxmlformats.org/spreadsheetml/2006/main" r="AH67" s="11">
        <ns0:v>60</ns0:v>
      </ns0:c>
      <ns0:c xmlns:ns0="http://schemas.openxmlformats.org/spreadsheetml/2006/main" r="AI67" s="11">
        <ns0:v>3315.72798108115</ns0:v>
      </ns0:c>
      <ns0:c xmlns:ns0="http://schemas.openxmlformats.org/spreadsheetml/2006/main" r="AJ67" s="11" t="inlineStr">
        <ns0:is>
          <ns0:t>MY_LIB_C_RC</ns0:t>
        </ns0:is>
      </ns0:c>
      <ns0:c xmlns:ns0="http://schemas.openxmlformats.org/spreadsheetml/2006/main" r="AK67" s="11" t="inlineStr">
        <ns0:is>
          <ns0:t>Nominal C; DFmax at 1kHz; minimum insulation; no temperature/bias/ESL</ns0:t>
        </ns0:is>
      </ns0:c>
      <ns0:c xmlns:ns0="http://schemas.openxmlformats.org/spreadsheetml/2006/main" r="AL67" s="11" t="inlineStr">
        <ns0:is>
          <ns0:t>General</ns0:t>
        </ns0:is>
      </ns0:c>
      <ns0:c xmlns:ns0="http://schemas.openxmlformats.org/spreadsheetml/2006/main" r="AM67" s="11" t="inlineStr">
        <ns0:is>
          <ns0:t>Spice Subcircuit</ns0:t>
        </ns0:is>
      </ns0:c>
      <ns0:c xmlns:ns0="http://schemas.openxmlformats.org/spreadsheetml/2006/main" r="AN67" s="11" t="inlineStr">
        <ns0:is>
          <ns0:t>@DESIGNATOR %1 %2 @MODEL PARAMS: Cvalue=1.2e-09 Rsvalue=3315.72798108115 Rinsvalue=10000000000</ns0:t>
        </ns0:is>
      </ns0:c>
      <ns0:c xmlns:ns0="http://schemas.openxmlformats.org/spreadsheetml/2006/main" r="AO67" s="11" t="inlineStr">
        <ns0:is>
          <ns0:t>X</ns0:t>
        </ns0:is>
      </ns0:c>
      <ns0:c xmlns:ns0="http://schemas.openxmlformats.org/spreadsheetml/2006/main" r="AP67" s="11" t="inlineStr">
        <ns0:is>
          <ns0:t>(1:1),(2:2)</ns0:t>
        </ns0:is>
      </ns0:c>
      <ns0:c xmlns:ns0="http://schemas.openxmlformats.org/spreadsheetml/2006/main" r="AQ67" s="11" t="inlineStr">
        <ns0:is>
          <ns0:t>Simulation\Capacitors\MY_LIB_C_RC.ckt</ns0:t>
        </ns0:is>
      </ns0:c>
    </ns0:row>
    <ns0:row r="68" ht="30" customHeight="1">
      <ns0:c r="A68" t="str" s="14">
        <ns0:v>C0069</ns0:v>
      </ns0:c>
      <ns0:c r="B68" t="str" s="14">
        <ns0:v>Конденсатор</ns0:v>
      </ns0:c>
      <ns0:c r="C68" t="str" s="14">
        <ns0:v>1.5n</ns0:v>
      </ns0:c>
      <ns0:c r="D68" t="str" s="11">
        <ns0:f>SUBSTITUTE(SUBSTITUTE(SUBSTITUTE(SUBSTITUTE(C68,"p"," пФ"),"n"," нФ"),"u"," мкФ"),".",",")</ns0:f>
        <ns0:v>1,5 нФ</ns0:v>
      </ns0:c>
      <ns0:c r="E68" t="str" s="14">
        <ns0:v>±10%</ns0:v>
      </ns0:c>
      <ns0:c r="F68" s="14"/>
      <ns0:c r="G68" t="str" s="14">
        <ns0:v>100 В</ns0:v>
      </ns0:c>
      <ns0:c r="H68" t="str" s="14">
        <ns0:v>X7R</ns0:v>
      </ns0:c>
      <ns0:c r="I68" t="str" s="15">
        <ns0:v>0805</ns0:v>
      </ns0:c>
      <ns0:c r="J68" t="str" s="14">
        <ns0:v>YAGEO</ns0:v>
      </ns0:c>
      <ns0:c r="K68" t="str" s="14">
        <ns0:v>CC0805KKX7R0BB152</ns0:v>
      </ns0:c>
      <ns0:c r="L68" t="str" s="11">
        <ns0:f>B68&amp;" "&amp;D68&amp;" "&amp;E68&amp;" "&amp;G68&amp;" "&amp;H68&amp;" "&amp;I68</ns0:f>
        <ns0:v>Конденсатор 1,5 нФ ±10% 100 В X7R 0805</ns0:v>
      </ns0:c>
      <ns0:c r="M68" t="str" s="13">
        <ns0:v>C</ns0:v>
      </ns0:c>
      <ns0:c r="N68" t="str" s="13">
        <ns0:v>Symbols\MY_LIB_Capacitors.SchLib</ns0:v>
      </ns0:c>
      <ns0:c r="O68" t="str" s="13">
        <ns0:v>CAPC2012X135N</ns0:v>
      </ns0:c>
      <ns0:c r="P68" t="str" s="13">
        <ns0:v>Footprints\PBL - SMD Packages.PcbLib</ns0:v>
      </ns0:c>
      <ns0:c r="Q68" t="str" s="14">
        <ns0:v>YAGEO CC; список 20.10.2026</ns0:v>
      </ns0:c>
      <ns0:c r="R68" t="str" s="11">
        <ns0:f>D68</ns0:f>
        <ns0:v>1,5 нФ</ns0:v>
      </ns0:c>
      <ns0:c r="S68" t="str" s="11">
        <ns0:f>L68</ns0:f>
        <ns0:v>Конденсатор 1,5 нФ ±10% 100 В X7R 0805</ns0:v>
      </ns0:c>
      <x:c xmlns:x="http://schemas.openxmlformats.org/spreadsheetml/2006/main" r="T68" t="str" s="11">
        <x:v>C:\Users\Nomatin\Documents\Altium\MY_LIB\MY_LIB\Datasheets\YAGEO_CC_X7R.pdf</x:v>
      </x:c>
      <x:c xmlns:x="http://schemas.openxmlformats.org/spreadsheetml/2006/main" r="U68" t="str" s="11">
        <x:v>Даташит — локальный</x:v>
      </x:c>
      <x:c xmlns:x="http://schemas.openxmlformats.org/spreadsheetml/2006/main" r="V68" t="str" s="11">
        <x:v>C:\Users\Nomatin\Documents\Altium\MY_LIB\MY_LIB\Datasheets\YAGEO_CC_X7R.pdf</x:v>
      </x:c>
      <x:c xmlns:x="http://schemas.openxmlformats.org/spreadsheetml/2006/main" r="W68" t="str" s="11">
        <x:v>Даташит — производитель</x:v>
      </x:c>
      <x:c xmlns:x="http://schemas.openxmlformats.org/spreadsheetml/2006/main" r="X68" t="str" s="11">
        <x:v>https://yageogroup.com/content/datasheet/asset/file/UPY-GPHC_X7R_6_3V-TO-250V</x:v>
      </x:c>
      <x:c xmlns:x="http://schemas.openxmlformats.org/spreadsheetml/2006/main" r="Y68" t="str" s="11">
        <x:v>C:\Users\Nomatin\Documents\Altium\MY_LIB\MY_LIB\Datasheets\YAGEO_CC_X7R.pdf</x:v>
      </x:c>
      <ns0:c xmlns:ns0="http://schemas.openxmlformats.org/spreadsheetml/2006/main" r="Z68" s="11">
        <ns0:v>1.5e-09</ns0:v>
      </ns0:c>
      <ns0:c xmlns:ns0="http://schemas.openxmlformats.org/spreadsheetml/2006/main" r="AA68" s="11">
        <ns0:v>0.025</ns0:v>
      </ns0:c>
      <ns0:c xmlns:ns0="http://schemas.openxmlformats.org/spreadsheetml/2006/main" r="AB68" s="11">
        <ns0:v>1000</ns0:v>
      </ns0:c>
      <ns0:c xmlns:ns0="http://schemas.openxmlformats.org/spreadsheetml/2006/main" r="AC68" s="11">
        <ns0:v>1</ns0:v>
      </ns0:c>
      <ns0:c xmlns:ns0="http://schemas.openxmlformats.org/spreadsheetml/2006/main" r="AD68" s="11">
        <ns0:v>20</ns0:v>
      </ns0:c>
      <ns0:c xmlns:ns0="http://schemas.openxmlformats.org/spreadsheetml/2006/main" r="AE68" s="11">
        <ns0:v>500</ns0:v>
      </ns0:c>
      <ns0:c xmlns:ns0="http://schemas.openxmlformats.org/spreadsheetml/2006/main" r="AF68" s="11">
        <ns0:v>10000000000</ns0:v>
      </ns0:c>
      <ns0:c xmlns:ns0="http://schemas.openxmlformats.org/spreadsheetml/2006/main" r="AG68" s="11">
        <ns0:v>100</ns0:v>
      </ns0:c>
      <ns0:c xmlns:ns0="http://schemas.openxmlformats.org/spreadsheetml/2006/main" r="AH68" s="11">
        <ns0:v>60</ns0:v>
      </ns0:c>
      <ns0:c xmlns:ns0="http://schemas.openxmlformats.org/spreadsheetml/2006/main" r="AI68" s="11">
        <ns0:v>2652.58238486492</ns0:v>
      </ns0:c>
      <ns0:c xmlns:ns0="http://schemas.openxmlformats.org/spreadsheetml/2006/main" r="AJ68" s="11" t="inlineStr">
        <ns0:is>
          <ns0:t>MY_LIB_C_RC</ns0:t>
        </ns0:is>
      </ns0:c>
      <ns0:c xmlns:ns0="http://schemas.openxmlformats.org/spreadsheetml/2006/main" r="AK68" s="11" t="inlineStr">
        <ns0:is>
          <ns0:t>Nominal C; DFmax at 1kHz; minimum insulation; no temperature/bias/ESL</ns0:t>
        </ns0:is>
      </ns0:c>
      <ns0:c xmlns:ns0="http://schemas.openxmlformats.org/spreadsheetml/2006/main" r="AL68" s="11" t="inlineStr">
        <ns0:is>
          <ns0:t>General</ns0:t>
        </ns0:is>
      </ns0:c>
      <ns0:c xmlns:ns0="http://schemas.openxmlformats.org/spreadsheetml/2006/main" r="AM68" s="11" t="inlineStr">
        <ns0:is>
          <ns0:t>Spice Subcircuit</ns0:t>
        </ns0:is>
      </ns0:c>
      <ns0:c xmlns:ns0="http://schemas.openxmlformats.org/spreadsheetml/2006/main" r="AN68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68" s="11" t="inlineStr">
        <ns0:is>
          <ns0:t>X</ns0:t>
        </ns0:is>
      </ns0:c>
      <ns0:c xmlns:ns0="http://schemas.openxmlformats.org/spreadsheetml/2006/main" r="AP68" s="11" t="inlineStr">
        <ns0:is>
          <ns0:t>(1:1),(2:2)</ns0:t>
        </ns0:is>
      </ns0:c>
      <ns0:c xmlns:ns0="http://schemas.openxmlformats.org/spreadsheetml/2006/main" r="AQ68" s="11" t="inlineStr">
        <ns0:is>
          <ns0:t>Simulation\Capacitors\MY_LIB_C_RC.ckt</ns0:t>
        </ns0:is>
      </ns0:c>
    </ns0:row>
    <ns0:row r="69" ht="30" customHeight="1">
      <ns0:c r="A69" t="str" s="14">
        <ns0:v>C0070</ns0:v>
      </ns0:c>
      <ns0:c r="B69" t="str" s="14">
        <ns0:v>Конденсатор</ns0:v>
      </ns0:c>
      <ns0:c r="C69" t="str" s="14">
        <ns0:v>1.8n</ns0:v>
      </ns0:c>
      <ns0:c r="D69" t="str" s="11">
        <ns0:f>SUBSTITUTE(SUBSTITUTE(SUBSTITUTE(SUBSTITUTE(C69,"p"," пФ"),"n"," нФ"),"u"," мкФ"),".",",")</ns0:f>
        <ns0:v>1,8 нФ</ns0:v>
      </ns0:c>
      <ns0:c r="E69" t="str" s="14">
        <ns0:v>±10%</ns0:v>
      </ns0:c>
      <ns0:c r="F69" s="14"/>
      <ns0:c r="G69" t="str" s="14">
        <ns0:v>100 В</ns0:v>
      </ns0:c>
      <ns0:c r="H69" t="str" s="14">
        <ns0:v>X7R</ns0:v>
      </ns0:c>
      <ns0:c r="I69" t="str" s="15">
        <ns0:v>0805</ns0:v>
      </ns0:c>
      <ns0:c r="J69" t="str" s="14">
        <ns0:v>YAGEO</ns0:v>
      </ns0:c>
      <ns0:c r="K69" t="str" s="14">
        <ns0:v>CC0805KRX7R0BB182</ns0:v>
      </ns0:c>
      <ns0:c r="L69" t="str" s="11">
        <ns0:f>B69&amp;" "&amp;D69&amp;" "&amp;E69&amp;" "&amp;G69&amp;" "&amp;H69&amp;" "&amp;I69</ns0:f>
        <ns0:v>Конденсатор 1,8 нФ ±10% 100 В X7R 0805</ns0:v>
      </ns0:c>
      <ns0:c r="M69" t="str" s="13">
        <ns0:v>C</ns0:v>
      </ns0:c>
      <ns0:c r="N69" t="str" s="13">
        <ns0:v>Symbols\MY_LIB_Capacitors.SchLib</ns0:v>
      </ns0:c>
      <ns0:c r="O69" t="str" s="13">
        <ns0:v>CAPC2012X135N</ns0:v>
      </ns0:c>
      <ns0:c r="P69" t="str" s="13">
        <ns0:v>Footprints\PBL - SMD Packages.PcbLib</ns0:v>
      </ns0:c>
      <ns0:c r="Q69" t="str" s="14">
        <ns0:v>YAGEO CC; список 20.10.2026</ns0:v>
      </ns0:c>
      <ns0:c r="R69" t="str" s="11">
        <ns0:f>D69</ns0:f>
        <ns0:v>1,8 нФ</ns0:v>
      </ns0:c>
      <ns0:c r="S69" t="str" s="11">
        <ns0:f>L69</ns0:f>
        <ns0:v>Конденсатор 1,8 нФ ±10% 100 В X7R 0805</ns0:v>
      </ns0:c>
      <x:c xmlns:x="http://schemas.openxmlformats.org/spreadsheetml/2006/main" r="T69" t="str" s="11">
        <x:v>C:\Users\Nomatin\Documents\Altium\MY_LIB\MY_LIB\Datasheets\YAGEO_CC_X7R.pdf</x:v>
      </x:c>
      <x:c xmlns:x="http://schemas.openxmlformats.org/spreadsheetml/2006/main" r="U69" t="str" s="11">
        <x:v>Даташит — локальный</x:v>
      </x:c>
      <x:c xmlns:x="http://schemas.openxmlformats.org/spreadsheetml/2006/main" r="V69" t="str" s="11">
        <x:v>C:\Users\Nomatin\Documents\Altium\MY_LIB\MY_LIB\Datasheets\YAGEO_CC_X7R.pdf</x:v>
      </x:c>
      <x:c xmlns:x="http://schemas.openxmlformats.org/spreadsheetml/2006/main" r="W69" t="str" s="11">
        <x:v>Даташит — производитель</x:v>
      </x:c>
      <x:c xmlns:x="http://schemas.openxmlformats.org/spreadsheetml/2006/main" r="X69" t="str" s="11">
        <x:v>https://yageogroup.com/content/datasheet/asset/file/UPY-GPHC_X7R_6_3V-TO-250V</x:v>
      </x:c>
      <x:c xmlns:x="http://schemas.openxmlformats.org/spreadsheetml/2006/main" r="Y69" t="str" s="11">
        <x:v>C:\Users\Nomatin\Documents\Altium\MY_LIB\MY_LIB\Datasheets\YAGEO_CC_X7R.pdf</x:v>
      </x:c>
      <ns0:c xmlns:ns0="http://schemas.openxmlformats.org/spreadsheetml/2006/main" r="Z69" s="11">
        <ns0:v>1.8e-09</ns0:v>
      </ns0:c>
      <ns0:c xmlns:ns0="http://schemas.openxmlformats.org/spreadsheetml/2006/main" r="AA69" s="11">
        <ns0:v>0.025</ns0:v>
      </ns0:c>
      <ns0:c xmlns:ns0="http://schemas.openxmlformats.org/spreadsheetml/2006/main" r="AB69" s="11">
        <ns0:v>1000</ns0:v>
      </ns0:c>
      <ns0:c xmlns:ns0="http://schemas.openxmlformats.org/spreadsheetml/2006/main" r="AC69" s="11">
        <ns0:v>1</ns0:v>
      </ns0:c>
      <ns0:c xmlns:ns0="http://schemas.openxmlformats.org/spreadsheetml/2006/main" r="AD69" s="11">
        <ns0:v>20</ns0:v>
      </ns0:c>
      <ns0:c xmlns:ns0="http://schemas.openxmlformats.org/spreadsheetml/2006/main" r="AE69" s="11">
        <ns0:v>500</ns0:v>
      </ns0:c>
      <ns0:c xmlns:ns0="http://schemas.openxmlformats.org/spreadsheetml/2006/main" r="AF69" s="11">
        <ns0:v>10000000000</ns0:v>
      </ns0:c>
      <ns0:c xmlns:ns0="http://schemas.openxmlformats.org/spreadsheetml/2006/main" r="AG69" s="11">
        <ns0:v>100</ns0:v>
      </ns0:c>
      <ns0:c xmlns:ns0="http://schemas.openxmlformats.org/spreadsheetml/2006/main" r="AH69" s="11">
        <ns0:v>60</ns0:v>
      </ns0:c>
      <ns0:c xmlns:ns0="http://schemas.openxmlformats.org/spreadsheetml/2006/main" r="AI69" s="11">
        <ns0:v>2210.48532072077</ns0:v>
      </ns0:c>
      <ns0:c xmlns:ns0="http://schemas.openxmlformats.org/spreadsheetml/2006/main" r="AJ69" s="11" t="inlineStr">
        <ns0:is>
          <ns0:t>MY_LIB_C_RC</ns0:t>
        </ns0:is>
      </ns0:c>
      <ns0:c xmlns:ns0="http://schemas.openxmlformats.org/spreadsheetml/2006/main" r="AK69" s="11" t="inlineStr">
        <ns0:is>
          <ns0:t>Nominal C; DFmax at 1kHz; minimum insulation; no temperature/bias/ESL</ns0:t>
        </ns0:is>
      </ns0:c>
      <ns0:c xmlns:ns0="http://schemas.openxmlformats.org/spreadsheetml/2006/main" r="AL69" s="11" t="inlineStr">
        <ns0:is>
          <ns0:t>General</ns0:t>
        </ns0:is>
      </ns0:c>
      <ns0:c xmlns:ns0="http://schemas.openxmlformats.org/spreadsheetml/2006/main" r="AM69" s="11" t="inlineStr">
        <ns0:is>
          <ns0:t>Spice Subcircuit</ns0:t>
        </ns0:is>
      </ns0:c>
      <ns0:c xmlns:ns0="http://schemas.openxmlformats.org/spreadsheetml/2006/main" r="AN69" s="11" t="inlineStr">
        <ns0:is>
          <ns0:t>@DESIGNATOR %1 %2 @MODEL PARAMS: Cvalue=1.8e-09 Rsvalue=2210.48532072077 Rinsvalue=10000000000</ns0:t>
        </ns0:is>
      </ns0:c>
      <ns0:c xmlns:ns0="http://schemas.openxmlformats.org/spreadsheetml/2006/main" r="AO69" s="11" t="inlineStr">
        <ns0:is>
          <ns0:t>X</ns0:t>
        </ns0:is>
      </ns0:c>
      <ns0:c xmlns:ns0="http://schemas.openxmlformats.org/spreadsheetml/2006/main" r="AP69" s="11" t="inlineStr">
        <ns0:is>
          <ns0:t>(1:1),(2:2)</ns0:t>
        </ns0:is>
      </ns0:c>
      <ns0:c xmlns:ns0="http://schemas.openxmlformats.org/spreadsheetml/2006/main" r="AQ69" s="11" t="inlineStr">
        <ns0:is>
          <ns0:t>Simulation\Capacitors\MY_LIB_C_RC.ckt</ns0:t>
        </ns0:is>
      </ns0:c>
    </ns0:row>
    <ns0:row r="70" ht="30" customHeight="1">
      <ns0:c r="A70" t="str" s="14">
        <ns0:v>C0071</ns0:v>
      </ns0:c>
      <ns0:c r="B70" t="str" s="14">
        <ns0:v>Конденсатор</ns0:v>
      </ns0:c>
      <ns0:c r="C70" t="str" s="14">
        <ns0:v>2n</ns0:v>
      </ns0:c>
      <ns0:c r="D70" t="str" s="11">
        <ns0:f>SUBSTITUTE(SUBSTITUTE(SUBSTITUTE(SUBSTITUTE(C70,"p"," пФ"),"n"," нФ"),"u"," мкФ"),".",",")</ns0:f>
        <ns0:v>2 нФ</ns0:v>
      </ns0:c>
      <ns0:c r="E70" t="str" s="14">
        <ns0:v>±10%</ns0:v>
      </ns0:c>
      <ns0:c r="F70" s="14"/>
      <ns0:c r="G70" t="str" s="14">
        <ns0:v>50 В</ns0:v>
      </ns0:c>
      <ns0:c r="H70" t="str" s="14">
        <ns0:v>X7R</ns0:v>
      </ns0:c>
      <ns0:c r="I70" t="str" s="15">
        <ns0:v>0805</ns0:v>
      </ns0:c>
      <ns0:c r="J70" t="str" s="14">
        <ns0:v>YAGEO</ns0:v>
      </ns0:c>
      <ns0:c r="K70" t="str" s="14">
        <ns0:v>CC0805KRX7R9BB202</ns0:v>
      </ns0:c>
      <ns0:c r="L70" t="str" s="11">
        <ns0:f>B70&amp;" "&amp;D70&amp;" "&amp;E70&amp;" "&amp;G70&amp;" "&amp;H70&amp;" "&amp;I70</ns0:f>
        <ns0:v>Конденсатор 2 нФ ±10% 50 В X7R 0805</ns0:v>
      </ns0:c>
      <ns0:c r="M70" t="str" s="13">
        <ns0:v>C</ns0:v>
      </ns0:c>
      <ns0:c r="N70" t="str" s="13">
        <ns0:v>Symbols\MY_LIB_Capacitors.SchLib</ns0:v>
      </ns0:c>
      <ns0:c r="O70" t="str" s="13">
        <ns0:v>CAPC2012X135N</ns0:v>
      </ns0:c>
      <ns0:c r="P70" t="str" s="13">
        <ns0:v>Footprints\PBL - SMD Packages.PcbLib</ns0:v>
      </ns0:c>
      <ns0:c r="Q70" t="str" s="14">
        <ns0:v>YAGEO CC; список 20.10.2026</ns0:v>
      </ns0:c>
      <ns0:c r="R70" t="str" s="11">
        <ns0:f>D70</ns0:f>
        <ns0:v>2 нФ</ns0:v>
      </ns0:c>
      <ns0:c r="S70" t="str" s="11">
        <ns0:f>L70</ns0:f>
        <ns0:v>Конденсатор 2 нФ ±10% 50 В X7R 0805</ns0:v>
      </ns0:c>
      <x:c xmlns:x="http://schemas.openxmlformats.org/spreadsheetml/2006/main" r="T70" t="str" s="11">
        <x:v>C:\Users\Nomatin\Documents\Altium\MY_LIB\MY_LIB\Datasheets\YAGEO_CC_X7R.pdf</x:v>
      </x:c>
      <x:c xmlns:x="http://schemas.openxmlformats.org/spreadsheetml/2006/main" r="U70" t="str" s="11">
        <x:v>Даташит — локальный</x:v>
      </x:c>
      <x:c xmlns:x="http://schemas.openxmlformats.org/spreadsheetml/2006/main" r="V70" t="str" s="11">
        <x:v>C:\Users\Nomatin\Documents\Altium\MY_LIB\MY_LIB\Datasheets\YAGEO_CC_X7R.pdf</x:v>
      </x:c>
      <x:c xmlns:x="http://schemas.openxmlformats.org/spreadsheetml/2006/main" r="W70" t="str" s="11">
        <x:v>Даташит — производитель</x:v>
      </x:c>
      <x:c xmlns:x="http://schemas.openxmlformats.org/spreadsheetml/2006/main" r="X70" t="str" s="11">
        <x:v>https://yageogroup.com/content/datasheet/asset/file/UPY-GPHC_X7R_6_3V-TO-250V</x:v>
      </x:c>
      <x:c xmlns:x="http://schemas.openxmlformats.org/spreadsheetml/2006/main" r="Y70" t="str" s="11">
        <x:v>C:\Users\Nomatin\Documents\Altium\MY_LIB\MY_LIB\Datasheets\YAGEO_CC_X7R.pdf</x:v>
      </x:c>
      <ns0:c xmlns:ns0="http://schemas.openxmlformats.org/spreadsheetml/2006/main" r="Z70" s="11">
        <ns0:v>2e-09</ns0:v>
      </ns0:c>
      <ns0:c xmlns:ns0="http://schemas.openxmlformats.org/spreadsheetml/2006/main" r="AA70" s="11">
        <ns0:v>0.025</ns0:v>
      </ns0:c>
      <ns0:c xmlns:ns0="http://schemas.openxmlformats.org/spreadsheetml/2006/main" r="AB70" s="11">
        <ns0:v>1000</ns0:v>
      </ns0:c>
      <ns0:c xmlns:ns0="http://schemas.openxmlformats.org/spreadsheetml/2006/main" r="AC70" s="11">
        <ns0:v>1</ns0:v>
      </ns0:c>
      <ns0:c xmlns:ns0="http://schemas.openxmlformats.org/spreadsheetml/2006/main" r="AD70" s="11">
        <ns0:v>20</ns0:v>
      </ns0:c>
      <ns0:c xmlns:ns0="http://schemas.openxmlformats.org/spreadsheetml/2006/main" r="AE70" s="11">
        <ns0:v>500</ns0:v>
      </ns0:c>
      <ns0:c xmlns:ns0="http://schemas.openxmlformats.org/spreadsheetml/2006/main" r="AF70" s="11">
        <ns0:v>10000000000</ns0:v>
      </ns0:c>
      <ns0:c xmlns:ns0="http://schemas.openxmlformats.org/spreadsheetml/2006/main" r="AG70" s="11">
        <ns0:v>50</ns0:v>
      </ns0:c>
      <ns0:c xmlns:ns0="http://schemas.openxmlformats.org/spreadsheetml/2006/main" r="AH70" s="11">
        <ns0:v>60</ns0:v>
      </ns0:c>
      <ns0:c xmlns:ns0="http://schemas.openxmlformats.org/spreadsheetml/2006/main" r="AI70" s="11">
        <ns0:v>1989.43678864869</ns0:v>
      </ns0:c>
      <ns0:c xmlns:ns0="http://schemas.openxmlformats.org/spreadsheetml/2006/main" r="AJ70" s="11" t="inlineStr">
        <ns0:is>
          <ns0:t>MY_LIB_C_RC</ns0:t>
        </ns0:is>
      </ns0:c>
      <ns0:c xmlns:ns0="http://schemas.openxmlformats.org/spreadsheetml/2006/main" r="AK70" s="11" t="inlineStr">
        <ns0:is>
          <ns0:t>Nominal C; DFmax at 1kHz; minimum insulation; no temperature/bias/ESL</ns0:t>
        </ns0:is>
      </ns0:c>
      <ns0:c xmlns:ns0="http://schemas.openxmlformats.org/spreadsheetml/2006/main" r="AL70" s="11" t="inlineStr">
        <ns0:is>
          <ns0:t>General</ns0:t>
        </ns0:is>
      </ns0:c>
      <ns0:c xmlns:ns0="http://schemas.openxmlformats.org/spreadsheetml/2006/main" r="AM70" s="11" t="inlineStr">
        <ns0:is>
          <ns0:t>Spice Subcircuit</ns0:t>
        </ns0:is>
      </ns0:c>
      <ns0:c xmlns:ns0="http://schemas.openxmlformats.org/spreadsheetml/2006/main" r="AN70" s="11" t="inlineStr">
        <ns0:is>
          <ns0:t>@DESIGNATOR %1 %2 @MODEL PARAMS: Cvalue=2e-09 Rsvalue=1989.43678864869 Rinsvalue=10000000000</ns0:t>
        </ns0:is>
      </ns0:c>
      <ns0:c xmlns:ns0="http://schemas.openxmlformats.org/spreadsheetml/2006/main" r="AO70" s="11" t="inlineStr">
        <ns0:is>
          <ns0:t>X</ns0:t>
        </ns0:is>
      </ns0:c>
      <ns0:c xmlns:ns0="http://schemas.openxmlformats.org/spreadsheetml/2006/main" r="AP70" s="11" t="inlineStr">
        <ns0:is>
          <ns0:t>(1:1),(2:2)</ns0:t>
        </ns0:is>
      </ns0:c>
      <ns0:c xmlns:ns0="http://schemas.openxmlformats.org/spreadsheetml/2006/main" r="AQ70" s="11" t="inlineStr">
        <ns0:is>
          <ns0:t>Simulation\Capacitors\MY_LIB_C_RC.ckt</ns0:t>
        </ns0:is>
      </ns0:c>
    </ns0:row>
    <ns0:row r="71" ht="30" customHeight="1">
      <ns0:c r="A71" t="str" s="14">
        <ns0:v>C0072</ns0:v>
      </ns0:c>
      <ns0:c r="B71" t="str" s="14">
        <ns0:v>Конденсатор</ns0:v>
      </ns0:c>
      <ns0:c r="C71" t="str" s="14">
        <ns0:v>2.2n</ns0:v>
      </ns0:c>
      <ns0:c r="D71" t="str" s="11">
        <ns0:f>SUBSTITUTE(SUBSTITUTE(SUBSTITUTE(SUBSTITUTE(C71,"p"," пФ"),"n"," нФ"),"u"," мкФ"),".",",")</ns0:f>
        <ns0:v>2,2 нФ</ns0:v>
      </ns0:c>
      <ns0:c r="E71" t="str" s="14">
        <ns0:v>±10%</ns0:v>
      </ns0:c>
      <ns0:c r="F71" s="14"/>
      <ns0:c r="G71" t="str" s="14">
        <ns0:v>100 В</ns0:v>
      </ns0:c>
      <ns0:c r="H71" t="str" s="14">
        <ns0:v>X7R</ns0:v>
      </ns0:c>
      <ns0:c r="I71" t="str" s="15">
        <ns0:v>0805</ns0:v>
      </ns0:c>
      <ns0:c r="J71" t="str" s="14">
        <ns0:v>YAGEO</ns0:v>
      </ns0:c>
      <ns0:c r="K71" t="str" s="14">
        <ns0:v>CC0805KKX7R0BB222</ns0:v>
      </ns0:c>
      <ns0:c r="L71" t="str" s="11">
        <ns0:f>B71&amp;" "&amp;D71&amp;" "&amp;E71&amp;" "&amp;G71&amp;" "&amp;H71&amp;" "&amp;I71</ns0:f>
        <ns0:v>Конденсатор 2,2 нФ ±10% 100 В X7R 0805</ns0:v>
      </ns0:c>
      <ns0:c r="M71" t="str" s="13">
        <ns0:v>C</ns0:v>
      </ns0:c>
      <ns0:c r="N71" t="str" s="13">
        <ns0:v>Symbols\MY_LIB_Capacitors.SchLib</ns0:v>
      </ns0:c>
      <ns0:c r="O71" t="str" s="13">
        <ns0:v>CAPC2012X135N</ns0:v>
      </ns0:c>
      <ns0:c r="P71" t="str" s="13">
        <ns0:v>Footprints\PBL - SMD Packages.PcbLib</ns0:v>
      </ns0:c>
      <ns0:c r="Q71" t="str" s="14">
        <ns0:v>YAGEO CC; список 20.10.2026</ns0:v>
      </ns0:c>
      <ns0:c r="R71" t="str" s="11">
        <ns0:f>D71</ns0:f>
        <ns0:v>2,2 нФ</ns0:v>
      </ns0:c>
      <ns0:c r="S71" t="str" s="11">
        <ns0:f>L71</ns0:f>
        <ns0:v>Конденсатор 2,2 нФ ±10% 100 В X7R 0805</ns0:v>
      </ns0:c>
      <x:c xmlns:x="http://schemas.openxmlformats.org/spreadsheetml/2006/main" r="T71" t="str" s="11">
        <x:v>C:\Users\Nomatin\Documents\Altium\MY_LIB\MY_LIB\Datasheets\YAGEO_CC_X7R.pdf</x:v>
      </x:c>
      <x:c xmlns:x="http://schemas.openxmlformats.org/spreadsheetml/2006/main" r="U71" t="str" s="11">
        <x:v>Даташит — локальный</x:v>
      </x:c>
      <x:c xmlns:x="http://schemas.openxmlformats.org/spreadsheetml/2006/main" r="V71" t="str" s="11">
        <x:v>C:\Users\Nomatin\Documents\Altium\MY_LIB\MY_LIB\Datasheets\YAGEO_CC_X7R.pdf</x:v>
      </x:c>
      <x:c xmlns:x="http://schemas.openxmlformats.org/spreadsheetml/2006/main" r="W71" t="str" s="11">
        <x:v>Даташит — производитель</x:v>
      </x:c>
      <x:c xmlns:x="http://schemas.openxmlformats.org/spreadsheetml/2006/main" r="X71" t="str" s="11">
        <x:v>https://yageogroup.com/content/datasheet/asset/file/UPY-GPHC_X7R_6_3V-TO-250V</x:v>
      </x:c>
      <x:c xmlns:x="http://schemas.openxmlformats.org/spreadsheetml/2006/main" r="Y71" t="str" s="11">
        <x:v>C:\Users\Nomatin\Documents\Altium\MY_LIB\MY_LIB\Datasheets\YAGEO_CC_X7R.pdf</x:v>
      </x:c>
      <ns0:c xmlns:ns0="http://schemas.openxmlformats.org/spreadsheetml/2006/main" r="Z71" s="11">
        <ns0:v>2.2e-09</ns0:v>
      </ns0:c>
      <ns0:c xmlns:ns0="http://schemas.openxmlformats.org/spreadsheetml/2006/main" r="AA71" s="11">
        <ns0:v>0.025</ns0:v>
      </ns0:c>
      <ns0:c xmlns:ns0="http://schemas.openxmlformats.org/spreadsheetml/2006/main" r="AB71" s="11">
        <ns0:v>1000</ns0:v>
      </ns0:c>
      <ns0:c xmlns:ns0="http://schemas.openxmlformats.org/spreadsheetml/2006/main" r="AC71" s="11">
        <ns0:v>1</ns0:v>
      </ns0:c>
      <ns0:c xmlns:ns0="http://schemas.openxmlformats.org/spreadsheetml/2006/main" r="AD71" s="11">
        <ns0:v>20</ns0:v>
      </ns0:c>
      <ns0:c xmlns:ns0="http://schemas.openxmlformats.org/spreadsheetml/2006/main" r="AE71" s="11">
        <ns0:v>500</ns0:v>
      </ns0:c>
      <ns0:c xmlns:ns0="http://schemas.openxmlformats.org/spreadsheetml/2006/main" r="AF71" s="11">
        <ns0:v>10000000000</ns0:v>
      </ns0:c>
      <ns0:c xmlns:ns0="http://schemas.openxmlformats.org/spreadsheetml/2006/main" r="AG71" s="11">
        <ns0:v>100</ns0:v>
      </ns0:c>
      <ns0:c xmlns:ns0="http://schemas.openxmlformats.org/spreadsheetml/2006/main" r="AH71" s="11">
        <ns0:v>60</ns0:v>
      </ns0:c>
      <ns0:c xmlns:ns0="http://schemas.openxmlformats.org/spreadsheetml/2006/main" r="AI71" s="11">
        <ns0:v>1808.57889877154</ns0:v>
      </ns0:c>
      <ns0:c xmlns:ns0="http://schemas.openxmlformats.org/spreadsheetml/2006/main" r="AJ71" s="11" t="inlineStr">
        <ns0:is>
          <ns0:t>MY_LIB_C_RC</ns0:t>
        </ns0:is>
      </ns0:c>
      <ns0:c xmlns:ns0="http://schemas.openxmlformats.org/spreadsheetml/2006/main" r="AK71" s="11" t="inlineStr">
        <ns0:is>
          <ns0:t>Nominal C; DFmax at 1kHz; minimum insulation; no temperature/bias/ESL</ns0:t>
        </ns0:is>
      </ns0:c>
      <ns0:c xmlns:ns0="http://schemas.openxmlformats.org/spreadsheetml/2006/main" r="AL71" s="11" t="inlineStr">
        <ns0:is>
          <ns0:t>General</ns0:t>
        </ns0:is>
      </ns0:c>
      <ns0:c xmlns:ns0="http://schemas.openxmlformats.org/spreadsheetml/2006/main" r="AM71" s="11" t="inlineStr">
        <ns0:is>
          <ns0:t>Spice Subcircuit</ns0:t>
        </ns0:is>
      </ns0:c>
      <ns0:c xmlns:ns0="http://schemas.openxmlformats.org/spreadsheetml/2006/main" r="AN71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71" s="11" t="inlineStr">
        <ns0:is>
          <ns0:t>X</ns0:t>
        </ns0:is>
      </ns0:c>
      <ns0:c xmlns:ns0="http://schemas.openxmlformats.org/spreadsheetml/2006/main" r="AP71" s="11" t="inlineStr">
        <ns0:is>
          <ns0:t>(1:1),(2:2)</ns0:t>
        </ns0:is>
      </ns0:c>
      <ns0:c xmlns:ns0="http://schemas.openxmlformats.org/spreadsheetml/2006/main" r="AQ71" s="11" t="inlineStr">
        <ns0:is>
          <ns0:t>Simulation\Capacitors\MY_LIB_C_RC.ckt</ns0:t>
        </ns0:is>
      </ns0:c>
    </ns0:row>
    <ns0:row r="72" ht="30" customHeight="1">
      <ns0:c r="A72" t="str" s="14">
        <ns0:v>C0073</ns0:v>
      </ns0:c>
      <ns0:c r="B72" t="str" s="14">
        <ns0:v>Конденсатор</ns0:v>
      </ns0:c>
      <ns0:c r="C72" t="str" s="14">
        <ns0:v>2.7n</ns0:v>
      </ns0:c>
      <ns0:c r="D72" t="str" s="11">
        <ns0:f>SUBSTITUTE(SUBSTITUTE(SUBSTITUTE(SUBSTITUTE(C72,"p"," пФ"),"n"," нФ"),"u"," мкФ"),".",",")</ns0:f>
        <ns0:v>2,7 нФ</ns0:v>
      </ns0:c>
      <ns0:c r="E72" t="str" s="14">
        <ns0:v>±10%</ns0:v>
      </ns0:c>
      <ns0:c r="F72" s="14"/>
      <ns0:c r="G72" t="str" s="14">
        <ns0:v>100 В</ns0:v>
      </ns0:c>
      <ns0:c r="H72" t="str" s="14">
        <ns0:v>X7R</ns0:v>
      </ns0:c>
      <ns0:c r="I72" t="str" s="15">
        <ns0:v>0805</ns0:v>
      </ns0:c>
      <ns0:c r="J72" t="str" s="14">
        <ns0:v>YAGEO</ns0:v>
      </ns0:c>
      <ns0:c r="K72" t="str" s="14">
        <ns0:v>CC0805KRX7R0BB272</ns0:v>
      </ns0:c>
      <ns0:c r="L72" t="str" s="11">
        <ns0:f>B72&amp;" "&amp;D72&amp;" "&amp;E72&amp;" "&amp;G72&amp;" "&amp;H72&amp;" "&amp;I72</ns0:f>
        <ns0:v>Конденсатор 2,7 нФ ±10% 100 В X7R 0805</ns0:v>
      </ns0:c>
      <ns0:c r="M72" t="str" s="13">
        <ns0:v>C</ns0:v>
      </ns0:c>
      <ns0:c r="N72" t="str" s="13">
        <ns0:v>Symbols\MY_LIB_Capacitors.SchLib</ns0:v>
      </ns0:c>
      <ns0:c r="O72" t="str" s="13">
        <ns0:v>CAPC2012X135N</ns0:v>
      </ns0:c>
      <ns0:c r="P72" t="str" s="13">
        <ns0:v>Footprints\PBL - SMD Packages.PcbLib</ns0:v>
      </ns0:c>
      <ns0:c r="Q72" t="str" s="14">
        <ns0:v>YAGEO CC; список 20.10.2026</ns0:v>
      </ns0:c>
      <ns0:c r="R72" t="str" s="11">
        <ns0:f>D72</ns0:f>
        <ns0:v>2,7 нФ</ns0:v>
      </ns0:c>
      <ns0:c r="S72" t="str" s="11">
        <ns0:f>L72</ns0:f>
        <ns0:v>Конденсатор 2,7 нФ ±10% 100 В X7R 0805</ns0:v>
      </ns0:c>
      <x:c xmlns:x="http://schemas.openxmlformats.org/spreadsheetml/2006/main" r="T72" t="str" s="11">
        <x:v>C:\Users\Nomatin\Documents\Altium\MY_LIB\MY_LIB\Datasheets\YAGEO_CC_X7R.pdf</x:v>
      </x:c>
      <x:c xmlns:x="http://schemas.openxmlformats.org/spreadsheetml/2006/main" r="U72" t="str" s="11">
        <x:v>Даташит — локальный</x:v>
      </x:c>
      <x:c xmlns:x="http://schemas.openxmlformats.org/spreadsheetml/2006/main" r="V72" t="str" s="11">
        <x:v>C:\Users\Nomatin\Documents\Altium\MY_LIB\MY_LIB\Datasheets\YAGEO_CC_X7R.pdf</x:v>
      </x:c>
      <x:c xmlns:x="http://schemas.openxmlformats.org/spreadsheetml/2006/main" r="W72" t="str" s="11">
        <x:v>Даташит — производитель</x:v>
      </x:c>
      <x:c xmlns:x="http://schemas.openxmlformats.org/spreadsheetml/2006/main" r="X72" t="str" s="11">
        <x:v>https://yageogroup.com/content/datasheet/asset/file/UPY-GPHC_X7R_6_3V-TO-250V</x:v>
      </x:c>
      <x:c xmlns:x="http://schemas.openxmlformats.org/spreadsheetml/2006/main" r="Y72" t="str" s="11">
        <x:v>C:\Users\Nomatin\Documents\Altium\MY_LIB\MY_LIB\Datasheets\YAGEO_CC_X7R.pdf</x:v>
      </x:c>
      <ns0:c xmlns:ns0="http://schemas.openxmlformats.org/spreadsheetml/2006/main" r="Z72" s="11">
        <ns0:v>2.7e-09</ns0:v>
      </ns0:c>
      <ns0:c xmlns:ns0="http://schemas.openxmlformats.org/spreadsheetml/2006/main" r="AA72" s="11">
        <ns0:v>0.025</ns0:v>
      </ns0:c>
      <ns0:c xmlns:ns0="http://schemas.openxmlformats.org/spreadsheetml/2006/main" r="AB72" s="11">
        <ns0:v>1000</ns0:v>
      </ns0:c>
      <ns0:c xmlns:ns0="http://schemas.openxmlformats.org/spreadsheetml/2006/main" r="AC72" s="11">
        <ns0:v>1</ns0:v>
      </ns0:c>
      <ns0:c xmlns:ns0="http://schemas.openxmlformats.org/spreadsheetml/2006/main" r="AD72" s="11">
        <ns0:v>20</ns0:v>
      </ns0:c>
      <ns0:c xmlns:ns0="http://schemas.openxmlformats.org/spreadsheetml/2006/main" r="AE72" s="11">
        <ns0:v>500</ns0:v>
      </ns0:c>
      <ns0:c xmlns:ns0="http://schemas.openxmlformats.org/spreadsheetml/2006/main" r="AF72" s="11">
        <ns0:v>10000000000</ns0:v>
      </ns0:c>
      <ns0:c xmlns:ns0="http://schemas.openxmlformats.org/spreadsheetml/2006/main" r="AG72" s="11">
        <ns0:v>100</ns0:v>
      </ns0:c>
      <ns0:c xmlns:ns0="http://schemas.openxmlformats.org/spreadsheetml/2006/main" r="AH72" s="11">
        <ns0:v>60</ns0:v>
      </ns0:c>
      <ns0:c xmlns:ns0="http://schemas.openxmlformats.org/spreadsheetml/2006/main" r="AI72" s="11">
        <ns0:v>1473.65688048051</ns0:v>
      </ns0:c>
      <ns0:c xmlns:ns0="http://schemas.openxmlformats.org/spreadsheetml/2006/main" r="AJ72" s="11" t="inlineStr">
        <ns0:is>
          <ns0:t>MY_LIB_C_RC</ns0:t>
        </ns0:is>
      </ns0:c>
      <ns0:c xmlns:ns0="http://schemas.openxmlformats.org/spreadsheetml/2006/main" r="AK72" s="11" t="inlineStr">
        <ns0:is>
          <ns0:t>Nominal C; DFmax at 1kHz; minimum insulation; no temperature/bias/ESL</ns0:t>
        </ns0:is>
      </ns0:c>
      <ns0:c xmlns:ns0="http://schemas.openxmlformats.org/spreadsheetml/2006/main" r="AL72" s="11" t="inlineStr">
        <ns0:is>
          <ns0:t>General</ns0:t>
        </ns0:is>
      </ns0:c>
      <ns0:c xmlns:ns0="http://schemas.openxmlformats.org/spreadsheetml/2006/main" r="AM72" s="11" t="inlineStr">
        <ns0:is>
          <ns0:t>Spice Subcircuit</ns0:t>
        </ns0:is>
      </ns0:c>
      <ns0:c xmlns:ns0="http://schemas.openxmlformats.org/spreadsheetml/2006/main" r="AN72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72" s="11" t="inlineStr">
        <ns0:is>
          <ns0:t>X</ns0:t>
        </ns0:is>
      </ns0:c>
      <ns0:c xmlns:ns0="http://schemas.openxmlformats.org/spreadsheetml/2006/main" r="AP72" s="11" t="inlineStr">
        <ns0:is>
          <ns0:t>(1:1),(2:2)</ns0:t>
        </ns0:is>
      </ns0:c>
      <ns0:c xmlns:ns0="http://schemas.openxmlformats.org/spreadsheetml/2006/main" r="AQ72" s="11" t="inlineStr">
        <ns0:is>
          <ns0:t>Simulation\Capacitors\MY_LIB_C_RC.ckt</ns0:t>
        </ns0:is>
      </ns0:c>
    </ns0:row>
    <ns0:row r="73" ht="30" customHeight="1">
      <ns0:c r="A73" t="str" s="14">
        <ns0:v>C0074</ns0:v>
      </ns0:c>
      <ns0:c r="B73" t="str" s="14">
        <ns0:v>Конденсатор</ns0:v>
      </ns0:c>
      <ns0:c r="C73" t="str" s="14">
        <ns0:v>3.3n</ns0:v>
      </ns0:c>
      <ns0:c r="D73" t="str" s="11">
        <ns0:f>SUBSTITUTE(SUBSTITUTE(SUBSTITUTE(SUBSTITUTE(C73,"p"," пФ"),"n"," нФ"),"u"," мкФ"),".",",")</ns0:f>
        <ns0:v>3,3 нФ</ns0:v>
      </ns0:c>
      <ns0:c r="E73" t="str" s="14">
        <ns0:v>±10%</ns0:v>
      </ns0:c>
      <ns0:c r="F73" s="14"/>
      <ns0:c r="G73" t="str" s="14">
        <ns0:v>100 В</ns0:v>
      </ns0:c>
      <ns0:c r="H73" t="str" s="14">
        <ns0:v>X7R</ns0:v>
      </ns0:c>
      <ns0:c r="I73" t="str" s="15">
        <ns0:v>0805</ns0:v>
      </ns0:c>
      <ns0:c r="J73" t="str" s="14">
        <ns0:v>YAGEO</ns0:v>
      </ns0:c>
      <ns0:c r="K73" t="str" s="14">
        <ns0:v>CC0805KRX7R0BB332</ns0:v>
      </ns0:c>
      <ns0:c r="L73" t="str" s="11">
        <ns0:f>B73&amp;" "&amp;D73&amp;" "&amp;E73&amp;" "&amp;G73&amp;" "&amp;H73&amp;" "&amp;I73</ns0:f>
        <ns0:v>Конденсатор 3,3 нФ ±10% 100 В X7R 0805</ns0:v>
      </ns0:c>
      <ns0:c r="M73" t="str" s="13">
        <ns0:v>C</ns0:v>
      </ns0:c>
      <ns0:c r="N73" t="str" s="13">
        <ns0:v>Symbols\MY_LIB_Capacitors.SchLib</ns0:v>
      </ns0:c>
      <ns0:c r="O73" t="str" s="13">
        <ns0:v>CAPC2012X135N</ns0:v>
      </ns0:c>
      <ns0:c r="P73" t="str" s="13">
        <ns0:v>Footprints\PBL - SMD Packages.PcbLib</ns0:v>
      </ns0:c>
      <ns0:c r="Q73" t="str" s="14">
        <ns0:v>YAGEO CC; список 20.10.2026</ns0:v>
      </ns0:c>
      <ns0:c r="R73" t="str" s="11">
        <ns0:f>D73</ns0:f>
        <ns0:v>3,3 нФ</ns0:v>
      </ns0:c>
      <ns0:c r="S73" t="str" s="11">
        <ns0:f>L73</ns0:f>
        <ns0:v>Конденсатор 3,3 нФ ±10% 100 В X7R 0805</ns0:v>
      </ns0:c>
      <x:c xmlns:x="http://schemas.openxmlformats.org/spreadsheetml/2006/main" r="T73" t="str" s="11">
        <x:v>C:\Users\Nomatin\Documents\Altium\MY_LIB\MY_LIB\Datasheets\YAGEO_CC_X7R.pdf</x:v>
      </x:c>
      <x:c xmlns:x="http://schemas.openxmlformats.org/spreadsheetml/2006/main" r="U73" t="str" s="11">
        <x:v>Даташит — локальный</x:v>
      </x:c>
      <x:c xmlns:x="http://schemas.openxmlformats.org/spreadsheetml/2006/main" r="V73" t="str" s="11">
        <x:v>C:\Users\Nomatin\Documents\Altium\MY_LIB\MY_LIB\Datasheets\YAGEO_CC_X7R.pdf</x:v>
      </x:c>
      <x:c xmlns:x="http://schemas.openxmlformats.org/spreadsheetml/2006/main" r="W73" t="str" s="11">
        <x:v>Даташит — производитель</x:v>
      </x:c>
      <x:c xmlns:x="http://schemas.openxmlformats.org/spreadsheetml/2006/main" r="X73" t="str" s="11">
        <x:v>https://yageogroup.com/content/datasheet/asset/file/UPY-GPHC_X7R_6_3V-TO-250V</x:v>
      </x:c>
      <x:c xmlns:x="http://schemas.openxmlformats.org/spreadsheetml/2006/main" r="Y73" t="str" s="11">
        <x:v>C:\Users\Nomatin\Documents\Altium\MY_LIB\MY_LIB\Datasheets\YAGEO_CC_X7R.pdf</x:v>
      </x:c>
      <ns0:c xmlns:ns0="http://schemas.openxmlformats.org/spreadsheetml/2006/main" r="Z73" s="11">
        <ns0:v>3.3e-09</ns0:v>
      </ns0:c>
      <ns0:c xmlns:ns0="http://schemas.openxmlformats.org/spreadsheetml/2006/main" r="AA73" s="11">
        <ns0:v>0.025</ns0:v>
      </ns0:c>
      <ns0:c xmlns:ns0="http://schemas.openxmlformats.org/spreadsheetml/2006/main" r="AB73" s="11">
        <ns0:v>1000</ns0:v>
      </ns0:c>
      <ns0:c xmlns:ns0="http://schemas.openxmlformats.org/spreadsheetml/2006/main" r="AC73" s="11">
        <ns0:v>1</ns0:v>
      </ns0:c>
      <ns0:c xmlns:ns0="http://schemas.openxmlformats.org/spreadsheetml/2006/main" r="AD73" s="11">
        <ns0:v>20</ns0:v>
      </ns0:c>
      <ns0:c xmlns:ns0="http://schemas.openxmlformats.org/spreadsheetml/2006/main" r="AE73" s="11">
        <ns0:v>500</ns0:v>
      </ns0:c>
      <ns0:c xmlns:ns0="http://schemas.openxmlformats.org/spreadsheetml/2006/main" r="AF73" s="11">
        <ns0:v>10000000000</ns0:v>
      </ns0:c>
      <ns0:c xmlns:ns0="http://schemas.openxmlformats.org/spreadsheetml/2006/main" r="AG73" s="11">
        <ns0:v>100</ns0:v>
      </ns0:c>
      <ns0:c xmlns:ns0="http://schemas.openxmlformats.org/spreadsheetml/2006/main" r="AH73" s="11">
        <ns0:v>60</ns0:v>
      </ns0:c>
      <ns0:c xmlns:ns0="http://schemas.openxmlformats.org/spreadsheetml/2006/main" r="AI73" s="11">
        <ns0:v>1205.71926584769</ns0:v>
      </ns0:c>
      <ns0:c xmlns:ns0="http://schemas.openxmlformats.org/spreadsheetml/2006/main" r="AJ73" s="11" t="inlineStr">
        <ns0:is>
          <ns0:t>MY_LIB_C_RC</ns0:t>
        </ns0:is>
      </ns0:c>
      <ns0:c xmlns:ns0="http://schemas.openxmlformats.org/spreadsheetml/2006/main" r="AK73" s="11" t="inlineStr">
        <ns0:is>
          <ns0:t>Nominal C; DFmax at 1kHz; minimum insulation; no temperature/bias/ESL</ns0:t>
        </ns0:is>
      </ns0:c>
      <ns0:c xmlns:ns0="http://schemas.openxmlformats.org/spreadsheetml/2006/main" r="AL73" s="11" t="inlineStr">
        <ns0:is>
          <ns0:t>General</ns0:t>
        </ns0:is>
      </ns0:c>
      <ns0:c xmlns:ns0="http://schemas.openxmlformats.org/spreadsheetml/2006/main" r="AM73" s="11" t="inlineStr">
        <ns0:is>
          <ns0:t>Spice Subcircuit</ns0:t>
        </ns0:is>
      </ns0:c>
      <ns0:c xmlns:ns0="http://schemas.openxmlformats.org/spreadsheetml/2006/main" r="AN73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73" s="11" t="inlineStr">
        <ns0:is>
          <ns0:t>X</ns0:t>
        </ns0:is>
      </ns0:c>
      <ns0:c xmlns:ns0="http://schemas.openxmlformats.org/spreadsheetml/2006/main" r="AP73" s="11" t="inlineStr">
        <ns0:is>
          <ns0:t>(1:1),(2:2)</ns0:t>
        </ns0:is>
      </ns0:c>
      <ns0:c xmlns:ns0="http://schemas.openxmlformats.org/spreadsheetml/2006/main" r="AQ73" s="11" t="inlineStr">
        <ns0:is>
          <ns0:t>Simulation\Capacitors\MY_LIB_C_RC.ckt</ns0:t>
        </ns0:is>
      </ns0:c>
    </ns0:row>
    <ns0:row r="74" ht="30" customHeight="1">
      <ns0:c r="A74" t="str" s="14">
        <ns0:v>C0075</ns0:v>
      </ns0:c>
      <ns0:c r="B74" t="str" s="14">
        <ns0:v>Конденсатор</ns0:v>
      </ns0:c>
      <ns0:c r="C74" t="str" s="14">
        <ns0:v>3.9n</ns0:v>
      </ns0:c>
      <ns0:c r="D74" t="str" s="11">
        <ns0:f>SUBSTITUTE(SUBSTITUTE(SUBSTITUTE(SUBSTITUTE(C74,"p"," пФ"),"n"," нФ"),"u"," мкФ"),".",",")</ns0:f>
        <ns0:v>3,9 нФ</ns0:v>
      </ns0:c>
      <ns0:c r="E74" t="str" s="14">
        <ns0:v>±10%</ns0:v>
      </ns0:c>
      <ns0:c r="F74" s="14"/>
      <ns0:c r="G74" t="str" s="14">
        <ns0:v>100 В</ns0:v>
      </ns0:c>
      <ns0:c r="H74" t="str" s="14">
        <ns0:v>X7R</ns0:v>
      </ns0:c>
      <ns0:c r="I74" t="str" s="15">
        <ns0:v>0805</ns0:v>
      </ns0:c>
      <ns0:c r="J74" t="str" s="14">
        <ns0:v>YAGEO</ns0:v>
      </ns0:c>
      <ns0:c r="K74" t="str" s="14">
        <ns0:v>CC0805KRX7R0BB392</ns0:v>
      </ns0:c>
      <ns0:c r="L74" t="str" s="11">
        <ns0:f>B74&amp;" "&amp;D74&amp;" "&amp;E74&amp;" "&amp;G74&amp;" "&amp;H74&amp;" "&amp;I74</ns0:f>
        <ns0:v>Конденсатор 3,9 нФ ±10% 100 В X7R 0805</ns0:v>
      </ns0:c>
      <ns0:c r="M74" t="str" s="13">
        <ns0:v>C</ns0:v>
      </ns0:c>
      <ns0:c r="N74" t="str" s="13">
        <ns0:v>Symbols\MY_LIB_Capacitors.SchLib</ns0:v>
      </ns0:c>
      <ns0:c r="O74" t="str" s="13">
        <ns0:v>CAPC2012X135N</ns0:v>
      </ns0:c>
      <ns0:c r="P74" t="str" s="13">
        <ns0:v>Footprints\PBL - SMD Packages.PcbLib</ns0:v>
      </ns0:c>
      <ns0:c r="Q74" t="str" s="14">
        <ns0:v>YAGEO CC; список 20.10.2026</ns0:v>
      </ns0:c>
      <ns0:c r="R74" t="str" s="11">
        <ns0:f>D74</ns0:f>
        <ns0:v>3,9 нФ</ns0:v>
      </ns0:c>
      <ns0:c r="S74" t="str" s="11">
        <ns0:f>L74</ns0:f>
        <ns0:v>Конденсатор 3,9 нФ ±10% 100 В X7R 0805</ns0:v>
      </ns0:c>
      <x:c xmlns:x="http://schemas.openxmlformats.org/spreadsheetml/2006/main" r="T74" t="str" s="11">
        <x:v>C:\Users\Nomatin\Documents\Altium\MY_LIB\MY_LIB\Datasheets\YAGEO_CC_X7R.pdf</x:v>
      </x:c>
      <x:c xmlns:x="http://schemas.openxmlformats.org/spreadsheetml/2006/main" r="U74" t="str" s="11">
        <x:v>Даташит — локальный</x:v>
      </x:c>
      <x:c xmlns:x="http://schemas.openxmlformats.org/spreadsheetml/2006/main" r="V74" t="str" s="11">
        <x:v>C:\Users\Nomatin\Documents\Altium\MY_LIB\MY_LIB\Datasheets\YAGEO_CC_X7R.pdf</x:v>
      </x:c>
      <x:c xmlns:x="http://schemas.openxmlformats.org/spreadsheetml/2006/main" r="W74" t="str" s="11">
        <x:v>Даташит — производитель</x:v>
      </x:c>
      <x:c xmlns:x="http://schemas.openxmlformats.org/spreadsheetml/2006/main" r="X74" t="str" s="11">
        <x:v>https://yageogroup.com/content/datasheet/asset/file/UPY-GPHC_X7R_6_3V-TO-250V</x:v>
      </x:c>
      <x:c xmlns:x="http://schemas.openxmlformats.org/spreadsheetml/2006/main" r="Y74" t="str" s="11">
        <x:v>C:\Users\Nomatin\Documents\Altium\MY_LIB\MY_LIB\Datasheets\YAGEO_CC_X7R.pdf</x:v>
      </x:c>
      <ns0:c xmlns:ns0="http://schemas.openxmlformats.org/spreadsheetml/2006/main" r="Z74" s="11">
        <ns0:v>3.9e-09</ns0:v>
      </ns0:c>
      <ns0:c xmlns:ns0="http://schemas.openxmlformats.org/spreadsheetml/2006/main" r="AA74" s="11">
        <ns0:v>0.025</ns0:v>
      </ns0:c>
      <ns0:c xmlns:ns0="http://schemas.openxmlformats.org/spreadsheetml/2006/main" r="AB74" s="11">
        <ns0:v>1000</ns0:v>
      </ns0:c>
      <ns0:c xmlns:ns0="http://schemas.openxmlformats.org/spreadsheetml/2006/main" r="AC74" s="11">
        <ns0:v>1</ns0:v>
      </ns0:c>
      <ns0:c xmlns:ns0="http://schemas.openxmlformats.org/spreadsheetml/2006/main" r="AD74" s="11">
        <ns0:v>20</ns0:v>
      </ns0:c>
      <ns0:c xmlns:ns0="http://schemas.openxmlformats.org/spreadsheetml/2006/main" r="AE74" s="11">
        <ns0:v>500</ns0:v>
      </ns0:c>
      <ns0:c xmlns:ns0="http://schemas.openxmlformats.org/spreadsheetml/2006/main" r="AF74" s="11">
        <ns0:v>10000000000</ns0:v>
      </ns0:c>
      <ns0:c xmlns:ns0="http://schemas.openxmlformats.org/spreadsheetml/2006/main" r="AG74" s="11">
        <ns0:v>100</ns0:v>
      </ns0:c>
      <ns0:c xmlns:ns0="http://schemas.openxmlformats.org/spreadsheetml/2006/main" r="AH74" s="11">
        <ns0:v>60</ns0:v>
      </ns0:c>
      <ns0:c xmlns:ns0="http://schemas.openxmlformats.org/spreadsheetml/2006/main" r="AI74" s="11">
        <ns0:v>1020.22399417882</ns0:v>
      </ns0:c>
      <ns0:c xmlns:ns0="http://schemas.openxmlformats.org/spreadsheetml/2006/main" r="AJ74" s="11" t="inlineStr">
        <ns0:is>
          <ns0:t>MY_LIB_C_RC</ns0:t>
        </ns0:is>
      </ns0:c>
      <ns0:c xmlns:ns0="http://schemas.openxmlformats.org/spreadsheetml/2006/main" r="AK74" s="11" t="inlineStr">
        <ns0:is>
          <ns0:t>Nominal C; DFmax at 1kHz; minimum insulation; no temperature/bias/ESL</ns0:t>
        </ns0:is>
      </ns0:c>
      <ns0:c xmlns:ns0="http://schemas.openxmlformats.org/spreadsheetml/2006/main" r="AL74" s="11" t="inlineStr">
        <ns0:is>
          <ns0:t>General</ns0:t>
        </ns0:is>
      </ns0:c>
      <ns0:c xmlns:ns0="http://schemas.openxmlformats.org/spreadsheetml/2006/main" r="AM74" s="11" t="inlineStr">
        <ns0:is>
          <ns0:t>Spice Subcircuit</ns0:t>
        </ns0:is>
      </ns0:c>
      <ns0:c xmlns:ns0="http://schemas.openxmlformats.org/spreadsheetml/2006/main" r="AN74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74" s="11" t="inlineStr">
        <ns0:is>
          <ns0:t>X</ns0:t>
        </ns0:is>
      </ns0:c>
      <ns0:c xmlns:ns0="http://schemas.openxmlformats.org/spreadsheetml/2006/main" r="AP74" s="11" t="inlineStr">
        <ns0:is>
          <ns0:t>(1:1),(2:2)</ns0:t>
        </ns0:is>
      </ns0:c>
      <ns0:c xmlns:ns0="http://schemas.openxmlformats.org/spreadsheetml/2006/main" r="AQ74" s="11" t="inlineStr">
        <ns0:is>
          <ns0:t>Simulation\Capacitors\MY_LIB_C_RC.ckt</ns0:t>
        </ns0:is>
      </ns0:c>
    </ns0:row>
    <ns0:row r="75" ht="30" customHeight="1">
      <ns0:c r="A75" t="str" s="14">
        <ns0:v>C0076</ns0:v>
      </ns0:c>
      <ns0:c r="B75" t="str" s="14">
        <ns0:v>Конденсатор</ns0:v>
      </ns0:c>
      <ns0:c r="C75" t="str" s="14">
        <ns0:v>4.7n</ns0:v>
      </ns0:c>
      <ns0:c r="D75" t="str" s="11">
        <ns0:f>SUBSTITUTE(SUBSTITUTE(SUBSTITUTE(SUBSTITUTE(C75,"p"," пФ"),"n"," нФ"),"u"," мкФ"),".",",")</ns0:f>
        <ns0:v>4,7 нФ</ns0:v>
      </ns0:c>
      <ns0:c r="E75" t="str" s="14">
        <ns0:v>±10%</ns0:v>
      </ns0:c>
      <ns0:c r="F75" s="14"/>
      <ns0:c r="G75" t="str" s="14">
        <ns0:v>100 В</ns0:v>
      </ns0:c>
      <ns0:c r="H75" t="str" s="14">
        <ns0:v>X7R</ns0:v>
      </ns0:c>
      <ns0:c r="I75" t="str" s="15">
        <ns0:v>0805</ns0:v>
      </ns0:c>
      <ns0:c r="J75" t="str" s="14">
        <ns0:v>YAGEO</ns0:v>
      </ns0:c>
      <ns0:c r="K75" t="str" s="14">
        <ns0:v>CC0805KKX7R0BB472</ns0:v>
      </ns0:c>
      <ns0:c r="L75" t="str" s="11">
        <ns0:f>B75&amp;" "&amp;D75&amp;" "&amp;E75&amp;" "&amp;G75&amp;" "&amp;H75&amp;" "&amp;I75</ns0:f>
        <ns0:v>Конденсатор 4,7 нФ ±10% 100 В X7R 0805</ns0:v>
      </ns0:c>
      <ns0:c r="M75" t="str" s="13">
        <ns0:v>C</ns0:v>
      </ns0:c>
      <ns0:c r="N75" t="str" s="13">
        <ns0:v>Symbols\MY_LIB_Capacitors.SchLib</ns0:v>
      </ns0:c>
      <ns0:c r="O75" t="str" s="13">
        <ns0:v>CAPC2012X135N</ns0:v>
      </ns0:c>
      <ns0:c r="P75" t="str" s="13">
        <ns0:v>Footprints\PBL - SMD Packages.PcbLib</ns0:v>
      </ns0:c>
      <ns0:c r="Q75" t="str" s="14">
        <ns0:v>YAGEO CC; список 20.10.2026</ns0:v>
      </ns0:c>
      <ns0:c r="R75" t="str" s="11">
        <ns0:f>D75</ns0:f>
        <ns0:v>4,7 нФ</ns0:v>
      </ns0:c>
      <ns0:c r="S75" t="str" s="11">
        <ns0:f>L75</ns0:f>
        <ns0:v>Конденсатор 4,7 нФ ±10% 100 В X7R 0805</ns0:v>
      </ns0:c>
      <x:c xmlns:x="http://schemas.openxmlformats.org/spreadsheetml/2006/main" r="T75" t="str" s="11">
        <x:v>C:\Users\Nomatin\Documents\Altium\MY_LIB\MY_LIB\Datasheets\YAGEO_CC_X7R.pdf</x:v>
      </x:c>
      <x:c xmlns:x="http://schemas.openxmlformats.org/spreadsheetml/2006/main" r="U75" t="str" s="11">
        <x:v>Даташит — локальный</x:v>
      </x:c>
      <x:c xmlns:x="http://schemas.openxmlformats.org/spreadsheetml/2006/main" r="V75" t="str" s="11">
        <x:v>C:\Users\Nomatin\Documents\Altium\MY_LIB\MY_LIB\Datasheets\YAGEO_CC_X7R.pdf</x:v>
      </x:c>
      <x:c xmlns:x="http://schemas.openxmlformats.org/spreadsheetml/2006/main" r="W75" t="str" s="11">
        <x:v>Даташит — производитель</x:v>
      </x:c>
      <x:c xmlns:x="http://schemas.openxmlformats.org/spreadsheetml/2006/main" r="X75" t="str" s="11">
        <x:v>https://yageogroup.com/content/datasheet/asset/file/UPY-GPHC_X7R_6_3V-TO-250V</x:v>
      </x:c>
      <x:c xmlns:x="http://schemas.openxmlformats.org/spreadsheetml/2006/main" r="Y75" t="str" s="11">
        <x:v>C:\Users\Nomatin\Documents\Altium\MY_LIB\MY_LIB\Datasheets\YAGEO_CC_X7R.pdf</x:v>
      </x:c>
      <ns0:c xmlns:ns0="http://schemas.openxmlformats.org/spreadsheetml/2006/main" r="Z75" s="11">
        <ns0:v>4.7e-09</ns0:v>
      </ns0:c>
      <ns0:c xmlns:ns0="http://schemas.openxmlformats.org/spreadsheetml/2006/main" r="AA75" s="11">
        <ns0:v>0.025</ns0:v>
      </ns0:c>
      <ns0:c xmlns:ns0="http://schemas.openxmlformats.org/spreadsheetml/2006/main" r="AB75" s="11">
        <ns0:v>1000</ns0:v>
      </ns0:c>
      <ns0:c xmlns:ns0="http://schemas.openxmlformats.org/spreadsheetml/2006/main" r="AC75" s="11">
        <ns0:v>1</ns0:v>
      </ns0:c>
      <ns0:c xmlns:ns0="http://schemas.openxmlformats.org/spreadsheetml/2006/main" r="AD75" s="11">
        <ns0:v>20</ns0:v>
      </ns0:c>
      <ns0:c xmlns:ns0="http://schemas.openxmlformats.org/spreadsheetml/2006/main" r="AE75" s="11">
        <ns0:v>500</ns0:v>
      </ns0:c>
      <ns0:c xmlns:ns0="http://schemas.openxmlformats.org/spreadsheetml/2006/main" r="AF75" s="11">
        <ns0:v>10000000000</ns0:v>
      </ns0:c>
      <ns0:c xmlns:ns0="http://schemas.openxmlformats.org/spreadsheetml/2006/main" r="AG75" s="11">
        <ns0:v>100</ns0:v>
      </ns0:c>
      <ns0:c xmlns:ns0="http://schemas.openxmlformats.org/spreadsheetml/2006/main" r="AH75" s="11">
        <ns0:v>60</ns0:v>
      </ns0:c>
      <ns0:c xmlns:ns0="http://schemas.openxmlformats.org/spreadsheetml/2006/main" r="AI75" s="11">
        <ns0:v>846.568846233486</ns0:v>
      </ns0:c>
      <ns0:c xmlns:ns0="http://schemas.openxmlformats.org/spreadsheetml/2006/main" r="AJ75" s="11" t="inlineStr">
        <ns0:is>
          <ns0:t>MY_LIB_C_RC</ns0:t>
        </ns0:is>
      </ns0:c>
      <ns0:c xmlns:ns0="http://schemas.openxmlformats.org/spreadsheetml/2006/main" r="AK75" s="11" t="inlineStr">
        <ns0:is>
          <ns0:t>Nominal C; DFmax at 1kHz; minimum insulation; no temperature/bias/ESL</ns0:t>
        </ns0:is>
      </ns0:c>
      <ns0:c xmlns:ns0="http://schemas.openxmlformats.org/spreadsheetml/2006/main" r="AL75" s="11" t="inlineStr">
        <ns0:is>
          <ns0:t>General</ns0:t>
        </ns0:is>
      </ns0:c>
      <ns0:c xmlns:ns0="http://schemas.openxmlformats.org/spreadsheetml/2006/main" r="AM75" s="11" t="inlineStr">
        <ns0:is>
          <ns0:t>Spice Subcircuit</ns0:t>
        </ns0:is>
      </ns0:c>
      <ns0:c xmlns:ns0="http://schemas.openxmlformats.org/spreadsheetml/2006/main" r="AN75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75" s="11" t="inlineStr">
        <ns0:is>
          <ns0:t>X</ns0:t>
        </ns0:is>
      </ns0:c>
      <ns0:c xmlns:ns0="http://schemas.openxmlformats.org/spreadsheetml/2006/main" r="AP75" s="11" t="inlineStr">
        <ns0:is>
          <ns0:t>(1:1),(2:2)</ns0:t>
        </ns0:is>
      </ns0:c>
      <ns0:c xmlns:ns0="http://schemas.openxmlformats.org/spreadsheetml/2006/main" r="AQ75" s="11" t="inlineStr">
        <ns0:is>
          <ns0:t>Simulation\Capacitors\MY_LIB_C_RC.ckt</ns0:t>
        </ns0:is>
      </ns0:c>
    </ns0:row>
    <ns0:row r="76" ht="30" customHeight="1">
      <ns0:c r="A76" t="str" s="14">
        <ns0:v>C0077</ns0:v>
      </ns0:c>
      <ns0:c r="B76" t="str" s="14">
        <ns0:v>Конденсатор</ns0:v>
      </ns0:c>
      <ns0:c r="C76" t="str" s="14">
        <ns0:v>5.1n</ns0:v>
      </ns0:c>
      <ns0:c r="D76" t="str" s="11">
        <ns0:f>SUBSTITUTE(SUBSTITUTE(SUBSTITUTE(SUBSTITUTE(C76,"p"," пФ"),"n"," нФ"),"u"," мкФ"),".",",")</ns0:f>
        <ns0:v>5,1 нФ</ns0:v>
      </ns0:c>
      <ns0:c r="E76" t="str" s="14">
        <ns0:v>±10%</ns0:v>
      </ns0:c>
      <ns0:c r="F76" s="14"/>
      <ns0:c r="G76" t="str" s="14">
        <ns0:v>50 В</ns0:v>
      </ns0:c>
      <ns0:c r="H76" t="str" s="14">
        <ns0:v>X7R</ns0:v>
      </ns0:c>
      <ns0:c r="I76" t="str" s="15">
        <ns0:v>0805</ns0:v>
      </ns0:c>
      <ns0:c r="J76" t="str" s="14">
        <ns0:v>YAGEO</ns0:v>
      </ns0:c>
      <ns0:c r="K76" t="str" s="14">
        <ns0:v>CC0805KRX7R9BB512</ns0:v>
      </ns0:c>
      <ns0:c r="L76" t="str" s="11">
        <ns0:f>B76&amp;" "&amp;D76&amp;" "&amp;E76&amp;" "&amp;G76&amp;" "&amp;H76&amp;" "&amp;I76</ns0:f>
        <ns0:v>Конденсатор 5,1 нФ ±10% 50 В X7R 0805</ns0:v>
      </ns0:c>
      <ns0:c r="M76" t="str" s="13">
        <ns0:v>C</ns0:v>
      </ns0:c>
      <ns0:c r="N76" t="str" s="13">
        <ns0:v>Symbols\MY_LIB_Capacitors.SchLib</ns0:v>
      </ns0:c>
      <ns0:c r="O76" t="str" s="13">
        <ns0:v>CAPC2012X135N</ns0:v>
      </ns0:c>
      <ns0:c r="P76" t="str" s="13">
        <ns0:v>Footprints\PBL - SMD Packages.PcbLib</ns0:v>
      </ns0:c>
      <ns0:c r="Q76" t="str" s="14">
        <ns0:v>YAGEO CC; список 20.10.2026</ns0:v>
      </ns0:c>
      <ns0:c r="R76" t="str" s="11">
        <ns0:f>D76</ns0:f>
        <ns0:v>5,1 нФ</ns0:v>
      </ns0:c>
      <ns0:c r="S76" t="str" s="11">
        <ns0:f>L76</ns0:f>
        <ns0:v>Конденсатор 5,1 нФ ±10% 50 В X7R 0805</ns0:v>
      </ns0:c>
      <x:c xmlns:x="http://schemas.openxmlformats.org/spreadsheetml/2006/main" r="T76" t="str" s="11">
        <x:v>C:\Users\Nomatin\Documents\Altium\MY_LIB\MY_LIB\Datasheets\YAGEO_CC_X7R.pdf</x:v>
      </x:c>
      <x:c xmlns:x="http://schemas.openxmlformats.org/spreadsheetml/2006/main" r="U76" t="str" s="11">
        <x:v>Даташит — локальный</x:v>
      </x:c>
      <x:c xmlns:x="http://schemas.openxmlformats.org/spreadsheetml/2006/main" r="V76" t="str" s="11">
        <x:v>C:\Users\Nomatin\Documents\Altium\MY_LIB\MY_LIB\Datasheets\YAGEO_CC_X7R.pdf</x:v>
      </x:c>
      <x:c xmlns:x="http://schemas.openxmlformats.org/spreadsheetml/2006/main" r="W76" t="str" s="11">
        <x:v>Даташит — производитель</x:v>
      </x:c>
      <x:c xmlns:x="http://schemas.openxmlformats.org/spreadsheetml/2006/main" r="X76" t="str" s="11">
        <x:v>https://yageogroup.com/content/datasheet/asset/file/UPY-GPHC_X7R_6_3V-TO-250V</x:v>
      </x:c>
      <x:c xmlns:x="http://schemas.openxmlformats.org/spreadsheetml/2006/main" r="Y76" t="str" s="11">
        <x:v>C:\Users\Nomatin\Documents\Altium\MY_LIB\MY_LIB\Datasheets\YAGEO_CC_X7R.pdf</x:v>
      </x:c>
      <ns0:c xmlns:ns0="http://schemas.openxmlformats.org/spreadsheetml/2006/main" r="Z76" s="11">
        <ns0:v>5.1e-09</ns0:v>
      </ns0:c>
      <ns0:c xmlns:ns0="http://schemas.openxmlformats.org/spreadsheetml/2006/main" r="AA76" s="11">
        <ns0:v>0.025</ns0:v>
      </ns0:c>
      <ns0:c xmlns:ns0="http://schemas.openxmlformats.org/spreadsheetml/2006/main" r="AB76" s="11">
        <ns0:v>1000</ns0:v>
      </ns0:c>
      <ns0:c xmlns:ns0="http://schemas.openxmlformats.org/spreadsheetml/2006/main" r="AC76" s="11">
        <ns0:v>1</ns0:v>
      </ns0:c>
      <ns0:c xmlns:ns0="http://schemas.openxmlformats.org/spreadsheetml/2006/main" r="AD76" s="11">
        <ns0:v>20</ns0:v>
      </ns0:c>
      <ns0:c xmlns:ns0="http://schemas.openxmlformats.org/spreadsheetml/2006/main" r="AE76" s="11">
        <ns0:v>500</ns0:v>
      </ns0:c>
      <ns0:c xmlns:ns0="http://schemas.openxmlformats.org/spreadsheetml/2006/main" r="AF76" s="11">
        <ns0:v>10000000000</ns0:v>
      </ns0:c>
      <ns0:c xmlns:ns0="http://schemas.openxmlformats.org/spreadsheetml/2006/main" r="AG76" s="11">
        <ns0:v>50</ns0:v>
      </ns0:c>
      <ns0:c xmlns:ns0="http://schemas.openxmlformats.org/spreadsheetml/2006/main" r="AH76" s="11">
        <ns0:v>60</ns0:v>
      </ns0:c>
      <ns0:c xmlns:ns0="http://schemas.openxmlformats.org/spreadsheetml/2006/main" r="AI76" s="11">
        <ns0:v>780.171289666154</ns0:v>
      </ns0:c>
      <ns0:c xmlns:ns0="http://schemas.openxmlformats.org/spreadsheetml/2006/main" r="AJ76" s="11" t="inlineStr">
        <ns0:is>
          <ns0:t>MY_LIB_C_RC</ns0:t>
        </ns0:is>
      </ns0:c>
      <ns0:c xmlns:ns0="http://schemas.openxmlformats.org/spreadsheetml/2006/main" r="AK76" s="11" t="inlineStr">
        <ns0:is>
          <ns0:t>Nominal C; DFmax at 1kHz; minimum insulation; no temperature/bias/ESL</ns0:t>
        </ns0:is>
      </ns0:c>
      <ns0:c xmlns:ns0="http://schemas.openxmlformats.org/spreadsheetml/2006/main" r="AL76" s="11" t="inlineStr">
        <ns0:is>
          <ns0:t>General</ns0:t>
        </ns0:is>
      </ns0:c>
      <ns0:c xmlns:ns0="http://schemas.openxmlformats.org/spreadsheetml/2006/main" r="AM76" s="11" t="inlineStr">
        <ns0:is>
          <ns0:t>Spice Subcircuit</ns0:t>
        </ns0:is>
      </ns0:c>
      <ns0:c xmlns:ns0="http://schemas.openxmlformats.org/spreadsheetml/2006/main" r="AN76" s="11" t="inlineStr">
        <ns0:is>
          <ns0:t>@DESIGNATOR %1 %2 @MODEL PARAMS: Cvalue=5.1e-09 Rsvalue=780.171289666154 Rinsvalue=10000000000</ns0:t>
        </ns0:is>
      </ns0:c>
      <ns0:c xmlns:ns0="http://schemas.openxmlformats.org/spreadsheetml/2006/main" r="AO76" s="11" t="inlineStr">
        <ns0:is>
          <ns0:t>X</ns0:t>
        </ns0:is>
      </ns0:c>
      <ns0:c xmlns:ns0="http://schemas.openxmlformats.org/spreadsheetml/2006/main" r="AP76" s="11" t="inlineStr">
        <ns0:is>
          <ns0:t>(1:1),(2:2)</ns0:t>
        </ns0:is>
      </ns0:c>
      <ns0:c xmlns:ns0="http://schemas.openxmlformats.org/spreadsheetml/2006/main" r="AQ76" s="11" t="inlineStr">
        <ns0:is>
          <ns0:t>Simulation\Capacitors\MY_LIB_C_RC.ckt</ns0:t>
        </ns0:is>
      </ns0:c>
    </ns0:row>
    <ns0:row r="77" ht="30" customHeight="1">
      <ns0:c r="A77" t="str" s="14">
        <ns0:v>C0078</ns0:v>
      </ns0:c>
      <ns0:c r="B77" t="str" s="14">
        <ns0:v>Конденсатор</ns0:v>
      </ns0:c>
      <ns0:c r="C77" t="str" s="14">
        <ns0:v>5.6n</ns0:v>
      </ns0:c>
      <ns0:c r="D77" t="str" s="11">
        <ns0:f>SUBSTITUTE(SUBSTITUTE(SUBSTITUTE(SUBSTITUTE(C77,"p"," пФ"),"n"," нФ"),"u"," мкФ"),".",",")</ns0:f>
        <ns0:v>5,6 нФ</ns0:v>
      </ns0:c>
      <ns0:c r="E77" t="str" s="14">
        <ns0:v>±10%</ns0:v>
      </ns0:c>
      <ns0:c r="F77" s="14"/>
      <ns0:c r="G77" t="str" s="14">
        <ns0:v>100 В</ns0:v>
      </ns0:c>
      <ns0:c r="H77" t="str" s="14">
        <ns0:v>X7R</ns0:v>
      </ns0:c>
      <ns0:c r="I77" t="str" s="15">
        <ns0:v>0805</ns0:v>
      </ns0:c>
      <ns0:c r="J77" t="str" s="14">
        <ns0:v>YAGEO</ns0:v>
      </ns0:c>
      <ns0:c r="K77" t="str" s="14">
        <ns0:v>CC0805KRX7R0BB562</ns0:v>
      </ns0:c>
      <ns0:c r="L77" t="str" s="11">
        <ns0:f>B77&amp;" "&amp;D77&amp;" "&amp;E77&amp;" "&amp;G77&amp;" "&amp;H77&amp;" "&amp;I77</ns0:f>
        <ns0:v>Конденсатор 5,6 нФ ±10% 100 В X7R 0805</ns0:v>
      </ns0:c>
      <ns0:c r="M77" t="str" s="13">
        <ns0:v>C</ns0:v>
      </ns0:c>
      <ns0:c r="N77" t="str" s="13">
        <ns0:v>Symbols\MY_LIB_Capacitors.SchLib</ns0:v>
      </ns0:c>
      <ns0:c r="O77" t="str" s="13">
        <ns0:v>CAPC2012X135N</ns0:v>
      </ns0:c>
      <ns0:c r="P77" t="str" s="13">
        <ns0:v>Footprints\PBL - SMD Packages.PcbLib</ns0:v>
      </ns0:c>
      <ns0:c r="Q77" t="str" s="14">
        <ns0:v>YAGEO CC; список 20.10.2026</ns0:v>
      </ns0:c>
      <ns0:c r="R77" t="str" s="11">
        <ns0:f>D77</ns0:f>
        <ns0:v>5,6 нФ</ns0:v>
      </ns0:c>
      <ns0:c r="S77" t="str" s="11">
        <ns0:f>L77</ns0:f>
        <ns0:v>Конденсатор 5,6 нФ ±10% 100 В X7R 0805</ns0:v>
      </ns0:c>
      <x:c xmlns:x="http://schemas.openxmlformats.org/spreadsheetml/2006/main" r="T77" t="str" s="11">
        <x:v>C:\Users\Nomatin\Documents\Altium\MY_LIB\MY_LIB\Datasheets\YAGEO_CC_X7R.pdf</x:v>
      </x:c>
      <x:c xmlns:x="http://schemas.openxmlformats.org/spreadsheetml/2006/main" r="U77" t="str" s="11">
        <x:v>Даташит — локальный</x:v>
      </x:c>
      <x:c xmlns:x="http://schemas.openxmlformats.org/spreadsheetml/2006/main" r="V77" t="str" s="11">
        <x:v>C:\Users\Nomatin\Documents\Altium\MY_LIB\MY_LIB\Datasheets\YAGEO_CC_X7R.pdf</x:v>
      </x:c>
      <x:c xmlns:x="http://schemas.openxmlformats.org/spreadsheetml/2006/main" r="W77" t="str" s="11">
        <x:v>Даташит — производитель</x:v>
      </x:c>
      <x:c xmlns:x="http://schemas.openxmlformats.org/spreadsheetml/2006/main" r="X77" t="str" s="11">
        <x:v>https://yageogroup.com/content/datasheet/asset/file/UPY-GPHC_X7R_6_3V-TO-250V</x:v>
      </x:c>
      <x:c xmlns:x="http://schemas.openxmlformats.org/spreadsheetml/2006/main" r="Y77" t="str" s="11">
        <x:v>C:\Users\Nomatin\Documents\Altium\MY_LIB\MY_LIB\Datasheets\YAGEO_CC_X7R.pdf</x:v>
      </x:c>
      <ns0:c xmlns:ns0="http://schemas.openxmlformats.org/spreadsheetml/2006/main" r="Z77" s="11">
        <ns0:v>5.6e-09</ns0:v>
      </ns0:c>
      <ns0:c xmlns:ns0="http://schemas.openxmlformats.org/spreadsheetml/2006/main" r="AA77" s="11">
        <ns0:v>0.025</ns0:v>
      </ns0:c>
      <ns0:c xmlns:ns0="http://schemas.openxmlformats.org/spreadsheetml/2006/main" r="AB77" s="11">
        <ns0:v>1000</ns0:v>
      </ns0:c>
      <ns0:c xmlns:ns0="http://schemas.openxmlformats.org/spreadsheetml/2006/main" r="AC77" s="11">
        <ns0:v>1</ns0:v>
      </ns0:c>
      <ns0:c xmlns:ns0="http://schemas.openxmlformats.org/spreadsheetml/2006/main" r="AD77" s="11">
        <ns0:v>20</ns0:v>
      </ns0:c>
      <ns0:c xmlns:ns0="http://schemas.openxmlformats.org/spreadsheetml/2006/main" r="AE77" s="11">
        <ns0:v>500</ns0:v>
      </ns0:c>
      <ns0:c xmlns:ns0="http://schemas.openxmlformats.org/spreadsheetml/2006/main" r="AF77" s="11">
        <ns0:v>10000000000</ns0:v>
      </ns0:c>
      <ns0:c xmlns:ns0="http://schemas.openxmlformats.org/spreadsheetml/2006/main" r="AG77" s="11">
        <ns0:v>100</ns0:v>
      </ns0:c>
      <ns0:c xmlns:ns0="http://schemas.openxmlformats.org/spreadsheetml/2006/main" r="AH77" s="11">
        <ns0:v>60</ns0:v>
      </ns0:c>
      <ns0:c xmlns:ns0="http://schemas.openxmlformats.org/spreadsheetml/2006/main" r="AI77" s="11">
        <ns0:v>710.513138803104</ns0:v>
      </ns0:c>
      <ns0:c xmlns:ns0="http://schemas.openxmlformats.org/spreadsheetml/2006/main" r="AJ77" s="11" t="inlineStr">
        <ns0:is>
          <ns0:t>MY_LIB_C_RC</ns0:t>
        </ns0:is>
      </ns0:c>
      <ns0:c xmlns:ns0="http://schemas.openxmlformats.org/spreadsheetml/2006/main" r="AK77" s="11" t="inlineStr">
        <ns0:is>
          <ns0:t>Nominal C; DFmax at 1kHz; minimum insulation; no temperature/bias/ESL</ns0:t>
        </ns0:is>
      </ns0:c>
      <ns0:c xmlns:ns0="http://schemas.openxmlformats.org/spreadsheetml/2006/main" r="AL77" s="11" t="inlineStr">
        <ns0:is>
          <ns0:t>General</ns0:t>
        </ns0:is>
      </ns0:c>
      <ns0:c xmlns:ns0="http://schemas.openxmlformats.org/spreadsheetml/2006/main" r="AM77" s="11" t="inlineStr">
        <ns0:is>
          <ns0:t>Spice Subcircuit</ns0:t>
        </ns0:is>
      </ns0:c>
      <ns0:c xmlns:ns0="http://schemas.openxmlformats.org/spreadsheetml/2006/main" r="AN77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77" s="11" t="inlineStr">
        <ns0:is>
          <ns0:t>X</ns0:t>
        </ns0:is>
      </ns0:c>
      <ns0:c xmlns:ns0="http://schemas.openxmlformats.org/spreadsheetml/2006/main" r="AP77" s="11" t="inlineStr">
        <ns0:is>
          <ns0:t>(1:1),(2:2)</ns0:t>
        </ns0:is>
      </ns0:c>
      <ns0:c xmlns:ns0="http://schemas.openxmlformats.org/spreadsheetml/2006/main" r="AQ77" s="11" t="inlineStr">
        <ns0:is>
          <ns0:t>Simulation\Capacitors\MY_LIB_C_RC.ckt</ns0:t>
        </ns0:is>
      </ns0:c>
    </ns0:row>
    <ns0:row r="78" ht="30" customHeight="1">
      <ns0:c r="A78" t="str" s="14">
        <ns0:v>C0079</ns0:v>
      </ns0:c>
      <ns0:c r="B78" t="str" s="14">
        <ns0:v>Конденсатор</ns0:v>
      </ns0:c>
      <ns0:c r="C78" t="str" s="14">
        <ns0:v>6.2n</ns0:v>
      </ns0:c>
      <ns0:c r="D78" t="str" s="11">
        <ns0:f>SUBSTITUTE(SUBSTITUTE(SUBSTITUTE(SUBSTITUTE(C78,"p"," пФ"),"n"," нФ"),"u"," мкФ"),".",",")</ns0:f>
        <ns0:v>6,2 нФ</ns0:v>
      </ns0:c>
      <ns0:c r="E78" t="str" s="14">
        <ns0:v>±10%</ns0:v>
      </ns0:c>
      <ns0:c r="F78" s="14"/>
      <ns0:c r="G78" t="str" s="14">
        <ns0:v>50 В</ns0:v>
      </ns0:c>
      <ns0:c r="H78" t="str" s="14">
        <ns0:v>X7R</ns0:v>
      </ns0:c>
      <ns0:c r="I78" t="str" s="15">
        <ns0:v>0805</ns0:v>
      </ns0:c>
      <ns0:c r="J78" t="str" s="14">
        <ns0:v>YAGEO</ns0:v>
      </ns0:c>
      <ns0:c r="K78" t="str" s="14">
        <ns0:v>CC0805KRX7R9BB622</ns0:v>
      </ns0:c>
      <ns0:c r="L78" t="str" s="11">
        <ns0:f>B78&amp;" "&amp;D78&amp;" "&amp;E78&amp;" "&amp;G78&amp;" "&amp;H78&amp;" "&amp;I78</ns0:f>
        <ns0:v>Конденсатор 6,2 нФ ±10% 50 В X7R 0805</ns0:v>
      </ns0:c>
      <ns0:c r="M78" t="str" s="13">
        <ns0:v>C</ns0:v>
      </ns0:c>
      <ns0:c r="N78" t="str" s="13">
        <ns0:v>Symbols\MY_LIB_Capacitors.SchLib</ns0:v>
      </ns0:c>
      <ns0:c r="O78" t="str" s="13">
        <ns0:v>CAPC2012X135N</ns0:v>
      </ns0:c>
      <ns0:c r="P78" t="str" s="13">
        <ns0:v>Footprints\PBL - SMD Packages.PcbLib</ns0:v>
      </ns0:c>
      <ns0:c r="Q78" t="str" s="14">
        <ns0:v>YAGEO CC; список 20.10.2026</ns0:v>
      </ns0:c>
      <ns0:c r="R78" t="str" s="11">
        <ns0:f>D78</ns0:f>
        <ns0:v>6,2 нФ</ns0:v>
      </ns0:c>
      <ns0:c r="S78" t="str" s="11">
        <ns0:f>L78</ns0:f>
        <ns0:v>Конденсатор 6,2 нФ ±10% 50 В X7R 0805</ns0:v>
      </ns0:c>
      <x:c xmlns:x="http://schemas.openxmlformats.org/spreadsheetml/2006/main" r="T78" t="str" s="11">
        <x:v>C:\Users\Nomatin\Documents\Altium\MY_LIB\MY_LIB\Datasheets\YAGEO_CC_X7R.pdf</x:v>
      </x:c>
      <x:c xmlns:x="http://schemas.openxmlformats.org/spreadsheetml/2006/main" r="U78" t="str" s="11">
        <x:v>Даташит — локальный</x:v>
      </x:c>
      <x:c xmlns:x="http://schemas.openxmlformats.org/spreadsheetml/2006/main" r="V78" t="str" s="11">
        <x:v>C:\Users\Nomatin\Documents\Altium\MY_LIB\MY_LIB\Datasheets\YAGEO_CC_X7R.pdf</x:v>
      </x:c>
      <x:c xmlns:x="http://schemas.openxmlformats.org/spreadsheetml/2006/main" r="W78" t="str" s="11">
        <x:v>Даташит — производитель</x:v>
      </x:c>
      <x:c xmlns:x="http://schemas.openxmlformats.org/spreadsheetml/2006/main" r="X78" t="str" s="11">
        <x:v>https://yageogroup.com/content/datasheet/asset/file/UPY-GPHC_X7R_6_3V-TO-250V</x:v>
      </x:c>
      <x:c xmlns:x="http://schemas.openxmlformats.org/spreadsheetml/2006/main" r="Y78" t="str" s="11">
        <x:v>C:\Users\Nomatin\Documents\Altium\MY_LIB\MY_LIB\Datasheets\YAGEO_CC_X7R.pdf</x:v>
      </x:c>
      <ns0:c xmlns:ns0="http://schemas.openxmlformats.org/spreadsheetml/2006/main" r="Z78" s="11">
        <ns0:v>6.2e-09</ns0:v>
      </ns0:c>
      <ns0:c xmlns:ns0="http://schemas.openxmlformats.org/spreadsheetml/2006/main" r="AA78" s="11">
        <ns0:v>0.025</ns0:v>
      </ns0:c>
      <ns0:c xmlns:ns0="http://schemas.openxmlformats.org/spreadsheetml/2006/main" r="AB78" s="11">
        <ns0:v>1000</ns0:v>
      </ns0:c>
      <ns0:c xmlns:ns0="http://schemas.openxmlformats.org/spreadsheetml/2006/main" r="AC78" s="11">
        <ns0:v>1</ns0:v>
      </ns0:c>
      <ns0:c xmlns:ns0="http://schemas.openxmlformats.org/spreadsheetml/2006/main" r="AD78" s="11">
        <ns0:v>20</ns0:v>
      </ns0:c>
      <ns0:c xmlns:ns0="http://schemas.openxmlformats.org/spreadsheetml/2006/main" r="AE78" s="11">
        <ns0:v>500</ns0:v>
      </ns0:c>
      <ns0:c xmlns:ns0="http://schemas.openxmlformats.org/spreadsheetml/2006/main" r="AF78" s="11">
        <ns0:v>10000000000</ns0:v>
      </ns0:c>
      <ns0:c xmlns:ns0="http://schemas.openxmlformats.org/spreadsheetml/2006/main" r="AG78" s="11">
        <ns0:v>50</ns0:v>
      </ns0:c>
      <ns0:c xmlns:ns0="http://schemas.openxmlformats.org/spreadsheetml/2006/main" r="AH78" s="11">
        <ns0:v>60</ns0:v>
      </ns0:c>
      <ns0:c xmlns:ns0="http://schemas.openxmlformats.org/spreadsheetml/2006/main" r="AI78" s="11">
        <ns0:v>641.753802789901</ns0:v>
      </ns0:c>
      <ns0:c xmlns:ns0="http://schemas.openxmlformats.org/spreadsheetml/2006/main" r="AJ78" s="11" t="inlineStr">
        <ns0:is>
          <ns0:t>MY_LIB_C_RC</ns0:t>
        </ns0:is>
      </ns0:c>
      <ns0:c xmlns:ns0="http://schemas.openxmlformats.org/spreadsheetml/2006/main" r="AK78" s="11" t="inlineStr">
        <ns0:is>
          <ns0:t>Nominal C; DFmax at 1kHz; minimum insulation; no temperature/bias/ESL</ns0:t>
        </ns0:is>
      </ns0:c>
      <ns0:c xmlns:ns0="http://schemas.openxmlformats.org/spreadsheetml/2006/main" r="AL78" s="11" t="inlineStr">
        <ns0:is>
          <ns0:t>General</ns0:t>
        </ns0:is>
      </ns0:c>
      <ns0:c xmlns:ns0="http://schemas.openxmlformats.org/spreadsheetml/2006/main" r="AM78" s="11" t="inlineStr">
        <ns0:is>
          <ns0:t>Spice Subcircuit</ns0:t>
        </ns0:is>
      </ns0:c>
      <ns0:c xmlns:ns0="http://schemas.openxmlformats.org/spreadsheetml/2006/main" r="AN78" s="11" t="inlineStr">
        <ns0:is>
          <ns0:t>@DESIGNATOR %1 %2 @MODEL PARAMS: Cvalue=6.2e-09 Rsvalue=641.753802789901 Rinsvalue=10000000000</ns0:t>
        </ns0:is>
      </ns0:c>
      <ns0:c xmlns:ns0="http://schemas.openxmlformats.org/spreadsheetml/2006/main" r="AO78" s="11" t="inlineStr">
        <ns0:is>
          <ns0:t>X</ns0:t>
        </ns0:is>
      </ns0:c>
      <ns0:c xmlns:ns0="http://schemas.openxmlformats.org/spreadsheetml/2006/main" r="AP78" s="11" t="inlineStr">
        <ns0:is>
          <ns0:t>(1:1),(2:2)</ns0:t>
        </ns0:is>
      </ns0:c>
      <ns0:c xmlns:ns0="http://schemas.openxmlformats.org/spreadsheetml/2006/main" r="AQ78" s="11" t="inlineStr">
        <ns0:is>
          <ns0:t>Simulation\Capacitors\MY_LIB_C_RC.ckt</ns0:t>
        </ns0:is>
      </ns0:c>
    </ns0:row>
    <ns0:row r="79" ht="30" customHeight="1">
      <ns0:c r="A79" t="str" s="14">
        <ns0:v>C0080</ns0:v>
      </ns0:c>
      <ns0:c r="B79" t="str" s="14">
        <ns0:v>Конденсатор</ns0:v>
      </ns0:c>
      <ns0:c r="C79" t="str" s="14">
        <ns0:v>6.8n</ns0:v>
      </ns0:c>
      <ns0:c r="D79" t="str" s="11">
        <ns0:f>SUBSTITUTE(SUBSTITUTE(SUBSTITUTE(SUBSTITUTE(C79,"p"," пФ"),"n"," нФ"),"u"," мкФ"),".",",")</ns0:f>
        <ns0:v>6,8 нФ</ns0:v>
      </ns0:c>
      <ns0:c r="E79" t="str" s="14">
        <ns0:v>±10%</ns0:v>
      </ns0:c>
      <ns0:c r="F79" s="14"/>
      <ns0:c r="G79" t="str" s="14">
        <ns0:v>100 В</ns0:v>
      </ns0:c>
      <ns0:c r="H79" t="str" s="14">
        <ns0:v>X7R</ns0:v>
      </ns0:c>
      <ns0:c r="I79" t="str" s="15">
        <ns0:v>0805</ns0:v>
      </ns0:c>
      <ns0:c r="J79" t="str" s="14">
        <ns0:v>YAGEO</ns0:v>
      </ns0:c>
      <ns0:c r="K79" t="str" s="14">
        <ns0:v>CC0805KKX7R0BB682</ns0:v>
      </ns0:c>
      <ns0:c r="L79" t="str" s="11">
        <ns0:f>B79&amp;" "&amp;D79&amp;" "&amp;E79&amp;" "&amp;G79&amp;" "&amp;H79&amp;" "&amp;I79</ns0:f>
        <ns0:v>Конденсатор 6,8 нФ ±10% 100 В X7R 0805</ns0:v>
      </ns0:c>
      <ns0:c r="M79" t="str" s="13">
        <ns0:v>C</ns0:v>
      </ns0:c>
      <ns0:c r="N79" t="str" s="13">
        <ns0:v>Symbols\MY_LIB_Capacitors.SchLib</ns0:v>
      </ns0:c>
      <ns0:c r="O79" t="str" s="13">
        <ns0:v>CAPC2012X135N</ns0:v>
      </ns0:c>
      <ns0:c r="P79" t="str" s="13">
        <ns0:v>Footprints\PBL - SMD Packages.PcbLib</ns0:v>
      </ns0:c>
      <ns0:c r="Q79" t="str" s="14">
        <ns0:v>YAGEO CC; список 20.10.2026</ns0:v>
      </ns0:c>
      <ns0:c r="R79" t="str" s="11">
        <ns0:f>D79</ns0:f>
        <ns0:v>6,8 нФ</ns0:v>
      </ns0:c>
      <ns0:c r="S79" t="str" s="11">
        <ns0:f>L79</ns0:f>
        <ns0:v>Конденсатор 6,8 нФ ±10% 100 В X7R 0805</ns0:v>
      </ns0:c>
      <x:c xmlns:x="http://schemas.openxmlformats.org/spreadsheetml/2006/main" r="T79" t="str" s="11">
        <x:v>C:\Users\Nomatin\Documents\Altium\MY_LIB\MY_LIB\Datasheets\YAGEO_CC_X7R.pdf</x:v>
      </x:c>
      <x:c xmlns:x="http://schemas.openxmlformats.org/spreadsheetml/2006/main" r="U79" t="str" s="11">
        <x:v>Даташит — локальный</x:v>
      </x:c>
      <x:c xmlns:x="http://schemas.openxmlformats.org/spreadsheetml/2006/main" r="V79" t="str" s="11">
        <x:v>C:\Users\Nomatin\Documents\Altium\MY_LIB\MY_LIB\Datasheets\YAGEO_CC_X7R.pdf</x:v>
      </x:c>
      <x:c xmlns:x="http://schemas.openxmlformats.org/spreadsheetml/2006/main" r="W79" t="str" s="11">
        <x:v>Даташит — производитель</x:v>
      </x:c>
      <x:c xmlns:x="http://schemas.openxmlformats.org/spreadsheetml/2006/main" r="X79" t="str" s="11">
        <x:v>https://yageogroup.com/content/datasheet/asset/file/UPY-GPHC_X7R_6_3V-TO-250V</x:v>
      </x:c>
      <x:c xmlns:x="http://schemas.openxmlformats.org/spreadsheetml/2006/main" r="Y79" t="str" s="11">
        <x:v>C:\Users\Nomatin\Documents\Altium\MY_LIB\MY_LIB\Datasheets\YAGEO_CC_X7R.pdf</x:v>
      </x:c>
      <ns0:c xmlns:ns0="http://schemas.openxmlformats.org/spreadsheetml/2006/main" r="Z79" s="11">
        <ns0:v>6.8e-09</ns0:v>
      </ns0:c>
      <ns0:c xmlns:ns0="http://schemas.openxmlformats.org/spreadsheetml/2006/main" r="AA79" s="11">
        <ns0:v>0.025</ns0:v>
      </ns0:c>
      <ns0:c xmlns:ns0="http://schemas.openxmlformats.org/spreadsheetml/2006/main" r="AB79" s="11">
        <ns0:v>1000</ns0:v>
      </ns0:c>
      <ns0:c xmlns:ns0="http://schemas.openxmlformats.org/spreadsheetml/2006/main" r="AC79" s="11">
        <ns0:v>1</ns0:v>
      </ns0:c>
      <ns0:c xmlns:ns0="http://schemas.openxmlformats.org/spreadsheetml/2006/main" r="AD79" s="11">
        <ns0:v>20</ns0:v>
      </ns0:c>
      <ns0:c xmlns:ns0="http://schemas.openxmlformats.org/spreadsheetml/2006/main" r="AE79" s="11">
        <ns0:v>500</ns0:v>
      </ns0:c>
      <ns0:c xmlns:ns0="http://schemas.openxmlformats.org/spreadsheetml/2006/main" r="AF79" s="11">
        <ns0:v>10000000000</ns0:v>
      </ns0:c>
      <ns0:c xmlns:ns0="http://schemas.openxmlformats.org/spreadsheetml/2006/main" r="AG79" s="11">
        <ns0:v>100</ns0:v>
      </ns0:c>
      <ns0:c xmlns:ns0="http://schemas.openxmlformats.org/spreadsheetml/2006/main" r="AH79" s="11">
        <ns0:v>60</ns0:v>
      </ns0:c>
      <ns0:c xmlns:ns0="http://schemas.openxmlformats.org/spreadsheetml/2006/main" r="AI79" s="11">
        <ns0:v>585.128467249615</ns0:v>
      </ns0:c>
      <ns0:c xmlns:ns0="http://schemas.openxmlformats.org/spreadsheetml/2006/main" r="AJ79" s="11" t="inlineStr">
        <ns0:is>
          <ns0:t>MY_LIB_C_RC</ns0:t>
        </ns0:is>
      </ns0:c>
      <ns0:c xmlns:ns0="http://schemas.openxmlformats.org/spreadsheetml/2006/main" r="AK79" s="11" t="inlineStr">
        <ns0:is>
          <ns0:t>Nominal C; DFmax at 1kHz; minimum insulation; no temperature/bias/ESL</ns0:t>
        </ns0:is>
      </ns0:c>
      <ns0:c xmlns:ns0="http://schemas.openxmlformats.org/spreadsheetml/2006/main" r="AL79" s="11" t="inlineStr">
        <ns0:is>
          <ns0:t>General</ns0:t>
        </ns0:is>
      </ns0:c>
      <ns0:c xmlns:ns0="http://schemas.openxmlformats.org/spreadsheetml/2006/main" r="AM79" s="11" t="inlineStr">
        <ns0:is>
          <ns0:t>Spice Subcircuit</ns0:t>
        </ns0:is>
      </ns0:c>
      <ns0:c xmlns:ns0="http://schemas.openxmlformats.org/spreadsheetml/2006/main" r="AN79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79" s="11" t="inlineStr">
        <ns0:is>
          <ns0:t>X</ns0:t>
        </ns0:is>
      </ns0:c>
      <ns0:c xmlns:ns0="http://schemas.openxmlformats.org/spreadsheetml/2006/main" r="AP79" s="11" t="inlineStr">
        <ns0:is>
          <ns0:t>(1:1),(2:2)</ns0:t>
        </ns0:is>
      </ns0:c>
      <ns0:c xmlns:ns0="http://schemas.openxmlformats.org/spreadsheetml/2006/main" r="AQ79" s="11" t="inlineStr">
        <ns0:is>
          <ns0:t>Simulation\Capacitors\MY_LIB_C_RC.ckt</ns0:t>
        </ns0:is>
      </ns0:c>
    </ns0:row>
    <ns0:row r="80" ht="30" customHeight="1">
      <ns0:c r="A80" t="str" s="14">
        <ns0:v>C0081</ns0:v>
      </ns0:c>
      <ns0:c r="B80" t="str" s="14">
        <ns0:v>Конденсатор</ns0:v>
      </ns0:c>
      <ns0:c r="C80" t="str" s="14">
        <ns0:v>8.2n</ns0:v>
      </ns0:c>
      <ns0:c r="D80" t="str" s="11">
        <ns0:f>SUBSTITUTE(SUBSTITUTE(SUBSTITUTE(SUBSTITUTE(C80,"p"," пФ"),"n"," нФ"),"u"," мкФ"),".",",")</ns0:f>
        <ns0:v>8,2 нФ</ns0:v>
      </ns0:c>
      <ns0:c r="E80" t="str" s="14">
        <ns0:v>±10%</ns0:v>
      </ns0:c>
      <ns0:c r="F80" s="14"/>
      <ns0:c r="G80" t="str" s="14">
        <ns0:v>100 В</ns0:v>
      </ns0:c>
      <ns0:c r="H80" t="str" s="14">
        <ns0:v>X7R</ns0:v>
      </ns0:c>
      <ns0:c r="I80" t="str" s="15">
        <ns0:v>0805</ns0:v>
      </ns0:c>
      <ns0:c r="J80" t="str" s="14">
        <ns0:v>YAGEO</ns0:v>
      </ns0:c>
      <ns0:c r="K80" t="str" s="14">
        <ns0:v>CC0805KRX7R0BB822</ns0:v>
      </ns0:c>
      <ns0:c r="L80" t="str" s="11">
        <ns0:f>B80&amp;" "&amp;D80&amp;" "&amp;E80&amp;" "&amp;G80&amp;" "&amp;H80&amp;" "&amp;I80</ns0:f>
        <ns0:v>Конденсатор 8,2 нФ ±10% 100 В X7R 0805</ns0:v>
      </ns0:c>
      <ns0:c r="M80" t="str" s="13">
        <ns0:v>C</ns0:v>
      </ns0:c>
      <ns0:c r="N80" t="str" s="13">
        <ns0:v>Symbols\MY_LIB_Capacitors.SchLib</ns0:v>
      </ns0:c>
      <ns0:c r="O80" t="str" s="13">
        <ns0:v>CAPC2012X135N</ns0:v>
      </ns0:c>
      <ns0:c r="P80" t="str" s="13">
        <ns0:v>Footprints\PBL - SMD Packages.PcbLib</ns0:v>
      </ns0:c>
      <ns0:c r="Q80" t="str" s="14">
        <ns0:v>YAGEO CC; список 20.10.2026</ns0:v>
      </ns0:c>
      <ns0:c r="R80" t="str" s="11">
        <ns0:f>D80</ns0:f>
        <ns0:v>8,2 нФ</ns0:v>
      </ns0:c>
      <ns0:c r="S80" t="str" s="11">
        <ns0:f>L80</ns0:f>
        <ns0:v>Конденсатор 8,2 нФ ±10% 100 В X7R 0805</ns0:v>
      </ns0:c>
      <x:c xmlns:x="http://schemas.openxmlformats.org/spreadsheetml/2006/main" r="T80" t="str" s="11">
        <x:v>C:\Users\Nomatin\Documents\Altium\MY_LIB\MY_LIB\Datasheets\YAGEO_CC_X7R.pdf</x:v>
      </x:c>
      <x:c xmlns:x="http://schemas.openxmlformats.org/spreadsheetml/2006/main" r="U80" t="str" s="11">
        <x:v>Даташит — локальный</x:v>
      </x:c>
      <x:c xmlns:x="http://schemas.openxmlformats.org/spreadsheetml/2006/main" r="V80" t="str" s="11">
        <x:v>C:\Users\Nomatin\Documents\Altium\MY_LIB\MY_LIB\Datasheets\YAGEO_CC_X7R.pdf</x:v>
      </x:c>
      <x:c xmlns:x="http://schemas.openxmlformats.org/spreadsheetml/2006/main" r="W80" t="str" s="11">
        <x:v>Даташит — производитель</x:v>
      </x:c>
      <x:c xmlns:x="http://schemas.openxmlformats.org/spreadsheetml/2006/main" r="X80" t="str" s="11">
        <x:v>https://yageogroup.com/content/datasheet/asset/file/UPY-GPHC_X7R_6_3V-TO-250V</x:v>
      </x:c>
      <x:c xmlns:x="http://schemas.openxmlformats.org/spreadsheetml/2006/main" r="Y80" t="str" s="11">
        <x:v>C:\Users\Nomatin\Documents\Altium\MY_LIB\MY_LIB\Datasheets\YAGEO_CC_X7R.pdf</x:v>
      </x:c>
      <ns0:c xmlns:ns0="http://schemas.openxmlformats.org/spreadsheetml/2006/main" r="Z80" s="11">
        <ns0:v>8.2e-09</ns0:v>
      </ns0:c>
      <ns0:c xmlns:ns0="http://schemas.openxmlformats.org/spreadsheetml/2006/main" r="AA80" s="11">
        <ns0:v>0.025</ns0:v>
      </ns0:c>
      <ns0:c xmlns:ns0="http://schemas.openxmlformats.org/spreadsheetml/2006/main" r="AB80" s="11">
        <ns0:v>1000</ns0:v>
      </ns0:c>
      <ns0:c xmlns:ns0="http://schemas.openxmlformats.org/spreadsheetml/2006/main" r="AC80" s="11">
        <ns0:v>1</ns0:v>
      </ns0:c>
      <ns0:c xmlns:ns0="http://schemas.openxmlformats.org/spreadsheetml/2006/main" r="AD80" s="11">
        <ns0:v>20</ns0:v>
      </ns0:c>
      <ns0:c xmlns:ns0="http://schemas.openxmlformats.org/spreadsheetml/2006/main" r="AE80" s="11">
        <ns0:v>500</ns0:v>
      </ns0:c>
      <ns0:c xmlns:ns0="http://schemas.openxmlformats.org/spreadsheetml/2006/main" r="AF80" s="11">
        <ns0:v>10000000000</ns0:v>
      </ns0:c>
      <ns0:c xmlns:ns0="http://schemas.openxmlformats.org/spreadsheetml/2006/main" r="AG80" s="11">
        <ns0:v>100</ns0:v>
      </ns0:c>
      <ns0:c xmlns:ns0="http://schemas.openxmlformats.org/spreadsheetml/2006/main" r="AH80" s="11">
        <ns0:v>60</ns0:v>
      </ns0:c>
      <ns0:c xmlns:ns0="http://schemas.openxmlformats.org/spreadsheetml/2006/main" r="AI80" s="11">
        <ns0:v>485.228485036266</ns0:v>
      </ns0:c>
      <ns0:c xmlns:ns0="http://schemas.openxmlformats.org/spreadsheetml/2006/main" r="AJ80" s="11" t="inlineStr">
        <ns0:is>
          <ns0:t>MY_LIB_C_RC</ns0:t>
        </ns0:is>
      </ns0:c>
      <ns0:c xmlns:ns0="http://schemas.openxmlformats.org/spreadsheetml/2006/main" r="AK80" s="11" t="inlineStr">
        <ns0:is>
          <ns0:t>Nominal C; DFmax at 1kHz; minimum insulation; no temperature/bias/ESL</ns0:t>
        </ns0:is>
      </ns0:c>
      <ns0:c xmlns:ns0="http://schemas.openxmlformats.org/spreadsheetml/2006/main" r="AL80" s="11" t="inlineStr">
        <ns0:is>
          <ns0:t>General</ns0:t>
        </ns0:is>
      </ns0:c>
      <ns0:c xmlns:ns0="http://schemas.openxmlformats.org/spreadsheetml/2006/main" r="AM80" s="11" t="inlineStr">
        <ns0:is>
          <ns0:t>Spice Subcircuit</ns0:t>
        </ns0:is>
      </ns0:c>
      <ns0:c xmlns:ns0="http://schemas.openxmlformats.org/spreadsheetml/2006/main" r="AN80" s="11" t="inlineStr">
        <ns0:is>
          <ns0:t>@DESIGNATOR %1 %2 @MODEL PARAMS: Cvalue=8.2e-09 Rsvalue=485.228485036266 Rinsvalue=10000000000</ns0:t>
        </ns0:is>
      </ns0:c>
      <ns0:c xmlns:ns0="http://schemas.openxmlformats.org/spreadsheetml/2006/main" r="AO80" s="11" t="inlineStr">
        <ns0:is>
          <ns0:t>X</ns0:t>
        </ns0:is>
      </ns0:c>
      <ns0:c xmlns:ns0="http://schemas.openxmlformats.org/spreadsheetml/2006/main" r="AP80" s="11" t="inlineStr">
        <ns0:is>
          <ns0:t>(1:1),(2:2)</ns0:t>
        </ns0:is>
      </ns0:c>
      <ns0:c xmlns:ns0="http://schemas.openxmlformats.org/spreadsheetml/2006/main" r="AQ80" s="11" t="inlineStr">
        <ns0:is>
          <ns0:t>Simulation\Capacitors\MY_LIB_C_RC.ckt</ns0:t>
        </ns0:is>
      </ns0:c>
    </ns0:row>
    <ns0:row r="81" ht="30" customHeight="1">
      <ns0:c r="A81" t="str" s="14">
        <ns0:v>C0082</ns0:v>
      </ns0:c>
      <ns0:c r="B81" t="str" s="14">
        <ns0:v>Конденсатор</ns0:v>
      </ns0:c>
      <ns0:c r="C81" t="str" s="14">
        <ns0:v>10n</ns0:v>
      </ns0:c>
      <ns0:c r="D81" t="str" s="11">
        <ns0:f>SUBSTITUTE(SUBSTITUTE(SUBSTITUTE(SUBSTITUTE(C81,"p"," пФ"),"n"," нФ"),"u"," мкФ"),".",",")</ns0:f>
        <ns0:v>10 нФ</ns0:v>
      </ns0:c>
      <ns0:c r="E81" t="str" s="14">
        <ns0:v>±10%</ns0:v>
      </ns0:c>
      <ns0:c r="F81" s="14"/>
      <ns0:c r="G81" t="str" s="14">
        <ns0:v>100 В</ns0:v>
      </ns0:c>
      <ns0:c r="H81" t="str" s="14">
        <ns0:v>X7R</ns0:v>
      </ns0:c>
      <ns0:c r="I81" t="str" s="15">
        <ns0:v>0805</ns0:v>
      </ns0:c>
      <ns0:c r="J81" t="str" s="14">
        <ns0:v>YAGEO</ns0:v>
      </ns0:c>
      <ns0:c r="K81" t="str" s="14">
        <ns0:v>CC0805KKX7R0BB103</ns0:v>
      </ns0:c>
      <ns0:c r="L81" t="str" s="11">
        <ns0:f>B81&amp;" "&amp;D81&amp;" "&amp;E81&amp;" "&amp;G81&amp;" "&amp;H81&amp;" "&amp;I81</ns0:f>
        <ns0:v>Конденсатор 10 нФ ±10% 100 В X7R 0805</ns0:v>
      </ns0:c>
      <ns0:c r="M81" t="str" s="13">
        <ns0:v>C</ns0:v>
      </ns0:c>
      <ns0:c r="N81" t="str" s="13">
        <ns0:v>Symbols\MY_LIB_Capacitors.SchLib</ns0:v>
      </ns0:c>
      <ns0:c r="O81" t="str" s="13">
        <ns0:v>CAPC2012X135N</ns0:v>
      </ns0:c>
      <ns0:c r="P81" t="str" s="13">
        <ns0:v>Footprints\PBL - SMD Packages.PcbLib</ns0:v>
      </ns0:c>
      <ns0:c r="Q81" t="str" s="14">
        <ns0:v>YAGEO CC; список 20.10.2026</ns0:v>
      </ns0:c>
      <ns0:c r="R81" t="str" s="11">
        <ns0:f>D81</ns0:f>
        <ns0:v>10 нФ</ns0:v>
      </ns0:c>
      <ns0:c r="S81" t="str" s="11">
        <ns0:f>L81</ns0:f>
        <ns0:v>Конденсатор 10 нФ ±10% 100 В X7R 0805</ns0:v>
      </ns0:c>
      <x:c xmlns:x="http://schemas.openxmlformats.org/spreadsheetml/2006/main" r="T81" t="str" s="11">
        <x:v>C:\Users\Nomatin\Documents\Altium\MY_LIB\MY_LIB\Datasheets\YAGEO_CC_X7R.pdf</x:v>
      </x:c>
      <x:c xmlns:x="http://schemas.openxmlformats.org/spreadsheetml/2006/main" r="U81" t="str" s="11">
        <x:v>Даташит — локальный</x:v>
      </x:c>
      <x:c xmlns:x="http://schemas.openxmlformats.org/spreadsheetml/2006/main" r="V81" t="str" s="11">
        <x:v>C:\Users\Nomatin\Documents\Altium\MY_LIB\MY_LIB\Datasheets\YAGEO_CC_X7R.pdf</x:v>
      </x:c>
      <x:c xmlns:x="http://schemas.openxmlformats.org/spreadsheetml/2006/main" r="W81" t="str" s="11">
        <x:v>Даташит — производитель</x:v>
      </x:c>
      <x:c xmlns:x="http://schemas.openxmlformats.org/spreadsheetml/2006/main" r="X81" t="str" s="11">
        <x:v>https://yageogroup.com/content/datasheet/asset/file/UPY-GPHC_X7R_6_3V-TO-250V</x:v>
      </x:c>
      <x:c xmlns:x="http://schemas.openxmlformats.org/spreadsheetml/2006/main" r="Y81" t="str" s="11">
        <x:v>C:\Users\Nomatin\Documents\Altium\MY_LIB\MY_LIB\Datasheets\YAGEO_CC_X7R.pdf</x:v>
      </x:c>
      <ns0:c xmlns:ns0="http://schemas.openxmlformats.org/spreadsheetml/2006/main" r="Z81" s="11">
        <ns0:v>1e-08</ns0:v>
      </ns0:c>
      <ns0:c xmlns:ns0="http://schemas.openxmlformats.org/spreadsheetml/2006/main" r="AA81" s="11">
        <ns0:v>0.025</ns0:v>
      </ns0:c>
      <ns0:c xmlns:ns0="http://schemas.openxmlformats.org/spreadsheetml/2006/main" r="AB81" s="11">
        <ns0:v>1000</ns0:v>
      </ns0:c>
      <ns0:c xmlns:ns0="http://schemas.openxmlformats.org/spreadsheetml/2006/main" r="AC81" s="11">
        <ns0:v>1</ns0:v>
      </ns0:c>
      <ns0:c xmlns:ns0="http://schemas.openxmlformats.org/spreadsheetml/2006/main" r="AD81" s="11">
        <ns0:v>20</ns0:v>
      </ns0:c>
      <ns0:c xmlns:ns0="http://schemas.openxmlformats.org/spreadsheetml/2006/main" r="AE81" s="11">
        <ns0:v>500</ns0:v>
      </ns0:c>
      <ns0:c xmlns:ns0="http://schemas.openxmlformats.org/spreadsheetml/2006/main" r="AF81" s="11">
        <ns0:v>10000000000</ns0:v>
      </ns0:c>
      <ns0:c xmlns:ns0="http://schemas.openxmlformats.org/spreadsheetml/2006/main" r="AG81" s="11">
        <ns0:v>100</ns0:v>
      </ns0:c>
      <ns0:c xmlns:ns0="http://schemas.openxmlformats.org/spreadsheetml/2006/main" r="AH81" s="11">
        <ns0:v>60</ns0:v>
      </ns0:c>
      <ns0:c xmlns:ns0="http://schemas.openxmlformats.org/spreadsheetml/2006/main" r="AI81" s="11">
        <ns0:v>397.887357729738</ns0:v>
      </ns0:c>
      <ns0:c xmlns:ns0="http://schemas.openxmlformats.org/spreadsheetml/2006/main" r="AJ81" s="11" t="inlineStr">
        <ns0:is>
          <ns0:t>MY_LIB_C_RC</ns0:t>
        </ns0:is>
      </ns0:c>
      <ns0:c xmlns:ns0="http://schemas.openxmlformats.org/spreadsheetml/2006/main" r="AK81" s="11" t="inlineStr">
        <ns0:is>
          <ns0:t>Nominal C; DFmax at 1kHz; minimum insulation; no temperature/bias/ESL</ns0:t>
        </ns0:is>
      </ns0:c>
      <ns0:c xmlns:ns0="http://schemas.openxmlformats.org/spreadsheetml/2006/main" r="AL81" s="11" t="inlineStr">
        <ns0:is>
          <ns0:t>General</ns0:t>
        </ns0:is>
      </ns0:c>
      <ns0:c xmlns:ns0="http://schemas.openxmlformats.org/spreadsheetml/2006/main" r="AM81" s="11" t="inlineStr">
        <ns0:is>
          <ns0:t>Spice Subcircuit</ns0:t>
        </ns0:is>
      </ns0:c>
      <ns0:c xmlns:ns0="http://schemas.openxmlformats.org/spreadsheetml/2006/main" r="AN81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81" s="11" t="inlineStr">
        <ns0:is>
          <ns0:t>X</ns0:t>
        </ns0:is>
      </ns0:c>
      <ns0:c xmlns:ns0="http://schemas.openxmlformats.org/spreadsheetml/2006/main" r="AP81" s="11" t="inlineStr">
        <ns0:is>
          <ns0:t>(1:1),(2:2)</ns0:t>
        </ns0:is>
      </ns0:c>
      <ns0:c xmlns:ns0="http://schemas.openxmlformats.org/spreadsheetml/2006/main" r="AQ81" s="11" t="inlineStr">
        <ns0:is>
          <ns0:t>Simulation\Capacitors\MY_LIB_C_RC.ckt</ns0:t>
        </ns0:is>
      </ns0:c>
    </ns0:row>
    <ns0:row r="82" ht="30" customHeight="1">
      <ns0:c r="A82" t="str" s="14">
        <ns0:v>C0083</ns0:v>
      </ns0:c>
      <ns0:c r="B82" t="str" s="14">
        <ns0:v>Конденсатор</ns0:v>
      </ns0:c>
      <ns0:c r="C82" t="str" s="14">
        <ns0:v>12n</ns0:v>
      </ns0:c>
      <ns0:c r="D82" t="str" s="11">
        <ns0:f>SUBSTITUTE(SUBSTITUTE(SUBSTITUTE(SUBSTITUTE(C82,"p"," пФ"),"n"," нФ"),"u"," мкФ"),".",",")</ns0:f>
        <ns0:v>12 нФ</ns0:v>
      </ns0:c>
      <ns0:c r="E82" t="str" s="14">
        <ns0:v>±10%</ns0:v>
      </ns0:c>
      <ns0:c r="F82" s="14"/>
      <ns0:c r="G82" t="str" s="14">
        <ns0:v>100 В</ns0:v>
      </ns0:c>
      <ns0:c r="H82" t="str" s="14">
        <ns0:v>X7R</ns0:v>
      </ns0:c>
      <ns0:c r="I82" t="str" s="15">
        <ns0:v>0805</ns0:v>
      </ns0:c>
      <ns0:c r="J82" t="str" s="14">
        <ns0:v>YAGEO</ns0:v>
      </ns0:c>
      <ns0:c r="K82" t="str" s="14">
        <ns0:v>CC0805KRX7R0BB123</ns0:v>
      </ns0:c>
      <ns0:c r="L82" t="str" s="11">
        <ns0:f>B82&amp;" "&amp;D82&amp;" "&amp;E82&amp;" "&amp;G82&amp;" "&amp;H82&amp;" "&amp;I82</ns0:f>
        <ns0:v>Конденсатор 12 нФ ±10% 100 В X7R 0805</ns0:v>
      </ns0:c>
      <ns0:c r="M82" t="str" s="13">
        <ns0:v>C</ns0:v>
      </ns0:c>
      <ns0:c r="N82" t="str" s="13">
        <ns0:v>Symbols\MY_LIB_Capacitors.SchLib</ns0:v>
      </ns0:c>
      <ns0:c r="O82" t="str" s="13">
        <ns0:v>CAPC2012X135N</ns0:v>
      </ns0:c>
      <ns0:c r="P82" t="str" s="13">
        <ns0:v>Footprints\PBL - SMD Packages.PcbLib</ns0:v>
      </ns0:c>
      <ns0:c r="Q82" t="str" s="14">
        <ns0:v>YAGEO CC; список 20.10.2026</ns0:v>
      </ns0:c>
      <ns0:c r="R82" t="str" s="11">
        <ns0:f>D82</ns0:f>
        <ns0:v>12 нФ</ns0:v>
      </ns0:c>
      <ns0:c r="S82" t="str" s="11">
        <ns0:f>L82</ns0:f>
        <ns0:v>Конденсатор 12 нФ ±10% 100 В X7R 0805</ns0:v>
      </ns0:c>
      <x:c xmlns:x="http://schemas.openxmlformats.org/spreadsheetml/2006/main" r="T82" t="str" s="11">
        <x:v>C:\Users\Nomatin\Documents\Altium\MY_LIB\MY_LIB\Datasheets\YAGEO_CC_X7R.pdf</x:v>
      </x:c>
      <x:c xmlns:x="http://schemas.openxmlformats.org/spreadsheetml/2006/main" r="U82" t="str" s="11">
        <x:v>Даташит — локальный</x:v>
      </x:c>
      <x:c xmlns:x="http://schemas.openxmlformats.org/spreadsheetml/2006/main" r="V82" t="str" s="11">
        <x:v>C:\Users\Nomatin\Documents\Altium\MY_LIB\MY_LIB\Datasheets\YAGEO_CC_X7R.pdf</x:v>
      </x:c>
      <x:c xmlns:x="http://schemas.openxmlformats.org/spreadsheetml/2006/main" r="W82" t="str" s="11">
        <x:v>Даташит — производитель</x:v>
      </x:c>
      <x:c xmlns:x="http://schemas.openxmlformats.org/spreadsheetml/2006/main" r="X82" t="str" s="11">
        <x:v>https://yageogroup.com/content/datasheet/asset/file/UPY-GPHC_X7R_6_3V-TO-250V</x:v>
      </x:c>
      <x:c xmlns:x="http://schemas.openxmlformats.org/spreadsheetml/2006/main" r="Y82" t="str" s="11">
        <x:v>C:\Users\Nomatin\Documents\Altium\MY_LIB\MY_LIB\Datasheets\YAGEO_CC_X7R.pdf</x:v>
      </x:c>
      <ns0:c xmlns:ns0="http://schemas.openxmlformats.org/spreadsheetml/2006/main" r="Z82" s="11">
        <ns0:v>1.2e-08</ns0:v>
      </ns0:c>
      <ns0:c xmlns:ns0="http://schemas.openxmlformats.org/spreadsheetml/2006/main" r="AA82" s="11">
        <ns0:v>0.025</ns0:v>
      </ns0:c>
      <ns0:c xmlns:ns0="http://schemas.openxmlformats.org/spreadsheetml/2006/main" r="AB82" s="11">
        <ns0:v>1000</ns0:v>
      </ns0:c>
      <ns0:c xmlns:ns0="http://schemas.openxmlformats.org/spreadsheetml/2006/main" r="AC82" s="11">
        <ns0:v>1</ns0:v>
      </ns0:c>
      <ns0:c xmlns:ns0="http://schemas.openxmlformats.org/spreadsheetml/2006/main" r="AD82" s="11">
        <ns0:v>20</ns0:v>
      </ns0:c>
      <ns0:c xmlns:ns0="http://schemas.openxmlformats.org/spreadsheetml/2006/main" r="AE82" s="11">
        <ns0:v>500</ns0:v>
      </ns0:c>
      <ns0:c xmlns:ns0="http://schemas.openxmlformats.org/spreadsheetml/2006/main" r="AF82" s="11">
        <ns0:v>10000000000</ns0:v>
      </ns0:c>
      <ns0:c xmlns:ns0="http://schemas.openxmlformats.org/spreadsheetml/2006/main" r="AG82" s="11">
        <ns0:v>100</ns0:v>
      </ns0:c>
      <ns0:c xmlns:ns0="http://schemas.openxmlformats.org/spreadsheetml/2006/main" r="AH82" s="11">
        <ns0:v>60</ns0:v>
      </ns0:c>
      <ns0:c xmlns:ns0="http://schemas.openxmlformats.org/spreadsheetml/2006/main" r="AI82" s="11">
        <ns0:v>331.572798108115</ns0:v>
      </ns0:c>
      <ns0:c xmlns:ns0="http://schemas.openxmlformats.org/spreadsheetml/2006/main" r="AJ82" s="11" t="inlineStr">
        <ns0:is>
          <ns0:t>MY_LIB_C_RC</ns0:t>
        </ns0:is>
      </ns0:c>
      <ns0:c xmlns:ns0="http://schemas.openxmlformats.org/spreadsheetml/2006/main" r="AK82" s="11" t="inlineStr">
        <ns0:is>
          <ns0:t>Nominal C; DFmax at 1kHz; minimum insulation; no temperature/bias/ESL</ns0:t>
        </ns0:is>
      </ns0:c>
      <ns0:c xmlns:ns0="http://schemas.openxmlformats.org/spreadsheetml/2006/main" r="AL82" s="11" t="inlineStr">
        <ns0:is>
          <ns0:t>General</ns0:t>
        </ns0:is>
      </ns0:c>
      <ns0:c xmlns:ns0="http://schemas.openxmlformats.org/spreadsheetml/2006/main" r="AM82" s="11" t="inlineStr">
        <ns0:is>
          <ns0:t>Spice Subcircuit</ns0:t>
        </ns0:is>
      </ns0:c>
      <ns0:c xmlns:ns0="http://schemas.openxmlformats.org/spreadsheetml/2006/main" r="AN82" s="11" t="inlineStr">
        <ns0:is>
          <ns0:t>@DESIGNATOR %1 %2 @MODEL PARAMS: Cvalue=1.2e-08 Rsvalue=331.572798108115 Rinsvalue=10000000000</ns0:t>
        </ns0:is>
      </ns0:c>
      <ns0:c xmlns:ns0="http://schemas.openxmlformats.org/spreadsheetml/2006/main" r="AO82" s="11" t="inlineStr">
        <ns0:is>
          <ns0:t>X</ns0:t>
        </ns0:is>
      </ns0:c>
      <ns0:c xmlns:ns0="http://schemas.openxmlformats.org/spreadsheetml/2006/main" r="AP82" s="11" t="inlineStr">
        <ns0:is>
          <ns0:t>(1:1),(2:2)</ns0:t>
        </ns0:is>
      </ns0:c>
      <ns0:c xmlns:ns0="http://schemas.openxmlformats.org/spreadsheetml/2006/main" r="AQ82" s="11" t="inlineStr">
        <ns0:is>
          <ns0:t>Simulation\Capacitors\MY_LIB_C_RC.ckt</ns0:t>
        </ns0:is>
      </ns0:c>
    </ns0:row>
    <ns0:row r="83" ht="30" customHeight="1">
      <ns0:c r="A83" t="str" s="14">
        <ns0:v>C0084</ns0:v>
      </ns0:c>
      <ns0:c r="B83" t="str" s="14">
        <ns0:v>Конденсатор</ns0:v>
      </ns0:c>
      <ns0:c r="C83" t="str" s="14">
        <ns0:v>15n</ns0:v>
      </ns0:c>
      <ns0:c r="D83" t="str" s="11">
        <ns0:f>SUBSTITUTE(SUBSTITUTE(SUBSTITUTE(SUBSTITUTE(C83,"p"," пФ"),"n"," нФ"),"u"," мкФ"),".",",")</ns0:f>
        <ns0:v>15 нФ</ns0:v>
      </ns0:c>
      <ns0:c r="E83" t="str" s="14">
        <ns0:v>±10%</ns0:v>
      </ns0:c>
      <ns0:c r="F83" s="14"/>
      <ns0:c r="G83" t="str" s="14">
        <ns0:v>100 В</ns0:v>
      </ns0:c>
      <ns0:c r="H83" t="str" s="14">
        <ns0:v>X7R</ns0:v>
      </ns0:c>
      <ns0:c r="I83" t="str" s="15">
        <ns0:v>0805</ns0:v>
      </ns0:c>
      <ns0:c r="J83" t="str" s="14">
        <ns0:v>YAGEO</ns0:v>
      </ns0:c>
      <ns0:c r="K83" t="str" s="14">
        <ns0:v>CC0805KKX7R0BB153</ns0:v>
      </ns0:c>
      <ns0:c r="L83" t="str" s="11">
        <ns0:f>B83&amp;" "&amp;D83&amp;" "&amp;E83&amp;" "&amp;G83&amp;" "&amp;H83&amp;" "&amp;I83</ns0:f>
        <ns0:v>Конденсатор 15 нФ ±10% 100 В X7R 0805</ns0:v>
      </ns0:c>
      <ns0:c r="M83" t="str" s="13">
        <ns0:v>C</ns0:v>
      </ns0:c>
      <ns0:c r="N83" t="str" s="13">
        <ns0:v>Symbols\MY_LIB_Capacitors.SchLib</ns0:v>
      </ns0:c>
      <ns0:c r="O83" t="str" s="13">
        <ns0:v>CAPC2012X135N</ns0:v>
      </ns0:c>
      <ns0:c r="P83" t="str" s="13">
        <ns0:v>Footprints\PBL - SMD Packages.PcbLib</ns0:v>
      </ns0:c>
      <ns0:c r="Q83" t="str" s="14">
        <ns0:v>YAGEO CC; список 20.10.2026</ns0:v>
      </ns0:c>
      <ns0:c r="R83" t="str" s="11">
        <ns0:f>D83</ns0:f>
        <ns0:v>15 нФ</ns0:v>
      </ns0:c>
      <ns0:c r="S83" t="str" s="11">
        <ns0:f>L83</ns0:f>
        <ns0:v>Конденсатор 15 нФ ±10% 100 В X7R 0805</ns0:v>
      </ns0:c>
      <x:c xmlns:x="http://schemas.openxmlformats.org/spreadsheetml/2006/main" r="T83" t="str" s="11">
        <x:v>C:\Users\Nomatin\Documents\Altium\MY_LIB\MY_LIB\Datasheets\YAGEO_CC_X7R.pdf</x:v>
      </x:c>
      <x:c xmlns:x="http://schemas.openxmlformats.org/spreadsheetml/2006/main" r="U83" t="str" s="11">
        <x:v>Даташит — локальный</x:v>
      </x:c>
      <x:c xmlns:x="http://schemas.openxmlformats.org/spreadsheetml/2006/main" r="V83" t="str" s="11">
        <x:v>C:\Users\Nomatin\Documents\Altium\MY_LIB\MY_LIB\Datasheets\YAGEO_CC_X7R.pdf</x:v>
      </x:c>
      <x:c xmlns:x="http://schemas.openxmlformats.org/spreadsheetml/2006/main" r="W83" t="str" s="11">
        <x:v>Даташит — производитель</x:v>
      </x:c>
      <x:c xmlns:x="http://schemas.openxmlformats.org/spreadsheetml/2006/main" r="X83" t="str" s="11">
        <x:v>https://yageogroup.com/content/datasheet/asset/file/UPY-GPHC_X7R_6_3V-TO-250V</x:v>
      </x:c>
      <x:c xmlns:x="http://schemas.openxmlformats.org/spreadsheetml/2006/main" r="Y83" t="str" s="11">
        <x:v>C:\Users\Nomatin\Documents\Altium\MY_LIB\MY_LIB\Datasheets\YAGEO_CC_X7R.pdf</x:v>
      </x:c>
      <ns0:c xmlns:ns0="http://schemas.openxmlformats.org/spreadsheetml/2006/main" r="Z83" s="11">
        <ns0:v>1.5e-08</ns0:v>
      </ns0:c>
      <ns0:c xmlns:ns0="http://schemas.openxmlformats.org/spreadsheetml/2006/main" r="AA83" s="11">
        <ns0:v>0.025</ns0:v>
      </ns0:c>
      <ns0:c xmlns:ns0="http://schemas.openxmlformats.org/spreadsheetml/2006/main" r="AB83" s="11">
        <ns0:v>1000</ns0:v>
      </ns0:c>
      <ns0:c xmlns:ns0="http://schemas.openxmlformats.org/spreadsheetml/2006/main" r="AC83" s="11">
        <ns0:v>1</ns0:v>
      </ns0:c>
      <ns0:c xmlns:ns0="http://schemas.openxmlformats.org/spreadsheetml/2006/main" r="AD83" s="11">
        <ns0:v>20</ns0:v>
      </ns0:c>
      <ns0:c xmlns:ns0="http://schemas.openxmlformats.org/spreadsheetml/2006/main" r="AE83" s="11">
        <ns0:v>500</ns0:v>
      </ns0:c>
      <ns0:c xmlns:ns0="http://schemas.openxmlformats.org/spreadsheetml/2006/main" r="AF83" s="11">
        <ns0:v>10000000000</ns0:v>
      </ns0:c>
      <ns0:c xmlns:ns0="http://schemas.openxmlformats.org/spreadsheetml/2006/main" r="AG83" s="11">
        <ns0:v>100</ns0:v>
      </ns0:c>
      <ns0:c xmlns:ns0="http://schemas.openxmlformats.org/spreadsheetml/2006/main" r="AH83" s="11">
        <ns0:v>60</ns0:v>
      </ns0:c>
      <ns0:c xmlns:ns0="http://schemas.openxmlformats.org/spreadsheetml/2006/main" r="AI83" s="11">
        <ns0:v>265.258238486492</ns0:v>
      </ns0:c>
      <ns0:c xmlns:ns0="http://schemas.openxmlformats.org/spreadsheetml/2006/main" r="AJ83" s="11" t="inlineStr">
        <ns0:is>
          <ns0:t>MY_LIB_C_RC</ns0:t>
        </ns0:is>
      </ns0:c>
      <ns0:c xmlns:ns0="http://schemas.openxmlformats.org/spreadsheetml/2006/main" r="AK83" s="11" t="inlineStr">
        <ns0:is>
          <ns0:t>Nominal C; DFmax at 1kHz; minimum insulation; no temperature/bias/ESL</ns0:t>
        </ns0:is>
      </ns0:c>
      <ns0:c xmlns:ns0="http://schemas.openxmlformats.org/spreadsheetml/2006/main" r="AL83" s="11" t="inlineStr">
        <ns0:is>
          <ns0:t>General</ns0:t>
        </ns0:is>
      </ns0:c>
      <ns0:c xmlns:ns0="http://schemas.openxmlformats.org/spreadsheetml/2006/main" r="AM83" s="11" t="inlineStr">
        <ns0:is>
          <ns0:t>Spice Subcircuit</ns0:t>
        </ns0:is>
      </ns0:c>
      <ns0:c xmlns:ns0="http://schemas.openxmlformats.org/spreadsheetml/2006/main" r="AN83" s="11" t="inlineStr">
        <ns0:is>
          <ns0:t>@DESIGNATOR %1 %2 @MODEL PARAMS: Cvalue=1.5e-08 Rsvalue=265.258238486492 Rinsvalue=10000000000</ns0:t>
        </ns0:is>
      </ns0:c>
      <ns0:c xmlns:ns0="http://schemas.openxmlformats.org/spreadsheetml/2006/main" r="AO83" s="11" t="inlineStr">
        <ns0:is>
          <ns0:t>X</ns0:t>
        </ns0:is>
      </ns0:c>
      <ns0:c xmlns:ns0="http://schemas.openxmlformats.org/spreadsheetml/2006/main" r="AP83" s="11" t="inlineStr">
        <ns0:is>
          <ns0:t>(1:1),(2:2)</ns0:t>
        </ns0:is>
      </ns0:c>
      <ns0:c xmlns:ns0="http://schemas.openxmlformats.org/spreadsheetml/2006/main" r="AQ83" s="11" t="inlineStr">
        <ns0:is>
          <ns0:t>Simulation\Capacitors\MY_LIB_C_RC.ckt</ns0:t>
        </ns0:is>
      </ns0:c>
    </ns0:row>
    <ns0:row r="84" ht="30" customHeight="1">
      <ns0:c r="A84" t="str" s="14">
        <ns0:v>C0085</ns0:v>
      </ns0:c>
      <ns0:c r="B84" t="str" s="14">
        <ns0:v>Конденсатор</ns0:v>
      </ns0:c>
      <ns0:c r="C84" t="str" s="14">
        <ns0:v>18n</ns0:v>
      </ns0:c>
      <ns0:c r="D84" t="str" s="11">
        <ns0:f>SUBSTITUTE(SUBSTITUTE(SUBSTITUTE(SUBSTITUTE(C84,"p"," пФ"),"n"," нФ"),"u"," мкФ"),".",",")</ns0:f>
        <ns0:v>18 нФ</ns0:v>
      </ns0:c>
      <ns0:c r="E84" t="str" s="14">
        <ns0:v>±10%</ns0:v>
      </ns0:c>
      <ns0:c r="F84" s="14"/>
      <ns0:c r="G84" t="str" s="14">
        <ns0:v>100 В</ns0:v>
      </ns0:c>
      <ns0:c r="H84" t="str" s="14">
        <ns0:v>X7R</ns0:v>
      </ns0:c>
      <ns0:c r="I84" t="str" s="15">
        <ns0:v>0805</ns0:v>
      </ns0:c>
      <ns0:c r="J84" t="str" s="14">
        <ns0:v>YAGEO</ns0:v>
      </ns0:c>
      <ns0:c r="K84" t="str" s="14">
        <ns0:v>CC0805KRX7R0BB183</ns0:v>
      </ns0:c>
      <ns0:c r="L84" t="str" s="11">
        <ns0:f>B84&amp;" "&amp;D84&amp;" "&amp;E84&amp;" "&amp;G84&amp;" "&amp;H84&amp;" "&amp;I84</ns0:f>
        <ns0:v>Конденсатор 18 нФ ±10% 100 В X7R 0805</ns0:v>
      </ns0:c>
      <ns0:c r="M84" t="str" s="13">
        <ns0:v>C</ns0:v>
      </ns0:c>
      <ns0:c r="N84" t="str" s="13">
        <ns0:v>Symbols\MY_LIB_Capacitors.SchLib</ns0:v>
      </ns0:c>
      <ns0:c r="O84" t="str" s="13">
        <ns0:v>CAPC2012X135N</ns0:v>
      </ns0:c>
      <ns0:c r="P84" t="str" s="13">
        <ns0:v>Footprints\PBL - SMD Packages.PcbLib</ns0:v>
      </ns0:c>
      <ns0:c r="Q84" t="str" s="14">
        <ns0:v>YAGEO CC; список 20.10.2026</ns0:v>
      </ns0:c>
      <ns0:c r="R84" t="str" s="11">
        <ns0:f>D84</ns0:f>
        <ns0:v>18 нФ</ns0:v>
      </ns0:c>
      <ns0:c r="S84" t="str" s="11">
        <ns0:f>L84</ns0:f>
        <ns0:v>Конденсатор 18 нФ ±10% 100 В X7R 0805</ns0:v>
      </ns0:c>
      <x:c xmlns:x="http://schemas.openxmlformats.org/spreadsheetml/2006/main" r="T84" t="str" s="11">
        <x:v>C:\Users\Nomatin\Documents\Altium\MY_LIB\MY_LIB\Datasheets\YAGEO_CC_X7R.pdf</x:v>
      </x:c>
      <x:c xmlns:x="http://schemas.openxmlformats.org/spreadsheetml/2006/main" r="U84" t="str" s="11">
        <x:v>Даташит — локальный</x:v>
      </x:c>
      <x:c xmlns:x="http://schemas.openxmlformats.org/spreadsheetml/2006/main" r="V84" t="str" s="11">
        <x:v>C:\Users\Nomatin\Documents\Altium\MY_LIB\MY_LIB\Datasheets\YAGEO_CC_X7R.pdf</x:v>
      </x:c>
      <x:c xmlns:x="http://schemas.openxmlformats.org/spreadsheetml/2006/main" r="W84" t="str" s="11">
        <x:v>Даташит — производитель</x:v>
      </x:c>
      <x:c xmlns:x="http://schemas.openxmlformats.org/spreadsheetml/2006/main" r="X84" t="str" s="11">
        <x:v>https://yageogroup.com/content/datasheet/asset/file/UPY-GPHC_X7R_6_3V-TO-250V</x:v>
      </x:c>
      <x:c xmlns:x="http://schemas.openxmlformats.org/spreadsheetml/2006/main" r="Y84" t="str" s="11">
        <x:v>C:\Users\Nomatin\Documents\Altium\MY_LIB\MY_LIB\Datasheets\YAGEO_CC_X7R.pdf</x:v>
      </x:c>
      <ns0:c xmlns:ns0="http://schemas.openxmlformats.org/spreadsheetml/2006/main" r="Z84" s="11">
        <ns0:v>1.8e-08</ns0:v>
      </ns0:c>
      <ns0:c xmlns:ns0="http://schemas.openxmlformats.org/spreadsheetml/2006/main" r="AA84" s="11">
        <ns0:v>0.025</ns0:v>
      </ns0:c>
      <ns0:c xmlns:ns0="http://schemas.openxmlformats.org/spreadsheetml/2006/main" r="AB84" s="11">
        <ns0:v>1000</ns0:v>
      </ns0:c>
      <ns0:c xmlns:ns0="http://schemas.openxmlformats.org/spreadsheetml/2006/main" r="AC84" s="11">
        <ns0:v>1</ns0:v>
      </ns0:c>
      <ns0:c xmlns:ns0="http://schemas.openxmlformats.org/spreadsheetml/2006/main" r="AD84" s="11">
        <ns0:v>20</ns0:v>
      </ns0:c>
      <ns0:c xmlns:ns0="http://schemas.openxmlformats.org/spreadsheetml/2006/main" r="AE84" s="11">
        <ns0:v>500</ns0:v>
      </ns0:c>
      <ns0:c xmlns:ns0="http://schemas.openxmlformats.org/spreadsheetml/2006/main" r="AF84" s="11">
        <ns0:v>10000000000</ns0:v>
      </ns0:c>
      <ns0:c xmlns:ns0="http://schemas.openxmlformats.org/spreadsheetml/2006/main" r="AG84" s="11">
        <ns0:v>100</ns0:v>
      </ns0:c>
      <ns0:c xmlns:ns0="http://schemas.openxmlformats.org/spreadsheetml/2006/main" r="AH84" s="11">
        <ns0:v>60</ns0:v>
      </ns0:c>
      <ns0:c xmlns:ns0="http://schemas.openxmlformats.org/spreadsheetml/2006/main" r="AI84" s="11">
        <ns0:v>221.048532072077</ns0:v>
      </ns0:c>
      <ns0:c xmlns:ns0="http://schemas.openxmlformats.org/spreadsheetml/2006/main" r="AJ84" s="11" t="inlineStr">
        <ns0:is>
          <ns0:t>MY_LIB_C_RC</ns0:t>
        </ns0:is>
      </ns0:c>
      <ns0:c xmlns:ns0="http://schemas.openxmlformats.org/spreadsheetml/2006/main" r="AK84" s="11" t="inlineStr">
        <ns0:is>
          <ns0:t>Nominal C; DFmax at 1kHz; minimum insulation; no temperature/bias/ESL</ns0:t>
        </ns0:is>
      </ns0:c>
      <ns0:c xmlns:ns0="http://schemas.openxmlformats.org/spreadsheetml/2006/main" r="AL84" s="11" t="inlineStr">
        <ns0:is>
          <ns0:t>General</ns0:t>
        </ns0:is>
      </ns0:c>
      <ns0:c xmlns:ns0="http://schemas.openxmlformats.org/spreadsheetml/2006/main" r="AM84" s="11" t="inlineStr">
        <ns0:is>
          <ns0:t>Spice Subcircuit</ns0:t>
        </ns0:is>
      </ns0:c>
      <ns0:c xmlns:ns0="http://schemas.openxmlformats.org/spreadsheetml/2006/main" r="AN84" s="11" t="inlineStr">
        <ns0:is>
          <ns0:t>@DESIGNATOR %1 %2 @MODEL PARAMS: Cvalue=1.8e-08 Rsvalue=221.048532072077 Rinsvalue=10000000000</ns0:t>
        </ns0:is>
      </ns0:c>
      <ns0:c xmlns:ns0="http://schemas.openxmlformats.org/spreadsheetml/2006/main" r="AO84" s="11" t="inlineStr">
        <ns0:is>
          <ns0:t>X</ns0:t>
        </ns0:is>
      </ns0:c>
      <ns0:c xmlns:ns0="http://schemas.openxmlformats.org/spreadsheetml/2006/main" r="AP84" s="11" t="inlineStr">
        <ns0:is>
          <ns0:t>(1:1),(2:2)</ns0:t>
        </ns0:is>
      </ns0:c>
      <ns0:c xmlns:ns0="http://schemas.openxmlformats.org/spreadsheetml/2006/main" r="AQ84" s="11" t="inlineStr">
        <ns0:is>
          <ns0:t>Simulation\Capacitors\MY_LIB_C_RC.ckt</ns0:t>
        </ns0:is>
      </ns0:c>
    </ns0:row>
    <ns0:row r="85" ht="30" customHeight="1">
      <ns0:c r="A85" t="str" s="14">
        <ns0:v>C0086</ns0:v>
      </ns0:c>
      <ns0:c r="B85" t="str" s="14">
        <ns0:v>Конденсатор</ns0:v>
      </ns0:c>
      <ns0:c r="C85" t="str" s="14">
        <ns0:v>22n</ns0:v>
      </ns0:c>
      <ns0:c r="D85" t="str" s="11">
        <ns0:f>SUBSTITUTE(SUBSTITUTE(SUBSTITUTE(SUBSTITUTE(C85,"p"," пФ"),"n"," нФ"),"u"," мкФ"),".",",")</ns0:f>
        <ns0:v>22 нФ</ns0:v>
      </ns0:c>
      <ns0:c r="E85" t="str" s="14">
        <ns0:v>±10%</ns0:v>
      </ns0:c>
      <ns0:c r="F85" s="14"/>
      <ns0:c r="G85" t="str" s="14">
        <ns0:v>100 В</ns0:v>
      </ns0:c>
      <ns0:c r="H85" t="str" s="14">
        <ns0:v>X7R</ns0:v>
      </ns0:c>
      <ns0:c r="I85" t="str" s="15">
        <ns0:v>0805</ns0:v>
      </ns0:c>
      <ns0:c r="J85" t="str" s="14">
        <ns0:v>YAGEO</ns0:v>
      </ns0:c>
      <ns0:c r="K85" t="str" s="14">
        <ns0:v>CC0805KKX7R0BB223</ns0:v>
      </ns0:c>
      <ns0:c r="L85" t="str" s="11">
        <ns0:f>B85&amp;" "&amp;D85&amp;" "&amp;E85&amp;" "&amp;G85&amp;" "&amp;H85&amp;" "&amp;I85</ns0:f>
        <ns0:v>Конденсатор 22 нФ ±10% 100 В X7R 0805</ns0:v>
      </ns0:c>
      <ns0:c r="M85" t="str" s="13">
        <ns0:v>C</ns0:v>
      </ns0:c>
      <ns0:c r="N85" t="str" s="13">
        <ns0:v>Symbols\MY_LIB_Capacitors.SchLib</ns0:v>
      </ns0:c>
      <ns0:c r="O85" t="str" s="13">
        <ns0:v>CAPC2012X135N</ns0:v>
      </ns0:c>
      <ns0:c r="P85" t="str" s="13">
        <ns0:v>Footprints\PBL - SMD Packages.PcbLib</ns0:v>
      </ns0:c>
      <ns0:c r="Q85" t="str" s="14">
        <ns0:v>YAGEO CC; список 20.10.2026</ns0:v>
      </ns0:c>
      <ns0:c r="R85" t="str" s="11">
        <ns0:f>D85</ns0:f>
        <ns0:v>22 нФ</ns0:v>
      </ns0:c>
      <ns0:c r="S85" t="str" s="11">
        <ns0:f>L85</ns0:f>
        <ns0:v>Конденсатор 22 нФ ±10% 100 В X7R 0805</ns0:v>
      </ns0:c>
      <x:c xmlns:x="http://schemas.openxmlformats.org/spreadsheetml/2006/main" r="T85" t="str" s="11">
        <x:v>C:\Users\Nomatin\Documents\Altium\MY_LIB\MY_LIB\Datasheets\YAGEO_CC_X7R.pdf</x:v>
      </x:c>
      <x:c xmlns:x="http://schemas.openxmlformats.org/spreadsheetml/2006/main" r="U85" t="str" s="11">
        <x:v>Даташит — локальный</x:v>
      </x:c>
      <x:c xmlns:x="http://schemas.openxmlformats.org/spreadsheetml/2006/main" r="V85" t="str" s="11">
        <x:v>C:\Users\Nomatin\Documents\Altium\MY_LIB\MY_LIB\Datasheets\YAGEO_CC_X7R.pdf</x:v>
      </x:c>
      <x:c xmlns:x="http://schemas.openxmlformats.org/spreadsheetml/2006/main" r="W85" t="str" s="11">
        <x:v>Даташит — производитель</x:v>
      </x:c>
      <x:c xmlns:x="http://schemas.openxmlformats.org/spreadsheetml/2006/main" r="X85" t="str" s="11">
        <x:v>https://yageogroup.com/content/datasheet/asset/file/UPY-GPHC_X7R_6_3V-TO-250V</x:v>
      </x:c>
      <x:c xmlns:x="http://schemas.openxmlformats.org/spreadsheetml/2006/main" r="Y85" t="str" s="11">
        <x:v>C:\Users\Nomatin\Documents\Altium\MY_LIB\MY_LIB\Datasheets\YAGEO_CC_X7R.pdf</x:v>
      </x:c>
      <ns0:c xmlns:ns0="http://schemas.openxmlformats.org/spreadsheetml/2006/main" r="Z85" s="11">
        <ns0:v>2.2e-08</ns0:v>
      </ns0:c>
      <ns0:c xmlns:ns0="http://schemas.openxmlformats.org/spreadsheetml/2006/main" r="AA85" s="11">
        <ns0:v>0.025</ns0:v>
      </ns0:c>
      <ns0:c xmlns:ns0="http://schemas.openxmlformats.org/spreadsheetml/2006/main" r="AB85" s="11">
        <ns0:v>1000</ns0:v>
      </ns0:c>
      <ns0:c xmlns:ns0="http://schemas.openxmlformats.org/spreadsheetml/2006/main" r="AC85" s="11">
        <ns0:v>1</ns0:v>
      </ns0:c>
      <ns0:c xmlns:ns0="http://schemas.openxmlformats.org/spreadsheetml/2006/main" r="AD85" s="11">
        <ns0:v>20</ns0:v>
      </ns0:c>
      <ns0:c xmlns:ns0="http://schemas.openxmlformats.org/spreadsheetml/2006/main" r="AE85" s="11">
        <ns0:v>500</ns0:v>
      </ns0:c>
      <ns0:c xmlns:ns0="http://schemas.openxmlformats.org/spreadsheetml/2006/main" r="AF85" s="11">
        <ns0:v>10000000000</ns0:v>
      </ns0:c>
      <ns0:c xmlns:ns0="http://schemas.openxmlformats.org/spreadsheetml/2006/main" r="AG85" s="11">
        <ns0:v>100</ns0:v>
      </ns0:c>
      <ns0:c xmlns:ns0="http://schemas.openxmlformats.org/spreadsheetml/2006/main" r="AH85" s="11">
        <ns0:v>60</ns0:v>
      </ns0:c>
      <ns0:c xmlns:ns0="http://schemas.openxmlformats.org/spreadsheetml/2006/main" r="AI85" s="11">
        <ns0:v>180.857889877154</ns0:v>
      </ns0:c>
      <ns0:c xmlns:ns0="http://schemas.openxmlformats.org/spreadsheetml/2006/main" r="AJ85" s="11" t="inlineStr">
        <ns0:is>
          <ns0:t>MY_LIB_C_RC</ns0:t>
        </ns0:is>
      </ns0:c>
      <ns0:c xmlns:ns0="http://schemas.openxmlformats.org/spreadsheetml/2006/main" r="AK85" s="11" t="inlineStr">
        <ns0:is>
          <ns0:t>Nominal C; DFmax at 1kHz; minimum insulation; no temperature/bias/ESL</ns0:t>
        </ns0:is>
      </ns0:c>
      <ns0:c xmlns:ns0="http://schemas.openxmlformats.org/spreadsheetml/2006/main" r="AL85" s="11" t="inlineStr">
        <ns0:is>
          <ns0:t>General</ns0:t>
        </ns0:is>
      </ns0:c>
      <ns0:c xmlns:ns0="http://schemas.openxmlformats.org/spreadsheetml/2006/main" r="AM85" s="11" t="inlineStr">
        <ns0:is>
          <ns0:t>Spice Subcircuit</ns0:t>
        </ns0:is>
      </ns0:c>
      <ns0:c xmlns:ns0="http://schemas.openxmlformats.org/spreadsheetml/2006/main" r="AN85" s="11" t="inlineStr">
        <ns0:is>
          <ns0:t>@DESIGNATOR %1 %2 @MODEL PARAMS: Cvalue=2.2e-08 Rsvalue=180.857889877154 Rinsvalue=10000000000</ns0:t>
        </ns0:is>
      </ns0:c>
      <ns0:c xmlns:ns0="http://schemas.openxmlformats.org/spreadsheetml/2006/main" r="AO85" s="11" t="inlineStr">
        <ns0:is>
          <ns0:t>X</ns0:t>
        </ns0:is>
      </ns0:c>
      <ns0:c xmlns:ns0="http://schemas.openxmlformats.org/spreadsheetml/2006/main" r="AP85" s="11" t="inlineStr">
        <ns0:is>
          <ns0:t>(1:1),(2:2)</ns0:t>
        </ns0:is>
      </ns0:c>
      <ns0:c xmlns:ns0="http://schemas.openxmlformats.org/spreadsheetml/2006/main" r="AQ85" s="11" t="inlineStr">
        <ns0:is>
          <ns0:t>Simulation\Capacitors\MY_LIB_C_RC.ckt</ns0:t>
        </ns0:is>
      </ns0:c>
    </ns0:row>
    <ns0:row r="86" ht="30" customHeight="1">
      <ns0:c r="A86" t="str" s="14">
        <ns0:v>C0087</ns0:v>
      </ns0:c>
      <ns0:c r="B86" t="str" s="14">
        <ns0:v>Конденсатор</ns0:v>
      </ns0:c>
      <ns0:c r="C86" t="str" s="14">
        <ns0:v>27n</ns0:v>
      </ns0:c>
      <ns0:c r="D86" t="str" s="11">
        <ns0:f>SUBSTITUTE(SUBSTITUTE(SUBSTITUTE(SUBSTITUTE(C86,"p"," пФ"),"n"," нФ"),"u"," мкФ"),".",",")</ns0:f>
        <ns0:v>27 нФ</ns0:v>
      </ns0:c>
      <ns0:c r="E86" t="str" s="14">
        <ns0:v>±10%</ns0:v>
      </ns0:c>
      <ns0:c r="F86" s="14"/>
      <ns0:c r="G86" t="str" s="14">
        <ns0:v>100 В</ns0:v>
      </ns0:c>
      <ns0:c r="H86" t="str" s="14">
        <ns0:v>X7R</ns0:v>
      </ns0:c>
      <ns0:c r="I86" t="str" s="15">
        <ns0:v>0805</ns0:v>
      </ns0:c>
      <ns0:c r="J86" t="str" s="14">
        <ns0:v>YAGEO</ns0:v>
      </ns0:c>
      <ns0:c r="K86" t="str" s="14">
        <ns0:v>CC0805KKX7R0BB273</ns0:v>
      </ns0:c>
      <ns0:c r="L86" t="str" s="11">
        <ns0:f>B86&amp;" "&amp;D86&amp;" "&amp;E86&amp;" "&amp;G86&amp;" "&amp;H86&amp;" "&amp;I86</ns0:f>
        <ns0:v>Конденсатор 27 нФ ±10% 100 В X7R 0805</ns0:v>
      </ns0:c>
      <ns0:c r="M86" t="str" s="13">
        <ns0:v>C</ns0:v>
      </ns0:c>
      <ns0:c r="N86" t="str" s="13">
        <ns0:v>Symbols\MY_LIB_Capacitors.SchLib</ns0:v>
      </ns0:c>
      <ns0:c r="O86" t="str" s="13">
        <ns0:v>CAPC2012X135N</ns0:v>
      </ns0:c>
      <ns0:c r="P86" t="str" s="13">
        <ns0:v>Footprints\PBL - SMD Packages.PcbLib</ns0:v>
      </ns0:c>
      <ns0:c r="Q86" t="str" s="14">
        <ns0:v>YAGEO CC; список 20.10.2026</ns0:v>
      </ns0:c>
      <ns0:c r="R86" t="str" s="11">
        <ns0:f>D86</ns0:f>
        <ns0:v>27 нФ</ns0:v>
      </ns0:c>
      <ns0:c r="S86" t="str" s="11">
        <ns0:f>L86</ns0:f>
        <ns0:v>Конденсатор 27 нФ ±10% 100 В X7R 0805</ns0:v>
      </ns0:c>
      <x:c xmlns:x="http://schemas.openxmlformats.org/spreadsheetml/2006/main" r="T86" t="str" s="11">
        <x:v>C:\Users\Nomatin\Documents\Altium\MY_LIB\MY_LIB\Datasheets\YAGEO_CC_X7R.pdf</x:v>
      </x:c>
      <x:c xmlns:x="http://schemas.openxmlformats.org/spreadsheetml/2006/main" r="U86" t="str" s="11">
        <x:v>Даташит — локальный</x:v>
      </x:c>
      <x:c xmlns:x="http://schemas.openxmlformats.org/spreadsheetml/2006/main" r="V86" t="str" s="11">
        <x:v>C:\Users\Nomatin\Documents\Altium\MY_LIB\MY_LIB\Datasheets\YAGEO_CC_X7R.pdf</x:v>
      </x:c>
      <x:c xmlns:x="http://schemas.openxmlformats.org/spreadsheetml/2006/main" r="W86" t="str" s="11">
        <x:v>Даташит — производитель</x:v>
      </x:c>
      <x:c xmlns:x="http://schemas.openxmlformats.org/spreadsheetml/2006/main" r="X86" t="str" s="11">
        <x:v>https://yageogroup.com/content/datasheet/asset/file/UPY-GPHC_X7R_6_3V-TO-250V</x:v>
      </x:c>
      <x:c xmlns:x="http://schemas.openxmlformats.org/spreadsheetml/2006/main" r="Y86" t="str" s="11">
        <x:v>C:\Users\Nomatin\Documents\Altium\MY_LIB\MY_LIB\Datasheets\YAGEO_CC_X7R.pdf</x:v>
      </x:c>
      <ns0:c xmlns:ns0="http://schemas.openxmlformats.org/spreadsheetml/2006/main" r="Z86" s="11">
        <ns0:v>2.7e-08</ns0:v>
      </ns0:c>
      <ns0:c xmlns:ns0="http://schemas.openxmlformats.org/spreadsheetml/2006/main" r="AA86" s="11">
        <ns0:v>0.025</ns0:v>
      </ns0:c>
      <ns0:c xmlns:ns0="http://schemas.openxmlformats.org/spreadsheetml/2006/main" r="AB86" s="11">
        <ns0:v>1000</ns0:v>
      </ns0:c>
      <ns0:c xmlns:ns0="http://schemas.openxmlformats.org/spreadsheetml/2006/main" r="AC86" s="11">
        <ns0:v>1</ns0:v>
      </ns0:c>
      <ns0:c xmlns:ns0="http://schemas.openxmlformats.org/spreadsheetml/2006/main" r="AD86" s="11">
        <ns0:v>20</ns0:v>
      </ns0:c>
      <ns0:c xmlns:ns0="http://schemas.openxmlformats.org/spreadsheetml/2006/main" r="AE86" s="11">
        <ns0:v>500</ns0:v>
      </ns0:c>
      <ns0:c xmlns:ns0="http://schemas.openxmlformats.org/spreadsheetml/2006/main" r="AF86" s="11">
        <ns0:v>10000000000</ns0:v>
      </ns0:c>
      <ns0:c xmlns:ns0="http://schemas.openxmlformats.org/spreadsheetml/2006/main" r="AG86" s="11">
        <ns0:v>100</ns0:v>
      </ns0:c>
      <ns0:c xmlns:ns0="http://schemas.openxmlformats.org/spreadsheetml/2006/main" r="AH86" s="11">
        <ns0:v>60</ns0:v>
      </ns0:c>
      <ns0:c xmlns:ns0="http://schemas.openxmlformats.org/spreadsheetml/2006/main" r="AI86" s="11">
        <ns0:v>147.365688048051</ns0:v>
      </ns0:c>
      <ns0:c xmlns:ns0="http://schemas.openxmlformats.org/spreadsheetml/2006/main" r="AJ86" s="11" t="inlineStr">
        <ns0:is>
          <ns0:t>MY_LIB_C_RC</ns0:t>
        </ns0:is>
      </ns0:c>
      <ns0:c xmlns:ns0="http://schemas.openxmlformats.org/spreadsheetml/2006/main" r="AK86" s="11" t="inlineStr">
        <ns0:is>
          <ns0:t>Nominal C; DFmax at 1kHz; minimum insulation; no temperature/bias/ESL</ns0:t>
        </ns0:is>
      </ns0:c>
      <ns0:c xmlns:ns0="http://schemas.openxmlformats.org/spreadsheetml/2006/main" r="AL86" s="11" t="inlineStr">
        <ns0:is>
          <ns0:t>General</ns0:t>
        </ns0:is>
      </ns0:c>
      <ns0:c xmlns:ns0="http://schemas.openxmlformats.org/spreadsheetml/2006/main" r="AM86" s="11" t="inlineStr">
        <ns0:is>
          <ns0:t>Spice Subcircuit</ns0:t>
        </ns0:is>
      </ns0:c>
      <ns0:c xmlns:ns0="http://schemas.openxmlformats.org/spreadsheetml/2006/main" r="AN86" s="11" t="inlineStr">
        <ns0:is>
          <ns0:t>@DESIGNATOR %1 %2 @MODEL PARAMS: Cvalue=2.7e-08 Rsvalue=147.365688048051 Rinsvalue=10000000000</ns0:t>
        </ns0:is>
      </ns0:c>
      <ns0:c xmlns:ns0="http://schemas.openxmlformats.org/spreadsheetml/2006/main" r="AO86" s="11" t="inlineStr">
        <ns0:is>
          <ns0:t>X</ns0:t>
        </ns0:is>
      </ns0:c>
      <ns0:c xmlns:ns0="http://schemas.openxmlformats.org/spreadsheetml/2006/main" r="AP86" s="11" t="inlineStr">
        <ns0:is>
          <ns0:t>(1:1),(2:2)</ns0:t>
        </ns0:is>
      </ns0:c>
      <ns0:c xmlns:ns0="http://schemas.openxmlformats.org/spreadsheetml/2006/main" r="AQ86" s="11" t="inlineStr">
        <ns0:is>
          <ns0:t>Simulation\Capacitors\MY_LIB_C_RC.ckt</ns0:t>
        </ns0:is>
      </ns0:c>
    </ns0:row>
    <ns0:row r="87" ht="30" customHeight="1">
      <ns0:c r="A87" t="str" s="14">
        <ns0:v>C0088</ns0:v>
      </ns0:c>
      <ns0:c r="B87" t="str" s="14">
        <ns0:v>Конденсатор</ns0:v>
      </ns0:c>
      <ns0:c r="C87" t="str" s="14">
        <ns0:v>33n</ns0:v>
      </ns0:c>
      <ns0:c r="D87" t="str" s="11">
        <ns0:f>SUBSTITUTE(SUBSTITUTE(SUBSTITUTE(SUBSTITUTE(C87,"p"," пФ"),"n"," нФ"),"u"," мкФ"),".",",")</ns0:f>
        <ns0:v>33 нФ</ns0:v>
      </ns0:c>
      <ns0:c r="E87" t="str" s="14">
        <ns0:v>±10%</ns0:v>
      </ns0:c>
      <ns0:c r="F87" s="14"/>
      <ns0:c r="G87" t="str" s="14">
        <ns0:v>100 В</ns0:v>
      </ns0:c>
      <ns0:c r="H87" t="str" s="14">
        <ns0:v>X7R</ns0:v>
      </ns0:c>
      <ns0:c r="I87" t="str" s="15">
        <ns0:v>0805</ns0:v>
      </ns0:c>
      <ns0:c r="J87" t="str" s="14">
        <ns0:v>YAGEO</ns0:v>
      </ns0:c>
      <ns0:c r="K87" t="str" s="14">
        <ns0:v>CC0805KKX7R0BB333</ns0:v>
      </ns0:c>
      <ns0:c r="L87" t="str" s="11">
        <ns0:f>B87&amp;" "&amp;D87&amp;" "&amp;E87&amp;" "&amp;G87&amp;" "&amp;H87&amp;" "&amp;I87</ns0:f>
        <ns0:v>Конденсатор 33 нФ ±10% 100 В X7R 0805</ns0:v>
      </ns0:c>
      <ns0:c r="M87" t="str" s="13">
        <ns0:v>C</ns0:v>
      </ns0:c>
      <ns0:c r="N87" t="str" s="13">
        <ns0:v>Symbols\MY_LIB_Capacitors.SchLib</ns0:v>
      </ns0:c>
      <ns0:c r="O87" t="str" s="13">
        <ns0:v>CAPC2012X135N</ns0:v>
      </ns0:c>
      <ns0:c r="P87" t="str" s="13">
        <ns0:v>Footprints\PBL - SMD Packages.PcbLib</ns0:v>
      </ns0:c>
      <ns0:c r="Q87" t="str" s="14">
        <ns0:v>YAGEO CC; список 20.10.2026</ns0:v>
      </ns0:c>
      <ns0:c r="R87" t="str" s="11">
        <ns0:f>D87</ns0:f>
        <ns0:v>33 нФ</ns0:v>
      </ns0:c>
      <ns0:c r="S87" t="str" s="11">
        <ns0:f>L87</ns0:f>
        <ns0:v>Конденсатор 33 нФ ±10% 100 В X7R 0805</ns0:v>
      </ns0:c>
      <x:c xmlns:x="http://schemas.openxmlformats.org/spreadsheetml/2006/main" r="T87" t="str" s="11">
        <x:v>C:\Users\Nomatin\Documents\Altium\MY_LIB\MY_LIB\Datasheets\YAGEO_CC_X7R.pdf</x:v>
      </x:c>
      <x:c xmlns:x="http://schemas.openxmlformats.org/spreadsheetml/2006/main" r="U87" t="str" s="11">
        <x:v>Даташит — локальный</x:v>
      </x:c>
      <x:c xmlns:x="http://schemas.openxmlformats.org/spreadsheetml/2006/main" r="V87" t="str" s="11">
        <x:v>C:\Users\Nomatin\Documents\Altium\MY_LIB\MY_LIB\Datasheets\YAGEO_CC_X7R.pdf</x:v>
      </x:c>
      <x:c xmlns:x="http://schemas.openxmlformats.org/spreadsheetml/2006/main" r="W87" t="str" s="11">
        <x:v>Даташит — производитель</x:v>
      </x:c>
      <x:c xmlns:x="http://schemas.openxmlformats.org/spreadsheetml/2006/main" r="X87" t="str" s="11">
        <x:v>https://yageogroup.com/content/datasheet/asset/file/UPY-GPHC_X7R_6_3V-TO-250V</x:v>
      </x:c>
      <x:c xmlns:x="http://schemas.openxmlformats.org/spreadsheetml/2006/main" r="Y87" t="str" s="11">
        <x:v>C:\Users\Nomatin\Documents\Altium\MY_LIB\MY_LIB\Datasheets\YAGEO_CC_X7R.pdf</x:v>
      </x:c>
      <ns0:c xmlns:ns0="http://schemas.openxmlformats.org/spreadsheetml/2006/main" r="Z87" s="11">
        <ns0:v>3.3e-08</ns0:v>
      </ns0:c>
      <ns0:c xmlns:ns0="http://schemas.openxmlformats.org/spreadsheetml/2006/main" r="AA87" s="11">
        <ns0:v>0.025</ns0:v>
      </ns0:c>
      <ns0:c xmlns:ns0="http://schemas.openxmlformats.org/spreadsheetml/2006/main" r="AB87" s="11">
        <ns0:v>1000</ns0:v>
      </ns0:c>
      <ns0:c xmlns:ns0="http://schemas.openxmlformats.org/spreadsheetml/2006/main" r="AC87" s="11">
        <ns0:v>1</ns0:v>
      </ns0:c>
      <ns0:c xmlns:ns0="http://schemas.openxmlformats.org/spreadsheetml/2006/main" r="AD87" s="11">
        <ns0:v>20</ns0:v>
      </ns0:c>
      <ns0:c xmlns:ns0="http://schemas.openxmlformats.org/spreadsheetml/2006/main" r="AE87" s="11">
        <ns0:v>500</ns0:v>
      </ns0:c>
      <ns0:c xmlns:ns0="http://schemas.openxmlformats.org/spreadsheetml/2006/main" r="AF87" s="11">
        <ns0:v>10000000000</ns0:v>
      </ns0:c>
      <ns0:c xmlns:ns0="http://schemas.openxmlformats.org/spreadsheetml/2006/main" r="AG87" s="11">
        <ns0:v>100</ns0:v>
      </ns0:c>
      <ns0:c xmlns:ns0="http://schemas.openxmlformats.org/spreadsheetml/2006/main" r="AH87" s="11">
        <ns0:v>60</ns0:v>
      </ns0:c>
      <ns0:c xmlns:ns0="http://schemas.openxmlformats.org/spreadsheetml/2006/main" r="AI87" s="11">
        <ns0:v>120.571926584769</ns0:v>
      </ns0:c>
      <ns0:c xmlns:ns0="http://schemas.openxmlformats.org/spreadsheetml/2006/main" r="AJ87" s="11" t="inlineStr">
        <ns0:is>
          <ns0:t>MY_LIB_C_RC</ns0:t>
        </ns0:is>
      </ns0:c>
      <ns0:c xmlns:ns0="http://schemas.openxmlformats.org/spreadsheetml/2006/main" r="AK87" s="11" t="inlineStr">
        <ns0:is>
          <ns0:t>Nominal C; DFmax at 1kHz; minimum insulation; no temperature/bias/ESL</ns0:t>
        </ns0:is>
      </ns0:c>
      <ns0:c xmlns:ns0="http://schemas.openxmlformats.org/spreadsheetml/2006/main" r="AL87" s="11" t="inlineStr">
        <ns0:is>
          <ns0:t>General</ns0:t>
        </ns0:is>
      </ns0:c>
      <ns0:c xmlns:ns0="http://schemas.openxmlformats.org/spreadsheetml/2006/main" r="AM87" s="11" t="inlineStr">
        <ns0:is>
          <ns0:t>Spice Subcircuit</ns0:t>
        </ns0:is>
      </ns0:c>
      <ns0:c xmlns:ns0="http://schemas.openxmlformats.org/spreadsheetml/2006/main" r="AN87" s="11" t="inlineStr">
        <ns0:is>
          <ns0:t>@DESIGNATOR %1 %2 @MODEL PARAMS: Cvalue=3.3e-08 Rsvalue=120.571926584769 Rinsvalue=10000000000</ns0:t>
        </ns0:is>
      </ns0:c>
      <ns0:c xmlns:ns0="http://schemas.openxmlformats.org/spreadsheetml/2006/main" r="AO87" s="11" t="inlineStr">
        <ns0:is>
          <ns0:t>X</ns0:t>
        </ns0:is>
      </ns0:c>
      <ns0:c xmlns:ns0="http://schemas.openxmlformats.org/spreadsheetml/2006/main" r="AP87" s="11" t="inlineStr">
        <ns0:is>
          <ns0:t>(1:1),(2:2)</ns0:t>
        </ns0:is>
      </ns0:c>
      <ns0:c xmlns:ns0="http://schemas.openxmlformats.org/spreadsheetml/2006/main" r="AQ87" s="11" t="inlineStr">
        <ns0:is>
          <ns0:t>Simulation\Capacitors\MY_LIB_C_RC.ckt</ns0:t>
        </ns0:is>
      </ns0:c>
    </ns0:row>
    <ns0:row r="88" ht="30" customHeight="1">
      <ns0:c r="A88" t="str" s="14">
        <ns0:v>C0089</ns0:v>
      </ns0:c>
      <ns0:c r="B88" t="str" s="14">
        <ns0:v>Конденсатор</ns0:v>
      </ns0:c>
      <ns0:c r="C88" t="str" s="14">
        <ns0:v>39n</ns0:v>
      </ns0:c>
      <ns0:c r="D88" t="str" s="11">
        <ns0:f>SUBSTITUTE(SUBSTITUTE(SUBSTITUTE(SUBSTITUTE(C88,"p"," пФ"),"n"," нФ"),"u"," мкФ"),".",",")</ns0:f>
        <ns0:v>39 нФ</ns0:v>
      </ns0:c>
      <ns0:c r="E88" t="str" s="14">
        <ns0:v>±10%</ns0:v>
      </ns0:c>
      <ns0:c r="F88" s="14"/>
      <ns0:c r="G88" t="str" s="14">
        <ns0:v>100 В</ns0:v>
      </ns0:c>
      <ns0:c r="H88" t="str" s="14">
        <ns0:v>X7R</ns0:v>
      </ns0:c>
      <ns0:c r="I88" t="str" s="15">
        <ns0:v>0805</ns0:v>
      </ns0:c>
      <ns0:c r="J88" t="str" s="14">
        <ns0:v>YAGEO</ns0:v>
      </ns0:c>
      <ns0:c r="K88" t="str" s="14">
        <ns0:v>CC0805KKX7R0BB393</ns0:v>
      </ns0:c>
      <ns0:c r="L88" t="str" s="11">
        <ns0:f>B88&amp;" "&amp;D88&amp;" "&amp;E88&amp;" "&amp;G88&amp;" "&amp;H88&amp;" "&amp;I88</ns0:f>
        <ns0:v>Конденсатор 39 нФ ±10% 100 В X7R 0805</ns0:v>
      </ns0:c>
      <ns0:c r="M88" t="str" s="13">
        <ns0:v>C</ns0:v>
      </ns0:c>
      <ns0:c r="N88" t="str" s="13">
        <ns0:v>Symbols\MY_LIB_Capacitors.SchLib</ns0:v>
      </ns0:c>
      <ns0:c r="O88" t="str" s="13">
        <ns0:v>CAPC2012X135N</ns0:v>
      </ns0:c>
      <ns0:c r="P88" t="str" s="13">
        <ns0:v>Footprints\PBL - SMD Packages.PcbLib</ns0:v>
      </ns0:c>
      <ns0:c r="Q88" t="str" s="14">
        <ns0:v>YAGEO CC; список 20.10.2026</ns0:v>
      </ns0:c>
      <ns0:c r="R88" t="str" s="11">
        <ns0:f>D88</ns0:f>
        <ns0:v>39 нФ</ns0:v>
      </ns0:c>
      <ns0:c r="S88" t="str" s="11">
        <ns0:f>L88</ns0:f>
        <ns0:v>Конденсатор 39 нФ ±10% 100 В X7R 0805</ns0:v>
      </ns0:c>
      <x:c xmlns:x="http://schemas.openxmlformats.org/spreadsheetml/2006/main" r="T88" t="str" s="11">
        <x:v>C:\Users\Nomatin\Documents\Altium\MY_LIB\MY_LIB\Datasheets\YAGEO_CC_X7R.pdf</x:v>
      </x:c>
      <x:c xmlns:x="http://schemas.openxmlformats.org/spreadsheetml/2006/main" r="U88" t="str" s="11">
        <x:v>Даташит — локальный</x:v>
      </x:c>
      <x:c xmlns:x="http://schemas.openxmlformats.org/spreadsheetml/2006/main" r="V88" t="str" s="11">
        <x:v>C:\Users\Nomatin\Documents\Altium\MY_LIB\MY_LIB\Datasheets\YAGEO_CC_X7R.pdf</x:v>
      </x:c>
      <x:c xmlns:x="http://schemas.openxmlformats.org/spreadsheetml/2006/main" r="W88" t="str" s="11">
        <x:v>Даташит — производитель</x:v>
      </x:c>
      <x:c xmlns:x="http://schemas.openxmlformats.org/spreadsheetml/2006/main" r="X88" t="str" s="11">
        <x:v>https://yageogroup.com/content/datasheet/asset/file/UPY-GPHC_X7R_6_3V-TO-250V</x:v>
      </x:c>
      <x:c xmlns:x="http://schemas.openxmlformats.org/spreadsheetml/2006/main" r="Y88" t="str" s="11">
        <x:v>C:\Users\Nomatin\Documents\Altium\MY_LIB\MY_LIB\Datasheets\YAGEO_CC_X7R.pdf</x:v>
      </x:c>
      <ns0:c xmlns:ns0="http://schemas.openxmlformats.org/spreadsheetml/2006/main" r="Z88" s="11">
        <ns0:v>3.9e-08</ns0:v>
      </ns0:c>
      <ns0:c xmlns:ns0="http://schemas.openxmlformats.org/spreadsheetml/2006/main" r="AA88" s="11">
        <ns0:v>0.025</ns0:v>
      </ns0:c>
      <ns0:c xmlns:ns0="http://schemas.openxmlformats.org/spreadsheetml/2006/main" r="AB88" s="11">
        <ns0:v>1000</ns0:v>
      </ns0:c>
      <ns0:c xmlns:ns0="http://schemas.openxmlformats.org/spreadsheetml/2006/main" r="AC88" s="11">
        <ns0:v>1</ns0:v>
      </ns0:c>
      <ns0:c xmlns:ns0="http://schemas.openxmlformats.org/spreadsheetml/2006/main" r="AD88" s="11">
        <ns0:v>20</ns0:v>
      </ns0:c>
      <ns0:c xmlns:ns0="http://schemas.openxmlformats.org/spreadsheetml/2006/main" r="AE88" s="11">
        <ns0:v>500</ns0:v>
      </ns0:c>
      <ns0:c xmlns:ns0="http://schemas.openxmlformats.org/spreadsheetml/2006/main" r="AF88" s="11">
        <ns0:v>10000000000</ns0:v>
      </ns0:c>
      <ns0:c xmlns:ns0="http://schemas.openxmlformats.org/spreadsheetml/2006/main" r="AG88" s="11">
        <ns0:v>100</ns0:v>
      </ns0:c>
      <ns0:c xmlns:ns0="http://schemas.openxmlformats.org/spreadsheetml/2006/main" r="AH88" s="11">
        <ns0:v>60</ns0:v>
      </ns0:c>
      <ns0:c xmlns:ns0="http://schemas.openxmlformats.org/spreadsheetml/2006/main" r="AI88" s="11">
        <ns0:v>102.022399417882</ns0:v>
      </ns0:c>
      <ns0:c xmlns:ns0="http://schemas.openxmlformats.org/spreadsheetml/2006/main" r="AJ88" s="11" t="inlineStr">
        <ns0:is>
          <ns0:t>MY_LIB_C_RC</ns0:t>
        </ns0:is>
      </ns0:c>
      <ns0:c xmlns:ns0="http://schemas.openxmlformats.org/spreadsheetml/2006/main" r="AK88" s="11" t="inlineStr">
        <ns0:is>
          <ns0:t>Nominal C; DFmax at 1kHz; minimum insulation; no temperature/bias/ESL</ns0:t>
        </ns0:is>
      </ns0:c>
      <ns0:c xmlns:ns0="http://schemas.openxmlformats.org/spreadsheetml/2006/main" r="AL88" s="11" t="inlineStr">
        <ns0:is>
          <ns0:t>General</ns0:t>
        </ns0:is>
      </ns0:c>
      <ns0:c xmlns:ns0="http://schemas.openxmlformats.org/spreadsheetml/2006/main" r="AM88" s="11" t="inlineStr">
        <ns0:is>
          <ns0:t>Spice Subcircuit</ns0:t>
        </ns0:is>
      </ns0:c>
      <ns0:c xmlns:ns0="http://schemas.openxmlformats.org/spreadsheetml/2006/main" r="AN88" s="11" t="inlineStr">
        <ns0:is>
          <ns0:t>@DESIGNATOR %1 %2 @MODEL PARAMS: Cvalue=3.9e-08 Rsvalue=102.022399417882 Rinsvalue=10000000000</ns0:t>
        </ns0:is>
      </ns0:c>
      <ns0:c xmlns:ns0="http://schemas.openxmlformats.org/spreadsheetml/2006/main" r="AO88" s="11" t="inlineStr">
        <ns0:is>
          <ns0:t>X</ns0:t>
        </ns0:is>
      </ns0:c>
      <ns0:c xmlns:ns0="http://schemas.openxmlformats.org/spreadsheetml/2006/main" r="AP88" s="11" t="inlineStr">
        <ns0:is>
          <ns0:t>(1:1),(2:2)</ns0:t>
        </ns0:is>
      </ns0:c>
      <ns0:c xmlns:ns0="http://schemas.openxmlformats.org/spreadsheetml/2006/main" r="AQ88" s="11" t="inlineStr">
        <ns0:is>
          <ns0:t>Simulation\Capacitors\MY_LIB_C_RC.ckt</ns0:t>
        </ns0:is>
      </ns0:c>
    </ns0:row>
    <ns0:row r="89" ht="30" customHeight="1">
      <ns0:c r="A89" t="str" s="14">
        <ns0:v>C0090</ns0:v>
      </ns0:c>
      <ns0:c r="B89" t="str" s="14">
        <ns0:v>Конденсатор</ns0:v>
      </ns0:c>
      <ns0:c r="C89" t="str" s="14">
        <ns0:v>47n</ns0:v>
      </ns0:c>
      <ns0:c r="D89" t="str" s="11">
        <ns0:f>SUBSTITUTE(SUBSTITUTE(SUBSTITUTE(SUBSTITUTE(C89,"p"," пФ"),"n"," нФ"),"u"," мкФ"),".",",")</ns0:f>
        <ns0:v>47 нФ</ns0:v>
      </ns0:c>
      <ns0:c r="E89" t="str" s="14">
        <ns0:v>±10%</ns0:v>
      </ns0:c>
      <ns0:c r="F89" s="14"/>
      <ns0:c r="G89" t="str" s="14">
        <ns0:v>100 В</ns0:v>
      </ns0:c>
      <ns0:c r="H89" t="str" s="14">
        <ns0:v>X7R</ns0:v>
      </ns0:c>
      <ns0:c r="I89" t="str" s="15">
        <ns0:v>0805</ns0:v>
      </ns0:c>
      <ns0:c r="J89" t="str" s="14">
        <ns0:v>YAGEO</ns0:v>
      </ns0:c>
      <ns0:c r="K89" t="str" s="14">
        <ns0:v>CC0805KKX7R0BB473</ns0:v>
      </ns0:c>
      <ns0:c r="L89" t="str" s="11">
        <ns0:f>B89&amp;" "&amp;D89&amp;" "&amp;E89&amp;" "&amp;G89&amp;" "&amp;H89&amp;" "&amp;I89</ns0:f>
        <ns0:v>Конденсатор 47 нФ ±10% 100 В X7R 0805</ns0:v>
      </ns0:c>
      <ns0:c r="M89" t="str" s="13">
        <ns0:v>C</ns0:v>
      </ns0:c>
      <ns0:c r="N89" t="str" s="13">
        <ns0:v>Symbols\MY_LIB_Capacitors.SchLib</ns0:v>
      </ns0:c>
      <ns0:c r="O89" t="str" s="13">
        <ns0:v>CAPC2012X135N</ns0:v>
      </ns0:c>
      <ns0:c r="P89" t="str" s="13">
        <ns0:v>Footprints\PBL - SMD Packages.PcbLib</ns0:v>
      </ns0:c>
      <ns0:c r="Q89" t="str" s="14">
        <ns0:v>YAGEO CC; список 20.10.2026</ns0:v>
      </ns0:c>
      <ns0:c r="R89" t="str" s="11">
        <ns0:f>D89</ns0:f>
        <ns0:v>47 нФ</ns0:v>
      </ns0:c>
      <ns0:c r="S89" t="str" s="11">
        <ns0:f>L89</ns0:f>
        <ns0:v>Конденсатор 47 нФ ±10% 100 В X7R 0805</ns0:v>
      </ns0:c>
      <x:c xmlns:x="http://schemas.openxmlformats.org/spreadsheetml/2006/main" r="T89" t="str" s="11">
        <x:v>C:\Users\Nomatin\Documents\Altium\MY_LIB\MY_LIB\Datasheets\YAGEO_CC_X7R.pdf</x:v>
      </x:c>
      <x:c xmlns:x="http://schemas.openxmlformats.org/spreadsheetml/2006/main" r="U89" t="str" s="11">
        <x:v>Даташит — локальный</x:v>
      </x:c>
      <x:c xmlns:x="http://schemas.openxmlformats.org/spreadsheetml/2006/main" r="V89" t="str" s="11">
        <x:v>C:\Users\Nomatin\Documents\Altium\MY_LIB\MY_LIB\Datasheets\YAGEO_CC_X7R.pdf</x:v>
      </x:c>
      <x:c xmlns:x="http://schemas.openxmlformats.org/spreadsheetml/2006/main" r="W89" t="str" s="11">
        <x:v>Даташит — производитель</x:v>
      </x:c>
      <x:c xmlns:x="http://schemas.openxmlformats.org/spreadsheetml/2006/main" r="X89" t="str" s="11">
        <x:v>https://yageogroup.com/content/datasheet/asset/file/UPY-GPHC_X7R_6_3V-TO-250V</x:v>
      </x:c>
      <x:c xmlns:x="http://schemas.openxmlformats.org/spreadsheetml/2006/main" r="Y89" t="str" s="11">
        <x:v>C:\Users\Nomatin\Documents\Altium\MY_LIB\MY_LIB\Datasheets\YAGEO_CC_X7R.pdf</x:v>
      </x:c>
      <ns0:c xmlns:ns0="http://schemas.openxmlformats.org/spreadsheetml/2006/main" r="Z89" s="11">
        <ns0:v>4.7e-08</ns0:v>
      </ns0:c>
      <ns0:c xmlns:ns0="http://schemas.openxmlformats.org/spreadsheetml/2006/main" r="AA89" s="11">
        <ns0:v>0.025</ns0:v>
      </ns0:c>
      <ns0:c xmlns:ns0="http://schemas.openxmlformats.org/spreadsheetml/2006/main" r="AB89" s="11">
        <ns0:v>1000</ns0:v>
      </ns0:c>
      <ns0:c xmlns:ns0="http://schemas.openxmlformats.org/spreadsheetml/2006/main" r="AC89" s="11">
        <ns0:v>1</ns0:v>
      </ns0:c>
      <ns0:c xmlns:ns0="http://schemas.openxmlformats.org/spreadsheetml/2006/main" r="AD89" s="11">
        <ns0:v>20</ns0:v>
      </ns0:c>
      <ns0:c xmlns:ns0="http://schemas.openxmlformats.org/spreadsheetml/2006/main" r="AE89" s="11">
        <ns0:v>500</ns0:v>
      </ns0:c>
      <ns0:c xmlns:ns0="http://schemas.openxmlformats.org/spreadsheetml/2006/main" r="AF89" s="11">
        <ns0:v>10000000000</ns0:v>
      </ns0:c>
      <ns0:c xmlns:ns0="http://schemas.openxmlformats.org/spreadsheetml/2006/main" r="AG89" s="11">
        <ns0:v>100</ns0:v>
      </ns0:c>
      <ns0:c xmlns:ns0="http://schemas.openxmlformats.org/spreadsheetml/2006/main" r="AH89" s="11">
        <ns0:v>60</ns0:v>
      </ns0:c>
      <ns0:c xmlns:ns0="http://schemas.openxmlformats.org/spreadsheetml/2006/main" r="AI89" s="11">
        <ns0:v>84.6568846233486</ns0:v>
      </ns0:c>
      <ns0:c xmlns:ns0="http://schemas.openxmlformats.org/spreadsheetml/2006/main" r="AJ89" s="11" t="inlineStr">
        <ns0:is>
          <ns0:t>MY_LIB_C_RC</ns0:t>
        </ns0:is>
      </ns0:c>
      <ns0:c xmlns:ns0="http://schemas.openxmlformats.org/spreadsheetml/2006/main" r="AK89" s="11" t="inlineStr">
        <ns0:is>
          <ns0:t>Nominal C; DFmax at 1kHz; minimum insulation; no temperature/bias/ESL</ns0:t>
        </ns0:is>
      </ns0:c>
      <ns0:c xmlns:ns0="http://schemas.openxmlformats.org/spreadsheetml/2006/main" r="AL89" s="11" t="inlineStr">
        <ns0:is>
          <ns0:t>General</ns0:t>
        </ns0:is>
      </ns0:c>
      <ns0:c xmlns:ns0="http://schemas.openxmlformats.org/spreadsheetml/2006/main" r="AM89" s="11" t="inlineStr">
        <ns0:is>
          <ns0:t>Spice Subcircuit</ns0:t>
        </ns0:is>
      </ns0:c>
      <ns0:c xmlns:ns0="http://schemas.openxmlformats.org/spreadsheetml/2006/main" r="AN89" s="11" t="inlineStr">
        <ns0:is>
          <ns0:t>@DESIGNATOR %1 %2 @MODEL PARAMS: Cvalue=4.7e-08 Rsvalue=84.6568846233486 Rinsvalue=10000000000</ns0:t>
        </ns0:is>
      </ns0:c>
      <ns0:c xmlns:ns0="http://schemas.openxmlformats.org/spreadsheetml/2006/main" r="AO89" s="11" t="inlineStr">
        <ns0:is>
          <ns0:t>X</ns0:t>
        </ns0:is>
      </ns0:c>
      <ns0:c xmlns:ns0="http://schemas.openxmlformats.org/spreadsheetml/2006/main" r="AP89" s="11" t="inlineStr">
        <ns0:is>
          <ns0:t>(1:1),(2:2)</ns0:t>
        </ns0:is>
      </ns0:c>
      <ns0:c xmlns:ns0="http://schemas.openxmlformats.org/spreadsheetml/2006/main" r="AQ89" s="11" t="inlineStr">
        <ns0:is>
          <ns0:t>Simulation\Capacitors\MY_LIB_C_RC.ckt</ns0:t>
        </ns0:is>
      </ns0:c>
    </ns0:row>
    <ns0:row r="90" ht="30" customHeight="1">
      <ns0:c r="A90" t="str" s="14">
        <ns0:v>C0091</ns0:v>
      </ns0:c>
      <ns0:c r="B90" t="str" s="14">
        <ns0:v>Конденсатор</ns0:v>
      </ns0:c>
      <ns0:c r="C90" t="str" s="14">
        <ns0:v>56n</ns0:v>
      </ns0:c>
      <ns0:c r="D90" t="str" s="11">
        <ns0:f>SUBSTITUTE(SUBSTITUTE(SUBSTITUTE(SUBSTITUTE(C90,"p"," пФ"),"n"," нФ"),"u"," мкФ"),".",",")</ns0:f>
        <ns0:v>56 нФ</ns0:v>
      </ns0:c>
      <ns0:c r="E90" t="str" s="14">
        <ns0:v>±10%</ns0:v>
      </ns0:c>
      <ns0:c r="F90" s="14"/>
      <ns0:c r="G90" t="str" s="14">
        <ns0:v>100 В</ns0:v>
      </ns0:c>
      <ns0:c r="H90" t="str" s="14">
        <ns0:v>X7R</ns0:v>
      </ns0:c>
      <ns0:c r="I90" t="str" s="15">
        <ns0:v>0805</ns0:v>
      </ns0:c>
      <ns0:c r="J90" t="str" s="14">
        <ns0:v>YAGEO</ns0:v>
      </ns0:c>
      <ns0:c r="K90" t="str" s="14">
        <ns0:v>CC0805KKX7R0BB563</ns0:v>
      </ns0:c>
      <ns0:c r="L90" t="str" s="11">
        <ns0:f>B90&amp;" "&amp;D90&amp;" "&amp;E90&amp;" "&amp;G90&amp;" "&amp;H90&amp;" "&amp;I90</ns0:f>
        <ns0:v>Конденсатор 56 нФ ±10% 100 В X7R 0805</ns0:v>
      </ns0:c>
      <ns0:c r="M90" t="str" s="13">
        <ns0:v>C</ns0:v>
      </ns0:c>
      <ns0:c r="N90" t="str" s="13">
        <ns0:v>Symbols\MY_LIB_Capacitors.SchLib</ns0:v>
      </ns0:c>
      <ns0:c r="O90" t="str" s="13">
        <ns0:v>CAPC2012X135N</ns0:v>
      </ns0:c>
      <ns0:c r="P90" t="str" s="13">
        <ns0:v>Footprints\PBL - SMD Packages.PcbLib</ns0:v>
      </ns0:c>
      <ns0:c r="Q90" t="str" s="14">
        <ns0:v>YAGEO CC; список 20.10.2026</ns0:v>
      </ns0:c>
      <ns0:c r="R90" t="str" s="11">
        <ns0:f>D90</ns0:f>
        <ns0:v>56 нФ</ns0:v>
      </ns0:c>
      <ns0:c r="S90" t="str" s="11">
        <ns0:f>L90</ns0:f>
        <ns0:v>Конденсатор 56 нФ ±10% 100 В X7R 0805</ns0:v>
      </ns0:c>
      <x:c xmlns:x="http://schemas.openxmlformats.org/spreadsheetml/2006/main" r="T90" t="str" s="11">
        <x:v>C:\Users\Nomatin\Documents\Altium\MY_LIB\MY_LIB\Datasheets\YAGEO_CC_X7R.pdf</x:v>
      </x:c>
      <x:c xmlns:x="http://schemas.openxmlformats.org/spreadsheetml/2006/main" r="U90" t="str" s="11">
        <x:v>Даташит — локальный</x:v>
      </x:c>
      <x:c xmlns:x="http://schemas.openxmlformats.org/spreadsheetml/2006/main" r="V90" t="str" s="11">
        <x:v>C:\Users\Nomatin\Documents\Altium\MY_LIB\MY_LIB\Datasheets\YAGEO_CC_X7R.pdf</x:v>
      </x:c>
      <x:c xmlns:x="http://schemas.openxmlformats.org/spreadsheetml/2006/main" r="W90" t="str" s="11">
        <x:v>Даташит — производитель</x:v>
      </x:c>
      <x:c xmlns:x="http://schemas.openxmlformats.org/spreadsheetml/2006/main" r="X90" t="str" s="11">
        <x:v>https://yageogroup.com/content/datasheet/asset/file/UPY-GPHC_X7R_6_3V-TO-250V</x:v>
      </x:c>
      <x:c xmlns:x="http://schemas.openxmlformats.org/spreadsheetml/2006/main" r="Y90" t="str" s="11">
        <x:v>C:\Users\Nomatin\Documents\Altium\MY_LIB\MY_LIB\Datasheets\YAGEO_CC_X7R.pdf</x:v>
      </x:c>
      <ns0:c xmlns:ns0="http://schemas.openxmlformats.org/spreadsheetml/2006/main" r="Z90" s="11">
        <ns0:v>5.6e-08</ns0:v>
      </ns0:c>
      <ns0:c xmlns:ns0="http://schemas.openxmlformats.org/spreadsheetml/2006/main" r="AA90" s="11">
        <ns0:v>0.025</ns0:v>
      </ns0:c>
      <ns0:c xmlns:ns0="http://schemas.openxmlformats.org/spreadsheetml/2006/main" r="AB90" s="11">
        <ns0:v>1000</ns0:v>
      </ns0:c>
      <ns0:c xmlns:ns0="http://schemas.openxmlformats.org/spreadsheetml/2006/main" r="AC90" s="11">
        <ns0:v>1</ns0:v>
      </ns0:c>
      <ns0:c xmlns:ns0="http://schemas.openxmlformats.org/spreadsheetml/2006/main" r="AD90" s="11">
        <ns0:v>20</ns0:v>
      </ns0:c>
      <ns0:c xmlns:ns0="http://schemas.openxmlformats.org/spreadsheetml/2006/main" r="AE90" s="11">
        <ns0:v>500</ns0:v>
      </ns0:c>
      <ns0:c xmlns:ns0="http://schemas.openxmlformats.org/spreadsheetml/2006/main" r="AF90" s="11">
        <ns0:v>8928571428.57143</ns0:v>
      </ns0:c>
      <ns0:c xmlns:ns0="http://schemas.openxmlformats.org/spreadsheetml/2006/main" r="AG90" s="11">
        <ns0:v>100</ns0:v>
      </ns0:c>
      <ns0:c xmlns:ns0="http://schemas.openxmlformats.org/spreadsheetml/2006/main" r="AH90" s="11">
        <ns0:v>60</ns0:v>
      </ns0:c>
      <ns0:c xmlns:ns0="http://schemas.openxmlformats.org/spreadsheetml/2006/main" r="AI90" s="11">
        <ns0:v>71.0513138803104</ns0:v>
      </ns0:c>
      <ns0:c xmlns:ns0="http://schemas.openxmlformats.org/spreadsheetml/2006/main" r="AJ90" s="11" t="inlineStr">
        <ns0:is>
          <ns0:t>MY_LIB_C_RC</ns0:t>
        </ns0:is>
      </ns0:c>
      <ns0:c xmlns:ns0="http://schemas.openxmlformats.org/spreadsheetml/2006/main" r="AK90" s="11" t="inlineStr">
        <ns0:is>
          <ns0:t>Nominal C; DFmax at 1kHz; minimum insulation; no temperature/bias/ESL</ns0:t>
        </ns0:is>
      </ns0:c>
      <ns0:c xmlns:ns0="http://schemas.openxmlformats.org/spreadsheetml/2006/main" r="AL90" s="11" t="inlineStr">
        <ns0:is>
          <ns0:t>General</ns0:t>
        </ns0:is>
      </ns0:c>
      <ns0:c xmlns:ns0="http://schemas.openxmlformats.org/spreadsheetml/2006/main" r="AM90" s="11" t="inlineStr">
        <ns0:is>
          <ns0:t>Spice Subcircuit</ns0:t>
        </ns0:is>
      </ns0:c>
      <ns0:c xmlns:ns0="http://schemas.openxmlformats.org/spreadsheetml/2006/main" r="AN90" s="11" t="inlineStr">
        <ns0:is>
          <ns0:t>@DESIGNATOR %1 %2 @MODEL PARAMS: Cvalue=5.6e-08 Rsvalue=71.0513138803104 Rinsvalue=8928571428.57143</ns0:t>
        </ns0:is>
      </ns0:c>
      <ns0:c xmlns:ns0="http://schemas.openxmlformats.org/spreadsheetml/2006/main" r="AO90" s="11" t="inlineStr">
        <ns0:is>
          <ns0:t>X</ns0:t>
        </ns0:is>
      </ns0:c>
      <ns0:c xmlns:ns0="http://schemas.openxmlformats.org/spreadsheetml/2006/main" r="AP90" s="11" t="inlineStr">
        <ns0:is>
          <ns0:t>(1:1),(2:2)</ns0:t>
        </ns0:is>
      </ns0:c>
      <ns0:c xmlns:ns0="http://schemas.openxmlformats.org/spreadsheetml/2006/main" r="AQ90" s="11" t="inlineStr">
        <ns0:is>
          <ns0:t>Simulation\Capacitors\MY_LIB_C_RC.ckt</ns0:t>
        </ns0:is>
      </ns0:c>
    </ns0:row>
    <ns0:row r="91" ht="30" customHeight="1">
      <ns0:c r="A91" t="str" s="14">
        <ns0:v>C0092</ns0:v>
      </ns0:c>
      <ns0:c r="B91" t="str" s="14">
        <ns0:v>Конденсатор</ns0:v>
      </ns0:c>
      <ns0:c r="C91" t="str" s="14">
        <ns0:v>68n</ns0:v>
      </ns0:c>
      <ns0:c r="D91" t="str" s="11">
        <ns0:f>SUBSTITUTE(SUBSTITUTE(SUBSTITUTE(SUBSTITUTE(C91,"p"," пФ"),"n"," нФ"),"u"," мкФ"),".",",")</ns0:f>
        <ns0:v>68 нФ</ns0:v>
      </ns0:c>
      <ns0:c r="E91" t="str" s="14">
        <ns0:v>±10%</ns0:v>
      </ns0:c>
      <ns0:c r="F91" s="14"/>
      <ns0:c r="G91" t="str" s="14">
        <ns0:v>100 В</ns0:v>
      </ns0:c>
      <ns0:c r="H91" t="str" s="14">
        <ns0:v>X7R</ns0:v>
      </ns0:c>
      <ns0:c r="I91" t="str" s="15">
        <ns0:v>0805</ns0:v>
      </ns0:c>
      <ns0:c r="J91" t="str" s="14">
        <ns0:v>YAGEO</ns0:v>
      </ns0:c>
      <ns0:c r="K91" t="str" s="14">
        <ns0:v>CC0805KKX7R0BB683</ns0:v>
      </ns0:c>
      <ns0:c r="L91" t="str" s="11">
        <ns0:f>B91&amp;" "&amp;D91&amp;" "&amp;E91&amp;" "&amp;G91&amp;" "&amp;H91&amp;" "&amp;I91</ns0:f>
        <ns0:v>Конденсатор 68 нФ ±10% 100 В X7R 0805</ns0:v>
      </ns0:c>
      <ns0:c r="M91" t="str" s="13">
        <ns0:v>C</ns0:v>
      </ns0:c>
      <ns0:c r="N91" t="str" s="13">
        <ns0:v>Symbols\MY_LIB_Capacitors.SchLib</ns0:v>
      </ns0:c>
      <ns0:c r="O91" t="str" s="13">
        <ns0:v>CAPC2012X135N</ns0:v>
      </ns0:c>
      <ns0:c r="P91" t="str" s="13">
        <ns0:v>Footprints\PBL - SMD Packages.PcbLib</ns0:v>
      </ns0:c>
      <ns0:c r="Q91" t="str" s="14">
        <ns0:v>YAGEO CC; список 20.10.2026</ns0:v>
      </ns0:c>
      <ns0:c r="R91" t="str" s="11">
        <ns0:f>D91</ns0:f>
        <ns0:v>68 нФ</ns0:v>
      </ns0:c>
      <ns0:c r="S91" t="str" s="11">
        <ns0:f>L91</ns0:f>
        <ns0:v>Конденсатор 68 нФ ±10% 100 В X7R 0805</ns0:v>
      </ns0:c>
      <x:c xmlns:x="http://schemas.openxmlformats.org/spreadsheetml/2006/main" r="T91" t="str" s="11">
        <x:v>C:\Users\Nomatin\Documents\Altium\MY_LIB\MY_LIB\Datasheets\YAGEO_CC_X7R.pdf</x:v>
      </x:c>
      <x:c xmlns:x="http://schemas.openxmlformats.org/spreadsheetml/2006/main" r="U91" t="str" s="11">
        <x:v>Даташит — локальный</x:v>
      </x:c>
      <x:c xmlns:x="http://schemas.openxmlformats.org/spreadsheetml/2006/main" r="V91" t="str" s="11">
        <x:v>C:\Users\Nomatin\Documents\Altium\MY_LIB\MY_LIB\Datasheets\YAGEO_CC_X7R.pdf</x:v>
      </x:c>
      <x:c xmlns:x="http://schemas.openxmlformats.org/spreadsheetml/2006/main" r="W91" t="str" s="11">
        <x:v>Даташит — производитель</x:v>
      </x:c>
      <x:c xmlns:x="http://schemas.openxmlformats.org/spreadsheetml/2006/main" r="X91" t="str" s="11">
        <x:v>https://yageogroup.com/content/datasheet/asset/file/UPY-GPHC_X7R_6_3V-TO-250V</x:v>
      </x:c>
      <x:c xmlns:x="http://schemas.openxmlformats.org/spreadsheetml/2006/main" r="Y91" t="str" s="11">
        <x:v>C:\Users\Nomatin\Documents\Altium\MY_LIB\MY_LIB\Datasheets\YAGEO_CC_X7R.pdf</x:v>
      </x:c>
      <ns0:c xmlns:ns0="http://schemas.openxmlformats.org/spreadsheetml/2006/main" r="Z91" s="11">
        <ns0:v>6.8e-08</ns0:v>
      </ns0:c>
      <ns0:c xmlns:ns0="http://schemas.openxmlformats.org/spreadsheetml/2006/main" r="AA91" s="11">
        <ns0:v>0.025</ns0:v>
      </ns0:c>
      <ns0:c xmlns:ns0="http://schemas.openxmlformats.org/spreadsheetml/2006/main" r="AB91" s="11">
        <ns0:v>1000</ns0:v>
      </ns0:c>
      <ns0:c xmlns:ns0="http://schemas.openxmlformats.org/spreadsheetml/2006/main" r="AC91" s="11">
        <ns0:v>1</ns0:v>
      </ns0:c>
      <ns0:c xmlns:ns0="http://schemas.openxmlformats.org/spreadsheetml/2006/main" r="AD91" s="11">
        <ns0:v>20</ns0:v>
      </ns0:c>
      <ns0:c xmlns:ns0="http://schemas.openxmlformats.org/spreadsheetml/2006/main" r="AE91" s="11">
        <ns0:v>500</ns0:v>
      </ns0:c>
      <ns0:c xmlns:ns0="http://schemas.openxmlformats.org/spreadsheetml/2006/main" r="AF91" s="11">
        <ns0:v>7352941176.47059</ns0:v>
      </ns0:c>
      <ns0:c xmlns:ns0="http://schemas.openxmlformats.org/spreadsheetml/2006/main" r="AG91" s="11">
        <ns0:v>100</ns0:v>
      </ns0:c>
      <ns0:c xmlns:ns0="http://schemas.openxmlformats.org/spreadsheetml/2006/main" r="AH91" s="11">
        <ns0:v>60</ns0:v>
      </ns0:c>
      <ns0:c xmlns:ns0="http://schemas.openxmlformats.org/spreadsheetml/2006/main" r="AI91" s="11">
        <ns0:v>58.5128467249615</ns0:v>
      </ns0:c>
      <ns0:c xmlns:ns0="http://schemas.openxmlformats.org/spreadsheetml/2006/main" r="AJ91" s="11" t="inlineStr">
        <ns0:is>
          <ns0:t>MY_LIB_C_RC</ns0:t>
        </ns0:is>
      </ns0:c>
      <ns0:c xmlns:ns0="http://schemas.openxmlformats.org/spreadsheetml/2006/main" r="AK91" s="11" t="inlineStr">
        <ns0:is>
          <ns0:t>Nominal C; DFmax at 1kHz; minimum insulation; no temperature/bias/ESL</ns0:t>
        </ns0:is>
      </ns0:c>
      <ns0:c xmlns:ns0="http://schemas.openxmlformats.org/spreadsheetml/2006/main" r="AL91" s="11" t="inlineStr">
        <ns0:is>
          <ns0:t>General</ns0:t>
        </ns0:is>
      </ns0:c>
      <ns0:c xmlns:ns0="http://schemas.openxmlformats.org/spreadsheetml/2006/main" r="AM91" s="11" t="inlineStr">
        <ns0:is>
          <ns0:t>Spice Subcircuit</ns0:t>
        </ns0:is>
      </ns0:c>
      <ns0:c xmlns:ns0="http://schemas.openxmlformats.org/spreadsheetml/2006/main" r="AN91" s="11" t="inlineStr">
        <ns0:is>
          <ns0:t>@DESIGNATOR %1 %2 @MODEL PARAMS: Cvalue=6.8e-08 Rsvalue=58.5128467249615 Rinsvalue=7352941176.47059</ns0:t>
        </ns0:is>
      </ns0:c>
      <ns0:c xmlns:ns0="http://schemas.openxmlformats.org/spreadsheetml/2006/main" r="AO91" s="11" t="inlineStr">
        <ns0:is>
          <ns0:t>X</ns0:t>
        </ns0:is>
      </ns0:c>
      <ns0:c xmlns:ns0="http://schemas.openxmlformats.org/spreadsheetml/2006/main" r="AP91" s="11" t="inlineStr">
        <ns0:is>
          <ns0:t>(1:1),(2:2)</ns0:t>
        </ns0:is>
      </ns0:c>
      <ns0:c xmlns:ns0="http://schemas.openxmlformats.org/spreadsheetml/2006/main" r="AQ91" s="11" t="inlineStr">
        <ns0:is>
          <ns0:t>Simulation\Capacitors\MY_LIB_C_RC.ckt</ns0:t>
        </ns0:is>
      </ns0:c>
    </ns0:row>
    <ns0:row r="92" ht="30" customHeight="1">
      <ns0:c r="A92" t="str" s="14">
        <ns0:v>C0093</ns0:v>
      </ns0:c>
      <ns0:c r="B92" t="str" s="14">
        <ns0:v>Конденсатор</ns0:v>
      </ns0:c>
      <ns0:c r="C92" t="str" s="14">
        <ns0:v>82n</ns0:v>
      </ns0:c>
      <ns0:c r="D92" t="str" s="11">
        <ns0:f>SUBSTITUTE(SUBSTITUTE(SUBSTITUTE(SUBSTITUTE(C92,"p"," пФ"),"n"," нФ"),"u"," мкФ"),".",",")</ns0:f>
        <ns0:v>82 нФ</ns0:v>
      </ns0:c>
      <ns0:c r="E92" t="str" s="14">
        <ns0:v>±10%</ns0:v>
      </ns0:c>
      <ns0:c r="F92" s="14"/>
      <ns0:c r="G92" t="str" s="14">
        <ns0:v>100 В</ns0:v>
      </ns0:c>
      <ns0:c r="H92" t="str" s="14">
        <ns0:v>X7R</ns0:v>
      </ns0:c>
      <ns0:c r="I92" t="str" s="15">
        <ns0:v>0805</ns0:v>
      </ns0:c>
      <ns0:c r="J92" t="str" s="14">
        <ns0:v>YAGEO</ns0:v>
      </ns0:c>
      <ns0:c r="K92" t="str" s="14">
        <ns0:v>CC0805KKX7R0BB823</ns0:v>
      </ns0:c>
      <ns0:c r="L92" t="str" s="11">
        <ns0:f>B92&amp;" "&amp;D92&amp;" "&amp;E92&amp;" "&amp;G92&amp;" "&amp;H92&amp;" "&amp;I92</ns0:f>
        <ns0:v>Конденсатор 82 нФ ±10% 100 В X7R 0805</ns0:v>
      </ns0:c>
      <ns0:c r="M92" t="str" s="13">
        <ns0:v>C</ns0:v>
      </ns0:c>
      <ns0:c r="N92" t="str" s="13">
        <ns0:v>Symbols\MY_LIB_Capacitors.SchLib</ns0:v>
      </ns0:c>
      <ns0:c r="O92" t="str" s="13">
        <ns0:v>CAPC2012X135N</ns0:v>
      </ns0:c>
      <ns0:c r="P92" t="str" s="13">
        <ns0:v>Footprints\PBL - SMD Packages.PcbLib</ns0:v>
      </ns0:c>
      <ns0:c r="Q92" t="str" s="14">
        <ns0:v>YAGEO CC; список 20.10.2026</ns0:v>
      </ns0:c>
      <ns0:c r="R92" t="str" s="11">
        <ns0:f>D92</ns0:f>
        <ns0:v>82 нФ</ns0:v>
      </ns0:c>
      <ns0:c r="S92" t="str" s="11">
        <ns0:f>L92</ns0:f>
        <ns0:v>Конденсатор 82 нФ ±10% 100 В X7R 0805</ns0:v>
      </ns0:c>
      <x:c xmlns:x="http://schemas.openxmlformats.org/spreadsheetml/2006/main" r="T92" t="str" s="11">
        <x:v>C:\Users\Nomatin\Documents\Altium\MY_LIB\MY_LIB\Datasheets\YAGEO_CC_X7R.pdf</x:v>
      </x:c>
      <x:c xmlns:x="http://schemas.openxmlformats.org/spreadsheetml/2006/main" r="U92" t="str" s="11">
        <x:v>Даташит — локальный</x:v>
      </x:c>
      <x:c xmlns:x="http://schemas.openxmlformats.org/spreadsheetml/2006/main" r="V92" t="str" s="11">
        <x:v>C:\Users\Nomatin\Documents\Altium\MY_LIB\MY_LIB\Datasheets\YAGEO_CC_X7R.pdf</x:v>
      </x:c>
      <x:c xmlns:x="http://schemas.openxmlformats.org/spreadsheetml/2006/main" r="W92" t="str" s="11">
        <x:v>Даташит — производитель</x:v>
      </x:c>
      <x:c xmlns:x="http://schemas.openxmlformats.org/spreadsheetml/2006/main" r="X92" t="str" s="11">
        <x:v>https://yageogroup.com/content/datasheet/asset/file/UPY-GPHC_X7R_6_3V-TO-250V</x:v>
      </x:c>
      <x:c xmlns:x="http://schemas.openxmlformats.org/spreadsheetml/2006/main" r="Y92" t="str" s="11">
        <x:v>C:\Users\Nomatin\Documents\Altium\MY_LIB\MY_LIB\Datasheets\YAGEO_CC_X7R.pdf</x:v>
      </x:c>
      <ns0:c xmlns:ns0="http://schemas.openxmlformats.org/spreadsheetml/2006/main" r="Z92" s="11">
        <ns0:v>8.2e-08</ns0:v>
      </ns0:c>
      <ns0:c xmlns:ns0="http://schemas.openxmlformats.org/spreadsheetml/2006/main" r="AA92" s="11">
        <ns0:v>0.025</ns0:v>
      </ns0:c>
      <ns0:c xmlns:ns0="http://schemas.openxmlformats.org/spreadsheetml/2006/main" r="AB92" s="11">
        <ns0:v>1000</ns0:v>
      </ns0:c>
      <ns0:c xmlns:ns0="http://schemas.openxmlformats.org/spreadsheetml/2006/main" r="AC92" s="11">
        <ns0:v>1</ns0:v>
      </ns0:c>
      <ns0:c xmlns:ns0="http://schemas.openxmlformats.org/spreadsheetml/2006/main" r="AD92" s="11">
        <ns0:v>20</ns0:v>
      </ns0:c>
      <ns0:c xmlns:ns0="http://schemas.openxmlformats.org/spreadsheetml/2006/main" r="AE92" s="11">
        <ns0:v>500</ns0:v>
      </ns0:c>
      <ns0:c xmlns:ns0="http://schemas.openxmlformats.org/spreadsheetml/2006/main" r="AF92" s="11">
        <ns0:v>6097560975.60976</ns0:v>
      </ns0:c>
      <ns0:c xmlns:ns0="http://schemas.openxmlformats.org/spreadsheetml/2006/main" r="AG92" s="11">
        <ns0:v>100</ns0:v>
      </ns0:c>
      <ns0:c xmlns:ns0="http://schemas.openxmlformats.org/spreadsheetml/2006/main" r="AH92" s="11">
        <ns0:v>60</ns0:v>
      </ns0:c>
      <ns0:c xmlns:ns0="http://schemas.openxmlformats.org/spreadsheetml/2006/main" r="AI92" s="11">
        <ns0:v>48.5228485036266</ns0:v>
      </ns0:c>
      <ns0:c xmlns:ns0="http://schemas.openxmlformats.org/spreadsheetml/2006/main" r="AJ92" s="11" t="inlineStr">
        <ns0:is>
          <ns0:t>MY_LIB_C_RC</ns0:t>
        </ns0:is>
      </ns0:c>
      <ns0:c xmlns:ns0="http://schemas.openxmlformats.org/spreadsheetml/2006/main" r="AK92" s="11" t="inlineStr">
        <ns0:is>
          <ns0:t>Nominal C; DFmax at 1kHz; minimum insulation; no temperature/bias/ESL</ns0:t>
        </ns0:is>
      </ns0:c>
      <ns0:c xmlns:ns0="http://schemas.openxmlformats.org/spreadsheetml/2006/main" r="AL92" s="11" t="inlineStr">
        <ns0:is>
          <ns0:t>General</ns0:t>
        </ns0:is>
      </ns0:c>
      <ns0:c xmlns:ns0="http://schemas.openxmlformats.org/spreadsheetml/2006/main" r="AM92" s="11" t="inlineStr">
        <ns0:is>
          <ns0:t>Spice Subcircuit</ns0:t>
        </ns0:is>
      </ns0:c>
      <ns0:c xmlns:ns0="http://schemas.openxmlformats.org/spreadsheetml/2006/main" r="AN92" s="11" t="inlineStr">
        <ns0:is>
          <ns0:t>@DESIGNATOR %1 %2 @MODEL PARAMS: Cvalue=8.2e-08 Rsvalue=48.5228485036266 Rinsvalue=6097560975.60976</ns0:t>
        </ns0:is>
      </ns0:c>
      <ns0:c xmlns:ns0="http://schemas.openxmlformats.org/spreadsheetml/2006/main" r="AO92" s="11" t="inlineStr">
        <ns0:is>
          <ns0:t>X</ns0:t>
        </ns0:is>
      </ns0:c>
      <ns0:c xmlns:ns0="http://schemas.openxmlformats.org/spreadsheetml/2006/main" r="AP92" s="11" t="inlineStr">
        <ns0:is>
          <ns0:t>(1:1),(2:2)</ns0:t>
        </ns0:is>
      </ns0:c>
      <ns0:c xmlns:ns0="http://schemas.openxmlformats.org/spreadsheetml/2006/main" r="AQ92" s="11" t="inlineStr">
        <ns0:is>
          <ns0:t>Simulation\Capacitors\MY_LIB_C_RC.ckt</ns0:t>
        </ns0:is>
      </ns0:c>
    </ns0:row>
    <ns0:row r="93" ht="30" customHeight="1">
      <ns0:c r="A93" t="str" s="14">
        <ns0:v>C0094</ns0:v>
      </ns0:c>
      <ns0:c r="B93" t="str" s="14">
        <ns0:v>Конденсатор</ns0:v>
      </ns0:c>
      <ns0:c r="C93" t="str" s="14">
        <ns0:v>100n</ns0:v>
      </ns0:c>
      <ns0:c r="D93" t="str" s="11">
        <ns0:f>SUBSTITUTE(SUBSTITUTE(SUBSTITUTE(SUBSTITUTE(C93,"p"," пФ"),"n"," нФ"),"u"," мкФ"),".",",")</ns0:f>
        <ns0:v>100 нФ</ns0:v>
      </ns0:c>
      <ns0:c r="E93" t="str" s="14">
        <ns0:v>±10%</ns0:v>
      </ns0:c>
      <ns0:c r="F93" s="14"/>
      <ns0:c r="G93" t="str" s="14">
        <ns0:v>100 В</ns0:v>
      </ns0:c>
      <ns0:c r="H93" t="str" s="14">
        <ns0:v>X7R</ns0:v>
      </ns0:c>
      <ns0:c r="I93" t="str" s="15">
        <ns0:v>0805</ns0:v>
      </ns0:c>
      <ns0:c r="J93" t="str" s="14">
        <ns0:v>YAGEO</ns0:v>
      </ns0:c>
      <ns0:c r="K93" t="str" s="14">
        <ns0:v>CC0805KKX7R0BB104</ns0:v>
      </ns0:c>
      <ns0:c r="L93" t="str" s="11">
        <ns0:f>B93&amp;" "&amp;D93&amp;" "&amp;E93&amp;" "&amp;G93&amp;" "&amp;H93&amp;" "&amp;I93</ns0:f>
        <ns0:v>Конденсатор 100 нФ ±10% 100 В X7R 0805</ns0:v>
      </ns0:c>
      <ns0:c r="M93" t="str" s="13">
        <ns0:v>C</ns0:v>
      </ns0:c>
      <ns0:c r="N93" t="str" s="13">
        <ns0:v>Symbols\MY_LIB_Capacitors.SchLib</ns0:v>
      </ns0:c>
      <ns0:c r="O93" t="str" s="13">
        <ns0:v>CAPC2012X135N</ns0:v>
      </ns0:c>
      <ns0:c r="P93" t="str" s="13">
        <ns0:v>Footprints\PBL - SMD Packages.PcbLib</ns0:v>
      </ns0:c>
      <ns0:c r="Q93" t="str" s="14">
        <ns0:v>YAGEO CC; список 20.10.2026</ns0:v>
      </ns0:c>
      <ns0:c r="R93" t="str" s="11">
        <ns0:f>D93</ns0:f>
        <ns0:v>100 нФ</ns0:v>
      </ns0:c>
      <ns0:c r="S93" t="str" s="11">
        <ns0:f>L93</ns0:f>
        <ns0:v>Конденсатор 100 нФ ±10% 100 В X7R 0805</ns0:v>
      </ns0:c>
      <x:c xmlns:x="http://schemas.openxmlformats.org/spreadsheetml/2006/main" r="T93" t="str" s="11">
        <x:v>C:\Users\Nomatin\Documents\Altium\MY_LIB\MY_LIB\Datasheets\YAGEO_CC_X7R.pdf</x:v>
      </x:c>
      <x:c xmlns:x="http://schemas.openxmlformats.org/spreadsheetml/2006/main" r="U93" t="str" s="11">
        <x:v>Даташит — локальный</x:v>
      </x:c>
      <x:c xmlns:x="http://schemas.openxmlformats.org/spreadsheetml/2006/main" r="V93" t="str" s="11">
        <x:v>C:\Users\Nomatin\Documents\Altium\MY_LIB\MY_LIB\Datasheets\YAGEO_CC_X7R.pdf</x:v>
      </x:c>
      <x:c xmlns:x="http://schemas.openxmlformats.org/spreadsheetml/2006/main" r="W93" t="str" s="11">
        <x:v>Даташит — производитель</x:v>
      </x:c>
      <x:c xmlns:x="http://schemas.openxmlformats.org/spreadsheetml/2006/main" r="X93" t="str" s="11">
        <x:v>https://yageogroup.com/content/datasheet/asset/file/UPY-GPHC_X7R_6_3V-TO-250V</x:v>
      </x:c>
      <x:c xmlns:x="http://schemas.openxmlformats.org/spreadsheetml/2006/main" r="Y93" t="str" s="11">
        <x:v>C:\Users\Nomatin\Documents\Altium\MY_LIB\MY_LIB\Datasheets\YAGEO_CC_X7R.pdf</x:v>
      </x:c>
      <ns0:c xmlns:ns0="http://schemas.openxmlformats.org/spreadsheetml/2006/main" r="Z93" s="11">
        <ns0:v>1e-07</ns0:v>
      </ns0:c>
      <ns0:c xmlns:ns0="http://schemas.openxmlformats.org/spreadsheetml/2006/main" r="AA93" s="11">
        <ns0:v>0.025</ns0:v>
      </ns0:c>
      <ns0:c xmlns:ns0="http://schemas.openxmlformats.org/spreadsheetml/2006/main" r="AB93" s="11">
        <ns0:v>1000</ns0:v>
      </ns0:c>
      <ns0:c xmlns:ns0="http://schemas.openxmlformats.org/spreadsheetml/2006/main" r="AC93" s="11">
        <ns0:v>1</ns0:v>
      </ns0:c>
      <ns0:c xmlns:ns0="http://schemas.openxmlformats.org/spreadsheetml/2006/main" r="AD93" s="11">
        <ns0:v>20</ns0:v>
      </ns0:c>
      <ns0:c xmlns:ns0="http://schemas.openxmlformats.org/spreadsheetml/2006/main" r="AE93" s="11">
        <ns0:v>500</ns0:v>
      </ns0:c>
      <ns0:c xmlns:ns0="http://schemas.openxmlformats.org/spreadsheetml/2006/main" r="AF93" s="11">
        <ns0:v>5000000000</ns0:v>
      </ns0:c>
      <ns0:c xmlns:ns0="http://schemas.openxmlformats.org/spreadsheetml/2006/main" r="AG93" s="11">
        <ns0:v>100</ns0:v>
      </ns0:c>
      <ns0:c xmlns:ns0="http://schemas.openxmlformats.org/spreadsheetml/2006/main" r="AH93" s="11">
        <ns0:v>60</ns0:v>
      </ns0:c>
      <ns0:c xmlns:ns0="http://schemas.openxmlformats.org/spreadsheetml/2006/main" r="AI93" s="11">
        <ns0:v>39.7887357729738</ns0:v>
      </ns0:c>
      <ns0:c xmlns:ns0="http://schemas.openxmlformats.org/spreadsheetml/2006/main" r="AJ93" s="11" t="inlineStr">
        <ns0:is>
          <ns0:t>MY_LIB_C_RC</ns0:t>
        </ns0:is>
      </ns0:c>
      <ns0:c xmlns:ns0="http://schemas.openxmlformats.org/spreadsheetml/2006/main" r="AK93" s="11" t="inlineStr">
        <ns0:is>
          <ns0:t>Nominal C; DFmax at 1kHz; minimum insulation; no temperature/bias/ESL</ns0:t>
        </ns0:is>
      </ns0:c>
      <ns0:c xmlns:ns0="http://schemas.openxmlformats.org/spreadsheetml/2006/main" r="AL93" s="11" t="inlineStr">
        <ns0:is>
          <ns0:t>General</ns0:t>
        </ns0:is>
      </ns0:c>
      <ns0:c xmlns:ns0="http://schemas.openxmlformats.org/spreadsheetml/2006/main" r="AM93" s="11" t="inlineStr">
        <ns0:is>
          <ns0:t>Spice Subcircuit</ns0:t>
        </ns0:is>
      </ns0:c>
      <ns0:c xmlns:ns0="http://schemas.openxmlformats.org/spreadsheetml/2006/main" r="AN93" s="11" t="inlineStr">
        <ns0:is>
          <ns0:t>@DESIGNATOR %1 %2 @MODEL PARAMS: Cvalue=1e-07 Rsvalue=39.7887357729738 Rinsvalue=5000000000</ns0:t>
        </ns0:is>
      </ns0:c>
      <ns0:c xmlns:ns0="http://schemas.openxmlformats.org/spreadsheetml/2006/main" r="AO93" s="11" t="inlineStr">
        <ns0:is>
          <ns0:t>X</ns0:t>
        </ns0:is>
      </ns0:c>
      <ns0:c xmlns:ns0="http://schemas.openxmlformats.org/spreadsheetml/2006/main" r="AP93" s="11" t="inlineStr">
        <ns0:is>
          <ns0:t>(1:1),(2:2)</ns0:t>
        </ns0:is>
      </ns0:c>
      <ns0:c xmlns:ns0="http://schemas.openxmlformats.org/spreadsheetml/2006/main" r="AQ93" s="11" t="inlineStr">
        <ns0:is>
          <ns0:t>Simulation\Capacitors\MY_LIB_C_RC.ckt</ns0:t>
        </ns0:is>
      </ns0:c>
    </ns0:row>
    <ns0:row r="94" ht="30" customHeight="1">
      <ns0:c r="A94" t="str" s="14">
        <ns0:v>C0095</ns0:v>
      </ns0:c>
      <ns0:c r="B94" t="str" s="14">
        <ns0:v>Конденсатор</ns0:v>
      </ns0:c>
      <ns0:c r="C94" t="str" s="14">
        <ns0:v>120n</ns0:v>
      </ns0:c>
      <ns0:c r="D94" t="str" s="11">
        <ns0:f>SUBSTITUTE(SUBSTITUTE(SUBSTITUTE(SUBSTITUTE(C94,"p"," пФ"),"n"," нФ"),"u"," мкФ"),".",",")</ns0:f>
        <ns0:v>120 нФ</ns0:v>
      </ns0:c>
      <ns0:c r="E94" t="str" s="14">
        <ns0:v>±10%</ns0:v>
      </ns0:c>
      <ns0:c r="F94" s="14"/>
      <ns0:c r="G94" t="str" s="14">
        <ns0:v>50 В</ns0:v>
      </ns0:c>
      <ns0:c r="H94" t="str" s="14">
        <ns0:v>X7R</ns0:v>
      </ns0:c>
      <ns0:c r="I94" t="str" s="15">
        <ns0:v>0805</ns0:v>
      </ns0:c>
      <ns0:c r="J94" t="str" s="14">
        <ns0:v>YAGEO</ns0:v>
      </ns0:c>
      <ns0:c r="K94" t="str" s="14">
        <ns0:v>CC0805KRX7R9BB124</ns0:v>
      </ns0:c>
      <ns0:c r="L94" t="str" s="11">
        <ns0:f>B94&amp;" "&amp;D94&amp;" "&amp;E94&amp;" "&amp;G94&amp;" "&amp;H94&amp;" "&amp;I94</ns0:f>
        <ns0:v>Конденсатор 120 нФ ±10% 50 В X7R 0805</ns0:v>
      </ns0:c>
      <ns0:c r="M94" t="str" s="13">
        <ns0:v>C</ns0:v>
      </ns0:c>
      <ns0:c r="N94" t="str" s="13">
        <ns0:v>Symbols\MY_LIB_Capacitors.SchLib</ns0:v>
      </ns0:c>
      <ns0:c r="O94" t="str" s="13">
        <ns0:v>CAPC2012X135N</ns0:v>
      </ns0:c>
      <ns0:c r="P94" t="str" s="13">
        <ns0:v>Footprints\PBL - SMD Packages.PcbLib</ns0:v>
      </ns0:c>
      <ns0:c r="Q94" t="str" s="14">
        <ns0:v>YAGEO CC; список 20.10.2026</ns0:v>
      </ns0:c>
      <ns0:c r="R94" t="str" s="11">
        <ns0:f>D94</ns0:f>
        <ns0:v>120 нФ</ns0:v>
      </ns0:c>
      <ns0:c r="S94" t="str" s="11">
        <ns0:f>L94</ns0:f>
        <ns0:v>Конденсатор 120 нФ ±10% 50 В X7R 0805</ns0:v>
      </ns0:c>
      <x:c xmlns:x="http://schemas.openxmlformats.org/spreadsheetml/2006/main" r="T94" t="str" s="11">
        <x:v>C:\Users\Nomatin\Documents\Altium\MY_LIB\MY_LIB\Datasheets\YAGEO_CC_X7R.pdf</x:v>
      </x:c>
      <x:c xmlns:x="http://schemas.openxmlformats.org/spreadsheetml/2006/main" r="U94" t="str" s="11">
        <x:v>Даташит — локальный</x:v>
      </x:c>
      <x:c xmlns:x="http://schemas.openxmlformats.org/spreadsheetml/2006/main" r="V94" t="str" s="11">
        <x:v>C:\Users\Nomatin\Documents\Altium\MY_LIB\MY_LIB\Datasheets\YAGEO_CC_X7R.pdf</x:v>
      </x:c>
      <x:c xmlns:x="http://schemas.openxmlformats.org/spreadsheetml/2006/main" r="W94" t="str" s="11">
        <x:v>Даташит — производитель</x:v>
      </x:c>
      <x:c xmlns:x="http://schemas.openxmlformats.org/spreadsheetml/2006/main" r="X94" t="str" s="11">
        <x:v>https://yageogroup.com/content/datasheet/asset/file/UPY-GPHC_X7R_6_3V-TO-250V</x:v>
      </x:c>
      <x:c xmlns:x="http://schemas.openxmlformats.org/spreadsheetml/2006/main" r="Y94" t="str" s="11">
        <x:v>C:\Users\Nomatin\Documents\Altium\MY_LIB\MY_LIB\Datasheets\YAGEO_CC_X7R.pdf</x:v>
      </x:c>
      <ns0:c xmlns:ns0="http://schemas.openxmlformats.org/spreadsheetml/2006/main" r="Z94" s="11">
        <ns0:v>1.2e-07</ns0:v>
      </ns0:c>
      <ns0:c xmlns:ns0="http://schemas.openxmlformats.org/spreadsheetml/2006/main" r="AA94" s="11">
        <ns0:v>0.025</ns0:v>
      </ns0:c>
      <ns0:c xmlns:ns0="http://schemas.openxmlformats.org/spreadsheetml/2006/main" r="AB94" s="11">
        <ns0:v>1000</ns0:v>
      </ns0:c>
      <ns0:c xmlns:ns0="http://schemas.openxmlformats.org/spreadsheetml/2006/main" r="AC94" s="11">
        <ns0:v>1</ns0:v>
      </ns0:c>
      <ns0:c xmlns:ns0="http://schemas.openxmlformats.org/spreadsheetml/2006/main" r="AD94" s="11">
        <ns0:v>20</ns0:v>
      </ns0:c>
      <ns0:c xmlns:ns0="http://schemas.openxmlformats.org/spreadsheetml/2006/main" r="AE94" s="11">
        <ns0:v>500</ns0:v>
      </ns0:c>
      <ns0:c xmlns:ns0="http://schemas.openxmlformats.org/spreadsheetml/2006/main" r="AF94" s="11">
        <ns0:v>4166666666.66667</ns0:v>
      </ns0:c>
      <ns0:c xmlns:ns0="http://schemas.openxmlformats.org/spreadsheetml/2006/main" r="AG94" s="11">
        <ns0:v>50</ns0:v>
      </ns0:c>
      <ns0:c xmlns:ns0="http://schemas.openxmlformats.org/spreadsheetml/2006/main" r="AH94" s="11">
        <ns0:v>60</ns0:v>
      </ns0:c>
      <ns0:c xmlns:ns0="http://schemas.openxmlformats.org/spreadsheetml/2006/main" r="AI94" s="11">
        <ns0:v>33.1572798108115</ns0:v>
      </ns0:c>
      <ns0:c xmlns:ns0="http://schemas.openxmlformats.org/spreadsheetml/2006/main" r="AJ94" s="11" t="inlineStr">
        <ns0:is>
          <ns0:t>MY_LIB_C_RC</ns0:t>
        </ns0:is>
      </ns0:c>
      <ns0:c xmlns:ns0="http://schemas.openxmlformats.org/spreadsheetml/2006/main" r="AK94" s="11" t="inlineStr">
        <ns0:is>
          <ns0:t>Nominal C; DFmax at 1kHz; minimum insulation; no temperature/bias/ESL</ns0:t>
        </ns0:is>
      </ns0:c>
      <ns0:c xmlns:ns0="http://schemas.openxmlformats.org/spreadsheetml/2006/main" r="AL94" s="11" t="inlineStr">
        <ns0:is>
          <ns0:t>General</ns0:t>
        </ns0:is>
      </ns0:c>
      <ns0:c xmlns:ns0="http://schemas.openxmlformats.org/spreadsheetml/2006/main" r="AM94" s="11" t="inlineStr">
        <ns0:is>
          <ns0:t>Spice Subcircuit</ns0:t>
        </ns0:is>
      </ns0:c>
      <ns0:c xmlns:ns0="http://schemas.openxmlformats.org/spreadsheetml/2006/main" r="AN94" s="11" t="inlineStr">
        <ns0:is>
          <ns0:t>@DESIGNATOR %1 %2 @MODEL PARAMS: Cvalue=1.2e-07 Rsvalue=33.1572798108115 Rinsvalue=4166666666.66667</ns0:t>
        </ns0:is>
      </ns0:c>
      <ns0:c xmlns:ns0="http://schemas.openxmlformats.org/spreadsheetml/2006/main" r="AO94" s="11" t="inlineStr">
        <ns0:is>
          <ns0:t>X</ns0:t>
        </ns0:is>
      </ns0:c>
      <ns0:c xmlns:ns0="http://schemas.openxmlformats.org/spreadsheetml/2006/main" r="AP94" s="11" t="inlineStr">
        <ns0:is>
          <ns0:t>(1:1),(2:2)</ns0:t>
        </ns0:is>
      </ns0:c>
      <ns0:c xmlns:ns0="http://schemas.openxmlformats.org/spreadsheetml/2006/main" r="AQ94" s="11" t="inlineStr">
        <ns0:is>
          <ns0:t>Simulation\Capacitors\MY_LIB_C_RC.ckt</ns0:t>
        </ns0:is>
      </ns0:c>
    </ns0:row>
    <ns0:row r="95" ht="30" customHeight="1">
      <ns0:c r="A95" t="str" s="14">
        <ns0:v>C0096</ns0:v>
      </ns0:c>
      <ns0:c r="B95" t="str" s="14">
        <ns0:v>Конденсатор</ns0:v>
      </ns0:c>
      <ns0:c r="C95" t="str" s="14">
        <ns0:v>150n</ns0:v>
      </ns0:c>
      <ns0:c r="D95" t="str" s="11">
        <ns0:f>SUBSTITUTE(SUBSTITUTE(SUBSTITUTE(SUBSTITUTE(C95,"p"," пФ"),"n"," нФ"),"u"," мкФ"),".",",")</ns0:f>
        <ns0:v>150 нФ</ns0:v>
      </ns0:c>
      <ns0:c r="E95" t="str" s="14">
        <ns0:v>±10%</ns0:v>
      </ns0:c>
      <ns0:c r="F95" s="14"/>
      <ns0:c r="G95" t="str" s="14">
        <ns0:v>100 В</ns0:v>
      </ns0:c>
      <ns0:c r="H95" t="str" s="14">
        <ns0:v>X7R</ns0:v>
      </ns0:c>
      <ns0:c r="I95" t="str" s="15">
        <ns0:v>0805</ns0:v>
      </ns0:c>
      <ns0:c r="J95" t="str" s="14">
        <ns0:v>YAGEO</ns0:v>
      </ns0:c>
      <ns0:c r="K95" t="str" s="14">
        <ns0:v>CC0805KKX7R0BB154</ns0:v>
      </ns0:c>
      <ns0:c r="L95" t="str" s="11">
        <ns0:f>B95&amp;" "&amp;D95&amp;" "&amp;E95&amp;" "&amp;G95&amp;" "&amp;H95&amp;" "&amp;I95</ns0:f>
        <ns0:v>Конденсатор 150 нФ ±10% 100 В X7R 0805</ns0:v>
      </ns0:c>
      <ns0:c r="M95" t="str" s="13">
        <ns0:v>C</ns0:v>
      </ns0:c>
      <ns0:c r="N95" t="str" s="13">
        <ns0:v>Symbols\MY_LIB_Capacitors.SchLib</ns0:v>
      </ns0:c>
      <ns0:c r="O95" t="str" s="13">
        <ns0:v>CAPC2012X135N</ns0:v>
      </ns0:c>
      <ns0:c r="P95" t="str" s="13">
        <ns0:v>Footprints\PBL - SMD Packages.PcbLib</ns0:v>
      </ns0:c>
      <ns0:c r="Q95" t="str" s="14">
        <ns0:v>YAGEO CC; список 20.10.2026</ns0:v>
      </ns0:c>
      <ns0:c r="R95" t="str" s="11">
        <ns0:f>D95</ns0:f>
        <ns0:v>150 нФ</ns0:v>
      </ns0:c>
      <ns0:c r="S95" t="str" s="11">
        <ns0:f>L95</ns0:f>
        <ns0:v>Конденсатор 150 нФ ±10% 100 В X7R 0805</ns0:v>
      </ns0:c>
      <x:c xmlns:x="http://schemas.openxmlformats.org/spreadsheetml/2006/main" r="T95" t="str" s="11">
        <x:v>C:\Users\Nomatin\Documents\Altium\MY_LIB\MY_LIB\Datasheets\YAGEO_CC_X7R.pdf</x:v>
      </x:c>
      <x:c xmlns:x="http://schemas.openxmlformats.org/spreadsheetml/2006/main" r="U95" t="str" s="11">
        <x:v>Даташит — локальный</x:v>
      </x:c>
      <x:c xmlns:x="http://schemas.openxmlformats.org/spreadsheetml/2006/main" r="V95" t="str" s="11">
        <x:v>C:\Users\Nomatin\Documents\Altium\MY_LIB\MY_LIB\Datasheets\YAGEO_CC_X7R.pdf</x:v>
      </x:c>
      <x:c xmlns:x="http://schemas.openxmlformats.org/spreadsheetml/2006/main" r="W95" t="str" s="11">
        <x:v>Даташит — производитель</x:v>
      </x:c>
      <x:c xmlns:x="http://schemas.openxmlformats.org/spreadsheetml/2006/main" r="X95" t="str" s="11">
        <x:v>https://yageogroup.com/content/datasheet/asset/file/UPY-GPHC_X7R_6_3V-TO-250V</x:v>
      </x:c>
      <x:c xmlns:x="http://schemas.openxmlformats.org/spreadsheetml/2006/main" r="Y95" t="str" s="11">
        <x:v>C:\Users\Nomatin\Documents\Altium\MY_LIB\MY_LIB\Datasheets\YAGEO_CC_X7R.pdf</x:v>
      </x:c>
      <ns0:c xmlns:ns0="http://schemas.openxmlformats.org/spreadsheetml/2006/main" r="Z95" s="11">
        <ns0:v>1.5e-07</ns0:v>
      </ns0:c>
      <ns0:c xmlns:ns0="http://schemas.openxmlformats.org/spreadsheetml/2006/main" r="AA95" s="11">
        <ns0:v>0.025</ns0:v>
      </ns0:c>
      <ns0:c xmlns:ns0="http://schemas.openxmlformats.org/spreadsheetml/2006/main" r="AB95" s="11">
        <ns0:v>1000</ns0:v>
      </ns0:c>
      <ns0:c xmlns:ns0="http://schemas.openxmlformats.org/spreadsheetml/2006/main" r="AC95" s="11">
        <ns0:v>1</ns0:v>
      </ns0:c>
      <ns0:c xmlns:ns0="http://schemas.openxmlformats.org/spreadsheetml/2006/main" r="AD95" s="11">
        <ns0:v>20</ns0:v>
      </ns0:c>
      <ns0:c xmlns:ns0="http://schemas.openxmlformats.org/spreadsheetml/2006/main" r="AE95" s="11">
        <ns0:v>500</ns0:v>
      </ns0:c>
      <ns0:c xmlns:ns0="http://schemas.openxmlformats.org/spreadsheetml/2006/main" r="AF95" s="11">
        <ns0:v>3333333333.33333</ns0:v>
      </ns0:c>
      <ns0:c xmlns:ns0="http://schemas.openxmlformats.org/spreadsheetml/2006/main" r="AG95" s="11">
        <ns0:v>100</ns0:v>
      </ns0:c>
      <ns0:c xmlns:ns0="http://schemas.openxmlformats.org/spreadsheetml/2006/main" r="AH95" s="11">
        <ns0:v>60</ns0:v>
      </ns0:c>
      <ns0:c xmlns:ns0="http://schemas.openxmlformats.org/spreadsheetml/2006/main" r="AI95" s="11">
        <ns0:v>26.5258238486492</ns0:v>
      </ns0:c>
      <ns0:c xmlns:ns0="http://schemas.openxmlformats.org/spreadsheetml/2006/main" r="AJ95" s="11" t="inlineStr">
        <ns0:is>
          <ns0:t>MY_LIB_C_RC</ns0:t>
        </ns0:is>
      </ns0:c>
      <ns0:c xmlns:ns0="http://schemas.openxmlformats.org/spreadsheetml/2006/main" r="AK95" s="11" t="inlineStr">
        <ns0:is>
          <ns0:t>Nominal C; DFmax at 1kHz; minimum insulation; no temperature/bias/ESL</ns0:t>
        </ns0:is>
      </ns0:c>
      <ns0:c xmlns:ns0="http://schemas.openxmlformats.org/spreadsheetml/2006/main" r="AL95" s="11" t="inlineStr">
        <ns0:is>
          <ns0:t>General</ns0:t>
        </ns0:is>
      </ns0:c>
      <ns0:c xmlns:ns0="http://schemas.openxmlformats.org/spreadsheetml/2006/main" r="AM95" s="11" t="inlineStr">
        <ns0:is>
          <ns0:t>Spice Subcircuit</ns0:t>
        </ns0:is>
      </ns0:c>
      <ns0:c xmlns:ns0="http://schemas.openxmlformats.org/spreadsheetml/2006/main" r="AN95" s="11" t="inlineStr">
        <ns0:is>
          <ns0:t>@DESIGNATOR %1 %2 @MODEL PARAMS: Cvalue=1.5e-07 Rsvalue=26.5258238486492 Rinsvalue=3333333333.33333</ns0:t>
        </ns0:is>
      </ns0:c>
      <ns0:c xmlns:ns0="http://schemas.openxmlformats.org/spreadsheetml/2006/main" r="AO95" s="11" t="inlineStr">
        <ns0:is>
          <ns0:t>X</ns0:t>
        </ns0:is>
      </ns0:c>
      <ns0:c xmlns:ns0="http://schemas.openxmlformats.org/spreadsheetml/2006/main" r="AP95" s="11" t="inlineStr">
        <ns0:is>
          <ns0:t>(1:1),(2:2)</ns0:t>
        </ns0:is>
      </ns0:c>
      <ns0:c xmlns:ns0="http://schemas.openxmlformats.org/spreadsheetml/2006/main" r="AQ95" s="11" t="inlineStr">
        <ns0:is>
          <ns0:t>Simulation\Capacitors\MY_LIB_C_RC.ckt</ns0:t>
        </ns0:is>
      </ns0:c>
    </ns0:row>
    <ns0:row r="96" ht="30" customHeight="1">
      <ns0:c r="A96" t="str" s="14">
        <ns0:v>C0097</ns0:v>
      </ns0:c>
      <ns0:c r="B96" t="str" s="14">
        <ns0:v>Конденсатор</ns0:v>
      </ns0:c>
      <ns0:c r="C96" t="str" s="14">
        <ns0:v>180n</ns0:v>
      </ns0:c>
      <ns0:c r="D96" t="str" s="11">
        <ns0:f>SUBSTITUTE(SUBSTITUTE(SUBSTITUTE(SUBSTITUTE(C96,"p"," пФ"),"n"," нФ"),"u"," мкФ"),".",",")</ns0:f>
        <ns0:v>180 нФ</ns0:v>
      </ns0:c>
      <ns0:c r="E96" t="str" s="14">
        <ns0:v>±10%</ns0:v>
      </ns0:c>
      <ns0:c r="F96" s="14"/>
      <ns0:c r="G96" t="str" s="14">
        <ns0:v>25 В</ns0:v>
      </ns0:c>
      <ns0:c r="H96" t="str" s="14">
        <ns0:v>X7R</ns0:v>
      </ns0:c>
      <ns0:c r="I96" t="str" s="15">
        <ns0:v>0805</ns0:v>
      </ns0:c>
      <ns0:c r="J96" t="str" s="14">
        <ns0:v>YAGEO</ns0:v>
      </ns0:c>
      <ns0:c r="K96" t="str" s="14">
        <ns0:v>CC0805KRX7R8BB184</ns0:v>
      </ns0:c>
      <ns0:c r="L96" t="str" s="11">
        <ns0:f>B96&amp;" "&amp;D96&amp;" "&amp;E96&amp;" "&amp;G96&amp;" "&amp;H96&amp;" "&amp;I96</ns0:f>
        <ns0:v>Конденсатор 180 нФ ±10% 25 В X7R 0805</ns0:v>
      </ns0:c>
      <ns0:c r="M96" t="str" s="13">
        <ns0:v>C</ns0:v>
      </ns0:c>
      <ns0:c r="N96" t="str" s="13">
        <ns0:v>Symbols\MY_LIB_Capacitors.SchLib</ns0:v>
      </ns0:c>
      <ns0:c r="O96" t="str" s="13">
        <ns0:v>CAPC2012X135N</ns0:v>
      </ns0:c>
      <ns0:c r="P96" t="str" s="13">
        <ns0:v>Footprints\PBL - SMD Packages.PcbLib</ns0:v>
      </ns0:c>
      <ns0:c r="Q96" t="str" s="14">
        <ns0:v>YAGEO CC; список 20.10.2026</ns0:v>
      </ns0:c>
      <ns0:c r="R96" t="str" s="11">
        <ns0:f>D96</ns0:f>
        <ns0:v>180 нФ</ns0:v>
      </ns0:c>
      <ns0:c r="S96" t="str" s="11">
        <ns0:f>L96</ns0:f>
        <ns0:v>Конденсатор 180 нФ ±10% 25 В X7R 0805</ns0:v>
      </ns0:c>
      <x:c xmlns:x="http://schemas.openxmlformats.org/spreadsheetml/2006/main" r="T96" t="str" s="11">
        <x:v>C:\Users\Nomatin\Documents\Altium\MY_LIB\MY_LIB\Datasheets\YAGEO_CC_X7R.pdf</x:v>
      </x:c>
      <x:c xmlns:x="http://schemas.openxmlformats.org/spreadsheetml/2006/main" r="U96" t="str" s="11">
        <x:v>Даташит — локальный</x:v>
      </x:c>
      <x:c xmlns:x="http://schemas.openxmlformats.org/spreadsheetml/2006/main" r="V96" t="str" s="11">
        <x:v>C:\Users\Nomatin\Documents\Altium\MY_LIB\MY_LIB\Datasheets\YAGEO_CC_X7R.pdf</x:v>
      </x:c>
      <x:c xmlns:x="http://schemas.openxmlformats.org/spreadsheetml/2006/main" r="W96" t="str" s="11">
        <x:v>Даташит — производитель</x:v>
      </x:c>
      <x:c xmlns:x="http://schemas.openxmlformats.org/spreadsheetml/2006/main" r="X96" t="str" s="11">
        <x:v>https://yageogroup.com/content/datasheet/asset/file/UPY-GPHC_X7R_6_3V-TO-250V</x:v>
      </x:c>
      <x:c xmlns:x="http://schemas.openxmlformats.org/spreadsheetml/2006/main" r="Y96" t="str" s="11">
        <x:v>C:\Users\Nomatin\Documents\Altium\MY_LIB\MY_LIB\Datasheets\YAGEO_CC_X7R.pdf</x:v>
      </x:c>
      <ns0:c xmlns:ns0="http://schemas.openxmlformats.org/spreadsheetml/2006/main" r="Z96" s="11">
        <ns0:v>1.8e-07</ns0:v>
      </ns0:c>
      <ns0:c xmlns:ns0="http://schemas.openxmlformats.org/spreadsheetml/2006/main" r="AA96" s="11">
        <ns0:v>0.025</ns0:v>
      </ns0:c>
      <ns0:c xmlns:ns0="http://schemas.openxmlformats.org/spreadsheetml/2006/main" r="AB96" s="11">
        <ns0:v>1000</ns0:v>
      </ns0:c>
      <ns0:c xmlns:ns0="http://schemas.openxmlformats.org/spreadsheetml/2006/main" r="AC96" s="11">
        <ns0:v>1</ns0:v>
      </ns0:c>
      <ns0:c xmlns:ns0="http://schemas.openxmlformats.org/spreadsheetml/2006/main" r="AD96" s="11">
        <ns0:v>20</ns0:v>
      </ns0:c>
      <ns0:c xmlns:ns0="http://schemas.openxmlformats.org/spreadsheetml/2006/main" r="AE96" s="11">
        <ns0:v>500</ns0:v>
      </ns0:c>
      <ns0:c xmlns:ns0="http://schemas.openxmlformats.org/spreadsheetml/2006/main" r="AF96" s="11">
        <ns0:v>2777777777.77778</ns0:v>
      </ns0:c>
      <ns0:c xmlns:ns0="http://schemas.openxmlformats.org/spreadsheetml/2006/main" r="AG96" s="11">
        <ns0:v>25</ns0:v>
      </ns0:c>
      <ns0:c xmlns:ns0="http://schemas.openxmlformats.org/spreadsheetml/2006/main" r="AH96" s="11">
        <ns0:v>60</ns0:v>
      </ns0:c>
      <ns0:c xmlns:ns0="http://schemas.openxmlformats.org/spreadsheetml/2006/main" r="AI96" s="11">
        <ns0:v>22.1048532072077</ns0:v>
      </ns0:c>
      <ns0:c xmlns:ns0="http://schemas.openxmlformats.org/spreadsheetml/2006/main" r="AJ96" s="11" t="inlineStr">
        <ns0:is>
          <ns0:t>MY_LIB_C_RC</ns0:t>
        </ns0:is>
      </ns0:c>
      <ns0:c xmlns:ns0="http://schemas.openxmlformats.org/spreadsheetml/2006/main" r="AK96" s="11" t="inlineStr">
        <ns0:is>
          <ns0:t>Nominal C; DFmax at 1kHz; minimum insulation; no temperature/bias/ESL</ns0:t>
        </ns0:is>
      </ns0:c>
      <ns0:c xmlns:ns0="http://schemas.openxmlformats.org/spreadsheetml/2006/main" r="AL96" s="11" t="inlineStr">
        <ns0:is>
          <ns0:t>General</ns0:t>
        </ns0:is>
      </ns0:c>
      <ns0:c xmlns:ns0="http://schemas.openxmlformats.org/spreadsheetml/2006/main" r="AM96" s="11" t="inlineStr">
        <ns0:is>
          <ns0:t>Spice Subcircuit</ns0:t>
        </ns0:is>
      </ns0:c>
      <ns0:c xmlns:ns0="http://schemas.openxmlformats.org/spreadsheetml/2006/main" r="AN96" s="11" t="inlineStr">
        <ns0:is>
          <ns0:t>@DESIGNATOR %1 %2 @MODEL PARAMS: Cvalue=1.8e-07 Rsvalue=22.1048532072077 Rinsvalue=2777777777.77778</ns0:t>
        </ns0:is>
      </ns0:c>
      <ns0:c xmlns:ns0="http://schemas.openxmlformats.org/spreadsheetml/2006/main" r="AO96" s="11" t="inlineStr">
        <ns0:is>
          <ns0:t>X</ns0:t>
        </ns0:is>
      </ns0:c>
      <ns0:c xmlns:ns0="http://schemas.openxmlformats.org/spreadsheetml/2006/main" r="AP96" s="11" t="inlineStr">
        <ns0:is>
          <ns0:t>(1:1),(2:2)</ns0:t>
        </ns0:is>
      </ns0:c>
      <ns0:c xmlns:ns0="http://schemas.openxmlformats.org/spreadsheetml/2006/main" r="AQ96" s="11" t="inlineStr">
        <ns0:is>
          <ns0:t>Simulation\Capacitors\MY_LIB_C_RC.ckt</ns0:t>
        </ns0:is>
      </ns0:c>
    </ns0:row>
    <ns0:row r="97" ht="30" customHeight="1">
      <ns0:c r="A97" t="str" s="14">
        <ns0:v>C0098</ns0:v>
      </ns0:c>
      <ns0:c r="B97" t="str" s="14">
        <ns0:v>Конденсатор</ns0:v>
      </ns0:c>
      <ns0:c r="C97" t="str" s="14">
        <ns0:v>220n</ns0:v>
      </ns0:c>
      <ns0:c r="D97" t="str" s="11">
        <ns0:f>SUBSTITUTE(SUBSTITUTE(SUBSTITUTE(SUBSTITUTE(C97,"p"," пФ"),"n"," нФ"),"u"," мкФ"),".",",")</ns0:f>
        <ns0:v>220 нФ</ns0:v>
      </ns0:c>
      <ns0:c r="E97" t="str" s="14">
        <ns0:v>±10%</ns0:v>
      </ns0:c>
      <ns0:c r="F97" s="14"/>
      <ns0:c r="G97" t="str" s="14">
        <ns0:v>100 В</ns0:v>
      </ns0:c>
      <ns0:c r="H97" t="str" s="14">
        <ns0:v>X7R</ns0:v>
      </ns0:c>
      <ns0:c r="I97" t="str" s="15">
        <ns0:v>0805</ns0:v>
      </ns0:c>
      <ns0:c r="J97" t="str" s="14">
        <ns0:v>YAGEO</ns0:v>
      </ns0:c>
      <ns0:c r="K97" t="str" s="14">
        <ns0:v>CC0805KKX7R0BB224</ns0:v>
      </ns0:c>
      <ns0:c r="L97" t="str" s="11">
        <ns0:f>B97&amp;" "&amp;D97&amp;" "&amp;E97&amp;" "&amp;G97&amp;" "&amp;H97&amp;" "&amp;I97</ns0:f>
        <ns0:v>Конденсатор 220 нФ ±10% 100 В X7R 0805</ns0:v>
      </ns0:c>
      <ns0:c r="M97" t="str" s="13">
        <ns0:v>C</ns0:v>
      </ns0:c>
      <ns0:c r="N97" t="str" s="13">
        <ns0:v>Symbols\MY_LIB_Capacitors.SchLib</ns0:v>
      </ns0:c>
      <ns0:c r="O97" t="str" s="13">
        <ns0:v>CAPC2012X135N</ns0:v>
      </ns0:c>
      <ns0:c r="P97" t="str" s="13">
        <ns0:v>Footprints\PBL - SMD Packages.PcbLib</ns0:v>
      </ns0:c>
      <ns0:c r="Q97" t="str" s="14">
        <ns0:v>YAGEO CC; список 20.10.2026</ns0:v>
      </ns0:c>
      <ns0:c r="R97" t="str" s="11">
        <ns0:f>D97</ns0:f>
        <ns0:v>220 нФ</ns0:v>
      </ns0:c>
      <ns0:c r="S97" t="str" s="11">
        <ns0:f>L97</ns0:f>
        <ns0:v>Конденсатор 220 нФ ±10% 100 В X7R 0805</ns0:v>
      </ns0:c>
      <x:c xmlns:x="http://schemas.openxmlformats.org/spreadsheetml/2006/main" r="T97" t="str" s="11">
        <x:v>C:\Users\Nomatin\Documents\Altium\MY_LIB\MY_LIB\Datasheets\YAGEO_CC_X7R.pdf</x:v>
      </x:c>
      <x:c xmlns:x="http://schemas.openxmlformats.org/spreadsheetml/2006/main" r="U97" t="str" s="11">
        <x:v>Даташит — локальный</x:v>
      </x:c>
      <x:c xmlns:x="http://schemas.openxmlformats.org/spreadsheetml/2006/main" r="V97" t="str" s="11">
        <x:v>C:\Users\Nomatin\Documents\Altium\MY_LIB\MY_LIB\Datasheets\YAGEO_CC_X7R.pdf</x:v>
      </x:c>
      <x:c xmlns:x="http://schemas.openxmlformats.org/spreadsheetml/2006/main" r="W97" t="str" s="11">
        <x:v>Даташит — производитель</x:v>
      </x:c>
      <x:c xmlns:x="http://schemas.openxmlformats.org/spreadsheetml/2006/main" r="X97" t="str" s="11">
        <x:v>https://yageogroup.com/content/datasheet/asset/file/UPY-GPHC_X7R_6_3V-TO-250V</x:v>
      </x:c>
      <x:c xmlns:x="http://schemas.openxmlformats.org/spreadsheetml/2006/main" r="Y97" t="str" s="11">
        <x:v>C:\Users\Nomatin\Documents\Altium\MY_LIB\MY_LIB\Datasheets\YAGEO_CC_X7R.pdf</x:v>
      </x:c>
      <ns0:c xmlns:ns0="http://schemas.openxmlformats.org/spreadsheetml/2006/main" r="Z97" s="11">
        <ns0:v>2.2e-07</ns0:v>
      </ns0:c>
      <ns0:c xmlns:ns0="http://schemas.openxmlformats.org/spreadsheetml/2006/main" r="AA97" s="11">
        <ns0:v>0.025</ns0:v>
      </ns0:c>
      <ns0:c xmlns:ns0="http://schemas.openxmlformats.org/spreadsheetml/2006/main" r="AB97" s="11">
        <ns0:v>1000</ns0:v>
      </ns0:c>
      <ns0:c xmlns:ns0="http://schemas.openxmlformats.org/spreadsheetml/2006/main" r="AC97" s="11">
        <ns0:v>1</ns0:v>
      </ns0:c>
      <ns0:c xmlns:ns0="http://schemas.openxmlformats.org/spreadsheetml/2006/main" r="AD97" s="11">
        <ns0:v>20</ns0:v>
      </ns0:c>
      <ns0:c xmlns:ns0="http://schemas.openxmlformats.org/spreadsheetml/2006/main" r="AE97" s="11">
        <ns0:v>500</ns0:v>
      </ns0:c>
      <ns0:c xmlns:ns0="http://schemas.openxmlformats.org/spreadsheetml/2006/main" r="AF97" s="11">
        <ns0:v>2272727272.72727</ns0:v>
      </ns0:c>
      <ns0:c xmlns:ns0="http://schemas.openxmlformats.org/spreadsheetml/2006/main" r="AG97" s="11">
        <ns0:v>100</ns0:v>
      </ns0:c>
      <ns0:c xmlns:ns0="http://schemas.openxmlformats.org/spreadsheetml/2006/main" r="AH97" s="11">
        <ns0:v>60</ns0:v>
      </ns0:c>
      <ns0:c xmlns:ns0="http://schemas.openxmlformats.org/spreadsheetml/2006/main" r="AI97" s="11">
        <ns0:v>18.0857889877154</ns0:v>
      </ns0:c>
      <ns0:c xmlns:ns0="http://schemas.openxmlformats.org/spreadsheetml/2006/main" r="AJ97" s="11" t="inlineStr">
        <ns0:is>
          <ns0:t>MY_LIB_C_RC</ns0:t>
        </ns0:is>
      </ns0:c>
      <ns0:c xmlns:ns0="http://schemas.openxmlformats.org/spreadsheetml/2006/main" r="AK97" s="11" t="inlineStr">
        <ns0:is>
          <ns0:t>Nominal C; DFmax at 1kHz; minimum insulation; no temperature/bias/ESL</ns0:t>
        </ns0:is>
      </ns0:c>
      <ns0:c xmlns:ns0="http://schemas.openxmlformats.org/spreadsheetml/2006/main" r="AL97" s="11" t="inlineStr">
        <ns0:is>
          <ns0:t>General</ns0:t>
        </ns0:is>
      </ns0:c>
      <ns0:c xmlns:ns0="http://schemas.openxmlformats.org/spreadsheetml/2006/main" r="AM97" s="11" t="inlineStr">
        <ns0:is>
          <ns0:t>Spice Subcircuit</ns0:t>
        </ns0:is>
      </ns0:c>
      <ns0:c xmlns:ns0="http://schemas.openxmlformats.org/spreadsheetml/2006/main" r="AN97" s="11" t="inlineStr">
        <ns0:is>
          <ns0:t>@DESIGNATOR %1 %2 @MODEL PARAMS: Cvalue=2.2e-07 Rsvalue=18.0857889877154 Rinsvalue=2272727272.72727</ns0:t>
        </ns0:is>
      </ns0:c>
      <ns0:c xmlns:ns0="http://schemas.openxmlformats.org/spreadsheetml/2006/main" r="AO97" s="11" t="inlineStr">
        <ns0:is>
          <ns0:t>X</ns0:t>
        </ns0:is>
      </ns0:c>
      <ns0:c xmlns:ns0="http://schemas.openxmlformats.org/spreadsheetml/2006/main" r="AP97" s="11" t="inlineStr">
        <ns0:is>
          <ns0:t>(1:1),(2:2)</ns0:t>
        </ns0:is>
      </ns0:c>
      <ns0:c xmlns:ns0="http://schemas.openxmlformats.org/spreadsheetml/2006/main" r="AQ97" s="11" t="inlineStr">
        <ns0:is>
          <ns0:t>Simulation\Capacitors\MY_LIB_C_RC.ckt</ns0:t>
        </ns0:is>
      </ns0:c>
    </ns0:row>
    <ns0:row r="98" ht="30" customHeight="1">
      <ns0:c r="A98" t="str" s="14">
        <ns0:v>C0099</ns0:v>
      </ns0:c>
      <ns0:c r="B98" t="str" s="14">
        <ns0:v>Конденсатор</ns0:v>
      </ns0:c>
      <ns0:c r="C98" t="str" s="14">
        <ns0:v>270n</ns0:v>
      </ns0:c>
      <ns0:c r="D98" t="str" s="11">
        <ns0:f>SUBSTITUTE(SUBSTITUTE(SUBSTITUTE(SUBSTITUTE(C98,"p"," пФ"),"n"," нФ"),"u"," мкФ"),".",",")</ns0:f>
        <ns0:v>270 нФ</ns0:v>
      </ns0:c>
      <ns0:c r="E98" t="str" s="14">
        <ns0:v>±10%</ns0:v>
      </ns0:c>
      <ns0:c r="F98" s="14"/>
      <ns0:c r="G98" t="str" s="14">
        <ns0:v>50 В</ns0:v>
      </ns0:c>
      <ns0:c r="H98" t="str" s="14">
        <ns0:v>X7R</ns0:v>
      </ns0:c>
      <ns0:c r="I98" t="str" s="15">
        <ns0:v>0805</ns0:v>
      </ns0:c>
      <ns0:c r="J98" t="str" s="14">
        <ns0:v>YAGEO</ns0:v>
      </ns0:c>
      <ns0:c r="K98" t="str" s="14">
        <ns0:v>CC0805KKX7R9BB274</ns0:v>
      </ns0:c>
      <ns0:c r="L98" t="str" s="11">
        <ns0:f>B98&amp;" "&amp;D98&amp;" "&amp;E98&amp;" "&amp;G98&amp;" "&amp;H98&amp;" "&amp;I98</ns0:f>
        <ns0:v>Конденсатор 270 нФ ±10% 50 В X7R 0805</ns0:v>
      </ns0:c>
      <ns0:c r="M98" t="str" s="13">
        <ns0:v>C</ns0:v>
      </ns0:c>
      <ns0:c r="N98" t="str" s="13">
        <ns0:v>Symbols\MY_LIB_Capacitors.SchLib</ns0:v>
      </ns0:c>
      <ns0:c r="O98" t="str" s="13">
        <ns0:v>CAPC2012X135N</ns0:v>
      </ns0:c>
      <ns0:c r="P98" t="str" s="13">
        <ns0:v>Footprints\PBL - SMD Packages.PcbLib</ns0:v>
      </ns0:c>
      <ns0:c r="Q98" t="str" s="14">
        <ns0:v>YAGEO CC; список 20.10.2026</ns0:v>
      </ns0:c>
      <ns0:c r="R98" t="str" s="11">
        <ns0:f>D98</ns0:f>
        <ns0:v>270 нФ</ns0:v>
      </ns0:c>
      <ns0:c r="S98" t="str" s="11">
        <ns0:f>L98</ns0:f>
        <ns0:v>Конденсатор 270 нФ ±10% 50 В X7R 0805</ns0:v>
      </ns0:c>
      <x:c xmlns:x="http://schemas.openxmlformats.org/spreadsheetml/2006/main" r="T98" t="str" s="11">
        <x:v>C:\Users\Nomatin\Documents\Altium\MY_LIB\MY_LIB\Datasheets\YAGEO_CC_X7R.pdf</x:v>
      </x:c>
      <x:c xmlns:x="http://schemas.openxmlformats.org/spreadsheetml/2006/main" r="U98" t="str" s="11">
        <x:v>Даташит — локальный</x:v>
      </x:c>
      <x:c xmlns:x="http://schemas.openxmlformats.org/spreadsheetml/2006/main" r="V98" t="str" s="11">
        <x:v>C:\Users\Nomatin\Documents\Altium\MY_LIB\MY_LIB\Datasheets\YAGEO_CC_X7R.pdf</x:v>
      </x:c>
      <x:c xmlns:x="http://schemas.openxmlformats.org/spreadsheetml/2006/main" r="W98" t="str" s="11">
        <x:v>Даташит — производитель</x:v>
      </x:c>
      <x:c xmlns:x="http://schemas.openxmlformats.org/spreadsheetml/2006/main" r="X98" t="str" s="11">
        <x:v>https://yageogroup.com/content/datasheet/asset/file/UPY-GPHC_X7R_6_3V-TO-250V</x:v>
      </x:c>
      <x:c xmlns:x="http://schemas.openxmlformats.org/spreadsheetml/2006/main" r="Y98" t="str" s="11">
        <x:v>C:\Users\Nomatin\Documents\Altium\MY_LIB\MY_LIB\Datasheets\YAGEO_CC_X7R.pdf</x:v>
      </x:c>
      <ns0:c xmlns:ns0="http://schemas.openxmlformats.org/spreadsheetml/2006/main" r="Z98" s="11">
        <ns0:v>2.7e-07</ns0:v>
      </ns0:c>
      <ns0:c xmlns:ns0="http://schemas.openxmlformats.org/spreadsheetml/2006/main" r="AA98" s="11">
        <ns0:v>0.035</ns0:v>
      </ns0:c>
      <ns0:c xmlns:ns0="http://schemas.openxmlformats.org/spreadsheetml/2006/main" r="AB98" s="11">
        <ns0:v>1000</ns0:v>
      </ns0:c>
      <ns0:c xmlns:ns0="http://schemas.openxmlformats.org/spreadsheetml/2006/main" r="AC98" s="11">
        <ns0:v>1</ns0:v>
      </ns0:c>
      <ns0:c xmlns:ns0="http://schemas.openxmlformats.org/spreadsheetml/2006/main" r="AD98" s="11">
        <ns0:v>20</ns0:v>
      </ns0:c>
      <ns0:c xmlns:ns0="http://schemas.openxmlformats.org/spreadsheetml/2006/main" r="AE98" s="11">
        <ns0:v>500</ns0:v>
      </ns0:c>
      <ns0:c xmlns:ns0="http://schemas.openxmlformats.org/spreadsheetml/2006/main" r="AF98" s="11">
        <ns0:v>1851851851.85185</ns0:v>
      </ns0:c>
      <ns0:c xmlns:ns0="http://schemas.openxmlformats.org/spreadsheetml/2006/main" r="AG98" s="11">
        <ns0:v>50</ns0:v>
      </ns0:c>
      <ns0:c xmlns:ns0="http://schemas.openxmlformats.org/spreadsheetml/2006/main" r="AH98" s="11">
        <ns0:v>60</ns0:v>
      </ns0:c>
      <ns0:c xmlns:ns0="http://schemas.openxmlformats.org/spreadsheetml/2006/main" r="AI98" s="11">
        <ns0:v>20.6311963267272</ns0:v>
      </ns0:c>
      <ns0:c xmlns:ns0="http://schemas.openxmlformats.org/spreadsheetml/2006/main" r="AJ98" s="11" t="inlineStr">
        <ns0:is>
          <ns0:t>MY_LIB_C_RC</ns0:t>
        </ns0:is>
      </ns0:c>
      <ns0:c xmlns:ns0="http://schemas.openxmlformats.org/spreadsheetml/2006/main" r="AK98" s="11" t="inlineStr">
        <ns0:is>
          <ns0:t>Nominal C; DFmax at 1kHz; minimum insulation; no temperature/bias/ESL</ns0:t>
        </ns0:is>
      </ns0:c>
      <ns0:c xmlns:ns0="http://schemas.openxmlformats.org/spreadsheetml/2006/main" r="AL98" s="11" t="inlineStr">
        <ns0:is>
          <ns0:t>General</ns0:t>
        </ns0:is>
      </ns0:c>
      <ns0:c xmlns:ns0="http://schemas.openxmlformats.org/spreadsheetml/2006/main" r="AM98" s="11" t="inlineStr">
        <ns0:is>
          <ns0:t>Spice Subcircuit</ns0:t>
        </ns0:is>
      </ns0:c>
      <ns0:c xmlns:ns0="http://schemas.openxmlformats.org/spreadsheetml/2006/main" r="AN98" s="11" t="inlineStr">
        <ns0:is>
          <ns0:t>@DESIGNATOR %1 %2 @MODEL PARAMS: Cvalue=2.7e-07 Rsvalue=20.6311963267272 Rinsvalue=1851851851.85185</ns0:t>
        </ns0:is>
      </ns0:c>
      <ns0:c xmlns:ns0="http://schemas.openxmlformats.org/spreadsheetml/2006/main" r="AO98" s="11" t="inlineStr">
        <ns0:is>
          <ns0:t>X</ns0:t>
        </ns0:is>
      </ns0:c>
      <ns0:c xmlns:ns0="http://schemas.openxmlformats.org/spreadsheetml/2006/main" r="AP98" s="11" t="inlineStr">
        <ns0:is>
          <ns0:t>(1:1),(2:2)</ns0:t>
        </ns0:is>
      </ns0:c>
      <ns0:c xmlns:ns0="http://schemas.openxmlformats.org/spreadsheetml/2006/main" r="AQ98" s="11" t="inlineStr">
        <ns0:is>
          <ns0:t>Simulation\Capacitors\MY_LIB_C_RC.ckt</ns0:t>
        </ns0:is>
      </ns0:c>
    </ns0:row>
    <ns0:row r="99" ht="30" customHeight="1">
      <ns0:c r="A99" t="str" s="14">
        <ns0:v>C0100</ns0:v>
      </ns0:c>
      <ns0:c r="B99" t="str" s="14">
        <ns0:v>Конденсатор</ns0:v>
      </ns0:c>
      <ns0:c r="C99" t="str" s="14">
        <ns0:v>330n</ns0:v>
      </ns0:c>
      <ns0:c r="D99" t="str" s="11">
        <ns0:f>SUBSTITUTE(SUBSTITUTE(SUBSTITUTE(SUBSTITUTE(C99,"p"," пФ"),"n"," нФ"),"u"," мкФ"),".",",")</ns0:f>
        <ns0:v>330 нФ</ns0:v>
      </ns0:c>
      <ns0:c r="E99" t="str" s="14">
        <ns0:v>±10%</ns0:v>
      </ns0:c>
      <ns0:c r="F99" s="14"/>
      <ns0:c r="G99" t="str" s="14">
        <ns0:v>100 В</ns0:v>
      </ns0:c>
      <ns0:c r="H99" t="str" s="14">
        <ns0:v>X7R</ns0:v>
      </ns0:c>
      <ns0:c r="I99" t="str" s="15">
        <ns0:v>0805</ns0:v>
      </ns0:c>
      <ns0:c r="J99" t="str" s="14">
        <ns0:v>YAGEO</ns0:v>
      </ns0:c>
      <ns0:c r="K99" t="str" s="14">
        <ns0:v>CC0805KKX7R0BB334</ns0:v>
      </ns0:c>
      <ns0:c r="L99" t="str" s="11">
        <ns0:f>B99&amp;" "&amp;D99&amp;" "&amp;E99&amp;" "&amp;G99&amp;" "&amp;H99&amp;" "&amp;I99</ns0:f>
        <ns0:v>Конденсатор 330 нФ ±10% 100 В X7R 0805</ns0:v>
      </ns0:c>
      <ns0:c r="M99" t="str" s="13">
        <ns0:v>C</ns0:v>
      </ns0:c>
      <ns0:c r="N99" t="str" s="13">
        <ns0:v>Symbols\MY_LIB_Capacitors.SchLib</ns0:v>
      </ns0:c>
      <ns0:c r="O99" t="str" s="13">
        <ns0:v>CAPC2012X135N</ns0:v>
      </ns0:c>
      <ns0:c r="P99" t="str" s="13">
        <ns0:v>Footprints\PBL - SMD Packages.PcbLib</ns0:v>
      </ns0:c>
      <ns0:c r="Q99" t="str" s="14">
        <ns0:v>YAGEO CC; список 20.10.2026</ns0:v>
      </ns0:c>
      <ns0:c r="R99" t="str" s="11">
        <ns0:f>D99</ns0:f>
        <ns0:v>330 нФ</ns0:v>
      </ns0:c>
      <ns0:c r="S99" t="str" s="11">
        <ns0:f>L99</ns0:f>
        <ns0:v>Конденсатор 330 нФ ±10% 100 В X7R 0805</ns0:v>
      </ns0:c>
      <x:c xmlns:x="http://schemas.openxmlformats.org/spreadsheetml/2006/main" r="T99" t="str" s="11">
        <x:v>C:\Users\Nomatin\Documents\Altium\MY_LIB\MY_LIB\Datasheets\YAGEO_CC_X7R.pdf</x:v>
      </x:c>
      <x:c xmlns:x="http://schemas.openxmlformats.org/spreadsheetml/2006/main" r="U99" t="str" s="11">
        <x:v>Даташит — локальный</x:v>
      </x:c>
      <x:c xmlns:x="http://schemas.openxmlformats.org/spreadsheetml/2006/main" r="V99" t="str" s="11">
        <x:v>C:\Users\Nomatin\Documents\Altium\MY_LIB\MY_LIB\Datasheets\YAGEO_CC_X7R.pdf</x:v>
      </x:c>
      <x:c xmlns:x="http://schemas.openxmlformats.org/spreadsheetml/2006/main" r="W99" t="str" s="11">
        <x:v>Даташит — производитель</x:v>
      </x:c>
      <x:c xmlns:x="http://schemas.openxmlformats.org/spreadsheetml/2006/main" r="X99" t="str" s="11">
        <x:v>https://yageogroup.com/content/datasheet/asset/file/UPY-GPHC_X7R_6_3V-TO-250V</x:v>
      </x:c>
      <x:c xmlns:x="http://schemas.openxmlformats.org/spreadsheetml/2006/main" r="Y99" t="str" s="11">
        <x:v>C:\Users\Nomatin\Documents\Altium\MY_LIB\MY_LIB\Datasheets\YAGEO_CC_X7R.pdf</x:v>
      </x:c>
      <ns0:c xmlns:ns0="http://schemas.openxmlformats.org/spreadsheetml/2006/main" r="Z99" s="11">
        <ns0:v>3.3e-07</ns0:v>
      </ns0:c>
      <ns0:c xmlns:ns0="http://schemas.openxmlformats.org/spreadsheetml/2006/main" r="AA99" s="11">
        <ns0:v>0.025</ns0:v>
      </ns0:c>
      <ns0:c xmlns:ns0="http://schemas.openxmlformats.org/spreadsheetml/2006/main" r="AB99" s="11">
        <ns0:v>1000</ns0:v>
      </ns0:c>
      <ns0:c xmlns:ns0="http://schemas.openxmlformats.org/spreadsheetml/2006/main" r="AC99" s="11">
        <ns0:v>1</ns0:v>
      </ns0:c>
      <ns0:c xmlns:ns0="http://schemas.openxmlformats.org/spreadsheetml/2006/main" r="AD99" s="11">
        <ns0:v>20</ns0:v>
      </ns0:c>
      <ns0:c xmlns:ns0="http://schemas.openxmlformats.org/spreadsheetml/2006/main" r="AE99" s="11">
        <ns0:v>500</ns0:v>
      </ns0:c>
      <ns0:c xmlns:ns0="http://schemas.openxmlformats.org/spreadsheetml/2006/main" r="AF99" s="11">
        <ns0:v>1515151515.15152</ns0:v>
      </ns0:c>
      <ns0:c xmlns:ns0="http://schemas.openxmlformats.org/spreadsheetml/2006/main" r="AG99" s="11">
        <ns0:v>100</ns0:v>
      </ns0:c>
      <ns0:c xmlns:ns0="http://schemas.openxmlformats.org/spreadsheetml/2006/main" r="AH99" s="11">
        <ns0:v>60</ns0:v>
      </ns0:c>
      <ns0:c xmlns:ns0="http://schemas.openxmlformats.org/spreadsheetml/2006/main" r="AI99" s="11">
        <ns0:v>12.0571926584769</ns0:v>
      </ns0:c>
      <ns0:c xmlns:ns0="http://schemas.openxmlformats.org/spreadsheetml/2006/main" r="AJ99" s="11" t="inlineStr">
        <ns0:is>
          <ns0:t>MY_LIB_C_RC</ns0:t>
        </ns0:is>
      </ns0:c>
      <ns0:c xmlns:ns0="http://schemas.openxmlformats.org/spreadsheetml/2006/main" r="AK99" s="11" t="inlineStr">
        <ns0:is>
          <ns0:t>Nominal C; DFmax at 1kHz; minimum insulation; no temperature/bias/ESL</ns0:t>
        </ns0:is>
      </ns0:c>
      <ns0:c xmlns:ns0="http://schemas.openxmlformats.org/spreadsheetml/2006/main" r="AL99" s="11" t="inlineStr">
        <ns0:is>
          <ns0:t>General</ns0:t>
        </ns0:is>
      </ns0:c>
      <ns0:c xmlns:ns0="http://schemas.openxmlformats.org/spreadsheetml/2006/main" r="AM99" s="11" t="inlineStr">
        <ns0:is>
          <ns0:t>Spice Subcircuit</ns0:t>
        </ns0:is>
      </ns0:c>
      <ns0:c xmlns:ns0="http://schemas.openxmlformats.org/spreadsheetml/2006/main" r="AN99" s="11" t="inlineStr">
        <ns0:is>
          <ns0:t>@DESIGNATOR %1 %2 @MODEL PARAMS: Cvalue=3.3e-07 Rsvalue=12.0571926584769 Rinsvalue=1515151515.15152</ns0:t>
        </ns0:is>
      </ns0:c>
      <ns0:c xmlns:ns0="http://schemas.openxmlformats.org/spreadsheetml/2006/main" r="AO99" s="11" t="inlineStr">
        <ns0:is>
          <ns0:t>X</ns0:t>
        </ns0:is>
      </ns0:c>
      <ns0:c xmlns:ns0="http://schemas.openxmlformats.org/spreadsheetml/2006/main" r="AP99" s="11" t="inlineStr">
        <ns0:is>
          <ns0:t>(1:1),(2:2)</ns0:t>
        </ns0:is>
      </ns0:c>
      <ns0:c xmlns:ns0="http://schemas.openxmlformats.org/spreadsheetml/2006/main" r="AQ99" s="11" t="inlineStr">
        <ns0:is>
          <ns0:t>Simulation\Capacitors\MY_LIB_C_RC.ckt</ns0:t>
        </ns0:is>
      </ns0:c>
    </ns0:row>
    <ns0:row r="100" ht="30" customHeight="1">
      <ns0:c r="A100" t="str" s="14">
        <ns0:v>C0101</ns0:v>
      </ns0:c>
      <ns0:c r="B100" t="str" s="14">
        <ns0:v>Конденсатор</ns0:v>
      </ns0:c>
      <ns0:c r="C100" t="str" s="14">
        <ns0:v>390n</ns0:v>
      </ns0:c>
      <ns0:c r="D100" t="str" s="11">
        <ns0:f>SUBSTITUTE(SUBSTITUTE(SUBSTITUTE(SUBSTITUTE(C100,"p"," пФ"),"n"," нФ"),"u"," мкФ"),".",",")</ns0:f>
        <ns0:v>390 нФ</ns0:v>
      </ns0:c>
      <ns0:c r="E100" t="str" s="14">
        <ns0:v>±10%</ns0:v>
      </ns0:c>
      <ns0:c r="F100" s="14"/>
      <ns0:c r="G100" t="str" s="14">
        <ns0:v>50 В</ns0:v>
      </ns0:c>
      <ns0:c r="H100" t="str" s="14">
        <ns0:v>X7R</ns0:v>
      </ns0:c>
      <ns0:c r="I100" t="str" s="15">
        <ns0:v>0805</ns0:v>
      </ns0:c>
      <ns0:c r="J100" t="str" s="14">
        <ns0:v>YAGEO</ns0:v>
      </ns0:c>
      <ns0:c r="K100" t="str" s="14">
        <ns0:v>CC0805KKX7R9BB394</ns0:v>
      </ns0:c>
      <ns0:c r="L100" t="str" s="11">
        <ns0:f>B100&amp;" "&amp;D100&amp;" "&amp;E100&amp;" "&amp;G100&amp;" "&amp;H100&amp;" "&amp;I100</ns0:f>
        <ns0:v>Конденсатор 390 нФ ±10% 50 В X7R 0805</ns0:v>
      </ns0:c>
      <ns0:c r="M100" t="str" s="13">
        <ns0:v>C</ns0:v>
      </ns0:c>
      <ns0:c r="N100" t="str" s="13">
        <ns0:v>Symbols\MY_LIB_Capacitors.SchLib</ns0:v>
      </ns0:c>
      <ns0:c r="O100" t="str" s="13">
        <ns0:v>CAPC2012X135N</ns0:v>
      </ns0:c>
      <ns0:c r="P100" t="str" s="13">
        <ns0:v>Footprints\PBL - SMD Packages.PcbLib</ns0:v>
      </ns0:c>
      <ns0:c r="Q100" t="str" s="14">
        <ns0:v>YAGEO CC; список 20.10.2026</ns0:v>
      </ns0:c>
      <ns0:c r="R100" t="str" s="11">
        <ns0:f>D100</ns0:f>
        <ns0:v>390 нФ</ns0:v>
      </ns0:c>
      <ns0:c r="S100" t="str" s="11">
        <ns0:f>L100</ns0:f>
        <ns0:v>Конденсатор 390 нФ ±10% 50 В X7R 0805</ns0:v>
      </ns0:c>
      <x:c xmlns:x="http://schemas.openxmlformats.org/spreadsheetml/2006/main" r="T100" t="str" s="11">
        <x:v>C:\Users\Nomatin\Documents\Altium\MY_LIB\MY_LIB\Datasheets\YAGEO_CC_X7R.pdf</x:v>
      </x:c>
      <x:c xmlns:x="http://schemas.openxmlformats.org/spreadsheetml/2006/main" r="U100" t="str" s="11">
        <x:v>Даташит — локальный</x:v>
      </x:c>
      <x:c xmlns:x="http://schemas.openxmlformats.org/spreadsheetml/2006/main" r="V100" t="str" s="11">
        <x:v>C:\Users\Nomatin\Documents\Altium\MY_LIB\MY_LIB\Datasheets\YAGEO_CC_X7R.pdf</x:v>
      </x:c>
      <x:c xmlns:x="http://schemas.openxmlformats.org/spreadsheetml/2006/main" r="W100" t="str" s="11">
        <x:v>Даташит — производитель</x:v>
      </x:c>
      <x:c xmlns:x="http://schemas.openxmlformats.org/spreadsheetml/2006/main" r="X100" t="str" s="11">
        <x:v>https://yageogroup.com/content/datasheet/asset/file/UPY-GPHC_X7R_6_3V-TO-250V</x:v>
      </x:c>
      <x:c xmlns:x="http://schemas.openxmlformats.org/spreadsheetml/2006/main" r="Y100" t="str" s="11">
        <x:v>C:\Users\Nomatin\Documents\Altium\MY_LIB\MY_LIB\Datasheets\YAGEO_CC_X7R.pdf</x:v>
      </x:c>
      <ns0:c xmlns:ns0="http://schemas.openxmlformats.org/spreadsheetml/2006/main" r="Z100" s="11">
        <ns0:v>3.9e-07</ns0:v>
      </ns0:c>
      <ns0:c xmlns:ns0="http://schemas.openxmlformats.org/spreadsheetml/2006/main" r="AA100" s="11">
        <ns0:v>0.035</ns0:v>
      </ns0:c>
      <ns0:c xmlns:ns0="http://schemas.openxmlformats.org/spreadsheetml/2006/main" r="AB100" s="11">
        <ns0:v>1000</ns0:v>
      </ns0:c>
      <ns0:c xmlns:ns0="http://schemas.openxmlformats.org/spreadsheetml/2006/main" r="AC100" s="11">
        <ns0:v>1</ns0:v>
      </ns0:c>
      <ns0:c xmlns:ns0="http://schemas.openxmlformats.org/spreadsheetml/2006/main" r="AD100" s="11">
        <ns0:v>20</ns0:v>
      </ns0:c>
      <ns0:c xmlns:ns0="http://schemas.openxmlformats.org/spreadsheetml/2006/main" r="AE100" s="11">
        <ns0:v>500</ns0:v>
      </ns0:c>
      <ns0:c xmlns:ns0="http://schemas.openxmlformats.org/spreadsheetml/2006/main" r="AF100" s="11">
        <ns0:v>1282051282.05128</ns0:v>
      </ns0:c>
      <ns0:c xmlns:ns0="http://schemas.openxmlformats.org/spreadsheetml/2006/main" r="AG100" s="11">
        <ns0:v>50</ns0:v>
      </ns0:c>
      <ns0:c xmlns:ns0="http://schemas.openxmlformats.org/spreadsheetml/2006/main" r="AH100" s="11">
        <ns0:v>60</ns0:v>
      </ns0:c>
      <ns0:c xmlns:ns0="http://schemas.openxmlformats.org/spreadsheetml/2006/main" r="AI100" s="11">
        <ns0:v>14.2831359185034</ns0:v>
      </ns0:c>
      <ns0:c xmlns:ns0="http://schemas.openxmlformats.org/spreadsheetml/2006/main" r="AJ100" s="11" t="inlineStr">
        <ns0:is>
          <ns0:t>MY_LIB_C_RC</ns0:t>
        </ns0:is>
      </ns0:c>
      <ns0:c xmlns:ns0="http://schemas.openxmlformats.org/spreadsheetml/2006/main" r="AK100" s="11" t="inlineStr">
        <ns0:is>
          <ns0:t>Nominal C; DFmax at 1kHz; minimum insulation; no temperature/bias/ESL</ns0:t>
        </ns0:is>
      </ns0:c>
      <ns0:c xmlns:ns0="http://schemas.openxmlformats.org/spreadsheetml/2006/main" r="AL100" s="11" t="inlineStr">
        <ns0:is>
          <ns0:t>General</ns0:t>
        </ns0:is>
      </ns0:c>
      <ns0:c xmlns:ns0="http://schemas.openxmlformats.org/spreadsheetml/2006/main" r="AM100" s="11" t="inlineStr">
        <ns0:is>
          <ns0:t>Spice Subcircuit</ns0:t>
        </ns0:is>
      </ns0:c>
      <ns0:c xmlns:ns0="http://schemas.openxmlformats.org/spreadsheetml/2006/main" r="AN100" s="11" t="inlineStr">
        <ns0:is>
          <ns0:t>@DESIGNATOR %1 %2 @MODEL PARAMS: Cvalue=3.9e-07 Rsvalue=14.2831359185034 Rinsvalue=1282051282.05128</ns0:t>
        </ns0:is>
      </ns0:c>
      <ns0:c xmlns:ns0="http://schemas.openxmlformats.org/spreadsheetml/2006/main" r="AO100" s="11" t="inlineStr">
        <ns0:is>
          <ns0:t>X</ns0:t>
        </ns0:is>
      </ns0:c>
      <ns0:c xmlns:ns0="http://schemas.openxmlformats.org/spreadsheetml/2006/main" r="AP100" s="11" t="inlineStr">
        <ns0:is>
          <ns0:t>(1:1),(2:2)</ns0:t>
        </ns0:is>
      </ns0:c>
      <ns0:c xmlns:ns0="http://schemas.openxmlformats.org/spreadsheetml/2006/main" r="AQ100" s="11" t="inlineStr">
        <ns0:is>
          <ns0:t>Simulation\Capacitors\MY_LIB_C_RC.ckt</ns0:t>
        </ns0:is>
      </ns0:c>
    </ns0:row>
    <ns0:row r="101" ht="30" customHeight="1">
      <ns0:c r="A101" t="str" s="14">
        <ns0:v>C0102</ns0:v>
      </ns0:c>
      <ns0:c r="B101" t="str" s="14">
        <ns0:v>Конденсатор</ns0:v>
      </ns0:c>
      <ns0:c r="C101" t="str" s="14">
        <ns0:v>470n</ns0:v>
      </ns0:c>
      <ns0:c r="D101" t="str" s="11">
        <ns0:f>SUBSTITUTE(SUBSTITUTE(SUBSTITUTE(SUBSTITUTE(C101,"p"," пФ"),"n"," нФ"),"u"," мкФ"),".",",")</ns0:f>
        <ns0:v>470 нФ</ns0:v>
      </ns0:c>
      <ns0:c r="E101" t="str" s="14">
        <ns0:v>±10%</ns0:v>
      </ns0:c>
      <ns0:c r="F101" s="14"/>
      <ns0:c r="G101" t="str" s="14">
        <ns0:v>100 В</ns0:v>
      </ns0:c>
      <ns0:c r="H101" t="str" s="14">
        <ns0:v>X7R</ns0:v>
      </ns0:c>
      <ns0:c r="I101" t="str" s="15">
        <ns0:v>0805</ns0:v>
      </ns0:c>
      <ns0:c r="J101" t="str" s="14">
        <ns0:v>YAGEO</ns0:v>
      </ns0:c>
      <ns0:c r="K101" t="str" s="14">
        <ns0:v>CC0805KKX7R0BB474</ns0:v>
      </ns0:c>
      <ns0:c r="L101" t="str" s="11">
        <ns0:f>B101&amp;" "&amp;D101&amp;" "&amp;E101&amp;" "&amp;G101&amp;" "&amp;H101&amp;" "&amp;I101</ns0:f>
        <ns0:v>Конденсатор 470 нФ ±10% 100 В X7R 0805</ns0:v>
      </ns0:c>
      <ns0:c r="M101" t="str" s="13">
        <ns0:v>C</ns0:v>
      </ns0:c>
      <ns0:c r="N101" t="str" s="13">
        <ns0:v>Symbols\MY_LIB_Capacitors.SchLib</ns0:v>
      </ns0:c>
      <ns0:c r="O101" t="str" s="13">
        <ns0:v>CAPC2012X135N</ns0:v>
      </ns0:c>
      <ns0:c r="P101" t="str" s="13">
        <ns0:v>Footprints\PBL - SMD Packages.PcbLib</ns0:v>
      </ns0:c>
      <ns0:c r="Q101" t="str" s="14">
        <ns0:v>YAGEO CC; список 20.10.2026</ns0:v>
      </ns0:c>
      <ns0:c r="R101" t="str" s="11">
        <ns0:f>D101</ns0:f>
        <ns0:v>470 нФ</ns0:v>
      </ns0:c>
      <ns0:c r="S101" t="str" s="11">
        <ns0:f>L101</ns0:f>
        <ns0:v>Конденсатор 470 нФ ±10% 100 В X7R 0805</ns0:v>
      </ns0:c>
      <x:c xmlns:x="http://schemas.openxmlformats.org/spreadsheetml/2006/main" r="T101" t="str" s="11">
        <x:v>C:\Users\Nomatin\Documents\Altium\MY_LIB\MY_LIB\Datasheets\YAGEO_CC_X7R.pdf</x:v>
      </x:c>
      <x:c xmlns:x="http://schemas.openxmlformats.org/spreadsheetml/2006/main" r="U101" t="str" s="11">
        <x:v>Даташит — локальный</x:v>
      </x:c>
      <x:c xmlns:x="http://schemas.openxmlformats.org/spreadsheetml/2006/main" r="V101" t="str" s="11">
        <x:v>C:\Users\Nomatin\Documents\Altium\MY_LIB\MY_LIB\Datasheets\YAGEO_CC_X7R.pdf</x:v>
      </x:c>
      <x:c xmlns:x="http://schemas.openxmlformats.org/spreadsheetml/2006/main" r="W101" t="str" s="11">
        <x:v>Даташит — производитель</x:v>
      </x:c>
      <x:c xmlns:x="http://schemas.openxmlformats.org/spreadsheetml/2006/main" r="X101" t="str" s="11">
        <x:v>https://yageogroup.com/content/datasheet/asset/file/UPY-GPHC_X7R_6_3V-TO-250V</x:v>
      </x:c>
      <x:c xmlns:x="http://schemas.openxmlformats.org/spreadsheetml/2006/main" r="Y101" t="str" s="11">
        <x:v>C:\Users\Nomatin\Documents\Altium\MY_LIB\MY_LIB\Datasheets\YAGEO_CC_X7R.pdf</x:v>
      </x:c>
      <ns0:c xmlns:ns0="http://schemas.openxmlformats.org/spreadsheetml/2006/main" r="Z101" s="11">
        <ns0:v>4.7e-07</ns0:v>
      </ns0:c>
      <ns0:c xmlns:ns0="http://schemas.openxmlformats.org/spreadsheetml/2006/main" r="AA101" s="11">
        <ns0:v>0.025</ns0:v>
      </ns0:c>
      <ns0:c xmlns:ns0="http://schemas.openxmlformats.org/spreadsheetml/2006/main" r="AB101" s="11">
        <ns0:v>1000</ns0:v>
      </ns0:c>
      <ns0:c xmlns:ns0="http://schemas.openxmlformats.org/spreadsheetml/2006/main" r="AC101" s="11">
        <ns0:v>1</ns0:v>
      </ns0:c>
      <ns0:c xmlns:ns0="http://schemas.openxmlformats.org/spreadsheetml/2006/main" r="AD101" s="11">
        <ns0:v>20</ns0:v>
      </ns0:c>
      <ns0:c xmlns:ns0="http://schemas.openxmlformats.org/spreadsheetml/2006/main" r="AE101" s="11">
        <ns0:v>500</ns0:v>
      </ns0:c>
      <ns0:c xmlns:ns0="http://schemas.openxmlformats.org/spreadsheetml/2006/main" r="AF101" s="11">
        <ns0:v>1063829787.23404</ns0:v>
      </ns0:c>
      <ns0:c xmlns:ns0="http://schemas.openxmlformats.org/spreadsheetml/2006/main" r="AG101" s="11">
        <ns0:v>100</ns0:v>
      </ns0:c>
      <ns0:c xmlns:ns0="http://schemas.openxmlformats.org/spreadsheetml/2006/main" r="AH101" s="11">
        <ns0:v>60</ns0:v>
      </ns0:c>
      <ns0:c xmlns:ns0="http://schemas.openxmlformats.org/spreadsheetml/2006/main" r="AI101" s="11">
        <ns0:v>8.46568846233486</ns0:v>
      </ns0:c>
      <ns0:c xmlns:ns0="http://schemas.openxmlformats.org/spreadsheetml/2006/main" r="AJ101" s="11" t="inlineStr">
        <ns0:is>
          <ns0:t>MY_LIB_C_RC</ns0:t>
        </ns0:is>
      </ns0:c>
      <ns0:c xmlns:ns0="http://schemas.openxmlformats.org/spreadsheetml/2006/main" r="AK101" s="11" t="inlineStr">
        <ns0:is>
          <ns0:t>Nominal C; DFmax at 1kHz; minimum insulation; no temperature/bias/ESL</ns0:t>
        </ns0:is>
      </ns0:c>
      <ns0:c xmlns:ns0="http://schemas.openxmlformats.org/spreadsheetml/2006/main" r="AL101" s="11" t="inlineStr">
        <ns0:is>
          <ns0:t>General</ns0:t>
        </ns0:is>
      </ns0:c>
      <ns0:c xmlns:ns0="http://schemas.openxmlformats.org/spreadsheetml/2006/main" r="AM101" s="11" t="inlineStr">
        <ns0:is>
          <ns0:t>Spice Subcircuit</ns0:t>
        </ns0:is>
      </ns0:c>
      <ns0:c xmlns:ns0="http://schemas.openxmlformats.org/spreadsheetml/2006/main" r="AN101" s="11" t="inlineStr">
        <ns0:is>
          <ns0:t>@DESIGNATOR %1 %2 @MODEL PARAMS: Cvalue=4.7e-07 Rsvalue=8.46568846233486 Rinsvalue=1063829787.23404</ns0:t>
        </ns0:is>
      </ns0:c>
      <ns0:c xmlns:ns0="http://schemas.openxmlformats.org/spreadsheetml/2006/main" r="AO101" s="11" t="inlineStr">
        <ns0:is>
          <ns0:t>X</ns0:t>
        </ns0:is>
      </ns0:c>
      <ns0:c xmlns:ns0="http://schemas.openxmlformats.org/spreadsheetml/2006/main" r="AP101" s="11" t="inlineStr">
        <ns0:is>
          <ns0:t>(1:1),(2:2)</ns0:t>
        </ns0:is>
      </ns0:c>
      <ns0:c xmlns:ns0="http://schemas.openxmlformats.org/spreadsheetml/2006/main" r="AQ101" s="11" t="inlineStr">
        <ns0:is>
          <ns0:t>Simulation\Capacitors\MY_LIB_C_RC.ckt</ns0:t>
        </ns0:is>
      </ns0:c>
    </ns0:row>
    <ns0:row r="102" ht="30" customHeight="1">
      <ns0:c r="A102" t="str" s="14">
        <ns0:v>C0103</ns0:v>
      </ns0:c>
      <ns0:c r="B102" t="str" s="14">
        <ns0:v>Конденсатор</ns0:v>
      </ns0:c>
      <ns0:c r="C102" t="str" s="14">
        <ns0:v>560n</ns0:v>
      </ns0:c>
      <ns0:c r="D102" t="str" s="11">
        <ns0:f>SUBSTITUTE(SUBSTITUTE(SUBSTITUTE(SUBSTITUTE(C102,"p"," пФ"),"n"," нФ"),"u"," мкФ"),".",",")</ns0:f>
        <ns0:v>560 нФ</ns0:v>
      </ns0:c>
      <ns0:c r="E102" t="str" s="14">
        <ns0:v>±10%</ns0:v>
      </ns0:c>
      <ns0:c r="F102" s="14"/>
      <ns0:c r="G102" t="str" s="14">
        <ns0:v>50 В</ns0:v>
      </ns0:c>
      <ns0:c r="H102" t="str" s="14">
        <ns0:v>X7R</ns0:v>
      </ns0:c>
      <ns0:c r="I102" t="str" s="15">
        <ns0:v>0805</ns0:v>
      </ns0:c>
      <ns0:c r="J102" t="str" s="14">
        <ns0:v>YAGEO</ns0:v>
      </ns0:c>
      <ns0:c r="K102" t="str" s="14">
        <ns0:v>CC0805KKX7R9BB564</ns0:v>
      </ns0:c>
      <ns0:c r="L102" t="str" s="11">
        <ns0:f>B102&amp;" "&amp;D102&amp;" "&amp;E102&amp;" "&amp;G102&amp;" "&amp;H102&amp;" "&amp;I102</ns0:f>
        <ns0:v>Конденсатор 560 нФ ±10% 50 В X7R 0805</ns0:v>
      </ns0:c>
      <ns0:c r="M102" t="str" s="13">
        <ns0:v>C</ns0:v>
      </ns0:c>
      <ns0:c r="N102" t="str" s="13">
        <ns0:v>Symbols\MY_LIB_Capacitors.SchLib</ns0:v>
      </ns0:c>
      <ns0:c r="O102" t="str" s="13">
        <ns0:v>CAPC2012X135N</ns0:v>
      </ns0:c>
      <ns0:c r="P102" t="str" s="13">
        <ns0:v>Footprints\PBL - SMD Packages.PcbLib</ns0:v>
      </ns0:c>
      <ns0:c r="Q102" t="str" s="14">
        <ns0:v>YAGEO CC; список 20.10.2026</ns0:v>
      </ns0:c>
      <ns0:c r="R102" t="str" s="11">
        <ns0:f>D102</ns0:f>
        <ns0:v>560 нФ</ns0:v>
      </ns0:c>
      <ns0:c r="S102" t="str" s="11">
        <ns0:f>L102</ns0:f>
        <ns0:v>Конденсатор 560 нФ ±10% 50 В X7R 0805</ns0:v>
      </ns0:c>
      <x:c xmlns:x="http://schemas.openxmlformats.org/spreadsheetml/2006/main" r="T102" t="str" s="11">
        <x:v>C:\Users\Nomatin\Documents\Altium\MY_LIB\MY_LIB\Datasheets\YAGEO_CC_X7R.pdf</x:v>
      </x:c>
      <x:c xmlns:x="http://schemas.openxmlformats.org/spreadsheetml/2006/main" r="U102" t="str" s="11">
        <x:v>Даташит — локальный</x:v>
      </x:c>
      <x:c xmlns:x="http://schemas.openxmlformats.org/spreadsheetml/2006/main" r="V102" t="str" s="11">
        <x:v>C:\Users\Nomatin\Documents\Altium\MY_LIB\MY_LIB\Datasheets\YAGEO_CC_X7R.pdf</x:v>
      </x:c>
      <x:c xmlns:x="http://schemas.openxmlformats.org/spreadsheetml/2006/main" r="W102" t="str" s="11">
        <x:v>Даташит — производитель</x:v>
      </x:c>
      <x:c xmlns:x="http://schemas.openxmlformats.org/spreadsheetml/2006/main" r="X102" t="str" s="11">
        <x:v>https://yageogroup.com/content/datasheet/asset/file/UPY-GPHC_X7R_6_3V-TO-250V</x:v>
      </x:c>
      <x:c xmlns:x="http://schemas.openxmlformats.org/spreadsheetml/2006/main" r="Y102" t="str" s="11">
        <x:v>C:\Users\Nomatin\Documents\Altium\MY_LIB\MY_LIB\Datasheets\YAGEO_CC_X7R.pdf</x:v>
      </x:c>
      <ns0:c xmlns:ns0="http://schemas.openxmlformats.org/spreadsheetml/2006/main" r="Z102" s="11">
        <ns0:v>5.6e-07</ns0:v>
      </ns0:c>
      <ns0:c xmlns:ns0="http://schemas.openxmlformats.org/spreadsheetml/2006/main" r="AA102" s="11">
        <ns0:v>0.05</ns0:v>
      </ns0:c>
      <ns0:c xmlns:ns0="http://schemas.openxmlformats.org/spreadsheetml/2006/main" r="AB102" s="11">
        <ns0:v>1000</ns0:v>
      </ns0:c>
      <ns0:c xmlns:ns0="http://schemas.openxmlformats.org/spreadsheetml/2006/main" r="AC102" s="11">
        <ns0:v>1</ns0:v>
      </ns0:c>
      <ns0:c xmlns:ns0="http://schemas.openxmlformats.org/spreadsheetml/2006/main" r="AD102" s="11">
        <ns0:v>20</ns0:v>
      </ns0:c>
      <ns0:c xmlns:ns0="http://schemas.openxmlformats.org/spreadsheetml/2006/main" r="AE102" s="11">
        <ns0:v>500</ns0:v>
      </ns0:c>
      <ns0:c xmlns:ns0="http://schemas.openxmlformats.org/spreadsheetml/2006/main" r="AF102" s="11">
        <ns0:v>892857142.857143</ns0:v>
      </ns0:c>
      <ns0:c xmlns:ns0="http://schemas.openxmlformats.org/spreadsheetml/2006/main" r="AG102" s="11">
        <ns0:v>50</ns0:v>
      </ns0:c>
      <ns0:c xmlns:ns0="http://schemas.openxmlformats.org/spreadsheetml/2006/main" r="AH102" s="11">
        <ns0:v>60</ns0:v>
      </ns0:c>
      <ns0:c xmlns:ns0="http://schemas.openxmlformats.org/spreadsheetml/2006/main" r="AI102" s="11">
        <ns0:v>14.2102627760621</ns0:v>
      </ns0:c>
      <ns0:c xmlns:ns0="http://schemas.openxmlformats.org/spreadsheetml/2006/main" r="AJ102" s="11" t="inlineStr">
        <ns0:is>
          <ns0:t>MY_LIB_C_RC</ns0:t>
        </ns0:is>
      </ns0:c>
      <ns0:c xmlns:ns0="http://schemas.openxmlformats.org/spreadsheetml/2006/main" r="AK102" s="11" t="inlineStr">
        <ns0:is>
          <ns0:t>Nominal C; DFmax at 1kHz; minimum insulation; no temperature/bias/ESL</ns0:t>
        </ns0:is>
      </ns0:c>
      <ns0:c xmlns:ns0="http://schemas.openxmlformats.org/spreadsheetml/2006/main" r="AL102" s="11" t="inlineStr">
        <ns0:is>
          <ns0:t>General</ns0:t>
        </ns0:is>
      </ns0:c>
      <ns0:c xmlns:ns0="http://schemas.openxmlformats.org/spreadsheetml/2006/main" r="AM102" s="11" t="inlineStr">
        <ns0:is>
          <ns0:t>Spice Subcircuit</ns0:t>
        </ns0:is>
      </ns0:c>
      <ns0:c xmlns:ns0="http://schemas.openxmlformats.org/spreadsheetml/2006/main" r="AN102" s="11" t="inlineStr">
        <ns0:is>
          <ns0:t>@DESIGNATOR %1 %2 @MODEL PARAMS: Cvalue=5.6e-07 Rsvalue=14.2102627760621 Rinsvalue=892857142.857143</ns0:t>
        </ns0:is>
      </ns0:c>
      <ns0:c xmlns:ns0="http://schemas.openxmlformats.org/spreadsheetml/2006/main" r="AO102" s="11" t="inlineStr">
        <ns0:is>
          <ns0:t>X</ns0:t>
        </ns0:is>
      </ns0:c>
      <ns0:c xmlns:ns0="http://schemas.openxmlformats.org/spreadsheetml/2006/main" r="AP102" s="11" t="inlineStr">
        <ns0:is>
          <ns0:t>(1:1),(2:2)</ns0:t>
        </ns0:is>
      </ns0:c>
      <ns0:c xmlns:ns0="http://schemas.openxmlformats.org/spreadsheetml/2006/main" r="AQ102" s="11" t="inlineStr">
        <ns0:is>
          <ns0:t>Simulation\Capacitors\MY_LIB_C_RC.ckt</ns0:t>
        </ns0:is>
      </ns0:c>
    </ns0:row>
    <ns0:row r="103" ht="30" customHeight="1">
      <ns0:c r="A103" t="str" s="14">
        <ns0:v>C0104</ns0:v>
      </ns0:c>
      <ns0:c r="B103" t="str" s="14">
        <ns0:v>Конденсатор</ns0:v>
      </ns0:c>
      <ns0:c r="C103" t="str" s="14">
        <ns0:v>680n</ns0:v>
      </ns0:c>
      <ns0:c r="D103" t="str" s="11">
        <ns0:f>SUBSTITUTE(SUBSTITUTE(SUBSTITUTE(SUBSTITUTE(C103,"p"," пФ"),"n"," нФ"),"u"," мкФ"),".",",")</ns0:f>
        <ns0:v>680 нФ</ns0:v>
      </ns0:c>
      <ns0:c r="E103" t="str" s="14">
        <ns0:v>±10%</ns0:v>
      </ns0:c>
      <ns0:c r="F103" s="14"/>
      <ns0:c r="G103" t="str" s="14">
        <ns0:v>100 В</ns0:v>
      </ns0:c>
      <ns0:c r="H103" t="str" s="14">
        <ns0:v>X7R</ns0:v>
      </ns0:c>
      <ns0:c r="I103" t="str" s="15">
        <ns0:v>0805</ns0:v>
      </ns0:c>
      <ns0:c r="J103" t="str" s="14">
        <ns0:v>YAGEO</ns0:v>
      </ns0:c>
      <ns0:c r="K103" t="str" s="14">
        <ns0:v>CC0805KKX7R0BB684</ns0:v>
      </ns0:c>
      <ns0:c r="L103" t="str" s="11">
        <ns0:f>B103&amp;" "&amp;D103&amp;" "&amp;E103&amp;" "&amp;G103&amp;" "&amp;H103&amp;" "&amp;I103</ns0:f>
        <ns0:v>Конденсатор 680 нФ ±10% 100 В X7R 0805</ns0:v>
      </ns0:c>
      <ns0:c r="M103" t="str" s="13">
        <ns0:v>C</ns0:v>
      </ns0:c>
      <ns0:c r="N103" t="str" s="13">
        <ns0:v>Symbols\MY_LIB_Capacitors.SchLib</ns0:v>
      </ns0:c>
      <ns0:c r="O103" t="str" s="13">
        <ns0:v>CAPC2012X135N</ns0:v>
      </ns0:c>
      <ns0:c r="P103" t="str" s="13">
        <ns0:v>Footprints\PBL - SMD Packages.PcbLib</ns0:v>
      </ns0:c>
      <ns0:c r="Q103" t="str" s="14">
        <ns0:v>YAGEO CC; список 20.10.2026</ns0:v>
      </ns0:c>
      <ns0:c r="R103" t="str" s="11">
        <ns0:f>D103</ns0:f>
        <ns0:v>680 нФ</ns0:v>
      </ns0:c>
      <ns0:c r="S103" t="str" s="11">
        <ns0:f>L103</ns0:f>
        <ns0:v>Конденсатор 680 нФ ±10% 100 В X7R 0805</ns0:v>
      </ns0:c>
      <x:c xmlns:x="http://schemas.openxmlformats.org/spreadsheetml/2006/main" r="T103" t="str" s="11">
        <x:v>C:\Users\Nomatin\Documents\Altium\MY_LIB\MY_LIB\Datasheets\YAGEO_CC_X7R.pdf</x:v>
      </x:c>
      <x:c xmlns:x="http://schemas.openxmlformats.org/spreadsheetml/2006/main" r="U103" t="str" s="11">
        <x:v>Даташит — локальный</x:v>
      </x:c>
      <x:c xmlns:x="http://schemas.openxmlformats.org/spreadsheetml/2006/main" r="V103" t="str" s="11">
        <x:v>C:\Users\Nomatin\Documents\Altium\MY_LIB\MY_LIB\Datasheets\YAGEO_CC_X7R.pdf</x:v>
      </x:c>
      <x:c xmlns:x="http://schemas.openxmlformats.org/spreadsheetml/2006/main" r="W103" t="str" s="11">
        <x:v>Даташит — производитель</x:v>
      </x:c>
      <x:c xmlns:x="http://schemas.openxmlformats.org/spreadsheetml/2006/main" r="X103" t="str" s="11">
        <x:v>https://yageogroup.com/content/datasheet/asset/file/UPY-GPHC_X7R_6_3V-TO-250V</x:v>
      </x:c>
      <x:c xmlns:x="http://schemas.openxmlformats.org/spreadsheetml/2006/main" r="Y103" t="str" s="11">
        <x:v>C:\Users\Nomatin\Documents\Altium\MY_LIB\MY_LIB\Datasheets\YAGEO_CC_X7R.pdf</x:v>
      </x:c>
      <ns0:c xmlns:ns0="http://schemas.openxmlformats.org/spreadsheetml/2006/main" r="Z103" s="11">
        <ns0:v>6.8e-07</ns0:v>
      </ns0:c>
      <ns0:c xmlns:ns0="http://schemas.openxmlformats.org/spreadsheetml/2006/main" r="AA103" s="11">
        <ns0:v>0.05</ns0:v>
      </ns0:c>
      <ns0:c xmlns:ns0="http://schemas.openxmlformats.org/spreadsheetml/2006/main" r="AB103" s="11">
        <ns0:v>1000</ns0:v>
      </ns0:c>
      <ns0:c xmlns:ns0="http://schemas.openxmlformats.org/spreadsheetml/2006/main" r="AC103" s="11">
        <ns0:v>1</ns0:v>
      </ns0:c>
      <ns0:c xmlns:ns0="http://schemas.openxmlformats.org/spreadsheetml/2006/main" r="AD103" s="11">
        <ns0:v>20</ns0:v>
      </ns0:c>
      <ns0:c xmlns:ns0="http://schemas.openxmlformats.org/spreadsheetml/2006/main" r="AE103" s="11">
        <ns0:v>500</ns0:v>
      </ns0:c>
      <ns0:c xmlns:ns0="http://schemas.openxmlformats.org/spreadsheetml/2006/main" r="AF103" s="11">
        <ns0:v>735294117.647059</ns0:v>
      </ns0:c>
      <ns0:c xmlns:ns0="http://schemas.openxmlformats.org/spreadsheetml/2006/main" r="AG103" s="11">
        <ns0:v>100</ns0:v>
      </ns0:c>
      <ns0:c xmlns:ns0="http://schemas.openxmlformats.org/spreadsheetml/2006/main" r="AH103" s="11">
        <ns0:v>60</ns0:v>
      </ns0:c>
      <ns0:c xmlns:ns0="http://schemas.openxmlformats.org/spreadsheetml/2006/main" r="AI103" s="11">
        <ns0:v>11.7025693449923</ns0:v>
      </ns0:c>
      <ns0:c xmlns:ns0="http://schemas.openxmlformats.org/spreadsheetml/2006/main" r="AJ103" s="11" t="inlineStr">
        <ns0:is>
          <ns0:t>MY_LIB_C_RC</ns0:t>
        </ns0:is>
      </ns0:c>
      <ns0:c xmlns:ns0="http://schemas.openxmlformats.org/spreadsheetml/2006/main" r="AK103" s="11" t="inlineStr">
        <ns0:is>
          <ns0:t>Nominal C; DFmax at 1kHz; minimum insulation; no temperature/bias/ESL</ns0:t>
        </ns0:is>
      </ns0:c>
      <ns0:c xmlns:ns0="http://schemas.openxmlformats.org/spreadsheetml/2006/main" r="AL103" s="11" t="inlineStr">
        <ns0:is>
          <ns0:t>General</ns0:t>
        </ns0:is>
      </ns0:c>
      <ns0:c xmlns:ns0="http://schemas.openxmlformats.org/spreadsheetml/2006/main" r="AM103" s="11" t="inlineStr">
        <ns0:is>
          <ns0:t>Spice Subcircuit</ns0:t>
        </ns0:is>
      </ns0:c>
      <ns0:c xmlns:ns0="http://schemas.openxmlformats.org/spreadsheetml/2006/main" r="AN103" s="11" t="inlineStr">
        <ns0:is>
          <ns0:t>@DESIGNATOR %1 %2 @MODEL PARAMS: Cvalue=6.8e-07 Rsvalue=11.7025693449923 Rinsvalue=735294117.647059</ns0:t>
        </ns0:is>
      </ns0:c>
      <ns0:c xmlns:ns0="http://schemas.openxmlformats.org/spreadsheetml/2006/main" r="AO103" s="11" t="inlineStr">
        <ns0:is>
          <ns0:t>X</ns0:t>
        </ns0:is>
      </ns0:c>
      <ns0:c xmlns:ns0="http://schemas.openxmlformats.org/spreadsheetml/2006/main" r="AP103" s="11" t="inlineStr">
        <ns0:is>
          <ns0:t>(1:1),(2:2)</ns0:t>
        </ns0:is>
      </ns0:c>
      <ns0:c xmlns:ns0="http://schemas.openxmlformats.org/spreadsheetml/2006/main" r="AQ103" s="11" t="inlineStr">
        <ns0:is>
          <ns0:t>Simulation\Capacitors\MY_LIB_C_RC.ckt</ns0:t>
        </ns0:is>
      </ns0:c>
    </ns0:row>
    <ns0:row r="104" ht="30" customHeight="1">
      <ns0:c r="A104" t="str" s="14">
        <ns0:v>C0105</ns0:v>
      </ns0:c>
      <ns0:c r="B104" t="str" s="14">
        <ns0:v>Конденсатор</ns0:v>
      </ns0:c>
      <ns0:c r="C104" t="str" s="14">
        <ns0:v>820n</ns0:v>
      </ns0:c>
      <ns0:c r="D104" t="str" s="11">
        <ns0:f>SUBSTITUTE(SUBSTITUTE(SUBSTITUTE(SUBSTITUTE(C104,"p"," пФ"),"n"," нФ"),"u"," мкФ"),".",",")</ns0:f>
        <ns0:v>820 нФ</ns0:v>
      </ns0:c>
      <ns0:c r="E104" t="str" s="14">
        <ns0:v>±10%</ns0:v>
      </ns0:c>
      <ns0:c r="F104" s="14"/>
      <ns0:c r="G104" t="str" s="14">
        <ns0:v>16 В</ns0:v>
      </ns0:c>
      <ns0:c r="H104" t="str" s="14">
        <ns0:v>X7R</ns0:v>
      </ns0:c>
      <ns0:c r="I104" t="str" s="15">
        <ns0:v>0805</ns0:v>
      </ns0:c>
      <ns0:c r="J104" t="str" s="14">
        <ns0:v>YAGEO</ns0:v>
      </ns0:c>
      <ns0:c r="K104" t="str" s="14">
        <ns0:v>CC0805KKX7R7BB824</ns0:v>
      </ns0:c>
      <ns0:c r="L104" t="str" s="11">
        <ns0:f>B104&amp;" "&amp;D104&amp;" "&amp;E104&amp;" "&amp;G104&amp;" "&amp;H104&amp;" "&amp;I104</ns0:f>
        <ns0:v>Конденсатор 820 нФ ±10% 16 В X7R 0805</ns0:v>
      </ns0:c>
      <ns0:c r="M104" t="str" s="13">
        <ns0:v>C</ns0:v>
      </ns0:c>
      <ns0:c r="N104" t="str" s="13">
        <ns0:v>Symbols\MY_LIB_Capacitors.SchLib</ns0:v>
      </ns0:c>
      <ns0:c r="O104" t="str" s="13">
        <ns0:v>CAPC2012X135N</ns0:v>
      </ns0:c>
      <ns0:c r="P104" t="str" s="13">
        <ns0:v>Footprints\PBL - SMD Packages.PcbLib</ns0:v>
      </ns0:c>
      <ns0:c r="Q104" t="str" s="14">
        <ns0:v>YAGEO CC; список 20.10.2026</ns0:v>
      </ns0:c>
      <ns0:c r="R104" t="str" s="11">
        <ns0:f>D104</ns0:f>
        <ns0:v>820 нФ</ns0:v>
      </ns0:c>
      <ns0:c r="S104" t="str" s="11">
        <ns0:f>L104</ns0:f>
        <ns0:v>Конденсатор 820 нФ ±10% 16 В X7R 0805</ns0:v>
      </ns0:c>
      <x:c xmlns:x="http://schemas.openxmlformats.org/spreadsheetml/2006/main" r="T104" t="str" s="11">
        <x:v>C:\Users\Nomatin\Documents\Altium\MY_LIB\MY_LIB\Datasheets\YAGEO_CC_X7R.pdf</x:v>
      </x:c>
      <x:c xmlns:x="http://schemas.openxmlformats.org/spreadsheetml/2006/main" r="U104" t="str" s="11">
        <x:v>Даташит — локальный</x:v>
      </x:c>
      <x:c xmlns:x="http://schemas.openxmlformats.org/spreadsheetml/2006/main" r="V104" t="str" s="11">
        <x:v>C:\Users\Nomatin\Documents\Altium\MY_LIB\MY_LIB\Datasheets\YAGEO_CC_X7R.pdf</x:v>
      </x:c>
      <x:c xmlns:x="http://schemas.openxmlformats.org/spreadsheetml/2006/main" r="W104" t="str" s="11">
        <x:v>Даташит — производитель</x:v>
      </x:c>
      <x:c xmlns:x="http://schemas.openxmlformats.org/spreadsheetml/2006/main" r="X104" t="str" s="11">
        <x:v>https://yageogroup.com/content/datasheet/asset/file/UPY-GPHC_X7R_6_3V-TO-250V</x:v>
      </x:c>
      <x:c xmlns:x="http://schemas.openxmlformats.org/spreadsheetml/2006/main" r="Y104" t="str" s="11">
        <x:v>C:\Users\Nomatin\Documents\Altium\MY_LIB\MY_LIB\Datasheets\YAGEO_CC_X7R.pdf</x:v>
      </x:c>
      <ns0:c xmlns:ns0="http://schemas.openxmlformats.org/spreadsheetml/2006/main" r="Z104" s="11">
        <ns0:v>8.2e-07</ns0:v>
      </ns0:c>
      <ns0:c xmlns:ns0="http://schemas.openxmlformats.org/spreadsheetml/2006/main" r="AA104" s="11">
        <ns0:v>0.05</ns0:v>
      </ns0:c>
      <ns0:c xmlns:ns0="http://schemas.openxmlformats.org/spreadsheetml/2006/main" r="AB104" s="11">
        <ns0:v>1000</ns0:v>
      </ns0:c>
      <ns0:c xmlns:ns0="http://schemas.openxmlformats.org/spreadsheetml/2006/main" r="AC104" s="11">
        <ns0:v>1</ns0:v>
      </ns0:c>
      <ns0:c xmlns:ns0="http://schemas.openxmlformats.org/spreadsheetml/2006/main" r="AD104" s="11">
        <ns0:v>20</ns0:v>
      </ns0:c>
      <ns0:c xmlns:ns0="http://schemas.openxmlformats.org/spreadsheetml/2006/main" r="AE104" s="11">
        <ns0:v>500</ns0:v>
      </ns0:c>
      <ns0:c xmlns:ns0="http://schemas.openxmlformats.org/spreadsheetml/2006/main" r="AF104" s="11">
        <ns0:v>609756097.560976</ns0:v>
      </ns0:c>
      <ns0:c xmlns:ns0="http://schemas.openxmlformats.org/spreadsheetml/2006/main" r="AG104" s="11">
        <ns0:v>16</ns0:v>
      </ns0:c>
      <ns0:c xmlns:ns0="http://schemas.openxmlformats.org/spreadsheetml/2006/main" r="AH104" s="11">
        <ns0:v>60</ns0:v>
      </ns0:c>
      <ns0:c xmlns:ns0="http://schemas.openxmlformats.org/spreadsheetml/2006/main" r="AI104" s="11">
        <ns0:v>9.70456970072533</ns0:v>
      </ns0:c>
      <ns0:c xmlns:ns0="http://schemas.openxmlformats.org/spreadsheetml/2006/main" r="AJ104" s="11" t="inlineStr">
        <ns0:is>
          <ns0:t>MY_LIB_C_RC</ns0:t>
        </ns0:is>
      </ns0:c>
      <ns0:c xmlns:ns0="http://schemas.openxmlformats.org/spreadsheetml/2006/main" r="AK104" s="11" t="inlineStr">
        <ns0:is>
          <ns0:t>Nominal C; DFmax at 1kHz; minimum insulation; no temperature/bias/ESL</ns0:t>
        </ns0:is>
      </ns0:c>
      <ns0:c xmlns:ns0="http://schemas.openxmlformats.org/spreadsheetml/2006/main" r="AL104" s="11" t="inlineStr">
        <ns0:is>
          <ns0:t>General</ns0:t>
        </ns0:is>
      </ns0:c>
      <ns0:c xmlns:ns0="http://schemas.openxmlformats.org/spreadsheetml/2006/main" r="AM104" s="11" t="inlineStr">
        <ns0:is>
          <ns0:t>Spice Subcircuit</ns0:t>
        </ns0:is>
      </ns0:c>
      <ns0:c xmlns:ns0="http://schemas.openxmlformats.org/spreadsheetml/2006/main" r="AN104" s="11" t="inlineStr">
        <ns0:is>
          <ns0:t>@DESIGNATOR %1 %2 @MODEL PARAMS: Cvalue=8.2e-07 Rsvalue=9.70456970072533 Rinsvalue=609756097.560976</ns0:t>
        </ns0:is>
      </ns0:c>
      <ns0:c xmlns:ns0="http://schemas.openxmlformats.org/spreadsheetml/2006/main" r="AO104" s="11" t="inlineStr">
        <ns0:is>
          <ns0:t>X</ns0:t>
        </ns0:is>
      </ns0:c>
      <ns0:c xmlns:ns0="http://schemas.openxmlformats.org/spreadsheetml/2006/main" r="AP104" s="11" t="inlineStr">
        <ns0:is>
          <ns0:t>(1:1),(2:2)</ns0:t>
        </ns0:is>
      </ns0:c>
      <ns0:c xmlns:ns0="http://schemas.openxmlformats.org/spreadsheetml/2006/main" r="AQ104" s="11" t="inlineStr">
        <ns0:is>
          <ns0:t>Simulation\Capacitors\MY_LIB_C_RC.ckt</ns0:t>
        </ns0:is>
      </ns0:c>
    </ns0:row>
    <ns0:row r="105" ht="30" customHeight="1">
      <ns0:c r="A105" t="str" s="14">
        <ns0:v>C0106</ns0:v>
      </ns0:c>
      <ns0:c r="B105" t="str" s="14">
        <ns0:v>Конденсатор</ns0:v>
      </ns0:c>
      <ns0:c r="C105" t="str" s="14">
        <ns0:v>1u</ns0:v>
      </ns0:c>
      <ns0:c r="D105" t="str" s="11">
        <ns0:f>SUBSTITUTE(SUBSTITUTE(SUBSTITUTE(SUBSTITUTE(C105,"p"," пФ"),"n"," нФ"),"u"," мкФ"),".",",")</ns0:f>
        <ns0:v>1 мкФ</ns0:v>
      </ns0:c>
      <ns0:c r="E105" t="str" s="14">
        <ns0:v>±10%</ns0:v>
      </ns0:c>
      <ns0:c r="F105" s="14"/>
      <ns0:c r="G105" t="str" s="14">
        <ns0:v>100 В</ns0:v>
      </ns0:c>
      <ns0:c r="H105" t="str" s="14">
        <ns0:v>X7R</ns0:v>
      </ns0:c>
      <ns0:c r="I105" t="str" s="15">
        <ns0:v>0805</ns0:v>
      </ns0:c>
      <ns0:c r="J105" t="str" s="14">
        <ns0:v>YAGEO</ns0:v>
      </ns0:c>
      <ns0:c r="K105" t="str" s="14">
        <ns0:v>CC0805KKX7R0BB105</ns0:v>
      </ns0:c>
      <ns0:c r="L105" t="str" s="11">
        <ns0:f>B105&amp;" "&amp;D105&amp;" "&amp;E105&amp;" "&amp;G105&amp;" "&amp;H105&amp;" "&amp;I105</ns0:f>
        <ns0:v>Конденсатор 1 мкФ ±10% 100 В X7R 0805</ns0:v>
      </ns0:c>
      <ns0:c r="M105" t="str" s="13">
        <ns0:v>C</ns0:v>
      </ns0:c>
      <ns0:c r="N105" t="str" s="13">
        <ns0:v>Symbols\MY_LIB_Capacitors.SchLib</ns0:v>
      </ns0:c>
      <ns0:c r="O105" t="str" s="13">
        <ns0:v>CAPC2012X135N</ns0:v>
      </ns0:c>
      <ns0:c r="P105" t="str" s="13">
        <ns0:v>Footprints\PBL - SMD Packages.PcbLib</ns0:v>
      </ns0:c>
      <ns0:c r="Q105" t="str" s="14">
        <ns0:v>YAGEO CC; список 20.10.2026</ns0:v>
      </ns0:c>
      <ns0:c r="R105" t="str" s="11">
        <ns0:f>D105</ns0:f>
        <ns0:v>1 мкФ</ns0:v>
      </ns0:c>
      <ns0:c r="S105" t="str" s="11">
        <ns0:f>L105</ns0:f>
        <ns0:v>Конденсатор 1 мкФ ±10% 100 В X7R 0805</ns0:v>
      </ns0:c>
      <x:c xmlns:x="http://schemas.openxmlformats.org/spreadsheetml/2006/main" r="T105" t="str" s="11">
        <x:v>C:\Users\Nomatin\Documents\Altium\MY_LIB\MY_LIB\Datasheets\YAGEO_CC_X7R.pdf</x:v>
      </x:c>
      <x:c xmlns:x="http://schemas.openxmlformats.org/spreadsheetml/2006/main" r="U105" t="str" s="11">
        <x:v>Даташит — локальный</x:v>
      </x:c>
      <x:c xmlns:x="http://schemas.openxmlformats.org/spreadsheetml/2006/main" r="V105" t="str" s="11">
        <x:v>C:\Users\Nomatin\Documents\Altium\MY_LIB\MY_LIB\Datasheets\YAGEO_CC_X7R.pdf</x:v>
      </x:c>
      <x:c xmlns:x="http://schemas.openxmlformats.org/spreadsheetml/2006/main" r="W105" t="str" s="11">
        <x:v>Даташит — производитель</x:v>
      </x:c>
      <x:c xmlns:x="http://schemas.openxmlformats.org/spreadsheetml/2006/main" r="X105" t="str" s="11">
        <x:v>https://yageogroup.com/content/datasheet/asset/file/UPY-GPHC_X7R_6_3V-TO-250V</x:v>
      </x:c>
      <x:c xmlns:x="http://schemas.openxmlformats.org/spreadsheetml/2006/main" r="Y105" t="str" s="11">
        <x:v>C:\Users\Nomatin\Documents\Altium\MY_LIB\MY_LIB\Datasheets\YAGEO_CC_X7R.pdf</x:v>
      </x:c>
      <ns0:c xmlns:ns0="http://schemas.openxmlformats.org/spreadsheetml/2006/main" r="Z105" s="11">
        <ns0:v>1e-06</ns0:v>
      </ns0:c>
      <ns0:c xmlns:ns0="http://schemas.openxmlformats.org/spreadsheetml/2006/main" r="AA105" s="11">
        <ns0:v>0.05</ns0:v>
      </ns0:c>
      <ns0:c xmlns:ns0="http://schemas.openxmlformats.org/spreadsheetml/2006/main" r="AB105" s="11">
        <ns0:v>1000</ns0:v>
      </ns0:c>
      <ns0:c xmlns:ns0="http://schemas.openxmlformats.org/spreadsheetml/2006/main" r="AC105" s="11">
        <ns0:v>1</ns0:v>
      </ns0:c>
      <ns0:c xmlns:ns0="http://schemas.openxmlformats.org/spreadsheetml/2006/main" r="AD105" s="11">
        <ns0:v>20</ns0:v>
      </ns0:c>
      <ns0:c xmlns:ns0="http://schemas.openxmlformats.org/spreadsheetml/2006/main" r="AE105" s="11">
        <ns0:v>500</ns0:v>
      </ns0:c>
      <ns0:c xmlns:ns0="http://schemas.openxmlformats.org/spreadsheetml/2006/main" r="AF105" s="11">
        <ns0:v>500000000</ns0:v>
      </ns0:c>
      <ns0:c xmlns:ns0="http://schemas.openxmlformats.org/spreadsheetml/2006/main" r="AG105" s="11">
        <ns0:v>100</ns0:v>
      </ns0:c>
      <ns0:c xmlns:ns0="http://schemas.openxmlformats.org/spreadsheetml/2006/main" r="AH105" s="11">
        <ns0:v>60</ns0:v>
      </ns0:c>
      <ns0:c xmlns:ns0="http://schemas.openxmlformats.org/spreadsheetml/2006/main" r="AI105" s="11">
        <ns0:v>7.95774715459477</ns0:v>
      </ns0:c>
      <ns0:c xmlns:ns0="http://schemas.openxmlformats.org/spreadsheetml/2006/main" r="AJ105" s="11" t="inlineStr">
        <ns0:is>
          <ns0:t>MY_LIB_C_RC</ns0:t>
        </ns0:is>
      </ns0:c>
      <ns0:c xmlns:ns0="http://schemas.openxmlformats.org/spreadsheetml/2006/main" r="AK105" s="11" t="inlineStr">
        <ns0:is>
          <ns0:t>Nominal C; DFmax at 1kHz; minimum insulation; no temperature/bias/ESL</ns0:t>
        </ns0:is>
      </ns0:c>
      <ns0:c xmlns:ns0="http://schemas.openxmlformats.org/spreadsheetml/2006/main" r="AL105" s="11" t="inlineStr">
        <ns0:is>
          <ns0:t>General</ns0:t>
        </ns0:is>
      </ns0:c>
      <ns0:c xmlns:ns0="http://schemas.openxmlformats.org/spreadsheetml/2006/main" r="AM105" s="11" t="inlineStr">
        <ns0:is>
          <ns0:t>Spice Subcircuit</ns0:t>
        </ns0:is>
      </ns0:c>
      <ns0:c xmlns:ns0="http://schemas.openxmlformats.org/spreadsheetml/2006/main" r="AN105" s="11" t="inlineStr">
        <ns0:is>
          <ns0:t>@DESIGNATOR %1 %2 @MODEL PARAMS: Cvalue=1e-06 Rsvalue=7.95774715459477 Rinsvalue=500000000</ns0:t>
        </ns0:is>
      </ns0:c>
      <ns0:c xmlns:ns0="http://schemas.openxmlformats.org/spreadsheetml/2006/main" r="AO105" s="11" t="inlineStr">
        <ns0:is>
          <ns0:t>X</ns0:t>
        </ns0:is>
      </ns0:c>
      <ns0:c xmlns:ns0="http://schemas.openxmlformats.org/spreadsheetml/2006/main" r="AP105" s="11" t="inlineStr">
        <ns0:is>
          <ns0:t>(1:1),(2:2)</ns0:t>
        </ns0:is>
      </ns0:c>
      <ns0:c xmlns:ns0="http://schemas.openxmlformats.org/spreadsheetml/2006/main" r="AQ105" s="11" t="inlineStr">
        <ns0:is>
          <ns0:t>Simulation\Capacitors\MY_LIB_C_RC.ckt</ns0:t>
        </ns0:is>
      </ns0:c>
    </ns0:row>
    <ns0:row r="106" ht="30" customHeight="1">
      <ns0:c r="A106" t="str" s="14">
        <ns0:v>C0107</ns0:v>
      </ns0:c>
      <ns0:c r="B106" t="str" s="14">
        <ns0:v>Конденсатор</ns0:v>
      </ns0:c>
      <ns0:c r="C106" t="str" s="14">
        <ns0:v>2.2u</ns0:v>
      </ns0:c>
      <ns0:c r="D106" t="str" s="11">
        <ns0:f>SUBSTITUTE(SUBSTITUTE(SUBSTITUTE(SUBSTITUTE(C106,"p"," пФ"),"n"," нФ"),"u"," мкФ"),".",",")</ns0:f>
        <ns0:v>2,2 мкФ</ns0:v>
      </ns0:c>
      <ns0:c r="E106" t="str" s="14">
        <ns0:v>±10%</ns0:v>
      </ns0:c>
      <ns0:c r="F106" s="14"/>
      <ns0:c r="G106" t="str" s="14">
        <ns0:v>50 В</ns0:v>
      </ns0:c>
      <ns0:c r="H106" t="str" s="14">
        <ns0:v>X7R</ns0:v>
      </ns0:c>
      <ns0:c r="I106" t="str" s="15">
        <ns0:v>0805</ns0:v>
      </ns0:c>
      <ns0:c r="J106" t="str" s="14">
        <ns0:v>YAGEO</ns0:v>
      </ns0:c>
      <ns0:c r="K106" t="str" s="14">
        <ns0:v>CC0805KKX7R9BB225</ns0:v>
      </ns0:c>
      <ns0:c r="L106" t="str" s="11">
        <ns0:f>B106&amp;" "&amp;D106&amp;" "&amp;E106&amp;" "&amp;G106&amp;" "&amp;H106&amp;" "&amp;I106</ns0:f>
        <ns0:v>Конденсатор 2,2 мкФ ±10% 50 В X7R 0805</ns0:v>
      </ns0:c>
      <ns0:c r="M106" t="str" s="13">
        <ns0:v>C</ns0:v>
      </ns0:c>
      <ns0:c r="N106" t="str" s="13">
        <ns0:v>Symbols\MY_LIB_Capacitors.SchLib</ns0:v>
      </ns0:c>
      <ns0:c r="O106" t="str" s="13">
        <ns0:v>CAPC2012X135N</ns0:v>
      </ns0:c>
      <ns0:c r="P106" t="str" s="13">
        <ns0:v>Footprints\PBL - SMD Packages.PcbLib</ns0:v>
      </ns0:c>
      <ns0:c r="Q106" t="str" s="14">
        <ns0:v>YAGEO CC; список 20.10.2026</ns0:v>
      </ns0:c>
      <ns0:c r="R106" t="str" s="11">
        <ns0:f>D106</ns0:f>
        <ns0:v>2,2 мкФ</ns0:v>
      </ns0:c>
      <ns0:c r="S106" t="str" s="11">
        <ns0:f>L106</ns0:f>
        <ns0:v>Конденсатор 2,2 мкФ ±10% 50 В X7R 0805</ns0:v>
      </ns0:c>
      <x:c xmlns:x="http://schemas.openxmlformats.org/spreadsheetml/2006/main" r="T106" t="str" s="11">
        <x:v>C:\Users\Nomatin\Documents\Altium\MY_LIB\MY_LIB\Datasheets\YAGEO_CC_X7R.pdf</x:v>
      </x:c>
      <x:c xmlns:x="http://schemas.openxmlformats.org/spreadsheetml/2006/main" r="U106" t="str" s="11">
        <x:v>Даташит — локальный</x:v>
      </x:c>
      <x:c xmlns:x="http://schemas.openxmlformats.org/spreadsheetml/2006/main" r="V106" t="str" s="11">
        <x:v>C:\Users\Nomatin\Documents\Altium\MY_LIB\MY_LIB\Datasheets\YAGEO_CC_X7R.pdf</x:v>
      </x:c>
      <x:c xmlns:x="http://schemas.openxmlformats.org/spreadsheetml/2006/main" r="W106" t="str" s="11">
        <x:v>Даташит — производитель</x:v>
      </x:c>
      <x:c xmlns:x="http://schemas.openxmlformats.org/spreadsheetml/2006/main" r="X106" t="str" s="11">
        <x:v>https://yageogroup.com/content/datasheet/asset/file/UPY-GPHC_X7R_6_3V-TO-250V</x:v>
      </x:c>
      <x:c xmlns:x="http://schemas.openxmlformats.org/spreadsheetml/2006/main" r="Y106" t="str" s="11">
        <x:v>C:\Users\Nomatin\Documents\Altium\MY_LIB\MY_LIB\Datasheets\YAGEO_CC_X7R.pdf</x:v>
      </x:c>
      <ns0:c xmlns:ns0="http://schemas.openxmlformats.org/spreadsheetml/2006/main" r="Z106" s="11">
        <ns0:v>2.2e-06</ns0:v>
      </ns0:c>
      <ns0:c xmlns:ns0="http://schemas.openxmlformats.org/spreadsheetml/2006/main" r="AA106" s="11">
        <ns0:v>0.1</ns0:v>
      </ns0:c>
      <ns0:c xmlns:ns0="http://schemas.openxmlformats.org/spreadsheetml/2006/main" r="AB106" s="11">
        <ns0:v>1000</ns0:v>
      </ns0:c>
      <ns0:c xmlns:ns0="http://schemas.openxmlformats.org/spreadsheetml/2006/main" r="AC106" s="11">
        <ns0:v>1</ns0:v>
      </ns0:c>
      <ns0:c xmlns:ns0="http://schemas.openxmlformats.org/spreadsheetml/2006/main" r="AD106" s="11">
        <ns0:v>20</ns0:v>
      </ns0:c>
      <ns0:c xmlns:ns0="http://schemas.openxmlformats.org/spreadsheetml/2006/main" r="AE106" s="11">
        <ns0:v>100</ns0:v>
      </ns0:c>
      <ns0:c xmlns:ns0="http://schemas.openxmlformats.org/spreadsheetml/2006/main" r="AF106" s="11">
        <ns0:v>45454545.4545455</ns0:v>
      </ns0:c>
      <ns0:c xmlns:ns0="http://schemas.openxmlformats.org/spreadsheetml/2006/main" r="AG106" s="11">
        <ns0:v>50</ns0:v>
      </ns0:c>
      <ns0:c xmlns:ns0="http://schemas.openxmlformats.org/spreadsheetml/2006/main" r="AH106" s="11">
        <ns0:v>60</ns0:v>
      </ns0:c>
      <ns0:c xmlns:ns0="http://schemas.openxmlformats.org/spreadsheetml/2006/main" r="AI106" s="11">
        <ns0:v>7.23431559508615</ns0:v>
      </ns0:c>
      <ns0:c xmlns:ns0="http://schemas.openxmlformats.org/spreadsheetml/2006/main" r="AJ106" s="11" t="inlineStr">
        <ns0:is>
          <ns0:t>MY_LIB_C_RC</ns0:t>
        </ns0:is>
      </ns0:c>
      <ns0:c xmlns:ns0="http://schemas.openxmlformats.org/spreadsheetml/2006/main" r="AK106" s="11" t="inlineStr">
        <ns0:is>
          <ns0:t>Nominal C; DFmax at 1kHz; minimum insulation; no temperature/bias/ESL</ns0:t>
        </ns0:is>
      </ns0:c>
      <ns0:c xmlns:ns0="http://schemas.openxmlformats.org/spreadsheetml/2006/main" r="AL106" s="11" t="inlineStr">
        <ns0:is>
          <ns0:t>General</ns0:t>
        </ns0:is>
      </ns0:c>
      <ns0:c xmlns:ns0="http://schemas.openxmlformats.org/spreadsheetml/2006/main" r="AM106" s="11" t="inlineStr">
        <ns0:is>
          <ns0:t>Spice Subcircuit</ns0:t>
        </ns0:is>
      </ns0:c>
      <ns0:c xmlns:ns0="http://schemas.openxmlformats.org/spreadsheetml/2006/main" r="AN106" s="11" t="inlineStr">
        <ns0:is>
          <ns0:t>@DESIGNATOR %1 %2 @MODEL PARAMS: Cvalue=2.2e-06 Rsvalue=7.23431559508615 Rinsvalue=45454545.4545455</ns0:t>
        </ns0:is>
      </ns0:c>
      <ns0:c xmlns:ns0="http://schemas.openxmlformats.org/spreadsheetml/2006/main" r="AO106" s="11" t="inlineStr">
        <ns0:is>
          <ns0:t>X</ns0:t>
        </ns0:is>
      </ns0:c>
      <ns0:c xmlns:ns0="http://schemas.openxmlformats.org/spreadsheetml/2006/main" r="AP106" s="11" t="inlineStr">
        <ns0:is>
          <ns0:t>(1:1),(2:2)</ns0:t>
        </ns0:is>
      </ns0:c>
      <ns0:c xmlns:ns0="http://schemas.openxmlformats.org/spreadsheetml/2006/main" r="AQ106" s="11" t="inlineStr">
        <ns0:is>
          <ns0:t>Simulation\Capacitors\MY_LIB_C_RC.ckt</ns0:t>
        </ns0:is>
      </ns0:c>
    </ns0:row>
    <ns0:row r="107" ht="30" customHeight="1">
      <ns0:c r="A107" t="str" s="14">
        <ns0:v>C0108</ns0:v>
      </ns0:c>
      <ns0:c r="B107" t="str" s="14">
        <ns0:v>Конденсатор</ns0:v>
      </ns0:c>
      <ns0:c r="C107" t="str" s="14">
        <ns0:v>4.7u</ns0:v>
      </ns0:c>
      <ns0:c r="D107" t="str" s="11">
        <ns0:f>SUBSTITUTE(SUBSTITUTE(SUBSTITUTE(SUBSTITUTE(C107,"p"," пФ"),"n"," нФ"),"u"," мкФ"),".",",")</ns0:f>
        <ns0:v>4,7 мкФ</ns0:v>
      </ns0:c>
      <ns0:c r="E107" t="str" s="14">
        <ns0:v>±10%</ns0:v>
      </ns0:c>
      <ns0:c r="F107" s="14"/>
      <ns0:c r="G107" t="str" s="14">
        <ns0:v>25 В</ns0:v>
      </ns0:c>
      <ns0:c r="H107" t="str" s="14">
        <ns0:v>X7R</ns0:v>
      </ns0:c>
      <ns0:c r="I107" t="str" s="15">
        <ns0:v>0805</ns0:v>
      </ns0:c>
      <ns0:c r="J107" t="str" s="14">
        <ns0:v>YAGEO</ns0:v>
      </ns0:c>
      <ns0:c r="K107" t="str" s="14">
        <ns0:v>CC0805KKX7R8BB475</ns0:v>
      </ns0:c>
      <ns0:c r="L107" t="str" s="11">
        <ns0:f>B107&amp;" "&amp;D107&amp;" "&amp;E107&amp;" "&amp;G107&amp;" "&amp;H107&amp;" "&amp;I107</ns0:f>
        <ns0:v>Конденсатор 4,7 мкФ ±10% 25 В X7R 0805</ns0:v>
      </ns0:c>
      <ns0:c r="M107" t="str" s="13">
        <ns0:v>C</ns0:v>
      </ns0:c>
      <ns0:c r="N107" t="str" s="13">
        <ns0:v>Symbols\MY_LIB_Capacitors.SchLib</ns0:v>
      </ns0:c>
      <ns0:c r="O107" t="str" s="13">
        <ns0:v>CAPC2012X135N</ns0:v>
      </ns0:c>
      <ns0:c r="P107" t="str" s="13">
        <ns0:v>Footprints\PBL - SMD Packages.PcbLib</ns0:v>
      </ns0:c>
      <ns0:c r="Q107" t="str" s="14">
        <ns0:v>YAGEO CC; список 20.10.2026</ns0:v>
      </ns0:c>
      <ns0:c r="R107" t="str" s="11">
        <ns0:f>D107</ns0:f>
        <ns0:v>4,7 мкФ</ns0:v>
      </ns0:c>
      <ns0:c r="S107" t="str" s="11">
        <ns0:f>L107</ns0:f>
        <ns0:v>Конденсатор 4,7 мкФ ±10% 25 В X7R 0805</ns0:v>
      </ns0:c>
      <x:c xmlns:x="http://schemas.openxmlformats.org/spreadsheetml/2006/main" r="T107" t="str" s="11">
        <x:v>C:\Users\Nomatin\Documents\Altium\MY_LIB\MY_LIB\Datasheets\YAGEO_CC_X7R.pdf</x:v>
      </x:c>
      <x:c xmlns:x="http://schemas.openxmlformats.org/spreadsheetml/2006/main" r="U107" t="str" s="11">
        <x:v>Даташит — локальный</x:v>
      </x:c>
      <x:c xmlns:x="http://schemas.openxmlformats.org/spreadsheetml/2006/main" r="V107" t="str" s="11">
        <x:v>C:\Users\Nomatin\Documents\Altium\MY_LIB\MY_LIB\Datasheets\YAGEO_CC_X7R.pdf</x:v>
      </x:c>
      <x:c xmlns:x="http://schemas.openxmlformats.org/spreadsheetml/2006/main" r="W107" t="str" s="11">
        <x:v>Даташит — производитель</x:v>
      </x:c>
      <x:c xmlns:x="http://schemas.openxmlformats.org/spreadsheetml/2006/main" r="X107" t="str" s="11">
        <x:v>https://yageogroup.com/content/datasheet/asset/file/UPY-GPHC_X7R_6_3V-TO-250V</x:v>
      </x:c>
      <x:c xmlns:x="http://schemas.openxmlformats.org/spreadsheetml/2006/main" r="Y107" t="str" s="11">
        <x:v>C:\Users\Nomatin\Documents\Altium\MY_LIB\MY_LIB\Datasheets\YAGEO_CC_X7R.pdf</x:v>
      </x:c>
      <ns0:c xmlns:ns0="http://schemas.openxmlformats.org/spreadsheetml/2006/main" r="Z107" s="11">
        <ns0:v>4.7e-06</ns0:v>
      </ns0:c>
      <ns0:c xmlns:ns0="http://schemas.openxmlformats.org/spreadsheetml/2006/main" r="AA107" s="11">
        <ns0:v>0.1</ns0:v>
      </ns0:c>
      <ns0:c xmlns:ns0="http://schemas.openxmlformats.org/spreadsheetml/2006/main" r="AB107" s="11">
        <ns0:v>1000</ns0:v>
      </ns0:c>
      <ns0:c xmlns:ns0="http://schemas.openxmlformats.org/spreadsheetml/2006/main" r="AC107" s="11">
        <ns0:v>1</ns0:v>
      </ns0:c>
      <ns0:c xmlns:ns0="http://schemas.openxmlformats.org/spreadsheetml/2006/main" r="AD107" s="11">
        <ns0:v>20</ns0:v>
      </ns0:c>
      <ns0:c xmlns:ns0="http://schemas.openxmlformats.org/spreadsheetml/2006/main" r="AE107" s="11">
        <ns0:v>100</ns0:v>
      </ns0:c>
      <ns0:c xmlns:ns0="http://schemas.openxmlformats.org/spreadsheetml/2006/main" r="AF107" s="11">
        <ns0:v>21276595.7446809</ns0:v>
      </ns0:c>
      <ns0:c xmlns:ns0="http://schemas.openxmlformats.org/spreadsheetml/2006/main" r="AG107" s="11">
        <ns0:v>25</ns0:v>
      </ns0:c>
      <ns0:c xmlns:ns0="http://schemas.openxmlformats.org/spreadsheetml/2006/main" r="AH107" s="11">
        <ns0:v>60</ns0:v>
      </ns0:c>
      <ns0:c xmlns:ns0="http://schemas.openxmlformats.org/spreadsheetml/2006/main" r="AI107" s="11">
        <ns0:v>3.38627538493394</ns0:v>
      </ns0:c>
      <ns0:c xmlns:ns0="http://schemas.openxmlformats.org/spreadsheetml/2006/main" r="AJ107" s="11" t="inlineStr">
        <ns0:is>
          <ns0:t>MY_LIB_C_RC</ns0:t>
        </ns0:is>
      </ns0:c>
      <ns0:c xmlns:ns0="http://schemas.openxmlformats.org/spreadsheetml/2006/main" r="AK107" s="11" t="inlineStr">
        <ns0:is>
          <ns0:t>Nominal C; DFmax at 1kHz; minimum insulation; no temperature/bias/ESL</ns0:t>
        </ns0:is>
      </ns0:c>
      <ns0:c xmlns:ns0="http://schemas.openxmlformats.org/spreadsheetml/2006/main" r="AL107" s="11" t="inlineStr">
        <ns0:is>
          <ns0:t>General</ns0:t>
        </ns0:is>
      </ns0:c>
      <ns0:c xmlns:ns0="http://schemas.openxmlformats.org/spreadsheetml/2006/main" r="AM107" s="11" t="inlineStr">
        <ns0:is>
          <ns0:t>Spice Subcircuit</ns0:t>
        </ns0:is>
      </ns0:c>
      <ns0:c xmlns:ns0="http://schemas.openxmlformats.org/spreadsheetml/2006/main" r="AN107" s="11" t="inlineStr">
        <ns0:is>
          <ns0:t>@DESIGNATOR %1 %2 @MODEL PARAMS: Cvalue=4.7e-06 Rsvalue=3.38627538493394 Rinsvalue=21276595.7446809</ns0:t>
        </ns0:is>
      </ns0:c>
      <ns0:c xmlns:ns0="http://schemas.openxmlformats.org/spreadsheetml/2006/main" r="AO107" s="11" t="inlineStr">
        <ns0:is>
          <ns0:t>X</ns0:t>
        </ns0:is>
      </ns0:c>
      <ns0:c xmlns:ns0="http://schemas.openxmlformats.org/spreadsheetml/2006/main" r="AP107" s="11" t="inlineStr">
        <ns0:is>
          <ns0:t>(1:1),(2:2)</ns0:t>
        </ns0:is>
      </ns0:c>
      <ns0:c xmlns:ns0="http://schemas.openxmlformats.org/spreadsheetml/2006/main" r="AQ107" s="11" t="inlineStr">
        <ns0:is>
          <ns0:t>Simulation\Capacitors\MY_LIB_C_RC.ckt</ns0:t>
        </ns0:is>
      </ns0:c>
    </ns0:row>
    <ns0:row r="108" ht="30" customHeight="1">
      <ns0:c r="A108" t="str" s="14">
        <ns0:v>C0109</ns0:v>
      </ns0:c>
      <ns0:c r="B108" t="str" s="14">
        <ns0:v>Конденсатор</ns0:v>
      </ns0:c>
      <ns0:c r="C108" t="str" s="14">
        <ns0:v>10u</ns0:v>
      </ns0:c>
      <ns0:c r="D108" t="str" s="11">
        <ns0:f>SUBSTITUTE(SUBSTITUTE(SUBSTITUTE(SUBSTITUTE(C108,"p"," пФ"),"n"," нФ"),"u"," мкФ"),".",",")</ns0:f>
        <ns0:v>10 мкФ</ns0:v>
      </ns0:c>
      <ns0:c r="E108" t="str" s="14">
        <ns0:v>±10%</ns0:v>
      </ns0:c>
      <ns0:c r="F108" s="14"/>
      <ns0:c r="G108" t="str" s="14">
        <ns0:v>16 В</ns0:v>
      </ns0:c>
      <ns0:c r="H108" t="str" s="14">
        <ns0:v>X7R</ns0:v>
      </ns0:c>
      <ns0:c r="I108" t="str" s="15">
        <ns0:v>0805</ns0:v>
      </ns0:c>
      <ns0:c r="J108" t="str" s="14">
        <ns0:v>YAGEO</ns0:v>
      </ns0:c>
      <ns0:c r="K108" t="str" s="14">
        <ns0:v>CC0805KKX7R7BB106</ns0:v>
      </ns0:c>
      <ns0:c r="L108" t="str" s="11">
        <ns0:f>B108&amp;" "&amp;D108&amp;" "&amp;E108&amp;" "&amp;G108&amp;" "&amp;H108&amp;" "&amp;I108</ns0:f>
        <ns0:v>Конденсатор 10 мкФ ±10% 16 В X7R 0805</ns0:v>
      </ns0:c>
      <ns0:c r="M108" t="str" s="13">
        <ns0:v>C</ns0:v>
      </ns0:c>
      <ns0:c r="N108" t="str" s="13">
        <ns0:v>Symbols\MY_LIB_Capacitors.SchLib</ns0:v>
      </ns0:c>
      <ns0:c r="O108" t="str" s="13">
        <ns0:v>CAPC2012X135N</ns0:v>
      </ns0:c>
      <ns0:c r="P108" t="str" s="13">
        <ns0:v>Footprints\PBL - SMD Packages.PcbLib</ns0:v>
      </ns0:c>
      <ns0:c r="Q108" t="str" s="14">
        <ns0:v>YAGEO CC; список 20.10.2026</ns0:v>
      </ns0:c>
      <ns0:c r="R108" t="str" s="11">
        <ns0:f>D108</ns0:f>
        <ns0:v>10 мкФ</ns0:v>
      </ns0:c>
      <ns0:c r="S108" t="str" s="11">
        <ns0:f>L108</ns0:f>
        <ns0:v>Конденсатор 10 мкФ ±10% 16 В X7R 0805</ns0:v>
      </ns0:c>
      <x:c xmlns:x="http://schemas.openxmlformats.org/spreadsheetml/2006/main" r="T108" t="str" s="11">
        <x:v>C:\Users\Nomatin\Documents\Altium\MY_LIB\MY_LIB\Datasheets\YAGEO_CC_X7R.pdf</x:v>
      </x:c>
      <x:c xmlns:x="http://schemas.openxmlformats.org/spreadsheetml/2006/main" r="U108" t="str" s="11">
        <x:v>Даташит — локальный</x:v>
      </x:c>
      <x:c xmlns:x="http://schemas.openxmlformats.org/spreadsheetml/2006/main" r="V108" t="str" s="11">
        <x:v>C:\Users\Nomatin\Documents\Altium\MY_LIB\MY_LIB\Datasheets\YAGEO_CC_X7R.pdf</x:v>
      </x:c>
      <x:c xmlns:x="http://schemas.openxmlformats.org/spreadsheetml/2006/main" r="W108" t="str" s="11">
        <x:v>Даташит — производитель</x:v>
      </x:c>
      <x:c xmlns:x="http://schemas.openxmlformats.org/spreadsheetml/2006/main" r="X108" t="str" s="11">
        <x:v>https://yageogroup.com/content/datasheet/asset/file/UPY-GPHC_X7R_6_3V-TO-250V</x:v>
      </x:c>
      <x:c xmlns:x="http://schemas.openxmlformats.org/spreadsheetml/2006/main" r="Y108" t="str" s="11">
        <x:v>C:\Users\Nomatin\Documents\Altium\MY_LIB\MY_LIB\Datasheets\YAGEO_CC_X7R.pdf</x:v>
      </x:c>
      <ns0:c xmlns:ns0="http://schemas.openxmlformats.org/spreadsheetml/2006/main" r="Z108" s="11">
        <ns0:v>1e-05</ns0:v>
      </ns0:c>
      <ns0:c xmlns:ns0="http://schemas.openxmlformats.org/spreadsheetml/2006/main" r="AA108" s="11">
        <ns0:v>0.1</ns0:v>
      </ns0:c>
      <ns0:c xmlns:ns0="http://schemas.openxmlformats.org/spreadsheetml/2006/main" r="AB108" s="11">
        <ns0:v>1000</ns0:v>
      </ns0:c>
      <ns0:c xmlns:ns0="http://schemas.openxmlformats.org/spreadsheetml/2006/main" r="AC108" s="11">
        <ns0:v>1</ns0:v>
      </ns0:c>
      <ns0:c xmlns:ns0="http://schemas.openxmlformats.org/spreadsheetml/2006/main" r="AD108" s="11">
        <ns0:v>20</ns0:v>
      </ns0:c>
      <ns0:c xmlns:ns0="http://schemas.openxmlformats.org/spreadsheetml/2006/main" r="AE108" s="11">
        <ns0:v>100</ns0:v>
      </ns0:c>
      <ns0:c xmlns:ns0="http://schemas.openxmlformats.org/spreadsheetml/2006/main" r="AF108" s="11">
        <ns0:v>10000000</ns0:v>
      </ns0:c>
      <ns0:c xmlns:ns0="http://schemas.openxmlformats.org/spreadsheetml/2006/main" r="AG108" s="11">
        <ns0:v>16</ns0:v>
      </ns0:c>
      <ns0:c xmlns:ns0="http://schemas.openxmlformats.org/spreadsheetml/2006/main" r="AH108" s="11">
        <ns0:v>60</ns0:v>
      </ns0:c>
      <ns0:c xmlns:ns0="http://schemas.openxmlformats.org/spreadsheetml/2006/main" r="AI108" s="11">
        <ns0:v>1.59154943091895</ns0:v>
      </ns0:c>
      <ns0:c xmlns:ns0="http://schemas.openxmlformats.org/spreadsheetml/2006/main" r="AJ108" s="11" t="inlineStr">
        <ns0:is>
          <ns0:t>MY_LIB_C_RC</ns0:t>
        </ns0:is>
      </ns0:c>
      <ns0:c xmlns:ns0="http://schemas.openxmlformats.org/spreadsheetml/2006/main" r="AK108" s="11" t="inlineStr">
        <ns0:is>
          <ns0:t>Nominal C; DFmax at 1kHz; minimum insulation; no temperature/bias/ESL</ns0:t>
        </ns0:is>
      </ns0:c>
      <ns0:c xmlns:ns0="http://schemas.openxmlformats.org/spreadsheetml/2006/main" r="AL108" s="11" t="inlineStr">
        <ns0:is>
          <ns0:t>General</ns0:t>
        </ns0:is>
      </ns0:c>
      <ns0:c xmlns:ns0="http://schemas.openxmlformats.org/spreadsheetml/2006/main" r="AM108" s="11" t="inlineStr">
        <ns0:is>
          <ns0:t>Spice Subcircuit</ns0:t>
        </ns0:is>
      </ns0:c>
      <ns0:c xmlns:ns0="http://schemas.openxmlformats.org/spreadsheetml/2006/main" r="AN108" s="11" t="inlineStr">
        <ns0:is>
          <ns0:t>@DESIGNATOR %1 %2 @MODEL PARAMS: Cvalue=1e-05 Rsvalue=1.59154943091895 Rinsvalue=10000000</ns0:t>
        </ns0:is>
      </ns0:c>
      <ns0:c xmlns:ns0="http://schemas.openxmlformats.org/spreadsheetml/2006/main" r="AO108" s="11" t="inlineStr">
        <ns0:is>
          <ns0:t>X</ns0:t>
        </ns0:is>
      </ns0:c>
      <ns0:c xmlns:ns0="http://schemas.openxmlformats.org/spreadsheetml/2006/main" r="AP108" s="11" t="inlineStr">
        <ns0:is>
          <ns0:t>(1:1),(2:2)</ns0:t>
        </ns0:is>
      </ns0:c>
      <ns0:c xmlns:ns0="http://schemas.openxmlformats.org/spreadsheetml/2006/main" r="AQ108" s="11" t="inlineStr">
        <ns0:is>
          <ns0:t>Simulation\Capacitors\MY_LIB_C_RC.ckt</ns0:t>
        </ns0:is>
      </ns0:c>
    </ns0:row>
    <ns0:row r="109" ht="30" customHeight="1">
      <ns0:c r="A109" t="str" s="14">
        <ns0:v>C0110</ns0:v>
      </ns0:c>
      <ns0:c r="B109" t="str" s="14">
        <ns0:v>Конденсатор</ns0:v>
      </ns0:c>
      <ns0:c r="C109" t="str" s="14">
        <ns0:v>100p</ns0:v>
      </ns0:c>
      <ns0:c r="D109" t="str" s="11">
        <ns0:f>SUBSTITUTE(SUBSTITUTE(SUBSTITUTE(SUBSTITUTE(C109,"p"," пФ"),"n"," нФ"),"u"," мкФ"),".",",")</ns0:f>
        <ns0:v>100 пФ</ns0:v>
      </ns0:c>
      <ns0:c r="E109" t="str" s="14">
        <ns0:v>±20%</ns0:v>
      </ns0:c>
      <ns0:c r="F109" s="14"/>
      <ns0:c r="G109" t="str" s="14">
        <ns0:v>100 В</ns0:v>
      </ns0:c>
      <ns0:c r="H109" t="str" s="14">
        <ns0:v>X7R</ns0:v>
      </ns0:c>
      <ns0:c r="I109" t="str" s="15">
        <ns0:v>0805</ns0:v>
      </ns0:c>
      <ns0:c r="J109" t="str" s="14">
        <ns0:v>YAGEO</ns0:v>
      </ns0:c>
      <ns0:c r="K109" t="str" s="14">
        <ns0:v>CC0805MRX7R0BB101</ns0:v>
      </ns0:c>
      <ns0:c r="L109" t="str" s="11">
        <ns0:f>B109&amp;" "&amp;D109&amp;" "&amp;E109&amp;" "&amp;G109&amp;" "&amp;H109&amp;" "&amp;I109</ns0:f>
        <ns0:v>Конденсатор 100 пФ ±20% 100 В X7R 0805</ns0:v>
      </ns0:c>
      <ns0:c r="M109" t="str" s="13">
        <ns0:v>C</ns0:v>
      </ns0:c>
      <ns0:c r="N109" t="str" s="13">
        <ns0:v>Symbols\MY_LIB_Capacitors.SchLib</ns0:v>
      </ns0:c>
      <ns0:c r="O109" t="str" s="13">
        <ns0:v>CAPC2012X135N</ns0:v>
      </ns0:c>
      <ns0:c r="P109" t="str" s="13">
        <ns0:v>Footprints\PBL - SMD Packages.PcbLib</ns0:v>
      </ns0:c>
      <ns0:c r="Q109" t="str" s="14">
        <ns0:v>YAGEO CC; список 20.10.2026</ns0:v>
      </ns0:c>
      <ns0:c r="R109" t="str" s="11">
        <ns0:f>D109</ns0:f>
        <ns0:v>100 пФ</ns0:v>
      </ns0:c>
      <ns0:c r="S109" t="str" s="11">
        <ns0:f>L109</ns0:f>
        <ns0:v>Конденсатор 100 пФ ±20% 100 В X7R 0805</ns0:v>
      </ns0:c>
      <x:c xmlns:x="http://schemas.openxmlformats.org/spreadsheetml/2006/main" r="T109" t="str" s="11">
        <x:v>C:\Users\Nomatin\Documents\Altium\MY_LIB\MY_LIB\Datasheets\YAGEO_CC_X7R.pdf</x:v>
      </x:c>
      <x:c xmlns:x="http://schemas.openxmlformats.org/spreadsheetml/2006/main" r="U109" t="str" s="11">
        <x:v>Даташит — локальный</x:v>
      </x:c>
      <x:c xmlns:x="http://schemas.openxmlformats.org/spreadsheetml/2006/main" r="V109" t="str" s="11">
        <x:v>C:\Users\Nomatin\Documents\Altium\MY_LIB\MY_LIB\Datasheets\YAGEO_CC_X7R.pdf</x:v>
      </x:c>
      <x:c xmlns:x="http://schemas.openxmlformats.org/spreadsheetml/2006/main" r="W109" t="str" s="11">
        <x:v>Даташит — производитель</x:v>
      </x:c>
      <x:c xmlns:x="http://schemas.openxmlformats.org/spreadsheetml/2006/main" r="X109" t="str" s="11">
        <x:v>https://yageogroup.com/content/datasheet/asset/file/UPY-GPHC_X7R_6_3V-TO-250V</x:v>
      </x:c>
      <x:c xmlns:x="http://schemas.openxmlformats.org/spreadsheetml/2006/main" r="Y109" t="str" s="11">
        <x:v>C:\Users\Nomatin\Documents\Altium\MY_LIB\MY_LIB\Datasheets\YAGEO_CC_X7R.pdf</x:v>
      </x:c>
      <ns0:c xmlns:ns0="http://schemas.openxmlformats.org/spreadsheetml/2006/main" r="Z109" s="11">
        <ns0:v>1e-10</ns0:v>
      </ns0:c>
      <ns0:c xmlns:ns0="http://schemas.openxmlformats.org/spreadsheetml/2006/main" r="AA109" s="11">
        <ns0:v>0.025</ns0:v>
      </ns0:c>
      <ns0:c xmlns:ns0="http://schemas.openxmlformats.org/spreadsheetml/2006/main" r="AB109" s="11">
        <ns0:v>1000</ns0:v>
      </ns0:c>
      <ns0:c xmlns:ns0="http://schemas.openxmlformats.org/spreadsheetml/2006/main" r="AC109" s="11">
        <ns0:v>1</ns0:v>
      </ns0:c>
      <ns0:c xmlns:ns0="http://schemas.openxmlformats.org/spreadsheetml/2006/main" r="AD109" s="11">
        <ns0:v>20</ns0:v>
      </ns0:c>
      <ns0:c xmlns:ns0="http://schemas.openxmlformats.org/spreadsheetml/2006/main" r="AE109" s="11">
        <ns0:v>500</ns0:v>
      </ns0:c>
      <ns0:c xmlns:ns0="http://schemas.openxmlformats.org/spreadsheetml/2006/main" r="AF109" s="11">
        <ns0:v>10000000000</ns0:v>
      </ns0:c>
      <ns0:c xmlns:ns0="http://schemas.openxmlformats.org/spreadsheetml/2006/main" r="AG109" s="11">
        <ns0:v>100</ns0:v>
      </ns0:c>
      <ns0:c xmlns:ns0="http://schemas.openxmlformats.org/spreadsheetml/2006/main" r="AH109" s="11">
        <ns0:v>60</ns0:v>
      </ns0:c>
      <ns0:c xmlns:ns0="http://schemas.openxmlformats.org/spreadsheetml/2006/main" r="AI109" s="11">
        <ns0:v>39788.7357729738</ns0:v>
      </ns0:c>
      <ns0:c xmlns:ns0="http://schemas.openxmlformats.org/spreadsheetml/2006/main" r="AJ109" s="11" t="inlineStr">
        <ns0:is>
          <ns0:t>MY_LIB_C_RC</ns0:t>
        </ns0:is>
      </ns0:c>
      <ns0:c xmlns:ns0="http://schemas.openxmlformats.org/spreadsheetml/2006/main" r="AK109" s="11" t="inlineStr">
        <ns0:is>
          <ns0:t>Nominal C; DFmax at 1kHz; minimum insulation; no temperature/bias/ESL</ns0:t>
        </ns0:is>
      </ns0:c>
      <ns0:c xmlns:ns0="http://schemas.openxmlformats.org/spreadsheetml/2006/main" r="AL109" s="11" t="inlineStr">
        <ns0:is>
          <ns0:t>General</ns0:t>
        </ns0:is>
      </ns0:c>
      <ns0:c xmlns:ns0="http://schemas.openxmlformats.org/spreadsheetml/2006/main" r="AM109" s="11" t="inlineStr">
        <ns0:is>
          <ns0:t>Spice Subcircuit</ns0:t>
        </ns0:is>
      </ns0:c>
      <ns0:c xmlns:ns0="http://schemas.openxmlformats.org/spreadsheetml/2006/main" r="AN109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109" s="11" t="inlineStr">
        <ns0:is>
          <ns0:t>X</ns0:t>
        </ns0:is>
      </ns0:c>
      <ns0:c xmlns:ns0="http://schemas.openxmlformats.org/spreadsheetml/2006/main" r="AP109" s="11" t="inlineStr">
        <ns0:is>
          <ns0:t>(1:1),(2:2)</ns0:t>
        </ns0:is>
      </ns0:c>
      <ns0:c xmlns:ns0="http://schemas.openxmlformats.org/spreadsheetml/2006/main" r="AQ109" s="11" t="inlineStr">
        <ns0:is>
          <ns0:t>Simulation\Capacitors\MY_LIB_C_RC.ckt</ns0:t>
        </ns0:is>
      </ns0:c>
    </ns0:row>
    <ns0:row r="110" ht="30" customHeight="1">
      <ns0:c r="A110" t="str" s="14">
        <ns0:v>C0111</ns0:v>
      </ns0:c>
      <ns0:c r="B110" t="str" s="14">
        <ns0:v>Конденсатор</ns0:v>
      </ns0:c>
      <ns0:c r="C110" t="str" s="14">
        <ns0:v>150p</ns0:v>
      </ns0:c>
      <ns0:c r="D110" t="str" s="11">
        <ns0:f>SUBSTITUTE(SUBSTITUTE(SUBSTITUTE(SUBSTITUTE(C110,"p"," пФ"),"n"," нФ"),"u"," мкФ"),".",",")</ns0:f>
        <ns0:v>150 пФ</ns0:v>
      </ns0:c>
      <ns0:c r="E110" t="str" s="14">
        <ns0:v>±20%</ns0:v>
      </ns0:c>
      <ns0:c r="F110" s="14"/>
      <ns0:c r="G110" t="str" s="14">
        <ns0:v>100 В</ns0:v>
      </ns0:c>
      <ns0:c r="H110" t="str" s="14">
        <ns0:v>X7R</ns0:v>
      </ns0:c>
      <ns0:c r="I110" t="str" s="15">
        <ns0:v>0805</ns0:v>
      </ns0:c>
      <ns0:c r="J110" t="str" s="14">
        <ns0:v>YAGEO</ns0:v>
      </ns0:c>
      <ns0:c r="K110" t="str" s="14">
        <ns0:v>CC0805MRX7R0BB151</ns0:v>
      </ns0:c>
      <ns0:c r="L110" t="str" s="11">
        <ns0:f>B110&amp;" "&amp;D110&amp;" "&amp;E110&amp;" "&amp;G110&amp;" "&amp;H110&amp;" "&amp;I110</ns0:f>
        <ns0:v>Конденсатор 150 пФ ±20% 100 В X7R 0805</ns0:v>
      </ns0:c>
      <ns0:c r="M110" t="str" s="13">
        <ns0:v>C</ns0:v>
      </ns0:c>
      <ns0:c r="N110" t="str" s="13">
        <ns0:v>Symbols\MY_LIB_Capacitors.SchLib</ns0:v>
      </ns0:c>
      <ns0:c r="O110" t="str" s="13">
        <ns0:v>CAPC2012X135N</ns0:v>
      </ns0:c>
      <ns0:c r="P110" t="str" s="13">
        <ns0:v>Footprints\PBL - SMD Packages.PcbLib</ns0:v>
      </ns0:c>
      <ns0:c r="Q110" t="str" s="14">
        <ns0:v>YAGEO CC; список 20.10.2026</ns0:v>
      </ns0:c>
      <ns0:c r="R110" t="str" s="11">
        <ns0:f>D110</ns0:f>
        <ns0:v>150 пФ</ns0:v>
      </ns0:c>
      <ns0:c r="S110" t="str" s="11">
        <ns0:f>L110</ns0:f>
        <ns0:v>Конденсатор 150 пФ ±20% 100 В X7R 0805</ns0:v>
      </ns0:c>
      <x:c xmlns:x="http://schemas.openxmlformats.org/spreadsheetml/2006/main" r="T110" t="str" s="11">
        <x:v>C:\Users\Nomatin\Documents\Altium\MY_LIB\MY_LIB\Datasheets\YAGEO_CC_X7R.pdf</x:v>
      </x:c>
      <x:c xmlns:x="http://schemas.openxmlformats.org/spreadsheetml/2006/main" r="U110" t="str" s="11">
        <x:v>Даташит — локальный</x:v>
      </x:c>
      <x:c xmlns:x="http://schemas.openxmlformats.org/spreadsheetml/2006/main" r="V110" t="str" s="11">
        <x:v>C:\Users\Nomatin\Documents\Altium\MY_LIB\MY_LIB\Datasheets\YAGEO_CC_X7R.pdf</x:v>
      </x:c>
      <x:c xmlns:x="http://schemas.openxmlformats.org/spreadsheetml/2006/main" r="W110" t="str" s="11">
        <x:v>Даташит — производитель</x:v>
      </x:c>
      <x:c xmlns:x="http://schemas.openxmlformats.org/spreadsheetml/2006/main" r="X110" t="str" s="11">
        <x:v>https://yageogroup.com/content/datasheet/asset/file/UPY-GPHC_X7R_6_3V-TO-250V</x:v>
      </x:c>
      <x:c xmlns:x="http://schemas.openxmlformats.org/spreadsheetml/2006/main" r="Y110" t="str" s="11">
        <x:v>C:\Users\Nomatin\Documents\Altium\MY_LIB\MY_LIB\Datasheets\YAGEO_CC_X7R.pdf</x:v>
      </x:c>
      <ns0:c xmlns:ns0="http://schemas.openxmlformats.org/spreadsheetml/2006/main" r="Z110" s="11">
        <ns0:v>1.5e-10</ns0:v>
      </ns0:c>
      <ns0:c xmlns:ns0="http://schemas.openxmlformats.org/spreadsheetml/2006/main" r="AA110" s="11">
        <ns0:v>0.025</ns0:v>
      </ns0:c>
      <ns0:c xmlns:ns0="http://schemas.openxmlformats.org/spreadsheetml/2006/main" r="AB110" s="11">
        <ns0:v>1000</ns0:v>
      </ns0:c>
      <ns0:c xmlns:ns0="http://schemas.openxmlformats.org/spreadsheetml/2006/main" r="AC110" s="11">
        <ns0:v>1</ns0:v>
      </ns0:c>
      <ns0:c xmlns:ns0="http://schemas.openxmlformats.org/spreadsheetml/2006/main" r="AD110" s="11">
        <ns0:v>20</ns0:v>
      </ns0:c>
      <ns0:c xmlns:ns0="http://schemas.openxmlformats.org/spreadsheetml/2006/main" r="AE110" s="11">
        <ns0:v>500</ns0:v>
      </ns0:c>
      <ns0:c xmlns:ns0="http://schemas.openxmlformats.org/spreadsheetml/2006/main" r="AF110" s="11">
        <ns0:v>10000000000</ns0:v>
      </ns0:c>
      <ns0:c xmlns:ns0="http://schemas.openxmlformats.org/spreadsheetml/2006/main" r="AG110" s="11">
        <ns0:v>100</ns0:v>
      </ns0:c>
      <ns0:c xmlns:ns0="http://schemas.openxmlformats.org/spreadsheetml/2006/main" r="AH110" s="11">
        <ns0:v>60</ns0:v>
      </ns0:c>
      <ns0:c xmlns:ns0="http://schemas.openxmlformats.org/spreadsheetml/2006/main" r="AI110" s="11">
        <ns0:v>26525.8238486492</ns0:v>
      </ns0:c>
      <ns0:c xmlns:ns0="http://schemas.openxmlformats.org/spreadsheetml/2006/main" r="AJ110" s="11" t="inlineStr">
        <ns0:is>
          <ns0:t>MY_LIB_C_RC</ns0:t>
        </ns0:is>
      </ns0:c>
      <ns0:c xmlns:ns0="http://schemas.openxmlformats.org/spreadsheetml/2006/main" r="AK110" s="11" t="inlineStr">
        <ns0:is>
          <ns0:t>Nominal C; DFmax at 1kHz; minimum insulation; no temperature/bias/ESL</ns0:t>
        </ns0:is>
      </ns0:c>
      <ns0:c xmlns:ns0="http://schemas.openxmlformats.org/spreadsheetml/2006/main" r="AL110" s="11" t="inlineStr">
        <ns0:is>
          <ns0:t>General</ns0:t>
        </ns0:is>
      </ns0:c>
      <ns0:c xmlns:ns0="http://schemas.openxmlformats.org/spreadsheetml/2006/main" r="AM110" s="11" t="inlineStr">
        <ns0:is>
          <ns0:t>Spice Subcircuit</ns0:t>
        </ns0:is>
      </ns0:c>
      <ns0:c xmlns:ns0="http://schemas.openxmlformats.org/spreadsheetml/2006/main" r="AN110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110" s="11" t="inlineStr">
        <ns0:is>
          <ns0:t>X</ns0:t>
        </ns0:is>
      </ns0:c>
      <ns0:c xmlns:ns0="http://schemas.openxmlformats.org/spreadsheetml/2006/main" r="AP110" s="11" t="inlineStr">
        <ns0:is>
          <ns0:t>(1:1),(2:2)</ns0:t>
        </ns0:is>
      </ns0:c>
      <ns0:c xmlns:ns0="http://schemas.openxmlformats.org/spreadsheetml/2006/main" r="AQ110" s="11" t="inlineStr">
        <ns0:is>
          <ns0:t>Simulation\Capacitors\MY_LIB_C_RC.ckt</ns0:t>
        </ns0:is>
      </ns0:c>
    </ns0:row>
    <ns0:row r="111" ht="30" customHeight="1">
      <ns0:c r="A111" t="str" s="14">
        <ns0:v>C0112</ns0:v>
      </ns0:c>
      <ns0:c r="B111" t="str" s="14">
        <ns0:v>Конденсатор</ns0:v>
      </ns0:c>
      <ns0:c r="C111" t="str" s="14">
        <ns0:v>220p</ns0:v>
      </ns0:c>
      <ns0:c r="D111" t="str" s="11">
        <ns0:f>SUBSTITUTE(SUBSTITUTE(SUBSTITUTE(SUBSTITUTE(C111,"p"," пФ"),"n"," нФ"),"u"," мкФ"),".",",")</ns0:f>
        <ns0:v>220 пФ</ns0:v>
      </ns0:c>
      <ns0:c r="E111" t="str" s="14">
        <ns0:v>±20%</ns0:v>
      </ns0:c>
      <ns0:c r="F111" s="14"/>
      <ns0:c r="G111" t="str" s="14">
        <ns0:v>100 В</ns0:v>
      </ns0:c>
      <ns0:c r="H111" t="str" s="14">
        <ns0:v>X7R</ns0:v>
      </ns0:c>
      <ns0:c r="I111" t="str" s="15">
        <ns0:v>0805</ns0:v>
      </ns0:c>
      <ns0:c r="J111" t="str" s="14">
        <ns0:v>YAGEO</ns0:v>
      </ns0:c>
      <ns0:c r="K111" t="str" s="14">
        <ns0:v>CC0805MRX7R0BB221</ns0:v>
      </ns0:c>
      <ns0:c r="L111" t="str" s="11">
        <ns0:f>B111&amp;" "&amp;D111&amp;" "&amp;E111&amp;" "&amp;G111&amp;" "&amp;H111&amp;" "&amp;I111</ns0:f>
        <ns0:v>Конденсатор 220 пФ ±20% 100 В X7R 0805</ns0:v>
      </ns0:c>
      <ns0:c r="M111" t="str" s="13">
        <ns0:v>C</ns0:v>
      </ns0:c>
      <ns0:c r="N111" t="str" s="13">
        <ns0:v>Symbols\MY_LIB_Capacitors.SchLib</ns0:v>
      </ns0:c>
      <ns0:c r="O111" t="str" s="13">
        <ns0:v>CAPC2012X135N</ns0:v>
      </ns0:c>
      <ns0:c r="P111" t="str" s="13">
        <ns0:v>Footprints\PBL - SMD Packages.PcbLib</ns0:v>
      </ns0:c>
      <ns0:c r="Q111" t="str" s="14">
        <ns0:v>YAGEO CC; список 20.10.2026</ns0:v>
      </ns0:c>
      <ns0:c r="R111" t="str" s="11">
        <ns0:f>D111</ns0:f>
        <ns0:v>220 пФ</ns0:v>
      </ns0:c>
      <ns0:c r="S111" t="str" s="11">
        <ns0:f>L111</ns0:f>
        <ns0:v>Конденсатор 220 пФ ±20% 100 В X7R 0805</ns0:v>
      </ns0:c>
      <x:c xmlns:x="http://schemas.openxmlformats.org/spreadsheetml/2006/main" r="T111" t="str" s="11">
        <x:v>C:\Users\Nomatin\Documents\Altium\MY_LIB\MY_LIB\Datasheets\YAGEO_CC_X7R.pdf</x:v>
      </x:c>
      <x:c xmlns:x="http://schemas.openxmlformats.org/spreadsheetml/2006/main" r="U111" t="str" s="11">
        <x:v>Даташит — локальный</x:v>
      </x:c>
      <x:c xmlns:x="http://schemas.openxmlformats.org/spreadsheetml/2006/main" r="V111" t="str" s="11">
        <x:v>C:\Users\Nomatin\Documents\Altium\MY_LIB\MY_LIB\Datasheets\YAGEO_CC_X7R.pdf</x:v>
      </x:c>
      <x:c xmlns:x="http://schemas.openxmlformats.org/spreadsheetml/2006/main" r="W111" t="str" s="11">
        <x:v>Даташит — производитель</x:v>
      </x:c>
      <x:c xmlns:x="http://schemas.openxmlformats.org/spreadsheetml/2006/main" r="X111" t="str" s="11">
        <x:v>https://yageogroup.com/content/datasheet/asset/file/UPY-GPHC_X7R_6_3V-TO-250V</x:v>
      </x:c>
      <x:c xmlns:x="http://schemas.openxmlformats.org/spreadsheetml/2006/main" r="Y111" t="str" s="11">
        <x:v>C:\Users\Nomatin\Documents\Altium\MY_LIB\MY_LIB\Datasheets\YAGEO_CC_X7R.pdf</x:v>
      </x:c>
      <ns0:c xmlns:ns0="http://schemas.openxmlformats.org/spreadsheetml/2006/main" r="Z111" s="11">
        <ns0:v>2.2e-10</ns0:v>
      </ns0:c>
      <ns0:c xmlns:ns0="http://schemas.openxmlformats.org/spreadsheetml/2006/main" r="AA111" s="11">
        <ns0:v>0.025</ns0:v>
      </ns0:c>
      <ns0:c xmlns:ns0="http://schemas.openxmlformats.org/spreadsheetml/2006/main" r="AB111" s="11">
        <ns0:v>1000</ns0:v>
      </ns0:c>
      <ns0:c xmlns:ns0="http://schemas.openxmlformats.org/spreadsheetml/2006/main" r="AC111" s="11">
        <ns0:v>1</ns0:v>
      </ns0:c>
      <ns0:c xmlns:ns0="http://schemas.openxmlformats.org/spreadsheetml/2006/main" r="AD111" s="11">
        <ns0:v>20</ns0:v>
      </ns0:c>
      <ns0:c xmlns:ns0="http://schemas.openxmlformats.org/spreadsheetml/2006/main" r="AE111" s="11">
        <ns0:v>500</ns0:v>
      </ns0:c>
      <ns0:c xmlns:ns0="http://schemas.openxmlformats.org/spreadsheetml/2006/main" r="AF111" s="11">
        <ns0:v>10000000000</ns0:v>
      </ns0:c>
      <ns0:c xmlns:ns0="http://schemas.openxmlformats.org/spreadsheetml/2006/main" r="AG111" s="11">
        <ns0:v>100</ns0:v>
      </ns0:c>
      <ns0:c xmlns:ns0="http://schemas.openxmlformats.org/spreadsheetml/2006/main" r="AH111" s="11">
        <ns0:v>60</ns0:v>
      </ns0:c>
      <ns0:c xmlns:ns0="http://schemas.openxmlformats.org/spreadsheetml/2006/main" r="AI111" s="11">
        <ns0:v>18085.7889877154</ns0:v>
      </ns0:c>
      <ns0:c xmlns:ns0="http://schemas.openxmlformats.org/spreadsheetml/2006/main" r="AJ111" s="11" t="inlineStr">
        <ns0:is>
          <ns0:t>MY_LIB_C_RC</ns0:t>
        </ns0:is>
      </ns0:c>
      <ns0:c xmlns:ns0="http://schemas.openxmlformats.org/spreadsheetml/2006/main" r="AK111" s="11" t="inlineStr">
        <ns0:is>
          <ns0:t>Nominal C; DFmax at 1kHz; minimum insulation; no temperature/bias/ESL</ns0:t>
        </ns0:is>
      </ns0:c>
      <ns0:c xmlns:ns0="http://schemas.openxmlformats.org/spreadsheetml/2006/main" r="AL111" s="11" t="inlineStr">
        <ns0:is>
          <ns0:t>General</ns0:t>
        </ns0:is>
      </ns0:c>
      <ns0:c xmlns:ns0="http://schemas.openxmlformats.org/spreadsheetml/2006/main" r="AM111" s="11" t="inlineStr">
        <ns0:is>
          <ns0:t>Spice Subcircuit</ns0:t>
        </ns0:is>
      </ns0:c>
      <ns0:c xmlns:ns0="http://schemas.openxmlformats.org/spreadsheetml/2006/main" r="AN111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111" s="11" t="inlineStr">
        <ns0:is>
          <ns0:t>X</ns0:t>
        </ns0:is>
      </ns0:c>
      <ns0:c xmlns:ns0="http://schemas.openxmlformats.org/spreadsheetml/2006/main" r="AP111" s="11" t="inlineStr">
        <ns0:is>
          <ns0:t>(1:1),(2:2)</ns0:t>
        </ns0:is>
      </ns0:c>
      <ns0:c xmlns:ns0="http://schemas.openxmlformats.org/spreadsheetml/2006/main" r="AQ111" s="11" t="inlineStr">
        <ns0:is>
          <ns0:t>Simulation\Capacitors\MY_LIB_C_RC.ckt</ns0:t>
        </ns0:is>
      </ns0:c>
    </ns0:row>
    <ns0:row r="112" ht="30" customHeight="1">
      <ns0:c r="A112" t="str" s="14">
        <ns0:v>C0113</ns0:v>
      </ns0:c>
      <ns0:c r="B112" t="str" s="14">
        <ns0:v>Конденсатор</ns0:v>
      </ns0:c>
      <ns0:c r="C112" t="str" s="14">
        <ns0:v>330p</ns0:v>
      </ns0:c>
      <ns0:c r="D112" t="str" s="11">
        <ns0:f>SUBSTITUTE(SUBSTITUTE(SUBSTITUTE(SUBSTITUTE(C112,"p"," пФ"),"n"," нФ"),"u"," мкФ"),".",",")</ns0:f>
        <ns0:v>330 пФ</ns0:v>
      </ns0:c>
      <ns0:c r="E112" t="str" s="14">
        <ns0:v>±20%</ns0:v>
      </ns0:c>
      <ns0:c r="F112" s="14"/>
      <ns0:c r="G112" t="str" s="14">
        <ns0:v>100 В</ns0:v>
      </ns0:c>
      <ns0:c r="H112" t="str" s="14">
        <ns0:v>X7R</ns0:v>
      </ns0:c>
      <ns0:c r="I112" t="str" s="15">
        <ns0:v>0805</ns0:v>
      </ns0:c>
      <ns0:c r="J112" t="str" s="14">
        <ns0:v>YAGEO</ns0:v>
      </ns0:c>
      <ns0:c r="K112" t="str" s="14">
        <ns0:v>CC0805MRX7R0BB331</ns0:v>
      </ns0:c>
      <ns0:c r="L112" t="str" s="11">
        <ns0:f>B112&amp;" "&amp;D112&amp;" "&amp;E112&amp;" "&amp;G112&amp;" "&amp;H112&amp;" "&amp;I112</ns0:f>
        <ns0:v>Конденсатор 330 пФ ±20% 100 В X7R 0805</ns0:v>
      </ns0:c>
      <ns0:c r="M112" t="str" s="13">
        <ns0:v>C</ns0:v>
      </ns0:c>
      <ns0:c r="N112" t="str" s="13">
        <ns0:v>Symbols\MY_LIB_Capacitors.SchLib</ns0:v>
      </ns0:c>
      <ns0:c r="O112" t="str" s="13">
        <ns0:v>CAPC2012X135N</ns0:v>
      </ns0:c>
      <ns0:c r="P112" t="str" s="13">
        <ns0:v>Footprints\PBL - SMD Packages.PcbLib</ns0:v>
      </ns0:c>
      <ns0:c r="Q112" t="str" s="14">
        <ns0:v>YAGEO CC; список 20.10.2026</ns0:v>
      </ns0:c>
      <ns0:c r="R112" t="str" s="11">
        <ns0:f>D112</ns0:f>
        <ns0:v>330 пФ</ns0:v>
      </ns0:c>
      <ns0:c r="S112" t="str" s="11">
        <ns0:f>L112</ns0:f>
        <ns0:v>Конденсатор 330 пФ ±20% 100 В X7R 0805</ns0:v>
      </ns0:c>
      <x:c xmlns:x="http://schemas.openxmlformats.org/spreadsheetml/2006/main" r="T112" t="str" s="11">
        <x:v>C:\Users\Nomatin\Documents\Altium\MY_LIB\MY_LIB\Datasheets\YAGEO_CC_X7R.pdf</x:v>
      </x:c>
      <x:c xmlns:x="http://schemas.openxmlformats.org/spreadsheetml/2006/main" r="U112" t="str" s="11">
        <x:v>Даташит — локальный</x:v>
      </x:c>
      <x:c xmlns:x="http://schemas.openxmlformats.org/spreadsheetml/2006/main" r="V112" t="str" s="11">
        <x:v>C:\Users\Nomatin\Documents\Altium\MY_LIB\MY_LIB\Datasheets\YAGEO_CC_X7R.pdf</x:v>
      </x:c>
      <x:c xmlns:x="http://schemas.openxmlformats.org/spreadsheetml/2006/main" r="W112" t="str" s="11">
        <x:v>Даташит — производитель</x:v>
      </x:c>
      <x:c xmlns:x="http://schemas.openxmlformats.org/spreadsheetml/2006/main" r="X112" t="str" s="11">
        <x:v>https://yageogroup.com/content/datasheet/asset/file/UPY-GPHC_X7R_6_3V-TO-250V</x:v>
      </x:c>
      <x:c xmlns:x="http://schemas.openxmlformats.org/spreadsheetml/2006/main" r="Y112" t="str" s="11">
        <x:v>C:\Users\Nomatin\Documents\Altium\MY_LIB\MY_LIB\Datasheets\YAGEO_CC_X7R.pdf</x:v>
      </x:c>
      <ns0:c xmlns:ns0="http://schemas.openxmlformats.org/spreadsheetml/2006/main" r="Z112" s="11">
        <ns0:v>3.3e-10</ns0:v>
      </ns0:c>
      <ns0:c xmlns:ns0="http://schemas.openxmlformats.org/spreadsheetml/2006/main" r="AA112" s="11">
        <ns0:v>0.025</ns0:v>
      </ns0:c>
      <ns0:c xmlns:ns0="http://schemas.openxmlformats.org/spreadsheetml/2006/main" r="AB112" s="11">
        <ns0:v>1000</ns0:v>
      </ns0:c>
      <ns0:c xmlns:ns0="http://schemas.openxmlformats.org/spreadsheetml/2006/main" r="AC112" s="11">
        <ns0:v>1</ns0:v>
      </ns0:c>
      <ns0:c xmlns:ns0="http://schemas.openxmlformats.org/spreadsheetml/2006/main" r="AD112" s="11">
        <ns0:v>20</ns0:v>
      </ns0:c>
      <ns0:c xmlns:ns0="http://schemas.openxmlformats.org/spreadsheetml/2006/main" r="AE112" s="11">
        <ns0:v>500</ns0:v>
      </ns0:c>
      <ns0:c xmlns:ns0="http://schemas.openxmlformats.org/spreadsheetml/2006/main" r="AF112" s="11">
        <ns0:v>10000000000</ns0:v>
      </ns0:c>
      <ns0:c xmlns:ns0="http://schemas.openxmlformats.org/spreadsheetml/2006/main" r="AG112" s="11">
        <ns0:v>100</ns0:v>
      </ns0:c>
      <ns0:c xmlns:ns0="http://schemas.openxmlformats.org/spreadsheetml/2006/main" r="AH112" s="11">
        <ns0:v>60</ns0:v>
      </ns0:c>
      <ns0:c xmlns:ns0="http://schemas.openxmlformats.org/spreadsheetml/2006/main" r="AI112" s="11">
        <ns0:v>12057.1926584769</ns0:v>
      </ns0:c>
      <ns0:c xmlns:ns0="http://schemas.openxmlformats.org/spreadsheetml/2006/main" r="AJ112" s="11" t="inlineStr">
        <ns0:is>
          <ns0:t>MY_LIB_C_RC</ns0:t>
        </ns0:is>
      </ns0:c>
      <ns0:c xmlns:ns0="http://schemas.openxmlformats.org/spreadsheetml/2006/main" r="AK112" s="11" t="inlineStr">
        <ns0:is>
          <ns0:t>Nominal C; DFmax at 1kHz; minimum insulation; no temperature/bias/ESL</ns0:t>
        </ns0:is>
      </ns0:c>
      <ns0:c xmlns:ns0="http://schemas.openxmlformats.org/spreadsheetml/2006/main" r="AL112" s="11" t="inlineStr">
        <ns0:is>
          <ns0:t>General</ns0:t>
        </ns0:is>
      </ns0:c>
      <ns0:c xmlns:ns0="http://schemas.openxmlformats.org/spreadsheetml/2006/main" r="AM112" s="11" t="inlineStr">
        <ns0:is>
          <ns0:t>Spice Subcircuit</ns0:t>
        </ns0:is>
      </ns0:c>
      <ns0:c xmlns:ns0="http://schemas.openxmlformats.org/spreadsheetml/2006/main" r="AN112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112" s="11" t="inlineStr">
        <ns0:is>
          <ns0:t>X</ns0:t>
        </ns0:is>
      </ns0:c>
      <ns0:c xmlns:ns0="http://schemas.openxmlformats.org/spreadsheetml/2006/main" r="AP112" s="11" t="inlineStr">
        <ns0:is>
          <ns0:t>(1:1),(2:2)</ns0:t>
        </ns0:is>
      </ns0:c>
      <ns0:c xmlns:ns0="http://schemas.openxmlformats.org/spreadsheetml/2006/main" r="AQ112" s="11" t="inlineStr">
        <ns0:is>
          <ns0:t>Simulation\Capacitors\MY_LIB_C_RC.ckt</ns0:t>
        </ns0:is>
      </ns0:c>
    </ns0:row>
    <ns0:row r="113" ht="30" customHeight="1">
      <ns0:c r="A113" t="str" s="14">
        <ns0:v>C0114</ns0:v>
      </ns0:c>
      <ns0:c r="B113" t="str" s="14">
        <ns0:v>Конденсатор</ns0:v>
      </ns0:c>
      <ns0:c r="C113" t="str" s="14">
        <ns0:v>470p</ns0:v>
      </ns0:c>
      <ns0:c r="D113" t="str" s="11">
        <ns0:f>SUBSTITUTE(SUBSTITUTE(SUBSTITUTE(SUBSTITUTE(C113,"p"," пФ"),"n"," нФ"),"u"," мкФ"),".",",")</ns0:f>
        <ns0:v>470 пФ</ns0:v>
      </ns0:c>
      <ns0:c r="E113" t="str" s="14">
        <ns0:v>±20%</ns0:v>
      </ns0:c>
      <ns0:c r="F113" s="14"/>
      <ns0:c r="G113" t="str" s="14">
        <ns0:v>100 В</ns0:v>
      </ns0:c>
      <ns0:c r="H113" t="str" s="14">
        <ns0:v>X7R</ns0:v>
      </ns0:c>
      <ns0:c r="I113" t="str" s="15">
        <ns0:v>0805</ns0:v>
      </ns0:c>
      <ns0:c r="J113" t="str" s="14">
        <ns0:v>YAGEO</ns0:v>
      </ns0:c>
      <ns0:c r="K113" t="str" s="14">
        <ns0:v>CC0805MRX7R0BB471</ns0:v>
      </ns0:c>
      <ns0:c r="L113" t="str" s="11">
        <ns0:f>B113&amp;" "&amp;D113&amp;" "&amp;E113&amp;" "&amp;G113&amp;" "&amp;H113&amp;" "&amp;I113</ns0:f>
        <ns0:v>Конденсатор 470 пФ ±20% 100 В X7R 0805</ns0:v>
      </ns0:c>
      <ns0:c r="M113" t="str" s="13">
        <ns0:v>C</ns0:v>
      </ns0:c>
      <ns0:c r="N113" t="str" s="13">
        <ns0:v>Symbols\MY_LIB_Capacitors.SchLib</ns0:v>
      </ns0:c>
      <ns0:c r="O113" t="str" s="13">
        <ns0:v>CAPC2012X135N</ns0:v>
      </ns0:c>
      <ns0:c r="P113" t="str" s="13">
        <ns0:v>Footprints\PBL - SMD Packages.PcbLib</ns0:v>
      </ns0:c>
      <ns0:c r="Q113" t="str" s="14">
        <ns0:v>YAGEO CC; список 20.10.2026</ns0:v>
      </ns0:c>
      <ns0:c r="R113" t="str" s="11">
        <ns0:f>D113</ns0:f>
        <ns0:v>470 пФ</ns0:v>
      </ns0:c>
      <ns0:c r="S113" t="str" s="11">
        <ns0:f>L113</ns0:f>
        <ns0:v>Конденсатор 470 пФ ±20% 100 В X7R 0805</ns0:v>
      </ns0:c>
      <x:c xmlns:x="http://schemas.openxmlformats.org/spreadsheetml/2006/main" r="T113" t="str" s="11">
        <x:v>C:\Users\Nomatin\Documents\Altium\MY_LIB\MY_LIB\Datasheets\YAGEO_CC_X7R.pdf</x:v>
      </x:c>
      <x:c xmlns:x="http://schemas.openxmlformats.org/spreadsheetml/2006/main" r="U113" t="str" s="11">
        <x:v>Даташит — локальный</x:v>
      </x:c>
      <x:c xmlns:x="http://schemas.openxmlformats.org/spreadsheetml/2006/main" r="V113" t="str" s="11">
        <x:v>C:\Users\Nomatin\Documents\Altium\MY_LIB\MY_LIB\Datasheets\YAGEO_CC_X7R.pdf</x:v>
      </x:c>
      <x:c xmlns:x="http://schemas.openxmlformats.org/spreadsheetml/2006/main" r="W113" t="str" s="11">
        <x:v>Даташит — производитель</x:v>
      </x:c>
      <x:c xmlns:x="http://schemas.openxmlformats.org/spreadsheetml/2006/main" r="X113" t="str" s="11">
        <x:v>https://yageogroup.com/content/datasheet/asset/file/UPY-GPHC_X7R_6_3V-TO-250V</x:v>
      </x:c>
      <x:c xmlns:x="http://schemas.openxmlformats.org/spreadsheetml/2006/main" r="Y113" t="str" s="11">
        <x:v>C:\Users\Nomatin\Documents\Altium\MY_LIB\MY_LIB\Datasheets\YAGEO_CC_X7R.pdf</x:v>
      </x:c>
      <ns0:c xmlns:ns0="http://schemas.openxmlformats.org/spreadsheetml/2006/main" r="Z113" s="11">
        <ns0:v>4.7e-10</ns0:v>
      </ns0:c>
      <ns0:c xmlns:ns0="http://schemas.openxmlformats.org/spreadsheetml/2006/main" r="AA113" s="11">
        <ns0:v>0.025</ns0:v>
      </ns0:c>
      <ns0:c xmlns:ns0="http://schemas.openxmlformats.org/spreadsheetml/2006/main" r="AB113" s="11">
        <ns0:v>1000</ns0:v>
      </ns0:c>
      <ns0:c xmlns:ns0="http://schemas.openxmlformats.org/spreadsheetml/2006/main" r="AC113" s="11">
        <ns0:v>1</ns0:v>
      </ns0:c>
      <ns0:c xmlns:ns0="http://schemas.openxmlformats.org/spreadsheetml/2006/main" r="AD113" s="11">
        <ns0:v>20</ns0:v>
      </ns0:c>
      <ns0:c xmlns:ns0="http://schemas.openxmlformats.org/spreadsheetml/2006/main" r="AE113" s="11">
        <ns0:v>500</ns0:v>
      </ns0:c>
      <ns0:c xmlns:ns0="http://schemas.openxmlformats.org/spreadsheetml/2006/main" r="AF113" s="11">
        <ns0:v>10000000000</ns0:v>
      </ns0:c>
      <ns0:c xmlns:ns0="http://schemas.openxmlformats.org/spreadsheetml/2006/main" r="AG113" s="11">
        <ns0:v>100</ns0:v>
      </ns0:c>
      <ns0:c xmlns:ns0="http://schemas.openxmlformats.org/spreadsheetml/2006/main" r="AH113" s="11">
        <ns0:v>60</ns0:v>
      </ns0:c>
      <ns0:c xmlns:ns0="http://schemas.openxmlformats.org/spreadsheetml/2006/main" r="AI113" s="11">
        <ns0:v>8465.68846233486</ns0:v>
      </ns0:c>
      <ns0:c xmlns:ns0="http://schemas.openxmlformats.org/spreadsheetml/2006/main" r="AJ113" s="11" t="inlineStr">
        <ns0:is>
          <ns0:t>MY_LIB_C_RC</ns0:t>
        </ns0:is>
      </ns0:c>
      <ns0:c xmlns:ns0="http://schemas.openxmlformats.org/spreadsheetml/2006/main" r="AK113" s="11" t="inlineStr">
        <ns0:is>
          <ns0:t>Nominal C; DFmax at 1kHz; minimum insulation; no temperature/bias/ESL</ns0:t>
        </ns0:is>
      </ns0:c>
      <ns0:c xmlns:ns0="http://schemas.openxmlformats.org/spreadsheetml/2006/main" r="AL113" s="11" t="inlineStr">
        <ns0:is>
          <ns0:t>General</ns0:t>
        </ns0:is>
      </ns0:c>
      <ns0:c xmlns:ns0="http://schemas.openxmlformats.org/spreadsheetml/2006/main" r="AM113" s="11" t="inlineStr">
        <ns0:is>
          <ns0:t>Spice Subcircuit</ns0:t>
        </ns0:is>
      </ns0:c>
      <ns0:c xmlns:ns0="http://schemas.openxmlformats.org/spreadsheetml/2006/main" r="AN113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113" s="11" t="inlineStr">
        <ns0:is>
          <ns0:t>X</ns0:t>
        </ns0:is>
      </ns0:c>
      <ns0:c xmlns:ns0="http://schemas.openxmlformats.org/spreadsheetml/2006/main" r="AP113" s="11" t="inlineStr">
        <ns0:is>
          <ns0:t>(1:1),(2:2)</ns0:t>
        </ns0:is>
      </ns0:c>
      <ns0:c xmlns:ns0="http://schemas.openxmlformats.org/spreadsheetml/2006/main" r="AQ113" s="11" t="inlineStr">
        <ns0:is>
          <ns0:t>Simulation\Capacitors\MY_LIB_C_RC.ckt</ns0:t>
        </ns0:is>
      </ns0:c>
    </ns0:row>
    <ns0:row r="114" ht="30" customHeight="1">
      <ns0:c r="A114" t="str" s="14">
        <ns0:v>C0115</ns0:v>
      </ns0:c>
      <ns0:c r="B114" t="str" s="14">
        <ns0:v>Конденсатор</ns0:v>
      </ns0:c>
      <ns0:c r="C114" t="str" s="14">
        <ns0:v>680p</ns0:v>
      </ns0:c>
      <ns0:c r="D114" t="str" s="11">
        <ns0:f>SUBSTITUTE(SUBSTITUTE(SUBSTITUTE(SUBSTITUTE(C114,"p"," пФ"),"n"," нФ"),"u"," мкФ"),".",",")</ns0:f>
        <ns0:v>680 пФ</ns0:v>
      </ns0:c>
      <ns0:c r="E114" t="str" s="14">
        <ns0:v>±20%</ns0:v>
      </ns0:c>
      <ns0:c r="F114" s="14"/>
      <ns0:c r="G114" t="str" s="14">
        <ns0:v>100 В</ns0:v>
      </ns0:c>
      <ns0:c r="H114" t="str" s="14">
        <ns0:v>X7R</ns0:v>
      </ns0:c>
      <ns0:c r="I114" t="str" s="15">
        <ns0:v>0805</ns0:v>
      </ns0:c>
      <ns0:c r="J114" t="str" s="14">
        <ns0:v>YAGEO</ns0:v>
      </ns0:c>
      <ns0:c r="K114" t="str" s="14">
        <ns0:v>CC0805MRX7R0BB681</ns0:v>
      </ns0:c>
      <ns0:c r="L114" t="str" s="11">
        <ns0:f>B114&amp;" "&amp;D114&amp;" "&amp;E114&amp;" "&amp;G114&amp;" "&amp;H114&amp;" "&amp;I114</ns0:f>
        <ns0:v>Конденсатор 680 пФ ±20% 100 В X7R 0805</ns0:v>
      </ns0:c>
      <ns0:c r="M114" t="str" s="13">
        <ns0:v>C</ns0:v>
      </ns0:c>
      <ns0:c r="N114" t="str" s="13">
        <ns0:v>Symbols\MY_LIB_Capacitors.SchLib</ns0:v>
      </ns0:c>
      <ns0:c r="O114" t="str" s="13">
        <ns0:v>CAPC2012X135N</ns0:v>
      </ns0:c>
      <ns0:c r="P114" t="str" s="13">
        <ns0:v>Footprints\PBL - SMD Packages.PcbLib</ns0:v>
      </ns0:c>
      <ns0:c r="Q114" t="str" s="14">
        <ns0:v>YAGEO CC; список 20.10.2026</ns0:v>
      </ns0:c>
      <ns0:c r="R114" t="str" s="11">
        <ns0:f>D114</ns0:f>
        <ns0:v>680 пФ</ns0:v>
      </ns0:c>
      <ns0:c r="S114" t="str" s="11">
        <ns0:f>L114</ns0:f>
        <ns0:v>Конденсатор 680 пФ ±20% 100 В X7R 0805</ns0:v>
      </ns0:c>
      <x:c xmlns:x="http://schemas.openxmlformats.org/spreadsheetml/2006/main" r="T114" t="str" s="11">
        <x:v>C:\Users\Nomatin\Documents\Altium\MY_LIB\MY_LIB\Datasheets\YAGEO_CC_X7R.pdf</x:v>
      </x:c>
      <x:c xmlns:x="http://schemas.openxmlformats.org/spreadsheetml/2006/main" r="U114" t="str" s="11">
        <x:v>Даташит — локальный</x:v>
      </x:c>
      <x:c xmlns:x="http://schemas.openxmlformats.org/spreadsheetml/2006/main" r="V114" t="str" s="11">
        <x:v>C:\Users\Nomatin\Documents\Altium\MY_LIB\MY_LIB\Datasheets\YAGEO_CC_X7R.pdf</x:v>
      </x:c>
      <x:c xmlns:x="http://schemas.openxmlformats.org/spreadsheetml/2006/main" r="W114" t="str" s="11">
        <x:v>Даташит — производитель</x:v>
      </x:c>
      <x:c xmlns:x="http://schemas.openxmlformats.org/spreadsheetml/2006/main" r="X114" t="str" s="11">
        <x:v>https://yageogroup.com/content/datasheet/asset/file/UPY-GPHC_X7R_6_3V-TO-250V</x:v>
      </x:c>
      <x:c xmlns:x="http://schemas.openxmlformats.org/spreadsheetml/2006/main" r="Y114" t="str" s="11">
        <x:v>C:\Users\Nomatin\Documents\Altium\MY_LIB\MY_LIB\Datasheets\YAGEO_CC_X7R.pdf</x:v>
      </x:c>
      <ns0:c xmlns:ns0="http://schemas.openxmlformats.org/spreadsheetml/2006/main" r="Z114" s="11">
        <ns0:v>6.8e-10</ns0:v>
      </ns0:c>
      <ns0:c xmlns:ns0="http://schemas.openxmlformats.org/spreadsheetml/2006/main" r="AA114" s="11">
        <ns0:v>0.025</ns0:v>
      </ns0:c>
      <ns0:c xmlns:ns0="http://schemas.openxmlformats.org/spreadsheetml/2006/main" r="AB114" s="11">
        <ns0:v>1000</ns0:v>
      </ns0:c>
      <ns0:c xmlns:ns0="http://schemas.openxmlformats.org/spreadsheetml/2006/main" r="AC114" s="11">
        <ns0:v>1</ns0:v>
      </ns0:c>
      <ns0:c xmlns:ns0="http://schemas.openxmlformats.org/spreadsheetml/2006/main" r="AD114" s="11">
        <ns0:v>20</ns0:v>
      </ns0:c>
      <ns0:c xmlns:ns0="http://schemas.openxmlformats.org/spreadsheetml/2006/main" r="AE114" s="11">
        <ns0:v>500</ns0:v>
      </ns0:c>
      <ns0:c xmlns:ns0="http://schemas.openxmlformats.org/spreadsheetml/2006/main" r="AF114" s="11">
        <ns0:v>10000000000</ns0:v>
      </ns0:c>
      <ns0:c xmlns:ns0="http://schemas.openxmlformats.org/spreadsheetml/2006/main" r="AG114" s="11">
        <ns0:v>100</ns0:v>
      </ns0:c>
      <ns0:c xmlns:ns0="http://schemas.openxmlformats.org/spreadsheetml/2006/main" r="AH114" s="11">
        <ns0:v>60</ns0:v>
      </ns0:c>
      <ns0:c xmlns:ns0="http://schemas.openxmlformats.org/spreadsheetml/2006/main" r="AI114" s="11">
        <ns0:v>5851.28467249615</ns0:v>
      </ns0:c>
      <ns0:c xmlns:ns0="http://schemas.openxmlformats.org/spreadsheetml/2006/main" r="AJ114" s="11" t="inlineStr">
        <ns0:is>
          <ns0:t>MY_LIB_C_RC</ns0:t>
        </ns0:is>
      </ns0:c>
      <ns0:c xmlns:ns0="http://schemas.openxmlformats.org/spreadsheetml/2006/main" r="AK114" s="11" t="inlineStr">
        <ns0:is>
          <ns0:t>Nominal C; DFmax at 1kHz; minimum insulation; no temperature/bias/ESL</ns0:t>
        </ns0:is>
      </ns0:c>
      <ns0:c xmlns:ns0="http://schemas.openxmlformats.org/spreadsheetml/2006/main" r="AL114" s="11" t="inlineStr">
        <ns0:is>
          <ns0:t>General</ns0:t>
        </ns0:is>
      </ns0:c>
      <ns0:c xmlns:ns0="http://schemas.openxmlformats.org/spreadsheetml/2006/main" r="AM114" s="11" t="inlineStr">
        <ns0:is>
          <ns0:t>Spice Subcircuit</ns0:t>
        </ns0:is>
      </ns0:c>
      <ns0:c xmlns:ns0="http://schemas.openxmlformats.org/spreadsheetml/2006/main" r="AN114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114" s="11" t="inlineStr">
        <ns0:is>
          <ns0:t>X</ns0:t>
        </ns0:is>
      </ns0:c>
      <ns0:c xmlns:ns0="http://schemas.openxmlformats.org/spreadsheetml/2006/main" r="AP114" s="11" t="inlineStr">
        <ns0:is>
          <ns0:t>(1:1),(2:2)</ns0:t>
        </ns0:is>
      </ns0:c>
      <ns0:c xmlns:ns0="http://schemas.openxmlformats.org/spreadsheetml/2006/main" r="AQ114" s="11" t="inlineStr">
        <ns0:is>
          <ns0:t>Simulation\Capacitors\MY_LIB_C_RC.ckt</ns0:t>
        </ns0:is>
      </ns0:c>
    </ns0:row>
    <ns0:row r="115" ht="30" customHeight="1">
      <ns0:c r="A115" t="str" s="14">
        <ns0:v>C0116</ns0:v>
      </ns0:c>
      <ns0:c r="B115" t="str" s="14">
        <ns0:v>Конденсатор</ns0:v>
      </ns0:c>
      <ns0:c r="C115" t="str" s="14">
        <ns0:v>1n</ns0:v>
      </ns0:c>
      <ns0:c r="D115" t="str" s="11">
        <ns0:f>SUBSTITUTE(SUBSTITUTE(SUBSTITUTE(SUBSTITUTE(C115,"p"," пФ"),"n"," нФ"),"u"," мкФ"),".",",")</ns0:f>
        <ns0:v>1 нФ</ns0:v>
      </ns0:c>
      <ns0:c r="E115" t="str" s="14">
        <ns0:v>±20%</ns0:v>
      </ns0:c>
      <ns0:c r="F115" s="14"/>
      <ns0:c r="G115" t="str" s="14">
        <ns0:v>100 В</ns0:v>
      </ns0:c>
      <ns0:c r="H115" t="str" s="14">
        <ns0:v>X7R</ns0:v>
      </ns0:c>
      <ns0:c r="I115" t="str" s="15">
        <ns0:v>0805</ns0:v>
      </ns0:c>
      <ns0:c r="J115" t="str" s="14">
        <ns0:v>YAGEO</ns0:v>
      </ns0:c>
      <ns0:c r="K115" t="str" s="14">
        <ns0:v>CC0805MRX7R0BB102</ns0:v>
      </ns0:c>
      <ns0:c r="L115" t="str" s="11">
        <ns0:f>B115&amp;" "&amp;D115&amp;" "&amp;E115&amp;" "&amp;G115&amp;" "&amp;H115&amp;" "&amp;I115</ns0:f>
        <ns0:v>Конденсатор 1 нФ ±20% 100 В X7R 0805</ns0:v>
      </ns0:c>
      <ns0:c r="M115" t="str" s="13">
        <ns0:v>C</ns0:v>
      </ns0:c>
      <ns0:c r="N115" t="str" s="13">
        <ns0:v>Symbols\MY_LIB_Capacitors.SchLib</ns0:v>
      </ns0:c>
      <ns0:c r="O115" t="str" s="13">
        <ns0:v>CAPC2012X135N</ns0:v>
      </ns0:c>
      <ns0:c r="P115" t="str" s="13">
        <ns0:v>Footprints\PBL - SMD Packages.PcbLib</ns0:v>
      </ns0:c>
      <ns0:c r="Q115" t="str" s="14">
        <ns0:v>YAGEO CC; список 20.10.2026</ns0:v>
      </ns0:c>
      <ns0:c r="R115" t="str" s="11">
        <ns0:f>D115</ns0:f>
        <ns0:v>1 нФ</ns0:v>
      </ns0:c>
      <ns0:c r="S115" t="str" s="11">
        <ns0:f>L115</ns0:f>
        <ns0:v>Конденсатор 1 нФ ±20% 100 В X7R 0805</ns0:v>
      </ns0:c>
      <x:c xmlns:x="http://schemas.openxmlformats.org/spreadsheetml/2006/main" r="T115" t="str" s="11">
        <x:v>C:\Users\Nomatin\Documents\Altium\MY_LIB\MY_LIB\Datasheets\YAGEO_CC_X7R.pdf</x:v>
      </x:c>
      <x:c xmlns:x="http://schemas.openxmlformats.org/spreadsheetml/2006/main" r="U115" t="str" s="11">
        <x:v>Даташит — локальный</x:v>
      </x:c>
      <x:c xmlns:x="http://schemas.openxmlformats.org/spreadsheetml/2006/main" r="V115" t="str" s="11">
        <x:v>C:\Users\Nomatin\Documents\Altium\MY_LIB\MY_LIB\Datasheets\YAGEO_CC_X7R.pdf</x:v>
      </x:c>
      <x:c xmlns:x="http://schemas.openxmlformats.org/spreadsheetml/2006/main" r="W115" t="str" s="11">
        <x:v>Даташит — производитель</x:v>
      </x:c>
      <x:c xmlns:x="http://schemas.openxmlformats.org/spreadsheetml/2006/main" r="X115" t="str" s="11">
        <x:v>https://yageogroup.com/content/datasheet/asset/file/UPY-GPHC_X7R_6_3V-TO-250V</x:v>
      </x:c>
      <x:c xmlns:x="http://schemas.openxmlformats.org/spreadsheetml/2006/main" r="Y115" t="str" s="11">
        <x:v>C:\Users\Nomatin\Documents\Altium\MY_LIB\MY_LIB\Datasheets\YAGEO_CC_X7R.pdf</x:v>
      </x:c>
      <ns0:c xmlns:ns0="http://schemas.openxmlformats.org/spreadsheetml/2006/main" r="Z115" s="11">
        <ns0:v>1e-09</ns0:v>
      </ns0:c>
      <ns0:c xmlns:ns0="http://schemas.openxmlformats.org/spreadsheetml/2006/main" r="AA115" s="11">
        <ns0:v>0.025</ns0:v>
      </ns0:c>
      <ns0:c xmlns:ns0="http://schemas.openxmlformats.org/spreadsheetml/2006/main" r="AB115" s="11">
        <ns0:v>1000</ns0:v>
      </ns0:c>
      <ns0:c xmlns:ns0="http://schemas.openxmlformats.org/spreadsheetml/2006/main" r="AC115" s="11">
        <ns0:v>1</ns0:v>
      </ns0:c>
      <ns0:c xmlns:ns0="http://schemas.openxmlformats.org/spreadsheetml/2006/main" r="AD115" s="11">
        <ns0:v>20</ns0:v>
      </ns0:c>
      <ns0:c xmlns:ns0="http://schemas.openxmlformats.org/spreadsheetml/2006/main" r="AE115" s="11">
        <ns0:v>500</ns0:v>
      </ns0:c>
      <ns0:c xmlns:ns0="http://schemas.openxmlformats.org/spreadsheetml/2006/main" r="AF115" s="11">
        <ns0:v>10000000000</ns0:v>
      </ns0:c>
      <ns0:c xmlns:ns0="http://schemas.openxmlformats.org/spreadsheetml/2006/main" r="AG115" s="11">
        <ns0:v>100</ns0:v>
      </ns0:c>
      <ns0:c xmlns:ns0="http://schemas.openxmlformats.org/spreadsheetml/2006/main" r="AH115" s="11">
        <ns0:v>60</ns0:v>
      </ns0:c>
      <ns0:c xmlns:ns0="http://schemas.openxmlformats.org/spreadsheetml/2006/main" r="AI115" s="11">
        <ns0:v>3978.87357729738</ns0:v>
      </ns0:c>
      <ns0:c xmlns:ns0="http://schemas.openxmlformats.org/spreadsheetml/2006/main" r="AJ115" s="11" t="inlineStr">
        <ns0:is>
          <ns0:t>MY_LIB_C_RC</ns0:t>
        </ns0:is>
      </ns0:c>
      <ns0:c xmlns:ns0="http://schemas.openxmlformats.org/spreadsheetml/2006/main" r="AK115" s="11" t="inlineStr">
        <ns0:is>
          <ns0:t>Nominal C; DFmax at 1kHz; minimum insulation; no temperature/bias/ESL</ns0:t>
        </ns0:is>
      </ns0:c>
      <ns0:c xmlns:ns0="http://schemas.openxmlformats.org/spreadsheetml/2006/main" r="AL115" s="11" t="inlineStr">
        <ns0:is>
          <ns0:t>General</ns0:t>
        </ns0:is>
      </ns0:c>
      <ns0:c xmlns:ns0="http://schemas.openxmlformats.org/spreadsheetml/2006/main" r="AM115" s="11" t="inlineStr">
        <ns0:is>
          <ns0:t>Spice Subcircuit</ns0:t>
        </ns0:is>
      </ns0:c>
      <ns0:c xmlns:ns0="http://schemas.openxmlformats.org/spreadsheetml/2006/main" r="AN115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115" s="11" t="inlineStr">
        <ns0:is>
          <ns0:t>X</ns0:t>
        </ns0:is>
      </ns0:c>
      <ns0:c xmlns:ns0="http://schemas.openxmlformats.org/spreadsheetml/2006/main" r="AP115" s="11" t="inlineStr">
        <ns0:is>
          <ns0:t>(1:1),(2:2)</ns0:t>
        </ns0:is>
      </ns0:c>
      <ns0:c xmlns:ns0="http://schemas.openxmlformats.org/spreadsheetml/2006/main" r="AQ115" s="11" t="inlineStr">
        <ns0:is>
          <ns0:t>Simulation\Capacitors\MY_LIB_C_RC.ckt</ns0:t>
        </ns0:is>
      </ns0:c>
    </ns0:row>
    <ns0:row r="116" ht="30" customHeight="1">
      <ns0:c r="A116" t="str" s="14">
        <ns0:v>C0117</ns0:v>
      </ns0:c>
      <ns0:c r="B116" t="str" s="14">
        <ns0:v>Конденсатор</ns0:v>
      </ns0:c>
      <ns0:c r="C116" t="str" s="14">
        <ns0:v>1.2n</ns0:v>
      </ns0:c>
      <ns0:c r="D116" t="str" s="11">
        <ns0:f>SUBSTITUTE(SUBSTITUTE(SUBSTITUTE(SUBSTITUTE(C116,"p"," пФ"),"n"," нФ"),"u"," мкФ"),".",",")</ns0:f>
        <ns0:v>1,2 нФ</ns0:v>
      </ns0:c>
      <ns0:c r="E116" t="str" s="14">
        <ns0:v>±20%</ns0:v>
      </ns0:c>
      <ns0:c r="F116" s="14"/>
      <ns0:c r="G116" t="str" s="14">
        <ns0:v>50 В</ns0:v>
      </ns0:c>
      <ns0:c r="H116" t="str" s="14">
        <ns0:v>X7R</ns0:v>
      </ns0:c>
      <ns0:c r="I116" t="str" s="15">
        <ns0:v>0805</ns0:v>
      </ns0:c>
      <ns0:c r="J116" t="str" s="14">
        <ns0:v>YAGEO</ns0:v>
      </ns0:c>
      <ns0:c r="K116" t="str" s="14">
        <ns0:v>CC0805MRX7R9BB122</ns0:v>
      </ns0:c>
      <ns0:c r="L116" t="str" s="11">
        <ns0:f>B116&amp;" "&amp;D116&amp;" "&amp;E116&amp;" "&amp;G116&amp;" "&amp;H116&amp;" "&amp;I116</ns0:f>
        <ns0:v>Конденсатор 1,2 нФ ±20% 50 В X7R 0805</ns0:v>
      </ns0:c>
      <ns0:c r="M116" t="str" s="13">
        <ns0:v>C</ns0:v>
      </ns0:c>
      <ns0:c r="N116" t="str" s="13">
        <ns0:v>Symbols\MY_LIB_Capacitors.SchLib</ns0:v>
      </ns0:c>
      <ns0:c r="O116" t="str" s="13">
        <ns0:v>CAPC2012X135N</ns0:v>
      </ns0:c>
      <ns0:c r="P116" t="str" s="13">
        <ns0:v>Footprints\PBL - SMD Packages.PcbLib</ns0:v>
      </ns0:c>
      <ns0:c r="Q116" t="str" s="14">
        <ns0:v>YAGEO CC; список 20.10.2026</ns0:v>
      </ns0:c>
      <ns0:c r="R116" t="str" s="11">
        <ns0:f>D116</ns0:f>
        <ns0:v>1,2 нФ</ns0:v>
      </ns0:c>
      <ns0:c r="S116" t="str" s="11">
        <ns0:f>L116</ns0:f>
        <ns0:v>Конденсатор 1,2 нФ ±20% 50 В X7R 0805</ns0:v>
      </ns0:c>
      <x:c xmlns:x="http://schemas.openxmlformats.org/spreadsheetml/2006/main" r="T116" t="str" s="11">
        <x:v>C:\Users\Nomatin\Documents\Altium\MY_LIB\MY_LIB\Datasheets\YAGEO_CC_X7R.pdf</x:v>
      </x:c>
      <x:c xmlns:x="http://schemas.openxmlformats.org/spreadsheetml/2006/main" r="U116" t="str" s="11">
        <x:v>Даташит — локальный</x:v>
      </x:c>
      <x:c xmlns:x="http://schemas.openxmlformats.org/spreadsheetml/2006/main" r="V116" t="str" s="11">
        <x:v>C:\Users\Nomatin\Documents\Altium\MY_LIB\MY_LIB\Datasheets\YAGEO_CC_X7R.pdf</x:v>
      </x:c>
      <x:c xmlns:x="http://schemas.openxmlformats.org/spreadsheetml/2006/main" r="W116" t="str" s="11">
        <x:v>Даташит — производитель</x:v>
      </x:c>
      <x:c xmlns:x="http://schemas.openxmlformats.org/spreadsheetml/2006/main" r="X116" t="str" s="11">
        <x:v>https://yageogroup.com/content/datasheet/asset/file/UPY-GPHC_X7R_6_3V-TO-250V</x:v>
      </x:c>
      <x:c xmlns:x="http://schemas.openxmlformats.org/spreadsheetml/2006/main" r="Y116" t="str" s="11">
        <x:v>C:\Users\Nomatin\Documents\Altium\MY_LIB\MY_LIB\Datasheets\YAGEO_CC_X7R.pdf</x:v>
      </x:c>
      <ns0:c xmlns:ns0="http://schemas.openxmlformats.org/spreadsheetml/2006/main" r="Z116" s="11">
        <ns0:v>1.2e-09</ns0:v>
      </ns0:c>
      <ns0:c xmlns:ns0="http://schemas.openxmlformats.org/spreadsheetml/2006/main" r="AA116" s="11">
        <ns0:v>0.025</ns0:v>
      </ns0:c>
      <ns0:c xmlns:ns0="http://schemas.openxmlformats.org/spreadsheetml/2006/main" r="AB116" s="11">
        <ns0:v>1000</ns0:v>
      </ns0:c>
      <ns0:c xmlns:ns0="http://schemas.openxmlformats.org/spreadsheetml/2006/main" r="AC116" s="11">
        <ns0:v>1</ns0:v>
      </ns0:c>
      <ns0:c xmlns:ns0="http://schemas.openxmlformats.org/spreadsheetml/2006/main" r="AD116" s="11">
        <ns0:v>20</ns0:v>
      </ns0:c>
      <ns0:c xmlns:ns0="http://schemas.openxmlformats.org/spreadsheetml/2006/main" r="AE116" s="11">
        <ns0:v>500</ns0:v>
      </ns0:c>
      <ns0:c xmlns:ns0="http://schemas.openxmlformats.org/spreadsheetml/2006/main" r="AF116" s="11">
        <ns0:v>10000000000</ns0:v>
      </ns0:c>
      <ns0:c xmlns:ns0="http://schemas.openxmlformats.org/spreadsheetml/2006/main" r="AG116" s="11">
        <ns0:v>50</ns0:v>
      </ns0:c>
      <ns0:c xmlns:ns0="http://schemas.openxmlformats.org/spreadsheetml/2006/main" r="AH116" s="11">
        <ns0:v>60</ns0:v>
      </ns0:c>
      <ns0:c xmlns:ns0="http://schemas.openxmlformats.org/spreadsheetml/2006/main" r="AI116" s="11">
        <ns0:v>3315.72798108115</ns0:v>
      </ns0:c>
      <ns0:c xmlns:ns0="http://schemas.openxmlformats.org/spreadsheetml/2006/main" r="AJ116" s="11" t="inlineStr">
        <ns0:is>
          <ns0:t>MY_LIB_C_RC</ns0:t>
        </ns0:is>
      </ns0:c>
      <ns0:c xmlns:ns0="http://schemas.openxmlformats.org/spreadsheetml/2006/main" r="AK116" s="11" t="inlineStr">
        <ns0:is>
          <ns0:t>Nominal C; DFmax at 1kHz; minimum insulation; no temperature/bias/ESL</ns0:t>
        </ns0:is>
      </ns0:c>
      <ns0:c xmlns:ns0="http://schemas.openxmlformats.org/spreadsheetml/2006/main" r="AL116" s="11" t="inlineStr">
        <ns0:is>
          <ns0:t>General</ns0:t>
        </ns0:is>
      </ns0:c>
      <ns0:c xmlns:ns0="http://schemas.openxmlformats.org/spreadsheetml/2006/main" r="AM116" s="11" t="inlineStr">
        <ns0:is>
          <ns0:t>Spice Subcircuit</ns0:t>
        </ns0:is>
      </ns0:c>
      <ns0:c xmlns:ns0="http://schemas.openxmlformats.org/spreadsheetml/2006/main" r="AN116" s="11" t="inlineStr">
        <ns0:is>
          <ns0:t>@DESIGNATOR %1 %2 @MODEL PARAMS: Cvalue=1.2e-09 Rsvalue=3315.72798108115 Rinsvalue=10000000000</ns0:t>
        </ns0:is>
      </ns0:c>
      <ns0:c xmlns:ns0="http://schemas.openxmlformats.org/spreadsheetml/2006/main" r="AO116" s="11" t="inlineStr">
        <ns0:is>
          <ns0:t>X</ns0:t>
        </ns0:is>
      </ns0:c>
      <ns0:c xmlns:ns0="http://schemas.openxmlformats.org/spreadsheetml/2006/main" r="AP116" s="11" t="inlineStr">
        <ns0:is>
          <ns0:t>(1:1),(2:2)</ns0:t>
        </ns0:is>
      </ns0:c>
      <ns0:c xmlns:ns0="http://schemas.openxmlformats.org/spreadsheetml/2006/main" r="AQ116" s="11" t="inlineStr">
        <ns0:is>
          <ns0:t>Simulation\Capacitors\MY_LIB_C_RC.ckt</ns0:t>
        </ns0:is>
      </ns0:c>
    </ns0:row>
    <ns0:row r="117" ht="30" customHeight="1">
      <ns0:c r="A117" t="str" s="14">
        <ns0:v>C0118</ns0:v>
      </ns0:c>
      <ns0:c r="B117" t="str" s="14">
        <ns0:v>Конденсатор</ns0:v>
      </ns0:c>
      <ns0:c r="C117" t="str" s="14">
        <ns0:v>1.5n</ns0:v>
      </ns0:c>
      <ns0:c r="D117" t="str" s="11">
        <ns0:f>SUBSTITUTE(SUBSTITUTE(SUBSTITUTE(SUBSTITUTE(C117,"p"," пФ"),"n"," нФ"),"u"," мкФ"),".",",")</ns0:f>
        <ns0:v>1,5 нФ</ns0:v>
      </ns0:c>
      <ns0:c r="E117" t="str" s="14">
        <ns0:v>±20%</ns0:v>
      </ns0:c>
      <ns0:c r="F117" s="14"/>
      <ns0:c r="G117" t="str" s="14">
        <ns0:v>100 В</ns0:v>
      </ns0:c>
      <ns0:c r="H117" t="str" s="14">
        <ns0:v>X7R</ns0:v>
      </ns0:c>
      <ns0:c r="I117" t="str" s="15">
        <ns0:v>0805</ns0:v>
      </ns0:c>
      <ns0:c r="J117" t="str" s="14">
        <ns0:v>YAGEO</ns0:v>
      </ns0:c>
      <ns0:c r="K117" t="str" s="14">
        <ns0:v>CC0805MRX7R0BB152</ns0:v>
      </ns0:c>
      <ns0:c r="L117" t="str" s="11">
        <ns0:f>B117&amp;" "&amp;D117&amp;" "&amp;E117&amp;" "&amp;G117&amp;" "&amp;H117&amp;" "&amp;I117</ns0:f>
        <ns0:v>Конденсатор 1,5 нФ ±20% 100 В X7R 0805</ns0:v>
      </ns0:c>
      <ns0:c r="M117" t="str" s="13">
        <ns0:v>C</ns0:v>
      </ns0:c>
      <ns0:c r="N117" t="str" s="13">
        <ns0:v>Symbols\MY_LIB_Capacitors.SchLib</ns0:v>
      </ns0:c>
      <ns0:c r="O117" t="str" s="13">
        <ns0:v>CAPC2012X135N</ns0:v>
      </ns0:c>
      <ns0:c r="P117" t="str" s="13">
        <ns0:v>Footprints\PBL - SMD Packages.PcbLib</ns0:v>
      </ns0:c>
      <ns0:c r="Q117" t="str" s="14">
        <ns0:v>YAGEO CC; список 20.10.2026</ns0:v>
      </ns0:c>
      <ns0:c r="R117" t="str" s="11">
        <ns0:f>D117</ns0:f>
        <ns0:v>1,5 нФ</ns0:v>
      </ns0:c>
      <ns0:c r="S117" t="str" s="11">
        <ns0:f>L117</ns0:f>
        <ns0:v>Конденсатор 1,5 нФ ±20% 100 В X7R 0805</ns0:v>
      </ns0:c>
      <x:c xmlns:x="http://schemas.openxmlformats.org/spreadsheetml/2006/main" r="T117" t="str" s="11">
        <x:v>C:\Users\Nomatin\Documents\Altium\MY_LIB\MY_LIB\Datasheets\YAGEO_CC_X7R.pdf</x:v>
      </x:c>
      <x:c xmlns:x="http://schemas.openxmlformats.org/spreadsheetml/2006/main" r="U117" t="str" s="11">
        <x:v>Даташит — локальный</x:v>
      </x:c>
      <x:c xmlns:x="http://schemas.openxmlformats.org/spreadsheetml/2006/main" r="V117" t="str" s="11">
        <x:v>C:\Users\Nomatin\Documents\Altium\MY_LIB\MY_LIB\Datasheets\YAGEO_CC_X7R.pdf</x:v>
      </x:c>
      <x:c xmlns:x="http://schemas.openxmlformats.org/spreadsheetml/2006/main" r="W117" t="str" s="11">
        <x:v>Даташит — производитель</x:v>
      </x:c>
      <x:c xmlns:x="http://schemas.openxmlformats.org/spreadsheetml/2006/main" r="X117" t="str" s="11">
        <x:v>https://yageogroup.com/content/datasheet/asset/file/UPY-GPHC_X7R_6_3V-TO-250V</x:v>
      </x:c>
      <x:c xmlns:x="http://schemas.openxmlformats.org/spreadsheetml/2006/main" r="Y117" t="str" s="11">
        <x:v>C:\Users\Nomatin\Documents\Altium\MY_LIB\MY_LIB\Datasheets\YAGEO_CC_X7R.pdf</x:v>
      </x:c>
      <ns0:c xmlns:ns0="http://schemas.openxmlformats.org/spreadsheetml/2006/main" r="Z117" s="11">
        <ns0:v>1.5e-09</ns0:v>
      </ns0:c>
      <ns0:c xmlns:ns0="http://schemas.openxmlformats.org/spreadsheetml/2006/main" r="AA117" s="11">
        <ns0:v>0.025</ns0:v>
      </ns0:c>
      <ns0:c xmlns:ns0="http://schemas.openxmlformats.org/spreadsheetml/2006/main" r="AB117" s="11">
        <ns0:v>1000</ns0:v>
      </ns0:c>
      <ns0:c xmlns:ns0="http://schemas.openxmlformats.org/spreadsheetml/2006/main" r="AC117" s="11">
        <ns0:v>1</ns0:v>
      </ns0:c>
      <ns0:c xmlns:ns0="http://schemas.openxmlformats.org/spreadsheetml/2006/main" r="AD117" s="11">
        <ns0:v>20</ns0:v>
      </ns0:c>
      <ns0:c xmlns:ns0="http://schemas.openxmlformats.org/spreadsheetml/2006/main" r="AE117" s="11">
        <ns0:v>500</ns0:v>
      </ns0:c>
      <ns0:c xmlns:ns0="http://schemas.openxmlformats.org/spreadsheetml/2006/main" r="AF117" s="11">
        <ns0:v>10000000000</ns0:v>
      </ns0:c>
      <ns0:c xmlns:ns0="http://schemas.openxmlformats.org/spreadsheetml/2006/main" r="AG117" s="11">
        <ns0:v>100</ns0:v>
      </ns0:c>
      <ns0:c xmlns:ns0="http://schemas.openxmlformats.org/spreadsheetml/2006/main" r="AH117" s="11">
        <ns0:v>60</ns0:v>
      </ns0:c>
      <ns0:c xmlns:ns0="http://schemas.openxmlformats.org/spreadsheetml/2006/main" r="AI117" s="11">
        <ns0:v>2652.58238486492</ns0:v>
      </ns0:c>
      <ns0:c xmlns:ns0="http://schemas.openxmlformats.org/spreadsheetml/2006/main" r="AJ117" s="11" t="inlineStr">
        <ns0:is>
          <ns0:t>MY_LIB_C_RC</ns0:t>
        </ns0:is>
      </ns0:c>
      <ns0:c xmlns:ns0="http://schemas.openxmlformats.org/spreadsheetml/2006/main" r="AK117" s="11" t="inlineStr">
        <ns0:is>
          <ns0:t>Nominal C; DFmax at 1kHz; minimum insulation; no temperature/bias/ESL</ns0:t>
        </ns0:is>
      </ns0:c>
      <ns0:c xmlns:ns0="http://schemas.openxmlformats.org/spreadsheetml/2006/main" r="AL117" s="11" t="inlineStr">
        <ns0:is>
          <ns0:t>General</ns0:t>
        </ns0:is>
      </ns0:c>
      <ns0:c xmlns:ns0="http://schemas.openxmlformats.org/spreadsheetml/2006/main" r="AM117" s="11" t="inlineStr">
        <ns0:is>
          <ns0:t>Spice Subcircuit</ns0:t>
        </ns0:is>
      </ns0:c>
      <ns0:c xmlns:ns0="http://schemas.openxmlformats.org/spreadsheetml/2006/main" r="AN117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117" s="11" t="inlineStr">
        <ns0:is>
          <ns0:t>X</ns0:t>
        </ns0:is>
      </ns0:c>
      <ns0:c xmlns:ns0="http://schemas.openxmlformats.org/spreadsheetml/2006/main" r="AP117" s="11" t="inlineStr">
        <ns0:is>
          <ns0:t>(1:1),(2:2)</ns0:t>
        </ns0:is>
      </ns0:c>
      <ns0:c xmlns:ns0="http://schemas.openxmlformats.org/spreadsheetml/2006/main" r="AQ117" s="11" t="inlineStr">
        <ns0:is>
          <ns0:t>Simulation\Capacitors\MY_LIB_C_RC.ckt</ns0:t>
        </ns0:is>
      </ns0:c>
    </ns0:row>
    <ns0:row r="118" ht="30" customHeight="1">
      <ns0:c r="A118" t="str" s="14">
        <ns0:v>C0119</ns0:v>
      </ns0:c>
      <ns0:c r="B118" t="str" s="14">
        <ns0:v>Конденсатор</ns0:v>
      </ns0:c>
      <ns0:c r="C118" t="str" s="14">
        <ns0:v>2.2n</ns0:v>
      </ns0:c>
      <ns0:c r="D118" t="str" s="11">
        <ns0:f>SUBSTITUTE(SUBSTITUTE(SUBSTITUTE(SUBSTITUTE(C118,"p"," пФ"),"n"," нФ"),"u"," мкФ"),".",",")</ns0:f>
        <ns0:v>2,2 нФ</ns0:v>
      </ns0:c>
      <ns0:c r="E118" t="str" s="14">
        <ns0:v>±20%</ns0:v>
      </ns0:c>
      <ns0:c r="F118" s="14"/>
      <ns0:c r="G118" t="str" s="14">
        <ns0:v>100 В</ns0:v>
      </ns0:c>
      <ns0:c r="H118" t="str" s="14">
        <ns0:v>X7R</ns0:v>
      </ns0:c>
      <ns0:c r="I118" t="str" s="15">
        <ns0:v>0805</ns0:v>
      </ns0:c>
      <ns0:c r="J118" t="str" s="14">
        <ns0:v>YAGEO</ns0:v>
      </ns0:c>
      <ns0:c r="K118" t="str" s="14">
        <ns0:v>CC0805MRX7R0BB222</ns0:v>
      </ns0:c>
      <ns0:c r="L118" t="str" s="11">
        <ns0:f>B118&amp;" "&amp;D118&amp;" "&amp;E118&amp;" "&amp;G118&amp;" "&amp;H118&amp;" "&amp;I118</ns0:f>
        <ns0:v>Конденсатор 2,2 нФ ±20% 100 В X7R 0805</ns0:v>
      </ns0:c>
      <ns0:c r="M118" t="str" s="13">
        <ns0:v>C</ns0:v>
      </ns0:c>
      <ns0:c r="N118" t="str" s="13">
        <ns0:v>Symbols\MY_LIB_Capacitors.SchLib</ns0:v>
      </ns0:c>
      <ns0:c r="O118" t="str" s="13">
        <ns0:v>CAPC2012X135N</ns0:v>
      </ns0:c>
      <ns0:c r="P118" t="str" s="13">
        <ns0:v>Footprints\PBL - SMD Packages.PcbLib</ns0:v>
      </ns0:c>
      <ns0:c r="Q118" t="str" s="14">
        <ns0:v>YAGEO CC; список 20.10.2026</ns0:v>
      </ns0:c>
      <ns0:c r="R118" t="str" s="11">
        <ns0:f>D118</ns0:f>
        <ns0:v>2,2 нФ</ns0:v>
      </ns0:c>
      <ns0:c r="S118" t="str" s="11">
        <ns0:f>L118</ns0:f>
        <ns0:v>Конденсатор 2,2 нФ ±20% 100 В X7R 0805</ns0:v>
      </ns0:c>
      <x:c xmlns:x="http://schemas.openxmlformats.org/spreadsheetml/2006/main" r="T118" t="str" s="11">
        <x:v>C:\Users\Nomatin\Documents\Altium\MY_LIB\MY_LIB\Datasheets\YAGEO_CC_X7R.pdf</x:v>
      </x:c>
      <x:c xmlns:x="http://schemas.openxmlformats.org/spreadsheetml/2006/main" r="U118" t="str" s="11">
        <x:v>Даташит — локальный</x:v>
      </x:c>
      <x:c xmlns:x="http://schemas.openxmlformats.org/spreadsheetml/2006/main" r="V118" t="str" s="11">
        <x:v>C:\Users\Nomatin\Documents\Altium\MY_LIB\MY_LIB\Datasheets\YAGEO_CC_X7R.pdf</x:v>
      </x:c>
      <x:c xmlns:x="http://schemas.openxmlformats.org/spreadsheetml/2006/main" r="W118" t="str" s="11">
        <x:v>Даташит — производитель</x:v>
      </x:c>
      <x:c xmlns:x="http://schemas.openxmlformats.org/spreadsheetml/2006/main" r="X118" t="str" s="11">
        <x:v>https://yageogroup.com/content/datasheet/asset/file/UPY-GPHC_X7R_6_3V-TO-250V</x:v>
      </x:c>
      <x:c xmlns:x="http://schemas.openxmlformats.org/spreadsheetml/2006/main" r="Y118" t="str" s="11">
        <x:v>C:\Users\Nomatin\Documents\Altium\MY_LIB\MY_LIB\Datasheets\YAGEO_CC_X7R.pdf</x:v>
      </x:c>
      <ns0:c xmlns:ns0="http://schemas.openxmlformats.org/spreadsheetml/2006/main" r="Z118" s="11">
        <ns0:v>2.2e-09</ns0:v>
      </ns0:c>
      <ns0:c xmlns:ns0="http://schemas.openxmlformats.org/spreadsheetml/2006/main" r="AA118" s="11">
        <ns0:v>0.025</ns0:v>
      </ns0:c>
      <ns0:c xmlns:ns0="http://schemas.openxmlformats.org/spreadsheetml/2006/main" r="AB118" s="11">
        <ns0:v>1000</ns0:v>
      </ns0:c>
      <ns0:c xmlns:ns0="http://schemas.openxmlformats.org/spreadsheetml/2006/main" r="AC118" s="11">
        <ns0:v>1</ns0:v>
      </ns0:c>
      <ns0:c xmlns:ns0="http://schemas.openxmlformats.org/spreadsheetml/2006/main" r="AD118" s="11">
        <ns0:v>20</ns0:v>
      </ns0:c>
      <ns0:c xmlns:ns0="http://schemas.openxmlformats.org/spreadsheetml/2006/main" r="AE118" s="11">
        <ns0:v>500</ns0:v>
      </ns0:c>
      <ns0:c xmlns:ns0="http://schemas.openxmlformats.org/spreadsheetml/2006/main" r="AF118" s="11">
        <ns0:v>10000000000</ns0:v>
      </ns0:c>
      <ns0:c xmlns:ns0="http://schemas.openxmlformats.org/spreadsheetml/2006/main" r="AG118" s="11">
        <ns0:v>100</ns0:v>
      </ns0:c>
      <ns0:c xmlns:ns0="http://schemas.openxmlformats.org/spreadsheetml/2006/main" r="AH118" s="11">
        <ns0:v>60</ns0:v>
      </ns0:c>
      <ns0:c xmlns:ns0="http://schemas.openxmlformats.org/spreadsheetml/2006/main" r="AI118" s="11">
        <ns0:v>1808.57889877154</ns0:v>
      </ns0:c>
      <ns0:c xmlns:ns0="http://schemas.openxmlformats.org/spreadsheetml/2006/main" r="AJ118" s="11" t="inlineStr">
        <ns0:is>
          <ns0:t>MY_LIB_C_RC</ns0:t>
        </ns0:is>
      </ns0:c>
      <ns0:c xmlns:ns0="http://schemas.openxmlformats.org/spreadsheetml/2006/main" r="AK118" s="11" t="inlineStr">
        <ns0:is>
          <ns0:t>Nominal C; DFmax at 1kHz; minimum insulation; no temperature/bias/ESL</ns0:t>
        </ns0:is>
      </ns0:c>
      <ns0:c xmlns:ns0="http://schemas.openxmlformats.org/spreadsheetml/2006/main" r="AL118" s="11" t="inlineStr">
        <ns0:is>
          <ns0:t>General</ns0:t>
        </ns0:is>
      </ns0:c>
      <ns0:c xmlns:ns0="http://schemas.openxmlformats.org/spreadsheetml/2006/main" r="AM118" s="11" t="inlineStr">
        <ns0:is>
          <ns0:t>Spice Subcircuit</ns0:t>
        </ns0:is>
      </ns0:c>
      <ns0:c xmlns:ns0="http://schemas.openxmlformats.org/spreadsheetml/2006/main" r="AN118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118" s="11" t="inlineStr">
        <ns0:is>
          <ns0:t>X</ns0:t>
        </ns0:is>
      </ns0:c>
      <ns0:c xmlns:ns0="http://schemas.openxmlformats.org/spreadsheetml/2006/main" r="AP118" s="11" t="inlineStr">
        <ns0:is>
          <ns0:t>(1:1),(2:2)</ns0:t>
        </ns0:is>
      </ns0:c>
      <ns0:c xmlns:ns0="http://schemas.openxmlformats.org/spreadsheetml/2006/main" r="AQ118" s="11" t="inlineStr">
        <ns0:is>
          <ns0:t>Simulation\Capacitors\MY_LIB_C_RC.ckt</ns0:t>
        </ns0:is>
      </ns0:c>
    </ns0:row>
    <ns0:row r="119" ht="30" customHeight="1">
      <ns0:c r="A119" t="str" s="14">
        <ns0:v>C0120</ns0:v>
      </ns0:c>
      <ns0:c r="B119" t="str" s="14">
        <ns0:v>Конденсатор</ns0:v>
      </ns0:c>
      <ns0:c r="C119" t="str" s="14">
        <ns0:v>2.7n</ns0:v>
      </ns0:c>
      <ns0:c r="D119" t="str" s="11">
        <ns0:f>SUBSTITUTE(SUBSTITUTE(SUBSTITUTE(SUBSTITUTE(C119,"p"," пФ"),"n"," нФ"),"u"," мкФ"),".",",")</ns0:f>
        <ns0:v>2,7 нФ</ns0:v>
      </ns0:c>
      <ns0:c r="E119" t="str" s="14">
        <ns0:v>±20%</ns0:v>
      </ns0:c>
      <ns0:c r="F119" s="14"/>
      <ns0:c r="G119" t="str" s="14">
        <ns0:v>50 В</ns0:v>
      </ns0:c>
      <ns0:c r="H119" t="str" s="14">
        <ns0:v>X7R</ns0:v>
      </ns0:c>
      <ns0:c r="I119" t="str" s="15">
        <ns0:v>0805</ns0:v>
      </ns0:c>
      <ns0:c r="J119" t="str" s="14">
        <ns0:v>YAGEO</ns0:v>
      </ns0:c>
      <ns0:c r="K119" t="str" s="14">
        <ns0:v>CC0805MRX7R9BB272</ns0:v>
      </ns0:c>
      <ns0:c r="L119" t="str" s="11">
        <ns0:f>B119&amp;" "&amp;D119&amp;" "&amp;E119&amp;" "&amp;G119&amp;" "&amp;H119&amp;" "&amp;I119</ns0:f>
        <ns0:v>Конденсатор 2,7 нФ ±20% 50 В X7R 0805</ns0:v>
      </ns0:c>
      <ns0:c r="M119" t="str" s="13">
        <ns0:v>C</ns0:v>
      </ns0:c>
      <ns0:c r="N119" t="str" s="13">
        <ns0:v>Symbols\MY_LIB_Capacitors.SchLib</ns0:v>
      </ns0:c>
      <ns0:c r="O119" t="str" s="13">
        <ns0:v>CAPC2012X135N</ns0:v>
      </ns0:c>
      <ns0:c r="P119" t="str" s="13">
        <ns0:v>Footprints\PBL - SMD Packages.PcbLib</ns0:v>
      </ns0:c>
      <ns0:c r="Q119" t="str" s="14">
        <ns0:v>YAGEO CC; список 20.10.2026</ns0:v>
      </ns0:c>
      <ns0:c r="R119" t="str" s="11">
        <ns0:f>D119</ns0:f>
        <ns0:v>2,7 нФ</ns0:v>
      </ns0:c>
      <ns0:c r="S119" t="str" s="11">
        <ns0:f>L119</ns0:f>
        <ns0:v>Конденсатор 2,7 нФ ±20% 50 В X7R 0805</ns0:v>
      </ns0:c>
      <x:c xmlns:x="http://schemas.openxmlformats.org/spreadsheetml/2006/main" r="T119" t="str" s="11">
        <x:v>C:\Users\Nomatin\Documents\Altium\MY_LIB\MY_LIB\Datasheets\YAGEO_CC_X7R.pdf</x:v>
      </x:c>
      <x:c xmlns:x="http://schemas.openxmlformats.org/spreadsheetml/2006/main" r="U119" t="str" s="11">
        <x:v>Даташит — локальный</x:v>
      </x:c>
      <x:c xmlns:x="http://schemas.openxmlformats.org/spreadsheetml/2006/main" r="V119" t="str" s="11">
        <x:v>C:\Users\Nomatin\Documents\Altium\MY_LIB\MY_LIB\Datasheets\YAGEO_CC_X7R.pdf</x:v>
      </x:c>
      <x:c xmlns:x="http://schemas.openxmlformats.org/spreadsheetml/2006/main" r="W119" t="str" s="11">
        <x:v>Даташит — производитель</x:v>
      </x:c>
      <x:c xmlns:x="http://schemas.openxmlformats.org/spreadsheetml/2006/main" r="X119" t="str" s="11">
        <x:v>https://yageogroup.com/content/datasheet/asset/file/UPY-GPHC_X7R_6_3V-TO-250V</x:v>
      </x:c>
      <x:c xmlns:x="http://schemas.openxmlformats.org/spreadsheetml/2006/main" r="Y119" t="str" s="11">
        <x:v>C:\Users\Nomatin\Documents\Altium\MY_LIB\MY_LIB\Datasheets\YAGEO_CC_X7R.pdf</x:v>
      </x:c>
      <ns0:c xmlns:ns0="http://schemas.openxmlformats.org/spreadsheetml/2006/main" r="Z119" s="11">
        <ns0:v>2.7e-09</ns0:v>
      </ns0:c>
      <ns0:c xmlns:ns0="http://schemas.openxmlformats.org/spreadsheetml/2006/main" r="AA119" s="11">
        <ns0:v>0.025</ns0:v>
      </ns0:c>
      <ns0:c xmlns:ns0="http://schemas.openxmlformats.org/spreadsheetml/2006/main" r="AB119" s="11">
        <ns0:v>1000</ns0:v>
      </ns0:c>
      <ns0:c xmlns:ns0="http://schemas.openxmlformats.org/spreadsheetml/2006/main" r="AC119" s="11">
        <ns0:v>1</ns0:v>
      </ns0:c>
      <ns0:c xmlns:ns0="http://schemas.openxmlformats.org/spreadsheetml/2006/main" r="AD119" s="11">
        <ns0:v>20</ns0:v>
      </ns0:c>
      <ns0:c xmlns:ns0="http://schemas.openxmlformats.org/spreadsheetml/2006/main" r="AE119" s="11">
        <ns0:v>500</ns0:v>
      </ns0:c>
      <ns0:c xmlns:ns0="http://schemas.openxmlformats.org/spreadsheetml/2006/main" r="AF119" s="11">
        <ns0:v>10000000000</ns0:v>
      </ns0:c>
      <ns0:c xmlns:ns0="http://schemas.openxmlformats.org/spreadsheetml/2006/main" r="AG119" s="11">
        <ns0:v>50</ns0:v>
      </ns0:c>
      <ns0:c xmlns:ns0="http://schemas.openxmlformats.org/spreadsheetml/2006/main" r="AH119" s="11">
        <ns0:v>60</ns0:v>
      </ns0:c>
      <ns0:c xmlns:ns0="http://schemas.openxmlformats.org/spreadsheetml/2006/main" r="AI119" s="11">
        <ns0:v>1473.65688048051</ns0:v>
      </ns0:c>
      <ns0:c xmlns:ns0="http://schemas.openxmlformats.org/spreadsheetml/2006/main" r="AJ119" s="11" t="inlineStr">
        <ns0:is>
          <ns0:t>MY_LIB_C_RC</ns0:t>
        </ns0:is>
      </ns0:c>
      <ns0:c xmlns:ns0="http://schemas.openxmlformats.org/spreadsheetml/2006/main" r="AK119" s="11" t="inlineStr">
        <ns0:is>
          <ns0:t>Nominal C; DFmax at 1kHz; minimum insulation; no temperature/bias/ESL</ns0:t>
        </ns0:is>
      </ns0:c>
      <ns0:c xmlns:ns0="http://schemas.openxmlformats.org/spreadsheetml/2006/main" r="AL119" s="11" t="inlineStr">
        <ns0:is>
          <ns0:t>General</ns0:t>
        </ns0:is>
      </ns0:c>
      <ns0:c xmlns:ns0="http://schemas.openxmlformats.org/spreadsheetml/2006/main" r="AM119" s="11" t="inlineStr">
        <ns0:is>
          <ns0:t>Spice Subcircuit</ns0:t>
        </ns0:is>
      </ns0:c>
      <ns0:c xmlns:ns0="http://schemas.openxmlformats.org/spreadsheetml/2006/main" r="AN119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119" s="11" t="inlineStr">
        <ns0:is>
          <ns0:t>X</ns0:t>
        </ns0:is>
      </ns0:c>
      <ns0:c xmlns:ns0="http://schemas.openxmlformats.org/spreadsheetml/2006/main" r="AP119" s="11" t="inlineStr">
        <ns0:is>
          <ns0:t>(1:1),(2:2)</ns0:t>
        </ns0:is>
      </ns0:c>
      <ns0:c xmlns:ns0="http://schemas.openxmlformats.org/spreadsheetml/2006/main" r="AQ119" s="11" t="inlineStr">
        <ns0:is>
          <ns0:t>Simulation\Capacitors\MY_LIB_C_RC.ckt</ns0:t>
        </ns0:is>
      </ns0:c>
    </ns0:row>
    <ns0:row r="120" ht="30" customHeight="1">
      <ns0:c r="A120" t="str" s="14">
        <ns0:v>C0121</ns0:v>
      </ns0:c>
      <ns0:c r="B120" t="str" s="14">
        <ns0:v>Конденсатор</ns0:v>
      </ns0:c>
      <ns0:c r="C120" t="str" s="14">
        <ns0:v>3.3n</ns0:v>
      </ns0:c>
      <ns0:c r="D120" t="str" s="11">
        <ns0:f>SUBSTITUTE(SUBSTITUTE(SUBSTITUTE(SUBSTITUTE(C120,"p"," пФ"),"n"," нФ"),"u"," мкФ"),".",",")</ns0:f>
        <ns0:v>3,3 нФ</ns0:v>
      </ns0:c>
      <ns0:c r="E120" t="str" s="14">
        <ns0:v>±20%</ns0:v>
      </ns0:c>
      <ns0:c r="F120" s="14"/>
      <ns0:c r="G120" t="str" s="14">
        <ns0:v>100 В</ns0:v>
      </ns0:c>
      <ns0:c r="H120" t="str" s="14">
        <ns0:v>X7R</ns0:v>
      </ns0:c>
      <ns0:c r="I120" t="str" s="15">
        <ns0:v>0805</ns0:v>
      </ns0:c>
      <ns0:c r="J120" t="str" s="14">
        <ns0:v>YAGEO</ns0:v>
      </ns0:c>
      <ns0:c r="K120" t="str" s="14">
        <ns0:v>CC0805MRX7R0BB332</ns0:v>
      </ns0:c>
      <ns0:c r="L120" t="str" s="11">
        <ns0:f>B120&amp;" "&amp;D120&amp;" "&amp;E120&amp;" "&amp;G120&amp;" "&amp;H120&amp;" "&amp;I120</ns0:f>
        <ns0:v>Конденсатор 3,3 нФ ±20% 100 В X7R 0805</ns0:v>
      </ns0:c>
      <ns0:c r="M120" t="str" s="13">
        <ns0:v>C</ns0:v>
      </ns0:c>
      <ns0:c r="N120" t="str" s="13">
        <ns0:v>Symbols\MY_LIB_Capacitors.SchLib</ns0:v>
      </ns0:c>
      <ns0:c r="O120" t="str" s="13">
        <ns0:v>CAPC2012X135N</ns0:v>
      </ns0:c>
      <ns0:c r="P120" t="str" s="13">
        <ns0:v>Footprints\PBL - SMD Packages.PcbLib</ns0:v>
      </ns0:c>
      <ns0:c r="Q120" t="str" s="14">
        <ns0:v>YAGEO CC; список 20.10.2026</ns0:v>
      </ns0:c>
      <ns0:c r="R120" t="str" s="11">
        <ns0:f>D120</ns0:f>
        <ns0:v>3,3 нФ</ns0:v>
      </ns0:c>
      <ns0:c r="S120" t="str" s="11">
        <ns0:f>L120</ns0:f>
        <ns0:v>Конденсатор 3,3 нФ ±20% 100 В X7R 0805</ns0:v>
      </ns0:c>
      <x:c xmlns:x="http://schemas.openxmlformats.org/spreadsheetml/2006/main" r="T120" t="str" s="11">
        <x:v>C:\Users\Nomatin\Documents\Altium\MY_LIB\MY_LIB\Datasheets\YAGEO_CC_X7R.pdf</x:v>
      </x:c>
      <x:c xmlns:x="http://schemas.openxmlformats.org/spreadsheetml/2006/main" r="U120" t="str" s="11">
        <x:v>Даташит — локальный</x:v>
      </x:c>
      <x:c xmlns:x="http://schemas.openxmlformats.org/spreadsheetml/2006/main" r="V120" t="str" s="11">
        <x:v>C:\Users\Nomatin\Documents\Altium\MY_LIB\MY_LIB\Datasheets\YAGEO_CC_X7R.pdf</x:v>
      </x:c>
      <x:c xmlns:x="http://schemas.openxmlformats.org/spreadsheetml/2006/main" r="W120" t="str" s="11">
        <x:v>Даташит — производитель</x:v>
      </x:c>
      <x:c xmlns:x="http://schemas.openxmlformats.org/spreadsheetml/2006/main" r="X120" t="str" s="11">
        <x:v>https://yageogroup.com/content/datasheet/asset/file/UPY-GPHC_X7R_6_3V-TO-250V</x:v>
      </x:c>
      <x:c xmlns:x="http://schemas.openxmlformats.org/spreadsheetml/2006/main" r="Y120" t="str" s="11">
        <x:v>C:\Users\Nomatin\Documents\Altium\MY_LIB\MY_LIB\Datasheets\YAGEO_CC_X7R.pdf</x:v>
      </x:c>
      <ns0:c xmlns:ns0="http://schemas.openxmlformats.org/spreadsheetml/2006/main" r="Z120" s="11">
        <ns0:v>3.3e-09</ns0:v>
      </ns0:c>
      <ns0:c xmlns:ns0="http://schemas.openxmlformats.org/spreadsheetml/2006/main" r="AA120" s="11">
        <ns0:v>0.025</ns0:v>
      </ns0:c>
      <ns0:c xmlns:ns0="http://schemas.openxmlformats.org/spreadsheetml/2006/main" r="AB120" s="11">
        <ns0:v>1000</ns0:v>
      </ns0:c>
      <ns0:c xmlns:ns0="http://schemas.openxmlformats.org/spreadsheetml/2006/main" r="AC120" s="11">
        <ns0:v>1</ns0:v>
      </ns0:c>
      <ns0:c xmlns:ns0="http://schemas.openxmlformats.org/spreadsheetml/2006/main" r="AD120" s="11">
        <ns0:v>20</ns0:v>
      </ns0:c>
      <ns0:c xmlns:ns0="http://schemas.openxmlformats.org/spreadsheetml/2006/main" r="AE120" s="11">
        <ns0:v>500</ns0:v>
      </ns0:c>
      <ns0:c xmlns:ns0="http://schemas.openxmlformats.org/spreadsheetml/2006/main" r="AF120" s="11">
        <ns0:v>10000000000</ns0:v>
      </ns0:c>
      <ns0:c xmlns:ns0="http://schemas.openxmlformats.org/spreadsheetml/2006/main" r="AG120" s="11">
        <ns0:v>100</ns0:v>
      </ns0:c>
      <ns0:c xmlns:ns0="http://schemas.openxmlformats.org/spreadsheetml/2006/main" r="AH120" s="11">
        <ns0:v>60</ns0:v>
      </ns0:c>
      <ns0:c xmlns:ns0="http://schemas.openxmlformats.org/spreadsheetml/2006/main" r="AI120" s="11">
        <ns0:v>1205.71926584769</ns0:v>
      </ns0:c>
      <ns0:c xmlns:ns0="http://schemas.openxmlformats.org/spreadsheetml/2006/main" r="AJ120" s="11" t="inlineStr">
        <ns0:is>
          <ns0:t>MY_LIB_C_RC</ns0:t>
        </ns0:is>
      </ns0:c>
      <ns0:c xmlns:ns0="http://schemas.openxmlformats.org/spreadsheetml/2006/main" r="AK120" s="11" t="inlineStr">
        <ns0:is>
          <ns0:t>Nominal C; DFmax at 1kHz; minimum insulation; no temperature/bias/ESL</ns0:t>
        </ns0:is>
      </ns0:c>
      <ns0:c xmlns:ns0="http://schemas.openxmlformats.org/spreadsheetml/2006/main" r="AL120" s="11" t="inlineStr">
        <ns0:is>
          <ns0:t>General</ns0:t>
        </ns0:is>
      </ns0:c>
      <ns0:c xmlns:ns0="http://schemas.openxmlformats.org/spreadsheetml/2006/main" r="AM120" s="11" t="inlineStr">
        <ns0:is>
          <ns0:t>Spice Subcircuit</ns0:t>
        </ns0:is>
      </ns0:c>
      <ns0:c xmlns:ns0="http://schemas.openxmlformats.org/spreadsheetml/2006/main" r="AN120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120" s="11" t="inlineStr">
        <ns0:is>
          <ns0:t>X</ns0:t>
        </ns0:is>
      </ns0:c>
      <ns0:c xmlns:ns0="http://schemas.openxmlformats.org/spreadsheetml/2006/main" r="AP120" s="11" t="inlineStr">
        <ns0:is>
          <ns0:t>(1:1),(2:2)</ns0:t>
        </ns0:is>
      </ns0:c>
      <ns0:c xmlns:ns0="http://schemas.openxmlformats.org/spreadsheetml/2006/main" r="AQ120" s="11" t="inlineStr">
        <ns0:is>
          <ns0:t>Simulation\Capacitors\MY_LIB_C_RC.ckt</ns0:t>
        </ns0:is>
      </ns0:c>
    </ns0:row>
    <ns0:row r="121" ht="30" customHeight="1">
      <ns0:c r="A121" t="str" s="14">
        <ns0:v>C0122</ns0:v>
      </ns0:c>
      <ns0:c r="B121" t="str" s="14">
        <ns0:v>Конденсатор</ns0:v>
      </ns0:c>
      <ns0:c r="C121" t="str" s="14">
        <ns0:v>3.9n</ns0:v>
      </ns0:c>
      <ns0:c r="D121" t="str" s="11">
        <ns0:f>SUBSTITUTE(SUBSTITUTE(SUBSTITUTE(SUBSTITUTE(C121,"p"," пФ"),"n"," нФ"),"u"," мкФ"),".",",")</ns0:f>
        <ns0:v>3,9 нФ</ns0:v>
      </ns0:c>
      <ns0:c r="E121" t="str" s="14">
        <ns0:v>±20%</ns0:v>
      </ns0:c>
      <ns0:c r="F121" s="14"/>
      <ns0:c r="G121" t="str" s="14">
        <ns0:v>50 В</ns0:v>
      </ns0:c>
      <ns0:c r="H121" t="str" s="14">
        <ns0:v>X7R</ns0:v>
      </ns0:c>
      <ns0:c r="I121" t="str" s="15">
        <ns0:v>0805</ns0:v>
      </ns0:c>
      <ns0:c r="J121" t="str" s="14">
        <ns0:v>YAGEO</ns0:v>
      </ns0:c>
      <ns0:c r="K121" t="str" s="14">
        <ns0:v>CC0805MRX7R9BB392</ns0:v>
      </ns0:c>
      <ns0:c r="L121" t="str" s="11">
        <ns0:f>B121&amp;" "&amp;D121&amp;" "&amp;E121&amp;" "&amp;G121&amp;" "&amp;H121&amp;" "&amp;I121</ns0:f>
        <ns0:v>Конденсатор 3,9 нФ ±20% 50 В X7R 0805</ns0:v>
      </ns0:c>
      <ns0:c r="M121" t="str" s="13">
        <ns0:v>C</ns0:v>
      </ns0:c>
      <ns0:c r="N121" t="str" s="13">
        <ns0:v>Symbols\MY_LIB_Capacitors.SchLib</ns0:v>
      </ns0:c>
      <ns0:c r="O121" t="str" s="13">
        <ns0:v>CAPC2012X135N</ns0:v>
      </ns0:c>
      <ns0:c r="P121" t="str" s="13">
        <ns0:v>Footprints\PBL - SMD Packages.PcbLib</ns0:v>
      </ns0:c>
      <ns0:c r="Q121" t="str" s="14">
        <ns0:v>YAGEO CC; список 20.10.2026</ns0:v>
      </ns0:c>
      <ns0:c r="R121" t="str" s="11">
        <ns0:f>D121</ns0:f>
        <ns0:v>3,9 нФ</ns0:v>
      </ns0:c>
      <ns0:c r="S121" t="str" s="11">
        <ns0:f>L121</ns0:f>
        <ns0:v>Конденсатор 3,9 нФ ±20% 50 В X7R 0805</ns0:v>
      </ns0:c>
      <x:c xmlns:x="http://schemas.openxmlformats.org/spreadsheetml/2006/main" r="T121" t="str" s="11">
        <x:v>C:\Users\Nomatin\Documents\Altium\MY_LIB\MY_LIB\Datasheets\YAGEO_CC_X7R.pdf</x:v>
      </x:c>
      <x:c xmlns:x="http://schemas.openxmlformats.org/spreadsheetml/2006/main" r="U121" t="str" s="11">
        <x:v>Даташит — локальный</x:v>
      </x:c>
      <x:c xmlns:x="http://schemas.openxmlformats.org/spreadsheetml/2006/main" r="V121" t="str" s="11">
        <x:v>C:\Users\Nomatin\Documents\Altium\MY_LIB\MY_LIB\Datasheets\YAGEO_CC_X7R.pdf</x:v>
      </x:c>
      <x:c xmlns:x="http://schemas.openxmlformats.org/spreadsheetml/2006/main" r="W121" t="str" s="11">
        <x:v>Даташит — производитель</x:v>
      </x:c>
      <x:c xmlns:x="http://schemas.openxmlformats.org/spreadsheetml/2006/main" r="X121" t="str" s="11">
        <x:v>https://yageogroup.com/content/datasheet/asset/file/UPY-GPHC_X7R_6_3V-TO-250V</x:v>
      </x:c>
      <x:c xmlns:x="http://schemas.openxmlformats.org/spreadsheetml/2006/main" r="Y121" t="str" s="11">
        <x:v>C:\Users\Nomatin\Documents\Altium\MY_LIB\MY_LIB\Datasheets\YAGEO_CC_X7R.pdf</x:v>
      </x:c>
      <ns0:c xmlns:ns0="http://schemas.openxmlformats.org/spreadsheetml/2006/main" r="Z121" s="11">
        <ns0:v>3.9e-09</ns0:v>
      </ns0:c>
      <ns0:c xmlns:ns0="http://schemas.openxmlformats.org/spreadsheetml/2006/main" r="AA121" s="11">
        <ns0:v>0.025</ns0:v>
      </ns0:c>
      <ns0:c xmlns:ns0="http://schemas.openxmlformats.org/spreadsheetml/2006/main" r="AB121" s="11">
        <ns0:v>1000</ns0:v>
      </ns0:c>
      <ns0:c xmlns:ns0="http://schemas.openxmlformats.org/spreadsheetml/2006/main" r="AC121" s="11">
        <ns0:v>1</ns0:v>
      </ns0:c>
      <ns0:c xmlns:ns0="http://schemas.openxmlformats.org/spreadsheetml/2006/main" r="AD121" s="11">
        <ns0:v>20</ns0:v>
      </ns0:c>
      <ns0:c xmlns:ns0="http://schemas.openxmlformats.org/spreadsheetml/2006/main" r="AE121" s="11">
        <ns0:v>500</ns0:v>
      </ns0:c>
      <ns0:c xmlns:ns0="http://schemas.openxmlformats.org/spreadsheetml/2006/main" r="AF121" s="11">
        <ns0:v>10000000000</ns0:v>
      </ns0:c>
      <ns0:c xmlns:ns0="http://schemas.openxmlformats.org/spreadsheetml/2006/main" r="AG121" s="11">
        <ns0:v>50</ns0:v>
      </ns0:c>
      <ns0:c xmlns:ns0="http://schemas.openxmlformats.org/spreadsheetml/2006/main" r="AH121" s="11">
        <ns0:v>60</ns0:v>
      </ns0:c>
      <ns0:c xmlns:ns0="http://schemas.openxmlformats.org/spreadsheetml/2006/main" r="AI121" s="11">
        <ns0:v>1020.22399417882</ns0:v>
      </ns0:c>
      <ns0:c xmlns:ns0="http://schemas.openxmlformats.org/spreadsheetml/2006/main" r="AJ121" s="11" t="inlineStr">
        <ns0:is>
          <ns0:t>MY_LIB_C_RC</ns0:t>
        </ns0:is>
      </ns0:c>
      <ns0:c xmlns:ns0="http://schemas.openxmlformats.org/spreadsheetml/2006/main" r="AK121" s="11" t="inlineStr">
        <ns0:is>
          <ns0:t>Nominal C; DFmax at 1kHz; minimum insulation; no temperature/bias/ESL</ns0:t>
        </ns0:is>
      </ns0:c>
      <ns0:c xmlns:ns0="http://schemas.openxmlformats.org/spreadsheetml/2006/main" r="AL121" s="11" t="inlineStr">
        <ns0:is>
          <ns0:t>General</ns0:t>
        </ns0:is>
      </ns0:c>
      <ns0:c xmlns:ns0="http://schemas.openxmlformats.org/spreadsheetml/2006/main" r="AM121" s="11" t="inlineStr">
        <ns0:is>
          <ns0:t>Spice Subcircuit</ns0:t>
        </ns0:is>
      </ns0:c>
      <ns0:c xmlns:ns0="http://schemas.openxmlformats.org/spreadsheetml/2006/main" r="AN121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121" s="11" t="inlineStr">
        <ns0:is>
          <ns0:t>X</ns0:t>
        </ns0:is>
      </ns0:c>
      <ns0:c xmlns:ns0="http://schemas.openxmlformats.org/spreadsheetml/2006/main" r="AP121" s="11" t="inlineStr">
        <ns0:is>
          <ns0:t>(1:1),(2:2)</ns0:t>
        </ns0:is>
      </ns0:c>
      <ns0:c xmlns:ns0="http://schemas.openxmlformats.org/spreadsheetml/2006/main" r="AQ121" s="11" t="inlineStr">
        <ns0:is>
          <ns0:t>Simulation\Capacitors\MY_LIB_C_RC.ckt</ns0:t>
        </ns0:is>
      </ns0:c>
    </ns0:row>
    <ns0:row r="122" ht="30" customHeight="1">
      <ns0:c r="A122" t="str" s="14">
        <ns0:v>C0123</ns0:v>
      </ns0:c>
      <ns0:c r="B122" t="str" s="14">
        <ns0:v>Конденсатор</ns0:v>
      </ns0:c>
      <ns0:c r="C122" t="str" s="14">
        <ns0:v>4.7n</ns0:v>
      </ns0:c>
      <ns0:c r="D122" t="str" s="11">
        <ns0:f>SUBSTITUTE(SUBSTITUTE(SUBSTITUTE(SUBSTITUTE(C122,"p"," пФ"),"n"," нФ"),"u"," мкФ"),".",",")</ns0:f>
        <ns0:v>4,7 нФ</ns0:v>
      </ns0:c>
      <ns0:c r="E122" t="str" s="14">
        <ns0:v>±20%</ns0:v>
      </ns0:c>
      <ns0:c r="F122" s="14"/>
      <ns0:c r="G122" t="str" s="14">
        <ns0:v>100 В</ns0:v>
      </ns0:c>
      <ns0:c r="H122" t="str" s="14">
        <ns0:v>X7R</ns0:v>
      </ns0:c>
      <ns0:c r="I122" t="str" s="15">
        <ns0:v>0805</ns0:v>
      </ns0:c>
      <ns0:c r="J122" t="str" s="14">
        <ns0:v>YAGEO</ns0:v>
      </ns0:c>
      <ns0:c r="K122" t="str" s="14">
        <ns0:v>CC0805MRX7R0BB472</ns0:v>
      </ns0:c>
      <ns0:c r="L122" t="str" s="11">
        <ns0:f>B122&amp;" "&amp;D122&amp;" "&amp;E122&amp;" "&amp;G122&amp;" "&amp;H122&amp;" "&amp;I122</ns0:f>
        <ns0:v>Конденсатор 4,7 нФ ±20% 100 В X7R 0805</ns0:v>
      </ns0:c>
      <ns0:c r="M122" t="str" s="13">
        <ns0:v>C</ns0:v>
      </ns0:c>
      <ns0:c r="N122" t="str" s="13">
        <ns0:v>Symbols\MY_LIB_Capacitors.SchLib</ns0:v>
      </ns0:c>
      <ns0:c r="O122" t="str" s="13">
        <ns0:v>CAPC2012X135N</ns0:v>
      </ns0:c>
      <ns0:c r="P122" t="str" s="13">
        <ns0:v>Footprints\PBL - SMD Packages.PcbLib</ns0:v>
      </ns0:c>
      <ns0:c r="Q122" t="str" s="14">
        <ns0:v>YAGEO CC; список 20.10.2026</ns0:v>
      </ns0:c>
      <ns0:c r="R122" t="str" s="11">
        <ns0:f>D122</ns0:f>
        <ns0:v>4,7 нФ</ns0:v>
      </ns0:c>
      <ns0:c r="S122" t="str" s="11">
        <ns0:f>L122</ns0:f>
        <ns0:v>Конденсатор 4,7 нФ ±20% 100 В X7R 0805</ns0:v>
      </ns0:c>
      <x:c xmlns:x="http://schemas.openxmlformats.org/spreadsheetml/2006/main" r="T122" t="str" s="11">
        <x:v>C:\Users\Nomatin\Documents\Altium\MY_LIB\MY_LIB\Datasheets\YAGEO_CC_X7R.pdf</x:v>
      </x:c>
      <x:c xmlns:x="http://schemas.openxmlformats.org/spreadsheetml/2006/main" r="U122" t="str" s="11">
        <x:v>Даташит — локальный</x:v>
      </x:c>
      <x:c xmlns:x="http://schemas.openxmlformats.org/spreadsheetml/2006/main" r="V122" t="str" s="11">
        <x:v>C:\Users\Nomatin\Documents\Altium\MY_LIB\MY_LIB\Datasheets\YAGEO_CC_X7R.pdf</x:v>
      </x:c>
      <x:c xmlns:x="http://schemas.openxmlformats.org/spreadsheetml/2006/main" r="W122" t="str" s="11">
        <x:v>Даташит — производитель</x:v>
      </x:c>
      <x:c xmlns:x="http://schemas.openxmlformats.org/spreadsheetml/2006/main" r="X122" t="str" s="11">
        <x:v>https://yageogroup.com/content/datasheet/asset/file/UPY-GPHC_X7R_6_3V-TO-250V</x:v>
      </x:c>
      <x:c xmlns:x="http://schemas.openxmlformats.org/spreadsheetml/2006/main" r="Y122" t="str" s="11">
        <x:v>C:\Users\Nomatin\Documents\Altium\MY_LIB\MY_LIB\Datasheets\YAGEO_CC_X7R.pdf</x:v>
      </x:c>
      <ns0:c xmlns:ns0="http://schemas.openxmlformats.org/spreadsheetml/2006/main" r="Z122" s="11">
        <ns0:v>4.7e-09</ns0:v>
      </ns0:c>
      <ns0:c xmlns:ns0="http://schemas.openxmlformats.org/spreadsheetml/2006/main" r="AA122" s="11">
        <ns0:v>0.025</ns0:v>
      </ns0:c>
      <ns0:c xmlns:ns0="http://schemas.openxmlformats.org/spreadsheetml/2006/main" r="AB122" s="11">
        <ns0:v>1000</ns0:v>
      </ns0:c>
      <ns0:c xmlns:ns0="http://schemas.openxmlformats.org/spreadsheetml/2006/main" r="AC122" s="11">
        <ns0:v>1</ns0:v>
      </ns0:c>
      <ns0:c xmlns:ns0="http://schemas.openxmlformats.org/spreadsheetml/2006/main" r="AD122" s="11">
        <ns0:v>20</ns0:v>
      </ns0:c>
      <ns0:c xmlns:ns0="http://schemas.openxmlformats.org/spreadsheetml/2006/main" r="AE122" s="11">
        <ns0:v>500</ns0:v>
      </ns0:c>
      <ns0:c xmlns:ns0="http://schemas.openxmlformats.org/spreadsheetml/2006/main" r="AF122" s="11">
        <ns0:v>10000000000</ns0:v>
      </ns0:c>
      <ns0:c xmlns:ns0="http://schemas.openxmlformats.org/spreadsheetml/2006/main" r="AG122" s="11">
        <ns0:v>100</ns0:v>
      </ns0:c>
      <ns0:c xmlns:ns0="http://schemas.openxmlformats.org/spreadsheetml/2006/main" r="AH122" s="11">
        <ns0:v>60</ns0:v>
      </ns0:c>
      <ns0:c xmlns:ns0="http://schemas.openxmlformats.org/spreadsheetml/2006/main" r="AI122" s="11">
        <ns0:v>846.568846233486</ns0:v>
      </ns0:c>
      <ns0:c xmlns:ns0="http://schemas.openxmlformats.org/spreadsheetml/2006/main" r="AJ122" s="11" t="inlineStr">
        <ns0:is>
          <ns0:t>MY_LIB_C_RC</ns0:t>
        </ns0:is>
      </ns0:c>
      <ns0:c xmlns:ns0="http://schemas.openxmlformats.org/spreadsheetml/2006/main" r="AK122" s="11" t="inlineStr">
        <ns0:is>
          <ns0:t>Nominal C; DFmax at 1kHz; minimum insulation; no temperature/bias/ESL</ns0:t>
        </ns0:is>
      </ns0:c>
      <ns0:c xmlns:ns0="http://schemas.openxmlformats.org/spreadsheetml/2006/main" r="AL122" s="11" t="inlineStr">
        <ns0:is>
          <ns0:t>General</ns0:t>
        </ns0:is>
      </ns0:c>
      <ns0:c xmlns:ns0="http://schemas.openxmlformats.org/spreadsheetml/2006/main" r="AM122" s="11" t="inlineStr">
        <ns0:is>
          <ns0:t>Spice Subcircuit</ns0:t>
        </ns0:is>
      </ns0:c>
      <ns0:c xmlns:ns0="http://schemas.openxmlformats.org/spreadsheetml/2006/main" r="AN122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122" s="11" t="inlineStr">
        <ns0:is>
          <ns0:t>X</ns0:t>
        </ns0:is>
      </ns0:c>
      <ns0:c xmlns:ns0="http://schemas.openxmlformats.org/spreadsheetml/2006/main" r="AP122" s="11" t="inlineStr">
        <ns0:is>
          <ns0:t>(1:1),(2:2)</ns0:t>
        </ns0:is>
      </ns0:c>
      <ns0:c xmlns:ns0="http://schemas.openxmlformats.org/spreadsheetml/2006/main" r="AQ122" s="11" t="inlineStr">
        <ns0:is>
          <ns0:t>Simulation\Capacitors\MY_LIB_C_RC.ckt</ns0:t>
        </ns0:is>
      </ns0:c>
    </ns0:row>
    <ns0:row r="123" ht="30" customHeight="1">
      <ns0:c r="A123" t="str" s="14">
        <ns0:v>C0124</ns0:v>
      </ns0:c>
      <ns0:c r="B123" t="str" s="14">
        <ns0:v>Конденсатор</ns0:v>
      </ns0:c>
      <ns0:c r="C123" t="str" s="14">
        <ns0:v>5.6n</ns0:v>
      </ns0:c>
      <ns0:c r="D123" t="str" s="11">
        <ns0:f>SUBSTITUTE(SUBSTITUTE(SUBSTITUTE(SUBSTITUTE(C123,"p"," пФ"),"n"," нФ"),"u"," мкФ"),".",",")</ns0:f>
        <ns0:v>5,6 нФ</ns0:v>
      </ns0:c>
      <ns0:c r="E123" t="str" s="14">
        <ns0:v>±20%</ns0:v>
      </ns0:c>
      <ns0:c r="F123" s="14"/>
      <ns0:c r="G123" t="str" s="14">
        <ns0:v>50 В</ns0:v>
      </ns0:c>
      <ns0:c r="H123" t="str" s="14">
        <ns0:v>X7R</ns0:v>
      </ns0:c>
      <ns0:c r="I123" t="str" s="15">
        <ns0:v>0805</ns0:v>
      </ns0:c>
      <ns0:c r="J123" t="str" s="14">
        <ns0:v>YAGEO</ns0:v>
      </ns0:c>
      <ns0:c r="K123" t="str" s="14">
        <ns0:v>CC0805MRX7R9BB562</ns0:v>
      </ns0:c>
      <ns0:c r="L123" t="str" s="11">
        <ns0:f>B123&amp;" "&amp;D123&amp;" "&amp;E123&amp;" "&amp;G123&amp;" "&amp;H123&amp;" "&amp;I123</ns0:f>
        <ns0:v>Конденсатор 5,6 нФ ±20% 50 В X7R 0805</ns0:v>
      </ns0:c>
      <ns0:c r="M123" t="str" s="13">
        <ns0:v>C</ns0:v>
      </ns0:c>
      <ns0:c r="N123" t="str" s="13">
        <ns0:v>Symbols\MY_LIB_Capacitors.SchLib</ns0:v>
      </ns0:c>
      <ns0:c r="O123" t="str" s="13">
        <ns0:v>CAPC2012X135N</ns0:v>
      </ns0:c>
      <ns0:c r="P123" t="str" s="13">
        <ns0:v>Footprints\PBL - SMD Packages.PcbLib</ns0:v>
      </ns0:c>
      <ns0:c r="Q123" t="str" s="14">
        <ns0:v>YAGEO CC; список 20.10.2026</ns0:v>
      </ns0:c>
      <ns0:c r="R123" t="str" s="11">
        <ns0:f>D123</ns0:f>
        <ns0:v>5,6 нФ</ns0:v>
      </ns0:c>
      <ns0:c r="S123" t="str" s="11">
        <ns0:f>L123</ns0:f>
        <ns0:v>Конденсатор 5,6 нФ ±20% 50 В X7R 0805</ns0:v>
      </ns0:c>
      <x:c xmlns:x="http://schemas.openxmlformats.org/spreadsheetml/2006/main" r="T123" t="str" s="11">
        <x:v>C:\Users\Nomatin\Documents\Altium\MY_LIB\MY_LIB\Datasheets\YAGEO_CC_X7R.pdf</x:v>
      </x:c>
      <x:c xmlns:x="http://schemas.openxmlformats.org/spreadsheetml/2006/main" r="U123" t="str" s="11">
        <x:v>Даташит — локальный</x:v>
      </x:c>
      <x:c xmlns:x="http://schemas.openxmlformats.org/spreadsheetml/2006/main" r="V123" t="str" s="11">
        <x:v>C:\Users\Nomatin\Documents\Altium\MY_LIB\MY_LIB\Datasheets\YAGEO_CC_X7R.pdf</x:v>
      </x:c>
      <x:c xmlns:x="http://schemas.openxmlformats.org/spreadsheetml/2006/main" r="W123" t="str" s="11">
        <x:v>Даташит — производитель</x:v>
      </x:c>
      <x:c xmlns:x="http://schemas.openxmlformats.org/spreadsheetml/2006/main" r="X123" t="str" s="11">
        <x:v>https://yageogroup.com/content/datasheet/asset/file/UPY-GPHC_X7R_6_3V-TO-250V</x:v>
      </x:c>
      <x:c xmlns:x="http://schemas.openxmlformats.org/spreadsheetml/2006/main" r="Y123" t="str" s="11">
        <x:v>C:\Users\Nomatin\Documents\Altium\MY_LIB\MY_LIB\Datasheets\YAGEO_CC_X7R.pdf</x:v>
      </x:c>
      <ns0:c xmlns:ns0="http://schemas.openxmlformats.org/spreadsheetml/2006/main" r="Z123" s="11">
        <ns0:v>5.6e-09</ns0:v>
      </ns0:c>
      <ns0:c xmlns:ns0="http://schemas.openxmlformats.org/spreadsheetml/2006/main" r="AA123" s="11">
        <ns0:v>0.025</ns0:v>
      </ns0:c>
      <ns0:c xmlns:ns0="http://schemas.openxmlformats.org/spreadsheetml/2006/main" r="AB123" s="11">
        <ns0:v>1000</ns0:v>
      </ns0:c>
      <ns0:c xmlns:ns0="http://schemas.openxmlformats.org/spreadsheetml/2006/main" r="AC123" s="11">
        <ns0:v>1</ns0:v>
      </ns0:c>
      <ns0:c xmlns:ns0="http://schemas.openxmlformats.org/spreadsheetml/2006/main" r="AD123" s="11">
        <ns0:v>20</ns0:v>
      </ns0:c>
      <ns0:c xmlns:ns0="http://schemas.openxmlformats.org/spreadsheetml/2006/main" r="AE123" s="11">
        <ns0:v>500</ns0:v>
      </ns0:c>
      <ns0:c xmlns:ns0="http://schemas.openxmlformats.org/spreadsheetml/2006/main" r="AF123" s="11">
        <ns0:v>10000000000</ns0:v>
      </ns0:c>
      <ns0:c xmlns:ns0="http://schemas.openxmlformats.org/spreadsheetml/2006/main" r="AG123" s="11">
        <ns0:v>50</ns0:v>
      </ns0:c>
      <ns0:c xmlns:ns0="http://schemas.openxmlformats.org/spreadsheetml/2006/main" r="AH123" s="11">
        <ns0:v>60</ns0:v>
      </ns0:c>
      <ns0:c xmlns:ns0="http://schemas.openxmlformats.org/spreadsheetml/2006/main" r="AI123" s="11">
        <ns0:v>710.513138803104</ns0:v>
      </ns0:c>
      <ns0:c xmlns:ns0="http://schemas.openxmlformats.org/spreadsheetml/2006/main" r="AJ123" s="11" t="inlineStr">
        <ns0:is>
          <ns0:t>MY_LIB_C_RC</ns0:t>
        </ns0:is>
      </ns0:c>
      <ns0:c xmlns:ns0="http://schemas.openxmlformats.org/spreadsheetml/2006/main" r="AK123" s="11" t="inlineStr">
        <ns0:is>
          <ns0:t>Nominal C; DFmax at 1kHz; minimum insulation; no temperature/bias/ESL</ns0:t>
        </ns0:is>
      </ns0:c>
      <ns0:c xmlns:ns0="http://schemas.openxmlformats.org/spreadsheetml/2006/main" r="AL123" s="11" t="inlineStr">
        <ns0:is>
          <ns0:t>General</ns0:t>
        </ns0:is>
      </ns0:c>
      <ns0:c xmlns:ns0="http://schemas.openxmlformats.org/spreadsheetml/2006/main" r="AM123" s="11" t="inlineStr">
        <ns0:is>
          <ns0:t>Spice Subcircuit</ns0:t>
        </ns0:is>
      </ns0:c>
      <ns0:c xmlns:ns0="http://schemas.openxmlformats.org/spreadsheetml/2006/main" r="AN123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123" s="11" t="inlineStr">
        <ns0:is>
          <ns0:t>X</ns0:t>
        </ns0:is>
      </ns0:c>
      <ns0:c xmlns:ns0="http://schemas.openxmlformats.org/spreadsheetml/2006/main" r="AP123" s="11" t="inlineStr">
        <ns0:is>
          <ns0:t>(1:1),(2:2)</ns0:t>
        </ns0:is>
      </ns0:c>
      <ns0:c xmlns:ns0="http://schemas.openxmlformats.org/spreadsheetml/2006/main" r="AQ123" s="11" t="inlineStr">
        <ns0:is>
          <ns0:t>Simulation\Capacitors\MY_LIB_C_RC.ckt</ns0:t>
        </ns0:is>
      </ns0:c>
    </ns0:row>
    <ns0:row r="124" ht="30" customHeight="1">
      <ns0:c r="A124" t="str" s="14">
        <ns0:v>C0125</ns0:v>
      </ns0:c>
      <ns0:c r="B124" t="str" s="14">
        <ns0:v>Конденсатор</ns0:v>
      </ns0:c>
      <ns0:c r="C124" t="str" s="14">
        <ns0:v>6.8n</ns0:v>
      </ns0:c>
      <ns0:c r="D124" t="str" s="11">
        <ns0:f>SUBSTITUTE(SUBSTITUTE(SUBSTITUTE(SUBSTITUTE(C124,"p"," пФ"),"n"," нФ"),"u"," мкФ"),".",",")</ns0:f>
        <ns0:v>6,8 нФ</ns0:v>
      </ns0:c>
      <ns0:c r="E124" t="str" s="14">
        <ns0:v>±20%</ns0:v>
      </ns0:c>
      <ns0:c r="F124" s="14"/>
      <ns0:c r="G124" t="str" s="14">
        <ns0:v>100 В</ns0:v>
      </ns0:c>
      <ns0:c r="H124" t="str" s="14">
        <ns0:v>X7R</ns0:v>
      </ns0:c>
      <ns0:c r="I124" t="str" s="15">
        <ns0:v>0805</ns0:v>
      </ns0:c>
      <ns0:c r="J124" t="str" s="14">
        <ns0:v>YAGEO</ns0:v>
      </ns0:c>
      <ns0:c r="K124" t="str" s="14">
        <ns0:v>CC0805MRX7R0BB682</ns0:v>
      </ns0:c>
      <ns0:c r="L124" t="str" s="11">
        <ns0:f>B124&amp;" "&amp;D124&amp;" "&amp;E124&amp;" "&amp;G124&amp;" "&amp;H124&amp;" "&amp;I124</ns0:f>
        <ns0:v>Конденсатор 6,8 нФ ±20% 100 В X7R 0805</ns0:v>
      </ns0:c>
      <ns0:c r="M124" t="str" s="13">
        <ns0:v>C</ns0:v>
      </ns0:c>
      <ns0:c r="N124" t="str" s="13">
        <ns0:v>Symbols\MY_LIB_Capacitors.SchLib</ns0:v>
      </ns0:c>
      <ns0:c r="O124" t="str" s="13">
        <ns0:v>CAPC2012X135N</ns0:v>
      </ns0:c>
      <ns0:c r="P124" t="str" s="13">
        <ns0:v>Footprints\PBL - SMD Packages.PcbLib</ns0:v>
      </ns0:c>
      <ns0:c r="Q124" t="str" s="14">
        <ns0:v>YAGEO CC; список 20.10.2026</ns0:v>
      </ns0:c>
      <ns0:c r="R124" t="str" s="11">
        <ns0:f>D124</ns0:f>
        <ns0:v>6,8 нФ</ns0:v>
      </ns0:c>
      <ns0:c r="S124" t="str" s="11">
        <ns0:f>L124</ns0:f>
        <ns0:v>Конденсатор 6,8 нФ ±20% 100 В X7R 0805</ns0:v>
      </ns0:c>
      <x:c xmlns:x="http://schemas.openxmlformats.org/spreadsheetml/2006/main" r="T124" t="str" s="11">
        <x:v>C:\Users\Nomatin\Documents\Altium\MY_LIB\MY_LIB\Datasheets\YAGEO_CC_X7R.pdf</x:v>
      </x:c>
      <x:c xmlns:x="http://schemas.openxmlformats.org/spreadsheetml/2006/main" r="U124" t="str" s="11">
        <x:v>Даташит — локальный</x:v>
      </x:c>
      <x:c xmlns:x="http://schemas.openxmlformats.org/spreadsheetml/2006/main" r="V124" t="str" s="11">
        <x:v>C:\Users\Nomatin\Documents\Altium\MY_LIB\MY_LIB\Datasheets\YAGEO_CC_X7R.pdf</x:v>
      </x:c>
      <x:c xmlns:x="http://schemas.openxmlformats.org/spreadsheetml/2006/main" r="W124" t="str" s="11">
        <x:v>Даташит — производитель</x:v>
      </x:c>
      <x:c xmlns:x="http://schemas.openxmlformats.org/spreadsheetml/2006/main" r="X124" t="str" s="11">
        <x:v>https://yageogroup.com/content/datasheet/asset/file/UPY-GPHC_X7R_6_3V-TO-250V</x:v>
      </x:c>
      <x:c xmlns:x="http://schemas.openxmlformats.org/spreadsheetml/2006/main" r="Y124" t="str" s="11">
        <x:v>C:\Users\Nomatin\Documents\Altium\MY_LIB\MY_LIB\Datasheets\YAGEO_CC_X7R.pdf</x:v>
      </x:c>
      <ns0:c xmlns:ns0="http://schemas.openxmlformats.org/spreadsheetml/2006/main" r="Z124" s="11">
        <ns0:v>6.8e-09</ns0:v>
      </ns0:c>
      <ns0:c xmlns:ns0="http://schemas.openxmlformats.org/spreadsheetml/2006/main" r="AA124" s="11">
        <ns0:v>0.025</ns0:v>
      </ns0:c>
      <ns0:c xmlns:ns0="http://schemas.openxmlformats.org/spreadsheetml/2006/main" r="AB124" s="11">
        <ns0:v>1000</ns0:v>
      </ns0:c>
      <ns0:c xmlns:ns0="http://schemas.openxmlformats.org/spreadsheetml/2006/main" r="AC124" s="11">
        <ns0:v>1</ns0:v>
      </ns0:c>
      <ns0:c xmlns:ns0="http://schemas.openxmlformats.org/spreadsheetml/2006/main" r="AD124" s="11">
        <ns0:v>20</ns0:v>
      </ns0:c>
      <ns0:c xmlns:ns0="http://schemas.openxmlformats.org/spreadsheetml/2006/main" r="AE124" s="11">
        <ns0:v>500</ns0:v>
      </ns0:c>
      <ns0:c xmlns:ns0="http://schemas.openxmlformats.org/spreadsheetml/2006/main" r="AF124" s="11">
        <ns0:v>10000000000</ns0:v>
      </ns0:c>
      <ns0:c xmlns:ns0="http://schemas.openxmlformats.org/spreadsheetml/2006/main" r="AG124" s="11">
        <ns0:v>100</ns0:v>
      </ns0:c>
      <ns0:c xmlns:ns0="http://schemas.openxmlformats.org/spreadsheetml/2006/main" r="AH124" s="11">
        <ns0:v>60</ns0:v>
      </ns0:c>
      <ns0:c xmlns:ns0="http://schemas.openxmlformats.org/spreadsheetml/2006/main" r="AI124" s="11">
        <ns0:v>585.128467249615</ns0:v>
      </ns0:c>
      <ns0:c xmlns:ns0="http://schemas.openxmlformats.org/spreadsheetml/2006/main" r="AJ124" s="11" t="inlineStr">
        <ns0:is>
          <ns0:t>MY_LIB_C_RC</ns0:t>
        </ns0:is>
      </ns0:c>
      <ns0:c xmlns:ns0="http://schemas.openxmlformats.org/spreadsheetml/2006/main" r="AK124" s="11" t="inlineStr">
        <ns0:is>
          <ns0:t>Nominal C; DFmax at 1kHz; minimum insulation; no temperature/bias/ESL</ns0:t>
        </ns0:is>
      </ns0:c>
      <ns0:c xmlns:ns0="http://schemas.openxmlformats.org/spreadsheetml/2006/main" r="AL124" s="11" t="inlineStr">
        <ns0:is>
          <ns0:t>General</ns0:t>
        </ns0:is>
      </ns0:c>
      <ns0:c xmlns:ns0="http://schemas.openxmlformats.org/spreadsheetml/2006/main" r="AM124" s="11" t="inlineStr">
        <ns0:is>
          <ns0:t>Spice Subcircuit</ns0:t>
        </ns0:is>
      </ns0:c>
      <ns0:c xmlns:ns0="http://schemas.openxmlformats.org/spreadsheetml/2006/main" r="AN124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124" s="11" t="inlineStr">
        <ns0:is>
          <ns0:t>X</ns0:t>
        </ns0:is>
      </ns0:c>
      <ns0:c xmlns:ns0="http://schemas.openxmlformats.org/spreadsheetml/2006/main" r="AP124" s="11" t="inlineStr">
        <ns0:is>
          <ns0:t>(1:1),(2:2)</ns0:t>
        </ns0:is>
      </ns0:c>
      <ns0:c xmlns:ns0="http://schemas.openxmlformats.org/spreadsheetml/2006/main" r="AQ124" s="11" t="inlineStr">
        <ns0:is>
          <ns0:t>Simulation\Capacitors\MY_LIB_C_RC.ckt</ns0:t>
        </ns0:is>
      </ns0:c>
    </ns0:row>
    <ns0:row r="125" ht="30" customHeight="1">
      <ns0:c r="A125" t="str" s="14">
        <ns0:v>C0126</ns0:v>
      </ns0:c>
      <ns0:c r="B125" t="str" s="14">
        <ns0:v>Конденсатор</ns0:v>
      </ns0:c>
      <ns0:c r="C125" t="str" s="14">
        <ns0:v>10n</ns0:v>
      </ns0:c>
      <ns0:c r="D125" t="str" s="11">
        <ns0:f>SUBSTITUTE(SUBSTITUTE(SUBSTITUTE(SUBSTITUTE(C125,"p"," пФ"),"n"," нФ"),"u"," мкФ"),".",",")</ns0:f>
        <ns0:v>10 нФ</ns0:v>
      </ns0:c>
      <ns0:c r="E125" t="str" s="14">
        <ns0:v>±20%</ns0:v>
      </ns0:c>
      <ns0:c r="F125" s="14"/>
      <ns0:c r="G125" t="str" s="14">
        <ns0:v>100 В</ns0:v>
      </ns0:c>
      <ns0:c r="H125" t="str" s="14">
        <ns0:v>X7R</ns0:v>
      </ns0:c>
      <ns0:c r="I125" t="str" s="15">
        <ns0:v>0805</ns0:v>
      </ns0:c>
      <ns0:c r="J125" t="str" s="14">
        <ns0:v>YAGEO</ns0:v>
      </ns0:c>
      <ns0:c r="K125" t="str" s="14">
        <ns0:v>CC0805MKX7R0BB103</ns0:v>
      </ns0:c>
      <ns0:c r="L125" t="str" s="11">
        <ns0:f>B125&amp;" "&amp;D125&amp;" "&amp;E125&amp;" "&amp;G125&amp;" "&amp;H125&amp;" "&amp;I125</ns0:f>
        <ns0:v>Конденсатор 10 нФ ±20% 100 В X7R 0805</ns0:v>
      </ns0:c>
      <ns0:c r="M125" t="str" s="13">
        <ns0:v>C</ns0:v>
      </ns0:c>
      <ns0:c r="N125" t="str" s="13">
        <ns0:v>Symbols\MY_LIB_Capacitors.SchLib</ns0:v>
      </ns0:c>
      <ns0:c r="O125" t="str" s="13">
        <ns0:v>CAPC2012X135N</ns0:v>
      </ns0:c>
      <ns0:c r="P125" t="str" s="13">
        <ns0:v>Footprints\PBL - SMD Packages.PcbLib</ns0:v>
      </ns0:c>
      <ns0:c r="Q125" t="str" s="14">
        <ns0:v>YAGEO CC; список 20.10.2026</ns0:v>
      </ns0:c>
      <ns0:c r="R125" t="str" s="11">
        <ns0:f>D125</ns0:f>
        <ns0:v>10 нФ</ns0:v>
      </ns0:c>
      <ns0:c r="S125" t="str" s="11">
        <ns0:f>L125</ns0:f>
        <ns0:v>Конденсатор 10 нФ ±20% 100 В X7R 0805</ns0:v>
      </ns0:c>
      <x:c xmlns:x="http://schemas.openxmlformats.org/spreadsheetml/2006/main" r="T125" t="str" s="11">
        <x:v>C:\Users\Nomatin\Documents\Altium\MY_LIB\MY_LIB\Datasheets\YAGEO_CC_X7R.pdf</x:v>
      </x:c>
      <x:c xmlns:x="http://schemas.openxmlformats.org/spreadsheetml/2006/main" r="U125" t="str" s="11">
        <x:v>Даташит — локальный</x:v>
      </x:c>
      <x:c xmlns:x="http://schemas.openxmlformats.org/spreadsheetml/2006/main" r="V125" t="str" s="11">
        <x:v>C:\Users\Nomatin\Documents\Altium\MY_LIB\MY_LIB\Datasheets\YAGEO_CC_X7R.pdf</x:v>
      </x:c>
      <x:c xmlns:x="http://schemas.openxmlformats.org/spreadsheetml/2006/main" r="W125" t="str" s="11">
        <x:v>Даташит — производитель</x:v>
      </x:c>
      <x:c xmlns:x="http://schemas.openxmlformats.org/spreadsheetml/2006/main" r="X125" t="str" s="11">
        <x:v>https://yageogroup.com/content/datasheet/asset/file/UPY-GPHC_X7R_6_3V-TO-250V</x:v>
      </x:c>
      <x:c xmlns:x="http://schemas.openxmlformats.org/spreadsheetml/2006/main" r="Y125" t="str" s="11">
        <x:v>C:\Users\Nomatin\Documents\Altium\MY_LIB\MY_LIB\Datasheets\YAGEO_CC_X7R.pdf</x:v>
      </x:c>
      <ns0:c xmlns:ns0="http://schemas.openxmlformats.org/spreadsheetml/2006/main" r="Z125" s="11">
        <ns0:v>1e-08</ns0:v>
      </ns0:c>
      <ns0:c xmlns:ns0="http://schemas.openxmlformats.org/spreadsheetml/2006/main" r="AA125" s="11">
        <ns0:v>0.025</ns0:v>
      </ns0:c>
      <ns0:c xmlns:ns0="http://schemas.openxmlformats.org/spreadsheetml/2006/main" r="AB125" s="11">
        <ns0:v>1000</ns0:v>
      </ns0:c>
      <ns0:c xmlns:ns0="http://schemas.openxmlformats.org/spreadsheetml/2006/main" r="AC125" s="11">
        <ns0:v>1</ns0:v>
      </ns0:c>
      <ns0:c xmlns:ns0="http://schemas.openxmlformats.org/spreadsheetml/2006/main" r="AD125" s="11">
        <ns0:v>20</ns0:v>
      </ns0:c>
      <ns0:c xmlns:ns0="http://schemas.openxmlformats.org/spreadsheetml/2006/main" r="AE125" s="11">
        <ns0:v>500</ns0:v>
      </ns0:c>
      <ns0:c xmlns:ns0="http://schemas.openxmlformats.org/spreadsheetml/2006/main" r="AF125" s="11">
        <ns0:v>10000000000</ns0:v>
      </ns0:c>
      <ns0:c xmlns:ns0="http://schemas.openxmlformats.org/spreadsheetml/2006/main" r="AG125" s="11">
        <ns0:v>100</ns0:v>
      </ns0:c>
      <ns0:c xmlns:ns0="http://schemas.openxmlformats.org/spreadsheetml/2006/main" r="AH125" s="11">
        <ns0:v>60</ns0:v>
      </ns0:c>
      <ns0:c xmlns:ns0="http://schemas.openxmlformats.org/spreadsheetml/2006/main" r="AI125" s="11">
        <ns0:v>397.887357729738</ns0:v>
      </ns0:c>
      <ns0:c xmlns:ns0="http://schemas.openxmlformats.org/spreadsheetml/2006/main" r="AJ125" s="11" t="inlineStr">
        <ns0:is>
          <ns0:t>MY_LIB_C_RC</ns0:t>
        </ns0:is>
      </ns0:c>
      <ns0:c xmlns:ns0="http://schemas.openxmlformats.org/spreadsheetml/2006/main" r="AK125" s="11" t="inlineStr">
        <ns0:is>
          <ns0:t>Nominal C; DFmax at 1kHz; minimum insulation; no temperature/bias/ESL</ns0:t>
        </ns0:is>
      </ns0:c>
      <ns0:c xmlns:ns0="http://schemas.openxmlformats.org/spreadsheetml/2006/main" r="AL125" s="11" t="inlineStr">
        <ns0:is>
          <ns0:t>General</ns0:t>
        </ns0:is>
      </ns0:c>
      <ns0:c xmlns:ns0="http://schemas.openxmlformats.org/spreadsheetml/2006/main" r="AM125" s="11" t="inlineStr">
        <ns0:is>
          <ns0:t>Spice Subcircuit</ns0:t>
        </ns0:is>
      </ns0:c>
      <ns0:c xmlns:ns0="http://schemas.openxmlformats.org/spreadsheetml/2006/main" r="AN125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125" s="11" t="inlineStr">
        <ns0:is>
          <ns0:t>X</ns0:t>
        </ns0:is>
      </ns0:c>
      <ns0:c xmlns:ns0="http://schemas.openxmlformats.org/spreadsheetml/2006/main" r="AP125" s="11" t="inlineStr">
        <ns0:is>
          <ns0:t>(1:1),(2:2)</ns0:t>
        </ns0:is>
      </ns0:c>
      <ns0:c xmlns:ns0="http://schemas.openxmlformats.org/spreadsheetml/2006/main" r="AQ125" s="11" t="inlineStr">
        <ns0:is>
          <ns0:t>Simulation\Capacitors\MY_LIB_C_RC.ckt</ns0:t>
        </ns0:is>
      </ns0:c>
    </ns0:row>
    <ns0:row r="126" ht="30" customHeight="1">
      <ns0:c r="A126" t="str" s="14">
        <ns0:v>C0127</ns0:v>
      </ns0:c>
      <ns0:c r="B126" t="str" s="14">
        <ns0:v>Конденсатор</ns0:v>
      </ns0:c>
      <ns0:c r="C126" t="str" s="14">
        <ns0:v>15n</ns0:v>
      </ns0:c>
      <ns0:c r="D126" t="str" s="11">
        <ns0:f>SUBSTITUTE(SUBSTITUTE(SUBSTITUTE(SUBSTITUTE(C126,"p"," пФ"),"n"," нФ"),"u"," мкФ"),".",",")</ns0:f>
        <ns0:v>15 нФ</ns0:v>
      </ns0:c>
      <ns0:c r="E126" t="str" s="14">
        <ns0:v>±20%</ns0:v>
      </ns0:c>
      <ns0:c r="F126" s="14"/>
      <ns0:c r="G126" t="str" s="14">
        <ns0:v>100 В</ns0:v>
      </ns0:c>
      <ns0:c r="H126" t="str" s="14">
        <ns0:v>X7R</ns0:v>
      </ns0:c>
      <ns0:c r="I126" t="str" s="15">
        <ns0:v>0805</ns0:v>
      </ns0:c>
      <ns0:c r="J126" t="str" s="14">
        <ns0:v>YAGEO</ns0:v>
      </ns0:c>
      <ns0:c r="K126" t="str" s="14">
        <ns0:v>CC0805MKX7R0BB153</ns0:v>
      </ns0:c>
      <ns0:c r="L126" t="str" s="11">
        <ns0:f>B126&amp;" "&amp;D126&amp;" "&amp;E126&amp;" "&amp;G126&amp;" "&amp;H126&amp;" "&amp;I126</ns0:f>
        <ns0:v>Конденсатор 15 нФ ±20% 100 В X7R 0805</ns0:v>
      </ns0:c>
      <ns0:c r="M126" t="str" s="13">
        <ns0:v>C</ns0:v>
      </ns0:c>
      <ns0:c r="N126" t="str" s="13">
        <ns0:v>Symbols\MY_LIB_Capacitors.SchLib</ns0:v>
      </ns0:c>
      <ns0:c r="O126" t="str" s="13">
        <ns0:v>CAPC2012X135N</ns0:v>
      </ns0:c>
      <ns0:c r="P126" t="str" s="13">
        <ns0:v>Footprints\PBL - SMD Packages.PcbLib</ns0:v>
      </ns0:c>
      <ns0:c r="Q126" t="str" s="14">
        <ns0:v>YAGEO CC; список 20.10.2026</ns0:v>
      </ns0:c>
      <ns0:c r="R126" t="str" s="11">
        <ns0:f>D126</ns0:f>
        <ns0:v>15 нФ</ns0:v>
      </ns0:c>
      <ns0:c r="S126" t="str" s="11">
        <ns0:f>L126</ns0:f>
        <ns0:v>Конденсатор 15 нФ ±20% 100 В X7R 0805</ns0:v>
      </ns0:c>
      <x:c xmlns:x="http://schemas.openxmlformats.org/spreadsheetml/2006/main" r="T126" t="str" s="11">
        <x:v>C:\Users\Nomatin\Documents\Altium\MY_LIB\MY_LIB\Datasheets\YAGEO_CC_X7R.pdf</x:v>
      </x:c>
      <x:c xmlns:x="http://schemas.openxmlformats.org/spreadsheetml/2006/main" r="U126" t="str" s="11">
        <x:v>Даташит — локальный</x:v>
      </x:c>
      <x:c xmlns:x="http://schemas.openxmlformats.org/spreadsheetml/2006/main" r="V126" t="str" s="11">
        <x:v>C:\Users\Nomatin\Documents\Altium\MY_LIB\MY_LIB\Datasheets\YAGEO_CC_X7R.pdf</x:v>
      </x:c>
      <x:c xmlns:x="http://schemas.openxmlformats.org/spreadsheetml/2006/main" r="W126" t="str" s="11">
        <x:v>Даташит — производитель</x:v>
      </x:c>
      <x:c xmlns:x="http://schemas.openxmlformats.org/spreadsheetml/2006/main" r="X126" t="str" s="11">
        <x:v>https://yageogroup.com/content/datasheet/asset/file/UPY-GPHC_X7R_6_3V-TO-250V</x:v>
      </x:c>
      <x:c xmlns:x="http://schemas.openxmlformats.org/spreadsheetml/2006/main" r="Y126" t="str" s="11">
        <x:v>C:\Users\Nomatin\Documents\Altium\MY_LIB\MY_LIB\Datasheets\YAGEO_CC_X7R.pdf</x:v>
      </x:c>
      <ns0:c xmlns:ns0="http://schemas.openxmlformats.org/spreadsheetml/2006/main" r="Z126" s="11">
        <ns0:v>1.5e-08</ns0:v>
      </ns0:c>
      <ns0:c xmlns:ns0="http://schemas.openxmlformats.org/spreadsheetml/2006/main" r="AA126" s="11">
        <ns0:v>0.025</ns0:v>
      </ns0:c>
      <ns0:c xmlns:ns0="http://schemas.openxmlformats.org/spreadsheetml/2006/main" r="AB126" s="11">
        <ns0:v>1000</ns0:v>
      </ns0:c>
      <ns0:c xmlns:ns0="http://schemas.openxmlformats.org/spreadsheetml/2006/main" r="AC126" s="11">
        <ns0:v>1</ns0:v>
      </ns0:c>
      <ns0:c xmlns:ns0="http://schemas.openxmlformats.org/spreadsheetml/2006/main" r="AD126" s="11">
        <ns0:v>20</ns0:v>
      </ns0:c>
      <ns0:c xmlns:ns0="http://schemas.openxmlformats.org/spreadsheetml/2006/main" r="AE126" s="11">
        <ns0:v>500</ns0:v>
      </ns0:c>
      <ns0:c xmlns:ns0="http://schemas.openxmlformats.org/spreadsheetml/2006/main" r="AF126" s="11">
        <ns0:v>10000000000</ns0:v>
      </ns0:c>
      <ns0:c xmlns:ns0="http://schemas.openxmlformats.org/spreadsheetml/2006/main" r="AG126" s="11">
        <ns0:v>100</ns0:v>
      </ns0:c>
      <ns0:c xmlns:ns0="http://schemas.openxmlformats.org/spreadsheetml/2006/main" r="AH126" s="11">
        <ns0:v>60</ns0:v>
      </ns0:c>
      <ns0:c xmlns:ns0="http://schemas.openxmlformats.org/spreadsheetml/2006/main" r="AI126" s="11">
        <ns0:v>265.258238486492</ns0:v>
      </ns0:c>
      <ns0:c xmlns:ns0="http://schemas.openxmlformats.org/spreadsheetml/2006/main" r="AJ126" s="11" t="inlineStr">
        <ns0:is>
          <ns0:t>MY_LIB_C_RC</ns0:t>
        </ns0:is>
      </ns0:c>
      <ns0:c xmlns:ns0="http://schemas.openxmlformats.org/spreadsheetml/2006/main" r="AK126" s="11" t="inlineStr">
        <ns0:is>
          <ns0:t>Nominal C; DFmax at 1kHz; minimum insulation; no temperature/bias/ESL</ns0:t>
        </ns0:is>
      </ns0:c>
      <ns0:c xmlns:ns0="http://schemas.openxmlformats.org/spreadsheetml/2006/main" r="AL126" s="11" t="inlineStr">
        <ns0:is>
          <ns0:t>General</ns0:t>
        </ns0:is>
      </ns0:c>
      <ns0:c xmlns:ns0="http://schemas.openxmlformats.org/spreadsheetml/2006/main" r="AM126" s="11" t="inlineStr">
        <ns0:is>
          <ns0:t>Spice Subcircuit</ns0:t>
        </ns0:is>
      </ns0:c>
      <ns0:c xmlns:ns0="http://schemas.openxmlformats.org/spreadsheetml/2006/main" r="AN126" s="11" t="inlineStr">
        <ns0:is>
          <ns0:t>@DESIGNATOR %1 %2 @MODEL PARAMS: Cvalue=1.5e-08 Rsvalue=265.258238486492 Rinsvalue=10000000000</ns0:t>
        </ns0:is>
      </ns0:c>
      <ns0:c xmlns:ns0="http://schemas.openxmlformats.org/spreadsheetml/2006/main" r="AO126" s="11" t="inlineStr">
        <ns0:is>
          <ns0:t>X</ns0:t>
        </ns0:is>
      </ns0:c>
      <ns0:c xmlns:ns0="http://schemas.openxmlformats.org/spreadsheetml/2006/main" r="AP126" s="11" t="inlineStr">
        <ns0:is>
          <ns0:t>(1:1),(2:2)</ns0:t>
        </ns0:is>
      </ns0:c>
      <ns0:c xmlns:ns0="http://schemas.openxmlformats.org/spreadsheetml/2006/main" r="AQ126" s="11" t="inlineStr">
        <ns0:is>
          <ns0:t>Simulation\Capacitors\MY_LIB_C_RC.ckt</ns0:t>
        </ns0:is>
      </ns0:c>
    </ns0:row>
    <ns0:row r="127" ht="30" customHeight="1">
      <ns0:c r="A127" t="str" s="14">
        <ns0:v>C0128</ns0:v>
      </ns0:c>
      <ns0:c r="B127" t="str" s="14">
        <ns0:v>Конденсатор</ns0:v>
      </ns0:c>
      <ns0:c r="C127" t="str" s="14">
        <ns0:v>22n</ns0:v>
      </ns0:c>
      <ns0:c r="D127" t="str" s="11">
        <ns0:f>SUBSTITUTE(SUBSTITUTE(SUBSTITUTE(SUBSTITUTE(C127,"p"," пФ"),"n"," нФ"),"u"," мкФ"),".",",")</ns0:f>
        <ns0:v>22 нФ</ns0:v>
      </ns0:c>
      <ns0:c r="E127" t="str" s="14">
        <ns0:v>±20%</ns0:v>
      </ns0:c>
      <ns0:c r="F127" s="14"/>
      <ns0:c r="G127" t="str" s="14">
        <ns0:v>100 В</ns0:v>
      </ns0:c>
      <ns0:c r="H127" t="str" s="14">
        <ns0:v>X7R</ns0:v>
      </ns0:c>
      <ns0:c r="I127" t="str" s="15">
        <ns0:v>0805</ns0:v>
      </ns0:c>
      <ns0:c r="J127" t="str" s="14">
        <ns0:v>YAGEO</ns0:v>
      </ns0:c>
      <ns0:c r="K127" t="str" s="14">
        <ns0:v>CC0805MKX7R0BB223</ns0:v>
      </ns0:c>
      <ns0:c r="L127" t="str" s="11">
        <ns0:f>B127&amp;" "&amp;D127&amp;" "&amp;E127&amp;" "&amp;G127&amp;" "&amp;H127&amp;" "&amp;I127</ns0:f>
        <ns0:v>Конденсатор 22 нФ ±20% 100 В X7R 0805</ns0:v>
      </ns0:c>
      <ns0:c r="M127" t="str" s="13">
        <ns0:v>C</ns0:v>
      </ns0:c>
      <ns0:c r="N127" t="str" s="13">
        <ns0:v>Symbols\MY_LIB_Capacitors.SchLib</ns0:v>
      </ns0:c>
      <ns0:c r="O127" t="str" s="13">
        <ns0:v>CAPC2012X135N</ns0:v>
      </ns0:c>
      <ns0:c r="P127" t="str" s="13">
        <ns0:v>Footprints\PBL - SMD Packages.PcbLib</ns0:v>
      </ns0:c>
      <ns0:c r="Q127" t="str" s="14">
        <ns0:v>YAGEO CC; список 20.10.2026</ns0:v>
      </ns0:c>
      <ns0:c r="R127" t="str" s="11">
        <ns0:f>D127</ns0:f>
        <ns0:v>22 нФ</ns0:v>
      </ns0:c>
      <ns0:c r="S127" t="str" s="11">
        <ns0:f>L127</ns0:f>
        <ns0:v>Конденсатор 22 нФ ±20% 100 В X7R 0805</ns0:v>
      </ns0:c>
      <x:c xmlns:x="http://schemas.openxmlformats.org/spreadsheetml/2006/main" r="T127" t="str" s="11">
        <x:v>C:\Users\Nomatin\Documents\Altium\MY_LIB\MY_LIB\Datasheets\YAGEO_CC_X7R.pdf</x:v>
      </x:c>
      <x:c xmlns:x="http://schemas.openxmlformats.org/spreadsheetml/2006/main" r="U127" t="str" s="11">
        <x:v>Даташит — локальный</x:v>
      </x:c>
      <x:c xmlns:x="http://schemas.openxmlformats.org/spreadsheetml/2006/main" r="V127" t="str" s="11">
        <x:v>C:\Users\Nomatin\Documents\Altium\MY_LIB\MY_LIB\Datasheets\YAGEO_CC_X7R.pdf</x:v>
      </x:c>
      <x:c xmlns:x="http://schemas.openxmlformats.org/spreadsheetml/2006/main" r="W127" t="str" s="11">
        <x:v>Даташит — производитель</x:v>
      </x:c>
      <x:c xmlns:x="http://schemas.openxmlformats.org/spreadsheetml/2006/main" r="X127" t="str" s="11">
        <x:v>https://yageogroup.com/content/datasheet/asset/file/UPY-GPHC_X7R_6_3V-TO-250V</x:v>
      </x:c>
      <x:c xmlns:x="http://schemas.openxmlformats.org/spreadsheetml/2006/main" r="Y127" t="str" s="11">
        <x:v>C:\Users\Nomatin\Documents\Altium\MY_LIB\MY_LIB\Datasheets\YAGEO_CC_X7R.pdf</x:v>
      </x:c>
      <ns0:c xmlns:ns0="http://schemas.openxmlformats.org/spreadsheetml/2006/main" r="Z127" s="11">
        <ns0:v>2.2e-08</ns0:v>
      </ns0:c>
      <ns0:c xmlns:ns0="http://schemas.openxmlformats.org/spreadsheetml/2006/main" r="AA127" s="11">
        <ns0:v>0.025</ns0:v>
      </ns0:c>
      <ns0:c xmlns:ns0="http://schemas.openxmlformats.org/spreadsheetml/2006/main" r="AB127" s="11">
        <ns0:v>1000</ns0:v>
      </ns0:c>
      <ns0:c xmlns:ns0="http://schemas.openxmlformats.org/spreadsheetml/2006/main" r="AC127" s="11">
        <ns0:v>1</ns0:v>
      </ns0:c>
      <ns0:c xmlns:ns0="http://schemas.openxmlformats.org/spreadsheetml/2006/main" r="AD127" s="11">
        <ns0:v>20</ns0:v>
      </ns0:c>
      <ns0:c xmlns:ns0="http://schemas.openxmlformats.org/spreadsheetml/2006/main" r="AE127" s="11">
        <ns0:v>500</ns0:v>
      </ns0:c>
      <ns0:c xmlns:ns0="http://schemas.openxmlformats.org/spreadsheetml/2006/main" r="AF127" s="11">
        <ns0:v>10000000000</ns0:v>
      </ns0:c>
      <ns0:c xmlns:ns0="http://schemas.openxmlformats.org/spreadsheetml/2006/main" r="AG127" s="11">
        <ns0:v>100</ns0:v>
      </ns0:c>
      <ns0:c xmlns:ns0="http://schemas.openxmlformats.org/spreadsheetml/2006/main" r="AH127" s="11">
        <ns0:v>60</ns0:v>
      </ns0:c>
      <ns0:c xmlns:ns0="http://schemas.openxmlformats.org/spreadsheetml/2006/main" r="AI127" s="11">
        <ns0:v>180.857889877154</ns0:v>
      </ns0:c>
      <ns0:c xmlns:ns0="http://schemas.openxmlformats.org/spreadsheetml/2006/main" r="AJ127" s="11" t="inlineStr">
        <ns0:is>
          <ns0:t>MY_LIB_C_RC</ns0:t>
        </ns0:is>
      </ns0:c>
      <ns0:c xmlns:ns0="http://schemas.openxmlformats.org/spreadsheetml/2006/main" r="AK127" s="11" t="inlineStr">
        <ns0:is>
          <ns0:t>Nominal C; DFmax at 1kHz; minimum insulation; no temperature/bias/ESL</ns0:t>
        </ns0:is>
      </ns0:c>
      <ns0:c xmlns:ns0="http://schemas.openxmlformats.org/spreadsheetml/2006/main" r="AL127" s="11" t="inlineStr">
        <ns0:is>
          <ns0:t>General</ns0:t>
        </ns0:is>
      </ns0:c>
      <ns0:c xmlns:ns0="http://schemas.openxmlformats.org/spreadsheetml/2006/main" r="AM127" s="11" t="inlineStr">
        <ns0:is>
          <ns0:t>Spice Subcircuit</ns0:t>
        </ns0:is>
      </ns0:c>
      <ns0:c xmlns:ns0="http://schemas.openxmlformats.org/spreadsheetml/2006/main" r="AN127" s="11" t="inlineStr">
        <ns0:is>
          <ns0:t>@DESIGNATOR %1 %2 @MODEL PARAMS: Cvalue=2.2e-08 Rsvalue=180.857889877154 Rinsvalue=10000000000</ns0:t>
        </ns0:is>
      </ns0:c>
      <ns0:c xmlns:ns0="http://schemas.openxmlformats.org/spreadsheetml/2006/main" r="AO127" s="11" t="inlineStr">
        <ns0:is>
          <ns0:t>X</ns0:t>
        </ns0:is>
      </ns0:c>
      <ns0:c xmlns:ns0="http://schemas.openxmlformats.org/spreadsheetml/2006/main" r="AP127" s="11" t="inlineStr">
        <ns0:is>
          <ns0:t>(1:1),(2:2)</ns0:t>
        </ns0:is>
      </ns0:c>
      <ns0:c xmlns:ns0="http://schemas.openxmlformats.org/spreadsheetml/2006/main" r="AQ127" s="11" t="inlineStr">
        <ns0:is>
          <ns0:t>Simulation\Capacitors\MY_LIB_C_RC.ckt</ns0:t>
        </ns0:is>
      </ns0:c>
    </ns0:row>
    <ns0:row r="128" ht="30" customHeight="1">
      <ns0:c r="A128" t="str" s="14">
        <ns0:v>C0129</ns0:v>
      </ns0:c>
      <ns0:c r="B128" t="str" s="14">
        <ns0:v>Конденсатор</ns0:v>
      </ns0:c>
      <ns0:c r="C128" t="str" s="14">
        <ns0:v>33n</ns0:v>
      </ns0:c>
      <ns0:c r="D128" t="str" s="11">
        <ns0:f>SUBSTITUTE(SUBSTITUTE(SUBSTITUTE(SUBSTITUTE(C128,"p"," пФ"),"n"," нФ"),"u"," мкФ"),".",",")</ns0:f>
        <ns0:v>33 нФ</ns0:v>
      </ns0:c>
      <ns0:c r="E128" t="str" s="14">
        <ns0:v>±20%</ns0:v>
      </ns0:c>
      <ns0:c r="F128" s="14"/>
      <ns0:c r="G128" t="str" s="14">
        <ns0:v>100 В</ns0:v>
      </ns0:c>
      <ns0:c r="H128" t="str" s="14">
        <ns0:v>X7R</ns0:v>
      </ns0:c>
      <ns0:c r="I128" t="str" s="15">
        <ns0:v>0805</ns0:v>
      </ns0:c>
      <ns0:c r="J128" t="str" s="14">
        <ns0:v>YAGEO</ns0:v>
      </ns0:c>
      <ns0:c r="K128" t="str" s="14">
        <ns0:v>CC0805MKX7R0BB333</ns0:v>
      </ns0:c>
      <ns0:c r="L128" t="str" s="11">
        <ns0:f>B128&amp;" "&amp;D128&amp;" "&amp;E128&amp;" "&amp;G128&amp;" "&amp;H128&amp;" "&amp;I128</ns0:f>
        <ns0:v>Конденсатор 33 нФ ±20% 100 В X7R 0805</ns0:v>
      </ns0:c>
      <ns0:c r="M128" t="str" s="13">
        <ns0:v>C</ns0:v>
      </ns0:c>
      <ns0:c r="N128" t="str" s="13">
        <ns0:v>Symbols\MY_LIB_Capacitors.SchLib</ns0:v>
      </ns0:c>
      <ns0:c r="O128" t="str" s="13">
        <ns0:v>CAPC2012X135N</ns0:v>
      </ns0:c>
      <ns0:c r="P128" t="str" s="13">
        <ns0:v>Footprints\PBL - SMD Packages.PcbLib</ns0:v>
      </ns0:c>
      <ns0:c r="Q128" t="str" s="14">
        <ns0:v>YAGEO CC; список 20.10.2026</ns0:v>
      </ns0:c>
      <ns0:c r="R128" t="str" s="11">
        <ns0:f>D128</ns0:f>
        <ns0:v>33 нФ</ns0:v>
      </ns0:c>
      <ns0:c r="S128" t="str" s="11">
        <ns0:f>L128</ns0:f>
        <ns0:v>Конденсатор 33 нФ ±20% 100 В X7R 0805</ns0:v>
      </ns0:c>
      <x:c xmlns:x="http://schemas.openxmlformats.org/spreadsheetml/2006/main" r="T128" t="str" s="11">
        <x:v>C:\Users\Nomatin\Documents\Altium\MY_LIB\MY_LIB\Datasheets\YAGEO_CC_X7R.pdf</x:v>
      </x:c>
      <x:c xmlns:x="http://schemas.openxmlformats.org/spreadsheetml/2006/main" r="U128" t="str" s="11">
        <x:v>Даташит — локальный</x:v>
      </x:c>
      <x:c xmlns:x="http://schemas.openxmlformats.org/spreadsheetml/2006/main" r="V128" t="str" s="11">
        <x:v>C:\Users\Nomatin\Documents\Altium\MY_LIB\MY_LIB\Datasheets\YAGEO_CC_X7R.pdf</x:v>
      </x:c>
      <x:c xmlns:x="http://schemas.openxmlformats.org/spreadsheetml/2006/main" r="W128" t="str" s="11">
        <x:v>Даташит — производитель</x:v>
      </x:c>
      <x:c xmlns:x="http://schemas.openxmlformats.org/spreadsheetml/2006/main" r="X128" t="str" s="11">
        <x:v>https://yageogroup.com/content/datasheet/asset/file/UPY-GPHC_X7R_6_3V-TO-250V</x:v>
      </x:c>
      <x:c xmlns:x="http://schemas.openxmlformats.org/spreadsheetml/2006/main" r="Y128" t="str" s="11">
        <x:v>C:\Users\Nomatin\Documents\Altium\MY_LIB\MY_LIB\Datasheets\YAGEO_CC_X7R.pdf</x:v>
      </x:c>
      <ns0:c xmlns:ns0="http://schemas.openxmlformats.org/spreadsheetml/2006/main" r="Z128" s="11">
        <ns0:v>3.3e-08</ns0:v>
      </ns0:c>
      <ns0:c xmlns:ns0="http://schemas.openxmlformats.org/spreadsheetml/2006/main" r="AA128" s="11">
        <ns0:v>0.025</ns0:v>
      </ns0:c>
      <ns0:c xmlns:ns0="http://schemas.openxmlformats.org/spreadsheetml/2006/main" r="AB128" s="11">
        <ns0:v>1000</ns0:v>
      </ns0:c>
      <ns0:c xmlns:ns0="http://schemas.openxmlformats.org/spreadsheetml/2006/main" r="AC128" s="11">
        <ns0:v>1</ns0:v>
      </ns0:c>
      <ns0:c xmlns:ns0="http://schemas.openxmlformats.org/spreadsheetml/2006/main" r="AD128" s="11">
        <ns0:v>20</ns0:v>
      </ns0:c>
      <ns0:c xmlns:ns0="http://schemas.openxmlformats.org/spreadsheetml/2006/main" r="AE128" s="11">
        <ns0:v>500</ns0:v>
      </ns0:c>
      <ns0:c xmlns:ns0="http://schemas.openxmlformats.org/spreadsheetml/2006/main" r="AF128" s="11">
        <ns0:v>10000000000</ns0:v>
      </ns0:c>
      <ns0:c xmlns:ns0="http://schemas.openxmlformats.org/spreadsheetml/2006/main" r="AG128" s="11">
        <ns0:v>100</ns0:v>
      </ns0:c>
      <ns0:c xmlns:ns0="http://schemas.openxmlformats.org/spreadsheetml/2006/main" r="AH128" s="11">
        <ns0:v>60</ns0:v>
      </ns0:c>
      <ns0:c xmlns:ns0="http://schemas.openxmlformats.org/spreadsheetml/2006/main" r="AI128" s="11">
        <ns0:v>120.571926584769</ns0:v>
      </ns0:c>
      <ns0:c xmlns:ns0="http://schemas.openxmlformats.org/spreadsheetml/2006/main" r="AJ128" s="11" t="inlineStr">
        <ns0:is>
          <ns0:t>MY_LIB_C_RC</ns0:t>
        </ns0:is>
      </ns0:c>
      <ns0:c xmlns:ns0="http://schemas.openxmlformats.org/spreadsheetml/2006/main" r="AK128" s="11" t="inlineStr">
        <ns0:is>
          <ns0:t>Nominal C; DFmax at 1kHz; minimum insulation; no temperature/bias/ESL</ns0:t>
        </ns0:is>
      </ns0:c>
      <ns0:c xmlns:ns0="http://schemas.openxmlformats.org/spreadsheetml/2006/main" r="AL128" s="11" t="inlineStr">
        <ns0:is>
          <ns0:t>General</ns0:t>
        </ns0:is>
      </ns0:c>
      <ns0:c xmlns:ns0="http://schemas.openxmlformats.org/spreadsheetml/2006/main" r="AM128" s="11" t="inlineStr">
        <ns0:is>
          <ns0:t>Spice Subcircuit</ns0:t>
        </ns0:is>
      </ns0:c>
      <ns0:c xmlns:ns0="http://schemas.openxmlformats.org/spreadsheetml/2006/main" r="AN128" s="11" t="inlineStr">
        <ns0:is>
          <ns0:t>@DESIGNATOR %1 %2 @MODEL PARAMS: Cvalue=3.3e-08 Rsvalue=120.571926584769 Rinsvalue=10000000000</ns0:t>
        </ns0:is>
      </ns0:c>
      <ns0:c xmlns:ns0="http://schemas.openxmlformats.org/spreadsheetml/2006/main" r="AO128" s="11" t="inlineStr">
        <ns0:is>
          <ns0:t>X</ns0:t>
        </ns0:is>
      </ns0:c>
      <ns0:c xmlns:ns0="http://schemas.openxmlformats.org/spreadsheetml/2006/main" r="AP128" s="11" t="inlineStr">
        <ns0:is>
          <ns0:t>(1:1),(2:2)</ns0:t>
        </ns0:is>
      </ns0:c>
      <ns0:c xmlns:ns0="http://schemas.openxmlformats.org/spreadsheetml/2006/main" r="AQ128" s="11" t="inlineStr">
        <ns0:is>
          <ns0:t>Simulation\Capacitors\MY_LIB_C_RC.ckt</ns0:t>
        </ns0:is>
      </ns0:c>
    </ns0:row>
    <ns0:row r="129" ht="30" customHeight="1">
      <ns0:c r="A129" t="str" s="14">
        <ns0:v>C0130</ns0:v>
      </ns0:c>
      <ns0:c r="B129" t="str" s="14">
        <ns0:v>Конденсатор</ns0:v>
      </ns0:c>
      <ns0:c r="C129" t="str" s="14">
        <ns0:v>47n</ns0:v>
      </ns0:c>
      <ns0:c r="D129" t="str" s="11">
        <ns0:f>SUBSTITUTE(SUBSTITUTE(SUBSTITUTE(SUBSTITUTE(C129,"p"," пФ"),"n"," нФ"),"u"," мкФ"),".",",")</ns0:f>
        <ns0:v>47 нФ</ns0:v>
      </ns0:c>
      <ns0:c r="E129" t="str" s="14">
        <ns0:v>±20%</ns0:v>
      </ns0:c>
      <ns0:c r="F129" s="14"/>
      <ns0:c r="G129" t="str" s="14">
        <ns0:v>100 В</ns0:v>
      </ns0:c>
      <ns0:c r="H129" t="str" s="14">
        <ns0:v>X7R</ns0:v>
      </ns0:c>
      <ns0:c r="I129" t="str" s="15">
        <ns0:v>0805</ns0:v>
      </ns0:c>
      <ns0:c r="J129" t="str" s="14">
        <ns0:v>YAGEO</ns0:v>
      </ns0:c>
      <ns0:c r="K129" t="str" s="14">
        <ns0:v>CC0805MKX7R0BB473</ns0:v>
      </ns0:c>
      <ns0:c r="L129" t="str" s="11">
        <ns0:f>B129&amp;" "&amp;D129&amp;" "&amp;E129&amp;" "&amp;G129&amp;" "&amp;H129&amp;" "&amp;I129</ns0:f>
        <ns0:v>Конденсатор 47 нФ ±20% 100 В X7R 0805</ns0:v>
      </ns0:c>
      <ns0:c r="M129" t="str" s="13">
        <ns0:v>C</ns0:v>
      </ns0:c>
      <ns0:c r="N129" t="str" s="13">
        <ns0:v>Symbols\MY_LIB_Capacitors.SchLib</ns0:v>
      </ns0:c>
      <ns0:c r="O129" t="str" s="13">
        <ns0:v>CAPC2012X135N</ns0:v>
      </ns0:c>
      <ns0:c r="P129" t="str" s="13">
        <ns0:v>Footprints\PBL - SMD Packages.PcbLib</ns0:v>
      </ns0:c>
      <ns0:c r="Q129" t="str" s="14">
        <ns0:v>YAGEO CC; список 20.10.2026</ns0:v>
      </ns0:c>
      <ns0:c r="R129" t="str" s="11">
        <ns0:f>D129</ns0:f>
        <ns0:v>47 нФ</ns0:v>
      </ns0:c>
      <ns0:c r="S129" t="str" s="11">
        <ns0:f>L129</ns0:f>
        <ns0:v>Конденсатор 47 нФ ±20% 100 В X7R 0805</ns0:v>
      </ns0:c>
      <x:c xmlns:x="http://schemas.openxmlformats.org/spreadsheetml/2006/main" r="T129" t="str" s="11">
        <x:v>C:\Users\Nomatin\Documents\Altium\MY_LIB\MY_LIB\Datasheets\YAGEO_CC_X7R.pdf</x:v>
      </x:c>
      <x:c xmlns:x="http://schemas.openxmlformats.org/spreadsheetml/2006/main" r="U129" t="str" s="11">
        <x:v>Даташит — локальный</x:v>
      </x:c>
      <x:c xmlns:x="http://schemas.openxmlformats.org/spreadsheetml/2006/main" r="V129" t="str" s="11">
        <x:v>C:\Users\Nomatin\Documents\Altium\MY_LIB\MY_LIB\Datasheets\YAGEO_CC_X7R.pdf</x:v>
      </x:c>
      <x:c xmlns:x="http://schemas.openxmlformats.org/spreadsheetml/2006/main" r="W129" t="str" s="11">
        <x:v>Даташит — производитель</x:v>
      </x:c>
      <x:c xmlns:x="http://schemas.openxmlformats.org/spreadsheetml/2006/main" r="X129" t="str" s="11">
        <x:v>https://yageogroup.com/content/datasheet/asset/file/UPY-GPHC_X7R_6_3V-TO-250V</x:v>
      </x:c>
      <x:c xmlns:x="http://schemas.openxmlformats.org/spreadsheetml/2006/main" r="Y129" t="str" s="11">
        <x:v>C:\Users\Nomatin\Documents\Altium\MY_LIB\MY_LIB\Datasheets\YAGEO_CC_X7R.pdf</x:v>
      </x:c>
      <ns0:c xmlns:ns0="http://schemas.openxmlformats.org/spreadsheetml/2006/main" r="Z129" s="11">
        <ns0:v>4.7e-08</ns0:v>
      </ns0:c>
      <ns0:c xmlns:ns0="http://schemas.openxmlformats.org/spreadsheetml/2006/main" r="AA129" s="11">
        <ns0:v>0.025</ns0:v>
      </ns0:c>
      <ns0:c xmlns:ns0="http://schemas.openxmlformats.org/spreadsheetml/2006/main" r="AB129" s="11">
        <ns0:v>1000</ns0:v>
      </ns0:c>
      <ns0:c xmlns:ns0="http://schemas.openxmlformats.org/spreadsheetml/2006/main" r="AC129" s="11">
        <ns0:v>1</ns0:v>
      </ns0:c>
      <ns0:c xmlns:ns0="http://schemas.openxmlformats.org/spreadsheetml/2006/main" r="AD129" s="11">
        <ns0:v>20</ns0:v>
      </ns0:c>
      <ns0:c xmlns:ns0="http://schemas.openxmlformats.org/spreadsheetml/2006/main" r="AE129" s="11">
        <ns0:v>500</ns0:v>
      </ns0:c>
      <ns0:c xmlns:ns0="http://schemas.openxmlformats.org/spreadsheetml/2006/main" r="AF129" s="11">
        <ns0:v>10000000000</ns0:v>
      </ns0:c>
      <ns0:c xmlns:ns0="http://schemas.openxmlformats.org/spreadsheetml/2006/main" r="AG129" s="11">
        <ns0:v>100</ns0:v>
      </ns0:c>
      <ns0:c xmlns:ns0="http://schemas.openxmlformats.org/spreadsheetml/2006/main" r="AH129" s="11">
        <ns0:v>60</ns0:v>
      </ns0:c>
      <ns0:c xmlns:ns0="http://schemas.openxmlformats.org/spreadsheetml/2006/main" r="AI129" s="11">
        <ns0:v>84.6568846233486</ns0:v>
      </ns0:c>
      <ns0:c xmlns:ns0="http://schemas.openxmlformats.org/spreadsheetml/2006/main" r="AJ129" s="11" t="inlineStr">
        <ns0:is>
          <ns0:t>MY_LIB_C_RC</ns0:t>
        </ns0:is>
      </ns0:c>
      <ns0:c xmlns:ns0="http://schemas.openxmlformats.org/spreadsheetml/2006/main" r="AK129" s="11" t="inlineStr">
        <ns0:is>
          <ns0:t>Nominal C; DFmax at 1kHz; minimum insulation; no temperature/bias/ESL</ns0:t>
        </ns0:is>
      </ns0:c>
      <ns0:c xmlns:ns0="http://schemas.openxmlformats.org/spreadsheetml/2006/main" r="AL129" s="11" t="inlineStr">
        <ns0:is>
          <ns0:t>General</ns0:t>
        </ns0:is>
      </ns0:c>
      <ns0:c xmlns:ns0="http://schemas.openxmlformats.org/spreadsheetml/2006/main" r="AM129" s="11" t="inlineStr">
        <ns0:is>
          <ns0:t>Spice Subcircuit</ns0:t>
        </ns0:is>
      </ns0:c>
      <ns0:c xmlns:ns0="http://schemas.openxmlformats.org/spreadsheetml/2006/main" r="AN129" s="11" t="inlineStr">
        <ns0:is>
          <ns0:t>@DESIGNATOR %1 %2 @MODEL PARAMS: Cvalue=4.7e-08 Rsvalue=84.6568846233486 Rinsvalue=10000000000</ns0:t>
        </ns0:is>
      </ns0:c>
      <ns0:c xmlns:ns0="http://schemas.openxmlformats.org/spreadsheetml/2006/main" r="AO129" s="11" t="inlineStr">
        <ns0:is>
          <ns0:t>X</ns0:t>
        </ns0:is>
      </ns0:c>
      <ns0:c xmlns:ns0="http://schemas.openxmlformats.org/spreadsheetml/2006/main" r="AP129" s="11" t="inlineStr">
        <ns0:is>
          <ns0:t>(1:1),(2:2)</ns0:t>
        </ns0:is>
      </ns0:c>
      <ns0:c xmlns:ns0="http://schemas.openxmlformats.org/spreadsheetml/2006/main" r="AQ129" s="11" t="inlineStr">
        <ns0:is>
          <ns0:t>Simulation\Capacitors\MY_LIB_C_RC.ckt</ns0:t>
        </ns0:is>
      </ns0:c>
    </ns0:row>
    <ns0:row r="130" ht="30" customHeight="1">
      <ns0:c r="A130" t="str" s="14">
        <ns0:v>C0131</ns0:v>
      </ns0:c>
      <ns0:c r="B130" t="str" s="14">
        <ns0:v>Конденсатор</ns0:v>
      </ns0:c>
      <ns0:c r="C130" t="str" s="14">
        <ns0:v>68n</ns0:v>
      </ns0:c>
      <ns0:c r="D130" t="str" s="11">
        <ns0:f>SUBSTITUTE(SUBSTITUTE(SUBSTITUTE(SUBSTITUTE(C130,"p"," пФ"),"n"," нФ"),"u"," мкФ"),".",",")</ns0:f>
        <ns0:v>68 нФ</ns0:v>
      </ns0:c>
      <ns0:c r="E130" t="str" s="14">
        <ns0:v>±20%</ns0:v>
      </ns0:c>
      <ns0:c r="F130" s="14"/>
      <ns0:c r="G130" t="str" s="14">
        <ns0:v>100 В</ns0:v>
      </ns0:c>
      <ns0:c r="H130" t="str" s="14">
        <ns0:v>X7R</ns0:v>
      </ns0:c>
      <ns0:c r="I130" t="str" s="15">
        <ns0:v>0805</ns0:v>
      </ns0:c>
      <ns0:c r="J130" t="str" s="14">
        <ns0:v>YAGEO</ns0:v>
      </ns0:c>
      <ns0:c r="K130" t="str" s="14">
        <ns0:v>CC0805MKX7R0BB683</ns0:v>
      </ns0:c>
      <ns0:c r="L130" t="str" s="11">
        <ns0:f>B130&amp;" "&amp;D130&amp;" "&amp;E130&amp;" "&amp;G130&amp;" "&amp;H130&amp;" "&amp;I130</ns0:f>
        <ns0:v>Конденсатор 68 нФ ±20% 100 В X7R 0805</ns0:v>
      </ns0:c>
      <ns0:c r="M130" t="str" s="13">
        <ns0:v>C</ns0:v>
      </ns0:c>
      <ns0:c r="N130" t="str" s="13">
        <ns0:v>Symbols\MY_LIB_Capacitors.SchLib</ns0:v>
      </ns0:c>
      <ns0:c r="O130" t="str" s="13">
        <ns0:v>CAPC2012X135N</ns0:v>
      </ns0:c>
      <ns0:c r="P130" t="str" s="13">
        <ns0:v>Footprints\PBL - SMD Packages.PcbLib</ns0:v>
      </ns0:c>
      <ns0:c r="Q130" t="str" s="14">
        <ns0:v>YAGEO CC; список 20.10.2026</ns0:v>
      </ns0:c>
      <ns0:c r="R130" t="str" s="11">
        <ns0:f>D130</ns0:f>
        <ns0:v>68 нФ</ns0:v>
      </ns0:c>
      <ns0:c r="S130" t="str" s="11">
        <ns0:f>L130</ns0:f>
        <ns0:v>Конденсатор 68 нФ ±20% 100 В X7R 0805</ns0:v>
      </ns0:c>
      <x:c xmlns:x="http://schemas.openxmlformats.org/spreadsheetml/2006/main" r="T130" t="str" s="11">
        <x:v>C:\Users\Nomatin\Documents\Altium\MY_LIB\MY_LIB\Datasheets\YAGEO_CC_X7R.pdf</x:v>
      </x:c>
      <x:c xmlns:x="http://schemas.openxmlformats.org/spreadsheetml/2006/main" r="U130" t="str" s="11">
        <x:v>Даташит — локальный</x:v>
      </x:c>
      <x:c xmlns:x="http://schemas.openxmlformats.org/spreadsheetml/2006/main" r="V130" t="str" s="11">
        <x:v>C:\Users\Nomatin\Documents\Altium\MY_LIB\MY_LIB\Datasheets\YAGEO_CC_X7R.pdf</x:v>
      </x:c>
      <x:c xmlns:x="http://schemas.openxmlformats.org/spreadsheetml/2006/main" r="W130" t="str" s="11">
        <x:v>Даташит — производитель</x:v>
      </x:c>
      <x:c xmlns:x="http://schemas.openxmlformats.org/spreadsheetml/2006/main" r="X130" t="str" s="11">
        <x:v>https://yageogroup.com/content/datasheet/asset/file/UPY-GPHC_X7R_6_3V-TO-250V</x:v>
      </x:c>
      <x:c xmlns:x="http://schemas.openxmlformats.org/spreadsheetml/2006/main" r="Y130" t="str" s="11">
        <x:v>C:\Users\Nomatin\Documents\Altium\MY_LIB\MY_LIB\Datasheets\YAGEO_CC_X7R.pdf</x:v>
      </x:c>
      <ns0:c xmlns:ns0="http://schemas.openxmlformats.org/spreadsheetml/2006/main" r="Z130" s="11">
        <ns0:v>6.8e-08</ns0:v>
      </ns0:c>
      <ns0:c xmlns:ns0="http://schemas.openxmlformats.org/spreadsheetml/2006/main" r="AA130" s="11">
        <ns0:v>0.025</ns0:v>
      </ns0:c>
      <ns0:c xmlns:ns0="http://schemas.openxmlformats.org/spreadsheetml/2006/main" r="AB130" s="11">
        <ns0:v>1000</ns0:v>
      </ns0:c>
      <ns0:c xmlns:ns0="http://schemas.openxmlformats.org/spreadsheetml/2006/main" r="AC130" s="11">
        <ns0:v>1</ns0:v>
      </ns0:c>
      <ns0:c xmlns:ns0="http://schemas.openxmlformats.org/spreadsheetml/2006/main" r="AD130" s="11">
        <ns0:v>20</ns0:v>
      </ns0:c>
      <ns0:c xmlns:ns0="http://schemas.openxmlformats.org/spreadsheetml/2006/main" r="AE130" s="11">
        <ns0:v>500</ns0:v>
      </ns0:c>
      <ns0:c xmlns:ns0="http://schemas.openxmlformats.org/spreadsheetml/2006/main" r="AF130" s="11">
        <ns0:v>7352941176.47059</ns0:v>
      </ns0:c>
      <ns0:c xmlns:ns0="http://schemas.openxmlformats.org/spreadsheetml/2006/main" r="AG130" s="11">
        <ns0:v>100</ns0:v>
      </ns0:c>
      <ns0:c xmlns:ns0="http://schemas.openxmlformats.org/spreadsheetml/2006/main" r="AH130" s="11">
        <ns0:v>60</ns0:v>
      </ns0:c>
      <ns0:c xmlns:ns0="http://schemas.openxmlformats.org/spreadsheetml/2006/main" r="AI130" s="11">
        <ns0:v>58.5128467249615</ns0:v>
      </ns0:c>
      <ns0:c xmlns:ns0="http://schemas.openxmlformats.org/spreadsheetml/2006/main" r="AJ130" s="11" t="inlineStr">
        <ns0:is>
          <ns0:t>MY_LIB_C_RC</ns0:t>
        </ns0:is>
      </ns0:c>
      <ns0:c xmlns:ns0="http://schemas.openxmlformats.org/spreadsheetml/2006/main" r="AK130" s="11" t="inlineStr">
        <ns0:is>
          <ns0:t>Nominal C; DFmax at 1kHz; minimum insulation; no temperature/bias/ESL</ns0:t>
        </ns0:is>
      </ns0:c>
      <ns0:c xmlns:ns0="http://schemas.openxmlformats.org/spreadsheetml/2006/main" r="AL130" s="11" t="inlineStr">
        <ns0:is>
          <ns0:t>General</ns0:t>
        </ns0:is>
      </ns0:c>
      <ns0:c xmlns:ns0="http://schemas.openxmlformats.org/spreadsheetml/2006/main" r="AM130" s="11" t="inlineStr">
        <ns0:is>
          <ns0:t>Spice Subcircuit</ns0:t>
        </ns0:is>
      </ns0:c>
      <ns0:c xmlns:ns0="http://schemas.openxmlformats.org/spreadsheetml/2006/main" r="AN130" s="11" t="inlineStr">
        <ns0:is>
          <ns0:t>@DESIGNATOR %1 %2 @MODEL PARAMS: Cvalue=6.8e-08 Rsvalue=58.5128467249615 Rinsvalue=7352941176.47059</ns0:t>
        </ns0:is>
      </ns0:c>
      <ns0:c xmlns:ns0="http://schemas.openxmlformats.org/spreadsheetml/2006/main" r="AO130" s="11" t="inlineStr">
        <ns0:is>
          <ns0:t>X</ns0:t>
        </ns0:is>
      </ns0:c>
      <ns0:c xmlns:ns0="http://schemas.openxmlformats.org/spreadsheetml/2006/main" r="AP130" s="11" t="inlineStr">
        <ns0:is>
          <ns0:t>(1:1),(2:2)</ns0:t>
        </ns0:is>
      </ns0:c>
      <ns0:c xmlns:ns0="http://schemas.openxmlformats.org/spreadsheetml/2006/main" r="AQ130" s="11" t="inlineStr">
        <ns0:is>
          <ns0:t>Simulation\Capacitors\MY_LIB_C_RC.ckt</ns0:t>
        </ns0:is>
      </ns0:c>
    </ns0:row>
    <ns0:row r="131" ht="30" customHeight="1">
      <ns0:c r="A131" t="str" s="14">
        <ns0:v>C0132</ns0:v>
      </ns0:c>
      <ns0:c r="B131" t="str" s="14">
        <ns0:v>Конденсатор</ns0:v>
      </ns0:c>
      <ns0:c r="C131" t="str" s="14">
        <ns0:v>100n</ns0:v>
      </ns0:c>
      <ns0:c r="D131" t="str" s="11">
        <ns0:f>SUBSTITUTE(SUBSTITUTE(SUBSTITUTE(SUBSTITUTE(C131,"p"," пФ"),"n"," нФ"),"u"," мкФ"),".",",")</ns0:f>
        <ns0:v>100 нФ</ns0:v>
      </ns0:c>
      <ns0:c r="E131" t="str" s="14">
        <ns0:v>±20%</ns0:v>
      </ns0:c>
      <ns0:c r="F131" s="14"/>
      <ns0:c r="G131" t="str" s="14">
        <ns0:v>100 В</ns0:v>
      </ns0:c>
      <ns0:c r="H131" t="str" s="14">
        <ns0:v>X7R</ns0:v>
      </ns0:c>
      <ns0:c r="I131" t="str" s="15">
        <ns0:v>0805</ns0:v>
      </ns0:c>
      <ns0:c r="J131" t="str" s="14">
        <ns0:v>YAGEO</ns0:v>
      </ns0:c>
      <ns0:c r="K131" t="str" s="14">
        <ns0:v>CC0805MKX7R0BB104</ns0:v>
      </ns0:c>
      <ns0:c r="L131" t="str" s="11">
        <ns0:f>B131&amp;" "&amp;D131&amp;" "&amp;E131&amp;" "&amp;G131&amp;" "&amp;H131&amp;" "&amp;I131</ns0:f>
        <ns0:v>Конденсатор 100 нФ ±20% 100 В X7R 0805</ns0:v>
      </ns0:c>
      <ns0:c r="M131" t="str" s="13">
        <ns0:v>C</ns0:v>
      </ns0:c>
      <ns0:c r="N131" t="str" s="13">
        <ns0:v>Symbols\MY_LIB_Capacitors.SchLib</ns0:v>
      </ns0:c>
      <ns0:c r="O131" t="str" s="13">
        <ns0:v>CAPC2012X135N</ns0:v>
      </ns0:c>
      <ns0:c r="P131" t="str" s="13">
        <ns0:v>Footprints\PBL - SMD Packages.PcbLib</ns0:v>
      </ns0:c>
      <ns0:c r="Q131" t="str" s="14">
        <ns0:v>YAGEO CC; список 20.10.2026</ns0:v>
      </ns0:c>
      <ns0:c r="R131" t="str" s="11">
        <ns0:f>D131</ns0:f>
        <ns0:v>100 нФ</ns0:v>
      </ns0:c>
      <ns0:c r="S131" t="str" s="11">
        <ns0:f>L131</ns0:f>
        <ns0:v>Конденсатор 100 нФ ±20% 100 В X7R 0805</ns0:v>
      </ns0:c>
      <x:c xmlns:x="http://schemas.openxmlformats.org/spreadsheetml/2006/main" r="T131" t="str" s="11">
        <x:v>C:\Users\Nomatin\Documents\Altium\MY_LIB\MY_LIB\Datasheets\YAGEO_CC_X7R.pdf</x:v>
      </x:c>
      <x:c xmlns:x="http://schemas.openxmlformats.org/spreadsheetml/2006/main" r="U131" t="str" s="11">
        <x:v>Даташит — локальный</x:v>
      </x:c>
      <x:c xmlns:x="http://schemas.openxmlformats.org/spreadsheetml/2006/main" r="V131" t="str" s="11">
        <x:v>C:\Users\Nomatin\Documents\Altium\MY_LIB\MY_LIB\Datasheets\YAGEO_CC_X7R.pdf</x:v>
      </x:c>
      <x:c xmlns:x="http://schemas.openxmlformats.org/spreadsheetml/2006/main" r="W131" t="str" s="11">
        <x:v>Даташит — производитель</x:v>
      </x:c>
      <x:c xmlns:x="http://schemas.openxmlformats.org/spreadsheetml/2006/main" r="X131" t="str" s="11">
        <x:v>https://yageogroup.com/content/datasheet/asset/file/UPY-GPHC_X7R_6_3V-TO-250V</x:v>
      </x:c>
      <x:c xmlns:x="http://schemas.openxmlformats.org/spreadsheetml/2006/main" r="Y131" t="str" s="11">
        <x:v>C:\Users\Nomatin\Documents\Altium\MY_LIB\MY_LIB\Datasheets\YAGEO_CC_X7R.pdf</x:v>
      </x:c>
      <ns0:c xmlns:ns0="http://schemas.openxmlformats.org/spreadsheetml/2006/main" r="Z131" s="11">
        <ns0:v>1e-07</ns0:v>
      </ns0:c>
      <ns0:c xmlns:ns0="http://schemas.openxmlformats.org/spreadsheetml/2006/main" r="AA131" s="11">
        <ns0:v>0.025</ns0:v>
      </ns0:c>
      <ns0:c xmlns:ns0="http://schemas.openxmlformats.org/spreadsheetml/2006/main" r="AB131" s="11">
        <ns0:v>1000</ns0:v>
      </ns0:c>
      <ns0:c xmlns:ns0="http://schemas.openxmlformats.org/spreadsheetml/2006/main" r="AC131" s="11">
        <ns0:v>1</ns0:v>
      </ns0:c>
      <ns0:c xmlns:ns0="http://schemas.openxmlformats.org/spreadsheetml/2006/main" r="AD131" s="11">
        <ns0:v>20</ns0:v>
      </ns0:c>
      <ns0:c xmlns:ns0="http://schemas.openxmlformats.org/spreadsheetml/2006/main" r="AE131" s="11">
        <ns0:v>500</ns0:v>
      </ns0:c>
      <ns0:c xmlns:ns0="http://schemas.openxmlformats.org/spreadsheetml/2006/main" r="AF131" s="11">
        <ns0:v>5000000000</ns0:v>
      </ns0:c>
      <ns0:c xmlns:ns0="http://schemas.openxmlformats.org/spreadsheetml/2006/main" r="AG131" s="11">
        <ns0:v>100</ns0:v>
      </ns0:c>
      <ns0:c xmlns:ns0="http://schemas.openxmlformats.org/spreadsheetml/2006/main" r="AH131" s="11">
        <ns0:v>60</ns0:v>
      </ns0:c>
      <ns0:c xmlns:ns0="http://schemas.openxmlformats.org/spreadsheetml/2006/main" r="AI131" s="11">
        <ns0:v>39.7887357729738</ns0:v>
      </ns0:c>
      <ns0:c xmlns:ns0="http://schemas.openxmlformats.org/spreadsheetml/2006/main" r="AJ131" s="11" t="inlineStr">
        <ns0:is>
          <ns0:t>MY_LIB_C_RC</ns0:t>
        </ns0:is>
      </ns0:c>
      <ns0:c xmlns:ns0="http://schemas.openxmlformats.org/spreadsheetml/2006/main" r="AK131" s="11" t="inlineStr">
        <ns0:is>
          <ns0:t>Nominal C; DFmax at 1kHz; minimum insulation; no temperature/bias/ESL</ns0:t>
        </ns0:is>
      </ns0:c>
      <ns0:c xmlns:ns0="http://schemas.openxmlformats.org/spreadsheetml/2006/main" r="AL131" s="11" t="inlineStr">
        <ns0:is>
          <ns0:t>General</ns0:t>
        </ns0:is>
      </ns0:c>
      <ns0:c xmlns:ns0="http://schemas.openxmlformats.org/spreadsheetml/2006/main" r="AM131" s="11" t="inlineStr">
        <ns0:is>
          <ns0:t>Spice Subcircuit</ns0:t>
        </ns0:is>
      </ns0:c>
      <ns0:c xmlns:ns0="http://schemas.openxmlformats.org/spreadsheetml/2006/main" r="AN131" s="11" t="inlineStr">
        <ns0:is>
          <ns0:t>@DESIGNATOR %1 %2 @MODEL PARAMS: Cvalue=1e-07 Rsvalue=39.7887357729738 Rinsvalue=5000000000</ns0:t>
        </ns0:is>
      </ns0:c>
      <ns0:c xmlns:ns0="http://schemas.openxmlformats.org/spreadsheetml/2006/main" r="AO131" s="11" t="inlineStr">
        <ns0:is>
          <ns0:t>X</ns0:t>
        </ns0:is>
      </ns0:c>
      <ns0:c xmlns:ns0="http://schemas.openxmlformats.org/spreadsheetml/2006/main" r="AP131" s="11" t="inlineStr">
        <ns0:is>
          <ns0:t>(1:1),(2:2)</ns0:t>
        </ns0:is>
      </ns0:c>
      <ns0:c xmlns:ns0="http://schemas.openxmlformats.org/spreadsheetml/2006/main" r="AQ131" s="11" t="inlineStr">
        <ns0:is>
          <ns0:t>Simulation\Capacitors\MY_LIB_C_RC.ckt</ns0:t>
        </ns0:is>
      </ns0:c>
    </ns0:row>
    <ns0:row r="132" ht="30" customHeight="1">
      <ns0:c r="A132" t="str" s="14">
        <ns0:v>C0133</ns0:v>
      </ns0:c>
      <ns0:c r="B132" t="str" s="14">
        <ns0:v>Конденсатор</ns0:v>
      </ns0:c>
      <ns0:c r="C132" t="str" s="14">
        <ns0:v>150n</ns0:v>
      </ns0:c>
      <ns0:c r="D132" t="str" s="11">
        <ns0:f>SUBSTITUTE(SUBSTITUTE(SUBSTITUTE(SUBSTITUTE(C132,"p"," пФ"),"n"," нФ"),"u"," мкФ"),".",",")</ns0:f>
        <ns0:v>150 нФ</ns0:v>
      </ns0:c>
      <ns0:c r="E132" t="str" s="14">
        <ns0:v>±20%</ns0:v>
      </ns0:c>
      <ns0:c r="F132" s="14"/>
      <ns0:c r="G132" t="str" s="14">
        <ns0:v>100 В</ns0:v>
      </ns0:c>
      <ns0:c r="H132" t="str" s="14">
        <ns0:v>X7R</ns0:v>
      </ns0:c>
      <ns0:c r="I132" t="str" s="15">
        <ns0:v>0805</ns0:v>
      </ns0:c>
      <ns0:c r="J132" t="str" s="14">
        <ns0:v>YAGEO</ns0:v>
      </ns0:c>
      <ns0:c r="K132" t="str" s="14">
        <ns0:v>CC0805MKX7R0BB154</ns0:v>
      </ns0:c>
      <ns0:c r="L132" t="str" s="11">
        <ns0:f>B132&amp;" "&amp;D132&amp;" "&amp;E132&amp;" "&amp;G132&amp;" "&amp;H132&amp;" "&amp;I132</ns0:f>
        <ns0:v>Конденсатор 150 нФ ±20% 100 В X7R 0805</ns0:v>
      </ns0:c>
      <ns0:c r="M132" t="str" s="13">
        <ns0:v>C</ns0:v>
      </ns0:c>
      <ns0:c r="N132" t="str" s="13">
        <ns0:v>Symbols\MY_LIB_Capacitors.SchLib</ns0:v>
      </ns0:c>
      <ns0:c r="O132" t="str" s="13">
        <ns0:v>CAPC2012X135N</ns0:v>
      </ns0:c>
      <ns0:c r="P132" t="str" s="13">
        <ns0:v>Footprints\PBL - SMD Packages.PcbLib</ns0:v>
      </ns0:c>
      <ns0:c r="Q132" t="str" s="14">
        <ns0:v>YAGEO CC; список 20.10.2026</ns0:v>
      </ns0:c>
      <ns0:c r="R132" t="str" s="11">
        <ns0:f>D132</ns0:f>
        <ns0:v>150 нФ</ns0:v>
      </ns0:c>
      <ns0:c r="S132" t="str" s="11">
        <ns0:f>L132</ns0:f>
        <ns0:v>Конденсатор 150 нФ ±20% 100 В X7R 0805</ns0:v>
      </ns0:c>
      <x:c xmlns:x="http://schemas.openxmlformats.org/spreadsheetml/2006/main" r="T132" t="str" s="11">
        <x:v>C:\Users\Nomatin\Documents\Altium\MY_LIB\MY_LIB\Datasheets\YAGEO_CC_X7R.pdf</x:v>
      </x:c>
      <x:c xmlns:x="http://schemas.openxmlformats.org/spreadsheetml/2006/main" r="U132" t="str" s="11">
        <x:v>Даташит — локальный</x:v>
      </x:c>
      <x:c xmlns:x="http://schemas.openxmlformats.org/spreadsheetml/2006/main" r="V132" t="str" s="11">
        <x:v>C:\Users\Nomatin\Documents\Altium\MY_LIB\MY_LIB\Datasheets\YAGEO_CC_X7R.pdf</x:v>
      </x:c>
      <x:c xmlns:x="http://schemas.openxmlformats.org/spreadsheetml/2006/main" r="W132" t="str" s="11">
        <x:v>Даташит — производитель</x:v>
      </x:c>
      <x:c xmlns:x="http://schemas.openxmlformats.org/spreadsheetml/2006/main" r="X132" t="str" s="11">
        <x:v>https://yageogroup.com/content/datasheet/asset/file/UPY-GPHC_X7R_6_3V-TO-250V</x:v>
      </x:c>
      <x:c xmlns:x="http://schemas.openxmlformats.org/spreadsheetml/2006/main" r="Y132" t="str" s="11">
        <x:v>C:\Users\Nomatin\Documents\Altium\MY_LIB\MY_LIB\Datasheets\YAGEO_CC_X7R.pdf</x:v>
      </x:c>
      <ns0:c xmlns:ns0="http://schemas.openxmlformats.org/spreadsheetml/2006/main" r="Z132" s="11">
        <ns0:v>1.5e-07</ns0:v>
      </ns0:c>
      <ns0:c xmlns:ns0="http://schemas.openxmlformats.org/spreadsheetml/2006/main" r="AA132" s="11">
        <ns0:v>0.025</ns0:v>
      </ns0:c>
      <ns0:c xmlns:ns0="http://schemas.openxmlformats.org/spreadsheetml/2006/main" r="AB132" s="11">
        <ns0:v>1000</ns0:v>
      </ns0:c>
      <ns0:c xmlns:ns0="http://schemas.openxmlformats.org/spreadsheetml/2006/main" r="AC132" s="11">
        <ns0:v>1</ns0:v>
      </ns0:c>
      <ns0:c xmlns:ns0="http://schemas.openxmlformats.org/spreadsheetml/2006/main" r="AD132" s="11">
        <ns0:v>20</ns0:v>
      </ns0:c>
      <ns0:c xmlns:ns0="http://schemas.openxmlformats.org/spreadsheetml/2006/main" r="AE132" s="11">
        <ns0:v>500</ns0:v>
      </ns0:c>
      <ns0:c xmlns:ns0="http://schemas.openxmlformats.org/spreadsheetml/2006/main" r="AF132" s="11">
        <ns0:v>3333333333.33333</ns0:v>
      </ns0:c>
      <ns0:c xmlns:ns0="http://schemas.openxmlformats.org/spreadsheetml/2006/main" r="AG132" s="11">
        <ns0:v>100</ns0:v>
      </ns0:c>
      <ns0:c xmlns:ns0="http://schemas.openxmlformats.org/spreadsheetml/2006/main" r="AH132" s="11">
        <ns0:v>60</ns0:v>
      </ns0:c>
      <ns0:c xmlns:ns0="http://schemas.openxmlformats.org/spreadsheetml/2006/main" r="AI132" s="11">
        <ns0:v>26.5258238486492</ns0:v>
      </ns0:c>
      <ns0:c xmlns:ns0="http://schemas.openxmlformats.org/spreadsheetml/2006/main" r="AJ132" s="11" t="inlineStr">
        <ns0:is>
          <ns0:t>MY_LIB_C_RC</ns0:t>
        </ns0:is>
      </ns0:c>
      <ns0:c xmlns:ns0="http://schemas.openxmlformats.org/spreadsheetml/2006/main" r="AK132" s="11" t="inlineStr">
        <ns0:is>
          <ns0:t>Nominal C; DFmax at 1kHz; minimum insulation; no temperature/bias/ESL</ns0:t>
        </ns0:is>
      </ns0:c>
      <ns0:c xmlns:ns0="http://schemas.openxmlformats.org/spreadsheetml/2006/main" r="AL132" s="11" t="inlineStr">
        <ns0:is>
          <ns0:t>General</ns0:t>
        </ns0:is>
      </ns0:c>
      <ns0:c xmlns:ns0="http://schemas.openxmlformats.org/spreadsheetml/2006/main" r="AM132" s="11" t="inlineStr">
        <ns0:is>
          <ns0:t>Spice Subcircuit</ns0:t>
        </ns0:is>
      </ns0:c>
      <ns0:c xmlns:ns0="http://schemas.openxmlformats.org/spreadsheetml/2006/main" r="AN132" s="11" t="inlineStr">
        <ns0:is>
          <ns0:t>@DESIGNATOR %1 %2 @MODEL PARAMS: Cvalue=1.5e-07 Rsvalue=26.5258238486492 Rinsvalue=3333333333.33333</ns0:t>
        </ns0:is>
      </ns0:c>
      <ns0:c xmlns:ns0="http://schemas.openxmlformats.org/spreadsheetml/2006/main" r="AO132" s="11" t="inlineStr">
        <ns0:is>
          <ns0:t>X</ns0:t>
        </ns0:is>
      </ns0:c>
      <ns0:c xmlns:ns0="http://schemas.openxmlformats.org/spreadsheetml/2006/main" r="AP132" s="11" t="inlineStr">
        <ns0:is>
          <ns0:t>(1:1),(2:2)</ns0:t>
        </ns0:is>
      </ns0:c>
      <ns0:c xmlns:ns0="http://schemas.openxmlformats.org/spreadsheetml/2006/main" r="AQ132" s="11" t="inlineStr">
        <ns0:is>
          <ns0:t>Simulation\Capacitors\MY_LIB_C_RC.ckt</ns0:t>
        </ns0:is>
      </ns0:c>
    </ns0:row>
    <ns0:row r="133" ht="30" customHeight="1">
      <ns0:c r="A133" t="str" s="14">
        <ns0:v>C0134</ns0:v>
      </ns0:c>
      <ns0:c r="B133" t="str" s="14">
        <ns0:v>Конденсатор</ns0:v>
      </ns0:c>
      <ns0:c r="C133" t="str" s="14">
        <ns0:v>220n</ns0:v>
      </ns0:c>
      <ns0:c r="D133" t="str" s="11">
        <ns0:f>SUBSTITUTE(SUBSTITUTE(SUBSTITUTE(SUBSTITUTE(C133,"p"," пФ"),"n"," нФ"),"u"," мкФ"),".",",")</ns0:f>
        <ns0:v>220 нФ</ns0:v>
      </ns0:c>
      <ns0:c r="E133" t="str" s="14">
        <ns0:v>±20%</ns0:v>
      </ns0:c>
      <ns0:c r="F133" s="14"/>
      <ns0:c r="G133" t="str" s="14">
        <ns0:v>100 В</ns0:v>
      </ns0:c>
      <ns0:c r="H133" t="str" s="14">
        <ns0:v>X7R</ns0:v>
      </ns0:c>
      <ns0:c r="I133" t="str" s="15">
        <ns0:v>0805</ns0:v>
      </ns0:c>
      <ns0:c r="J133" t="str" s="14">
        <ns0:v>YAGEO</ns0:v>
      </ns0:c>
      <ns0:c r="K133" t="str" s="14">
        <ns0:v>CC0805MKX7R0BB224</ns0:v>
      </ns0:c>
      <ns0:c r="L133" t="str" s="11">
        <ns0:f>B133&amp;" "&amp;D133&amp;" "&amp;E133&amp;" "&amp;G133&amp;" "&amp;H133&amp;" "&amp;I133</ns0:f>
        <ns0:v>Конденсатор 220 нФ ±20% 100 В X7R 0805</ns0:v>
      </ns0:c>
      <ns0:c r="M133" t="str" s="13">
        <ns0:v>C</ns0:v>
      </ns0:c>
      <ns0:c r="N133" t="str" s="13">
        <ns0:v>Symbols\MY_LIB_Capacitors.SchLib</ns0:v>
      </ns0:c>
      <ns0:c r="O133" t="str" s="13">
        <ns0:v>CAPC2012X135N</ns0:v>
      </ns0:c>
      <ns0:c r="P133" t="str" s="13">
        <ns0:v>Footprints\PBL - SMD Packages.PcbLib</ns0:v>
      </ns0:c>
      <ns0:c r="Q133" t="str" s="14">
        <ns0:v>YAGEO CC; список 20.10.2026</ns0:v>
      </ns0:c>
      <ns0:c r="R133" t="str" s="11">
        <ns0:f>D133</ns0:f>
        <ns0:v>220 нФ</ns0:v>
      </ns0:c>
      <ns0:c r="S133" t="str" s="11">
        <ns0:f>L133</ns0:f>
        <ns0:v>Конденсатор 220 нФ ±20% 100 В X7R 0805</ns0:v>
      </ns0:c>
      <x:c xmlns:x="http://schemas.openxmlformats.org/spreadsheetml/2006/main" r="T133" t="str" s="11">
        <x:v>C:\Users\Nomatin\Documents\Altium\MY_LIB\MY_LIB\Datasheets\YAGEO_CC_X7R.pdf</x:v>
      </x:c>
      <x:c xmlns:x="http://schemas.openxmlformats.org/spreadsheetml/2006/main" r="U133" t="str" s="11">
        <x:v>Даташит — локальный</x:v>
      </x:c>
      <x:c xmlns:x="http://schemas.openxmlformats.org/spreadsheetml/2006/main" r="V133" t="str" s="11">
        <x:v>C:\Users\Nomatin\Documents\Altium\MY_LIB\MY_LIB\Datasheets\YAGEO_CC_X7R.pdf</x:v>
      </x:c>
      <x:c xmlns:x="http://schemas.openxmlformats.org/spreadsheetml/2006/main" r="W133" t="str" s="11">
        <x:v>Даташит — производитель</x:v>
      </x:c>
      <x:c xmlns:x="http://schemas.openxmlformats.org/spreadsheetml/2006/main" r="X133" t="str" s="11">
        <x:v>https://yageogroup.com/content/datasheet/asset/file/UPY-GPHC_X7R_6_3V-TO-250V</x:v>
      </x:c>
      <x:c xmlns:x="http://schemas.openxmlformats.org/spreadsheetml/2006/main" r="Y133" t="str" s="11">
        <x:v>C:\Users\Nomatin\Documents\Altium\MY_LIB\MY_LIB\Datasheets\YAGEO_CC_X7R.pdf</x:v>
      </x:c>
      <ns0:c xmlns:ns0="http://schemas.openxmlformats.org/spreadsheetml/2006/main" r="Z133" s="11">
        <ns0:v>2.2e-07</ns0:v>
      </ns0:c>
      <ns0:c xmlns:ns0="http://schemas.openxmlformats.org/spreadsheetml/2006/main" r="AA133" s="11">
        <ns0:v>0.025</ns0:v>
      </ns0:c>
      <ns0:c xmlns:ns0="http://schemas.openxmlformats.org/spreadsheetml/2006/main" r="AB133" s="11">
        <ns0:v>1000</ns0:v>
      </ns0:c>
      <ns0:c xmlns:ns0="http://schemas.openxmlformats.org/spreadsheetml/2006/main" r="AC133" s="11">
        <ns0:v>1</ns0:v>
      </ns0:c>
      <ns0:c xmlns:ns0="http://schemas.openxmlformats.org/spreadsheetml/2006/main" r="AD133" s="11">
        <ns0:v>20</ns0:v>
      </ns0:c>
      <ns0:c xmlns:ns0="http://schemas.openxmlformats.org/spreadsheetml/2006/main" r="AE133" s="11">
        <ns0:v>500</ns0:v>
      </ns0:c>
      <ns0:c xmlns:ns0="http://schemas.openxmlformats.org/spreadsheetml/2006/main" r="AF133" s="11">
        <ns0:v>2272727272.72727</ns0:v>
      </ns0:c>
      <ns0:c xmlns:ns0="http://schemas.openxmlformats.org/spreadsheetml/2006/main" r="AG133" s="11">
        <ns0:v>100</ns0:v>
      </ns0:c>
      <ns0:c xmlns:ns0="http://schemas.openxmlformats.org/spreadsheetml/2006/main" r="AH133" s="11">
        <ns0:v>60</ns0:v>
      </ns0:c>
      <ns0:c xmlns:ns0="http://schemas.openxmlformats.org/spreadsheetml/2006/main" r="AI133" s="11">
        <ns0:v>18.0857889877154</ns0:v>
      </ns0:c>
      <ns0:c xmlns:ns0="http://schemas.openxmlformats.org/spreadsheetml/2006/main" r="AJ133" s="11" t="inlineStr">
        <ns0:is>
          <ns0:t>MY_LIB_C_RC</ns0:t>
        </ns0:is>
      </ns0:c>
      <ns0:c xmlns:ns0="http://schemas.openxmlformats.org/spreadsheetml/2006/main" r="AK133" s="11" t="inlineStr">
        <ns0:is>
          <ns0:t>Nominal C; DFmax at 1kHz; minimum insulation; no temperature/bias/ESL</ns0:t>
        </ns0:is>
      </ns0:c>
      <ns0:c xmlns:ns0="http://schemas.openxmlformats.org/spreadsheetml/2006/main" r="AL133" s="11" t="inlineStr">
        <ns0:is>
          <ns0:t>General</ns0:t>
        </ns0:is>
      </ns0:c>
      <ns0:c xmlns:ns0="http://schemas.openxmlformats.org/spreadsheetml/2006/main" r="AM133" s="11" t="inlineStr">
        <ns0:is>
          <ns0:t>Spice Subcircuit</ns0:t>
        </ns0:is>
      </ns0:c>
      <ns0:c xmlns:ns0="http://schemas.openxmlformats.org/spreadsheetml/2006/main" r="AN133" s="11" t="inlineStr">
        <ns0:is>
          <ns0:t>@DESIGNATOR %1 %2 @MODEL PARAMS: Cvalue=2.2e-07 Rsvalue=18.0857889877154 Rinsvalue=2272727272.72727</ns0:t>
        </ns0:is>
      </ns0:c>
      <ns0:c xmlns:ns0="http://schemas.openxmlformats.org/spreadsheetml/2006/main" r="AO133" s="11" t="inlineStr">
        <ns0:is>
          <ns0:t>X</ns0:t>
        </ns0:is>
      </ns0:c>
      <ns0:c xmlns:ns0="http://schemas.openxmlformats.org/spreadsheetml/2006/main" r="AP133" s="11" t="inlineStr">
        <ns0:is>
          <ns0:t>(1:1),(2:2)</ns0:t>
        </ns0:is>
      </ns0:c>
      <ns0:c xmlns:ns0="http://schemas.openxmlformats.org/spreadsheetml/2006/main" r="AQ133" s="11" t="inlineStr">
        <ns0:is>
          <ns0:t>Simulation\Capacitors\MY_LIB_C_RC.ckt</ns0:t>
        </ns0:is>
      </ns0:c>
    </ns0:row>
    <ns0:row r="134" ht="30" customHeight="1">
      <ns0:c r="A134" t="str" s="14">
        <ns0:v>C0135</ns0:v>
      </ns0:c>
      <ns0:c r="B134" t="str" s="14">
        <ns0:v>Конденсатор</ns0:v>
      </ns0:c>
      <ns0:c r="C134" t="str" s="14">
        <ns0:v>330n</ns0:v>
      </ns0:c>
      <ns0:c r="D134" t="str" s="11">
        <ns0:f>SUBSTITUTE(SUBSTITUTE(SUBSTITUTE(SUBSTITUTE(C134,"p"," пФ"),"n"," нФ"),"u"," мкФ"),".",",")</ns0:f>
        <ns0:v>330 нФ</ns0:v>
      </ns0:c>
      <ns0:c r="E134" t="str" s="14">
        <ns0:v>±20%</ns0:v>
      </ns0:c>
      <ns0:c r="F134" s="14"/>
      <ns0:c r="G134" t="str" s="14">
        <ns0:v>100 В</ns0:v>
      </ns0:c>
      <ns0:c r="H134" t="str" s="14">
        <ns0:v>X7R</ns0:v>
      </ns0:c>
      <ns0:c r="I134" t="str" s="15">
        <ns0:v>0805</ns0:v>
      </ns0:c>
      <ns0:c r="J134" t="str" s="14">
        <ns0:v>YAGEO</ns0:v>
      </ns0:c>
      <ns0:c r="K134" t="str" s="14">
        <ns0:v>CC0805MKX7R0BB334</ns0:v>
      </ns0:c>
      <ns0:c r="L134" t="str" s="11">
        <ns0:f>B134&amp;" "&amp;D134&amp;" "&amp;E134&amp;" "&amp;G134&amp;" "&amp;H134&amp;" "&amp;I134</ns0:f>
        <ns0:v>Конденсатор 330 нФ ±20% 100 В X7R 0805</ns0:v>
      </ns0:c>
      <ns0:c r="M134" t="str" s="13">
        <ns0:v>C</ns0:v>
      </ns0:c>
      <ns0:c r="N134" t="str" s="13">
        <ns0:v>Symbols\MY_LIB_Capacitors.SchLib</ns0:v>
      </ns0:c>
      <ns0:c r="O134" t="str" s="13">
        <ns0:v>CAPC2012X135N</ns0:v>
      </ns0:c>
      <ns0:c r="P134" t="str" s="13">
        <ns0:v>Footprints\PBL - SMD Packages.PcbLib</ns0:v>
      </ns0:c>
      <ns0:c r="Q134" t="str" s="14">
        <ns0:v>YAGEO CC; список 20.10.2026</ns0:v>
      </ns0:c>
      <ns0:c r="R134" t="str" s="11">
        <ns0:f>D134</ns0:f>
        <ns0:v>330 нФ</ns0:v>
      </ns0:c>
      <ns0:c r="S134" t="str" s="11">
        <ns0:f>L134</ns0:f>
        <ns0:v>Конденсатор 330 нФ ±20% 100 В X7R 0805</ns0:v>
      </ns0:c>
      <x:c xmlns:x="http://schemas.openxmlformats.org/spreadsheetml/2006/main" r="T134" t="str" s="11">
        <x:v>C:\Users\Nomatin\Documents\Altium\MY_LIB\MY_LIB\Datasheets\YAGEO_CC_X7R.pdf</x:v>
      </x:c>
      <x:c xmlns:x="http://schemas.openxmlformats.org/spreadsheetml/2006/main" r="U134" t="str" s="11">
        <x:v>Даташит — локальный</x:v>
      </x:c>
      <x:c xmlns:x="http://schemas.openxmlformats.org/spreadsheetml/2006/main" r="V134" t="str" s="11">
        <x:v>C:\Users\Nomatin\Documents\Altium\MY_LIB\MY_LIB\Datasheets\YAGEO_CC_X7R.pdf</x:v>
      </x:c>
      <x:c xmlns:x="http://schemas.openxmlformats.org/spreadsheetml/2006/main" r="W134" t="str" s="11">
        <x:v>Даташит — производитель</x:v>
      </x:c>
      <x:c xmlns:x="http://schemas.openxmlformats.org/spreadsheetml/2006/main" r="X134" t="str" s="11">
        <x:v>https://yageogroup.com/content/datasheet/asset/file/UPY-GPHC_X7R_6_3V-TO-250V</x:v>
      </x:c>
      <x:c xmlns:x="http://schemas.openxmlformats.org/spreadsheetml/2006/main" r="Y134" t="str" s="11">
        <x:v>C:\Users\Nomatin\Documents\Altium\MY_LIB\MY_LIB\Datasheets\YAGEO_CC_X7R.pdf</x:v>
      </x:c>
      <ns0:c xmlns:ns0="http://schemas.openxmlformats.org/spreadsheetml/2006/main" r="Z134" s="11">
        <ns0:v>3.3e-07</ns0:v>
      </ns0:c>
      <ns0:c xmlns:ns0="http://schemas.openxmlformats.org/spreadsheetml/2006/main" r="AA134" s="11">
        <ns0:v>0.025</ns0:v>
      </ns0:c>
      <ns0:c xmlns:ns0="http://schemas.openxmlformats.org/spreadsheetml/2006/main" r="AB134" s="11">
        <ns0:v>1000</ns0:v>
      </ns0:c>
      <ns0:c xmlns:ns0="http://schemas.openxmlformats.org/spreadsheetml/2006/main" r="AC134" s="11">
        <ns0:v>1</ns0:v>
      </ns0:c>
      <ns0:c xmlns:ns0="http://schemas.openxmlformats.org/spreadsheetml/2006/main" r="AD134" s="11">
        <ns0:v>20</ns0:v>
      </ns0:c>
      <ns0:c xmlns:ns0="http://schemas.openxmlformats.org/spreadsheetml/2006/main" r="AE134" s="11">
        <ns0:v>500</ns0:v>
      </ns0:c>
      <ns0:c xmlns:ns0="http://schemas.openxmlformats.org/spreadsheetml/2006/main" r="AF134" s="11">
        <ns0:v>1515151515.15152</ns0:v>
      </ns0:c>
      <ns0:c xmlns:ns0="http://schemas.openxmlformats.org/spreadsheetml/2006/main" r="AG134" s="11">
        <ns0:v>100</ns0:v>
      </ns0:c>
      <ns0:c xmlns:ns0="http://schemas.openxmlformats.org/spreadsheetml/2006/main" r="AH134" s="11">
        <ns0:v>60</ns0:v>
      </ns0:c>
      <ns0:c xmlns:ns0="http://schemas.openxmlformats.org/spreadsheetml/2006/main" r="AI134" s="11">
        <ns0:v>12.0571926584769</ns0:v>
      </ns0:c>
      <ns0:c xmlns:ns0="http://schemas.openxmlformats.org/spreadsheetml/2006/main" r="AJ134" s="11" t="inlineStr">
        <ns0:is>
          <ns0:t>MY_LIB_C_RC</ns0:t>
        </ns0:is>
      </ns0:c>
      <ns0:c xmlns:ns0="http://schemas.openxmlformats.org/spreadsheetml/2006/main" r="AK134" s="11" t="inlineStr">
        <ns0:is>
          <ns0:t>Nominal C; DFmax at 1kHz; minimum insulation; no temperature/bias/ESL</ns0:t>
        </ns0:is>
      </ns0:c>
      <ns0:c xmlns:ns0="http://schemas.openxmlformats.org/spreadsheetml/2006/main" r="AL134" s="11" t="inlineStr">
        <ns0:is>
          <ns0:t>General</ns0:t>
        </ns0:is>
      </ns0:c>
      <ns0:c xmlns:ns0="http://schemas.openxmlformats.org/spreadsheetml/2006/main" r="AM134" s="11" t="inlineStr">
        <ns0:is>
          <ns0:t>Spice Subcircuit</ns0:t>
        </ns0:is>
      </ns0:c>
      <ns0:c xmlns:ns0="http://schemas.openxmlformats.org/spreadsheetml/2006/main" r="AN134" s="11" t="inlineStr">
        <ns0:is>
          <ns0:t>@DESIGNATOR %1 %2 @MODEL PARAMS: Cvalue=3.3e-07 Rsvalue=12.0571926584769 Rinsvalue=1515151515.15152</ns0:t>
        </ns0:is>
      </ns0:c>
      <ns0:c xmlns:ns0="http://schemas.openxmlformats.org/spreadsheetml/2006/main" r="AO134" s="11" t="inlineStr">
        <ns0:is>
          <ns0:t>X</ns0:t>
        </ns0:is>
      </ns0:c>
      <ns0:c xmlns:ns0="http://schemas.openxmlformats.org/spreadsheetml/2006/main" r="AP134" s="11" t="inlineStr">
        <ns0:is>
          <ns0:t>(1:1),(2:2)</ns0:t>
        </ns0:is>
      </ns0:c>
      <ns0:c xmlns:ns0="http://schemas.openxmlformats.org/spreadsheetml/2006/main" r="AQ134" s="11" t="inlineStr">
        <ns0:is>
          <ns0:t>Simulation\Capacitors\MY_LIB_C_RC.ckt</ns0:t>
        </ns0:is>
      </ns0:c>
    </ns0:row>
    <ns0:row r="135" ht="30" customHeight="1">
      <ns0:c r="A135" t="str" s="14">
        <ns0:v>C0136</ns0:v>
      </ns0:c>
      <ns0:c r="B135" t="str" s="14">
        <ns0:v>Конденсатор</ns0:v>
      </ns0:c>
      <ns0:c r="C135" t="str" s="14">
        <ns0:v>470n</ns0:v>
      </ns0:c>
      <ns0:c r="D135" t="str" s="11">
        <ns0:f>SUBSTITUTE(SUBSTITUTE(SUBSTITUTE(SUBSTITUTE(C135,"p"," пФ"),"n"," нФ"),"u"," мкФ"),".",",")</ns0:f>
        <ns0:v>470 нФ</ns0:v>
      </ns0:c>
      <ns0:c r="E135" t="str" s="14">
        <ns0:v>±20%</ns0:v>
      </ns0:c>
      <ns0:c r="F135" s="14"/>
      <ns0:c r="G135" t="str" s="14">
        <ns0:v>100 В</ns0:v>
      </ns0:c>
      <ns0:c r="H135" t="str" s="14">
        <ns0:v>X7R</ns0:v>
      </ns0:c>
      <ns0:c r="I135" t="str" s="15">
        <ns0:v>0805</ns0:v>
      </ns0:c>
      <ns0:c r="J135" t="str" s="14">
        <ns0:v>YAGEO</ns0:v>
      </ns0:c>
      <ns0:c r="K135" t="str" s="14">
        <ns0:v>CC0805MKX7R0BB474</ns0:v>
      </ns0:c>
      <ns0:c r="L135" t="str" s="11">
        <ns0:f>B135&amp;" "&amp;D135&amp;" "&amp;E135&amp;" "&amp;G135&amp;" "&amp;H135&amp;" "&amp;I135</ns0:f>
        <ns0:v>Конденсатор 470 нФ ±20% 100 В X7R 0805</ns0:v>
      </ns0:c>
      <ns0:c r="M135" t="str" s="13">
        <ns0:v>C</ns0:v>
      </ns0:c>
      <ns0:c r="N135" t="str" s="13">
        <ns0:v>Symbols\MY_LIB_Capacitors.SchLib</ns0:v>
      </ns0:c>
      <ns0:c r="O135" t="str" s="13">
        <ns0:v>CAPC2012X135N</ns0:v>
      </ns0:c>
      <ns0:c r="P135" t="str" s="13">
        <ns0:v>Footprints\PBL - SMD Packages.PcbLib</ns0:v>
      </ns0:c>
      <ns0:c r="Q135" t="str" s="14">
        <ns0:v>YAGEO CC; список 20.10.2026</ns0:v>
      </ns0:c>
      <ns0:c r="R135" t="str" s="11">
        <ns0:f>D135</ns0:f>
        <ns0:v>470 нФ</ns0:v>
      </ns0:c>
      <ns0:c r="S135" t="str" s="11">
        <ns0:f>L135</ns0:f>
        <ns0:v>Конденсатор 470 нФ ±20% 100 В X7R 0805</ns0:v>
      </ns0:c>
      <x:c xmlns:x="http://schemas.openxmlformats.org/spreadsheetml/2006/main" r="T135" t="str" s="11">
        <x:v>C:\Users\Nomatin\Documents\Altium\MY_LIB\MY_LIB\Datasheets\YAGEO_CC_X7R.pdf</x:v>
      </x:c>
      <x:c xmlns:x="http://schemas.openxmlformats.org/spreadsheetml/2006/main" r="U135" t="str" s="11">
        <x:v>Даташит — локальный</x:v>
      </x:c>
      <x:c xmlns:x="http://schemas.openxmlformats.org/spreadsheetml/2006/main" r="V135" t="str" s="11">
        <x:v>C:\Users\Nomatin\Documents\Altium\MY_LIB\MY_LIB\Datasheets\YAGEO_CC_X7R.pdf</x:v>
      </x:c>
      <x:c xmlns:x="http://schemas.openxmlformats.org/spreadsheetml/2006/main" r="W135" t="str" s="11">
        <x:v>Даташит — производитель</x:v>
      </x:c>
      <x:c xmlns:x="http://schemas.openxmlformats.org/spreadsheetml/2006/main" r="X135" t="str" s="11">
        <x:v>https://yageogroup.com/content/datasheet/asset/file/UPY-GPHC_X7R_6_3V-TO-250V</x:v>
      </x:c>
      <x:c xmlns:x="http://schemas.openxmlformats.org/spreadsheetml/2006/main" r="Y135" t="str" s="11">
        <x:v>C:\Users\Nomatin\Documents\Altium\MY_LIB\MY_LIB\Datasheets\YAGEO_CC_X7R.pdf</x:v>
      </x:c>
      <ns0:c xmlns:ns0="http://schemas.openxmlformats.org/spreadsheetml/2006/main" r="Z135" s="11">
        <ns0:v>4.7e-07</ns0:v>
      </ns0:c>
      <ns0:c xmlns:ns0="http://schemas.openxmlformats.org/spreadsheetml/2006/main" r="AA135" s="11">
        <ns0:v>0.025</ns0:v>
      </ns0:c>
      <ns0:c xmlns:ns0="http://schemas.openxmlformats.org/spreadsheetml/2006/main" r="AB135" s="11">
        <ns0:v>1000</ns0:v>
      </ns0:c>
      <ns0:c xmlns:ns0="http://schemas.openxmlformats.org/spreadsheetml/2006/main" r="AC135" s="11">
        <ns0:v>1</ns0:v>
      </ns0:c>
      <ns0:c xmlns:ns0="http://schemas.openxmlformats.org/spreadsheetml/2006/main" r="AD135" s="11">
        <ns0:v>20</ns0:v>
      </ns0:c>
      <ns0:c xmlns:ns0="http://schemas.openxmlformats.org/spreadsheetml/2006/main" r="AE135" s="11">
        <ns0:v>500</ns0:v>
      </ns0:c>
      <ns0:c xmlns:ns0="http://schemas.openxmlformats.org/spreadsheetml/2006/main" r="AF135" s="11">
        <ns0:v>1063829787.23404</ns0:v>
      </ns0:c>
      <ns0:c xmlns:ns0="http://schemas.openxmlformats.org/spreadsheetml/2006/main" r="AG135" s="11">
        <ns0:v>100</ns0:v>
      </ns0:c>
      <ns0:c xmlns:ns0="http://schemas.openxmlformats.org/spreadsheetml/2006/main" r="AH135" s="11">
        <ns0:v>60</ns0:v>
      </ns0:c>
      <ns0:c xmlns:ns0="http://schemas.openxmlformats.org/spreadsheetml/2006/main" r="AI135" s="11">
        <ns0:v>8.46568846233486</ns0:v>
      </ns0:c>
      <ns0:c xmlns:ns0="http://schemas.openxmlformats.org/spreadsheetml/2006/main" r="AJ135" s="11" t="inlineStr">
        <ns0:is>
          <ns0:t>MY_LIB_C_RC</ns0:t>
        </ns0:is>
      </ns0:c>
      <ns0:c xmlns:ns0="http://schemas.openxmlformats.org/spreadsheetml/2006/main" r="AK135" s="11" t="inlineStr">
        <ns0:is>
          <ns0:t>Nominal C; DFmax at 1kHz; minimum insulation; no temperature/bias/ESL</ns0:t>
        </ns0:is>
      </ns0:c>
      <ns0:c xmlns:ns0="http://schemas.openxmlformats.org/spreadsheetml/2006/main" r="AL135" s="11" t="inlineStr">
        <ns0:is>
          <ns0:t>General</ns0:t>
        </ns0:is>
      </ns0:c>
      <ns0:c xmlns:ns0="http://schemas.openxmlformats.org/spreadsheetml/2006/main" r="AM135" s="11" t="inlineStr">
        <ns0:is>
          <ns0:t>Spice Subcircuit</ns0:t>
        </ns0:is>
      </ns0:c>
      <ns0:c xmlns:ns0="http://schemas.openxmlformats.org/spreadsheetml/2006/main" r="AN135" s="11" t="inlineStr">
        <ns0:is>
          <ns0:t>@DESIGNATOR %1 %2 @MODEL PARAMS: Cvalue=4.7e-07 Rsvalue=8.46568846233486 Rinsvalue=1063829787.23404</ns0:t>
        </ns0:is>
      </ns0:c>
      <ns0:c xmlns:ns0="http://schemas.openxmlformats.org/spreadsheetml/2006/main" r="AO135" s="11" t="inlineStr">
        <ns0:is>
          <ns0:t>X</ns0:t>
        </ns0:is>
      </ns0:c>
      <ns0:c xmlns:ns0="http://schemas.openxmlformats.org/spreadsheetml/2006/main" r="AP135" s="11" t="inlineStr">
        <ns0:is>
          <ns0:t>(1:1),(2:2)</ns0:t>
        </ns0:is>
      </ns0:c>
      <ns0:c xmlns:ns0="http://schemas.openxmlformats.org/spreadsheetml/2006/main" r="AQ135" s="11" t="inlineStr">
        <ns0:is>
          <ns0:t>Simulation\Capacitors\MY_LIB_C_RC.ckt</ns0:t>
        </ns0:is>
      </ns0:c>
    </ns0:row>
    <ns0:row r="136" ht="30" customHeight="1">
      <ns0:c r="A136" t="str" s="14">
        <ns0:v>C0137</ns0:v>
      </ns0:c>
      <ns0:c r="B136" t="str" s="14">
        <ns0:v>Конденсатор</ns0:v>
      </ns0:c>
      <ns0:c r="C136" t="str" s="14">
        <ns0:v>680n</ns0:v>
      </ns0:c>
      <ns0:c r="D136" t="str" s="11">
        <ns0:f>SUBSTITUTE(SUBSTITUTE(SUBSTITUTE(SUBSTITUTE(C136,"p"," пФ"),"n"," нФ"),"u"," мкФ"),".",",")</ns0:f>
        <ns0:v>680 нФ</ns0:v>
      </ns0:c>
      <ns0:c r="E136" t="str" s="14">
        <ns0:v>±20%</ns0:v>
      </ns0:c>
      <ns0:c r="F136" s="14"/>
      <ns0:c r="G136" t="str" s="14">
        <ns0:v>100 В</ns0:v>
      </ns0:c>
      <ns0:c r="H136" t="str" s="14">
        <ns0:v>X7R</ns0:v>
      </ns0:c>
      <ns0:c r="I136" t="str" s="15">
        <ns0:v>0805</ns0:v>
      </ns0:c>
      <ns0:c r="J136" t="str" s="14">
        <ns0:v>YAGEO</ns0:v>
      </ns0:c>
      <ns0:c r="K136" t="str" s="14">
        <ns0:v>CC0805MKX7R0BB684</ns0:v>
      </ns0:c>
      <ns0:c r="L136" t="str" s="11">
        <ns0:f>B136&amp;" "&amp;D136&amp;" "&amp;E136&amp;" "&amp;G136&amp;" "&amp;H136&amp;" "&amp;I136</ns0:f>
        <ns0:v>Конденсатор 680 нФ ±20% 100 В X7R 0805</ns0:v>
      </ns0:c>
      <ns0:c r="M136" t="str" s="13">
        <ns0:v>C</ns0:v>
      </ns0:c>
      <ns0:c r="N136" t="str" s="13">
        <ns0:v>Symbols\MY_LIB_Capacitors.SchLib</ns0:v>
      </ns0:c>
      <ns0:c r="O136" t="str" s="13">
        <ns0:v>CAPC2012X135N</ns0:v>
      </ns0:c>
      <ns0:c r="P136" t="str" s="13">
        <ns0:v>Footprints\PBL - SMD Packages.PcbLib</ns0:v>
      </ns0:c>
      <ns0:c r="Q136" t="str" s="14">
        <ns0:v>YAGEO CC; список 20.10.2026</ns0:v>
      </ns0:c>
      <ns0:c r="R136" t="str" s="11">
        <ns0:f>D136</ns0:f>
        <ns0:v>680 нФ</ns0:v>
      </ns0:c>
      <ns0:c r="S136" t="str" s="11">
        <ns0:f>L136</ns0:f>
        <ns0:v>Конденсатор 680 нФ ±20% 100 В X7R 0805</ns0:v>
      </ns0:c>
      <x:c xmlns:x="http://schemas.openxmlformats.org/spreadsheetml/2006/main" r="T136" t="str" s="11">
        <x:v>C:\Users\Nomatin\Documents\Altium\MY_LIB\MY_LIB\Datasheets\YAGEO_CC_X7R.pdf</x:v>
      </x:c>
      <x:c xmlns:x="http://schemas.openxmlformats.org/spreadsheetml/2006/main" r="U136" t="str" s="11">
        <x:v>Даташит — локальный</x:v>
      </x:c>
      <x:c xmlns:x="http://schemas.openxmlformats.org/spreadsheetml/2006/main" r="V136" t="str" s="11">
        <x:v>C:\Users\Nomatin\Documents\Altium\MY_LIB\MY_LIB\Datasheets\YAGEO_CC_X7R.pdf</x:v>
      </x:c>
      <x:c xmlns:x="http://schemas.openxmlformats.org/spreadsheetml/2006/main" r="W136" t="str" s="11">
        <x:v>Даташит — производитель</x:v>
      </x:c>
      <x:c xmlns:x="http://schemas.openxmlformats.org/spreadsheetml/2006/main" r="X136" t="str" s="11">
        <x:v>https://yageogroup.com/content/datasheet/asset/file/UPY-GPHC_X7R_6_3V-TO-250V</x:v>
      </x:c>
      <x:c xmlns:x="http://schemas.openxmlformats.org/spreadsheetml/2006/main" r="Y136" t="str" s="11">
        <x:v>C:\Users\Nomatin\Documents\Altium\MY_LIB\MY_LIB\Datasheets\YAGEO_CC_X7R.pdf</x:v>
      </x:c>
      <ns0:c xmlns:ns0="http://schemas.openxmlformats.org/spreadsheetml/2006/main" r="Z136" s="11">
        <ns0:v>6.8e-07</ns0:v>
      </ns0:c>
      <ns0:c xmlns:ns0="http://schemas.openxmlformats.org/spreadsheetml/2006/main" r="AA136" s="11">
        <ns0:v>0.05</ns0:v>
      </ns0:c>
      <ns0:c xmlns:ns0="http://schemas.openxmlformats.org/spreadsheetml/2006/main" r="AB136" s="11">
        <ns0:v>1000</ns0:v>
      </ns0:c>
      <ns0:c xmlns:ns0="http://schemas.openxmlformats.org/spreadsheetml/2006/main" r="AC136" s="11">
        <ns0:v>1</ns0:v>
      </ns0:c>
      <ns0:c xmlns:ns0="http://schemas.openxmlformats.org/spreadsheetml/2006/main" r="AD136" s="11">
        <ns0:v>20</ns0:v>
      </ns0:c>
      <ns0:c xmlns:ns0="http://schemas.openxmlformats.org/spreadsheetml/2006/main" r="AE136" s="11">
        <ns0:v>500</ns0:v>
      </ns0:c>
      <ns0:c xmlns:ns0="http://schemas.openxmlformats.org/spreadsheetml/2006/main" r="AF136" s="11">
        <ns0:v>735294117.647059</ns0:v>
      </ns0:c>
      <ns0:c xmlns:ns0="http://schemas.openxmlformats.org/spreadsheetml/2006/main" r="AG136" s="11">
        <ns0:v>100</ns0:v>
      </ns0:c>
      <ns0:c xmlns:ns0="http://schemas.openxmlformats.org/spreadsheetml/2006/main" r="AH136" s="11">
        <ns0:v>60</ns0:v>
      </ns0:c>
      <ns0:c xmlns:ns0="http://schemas.openxmlformats.org/spreadsheetml/2006/main" r="AI136" s="11">
        <ns0:v>11.7025693449923</ns0:v>
      </ns0:c>
      <ns0:c xmlns:ns0="http://schemas.openxmlformats.org/spreadsheetml/2006/main" r="AJ136" s="11" t="inlineStr">
        <ns0:is>
          <ns0:t>MY_LIB_C_RC</ns0:t>
        </ns0:is>
      </ns0:c>
      <ns0:c xmlns:ns0="http://schemas.openxmlformats.org/spreadsheetml/2006/main" r="AK136" s="11" t="inlineStr">
        <ns0:is>
          <ns0:t>Nominal C; DFmax at 1kHz; minimum insulation; no temperature/bias/ESL</ns0:t>
        </ns0:is>
      </ns0:c>
      <ns0:c xmlns:ns0="http://schemas.openxmlformats.org/spreadsheetml/2006/main" r="AL136" s="11" t="inlineStr">
        <ns0:is>
          <ns0:t>General</ns0:t>
        </ns0:is>
      </ns0:c>
      <ns0:c xmlns:ns0="http://schemas.openxmlformats.org/spreadsheetml/2006/main" r="AM136" s="11" t="inlineStr">
        <ns0:is>
          <ns0:t>Spice Subcircuit</ns0:t>
        </ns0:is>
      </ns0:c>
      <ns0:c xmlns:ns0="http://schemas.openxmlformats.org/spreadsheetml/2006/main" r="AN136" s="11" t="inlineStr">
        <ns0:is>
          <ns0:t>@DESIGNATOR %1 %2 @MODEL PARAMS: Cvalue=6.8e-07 Rsvalue=11.7025693449923 Rinsvalue=735294117.647059</ns0:t>
        </ns0:is>
      </ns0:c>
      <ns0:c xmlns:ns0="http://schemas.openxmlformats.org/spreadsheetml/2006/main" r="AO136" s="11" t="inlineStr">
        <ns0:is>
          <ns0:t>X</ns0:t>
        </ns0:is>
      </ns0:c>
      <ns0:c xmlns:ns0="http://schemas.openxmlformats.org/spreadsheetml/2006/main" r="AP136" s="11" t="inlineStr">
        <ns0:is>
          <ns0:t>(1:1),(2:2)</ns0:t>
        </ns0:is>
      </ns0:c>
      <ns0:c xmlns:ns0="http://schemas.openxmlformats.org/spreadsheetml/2006/main" r="AQ136" s="11" t="inlineStr">
        <ns0:is>
          <ns0:t>Simulation\Capacitors\MY_LIB_C_RC.ckt</ns0:t>
        </ns0:is>
      </ns0:c>
    </ns0:row>
    <ns0:row r="137" ht="30" customHeight="1">
      <ns0:c r="A137" t="str" s="14">
        <ns0:v>C0138</ns0:v>
      </ns0:c>
      <ns0:c r="B137" t="str" s="14">
        <ns0:v>Конденсатор</ns0:v>
      </ns0:c>
      <ns0:c r="C137" t="str" s="14">
        <ns0:v>1u</ns0:v>
      </ns0:c>
      <ns0:c r="D137" t="str" s="11">
        <ns0:f>SUBSTITUTE(SUBSTITUTE(SUBSTITUTE(SUBSTITUTE(C137,"p"," пФ"),"n"," нФ"),"u"," мкФ"),".",",")</ns0:f>
        <ns0:v>1 мкФ</ns0:v>
      </ns0:c>
      <ns0:c r="E137" t="str" s="14">
        <ns0:v>±20%</ns0:v>
      </ns0:c>
      <ns0:c r="F137" s="14"/>
      <ns0:c r="G137" t="str" s="14">
        <ns0:v>100 В</ns0:v>
      </ns0:c>
      <ns0:c r="H137" t="str" s="14">
        <ns0:v>X7R</ns0:v>
      </ns0:c>
      <ns0:c r="I137" t="str" s="15">
        <ns0:v>0805</ns0:v>
      </ns0:c>
      <ns0:c r="J137" t="str" s="14">
        <ns0:v>YAGEO</ns0:v>
      </ns0:c>
      <ns0:c r="K137" t="str" s="14">
        <ns0:v>CC0805MKX7R0BB105</ns0:v>
      </ns0:c>
      <ns0:c r="L137" t="str" s="11">
        <ns0:f>B137&amp;" "&amp;D137&amp;" "&amp;E137&amp;" "&amp;G137&amp;" "&amp;H137&amp;" "&amp;I137</ns0:f>
        <ns0:v>Конденсатор 1 мкФ ±20% 100 В X7R 0805</ns0:v>
      </ns0:c>
      <ns0:c r="M137" t="str" s="13">
        <ns0:v>C</ns0:v>
      </ns0:c>
      <ns0:c r="N137" t="str" s="13">
        <ns0:v>Symbols\MY_LIB_Capacitors.SchLib</ns0:v>
      </ns0:c>
      <ns0:c r="O137" t="str" s="13">
        <ns0:v>CAPC2012X135N</ns0:v>
      </ns0:c>
      <ns0:c r="P137" t="str" s="13">
        <ns0:v>Footprints\PBL - SMD Packages.PcbLib</ns0:v>
      </ns0:c>
      <ns0:c r="Q137" t="str" s="14">
        <ns0:v>YAGEO CC; список 20.10.2026</ns0:v>
      </ns0:c>
      <ns0:c r="R137" t="str" s="11">
        <ns0:f>D137</ns0:f>
        <ns0:v>1 мкФ</ns0:v>
      </ns0:c>
      <ns0:c r="S137" t="str" s="11">
        <ns0:f>L137</ns0:f>
        <ns0:v>Конденсатор 1 мкФ ±20% 100 В X7R 0805</ns0:v>
      </ns0:c>
      <x:c xmlns:x="http://schemas.openxmlformats.org/spreadsheetml/2006/main" r="T137" t="str" s="11">
        <x:v>C:\Users\Nomatin\Documents\Altium\MY_LIB\MY_LIB\Datasheets\YAGEO_CC_X7R.pdf</x:v>
      </x:c>
      <x:c xmlns:x="http://schemas.openxmlformats.org/spreadsheetml/2006/main" r="U137" t="str" s="11">
        <x:v>Даташит — локальный</x:v>
      </x:c>
      <x:c xmlns:x="http://schemas.openxmlformats.org/spreadsheetml/2006/main" r="V137" t="str" s="11">
        <x:v>C:\Users\Nomatin\Documents\Altium\MY_LIB\MY_LIB\Datasheets\YAGEO_CC_X7R.pdf</x:v>
      </x:c>
      <x:c xmlns:x="http://schemas.openxmlformats.org/spreadsheetml/2006/main" r="W137" t="str" s="11">
        <x:v>Даташит — производитель</x:v>
      </x:c>
      <x:c xmlns:x="http://schemas.openxmlformats.org/spreadsheetml/2006/main" r="X137" t="str" s="11">
        <x:v>https://yageogroup.com/content/datasheet/asset/file/UPY-GPHC_X7R_6_3V-TO-250V</x:v>
      </x:c>
      <x:c xmlns:x="http://schemas.openxmlformats.org/spreadsheetml/2006/main" r="Y137" t="str" s="11">
        <x:v>C:\Users\Nomatin\Documents\Altium\MY_LIB\MY_LIB\Datasheets\YAGEO_CC_X7R.pdf</x:v>
      </x:c>
      <ns0:c xmlns:ns0="http://schemas.openxmlformats.org/spreadsheetml/2006/main" r="Z137" s="11">
        <ns0:v>1e-06</ns0:v>
      </ns0:c>
      <ns0:c xmlns:ns0="http://schemas.openxmlformats.org/spreadsheetml/2006/main" r="AA137" s="11">
        <ns0:v>0.05</ns0:v>
      </ns0:c>
      <ns0:c xmlns:ns0="http://schemas.openxmlformats.org/spreadsheetml/2006/main" r="AB137" s="11">
        <ns0:v>1000</ns0:v>
      </ns0:c>
      <ns0:c xmlns:ns0="http://schemas.openxmlformats.org/spreadsheetml/2006/main" r="AC137" s="11">
        <ns0:v>1</ns0:v>
      </ns0:c>
      <ns0:c xmlns:ns0="http://schemas.openxmlformats.org/spreadsheetml/2006/main" r="AD137" s="11">
        <ns0:v>20</ns0:v>
      </ns0:c>
      <ns0:c xmlns:ns0="http://schemas.openxmlformats.org/spreadsheetml/2006/main" r="AE137" s="11">
        <ns0:v>500</ns0:v>
      </ns0:c>
      <ns0:c xmlns:ns0="http://schemas.openxmlformats.org/spreadsheetml/2006/main" r="AF137" s="11">
        <ns0:v>500000000</ns0:v>
      </ns0:c>
      <ns0:c xmlns:ns0="http://schemas.openxmlformats.org/spreadsheetml/2006/main" r="AG137" s="11">
        <ns0:v>100</ns0:v>
      </ns0:c>
      <ns0:c xmlns:ns0="http://schemas.openxmlformats.org/spreadsheetml/2006/main" r="AH137" s="11">
        <ns0:v>60</ns0:v>
      </ns0:c>
      <ns0:c xmlns:ns0="http://schemas.openxmlformats.org/spreadsheetml/2006/main" r="AI137" s="11">
        <ns0:v>7.95774715459477</ns0:v>
      </ns0:c>
      <ns0:c xmlns:ns0="http://schemas.openxmlformats.org/spreadsheetml/2006/main" r="AJ137" s="11" t="inlineStr">
        <ns0:is>
          <ns0:t>MY_LIB_C_RC</ns0:t>
        </ns0:is>
      </ns0:c>
      <ns0:c xmlns:ns0="http://schemas.openxmlformats.org/spreadsheetml/2006/main" r="AK137" s="11" t="inlineStr">
        <ns0:is>
          <ns0:t>Nominal C; DFmax at 1kHz; minimum insulation; no temperature/bias/ESL</ns0:t>
        </ns0:is>
      </ns0:c>
      <ns0:c xmlns:ns0="http://schemas.openxmlformats.org/spreadsheetml/2006/main" r="AL137" s="11" t="inlineStr">
        <ns0:is>
          <ns0:t>General</ns0:t>
        </ns0:is>
      </ns0:c>
      <ns0:c xmlns:ns0="http://schemas.openxmlformats.org/spreadsheetml/2006/main" r="AM137" s="11" t="inlineStr">
        <ns0:is>
          <ns0:t>Spice Subcircuit</ns0:t>
        </ns0:is>
      </ns0:c>
      <ns0:c xmlns:ns0="http://schemas.openxmlformats.org/spreadsheetml/2006/main" r="AN137" s="11" t="inlineStr">
        <ns0:is>
          <ns0:t>@DESIGNATOR %1 %2 @MODEL PARAMS: Cvalue=1e-06 Rsvalue=7.95774715459477 Rinsvalue=500000000</ns0:t>
        </ns0:is>
      </ns0:c>
      <ns0:c xmlns:ns0="http://schemas.openxmlformats.org/spreadsheetml/2006/main" r="AO137" s="11" t="inlineStr">
        <ns0:is>
          <ns0:t>X</ns0:t>
        </ns0:is>
      </ns0:c>
      <ns0:c xmlns:ns0="http://schemas.openxmlformats.org/spreadsheetml/2006/main" r="AP137" s="11" t="inlineStr">
        <ns0:is>
          <ns0:t>(1:1),(2:2)</ns0:t>
        </ns0:is>
      </ns0:c>
      <ns0:c xmlns:ns0="http://schemas.openxmlformats.org/spreadsheetml/2006/main" r="AQ137" s="11" t="inlineStr">
        <ns0:is>
          <ns0:t>Simulation\Capacitors\MY_LIB_C_RC.ckt</ns0:t>
        </ns0:is>
      </ns0:c>
    </ns0:row>
    <ns0:row r="138" ht="30" customHeight="1">
      <ns0:c r="A138" t="str" s="14">
        <ns0:v>C0139</ns0:v>
      </ns0:c>
      <ns0:c r="B138" t="str" s="14">
        <ns0:v>Конденсатор</ns0:v>
      </ns0:c>
      <ns0:c r="C138" t="str" s="14">
        <ns0:v>2.2u</ns0:v>
      </ns0:c>
      <ns0:c r="D138" t="str" s="11">
        <ns0:f>SUBSTITUTE(SUBSTITUTE(SUBSTITUTE(SUBSTITUTE(C138,"p"," пФ"),"n"," нФ"),"u"," мкФ"),".",",")</ns0:f>
        <ns0:v>2,2 мкФ</ns0:v>
      </ns0:c>
      <ns0:c r="E138" t="str" s="14">
        <ns0:v>±20%</ns0:v>
      </ns0:c>
      <ns0:c r="F138" s="14"/>
      <ns0:c r="G138" t="str" s="14">
        <ns0:v>50 В</ns0:v>
      </ns0:c>
      <ns0:c r="H138" t="str" s="14">
        <ns0:v>X7R</ns0:v>
      </ns0:c>
      <ns0:c r="I138" t="str" s="15">
        <ns0:v>0805</ns0:v>
      </ns0:c>
      <ns0:c r="J138" t="str" s="14">
        <ns0:v>YAGEO</ns0:v>
      </ns0:c>
      <ns0:c r="K138" t="str" s="14">
        <ns0:v>CC0805MKX7R9BB225</ns0:v>
      </ns0:c>
      <ns0:c r="L138" t="str" s="11">
        <ns0:f>B138&amp;" "&amp;D138&amp;" "&amp;E138&amp;" "&amp;G138&amp;" "&amp;H138&amp;" "&amp;I138</ns0:f>
        <ns0:v>Конденсатор 2,2 мкФ ±20% 50 В X7R 0805</ns0:v>
      </ns0:c>
      <ns0:c r="M138" t="str" s="13">
        <ns0:v>C</ns0:v>
      </ns0:c>
      <ns0:c r="N138" t="str" s="13">
        <ns0:v>Symbols\MY_LIB_Capacitors.SchLib</ns0:v>
      </ns0:c>
      <ns0:c r="O138" t="str" s="13">
        <ns0:v>CAPC2012X135N</ns0:v>
      </ns0:c>
      <ns0:c r="P138" t="str" s="13">
        <ns0:v>Footprints\PBL - SMD Packages.PcbLib</ns0:v>
      </ns0:c>
      <ns0:c r="Q138" t="str" s="14">
        <ns0:v>YAGEO CC; список 20.10.2026</ns0:v>
      </ns0:c>
      <ns0:c r="R138" t="str" s="11">
        <ns0:f>D138</ns0:f>
        <ns0:v>2,2 мкФ</ns0:v>
      </ns0:c>
      <ns0:c r="S138" t="str" s="11">
        <ns0:f>L138</ns0:f>
        <ns0:v>Конденсатор 2,2 мкФ ±20% 50 В X7R 0805</ns0:v>
      </ns0:c>
      <x:c xmlns:x="http://schemas.openxmlformats.org/spreadsheetml/2006/main" r="T138" t="str" s="11">
        <x:v>C:\Users\Nomatin\Documents\Altium\MY_LIB\MY_LIB\Datasheets\YAGEO_CC_X7R.pdf</x:v>
      </x:c>
      <x:c xmlns:x="http://schemas.openxmlformats.org/spreadsheetml/2006/main" r="U138" t="str" s="11">
        <x:v>Даташит — локальный</x:v>
      </x:c>
      <x:c xmlns:x="http://schemas.openxmlformats.org/spreadsheetml/2006/main" r="V138" t="str" s="11">
        <x:v>C:\Users\Nomatin\Documents\Altium\MY_LIB\MY_LIB\Datasheets\YAGEO_CC_X7R.pdf</x:v>
      </x:c>
      <x:c xmlns:x="http://schemas.openxmlformats.org/spreadsheetml/2006/main" r="W138" t="str" s="11">
        <x:v>Даташит — производитель</x:v>
      </x:c>
      <x:c xmlns:x="http://schemas.openxmlformats.org/spreadsheetml/2006/main" r="X138" t="str" s="11">
        <x:v>https://yageogroup.com/content/datasheet/asset/file/UPY-GPHC_X7R_6_3V-TO-250V</x:v>
      </x:c>
      <x:c xmlns:x="http://schemas.openxmlformats.org/spreadsheetml/2006/main" r="Y138" t="str" s="11">
        <x:v>C:\Users\Nomatin\Documents\Altium\MY_LIB\MY_LIB\Datasheets\YAGEO_CC_X7R.pdf</x:v>
      </x:c>
      <ns0:c xmlns:ns0="http://schemas.openxmlformats.org/spreadsheetml/2006/main" r="Z138" s="11">
        <ns0:v>2.2e-06</ns0:v>
      </ns0:c>
      <ns0:c xmlns:ns0="http://schemas.openxmlformats.org/spreadsheetml/2006/main" r="AA138" s="11">
        <ns0:v>0.1</ns0:v>
      </ns0:c>
      <ns0:c xmlns:ns0="http://schemas.openxmlformats.org/spreadsheetml/2006/main" r="AB138" s="11">
        <ns0:v>1000</ns0:v>
      </ns0:c>
      <ns0:c xmlns:ns0="http://schemas.openxmlformats.org/spreadsheetml/2006/main" r="AC138" s="11">
        <ns0:v>1</ns0:v>
      </ns0:c>
      <ns0:c xmlns:ns0="http://schemas.openxmlformats.org/spreadsheetml/2006/main" r="AD138" s="11">
        <ns0:v>20</ns0:v>
      </ns0:c>
      <ns0:c xmlns:ns0="http://schemas.openxmlformats.org/spreadsheetml/2006/main" r="AE138" s="11">
        <ns0:v>100</ns0:v>
      </ns0:c>
      <ns0:c xmlns:ns0="http://schemas.openxmlformats.org/spreadsheetml/2006/main" r="AF138" s="11">
        <ns0:v>45454545.4545455</ns0:v>
      </ns0:c>
      <ns0:c xmlns:ns0="http://schemas.openxmlformats.org/spreadsheetml/2006/main" r="AG138" s="11">
        <ns0:v>50</ns0:v>
      </ns0:c>
      <ns0:c xmlns:ns0="http://schemas.openxmlformats.org/spreadsheetml/2006/main" r="AH138" s="11">
        <ns0:v>60</ns0:v>
      </ns0:c>
      <ns0:c xmlns:ns0="http://schemas.openxmlformats.org/spreadsheetml/2006/main" r="AI138" s="11">
        <ns0:v>7.23431559508615</ns0:v>
      </ns0:c>
      <ns0:c xmlns:ns0="http://schemas.openxmlformats.org/spreadsheetml/2006/main" r="AJ138" s="11" t="inlineStr">
        <ns0:is>
          <ns0:t>MY_LIB_C_RC</ns0:t>
        </ns0:is>
      </ns0:c>
      <ns0:c xmlns:ns0="http://schemas.openxmlformats.org/spreadsheetml/2006/main" r="AK138" s="11" t="inlineStr">
        <ns0:is>
          <ns0:t>Nominal C; DFmax at 1kHz; minimum insulation; no temperature/bias/ESL</ns0:t>
        </ns0:is>
      </ns0:c>
      <ns0:c xmlns:ns0="http://schemas.openxmlformats.org/spreadsheetml/2006/main" r="AL138" s="11" t="inlineStr">
        <ns0:is>
          <ns0:t>General</ns0:t>
        </ns0:is>
      </ns0:c>
      <ns0:c xmlns:ns0="http://schemas.openxmlformats.org/spreadsheetml/2006/main" r="AM138" s="11" t="inlineStr">
        <ns0:is>
          <ns0:t>Spice Subcircuit</ns0:t>
        </ns0:is>
      </ns0:c>
      <ns0:c xmlns:ns0="http://schemas.openxmlformats.org/spreadsheetml/2006/main" r="AN138" s="11" t="inlineStr">
        <ns0:is>
          <ns0:t>@DESIGNATOR %1 %2 @MODEL PARAMS: Cvalue=2.2e-06 Rsvalue=7.23431559508615 Rinsvalue=45454545.4545455</ns0:t>
        </ns0:is>
      </ns0:c>
      <ns0:c xmlns:ns0="http://schemas.openxmlformats.org/spreadsheetml/2006/main" r="AO138" s="11" t="inlineStr">
        <ns0:is>
          <ns0:t>X</ns0:t>
        </ns0:is>
      </ns0:c>
      <ns0:c xmlns:ns0="http://schemas.openxmlformats.org/spreadsheetml/2006/main" r="AP138" s="11" t="inlineStr">
        <ns0:is>
          <ns0:t>(1:1),(2:2)</ns0:t>
        </ns0:is>
      </ns0:c>
      <ns0:c xmlns:ns0="http://schemas.openxmlformats.org/spreadsheetml/2006/main" r="AQ138" s="11" t="inlineStr">
        <ns0:is>
          <ns0:t>Simulation\Capacitors\MY_LIB_C_RC.ckt</ns0:t>
        </ns0:is>
      </ns0:c>
    </ns0:row>
    <ns0:row r="139" ht="30" customHeight="1">
      <ns0:c r="A139" t="str" s="14">
        <ns0:v>C0140</ns0:v>
      </ns0:c>
      <ns0:c r="B139" t="str" s="14">
        <ns0:v>Конденсатор</ns0:v>
      </ns0:c>
      <ns0:c r="C139" t="str" s="14">
        <ns0:v>4.7u</ns0:v>
      </ns0:c>
      <ns0:c r="D139" t="str" s="11">
        <ns0:f>SUBSTITUTE(SUBSTITUTE(SUBSTITUTE(SUBSTITUTE(C139,"p"," пФ"),"n"," нФ"),"u"," мкФ"),".",",")</ns0:f>
        <ns0:v>4,7 мкФ</ns0:v>
      </ns0:c>
      <ns0:c r="E139" t="str" s="14">
        <ns0:v>±20%</ns0:v>
      </ns0:c>
      <ns0:c r="F139" s="14"/>
      <ns0:c r="G139" t="str" s="14">
        <ns0:v>25 В</ns0:v>
      </ns0:c>
      <ns0:c r="H139" t="str" s="14">
        <ns0:v>X7R</ns0:v>
      </ns0:c>
      <ns0:c r="I139" t="str" s="15">
        <ns0:v>0805</ns0:v>
      </ns0:c>
      <ns0:c r="J139" t="str" s="14">
        <ns0:v>YAGEO</ns0:v>
      </ns0:c>
      <ns0:c r="K139" t="str" s="14">
        <ns0:v>CC0805MKX7R8BB475</ns0:v>
      </ns0:c>
      <ns0:c r="L139" t="str" s="11">
        <ns0:f>B139&amp;" "&amp;D139&amp;" "&amp;E139&amp;" "&amp;G139&amp;" "&amp;H139&amp;" "&amp;I139</ns0:f>
        <ns0:v>Конденсатор 4,7 мкФ ±20% 25 В X7R 0805</ns0:v>
      </ns0:c>
      <ns0:c r="M139" t="str" s="13">
        <ns0:v>C</ns0:v>
      </ns0:c>
      <ns0:c r="N139" t="str" s="13">
        <ns0:v>Symbols\MY_LIB_Capacitors.SchLib</ns0:v>
      </ns0:c>
      <ns0:c r="O139" t="str" s="13">
        <ns0:v>CAPC2012X135N</ns0:v>
      </ns0:c>
      <ns0:c r="P139" t="str" s="13">
        <ns0:v>Footprints\PBL - SMD Packages.PcbLib</ns0:v>
      </ns0:c>
      <ns0:c r="Q139" t="str" s="14">
        <ns0:v>YAGEO CC; список 20.10.2026</ns0:v>
      </ns0:c>
      <ns0:c r="R139" t="str" s="11">
        <ns0:f>D139</ns0:f>
        <ns0:v>4,7 мкФ</ns0:v>
      </ns0:c>
      <ns0:c r="S139" t="str" s="11">
        <ns0:f>L139</ns0:f>
        <ns0:v>Конденсатор 4,7 мкФ ±20% 25 В X7R 0805</ns0:v>
      </ns0:c>
      <x:c xmlns:x="http://schemas.openxmlformats.org/spreadsheetml/2006/main" r="T139" t="str" s="11">
        <x:v>C:\Users\Nomatin\Documents\Altium\MY_LIB\MY_LIB\Datasheets\YAGEO_CC_X7R.pdf</x:v>
      </x:c>
      <x:c xmlns:x="http://schemas.openxmlformats.org/spreadsheetml/2006/main" r="U139" t="str" s="11">
        <x:v>Даташит — локальный</x:v>
      </x:c>
      <x:c xmlns:x="http://schemas.openxmlformats.org/spreadsheetml/2006/main" r="V139" t="str" s="11">
        <x:v>C:\Users\Nomatin\Documents\Altium\MY_LIB\MY_LIB\Datasheets\YAGEO_CC_X7R.pdf</x:v>
      </x:c>
      <x:c xmlns:x="http://schemas.openxmlformats.org/spreadsheetml/2006/main" r="W139" t="str" s="11">
        <x:v>Даташит — производитель</x:v>
      </x:c>
      <x:c xmlns:x="http://schemas.openxmlformats.org/spreadsheetml/2006/main" r="X139" t="str" s="11">
        <x:v>https://yageogroup.com/content/datasheet/asset/file/UPY-GPHC_X7R_6_3V-TO-250V</x:v>
      </x:c>
      <x:c xmlns:x="http://schemas.openxmlformats.org/spreadsheetml/2006/main" r="Y139" t="str" s="11">
        <x:v>C:\Users\Nomatin\Documents\Altium\MY_LIB\MY_LIB\Datasheets\YAGEO_CC_X7R.pdf</x:v>
      </x:c>
      <ns0:c xmlns:ns0="http://schemas.openxmlformats.org/spreadsheetml/2006/main" r="Z139" s="11">
        <ns0:v>4.7e-06</ns0:v>
      </ns0:c>
      <ns0:c xmlns:ns0="http://schemas.openxmlformats.org/spreadsheetml/2006/main" r="AA139" s="11">
        <ns0:v>0.1</ns0:v>
      </ns0:c>
      <ns0:c xmlns:ns0="http://schemas.openxmlformats.org/spreadsheetml/2006/main" r="AB139" s="11">
        <ns0:v>1000</ns0:v>
      </ns0:c>
      <ns0:c xmlns:ns0="http://schemas.openxmlformats.org/spreadsheetml/2006/main" r="AC139" s="11">
        <ns0:v>1</ns0:v>
      </ns0:c>
      <ns0:c xmlns:ns0="http://schemas.openxmlformats.org/spreadsheetml/2006/main" r="AD139" s="11">
        <ns0:v>20</ns0:v>
      </ns0:c>
      <ns0:c xmlns:ns0="http://schemas.openxmlformats.org/spreadsheetml/2006/main" r="AE139" s="11">
        <ns0:v>100</ns0:v>
      </ns0:c>
      <ns0:c xmlns:ns0="http://schemas.openxmlformats.org/spreadsheetml/2006/main" r="AF139" s="11">
        <ns0:v>21276595.7446809</ns0:v>
      </ns0:c>
      <ns0:c xmlns:ns0="http://schemas.openxmlformats.org/spreadsheetml/2006/main" r="AG139" s="11">
        <ns0:v>25</ns0:v>
      </ns0:c>
      <ns0:c xmlns:ns0="http://schemas.openxmlformats.org/spreadsheetml/2006/main" r="AH139" s="11">
        <ns0:v>60</ns0:v>
      </ns0:c>
      <ns0:c xmlns:ns0="http://schemas.openxmlformats.org/spreadsheetml/2006/main" r="AI139" s="11">
        <ns0:v>3.38627538493394</ns0:v>
      </ns0:c>
      <ns0:c xmlns:ns0="http://schemas.openxmlformats.org/spreadsheetml/2006/main" r="AJ139" s="11" t="inlineStr">
        <ns0:is>
          <ns0:t>MY_LIB_C_RC</ns0:t>
        </ns0:is>
      </ns0:c>
      <ns0:c xmlns:ns0="http://schemas.openxmlformats.org/spreadsheetml/2006/main" r="AK139" s="11" t="inlineStr">
        <ns0:is>
          <ns0:t>Nominal C; DFmax at 1kHz; minimum insulation; no temperature/bias/ESL</ns0:t>
        </ns0:is>
      </ns0:c>
      <ns0:c xmlns:ns0="http://schemas.openxmlformats.org/spreadsheetml/2006/main" r="AL139" s="11" t="inlineStr">
        <ns0:is>
          <ns0:t>General</ns0:t>
        </ns0:is>
      </ns0:c>
      <ns0:c xmlns:ns0="http://schemas.openxmlformats.org/spreadsheetml/2006/main" r="AM139" s="11" t="inlineStr">
        <ns0:is>
          <ns0:t>Spice Subcircuit</ns0:t>
        </ns0:is>
      </ns0:c>
      <ns0:c xmlns:ns0="http://schemas.openxmlformats.org/spreadsheetml/2006/main" r="AN139" s="11" t="inlineStr">
        <ns0:is>
          <ns0:t>@DESIGNATOR %1 %2 @MODEL PARAMS: Cvalue=4.7e-06 Rsvalue=3.38627538493394 Rinsvalue=21276595.7446809</ns0:t>
        </ns0:is>
      </ns0:c>
      <ns0:c xmlns:ns0="http://schemas.openxmlformats.org/spreadsheetml/2006/main" r="AO139" s="11" t="inlineStr">
        <ns0:is>
          <ns0:t>X</ns0:t>
        </ns0:is>
      </ns0:c>
      <ns0:c xmlns:ns0="http://schemas.openxmlformats.org/spreadsheetml/2006/main" r="AP139" s="11" t="inlineStr">
        <ns0:is>
          <ns0:t>(1:1),(2:2)</ns0:t>
        </ns0:is>
      </ns0:c>
      <ns0:c xmlns:ns0="http://schemas.openxmlformats.org/spreadsheetml/2006/main" r="AQ139" s="11" t="inlineStr">
        <ns0:is>
          <ns0:t>Simulation\Capacitors\MY_LIB_C_RC.ckt</ns0:t>
        </ns0:is>
      </ns0:c>
    </ns0:row>
    <ns0:row r="140" ht="30" customHeight="1">
      <ns0:c r="A140" t="str" s="14">
        <ns0:v>C0141</ns0:v>
      </ns0:c>
      <ns0:c r="B140" t="str" s="14">
        <ns0:v>Конденсатор</ns0:v>
      </ns0:c>
      <ns0:c r="C140" t="str" s="14">
        <ns0:v>10u</ns0:v>
      </ns0:c>
      <ns0:c r="D140" t="str" s="11">
        <ns0:f>SUBSTITUTE(SUBSTITUTE(SUBSTITUTE(SUBSTITUTE(C140,"p"," пФ"),"n"," нФ"),"u"," мкФ"),".",",")</ns0:f>
        <ns0:v>10 мкФ</ns0:v>
      </ns0:c>
      <ns0:c r="E140" t="str" s="14">
        <ns0:v>±20%</ns0:v>
      </ns0:c>
      <ns0:c r="F140" s="14"/>
      <ns0:c r="G140" t="str" s="14">
        <ns0:v>16 В</ns0:v>
      </ns0:c>
      <ns0:c r="H140" t="str" s="14">
        <ns0:v>X7R</ns0:v>
      </ns0:c>
      <ns0:c r="I140" t="str" s="15">
        <ns0:v>0805</ns0:v>
      </ns0:c>
      <ns0:c r="J140" t="str" s="14">
        <ns0:v>YAGEO</ns0:v>
      </ns0:c>
      <ns0:c r="K140" t="str" s="14">
        <ns0:v>CC0805MKX7R7BB106</ns0:v>
      </ns0:c>
      <ns0:c r="L140" t="str" s="11">
        <ns0:f>B140&amp;" "&amp;D140&amp;" "&amp;E140&amp;" "&amp;G140&amp;" "&amp;H140&amp;" "&amp;I140</ns0:f>
        <ns0:v>Конденсатор 10 мкФ ±20% 16 В X7R 0805</ns0:v>
      </ns0:c>
      <ns0:c r="M140" t="str" s="13">
        <ns0:v>C</ns0:v>
      </ns0:c>
      <ns0:c r="N140" t="str" s="13">
        <ns0:v>Symbols\MY_LIB_Capacitors.SchLib</ns0:v>
      </ns0:c>
      <ns0:c r="O140" t="str" s="13">
        <ns0:v>CAPC2012X135N</ns0:v>
      </ns0:c>
      <ns0:c r="P140" t="str" s="13">
        <ns0:v>Footprints\PBL - SMD Packages.PcbLib</ns0:v>
      </ns0:c>
      <ns0:c r="Q140" t="str" s="14">
        <ns0:v>YAGEO CC; список 20.10.2026</ns0:v>
      </ns0:c>
      <ns0:c r="R140" t="str" s="11">
        <ns0:f>D140</ns0:f>
        <ns0:v>10 мкФ</ns0:v>
      </ns0:c>
      <ns0:c r="S140" t="str" s="11">
        <ns0:f>L140</ns0:f>
        <ns0:v>Конденсатор 10 мкФ ±20% 16 В X7R 0805</ns0:v>
      </ns0:c>
      <x:c xmlns:x="http://schemas.openxmlformats.org/spreadsheetml/2006/main" r="T140" t="str" s="11">
        <x:v>C:\Users\Nomatin\Documents\Altium\MY_LIB\MY_LIB\Datasheets\YAGEO_CC_X7R.pdf</x:v>
      </x:c>
      <x:c xmlns:x="http://schemas.openxmlformats.org/spreadsheetml/2006/main" r="U140" t="str" s="11">
        <x:v>Даташит — локальный</x:v>
      </x:c>
      <x:c xmlns:x="http://schemas.openxmlformats.org/spreadsheetml/2006/main" r="V140" t="str" s="11">
        <x:v>C:\Users\Nomatin\Documents\Altium\MY_LIB\MY_LIB\Datasheets\YAGEO_CC_X7R.pdf</x:v>
      </x:c>
      <x:c xmlns:x="http://schemas.openxmlformats.org/spreadsheetml/2006/main" r="W140" t="str" s="11">
        <x:v>Даташит — производитель</x:v>
      </x:c>
      <x:c xmlns:x="http://schemas.openxmlformats.org/spreadsheetml/2006/main" r="X140" t="str" s="11">
        <x:v>https://yageogroup.com/content/datasheet/asset/file/UPY-GPHC_X7R_6_3V-TO-250V</x:v>
      </x:c>
      <x:c xmlns:x="http://schemas.openxmlformats.org/spreadsheetml/2006/main" r="Y140" t="str" s="11">
        <x:v>C:\Users\Nomatin\Documents\Altium\MY_LIB\MY_LIB\Datasheets\YAGEO_CC_X7R.pdf</x:v>
      </x:c>
      <ns0:c xmlns:ns0="http://schemas.openxmlformats.org/spreadsheetml/2006/main" r="Z140" s="11">
        <ns0:v>1e-05</ns0:v>
      </ns0:c>
      <ns0:c xmlns:ns0="http://schemas.openxmlformats.org/spreadsheetml/2006/main" r="AA140" s="11">
        <ns0:v>0.1</ns0:v>
      </ns0:c>
      <ns0:c xmlns:ns0="http://schemas.openxmlformats.org/spreadsheetml/2006/main" r="AB140" s="11">
        <ns0:v>1000</ns0:v>
      </ns0:c>
      <ns0:c xmlns:ns0="http://schemas.openxmlformats.org/spreadsheetml/2006/main" r="AC140" s="11">
        <ns0:v>1</ns0:v>
      </ns0:c>
      <ns0:c xmlns:ns0="http://schemas.openxmlformats.org/spreadsheetml/2006/main" r="AD140" s="11">
        <ns0:v>20</ns0:v>
      </ns0:c>
      <ns0:c xmlns:ns0="http://schemas.openxmlformats.org/spreadsheetml/2006/main" r="AE140" s="11">
        <ns0:v>100</ns0:v>
      </ns0:c>
      <ns0:c xmlns:ns0="http://schemas.openxmlformats.org/spreadsheetml/2006/main" r="AF140" s="11">
        <ns0:v>10000000</ns0:v>
      </ns0:c>
      <ns0:c xmlns:ns0="http://schemas.openxmlformats.org/spreadsheetml/2006/main" r="AG140" s="11">
        <ns0:v>16</ns0:v>
      </ns0:c>
      <ns0:c xmlns:ns0="http://schemas.openxmlformats.org/spreadsheetml/2006/main" r="AH140" s="11">
        <ns0:v>60</ns0:v>
      </ns0:c>
      <ns0:c xmlns:ns0="http://schemas.openxmlformats.org/spreadsheetml/2006/main" r="AI140" s="11">
        <ns0:v>1.59154943091895</ns0:v>
      </ns0:c>
      <ns0:c xmlns:ns0="http://schemas.openxmlformats.org/spreadsheetml/2006/main" r="AJ140" s="11" t="inlineStr">
        <ns0:is>
          <ns0:t>MY_LIB_C_RC</ns0:t>
        </ns0:is>
      </ns0:c>
      <ns0:c xmlns:ns0="http://schemas.openxmlformats.org/spreadsheetml/2006/main" r="AK140" s="11" t="inlineStr">
        <ns0:is>
          <ns0:t>Nominal C; DFmax at 1kHz; minimum insulation; no temperature/bias/ESL</ns0:t>
        </ns0:is>
      </ns0:c>
      <ns0:c xmlns:ns0="http://schemas.openxmlformats.org/spreadsheetml/2006/main" r="AL140" s="11" t="inlineStr">
        <ns0:is>
          <ns0:t>General</ns0:t>
        </ns0:is>
      </ns0:c>
      <ns0:c xmlns:ns0="http://schemas.openxmlformats.org/spreadsheetml/2006/main" r="AM140" s="11" t="inlineStr">
        <ns0:is>
          <ns0:t>Spice Subcircuit</ns0:t>
        </ns0:is>
      </ns0:c>
      <ns0:c xmlns:ns0="http://schemas.openxmlformats.org/spreadsheetml/2006/main" r="AN140" s="11" t="inlineStr">
        <ns0:is>
          <ns0:t>@DESIGNATOR %1 %2 @MODEL PARAMS: Cvalue=1e-05 Rsvalue=1.59154943091895 Rinsvalue=10000000</ns0:t>
        </ns0:is>
      </ns0:c>
      <ns0:c xmlns:ns0="http://schemas.openxmlformats.org/spreadsheetml/2006/main" r="AO140" s="11" t="inlineStr">
        <ns0:is>
          <ns0:t>X</ns0:t>
        </ns0:is>
      </ns0:c>
      <ns0:c xmlns:ns0="http://schemas.openxmlformats.org/spreadsheetml/2006/main" r="AP140" s="11" t="inlineStr">
        <ns0:is>
          <ns0:t>(1:1),(2:2)</ns0:t>
        </ns0:is>
      </ns0:c>
      <ns0:c xmlns:ns0="http://schemas.openxmlformats.org/spreadsheetml/2006/main" r="AQ140" s="11" t="inlineStr">
        <ns0:is>
          <ns0:t>Simulation\Capacitors\MY_LIB_C_RC.ckt</ns0:t>
        </ns0:is>
      </ns0:c>
    </ns0:row>
    <ns0:row r="141" ht="30" customHeight="1">
      <ns0:c r="A141" t="str" s="14">
        <ns0:v>C0142</ns0:v>
      </ns0:c>
      <ns0:c r="B141" t="str" s="14">
        <ns0:v>Конденсатор</ns0:v>
      </ns0:c>
      <ns0:c r="C141" t="str" s="14">
        <ns0:v>100p</ns0:v>
      </ns0:c>
      <ns0:c r="D141" t="str" s="11">
        <ns0:f>SUBSTITUTE(SUBSTITUTE(SUBSTITUTE(SUBSTITUTE(C141,"p"," пФ"),"n"," нФ"),"u"," мкФ"),".",",")</ns0:f>
        <ns0:v>100 пФ</ns0:v>
      </ns0:c>
      <ns0:c r="E141" t="str" s="14">
        <ns0:v>±5%</ns0:v>
      </ns0:c>
      <ns0:c r="F141" s="14"/>
      <ns0:c r="G141" t="str" s="14">
        <ns0:v>100 В</ns0:v>
      </ns0:c>
      <ns0:c r="H141" t="str" s="14">
        <ns0:v>X7R</ns0:v>
      </ns0:c>
      <ns0:c r="I141" t="str" s="15">
        <ns0:v>0603</ns0:v>
      </ns0:c>
      <ns0:c r="J141" t="str" s="14">
        <ns0:v>YAGEO</ns0:v>
      </ns0:c>
      <ns0:c r="K141" t="str" s="14">
        <ns0:v>CC0603JRX7R0BB101</ns0:v>
      </ns0:c>
      <ns0:c r="L141" t="str" s="11">
        <ns0:f>B141&amp;" "&amp;D141&amp;" "&amp;E141&amp;" "&amp;G141&amp;" "&amp;H141&amp;" "&amp;I141</ns0:f>
        <ns0:v>Конденсатор 100 пФ ±5% 100 В X7R 0603</ns0:v>
      </ns0:c>
      <ns0:c r="M141" t="str" s="13">
        <ns0:v>C</ns0:v>
      </ns0:c>
      <ns0:c r="N141" t="str" s="13">
        <ns0:v>Symbols\MY_LIB_Capacitors.SchLib</ns0:v>
      </ns0:c>
      <ns0:c r="O141" t="str" s="13">
        <ns0:v>CAPC1608X90N</ns0:v>
      </ns0:c>
      <ns0:c r="P141" t="str" s="13">
        <ns0:v>Footprints\PBL - SMD Packages.PcbLib</ns0:v>
      </ns0:c>
      <ns0:c r="Q141" t="str" s="14">
        <ns0:v>YAGEO CC; список 20.10.2026</ns0:v>
      </ns0:c>
      <ns0:c r="R141" t="str" s="11">
        <ns0:f>D141</ns0:f>
        <ns0:v>100 пФ</ns0:v>
      </ns0:c>
      <ns0:c r="S141" t="str" s="11">
        <ns0:f>L141</ns0:f>
        <ns0:v>Конденсатор 100 пФ ±5% 100 В X7R 0603</ns0:v>
      </ns0:c>
      <x:c xmlns:x="http://schemas.openxmlformats.org/spreadsheetml/2006/main" r="T141" t="str" s="11">
        <x:v>C:\Users\Nomatin\Documents\Altium\MY_LIB\MY_LIB\Datasheets\YAGEO_CC_X7R.pdf</x:v>
      </x:c>
      <x:c xmlns:x="http://schemas.openxmlformats.org/spreadsheetml/2006/main" r="U141" t="str" s="11">
        <x:v>Даташит — локальный</x:v>
      </x:c>
      <x:c xmlns:x="http://schemas.openxmlformats.org/spreadsheetml/2006/main" r="V141" t="str" s="11">
        <x:v>C:\Users\Nomatin\Documents\Altium\MY_LIB\MY_LIB\Datasheets\YAGEO_CC_X7R.pdf</x:v>
      </x:c>
      <x:c xmlns:x="http://schemas.openxmlformats.org/spreadsheetml/2006/main" r="W141" t="str" s="11">
        <x:v>Даташит — производитель</x:v>
      </x:c>
      <x:c xmlns:x="http://schemas.openxmlformats.org/spreadsheetml/2006/main" r="X141" t="str" s="11">
        <x:v>https://yageogroup.com/content/datasheet/asset/file/UPY-GPHC_X7R_6_3V-TO-250V</x:v>
      </x:c>
      <x:c xmlns:x="http://schemas.openxmlformats.org/spreadsheetml/2006/main" r="Y141" t="str" s="11">
        <x:v>C:\Users\Nomatin\Documents\Altium\MY_LIB\MY_LIB\Datasheets\YAGEO_CC_X7R.pdf</x:v>
      </x:c>
      <ns0:c xmlns:ns0="http://schemas.openxmlformats.org/spreadsheetml/2006/main" r="Z141" s="11">
        <ns0:v>1e-10</ns0:v>
      </ns0:c>
      <ns0:c xmlns:ns0="http://schemas.openxmlformats.org/spreadsheetml/2006/main" r="AA141" s="11">
        <ns0:v>0.025</ns0:v>
      </ns0:c>
      <ns0:c xmlns:ns0="http://schemas.openxmlformats.org/spreadsheetml/2006/main" r="AB141" s="11">
        <ns0:v>1000</ns0:v>
      </ns0:c>
      <ns0:c xmlns:ns0="http://schemas.openxmlformats.org/spreadsheetml/2006/main" r="AC141" s="11">
        <ns0:v>1</ns0:v>
      </ns0:c>
      <ns0:c xmlns:ns0="http://schemas.openxmlformats.org/spreadsheetml/2006/main" r="AD141" s="11">
        <ns0:v>20</ns0:v>
      </ns0:c>
      <ns0:c xmlns:ns0="http://schemas.openxmlformats.org/spreadsheetml/2006/main" r="AE141" s="11">
        <ns0:v>500</ns0:v>
      </ns0:c>
      <ns0:c xmlns:ns0="http://schemas.openxmlformats.org/spreadsheetml/2006/main" r="AF141" s="11">
        <ns0:v>10000000000</ns0:v>
      </ns0:c>
      <ns0:c xmlns:ns0="http://schemas.openxmlformats.org/spreadsheetml/2006/main" r="AG141" s="11">
        <ns0:v>100</ns0:v>
      </ns0:c>
      <ns0:c xmlns:ns0="http://schemas.openxmlformats.org/spreadsheetml/2006/main" r="AH141" s="11">
        <ns0:v>60</ns0:v>
      </ns0:c>
      <ns0:c xmlns:ns0="http://schemas.openxmlformats.org/spreadsheetml/2006/main" r="AI141" s="11">
        <ns0:v>39788.7357729738</ns0:v>
      </ns0:c>
      <ns0:c xmlns:ns0="http://schemas.openxmlformats.org/spreadsheetml/2006/main" r="AJ141" s="11" t="inlineStr">
        <ns0:is>
          <ns0:t>MY_LIB_C_RC</ns0:t>
        </ns0:is>
      </ns0:c>
      <ns0:c xmlns:ns0="http://schemas.openxmlformats.org/spreadsheetml/2006/main" r="AK141" s="11" t="inlineStr">
        <ns0:is>
          <ns0:t>Nominal C; DFmax at 1kHz; minimum insulation; no temperature/bias/ESL</ns0:t>
        </ns0:is>
      </ns0:c>
      <ns0:c xmlns:ns0="http://schemas.openxmlformats.org/spreadsheetml/2006/main" r="AL141" s="11" t="inlineStr">
        <ns0:is>
          <ns0:t>General</ns0:t>
        </ns0:is>
      </ns0:c>
      <ns0:c xmlns:ns0="http://schemas.openxmlformats.org/spreadsheetml/2006/main" r="AM141" s="11" t="inlineStr">
        <ns0:is>
          <ns0:t>Spice Subcircuit</ns0:t>
        </ns0:is>
      </ns0:c>
      <ns0:c xmlns:ns0="http://schemas.openxmlformats.org/spreadsheetml/2006/main" r="AN141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141" s="11" t="inlineStr">
        <ns0:is>
          <ns0:t>X</ns0:t>
        </ns0:is>
      </ns0:c>
      <ns0:c xmlns:ns0="http://schemas.openxmlformats.org/spreadsheetml/2006/main" r="AP141" s="11" t="inlineStr">
        <ns0:is>
          <ns0:t>(1:1),(2:2)</ns0:t>
        </ns0:is>
      </ns0:c>
      <ns0:c xmlns:ns0="http://schemas.openxmlformats.org/spreadsheetml/2006/main" r="AQ141" s="11" t="inlineStr">
        <ns0:is>
          <ns0:t>Simulation\Capacitors\MY_LIB_C_RC.ckt</ns0:t>
        </ns0:is>
      </ns0:c>
    </ns0:row>
    <ns0:row r="142" ht="30" customHeight="1">
      <ns0:c r="A142" t="str" s="14">
        <ns0:v>C0143</ns0:v>
      </ns0:c>
      <ns0:c r="B142" t="str" s="14">
        <ns0:v>Конденсатор</ns0:v>
      </ns0:c>
      <ns0:c r="C142" t="str" s="14">
        <ns0:v>120p</ns0:v>
      </ns0:c>
      <ns0:c r="D142" t="str" s="11">
        <ns0:f>SUBSTITUTE(SUBSTITUTE(SUBSTITUTE(SUBSTITUTE(C142,"p"," пФ"),"n"," нФ"),"u"," мкФ"),".",",")</ns0:f>
        <ns0:v>120 пФ</ns0:v>
      </ns0:c>
      <ns0:c r="E142" t="str" s="14">
        <ns0:v>±5%</ns0:v>
      </ns0:c>
      <ns0:c r="F142" s="14"/>
      <ns0:c r="G142" t="str" s="14">
        <ns0:v>50 В</ns0:v>
      </ns0:c>
      <ns0:c r="H142" t="str" s="14">
        <ns0:v>X7R</ns0:v>
      </ns0:c>
      <ns0:c r="I142" t="str" s="15">
        <ns0:v>0603</ns0:v>
      </ns0:c>
      <ns0:c r="J142" t="str" s="14">
        <ns0:v>YAGEO</ns0:v>
      </ns0:c>
      <ns0:c r="K142" t="str" s="14">
        <ns0:v>CC0603JRX7R9BB121</ns0:v>
      </ns0:c>
      <ns0:c r="L142" t="str" s="11">
        <ns0:f>B142&amp;" "&amp;D142&amp;" "&amp;E142&amp;" "&amp;G142&amp;" "&amp;H142&amp;" "&amp;I142</ns0:f>
        <ns0:v>Конденсатор 120 пФ ±5% 50 В X7R 0603</ns0:v>
      </ns0:c>
      <ns0:c r="M142" t="str" s="13">
        <ns0:v>C</ns0:v>
      </ns0:c>
      <ns0:c r="N142" t="str" s="13">
        <ns0:v>Symbols\MY_LIB_Capacitors.SchLib</ns0:v>
      </ns0:c>
      <ns0:c r="O142" t="str" s="13">
        <ns0:v>CAPC1608X90N</ns0:v>
      </ns0:c>
      <ns0:c r="P142" t="str" s="13">
        <ns0:v>Footprints\PBL - SMD Packages.PcbLib</ns0:v>
      </ns0:c>
      <ns0:c r="Q142" t="str" s="14">
        <ns0:v>YAGEO CC; список 20.10.2026</ns0:v>
      </ns0:c>
      <ns0:c r="R142" t="str" s="11">
        <ns0:f>D142</ns0:f>
        <ns0:v>120 пФ</ns0:v>
      </ns0:c>
      <ns0:c r="S142" t="str" s="11">
        <ns0:f>L142</ns0:f>
        <ns0:v>Конденсатор 120 пФ ±5% 50 В X7R 0603</ns0:v>
      </ns0:c>
      <x:c xmlns:x="http://schemas.openxmlformats.org/spreadsheetml/2006/main" r="T142" t="str" s="11">
        <x:v>C:\Users\Nomatin\Documents\Altium\MY_LIB\MY_LIB\Datasheets\YAGEO_CC_X7R.pdf</x:v>
      </x:c>
      <x:c xmlns:x="http://schemas.openxmlformats.org/spreadsheetml/2006/main" r="U142" t="str" s="11">
        <x:v>Даташит — локальный</x:v>
      </x:c>
      <x:c xmlns:x="http://schemas.openxmlformats.org/spreadsheetml/2006/main" r="V142" t="str" s="11">
        <x:v>C:\Users\Nomatin\Documents\Altium\MY_LIB\MY_LIB\Datasheets\YAGEO_CC_X7R.pdf</x:v>
      </x:c>
      <x:c xmlns:x="http://schemas.openxmlformats.org/spreadsheetml/2006/main" r="W142" t="str" s="11">
        <x:v>Даташит — производитель</x:v>
      </x:c>
      <x:c xmlns:x="http://schemas.openxmlformats.org/spreadsheetml/2006/main" r="X142" t="str" s="11">
        <x:v>https://yageogroup.com/content/datasheet/asset/file/UPY-GPHC_X7R_6_3V-TO-250V</x:v>
      </x:c>
      <x:c xmlns:x="http://schemas.openxmlformats.org/spreadsheetml/2006/main" r="Y142" t="str" s="11">
        <x:v>C:\Users\Nomatin\Documents\Altium\MY_LIB\MY_LIB\Datasheets\YAGEO_CC_X7R.pdf</x:v>
      </x:c>
      <ns0:c xmlns:ns0="http://schemas.openxmlformats.org/spreadsheetml/2006/main" r="Z142" s="11">
        <ns0:v>1.2e-10</ns0:v>
      </ns0:c>
      <ns0:c xmlns:ns0="http://schemas.openxmlformats.org/spreadsheetml/2006/main" r="AA142" s="11">
        <ns0:v>0.025</ns0:v>
      </ns0:c>
      <ns0:c xmlns:ns0="http://schemas.openxmlformats.org/spreadsheetml/2006/main" r="AB142" s="11">
        <ns0:v>1000</ns0:v>
      </ns0:c>
      <ns0:c xmlns:ns0="http://schemas.openxmlformats.org/spreadsheetml/2006/main" r="AC142" s="11">
        <ns0:v>1</ns0:v>
      </ns0:c>
      <ns0:c xmlns:ns0="http://schemas.openxmlformats.org/spreadsheetml/2006/main" r="AD142" s="11">
        <ns0:v>20</ns0:v>
      </ns0:c>
      <ns0:c xmlns:ns0="http://schemas.openxmlformats.org/spreadsheetml/2006/main" r="AE142" s="11">
        <ns0:v>500</ns0:v>
      </ns0:c>
      <ns0:c xmlns:ns0="http://schemas.openxmlformats.org/spreadsheetml/2006/main" r="AF142" s="11">
        <ns0:v>10000000000</ns0:v>
      </ns0:c>
      <ns0:c xmlns:ns0="http://schemas.openxmlformats.org/spreadsheetml/2006/main" r="AG142" s="11">
        <ns0:v>50</ns0:v>
      </ns0:c>
      <ns0:c xmlns:ns0="http://schemas.openxmlformats.org/spreadsheetml/2006/main" r="AH142" s="11">
        <ns0:v>60</ns0:v>
      </ns0:c>
      <ns0:c xmlns:ns0="http://schemas.openxmlformats.org/spreadsheetml/2006/main" r="AI142" s="11">
        <ns0:v>33157.2798108115</ns0:v>
      </ns0:c>
      <ns0:c xmlns:ns0="http://schemas.openxmlformats.org/spreadsheetml/2006/main" r="AJ142" s="11" t="inlineStr">
        <ns0:is>
          <ns0:t>MY_LIB_C_RC</ns0:t>
        </ns0:is>
      </ns0:c>
      <ns0:c xmlns:ns0="http://schemas.openxmlformats.org/spreadsheetml/2006/main" r="AK142" s="11" t="inlineStr">
        <ns0:is>
          <ns0:t>Nominal C; DFmax at 1kHz; minimum insulation; no temperature/bias/ESL</ns0:t>
        </ns0:is>
      </ns0:c>
      <ns0:c xmlns:ns0="http://schemas.openxmlformats.org/spreadsheetml/2006/main" r="AL142" s="11" t="inlineStr">
        <ns0:is>
          <ns0:t>General</ns0:t>
        </ns0:is>
      </ns0:c>
      <ns0:c xmlns:ns0="http://schemas.openxmlformats.org/spreadsheetml/2006/main" r="AM142" s="11" t="inlineStr">
        <ns0:is>
          <ns0:t>Spice Subcircuit</ns0:t>
        </ns0:is>
      </ns0:c>
      <ns0:c xmlns:ns0="http://schemas.openxmlformats.org/spreadsheetml/2006/main" r="AN142" s="11" t="inlineStr">
        <ns0:is>
          <ns0:t>@DESIGNATOR %1 %2 @MODEL PARAMS: Cvalue=1.2e-10 Rsvalue=33157.2798108115 Rinsvalue=10000000000</ns0:t>
        </ns0:is>
      </ns0:c>
      <ns0:c xmlns:ns0="http://schemas.openxmlformats.org/spreadsheetml/2006/main" r="AO142" s="11" t="inlineStr">
        <ns0:is>
          <ns0:t>X</ns0:t>
        </ns0:is>
      </ns0:c>
      <ns0:c xmlns:ns0="http://schemas.openxmlformats.org/spreadsheetml/2006/main" r="AP142" s="11" t="inlineStr">
        <ns0:is>
          <ns0:t>(1:1),(2:2)</ns0:t>
        </ns0:is>
      </ns0:c>
      <ns0:c xmlns:ns0="http://schemas.openxmlformats.org/spreadsheetml/2006/main" r="AQ142" s="11" t="inlineStr">
        <ns0:is>
          <ns0:t>Simulation\Capacitors\MY_LIB_C_RC.ckt</ns0:t>
        </ns0:is>
      </ns0:c>
    </ns0:row>
    <ns0:row r="143" ht="30" customHeight="1">
      <ns0:c r="A143" t="str" s="14">
        <ns0:v>C0144</ns0:v>
      </ns0:c>
      <ns0:c r="B143" t="str" s="14">
        <ns0:v>Конденсатор</ns0:v>
      </ns0:c>
      <ns0:c r="C143" t="str" s="14">
        <ns0:v>150p</ns0:v>
      </ns0:c>
      <ns0:c r="D143" t="str" s="11">
        <ns0:f>SUBSTITUTE(SUBSTITUTE(SUBSTITUTE(SUBSTITUTE(C143,"p"," пФ"),"n"," нФ"),"u"," мкФ"),".",",")</ns0:f>
        <ns0:v>150 пФ</ns0:v>
      </ns0:c>
      <ns0:c r="E143" t="str" s="14">
        <ns0:v>±5%</ns0:v>
      </ns0:c>
      <ns0:c r="F143" s="14"/>
      <ns0:c r="G143" t="str" s="14">
        <ns0:v>100 В</ns0:v>
      </ns0:c>
      <ns0:c r="H143" t="str" s="14">
        <ns0:v>X7R</ns0:v>
      </ns0:c>
      <ns0:c r="I143" t="str" s="15">
        <ns0:v>0603</ns0:v>
      </ns0:c>
      <ns0:c r="J143" t="str" s="14">
        <ns0:v>YAGEO</ns0:v>
      </ns0:c>
      <ns0:c r="K143" t="str" s="14">
        <ns0:v>CC0603JRX7R0BB151</ns0:v>
      </ns0:c>
      <ns0:c r="L143" t="str" s="11">
        <ns0:f>B143&amp;" "&amp;D143&amp;" "&amp;E143&amp;" "&amp;G143&amp;" "&amp;H143&amp;" "&amp;I143</ns0:f>
        <ns0:v>Конденсатор 150 пФ ±5% 100 В X7R 0603</ns0:v>
      </ns0:c>
      <ns0:c r="M143" t="str" s="13">
        <ns0:v>C</ns0:v>
      </ns0:c>
      <ns0:c r="N143" t="str" s="13">
        <ns0:v>Symbols\MY_LIB_Capacitors.SchLib</ns0:v>
      </ns0:c>
      <ns0:c r="O143" t="str" s="13">
        <ns0:v>CAPC1608X90N</ns0:v>
      </ns0:c>
      <ns0:c r="P143" t="str" s="13">
        <ns0:v>Footprints\PBL - SMD Packages.PcbLib</ns0:v>
      </ns0:c>
      <ns0:c r="Q143" t="str" s="14">
        <ns0:v>YAGEO CC; список 20.10.2026</ns0:v>
      </ns0:c>
      <ns0:c r="R143" t="str" s="11">
        <ns0:f>D143</ns0:f>
        <ns0:v>150 пФ</ns0:v>
      </ns0:c>
      <ns0:c r="S143" t="str" s="11">
        <ns0:f>L143</ns0:f>
        <ns0:v>Конденсатор 150 пФ ±5% 100 В X7R 0603</ns0:v>
      </ns0:c>
      <x:c xmlns:x="http://schemas.openxmlformats.org/spreadsheetml/2006/main" r="T143" t="str" s="11">
        <x:v>C:\Users\Nomatin\Documents\Altium\MY_LIB\MY_LIB\Datasheets\YAGEO_CC_X7R.pdf</x:v>
      </x:c>
      <x:c xmlns:x="http://schemas.openxmlformats.org/spreadsheetml/2006/main" r="U143" t="str" s="11">
        <x:v>Даташит — локальный</x:v>
      </x:c>
      <x:c xmlns:x="http://schemas.openxmlformats.org/spreadsheetml/2006/main" r="V143" t="str" s="11">
        <x:v>C:\Users\Nomatin\Documents\Altium\MY_LIB\MY_LIB\Datasheets\YAGEO_CC_X7R.pdf</x:v>
      </x:c>
      <x:c xmlns:x="http://schemas.openxmlformats.org/spreadsheetml/2006/main" r="W143" t="str" s="11">
        <x:v>Даташит — производитель</x:v>
      </x:c>
      <x:c xmlns:x="http://schemas.openxmlformats.org/spreadsheetml/2006/main" r="X143" t="str" s="11">
        <x:v>https://yageogroup.com/content/datasheet/asset/file/UPY-GPHC_X7R_6_3V-TO-250V</x:v>
      </x:c>
      <x:c xmlns:x="http://schemas.openxmlformats.org/spreadsheetml/2006/main" r="Y143" t="str" s="11">
        <x:v>C:\Users\Nomatin\Documents\Altium\MY_LIB\MY_LIB\Datasheets\YAGEO_CC_X7R.pdf</x:v>
      </x:c>
      <ns0:c xmlns:ns0="http://schemas.openxmlformats.org/spreadsheetml/2006/main" r="Z143" s="11">
        <ns0:v>1.5e-10</ns0:v>
      </ns0:c>
      <ns0:c xmlns:ns0="http://schemas.openxmlformats.org/spreadsheetml/2006/main" r="AA143" s="11">
        <ns0:v>0.025</ns0:v>
      </ns0:c>
      <ns0:c xmlns:ns0="http://schemas.openxmlformats.org/spreadsheetml/2006/main" r="AB143" s="11">
        <ns0:v>1000</ns0:v>
      </ns0:c>
      <ns0:c xmlns:ns0="http://schemas.openxmlformats.org/spreadsheetml/2006/main" r="AC143" s="11">
        <ns0:v>1</ns0:v>
      </ns0:c>
      <ns0:c xmlns:ns0="http://schemas.openxmlformats.org/spreadsheetml/2006/main" r="AD143" s="11">
        <ns0:v>20</ns0:v>
      </ns0:c>
      <ns0:c xmlns:ns0="http://schemas.openxmlformats.org/spreadsheetml/2006/main" r="AE143" s="11">
        <ns0:v>500</ns0:v>
      </ns0:c>
      <ns0:c xmlns:ns0="http://schemas.openxmlformats.org/spreadsheetml/2006/main" r="AF143" s="11">
        <ns0:v>10000000000</ns0:v>
      </ns0:c>
      <ns0:c xmlns:ns0="http://schemas.openxmlformats.org/spreadsheetml/2006/main" r="AG143" s="11">
        <ns0:v>100</ns0:v>
      </ns0:c>
      <ns0:c xmlns:ns0="http://schemas.openxmlformats.org/spreadsheetml/2006/main" r="AH143" s="11">
        <ns0:v>60</ns0:v>
      </ns0:c>
      <ns0:c xmlns:ns0="http://schemas.openxmlformats.org/spreadsheetml/2006/main" r="AI143" s="11">
        <ns0:v>26525.8238486492</ns0:v>
      </ns0:c>
      <ns0:c xmlns:ns0="http://schemas.openxmlformats.org/spreadsheetml/2006/main" r="AJ143" s="11" t="inlineStr">
        <ns0:is>
          <ns0:t>MY_LIB_C_RC</ns0:t>
        </ns0:is>
      </ns0:c>
      <ns0:c xmlns:ns0="http://schemas.openxmlformats.org/spreadsheetml/2006/main" r="AK143" s="11" t="inlineStr">
        <ns0:is>
          <ns0:t>Nominal C; DFmax at 1kHz; minimum insulation; no temperature/bias/ESL</ns0:t>
        </ns0:is>
      </ns0:c>
      <ns0:c xmlns:ns0="http://schemas.openxmlformats.org/spreadsheetml/2006/main" r="AL143" s="11" t="inlineStr">
        <ns0:is>
          <ns0:t>General</ns0:t>
        </ns0:is>
      </ns0:c>
      <ns0:c xmlns:ns0="http://schemas.openxmlformats.org/spreadsheetml/2006/main" r="AM143" s="11" t="inlineStr">
        <ns0:is>
          <ns0:t>Spice Subcircuit</ns0:t>
        </ns0:is>
      </ns0:c>
      <ns0:c xmlns:ns0="http://schemas.openxmlformats.org/spreadsheetml/2006/main" r="AN143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143" s="11" t="inlineStr">
        <ns0:is>
          <ns0:t>X</ns0:t>
        </ns0:is>
      </ns0:c>
      <ns0:c xmlns:ns0="http://schemas.openxmlformats.org/spreadsheetml/2006/main" r="AP143" s="11" t="inlineStr">
        <ns0:is>
          <ns0:t>(1:1),(2:2)</ns0:t>
        </ns0:is>
      </ns0:c>
      <ns0:c xmlns:ns0="http://schemas.openxmlformats.org/spreadsheetml/2006/main" r="AQ143" s="11" t="inlineStr">
        <ns0:is>
          <ns0:t>Simulation\Capacitors\MY_LIB_C_RC.ckt</ns0:t>
        </ns0:is>
      </ns0:c>
    </ns0:row>
    <ns0:row r="144" ht="30" customHeight="1">
      <ns0:c r="A144" t="str" s="14">
        <ns0:v>C0145</ns0:v>
      </ns0:c>
      <ns0:c r="B144" t="str" s="14">
        <ns0:v>Конденсатор</ns0:v>
      </ns0:c>
      <ns0:c r="C144" t="str" s="14">
        <ns0:v>180p</ns0:v>
      </ns0:c>
      <ns0:c r="D144" t="str" s="11">
        <ns0:f>SUBSTITUTE(SUBSTITUTE(SUBSTITUTE(SUBSTITUTE(C144,"p"," пФ"),"n"," нФ"),"u"," мкФ"),".",",")</ns0:f>
        <ns0:v>180 пФ</ns0:v>
      </ns0:c>
      <ns0:c r="E144" t="str" s="14">
        <ns0:v>±5%</ns0:v>
      </ns0:c>
      <ns0:c r="F144" s="14"/>
      <ns0:c r="G144" t="str" s="14">
        <ns0:v>50 В</ns0:v>
      </ns0:c>
      <ns0:c r="H144" t="str" s="14">
        <ns0:v>X7R</ns0:v>
      </ns0:c>
      <ns0:c r="I144" t="str" s="15">
        <ns0:v>0603</ns0:v>
      </ns0:c>
      <ns0:c r="J144" t="str" s="14">
        <ns0:v>YAGEO</ns0:v>
      </ns0:c>
      <ns0:c r="K144" t="str" s="14">
        <ns0:v>CC0603JRX7R9BB181</ns0:v>
      </ns0:c>
      <ns0:c r="L144" t="str" s="11">
        <ns0:f>B144&amp;" "&amp;D144&amp;" "&amp;E144&amp;" "&amp;G144&amp;" "&amp;H144&amp;" "&amp;I144</ns0:f>
        <ns0:v>Конденсатор 180 пФ ±5% 50 В X7R 0603</ns0:v>
      </ns0:c>
      <ns0:c r="M144" t="str" s="13">
        <ns0:v>C</ns0:v>
      </ns0:c>
      <ns0:c r="N144" t="str" s="13">
        <ns0:v>Symbols\MY_LIB_Capacitors.SchLib</ns0:v>
      </ns0:c>
      <ns0:c r="O144" t="str" s="13">
        <ns0:v>CAPC1608X90N</ns0:v>
      </ns0:c>
      <ns0:c r="P144" t="str" s="13">
        <ns0:v>Footprints\PBL - SMD Packages.PcbLib</ns0:v>
      </ns0:c>
      <ns0:c r="Q144" t="str" s="14">
        <ns0:v>YAGEO CC; список 20.10.2026</ns0:v>
      </ns0:c>
      <ns0:c r="R144" t="str" s="11">
        <ns0:f>D144</ns0:f>
        <ns0:v>180 пФ</ns0:v>
      </ns0:c>
      <ns0:c r="S144" t="str" s="11">
        <ns0:f>L144</ns0:f>
        <ns0:v>Конденсатор 180 пФ ±5% 50 В X7R 0603</ns0:v>
      </ns0:c>
      <x:c xmlns:x="http://schemas.openxmlformats.org/spreadsheetml/2006/main" r="T144" t="str" s="11">
        <x:v>C:\Users\Nomatin\Documents\Altium\MY_LIB\MY_LIB\Datasheets\YAGEO_CC_X7R.pdf</x:v>
      </x:c>
      <x:c xmlns:x="http://schemas.openxmlformats.org/spreadsheetml/2006/main" r="U144" t="str" s="11">
        <x:v>Даташит — локальный</x:v>
      </x:c>
      <x:c xmlns:x="http://schemas.openxmlformats.org/spreadsheetml/2006/main" r="V144" t="str" s="11">
        <x:v>C:\Users\Nomatin\Documents\Altium\MY_LIB\MY_LIB\Datasheets\YAGEO_CC_X7R.pdf</x:v>
      </x:c>
      <x:c xmlns:x="http://schemas.openxmlformats.org/spreadsheetml/2006/main" r="W144" t="str" s="11">
        <x:v>Даташит — производитель</x:v>
      </x:c>
      <x:c xmlns:x="http://schemas.openxmlformats.org/spreadsheetml/2006/main" r="X144" t="str" s="11">
        <x:v>https://yageogroup.com/content/datasheet/asset/file/UPY-GPHC_X7R_6_3V-TO-250V</x:v>
      </x:c>
      <x:c xmlns:x="http://schemas.openxmlformats.org/spreadsheetml/2006/main" r="Y144" t="str" s="11">
        <x:v>C:\Users\Nomatin\Documents\Altium\MY_LIB\MY_LIB\Datasheets\YAGEO_CC_X7R.pdf</x:v>
      </x:c>
      <ns0:c xmlns:ns0="http://schemas.openxmlformats.org/spreadsheetml/2006/main" r="Z144" s="11">
        <ns0:v>1.8e-10</ns0:v>
      </ns0:c>
      <ns0:c xmlns:ns0="http://schemas.openxmlformats.org/spreadsheetml/2006/main" r="AA144" s="11">
        <ns0:v>0.025</ns0:v>
      </ns0:c>
      <ns0:c xmlns:ns0="http://schemas.openxmlformats.org/spreadsheetml/2006/main" r="AB144" s="11">
        <ns0:v>1000</ns0:v>
      </ns0:c>
      <ns0:c xmlns:ns0="http://schemas.openxmlformats.org/spreadsheetml/2006/main" r="AC144" s="11">
        <ns0:v>1</ns0:v>
      </ns0:c>
      <ns0:c xmlns:ns0="http://schemas.openxmlformats.org/spreadsheetml/2006/main" r="AD144" s="11">
        <ns0:v>20</ns0:v>
      </ns0:c>
      <ns0:c xmlns:ns0="http://schemas.openxmlformats.org/spreadsheetml/2006/main" r="AE144" s="11">
        <ns0:v>500</ns0:v>
      </ns0:c>
      <ns0:c xmlns:ns0="http://schemas.openxmlformats.org/spreadsheetml/2006/main" r="AF144" s="11">
        <ns0:v>10000000000</ns0:v>
      </ns0:c>
      <ns0:c xmlns:ns0="http://schemas.openxmlformats.org/spreadsheetml/2006/main" r="AG144" s="11">
        <ns0:v>50</ns0:v>
      </ns0:c>
      <ns0:c xmlns:ns0="http://schemas.openxmlformats.org/spreadsheetml/2006/main" r="AH144" s="11">
        <ns0:v>60</ns0:v>
      </ns0:c>
      <ns0:c xmlns:ns0="http://schemas.openxmlformats.org/spreadsheetml/2006/main" r="AI144" s="11">
        <ns0:v>22104.8532072077</ns0:v>
      </ns0:c>
      <ns0:c xmlns:ns0="http://schemas.openxmlformats.org/spreadsheetml/2006/main" r="AJ144" s="11" t="inlineStr">
        <ns0:is>
          <ns0:t>MY_LIB_C_RC</ns0:t>
        </ns0:is>
      </ns0:c>
      <ns0:c xmlns:ns0="http://schemas.openxmlformats.org/spreadsheetml/2006/main" r="AK144" s="11" t="inlineStr">
        <ns0:is>
          <ns0:t>Nominal C; DFmax at 1kHz; minimum insulation; no temperature/bias/ESL</ns0:t>
        </ns0:is>
      </ns0:c>
      <ns0:c xmlns:ns0="http://schemas.openxmlformats.org/spreadsheetml/2006/main" r="AL144" s="11" t="inlineStr">
        <ns0:is>
          <ns0:t>General</ns0:t>
        </ns0:is>
      </ns0:c>
      <ns0:c xmlns:ns0="http://schemas.openxmlformats.org/spreadsheetml/2006/main" r="AM144" s="11" t="inlineStr">
        <ns0:is>
          <ns0:t>Spice Subcircuit</ns0:t>
        </ns0:is>
      </ns0:c>
      <ns0:c xmlns:ns0="http://schemas.openxmlformats.org/spreadsheetml/2006/main" r="AN144" s="11" t="inlineStr">
        <ns0:is>
          <ns0:t>@DESIGNATOR %1 %2 @MODEL PARAMS: Cvalue=1.8e-10 Rsvalue=22104.8532072077 Rinsvalue=10000000000</ns0:t>
        </ns0:is>
      </ns0:c>
      <ns0:c xmlns:ns0="http://schemas.openxmlformats.org/spreadsheetml/2006/main" r="AO144" s="11" t="inlineStr">
        <ns0:is>
          <ns0:t>X</ns0:t>
        </ns0:is>
      </ns0:c>
      <ns0:c xmlns:ns0="http://schemas.openxmlformats.org/spreadsheetml/2006/main" r="AP144" s="11" t="inlineStr">
        <ns0:is>
          <ns0:t>(1:1),(2:2)</ns0:t>
        </ns0:is>
      </ns0:c>
      <ns0:c xmlns:ns0="http://schemas.openxmlformats.org/spreadsheetml/2006/main" r="AQ144" s="11" t="inlineStr">
        <ns0:is>
          <ns0:t>Simulation\Capacitors\MY_LIB_C_RC.ckt</ns0:t>
        </ns0:is>
      </ns0:c>
    </ns0:row>
    <ns0:row r="145" ht="30" customHeight="1">
      <ns0:c r="A145" t="str" s="14">
        <ns0:v>C0146</ns0:v>
      </ns0:c>
      <ns0:c r="B145" t="str" s="14">
        <ns0:v>Конденсатор</ns0:v>
      </ns0:c>
      <ns0:c r="C145" t="str" s="14">
        <ns0:v>220p</ns0:v>
      </ns0:c>
      <ns0:c r="D145" t="str" s="11">
        <ns0:f>SUBSTITUTE(SUBSTITUTE(SUBSTITUTE(SUBSTITUTE(C145,"p"," пФ"),"n"," нФ"),"u"," мкФ"),".",",")</ns0:f>
        <ns0:v>220 пФ</ns0:v>
      </ns0:c>
      <ns0:c r="E145" t="str" s="14">
        <ns0:v>±5%</ns0:v>
      </ns0:c>
      <ns0:c r="F145" s="14"/>
      <ns0:c r="G145" t="str" s="14">
        <ns0:v>100 В</ns0:v>
      </ns0:c>
      <ns0:c r="H145" t="str" s="14">
        <ns0:v>X7R</ns0:v>
      </ns0:c>
      <ns0:c r="I145" t="str" s="15">
        <ns0:v>0603</ns0:v>
      </ns0:c>
      <ns0:c r="J145" t="str" s="14">
        <ns0:v>YAGEO</ns0:v>
      </ns0:c>
      <ns0:c r="K145" t="str" s="14">
        <ns0:v>CC0603JRX7R0BB221</ns0:v>
      </ns0:c>
      <ns0:c r="L145" t="str" s="11">
        <ns0:f>B145&amp;" "&amp;D145&amp;" "&amp;E145&amp;" "&amp;G145&amp;" "&amp;H145&amp;" "&amp;I145</ns0:f>
        <ns0:v>Конденсатор 220 пФ ±5% 100 В X7R 0603</ns0:v>
      </ns0:c>
      <ns0:c r="M145" t="str" s="13">
        <ns0:v>C</ns0:v>
      </ns0:c>
      <ns0:c r="N145" t="str" s="13">
        <ns0:v>Symbols\MY_LIB_Capacitors.SchLib</ns0:v>
      </ns0:c>
      <ns0:c r="O145" t="str" s="13">
        <ns0:v>CAPC1608X90N</ns0:v>
      </ns0:c>
      <ns0:c r="P145" t="str" s="13">
        <ns0:v>Footprints\PBL - SMD Packages.PcbLib</ns0:v>
      </ns0:c>
      <ns0:c r="Q145" t="str" s="14">
        <ns0:v>YAGEO CC; список 20.10.2026</ns0:v>
      </ns0:c>
      <ns0:c r="R145" t="str" s="11">
        <ns0:f>D145</ns0:f>
        <ns0:v>220 пФ</ns0:v>
      </ns0:c>
      <ns0:c r="S145" t="str" s="11">
        <ns0:f>L145</ns0:f>
        <ns0:v>Конденсатор 220 пФ ±5% 100 В X7R 0603</ns0:v>
      </ns0:c>
      <x:c xmlns:x="http://schemas.openxmlformats.org/spreadsheetml/2006/main" r="T145" t="str" s="11">
        <x:v>C:\Users\Nomatin\Documents\Altium\MY_LIB\MY_LIB\Datasheets\YAGEO_CC_X7R.pdf</x:v>
      </x:c>
      <x:c xmlns:x="http://schemas.openxmlformats.org/spreadsheetml/2006/main" r="U145" t="str" s="11">
        <x:v>Даташит — локальный</x:v>
      </x:c>
      <x:c xmlns:x="http://schemas.openxmlformats.org/spreadsheetml/2006/main" r="V145" t="str" s="11">
        <x:v>C:\Users\Nomatin\Documents\Altium\MY_LIB\MY_LIB\Datasheets\YAGEO_CC_X7R.pdf</x:v>
      </x:c>
      <x:c xmlns:x="http://schemas.openxmlformats.org/spreadsheetml/2006/main" r="W145" t="str" s="11">
        <x:v>Даташит — производитель</x:v>
      </x:c>
      <x:c xmlns:x="http://schemas.openxmlformats.org/spreadsheetml/2006/main" r="X145" t="str" s="11">
        <x:v>https://yageogroup.com/content/datasheet/asset/file/UPY-GPHC_X7R_6_3V-TO-250V</x:v>
      </x:c>
      <x:c xmlns:x="http://schemas.openxmlformats.org/spreadsheetml/2006/main" r="Y145" t="str" s="11">
        <x:v>C:\Users\Nomatin\Documents\Altium\MY_LIB\MY_LIB\Datasheets\YAGEO_CC_X7R.pdf</x:v>
      </x:c>
      <ns0:c xmlns:ns0="http://schemas.openxmlformats.org/spreadsheetml/2006/main" r="Z145" s="11">
        <ns0:v>2.2e-10</ns0:v>
      </ns0:c>
      <ns0:c xmlns:ns0="http://schemas.openxmlformats.org/spreadsheetml/2006/main" r="AA145" s="11">
        <ns0:v>0.025</ns0:v>
      </ns0:c>
      <ns0:c xmlns:ns0="http://schemas.openxmlformats.org/spreadsheetml/2006/main" r="AB145" s="11">
        <ns0:v>1000</ns0:v>
      </ns0:c>
      <ns0:c xmlns:ns0="http://schemas.openxmlformats.org/spreadsheetml/2006/main" r="AC145" s="11">
        <ns0:v>1</ns0:v>
      </ns0:c>
      <ns0:c xmlns:ns0="http://schemas.openxmlformats.org/spreadsheetml/2006/main" r="AD145" s="11">
        <ns0:v>20</ns0:v>
      </ns0:c>
      <ns0:c xmlns:ns0="http://schemas.openxmlformats.org/spreadsheetml/2006/main" r="AE145" s="11">
        <ns0:v>500</ns0:v>
      </ns0:c>
      <ns0:c xmlns:ns0="http://schemas.openxmlformats.org/spreadsheetml/2006/main" r="AF145" s="11">
        <ns0:v>10000000000</ns0:v>
      </ns0:c>
      <ns0:c xmlns:ns0="http://schemas.openxmlformats.org/spreadsheetml/2006/main" r="AG145" s="11">
        <ns0:v>100</ns0:v>
      </ns0:c>
      <ns0:c xmlns:ns0="http://schemas.openxmlformats.org/spreadsheetml/2006/main" r="AH145" s="11">
        <ns0:v>60</ns0:v>
      </ns0:c>
      <ns0:c xmlns:ns0="http://schemas.openxmlformats.org/spreadsheetml/2006/main" r="AI145" s="11">
        <ns0:v>18085.7889877154</ns0:v>
      </ns0:c>
      <ns0:c xmlns:ns0="http://schemas.openxmlformats.org/spreadsheetml/2006/main" r="AJ145" s="11" t="inlineStr">
        <ns0:is>
          <ns0:t>MY_LIB_C_RC</ns0:t>
        </ns0:is>
      </ns0:c>
      <ns0:c xmlns:ns0="http://schemas.openxmlformats.org/spreadsheetml/2006/main" r="AK145" s="11" t="inlineStr">
        <ns0:is>
          <ns0:t>Nominal C; DFmax at 1kHz; minimum insulation; no temperature/bias/ESL</ns0:t>
        </ns0:is>
      </ns0:c>
      <ns0:c xmlns:ns0="http://schemas.openxmlformats.org/spreadsheetml/2006/main" r="AL145" s="11" t="inlineStr">
        <ns0:is>
          <ns0:t>General</ns0:t>
        </ns0:is>
      </ns0:c>
      <ns0:c xmlns:ns0="http://schemas.openxmlformats.org/spreadsheetml/2006/main" r="AM145" s="11" t="inlineStr">
        <ns0:is>
          <ns0:t>Spice Subcircuit</ns0:t>
        </ns0:is>
      </ns0:c>
      <ns0:c xmlns:ns0="http://schemas.openxmlformats.org/spreadsheetml/2006/main" r="AN145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145" s="11" t="inlineStr">
        <ns0:is>
          <ns0:t>X</ns0:t>
        </ns0:is>
      </ns0:c>
      <ns0:c xmlns:ns0="http://schemas.openxmlformats.org/spreadsheetml/2006/main" r="AP145" s="11" t="inlineStr">
        <ns0:is>
          <ns0:t>(1:1),(2:2)</ns0:t>
        </ns0:is>
      </ns0:c>
      <ns0:c xmlns:ns0="http://schemas.openxmlformats.org/spreadsheetml/2006/main" r="AQ145" s="11" t="inlineStr">
        <ns0:is>
          <ns0:t>Simulation\Capacitors\MY_LIB_C_RC.ckt</ns0:t>
        </ns0:is>
      </ns0:c>
    </ns0:row>
    <ns0:row r="146" ht="30" customHeight="1">
      <ns0:c r="A146" t="str" s="14">
        <ns0:v>C0147</ns0:v>
      </ns0:c>
      <ns0:c r="B146" t="str" s="14">
        <ns0:v>Конденсатор</ns0:v>
      </ns0:c>
      <ns0:c r="C146" t="str" s="14">
        <ns0:v>270p</ns0:v>
      </ns0:c>
      <ns0:c r="D146" t="str" s="11">
        <ns0:f>SUBSTITUTE(SUBSTITUTE(SUBSTITUTE(SUBSTITUTE(C146,"p"," пФ"),"n"," нФ"),"u"," мкФ"),".",",")</ns0:f>
        <ns0:v>270 пФ</ns0:v>
      </ns0:c>
      <ns0:c r="E146" t="str" s="14">
        <ns0:v>±5%</ns0:v>
      </ns0:c>
      <ns0:c r="F146" s="14"/>
      <ns0:c r="G146" t="str" s="14">
        <ns0:v>50 В</ns0:v>
      </ns0:c>
      <ns0:c r="H146" t="str" s="14">
        <ns0:v>X7R</ns0:v>
      </ns0:c>
      <ns0:c r="I146" t="str" s="15">
        <ns0:v>0603</ns0:v>
      </ns0:c>
      <ns0:c r="J146" t="str" s="14">
        <ns0:v>YAGEO</ns0:v>
      </ns0:c>
      <ns0:c r="K146" t="str" s="14">
        <ns0:v>CC0603JRX7R9BB271</ns0:v>
      </ns0:c>
      <ns0:c r="L146" t="str" s="11">
        <ns0:f>B146&amp;" "&amp;D146&amp;" "&amp;E146&amp;" "&amp;G146&amp;" "&amp;H146&amp;" "&amp;I146</ns0:f>
        <ns0:v>Конденсатор 270 пФ ±5% 50 В X7R 0603</ns0:v>
      </ns0:c>
      <ns0:c r="M146" t="str" s="13">
        <ns0:v>C</ns0:v>
      </ns0:c>
      <ns0:c r="N146" t="str" s="13">
        <ns0:v>Symbols\MY_LIB_Capacitors.SchLib</ns0:v>
      </ns0:c>
      <ns0:c r="O146" t="str" s="13">
        <ns0:v>CAPC1608X90N</ns0:v>
      </ns0:c>
      <ns0:c r="P146" t="str" s="13">
        <ns0:v>Footprints\PBL - SMD Packages.PcbLib</ns0:v>
      </ns0:c>
      <ns0:c r="Q146" t="str" s="14">
        <ns0:v>YAGEO CC; список 20.10.2026</ns0:v>
      </ns0:c>
      <ns0:c r="R146" t="str" s="11">
        <ns0:f>D146</ns0:f>
        <ns0:v>270 пФ</ns0:v>
      </ns0:c>
      <ns0:c r="S146" t="str" s="11">
        <ns0:f>L146</ns0:f>
        <ns0:v>Конденсатор 270 пФ ±5% 50 В X7R 0603</ns0:v>
      </ns0:c>
      <x:c xmlns:x="http://schemas.openxmlformats.org/spreadsheetml/2006/main" r="T146" t="str" s="11">
        <x:v>C:\Users\Nomatin\Documents\Altium\MY_LIB\MY_LIB\Datasheets\YAGEO_CC_X7R.pdf</x:v>
      </x:c>
      <x:c xmlns:x="http://schemas.openxmlformats.org/spreadsheetml/2006/main" r="U146" t="str" s="11">
        <x:v>Даташит — локальный</x:v>
      </x:c>
      <x:c xmlns:x="http://schemas.openxmlformats.org/spreadsheetml/2006/main" r="V146" t="str" s="11">
        <x:v>C:\Users\Nomatin\Documents\Altium\MY_LIB\MY_LIB\Datasheets\YAGEO_CC_X7R.pdf</x:v>
      </x:c>
      <x:c xmlns:x="http://schemas.openxmlformats.org/spreadsheetml/2006/main" r="W146" t="str" s="11">
        <x:v>Даташит — производитель</x:v>
      </x:c>
      <x:c xmlns:x="http://schemas.openxmlformats.org/spreadsheetml/2006/main" r="X146" t="str" s="11">
        <x:v>https://yageogroup.com/content/datasheet/asset/file/UPY-GPHC_X7R_6_3V-TO-250V</x:v>
      </x:c>
      <x:c xmlns:x="http://schemas.openxmlformats.org/spreadsheetml/2006/main" r="Y146" t="str" s="11">
        <x:v>C:\Users\Nomatin\Documents\Altium\MY_LIB\MY_LIB\Datasheets\YAGEO_CC_X7R.pdf</x:v>
      </x:c>
      <ns0:c xmlns:ns0="http://schemas.openxmlformats.org/spreadsheetml/2006/main" r="Z146" s="11">
        <ns0:v>2.7e-10</ns0:v>
      </ns0:c>
      <ns0:c xmlns:ns0="http://schemas.openxmlformats.org/spreadsheetml/2006/main" r="AA146" s="11">
        <ns0:v>0.025</ns0:v>
      </ns0:c>
      <ns0:c xmlns:ns0="http://schemas.openxmlformats.org/spreadsheetml/2006/main" r="AB146" s="11">
        <ns0:v>1000</ns0:v>
      </ns0:c>
      <ns0:c xmlns:ns0="http://schemas.openxmlformats.org/spreadsheetml/2006/main" r="AC146" s="11">
        <ns0:v>1</ns0:v>
      </ns0:c>
      <ns0:c xmlns:ns0="http://schemas.openxmlformats.org/spreadsheetml/2006/main" r="AD146" s="11">
        <ns0:v>20</ns0:v>
      </ns0:c>
      <ns0:c xmlns:ns0="http://schemas.openxmlformats.org/spreadsheetml/2006/main" r="AE146" s="11">
        <ns0:v>500</ns0:v>
      </ns0:c>
      <ns0:c xmlns:ns0="http://schemas.openxmlformats.org/spreadsheetml/2006/main" r="AF146" s="11">
        <ns0:v>10000000000</ns0:v>
      </ns0:c>
      <ns0:c xmlns:ns0="http://schemas.openxmlformats.org/spreadsheetml/2006/main" r="AG146" s="11">
        <ns0:v>50</ns0:v>
      </ns0:c>
      <ns0:c xmlns:ns0="http://schemas.openxmlformats.org/spreadsheetml/2006/main" r="AH146" s="11">
        <ns0:v>60</ns0:v>
      </ns0:c>
      <ns0:c xmlns:ns0="http://schemas.openxmlformats.org/spreadsheetml/2006/main" r="AI146" s="11">
        <ns0:v>14736.5688048051</ns0:v>
      </ns0:c>
      <ns0:c xmlns:ns0="http://schemas.openxmlformats.org/spreadsheetml/2006/main" r="AJ146" s="11" t="inlineStr">
        <ns0:is>
          <ns0:t>MY_LIB_C_RC</ns0:t>
        </ns0:is>
      </ns0:c>
      <ns0:c xmlns:ns0="http://schemas.openxmlformats.org/spreadsheetml/2006/main" r="AK146" s="11" t="inlineStr">
        <ns0:is>
          <ns0:t>Nominal C; DFmax at 1kHz; minimum insulation; no temperature/bias/ESL</ns0:t>
        </ns0:is>
      </ns0:c>
      <ns0:c xmlns:ns0="http://schemas.openxmlformats.org/spreadsheetml/2006/main" r="AL146" s="11" t="inlineStr">
        <ns0:is>
          <ns0:t>General</ns0:t>
        </ns0:is>
      </ns0:c>
      <ns0:c xmlns:ns0="http://schemas.openxmlformats.org/spreadsheetml/2006/main" r="AM146" s="11" t="inlineStr">
        <ns0:is>
          <ns0:t>Spice Subcircuit</ns0:t>
        </ns0:is>
      </ns0:c>
      <ns0:c xmlns:ns0="http://schemas.openxmlformats.org/spreadsheetml/2006/main" r="AN146" s="11" t="inlineStr">
        <ns0:is>
          <ns0:t>@DESIGNATOR %1 %2 @MODEL PARAMS: Cvalue=2.7e-10 Rsvalue=14736.5688048051 Rinsvalue=10000000000</ns0:t>
        </ns0:is>
      </ns0:c>
      <ns0:c xmlns:ns0="http://schemas.openxmlformats.org/spreadsheetml/2006/main" r="AO146" s="11" t="inlineStr">
        <ns0:is>
          <ns0:t>X</ns0:t>
        </ns0:is>
      </ns0:c>
      <ns0:c xmlns:ns0="http://schemas.openxmlformats.org/spreadsheetml/2006/main" r="AP146" s="11" t="inlineStr">
        <ns0:is>
          <ns0:t>(1:1),(2:2)</ns0:t>
        </ns0:is>
      </ns0:c>
      <ns0:c xmlns:ns0="http://schemas.openxmlformats.org/spreadsheetml/2006/main" r="AQ146" s="11" t="inlineStr">
        <ns0:is>
          <ns0:t>Simulation\Capacitors\MY_LIB_C_RC.ckt</ns0:t>
        </ns0:is>
      </ns0:c>
    </ns0:row>
    <ns0:row r="147" ht="30" customHeight="1">
      <ns0:c r="A147" t="str" s="14">
        <ns0:v>C0148</ns0:v>
      </ns0:c>
      <ns0:c r="B147" t="str" s="14">
        <ns0:v>Конденсатор</ns0:v>
      </ns0:c>
      <ns0:c r="C147" t="str" s="14">
        <ns0:v>330p</ns0:v>
      </ns0:c>
      <ns0:c r="D147" t="str" s="11">
        <ns0:f>SUBSTITUTE(SUBSTITUTE(SUBSTITUTE(SUBSTITUTE(C147,"p"," пФ"),"n"," нФ"),"u"," мкФ"),".",",")</ns0:f>
        <ns0:v>330 пФ</ns0:v>
      </ns0:c>
      <ns0:c r="E147" t="str" s="14">
        <ns0:v>±5%</ns0:v>
      </ns0:c>
      <ns0:c r="F147" s="14"/>
      <ns0:c r="G147" t="str" s="14">
        <ns0:v>100 В</ns0:v>
      </ns0:c>
      <ns0:c r="H147" t="str" s="14">
        <ns0:v>X7R</ns0:v>
      </ns0:c>
      <ns0:c r="I147" t="str" s="15">
        <ns0:v>0603</ns0:v>
      </ns0:c>
      <ns0:c r="J147" t="str" s="14">
        <ns0:v>YAGEO</ns0:v>
      </ns0:c>
      <ns0:c r="K147" t="str" s="14">
        <ns0:v>CC0603JRX7R0BB331</ns0:v>
      </ns0:c>
      <ns0:c r="L147" t="str" s="11">
        <ns0:f>B147&amp;" "&amp;D147&amp;" "&amp;E147&amp;" "&amp;G147&amp;" "&amp;H147&amp;" "&amp;I147</ns0:f>
        <ns0:v>Конденсатор 330 пФ ±5% 100 В X7R 0603</ns0:v>
      </ns0:c>
      <ns0:c r="M147" t="str" s="13">
        <ns0:v>C</ns0:v>
      </ns0:c>
      <ns0:c r="N147" t="str" s="13">
        <ns0:v>Symbols\MY_LIB_Capacitors.SchLib</ns0:v>
      </ns0:c>
      <ns0:c r="O147" t="str" s="13">
        <ns0:v>CAPC1608X90N</ns0:v>
      </ns0:c>
      <ns0:c r="P147" t="str" s="13">
        <ns0:v>Footprints\PBL - SMD Packages.PcbLib</ns0:v>
      </ns0:c>
      <ns0:c r="Q147" t="str" s="14">
        <ns0:v>YAGEO CC; список 20.10.2026</ns0:v>
      </ns0:c>
      <ns0:c r="R147" t="str" s="11">
        <ns0:f>D147</ns0:f>
        <ns0:v>330 пФ</ns0:v>
      </ns0:c>
      <ns0:c r="S147" t="str" s="11">
        <ns0:f>L147</ns0:f>
        <ns0:v>Конденсатор 330 пФ ±5% 100 В X7R 0603</ns0:v>
      </ns0:c>
      <x:c xmlns:x="http://schemas.openxmlformats.org/spreadsheetml/2006/main" r="T147" t="str" s="11">
        <x:v>C:\Users\Nomatin\Documents\Altium\MY_LIB\MY_LIB\Datasheets\YAGEO_CC_X7R.pdf</x:v>
      </x:c>
      <x:c xmlns:x="http://schemas.openxmlformats.org/spreadsheetml/2006/main" r="U147" t="str" s="11">
        <x:v>Даташит — локальный</x:v>
      </x:c>
      <x:c xmlns:x="http://schemas.openxmlformats.org/spreadsheetml/2006/main" r="V147" t="str" s="11">
        <x:v>C:\Users\Nomatin\Documents\Altium\MY_LIB\MY_LIB\Datasheets\YAGEO_CC_X7R.pdf</x:v>
      </x:c>
      <x:c xmlns:x="http://schemas.openxmlformats.org/spreadsheetml/2006/main" r="W147" t="str" s="11">
        <x:v>Даташит — производитель</x:v>
      </x:c>
      <x:c xmlns:x="http://schemas.openxmlformats.org/spreadsheetml/2006/main" r="X147" t="str" s="11">
        <x:v>https://yageogroup.com/content/datasheet/asset/file/UPY-GPHC_X7R_6_3V-TO-250V</x:v>
      </x:c>
      <x:c xmlns:x="http://schemas.openxmlformats.org/spreadsheetml/2006/main" r="Y147" t="str" s="11">
        <x:v>C:\Users\Nomatin\Documents\Altium\MY_LIB\MY_LIB\Datasheets\YAGEO_CC_X7R.pdf</x:v>
      </x:c>
      <ns0:c xmlns:ns0="http://schemas.openxmlformats.org/spreadsheetml/2006/main" r="Z147" s="11">
        <ns0:v>3.3e-10</ns0:v>
      </ns0:c>
      <ns0:c xmlns:ns0="http://schemas.openxmlformats.org/spreadsheetml/2006/main" r="AA147" s="11">
        <ns0:v>0.025</ns0:v>
      </ns0:c>
      <ns0:c xmlns:ns0="http://schemas.openxmlformats.org/spreadsheetml/2006/main" r="AB147" s="11">
        <ns0:v>1000</ns0:v>
      </ns0:c>
      <ns0:c xmlns:ns0="http://schemas.openxmlformats.org/spreadsheetml/2006/main" r="AC147" s="11">
        <ns0:v>1</ns0:v>
      </ns0:c>
      <ns0:c xmlns:ns0="http://schemas.openxmlformats.org/spreadsheetml/2006/main" r="AD147" s="11">
        <ns0:v>20</ns0:v>
      </ns0:c>
      <ns0:c xmlns:ns0="http://schemas.openxmlformats.org/spreadsheetml/2006/main" r="AE147" s="11">
        <ns0:v>500</ns0:v>
      </ns0:c>
      <ns0:c xmlns:ns0="http://schemas.openxmlformats.org/spreadsheetml/2006/main" r="AF147" s="11">
        <ns0:v>10000000000</ns0:v>
      </ns0:c>
      <ns0:c xmlns:ns0="http://schemas.openxmlformats.org/spreadsheetml/2006/main" r="AG147" s="11">
        <ns0:v>100</ns0:v>
      </ns0:c>
      <ns0:c xmlns:ns0="http://schemas.openxmlformats.org/spreadsheetml/2006/main" r="AH147" s="11">
        <ns0:v>60</ns0:v>
      </ns0:c>
      <ns0:c xmlns:ns0="http://schemas.openxmlformats.org/spreadsheetml/2006/main" r="AI147" s="11">
        <ns0:v>12057.1926584769</ns0:v>
      </ns0:c>
      <ns0:c xmlns:ns0="http://schemas.openxmlformats.org/spreadsheetml/2006/main" r="AJ147" s="11" t="inlineStr">
        <ns0:is>
          <ns0:t>MY_LIB_C_RC</ns0:t>
        </ns0:is>
      </ns0:c>
      <ns0:c xmlns:ns0="http://schemas.openxmlformats.org/spreadsheetml/2006/main" r="AK147" s="11" t="inlineStr">
        <ns0:is>
          <ns0:t>Nominal C; DFmax at 1kHz; minimum insulation; no temperature/bias/ESL</ns0:t>
        </ns0:is>
      </ns0:c>
      <ns0:c xmlns:ns0="http://schemas.openxmlformats.org/spreadsheetml/2006/main" r="AL147" s="11" t="inlineStr">
        <ns0:is>
          <ns0:t>General</ns0:t>
        </ns0:is>
      </ns0:c>
      <ns0:c xmlns:ns0="http://schemas.openxmlformats.org/spreadsheetml/2006/main" r="AM147" s="11" t="inlineStr">
        <ns0:is>
          <ns0:t>Spice Subcircuit</ns0:t>
        </ns0:is>
      </ns0:c>
      <ns0:c xmlns:ns0="http://schemas.openxmlformats.org/spreadsheetml/2006/main" r="AN147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147" s="11" t="inlineStr">
        <ns0:is>
          <ns0:t>X</ns0:t>
        </ns0:is>
      </ns0:c>
      <ns0:c xmlns:ns0="http://schemas.openxmlformats.org/spreadsheetml/2006/main" r="AP147" s="11" t="inlineStr">
        <ns0:is>
          <ns0:t>(1:1),(2:2)</ns0:t>
        </ns0:is>
      </ns0:c>
      <ns0:c xmlns:ns0="http://schemas.openxmlformats.org/spreadsheetml/2006/main" r="AQ147" s="11" t="inlineStr">
        <ns0:is>
          <ns0:t>Simulation\Capacitors\MY_LIB_C_RC.ckt</ns0:t>
        </ns0:is>
      </ns0:c>
    </ns0:row>
    <ns0:row r="148" ht="30" customHeight="1">
      <ns0:c r="A148" t="str" s="14">
        <ns0:v>C0149</ns0:v>
      </ns0:c>
      <ns0:c r="B148" t="str" s="14">
        <ns0:v>Конденсатор</ns0:v>
      </ns0:c>
      <ns0:c r="C148" t="str" s="14">
        <ns0:v>390p</ns0:v>
      </ns0:c>
      <ns0:c r="D148" t="str" s="11">
        <ns0:f>SUBSTITUTE(SUBSTITUTE(SUBSTITUTE(SUBSTITUTE(C148,"p"," пФ"),"n"," нФ"),"u"," мкФ"),".",",")</ns0:f>
        <ns0:v>390 пФ</ns0:v>
      </ns0:c>
      <ns0:c r="E148" t="str" s="14">
        <ns0:v>±5%</ns0:v>
      </ns0:c>
      <ns0:c r="F148" s="14"/>
      <ns0:c r="G148" t="str" s="14">
        <ns0:v>50 В</ns0:v>
      </ns0:c>
      <ns0:c r="H148" t="str" s="14">
        <ns0:v>X7R</ns0:v>
      </ns0:c>
      <ns0:c r="I148" t="str" s="15">
        <ns0:v>0603</ns0:v>
      </ns0:c>
      <ns0:c r="J148" t="str" s="14">
        <ns0:v>YAGEO</ns0:v>
      </ns0:c>
      <ns0:c r="K148" t="str" s="14">
        <ns0:v>CC0603JRX7R9BB391</ns0:v>
      </ns0:c>
      <ns0:c r="L148" t="str" s="11">
        <ns0:f>B148&amp;" "&amp;D148&amp;" "&amp;E148&amp;" "&amp;G148&amp;" "&amp;H148&amp;" "&amp;I148</ns0:f>
        <ns0:v>Конденсатор 390 пФ ±5% 50 В X7R 0603</ns0:v>
      </ns0:c>
      <ns0:c r="M148" t="str" s="13">
        <ns0:v>C</ns0:v>
      </ns0:c>
      <ns0:c r="N148" t="str" s="13">
        <ns0:v>Symbols\MY_LIB_Capacitors.SchLib</ns0:v>
      </ns0:c>
      <ns0:c r="O148" t="str" s="13">
        <ns0:v>CAPC1608X90N</ns0:v>
      </ns0:c>
      <ns0:c r="P148" t="str" s="13">
        <ns0:v>Footprints\PBL - SMD Packages.PcbLib</ns0:v>
      </ns0:c>
      <ns0:c r="Q148" t="str" s="14">
        <ns0:v>YAGEO CC; список 20.10.2026</ns0:v>
      </ns0:c>
      <ns0:c r="R148" t="str" s="11">
        <ns0:f>D148</ns0:f>
        <ns0:v>390 пФ</ns0:v>
      </ns0:c>
      <ns0:c r="S148" t="str" s="11">
        <ns0:f>L148</ns0:f>
        <ns0:v>Конденсатор 390 пФ ±5% 50 В X7R 0603</ns0:v>
      </ns0:c>
      <x:c xmlns:x="http://schemas.openxmlformats.org/spreadsheetml/2006/main" r="T148" t="str" s="11">
        <x:v>C:\Users\Nomatin\Documents\Altium\MY_LIB\MY_LIB\Datasheets\YAGEO_CC_X7R.pdf</x:v>
      </x:c>
      <x:c xmlns:x="http://schemas.openxmlformats.org/spreadsheetml/2006/main" r="U148" t="str" s="11">
        <x:v>Даташит — локальный</x:v>
      </x:c>
      <x:c xmlns:x="http://schemas.openxmlformats.org/spreadsheetml/2006/main" r="V148" t="str" s="11">
        <x:v>C:\Users\Nomatin\Documents\Altium\MY_LIB\MY_LIB\Datasheets\YAGEO_CC_X7R.pdf</x:v>
      </x:c>
      <x:c xmlns:x="http://schemas.openxmlformats.org/spreadsheetml/2006/main" r="W148" t="str" s="11">
        <x:v>Даташит — производитель</x:v>
      </x:c>
      <x:c xmlns:x="http://schemas.openxmlformats.org/spreadsheetml/2006/main" r="X148" t="str" s="11">
        <x:v>https://yageogroup.com/content/datasheet/asset/file/UPY-GPHC_X7R_6_3V-TO-250V</x:v>
      </x:c>
      <x:c xmlns:x="http://schemas.openxmlformats.org/spreadsheetml/2006/main" r="Y148" t="str" s="11">
        <x:v>C:\Users\Nomatin\Documents\Altium\MY_LIB\MY_LIB\Datasheets\YAGEO_CC_X7R.pdf</x:v>
      </x:c>
      <ns0:c xmlns:ns0="http://schemas.openxmlformats.org/spreadsheetml/2006/main" r="Z148" s="11">
        <ns0:v>3.9e-10</ns0:v>
      </ns0:c>
      <ns0:c xmlns:ns0="http://schemas.openxmlformats.org/spreadsheetml/2006/main" r="AA148" s="11">
        <ns0:v>0.025</ns0:v>
      </ns0:c>
      <ns0:c xmlns:ns0="http://schemas.openxmlformats.org/spreadsheetml/2006/main" r="AB148" s="11">
        <ns0:v>1000</ns0:v>
      </ns0:c>
      <ns0:c xmlns:ns0="http://schemas.openxmlformats.org/spreadsheetml/2006/main" r="AC148" s="11">
        <ns0:v>1</ns0:v>
      </ns0:c>
      <ns0:c xmlns:ns0="http://schemas.openxmlformats.org/spreadsheetml/2006/main" r="AD148" s="11">
        <ns0:v>20</ns0:v>
      </ns0:c>
      <ns0:c xmlns:ns0="http://schemas.openxmlformats.org/spreadsheetml/2006/main" r="AE148" s="11">
        <ns0:v>500</ns0:v>
      </ns0:c>
      <ns0:c xmlns:ns0="http://schemas.openxmlformats.org/spreadsheetml/2006/main" r="AF148" s="11">
        <ns0:v>10000000000</ns0:v>
      </ns0:c>
      <ns0:c xmlns:ns0="http://schemas.openxmlformats.org/spreadsheetml/2006/main" r="AG148" s="11">
        <ns0:v>50</ns0:v>
      </ns0:c>
      <ns0:c xmlns:ns0="http://schemas.openxmlformats.org/spreadsheetml/2006/main" r="AH148" s="11">
        <ns0:v>60</ns0:v>
      </ns0:c>
      <ns0:c xmlns:ns0="http://schemas.openxmlformats.org/spreadsheetml/2006/main" r="AI148" s="11">
        <ns0:v>10202.2399417882</ns0:v>
      </ns0:c>
      <ns0:c xmlns:ns0="http://schemas.openxmlformats.org/spreadsheetml/2006/main" r="AJ148" s="11" t="inlineStr">
        <ns0:is>
          <ns0:t>MY_LIB_C_RC</ns0:t>
        </ns0:is>
      </ns0:c>
      <ns0:c xmlns:ns0="http://schemas.openxmlformats.org/spreadsheetml/2006/main" r="AK148" s="11" t="inlineStr">
        <ns0:is>
          <ns0:t>Nominal C; DFmax at 1kHz; minimum insulation; no temperature/bias/ESL</ns0:t>
        </ns0:is>
      </ns0:c>
      <ns0:c xmlns:ns0="http://schemas.openxmlformats.org/spreadsheetml/2006/main" r="AL148" s="11" t="inlineStr">
        <ns0:is>
          <ns0:t>General</ns0:t>
        </ns0:is>
      </ns0:c>
      <ns0:c xmlns:ns0="http://schemas.openxmlformats.org/spreadsheetml/2006/main" r="AM148" s="11" t="inlineStr">
        <ns0:is>
          <ns0:t>Spice Subcircuit</ns0:t>
        </ns0:is>
      </ns0:c>
      <ns0:c xmlns:ns0="http://schemas.openxmlformats.org/spreadsheetml/2006/main" r="AN148" s="11" t="inlineStr">
        <ns0:is>
          <ns0:t>@DESIGNATOR %1 %2 @MODEL PARAMS: Cvalue=3.9e-10 Rsvalue=10202.2399417882 Rinsvalue=10000000000</ns0:t>
        </ns0:is>
      </ns0:c>
      <ns0:c xmlns:ns0="http://schemas.openxmlformats.org/spreadsheetml/2006/main" r="AO148" s="11" t="inlineStr">
        <ns0:is>
          <ns0:t>X</ns0:t>
        </ns0:is>
      </ns0:c>
      <ns0:c xmlns:ns0="http://schemas.openxmlformats.org/spreadsheetml/2006/main" r="AP148" s="11" t="inlineStr">
        <ns0:is>
          <ns0:t>(1:1),(2:2)</ns0:t>
        </ns0:is>
      </ns0:c>
      <ns0:c xmlns:ns0="http://schemas.openxmlformats.org/spreadsheetml/2006/main" r="AQ148" s="11" t="inlineStr">
        <ns0:is>
          <ns0:t>Simulation\Capacitors\MY_LIB_C_RC.ckt</ns0:t>
        </ns0:is>
      </ns0:c>
    </ns0:row>
    <ns0:row r="149" ht="30" customHeight="1">
      <ns0:c r="A149" t="str" s="14">
        <ns0:v>C0150</ns0:v>
      </ns0:c>
      <ns0:c r="B149" t="str" s="14">
        <ns0:v>Конденсатор</ns0:v>
      </ns0:c>
      <ns0:c r="C149" t="str" s="14">
        <ns0:v>470p</ns0:v>
      </ns0:c>
      <ns0:c r="D149" t="str" s="11">
        <ns0:f>SUBSTITUTE(SUBSTITUTE(SUBSTITUTE(SUBSTITUTE(C149,"p"," пФ"),"n"," нФ"),"u"," мкФ"),".",",")</ns0:f>
        <ns0:v>470 пФ</ns0:v>
      </ns0:c>
      <ns0:c r="E149" t="str" s="14">
        <ns0:v>±5%</ns0:v>
      </ns0:c>
      <ns0:c r="F149" s="14"/>
      <ns0:c r="G149" t="str" s="14">
        <ns0:v>100 В</ns0:v>
      </ns0:c>
      <ns0:c r="H149" t="str" s="14">
        <ns0:v>X7R</ns0:v>
      </ns0:c>
      <ns0:c r="I149" t="str" s="15">
        <ns0:v>0603</ns0:v>
      </ns0:c>
      <ns0:c r="J149" t="str" s="14">
        <ns0:v>YAGEO</ns0:v>
      </ns0:c>
      <ns0:c r="K149" t="str" s="14">
        <ns0:v>CC0603JRX7R0BB471</ns0:v>
      </ns0:c>
      <ns0:c r="L149" t="str" s="11">
        <ns0:f>B149&amp;" "&amp;D149&amp;" "&amp;E149&amp;" "&amp;G149&amp;" "&amp;H149&amp;" "&amp;I149</ns0:f>
        <ns0:v>Конденсатор 470 пФ ±5% 100 В X7R 0603</ns0:v>
      </ns0:c>
      <ns0:c r="M149" t="str" s="13">
        <ns0:v>C</ns0:v>
      </ns0:c>
      <ns0:c r="N149" t="str" s="13">
        <ns0:v>Symbols\MY_LIB_Capacitors.SchLib</ns0:v>
      </ns0:c>
      <ns0:c r="O149" t="str" s="13">
        <ns0:v>CAPC1608X90N</ns0:v>
      </ns0:c>
      <ns0:c r="P149" t="str" s="13">
        <ns0:v>Footprints\PBL - SMD Packages.PcbLib</ns0:v>
      </ns0:c>
      <ns0:c r="Q149" t="str" s="14">
        <ns0:v>YAGEO CC; список 20.10.2026</ns0:v>
      </ns0:c>
      <ns0:c r="R149" t="str" s="11">
        <ns0:f>D149</ns0:f>
        <ns0:v>470 пФ</ns0:v>
      </ns0:c>
      <ns0:c r="S149" t="str" s="11">
        <ns0:f>L149</ns0:f>
        <ns0:v>Конденсатор 470 пФ ±5% 100 В X7R 0603</ns0:v>
      </ns0:c>
      <x:c xmlns:x="http://schemas.openxmlformats.org/spreadsheetml/2006/main" r="T149" t="str" s="11">
        <x:v>C:\Users\Nomatin\Documents\Altium\MY_LIB\MY_LIB\Datasheets\YAGEO_CC_X7R.pdf</x:v>
      </x:c>
      <x:c xmlns:x="http://schemas.openxmlformats.org/spreadsheetml/2006/main" r="U149" t="str" s="11">
        <x:v>Даташит — локальный</x:v>
      </x:c>
      <x:c xmlns:x="http://schemas.openxmlformats.org/spreadsheetml/2006/main" r="V149" t="str" s="11">
        <x:v>C:\Users\Nomatin\Documents\Altium\MY_LIB\MY_LIB\Datasheets\YAGEO_CC_X7R.pdf</x:v>
      </x:c>
      <x:c xmlns:x="http://schemas.openxmlformats.org/spreadsheetml/2006/main" r="W149" t="str" s="11">
        <x:v>Даташит — производитель</x:v>
      </x:c>
      <x:c xmlns:x="http://schemas.openxmlformats.org/spreadsheetml/2006/main" r="X149" t="str" s="11">
        <x:v>https://yageogroup.com/content/datasheet/asset/file/UPY-GPHC_X7R_6_3V-TO-250V</x:v>
      </x:c>
      <x:c xmlns:x="http://schemas.openxmlformats.org/spreadsheetml/2006/main" r="Y149" t="str" s="11">
        <x:v>C:\Users\Nomatin\Documents\Altium\MY_LIB\MY_LIB\Datasheets\YAGEO_CC_X7R.pdf</x:v>
      </x:c>
      <ns0:c xmlns:ns0="http://schemas.openxmlformats.org/spreadsheetml/2006/main" r="Z149" s="11">
        <ns0:v>4.7e-10</ns0:v>
      </ns0:c>
      <ns0:c xmlns:ns0="http://schemas.openxmlformats.org/spreadsheetml/2006/main" r="AA149" s="11">
        <ns0:v>0.025</ns0:v>
      </ns0:c>
      <ns0:c xmlns:ns0="http://schemas.openxmlformats.org/spreadsheetml/2006/main" r="AB149" s="11">
        <ns0:v>1000</ns0:v>
      </ns0:c>
      <ns0:c xmlns:ns0="http://schemas.openxmlformats.org/spreadsheetml/2006/main" r="AC149" s="11">
        <ns0:v>1</ns0:v>
      </ns0:c>
      <ns0:c xmlns:ns0="http://schemas.openxmlformats.org/spreadsheetml/2006/main" r="AD149" s="11">
        <ns0:v>20</ns0:v>
      </ns0:c>
      <ns0:c xmlns:ns0="http://schemas.openxmlformats.org/spreadsheetml/2006/main" r="AE149" s="11">
        <ns0:v>500</ns0:v>
      </ns0:c>
      <ns0:c xmlns:ns0="http://schemas.openxmlformats.org/spreadsheetml/2006/main" r="AF149" s="11">
        <ns0:v>10000000000</ns0:v>
      </ns0:c>
      <ns0:c xmlns:ns0="http://schemas.openxmlformats.org/spreadsheetml/2006/main" r="AG149" s="11">
        <ns0:v>100</ns0:v>
      </ns0:c>
      <ns0:c xmlns:ns0="http://schemas.openxmlformats.org/spreadsheetml/2006/main" r="AH149" s="11">
        <ns0:v>60</ns0:v>
      </ns0:c>
      <ns0:c xmlns:ns0="http://schemas.openxmlformats.org/spreadsheetml/2006/main" r="AI149" s="11">
        <ns0:v>8465.68846233486</ns0:v>
      </ns0:c>
      <ns0:c xmlns:ns0="http://schemas.openxmlformats.org/spreadsheetml/2006/main" r="AJ149" s="11" t="inlineStr">
        <ns0:is>
          <ns0:t>MY_LIB_C_RC</ns0:t>
        </ns0:is>
      </ns0:c>
      <ns0:c xmlns:ns0="http://schemas.openxmlformats.org/spreadsheetml/2006/main" r="AK149" s="11" t="inlineStr">
        <ns0:is>
          <ns0:t>Nominal C; DFmax at 1kHz; minimum insulation; no temperature/bias/ESL</ns0:t>
        </ns0:is>
      </ns0:c>
      <ns0:c xmlns:ns0="http://schemas.openxmlformats.org/spreadsheetml/2006/main" r="AL149" s="11" t="inlineStr">
        <ns0:is>
          <ns0:t>General</ns0:t>
        </ns0:is>
      </ns0:c>
      <ns0:c xmlns:ns0="http://schemas.openxmlformats.org/spreadsheetml/2006/main" r="AM149" s="11" t="inlineStr">
        <ns0:is>
          <ns0:t>Spice Subcircuit</ns0:t>
        </ns0:is>
      </ns0:c>
      <ns0:c xmlns:ns0="http://schemas.openxmlformats.org/spreadsheetml/2006/main" r="AN149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149" s="11" t="inlineStr">
        <ns0:is>
          <ns0:t>X</ns0:t>
        </ns0:is>
      </ns0:c>
      <ns0:c xmlns:ns0="http://schemas.openxmlformats.org/spreadsheetml/2006/main" r="AP149" s="11" t="inlineStr">
        <ns0:is>
          <ns0:t>(1:1),(2:2)</ns0:t>
        </ns0:is>
      </ns0:c>
      <ns0:c xmlns:ns0="http://schemas.openxmlformats.org/spreadsheetml/2006/main" r="AQ149" s="11" t="inlineStr">
        <ns0:is>
          <ns0:t>Simulation\Capacitors\MY_LIB_C_RC.ckt</ns0:t>
        </ns0:is>
      </ns0:c>
    </ns0:row>
    <ns0:row r="150" ht="30" customHeight="1">
      <ns0:c r="A150" t="str" s="14">
        <ns0:v>C0151</ns0:v>
      </ns0:c>
      <ns0:c r="B150" t="str" s="14">
        <ns0:v>Конденсатор</ns0:v>
      </ns0:c>
      <ns0:c r="C150" t="str" s="14">
        <ns0:v>560p</ns0:v>
      </ns0:c>
      <ns0:c r="D150" t="str" s="11">
        <ns0:f>SUBSTITUTE(SUBSTITUTE(SUBSTITUTE(SUBSTITUTE(C150,"p"," пФ"),"n"," нФ"),"u"," мкФ"),".",",")</ns0:f>
        <ns0:v>560 пФ</ns0:v>
      </ns0:c>
      <ns0:c r="E150" t="str" s="14">
        <ns0:v>±5%</ns0:v>
      </ns0:c>
      <ns0:c r="F150" s="14"/>
      <ns0:c r="G150" t="str" s="14">
        <ns0:v>50 В</ns0:v>
      </ns0:c>
      <ns0:c r="H150" t="str" s="14">
        <ns0:v>X7R</ns0:v>
      </ns0:c>
      <ns0:c r="I150" t="str" s="15">
        <ns0:v>0603</ns0:v>
      </ns0:c>
      <ns0:c r="J150" t="str" s="14">
        <ns0:v>YAGEO</ns0:v>
      </ns0:c>
      <ns0:c r="K150" t="str" s="14">
        <ns0:v>CC0603JRX7R9BB561</ns0:v>
      </ns0:c>
      <ns0:c r="L150" t="str" s="11">
        <ns0:f>B150&amp;" "&amp;D150&amp;" "&amp;E150&amp;" "&amp;G150&amp;" "&amp;H150&amp;" "&amp;I150</ns0:f>
        <ns0:v>Конденсатор 560 пФ ±5% 50 В X7R 0603</ns0:v>
      </ns0:c>
      <ns0:c r="M150" t="str" s="13">
        <ns0:v>C</ns0:v>
      </ns0:c>
      <ns0:c r="N150" t="str" s="13">
        <ns0:v>Symbols\MY_LIB_Capacitors.SchLib</ns0:v>
      </ns0:c>
      <ns0:c r="O150" t="str" s="13">
        <ns0:v>CAPC1608X90N</ns0:v>
      </ns0:c>
      <ns0:c r="P150" t="str" s="13">
        <ns0:v>Footprints\PBL - SMD Packages.PcbLib</ns0:v>
      </ns0:c>
      <ns0:c r="Q150" t="str" s="14">
        <ns0:v>YAGEO CC; список 20.10.2026</ns0:v>
      </ns0:c>
      <ns0:c r="R150" t="str" s="11">
        <ns0:f>D150</ns0:f>
        <ns0:v>560 пФ</ns0:v>
      </ns0:c>
      <ns0:c r="S150" t="str" s="11">
        <ns0:f>L150</ns0:f>
        <ns0:v>Конденсатор 560 пФ ±5% 50 В X7R 0603</ns0:v>
      </ns0:c>
      <x:c xmlns:x="http://schemas.openxmlformats.org/spreadsheetml/2006/main" r="T150" t="str" s="11">
        <x:v>C:\Users\Nomatin\Documents\Altium\MY_LIB\MY_LIB\Datasheets\YAGEO_CC_X7R.pdf</x:v>
      </x:c>
      <x:c xmlns:x="http://schemas.openxmlformats.org/spreadsheetml/2006/main" r="U150" t="str" s="11">
        <x:v>Даташит — локальный</x:v>
      </x:c>
      <x:c xmlns:x="http://schemas.openxmlformats.org/spreadsheetml/2006/main" r="V150" t="str" s="11">
        <x:v>C:\Users\Nomatin\Documents\Altium\MY_LIB\MY_LIB\Datasheets\YAGEO_CC_X7R.pdf</x:v>
      </x:c>
      <x:c xmlns:x="http://schemas.openxmlformats.org/spreadsheetml/2006/main" r="W150" t="str" s="11">
        <x:v>Даташит — производитель</x:v>
      </x:c>
      <x:c xmlns:x="http://schemas.openxmlformats.org/spreadsheetml/2006/main" r="X150" t="str" s="11">
        <x:v>https://yageogroup.com/content/datasheet/asset/file/UPY-GPHC_X7R_6_3V-TO-250V</x:v>
      </x:c>
      <x:c xmlns:x="http://schemas.openxmlformats.org/spreadsheetml/2006/main" r="Y150" t="str" s="11">
        <x:v>C:\Users\Nomatin\Documents\Altium\MY_LIB\MY_LIB\Datasheets\YAGEO_CC_X7R.pdf</x:v>
      </x:c>
      <ns0:c xmlns:ns0="http://schemas.openxmlformats.org/spreadsheetml/2006/main" r="Z150" s="11">
        <ns0:v>5.6e-10</ns0:v>
      </ns0:c>
      <ns0:c xmlns:ns0="http://schemas.openxmlformats.org/spreadsheetml/2006/main" r="AA150" s="11">
        <ns0:v>0.025</ns0:v>
      </ns0:c>
      <ns0:c xmlns:ns0="http://schemas.openxmlformats.org/spreadsheetml/2006/main" r="AB150" s="11">
        <ns0:v>1000</ns0:v>
      </ns0:c>
      <ns0:c xmlns:ns0="http://schemas.openxmlformats.org/spreadsheetml/2006/main" r="AC150" s="11">
        <ns0:v>1</ns0:v>
      </ns0:c>
      <ns0:c xmlns:ns0="http://schemas.openxmlformats.org/spreadsheetml/2006/main" r="AD150" s="11">
        <ns0:v>20</ns0:v>
      </ns0:c>
      <ns0:c xmlns:ns0="http://schemas.openxmlformats.org/spreadsheetml/2006/main" r="AE150" s="11">
        <ns0:v>500</ns0:v>
      </ns0:c>
      <ns0:c xmlns:ns0="http://schemas.openxmlformats.org/spreadsheetml/2006/main" r="AF150" s="11">
        <ns0:v>10000000000</ns0:v>
      </ns0:c>
      <ns0:c xmlns:ns0="http://schemas.openxmlformats.org/spreadsheetml/2006/main" r="AG150" s="11">
        <ns0:v>50</ns0:v>
      </ns0:c>
      <ns0:c xmlns:ns0="http://schemas.openxmlformats.org/spreadsheetml/2006/main" r="AH150" s="11">
        <ns0:v>60</ns0:v>
      </ns0:c>
      <ns0:c xmlns:ns0="http://schemas.openxmlformats.org/spreadsheetml/2006/main" r="AI150" s="11">
        <ns0:v>7105.13138803104</ns0:v>
      </ns0:c>
      <ns0:c xmlns:ns0="http://schemas.openxmlformats.org/spreadsheetml/2006/main" r="AJ150" s="11" t="inlineStr">
        <ns0:is>
          <ns0:t>MY_LIB_C_RC</ns0:t>
        </ns0:is>
      </ns0:c>
      <ns0:c xmlns:ns0="http://schemas.openxmlformats.org/spreadsheetml/2006/main" r="AK150" s="11" t="inlineStr">
        <ns0:is>
          <ns0:t>Nominal C; DFmax at 1kHz; minimum insulation; no temperature/bias/ESL</ns0:t>
        </ns0:is>
      </ns0:c>
      <ns0:c xmlns:ns0="http://schemas.openxmlformats.org/spreadsheetml/2006/main" r="AL150" s="11" t="inlineStr">
        <ns0:is>
          <ns0:t>General</ns0:t>
        </ns0:is>
      </ns0:c>
      <ns0:c xmlns:ns0="http://schemas.openxmlformats.org/spreadsheetml/2006/main" r="AM150" s="11" t="inlineStr">
        <ns0:is>
          <ns0:t>Spice Subcircuit</ns0:t>
        </ns0:is>
      </ns0:c>
      <ns0:c xmlns:ns0="http://schemas.openxmlformats.org/spreadsheetml/2006/main" r="AN150" s="11" t="inlineStr">
        <ns0:is>
          <ns0:t>@DESIGNATOR %1 %2 @MODEL PARAMS: Cvalue=5.6e-10 Rsvalue=7105.13138803104 Rinsvalue=10000000000</ns0:t>
        </ns0:is>
      </ns0:c>
      <ns0:c xmlns:ns0="http://schemas.openxmlformats.org/spreadsheetml/2006/main" r="AO150" s="11" t="inlineStr">
        <ns0:is>
          <ns0:t>X</ns0:t>
        </ns0:is>
      </ns0:c>
      <ns0:c xmlns:ns0="http://schemas.openxmlformats.org/spreadsheetml/2006/main" r="AP150" s="11" t="inlineStr">
        <ns0:is>
          <ns0:t>(1:1),(2:2)</ns0:t>
        </ns0:is>
      </ns0:c>
      <ns0:c xmlns:ns0="http://schemas.openxmlformats.org/spreadsheetml/2006/main" r="AQ150" s="11" t="inlineStr">
        <ns0:is>
          <ns0:t>Simulation\Capacitors\MY_LIB_C_RC.ckt</ns0:t>
        </ns0:is>
      </ns0:c>
    </ns0:row>
    <ns0:row r="151" ht="30" customHeight="1">
      <ns0:c r="A151" t="str" s="14">
        <ns0:v>C0152</ns0:v>
      </ns0:c>
      <ns0:c r="B151" t="str" s="14">
        <ns0:v>Конденсатор</ns0:v>
      </ns0:c>
      <ns0:c r="C151" t="str" s="14">
        <ns0:v>680p</ns0:v>
      </ns0:c>
      <ns0:c r="D151" t="str" s="11">
        <ns0:f>SUBSTITUTE(SUBSTITUTE(SUBSTITUTE(SUBSTITUTE(C151,"p"," пФ"),"n"," нФ"),"u"," мкФ"),".",",")</ns0:f>
        <ns0:v>680 пФ</ns0:v>
      </ns0:c>
      <ns0:c r="E151" t="str" s="14">
        <ns0:v>±5%</ns0:v>
      </ns0:c>
      <ns0:c r="F151" s="14"/>
      <ns0:c r="G151" t="str" s="14">
        <ns0:v>100 В</ns0:v>
      </ns0:c>
      <ns0:c r="H151" t="str" s="14">
        <ns0:v>X7R</ns0:v>
      </ns0:c>
      <ns0:c r="I151" t="str" s="15">
        <ns0:v>0603</ns0:v>
      </ns0:c>
      <ns0:c r="J151" t="str" s="14">
        <ns0:v>YAGEO</ns0:v>
      </ns0:c>
      <ns0:c r="K151" t="str" s="14">
        <ns0:v>CC0603JRX7R0BB681</ns0:v>
      </ns0:c>
      <ns0:c r="L151" t="str" s="11">
        <ns0:f>B151&amp;" "&amp;D151&amp;" "&amp;E151&amp;" "&amp;G151&amp;" "&amp;H151&amp;" "&amp;I151</ns0:f>
        <ns0:v>Конденсатор 680 пФ ±5% 100 В X7R 0603</ns0:v>
      </ns0:c>
      <ns0:c r="M151" t="str" s="13">
        <ns0:v>C</ns0:v>
      </ns0:c>
      <ns0:c r="N151" t="str" s="13">
        <ns0:v>Symbols\MY_LIB_Capacitors.SchLib</ns0:v>
      </ns0:c>
      <ns0:c r="O151" t="str" s="13">
        <ns0:v>CAPC1608X90N</ns0:v>
      </ns0:c>
      <ns0:c r="P151" t="str" s="13">
        <ns0:v>Footprints\PBL - SMD Packages.PcbLib</ns0:v>
      </ns0:c>
      <ns0:c r="Q151" t="str" s="14">
        <ns0:v>YAGEO CC; список 20.10.2026</ns0:v>
      </ns0:c>
      <ns0:c r="R151" t="str" s="11">
        <ns0:f>D151</ns0:f>
        <ns0:v>680 пФ</ns0:v>
      </ns0:c>
      <ns0:c r="S151" t="str" s="11">
        <ns0:f>L151</ns0:f>
        <ns0:v>Конденсатор 680 пФ ±5% 100 В X7R 0603</ns0:v>
      </ns0:c>
      <x:c xmlns:x="http://schemas.openxmlformats.org/spreadsheetml/2006/main" r="T151" t="str" s="11">
        <x:v>C:\Users\Nomatin\Documents\Altium\MY_LIB\MY_LIB\Datasheets\YAGEO_CC_X7R.pdf</x:v>
      </x:c>
      <x:c xmlns:x="http://schemas.openxmlformats.org/spreadsheetml/2006/main" r="U151" t="str" s="11">
        <x:v>Даташит — локальный</x:v>
      </x:c>
      <x:c xmlns:x="http://schemas.openxmlformats.org/spreadsheetml/2006/main" r="V151" t="str" s="11">
        <x:v>C:\Users\Nomatin\Documents\Altium\MY_LIB\MY_LIB\Datasheets\YAGEO_CC_X7R.pdf</x:v>
      </x:c>
      <x:c xmlns:x="http://schemas.openxmlformats.org/spreadsheetml/2006/main" r="W151" t="str" s="11">
        <x:v>Даташит — производитель</x:v>
      </x:c>
      <x:c xmlns:x="http://schemas.openxmlformats.org/spreadsheetml/2006/main" r="X151" t="str" s="11">
        <x:v>https://yageogroup.com/content/datasheet/asset/file/UPY-GPHC_X7R_6_3V-TO-250V</x:v>
      </x:c>
      <x:c xmlns:x="http://schemas.openxmlformats.org/spreadsheetml/2006/main" r="Y151" t="str" s="11">
        <x:v>C:\Users\Nomatin\Documents\Altium\MY_LIB\MY_LIB\Datasheets\YAGEO_CC_X7R.pdf</x:v>
      </x:c>
      <ns0:c xmlns:ns0="http://schemas.openxmlformats.org/spreadsheetml/2006/main" r="Z151" s="11">
        <ns0:v>6.8e-10</ns0:v>
      </ns0:c>
      <ns0:c xmlns:ns0="http://schemas.openxmlformats.org/spreadsheetml/2006/main" r="AA151" s="11">
        <ns0:v>0.025</ns0:v>
      </ns0:c>
      <ns0:c xmlns:ns0="http://schemas.openxmlformats.org/spreadsheetml/2006/main" r="AB151" s="11">
        <ns0:v>1000</ns0:v>
      </ns0:c>
      <ns0:c xmlns:ns0="http://schemas.openxmlformats.org/spreadsheetml/2006/main" r="AC151" s="11">
        <ns0:v>1</ns0:v>
      </ns0:c>
      <ns0:c xmlns:ns0="http://schemas.openxmlformats.org/spreadsheetml/2006/main" r="AD151" s="11">
        <ns0:v>20</ns0:v>
      </ns0:c>
      <ns0:c xmlns:ns0="http://schemas.openxmlformats.org/spreadsheetml/2006/main" r="AE151" s="11">
        <ns0:v>500</ns0:v>
      </ns0:c>
      <ns0:c xmlns:ns0="http://schemas.openxmlformats.org/spreadsheetml/2006/main" r="AF151" s="11">
        <ns0:v>10000000000</ns0:v>
      </ns0:c>
      <ns0:c xmlns:ns0="http://schemas.openxmlformats.org/spreadsheetml/2006/main" r="AG151" s="11">
        <ns0:v>100</ns0:v>
      </ns0:c>
      <ns0:c xmlns:ns0="http://schemas.openxmlformats.org/spreadsheetml/2006/main" r="AH151" s="11">
        <ns0:v>60</ns0:v>
      </ns0:c>
      <ns0:c xmlns:ns0="http://schemas.openxmlformats.org/spreadsheetml/2006/main" r="AI151" s="11">
        <ns0:v>5851.28467249615</ns0:v>
      </ns0:c>
      <ns0:c xmlns:ns0="http://schemas.openxmlformats.org/spreadsheetml/2006/main" r="AJ151" s="11" t="inlineStr">
        <ns0:is>
          <ns0:t>MY_LIB_C_RC</ns0:t>
        </ns0:is>
      </ns0:c>
      <ns0:c xmlns:ns0="http://schemas.openxmlformats.org/spreadsheetml/2006/main" r="AK151" s="11" t="inlineStr">
        <ns0:is>
          <ns0:t>Nominal C; DFmax at 1kHz; minimum insulation; no temperature/bias/ESL</ns0:t>
        </ns0:is>
      </ns0:c>
      <ns0:c xmlns:ns0="http://schemas.openxmlformats.org/spreadsheetml/2006/main" r="AL151" s="11" t="inlineStr">
        <ns0:is>
          <ns0:t>General</ns0:t>
        </ns0:is>
      </ns0:c>
      <ns0:c xmlns:ns0="http://schemas.openxmlformats.org/spreadsheetml/2006/main" r="AM151" s="11" t="inlineStr">
        <ns0:is>
          <ns0:t>Spice Subcircuit</ns0:t>
        </ns0:is>
      </ns0:c>
      <ns0:c xmlns:ns0="http://schemas.openxmlformats.org/spreadsheetml/2006/main" r="AN151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151" s="11" t="inlineStr">
        <ns0:is>
          <ns0:t>X</ns0:t>
        </ns0:is>
      </ns0:c>
      <ns0:c xmlns:ns0="http://schemas.openxmlformats.org/spreadsheetml/2006/main" r="AP151" s="11" t="inlineStr">
        <ns0:is>
          <ns0:t>(1:1),(2:2)</ns0:t>
        </ns0:is>
      </ns0:c>
      <ns0:c xmlns:ns0="http://schemas.openxmlformats.org/spreadsheetml/2006/main" r="AQ151" s="11" t="inlineStr">
        <ns0:is>
          <ns0:t>Simulation\Capacitors\MY_LIB_C_RC.ckt</ns0:t>
        </ns0:is>
      </ns0:c>
    </ns0:row>
    <ns0:row r="152" ht="30" customHeight="1">
      <ns0:c r="A152" t="str" s="14">
        <ns0:v>C0153</ns0:v>
      </ns0:c>
      <ns0:c r="B152" t="str" s="14">
        <ns0:v>Конденсатор</ns0:v>
      </ns0:c>
      <ns0:c r="C152" t="str" s="14">
        <ns0:v>750p</ns0:v>
      </ns0:c>
      <ns0:c r="D152" t="str" s="11">
        <ns0:f>SUBSTITUTE(SUBSTITUTE(SUBSTITUTE(SUBSTITUTE(C152,"p"," пФ"),"n"," нФ"),"u"," мкФ"),".",",")</ns0:f>
        <ns0:v>750 пФ</ns0:v>
      </ns0:c>
      <ns0:c r="E152" t="str" s="14">
        <ns0:v>±5%</ns0:v>
      </ns0:c>
      <ns0:c r="F152" s="14"/>
      <ns0:c r="G152" t="str" s="14">
        <ns0:v>50 В</ns0:v>
      </ns0:c>
      <ns0:c r="H152" t="str" s="14">
        <ns0:v>X7R</ns0:v>
      </ns0:c>
      <ns0:c r="I152" t="str" s="15">
        <ns0:v>0603</ns0:v>
      </ns0:c>
      <ns0:c r="J152" t="str" s="14">
        <ns0:v>YAGEO</ns0:v>
      </ns0:c>
      <ns0:c r="K152" t="str" s="14">
        <ns0:v>CC0603JRX7R9BB751</ns0:v>
      </ns0:c>
      <ns0:c r="L152" t="str" s="11">
        <ns0:f>B152&amp;" "&amp;D152&amp;" "&amp;E152&amp;" "&amp;G152&amp;" "&amp;H152&amp;" "&amp;I152</ns0:f>
        <ns0:v>Конденсатор 750 пФ ±5% 50 В X7R 0603</ns0:v>
      </ns0:c>
      <ns0:c r="M152" t="str" s="13">
        <ns0:v>C</ns0:v>
      </ns0:c>
      <ns0:c r="N152" t="str" s="13">
        <ns0:v>Symbols\MY_LIB_Capacitors.SchLib</ns0:v>
      </ns0:c>
      <ns0:c r="O152" t="str" s="13">
        <ns0:v>CAPC1608X90N</ns0:v>
      </ns0:c>
      <ns0:c r="P152" t="str" s="13">
        <ns0:v>Footprints\PBL - SMD Packages.PcbLib</ns0:v>
      </ns0:c>
      <ns0:c r="Q152" t="str" s="14">
        <ns0:v>YAGEO CC; список 20.10.2026</ns0:v>
      </ns0:c>
      <ns0:c r="R152" t="str" s="11">
        <ns0:f>D152</ns0:f>
        <ns0:v>750 пФ</ns0:v>
      </ns0:c>
      <ns0:c r="S152" t="str" s="11">
        <ns0:f>L152</ns0:f>
        <ns0:v>Конденсатор 750 пФ ±5% 50 В X7R 0603</ns0:v>
      </ns0:c>
      <x:c xmlns:x="http://schemas.openxmlformats.org/spreadsheetml/2006/main" r="T152" t="str" s="11">
        <x:v>C:\Users\Nomatin\Documents\Altium\MY_LIB\MY_LIB\Datasheets\YAGEO_CC_X7R.pdf</x:v>
      </x:c>
      <x:c xmlns:x="http://schemas.openxmlformats.org/spreadsheetml/2006/main" r="U152" t="str" s="11">
        <x:v>Даташит — локальный</x:v>
      </x:c>
      <x:c xmlns:x="http://schemas.openxmlformats.org/spreadsheetml/2006/main" r="V152" t="str" s="11">
        <x:v>C:\Users\Nomatin\Documents\Altium\MY_LIB\MY_LIB\Datasheets\YAGEO_CC_X7R.pdf</x:v>
      </x:c>
      <x:c xmlns:x="http://schemas.openxmlformats.org/spreadsheetml/2006/main" r="W152" t="str" s="11">
        <x:v>Даташит — производитель</x:v>
      </x:c>
      <x:c xmlns:x="http://schemas.openxmlformats.org/spreadsheetml/2006/main" r="X152" t="str" s="11">
        <x:v>https://yageogroup.com/content/datasheet/asset/file/UPY-GPHC_X7R_6_3V-TO-250V</x:v>
      </x:c>
      <x:c xmlns:x="http://schemas.openxmlformats.org/spreadsheetml/2006/main" r="Y152" t="str" s="11">
        <x:v>C:\Users\Nomatin\Documents\Altium\MY_LIB\MY_LIB\Datasheets\YAGEO_CC_X7R.pdf</x:v>
      </x:c>
      <ns0:c xmlns:ns0="http://schemas.openxmlformats.org/spreadsheetml/2006/main" r="Z152" s="11">
        <ns0:v>7.5e-10</ns0:v>
      </ns0:c>
      <ns0:c xmlns:ns0="http://schemas.openxmlformats.org/spreadsheetml/2006/main" r="AA152" s="11">
        <ns0:v>0.025</ns0:v>
      </ns0:c>
      <ns0:c xmlns:ns0="http://schemas.openxmlformats.org/spreadsheetml/2006/main" r="AB152" s="11">
        <ns0:v>1000</ns0:v>
      </ns0:c>
      <ns0:c xmlns:ns0="http://schemas.openxmlformats.org/spreadsheetml/2006/main" r="AC152" s="11">
        <ns0:v>1</ns0:v>
      </ns0:c>
      <ns0:c xmlns:ns0="http://schemas.openxmlformats.org/spreadsheetml/2006/main" r="AD152" s="11">
        <ns0:v>20</ns0:v>
      </ns0:c>
      <ns0:c xmlns:ns0="http://schemas.openxmlformats.org/spreadsheetml/2006/main" r="AE152" s="11">
        <ns0:v>500</ns0:v>
      </ns0:c>
      <ns0:c xmlns:ns0="http://schemas.openxmlformats.org/spreadsheetml/2006/main" r="AF152" s="11">
        <ns0:v>10000000000</ns0:v>
      </ns0:c>
      <ns0:c xmlns:ns0="http://schemas.openxmlformats.org/spreadsheetml/2006/main" r="AG152" s="11">
        <ns0:v>50</ns0:v>
      </ns0:c>
      <ns0:c xmlns:ns0="http://schemas.openxmlformats.org/spreadsheetml/2006/main" r="AH152" s="11">
        <ns0:v>60</ns0:v>
      </ns0:c>
      <ns0:c xmlns:ns0="http://schemas.openxmlformats.org/spreadsheetml/2006/main" r="AI152" s="11">
        <ns0:v>5305.16476972984</ns0:v>
      </ns0:c>
      <ns0:c xmlns:ns0="http://schemas.openxmlformats.org/spreadsheetml/2006/main" r="AJ152" s="11" t="inlineStr">
        <ns0:is>
          <ns0:t>MY_LIB_C_RC</ns0:t>
        </ns0:is>
      </ns0:c>
      <ns0:c xmlns:ns0="http://schemas.openxmlformats.org/spreadsheetml/2006/main" r="AK152" s="11" t="inlineStr">
        <ns0:is>
          <ns0:t>Nominal C; DFmax at 1kHz; minimum insulation; no temperature/bias/ESL</ns0:t>
        </ns0:is>
      </ns0:c>
      <ns0:c xmlns:ns0="http://schemas.openxmlformats.org/spreadsheetml/2006/main" r="AL152" s="11" t="inlineStr">
        <ns0:is>
          <ns0:t>General</ns0:t>
        </ns0:is>
      </ns0:c>
      <ns0:c xmlns:ns0="http://schemas.openxmlformats.org/spreadsheetml/2006/main" r="AM152" s="11" t="inlineStr">
        <ns0:is>
          <ns0:t>Spice Subcircuit</ns0:t>
        </ns0:is>
      </ns0:c>
      <ns0:c xmlns:ns0="http://schemas.openxmlformats.org/spreadsheetml/2006/main" r="AN152" s="11" t="inlineStr">
        <ns0:is>
          <ns0:t>@DESIGNATOR %1 %2 @MODEL PARAMS: Cvalue=7.5e-10 Rsvalue=5305.16476972984 Rinsvalue=10000000000</ns0:t>
        </ns0:is>
      </ns0:c>
      <ns0:c xmlns:ns0="http://schemas.openxmlformats.org/spreadsheetml/2006/main" r="AO152" s="11" t="inlineStr">
        <ns0:is>
          <ns0:t>X</ns0:t>
        </ns0:is>
      </ns0:c>
      <ns0:c xmlns:ns0="http://schemas.openxmlformats.org/spreadsheetml/2006/main" r="AP152" s="11" t="inlineStr">
        <ns0:is>
          <ns0:t>(1:1),(2:2)</ns0:t>
        </ns0:is>
      </ns0:c>
      <ns0:c xmlns:ns0="http://schemas.openxmlformats.org/spreadsheetml/2006/main" r="AQ152" s="11" t="inlineStr">
        <ns0:is>
          <ns0:t>Simulation\Capacitors\MY_LIB_C_RC.ckt</ns0:t>
        </ns0:is>
      </ns0:c>
    </ns0:row>
    <ns0:row r="153" ht="30" customHeight="1">
      <ns0:c r="A153" t="str" s="14">
        <ns0:v>C0154</ns0:v>
      </ns0:c>
      <ns0:c r="B153" t="str" s="14">
        <ns0:v>Конденсатор</ns0:v>
      </ns0:c>
      <ns0:c r="C153" t="str" s="14">
        <ns0:v>820p</ns0:v>
      </ns0:c>
      <ns0:c r="D153" t="str" s="11">
        <ns0:f>SUBSTITUTE(SUBSTITUTE(SUBSTITUTE(SUBSTITUTE(C153,"p"," пФ"),"n"," нФ"),"u"," мкФ"),".",",")</ns0:f>
        <ns0:v>820 пФ</ns0:v>
      </ns0:c>
      <ns0:c r="E153" t="str" s="14">
        <ns0:v>±5%</ns0:v>
      </ns0:c>
      <ns0:c r="F153" s="14"/>
      <ns0:c r="G153" t="str" s="14">
        <ns0:v>50 В</ns0:v>
      </ns0:c>
      <ns0:c r="H153" t="str" s="14">
        <ns0:v>X7R</ns0:v>
      </ns0:c>
      <ns0:c r="I153" t="str" s="15">
        <ns0:v>0603</ns0:v>
      </ns0:c>
      <ns0:c r="J153" t="str" s="14">
        <ns0:v>YAGEO</ns0:v>
      </ns0:c>
      <ns0:c r="K153" t="str" s="14">
        <ns0:v>CC0603JRX7R9BB821</ns0:v>
      </ns0:c>
      <ns0:c r="L153" t="str" s="11">
        <ns0:f>B153&amp;" "&amp;D153&amp;" "&amp;E153&amp;" "&amp;G153&amp;" "&amp;H153&amp;" "&amp;I153</ns0:f>
        <ns0:v>Конденсатор 820 пФ ±5% 50 В X7R 0603</ns0:v>
      </ns0:c>
      <ns0:c r="M153" t="str" s="13">
        <ns0:v>C</ns0:v>
      </ns0:c>
      <ns0:c r="N153" t="str" s="13">
        <ns0:v>Symbols\MY_LIB_Capacitors.SchLib</ns0:v>
      </ns0:c>
      <ns0:c r="O153" t="str" s="13">
        <ns0:v>CAPC1608X90N</ns0:v>
      </ns0:c>
      <ns0:c r="P153" t="str" s="13">
        <ns0:v>Footprints\PBL - SMD Packages.PcbLib</ns0:v>
      </ns0:c>
      <ns0:c r="Q153" t="str" s="14">
        <ns0:v>YAGEO CC; список 20.10.2026</ns0:v>
      </ns0:c>
      <ns0:c r="R153" t="str" s="11">
        <ns0:f>D153</ns0:f>
        <ns0:v>820 пФ</ns0:v>
      </ns0:c>
      <ns0:c r="S153" t="str" s="11">
        <ns0:f>L153</ns0:f>
        <ns0:v>Конденсатор 820 пФ ±5% 50 В X7R 0603</ns0:v>
      </ns0:c>
      <x:c xmlns:x="http://schemas.openxmlformats.org/spreadsheetml/2006/main" r="T153" t="str" s="11">
        <x:v>C:\Users\Nomatin\Documents\Altium\MY_LIB\MY_LIB\Datasheets\YAGEO_CC_X7R.pdf</x:v>
      </x:c>
      <x:c xmlns:x="http://schemas.openxmlformats.org/spreadsheetml/2006/main" r="U153" t="str" s="11">
        <x:v>Даташит — локальный</x:v>
      </x:c>
      <x:c xmlns:x="http://schemas.openxmlformats.org/spreadsheetml/2006/main" r="V153" t="str" s="11">
        <x:v>C:\Users\Nomatin\Documents\Altium\MY_LIB\MY_LIB\Datasheets\YAGEO_CC_X7R.pdf</x:v>
      </x:c>
      <x:c xmlns:x="http://schemas.openxmlformats.org/spreadsheetml/2006/main" r="W153" t="str" s="11">
        <x:v>Даташит — производитель</x:v>
      </x:c>
      <x:c xmlns:x="http://schemas.openxmlformats.org/spreadsheetml/2006/main" r="X153" t="str" s="11">
        <x:v>https://yageogroup.com/content/datasheet/asset/file/UPY-GPHC_X7R_6_3V-TO-250V</x:v>
      </x:c>
      <x:c xmlns:x="http://schemas.openxmlformats.org/spreadsheetml/2006/main" r="Y153" t="str" s="11">
        <x:v>C:\Users\Nomatin\Documents\Altium\MY_LIB\MY_LIB\Datasheets\YAGEO_CC_X7R.pdf</x:v>
      </x:c>
      <ns0:c xmlns:ns0="http://schemas.openxmlformats.org/spreadsheetml/2006/main" r="Z153" s="11">
        <ns0:v>8.2e-10</ns0:v>
      </ns0:c>
      <ns0:c xmlns:ns0="http://schemas.openxmlformats.org/spreadsheetml/2006/main" r="AA153" s="11">
        <ns0:v>0.025</ns0:v>
      </ns0:c>
      <ns0:c xmlns:ns0="http://schemas.openxmlformats.org/spreadsheetml/2006/main" r="AB153" s="11">
        <ns0:v>1000</ns0:v>
      </ns0:c>
      <ns0:c xmlns:ns0="http://schemas.openxmlformats.org/spreadsheetml/2006/main" r="AC153" s="11">
        <ns0:v>1</ns0:v>
      </ns0:c>
      <ns0:c xmlns:ns0="http://schemas.openxmlformats.org/spreadsheetml/2006/main" r="AD153" s="11">
        <ns0:v>20</ns0:v>
      </ns0:c>
      <ns0:c xmlns:ns0="http://schemas.openxmlformats.org/spreadsheetml/2006/main" r="AE153" s="11">
        <ns0:v>500</ns0:v>
      </ns0:c>
      <ns0:c xmlns:ns0="http://schemas.openxmlformats.org/spreadsheetml/2006/main" r="AF153" s="11">
        <ns0:v>10000000000</ns0:v>
      </ns0:c>
      <ns0:c xmlns:ns0="http://schemas.openxmlformats.org/spreadsheetml/2006/main" r="AG153" s="11">
        <ns0:v>50</ns0:v>
      </ns0:c>
      <ns0:c xmlns:ns0="http://schemas.openxmlformats.org/spreadsheetml/2006/main" r="AH153" s="11">
        <ns0:v>60</ns0:v>
      </ns0:c>
      <ns0:c xmlns:ns0="http://schemas.openxmlformats.org/spreadsheetml/2006/main" r="AI153" s="11">
        <ns0:v>4852.28485036266</ns0:v>
      </ns0:c>
      <ns0:c xmlns:ns0="http://schemas.openxmlformats.org/spreadsheetml/2006/main" r="AJ153" s="11" t="inlineStr">
        <ns0:is>
          <ns0:t>MY_LIB_C_RC</ns0:t>
        </ns0:is>
      </ns0:c>
      <ns0:c xmlns:ns0="http://schemas.openxmlformats.org/spreadsheetml/2006/main" r="AK153" s="11" t="inlineStr">
        <ns0:is>
          <ns0:t>Nominal C; DFmax at 1kHz; minimum insulation; no temperature/bias/ESL</ns0:t>
        </ns0:is>
      </ns0:c>
      <ns0:c xmlns:ns0="http://schemas.openxmlformats.org/spreadsheetml/2006/main" r="AL153" s="11" t="inlineStr">
        <ns0:is>
          <ns0:t>General</ns0:t>
        </ns0:is>
      </ns0:c>
      <ns0:c xmlns:ns0="http://schemas.openxmlformats.org/spreadsheetml/2006/main" r="AM153" s="11" t="inlineStr">
        <ns0:is>
          <ns0:t>Spice Subcircuit</ns0:t>
        </ns0:is>
      </ns0:c>
      <ns0:c xmlns:ns0="http://schemas.openxmlformats.org/spreadsheetml/2006/main" r="AN153" s="11" t="inlineStr">
        <ns0:is>
          <ns0:t>@DESIGNATOR %1 %2 @MODEL PARAMS: Cvalue=8.2e-10 Rsvalue=4852.28485036266 Rinsvalue=10000000000</ns0:t>
        </ns0:is>
      </ns0:c>
      <ns0:c xmlns:ns0="http://schemas.openxmlformats.org/spreadsheetml/2006/main" r="AO153" s="11" t="inlineStr">
        <ns0:is>
          <ns0:t>X</ns0:t>
        </ns0:is>
      </ns0:c>
      <ns0:c xmlns:ns0="http://schemas.openxmlformats.org/spreadsheetml/2006/main" r="AP153" s="11" t="inlineStr">
        <ns0:is>
          <ns0:t>(1:1),(2:2)</ns0:t>
        </ns0:is>
      </ns0:c>
      <ns0:c xmlns:ns0="http://schemas.openxmlformats.org/spreadsheetml/2006/main" r="AQ153" s="11" t="inlineStr">
        <ns0:is>
          <ns0:t>Simulation\Capacitors\MY_LIB_C_RC.ckt</ns0:t>
        </ns0:is>
      </ns0:c>
    </ns0:row>
    <ns0:row r="154" ht="30" customHeight="1">
      <ns0:c r="A154" t="str" s="14">
        <ns0:v>C0155</ns0:v>
      </ns0:c>
      <ns0:c r="B154" t="str" s="14">
        <ns0:v>Конденсатор</ns0:v>
      </ns0:c>
      <ns0:c r="C154" t="str" s="14">
        <ns0:v>1n</ns0:v>
      </ns0:c>
      <ns0:c r="D154" t="str" s="11">
        <ns0:f>SUBSTITUTE(SUBSTITUTE(SUBSTITUTE(SUBSTITUTE(C154,"p"," пФ"),"n"," нФ"),"u"," мкФ"),".",",")</ns0:f>
        <ns0:v>1 нФ</ns0:v>
      </ns0:c>
      <ns0:c r="E154" t="str" s="14">
        <ns0:v>±5%</ns0:v>
      </ns0:c>
      <ns0:c r="F154" s="14"/>
      <ns0:c r="G154" t="str" s="14">
        <ns0:v>100 В</ns0:v>
      </ns0:c>
      <ns0:c r="H154" t="str" s="14">
        <ns0:v>X7R</ns0:v>
      </ns0:c>
      <ns0:c r="I154" t="str" s="15">
        <ns0:v>0603</ns0:v>
      </ns0:c>
      <ns0:c r="J154" t="str" s="14">
        <ns0:v>YAGEO</ns0:v>
      </ns0:c>
      <ns0:c r="K154" t="str" s="14">
        <ns0:v>CC0603JRX7R0BB102</ns0:v>
      </ns0:c>
      <ns0:c r="L154" t="str" s="11">
        <ns0:f>B154&amp;" "&amp;D154&amp;" "&amp;E154&amp;" "&amp;G154&amp;" "&amp;H154&amp;" "&amp;I154</ns0:f>
        <ns0:v>Конденсатор 1 нФ ±5% 100 В X7R 0603</ns0:v>
      </ns0:c>
      <ns0:c r="M154" t="str" s="13">
        <ns0:v>C</ns0:v>
      </ns0:c>
      <ns0:c r="N154" t="str" s="13">
        <ns0:v>Symbols\MY_LIB_Capacitors.SchLib</ns0:v>
      </ns0:c>
      <ns0:c r="O154" t="str" s="13">
        <ns0:v>CAPC1608X90N</ns0:v>
      </ns0:c>
      <ns0:c r="P154" t="str" s="13">
        <ns0:v>Footprints\PBL - SMD Packages.PcbLib</ns0:v>
      </ns0:c>
      <ns0:c r="Q154" t="str" s="14">
        <ns0:v>YAGEO CC; список 20.10.2026</ns0:v>
      </ns0:c>
      <ns0:c r="R154" t="str" s="11">
        <ns0:f>D154</ns0:f>
        <ns0:v>1 нФ</ns0:v>
      </ns0:c>
      <ns0:c r="S154" t="str" s="11">
        <ns0:f>L154</ns0:f>
        <ns0:v>Конденсатор 1 нФ ±5% 100 В X7R 0603</ns0:v>
      </ns0:c>
      <x:c xmlns:x="http://schemas.openxmlformats.org/spreadsheetml/2006/main" r="T154" t="str" s="11">
        <x:v>C:\Users\Nomatin\Documents\Altium\MY_LIB\MY_LIB\Datasheets\YAGEO_CC_X7R.pdf</x:v>
      </x:c>
      <x:c xmlns:x="http://schemas.openxmlformats.org/spreadsheetml/2006/main" r="U154" t="str" s="11">
        <x:v>Даташит — локальный</x:v>
      </x:c>
      <x:c xmlns:x="http://schemas.openxmlformats.org/spreadsheetml/2006/main" r="V154" t="str" s="11">
        <x:v>C:\Users\Nomatin\Documents\Altium\MY_LIB\MY_LIB\Datasheets\YAGEO_CC_X7R.pdf</x:v>
      </x:c>
      <x:c xmlns:x="http://schemas.openxmlformats.org/spreadsheetml/2006/main" r="W154" t="str" s="11">
        <x:v>Даташит — производитель</x:v>
      </x:c>
      <x:c xmlns:x="http://schemas.openxmlformats.org/spreadsheetml/2006/main" r="X154" t="str" s="11">
        <x:v>https://yageogroup.com/content/datasheet/asset/file/UPY-GPHC_X7R_6_3V-TO-250V</x:v>
      </x:c>
      <x:c xmlns:x="http://schemas.openxmlformats.org/spreadsheetml/2006/main" r="Y154" t="str" s="11">
        <x:v>C:\Users\Nomatin\Documents\Altium\MY_LIB\MY_LIB\Datasheets\YAGEO_CC_X7R.pdf</x:v>
      </x:c>
      <ns0:c xmlns:ns0="http://schemas.openxmlformats.org/spreadsheetml/2006/main" r="Z154" s="11">
        <ns0:v>1e-09</ns0:v>
      </ns0:c>
      <ns0:c xmlns:ns0="http://schemas.openxmlformats.org/spreadsheetml/2006/main" r="AA154" s="11">
        <ns0:v>0.025</ns0:v>
      </ns0:c>
      <ns0:c xmlns:ns0="http://schemas.openxmlformats.org/spreadsheetml/2006/main" r="AB154" s="11">
        <ns0:v>1000</ns0:v>
      </ns0:c>
      <ns0:c xmlns:ns0="http://schemas.openxmlformats.org/spreadsheetml/2006/main" r="AC154" s="11">
        <ns0:v>1</ns0:v>
      </ns0:c>
      <ns0:c xmlns:ns0="http://schemas.openxmlformats.org/spreadsheetml/2006/main" r="AD154" s="11">
        <ns0:v>20</ns0:v>
      </ns0:c>
      <ns0:c xmlns:ns0="http://schemas.openxmlformats.org/spreadsheetml/2006/main" r="AE154" s="11">
        <ns0:v>500</ns0:v>
      </ns0:c>
      <ns0:c xmlns:ns0="http://schemas.openxmlformats.org/spreadsheetml/2006/main" r="AF154" s="11">
        <ns0:v>10000000000</ns0:v>
      </ns0:c>
      <ns0:c xmlns:ns0="http://schemas.openxmlformats.org/spreadsheetml/2006/main" r="AG154" s="11">
        <ns0:v>100</ns0:v>
      </ns0:c>
      <ns0:c xmlns:ns0="http://schemas.openxmlformats.org/spreadsheetml/2006/main" r="AH154" s="11">
        <ns0:v>60</ns0:v>
      </ns0:c>
      <ns0:c xmlns:ns0="http://schemas.openxmlformats.org/spreadsheetml/2006/main" r="AI154" s="11">
        <ns0:v>3978.87357729738</ns0:v>
      </ns0:c>
      <ns0:c xmlns:ns0="http://schemas.openxmlformats.org/spreadsheetml/2006/main" r="AJ154" s="11" t="inlineStr">
        <ns0:is>
          <ns0:t>MY_LIB_C_RC</ns0:t>
        </ns0:is>
      </ns0:c>
      <ns0:c xmlns:ns0="http://schemas.openxmlformats.org/spreadsheetml/2006/main" r="AK154" s="11" t="inlineStr">
        <ns0:is>
          <ns0:t>Nominal C; DFmax at 1kHz; minimum insulation; no temperature/bias/ESL</ns0:t>
        </ns0:is>
      </ns0:c>
      <ns0:c xmlns:ns0="http://schemas.openxmlformats.org/spreadsheetml/2006/main" r="AL154" s="11" t="inlineStr">
        <ns0:is>
          <ns0:t>General</ns0:t>
        </ns0:is>
      </ns0:c>
      <ns0:c xmlns:ns0="http://schemas.openxmlformats.org/spreadsheetml/2006/main" r="AM154" s="11" t="inlineStr">
        <ns0:is>
          <ns0:t>Spice Subcircuit</ns0:t>
        </ns0:is>
      </ns0:c>
      <ns0:c xmlns:ns0="http://schemas.openxmlformats.org/spreadsheetml/2006/main" r="AN154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154" s="11" t="inlineStr">
        <ns0:is>
          <ns0:t>X</ns0:t>
        </ns0:is>
      </ns0:c>
      <ns0:c xmlns:ns0="http://schemas.openxmlformats.org/spreadsheetml/2006/main" r="AP154" s="11" t="inlineStr">
        <ns0:is>
          <ns0:t>(1:1),(2:2)</ns0:t>
        </ns0:is>
      </ns0:c>
      <ns0:c xmlns:ns0="http://schemas.openxmlformats.org/spreadsheetml/2006/main" r="AQ154" s="11" t="inlineStr">
        <ns0:is>
          <ns0:t>Simulation\Capacitors\MY_LIB_C_RC.ckt</ns0:t>
        </ns0:is>
      </ns0:c>
    </ns0:row>
    <ns0:row r="155" ht="30" customHeight="1">
      <ns0:c r="A155" t="str" s="14">
        <ns0:v>C0156</ns0:v>
      </ns0:c>
      <ns0:c r="B155" t="str" s="14">
        <ns0:v>Конденсатор</ns0:v>
      </ns0:c>
      <ns0:c r="C155" t="str" s="14">
        <ns0:v>1.2n</ns0:v>
      </ns0:c>
      <ns0:c r="D155" t="str" s="11">
        <ns0:f>SUBSTITUTE(SUBSTITUTE(SUBSTITUTE(SUBSTITUTE(C155,"p"," пФ"),"n"," нФ"),"u"," мкФ"),".",",")</ns0:f>
        <ns0:v>1,2 нФ</ns0:v>
      </ns0:c>
      <ns0:c r="E155" t="str" s="14">
        <ns0:v>±5%</ns0:v>
      </ns0:c>
      <ns0:c r="F155" s="14"/>
      <ns0:c r="G155" t="str" s="14">
        <ns0:v>50 В</ns0:v>
      </ns0:c>
      <ns0:c r="H155" t="str" s="14">
        <ns0:v>X7R</ns0:v>
      </ns0:c>
      <ns0:c r="I155" t="str" s="15">
        <ns0:v>0603</ns0:v>
      </ns0:c>
      <ns0:c r="J155" t="str" s="14">
        <ns0:v>YAGEO</ns0:v>
      </ns0:c>
      <ns0:c r="K155" t="str" s="14">
        <ns0:v>CC0603JRX7R9BB122</ns0:v>
      </ns0:c>
      <ns0:c r="L155" t="str" s="11">
        <ns0:f>B155&amp;" "&amp;D155&amp;" "&amp;E155&amp;" "&amp;G155&amp;" "&amp;H155&amp;" "&amp;I155</ns0:f>
        <ns0:v>Конденсатор 1,2 нФ ±5% 50 В X7R 0603</ns0:v>
      </ns0:c>
      <ns0:c r="M155" t="str" s="13">
        <ns0:v>C</ns0:v>
      </ns0:c>
      <ns0:c r="N155" t="str" s="13">
        <ns0:v>Symbols\MY_LIB_Capacitors.SchLib</ns0:v>
      </ns0:c>
      <ns0:c r="O155" t="str" s="13">
        <ns0:v>CAPC1608X90N</ns0:v>
      </ns0:c>
      <ns0:c r="P155" t="str" s="13">
        <ns0:v>Footprints\PBL - SMD Packages.PcbLib</ns0:v>
      </ns0:c>
      <ns0:c r="Q155" t="str" s="14">
        <ns0:v>YAGEO CC; список 20.10.2026</ns0:v>
      </ns0:c>
      <ns0:c r="R155" t="str" s="11">
        <ns0:f>D155</ns0:f>
        <ns0:v>1,2 нФ</ns0:v>
      </ns0:c>
      <ns0:c r="S155" t="str" s="11">
        <ns0:f>L155</ns0:f>
        <ns0:v>Конденсатор 1,2 нФ ±5% 50 В X7R 0603</ns0:v>
      </ns0:c>
      <x:c xmlns:x="http://schemas.openxmlformats.org/spreadsheetml/2006/main" r="T155" t="str" s="11">
        <x:v>C:\Users\Nomatin\Documents\Altium\MY_LIB\MY_LIB\Datasheets\YAGEO_CC_X7R.pdf</x:v>
      </x:c>
      <x:c xmlns:x="http://schemas.openxmlformats.org/spreadsheetml/2006/main" r="U155" t="str" s="11">
        <x:v>Даташит — локальный</x:v>
      </x:c>
      <x:c xmlns:x="http://schemas.openxmlformats.org/spreadsheetml/2006/main" r="V155" t="str" s="11">
        <x:v>C:\Users\Nomatin\Documents\Altium\MY_LIB\MY_LIB\Datasheets\YAGEO_CC_X7R.pdf</x:v>
      </x:c>
      <x:c xmlns:x="http://schemas.openxmlformats.org/spreadsheetml/2006/main" r="W155" t="str" s="11">
        <x:v>Даташит — производитель</x:v>
      </x:c>
      <x:c xmlns:x="http://schemas.openxmlformats.org/spreadsheetml/2006/main" r="X155" t="str" s="11">
        <x:v>https://yageogroup.com/content/datasheet/asset/file/UPY-GPHC_X7R_6_3V-TO-250V</x:v>
      </x:c>
      <x:c xmlns:x="http://schemas.openxmlformats.org/spreadsheetml/2006/main" r="Y155" t="str" s="11">
        <x:v>C:\Users\Nomatin\Documents\Altium\MY_LIB\MY_LIB\Datasheets\YAGEO_CC_X7R.pdf</x:v>
      </x:c>
      <ns0:c xmlns:ns0="http://schemas.openxmlformats.org/spreadsheetml/2006/main" r="Z155" s="11">
        <ns0:v>1.2e-09</ns0:v>
      </ns0:c>
      <ns0:c xmlns:ns0="http://schemas.openxmlformats.org/spreadsheetml/2006/main" r="AA155" s="11">
        <ns0:v>0.025</ns0:v>
      </ns0:c>
      <ns0:c xmlns:ns0="http://schemas.openxmlformats.org/spreadsheetml/2006/main" r="AB155" s="11">
        <ns0:v>1000</ns0:v>
      </ns0:c>
      <ns0:c xmlns:ns0="http://schemas.openxmlformats.org/spreadsheetml/2006/main" r="AC155" s="11">
        <ns0:v>1</ns0:v>
      </ns0:c>
      <ns0:c xmlns:ns0="http://schemas.openxmlformats.org/spreadsheetml/2006/main" r="AD155" s="11">
        <ns0:v>20</ns0:v>
      </ns0:c>
      <ns0:c xmlns:ns0="http://schemas.openxmlformats.org/spreadsheetml/2006/main" r="AE155" s="11">
        <ns0:v>500</ns0:v>
      </ns0:c>
      <ns0:c xmlns:ns0="http://schemas.openxmlformats.org/spreadsheetml/2006/main" r="AF155" s="11">
        <ns0:v>10000000000</ns0:v>
      </ns0:c>
      <ns0:c xmlns:ns0="http://schemas.openxmlformats.org/spreadsheetml/2006/main" r="AG155" s="11">
        <ns0:v>50</ns0:v>
      </ns0:c>
      <ns0:c xmlns:ns0="http://schemas.openxmlformats.org/spreadsheetml/2006/main" r="AH155" s="11">
        <ns0:v>60</ns0:v>
      </ns0:c>
      <ns0:c xmlns:ns0="http://schemas.openxmlformats.org/spreadsheetml/2006/main" r="AI155" s="11">
        <ns0:v>3315.72798108115</ns0:v>
      </ns0:c>
      <ns0:c xmlns:ns0="http://schemas.openxmlformats.org/spreadsheetml/2006/main" r="AJ155" s="11" t="inlineStr">
        <ns0:is>
          <ns0:t>MY_LIB_C_RC</ns0:t>
        </ns0:is>
      </ns0:c>
      <ns0:c xmlns:ns0="http://schemas.openxmlformats.org/spreadsheetml/2006/main" r="AK155" s="11" t="inlineStr">
        <ns0:is>
          <ns0:t>Nominal C; DFmax at 1kHz; minimum insulation; no temperature/bias/ESL</ns0:t>
        </ns0:is>
      </ns0:c>
      <ns0:c xmlns:ns0="http://schemas.openxmlformats.org/spreadsheetml/2006/main" r="AL155" s="11" t="inlineStr">
        <ns0:is>
          <ns0:t>General</ns0:t>
        </ns0:is>
      </ns0:c>
      <ns0:c xmlns:ns0="http://schemas.openxmlformats.org/spreadsheetml/2006/main" r="AM155" s="11" t="inlineStr">
        <ns0:is>
          <ns0:t>Spice Subcircuit</ns0:t>
        </ns0:is>
      </ns0:c>
      <ns0:c xmlns:ns0="http://schemas.openxmlformats.org/spreadsheetml/2006/main" r="AN155" s="11" t="inlineStr">
        <ns0:is>
          <ns0:t>@DESIGNATOR %1 %2 @MODEL PARAMS: Cvalue=1.2e-09 Rsvalue=3315.72798108115 Rinsvalue=10000000000</ns0:t>
        </ns0:is>
      </ns0:c>
      <ns0:c xmlns:ns0="http://schemas.openxmlformats.org/spreadsheetml/2006/main" r="AO155" s="11" t="inlineStr">
        <ns0:is>
          <ns0:t>X</ns0:t>
        </ns0:is>
      </ns0:c>
      <ns0:c xmlns:ns0="http://schemas.openxmlformats.org/spreadsheetml/2006/main" r="AP155" s="11" t="inlineStr">
        <ns0:is>
          <ns0:t>(1:1),(2:2)</ns0:t>
        </ns0:is>
      </ns0:c>
      <ns0:c xmlns:ns0="http://schemas.openxmlformats.org/spreadsheetml/2006/main" r="AQ155" s="11" t="inlineStr">
        <ns0:is>
          <ns0:t>Simulation\Capacitors\MY_LIB_C_RC.ckt</ns0:t>
        </ns0:is>
      </ns0:c>
    </ns0:row>
    <ns0:row r="156" ht="30" customHeight="1">
      <ns0:c r="A156" t="str" s="14">
        <ns0:v>C0157</ns0:v>
      </ns0:c>
      <ns0:c r="B156" t="str" s="14">
        <ns0:v>Конденсатор</ns0:v>
      </ns0:c>
      <ns0:c r="C156" t="str" s="14">
        <ns0:v>1.5n</ns0:v>
      </ns0:c>
      <ns0:c r="D156" t="str" s="11">
        <ns0:f>SUBSTITUTE(SUBSTITUTE(SUBSTITUTE(SUBSTITUTE(C156,"p"," пФ"),"n"," нФ"),"u"," мкФ"),".",",")</ns0:f>
        <ns0:v>1,5 нФ</ns0:v>
      </ns0:c>
      <ns0:c r="E156" t="str" s="14">
        <ns0:v>±5%</ns0:v>
      </ns0:c>
      <ns0:c r="F156" s="14"/>
      <ns0:c r="G156" t="str" s="14">
        <ns0:v>100 В</ns0:v>
      </ns0:c>
      <ns0:c r="H156" t="str" s="14">
        <ns0:v>X7R</ns0:v>
      </ns0:c>
      <ns0:c r="I156" t="str" s="15">
        <ns0:v>0603</ns0:v>
      </ns0:c>
      <ns0:c r="J156" t="str" s="14">
        <ns0:v>YAGEO</ns0:v>
      </ns0:c>
      <ns0:c r="K156" t="str" s="14">
        <ns0:v>CC0603JRX7R0BB152</ns0:v>
      </ns0:c>
      <ns0:c r="L156" t="str" s="11">
        <ns0:f>B156&amp;" "&amp;D156&amp;" "&amp;E156&amp;" "&amp;G156&amp;" "&amp;H156&amp;" "&amp;I156</ns0:f>
        <ns0:v>Конденсатор 1,5 нФ ±5% 100 В X7R 0603</ns0:v>
      </ns0:c>
      <ns0:c r="M156" t="str" s="13">
        <ns0:v>C</ns0:v>
      </ns0:c>
      <ns0:c r="N156" t="str" s="13">
        <ns0:v>Symbols\MY_LIB_Capacitors.SchLib</ns0:v>
      </ns0:c>
      <ns0:c r="O156" t="str" s="13">
        <ns0:v>CAPC1608X90N</ns0:v>
      </ns0:c>
      <ns0:c r="P156" t="str" s="13">
        <ns0:v>Footprints\PBL - SMD Packages.PcbLib</ns0:v>
      </ns0:c>
      <ns0:c r="Q156" t="str" s="14">
        <ns0:v>YAGEO CC; список 20.10.2026</ns0:v>
      </ns0:c>
      <ns0:c r="R156" t="str" s="11">
        <ns0:f>D156</ns0:f>
        <ns0:v>1,5 нФ</ns0:v>
      </ns0:c>
      <ns0:c r="S156" t="str" s="11">
        <ns0:f>L156</ns0:f>
        <ns0:v>Конденсатор 1,5 нФ ±5% 100 В X7R 0603</ns0:v>
      </ns0:c>
      <x:c xmlns:x="http://schemas.openxmlformats.org/spreadsheetml/2006/main" r="T156" t="str" s="11">
        <x:v>C:\Users\Nomatin\Documents\Altium\MY_LIB\MY_LIB\Datasheets\YAGEO_CC_X7R.pdf</x:v>
      </x:c>
      <x:c xmlns:x="http://schemas.openxmlformats.org/spreadsheetml/2006/main" r="U156" t="str" s="11">
        <x:v>Даташит — локальный</x:v>
      </x:c>
      <x:c xmlns:x="http://schemas.openxmlformats.org/spreadsheetml/2006/main" r="V156" t="str" s="11">
        <x:v>C:\Users\Nomatin\Documents\Altium\MY_LIB\MY_LIB\Datasheets\YAGEO_CC_X7R.pdf</x:v>
      </x:c>
      <x:c xmlns:x="http://schemas.openxmlformats.org/spreadsheetml/2006/main" r="W156" t="str" s="11">
        <x:v>Даташит — производитель</x:v>
      </x:c>
      <x:c xmlns:x="http://schemas.openxmlformats.org/spreadsheetml/2006/main" r="X156" t="str" s="11">
        <x:v>https://yageogroup.com/content/datasheet/asset/file/UPY-GPHC_X7R_6_3V-TO-250V</x:v>
      </x:c>
      <x:c xmlns:x="http://schemas.openxmlformats.org/spreadsheetml/2006/main" r="Y156" t="str" s="11">
        <x:v>C:\Users\Nomatin\Documents\Altium\MY_LIB\MY_LIB\Datasheets\YAGEO_CC_X7R.pdf</x:v>
      </x:c>
      <ns0:c xmlns:ns0="http://schemas.openxmlformats.org/spreadsheetml/2006/main" r="Z156" s="11">
        <ns0:v>1.5e-09</ns0:v>
      </ns0:c>
      <ns0:c xmlns:ns0="http://schemas.openxmlformats.org/spreadsheetml/2006/main" r="AA156" s="11">
        <ns0:v>0.025</ns0:v>
      </ns0:c>
      <ns0:c xmlns:ns0="http://schemas.openxmlformats.org/spreadsheetml/2006/main" r="AB156" s="11">
        <ns0:v>1000</ns0:v>
      </ns0:c>
      <ns0:c xmlns:ns0="http://schemas.openxmlformats.org/spreadsheetml/2006/main" r="AC156" s="11">
        <ns0:v>1</ns0:v>
      </ns0:c>
      <ns0:c xmlns:ns0="http://schemas.openxmlformats.org/spreadsheetml/2006/main" r="AD156" s="11">
        <ns0:v>20</ns0:v>
      </ns0:c>
      <ns0:c xmlns:ns0="http://schemas.openxmlformats.org/spreadsheetml/2006/main" r="AE156" s="11">
        <ns0:v>500</ns0:v>
      </ns0:c>
      <ns0:c xmlns:ns0="http://schemas.openxmlformats.org/spreadsheetml/2006/main" r="AF156" s="11">
        <ns0:v>10000000000</ns0:v>
      </ns0:c>
      <ns0:c xmlns:ns0="http://schemas.openxmlformats.org/spreadsheetml/2006/main" r="AG156" s="11">
        <ns0:v>100</ns0:v>
      </ns0:c>
      <ns0:c xmlns:ns0="http://schemas.openxmlformats.org/spreadsheetml/2006/main" r="AH156" s="11">
        <ns0:v>60</ns0:v>
      </ns0:c>
      <ns0:c xmlns:ns0="http://schemas.openxmlformats.org/spreadsheetml/2006/main" r="AI156" s="11">
        <ns0:v>2652.58238486492</ns0:v>
      </ns0:c>
      <ns0:c xmlns:ns0="http://schemas.openxmlformats.org/spreadsheetml/2006/main" r="AJ156" s="11" t="inlineStr">
        <ns0:is>
          <ns0:t>MY_LIB_C_RC</ns0:t>
        </ns0:is>
      </ns0:c>
      <ns0:c xmlns:ns0="http://schemas.openxmlformats.org/spreadsheetml/2006/main" r="AK156" s="11" t="inlineStr">
        <ns0:is>
          <ns0:t>Nominal C; DFmax at 1kHz; minimum insulation; no temperature/bias/ESL</ns0:t>
        </ns0:is>
      </ns0:c>
      <ns0:c xmlns:ns0="http://schemas.openxmlformats.org/spreadsheetml/2006/main" r="AL156" s="11" t="inlineStr">
        <ns0:is>
          <ns0:t>General</ns0:t>
        </ns0:is>
      </ns0:c>
      <ns0:c xmlns:ns0="http://schemas.openxmlformats.org/spreadsheetml/2006/main" r="AM156" s="11" t="inlineStr">
        <ns0:is>
          <ns0:t>Spice Subcircuit</ns0:t>
        </ns0:is>
      </ns0:c>
      <ns0:c xmlns:ns0="http://schemas.openxmlformats.org/spreadsheetml/2006/main" r="AN156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156" s="11" t="inlineStr">
        <ns0:is>
          <ns0:t>X</ns0:t>
        </ns0:is>
      </ns0:c>
      <ns0:c xmlns:ns0="http://schemas.openxmlformats.org/spreadsheetml/2006/main" r="AP156" s="11" t="inlineStr">
        <ns0:is>
          <ns0:t>(1:1),(2:2)</ns0:t>
        </ns0:is>
      </ns0:c>
      <ns0:c xmlns:ns0="http://schemas.openxmlformats.org/spreadsheetml/2006/main" r="AQ156" s="11" t="inlineStr">
        <ns0:is>
          <ns0:t>Simulation\Capacitors\MY_LIB_C_RC.ckt</ns0:t>
        </ns0:is>
      </ns0:c>
    </ns0:row>
    <ns0:row r="157" ht="30" customHeight="1">
      <ns0:c r="A157" t="str" s="14">
        <ns0:v>C0158</ns0:v>
      </ns0:c>
      <ns0:c r="B157" t="str" s="14">
        <ns0:v>Конденсатор</ns0:v>
      </ns0:c>
      <ns0:c r="C157" t="str" s="14">
        <ns0:v>1.8n</ns0:v>
      </ns0:c>
      <ns0:c r="D157" t="str" s="11">
        <ns0:f>SUBSTITUTE(SUBSTITUTE(SUBSTITUTE(SUBSTITUTE(C157,"p"," пФ"),"n"," нФ"),"u"," мкФ"),".",",")</ns0:f>
        <ns0:v>1,8 нФ</ns0:v>
      </ns0:c>
      <ns0:c r="E157" t="str" s="14">
        <ns0:v>±5%</ns0:v>
      </ns0:c>
      <ns0:c r="F157" s="14"/>
      <ns0:c r="G157" t="str" s="14">
        <ns0:v>100 В</ns0:v>
      </ns0:c>
      <ns0:c r="H157" t="str" s="14">
        <ns0:v>X7R</ns0:v>
      </ns0:c>
      <ns0:c r="I157" t="str" s="15">
        <ns0:v>0603</ns0:v>
      </ns0:c>
      <ns0:c r="J157" t="str" s="14">
        <ns0:v>YAGEO</ns0:v>
      </ns0:c>
      <ns0:c r="K157" t="str" s="14">
        <ns0:v>CC0603JRX7R0BB182</ns0:v>
      </ns0:c>
      <ns0:c r="L157" t="str" s="11">
        <ns0:f>B157&amp;" "&amp;D157&amp;" "&amp;E157&amp;" "&amp;G157&amp;" "&amp;H157&amp;" "&amp;I157</ns0:f>
        <ns0:v>Конденсатор 1,8 нФ ±5% 100 В X7R 0603</ns0:v>
      </ns0:c>
      <ns0:c r="M157" t="str" s="13">
        <ns0:v>C</ns0:v>
      </ns0:c>
      <ns0:c r="N157" t="str" s="13">
        <ns0:v>Symbols\MY_LIB_Capacitors.SchLib</ns0:v>
      </ns0:c>
      <ns0:c r="O157" t="str" s="13">
        <ns0:v>CAPC1608X90N</ns0:v>
      </ns0:c>
      <ns0:c r="P157" t="str" s="13">
        <ns0:v>Footprints\PBL - SMD Packages.PcbLib</ns0:v>
      </ns0:c>
      <ns0:c r="Q157" t="str" s="14">
        <ns0:v>YAGEO CC; список 20.10.2026</ns0:v>
      </ns0:c>
      <ns0:c r="R157" t="str" s="11">
        <ns0:f>D157</ns0:f>
        <ns0:v>1,8 нФ</ns0:v>
      </ns0:c>
      <ns0:c r="S157" t="str" s="11">
        <ns0:f>L157</ns0:f>
        <ns0:v>Конденсатор 1,8 нФ ±5% 100 В X7R 0603</ns0:v>
      </ns0:c>
      <x:c xmlns:x="http://schemas.openxmlformats.org/spreadsheetml/2006/main" r="T157" t="str" s="11">
        <x:v>C:\Users\Nomatin\Documents\Altium\MY_LIB\MY_LIB\Datasheets\YAGEO_CC_X7R.pdf</x:v>
      </x:c>
      <x:c xmlns:x="http://schemas.openxmlformats.org/spreadsheetml/2006/main" r="U157" t="str" s="11">
        <x:v>Даташит — локальный</x:v>
      </x:c>
      <x:c xmlns:x="http://schemas.openxmlformats.org/spreadsheetml/2006/main" r="V157" t="str" s="11">
        <x:v>C:\Users\Nomatin\Documents\Altium\MY_LIB\MY_LIB\Datasheets\YAGEO_CC_X7R.pdf</x:v>
      </x:c>
      <x:c xmlns:x="http://schemas.openxmlformats.org/spreadsheetml/2006/main" r="W157" t="str" s="11">
        <x:v>Даташит — производитель</x:v>
      </x:c>
      <x:c xmlns:x="http://schemas.openxmlformats.org/spreadsheetml/2006/main" r="X157" t="str" s="11">
        <x:v>https://yageogroup.com/content/datasheet/asset/file/UPY-GPHC_X7R_6_3V-TO-250V</x:v>
      </x:c>
      <x:c xmlns:x="http://schemas.openxmlformats.org/spreadsheetml/2006/main" r="Y157" t="str" s="11">
        <x:v>C:\Users\Nomatin\Documents\Altium\MY_LIB\MY_LIB\Datasheets\YAGEO_CC_X7R.pdf</x:v>
      </x:c>
      <ns0:c xmlns:ns0="http://schemas.openxmlformats.org/spreadsheetml/2006/main" r="Z157" s="11">
        <ns0:v>1.8e-09</ns0:v>
      </ns0:c>
      <ns0:c xmlns:ns0="http://schemas.openxmlformats.org/spreadsheetml/2006/main" r="AA157" s="11">
        <ns0:v>0.025</ns0:v>
      </ns0:c>
      <ns0:c xmlns:ns0="http://schemas.openxmlformats.org/spreadsheetml/2006/main" r="AB157" s="11">
        <ns0:v>1000</ns0:v>
      </ns0:c>
      <ns0:c xmlns:ns0="http://schemas.openxmlformats.org/spreadsheetml/2006/main" r="AC157" s="11">
        <ns0:v>1</ns0:v>
      </ns0:c>
      <ns0:c xmlns:ns0="http://schemas.openxmlformats.org/spreadsheetml/2006/main" r="AD157" s="11">
        <ns0:v>20</ns0:v>
      </ns0:c>
      <ns0:c xmlns:ns0="http://schemas.openxmlformats.org/spreadsheetml/2006/main" r="AE157" s="11">
        <ns0:v>500</ns0:v>
      </ns0:c>
      <ns0:c xmlns:ns0="http://schemas.openxmlformats.org/spreadsheetml/2006/main" r="AF157" s="11">
        <ns0:v>10000000000</ns0:v>
      </ns0:c>
      <ns0:c xmlns:ns0="http://schemas.openxmlformats.org/spreadsheetml/2006/main" r="AG157" s="11">
        <ns0:v>100</ns0:v>
      </ns0:c>
      <ns0:c xmlns:ns0="http://schemas.openxmlformats.org/spreadsheetml/2006/main" r="AH157" s="11">
        <ns0:v>60</ns0:v>
      </ns0:c>
      <ns0:c xmlns:ns0="http://schemas.openxmlformats.org/spreadsheetml/2006/main" r="AI157" s="11">
        <ns0:v>2210.48532072077</ns0:v>
      </ns0:c>
      <ns0:c xmlns:ns0="http://schemas.openxmlformats.org/spreadsheetml/2006/main" r="AJ157" s="11" t="inlineStr">
        <ns0:is>
          <ns0:t>MY_LIB_C_RC</ns0:t>
        </ns0:is>
      </ns0:c>
      <ns0:c xmlns:ns0="http://schemas.openxmlformats.org/spreadsheetml/2006/main" r="AK157" s="11" t="inlineStr">
        <ns0:is>
          <ns0:t>Nominal C; DFmax at 1kHz; minimum insulation; no temperature/bias/ESL</ns0:t>
        </ns0:is>
      </ns0:c>
      <ns0:c xmlns:ns0="http://schemas.openxmlformats.org/spreadsheetml/2006/main" r="AL157" s="11" t="inlineStr">
        <ns0:is>
          <ns0:t>General</ns0:t>
        </ns0:is>
      </ns0:c>
      <ns0:c xmlns:ns0="http://schemas.openxmlformats.org/spreadsheetml/2006/main" r="AM157" s="11" t="inlineStr">
        <ns0:is>
          <ns0:t>Spice Subcircuit</ns0:t>
        </ns0:is>
      </ns0:c>
      <ns0:c xmlns:ns0="http://schemas.openxmlformats.org/spreadsheetml/2006/main" r="AN157" s="11" t="inlineStr">
        <ns0:is>
          <ns0:t>@DESIGNATOR %1 %2 @MODEL PARAMS: Cvalue=1.8e-09 Rsvalue=2210.48532072077 Rinsvalue=10000000000</ns0:t>
        </ns0:is>
      </ns0:c>
      <ns0:c xmlns:ns0="http://schemas.openxmlformats.org/spreadsheetml/2006/main" r="AO157" s="11" t="inlineStr">
        <ns0:is>
          <ns0:t>X</ns0:t>
        </ns0:is>
      </ns0:c>
      <ns0:c xmlns:ns0="http://schemas.openxmlformats.org/spreadsheetml/2006/main" r="AP157" s="11" t="inlineStr">
        <ns0:is>
          <ns0:t>(1:1),(2:2)</ns0:t>
        </ns0:is>
      </ns0:c>
      <ns0:c xmlns:ns0="http://schemas.openxmlformats.org/spreadsheetml/2006/main" r="AQ157" s="11" t="inlineStr">
        <ns0:is>
          <ns0:t>Simulation\Capacitors\MY_LIB_C_RC.ckt</ns0:t>
        </ns0:is>
      </ns0:c>
    </ns0:row>
    <ns0:row r="158" ht="30" customHeight="1">
      <ns0:c r="A158" t="str" s="14">
        <ns0:v>C0159</ns0:v>
      </ns0:c>
      <ns0:c r="B158" t="str" s="14">
        <ns0:v>Конденсатор</ns0:v>
      </ns0:c>
      <ns0:c r="C158" t="str" s="14">
        <ns0:v>2.2n</ns0:v>
      </ns0:c>
      <ns0:c r="D158" t="str" s="11">
        <ns0:f>SUBSTITUTE(SUBSTITUTE(SUBSTITUTE(SUBSTITUTE(C158,"p"," пФ"),"n"," нФ"),"u"," мкФ"),".",",")</ns0:f>
        <ns0:v>2,2 нФ</ns0:v>
      </ns0:c>
      <ns0:c r="E158" t="str" s="14">
        <ns0:v>±5%</ns0:v>
      </ns0:c>
      <ns0:c r="F158" s="14"/>
      <ns0:c r="G158" t="str" s="14">
        <ns0:v>100 В</ns0:v>
      </ns0:c>
      <ns0:c r="H158" t="str" s="14">
        <ns0:v>X7R</ns0:v>
      </ns0:c>
      <ns0:c r="I158" t="str" s="15">
        <ns0:v>0603</ns0:v>
      </ns0:c>
      <ns0:c r="J158" t="str" s="14">
        <ns0:v>YAGEO</ns0:v>
      </ns0:c>
      <ns0:c r="K158" t="str" s="14">
        <ns0:v>CC0603JRX7R0BB222</ns0:v>
      </ns0:c>
      <ns0:c r="L158" t="str" s="11">
        <ns0:f>B158&amp;" "&amp;D158&amp;" "&amp;E158&amp;" "&amp;G158&amp;" "&amp;H158&amp;" "&amp;I158</ns0:f>
        <ns0:v>Конденсатор 2,2 нФ ±5% 100 В X7R 0603</ns0:v>
      </ns0:c>
      <ns0:c r="M158" t="str" s="13">
        <ns0:v>C</ns0:v>
      </ns0:c>
      <ns0:c r="N158" t="str" s="13">
        <ns0:v>Symbols\MY_LIB_Capacitors.SchLib</ns0:v>
      </ns0:c>
      <ns0:c r="O158" t="str" s="13">
        <ns0:v>CAPC1608X90N</ns0:v>
      </ns0:c>
      <ns0:c r="P158" t="str" s="13">
        <ns0:v>Footprints\PBL - SMD Packages.PcbLib</ns0:v>
      </ns0:c>
      <ns0:c r="Q158" t="str" s="14">
        <ns0:v>YAGEO CC; список 20.10.2026</ns0:v>
      </ns0:c>
      <ns0:c r="R158" t="str" s="11">
        <ns0:f>D158</ns0:f>
        <ns0:v>2,2 нФ</ns0:v>
      </ns0:c>
      <ns0:c r="S158" t="str" s="11">
        <ns0:f>L158</ns0:f>
        <ns0:v>Конденсатор 2,2 нФ ±5% 100 В X7R 0603</ns0:v>
      </ns0:c>
      <x:c xmlns:x="http://schemas.openxmlformats.org/spreadsheetml/2006/main" r="T158" t="str" s="11">
        <x:v>C:\Users\Nomatin\Documents\Altium\MY_LIB\MY_LIB\Datasheets\YAGEO_CC_X7R.pdf</x:v>
      </x:c>
      <x:c xmlns:x="http://schemas.openxmlformats.org/spreadsheetml/2006/main" r="U158" t="str" s="11">
        <x:v>Даташит — локальный</x:v>
      </x:c>
      <x:c xmlns:x="http://schemas.openxmlformats.org/spreadsheetml/2006/main" r="V158" t="str" s="11">
        <x:v>C:\Users\Nomatin\Documents\Altium\MY_LIB\MY_LIB\Datasheets\YAGEO_CC_X7R.pdf</x:v>
      </x:c>
      <x:c xmlns:x="http://schemas.openxmlformats.org/spreadsheetml/2006/main" r="W158" t="str" s="11">
        <x:v>Даташит — производитель</x:v>
      </x:c>
      <x:c xmlns:x="http://schemas.openxmlformats.org/spreadsheetml/2006/main" r="X158" t="str" s="11">
        <x:v>https://yageogroup.com/content/datasheet/asset/file/UPY-GPHC_X7R_6_3V-TO-250V</x:v>
      </x:c>
      <x:c xmlns:x="http://schemas.openxmlformats.org/spreadsheetml/2006/main" r="Y158" t="str" s="11">
        <x:v>C:\Users\Nomatin\Documents\Altium\MY_LIB\MY_LIB\Datasheets\YAGEO_CC_X7R.pdf</x:v>
      </x:c>
      <ns0:c xmlns:ns0="http://schemas.openxmlformats.org/spreadsheetml/2006/main" r="Z158" s="11">
        <ns0:v>2.2e-09</ns0:v>
      </ns0:c>
      <ns0:c xmlns:ns0="http://schemas.openxmlformats.org/spreadsheetml/2006/main" r="AA158" s="11">
        <ns0:v>0.025</ns0:v>
      </ns0:c>
      <ns0:c xmlns:ns0="http://schemas.openxmlformats.org/spreadsheetml/2006/main" r="AB158" s="11">
        <ns0:v>1000</ns0:v>
      </ns0:c>
      <ns0:c xmlns:ns0="http://schemas.openxmlformats.org/spreadsheetml/2006/main" r="AC158" s="11">
        <ns0:v>1</ns0:v>
      </ns0:c>
      <ns0:c xmlns:ns0="http://schemas.openxmlformats.org/spreadsheetml/2006/main" r="AD158" s="11">
        <ns0:v>20</ns0:v>
      </ns0:c>
      <ns0:c xmlns:ns0="http://schemas.openxmlformats.org/spreadsheetml/2006/main" r="AE158" s="11">
        <ns0:v>500</ns0:v>
      </ns0:c>
      <ns0:c xmlns:ns0="http://schemas.openxmlformats.org/spreadsheetml/2006/main" r="AF158" s="11">
        <ns0:v>10000000000</ns0:v>
      </ns0:c>
      <ns0:c xmlns:ns0="http://schemas.openxmlformats.org/spreadsheetml/2006/main" r="AG158" s="11">
        <ns0:v>100</ns0:v>
      </ns0:c>
      <ns0:c xmlns:ns0="http://schemas.openxmlformats.org/spreadsheetml/2006/main" r="AH158" s="11">
        <ns0:v>60</ns0:v>
      </ns0:c>
      <ns0:c xmlns:ns0="http://schemas.openxmlformats.org/spreadsheetml/2006/main" r="AI158" s="11">
        <ns0:v>1808.57889877154</ns0:v>
      </ns0:c>
      <ns0:c xmlns:ns0="http://schemas.openxmlformats.org/spreadsheetml/2006/main" r="AJ158" s="11" t="inlineStr">
        <ns0:is>
          <ns0:t>MY_LIB_C_RC</ns0:t>
        </ns0:is>
      </ns0:c>
      <ns0:c xmlns:ns0="http://schemas.openxmlformats.org/spreadsheetml/2006/main" r="AK158" s="11" t="inlineStr">
        <ns0:is>
          <ns0:t>Nominal C; DFmax at 1kHz; minimum insulation; no temperature/bias/ESL</ns0:t>
        </ns0:is>
      </ns0:c>
      <ns0:c xmlns:ns0="http://schemas.openxmlformats.org/spreadsheetml/2006/main" r="AL158" s="11" t="inlineStr">
        <ns0:is>
          <ns0:t>General</ns0:t>
        </ns0:is>
      </ns0:c>
      <ns0:c xmlns:ns0="http://schemas.openxmlformats.org/spreadsheetml/2006/main" r="AM158" s="11" t="inlineStr">
        <ns0:is>
          <ns0:t>Spice Subcircuit</ns0:t>
        </ns0:is>
      </ns0:c>
      <ns0:c xmlns:ns0="http://schemas.openxmlformats.org/spreadsheetml/2006/main" r="AN158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158" s="11" t="inlineStr">
        <ns0:is>
          <ns0:t>X</ns0:t>
        </ns0:is>
      </ns0:c>
      <ns0:c xmlns:ns0="http://schemas.openxmlformats.org/spreadsheetml/2006/main" r="AP158" s="11" t="inlineStr">
        <ns0:is>
          <ns0:t>(1:1),(2:2)</ns0:t>
        </ns0:is>
      </ns0:c>
      <ns0:c xmlns:ns0="http://schemas.openxmlformats.org/spreadsheetml/2006/main" r="AQ158" s="11" t="inlineStr">
        <ns0:is>
          <ns0:t>Simulation\Capacitors\MY_LIB_C_RC.ckt</ns0:t>
        </ns0:is>
      </ns0:c>
    </ns0:row>
    <ns0:row r="159" ht="30" customHeight="1">
      <ns0:c r="A159" t="str" s="14">
        <ns0:v>C0160</ns0:v>
      </ns0:c>
      <ns0:c r="B159" t="str" s="14">
        <ns0:v>Конденсатор</ns0:v>
      </ns0:c>
      <ns0:c r="C159" t="str" s="14">
        <ns0:v>2.7n</ns0:v>
      </ns0:c>
      <ns0:c r="D159" t="str" s="11">
        <ns0:f>SUBSTITUTE(SUBSTITUTE(SUBSTITUTE(SUBSTITUTE(C159,"p"," пФ"),"n"," нФ"),"u"," мкФ"),".",",")</ns0:f>
        <ns0:v>2,7 нФ</ns0:v>
      </ns0:c>
      <ns0:c r="E159" t="str" s="14">
        <ns0:v>±5%</ns0:v>
      </ns0:c>
      <ns0:c r="F159" s="14"/>
      <ns0:c r="G159" t="str" s="14">
        <ns0:v>50 В</ns0:v>
      </ns0:c>
      <ns0:c r="H159" t="str" s="14">
        <ns0:v>X7R</ns0:v>
      </ns0:c>
      <ns0:c r="I159" t="str" s="15">
        <ns0:v>0603</ns0:v>
      </ns0:c>
      <ns0:c r="J159" t="str" s="14">
        <ns0:v>YAGEO</ns0:v>
      </ns0:c>
      <ns0:c r="K159" t="str" s="14">
        <ns0:v>CC0603JRX7R9BB272</ns0:v>
      </ns0:c>
      <ns0:c r="L159" t="str" s="11">
        <ns0:f>B159&amp;" "&amp;D159&amp;" "&amp;E159&amp;" "&amp;G159&amp;" "&amp;H159&amp;" "&amp;I159</ns0:f>
        <ns0:v>Конденсатор 2,7 нФ ±5% 50 В X7R 0603</ns0:v>
      </ns0:c>
      <ns0:c r="M159" t="str" s="13">
        <ns0:v>C</ns0:v>
      </ns0:c>
      <ns0:c r="N159" t="str" s="13">
        <ns0:v>Symbols\MY_LIB_Capacitors.SchLib</ns0:v>
      </ns0:c>
      <ns0:c r="O159" t="str" s="13">
        <ns0:v>CAPC1608X90N</ns0:v>
      </ns0:c>
      <ns0:c r="P159" t="str" s="13">
        <ns0:v>Footprints\PBL - SMD Packages.PcbLib</ns0:v>
      </ns0:c>
      <ns0:c r="Q159" t="str" s="14">
        <ns0:v>YAGEO CC; список 20.10.2026</ns0:v>
      </ns0:c>
      <ns0:c r="R159" t="str" s="11">
        <ns0:f>D159</ns0:f>
        <ns0:v>2,7 нФ</ns0:v>
      </ns0:c>
      <ns0:c r="S159" t="str" s="11">
        <ns0:f>L159</ns0:f>
        <ns0:v>Конденсатор 2,7 нФ ±5% 50 В X7R 0603</ns0:v>
      </ns0:c>
      <x:c xmlns:x="http://schemas.openxmlformats.org/spreadsheetml/2006/main" r="T159" t="str" s="11">
        <x:v>C:\Users\Nomatin\Documents\Altium\MY_LIB\MY_LIB\Datasheets\YAGEO_CC_X7R.pdf</x:v>
      </x:c>
      <x:c xmlns:x="http://schemas.openxmlformats.org/spreadsheetml/2006/main" r="U159" t="str" s="11">
        <x:v>Даташит — локальный</x:v>
      </x:c>
      <x:c xmlns:x="http://schemas.openxmlformats.org/spreadsheetml/2006/main" r="V159" t="str" s="11">
        <x:v>C:\Users\Nomatin\Documents\Altium\MY_LIB\MY_LIB\Datasheets\YAGEO_CC_X7R.pdf</x:v>
      </x:c>
      <x:c xmlns:x="http://schemas.openxmlformats.org/spreadsheetml/2006/main" r="W159" t="str" s="11">
        <x:v>Даташит — производитель</x:v>
      </x:c>
      <x:c xmlns:x="http://schemas.openxmlformats.org/spreadsheetml/2006/main" r="X159" t="str" s="11">
        <x:v>https://yageogroup.com/content/datasheet/asset/file/UPY-GPHC_X7R_6_3V-TO-250V</x:v>
      </x:c>
      <x:c xmlns:x="http://schemas.openxmlformats.org/spreadsheetml/2006/main" r="Y159" t="str" s="11">
        <x:v>C:\Users\Nomatin\Documents\Altium\MY_LIB\MY_LIB\Datasheets\YAGEO_CC_X7R.pdf</x:v>
      </x:c>
      <ns0:c xmlns:ns0="http://schemas.openxmlformats.org/spreadsheetml/2006/main" r="Z159" s="11">
        <ns0:v>2.7e-09</ns0:v>
      </ns0:c>
      <ns0:c xmlns:ns0="http://schemas.openxmlformats.org/spreadsheetml/2006/main" r="AA159" s="11">
        <ns0:v>0.025</ns0:v>
      </ns0:c>
      <ns0:c xmlns:ns0="http://schemas.openxmlformats.org/spreadsheetml/2006/main" r="AB159" s="11">
        <ns0:v>1000</ns0:v>
      </ns0:c>
      <ns0:c xmlns:ns0="http://schemas.openxmlformats.org/spreadsheetml/2006/main" r="AC159" s="11">
        <ns0:v>1</ns0:v>
      </ns0:c>
      <ns0:c xmlns:ns0="http://schemas.openxmlformats.org/spreadsheetml/2006/main" r="AD159" s="11">
        <ns0:v>20</ns0:v>
      </ns0:c>
      <ns0:c xmlns:ns0="http://schemas.openxmlformats.org/spreadsheetml/2006/main" r="AE159" s="11">
        <ns0:v>500</ns0:v>
      </ns0:c>
      <ns0:c xmlns:ns0="http://schemas.openxmlformats.org/spreadsheetml/2006/main" r="AF159" s="11">
        <ns0:v>10000000000</ns0:v>
      </ns0:c>
      <ns0:c xmlns:ns0="http://schemas.openxmlformats.org/spreadsheetml/2006/main" r="AG159" s="11">
        <ns0:v>50</ns0:v>
      </ns0:c>
      <ns0:c xmlns:ns0="http://schemas.openxmlformats.org/spreadsheetml/2006/main" r="AH159" s="11">
        <ns0:v>60</ns0:v>
      </ns0:c>
      <ns0:c xmlns:ns0="http://schemas.openxmlformats.org/spreadsheetml/2006/main" r="AI159" s="11">
        <ns0:v>1473.65688048051</ns0:v>
      </ns0:c>
      <ns0:c xmlns:ns0="http://schemas.openxmlformats.org/spreadsheetml/2006/main" r="AJ159" s="11" t="inlineStr">
        <ns0:is>
          <ns0:t>MY_LIB_C_RC</ns0:t>
        </ns0:is>
      </ns0:c>
      <ns0:c xmlns:ns0="http://schemas.openxmlformats.org/spreadsheetml/2006/main" r="AK159" s="11" t="inlineStr">
        <ns0:is>
          <ns0:t>Nominal C; DFmax at 1kHz; minimum insulation; no temperature/bias/ESL</ns0:t>
        </ns0:is>
      </ns0:c>
      <ns0:c xmlns:ns0="http://schemas.openxmlformats.org/spreadsheetml/2006/main" r="AL159" s="11" t="inlineStr">
        <ns0:is>
          <ns0:t>General</ns0:t>
        </ns0:is>
      </ns0:c>
      <ns0:c xmlns:ns0="http://schemas.openxmlformats.org/spreadsheetml/2006/main" r="AM159" s="11" t="inlineStr">
        <ns0:is>
          <ns0:t>Spice Subcircuit</ns0:t>
        </ns0:is>
      </ns0:c>
      <ns0:c xmlns:ns0="http://schemas.openxmlformats.org/spreadsheetml/2006/main" r="AN159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159" s="11" t="inlineStr">
        <ns0:is>
          <ns0:t>X</ns0:t>
        </ns0:is>
      </ns0:c>
      <ns0:c xmlns:ns0="http://schemas.openxmlformats.org/spreadsheetml/2006/main" r="AP159" s="11" t="inlineStr">
        <ns0:is>
          <ns0:t>(1:1),(2:2)</ns0:t>
        </ns0:is>
      </ns0:c>
      <ns0:c xmlns:ns0="http://schemas.openxmlformats.org/spreadsheetml/2006/main" r="AQ159" s="11" t="inlineStr">
        <ns0:is>
          <ns0:t>Simulation\Capacitors\MY_LIB_C_RC.ckt</ns0:t>
        </ns0:is>
      </ns0:c>
    </ns0:row>
    <ns0:row r="160" ht="30" customHeight="1">
      <ns0:c r="A160" t="str" s="14">
        <ns0:v>C0161</ns0:v>
      </ns0:c>
      <ns0:c r="B160" t="str" s="14">
        <ns0:v>Конденсатор</ns0:v>
      </ns0:c>
      <ns0:c r="C160" t="str" s="14">
        <ns0:v>3.3n</ns0:v>
      </ns0:c>
      <ns0:c r="D160" t="str" s="11">
        <ns0:f>SUBSTITUTE(SUBSTITUTE(SUBSTITUTE(SUBSTITUTE(C160,"p"," пФ"),"n"," нФ"),"u"," мкФ"),".",",")</ns0:f>
        <ns0:v>3,3 нФ</ns0:v>
      </ns0:c>
      <ns0:c r="E160" t="str" s="14">
        <ns0:v>±5%</ns0:v>
      </ns0:c>
      <ns0:c r="F160" s="14"/>
      <ns0:c r="G160" t="str" s="14">
        <ns0:v>100 В</ns0:v>
      </ns0:c>
      <ns0:c r="H160" t="str" s="14">
        <ns0:v>X7R</ns0:v>
      </ns0:c>
      <ns0:c r="I160" t="str" s="15">
        <ns0:v>0603</ns0:v>
      </ns0:c>
      <ns0:c r="J160" t="str" s="14">
        <ns0:v>YAGEO</ns0:v>
      </ns0:c>
      <ns0:c r="K160" t="str" s="14">
        <ns0:v>CC0603JRX7R0BB332</ns0:v>
      </ns0:c>
      <ns0:c r="L160" t="str" s="11">
        <ns0:f>B160&amp;" "&amp;D160&amp;" "&amp;E160&amp;" "&amp;G160&amp;" "&amp;H160&amp;" "&amp;I160</ns0:f>
        <ns0:v>Конденсатор 3,3 нФ ±5% 100 В X7R 0603</ns0:v>
      </ns0:c>
      <ns0:c r="M160" t="str" s="13">
        <ns0:v>C</ns0:v>
      </ns0:c>
      <ns0:c r="N160" t="str" s="13">
        <ns0:v>Symbols\MY_LIB_Capacitors.SchLib</ns0:v>
      </ns0:c>
      <ns0:c r="O160" t="str" s="13">
        <ns0:v>CAPC1608X90N</ns0:v>
      </ns0:c>
      <ns0:c r="P160" t="str" s="13">
        <ns0:v>Footprints\PBL - SMD Packages.PcbLib</ns0:v>
      </ns0:c>
      <ns0:c r="Q160" t="str" s="14">
        <ns0:v>YAGEO CC; список 20.10.2026</ns0:v>
      </ns0:c>
      <ns0:c r="R160" t="str" s="11">
        <ns0:f>D160</ns0:f>
        <ns0:v>3,3 нФ</ns0:v>
      </ns0:c>
      <ns0:c r="S160" t="str" s="11">
        <ns0:f>L160</ns0:f>
        <ns0:v>Конденсатор 3,3 нФ ±5% 100 В X7R 0603</ns0:v>
      </ns0:c>
      <x:c xmlns:x="http://schemas.openxmlformats.org/spreadsheetml/2006/main" r="T160" t="str" s="11">
        <x:v>C:\Users\Nomatin\Documents\Altium\MY_LIB\MY_LIB\Datasheets\YAGEO_CC_X7R.pdf</x:v>
      </x:c>
      <x:c xmlns:x="http://schemas.openxmlformats.org/spreadsheetml/2006/main" r="U160" t="str" s="11">
        <x:v>Даташит — локальный</x:v>
      </x:c>
      <x:c xmlns:x="http://schemas.openxmlformats.org/spreadsheetml/2006/main" r="V160" t="str" s="11">
        <x:v>C:\Users\Nomatin\Documents\Altium\MY_LIB\MY_LIB\Datasheets\YAGEO_CC_X7R.pdf</x:v>
      </x:c>
      <x:c xmlns:x="http://schemas.openxmlformats.org/spreadsheetml/2006/main" r="W160" t="str" s="11">
        <x:v>Даташит — производитель</x:v>
      </x:c>
      <x:c xmlns:x="http://schemas.openxmlformats.org/spreadsheetml/2006/main" r="X160" t="str" s="11">
        <x:v>https://yageogroup.com/content/datasheet/asset/file/UPY-GPHC_X7R_6_3V-TO-250V</x:v>
      </x:c>
      <x:c xmlns:x="http://schemas.openxmlformats.org/spreadsheetml/2006/main" r="Y160" t="str" s="11">
        <x:v>C:\Users\Nomatin\Documents\Altium\MY_LIB\MY_LIB\Datasheets\YAGEO_CC_X7R.pdf</x:v>
      </x:c>
      <ns0:c xmlns:ns0="http://schemas.openxmlformats.org/spreadsheetml/2006/main" r="Z160" s="11">
        <ns0:v>3.3e-09</ns0:v>
      </ns0:c>
      <ns0:c xmlns:ns0="http://schemas.openxmlformats.org/spreadsheetml/2006/main" r="AA160" s="11">
        <ns0:v>0.025</ns0:v>
      </ns0:c>
      <ns0:c xmlns:ns0="http://schemas.openxmlformats.org/spreadsheetml/2006/main" r="AB160" s="11">
        <ns0:v>1000</ns0:v>
      </ns0:c>
      <ns0:c xmlns:ns0="http://schemas.openxmlformats.org/spreadsheetml/2006/main" r="AC160" s="11">
        <ns0:v>1</ns0:v>
      </ns0:c>
      <ns0:c xmlns:ns0="http://schemas.openxmlformats.org/spreadsheetml/2006/main" r="AD160" s="11">
        <ns0:v>20</ns0:v>
      </ns0:c>
      <ns0:c xmlns:ns0="http://schemas.openxmlformats.org/spreadsheetml/2006/main" r="AE160" s="11">
        <ns0:v>500</ns0:v>
      </ns0:c>
      <ns0:c xmlns:ns0="http://schemas.openxmlformats.org/spreadsheetml/2006/main" r="AF160" s="11">
        <ns0:v>10000000000</ns0:v>
      </ns0:c>
      <ns0:c xmlns:ns0="http://schemas.openxmlformats.org/spreadsheetml/2006/main" r="AG160" s="11">
        <ns0:v>100</ns0:v>
      </ns0:c>
      <ns0:c xmlns:ns0="http://schemas.openxmlformats.org/spreadsheetml/2006/main" r="AH160" s="11">
        <ns0:v>60</ns0:v>
      </ns0:c>
      <ns0:c xmlns:ns0="http://schemas.openxmlformats.org/spreadsheetml/2006/main" r="AI160" s="11">
        <ns0:v>1205.71926584769</ns0:v>
      </ns0:c>
      <ns0:c xmlns:ns0="http://schemas.openxmlformats.org/spreadsheetml/2006/main" r="AJ160" s="11" t="inlineStr">
        <ns0:is>
          <ns0:t>MY_LIB_C_RC</ns0:t>
        </ns0:is>
      </ns0:c>
      <ns0:c xmlns:ns0="http://schemas.openxmlformats.org/spreadsheetml/2006/main" r="AK160" s="11" t="inlineStr">
        <ns0:is>
          <ns0:t>Nominal C; DFmax at 1kHz; minimum insulation; no temperature/bias/ESL</ns0:t>
        </ns0:is>
      </ns0:c>
      <ns0:c xmlns:ns0="http://schemas.openxmlformats.org/spreadsheetml/2006/main" r="AL160" s="11" t="inlineStr">
        <ns0:is>
          <ns0:t>General</ns0:t>
        </ns0:is>
      </ns0:c>
      <ns0:c xmlns:ns0="http://schemas.openxmlformats.org/spreadsheetml/2006/main" r="AM160" s="11" t="inlineStr">
        <ns0:is>
          <ns0:t>Spice Subcircuit</ns0:t>
        </ns0:is>
      </ns0:c>
      <ns0:c xmlns:ns0="http://schemas.openxmlformats.org/spreadsheetml/2006/main" r="AN160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160" s="11" t="inlineStr">
        <ns0:is>
          <ns0:t>X</ns0:t>
        </ns0:is>
      </ns0:c>
      <ns0:c xmlns:ns0="http://schemas.openxmlformats.org/spreadsheetml/2006/main" r="AP160" s="11" t="inlineStr">
        <ns0:is>
          <ns0:t>(1:1),(2:2)</ns0:t>
        </ns0:is>
      </ns0:c>
      <ns0:c xmlns:ns0="http://schemas.openxmlformats.org/spreadsheetml/2006/main" r="AQ160" s="11" t="inlineStr">
        <ns0:is>
          <ns0:t>Simulation\Capacitors\MY_LIB_C_RC.ckt</ns0:t>
        </ns0:is>
      </ns0:c>
    </ns0:row>
    <ns0:row r="161" ht="30" customHeight="1">
      <ns0:c r="A161" t="str" s="14">
        <ns0:v>C0162</ns0:v>
      </ns0:c>
      <ns0:c r="B161" t="str" s="14">
        <ns0:v>Конденсатор</ns0:v>
      </ns0:c>
      <ns0:c r="C161" t="str" s="14">
        <ns0:v>3.9n</ns0:v>
      </ns0:c>
      <ns0:c r="D161" t="str" s="11">
        <ns0:f>SUBSTITUTE(SUBSTITUTE(SUBSTITUTE(SUBSTITUTE(C161,"p"," пФ"),"n"," нФ"),"u"," мкФ"),".",",")</ns0:f>
        <ns0:v>3,9 нФ</ns0:v>
      </ns0:c>
      <ns0:c r="E161" t="str" s="14">
        <ns0:v>±5%</ns0:v>
      </ns0:c>
      <ns0:c r="F161" s="14"/>
      <ns0:c r="G161" t="str" s="14">
        <ns0:v>100 В</ns0:v>
      </ns0:c>
      <ns0:c r="H161" t="str" s="14">
        <ns0:v>X7R</ns0:v>
      </ns0:c>
      <ns0:c r="I161" t="str" s="15">
        <ns0:v>0603</ns0:v>
      </ns0:c>
      <ns0:c r="J161" t="str" s="14">
        <ns0:v>YAGEO</ns0:v>
      </ns0:c>
      <ns0:c r="K161" t="str" s="14">
        <ns0:v>CC0603JRX7R0BB392</ns0:v>
      </ns0:c>
      <ns0:c r="L161" t="str" s="11">
        <ns0:f>B161&amp;" "&amp;D161&amp;" "&amp;E161&amp;" "&amp;G161&amp;" "&amp;H161&amp;" "&amp;I161</ns0:f>
        <ns0:v>Конденсатор 3,9 нФ ±5% 100 В X7R 0603</ns0:v>
      </ns0:c>
      <ns0:c r="M161" t="str" s="13">
        <ns0:v>C</ns0:v>
      </ns0:c>
      <ns0:c r="N161" t="str" s="13">
        <ns0:v>Symbols\MY_LIB_Capacitors.SchLib</ns0:v>
      </ns0:c>
      <ns0:c r="O161" t="str" s="13">
        <ns0:v>CAPC1608X90N</ns0:v>
      </ns0:c>
      <ns0:c r="P161" t="str" s="13">
        <ns0:v>Footprints\PBL - SMD Packages.PcbLib</ns0:v>
      </ns0:c>
      <ns0:c r="Q161" t="str" s="14">
        <ns0:v>YAGEO CC; список 20.10.2026</ns0:v>
      </ns0:c>
      <ns0:c r="R161" t="str" s="11">
        <ns0:f>D161</ns0:f>
        <ns0:v>3,9 нФ</ns0:v>
      </ns0:c>
      <ns0:c r="S161" t="str" s="11">
        <ns0:f>L161</ns0:f>
        <ns0:v>Конденсатор 3,9 нФ ±5% 100 В X7R 0603</ns0:v>
      </ns0:c>
      <x:c xmlns:x="http://schemas.openxmlformats.org/spreadsheetml/2006/main" r="T161" t="str" s="11">
        <x:v>C:\Users\Nomatin\Documents\Altium\MY_LIB\MY_LIB\Datasheets\YAGEO_CC_X7R.pdf</x:v>
      </x:c>
      <x:c xmlns:x="http://schemas.openxmlformats.org/spreadsheetml/2006/main" r="U161" t="str" s="11">
        <x:v>Даташит — локальный</x:v>
      </x:c>
      <x:c xmlns:x="http://schemas.openxmlformats.org/spreadsheetml/2006/main" r="V161" t="str" s="11">
        <x:v>C:\Users\Nomatin\Documents\Altium\MY_LIB\MY_LIB\Datasheets\YAGEO_CC_X7R.pdf</x:v>
      </x:c>
      <x:c xmlns:x="http://schemas.openxmlformats.org/spreadsheetml/2006/main" r="W161" t="str" s="11">
        <x:v>Даташит — производитель</x:v>
      </x:c>
      <x:c xmlns:x="http://schemas.openxmlformats.org/spreadsheetml/2006/main" r="X161" t="str" s="11">
        <x:v>https://yageogroup.com/content/datasheet/asset/file/UPY-GPHC_X7R_6_3V-TO-250V</x:v>
      </x:c>
      <x:c xmlns:x="http://schemas.openxmlformats.org/spreadsheetml/2006/main" r="Y161" t="str" s="11">
        <x:v>C:\Users\Nomatin\Documents\Altium\MY_LIB\MY_LIB\Datasheets\YAGEO_CC_X7R.pdf</x:v>
      </x:c>
      <ns0:c xmlns:ns0="http://schemas.openxmlformats.org/spreadsheetml/2006/main" r="Z161" s="11">
        <ns0:v>3.9e-09</ns0:v>
      </ns0:c>
      <ns0:c xmlns:ns0="http://schemas.openxmlformats.org/spreadsheetml/2006/main" r="AA161" s="11">
        <ns0:v>0.025</ns0:v>
      </ns0:c>
      <ns0:c xmlns:ns0="http://schemas.openxmlformats.org/spreadsheetml/2006/main" r="AB161" s="11">
        <ns0:v>1000</ns0:v>
      </ns0:c>
      <ns0:c xmlns:ns0="http://schemas.openxmlformats.org/spreadsheetml/2006/main" r="AC161" s="11">
        <ns0:v>1</ns0:v>
      </ns0:c>
      <ns0:c xmlns:ns0="http://schemas.openxmlformats.org/spreadsheetml/2006/main" r="AD161" s="11">
        <ns0:v>20</ns0:v>
      </ns0:c>
      <ns0:c xmlns:ns0="http://schemas.openxmlformats.org/spreadsheetml/2006/main" r="AE161" s="11">
        <ns0:v>500</ns0:v>
      </ns0:c>
      <ns0:c xmlns:ns0="http://schemas.openxmlformats.org/spreadsheetml/2006/main" r="AF161" s="11">
        <ns0:v>10000000000</ns0:v>
      </ns0:c>
      <ns0:c xmlns:ns0="http://schemas.openxmlformats.org/spreadsheetml/2006/main" r="AG161" s="11">
        <ns0:v>100</ns0:v>
      </ns0:c>
      <ns0:c xmlns:ns0="http://schemas.openxmlformats.org/spreadsheetml/2006/main" r="AH161" s="11">
        <ns0:v>60</ns0:v>
      </ns0:c>
      <ns0:c xmlns:ns0="http://schemas.openxmlformats.org/spreadsheetml/2006/main" r="AI161" s="11">
        <ns0:v>1020.22399417882</ns0:v>
      </ns0:c>
      <ns0:c xmlns:ns0="http://schemas.openxmlformats.org/spreadsheetml/2006/main" r="AJ161" s="11" t="inlineStr">
        <ns0:is>
          <ns0:t>MY_LIB_C_RC</ns0:t>
        </ns0:is>
      </ns0:c>
      <ns0:c xmlns:ns0="http://schemas.openxmlformats.org/spreadsheetml/2006/main" r="AK161" s="11" t="inlineStr">
        <ns0:is>
          <ns0:t>Nominal C; DFmax at 1kHz; minimum insulation; no temperature/bias/ESL</ns0:t>
        </ns0:is>
      </ns0:c>
      <ns0:c xmlns:ns0="http://schemas.openxmlformats.org/spreadsheetml/2006/main" r="AL161" s="11" t="inlineStr">
        <ns0:is>
          <ns0:t>General</ns0:t>
        </ns0:is>
      </ns0:c>
      <ns0:c xmlns:ns0="http://schemas.openxmlformats.org/spreadsheetml/2006/main" r="AM161" s="11" t="inlineStr">
        <ns0:is>
          <ns0:t>Spice Subcircuit</ns0:t>
        </ns0:is>
      </ns0:c>
      <ns0:c xmlns:ns0="http://schemas.openxmlformats.org/spreadsheetml/2006/main" r="AN161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161" s="11" t="inlineStr">
        <ns0:is>
          <ns0:t>X</ns0:t>
        </ns0:is>
      </ns0:c>
      <ns0:c xmlns:ns0="http://schemas.openxmlformats.org/spreadsheetml/2006/main" r="AP161" s="11" t="inlineStr">
        <ns0:is>
          <ns0:t>(1:1),(2:2)</ns0:t>
        </ns0:is>
      </ns0:c>
      <ns0:c xmlns:ns0="http://schemas.openxmlformats.org/spreadsheetml/2006/main" r="AQ161" s="11" t="inlineStr">
        <ns0:is>
          <ns0:t>Simulation\Capacitors\MY_LIB_C_RC.ckt</ns0:t>
        </ns0:is>
      </ns0:c>
    </ns0:row>
    <ns0:row r="162" ht="30" customHeight="1">
      <ns0:c r="A162" t="str" s="14">
        <ns0:v>C0163</ns0:v>
      </ns0:c>
      <ns0:c r="B162" t="str" s="14">
        <ns0:v>Конденсатор</ns0:v>
      </ns0:c>
      <ns0:c r="C162" t="str" s="14">
        <ns0:v>4.7n</ns0:v>
      </ns0:c>
      <ns0:c r="D162" t="str" s="11">
        <ns0:f>SUBSTITUTE(SUBSTITUTE(SUBSTITUTE(SUBSTITUTE(C162,"p"," пФ"),"n"," нФ"),"u"," мкФ"),".",",")</ns0:f>
        <ns0:v>4,7 нФ</ns0:v>
      </ns0:c>
      <ns0:c r="E162" t="str" s="14">
        <ns0:v>±5%</ns0:v>
      </ns0:c>
      <ns0:c r="F162" s="14"/>
      <ns0:c r="G162" t="str" s="14">
        <ns0:v>100 В</ns0:v>
      </ns0:c>
      <ns0:c r="H162" t="str" s="14">
        <ns0:v>X7R</ns0:v>
      </ns0:c>
      <ns0:c r="I162" t="str" s="15">
        <ns0:v>0603</ns0:v>
      </ns0:c>
      <ns0:c r="J162" t="str" s="14">
        <ns0:v>YAGEO</ns0:v>
      </ns0:c>
      <ns0:c r="K162" t="str" s="14">
        <ns0:v>CC0603JRX7R0BB472</ns0:v>
      </ns0:c>
      <ns0:c r="L162" t="str" s="11">
        <ns0:f>B162&amp;" "&amp;D162&amp;" "&amp;E162&amp;" "&amp;G162&amp;" "&amp;H162&amp;" "&amp;I162</ns0:f>
        <ns0:v>Конденсатор 4,7 нФ ±5% 100 В X7R 0603</ns0:v>
      </ns0:c>
      <ns0:c r="M162" t="str" s="13">
        <ns0:v>C</ns0:v>
      </ns0:c>
      <ns0:c r="N162" t="str" s="13">
        <ns0:v>Symbols\MY_LIB_Capacitors.SchLib</ns0:v>
      </ns0:c>
      <ns0:c r="O162" t="str" s="13">
        <ns0:v>CAPC1608X90N</ns0:v>
      </ns0:c>
      <ns0:c r="P162" t="str" s="13">
        <ns0:v>Footprints\PBL - SMD Packages.PcbLib</ns0:v>
      </ns0:c>
      <ns0:c r="Q162" t="str" s="14">
        <ns0:v>YAGEO CC; список 20.10.2026</ns0:v>
      </ns0:c>
      <ns0:c r="R162" t="str" s="11">
        <ns0:f>D162</ns0:f>
        <ns0:v>4,7 нФ</ns0:v>
      </ns0:c>
      <ns0:c r="S162" t="str" s="11">
        <ns0:f>L162</ns0:f>
        <ns0:v>Конденсатор 4,7 нФ ±5% 100 В X7R 0603</ns0:v>
      </ns0:c>
      <x:c xmlns:x="http://schemas.openxmlformats.org/spreadsheetml/2006/main" r="T162" t="str" s="11">
        <x:v>C:\Users\Nomatin\Documents\Altium\MY_LIB\MY_LIB\Datasheets\YAGEO_CC_X7R.pdf</x:v>
      </x:c>
      <x:c xmlns:x="http://schemas.openxmlformats.org/spreadsheetml/2006/main" r="U162" t="str" s="11">
        <x:v>Даташит — локальный</x:v>
      </x:c>
      <x:c xmlns:x="http://schemas.openxmlformats.org/spreadsheetml/2006/main" r="V162" t="str" s="11">
        <x:v>C:\Users\Nomatin\Documents\Altium\MY_LIB\MY_LIB\Datasheets\YAGEO_CC_X7R.pdf</x:v>
      </x:c>
      <x:c xmlns:x="http://schemas.openxmlformats.org/spreadsheetml/2006/main" r="W162" t="str" s="11">
        <x:v>Даташит — производитель</x:v>
      </x:c>
      <x:c xmlns:x="http://schemas.openxmlformats.org/spreadsheetml/2006/main" r="X162" t="str" s="11">
        <x:v>https://yageogroup.com/content/datasheet/asset/file/UPY-GPHC_X7R_6_3V-TO-250V</x:v>
      </x:c>
      <x:c xmlns:x="http://schemas.openxmlformats.org/spreadsheetml/2006/main" r="Y162" t="str" s="11">
        <x:v>C:\Users\Nomatin\Documents\Altium\MY_LIB\MY_LIB\Datasheets\YAGEO_CC_X7R.pdf</x:v>
      </x:c>
      <ns0:c xmlns:ns0="http://schemas.openxmlformats.org/spreadsheetml/2006/main" r="Z162" s="11">
        <ns0:v>4.7e-09</ns0:v>
      </ns0:c>
      <ns0:c xmlns:ns0="http://schemas.openxmlformats.org/spreadsheetml/2006/main" r="AA162" s="11">
        <ns0:v>0.025</ns0:v>
      </ns0:c>
      <ns0:c xmlns:ns0="http://schemas.openxmlformats.org/spreadsheetml/2006/main" r="AB162" s="11">
        <ns0:v>1000</ns0:v>
      </ns0:c>
      <ns0:c xmlns:ns0="http://schemas.openxmlformats.org/spreadsheetml/2006/main" r="AC162" s="11">
        <ns0:v>1</ns0:v>
      </ns0:c>
      <ns0:c xmlns:ns0="http://schemas.openxmlformats.org/spreadsheetml/2006/main" r="AD162" s="11">
        <ns0:v>20</ns0:v>
      </ns0:c>
      <ns0:c xmlns:ns0="http://schemas.openxmlformats.org/spreadsheetml/2006/main" r="AE162" s="11">
        <ns0:v>500</ns0:v>
      </ns0:c>
      <ns0:c xmlns:ns0="http://schemas.openxmlformats.org/spreadsheetml/2006/main" r="AF162" s="11">
        <ns0:v>10000000000</ns0:v>
      </ns0:c>
      <ns0:c xmlns:ns0="http://schemas.openxmlformats.org/spreadsheetml/2006/main" r="AG162" s="11">
        <ns0:v>100</ns0:v>
      </ns0:c>
      <ns0:c xmlns:ns0="http://schemas.openxmlformats.org/spreadsheetml/2006/main" r="AH162" s="11">
        <ns0:v>60</ns0:v>
      </ns0:c>
      <ns0:c xmlns:ns0="http://schemas.openxmlformats.org/spreadsheetml/2006/main" r="AI162" s="11">
        <ns0:v>846.568846233486</ns0:v>
      </ns0:c>
      <ns0:c xmlns:ns0="http://schemas.openxmlformats.org/spreadsheetml/2006/main" r="AJ162" s="11" t="inlineStr">
        <ns0:is>
          <ns0:t>MY_LIB_C_RC</ns0:t>
        </ns0:is>
      </ns0:c>
      <ns0:c xmlns:ns0="http://schemas.openxmlformats.org/spreadsheetml/2006/main" r="AK162" s="11" t="inlineStr">
        <ns0:is>
          <ns0:t>Nominal C; DFmax at 1kHz; minimum insulation; no temperature/bias/ESL</ns0:t>
        </ns0:is>
      </ns0:c>
      <ns0:c xmlns:ns0="http://schemas.openxmlformats.org/spreadsheetml/2006/main" r="AL162" s="11" t="inlineStr">
        <ns0:is>
          <ns0:t>General</ns0:t>
        </ns0:is>
      </ns0:c>
      <ns0:c xmlns:ns0="http://schemas.openxmlformats.org/spreadsheetml/2006/main" r="AM162" s="11" t="inlineStr">
        <ns0:is>
          <ns0:t>Spice Subcircuit</ns0:t>
        </ns0:is>
      </ns0:c>
      <ns0:c xmlns:ns0="http://schemas.openxmlformats.org/spreadsheetml/2006/main" r="AN162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162" s="11" t="inlineStr">
        <ns0:is>
          <ns0:t>X</ns0:t>
        </ns0:is>
      </ns0:c>
      <ns0:c xmlns:ns0="http://schemas.openxmlformats.org/spreadsheetml/2006/main" r="AP162" s="11" t="inlineStr">
        <ns0:is>
          <ns0:t>(1:1),(2:2)</ns0:t>
        </ns0:is>
      </ns0:c>
      <ns0:c xmlns:ns0="http://schemas.openxmlformats.org/spreadsheetml/2006/main" r="AQ162" s="11" t="inlineStr">
        <ns0:is>
          <ns0:t>Simulation\Capacitors\MY_LIB_C_RC.ckt</ns0:t>
        </ns0:is>
      </ns0:c>
    </ns0:row>
    <ns0:row r="163" ht="30" customHeight="1">
      <ns0:c r="A163" t="str" s="14">
        <ns0:v>C0164</ns0:v>
      </ns0:c>
      <ns0:c r="B163" t="str" s="14">
        <ns0:v>Конденсатор</ns0:v>
      </ns0:c>
      <ns0:c r="C163" t="str" s="14">
        <ns0:v>5.6n</ns0:v>
      </ns0:c>
      <ns0:c r="D163" t="str" s="11">
        <ns0:f>SUBSTITUTE(SUBSTITUTE(SUBSTITUTE(SUBSTITUTE(C163,"p"," пФ"),"n"," нФ"),"u"," мкФ"),".",",")</ns0:f>
        <ns0:v>5,6 нФ</ns0:v>
      </ns0:c>
      <ns0:c r="E163" t="str" s="14">
        <ns0:v>±5%</ns0:v>
      </ns0:c>
      <ns0:c r="F163" s="14"/>
      <ns0:c r="G163" t="str" s="14">
        <ns0:v>50 В</ns0:v>
      </ns0:c>
      <ns0:c r="H163" t="str" s="14">
        <ns0:v>X7R</ns0:v>
      </ns0:c>
      <ns0:c r="I163" t="str" s="15">
        <ns0:v>0603</ns0:v>
      </ns0:c>
      <ns0:c r="J163" t="str" s="14">
        <ns0:v>YAGEO</ns0:v>
      </ns0:c>
      <ns0:c r="K163" t="str" s="14">
        <ns0:v>CC0603JRX7R9BB562</ns0:v>
      </ns0:c>
      <ns0:c r="L163" t="str" s="11">
        <ns0:f>B163&amp;" "&amp;D163&amp;" "&amp;E163&amp;" "&amp;G163&amp;" "&amp;H163&amp;" "&amp;I163</ns0:f>
        <ns0:v>Конденсатор 5,6 нФ ±5% 50 В X7R 0603</ns0:v>
      </ns0:c>
      <ns0:c r="M163" t="str" s="13">
        <ns0:v>C</ns0:v>
      </ns0:c>
      <ns0:c r="N163" t="str" s="13">
        <ns0:v>Symbols\MY_LIB_Capacitors.SchLib</ns0:v>
      </ns0:c>
      <ns0:c r="O163" t="str" s="13">
        <ns0:v>CAPC1608X90N</ns0:v>
      </ns0:c>
      <ns0:c r="P163" t="str" s="13">
        <ns0:v>Footprints\PBL - SMD Packages.PcbLib</ns0:v>
      </ns0:c>
      <ns0:c r="Q163" t="str" s="14">
        <ns0:v>YAGEO CC; список 20.10.2026</ns0:v>
      </ns0:c>
      <ns0:c r="R163" t="str" s="11">
        <ns0:f>D163</ns0:f>
        <ns0:v>5,6 нФ</ns0:v>
      </ns0:c>
      <ns0:c r="S163" t="str" s="11">
        <ns0:f>L163</ns0:f>
        <ns0:v>Конденсатор 5,6 нФ ±5% 50 В X7R 0603</ns0:v>
      </ns0:c>
      <x:c xmlns:x="http://schemas.openxmlformats.org/spreadsheetml/2006/main" r="T163" t="str" s="11">
        <x:v>C:\Users\Nomatin\Documents\Altium\MY_LIB\MY_LIB\Datasheets\YAGEO_CC_X7R.pdf</x:v>
      </x:c>
      <x:c xmlns:x="http://schemas.openxmlformats.org/spreadsheetml/2006/main" r="U163" t="str" s="11">
        <x:v>Даташит — локальный</x:v>
      </x:c>
      <x:c xmlns:x="http://schemas.openxmlformats.org/spreadsheetml/2006/main" r="V163" t="str" s="11">
        <x:v>C:\Users\Nomatin\Documents\Altium\MY_LIB\MY_LIB\Datasheets\YAGEO_CC_X7R.pdf</x:v>
      </x:c>
      <x:c xmlns:x="http://schemas.openxmlformats.org/spreadsheetml/2006/main" r="W163" t="str" s="11">
        <x:v>Даташит — производитель</x:v>
      </x:c>
      <x:c xmlns:x="http://schemas.openxmlformats.org/spreadsheetml/2006/main" r="X163" t="str" s="11">
        <x:v>https://yageogroup.com/content/datasheet/asset/file/UPY-GPHC_X7R_6_3V-TO-250V</x:v>
      </x:c>
      <x:c xmlns:x="http://schemas.openxmlformats.org/spreadsheetml/2006/main" r="Y163" t="str" s="11">
        <x:v>C:\Users\Nomatin\Documents\Altium\MY_LIB\MY_LIB\Datasheets\YAGEO_CC_X7R.pdf</x:v>
      </x:c>
      <ns0:c xmlns:ns0="http://schemas.openxmlformats.org/spreadsheetml/2006/main" r="Z163" s="11">
        <ns0:v>5.6e-09</ns0:v>
      </ns0:c>
      <ns0:c xmlns:ns0="http://schemas.openxmlformats.org/spreadsheetml/2006/main" r="AA163" s="11">
        <ns0:v>0.025</ns0:v>
      </ns0:c>
      <ns0:c xmlns:ns0="http://schemas.openxmlformats.org/spreadsheetml/2006/main" r="AB163" s="11">
        <ns0:v>1000</ns0:v>
      </ns0:c>
      <ns0:c xmlns:ns0="http://schemas.openxmlformats.org/spreadsheetml/2006/main" r="AC163" s="11">
        <ns0:v>1</ns0:v>
      </ns0:c>
      <ns0:c xmlns:ns0="http://schemas.openxmlformats.org/spreadsheetml/2006/main" r="AD163" s="11">
        <ns0:v>20</ns0:v>
      </ns0:c>
      <ns0:c xmlns:ns0="http://schemas.openxmlformats.org/spreadsheetml/2006/main" r="AE163" s="11">
        <ns0:v>500</ns0:v>
      </ns0:c>
      <ns0:c xmlns:ns0="http://schemas.openxmlformats.org/spreadsheetml/2006/main" r="AF163" s="11">
        <ns0:v>10000000000</ns0:v>
      </ns0:c>
      <ns0:c xmlns:ns0="http://schemas.openxmlformats.org/spreadsheetml/2006/main" r="AG163" s="11">
        <ns0:v>50</ns0:v>
      </ns0:c>
      <ns0:c xmlns:ns0="http://schemas.openxmlformats.org/spreadsheetml/2006/main" r="AH163" s="11">
        <ns0:v>60</ns0:v>
      </ns0:c>
      <ns0:c xmlns:ns0="http://schemas.openxmlformats.org/spreadsheetml/2006/main" r="AI163" s="11">
        <ns0:v>710.513138803104</ns0:v>
      </ns0:c>
      <ns0:c xmlns:ns0="http://schemas.openxmlformats.org/spreadsheetml/2006/main" r="AJ163" s="11" t="inlineStr">
        <ns0:is>
          <ns0:t>MY_LIB_C_RC</ns0:t>
        </ns0:is>
      </ns0:c>
      <ns0:c xmlns:ns0="http://schemas.openxmlformats.org/spreadsheetml/2006/main" r="AK163" s="11" t="inlineStr">
        <ns0:is>
          <ns0:t>Nominal C; DFmax at 1kHz; minimum insulation; no temperature/bias/ESL</ns0:t>
        </ns0:is>
      </ns0:c>
      <ns0:c xmlns:ns0="http://schemas.openxmlformats.org/spreadsheetml/2006/main" r="AL163" s="11" t="inlineStr">
        <ns0:is>
          <ns0:t>General</ns0:t>
        </ns0:is>
      </ns0:c>
      <ns0:c xmlns:ns0="http://schemas.openxmlformats.org/spreadsheetml/2006/main" r="AM163" s="11" t="inlineStr">
        <ns0:is>
          <ns0:t>Spice Subcircuit</ns0:t>
        </ns0:is>
      </ns0:c>
      <ns0:c xmlns:ns0="http://schemas.openxmlformats.org/spreadsheetml/2006/main" r="AN163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163" s="11" t="inlineStr">
        <ns0:is>
          <ns0:t>X</ns0:t>
        </ns0:is>
      </ns0:c>
      <ns0:c xmlns:ns0="http://schemas.openxmlformats.org/spreadsheetml/2006/main" r="AP163" s="11" t="inlineStr">
        <ns0:is>
          <ns0:t>(1:1),(2:2)</ns0:t>
        </ns0:is>
      </ns0:c>
      <ns0:c xmlns:ns0="http://schemas.openxmlformats.org/spreadsheetml/2006/main" r="AQ163" s="11" t="inlineStr">
        <ns0:is>
          <ns0:t>Simulation\Capacitors\MY_LIB_C_RC.ckt</ns0:t>
        </ns0:is>
      </ns0:c>
    </ns0:row>
    <ns0:row r="164" ht="30" customHeight="1">
      <ns0:c r="A164" t="str" s="14">
        <ns0:v>C0165</ns0:v>
      </ns0:c>
      <ns0:c r="B164" t="str" s="14">
        <ns0:v>Конденсатор</ns0:v>
      </ns0:c>
      <ns0:c r="C164" t="str" s="14">
        <ns0:v>6.8n</ns0:v>
      </ns0:c>
      <ns0:c r="D164" t="str" s="11">
        <ns0:f>SUBSTITUTE(SUBSTITUTE(SUBSTITUTE(SUBSTITUTE(C164,"p"," пФ"),"n"," нФ"),"u"," мкФ"),".",",")</ns0:f>
        <ns0:v>6,8 нФ</ns0:v>
      </ns0:c>
      <ns0:c r="E164" t="str" s="14">
        <ns0:v>±5%</ns0:v>
      </ns0:c>
      <ns0:c r="F164" s="14"/>
      <ns0:c r="G164" t="str" s="14">
        <ns0:v>100 В</ns0:v>
      </ns0:c>
      <ns0:c r="H164" t="str" s="14">
        <ns0:v>X7R</ns0:v>
      </ns0:c>
      <ns0:c r="I164" t="str" s="15">
        <ns0:v>0603</ns0:v>
      </ns0:c>
      <ns0:c r="J164" t="str" s="14">
        <ns0:v>YAGEO</ns0:v>
      </ns0:c>
      <ns0:c r="K164" t="str" s="14">
        <ns0:v>CC0603JRX7R0BB682</ns0:v>
      </ns0:c>
      <ns0:c r="L164" t="str" s="11">
        <ns0:f>B164&amp;" "&amp;D164&amp;" "&amp;E164&amp;" "&amp;G164&amp;" "&amp;H164&amp;" "&amp;I164</ns0:f>
        <ns0:v>Конденсатор 6,8 нФ ±5% 100 В X7R 0603</ns0:v>
      </ns0:c>
      <ns0:c r="M164" t="str" s="13">
        <ns0:v>C</ns0:v>
      </ns0:c>
      <ns0:c r="N164" t="str" s="13">
        <ns0:v>Symbols\MY_LIB_Capacitors.SchLib</ns0:v>
      </ns0:c>
      <ns0:c r="O164" t="str" s="13">
        <ns0:v>CAPC1608X90N</ns0:v>
      </ns0:c>
      <ns0:c r="P164" t="str" s="13">
        <ns0:v>Footprints\PBL - SMD Packages.PcbLib</ns0:v>
      </ns0:c>
      <ns0:c r="Q164" t="str" s="14">
        <ns0:v>YAGEO CC; список 20.10.2026</ns0:v>
      </ns0:c>
      <ns0:c r="R164" t="str" s="11">
        <ns0:f>D164</ns0:f>
        <ns0:v>6,8 нФ</ns0:v>
      </ns0:c>
      <ns0:c r="S164" t="str" s="11">
        <ns0:f>L164</ns0:f>
        <ns0:v>Конденсатор 6,8 нФ ±5% 100 В X7R 0603</ns0:v>
      </ns0:c>
      <x:c xmlns:x="http://schemas.openxmlformats.org/spreadsheetml/2006/main" r="T164" t="str" s="11">
        <x:v>C:\Users\Nomatin\Documents\Altium\MY_LIB\MY_LIB\Datasheets\YAGEO_CC_X7R.pdf</x:v>
      </x:c>
      <x:c xmlns:x="http://schemas.openxmlformats.org/spreadsheetml/2006/main" r="U164" t="str" s="11">
        <x:v>Даташит — локальный</x:v>
      </x:c>
      <x:c xmlns:x="http://schemas.openxmlformats.org/spreadsheetml/2006/main" r="V164" t="str" s="11">
        <x:v>C:\Users\Nomatin\Documents\Altium\MY_LIB\MY_LIB\Datasheets\YAGEO_CC_X7R.pdf</x:v>
      </x:c>
      <x:c xmlns:x="http://schemas.openxmlformats.org/spreadsheetml/2006/main" r="W164" t="str" s="11">
        <x:v>Даташит — производитель</x:v>
      </x:c>
      <x:c xmlns:x="http://schemas.openxmlformats.org/spreadsheetml/2006/main" r="X164" t="str" s="11">
        <x:v>https://yageogroup.com/content/datasheet/asset/file/UPY-GPHC_X7R_6_3V-TO-250V</x:v>
      </x:c>
      <x:c xmlns:x="http://schemas.openxmlformats.org/spreadsheetml/2006/main" r="Y164" t="str" s="11">
        <x:v>C:\Users\Nomatin\Documents\Altium\MY_LIB\MY_LIB\Datasheets\YAGEO_CC_X7R.pdf</x:v>
      </x:c>
      <ns0:c xmlns:ns0="http://schemas.openxmlformats.org/spreadsheetml/2006/main" r="Z164" s="11">
        <ns0:v>6.8e-09</ns0:v>
      </ns0:c>
      <ns0:c xmlns:ns0="http://schemas.openxmlformats.org/spreadsheetml/2006/main" r="AA164" s="11">
        <ns0:v>0.025</ns0:v>
      </ns0:c>
      <ns0:c xmlns:ns0="http://schemas.openxmlformats.org/spreadsheetml/2006/main" r="AB164" s="11">
        <ns0:v>1000</ns0:v>
      </ns0:c>
      <ns0:c xmlns:ns0="http://schemas.openxmlformats.org/spreadsheetml/2006/main" r="AC164" s="11">
        <ns0:v>1</ns0:v>
      </ns0:c>
      <ns0:c xmlns:ns0="http://schemas.openxmlformats.org/spreadsheetml/2006/main" r="AD164" s="11">
        <ns0:v>20</ns0:v>
      </ns0:c>
      <ns0:c xmlns:ns0="http://schemas.openxmlformats.org/spreadsheetml/2006/main" r="AE164" s="11">
        <ns0:v>500</ns0:v>
      </ns0:c>
      <ns0:c xmlns:ns0="http://schemas.openxmlformats.org/spreadsheetml/2006/main" r="AF164" s="11">
        <ns0:v>10000000000</ns0:v>
      </ns0:c>
      <ns0:c xmlns:ns0="http://schemas.openxmlformats.org/spreadsheetml/2006/main" r="AG164" s="11">
        <ns0:v>100</ns0:v>
      </ns0:c>
      <ns0:c xmlns:ns0="http://schemas.openxmlformats.org/spreadsheetml/2006/main" r="AH164" s="11">
        <ns0:v>60</ns0:v>
      </ns0:c>
      <ns0:c xmlns:ns0="http://schemas.openxmlformats.org/spreadsheetml/2006/main" r="AI164" s="11">
        <ns0:v>585.128467249615</ns0:v>
      </ns0:c>
      <ns0:c xmlns:ns0="http://schemas.openxmlformats.org/spreadsheetml/2006/main" r="AJ164" s="11" t="inlineStr">
        <ns0:is>
          <ns0:t>MY_LIB_C_RC</ns0:t>
        </ns0:is>
      </ns0:c>
      <ns0:c xmlns:ns0="http://schemas.openxmlformats.org/spreadsheetml/2006/main" r="AK164" s="11" t="inlineStr">
        <ns0:is>
          <ns0:t>Nominal C; DFmax at 1kHz; minimum insulation; no temperature/bias/ESL</ns0:t>
        </ns0:is>
      </ns0:c>
      <ns0:c xmlns:ns0="http://schemas.openxmlformats.org/spreadsheetml/2006/main" r="AL164" s="11" t="inlineStr">
        <ns0:is>
          <ns0:t>General</ns0:t>
        </ns0:is>
      </ns0:c>
      <ns0:c xmlns:ns0="http://schemas.openxmlformats.org/spreadsheetml/2006/main" r="AM164" s="11" t="inlineStr">
        <ns0:is>
          <ns0:t>Spice Subcircuit</ns0:t>
        </ns0:is>
      </ns0:c>
      <ns0:c xmlns:ns0="http://schemas.openxmlformats.org/spreadsheetml/2006/main" r="AN164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164" s="11" t="inlineStr">
        <ns0:is>
          <ns0:t>X</ns0:t>
        </ns0:is>
      </ns0:c>
      <ns0:c xmlns:ns0="http://schemas.openxmlformats.org/spreadsheetml/2006/main" r="AP164" s="11" t="inlineStr">
        <ns0:is>
          <ns0:t>(1:1),(2:2)</ns0:t>
        </ns0:is>
      </ns0:c>
      <ns0:c xmlns:ns0="http://schemas.openxmlformats.org/spreadsheetml/2006/main" r="AQ164" s="11" t="inlineStr">
        <ns0:is>
          <ns0:t>Simulation\Capacitors\MY_LIB_C_RC.ckt</ns0:t>
        </ns0:is>
      </ns0:c>
    </ns0:row>
    <ns0:row r="165" ht="30" customHeight="1">
      <ns0:c r="A165" t="str" s="14">
        <ns0:v>C0166</ns0:v>
      </ns0:c>
      <ns0:c r="B165" t="str" s="14">
        <ns0:v>Конденсатор</ns0:v>
      </ns0:c>
      <ns0:c r="C165" t="str" s="14">
        <ns0:v>8.2n</ns0:v>
      </ns0:c>
      <ns0:c r="D165" t="str" s="11">
        <ns0:f>SUBSTITUTE(SUBSTITUTE(SUBSTITUTE(SUBSTITUTE(C165,"p"," пФ"),"n"," нФ"),"u"," мкФ"),".",",")</ns0:f>
        <ns0:v>8,2 нФ</ns0:v>
      </ns0:c>
      <ns0:c r="E165" t="str" s="14">
        <ns0:v>±5%</ns0:v>
      </ns0:c>
      <ns0:c r="F165" s="14"/>
      <ns0:c r="G165" t="str" s="14">
        <ns0:v>50 В</ns0:v>
      </ns0:c>
      <ns0:c r="H165" t="str" s="14">
        <ns0:v>X7R</ns0:v>
      </ns0:c>
      <ns0:c r="I165" t="str" s="15">
        <ns0:v>0603</ns0:v>
      </ns0:c>
      <ns0:c r="J165" t="str" s="14">
        <ns0:v>YAGEO</ns0:v>
      </ns0:c>
      <ns0:c r="K165" t="str" s="14">
        <ns0:v>CC0603JRX7R9BB822</ns0:v>
      </ns0:c>
      <ns0:c r="L165" t="str" s="11">
        <ns0:f>B165&amp;" "&amp;D165&amp;" "&amp;E165&amp;" "&amp;G165&amp;" "&amp;H165&amp;" "&amp;I165</ns0:f>
        <ns0:v>Конденсатор 8,2 нФ ±5% 50 В X7R 0603</ns0:v>
      </ns0:c>
      <ns0:c r="M165" t="str" s="13">
        <ns0:v>C</ns0:v>
      </ns0:c>
      <ns0:c r="N165" t="str" s="13">
        <ns0:v>Symbols\MY_LIB_Capacitors.SchLib</ns0:v>
      </ns0:c>
      <ns0:c r="O165" t="str" s="13">
        <ns0:v>CAPC1608X90N</ns0:v>
      </ns0:c>
      <ns0:c r="P165" t="str" s="13">
        <ns0:v>Footprints\PBL - SMD Packages.PcbLib</ns0:v>
      </ns0:c>
      <ns0:c r="Q165" t="str" s="14">
        <ns0:v>YAGEO CC; список 20.10.2026</ns0:v>
      </ns0:c>
      <ns0:c r="R165" t="str" s="11">
        <ns0:f>D165</ns0:f>
        <ns0:v>8,2 нФ</ns0:v>
      </ns0:c>
      <ns0:c r="S165" t="str" s="11">
        <ns0:f>L165</ns0:f>
        <ns0:v>Конденсатор 8,2 нФ ±5% 50 В X7R 0603</ns0:v>
      </ns0:c>
      <x:c xmlns:x="http://schemas.openxmlformats.org/spreadsheetml/2006/main" r="T165" t="str" s="11">
        <x:v>C:\Users\Nomatin\Documents\Altium\MY_LIB\MY_LIB\Datasheets\YAGEO_CC_X7R.pdf</x:v>
      </x:c>
      <x:c xmlns:x="http://schemas.openxmlformats.org/spreadsheetml/2006/main" r="U165" t="str" s="11">
        <x:v>Даташит — локальный</x:v>
      </x:c>
      <x:c xmlns:x="http://schemas.openxmlformats.org/spreadsheetml/2006/main" r="V165" t="str" s="11">
        <x:v>C:\Users\Nomatin\Documents\Altium\MY_LIB\MY_LIB\Datasheets\YAGEO_CC_X7R.pdf</x:v>
      </x:c>
      <x:c xmlns:x="http://schemas.openxmlformats.org/spreadsheetml/2006/main" r="W165" t="str" s="11">
        <x:v>Даташит — производитель</x:v>
      </x:c>
      <x:c xmlns:x="http://schemas.openxmlformats.org/spreadsheetml/2006/main" r="X165" t="str" s="11">
        <x:v>https://yageogroup.com/content/datasheet/asset/file/UPY-GPHC_X7R_6_3V-TO-250V</x:v>
      </x:c>
      <x:c xmlns:x="http://schemas.openxmlformats.org/spreadsheetml/2006/main" r="Y165" t="str" s="11">
        <x:v>C:\Users\Nomatin\Documents\Altium\MY_LIB\MY_LIB\Datasheets\YAGEO_CC_X7R.pdf</x:v>
      </x:c>
      <ns0:c xmlns:ns0="http://schemas.openxmlformats.org/spreadsheetml/2006/main" r="Z165" s="11">
        <ns0:v>8.2e-09</ns0:v>
      </ns0:c>
      <ns0:c xmlns:ns0="http://schemas.openxmlformats.org/spreadsheetml/2006/main" r="AA165" s="11">
        <ns0:v>0.025</ns0:v>
      </ns0:c>
      <ns0:c xmlns:ns0="http://schemas.openxmlformats.org/spreadsheetml/2006/main" r="AB165" s="11">
        <ns0:v>1000</ns0:v>
      </ns0:c>
      <ns0:c xmlns:ns0="http://schemas.openxmlformats.org/spreadsheetml/2006/main" r="AC165" s="11">
        <ns0:v>1</ns0:v>
      </ns0:c>
      <ns0:c xmlns:ns0="http://schemas.openxmlformats.org/spreadsheetml/2006/main" r="AD165" s="11">
        <ns0:v>20</ns0:v>
      </ns0:c>
      <ns0:c xmlns:ns0="http://schemas.openxmlformats.org/spreadsheetml/2006/main" r="AE165" s="11">
        <ns0:v>500</ns0:v>
      </ns0:c>
      <ns0:c xmlns:ns0="http://schemas.openxmlformats.org/spreadsheetml/2006/main" r="AF165" s="11">
        <ns0:v>10000000000</ns0:v>
      </ns0:c>
      <ns0:c xmlns:ns0="http://schemas.openxmlformats.org/spreadsheetml/2006/main" r="AG165" s="11">
        <ns0:v>50</ns0:v>
      </ns0:c>
      <ns0:c xmlns:ns0="http://schemas.openxmlformats.org/spreadsheetml/2006/main" r="AH165" s="11">
        <ns0:v>60</ns0:v>
      </ns0:c>
      <ns0:c xmlns:ns0="http://schemas.openxmlformats.org/spreadsheetml/2006/main" r="AI165" s="11">
        <ns0:v>485.228485036266</ns0:v>
      </ns0:c>
      <ns0:c xmlns:ns0="http://schemas.openxmlformats.org/spreadsheetml/2006/main" r="AJ165" s="11" t="inlineStr">
        <ns0:is>
          <ns0:t>MY_LIB_C_RC</ns0:t>
        </ns0:is>
      </ns0:c>
      <ns0:c xmlns:ns0="http://schemas.openxmlformats.org/spreadsheetml/2006/main" r="AK165" s="11" t="inlineStr">
        <ns0:is>
          <ns0:t>Nominal C; DFmax at 1kHz; minimum insulation; no temperature/bias/ESL</ns0:t>
        </ns0:is>
      </ns0:c>
      <ns0:c xmlns:ns0="http://schemas.openxmlformats.org/spreadsheetml/2006/main" r="AL165" s="11" t="inlineStr">
        <ns0:is>
          <ns0:t>General</ns0:t>
        </ns0:is>
      </ns0:c>
      <ns0:c xmlns:ns0="http://schemas.openxmlformats.org/spreadsheetml/2006/main" r="AM165" s="11" t="inlineStr">
        <ns0:is>
          <ns0:t>Spice Subcircuit</ns0:t>
        </ns0:is>
      </ns0:c>
      <ns0:c xmlns:ns0="http://schemas.openxmlformats.org/spreadsheetml/2006/main" r="AN165" s="11" t="inlineStr">
        <ns0:is>
          <ns0:t>@DESIGNATOR %1 %2 @MODEL PARAMS: Cvalue=8.2e-09 Rsvalue=485.228485036266 Rinsvalue=10000000000</ns0:t>
        </ns0:is>
      </ns0:c>
      <ns0:c xmlns:ns0="http://schemas.openxmlformats.org/spreadsheetml/2006/main" r="AO165" s="11" t="inlineStr">
        <ns0:is>
          <ns0:t>X</ns0:t>
        </ns0:is>
      </ns0:c>
      <ns0:c xmlns:ns0="http://schemas.openxmlformats.org/spreadsheetml/2006/main" r="AP165" s="11" t="inlineStr">
        <ns0:is>
          <ns0:t>(1:1),(2:2)</ns0:t>
        </ns0:is>
      </ns0:c>
      <ns0:c xmlns:ns0="http://schemas.openxmlformats.org/spreadsheetml/2006/main" r="AQ165" s="11" t="inlineStr">
        <ns0:is>
          <ns0:t>Simulation\Capacitors\MY_LIB_C_RC.ckt</ns0:t>
        </ns0:is>
      </ns0:c>
    </ns0:row>
    <ns0:row r="166" ht="30" customHeight="1">
      <ns0:c r="A166" t="str" s="14">
        <ns0:v>C0167</ns0:v>
      </ns0:c>
      <ns0:c r="B166" t="str" s="14">
        <ns0:v>Конденсатор</ns0:v>
      </ns0:c>
      <ns0:c r="C166" t="str" s="14">
        <ns0:v>10n</ns0:v>
      </ns0:c>
      <ns0:c r="D166" t="str" s="11">
        <ns0:f>SUBSTITUTE(SUBSTITUTE(SUBSTITUTE(SUBSTITUTE(C166,"p"," пФ"),"n"," нФ"),"u"," мкФ"),".",",")</ns0:f>
        <ns0:v>10 нФ</ns0:v>
      </ns0:c>
      <ns0:c r="E166" t="str" s="14">
        <ns0:v>±5%</ns0:v>
      </ns0:c>
      <ns0:c r="F166" s="14"/>
      <ns0:c r="G166" t="str" s="14">
        <ns0:v>100 В</ns0:v>
      </ns0:c>
      <ns0:c r="H166" t="str" s="14">
        <ns0:v>X7R</ns0:v>
      </ns0:c>
      <ns0:c r="I166" t="str" s="15">
        <ns0:v>0603</ns0:v>
      </ns0:c>
      <ns0:c r="J166" t="str" s="14">
        <ns0:v>YAGEO</ns0:v>
      </ns0:c>
      <ns0:c r="K166" t="str" s="14">
        <ns0:v>CC0603JRX7R0BB103</ns0:v>
      </ns0:c>
      <ns0:c r="L166" t="str" s="11">
        <ns0:f>B166&amp;" "&amp;D166&amp;" "&amp;E166&amp;" "&amp;G166&amp;" "&amp;H166&amp;" "&amp;I166</ns0:f>
        <ns0:v>Конденсатор 10 нФ ±5% 100 В X7R 0603</ns0:v>
      </ns0:c>
      <ns0:c r="M166" t="str" s="13">
        <ns0:v>C</ns0:v>
      </ns0:c>
      <ns0:c r="N166" t="str" s="13">
        <ns0:v>Symbols\MY_LIB_Capacitors.SchLib</ns0:v>
      </ns0:c>
      <ns0:c r="O166" t="str" s="13">
        <ns0:v>CAPC1608X90N</ns0:v>
      </ns0:c>
      <ns0:c r="P166" t="str" s="13">
        <ns0:v>Footprints\PBL - SMD Packages.PcbLib</ns0:v>
      </ns0:c>
      <ns0:c r="Q166" t="str" s="14">
        <ns0:v>YAGEO CC; список 20.10.2026</ns0:v>
      </ns0:c>
      <ns0:c r="R166" t="str" s="11">
        <ns0:f>D166</ns0:f>
        <ns0:v>10 нФ</ns0:v>
      </ns0:c>
      <ns0:c r="S166" t="str" s="11">
        <ns0:f>L166</ns0:f>
        <ns0:v>Конденсатор 10 нФ ±5% 100 В X7R 0603</ns0:v>
      </ns0:c>
      <x:c xmlns:x="http://schemas.openxmlformats.org/spreadsheetml/2006/main" r="T166" t="str" s="11">
        <x:v>C:\Users\Nomatin\Documents\Altium\MY_LIB\MY_LIB\Datasheets\YAGEO_CC_X7R.pdf</x:v>
      </x:c>
      <x:c xmlns:x="http://schemas.openxmlformats.org/spreadsheetml/2006/main" r="U166" t="str" s="11">
        <x:v>Даташит — локальный</x:v>
      </x:c>
      <x:c xmlns:x="http://schemas.openxmlformats.org/spreadsheetml/2006/main" r="V166" t="str" s="11">
        <x:v>C:\Users\Nomatin\Documents\Altium\MY_LIB\MY_LIB\Datasheets\YAGEO_CC_X7R.pdf</x:v>
      </x:c>
      <x:c xmlns:x="http://schemas.openxmlformats.org/spreadsheetml/2006/main" r="W166" t="str" s="11">
        <x:v>Даташит — производитель</x:v>
      </x:c>
      <x:c xmlns:x="http://schemas.openxmlformats.org/spreadsheetml/2006/main" r="X166" t="str" s="11">
        <x:v>https://yageogroup.com/content/datasheet/asset/file/UPY-GPHC_X7R_6_3V-TO-250V</x:v>
      </x:c>
      <x:c xmlns:x="http://schemas.openxmlformats.org/spreadsheetml/2006/main" r="Y166" t="str" s="11">
        <x:v>C:\Users\Nomatin\Documents\Altium\MY_LIB\MY_LIB\Datasheets\YAGEO_CC_X7R.pdf</x:v>
      </x:c>
      <ns0:c xmlns:ns0="http://schemas.openxmlformats.org/spreadsheetml/2006/main" r="Z166" s="11">
        <ns0:v>1e-08</ns0:v>
      </ns0:c>
      <ns0:c xmlns:ns0="http://schemas.openxmlformats.org/spreadsheetml/2006/main" r="AA166" s="11">
        <ns0:v>0.025</ns0:v>
      </ns0:c>
      <ns0:c xmlns:ns0="http://schemas.openxmlformats.org/spreadsheetml/2006/main" r="AB166" s="11">
        <ns0:v>1000</ns0:v>
      </ns0:c>
      <ns0:c xmlns:ns0="http://schemas.openxmlformats.org/spreadsheetml/2006/main" r="AC166" s="11">
        <ns0:v>1</ns0:v>
      </ns0:c>
      <ns0:c xmlns:ns0="http://schemas.openxmlformats.org/spreadsheetml/2006/main" r="AD166" s="11">
        <ns0:v>20</ns0:v>
      </ns0:c>
      <ns0:c xmlns:ns0="http://schemas.openxmlformats.org/spreadsheetml/2006/main" r="AE166" s="11">
        <ns0:v>500</ns0:v>
      </ns0:c>
      <ns0:c xmlns:ns0="http://schemas.openxmlformats.org/spreadsheetml/2006/main" r="AF166" s="11">
        <ns0:v>10000000000</ns0:v>
      </ns0:c>
      <ns0:c xmlns:ns0="http://schemas.openxmlformats.org/spreadsheetml/2006/main" r="AG166" s="11">
        <ns0:v>100</ns0:v>
      </ns0:c>
      <ns0:c xmlns:ns0="http://schemas.openxmlformats.org/spreadsheetml/2006/main" r="AH166" s="11">
        <ns0:v>60</ns0:v>
      </ns0:c>
      <ns0:c xmlns:ns0="http://schemas.openxmlformats.org/spreadsheetml/2006/main" r="AI166" s="11">
        <ns0:v>397.887357729738</ns0:v>
      </ns0:c>
      <ns0:c xmlns:ns0="http://schemas.openxmlformats.org/spreadsheetml/2006/main" r="AJ166" s="11" t="inlineStr">
        <ns0:is>
          <ns0:t>MY_LIB_C_RC</ns0:t>
        </ns0:is>
      </ns0:c>
      <ns0:c xmlns:ns0="http://schemas.openxmlformats.org/spreadsheetml/2006/main" r="AK166" s="11" t="inlineStr">
        <ns0:is>
          <ns0:t>Nominal C; DFmax at 1kHz; minimum insulation; no temperature/bias/ESL</ns0:t>
        </ns0:is>
      </ns0:c>
      <ns0:c xmlns:ns0="http://schemas.openxmlformats.org/spreadsheetml/2006/main" r="AL166" s="11" t="inlineStr">
        <ns0:is>
          <ns0:t>General</ns0:t>
        </ns0:is>
      </ns0:c>
      <ns0:c xmlns:ns0="http://schemas.openxmlformats.org/spreadsheetml/2006/main" r="AM166" s="11" t="inlineStr">
        <ns0:is>
          <ns0:t>Spice Subcircuit</ns0:t>
        </ns0:is>
      </ns0:c>
      <ns0:c xmlns:ns0="http://schemas.openxmlformats.org/spreadsheetml/2006/main" r="AN166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166" s="11" t="inlineStr">
        <ns0:is>
          <ns0:t>X</ns0:t>
        </ns0:is>
      </ns0:c>
      <ns0:c xmlns:ns0="http://schemas.openxmlformats.org/spreadsheetml/2006/main" r="AP166" s="11" t="inlineStr">
        <ns0:is>
          <ns0:t>(1:1),(2:2)</ns0:t>
        </ns0:is>
      </ns0:c>
      <ns0:c xmlns:ns0="http://schemas.openxmlformats.org/spreadsheetml/2006/main" r="AQ166" s="11" t="inlineStr">
        <ns0:is>
          <ns0:t>Simulation\Capacitors\MY_LIB_C_RC.ckt</ns0:t>
        </ns0:is>
      </ns0:c>
    </ns0:row>
    <ns0:row r="167" ht="30" customHeight="1">
      <ns0:c r="A167" t="str" s="14">
        <ns0:v>C0168</ns0:v>
      </ns0:c>
      <ns0:c r="B167" t="str" s="14">
        <ns0:v>Конденсатор</ns0:v>
      </ns0:c>
      <ns0:c r="C167" t="str" s="14">
        <ns0:v>12n</ns0:v>
      </ns0:c>
      <ns0:c r="D167" t="str" s="11">
        <ns0:f>SUBSTITUTE(SUBSTITUTE(SUBSTITUTE(SUBSTITUTE(C167,"p"," пФ"),"n"," нФ"),"u"," мкФ"),".",",")</ns0:f>
        <ns0:v>12 нФ</ns0:v>
      </ns0:c>
      <ns0:c r="E167" t="str" s="14">
        <ns0:v>±5%</ns0:v>
      </ns0:c>
      <ns0:c r="F167" s="14"/>
      <ns0:c r="G167" t="str" s="14">
        <ns0:v>100 В</ns0:v>
      </ns0:c>
      <ns0:c r="H167" t="str" s="14">
        <ns0:v>X7R</ns0:v>
      </ns0:c>
      <ns0:c r="I167" t="str" s="15">
        <ns0:v>0603</ns0:v>
      </ns0:c>
      <ns0:c r="J167" t="str" s="14">
        <ns0:v>YAGEO</ns0:v>
      </ns0:c>
      <ns0:c r="K167" t="str" s="14">
        <ns0:v>CC0603JRX7R0BB123</ns0:v>
      </ns0:c>
      <ns0:c r="L167" t="str" s="11">
        <ns0:f>B167&amp;" "&amp;D167&amp;" "&amp;E167&amp;" "&amp;G167&amp;" "&amp;H167&amp;" "&amp;I167</ns0:f>
        <ns0:v>Конденсатор 12 нФ ±5% 100 В X7R 0603</ns0:v>
      </ns0:c>
      <ns0:c r="M167" t="str" s="13">
        <ns0:v>C</ns0:v>
      </ns0:c>
      <ns0:c r="N167" t="str" s="13">
        <ns0:v>Symbols\MY_LIB_Capacitors.SchLib</ns0:v>
      </ns0:c>
      <ns0:c r="O167" t="str" s="13">
        <ns0:v>CAPC1608X90N</ns0:v>
      </ns0:c>
      <ns0:c r="P167" t="str" s="13">
        <ns0:v>Footprints\PBL - SMD Packages.PcbLib</ns0:v>
      </ns0:c>
      <ns0:c r="Q167" t="str" s="14">
        <ns0:v>YAGEO CC; список 20.10.2026</ns0:v>
      </ns0:c>
      <ns0:c r="R167" t="str" s="11">
        <ns0:f>D167</ns0:f>
        <ns0:v>12 нФ</ns0:v>
      </ns0:c>
      <ns0:c r="S167" t="str" s="11">
        <ns0:f>L167</ns0:f>
        <ns0:v>Конденсатор 12 нФ ±5% 100 В X7R 0603</ns0:v>
      </ns0:c>
      <x:c xmlns:x="http://schemas.openxmlformats.org/spreadsheetml/2006/main" r="T167" t="str" s="11">
        <x:v>C:\Users\Nomatin\Documents\Altium\MY_LIB\MY_LIB\Datasheets\YAGEO_CC_X7R.pdf</x:v>
      </x:c>
      <x:c xmlns:x="http://schemas.openxmlformats.org/spreadsheetml/2006/main" r="U167" t="str" s="11">
        <x:v>Даташит — локальный</x:v>
      </x:c>
      <x:c xmlns:x="http://schemas.openxmlformats.org/spreadsheetml/2006/main" r="V167" t="str" s="11">
        <x:v>C:\Users\Nomatin\Documents\Altium\MY_LIB\MY_LIB\Datasheets\YAGEO_CC_X7R.pdf</x:v>
      </x:c>
      <x:c xmlns:x="http://schemas.openxmlformats.org/spreadsheetml/2006/main" r="W167" t="str" s="11">
        <x:v>Даташит — производитель</x:v>
      </x:c>
      <x:c xmlns:x="http://schemas.openxmlformats.org/spreadsheetml/2006/main" r="X167" t="str" s="11">
        <x:v>https://yageogroup.com/content/datasheet/asset/file/UPY-GPHC_X7R_6_3V-TO-250V</x:v>
      </x:c>
      <x:c xmlns:x="http://schemas.openxmlformats.org/spreadsheetml/2006/main" r="Y167" t="str" s="11">
        <x:v>C:\Users\Nomatin\Documents\Altium\MY_LIB\MY_LIB\Datasheets\YAGEO_CC_X7R.pdf</x:v>
      </x:c>
      <ns0:c xmlns:ns0="http://schemas.openxmlformats.org/spreadsheetml/2006/main" r="Z167" s="11">
        <ns0:v>1.2e-08</ns0:v>
      </ns0:c>
      <ns0:c xmlns:ns0="http://schemas.openxmlformats.org/spreadsheetml/2006/main" r="AA167" s="11">
        <ns0:v>0.05</ns0:v>
      </ns0:c>
      <ns0:c xmlns:ns0="http://schemas.openxmlformats.org/spreadsheetml/2006/main" r="AB167" s="11">
        <ns0:v>1000</ns0:v>
      </ns0:c>
      <ns0:c xmlns:ns0="http://schemas.openxmlformats.org/spreadsheetml/2006/main" r="AC167" s="11">
        <ns0:v>1</ns0:v>
      </ns0:c>
      <ns0:c xmlns:ns0="http://schemas.openxmlformats.org/spreadsheetml/2006/main" r="AD167" s="11">
        <ns0:v>20</ns0:v>
      </ns0:c>
      <ns0:c xmlns:ns0="http://schemas.openxmlformats.org/spreadsheetml/2006/main" r="AE167" s="11">
        <ns0:v>500</ns0:v>
      </ns0:c>
      <ns0:c xmlns:ns0="http://schemas.openxmlformats.org/spreadsheetml/2006/main" r="AF167" s="11">
        <ns0:v>10000000000</ns0:v>
      </ns0:c>
      <ns0:c xmlns:ns0="http://schemas.openxmlformats.org/spreadsheetml/2006/main" r="AG167" s="11">
        <ns0:v>100</ns0:v>
      </ns0:c>
      <ns0:c xmlns:ns0="http://schemas.openxmlformats.org/spreadsheetml/2006/main" r="AH167" s="11">
        <ns0:v>60</ns0:v>
      </ns0:c>
      <ns0:c xmlns:ns0="http://schemas.openxmlformats.org/spreadsheetml/2006/main" r="AI167" s="11">
        <ns0:v>663.145596216231</ns0:v>
      </ns0:c>
      <ns0:c xmlns:ns0="http://schemas.openxmlformats.org/spreadsheetml/2006/main" r="AJ167" s="11" t="inlineStr">
        <ns0:is>
          <ns0:t>MY_LIB_C_RC</ns0:t>
        </ns0:is>
      </ns0:c>
      <ns0:c xmlns:ns0="http://schemas.openxmlformats.org/spreadsheetml/2006/main" r="AK167" s="11" t="inlineStr">
        <ns0:is>
          <ns0:t>Nominal C; DFmax at 1kHz; minimum insulation; no temperature/bias/ESL</ns0:t>
        </ns0:is>
      </ns0:c>
      <ns0:c xmlns:ns0="http://schemas.openxmlformats.org/spreadsheetml/2006/main" r="AL167" s="11" t="inlineStr">
        <ns0:is>
          <ns0:t>General</ns0:t>
        </ns0:is>
      </ns0:c>
      <ns0:c xmlns:ns0="http://schemas.openxmlformats.org/spreadsheetml/2006/main" r="AM167" s="11" t="inlineStr">
        <ns0:is>
          <ns0:t>Spice Subcircuit</ns0:t>
        </ns0:is>
      </ns0:c>
      <ns0:c xmlns:ns0="http://schemas.openxmlformats.org/spreadsheetml/2006/main" r="AN167" s="11" t="inlineStr">
        <ns0:is>
          <ns0:t>@DESIGNATOR %1 %2 @MODEL PARAMS: Cvalue=1.2e-08 Rsvalue=663.145596216231 Rinsvalue=10000000000</ns0:t>
        </ns0:is>
      </ns0:c>
      <ns0:c xmlns:ns0="http://schemas.openxmlformats.org/spreadsheetml/2006/main" r="AO167" s="11" t="inlineStr">
        <ns0:is>
          <ns0:t>X</ns0:t>
        </ns0:is>
      </ns0:c>
      <ns0:c xmlns:ns0="http://schemas.openxmlformats.org/spreadsheetml/2006/main" r="AP167" s="11" t="inlineStr">
        <ns0:is>
          <ns0:t>(1:1),(2:2)</ns0:t>
        </ns0:is>
      </ns0:c>
      <ns0:c xmlns:ns0="http://schemas.openxmlformats.org/spreadsheetml/2006/main" r="AQ167" s="11" t="inlineStr">
        <ns0:is>
          <ns0:t>Simulation\Capacitors\MY_LIB_C_RC.ckt</ns0:t>
        </ns0:is>
      </ns0:c>
    </ns0:row>
    <ns0:row r="168" ht="30" customHeight="1">
      <ns0:c r="A168" t="str" s="14">
        <ns0:v>C0169</ns0:v>
      </ns0:c>
      <ns0:c r="B168" t="str" s="14">
        <ns0:v>Конденсатор</ns0:v>
      </ns0:c>
      <ns0:c r="C168" t="str" s="14">
        <ns0:v>15n</ns0:v>
      </ns0:c>
      <ns0:c r="D168" t="str" s="11">
        <ns0:f>SUBSTITUTE(SUBSTITUTE(SUBSTITUTE(SUBSTITUTE(C168,"p"," пФ"),"n"," нФ"),"u"," мкФ"),".",",")</ns0:f>
        <ns0:v>15 нФ</ns0:v>
      </ns0:c>
      <ns0:c r="E168" t="str" s="14">
        <ns0:v>±5%</ns0:v>
      </ns0:c>
      <ns0:c r="F168" s="14"/>
      <ns0:c r="G168" t="str" s="14">
        <ns0:v>100 В</ns0:v>
      </ns0:c>
      <ns0:c r="H168" t="str" s="14">
        <ns0:v>X7R</ns0:v>
      </ns0:c>
      <ns0:c r="I168" t="str" s="15">
        <ns0:v>0603</ns0:v>
      </ns0:c>
      <ns0:c r="J168" t="str" s="14">
        <ns0:v>YAGEO</ns0:v>
      </ns0:c>
      <ns0:c r="K168" t="str" s="14">
        <ns0:v>CC0603JRX7R0BB153</ns0:v>
      </ns0:c>
      <ns0:c r="L168" t="str" s="11">
        <ns0:f>B168&amp;" "&amp;D168&amp;" "&amp;E168&amp;" "&amp;G168&amp;" "&amp;H168&amp;" "&amp;I168</ns0:f>
        <ns0:v>Конденсатор 15 нФ ±5% 100 В X7R 0603</ns0:v>
      </ns0:c>
      <ns0:c r="M168" t="str" s="13">
        <ns0:v>C</ns0:v>
      </ns0:c>
      <ns0:c r="N168" t="str" s="13">
        <ns0:v>Symbols\MY_LIB_Capacitors.SchLib</ns0:v>
      </ns0:c>
      <ns0:c r="O168" t="str" s="13">
        <ns0:v>CAPC1608X90N</ns0:v>
      </ns0:c>
      <ns0:c r="P168" t="str" s="13">
        <ns0:v>Footprints\PBL - SMD Packages.PcbLib</ns0:v>
      </ns0:c>
      <ns0:c r="Q168" t="str" s="14">
        <ns0:v>YAGEO CC; список 20.10.2026</ns0:v>
      </ns0:c>
      <ns0:c r="R168" t="str" s="11">
        <ns0:f>D168</ns0:f>
        <ns0:v>15 нФ</ns0:v>
      </ns0:c>
      <ns0:c r="S168" t="str" s="11">
        <ns0:f>L168</ns0:f>
        <ns0:v>Конденсатор 15 нФ ±5% 100 В X7R 0603</ns0:v>
      </ns0:c>
      <x:c xmlns:x="http://schemas.openxmlformats.org/spreadsheetml/2006/main" r="T168" t="str" s="11">
        <x:v>C:\Users\Nomatin\Documents\Altium\MY_LIB\MY_LIB\Datasheets\YAGEO_CC_X7R.pdf</x:v>
      </x:c>
      <x:c xmlns:x="http://schemas.openxmlformats.org/spreadsheetml/2006/main" r="U168" t="str" s="11">
        <x:v>Даташит — локальный</x:v>
      </x:c>
      <x:c xmlns:x="http://schemas.openxmlformats.org/spreadsheetml/2006/main" r="V168" t="str" s="11">
        <x:v>C:\Users\Nomatin\Documents\Altium\MY_LIB\MY_LIB\Datasheets\YAGEO_CC_X7R.pdf</x:v>
      </x:c>
      <x:c xmlns:x="http://schemas.openxmlformats.org/spreadsheetml/2006/main" r="W168" t="str" s="11">
        <x:v>Даташит — производитель</x:v>
      </x:c>
      <x:c xmlns:x="http://schemas.openxmlformats.org/spreadsheetml/2006/main" r="X168" t="str" s="11">
        <x:v>https://yageogroup.com/content/datasheet/asset/file/UPY-GPHC_X7R_6_3V-TO-250V</x:v>
      </x:c>
      <x:c xmlns:x="http://schemas.openxmlformats.org/spreadsheetml/2006/main" r="Y168" t="str" s="11">
        <x:v>C:\Users\Nomatin\Documents\Altium\MY_LIB\MY_LIB\Datasheets\YAGEO_CC_X7R.pdf</x:v>
      </x:c>
      <ns0:c xmlns:ns0="http://schemas.openxmlformats.org/spreadsheetml/2006/main" r="Z168" s="11">
        <ns0:v>1.5e-08</ns0:v>
      </ns0:c>
      <ns0:c xmlns:ns0="http://schemas.openxmlformats.org/spreadsheetml/2006/main" r="AA168" s="11">
        <ns0:v>0.05</ns0:v>
      </ns0:c>
      <ns0:c xmlns:ns0="http://schemas.openxmlformats.org/spreadsheetml/2006/main" r="AB168" s="11">
        <ns0:v>1000</ns0:v>
      </ns0:c>
      <ns0:c xmlns:ns0="http://schemas.openxmlformats.org/spreadsheetml/2006/main" r="AC168" s="11">
        <ns0:v>1</ns0:v>
      </ns0:c>
      <ns0:c xmlns:ns0="http://schemas.openxmlformats.org/spreadsheetml/2006/main" r="AD168" s="11">
        <ns0:v>20</ns0:v>
      </ns0:c>
      <ns0:c xmlns:ns0="http://schemas.openxmlformats.org/spreadsheetml/2006/main" r="AE168" s="11">
        <ns0:v>500</ns0:v>
      </ns0:c>
      <ns0:c xmlns:ns0="http://schemas.openxmlformats.org/spreadsheetml/2006/main" r="AF168" s="11">
        <ns0:v>10000000000</ns0:v>
      </ns0:c>
      <ns0:c xmlns:ns0="http://schemas.openxmlformats.org/spreadsheetml/2006/main" r="AG168" s="11">
        <ns0:v>100</ns0:v>
      </ns0:c>
      <ns0:c xmlns:ns0="http://schemas.openxmlformats.org/spreadsheetml/2006/main" r="AH168" s="11">
        <ns0:v>60</ns0:v>
      </ns0:c>
      <ns0:c xmlns:ns0="http://schemas.openxmlformats.org/spreadsheetml/2006/main" r="AI168" s="11">
        <ns0:v>530.516476972984</ns0:v>
      </ns0:c>
      <ns0:c xmlns:ns0="http://schemas.openxmlformats.org/spreadsheetml/2006/main" r="AJ168" s="11" t="inlineStr">
        <ns0:is>
          <ns0:t>MY_LIB_C_RC</ns0:t>
        </ns0:is>
      </ns0:c>
      <ns0:c xmlns:ns0="http://schemas.openxmlformats.org/spreadsheetml/2006/main" r="AK168" s="11" t="inlineStr">
        <ns0:is>
          <ns0:t>Nominal C; DFmax at 1kHz; minimum insulation; no temperature/bias/ESL</ns0:t>
        </ns0:is>
      </ns0:c>
      <ns0:c xmlns:ns0="http://schemas.openxmlformats.org/spreadsheetml/2006/main" r="AL168" s="11" t="inlineStr">
        <ns0:is>
          <ns0:t>General</ns0:t>
        </ns0:is>
      </ns0:c>
      <ns0:c xmlns:ns0="http://schemas.openxmlformats.org/spreadsheetml/2006/main" r="AM168" s="11" t="inlineStr">
        <ns0:is>
          <ns0:t>Spice Subcircuit</ns0:t>
        </ns0:is>
      </ns0:c>
      <ns0:c xmlns:ns0="http://schemas.openxmlformats.org/spreadsheetml/2006/main" r="AN168" s="11" t="inlineStr">
        <ns0:is>
          <ns0:t>@DESIGNATOR %1 %2 @MODEL PARAMS: Cvalue=1.5e-08 Rsvalue=530.516476972984 Rinsvalue=10000000000</ns0:t>
        </ns0:is>
      </ns0:c>
      <ns0:c xmlns:ns0="http://schemas.openxmlformats.org/spreadsheetml/2006/main" r="AO168" s="11" t="inlineStr">
        <ns0:is>
          <ns0:t>X</ns0:t>
        </ns0:is>
      </ns0:c>
      <ns0:c xmlns:ns0="http://schemas.openxmlformats.org/spreadsheetml/2006/main" r="AP168" s="11" t="inlineStr">
        <ns0:is>
          <ns0:t>(1:1),(2:2)</ns0:t>
        </ns0:is>
      </ns0:c>
      <ns0:c xmlns:ns0="http://schemas.openxmlformats.org/spreadsheetml/2006/main" r="AQ168" s="11" t="inlineStr">
        <ns0:is>
          <ns0:t>Simulation\Capacitors\MY_LIB_C_RC.ckt</ns0:t>
        </ns0:is>
      </ns0:c>
    </ns0:row>
    <ns0:row r="169" ht="30" customHeight="1">
      <ns0:c r="A169" t="str" s="14">
        <ns0:v>C0170</ns0:v>
      </ns0:c>
      <ns0:c r="B169" t="str" s="14">
        <ns0:v>Конденсатор</ns0:v>
      </ns0:c>
      <ns0:c r="C169" t="str" s="14">
        <ns0:v>18n</ns0:v>
      </ns0:c>
      <ns0:c r="D169" t="str" s="11">
        <ns0:f>SUBSTITUTE(SUBSTITUTE(SUBSTITUTE(SUBSTITUTE(C169,"p"," пФ"),"n"," нФ"),"u"," мкФ"),".",",")</ns0:f>
        <ns0:v>18 нФ</ns0:v>
      </ns0:c>
      <ns0:c r="E169" t="str" s="14">
        <ns0:v>±5%</ns0:v>
      </ns0:c>
      <ns0:c r="F169" s="14"/>
      <ns0:c r="G169" t="str" s="14">
        <ns0:v>50 В</ns0:v>
      </ns0:c>
      <ns0:c r="H169" t="str" s="14">
        <ns0:v>X7R</ns0:v>
      </ns0:c>
      <ns0:c r="I169" t="str" s="15">
        <ns0:v>0603</ns0:v>
      </ns0:c>
      <ns0:c r="J169" t="str" s="14">
        <ns0:v>YAGEO</ns0:v>
      </ns0:c>
      <ns0:c r="K169" t="str" s="14">
        <ns0:v>CC0603JRX7R9BB183</ns0:v>
      </ns0:c>
      <ns0:c r="L169" t="str" s="11">
        <ns0:f>B169&amp;" "&amp;D169&amp;" "&amp;E169&amp;" "&amp;G169&amp;" "&amp;H169&amp;" "&amp;I169</ns0:f>
        <ns0:v>Конденсатор 18 нФ ±5% 50 В X7R 0603</ns0:v>
      </ns0:c>
      <ns0:c r="M169" t="str" s="13">
        <ns0:v>C</ns0:v>
      </ns0:c>
      <ns0:c r="N169" t="str" s="13">
        <ns0:v>Symbols\MY_LIB_Capacitors.SchLib</ns0:v>
      </ns0:c>
      <ns0:c r="O169" t="str" s="13">
        <ns0:v>CAPC1608X90N</ns0:v>
      </ns0:c>
      <ns0:c r="P169" t="str" s="13">
        <ns0:v>Footprints\PBL - SMD Packages.PcbLib</ns0:v>
      </ns0:c>
      <ns0:c r="Q169" t="str" s="14">
        <ns0:v>YAGEO CC; список 20.10.2026</ns0:v>
      </ns0:c>
      <ns0:c r="R169" t="str" s="11">
        <ns0:f>D169</ns0:f>
        <ns0:v>18 нФ</ns0:v>
      </ns0:c>
      <ns0:c r="S169" t="str" s="11">
        <ns0:f>L169</ns0:f>
        <ns0:v>Конденсатор 18 нФ ±5% 50 В X7R 0603</ns0:v>
      </ns0:c>
      <x:c xmlns:x="http://schemas.openxmlformats.org/spreadsheetml/2006/main" r="T169" t="str" s="11">
        <x:v>C:\Users\Nomatin\Documents\Altium\MY_LIB\MY_LIB\Datasheets\YAGEO_CC_X7R.pdf</x:v>
      </x:c>
      <x:c xmlns:x="http://schemas.openxmlformats.org/spreadsheetml/2006/main" r="U169" t="str" s="11">
        <x:v>Даташит — локальный</x:v>
      </x:c>
      <x:c xmlns:x="http://schemas.openxmlformats.org/spreadsheetml/2006/main" r="V169" t="str" s="11">
        <x:v>C:\Users\Nomatin\Documents\Altium\MY_LIB\MY_LIB\Datasheets\YAGEO_CC_X7R.pdf</x:v>
      </x:c>
      <x:c xmlns:x="http://schemas.openxmlformats.org/spreadsheetml/2006/main" r="W169" t="str" s="11">
        <x:v>Даташит — производитель</x:v>
      </x:c>
      <x:c xmlns:x="http://schemas.openxmlformats.org/spreadsheetml/2006/main" r="X169" t="str" s="11">
        <x:v>https://yageogroup.com/content/datasheet/asset/file/UPY-GPHC_X7R_6_3V-TO-250V</x:v>
      </x:c>
      <x:c xmlns:x="http://schemas.openxmlformats.org/spreadsheetml/2006/main" r="Y169" t="str" s="11">
        <x:v>C:\Users\Nomatin\Documents\Altium\MY_LIB\MY_LIB\Datasheets\YAGEO_CC_X7R.pdf</x:v>
      </x:c>
      <ns0:c xmlns:ns0="http://schemas.openxmlformats.org/spreadsheetml/2006/main" r="Z169" s="11">
        <ns0:v>1.8e-08</ns0:v>
      </ns0:c>
      <ns0:c xmlns:ns0="http://schemas.openxmlformats.org/spreadsheetml/2006/main" r="AA169" s="11">
        <ns0:v>0.025</ns0:v>
      </ns0:c>
      <ns0:c xmlns:ns0="http://schemas.openxmlformats.org/spreadsheetml/2006/main" r="AB169" s="11">
        <ns0:v>1000</ns0:v>
      </ns0:c>
      <ns0:c xmlns:ns0="http://schemas.openxmlformats.org/spreadsheetml/2006/main" r="AC169" s="11">
        <ns0:v>1</ns0:v>
      </ns0:c>
      <ns0:c xmlns:ns0="http://schemas.openxmlformats.org/spreadsheetml/2006/main" r="AD169" s="11">
        <ns0:v>20</ns0:v>
      </ns0:c>
      <ns0:c xmlns:ns0="http://schemas.openxmlformats.org/spreadsheetml/2006/main" r="AE169" s="11">
        <ns0:v>500</ns0:v>
      </ns0:c>
      <ns0:c xmlns:ns0="http://schemas.openxmlformats.org/spreadsheetml/2006/main" r="AF169" s="11">
        <ns0:v>10000000000</ns0:v>
      </ns0:c>
      <ns0:c xmlns:ns0="http://schemas.openxmlformats.org/spreadsheetml/2006/main" r="AG169" s="11">
        <ns0:v>50</ns0:v>
      </ns0:c>
      <ns0:c xmlns:ns0="http://schemas.openxmlformats.org/spreadsheetml/2006/main" r="AH169" s="11">
        <ns0:v>60</ns0:v>
      </ns0:c>
      <ns0:c xmlns:ns0="http://schemas.openxmlformats.org/spreadsheetml/2006/main" r="AI169" s="11">
        <ns0:v>221.048532072077</ns0:v>
      </ns0:c>
      <ns0:c xmlns:ns0="http://schemas.openxmlformats.org/spreadsheetml/2006/main" r="AJ169" s="11" t="inlineStr">
        <ns0:is>
          <ns0:t>MY_LIB_C_RC</ns0:t>
        </ns0:is>
      </ns0:c>
      <ns0:c xmlns:ns0="http://schemas.openxmlformats.org/spreadsheetml/2006/main" r="AK169" s="11" t="inlineStr">
        <ns0:is>
          <ns0:t>Nominal C; DFmax at 1kHz; minimum insulation; no temperature/bias/ESL</ns0:t>
        </ns0:is>
      </ns0:c>
      <ns0:c xmlns:ns0="http://schemas.openxmlformats.org/spreadsheetml/2006/main" r="AL169" s="11" t="inlineStr">
        <ns0:is>
          <ns0:t>General</ns0:t>
        </ns0:is>
      </ns0:c>
      <ns0:c xmlns:ns0="http://schemas.openxmlformats.org/spreadsheetml/2006/main" r="AM169" s="11" t="inlineStr">
        <ns0:is>
          <ns0:t>Spice Subcircuit</ns0:t>
        </ns0:is>
      </ns0:c>
      <ns0:c xmlns:ns0="http://schemas.openxmlformats.org/spreadsheetml/2006/main" r="AN169" s="11" t="inlineStr">
        <ns0:is>
          <ns0:t>@DESIGNATOR %1 %2 @MODEL PARAMS: Cvalue=1.8e-08 Rsvalue=221.048532072077 Rinsvalue=10000000000</ns0:t>
        </ns0:is>
      </ns0:c>
      <ns0:c xmlns:ns0="http://schemas.openxmlformats.org/spreadsheetml/2006/main" r="AO169" s="11" t="inlineStr">
        <ns0:is>
          <ns0:t>X</ns0:t>
        </ns0:is>
      </ns0:c>
      <ns0:c xmlns:ns0="http://schemas.openxmlformats.org/spreadsheetml/2006/main" r="AP169" s="11" t="inlineStr">
        <ns0:is>
          <ns0:t>(1:1),(2:2)</ns0:t>
        </ns0:is>
      </ns0:c>
      <ns0:c xmlns:ns0="http://schemas.openxmlformats.org/spreadsheetml/2006/main" r="AQ169" s="11" t="inlineStr">
        <ns0:is>
          <ns0:t>Simulation\Capacitors\MY_LIB_C_RC.ckt</ns0:t>
        </ns0:is>
      </ns0:c>
    </ns0:row>
    <ns0:row r="170" ht="30" customHeight="1">
      <ns0:c r="A170" t="str" s="14">
        <ns0:v>C0171</ns0:v>
      </ns0:c>
      <ns0:c r="B170" t="str" s="14">
        <ns0:v>Конденсатор</ns0:v>
      </ns0:c>
      <ns0:c r="C170" t="str" s="14">
        <ns0:v>22n</ns0:v>
      </ns0:c>
      <ns0:c r="D170" t="str" s="11">
        <ns0:f>SUBSTITUTE(SUBSTITUTE(SUBSTITUTE(SUBSTITUTE(C170,"p"," пФ"),"n"," нФ"),"u"," мкФ"),".",",")</ns0:f>
        <ns0:v>22 нФ</ns0:v>
      </ns0:c>
      <ns0:c r="E170" t="str" s="14">
        <ns0:v>±5%</ns0:v>
      </ns0:c>
      <ns0:c r="F170" s="14"/>
      <ns0:c r="G170" t="str" s="14">
        <ns0:v>100 В</ns0:v>
      </ns0:c>
      <ns0:c r="H170" t="str" s="14">
        <ns0:v>X7R</ns0:v>
      </ns0:c>
      <ns0:c r="I170" t="str" s="15">
        <ns0:v>0603</ns0:v>
      </ns0:c>
      <ns0:c r="J170" t="str" s="14">
        <ns0:v>YAGEO</ns0:v>
      </ns0:c>
      <ns0:c r="K170" t="str" s="14">
        <ns0:v>CC0603JRX7R0BB223</ns0:v>
      </ns0:c>
      <ns0:c r="L170" t="str" s="11">
        <ns0:f>B170&amp;" "&amp;D170&amp;" "&amp;E170&amp;" "&amp;G170&amp;" "&amp;H170&amp;" "&amp;I170</ns0:f>
        <ns0:v>Конденсатор 22 нФ ±5% 100 В X7R 0603</ns0:v>
      </ns0:c>
      <ns0:c r="M170" t="str" s="13">
        <ns0:v>C</ns0:v>
      </ns0:c>
      <ns0:c r="N170" t="str" s="13">
        <ns0:v>Symbols\MY_LIB_Capacitors.SchLib</ns0:v>
      </ns0:c>
      <ns0:c r="O170" t="str" s="13">
        <ns0:v>CAPC1608X90N</ns0:v>
      </ns0:c>
      <ns0:c r="P170" t="str" s="13">
        <ns0:v>Footprints\PBL - SMD Packages.PcbLib</ns0:v>
      </ns0:c>
      <ns0:c r="Q170" t="str" s="14">
        <ns0:v>YAGEO CC; список 20.10.2026</ns0:v>
      </ns0:c>
      <ns0:c r="R170" t="str" s="11">
        <ns0:f>D170</ns0:f>
        <ns0:v>22 нФ</ns0:v>
      </ns0:c>
      <ns0:c r="S170" t="str" s="11">
        <ns0:f>L170</ns0:f>
        <ns0:v>Конденсатор 22 нФ ±5% 100 В X7R 0603</ns0:v>
      </ns0:c>
      <x:c xmlns:x="http://schemas.openxmlformats.org/spreadsheetml/2006/main" r="T170" t="str" s="11">
        <x:v>C:\Users\Nomatin\Documents\Altium\MY_LIB\MY_LIB\Datasheets\YAGEO_CC_X7R.pdf</x:v>
      </x:c>
      <x:c xmlns:x="http://schemas.openxmlformats.org/spreadsheetml/2006/main" r="U170" t="str" s="11">
        <x:v>Даташит — локальный</x:v>
      </x:c>
      <x:c xmlns:x="http://schemas.openxmlformats.org/spreadsheetml/2006/main" r="V170" t="str" s="11">
        <x:v>C:\Users\Nomatin\Documents\Altium\MY_LIB\MY_LIB\Datasheets\YAGEO_CC_X7R.pdf</x:v>
      </x:c>
      <x:c xmlns:x="http://schemas.openxmlformats.org/spreadsheetml/2006/main" r="W170" t="str" s="11">
        <x:v>Даташит — производитель</x:v>
      </x:c>
      <x:c xmlns:x="http://schemas.openxmlformats.org/spreadsheetml/2006/main" r="X170" t="str" s="11">
        <x:v>https://yageogroup.com/content/datasheet/asset/file/UPY-GPHC_X7R_6_3V-TO-250V</x:v>
      </x:c>
      <x:c xmlns:x="http://schemas.openxmlformats.org/spreadsheetml/2006/main" r="Y170" t="str" s="11">
        <x:v>C:\Users\Nomatin\Documents\Altium\MY_LIB\MY_LIB\Datasheets\YAGEO_CC_X7R.pdf</x:v>
      </x:c>
      <ns0:c xmlns:ns0="http://schemas.openxmlformats.org/spreadsheetml/2006/main" r="Z170" s="11">
        <ns0:v>2.2e-08</ns0:v>
      </ns0:c>
      <ns0:c xmlns:ns0="http://schemas.openxmlformats.org/spreadsheetml/2006/main" r="AA170" s="11">
        <ns0:v>0.05</ns0:v>
      </ns0:c>
      <ns0:c xmlns:ns0="http://schemas.openxmlformats.org/spreadsheetml/2006/main" r="AB170" s="11">
        <ns0:v>1000</ns0:v>
      </ns0:c>
      <ns0:c xmlns:ns0="http://schemas.openxmlformats.org/spreadsheetml/2006/main" r="AC170" s="11">
        <ns0:v>1</ns0:v>
      </ns0:c>
      <ns0:c xmlns:ns0="http://schemas.openxmlformats.org/spreadsheetml/2006/main" r="AD170" s="11">
        <ns0:v>20</ns0:v>
      </ns0:c>
      <ns0:c xmlns:ns0="http://schemas.openxmlformats.org/spreadsheetml/2006/main" r="AE170" s="11">
        <ns0:v>500</ns0:v>
      </ns0:c>
      <ns0:c xmlns:ns0="http://schemas.openxmlformats.org/spreadsheetml/2006/main" r="AF170" s="11">
        <ns0:v>10000000000</ns0:v>
      </ns0:c>
      <ns0:c xmlns:ns0="http://schemas.openxmlformats.org/spreadsheetml/2006/main" r="AG170" s="11">
        <ns0:v>100</ns0:v>
      </ns0:c>
      <ns0:c xmlns:ns0="http://schemas.openxmlformats.org/spreadsheetml/2006/main" r="AH170" s="11">
        <ns0:v>60</ns0:v>
      </ns0:c>
      <ns0:c xmlns:ns0="http://schemas.openxmlformats.org/spreadsheetml/2006/main" r="AI170" s="11">
        <ns0:v>361.715779754308</ns0:v>
      </ns0:c>
      <ns0:c xmlns:ns0="http://schemas.openxmlformats.org/spreadsheetml/2006/main" r="AJ170" s="11" t="inlineStr">
        <ns0:is>
          <ns0:t>MY_LIB_C_RC</ns0:t>
        </ns0:is>
      </ns0:c>
      <ns0:c xmlns:ns0="http://schemas.openxmlformats.org/spreadsheetml/2006/main" r="AK170" s="11" t="inlineStr">
        <ns0:is>
          <ns0:t>Nominal C; DFmax at 1kHz; minimum insulation; no temperature/bias/ESL</ns0:t>
        </ns0:is>
      </ns0:c>
      <ns0:c xmlns:ns0="http://schemas.openxmlformats.org/spreadsheetml/2006/main" r="AL170" s="11" t="inlineStr">
        <ns0:is>
          <ns0:t>General</ns0:t>
        </ns0:is>
      </ns0:c>
      <ns0:c xmlns:ns0="http://schemas.openxmlformats.org/spreadsheetml/2006/main" r="AM170" s="11" t="inlineStr">
        <ns0:is>
          <ns0:t>Spice Subcircuit</ns0:t>
        </ns0:is>
      </ns0:c>
      <ns0:c xmlns:ns0="http://schemas.openxmlformats.org/spreadsheetml/2006/main" r="AN170" s="11" t="inlineStr">
        <ns0:is>
          <ns0:t>@DESIGNATOR %1 %2 @MODEL PARAMS: Cvalue=2.2e-08 Rsvalue=361.715779754308 Rinsvalue=10000000000</ns0:t>
        </ns0:is>
      </ns0:c>
      <ns0:c xmlns:ns0="http://schemas.openxmlformats.org/spreadsheetml/2006/main" r="AO170" s="11" t="inlineStr">
        <ns0:is>
          <ns0:t>X</ns0:t>
        </ns0:is>
      </ns0:c>
      <ns0:c xmlns:ns0="http://schemas.openxmlformats.org/spreadsheetml/2006/main" r="AP170" s="11" t="inlineStr">
        <ns0:is>
          <ns0:t>(1:1),(2:2)</ns0:t>
        </ns0:is>
      </ns0:c>
      <ns0:c xmlns:ns0="http://schemas.openxmlformats.org/spreadsheetml/2006/main" r="AQ170" s="11" t="inlineStr">
        <ns0:is>
          <ns0:t>Simulation\Capacitors\MY_LIB_C_RC.ckt</ns0:t>
        </ns0:is>
      </ns0:c>
    </ns0:row>
    <ns0:row r="171" ht="30" customHeight="1">
      <ns0:c r="A171" t="str" s="14">
        <ns0:v>C0172</ns0:v>
      </ns0:c>
      <ns0:c r="B171" t="str" s="14">
        <ns0:v>Конденсатор</ns0:v>
      </ns0:c>
      <ns0:c r="C171" t="str" s="14">
        <ns0:v>27n</ns0:v>
      </ns0:c>
      <ns0:c r="D171" t="str" s="11">
        <ns0:f>SUBSTITUTE(SUBSTITUTE(SUBSTITUTE(SUBSTITUTE(C171,"p"," пФ"),"n"," нФ"),"u"," мкФ"),".",",")</ns0:f>
        <ns0:v>27 нФ</ns0:v>
      </ns0:c>
      <ns0:c r="E171" t="str" s="14">
        <ns0:v>±5%</ns0:v>
      </ns0:c>
      <ns0:c r="F171" s="14"/>
      <ns0:c r="G171" t="str" s="14">
        <ns0:v>50 В</ns0:v>
      </ns0:c>
      <ns0:c r="H171" t="str" s="14">
        <ns0:v>X7R</ns0:v>
      </ns0:c>
      <ns0:c r="I171" t="str" s="15">
        <ns0:v>0603</ns0:v>
      </ns0:c>
      <ns0:c r="J171" t="str" s="14">
        <ns0:v>YAGEO</ns0:v>
      </ns0:c>
      <ns0:c r="K171" t="str" s="14">
        <ns0:v>CC0603JRX7R9BB273</ns0:v>
      </ns0:c>
      <ns0:c r="L171" t="str" s="11">
        <ns0:f>B171&amp;" "&amp;D171&amp;" "&amp;E171&amp;" "&amp;G171&amp;" "&amp;H171&amp;" "&amp;I171</ns0:f>
        <ns0:v>Конденсатор 27 нФ ±5% 50 В X7R 0603</ns0:v>
      </ns0:c>
      <ns0:c r="M171" t="str" s="13">
        <ns0:v>C</ns0:v>
      </ns0:c>
      <ns0:c r="N171" t="str" s="13">
        <ns0:v>Symbols\MY_LIB_Capacitors.SchLib</ns0:v>
      </ns0:c>
      <ns0:c r="O171" t="str" s="13">
        <ns0:v>CAPC1608X90N</ns0:v>
      </ns0:c>
      <ns0:c r="P171" t="str" s="13">
        <ns0:v>Footprints\PBL - SMD Packages.PcbLib</ns0:v>
      </ns0:c>
      <ns0:c r="Q171" t="str" s="14">
        <ns0:v>YAGEO CC; список 20.10.2026</ns0:v>
      </ns0:c>
      <ns0:c r="R171" t="str" s="11">
        <ns0:f>D171</ns0:f>
        <ns0:v>27 нФ</ns0:v>
      </ns0:c>
      <ns0:c r="S171" t="str" s="11">
        <ns0:f>L171</ns0:f>
        <ns0:v>Конденсатор 27 нФ ±5% 50 В X7R 0603</ns0:v>
      </ns0:c>
      <x:c xmlns:x="http://schemas.openxmlformats.org/spreadsheetml/2006/main" r="T171" t="str" s="11">
        <x:v>C:\Users\Nomatin\Documents\Altium\MY_LIB\MY_LIB\Datasheets\YAGEO_CC_X7R.pdf</x:v>
      </x:c>
      <x:c xmlns:x="http://schemas.openxmlformats.org/spreadsheetml/2006/main" r="U171" t="str" s="11">
        <x:v>Даташит — локальный</x:v>
      </x:c>
      <x:c xmlns:x="http://schemas.openxmlformats.org/spreadsheetml/2006/main" r="V171" t="str" s="11">
        <x:v>C:\Users\Nomatin\Documents\Altium\MY_LIB\MY_LIB\Datasheets\YAGEO_CC_X7R.pdf</x:v>
      </x:c>
      <x:c xmlns:x="http://schemas.openxmlformats.org/spreadsheetml/2006/main" r="W171" t="str" s="11">
        <x:v>Даташит — производитель</x:v>
      </x:c>
      <x:c xmlns:x="http://schemas.openxmlformats.org/spreadsheetml/2006/main" r="X171" t="str" s="11">
        <x:v>https://yageogroup.com/content/datasheet/asset/file/UPY-GPHC_X7R_6_3V-TO-250V</x:v>
      </x:c>
      <x:c xmlns:x="http://schemas.openxmlformats.org/spreadsheetml/2006/main" r="Y171" t="str" s="11">
        <x:v>C:\Users\Nomatin\Documents\Altium\MY_LIB\MY_LIB\Datasheets\YAGEO_CC_X7R.pdf</x:v>
      </x:c>
      <ns0:c xmlns:ns0="http://schemas.openxmlformats.org/spreadsheetml/2006/main" r="Z171" s="11">
        <ns0:v>2.7e-08</ns0:v>
      </ns0:c>
      <ns0:c xmlns:ns0="http://schemas.openxmlformats.org/spreadsheetml/2006/main" r="AA171" s="11">
        <ns0:v>0.025</ns0:v>
      </ns0:c>
      <ns0:c xmlns:ns0="http://schemas.openxmlformats.org/spreadsheetml/2006/main" r="AB171" s="11">
        <ns0:v>1000</ns0:v>
      </ns0:c>
      <ns0:c xmlns:ns0="http://schemas.openxmlformats.org/spreadsheetml/2006/main" r="AC171" s="11">
        <ns0:v>1</ns0:v>
      </ns0:c>
      <ns0:c xmlns:ns0="http://schemas.openxmlformats.org/spreadsheetml/2006/main" r="AD171" s="11">
        <ns0:v>20</ns0:v>
      </ns0:c>
      <ns0:c xmlns:ns0="http://schemas.openxmlformats.org/spreadsheetml/2006/main" r="AE171" s="11">
        <ns0:v>500</ns0:v>
      </ns0:c>
      <ns0:c xmlns:ns0="http://schemas.openxmlformats.org/spreadsheetml/2006/main" r="AF171" s="11">
        <ns0:v>10000000000</ns0:v>
      </ns0:c>
      <ns0:c xmlns:ns0="http://schemas.openxmlformats.org/spreadsheetml/2006/main" r="AG171" s="11">
        <ns0:v>50</ns0:v>
      </ns0:c>
      <ns0:c xmlns:ns0="http://schemas.openxmlformats.org/spreadsheetml/2006/main" r="AH171" s="11">
        <ns0:v>60</ns0:v>
      </ns0:c>
      <ns0:c xmlns:ns0="http://schemas.openxmlformats.org/spreadsheetml/2006/main" r="AI171" s="11">
        <ns0:v>147.365688048051</ns0:v>
      </ns0:c>
      <ns0:c xmlns:ns0="http://schemas.openxmlformats.org/spreadsheetml/2006/main" r="AJ171" s="11" t="inlineStr">
        <ns0:is>
          <ns0:t>MY_LIB_C_RC</ns0:t>
        </ns0:is>
      </ns0:c>
      <ns0:c xmlns:ns0="http://schemas.openxmlformats.org/spreadsheetml/2006/main" r="AK171" s="11" t="inlineStr">
        <ns0:is>
          <ns0:t>Nominal C; DFmax at 1kHz; minimum insulation; no temperature/bias/ESL</ns0:t>
        </ns0:is>
      </ns0:c>
      <ns0:c xmlns:ns0="http://schemas.openxmlformats.org/spreadsheetml/2006/main" r="AL171" s="11" t="inlineStr">
        <ns0:is>
          <ns0:t>General</ns0:t>
        </ns0:is>
      </ns0:c>
      <ns0:c xmlns:ns0="http://schemas.openxmlformats.org/spreadsheetml/2006/main" r="AM171" s="11" t="inlineStr">
        <ns0:is>
          <ns0:t>Spice Subcircuit</ns0:t>
        </ns0:is>
      </ns0:c>
      <ns0:c xmlns:ns0="http://schemas.openxmlformats.org/spreadsheetml/2006/main" r="AN171" s="11" t="inlineStr">
        <ns0:is>
          <ns0:t>@DESIGNATOR %1 %2 @MODEL PARAMS: Cvalue=2.7e-08 Rsvalue=147.365688048051 Rinsvalue=10000000000</ns0:t>
        </ns0:is>
      </ns0:c>
      <ns0:c xmlns:ns0="http://schemas.openxmlformats.org/spreadsheetml/2006/main" r="AO171" s="11" t="inlineStr">
        <ns0:is>
          <ns0:t>X</ns0:t>
        </ns0:is>
      </ns0:c>
      <ns0:c xmlns:ns0="http://schemas.openxmlformats.org/spreadsheetml/2006/main" r="AP171" s="11" t="inlineStr">
        <ns0:is>
          <ns0:t>(1:1),(2:2)</ns0:t>
        </ns0:is>
      </ns0:c>
      <ns0:c xmlns:ns0="http://schemas.openxmlformats.org/spreadsheetml/2006/main" r="AQ171" s="11" t="inlineStr">
        <ns0:is>
          <ns0:t>Simulation\Capacitors\MY_LIB_C_RC.ckt</ns0:t>
        </ns0:is>
      </ns0:c>
    </ns0:row>
    <ns0:row r="172" ht="30" customHeight="1">
      <ns0:c r="A172" t="str" s="14">
        <ns0:v>C0173</ns0:v>
      </ns0:c>
      <ns0:c r="B172" t="str" s="14">
        <ns0:v>Конденсатор</ns0:v>
      </ns0:c>
      <ns0:c r="C172" t="str" s="14">
        <ns0:v>33n</ns0:v>
      </ns0:c>
      <ns0:c r="D172" t="str" s="11">
        <ns0:f>SUBSTITUTE(SUBSTITUTE(SUBSTITUTE(SUBSTITUTE(C172,"p"," пФ"),"n"," нФ"),"u"," мкФ"),".",",")</ns0:f>
        <ns0:v>33 нФ</ns0:v>
      </ns0:c>
      <ns0:c r="E172" t="str" s="14">
        <ns0:v>±5%</ns0:v>
      </ns0:c>
      <ns0:c r="F172" s="14"/>
      <ns0:c r="G172" t="str" s="14">
        <ns0:v>100 В</ns0:v>
      </ns0:c>
      <ns0:c r="H172" t="str" s="14">
        <ns0:v>X7R</ns0:v>
      </ns0:c>
      <ns0:c r="I172" t="str" s="15">
        <ns0:v>0603</ns0:v>
      </ns0:c>
      <ns0:c r="J172" t="str" s="14">
        <ns0:v>YAGEO</ns0:v>
      </ns0:c>
      <ns0:c r="K172" t="str" s="14">
        <ns0:v>CC0603JRX7R0BB333</ns0:v>
      </ns0:c>
      <ns0:c r="L172" t="str" s="11">
        <ns0:f>B172&amp;" "&amp;D172&amp;" "&amp;E172&amp;" "&amp;G172&amp;" "&amp;H172&amp;" "&amp;I172</ns0:f>
        <ns0:v>Конденсатор 33 нФ ±5% 100 В X7R 0603</ns0:v>
      </ns0:c>
      <ns0:c r="M172" t="str" s="13">
        <ns0:v>C</ns0:v>
      </ns0:c>
      <ns0:c r="N172" t="str" s="13">
        <ns0:v>Symbols\MY_LIB_Capacitors.SchLib</ns0:v>
      </ns0:c>
      <ns0:c r="O172" t="str" s="13">
        <ns0:v>CAPC1608X90N</ns0:v>
      </ns0:c>
      <ns0:c r="P172" t="str" s="13">
        <ns0:v>Footprints\PBL - SMD Packages.PcbLib</ns0:v>
      </ns0:c>
      <ns0:c r="Q172" t="str" s="14">
        <ns0:v>YAGEO CC; список 20.10.2026</ns0:v>
      </ns0:c>
      <ns0:c r="R172" t="str" s="11">
        <ns0:f>D172</ns0:f>
        <ns0:v>33 нФ</ns0:v>
      </ns0:c>
      <ns0:c r="S172" t="str" s="11">
        <ns0:f>L172</ns0:f>
        <ns0:v>Конденсатор 33 нФ ±5% 100 В X7R 0603</ns0:v>
      </ns0:c>
      <x:c xmlns:x="http://schemas.openxmlformats.org/spreadsheetml/2006/main" r="T172" t="str" s="11">
        <x:v>C:\Users\Nomatin\Documents\Altium\MY_LIB\MY_LIB\Datasheets\YAGEO_CC_X7R.pdf</x:v>
      </x:c>
      <x:c xmlns:x="http://schemas.openxmlformats.org/spreadsheetml/2006/main" r="U172" t="str" s="11">
        <x:v>Даташит — локальный</x:v>
      </x:c>
      <x:c xmlns:x="http://schemas.openxmlformats.org/spreadsheetml/2006/main" r="V172" t="str" s="11">
        <x:v>C:\Users\Nomatin\Documents\Altium\MY_LIB\MY_LIB\Datasheets\YAGEO_CC_X7R.pdf</x:v>
      </x:c>
      <x:c xmlns:x="http://schemas.openxmlformats.org/spreadsheetml/2006/main" r="W172" t="str" s="11">
        <x:v>Даташит — производитель</x:v>
      </x:c>
      <x:c xmlns:x="http://schemas.openxmlformats.org/spreadsheetml/2006/main" r="X172" t="str" s="11">
        <x:v>https://yageogroup.com/content/datasheet/asset/file/UPY-GPHC_X7R_6_3V-TO-250V</x:v>
      </x:c>
      <x:c xmlns:x="http://schemas.openxmlformats.org/spreadsheetml/2006/main" r="Y172" t="str" s="11">
        <x:v>C:\Users\Nomatin\Documents\Altium\MY_LIB\MY_LIB\Datasheets\YAGEO_CC_X7R.pdf</x:v>
      </x:c>
      <ns0:c xmlns:ns0="http://schemas.openxmlformats.org/spreadsheetml/2006/main" r="Z172" s="11">
        <ns0:v>3.3e-08</ns0:v>
      </ns0:c>
      <ns0:c xmlns:ns0="http://schemas.openxmlformats.org/spreadsheetml/2006/main" r="AA172" s="11">
        <ns0:v>0.05</ns0:v>
      </ns0:c>
      <ns0:c xmlns:ns0="http://schemas.openxmlformats.org/spreadsheetml/2006/main" r="AB172" s="11">
        <ns0:v>1000</ns0:v>
      </ns0:c>
      <ns0:c xmlns:ns0="http://schemas.openxmlformats.org/spreadsheetml/2006/main" r="AC172" s="11">
        <ns0:v>1</ns0:v>
      </ns0:c>
      <ns0:c xmlns:ns0="http://schemas.openxmlformats.org/spreadsheetml/2006/main" r="AD172" s="11">
        <ns0:v>20</ns0:v>
      </ns0:c>
      <ns0:c xmlns:ns0="http://schemas.openxmlformats.org/spreadsheetml/2006/main" r="AE172" s="11">
        <ns0:v>500</ns0:v>
      </ns0:c>
      <ns0:c xmlns:ns0="http://schemas.openxmlformats.org/spreadsheetml/2006/main" r="AF172" s="11">
        <ns0:v>10000000000</ns0:v>
      </ns0:c>
      <ns0:c xmlns:ns0="http://schemas.openxmlformats.org/spreadsheetml/2006/main" r="AG172" s="11">
        <ns0:v>100</ns0:v>
      </ns0:c>
      <ns0:c xmlns:ns0="http://schemas.openxmlformats.org/spreadsheetml/2006/main" r="AH172" s="11">
        <ns0:v>60</ns0:v>
      </ns0:c>
      <ns0:c xmlns:ns0="http://schemas.openxmlformats.org/spreadsheetml/2006/main" r="AI172" s="11">
        <ns0:v>241.143853169538</ns0:v>
      </ns0:c>
      <ns0:c xmlns:ns0="http://schemas.openxmlformats.org/spreadsheetml/2006/main" r="AJ172" s="11" t="inlineStr">
        <ns0:is>
          <ns0:t>MY_LIB_C_RC</ns0:t>
        </ns0:is>
      </ns0:c>
      <ns0:c xmlns:ns0="http://schemas.openxmlformats.org/spreadsheetml/2006/main" r="AK172" s="11" t="inlineStr">
        <ns0:is>
          <ns0:t>Nominal C; DFmax at 1kHz; minimum insulation; no temperature/bias/ESL</ns0:t>
        </ns0:is>
      </ns0:c>
      <ns0:c xmlns:ns0="http://schemas.openxmlformats.org/spreadsheetml/2006/main" r="AL172" s="11" t="inlineStr">
        <ns0:is>
          <ns0:t>General</ns0:t>
        </ns0:is>
      </ns0:c>
      <ns0:c xmlns:ns0="http://schemas.openxmlformats.org/spreadsheetml/2006/main" r="AM172" s="11" t="inlineStr">
        <ns0:is>
          <ns0:t>Spice Subcircuit</ns0:t>
        </ns0:is>
      </ns0:c>
      <ns0:c xmlns:ns0="http://schemas.openxmlformats.org/spreadsheetml/2006/main" r="AN172" s="11" t="inlineStr">
        <ns0:is>
          <ns0:t>@DESIGNATOR %1 %2 @MODEL PARAMS: Cvalue=3.3e-08 Rsvalue=241.143853169538 Rinsvalue=10000000000</ns0:t>
        </ns0:is>
      </ns0:c>
      <ns0:c xmlns:ns0="http://schemas.openxmlformats.org/spreadsheetml/2006/main" r="AO172" s="11" t="inlineStr">
        <ns0:is>
          <ns0:t>X</ns0:t>
        </ns0:is>
      </ns0:c>
      <ns0:c xmlns:ns0="http://schemas.openxmlformats.org/spreadsheetml/2006/main" r="AP172" s="11" t="inlineStr">
        <ns0:is>
          <ns0:t>(1:1),(2:2)</ns0:t>
        </ns0:is>
      </ns0:c>
      <ns0:c xmlns:ns0="http://schemas.openxmlformats.org/spreadsheetml/2006/main" r="AQ172" s="11" t="inlineStr">
        <ns0:is>
          <ns0:t>Simulation\Capacitors\MY_LIB_C_RC.ckt</ns0:t>
        </ns0:is>
      </ns0:c>
    </ns0:row>
    <ns0:row r="173" ht="30" customHeight="1">
      <ns0:c r="A173" t="str" s="14">
        <ns0:v>C0174</ns0:v>
      </ns0:c>
      <ns0:c r="B173" t="str" s="14">
        <ns0:v>Конденсатор</ns0:v>
      </ns0:c>
      <ns0:c r="C173" t="str" s="14">
        <ns0:v>39n</ns0:v>
      </ns0:c>
      <ns0:c r="D173" t="str" s="11">
        <ns0:f>SUBSTITUTE(SUBSTITUTE(SUBSTITUTE(SUBSTITUTE(C173,"p"," пФ"),"n"," нФ"),"u"," мкФ"),".",",")</ns0:f>
        <ns0:v>39 нФ</ns0:v>
      </ns0:c>
      <ns0:c r="E173" t="str" s="14">
        <ns0:v>±5%</ns0:v>
      </ns0:c>
      <ns0:c r="F173" s="14"/>
      <ns0:c r="G173" t="str" s="14">
        <ns0:v>50 В</ns0:v>
      </ns0:c>
      <ns0:c r="H173" t="str" s="14">
        <ns0:v>X7R</ns0:v>
      </ns0:c>
      <ns0:c r="I173" t="str" s="15">
        <ns0:v>0603</ns0:v>
      </ns0:c>
      <ns0:c r="J173" t="str" s="14">
        <ns0:v>YAGEO</ns0:v>
      </ns0:c>
      <ns0:c r="K173" t="str" s="14">
        <ns0:v>CC0603JRX7R9BB393</ns0:v>
      </ns0:c>
      <ns0:c r="L173" t="str" s="11">
        <ns0:f>B173&amp;" "&amp;D173&amp;" "&amp;E173&amp;" "&amp;G173&amp;" "&amp;H173&amp;" "&amp;I173</ns0:f>
        <ns0:v>Конденсатор 39 нФ ±5% 50 В X7R 0603</ns0:v>
      </ns0:c>
      <ns0:c r="M173" t="str" s="13">
        <ns0:v>C</ns0:v>
      </ns0:c>
      <ns0:c r="N173" t="str" s="13">
        <ns0:v>Symbols\MY_LIB_Capacitors.SchLib</ns0:v>
      </ns0:c>
      <ns0:c r="O173" t="str" s="13">
        <ns0:v>CAPC1608X90N</ns0:v>
      </ns0:c>
      <ns0:c r="P173" t="str" s="13">
        <ns0:v>Footprints\PBL - SMD Packages.PcbLib</ns0:v>
      </ns0:c>
      <ns0:c r="Q173" t="str" s="14">
        <ns0:v>YAGEO CC; список 20.10.2026</ns0:v>
      </ns0:c>
      <ns0:c r="R173" t="str" s="11">
        <ns0:f>D173</ns0:f>
        <ns0:v>39 нФ</ns0:v>
      </ns0:c>
      <ns0:c r="S173" t="str" s="11">
        <ns0:f>L173</ns0:f>
        <ns0:v>Конденсатор 39 нФ ±5% 50 В X7R 0603</ns0:v>
      </ns0:c>
      <x:c xmlns:x="http://schemas.openxmlformats.org/spreadsheetml/2006/main" r="T173" t="str" s="11">
        <x:v>C:\Users\Nomatin\Documents\Altium\MY_LIB\MY_LIB\Datasheets\YAGEO_CC_X7R.pdf</x:v>
      </x:c>
      <x:c xmlns:x="http://schemas.openxmlformats.org/spreadsheetml/2006/main" r="U173" t="str" s="11">
        <x:v>Даташит — локальный</x:v>
      </x:c>
      <x:c xmlns:x="http://schemas.openxmlformats.org/spreadsheetml/2006/main" r="V173" t="str" s="11">
        <x:v>C:\Users\Nomatin\Documents\Altium\MY_LIB\MY_LIB\Datasheets\YAGEO_CC_X7R.pdf</x:v>
      </x:c>
      <x:c xmlns:x="http://schemas.openxmlformats.org/spreadsheetml/2006/main" r="W173" t="str" s="11">
        <x:v>Даташит — производитель</x:v>
      </x:c>
      <x:c xmlns:x="http://schemas.openxmlformats.org/spreadsheetml/2006/main" r="X173" t="str" s="11">
        <x:v>https://yageogroup.com/content/datasheet/asset/file/UPY-GPHC_X7R_6_3V-TO-250V</x:v>
      </x:c>
      <x:c xmlns:x="http://schemas.openxmlformats.org/spreadsheetml/2006/main" r="Y173" t="str" s="11">
        <x:v>C:\Users\Nomatin\Documents\Altium\MY_LIB\MY_LIB\Datasheets\YAGEO_CC_X7R.pdf</x:v>
      </x:c>
      <ns0:c xmlns:ns0="http://schemas.openxmlformats.org/spreadsheetml/2006/main" r="Z173" s="11">
        <ns0:v>3.9e-08</ns0:v>
      </ns0:c>
      <ns0:c xmlns:ns0="http://schemas.openxmlformats.org/spreadsheetml/2006/main" r="AA173" s="11">
        <ns0:v>0.025</ns0:v>
      </ns0:c>
      <ns0:c xmlns:ns0="http://schemas.openxmlformats.org/spreadsheetml/2006/main" r="AB173" s="11">
        <ns0:v>1000</ns0:v>
      </ns0:c>
      <ns0:c xmlns:ns0="http://schemas.openxmlformats.org/spreadsheetml/2006/main" r="AC173" s="11">
        <ns0:v>1</ns0:v>
      </ns0:c>
      <ns0:c xmlns:ns0="http://schemas.openxmlformats.org/spreadsheetml/2006/main" r="AD173" s="11">
        <ns0:v>20</ns0:v>
      </ns0:c>
      <ns0:c xmlns:ns0="http://schemas.openxmlformats.org/spreadsheetml/2006/main" r="AE173" s="11">
        <ns0:v>500</ns0:v>
      </ns0:c>
      <ns0:c xmlns:ns0="http://schemas.openxmlformats.org/spreadsheetml/2006/main" r="AF173" s="11">
        <ns0:v>10000000000</ns0:v>
      </ns0:c>
      <ns0:c xmlns:ns0="http://schemas.openxmlformats.org/spreadsheetml/2006/main" r="AG173" s="11">
        <ns0:v>50</ns0:v>
      </ns0:c>
      <ns0:c xmlns:ns0="http://schemas.openxmlformats.org/spreadsheetml/2006/main" r="AH173" s="11">
        <ns0:v>60</ns0:v>
      </ns0:c>
      <ns0:c xmlns:ns0="http://schemas.openxmlformats.org/spreadsheetml/2006/main" r="AI173" s="11">
        <ns0:v>102.022399417882</ns0:v>
      </ns0:c>
      <ns0:c xmlns:ns0="http://schemas.openxmlformats.org/spreadsheetml/2006/main" r="AJ173" s="11" t="inlineStr">
        <ns0:is>
          <ns0:t>MY_LIB_C_RC</ns0:t>
        </ns0:is>
      </ns0:c>
      <ns0:c xmlns:ns0="http://schemas.openxmlformats.org/spreadsheetml/2006/main" r="AK173" s="11" t="inlineStr">
        <ns0:is>
          <ns0:t>Nominal C; DFmax at 1kHz; minimum insulation; no temperature/bias/ESL</ns0:t>
        </ns0:is>
      </ns0:c>
      <ns0:c xmlns:ns0="http://schemas.openxmlformats.org/spreadsheetml/2006/main" r="AL173" s="11" t="inlineStr">
        <ns0:is>
          <ns0:t>General</ns0:t>
        </ns0:is>
      </ns0:c>
      <ns0:c xmlns:ns0="http://schemas.openxmlformats.org/spreadsheetml/2006/main" r="AM173" s="11" t="inlineStr">
        <ns0:is>
          <ns0:t>Spice Subcircuit</ns0:t>
        </ns0:is>
      </ns0:c>
      <ns0:c xmlns:ns0="http://schemas.openxmlformats.org/spreadsheetml/2006/main" r="AN173" s="11" t="inlineStr">
        <ns0:is>
          <ns0:t>@DESIGNATOR %1 %2 @MODEL PARAMS: Cvalue=3.9e-08 Rsvalue=102.022399417882 Rinsvalue=10000000000</ns0:t>
        </ns0:is>
      </ns0:c>
      <ns0:c xmlns:ns0="http://schemas.openxmlformats.org/spreadsheetml/2006/main" r="AO173" s="11" t="inlineStr">
        <ns0:is>
          <ns0:t>X</ns0:t>
        </ns0:is>
      </ns0:c>
      <ns0:c xmlns:ns0="http://schemas.openxmlformats.org/spreadsheetml/2006/main" r="AP173" s="11" t="inlineStr">
        <ns0:is>
          <ns0:t>(1:1),(2:2)</ns0:t>
        </ns0:is>
      </ns0:c>
      <ns0:c xmlns:ns0="http://schemas.openxmlformats.org/spreadsheetml/2006/main" r="AQ173" s="11" t="inlineStr">
        <ns0:is>
          <ns0:t>Simulation\Capacitors\MY_LIB_C_RC.ckt</ns0:t>
        </ns0:is>
      </ns0:c>
    </ns0:row>
    <ns0:row r="174" ht="30" customHeight="1">
      <ns0:c r="A174" t="str" s="14">
        <ns0:v>C0175</ns0:v>
      </ns0:c>
      <ns0:c r="B174" t="str" s="14">
        <ns0:v>Конденсатор</ns0:v>
      </ns0:c>
      <ns0:c r="C174" t="str" s="14">
        <ns0:v>47n</ns0:v>
      </ns0:c>
      <ns0:c r="D174" t="str" s="11">
        <ns0:f>SUBSTITUTE(SUBSTITUTE(SUBSTITUTE(SUBSTITUTE(C174,"p"," пФ"),"n"," нФ"),"u"," мкФ"),".",",")</ns0:f>
        <ns0:v>47 нФ</ns0:v>
      </ns0:c>
      <ns0:c r="E174" t="str" s="14">
        <ns0:v>±5%</ns0:v>
      </ns0:c>
      <ns0:c r="F174" s="14"/>
      <ns0:c r="G174" t="str" s="14">
        <ns0:v>100 В</ns0:v>
      </ns0:c>
      <ns0:c r="H174" t="str" s="14">
        <ns0:v>X7R</ns0:v>
      </ns0:c>
      <ns0:c r="I174" t="str" s="15">
        <ns0:v>0603</ns0:v>
      </ns0:c>
      <ns0:c r="J174" t="str" s="14">
        <ns0:v>YAGEO</ns0:v>
      </ns0:c>
      <ns0:c r="K174" t="str" s="14">
        <ns0:v>CC0603JRX7R0BB473</ns0:v>
      </ns0:c>
      <ns0:c r="L174" t="str" s="11">
        <ns0:f>B174&amp;" "&amp;D174&amp;" "&amp;E174&amp;" "&amp;G174&amp;" "&amp;H174&amp;" "&amp;I174</ns0:f>
        <ns0:v>Конденсатор 47 нФ ±5% 100 В X7R 0603</ns0:v>
      </ns0:c>
      <ns0:c r="M174" t="str" s="13">
        <ns0:v>C</ns0:v>
      </ns0:c>
      <ns0:c r="N174" t="str" s="13">
        <ns0:v>Symbols\MY_LIB_Capacitors.SchLib</ns0:v>
      </ns0:c>
      <ns0:c r="O174" t="str" s="13">
        <ns0:v>CAPC1608X90N</ns0:v>
      </ns0:c>
      <ns0:c r="P174" t="str" s="13">
        <ns0:v>Footprints\PBL - SMD Packages.PcbLib</ns0:v>
      </ns0:c>
      <ns0:c r="Q174" t="str" s="14">
        <ns0:v>YAGEO CC; список 20.10.2026</ns0:v>
      </ns0:c>
      <ns0:c r="R174" t="str" s="11">
        <ns0:f>D174</ns0:f>
        <ns0:v>47 нФ</ns0:v>
      </ns0:c>
      <ns0:c r="S174" t="str" s="11">
        <ns0:f>L174</ns0:f>
        <ns0:v>Конденсатор 47 нФ ±5% 100 В X7R 0603</ns0:v>
      </ns0:c>
      <x:c xmlns:x="http://schemas.openxmlformats.org/spreadsheetml/2006/main" r="T174" t="str" s="11">
        <x:v>C:\Users\Nomatin\Documents\Altium\MY_LIB\MY_LIB\Datasheets\YAGEO_CC_X7R.pdf</x:v>
      </x:c>
      <x:c xmlns:x="http://schemas.openxmlformats.org/spreadsheetml/2006/main" r="U174" t="str" s="11">
        <x:v>Даташит — локальный</x:v>
      </x:c>
      <x:c xmlns:x="http://schemas.openxmlformats.org/spreadsheetml/2006/main" r="V174" t="str" s="11">
        <x:v>C:\Users\Nomatin\Documents\Altium\MY_LIB\MY_LIB\Datasheets\YAGEO_CC_X7R.pdf</x:v>
      </x:c>
      <x:c xmlns:x="http://schemas.openxmlformats.org/spreadsheetml/2006/main" r="W174" t="str" s="11">
        <x:v>Даташит — производитель</x:v>
      </x:c>
      <x:c xmlns:x="http://schemas.openxmlformats.org/spreadsheetml/2006/main" r="X174" t="str" s="11">
        <x:v>https://yageogroup.com/content/datasheet/asset/file/UPY-GPHC_X7R_6_3V-TO-250V</x:v>
      </x:c>
      <x:c xmlns:x="http://schemas.openxmlformats.org/spreadsheetml/2006/main" r="Y174" t="str" s="11">
        <x:v>C:\Users\Nomatin\Documents\Altium\MY_LIB\MY_LIB\Datasheets\YAGEO_CC_X7R.pdf</x:v>
      </x:c>
      <ns0:c xmlns:ns0="http://schemas.openxmlformats.org/spreadsheetml/2006/main" r="Z174" s="11">
        <ns0:v>4.7e-08</ns0:v>
      </ns0:c>
      <ns0:c xmlns:ns0="http://schemas.openxmlformats.org/spreadsheetml/2006/main" r="AA174" s="11">
        <ns0:v>0.05</ns0:v>
      </ns0:c>
      <ns0:c xmlns:ns0="http://schemas.openxmlformats.org/spreadsheetml/2006/main" r="AB174" s="11">
        <ns0:v>1000</ns0:v>
      </ns0:c>
      <ns0:c xmlns:ns0="http://schemas.openxmlformats.org/spreadsheetml/2006/main" r="AC174" s="11">
        <ns0:v>1</ns0:v>
      </ns0:c>
      <ns0:c xmlns:ns0="http://schemas.openxmlformats.org/spreadsheetml/2006/main" r="AD174" s="11">
        <ns0:v>20</ns0:v>
      </ns0:c>
      <ns0:c xmlns:ns0="http://schemas.openxmlformats.org/spreadsheetml/2006/main" r="AE174" s="11">
        <ns0:v>500</ns0:v>
      </ns0:c>
      <ns0:c xmlns:ns0="http://schemas.openxmlformats.org/spreadsheetml/2006/main" r="AF174" s="11">
        <ns0:v>10000000000</ns0:v>
      </ns0:c>
      <ns0:c xmlns:ns0="http://schemas.openxmlformats.org/spreadsheetml/2006/main" r="AG174" s="11">
        <ns0:v>100</ns0:v>
      </ns0:c>
      <ns0:c xmlns:ns0="http://schemas.openxmlformats.org/spreadsheetml/2006/main" r="AH174" s="11">
        <ns0:v>60</ns0:v>
      </ns0:c>
      <ns0:c xmlns:ns0="http://schemas.openxmlformats.org/spreadsheetml/2006/main" r="AI174" s="11">
        <ns0:v>169.313769246697</ns0:v>
      </ns0:c>
      <ns0:c xmlns:ns0="http://schemas.openxmlformats.org/spreadsheetml/2006/main" r="AJ174" s="11" t="inlineStr">
        <ns0:is>
          <ns0:t>MY_LIB_C_RC</ns0:t>
        </ns0:is>
      </ns0:c>
      <ns0:c xmlns:ns0="http://schemas.openxmlformats.org/spreadsheetml/2006/main" r="AK174" s="11" t="inlineStr">
        <ns0:is>
          <ns0:t>Nominal C; DFmax at 1kHz; minimum insulation; no temperature/bias/ESL</ns0:t>
        </ns0:is>
      </ns0:c>
      <ns0:c xmlns:ns0="http://schemas.openxmlformats.org/spreadsheetml/2006/main" r="AL174" s="11" t="inlineStr">
        <ns0:is>
          <ns0:t>General</ns0:t>
        </ns0:is>
      </ns0:c>
      <ns0:c xmlns:ns0="http://schemas.openxmlformats.org/spreadsheetml/2006/main" r="AM174" s="11" t="inlineStr">
        <ns0:is>
          <ns0:t>Spice Subcircuit</ns0:t>
        </ns0:is>
      </ns0:c>
      <ns0:c xmlns:ns0="http://schemas.openxmlformats.org/spreadsheetml/2006/main" r="AN174" s="11" t="inlineStr">
        <ns0:is>
          <ns0:t>@DESIGNATOR %1 %2 @MODEL PARAMS: Cvalue=4.7e-08 Rsvalue=169.313769246697 Rinsvalue=10000000000</ns0:t>
        </ns0:is>
      </ns0:c>
      <ns0:c xmlns:ns0="http://schemas.openxmlformats.org/spreadsheetml/2006/main" r="AO174" s="11" t="inlineStr">
        <ns0:is>
          <ns0:t>X</ns0:t>
        </ns0:is>
      </ns0:c>
      <ns0:c xmlns:ns0="http://schemas.openxmlformats.org/spreadsheetml/2006/main" r="AP174" s="11" t="inlineStr">
        <ns0:is>
          <ns0:t>(1:1),(2:2)</ns0:t>
        </ns0:is>
      </ns0:c>
      <ns0:c xmlns:ns0="http://schemas.openxmlformats.org/spreadsheetml/2006/main" r="AQ174" s="11" t="inlineStr">
        <ns0:is>
          <ns0:t>Simulation\Capacitors\MY_LIB_C_RC.ckt</ns0:t>
        </ns0:is>
      </ns0:c>
    </ns0:row>
    <ns0:row r="175" ht="30" customHeight="1">
      <ns0:c r="A175" t="str" s="14">
        <ns0:v>C0176</ns0:v>
      </ns0:c>
      <ns0:c r="B175" t="str" s="14">
        <ns0:v>Конденсатор</ns0:v>
      </ns0:c>
      <ns0:c r="C175" t="str" s="14">
        <ns0:v>56n</ns0:v>
      </ns0:c>
      <ns0:c r="D175" t="str" s="11">
        <ns0:f>SUBSTITUTE(SUBSTITUTE(SUBSTITUTE(SUBSTITUTE(C175,"p"," пФ"),"n"," нФ"),"u"," мкФ"),".",",")</ns0:f>
        <ns0:v>56 нФ</ns0:v>
      </ns0:c>
      <ns0:c r="E175" t="str" s="14">
        <ns0:v>±5%</ns0:v>
      </ns0:c>
      <ns0:c r="F175" s="14"/>
      <ns0:c r="G175" t="str" s="14">
        <ns0:v>100 В</ns0:v>
      </ns0:c>
      <ns0:c r="H175" t="str" s="14">
        <ns0:v>X7R</ns0:v>
      </ns0:c>
      <ns0:c r="I175" t="str" s="15">
        <ns0:v>0603</ns0:v>
      </ns0:c>
      <ns0:c r="J175" t="str" s="14">
        <ns0:v>YAGEO</ns0:v>
      </ns0:c>
      <ns0:c r="K175" t="str" s="14">
        <ns0:v>CC0603JRX7R0BB563</ns0:v>
      </ns0:c>
      <ns0:c r="L175" t="str" s="11">
        <ns0:f>B175&amp;" "&amp;D175&amp;" "&amp;E175&amp;" "&amp;G175&amp;" "&amp;H175&amp;" "&amp;I175</ns0:f>
        <ns0:v>Конденсатор 56 нФ ±5% 100 В X7R 0603</ns0:v>
      </ns0:c>
      <ns0:c r="M175" t="str" s="13">
        <ns0:v>C</ns0:v>
      </ns0:c>
      <ns0:c r="N175" t="str" s="13">
        <ns0:v>Symbols\MY_LIB_Capacitors.SchLib</ns0:v>
      </ns0:c>
      <ns0:c r="O175" t="str" s="13">
        <ns0:v>CAPC1608X90N</ns0:v>
      </ns0:c>
      <ns0:c r="P175" t="str" s="13">
        <ns0:v>Footprints\PBL - SMD Packages.PcbLib</ns0:v>
      </ns0:c>
      <ns0:c r="Q175" t="str" s="14">
        <ns0:v>YAGEO CC; список 20.10.2026</ns0:v>
      </ns0:c>
      <ns0:c r="R175" t="str" s="11">
        <ns0:f>D175</ns0:f>
        <ns0:v>56 нФ</ns0:v>
      </ns0:c>
      <ns0:c r="S175" t="str" s="11">
        <ns0:f>L175</ns0:f>
        <ns0:v>Конденсатор 56 нФ ±5% 100 В X7R 0603</ns0:v>
      </ns0:c>
      <x:c xmlns:x="http://schemas.openxmlformats.org/spreadsheetml/2006/main" r="T175" t="str" s="11">
        <x:v>C:\Users\Nomatin\Documents\Altium\MY_LIB\MY_LIB\Datasheets\YAGEO_CC_X7R.pdf</x:v>
      </x:c>
      <x:c xmlns:x="http://schemas.openxmlformats.org/spreadsheetml/2006/main" r="U175" t="str" s="11">
        <x:v>Даташит — локальный</x:v>
      </x:c>
      <x:c xmlns:x="http://schemas.openxmlformats.org/spreadsheetml/2006/main" r="V175" t="str" s="11">
        <x:v>C:\Users\Nomatin\Documents\Altium\MY_LIB\MY_LIB\Datasheets\YAGEO_CC_X7R.pdf</x:v>
      </x:c>
      <x:c xmlns:x="http://schemas.openxmlformats.org/spreadsheetml/2006/main" r="W175" t="str" s="11">
        <x:v>Даташит — производитель</x:v>
      </x:c>
      <x:c xmlns:x="http://schemas.openxmlformats.org/spreadsheetml/2006/main" r="X175" t="str" s="11">
        <x:v>https://yageogroup.com/content/datasheet/asset/file/UPY-GPHC_X7R_6_3V-TO-250V</x:v>
      </x:c>
      <x:c xmlns:x="http://schemas.openxmlformats.org/spreadsheetml/2006/main" r="Y175" t="str" s="11">
        <x:v>C:\Users\Nomatin\Documents\Altium\MY_LIB\MY_LIB\Datasheets\YAGEO_CC_X7R.pdf</x:v>
      </x:c>
      <ns0:c xmlns:ns0="http://schemas.openxmlformats.org/spreadsheetml/2006/main" r="Z175" s="11">
        <ns0:v>5.6e-08</ns0:v>
      </ns0:c>
      <ns0:c xmlns:ns0="http://schemas.openxmlformats.org/spreadsheetml/2006/main" r="AA175" s="11">
        <ns0:v>0.05</ns0:v>
      </ns0:c>
      <ns0:c xmlns:ns0="http://schemas.openxmlformats.org/spreadsheetml/2006/main" r="AB175" s="11">
        <ns0:v>1000</ns0:v>
      </ns0:c>
      <ns0:c xmlns:ns0="http://schemas.openxmlformats.org/spreadsheetml/2006/main" r="AC175" s="11">
        <ns0:v>1</ns0:v>
      </ns0:c>
      <ns0:c xmlns:ns0="http://schemas.openxmlformats.org/spreadsheetml/2006/main" r="AD175" s="11">
        <ns0:v>20</ns0:v>
      </ns0:c>
      <ns0:c xmlns:ns0="http://schemas.openxmlformats.org/spreadsheetml/2006/main" r="AE175" s="11">
        <ns0:v>500</ns0:v>
      </ns0:c>
      <ns0:c xmlns:ns0="http://schemas.openxmlformats.org/spreadsheetml/2006/main" r="AF175" s="11">
        <ns0:v>8928571428.57143</ns0:v>
      </ns0:c>
      <ns0:c xmlns:ns0="http://schemas.openxmlformats.org/spreadsheetml/2006/main" r="AG175" s="11">
        <ns0:v>100</ns0:v>
      </ns0:c>
      <ns0:c xmlns:ns0="http://schemas.openxmlformats.org/spreadsheetml/2006/main" r="AH175" s="11">
        <ns0:v>60</ns0:v>
      </ns0:c>
      <ns0:c xmlns:ns0="http://schemas.openxmlformats.org/spreadsheetml/2006/main" r="AI175" s="11">
        <ns0:v>142.102627760621</ns0:v>
      </ns0:c>
      <ns0:c xmlns:ns0="http://schemas.openxmlformats.org/spreadsheetml/2006/main" r="AJ175" s="11" t="inlineStr">
        <ns0:is>
          <ns0:t>MY_LIB_C_RC</ns0:t>
        </ns0:is>
      </ns0:c>
      <ns0:c xmlns:ns0="http://schemas.openxmlformats.org/spreadsheetml/2006/main" r="AK175" s="11" t="inlineStr">
        <ns0:is>
          <ns0:t>Nominal C; DFmax at 1kHz; minimum insulation; no temperature/bias/ESL</ns0:t>
        </ns0:is>
      </ns0:c>
      <ns0:c xmlns:ns0="http://schemas.openxmlformats.org/spreadsheetml/2006/main" r="AL175" s="11" t="inlineStr">
        <ns0:is>
          <ns0:t>General</ns0:t>
        </ns0:is>
      </ns0:c>
      <ns0:c xmlns:ns0="http://schemas.openxmlformats.org/spreadsheetml/2006/main" r="AM175" s="11" t="inlineStr">
        <ns0:is>
          <ns0:t>Spice Subcircuit</ns0:t>
        </ns0:is>
      </ns0:c>
      <ns0:c xmlns:ns0="http://schemas.openxmlformats.org/spreadsheetml/2006/main" r="AN175" s="11" t="inlineStr">
        <ns0:is>
          <ns0:t>@DESIGNATOR %1 %2 @MODEL PARAMS: Cvalue=5.6e-08 Rsvalue=142.102627760621 Rinsvalue=8928571428.57143</ns0:t>
        </ns0:is>
      </ns0:c>
      <ns0:c xmlns:ns0="http://schemas.openxmlformats.org/spreadsheetml/2006/main" r="AO175" s="11" t="inlineStr">
        <ns0:is>
          <ns0:t>X</ns0:t>
        </ns0:is>
      </ns0:c>
      <ns0:c xmlns:ns0="http://schemas.openxmlformats.org/spreadsheetml/2006/main" r="AP175" s="11" t="inlineStr">
        <ns0:is>
          <ns0:t>(1:1),(2:2)</ns0:t>
        </ns0:is>
      </ns0:c>
      <ns0:c xmlns:ns0="http://schemas.openxmlformats.org/spreadsheetml/2006/main" r="AQ175" s="11" t="inlineStr">
        <ns0:is>
          <ns0:t>Simulation\Capacitors\MY_LIB_C_RC.ckt</ns0:t>
        </ns0:is>
      </ns0:c>
    </ns0:row>
    <ns0:row r="176" ht="30" customHeight="1">
      <ns0:c r="A176" t="str" s="14">
        <ns0:v>C0177</ns0:v>
      </ns0:c>
      <ns0:c r="B176" t="str" s="14">
        <ns0:v>Конденсатор</ns0:v>
      </ns0:c>
      <ns0:c r="C176" t="str" s="14">
        <ns0:v>68n</ns0:v>
      </ns0:c>
      <ns0:c r="D176" t="str" s="11">
        <ns0:f>SUBSTITUTE(SUBSTITUTE(SUBSTITUTE(SUBSTITUTE(C176,"p"," пФ"),"n"," нФ"),"u"," мкФ"),".",",")</ns0:f>
        <ns0:v>68 нФ</ns0:v>
      </ns0:c>
      <ns0:c r="E176" t="str" s="14">
        <ns0:v>±5%</ns0:v>
      </ns0:c>
      <ns0:c r="F176" s="14"/>
      <ns0:c r="G176" t="str" s="14">
        <ns0:v>100 В</ns0:v>
      </ns0:c>
      <ns0:c r="H176" t="str" s="14">
        <ns0:v>X7R</ns0:v>
      </ns0:c>
      <ns0:c r="I176" t="str" s="15">
        <ns0:v>0603</ns0:v>
      </ns0:c>
      <ns0:c r="J176" t="str" s="14">
        <ns0:v>YAGEO</ns0:v>
      </ns0:c>
      <ns0:c r="K176" t="str" s="14">
        <ns0:v>CC0603JRX7R0BB683</ns0:v>
      </ns0:c>
      <ns0:c r="L176" t="str" s="11">
        <ns0:f>B176&amp;" "&amp;D176&amp;" "&amp;E176&amp;" "&amp;G176&amp;" "&amp;H176&amp;" "&amp;I176</ns0:f>
        <ns0:v>Конденсатор 68 нФ ±5% 100 В X7R 0603</ns0:v>
      </ns0:c>
      <ns0:c r="M176" t="str" s="13">
        <ns0:v>C</ns0:v>
      </ns0:c>
      <ns0:c r="N176" t="str" s="13">
        <ns0:v>Symbols\MY_LIB_Capacitors.SchLib</ns0:v>
      </ns0:c>
      <ns0:c r="O176" t="str" s="13">
        <ns0:v>CAPC1608X90N</ns0:v>
      </ns0:c>
      <ns0:c r="P176" t="str" s="13">
        <ns0:v>Footprints\PBL - SMD Packages.PcbLib</ns0:v>
      </ns0:c>
      <ns0:c r="Q176" t="str" s="14">
        <ns0:v>YAGEO CC; список 20.10.2026</ns0:v>
      </ns0:c>
      <ns0:c r="R176" t="str" s="11">
        <ns0:f>D176</ns0:f>
        <ns0:v>68 нФ</ns0:v>
      </ns0:c>
      <ns0:c r="S176" t="str" s="11">
        <ns0:f>L176</ns0:f>
        <ns0:v>Конденсатор 68 нФ ±5% 100 В X7R 0603</ns0:v>
      </ns0:c>
      <x:c xmlns:x="http://schemas.openxmlformats.org/spreadsheetml/2006/main" r="T176" t="str" s="11">
        <x:v>C:\Users\Nomatin\Documents\Altium\MY_LIB\MY_LIB\Datasheets\YAGEO_CC_X7R.pdf</x:v>
      </x:c>
      <x:c xmlns:x="http://schemas.openxmlformats.org/spreadsheetml/2006/main" r="U176" t="str" s="11">
        <x:v>Даташит — локальный</x:v>
      </x:c>
      <x:c xmlns:x="http://schemas.openxmlformats.org/spreadsheetml/2006/main" r="V176" t="str" s="11">
        <x:v>C:\Users\Nomatin\Documents\Altium\MY_LIB\MY_LIB\Datasheets\YAGEO_CC_X7R.pdf</x:v>
      </x:c>
      <x:c xmlns:x="http://schemas.openxmlformats.org/spreadsheetml/2006/main" r="W176" t="str" s="11">
        <x:v>Даташит — производитель</x:v>
      </x:c>
      <x:c xmlns:x="http://schemas.openxmlformats.org/spreadsheetml/2006/main" r="X176" t="str" s="11">
        <x:v>https://yageogroup.com/content/datasheet/asset/file/UPY-GPHC_X7R_6_3V-TO-250V</x:v>
      </x:c>
      <x:c xmlns:x="http://schemas.openxmlformats.org/spreadsheetml/2006/main" r="Y176" t="str" s="11">
        <x:v>C:\Users\Nomatin\Documents\Altium\MY_LIB\MY_LIB\Datasheets\YAGEO_CC_X7R.pdf</x:v>
      </x:c>
      <ns0:c xmlns:ns0="http://schemas.openxmlformats.org/spreadsheetml/2006/main" r="Z176" s="11">
        <ns0:v>6.8e-08</ns0:v>
      </ns0:c>
      <ns0:c xmlns:ns0="http://schemas.openxmlformats.org/spreadsheetml/2006/main" r="AA176" s="11">
        <ns0:v>0.05</ns0:v>
      </ns0:c>
      <ns0:c xmlns:ns0="http://schemas.openxmlformats.org/spreadsheetml/2006/main" r="AB176" s="11">
        <ns0:v>1000</ns0:v>
      </ns0:c>
      <ns0:c xmlns:ns0="http://schemas.openxmlformats.org/spreadsheetml/2006/main" r="AC176" s="11">
        <ns0:v>1</ns0:v>
      </ns0:c>
      <ns0:c xmlns:ns0="http://schemas.openxmlformats.org/spreadsheetml/2006/main" r="AD176" s="11">
        <ns0:v>20</ns0:v>
      </ns0:c>
      <ns0:c xmlns:ns0="http://schemas.openxmlformats.org/spreadsheetml/2006/main" r="AE176" s="11">
        <ns0:v>500</ns0:v>
      </ns0:c>
      <ns0:c xmlns:ns0="http://schemas.openxmlformats.org/spreadsheetml/2006/main" r="AF176" s="11">
        <ns0:v>7352941176.47059</ns0:v>
      </ns0:c>
      <ns0:c xmlns:ns0="http://schemas.openxmlformats.org/spreadsheetml/2006/main" r="AG176" s="11">
        <ns0:v>100</ns0:v>
      </ns0:c>
      <ns0:c xmlns:ns0="http://schemas.openxmlformats.org/spreadsheetml/2006/main" r="AH176" s="11">
        <ns0:v>60</ns0:v>
      </ns0:c>
      <ns0:c xmlns:ns0="http://schemas.openxmlformats.org/spreadsheetml/2006/main" r="AI176" s="11">
        <ns0:v>117.025693449923</ns0:v>
      </ns0:c>
      <ns0:c xmlns:ns0="http://schemas.openxmlformats.org/spreadsheetml/2006/main" r="AJ176" s="11" t="inlineStr">
        <ns0:is>
          <ns0:t>MY_LIB_C_RC</ns0:t>
        </ns0:is>
      </ns0:c>
      <ns0:c xmlns:ns0="http://schemas.openxmlformats.org/spreadsheetml/2006/main" r="AK176" s="11" t="inlineStr">
        <ns0:is>
          <ns0:t>Nominal C; DFmax at 1kHz; minimum insulation; no temperature/bias/ESL</ns0:t>
        </ns0:is>
      </ns0:c>
      <ns0:c xmlns:ns0="http://schemas.openxmlformats.org/spreadsheetml/2006/main" r="AL176" s="11" t="inlineStr">
        <ns0:is>
          <ns0:t>General</ns0:t>
        </ns0:is>
      </ns0:c>
      <ns0:c xmlns:ns0="http://schemas.openxmlformats.org/spreadsheetml/2006/main" r="AM176" s="11" t="inlineStr">
        <ns0:is>
          <ns0:t>Spice Subcircuit</ns0:t>
        </ns0:is>
      </ns0:c>
      <ns0:c xmlns:ns0="http://schemas.openxmlformats.org/spreadsheetml/2006/main" r="AN176" s="11" t="inlineStr">
        <ns0:is>
          <ns0:t>@DESIGNATOR %1 %2 @MODEL PARAMS: Cvalue=6.8e-08 Rsvalue=117.025693449923 Rinsvalue=7352941176.47059</ns0:t>
        </ns0:is>
      </ns0:c>
      <ns0:c xmlns:ns0="http://schemas.openxmlformats.org/spreadsheetml/2006/main" r="AO176" s="11" t="inlineStr">
        <ns0:is>
          <ns0:t>X</ns0:t>
        </ns0:is>
      </ns0:c>
      <ns0:c xmlns:ns0="http://schemas.openxmlformats.org/spreadsheetml/2006/main" r="AP176" s="11" t="inlineStr">
        <ns0:is>
          <ns0:t>(1:1),(2:2)</ns0:t>
        </ns0:is>
      </ns0:c>
      <ns0:c xmlns:ns0="http://schemas.openxmlformats.org/spreadsheetml/2006/main" r="AQ176" s="11" t="inlineStr">
        <ns0:is>
          <ns0:t>Simulation\Capacitors\MY_LIB_C_RC.ckt</ns0:t>
        </ns0:is>
      </ns0:c>
    </ns0:row>
    <ns0:row r="177" ht="30" customHeight="1">
      <ns0:c r="A177" t="str" s="14">
        <ns0:v>C0178</ns0:v>
      </ns0:c>
      <ns0:c r="B177" t="str" s="14">
        <ns0:v>Конденсатор</ns0:v>
      </ns0:c>
      <ns0:c r="C177" t="str" s="14">
        <ns0:v>82n</ns0:v>
      </ns0:c>
      <ns0:c r="D177" t="str" s="11">
        <ns0:f>SUBSTITUTE(SUBSTITUTE(SUBSTITUTE(SUBSTITUTE(C177,"p"," пФ"),"n"," нФ"),"u"," мкФ"),".",",")</ns0:f>
        <ns0:v>82 нФ</ns0:v>
      </ns0:c>
      <ns0:c r="E177" t="str" s="14">
        <ns0:v>±5%</ns0:v>
      </ns0:c>
      <ns0:c r="F177" s="14"/>
      <ns0:c r="G177" t="str" s="14">
        <ns0:v>100 В</ns0:v>
      </ns0:c>
      <ns0:c r="H177" t="str" s="14">
        <ns0:v>X7R</ns0:v>
      </ns0:c>
      <ns0:c r="I177" t="str" s="15">
        <ns0:v>0603</ns0:v>
      </ns0:c>
      <ns0:c r="J177" t="str" s="14">
        <ns0:v>YAGEO</ns0:v>
      </ns0:c>
      <ns0:c r="K177" t="str" s="14">
        <ns0:v>CC0603JRX7R0BB823</ns0:v>
      </ns0:c>
      <ns0:c r="L177" t="str" s="11">
        <ns0:f>B177&amp;" "&amp;D177&amp;" "&amp;E177&amp;" "&amp;G177&amp;" "&amp;H177&amp;" "&amp;I177</ns0:f>
        <ns0:v>Конденсатор 82 нФ ±5% 100 В X7R 0603</ns0:v>
      </ns0:c>
      <ns0:c r="M177" t="str" s="13">
        <ns0:v>C</ns0:v>
      </ns0:c>
      <ns0:c r="N177" t="str" s="13">
        <ns0:v>Symbols\MY_LIB_Capacitors.SchLib</ns0:v>
      </ns0:c>
      <ns0:c r="O177" t="str" s="13">
        <ns0:v>CAPC1608X90N</ns0:v>
      </ns0:c>
      <ns0:c r="P177" t="str" s="13">
        <ns0:v>Footprints\PBL - SMD Packages.PcbLib</ns0:v>
      </ns0:c>
      <ns0:c r="Q177" t="str" s="14">
        <ns0:v>YAGEO CC; список 20.10.2026</ns0:v>
      </ns0:c>
      <ns0:c r="R177" t="str" s="11">
        <ns0:f>D177</ns0:f>
        <ns0:v>82 нФ</ns0:v>
      </ns0:c>
      <ns0:c r="S177" t="str" s="11">
        <ns0:f>L177</ns0:f>
        <ns0:v>Конденсатор 82 нФ ±5% 100 В X7R 0603</ns0:v>
      </ns0:c>
      <x:c xmlns:x="http://schemas.openxmlformats.org/spreadsheetml/2006/main" r="T177" t="str" s="11">
        <x:v>C:\Users\Nomatin\Documents\Altium\MY_LIB\MY_LIB\Datasheets\YAGEO_CC_X7R.pdf</x:v>
      </x:c>
      <x:c xmlns:x="http://schemas.openxmlformats.org/spreadsheetml/2006/main" r="U177" t="str" s="11">
        <x:v>Даташит — локальный</x:v>
      </x:c>
      <x:c xmlns:x="http://schemas.openxmlformats.org/spreadsheetml/2006/main" r="V177" t="str" s="11">
        <x:v>C:\Users\Nomatin\Documents\Altium\MY_LIB\MY_LIB\Datasheets\YAGEO_CC_X7R.pdf</x:v>
      </x:c>
      <x:c xmlns:x="http://schemas.openxmlformats.org/spreadsheetml/2006/main" r="W177" t="str" s="11">
        <x:v>Даташит — производитель</x:v>
      </x:c>
      <x:c xmlns:x="http://schemas.openxmlformats.org/spreadsheetml/2006/main" r="X177" t="str" s="11">
        <x:v>https://yageogroup.com/content/datasheet/asset/file/UPY-GPHC_X7R_6_3V-TO-250V</x:v>
      </x:c>
      <x:c xmlns:x="http://schemas.openxmlformats.org/spreadsheetml/2006/main" r="Y177" t="str" s="11">
        <x:v>C:\Users\Nomatin\Documents\Altium\MY_LIB\MY_LIB\Datasheets\YAGEO_CC_X7R.pdf</x:v>
      </x:c>
      <ns0:c xmlns:ns0="http://schemas.openxmlformats.org/spreadsheetml/2006/main" r="Z177" s="11">
        <ns0:v>8.2e-08</ns0:v>
      </ns0:c>
      <ns0:c xmlns:ns0="http://schemas.openxmlformats.org/spreadsheetml/2006/main" r="AA177" s="11">
        <ns0:v>0.05</ns0:v>
      </ns0:c>
      <ns0:c xmlns:ns0="http://schemas.openxmlformats.org/spreadsheetml/2006/main" r="AB177" s="11">
        <ns0:v>1000</ns0:v>
      </ns0:c>
      <ns0:c xmlns:ns0="http://schemas.openxmlformats.org/spreadsheetml/2006/main" r="AC177" s="11">
        <ns0:v>1</ns0:v>
      </ns0:c>
      <ns0:c xmlns:ns0="http://schemas.openxmlformats.org/spreadsheetml/2006/main" r="AD177" s="11">
        <ns0:v>20</ns0:v>
      </ns0:c>
      <ns0:c xmlns:ns0="http://schemas.openxmlformats.org/spreadsheetml/2006/main" r="AE177" s="11">
        <ns0:v>500</ns0:v>
      </ns0:c>
      <ns0:c xmlns:ns0="http://schemas.openxmlformats.org/spreadsheetml/2006/main" r="AF177" s="11">
        <ns0:v>6097560975.60976</ns0:v>
      </ns0:c>
      <ns0:c xmlns:ns0="http://schemas.openxmlformats.org/spreadsheetml/2006/main" r="AG177" s="11">
        <ns0:v>100</ns0:v>
      </ns0:c>
      <ns0:c xmlns:ns0="http://schemas.openxmlformats.org/spreadsheetml/2006/main" r="AH177" s="11">
        <ns0:v>60</ns0:v>
      </ns0:c>
      <ns0:c xmlns:ns0="http://schemas.openxmlformats.org/spreadsheetml/2006/main" r="AI177" s="11">
        <ns0:v>97.0456970072533</ns0:v>
      </ns0:c>
      <ns0:c xmlns:ns0="http://schemas.openxmlformats.org/spreadsheetml/2006/main" r="AJ177" s="11" t="inlineStr">
        <ns0:is>
          <ns0:t>MY_LIB_C_RC</ns0:t>
        </ns0:is>
      </ns0:c>
      <ns0:c xmlns:ns0="http://schemas.openxmlformats.org/spreadsheetml/2006/main" r="AK177" s="11" t="inlineStr">
        <ns0:is>
          <ns0:t>Nominal C; DFmax at 1kHz; minimum insulation; no temperature/bias/ESL</ns0:t>
        </ns0:is>
      </ns0:c>
      <ns0:c xmlns:ns0="http://schemas.openxmlformats.org/spreadsheetml/2006/main" r="AL177" s="11" t="inlineStr">
        <ns0:is>
          <ns0:t>General</ns0:t>
        </ns0:is>
      </ns0:c>
      <ns0:c xmlns:ns0="http://schemas.openxmlformats.org/spreadsheetml/2006/main" r="AM177" s="11" t="inlineStr">
        <ns0:is>
          <ns0:t>Spice Subcircuit</ns0:t>
        </ns0:is>
      </ns0:c>
      <ns0:c xmlns:ns0="http://schemas.openxmlformats.org/spreadsheetml/2006/main" r="AN177" s="11" t="inlineStr">
        <ns0:is>
          <ns0:t>@DESIGNATOR %1 %2 @MODEL PARAMS: Cvalue=8.2e-08 Rsvalue=97.0456970072533 Rinsvalue=6097560975.60976</ns0:t>
        </ns0:is>
      </ns0:c>
      <ns0:c xmlns:ns0="http://schemas.openxmlformats.org/spreadsheetml/2006/main" r="AO177" s="11" t="inlineStr">
        <ns0:is>
          <ns0:t>X</ns0:t>
        </ns0:is>
      </ns0:c>
      <ns0:c xmlns:ns0="http://schemas.openxmlformats.org/spreadsheetml/2006/main" r="AP177" s="11" t="inlineStr">
        <ns0:is>
          <ns0:t>(1:1),(2:2)</ns0:t>
        </ns0:is>
      </ns0:c>
      <ns0:c xmlns:ns0="http://schemas.openxmlformats.org/spreadsheetml/2006/main" r="AQ177" s="11" t="inlineStr">
        <ns0:is>
          <ns0:t>Simulation\Capacitors\MY_LIB_C_RC.ckt</ns0:t>
        </ns0:is>
      </ns0:c>
    </ns0:row>
    <ns0:row r="178" ht="30" customHeight="1">
      <ns0:c r="A178" t="str" s="14">
        <ns0:v>C0179</ns0:v>
      </ns0:c>
      <ns0:c r="B178" t="str" s="14">
        <ns0:v>Конденсатор</ns0:v>
      </ns0:c>
      <ns0:c r="C178" t="str" s="14">
        <ns0:v>100n</ns0:v>
      </ns0:c>
      <ns0:c r="D178" t="str" s="11">
        <ns0:f>SUBSTITUTE(SUBSTITUTE(SUBSTITUTE(SUBSTITUTE(C178,"p"," пФ"),"n"," нФ"),"u"," мкФ"),".",",")</ns0:f>
        <ns0:v>100 нФ</ns0:v>
      </ns0:c>
      <ns0:c r="E178" t="str" s="14">
        <ns0:v>±5%</ns0:v>
      </ns0:c>
      <ns0:c r="F178" s="14"/>
      <ns0:c r="G178" t="str" s="14">
        <ns0:v>100 В</ns0:v>
      </ns0:c>
      <ns0:c r="H178" t="str" s="14">
        <ns0:v>X7R</ns0:v>
      </ns0:c>
      <ns0:c r="I178" t="str" s="15">
        <ns0:v>0603</ns0:v>
      </ns0:c>
      <ns0:c r="J178" t="str" s="14">
        <ns0:v>YAGEO</ns0:v>
      </ns0:c>
      <ns0:c r="K178" t="str" s="14">
        <ns0:v>CC0603JRX7R0BB104</ns0:v>
      </ns0:c>
      <ns0:c r="L178" t="str" s="11">
        <ns0:f>B178&amp;" "&amp;D178&amp;" "&amp;E178&amp;" "&amp;G178&amp;" "&amp;H178&amp;" "&amp;I178</ns0:f>
        <ns0:v>Конденсатор 100 нФ ±5% 100 В X7R 0603</ns0:v>
      </ns0:c>
      <ns0:c r="M178" t="str" s="13">
        <ns0:v>C</ns0:v>
      </ns0:c>
      <ns0:c r="N178" t="str" s="13">
        <ns0:v>Symbols\MY_LIB_Capacitors.SchLib</ns0:v>
      </ns0:c>
      <ns0:c r="O178" t="str" s="13">
        <ns0:v>CAPC1608X90N</ns0:v>
      </ns0:c>
      <ns0:c r="P178" t="str" s="13">
        <ns0:v>Footprints\PBL - SMD Packages.PcbLib</ns0:v>
      </ns0:c>
      <ns0:c r="Q178" t="str" s="14">
        <ns0:v>YAGEO CC; список 20.10.2026</ns0:v>
      </ns0:c>
      <ns0:c r="R178" t="str" s="11">
        <ns0:f>D178</ns0:f>
        <ns0:v>100 нФ</ns0:v>
      </ns0:c>
      <ns0:c r="S178" t="str" s="11">
        <ns0:f>L178</ns0:f>
        <ns0:v>Конденсатор 100 нФ ±5% 100 В X7R 0603</ns0:v>
      </ns0:c>
      <x:c xmlns:x="http://schemas.openxmlformats.org/spreadsheetml/2006/main" r="T178" t="str" s="11">
        <x:v>C:\Users\Nomatin\Documents\Altium\MY_LIB\MY_LIB\Datasheets\YAGEO_CC_X7R.pdf</x:v>
      </x:c>
      <x:c xmlns:x="http://schemas.openxmlformats.org/spreadsheetml/2006/main" r="U178" t="str" s="11">
        <x:v>Даташит — локальный</x:v>
      </x:c>
      <x:c xmlns:x="http://schemas.openxmlformats.org/spreadsheetml/2006/main" r="V178" t="str" s="11">
        <x:v>C:\Users\Nomatin\Documents\Altium\MY_LIB\MY_LIB\Datasheets\YAGEO_CC_X7R.pdf</x:v>
      </x:c>
      <x:c xmlns:x="http://schemas.openxmlformats.org/spreadsheetml/2006/main" r="W178" t="str" s="11">
        <x:v>Даташит — производитель</x:v>
      </x:c>
      <x:c xmlns:x="http://schemas.openxmlformats.org/spreadsheetml/2006/main" r="X178" t="str" s="11">
        <x:v>https://yageogroup.com/content/datasheet/asset/file/UPY-GPHC_X7R_6_3V-TO-250V</x:v>
      </x:c>
      <x:c xmlns:x="http://schemas.openxmlformats.org/spreadsheetml/2006/main" r="Y178" t="str" s="11">
        <x:v>C:\Users\Nomatin\Documents\Altium\MY_LIB\MY_LIB\Datasheets\YAGEO_CC_X7R.pdf</x:v>
      </x:c>
      <ns0:c xmlns:ns0="http://schemas.openxmlformats.org/spreadsheetml/2006/main" r="Z178" s="11">
        <ns0:v>1e-07</ns0:v>
      </ns0:c>
      <ns0:c xmlns:ns0="http://schemas.openxmlformats.org/spreadsheetml/2006/main" r="AA178" s="11">
        <ns0:v>0.05</ns0:v>
      </ns0:c>
      <ns0:c xmlns:ns0="http://schemas.openxmlformats.org/spreadsheetml/2006/main" r="AB178" s="11">
        <ns0:v>1000</ns0:v>
      </ns0:c>
      <ns0:c xmlns:ns0="http://schemas.openxmlformats.org/spreadsheetml/2006/main" r="AC178" s="11">
        <ns0:v>1</ns0:v>
      </ns0:c>
      <ns0:c xmlns:ns0="http://schemas.openxmlformats.org/spreadsheetml/2006/main" r="AD178" s="11">
        <ns0:v>20</ns0:v>
      </ns0:c>
      <ns0:c xmlns:ns0="http://schemas.openxmlformats.org/spreadsheetml/2006/main" r="AE178" s="11">
        <ns0:v>500</ns0:v>
      </ns0:c>
      <ns0:c xmlns:ns0="http://schemas.openxmlformats.org/spreadsheetml/2006/main" r="AF178" s="11">
        <ns0:v>5000000000</ns0:v>
      </ns0:c>
      <ns0:c xmlns:ns0="http://schemas.openxmlformats.org/spreadsheetml/2006/main" r="AG178" s="11">
        <ns0:v>100</ns0:v>
      </ns0:c>
      <ns0:c xmlns:ns0="http://schemas.openxmlformats.org/spreadsheetml/2006/main" r="AH178" s="11">
        <ns0:v>60</ns0:v>
      </ns0:c>
      <ns0:c xmlns:ns0="http://schemas.openxmlformats.org/spreadsheetml/2006/main" r="AI178" s="11">
        <ns0:v>79.5774715459477</ns0:v>
      </ns0:c>
      <ns0:c xmlns:ns0="http://schemas.openxmlformats.org/spreadsheetml/2006/main" r="AJ178" s="11" t="inlineStr">
        <ns0:is>
          <ns0:t>MY_LIB_C_RC</ns0:t>
        </ns0:is>
      </ns0:c>
      <ns0:c xmlns:ns0="http://schemas.openxmlformats.org/spreadsheetml/2006/main" r="AK178" s="11" t="inlineStr">
        <ns0:is>
          <ns0:t>Nominal C; DFmax at 1kHz; minimum insulation; no temperature/bias/ESL</ns0:t>
        </ns0:is>
      </ns0:c>
      <ns0:c xmlns:ns0="http://schemas.openxmlformats.org/spreadsheetml/2006/main" r="AL178" s="11" t="inlineStr">
        <ns0:is>
          <ns0:t>General</ns0:t>
        </ns0:is>
      </ns0:c>
      <ns0:c xmlns:ns0="http://schemas.openxmlformats.org/spreadsheetml/2006/main" r="AM178" s="11" t="inlineStr">
        <ns0:is>
          <ns0:t>Spice Subcircuit</ns0:t>
        </ns0:is>
      </ns0:c>
      <ns0:c xmlns:ns0="http://schemas.openxmlformats.org/spreadsheetml/2006/main" r="AN178" s="11" t="inlineStr">
        <ns0:is>
          <ns0:t>@DESIGNATOR %1 %2 @MODEL PARAMS: Cvalue=1e-07 Rsvalue=79.5774715459477 Rinsvalue=5000000000</ns0:t>
        </ns0:is>
      </ns0:c>
      <ns0:c xmlns:ns0="http://schemas.openxmlformats.org/spreadsheetml/2006/main" r="AO178" s="11" t="inlineStr">
        <ns0:is>
          <ns0:t>X</ns0:t>
        </ns0:is>
      </ns0:c>
      <ns0:c xmlns:ns0="http://schemas.openxmlformats.org/spreadsheetml/2006/main" r="AP178" s="11" t="inlineStr">
        <ns0:is>
          <ns0:t>(1:1),(2:2)</ns0:t>
        </ns0:is>
      </ns0:c>
      <ns0:c xmlns:ns0="http://schemas.openxmlformats.org/spreadsheetml/2006/main" r="AQ178" s="11" t="inlineStr">
        <ns0:is>
          <ns0:t>Simulation\Capacitors\MY_LIB_C_RC.ckt</ns0:t>
        </ns0:is>
      </ns0:c>
    </ns0:row>
    <ns0:row r="179" ht="30" customHeight="1">
      <ns0:c r="A179" t="str" s="14">
        <ns0:v>C0180</ns0:v>
      </ns0:c>
      <ns0:c r="B179" t="str" s="14">
        <ns0:v>Конденсатор</ns0:v>
      </ns0:c>
      <ns0:c r="C179" t="str" s="14">
        <ns0:v>150n</ns0:v>
      </ns0:c>
      <ns0:c r="D179" t="str" s="11">
        <ns0:f>SUBSTITUTE(SUBSTITUTE(SUBSTITUTE(SUBSTITUTE(C179,"p"," пФ"),"n"," нФ"),"u"," мкФ"),".",",")</ns0:f>
        <ns0:v>150 нФ</ns0:v>
      </ns0:c>
      <ns0:c r="E179" t="str" s="14">
        <ns0:v>±5%</ns0:v>
      </ns0:c>
      <ns0:c r="F179" s="14"/>
      <ns0:c r="G179" t="str" s="14">
        <ns0:v>50 В</ns0:v>
      </ns0:c>
      <ns0:c r="H179" t="str" s="14">
        <ns0:v>X7R</ns0:v>
      </ns0:c>
      <ns0:c r="I179" t="str" s="15">
        <ns0:v>0603</ns0:v>
      </ns0:c>
      <ns0:c r="J179" t="str" s="14">
        <ns0:v>YAGEO</ns0:v>
      </ns0:c>
      <ns0:c r="K179" t="str" s="14">
        <ns0:v>CC0603JRX7R9BB154</ns0:v>
      </ns0:c>
      <ns0:c r="L179" t="str" s="11">
        <ns0:f>B179&amp;" "&amp;D179&amp;" "&amp;E179&amp;" "&amp;G179&amp;" "&amp;H179&amp;" "&amp;I179</ns0:f>
        <ns0:v>Конденсатор 150 нФ ±5% 50 В X7R 0603</ns0:v>
      </ns0:c>
      <ns0:c r="M179" t="str" s="13">
        <ns0:v>C</ns0:v>
      </ns0:c>
      <ns0:c r="N179" t="str" s="13">
        <ns0:v>Symbols\MY_LIB_Capacitors.SchLib</ns0:v>
      </ns0:c>
      <ns0:c r="O179" t="str" s="13">
        <ns0:v>CAPC1608X90N</ns0:v>
      </ns0:c>
      <ns0:c r="P179" t="str" s="13">
        <ns0:v>Footprints\PBL - SMD Packages.PcbLib</ns0:v>
      </ns0:c>
      <ns0:c r="Q179" t="str" s="14">
        <ns0:v>YAGEO CC; список 20.10.2026</ns0:v>
      </ns0:c>
      <ns0:c r="R179" t="str" s="11">
        <ns0:f>D179</ns0:f>
        <ns0:v>150 нФ</ns0:v>
      </ns0:c>
      <ns0:c r="S179" t="str" s="11">
        <ns0:f>L179</ns0:f>
        <ns0:v>Конденсатор 150 нФ ±5% 50 В X7R 0603</ns0:v>
      </ns0:c>
      <x:c xmlns:x="http://schemas.openxmlformats.org/spreadsheetml/2006/main" r="T179" t="str" s="11">
        <x:v>C:\Users\Nomatin\Documents\Altium\MY_LIB\MY_LIB\Datasheets\YAGEO_CC_X7R.pdf</x:v>
      </x:c>
      <x:c xmlns:x="http://schemas.openxmlformats.org/spreadsheetml/2006/main" r="U179" t="str" s="11">
        <x:v>Даташит — локальный</x:v>
      </x:c>
      <x:c xmlns:x="http://schemas.openxmlformats.org/spreadsheetml/2006/main" r="V179" t="str" s="11">
        <x:v>C:\Users\Nomatin\Documents\Altium\MY_LIB\MY_LIB\Datasheets\YAGEO_CC_X7R.pdf</x:v>
      </x:c>
      <x:c xmlns:x="http://schemas.openxmlformats.org/spreadsheetml/2006/main" r="W179" t="str" s="11">
        <x:v>Даташит — производитель</x:v>
      </x:c>
      <x:c xmlns:x="http://schemas.openxmlformats.org/spreadsheetml/2006/main" r="X179" t="str" s="11">
        <x:v>https://yageogroup.com/content/datasheet/asset/file/UPY-GPHC_X7R_6_3V-TO-250V</x:v>
      </x:c>
      <x:c xmlns:x="http://schemas.openxmlformats.org/spreadsheetml/2006/main" r="Y179" t="str" s="11">
        <x:v>C:\Users\Nomatin\Documents\Altium\MY_LIB\MY_LIB\Datasheets\YAGEO_CC_X7R.pdf</x:v>
      </x:c>
      <ns0:c xmlns:ns0="http://schemas.openxmlformats.org/spreadsheetml/2006/main" r="Z179" s="11">
        <ns0:v>1.5e-07</ns0:v>
      </ns0:c>
      <ns0:c xmlns:ns0="http://schemas.openxmlformats.org/spreadsheetml/2006/main" r="AA179" s="11">
        <ns0:v>0.035</ns0:v>
      </ns0:c>
      <ns0:c xmlns:ns0="http://schemas.openxmlformats.org/spreadsheetml/2006/main" r="AB179" s="11">
        <ns0:v>1000</ns0:v>
      </ns0:c>
      <ns0:c xmlns:ns0="http://schemas.openxmlformats.org/spreadsheetml/2006/main" r="AC179" s="11">
        <ns0:v>1</ns0:v>
      </ns0:c>
      <ns0:c xmlns:ns0="http://schemas.openxmlformats.org/spreadsheetml/2006/main" r="AD179" s="11">
        <ns0:v>20</ns0:v>
      </ns0:c>
      <ns0:c xmlns:ns0="http://schemas.openxmlformats.org/spreadsheetml/2006/main" r="AE179" s="11">
        <ns0:v>500</ns0:v>
      </ns0:c>
      <ns0:c xmlns:ns0="http://schemas.openxmlformats.org/spreadsheetml/2006/main" r="AF179" s="11">
        <ns0:v>3333333333.33333</ns0:v>
      </ns0:c>
      <ns0:c xmlns:ns0="http://schemas.openxmlformats.org/spreadsheetml/2006/main" r="AG179" s="11">
        <ns0:v>50</ns0:v>
      </ns0:c>
      <ns0:c xmlns:ns0="http://schemas.openxmlformats.org/spreadsheetml/2006/main" r="AH179" s="11">
        <ns0:v>60</ns0:v>
      </ns0:c>
      <ns0:c xmlns:ns0="http://schemas.openxmlformats.org/spreadsheetml/2006/main" r="AI179" s="11">
        <ns0:v>37.1361533881089</ns0:v>
      </ns0:c>
      <ns0:c xmlns:ns0="http://schemas.openxmlformats.org/spreadsheetml/2006/main" r="AJ179" s="11" t="inlineStr">
        <ns0:is>
          <ns0:t>MY_LIB_C_RC</ns0:t>
        </ns0:is>
      </ns0:c>
      <ns0:c xmlns:ns0="http://schemas.openxmlformats.org/spreadsheetml/2006/main" r="AK179" s="11" t="inlineStr">
        <ns0:is>
          <ns0:t>Nominal C; DFmax at 1kHz; minimum insulation; no temperature/bias/ESL</ns0:t>
        </ns0:is>
      </ns0:c>
      <ns0:c xmlns:ns0="http://schemas.openxmlformats.org/spreadsheetml/2006/main" r="AL179" s="11" t="inlineStr">
        <ns0:is>
          <ns0:t>General</ns0:t>
        </ns0:is>
      </ns0:c>
      <ns0:c xmlns:ns0="http://schemas.openxmlformats.org/spreadsheetml/2006/main" r="AM179" s="11" t="inlineStr">
        <ns0:is>
          <ns0:t>Spice Subcircuit</ns0:t>
        </ns0:is>
      </ns0:c>
      <ns0:c xmlns:ns0="http://schemas.openxmlformats.org/spreadsheetml/2006/main" r="AN179" s="11" t="inlineStr">
        <ns0:is>
          <ns0:t>@DESIGNATOR %1 %2 @MODEL PARAMS: Cvalue=1.5e-07 Rsvalue=37.1361533881089 Rinsvalue=3333333333.33333</ns0:t>
        </ns0:is>
      </ns0:c>
      <ns0:c xmlns:ns0="http://schemas.openxmlformats.org/spreadsheetml/2006/main" r="AO179" s="11" t="inlineStr">
        <ns0:is>
          <ns0:t>X</ns0:t>
        </ns0:is>
      </ns0:c>
      <ns0:c xmlns:ns0="http://schemas.openxmlformats.org/spreadsheetml/2006/main" r="AP179" s="11" t="inlineStr">
        <ns0:is>
          <ns0:t>(1:1),(2:2)</ns0:t>
        </ns0:is>
      </ns0:c>
      <ns0:c xmlns:ns0="http://schemas.openxmlformats.org/spreadsheetml/2006/main" r="AQ179" s="11" t="inlineStr">
        <ns0:is>
          <ns0:t>Simulation\Capacitors\MY_LIB_C_RC.ckt</ns0:t>
        </ns0:is>
      </ns0:c>
    </ns0:row>
    <ns0:row r="180" ht="30" customHeight="1">
      <ns0:c r="A180" t="str" s="14">
        <ns0:v>C0181</ns0:v>
      </ns0:c>
      <ns0:c r="B180" t="str" s="14">
        <ns0:v>Конденсатор</ns0:v>
      </ns0:c>
      <ns0:c r="C180" t="str" s="14">
        <ns0:v>180n</ns0:v>
      </ns0:c>
      <ns0:c r="D180" t="str" s="11">
        <ns0:f>SUBSTITUTE(SUBSTITUTE(SUBSTITUTE(SUBSTITUTE(C180,"p"," пФ"),"n"," нФ"),"u"," мкФ"),".",",")</ns0:f>
        <ns0:v>180 нФ</ns0:v>
      </ns0:c>
      <ns0:c r="E180" t="str" s="14">
        <ns0:v>±5%</ns0:v>
      </ns0:c>
      <ns0:c r="F180" s="14"/>
      <ns0:c r="G180" t="str" s="14">
        <ns0:v>16 В</ns0:v>
      </ns0:c>
      <ns0:c r="H180" t="str" s="14">
        <ns0:v>X7R</ns0:v>
      </ns0:c>
      <ns0:c r="I180" t="str" s="15">
        <ns0:v>0603</ns0:v>
      </ns0:c>
      <ns0:c r="J180" t="str" s="14">
        <ns0:v>YAGEO</ns0:v>
      </ns0:c>
      <ns0:c r="K180" t="str" s="14">
        <ns0:v>CC0603JRX7R7BB184</ns0:v>
      </ns0:c>
      <ns0:c r="L180" t="str" s="11">
        <ns0:f>B180&amp;" "&amp;D180&amp;" "&amp;E180&amp;" "&amp;G180&amp;" "&amp;H180&amp;" "&amp;I180</ns0:f>
        <ns0:v>Конденсатор 180 нФ ±5% 16 В X7R 0603</ns0:v>
      </ns0:c>
      <ns0:c r="M180" t="str" s="13">
        <ns0:v>C</ns0:v>
      </ns0:c>
      <ns0:c r="N180" t="str" s="13">
        <ns0:v>Symbols\MY_LIB_Capacitors.SchLib</ns0:v>
      </ns0:c>
      <ns0:c r="O180" t="str" s="13">
        <ns0:v>CAPC1608X90N</ns0:v>
      </ns0:c>
      <ns0:c r="P180" t="str" s="13">
        <ns0:v>Footprints\PBL - SMD Packages.PcbLib</ns0:v>
      </ns0:c>
      <ns0:c r="Q180" t="str" s="14">
        <ns0:v>YAGEO CC; список 20.10.2026</ns0:v>
      </ns0:c>
      <ns0:c r="R180" t="str" s="11">
        <ns0:f>D180</ns0:f>
        <ns0:v>180 нФ</ns0:v>
      </ns0:c>
      <ns0:c r="S180" t="str" s="11">
        <ns0:f>L180</ns0:f>
        <ns0:v>Конденсатор 180 нФ ±5% 16 В X7R 0603</ns0:v>
      </ns0:c>
      <x:c xmlns:x="http://schemas.openxmlformats.org/spreadsheetml/2006/main" r="T180" t="str" s="11">
        <x:v>C:\Users\Nomatin\Documents\Altium\MY_LIB\MY_LIB\Datasheets\YAGEO_CC_X7R.pdf</x:v>
      </x:c>
      <x:c xmlns:x="http://schemas.openxmlformats.org/spreadsheetml/2006/main" r="U180" t="str" s="11">
        <x:v>Даташит — локальный</x:v>
      </x:c>
      <x:c xmlns:x="http://schemas.openxmlformats.org/spreadsheetml/2006/main" r="V180" t="str" s="11">
        <x:v>C:\Users\Nomatin\Documents\Altium\MY_LIB\MY_LIB\Datasheets\YAGEO_CC_X7R.pdf</x:v>
      </x:c>
      <x:c xmlns:x="http://schemas.openxmlformats.org/spreadsheetml/2006/main" r="W180" t="str" s="11">
        <x:v>Даташит — производитель</x:v>
      </x:c>
      <x:c xmlns:x="http://schemas.openxmlformats.org/spreadsheetml/2006/main" r="X180" t="str" s="11">
        <x:v>https://yageogroup.com/content/datasheet/asset/file/UPY-GPHC_X7R_6_3V-TO-250V</x:v>
      </x:c>
      <x:c xmlns:x="http://schemas.openxmlformats.org/spreadsheetml/2006/main" r="Y180" t="str" s="11">
        <x:v>C:\Users\Nomatin\Documents\Altium\MY_LIB\MY_LIB\Datasheets\YAGEO_CC_X7R.pdf</x:v>
      </x:c>
      <ns0:c xmlns:ns0="http://schemas.openxmlformats.org/spreadsheetml/2006/main" r="Z180" s="11">
        <ns0:v>1.8e-07</ns0:v>
      </ns0:c>
      <ns0:c xmlns:ns0="http://schemas.openxmlformats.org/spreadsheetml/2006/main" r="AA180" s="11">
        <ns0:v>0.035</ns0:v>
      </ns0:c>
      <ns0:c xmlns:ns0="http://schemas.openxmlformats.org/spreadsheetml/2006/main" r="AB180" s="11">
        <ns0:v>1000</ns0:v>
      </ns0:c>
      <ns0:c xmlns:ns0="http://schemas.openxmlformats.org/spreadsheetml/2006/main" r="AC180" s="11">
        <ns0:v>1</ns0:v>
      </ns0:c>
      <ns0:c xmlns:ns0="http://schemas.openxmlformats.org/spreadsheetml/2006/main" r="AD180" s="11">
        <ns0:v>20</ns0:v>
      </ns0:c>
      <ns0:c xmlns:ns0="http://schemas.openxmlformats.org/spreadsheetml/2006/main" r="AE180" s="11">
        <ns0:v>500</ns0:v>
      </ns0:c>
      <ns0:c xmlns:ns0="http://schemas.openxmlformats.org/spreadsheetml/2006/main" r="AF180" s="11">
        <ns0:v>2777777777.77778</ns0:v>
      </ns0:c>
      <ns0:c xmlns:ns0="http://schemas.openxmlformats.org/spreadsheetml/2006/main" r="AG180" s="11">
        <ns0:v>16</ns0:v>
      </ns0:c>
      <ns0:c xmlns:ns0="http://schemas.openxmlformats.org/spreadsheetml/2006/main" r="AH180" s="11">
        <ns0:v>60</ns0:v>
      </ns0:c>
      <ns0:c xmlns:ns0="http://schemas.openxmlformats.org/spreadsheetml/2006/main" r="AI180" s="11">
        <ns0:v>30.9467944900908</ns0:v>
      </ns0:c>
      <ns0:c xmlns:ns0="http://schemas.openxmlformats.org/spreadsheetml/2006/main" r="AJ180" s="11" t="inlineStr">
        <ns0:is>
          <ns0:t>MY_LIB_C_RC</ns0:t>
        </ns0:is>
      </ns0:c>
      <ns0:c xmlns:ns0="http://schemas.openxmlformats.org/spreadsheetml/2006/main" r="AK180" s="11" t="inlineStr">
        <ns0:is>
          <ns0:t>Nominal C; DFmax at 1kHz; minimum insulation; no temperature/bias/ESL</ns0:t>
        </ns0:is>
      </ns0:c>
      <ns0:c xmlns:ns0="http://schemas.openxmlformats.org/spreadsheetml/2006/main" r="AL180" s="11" t="inlineStr">
        <ns0:is>
          <ns0:t>General</ns0:t>
        </ns0:is>
      </ns0:c>
      <ns0:c xmlns:ns0="http://schemas.openxmlformats.org/spreadsheetml/2006/main" r="AM180" s="11" t="inlineStr">
        <ns0:is>
          <ns0:t>Spice Subcircuit</ns0:t>
        </ns0:is>
      </ns0:c>
      <ns0:c xmlns:ns0="http://schemas.openxmlformats.org/spreadsheetml/2006/main" r="AN180" s="11" t="inlineStr">
        <ns0:is>
          <ns0:t>@DESIGNATOR %1 %2 @MODEL PARAMS: Cvalue=1.8e-07 Rsvalue=30.9467944900908 Rinsvalue=2777777777.77778</ns0:t>
        </ns0:is>
      </ns0:c>
      <ns0:c xmlns:ns0="http://schemas.openxmlformats.org/spreadsheetml/2006/main" r="AO180" s="11" t="inlineStr">
        <ns0:is>
          <ns0:t>X</ns0:t>
        </ns0:is>
      </ns0:c>
      <ns0:c xmlns:ns0="http://schemas.openxmlformats.org/spreadsheetml/2006/main" r="AP180" s="11" t="inlineStr">
        <ns0:is>
          <ns0:t>(1:1),(2:2)</ns0:t>
        </ns0:is>
      </ns0:c>
      <ns0:c xmlns:ns0="http://schemas.openxmlformats.org/spreadsheetml/2006/main" r="AQ180" s="11" t="inlineStr">
        <ns0:is>
          <ns0:t>Simulation\Capacitors\MY_LIB_C_RC.ckt</ns0:t>
        </ns0:is>
      </ns0:c>
    </ns0:row>
    <ns0:row r="181" ht="30" customHeight="1">
      <ns0:c r="A181" t="str" s="14">
        <ns0:v>C0182</ns0:v>
      </ns0:c>
      <ns0:c r="B181" t="str" s="14">
        <ns0:v>Конденсатор</ns0:v>
      </ns0:c>
      <ns0:c r="C181" t="str" s="14">
        <ns0:v>220n</ns0:v>
      </ns0:c>
      <ns0:c r="D181" t="str" s="11">
        <ns0:f>SUBSTITUTE(SUBSTITUTE(SUBSTITUTE(SUBSTITUTE(C181,"p"," пФ"),"n"," нФ"),"u"," мкФ"),".",",")</ns0:f>
        <ns0:v>220 нФ</ns0:v>
      </ns0:c>
      <ns0:c r="E181" t="str" s="14">
        <ns0:v>±5%</ns0:v>
      </ns0:c>
      <ns0:c r="F181" s="14"/>
      <ns0:c r="G181" t="str" s="14">
        <ns0:v>50 В</ns0:v>
      </ns0:c>
      <ns0:c r="H181" t="str" s="14">
        <ns0:v>X7R</ns0:v>
      </ns0:c>
      <ns0:c r="I181" t="str" s="15">
        <ns0:v>0603</ns0:v>
      </ns0:c>
      <ns0:c r="J181" t="str" s="14">
        <ns0:v>YAGEO</ns0:v>
      </ns0:c>
      <ns0:c r="K181" t="str" s="14">
        <ns0:v>CC0603JRX7R9BB224</ns0:v>
      </ns0:c>
      <ns0:c r="L181" t="str" s="11">
        <ns0:f>B181&amp;" "&amp;D181&amp;" "&amp;E181&amp;" "&amp;G181&amp;" "&amp;H181&amp;" "&amp;I181</ns0:f>
        <ns0:v>Конденсатор 220 нФ ±5% 50 В X7R 0603</ns0:v>
      </ns0:c>
      <ns0:c r="M181" t="str" s="13">
        <ns0:v>C</ns0:v>
      </ns0:c>
      <ns0:c r="N181" t="str" s="13">
        <ns0:v>Symbols\MY_LIB_Capacitors.SchLib</ns0:v>
      </ns0:c>
      <ns0:c r="O181" t="str" s="13">
        <ns0:v>CAPC1608X90N</ns0:v>
      </ns0:c>
      <ns0:c r="P181" t="str" s="13">
        <ns0:v>Footprints\PBL - SMD Packages.PcbLib</ns0:v>
      </ns0:c>
      <ns0:c r="Q181" t="str" s="14">
        <ns0:v>YAGEO CC; список 20.10.2026</ns0:v>
      </ns0:c>
      <ns0:c r="R181" t="str" s="11">
        <ns0:f>D181</ns0:f>
        <ns0:v>220 нФ</ns0:v>
      </ns0:c>
      <ns0:c r="S181" t="str" s="11">
        <ns0:f>L181</ns0:f>
        <ns0:v>Конденсатор 220 нФ ±5% 50 В X7R 0603</ns0:v>
      </ns0:c>
      <x:c xmlns:x="http://schemas.openxmlformats.org/spreadsheetml/2006/main" r="T181" t="str" s="11">
        <x:v>C:\Users\Nomatin\Documents\Altium\MY_LIB\MY_LIB\Datasheets\YAGEO_CC_X7R.pdf</x:v>
      </x:c>
      <x:c xmlns:x="http://schemas.openxmlformats.org/spreadsheetml/2006/main" r="U181" t="str" s="11">
        <x:v>Даташит — локальный</x:v>
      </x:c>
      <x:c xmlns:x="http://schemas.openxmlformats.org/spreadsheetml/2006/main" r="V181" t="str" s="11">
        <x:v>C:\Users\Nomatin\Documents\Altium\MY_LIB\MY_LIB\Datasheets\YAGEO_CC_X7R.pdf</x:v>
      </x:c>
      <x:c xmlns:x="http://schemas.openxmlformats.org/spreadsheetml/2006/main" r="W181" t="str" s="11">
        <x:v>Даташит — производитель</x:v>
      </x:c>
      <x:c xmlns:x="http://schemas.openxmlformats.org/spreadsheetml/2006/main" r="X181" t="str" s="11">
        <x:v>https://yageogroup.com/content/datasheet/asset/file/UPY-GPHC_X7R_6_3V-TO-250V</x:v>
      </x:c>
      <x:c xmlns:x="http://schemas.openxmlformats.org/spreadsheetml/2006/main" r="Y181" t="str" s="11">
        <x:v>C:\Users\Nomatin\Documents\Altium\MY_LIB\MY_LIB\Datasheets\YAGEO_CC_X7R.pdf</x:v>
      </x:c>
      <ns0:c xmlns:ns0="http://schemas.openxmlformats.org/spreadsheetml/2006/main" r="Z181" s="11">
        <ns0:v>2.2e-07</ns0:v>
      </ns0:c>
      <ns0:c xmlns:ns0="http://schemas.openxmlformats.org/spreadsheetml/2006/main" r="AA181" s="11">
        <ns0:v>0.035</ns0:v>
      </ns0:c>
      <ns0:c xmlns:ns0="http://schemas.openxmlformats.org/spreadsheetml/2006/main" r="AB181" s="11">
        <ns0:v>1000</ns0:v>
      </ns0:c>
      <ns0:c xmlns:ns0="http://schemas.openxmlformats.org/spreadsheetml/2006/main" r="AC181" s="11">
        <ns0:v>1</ns0:v>
      </ns0:c>
      <ns0:c xmlns:ns0="http://schemas.openxmlformats.org/spreadsheetml/2006/main" r="AD181" s="11">
        <ns0:v>20</ns0:v>
      </ns0:c>
      <ns0:c xmlns:ns0="http://schemas.openxmlformats.org/spreadsheetml/2006/main" r="AE181" s="11">
        <ns0:v>500</ns0:v>
      </ns0:c>
      <ns0:c xmlns:ns0="http://schemas.openxmlformats.org/spreadsheetml/2006/main" r="AF181" s="11">
        <ns0:v>2272727272.72727</ns0:v>
      </ns0:c>
      <ns0:c xmlns:ns0="http://schemas.openxmlformats.org/spreadsheetml/2006/main" r="AG181" s="11">
        <ns0:v>50</ns0:v>
      </ns0:c>
      <ns0:c xmlns:ns0="http://schemas.openxmlformats.org/spreadsheetml/2006/main" r="AH181" s="11">
        <ns0:v>60</ns0:v>
      </ns0:c>
      <ns0:c xmlns:ns0="http://schemas.openxmlformats.org/spreadsheetml/2006/main" r="AI181" s="11">
        <ns0:v>25.3201045828015</ns0:v>
      </ns0:c>
      <ns0:c xmlns:ns0="http://schemas.openxmlformats.org/spreadsheetml/2006/main" r="AJ181" s="11" t="inlineStr">
        <ns0:is>
          <ns0:t>MY_LIB_C_RC</ns0:t>
        </ns0:is>
      </ns0:c>
      <ns0:c xmlns:ns0="http://schemas.openxmlformats.org/spreadsheetml/2006/main" r="AK181" s="11" t="inlineStr">
        <ns0:is>
          <ns0:t>Nominal C; DFmax at 1kHz; minimum insulation; no temperature/bias/ESL</ns0:t>
        </ns0:is>
      </ns0:c>
      <ns0:c xmlns:ns0="http://schemas.openxmlformats.org/spreadsheetml/2006/main" r="AL181" s="11" t="inlineStr">
        <ns0:is>
          <ns0:t>General</ns0:t>
        </ns0:is>
      </ns0:c>
      <ns0:c xmlns:ns0="http://schemas.openxmlformats.org/spreadsheetml/2006/main" r="AM181" s="11" t="inlineStr">
        <ns0:is>
          <ns0:t>Spice Subcircuit</ns0:t>
        </ns0:is>
      </ns0:c>
      <ns0:c xmlns:ns0="http://schemas.openxmlformats.org/spreadsheetml/2006/main" r="AN181" s="11" t="inlineStr">
        <ns0:is>
          <ns0:t>@DESIGNATOR %1 %2 @MODEL PARAMS: Cvalue=2.2e-07 Rsvalue=25.3201045828015 Rinsvalue=2272727272.72727</ns0:t>
        </ns0:is>
      </ns0:c>
      <ns0:c xmlns:ns0="http://schemas.openxmlformats.org/spreadsheetml/2006/main" r="AO181" s="11" t="inlineStr">
        <ns0:is>
          <ns0:t>X</ns0:t>
        </ns0:is>
      </ns0:c>
      <ns0:c xmlns:ns0="http://schemas.openxmlformats.org/spreadsheetml/2006/main" r="AP181" s="11" t="inlineStr">
        <ns0:is>
          <ns0:t>(1:1),(2:2)</ns0:t>
        </ns0:is>
      </ns0:c>
      <ns0:c xmlns:ns0="http://schemas.openxmlformats.org/spreadsheetml/2006/main" r="AQ181" s="11" t="inlineStr">
        <ns0:is>
          <ns0:t>Simulation\Capacitors\MY_LIB_C_RC.ckt</ns0:t>
        </ns0:is>
      </ns0:c>
    </ns0:row>
    <ns0:row r="182" ht="30" customHeight="1">
      <ns0:c r="A182" t="str" s="14">
        <ns0:v>C0183</ns0:v>
      </ns0:c>
      <ns0:c r="B182" t="str" s="14">
        <ns0:v>Конденсатор</ns0:v>
      </ns0:c>
      <ns0:c r="C182" t="str" s="14">
        <ns0:v>330n</ns0:v>
      </ns0:c>
      <ns0:c r="D182" t="str" s="11">
        <ns0:f>SUBSTITUTE(SUBSTITUTE(SUBSTITUTE(SUBSTITUTE(C182,"p"," пФ"),"n"," нФ"),"u"," мкФ"),".",",")</ns0:f>
        <ns0:v>330 нФ</ns0:v>
      </ns0:c>
      <ns0:c r="E182" t="str" s="14">
        <ns0:v>±5%</ns0:v>
      </ns0:c>
      <ns0:c r="F182" s="14"/>
      <ns0:c r="G182" t="str" s="14">
        <ns0:v>25 В</ns0:v>
      </ns0:c>
      <ns0:c r="H182" t="str" s="14">
        <ns0:v>X7R</ns0:v>
      </ns0:c>
      <ns0:c r="I182" t="str" s="15">
        <ns0:v>0603</ns0:v>
      </ns0:c>
      <ns0:c r="J182" t="str" s="14">
        <ns0:v>YAGEO</ns0:v>
      </ns0:c>
      <ns0:c r="K182" t="str" s="14">
        <ns0:v>CC0603JRX7R8BB334</ns0:v>
      </ns0:c>
      <ns0:c r="L182" t="str" s="11">
        <ns0:f>B182&amp;" "&amp;D182&amp;" "&amp;E182&amp;" "&amp;G182&amp;" "&amp;H182&amp;" "&amp;I182</ns0:f>
        <ns0:v>Конденсатор 330 нФ ±5% 25 В X7R 0603</ns0:v>
      </ns0:c>
      <ns0:c r="M182" t="str" s="13">
        <ns0:v>C</ns0:v>
      </ns0:c>
      <ns0:c r="N182" t="str" s="13">
        <ns0:v>Symbols\MY_LIB_Capacitors.SchLib</ns0:v>
      </ns0:c>
      <ns0:c r="O182" t="str" s="13">
        <ns0:v>CAPC1608X90N</ns0:v>
      </ns0:c>
      <ns0:c r="P182" t="str" s="13">
        <ns0:v>Footprints\PBL - SMD Packages.PcbLib</ns0:v>
      </ns0:c>
      <ns0:c r="Q182" t="str" s="14">
        <ns0:v>YAGEO CC; список 20.10.2026</ns0:v>
      </ns0:c>
      <ns0:c r="R182" t="str" s="11">
        <ns0:f>D182</ns0:f>
        <ns0:v>330 нФ</ns0:v>
      </ns0:c>
      <ns0:c r="S182" t="str" s="11">
        <ns0:f>L182</ns0:f>
        <ns0:v>Конденсатор 330 нФ ±5% 25 В X7R 0603</ns0:v>
      </ns0:c>
      <x:c xmlns:x="http://schemas.openxmlformats.org/spreadsheetml/2006/main" r="T182" t="str" s="11">
        <x:v>C:\Users\Nomatin\Documents\Altium\MY_LIB\MY_LIB\Datasheets\YAGEO_CC_X7R.pdf</x:v>
      </x:c>
      <x:c xmlns:x="http://schemas.openxmlformats.org/spreadsheetml/2006/main" r="U182" t="str" s="11">
        <x:v>Даташит — локальный</x:v>
      </x:c>
      <x:c xmlns:x="http://schemas.openxmlformats.org/spreadsheetml/2006/main" r="V182" t="str" s="11">
        <x:v>C:\Users\Nomatin\Documents\Altium\MY_LIB\MY_LIB\Datasheets\YAGEO_CC_X7R.pdf</x:v>
      </x:c>
      <x:c xmlns:x="http://schemas.openxmlformats.org/spreadsheetml/2006/main" r="W182" t="str" s="11">
        <x:v>Даташит — производитель</x:v>
      </x:c>
      <x:c xmlns:x="http://schemas.openxmlformats.org/spreadsheetml/2006/main" r="X182" t="str" s="11">
        <x:v>https://yageogroup.com/content/datasheet/asset/file/UPY-GPHC_X7R_6_3V-TO-250V</x:v>
      </x:c>
      <x:c xmlns:x="http://schemas.openxmlformats.org/spreadsheetml/2006/main" r="Y182" t="str" s="11">
        <x:v>C:\Users\Nomatin\Documents\Altium\MY_LIB\MY_LIB\Datasheets\YAGEO_CC_X7R.pdf</x:v>
      </x:c>
      <ns0:c xmlns:ns0="http://schemas.openxmlformats.org/spreadsheetml/2006/main" r="Z182" s="11">
        <ns0:v>3.3e-07</ns0:v>
      </ns0:c>
      <ns0:c xmlns:ns0="http://schemas.openxmlformats.org/spreadsheetml/2006/main" r="AA182" s="11">
        <ns0:v>0.07</ns0:v>
      </ns0:c>
      <ns0:c xmlns:ns0="http://schemas.openxmlformats.org/spreadsheetml/2006/main" r="AB182" s="11">
        <ns0:v>1000</ns0:v>
      </ns0:c>
      <ns0:c xmlns:ns0="http://schemas.openxmlformats.org/spreadsheetml/2006/main" r="AC182" s="11">
        <ns0:v>1</ns0:v>
      </ns0:c>
      <ns0:c xmlns:ns0="http://schemas.openxmlformats.org/spreadsheetml/2006/main" r="AD182" s="11">
        <ns0:v>20</ns0:v>
      </ns0:c>
      <ns0:c xmlns:ns0="http://schemas.openxmlformats.org/spreadsheetml/2006/main" r="AE182" s="11">
        <ns0:v>100</ns0:v>
      </ns0:c>
      <ns0:c xmlns:ns0="http://schemas.openxmlformats.org/spreadsheetml/2006/main" r="AF182" s="11">
        <ns0:v>303030303.030303</ns0:v>
      </ns0:c>
      <ns0:c xmlns:ns0="http://schemas.openxmlformats.org/spreadsheetml/2006/main" r="AG182" s="11">
        <ns0:v>25</ns0:v>
      </ns0:c>
      <ns0:c xmlns:ns0="http://schemas.openxmlformats.org/spreadsheetml/2006/main" r="AH182" s="11">
        <ns0:v>60</ns0:v>
      </ns0:c>
      <ns0:c xmlns:ns0="http://schemas.openxmlformats.org/spreadsheetml/2006/main" r="AI182" s="11">
        <ns0:v>33.7601394437354</ns0:v>
      </ns0:c>
      <ns0:c xmlns:ns0="http://schemas.openxmlformats.org/spreadsheetml/2006/main" r="AJ182" s="11" t="inlineStr">
        <ns0:is>
          <ns0:t>MY_LIB_C_RC</ns0:t>
        </ns0:is>
      </ns0:c>
      <ns0:c xmlns:ns0="http://schemas.openxmlformats.org/spreadsheetml/2006/main" r="AK182" s="11" t="inlineStr">
        <ns0:is>
          <ns0:t>Nominal C; DFmax at 1kHz; minimum insulation; no temperature/bias/ESL</ns0:t>
        </ns0:is>
      </ns0:c>
      <ns0:c xmlns:ns0="http://schemas.openxmlformats.org/spreadsheetml/2006/main" r="AL182" s="11" t="inlineStr">
        <ns0:is>
          <ns0:t>General</ns0:t>
        </ns0:is>
      </ns0:c>
      <ns0:c xmlns:ns0="http://schemas.openxmlformats.org/spreadsheetml/2006/main" r="AM182" s="11" t="inlineStr">
        <ns0:is>
          <ns0:t>Spice Subcircuit</ns0:t>
        </ns0:is>
      </ns0:c>
      <ns0:c xmlns:ns0="http://schemas.openxmlformats.org/spreadsheetml/2006/main" r="AN182" s="11" t="inlineStr">
        <ns0:is>
          <ns0:t>@DESIGNATOR %1 %2 @MODEL PARAMS: Cvalue=3.3e-07 Rsvalue=33.7601394437354 Rinsvalue=303030303.030303</ns0:t>
        </ns0:is>
      </ns0:c>
      <ns0:c xmlns:ns0="http://schemas.openxmlformats.org/spreadsheetml/2006/main" r="AO182" s="11" t="inlineStr">
        <ns0:is>
          <ns0:t>X</ns0:t>
        </ns0:is>
      </ns0:c>
      <ns0:c xmlns:ns0="http://schemas.openxmlformats.org/spreadsheetml/2006/main" r="AP182" s="11" t="inlineStr">
        <ns0:is>
          <ns0:t>(1:1),(2:2)</ns0:t>
        </ns0:is>
      </ns0:c>
      <ns0:c xmlns:ns0="http://schemas.openxmlformats.org/spreadsheetml/2006/main" r="AQ182" s="11" t="inlineStr">
        <ns0:is>
          <ns0:t>Simulation\Capacitors\MY_LIB_C_RC.ckt</ns0:t>
        </ns0:is>
      </ns0:c>
    </ns0:row>
    <ns0:row r="183" ht="30" customHeight="1">
      <ns0:c r="A183" t="str" s="14">
        <ns0:v>C0184</ns0:v>
      </ns0:c>
      <ns0:c r="B183" t="str" s="14">
        <ns0:v>Конденсатор</ns0:v>
      </ns0:c>
      <ns0:c r="C183" t="str" s="14">
        <ns0:v>470n</ns0:v>
      </ns0:c>
      <ns0:c r="D183" t="str" s="11">
        <ns0:f>SUBSTITUTE(SUBSTITUTE(SUBSTITUTE(SUBSTITUTE(C183,"p"," пФ"),"n"," нФ"),"u"," мкФ"),".",",")</ns0:f>
        <ns0:v>470 нФ</ns0:v>
      </ns0:c>
      <ns0:c r="E183" t="str" s="14">
        <ns0:v>±5%</ns0:v>
      </ns0:c>
      <ns0:c r="F183" s="14"/>
      <ns0:c r="G183" t="str" s="14">
        <ns0:v>50 В</ns0:v>
      </ns0:c>
      <ns0:c r="H183" t="str" s="14">
        <ns0:v>X7R</ns0:v>
      </ns0:c>
      <ns0:c r="I183" t="str" s="15">
        <ns0:v>0603</ns0:v>
      </ns0:c>
      <ns0:c r="J183" t="str" s="14">
        <ns0:v>YAGEO</ns0:v>
      </ns0:c>
      <ns0:c r="K183" t="str" s="14">
        <ns0:v>CC0603JRX7R9BB474</ns0:v>
      </ns0:c>
      <ns0:c r="L183" t="str" s="11">
        <ns0:f>B183&amp;" "&amp;D183&amp;" "&amp;E183&amp;" "&amp;G183&amp;" "&amp;H183&amp;" "&amp;I183</ns0:f>
        <ns0:v>Конденсатор 470 нФ ±5% 50 В X7R 0603</ns0:v>
      </ns0:c>
      <ns0:c r="M183" t="str" s="13">
        <ns0:v>C</ns0:v>
      </ns0:c>
      <ns0:c r="N183" t="str" s="13">
        <ns0:v>Symbols\MY_LIB_Capacitors.SchLib</ns0:v>
      </ns0:c>
      <ns0:c r="O183" t="str" s="13">
        <ns0:v>CAPC1608X90N</ns0:v>
      </ns0:c>
      <ns0:c r="P183" t="str" s="13">
        <ns0:v>Footprints\PBL - SMD Packages.PcbLib</ns0:v>
      </ns0:c>
      <ns0:c r="Q183" t="str" s="14">
        <ns0:v>YAGEO CC; список 20.10.2026</ns0:v>
      </ns0:c>
      <ns0:c r="R183" t="str" s="11">
        <ns0:f>D183</ns0:f>
        <ns0:v>470 нФ</ns0:v>
      </ns0:c>
      <ns0:c r="S183" t="str" s="11">
        <ns0:f>L183</ns0:f>
        <ns0:v>Конденсатор 470 нФ ±5% 50 В X7R 0603</ns0:v>
      </ns0:c>
      <x:c xmlns:x="http://schemas.openxmlformats.org/spreadsheetml/2006/main" r="T183" t="str" s="11">
        <x:v>C:\Users\Nomatin\Documents\Altium\MY_LIB\MY_LIB\Datasheets\YAGEO_CC_X7R.pdf</x:v>
      </x:c>
      <x:c xmlns:x="http://schemas.openxmlformats.org/spreadsheetml/2006/main" r="U183" t="str" s="11">
        <x:v>Даташит — локальный</x:v>
      </x:c>
      <x:c xmlns:x="http://schemas.openxmlformats.org/spreadsheetml/2006/main" r="V183" t="str" s="11">
        <x:v>C:\Users\Nomatin\Documents\Altium\MY_LIB\MY_LIB\Datasheets\YAGEO_CC_X7R.pdf</x:v>
      </x:c>
      <x:c xmlns:x="http://schemas.openxmlformats.org/spreadsheetml/2006/main" r="W183" t="str" s="11">
        <x:v>Даташит — производитель</x:v>
      </x:c>
      <x:c xmlns:x="http://schemas.openxmlformats.org/spreadsheetml/2006/main" r="X183" t="str" s="11">
        <x:v>https://yageogroup.com/content/datasheet/asset/file/UPY-GPHC_X7R_6_3V-TO-250V</x:v>
      </x:c>
      <x:c xmlns:x="http://schemas.openxmlformats.org/spreadsheetml/2006/main" r="Y183" t="str" s="11">
        <x:v>C:\Users\Nomatin\Documents\Altium\MY_LIB\MY_LIB\Datasheets\YAGEO_CC_X7R.pdf</x:v>
      </x:c>
      <ns0:c xmlns:ns0="http://schemas.openxmlformats.org/spreadsheetml/2006/main" r="Z183" s="11">
        <ns0:v>4.7e-07</ns0:v>
      </ns0:c>
      <ns0:c xmlns:ns0="http://schemas.openxmlformats.org/spreadsheetml/2006/main" r="AA183" s="11">
        <ns0:v>0.1</ns0:v>
      </ns0:c>
      <ns0:c xmlns:ns0="http://schemas.openxmlformats.org/spreadsheetml/2006/main" r="AB183" s="11">
        <ns0:v>1000</ns0:v>
      </ns0:c>
      <ns0:c xmlns:ns0="http://schemas.openxmlformats.org/spreadsheetml/2006/main" r="AC183" s="11">
        <ns0:v>1</ns0:v>
      </ns0:c>
      <ns0:c xmlns:ns0="http://schemas.openxmlformats.org/spreadsheetml/2006/main" r="AD183" s="11">
        <ns0:v>20</ns0:v>
      </ns0:c>
      <ns0:c xmlns:ns0="http://schemas.openxmlformats.org/spreadsheetml/2006/main" r="AE183" s="11">
        <ns0:v>100</ns0:v>
      </ns0:c>
      <ns0:c xmlns:ns0="http://schemas.openxmlformats.org/spreadsheetml/2006/main" r="AF183" s="11">
        <ns0:v>212765957.446808</ns0:v>
      </ns0:c>
      <ns0:c xmlns:ns0="http://schemas.openxmlformats.org/spreadsheetml/2006/main" r="AG183" s="11">
        <ns0:v>50</ns0:v>
      </ns0:c>
      <ns0:c xmlns:ns0="http://schemas.openxmlformats.org/spreadsheetml/2006/main" r="AH183" s="11">
        <ns0:v>60</ns0:v>
      </ns0:c>
      <ns0:c xmlns:ns0="http://schemas.openxmlformats.org/spreadsheetml/2006/main" r="AI183" s="11">
        <ns0:v>33.8627538493394</ns0:v>
      </ns0:c>
      <ns0:c xmlns:ns0="http://schemas.openxmlformats.org/spreadsheetml/2006/main" r="AJ183" s="11" t="inlineStr">
        <ns0:is>
          <ns0:t>MY_LIB_C_RC</ns0:t>
        </ns0:is>
      </ns0:c>
      <ns0:c xmlns:ns0="http://schemas.openxmlformats.org/spreadsheetml/2006/main" r="AK183" s="11" t="inlineStr">
        <ns0:is>
          <ns0:t>Nominal C; DFmax at 1kHz; minimum insulation; no temperature/bias/ESL</ns0:t>
        </ns0:is>
      </ns0:c>
      <ns0:c xmlns:ns0="http://schemas.openxmlformats.org/spreadsheetml/2006/main" r="AL183" s="11" t="inlineStr">
        <ns0:is>
          <ns0:t>General</ns0:t>
        </ns0:is>
      </ns0:c>
      <ns0:c xmlns:ns0="http://schemas.openxmlformats.org/spreadsheetml/2006/main" r="AM183" s="11" t="inlineStr">
        <ns0:is>
          <ns0:t>Spice Subcircuit</ns0:t>
        </ns0:is>
      </ns0:c>
      <ns0:c xmlns:ns0="http://schemas.openxmlformats.org/spreadsheetml/2006/main" r="AN183" s="11" t="inlineStr">
        <ns0:is>
          <ns0:t>@DESIGNATOR %1 %2 @MODEL PARAMS: Cvalue=4.7e-07 Rsvalue=33.8627538493394 Rinsvalue=212765957.446808</ns0:t>
        </ns0:is>
      </ns0:c>
      <ns0:c xmlns:ns0="http://schemas.openxmlformats.org/spreadsheetml/2006/main" r="AO183" s="11" t="inlineStr">
        <ns0:is>
          <ns0:t>X</ns0:t>
        </ns0:is>
      </ns0:c>
      <ns0:c xmlns:ns0="http://schemas.openxmlformats.org/spreadsheetml/2006/main" r="AP183" s="11" t="inlineStr">
        <ns0:is>
          <ns0:t>(1:1),(2:2)</ns0:t>
        </ns0:is>
      </ns0:c>
      <ns0:c xmlns:ns0="http://schemas.openxmlformats.org/spreadsheetml/2006/main" r="AQ183" s="11" t="inlineStr">
        <ns0:is>
          <ns0:t>Simulation\Capacitors\MY_LIB_C_RC.ckt</ns0:t>
        </ns0:is>
      </ns0:c>
    </ns0:row>
    <ns0:row r="184" ht="30" customHeight="1">
      <ns0:c r="A184" t="str" s="14">
        <ns0:v>C0185</ns0:v>
      </ns0:c>
      <ns0:c r="B184" t="str" s="14">
        <ns0:v>Конденсатор</ns0:v>
      </ns0:c>
      <ns0:c r="C184" t="str" s="14">
        <ns0:v>680n</ns0:v>
      </ns0:c>
      <ns0:c r="D184" t="str" s="11">
        <ns0:f>SUBSTITUTE(SUBSTITUTE(SUBSTITUTE(SUBSTITUTE(C184,"p"," пФ"),"n"," нФ"),"u"," мкФ"),".",",")</ns0:f>
        <ns0:v>680 нФ</ns0:v>
      </ns0:c>
      <ns0:c r="E184" t="str" s="14">
        <ns0:v>±5%</ns0:v>
      </ns0:c>
      <ns0:c r="F184" s="14"/>
      <ns0:c r="G184" t="str" s="14">
        <ns0:v>50 В</ns0:v>
      </ns0:c>
      <ns0:c r="H184" t="str" s="14">
        <ns0:v>X7R</ns0:v>
      </ns0:c>
      <ns0:c r="I184" t="str" s="15">
        <ns0:v>0603</ns0:v>
      </ns0:c>
      <ns0:c r="J184" t="str" s="14">
        <ns0:v>YAGEO</ns0:v>
      </ns0:c>
      <ns0:c r="K184" t="str" s="14">
        <ns0:v>CC0603JRX7R9BB684</ns0:v>
      </ns0:c>
      <ns0:c r="L184" t="str" s="11">
        <ns0:f>B184&amp;" "&amp;D184&amp;" "&amp;E184&amp;" "&amp;G184&amp;" "&amp;H184&amp;" "&amp;I184</ns0:f>
        <ns0:v>Конденсатор 680 нФ ±5% 50 В X7R 0603</ns0:v>
      </ns0:c>
      <ns0:c r="M184" t="str" s="13">
        <ns0:v>C</ns0:v>
      </ns0:c>
      <ns0:c r="N184" t="str" s="13">
        <ns0:v>Symbols\MY_LIB_Capacitors.SchLib</ns0:v>
      </ns0:c>
      <ns0:c r="O184" t="str" s="13">
        <ns0:v>CAPC1608X90N</ns0:v>
      </ns0:c>
      <ns0:c r="P184" t="str" s="13">
        <ns0:v>Footprints\PBL - SMD Packages.PcbLib</ns0:v>
      </ns0:c>
      <ns0:c r="Q184" t="str" s="14">
        <ns0:v>YAGEO CC; список 20.10.2026</ns0:v>
      </ns0:c>
      <ns0:c r="R184" t="str" s="11">
        <ns0:f>D184</ns0:f>
        <ns0:v>680 нФ</ns0:v>
      </ns0:c>
      <ns0:c r="S184" t="str" s="11">
        <ns0:f>L184</ns0:f>
        <ns0:v>Конденсатор 680 нФ ±5% 50 В X7R 0603</ns0:v>
      </ns0:c>
      <x:c xmlns:x="http://schemas.openxmlformats.org/spreadsheetml/2006/main" r="T184" t="str" s="11">
        <x:v>C:\Users\Nomatin\Documents\Altium\MY_LIB\MY_LIB\Datasheets\YAGEO_CC_X7R.pdf</x:v>
      </x:c>
      <x:c xmlns:x="http://schemas.openxmlformats.org/spreadsheetml/2006/main" r="U184" t="str" s="11">
        <x:v>Даташит — локальный</x:v>
      </x:c>
      <x:c xmlns:x="http://schemas.openxmlformats.org/spreadsheetml/2006/main" r="V184" t="str" s="11">
        <x:v>C:\Users\Nomatin\Documents\Altium\MY_LIB\MY_LIB\Datasheets\YAGEO_CC_X7R.pdf</x:v>
      </x:c>
      <x:c xmlns:x="http://schemas.openxmlformats.org/spreadsheetml/2006/main" r="W184" t="str" s="11">
        <x:v>Даташит — производитель</x:v>
      </x:c>
      <x:c xmlns:x="http://schemas.openxmlformats.org/spreadsheetml/2006/main" r="X184" t="str" s="11">
        <x:v>https://yageogroup.com/content/datasheet/asset/file/UPY-GPHC_X7R_6_3V-TO-250V</x:v>
      </x:c>
      <x:c xmlns:x="http://schemas.openxmlformats.org/spreadsheetml/2006/main" r="Y184" t="str" s="11">
        <x:v>C:\Users\Nomatin\Documents\Altium\MY_LIB\MY_LIB\Datasheets\YAGEO_CC_X7R.pdf</x:v>
      </x:c>
      <ns0:c xmlns:ns0="http://schemas.openxmlformats.org/spreadsheetml/2006/main" r="Z184" s="11">
        <ns0:v>6.8e-07</ns0:v>
      </ns0:c>
      <ns0:c xmlns:ns0="http://schemas.openxmlformats.org/spreadsheetml/2006/main" r="AA184" s="11">
        <ns0:v>0.1</ns0:v>
      </ns0:c>
      <ns0:c xmlns:ns0="http://schemas.openxmlformats.org/spreadsheetml/2006/main" r="AB184" s="11">
        <ns0:v>1000</ns0:v>
      </ns0:c>
      <ns0:c xmlns:ns0="http://schemas.openxmlformats.org/spreadsheetml/2006/main" r="AC184" s="11">
        <ns0:v>1</ns0:v>
      </ns0:c>
      <ns0:c xmlns:ns0="http://schemas.openxmlformats.org/spreadsheetml/2006/main" r="AD184" s="11">
        <ns0:v>20</ns0:v>
      </ns0:c>
      <ns0:c xmlns:ns0="http://schemas.openxmlformats.org/spreadsheetml/2006/main" r="AE184" s="11">
        <ns0:v>100</ns0:v>
      </ns0:c>
      <ns0:c xmlns:ns0="http://schemas.openxmlformats.org/spreadsheetml/2006/main" r="AF184" s="11">
        <ns0:v>147058823.529412</ns0:v>
      </ns0:c>
      <ns0:c xmlns:ns0="http://schemas.openxmlformats.org/spreadsheetml/2006/main" r="AG184" s="11">
        <ns0:v>50</ns0:v>
      </ns0:c>
      <ns0:c xmlns:ns0="http://schemas.openxmlformats.org/spreadsheetml/2006/main" r="AH184" s="11">
        <ns0:v>60</ns0:v>
      </ns0:c>
      <ns0:c xmlns:ns0="http://schemas.openxmlformats.org/spreadsheetml/2006/main" r="AI184" s="11">
        <ns0:v>23.4051386899846</ns0:v>
      </ns0:c>
      <ns0:c xmlns:ns0="http://schemas.openxmlformats.org/spreadsheetml/2006/main" r="AJ184" s="11" t="inlineStr">
        <ns0:is>
          <ns0:t>MY_LIB_C_RC</ns0:t>
        </ns0:is>
      </ns0:c>
      <ns0:c xmlns:ns0="http://schemas.openxmlformats.org/spreadsheetml/2006/main" r="AK184" s="11" t="inlineStr">
        <ns0:is>
          <ns0:t>Nominal C; DFmax at 1kHz; minimum insulation; no temperature/bias/ESL</ns0:t>
        </ns0:is>
      </ns0:c>
      <ns0:c xmlns:ns0="http://schemas.openxmlformats.org/spreadsheetml/2006/main" r="AL184" s="11" t="inlineStr">
        <ns0:is>
          <ns0:t>General</ns0:t>
        </ns0:is>
      </ns0:c>
      <ns0:c xmlns:ns0="http://schemas.openxmlformats.org/spreadsheetml/2006/main" r="AM184" s="11" t="inlineStr">
        <ns0:is>
          <ns0:t>Spice Subcircuit</ns0:t>
        </ns0:is>
      </ns0:c>
      <ns0:c xmlns:ns0="http://schemas.openxmlformats.org/spreadsheetml/2006/main" r="AN184" s="11" t="inlineStr">
        <ns0:is>
          <ns0:t>@DESIGNATOR %1 %2 @MODEL PARAMS: Cvalue=6.8e-07 Rsvalue=23.4051386899846 Rinsvalue=147058823.529412</ns0:t>
        </ns0:is>
      </ns0:c>
      <ns0:c xmlns:ns0="http://schemas.openxmlformats.org/spreadsheetml/2006/main" r="AO184" s="11" t="inlineStr">
        <ns0:is>
          <ns0:t>X</ns0:t>
        </ns0:is>
      </ns0:c>
      <ns0:c xmlns:ns0="http://schemas.openxmlformats.org/spreadsheetml/2006/main" r="AP184" s="11" t="inlineStr">
        <ns0:is>
          <ns0:t>(1:1),(2:2)</ns0:t>
        </ns0:is>
      </ns0:c>
      <ns0:c xmlns:ns0="http://schemas.openxmlformats.org/spreadsheetml/2006/main" r="AQ184" s="11" t="inlineStr">
        <ns0:is>
          <ns0:t>Simulation\Capacitors\MY_LIB_C_RC.ckt</ns0:t>
        </ns0:is>
      </ns0:c>
    </ns0:row>
    <ns0:row r="185" ht="30" customHeight="1">
      <ns0:c r="A185" t="str" s="14">
        <ns0:v>C0186</ns0:v>
      </ns0:c>
      <ns0:c r="B185" t="str" s="14">
        <ns0:v>Конденсатор</ns0:v>
      </ns0:c>
      <ns0:c r="C185" t="str" s="14">
        <ns0:v>1u</ns0:v>
      </ns0:c>
      <ns0:c r="D185" t="str" s="11">
        <ns0:f>SUBSTITUTE(SUBSTITUTE(SUBSTITUTE(SUBSTITUTE(C185,"p"," пФ"),"n"," нФ"),"u"," мкФ"),".",",")</ns0:f>
        <ns0:v>1 мкФ</ns0:v>
      </ns0:c>
      <ns0:c r="E185" t="str" s="14">
        <ns0:v>±5%</ns0:v>
      </ns0:c>
      <ns0:c r="F185" s="14"/>
      <ns0:c r="G185" t="str" s="14">
        <ns0:v>50 В</ns0:v>
      </ns0:c>
      <ns0:c r="H185" t="str" s="14">
        <ns0:v>X7R</ns0:v>
      </ns0:c>
      <ns0:c r="I185" t="str" s="15">
        <ns0:v>0603</ns0:v>
      </ns0:c>
      <ns0:c r="J185" t="str" s="14">
        <ns0:v>YAGEO</ns0:v>
      </ns0:c>
      <ns0:c r="K185" t="str" s="14">
        <ns0:v>CC0603JRX7R9BB105</ns0:v>
      </ns0:c>
      <ns0:c r="L185" t="str" s="11">
        <ns0:f>B185&amp;" "&amp;D185&amp;" "&amp;E185&amp;" "&amp;G185&amp;" "&amp;H185&amp;" "&amp;I185</ns0:f>
        <ns0:v>Конденсатор 1 мкФ ±5% 50 В X7R 0603</ns0:v>
      </ns0:c>
      <ns0:c r="M185" t="str" s="13">
        <ns0:v>C</ns0:v>
      </ns0:c>
      <ns0:c r="N185" t="str" s="13">
        <ns0:v>Symbols\MY_LIB_Capacitors.SchLib</ns0:v>
      </ns0:c>
      <ns0:c r="O185" t="str" s="13">
        <ns0:v>CAPC1608X90N</ns0:v>
      </ns0:c>
      <ns0:c r="P185" t="str" s="13">
        <ns0:v>Footprints\PBL - SMD Packages.PcbLib</ns0:v>
      </ns0:c>
      <ns0:c r="Q185" t="str" s="14">
        <ns0:v>YAGEO CC; список 20.10.2026</ns0:v>
      </ns0:c>
      <ns0:c r="R185" t="str" s="11">
        <ns0:f>D185</ns0:f>
        <ns0:v>1 мкФ</ns0:v>
      </ns0:c>
      <ns0:c r="S185" t="str" s="11">
        <ns0:f>L185</ns0:f>
        <ns0:v>Конденсатор 1 мкФ ±5% 50 В X7R 0603</ns0:v>
      </ns0:c>
      <x:c xmlns:x="http://schemas.openxmlformats.org/spreadsheetml/2006/main" r="T185" t="str" s="11">
        <x:v>C:\Users\Nomatin\Documents\Altium\MY_LIB\MY_LIB\Datasheets\YAGEO_CC_X7R.pdf</x:v>
      </x:c>
      <x:c xmlns:x="http://schemas.openxmlformats.org/spreadsheetml/2006/main" r="U185" t="str" s="11">
        <x:v>Даташит — локальный</x:v>
      </x:c>
      <x:c xmlns:x="http://schemas.openxmlformats.org/spreadsheetml/2006/main" r="V185" t="str" s="11">
        <x:v>C:\Users\Nomatin\Documents\Altium\MY_LIB\MY_LIB\Datasheets\YAGEO_CC_X7R.pdf</x:v>
      </x:c>
      <x:c xmlns:x="http://schemas.openxmlformats.org/spreadsheetml/2006/main" r="W185" t="str" s="11">
        <x:v>Даташит — производитель</x:v>
      </x:c>
      <x:c xmlns:x="http://schemas.openxmlformats.org/spreadsheetml/2006/main" r="X185" t="str" s="11">
        <x:v>https://yageogroup.com/content/datasheet/asset/file/UPY-GPHC_X7R_6_3V-TO-250V</x:v>
      </x:c>
      <x:c xmlns:x="http://schemas.openxmlformats.org/spreadsheetml/2006/main" r="Y185" t="str" s="11">
        <x:v>C:\Users\Nomatin\Documents\Altium\MY_LIB\MY_LIB\Datasheets\YAGEO_CC_X7R.pdf</x:v>
      </x:c>
      <ns0:c xmlns:ns0="http://schemas.openxmlformats.org/spreadsheetml/2006/main" r="Z185" s="11">
        <ns0:v>1e-06</ns0:v>
      </ns0:c>
      <ns0:c xmlns:ns0="http://schemas.openxmlformats.org/spreadsheetml/2006/main" r="AA185" s="11">
        <ns0:v>0.1</ns0:v>
      </ns0:c>
      <ns0:c xmlns:ns0="http://schemas.openxmlformats.org/spreadsheetml/2006/main" r="AB185" s="11">
        <ns0:v>1000</ns0:v>
      </ns0:c>
      <ns0:c xmlns:ns0="http://schemas.openxmlformats.org/spreadsheetml/2006/main" r="AC185" s="11">
        <ns0:v>1</ns0:v>
      </ns0:c>
      <ns0:c xmlns:ns0="http://schemas.openxmlformats.org/spreadsheetml/2006/main" r="AD185" s="11">
        <ns0:v>20</ns0:v>
      </ns0:c>
      <ns0:c xmlns:ns0="http://schemas.openxmlformats.org/spreadsheetml/2006/main" r="AE185" s="11">
        <ns0:v>100</ns0:v>
      </ns0:c>
      <ns0:c xmlns:ns0="http://schemas.openxmlformats.org/spreadsheetml/2006/main" r="AF185" s="11">
        <ns0:v>100000000</ns0:v>
      </ns0:c>
      <ns0:c xmlns:ns0="http://schemas.openxmlformats.org/spreadsheetml/2006/main" r="AG185" s="11">
        <ns0:v>50</ns0:v>
      </ns0:c>
      <ns0:c xmlns:ns0="http://schemas.openxmlformats.org/spreadsheetml/2006/main" r="AH185" s="11">
        <ns0:v>60</ns0:v>
      </ns0:c>
      <ns0:c xmlns:ns0="http://schemas.openxmlformats.org/spreadsheetml/2006/main" r="AI185" s="11">
        <ns0:v>15.9154943091895</ns0:v>
      </ns0:c>
      <ns0:c xmlns:ns0="http://schemas.openxmlformats.org/spreadsheetml/2006/main" r="AJ185" s="11" t="inlineStr">
        <ns0:is>
          <ns0:t>MY_LIB_C_RC</ns0:t>
        </ns0:is>
      </ns0:c>
      <ns0:c xmlns:ns0="http://schemas.openxmlformats.org/spreadsheetml/2006/main" r="AK185" s="11" t="inlineStr">
        <ns0:is>
          <ns0:t>Nominal C; DFmax at 1kHz; minimum insulation; no temperature/bias/ESL</ns0:t>
        </ns0:is>
      </ns0:c>
      <ns0:c xmlns:ns0="http://schemas.openxmlformats.org/spreadsheetml/2006/main" r="AL185" s="11" t="inlineStr">
        <ns0:is>
          <ns0:t>General</ns0:t>
        </ns0:is>
      </ns0:c>
      <ns0:c xmlns:ns0="http://schemas.openxmlformats.org/spreadsheetml/2006/main" r="AM185" s="11" t="inlineStr">
        <ns0:is>
          <ns0:t>Spice Subcircuit</ns0:t>
        </ns0:is>
      </ns0:c>
      <ns0:c xmlns:ns0="http://schemas.openxmlformats.org/spreadsheetml/2006/main" r="AN185" s="11" t="inlineStr">
        <ns0:is>
          <ns0:t>@DESIGNATOR %1 %2 @MODEL PARAMS: Cvalue=1e-06 Rsvalue=15.9154943091895 Rinsvalue=100000000</ns0:t>
        </ns0:is>
      </ns0:c>
      <ns0:c xmlns:ns0="http://schemas.openxmlformats.org/spreadsheetml/2006/main" r="AO185" s="11" t="inlineStr">
        <ns0:is>
          <ns0:t>X</ns0:t>
        </ns0:is>
      </ns0:c>
      <ns0:c xmlns:ns0="http://schemas.openxmlformats.org/spreadsheetml/2006/main" r="AP185" s="11" t="inlineStr">
        <ns0:is>
          <ns0:t>(1:1),(2:2)</ns0:t>
        </ns0:is>
      </ns0:c>
      <ns0:c xmlns:ns0="http://schemas.openxmlformats.org/spreadsheetml/2006/main" r="AQ185" s="11" t="inlineStr">
        <ns0:is>
          <ns0:t>Simulation\Capacitors\MY_LIB_C_RC.ckt</ns0:t>
        </ns0:is>
      </ns0:c>
    </ns0:row>
    <ns0:row r="186" ht="30" customHeight="1">
      <ns0:c r="A186" t="str" s="14">
        <ns0:v>C0187</ns0:v>
      </ns0:c>
      <ns0:c r="B186" t="str" s="14">
        <ns0:v>Конденсатор</ns0:v>
      </ns0:c>
      <ns0:c r="C186" t="str" s="14">
        <ns0:v>100p</ns0:v>
      </ns0:c>
      <ns0:c r="D186" t="str" s="11">
        <ns0:f>SUBSTITUTE(SUBSTITUTE(SUBSTITUTE(SUBSTITUTE(C186,"p"," пФ"),"n"," нФ"),"u"," мкФ"),".",",")</ns0:f>
        <ns0:v>100 пФ</ns0:v>
      </ns0:c>
      <ns0:c r="E186" t="str" s="14">
        <ns0:v>±10%</ns0:v>
      </ns0:c>
      <ns0:c r="F186" s="14"/>
      <ns0:c r="G186" t="str" s="14">
        <ns0:v>100 В</ns0:v>
      </ns0:c>
      <ns0:c r="H186" t="str" s="14">
        <ns0:v>X7R</ns0:v>
      </ns0:c>
      <ns0:c r="I186" t="str" s="15">
        <ns0:v>0603</ns0:v>
      </ns0:c>
      <ns0:c r="J186" t="str" s="14">
        <ns0:v>YAGEO</ns0:v>
      </ns0:c>
      <ns0:c r="K186" t="str" s="14">
        <ns0:v>CC0603KRX7R0BB101</ns0:v>
      </ns0:c>
      <ns0:c r="L186" t="str" s="11">
        <ns0:f>B186&amp;" "&amp;D186&amp;" "&amp;E186&amp;" "&amp;G186&amp;" "&amp;H186&amp;" "&amp;I186</ns0:f>
        <ns0:v>Конденсатор 100 пФ ±10% 100 В X7R 0603</ns0:v>
      </ns0:c>
      <ns0:c r="M186" t="str" s="13">
        <ns0:v>C</ns0:v>
      </ns0:c>
      <ns0:c r="N186" t="str" s="13">
        <ns0:v>Symbols\MY_LIB_Capacitors.SchLib</ns0:v>
      </ns0:c>
      <ns0:c r="O186" t="str" s="13">
        <ns0:v>CAPC1608X90N</ns0:v>
      </ns0:c>
      <ns0:c r="P186" t="str" s="13">
        <ns0:v>Footprints\PBL - SMD Packages.PcbLib</ns0:v>
      </ns0:c>
      <ns0:c r="Q186" t="str" s="14">
        <ns0:v>YAGEO CC; список 20.10.2026</ns0:v>
      </ns0:c>
      <ns0:c r="R186" t="str" s="11">
        <ns0:f>D186</ns0:f>
        <ns0:v>100 пФ</ns0:v>
      </ns0:c>
      <ns0:c r="S186" t="str" s="11">
        <ns0:f>L186</ns0:f>
        <ns0:v>Конденсатор 100 пФ ±10% 100 В X7R 0603</ns0:v>
      </ns0:c>
      <x:c xmlns:x="http://schemas.openxmlformats.org/spreadsheetml/2006/main" r="T186" t="str" s="11">
        <x:v>C:\Users\Nomatin\Documents\Altium\MY_LIB\MY_LIB\Datasheets\YAGEO_CC_X7R.pdf</x:v>
      </x:c>
      <x:c xmlns:x="http://schemas.openxmlformats.org/spreadsheetml/2006/main" r="U186" t="str" s="11">
        <x:v>Даташит — локальный</x:v>
      </x:c>
      <x:c xmlns:x="http://schemas.openxmlformats.org/spreadsheetml/2006/main" r="V186" t="str" s="11">
        <x:v>C:\Users\Nomatin\Documents\Altium\MY_LIB\MY_LIB\Datasheets\YAGEO_CC_X7R.pdf</x:v>
      </x:c>
      <x:c xmlns:x="http://schemas.openxmlformats.org/spreadsheetml/2006/main" r="W186" t="str" s="11">
        <x:v>Даташит — производитель</x:v>
      </x:c>
      <x:c xmlns:x="http://schemas.openxmlformats.org/spreadsheetml/2006/main" r="X186" t="str" s="11">
        <x:v>https://yageogroup.com/content/datasheet/asset/file/UPY-GPHC_X7R_6_3V-TO-250V</x:v>
      </x:c>
      <x:c xmlns:x="http://schemas.openxmlformats.org/spreadsheetml/2006/main" r="Y186" t="str" s="11">
        <x:v>C:\Users\Nomatin\Documents\Altium\MY_LIB\MY_LIB\Datasheets\YAGEO_CC_X7R.pdf</x:v>
      </x:c>
      <ns0:c xmlns:ns0="http://schemas.openxmlformats.org/spreadsheetml/2006/main" r="Z186" s="11">
        <ns0:v>1e-10</ns0:v>
      </ns0:c>
      <ns0:c xmlns:ns0="http://schemas.openxmlformats.org/spreadsheetml/2006/main" r="AA186" s="11">
        <ns0:v>0.025</ns0:v>
      </ns0:c>
      <ns0:c xmlns:ns0="http://schemas.openxmlformats.org/spreadsheetml/2006/main" r="AB186" s="11">
        <ns0:v>1000</ns0:v>
      </ns0:c>
      <ns0:c xmlns:ns0="http://schemas.openxmlformats.org/spreadsheetml/2006/main" r="AC186" s="11">
        <ns0:v>1</ns0:v>
      </ns0:c>
      <ns0:c xmlns:ns0="http://schemas.openxmlformats.org/spreadsheetml/2006/main" r="AD186" s="11">
        <ns0:v>20</ns0:v>
      </ns0:c>
      <ns0:c xmlns:ns0="http://schemas.openxmlformats.org/spreadsheetml/2006/main" r="AE186" s="11">
        <ns0:v>500</ns0:v>
      </ns0:c>
      <ns0:c xmlns:ns0="http://schemas.openxmlformats.org/spreadsheetml/2006/main" r="AF186" s="11">
        <ns0:v>10000000000</ns0:v>
      </ns0:c>
      <ns0:c xmlns:ns0="http://schemas.openxmlformats.org/spreadsheetml/2006/main" r="AG186" s="11">
        <ns0:v>100</ns0:v>
      </ns0:c>
      <ns0:c xmlns:ns0="http://schemas.openxmlformats.org/spreadsheetml/2006/main" r="AH186" s="11">
        <ns0:v>60</ns0:v>
      </ns0:c>
      <ns0:c xmlns:ns0="http://schemas.openxmlformats.org/spreadsheetml/2006/main" r="AI186" s="11">
        <ns0:v>39788.7357729738</ns0:v>
      </ns0:c>
      <ns0:c xmlns:ns0="http://schemas.openxmlformats.org/spreadsheetml/2006/main" r="AJ186" s="11" t="inlineStr">
        <ns0:is>
          <ns0:t>MY_LIB_C_RC</ns0:t>
        </ns0:is>
      </ns0:c>
      <ns0:c xmlns:ns0="http://schemas.openxmlformats.org/spreadsheetml/2006/main" r="AK186" s="11" t="inlineStr">
        <ns0:is>
          <ns0:t>Nominal C; DFmax at 1kHz; minimum insulation; no temperature/bias/ESL</ns0:t>
        </ns0:is>
      </ns0:c>
      <ns0:c xmlns:ns0="http://schemas.openxmlformats.org/spreadsheetml/2006/main" r="AL186" s="11" t="inlineStr">
        <ns0:is>
          <ns0:t>General</ns0:t>
        </ns0:is>
      </ns0:c>
      <ns0:c xmlns:ns0="http://schemas.openxmlformats.org/spreadsheetml/2006/main" r="AM186" s="11" t="inlineStr">
        <ns0:is>
          <ns0:t>Spice Subcircuit</ns0:t>
        </ns0:is>
      </ns0:c>
      <ns0:c xmlns:ns0="http://schemas.openxmlformats.org/spreadsheetml/2006/main" r="AN186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186" s="11" t="inlineStr">
        <ns0:is>
          <ns0:t>X</ns0:t>
        </ns0:is>
      </ns0:c>
      <ns0:c xmlns:ns0="http://schemas.openxmlformats.org/spreadsheetml/2006/main" r="AP186" s="11" t="inlineStr">
        <ns0:is>
          <ns0:t>(1:1),(2:2)</ns0:t>
        </ns0:is>
      </ns0:c>
      <ns0:c xmlns:ns0="http://schemas.openxmlformats.org/spreadsheetml/2006/main" r="AQ186" s="11" t="inlineStr">
        <ns0:is>
          <ns0:t>Simulation\Capacitors\MY_LIB_C_RC.ckt</ns0:t>
        </ns0:is>
      </ns0:c>
    </ns0:row>
    <ns0:row r="187" ht="30" customHeight="1">
      <ns0:c r="A187" t="str" s="14">
        <ns0:v>C0188</ns0:v>
      </ns0:c>
      <ns0:c r="B187" t="str" s="14">
        <ns0:v>Конденсатор</ns0:v>
      </ns0:c>
      <ns0:c r="C187" t="str" s="14">
        <ns0:v>120p</ns0:v>
      </ns0:c>
      <ns0:c r="D187" t="str" s="11">
        <ns0:f>SUBSTITUTE(SUBSTITUTE(SUBSTITUTE(SUBSTITUTE(C187,"p"," пФ"),"n"," нФ"),"u"," мкФ"),".",",")</ns0:f>
        <ns0:v>120 пФ</ns0:v>
      </ns0:c>
      <ns0:c r="E187" t="str" s="14">
        <ns0:v>±10%</ns0:v>
      </ns0:c>
      <ns0:c r="F187" s="14"/>
      <ns0:c r="G187" t="str" s="14">
        <ns0:v>50 В</ns0:v>
      </ns0:c>
      <ns0:c r="H187" t="str" s="14">
        <ns0:v>X7R</ns0:v>
      </ns0:c>
      <ns0:c r="I187" t="str" s="15">
        <ns0:v>0603</ns0:v>
      </ns0:c>
      <ns0:c r="J187" t="str" s="14">
        <ns0:v>YAGEO</ns0:v>
      </ns0:c>
      <ns0:c r="K187" t="str" s="14">
        <ns0:v>CC0603KRX7R9BB121</ns0:v>
      </ns0:c>
      <ns0:c r="L187" t="str" s="11">
        <ns0:f>B187&amp;" "&amp;D187&amp;" "&amp;E187&amp;" "&amp;G187&amp;" "&amp;H187&amp;" "&amp;I187</ns0:f>
        <ns0:v>Конденсатор 120 пФ ±10% 50 В X7R 0603</ns0:v>
      </ns0:c>
      <ns0:c r="M187" t="str" s="13">
        <ns0:v>C</ns0:v>
      </ns0:c>
      <ns0:c r="N187" t="str" s="13">
        <ns0:v>Symbols\MY_LIB_Capacitors.SchLib</ns0:v>
      </ns0:c>
      <ns0:c r="O187" t="str" s="13">
        <ns0:v>CAPC1608X90N</ns0:v>
      </ns0:c>
      <ns0:c r="P187" t="str" s="13">
        <ns0:v>Footprints\PBL - SMD Packages.PcbLib</ns0:v>
      </ns0:c>
      <ns0:c r="Q187" t="str" s="14">
        <ns0:v>YAGEO CC; список 20.10.2026</ns0:v>
      </ns0:c>
      <ns0:c r="R187" t="str" s="11">
        <ns0:f>D187</ns0:f>
        <ns0:v>120 пФ</ns0:v>
      </ns0:c>
      <ns0:c r="S187" t="str" s="11">
        <ns0:f>L187</ns0:f>
        <ns0:v>Конденсатор 120 пФ ±10% 50 В X7R 0603</ns0:v>
      </ns0:c>
      <x:c xmlns:x="http://schemas.openxmlformats.org/spreadsheetml/2006/main" r="T187" t="str" s="11">
        <x:v>C:\Users\Nomatin\Documents\Altium\MY_LIB\MY_LIB\Datasheets\YAGEO_CC_X7R.pdf</x:v>
      </x:c>
      <x:c xmlns:x="http://schemas.openxmlformats.org/spreadsheetml/2006/main" r="U187" t="str" s="11">
        <x:v>Даташит — локальный</x:v>
      </x:c>
      <x:c xmlns:x="http://schemas.openxmlformats.org/spreadsheetml/2006/main" r="V187" t="str" s="11">
        <x:v>C:\Users\Nomatin\Documents\Altium\MY_LIB\MY_LIB\Datasheets\YAGEO_CC_X7R.pdf</x:v>
      </x:c>
      <x:c xmlns:x="http://schemas.openxmlformats.org/spreadsheetml/2006/main" r="W187" t="str" s="11">
        <x:v>Даташит — производитель</x:v>
      </x:c>
      <x:c xmlns:x="http://schemas.openxmlformats.org/spreadsheetml/2006/main" r="X187" t="str" s="11">
        <x:v>https://yageogroup.com/content/datasheet/asset/file/UPY-GPHC_X7R_6_3V-TO-250V</x:v>
      </x:c>
      <x:c xmlns:x="http://schemas.openxmlformats.org/spreadsheetml/2006/main" r="Y187" t="str" s="11">
        <x:v>C:\Users\Nomatin\Documents\Altium\MY_LIB\MY_LIB\Datasheets\YAGEO_CC_X7R.pdf</x:v>
      </x:c>
      <ns0:c xmlns:ns0="http://schemas.openxmlformats.org/spreadsheetml/2006/main" r="Z187" s="11">
        <ns0:v>1.2e-10</ns0:v>
      </ns0:c>
      <ns0:c xmlns:ns0="http://schemas.openxmlformats.org/spreadsheetml/2006/main" r="AA187" s="11">
        <ns0:v>0.025</ns0:v>
      </ns0:c>
      <ns0:c xmlns:ns0="http://schemas.openxmlformats.org/spreadsheetml/2006/main" r="AB187" s="11">
        <ns0:v>1000</ns0:v>
      </ns0:c>
      <ns0:c xmlns:ns0="http://schemas.openxmlformats.org/spreadsheetml/2006/main" r="AC187" s="11">
        <ns0:v>1</ns0:v>
      </ns0:c>
      <ns0:c xmlns:ns0="http://schemas.openxmlformats.org/spreadsheetml/2006/main" r="AD187" s="11">
        <ns0:v>20</ns0:v>
      </ns0:c>
      <ns0:c xmlns:ns0="http://schemas.openxmlformats.org/spreadsheetml/2006/main" r="AE187" s="11">
        <ns0:v>500</ns0:v>
      </ns0:c>
      <ns0:c xmlns:ns0="http://schemas.openxmlformats.org/spreadsheetml/2006/main" r="AF187" s="11">
        <ns0:v>10000000000</ns0:v>
      </ns0:c>
      <ns0:c xmlns:ns0="http://schemas.openxmlformats.org/spreadsheetml/2006/main" r="AG187" s="11">
        <ns0:v>50</ns0:v>
      </ns0:c>
      <ns0:c xmlns:ns0="http://schemas.openxmlformats.org/spreadsheetml/2006/main" r="AH187" s="11">
        <ns0:v>60</ns0:v>
      </ns0:c>
      <ns0:c xmlns:ns0="http://schemas.openxmlformats.org/spreadsheetml/2006/main" r="AI187" s="11">
        <ns0:v>33157.2798108115</ns0:v>
      </ns0:c>
      <ns0:c xmlns:ns0="http://schemas.openxmlformats.org/spreadsheetml/2006/main" r="AJ187" s="11" t="inlineStr">
        <ns0:is>
          <ns0:t>MY_LIB_C_RC</ns0:t>
        </ns0:is>
      </ns0:c>
      <ns0:c xmlns:ns0="http://schemas.openxmlformats.org/spreadsheetml/2006/main" r="AK187" s="11" t="inlineStr">
        <ns0:is>
          <ns0:t>Nominal C; DFmax at 1kHz; minimum insulation; no temperature/bias/ESL</ns0:t>
        </ns0:is>
      </ns0:c>
      <ns0:c xmlns:ns0="http://schemas.openxmlformats.org/spreadsheetml/2006/main" r="AL187" s="11" t="inlineStr">
        <ns0:is>
          <ns0:t>General</ns0:t>
        </ns0:is>
      </ns0:c>
      <ns0:c xmlns:ns0="http://schemas.openxmlformats.org/spreadsheetml/2006/main" r="AM187" s="11" t="inlineStr">
        <ns0:is>
          <ns0:t>Spice Subcircuit</ns0:t>
        </ns0:is>
      </ns0:c>
      <ns0:c xmlns:ns0="http://schemas.openxmlformats.org/spreadsheetml/2006/main" r="AN187" s="11" t="inlineStr">
        <ns0:is>
          <ns0:t>@DESIGNATOR %1 %2 @MODEL PARAMS: Cvalue=1.2e-10 Rsvalue=33157.2798108115 Rinsvalue=10000000000</ns0:t>
        </ns0:is>
      </ns0:c>
      <ns0:c xmlns:ns0="http://schemas.openxmlformats.org/spreadsheetml/2006/main" r="AO187" s="11" t="inlineStr">
        <ns0:is>
          <ns0:t>X</ns0:t>
        </ns0:is>
      </ns0:c>
      <ns0:c xmlns:ns0="http://schemas.openxmlformats.org/spreadsheetml/2006/main" r="AP187" s="11" t="inlineStr">
        <ns0:is>
          <ns0:t>(1:1),(2:2)</ns0:t>
        </ns0:is>
      </ns0:c>
      <ns0:c xmlns:ns0="http://schemas.openxmlformats.org/spreadsheetml/2006/main" r="AQ187" s="11" t="inlineStr">
        <ns0:is>
          <ns0:t>Simulation\Capacitors\MY_LIB_C_RC.ckt</ns0:t>
        </ns0:is>
      </ns0:c>
    </ns0:row>
    <ns0:row r="188" ht="30" customHeight="1">
      <ns0:c r="A188" t="str" s="14">
        <ns0:v>C0189</ns0:v>
      </ns0:c>
      <ns0:c r="B188" t="str" s="14">
        <ns0:v>Конденсатор</ns0:v>
      </ns0:c>
      <ns0:c r="C188" t="str" s="14">
        <ns0:v>150p</ns0:v>
      </ns0:c>
      <ns0:c r="D188" t="str" s="11">
        <ns0:f>SUBSTITUTE(SUBSTITUTE(SUBSTITUTE(SUBSTITUTE(C188,"p"," пФ"),"n"," нФ"),"u"," мкФ"),".",",")</ns0:f>
        <ns0:v>150 пФ</ns0:v>
      </ns0:c>
      <ns0:c r="E188" t="str" s="14">
        <ns0:v>±10%</ns0:v>
      </ns0:c>
      <ns0:c r="F188" s="14"/>
      <ns0:c r="G188" t="str" s="14">
        <ns0:v>100 В</ns0:v>
      </ns0:c>
      <ns0:c r="H188" t="str" s="14">
        <ns0:v>X7R</ns0:v>
      </ns0:c>
      <ns0:c r="I188" t="str" s="15">
        <ns0:v>0603</ns0:v>
      </ns0:c>
      <ns0:c r="J188" t="str" s="14">
        <ns0:v>YAGEO</ns0:v>
      </ns0:c>
      <ns0:c r="K188" t="str" s="14">
        <ns0:v>CC0603KRX7R0BB151</ns0:v>
      </ns0:c>
      <ns0:c r="L188" t="str" s="11">
        <ns0:f>B188&amp;" "&amp;D188&amp;" "&amp;E188&amp;" "&amp;G188&amp;" "&amp;H188&amp;" "&amp;I188</ns0:f>
        <ns0:v>Конденсатор 150 пФ ±10% 100 В X7R 0603</ns0:v>
      </ns0:c>
      <ns0:c r="M188" t="str" s="13">
        <ns0:v>C</ns0:v>
      </ns0:c>
      <ns0:c r="N188" t="str" s="13">
        <ns0:v>Symbols\MY_LIB_Capacitors.SchLib</ns0:v>
      </ns0:c>
      <ns0:c r="O188" t="str" s="13">
        <ns0:v>CAPC1608X90N</ns0:v>
      </ns0:c>
      <ns0:c r="P188" t="str" s="13">
        <ns0:v>Footprints\PBL - SMD Packages.PcbLib</ns0:v>
      </ns0:c>
      <ns0:c r="Q188" t="str" s="14">
        <ns0:v>YAGEO CC; список 20.10.2026</ns0:v>
      </ns0:c>
      <ns0:c r="R188" t="str" s="11">
        <ns0:f>D188</ns0:f>
        <ns0:v>150 пФ</ns0:v>
      </ns0:c>
      <ns0:c r="S188" t="str" s="11">
        <ns0:f>L188</ns0:f>
        <ns0:v>Конденсатор 150 пФ ±10% 100 В X7R 0603</ns0:v>
      </ns0:c>
      <x:c xmlns:x="http://schemas.openxmlformats.org/spreadsheetml/2006/main" r="T188" t="str" s="11">
        <x:v>C:\Users\Nomatin\Documents\Altium\MY_LIB\MY_LIB\Datasheets\YAGEO_CC_X7R.pdf</x:v>
      </x:c>
      <x:c xmlns:x="http://schemas.openxmlformats.org/spreadsheetml/2006/main" r="U188" t="str" s="11">
        <x:v>Даташит — локальный</x:v>
      </x:c>
      <x:c xmlns:x="http://schemas.openxmlformats.org/spreadsheetml/2006/main" r="V188" t="str" s="11">
        <x:v>C:\Users\Nomatin\Documents\Altium\MY_LIB\MY_LIB\Datasheets\YAGEO_CC_X7R.pdf</x:v>
      </x:c>
      <x:c xmlns:x="http://schemas.openxmlformats.org/spreadsheetml/2006/main" r="W188" t="str" s="11">
        <x:v>Даташит — производитель</x:v>
      </x:c>
      <x:c xmlns:x="http://schemas.openxmlformats.org/spreadsheetml/2006/main" r="X188" t="str" s="11">
        <x:v>https://yageogroup.com/content/datasheet/asset/file/UPY-GPHC_X7R_6_3V-TO-250V</x:v>
      </x:c>
      <x:c xmlns:x="http://schemas.openxmlformats.org/spreadsheetml/2006/main" r="Y188" t="str" s="11">
        <x:v>C:\Users\Nomatin\Documents\Altium\MY_LIB\MY_LIB\Datasheets\YAGEO_CC_X7R.pdf</x:v>
      </x:c>
      <ns0:c xmlns:ns0="http://schemas.openxmlformats.org/spreadsheetml/2006/main" r="Z188" s="11">
        <ns0:v>1.5e-10</ns0:v>
      </ns0:c>
      <ns0:c xmlns:ns0="http://schemas.openxmlformats.org/spreadsheetml/2006/main" r="AA188" s="11">
        <ns0:v>0.025</ns0:v>
      </ns0:c>
      <ns0:c xmlns:ns0="http://schemas.openxmlformats.org/spreadsheetml/2006/main" r="AB188" s="11">
        <ns0:v>1000</ns0:v>
      </ns0:c>
      <ns0:c xmlns:ns0="http://schemas.openxmlformats.org/spreadsheetml/2006/main" r="AC188" s="11">
        <ns0:v>1</ns0:v>
      </ns0:c>
      <ns0:c xmlns:ns0="http://schemas.openxmlformats.org/spreadsheetml/2006/main" r="AD188" s="11">
        <ns0:v>20</ns0:v>
      </ns0:c>
      <ns0:c xmlns:ns0="http://schemas.openxmlformats.org/spreadsheetml/2006/main" r="AE188" s="11">
        <ns0:v>500</ns0:v>
      </ns0:c>
      <ns0:c xmlns:ns0="http://schemas.openxmlformats.org/spreadsheetml/2006/main" r="AF188" s="11">
        <ns0:v>10000000000</ns0:v>
      </ns0:c>
      <ns0:c xmlns:ns0="http://schemas.openxmlformats.org/spreadsheetml/2006/main" r="AG188" s="11">
        <ns0:v>100</ns0:v>
      </ns0:c>
      <ns0:c xmlns:ns0="http://schemas.openxmlformats.org/spreadsheetml/2006/main" r="AH188" s="11">
        <ns0:v>60</ns0:v>
      </ns0:c>
      <ns0:c xmlns:ns0="http://schemas.openxmlformats.org/spreadsheetml/2006/main" r="AI188" s="11">
        <ns0:v>26525.8238486492</ns0:v>
      </ns0:c>
      <ns0:c xmlns:ns0="http://schemas.openxmlformats.org/spreadsheetml/2006/main" r="AJ188" s="11" t="inlineStr">
        <ns0:is>
          <ns0:t>MY_LIB_C_RC</ns0:t>
        </ns0:is>
      </ns0:c>
      <ns0:c xmlns:ns0="http://schemas.openxmlformats.org/spreadsheetml/2006/main" r="AK188" s="11" t="inlineStr">
        <ns0:is>
          <ns0:t>Nominal C; DFmax at 1kHz; minimum insulation; no temperature/bias/ESL</ns0:t>
        </ns0:is>
      </ns0:c>
      <ns0:c xmlns:ns0="http://schemas.openxmlformats.org/spreadsheetml/2006/main" r="AL188" s="11" t="inlineStr">
        <ns0:is>
          <ns0:t>General</ns0:t>
        </ns0:is>
      </ns0:c>
      <ns0:c xmlns:ns0="http://schemas.openxmlformats.org/spreadsheetml/2006/main" r="AM188" s="11" t="inlineStr">
        <ns0:is>
          <ns0:t>Spice Subcircuit</ns0:t>
        </ns0:is>
      </ns0:c>
      <ns0:c xmlns:ns0="http://schemas.openxmlformats.org/spreadsheetml/2006/main" r="AN188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188" s="11" t="inlineStr">
        <ns0:is>
          <ns0:t>X</ns0:t>
        </ns0:is>
      </ns0:c>
      <ns0:c xmlns:ns0="http://schemas.openxmlformats.org/spreadsheetml/2006/main" r="AP188" s="11" t="inlineStr">
        <ns0:is>
          <ns0:t>(1:1),(2:2)</ns0:t>
        </ns0:is>
      </ns0:c>
      <ns0:c xmlns:ns0="http://schemas.openxmlformats.org/spreadsheetml/2006/main" r="AQ188" s="11" t="inlineStr">
        <ns0:is>
          <ns0:t>Simulation\Capacitors\MY_LIB_C_RC.ckt</ns0:t>
        </ns0:is>
      </ns0:c>
    </ns0:row>
    <ns0:row r="189" ht="30" customHeight="1">
      <ns0:c r="A189" t="str" s="14">
        <ns0:v>C0190</ns0:v>
      </ns0:c>
      <ns0:c r="B189" t="str" s="14">
        <ns0:v>Конденсатор</ns0:v>
      </ns0:c>
      <ns0:c r="C189" t="str" s="14">
        <ns0:v>180p</ns0:v>
      </ns0:c>
      <ns0:c r="D189" t="str" s="11">
        <ns0:f>SUBSTITUTE(SUBSTITUTE(SUBSTITUTE(SUBSTITUTE(C189,"p"," пФ"),"n"," нФ"),"u"," мкФ"),".",",")</ns0:f>
        <ns0:v>180 пФ</ns0:v>
      </ns0:c>
      <ns0:c r="E189" t="str" s="14">
        <ns0:v>±10%</ns0:v>
      </ns0:c>
      <ns0:c r="F189" s="14"/>
      <ns0:c r="G189" t="str" s="14">
        <ns0:v>100 В</ns0:v>
      </ns0:c>
      <ns0:c r="H189" t="str" s="14">
        <ns0:v>X7R</ns0:v>
      </ns0:c>
      <ns0:c r="I189" t="str" s="15">
        <ns0:v>0603</ns0:v>
      </ns0:c>
      <ns0:c r="J189" t="str" s="14">
        <ns0:v>YAGEO</ns0:v>
      </ns0:c>
      <ns0:c r="K189" t="str" s="14">
        <ns0:v>CC0603KRX7R0BB181</ns0:v>
      </ns0:c>
      <ns0:c r="L189" t="str" s="11">
        <ns0:f>B189&amp;" "&amp;D189&amp;" "&amp;E189&amp;" "&amp;G189&amp;" "&amp;H189&amp;" "&amp;I189</ns0:f>
        <ns0:v>Конденсатор 180 пФ ±10% 100 В X7R 0603</ns0:v>
      </ns0:c>
      <ns0:c r="M189" t="str" s="13">
        <ns0:v>C</ns0:v>
      </ns0:c>
      <ns0:c r="N189" t="str" s="13">
        <ns0:v>Symbols\MY_LIB_Capacitors.SchLib</ns0:v>
      </ns0:c>
      <ns0:c r="O189" t="str" s="13">
        <ns0:v>CAPC1608X90N</ns0:v>
      </ns0:c>
      <ns0:c r="P189" t="str" s="13">
        <ns0:v>Footprints\PBL - SMD Packages.PcbLib</ns0:v>
      </ns0:c>
      <ns0:c r="Q189" t="str" s="14">
        <ns0:v>YAGEO CC; список 20.10.2026</ns0:v>
      </ns0:c>
      <ns0:c r="R189" t="str" s="11">
        <ns0:f>D189</ns0:f>
        <ns0:v>180 пФ</ns0:v>
      </ns0:c>
      <ns0:c r="S189" t="str" s="11">
        <ns0:f>L189</ns0:f>
        <ns0:v>Конденсатор 180 пФ ±10% 100 В X7R 0603</ns0:v>
      </ns0:c>
      <x:c xmlns:x="http://schemas.openxmlformats.org/spreadsheetml/2006/main" r="T189" t="str" s="11">
        <x:v>C:\Users\Nomatin\Documents\Altium\MY_LIB\MY_LIB\Datasheets\YAGEO_CC_X7R.pdf</x:v>
      </x:c>
      <x:c xmlns:x="http://schemas.openxmlformats.org/spreadsheetml/2006/main" r="U189" t="str" s="11">
        <x:v>Даташит — локальный</x:v>
      </x:c>
      <x:c xmlns:x="http://schemas.openxmlformats.org/spreadsheetml/2006/main" r="V189" t="str" s="11">
        <x:v>C:\Users\Nomatin\Documents\Altium\MY_LIB\MY_LIB\Datasheets\YAGEO_CC_X7R.pdf</x:v>
      </x:c>
      <x:c xmlns:x="http://schemas.openxmlformats.org/spreadsheetml/2006/main" r="W189" t="str" s="11">
        <x:v>Даташит — производитель</x:v>
      </x:c>
      <x:c xmlns:x="http://schemas.openxmlformats.org/spreadsheetml/2006/main" r="X189" t="str" s="11">
        <x:v>https://yageogroup.com/content/datasheet/asset/file/UPY-GPHC_X7R_6_3V-TO-250V</x:v>
      </x:c>
      <x:c xmlns:x="http://schemas.openxmlformats.org/spreadsheetml/2006/main" r="Y189" t="str" s="11">
        <x:v>C:\Users\Nomatin\Documents\Altium\MY_LIB\MY_LIB\Datasheets\YAGEO_CC_X7R.pdf</x:v>
      </x:c>
      <ns0:c xmlns:ns0="http://schemas.openxmlformats.org/spreadsheetml/2006/main" r="Z189" s="11">
        <ns0:v>1.8e-10</ns0:v>
      </ns0:c>
      <ns0:c xmlns:ns0="http://schemas.openxmlformats.org/spreadsheetml/2006/main" r="AA189" s="11">
        <ns0:v>0.025</ns0:v>
      </ns0:c>
      <ns0:c xmlns:ns0="http://schemas.openxmlformats.org/spreadsheetml/2006/main" r="AB189" s="11">
        <ns0:v>1000</ns0:v>
      </ns0:c>
      <ns0:c xmlns:ns0="http://schemas.openxmlformats.org/spreadsheetml/2006/main" r="AC189" s="11">
        <ns0:v>1</ns0:v>
      </ns0:c>
      <ns0:c xmlns:ns0="http://schemas.openxmlformats.org/spreadsheetml/2006/main" r="AD189" s="11">
        <ns0:v>20</ns0:v>
      </ns0:c>
      <ns0:c xmlns:ns0="http://schemas.openxmlformats.org/spreadsheetml/2006/main" r="AE189" s="11">
        <ns0:v>500</ns0:v>
      </ns0:c>
      <ns0:c xmlns:ns0="http://schemas.openxmlformats.org/spreadsheetml/2006/main" r="AF189" s="11">
        <ns0:v>10000000000</ns0:v>
      </ns0:c>
      <ns0:c xmlns:ns0="http://schemas.openxmlformats.org/spreadsheetml/2006/main" r="AG189" s="11">
        <ns0:v>100</ns0:v>
      </ns0:c>
      <ns0:c xmlns:ns0="http://schemas.openxmlformats.org/spreadsheetml/2006/main" r="AH189" s="11">
        <ns0:v>60</ns0:v>
      </ns0:c>
      <ns0:c xmlns:ns0="http://schemas.openxmlformats.org/spreadsheetml/2006/main" r="AI189" s="11">
        <ns0:v>22104.8532072077</ns0:v>
      </ns0:c>
      <ns0:c xmlns:ns0="http://schemas.openxmlformats.org/spreadsheetml/2006/main" r="AJ189" s="11" t="inlineStr">
        <ns0:is>
          <ns0:t>MY_LIB_C_RC</ns0:t>
        </ns0:is>
      </ns0:c>
      <ns0:c xmlns:ns0="http://schemas.openxmlformats.org/spreadsheetml/2006/main" r="AK189" s="11" t="inlineStr">
        <ns0:is>
          <ns0:t>Nominal C; DFmax at 1kHz; minimum insulation; no temperature/bias/ESL</ns0:t>
        </ns0:is>
      </ns0:c>
      <ns0:c xmlns:ns0="http://schemas.openxmlformats.org/spreadsheetml/2006/main" r="AL189" s="11" t="inlineStr">
        <ns0:is>
          <ns0:t>General</ns0:t>
        </ns0:is>
      </ns0:c>
      <ns0:c xmlns:ns0="http://schemas.openxmlformats.org/spreadsheetml/2006/main" r="AM189" s="11" t="inlineStr">
        <ns0:is>
          <ns0:t>Spice Subcircuit</ns0:t>
        </ns0:is>
      </ns0:c>
      <ns0:c xmlns:ns0="http://schemas.openxmlformats.org/spreadsheetml/2006/main" r="AN189" s="11" t="inlineStr">
        <ns0:is>
          <ns0:t>@DESIGNATOR %1 %2 @MODEL PARAMS: Cvalue=1.8e-10 Rsvalue=22104.8532072077 Rinsvalue=10000000000</ns0:t>
        </ns0:is>
      </ns0:c>
      <ns0:c xmlns:ns0="http://schemas.openxmlformats.org/spreadsheetml/2006/main" r="AO189" s="11" t="inlineStr">
        <ns0:is>
          <ns0:t>X</ns0:t>
        </ns0:is>
      </ns0:c>
      <ns0:c xmlns:ns0="http://schemas.openxmlformats.org/spreadsheetml/2006/main" r="AP189" s="11" t="inlineStr">
        <ns0:is>
          <ns0:t>(1:1),(2:2)</ns0:t>
        </ns0:is>
      </ns0:c>
      <ns0:c xmlns:ns0="http://schemas.openxmlformats.org/spreadsheetml/2006/main" r="AQ189" s="11" t="inlineStr">
        <ns0:is>
          <ns0:t>Simulation\Capacitors\MY_LIB_C_RC.ckt</ns0:t>
        </ns0:is>
      </ns0:c>
    </ns0:row>
    <ns0:row r="190" ht="30" customHeight="1">
      <ns0:c r="A190" t="str" s="14">
        <ns0:v>C0191</ns0:v>
      </ns0:c>
      <ns0:c r="B190" t="str" s="14">
        <ns0:v>Конденсатор</ns0:v>
      </ns0:c>
      <ns0:c r="C190" t="str" s="14">
        <ns0:v>200p</ns0:v>
      </ns0:c>
      <ns0:c r="D190" t="str" s="11">
        <ns0:f>SUBSTITUTE(SUBSTITUTE(SUBSTITUTE(SUBSTITUTE(C190,"p"," пФ"),"n"," нФ"),"u"," мкФ"),".",",")</ns0:f>
        <ns0:v>200 пФ</ns0:v>
      </ns0:c>
      <ns0:c r="E190" t="str" s="14">
        <ns0:v>±10%</ns0:v>
      </ns0:c>
      <ns0:c r="F190" s="14"/>
      <ns0:c r="G190" t="str" s="14">
        <ns0:v>50 В</ns0:v>
      </ns0:c>
      <ns0:c r="H190" t="str" s="14">
        <ns0:v>X7R</ns0:v>
      </ns0:c>
      <ns0:c r="I190" t="str" s="15">
        <ns0:v>0603</ns0:v>
      </ns0:c>
      <ns0:c r="J190" t="str" s="14">
        <ns0:v>YAGEO</ns0:v>
      </ns0:c>
      <ns0:c r="K190" t="str" s="14">
        <ns0:v>CC0603KRX7R9BB201</ns0:v>
      </ns0:c>
      <ns0:c r="L190" t="str" s="11">
        <ns0:f>B190&amp;" "&amp;D190&amp;" "&amp;E190&amp;" "&amp;G190&amp;" "&amp;H190&amp;" "&amp;I190</ns0:f>
        <ns0:v>Конденсатор 200 пФ ±10% 50 В X7R 0603</ns0:v>
      </ns0:c>
      <ns0:c r="M190" t="str" s="13">
        <ns0:v>C</ns0:v>
      </ns0:c>
      <ns0:c r="N190" t="str" s="13">
        <ns0:v>Symbols\MY_LIB_Capacitors.SchLib</ns0:v>
      </ns0:c>
      <ns0:c r="O190" t="str" s="13">
        <ns0:v>CAPC1608X90N</ns0:v>
      </ns0:c>
      <ns0:c r="P190" t="str" s="13">
        <ns0:v>Footprints\PBL - SMD Packages.PcbLib</ns0:v>
      </ns0:c>
      <ns0:c r="Q190" t="str" s="14">
        <ns0:v>YAGEO CC; список 20.10.2026</ns0:v>
      </ns0:c>
      <ns0:c r="R190" t="str" s="11">
        <ns0:f>D190</ns0:f>
        <ns0:v>200 пФ</ns0:v>
      </ns0:c>
      <ns0:c r="S190" t="str" s="11">
        <ns0:f>L190</ns0:f>
        <ns0:v>Конденсатор 200 пФ ±10% 50 В X7R 0603</ns0:v>
      </ns0:c>
      <x:c xmlns:x="http://schemas.openxmlformats.org/spreadsheetml/2006/main" r="T190" t="str" s="11">
        <x:v>C:\Users\Nomatin\Documents\Altium\MY_LIB\MY_LIB\Datasheets\YAGEO_CC_X7R.pdf</x:v>
      </x:c>
      <x:c xmlns:x="http://schemas.openxmlformats.org/spreadsheetml/2006/main" r="U190" t="str" s="11">
        <x:v>Даташит — локальный</x:v>
      </x:c>
      <x:c xmlns:x="http://schemas.openxmlformats.org/spreadsheetml/2006/main" r="V190" t="str" s="11">
        <x:v>C:\Users\Nomatin\Documents\Altium\MY_LIB\MY_LIB\Datasheets\YAGEO_CC_X7R.pdf</x:v>
      </x:c>
      <x:c xmlns:x="http://schemas.openxmlformats.org/spreadsheetml/2006/main" r="W190" t="str" s="11">
        <x:v>Даташит — производитель</x:v>
      </x:c>
      <x:c xmlns:x="http://schemas.openxmlformats.org/spreadsheetml/2006/main" r="X190" t="str" s="11">
        <x:v>https://yageogroup.com/content/datasheet/asset/file/UPY-GPHC_X7R_6_3V-TO-250V</x:v>
      </x:c>
      <x:c xmlns:x="http://schemas.openxmlformats.org/spreadsheetml/2006/main" r="Y190" t="str" s="11">
        <x:v>C:\Users\Nomatin\Documents\Altium\MY_LIB\MY_LIB\Datasheets\YAGEO_CC_X7R.pdf</x:v>
      </x:c>
      <ns0:c xmlns:ns0="http://schemas.openxmlformats.org/spreadsheetml/2006/main" r="Z190" s="11">
        <ns0:v>2e-10</ns0:v>
      </ns0:c>
      <ns0:c xmlns:ns0="http://schemas.openxmlformats.org/spreadsheetml/2006/main" r="AA190" s="11">
        <ns0:v>0.025</ns0:v>
      </ns0:c>
      <ns0:c xmlns:ns0="http://schemas.openxmlformats.org/spreadsheetml/2006/main" r="AB190" s="11">
        <ns0:v>1000</ns0:v>
      </ns0:c>
      <ns0:c xmlns:ns0="http://schemas.openxmlformats.org/spreadsheetml/2006/main" r="AC190" s="11">
        <ns0:v>1</ns0:v>
      </ns0:c>
      <ns0:c xmlns:ns0="http://schemas.openxmlformats.org/spreadsheetml/2006/main" r="AD190" s="11">
        <ns0:v>20</ns0:v>
      </ns0:c>
      <ns0:c xmlns:ns0="http://schemas.openxmlformats.org/spreadsheetml/2006/main" r="AE190" s="11">
        <ns0:v>500</ns0:v>
      </ns0:c>
      <ns0:c xmlns:ns0="http://schemas.openxmlformats.org/spreadsheetml/2006/main" r="AF190" s="11">
        <ns0:v>10000000000</ns0:v>
      </ns0:c>
      <ns0:c xmlns:ns0="http://schemas.openxmlformats.org/spreadsheetml/2006/main" r="AG190" s="11">
        <ns0:v>50</ns0:v>
      </ns0:c>
      <ns0:c xmlns:ns0="http://schemas.openxmlformats.org/spreadsheetml/2006/main" r="AH190" s="11">
        <ns0:v>60</ns0:v>
      </ns0:c>
      <ns0:c xmlns:ns0="http://schemas.openxmlformats.org/spreadsheetml/2006/main" r="AI190" s="11">
        <ns0:v>19894.3678864869</ns0:v>
      </ns0:c>
      <ns0:c xmlns:ns0="http://schemas.openxmlformats.org/spreadsheetml/2006/main" r="AJ190" s="11" t="inlineStr">
        <ns0:is>
          <ns0:t>MY_LIB_C_RC</ns0:t>
        </ns0:is>
      </ns0:c>
      <ns0:c xmlns:ns0="http://schemas.openxmlformats.org/spreadsheetml/2006/main" r="AK190" s="11" t="inlineStr">
        <ns0:is>
          <ns0:t>Nominal C; DFmax at 1kHz; minimum insulation; no temperature/bias/ESL</ns0:t>
        </ns0:is>
      </ns0:c>
      <ns0:c xmlns:ns0="http://schemas.openxmlformats.org/spreadsheetml/2006/main" r="AL190" s="11" t="inlineStr">
        <ns0:is>
          <ns0:t>General</ns0:t>
        </ns0:is>
      </ns0:c>
      <ns0:c xmlns:ns0="http://schemas.openxmlformats.org/spreadsheetml/2006/main" r="AM190" s="11" t="inlineStr">
        <ns0:is>
          <ns0:t>Spice Subcircuit</ns0:t>
        </ns0:is>
      </ns0:c>
      <ns0:c xmlns:ns0="http://schemas.openxmlformats.org/spreadsheetml/2006/main" r="AN190" s="11" t="inlineStr">
        <ns0:is>
          <ns0:t>@DESIGNATOR %1 %2 @MODEL PARAMS: Cvalue=2e-10 Rsvalue=19894.3678864869 Rinsvalue=10000000000</ns0:t>
        </ns0:is>
      </ns0:c>
      <ns0:c xmlns:ns0="http://schemas.openxmlformats.org/spreadsheetml/2006/main" r="AO190" s="11" t="inlineStr">
        <ns0:is>
          <ns0:t>X</ns0:t>
        </ns0:is>
      </ns0:c>
      <ns0:c xmlns:ns0="http://schemas.openxmlformats.org/spreadsheetml/2006/main" r="AP190" s="11" t="inlineStr">
        <ns0:is>
          <ns0:t>(1:1),(2:2)</ns0:t>
        </ns0:is>
      </ns0:c>
      <ns0:c xmlns:ns0="http://schemas.openxmlformats.org/spreadsheetml/2006/main" r="AQ190" s="11" t="inlineStr">
        <ns0:is>
          <ns0:t>Simulation\Capacitors\MY_LIB_C_RC.ckt</ns0:t>
        </ns0:is>
      </ns0:c>
    </ns0:row>
    <ns0:row r="191" ht="30" customHeight="1">
      <ns0:c r="A191" t="str" s="14">
        <ns0:v>C0192</ns0:v>
      </ns0:c>
      <ns0:c r="B191" t="str" s="14">
        <ns0:v>Конденсатор</ns0:v>
      </ns0:c>
      <ns0:c r="C191" t="str" s="14">
        <ns0:v>220p</ns0:v>
      </ns0:c>
      <ns0:c r="D191" t="str" s="11">
        <ns0:f>SUBSTITUTE(SUBSTITUTE(SUBSTITUTE(SUBSTITUTE(C191,"p"," пФ"),"n"," нФ"),"u"," мкФ"),".",",")</ns0:f>
        <ns0:v>220 пФ</ns0:v>
      </ns0:c>
      <ns0:c r="E191" t="str" s="14">
        <ns0:v>±10%</ns0:v>
      </ns0:c>
      <ns0:c r="F191" s="14"/>
      <ns0:c r="G191" t="str" s="14">
        <ns0:v>100 В</ns0:v>
      </ns0:c>
      <ns0:c r="H191" t="str" s="14">
        <ns0:v>X7R</ns0:v>
      </ns0:c>
      <ns0:c r="I191" t="str" s="15">
        <ns0:v>0603</ns0:v>
      </ns0:c>
      <ns0:c r="J191" t="str" s="14">
        <ns0:v>YAGEO</ns0:v>
      </ns0:c>
      <ns0:c r="K191" t="str" s="14">
        <ns0:v>CC0603KRX7R0BB221</ns0:v>
      </ns0:c>
      <ns0:c r="L191" t="str" s="11">
        <ns0:f>B191&amp;" "&amp;D191&amp;" "&amp;E191&amp;" "&amp;G191&amp;" "&amp;H191&amp;" "&amp;I191</ns0:f>
        <ns0:v>Конденсатор 220 пФ ±10% 100 В X7R 0603</ns0:v>
      </ns0:c>
      <ns0:c r="M191" t="str" s="13">
        <ns0:v>C</ns0:v>
      </ns0:c>
      <ns0:c r="N191" t="str" s="13">
        <ns0:v>Symbols\MY_LIB_Capacitors.SchLib</ns0:v>
      </ns0:c>
      <ns0:c r="O191" t="str" s="13">
        <ns0:v>CAPC1608X90N</ns0:v>
      </ns0:c>
      <ns0:c r="P191" t="str" s="13">
        <ns0:v>Footprints\PBL - SMD Packages.PcbLib</ns0:v>
      </ns0:c>
      <ns0:c r="Q191" t="str" s="14">
        <ns0:v>YAGEO CC; список 20.10.2026</ns0:v>
      </ns0:c>
      <ns0:c r="R191" t="str" s="11">
        <ns0:f>D191</ns0:f>
        <ns0:v>220 пФ</ns0:v>
      </ns0:c>
      <ns0:c r="S191" t="str" s="11">
        <ns0:f>L191</ns0:f>
        <ns0:v>Конденсатор 220 пФ ±10% 100 В X7R 0603</ns0:v>
      </ns0:c>
      <x:c xmlns:x="http://schemas.openxmlformats.org/spreadsheetml/2006/main" r="T191" t="str" s="11">
        <x:v>C:\Users\Nomatin\Documents\Altium\MY_LIB\MY_LIB\Datasheets\YAGEO_CC_X7R.pdf</x:v>
      </x:c>
      <x:c xmlns:x="http://schemas.openxmlformats.org/spreadsheetml/2006/main" r="U191" t="str" s="11">
        <x:v>Даташит — локальный</x:v>
      </x:c>
      <x:c xmlns:x="http://schemas.openxmlformats.org/spreadsheetml/2006/main" r="V191" t="str" s="11">
        <x:v>C:\Users\Nomatin\Documents\Altium\MY_LIB\MY_LIB\Datasheets\YAGEO_CC_X7R.pdf</x:v>
      </x:c>
      <x:c xmlns:x="http://schemas.openxmlformats.org/spreadsheetml/2006/main" r="W191" t="str" s="11">
        <x:v>Даташит — производитель</x:v>
      </x:c>
      <x:c xmlns:x="http://schemas.openxmlformats.org/spreadsheetml/2006/main" r="X191" t="str" s="11">
        <x:v>https://yageogroup.com/content/datasheet/asset/file/UPY-GPHC_X7R_6_3V-TO-250V</x:v>
      </x:c>
      <x:c xmlns:x="http://schemas.openxmlformats.org/spreadsheetml/2006/main" r="Y191" t="str" s="11">
        <x:v>C:\Users\Nomatin\Documents\Altium\MY_LIB\MY_LIB\Datasheets\YAGEO_CC_X7R.pdf</x:v>
      </x:c>
      <ns0:c xmlns:ns0="http://schemas.openxmlformats.org/spreadsheetml/2006/main" r="Z191" s="11">
        <ns0:v>2.2e-10</ns0:v>
      </ns0:c>
      <ns0:c xmlns:ns0="http://schemas.openxmlformats.org/spreadsheetml/2006/main" r="AA191" s="11">
        <ns0:v>0.025</ns0:v>
      </ns0:c>
      <ns0:c xmlns:ns0="http://schemas.openxmlformats.org/spreadsheetml/2006/main" r="AB191" s="11">
        <ns0:v>1000</ns0:v>
      </ns0:c>
      <ns0:c xmlns:ns0="http://schemas.openxmlformats.org/spreadsheetml/2006/main" r="AC191" s="11">
        <ns0:v>1</ns0:v>
      </ns0:c>
      <ns0:c xmlns:ns0="http://schemas.openxmlformats.org/spreadsheetml/2006/main" r="AD191" s="11">
        <ns0:v>20</ns0:v>
      </ns0:c>
      <ns0:c xmlns:ns0="http://schemas.openxmlformats.org/spreadsheetml/2006/main" r="AE191" s="11">
        <ns0:v>500</ns0:v>
      </ns0:c>
      <ns0:c xmlns:ns0="http://schemas.openxmlformats.org/spreadsheetml/2006/main" r="AF191" s="11">
        <ns0:v>10000000000</ns0:v>
      </ns0:c>
      <ns0:c xmlns:ns0="http://schemas.openxmlformats.org/spreadsheetml/2006/main" r="AG191" s="11">
        <ns0:v>100</ns0:v>
      </ns0:c>
      <ns0:c xmlns:ns0="http://schemas.openxmlformats.org/spreadsheetml/2006/main" r="AH191" s="11">
        <ns0:v>60</ns0:v>
      </ns0:c>
      <ns0:c xmlns:ns0="http://schemas.openxmlformats.org/spreadsheetml/2006/main" r="AI191" s="11">
        <ns0:v>18085.7889877154</ns0:v>
      </ns0:c>
      <ns0:c xmlns:ns0="http://schemas.openxmlformats.org/spreadsheetml/2006/main" r="AJ191" s="11" t="inlineStr">
        <ns0:is>
          <ns0:t>MY_LIB_C_RC</ns0:t>
        </ns0:is>
      </ns0:c>
      <ns0:c xmlns:ns0="http://schemas.openxmlformats.org/spreadsheetml/2006/main" r="AK191" s="11" t="inlineStr">
        <ns0:is>
          <ns0:t>Nominal C; DFmax at 1kHz; minimum insulation; no temperature/bias/ESL</ns0:t>
        </ns0:is>
      </ns0:c>
      <ns0:c xmlns:ns0="http://schemas.openxmlformats.org/spreadsheetml/2006/main" r="AL191" s="11" t="inlineStr">
        <ns0:is>
          <ns0:t>General</ns0:t>
        </ns0:is>
      </ns0:c>
      <ns0:c xmlns:ns0="http://schemas.openxmlformats.org/spreadsheetml/2006/main" r="AM191" s="11" t="inlineStr">
        <ns0:is>
          <ns0:t>Spice Subcircuit</ns0:t>
        </ns0:is>
      </ns0:c>
      <ns0:c xmlns:ns0="http://schemas.openxmlformats.org/spreadsheetml/2006/main" r="AN191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191" s="11" t="inlineStr">
        <ns0:is>
          <ns0:t>X</ns0:t>
        </ns0:is>
      </ns0:c>
      <ns0:c xmlns:ns0="http://schemas.openxmlformats.org/spreadsheetml/2006/main" r="AP191" s="11" t="inlineStr">
        <ns0:is>
          <ns0:t>(1:1),(2:2)</ns0:t>
        </ns0:is>
      </ns0:c>
      <ns0:c xmlns:ns0="http://schemas.openxmlformats.org/spreadsheetml/2006/main" r="AQ191" s="11" t="inlineStr">
        <ns0:is>
          <ns0:t>Simulation\Capacitors\MY_LIB_C_RC.ckt</ns0:t>
        </ns0:is>
      </ns0:c>
    </ns0:row>
    <ns0:row r="192" ht="30" customHeight="1">
      <ns0:c r="A192" t="str" s="14">
        <ns0:v>C0193</ns0:v>
      </ns0:c>
      <ns0:c r="B192" t="str" s="14">
        <ns0:v>Конденсатор</ns0:v>
      </ns0:c>
      <ns0:c r="C192" t="str" s="14">
        <ns0:v>270p</ns0:v>
      </ns0:c>
      <ns0:c r="D192" t="str" s="11">
        <ns0:f>SUBSTITUTE(SUBSTITUTE(SUBSTITUTE(SUBSTITUTE(C192,"p"," пФ"),"n"," нФ"),"u"," мкФ"),".",",")</ns0:f>
        <ns0:v>270 пФ</ns0:v>
      </ns0:c>
      <ns0:c r="E192" t="str" s="14">
        <ns0:v>±10%</ns0:v>
      </ns0:c>
      <ns0:c r="F192" s="14"/>
      <ns0:c r="G192" t="str" s="14">
        <ns0:v>100 В</ns0:v>
      </ns0:c>
      <ns0:c r="H192" t="str" s="14">
        <ns0:v>X7R</ns0:v>
      </ns0:c>
      <ns0:c r="I192" t="str" s="15">
        <ns0:v>0603</ns0:v>
      </ns0:c>
      <ns0:c r="J192" t="str" s="14">
        <ns0:v>YAGEO</ns0:v>
      </ns0:c>
      <ns0:c r="K192" t="str" s="14">
        <ns0:v>CC0603KRX7R0BB271</ns0:v>
      </ns0:c>
      <ns0:c r="L192" t="str" s="11">
        <ns0:f>B192&amp;" "&amp;D192&amp;" "&amp;E192&amp;" "&amp;G192&amp;" "&amp;H192&amp;" "&amp;I192</ns0:f>
        <ns0:v>Конденсатор 270 пФ ±10% 100 В X7R 0603</ns0:v>
      </ns0:c>
      <ns0:c r="M192" t="str" s="13">
        <ns0:v>C</ns0:v>
      </ns0:c>
      <ns0:c r="N192" t="str" s="13">
        <ns0:v>Symbols\MY_LIB_Capacitors.SchLib</ns0:v>
      </ns0:c>
      <ns0:c r="O192" t="str" s="13">
        <ns0:v>CAPC1608X90N</ns0:v>
      </ns0:c>
      <ns0:c r="P192" t="str" s="13">
        <ns0:v>Footprints\PBL - SMD Packages.PcbLib</ns0:v>
      </ns0:c>
      <ns0:c r="Q192" t="str" s="14">
        <ns0:v>YAGEO CC; список 20.10.2026</ns0:v>
      </ns0:c>
      <ns0:c r="R192" t="str" s="11">
        <ns0:f>D192</ns0:f>
        <ns0:v>270 пФ</ns0:v>
      </ns0:c>
      <ns0:c r="S192" t="str" s="11">
        <ns0:f>L192</ns0:f>
        <ns0:v>Конденсатор 270 пФ ±10% 100 В X7R 0603</ns0:v>
      </ns0:c>
      <x:c xmlns:x="http://schemas.openxmlformats.org/spreadsheetml/2006/main" r="T192" t="str" s="11">
        <x:v>C:\Users\Nomatin\Documents\Altium\MY_LIB\MY_LIB\Datasheets\YAGEO_CC_X7R.pdf</x:v>
      </x:c>
      <x:c xmlns:x="http://schemas.openxmlformats.org/spreadsheetml/2006/main" r="U192" t="str" s="11">
        <x:v>Даташит — локальный</x:v>
      </x:c>
      <x:c xmlns:x="http://schemas.openxmlformats.org/spreadsheetml/2006/main" r="V192" t="str" s="11">
        <x:v>C:\Users\Nomatin\Documents\Altium\MY_LIB\MY_LIB\Datasheets\YAGEO_CC_X7R.pdf</x:v>
      </x:c>
      <x:c xmlns:x="http://schemas.openxmlformats.org/spreadsheetml/2006/main" r="W192" t="str" s="11">
        <x:v>Даташит — производитель</x:v>
      </x:c>
      <x:c xmlns:x="http://schemas.openxmlformats.org/spreadsheetml/2006/main" r="X192" t="str" s="11">
        <x:v>https://yageogroup.com/content/datasheet/asset/file/UPY-GPHC_X7R_6_3V-TO-250V</x:v>
      </x:c>
      <x:c xmlns:x="http://schemas.openxmlformats.org/spreadsheetml/2006/main" r="Y192" t="str" s="11">
        <x:v>C:\Users\Nomatin\Documents\Altium\MY_LIB\MY_LIB\Datasheets\YAGEO_CC_X7R.pdf</x:v>
      </x:c>
      <ns0:c xmlns:ns0="http://schemas.openxmlformats.org/spreadsheetml/2006/main" r="Z192" s="11">
        <ns0:v>2.7e-10</ns0:v>
      </ns0:c>
      <ns0:c xmlns:ns0="http://schemas.openxmlformats.org/spreadsheetml/2006/main" r="AA192" s="11">
        <ns0:v>0.025</ns0:v>
      </ns0:c>
      <ns0:c xmlns:ns0="http://schemas.openxmlformats.org/spreadsheetml/2006/main" r="AB192" s="11">
        <ns0:v>1000</ns0:v>
      </ns0:c>
      <ns0:c xmlns:ns0="http://schemas.openxmlformats.org/spreadsheetml/2006/main" r="AC192" s="11">
        <ns0:v>1</ns0:v>
      </ns0:c>
      <ns0:c xmlns:ns0="http://schemas.openxmlformats.org/spreadsheetml/2006/main" r="AD192" s="11">
        <ns0:v>20</ns0:v>
      </ns0:c>
      <ns0:c xmlns:ns0="http://schemas.openxmlformats.org/spreadsheetml/2006/main" r="AE192" s="11">
        <ns0:v>500</ns0:v>
      </ns0:c>
      <ns0:c xmlns:ns0="http://schemas.openxmlformats.org/spreadsheetml/2006/main" r="AF192" s="11">
        <ns0:v>10000000000</ns0:v>
      </ns0:c>
      <ns0:c xmlns:ns0="http://schemas.openxmlformats.org/spreadsheetml/2006/main" r="AG192" s="11">
        <ns0:v>100</ns0:v>
      </ns0:c>
      <ns0:c xmlns:ns0="http://schemas.openxmlformats.org/spreadsheetml/2006/main" r="AH192" s="11">
        <ns0:v>60</ns0:v>
      </ns0:c>
      <ns0:c xmlns:ns0="http://schemas.openxmlformats.org/spreadsheetml/2006/main" r="AI192" s="11">
        <ns0:v>14736.5688048051</ns0:v>
      </ns0:c>
      <ns0:c xmlns:ns0="http://schemas.openxmlformats.org/spreadsheetml/2006/main" r="AJ192" s="11" t="inlineStr">
        <ns0:is>
          <ns0:t>MY_LIB_C_RC</ns0:t>
        </ns0:is>
      </ns0:c>
      <ns0:c xmlns:ns0="http://schemas.openxmlformats.org/spreadsheetml/2006/main" r="AK192" s="11" t="inlineStr">
        <ns0:is>
          <ns0:t>Nominal C; DFmax at 1kHz; minimum insulation; no temperature/bias/ESL</ns0:t>
        </ns0:is>
      </ns0:c>
      <ns0:c xmlns:ns0="http://schemas.openxmlformats.org/spreadsheetml/2006/main" r="AL192" s="11" t="inlineStr">
        <ns0:is>
          <ns0:t>General</ns0:t>
        </ns0:is>
      </ns0:c>
      <ns0:c xmlns:ns0="http://schemas.openxmlformats.org/spreadsheetml/2006/main" r="AM192" s="11" t="inlineStr">
        <ns0:is>
          <ns0:t>Spice Subcircuit</ns0:t>
        </ns0:is>
      </ns0:c>
      <ns0:c xmlns:ns0="http://schemas.openxmlformats.org/spreadsheetml/2006/main" r="AN192" s="11" t="inlineStr">
        <ns0:is>
          <ns0:t>@DESIGNATOR %1 %2 @MODEL PARAMS: Cvalue=2.7e-10 Rsvalue=14736.5688048051 Rinsvalue=10000000000</ns0:t>
        </ns0:is>
      </ns0:c>
      <ns0:c xmlns:ns0="http://schemas.openxmlformats.org/spreadsheetml/2006/main" r="AO192" s="11" t="inlineStr">
        <ns0:is>
          <ns0:t>X</ns0:t>
        </ns0:is>
      </ns0:c>
      <ns0:c xmlns:ns0="http://schemas.openxmlformats.org/spreadsheetml/2006/main" r="AP192" s="11" t="inlineStr">
        <ns0:is>
          <ns0:t>(1:1),(2:2)</ns0:t>
        </ns0:is>
      </ns0:c>
      <ns0:c xmlns:ns0="http://schemas.openxmlformats.org/spreadsheetml/2006/main" r="AQ192" s="11" t="inlineStr">
        <ns0:is>
          <ns0:t>Simulation\Capacitors\MY_LIB_C_RC.ckt</ns0:t>
        </ns0:is>
      </ns0:c>
    </ns0:row>
    <ns0:row r="193" ht="30" customHeight="1">
      <ns0:c r="A193" t="str" s="14">
        <ns0:v>C0194</ns0:v>
      </ns0:c>
      <ns0:c r="B193" t="str" s="14">
        <ns0:v>Конденсатор</ns0:v>
      </ns0:c>
      <ns0:c r="C193" t="str" s="14">
        <ns0:v>300p</ns0:v>
      </ns0:c>
      <ns0:c r="D193" t="str" s="11">
        <ns0:f>SUBSTITUTE(SUBSTITUTE(SUBSTITUTE(SUBSTITUTE(C193,"p"," пФ"),"n"," нФ"),"u"," мкФ"),".",",")</ns0:f>
        <ns0:v>300 пФ</ns0:v>
      </ns0:c>
      <ns0:c r="E193" t="str" s="14">
        <ns0:v>±10%</ns0:v>
      </ns0:c>
      <ns0:c r="F193" s="14"/>
      <ns0:c r="G193" t="str" s="14">
        <ns0:v>50 В</ns0:v>
      </ns0:c>
      <ns0:c r="H193" t="str" s="14">
        <ns0:v>X7R</ns0:v>
      </ns0:c>
      <ns0:c r="I193" t="str" s="15">
        <ns0:v>0603</ns0:v>
      </ns0:c>
      <ns0:c r="J193" t="str" s="14">
        <ns0:v>YAGEO</ns0:v>
      </ns0:c>
      <ns0:c r="K193" t="str" s="14">
        <ns0:v>CC0603KRX7R9BB301</ns0:v>
      </ns0:c>
      <ns0:c r="L193" t="str" s="11">
        <ns0:f>B193&amp;" "&amp;D193&amp;" "&amp;E193&amp;" "&amp;G193&amp;" "&amp;H193&amp;" "&amp;I193</ns0:f>
        <ns0:v>Конденсатор 300 пФ ±10% 50 В X7R 0603</ns0:v>
      </ns0:c>
      <ns0:c r="M193" t="str" s="13">
        <ns0:v>C</ns0:v>
      </ns0:c>
      <ns0:c r="N193" t="str" s="13">
        <ns0:v>Symbols\MY_LIB_Capacitors.SchLib</ns0:v>
      </ns0:c>
      <ns0:c r="O193" t="str" s="13">
        <ns0:v>CAPC1608X90N</ns0:v>
      </ns0:c>
      <ns0:c r="P193" t="str" s="13">
        <ns0:v>Footprints\PBL - SMD Packages.PcbLib</ns0:v>
      </ns0:c>
      <ns0:c r="Q193" t="str" s="14">
        <ns0:v>YAGEO CC; список 20.10.2026</ns0:v>
      </ns0:c>
      <ns0:c r="R193" t="str" s="11">
        <ns0:f>D193</ns0:f>
        <ns0:v>300 пФ</ns0:v>
      </ns0:c>
      <ns0:c r="S193" t="str" s="11">
        <ns0:f>L193</ns0:f>
        <ns0:v>Конденсатор 300 пФ ±10% 50 В X7R 0603</ns0:v>
      </ns0:c>
      <x:c xmlns:x="http://schemas.openxmlformats.org/spreadsheetml/2006/main" r="T193" t="str" s="11">
        <x:v>C:\Users\Nomatin\Documents\Altium\MY_LIB\MY_LIB\Datasheets\YAGEO_CC_X7R.pdf</x:v>
      </x:c>
      <x:c xmlns:x="http://schemas.openxmlformats.org/spreadsheetml/2006/main" r="U193" t="str" s="11">
        <x:v>Даташит — локальный</x:v>
      </x:c>
      <x:c xmlns:x="http://schemas.openxmlformats.org/spreadsheetml/2006/main" r="V193" t="str" s="11">
        <x:v>C:\Users\Nomatin\Documents\Altium\MY_LIB\MY_LIB\Datasheets\YAGEO_CC_X7R.pdf</x:v>
      </x:c>
      <x:c xmlns:x="http://schemas.openxmlformats.org/spreadsheetml/2006/main" r="W193" t="str" s="11">
        <x:v>Даташит — производитель</x:v>
      </x:c>
      <x:c xmlns:x="http://schemas.openxmlformats.org/spreadsheetml/2006/main" r="X193" t="str" s="11">
        <x:v>https://yageogroup.com/content/datasheet/asset/file/UPY-GPHC_X7R_6_3V-TO-250V</x:v>
      </x:c>
      <x:c xmlns:x="http://schemas.openxmlformats.org/spreadsheetml/2006/main" r="Y193" t="str" s="11">
        <x:v>C:\Users\Nomatin\Documents\Altium\MY_LIB\MY_LIB\Datasheets\YAGEO_CC_X7R.pdf</x:v>
      </x:c>
      <ns0:c xmlns:ns0="http://schemas.openxmlformats.org/spreadsheetml/2006/main" r="Z193" s="11">
        <ns0:v>3e-10</ns0:v>
      </ns0:c>
      <ns0:c xmlns:ns0="http://schemas.openxmlformats.org/spreadsheetml/2006/main" r="AA193" s="11">
        <ns0:v>0.025</ns0:v>
      </ns0:c>
      <ns0:c xmlns:ns0="http://schemas.openxmlformats.org/spreadsheetml/2006/main" r="AB193" s="11">
        <ns0:v>1000</ns0:v>
      </ns0:c>
      <ns0:c xmlns:ns0="http://schemas.openxmlformats.org/spreadsheetml/2006/main" r="AC193" s="11">
        <ns0:v>1</ns0:v>
      </ns0:c>
      <ns0:c xmlns:ns0="http://schemas.openxmlformats.org/spreadsheetml/2006/main" r="AD193" s="11">
        <ns0:v>20</ns0:v>
      </ns0:c>
      <ns0:c xmlns:ns0="http://schemas.openxmlformats.org/spreadsheetml/2006/main" r="AE193" s="11">
        <ns0:v>500</ns0:v>
      </ns0:c>
      <ns0:c xmlns:ns0="http://schemas.openxmlformats.org/spreadsheetml/2006/main" r="AF193" s="11">
        <ns0:v>10000000000</ns0:v>
      </ns0:c>
      <ns0:c xmlns:ns0="http://schemas.openxmlformats.org/spreadsheetml/2006/main" r="AG193" s="11">
        <ns0:v>50</ns0:v>
      </ns0:c>
      <ns0:c xmlns:ns0="http://schemas.openxmlformats.org/spreadsheetml/2006/main" r="AH193" s="11">
        <ns0:v>60</ns0:v>
      </ns0:c>
      <ns0:c xmlns:ns0="http://schemas.openxmlformats.org/spreadsheetml/2006/main" r="AI193" s="11">
        <ns0:v>13262.9119243246</ns0:v>
      </ns0:c>
      <ns0:c xmlns:ns0="http://schemas.openxmlformats.org/spreadsheetml/2006/main" r="AJ193" s="11" t="inlineStr">
        <ns0:is>
          <ns0:t>MY_LIB_C_RC</ns0:t>
        </ns0:is>
      </ns0:c>
      <ns0:c xmlns:ns0="http://schemas.openxmlformats.org/spreadsheetml/2006/main" r="AK193" s="11" t="inlineStr">
        <ns0:is>
          <ns0:t>Nominal C; DFmax at 1kHz; minimum insulation; no temperature/bias/ESL</ns0:t>
        </ns0:is>
      </ns0:c>
      <ns0:c xmlns:ns0="http://schemas.openxmlformats.org/spreadsheetml/2006/main" r="AL193" s="11" t="inlineStr">
        <ns0:is>
          <ns0:t>General</ns0:t>
        </ns0:is>
      </ns0:c>
      <ns0:c xmlns:ns0="http://schemas.openxmlformats.org/spreadsheetml/2006/main" r="AM193" s="11" t="inlineStr">
        <ns0:is>
          <ns0:t>Spice Subcircuit</ns0:t>
        </ns0:is>
      </ns0:c>
      <ns0:c xmlns:ns0="http://schemas.openxmlformats.org/spreadsheetml/2006/main" r="AN193" s="11" t="inlineStr">
        <ns0:is>
          <ns0:t>@DESIGNATOR %1 %2 @MODEL PARAMS: Cvalue=3e-10 Rsvalue=13262.9119243246 Rinsvalue=10000000000</ns0:t>
        </ns0:is>
      </ns0:c>
      <ns0:c xmlns:ns0="http://schemas.openxmlformats.org/spreadsheetml/2006/main" r="AO193" s="11" t="inlineStr">
        <ns0:is>
          <ns0:t>X</ns0:t>
        </ns0:is>
      </ns0:c>
      <ns0:c xmlns:ns0="http://schemas.openxmlformats.org/spreadsheetml/2006/main" r="AP193" s="11" t="inlineStr">
        <ns0:is>
          <ns0:t>(1:1),(2:2)</ns0:t>
        </ns0:is>
      </ns0:c>
      <ns0:c xmlns:ns0="http://schemas.openxmlformats.org/spreadsheetml/2006/main" r="AQ193" s="11" t="inlineStr">
        <ns0:is>
          <ns0:t>Simulation\Capacitors\MY_LIB_C_RC.ckt</ns0:t>
        </ns0:is>
      </ns0:c>
    </ns0:row>
    <ns0:row r="194" ht="30" customHeight="1">
      <ns0:c r="A194" t="str" s="14">
        <ns0:v>C0195</ns0:v>
      </ns0:c>
      <ns0:c r="B194" t="str" s="14">
        <ns0:v>Конденсатор</ns0:v>
      </ns0:c>
      <ns0:c r="C194" t="str" s="14">
        <ns0:v>330p</ns0:v>
      </ns0:c>
      <ns0:c r="D194" t="str" s="11">
        <ns0:f>SUBSTITUTE(SUBSTITUTE(SUBSTITUTE(SUBSTITUTE(C194,"p"," пФ"),"n"," нФ"),"u"," мкФ"),".",",")</ns0:f>
        <ns0:v>330 пФ</ns0:v>
      </ns0:c>
      <ns0:c r="E194" t="str" s="14">
        <ns0:v>±10%</ns0:v>
      </ns0:c>
      <ns0:c r="F194" s="14"/>
      <ns0:c r="G194" t="str" s="14">
        <ns0:v>100 В</ns0:v>
      </ns0:c>
      <ns0:c r="H194" t="str" s="14">
        <ns0:v>X7R</ns0:v>
      </ns0:c>
      <ns0:c r="I194" t="str" s="15">
        <ns0:v>0603</ns0:v>
      </ns0:c>
      <ns0:c r="J194" t="str" s="14">
        <ns0:v>YAGEO</ns0:v>
      </ns0:c>
      <ns0:c r="K194" t="str" s="14">
        <ns0:v>CC0603KRX7R0BB331</ns0:v>
      </ns0:c>
      <ns0:c r="L194" t="str" s="11">
        <ns0:f>B194&amp;" "&amp;D194&amp;" "&amp;E194&amp;" "&amp;G194&amp;" "&amp;H194&amp;" "&amp;I194</ns0:f>
        <ns0:v>Конденсатор 330 пФ ±10% 100 В X7R 0603</ns0:v>
      </ns0:c>
      <ns0:c r="M194" t="str" s="13">
        <ns0:v>C</ns0:v>
      </ns0:c>
      <ns0:c r="N194" t="str" s="13">
        <ns0:v>Symbols\MY_LIB_Capacitors.SchLib</ns0:v>
      </ns0:c>
      <ns0:c r="O194" t="str" s="13">
        <ns0:v>CAPC1608X90N</ns0:v>
      </ns0:c>
      <ns0:c r="P194" t="str" s="13">
        <ns0:v>Footprints\PBL - SMD Packages.PcbLib</ns0:v>
      </ns0:c>
      <ns0:c r="Q194" t="str" s="14">
        <ns0:v>YAGEO CC; список 20.10.2026</ns0:v>
      </ns0:c>
      <ns0:c r="R194" t="str" s="11">
        <ns0:f>D194</ns0:f>
        <ns0:v>330 пФ</ns0:v>
      </ns0:c>
      <ns0:c r="S194" t="str" s="11">
        <ns0:f>L194</ns0:f>
        <ns0:v>Конденсатор 330 пФ ±10% 100 В X7R 0603</ns0:v>
      </ns0:c>
      <x:c xmlns:x="http://schemas.openxmlformats.org/spreadsheetml/2006/main" r="T194" t="str" s="11">
        <x:v>C:\Users\Nomatin\Documents\Altium\MY_LIB\MY_LIB\Datasheets\YAGEO_CC_X7R.pdf</x:v>
      </x:c>
      <x:c xmlns:x="http://schemas.openxmlformats.org/spreadsheetml/2006/main" r="U194" t="str" s="11">
        <x:v>Даташит — локальный</x:v>
      </x:c>
      <x:c xmlns:x="http://schemas.openxmlformats.org/spreadsheetml/2006/main" r="V194" t="str" s="11">
        <x:v>C:\Users\Nomatin\Documents\Altium\MY_LIB\MY_LIB\Datasheets\YAGEO_CC_X7R.pdf</x:v>
      </x:c>
      <x:c xmlns:x="http://schemas.openxmlformats.org/spreadsheetml/2006/main" r="W194" t="str" s="11">
        <x:v>Даташит — производитель</x:v>
      </x:c>
      <x:c xmlns:x="http://schemas.openxmlformats.org/spreadsheetml/2006/main" r="X194" t="str" s="11">
        <x:v>https://yageogroup.com/content/datasheet/asset/file/UPY-GPHC_X7R_6_3V-TO-250V</x:v>
      </x:c>
      <x:c xmlns:x="http://schemas.openxmlformats.org/spreadsheetml/2006/main" r="Y194" t="str" s="11">
        <x:v>C:\Users\Nomatin\Documents\Altium\MY_LIB\MY_LIB\Datasheets\YAGEO_CC_X7R.pdf</x:v>
      </x:c>
      <ns0:c xmlns:ns0="http://schemas.openxmlformats.org/spreadsheetml/2006/main" r="Z194" s="11">
        <ns0:v>3.3e-10</ns0:v>
      </ns0:c>
      <ns0:c xmlns:ns0="http://schemas.openxmlformats.org/spreadsheetml/2006/main" r="AA194" s="11">
        <ns0:v>0.025</ns0:v>
      </ns0:c>
      <ns0:c xmlns:ns0="http://schemas.openxmlformats.org/spreadsheetml/2006/main" r="AB194" s="11">
        <ns0:v>1000</ns0:v>
      </ns0:c>
      <ns0:c xmlns:ns0="http://schemas.openxmlformats.org/spreadsheetml/2006/main" r="AC194" s="11">
        <ns0:v>1</ns0:v>
      </ns0:c>
      <ns0:c xmlns:ns0="http://schemas.openxmlformats.org/spreadsheetml/2006/main" r="AD194" s="11">
        <ns0:v>20</ns0:v>
      </ns0:c>
      <ns0:c xmlns:ns0="http://schemas.openxmlformats.org/spreadsheetml/2006/main" r="AE194" s="11">
        <ns0:v>500</ns0:v>
      </ns0:c>
      <ns0:c xmlns:ns0="http://schemas.openxmlformats.org/spreadsheetml/2006/main" r="AF194" s="11">
        <ns0:v>10000000000</ns0:v>
      </ns0:c>
      <ns0:c xmlns:ns0="http://schemas.openxmlformats.org/spreadsheetml/2006/main" r="AG194" s="11">
        <ns0:v>100</ns0:v>
      </ns0:c>
      <ns0:c xmlns:ns0="http://schemas.openxmlformats.org/spreadsheetml/2006/main" r="AH194" s="11">
        <ns0:v>60</ns0:v>
      </ns0:c>
      <ns0:c xmlns:ns0="http://schemas.openxmlformats.org/spreadsheetml/2006/main" r="AI194" s="11">
        <ns0:v>12057.1926584769</ns0:v>
      </ns0:c>
      <ns0:c xmlns:ns0="http://schemas.openxmlformats.org/spreadsheetml/2006/main" r="AJ194" s="11" t="inlineStr">
        <ns0:is>
          <ns0:t>MY_LIB_C_RC</ns0:t>
        </ns0:is>
      </ns0:c>
      <ns0:c xmlns:ns0="http://schemas.openxmlformats.org/spreadsheetml/2006/main" r="AK194" s="11" t="inlineStr">
        <ns0:is>
          <ns0:t>Nominal C; DFmax at 1kHz; minimum insulation; no temperature/bias/ESL</ns0:t>
        </ns0:is>
      </ns0:c>
      <ns0:c xmlns:ns0="http://schemas.openxmlformats.org/spreadsheetml/2006/main" r="AL194" s="11" t="inlineStr">
        <ns0:is>
          <ns0:t>General</ns0:t>
        </ns0:is>
      </ns0:c>
      <ns0:c xmlns:ns0="http://schemas.openxmlformats.org/spreadsheetml/2006/main" r="AM194" s="11" t="inlineStr">
        <ns0:is>
          <ns0:t>Spice Subcircuit</ns0:t>
        </ns0:is>
      </ns0:c>
      <ns0:c xmlns:ns0="http://schemas.openxmlformats.org/spreadsheetml/2006/main" r="AN194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194" s="11" t="inlineStr">
        <ns0:is>
          <ns0:t>X</ns0:t>
        </ns0:is>
      </ns0:c>
      <ns0:c xmlns:ns0="http://schemas.openxmlformats.org/spreadsheetml/2006/main" r="AP194" s="11" t="inlineStr">
        <ns0:is>
          <ns0:t>(1:1),(2:2)</ns0:t>
        </ns0:is>
      </ns0:c>
      <ns0:c xmlns:ns0="http://schemas.openxmlformats.org/spreadsheetml/2006/main" r="AQ194" s="11" t="inlineStr">
        <ns0:is>
          <ns0:t>Simulation\Capacitors\MY_LIB_C_RC.ckt</ns0:t>
        </ns0:is>
      </ns0:c>
    </ns0:row>
    <ns0:row r="195" ht="30" customHeight="1">
      <ns0:c r="A195" t="str" s="14">
        <ns0:v>C0196</ns0:v>
      </ns0:c>
      <ns0:c r="B195" t="str" s="14">
        <ns0:v>Конденсатор</ns0:v>
      </ns0:c>
      <ns0:c r="C195" t="str" s="14">
        <ns0:v>360p</ns0:v>
      </ns0:c>
      <ns0:c r="D195" t="str" s="11">
        <ns0:f>SUBSTITUTE(SUBSTITUTE(SUBSTITUTE(SUBSTITUTE(C195,"p"," пФ"),"n"," нФ"),"u"," мкФ"),".",",")</ns0:f>
        <ns0:v>360 пФ</ns0:v>
      </ns0:c>
      <ns0:c r="E195" t="str" s="14">
        <ns0:v>±10%</ns0:v>
      </ns0:c>
      <ns0:c r="F195" s="14"/>
      <ns0:c r="G195" t="str" s="14">
        <ns0:v>50 В</ns0:v>
      </ns0:c>
      <ns0:c r="H195" t="str" s="14">
        <ns0:v>X7R</ns0:v>
      </ns0:c>
      <ns0:c r="I195" t="str" s="15">
        <ns0:v>0603</ns0:v>
      </ns0:c>
      <ns0:c r="J195" t="str" s="14">
        <ns0:v>YAGEO</ns0:v>
      </ns0:c>
      <ns0:c r="K195" t="str" s="14">
        <ns0:v>CC0603KRX7R9BB361</ns0:v>
      </ns0:c>
      <ns0:c r="L195" t="str" s="11">
        <ns0:f>B195&amp;" "&amp;D195&amp;" "&amp;E195&amp;" "&amp;G195&amp;" "&amp;H195&amp;" "&amp;I195</ns0:f>
        <ns0:v>Конденсатор 360 пФ ±10% 50 В X7R 0603</ns0:v>
      </ns0:c>
      <ns0:c r="M195" t="str" s="13">
        <ns0:v>C</ns0:v>
      </ns0:c>
      <ns0:c r="N195" t="str" s="13">
        <ns0:v>Symbols\MY_LIB_Capacitors.SchLib</ns0:v>
      </ns0:c>
      <ns0:c r="O195" t="str" s="13">
        <ns0:v>CAPC1608X90N</ns0:v>
      </ns0:c>
      <ns0:c r="P195" t="str" s="13">
        <ns0:v>Footprints\PBL - SMD Packages.PcbLib</ns0:v>
      </ns0:c>
      <ns0:c r="Q195" t="str" s="14">
        <ns0:v>YAGEO CC; список 20.10.2026</ns0:v>
      </ns0:c>
      <ns0:c r="R195" t="str" s="11">
        <ns0:f>D195</ns0:f>
        <ns0:v>360 пФ</ns0:v>
      </ns0:c>
      <ns0:c r="S195" t="str" s="11">
        <ns0:f>L195</ns0:f>
        <ns0:v>Конденсатор 360 пФ ±10% 50 В X7R 0603</ns0:v>
      </ns0:c>
      <x:c xmlns:x="http://schemas.openxmlformats.org/spreadsheetml/2006/main" r="T195" t="str" s="11">
        <x:v>C:\Users\Nomatin\Documents\Altium\MY_LIB\MY_LIB\Datasheets\YAGEO_CC_X7R.pdf</x:v>
      </x:c>
      <x:c xmlns:x="http://schemas.openxmlformats.org/spreadsheetml/2006/main" r="U195" t="str" s="11">
        <x:v>Даташит — локальный</x:v>
      </x:c>
      <x:c xmlns:x="http://schemas.openxmlformats.org/spreadsheetml/2006/main" r="V195" t="str" s="11">
        <x:v>C:\Users\Nomatin\Documents\Altium\MY_LIB\MY_LIB\Datasheets\YAGEO_CC_X7R.pdf</x:v>
      </x:c>
      <x:c xmlns:x="http://schemas.openxmlformats.org/spreadsheetml/2006/main" r="W195" t="str" s="11">
        <x:v>Даташит — производитель</x:v>
      </x:c>
      <x:c xmlns:x="http://schemas.openxmlformats.org/spreadsheetml/2006/main" r="X195" t="str" s="11">
        <x:v>https://yageogroup.com/content/datasheet/asset/file/UPY-GPHC_X7R_6_3V-TO-250V</x:v>
      </x:c>
      <x:c xmlns:x="http://schemas.openxmlformats.org/spreadsheetml/2006/main" r="Y195" t="str" s="11">
        <x:v>C:\Users\Nomatin\Documents\Altium\MY_LIB\MY_LIB\Datasheets\YAGEO_CC_X7R.pdf</x:v>
      </x:c>
      <ns0:c xmlns:ns0="http://schemas.openxmlformats.org/spreadsheetml/2006/main" r="Z195" s="11">
        <ns0:v>3.6e-10</ns0:v>
      </ns0:c>
      <ns0:c xmlns:ns0="http://schemas.openxmlformats.org/spreadsheetml/2006/main" r="AA195" s="11">
        <ns0:v>0.025</ns0:v>
      </ns0:c>
      <ns0:c xmlns:ns0="http://schemas.openxmlformats.org/spreadsheetml/2006/main" r="AB195" s="11">
        <ns0:v>1000</ns0:v>
      </ns0:c>
      <ns0:c xmlns:ns0="http://schemas.openxmlformats.org/spreadsheetml/2006/main" r="AC195" s="11">
        <ns0:v>1</ns0:v>
      </ns0:c>
      <ns0:c xmlns:ns0="http://schemas.openxmlformats.org/spreadsheetml/2006/main" r="AD195" s="11">
        <ns0:v>20</ns0:v>
      </ns0:c>
      <ns0:c xmlns:ns0="http://schemas.openxmlformats.org/spreadsheetml/2006/main" r="AE195" s="11">
        <ns0:v>500</ns0:v>
      </ns0:c>
      <ns0:c xmlns:ns0="http://schemas.openxmlformats.org/spreadsheetml/2006/main" r="AF195" s="11">
        <ns0:v>10000000000</ns0:v>
      </ns0:c>
      <ns0:c xmlns:ns0="http://schemas.openxmlformats.org/spreadsheetml/2006/main" r="AG195" s="11">
        <ns0:v>50</ns0:v>
      </ns0:c>
      <ns0:c xmlns:ns0="http://schemas.openxmlformats.org/spreadsheetml/2006/main" r="AH195" s="11">
        <ns0:v>60</ns0:v>
      </ns0:c>
      <ns0:c xmlns:ns0="http://schemas.openxmlformats.org/spreadsheetml/2006/main" r="AI195" s="11">
        <ns0:v>11052.4266036038</ns0:v>
      </ns0:c>
      <ns0:c xmlns:ns0="http://schemas.openxmlformats.org/spreadsheetml/2006/main" r="AJ195" s="11" t="inlineStr">
        <ns0:is>
          <ns0:t>MY_LIB_C_RC</ns0:t>
        </ns0:is>
      </ns0:c>
      <ns0:c xmlns:ns0="http://schemas.openxmlformats.org/spreadsheetml/2006/main" r="AK195" s="11" t="inlineStr">
        <ns0:is>
          <ns0:t>Nominal C; DFmax at 1kHz; minimum insulation; no temperature/bias/ESL</ns0:t>
        </ns0:is>
      </ns0:c>
      <ns0:c xmlns:ns0="http://schemas.openxmlformats.org/spreadsheetml/2006/main" r="AL195" s="11" t="inlineStr">
        <ns0:is>
          <ns0:t>General</ns0:t>
        </ns0:is>
      </ns0:c>
      <ns0:c xmlns:ns0="http://schemas.openxmlformats.org/spreadsheetml/2006/main" r="AM195" s="11" t="inlineStr">
        <ns0:is>
          <ns0:t>Spice Subcircuit</ns0:t>
        </ns0:is>
      </ns0:c>
      <ns0:c xmlns:ns0="http://schemas.openxmlformats.org/spreadsheetml/2006/main" r="AN195" s="11" t="inlineStr">
        <ns0:is>
          <ns0:t>@DESIGNATOR %1 %2 @MODEL PARAMS: Cvalue=3.6e-10 Rsvalue=11052.4266036038 Rinsvalue=10000000000</ns0:t>
        </ns0:is>
      </ns0:c>
      <ns0:c xmlns:ns0="http://schemas.openxmlformats.org/spreadsheetml/2006/main" r="AO195" s="11" t="inlineStr">
        <ns0:is>
          <ns0:t>X</ns0:t>
        </ns0:is>
      </ns0:c>
      <ns0:c xmlns:ns0="http://schemas.openxmlformats.org/spreadsheetml/2006/main" r="AP195" s="11" t="inlineStr">
        <ns0:is>
          <ns0:t>(1:1),(2:2)</ns0:t>
        </ns0:is>
      </ns0:c>
      <ns0:c xmlns:ns0="http://schemas.openxmlformats.org/spreadsheetml/2006/main" r="AQ195" s="11" t="inlineStr">
        <ns0:is>
          <ns0:t>Simulation\Capacitors\MY_LIB_C_RC.ckt</ns0:t>
        </ns0:is>
      </ns0:c>
    </ns0:row>
    <ns0:row r="196" ht="30" customHeight="1">
      <ns0:c r="A196" t="str" s="14">
        <ns0:v>C0197</ns0:v>
      </ns0:c>
      <ns0:c r="B196" t="str" s="14">
        <ns0:v>Конденсатор</ns0:v>
      </ns0:c>
      <ns0:c r="C196" t="str" s="14">
        <ns0:v>390p</ns0:v>
      </ns0:c>
      <ns0:c r="D196" t="str" s="11">
        <ns0:f>SUBSTITUTE(SUBSTITUTE(SUBSTITUTE(SUBSTITUTE(C196,"p"," пФ"),"n"," нФ"),"u"," мкФ"),".",",")</ns0:f>
        <ns0:v>390 пФ</ns0:v>
      </ns0:c>
      <ns0:c r="E196" t="str" s="14">
        <ns0:v>±10%</ns0:v>
      </ns0:c>
      <ns0:c r="F196" s="14"/>
      <ns0:c r="G196" t="str" s="14">
        <ns0:v>100 В</ns0:v>
      </ns0:c>
      <ns0:c r="H196" t="str" s="14">
        <ns0:v>X7R</ns0:v>
      </ns0:c>
      <ns0:c r="I196" t="str" s="15">
        <ns0:v>0603</ns0:v>
      </ns0:c>
      <ns0:c r="J196" t="str" s="14">
        <ns0:v>YAGEO</ns0:v>
      </ns0:c>
      <ns0:c r="K196" t="str" s="14">
        <ns0:v>CC0603KRX7R0BB391</ns0:v>
      </ns0:c>
      <ns0:c r="L196" t="str" s="11">
        <ns0:f>B196&amp;" "&amp;D196&amp;" "&amp;E196&amp;" "&amp;G196&amp;" "&amp;H196&amp;" "&amp;I196</ns0:f>
        <ns0:v>Конденсатор 390 пФ ±10% 100 В X7R 0603</ns0:v>
      </ns0:c>
      <ns0:c r="M196" t="str" s="13">
        <ns0:v>C</ns0:v>
      </ns0:c>
      <ns0:c r="N196" t="str" s="13">
        <ns0:v>Symbols\MY_LIB_Capacitors.SchLib</ns0:v>
      </ns0:c>
      <ns0:c r="O196" t="str" s="13">
        <ns0:v>CAPC1608X90N</ns0:v>
      </ns0:c>
      <ns0:c r="P196" t="str" s="13">
        <ns0:v>Footprints\PBL - SMD Packages.PcbLib</ns0:v>
      </ns0:c>
      <ns0:c r="Q196" t="str" s="14">
        <ns0:v>YAGEO CC; список 20.10.2026</ns0:v>
      </ns0:c>
      <ns0:c r="R196" t="str" s="11">
        <ns0:f>D196</ns0:f>
        <ns0:v>390 пФ</ns0:v>
      </ns0:c>
      <ns0:c r="S196" t="str" s="11">
        <ns0:f>L196</ns0:f>
        <ns0:v>Конденсатор 390 пФ ±10% 100 В X7R 0603</ns0:v>
      </ns0:c>
      <x:c xmlns:x="http://schemas.openxmlformats.org/spreadsheetml/2006/main" r="T196" t="str" s="11">
        <x:v>C:\Users\Nomatin\Documents\Altium\MY_LIB\MY_LIB\Datasheets\YAGEO_CC_X7R.pdf</x:v>
      </x:c>
      <x:c xmlns:x="http://schemas.openxmlformats.org/spreadsheetml/2006/main" r="U196" t="str" s="11">
        <x:v>Даташит — локальный</x:v>
      </x:c>
      <x:c xmlns:x="http://schemas.openxmlformats.org/spreadsheetml/2006/main" r="V196" t="str" s="11">
        <x:v>C:\Users\Nomatin\Documents\Altium\MY_LIB\MY_LIB\Datasheets\YAGEO_CC_X7R.pdf</x:v>
      </x:c>
      <x:c xmlns:x="http://schemas.openxmlformats.org/spreadsheetml/2006/main" r="W196" t="str" s="11">
        <x:v>Даташит — производитель</x:v>
      </x:c>
      <x:c xmlns:x="http://schemas.openxmlformats.org/spreadsheetml/2006/main" r="X196" t="str" s="11">
        <x:v>https://yageogroup.com/content/datasheet/asset/file/UPY-GPHC_X7R_6_3V-TO-250V</x:v>
      </x:c>
      <x:c xmlns:x="http://schemas.openxmlformats.org/spreadsheetml/2006/main" r="Y196" t="str" s="11">
        <x:v>C:\Users\Nomatin\Documents\Altium\MY_LIB\MY_LIB\Datasheets\YAGEO_CC_X7R.pdf</x:v>
      </x:c>
      <ns0:c xmlns:ns0="http://schemas.openxmlformats.org/spreadsheetml/2006/main" r="Z196" s="11">
        <ns0:v>3.9e-10</ns0:v>
      </ns0:c>
      <ns0:c xmlns:ns0="http://schemas.openxmlformats.org/spreadsheetml/2006/main" r="AA196" s="11">
        <ns0:v>0.025</ns0:v>
      </ns0:c>
      <ns0:c xmlns:ns0="http://schemas.openxmlformats.org/spreadsheetml/2006/main" r="AB196" s="11">
        <ns0:v>1000</ns0:v>
      </ns0:c>
      <ns0:c xmlns:ns0="http://schemas.openxmlformats.org/spreadsheetml/2006/main" r="AC196" s="11">
        <ns0:v>1</ns0:v>
      </ns0:c>
      <ns0:c xmlns:ns0="http://schemas.openxmlformats.org/spreadsheetml/2006/main" r="AD196" s="11">
        <ns0:v>20</ns0:v>
      </ns0:c>
      <ns0:c xmlns:ns0="http://schemas.openxmlformats.org/spreadsheetml/2006/main" r="AE196" s="11">
        <ns0:v>500</ns0:v>
      </ns0:c>
      <ns0:c xmlns:ns0="http://schemas.openxmlformats.org/spreadsheetml/2006/main" r="AF196" s="11">
        <ns0:v>10000000000</ns0:v>
      </ns0:c>
      <ns0:c xmlns:ns0="http://schemas.openxmlformats.org/spreadsheetml/2006/main" r="AG196" s="11">
        <ns0:v>100</ns0:v>
      </ns0:c>
      <ns0:c xmlns:ns0="http://schemas.openxmlformats.org/spreadsheetml/2006/main" r="AH196" s="11">
        <ns0:v>60</ns0:v>
      </ns0:c>
      <ns0:c xmlns:ns0="http://schemas.openxmlformats.org/spreadsheetml/2006/main" r="AI196" s="11">
        <ns0:v>10202.2399417882</ns0:v>
      </ns0:c>
      <ns0:c xmlns:ns0="http://schemas.openxmlformats.org/spreadsheetml/2006/main" r="AJ196" s="11" t="inlineStr">
        <ns0:is>
          <ns0:t>MY_LIB_C_RC</ns0:t>
        </ns0:is>
      </ns0:c>
      <ns0:c xmlns:ns0="http://schemas.openxmlformats.org/spreadsheetml/2006/main" r="AK196" s="11" t="inlineStr">
        <ns0:is>
          <ns0:t>Nominal C; DFmax at 1kHz; minimum insulation; no temperature/bias/ESL</ns0:t>
        </ns0:is>
      </ns0:c>
      <ns0:c xmlns:ns0="http://schemas.openxmlformats.org/spreadsheetml/2006/main" r="AL196" s="11" t="inlineStr">
        <ns0:is>
          <ns0:t>General</ns0:t>
        </ns0:is>
      </ns0:c>
      <ns0:c xmlns:ns0="http://schemas.openxmlformats.org/spreadsheetml/2006/main" r="AM196" s="11" t="inlineStr">
        <ns0:is>
          <ns0:t>Spice Subcircuit</ns0:t>
        </ns0:is>
      </ns0:c>
      <ns0:c xmlns:ns0="http://schemas.openxmlformats.org/spreadsheetml/2006/main" r="AN196" s="11" t="inlineStr">
        <ns0:is>
          <ns0:t>@DESIGNATOR %1 %2 @MODEL PARAMS: Cvalue=3.9e-10 Rsvalue=10202.2399417882 Rinsvalue=10000000000</ns0:t>
        </ns0:is>
      </ns0:c>
      <ns0:c xmlns:ns0="http://schemas.openxmlformats.org/spreadsheetml/2006/main" r="AO196" s="11" t="inlineStr">
        <ns0:is>
          <ns0:t>X</ns0:t>
        </ns0:is>
      </ns0:c>
      <ns0:c xmlns:ns0="http://schemas.openxmlformats.org/spreadsheetml/2006/main" r="AP196" s="11" t="inlineStr">
        <ns0:is>
          <ns0:t>(1:1),(2:2)</ns0:t>
        </ns0:is>
      </ns0:c>
      <ns0:c xmlns:ns0="http://schemas.openxmlformats.org/spreadsheetml/2006/main" r="AQ196" s="11" t="inlineStr">
        <ns0:is>
          <ns0:t>Simulation\Capacitors\MY_LIB_C_RC.ckt</ns0:t>
        </ns0:is>
      </ns0:c>
    </ns0:row>
    <ns0:row r="197" ht="30" customHeight="1">
      <ns0:c r="A197" t="str" s="14">
        <ns0:v>C0198</ns0:v>
      </ns0:c>
      <ns0:c r="B197" t="str" s="14">
        <ns0:v>Конденсатор</ns0:v>
      </ns0:c>
      <ns0:c r="C197" t="str" s="14">
        <ns0:v>430p</ns0:v>
      </ns0:c>
      <ns0:c r="D197" t="str" s="11">
        <ns0:f>SUBSTITUTE(SUBSTITUTE(SUBSTITUTE(SUBSTITUTE(C197,"p"," пФ"),"n"," нФ"),"u"," мкФ"),".",",")</ns0:f>
        <ns0:v>430 пФ</ns0:v>
      </ns0:c>
      <ns0:c r="E197" t="str" s="14">
        <ns0:v>±10%</ns0:v>
      </ns0:c>
      <ns0:c r="F197" s="14"/>
      <ns0:c r="G197" t="str" s="14">
        <ns0:v>50 В</ns0:v>
      </ns0:c>
      <ns0:c r="H197" t="str" s="14">
        <ns0:v>X7R</ns0:v>
      </ns0:c>
      <ns0:c r="I197" t="str" s="15">
        <ns0:v>0603</ns0:v>
      </ns0:c>
      <ns0:c r="J197" t="str" s="14">
        <ns0:v>YAGEO</ns0:v>
      </ns0:c>
      <ns0:c r="K197" t="str" s="14">
        <ns0:v>CC0603KRX7R9BB431</ns0:v>
      </ns0:c>
      <ns0:c r="L197" t="str" s="11">
        <ns0:f>B197&amp;" "&amp;D197&amp;" "&amp;E197&amp;" "&amp;G197&amp;" "&amp;H197&amp;" "&amp;I197</ns0:f>
        <ns0:v>Конденсатор 430 пФ ±10% 50 В X7R 0603</ns0:v>
      </ns0:c>
      <ns0:c r="M197" t="str" s="13">
        <ns0:v>C</ns0:v>
      </ns0:c>
      <ns0:c r="N197" t="str" s="13">
        <ns0:v>Symbols\MY_LIB_Capacitors.SchLib</ns0:v>
      </ns0:c>
      <ns0:c r="O197" t="str" s="13">
        <ns0:v>CAPC1608X90N</ns0:v>
      </ns0:c>
      <ns0:c r="P197" t="str" s="13">
        <ns0:v>Footprints\PBL - SMD Packages.PcbLib</ns0:v>
      </ns0:c>
      <ns0:c r="Q197" t="str" s="14">
        <ns0:v>YAGEO CC; список 20.10.2026</ns0:v>
      </ns0:c>
      <ns0:c r="R197" t="str" s="11">
        <ns0:f>D197</ns0:f>
        <ns0:v>430 пФ</ns0:v>
      </ns0:c>
      <ns0:c r="S197" t="str" s="11">
        <ns0:f>L197</ns0:f>
        <ns0:v>Конденсатор 430 пФ ±10% 50 В X7R 0603</ns0:v>
      </ns0:c>
      <x:c xmlns:x="http://schemas.openxmlformats.org/spreadsheetml/2006/main" r="T197" t="str" s="11">
        <x:v>C:\Users\Nomatin\Documents\Altium\MY_LIB\MY_LIB\Datasheets\YAGEO_CC_X7R.pdf</x:v>
      </x:c>
      <x:c xmlns:x="http://schemas.openxmlformats.org/spreadsheetml/2006/main" r="U197" t="str" s="11">
        <x:v>Даташит — локальный</x:v>
      </x:c>
      <x:c xmlns:x="http://schemas.openxmlformats.org/spreadsheetml/2006/main" r="V197" t="str" s="11">
        <x:v>C:\Users\Nomatin\Documents\Altium\MY_LIB\MY_LIB\Datasheets\YAGEO_CC_X7R.pdf</x:v>
      </x:c>
      <x:c xmlns:x="http://schemas.openxmlformats.org/spreadsheetml/2006/main" r="W197" t="str" s="11">
        <x:v>Даташит — производитель</x:v>
      </x:c>
      <x:c xmlns:x="http://schemas.openxmlformats.org/spreadsheetml/2006/main" r="X197" t="str" s="11">
        <x:v>https://yageogroup.com/content/datasheet/asset/file/UPY-GPHC_X7R_6_3V-TO-250V</x:v>
      </x:c>
      <x:c xmlns:x="http://schemas.openxmlformats.org/spreadsheetml/2006/main" r="Y197" t="str" s="11">
        <x:v>C:\Users\Nomatin\Documents\Altium\MY_LIB\MY_LIB\Datasheets\YAGEO_CC_X7R.pdf</x:v>
      </x:c>
      <ns0:c xmlns:ns0="http://schemas.openxmlformats.org/spreadsheetml/2006/main" r="Z197" s="11">
        <ns0:v>4.3e-10</ns0:v>
      </ns0:c>
      <ns0:c xmlns:ns0="http://schemas.openxmlformats.org/spreadsheetml/2006/main" r="AA197" s="11">
        <ns0:v>0.025</ns0:v>
      </ns0:c>
      <ns0:c xmlns:ns0="http://schemas.openxmlformats.org/spreadsheetml/2006/main" r="AB197" s="11">
        <ns0:v>1000</ns0:v>
      </ns0:c>
      <ns0:c xmlns:ns0="http://schemas.openxmlformats.org/spreadsheetml/2006/main" r="AC197" s="11">
        <ns0:v>1</ns0:v>
      </ns0:c>
      <ns0:c xmlns:ns0="http://schemas.openxmlformats.org/spreadsheetml/2006/main" r="AD197" s="11">
        <ns0:v>20</ns0:v>
      </ns0:c>
      <ns0:c xmlns:ns0="http://schemas.openxmlformats.org/spreadsheetml/2006/main" r="AE197" s="11">
        <ns0:v>500</ns0:v>
      </ns0:c>
      <ns0:c xmlns:ns0="http://schemas.openxmlformats.org/spreadsheetml/2006/main" r="AF197" s="11">
        <ns0:v>10000000000</ns0:v>
      </ns0:c>
      <ns0:c xmlns:ns0="http://schemas.openxmlformats.org/spreadsheetml/2006/main" r="AG197" s="11">
        <ns0:v>50</ns0:v>
      </ns0:c>
      <ns0:c xmlns:ns0="http://schemas.openxmlformats.org/spreadsheetml/2006/main" r="AH197" s="11">
        <ns0:v>60</ns0:v>
      </ns0:c>
      <ns0:c xmlns:ns0="http://schemas.openxmlformats.org/spreadsheetml/2006/main" r="AI197" s="11">
        <ns0:v>9253.19436580787</ns0:v>
      </ns0:c>
      <ns0:c xmlns:ns0="http://schemas.openxmlformats.org/spreadsheetml/2006/main" r="AJ197" s="11" t="inlineStr">
        <ns0:is>
          <ns0:t>MY_LIB_C_RC</ns0:t>
        </ns0:is>
      </ns0:c>
      <ns0:c xmlns:ns0="http://schemas.openxmlformats.org/spreadsheetml/2006/main" r="AK197" s="11" t="inlineStr">
        <ns0:is>
          <ns0:t>Nominal C; DFmax at 1kHz; minimum insulation; no temperature/bias/ESL</ns0:t>
        </ns0:is>
      </ns0:c>
      <ns0:c xmlns:ns0="http://schemas.openxmlformats.org/spreadsheetml/2006/main" r="AL197" s="11" t="inlineStr">
        <ns0:is>
          <ns0:t>General</ns0:t>
        </ns0:is>
      </ns0:c>
      <ns0:c xmlns:ns0="http://schemas.openxmlformats.org/spreadsheetml/2006/main" r="AM197" s="11" t="inlineStr">
        <ns0:is>
          <ns0:t>Spice Subcircuit</ns0:t>
        </ns0:is>
      </ns0:c>
      <ns0:c xmlns:ns0="http://schemas.openxmlformats.org/spreadsheetml/2006/main" r="AN197" s="11" t="inlineStr">
        <ns0:is>
          <ns0:t>@DESIGNATOR %1 %2 @MODEL PARAMS: Cvalue=4.3e-10 Rsvalue=9253.19436580787 Rinsvalue=10000000000</ns0:t>
        </ns0:is>
      </ns0:c>
      <ns0:c xmlns:ns0="http://schemas.openxmlformats.org/spreadsheetml/2006/main" r="AO197" s="11" t="inlineStr">
        <ns0:is>
          <ns0:t>X</ns0:t>
        </ns0:is>
      </ns0:c>
      <ns0:c xmlns:ns0="http://schemas.openxmlformats.org/spreadsheetml/2006/main" r="AP197" s="11" t="inlineStr">
        <ns0:is>
          <ns0:t>(1:1),(2:2)</ns0:t>
        </ns0:is>
      </ns0:c>
      <ns0:c xmlns:ns0="http://schemas.openxmlformats.org/spreadsheetml/2006/main" r="AQ197" s="11" t="inlineStr">
        <ns0:is>
          <ns0:t>Simulation\Capacitors\MY_LIB_C_RC.ckt</ns0:t>
        </ns0:is>
      </ns0:c>
    </ns0:row>
    <ns0:row r="198" ht="30" customHeight="1">
      <ns0:c r="A198" t="str" s="14">
        <ns0:v>C0199</ns0:v>
      </ns0:c>
      <ns0:c r="B198" t="str" s="14">
        <ns0:v>Конденсатор</ns0:v>
      </ns0:c>
      <ns0:c r="C198" t="str" s="14">
        <ns0:v>470p</ns0:v>
      </ns0:c>
      <ns0:c r="D198" t="str" s="11">
        <ns0:f>SUBSTITUTE(SUBSTITUTE(SUBSTITUTE(SUBSTITUTE(C198,"p"," пФ"),"n"," нФ"),"u"," мкФ"),".",",")</ns0:f>
        <ns0:v>470 пФ</ns0:v>
      </ns0:c>
      <ns0:c r="E198" t="str" s="14">
        <ns0:v>±10%</ns0:v>
      </ns0:c>
      <ns0:c r="F198" s="14"/>
      <ns0:c r="G198" t="str" s="14">
        <ns0:v>100 В</ns0:v>
      </ns0:c>
      <ns0:c r="H198" t="str" s="14">
        <ns0:v>X7R</ns0:v>
      </ns0:c>
      <ns0:c r="I198" t="str" s="15">
        <ns0:v>0603</ns0:v>
      </ns0:c>
      <ns0:c r="J198" t="str" s="14">
        <ns0:v>YAGEO</ns0:v>
      </ns0:c>
      <ns0:c r="K198" t="str" s="14">
        <ns0:v>CC0603KRX7R0BB471</ns0:v>
      </ns0:c>
      <ns0:c r="L198" t="str" s="11">
        <ns0:f>B198&amp;" "&amp;D198&amp;" "&amp;E198&amp;" "&amp;G198&amp;" "&amp;H198&amp;" "&amp;I198</ns0:f>
        <ns0:v>Конденсатор 470 пФ ±10% 100 В X7R 0603</ns0:v>
      </ns0:c>
      <ns0:c r="M198" t="str" s="13">
        <ns0:v>C</ns0:v>
      </ns0:c>
      <ns0:c r="N198" t="str" s="13">
        <ns0:v>Symbols\MY_LIB_Capacitors.SchLib</ns0:v>
      </ns0:c>
      <ns0:c r="O198" t="str" s="13">
        <ns0:v>CAPC1608X90N</ns0:v>
      </ns0:c>
      <ns0:c r="P198" t="str" s="13">
        <ns0:v>Footprints\PBL - SMD Packages.PcbLib</ns0:v>
      </ns0:c>
      <ns0:c r="Q198" t="str" s="14">
        <ns0:v>YAGEO CC; список 20.10.2026</ns0:v>
      </ns0:c>
      <ns0:c r="R198" t="str" s="11">
        <ns0:f>D198</ns0:f>
        <ns0:v>470 пФ</ns0:v>
      </ns0:c>
      <ns0:c r="S198" t="str" s="11">
        <ns0:f>L198</ns0:f>
        <ns0:v>Конденсатор 470 пФ ±10% 100 В X7R 0603</ns0:v>
      </ns0:c>
      <x:c xmlns:x="http://schemas.openxmlformats.org/spreadsheetml/2006/main" r="T198" t="str" s="11">
        <x:v>C:\Users\Nomatin\Documents\Altium\MY_LIB\MY_LIB\Datasheets\YAGEO_CC_X7R.pdf</x:v>
      </x:c>
      <x:c xmlns:x="http://schemas.openxmlformats.org/spreadsheetml/2006/main" r="U198" t="str" s="11">
        <x:v>Даташит — локальный</x:v>
      </x:c>
      <x:c xmlns:x="http://schemas.openxmlformats.org/spreadsheetml/2006/main" r="V198" t="str" s="11">
        <x:v>C:\Users\Nomatin\Documents\Altium\MY_LIB\MY_LIB\Datasheets\YAGEO_CC_X7R.pdf</x:v>
      </x:c>
      <x:c xmlns:x="http://schemas.openxmlformats.org/spreadsheetml/2006/main" r="W198" t="str" s="11">
        <x:v>Даташит — производитель</x:v>
      </x:c>
      <x:c xmlns:x="http://schemas.openxmlformats.org/spreadsheetml/2006/main" r="X198" t="str" s="11">
        <x:v>https://yageogroup.com/content/datasheet/asset/file/UPY-GPHC_X7R_6_3V-TO-250V</x:v>
      </x:c>
      <x:c xmlns:x="http://schemas.openxmlformats.org/spreadsheetml/2006/main" r="Y198" t="str" s="11">
        <x:v>C:\Users\Nomatin\Documents\Altium\MY_LIB\MY_LIB\Datasheets\YAGEO_CC_X7R.pdf</x:v>
      </x:c>
      <ns0:c xmlns:ns0="http://schemas.openxmlformats.org/spreadsheetml/2006/main" r="Z198" s="11">
        <ns0:v>4.7e-10</ns0:v>
      </ns0:c>
      <ns0:c xmlns:ns0="http://schemas.openxmlformats.org/spreadsheetml/2006/main" r="AA198" s="11">
        <ns0:v>0.025</ns0:v>
      </ns0:c>
      <ns0:c xmlns:ns0="http://schemas.openxmlformats.org/spreadsheetml/2006/main" r="AB198" s="11">
        <ns0:v>1000</ns0:v>
      </ns0:c>
      <ns0:c xmlns:ns0="http://schemas.openxmlformats.org/spreadsheetml/2006/main" r="AC198" s="11">
        <ns0:v>1</ns0:v>
      </ns0:c>
      <ns0:c xmlns:ns0="http://schemas.openxmlformats.org/spreadsheetml/2006/main" r="AD198" s="11">
        <ns0:v>20</ns0:v>
      </ns0:c>
      <ns0:c xmlns:ns0="http://schemas.openxmlformats.org/spreadsheetml/2006/main" r="AE198" s="11">
        <ns0:v>500</ns0:v>
      </ns0:c>
      <ns0:c xmlns:ns0="http://schemas.openxmlformats.org/spreadsheetml/2006/main" r="AF198" s="11">
        <ns0:v>10000000000</ns0:v>
      </ns0:c>
      <ns0:c xmlns:ns0="http://schemas.openxmlformats.org/spreadsheetml/2006/main" r="AG198" s="11">
        <ns0:v>100</ns0:v>
      </ns0:c>
      <ns0:c xmlns:ns0="http://schemas.openxmlformats.org/spreadsheetml/2006/main" r="AH198" s="11">
        <ns0:v>60</ns0:v>
      </ns0:c>
      <ns0:c xmlns:ns0="http://schemas.openxmlformats.org/spreadsheetml/2006/main" r="AI198" s="11">
        <ns0:v>8465.68846233486</ns0:v>
      </ns0:c>
      <ns0:c xmlns:ns0="http://schemas.openxmlformats.org/spreadsheetml/2006/main" r="AJ198" s="11" t="inlineStr">
        <ns0:is>
          <ns0:t>MY_LIB_C_RC</ns0:t>
        </ns0:is>
      </ns0:c>
      <ns0:c xmlns:ns0="http://schemas.openxmlformats.org/spreadsheetml/2006/main" r="AK198" s="11" t="inlineStr">
        <ns0:is>
          <ns0:t>Nominal C; DFmax at 1kHz; minimum insulation; no temperature/bias/ESL</ns0:t>
        </ns0:is>
      </ns0:c>
      <ns0:c xmlns:ns0="http://schemas.openxmlformats.org/spreadsheetml/2006/main" r="AL198" s="11" t="inlineStr">
        <ns0:is>
          <ns0:t>General</ns0:t>
        </ns0:is>
      </ns0:c>
      <ns0:c xmlns:ns0="http://schemas.openxmlformats.org/spreadsheetml/2006/main" r="AM198" s="11" t="inlineStr">
        <ns0:is>
          <ns0:t>Spice Subcircuit</ns0:t>
        </ns0:is>
      </ns0:c>
      <ns0:c xmlns:ns0="http://schemas.openxmlformats.org/spreadsheetml/2006/main" r="AN198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198" s="11" t="inlineStr">
        <ns0:is>
          <ns0:t>X</ns0:t>
        </ns0:is>
      </ns0:c>
      <ns0:c xmlns:ns0="http://schemas.openxmlformats.org/spreadsheetml/2006/main" r="AP198" s="11" t="inlineStr">
        <ns0:is>
          <ns0:t>(1:1),(2:2)</ns0:t>
        </ns0:is>
      </ns0:c>
      <ns0:c xmlns:ns0="http://schemas.openxmlformats.org/spreadsheetml/2006/main" r="AQ198" s="11" t="inlineStr">
        <ns0:is>
          <ns0:t>Simulation\Capacitors\MY_LIB_C_RC.ckt</ns0:t>
        </ns0:is>
      </ns0:c>
    </ns0:row>
    <ns0:row r="199" ht="30" customHeight="1">
      <ns0:c r="A199" t="str" s="14">
        <ns0:v>C0200</ns0:v>
      </ns0:c>
      <ns0:c r="B199" t="str" s="14">
        <ns0:v>Конденсатор</ns0:v>
      </ns0:c>
      <ns0:c r="C199" t="str" s="14">
        <ns0:v>500p</ns0:v>
      </ns0:c>
      <ns0:c r="D199" t="str" s="11">
        <ns0:f>SUBSTITUTE(SUBSTITUTE(SUBSTITUTE(SUBSTITUTE(C199,"p"," пФ"),"n"," нФ"),"u"," мкФ"),".",",")</ns0:f>
        <ns0:v>500 пФ</ns0:v>
      </ns0:c>
      <ns0:c r="E199" t="str" s="14">
        <ns0:v>±10%</ns0:v>
      </ns0:c>
      <ns0:c r="F199" s="14"/>
      <ns0:c r="G199" t="str" s="14">
        <ns0:v>50 В</ns0:v>
      </ns0:c>
      <ns0:c r="H199" t="str" s="14">
        <ns0:v>X7R</ns0:v>
      </ns0:c>
      <ns0:c r="I199" t="str" s="15">
        <ns0:v>0603</ns0:v>
      </ns0:c>
      <ns0:c r="J199" t="str" s="14">
        <ns0:v>YAGEO</ns0:v>
      </ns0:c>
      <ns0:c r="K199" t="str" s="14">
        <ns0:v>CC0603KRX7R9BB501</ns0:v>
      </ns0:c>
      <ns0:c r="L199" t="str" s="11">
        <ns0:f>B199&amp;" "&amp;D199&amp;" "&amp;E199&amp;" "&amp;G199&amp;" "&amp;H199&amp;" "&amp;I199</ns0:f>
        <ns0:v>Конденсатор 500 пФ ±10% 50 В X7R 0603</ns0:v>
      </ns0:c>
      <ns0:c r="M199" t="str" s="13">
        <ns0:v>C</ns0:v>
      </ns0:c>
      <ns0:c r="N199" t="str" s="13">
        <ns0:v>Symbols\MY_LIB_Capacitors.SchLib</ns0:v>
      </ns0:c>
      <ns0:c r="O199" t="str" s="13">
        <ns0:v>CAPC1608X90N</ns0:v>
      </ns0:c>
      <ns0:c r="P199" t="str" s="13">
        <ns0:v>Footprints\PBL - SMD Packages.PcbLib</ns0:v>
      </ns0:c>
      <ns0:c r="Q199" t="str" s="14">
        <ns0:v>YAGEO CC; список 20.10.2026</ns0:v>
      </ns0:c>
      <ns0:c r="R199" t="str" s="11">
        <ns0:f>D199</ns0:f>
        <ns0:v>500 пФ</ns0:v>
      </ns0:c>
      <ns0:c r="S199" t="str" s="11">
        <ns0:f>L199</ns0:f>
        <ns0:v>Конденсатор 500 пФ ±10% 50 В X7R 0603</ns0:v>
      </ns0:c>
      <x:c xmlns:x="http://schemas.openxmlformats.org/spreadsheetml/2006/main" r="T199" t="str" s="11">
        <x:v>C:\Users\Nomatin\Documents\Altium\MY_LIB\MY_LIB\Datasheets\YAGEO_CC_X7R.pdf</x:v>
      </x:c>
      <x:c xmlns:x="http://schemas.openxmlformats.org/spreadsheetml/2006/main" r="U199" t="str" s="11">
        <x:v>Даташит — локальный</x:v>
      </x:c>
      <x:c xmlns:x="http://schemas.openxmlformats.org/spreadsheetml/2006/main" r="V199" t="str" s="11">
        <x:v>C:\Users\Nomatin\Documents\Altium\MY_LIB\MY_LIB\Datasheets\YAGEO_CC_X7R.pdf</x:v>
      </x:c>
      <x:c xmlns:x="http://schemas.openxmlformats.org/spreadsheetml/2006/main" r="W199" t="str" s="11">
        <x:v>Даташит — производитель</x:v>
      </x:c>
      <x:c xmlns:x="http://schemas.openxmlformats.org/spreadsheetml/2006/main" r="X199" t="str" s="11">
        <x:v>https://yageogroup.com/content/datasheet/asset/file/UPY-GPHC_X7R_6_3V-TO-250V</x:v>
      </x:c>
      <x:c xmlns:x="http://schemas.openxmlformats.org/spreadsheetml/2006/main" r="Y199" t="str" s="11">
        <x:v>C:\Users\Nomatin\Documents\Altium\MY_LIB\MY_LIB\Datasheets\YAGEO_CC_X7R.pdf</x:v>
      </x:c>
      <ns0:c xmlns:ns0="http://schemas.openxmlformats.org/spreadsheetml/2006/main" r="Z199" s="11">
        <ns0:v>5e-10</ns0:v>
      </ns0:c>
      <ns0:c xmlns:ns0="http://schemas.openxmlformats.org/spreadsheetml/2006/main" r="AA199" s="11">
        <ns0:v>0.025</ns0:v>
      </ns0:c>
      <ns0:c xmlns:ns0="http://schemas.openxmlformats.org/spreadsheetml/2006/main" r="AB199" s="11">
        <ns0:v>1000</ns0:v>
      </ns0:c>
      <ns0:c xmlns:ns0="http://schemas.openxmlformats.org/spreadsheetml/2006/main" r="AC199" s="11">
        <ns0:v>1</ns0:v>
      </ns0:c>
      <ns0:c xmlns:ns0="http://schemas.openxmlformats.org/spreadsheetml/2006/main" r="AD199" s="11">
        <ns0:v>20</ns0:v>
      </ns0:c>
      <ns0:c xmlns:ns0="http://schemas.openxmlformats.org/spreadsheetml/2006/main" r="AE199" s="11">
        <ns0:v>500</ns0:v>
      </ns0:c>
      <ns0:c xmlns:ns0="http://schemas.openxmlformats.org/spreadsheetml/2006/main" r="AF199" s="11">
        <ns0:v>10000000000</ns0:v>
      </ns0:c>
      <ns0:c xmlns:ns0="http://schemas.openxmlformats.org/spreadsheetml/2006/main" r="AG199" s="11">
        <ns0:v>50</ns0:v>
      </ns0:c>
      <ns0:c xmlns:ns0="http://schemas.openxmlformats.org/spreadsheetml/2006/main" r="AH199" s="11">
        <ns0:v>60</ns0:v>
      </ns0:c>
      <ns0:c xmlns:ns0="http://schemas.openxmlformats.org/spreadsheetml/2006/main" r="AI199" s="11">
        <ns0:v>7957.74715459477</ns0:v>
      </ns0:c>
      <ns0:c xmlns:ns0="http://schemas.openxmlformats.org/spreadsheetml/2006/main" r="AJ199" s="11" t="inlineStr">
        <ns0:is>
          <ns0:t>MY_LIB_C_RC</ns0:t>
        </ns0:is>
      </ns0:c>
      <ns0:c xmlns:ns0="http://schemas.openxmlformats.org/spreadsheetml/2006/main" r="AK199" s="11" t="inlineStr">
        <ns0:is>
          <ns0:t>Nominal C; DFmax at 1kHz; minimum insulation; no temperature/bias/ESL</ns0:t>
        </ns0:is>
      </ns0:c>
      <ns0:c xmlns:ns0="http://schemas.openxmlformats.org/spreadsheetml/2006/main" r="AL199" s="11" t="inlineStr">
        <ns0:is>
          <ns0:t>General</ns0:t>
        </ns0:is>
      </ns0:c>
      <ns0:c xmlns:ns0="http://schemas.openxmlformats.org/spreadsheetml/2006/main" r="AM199" s="11" t="inlineStr">
        <ns0:is>
          <ns0:t>Spice Subcircuit</ns0:t>
        </ns0:is>
      </ns0:c>
      <ns0:c xmlns:ns0="http://schemas.openxmlformats.org/spreadsheetml/2006/main" r="AN199" s="11" t="inlineStr">
        <ns0:is>
          <ns0:t>@DESIGNATOR %1 %2 @MODEL PARAMS: Cvalue=5e-10 Rsvalue=7957.74715459477 Rinsvalue=10000000000</ns0:t>
        </ns0:is>
      </ns0:c>
      <ns0:c xmlns:ns0="http://schemas.openxmlformats.org/spreadsheetml/2006/main" r="AO199" s="11" t="inlineStr">
        <ns0:is>
          <ns0:t>X</ns0:t>
        </ns0:is>
      </ns0:c>
      <ns0:c xmlns:ns0="http://schemas.openxmlformats.org/spreadsheetml/2006/main" r="AP199" s="11" t="inlineStr">
        <ns0:is>
          <ns0:t>(1:1),(2:2)</ns0:t>
        </ns0:is>
      </ns0:c>
      <ns0:c xmlns:ns0="http://schemas.openxmlformats.org/spreadsheetml/2006/main" r="AQ199" s="11" t="inlineStr">
        <ns0:is>
          <ns0:t>Simulation\Capacitors\MY_LIB_C_RC.ckt</ns0:t>
        </ns0:is>
      </ns0:c>
    </ns0:row>
    <ns0:row r="200" ht="30" customHeight="1">
      <ns0:c r="A200" t="str" s="14">
        <ns0:v>C0201</ns0:v>
      </ns0:c>
      <ns0:c r="B200" t="str" s="14">
        <ns0:v>Конденсатор</ns0:v>
      </ns0:c>
      <ns0:c r="C200" t="str" s="14">
        <ns0:v>560p</ns0:v>
      </ns0:c>
      <ns0:c r="D200" t="str" s="11">
        <ns0:f>SUBSTITUTE(SUBSTITUTE(SUBSTITUTE(SUBSTITUTE(C200,"p"," пФ"),"n"," нФ"),"u"," мкФ"),".",",")</ns0:f>
        <ns0:v>560 пФ</ns0:v>
      </ns0:c>
      <ns0:c r="E200" t="str" s="14">
        <ns0:v>±10%</ns0:v>
      </ns0:c>
      <ns0:c r="F200" s="14"/>
      <ns0:c r="G200" t="str" s="14">
        <ns0:v>100 В</ns0:v>
      </ns0:c>
      <ns0:c r="H200" t="str" s="14">
        <ns0:v>X7R</ns0:v>
      </ns0:c>
      <ns0:c r="I200" t="str" s="15">
        <ns0:v>0603</ns0:v>
      </ns0:c>
      <ns0:c r="J200" t="str" s="14">
        <ns0:v>YAGEO</ns0:v>
      </ns0:c>
      <ns0:c r="K200" t="str" s="14">
        <ns0:v>CC0603KRX7R0BB561</ns0:v>
      </ns0:c>
      <ns0:c r="L200" t="str" s="11">
        <ns0:f>B200&amp;" "&amp;D200&amp;" "&amp;E200&amp;" "&amp;G200&amp;" "&amp;H200&amp;" "&amp;I200</ns0:f>
        <ns0:v>Конденсатор 560 пФ ±10% 100 В X7R 0603</ns0:v>
      </ns0:c>
      <ns0:c r="M200" t="str" s="13">
        <ns0:v>C</ns0:v>
      </ns0:c>
      <ns0:c r="N200" t="str" s="13">
        <ns0:v>Symbols\MY_LIB_Capacitors.SchLib</ns0:v>
      </ns0:c>
      <ns0:c r="O200" t="str" s="13">
        <ns0:v>CAPC1608X90N</ns0:v>
      </ns0:c>
      <ns0:c r="P200" t="str" s="13">
        <ns0:v>Footprints\PBL - SMD Packages.PcbLib</ns0:v>
      </ns0:c>
      <ns0:c r="Q200" t="str" s="14">
        <ns0:v>YAGEO CC; список 20.10.2026</ns0:v>
      </ns0:c>
      <ns0:c r="R200" t="str" s="11">
        <ns0:f>D200</ns0:f>
        <ns0:v>560 пФ</ns0:v>
      </ns0:c>
      <ns0:c r="S200" t="str" s="11">
        <ns0:f>L200</ns0:f>
        <ns0:v>Конденсатор 560 пФ ±10% 100 В X7R 0603</ns0:v>
      </ns0:c>
      <x:c xmlns:x="http://schemas.openxmlformats.org/spreadsheetml/2006/main" r="T200" t="str" s="11">
        <x:v>C:\Users\Nomatin\Documents\Altium\MY_LIB\MY_LIB\Datasheets\YAGEO_CC_X7R.pdf</x:v>
      </x:c>
      <x:c xmlns:x="http://schemas.openxmlformats.org/spreadsheetml/2006/main" r="U200" t="str" s="11">
        <x:v>Даташит — локальный</x:v>
      </x:c>
      <x:c xmlns:x="http://schemas.openxmlformats.org/spreadsheetml/2006/main" r="V200" t="str" s="11">
        <x:v>C:\Users\Nomatin\Documents\Altium\MY_LIB\MY_LIB\Datasheets\YAGEO_CC_X7R.pdf</x:v>
      </x:c>
      <x:c xmlns:x="http://schemas.openxmlformats.org/spreadsheetml/2006/main" r="W200" t="str" s="11">
        <x:v>Даташит — производитель</x:v>
      </x:c>
      <x:c xmlns:x="http://schemas.openxmlformats.org/spreadsheetml/2006/main" r="X200" t="str" s="11">
        <x:v>https://yageogroup.com/content/datasheet/asset/file/UPY-GPHC_X7R_6_3V-TO-250V</x:v>
      </x:c>
      <x:c xmlns:x="http://schemas.openxmlformats.org/spreadsheetml/2006/main" r="Y200" t="str" s="11">
        <x:v>C:\Users\Nomatin\Documents\Altium\MY_LIB\MY_LIB\Datasheets\YAGEO_CC_X7R.pdf</x:v>
      </x:c>
      <ns0:c xmlns:ns0="http://schemas.openxmlformats.org/spreadsheetml/2006/main" r="Z200" s="11">
        <ns0:v>5.6e-10</ns0:v>
      </ns0:c>
      <ns0:c xmlns:ns0="http://schemas.openxmlformats.org/spreadsheetml/2006/main" r="AA200" s="11">
        <ns0:v>0.025</ns0:v>
      </ns0:c>
      <ns0:c xmlns:ns0="http://schemas.openxmlformats.org/spreadsheetml/2006/main" r="AB200" s="11">
        <ns0:v>1000</ns0:v>
      </ns0:c>
      <ns0:c xmlns:ns0="http://schemas.openxmlformats.org/spreadsheetml/2006/main" r="AC200" s="11">
        <ns0:v>1</ns0:v>
      </ns0:c>
      <ns0:c xmlns:ns0="http://schemas.openxmlformats.org/spreadsheetml/2006/main" r="AD200" s="11">
        <ns0:v>20</ns0:v>
      </ns0:c>
      <ns0:c xmlns:ns0="http://schemas.openxmlformats.org/spreadsheetml/2006/main" r="AE200" s="11">
        <ns0:v>500</ns0:v>
      </ns0:c>
      <ns0:c xmlns:ns0="http://schemas.openxmlformats.org/spreadsheetml/2006/main" r="AF200" s="11">
        <ns0:v>10000000000</ns0:v>
      </ns0:c>
      <ns0:c xmlns:ns0="http://schemas.openxmlformats.org/spreadsheetml/2006/main" r="AG200" s="11">
        <ns0:v>100</ns0:v>
      </ns0:c>
      <ns0:c xmlns:ns0="http://schemas.openxmlformats.org/spreadsheetml/2006/main" r="AH200" s="11">
        <ns0:v>60</ns0:v>
      </ns0:c>
      <ns0:c xmlns:ns0="http://schemas.openxmlformats.org/spreadsheetml/2006/main" r="AI200" s="11">
        <ns0:v>7105.13138803104</ns0:v>
      </ns0:c>
      <ns0:c xmlns:ns0="http://schemas.openxmlformats.org/spreadsheetml/2006/main" r="AJ200" s="11" t="inlineStr">
        <ns0:is>
          <ns0:t>MY_LIB_C_RC</ns0:t>
        </ns0:is>
      </ns0:c>
      <ns0:c xmlns:ns0="http://schemas.openxmlformats.org/spreadsheetml/2006/main" r="AK200" s="11" t="inlineStr">
        <ns0:is>
          <ns0:t>Nominal C; DFmax at 1kHz; minimum insulation; no temperature/bias/ESL</ns0:t>
        </ns0:is>
      </ns0:c>
      <ns0:c xmlns:ns0="http://schemas.openxmlformats.org/spreadsheetml/2006/main" r="AL200" s="11" t="inlineStr">
        <ns0:is>
          <ns0:t>General</ns0:t>
        </ns0:is>
      </ns0:c>
      <ns0:c xmlns:ns0="http://schemas.openxmlformats.org/spreadsheetml/2006/main" r="AM200" s="11" t="inlineStr">
        <ns0:is>
          <ns0:t>Spice Subcircuit</ns0:t>
        </ns0:is>
      </ns0:c>
      <ns0:c xmlns:ns0="http://schemas.openxmlformats.org/spreadsheetml/2006/main" r="AN200" s="11" t="inlineStr">
        <ns0:is>
          <ns0:t>@DESIGNATOR %1 %2 @MODEL PARAMS: Cvalue=5.6e-10 Rsvalue=7105.13138803104 Rinsvalue=10000000000</ns0:t>
        </ns0:is>
      </ns0:c>
      <ns0:c xmlns:ns0="http://schemas.openxmlformats.org/spreadsheetml/2006/main" r="AO200" s="11" t="inlineStr">
        <ns0:is>
          <ns0:t>X</ns0:t>
        </ns0:is>
      </ns0:c>
      <ns0:c xmlns:ns0="http://schemas.openxmlformats.org/spreadsheetml/2006/main" r="AP200" s="11" t="inlineStr">
        <ns0:is>
          <ns0:t>(1:1),(2:2)</ns0:t>
        </ns0:is>
      </ns0:c>
      <ns0:c xmlns:ns0="http://schemas.openxmlformats.org/spreadsheetml/2006/main" r="AQ200" s="11" t="inlineStr">
        <ns0:is>
          <ns0:t>Simulation\Capacitors\MY_LIB_C_RC.ckt</ns0:t>
        </ns0:is>
      </ns0:c>
    </ns0:row>
    <ns0:row r="201" ht="30" customHeight="1">
      <ns0:c r="A201" t="str" s="14">
        <ns0:v>C0202</ns0:v>
      </ns0:c>
      <ns0:c r="B201" t="str" s="14">
        <ns0:v>Конденсатор</ns0:v>
      </ns0:c>
      <ns0:c r="C201" t="str" s="14">
        <ns0:v>680p</ns0:v>
      </ns0:c>
      <ns0:c r="D201" t="str" s="11">
        <ns0:f>SUBSTITUTE(SUBSTITUTE(SUBSTITUTE(SUBSTITUTE(C201,"p"," пФ"),"n"," нФ"),"u"," мкФ"),".",",")</ns0:f>
        <ns0:v>680 пФ</ns0:v>
      </ns0:c>
      <ns0:c r="E201" t="str" s="14">
        <ns0:v>±10%</ns0:v>
      </ns0:c>
      <ns0:c r="F201" s="14"/>
      <ns0:c r="G201" t="str" s="14">
        <ns0:v>100 В</ns0:v>
      </ns0:c>
      <ns0:c r="H201" t="str" s="14">
        <ns0:v>X7R</ns0:v>
      </ns0:c>
      <ns0:c r="I201" t="str" s="15">
        <ns0:v>0603</ns0:v>
      </ns0:c>
      <ns0:c r="J201" t="str" s="14">
        <ns0:v>YAGEO</ns0:v>
      </ns0:c>
      <ns0:c r="K201" t="str" s="14">
        <ns0:v>CC0603KRX7R0BB681</ns0:v>
      </ns0:c>
      <ns0:c r="L201" t="str" s="11">
        <ns0:f>B201&amp;" "&amp;D201&amp;" "&amp;E201&amp;" "&amp;G201&amp;" "&amp;H201&amp;" "&amp;I201</ns0:f>
        <ns0:v>Конденсатор 680 пФ ±10% 100 В X7R 0603</ns0:v>
      </ns0:c>
      <ns0:c r="M201" t="str" s="13">
        <ns0:v>C</ns0:v>
      </ns0:c>
      <ns0:c r="N201" t="str" s="13">
        <ns0:v>Symbols\MY_LIB_Capacitors.SchLib</ns0:v>
      </ns0:c>
      <ns0:c r="O201" t="str" s="13">
        <ns0:v>CAPC1608X90N</ns0:v>
      </ns0:c>
      <ns0:c r="P201" t="str" s="13">
        <ns0:v>Footprints\PBL - SMD Packages.PcbLib</ns0:v>
      </ns0:c>
      <ns0:c r="Q201" t="str" s="14">
        <ns0:v>YAGEO CC; список 20.10.2026</ns0:v>
      </ns0:c>
      <ns0:c r="R201" t="str" s="11">
        <ns0:f>D201</ns0:f>
        <ns0:v>680 пФ</ns0:v>
      </ns0:c>
      <ns0:c r="S201" t="str" s="11">
        <ns0:f>L201</ns0:f>
        <ns0:v>Конденсатор 680 пФ ±10% 100 В X7R 0603</ns0:v>
      </ns0:c>
      <x:c xmlns:x="http://schemas.openxmlformats.org/spreadsheetml/2006/main" r="T201" t="str" s="11">
        <x:v>C:\Users\Nomatin\Documents\Altium\MY_LIB\MY_LIB\Datasheets\YAGEO_CC_X7R.pdf</x:v>
      </x:c>
      <x:c xmlns:x="http://schemas.openxmlformats.org/spreadsheetml/2006/main" r="U201" t="str" s="11">
        <x:v>Даташит — локальный</x:v>
      </x:c>
      <x:c xmlns:x="http://schemas.openxmlformats.org/spreadsheetml/2006/main" r="V201" t="str" s="11">
        <x:v>C:\Users\Nomatin\Documents\Altium\MY_LIB\MY_LIB\Datasheets\YAGEO_CC_X7R.pdf</x:v>
      </x:c>
      <x:c xmlns:x="http://schemas.openxmlformats.org/spreadsheetml/2006/main" r="W201" t="str" s="11">
        <x:v>Даташит — производитель</x:v>
      </x:c>
      <x:c xmlns:x="http://schemas.openxmlformats.org/spreadsheetml/2006/main" r="X201" t="str" s="11">
        <x:v>https://yageogroup.com/content/datasheet/asset/file/UPY-GPHC_X7R_6_3V-TO-250V</x:v>
      </x:c>
      <x:c xmlns:x="http://schemas.openxmlformats.org/spreadsheetml/2006/main" r="Y201" t="str" s="11">
        <x:v>C:\Users\Nomatin\Documents\Altium\MY_LIB\MY_LIB\Datasheets\YAGEO_CC_X7R.pdf</x:v>
      </x:c>
      <ns0:c xmlns:ns0="http://schemas.openxmlformats.org/spreadsheetml/2006/main" r="Z201" s="11">
        <ns0:v>6.8e-10</ns0:v>
      </ns0:c>
      <ns0:c xmlns:ns0="http://schemas.openxmlformats.org/spreadsheetml/2006/main" r="AA201" s="11">
        <ns0:v>0.025</ns0:v>
      </ns0:c>
      <ns0:c xmlns:ns0="http://schemas.openxmlformats.org/spreadsheetml/2006/main" r="AB201" s="11">
        <ns0:v>1000</ns0:v>
      </ns0:c>
      <ns0:c xmlns:ns0="http://schemas.openxmlformats.org/spreadsheetml/2006/main" r="AC201" s="11">
        <ns0:v>1</ns0:v>
      </ns0:c>
      <ns0:c xmlns:ns0="http://schemas.openxmlformats.org/spreadsheetml/2006/main" r="AD201" s="11">
        <ns0:v>20</ns0:v>
      </ns0:c>
      <ns0:c xmlns:ns0="http://schemas.openxmlformats.org/spreadsheetml/2006/main" r="AE201" s="11">
        <ns0:v>500</ns0:v>
      </ns0:c>
      <ns0:c xmlns:ns0="http://schemas.openxmlformats.org/spreadsheetml/2006/main" r="AF201" s="11">
        <ns0:v>10000000000</ns0:v>
      </ns0:c>
      <ns0:c xmlns:ns0="http://schemas.openxmlformats.org/spreadsheetml/2006/main" r="AG201" s="11">
        <ns0:v>100</ns0:v>
      </ns0:c>
      <ns0:c xmlns:ns0="http://schemas.openxmlformats.org/spreadsheetml/2006/main" r="AH201" s="11">
        <ns0:v>60</ns0:v>
      </ns0:c>
      <ns0:c xmlns:ns0="http://schemas.openxmlformats.org/spreadsheetml/2006/main" r="AI201" s="11">
        <ns0:v>5851.28467249615</ns0:v>
      </ns0:c>
      <ns0:c xmlns:ns0="http://schemas.openxmlformats.org/spreadsheetml/2006/main" r="AJ201" s="11" t="inlineStr">
        <ns0:is>
          <ns0:t>MY_LIB_C_RC</ns0:t>
        </ns0:is>
      </ns0:c>
      <ns0:c xmlns:ns0="http://schemas.openxmlformats.org/spreadsheetml/2006/main" r="AK201" s="11" t="inlineStr">
        <ns0:is>
          <ns0:t>Nominal C; DFmax at 1kHz; minimum insulation; no temperature/bias/ESL</ns0:t>
        </ns0:is>
      </ns0:c>
      <ns0:c xmlns:ns0="http://schemas.openxmlformats.org/spreadsheetml/2006/main" r="AL201" s="11" t="inlineStr">
        <ns0:is>
          <ns0:t>General</ns0:t>
        </ns0:is>
      </ns0:c>
      <ns0:c xmlns:ns0="http://schemas.openxmlformats.org/spreadsheetml/2006/main" r="AM201" s="11" t="inlineStr">
        <ns0:is>
          <ns0:t>Spice Subcircuit</ns0:t>
        </ns0:is>
      </ns0:c>
      <ns0:c xmlns:ns0="http://schemas.openxmlformats.org/spreadsheetml/2006/main" r="AN201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201" s="11" t="inlineStr">
        <ns0:is>
          <ns0:t>X</ns0:t>
        </ns0:is>
      </ns0:c>
      <ns0:c xmlns:ns0="http://schemas.openxmlformats.org/spreadsheetml/2006/main" r="AP201" s="11" t="inlineStr">
        <ns0:is>
          <ns0:t>(1:1),(2:2)</ns0:t>
        </ns0:is>
      </ns0:c>
      <ns0:c xmlns:ns0="http://schemas.openxmlformats.org/spreadsheetml/2006/main" r="AQ201" s="11" t="inlineStr">
        <ns0:is>
          <ns0:t>Simulation\Capacitors\MY_LIB_C_RC.ckt</ns0:t>
        </ns0:is>
      </ns0:c>
    </ns0:row>
    <ns0:row r="202" ht="30" customHeight="1">
      <ns0:c r="A202" t="str" s="14">
        <ns0:v>C0203</ns0:v>
      </ns0:c>
      <ns0:c r="B202" t="str" s="14">
        <ns0:v>Конденсатор</ns0:v>
      </ns0:c>
      <ns0:c r="C202" t="str" s="14">
        <ns0:v>750p</ns0:v>
      </ns0:c>
      <ns0:c r="D202" t="str" s="11">
        <ns0:f>SUBSTITUTE(SUBSTITUTE(SUBSTITUTE(SUBSTITUTE(C202,"p"," пФ"),"n"," нФ"),"u"," мкФ"),".",",")</ns0:f>
        <ns0:v>750 пФ</ns0:v>
      </ns0:c>
      <ns0:c r="E202" t="str" s="14">
        <ns0:v>±10%</ns0:v>
      </ns0:c>
      <ns0:c r="F202" s="14"/>
      <ns0:c r="G202" t="str" s="14">
        <ns0:v>50 В</ns0:v>
      </ns0:c>
      <ns0:c r="H202" t="str" s="14">
        <ns0:v>X7R</ns0:v>
      </ns0:c>
      <ns0:c r="I202" t="str" s="15">
        <ns0:v>0603</ns0:v>
      </ns0:c>
      <ns0:c r="J202" t="str" s="14">
        <ns0:v>YAGEO</ns0:v>
      </ns0:c>
      <ns0:c r="K202" t="str" s="14">
        <ns0:v>CC0603KRX7R9BB751</ns0:v>
      </ns0:c>
      <ns0:c r="L202" t="str" s="11">
        <ns0:f>B202&amp;" "&amp;D202&amp;" "&amp;E202&amp;" "&amp;G202&amp;" "&amp;H202&amp;" "&amp;I202</ns0:f>
        <ns0:v>Конденсатор 750 пФ ±10% 50 В X7R 0603</ns0:v>
      </ns0:c>
      <ns0:c r="M202" t="str" s="13">
        <ns0:v>C</ns0:v>
      </ns0:c>
      <ns0:c r="N202" t="str" s="13">
        <ns0:v>Symbols\MY_LIB_Capacitors.SchLib</ns0:v>
      </ns0:c>
      <ns0:c r="O202" t="str" s="13">
        <ns0:v>CAPC1608X90N</ns0:v>
      </ns0:c>
      <ns0:c r="P202" t="str" s="13">
        <ns0:v>Footprints\PBL - SMD Packages.PcbLib</ns0:v>
      </ns0:c>
      <ns0:c r="Q202" t="str" s="14">
        <ns0:v>YAGEO CC; список 20.10.2026</ns0:v>
      </ns0:c>
      <ns0:c r="R202" t="str" s="11">
        <ns0:f>D202</ns0:f>
        <ns0:v>750 пФ</ns0:v>
      </ns0:c>
      <ns0:c r="S202" t="str" s="11">
        <ns0:f>L202</ns0:f>
        <ns0:v>Конденсатор 750 пФ ±10% 50 В X7R 0603</ns0:v>
      </ns0:c>
      <x:c xmlns:x="http://schemas.openxmlformats.org/spreadsheetml/2006/main" r="T202" t="str" s="11">
        <x:v>C:\Users\Nomatin\Documents\Altium\MY_LIB\MY_LIB\Datasheets\YAGEO_CC_X7R.pdf</x:v>
      </x:c>
      <x:c xmlns:x="http://schemas.openxmlformats.org/spreadsheetml/2006/main" r="U202" t="str" s="11">
        <x:v>Даташит — локальный</x:v>
      </x:c>
      <x:c xmlns:x="http://schemas.openxmlformats.org/spreadsheetml/2006/main" r="V202" t="str" s="11">
        <x:v>C:\Users\Nomatin\Documents\Altium\MY_LIB\MY_LIB\Datasheets\YAGEO_CC_X7R.pdf</x:v>
      </x:c>
      <x:c xmlns:x="http://schemas.openxmlformats.org/spreadsheetml/2006/main" r="W202" t="str" s="11">
        <x:v>Даташит — производитель</x:v>
      </x:c>
      <x:c xmlns:x="http://schemas.openxmlformats.org/spreadsheetml/2006/main" r="X202" t="str" s="11">
        <x:v>https://yageogroup.com/content/datasheet/asset/file/UPY-GPHC_X7R_6_3V-TO-250V</x:v>
      </x:c>
      <x:c xmlns:x="http://schemas.openxmlformats.org/spreadsheetml/2006/main" r="Y202" t="str" s="11">
        <x:v>C:\Users\Nomatin\Documents\Altium\MY_LIB\MY_LIB\Datasheets\YAGEO_CC_X7R.pdf</x:v>
      </x:c>
      <ns0:c xmlns:ns0="http://schemas.openxmlformats.org/spreadsheetml/2006/main" r="Z202" s="11">
        <ns0:v>7.5e-10</ns0:v>
      </ns0:c>
      <ns0:c xmlns:ns0="http://schemas.openxmlformats.org/spreadsheetml/2006/main" r="AA202" s="11">
        <ns0:v>0.025</ns0:v>
      </ns0:c>
      <ns0:c xmlns:ns0="http://schemas.openxmlformats.org/spreadsheetml/2006/main" r="AB202" s="11">
        <ns0:v>1000</ns0:v>
      </ns0:c>
      <ns0:c xmlns:ns0="http://schemas.openxmlformats.org/spreadsheetml/2006/main" r="AC202" s="11">
        <ns0:v>1</ns0:v>
      </ns0:c>
      <ns0:c xmlns:ns0="http://schemas.openxmlformats.org/spreadsheetml/2006/main" r="AD202" s="11">
        <ns0:v>20</ns0:v>
      </ns0:c>
      <ns0:c xmlns:ns0="http://schemas.openxmlformats.org/spreadsheetml/2006/main" r="AE202" s="11">
        <ns0:v>500</ns0:v>
      </ns0:c>
      <ns0:c xmlns:ns0="http://schemas.openxmlformats.org/spreadsheetml/2006/main" r="AF202" s="11">
        <ns0:v>10000000000</ns0:v>
      </ns0:c>
      <ns0:c xmlns:ns0="http://schemas.openxmlformats.org/spreadsheetml/2006/main" r="AG202" s="11">
        <ns0:v>50</ns0:v>
      </ns0:c>
      <ns0:c xmlns:ns0="http://schemas.openxmlformats.org/spreadsheetml/2006/main" r="AH202" s="11">
        <ns0:v>60</ns0:v>
      </ns0:c>
      <ns0:c xmlns:ns0="http://schemas.openxmlformats.org/spreadsheetml/2006/main" r="AI202" s="11">
        <ns0:v>5305.16476972984</ns0:v>
      </ns0:c>
      <ns0:c xmlns:ns0="http://schemas.openxmlformats.org/spreadsheetml/2006/main" r="AJ202" s="11" t="inlineStr">
        <ns0:is>
          <ns0:t>MY_LIB_C_RC</ns0:t>
        </ns0:is>
      </ns0:c>
      <ns0:c xmlns:ns0="http://schemas.openxmlformats.org/spreadsheetml/2006/main" r="AK202" s="11" t="inlineStr">
        <ns0:is>
          <ns0:t>Nominal C; DFmax at 1kHz; minimum insulation; no temperature/bias/ESL</ns0:t>
        </ns0:is>
      </ns0:c>
      <ns0:c xmlns:ns0="http://schemas.openxmlformats.org/spreadsheetml/2006/main" r="AL202" s="11" t="inlineStr">
        <ns0:is>
          <ns0:t>General</ns0:t>
        </ns0:is>
      </ns0:c>
      <ns0:c xmlns:ns0="http://schemas.openxmlformats.org/spreadsheetml/2006/main" r="AM202" s="11" t="inlineStr">
        <ns0:is>
          <ns0:t>Spice Subcircuit</ns0:t>
        </ns0:is>
      </ns0:c>
      <ns0:c xmlns:ns0="http://schemas.openxmlformats.org/spreadsheetml/2006/main" r="AN202" s="11" t="inlineStr">
        <ns0:is>
          <ns0:t>@DESIGNATOR %1 %2 @MODEL PARAMS: Cvalue=7.5e-10 Rsvalue=5305.16476972984 Rinsvalue=10000000000</ns0:t>
        </ns0:is>
      </ns0:c>
      <ns0:c xmlns:ns0="http://schemas.openxmlformats.org/spreadsheetml/2006/main" r="AO202" s="11" t="inlineStr">
        <ns0:is>
          <ns0:t>X</ns0:t>
        </ns0:is>
      </ns0:c>
      <ns0:c xmlns:ns0="http://schemas.openxmlformats.org/spreadsheetml/2006/main" r="AP202" s="11" t="inlineStr">
        <ns0:is>
          <ns0:t>(1:1),(2:2)</ns0:t>
        </ns0:is>
      </ns0:c>
      <ns0:c xmlns:ns0="http://schemas.openxmlformats.org/spreadsheetml/2006/main" r="AQ202" s="11" t="inlineStr">
        <ns0:is>
          <ns0:t>Simulation\Capacitors\MY_LIB_C_RC.ckt</ns0:t>
        </ns0:is>
      </ns0:c>
    </ns0:row>
    <ns0:row r="203" ht="30" customHeight="1">
      <ns0:c r="A203" t="str" s="14">
        <ns0:v>C0204</ns0:v>
      </ns0:c>
      <ns0:c r="B203" t="str" s="14">
        <ns0:v>Конденсатор</ns0:v>
      </ns0:c>
      <ns0:c r="C203" t="str" s="14">
        <ns0:v>820p</ns0:v>
      </ns0:c>
      <ns0:c r="D203" t="str" s="11">
        <ns0:f>SUBSTITUTE(SUBSTITUTE(SUBSTITUTE(SUBSTITUTE(C203,"p"," пФ"),"n"," нФ"),"u"," мкФ"),".",",")</ns0:f>
        <ns0:v>820 пФ</ns0:v>
      </ns0:c>
      <ns0:c r="E203" t="str" s="14">
        <ns0:v>±10%</ns0:v>
      </ns0:c>
      <ns0:c r="F203" s="14"/>
      <ns0:c r="G203" t="str" s="14">
        <ns0:v>100 В</ns0:v>
      </ns0:c>
      <ns0:c r="H203" t="str" s="14">
        <ns0:v>X7R</ns0:v>
      </ns0:c>
      <ns0:c r="I203" t="str" s="15">
        <ns0:v>0603</ns0:v>
      </ns0:c>
      <ns0:c r="J203" t="str" s="14">
        <ns0:v>YAGEO</ns0:v>
      </ns0:c>
      <ns0:c r="K203" t="str" s="14">
        <ns0:v>CC0603KRX7R0BB821</ns0:v>
      </ns0:c>
      <ns0:c r="L203" t="str" s="11">
        <ns0:f>B203&amp;" "&amp;D203&amp;" "&amp;E203&amp;" "&amp;G203&amp;" "&amp;H203&amp;" "&amp;I203</ns0:f>
        <ns0:v>Конденсатор 820 пФ ±10% 100 В X7R 0603</ns0:v>
      </ns0:c>
      <ns0:c r="M203" t="str" s="13">
        <ns0:v>C</ns0:v>
      </ns0:c>
      <ns0:c r="N203" t="str" s="13">
        <ns0:v>Symbols\MY_LIB_Capacitors.SchLib</ns0:v>
      </ns0:c>
      <ns0:c r="O203" t="str" s="13">
        <ns0:v>CAPC1608X90N</ns0:v>
      </ns0:c>
      <ns0:c r="P203" t="str" s="13">
        <ns0:v>Footprints\PBL - SMD Packages.PcbLib</ns0:v>
      </ns0:c>
      <ns0:c r="Q203" t="str" s="14">
        <ns0:v>YAGEO CC; список 20.10.2026</ns0:v>
      </ns0:c>
      <ns0:c r="R203" t="str" s="11">
        <ns0:f>D203</ns0:f>
        <ns0:v>820 пФ</ns0:v>
      </ns0:c>
      <ns0:c r="S203" t="str" s="11">
        <ns0:f>L203</ns0:f>
        <ns0:v>Конденсатор 820 пФ ±10% 100 В X7R 0603</ns0:v>
      </ns0:c>
      <x:c xmlns:x="http://schemas.openxmlformats.org/spreadsheetml/2006/main" r="T203" t="str" s="11">
        <x:v>C:\Users\Nomatin\Documents\Altium\MY_LIB\MY_LIB\Datasheets\YAGEO_CC_X7R.pdf</x:v>
      </x:c>
      <x:c xmlns:x="http://schemas.openxmlformats.org/spreadsheetml/2006/main" r="U203" t="str" s="11">
        <x:v>Даташит — локальный</x:v>
      </x:c>
      <x:c xmlns:x="http://schemas.openxmlformats.org/spreadsheetml/2006/main" r="V203" t="str" s="11">
        <x:v>C:\Users\Nomatin\Documents\Altium\MY_LIB\MY_LIB\Datasheets\YAGEO_CC_X7R.pdf</x:v>
      </x:c>
      <x:c xmlns:x="http://schemas.openxmlformats.org/spreadsheetml/2006/main" r="W203" t="str" s="11">
        <x:v>Даташит — производитель</x:v>
      </x:c>
      <x:c xmlns:x="http://schemas.openxmlformats.org/spreadsheetml/2006/main" r="X203" t="str" s="11">
        <x:v>https://yageogroup.com/content/datasheet/asset/file/UPY-GPHC_X7R_6_3V-TO-250V</x:v>
      </x:c>
      <x:c xmlns:x="http://schemas.openxmlformats.org/spreadsheetml/2006/main" r="Y203" t="str" s="11">
        <x:v>C:\Users\Nomatin\Documents\Altium\MY_LIB\MY_LIB\Datasheets\YAGEO_CC_X7R.pdf</x:v>
      </x:c>
      <ns0:c xmlns:ns0="http://schemas.openxmlformats.org/spreadsheetml/2006/main" r="Z203" s="11">
        <ns0:v>8.2e-10</ns0:v>
      </ns0:c>
      <ns0:c xmlns:ns0="http://schemas.openxmlformats.org/spreadsheetml/2006/main" r="AA203" s="11">
        <ns0:v>0.025</ns0:v>
      </ns0:c>
      <ns0:c xmlns:ns0="http://schemas.openxmlformats.org/spreadsheetml/2006/main" r="AB203" s="11">
        <ns0:v>1000</ns0:v>
      </ns0:c>
      <ns0:c xmlns:ns0="http://schemas.openxmlformats.org/spreadsheetml/2006/main" r="AC203" s="11">
        <ns0:v>1</ns0:v>
      </ns0:c>
      <ns0:c xmlns:ns0="http://schemas.openxmlformats.org/spreadsheetml/2006/main" r="AD203" s="11">
        <ns0:v>20</ns0:v>
      </ns0:c>
      <ns0:c xmlns:ns0="http://schemas.openxmlformats.org/spreadsheetml/2006/main" r="AE203" s="11">
        <ns0:v>500</ns0:v>
      </ns0:c>
      <ns0:c xmlns:ns0="http://schemas.openxmlformats.org/spreadsheetml/2006/main" r="AF203" s="11">
        <ns0:v>10000000000</ns0:v>
      </ns0:c>
      <ns0:c xmlns:ns0="http://schemas.openxmlformats.org/spreadsheetml/2006/main" r="AG203" s="11">
        <ns0:v>100</ns0:v>
      </ns0:c>
      <ns0:c xmlns:ns0="http://schemas.openxmlformats.org/spreadsheetml/2006/main" r="AH203" s="11">
        <ns0:v>60</ns0:v>
      </ns0:c>
      <ns0:c xmlns:ns0="http://schemas.openxmlformats.org/spreadsheetml/2006/main" r="AI203" s="11">
        <ns0:v>4852.28485036266</ns0:v>
      </ns0:c>
      <ns0:c xmlns:ns0="http://schemas.openxmlformats.org/spreadsheetml/2006/main" r="AJ203" s="11" t="inlineStr">
        <ns0:is>
          <ns0:t>MY_LIB_C_RC</ns0:t>
        </ns0:is>
      </ns0:c>
      <ns0:c xmlns:ns0="http://schemas.openxmlformats.org/spreadsheetml/2006/main" r="AK203" s="11" t="inlineStr">
        <ns0:is>
          <ns0:t>Nominal C; DFmax at 1kHz; minimum insulation; no temperature/bias/ESL</ns0:t>
        </ns0:is>
      </ns0:c>
      <ns0:c xmlns:ns0="http://schemas.openxmlformats.org/spreadsheetml/2006/main" r="AL203" s="11" t="inlineStr">
        <ns0:is>
          <ns0:t>General</ns0:t>
        </ns0:is>
      </ns0:c>
      <ns0:c xmlns:ns0="http://schemas.openxmlformats.org/spreadsheetml/2006/main" r="AM203" s="11" t="inlineStr">
        <ns0:is>
          <ns0:t>Spice Subcircuit</ns0:t>
        </ns0:is>
      </ns0:c>
      <ns0:c xmlns:ns0="http://schemas.openxmlformats.org/spreadsheetml/2006/main" r="AN203" s="11" t="inlineStr">
        <ns0:is>
          <ns0:t>@DESIGNATOR %1 %2 @MODEL PARAMS: Cvalue=8.2e-10 Rsvalue=4852.28485036266 Rinsvalue=10000000000</ns0:t>
        </ns0:is>
      </ns0:c>
      <ns0:c xmlns:ns0="http://schemas.openxmlformats.org/spreadsheetml/2006/main" r="AO203" s="11" t="inlineStr">
        <ns0:is>
          <ns0:t>X</ns0:t>
        </ns0:is>
      </ns0:c>
      <ns0:c xmlns:ns0="http://schemas.openxmlformats.org/spreadsheetml/2006/main" r="AP203" s="11" t="inlineStr">
        <ns0:is>
          <ns0:t>(1:1),(2:2)</ns0:t>
        </ns0:is>
      </ns0:c>
      <ns0:c xmlns:ns0="http://schemas.openxmlformats.org/spreadsheetml/2006/main" r="AQ203" s="11" t="inlineStr">
        <ns0:is>
          <ns0:t>Simulation\Capacitors\MY_LIB_C_RC.ckt</ns0:t>
        </ns0:is>
      </ns0:c>
    </ns0:row>
    <ns0:row r="204" ht="30" customHeight="1">
      <ns0:c r="A204" t="str" s="14">
        <ns0:v>C0205</ns0:v>
      </ns0:c>
      <ns0:c r="B204" t="str" s="14">
        <ns0:v>Конденсатор</ns0:v>
      </ns0:c>
      <ns0:c r="C204" t="str" s="14">
        <ns0:v>1n</ns0:v>
      </ns0:c>
      <ns0:c r="D204" t="str" s="11">
        <ns0:f>SUBSTITUTE(SUBSTITUTE(SUBSTITUTE(SUBSTITUTE(C204,"p"," пФ"),"n"," нФ"),"u"," мкФ"),".",",")</ns0:f>
        <ns0:v>1 нФ</ns0:v>
      </ns0:c>
      <ns0:c r="E204" t="str" s="14">
        <ns0:v>±10%</ns0:v>
      </ns0:c>
      <ns0:c r="F204" s="14"/>
      <ns0:c r="G204" t="str" s="14">
        <ns0:v>100 В</ns0:v>
      </ns0:c>
      <ns0:c r="H204" t="str" s="14">
        <ns0:v>X7R</ns0:v>
      </ns0:c>
      <ns0:c r="I204" t="str" s="15">
        <ns0:v>0603</ns0:v>
      </ns0:c>
      <ns0:c r="J204" t="str" s="14">
        <ns0:v>YAGEO</ns0:v>
      </ns0:c>
      <ns0:c r="K204" t="str" s="14">
        <ns0:v>CC0603KRX7R0BB102</ns0:v>
      </ns0:c>
      <ns0:c r="L204" t="str" s="11">
        <ns0:f>B204&amp;" "&amp;D204&amp;" "&amp;E204&amp;" "&amp;G204&amp;" "&amp;H204&amp;" "&amp;I204</ns0:f>
        <ns0:v>Конденсатор 1 нФ ±10% 100 В X7R 0603</ns0:v>
      </ns0:c>
      <ns0:c r="M204" t="str" s="13">
        <ns0:v>C</ns0:v>
      </ns0:c>
      <ns0:c r="N204" t="str" s="13">
        <ns0:v>Symbols\MY_LIB_Capacitors.SchLib</ns0:v>
      </ns0:c>
      <ns0:c r="O204" t="str" s="13">
        <ns0:v>CAPC1608X90N</ns0:v>
      </ns0:c>
      <ns0:c r="P204" t="str" s="13">
        <ns0:v>Footprints\PBL - SMD Packages.PcbLib</ns0:v>
      </ns0:c>
      <ns0:c r="Q204" t="str" s="14">
        <ns0:v>YAGEO CC; список 20.10.2026</ns0:v>
      </ns0:c>
      <ns0:c r="R204" t="str" s="11">
        <ns0:f>D204</ns0:f>
        <ns0:v>1 нФ</ns0:v>
      </ns0:c>
      <ns0:c r="S204" t="str" s="11">
        <ns0:f>L204</ns0:f>
        <ns0:v>Конденсатор 1 нФ ±10% 100 В X7R 0603</ns0:v>
      </ns0:c>
      <x:c xmlns:x="http://schemas.openxmlformats.org/spreadsheetml/2006/main" r="T204" t="str" s="11">
        <x:v>C:\Users\Nomatin\Documents\Altium\MY_LIB\MY_LIB\Datasheets\YAGEO_CC_X7R.pdf</x:v>
      </x:c>
      <x:c xmlns:x="http://schemas.openxmlformats.org/spreadsheetml/2006/main" r="U204" t="str" s="11">
        <x:v>Даташит — локальный</x:v>
      </x:c>
      <x:c xmlns:x="http://schemas.openxmlformats.org/spreadsheetml/2006/main" r="V204" t="str" s="11">
        <x:v>C:\Users\Nomatin\Documents\Altium\MY_LIB\MY_LIB\Datasheets\YAGEO_CC_X7R.pdf</x:v>
      </x:c>
      <x:c xmlns:x="http://schemas.openxmlformats.org/spreadsheetml/2006/main" r="W204" t="str" s="11">
        <x:v>Даташит — производитель</x:v>
      </x:c>
      <x:c xmlns:x="http://schemas.openxmlformats.org/spreadsheetml/2006/main" r="X204" t="str" s="11">
        <x:v>https://yageogroup.com/content/datasheet/asset/file/UPY-GPHC_X7R_6_3V-TO-250V</x:v>
      </x:c>
      <x:c xmlns:x="http://schemas.openxmlformats.org/spreadsheetml/2006/main" r="Y204" t="str" s="11">
        <x:v>C:\Users\Nomatin\Documents\Altium\MY_LIB\MY_LIB\Datasheets\YAGEO_CC_X7R.pdf</x:v>
      </x:c>
      <ns0:c xmlns:ns0="http://schemas.openxmlformats.org/spreadsheetml/2006/main" r="Z204" s="11">
        <ns0:v>1e-09</ns0:v>
      </ns0:c>
      <ns0:c xmlns:ns0="http://schemas.openxmlformats.org/spreadsheetml/2006/main" r="AA204" s="11">
        <ns0:v>0.025</ns0:v>
      </ns0:c>
      <ns0:c xmlns:ns0="http://schemas.openxmlformats.org/spreadsheetml/2006/main" r="AB204" s="11">
        <ns0:v>1000</ns0:v>
      </ns0:c>
      <ns0:c xmlns:ns0="http://schemas.openxmlformats.org/spreadsheetml/2006/main" r="AC204" s="11">
        <ns0:v>1</ns0:v>
      </ns0:c>
      <ns0:c xmlns:ns0="http://schemas.openxmlformats.org/spreadsheetml/2006/main" r="AD204" s="11">
        <ns0:v>20</ns0:v>
      </ns0:c>
      <ns0:c xmlns:ns0="http://schemas.openxmlformats.org/spreadsheetml/2006/main" r="AE204" s="11">
        <ns0:v>500</ns0:v>
      </ns0:c>
      <ns0:c xmlns:ns0="http://schemas.openxmlformats.org/spreadsheetml/2006/main" r="AF204" s="11">
        <ns0:v>10000000000</ns0:v>
      </ns0:c>
      <ns0:c xmlns:ns0="http://schemas.openxmlformats.org/spreadsheetml/2006/main" r="AG204" s="11">
        <ns0:v>100</ns0:v>
      </ns0:c>
      <ns0:c xmlns:ns0="http://schemas.openxmlformats.org/spreadsheetml/2006/main" r="AH204" s="11">
        <ns0:v>60</ns0:v>
      </ns0:c>
      <ns0:c xmlns:ns0="http://schemas.openxmlformats.org/spreadsheetml/2006/main" r="AI204" s="11">
        <ns0:v>3978.87357729738</ns0:v>
      </ns0:c>
      <ns0:c xmlns:ns0="http://schemas.openxmlformats.org/spreadsheetml/2006/main" r="AJ204" s="11" t="inlineStr">
        <ns0:is>
          <ns0:t>MY_LIB_C_RC</ns0:t>
        </ns0:is>
      </ns0:c>
      <ns0:c xmlns:ns0="http://schemas.openxmlformats.org/spreadsheetml/2006/main" r="AK204" s="11" t="inlineStr">
        <ns0:is>
          <ns0:t>Nominal C; DFmax at 1kHz; minimum insulation; no temperature/bias/ESL</ns0:t>
        </ns0:is>
      </ns0:c>
      <ns0:c xmlns:ns0="http://schemas.openxmlformats.org/spreadsheetml/2006/main" r="AL204" s="11" t="inlineStr">
        <ns0:is>
          <ns0:t>General</ns0:t>
        </ns0:is>
      </ns0:c>
      <ns0:c xmlns:ns0="http://schemas.openxmlformats.org/spreadsheetml/2006/main" r="AM204" s="11" t="inlineStr">
        <ns0:is>
          <ns0:t>Spice Subcircuit</ns0:t>
        </ns0:is>
      </ns0:c>
      <ns0:c xmlns:ns0="http://schemas.openxmlformats.org/spreadsheetml/2006/main" r="AN204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204" s="11" t="inlineStr">
        <ns0:is>
          <ns0:t>X</ns0:t>
        </ns0:is>
      </ns0:c>
      <ns0:c xmlns:ns0="http://schemas.openxmlformats.org/spreadsheetml/2006/main" r="AP204" s="11" t="inlineStr">
        <ns0:is>
          <ns0:t>(1:1),(2:2)</ns0:t>
        </ns0:is>
      </ns0:c>
      <ns0:c xmlns:ns0="http://schemas.openxmlformats.org/spreadsheetml/2006/main" r="AQ204" s="11" t="inlineStr">
        <ns0:is>
          <ns0:t>Simulation\Capacitors\MY_LIB_C_RC.ckt</ns0:t>
        </ns0:is>
      </ns0:c>
    </ns0:row>
    <ns0:row r="205" ht="30" customHeight="1">
      <ns0:c r="A205" t="str" s="14">
        <ns0:v>C0206</ns0:v>
      </ns0:c>
      <ns0:c r="B205" t="str" s="14">
        <ns0:v>Конденсатор</ns0:v>
      </ns0:c>
      <ns0:c r="C205" t="str" s="14">
        <ns0:v>1.2n</ns0:v>
      </ns0:c>
      <ns0:c r="D205" t="str" s="11">
        <ns0:f>SUBSTITUTE(SUBSTITUTE(SUBSTITUTE(SUBSTITUTE(C205,"p"," пФ"),"n"," нФ"),"u"," мкФ"),".",",")</ns0:f>
        <ns0:v>1,2 нФ</ns0:v>
      </ns0:c>
      <ns0:c r="E205" t="str" s="14">
        <ns0:v>±10%</ns0:v>
      </ns0:c>
      <ns0:c r="F205" s="14"/>
      <ns0:c r="G205" t="str" s="14">
        <ns0:v>100 В</ns0:v>
      </ns0:c>
      <ns0:c r="H205" t="str" s="14">
        <ns0:v>X7R</ns0:v>
      </ns0:c>
      <ns0:c r="I205" t="str" s="15">
        <ns0:v>0603</ns0:v>
      </ns0:c>
      <ns0:c r="J205" t="str" s="14">
        <ns0:v>YAGEO</ns0:v>
      </ns0:c>
      <ns0:c r="K205" t="str" s="14">
        <ns0:v>CC0603KRX7R0BB122</ns0:v>
      </ns0:c>
      <ns0:c r="L205" t="str" s="11">
        <ns0:f>B205&amp;" "&amp;D205&amp;" "&amp;E205&amp;" "&amp;G205&amp;" "&amp;H205&amp;" "&amp;I205</ns0:f>
        <ns0:v>Конденсатор 1,2 нФ ±10% 100 В X7R 0603</ns0:v>
      </ns0:c>
      <ns0:c r="M205" t="str" s="13">
        <ns0:v>C</ns0:v>
      </ns0:c>
      <ns0:c r="N205" t="str" s="13">
        <ns0:v>Symbols\MY_LIB_Capacitors.SchLib</ns0:v>
      </ns0:c>
      <ns0:c r="O205" t="str" s="13">
        <ns0:v>CAPC1608X90N</ns0:v>
      </ns0:c>
      <ns0:c r="P205" t="str" s="13">
        <ns0:v>Footprints\PBL - SMD Packages.PcbLib</ns0:v>
      </ns0:c>
      <ns0:c r="Q205" t="str" s="14">
        <ns0:v>YAGEO CC; список 20.10.2026</ns0:v>
      </ns0:c>
      <ns0:c r="R205" t="str" s="11">
        <ns0:f>D205</ns0:f>
        <ns0:v>1,2 нФ</ns0:v>
      </ns0:c>
      <ns0:c r="S205" t="str" s="11">
        <ns0:f>L205</ns0:f>
        <ns0:v>Конденсатор 1,2 нФ ±10% 100 В X7R 0603</ns0:v>
      </ns0:c>
      <x:c xmlns:x="http://schemas.openxmlformats.org/spreadsheetml/2006/main" r="T205" t="str" s="11">
        <x:v>C:\Users\Nomatin\Documents\Altium\MY_LIB\MY_LIB\Datasheets\YAGEO_CC_X7R.pdf</x:v>
      </x:c>
      <x:c xmlns:x="http://schemas.openxmlformats.org/spreadsheetml/2006/main" r="U205" t="str" s="11">
        <x:v>Даташит — локальный</x:v>
      </x:c>
      <x:c xmlns:x="http://schemas.openxmlformats.org/spreadsheetml/2006/main" r="V205" t="str" s="11">
        <x:v>C:\Users\Nomatin\Documents\Altium\MY_LIB\MY_LIB\Datasheets\YAGEO_CC_X7R.pdf</x:v>
      </x:c>
      <x:c xmlns:x="http://schemas.openxmlformats.org/spreadsheetml/2006/main" r="W205" t="str" s="11">
        <x:v>Даташит — производитель</x:v>
      </x:c>
      <x:c xmlns:x="http://schemas.openxmlformats.org/spreadsheetml/2006/main" r="X205" t="str" s="11">
        <x:v>https://yageogroup.com/content/datasheet/asset/file/UPY-GPHC_X7R_6_3V-TO-250V</x:v>
      </x:c>
      <x:c xmlns:x="http://schemas.openxmlformats.org/spreadsheetml/2006/main" r="Y205" t="str" s="11">
        <x:v>C:\Users\Nomatin\Documents\Altium\MY_LIB\MY_LIB\Datasheets\YAGEO_CC_X7R.pdf</x:v>
      </x:c>
      <ns0:c xmlns:ns0="http://schemas.openxmlformats.org/spreadsheetml/2006/main" r="Z205" s="11">
        <ns0:v>1.2e-09</ns0:v>
      </ns0:c>
      <ns0:c xmlns:ns0="http://schemas.openxmlformats.org/spreadsheetml/2006/main" r="AA205" s="11">
        <ns0:v>0.025</ns0:v>
      </ns0:c>
      <ns0:c xmlns:ns0="http://schemas.openxmlformats.org/spreadsheetml/2006/main" r="AB205" s="11">
        <ns0:v>1000</ns0:v>
      </ns0:c>
      <ns0:c xmlns:ns0="http://schemas.openxmlformats.org/spreadsheetml/2006/main" r="AC205" s="11">
        <ns0:v>1</ns0:v>
      </ns0:c>
      <ns0:c xmlns:ns0="http://schemas.openxmlformats.org/spreadsheetml/2006/main" r="AD205" s="11">
        <ns0:v>20</ns0:v>
      </ns0:c>
      <ns0:c xmlns:ns0="http://schemas.openxmlformats.org/spreadsheetml/2006/main" r="AE205" s="11">
        <ns0:v>500</ns0:v>
      </ns0:c>
      <ns0:c xmlns:ns0="http://schemas.openxmlformats.org/spreadsheetml/2006/main" r="AF205" s="11">
        <ns0:v>10000000000</ns0:v>
      </ns0:c>
      <ns0:c xmlns:ns0="http://schemas.openxmlformats.org/spreadsheetml/2006/main" r="AG205" s="11">
        <ns0:v>100</ns0:v>
      </ns0:c>
      <ns0:c xmlns:ns0="http://schemas.openxmlformats.org/spreadsheetml/2006/main" r="AH205" s="11">
        <ns0:v>60</ns0:v>
      </ns0:c>
      <ns0:c xmlns:ns0="http://schemas.openxmlformats.org/spreadsheetml/2006/main" r="AI205" s="11">
        <ns0:v>3315.72798108115</ns0:v>
      </ns0:c>
      <ns0:c xmlns:ns0="http://schemas.openxmlformats.org/spreadsheetml/2006/main" r="AJ205" s="11" t="inlineStr">
        <ns0:is>
          <ns0:t>MY_LIB_C_RC</ns0:t>
        </ns0:is>
      </ns0:c>
      <ns0:c xmlns:ns0="http://schemas.openxmlformats.org/spreadsheetml/2006/main" r="AK205" s="11" t="inlineStr">
        <ns0:is>
          <ns0:t>Nominal C; DFmax at 1kHz; minimum insulation; no temperature/bias/ESL</ns0:t>
        </ns0:is>
      </ns0:c>
      <ns0:c xmlns:ns0="http://schemas.openxmlformats.org/spreadsheetml/2006/main" r="AL205" s="11" t="inlineStr">
        <ns0:is>
          <ns0:t>General</ns0:t>
        </ns0:is>
      </ns0:c>
      <ns0:c xmlns:ns0="http://schemas.openxmlformats.org/spreadsheetml/2006/main" r="AM205" s="11" t="inlineStr">
        <ns0:is>
          <ns0:t>Spice Subcircuit</ns0:t>
        </ns0:is>
      </ns0:c>
      <ns0:c xmlns:ns0="http://schemas.openxmlformats.org/spreadsheetml/2006/main" r="AN205" s="11" t="inlineStr">
        <ns0:is>
          <ns0:t>@DESIGNATOR %1 %2 @MODEL PARAMS: Cvalue=1.2e-09 Rsvalue=3315.72798108115 Rinsvalue=10000000000</ns0:t>
        </ns0:is>
      </ns0:c>
      <ns0:c xmlns:ns0="http://schemas.openxmlformats.org/spreadsheetml/2006/main" r="AO205" s="11" t="inlineStr">
        <ns0:is>
          <ns0:t>X</ns0:t>
        </ns0:is>
      </ns0:c>
      <ns0:c xmlns:ns0="http://schemas.openxmlformats.org/spreadsheetml/2006/main" r="AP205" s="11" t="inlineStr">
        <ns0:is>
          <ns0:t>(1:1),(2:2)</ns0:t>
        </ns0:is>
      </ns0:c>
      <ns0:c xmlns:ns0="http://schemas.openxmlformats.org/spreadsheetml/2006/main" r="AQ205" s="11" t="inlineStr">
        <ns0:is>
          <ns0:t>Simulation\Capacitors\MY_LIB_C_RC.ckt</ns0:t>
        </ns0:is>
      </ns0:c>
    </ns0:row>
    <ns0:row r="206" ht="30" customHeight="1">
      <ns0:c r="A206" t="str" s="14">
        <ns0:v>C0207</ns0:v>
      </ns0:c>
      <ns0:c r="B206" t="str" s="14">
        <ns0:v>Конденсатор</ns0:v>
      </ns0:c>
      <ns0:c r="C206" t="str" s="14">
        <ns0:v>1.5n</ns0:v>
      </ns0:c>
      <ns0:c r="D206" t="str" s="11">
        <ns0:f>SUBSTITUTE(SUBSTITUTE(SUBSTITUTE(SUBSTITUTE(C206,"p"," пФ"),"n"," нФ"),"u"," мкФ"),".",",")</ns0:f>
        <ns0:v>1,5 нФ</ns0:v>
      </ns0:c>
      <ns0:c r="E206" t="str" s="14">
        <ns0:v>±10%</ns0:v>
      </ns0:c>
      <ns0:c r="F206" s="14"/>
      <ns0:c r="G206" t="str" s="14">
        <ns0:v>100 В</ns0:v>
      </ns0:c>
      <ns0:c r="H206" t="str" s="14">
        <ns0:v>X7R</ns0:v>
      </ns0:c>
      <ns0:c r="I206" t="str" s="15">
        <ns0:v>0603</ns0:v>
      </ns0:c>
      <ns0:c r="J206" t="str" s="14">
        <ns0:v>YAGEO</ns0:v>
      </ns0:c>
      <ns0:c r="K206" t="str" s="14">
        <ns0:v>CC0603KRX7R0BB152</ns0:v>
      </ns0:c>
      <ns0:c r="L206" t="str" s="11">
        <ns0:f>B206&amp;" "&amp;D206&amp;" "&amp;E206&amp;" "&amp;G206&amp;" "&amp;H206&amp;" "&amp;I206</ns0:f>
        <ns0:v>Конденсатор 1,5 нФ ±10% 100 В X7R 0603</ns0:v>
      </ns0:c>
      <ns0:c r="M206" t="str" s="13">
        <ns0:v>C</ns0:v>
      </ns0:c>
      <ns0:c r="N206" t="str" s="13">
        <ns0:v>Symbols\MY_LIB_Capacitors.SchLib</ns0:v>
      </ns0:c>
      <ns0:c r="O206" t="str" s="13">
        <ns0:v>CAPC1608X90N</ns0:v>
      </ns0:c>
      <ns0:c r="P206" t="str" s="13">
        <ns0:v>Footprints\PBL - SMD Packages.PcbLib</ns0:v>
      </ns0:c>
      <ns0:c r="Q206" t="str" s="14">
        <ns0:v>YAGEO CC; список 20.10.2026</ns0:v>
      </ns0:c>
      <ns0:c r="R206" t="str" s="11">
        <ns0:f>D206</ns0:f>
        <ns0:v>1,5 нФ</ns0:v>
      </ns0:c>
      <ns0:c r="S206" t="str" s="11">
        <ns0:f>L206</ns0:f>
        <ns0:v>Конденсатор 1,5 нФ ±10% 100 В X7R 0603</ns0:v>
      </ns0:c>
      <x:c xmlns:x="http://schemas.openxmlformats.org/spreadsheetml/2006/main" r="T206" t="str" s="11">
        <x:v>C:\Users\Nomatin\Documents\Altium\MY_LIB\MY_LIB\Datasheets\YAGEO_CC_X7R.pdf</x:v>
      </x:c>
      <x:c xmlns:x="http://schemas.openxmlformats.org/spreadsheetml/2006/main" r="U206" t="str" s="11">
        <x:v>Даташит — локальный</x:v>
      </x:c>
      <x:c xmlns:x="http://schemas.openxmlformats.org/spreadsheetml/2006/main" r="V206" t="str" s="11">
        <x:v>C:\Users\Nomatin\Documents\Altium\MY_LIB\MY_LIB\Datasheets\YAGEO_CC_X7R.pdf</x:v>
      </x:c>
      <x:c xmlns:x="http://schemas.openxmlformats.org/spreadsheetml/2006/main" r="W206" t="str" s="11">
        <x:v>Даташит — производитель</x:v>
      </x:c>
      <x:c xmlns:x="http://schemas.openxmlformats.org/spreadsheetml/2006/main" r="X206" t="str" s="11">
        <x:v>https://yageogroup.com/content/datasheet/asset/file/UPY-GPHC_X7R_6_3V-TO-250V</x:v>
      </x:c>
      <x:c xmlns:x="http://schemas.openxmlformats.org/spreadsheetml/2006/main" r="Y206" t="str" s="11">
        <x:v>C:\Users\Nomatin\Documents\Altium\MY_LIB\MY_LIB\Datasheets\YAGEO_CC_X7R.pdf</x:v>
      </x:c>
      <ns0:c xmlns:ns0="http://schemas.openxmlformats.org/spreadsheetml/2006/main" r="Z206" s="11">
        <ns0:v>1.5e-09</ns0:v>
      </ns0:c>
      <ns0:c xmlns:ns0="http://schemas.openxmlformats.org/spreadsheetml/2006/main" r="AA206" s="11">
        <ns0:v>0.025</ns0:v>
      </ns0:c>
      <ns0:c xmlns:ns0="http://schemas.openxmlformats.org/spreadsheetml/2006/main" r="AB206" s="11">
        <ns0:v>1000</ns0:v>
      </ns0:c>
      <ns0:c xmlns:ns0="http://schemas.openxmlformats.org/spreadsheetml/2006/main" r="AC206" s="11">
        <ns0:v>1</ns0:v>
      </ns0:c>
      <ns0:c xmlns:ns0="http://schemas.openxmlformats.org/spreadsheetml/2006/main" r="AD206" s="11">
        <ns0:v>20</ns0:v>
      </ns0:c>
      <ns0:c xmlns:ns0="http://schemas.openxmlformats.org/spreadsheetml/2006/main" r="AE206" s="11">
        <ns0:v>500</ns0:v>
      </ns0:c>
      <ns0:c xmlns:ns0="http://schemas.openxmlformats.org/spreadsheetml/2006/main" r="AF206" s="11">
        <ns0:v>10000000000</ns0:v>
      </ns0:c>
      <ns0:c xmlns:ns0="http://schemas.openxmlformats.org/spreadsheetml/2006/main" r="AG206" s="11">
        <ns0:v>100</ns0:v>
      </ns0:c>
      <ns0:c xmlns:ns0="http://schemas.openxmlformats.org/spreadsheetml/2006/main" r="AH206" s="11">
        <ns0:v>60</ns0:v>
      </ns0:c>
      <ns0:c xmlns:ns0="http://schemas.openxmlformats.org/spreadsheetml/2006/main" r="AI206" s="11">
        <ns0:v>2652.58238486492</ns0:v>
      </ns0:c>
      <ns0:c xmlns:ns0="http://schemas.openxmlformats.org/spreadsheetml/2006/main" r="AJ206" s="11" t="inlineStr">
        <ns0:is>
          <ns0:t>MY_LIB_C_RC</ns0:t>
        </ns0:is>
      </ns0:c>
      <ns0:c xmlns:ns0="http://schemas.openxmlformats.org/spreadsheetml/2006/main" r="AK206" s="11" t="inlineStr">
        <ns0:is>
          <ns0:t>Nominal C; DFmax at 1kHz; minimum insulation; no temperature/bias/ESL</ns0:t>
        </ns0:is>
      </ns0:c>
      <ns0:c xmlns:ns0="http://schemas.openxmlformats.org/spreadsheetml/2006/main" r="AL206" s="11" t="inlineStr">
        <ns0:is>
          <ns0:t>General</ns0:t>
        </ns0:is>
      </ns0:c>
      <ns0:c xmlns:ns0="http://schemas.openxmlformats.org/spreadsheetml/2006/main" r="AM206" s="11" t="inlineStr">
        <ns0:is>
          <ns0:t>Spice Subcircuit</ns0:t>
        </ns0:is>
      </ns0:c>
      <ns0:c xmlns:ns0="http://schemas.openxmlformats.org/spreadsheetml/2006/main" r="AN206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206" s="11" t="inlineStr">
        <ns0:is>
          <ns0:t>X</ns0:t>
        </ns0:is>
      </ns0:c>
      <ns0:c xmlns:ns0="http://schemas.openxmlformats.org/spreadsheetml/2006/main" r="AP206" s="11" t="inlineStr">
        <ns0:is>
          <ns0:t>(1:1),(2:2)</ns0:t>
        </ns0:is>
      </ns0:c>
      <ns0:c xmlns:ns0="http://schemas.openxmlformats.org/spreadsheetml/2006/main" r="AQ206" s="11" t="inlineStr">
        <ns0:is>
          <ns0:t>Simulation\Capacitors\MY_LIB_C_RC.ckt</ns0:t>
        </ns0:is>
      </ns0:c>
    </ns0:row>
    <ns0:row r="207" ht="30" customHeight="1">
      <ns0:c r="A207" t="str" s="14">
        <ns0:v>C0208</ns0:v>
      </ns0:c>
      <ns0:c r="B207" t="str" s="14">
        <ns0:v>Конденсатор</ns0:v>
      </ns0:c>
      <ns0:c r="C207" t="str" s="14">
        <ns0:v>1.8n</ns0:v>
      </ns0:c>
      <ns0:c r="D207" t="str" s="11">
        <ns0:f>SUBSTITUTE(SUBSTITUTE(SUBSTITUTE(SUBSTITUTE(C207,"p"," пФ"),"n"," нФ"),"u"," мкФ"),".",",")</ns0:f>
        <ns0:v>1,8 нФ</ns0:v>
      </ns0:c>
      <ns0:c r="E207" t="str" s="14">
        <ns0:v>±10%</ns0:v>
      </ns0:c>
      <ns0:c r="F207" s="14"/>
      <ns0:c r="G207" t="str" s="14">
        <ns0:v>100 В</ns0:v>
      </ns0:c>
      <ns0:c r="H207" t="str" s="14">
        <ns0:v>X7R</ns0:v>
      </ns0:c>
      <ns0:c r="I207" t="str" s="15">
        <ns0:v>0603</ns0:v>
      </ns0:c>
      <ns0:c r="J207" t="str" s="14">
        <ns0:v>YAGEO</ns0:v>
      </ns0:c>
      <ns0:c r="K207" t="str" s="14">
        <ns0:v>CC0603KRX7R0BB182</ns0:v>
      </ns0:c>
      <ns0:c r="L207" t="str" s="11">
        <ns0:f>B207&amp;" "&amp;D207&amp;" "&amp;E207&amp;" "&amp;G207&amp;" "&amp;H207&amp;" "&amp;I207</ns0:f>
        <ns0:v>Конденсатор 1,8 нФ ±10% 100 В X7R 0603</ns0:v>
      </ns0:c>
      <ns0:c r="M207" t="str" s="13">
        <ns0:v>C</ns0:v>
      </ns0:c>
      <ns0:c r="N207" t="str" s="13">
        <ns0:v>Symbols\MY_LIB_Capacitors.SchLib</ns0:v>
      </ns0:c>
      <ns0:c r="O207" t="str" s="13">
        <ns0:v>CAPC1608X90N</ns0:v>
      </ns0:c>
      <ns0:c r="P207" t="str" s="13">
        <ns0:v>Footprints\PBL - SMD Packages.PcbLib</ns0:v>
      </ns0:c>
      <ns0:c r="Q207" t="str" s="14">
        <ns0:v>YAGEO CC; список 20.10.2026</ns0:v>
      </ns0:c>
      <ns0:c r="R207" t="str" s="11">
        <ns0:f>D207</ns0:f>
        <ns0:v>1,8 нФ</ns0:v>
      </ns0:c>
      <ns0:c r="S207" t="str" s="11">
        <ns0:f>L207</ns0:f>
        <ns0:v>Конденсатор 1,8 нФ ±10% 100 В X7R 0603</ns0:v>
      </ns0:c>
      <x:c xmlns:x="http://schemas.openxmlformats.org/spreadsheetml/2006/main" r="T207" t="str" s="11">
        <x:v>C:\Users\Nomatin\Documents\Altium\MY_LIB\MY_LIB\Datasheets\YAGEO_CC_X7R.pdf</x:v>
      </x:c>
      <x:c xmlns:x="http://schemas.openxmlformats.org/spreadsheetml/2006/main" r="U207" t="str" s="11">
        <x:v>Даташит — локальный</x:v>
      </x:c>
      <x:c xmlns:x="http://schemas.openxmlformats.org/spreadsheetml/2006/main" r="V207" t="str" s="11">
        <x:v>C:\Users\Nomatin\Documents\Altium\MY_LIB\MY_LIB\Datasheets\YAGEO_CC_X7R.pdf</x:v>
      </x:c>
      <x:c xmlns:x="http://schemas.openxmlformats.org/spreadsheetml/2006/main" r="W207" t="str" s="11">
        <x:v>Даташит — производитель</x:v>
      </x:c>
      <x:c xmlns:x="http://schemas.openxmlformats.org/spreadsheetml/2006/main" r="X207" t="str" s="11">
        <x:v>https://yageogroup.com/content/datasheet/asset/file/UPY-GPHC_X7R_6_3V-TO-250V</x:v>
      </x:c>
      <x:c xmlns:x="http://schemas.openxmlformats.org/spreadsheetml/2006/main" r="Y207" t="str" s="11">
        <x:v>C:\Users\Nomatin\Documents\Altium\MY_LIB\MY_LIB\Datasheets\YAGEO_CC_X7R.pdf</x:v>
      </x:c>
      <ns0:c xmlns:ns0="http://schemas.openxmlformats.org/spreadsheetml/2006/main" r="Z207" s="11">
        <ns0:v>1.8e-09</ns0:v>
      </ns0:c>
      <ns0:c xmlns:ns0="http://schemas.openxmlformats.org/spreadsheetml/2006/main" r="AA207" s="11">
        <ns0:v>0.025</ns0:v>
      </ns0:c>
      <ns0:c xmlns:ns0="http://schemas.openxmlformats.org/spreadsheetml/2006/main" r="AB207" s="11">
        <ns0:v>1000</ns0:v>
      </ns0:c>
      <ns0:c xmlns:ns0="http://schemas.openxmlformats.org/spreadsheetml/2006/main" r="AC207" s="11">
        <ns0:v>1</ns0:v>
      </ns0:c>
      <ns0:c xmlns:ns0="http://schemas.openxmlformats.org/spreadsheetml/2006/main" r="AD207" s="11">
        <ns0:v>20</ns0:v>
      </ns0:c>
      <ns0:c xmlns:ns0="http://schemas.openxmlformats.org/spreadsheetml/2006/main" r="AE207" s="11">
        <ns0:v>500</ns0:v>
      </ns0:c>
      <ns0:c xmlns:ns0="http://schemas.openxmlformats.org/spreadsheetml/2006/main" r="AF207" s="11">
        <ns0:v>10000000000</ns0:v>
      </ns0:c>
      <ns0:c xmlns:ns0="http://schemas.openxmlformats.org/spreadsheetml/2006/main" r="AG207" s="11">
        <ns0:v>100</ns0:v>
      </ns0:c>
      <ns0:c xmlns:ns0="http://schemas.openxmlformats.org/spreadsheetml/2006/main" r="AH207" s="11">
        <ns0:v>60</ns0:v>
      </ns0:c>
      <ns0:c xmlns:ns0="http://schemas.openxmlformats.org/spreadsheetml/2006/main" r="AI207" s="11">
        <ns0:v>2210.48532072077</ns0:v>
      </ns0:c>
      <ns0:c xmlns:ns0="http://schemas.openxmlformats.org/spreadsheetml/2006/main" r="AJ207" s="11" t="inlineStr">
        <ns0:is>
          <ns0:t>MY_LIB_C_RC</ns0:t>
        </ns0:is>
      </ns0:c>
      <ns0:c xmlns:ns0="http://schemas.openxmlformats.org/spreadsheetml/2006/main" r="AK207" s="11" t="inlineStr">
        <ns0:is>
          <ns0:t>Nominal C; DFmax at 1kHz; minimum insulation; no temperature/bias/ESL</ns0:t>
        </ns0:is>
      </ns0:c>
      <ns0:c xmlns:ns0="http://schemas.openxmlformats.org/spreadsheetml/2006/main" r="AL207" s="11" t="inlineStr">
        <ns0:is>
          <ns0:t>General</ns0:t>
        </ns0:is>
      </ns0:c>
      <ns0:c xmlns:ns0="http://schemas.openxmlformats.org/spreadsheetml/2006/main" r="AM207" s="11" t="inlineStr">
        <ns0:is>
          <ns0:t>Spice Subcircuit</ns0:t>
        </ns0:is>
      </ns0:c>
      <ns0:c xmlns:ns0="http://schemas.openxmlformats.org/spreadsheetml/2006/main" r="AN207" s="11" t="inlineStr">
        <ns0:is>
          <ns0:t>@DESIGNATOR %1 %2 @MODEL PARAMS: Cvalue=1.8e-09 Rsvalue=2210.48532072077 Rinsvalue=10000000000</ns0:t>
        </ns0:is>
      </ns0:c>
      <ns0:c xmlns:ns0="http://schemas.openxmlformats.org/spreadsheetml/2006/main" r="AO207" s="11" t="inlineStr">
        <ns0:is>
          <ns0:t>X</ns0:t>
        </ns0:is>
      </ns0:c>
      <ns0:c xmlns:ns0="http://schemas.openxmlformats.org/spreadsheetml/2006/main" r="AP207" s="11" t="inlineStr">
        <ns0:is>
          <ns0:t>(1:1),(2:2)</ns0:t>
        </ns0:is>
      </ns0:c>
      <ns0:c xmlns:ns0="http://schemas.openxmlformats.org/spreadsheetml/2006/main" r="AQ207" s="11" t="inlineStr">
        <ns0:is>
          <ns0:t>Simulation\Capacitors\MY_LIB_C_RC.ckt</ns0:t>
        </ns0:is>
      </ns0:c>
    </ns0:row>
    <ns0:row r="208" ht="30" customHeight="1">
      <ns0:c r="A208" t="str" s="14">
        <ns0:v>C0209</ns0:v>
      </ns0:c>
      <ns0:c r="B208" t="str" s="14">
        <ns0:v>Конденсатор</ns0:v>
      </ns0:c>
      <ns0:c r="C208" t="str" s="14">
        <ns0:v>2n</ns0:v>
      </ns0:c>
      <ns0:c r="D208" t="str" s="11">
        <ns0:f>SUBSTITUTE(SUBSTITUTE(SUBSTITUTE(SUBSTITUTE(C208,"p"," пФ"),"n"," нФ"),"u"," мкФ"),".",",")</ns0:f>
        <ns0:v>2 нФ</ns0:v>
      </ns0:c>
      <ns0:c r="E208" t="str" s="14">
        <ns0:v>±10%</ns0:v>
      </ns0:c>
      <ns0:c r="F208" s="14"/>
      <ns0:c r="G208" t="str" s="14">
        <ns0:v>100 В</ns0:v>
      </ns0:c>
      <ns0:c r="H208" t="str" s="14">
        <ns0:v>X7R</ns0:v>
      </ns0:c>
      <ns0:c r="I208" t="str" s="15">
        <ns0:v>0603</ns0:v>
      </ns0:c>
      <ns0:c r="J208" t="str" s="14">
        <ns0:v>YAGEO</ns0:v>
      </ns0:c>
      <ns0:c r="K208" t="str" s="14">
        <ns0:v>CC0603KRX7R0BB202</ns0:v>
      </ns0:c>
      <ns0:c r="L208" t="str" s="11">
        <ns0:f>B208&amp;" "&amp;D208&amp;" "&amp;E208&amp;" "&amp;G208&amp;" "&amp;H208&amp;" "&amp;I208</ns0:f>
        <ns0:v>Конденсатор 2 нФ ±10% 100 В X7R 0603</ns0:v>
      </ns0:c>
      <ns0:c r="M208" t="str" s="13">
        <ns0:v>C</ns0:v>
      </ns0:c>
      <ns0:c r="N208" t="str" s="13">
        <ns0:v>Symbols\MY_LIB_Capacitors.SchLib</ns0:v>
      </ns0:c>
      <ns0:c r="O208" t="str" s="13">
        <ns0:v>CAPC1608X90N</ns0:v>
      </ns0:c>
      <ns0:c r="P208" t="str" s="13">
        <ns0:v>Footprints\PBL - SMD Packages.PcbLib</ns0:v>
      </ns0:c>
      <ns0:c r="Q208" t="str" s="14">
        <ns0:v>YAGEO CC; список 20.10.2026</ns0:v>
      </ns0:c>
      <ns0:c r="R208" t="str" s="11">
        <ns0:f>D208</ns0:f>
        <ns0:v>2 нФ</ns0:v>
      </ns0:c>
      <ns0:c r="S208" t="str" s="11">
        <ns0:f>L208</ns0:f>
        <ns0:v>Конденсатор 2 нФ ±10% 100 В X7R 0603</ns0:v>
      </ns0:c>
      <x:c xmlns:x="http://schemas.openxmlformats.org/spreadsheetml/2006/main" r="T208" t="str" s="11">
        <x:v>C:\Users\Nomatin\Documents\Altium\MY_LIB\MY_LIB\Datasheets\YAGEO_CC_X7R.pdf</x:v>
      </x:c>
      <x:c xmlns:x="http://schemas.openxmlformats.org/spreadsheetml/2006/main" r="U208" t="str" s="11">
        <x:v>Даташит — локальный</x:v>
      </x:c>
      <x:c xmlns:x="http://schemas.openxmlformats.org/spreadsheetml/2006/main" r="V208" t="str" s="11">
        <x:v>C:\Users\Nomatin\Documents\Altium\MY_LIB\MY_LIB\Datasheets\YAGEO_CC_X7R.pdf</x:v>
      </x:c>
      <x:c xmlns:x="http://schemas.openxmlformats.org/spreadsheetml/2006/main" r="W208" t="str" s="11">
        <x:v>Даташит — производитель</x:v>
      </x:c>
      <x:c xmlns:x="http://schemas.openxmlformats.org/spreadsheetml/2006/main" r="X208" t="str" s="11">
        <x:v>https://yageogroup.com/content/datasheet/asset/file/UPY-GPHC_X7R_6_3V-TO-250V</x:v>
      </x:c>
      <x:c xmlns:x="http://schemas.openxmlformats.org/spreadsheetml/2006/main" r="Y208" t="str" s="11">
        <x:v>C:\Users\Nomatin\Documents\Altium\MY_LIB\MY_LIB\Datasheets\YAGEO_CC_X7R.pdf</x:v>
      </x:c>
      <ns0:c xmlns:ns0="http://schemas.openxmlformats.org/spreadsheetml/2006/main" r="Z208" s="11">
        <ns0:v>2e-09</ns0:v>
      </ns0:c>
      <ns0:c xmlns:ns0="http://schemas.openxmlformats.org/spreadsheetml/2006/main" r="AA208" s="11">
        <ns0:v>0.025</ns0:v>
      </ns0:c>
      <ns0:c xmlns:ns0="http://schemas.openxmlformats.org/spreadsheetml/2006/main" r="AB208" s="11">
        <ns0:v>1000</ns0:v>
      </ns0:c>
      <ns0:c xmlns:ns0="http://schemas.openxmlformats.org/spreadsheetml/2006/main" r="AC208" s="11">
        <ns0:v>1</ns0:v>
      </ns0:c>
      <ns0:c xmlns:ns0="http://schemas.openxmlformats.org/spreadsheetml/2006/main" r="AD208" s="11">
        <ns0:v>20</ns0:v>
      </ns0:c>
      <ns0:c xmlns:ns0="http://schemas.openxmlformats.org/spreadsheetml/2006/main" r="AE208" s="11">
        <ns0:v>500</ns0:v>
      </ns0:c>
      <ns0:c xmlns:ns0="http://schemas.openxmlformats.org/spreadsheetml/2006/main" r="AF208" s="11">
        <ns0:v>10000000000</ns0:v>
      </ns0:c>
      <ns0:c xmlns:ns0="http://schemas.openxmlformats.org/spreadsheetml/2006/main" r="AG208" s="11">
        <ns0:v>100</ns0:v>
      </ns0:c>
      <ns0:c xmlns:ns0="http://schemas.openxmlformats.org/spreadsheetml/2006/main" r="AH208" s="11">
        <ns0:v>60</ns0:v>
      </ns0:c>
      <ns0:c xmlns:ns0="http://schemas.openxmlformats.org/spreadsheetml/2006/main" r="AI208" s="11">
        <ns0:v>1989.43678864869</ns0:v>
      </ns0:c>
      <ns0:c xmlns:ns0="http://schemas.openxmlformats.org/spreadsheetml/2006/main" r="AJ208" s="11" t="inlineStr">
        <ns0:is>
          <ns0:t>MY_LIB_C_RC</ns0:t>
        </ns0:is>
      </ns0:c>
      <ns0:c xmlns:ns0="http://schemas.openxmlformats.org/spreadsheetml/2006/main" r="AK208" s="11" t="inlineStr">
        <ns0:is>
          <ns0:t>Nominal C; DFmax at 1kHz; minimum insulation; no temperature/bias/ESL</ns0:t>
        </ns0:is>
      </ns0:c>
      <ns0:c xmlns:ns0="http://schemas.openxmlformats.org/spreadsheetml/2006/main" r="AL208" s="11" t="inlineStr">
        <ns0:is>
          <ns0:t>General</ns0:t>
        </ns0:is>
      </ns0:c>
      <ns0:c xmlns:ns0="http://schemas.openxmlformats.org/spreadsheetml/2006/main" r="AM208" s="11" t="inlineStr">
        <ns0:is>
          <ns0:t>Spice Subcircuit</ns0:t>
        </ns0:is>
      </ns0:c>
      <ns0:c xmlns:ns0="http://schemas.openxmlformats.org/spreadsheetml/2006/main" r="AN208" s="11" t="inlineStr">
        <ns0:is>
          <ns0:t>@DESIGNATOR %1 %2 @MODEL PARAMS: Cvalue=2e-09 Rsvalue=1989.43678864869 Rinsvalue=10000000000</ns0:t>
        </ns0:is>
      </ns0:c>
      <ns0:c xmlns:ns0="http://schemas.openxmlformats.org/spreadsheetml/2006/main" r="AO208" s="11" t="inlineStr">
        <ns0:is>
          <ns0:t>X</ns0:t>
        </ns0:is>
      </ns0:c>
      <ns0:c xmlns:ns0="http://schemas.openxmlformats.org/spreadsheetml/2006/main" r="AP208" s="11" t="inlineStr">
        <ns0:is>
          <ns0:t>(1:1),(2:2)</ns0:t>
        </ns0:is>
      </ns0:c>
      <ns0:c xmlns:ns0="http://schemas.openxmlformats.org/spreadsheetml/2006/main" r="AQ208" s="11" t="inlineStr">
        <ns0:is>
          <ns0:t>Simulation\Capacitors\MY_LIB_C_RC.ckt</ns0:t>
        </ns0:is>
      </ns0:c>
    </ns0:row>
    <ns0:row r="209" ht="30" customHeight="1">
      <ns0:c r="A209" t="str" s="14">
        <ns0:v>C0210</ns0:v>
      </ns0:c>
      <ns0:c r="B209" t="str" s="14">
        <ns0:v>Конденсатор</ns0:v>
      </ns0:c>
      <ns0:c r="C209" t="str" s="14">
        <ns0:v>2.2n</ns0:v>
      </ns0:c>
      <ns0:c r="D209" t="str" s="11">
        <ns0:f>SUBSTITUTE(SUBSTITUTE(SUBSTITUTE(SUBSTITUTE(C209,"p"," пФ"),"n"," нФ"),"u"," мкФ"),".",",")</ns0:f>
        <ns0:v>2,2 нФ</ns0:v>
      </ns0:c>
      <ns0:c r="E209" t="str" s="14">
        <ns0:v>±10%</ns0:v>
      </ns0:c>
      <ns0:c r="F209" s="14"/>
      <ns0:c r="G209" t="str" s="14">
        <ns0:v>100 В</ns0:v>
      </ns0:c>
      <ns0:c r="H209" t="str" s="14">
        <ns0:v>X7R</ns0:v>
      </ns0:c>
      <ns0:c r="I209" t="str" s="15">
        <ns0:v>0603</ns0:v>
      </ns0:c>
      <ns0:c r="J209" t="str" s="14">
        <ns0:v>YAGEO</ns0:v>
      </ns0:c>
      <ns0:c r="K209" t="str" s="14">
        <ns0:v>CC0603KRX7R0BB222</ns0:v>
      </ns0:c>
      <ns0:c r="L209" t="str" s="11">
        <ns0:f>B209&amp;" "&amp;D209&amp;" "&amp;E209&amp;" "&amp;G209&amp;" "&amp;H209&amp;" "&amp;I209</ns0:f>
        <ns0:v>Конденсатор 2,2 нФ ±10% 100 В X7R 0603</ns0:v>
      </ns0:c>
      <ns0:c r="M209" t="str" s="13">
        <ns0:v>C</ns0:v>
      </ns0:c>
      <ns0:c r="N209" t="str" s="13">
        <ns0:v>Symbols\MY_LIB_Capacitors.SchLib</ns0:v>
      </ns0:c>
      <ns0:c r="O209" t="str" s="13">
        <ns0:v>CAPC1608X90N</ns0:v>
      </ns0:c>
      <ns0:c r="P209" t="str" s="13">
        <ns0:v>Footprints\PBL - SMD Packages.PcbLib</ns0:v>
      </ns0:c>
      <ns0:c r="Q209" t="str" s="14">
        <ns0:v>YAGEO CC; список 20.10.2026</ns0:v>
      </ns0:c>
      <ns0:c r="R209" t="str" s="11">
        <ns0:f>D209</ns0:f>
        <ns0:v>2,2 нФ</ns0:v>
      </ns0:c>
      <ns0:c r="S209" t="str" s="11">
        <ns0:f>L209</ns0:f>
        <ns0:v>Конденсатор 2,2 нФ ±10% 100 В X7R 0603</ns0:v>
      </ns0:c>
      <x:c xmlns:x="http://schemas.openxmlformats.org/spreadsheetml/2006/main" r="T209" t="str" s="11">
        <x:v>C:\Users\Nomatin\Documents\Altium\MY_LIB\MY_LIB\Datasheets\YAGEO_CC_X7R.pdf</x:v>
      </x:c>
      <x:c xmlns:x="http://schemas.openxmlformats.org/spreadsheetml/2006/main" r="U209" t="str" s="11">
        <x:v>Даташит — локальный</x:v>
      </x:c>
      <x:c xmlns:x="http://schemas.openxmlformats.org/spreadsheetml/2006/main" r="V209" t="str" s="11">
        <x:v>C:\Users\Nomatin\Documents\Altium\MY_LIB\MY_LIB\Datasheets\YAGEO_CC_X7R.pdf</x:v>
      </x:c>
      <x:c xmlns:x="http://schemas.openxmlformats.org/spreadsheetml/2006/main" r="W209" t="str" s="11">
        <x:v>Даташит — производитель</x:v>
      </x:c>
      <x:c xmlns:x="http://schemas.openxmlformats.org/spreadsheetml/2006/main" r="X209" t="str" s="11">
        <x:v>https://yageogroup.com/content/datasheet/asset/file/UPY-GPHC_X7R_6_3V-TO-250V</x:v>
      </x:c>
      <x:c xmlns:x="http://schemas.openxmlformats.org/spreadsheetml/2006/main" r="Y209" t="str" s="11">
        <x:v>C:\Users\Nomatin\Documents\Altium\MY_LIB\MY_LIB\Datasheets\YAGEO_CC_X7R.pdf</x:v>
      </x:c>
      <ns0:c xmlns:ns0="http://schemas.openxmlformats.org/spreadsheetml/2006/main" r="Z209" s="11">
        <ns0:v>2.2e-09</ns0:v>
      </ns0:c>
      <ns0:c xmlns:ns0="http://schemas.openxmlformats.org/spreadsheetml/2006/main" r="AA209" s="11">
        <ns0:v>0.025</ns0:v>
      </ns0:c>
      <ns0:c xmlns:ns0="http://schemas.openxmlformats.org/spreadsheetml/2006/main" r="AB209" s="11">
        <ns0:v>1000</ns0:v>
      </ns0:c>
      <ns0:c xmlns:ns0="http://schemas.openxmlformats.org/spreadsheetml/2006/main" r="AC209" s="11">
        <ns0:v>1</ns0:v>
      </ns0:c>
      <ns0:c xmlns:ns0="http://schemas.openxmlformats.org/spreadsheetml/2006/main" r="AD209" s="11">
        <ns0:v>20</ns0:v>
      </ns0:c>
      <ns0:c xmlns:ns0="http://schemas.openxmlformats.org/spreadsheetml/2006/main" r="AE209" s="11">
        <ns0:v>500</ns0:v>
      </ns0:c>
      <ns0:c xmlns:ns0="http://schemas.openxmlformats.org/spreadsheetml/2006/main" r="AF209" s="11">
        <ns0:v>10000000000</ns0:v>
      </ns0:c>
      <ns0:c xmlns:ns0="http://schemas.openxmlformats.org/spreadsheetml/2006/main" r="AG209" s="11">
        <ns0:v>100</ns0:v>
      </ns0:c>
      <ns0:c xmlns:ns0="http://schemas.openxmlformats.org/spreadsheetml/2006/main" r="AH209" s="11">
        <ns0:v>60</ns0:v>
      </ns0:c>
      <ns0:c xmlns:ns0="http://schemas.openxmlformats.org/spreadsheetml/2006/main" r="AI209" s="11">
        <ns0:v>1808.57889877154</ns0:v>
      </ns0:c>
      <ns0:c xmlns:ns0="http://schemas.openxmlformats.org/spreadsheetml/2006/main" r="AJ209" s="11" t="inlineStr">
        <ns0:is>
          <ns0:t>MY_LIB_C_RC</ns0:t>
        </ns0:is>
      </ns0:c>
      <ns0:c xmlns:ns0="http://schemas.openxmlformats.org/spreadsheetml/2006/main" r="AK209" s="11" t="inlineStr">
        <ns0:is>
          <ns0:t>Nominal C; DFmax at 1kHz; minimum insulation; no temperature/bias/ESL</ns0:t>
        </ns0:is>
      </ns0:c>
      <ns0:c xmlns:ns0="http://schemas.openxmlformats.org/spreadsheetml/2006/main" r="AL209" s="11" t="inlineStr">
        <ns0:is>
          <ns0:t>General</ns0:t>
        </ns0:is>
      </ns0:c>
      <ns0:c xmlns:ns0="http://schemas.openxmlformats.org/spreadsheetml/2006/main" r="AM209" s="11" t="inlineStr">
        <ns0:is>
          <ns0:t>Spice Subcircuit</ns0:t>
        </ns0:is>
      </ns0:c>
      <ns0:c xmlns:ns0="http://schemas.openxmlformats.org/spreadsheetml/2006/main" r="AN209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209" s="11" t="inlineStr">
        <ns0:is>
          <ns0:t>X</ns0:t>
        </ns0:is>
      </ns0:c>
      <ns0:c xmlns:ns0="http://schemas.openxmlformats.org/spreadsheetml/2006/main" r="AP209" s="11" t="inlineStr">
        <ns0:is>
          <ns0:t>(1:1),(2:2)</ns0:t>
        </ns0:is>
      </ns0:c>
      <ns0:c xmlns:ns0="http://schemas.openxmlformats.org/spreadsheetml/2006/main" r="AQ209" s="11" t="inlineStr">
        <ns0:is>
          <ns0:t>Simulation\Capacitors\MY_LIB_C_RC.ckt</ns0:t>
        </ns0:is>
      </ns0:c>
    </ns0:row>
    <ns0:row r="210" ht="30" customHeight="1">
      <ns0:c r="A210" t="str" s="14">
        <ns0:v>C0211</ns0:v>
      </ns0:c>
      <ns0:c r="B210" t="str" s="14">
        <ns0:v>Конденсатор</ns0:v>
      </ns0:c>
      <ns0:c r="C210" t="str" s="14">
        <ns0:v>2.7n</ns0:v>
      </ns0:c>
      <ns0:c r="D210" t="str" s="11">
        <ns0:f>SUBSTITUTE(SUBSTITUTE(SUBSTITUTE(SUBSTITUTE(C210,"p"," пФ"),"n"," нФ"),"u"," мкФ"),".",",")</ns0:f>
        <ns0:v>2,7 нФ</ns0:v>
      </ns0:c>
      <ns0:c r="E210" t="str" s="14">
        <ns0:v>±10%</ns0:v>
      </ns0:c>
      <ns0:c r="F210" s="14"/>
      <ns0:c r="G210" t="str" s="14">
        <ns0:v>100 В</ns0:v>
      </ns0:c>
      <ns0:c r="H210" t="str" s="14">
        <ns0:v>X7R</ns0:v>
      </ns0:c>
      <ns0:c r="I210" t="str" s="15">
        <ns0:v>0603</ns0:v>
      </ns0:c>
      <ns0:c r="J210" t="str" s="14">
        <ns0:v>YAGEO</ns0:v>
      </ns0:c>
      <ns0:c r="K210" t="str" s="14">
        <ns0:v>CC0603KRX7R0BB272</ns0:v>
      </ns0:c>
      <ns0:c r="L210" t="str" s="11">
        <ns0:f>B210&amp;" "&amp;D210&amp;" "&amp;E210&amp;" "&amp;G210&amp;" "&amp;H210&amp;" "&amp;I210</ns0:f>
        <ns0:v>Конденсатор 2,7 нФ ±10% 100 В X7R 0603</ns0:v>
      </ns0:c>
      <ns0:c r="M210" t="str" s="13">
        <ns0:v>C</ns0:v>
      </ns0:c>
      <ns0:c r="N210" t="str" s="13">
        <ns0:v>Symbols\MY_LIB_Capacitors.SchLib</ns0:v>
      </ns0:c>
      <ns0:c r="O210" t="str" s="13">
        <ns0:v>CAPC1608X90N</ns0:v>
      </ns0:c>
      <ns0:c r="P210" t="str" s="13">
        <ns0:v>Footprints\PBL - SMD Packages.PcbLib</ns0:v>
      </ns0:c>
      <ns0:c r="Q210" t="str" s="14">
        <ns0:v>YAGEO CC; список 20.10.2026</ns0:v>
      </ns0:c>
      <ns0:c r="R210" t="str" s="11">
        <ns0:f>D210</ns0:f>
        <ns0:v>2,7 нФ</ns0:v>
      </ns0:c>
      <ns0:c r="S210" t="str" s="11">
        <ns0:f>L210</ns0:f>
        <ns0:v>Конденсатор 2,7 нФ ±10% 100 В X7R 0603</ns0:v>
      </ns0:c>
      <x:c xmlns:x="http://schemas.openxmlformats.org/spreadsheetml/2006/main" r="T210" t="str" s="11">
        <x:v>C:\Users\Nomatin\Documents\Altium\MY_LIB\MY_LIB\Datasheets\YAGEO_CC_X7R.pdf</x:v>
      </x:c>
      <x:c xmlns:x="http://schemas.openxmlformats.org/spreadsheetml/2006/main" r="U210" t="str" s="11">
        <x:v>Даташит — локальный</x:v>
      </x:c>
      <x:c xmlns:x="http://schemas.openxmlformats.org/spreadsheetml/2006/main" r="V210" t="str" s="11">
        <x:v>C:\Users\Nomatin\Documents\Altium\MY_LIB\MY_LIB\Datasheets\YAGEO_CC_X7R.pdf</x:v>
      </x:c>
      <x:c xmlns:x="http://schemas.openxmlformats.org/spreadsheetml/2006/main" r="W210" t="str" s="11">
        <x:v>Даташит — производитель</x:v>
      </x:c>
      <x:c xmlns:x="http://schemas.openxmlformats.org/spreadsheetml/2006/main" r="X210" t="str" s="11">
        <x:v>https://yageogroup.com/content/datasheet/asset/file/UPY-GPHC_X7R_6_3V-TO-250V</x:v>
      </x:c>
      <x:c xmlns:x="http://schemas.openxmlformats.org/spreadsheetml/2006/main" r="Y210" t="str" s="11">
        <x:v>C:\Users\Nomatin\Documents\Altium\MY_LIB\MY_LIB\Datasheets\YAGEO_CC_X7R.pdf</x:v>
      </x:c>
      <ns0:c xmlns:ns0="http://schemas.openxmlformats.org/spreadsheetml/2006/main" r="Z210" s="11">
        <ns0:v>2.7e-09</ns0:v>
      </ns0:c>
      <ns0:c xmlns:ns0="http://schemas.openxmlformats.org/spreadsheetml/2006/main" r="AA210" s="11">
        <ns0:v>0.025</ns0:v>
      </ns0:c>
      <ns0:c xmlns:ns0="http://schemas.openxmlformats.org/spreadsheetml/2006/main" r="AB210" s="11">
        <ns0:v>1000</ns0:v>
      </ns0:c>
      <ns0:c xmlns:ns0="http://schemas.openxmlformats.org/spreadsheetml/2006/main" r="AC210" s="11">
        <ns0:v>1</ns0:v>
      </ns0:c>
      <ns0:c xmlns:ns0="http://schemas.openxmlformats.org/spreadsheetml/2006/main" r="AD210" s="11">
        <ns0:v>20</ns0:v>
      </ns0:c>
      <ns0:c xmlns:ns0="http://schemas.openxmlformats.org/spreadsheetml/2006/main" r="AE210" s="11">
        <ns0:v>500</ns0:v>
      </ns0:c>
      <ns0:c xmlns:ns0="http://schemas.openxmlformats.org/spreadsheetml/2006/main" r="AF210" s="11">
        <ns0:v>10000000000</ns0:v>
      </ns0:c>
      <ns0:c xmlns:ns0="http://schemas.openxmlformats.org/spreadsheetml/2006/main" r="AG210" s="11">
        <ns0:v>100</ns0:v>
      </ns0:c>
      <ns0:c xmlns:ns0="http://schemas.openxmlformats.org/spreadsheetml/2006/main" r="AH210" s="11">
        <ns0:v>60</ns0:v>
      </ns0:c>
      <ns0:c xmlns:ns0="http://schemas.openxmlformats.org/spreadsheetml/2006/main" r="AI210" s="11">
        <ns0:v>1473.65688048051</ns0:v>
      </ns0:c>
      <ns0:c xmlns:ns0="http://schemas.openxmlformats.org/spreadsheetml/2006/main" r="AJ210" s="11" t="inlineStr">
        <ns0:is>
          <ns0:t>MY_LIB_C_RC</ns0:t>
        </ns0:is>
      </ns0:c>
      <ns0:c xmlns:ns0="http://schemas.openxmlformats.org/spreadsheetml/2006/main" r="AK210" s="11" t="inlineStr">
        <ns0:is>
          <ns0:t>Nominal C; DFmax at 1kHz; minimum insulation; no temperature/bias/ESL</ns0:t>
        </ns0:is>
      </ns0:c>
      <ns0:c xmlns:ns0="http://schemas.openxmlformats.org/spreadsheetml/2006/main" r="AL210" s="11" t="inlineStr">
        <ns0:is>
          <ns0:t>General</ns0:t>
        </ns0:is>
      </ns0:c>
      <ns0:c xmlns:ns0="http://schemas.openxmlformats.org/spreadsheetml/2006/main" r="AM210" s="11" t="inlineStr">
        <ns0:is>
          <ns0:t>Spice Subcircuit</ns0:t>
        </ns0:is>
      </ns0:c>
      <ns0:c xmlns:ns0="http://schemas.openxmlformats.org/spreadsheetml/2006/main" r="AN210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210" s="11" t="inlineStr">
        <ns0:is>
          <ns0:t>X</ns0:t>
        </ns0:is>
      </ns0:c>
      <ns0:c xmlns:ns0="http://schemas.openxmlformats.org/spreadsheetml/2006/main" r="AP210" s="11" t="inlineStr">
        <ns0:is>
          <ns0:t>(1:1),(2:2)</ns0:t>
        </ns0:is>
      </ns0:c>
      <ns0:c xmlns:ns0="http://schemas.openxmlformats.org/spreadsheetml/2006/main" r="AQ210" s="11" t="inlineStr">
        <ns0:is>
          <ns0:t>Simulation\Capacitors\MY_LIB_C_RC.ckt</ns0:t>
        </ns0:is>
      </ns0:c>
    </ns0:row>
    <ns0:row r="211" ht="30" customHeight="1">
      <ns0:c r="A211" t="str" s="14">
        <ns0:v>C0212</ns0:v>
      </ns0:c>
      <ns0:c r="B211" t="str" s="14">
        <ns0:v>Конденсатор</ns0:v>
      </ns0:c>
      <ns0:c r="C211" t="str" s="14">
        <ns0:v>3.3n</ns0:v>
      </ns0:c>
      <ns0:c r="D211" t="str" s="11">
        <ns0:f>SUBSTITUTE(SUBSTITUTE(SUBSTITUTE(SUBSTITUTE(C211,"p"," пФ"),"n"," нФ"),"u"," мкФ"),".",",")</ns0:f>
        <ns0:v>3,3 нФ</ns0:v>
      </ns0:c>
      <ns0:c r="E211" t="str" s="14">
        <ns0:v>±10%</ns0:v>
      </ns0:c>
      <ns0:c r="F211" s="14"/>
      <ns0:c r="G211" t="str" s="14">
        <ns0:v>100 В</ns0:v>
      </ns0:c>
      <ns0:c r="H211" t="str" s="14">
        <ns0:v>X7R</ns0:v>
      </ns0:c>
      <ns0:c r="I211" t="str" s="15">
        <ns0:v>0603</ns0:v>
      </ns0:c>
      <ns0:c r="J211" t="str" s="14">
        <ns0:v>YAGEO</ns0:v>
      </ns0:c>
      <ns0:c r="K211" t="str" s="14">
        <ns0:v>CC0603KRX7R0BB332</ns0:v>
      </ns0:c>
      <ns0:c r="L211" t="str" s="11">
        <ns0:f>B211&amp;" "&amp;D211&amp;" "&amp;E211&amp;" "&amp;G211&amp;" "&amp;H211&amp;" "&amp;I211</ns0:f>
        <ns0:v>Конденсатор 3,3 нФ ±10% 100 В X7R 0603</ns0:v>
      </ns0:c>
      <ns0:c r="M211" t="str" s="13">
        <ns0:v>C</ns0:v>
      </ns0:c>
      <ns0:c r="N211" t="str" s="13">
        <ns0:v>Symbols\MY_LIB_Capacitors.SchLib</ns0:v>
      </ns0:c>
      <ns0:c r="O211" t="str" s="13">
        <ns0:v>CAPC1608X90N</ns0:v>
      </ns0:c>
      <ns0:c r="P211" t="str" s="13">
        <ns0:v>Footprints\PBL - SMD Packages.PcbLib</ns0:v>
      </ns0:c>
      <ns0:c r="Q211" t="str" s="14">
        <ns0:v>YAGEO CC; список 20.10.2026</ns0:v>
      </ns0:c>
      <ns0:c r="R211" t="str" s="11">
        <ns0:f>D211</ns0:f>
        <ns0:v>3,3 нФ</ns0:v>
      </ns0:c>
      <ns0:c r="S211" t="str" s="11">
        <ns0:f>L211</ns0:f>
        <ns0:v>Конденсатор 3,3 нФ ±10% 100 В X7R 0603</ns0:v>
      </ns0:c>
      <x:c xmlns:x="http://schemas.openxmlformats.org/spreadsheetml/2006/main" r="T211" t="str" s="11">
        <x:v>C:\Users\Nomatin\Documents\Altium\MY_LIB\MY_LIB\Datasheets\YAGEO_CC_X7R.pdf</x:v>
      </x:c>
      <x:c xmlns:x="http://schemas.openxmlformats.org/spreadsheetml/2006/main" r="U211" t="str" s="11">
        <x:v>Даташит — локальный</x:v>
      </x:c>
      <x:c xmlns:x="http://schemas.openxmlformats.org/spreadsheetml/2006/main" r="V211" t="str" s="11">
        <x:v>C:\Users\Nomatin\Documents\Altium\MY_LIB\MY_LIB\Datasheets\YAGEO_CC_X7R.pdf</x:v>
      </x:c>
      <x:c xmlns:x="http://schemas.openxmlformats.org/spreadsheetml/2006/main" r="W211" t="str" s="11">
        <x:v>Даташит — производитель</x:v>
      </x:c>
      <x:c xmlns:x="http://schemas.openxmlformats.org/spreadsheetml/2006/main" r="X211" t="str" s="11">
        <x:v>https://yageogroup.com/content/datasheet/asset/file/UPY-GPHC_X7R_6_3V-TO-250V</x:v>
      </x:c>
      <x:c xmlns:x="http://schemas.openxmlformats.org/spreadsheetml/2006/main" r="Y211" t="str" s="11">
        <x:v>C:\Users\Nomatin\Documents\Altium\MY_LIB\MY_LIB\Datasheets\YAGEO_CC_X7R.pdf</x:v>
      </x:c>
      <ns0:c xmlns:ns0="http://schemas.openxmlformats.org/spreadsheetml/2006/main" r="Z211" s="11">
        <ns0:v>3.3e-09</ns0:v>
      </ns0:c>
      <ns0:c xmlns:ns0="http://schemas.openxmlformats.org/spreadsheetml/2006/main" r="AA211" s="11">
        <ns0:v>0.025</ns0:v>
      </ns0:c>
      <ns0:c xmlns:ns0="http://schemas.openxmlformats.org/spreadsheetml/2006/main" r="AB211" s="11">
        <ns0:v>1000</ns0:v>
      </ns0:c>
      <ns0:c xmlns:ns0="http://schemas.openxmlformats.org/spreadsheetml/2006/main" r="AC211" s="11">
        <ns0:v>1</ns0:v>
      </ns0:c>
      <ns0:c xmlns:ns0="http://schemas.openxmlformats.org/spreadsheetml/2006/main" r="AD211" s="11">
        <ns0:v>20</ns0:v>
      </ns0:c>
      <ns0:c xmlns:ns0="http://schemas.openxmlformats.org/spreadsheetml/2006/main" r="AE211" s="11">
        <ns0:v>500</ns0:v>
      </ns0:c>
      <ns0:c xmlns:ns0="http://schemas.openxmlformats.org/spreadsheetml/2006/main" r="AF211" s="11">
        <ns0:v>10000000000</ns0:v>
      </ns0:c>
      <ns0:c xmlns:ns0="http://schemas.openxmlformats.org/spreadsheetml/2006/main" r="AG211" s="11">
        <ns0:v>100</ns0:v>
      </ns0:c>
      <ns0:c xmlns:ns0="http://schemas.openxmlformats.org/spreadsheetml/2006/main" r="AH211" s="11">
        <ns0:v>60</ns0:v>
      </ns0:c>
      <ns0:c xmlns:ns0="http://schemas.openxmlformats.org/spreadsheetml/2006/main" r="AI211" s="11">
        <ns0:v>1205.71926584769</ns0:v>
      </ns0:c>
      <ns0:c xmlns:ns0="http://schemas.openxmlformats.org/spreadsheetml/2006/main" r="AJ211" s="11" t="inlineStr">
        <ns0:is>
          <ns0:t>MY_LIB_C_RC</ns0:t>
        </ns0:is>
      </ns0:c>
      <ns0:c xmlns:ns0="http://schemas.openxmlformats.org/spreadsheetml/2006/main" r="AK211" s="11" t="inlineStr">
        <ns0:is>
          <ns0:t>Nominal C; DFmax at 1kHz; minimum insulation; no temperature/bias/ESL</ns0:t>
        </ns0:is>
      </ns0:c>
      <ns0:c xmlns:ns0="http://schemas.openxmlformats.org/spreadsheetml/2006/main" r="AL211" s="11" t="inlineStr">
        <ns0:is>
          <ns0:t>General</ns0:t>
        </ns0:is>
      </ns0:c>
      <ns0:c xmlns:ns0="http://schemas.openxmlformats.org/spreadsheetml/2006/main" r="AM211" s="11" t="inlineStr">
        <ns0:is>
          <ns0:t>Spice Subcircuit</ns0:t>
        </ns0:is>
      </ns0:c>
      <ns0:c xmlns:ns0="http://schemas.openxmlformats.org/spreadsheetml/2006/main" r="AN211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211" s="11" t="inlineStr">
        <ns0:is>
          <ns0:t>X</ns0:t>
        </ns0:is>
      </ns0:c>
      <ns0:c xmlns:ns0="http://schemas.openxmlformats.org/spreadsheetml/2006/main" r="AP211" s="11" t="inlineStr">
        <ns0:is>
          <ns0:t>(1:1),(2:2)</ns0:t>
        </ns0:is>
      </ns0:c>
      <ns0:c xmlns:ns0="http://schemas.openxmlformats.org/spreadsheetml/2006/main" r="AQ211" s="11" t="inlineStr">
        <ns0:is>
          <ns0:t>Simulation\Capacitors\MY_LIB_C_RC.ckt</ns0:t>
        </ns0:is>
      </ns0:c>
    </ns0:row>
    <ns0:row r="212" ht="30" customHeight="1">
      <ns0:c r="A212" t="str" s="14">
        <ns0:v>C0213</ns0:v>
      </ns0:c>
      <ns0:c r="B212" t="str" s="14">
        <ns0:v>Конденсатор</ns0:v>
      </ns0:c>
      <ns0:c r="C212" t="str" s="14">
        <ns0:v>3.9n</ns0:v>
      </ns0:c>
      <ns0:c r="D212" t="str" s="11">
        <ns0:f>SUBSTITUTE(SUBSTITUTE(SUBSTITUTE(SUBSTITUTE(C212,"p"," пФ"),"n"," нФ"),"u"," мкФ"),".",",")</ns0:f>
        <ns0:v>3,9 нФ</ns0:v>
      </ns0:c>
      <ns0:c r="E212" t="str" s="14">
        <ns0:v>±10%</ns0:v>
      </ns0:c>
      <ns0:c r="F212" s="14"/>
      <ns0:c r="G212" t="str" s="14">
        <ns0:v>100 В</ns0:v>
      </ns0:c>
      <ns0:c r="H212" t="str" s="14">
        <ns0:v>X7R</ns0:v>
      </ns0:c>
      <ns0:c r="I212" t="str" s="15">
        <ns0:v>0603</ns0:v>
      </ns0:c>
      <ns0:c r="J212" t="str" s="14">
        <ns0:v>YAGEO</ns0:v>
      </ns0:c>
      <ns0:c r="K212" t="str" s="14">
        <ns0:v>CC0603KRX7R0BB392</ns0:v>
      </ns0:c>
      <ns0:c r="L212" t="str" s="11">
        <ns0:f>B212&amp;" "&amp;D212&amp;" "&amp;E212&amp;" "&amp;G212&amp;" "&amp;H212&amp;" "&amp;I212</ns0:f>
        <ns0:v>Конденсатор 3,9 нФ ±10% 100 В X7R 0603</ns0:v>
      </ns0:c>
      <ns0:c r="M212" t="str" s="13">
        <ns0:v>C</ns0:v>
      </ns0:c>
      <ns0:c r="N212" t="str" s="13">
        <ns0:v>Symbols\MY_LIB_Capacitors.SchLib</ns0:v>
      </ns0:c>
      <ns0:c r="O212" t="str" s="13">
        <ns0:v>CAPC1608X90N</ns0:v>
      </ns0:c>
      <ns0:c r="P212" t="str" s="13">
        <ns0:v>Footprints\PBL - SMD Packages.PcbLib</ns0:v>
      </ns0:c>
      <ns0:c r="Q212" t="str" s="14">
        <ns0:v>YAGEO CC; список 20.10.2026</ns0:v>
      </ns0:c>
      <ns0:c r="R212" t="str" s="11">
        <ns0:f>D212</ns0:f>
        <ns0:v>3,9 нФ</ns0:v>
      </ns0:c>
      <ns0:c r="S212" t="str" s="11">
        <ns0:f>L212</ns0:f>
        <ns0:v>Конденсатор 3,9 нФ ±10% 100 В X7R 0603</ns0:v>
      </ns0:c>
      <x:c xmlns:x="http://schemas.openxmlformats.org/spreadsheetml/2006/main" r="T212" t="str" s="11">
        <x:v>C:\Users\Nomatin\Documents\Altium\MY_LIB\MY_LIB\Datasheets\YAGEO_CC_X7R.pdf</x:v>
      </x:c>
      <x:c xmlns:x="http://schemas.openxmlformats.org/spreadsheetml/2006/main" r="U212" t="str" s="11">
        <x:v>Даташит — локальный</x:v>
      </x:c>
      <x:c xmlns:x="http://schemas.openxmlformats.org/spreadsheetml/2006/main" r="V212" t="str" s="11">
        <x:v>C:\Users\Nomatin\Documents\Altium\MY_LIB\MY_LIB\Datasheets\YAGEO_CC_X7R.pdf</x:v>
      </x:c>
      <x:c xmlns:x="http://schemas.openxmlformats.org/spreadsheetml/2006/main" r="W212" t="str" s="11">
        <x:v>Даташит — производитель</x:v>
      </x:c>
      <x:c xmlns:x="http://schemas.openxmlformats.org/spreadsheetml/2006/main" r="X212" t="str" s="11">
        <x:v>https://yageogroup.com/content/datasheet/asset/file/UPY-GPHC_X7R_6_3V-TO-250V</x:v>
      </x:c>
      <x:c xmlns:x="http://schemas.openxmlformats.org/spreadsheetml/2006/main" r="Y212" t="str" s="11">
        <x:v>C:\Users\Nomatin\Documents\Altium\MY_LIB\MY_LIB\Datasheets\YAGEO_CC_X7R.pdf</x:v>
      </x:c>
      <ns0:c xmlns:ns0="http://schemas.openxmlformats.org/spreadsheetml/2006/main" r="Z212" s="11">
        <ns0:v>3.9e-09</ns0:v>
      </ns0:c>
      <ns0:c xmlns:ns0="http://schemas.openxmlformats.org/spreadsheetml/2006/main" r="AA212" s="11">
        <ns0:v>0.025</ns0:v>
      </ns0:c>
      <ns0:c xmlns:ns0="http://schemas.openxmlformats.org/spreadsheetml/2006/main" r="AB212" s="11">
        <ns0:v>1000</ns0:v>
      </ns0:c>
      <ns0:c xmlns:ns0="http://schemas.openxmlformats.org/spreadsheetml/2006/main" r="AC212" s="11">
        <ns0:v>1</ns0:v>
      </ns0:c>
      <ns0:c xmlns:ns0="http://schemas.openxmlformats.org/spreadsheetml/2006/main" r="AD212" s="11">
        <ns0:v>20</ns0:v>
      </ns0:c>
      <ns0:c xmlns:ns0="http://schemas.openxmlformats.org/spreadsheetml/2006/main" r="AE212" s="11">
        <ns0:v>500</ns0:v>
      </ns0:c>
      <ns0:c xmlns:ns0="http://schemas.openxmlformats.org/spreadsheetml/2006/main" r="AF212" s="11">
        <ns0:v>10000000000</ns0:v>
      </ns0:c>
      <ns0:c xmlns:ns0="http://schemas.openxmlformats.org/spreadsheetml/2006/main" r="AG212" s="11">
        <ns0:v>100</ns0:v>
      </ns0:c>
      <ns0:c xmlns:ns0="http://schemas.openxmlformats.org/spreadsheetml/2006/main" r="AH212" s="11">
        <ns0:v>60</ns0:v>
      </ns0:c>
      <ns0:c xmlns:ns0="http://schemas.openxmlformats.org/spreadsheetml/2006/main" r="AI212" s="11">
        <ns0:v>1020.22399417882</ns0:v>
      </ns0:c>
      <ns0:c xmlns:ns0="http://schemas.openxmlformats.org/spreadsheetml/2006/main" r="AJ212" s="11" t="inlineStr">
        <ns0:is>
          <ns0:t>MY_LIB_C_RC</ns0:t>
        </ns0:is>
      </ns0:c>
      <ns0:c xmlns:ns0="http://schemas.openxmlformats.org/spreadsheetml/2006/main" r="AK212" s="11" t="inlineStr">
        <ns0:is>
          <ns0:t>Nominal C; DFmax at 1kHz; minimum insulation; no temperature/bias/ESL</ns0:t>
        </ns0:is>
      </ns0:c>
      <ns0:c xmlns:ns0="http://schemas.openxmlformats.org/spreadsheetml/2006/main" r="AL212" s="11" t="inlineStr">
        <ns0:is>
          <ns0:t>General</ns0:t>
        </ns0:is>
      </ns0:c>
      <ns0:c xmlns:ns0="http://schemas.openxmlformats.org/spreadsheetml/2006/main" r="AM212" s="11" t="inlineStr">
        <ns0:is>
          <ns0:t>Spice Subcircuit</ns0:t>
        </ns0:is>
      </ns0:c>
      <ns0:c xmlns:ns0="http://schemas.openxmlformats.org/spreadsheetml/2006/main" r="AN212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212" s="11" t="inlineStr">
        <ns0:is>
          <ns0:t>X</ns0:t>
        </ns0:is>
      </ns0:c>
      <ns0:c xmlns:ns0="http://schemas.openxmlformats.org/spreadsheetml/2006/main" r="AP212" s="11" t="inlineStr">
        <ns0:is>
          <ns0:t>(1:1),(2:2)</ns0:t>
        </ns0:is>
      </ns0:c>
      <ns0:c xmlns:ns0="http://schemas.openxmlformats.org/spreadsheetml/2006/main" r="AQ212" s="11" t="inlineStr">
        <ns0:is>
          <ns0:t>Simulation\Capacitors\MY_LIB_C_RC.ckt</ns0:t>
        </ns0:is>
      </ns0:c>
    </ns0:row>
    <ns0:row r="213" ht="30" customHeight="1">
      <ns0:c r="A213" t="str" s="14">
        <ns0:v>C0214</ns0:v>
      </ns0:c>
      <ns0:c r="B213" t="str" s="14">
        <ns0:v>Конденсатор</ns0:v>
      </ns0:c>
      <ns0:c r="C213" t="str" s="14">
        <ns0:v>4.2n</ns0:v>
      </ns0:c>
      <ns0:c r="D213" t="str" s="11">
        <ns0:f>SUBSTITUTE(SUBSTITUTE(SUBSTITUTE(SUBSTITUTE(C213,"p"," пФ"),"n"," нФ"),"u"," мкФ"),".",",")</ns0:f>
        <ns0:v>4,2 нФ</ns0:v>
      </ns0:c>
      <ns0:c r="E213" t="str" s="14">
        <ns0:v>±10%</ns0:v>
      </ns0:c>
      <ns0:c r="F213" s="14"/>
      <ns0:c r="G213" t="str" s="14">
        <ns0:v>50 В</ns0:v>
      </ns0:c>
      <ns0:c r="H213" t="str" s="14">
        <ns0:v>X7R</ns0:v>
      </ns0:c>
      <ns0:c r="I213" t="str" s="15">
        <ns0:v>0603</ns0:v>
      </ns0:c>
      <ns0:c r="J213" t="str" s="14">
        <ns0:v>YAGEO</ns0:v>
      </ns0:c>
      <ns0:c r="K213" t="str" s="14">
        <ns0:v>CC0603KRX7R9BB422</ns0:v>
      </ns0:c>
      <ns0:c r="L213" t="str" s="11">
        <ns0:f>B213&amp;" "&amp;D213&amp;" "&amp;E213&amp;" "&amp;G213&amp;" "&amp;H213&amp;" "&amp;I213</ns0:f>
        <ns0:v>Конденсатор 4,2 нФ ±10% 50 В X7R 0603</ns0:v>
      </ns0:c>
      <ns0:c r="M213" t="str" s="13">
        <ns0:v>C</ns0:v>
      </ns0:c>
      <ns0:c r="N213" t="str" s="13">
        <ns0:v>Symbols\MY_LIB_Capacitors.SchLib</ns0:v>
      </ns0:c>
      <ns0:c r="O213" t="str" s="13">
        <ns0:v>CAPC1608X90N</ns0:v>
      </ns0:c>
      <ns0:c r="P213" t="str" s="13">
        <ns0:v>Footprints\PBL - SMD Packages.PcbLib</ns0:v>
      </ns0:c>
      <ns0:c r="Q213" t="str" s="14">
        <ns0:v>YAGEO CC; список 20.10.2026</ns0:v>
      </ns0:c>
      <ns0:c r="R213" t="str" s="11">
        <ns0:f>D213</ns0:f>
        <ns0:v>4,2 нФ</ns0:v>
      </ns0:c>
      <ns0:c r="S213" t="str" s="11">
        <ns0:f>L213</ns0:f>
        <ns0:v>Конденсатор 4,2 нФ ±10% 50 В X7R 0603</ns0:v>
      </ns0:c>
      <x:c xmlns:x="http://schemas.openxmlformats.org/spreadsheetml/2006/main" r="T213" t="str" s="11">
        <x:v>C:\Users\Nomatin\Documents\Altium\MY_LIB\MY_LIB\Datasheets\YAGEO_CC_X7R.pdf</x:v>
      </x:c>
      <x:c xmlns:x="http://schemas.openxmlformats.org/spreadsheetml/2006/main" r="U213" t="str" s="11">
        <x:v>Даташит — локальный</x:v>
      </x:c>
      <x:c xmlns:x="http://schemas.openxmlformats.org/spreadsheetml/2006/main" r="V213" t="str" s="11">
        <x:v>C:\Users\Nomatin\Documents\Altium\MY_LIB\MY_LIB\Datasheets\YAGEO_CC_X7R.pdf</x:v>
      </x:c>
      <x:c xmlns:x="http://schemas.openxmlformats.org/spreadsheetml/2006/main" r="W213" t="str" s="11">
        <x:v>Даташит — производитель</x:v>
      </x:c>
      <x:c xmlns:x="http://schemas.openxmlformats.org/spreadsheetml/2006/main" r="X213" t="str" s="11">
        <x:v>https://yageogroup.com/content/datasheet/asset/file/UPY-GPHC_X7R_6_3V-TO-250V</x:v>
      </x:c>
      <x:c xmlns:x="http://schemas.openxmlformats.org/spreadsheetml/2006/main" r="Y213" t="str" s="11">
        <x:v>C:\Users\Nomatin\Documents\Altium\MY_LIB\MY_LIB\Datasheets\YAGEO_CC_X7R.pdf</x:v>
      </x:c>
      <ns0:c xmlns:ns0="http://schemas.openxmlformats.org/spreadsheetml/2006/main" r="Z213" s="11">
        <ns0:v>4.2e-09</ns0:v>
      </ns0:c>
      <ns0:c xmlns:ns0="http://schemas.openxmlformats.org/spreadsheetml/2006/main" r="AA213" s="11">
        <ns0:v>0.025</ns0:v>
      </ns0:c>
      <ns0:c xmlns:ns0="http://schemas.openxmlformats.org/spreadsheetml/2006/main" r="AB213" s="11">
        <ns0:v>1000</ns0:v>
      </ns0:c>
      <ns0:c xmlns:ns0="http://schemas.openxmlformats.org/spreadsheetml/2006/main" r="AC213" s="11">
        <ns0:v>1</ns0:v>
      </ns0:c>
      <ns0:c xmlns:ns0="http://schemas.openxmlformats.org/spreadsheetml/2006/main" r="AD213" s="11">
        <ns0:v>20</ns0:v>
      </ns0:c>
      <ns0:c xmlns:ns0="http://schemas.openxmlformats.org/spreadsheetml/2006/main" r="AE213" s="11">
        <ns0:v>500</ns0:v>
      </ns0:c>
      <ns0:c xmlns:ns0="http://schemas.openxmlformats.org/spreadsheetml/2006/main" r="AF213" s="11">
        <ns0:v>10000000000</ns0:v>
      </ns0:c>
      <ns0:c xmlns:ns0="http://schemas.openxmlformats.org/spreadsheetml/2006/main" r="AG213" s="11">
        <ns0:v>50</ns0:v>
      </ns0:c>
      <ns0:c xmlns:ns0="http://schemas.openxmlformats.org/spreadsheetml/2006/main" r="AH213" s="11">
        <ns0:v>60</ns0:v>
      </ns0:c>
      <ns0:c xmlns:ns0="http://schemas.openxmlformats.org/spreadsheetml/2006/main" r="AI213" s="11">
        <ns0:v>947.350851737472</ns0:v>
      </ns0:c>
      <ns0:c xmlns:ns0="http://schemas.openxmlformats.org/spreadsheetml/2006/main" r="AJ213" s="11" t="inlineStr">
        <ns0:is>
          <ns0:t>MY_LIB_C_RC</ns0:t>
        </ns0:is>
      </ns0:c>
      <ns0:c xmlns:ns0="http://schemas.openxmlformats.org/spreadsheetml/2006/main" r="AK213" s="11" t="inlineStr">
        <ns0:is>
          <ns0:t>Nominal C; DFmax at 1kHz; minimum insulation; no temperature/bias/ESL</ns0:t>
        </ns0:is>
      </ns0:c>
      <ns0:c xmlns:ns0="http://schemas.openxmlformats.org/spreadsheetml/2006/main" r="AL213" s="11" t="inlineStr">
        <ns0:is>
          <ns0:t>General</ns0:t>
        </ns0:is>
      </ns0:c>
      <ns0:c xmlns:ns0="http://schemas.openxmlformats.org/spreadsheetml/2006/main" r="AM213" s="11" t="inlineStr">
        <ns0:is>
          <ns0:t>Spice Subcircuit</ns0:t>
        </ns0:is>
      </ns0:c>
      <ns0:c xmlns:ns0="http://schemas.openxmlformats.org/spreadsheetml/2006/main" r="AN213" s="11" t="inlineStr">
        <ns0:is>
          <ns0:t>@DESIGNATOR %1 %2 @MODEL PARAMS: Cvalue=4.2e-09 Rsvalue=947.350851737472 Rinsvalue=10000000000</ns0:t>
        </ns0:is>
      </ns0:c>
      <ns0:c xmlns:ns0="http://schemas.openxmlformats.org/spreadsheetml/2006/main" r="AO213" s="11" t="inlineStr">
        <ns0:is>
          <ns0:t>X</ns0:t>
        </ns0:is>
      </ns0:c>
      <ns0:c xmlns:ns0="http://schemas.openxmlformats.org/spreadsheetml/2006/main" r="AP213" s="11" t="inlineStr">
        <ns0:is>
          <ns0:t>(1:1),(2:2)</ns0:t>
        </ns0:is>
      </ns0:c>
      <ns0:c xmlns:ns0="http://schemas.openxmlformats.org/spreadsheetml/2006/main" r="AQ213" s="11" t="inlineStr">
        <ns0:is>
          <ns0:t>Simulation\Capacitors\MY_LIB_C_RC.ckt</ns0:t>
        </ns0:is>
      </ns0:c>
    </ns0:row>
    <ns0:row r="214" ht="30" customHeight="1">
      <ns0:c r="A214" t="str" s="14">
        <ns0:v>C0215</ns0:v>
      </ns0:c>
      <ns0:c r="B214" t="str" s="14">
        <ns0:v>Конденсатор</ns0:v>
      </ns0:c>
      <ns0:c r="C214" t="str" s="14">
        <ns0:v>4.7n</ns0:v>
      </ns0:c>
      <ns0:c r="D214" t="str" s="11">
        <ns0:f>SUBSTITUTE(SUBSTITUTE(SUBSTITUTE(SUBSTITUTE(C214,"p"," пФ"),"n"," нФ"),"u"," мкФ"),".",",")</ns0:f>
        <ns0:v>4,7 нФ</ns0:v>
      </ns0:c>
      <ns0:c r="E214" t="str" s="14">
        <ns0:v>±10%</ns0:v>
      </ns0:c>
      <ns0:c r="F214" s="14"/>
      <ns0:c r="G214" t="str" s="14">
        <ns0:v>100 В</ns0:v>
      </ns0:c>
      <ns0:c r="H214" t="str" s="14">
        <ns0:v>X7R</ns0:v>
      </ns0:c>
      <ns0:c r="I214" t="str" s="15">
        <ns0:v>0603</ns0:v>
      </ns0:c>
      <ns0:c r="J214" t="str" s="14">
        <ns0:v>YAGEO</ns0:v>
      </ns0:c>
      <ns0:c r="K214" t="str" s="14">
        <ns0:v>CC0603KRX7R0BB472</ns0:v>
      </ns0:c>
      <ns0:c r="L214" t="str" s="11">
        <ns0:f>B214&amp;" "&amp;D214&amp;" "&amp;E214&amp;" "&amp;G214&amp;" "&amp;H214&amp;" "&amp;I214</ns0:f>
        <ns0:v>Конденсатор 4,7 нФ ±10% 100 В X7R 0603</ns0:v>
      </ns0:c>
      <ns0:c r="M214" t="str" s="13">
        <ns0:v>C</ns0:v>
      </ns0:c>
      <ns0:c r="N214" t="str" s="13">
        <ns0:v>Symbols\MY_LIB_Capacitors.SchLib</ns0:v>
      </ns0:c>
      <ns0:c r="O214" t="str" s="13">
        <ns0:v>CAPC1608X90N</ns0:v>
      </ns0:c>
      <ns0:c r="P214" t="str" s="13">
        <ns0:v>Footprints\PBL - SMD Packages.PcbLib</ns0:v>
      </ns0:c>
      <ns0:c r="Q214" t="str" s="14">
        <ns0:v>YAGEO CC; список 20.10.2026</ns0:v>
      </ns0:c>
      <ns0:c r="R214" t="str" s="11">
        <ns0:f>D214</ns0:f>
        <ns0:v>4,7 нФ</ns0:v>
      </ns0:c>
      <ns0:c r="S214" t="str" s="11">
        <ns0:f>L214</ns0:f>
        <ns0:v>Конденсатор 4,7 нФ ±10% 100 В X7R 0603</ns0:v>
      </ns0:c>
      <x:c xmlns:x="http://schemas.openxmlformats.org/spreadsheetml/2006/main" r="T214" t="str" s="11">
        <x:v>C:\Users\Nomatin\Documents\Altium\MY_LIB\MY_LIB\Datasheets\YAGEO_CC_X7R.pdf</x:v>
      </x:c>
      <x:c xmlns:x="http://schemas.openxmlformats.org/spreadsheetml/2006/main" r="U214" t="str" s="11">
        <x:v>Даташит — локальный</x:v>
      </x:c>
      <x:c xmlns:x="http://schemas.openxmlformats.org/spreadsheetml/2006/main" r="V214" t="str" s="11">
        <x:v>C:\Users\Nomatin\Documents\Altium\MY_LIB\MY_LIB\Datasheets\YAGEO_CC_X7R.pdf</x:v>
      </x:c>
      <x:c xmlns:x="http://schemas.openxmlformats.org/spreadsheetml/2006/main" r="W214" t="str" s="11">
        <x:v>Даташит — производитель</x:v>
      </x:c>
      <x:c xmlns:x="http://schemas.openxmlformats.org/spreadsheetml/2006/main" r="X214" t="str" s="11">
        <x:v>https://yageogroup.com/content/datasheet/asset/file/UPY-GPHC_X7R_6_3V-TO-250V</x:v>
      </x:c>
      <x:c xmlns:x="http://schemas.openxmlformats.org/spreadsheetml/2006/main" r="Y214" t="str" s="11">
        <x:v>C:\Users\Nomatin\Documents\Altium\MY_LIB\MY_LIB\Datasheets\YAGEO_CC_X7R.pdf</x:v>
      </x:c>
      <ns0:c xmlns:ns0="http://schemas.openxmlformats.org/spreadsheetml/2006/main" r="Z214" s="11">
        <ns0:v>4.7e-09</ns0:v>
      </ns0:c>
      <ns0:c xmlns:ns0="http://schemas.openxmlformats.org/spreadsheetml/2006/main" r="AA214" s="11">
        <ns0:v>0.025</ns0:v>
      </ns0:c>
      <ns0:c xmlns:ns0="http://schemas.openxmlformats.org/spreadsheetml/2006/main" r="AB214" s="11">
        <ns0:v>1000</ns0:v>
      </ns0:c>
      <ns0:c xmlns:ns0="http://schemas.openxmlformats.org/spreadsheetml/2006/main" r="AC214" s="11">
        <ns0:v>1</ns0:v>
      </ns0:c>
      <ns0:c xmlns:ns0="http://schemas.openxmlformats.org/spreadsheetml/2006/main" r="AD214" s="11">
        <ns0:v>20</ns0:v>
      </ns0:c>
      <ns0:c xmlns:ns0="http://schemas.openxmlformats.org/spreadsheetml/2006/main" r="AE214" s="11">
        <ns0:v>500</ns0:v>
      </ns0:c>
      <ns0:c xmlns:ns0="http://schemas.openxmlformats.org/spreadsheetml/2006/main" r="AF214" s="11">
        <ns0:v>10000000000</ns0:v>
      </ns0:c>
      <ns0:c xmlns:ns0="http://schemas.openxmlformats.org/spreadsheetml/2006/main" r="AG214" s="11">
        <ns0:v>100</ns0:v>
      </ns0:c>
      <ns0:c xmlns:ns0="http://schemas.openxmlformats.org/spreadsheetml/2006/main" r="AH214" s="11">
        <ns0:v>60</ns0:v>
      </ns0:c>
      <ns0:c xmlns:ns0="http://schemas.openxmlformats.org/spreadsheetml/2006/main" r="AI214" s="11">
        <ns0:v>846.568846233486</ns0:v>
      </ns0:c>
      <ns0:c xmlns:ns0="http://schemas.openxmlformats.org/spreadsheetml/2006/main" r="AJ214" s="11" t="inlineStr">
        <ns0:is>
          <ns0:t>MY_LIB_C_RC</ns0:t>
        </ns0:is>
      </ns0:c>
      <ns0:c xmlns:ns0="http://schemas.openxmlformats.org/spreadsheetml/2006/main" r="AK214" s="11" t="inlineStr">
        <ns0:is>
          <ns0:t>Nominal C; DFmax at 1kHz; minimum insulation; no temperature/bias/ESL</ns0:t>
        </ns0:is>
      </ns0:c>
      <ns0:c xmlns:ns0="http://schemas.openxmlformats.org/spreadsheetml/2006/main" r="AL214" s="11" t="inlineStr">
        <ns0:is>
          <ns0:t>General</ns0:t>
        </ns0:is>
      </ns0:c>
      <ns0:c xmlns:ns0="http://schemas.openxmlformats.org/spreadsheetml/2006/main" r="AM214" s="11" t="inlineStr">
        <ns0:is>
          <ns0:t>Spice Subcircuit</ns0:t>
        </ns0:is>
      </ns0:c>
      <ns0:c xmlns:ns0="http://schemas.openxmlformats.org/spreadsheetml/2006/main" r="AN214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214" s="11" t="inlineStr">
        <ns0:is>
          <ns0:t>X</ns0:t>
        </ns0:is>
      </ns0:c>
      <ns0:c xmlns:ns0="http://schemas.openxmlformats.org/spreadsheetml/2006/main" r="AP214" s="11" t="inlineStr">
        <ns0:is>
          <ns0:t>(1:1),(2:2)</ns0:t>
        </ns0:is>
      </ns0:c>
      <ns0:c xmlns:ns0="http://schemas.openxmlformats.org/spreadsheetml/2006/main" r="AQ214" s="11" t="inlineStr">
        <ns0:is>
          <ns0:t>Simulation\Capacitors\MY_LIB_C_RC.ckt</ns0:t>
        </ns0:is>
      </ns0:c>
    </ns0:row>
    <ns0:row r="215" ht="30" customHeight="1">
      <ns0:c r="A215" t="str" s="14">
        <ns0:v>C0216</ns0:v>
      </ns0:c>
      <ns0:c r="B215" t="str" s="14">
        <ns0:v>Конденсатор</ns0:v>
      </ns0:c>
      <ns0:c r="C215" t="str" s="14">
        <ns0:v>5.6n</ns0:v>
      </ns0:c>
      <ns0:c r="D215" t="str" s="11">
        <ns0:f>SUBSTITUTE(SUBSTITUTE(SUBSTITUTE(SUBSTITUTE(C215,"p"," пФ"),"n"," нФ"),"u"," мкФ"),".",",")</ns0:f>
        <ns0:v>5,6 нФ</ns0:v>
      </ns0:c>
      <ns0:c r="E215" t="str" s="14">
        <ns0:v>±10%</ns0:v>
      </ns0:c>
      <ns0:c r="F215" s="14"/>
      <ns0:c r="G215" t="str" s="14">
        <ns0:v>100 В</ns0:v>
      </ns0:c>
      <ns0:c r="H215" t="str" s="14">
        <ns0:v>X7R</ns0:v>
      </ns0:c>
      <ns0:c r="I215" t="str" s="15">
        <ns0:v>0603</ns0:v>
      </ns0:c>
      <ns0:c r="J215" t="str" s="14">
        <ns0:v>YAGEO</ns0:v>
      </ns0:c>
      <ns0:c r="K215" t="str" s="14">
        <ns0:v>CC0603KRX7R0BB562</ns0:v>
      </ns0:c>
      <ns0:c r="L215" t="str" s="11">
        <ns0:f>B215&amp;" "&amp;D215&amp;" "&amp;E215&amp;" "&amp;G215&amp;" "&amp;H215&amp;" "&amp;I215</ns0:f>
        <ns0:v>Конденсатор 5,6 нФ ±10% 100 В X7R 0603</ns0:v>
      </ns0:c>
      <ns0:c r="M215" t="str" s="13">
        <ns0:v>C</ns0:v>
      </ns0:c>
      <ns0:c r="N215" t="str" s="13">
        <ns0:v>Symbols\MY_LIB_Capacitors.SchLib</ns0:v>
      </ns0:c>
      <ns0:c r="O215" t="str" s="13">
        <ns0:v>CAPC1608X90N</ns0:v>
      </ns0:c>
      <ns0:c r="P215" t="str" s="13">
        <ns0:v>Footprints\PBL - SMD Packages.PcbLib</ns0:v>
      </ns0:c>
      <ns0:c r="Q215" t="str" s="14">
        <ns0:v>YAGEO CC; список 20.10.2026</ns0:v>
      </ns0:c>
      <ns0:c r="R215" t="str" s="11">
        <ns0:f>D215</ns0:f>
        <ns0:v>5,6 нФ</ns0:v>
      </ns0:c>
      <ns0:c r="S215" t="str" s="11">
        <ns0:f>L215</ns0:f>
        <ns0:v>Конденсатор 5,6 нФ ±10% 100 В X7R 0603</ns0:v>
      </ns0:c>
      <x:c xmlns:x="http://schemas.openxmlformats.org/spreadsheetml/2006/main" r="T215" t="str" s="11">
        <x:v>C:\Users\Nomatin\Documents\Altium\MY_LIB\MY_LIB\Datasheets\YAGEO_CC_X7R.pdf</x:v>
      </x:c>
      <x:c xmlns:x="http://schemas.openxmlformats.org/spreadsheetml/2006/main" r="U215" t="str" s="11">
        <x:v>Даташит — локальный</x:v>
      </x:c>
      <x:c xmlns:x="http://schemas.openxmlformats.org/spreadsheetml/2006/main" r="V215" t="str" s="11">
        <x:v>C:\Users\Nomatin\Documents\Altium\MY_LIB\MY_LIB\Datasheets\YAGEO_CC_X7R.pdf</x:v>
      </x:c>
      <x:c xmlns:x="http://schemas.openxmlformats.org/spreadsheetml/2006/main" r="W215" t="str" s="11">
        <x:v>Даташит — производитель</x:v>
      </x:c>
      <x:c xmlns:x="http://schemas.openxmlformats.org/spreadsheetml/2006/main" r="X215" t="str" s="11">
        <x:v>https://yageogroup.com/content/datasheet/asset/file/UPY-GPHC_X7R_6_3V-TO-250V</x:v>
      </x:c>
      <x:c xmlns:x="http://schemas.openxmlformats.org/spreadsheetml/2006/main" r="Y215" t="str" s="11">
        <x:v>C:\Users\Nomatin\Documents\Altium\MY_LIB\MY_LIB\Datasheets\YAGEO_CC_X7R.pdf</x:v>
      </x:c>
      <ns0:c xmlns:ns0="http://schemas.openxmlformats.org/spreadsheetml/2006/main" r="Z215" s="11">
        <ns0:v>5.6e-09</ns0:v>
      </ns0:c>
      <ns0:c xmlns:ns0="http://schemas.openxmlformats.org/spreadsheetml/2006/main" r="AA215" s="11">
        <ns0:v>0.025</ns0:v>
      </ns0:c>
      <ns0:c xmlns:ns0="http://schemas.openxmlformats.org/spreadsheetml/2006/main" r="AB215" s="11">
        <ns0:v>1000</ns0:v>
      </ns0:c>
      <ns0:c xmlns:ns0="http://schemas.openxmlformats.org/spreadsheetml/2006/main" r="AC215" s="11">
        <ns0:v>1</ns0:v>
      </ns0:c>
      <ns0:c xmlns:ns0="http://schemas.openxmlformats.org/spreadsheetml/2006/main" r="AD215" s="11">
        <ns0:v>20</ns0:v>
      </ns0:c>
      <ns0:c xmlns:ns0="http://schemas.openxmlformats.org/spreadsheetml/2006/main" r="AE215" s="11">
        <ns0:v>500</ns0:v>
      </ns0:c>
      <ns0:c xmlns:ns0="http://schemas.openxmlformats.org/spreadsheetml/2006/main" r="AF215" s="11">
        <ns0:v>10000000000</ns0:v>
      </ns0:c>
      <ns0:c xmlns:ns0="http://schemas.openxmlformats.org/spreadsheetml/2006/main" r="AG215" s="11">
        <ns0:v>100</ns0:v>
      </ns0:c>
      <ns0:c xmlns:ns0="http://schemas.openxmlformats.org/spreadsheetml/2006/main" r="AH215" s="11">
        <ns0:v>60</ns0:v>
      </ns0:c>
      <ns0:c xmlns:ns0="http://schemas.openxmlformats.org/spreadsheetml/2006/main" r="AI215" s="11">
        <ns0:v>710.513138803104</ns0:v>
      </ns0:c>
      <ns0:c xmlns:ns0="http://schemas.openxmlformats.org/spreadsheetml/2006/main" r="AJ215" s="11" t="inlineStr">
        <ns0:is>
          <ns0:t>MY_LIB_C_RC</ns0:t>
        </ns0:is>
      </ns0:c>
      <ns0:c xmlns:ns0="http://schemas.openxmlformats.org/spreadsheetml/2006/main" r="AK215" s="11" t="inlineStr">
        <ns0:is>
          <ns0:t>Nominal C; DFmax at 1kHz; minimum insulation; no temperature/bias/ESL</ns0:t>
        </ns0:is>
      </ns0:c>
      <ns0:c xmlns:ns0="http://schemas.openxmlformats.org/spreadsheetml/2006/main" r="AL215" s="11" t="inlineStr">
        <ns0:is>
          <ns0:t>General</ns0:t>
        </ns0:is>
      </ns0:c>
      <ns0:c xmlns:ns0="http://schemas.openxmlformats.org/spreadsheetml/2006/main" r="AM215" s="11" t="inlineStr">
        <ns0:is>
          <ns0:t>Spice Subcircuit</ns0:t>
        </ns0:is>
      </ns0:c>
      <ns0:c xmlns:ns0="http://schemas.openxmlformats.org/spreadsheetml/2006/main" r="AN215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215" s="11" t="inlineStr">
        <ns0:is>
          <ns0:t>X</ns0:t>
        </ns0:is>
      </ns0:c>
      <ns0:c xmlns:ns0="http://schemas.openxmlformats.org/spreadsheetml/2006/main" r="AP215" s="11" t="inlineStr">
        <ns0:is>
          <ns0:t>(1:1),(2:2)</ns0:t>
        </ns0:is>
      </ns0:c>
      <ns0:c xmlns:ns0="http://schemas.openxmlformats.org/spreadsheetml/2006/main" r="AQ215" s="11" t="inlineStr">
        <ns0:is>
          <ns0:t>Simulation\Capacitors\MY_LIB_C_RC.ckt</ns0:t>
        </ns0:is>
      </ns0:c>
    </ns0:row>
    <ns0:row r="216" ht="30" customHeight="1">
      <ns0:c r="A216" t="str" s="14">
        <ns0:v>C0217</ns0:v>
      </ns0:c>
      <ns0:c r="B216" t="str" s="14">
        <ns0:v>Конденсатор</ns0:v>
      </ns0:c>
      <ns0:c r="C216" t="str" s="14">
        <ns0:v>6.8n</ns0:v>
      </ns0:c>
      <ns0:c r="D216" t="str" s="11">
        <ns0:f>SUBSTITUTE(SUBSTITUTE(SUBSTITUTE(SUBSTITUTE(C216,"p"," пФ"),"n"," нФ"),"u"," мкФ"),".",",")</ns0:f>
        <ns0:v>6,8 нФ</ns0:v>
      </ns0:c>
      <ns0:c r="E216" t="str" s="14">
        <ns0:v>±10%</ns0:v>
      </ns0:c>
      <ns0:c r="F216" s="14"/>
      <ns0:c r="G216" t="str" s="14">
        <ns0:v>100 В</ns0:v>
      </ns0:c>
      <ns0:c r="H216" t="str" s="14">
        <ns0:v>X7R</ns0:v>
      </ns0:c>
      <ns0:c r="I216" t="str" s="15">
        <ns0:v>0603</ns0:v>
      </ns0:c>
      <ns0:c r="J216" t="str" s="14">
        <ns0:v>YAGEO</ns0:v>
      </ns0:c>
      <ns0:c r="K216" t="str" s="14">
        <ns0:v>CC0603KRX7R0BB682</ns0:v>
      </ns0:c>
      <ns0:c r="L216" t="str" s="11">
        <ns0:f>B216&amp;" "&amp;D216&amp;" "&amp;E216&amp;" "&amp;G216&amp;" "&amp;H216&amp;" "&amp;I216</ns0:f>
        <ns0:v>Конденсатор 6,8 нФ ±10% 100 В X7R 0603</ns0:v>
      </ns0:c>
      <ns0:c r="M216" t="str" s="13">
        <ns0:v>C</ns0:v>
      </ns0:c>
      <ns0:c r="N216" t="str" s="13">
        <ns0:v>Symbols\MY_LIB_Capacitors.SchLib</ns0:v>
      </ns0:c>
      <ns0:c r="O216" t="str" s="13">
        <ns0:v>CAPC1608X90N</ns0:v>
      </ns0:c>
      <ns0:c r="P216" t="str" s="13">
        <ns0:v>Footprints\PBL - SMD Packages.PcbLib</ns0:v>
      </ns0:c>
      <ns0:c r="Q216" t="str" s="14">
        <ns0:v>YAGEO CC; список 20.10.2026</ns0:v>
      </ns0:c>
      <ns0:c r="R216" t="str" s="11">
        <ns0:f>D216</ns0:f>
        <ns0:v>6,8 нФ</ns0:v>
      </ns0:c>
      <ns0:c r="S216" t="str" s="11">
        <ns0:f>L216</ns0:f>
        <ns0:v>Конденсатор 6,8 нФ ±10% 100 В X7R 0603</ns0:v>
      </ns0:c>
      <x:c xmlns:x="http://schemas.openxmlformats.org/spreadsheetml/2006/main" r="T216" t="str" s="11">
        <x:v>C:\Users\Nomatin\Documents\Altium\MY_LIB\MY_LIB\Datasheets\YAGEO_CC_X7R.pdf</x:v>
      </x:c>
      <x:c xmlns:x="http://schemas.openxmlformats.org/spreadsheetml/2006/main" r="U216" t="str" s="11">
        <x:v>Даташит — локальный</x:v>
      </x:c>
      <x:c xmlns:x="http://schemas.openxmlformats.org/spreadsheetml/2006/main" r="V216" t="str" s="11">
        <x:v>C:\Users\Nomatin\Documents\Altium\MY_LIB\MY_LIB\Datasheets\YAGEO_CC_X7R.pdf</x:v>
      </x:c>
      <x:c xmlns:x="http://schemas.openxmlformats.org/spreadsheetml/2006/main" r="W216" t="str" s="11">
        <x:v>Даташит — производитель</x:v>
      </x:c>
      <x:c xmlns:x="http://schemas.openxmlformats.org/spreadsheetml/2006/main" r="X216" t="str" s="11">
        <x:v>https://yageogroup.com/content/datasheet/asset/file/UPY-GPHC_X7R_6_3V-TO-250V</x:v>
      </x:c>
      <x:c xmlns:x="http://schemas.openxmlformats.org/spreadsheetml/2006/main" r="Y216" t="str" s="11">
        <x:v>C:\Users\Nomatin\Documents\Altium\MY_LIB\MY_LIB\Datasheets\YAGEO_CC_X7R.pdf</x:v>
      </x:c>
      <ns0:c xmlns:ns0="http://schemas.openxmlformats.org/spreadsheetml/2006/main" r="Z216" s="11">
        <ns0:v>6.8e-09</ns0:v>
      </ns0:c>
      <ns0:c xmlns:ns0="http://schemas.openxmlformats.org/spreadsheetml/2006/main" r="AA216" s="11">
        <ns0:v>0.025</ns0:v>
      </ns0:c>
      <ns0:c xmlns:ns0="http://schemas.openxmlformats.org/spreadsheetml/2006/main" r="AB216" s="11">
        <ns0:v>1000</ns0:v>
      </ns0:c>
      <ns0:c xmlns:ns0="http://schemas.openxmlformats.org/spreadsheetml/2006/main" r="AC216" s="11">
        <ns0:v>1</ns0:v>
      </ns0:c>
      <ns0:c xmlns:ns0="http://schemas.openxmlformats.org/spreadsheetml/2006/main" r="AD216" s="11">
        <ns0:v>20</ns0:v>
      </ns0:c>
      <ns0:c xmlns:ns0="http://schemas.openxmlformats.org/spreadsheetml/2006/main" r="AE216" s="11">
        <ns0:v>500</ns0:v>
      </ns0:c>
      <ns0:c xmlns:ns0="http://schemas.openxmlformats.org/spreadsheetml/2006/main" r="AF216" s="11">
        <ns0:v>10000000000</ns0:v>
      </ns0:c>
      <ns0:c xmlns:ns0="http://schemas.openxmlformats.org/spreadsheetml/2006/main" r="AG216" s="11">
        <ns0:v>100</ns0:v>
      </ns0:c>
      <ns0:c xmlns:ns0="http://schemas.openxmlformats.org/spreadsheetml/2006/main" r="AH216" s="11">
        <ns0:v>60</ns0:v>
      </ns0:c>
      <ns0:c xmlns:ns0="http://schemas.openxmlformats.org/spreadsheetml/2006/main" r="AI216" s="11">
        <ns0:v>585.128467249615</ns0:v>
      </ns0:c>
      <ns0:c xmlns:ns0="http://schemas.openxmlformats.org/spreadsheetml/2006/main" r="AJ216" s="11" t="inlineStr">
        <ns0:is>
          <ns0:t>MY_LIB_C_RC</ns0:t>
        </ns0:is>
      </ns0:c>
      <ns0:c xmlns:ns0="http://schemas.openxmlformats.org/spreadsheetml/2006/main" r="AK216" s="11" t="inlineStr">
        <ns0:is>
          <ns0:t>Nominal C; DFmax at 1kHz; minimum insulation; no temperature/bias/ESL</ns0:t>
        </ns0:is>
      </ns0:c>
      <ns0:c xmlns:ns0="http://schemas.openxmlformats.org/spreadsheetml/2006/main" r="AL216" s="11" t="inlineStr">
        <ns0:is>
          <ns0:t>General</ns0:t>
        </ns0:is>
      </ns0:c>
      <ns0:c xmlns:ns0="http://schemas.openxmlformats.org/spreadsheetml/2006/main" r="AM216" s="11" t="inlineStr">
        <ns0:is>
          <ns0:t>Spice Subcircuit</ns0:t>
        </ns0:is>
      </ns0:c>
      <ns0:c xmlns:ns0="http://schemas.openxmlformats.org/spreadsheetml/2006/main" r="AN216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216" s="11" t="inlineStr">
        <ns0:is>
          <ns0:t>X</ns0:t>
        </ns0:is>
      </ns0:c>
      <ns0:c xmlns:ns0="http://schemas.openxmlformats.org/spreadsheetml/2006/main" r="AP216" s="11" t="inlineStr">
        <ns0:is>
          <ns0:t>(1:1),(2:2)</ns0:t>
        </ns0:is>
      </ns0:c>
      <ns0:c xmlns:ns0="http://schemas.openxmlformats.org/spreadsheetml/2006/main" r="AQ216" s="11" t="inlineStr">
        <ns0:is>
          <ns0:t>Simulation\Capacitors\MY_LIB_C_RC.ckt</ns0:t>
        </ns0:is>
      </ns0:c>
    </ns0:row>
    <ns0:row r="217" ht="30" customHeight="1">
      <ns0:c r="A217" t="str" s="14">
        <ns0:v>C0218</ns0:v>
      </ns0:c>
      <ns0:c r="B217" t="str" s="14">
        <ns0:v>Конденсатор</ns0:v>
      </ns0:c>
      <ns0:c r="C217" t="str" s="14">
        <ns0:v>8.2n</ns0:v>
      </ns0:c>
      <ns0:c r="D217" t="str" s="11">
        <ns0:f>SUBSTITUTE(SUBSTITUTE(SUBSTITUTE(SUBSTITUTE(C217,"p"," пФ"),"n"," нФ"),"u"," мкФ"),".",",")</ns0:f>
        <ns0:v>8,2 нФ</ns0:v>
      </ns0:c>
      <ns0:c r="E217" t="str" s="14">
        <ns0:v>±10%</ns0:v>
      </ns0:c>
      <ns0:c r="F217" s="14"/>
      <ns0:c r="G217" t="str" s="14">
        <ns0:v>100 В</ns0:v>
      </ns0:c>
      <ns0:c r="H217" t="str" s="14">
        <ns0:v>X7R</ns0:v>
      </ns0:c>
      <ns0:c r="I217" t="str" s="15">
        <ns0:v>0603</ns0:v>
      </ns0:c>
      <ns0:c r="J217" t="str" s="14">
        <ns0:v>YAGEO</ns0:v>
      </ns0:c>
      <ns0:c r="K217" t="str" s="14">
        <ns0:v>CC0603KRX7R0BB822</ns0:v>
      </ns0:c>
      <ns0:c r="L217" t="str" s="11">
        <ns0:f>B217&amp;" "&amp;D217&amp;" "&amp;E217&amp;" "&amp;G217&amp;" "&amp;H217&amp;" "&amp;I217</ns0:f>
        <ns0:v>Конденсатор 8,2 нФ ±10% 100 В X7R 0603</ns0:v>
      </ns0:c>
      <ns0:c r="M217" t="str" s="13">
        <ns0:v>C</ns0:v>
      </ns0:c>
      <ns0:c r="N217" t="str" s="13">
        <ns0:v>Symbols\MY_LIB_Capacitors.SchLib</ns0:v>
      </ns0:c>
      <ns0:c r="O217" t="str" s="13">
        <ns0:v>CAPC1608X90N</ns0:v>
      </ns0:c>
      <ns0:c r="P217" t="str" s="13">
        <ns0:v>Footprints\PBL - SMD Packages.PcbLib</ns0:v>
      </ns0:c>
      <ns0:c r="Q217" t="str" s="14">
        <ns0:v>YAGEO CC; список 20.10.2026</ns0:v>
      </ns0:c>
      <ns0:c r="R217" t="str" s="11">
        <ns0:f>D217</ns0:f>
        <ns0:v>8,2 нФ</ns0:v>
      </ns0:c>
      <ns0:c r="S217" t="str" s="11">
        <ns0:f>L217</ns0:f>
        <ns0:v>Конденсатор 8,2 нФ ±10% 100 В X7R 0603</ns0:v>
      </ns0:c>
      <x:c xmlns:x="http://schemas.openxmlformats.org/spreadsheetml/2006/main" r="T217" t="str" s="11">
        <x:v>C:\Users\Nomatin\Documents\Altium\MY_LIB\MY_LIB\Datasheets\YAGEO_CC_X7R.pdf</x:v>
      </x:c>
      <x:c xmlns:x="http://schemas.openxmlformats.org/spreadsheetml/2006/main" r="U217" t="str" s="11">
        <x:v>Даташит — локальный</x:v>
      </x:c>
      <x:c xmlns:x="http://schemas.openxmlformats.org/spreadsheetml/2006/main" r="V217" t="str" s="11">
        <x:v>C:\Users\Nomatin\Documents\Altium\MY_LIB\MY_LIB\Datasheets\YAGEO_CC_X7R.pdf</x:v>
      </x:c>
      <x:c xmlns:x="http://schemas.openxmlformats.org/spreadsheetml/2006/main" r="W217" t="str" s="11">
        <x:v>Даташит — производитель</x:v>
      </x:c>
      <x:c xmlns:x="http://schemas.openxmlformats.org/spreadsheetml/2006/main" r="X217" t="str" s="11">
        <x:v>https://yageogroup.com/content/datasheet/asset/file/UPY-GPHC_X7R_6_3V-TO-250V</x:v>
      </x:c>
      <x:c xmlns:x="http://schemas.openxmlformats.org/spreadsheetml/2006/main" r="Y217" t="str" s="11">
        <x:v>C:\Users\Nomatin\Documents\Altium\MY_LIB\MY_LIB\Datasheets\YAGEO_CC_X7R.pdf</x:v>
      </x:c>
      <ns0:c xmlns:ns0="http://schemas.openxmlformats.org/spreadsheetml/2006/main" r="Z217" s="11">
        <ns0:v>8.2e-09</ns0:v>
      </ns0:c>
      <ns0:c xmlns:ns0="http://schemas.openxmlformats.org/spreadsheetml/2006/main" r="AA217" s="11">
        <ns0:v>0.025</ns0:v>
      </ns0:c>
      <ns0:c xmlns:ns0="http://schemas.openxmlformats.org/spreadsheetml/2006/main" r="AB217" s="11">
        <ns0:v>1000</ns0:v>
      </ns0:c>
      <ns0:c xmlns:ns0="http://schemas.openxmlformats.org/spreadsheetml/2006/main" r="AC217" s="11">
        <ns0:v>1</ns0:v>
      </ns0:c>
      <ns0:c xmlns:ns0="http://schemas.openxmlformats.org/spreadsheetml/2006/main" r="AD217" s="11">
        <ns0:v>20</ns0:v>
      </ns0:c>
      <ns0:c xmlns:ns0="http://schemas.openxmlformats.org/spreadsheetml/2006/main" r="AE217" s="11">
        <ns0:v>500</ns0:v>
      </ns0:c>
      <ns0:c xmlns:ns0="http://schemas.openxmlformats.org/spreadsheetml/2006/main" r="AF217" s="11">
        <ns0:v>10000000000</ns0:v>
      </ns0:c>
      <ns0:c xmlns:ns0="http://schemas.openxmlformats.org/spreadsheetml/2006/main" r="AG217" s="11">
        <ns0:v>100</ns0:v>
      </ns0:c>
      <ns0:c xmlns:ns0="http://schemas.openxmlformats.org/spreadsheetml/2006/main" r="AH217" s="11">
        <ns0:v>60</ns0:v>
      </ns0:c>
      <ns0:c xmlns:ns0="http://schemas.openxmlformats.org/spreadsheetml/2006/main" r="AI217" s="11">
        <ns0:v>485.228485036266</ns0:v>
      </ns0:c>
      <ns0:c xmlns:ns0="http://schemas.openxmlformats.org/spreadsheetml/2006/main" r="AJ217" s="11" t="inlineStr">
        <ns0:is>
          <ns0:t>MY_LIB_C_RC</ns0:t>
        </ns0:is>
      </ns0:c>
      <ns0:c xmlns:ns0="http://schemas.openxmlformats.org/spreadsheetml/2006/main" r="AK217" s="11" t="inlineStr">
        <ns0:is>
          <ns0:t>Nominal C; DFmax at 1kHz; minimum insulation; no temperature/bias/ESL</ns0:t>
        </ns0:is>
      </ns0:c>
      <ns0:c xmlns:ns0="http://schemas.openxmlformats.org/spreadsheetml/2006/main" r="AL217" s="11" t="inlineStr">
        <ns0:is>
          <ns0:t>General</ns0:t>
        </ns0:is>
      </ns0:c>
      <ns0:c xmlns:ns0="http://schemas.openxmlformats.org/spreadsheetml/2006/main" r="AM217" s="11" t="inlineStr">
        <ns0:is>
          <ns0:t>Spice Subcircuit</ns0:t>
        </ns0:is>
      </ns0:c>
      <ns0:c xmlns:ns0="http://schemas.openxmlformats.org/spreadsheetml/2006/main" r="AN217" s="11" t="inlineStr">
        <ns0:is>
          <ns0:t>@DESIGNATOR %1 %2 @MODEL PARAMS: Cvalue=8.2e-09 Rsvalue=485.228485036266 Rinsvalue=10000000000</ns0:t>
        </ns0:is>
      </ns0:c>
      <ns0:c xmlns:ns0="http://schemas.openxmlformats.org/spreadsheetml/2006/main" r="AO217" s="11" t="inlineStr">
        <ns0:is>
          <ns0:t>X</ns0:t>
        </ns0:is>
      </ns0:c>
      <ns0:c xmlns:ns0="http://schemas.openxmlformats.org/spreadsheetml/2006/main" r="AP217" s="11" t="inlineStr">
        <ns0:is>
          <ns0:t>(1:1),(2:2)</ns0:t>
        </ns0:is>
      </ns0:c>
      <ns0:c xmlns:ns0="http://schemas.openxmlformats.org/spreadsheetml/2006/main" r="AQ217" s="11" t="inlineStr">
        <ns0:is>
          <ns0:t>Simulation\Capacitors\MY_LIB_C_RC.ckt</ns0:t>
        </ns0:is>
      </ns0:c>
    </ns0:row>
    <ns0:row r="218" ht="30" customHeight="1">
      <ns0:c r="A218" t="str" s="14">
        <ns0:v>C0219</ns0:v>
      </ns0:c>
      <ns0:c r="B218" t="str" s="14">
        <ns0:v>Конденсатор</ns0:v>
      </ns0:c>
      <ns0:c r="C218" t="str" s="14">
        <ns0:v>10n</ns0:v>
      </ns0:c>
      <ns0:c r="D218" t="str" s="11">
        <ns0:f>SUBSTITUTE(SUBSTITUTE(SUBSTITUTE(SUBSTITUTE(C218,"p"," пФ"),"n"," нФ"),"u"," мкФ"),".",",")</ns0:f>
        <ns0:v>10 нФ</ns0:v>
      </ns0:c>
      <ns0:c r="E218" t="str" s="14">
        <ns0:v>±10%</ns0:v>
      </ns0:c>
      <ns0:c r="F218" s="14"/>
      <ns0:c r="G218" t="str" s="14">
        <ns0:v>100 В</ns0:v>
      </ns0:c>
      <ns0:c r="H218" t="str" s="14">
        <ns0:v>X7R</ns0:v>
      </ns0:c>
      <ns0:c r="I218" t="str" s="15">
        <ns0:v>0603</ns0:v>
      </ns0:c>
      <ns0:c r="J218" t="str" s="14">
        <ns0:v>YAGEO</ns0:v>
      </ns0:c>
      <ns0:c r="K218" t="str" s="14">
        <ns0:v>CC0603KRX7R0BB103</ns0:v>
      </ns0:c>
      <ns0:c r="L218" t="str" s="11">
        <ns0:f>B218&amp;" "&amp;D218&amp;" "&amp;E218&amp;" "&amp;G218&amp;" "&amp;H218&amp;" "&amp;I218</ns0:f>
        <ns0:v>Конденсатор 10 нФ ±10% 100 В X7R 0603</ns0:v>
      </ns0:c>
      <ns0:c r="M218" t="str" s="13">
        <ns0:v>C</ns0:v>
      </ns0:c>
      <ns0:c r="N218" t="str" s="13">
        <ns0:v>Symbols\MY_LIB_Capacitors.SchLib</ns0:v>
      </ns0:c>
      <ns0:c r="O218" t="str" s="13">
        <ns0:v>CAPC1608X90N</ns0:v>
      </ns0:c>
      <ns0:c r="P218" t="str" s="13">
        <ns0:v>Footprints\PBL - SMD Packages.PcbLib</ns0:v>
      </ns0:c>
      <ns0:c r="Q218" t="str" s="14">
        <ns0:v>YAGEO CC; список 20.10.2026</ns0:v>
      </ns0:c>
      <ns0:c r="R218" t="str" s="11">
        <ns0:f>D218</ns0:f>
        <ns0:v>10 нФ</ns0:v>
      </ns0:c>
      <ns0:c r="S218" t="str" s="11">
        <ns0:f>L218</ns0:f>
        <ns0:v>Конденсатор 10 нФ ±10% 100 В X7R 0603</ns0:v>
      </ns0:c>
      <x:c xmlns:x="http://schemas.openxmlformats.org/spreadsheetml/2006/main" r="T218" t="str" s="11">
        <x:v>C:\Users\Nomatin\Documents\Altium\MY_LIB\MY_LIB\Datasheets\YAGEO_CC_X7R.pdf</x:v>
      </x:c>
      <x:c xmlns:x="http://schemas.openxmlformats.org/spreadsheetml/2006/main" r="U218" t="str" s="11">
        <x:v>Даташит — локальный</x:v>
      </x:c>
      <x:c xmlns:x="http://schemas.openxmlformats.org/spreadsheetml/2006/main" r="V218" t="str" s="11">
        <x:v>C:\Users\Nomatin\Documents\Altium\MY_LIB\MY_LIB\Datasheets\YAGEO_CC_X7R.pdf</x:v>
      </x:c>
      <x:c xmlns:x="http://schemas.openxmlformats.org/spreadsheetml/2006/main" r="W218" t="str" s="11">
        <x:v>Даташит — производитель</x:v>
      </x:c>
      <x:c xmlns:x="http://schemas.openxmlformats.org/spreadsheetml/2006/main" r="X218" t="str" s="11">
        <x:v>https://yageogroup.com/content/datasheet/asset/file/UPY-GPHC_X7R_6_3V-TO-250V</x:v>
      </x:c>
      <x:c xmlns:x="http://schemas.openxmlformats.org/spreadsheetml/2006/main" r="Y218" t="str" s="11">
        <x:v>C:\Users\Nomatin\Documents\Altium\MY_LIB\MY_LIB\Datasheets\YAGEO_CC_X7R.pdf</x:v>
      </x:c>
      <ns0:c xmlns:ns0="http://schemas.openxmlformats.org/spreadsheetml/2006/main" r="Z218" s="11">
        <ns0:v>1e-08</ns0:v>
      </ns0:c>
      <ns0:c xmlns:ns0="http://schemas.openxmlformats.org/spreadsheetml/2006/main" r="AA218" s="11">
        <ns0:v>0.025</ns0:v>
      </ns0:c>
      <ns0:c xmlns:ns0="http://schemas.openxmlformats.org/spreadsheetml/2006/main" r="AB218" s="11">
        <ns0:v>1000</ns0:v>
      </ns0:c>
      <ns0:c xmlns:ns0="http://schemas.openxmlformats.org/spreadsheetml/2006/main" r="AC218" s="11">
        <ns0:v>1</ns0:v>
      </ns0:c>
      <ns0:c xmlns:ns0="http://schemas.openxmlformats.org/spreadsheetml/2006/main" r="AD218" s="11">
        <ns0:v>20</ns0:v>
      </ns0:c>
      <ns0:c xmlns:ns0="http://schemas.openxmlformats.org/spreadsheetml/2006/main" r="AE218" s="11">
        <ns0:v>500</ns0:v>
      </ns0:c>
      <ns0:c xmlns:ns0="http://schemas.openxmlformats.org/spreadsheetml/2006/main" r="AF218" s="11">
        <ns0:v>10000000000</ns0:v>
      </ns0:c>
      <ns0:c xmlns:ns0="http://schemas.openxmlformats.org/spreadsheetml/2006/main" r="AG218" s="11">
        <ns0:v>100</ns0:v>
      </ns0:c>
      <ns0:c xmlns:ns0="http://schemas.openxmlformats.org/spreadsheetml/2006/main" r="AH218" s="11">
        <ns0:v>60</ns0:v>
      </ns0:c>
      <ns0:c xmlns:ns0="http://schemas.openxmlformats.org/spreadsheetml/2006/main" r="AI218" s="11">
        <ns0:v>397.887357729738</ns0:v>
      </ns0:c>
      <ns0:c xmlns:ns0="http://schemas.openxmlformats.org/spreadsheetml/2006/main" r="AJ218" s="11" t="inlineStr">
        <ns0:is>
          <ns0:t>MY_LIB_C_RC</ns0:t>
        </ns0:is>
      </ns0:c>
      <ns0:c xmlns:ns0="http://schemas.openxmlformats.org/spreadsheetml/2006/main" r="AK218" s="11" t="inlineStr">
        <ns0:is>
          <ns0:t>Nominal C; DFmax at 1kHz; minimum insulation; no temperature/bias/ESL</ns0:t>
        </ns0:is>
      </ns0:c>
      <ns0:c xmlns:ns0="http://schemas.openxmlformats.org/spreadsheetml/2006/main" r="AL218" s="11" t="inlineStr">
        <ns0:is>
          <ns0:t>General</ns0:t>
        </ns0:is>
      </ns0:c>
      <ns0:c xmlns:ns0="http://schemas.openxmlformats.org/spreadsheetml/2006/main" r="AM218" s="11" t="inlineStr">
        <ns0:is>
          <ns0:t>Spice Subcircuit</ns0:t>
        </ns0:is>
      </ns0:c>
      <ns0:c xmlns:ns0="http://schemas.openxmlformats.org/spreadsheetml/2006/main" r="AN218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218" s="11" t="inlineStr">
        <ns0:is>
          <ns0:t>X</ns0:t>
        </ns0:is>
      </ns0:c>
      <ns0:c xmlns:ns0="http://schemas.openxmlformats.org/spreadsheetml/2006/main" r="AP218" s="11" t="inlineStr">
        <ns0:is>
          <ns0:t>(1:1),(2:2)</ns0:t>
        </ns0:is>
      </ns0:c>
      <ns0:c xmlns:ns0="http://schemas.openxmlformats.org/spreadsheetml/2006/main" r="AQ218" s="11" t="inlineStr">
        <ns0:is>
          <ns0:t>Simulation\Capacitors\MY_LIB_C_RC.ckt</ns0:t>
        </ns0:is>
      </ns0:c>
    </ns0:row>
    <ns0:row r="219" ht="30" customHeight="1">
      <ns0:c r="A219" t="str" s="14">
        <ns0:v>C0220</ns0:v>
      </ns0:c>
      <ns0:c r="B219" t="str" s="14">
        <ns0:v>Конденсатор</ns0:v>
      </ns0:c>
      <ns0:c r="C219" t="str" s="14">
        <ns0:v>12n</ns0:v>
      </ns0:c>
      <ns0:c r="D219" t="str" s="11">
        <ns0:f>SUBSTITUTE(SUBSTITUTE(SUBSTITUTE(SUBSTITUTE(C219,"p"," пФ"),"n"," нФ"),"u"," мкФ"),".",",")</ns0:f>
        <ns0:v>12 нФ</ns0:v>
      </ns0:c>
      <ns0:c r="E219" t="str" s="14">
        <ns0:v>±10%</ns0:v>
      </ns0:c>
      <ns0:c r="F219" s="14"/>
      <ns0:c r="G219" t="str" s="14">
        <ns0:v>100 В</ns0:v>
      </ns0:c>
      <ns0:c r="H219" t="str" s="14">
        <ns0:v>X7R</ns0:v>
      </ns0:c>
      <ns0:c r="I219" t="str" s="15">
        <ns0:v>0603</ns0:v>
      </ns0:c>
      <ns0:c r="J219" t="str" s="14">
        <ns0:v>YAGEO</ns0:v>
      </ns0:c>
      <ns0:c r="K219" t="str" s="14">
        <ns0:v>CC0603KRX7R0BB123</ns0:v>
      </ns0:c>
      <ns0:c r="L219" t="str" s="11">
        <ns0:f>B219&amp;" "&amp;D219&amp;" "&amp;E219&amp;" "&amp;G219&amp;" "&amp;H219&amp;" "&amp;I219</ns0:f>
        <ns0:v>Конденсатор 12 нФ ±10% 100 В X7R 0603</ns0:v>
      </ns0:c>
      <ns0:c r="M219" t="str" s="13">
        <ns0:v>C</ns0:v>
      </ns0:c>
      <ns0:c r="N219" t="str" s="13">
        <ns0:v>Symbols\MY_LIB_Capacitors.SchLib</ns0:v>
      </ns0:c>
      <ns0:c r="O219" t="str" s="13">
        <ns0:v>CAPC1608X90N</ns0:v>
      </ns0:c>
      <ns0:c r="P219" t="str" s="13">
        <ns0:v>Footprints\PBL - SMD Packages.PcbLib</ns0:v>
      </ns0:c>
      <ns0:c r="Q219" t="str" s="14">
        <ns0:v>YAGEO CC; список 20.10.2026</ns0:v>
      </ns0:c>
      <ns0:c r="R219" t="str" s="11">
        <ns0:f>D219</ns0:f>
        <ns0:v>12 нФ</ns0:v>
      </ns0:c>
      <ns0:c r="S219" t="str" s="11">
        <ns0:f>L219</ns0:f>
        <ns0:v>Конденсатор 12 нФ ±10% 100 В X7R 0603</ns0:v>
      </ns0:c>
      <x:c xmlns:x="http://schemas.openxmlformats.org/spreadsheetml/2006/main" r="T219" t="str" s="11">
        <x:v>C:\Users\Nomatin\Documents\Altium\MY_LIB\MY_LIB\Datasheets\YAGEO_CC_X7R.pdf</x:v>
      </x:c>
      <x:c xmlns:x="http://schemas.openxmlformats.org/spreadsheetml/2006/main" r="U219" t="str" s="11">
        <x:v>Даташит — локальный</x:v>
      </x:c>
      <x:c xmlns:x="http://schemas.openxmlformats.org/spreadsheetml/2006/main" r="V219" t="str" s="11">
        <x:v>C:\Users\Nomatin\Documents\Altium\MY_LIB\MY_LIB\Datasheets\YAGEO_CC_X7R.pdf</x:v>
      </x:c>
      <x:c xmlns:x="http://schemas.openxmlformats.org/spreadsheetml/2006/main" r="W219" t="str" s="11">
        <x:v>Даташит — производитель</x:v>
      </x:c>
      <x:c xmlns:x="http://schemas.openxmlformats.org/spreadsheetml/2006/main" r="X219" t="str" s="11">
        <x:v>https://yageogroup.com/content/datasheet/asset/file/UPY-GPHC_X7R_6_3V-TO-250V</x:v>
      </x:c>
      <x:c xmlns:x="http://schemas.openxmlformats.org/spreadsheetml/2006/main" r="Y219" t="str" s="11">
        <x:v>C:\Users\Nomatin\Documents\Altium\MY_LIB\MY_LIB\Datasheets\YAGEO_CC_X7R.pdf</x:v>
      </x:c>
      <ns0:c xmlns:ns0="http://schemas.openxmlformats.org/spreadsheetml/2006/main" r="Z219" s="11">
        <ns0:v>1.2e-08</ns0:v>
      </ns0:c>
      <ns0:c xmlns:ns0="http://schemas.openxmlformats.org/spreadsheetml/2006/main" r="AA219" s="11">
        <ns0:v>0.05</ns0:v>
      </ns0:c>
      <ns0:c xmlns:ns0="http://schemas.openxmlformats.org/spreadsheetml/2006/main" r="AB219" s="11">
        <ns0:v>1000</ns0:v>
      </ns0:c>
      <ns0:c xmlns:ns0="http://schemas.openxmlformats.org/spreadsheetml/2006/main" r="AC219" s="11">
        <ns0:v>1</ns0:v>
      </ns0:c>
      <ns0:c xmlns:ns0="http://schemas.openxmlformats.org/spreadsheetml/2006/main" r="AD219" s="11">
        <ns0:v>20</ns0:v>
      </ns0:c>
      <ns0:c xmlns:ns0="http://schemas.openxmlformats.org/spreadsheetml/2006/main" r="AE219" s="11">
        <ns0:v>500</ns0:v>
      </ns0:c>
      <ns0:c xmlns:ns0="http://schemas.openxmlformats.org/spreadsheetml/2006/main" r="AF219" s="11">
        <ns0:v>10000000000</ns0:v>
      </ns0:c>
      <ns0:c xmlns:ns0="http://schemas.openxmlformats.org/spreadsheetml/2006/main" r="AG219" s="11">
        <ns0:v>100</ns0:v>
      </ns0:c>
      <ns0:c xmlns:ns0="http://schemas.openxmlformats.org/spreadsheetml/2006/main" r="AH219" s="11">
        <ns0:v>60</ns0:v>
      </ns0:c>
      <ns0:c xmlns:ns0="http://schemas.openxmlformats.org/spreadsheetml/2006/main" r="AI219" s="11">
        <ns0:v>663.145596216231</ns0:v>
      </ns0:c>
      <ns0:c xmlns:ns0="http://schemas.openxmlformats.org/spreadsheetml/2006/main" r="AJ219" s="11" t="inlineStr">
        <ns0:is>
          <ns0:t>MY_LIB_C_RC</ns0:t>
        </ns0:is>
      </ns0:c>
      <ns0:c xmlns:ns0="http://schemas.openxmlformats.org/spreadsheetml/2006/main" r="AK219" s="11" t="inlineStr">
        <ns0:is>
          <ns0:t>Nominal C; DFmax at 1kHz; minimum insulation; no temperature/bias/ESL</ns0:t>
        </ns0:is>
      </ns0:c>
      <ns0:c xmlns:ns0="http://schemas.openxmlformats.org/spreadsheetml/2006/main" r="AL219" s="11" t="inlineStr">
        <ns0:is>
          <ns0:t>General</ns0:t>
        </ns0:is>
      </ns0:c>
      <ns0:c xmlns:ns0="http://schemas.openxmlformats.org/spreadsheetml/2006/main" r="AM219" s="11" t="inlineStr">
        <ns0:is>
          <ns0:t>Spice Subcircuit</ns0:t>
        </ns0:is>
      </ns0:c>
      <ns0:c xmlns:ns0="http://schemas.openxmlformats.org/spreadsheetml/2006/main" r="AN219" s="11" t="inlineStr">
        <ns0:is>
          <ns0:t>@DESIGNATOR %1 %2 @MODEL PARAMS: Cvalue=1.2e-08 Rsvalue=663.145596216231 Rinsvalue=10000000000</ns0:t>
        </ns0:is>
      </ns0:c>
      <ns0:c xmlns:ns0="http://schemas.openxmlformats.org/spreadsheetml/2006/main" r="AO219" s="11" t="inlineStr">
        <ns0:is>
          <ns0:t>X</ns0:t>
        </ns0:is>
      </ns0:c>
      <ns0:c xmlns:ns0="http://schemas.openxmlformats.org/spreadsheetml/2006/main" r="AP219" s="11" t="inlineStr">
        <ns0:is>
          <ns0:t>(1:1),(2:2)</ns0:t>
        </ns0:is>
      </ns0:c>
      <ns0:c xmlns:ns0="http://schemas.openxmlformats.org/spreadsheetml/2006/main" r="AQ219" s="11" t="inlineStr">
        <ns0:is>
          <ns0:t>Simulation\Capacitors\MY_LIB_C_RC.ckt</ns0:t>
        </ns0:is>
      </ns0:c>
    </ns0:row>
    <ns0:row r="220" ht="30" customHeight="1">
      <ns0:c r="A220" t="str" s="14">
        <ns0:v>C0221</ns0:v>
      </ns0:c>
      <ns0:c r="B220" t="str" s="14">
        <ns0:v>Конденсатор</ns0:v>
      </ns0:c>
      <ns0:c r="C220" t="str" s="14">
        <ns0:v>15n</ns0:v>
      </ns0:c>
      <ns0:c r="D220" t="str" s="11">
        <ns0:f>SUBSTITUTE(SUBSTITUTE(SUBSTITUTE(SUBSTITUTE(C220,"p"," пФ"),"n"," нФ"),"u"," мкФ"),".",",")</ns0:f>
        <ns0:v>15 нФ</ns0:v>
      </ns0:c>
      <ns0:c r="E220" t="str" s="14">
        <ns0:v>±10%</ns0:v>
      </ns0:c>
      <ns0:c r="F220" s="14"/>
      <ns0:c r="G220" t="str" s="14">
        <ns0:v>100 В</ns0:v>
      </ns0:c>
      <ns0:c r="H220" t="str" s="14">
        <ns0:v>X7R</ns0:v>
      </ns0:c>
      <ns0:c r="I220" t="str" s="15">
        <ns0:v>0603</ns0:v>
      </ns0:c>
      <ns0:c r="J220" t="str" s="14">
        <ns0:v>YAGEO</ns0:v>
      </ns0:c>
      <ns0:c r="K220" t="str" s="14">
        <ns0:v>CC0603KRX7R0BB153</ns0:v>
      </ns0:c>
      <ns0:c r="L220" t="str" s="11">
        <ns0:f>B220&amp;" "&amp;D220&amp;" "&amp;E220&amp;" "&amp;G220&amp;" "&amp;H220&amp;" "&amp;I220</ns0:f>
        <ns0:v>Конденсатор 15 нФ ±10% 100 В X7R 0603</ns0:v>
      </ns0:c>
      <ns0:c r="M220" t="str" s="13">
        <ns0:v>C</ns0:v>
      </ns0:c>
      <ns0:c r="N220" t="str" s="13">
        <ns0:v>Symbols\MY_LIB_Capacitors.SchLib</ns0:v>
      </ns0:c>
      <ns0:c r="O220" t="str" s="13">
        <ns0:v>CAPC1608X90N</ns0:v>
      </ns0:c>
      <ns0:c r="P220" t="str" s="13">
        <ns0:v>Footprints\PBL - SMD Packages.PcbLib</ns0:v>
      </ns0:c>
      <ns0:c r="Q220" t="str" s="14">
        <ns0:v>YAGEO CC; список 20.10.2026</ns0:v>
      </ns0:c>
      <ns0:c r="R220" t="str" s="11">
        <ns0:f>D220</ns0:f>
        <ns0:v>15 нФ</ns0:v>
      </ns0:c>
      <ns0:c r="S220" t="str" s="11">
        <ns0:f>L220</ns0:f>
        <ns0:v>Конденсатор 15 нФ ±10% 100 В X7R 0603</ns0:v>
      </ns0:c>
      <x:c xmlns:x="http://schemas.openxmlformats.org/spreadsheetml/2006/main" r="T220" t="str" s="11">
        <x:v>C:\Users\Nomatin\Documents\Altium\MY_LIB\MY_LIB\Datasheets\YAGEO_CC_X7R.pdf</x:v>
      </x:c>
      <x:c xmlns:x="http://schemas.openxmlformats.org/spreadsheetml/2006/main" r="U220" t="str" s="11">
        <x:v>Даташит — локальный</x:v>
      </x:c>
      <x:c xmlns:x="http://schemas.openxmlformats.org/spreadsheetml/2006/main" r="V220" t="str" s="11">
        <x:v>C:\Users\Nomatin\Documents\Altium\MY_LIB\MY_LIB\Datasheets\YAGEO_CC_X7R.pdf</x:v>
      </x:c>
      <x:c xmlns:x="http://schemas.openxmlformats.org/spreadsheetml/2006/main" r="W220" t="str" s="11">
        <x:v>Даташит — производитель</x:v>
      </x:c>
      <x:c xmlns:x="http://schemas.openxmlformats.org/spreadsheetml/2006/main" r="X220" t="str" s="11">
        <x:v>https://yageogroup.com/content/datasheet/asset/file/UPY-GPHC_X7R_6_3V-TO-250V</x:v>
      </x:c>
      <x:c xmlns:x="http://schemas.openxmlformats.org/spreadsheetml/2006/main" r="Y220" t="str" s="11">
        <x:v>C:\Users\Nomatin\Documents\Altium\MY_LIB\MY_LIB\Datasheets\YAGEO_CC_X7R.pdf</x:v>
      </x:c>
      <ns0:c xmlns:ns0="http://schemas.openxmlformats.org/spreadsheetml/2006/main" r="Z220" s="11">
        <ns0:v>1.5e-08</ns0:v>
      </ns0:c>
      <ns0:c xmlns:ns0="http://schemas.openxmlformats.org/spreadsheetml/2006/main" r="AA220" s="11">
        <ns0:v>0.05</ns0:v>
      </ns0:c>
      <ns0:c xmlns:ns0="http://schemas.openxmlformats.org/spreadsheetml/2006/main" r="AB220" s="11">
        <ns0:v>1000</ns0:v>
      </ns0:c>
      <ns0:c xmlns:ns0="http://schemas.openxmlformats.org/spreadsheetml/2006/main" r="AC220" s="11">
        <ns0:v>1</ns0:v>
      </ns0:c>
      <ns0:c xmlns:ns0="http://schemas.openxmlformats.org/spreadsheetml/2006/main" r="AD220" s="11">
        <ns0:v>20</ns0:v>
      </ns0:c>
      <ns0:c xmlns:ns0="http://schemas.openxmlformats.org/spreadsheetml/2006/main" r="AE220" s="11">
        <ns0:v>500</ns0:v>
      </ns0:c>
      <ns0:c xmlns:ns0="http://schemas.openxmlformats.org/spreadsheetml/2006/main" r="AF220" s="11">
        <ns0:v>10000000000</ns0:v>
      </ns0:c>
      <ns0:c xmlns:ns0="http://schemas.openxmlformats.org/spreadsheetml/2006/main" r="AG220" s="11">
        <ns0:v>100</ns0:v>
      </ns0:c>
      <ns0:c xmlns:ns0="http://schemas.openxmlformats.org/spreadsheetml/2006/main" r="AH220" s="11">
        <ns0:v>60</ns0:v>
      </ns0:c>
      <ns0:c xmlns:ns0="http://schemas.openxmlformats.org/spreadsheetml/2006/main" r="AI220" s="11">
        <ns0:v>530.516476972984</ns0:v>
      </ns0:c>
      <ns0:c xmlns:ns0="http://schemas.openxmlformats.org/spreadsheetml/2006/main" r="AJ220" s="11" t="inlineStr">
        <ns0:is>
          <ns0:t>MY_LIB_C_RC</ns0:t>
        </ns0:is>
      </ns0:c>
      <ns0:c xmlns:ns0="http://schemas.openxmlformats.org/spreadsheetml/2006/main" r="AK220" s="11" t="inlineStr">
        <ns0:is>
          <ns0:t>Nominal C; DFmax at 1kHz; minimum insulation; no temperature/bias/ESL</ns0:t>
        </ns0:is>
      </ns0:c>
      <ns0:c xmlns:ns0="http://schemas.openxmlformats.org/spreadsheetml/2006/main" r="AL220" s="11" t="inlineStr">
        <ns0:is>
          <ns0:t>General</ns0:t>
        </ns0:is>
      </ns0:c>
      <ns0:c xmlns:ns0="http://schemas.openxmlformats.org/spreadsheetml/2006/main" r="AM220" s="11" t="inlineStr">
        <ns0:is>
          <ns0:t>Spice Subcircuit</ns0:t>
        </ns0:is>
      </ns0:c>
      <ns0:c xmlns:ns0="http://schemas.openxmlformats.org/spreadsheetml/2006/main" r="AN220" s="11" t="inlineStr">
        <ns0:is>
          <ns0:t>@DESIGNATOR %1 %2 @MODEL PARAMS: Cvalue=1.5e-08 Rsvalue=530.516476972984 Rinsvalue=10000000000</ns0:t>
        </ns0:is>
      </ns0:c>
      <ns0:c xmlns:ns0="http://schemas.openxmlformats.org/spreadsheetml/2006/main" r="AO220" s="11" t="inlineStr">
        <ns0:is>
          <ns0:t>X</ns0:t>
        </ns0:is>
      </ns0:c>
      <ns0:c xmlns:ns0="http://schemas.openxmlformats.org/spreadsheetml/2006/main" r="AP220" s="11" t="inlineStr">
        <ns0:is>
          <ns0:t>(1:1),(2:2)</ns0:t>
        </ns0:is>
      </ns0:c>
      <ns0:c xmlns:ns0="http://schemas.openxmlformats.org/spreadsheetml/2006/main" r="AQ220" s="11" t="inlineStr">
        <ns0:is>
          <ns0:t>Simulation\Capacitors\MY_LIB_C_RC.ckt</ns0:t>
        </ns0:is>
      </ns0:c>
    </ns0:row>
    <ns0:row r="221" ht="30" customHeight="1">
      <ns0:c r="A221" t="str" s="14">
        <ns0:v>C0222</ns0:v>
      </ns0:c>
      <ns0:c r="B221" t="str" s="14">
        <ns0:v>Конденсатор</ns0:v>
      </ns0:c>
      <ns0:c r="C221" t="str" s="14">
        <ns0:v>18n</ns0:v>
      </ns0:c>
      <ns0:c r="D221" t="str" s="11">
        <ns0:f>SUBSTITUTE(SUBSTITUTE(SUBSTITUTE(SUBSTITUTE(C221,"p"," пФ"),"n"," нФ"),"u"," мкФ"),".",",")</ns0:f>
        <ns0:v>18 нФ</ns0:v>
      </ns0:c>
      <ns0:c r="E221" t="str" s="14">
        <ns0:v>±10%</ns0:v>
      </ns0:c>
      <ns0:c r="F221" s="14"/>
      <ns0:c r="G221" t="str" s="14">
        <ns0:v>100 В</ns0:v>
      </ns0:c>
      <ns0:c r="H221" t="str" s="14">
        <ns0:v>X7R</ns0:v>
      </ns0:c>
      <ns0:c r="I221" t="str" s="15">
        <ns0:v>0603</ns0:v>
      </ns0:c>
      <ns0:c r="J221" t="str" s="14">
        <ns0:v>YAGEO</ns0:v>
      </ns0:c>
      <ns0:c r="K221" t="str" s="14">
        <ns0:v>CC0603KRX7R0BB183</ns0:v>
      </ns0:c>
      <ns0:c r="L221" t="str" s="11">
        <ns0:f>B221&amp;" "&amp;D221&amp;" "&amp;E221&amp;" "&amp;G221&amp;" "&amp;H221&amp;" "&amp;I221</ns0:f>
        <ns0:v>Конденсатор 18 нФ ±10% 100 В X7R 0603</ns0:v>
      </ns0:c>
      <ns0:c r="M221" t="str" s="13">
        <ns0:v>C</ns0:v>
      </ns0:c>
      <ns0:c r="N221" t="str" s="13">
        <ns0:v>Symbols\MY_LIB_Capacitors.SchLib</ns0:v>
      </ns0:c>
      <ns0:c r="O221" t="str" s="13">
        <ns0:v>CAPC1608X90N</ns0:v>
      </ns0:c>
      <ns0:c r="P221" t="str" s="13">
        <ns0:v>Footprints\PBL - SMD Packages.PcbLib</ns0:v>
      </ns0:c>
      <ns0:c r="Q221" t="str" s="14">
        <ns0:v>YAGEO CC; список 20.10.2026</ns0:v>
      </ns0:c>
      <ns0:c r="R221" t="str" s="11">
        <ns0:f>D221</ns0:f>
        <ns0:v>18 нФ</ns0:v>
      </ns0:c>
      <ns0:c r="S221" t="str" s="11">
        <ns0:f>L221</ns0:f>
        <ns0:v>Конденсатор 18 нФ ±10% 100 В X7R 0603</ns0:v>
      </ns0:c>
      <x:c xmlns:x="http://schemas.openxmlformats.org/spreadsheetml/2006/main" r="T221" t="str" s="11">
        <x:v>C:\Users\Nomatin\Documents\Altium\MY_LIB\MY_LIB\Datasheets\YAGEO_CC_X7R.pdf</x:v>
      </x:c>
      <x:c xmlns:x="http://schemas.openxmlformats.org/spreadsheetml/2006/main" r="U221" t="str" s="11">
        <x:v>Даташит — локальный</x:v>
      </x:c>
      <x:c xmlns:x="http://schemas.openxmlformats.org/spreadsheetml/2006/main" r="V221" t="str" s="11">
        <x:v>C:\Users\Nomatin\Documents\Altium\MY_LIB\MY_LIB\Datasheets\YAGEO_CC_X7R.pdf</x:v>
      </x:c>
      <x:c xmlns:x="http://schemas.openxmlformats.org/spreadsheetml/2006/main" r="W221" t="str" s="11">
        <x:v>Даташит — производитель</x:v>
      </x:c>
      <x:c xmlns:x="http://schemas.openxmlformats.org/spreadsheetml/2006/main" r="X221" t="str" s="11">
        <x:v>https://yageogroup.com/content/datasheet/asset/file/UPY-GPHC_X7R_6_3V-TO-250V</x:v>
      </x:c>
      <x:c xmlns:x="http://schemas.openxmlformats.org/spreadsheetml/2006/main" r="Y221" t="str" s="11">
        <x:v>C:\Users\Nomatin\Documents\Altium\MY_LIB\MY_LIB\Datasheets\YAGEO_CC_X7R.pdf</x:v>
      </x:c>
      <ns0:c xmlns:ns0="http://schemas.openxmlformats.org/spreadsheetml/2006/main" r="Z221" s="11">
        <ns0:v>1.8e-08</ns0:v>
      </ns0:c>
      <ns0:c xmlns:ns0="http://schemas.openxmlformats.org/spreadsheetml/2006/main" r="AA221" s="11">
        <ns0:v>0.05</ns0:v>
      </ns0:c>
      <ns0:c xmlns:ns0="http://schemas.openxmlformats.org/spreadsheetml/2006/main" r="AB221" s="11">
        <ns0:v>1000</ns0:v>
      </ns0:c>
      <ns0:c xmlns:ns0="http://schemas.openxmlformats.org/spreadsheetml/2006/main" r="AC221" s="11">
        <ns0:v>1</ns0:v>
      </ns0:c>
      <ns0:c xmlns:ns0="http://schemas.openxmlformats.org/spreadsheetml/2006/main" r="AD221" s="11">
        <ns0:v>20</ns0:v>
      </ns0:c>
      <ns0:c xmlns:ns0="http://schemas.openxmlformats.org/spreadsheetml/2006/main" r="AE221" s="11">
        <ns0:v>500</ns0:v>
      </ns0:c>
      <ns0:c xmlns:ns0="http://schemas.openxmlformats.org/spreadsheetml/2006/main" r="AF221" s="11">
        <ns0:v>10000000000</ns0:v>
      </ns0:c>
      <ns0:c xmlns:ns0="http://schemas.openxmlformats.org/spreadsheetml/2006/main" r="AG221" s="11">
        <ns0:v>100</ns0:v>
      </ns0:c>
      <ns0:c xmlns:ns0="http://schemas.openxmlformats.org/spreadsheetml/2006/main" r="AH221" s="11">
        <ns0:v>60</ns0:v>
      </ns0:c>
      <ns0:c xmlns:ns0="http://schemas.openxmlformats.org/spreadsheetml/2006/main" r="AI221" s="11">
        <ns0:v>442.097064144154</ns0:v>
      </ns0:c>
      <ns0:c xmlns:ns0="http://schemas.openxmlformats.org/spreadsheetml/2006/main" r="AJ221" s="11" t="inlineStr">
        <ns0:is>
          <ns0:t>MY_LIB_C_RC</ns0:t>
        </ns0:is>
      </ns0:c>
      <ns0:c xmlns:ns0="http://schemas.openxmlformats.org/spreadsheetml/2006/main" r="AK221" s="11" t="inlineStr">
        <ns0:is>
          <ns0:t>Nominal C; DFmax at 1kHz; minimum insulation; no temperature/bias/ESL</ns0:t>
        </ns0:is>
      </ns0:c>
      <ns0:c xmlns:ns0="http://schemas.openxmlformats.org/spreadsheetml/2006/main" r="AL221" s="11" t="inlineStr">
        <ns0:is>
          <ns0:t>General</ns0:t>
        </ns0:is>
      </ns0:c>
      <ns0:c xmlns:ns0="http://schemas.openxmlformats.org/spreadsheetml/2006/main" r="AM221" s="11" t="inlineStr">
        <ns0:is>
          <ns0:t>Spice Subcircuit</ns0:t>
        </ns0:is>
      </ns0:c>
      <ns0:c xmlns:ns0="http://schemas.openxmlformats.org/spreadsheetml/2006/main" r="AN221" s="11" t="inlineStr">
        <ns0:is>
          <ns0:t>@DESIGNATOR %1 %2 @MODEL PARAMS: Cvalue=1.8e-08 Rsvalue=442.097064144154 Rinsvalue=10000000000</ns0:t>
        </ns0:is>
      </ns0:c>
      <ns0:c xmlns:ns0="http://schemas.openxmlformats.org/spreadsheetml/2006/main" r="AO221" s="11" t="inlineStr">
        <ns0:is>
          <ns0:t>X</ns0:t>
        </ns0:is>
      </ns0:c>
      <ns0:c xmlns:ns0="http://schemas.openxmlformats.org/spreadsheetml/2006/main" r="AP221" s="11" t="inlineStr">
        <ns0:is>
          <ns0:t>(1:1),(2:2)</ns0:t>
        </ns0:is>
      </ns0:c>
      <ns0:c xmlns:ns0="http://schemas.openxmlformats.org/spreadsheetml/2006/main" r="AQ221" s="11" t="inlineStr">
        <ns0:is>
          <ns0:t>Simulation\Capacitors\MY_LIB_C_RC.ckt</ns0:t>
        </ns0:is>
      </ns0:c>
    </ns0:row>
    <ns0:row r="222" ht="30" customHeight="1">
      <ns0:c r="A222" t="str" s="14">
        <ns0:v>C0223</ns0:v>
      </ns0:c>
      <ns0:c r="B222" t="str" s="14">
        <ns0:v>Конденсатор</ns0:v>
      </ns0:c>
      <ns0:c r="C222" t="str" s="14">
        <ns0:v>20n</ns0:v>
      </ns0:c>
      <ns0:c r="D222" t="str" s="11">
        <ns0:f>SUBSTITUTE(SUBSTITUTE(SUBSTITUTE(SUBSTITUTE(C222,"p"," пФ"),"n"," нФ"),"u"," мкФ"),".",",")</ns0:f>
        <ns0:v>20 нФ</ns0:v>
      </ns0:c>
      <ns0:c r="E222" t="str" s="14">
        <ns0:v>±10%</ns0:v>
      </ns0:c>
      <ns0:c r="F222" s="14"/>
      <ns0:c r="G222" t="str" s="14">
        <ns0:v>50 В</ns0:v>
      </ns0:c>
      <ns0:c r="H222" t="str" s="14">
        <ns0:v>X7R</ns0:v>
      </ns0:c>
      <ns0:c r="I222" t="str" s="15">
        <ns0:v>0603</ns0:v>
      </ns0:c>
      <ns0:c r="J222" t="str" s="14">
        <ns0:v>YAGEO</ns0:v>
      </ns0:c>
      <ns0:c r="K222" t="str" s="14">
        <ns0:v>CC0603KRX7R9BB203</ns0:v>
      </ns0:c>
      <ns0:c r="L222" t="str" s="11">
        <ns0:f>B222&amp;" "&amp;D222&amp;" "&amp;E222&amp;" "&amp;G222&amp;" "&amp;H222&amp;" "&amp;I222</ns0:f>
        <ns0:v>Конденсатор 20 нФ ±10% 50 В X7R 0603</ns0:v>
      </ns0:c>
      <ns0:c r="M222" t="str" s="13">
        <ns0:v>C</ns0:v>
      </ns0:c>
      <ns0:c r="N222" t="str" s="13">
        <ns0:v>Symbols\MY_LIB_Capacitors.SchLib</ns0:v>
      </ns0:c>
      <ns0:c r="O222" t="str" s="13">
        <ns0:v>CAPC1608X90N</ns0:v>
      </ns0:c>
      <ns0:c r="P222" t="str" s="13">
        <ns0:v>Footprints\PBL - SMD Packages.PcbLib</ns0:v>
      </ns0:c>
      <ns0:c r="Q222" t="str" s="14">
        <ns0:v>YAGEO CC; список 20.10.2026</ns0:v>
      </ns0:c>
      <ns0:c r="R222" t="str" s="11">
        <ns0:f>D222</ns0:f>
        <ns0:v>20 нФ</ns0:v>
      </ns0:c>
      <ns0:c r="S222" t="str" s="11">
        <ns0:f>L222</ns0:f>
        <ns0:v>Конденсатор 20 нФ ±10% 50 В X7R 0603</ns0:v>
      </ns0:c>
      <x:c xmlns:x="http://schemas.openxmlformats.org/spreadsheetml/2006/main" r="T222" t="str" s="11">
        <x:v>C:\Users\Nomatin\Documents\Altium\MY_LIB\MY_LIB\Datasheets\YAGEO_CC_X7R.pdf</x:v>
      </x:c>
      <x:c xmlns:x="http://schemas.openxmlformats.org/spreadsheetml/2006/main" r="U222" t="str" s="11">
        <x:v>Даташит — локальный</x:v>
      </x:c>
      <x:c xmlns:x="http://schemas.openxmlformats.org/spreadsheetml/2006/main" r="V222" t="str" s="11">
        <x:v>C:\Users\Nomatin\Documents\Altium\MY_LIB\MY_LIB\Datasheets\YAGEO_CC_X7R.pdf</x:v>
      </x:c>
      <x:c xmlns:x="http://schemas.openxmlformats.org/spreadsheetml/2006/main" r="W222" t="str" s="11">
        <x:v>Даташит — производитель</x:v>
      </x:c>
      <x:c xmlns:x="http://schemas.openxmlformats.org/spreadsheetml/2006/main" r="X222" t="str" s="11">
        <x:v>https://yageogroup.com/content/datasheet/asset/file/UPY-GPHC_X7R_6_3V-TO-250V</x:v>
      </x:c>
      <x:c xmlns:x="http://schemas.openxmlformats.org/spreadsheetml/2006/main" r="Y222" t="str" s="11">
        <x:v>C:\Users\Nomatin\Documents\Altium\MY_LIB\MY_LIB\Datasheets\YAGEO_CC_X7R.pdf</x:v>
      </x:c>
      <ns0:c xmlns:ns0="http://schemas.openxmlformats.org/spreadsheetml/2006/main" r="Z222" s="11">
        <ns0:v>2e-08</ns0:v>
      </ns0:c>
      <ns0:c xmlns:ns0="http://schemas.openxmlformats.org/spreadsheetml/2006/main" r="AA222" s="11">
        <ns0:v>0.025</ns0:v>
      </ns0:c>
      <ns0:c xmlns:ns0="http://schemas.openxmlformats.org/spreadsheetml/2006/main" r="AB222" s="11">
        <ns0:v>1000</ns0:v>
      </ns0:c>
      <ns0:c xmlns:ns0="http://schemas.openxmlformats.org/spreadsheetml/2006/main" r="AC222" s="11">
        <ns0:v>1</ns0:v>
      </ns0:c>
      <ns0:c xmlns:ns0="http://schemas.openxmlformats.org/spreadsheetml/2006/main" r="AD222" s="11">
        <ns0:v>20</ns0:v>
      </ns0:c>
      <ns0:c xmlns:ns0="http://schemas.openxmlformats.org/spreadsheetml/2006/main" r="AE222" s="11">
        <ns0:v>500</ns0:v>
      </ns0:c>
      <ns0:c xmlns:ns0="http://schemas.openxmlformats.org/spreadsheetml/2006/main" r="AF222" s="11">
        <ns0:v>10000000000</ns0:v>
      </ns0:c>
      <ns0:c xmlns:ns0="http://schemas.openxmlformats.org/spreadsheetml/2006/main" r="AG222" s="11">
        <ns0:v>50</ns0:v>
      </ns0:c>
      <ns0:c xmlns:ns0="http://schemas.openxmlformats.org/spreadsheetml/2006/main" r="AH222" s="11">
        <ns0:v>60</ns0:v>
      </ns0:c>
      <ns0:c xmlns:ns0="http://schemas.openxmlformats.org/spreadsheetml/2006/main" r="AI222" s="11">
        <ns0:v>198.943678864869</ns0:v>
      </ns0:c>
      <ns0:c xmlns:ns0="http://schemas.openxmlformats.org/spreadsheetml/2006/main" r="AJ222" s="11" t="inlineStr">
        <ns0:is>
          <ns0:t>MY_LIB_C_RC</ns0:t>
        </ns0:is>
      </ns0:c>
      <ns0:c xmlns:ns0="http://schemas.openxmlformats.org/spreadsheetml/2006/main" r="AK222" s="11" t="inlineStr">
        <ns0:is>
          <ns0:t>Nominal C; DFmax at 1kHz; minimum insulation; no temperature/bias/ESL</ns0:t>
        </ns0:is>
      </ns0:c>
      <ns0:c xmlns:ns0="http://schemas.openxmlformats.org/spreadsheetml/2006/main" r="AL222" s="11" t="inlineStr">
        <ns0:is>
          <ns0:t>General</ns0:t>
        </ns0:is>
      </ns0:c>
      <ns0:c xmlns:ns0="http://schemas.openxmlformats.org/spreadsheetml/2006/main" r="AM222" s="11" t="inlineStr">
        <ns0:is>
          <ns0:t>Spice Subcircuit</ns0:t>
        </ns0:is>
      </ns0:c>
      <ns0:c xmlns:ns0="http://schemas.openxmlformats.org/spreadsheetml/2006/main" r="AN222" s="11" t="inlineStr">
        <ns0:is>
          <ns0:t>@DESIGNATOR %1 %2 @MODEL PARAMS: Cvalue=2e-08 Rsvalue=198.943678864869 Rinsvalue=10000000000</ns0:t>
        </ns0:is>
      </ns0:c>
      <ns0:c xmlns:ns0="http://schemas.openxmlformats.org/spreadsheetml/2006/main" r="AO222" s="11" t="inlineStr">
        <ns0:is>
          <ns0:t>X</ns0:t>
        </ns0:is>
      </ns0:c>
      <ns0:c xmlns:ns0="http://schemas.openxmlformats.org/spreadsheetml/2006/main" r="AP222" s="11" t="inlineStr">
        <ns0:is>
          <ns0:t>(1:1),(2:2)</ns0:t>
        </ns0:is>
      </ns0:c>
      <ns0:c xmlns:ns0="http://schemas.openxmlformats.org/spreadsheetml/2006/main" r="AQ222" s="11" t="inlineStr">
        <ns0:is>
          <ns0:t>Simulation\Capacitors\MY_LIB_C_RC.ckt</ns0:t>
        </ns0:is>
      </ns0:c>
    </ns0:row>
    <ns0:row r="223" ht="30" customHeight="1">
      <ns0:c r="A223" t="str" s="14">
        <ns0:v>C0224</ns0:v>
      </ns0:c>
      <ns0:c r="B223" t="str" s="14">
        <ns0:v>Конденсатор</ns0:v>
      </ns0:c>
      <ns0:c r="C223" t="str" s="14">
        <ns0:v>22n</ns0:v>
      </ns0:c>
      <ns0:c r="D223" t="str" s="11">
        <ns0:f>SUBSTITUTE(SUBSTITUTE(SUBSTITUTE(SUBSTITUTE(C223,"p"," пФ"),"n"," нФ"),"u"," мкФ"),".",",")</ns0:f>
        <ns0:v>22 нФ</ns0:v>
      </ns0:c>
      <ns0:c r="E223" t="str" s="14">
        <ns0:v>±10%</ns0:v>
      </ns0:c>
      <ns0:c r="F223" s="14"/>
      <ns0:c r="G223" t="str" s="14">
        <ns0:v>100 В</ns0:v>
      </ns0:c>
      <ns0:c r="H223" t="str" s="14">
        <ns0:v>X7R</ns0:v>
      </ns0:c>
      <ns0:c r="I223" t="str" s="15">
        <ns0:v>0603</ns0:v>
      </ns0:c>
      <ns0:c r="J223" t="str" s="14">
        <ns0:v>YAGEO</ns0:v>
      </ns0:c>
      <ns0:c r="K223" t="str" s="14">
        <ns0:v>CC0603KRX7R0BB223</ns0:v>
      </ns0:c>
      <ns0:c r="L223" t="str" s="11">
        <ns0:f>B223&amp;" "&amp;D223&amp;" "&amp;E223&amp;" "&amp;G223&amp;" "&amp;H223&amp;" "&amp;I223</ns0:f>
        <ns0:v>Конденсатор 22 нФ ±10% 100 В X7R 0603</ns0:v>
      </ns0:c>
      <ns0:c r="M223" t="str" s="13">
        <ns0:v>C</ns0:v>
      </ns0:c>
      <ns0:c r="N223" t="str" s="13">
        <ns0:v>Symbols\MY_LIB_Capacitors.SchLib</ns0:v>
      </ns0:c>
      <ns0:c r="O223" t="str" s="13">
        <ns0:v>CAPC1608X90N</ns0:v>
      </ns0:c>
      <ns0:c r="P223" t="str" s="13">
        <ns0:v>Footprints\PBL - SMD Packages.PcbLib</ns0:v>
      </ns0:c>
      <ns0:c r="Q223" t="str" s="14">
        <ns0:v>YAGEO CC; список 20.10.2026</ns0:v>
      </ns0:c>
      <ns0:c r="R223" t="str" s="11">
        <ns0:f>D223</ns0:f>
        <ns0:v>22 нФ</ns0:v>
      </ns0:c>
      <ns0:c r="S223" t="str" s="11">
        <ns0:f>L223</ns0:f>
        <ns0:v>Конденсатор 22 нФ ±10% 100 В X7R 0603</ns0:v>
      </ns0:c>
      <x:c xmlns:x="http://schemas.openxmlformats.org/spreadsheetml/2006/main" r="T223" t="str" s="11">
        <x:v>C:\Users\Nomatin\Documents\Altium\MY_LIB\MY_LIB\Datasheets\YAGEO_CC_X7R.pdf</x:v>
      </x:c>
      <x:c xmlns:x="http://schemas.openxmlformats.org/spreadsheetml/2006/main" r="U223" t="str" s="11">
        <x:v>Даташит — локальный</x:v>
      </x:c>
      <x:c xmlns:x="http://schemas.openxmlformats.org/spreadsheetml/2006/main" r="V223" t="str" s="11">
        <x:v>C:\Users\Nomatin\Documents\Altium\MY_LIB\MY_LIB\Datasheets\YAGEO_CC_X7R.pdf</x:v>
      </x:c>
      <x:c xmlns:x="http://schemas.openxmlformats.org/spreadsheetml/2006/main" r="W223" t="str" s="11">
        <x:v>Даташит — производитель</x:v>
      </x:c>
      <x:c xmlns:x="http://schemas.openxmlformats.org/spreadsheetml/2006/main" r="X223" t="str" s="11">
        <x:v>https://yageogroup.com/content/datasheet/asset/file/UPY-GPHC_X7R_6_3V-TO-250V</x:v>
      </x:c>
      <x:c xmlns:x="http://schemas.openxmlformats.org/spreadsheetml/2006/main" r="Y223" t="str" s="11">
        <x:v>C:\Users\Nomatin\Documents\Altium\MY_LIB\MY_LIB\Datasheets\YAGEO_CC_X7R.pdf</x:v>
      </x:c>
      <ns0:c xmlns:ns0="http://schemas.openxmlformats.org/spreadsheetml/2006/main" r="Z223" s="11">
        <ns0:v>2.2e-08</ns0:v>
      </ns0:c>
      <ns0:c xmlns:ns0="http://schemas.openxmlformats.org/spreadsheetml/2006/main" r="AA223" s="11">
        <ns0:v>0.05</ns0:v>
      </ns0:c>
      <ns0:c xmlns:ns0="http://schemas.openxmlformats.org/spreadsheetml/2006/main" r="AB223" s="11">
        <ns0:v>1000</ns0:v>
      </ns0:c>
      <ns0:c xmlns:ns0="http://schemas.openxmlformats.org/spreadsheetml/2006/main" r="AC223" s="11">
        <ns0:v>1</ns0:v>
      </ns0:c>
      <ns0:c xmlns:ns0="http://schemas.openxmlformats.org/spreadsheetml/2006/main" r="AD223" s="11">
        <ns0:v>20</ns0:v>
      </ns0:c>
      <ns0:c xmlns:ns0="http://schemas.openxmlformats.org/spreadsheetml/2006/main" r="AE223" s="11">
        <ns0:v>500</ns0:v>
      </ns0:c>
      <ns0:c xmlns:ns0="http://schemas.openxmlformats.org/spreadsheetml/2006/main" r="AF223" s="11">
        <ns0:v>10000000000</ns0:v>
      </ns0:c>
      <ns0:c xmlns:ns0="http://schemas.openxmlformats.org/spreadsheetml/2006/main" r="AG223" s="11">
        <ns0:v>100</ns0:v>
      </ns0:c>
      <ns0:c xmlns:ns0="http://schemas.openxmlformats.org/spreadsheetml/2006/main" r="AH223" s="11">
        <ns0:v>60</ns0:v>
      </ns0:c>
      <ns0:c xmlns:ns0="http://schemas.openxmlformats.org/spreadsheetml/2006/main" r="AI223" s="11">
        <ns0:v>361.715779754308</ns0:v>
      </ns0:c>
      <ns0:c xmlns:ns0="http://schemas.openxmlformats.org/spreadsheetml/2006/main" r="AJ223" s="11" t="inlineStr">
        <ns0:is>
          <ns0:t>MY_LIB_C_RC</ns0:t>
        </ns0:is>
      </ns0:c>
      <ns0:c xmlns:ns0="http://schemas.openxmlformats.org/spreadsheetml/2006/main" r="AK223" s="11" t="inlineStr">
        <ns0:is>
          <ns0:t>Nominal C; DFmax at 1kHz; minimum insulation; no temperature/bias/ESL</ns0:t>
        </ns0:is>
      </ns0:c>
      <ns0:c xmlns:ns0="http://schemas.openxmlformats.org/spreadsheetml/2006/main" r="AL223" s="11" t="inlineStr">
        <ns0:is>
          <ns0:t>General</ns0:t>
        </ns0:is>
      </ns0:c>
      <ns0:c xmlns:ns0="http://schemas.openxmlformats.org/spreadsheetml/2006/main" r="AM223" s="11" t="inlineStr">
        <ns0:is>
          <ns0:t>Spice Subcircuit</ns0:t>
        </ns0:is>
      </ns0:c>
      <ns0:c xmlns:ns0="http://schemas.openxmlformats.org/spreadsheetml/2006/main" r="AN223" s="11" t="inlineStr">
        <ns0:is>
          <ns0:t>@DESIGNATOR %1 %2 @MODEL PARAMS: Cvalue=2.2e-08 Rsvalue=361.715779754308 Rinsvalue=10000000000</ns0:t>
        </ns0:is>
      </ns0:c>
      <ns0:c xmlns:ns0="http://schemas.openxmlformats.org/spreadsheetml/2006/main" r="AO223" s="11" t="inlineStr">
        <ns0:is>
          <ns0:t>X</ns0:t>
        </ns0:is>
      </ns0:c>
      <ns0:c xmlns:ns0="http://schemas.openxmlformats.org/spreadsheetml/2006/main" r="AP223" s="11" t="inlineStr">
        <ns0:is>
          <ns0:t>(1:1),(2:2)</ns0:t>
        </ns0:is>
      </ns0:c>
      <ns0:c xmlns:ns0="http://schemas.openxmlformats.org/spreadsheetml/2006/main" r="AQ223" s="11" t="inlineStr">
        <ns0:is>
          <ns0:t>Simulation\Capacitors\MY_LIB_C_RC.ckt</ns0:t>
        </ns0:is>
      </ns0:c>
    </ns0:row>
    <ns0:row r="224" ht="30" customHeight="1">
      <ns0:c r="A224" t="str" s="14">
        <ns0:v>C0225</ns0:v>
      </ns0:c>
      <ns0:c r="B224" t="str" s="14">
        <ns0:v>Конденсатор</ns0:v>
      </ns0:c>
      <ns0:c r="C224" t="str" s="14">
        <ns0:v>27n</ns0:v>
      </ns0:c>
      <ns0:c r="D224" t="str" s="11">
        <ns0:f>SUBSTITUTE(SUBSTITUTE(SUBSTITUTE(SUBSTITUTE(C224,"p"," пФ"),"n"," нФ"),"u"," мкФ"),".",",")</ns0:f>
        <ns0:v>27 нФ</ns0:v>
      </ns0:c>
      <ns0:c r="E224" t="str" s="14">
        <ns0:v>±10%</ns0:v>
      </ns0:c>
      <ns0:c r="F224" s="14"/>
      <ns0:c r="G224" t="str" s="14">
        <ns0:v>50 В</ns0:v>
      </ns0:c>
      <ns0:c r="H224" t="str" s="14">
        <ns0:v>X7R</ns0:v>
      </ns0:c>
      <ns0:c r="I224" t="str" s="15">
        <ns0:v>0603</ns0:v>
      </ns0:c>
      <ns0:c r="J224" t="str" s="14">
        <ns0:v>YAGEO</ns0:v>
      </ns0:c>
      <ns0:c r="K224" t="str" s="14">
        <ns0:v>CC0603KRX7R9BB273</ns0:v>
      </ns0:c>
      <ns0:c r="L224" t="str" s="11">
        <ns0:f>B224&amp;" "&amp;D224&amp;" "&amp;E224&amp;" "&amp;G224&amp;" "&amp;H224&amp;" "&amp;I224</ns0:f>
        <ns0:v>Конденсатор 27 нФ ±10% 50 В X7R 0603</ns0:v>
      </ns0:c>
      <ns0:c r="M224" t="str" s="13">
        <ns0:v>C</ns0:v>
      </ns0:c>
      <ns0:c r="N224" t="str" s="13">
        <ns0:v>Symbols\MY_LIB_Capacitors.SchLib</ns0:v>
      </ns0:c>
      <ns0:c r="O224" t="str" s="13">
        <ns0:v>CAPC1608X90N</ns0:v>
      </ns0:c>
      <ns0:c r="P224" t="str" s="13">
        <ns0:v>Footprints\PBL - SMD Packages.PcbLib</ns0:v>
      </ns0:c>
      <ns0:c r="Q224" t="str" s="14">
        <ns0:v>YAGEO CC; список 20.10.2026</ns0:v>
      </ns0:c>
      <ns0:c r="R224" t="str" s="11">
        <ns0:f>D224</ns0:f>
        <ns0:v>27 нФ</ns0:v>
      </ns0:c>
      <ns0:c r="S224" t="str" s="11">
        <ns0:f>L224</ns0:f>
        <ns0:v>Конденсатор 27 нФ ±10% 50 В X7R 0603</ns0:v>
      </ns0:c>
      <x:c xmlns:x="http://schemas.openxmlformats.org/spreadsheetml/2006/main" r="T224" t="str" s="11">
        <x:v>C:\Users\Nomatin\Documents\Altium\MY_LIB\MY_LIB\Datasheets\YAGEO_CC_X7R.pdf</x:v>
      </x:c>
      <x:c xmlns:x="http://schemas.openxmlformats.org/spreadsheetml/2006/main" r="U224" t="str" s="11">
        <x:v>Даташит — локальный</x:v>
      </x:c>
      <x:c xmlns:x="http://schemas.openxmlformats.org/spreadsheetml/2006/main" r="V224" t="str" s="11">
        <x:v>C:\Users\Nomatin\Documents\Altium\MY_LIB\MY_LIB\Datasheets\YAGEO_CC_X7R.pdf</x:v>
      </x:c>
      <x:c xmlns:x="http://schemas.openxmlformats.org/spreadsheetml/2006/main" r="W224" t="str" s="11">
        <x:v>Даташит — производитель</x:v>
      </x:c>
      <x:c xmlns:x="http://schemas.openxmlformats.org/spreadsheetml/2006/main" r="X224" t="str" s="11">
        <x:v>https://yageogroup.com/content/datasheet/asset/file/UPY-GPHC_X7R_6_3V-TO-250V</x:v>
      </x:c>
      <x:c xmlns:x="http://schemas.openxmlformats.org/spreadsheetml/2006/main" r="Y224" t="str" s="11">
        <x:v>C:\Users\Nomatin\Documents\Altium\MY_LIB\MY_LIB\Datasheets\YAGEO_CC_X7R.pdf</x:v>
      </x:c>
      <ns0:c xmlns:ns0="http://schemas.openxmlformats.org/spreadsheetml/2006/main" r="Z224" s="11">
        <ns0:v>2.7e-08</ns0:v>
      </ns0:c>
      <ns0:c xmlns:ns0="http://schemas.openxmlformats.org/spreadsheetml/2006/main" r="AA224" s="11">
        <ns0:v>0.025</ns0:v>
      </ns0:c>
      <ns0:c xmlns:ns0="http://schemas.openxmlformats.org/spreadsheetml/2006/main" r="AB224" s="11">
        <ns0:v>1000</ns0:v>
      </ns0:c>
      <ns0:c xmlns:ns0="http://schemas.openxmlformats.org/spreadsheetml/2006/main" r="AC224" s="11">
        <ns0:v>1</ns0:v>
      </ns0:c>
      <ns0:c xmlns:ns0="http://schemas.openxmlformats.org/spreadsheetml/2006/main" r="AD224" s="11">
        <ns0:v>20</ns0:v>
      </ns0:c>
      <ns0:c xmlns:ns0="http://schemas.openxmlformats.org/spreadsheetml/2006/main" r="AE224" s="11">
        <ns0:v>500</ns0:v>
      </ns0:c>
      <ns0:c xmlns:ns0="http://schemas.openxmlformats.org/spreadsheetml/2006/main" r="AF224" s="11">
        <ns0:v>10000000000</ns0:v>
      </ns0:c>
      <ns0:c xmlns:ns0="http://schemas.openxmlformats.org/spreadsheetml/2006/main" r="AG224" s="11">
        <ns0:v>50</ns0:v>
      </ns0:c>
      <ns0:c xmlns:ns0="http://schemas.openxmlformats.org/spreadsheetml/2006/main" r="AH224" s="11">
        <ns0:v>60</ns0:v>
      </ns0:c>
      <ns0:c xmlns:ns0="http://schemas.openxmlformats.org/spreadsheetml/2006/main" r="AI224" s="11">
        <ns0:v>147.365688048051</ns0:v>
      </ns0:c>
      <ns0:c xmlns:ns0="http://schemas.openxmlformats.org/spreadsheetml/2006/main" r="AJ224" s="11" t="inlineStr">
        <ns0:is>
          <ns0:t>MY_LIB_C_RC</ns0:t>
        </ns0:is>
      </ns0:c>
      <ns0:c xmlns:ns0="http://schemas.openxmlformats.org/spreadsheetml/2006/main" r="AK224" s="11" t="inlineStr">
        <ns0:is>
          <ns0:t>Nominal C; DFmax at 1kHz; minimum insulation; no temperature/bias/ESL</ns0:t>
        </ns0:is>
      </ns0:c>
      <ns0:c xmlns:ns0="http://schemas.openxmlformats.org/spreadsheetml/2006/main" r="AL224" s="11" t="inlineStr">
        <ns0:is>
          <ns0:t>General</ns0:t>
        </ns0:is>
      </ns0:c>
      <ns0:c xmlns:ns0="http://schemas.openxmlformats.org/spreadsheetml/2006/main" r="AM224" s="11" t="inlineStr">
        <ns0:is>
          <ns0:t>Spice Subcircuit</ns0:t>
        </ns0:is>
      </ns0:c>
      <ns0:c xmlns:ns0="http://schemas.openxmlformats.org/spreadsheetml/2006/main" r="AN224" s="11" t="inlineStr">
        <ns0:is>
          <ns0:t>@DESIGNATOR %1 %2 @MODEL PARAMS: Cvalue=2.7e-08 Rsvalue=147.365688048051 Rinsvalue=10000000000</ns0:t>
        </ns0:is>
      </ns0:c>
      <ns0:c xmlns:ns0="http://schemas.openxmlformats.org/spreadsheetml/2006/main" r="AO224" s="11" t="inlineStr">
        <ns0:is>
          <ns0:t>X</ns0:t>
        </ns0:is>
      </ns0:c>
      <ns0:c xmlns:ns0="http://schemas.openxmlformats.org/spreadsheetml/2006/main" r="AP224" s="11" t="inlineStr">
        <ns0:is>
          <ns0:t>(1:1),(2:2)</ns0:t>
        </ns0:is>
      </ns0:c>
      <ns0:c xmlns:ns0="http://schemas.openxmlformats.org/spreadsheetml/2006/main" r="AQ224" s="11" t="inlineStr">
        <ns0:is>
          <ns0:t>Simulation\Capacitors\MY_LIB_C_RC.ckt</ns0:t>
        </ns0:is>
      </ns0:c>
    </ns0:row>
    <ns0:row r="225" ht="30" customHeight="1">
      <ns0:c r="A225" t="str" s="14">
        <ns0:v>C0226</ns0:v>
      </ns0:c>
      <ns0:c r="B225" t="str" s="14">
        <ns0:v>Конденсатор</ns0:v>
      </ns0:c>
      <ns0:c r="C225" t="str" s="14">
        <ns0:v>33n</ns0:v>
      </ns0:c>
      <ns0:c r="D225" t="str" s="11">
        <ns0:f>SUBSTITUTE(SUBSTITUTE(SUBSTITUTE(SUBSTITUTE(C225,"p"," пФ"),"n"," нФ"),"u"," мкФ"),".",",")</ns0:f>
        <ns0:v>33 нФ</ns0:v>
      </ns0:c>
      <ns0:c r="E225" t="str" s="14">
        <ns0:v>±10%</ns0:v>
      </ns0:c>
      <ns0:c r="F225" s="14"/>
      <ns0:c r="G225" t="str" s="14">
        <ns0:v>100 В</ns0:v>
      </ns0:c>
      <ns0:c r="H225" t="str" s="14">
        <ns0:v>X7R</ns0:v>
      </ns0:c>
      <ns0:c r="I225" t="str" s="15">
        <ns0:v>0603</ns0:v>
      </ns0:c>
      <ns0:c r="J225" t="str" s="14">
        <ns0:v>YAGEO</ns0:v>
      </ns0:c>
      <ns0:c r="K225" t="str" s="14">
        <ns0:v>CC0603KRX7R0BB333</ns0:v>
      </ns0:c>
      <ns0:c r="L225" t="str" s="11">
        <ns0:f>B225&amp;" "&amp;D225&amp;" "&amp;E225&amp;" "&amp;G225&amp;" "&amp;H225&amp;" "&amp;I225</ns0:f>
        <ns0:v>Конденсатор 33 нФ ±10% 100 В X7R 0603</ns0:v>
      </ns0:c>
      <ns0:c r="M225" t="str" s="13">
        <ns0:v>C</ns0:v>
      </ns0:c>
      <ns0:c r="N225" t="str" s="13">
        <ns0:v>Symbols\MY_LIB_Capacitors.SchLib</ns0:v>
      </ns0:c>
      <ns0:c r="O225" t="str" s="13">
        <ns0:v>CAPC1608X90N</ns0:v>
      </ns0:c>
      <ns0:c r="P225" t="str" s="13">
        <ns0:v>Footprints\PBL - SMD Packages.PcbLib</ns0:v>
      </ns0:c>
      <ns0:c r="Q225" t="str" s="14">
        <ns0:v>YAGEO CC; список 20.10.2026</ns0:v>
      </ns0:c>
      <ns0:c r="R225" t="str" s="11">
        <ns0:f>D225</ns0:f>
        <ns0:v>33 нФ</ns0:v>
      </ns0:c>
      <ns0:c r="S225" t="str" s="11">
        <ns0:f>L225</ns0:f>
        <ns0:v>Конденсатор 33 нФ ±10% 100 В X7R 0603</ns0:v>
      </ns0:c>
      <x:c xmlns:x="http://schemas.openxmlformats.org/spreadsheetml/2006/main" r="T225" t="str" s="11">
        <x:v>C:\Users\Nomatin\Documents\Altium\MY_LIB\MY_LIB\Datasheets\YAGEO_CC_X7R.pdf</x:v>
      </x:c>
      <x:c xmlns:x="http://schemas.openxmlformats.org/spreadsheetml/2006/main" r="U225" t="str" s="11">
        <x:v>Даташит — локальный</x:v>
      </x:c>
      <x:c xmlns:x="http://schemas.openxmlformats.org/spreadsheetml/2006/main" r="V225" t="str" s="11">
        <x:v>C:\Users\Nomatin\Documents\Altium\MY_LIB\MY_LIB\Datasheets\YAGEO_CC_X7R.pdf</x:v>
      </x:c>
      <x:c xmlns:x="http://schemas.openxmlformats.org/spreadsheetml/2006/main" r="W225" t="str" s="11">
        <x:v>Даташит — производитель</x:v>
      </x:c>
      <x:c xmlns:x="http://schemas.openxmlformats.org/spreadsheetml/2006/main" r="X225" t="str" s="11">
        <x:v>https://yageogroup.com/content/datasheet/asset/file/UPY-GPHC_X7R_6_3V-TO-250V</x:v>
      </x:c>
      <x:c xmlns:x="http://schemas.openxmlformats.org/spreadsheetml/2006/main" r="Y225" t="str" s="11">
        <x:v>C:\Users\Nomatin\Documents\Altium\MY_LIB\MY_LIB\Datasheets\YAGEO_CC_X7R.pdf</x:v>
      </x:c>
      <ns0:c xmlns:ns0="http://schemas.openxmlformats.org/spreadsheetml/2006/main" r="Z225" s="11">
        <ns0:v>3.3e-08</ns0:v>
      </ns0:c>
      <ns0:c xmlns:ns0="http://schemas.openxmlformats.org/spreadsheetml/2006/main" r="AA225" s="11">
        <ns0:v>0.05</ns0:v>
      </ns0:c>
      <ns0:c xmlns:ns0="http://schemas.openxmlformats.org/spreadsheetml/2006/main" r="AB225" s="11">
        <ns0:v>1000</ns0:v>
      </ns0:c>
      <ns0:c xmlns:ns0="http://schemas.openxmlformats.org/spreadsheetml/2006/main" r="AC225" s="11">
        <ns0:v>1</ns0:v>
      </ns0:c>
      <ns0:c xmlns:ns0="http://schemas.openxmlformats.org/spreadsheetml/2006/main" r="AD225" s="11">
        <ns0:v>20</ns0:v>
      </ns0:c>
      <ns0:c xmlns:ns0="http://schemas.openxmlformats.org/spreadsheetml/2006/main" r="AE225" s="11">
        <ns0:v>500</ns0:v>
      </ns0:c>
      <ns0:c xmlns:ns0="http://schemas.openxmlformats.org/spreadsheetml/2006/main" r="AF225" s="11">
        <ns0:v>10000000000</ns0:v>
      </ns0:c>
      <ns0:c xmlns:ns0="http://schemas.openxmlformats.org/spreadsheetml/2006/main" r="AG225" s="11">
        <ns0:v>100</ns0:v>
      </ns0:c>
      <ns0:c xmlns:ns0="http://schemas.openxmlformats.org/spreadsheetml/2006/main" r="AH225" s="11">
        <ns0:v>60</ns0:v>
      </ns0:c>
      <ns0:c xmlns:ns0="http://schemas.openxmlformats.org/spreadsheetml/2006/main" r="AI225" s="11">
        <ns0:v>241.143853169538</ns0:v>
      </ns0:c>
      <ns0:c xmlns:ns0="http://schemas.openxmlformats.org/spreadsheetml/2006/main" r="AJ225" s="11" t="inlineStr">
        <ns0:is>
          <ns0:t>MY_LIB_C_RC</ns0:t>
        </ns0:is>
      </ns0:c>
      <ns0:c xmlns:ns0="http://schemas.openxmlformats.org/spreadsheetml/2006/main" r="AK225" s="11" t="inlineStr">
        <ns0:is>
          <ns0:t>Nominal C; DFmax at 1kHz; minimum insulation; no temperature/bias/ESL</ns0:t>
        </ns0:is>
      </ns0:c>
      <ns0:c xmlns:ns0="http://schemas.openxmlformats.org/spreadsheetml/2006/main" r="AL225" s="11" t="inlineStr">
        <ns0:is>
          <ns0:t>General</ns0:t>
        </ns0:is>
      </ns0:c>
      <ns0:c xmlns:ns0="http://schemas.openxmlformats.org/spreadsheetml/2006/main" r="AM225" s="11" t="inlineStr">
        <ns0:is>
          <ns0:t>Spice Subcircuit</ns0:t>
        </ns0:is>
      </ns0:c>
      <ns0:c xmlns:ns0="http://schemas.openxmlformats.org/spreadsheetml/2006/main" r="AN225" s="11" t="inlineStr">
        <ns0:is>
          <ns0:t>@DESIGNATOR %1 %2 @MODEL PARAMS: Cvalue=3.3e-08 Rsvalue=241.143853169538 Rinsvalue=10000000000</ns0:t>
        </ns0:is>
      </ns0:c>
      <ns0:c xmlns:ns0="http://schemas.openxmlformats.org/spreadsheetml/2006/main" r="AO225" s="11" t="inlineStr">
        <ns0:is>
          <ns0:t>X</ns0:t>
        </ns0:is>
      </ns0:c>
      <ns0:c xmlns:ns0="http://schemas.openxmlformats.org/spreadsheetml/2006/main" r="AP225" s="11" t="inlineStr">
        <ns0:is>
          <ns0:t>(1:1),(2:2)</ns0:t>
        </ns0:is>
      </ns0:c>
      <ns0:c xmlns:ns0="http://schemas.openxmlformats.org/spreadsheetml/2006/main" r="AQ225" s="11" t="inlineStr">
        <ns0:is>
          <ns0:t>Simulation\Capacitors\MY_LIB_C_RC.ckt</ns0:t>
        </ns0:is>
      </ns0:c>
    </ns0:row>
    <ns0:row r="226" ht="30" customHeight="1">
      <ns0:c r="A226" t="str" s="14">
        <ns0:v>C0227</ns0:v>
      </ns0:c>
      <ns0:c r="B226" t="str" s="14">
        <ns0:v>Конденсатор</ns0:v>
      </ns0:c>
      <ns0:c r="C226" t="str" s="14">
        <ns0:v>39n</ns0:v>
      </ns0:c>
      <ns0:c r="D226" t="str" s="11">
        <ns0:f>SUBSTITUTE(SUBSTITUTE(SUBSTITUTE(SUBSTITUTE(C226,"p"," пФ"),"n"," нФ"),"u"," мкФ"),".",",")</ns0:f>
        <ns0:v>39 нФ</ns0:v>
      </ns0:c>
      <ns0:c r="E226" t="str" s="14">
        <ns0:v>±10%</ns0:v>
      </ns0:c>
      <ns0:c r="F226" s="14"/>
      <ns0:c r="G226" t="str" s="14">
        <ns0:v>100 В</ns0:v>
      </ns0:c>
      <ns0:c r="H226" t="str" s="14">
        <ns0:v>X7R</ns0:v>
      </ns0:c>
      <ns0:c r="I226" t="str" s="15">
        <ns0:v>0603</ns0:v>
      </ns0:c>
      <ns0:c r="J226" t="str" s="14">
        <ns0:v>YAGEO</ns0:v>
      </ns0:c>
      <ns0:c r="K226" t="str" s="14">
        <ns0:v>CC0603KRX7R0BB393</ns0:v>
      </ns0:c>
      <ns0:c r="L226" t="str" s="11">
        <ns0:f>B226&amp;" "&amp;D226&amp;" "&amp;E226&amp;" "&amp;G226&amp;" "&amp;H226&amp;" "&amp;I226</ns0:f>
        <ns0:v>Конденсатор 39 нФ ±10% 100 В X7R 0603</ns0:v>
      </ns0:c>
      <ns0:c r="M226" t="str" s="13">
        <ns0:v>C</ns0:v>
      </ns0:c>
      <ns0:c r="N226" t="str" s="13">
        <ns0:v>Symbols\MY_LIB_Capacitors.SchLib</ns0:v>
      </ns0:c>
      <ns0:c r="O226" t="str" s="13">
        <ns0:v>CAPC1608X90N</ns0:v>
      </ns0:c>
      <ns0:c r="P226" t="str" s="13">
        <ns0:v>Footprints\PBL - SMD Packages.PcbLib</ns0:v>
      </ns0:c>
      <ns0:c r="Q226" t="str" s="14">
        <ns0:v>YAGEO CC; список 20.10.2026</ns0:v>
      </ns0:c>
      <ns0:c r="R226" t="str" s="11">
        <ns0:f>D226</ns0:f>
        <ns0:v>39 нФ</ns0:v>
      </ns0:c>
      <ns0:c r="S226" t="str" s="11">
        <ns0:f>L226</ns0:f>
        <ns0:v>Конденсатор 39 нФ ±10% 100 В X7R 0603</ns0:v>
      </ns0:c>
      <x:c xmlns:x="http://schemas.openxmlformats.org/spreadsheetml/2006/main" r="T226" t="str" s="11">
        <x:v>C:\Users\Nomatin\Documents\Altium\MY_LIB\MY_LIB\Datasheets\YAGEO_CC_X7R.pdf</x:v>
      </x:c>
      <x:c xmlns:x="http://schemas.openxmlformats.org/spreadsheetml/2006/main" r="U226" t="str" s="11">
        <x:v>Даташит — локальный</x:v>
      </x:c>
      <x:c xmlns:x="http://schemas.openxmlformats.org/spreadsheetml/2006/main" r="V226" t="str" s="11">
        <x:v>C:\Users\Nomatin\Documents\Altium\MY_LIB\MY_LIB\Datasheets\YAGEO_CC_X7R.pdf</x:v>
      </x:c>
      <x:c xmlns:x="http://schemas.openxmlformats.org/spreadsheetml/2006/main" r="W226" t="str" s="11">
        <x:v>Даташит — производитель</x:v>
      </x:c>
      <x:c xmlns:x="http://schemas.openxmlformats.org/spreadsheetml/2006/main" r="X226" t="str" s="11">
        <x:v>https://yageogroup.com/content/datasheet/asset/file/UPY-GPHC_X7R_6_3V-TO-250V</x:v>
      </x:c>
      <x:c xmlns:x="http://schemas.openxmlformats.org/spreadsheetml/2006/main" r="Y226" t="str" s="11">
        <x:v>C:\Users\Nomatin\Documents\Altium\MY_LIB\MY_LIB\Datasheets\YAGEO_CC_X7R.pdf</x:v>
      </x:c>
      <ns0:c xmlns:ns0="http://schemas.openxmlformats.org/spreadsheetml/2006/main" r="Z226" s="11">
        <ns0:v>3.9e-08</ns0:v>
      </ns0:c>
      <ns0:c xmlns:ns0="http://schemas.openxmlformats.org/spreadsheetml/2006/main" r="AA226" s="11">
        <ns0:v>0.05</ns0:v>
      </ns0:c>
      <ns0:c xmlns:ns0="http://schemas.openxmlformats.org/spreadsheetml/2006/main" r="AB226" s="11">
        <ns0:v>1000</ns0:v>
      </ns0:c>
      <ns0:c xmlns:ns0="http://schemas.openxmlformats.org/spreadsheetml/2006/main" r="AC226" s="11">
        <ns0:v>1</ns0:v>
      </ns0:c>
      <ns0:c xmlns:ns0="http://schemas.openxmlformats.org/spreadsheetml/2006/main" r="AD226" s="11">
        <ns0:v>20</ns0:v>
      </ns0:c>
      <ns0:c xmlns:ns0="http://schemas.openxmlformats.org/spreadsheetml/2006/main" r="AE226" s="11">
        <ns0:v>500</ns0:v>
      </ns0:c>
      <ns0:c xmlns:ns0="http://schemas.openxmlformats.org/spreadsheetml/2006/main" r="AF226" s="11">
        <ns0:v>10000000000</ns0:v>
      </ns0:c>
      <ns0:c xmlns:ns0="http://schemas.openxmlformats.org/spreadsheetml/2006/main" r="AG226" s="11">
        <ns0:v>100</ns0:v>
      </ns0:c>
      <ns0:c xmlns:ns0="http://schemas.openxmlformats.org/spreadsheetml/2006/main" r="AH226" s="11">
        <ns0:v>60</ns0:v>
      </ns0:c>
      <ns0:c xmlns:ns0="http://schemas.openxmlformats.org/spreadsheetml/2006/main" r="AI226" s="11">
        <ns0:v>204.044798835763</ns0:v>
      </ns0:c>
      <ns0:c xmlns:ns0="http://schemas.openxmlformats.org/spreadsheetml/2006/main" r="AJ226" s="11" t="inlineStr">
        <ns0:is>
          <ns0:t>MY_LIB_C_RC</ns0:t>
        </ns0:is>
      </ns0:c>
      <ns0:c xmlns:ns0="http://schemas.openxmlformats.org/spreadsheetml/2006/main" r="AK226" s="11" t="inlineStr">
        <ns0:is>
          <ns0:t>Nominal C; DFmax at 1kHz; minimum insulation; no temperature/bias/ESL</ns0:t>
        </ns0:is>
      </ns0:c>
      <ns0:c xmlns:ns0="http://schemas.openxmlformats.org/spreadsheetml/2006/main" r="AL226" s="11" t="inlineStr">
        <ns0:is>
          <ns0:t>General</ns0:t>
        </ns0:is>
      </ns0:c>
      <ns0:c xmlns:ns0="http://schemas.openxmlformats.org/spreadsheetml/2006/main" r="AM226" s="11" t="inlineStr">
        <ns0:is>
          <ns0:t>Spice Subcircuit</ns0:t>
        </ns0:is>
      </ns0:c>
      <ns0:c xmlns:ns0="http://schemas.openxmlformats.org/spreadsheetml/2006/main" r="AN226" s="11" t="inlineStr">
        <ns0:is>
          <ns0:t>@DESIGNATOR %1 %2 @MODEL PARAMS: Cvalue=3.9e-08 Rsvalue=204.044798835763 Rinsvalue=10000000000</ns0:t>
        </ns0:is>
      </ns0:c>
      <ns0:c xmlns:ns0="http://schemas.openxmlformats.org/spreadsheetml/2006/main" r="AO226" s="11" t="inlineStr">
        <ns0:is>
          <ns0:t>X</ns0:t>
        </ns0:is>
      </ns0:c>
      <ns0:c xmlns:ns0="http://schemas.openxmlformats.org/spreadsheetml/2006/main" r="AP226" s="11" t="inlineStr">
        <ns0:is>
          <ns0:t>(1:1),(2:2)</ns0:t>
        </ns0:is>
      </ns0:c>
      <ns0:c xmlns:ns0="http://schemas.openxmlformats.org/spreadsheetml/2006/main" r="AQ226" s="11" t="inlineStr">
        <ns0:is>
          <ns0:t>Simulation\Capacitors\MY_LIB_C_RC.ckt</ns0:t>
        </ns0:is>
      </ns0:c>
    </ns0:row>
    <ns0:row r="227" ht="30" customHeight="1">
      <ns0:c r="A227" t="str" s="14">
        <ns0:v>C0228</ns0:v>
      </ns0:c>
      <ns0:c r="B227" t="str" s="14">
        <ns0:v>Конденсатор</ns0:v>
      </ns0:c>
      <ns0:c r="C227" t="str" s="14">
        <ns0:v>47n</ns0:v>
      </ns0:c>
      <ns0:c r="D227" t="str" s="11">
        <ns0:f>SUBSTITUTE(SUBSTITUTE(SUBSTITUTE(SUBSTITUTE(C227,"p"," пФ"),"n"," нФ"),"u"," мкФ"),".",",")</ns0:f>
        <ns0:v>47 нФ</ns0:v>
      </ns0:c>
      <ns0:c r="E227" t="str" s="14">
        <ns0:v>±10%</ns0:v>
      </ns0:c>
      <ns0:c r="F227" s="14"/>
      <ns0:c r="G227" t="str" s="14">
        <ns0:v>100 В</ns0:v>
      </ns0:c>
      <ns0:c r="H227" t="str" s="14">
        <ns0:v>X7R</ns0:v>
      </ns0:c>
      <ns0:c r="I227" t="str" s="15">
        <ns0:v>0603</ns0:v>
      </ns0:c>
      <ns0:c r="J227" t="str" s="14">
        <ns0:v>YAGEO</ns0:v>
      </ns0:c>
      <ns0:c r="K227" t="str" s="14">
        <ns0:v>CC0603KRX7R0BB473</ns0:v>
      </ns0:c>
      <ns0:c r="L227" t="str" s="11">
        <ns0:f>B227&amp;" "&amp;D227&amp;" "&amp;E227&amp;" "&amp;G227&amp;" "&amp;H227&amp;" "&amp;I227</ns0:f>
        <ns0:v>Конденсатор 47 нФ ±10% 100 В X7R 0603</ns0:v>
      </ns0:c>
      <ns0:c r="M227" t="str" s="13">
        <ns0:v>C</ns0:v>
      </ns0:c>
      <ns0:c r="N227" t="str" s="13">
        <ns0:v>Symbols\MY_LIB_Capacitors.SchLib</ns0:v>
      </ns0:c>
      <ns0:c r="O227" t="str" s="13">
        <ns0:v>CAPC1608X90N</ns0:v>
      </ns0:c>
      <ns0:c r="P227" t="str" s="13">
        <ns0:v>Footprints\PBL - SMD Packages.PcbLib</ns0:v>
      </ns0:c>
      <ns0:c r="Q227" t="str" s="14">
        <ns0:v>YAGEO CC; список 20.10.2026</ns0:v>
      </ns0:c>
      <ns0:c r="R227" t="str" s="11">
        <ns0:f>D227</ns0:f>
        <ns0:v>47 нФ</ns0:v>
      </ns0:c>
      <ns0:c r="S227" t="str" s="11">
        <ns0:f>L227</ns0:f>
        <ns0:v>Конденсатор 47 нФ ±10% 100 В X7R 0603</ns0:v>
      </ns0:c>
      <x:c xmlns:x="http://schemas.openxmlformats.org/spreadsheetml/2006/main" r="T227" t="str" s="11">
        <x:v>C:\Users\Nomatin\Documents\Altium\MY_LIB\MY_LIB\Datasheets\YAGEO_CC_X7R.pdf</x:v>
      </x:c>
      <x:c xmlns:x="http://schemas.openxmlformats.org/spreadsheetml/2006/main" r="U227" t="str" s="11">
        <x:v>Даташит — локальный</x:v>
      </x:c>
      <x:c xmlns:x="http://schemas.openxmlformats.org/spreadsheetml/2006/main" r="V227" t="str" s="11">
        <x:v>C:\Users\Nomatin\Documents\Altium\MY_LIB\MY_LIB\Datasheets\YAGEO_CC_X7R.pdf</x:v>
      </x:c>
      <x:c xmlns:x="http://schemas.openxmlformats.org/spreadsheetml/2006/main" r="W227" t="str" s="11">
        <x:v>Даташит — производитель</x:v>
      </x:c>
      <x:c xmlns:x="http://schemas.openxmlformats.org/spreadsheetml/2006/main" r="X227" t="str" s="11">
        <x:v>https://yageogroup.com/content/datasheet/asset/file/UPY-GPHC_X7R_6_3V-TO-250V</x:v>
      </x:c>
      <x:c xmlns:x="http://schemas.openxmlformats.org/spreadsheetml/2006/main" r="Y227" t="str" s="11">
        <x:v>C:\Users\Nomatin\Documents\Altium\MY_LIB\MY_LIB\Datasheets\YAGEO_CC_X7R.pdf</x:v>
      </x:c>
      <ns0:c xmlns:ns0="http://schemas.openxmlformats.org/spreadsheetml/2006/main" r="Z227" s="11">
        <ns0:v>4.7e-08</ns0:v>
      </ns0:c>
      <ns0:c xmlns:ns0="http://schemas.openxmlformats.org/spreadsheetml/2006/main" r="AA227" s="11">
        <ns0:v>0.05</ns0:v>
      </ns0:c>
      <ns0:c xmlns:ns0="http://schemas.openxmlformats.org/spreadsheetml/2006/main" r="AB227" s="11">
        <ns0:v>1000</ns0:v>
      </ns0:c>
      <ns0:c xmlns:ns0="http://schemas.openxmlformats.org/spreadsheetml/2006/main" r="AC227" s="11">
        <ns0:v>1</ns0:v>
      </ns0:c>
      <ns0:c xmlns:ns0="http://schemas.openxmlformats.org/spreadsheetml/2006/main" r="AD227" s="11">
        <ns0:v>20</ns0:v>
      </ns0:c>
      <ns0:c xmlns:ns0="http://schemas.openxmlformats.org/spreadsheetml/2006/main" r="AE227" s="11">
        <ns0:v>500</ns0:v>
      </ns0:c>
      <ns0:c xmlns:ns0="http://schemas.openxmlformats.org/spreadsheetml/2006/main" r="AF227" s="11">
        <ns0:v>10000000000</ns0:v>
      </ns0:c>
      <ns0:c xmlns:ns0="http://schemas.openxmlformats.org/spreadsheetml/2006/main" r="AG227" s="11">
        <ns0:v>100</ns0:v>
      </ns0:c>
      <ns0:c xmlns:ns0="http://schemas.openxmlformats.org/spreadsheetml/2006/main" r="AH227" s="11">
        <ns0:v>60</ns0:v>
      </ns0:c>
      <ns0:c xmlns:ns0="http://schemas.openxmlformats.org/spreadsheetml/2006/main" r="AI227" s="11">
        <ns0:v>169.313769246697</ns0:v>
      </ns0:c>
      <ns0:c xmlns:ns0="http://schemas.openxmlformats.org/spreadsheetml/2006/main" r="AJ227" s="11" t="inlineStr">
        <ns0:is>
          <ns0:t>MY_LIB_C_RC</ns0:t>
        </ns0:is>
      </ns0:c>
      <ns0:c xmlns:ns0="http://schemas.openxmlformats.org/spreadsheetml/2006/main" r="AK227" s="11" t="inlineStr">
        <ns0:is>
          <ns0:t>Nominal C; DFmax at 1kHz; minimum insulation; no temperature/bias/ESL</ns0:t>
        </ns0:is>
      </ns0:c>
      <ns0:c xmlns:ns0="http://schemas.openxmlformats.org/spreadsheetml/2006/main" r="AL227" s="11" t="inlineStr">
        <ns0:is>
          <ns0:t>General</ns0:t>
        </ns0:is>
      </ns0:c>
      <ns0:c xmlns:ns0="http://schemas.openxmlformats.org/spreadsheetml/2006/main" r="AM227" s="11" t="inlineStr">
        <ns0:is>
          <ns0:t>Spice Subcircuit</ns0:t>
        </ns0:is>
      </ns0:c>
      <ns0:c xmlns:ns0="http://schemas.openxmlformats.org/spreadsheetml/2006/main" r="AN227" s="11" t="inlineStr">
        <ns0:is>
          <ns0:t>@DESIGNATOR %1 %2 @MODEL PARAMS: Cvalue=4.7e-08 Rsvalue=169.313769246697 Rinsvalue=10000000000</ns0:t>
        </ns0:is>
      </ns0:c>
      <ns0:c xmlns:ns0="http://schemas.openxmlformats.org/spreadsheetml/2006/main" r="AO227" s="11" t="inlineStr">
        <ns0:is>
          <ns0:t>X</ns0:t>
        </ns0:is>
      </ns0:c>
      <ns0:c xmlns:ns0="http://schemas.openxmlformats.org/spreadsheetml/2006/main" r="AP227" s="11" t="inlineStr">
        <ns0:is>
          <ns0:t>(1:1),(2:2)</ns0:t>
        </ns0:is>
      </ns0:c>
      <ns0:c xmlns:ns0="http://schemas.openxmlformats.org/spreadsheetml/2006/main" r="AQ227" s="11" t="inlineStr">
        <ns0:is>
          <ns0:t>Simulation\Capacitors\MY_LIB_C_RC.ckt</ns0:t>
        </ns0:is>
      </ns0:c>
    </ns0:row>
    <ns0:row r="228" ht="30" customHeight="1">
      <ns0:c r="A228" t="str" s="14">
        <ns0:v>C0229</ns0:v>
      </ns0:c>
      <ns0:c r="B228" t="str" s="14">
        <ns0:v>Конденсатор</ns0:v>
      </ns0:c>
      <ns0:c r="C228" t="str" s="14">
        <ns0:v>56n</ns0:v>
      </ns0:c>
      <ns0:c r="D228" t="str" s="11">
        <ns0:f>SUBSTITUTE(SUBSTITUTE(SUBSTITUTE(SUBSTITUTE(C228,"p"," пФ"),"n"," нФ"),"u"," мкФ"),".",",")</ns0:f>
        <ns0:v>56 нФ</ns0:v>
      </ns0:c>
      <ns0:c r="E228" t="str" s="14">
        <ns0:v>±10%</ns0:v>
      </ns0:c>
      <ns0:c r="F228" s="14"/>
      <ns0:c r="G228" t="str" s="14">
        <ns0:v>100 В</ns0:v>
      </ns0:c>
      <ns0:c r="H228" t="str" s="14">
        <ns0:v>X7R</ns0:v>
      </ns0:c>
      <ns0:c r="I228" t="str" s="15">
        <ns0:v>0603</ns0:v>
      </ns0:c>
      <ns0:c r="J228" t="str" s="14">
        <ns0:v>YAGEO</ns0:v>
      </ns0:c>
      <ns0:c r="K228" t="str" s="14">
        <ns0:v>CC0603KRX7R0BB563</ns0:v>
      </ns0:c>
      <ns0:c r="L228" t="str" s="11">
        <ns0:f>B228&amp;" "&amp;D228&amp;" "&amp;E228&amp;" "&amp;G228&amp;" "&amp;H228&amp;" "&amp;I228</ns0:f>
        <ns0:v>Конденсатор 56 нФ ±10% 100 В X7R 0603</ns0:v>
      </ns0:c>
      <ns0:c r="M228" t="str" s="13">
        <ns0:v>C</ns0:v>
      </ns0:c>
      <ns0:c r="N228" t="str" s="13">
        <ns0:v>Symbols\MY_LIB_Capacitors.SchLib</ns0:v>
      </ns0:c>
      <ns0:c r="O228" t="str" s="13">
        <ns0:v>CAPC1608X90N</ns0:v>
      </ns0:c>
      <ns0:c r="P228" t="str" s="13">
        <ns0:v>Footprints\PBL - SMD Packages.PcbLib</ns0:v>
      </ns0:c>
      <ns0:c r="Q228" t="str" s="14">
        <ns0:v>YAGEO CC; список 20.10.2026</ns0:v>
      </ns0:c>
      <ns0:c r="R228" t="str" s="11">
        <ns0:f>D228</ns0:f>
        <ns0:v>56 нФ</ns0:v>
      </ns0:c>
      <ns0:c r="S228" t="str" s="11">
        <ns0:f>L228</ns0:f>
        <ns0:v>Конденсатор 56 нФ ±10% 100 В X7R 0603</ns0:v>
      </ns0:c>
      <x:c xmlns:x="http://schemas.openxmlformats.org/spreadsheetml/2006/main" r="T228" t="str" s="11">
        <x:v>C:\Users\Nomatin\Documents\Altium\MY_LIB\MY_LIB\Datasheets\YAGEO_CC_X7R.pdf</x:v>
      </x:c>
      <x:c xmlns:x="http://schemas.openxmlformats.org/spreadsheetml/2006/main" r="U228" t="str" s="11">
        <x:v>Даташит — локальный</x:v>
      </x:c>
      <x:c xmlns:x="http://schemas.openxmlformats.org/spreadsheetml/2006/main" r="V228" t="str" s="11">
        <x:v>C:\Users\Nomatin\Documents\Altium\MY_LIB\MY_LIB\Datasheets\YAGEO_CC_X7R.pdf</x:v>
      </x:c>
      <x:c xmlns:x="http://schemas.openxmlformats.org/spreadsheetml/2006/main" r="W228" t="str" s="11">
        <x:v>Даташит — производитель</x:v>
      </x:c>
      <x:c xmlns:x="http://schemas.openxmlformats.org/spreadsheetml/2006/main" r="X228" t="str" s="11">
        <x:v>https://yageogroup.com/content/datasheet/asset/file/UPY-GPHC_X7R_6_3V-TO-250V</x:v>
      </x:c>
      <x:c xmlns:x="http://schemas.openxmlformats.org/spreadsheetml/2006/main" r="Y228" t="str" s="11">
        <x:v>C:\Users\Nomatin\Documents\Altium\MY_LIB\MY_LIB\Datasheets\YAGEO_CC_X7R.pdf</x:v>
      </x:c>
      <ns0:c xmlns:ns0="http://schemas.openxmlformats.org/spreadsheetml/2006/main" r="Z228" s="11">
        <ns0:v>5.6e-08</ns0:v>
      </ns0:c>
      <ns0:c xmlns:ns0="http://schemas.openxmlformats.org/spreadsheetml/2006/main" r="AA228" s="11">
        <ns0:v>0.05</ns0:v>
      </ns0:c>
      <ns0:c xmlns:ns0="http://schemas.openxmlformats.org/spreadsheetml/2006/main" r="AB228" s="11">
        <ns0:v>1000</ns0:v>
      </ns0:c>
      <ns0:c xmlns:ns0="http://schemas.openxmlformats.org/spreadsheetml/2006/main" r="AC228" s="11">
        <ns0:v>1</ns0:v>
      </ns0:c>
      <ns0:c xmlns:ns0="http://schemas.openxmlformats.org/spreadsheetml/2006/main" r="AD228" s="11">
        <ns0:v>20</ns0:v>
      </ns0:c>
      <ns0:c xmlns:ns0="http://schemas.openxmlformats.org/spreadsheetml/2006/main" r="AE228" s="11">
        <ns0:v>500</ns0:v>
      </ns0:c>
      <ns0:c xmlns:ns0="http://schemas.openxmlformats.org/spreadsheetml/2006/main" r="AF228" s="11">
        <ns0:v>8928571428.57143</ns0:v>
      </ns0:c>
      <ns0:c xmlns:ns0="http://schemas.openxmlformats.org/spreadsheetml/2006/main" r="AG228" s="11">
        <ns0:v>100</ns0:v>
      </ns0:c>
      <ns0:c xmlns:ns0="http://schemas.openxmlformats.org/spreadsheetml/2006/main" r="AH228" s="11">
        <ns0:v>60</ns0:v>
      </ns0:c>
      <ns0:c xmlns:ns0="http://schemas.openxmlformats.org/spreadsheetml/2006/main" r="AI228" s="11">
        <ns0:v>142.102627760621</ns0:v>
      </ns0:c>
      <ns0:c xmlns:ns0="http://schemas.openxmlformats.org/spreadsheetml/2006/main" r="AJ228" s="11" t="inlineStr">
        <ns0:is>
          <ns0:t>MY_LIB_C_RC</ns0:t>
        </ns0:is>
      </ns0:c>
      <ns0:c xmlns:ns0="http://schemas.openxmlformats.org/spreadsheetml/2006/main" r="AK228" s="11" t="inlineStr">
        <ns0:is>
          <ns0:t>Nominal C; DFmax at 1kHz; minimum insulation; no temperature/bias/ESL</ns0:t>
        </ns0:is>
      </ns0:c>
      <ns0:c xmlns:ns0="http://schemas.openxmlformats.org/spreadsheetml/2006/main" r="AL228" s="11" t="inlineStr">
        <ns0:is>
          <ns0:t>General</ns0:t>
        </ns0:is>
      </ns0:c>
      <ns0:c xmlns:ns0="http://schemas.openxmlformats.org/spreadsheetml/2006/main" r="AM228" s="11" t="inlineStr">
        <ns0:is>
          <ns0:t>Spice Subcircuit</ns0:t>
        </ns0:is>
      </ns0:c>
      <ns0:c xmlns:ns0="http://schemas.openxmlformats.org/spreadsheetml/2006/main" r="AN228" s="11" t="inlineStr">
        <ns0:is>
          <ns0:t>@DESIGNATOR %1 %2 @MODEL PARAMS: Cvalue=5.6e-08 Rsvalue=142.102627760621 Rinsvalue=8928571428.57143</ns0:t>
        </ns0:is>
      </ns0:c>
      <ns0:c xmlns:ns0="http://schemas.openxmlformats.org/spreadsheetml/2006/main" r="AO228" s="11" t="inlineStr">
        <ns0:is>
          <ns0:t>X</ns0:t>
        </ns0:is>
      </ns0:c>
      <ns0:c xmlns:ns0="http://schemas.openxmlformats.org/spreadsheetml/2006/main" r="AP228" s="11" t="inlineStr">
        <ns0:is>
          <ns0:t>(1:1),(2:2)</ns0:t>
        </ns0:is>
      </ns0:c>
      <ns0:c xmlns:ns0="http://schemas.openxmlformats.org/spreadsheetml/2006/main" r="AQ228" s="11" t="inlineStr">
        <ns0:is>
          <ns0:t>Simulation\Capacitors\MY_LIB_C_RC.ckt</ns0:t>
        </ns0:is>
      </ns0:c>
    </ns0:row>
    <ns0:row r="229" ht="30" customHeight="1">
      <ns0:c r="A229" t="str" s="14">
        <ns0:v>C0230</ns0:v>
      </ns0:c>
      <ns0:c r="B229" t="str" s="14">
        <ns0:v>Конденсатор</ns0:v>
      </ns0:c>
      <ns0:c r="C229" t="str" s="14">
        <ns0:v>68n</ns0:v>
      </ns0:c>
      <ns0:c r="D229" t="str" s="11">
        <ns0:f>SUBSTITUTE(SUBSTITUTE(SUBSTITUTE(SUBSTITUTE(C229,"p"," пФ"),"n"," нФ"),"u"," мкФ"),".",",")</ns0:f>
        <ns0:v>68 нФ</ns0:v>
      </ns0:c>
      <ns0:c r="E229" t="str" s="14">
        <ns0:v>±10%</ns0:v>
      </ns0:c>
      <ns0:c r="F229" s="14"/>
      <ns0:c r="G229" t="str" s="14">
        <ns0:v>100 В</ns0:v>
      </ns0:c>
      <ns0:c r="H229" t="str" s="14">
        <ns0:v>X7R</ns0:v>
      </ns0:c>
      <ns0:c r="I229" t="str" s="15">
        <ns0:v>0603</ns0:v>
      </ns0:c>
      <ns0:c r="J229" t="str" s="14">
        <ns0:v>YAGEO</ns0:v>
      </ns0:c>
      <ns0:c r="K229" t="str" s="14">
        <ns0:v>CC0603KRX7R0BB683</ns0:v>
      </ns0:c>
      <ns0:c r="L229" t="str" s="11">
        <ns0:f>B229&amp;" "&amp;D229&amp;" "&amp;E229&amp;" "&amp;G229&amp;" "&amp;H229&amp;" "&amp;I229</ns0:f>
        <ns0:v>Конденсатор 68 нФ ±10% 100 В X7R 0603</ns0:v>
      </ns0:c>
      <ns0:c r="M229" t="str" s="13">
        <ns0:v>C</ns0:v>
      </ns0:c>
      <ns0:c r="N229" t="str" s="13">
        <ns0:v>Symbols\MY_LIB_Capacitors.SchLib</ns0:v>
      </ns0:c>
      <ns0:c r="O229" t="str" s="13">
        <ns0:v>CAPC1608X90N</ns0:v>
      </ns0:c>
      <ns0:c r="P229" t="str" s="13">
        <ns0:v>Footprints\PBL - SMD Packages.PcbLib</ns0:v>
      </ns0:c>
      <ns0:c r="Q229" t="str" s="14">
        <ns0:v>YAGEO CC; список 20.10.2026</ns0:v>
      </ns0:c>
      <ns0:c r="R229" t="str" s="11">
        <ns0:f>D229</ns0:f>
        <ns0:v>68 нФ</ns0:v>
      </ns0:c>
      <ns0:c r="S229" t="str" s="11">
        <ns0:f>L229</ns0:f>
        <ns0:v>Конденсатор 68 нФ ±10% 100 В X7R 0603</ns0:v>
      </ns0:c>
      <x:c xmlns:x="http://schemas.openxmlformats.org/spreadsheetml/2006/main" r="T229" t="str" s="11">
        <x:v>C:\Users\Nomatin\Documents\Altium\MY_LIB\MY_LIB\Datasheets\YAGEO_CC_X7R.pdf</x:v>
      </x:c>
      <x:c xmlns:x="http://schemas.openxmlformats.org/spreadsheetml/2006/main" r="U229" t="str" s="11">
        <x:v>Даташит — локальный</x:v>
      </x:c>
      <x:c xmlns:x="http://schemas.openxmlformats.org/spreadsheetml/2006/main" r="V229" t="str" s="11">
        <x:v>C:\Users\Nomatin\Documents\Altium\MY_LIB\MY_LIB\Datasheets\YAGEO_CC_X7R.pdf</x:v>
      </x:c>
      <x:c xmlns:x="http://schemas.openxmlformats.org/spreadsheetml/2006/main" r="W229" t="str" s="11">
        <x:v>Даташит — производитель</x:v>
      </x:c>
      <x:c xmlns:x="http://schemas.openxmlformats.org/spreadsheetml/2006/main" r="X229" t="str" s="11">
        <x:v>https://yageogroup.com/content/datasheet/asset/file/UPY-GPHC_X7R_6_3V-TO-250V</x:v>
      </x:c>
      <x:c xmlns:x="http://schemas.openxmlformats.org/spreadsheetml/2006/main" r="Y229" t="str" s="11">
        <x:v>C:\Users\Nomatin\Documents\Altium\MY_LIB\MY_LIB\Datasheets\YAGEO_CC_X7R.pdf</x:v>
      </x:c>
      <ns0:c xmlns:ns0="http://schemas.openxmlformats.org/spreadsheetml/2006/main" r="Z229" s="11">
        <ns0:v>6.8e-08</ns0:v>
      </ns0:c>
      <ns0:c xmlns:ns0="http://schemas.openxmlformats.org/spreadsheetml/2006/main" r="AA229" s="11">
        <ns0:v>0.05</ns0:v>
      </ns0:c>
      <ns0:c xmlns:ns0="http://schemas.openxmlformats.org/spreadsheetml/2006/main" r="AB229" s="11">
        <ns0:v>1000</ns0:v>
      </ns0:c>
      <ns0:c xmlns:ns0="http://schemas.openxmlformats.org/spreadsheetml/2006/main" r="AC229" s="11">
        <ns0:v>1</ns0:v>
      </ns0:c>
      <ns0:c xmlns:ns0="http://schemas.openxmlformats.org/spreadsheetml/2006/main" r="AD229" s="11">
        <ns0:v>20</ns0:v>
      </ns0:c>
      <ns0:c xmlns:ns0="http://schemas.openxmlformats.org/spreadsheetml/2006/main" r="AE229" s="11">
        <ns0:v>500</ns0:v>
      </ns0:c>
      <ns0:c xmlns:ns0="http://schemas.openxmlformats.org/spreadsheetml/2006/main" r="AF229" s="11">
        <ns0:v>7352941176.47059</ns0:v>
      </ns0:c>
      <ns0:c xmlns:ns0="http://schemas.openxmlformats.org/spreadsheetml/2006/main" r="AG229" s="11">
        <ns0:v>100</ns0:v>
      </ns0:c>
      <ns0:c xmlns:ns0="http://schemas.openxmlformats.org/spreadsheetml/2006/main" r="AH229" s="11">
        <ns0:v>60</ns0:v>
      </ns0:c>
      <ns0:c xmlns:ns0="http://schemas.openxmlformats.org/spreadsheetml/2006/main" r="AI229" s="11">
        <ns0:v>117.025693449923</ns0:v>
      </ns0:c>
      <ns0:c xmlns:ns0="http://schemas.openxmlformats.org/spreadsheetml/2006/main" r="AJ229" s="11" t="inlineStr">
        <ns0:is>
          <ns0:t>MY_LIB_C_RC</ns0:t>
        </ns0:is>
      </ns0:c>
      <ns0:c xmlns:ns0="http://schemas.openxmlformats.org/spreadsheetml/2006/main" r="AK229" s="11" t="inlineStr">
        <ns0:is>
          <ns0:t>Nominal C; DFmax at 1kHz; minimum insulation; no temperature/bias/ESL</ns0:t>
        </ns0:is>
      </ns0:c>
      <ns0:c xmlns:ns0="http://schemas.openxmlformats.org/spreadsheetml/2006/main" r="AL229" s="11" t="inlineStr">
        <ns0:is>
          <ns0:t>General</ns0:t>
        </ns0:is>
      </ns0:c>
      <ns0:c xmlns:ns0="http://schemas.openxmlformats.org/spreadsheetml/2006/main" r="AM229" s="11" t="inlineStr">
        <ns0:is>
          <ns0:t>Spice Subcircuit</ns0:t>
        </ns0:is>
      </ns0:c>
      <ns0:c xmlns:ns0="http://schemas.openxmlformats.org/spreadsheetml/2006/main" r="AN229" s="11" t="inlineStr">
        <ns0:is>
          <ns0:t>@DESIGNATOR %1 %2 @MODEL PARAMS: Cvalue=6.8e-08 Rsvalue=117.025693449923 Rinsvalue=7352941176.47059</ns0:t>
        </ns0:is>
      </ns0:c>
      <ns0:c xmlns:ns0="http://schemas.openxmlformats.org/spreadsheetml/2006/main" r="AO229" s="11" t="inlineStr">
        <ns0:is>
          <ns0:t>X</ns0:t>
        </ns0:is>
      </ns0:c>
      <ns0:c xmlns:ns0="http://schemas.openxmlformats.org/spreadsheetml/2006/main" r="AP229" s="11" t="inlineStr">
        <ns0:is>
          <ns0:t>(1:1),(2:2)</ns0:t>
        </ns0:is>
      </ns0:c>
      <ns0:c xmlns:ns0="http://schemas.openxmlformats.org/spreadsheetml/2006/main" r="AQ229" s="11" t="inlineStr">
        <ns0:is>
          <ns0:t>Simulation\Capacitors\MY_LIB_C_RC.ckt</ns0:t>
        </ns0:is>
      </ns0:c>
    </ns0:row>
    <ns0:row r="230" ht="30" customHeight="1">
      <ns0:c r="A230" t="str" s="14">
        <ns0:v>C0231</ns0:v>
      </ns0:c>
      <ns0:c r="B230" t="str" s="14">
        <ns0:v>Конденсатор</ns0:v>
      </ns0:c>
      <ns0:c r="C230" t="str" s="14">
        <ns0:v>82n</ns0:v>
      </ns0:c>
      <ns0:c r="D230" t="str" s="11">
        <ns0:f>SUBSTITUTE(SUBSTITUTE(SUBSTITUTE(SUBSTITUTE(C230,"p"," пФ"),"n"," нФ"),"u"," мкФ"),".",",")</ns0:f>
        <ns0:v>82 нФ</ns0:v>
      </ns0:c>
      <ns0:c r="E230" t="str" s="14">
        <ns0:v>±10%</ns0:v>
      </ns0:c>
      <ns0:c r="F230" s="14"/>
      <ns0:c r="G230" t="str" s="14">
        <ns0:v>100 В</ns0:v>
      </ns0:c>
      <ns0:c r="H230" t="str" s="14">
        <ns0:v>X7R</ns0:v>
      </ns0:c>
      <ns0:c r="I230" t="str" s="15">
        <ns0:v>0603</ns0:v>
      </ns0:c>
      <ns0:c r="J230" t="str" s="14">
        <ns0:v>YAGEO</ns0:v>
      </ns0:c>
      <ns0:c r="K230" t="str" s="14">
        <ns0:v>CC0603KRX7R0BB823</ns0:v>
      </ns0:c>
      <ns0:c r="L230" t="str" s="11">
        <ns0:f>B230&amp;" "&amp;D230&amp;" "&amp;E230&amp;" "&amp;G230&amp;" "&amp;H230&amp;" "&amp;I230</ns0:f>
        <ns0:v>Конденсатор 82 нФ ±10% 100 В X7R 0603</ns0:v>
      </ns0:c>
      <ns0:c r="M230" t="str" s="13">
        <ns0:v>C</ns0:v>
      </ns0:c>
      <ns0:c r="N230" t="str" s="13">
        <ns0:v>Symbols\MY_LIB_Capacitors.SchLib</ns0:v>
      </ns0:c>
      <ns0:c r="O230" t="str" s="13">
        <ns0:v>CAPC1608X90N</ns0:v>
      </ns0:c>
      <ns0:c r="P230" t="str" s="13">
        <ns0:v>Footprints\PBL - SMD Packages.PcbLib</ns0:v>
      </ns0:c>
      <ns0:c r="Q230" t="str" s="14">
        <ns0:v>YAGEO CC; список 20.10.2026</ns0:v>
      </ns0:c>
      <ns0:c r="R230" t="str" s="11">
        <ns0:f>D230</ns0:f>
        <ns0:v>82 нФ</ns0:v>
      </ns0:c>
      <ns0:c r="S230" t="str" s="11">
        <ns0:f>L230</ns0:f>
        <ns0:v>Конденсатор 82 нФ ±10% 100 В X7R 0603</ns0:v>
      </ns0:c>
      <x:c xmlns:x="http://schemas.openxmlformats.org/spreadsheetml/2006/main" r="T230" t="str" s="11">
        <x:v>C:\Users\Nomatin\Documents\Altium\MY_LIB\MY_LIB\Datasheets\YAGEO_CC_X7R.pdf</x:v>
      </x:c>
      <x:c xmlns:x="http://schemas.openxmlformats.org/spreadsheetml/2006/main" r="U230" t="str" s="11">
        <x:v>Даташит — локальный</x:v>
      </x:c>
      <x:c xmlns:x="http://schemas.openxmlformats.org/spreadsheetml/2006/main" r="V230" t="str" s="11">
        <x:v>C:\Users\Nomatin\Documents\Altium\MY_LIB\MY_LIB\Datasheets\YAGEO_CC_X7R.pdf</x:v>
      </x:c>
      <x:c xmlns:x="http://schemas.openxmlformats.org/spreadsheetml/2006/main" r="W230" t="str" s="11">
        <x:v>Даташит — производитель</x:v>
      </x:c>
      <x:c xmlns:x="http://schemas.openxmlformats.org/spreadsheetml/2006/main" r="X230" t="str" s="11">
        <x:v>https://yageogroup.com/content/datasheet/asset/file/UPY-GPHC_X7R_6_3V-TO-250V</x:v>
      </x:c>
      <x:c xmlns:x="http://schemas.openxmlformats.org/spreadsheetml/2006/main" r="Y230" t="str" s="11">
        <x:v>C:\Users\Nomatin\Documents\Altium\MY_LIB\MY_LIB\Datasheets\YAGEO_CC_X7R.pdf</x:v>
      </x:c>
      <ns0:c xmlns:ns0="http://schemas.openxmlformats.org/spreadsheetml/2006/main" r="Z230" s="11">
        <ns0:v>8.2e-08</ns0:v>
      </ns0:c>
      <ns0:c xmlns:ns0="http://schemas.openxmlformats.org/spreadsheetml/2006/main" r="AA230" s="11">
        <ns0:v>0.05</ns0:v>
      </ns0:c>
      <ns0:c xmlns:ns0="http://schemas.openxmlformats.org/spreadsheetml/2006/main" r="AB230" s="11">
        <ns0:v>1000</ns0:v>
      </ns0:c>
      <ns0:c xmlns:ns0="http://schemas.openxmlformats.org/spreadsheetml/2006/main" r="AC230" s="11">
        <ns0:v>1</ns0:v>
      </ns0:c>
      <ns0:c xmlns:ns0="http://schemas.openxmlformats.org/spreadsheetml/2006/main" r="AD230" s="11">
        <ns0:v>20</ns0:v>
      </ns0:c>
      <ns0:c xmlns:ns0="http://schemas.openxmlformats.org/spreadsheetml/2006/main" r="AE230" s="11">
        <ns0:v>500</ns0:v>
      </ns0:c>
      <ns0:c xmlns:ns0="http://schemas.openxmlformats.org/spreadsheetml/2006/main" r="AF230" s="11">
        <ns0:v>6097560975.60976</ns0:v>
      </ns0:c>
      <ns0:c xmlns:ns0="http://schemas.openxmlformats.org/spreadsheetml/2006/main" r="AG230" s="11">
        <ns0:v>100</ns0:v>
      </ns0:c>
      <ns0:c xmlns:ns0="http://schemas.openxmlformats.org/spreadsheetml/2006/main" r="AH230" s="11">
        <ns0:v>60</ns0:v>
      </ns0:c>
      <ns0:c xmlns:ns0="http://schemas.openxmlformats.org/spreadsheetml/2006/main" r="AI230" s="11">
        <ns0:v>97.0456970072533</ns0:v>
      </ns0:c>
      <ns0:c xmlns:ns0="http://schemas.openxmlformats.org/spreadsheetml/2006/main" r="AJ230" s="11" t="inlineStr">
        <ns0:is>
          <ns0:t>MY_LIB_C_RC</ns0:t>
        </ns0:is>
      </ns0:c>
      <ns0:c xmlns:ns0="http://schemas.openxmlformats.org/spreadsheetml/2006/main" r="AK230" s="11" t="inlineStr">
        <ns0:is>
          <ns0:t>Nominal C; DFmax at 1kHz; minimum insulation; no temperature/bias/ESL</ns0:t>
        </ns0:is>
      </ns0:c>
      <ns0:c xmlns:ns0="http://schemas.openxmlformats.org/spreadsheetml/2006/main" r="AL230" s="11" t="inlineStr">
        <ns0:is>
          <ns0:t>General</ns0:t>
        </ns0:is>
      </ns0:c>
      <ns0:c xmlns:ns0="http://schemas.openxmlformats.org/spreadsheetml/2006/main" r="AM230" s="11" t="inlineStr">
        <ns0:is>
          <ns0:t>Spice Subcircuit</ns0:t>
        </ns0:is>
      </ns0:c>
      <ns0:c xmlns:ns0="http://schemas.openxmlformats.org/spreadsheetml/2006/main" r="AN230" s="11" t="inlineStr">
        <ns0:is>
          <ns0:t>@DESIGNATOR %1 %2 @MODEL PARAMS: Cvalue=8.2e-08 Rsvalue=97.0456970072533 Rinsvalue=6097560975.60976</ns0:t>
        </ns0:is>
      </ns0:c>
      <ns0:c xmlns:ns0="http://schemas.openxmlformats.org/spreadsheetml/2006/main" r="AO230" s="11" t="inlineStr">
        <ns0:is>
          <ns0:t>X</ns0:t>
        </ns0:is>
      </ns0:c>
      <ns0:c xmlns:ns0="http://schemas.openxmlformats.org/spreadsheetml/2006/main" r="AP230" s="11" t="inlineStr">
        <ns0:is>
          <ns0:t>(1:1),(2:2)</ns0:t>
        </ns0:is>
      </ns0:c>
      <ns0:c xmlns:ns0="http://schemas.openxmlformats.org/spreadsheetml/2006/main" r="AQ230" s="11" t="inlineStr">
        <ns0:is>
          <ns0:t>Simulation\Capacitors\MY_LIB_C_RC.ckt</ns0:t>
        </ns0:is>
      </ns0:c>
    </ns0:row>
    <ns0:row r="231" ht="30" customHeight="1">
      <ns0:c r="A231" t="str" s="14">
        <ns0:v>C0232</ns0:v>
      </ns0:c>
      <ns0:c r="B231" t="str" s="14">
        <ns0:v>Конденсатор</ns0:v>
      </ns0:c>
      <ns0:c r="C231" t="str" s="14">
        <ns0:v>100n</ns0:v>
      </ns0:c>
      <ns0:c r="D231" t="str" s="11">
        <ns0:f>SUBSTITUTE(SUBSTITUTE(SUBSTITUTE(SUBSTITUTE(C231,"p"," пФ"),"n"," нФ"),"u"," мкФ"),".",",")</ns0:f>
        <ns0:v>100 нФ</ns0:v>
      </ns0:c>
      <ns0:c r="E231" t="str" s="14">
        <ns0:v>±10%</ns0:v>
      </ns0:c>
      <ns0:c r="F231" s="14"/>
      <ns0:c r="G231" t="str" s="14">
        <ns0:v>100 В</ns0:v>
      </ns0:c>
      <ns0:c r="H231" t="str" s="14">
        <ns0:v>X7R</ns0:v>
      </ns0:c>
      <ns0:c r="I231" t="str" s="15">
        <ns0:v>0603</ns0:v>
      </ns0:c>
      <ns0:c r="J231" t="str" s="14">
        <ns0:v>YAGEO</ns0:v>
      </ns0:c>
      <ns0:c r="K231" t="str" s="14">
        <ns0:v>CC0603KRX7R0BB104</ns0:v>
      </ns0:c>
      <ns0:c r="L231" t="str" s="11">
        <ns0:f>B231&amp;" "&amp;D231&amp;" "&amp;E231&amp;" "&amp;G231&amp;" "&amp;H231&amp;" "&amp;I231</ns0:f>
        <ns0:v>Конденсатор 100 нФ ±10% 100 В X7R 0603</ns0:v>
      </ns0:c>
      <ns0:c r="M231" t="str" s="13">
        <ns0:v>C</ns0:v>
      </ns0:c>
      <ns0:c r="N231" t="str" s="13">
        <ns0:v>Symbols\MY_LIB_Capacitors.SchLib</ns0:v>
      </ns0:c>
      <ns0:c r="O231" t="str" s="13">
        <ns0:v>CAPC1608X90N</ns0:v>
      </ns0:c>
      <ns0:c r="P231" t="str" s="13">
        <ns0:v>Footprints\PBL - SMD Packages.PcbLib</ns0:v>
      </ns0:c>
      <ns0:c r="Q231" t="str" s="14">
        <ns0:v>YAGEO CC; список 20.10.2026</ns0:v>
      </ns0:c>
      <ns0:c r="R231" t="str" s="11">
        <ns0:f>D231</ns0:f>
        <ns0:v>100 нФ</ns0:v>
      </ns0:c>
      <ns0:c r="S231" t="str" s="11">
        <ns0:f>L231</ns0:f>
        <ns0:v>Конденсатор 100 нФ ±10% 100 В X7R 0603</ns0:v>
      </ns0:c>
      <x:c xmlns:x="http://schemas.openxmlformats.org/spreadsheetml/2006/main" r="T231" t="str" s="11">
        <x:v>C:\Users\Nomatin\Documents\Altium\MY_LIB\MY_LIB\Datasheets\YAGEO_CC_X7R.pdf</x:v>
      </x:c>
      <x:c xmlns:x="http://schemas.openxmlformats.org/spreadsheetml/2006/main" r="U231" t="str" s="11">
        <x:v>Даташит — локальный</x:v>
      </x:c>
      <x:c xmlns:x="http://schemas.openxmlformats.org/spreadsheetml/2006/main" r="V231" t="str" s="11">
        <x:v>C:\Users\Nomatin\Documents\Altium\MY_LIB\MY_LIB\Datasheets\YAGEO_CC_X7R.pdf</x:v>
      </x:c>
      <x:c xmlns:x="http://schemas.openxmlformats.org/spreadsheetml/2006/main" r="W231" t="str" s="11">
        <x:v>Даташит — производитель</x:v>
      </x:c>
      <x:c xmlns:x="http://schemas.openxmlformats.org/spreadsheetml/2006/main" r="X231" t="str" s="11">
        <x:v>https://yageogroup.com/content/datasheet/asset/file/UPY-GPHC_X7R_6_3V-TO-250V</x:v>
      </x:c>
      <x:c xmlns:x="http://schemas.openxmlformats.org/spreadsheetml/2006/main" r="Y231" t="str" s="11">
        <x:v>C:\Users\Nomatin\Documents\Altium\MY_LIB\MY_LIB\Datasheets\YAGEO_CC_X7R.pdf</x:v>
      </x:c>
      <ns0:c xmlns:ns0="http://schemas.openxmlformats.org/spreadsheetml/2006/main" r="Z231" s="11">
        <ns0:v>1e-07</ns0:v>
      </ns0:c>
      <ns0:c xmlns:ns0="http://schemas.openxmlformats.org/spreadsheetml/2006/main" r="AA231" s="11">
        <ns0:v>0.05</ns0:v>
      </ns0:c>
      <ns0:c xmlns:ns0="http://schemas.openxmlformats.org/spreadsheetml/2006/main" r="AB231" s="11">
        <ns0:v>1000</ns0:v>
      </ns0:c>
      <ns0:c xmlns:ns0="http://schemas.openxmlformats.org/spreadsheetml/2006/main" r="AC231" s="11">
        <ns0:v>1</ns0:v>
      </ns0:c>
      <ns0:c xmlns:ns0="http://schemas.openxmlformats.org/spreadsheetml/2006/main" r="AD231" s="11">
        <ns0:v>20</ns0:v>
      </ns0:c>
      <ns0:c xmlns:ns0="http://schemas.openxmlformats.org/spreadsheetml/2006/main" r="AE231" s="11">
        <ns0:v>500</ns0:v>
      </ns0:c>
      <ns0:c xmlns:ns0="http://schemas.openxmlformats.org/spreadsheetml/2006/main" r="AF231" s="11">
        <ns0:v>5000000000</ns0:v>
      </ns0:c>
      <ns0:c xmlns:ns0="http://schemas.openxmlformats.org/spreadsheetml/2006/main" r="AG231" s="11">
        <ns0:v>100</ns0:v>
      </ns0:c>
      <ns0:c xmlns:ns0="http://schemas.openxmlformats.org/spreadsheetml/2006/main" r="AH231" s="11">
        <ns0:v>60</ns0:v>
      </ns0:c>
      <ns0:c xmlns:ns0="http://schemas.openxmlformats.org/spreadsheetml/2006/main" r="AI231" s="11">
        <ns0:v>79.5774715459477</ns0:v>
      </ns0:c>
      <ns0:c xmlns:ns0="http://schemas.openxmlformats.org/spreadsheetml/2006/main" r="AJ231" s="11" t="inlineStr">
        <ns0:is>
          <ns0:t>MY_LIB_C_RC</ns0:t>
        </ns0:is>
      </ns0:c>
      <ns0:c xmlns:ns0="http://schemas.openxmlformats.org/spreadsheetml/2006/main" r="AK231" s="11" t="inlineStr">
        <ns0:is>
          <ns0:t>Nominal C; DFmax at 1kHz; minimum insulation; no temperature/bias/ESL</ns0:t>
        </ns0:is>
      </ns0:c>
      <ns0:c xmlns:ns0="http://schemas.openxmlformats.org/spreadsheetml/2006/main" r="AL231" s="11" t="inlineStr">
        <ns0:is>
          <ns0:t>General</ns0:t>
        </ns0:is>
      </ns0:c>
      <ns0:c xmlns:ns0="http://schemas.openxmlformats.org/spreadsheetml/2006/main" r="AM231" s="11" t="inlineStr">
        <ns0:is>
          <ns0:t>Spice Subcircuit</ns0:t>
        </ns0:is>
      </ns0:c>
      <ns0:c xmlns:ns0="http://schemas.openxmlformats.org/spreadsheetml/2006/main" r="AN231" s="11" t="inlineStr">
        <ns0:is>
          <ns0:t>@DESIGNATOR %1 %2 @MODEL PARAMS: Cvalue=1e-07 Rsvalue=79.5774715459477 Rinsvalue=5000000000</ns0:t>
        </ns0:is>
      </ns0:c>
      <ns0:c xmlns:ns0="http://schemas.openxmlformats.org/spreadsheetml/2006/main" r="AO231" s="11" t="inlineStr">
        <ns0:is>
          <ns0:t>X</ns0:t>
        </ns0:is>
      </ns0:c>
      <ns0:c xmlns:ns0="http://schemas.openxmlformats.org/spreadsheetml/2006/main" r="AP231" s="11" t="inlineStr">
        <ns0:is>
          <ns0:t>(1:1),(2:2)</ns0:t>
        </ns0:is>
      </ns0:c>
      <ns0:c xmlns:ns0="http://schemas.openxmlformats.org/spreadsheetml/2006/main" r="AQ231" s="11" t="inlineStr">
        <ns0:is>
          <ns0:t>Simulation\Capacitors\MY_LIB_C_RC.ckt</ns0:t>
        </ns0:is>
      </ns0:c>
    </ns0:row>
    <ns0:row r="232" ht="30" customHeight="1">
      <ns0:c r="A232" t="str" s="14">
        <ns0:v>C0233</ns0:v>
      </ns0:c>
      <ns0:c r="B232" t="str" s="14">
        <ns0:v>Конденсатор</ns0:v>
      </ns0:c>
      <ns0:c r="C232" t="str" s="14">
        <ns0:v>120n</ns0:v>
      </ns0:c>
      <ns0:c r="D232" t="str" s="11">
        <ns0:f>SUBSTITUTE(SUBSTITUTE(SUBSTITUTE(SUBSTITUTE(C232,"p"," пФ"),"n"," нФ"),"u"," мкФ"),".",",")</ns0:f>
        <ns0:v>120 нФ</ns0:v>
      </ns0:c>
      <ns0:c r="E232" t="str" s="14">
        <ns0:v>±10%</ns0:v>
      </ns0:c>
      <ns0:c r="F232" s="14"/>
      <ns0:c r="G232" t="str" s="14">
        <ns0:v>50 В</ns0:v>
      </ns0:c>
      <ns0:c r="H232" t="str" s="14">
        <ns0:v>X7R</ns0:v>
      </ns0:c>
      <ns0:c r="I232" t="str" s="15">
        <ns0:v>0603</ns0:v>
      </ns0:c>
      <ns0:c r="J232" t="str" s="14">
        <ns0:v>YAGEO</ns0:v>
      </ns0:c>
      <ns0:c r="K232" t="str" s="14">
        <ns0:v>CC0603KRX7R9BB124</ns0:v>
      </ns0:c>
      <ns0:c r="L232" t="str" s="11">
        <ns0:f>B232&amp;" "&amp;D232&amp;" "&amp;E232&amp;" "&amp;G232&amp;" "&amp;H232&amp;" "&amp;I232</ns0:f>
        <ns0:v>Конденсатор 120 нФ ±10% 50 В X7R 0603</ns0:v>
      </ns0:c>
      <ns0:c r="M232" t="str" s="13">
        <ns0:v>C</ns0:v>
      </ns0:c>
      <ns0:c r="N232" t="str" s="13">
        <ns0:v>Symbols\MY_LIB_Capacitors.SchLib</ns0:v>
      </ns0:c>
      <ns0:c r="O232" t="str" s="13">
        <ns0:v>CAPC1608X90N</ns0:v>
      </ns0:c>
      <ns0:c r="P232" t="str" s="13">
        <ns0:v>Footprints\PBL - SMD Packages.PcbLib</ns0:v>
      </ns0:c>
      <ns0:c r="Q232" t="str" s="14">
        <ns0:v>YAGEO CC; список 20.10.2026</ns0:v>
      </ns0:c>
      <ns0:c r="R232" t="str" s="11">
        <ns0:f>D232</ns0:f>
        <ns0:v>120 нФ</ns0:v>
      </ns0:c>
      <ns0:c r="S232" t="str" s="11">
        <ns0:f>L232</ns0:f>
        <ns0:v>Конденсатор 120 нФ ±10% 50 В X7R 0603</ns0:v>
      </ns0:c>
      <x:c xmlns:x="http://schemas.openxmlformats.org/spreadsheetml/2006/main" r="T232" t="str" s="11">
        <x:v>C:\Users\Nomatin\Documents\Altium\MY_LIB\MY_LIB\Datasheets\YAGEO_CC_X7R.pdf</x:v>
      </x:c>
      <x:c xmlns:x="http://schemas.openxmlformats.org/spreadsheetml/2006/main" r="U232" t="str" s="11">
        <x:v>Даташит — локальный</x:v>
      </x:c>
      <x:c xmlns:x="http://schemas.openxmlformats.org/spreadsheetml/2006/main" r="V232" t="str" s="11">
        <x:v>C:\Users\Nomatin\Documents\Altium\MY_LIB\MY_LIB\Datasheets\YAGEO_CC_X7R.pdf</x:v>
      </x:c>
      <x:c xmlns:x="http://schemas.openxmlformats.org/spreadsheetml/2006/main" r="W232" t="str" s="11">
        <x:v>Даташит — производитель</x:v>
      </x:c>
      <x:c xmlns:x="http://schemas.openxmlformats.org/spreadsheetml/2006/main" r="X232" t="str" s="11">
        <x:v>https://yageogroup.com/content/datasheet/asset/file/UPY-GPHC_X7R_6_3V-TO-250V</x:v>
      </x:c>
      <x:c xmlns:x="http://schemas.openxmlformats.org/spreadsheetml/2006/main" r="Y232" t="str" s="11">
        <x:v>C:\Users\Nomatin\Documents\Altium\MY_LIB\MY_LIB\Datasheets\YAGEO_CC_X7R.pdf</x:v>
      </x:c>
      <ns0:c xmlns:ns0="http://schemas.openxmlformats.org/spreadsheetml/2006/main" r="Z232" s="11">
        <ns0:v>1.2e-07</ns0:v>
      </ns0:c>
      <ns0:c xmlns:ns0="http://schemas.openxmlformats.org/spreadsheetml/2006/main" r="AA232" s="11">
        <ns0:v>0.035</ns0:v>
      </ns0:c>
      <ns0:c xmlns:ns0="http://schemas.openxmlformats.org/spreadsheetml/2006/main" r="AB232" s="11">
        <ns0:v>1000</ns0:v>
      </ns0:c>
      <ns0:c xmlns:ns0="http://schemas.openxmlformats.org/spreadsheetml/2006/main" r="AC232" s="11">
        <ns0:v>1</ns0:v>
      </ns0:c>
      <ns0:c xmlns:ns0="http://schemas.openxmlformats.org/spreadsheetml/2006/main" r="AD232" s="11">
        <ns0:v>20</ns0:v>
      </ns0:c>
      <ns0:c xmlns:ns0="http://schemas.openxmlformats.org/spreadsheetml/2006/main" r="AE232" s="11">
        <ns0:v>500</ns0:v>
      </ns0:c>
      <ns0:c xmlns:ns0="http://schemas.openxmlformats.org/spreadsheetml/2006/main" r="AF232" s="11">
        <ns0:v>4166666666.66667</ns0:v>
      </ns0:c>
      <ns0:c xmlns:ns0="http://schemas.openxmlformats.org/spreadsheetml/2006/main" r="AG232" s="11">
        <ns0:v>50</ns0:v>
      </ns0:c>
      <ns0:c xmlns:ns0="http://schemas.openxmlformats.org/spreadsheetml/2006/main" r="AH232" s="11">
        <ns0:v>60</ns0:v>
      </ns0:c>
      <ns0:c xmlns:ns0="http://schemas.openxmlformats.org/spreadsheetml/2006/main" r="AI232" s="11">
        <ns0:v>46.4201917351361</ns0:v>
      </ns0:c>
      <ns0:c xmlns:ns0="http://schemas.openxmlformats.org/spreadsheetml/2006/main" r="AJ232" s="11" t="inlineStr">
        <ns0:is>
          <ns0:t>MY_LIB_C_RC</ns0:t>
        </ns0:is>
      </ns0:c>
      <ns0:c xmlns:ns0="http://schemas.openxmlformats.org/spreadsheetml/2006/main" r="AK232" s="11" t="inlineStr">
        <ns0:is>
          <ns0:t>Nominal C; DFmax at 1kHz; minimum insulation; no temperature/bias/ESL</ns0:t>
        </ns0:is>
      </ns0:c>
      <ns0:c xmlns:ns0="http://schemas.openxmlformats.org/spreadsheetml/2006/main" r="AL232" s="11" t="inlineStr">
        <ns0:is>
          <ns0:t>General</ns0:t>
        </ns0:is>
      </ns0:c>
      <ns0:c xmlns:ns0="http://schemas.openxmlformats.org/spreadsheetml/2006/main" r="AM232" s="11" t="inlineStr">
        <ns0:is>
          <ns0:t>Spice Subcircuit</ns0:t>
        </ns0:is>
      </ns0:c>
      <ns0:c xmlns:ns0="http://schemas.openxmlformats.org/spreadsheetml/2006/main" r="AN232" s="11" t="inlineStr">
        <ns0:is>
          <ns0:t>@DESIGNATOR %1 %2 @MODEL PARAMS: Cvalue=1.2e-07 Rsvalue=46.4201917351361 Rinsvalue=4166666666.66667</ns0:t>
        </ns0:is>
      </ns0:c>
      <ns0:c xmlns:ns0="http://schemas.openxmlformats.org/spreadsheetml/2006/main" r="AO232" s="11" t="inlineStr">
        <ns0:is>
          <ns0:t>X</ns0:t>
        </ns0:is>
      </ns0:c>
      <ns0:c xmlns:ns0="http://schemas.openxmlformats.org/spreadsheetml/2006/main" r="AP232" s="11" t="inlineStr">
        <ns0:is>
          <ns0:t>(1:1),(2:2)</ns0:t>
        </ns0:is>
      </ns0:c>
      <ns0:c xmlns:ns0="http://schemas.openxmlformats.org/spreadsheetml/2006/main" r="AQ232" s="11" t="inlineStr">
        <ns0:is>
          <ns0:t>Simulation\Capacitors\MY_LIB_C_RC.ckt</ns0:t>
        </ns0:is>
      </ns0:c>
    </ns0:row>
    <ns0:row r="233" ht="30" customHeight="1">
      <ns0:c r="A233" t="str" s="14">
        <ns0:v>C0234</ns0:v>
      </ns0:c>
      <ns0:c r="B233" t="str" s="14">
        <ns0:v>Конденсатор</ns0:v>
      </ns0:c>
      <ns0:c r="C233" t="str" s="14">
        <ns0:v>150n</ns0:v>
      </ns0:c>
      <ns0:c r="D233" t="str" s="11">
        <ns0:f>SUBSTITUTE(SUBSTITUTE(SUBSTITUTE(SUBSTITUTE(C233,"p"," пФ"),"n"," нФ"),"u"," мкФ"),".",",")</ns0:f>
        <ns0:v>150 нФ</ns0:v>
      </ns0:c>
      <ns0:c r="E233" t="str" s="14">
        <ns0:v>±10%</ns0:v>
      </ns0:c>
      <ns0:c r="F233" s="14"/>
      <ns0:c r="G233" t="str" s="14">
        <ns0:v>50 В</ns0:v>
      </ns0:c>
      <ns0:c r="H233" t="str" s="14">
        <ns0:v>X7R</ns0:v>
      </ns0:c>
      <ns0:c r="I233" t="str" s="15">
        <ns0:v>0603</ns0:v>
      </ns0:c>
      <ns0:c r="J233" t="str" s="14">
        <ns0:v>YAGEO</ns0:v>
      </ns0:c>
      <ns0:c r="K233" t="str" s="14">
        <ns0:v>CC0603KRX7R9BB154</ns0:v>
      </ns0:c>
      <ns0:c r="L233" t="str" s="11">
        <ns0:f>B233&amp;" "&amp;D233&amp;" "&amp;E233&amp;" "&amp;G233&amp;" "&amp;H233&amp;" "&amp;I233</ns0:f>
        <ns0:v>Конденсатор 150 нФ ±10% 50 В X7R 0603</ns0:v>
      </ns0:c>
      <ns0:c r="M233" t="str" s="13">
        <ns0:v>C</ns0:v>
      </ns0:c>
      <ns0:c r="N233" t="str" s="13">
        <ns0:v>Symbols\MY_LIB_Capacitors.SchLib</ns0:v>
      </ns0:c>
      <ns0:c r="O233" t="str" s="13">
        <ns0:v>CAPC1608X90N</ns0:v>
      </ns0:c>
      <ns0:c r="P233" t="str" s="13">
        <ns0:v>Footprints\PBL - SMD Packages.PcbLib</ns0:v>
      </ns0:c>
      <ns0:c r="Q233" t="str" s="14">
        <ns0:v>YAGEO CC; список 20.10.2026</ns0:v>
      </ns0:c>
      <ns0:c r="R233" t="str" s="11">
        <ns0:f>D233</ns0:f>
        <ns0:v>150 нФ</ns0:v>
      </ns0:c>
      <ns0:c r="S233" t="str" s="11">
        <ns0:f>L233</ns0:f>
        <ns0:v>Конденсатор 150 нФ ±10% 50 В X7R 0603</ns0:v>
      </ns0:c>
      <x:c xmlns:x="http://schemas.openxmlformats.org/spreadsheetml/2006/main" r="T233" t="str" s="11">
        <x:v>C:\Users\Nomatin\Documents\Altium\MY_LIB\MY_LIB\Datasheets\YAGEO_CC_X7R.pdf</x:v>
      </x:c>
      <x:c xmlns:x="http://schemas.openxmlformats.org/spreadsheetml/2006/main" r="U233" t="str" s="11">
        <x:v>Даташит — локальный</x:v>
      </x:c>
      <x:c xmlns:x="http://schemas.openxmlformats.org/spreadsheetml/2006/main" r="V233" t="str" s="11">
        <x:v>C:\Users\Nomatin\Documents\Altium\MY_LIB\MY_LIB\Datasheets\YAGEO_CC_X7R.pdf</x:v>
      </x:c>
      <x:c xmlns:x="http://schemas.openxmlformats.org/spreadsheetml/2006/main" r="W233" t="str" s="11">
        <x:v>Даташит — производитель</x:v>
      </x:c>
      <x:c xmlns:x="http://schemas.openxmlformats.org/spreadsheetml/2006/main" r="X233" t="str" s="11">
        <x:v>https://yageogroup.com/content/datasheet/asset/file/UPY-GPHC_X7R_6_3V-TO-250V</x:v>
      </x:c>
      <x:c xmlns:x="http://schemas.openxmlformats.org/spreadsheetml/2006/main" r="Y233" t="str" s="11">
        <x:v>C:\Users\Nomatin\Documents\Altium\MY_LIB\MY_LIB\Datasheets\YAGEO_CC_X7R.pdf</x:v>
      </x:c>
      <ns0:c xmlns:ns0="http://schemas.openxmlformats.org/spreadsheetml/2006/main" r="Z233" s="11">
        <ns0:v>1.5e-07</ns0:v>
      </ns0:c>
      <ns0:c xmlns:ns0="http://schemas.openxmlformats.org/spreadsheetml/2006/main" r="AA233" s="11">
        <ns0:v>0.035</ns0:v>
      </ns0:c>
      <ns0:c xmlns:ns0="http://schemas.openxmlformats.org/spreadsheetml/2006/main" r="AB233" s="11">
        <ns0:v>1000</ns0:v>
      </ns0:c>
      <ns0:c xmlns:ns0="http://schemas.openxmlformats.org/spreadsheetml/2006/main" r="AC233" s="11">
        <ns0:v>1</ns0:v>
      </ns0:c>
      <ns0:c xmlns:ns0="http://schemas.openxmlformats.org/spreadsheetml/2006/main" r="AD233" s="11">
        <ns0:v>20</ns0:v>
      </ns0:c>
      <ns0:c xmlns:ns0="http://schemas.openxmlformats.org/spreadsheetml/2006/main" r="AE233" s="11">
        <ns0:v>500</ns0:v>
      </ns0:c>
      <ns0:c xmlns:ns0="http://schemas.openxmlformats.org/spreadsheetml/2006/main" r="AF233" s="11">
        <ns0:v>3333333333.33333</ns0:v>
      </ns0:c>
      <ns0:c xmlns:ns0="http://schemas.openxmlformats.org/spreadsheetml/2006/main" r="AG233" s="11">
        <ns0:v>50</ns0:v>
      </ns0:c>
      <ns0:c xmlns:ns0="http://schemas.openxmlformats.org/spreadsheetml/2006/main" r="AH233" s="11">
        <ns0:v>60</ns0:v>
      </ns0:c>
      <ns0:c xmlns:ns0="http://schemas.openxmlformats.org/spreadsheetml/2006/main" r="AI233" s="11">
        <ns0:v>37.1361533881089</ns0:v>
      </ns0:c>
      <ns0:c xmlns:ns0="http://schemas.openxmlformats.org/spreadsheetml/2006/main" r="AJ233" s="11" t="inlineStr">
        <ns0:is>
          <ns0:t>MY_LIB_C_RC</ns0:t>
        </ns0:is>
      </ns0:c>
      <ns0:c xmlns:ns0="http://schemas.openxmlformats.org/spreadsheetml/2006/main" r="AK233" s="11" t="inlineStr">
        <ns0:is>
          <ns0:t>Nominal C; DFmax at 1kHz; minimum insulation; no temperature/bias/ESL</ns0:t>
        </ns0:is>
      </ns0:c>
      <ns0:c xmlns:ns0="http://schemas.openxmlformats.org/spreadsheetml/2006/main" r="AL233" s="11" t="inlineStr">
        <ns0:is>
          <ns0:t>General</ns0:t>
        </ns0:is>
      </ns0:c>
      <ns0:c xmlns:ns0="http://schemas.openxmlformats.org/spreadsheetml/2006/main" r="AM233" s="11" t="inlineStr">
        <ns0:is>
          <ns0:t>Spice Subcircuit</ns0:t>
        </ns0:is>
      </ns0:c>
      <ns0:c xmlns:ns0="http://schemas.openxmlformats.org/spreadsheetml/2006/main" r="AN233" s="11" t="inlineStr">
        <ns0:is>
          <ns0:t>@DESIGNATOR %1 %2 @MODEL PARAMS: Cvalue=1.5e-07 Rsvalue=37.1361533881089 Rinsvalue=3333333333.33333</ns0:t>
        </ns0:is>
      </ns0:c>
      <ns0:c xmlns:ns0="http://schemas.openxmlformats.org/spreadsheetml/2006/main" r="AO233" s="11" t="inlineStr">
        <ns0:is>
          <ns0:t>X</ns0:t>
        </ns0:is>
      </ns0:c>
      <ns0:c xmlns:ns0="http://schemas.openxmlformats.org/spreadsheetml/2006/main" r="AP233" s="11" t="inlineStr">
        <ns0:is>
          <ns0:t>(1:1),(2:2)</ns0:t>
        </ns0:is>
      </ns0:c>
      <ns0:c xmlns:ns0="http://schemas.openxmlformats.org/spreadsheetml/2006/main" r="AQ233" s="11" t="inlineStr">
        <ns0:is>
          <ns0:t>Simulation\Capacitors\MY_LIB_C_RC.ckt</ns0:t>
        </ns0:is>
      </ns0:c>
    </ns0:row>
    <ns0:row r="234" ht="30" customHeight="1">
      <ns0:c r="A234" t="str" s="14">
        <ns0:v>C0235</ns0:v>
      </ns0:c>
      <ns0:c r="B234" t="str" s="14">
        <ns0:v>Конденсатор</ns0:v>
      </ns0:c>
      <ns0:c r="C234" t="str" s="14">
        <ns0:v>180n</ns0:v>
      </ns0:c>
      <ns0:c r="D234" t="str" s="11">
        <ns0:f>SUBSTITUTE(SUBSTITUTE(SUBSTITUTE(SUBSTITUTE(C234,"p"," пФ"),"n"," нФ"),"u"," мкФ"),".",",")</ns0:f>
        <ns0:v>180 нФ</ns0:v>
      </ns0:c>
      <ns0:c r="E234" t="str" s="14">
        <ns0:v>±10%</ns0:v>
      </ns0:c>
      <ns0:c r="F234" s="14"/>
      <ns0:c r="G234" t="str" s="14">
        <ns0:v>50 В</ns0:v>
      </ns0:c>
      <ns0:c r="H234" t="str" s="14">
        <ns0:v>X7R</ns0:v>
      </ns0:c>
      <ns0:c r="I234" t="str" s="15">
        <ns0:v>0603</ns0:v>
      </ns0:c>
      <ns0:c r="J234" t="str" s="14">
        <ns0:v>YAGEO</ns0:v>
      </ns0:c>
      <ns0:c r="K234" t="str" s="14">
        <ns0:v>CC0603KRX7R9BB184</ns0:v>
      </ns0:c>
      <ns0:c r="L234" t="str" s="11">
        <ns0:f>B234&amp;" "&amp;D234&amp;" "&amp;E234&amp;" "&amp;G234&amp;" "&amp;H234&amp;" "&amp;I234</ns0:f>
        <ns0:v>Конденсатор 180 нФ ±10% 50 В X7R 0603</ns0:v>
      </ns0:c>
      <ns0:c r="M234" t="str" s="13">
        <ns0:v>C</ns0:v>
      </ns0:c>
      <ns0:c r="N234" t="str" s="13">
        <ns0:v>Symbols\MY_LIB_Capacitors.SchLib</ns0:v>
      </ns0:c>
      <ns0:c r="O234" t="str" s="13">
        <ns0:v>CAPC1608X90N</ns0:v>
      </ns0:c>
      <ns0:c r="P234" t="str" s="13">
        <ns0:v>Footprints\PBL - SMD Packages.PcbLib</ns0:v>
      </ns0:c>
      <ns0:c r="Q234" t="str" s="14">
        <ns0:v>YAGEO CC; список 20.10.2026</ns0:v>
      </ns0:c>
      <ns0:c r="R234" t="str" s="11">
        <ns0:f>D234</ns0:f>
        <ns0:v>180 нФ</ns0:v>
      </ns0:c>
      <ns0:c r="S234" t="str" s="11">
        <ns0:f>L234</ns0:f>
        <ns0:v>Конденсатор 180 нФ ±10% 50 В X7R 0603</ns0:v>
      </ns0:c>
      <x:c xmlns:x="http://schemas.openxmlformats.org/spreadsheetml/2006/main" r="T234" t="str" s="11">
        <x:v>C:\Users\Nomatin\Documents\Altium\MY_LIB\MY_LIB\Datasheets\YAGEO_CC_X7R.pdf</x:v>
      </x:c>
      <x:c xmlns:x="http://schemas.openxmlformats.org/spreadsheetml/2006/main" r="U234" t="str" s="11">
        <x:v>Даташит — локальный</x:v>
      </x:c>
      <x:c xmlns:x="http://schemas.openxmlformats.org/spreadsheetml/2006/main" r="V234" t="str" s="11">
        <x:v>C:\Users\Nomatin\Documents\Altium\MY_LIB\MY_LIB\Datasheets\YAGEO_CC_X7R.pdf</x:v>
      </x:c>
      <x:c xmlns:x="http://schemas.openxmlformats.org/spreadsheetml/2006/main" r="W234" t="str" s="11">
        <x:v>Даташит — производитель</x:v>
      </x:c>
      <x:c xmlns:x="http://schemas.openxmlformats.org/spreadsheetml/2006/main" r="X234" t="str" s="11">
        <x:v>https://yageogroup.com/content/datasheet/asset/file/UPY-GPHC_X7R_6_3V-TO-250V</x:v>
      </x:c>
      <x:c xmlns:x="http://schemas.openxmlformats.org/spreadsheetml/2006/main" r="Y234" t="str" s="11">
        <x:v>C:\Users\Nomatin\Documents\Altium\MY_LIB\MY_LIB\Datasheets\YAGEO_CC_X7R.pdf</x:v>
      </x:c>
      <ns0:c xmlns:ns0="http://schemas.openxmlformats.org/spreadsheetml/2006/main" r="Z234" s="11">
        <ns0:v>1.8e-07</ns0:v>
      </ns0:c>
      <ns0:c xmlns:ns0="http://schemas.openxmlformats.org/spreadsheetml/2006/main" r="AA234" s="11">
        <ns0:v>0.035</ns0:v>
      </ns0:c>
      <ns0:c xmlns:ns0="http://schemas.openxmlformats.org/spreadsheetml/2006/main" r="AB234" s="11">
        <ns0:v>1000</ns0:v>
      </ns0:c>
      <ns0:c xmlns:ns0="http://schemas.openxmlformats.org/spreadsheetml/2006/main" r="AC234" s="11">
        <ns0:v>1</ns0:v>
      </ns0:c>
      <ns0:c xmlns:ns0="http://schemas.openxmlformats.org/spreadsheetml/2006/main" r="AD234" s="11">
        <ns0:v>20</ns0:v>
      </ns0:c>
      <ns0:c xmlns:ns0="http://schemas.openxmlformats.org/spreadsheetml/2006/main" r="AE234" s="11">
        <ns0:v>500</ns0:v>
      </ns0:c>
      <ns0:c xmlns:ns0="http://schemas.openxmlformats.org/spreadsheetml/2006/main" r="AF234" s="11">
        <ns0:v>2777777777.77778</ns0:v>
      </ns0:c>
      <ns0:c xmlns:ns0="http://schemas.openxmlformats.org/spreadsheetml/2006/main" r="AG234" s="11">
        <ns0:v>50</ns0:v>
      </ns0:c>
      <ns0:c xmlns:ns0="http://schemas.openxmlformats.org/spreadsheetml/2006/main" r="AH234" s="11">
        <ns0:v>60</ns0:v>
      </ns0:c>
      <ns0:c xmlns:ns0="http://schemas.openxmlformats.org/spreadsheetml/2006/main" r="AI234" s="11">
        <ns0:v>30.9467944900908</ns0:v>
      </ns0:c>
      <ns0:c xmlns:ns0="http://schemas.openxmlformats.org/spreadsheetml/2006/main" r="AJ234" s="11" t="inlineStr">
        <ns0:is>
          <ns0:t>MY_LIB_C_RC</ns0:t>
        </ns0:is>
      </ns0:c>
      <ns0:c xmlns:ns0="http://schemas.openxmlformats.org/spreadsheetml/2006/main" r="AK234" s="11" t="inlineStr">
        <ns0:is>
          <ns0:t>Nominal C; DFmax at 1kHz; minimum insulation; no temperature/bias/ESL</ns0:t>
        </ns0:is>
      </ns0:c>
      <ns0:c xmlns:ns0="http://schemas.openxmlformats.org/spreadsheetml/2006/main" r="AL234" s="11" t="inlineStr">
        <ns0:is>
          <ns0:t>General</ns0:t>
        </ns0:is>
      </ns0:c>
      <ns0:c xmlns:ns0="http://schemas.openxmlformats.org/spreadsheetml/2006/main" r="AM234" s="11" t="inlineStr">
        <ns0:is>
          <ns0:t>Spice Subcircuit</ns0:t>
        </ns0:is>
      </ns0:c>
      <ns0:c xmlns:ns0="http://schemas.openxmlformats.org/spreadsheetml/2006/main" r="AN234" s="11" t="inlineStr">
        <ns0:is>
          <ns0:t>@DESIGNATOR %1 %2 @MODEL PARAMS: Cvalue=1.8e-07 Rsvalue=30.9467944900908 Rinsvalue=2777777777.77778</ns0:t>
        </ns0:is>
      </ns0:c>
      <ns0:c xmlns:ns0="http://schemas.openxmlformats.org/spreadsheetml/2006/main" r="AO234" s="11" t="inlineStr">
        <ns0:is>
          <ns0:t>X</ns0:t>
        </ns0:is>
      </ns0:c>
      <ns0:c xmlns:ns0="http://schemas.openxmlformats.org/spreadsheetml/2006/main" r="AP234" s="11" t="inlineStr">
        <ns0:is>
          <ns0:t>(1:1),(2:2)</ns0:t>
        </ns0:is>
      </ns0:c>
      <ns0:c xmlns:ns0="http://schemas.openxmlformats.org/spreadsheetml/2006/main" r="AQ234" s="11" t="inlineStr">
        <ns0:is>
          <ns0:t>Simulation\Capacitors\MY_LIB_C_RC.ckt</ns0:t>
        </ns0:is>
      </ns0:c>
    </ns0:row>
    <ns0:row r="235" ht="30" customHeight="1">
      <ns0:c r="A235" t="str" s="14">
        <ns0:v>C0236</ns0:v>
      </ns0:c>
      <ns0:c r="B235" t="str" s="14">
        <ns0:v>Конденсатор</ns0:v>
      </ns0:c>
      <ns0:c r="C235" t="str" s="14">
        <ns0:v>220n</ns0:v>
      </ns0:c>
      <ns0:c r="D235" t="str" s="11">
        <ns0:f>SUBSTITUTE(SUBSTITUTE(SUBSTITUTE(SUBSTITUTE(C235,"p"," пФ"),"n"," нФ"),"u"," мкФ"),".",",")</ns0:f>
        <ns0:v>220 нФ</ns0:v>
      </ns0:c>
      <ns0:c r="E235" t="str" s="14">
        <ns0:v>±10%</ns0:v>
      </ns0:c>
      <ns0:c r="F235" s="14"/>
      <ns0:c r="G235" t="str" s="14">
        <ns0:v>50 В</ns0:v>
      </ns0:c>
      <ns0:c r="H235" t="str" s="14">
        <ns0:v>X7R</ns0:v>
      </ns0:c>
      <ns0:c r="I235" t="str" s="15">
        <ns0:v>0603</ns0:v>
      </ns0:c>
      <ns0:c r="J235" t="str" s="14">
        <ns0:v>YAGEO</ns0:v>
      </ns0:c>
      <ns0:c r="K235" t="str" s="14">
        <ns0:v>CC0603KRX7R9BB224</ns0:v>
      </ns0:c>
      <ns0:c r="L235" t="str" s="11">
        <ns0:f>B235&amp;" "&amp;D235&amp;" "&amp;E235&amp;" "&amp;G235&amp;" "&amp;H235&amp;" "&amp;I235</ns0:f>
        <ns0:v>Конденсатор 220 нФ ±10% 50 В X7R 0603</ns0:v>
      </ns0:c>
      <ns0:c r="M235" t="str" s="13">
        <ns0:v>C</ns0:v>
      </ns0:c>
      <ns0:c r="N235" t="str" s="13">
        <ns0:v>Symbols\MY_LIB_Capacitors.SchLib</ns0:v>
      </ns0:c>
      <ns0:c r="O235" t="str" s="13">
        <ns0:v>CAPC1608X90N</ns0:v>
      </ns0:c>
      <ns0:c r="P235" t="str" s="13">
        <ns0:v>Footprints\PBL - SMD Packages.PcbLib</ns0:v>
      </ns0:c>
      <ns0:c r="Q235" t="str" s="14">
        <ns0:v>YAGEO CC; список 20.10.2026</ns0:v>
      </ns0:c>
      <ns0:c r="R235" t="str" s="11">
        <ns0:f>D235</ns0:f>
        <ns0:v>220 нФ</ns0:v>
      </ns0:c>
      <ns0:c r="S235" t="str" s="11">
        <ns0:f>L235</ns0:f>
        <ns0:v>Конденсатор 220 нФ ±10% 50 В X7R 0603</ns0:v>
      </ns0:c>
      <x:c xmlns:x="http://schemas.openxmlformats.org/spreadsheetml/2006/main" r="T235" t="str" s="11">
        <x:v>C:\Users\Nomatin\Documents\Altium\MY_LIB\MY_LIB\Datasheets\YAGEO_CC_X7R.pdf</x:v>
      </x:c>
      <x:c xmlns:x="http://schemas.openxmlformats.org/spreadsheetml/2006/main" r="U235" t="str" s="11">
        <x:v>Даташит — локальный</x:v>
      </x:c>
      <x:c xmlns:x="http://schemas.openxmlformats.org/spreadsheetml/2006/main" r="V235" t="str" s="11">
        <x:v>C:\Users\Nomatin\Documents\Altium\MY_LIB\MY_LIB\Datasheets\YAGEO_CC_X7R.pdf</x:v>
      </x:c>
      <x:c xmlns:x="http://schemas.openxmlformats.org/spreadsheetml/2006/main" r="W235" t="str" s="11">
        <x:v>Даташит — производитель</x:v>
      </x:c>
      <x:c xmlns:x="http://schemas.openxmlformats.org/spreadsheetml/2006/main" r="X235" t="str" s="11">
        <x:v>https://yageogroup.com/content/datasheet/asset/file/UPY-GPHC_X7R_6_3V-TO-250V</x:v>
      </x:c>
      <x:c xmlns:x="http://schemas.openxmlformats.org/spreadsheetml/2006/main" r="Y235" t="str" s="11">
        <x:v>C:\Users\Nomatin\Documents\Altium\MY_LIB\MY_LIB\Datasheets\YAGEO_CC_X7R.pdf</x:v>
      </x:c>
      <ns0:c xmlns:ns0="http://schemas.openxmlformats.org/spreadsheetml/2006/main" r="Z235" s="11">
        <ns0:v>2.2e-07</ns0:v>
      </ns0:c>
      <ns0:c xmlns:ns0="http://schemas.openxmlformats.org/spreadsheetml/2006/main" r="AA235" s="11">
        <ns0:v>0.035</ns0:v>
      </ns0:c>
      <ns0:c xmlns:ns0="http://schemas.openxmlformats.org/spreadsheetml/2006/main" r="AB235" s="11">
        <ns0:v>1000</ns0:v>
      </ns0:c>
      <ns0:c xmlns:ns0="http://schemas.openxmlformats.org/spreadsheetml/2006/main" r="AC235" s="11">
        <ns0:v>1</ns0:v>
      </ns0:c>
      <ns0:c xmlns:ns0="http://schemas.openxmlformats.org/spreadsheetml/2006/main" r="AD235" s="11">
        <ns0:v>20</ns0:v>
      </ns0:c>
      <ns0:c xmlns:ns0="http://schemas.openxmlformats.org/spreadsheetml/2006/main" r="AE235" s="11">
        <ns0:v>500</ns0:v>
      </ns0:c>
      <ns0:c xmlns:ns0="http://schemas.openxmlformats.org/spreadsheetml/2006/main" r="AF235" s="11">
        <ns0:v>2272727272.72727</ns0:v>
      </ns0:c>
      <ns0:c xmlns:ns0="http://schemas.openxmlformats.org/spreadsheetml/2006/main" r="AG235" s="11">
        <ns0:v>50</ns0:v>
      </ns0:c>
      <ns0:c xmlns:ns0="http://schemas.openxmlformats.org/spreadsheetml/2006/main" r="AH235" s="11">
        <ns0:v>60</ns0:v>
      </ns0:c>
      <ns0:c xmlns:ns0="http://schemas.openxmlformats.org/spreadsheetml/2006/main" r="AI235" s="11">
        <ns0:v>25.3201045828015</ns0:v>
      </ns0:c>
      <ns0:c xmlns:ns0="http://schemas.openxmlformats.org/spreadsheetml/2006/main" r="AJ235" s="11" t="inlineStr">
        <ns0:is>
          <ns0:t>MY_LIB_C_RC</ns0:t>
        </ns0:is>
      </ns0:c>
      <ns0:c xmlns:ns0="http://schemas.openxmlformats.org/spreadsheetml/2006/main" r="AK235" s="11" t="inlineStr">
        <ns0:is>
          <ns0:t>Nominal C; DFmax at 1kHz; minimum insulation; no temperature/bias/ESL</ns0:t>
        </ns0:is>
      </ns0:c>
      <ns0:c xmlns:ns0="http://schemas.openxmlformats.org/spreadsheetml/2006/main" r="AL235" s="11" t="inlineStr">
        <ns0:is>
          <ns0:t>General</ns0:t>
        </ns0:is>
      </ns0:c>
      <ns0:c xmlns:ns0="http://schemas.openxmlformats.org/spreadsheetml/2006/main" r="AM235" s="11" t="inlineStr">
        <ns0:is>
          <ns0:t>Spice Subcircuit</ns0:t>
        </ns0:is>
      </ns0:c>
      <ns0:c xmlns:ns0="http://schemas.openxmlformats.org/spreadsheetml/2006/main" r="AN235" s="11" t="inlineStr">
        <ns0:is>
          <ns0:t>@DESIGNATOR %1 %2 @MODEL PARAMS: Cvalue=2.2e-07 Rsvalue=25.3201045828015 Rinsvalue=2272727272.72727</ns0:t>
        </ns0:is>
      </ns0:c>
      <ns0:c xmlns:ns0="http://schemas.openxmlformats.org/spreadsheetml/2006/main" r="AO235" s="11" t="inlineStr">
        <ns0:is>
          <ns0:t>X</ns0:t>
        </ns0:is>
      </ns0:c>
      <ns0:c xmlns:ns0="http://schemas.openxmlformats.org/spreadsheetml/2006/main" r="AP235" s="11" t="inlineStr">
        <ns0:is>
          <ns0:t>(1:1),(2:2)</ns0:t>
        </ns0:is>
      </ns0:c>
      <ns0:c xmlns:ns0="http://schemas.openxmlformats.org/spreadsheetml/2006/main" r="AQ235" s="11" t="inlineStr">
        <ns0:is>
          <ns0:t>Simulation\Capacitors\MY_LIB_C_RC.ckt</ns0:t>
        </ns0:is>
      </ns0:c>
    </ns0:row>
    <ns0:row r="236" ht="30" customHeight="1">
      <ns0:c r="A236" t="str" s="14">
        <ns0:v>C0237</ns0:v>
      </ns0:c>
      <ns0:c r="B236" t="str" s="14">
        <ns0:v>Конденсатор</ns0:v>
      </ns0:c>
      <ns0:c r="C236" t="str" s="14">
        <ns0:v>270n</ns0:v>
      </ns0:c>
      <ns0:c r="D236" t="str" s="11">
        <ns0:f>SUBSTITUTE(SUBSTITUTE(SUBSTITUTE(SUBSTITUTE(C236,"p"," пФ"),"n"," нФ"),"u"," мкФ"),".",",")</ns0:f>
        <ns0:v>270 нФ</ns0:v>
      </ns0:c>
      <ns0:c r="E236" t="str" s="14">
        <ns0:v>±10%</ns0:v>
      </ns0:c>
      <ns0:c r="F236" s="14"/>
      <ns0:c r="G236" t="str" s="14">
        <ns0:v>16 В</ns0:v>
      </ns0:c>
      <ns0:c r="H236" t="str" s="14">
        <ns0:v>X7R</ns0:v>
      </ns0:c>
      <ns0:c r="I236" t="str" s="15">
        <ns0:v>0603</ns0:v>
      </ns0:c>
      <ns0:c r="J236" t="str" s="14">
        <ns0:v>YAGEO</ns0:v>
      </ns0:c>
      <ns0:c r="K236" t="str" s="14">
        <ns0:v>CC0603KRX7R7BB274</ns0:v>
      </ns0:c>
      <ns0:c r="L236" t="str" s="11">
        <ns0:f>B236&amp;" "&amp;D236&amp;" "&amp;E236&amp;" "&amp;G236&amp;" "&amp;H236&amp;" "&amp;I236</ns0:f>
        <ns0:v>Конденсатор 270 нФ ±10% 16 В X7R 0603</ns0:v>
      </ns0:c>
      <ns0:c r="M236" t="str" s="13">
        <ns0:v>C</ns0:v>
      </ns0:c>
      <ns0:c r="N236" t="str" s="13">
        <ns0:v>Symbols\MY_LIB_Capacitors.SchLib</ns0:v>
      </ns0:c>
      <ns0:c r="O236" t="str" s="13">
        <ns0:v>CAPC1608X90N</ns0:v>
      </ns0:c>
      <ns0:c r="P236" t="str" s="13">
        <ns0:v>Footprints\PBL - SMD Packages.PcbLib</ns0:v>
      </ns0:c>
      <ns0:c r="Q236" t="str" s="14">
        <ns0:v>YAGEO CC; список 20.10.2026</ns0:v>
      </ns0:c>
      <ns0:c r="R236" t="str" s="11">
        <ns0:f>D236</ns0:f>
        <ns0:v>270 нФ</ns0:v>
      </ns0:c>
      <ns0:c r="S236" t="str" s="11">
        <ns0:f>L236</ns0:f>
        <ns0:v>Конденсатор 270 нФ ±10% 16 В X7R 0603</ns0:v>
      </ns0:c>
      <x:c xmlns:x="http://schemas.openxmlformats.org/spreadsheetml/2006/main" r="T236" t="str" s="11">
        <x:v>C:\Users\Nomatin\Documents\Altium\MY_LIB\MY_LIB\Datasheets\YAGEO_CC_X7R.pdf</x:v>
      </x:c>
      <x:c xmlns:x="http://schemas.openxmlformats.org/spreadsheetml/2006/main" r="U236" t="str" s="11">
        <x:v>Даташит — локальный</x:v>
      </x:c>
      <x:c xmlns:x="http://schemas.openxmlformats.org/spreadsheetml/2006/main" r="V236" t="str" s="11">
        <x:v>C:\Users\Nomatin\Documents\Altium\MY_LIB\MY_LIB\Datasheets\YAGEO_CC_X7R.pdf</x:v>
      </x:c>
      <x:c xmlns:x="http://schemas.openxmlformats.org/spreadsheetml/2006/main" r="W236" t="str" s="11">
        <x:v>Даташит — производитель</x:v>
      </x:c>
      <x:c xmlns:x="http://schemas.openxmlformats.org/spreadsheetml/2006/main" r="X236" t="str" s="11">
        <x:v>https://yageogroup.com/content/datasheet/asset/file/UPY-GPHC_X7R_6_3V-TO-250V</x:v>
      </x:c>
      <x:c xmlns:x="http://schemas.openxmlformats.org/spreadsheetml/2006/main" r="Y236" t="str" s="11">
        <x:v>C:\Users\Nomatin\Documents\Altium\MY_LIB\MY_LIB\Datasheets\YAGEO_CC_X7R.pdf</x:v>
      </x:c>
      <ns0:c xmlns:ns0="http://schemas.openxmlformats.org/spreadsheetml/2006/main" r="Z236" s="11">
        <ns0:v>2.7e-07</ns0:v>
      </ns0:c>
      <ns0:c xmlns:ns0="http://schemas.openxmlformats.org/spreadsheetml/2006/main" r="AA236" s="11">
        <ns0:v>0.07</ns0:v>
      </ns0:c>
      <ns0:c xmlns:ns0="http://schemas.openxmlformats.org/spreadsheetml/2006/main" r="AB236" s="11">
        <ns0:v>1000</ns0:v>
      </ns0:c>
      <ns0:c xmlns:ns0="http://schemas.openxmlformats.org/spreadsheetml/2006/main" r="AC236" s="11">
        <ns0:v>1</ns0:v>
      </ns0:c>
      <ns0:c xmlns:ns0="http://schemas.openxmlformats.org/spreadsheetml/2006/main" r="AD236" s="11">
        <ns0:v>20</ns0:v>
      </ns0:c>
      <ns0:c xmlns:ns0="http://schemas.openxmlformats.org/spreadsheetml/2006/main" r="AE236" s="11">
        <ns0:v>500</ns0:v>
      </ns0:c>
      <ns0:c xmlns:ns0="http://schemas.openxmlformats.org/spreadsheetml/2006/main" r="AF236" s="11">
        <ns0:v>1851851851.85185</ns0:v>
      </ns0:c>
      <ns0:c xmlns:ns0="http://schemas.openxmlformats.org/spreadsheetml/2006/main" r="AG236" s="11">
        <ns0:v>16</ns0:v>
      </ns0:c>
      <ns0:c xmlns:ns0="http://schemas.openxmlformats.org/spreadsheetml/2006/main" r="AH236" s="11">
        <ns0:v>60</ns0:v>
      </ns0:c>
      <ns0:c xmlns:ns0="http://schemas.openxmlformats.org/spreadsheetml/2006/main" r="AI236" s="11">
        <ns0:v>41.2623926534544</ns0:v>
      </ns0:c>
      <ns0:c xmlns:ns0="http://schemas.openxmlformats.org/spreadsheetml/2006/main" r="AJ236" s="11" t="inlineStr">
        <ns0:is>
          <ns0:t>MY_LIB_C_RC</ns0:t>
        </ns0:is>
      </ns0:c>
      <ns0:c xmlns:ns0="http://schemas.openxmlformats.org/spreadsheetml/2006/main" r="AK236" s="11" t="inlineStr">
        <ns0:is>
          <ns0:t>Nominal C; DFmax at 1kHz; minimum insulation; no temperature/bias/ESL</ns0:t>
        </ns0:is>
      </ns0:c>
      <ns0:c xmlns:ns0="http://schemas.openxmlformats.org/spreadsheetml/2006/main" r="AL236" s="11" t="inlineStr">
        <ns0:is>
          <ns0:t>General</ns0:t>
        </ns0:is>
      </ns0:c>
      <ns0:c xmlns:ns0="http://schemas.openxmlformats.org/spreadsheetml/2006/main" r="AM236" s="11" t="inlineStr">
        <ns0:is>
          <ns0:t>Spice Subcircuit</ns0:t>
        </ns0:is>
      </ns0:c>
      <ns0:c xmlns:ns0="http://schemas.openxmlformats.org/spreadsheetml/2006/main" r="AN236" s="11" t="inlineStr">
        <ns0:is>
          <ns0:t>@DESIGNATOR %1 %2 @MODEL PARAMS: Cvalue=2.7e-07 Rsvalue=41.2623926534544 Rinsvalue=1851851851.85185</ns0:t>
        </ns0:is>
      </ns0:c>
      <ns0:c xmlns:ns0="http://schemas.openxmlformats.org/spreadsheetml/2006/main" r="AO236" s="11" t="inlineStr">
        <ns0:is>
          <ns0:t>X</ns0:t>
        </ns0:is>
      </ns0:c>
      <ns0:c xmlns:ns0="http://schemas.openxmlformats.org/spreadsheetml/2006/main" r="AP236" s="11" t="inlineStr">
        <ns0:is>
          <ns0:t>(1:1),(2:2)</ns0:t>
        </ns0:is>
      </ns0:c>
      <ns0:c xmlns:ns0="http://schemas.openxmlformats.org/spreadsheetml/2006/main" r="AQ236" s="11" t="inlineStr">
        <ns0:is>
          <ns0:t>Simulation\Capacitors\MY_LIB_C_RC.ckt</ns0:t>
        </ns0:is>
      </ns0:c>
    </ns0:row>
    <ns0:row r="237" ht="30" customHeight="1">
      <ns0:c r="A237" t="str" s="14">
        <ns0:v>C0238</ns0:v>
      </ns0:c>
      <ns0:c r="B237" t="str" s="14">
        <ns0:v>Конденсатор</ns0:v>
      </ns0:c>
      <ns0:c r="C237" t="str" s="14">
        <ns0:v>330n</ns0:v>
      </ns0:c>
      <ns0:c r="D237" t="str" s="11">
        <ns0:f>SUBSTITUTE(SUBSTITUTE(SUBSTITUTE(SUBSTITUTE(C237,"p"," пФ"),"n"," нФ"),"u"," мкФ"),".",",")</ns0:f>
        <ns0:v>330 нФ</ns0:v>
      </ns0:c>
      <ns0:c r="E237" t="str" s="14">
        <ns0:v>±10%</ns0:v>
      </ns0:c>
      <ns0:c r="F237" s="14"/>
      <ns0:c r="G237" t="str" s="14">
        <ns0:v>25 В</ns0:v>
      </ns0:c>
      <ns0:c r="H237" t="str" s="14">
        <ns0:v>X7R</ns0:v>
      </ns0:c>
      <ns0:c r="I237" t="str" s="15">
        <ns0:v>0603</ns0:v>
      </ns0:c>
      <ns0:c r="J237" t="str" s="14">
        <ns0:v>YAGEO</ns0:v>
      </ns0:c>
      <ns0:c r="K237" t="str" s="14">
        <ns0:v>CC0603KRX7R8BB334</ns0:v>
      </ns0:c>
      <ns0:c r="L237" t="str" s="11">
        <ns0:f>B237&amp;" "&amp;D237&amp;" "&amp;E237&amp;" "&amp;G237&amp;" "&amp;H237&amp;" "&amp;I237</ns0:f>
        <ns0:v>Конденсатор 330 нФ ±10% 25 В X7R 0603</ns0:v>
      </ns0:c>
      <ns0:c r="M237" t="str" s="13">
        <ns0:v>C</ns0:v>
      </ns0:c>
      <ns0:c r="N237" t="str" s="13">
        <ns0:v>Symbols\MY_LIB_Capacitors.SchLib</ns0:v>
      </ns0:c>
      <ns0:c r="O237" t="str" s="13">
        <ns0:v>CAPC1608X90N</ns0:v>
      </ns0:c>
      <ns0:c r="P237" t="str" s="13">
        <ns0:v>Footprints\PBL - SMD Packages.PcbLib</ns0:v>
      </ns0:c>
      <ns0:c r="Q237" t="str" s="14">
        <ns0:v>YAGEO CC; список 20.10.2026</ns0:v>
      </ns0:c>
      <ns0:c r="R237" t="str" s="11">
        <ns0:f>D237</ns0:f>
        <ns0:v>330 нФ</ns0:v>
      </ns0:c>
      <ns0:c r="S237" t="str" s="11">
        <ns0:f>L237</ns0:f>
        <ns0:v>Конденсатор 330 нФ ±10% 25 В X7R 0603</ns0:v>
      </ns0:c>
      <x:c xmlns:x="http://schemas.openxmlformats.org/spreadsheetml/2006/main" r="T237" t="str" s="11">
        <x:v>C:\Users\Nomatin\Documents\Altium\MY_LIB\MY_LIB\Datasheets\YAGEO_CC_X7R.pdf</x:v>
      </x:c>
      <x:c xmlns:x="http://schemas.openxmlformats.org/spreadsheetml/2006/main" r="U237" t="str" s="11">
        <x:v>Даташит — локальный</x:v>
      </x:c>
      <x:c xmlns:x="http://schemas.openxmlformats.org/spreadsheetml/2006/main" r="V237" t="str" s="11">
        <x:v>C:\Users\Nomatin\Documents\Altium\MY_LIB\MY_LIB\Datasheets\YAGEO_CC_X7R.pdf</x:v>
      </x:c>
      <x:c xmlns:x="http://schemas.openxmlformats.org/spreadsheetml/2006/main" r="W237" t="str" s="11">
        <x:v>Даташит — производитель</x:v>
      </x:c>
      <x:c xmlns:x="http://schemas.openxmlformats.org/spreadsheetml/2006/main" r="X237" t="str" s="11">
        <x:v>https://yageogroup.com/content/datasheet/asset/file/UPY-GPHC_X7R_6_3V-TO-250V</x:v>
      </x:c>
      <x:c xmlns:x="http://schemas.openxmlformats.org/spreadsheetml/2006/main" r="Y237" t="str" s="11">
        <x:v>C:\Users\Nomatin\Documents\Altium\MY_LIB\MY_LIB\Datasheets\YAGEO_CC_X7R.pdf</x:v>
      </x:c>
      <ns0:c xmlns:ns0="http://schemas.openxmlformats.org/spreadsheetml/2006/main" r="Z237" s="11">
        <ns0:v>3.3e-07</ns0:v>
      </ns0:c>
      <ns0:c xmlns:ns0="http://schemas.openxmlformats.org/spreadsheetml/2006/main" r="AA237" s="11">
        <ns0:v>0.07</ns0:v>
      </ns0:c>
      <ns0:c xmlns:ns0="http://schemas.openxmlformats.org/spreadsheetml/2006/main" r="AB237" s="11">
        <ns0:v>1000</ns0:v>
      </ns0:c>
      <ns0:c xmlns:ns0="http://schemas.openxmlformats.org/spreadsheetml/2006/main" r="AC237" s="11">
        <ns0:v>1</ns0:v>
      </ns0:c>
      <ns0:c xmlns:ns0="http://schemas.openxmlformats.org/spreadsheetml/2006/main" r="AD237" s="11">
        <ns0:v>20</ns0:v>
      </ns0:c>
      <ns0:c xmlns:ns0="http://schemas.openxmlformats.org/spreadsheetml/2006/main" r="AE237" s="11">
        <ns0:v>100</ns0:v>
      </ns0:c>
      <ns0:c xmlns:ns0="http://schemas.openxmlformats.org/spreadsheetml/2006/main" r="AF237" s="11">
        <ns0:v>303030303.030303</ns0:v>
      </ns0:c>
      <ns0:c xmlns:ns0="http://schemas.openxmlformats.org/spreadsheetml/2006/main" r="AG237" s="11">
        <ns0:v>25</ns0:v>
      </ns0:c>
      <ns0:c xmlns:ns0="http://schemas.openxmlformats.org/spreadsheetml/2006/main" r="AH237" s="11">
        <ns0:v>60</ns0:v>
      </ns0:c>
      <ns0:c xmlns:ns0="http://schemas.openxmlformats.org/spreadsheetml/2006/main" r="AI237" s="11">
        <ns0:v>33.7601394437354</ns0:v>
      </ns0:c>
      <ns0:c xmlns:ns0="http://schemas.openxmlformats.org/spreadsheetml/2006/main" r="AJ237" s="11" t="inlineStr">
        <ns0:is>
          <ns0:t>MY_LIB_C_RC</ns0:t>
        </ns0:is>
      </ns0:c>
      <ns0:c xmlns:ns0="http://schemas.openxmlformats.org/spreadsheetml/2006/main" r="AK237" s="11" t="inlineStr">
        <ns0:is>
          <ns0:t>Nominal C; DFmax at 1kHz; minimum insulation; no temperature/bias/ESL</ns0:t>
        </ns0:is>
      </ns0:c>
      <ns0:c xmlns:ns0="http://schemas.openxmlformats.org/spreadsheetml/2006/main" r="AL237" s="11" t="inlineStr">
        <ns0:is>
          <ns0:t>General</ns0:t>
        </ns0:is>
      </ns0:c>
      <ns0:c xmlns:ns0="http://schemas.openxmlformats.org/spreadsheetml/2006/main" r="AM237" s="11" t="inlineStr">
        <ns0:is>
          <ns0:t>Spice Subcircuit</ns0:t>
        </ns0:is>
      </ns0:c>
      <ns0:c xmlns:ns0="http://schemas.openxmlformats.org/spreadsheetml/2006/main" r="AN237" s="11" t="inlineStr">
        <ns0:is>
          <ns0:t>@DESIGNATOR %1 %2 @MODEL PARAMS: Cvalue=3.3e-07 Rsvalue=33.7601394437354 Rinsvalue=303030303.030303</ns0:t>
        </ns0:is>
      </ns0:c>
      <ns0:c xmlns:ns0="http://schemas.openxmlformats.org/spreadsheetml/2006/main" r="AO237" s="11" t="inlineStr">
        <ns0:is>
          <ns0:t>X</ns0:t>
        </ns0:is>
      </ns0:c>
      <ns0:c xmlns:ns0="http://schemas.openxmlformats.org/spreadsheetml/2006/main" r="AP237" s="11" t="inlineStr">
        <ns0:is>
          <ns0:t>(1:1),(2:2)</ns0:t>
        </ns0:is>
      </ns0:c>
      <ns0:c xmlns:ns0="http://schemas.openxmlformats.org/spreadsheetml/2006/main" r="AQ237" s="11" t="inlineStr">
        <ns0:is>
          <ns0:t>Simulation\Capacitors\MY_LIB_C_RC.ckt</ns0:t>
        </ns0:is>
      </ns0:c>
    </ns0:row>
    <ns0:row r="238" ht="30" customHeight="1">
      <ns0:c r="A238" t="str" s="14">
        <ns0:v>C0239</ns0:v>
      </ns0:c>
      <ns0:c r="B238" t="str" s="14">
        <ns0:v>Конденсатор</ns0:v>
      </ns0:c>
      <ns0:c r="C238" t="str" s="14">
        <ns0:v>390n</ns0:v>
      </ns0:c>
      <ns0:c r="D238" t="str" s="11">
        <ns0:f>SUBSTITUTE(SUBSTITUTE(SUBSTITUTE(SUBSTITUTE(C238,"p"," пФ"),"n"," нФ"),"u"," мкФ"),".",",")</ns0:f>
        <ns0:v>390 нФ</ns0:v>
      </ns0:c>
      <ns0:c r="E238" t="str" s="14">
        <ns0:v>±10%</ns0:v>
      </ns0:c>
      <ns0:c r="F238" s="14"/>
      <ns0:c r="G238" t="str" s="14">
        <ns0:v>16 В</ns0:v>
      </ns0:c>
      <ns0:c r="H238" t="str" s="14">
        <ns0:v>X7R</ns0:v>
      </ns0:c>
      <ns0:c r="I238" t="str" s="15">
        <ns0:v>0603</ns0:v>
      </ns0:c>
      <ns0:c r="J238" t="str" s="14">
        <ns0:v>YAGEO</ns0:v>
      </ns0:c>
      <ns0:c r="K238" t="str" s="14">
        <ns0:v>CC0603KRX7R7BB394</ns0:v>
      </ns0:c>
      <ns0:c r="L238" t="str" s="11">
        <ns0:f>B238&amp;" "&amp;D238&amp;" "&amp;E238&amp;" "&amp;G238&amp;" "&amp;H238&amp;" "&amp;I238</ns0:f>
        <ns0:v>Конденсатор 390 нФ ±10% 16 В X7R 0603</ns0:v>
      </ns0:c>
      <ns0:c r="M238" t="str" s="13">
        <ns0:v>C</ns0:v>
      </ns0:c>
      <ns0:c r="N238" t="str" s="13">
        <ns0:v>Symbols\MY_LIB_Capacitors.SchLib</ns0:v>
      </ns0:c>
      <ns0:c r="O238" t="str" s="13">
        <ns0:v>CAPC1608X90N</ns0:v>
      </ns0:c>
      <ns0:c r="P238" t="str" s="13">
        <ns0:v>Footprints\PBL - SMD Packages.PcbLib</ns0:v>
      </ns0:c>
      <ns0:c r="Q238" t="str" s="14">
        <ns0:v>YAGEO CC; список 20.10.2026</ns0:v>
      </ns0:c>
      <ns0:c r="R238" t="str" s="11">
        <ns0:f>D238</ns0:f>
        <ns0:v>390 нФ</ns0:v>
      </ns0:c>
      <ns0:c r="S238" t="str" s="11">
        <ns0:f>L238</ns0:f>
        <ns0:v>Конденсатор 390 нФ ±10% 16 В X7R 0603</ns0:v>
      </ns0:c>
      <x:c xmlns:x="http://schemas.openxmlformats.org/spreadsheetml/2006/main" r="T238" t="str" s="11">
        <x:v>C:\Users\Nomatin\Documents\Altium\MY_LIB\MY_LIB\Datasheets\YAGEO_CC_X7R.pdf</x:v>
      </x:c>
      <x:c xmlns:x="http://schemas.openxmlformats.org/spreadsheetml/2006/main" r="U238" t="str" s="11">
        <x:v>Даташит — локальный</x:v>
      </x:c>
      <x:c xmlns:x="http://schemas.openxmlformats.org/spreadsheetml/2006/main" r="V238" t="str" s="11">
        <x:v>C:\Users\Nomatin\Documents\Altium\MY_LIB\MY_LIB\Datasheets\YAGEO_CC_X7R.pdf</x:v>
      </x:c>
      <x:c xmlns:x="http://schemas.openxmlformats.org/spreadsheetml/2006/main" r="W238" t="str" s="11">
        <x:v>Даташит — производитель</x:v>
      </x:c>
      <x:c xmlns:x="http://schemas.openxmlformats.org/spreadsheetml/2006/main" r="X238" t="str" s="11">
        <x:v>https://yageogroup.com/content/datasheet/asset/file/UPY-GPHC_X7R_6_3V-TO-250V</x:v>
      </x:c>
      <x:c xmlns:x="http://schemas.openxmlformats.org/spreadsheetml/2006/main" r="Y238" t="str" s="11">
        <x:v>C:\Users\Nomatin\Documents\Altium\MY_LIB\MY_LIB\Datasheets\YAGEO_CC_X7R.pdf</x:v>
      </x:c>
      <ns0:c xmlns:ns0="http://schemas.openxmlformats.org/spreadsheetml/2006/main" r="Z238" s="11">
        <ns0:v>3.9e-07</ns0:v>
      </ns0:c>
      <ns0:c xmlns:ns0="http://schemas.openxmlformats.org/spreadsheetml/2006/main" r="AA238" s="11">
        <ns0:v>0.07</ns0:v>
      </ns0:c>
      <ns0:c xmlns:ns0="http://schemas.openxmlformats.org/spreadsheetml/2006/main" r="AB238" s="11">
        <ns0:v>1000</ns0:v>
      </ns0:c>
      <ns0:c xmlns:ns0="http://schemas.openxmlformats.org/spreadsheetml/2006/main" r="AC238" s="11">
        <ns0:v>1</ns0:v>
      </ns0:c>
      <ns0:c xmlns:ns0="http://schemas.openxmlformats.org/spreadsheetml/2006/main" r="AD238" s="11">
        <ns0:v>20</ns0:v>
      </ns0:c>
      <ns0:c xmlns:ns0="http://schemas.openxmlformats.org/spreadsheetml/2006/main" r="AE238" s="11">
        <ns0:v>500</ns0:v>
      </ns0:c>
      <ns0:c xmlns:ns0="http://schemas.openxmlformats.org/spreadsheetml/2006/main" r="AF238" s="11">
        <ns0:v>1282051282.05128</ns0:v>
      </ns0:c>
      <ns0:c xmlns:ns0="http://schemas.openxmlformats.org/spreadsheetml/2006/main" r="AG238" s="11">
        <ns0:v>16</ns0:v>
      </ns0:c>
      <ns0:c xmlns:ns0="http://schemas.openxmlformats.org/spreadsheetml/2006/main" r="AH238" s="11">
        <ns0:v>60</ns0:v>
      </ns0:c>
      <ns0:c xmlns:ns0="http://schemas.openxmlformats.org/spreadsheetml/2006/main" r="AI238" s="11">
        <ns0:v>28.5662718370069</ns0:v>
      </ns0:c>
      <ns0:c xmlns:ns0="http://schemas.openxmlformats.org/spreadsheetml/2006/main" r="AJ238" s="11" t="inlineStr">
        <ns0:is>
          <ns0:t>MY_LIB_C_RC</ns0:t>
        </ns0:is>
      </ns0:c>
      <ns0:c xmlns:ns0="http://schemas.openxmlformats.org/spreadsheetml/2006/main" r="AK238" s="11" t="inlineStr">
        <ns0:is>
          <ns0:t>Nominal C; DFmax at 1kHz; minimum insulation; no temperature/bias/ESL</ns0:t>
        </ns0:is>
      </ns0:c>
      <ns0:c xmlns:ns0="http://schemas.openxmlformats.org/spreadsheetml/2006/main" r="AL238" s="11" t="inlineStr">
        <ns0:is>
          <ns0:t>General</ns0:t>
        </ns0:is>
      </ns0:c>
      <ns0:c xmlns:ns0="http://schemas.openxmlformats.org/spreadsheetml/2006/main" r="AM238" s="11" t="inlineStr">
        <ns0:is>
          <ns0:t>Spice Subcircuit</ns0:t>
        </ns0:is>
      </ns0:c>
      <ns0:c xmlns:ns0="http://schemas.openxmlformats.org/spreadsheetml/2006/main" r="AN238" s="11" t="inlineStr">
        <ns0:is>
          <ns0:t>@DESIGNATOR %1 %2 @MODEL PARAMS: Cvalue=3.9e-07 Rsvalue=28.5662718370069 Rinsvalue=1282051282.05128</ns0:t>
        </ns0:is>
      </ns0:c>
      <ns0:c xmlns:ns0="http://schemas.openxmlformats.org/spreadsheetml/2006/main" r="AO238" s="11" t="inlineStr">
        <ns0:is>
          <ns0:t>X</ns0:t>
        </ns0:is>
      </ns0:c>
      <ns0:c xmlns:ns0="http://schemas.openxmlformats.org/spreadsheetml/2006/main" r="AP238" s="11" t="inlineStr">
        <ns0:is>
          <ns0:t>(1:1),(2:2)</ns0:t>
        </ns0:is>
      </ns0:c>
      <ns0:c xmlns:ns0="http://schemas.openxmlformats.org/spreadsheetml/2006/main" r="AQ238" s="11" t="inlineStr">
        <ns0:is>
          <ns0:t>Simulation\Capacitors\MY_LIB_C_RC.ckt</ns0:t>
        </ns0:is>
      </ns0:c>
    </ns0:row>
    <ns0:row r="239" ht="30" customHeight="1">
      <ns0:c r="A239" t="str" s="14">
        <ns0:v>C0240</ns0:v>
      </ns0:c>
      <ns0:c r="B239" t="str" s="14">
        <ns0:v>Конденсатор</ns0:v>
      </ns0:c>
      <ns0:c r="C239" t="str" s="14">
        <ns0:v>470n</ns0:v>
      </ns0:c>
      <ns0:c r="D239" t="str" s="11">
        <ns0:f>SUBSTITUTE(SUBSTITUTE(SUBSTITUTE(SUBSTITUTE(C239,"p"," пФ"),"n"," нФ"),"u"," мкФ"),".",",")</ns0:f>
        <ns0:v>470 нФ</ns0:v>
      </ns0:c>
      <ns0:c r="E239" t="str" s="14">
        <ns0:v>±10%</ns0:v>
      </ns0:c>
      <ns0:c r="F239" s="14"/>
      <ns0:c r="G239" t="str" s="14">
        <ns0:v>50 В</ns0:v>
      </ns0:c>
      <ns0:c r="H239" t="str" s="14">
        <ns0:v>X7R</ns0:v>
      </ns0:c>
      <ns0:c r="I239" t="str" s="15">
        <ns0:v>0603</ns0:v>
      </ns0:c>
      <ns0:c r="J239" t="str" s="14">
        <ns0:v>YAGEO</ns0:v>
      </ns0:c>
      <ns0:c r="K239" t="str" s="14">
        <ns0:v>CC0603KRX7R9BB474</ns0:v>
      </ns0:c>
      <ns0:c r="L239" t="str" s="11">
        <ns0:f>B239&amp;" "&amp;D239&amp;" "&amp;E239&amp;" "&amp;G239&amp;" "&amp;H239&amp;" "&amp;I239</ns0:f>
        <ns0:v>Конденсатор 470 нФ ±10% 50 В X7R 0603</ns0:v>
      </ns0:c>
      <ns0:c r="M239" t="str" s="13">
        <ns0:v>C</ns0:v>
      </ns0:c>
      <ns0:c r="N239" t="str" s="13">
        <ns0:v>Symbols\MY_LIB_Capacitors.SchLib</ns0:v>
      </ns0:c>
      <ns0:c r="O239" t="str" s="13">
        <ns0:v>CAPC1608X90N</ns0:v>
      </ns0:c>
      <ns0:c r="P239" t="str" s="13">
        <ns0:v>Footprints\PBL - SMD Packages.PcbLib</ns0:v>
      </ns0:c>
      <ns0:c r="Q239" t="str" s="14">
        <ns0:v>YAGEO CC; список 20.10.2026</ns0:v>
      </ns0:c>
      <ns0:c r="R239" t="str" s="11">
        <ns0:f>D239</ns0:f>
        <ns0:v>470 нФ</ns0:v>
      </ns0:c>
      <ns0:c r="S239" t="str" s="11">
        <ns0:f>L239</ns0:f>
        <ns0:v>Конденсатор 470 нФ ±10% 50 В X7R 0603</ns0:v>
      </ns0:c>
      <x:c xmlns:x="http://schemas.openxmlformats.org/spreadsheetml/2006/main" r="T239" t="str" s="11">
        <x:v>C:\Users\Nomatin\Documents\Altium\MY_LIB\MY_LIB\Datasheets\YAGEO_CC_X7R.pdf</x:v>
      </x:c>
      <x:c xmlns:x="http://schemas.openxmlformats.org/spreadsheetml/2006/main" r="U239" t="str" s="11">
        <x:v>Даташит — локальный</x:v>
      </x:c>
      <x:c xmlns:x="http://schemas.openxmlformats.org/spreadsheetml/2006/main" r="V239" t="str" s="11">
        <x:v>C:\Users\Nomatin\Documents\Altium\MY_LIB\MY_LIB\Datasheets\YAGEO_CC_X7R.pdf</x:v>
      </x:c>
      <x:c xmlns:x="http://schemas.openxmlformats.org/spreadsheetml/2006/main" r="W239" t="str" s="11">
        <x:v>Даташит — производитель</x:v>
      </x:c>
      <x:c xmlns:x="http://schemas.openxmlformats.org/spreadsheetml/2006/main" r="X239" t="str" s="11">
        <x:v>https://yageogroup.com/content/datasheet/asset/file/UPY-GPHC_X7R_6_3V-TO-250V</x:v>
      </x:c>
      <x:c xmlns:x="http://schemas.openxmlformats.org/spreadsheetml/2006/main" r="Y239" t="str" s="11">
        <x:v>C:\Users\Nomatin\Documents\Altium\MY_LIB\MY_LIB\Datasheets\YAGEO_CC_X7R.pdf</x:v>
      </x:c>
      <ns0:c xmlns:ns0="http://schemas.openxmlformats.org/spreadsheetml/2006/main" r="Z239" s="11">
        <ns0:v>4.7e-07</ns0:v>
      </ns0:c>
      <ns0:c xmlns:ns0="http://schemas.openxmlformats.org/spreadsheetml/2006/main" r="AA239" s="11">
        <ns0:v>0.1</ns0:v>
      </ns0:c>
      <ns0:c xmlns:ns0="http://schemas.openxmlformats.org/spreadsheetml/2006/main" r="AB239" s="11">
        <ns0:v>1000</ns0:v>
      </ns0:c>
      <ns0:c xmlns:ns0="http://schemas.openxmlformats.org/spreadsheetml/2006/main" r="AC239" s="11">
        <ns0:v>1</ns0:v>
      </ns0:c>
      <ns0:c xmlns:ns0="http://schemas.openxmlformats.org/spreadsheetml/2006/main" r="AD239" s="11">
        <ns0:v>20</ns0:v>
      </ns0:c>
      <ns0:c xmlns:ns0="http://schemas.openxmlformats.org/spreadsheetml/2006/main" r="AE239" s="11">
        <ns0:v>100</ns0:v>
      </ns0:c>
      <ns0:c xmlns:ns0="http://schemas.openxmlformats.org/spreadsheetml/2006/main" r="AF239" s="11">
        <ns0:v>212765957.446808</ns0:v>
      </ns0:c>
      <ns0:c xmlns:ns0="http://schemas.openxmlformats.org/spreadsheetml/2006/main" r="AG239" s="11">
        <ns0:v>50</ns0:v>
      </ns0:c>
      <ns0:c xmlns:ns0="http://schemas.openxmlformats.org/spreadsheetml/2006/main" r="AH239" s="11">
        <ns0:v>60</ns0:v>
      </ns0:c>
      <ns0:c xmlns:ns0="http://schemas.openxmlformats.org/spreadsheetml/2006/main" r="AI239" s="11">
        <ns0:v>33.8627538493394</ns0:v>
      </ns0:c>
      <ns0:c xmlns:ns0="http://schemas.openxmlformats.org/spreadsheetml/2006/main" r="AJ239" s="11" t="inlineStr">
        <ns0:is>
          <ns0:t>MY_LIB_C_RC</ns0:t>
        </ns0:is>
      </ns0:c>
      <ns0:c xmlns:ns0="http://schemas.openxmlformats.org/spreadsheetml/2006/main" r="AK239" s="11" t="inlineStr">
        <ns0:is>
          <ns0:t>Nominal C; DFmax at 1kHz; minimum insulation; no temperature/bias/ESL</ns0:t>
        </ns0:is>
      </ns0:c>
      <ns0:c xmlns:ns0="http://schemas.openxmlformats.org/spreadsheetml/2006/main" r="AL239" s="11" t="inlineStr">
        <ns0:is>
          <ns0:t>General</ns0:t>
        </ns0:is>
      </ns0:c>
      <ns0:c xmlns:ns0="http://schemas.openxmlformats.org/spreadsheetml/2006/main" r="AM239" s="11" t="inlineStr">
        <ns0:is>
          <ns0:t>Spice Subcircuit</ns0:t>
        </ns0:is>
      </ns0:c>
      <ns0:c xmlns:ns0="http://schemas.openxmlformats.org/spreadsheetml/2006/main" r="AN239" s="11" t="inlineStr">
        <ns0:is>
          <ns0:t>@DESIGNATOR %1 %2 @MODEL PARAMS: Cvalue=4.7e-07 Rsvalue=33.8627538493394 Rinsvalue=212765957.446808</ns0:t>
        </ns0:is>
      </ns0:c>
      <ns0:c xmlns:ns0="http://schemas.openxmlformats.org/spreadsheetml/2006/main" r="AO239" s="11" t="inlineStr">
        <ns0:is>
          <ns0:t>X</ns0:t>
        </ns0:is>
      </ns0:c>
      <ns0:c xmlns:ns0="http://schemas.openxmlformats.org/spreadsheetml/2006/main" r="AP239" s="11" t="inlineStr">
        <ns0:is>
          <ns0:t>(1:1),(2:2)</ns0:t>
        </ns0:is>
      </ns0:c>
      <ns0:c xmlns:ns0="http://schemas.openxmlformats.org/spreadsheetml/2006/main" r="AQ239" s="11" t="inlineStr">
        <ns0:is>
          <ns0:t>Simulation\Capacitors\MY_LIB_C_RC.ckt</ns0:t>
        </ns0:is>
      </ns0:c>
    </ns0:row>
    <ns0:row r="240" ht="30" customHeight="1">
      <ns0:c r="A240" t="str" s="14">
        <ns0:v>C0241</ns0:v>
      </ns0:c>
      <ns0:c r="B240" t="str" s="14">
        <ns0:v>Конденсатор</ns0:v>
      </ns0:c>
      <ns0:c r="C240" t="str" s="14">
        <ns0:v>560n</ns0:v>
      </ns0:c>
      <ns0:c r="D240" t="str" s="11">
        <ns0:f>SUBSTITUTE(SUBSTITUTE(SUBSTITUTE(SUBSTITUTE(C240,"p"," пФ"),"n"," нФ"),"u"," мкФ"),".",",")</ns0:f>
        <ns0:v>560 нФ</ns0:v>
      </ns0:c>
      <ns0:c r="E240" t="str" s="14">
        <ns0:v>±10%</ns0:v>
      </ns0:c>
      <ns0:c r="F240" s="14"/>
      <ns0:c r="G240" t="str" s="14">
        <ns0:v>25 В</ns0:v>
      </ns0:c>
      <ns0:c r="H240" t="str" s="14">
        <ns0:v>X7R</ns0:v>
      </ns0:c>
      <ns0:c r="I240" t="str" s="15">
        <ns0:v>0603</ns0:v>
      </ns0:c>
      <ns0:c r="J240" t="str" s="14">
        <ns0:v>YAGEO</ns0:v>
      </ns0:c>
      <ns0:c r="K240" t="str" s="14">
        <ns0:v>CC0603KRX7R8BB564</ns0:v>
      </ns0:c>
      <ns0:c r="L240" t="str" s="11">
        <ns0:f>B240&amp;" "&amp;D240&amp;" "&amp;E240&amp;" "&amp;G240&amp;" "&amp;H240&amp;" "&amp;I240</ns0:f>
        <ns0:v>Конденсатор 560 нФ ±10% 25 В X7R 0603</ns0:v>
      </ns0:c>
      <ns0:c r="M240" t="str" s="13">
        <ns0:v>C</ns0:v>
      </ns0:c>
      <ns0:c r="N240" t="str" s="13">
        <ns0:v>Symbols\MY_LIB_Capacitors.SchLib</ns0:v>
      </ns0:c>
      <ns0:c r="O240" t="str" s="13">
        <ns0:v>CAPC1608X90N</ns0:v>
      </ns0:c>
      <ns0:c r="P240" t="str" s="13">
        <ns0:v>Footprints\PBL - SMD Packages.PcbLib</ns0:v>
      </ns0:c>
      <ns0:c r="Q240" t="str" s="14">
        <ns0:v>YAGEO CC; список 20.10.2026</ns0:v>
      </ns0:c>
      <ns0:c r="R240" t="str" s="11">
        <ns0:f>D240</ns0:f>
        <ns0:v>560 нФ</ns0:v>
      </ns0:c>
      <ns0:c r="S240" t="str" s="11">
        <ns0:f>L240</ns0:f>
        <ns0:v>Конденсатор 560 нФ ±10% 25 В X7R 0603</ns0:v>
      </ns0:c>
      <x:c xmlns:x="http://schemas.openxmlformats.org/spreadsheetml/2006/main" r="T240" t="str" s="11">
        <x:v>C:\Users\Nomatin\Documents\Altium\MY_LIB\MY_LIB\Datasheets\YAGEO_CC_X7R.pdf</x:v>
      </x:c>
      <x:c xmlns:x="http://schemas.openxmlformats.org/spreadsheetml/2006/main" r="U240" t="str" s="11">
        <x:v>Даташит — локальный</x:v>
      </x:c>
      <x:c xmlns:x="http://schemas.openxmlformats.org/spreadsheetml/2006/main" r="V240" t="str" s="11">
        <x:v>C:\Users\Nomatin\Documents\Altium\MY_LIB\MY_LIB\Datasheets\YAGEO_CC_X7R.pdf</x:v>
      </x:c>
      <x:c xmlns:x="http://schemas.openxmlformats.org/spreadsheetml/2006/main" r="W240" t="str" s="11">
        <x:v>Даташит — производитель</x:v>
      </x:c>
      <x:c xmlns:x="http://schemas.openxmlformats.org/spreadsheetml/2006/main" r="X240" t="str" s="11">
        <x:v>https://yageogroup.com/content/datasheet/asset/file/UPY-GPHC_X7R_6_3V-TO-250V</x:v>
      </x:c>
      <x:c xmlns:x="http://schemas.openxmlformats.org/spreadsheetml/2006/main" r="Y240" t="str" s="11">
        <x:v>C:\Users\Nomatin\Documents\Altium\MY_LIB\MY_LIB\Datasheets\YAGEO_CC_X7R.pdf</x:v>
      </x:c>
      <ns0:c xmlns:ns0="http://schemas.openxmlformats.org/spreadsheetml/2006/main" r="Z240" s="11">
        <ns0:v>5.6e-07</ns0:v>
      </ns0:c>
      <ns0:c xmlns:ns0="http://schemas.openxmlformats.org/spreadsheetml/2006/main" r="AA240" s="11">
        <ns0:v>0.07</ns0:v>
      </ns0:c>
      <ns0:c xmlns:ns0="http://schemas.openxmlformats.org/spreadsheetml/2006/main" r="AB240" s="11">
        <ns0:v>1000</ns0:v>
      </ns0:c>
      <ns0:c xmlns:ns0="http://schemas.openxmlformats.org/spreadsheetml/2006/main" r="AC240" s="11">
        <ns0:v>1</ns0:v>
      </ns0:c>
      <ns0:c xmlns:ns0="http://schemas.openxmlformats.org/spreadsheetml/2006/main" r="AD240" s="11">
        <ns0:v>20</ns0:v>
      </ns0:c>
      <ns0:c xmlns:ns0="http://schemas.openxmlformats.org/spreadsheetml/2006/main" r="AE240" s="11">
        <ns0:v>100</ns0:v>
      </ns0:c>
      <ns0:c xmlns:ns0="http://schemas.openxmlformats.org/spreadsheetml/2006/main" r="AF240" s="11">
        <ns0:v>178571428.571429</ns0:v>
      </ns0:c>
      <ns0:c xmlns:ns0="http://schemas.openxmlformats.org/spreadsheetml/2006/main" r="AG240" s="11">
        <ns0:v>25</ns0:v>
      </ns0:c>
      <ns0:c xmlns:ns0="http://schemas.openxmlformats.org/spreadsheetml/2006/main" r="AH240" s="11">
        <ns0:v>60</ns0:v>
      </ns0:c>
      <ns0:c xmlns:ns0="http://schemas.openxmlformats.org/spreadsheetml/2006/main" r="AI240" s="11">
        <ns0:v>19.8943678864869</ns0:v>
      </ns0:c>
      <ns0:c xmlns:ns0="http://schemas.openxmlformats.org/spreadsheetml/2006/main" r="AJ240" s="11" t="inlineStr">
        <ns0:is>
          <ns0:t>MY_LIB_C_RC</ns0:t>
        </ns0:is>
      </ns0:c>
      <ns0:c xmlns:ns0="http://schemas.openxmlformats.org/spreadsheetml/2006/main" r="AK240" s="11" t="inlineStr">
        <ns0:is>
          <ns0:t>Nominal C; DFmax at 1kHz; minimum insulation; no temperature/bias/ESL</ns0:t>
        </ns0:is>
      </ns0:c>
      <ns0:c xmlns:ns0="http://schemas.openxmlformats.org/spreadsheetml/2006/main" r="AL240" s="11" t="inlineStr">
        <ns0:is>
          <ns0:t>General</ns0:t>
        </ns0:is>
      </ns0:c>
      <ns0:c xmlns:ns0="http://schemas.openxmlformats.org/spreadsheetml/2006/main" r="AM240" s="11" t="inlineStr">
        <ns0:is>
          <ns0:t>Spice Subcircuit</ns0:t>
        </ns0:is>
      </ns0:c>
      <ns0:c xmlns:ns0="http://schemas.openxmlformats.org/spreadsheetml/2006/main" r="AN240" s="11" t="inlineStr">
        <ns0:is>
          <ns0:t>@DESIGNATOR %1 %2 @MODEL PARAMS: Cvalue=5.6e-07 Rsvalue=19.8943678864869 Rinsvalue=178571428.571429</ns0:t>
        </ns0:is>
      </ns0:c>
      <ns0:c xmlns:ns0="http://schemas.openxmlformats.org/spreadsheetml/2006/main" r="AO240" s="11" t="inlineStr">
        <ns0:is>
          <ns0:t>X</ns0:t>
        </ns0:is>
      </ns0:c>
      <ns0:c xmlns:ns0="http://schemas.openxmlformats.org/spreadsheetml/2006/main" r="AP240" s="11" t="inlineStr">
        <ns0:is>
          <ns0:t>(1:1),(2:2)</ns0:t>
        </ns0:is>
      </ns0:c>
      <ns0:c xmlns:ns0="http://schemas.openxmlformats.org/spreadsheetml/2006/main" r="AQ240" s="11" t="inlineStr">
        <ns0:is>
          <ns0:t>Simulation\Capacitors\MY_LIB_C_RC.ckt</ns0:t>
        </ns0:is>
      </ns0:c>
    </ns0:row>
    <ns0:row r="241" ht="30" customHeight="1">
      <ns0:c r="A241" t="str" s="14">
        <ns0:v>C0242</ns0:v>
      </ns0:c>
      <ns0:c r="B241" t="str" s="14">
        <ns0:v>Конденсатор</ns0:v>
      </ns0:c>
      <ns0:c r="C241" t="str" s="14">
        <ns0:v>680n</ns0:v>
      </ns0:c>
      <ns0:c r="D241" t="str" s="11">
        <ns0:f>SUBSTITUTE(SUBSTITUTE(SUBSTITUTE(SUBSTITUTE(C241,"p"," пФ"),"n"," нФ"),"u"," мкФ"),".",",")</ns0:f>
        <ns0:v>680 нФ</ns0:v>
      </ns0:c>
      <ns0:c r="E241" t="str" s="14">
        <ns0:v>±10%</ns0:v>
      </ns0:c>
      <ns0:c r="F241" s="14"/>
      <ns0:c r="G241" t="str" s="14">
        <ns0:v>50 В</ns0:v>
      </ns0:c>
      <ns0:c r="H241" t="str" s="14">
        <ns0:v>X7R</ns0:v>
      </ns0:c>
      <ns0:c r="I241" t="str" s="15">
        <ns0:v>0603</ns0:v>
      </ns0:c>
      <ns0:c r="J241" t="str" s="14">
        <ns0:v>YAGEO</ns0:v>
      </ns0:c>
      <ns0:c r="K241" t="str" s="14">
        <ns0:v>CC0603KRX7R9BB684</ns0:v>
      </ns0:c>
      <ns0:c r="L241" t="str" s="11">
        <ns0:f>B241&amp;" "&amp;D241&amp;" "&amp;E241&amp;" "&amp;G241&amp;" "&amp;H241&amp;" "&amp;I241</ns0:f>
        <ns0:v>Конденсатор 680 нФ ±10% 50 В X7R 0603</ns0:v>
      </ns0:c>
      <ns0:c r="M241" t="str" s="13">
        <ns0:v>C</ns0:v>
      </ns0:c>
      <ns0:c r="N241" t="str" s="13">
        <ns0:v>Symbols\MY_LIB_Capacitors.SchLib</ns0:v>
      </ns0:c>
      <ns0:c r="O241" t="str" s="13">
        <ns0:v>CAPC1608X90N</ns0:v>
      </ns0:c>
      <ns0:c r="P241" t="str" s="13">
        <ns0:v>Footprints\PBL - SMD Packages.PcbLib</ns0:v>
      </ns0:c>
      <ns0:c r="Q241" t="str" s="14">
        <ns0:v>YAGEO CC; список 20.10.2026</ns0:v>
      </ns0:c>
      <ns0:c r="R241" t="str" s="11">
        <ns0:f>D241</ns0:f>
        <ns0:v>680 нФ</ns0:v>
      </ns0:c>
      <ns0:c r="S241" t="str" s="11">
        <ns0:f>L241</ns0:f>
        <ns0:v>Конденсатор 680 нФ ±10% 50 В X7R 0603</ns0:v>
      </ns0:c>
      <x:c xmlns:x="http://schemas.openxmlformats.org/spreadsheetml/2006/main" r="T241" t="str" s="11">
        <x:v>C:\Users\Nomatin\Documents\Altium\MY_LIB\MY_LIB\Datasheets\YAGEO_CC_X7R.pdf</x:v>
      </x:c>
      <x:c xmlns:x="http://schemas.openxmlformats.org/spreadsheetml/2006/main" r="U241" t="str" s="11">
        <x:v>Даташит — локальный</x:v>
      </x:c>
      <x:c xmlns:x="http://schemas.openxmlformats.org/spreadsheetml/2006/main" r="V241" t="str" s="11">
        <x:v>C:\Users\Nomatin\Documents\Altium\MY_LIB\MY_LIB\Datasheets\YAGEO_CC_X7R.pdf</x:v>
      </x:c>
      <x:c xmlns:x="http://schemas.openxmlformats.org/spreadsheetml/2006/main" r="W241" t="str" s="11">
        <x:v>Даташит — производитель</x:v>
      </x:c>
      <x:c xmlns:x="http://schemas.openxmlformats.org/spreadsheetml/2006/main" r="X241" t="str" s="11">
        <x:v>https://yageogroup.com/content/datasheet/asset/file/UPY-GPHC_X7R_6_3V-TO-250V</x:v>
      </x:c>
      <x:c xmlns:x="http://schemas.openxmlformats.org/spreadsheetml/2006/main" r="Y241" t="str" s="11">
        <x:v>C:\Users\Nomatin\Documents\Altium\MY_LIB\MY_LIB\Datasheets\YAGEO_CC_X7R.pdf</x:v>
      </x:c>
      <ns0:c xmlns:ns0="http://schemas.openxmlformats.org/spreadsheetml/2006/main" r="Z241" s="11">
        <ns0:v>6.8e-07</ns0:v>
      </ns0:c>
      <ns0:c xmlns:ns0="http://schemas.openxmlformats.org/spreadsheetml/2006/main" r="AA241" s="11">
        <ns0:v>0.1</ns0:v>
      </ns0:c>
      <ns0:c xmlns:ns0="http://schemas.openxmlformats.org/spreadsheetml/2006/main" r="AB241" s="11">
        <ns0:v>1000</ns0:v>
      </ns0:c>
      <ns0:c xmlns:ns0="http://schemas.openxmlformats.org/spreadsheetml/2006/main" r="AC241" s="11">
        <ns0:v>1</ns0:v>
      </ns0:c>
      <ns0:c xmlns:ns0="http://schemas.openxmlformats.org/spreadsheetml/2006/main" r="AD241" s="11">
        <ns0:v>20</ns0:v>
      </ns0:c>
      <ns0:c xmlns:ns0="http://schemas.openxmlformats.org/spreadsheetml/2006/main" r="AE241" s="11">
        <ns0:v>100</ns0:v>
      </ns0:c>
      <ns0:c xmlns:ns0="http://schemas.openxmlformats.org/spreadsheetml/2006/main" r="AF241" s="11">
        <ns0:v>147058823.529412</ns0:v>
      </ns0:c>
      <ns0:c xmlns:ns0="http://schemas.openxmlformats.org/spreadsheetml/2006/main" r="AG241" s="11">
        <ns0:v>50</ns0:v>
      </ns0:c>
      <ns0:c xmlns:ns0="http://schemas.openxmlformats.org/spreadsheetml/2006/main" r="AH241" s="11">
        <ns0:v>60</ns0:v>
      </ns0:c>
      <ns0:c xmlns:ns0="http://schemas.openxmlformats.org/spreadsheetml/2006/main" r="AI241" s="11">
        <ns0:v>23.4051386899846</ns0:v>
      </ns0:c>
      <ns0:c xmlns:ns0="http://schemas.openxmlformats.org/spreadsheetml/2006/main" r="AJ241" s="11" t="inlineStr">
        <ns0:is>
          <ns0:t>MY_LIB_C_RC</ns0:t>
        </ns0:is>
      </ns0:c>
      <ns0:c xmlns:ns0="http://schemas.openxmlformats.org/spreadsheetml/2006/main" r="AK241" s="11" t="inlineStr">
        <ns0:is>
          <ns0:t>Nominal C; DFmax at 1kHz; minimum insulation; no temperature/bias/ESL</ns0:t>
        </ns0:is>
      </ns0:c>
      <ns0:c xmlns:ns0="http://schemas.openxmlformats.org/spreadsheetml/2006/main" r="AL241" s="11" t="inlineStr">
        <ns0:is>
          <ns0:t>General</ns0:t>
        </ns0:is>
      </ns0:c>
      <ns0:c xmlns:ns0="http://schemas.openxmlformats.org/spreadsheetml/2006/main" r="AM241" s="11" t="inlineStr">
        <ns0:is>
          <ns0:t>Spice Subcircuit</ns0:t>
        </ns0:is>
      </ns0:c>
      <ns0:c xmlns:ns0="http://schemas.openxmlformats.org/spreadsheetml/2006/main" r="AN241" s="11" t="inlineStr">
        <ns0:is>
          <ns0:t>@DESIGNATOR %1 %2 @MODEL PARAMS: Cvalue=6.8e-07 Rsvalue=23.4051386899846 Rinsvalue=147058823.529412</ns0:t>
        </ns0:is>
      </ns0:c>
      <ns0:c xmlns:ns0="http://schemas.openxmlformats.org/spreadsheetml/2006/main" r="AO241" s="11" t="inlineStr">
        <ns0:is>
          <ns0:t>X</ns0:t>
        </ns0:is>
      </ns0:c>
      <ns0:c xmlns:ns0="http://schemas.openxmlformats.org/spreadsheetml/2006/main" r="AP241" s="11" t="inlineStr">
        <ns0:is>
          <ns0:t>(1:1),(2:2)</ns0:t>
        </ns0:is>
      </ns0:c>
      <ns0:c xmlns:ns0="http://schemas.openxmlformats.org/spreadsheetml/2006/main" r="AQ241" s="11" t="inlineStr">
        <ns0:is>
          <ns0:t>Simulation\Capacitors\MY_LIB_C_RC.ckt</ns0:t>
        </ns0:is>
      </ns0:c>
    </ns0:row>
    <ns0:row r="242" ht="30" customHeight="1">
      <ns0:c r="A242" t="str" s="14">
        <ns0:v>C0243</ns0:v>
      </ns0:c>
      <ns0:c r="B242" t="str" s="14">
        <ns0:v>Конденсатор</ns0:v>
      </ns0:c>
      <ns0:c r="C242" t="str" s="14">
        <ns0:v>820n</ns0:v>
      </ns0:c>
      <ns0:c r="D242" t="str" s="11">
        <ns0:f>SUBSTITUTE(SUBSTITUTE(SUBSTITUTE(SUBSTITUTE(C242,"p"," пФ"),"n"," нФ"),"u"," мкФ"),".",",")</ns0:f>
        <ns0:v>820 нФ</ns0:v>
      </ns0:c>
      <ns0:c r="E242" t="str" s="14">
        <ns0:v>±10%</ns0:v>
      </ns0:c>
      <ns0:c r="F242" s="14"/>
      <ns0:c r="G242" t="str" s="14">
        <ns0:v>16 В</ns0:v>
      </ns0:c>
      <ns0:c r="H242" t="str" s="14">
        <ns0:v>X7R</ns0:v>
      </ns0:c>
      <ns0:c r="I242" t="str" s="15">
        <ns0:v>0603</ns0:v>
      </ns0:c>
      <ns0:c r="J242" t="str" s="14">
        <ns0:v>YAGEO</ns0:v>
      </ns0:c>
      <ns0:c r="K242" t="str" s="14">
        <ns0:v>CC0603KRX7R7BB824</ns0:v>
      </ns0:c>
      <ns0:c r="L242" t="str" s="11">
        <ns0:f>B242&amp;" "&amp;D242&amp;" "&amp;E242&amp;" "&amp;G242&amp;" "&amp;H242&amp;" "&amp;I242</ns0:f>
        <ns0:v>Конденсатор 820 нФ ±10% 16 В X7R 0603</ns0:v>
      </ns0:c>
      <ns0:c r="M242" t="str" s="13">
        <ns0:v>C</ns0:v>
      </ns0:c>
      <ns0:c r="N242" t="str" s="13">
        <ns0:v>Symbols\MY_LIB_Capacitors.SchLib</ns0:v>
      </ns0:c>
      <ns0:c r="O242" t="str" s="13">
        <ns0:v>CAPC1608X90N</ns0:v>
      </ns0:c>
      <ns0:c r="P242" t="str" s="13">
        <ns0:v>Footprints\PBL - SMD Packages.PcbLib</ns0:v>
      </ns0:c>
      <ns0:c r="Q242" t="str" s="14">
        <ns0:v>YAGEO CC; список 20.10.2026</ns0:v>
      </ns0:c>
      <ns0:c r="R242" t="str" s="11">
        <ns0:f>D242</ns0:f>
        <ns0:v>820 нФ</ns0:v>
      </ns0:c>
      <ns0:c r="S242" t="str" s="11">
        <ns0:f>L242</ns0:f>
        <ns0:v>Конденсатор 820 нФ ±10% 16 В X7R 0603</ns0:v>
      </ns0:c>
      <x:c xmlns:x="http://schemas.openxmlformats.org/spreadsheetml/2006/main" r="T242" t="str" s="11">
        <x:v>C:\Users\Nomatin\Documents\Altium\MY_LIB\MY_LIB\Datasheets\YAGEO_CC_X7R.pdf</x:v>
      </x:c>
      <x:c xmlns:x="http://schemas.openxmlformats.org/spreadsheetml/2006/main" r="U242" t="str" s="11">
        <x:v>Даташит — локальный</x:v>
      </x:c>
      <x:c xmlns:x="http://schemas.openxmlformats.org/spreadsheetml/2006/main" r="V242" t="str" s="11">
        <x:v>C:\Users\Nomatin\Documents\Altium\MY_LIB\MY_LIB\Datasheets\YAGEO_CC_X7R.pdf</x:v>
      </x:c>
      <x:c xmlns:x="http://schemas.openxmlformats.org/spreadsheetml/2006/main" r="W242" t="str" s="11">
        <x:v>Даташит — производитель</x:v>
      </x:c>
      <x:c xmlns:x="http://schemas.openxmlformats.org/spreadsheetml/2006/main" r="X242" t="str" s="11">
        <x:v>https://yageogroup.com/content/datasheet/asset/file/UPY-GPHC_X7R_6_3V-TO-250V</x:v>
      </x:c>
      <x:c xmlns:x="http://schemas.openxmlformats.org/spreadsheetml/2006/main" r="Y242" t="str" s="11">
        <x:v>C:\Users\Nomatin\Documents\Altium\MY_LIB\MY_LIB\Datasheets\YAGEO_CC_X7R.pdf</x:v>
      </x:c>
      <ns0:c xmlns:ns0="http://schemas.openxmlformats.org/spreadsheetml/2006/main" r="Z242" s="11">
        <ns0:v>8.2e-07</ns0:v>
      </ns0:c>
      <ns0:c xmlns:ns0="http://schemas.openxmlformats.org/spreadsheetml/2006/main" r="AA242" s="11">
        <ns0:v>0.07</ns0:v>
      </ns0:c>
      <ns0:c xmlns:ns0="http://schemas.openxmlformats.org/spreadsheetml/2006/main" r="AB242" s="11">
        <ns0:v>1000</ns0:v>
      </ns0:c>
      <ns0:c xmlns:ns0="http://schemas.openxmlformats.org/spreadsheetml/2006/main" r="AC242" s="11">
        <ns0:v>1</ns0:v>
      </ns0:c>
      <ns0:c xmlns:ns0="http://schemas.openxmlformats.org/spreadsheetml/2006/main" r="AD242" s="11">
        <ns0:v>20</ns0:v>
      </ns0:c>
      <ns0:c xmlns:ns0="http://schemas.openxmlformats.org/spreadsheetml/2006/main" r="AE242" s="11">
        <ns0:v>100</ns0:v>
      </ns0:c>
      <ns0:c xmlns:ns0="http://schemas.openxmlformats.org/spreadsheetml/2006/main" r="AF242" s="11">
        <ns0:v>121951219.512195</ns0:v>
      </ns0:c>
      <ns0:c xmlns:ns0="http://schemas.openxmlformats.org/spreadsheetml/2006/main" r="AG242" s="11">
        <ns0:v>16</ns0:v>
      </ns0:c>
      <ns0:c xmlns:ns0="http://schemas.openxmlformats.org/spreadsheetml/2006/main" r="AH242" s="11">
        <ns0:v>60</ns0:v>
      </ns0:c>
      <ns0:c xmlns:ns0="http://schemas.openxmlformats.org/spreadsheetml/2006/main" r="AI242" s="11">
        <ns0:v>13.5863975810155</ns0:v>
      </ns0:c>
      <ns0:c xmlns:ns0="http://schemas.openxmlformats.org/spreadsheetml/2006/main" r="AJ242" s="11" t="inlineStr">
        <ns0:is>
          <ns0:t>MY_LIB_C_RC</ns0:t>
        </ns0:is>
      </ns0:c>
      <ns0:c xmlns:ns0="http://schemas.openxmlformats.org/spreadsheetml/2006/main" r="AK242" s="11" t="inlineStr">
        <ns0:is>
          <ns0:t>Nominal C; DFmax at 1kHz; minimum insulation; no temperature/bias/ESL</ns0:t>
        </ns0:is>
      </ns0:c>
      <ns0:c xmlns:ns0="http://schemas.openxmlformats.org/spreadsheetml/2006/main" r="AL242" s="11" t="inlineStr">
        <ns0:is>
          <ns0:t>General</ns0:t>
        </ns0:is>
      </ns0:c>
      <ns0:c xmlns:ns0="http://schemas.openxmlformats.org/spreadsheetml/2006/main" r="AM242" s="11" t="inlineStr">
        <ns0:is>
          <ns0:t>Spice Subcircuit</ns0:t>
        </ns0:is>
      </ns0:c>
      <ns0:c xmlns:ns0="http://schemas.openxmlformats.org/spreadsheetml/2006/main" r="AN242" s="11" t="inlineStr">
        <ns0:is>
          <ns0:t>@DESIGNATOR %1 %2 @MODEL PARAMS: Cvalue=8.2e-07 Rsvalue=13.5863975810155 Rinsvalue=121951219.512195</ns0:t>
        </ns0:is>
      </ns0:c>
      <ns0:c xmlns:ns0="http://schemas.openxmlformats.org/spreadsheetml/2006/main" r="AO242" s="11" t="inlineStr">
        <ns0:is>
          <ns0:t>X</ns0:t>
        </ns0:is>
      </ns0:c>
      <ns0:c xmlns:ns0="http://schemas.openxmlformats.org/spreadsheetml/2006/main" r="AP242" s="11" t="inlineStr">
        <ns0:is>
          <ns0:t>(1:1),(2:2)</ns0:t>
        </ns0:is>
      </ns0:c>
      <ns0:c xmlns:ns0="http://schemas.openxmlformats.org/spreadsheetml/2006/main" r="AQ242" s="11" t="inlineStr">
        <ns0:is>
          <ns0:t>Simulation\Capacitors\MY_LIB_C_RC.ckt</ns0:t>
        </ns0:is>
      </ns0:c>
    </ns0:row>
    <ns0:row r="243" ht="30" customHeight="1">
      <ns0:c r="A243" t="str" s="14">
        <ns0:v>C0244</ns0:v>
      </ns0:c>
      <ns0:c r="B243" t="str" s="14">
        <ns0:v>Конденсатор</ns0:v>
      </ns0:c>
      <ns0:c r="C243" t="str" s="14">
        <ns0:v>1u</ns0:v>
      </ns0:c>
      <ns0:c r="D243" t="str" s="11">
        <ns0:f>SUBSTITUTE(SUBSTITUTE(SUBSTITUTE(SUBSTITUTE(C243,"p"," пФ"),"n"," нФ"),"u"," мкФ"),".",",")</ns0:f>
        <ns0:v>1 мкФ</ns0:v>
      </ns0:c>
      <ns0:c r="E243" t="str" s="14">
        <ns0:v>±10%</ns0:v>
      </ns0:c>
      <ns0:c r="F243" s="14"/>
      <ns0:c r="G243" t="str" s="14">
        <ns0:v>50 В</ns0:v>
      </ns0:c>
      <ns0:c r="H243" t="str" s="14">
        <ns0:v>X7R</ns0:v>
      </ns0:c>
      <ns0:c r="I243" t="str" s="15">
        <ns0:v>0603</ns0:v>
      </ns0:c>
      <ns0:c r="J243" t="str" s="14">
        <ns0:v>YAGEO</ns0:v>
      </ns0:c>
      <ns0:c r="K243" t="str" s="14">
        <ns0:v>CC0603KRX7R9BB105</ns0:v>
      </ns0:c>
      <ns0:c r="L243" t="str" s="11">
        <ns0:f>B243&amp;" "&amp;D243&amp;" "&amp;E243&amp;" "&amp;G243&amp;" "&amp;H243&amp;" "&amp;I243</ns0:f>
        <ns0:v>Конденсатор 1 мкФ ±10% 50 В X7R 0603</ns0:v>
      </ns0:c>
      <ns0:c r="M243" t="str" s="13">
        <ns0:v>C</ns0:v>
      </ns0:c>
      <ns0:c r="N243" t="str" s="13">
        <ns0:v>Symbols\MY_LIB_Capacitors.SchLib</ns0:v>
      </ns0:c>
      <ns0:c r="O243" t="str" s="13">
        <ns0:v>CAPC1608X90N</ns0:v>
      </ns0:c>
      <ns0:c r="P243" t="str" s="13">
        <ns0:v>Footprints\PBL - SMD Packages.PcbLib</ns0:v>
      </ns0:c>
      <ns0:c r="Q243" t="str" s="14">
        <ns0:v>YAGEO CC; список 20.10.2026</ns0:v>
      </ns0:c>
      <ns0:c r="R243" t="str" s="11">
        <ns0:f>D243</ns0:f>
        <ns0:v>1 мкФ</ns0:v>
      </ns0:c>
      <ns0:c r="S243" t="str" s="11">
        <ns0:f>L243</ns0:f>
        <ns0:v>Конденсатор 1 мкФ ±10% 50 В X7R 0603</ns0:v>
      </ns0:c>
      <x:c xmlns:x="http://schemas.openxmlformats.org/spreadsheetml/2006/main" r="T243" t="str" s="11">
        <x:v>C:\Users\Nomatin\Documents\Altium\MY_LIB\MY_LIB\Datasheets\YAGEO_CC_X7R.pdf</x:v>
      </x:c>
      <x:c xmlns:x="http://schemas.openxmlformats.org/spreadsheetml/2006/main" r="U243" t="str" s="11">
        <x:v>Даташит — локальный</x:v>
      </x:c>
      <x:c xmlns:x="http://schemas.openxmlformats.org/spreadsheetml/2006/main" r="V243" t="str" s="11">
        <x:v>C:\Users\Nomatin\Documents\Altium\MY_LIB\MY_LIB\Datasheets\YAGEO_CC_X7R.pdf</x:v>
      </x:c>
      <x:c xmlns:x="http://schemas.openxmlformats.org/spreadsheetml/2006/main" r="W243" t="str" s="11">
        <x:v>Даташит — производитель</x:v>
      </x:c>
      <x:c xmlns:x="http://schemas.openxmlformats.org/spreadsheetml/2006/main" r="X243" t="str" s="11">
        <x:v>https://yageogroup.com/content/datasheet/asset/file/UPY-GPHC_X7R_6_3V-TO-250V</x:v>
      </x:c>
      <x:c xmlns:x="http://schemas.openxmlformats.org/spreadsheetml/2006/main" r="Y243" t="str" s="11">
        <x:v>C:\Users\Nomatin\Documents\Altium\MY_LIB\MY_LIB\Datasheets\YAGEO_CC_X7R.pdf</x:v>
      </x:c>
      <ns0:c xmlns:ns0="http://schemas.openxmlformats.org/spreadsheetml/2006/main" r="Z243" s="11">
        <ns0:v>1e-06</ns0:v>
      </ns0:c>
      <ns0:c xmlns:ns0="http://schemas.openxmlformats.org/spreadsheetml/2006/main" r="AA243" s="11">
        <ns0:v>0.1</ns0:v>
      </ns0:c>
      <ns0:c xmlns:ns0="http://schemas.openxmlformats.org/spreadsheetml/2006/main" r="AB243" s="11">
        <ns0:v>1000</ns0:v>
      </ns0:c>
      <ns0:c xmlns:ns0="http://schemas.openxmlformats.org/spreadsheetml/2006/main" r="AC243" s="11">
        <ns0:v>1</ns0:v>
      </ns0:c>
      <ns0:c xmlns:ns0="http://schemas.openxmlformats.org/spreadsheetml/2006/main" r="AD243" s="11">
        <ns0:v>20</ns0:v>
      </ns0:c>
      <ns0:c xmlns:ns0="http://schemas.openxmlformats.org/spreadsheetml/2006/main" r="AE243" s="11">
        <ns0:v>100</ns0:v>
      </ns0:c>
      <ns0:c xmlns:ns0="http://schemas.openxmlformats.org/spreadsheetml/2006/main" r="AF243" s="11">
        <ns0:v>100000000</ns0:v>
      </ns0:c>
      <ns0:c xmlns:ns0="http://schemas.openxmlformats.org/spreadsheetml/2006/main" r="AG243" s="11">
        <ns0:v>50</ns0:v>
      </ns0:c>
      <ns0:c xmlns:ns0="http://schemas.openxmlformats.org/spreadsheetml/2006/main" r="AH243" s="11">
        <ns0:v>60</ns0:v>
      </ns0:c>
      <ns0:c xmlns:ns0="http://schemas.openxmlformats.org/spreadsheetml/2006/main" r="AI243" s="11">
        <ns0:v>15.9154943091895</ns0:v>
      </ns0:c>
      <ns0:c xmlns:ns0="http://schemas.openxmlformats.org/spreadsheetml/2006/main" r="AJ243" s="11" t="inlineStr">
        <ns0:is>
          <ns0:t>MY_LIB_C_RC</ns0:t>
        </ns0:is>
      </ns0:c>
      <ns0:c xmlns:ns0="http://schemas.openxmlformats.org/spreadsheetml/2006/main" r="AK243" s="11" t="inlineStr">
        <ns0:is>
          <ns0:t>Nominal C; DFmax at 1kHz; minimum insulation; no temperature/bias/ESL</ns0:t>
        </ns0:is>
      </ns0:c>
      <ns0:c xmlns:ns0="http://schemas.openxmlformats.org/spreadsheetml/2006/main" r="AL243" s="11" t="inlineStr">
        <ns0:is>
          <ns0:t>General</ns0:t>
        </ns0:is>
      </ns0:c>
      <ns0:c xmlns:ns0="http://schemas.openxmlformats.org/spreadsheetml/2006/main" r="AM243" s="11" t="inlineStr">
        <ns0:is>
          <ns0:t>Spice Subcircuit</ns0:t>
        </ns0:is>
      </ns0:c>
      <ns0:c xmlns:ns0="http://schemas.openxmlformats.org/spreadsheetml/2006/main" r="AN243" s="11" t="inlineStr">
        <ns0:is>
          <ns0:t>@DESIGNATOR %1 %2 @MODEL PARAMS: Cvalue=1e-06 Rsvalue=15.9154943091895 Rinsvalue=100000000</ns0:t>
        </ns0:is>
      </ns0:c>
      <ns0:c xmlns:ns0="http://schemas.openxmlformats.org/spreadsheetml/2006/main" r="AO243" s="11" t="inlineStr">
        <ns0:is>
          <ns0:t>X</ns0:t>
        </ns0:is>
      </ns0:c>
      <ns0:c xmlns:ns0="http://schemas.openxmlformats.org/spreadsheetml/2006/main" r="AP243" s="11" t="inlineStr">
        <ns0:is>
          <ns0:t>(1:1),(2:2)</ns0:t>
        </ns0:is>
      </ns0:c>
      <ns0:c xmlns:ns0="http://schemas.openxmlformats.org/spreadsheetml/2006/main" r="AQ243" s="11" t="inlineStr">
        <ns0:is>
          <ns0:t>Simulation\Capacitors\MY_LIB_C_RC.ckt</ns0:t>
        </ns0:is>
      </ns0:c>
    </ns0:row>
    <ns0:row r="244" ht="30" customHeight="1">
      <ns0:c r="A244" t="str" s="14">
        <ns0:v>C0245</ns0:v>
      </ns0:c>
      <ns0:c r="B244" t="str" s="14">
        <ns0:v>Конденсатор</ns0:v>
      </ns0:c>
      <ns0:c r="C244" t="str" s="14">
        <ns0:v>2.2u</ns0:v>
      </ns0:c>
      <ns0:c r="D244" t="str" s="11">
        <ns0:f>SUBSTITUTE(SUBSTITUTE(SUBSTITUTE(SUBSTITUTE(C244,"p"," пФ"),"n"," нФ"),"u"," мкФ"),".",",")</ns0:f>
        <ns0:v>2,2 мкФ</ns0:v>
      </ns0:c>
      <ns0:c r="E244" t="str" s="14">
        <ns0:v>±10%</ns0:v>
      </ns0:c>
      <ns0:c r="F244" s="14"/>
      <ns0:c r="G244" t="str" s="14">
        <ns0:v>16 В</ns0:v>
      </ns0:c>
      <ns0:c r="H244" t="str" s="14">
        <ns0:v>X7R</ns0:v>
      </ns0:c>
      <ns0:c r="I244" t="str" s="15">
        <ns0:v>0603</ns0:v>
      </ns0:c>
      <ns0:c r="J244" t="str" s="14">
        <ns0:v>YAGEO</ns0:v>
      </ns0:c>
      <ns0:c r="K244" t="str" s="14">
        <ns0:v>CC0603KRX7R7BB225</ns0:v>
      </ns0:c>
      <ns0:c r="L244" t="str" s="11">
        <ns0:f>B244&amp;" "&amp;D244&amp;" "&amp;E244&amp;" "&amp;G244&amp;" "&amp;H244&amp;" "&amp;I244</ns0:f>
        <ns0:v>Конденсатор 2,2 мкФ ±10% 16 В X7R 0603</ns0:v>
      </ns0:c>
      <ns0:c r="M244" t="str" s="13">
        <ns0:v>C</ns0:v>
      </ns0:c>
      <ns0:c r="N244" t="str" s="13">
        <ns0:v>Symbols\MY_LIB_Capacitors.SchLib</ns0:v>
      </ns0:c>
      <ns0:c r="O244" t="str" s="13">
        <ns0:v>CAPC1608X90N</ns0:v>
      </ns0:c>
      <ns0:c r="P244" t="str" s="13">
        <ns0:v>Footprints\PBL - SMD Packages.PcbLib</ns0:v>
      </ns0:c>
      <ns0:c r="Q244" t="str" s="14">
        <ns0:v>YAGEO CC; список 20.10.2026</ns0:v>
      </ns0:c>
      <ns0:c r="R244" t="str" s="11">
        <ns0:f>D244</ns0:f>
        <ns0:v>2,2 мкФ</ns0:v>
      </ns0:c>
      <ns0:c r="S244" t="str" s="11">
        <ns0:f>L244</ns0:f>
        <ns0:v>Конденсатор 2,2 мкФ ±10% 16 В X7R 0603</ns0:v>
      </ns0:c>
      <x:c xmlns:x="http://schemas.openxmlformats.org/spreadsheetml/2006/main" r="T244" t="str" s="11">
        <x:v>C:\Users\Nomatin\Documents\Altium\MY_LIB\MY_LIB\Datasheets\YAGEO_CC_X7R.pdf</x:v>
      </x:c>
      <x:c xmlns:x="http://schemas.openxmlformats.org/spreadsheetml/2006/main" r="U244" t="str" s="11">
        <x:v>Даташит — локальный</x:v>
      </x:c>
      <x:c xmlns:x="http://schemas.openxmlformats.org/spreadsheetml/2006/main" r="V244" t="str" s="11">
        <x:v>C:\Users\Nomatin\Documents\Altium\MY_LIB\MY_LIB\Datasheets\YAGEO_CC_X7R.pdf</x:v>
      </x:c>
      <x:c xmlns:x="http://schemas.openxmlformats.org/spreadsheetml/2006/main" r="W244" t="str" s="11">
        <x:v>Даташит — производитель</x:v>
      </x:c>
      <x:c xmlns:x="http://schemas.openxmlformats.org/spreadsheetml/2006/main" r="X244" t="str" s="11">
        <x:v>https://yageogroup.com/content/datasheet/asset/file/UPY-GPHC_X7R_6_3V-TO-250V</x:v>
      </x:c>
      <x:c xmlns:x="http://schemas.openxmlformats.org/spreadsheetml/2006/main" r="Y244" t="str" s="11">
        <x:v>C:\Users\Nomatin\Documents\Altium\MY_LIB\MY_LIB\Datasheets\YAGEO_CC_X7R.pdf</x:v>
      </x:c>
      <ns0:c xmlns:ns0="http://schemas.openxmlformats.org/spreadsheetml/2006/main" r="Z244" s="11">
        <ns0:v>2.2e-06</ns0:v>
      </ns0:c>
      <ns0:c xmlns:ns0="http://schemas.openxmlformats.org/spreadsheetml/2006/main" r="AA244" s="11">
        <ns0:v>0.1</ns0:v>
      </ns0:c>
      <ns0:c xmlns:ns0="http://schemas.openxmlformats.org/spreadsheetml/2006/main" r="AB244" s="11">
        <ns0:v>1000</ns0:v>
      </ns0:c>
      <ns0:c xmlns:ns0="http://schemas.openxmlformats.org/spreadsheetml/2006/main" r="AC244" s="11">
        <ns0:v>1</ns0:v>
      </ns0:c>
      <ns0:c xmlns:ns0="http://schemas.openxmlformats.org/spreadsheetml/2006/main" r="AD244" s="11">
        <ns0:v>20</ns0:v>
      </ns0:c>
      <ns0:c xmlns:ns0="http://schemas.openxmlformats.org/spreadsheetml/2006/main" r="AE244" s="11">
        <ns0:v>50</ns0:v>
      </ns0:c>
      <ns0:c xmlns:ns0="http://schemas.openxmlformats.org/spreadsheetml/2006/main" r="AF244" s="11">
        <ns0:v>22727272.7272727</ns0:v>
      </ns0:c>
      <ns0:c xmlns:ns0="http://schemas.openxmlformats.org/spreadsheetml/2006/main" r="AG244" s="11">
        <ns0:v>16</ns0:v>
      </ns0:c>
      <ns0:c xmlns:ns0="http://schemas.openxmlformats.org/spreadsheetml/2006/main" r="AH244" s="11">
        <ns0:v>60</ns0:v>
      </ns0:c>
      <ns0:c xmlns:ns0="http://schemas.openxmlformats.org/spreadsheetml/2006/main" r="AI244" s="11">
        <ns0:v>7.23431559508615</ns0:v>
      </ns0:c>
      <ns0:c xmlns:ns0="http://schemas.openxmlformats.org/spreadsheetml/2006/main" r="AJ244" s="11" t="inlineStr">
        <ns0:is>
          <ns0:t>MY_LIB_C_RC</ns0:t>
        </ns0:is>
      </ns0:c>
      <ns0:c xmlns:ns0="http://schemas.openxmlformats.org/spreadsheetml/2006/main" r="AK244" s="11" t="inlineStr">
        <ns0:is>
          <ns0:t>Nominal C; DFmax at 1kHz; minimum insulation; no temperature/bias/ESL</ns0:t>
        </ns0:is>
      </ns0:c>
      <ns0:c xmlns:ns0="http://schemas.openxmlformats.org/spreadsheetml/2006/main" r="AL244" s="11" t="inlineStr">
        <ns0:is>
          <ns0:t>General</ns0:t>
        </ns0:is>
      </ns0:c>
      <ns0:c xmlns:ns0="http://schemas.openxmlformats.org/spreadsheetml/2006/main" r="AM244" s="11" t="inlineStr">
        <ns0:is>
          <ns0:t>Spice Subcircuit</ns0:t>
        </ns0:is>
      </ns0:c>
      <ns0:c xmlns:ns0="http://schemas.openxmlformats.org/spreadsheetml/2006/main" r="AN244" s="11" t="inlineStr">
        <ns0:is>
          <ns0:t>@DESIGNATOR %1 %2 @MODEL PARAMS: Cvalue=2.2e-06 Rsvalue=7.23431559508615 Rinsvalue=22727272.7272727</ns0:t>
        </ns0:is>
      </ns0:c>
      <ns0:c xmlns:ns0="http://schemas.openxmlformats.org/spreadsheetml/2006/main" r="AO244" s="11" t="inlineStr">
        <ns0:is>
          <ns0:t>X</ns0:t>
        </ns0:is>
      </ns0:c>
      <ns0:c xmlns:ns0="http://schemas.openxmlformats.org/spreadsheetml/2006/main" r="AP244" s="11" t="inlineStr">
        <ns0:is>
          <ns0:t>(1:1),(2:2)</ns0:t>
        </ns0:is>
      </ns0:c>
      <ns0:c xmlns:ns0="http://schemas.openxmlformats.org/spreadsheetml/2006/main" r="AQ244" s="11" t="inlineStr">
        <ns0:is>
          <ns0:t>Simulation\Capacitors\MY_LIB_C_RC.ckt</ns0:t>
        </ns0:is>
      </ns0:c>
    </ns0:row>
    <ns0:row r="245" ht="30" customHeight="1">
      <ns0:c r="A245" t="str" s="14">
        <ns0:v>C0246</ns0:v>
      </ns0:c>
      <ns0:c r="B245" t="str" s="14">
        <ns0:v>Конденсатор</ns0:v>
      </ns0:c>
      <ns0:c r="C245" t="str" s="14">
        <ns0:v>100p</ns0:v>
      </ns0:c>
      <ns0:c r="D245" t="str" s="11">
        <ns0:f>SUBSTITUTE(SUBSTITUTE(SUBSTITUTE(SUBSTITUTE(C245,"p"," пФ"),"n"," нФ"),"u"," мкФ"),".",",")</ns0:f>
        <ns0:v>100 пФ</ns0:v>
      </ns0:c>
      <ns0:c r="E245" t="str" s="14">
        <ns0:v>±20%</ns0:v>
      </ns0:c>
      <ns0:c r="F245" s="14"/>
      <ns0:c r="G245" t="str" s="14">
        <ns0:v>100 В</ns0:v>
      </ns0:c>
      <ns0:c r="H245" t="str" s="14">
        <ns0:v>X7R</ns0:v>
      </ns0:c>
      <ns0:c r="I245" t="str" s="15">
        <ns0:v>0603</ns0:v>
      </ns0:c>
      <ns0:c r="J245" t="str" s="14">
        <ns0:v>YAGEO</ns0:v>
      </ns0:c>
      <ns0:c r="K245" t="str" s="14">
        <ns0:v>CC0603MRX7R0BB101</ns0:v>
      </ns0:c>
      <ns0:c r="L245" t="str" s="11">
        <ns0:f>B245&amp;" "&amp;D245&amp;" "&amp;E245&amp;" "&amp;G245&amp;" "&amp;H245&amp;" "&amp;I245</ns0:f>
        <ns0:v>Конденсатор 100 пФ ±20% 100 В X7R 0603</ns0:v>
      </ns0:c>
      <ns0:c r="M245" t="str" s="13">
        <ns0:v>C</ns0:v>
      </ns0:c>
      <ns0:c r="N245" t="str" s="13">
        <ns0:v>Symbols\MY_LIB_Capacitors.SchLib</ns0:v>
      </ns0:c>
      <ns0:c r="O245" t="str" s="13">
        <ns0:v>CAPC1608X90N</ns0:v>
      </ns0:c>
      <ns0:c r="P245" t="str" s="13">
        <ns0:v>Footprints\PBL - SMD Packages.PcbLib</ns0:v>
      </ns0:c>
      <ns0:c r="Q245" t="str" s="14">
        <ns0:v>YAGEO CC; список 20.10.2026</ns0:v>
      </ns0:c>
      <ns0:c r="R245" t="str" s="11">
        <ns0:f>D245</ns0:f>
        <ns0:v>100 пФ</ns0:v>
      </ns0:c>
      <ns0:c r="S245" t="str" s="11">
        <ns0:f>L245</ns0:f>
        <ns0:v>Конденсатор 100 пФ ±20% 100 В X7R 0603</ns0:v>
      </ns0:c>
      <x:c xmlns:x="http://schemas.openxmlformats.org/spreadsheetml/2006/main" r="T245" t="str" s="11">
        <x:v>C:\Users\Nomatin\Documents\Altium\MY_LIB\MY_LIB\Datasheets\YAGEO_CC_X7R.pdf</x:v>
      </x:c>
      <x:c xmlns:x="http://schemas.openxmlformats.org/spreadsheetml/2006/main" r="U245" t="str" s="11">
        <x:v>Даташит — локальный</x:v>
      </x:c>
      <x:c xmlns:x="http://schemas.openxmlformats.org/spreadsheetml/2006/main" r="V245" t="str" s="11">
        <x:v>C:\Users\Nomatin\Documents\Altium\MY_LIB\MY_LIB\Datasheets\YAGEO_CC_X7R.pdf</x:v>
      </x:c>
      <x:c xmlns:x="http://schemas.openxmlformats.org/spreadsheetml/2006/main" r="W245" t="str" s="11">
        <x:v>Даташит — производитель</x:v>
      </x:c>
      <x:c xmlns:x="http://schemas.openxmlformats.org/spreadsheetml/2006/main" r="X245" t="str" s="11">
        <x:v>https://yageogroup.com/content/datasheet/asset/file/UPY-GPHC_X7R_6_3V-TO-250V</x:v>
      </x:c>
      <x:c xmlns:x="http://schemas.openxmlformats.org/spreadsheetml/2006/main" r="Y245" t="str" s="11">
        <x:v>C:\Users\Nomatin\Documents\Altium\MY_LIB\MY_LIB\Datasheets\YAGEO_CC_X7R.pdf</x:v>
      </x:c>
      <ns0:c xmlns:ns0="http://schemas.openxmlformats.org/spreadsheetml/2006/main" r="Z245" s="11">
        <ns0:v>1e-10</ns0:v>
      </ns0:c>
      <ns0:c xmlns:ns0="http://schemas.openxmlformats.org/spreadsheetml/2006/main" r="AA245" s="11">
        <ns0:v>0.025</ns0:v>
      </ns0:c>
      <ns0:c xmlns:ns0="http://schemas.openxmlformats.org/spreadsheetml/2006/main" r="AB245" s="11">
        <ns0:v>1000</ns0:v>
      </ns0:c>
      <ns0:c xmlns:ns0="http://schemas.openxmlformats.org/spreadsheetml/2006/main" r="AC245" s="11">
        <ns0:v>1</ns0:v>
      </ns0:c>
      <ns0:c xmlns:ns0="http://schemas.openxmlformats.org/spreadsheetml/2006/main" r="AD245" s="11">
        <ns0:v>20</ns0:v>
      </ns0:c>
      <ns0:c xmlns:ns0="http://schemas.openxmlformats.org/spreadsheetml/2006/main" r="AE245" s="11">
        <ns0:v>500</ns0:v>
      </ns0:c>
      <ns0:c xmlns:ns0="http://schemas.openxmlformats.org/spreadsheetml/2006/main" r="AF245" s="11">
        <ns0:v>10000000000</ns0:v>
      </ns0:c>
      <ns0:c xmlns:ns0="http://schemas.openxmlformats.org/spreadsheetml/2006/main" r="AG245" s="11">
        <ns0:v>100</ns0:v>
      </ns0:c>
      <ns0:c xmlns:ns0="http://schemas.openxmlformats.org/spreadsheetml/2006/main" r="AH245" s="11">
        <ns0:v>60</ns0:v>
      </ns0:c>
      <ns0:c xmlns:ns0="http://schemas.openxmlformats.org/spreadsheetml/2006/main" r="AI245" s="11">
        <ns0:v>39788.7357729738</ns0:v>
      </ns0:c>
      <ns0:c xmlns:ns0="http://schemas.openxmlformats.org/spreadsheetml/2006/main" r="AJ245" s="11" t="inlineStr">
        <ns0:is>
          <ns0:t>MY_LIB_C_RC</ns0:t>
        </ns0:is>
      </ns0:c>
      <ns0:c xmlns:ns0="http://schemas.openxmlformats.org/spreadsheetml/2006/main" r="AK245" s="11" t="inlineStr">
        <ns0:is>
          <ns0:t>Nominal C; DFmax at 1kHz; minimum insulation; no temperature/bias/ESL</ns0:t>
        </ns0:is>
      </ns0:c>
      <ns0:c xmlns:ns0="http://schemas.openxmlformats.org/spreadsheetml/2006/main" r="AL245" s="11" t="inlineStr">
        <ns0:is>
          <ns0:t>General</ns0:t>
        </ns0:is>
      </ns0:c>
      <ns0:c xmlns:ns0="http://schemas.openxmlformats.org/spreadsheetml/2006/main" r="AM245" s="11" t="inlineStr">
        <ns0:is>
          <ns0:t>Spice Subcircuit</ns0:t>
        </ns0:is>
      </ns0:c>
      <ns0:c xmlns:ns0="http://schemas.openxmlformats.org/spreadsheetml/2006/main" r="AN245" s="11" t="inlineStr">
        <ns0:is>
          <ns0:t>@DESIGNATOR %1 %2 @MODEL PARAMS: Cvalue=1e-10 Rsvalue=39788.7357729738 Rinsvalue=10000000000</ns0:t>
        </ns0:is>
      </ns0:c>
      <ns0:c xmlns:ns0="http://schemas.openxmlformats.org/spreadsheetml/2006/main" r="AO245" s="11" t="inlineStr">
        <ns0:is>
          <ns0:t>X</ns0:t>
        </ns0:is>
      </ns0:c>
      <ns0:c xmlns:ns0="http://schemas.openxmlformats.org/spreadsheetml/2006/main" r="AP245" s="11" t="inlineStr">
        <ns0:is>
          <ns0:t>(1:1),(2:2)</ns0:t>
        </ns0:is>
      </ns0:c>
      <ns0:c xmlns:ns0="http://schemas.openxmlformats.org/spreadsheetml/2006/main" r="AQ245" s="11" t="inlineStr">
        <ns0:is>
          <ns0:t>Simulation\Capacitors\MY_LIB_C_RC.ckt</ns0:t>
        </ns0:is>
      </ns0:c>
    </ns0:row>
    <ns0:row r="246" ht="30" customHeight="1">
      <ns0:c r="A246" t="str" s="14">
        <ns0:v>C0247</ns0:v>
      </ns0:c>
      <ns0:c r="B246" t="str" s="14">
        <ns0:v>Конденсатор</ns0:v>
      </ns0:c>
      <ns0:c r="C246" t="str" s="14">
        <ns0:v>150p</ns0:v>
      </ns0:c>
      <ns0:c r="D246" t="str" s="11">
        <ns0:f>SUBSTITUTE(SUBSTITUTE(SUBSTITUTE(SUBSTITUTE(C246,"p"," пФ"),"n"," нФ"),"u"," мкФ"),".",",")</ns0:f>
        <ns0:v>150 пФ</ns0:v>
      </ns0:c>
      <ns0:c r="E246" t="str" s="14">
        <ns0:v>±20%</ns0:v>
      </ns0:c>
      <ns0:c r="F246" s="14"/>
      <ns0:c r="G246" t="str" s="14">
        <ns0:v>100 В</ns0:v>
      </ns0:c>
      <ns0:c r="H246" t="str" s="14">
        <ns0:v>X7R</ns0:v>
      </ns0:c>
      <ns0:c r="I246" t="str" s="15">
        <ns0:v>0603</ns0:v>
      </ns0:c>
      <ns0:c r="J246" t="str" s="14">
        <ns0:v>YAGEO</ns0:v>
      </ns0:c>
      <ns0:c r="K246" t="str" s="14">
        <ns0:v>CC0603MRX7R0BB151</ns0:v>
      </ns0:c>
      <ns0:c r="L246" t="str" s="11">
        <ns0:f>B246&amp;" "&amp;D246&amp;" "&amp;E246&amp;" "&amp;G246&amp;" "&amp;H246&amp;" "&amp;I246</ns0:f>
        <ns0:v>Конденсатор 150 пФ ±20% 100 В X7R 0603</ns0:v>
      </ns0:c>
      <ns0:c r="M246" t="str" s="13">
        <ns0:v>C</ns0:v>
      </ns0:c>
      <ns0:c r="N246" t="str" s="13">
        <ns0:v>Symbols\MY_LIB_Capacitors.SchLib</ns0:v>
      </ns0:c>
      <ns0:c r="O246" t="str" s="13">
        <ns0:v>CAPC1608X90N</ns0:v>
      </ns0:c>
      <ns0:c r="P246" t="str" s="13">
        <ns0:v>Footprints\PBL - SMD Packages.PcbLib</ns0:v>
      </ns0:c>
      <ns0:c r="Q246" t="str" s="14">
        <ns0:v>YAGEO CC; список 20.10.2026</ns0:v>
      </ns0:c>
      <ns0:c r="R246" t="str" s="11">
        <ns0:f>D246</ns0:f>
        <ns0:v>150 пФ</ns0:v>
      </ns0:c>
      <ns0:c r="S246" t="str" s="11">
        <ns0:f>L246</ns0:f>
        <ns0:v>Конденсатор 150 пФ ±20% 100 В X7R 0603</ns0:v>
      </ns0:c>
      <x:c xmlns:x="http://schemas.openxmlformats.org/spreadsheetml/2006/main" r="T246" t="str" s="11">
        <x:v>C:\Users\Nomatin\Documents\Altium\MY_LIB\MY_LIB\Datasheets\YAGEO_CC_X7R.pdf</x:v>
      </x:c>
      <x:c xmlns:x="http://schemas.openxmlformats.org/spreadsheetml/2006/main" r="U246" t="str" s="11">
        <x:v>Даташит — локальный</x:v>
      </x:c>
      <x:c xmlns:x="http://schemas.openxmlformats.org/spreadsheetml/2006/main" r="V246" t="str" s="11">
        <x:v>C:\Users\Nomatin\Documents\Altium\MY_LIB\MY_LIB\Datasheets\YAGEO_CC_X7R.pdf</x:v>
      </x:c>
      <x:c xmlns:x="http://schemas.openxmlformats.org/spreadsheetml/2006/main" r="W246" t="str" s="11">
        <x:v>Даташит — производитель</x:v>
      </x:c>
      <x:c xmlns:x="http://schemas.openxmlformats.org/spreadsheetml/2006/main" r="X246" t="str" s="11">
        <x:v>https://yageogroup.com/content/datasheet/asset/file/UPY-GPHC_X7R_6_3V-TO-250V</x:v>
      </x:c>
      <x:c xmlns:x="http://schemas.openxmlformats.org/spreadsheetml/2006/main" r="Y246" t="str" s="11">
        <x:v>C:\Users\Nomatin\Documents\Altium\MY_LIB\MY_LIB\Datasheets\YAGEO_CC_X7R.pdf</x:v>
      </x:c>
      <ns0:c xmlns:ns0="http://schemas.openxmlformats.org/spreadsheetml/2006/main" r="Z246" s="11">
        <ns0:v>1.5e-10</ns0:v>
      </ns0:c>
      <ns0:c xmlns:ns0="http://schemas.openxmlformats.org/spreadsheetml/2006/main" r="AA246" s="11">
        <ns0:v>0.025</ns0:v>
      </ns0:c>
      <ns0:c xmlns:ns0="http://schemas.openxmlformats.org/spreadsheetml/2006/main" r="AB246" s="11">
        <ns0:v>1000</ns0:v>
      </ns0:c>
      <ns0:c xmlns:ns0="http://schemas.openxmlformats.org/spreadsheetml/2006/main" r="AC246" s="11">
        <ns0:v>1</ns0:v>
      </ns0:c>
      <ns0:c xmlns:ns0="http://schemas.openxmlformats.org/spreadsheetml/2006/main" r="AD246" s="11">
        <ns0:v>20</ns0:v>
      </ns0:c>
      <ns0:c xmlns:ns0="http://schemas.openxmlformats.org/spreadsheetml/2006/main" r="AE246" s="11">
        <ns0:v>500</ns0:v>
      </ns0:c>
      <ns0:c xmlns:ns0="http://schemas.openxmlformats.org/spreadsheetml/2006/main" r="AF246" s="11">
        <ns0:v>10000000000</ns0:v>
      </ns0:c>
      <ns0:c xmlns:ns0="http://schemas.openxmlformats.org/spreadsheetml/2006/main" r="AG246" s="11">
        <ns0:v>100</ns0:v>
      </ns0:c>
      <ns0:c xmlns:ns0="http://schemas.openxmlformats.org/spreadsheetml/2006/main" r="AH246" s="11">
        <ns0:v>60</ns0:v>
      </ns0:c>
      <ns0:c xmlns:ns0="http://schemas.openxmlformats.org/spreadsheetml/2006/main" r="AI246" s="11">
        <ns0:v>26525.8238486492</ns0:v>
      </ns0:c>
      <ns0:c xmlns:ns0="http://schemas.openxmlformats.org/spreadsheetml/2006/main" r="AJ246" s="11" t="inlineStr">
        <ns0:is>
          <ns0:t>MY_LIB_C_RC</ns0:t>
        </ns0:is>
      </ns0:c>
      <ns0:c xmlns:ns0="http://schemas.openxmlformats.org/spreadsheetml/2006/main" r="AK246" s="11" t="inlineStr">
        <ns0:is>
          <ns0:t>Nominal C; DFmax at 1kHz; minimum insulation; no temperature/bias/ESL</ns0:t>
        </ns0:is>
      </ns0:c>
      <ns0:c xmlns:ns0="http://schemas.openxmlformats.org/spreadsheetml/2006/main" r="AL246" s="11" t="inlineStr">
        <ns0:is>
          <ns0:t>General</ns0:t>
        </ns0:is>
      </ns0:c>
      <ns0:c xmlns:ns0="http://schemas.openxmlformats.org/spreadsheetml/2006/main" r="AM246" s="11" t="inlineStr">
        <ns0:is>
          <ns0:t>Spice Subcircuit</ns0:t>
        </ns0:is>
      </ns0:c>
      <ns0:c xmlns:ns0="http://schemas.openxmlformats.org/spreadsheetml/2006/main" r="AN246" s="11" t="inlineStr">
        <ns0:is>
          <ns0:t>@DESIGNATOR %1 %2 @MODEL PARAMS: Cvalue=1.5e-10 Rsvalue=26525.8238486492 Rinsvalue=10000000000</ns0:t>
        </ns0:is>
      </ns0:c>
      <ns0:c xmlns:ns0="http://schemas.openxmlformats.org/spreadsheetml/2006/main" r="AO246" s="11" t="inlineStr">
        <ns0:is>
          <ns0:t>X</ns0:t>
        </ns0:is>
      </ns0:c>
      <ns0:c xmlns:ns0="http://schemas.openxmlformats.org/spreadsheetml/2006/main" r="AP246" s="11" t="inlineStr">
        <ns0:is>
          <ns0:t>(1:1),(2:2)</ns0:t>
        </ns0:is>
      </ns0:c>
      <ns0:c xmlns:ns0="http://schemas.openxmlformats.org/spreadsheetml/2006/main" r="AQ246" s="11" t="inlineStr">
        <ns0:is>
          <ns0:t>Simulation\Capacitors\MY_LIB_C_RC.ckt</ns0:t>
        </ns0:is>
      </ns0:c>
    </ns0:row>
    <ns0:row r="247" ht="30" customHeight="1">
      <ns0:c r="A247" t="str" s="14">
        <ns0:v>C0248</ns0:v>
      </ns0:c>
      <ns0:c r="B247" t="str" s="14">
        <ns0:v>Конденсатор</ns0:v>
      </ns0:c>
      <ns0:c r="C247" t="str" s="14">
        <ns0:v>220p</ns0:v>
      </ns0:c>
      <ns0:c r="D247" t="str" s="11">
        <ns0:f>SUBSTITUTE(SUBSTITUTE(SUBSTITUTE(SUBSTITUTE(C247,"p"," пФ"),"n"," нФ"),"u"," мкФ"),".",",")</ns0:f>
        <ns0:v>220 пФ</ns0:v>
      </ns0:c>
      <ns0:c r="E247" t="str" s="14">
        <ns0:v>±20%</ns0:v>
      </ns0:c>
      <ns0:c r="F247" s="14"/>
      <ns0:c r="G247" t="str" s="14">
        <ns0:v>100 В</ns0:v>
      </ns0:c>
      <ns0:c r="H247" t="str" s="14">
        <ns0:v>X7R</ns0:v>
      </ns0:c>
      <ns0:c r="I247" t="str" s="15">
        <ns0:v>0603</ns0:v>
      </ns0:c>
      <ns0:c r="J247" t="str" s="14">
        <ns0:v>YAGEO</ns0:v>
      </ns0:c>
      <ns0:c r="K247" t="str" s="14">
        <ns0:v>CC0603MRX7R0BB221</ns0:v>
      </ns0:c>
      <ns0:c r="L247" t="str" s="11">
        <ns0:f>B247&amp;" "&amp;D247&amp;" "&amp;E247&amp;" "&amp;G247&amp;" "&amp;H247&amp;" "&amp;I247</ns0:f>
        <ns0:v>Конденсатор 220 пФ ±20% 100 В X7R 0603</ns0:v>
      </ns0:c>
      <ns0:c r="M247" t="str" s="13">
        <ns0:v>C</ns0:v>
      </ns0:c>
      <ns0:c r="N247" t="str" s="13">
        <ns0:v>Symbols\MY_LIB_Capacitors.SchLib</ns0:v>
      </ns0:c>
      <ns0:c r="O247" t="str" s="13">
        <ns0:v>CAPC1608X90N</ns0:v>
      </ns0:c>
      <ns0:c r="P247" t="str" s="13">
        <ns0:v>Footprints\PBL - SMD Packages.PcbLib</ns0:v>
      </ns0:c>
      <ns0:c r="Q247" t="str" s="14">
        <ns0:v>YAGEO CC; список 20.10.2026</ns0:v>
      </ns0:c>
      <ns0:c r="R247" t="str" s="11">
        <ns0:f>D247</ns0:f>
        <ns0:v>220 пФ</ns0:v>
      </ns0:c>
      <ns0:c r="S247" t="str" s="11">
        <ns0:f>L247</ns0:f>
        <ns0:v>Конденсатор 220 пФ ±20% 100 В X7R 0603</ns0:v>
      </ns0:c>
      <x:c xmlns:x="http://schemas.openxmlformats.org/spreadsheetml/2006/main" r="T247" t="str" s="11">
        <x:v>C:\Users\Nomatin\Documents\Altium\MY_LIB\MY_LIB\Datasheets\YAGEO_CC_X7R.pdf</x:v>
      </x:c>
      <x:c xmlns:x="http://schemas.openxmlformats.org/spreadsheetml/2006/main" r="U247" t="str" s="11">
        <x:v>Даташит — локальный</x:v>
      </x:c>
      <x:c xmlns:x="http://schemas.openxmlformats.org/spreadsheetml/2006/main" r="V247" t="str" s="11">
        <x:v>C:\Users\Nomatin\Documents\Altium\MY_LIB\MY_LIB\Datasheets\YAGEO_CC_X7R.pdf</x:v>
      </x:c>
      <x:c xmlns:x="http://schemas.openxmlformats.org/spreadsheetml/2006/main" r="W247" t="str" s="11">
        <x:v>Даташит — производитель</x:v>
      </x:c>
      <x:c xmlns:x="http://schemas.openxmlformats.org/spreadsheetml/2006/main" r="X247" t="str" s="11">
        <x:v>https://yageogroup.com/content/datasheet/asset/file/UPY-GPHC_X7R_6_3V-TO-250V</x:v>
      </x:c>
      <x:c xmlns:x="http://schemas.openxmlformats.org/spreadsheetml/2006/main" r="Y247" t="str" s="11">
        <x:v>C:\Users\Nomatin\Documents\Altium\MY_LIB\MY_LIB\Datasheets\YAGEO_CC_X7R.pdf</x:v>
      </x:c>
      <ns0:c xmlns:ns0="http://schemas.openxmlformats.org/spreadsheetml/2006/main" r="Z247" s="11">
        <ns0:v>2.2e-10</ns0:v>
      </ns0:c>
      <ns0:c xmlns:ns0="http://schemas.openxmlformats.org/spreadsheetml/2006/main" r="AA247" s="11">
        <ns0:v>0.025</ns0:v>
      </ns0:c>
      <ns0:c xmlns:ns0="http://schemas.openxmlformats.org/spreadsheetml/2006/main" r="AB247" s="11">
        <ns0:v>1000</ns0:v>
      </ns0:c>
      <ns0:c xmlns:ns0="http://schemas.openxmlformats.org/spreadsheetml/2006/main" r="AC247" s="11">
        <ns0:v>1</ns0:v>
      </ns0:c>
      <ns0:c xmlns:ns0="http://schemas.openxmlformats.org/spreadsheetml/2006/main" r="AD247" s="11">
        <ns0:v>20</ns0:v>
      </ns0:c>
      <ns0:c xmlns:ns0="http://schemas.openxmlformats.org/spreadsheetml/2006/main" r="AE247" s="11">
        <ns0:v>500</ns0:v>
      </ns0:c>
      <ns0:c xmlns:ns0="http://schemas.openxmlformats.org/spreadsheetml/2006/main" r="AF247" s="11">
        <ns0:v>10000000000</ns0:v>
      </ns0:c>
      <ns0:c xmlns:ns0="http://schemas.openxmlformats.org/spreadsheetml/2006/main" r="AG247" s="11">
        <ns0:v>100</ns0:v>
      </ns0:c>
      <ns0:c xmlns:ns0="http://schemas.openxmlformats.org/spreadsheetml/2006/main" r="AH247" s="11">
        <ns0:v>60</ns0:v>
      </ns0:c>
      <ns0:c xmlns:ns0="http://schemas.openxmlformats.org/spreadsheetml/2006/main" r="AI247" s="11">
        <ns0:v>18085.7889877154</ns0:v>
      </ns0:c>
      <ns0:c xmlns:ns0="http://schemas.openxmlformats.org/spreadsheetml/2006/main" r="AJ247" s="11" t="inlineStr">
        <ns0:is>
          <ns0:t>MY_LIB_C_RC</ns0:t>
        </ns0:is>
      </ns0:c>
      <ns0:c xmlns:ns0="http://schemas.openxmlformats.org/spreadsheetml/2006/main" r="AK247" s="11" t="inlineStr">
        <ns0:is>
          <ns0:t>Nominal C; DFmax at 1kHz; minimum insulation; no temperature/bias/ESL</ns0:t>
        </ns0:is>
      </ns0:c>
      <ns0:c xmlns:ns0="http://schemas.openxmlformats.org/spreadsheetml/2006/main" r="AL247" s="11" t="inlineStr">
        <ns0:is>
          <ns0:t>General</ns0:t>
        </ns0:is>
      </ns0:c>
      <ns0:c xmlns:ns0="http://schemas.openxmlformats.org/spreadsheetml/2006/main" r="AM247" s="11" t="inlineStr">
        <ns0:is>
          <ns0:t>Spice Subcircuit</ns0:t>
        </ns0:is>
      </ns0:c>
      <ns0:c xmlns:ns0="http://schemas.openxmlformats.org/spreadsheetml/2006/main" r="AN247" s="11" t="inlineStr">
        <ns0:is>
          <ns0:t>@DESIGNATOR %1 %2 @MODEL PARAMS: Cvalue=2.2e-10 Rsvalue=18085.7889877154 Rinsvalue=10000000000</ns0:t>
        </ns0:is>
      </ns0:c>
      <ns0:c xmlns:ns0="http://schemas.openxmlformats.org/spreadsheetml/2006/main" r="AO247" s="11" t="inlineStr">
        <ns0:is>
          <ns0:t>X</ns0:t>
        </ns0:is>
      </ns0:c>
      <ns0:c xmlns:ns0="http://schemas.openxmlformats.org/spreadsheetml/2006/main" r="AP247" s="11" t="inlineStr">
        <ns0:is>
          <ns0:t>(1:1),(2:2)</ns0:t>
        </ns0:is>
      </ns0:c>
      <ns0:c xmlns:ns0="http://schemas.openxmlformats.org/spreadsheetml/2006/main" r="AQ247" s="11" t="inlineStr">
        <ns0:is>
          <ns0:t>Simulation\Capacitors\MY_LIB_C_RC.ckt</ns0:t>
        </ns0:is>
      </ns0:c>
    </ns0:row>
    <ns0:row r="248" ht="30" customHeight="1">
      <ns0:c r="A248" t="str" s="14">
        <ns0:v>C0249</ns0:v>
      </ns0:c>
      <ns0:c r="B248" t="str" s="14">
        <ns0:v>Конденсатор</ns0:v>
      </ns0:c>
      <ns0:c r="C248" t="str" s="14">
        <ns0:v>270p</ns0:v>
      </ns0:c>
      <ns0:c r="D248" t="str" s="11">
        <ns0:f>SUBSTITUTE(SUBSTITUTE(SUBSTITUTE(SUBSTITUTE(C248,"p"," пФ"),"n"," нФ"),"u"," мкФ"),".",",")</ns0:f>
        <ns0:v>270 пФ</ns0:v>
      </ns0:c>
      <ns0:c r="E248" t="str" s="14">
        <ns0:v>±20%</ns0:v>
      </ns0:c>
      <ns0:c r="F248" s="14"/>
      <ns0:c r="G248" t="str" s="14">
        <ns0:v>50 В</ns0:v>
      </ns0:c>
      <ns0:c r="H248" t="str" s="14">
        <ns0:v>X7R</ns0:v>
      </ns0:c>
      <ns0:c r="I248" t="str" s="15">
        <ns0:v>0603</ns0:v>
      </ns0:c>
      <ns0:c r="J248" t="str" s="14">
        <ns0:v>YAGEO</ns0:v>
      </ns0:c>
      <ns0:c r="K248" t="str" s="14">
        <ns0:v>CC0603MRX7R9BB271</ns0:v>
      </ns0:c>
      <ns0:c r="L248" t="str" s="11">
        <ns0:f>B248&amp;" "&amp;D248&amp;" "&amp;E248&amp;" "&amp;G248&amp;" "&amp;H248&amp;" "&amp;I248</ns0:f>
        <ns0:v>Конденсатор 270 пФ ±20% 50 В X7R 0603</ns0:v>
      </ns0:c>
      <ns0:c r="M248" t="str" s="13">
        <ns0:v>C</ns0:v>
      </ns0:c>
      <ns0:c r="N248" t="str" s="13">
        <ns0:v>Symbols\MY_LIB_Capacitors.SchLib</ns0:v>
      </ns0:c>
      <ns0:c r="O248" t="str" s="13">
        <ns0:v>CAPC1608X90N</ns0:v>
      </ns0:c>
      <ns0:c r="P248" t="str" s="13">
        <ns0:v>Footprints\PBL - SMD Packages.PcbLib</ns0:v>
      </ns0:c>
      <ns0:c r="Q248" t="str" s="14">
        <ns0:v>YAGEO CC; список 20.10.2026</ns0:v>
      </ns0:c>
      <ns0:c r="R248" t="str" s="11">
        <ns0:f>D248</ns0:f>
        <ns0:v>270 пФ</ns0:v>
      </ns0:c>
      <ns0:c r="S248" t="str" s="11">
        <ns0:f>L248</ns0:f>
        <ns0:v>Конденсатор 270 пФ ±20% 50 В X7R 0603</ns0:v>
      </ns0:c>
      <x:c xmlns:x="http://schemas.openxmlformats.org/spreadsheetml/2006/main" r="T248" t="str" s="11">
        <x:v>C:\Users\Nomatin\Documents\Altium\MY_LIB\MY_LIB\Datasheets\YAGEO_CC_X7R.pdf</x:v>
      </x:c>
      <x:c xmlns:x="http://schemas.openxmlformats.org/spreadsheetml/2006/main" r="U248" t="str" s="11">
        <x:v>Даташит — локальный</x:v>
      </x:c>
      <x:c xmlns:x="http://schemas.openxmlformats.org/spreadsheetml/2006/main" r="V248" t="str" s="11">
        <x:v>C:\Users\Nomatin\Documents\Altium\MY_LIB\MY_LIB\Datasheets\YAGEO_CC_X7R.pdf</x:v>
      </x:c>
      <x:c xmlns:x="http://schemas.openxmlformats.org/spreadsheetml/2006/main" r="W248" t="str" s="11">
        <x:v>Даташит — производитель</x:v>
      </x:c>
      <x:c xmlns:x="http://schemas.openxmlformats.org/spreadsheetml/2006/main" r="X248" t="str" s="11">
        <x:v>https://yageogroup.com/content/datasheet/asset/file/UPY-GPHC_X7R_6_3V-TO-250V</x:v>
      </x:c>
      <x:c xmlns:x="http://schemas.openxmlformats.org/spreadsheetml/2006/main" r="Y248" t="str" s="11">
        <x:v>C:\Users\Nomatin\Documents\Altium\MY_LIB\MY_LIB\Datasheets\YAGEO_CC_X7R.pdf</x:v>
      </x:c>
      <ns0:c xmlns:ns0="http://schemas.openxmlformats.org/spreadsheetml/2006/main" r="Z248" s="11">
        <ns0:v>2.7e-10</ns0:v>
      </ns0:c>
      <ns0:c xmlns:ns0="http://schemas.openxmlformats.org/spreadsheetml/2006/main" r="AA248" s="11">
        <ns0:v>0.025</ns0:v>
      </ns0:c>
      <ns0:c xmlns:ns0="http://schemas.openxmlformats.org/spreadsheetml/2006/main" r="AB248" s="11">
        <ns0:v>1000</ns0:v>
      </ns0:c>
      <ns0:c xmlns:ns0="http://schemas.openxmlformats.org/spreadsheetml/2006/main" r="AC248" s="11">
        <ns0:v>1</ns0:v>
      </ns0:c>
      <ns0:c xmlns:ns0="http://schemas.openxmlformats.org/spreadsheetml/2006/main" r="AD248" s="11">
        <ns0:v>20</ns0:v>
      </ns0:c>
      <ns0:c xmlns:ns0="http://schemas.openxmlformats.org/spreadsheetml/2006/main" r="AE248" s="11">
        <ns0:v>500</ns0:v>
      </ns0:c>
      <ns0:c xmlns:ns0="http://schemas.openxmlformats.org/spreadsheetml/2006/main" r="AF248" s="11">
        <ns0:v>10000000000</ns0:v>
      </ns0:c>
      <ns0:c xmlns:ns0="http://schemas.openxmlformats.org/spreadsheetml/2006/main" r="AG248" s="11">
        <ns0:v>50</ns0:v>
      </ns0:c>
      <ns0:c xmlns:ns0="http://schemas.openxmlformats.org/spreadsheetml/2006/main" r="AH248" s="11">
        <ns0:v>60</ns0:v>
      </ns0:c>
      <ns0:c xmlns:ns0="http://schemas.openxmlformats.org/spreadsheetml/2006/main" r="AI248" s="11">
        <ns0:v>14736.5688048051</ns0:v>
      </ns0:c>
      <ns0:c xmlns:ns0="http://schemas.openxmlformats.org/spreadsheetml/2006/main" r="AJ248" s="11" t="inlineStr">
        <ns0:is>
          <ns0:t>MY_LIB_C_RC</ns0:t>
        </ns0:is>
      </ns0:c>
      <ns0:c xmlns:ns0="http://schemas.openxmlformats.org/spreadsheetml/2006/main" r="AK248" s="11" t="inlineStr">
        <ns0:is>
          <ns0:t>Nominal C; DFmax at 1kHz; minimum insulation; no temperature/bias/ESL</ns0:t>
        </ns0:is>
      </ns0:c>
      <ns0:c xmlns:ns0="http://schemas.openxmlformats.org/spreadsheetml/2006/main" r="AL248" s="11" t="inlineStr">
        <ns0:is>
          <ns0:t>General</ns0:t>
        </ns0:is>
      </ns0:c>
      <ns0:c xmlns:ns0="http://schemas.openxmlformats.org/spreadsheetml/2006/main" r="AM248" s="11" t="inlineStr">
        <ns0:is>
          <ns0:t>Spice Subcircuit</ns0:t>
        </ns0:is>
      </ns0:c>
      <ns0:c xmlns:ns0="http://schemas.openxmlformats.org/spreadsheetml/2006/main" r="AN248" s="11" t="inlineStr">
        <ns0:is>
          <ns0:t>@DESIGNATOR %1 %2 @MODEL PARAMS: Cvalue=2.7e-10 Rsvalue=14736.5688048051 Rinsvalue=10000000000</ns0:t>
        </ns0:is>
      </ns0:c>
      <ns0:c xmlns:ns0="http://schemas.openxmlformats.org/spreadsheetml/2006/main" r="AO248" s="11" t="inlineStr">
        <ns0:is>
          <ns0:t>X</ns0:t>
        </ns0:is>
      </ns0:c>
      <ns0:c xmlns:ns0="http://schemas.openxmlformats.org/spreadsheetml/2006/main" r="AP248" s="11" t="inlineStr">
        <ns0:is>
          <ns0:t>(1:1),(2:2)</ns0:t>
        </ns0:is>
      </ns0:c>
      <ns0:c xmlns:ns0="http://schemas.openxmlformats.org/spreadsheetml/2006/main" r="AQ248" s="11" t="inlineStr">
        <ns0:is>
          <ns0:t>Simulation\Capacitors\MY_LIB_C_RC.ckt</ns0:t>
        </ns0:is>
      </ns0:c>
    </ns0:row>
    <ns0:row r="249" ht="30" customHeight="1">
      <ns0:c r="A249" t="str" s="14">
        <ns0:v>C0250</ns0:v>
      </ns0:c>
      <ns0:c r="B249" t="str" s="14">
        <ns0:v>Конденсатор</ns0:v>
      </ns0:c>
      <ns0:c r="C249" t="str" s="14">
        <ns0:v>330p</ns0:v>
      </ns0:c>
      <ns0:c r="D249" t="str" s="11">
        <ns0:f>SUBSTITUTE(SUBSTITUTE(SUBSTITUTE(SUBSTITUTE(C249,"p"," пФ"),"n"," нФ"),"u"," мкФ"),".",",")</ns0:f>
        <ns0:v>330 пФ</ns0:v>
      </ns0:c>
      <ns0:c r="E249" t="str" s="14">
        <ns0:v>±20%</ns0:v>
      </ns0:c>
      <ns0:c r="F249" s="14"/>
      <ns0:c r="G249" t="str" s="14">
        <ns0:v>100 В</ns0:v>
      </ns0:c>
      <ns0:c r="H249" t="str" s="14">
        <ns0:v>X7R</ns0:v>
      </ns0:c>
      <ns0:c r="I249" t="str" s="15">
        <ns0:v>0603</ns0:v>
      </ns0:c>
      <ns0:c r="J249" t="str" s="14">
        <ns0:v>YAGEO</ns0:v>
      </ns0:c>
      <ns0:c r="K249" t="str" s="14">
        <ns0:v>CC0603MRX7R0BB331</ns0:v>
      </ns0:c>
      <ns0:c r="L249" t="str" s="11">
        <ns0:f>B249&amp;" "&amp;D249&amp;" "&amp;E249&amp;" "&amp;G249&amp;" "&amp;H249&amp;" "&amp;I249</ns0:f>
        <ns0:v>Конденсатор 330 пФ ±20% 100 В X7R 0603</ns0:v>
      </ns0:c>
      <ns0:c r="M249" t="str" s="13">
        <ns0:v>C</ns0:v>
      </ns0:c>
      <ns0:c r="N249" t="str" s="13">
        <ns0:v>Symbols\MY_LIB_Capacitors.SchLib</ns0:v>
      </ns0:c>
      <ns0:c r="O249" t="str" s="13">
        <ns0:v>CAPC1608X90N</ns0:v>
      </ns0:c>
      <ns0:c r="P249" t="str" s="13">
        <ns0:v>Footprints\PBL - SMD Packages.PcbLib</ns0:v>
      </ns0:c>
      <ns0:c r="Q249" t="str" s="14">
        <ns0:v>YAGEO CC; список 20.10.2026</ns0:v>
      </ns0:c>
      <ns0:c r="R249" t="str" s="11">
        <ns0:f>D249</ns0:f>
        <ns0:v>330 пФ</ns0:v>
      </ns0:c>
      <ns0:c r="S249" t="str" s="11">
        <ns0:f>L249</ns0:f>
        <ns0:v>Конденсатор 330 пФ ±20% 100 В X7R 0603</ns0:v>
      </ns0:c>
      <x:c xmlns:x="http://schemas.openxmlformats.org/spreadsheetml/2006/main" r="T249" t="str" s="11">
        <x:v>C:\Users\Nomatin\Documents\Altium\MY_LIB\MY_LIB\Datasheets\YAGEO_CC_X7R.pdf</x:v>
      </x:c>
      <x:c xmlns:x="http://schemas.openxmlformats.org/spreadsheetml/2006/main" r="U249" t="str" s="11">
        <x:v>Даташит — локальный</x:v>
      </x:c>
      <x:c xmlns:x="http://schemas.openxmlformats.org/spreadsheetml/2006/main" r="V249" t="str" s="11">
        <x:v>C:\Users\Nomatin\Documents\Altium\MY_LIB\MY_LIB\Datasheets\YAGEO_CC_X7R.pdf</x:v>
      </x:c>
      <x:c xmlns:x="http://schemas.openxmlformats.org/spreadsheetml/2006/main" r="W249" t="str" s="11">
        <x:v>Даташит — производитель</x:v>
      </x:c>
      <x:c xmlns:x="http://schemas.openxmlformats.org/spreadsheetml/2006/main" r="X249" t="str" s="11">
        <x:v>https://yageogroup.com/content/datasheet/asset/file/UPY-GPHC_X7R_6_3V-TO-250V</x:v>
      </x:c>
      <x:c xmlns:x="http://schemas.openxmlformats.org/spreadsheetml/2006/main" r="Y249" t="str" s="11">
        <x:v>C:\Users\Nomatin\Documents\Altium\MY_LIB\MY_LIB\Datasheets\YAGEO_CC_X7R.pdf</x:v>
      </x:c>
      <ns0:c xmlns:ns0="http://schemas.openxmlformats.org/spreadsheetml/2006/main" r="Z249" s="11">
        <ns0:v>3.3e-10</ns0:v>
      </ns0:c>
      <ns0:c xmlns:ns0="http://schemas.openxmlformats.org/spreadsheetml/2006/main" r="AA249" s="11">
        <ns0:v>0.025</ns0:v>
      </ns0:c>
      <ns0:c xmlns:ns0="http://schemas.openxmlformats.org/spreadsheetml/2006/main" r="AB249" s="11">
        <ns0:v>1000</ns0:v>
      </ns0:c>
      <ns0:c xmlns:ns0="http://schemas.openxmlformats.org/spreadsheetml/2006/main" r="AC249" s="11">
        <ns0:v>1</ns0:v>
      </ns0:c>
      <ns0:c xmlns:ns0="http://schemas.openxmlformats.org/spreadsheetml/2006/main" r="AD249" s="11">
        <ns0:v>20</ns0:v>
      </ns0:c>
      <ns0:c xmlns:ns0="http://schemas.openxmlformats.org/spreadsheetml/2006/main" r="AE249" s="11">
        <ns0:v>500</ns0:v>
      </ns0:c>
      <ns0:c xmlns:ns0="http://schemas.openxmlformats.org/spreadsheetml/2006/main" r="AF249" s="11">
        <ns0:v>10000000000</ns0:v>
      </ns0:c>
      <ns0:c xmlns:ns0="http://schemas.openxmlformats.org/spreadsheetml/2006/main" r="AG249" s="11">
        <ns0:v>100</ns0:v>
      </ns0:c>
      <ns0:c xmlns:ns0="http://schemas.openxmlformats.org/spreadsheetml/2006/main" r="AH249" s="11">
        <ns0:v>60</ns0:v>
      </ns0:c>
      <ns0:c xmlns:ns0="http://schemas.openxmlformats.org/spreadsheetml/2006/main" r="AI249" s="11">
        <ns0:v>12057.1926584769</ns0:v>
      </ns0:c>
      <ns0:c xmlns:ns0="http://schemas.openxmlformats.org/spreadsheetml/2006/main" r="AJ249" s="11" t="inlineStr">
        <ns0:is>
          <ns0:t>MY_LIB_C_RC</ns0:t>
        </ns0:is>
      </ns0:c>
      <ns0:c xmlns:ns0="http://schemas.openxmlformats.org/spreadsheetml/2006/main" r="AK249" s="11" t="inlineStr">
        <ns0:is>
          <ns0:t>Nominal C; DFmax at 1kHz; minimum insulation; no temperature/bias/ESL</ns0:t>
        </ns0:is>
      </ns0:c>
      <ns0:c xmlns:ns0="http://schemas.openxmlformats.org/spreadsheetml/2006/main" r="AL249" s="11" t="inlineStr">
        <ns0:is>
          <ns0:t>General</ns0:t>
        </ns0:is>
      </ns0:c>
      <ns0:c xmlns:ns0="http://schemas.openxmlformats.org/spreadsheetml/2006/main" r="AM249" s="11" t="inlineStr">
        <ns0:is>
          <ns0:t>Spice Subcircuit</ns0:t>
        </ns0:is>
      </ns0:c>
      <ns0:c xmlns:ns0="http://schemas.openxmlformats.org/spreadsheetml/2006/main" r="AN249" s="11" t="inlineStr">
        <ns0:is>
          <ns0:t>@DESIGNATOR %1 %2 @MODEL PARAMS: Cvalue=3.3e-10 Rsvalue=12057.1926584769 Rinsvalue=10000000000</ns0:t>
        </ns0:is>
      </ns0:c>
      <ns0:c xmlns:ns0="http://schemas.openxmlformats.org/spreadsheetml/2006/main" r="AO249" s="11" t="inlineStr">
        <ns0:is>
          <ns0:t>X</ns0:t>
        </ns0:is>
      </ns0:c>
      <ns0:c xmlns:ns0="http://schemas.openxmlformats.org/spreadsheetml/2006/main" r="AP249" s="11" t="inlineStr">
        <ns0:is>
          <ns0:t>(1:1),(2:2)</ns0:t>
        </ns0:is>
      </ns0:c>
      <ns0:c xmlns:ns0="http://schemas.openxmlformats.org/spreadsheetml/2006/main" r="AQ249" s="11" t="inlineStr">
        <ns0:is>
          <ns0:t>Simulation\Capacitors\MY_LIB_C_RC.ckt</ns0:t>
        </ns0:is>
      </ns0:c>
    </ns0:row>
    <ns0:row r="250" ht="30" customHeight="1">
      <ns0:c r="A250" t="str" s="14">
        <ns0:v>C0251</ns0:v>
      </ns0:c>
      <ns0:c r="B250" t="str" s="14">
        <ns0:v>Конденсатор</ns0:v>
      </ns0:c>
      <ns0:c r="C250" t="str" s="14">
        <ns0:v>470p</ns0:v>
      </ns0:c>
      <ns0:c r="D250" t="str" s="11">
        <ns0:f>SUBSTITUTE(SUBSTITUTE(SUBSTITUTE(SUBSTITUTE(C250,"p"," пФ"),"n"," нФ"),"u"," мкФ"),".",",")</ns0:f>
        <ns0:v>470 пФ</ns0:v>
      </ns0:c>
      <ns0:c r="E250" t="str" s="14">
        <ns0:v>±20%</ns0:v>
      </ns0:c>
      <ns0:c r="F250" s="14"/>
      <ns0:c r="G250" t="str" s="14">
        <ns0:v>100 В</ns0:v>
      </ns0:c>
      <ns0:c r="H250" t="str" s="14">
        <ns0:v>X7R</ns0:v>
      </ns0:c>
      <ns0:c r="I250" t="str" s="15">
        <ns0:v>0603</ns0:v>
      </ns0:c>
      <ns0:c r="J250" t="str" s="14">
        <ns0:v>YAGEO</ns0:v>
      </ns0:c>
      <ns0:c r="K250" t="str" s="14">
        <ns0:v>CC0603MRX7R0BB471</ns0:v>
      </ns0:c>
      <ns0:c r="L250" t="str" s="11">
        <ns0:f>B250&amp;" "&amp;D250&amp;" "&amp;E250&amp;" "&amp;G250&amp;" "&amp;H250&amp;" "&amp;I250</ns0:f>
        <ns0:v>Конденсатор 470 пФ ±20% 100 В X7R 0603</ns0:v>
      </ns0:c>
      <ns0:c r="M250" t="str" s="13">
        <ns0:v>C</ns0:v>
      </ns0:c>
      <ns0:c r="N250" t="str" s="13">
        <ns0:v>Symbols\MY_LIB_Capacitors.SchLib</ns0:v>
      </ns0:c>
      <ns0:c r="O250" t="str" s="13">
        <ns0:v>CAPC1608X90N</ns0:v>
      </ns0:c>
      <ns0:c r="P250" t="str" s="13">
        <ns0:v>Footprints\PBL - SMD Packages.PcbLib</ns0:v>
      </ns0:c>
      <ns0:c r="Q250" t="str" s="14">
        <ns0:v>YAGEO CC; список 20.10.2026</ns0:v>
      </ns0:c>
      <ns0:c r="R250" t="str" s="11">
        <ns0:f>D250</ns0:f>
        <ns0:v>470 пФ</ns0:v>
      </ns0:c>
      <ns0:c r="S250" t="str" s="11">
        <ns0:f>L250</ns0:f>
        <ns0:v>Конденсатор 470 пФ ±20% 100 В X7R 0603</ns0:v>
      </ns0:c>
      <x:c xmlns:x="http://schemas.openxmlformats.org/spreadsheetml/2006/main" r="T250" t="str" s="11">
        <x:v>C:\Users\Nomatin\Documents\Altium\MY_LIB\MY_LIB\Datasheets\YAGEO_CC_X7R.pdf</x:v>
      </x:c>
      <x:c xmlns:x="http://schemas.openxmlformats.org/spreadsheetml/2006/main" r="U250" t="str" s="11">
        <x:v>Даташит — локальный</x:v>
      </x:c>
      <x:c xmlns:x="http://schemas.openxmlformats.org/spreadsheetml/2006/main" r="V250" t="str" s="11">
        <x:v>C:\Users\Nomatin\Documents\Altium\MY_LIB\MY_LIB\Datasheets\YAGEO_CC_X7R.pdf</x:v>
      </x:c>
      <x:c xmlns:x="http://schemas.openxmlformats.org/spreadsheetml/2006/main" r="W250" t="str" s="11">
        <x:v>Даташит — производитель</x:v>
      </x:c>
      <x:c xmlns:x="http://schemas.openxmlformats.org/spreadsheetml/2006/main" r="X250" t="str" s="11">
        <x:v>https://yageogroup.com/content/datasheet/asset/file/UPY-GPHC_X7R_6_3V-TO-250V</x:v>
      </x:c>
      <x:c xmlns:x="http://schemas.openxmlformats.org/spreadsheetml/2006/main" r="Y250" t="str" s="11">
        <x:v>C:\Users\Nomatin\Documents\Altium\MY_LIB\MY_LIB\Datasheets\YAGEO_CC_X7R.pdf</x:v>
      </x:c>
      <ns0:c xmlns:ns0="http://schemas.openxmlformats.org/spreadsheetml/2006/main" r="Z250" s="11">
        <ns0:v>4.7e-10</ns0:v>
      </ns0:c>
      <ns0:c xmlns:ns0="http://schemas.openxmlformats.org/spreadsheetml/2006/main" r="AA250" s="11">
        <ns0:v>0.025</ns0:v>
      </ns0:c>
      <ns0:c xmlns:ns0="http://schemas.openxmlformats.org/spreadsheetml/2006/main" r="AB250" s="11">
        <ns0:v>1000</ns0:v>
      </ns0:c>
      <ns0:c xmlns:ns0="http://schemas.openxmlformats.org/spreadsheetml/2006/main" r="AC250" s="11">
        <ns0:v>1</ns0:v>
      </ns0:c>
      <ns0:c xmlns:ns0="http://schemas.openxmlformats.org/spreadsheetml/2006/main" r="AD250" s="11">
        <ns0:v>20</ns0:v>
      </ns0:c>
      <ns0:c xmlns:ns0="http://schemas.openxmlformats.org/spreadsheetml/2006/main" r="AE250" s="11">
        <ns0:v>500</ns0:v>
      </ns0:c>
      <ns0:c xmlns:ns0="http://schemas.openxmlformats.org/spreadsheetml/2006/main" r="AF250" s="11">
        <ns0:v>10000000000</ns0:v>
      </ns0:c>
      <ns0:c xmlns:ns0="http://schemas.openxmlformats.org/spreadsheetml/2006/main" r="AG250" s="11">
        <ns0:v>100</ns0:v>
      </ns0:c>
      <ns0:c xmlns:ns0="http://schemas.openxmlformats.org/spreadsheetml/2006/main" r="AH250" s="11">
        <ns0:v>60</ns0:v>
      </ns0:c>
      <ns0:c xmlns:ns0="http://schemas.openxmlformats.org/spreadsheetml/2006/main" r="AI250" s="11">
        <ns0:v>8465.68846233486</ns0:v>
      </ns0:c>
      <ns0:c xmlns:ns0="http://schemas.openxmlformats.org/spreadsheetml/2006/main" r="AJ250" s="11" t="inlineStr">
        <ns0:is>
          <ns0:t>MY_LIB_C_RC</ns0:t>
        </ns0:is>
      </ns0:c>
      <ns0:c xmlns:ns0="http://schemas.openxmlformats.org/spreadsheetml/2006/main" r="AK250" s="11" t="inlineStr">
        <ns0:is>
          <ns0:t>Nominal C; DFmax at 1kHz; minimum insulation; no temperature/bias/ESL</ns0:t>
        </ns0:is>
      </ns0:c>
      <ns0:c xmlns:ns0="http://schemas.openxmlformats.org/spreadsheetml/2006/main" r="AL250" s="11" t="inlineStr">
        <ns0:is>
          <ns0:t>General</ns0:t>
        </ns0:is>
      </ns0:c>
      <ns0:c xmlns:ns0="http://schemas.openxmlformats.org/spreadsheetml/2006/main" r="AM250" s="11" t="inlineStr">
        <ns0:is>
          <ns0:t>Spice Subcircuit</ns0:t>
        </ns0:is>
      </ns0:c>
      <ns0:c xmlns:ns0="http://schemas.openxmlformats.org/spreadsheetml/2006/main" r="AN250" s="11" t="inlineStr">
        <ns0:is>
          <ns0:t>@DESIGNATOR %1 %2 @MODEL PARAMS: Cvalue=4.7e-10 Rsvalue=8465.68846233486 Rinsvalue=10000000000</ns0:t>
        </ns0:is>
      </ns0:c>
      <ns0:c xmlns:ns0="http://schemas.openxmlformats.org/spreadsheetml/2006/main" r="AO250" s="11" t="inlineStr">
        <ns0:is>
          <ns0:t>X</ns0:t>
        </ns0:is>
      </ns0:c>
      <ns0:c xmlns:ns0="http://schemas.openxmlformats.org/spreadsheetml/2006/main" r="AP250" s="11" t="inlineStr">
        <ns0:is>
          <ns0:t>(1:1),(2:2)</ns0:t>
        </ns0:is>
      </ns0:c>
      <ns0:c xmlns:ns0="http://schemas.openxmlformats.org/spreadsheetml/2006/main" r="AQ250" s="11" t="inlineStr">
        <ns0:is>
          <ns0:t>Simulation\Capacitors\MY_LIB_C_RC.ckt</ns0:t>
        </ns0:is>
      </ns0:c>
    </ns0:row>
    <ns0:row r="251" ht="30" customHeight="1">
      <ns0:c r="A251" t="str" s="14">
        <ns0:v>C0252</ns0:v>
      </ns0:c>
      <ns0:c r="B251" t="str" s="14">
        <ns0:v>Конденсатор</ns0:v>
      </ns0:c>
      <ns0:c r="C251" t="str" s="14">
        <ns0:v>560p</ns0:v>
      </ns0:c>
      <ns0:c r="D251" t="str" s="11">
        <ns0:f>SUBSTITUTE(SUBSTITUTE(SUBSTITUTE(SUBSTITUTE(C251,"p"," пФ"),"n"," нФ"),"u"," мкФ"),".",",")</ns0:f>
        <ns0:v>560 пФ</ns0:v>
      </ns0:c>
      <ns0:c r="E251" t="str" s="14">
        <ns0:v>±20%</ns0:v>
      </ns0:c>
      <ns0:c r="F251" s="14"/>
      <ns0:c r="G251" t="str" s="14">
        <ns0:v>50 В</ns0:v>
      </ns0:c>
      <ns0:c r="H251" t="str" s="14">
        <ns0:v>X7R</ns0:v>
      </ns0:c>
      <ns0:c r="I251" t="str" s="15">
        <ns0:v>0603</ns0:v>
      </ns0:c>
      <ns0:c r="J251" t="str" s="14">
        <ns0:v>YAGEO</ns0:v>
      </ns0:c>
      <ns0:c r="K251" t="str" s="14">
        <ns0:v>CC0603MRX7R9BB561</ns0:v>
      </ns0:c>
      <ns0:c r="L251" t="str" s="11">
        <ns0:f>B251&amp;" "&amp;D251&amp;" "&amp;E251&amp;" "&amp;G251&amp;" "&amp;H251&amp;" "&amp;I251</ns0:f>
        <ns0:v>Конденсатор 560 пФ ±20% 50 В X7R 0603</ns0:v>
      </ns0:c>
      <ns0:c r="M251" t="str" s="13">
        <ns0:v>C</ns0:v>
      </ns0:c>
      <ns0:c r="N251" t="str" s="13">
        <ns0:v>Symbols\MY_LIB_Capacitors.SchLib</ns0:v>
      </ns0:c>
      <ns0:c r="O251" t="str" s="13">
        <ns0:v>CAPC1608X90N</ns0:v>
      </ns0:c>
      <ns0:c r="P251" t="str" s="13">
        <ns0:v>Footprints\PBL - SMD Packages.PcbLib</ns0:v>
      </ns0:c>
      <ns0:c r="Q251" t="str" s="14">
        <ns0:v>YAGEO CC; список 20.10.2026</ns0:v>
      </ns0:c>
      <ns0:c r="R251" t="str" s="11">
        <ns0:f>D251</ns0:f>
        <ns0:v>560 пФ</ns0:v>
      </ns0:c>
      <ns0:c r="S251" t="str" s="11">
        <ns0:f>L251</ns0:f>
        <ns0:v>Конденсатор 560 пФ ±20% 50 В X7R 0603</ns0:v>
      </ns0:c>
      <x:c xmlns:x="http://schemas.openxmlformats.org/spreadsheetml/2006/main" r="T251" t="str" s="11">
        <x:v>C:\Users\Nomatin\Documents\Altium\MY_LIB\MY_LIB\Datasheets\YAGEO_CC_X7R.pdf</x:v>
      </x:c>
      <x:c xmlns:x="http://schemas.openxmlformats.org/spreadsheetml/2006/main" r="U251" t="str" s="11">
        <x:v>Даташит — локальный</x:v>
      </x:c>
      <x:c xmlns:x="http://schemas.openxmlformats.org/spreadsheetml/2006/main" r="V251" t="str" s="11">
        <x:v>C:\Users\Nomatin\Documents\Altium\MY_LIB\MY_LIB\Datasheets\YAGEO_CC_X7R.pdf</x:v>
      </x:c>
      <x:c xmlns:x="http://schemas.openxmlformats.org/spreadsheetml/2006/main" r="W251" t="str" s="11">
        <x:v>Даташит — производитель</x:v>
      </x:c>
      <x:c xmlns:x="http://schemas.openxmlformats.org/spreadsheetml/2006/main" r="X251" t="str" s="11">
        <x:v>https://yageogroup.com/content/datasheet/asset/file/UPY-GPHC_X7R_6_3V-TO-250V</x:v>
      </x:c>
      <x:c xmlns:x="http://schemas.openxmlformats.org/spreadsheetml/2006/main" r="Y251" t="str" s="11">
        <x:v>C:\Users\Nomatin\Documents\Altium\MY_LIB\MY_LIB\Datasheets\YAGEO_CC_X7R.pdf</x:v>
      </x:c>
      <ns0:c xmlns:ns0="http://schemas.openxmlformats.org/spreadsheetml/2006/main" r="Z251" s="11">
        <ns0:v>5.6e-10</ns0:v>
      </ns0:c>
      <ns0:c xmlns:ns0="http://schemas.openxmlformats.org/spreadsheetml/2006/main" r="AA251" s="11">
        <ns0:v>0.025</ns0:v>
      </ns0:c>
      <ns0:c xmlns:ns0="http://schemas.openxmlformats.org/spreadsheetml/2006/main" r="AB251" s="11">
        <ns0:v>1000</ns0:v>
      </ns0:c>
      <ns0:c xmlns:ns0="http://schemas.openxmlformats.org/spreadsheetml/2006/main" r="AC251" s="11">
        <ns0:v>1</ns0:v>
      </ns0:c>
      <ns0:c xmlns:ns0="http://schemas.openxmlformats.org/spreadsheetml/2006/main" r="AD251" s="11">
        <ns0:v>20</ns0:v>
      </ns0:c>
      <ns0:c xmlns:ns0="http://schemas.openxmlformats.org/spreadsheetml/2006/main" r="AE251" s="11">
        <ns0:v>500</ns0:v>
      </ns0:c>
      <ns0:c xmlns:ns0="http://schemas.openxmlformats.org/spreadsheetml/2006/main" r="AF251" s="11">
        <ns0:v>10000000000</ns0:v>
      </ns0:c>
      <ns0:c xmlns:ns0="http://schemas.openxmlformats.org/spreadsheetml/2006/main" r="AG251" s="11">
        <ns0:v>50</ns0:v>
      </ns0:c>
      <ns0:c xmlns:ns0="http://schemas.openxmlformats.org/spreadsheetml/2006/main" r="AH251" s="11">
        <ns0:v>60</ns0:v>
      </ns0:c>
      <ns0:c xmlns:ns0="http://schemas.openxmlformats.org/spreadsheetml/2006/main" r="AI251" s="11">
        <ns0:v>7105.13138803104</ns0:v>
      </ns0:c>
      <ns0:c xmlns:ns0="http://schemas.openxmlformats.org/spreadsheetml/2006/main" r="AJ251" s="11" t="inlineStr">
        <ns0:is>
          <ns0:t>MY_LIB_C_RC</ns0:t>
        </ns0:is>
      </ns0:c>
      <ns0:c xmlns:ns0="http://schemas.openxmlformats.org/spreadsheetml/2006/main" r="AK251" s="11" t="inlineStr">
        <ns0:is>
          <ns0:t>Nominal C; DFmax at 1kHz; minimum insulation; no temperature/bias/ESL</ns0:t>
        </ns0:is>
      </ns0:c>
      <ns0:c xmlns:ns0="http://schemas.openxmlformats.org/spreadsheetml/2006/main" r="AL251" s="11" t="inlineStr">
        <ns0:is>
          <ns0:t>General</ns0:t>
        </ns0:is>
      </ns0:c>
      <ns0:c xmlns:ns0="http://schemas.openxmlformats.org/spreadsheetml/2006/main" r="AM251" s="11" t="inlineStr">
        <ns0:is>
          <ns0:t>Spice Subcircuit</ns0:t>
        </ns0:is>
      </ns0:c>
      <ns0:c xmlns:ns0="http://schemas.openxmlformats.org/spreadsheetml/2006/main" r="AN251" s="11" t="inlineStr">
        <ns0:is>
          <ns0:t>@DESIGNATOR %1 %2 @MODEL PARAMS: Cvalue=5.6e-10 Rsvalue=7105.13138803104 Rinsvalue=10000000000</ns0:t>
        </ns0:is>
      </ns0:c>
      <ns0:c xmlns:ns0="http://schemas.openxmlformats.org/spreadsheetml/2006/main" r="AO251" s="11" t="inlineStr">
        <ns0:is>
          <ns0:t>X</ns0:t>
        </ns0:is>
      </ns0:c>
      <ns0:c xmlns:ns0="http://schemas.openxmlformats.org/spreadsheetml/2006/main" r="AP251" s="11" t="inlineStr">
        <ns0:is>
          <ns0:t>(1:1),(2:2)</ns0:t>
        </ns0:is>
      </ns0:c>
      <ns0:c xmlns:ns0="http://schemas.openxmlformats.org/spreadsheetml/2006/main" r="AQ251" s="11" t="inlineStr">
        <ns0:is>
          <ns0:t>Simulation\Capacitors\MY_LIB_C_RC.ckt</ns0:t>
        </ns0:is>
      </ns0:c>
    </ns0:row>
    <ns0:row r="252" ht="30" customHeight="1">
      <ns0:c r="A252" t="str" s="14">
        <ns0:v>C0253</ns0:v>
      </ns0:c>
      <ns0:c r="B252" t="str" s="14">
        <ns0:v>Конденсатор</ns0:v>
      </ns0:c>
      <ns0:c r="C252" t="str" s="14">
        <ns0:v>680p</ns0:v>
      </ns0:c>
      <ns0:c r="D252" t="str" s="11">
        <ns0:f>SUBSTITUTE(SUBSTITUTE(SUBSTITUTE(SUBSTITUTE(C252,"p"," пФ"),"n"," нФ"),"u"," мкФ"),".",",")</ns0:f>
        <ns0:v>680 пФ</ns0:v>
      </ns0:c>
      <ns0:c r="E252" t="str" s="14">
        <ns0:v>±20%</ns0:v>
      </ns0:c>
      <ns0:c r="F252" s="14"/>
      <ns0:c r="G252" t="str" s="14">
        <ns0:v>100 В</ns0:v>
      </ns0:c>
      <ns0:c r="H252" t="str" s="14">
        <ns0:v>X7R</ns0:v>
      </ns0:c>
      <ns0:c r="I252" t="str" s="15">
        <ns0:v>0603</ns0:v>
      </ns0:c>
      <ns0:c r="J252" t="str" s="14">
        <ns0:v>YAGEO</ns0:v>
      </ns0:c>
      <ns0:c r="K252" t="str" s="14">
        <ns0:v>CC0603MRX7R0BB681</ns0:v>
      </ns0:c>
      <ns0:c r="L252" t="str" s="11">
        <ns0:f>B252&amp;" "&amp;D252&amp;" "&amp;E252&amp;" "&amp;G252&amp;" "&amp;H252&amp;" "&amp;I252</ns0:f>
        <ns0:v>Конденсатор 680 пФ ±20% 100 В X7R 0603</ns0:v>
      </ns0:c>
      <ns0:c r="M252" t="str" s="13">
        <ns0:v>C</ns0:v>
      </ns0:c>
      <ns0:c r="N252" t="str" s="13">
        <ns0:v>Symbols\MY_LIB_Capacitors.SchLib</ns0:v>
      </ns0:c>
      <ns0:c r="O252" t="str" s="13">
        <ns0:v>CAPC1608X90N</ns0:v>
      </ns0:c>
      <ns0:c r="P252" t="str" s="13">
        <ns0:v>Footprints\PBL - SMD Packages.PcbLib</ns0:v>
      </ns0:c>
      <ns0:c r="Q252" t="str" s="14">
        <ns0:v>YAGEO CC; список 20.10.2026</ns0:v>
      </ns0:c>
      <ns0:c r="R252" t="str" s="11">
        <ns0:f>D252</ns0:f>
        <ns0:v>680 пФ</ns0:v>
      </ns0:c>
      <ns0:c r="S252" t="str" s="11">
        <ns0:f>L252</ns0:f>
        <ns0:v>Конденсатор 680 пФ ±20% 100 В X7R 0603</ns0:v>
      </ns0:c>
      <x:c xmlns:x="http://schemas.openxmlformats.org/spreadsheetml/2006/main" r="T252" t="str" s="11">
        <x:v>C:\Users\Nomatin\Documents\Altium\MY_LIB\MY_LIB\Datasheets\YAGEO_CC_X7R.pdf</x:v>
      </x:c>
      <x:c xmlns:x="http://schemas.openxmlformats.org/spreadsheetml/2006/main" r="U252" t="str" s="11">
        <x:v>Даташит — локальный</x:v>
      </x:c>
      <x:c xmlns:x="http://schemas.openxmlformats.org/spreadsheetml/2006/main" r="V252" t="str" s="11">
        <x:v>C:\Users\Nomatin\Documents\Altium\MY_LIB\MY_LIB\Datasheets\YAGEO_CC_X7R.pdf</x:v>
      </x:c>
      <x:c xmlns:x="http://schemas.openxmlformats.org/spreadsheetml/2006/main" r="W252" t="str" s="11">
        <x:v>Даташит — производитель</x:v>
      </x:c>
      <x:c xmlns:x="http://schemas.openxmlformats.org/spreadsheetml/2006/main" r="X252" t="str" s="11">
        <x:v>https://yageogroup.com/content/datasheet/asset/file/UPY-GPHC_X7R_6_3V-TO-250V</x:v>
      </x:c>
      <x:c xmlns:x="http://schemas.openxmlformats.org/spreadsheetml/2006/main" r="Y252" t="str" s="11">
        <x:v>C:\Users\Nomatin\Documents\Altium\MY_LIB\MY_LIB\Datasheets\YAGEO_CC_X7R.pdf</x:v>
      </x:c>
      <ns0:c xmlns:ns0="http://schemas.openxmlformats.org/spreadsheetml/2006/main" r="Z252" s="11">
        <ns0:v>6.8e-10</ns0:v>
      </ns0:c>
      <ns0:c xmlns:ns0="http://schemas.openxmlformats.org/spreadsheetml/2006/main" r="AA252" s="11">
        <ns0:v>0.025</ns0:v>
      </ns0:c>
      <ns0:c xmlns:ns0="http://schemas.openxmlformats.org/spreadsheetml/2006/main" r="AB252" s="11">
        <ns0:v>1000</ns0:v>
      </ns0:c>
      <ns0:c xmlns:ns0="http://schemas.openxmlformats.org/spreadsheetml/2006/main" r="AC252" s="11">
        <ns0:v>1</ns0:v>
      </ns0:c>
      <ns0:c xmlns:ns0="http://schemas.openxmlformats.org/spreadsheetml/2006/main" r="AD252" s="11">
        <ns0:v>20</ns0:v>
      </ns0:c>
      <ns0:c xmlns:ns0="http://schemas.openxmlformats.org/spreadsheetml/2006/main" r="AE252" s="11">
        <ns0:v>500</ns0:v>
      </ns0:c>
      <ns0:c xmlns:ns0="http://schemas.openxmlformats.org/spreadsheetml/2006/main" r="AF252" s="11">
        <ns0:v>10000000000</ns0:v>
      </ns0:c>
      <ns0:c xmlns:ns0="http://schemas.openxmlformats.org/spreadsheetml/2006/main" r="AG252" s="11">
        <ns0:v>100</ns0:v>
      </ns0:c>
      <ns0:c xmlns:ns0="http://schemas.openxmlformats.org/spreadsheetml/2006/main" r="AH252" s="11">
        <ns0:v>60</ns0:v>
      </ns0:c>
      <ns0:c xmlns:ns0="http://schemas.openxmlformats.org/spreadsheetml/2006/main" r="AI252" s="11">
        <ns0:v>5851.28467249615</ns0:v>
      </ns0:c>
      <ns0:c xmlns:ns0="http://schemas.openxmlformats.org/spreadsheetml/2006/main" r="AJ252" s="11" t="inlineStr">
        <ns0:is>
          <ns0:t>MY_LIB_C_RC</ns0:t>
        </ns0:is>
      </ns0:c>
      <ns0:c xmlns:ns0="http://schemas.openxmlformats.org/spreadsheetml/2006/main" r="AK252" s="11" t="inlineStr">
        <ns0:is>
          <ns0:t>Nominal C; DFmax at 1kHz; minimum insulation; no temperature/bias/ESL</ns0:t>
        </ns0:is>
      </ns0:c>
      <ns0:c xmlns:ns0="http://schemas.openxmlformats.org/spreadsheetml/2006/main" r="AL252" s="11" t="inlineStr">
        <ns0:is>
          <ns0:t>General</ns0:t>
        </ns0:is>
      </ns0:c>
      <ns0:c xmlns:ns0="http://schemas.openxmlformats.org/spreadsheetml/2006/main" r="AM252" s="11" t="inlineStr">
        <ns0:is>
          <ns0:t>Spice Subcircuit</ns0:t>
        </ns0:is>
      </ns0:c>
      <ns0:c xmlns:ns0="http://schemas.openxmlformats.org/spreadsheetml/2006/main" r="AN252" s="11" t="inlineStr">
        <ns0:is>
          <ns0:t>@DESIGNATOR %1 %2 @MODEL PARAMS: Cvalue=6.8e-10 Rsvalue=5851.28467249615 Rinsvalue=10000000000</ns0:t>
        </ns0:is>
      </ns0:c>
      <ns0:c xmlns:ns0="http://schemas.openxmlformats.org/spreadsheetml/2006/main" r="AO252" s="11" t="inlineStr">
        <ns0:is>
          <ns0:t>X</ns0:t>
        </ns0:is>
      </ns0:c>
      <ns0:c xmlns:ns0="http://schemas.openxmlformats.org/spreadsheetml/2006/main" r="AP252" s="11" t="inlineStr">
        <ns0:is>
          <ns0:t>(1:1),(2:2)</ns0:t>
        </ns0:is>
      </ns0:c>
      <ns0:c xmlns:ns0="http://schemas.openxmlformats.org/spreadsheetml/2006/main" r="AQ252" s="11" t="inlineStr">
        <ns0:is>
          <ns0:t>Simulation\Capacitors\MY_LIB_C_RC.ckt</ns0:t>
        </ns0:is>
      </ns0:c>
    </ns0:row>
    <ns0:row r="253" ht="30" customHeight="1">
      <ns0:c r="A253" t="str" s="14">
        <ns0:v>C0254</ns0:v>
      </ns0:c>
      <ns0:c r="B253" t="str" s="14">
        <ns0:v>Конденсатор</ns0:v>
      </ns0:c>
      <ns0:c r="C253" t="str" s="14">
        <ns0:v>820p</ns0:v>
      </ns0:c>
      <ns0:c r="D253" t="str" s="11">
        <ns0:f>SUBSTITUTE(SUBSTITUTE(SUBSTITUTE(SUBSTITUTE(C253,"p"," пФ"),"n"," нФ"),"u"," мкФ"),".",",")</ns0:f>
        <ns0:v>820 пФ</ns0:v>
      </ns0:c>
      <ns0:c r="E253" t="str" s="14">
        <ns0:v>±20%</ns0:v>
      </ns0:c>
      <ns0:c r="F253" s="14"/>
      <ns0:c r="G253" t="str" s="14">
        <ns0:v>50 В</ns0:v>
      </ns0:c>
      <ns0:c r="H253" t="str" s="14">
        <ns0:v>X7R</ns0:v>
      </ns0:c>
      <ns0:c r="I253" t="str" s="15">
        <ns0:v>0603</ns0:v>
      </ns0:c>
      <ns0:c r="J253" t="str" s="14">
        <ns0:v>YAGEO</ns0:v>
      </ns0:c>
      <ns0:c r="K253" t="str" s="14">
        <ns0:v>CC0603MRX7R9BB821</ns0:v>
      </ns0:c>
      <ns0:c r="L253" t="str" s="11">
        <ns0:f>B253&amp;" "&amp;D253&amp;" "&amp;E253&amp;" "&amp;G253&amp;" "&amp;H253&amp;" "&amp;I253</ns0:f>
        <ns0:v>Конденсатор 820 пФ ±20% 50 В X7R 0603</ns0:v>
      </ns0:c>
      <ns0:c r="M253" t="str" s="13">
        <ns0:v>C</ns0:v>
      </ns0:c>
      <ns0:c r="N253" t="str" s="13">
        <ns0:v>Symbols\MY_LIB_Capacitors.SchLib</ns0:v>
      </ns0:c>
      <ns0:c r="O253" t="str" s="13">
        <ns0:v>CAPC1608X90N</ns0:v>
      </ns0:c>
      <ns0:c r="P253" t="str" s="13">
        <ns0:v>Footprints\PBL - SMD Packages.PcbLib</ns0:v>
      </ns0:c>
      <ns0:c r="Q253" t="str" s="14">
        <ns0:v>YAGEO CC; список 20.10.2026</ns0:v>
      </ns0:c>
      <ns0:c r="R253" t="str" s="11">
        <ns0:f>D253</ns0:f>
        <ns0:v>820 пФ</ns0:v>
      </ns0:c>
      <ns0:c r="S253" t="str" s="11">
        <ns0:f>L253</ns0:f>
        <ns0:v>Конденсатор 820 пФ ±20% 50 В X7R 0603</ns0:v>
      </ns0:c>
      <x:c xmlns:x="http://schemas.openxmlformats.org/spreadsheetml/2006/main" r="T253" t="str" s="11">
        <x:v>C:\Users\Nomatin\Documents\Altium\MY_LIB\MY_LIB\Datasheets\YAGEO_CC_X7R.pdf</x:v>
      </x:c>
      <x:c xmlns:x="http://schemas.openxmlformats.org/spreadsheetml/2006/main" r="U253" t="str" s="11">
        <x:v>Даташит — локальный</x:v>
      </x:c>
      <x:c xmlns:x="http://schemas.openxmlformats.org/spreadsheetml/2006/main" r="V253" t="str" s="11">
        <x:v>C:\Users\Nomatin\Documents\Altium\MY_LIB\MY_LIB\Datasheets\YAGEO_CC_X7R.pdf</x:v>
      </x:c>
      <x:c xmlns:x="http://schemas.openxmlformats.org/spreadsheetml/2006/main" r="W253" t="str" s="11">
        <x:v>Даташит — производитель</x:v>
      </x:c>
      <x:c xmlns:x="http://schemas.openxmlformats.org/spreadsheetml/2006/main" r="X253" t="str" s="11">
        <x:v>https://yageogroup.com/content/datasheet/asset/file/UPY-GPHC_X7R_6_3V-TO-250V</x:v>
      </x:c>
      <x:c xmlns:x="http://schemas.openxmlformats.org/spreadsheetml/2006/main" r="Y253" t="str" s="11">
        <x:v>C:\Users\Nomatin\Documents\Altium\MY_LIB\MY_LIB\Datasheets\YAGEO_CC_X7R.pdf</x:v>
      </x:c>
      <ns0:c xmlns:ns0="http://schemas.openxmlformats.org/spreadsheetml/2006/main" r="Z253" s="11">
        <ns0:v>8.2e-10</ns0:v>
      </ns0:c>
      <ns0:c xmlns:ns0="http://schemas.openxmlformats.org/spreadsheetml/2006/main" r="AA253" s="11">
        <ns0:v>0.025</ns0:v>
      </ns0:c>
      <ns0:c xmlns:ns0="http://schemas.openxmlformats.org/spreadsheetml/2006/main" r="AB253" s="11">
        <ns0:v>1000</ns0:v>
      </ns0:c>
      <ns0:c xmlns:ns0="http://schemas.openxmlformats.org/spreadsheetml/2006/main" r="AC253" s="11">
        <ns0:v>1</ns0:v>
      </ns0:c>
      <ns0:c xmlns:ns0="http://schemas.openxmlformats.org/spreadsheetml/2006/main" r="AD253" s="11">
        <ns0:v>20</ns0:v>
      </ns0:c>
      <ns0:c xmlns:ns0="http://schemas.openxmlformats.org/spreadsheetml/2006/main" r="AE253" s="11">
        <ns0:v>500</ns0:v>
      </ns0:c>
      <ns0:c xmlns:ns0="http://schemas.openxmlformats.org/spreadsheetml/2006/main" r="AF253" s="11">
        <ns0:v>10000000000</ns0:v>
      </ns0:c>
      <ns0:c xmlns:ns0="http://schemas.openxmlformats.org/spreadsheetml/2006/main" r="AG253" s="11">
        <ns0:v>50</ns0:v>
      </ns0:c>
      <ns0:c xmlns:ns0="http://schemas.openxmlformats.org/spreadsheetml/2006/main" r="AH253" s="11">
        <ns0:v>60</ns0:v>
      </ns0:c>
      <ns0:c xmlns:ns0="http://schemas.openxmlformats.org/spreadsheetml/2006/main" r="AI253" s="11">
        <ns0:v>4852.28485036266</ns0:v>
      </ns0:c>
      <ns0:c xmlns:ns0="http://schemas.openxmlformats.org/spreadsheetml/2006/main" r="AJ253" s="11" t="inlineStr">
        <ns0:is>
          <ns0:t>MY_LIB_C_RC</ns0:t>
        </ns0:is>
      </ns0:c>
      <ns0:c xmlns:ns0="http://schemas.openxmlformats.org/spreadsheetml/2006/main" r="AK253" s="11" t="inlineStr">
        <ns0:is>
          <ns0:t>Nominal C; DFmax at 1kHz; minimum insulation; no temperature/bias/ESL</ns0:t>
        </ns0:is>
      </ns0:c>
      <ns0:c xmlns:ns0="http://schemas.openxmlformats.org/spreadsheetml/2006/main" r="AL253" s="11" t="inlineStr">
        <ns0:is>
          <ns0:t>General</ns0:t>
        </ns0:is>
      </ns0:c>
      <ns0:c xmlns:ns0="http://schemas.openxmlformats.org/spreadsheetml/2006/main" r="AM253" s="11" t="inlineStr">
        <ns0:is>
          <ns0:t>Spice Subcircuit</ns0:t>
        </ns0:is>
      </ns0:c>
      <ns0:c xmlns:ns0="http://schemas.openxmlformats.org/spreadsheetml/2006/main" r="AN253" s="11" t="inlineStr">
        <ns0:is>
          <ns0:t>@DESIGNATOR %1 %2 @MODEL PARAMS: Cvalue=8.2e-10 Rsvalue=4852.28485036266 Rinsvalue=10000000000</ns0:t>
        </ns0:is>
      </ns0:c>
      <ns0:c xmlns:ns0="http://schemas.openxmlformats.org/spreadsheetml/2006/main" r="AO253" s="11" t="inlineStr">
        <ns0:is>
          <ns0:t>X</ns0:t>
        </ns0:is>
      </ns0:c>
      <ns0:c xmlns:ns0="http://schemas.openxmlformats.org/spreadsheetml/2006/main" r="AP253" s="11" t="inlineStr">
        <ns0:is>
          <ns0:t>(1:1),(2:2)</ns0:t>
        </ns0:is>
      </ns0:c>
      <ns0:c xmlns:ns0="http://schemas.openxmlformats.org/spreadsheetml/2006/main" r="AQ253" s="11" t="inlineStr">
        <ns0:is>
          <ns0:t>Simulation\Capacitors\MY_LIB_C_RC.ckt</ns0:t>
        </ns0:is>
      </ns0:c>
    </ns0:row>
    <ns0:row r="254" ht="30" customHeight="1">
      <ns0:c r="A254" t="str" s="14">
        <ns0:v>C0255</ns0:v>
      </ns0:c>
      <ns0:c r="B254" t="str" s="14">
        <ns0:v>Конденсатор</ns0:v>
      </ns0:c>
      <ns0:c r="C254" t="str" s="14">
        <ns0:v>1n</ns0:v>
      </ns0:c>
      <ns0:c r="D254" t="str" s="11">
        <ns0:f>SUBSTITUTE(SUBSTITUTE(SUBSTITUTE(SUBSTITUTE(C254,"p"," пФ"),"n"," нФ"),"u"," мкФ"),".",",")</ns0:f>
        <ns0:v>1 нФ</ns0:v>
      </ns0:c>
      <ns0:c r="E254" t="str" s="14">
        <ns0:v>±20%</ns0:v>
      </ns0:c>
      <ns0:c r="F254" s="14"/>
      <ns0:c r="G254" t="str" s="14">
        <ns0:v>100 В</ns0:v>
      </ns0:c>
      <ns0:c r="H254" t="str" s="14">
        <ns0:v>X7R</ns0:v>
      </ns0:c>
      <ns0:c r="I254" t="str" s="15">
        <ns0:v>0603</ns0:v>
      </ns0:c>
      <ns0:c r="J254" t="str" s="14">
        <ns0:v>YAGEO</ns0:v>
      </ns0:c>
      <ns0:c r="K254" t="str" s="14">
        <ns0:v>CC0603MRX7R0BB102</ns0:v>
      </ns0:c>
      <ns0:c r="L254" t="str" s="11">
        <ns0:f>B254&amp;" "&amp;D254&amp;" "&amp;E254&amp;" "&amp;G254&amp;" "&amp;H254&amp;" "&amp;I254</ns0:f>
        <ns0:v>Конденсатор 1 нФ ±20% 100 В X7R 0603</ns0:v>
      </ns0:c>
      <ns0:c r="M254" t="str" s="13">
        <ns0:v>C</ns0:v>
      </ns0:c>
      <ns0:c r="N254" t="str" s="13">
        <ns0:v>Symbols\MY_LIB_Capacitors.SchLib</ns0:v>
      </ns0:c>
      <ns0:c r="O254" t="str" s="13">
        <ns0:v>CAPC1608X90N</ns0:v>
      </ns0:c>
      <ns0:c r="P254" t="str" s="13">
        <ns0:v>Footprints\PBL - SMD Packages.PcbLib</ns0:v>
      </ns0:c>
      <ns0:c r="Q254" t="str" s="14">
        <ns0:v>YAGEO CC; список 20.10.2026</ns0:v>
      </ns0:c>
      <ns0:c r="R254" t="str" s="11">
        <ns0:f>D254</ns0:f>
        <ns0:v>1 нФ</ns0:v>
      </ns0:c>
      <ns0:c r="S254" t="str" s="11">
        <ns0:f>L254</ns0:f>
        <ns0:v>Конденсатор 1 нФ ±20% 100 В X7R 0603</ns0:v>
      </ns0:c>
      <x:c xmlns:x="http://schemas.openxmlformats.org/spreadsheetml/2006/main" r="T254" t="str" s="11">
        <x:v>C:\Users\Nomatin\Documents\Altium\MY_LIB\MY_LIB\Datasheets\YAGEO_CC_X7R.pdf</x:v>
      </x:c>
      <x:c xmlns:x="http://schemas.openxmlformats.org/spreadsheetml/2006/main" r="U254" t="str" s="11">
        <x:v>Даташит — локальный</x:v>
      </x:c>
      <x:c xmlns:x="http://schemas.openxmlformats.org/spreadsheetml/2006/main" r="V254" t="str" s="11">
        <x:v>C:\Users\Nomatin\Documents\Altium\MY_LIB\MY_LIB\Datasheets\YAGEO_CC_X7R.pdf</x:v>
      </x:c>
      <x:c xmlns:x="http://schemas.openxmlformats.org/spreadsheetml/2006/main" r="W254" t="str" s="11">
        <x:v>Даташит — производитель</x:v>
      </x:c>
      <x:c xmlns:x="http://schemas.openxmlformats.org/spreadsheetml/2006/main" r="X254" t="str" s="11">
        <x:v>https://yageogroup.com/content/datasheet/asset/file/UPY-GPHC_X7R_6_3V-TO-250V</x:v>
      </x:c>
      <x:c xmlns:x="http://schemas.openxmlformats.org/spreadsheetml/2006/main" r="Y254" t="str" s="11">
        <x:v>C:\Users\Nomatin\Documents\Altium\MY_LIB\MY_LIB\Datasheets\YAGEO_CC_X7R.pdf</x:v>
      </x:c>
      <ns0:c xmlns:ns0="http://schemas.openxmlformats.org/spreadsheetml/2006/main" r="Z254" s="11">
        <ns0:v>1e-09</ns0:v>
      </ns0:c>
      <ns0:c xmlns:ns0="http://schemas.openxmlformats.org/spreadsheetml/2006/main" r="AA254" s="11">
        <ns0:v>0.025</ns0:v>
      </ns0:c>
      <ns0:c xmlns:ns0="http://schemas.openxmlformats.org/spreadsheetml/2006/main" r="AB254" s="11">
        <ns0:v>1000</ns0:v>
      </ns0:c>
      <ns0:c xmlns:ns0="http://schemas.openxmlformats.org/spreadsheetml/2006/main" r="AC254" s="11">
        <ns0:v>1</ns0:v>
      </ns0:c>
      <ns0:c xmlns:ns0="http://schemas.openxmlformats.org/spreadsheetml/2006/main" r="AD254" s="11">
        <ns0:v>20</ns0:v>
      </ns0:c>
      <ns0:c xmlns:ns0="http://schemas.openxmlformats.org/spreadsheetml/2006/main" r="AE254" s="11">
        <ns0:v>500</ns0:v>
      </ns0:c>
      <ns0:c xmlns:ns0="http://schemas.openxmlformats.org/spreadsheetml/2006/main" r="AF254" s="11">
        <ns0:v>10000000000</ns0:v>
      </ns0:c>
      <ns0:c xmlns:ns0="http://schemas.openxmlformats.org/spreadsheetml/2006/main" r="AG254" s="11">
        <ns0:v>100</ns0:v>
      </ns0:c>
      <ns0:c xmlns:ns0="http://schemas.openxmlformats.org/spreadsheetml/2006/main" r="AH254" s="11">
        <ns0:v>60</ns0:v>
      </ns0:c>
      <ns0:c xmlns:ns0="http://schemas.openxmlformats.org/spreadsheetml/2006/main" r="AI254" s="11">
        <ns0:v>3978.87357729738</ns0:v>
      </ns0:c>
      <ns0:c xmlns:ns0="http://schemas.openxmlformats.org/spreadsheetml/2006/main" r="AJ254" s="11" t="inlineStr">
        <ns0:is>
          <ns0:t>MY_LIB_C_RC</ns0:t>
        </ns0:is>
      </ns0:c>
      <ns0:c xmlns:ns0="http://schemas.openxmlformats.org/spreadsheetml/2006/main" r="AK254" s="11" t="inlineStr">
        <ns0:is>
          <ns0:t>Nominal C; DFmax at 1kHz; minimum insulation; no temperature/bias/ESL</ns0:t>
        </ns0:is>
      </ns0:c>
      <ns0:c xmlns:ns0="http://schemas.openxmlformats.org/spreadsheetml/2006/main" r="AL254" s="11" t="inlineStr">
        <ns0:is>
          <ns0:t>General</ns0:t>
        </ns0:is>
      </ns0:c>
      <ns0:c xmlns:ns0="http://schemas.openxmlformats.org/spreadsheetml/2006/main" r="AM254" s="11" t="inlineStr">
        <ns0:is>
          <ns0:t>Spice Subcircuit</ns0:t>
        </ns0:is>
      </ns0:c>
      <ns0:c xmlns:ns0="http://schemas.openxmlformats.org/spreadsheetml/2006/main" r="AN254" s="11" t="inlineStr">
        <ns0:is>
          <ns0:t>@DESIGNATOR %1 %2 @MODEL PARAMS: Cvalue=1e-09 Rsvalue=3978.87357729738 Rinsvalue=10000000000</ns0:t>
        </ns0:is>
      </ns0:c>
      <ns0:c xmlns:ns0="http://schemas.openxmlformats.org/spreadsheetml/2006/main" r="AO254" s="11" t="inlineStr">
        <ns0:is>
          <ns0:t>X</ns0:t>
        </ns0:is>
      </ns0:c>
      <ns0:c xmlns:ns0="http://schemas.openxmlformats.org/spreadsheetml/2006/main" r="AP254" s="11" t="inlineStr">
        <ns0:is>
          <ns0:t>(1:1),(2:2)</ns0:t>
        </ns0:is>
      </ns0:c>
      <ns0:c xmlns:ns0="http://schemas.openxmlformats.org/spreadsheetml/2006/main" r="AQ254" s="11" t="inlineStr">
        <ns0:is>
          <ns0:t>Simulation\Capacitors\MY_LIB_C_RC.ckt</ns0:t>
        </ns0:is>
      </ns0:c>
    </ns0:row>
    <ns0:row r="255" ht="30" customHeight="1">
      <ns0:c r="A255" t="str" s="14">
        <ns0:v>C0256</ns0:v>
      </ns0:c>
      <ns0:c r="B255" t="str" s="14">
        <ns0:v>Конденсатор</ns0:v>
      </ns0:c>
      <ns0:c r="C255" t="str" s="14">
        <ns0:v>1.5n</ns0:v>
      </ns0:c>
      <ns0:c r="D255" t="str" s="11">
        <ns0:f>SUBSTITUTE(SUBSTITUTE(SUBSTITUTE(SUBSTITUTE(C255,"p"," пФ"),"n"," нФ"),"u"," мкФ"),".",",")</ns0:f>
        <ns0:v>1,5 нФ</ns0:v>
      </ns0:c>
      <ns0:c r="E255" t="str" s="14">
        <ns0:v>±20%</ns0:v>
      </ns0:c>
      <ns0:c r="F255" s="14"/>
      <ns0:c r="G255" t="str" s="14">
        <ns0:v>100 В</ns0:v>
      </ns0:c>
      <ns0:c r="H255" t="str" s="14">
        <ns0:v>X7R</ns0:v>
      </ns0:c>
      <ns0:c r="I255" t="str" s="15">
        <ns0:v>0603</ns0:v>
      </ns0:c>
      <ns0:c r="J255" t="str" s="14">
        <ns0:v>YAGEO</ns0:v>
      </ns0:c>
      <ns0:c r="K255" t="str" s="14">
        <ns0:v>CC0603MRX7R0BB152</ns0:v>
      </ns0:c>
      <ns0:c r="L255" t="str" s="11">
        <ns0:f>B255&amp;" "&amp;D255&amp;" "&amp;E255&amp;" "&amp;G255&amp;" "&amp;H255&amp;" "&amp;I255</ns0:f>
        <ns0:v>Конденсатор 1,5 нФ ±20% 100 В X7R 0603</ns0:v>
      </ns0:c>
      <ns0:c r="M255" t="str" s="13">
        <ns0:v>C</ns0:v>
      </ns0:c>
      <ns0:c r="N255" t="str" s="13">
        <ns0:v>Symbols\MY_LIB_Capacitors.SchLib</ns0:v>
      </ns0:c>
      <ns0:c r="O255" t="str" s="13">
        <ns0:v>CAPC1608X90N</ns0:v>
      </ns0:c>
      <ns0:c r="P255" t="str" s="13">
        <ns0:v>Footprints\PBL - SMD Packages.PcbLib</ns0:v>
      </ns0:c>
      <ns0:c r="Q255" t="str" s="14">
        <ns0:v>YAGEO CC; список 20.10.2026</ns0:v>
      </ns0:c>
      <ns0:c r="R255" t="str" s="11">
        <ns0:f>D255</ns0:f>
        <ns0:v>1,5 нФ</ns0:v>
      </ns0:c>
      <ns0:c r="S255" t="str" s="11">
        <ns0:f>L255</ns0:f>
        <ns0:v>Конденсатор 1,5 нФ ±20% 100 В X7R 0603</ns0:v>
      </ns0:c>
      <x:c xmlns:x="http://schemas.openxmlformats.org/spreadsheetml/2006/main" r="T255" t="str" s="11">
        <x:v>C:\Users\Nomatin\Documents\Altium\MY_LIB\MY_LIB\Datasheets\YAGEO_CC_X7R.pdf</x:v>
      </x:c>
      <x:c xmlns:x="http://schemas.openxmlformats.org/spreadsheetml/2006/main" r="U255" t="str" s="11">
        <x:v>Даташит — локальный</x:v>
      </x:c>
      <x:c xmlns:x="http://schemas.openxmlformats.org/spreadsheetml/2006/main" r="V255" t="str" s="11">
        <x:v>C:\Users\Nomatin\Documents\Altium\MY_LIB\MY_LIB\Datasheets\YAGEO_CC_X7R.pdf</x:v>
      </x:c>
      <x:c xmlns:x="http://schemas.openxmlformats.org/spreadsheetml/2006/main" r="W255" t="str" s="11">
        <x:v>Даташит — производитель</x:v>
      </x:c>
      <x:c xmlns:x="http://schemas.openxmlformats.org/spreadsheetml/2006/main" r="X255" t="str" s="11">
        <x:v>https://yageogroup.com/content/datasheet/asset/file/UPY-GPHC_X7R_6_3V-TO-250V</x:v>
      </x:c>
      <x:c xmlns:x="http://schemas.openxmlformats.org/spreadsheetml/2006/main" r="Y255" t="str" s="11">
        <x:v>C:\Users\Nomatin\Documents\Altium\MY_LIB\MY_LIB\Datasheets\YAGEO_CC_X7R.pdf</x:v>
      </x:c>
      <ns0:c xmlns:ns0="http://schemas.openxmlformats.org/spreadsheetml/2006/main" r="Z255" s="11">
        <ns0:v>1.5e-09</ns0:v>
      </ns0:c>
      <ns0:c xmlns:ns0="http://schemas.openxmlformats.org/spreadsheetml/2006/main" r="AA255" s="11">
        <ns0:v>0.025</ns0:v>
      </ns0:c>
      <ns0:c xmlns:ns0="http://schemas.openxmlformats.org/spreadsheetml/2006/main" r="AB255" s="11">
        <ns0:v>1000</ns0:v>
      </ns0:c>
      <ns0:c xmlns:ns0="http://schemas.openxmlformats.org/spreadsheetml/2006/main" r="AC255" s="11">
        <ns0:v>1</ns0:v>
      </ns0:c>
      <ns0:c xmlns:ns0="http://schemas.openxmlformats.org/spreadsheetml/2006/main" r="AD255" s="11">
        <ns0:v>20</ns0:v>
      </ns0:c>
      <ns0:c xmlns:ns0="http://schemas.openxmlformats.org/spreadsheetml/2006/main" r="AE255" s="11">
        <ns0:v>500</ns0:v>
      </ns0:c>
      <ns0:c xmlns:ns0="http://schemas.openxmlformats.org/spreadsheetml/2006/main" r="AF255" s="11">
        <ns0:v>10000000000</ns0:v>
      </ns0:c>
      <ns0:c xmlns:ns0="http://schemas.openxmlformats.org/spreadsheetml/2006/main" r="AG255" s="11">
        <ns0:v>100</ns0:v>
      </ns0:c>
      <ns0:c xmlns:ns0="http://schemas.openxmlformats.org/spreadsheetml/2006/main" r="AH255" s="11">
        <ns0:v>60</ns0:v>
      </ns0:c>
      <ns0:c xmlns:ns0="http://schemas.openxmlformats.org/spreadsheetml/2006/main" r="AI255" s="11">
        <ns0:v>2652.58238486492</ns0:v>
      </ns0:c>
      <ns0:c xmlns:ns0="http://schemas.openxmlformats.org/spreadsheetml/2006/main" r="AJ255" s="11" t="inlineStr">
        <ns0:is>
          <ns0:t>MY_LIB_C_RC</ns0:t>
        </ns0:is>
      </ns0:c>
      <ns0:c xmlns:ns0="http://schemas.openxmlformats.org/spreadsheetml/2006/main" r="AK255" s="11" t="inlineStr">
        <ns0:is>
          <ns0:t>Nominal C; DFmax at 1kHz; minimum insulation; no temperature/bias/ESL</ns0:t>
        </ns0:is>
      </ns0:c>
      <ns0:c xmlns:ns0="http://schemas.openxmlformats.org/spreadsheetml/2006/main" r="AL255" s="11" t="inlineStr">
        <ns0:is>
          <ns0:t>General</ns0:t>
        </ns0:is>
      </ns0:c>
      <ns0:c xmlns:ns0="http://schemas.openxmlformats.org/spreadsheetml/2006/main" r="AM255" s="11" t="inlineStr">
        <ns0:is>
          <ns0:t>Spice Subcircuit</ns0:t>
        </ns0:is>
      </ns0:c>
      <ns0:c xmlns:ns0="http://schemas.openxmlformats.org/spreadsheetml/2006/main" r="AN255" s="11" t="inlineStr">
        <ns0:is>
          <ns0:t>@DESIGNATOR %1 %2 @MODEL PARAMS: Cvalue=1.5e-09 Rsvalue=2652.58238486492 Rinsvalue=10000000000</ns0:t>
        </ns0:is>
      </ns0:c>
      <ns0:c xmlns:ns0="http://schemas.openxmlformats.org/spreadsheetml/2006/main" r="AO255" s="11" t="inlineStr">
        <ns0:is>
          <ns0:t>X</ns0:t>
        </ns0:is>
      </ns0:c>
      <ns0:c xmlns:ns0="http://schemas.openxmlformats.org/spreadsheetml/2006/main" r="AP255" s="11" t="inlineStr">
        <ns0:is>
          <ns0:t>(1:1),(2:2)</ns0:t>
        </ns0:is>
      </ns0:c>
      <ns0:c xmlns:ns0="http://schemas.openxmlformats.org/spreadsheetml/2006/main" r="AQ255" s="11" t="inlineStr">
        <ns0:is>
          <ns0:t>Simulation\Capacitors\MY_LIB_C_RC.ckt</ns0:t>
        </ns0:is>
      </ns0:c>
    </ns0:row>
    <ns0:row r="256" ht="30" customHeight="1">
      <ns0:c r="A256" t="str" s="14">
        <ns0:v>C0257</ns0:v>
      </ns0:c>
      <ns0:c r="B256" t="str" s="14">
        <ns0:v>Конденсатор</ns0:v>
      </ns0:c>
      <ns0:c r="C256" t="str" s="14">
        <ns0:v>2.2n</ns0:v>
      </ns0:c>
      <ns0:c r="D256" t="str" s="11">
        <ns0:f>SUBSTITUTE(SUBSTITUTE(SUBSTITUTE(SUBSTITUTE(C256,"p"," пФ"),"n"," нФ"),"u"," мкФ"),".",",")</ns0:f>
        <ns0:v>2,2 нФ</ns0:v>
      </ns0:c>
      <ns0:c r="E256" t="str" s="14">
        <ns0:v>±20%</ns0:v>
      </ns0:c>
      <ns0:c r="F256" s="14"/>
      <ns0:c r="G256" t="str" s="14">
        <ns0:v>100 В</ns0:v>
      </ns0:c>
      <ns0:c r="H256" t="str" s="14">
        <ns0:v>X7R</ns0:v>
      </ns0:c>
      <ns0:c r="I256" t="str" s="15">
        <ns0:v>0603</ns0:v>
      </ns0:c>
      <ns0:c r="J256" t="str" s="14">
        <ns0:v>YAGEO</ns0:v>
      </ns0:c>
      <ns0:c r="K256" t="str" s="14">
        <ns0:v>CC0603MRX7R0BB222</ns0:v>
      </ns0:c>
      <ns0:c r="L256" t="str" s="11">
        <ns0:f>B256&amp;" "&amp;D256&amp;" "&amp;E256&amp;" "&amp;G256&amp;" "&amp;H256&amp;" "&amp;I256</ns0:f>
        <ns0:v>Конденсатор 2,2 нФ ±20% 100 В X7R 0603</ns0:v>
      </ns0:c>
      <ns0:c r="M256" t="str" s="13">
        <ns0:v>C</ns0:v>
      </ns0:c>
      <ns0:c r="N256" t="str" s="13">
        <ns0:v>Symbols\MY_LIB_Capacitors.SchLib</ns0:v>
      </ns0:c>
      <ns0:c r="O256" t="str" s="13">
        <ns0:v>CAPC1608X90N</ns0:v>
      </ns0:c>
      <ns0:c r="P256" t="str" s="13">
        <ns0:v>Footprints\PBL - SMD Packages.PcbLib</ns0:v>
      </ns0:c>
      <ns0:c r="Q256" t="str" s="14">
        <ns0:v>YAGEO CC; список 20.10.2026</ns0:v>
      </ns0:c>
      <ns0:c r="R256" t="str" s="11">
        <ns0:f>D256</ns0:f>
        <ns0:v>2,2 нФ</ns0:v>
      </ns0:c>
      <ns0:c r="S256" t="str" s="11">
        <ns0:f>L256</ns0:f>
        <ns0:v>Конденсатор 2,2 нФ ±20% 100 В X7R 0603</ns0:v>
      </ns0:c>
      <x:c xmlns:x="http://schemas.openxmlformats.org/spreadsheetml/2006/main" r="T256" t="str" s="11">
        <x:v>C:\Users\Nomatin\Documents\Altium\MY_LIB\MY_LIB\Datasheets\YAGEO_CC_X7R.pdf</x:v>
      </x:c>
      <x:c xmlns:x="http://schemas.openxmlformats.org/spreadsheetml/2006/main" r="U256" t="str" s="11">
        <x:v>Даташит — локальный</x:v>
      </x:c>
      <x:c xmlns:x="http://schemas.openxmlformats.org/spreadsheetml/2006/main" r="V256" t="str" s="11">
        <x:v>C:\Users\Nomatin\Documents\Altium\MY_LIB\MY_LIB\Datasheets\YAGEO_CC_X7R.pdf</x:v>
      </x:c>
      <x:c xmlns:x="http://schemas.openxmlformats.org/spreadsheetml/2006/main" r="W256" t="str" s="11">
        <x:v>Даташит — производитель</x:v>
      </x:c>
      <x:c xmlns:x="http://schemas.openxmlformats.org/spreadsheetml/2006/main" r="X256" t="str" s="11">
        <x:v>https://yageogroup.com/content/datasheet/asset/file/UPY-GPHC_X7R_6_3V-TO-250V</x:v>
      </x:c>
      <x:c xmlns:x="http://schemas.openxmlformats.org/spreadsheetml/2006/main" r="Y256" t="str" s="11">
        <x:v>C:\Users\Nomatin\Documents\Altium\MY_LIB\MY_LIB\Datasheets\YAGEO_CC_X7R.pdf</x:v>
      </x:c>
      <ns0:c xmlns:ns0="http://schemas.openxmlformats.org/spreadsheetml/2006/main" r="Z256" s="11">
        <ns0:v>2.2e-09</ns0:v>
      </ns0:c>
      <ns0:c xmlns:ns0="http://schemas.openxmlformats.org/spreadsheetml/2006/main" r="AA256" s="11">
        <ns0:v>0.025</ns0:v>
      </ns0:c>
      <ns0:c xmlns:ns0="http://schemas.openxmlformats.org/spreadsheetml/2006/main" r="AB256" s="11">
        <ns0:v>1000</ns0:v>
      </ns0:c>
      <ns0:c xmlns:ns0="http://schemas.openxmlformats.org/spreadsheetml/2006/main" r="AC256" s="11">
        <ns0:v>1</ns0:v>
      </ns0:c>
      <ns0:c xmlns:ns0="http://schemas.openxmlformats.org/spreadsheetml/2006/main" r="AD256" s="11">
        <ns0:v>20</ns0:v>
      </ns0:c>
      <ns0:c xmlns:ns0="http://schemas.openxmlformats.org/spreadsheetml/2006/main" r="AE256" s="11">
        <ns0:v>500</ns0:v>
      </ns0:c>
      <ns0:c xmlns:ns0="http://schemas.openxmlformats.org/spreadsheetml/2006/main" r="AF256" s="11">
        <ns0:v>10000000000</ns0:v>
      </ns0:c>
      <ns0:c xmlns:ns0="http://schemas.openxmlformats.org/spreadsheetml/2006/main" r="AG256" s="11">
        <ns0:v>100</ns0:v>
      </ns0:c>
      <ns0:c xmlns:ns0="http://schemas.openxmlformats.org/spreadsheetml/2006/main" r="AH256" s="11">
        <ns0:v>60</ns0:v>
      </ns0:c>
      <ns0:c xmlns:ns0="http://schemas.openxmlformats.org/spreadsheetml/2006/main" r="AI256" s="11">
        <ns0:v>1808.57889877154</ns0:v>
      </ns0:c>
      <ns0:c xmlns:ns0="http://schemas.openxmlformats.org/spreadsheetml/2006/main" r="AJ256" s="11" t="inlineStr">
        <ns0:is>
          <ns0:t>MY_LIB_C_RC</ns0:t>
        </ns0:is>
      </ns0:c>
      <ns0:c xmlns:ns0="http://schemas.openxmlformats.org/spreadsheetml/2006/main" r="AK256" s="11" t="inlineStr">
        <ns0:is>
          <ns0:t>Nominal C; DFmax at 1kHz; minimum insulation; no temperature/bias/ESL</ns0:t>
        </ns0:is>
      </ns0:c>
      <ns0:c xmlns:ns0="http://schemas.openxmlformats.org/spreadsheetml/2006/main" r="AL256" s="11" t="inlineStr">
        <ns0:is>
          <ns0:t>General</ns0:t>
        </ns0:is>
      </ns0:c>
      <ns0:c xmlns:ns0="http://schemas.openxmlformats.org/spreadsheetml/2006/main" r="AM256" s="11" t="inlineStr">
        <ns0:is>
          <ns0:t>Spice Subcircuit</ns0:t>
        </ns0:is>
      </ns0:c>
      <ns0:c xmlns:ns0="http://schemas.openxmlformats.org/spreadsheetml/2006/main" r="AN256" s="11" t="inlineStr">
        <ns0:is>
          <ns0:t>@DESIGNATOR %1 %2 @MODEL PARAMS: Cvalue=2.2e-09 Rsvalue=1808.57889877154 Rinsvalue=10000000000</ns0:t>
        </ns0:is>
      </ns0:c>
      <ns0:c xmlns:ns0="http://schemas.openxmlformats.org/spreadsheetml/2006/main" r="AO256" s="11" t="inlineStr">
        <ns0:is>
          <ns0:t>X</ns0:t>
        </ns0:is>
      </ns0:c>
      <ns0:c xmlns:ns0="http://schemas.openxmlformats.org/spreadsheetml/2006/main" r="AP256" s="11" t="inlineStr">
        <ns0:is>
          <ns0:t>(1:1),(2:2)</ns0:t>
        </ns0:is>
      </ns0:c>
      <ns0:c xmlns:ns0="http://schemas.openxmlformats.org/spreadsheetml/2006/main" r="AQ256" s="11" t="inlineStr">
        <ns0:is>
          <ns0:t>Simulation\Capacitors\MY_LIB_C_RC.ckt</ns0:t>
        </ns0:is>
      </ns0:c>
    </ns0:row>
    <ns0:row r="257" ht="30" customHeight="1">
      <ns0:c r="A257" t="str" s="14">
        <ns0:v>C0258</ns0:v>
      </ns0:c>
      <ns0:c r="B257" t="str" s="14">
        <ns0:v>Конденсатор</ns0:v>
      </ns0:c>
      <ns0:c r="C257" t="str" s="14">
        <ns0:v>2.7n</ns0:v>
      </ns0:c>
      <ns0:c r="D257" t="str" s="11">
        <ns0:f>SUBSTITUTE(SUBSTITUTE(SUBSTITUTE(SUBSTITUTE(C257,"p"," пФ"),"n"," нФ"),"u"," мкФ"),".",",")</ns0:f>
        <ns0:v>2,7 нФ</ns0:v>
      </ns0:c>
      <ns0:c r="E257" t="str" s="14">
        <ns0:v>±20%</ns0:v>
      </ns0:c>
      <ns0:c r="F257" s="14"/>
      <ns0:c r="G257" t="str" s="14">
        <ns0:v>50 В</ns0:v>
      </ns0:c>
      <ns0:c r="H257" t="str" s="14">
        <ns0:v>X7R</ns0:v>
      </ns0:c>
      <ns0:c r="I257" t="str" s="15">
        <ns0:v>0603</ns0:v>
      </ns0:c>
      <ns0:c r="J257" t="str" s="14">
        <ns0:v>YAGEO</ns0:v>
      </ns0:c>
      <ns0:c r="K257" t="str" s="14">
        <ns0:v>CC0603MRX7R9BB272</ns0:v>
      </ns0:c>
      <ns0:c r="L257" t="str" s="11">
        <ns0:f>B257&amp;" "&amp;D257&amp;" "&amp;E257&amp;" "&amp;G257&amp;" "&amp;H257&amp;" "&amp;I257</ns0:f>
        <ns0:v>Конденсатор 2,7 нФ ±20% 50 В X7R 0603</ns0:v>
      </ns0:c>
      <ns0:c r="M257" t="str" s="13">
        <ns0:v>C</ns0:v>
      </ns0:c>
      <ns0:c r="N257" t="str" s="13">
        <ns0:v>Symbols\MY_LIB_Capacitors.SchLib</ns0:v>
      </ns0:c>
      <ns0:c r="O257" t="str" s="13">
        <ns0:v>CAPC1608X90N</ns0:v>
      </ns0:c>
      <ns0:c r="P257" t="str" s="13">
        <ns0:v>Footprints\PBL - SMD Packages.PcbLib</ns0:v>
      </ns0:c>
      <ns0:c r="Q257" t="str" s="14">
        <ns0:v>YAGEO CC; список 20.10.2026</ns0:v>
      </ns0:c>
      <ns0:c r="R257" t="str" s="11">
        <ns0:f>D257</ns0:f>
        <ns0:v>2,7 нФ</ns0:v>
      </ns0:c>
      <ns0:c r="S257" t="str" s="11">
        <ns0:f>L257</ns0:f>
        <ns0:v>Конденсатор 2,7 нФ ±20% 50 В X7R 0603</ns0:v>
      </ns0:c>
      <x:c xmlns:x="http://schemas.openxmlformats.org/spreadsheetml/2006/main" r="T257" t="str" s="11">
        <x:v>C:\Users\Nomatin\Documents\Altium\MY_LIB\MY_LIB\Datasheets\YAGEO_CC_X7R.pdf</x:v>
      </x:c>
      <x:c xmlns:x="http://schemas.openxmlformats.org/spreadsheetml/2006/main" r="U257" t="str" s="11">
        <x:v>Даташит — локальный</x:v>
      </x:c>
      <x:c xmlns:x="http://schemas.openxmlformats.org/spreadsheetml/2006/main" r="V257" t="str" s="11">
        <x:v>C:\Users\Nomatin\Documents\Altium\MY_LIB\MY_LIB\Datasheets\YAGEO_CC_X7R.pdf</x:v>
      </x:c>
      <x:c xmlns:x="http://schemas.openxmlformats.org/spreadsheetml/2006/main" r="W257" t="str" s="11">
        <x:v>Даташит — производитель</x:v>
      </x:c>
      <x:c xmlns:x="http://schemas.openxmlformats.org/spreadsheetml/2006/main" r="X257" t="str" s="11">
        <x:v>https://yageogroup.com/content/datasheet/asset/file/UPY-GPHC_X7R_6_3V-TO-250V</x:v>
      </x:c>
      <x:c xmlns:x="http://schemas.openxmlformats.org/spreadsheetml/2006/main" r="Y257" t="str" s="11">
        <x:v>C:\Users\Nomatin\Documents\Altium\MY_LIB\MY_LIB\Datasheets\YAGEO_CC_X7R.pdf</x:v>
      </x:c>
      <ns0:c xmlns:ns0="http://schemas.openxmlformats.org/spreadsheetml/2006/main" r="Z257" s="11">
        <ns0:v>2.7e-09</ns0:v>
      </ns0:c>
      <ns0:c xmlns:ns0="http://schemas.openxmlformats.org/spreadsheetml/2006/main" r="AA257" s="11">
        <ns0:v>0.025</ns0:v>
      </ns0:c>
      <ns0:c xmlns:ns0="http://schemas.openxmlformats.org/spreadsheetml/2006/main" r="AB257" s="11">
        <ns0:v>1000</ns0:v>
      </ns0:c>
      <ns0:c xmlns:ns0="http://schemas.openxmlformats.org/spreadsheetml/2006/main" r="AC257" s="11">
        <ns0:v>1</ns0:v>
      </ns0:c>
      <ns0:c xmlns:ns0="http://schemas.openxmlformats.org/spreadsheetml/2006/main" r="AD257" s="11">
        <ns0:v>20</ns0:v>
      </ns0:c>
      <ns0:c xmlns:ns0="http://schemas.openxmlformats.org/spreadsheetml/2006/main" r="AE257" s="11">
        <ns0:v>500</ns0:v>
      </ns0:c>
      <ns0:c xmlns:ns0="http://schemas.openxmlformats.org/spreadsheetml/2006/main" r="AF257" s="11">
        <ns0:v>10000000000</ns0:v>
      </ns0:c>
      <ns0:c xmlns:ns0="http://schemas.openxmlformats.org/spreadsheetml/2006/main" r="AG257" s="11">
        <ns0:v>50</ns0:v>
      </ns0:c>
      <ns0:c xmlns:ns0="http://schemas.openxmlformats.org/spreadsheetml/2006/main" r="AH257" s="11">
        <ns0:v>60</ns0:v>
      </ns0:c>
      <ns0:c xmlns:ns0="http://schemas.openxmlformats.org/spreadsheetml/2006/main" r="AI257" s="11">
        <ns0:v>1473.65688048051</ns0:v>
      </ns0:c>
      <ns0:c xmlns:ns0="http://schemas.openxmlformats.org/spreadsheetml/2006/main" r="AJ257" s="11" t="inlineStr">
        <ns0:is>
          <ns0:t>MY_LIB_C_RC</ns0:t>
        </ns0:is>
      </ns0:c>
      <ns0:c xmlns:ns0="http://schemas.openxmlformats.org/spreadsheetml/2006/main" r="AK257" s="11" t="inlineStr">
        <ns0:is>
          <ns0:t>Nominal C; DFmax at 1kHz; minimum insulation; no temperature/bias/ESL</ns0:t>
        </ns0:is>
      </ns0:c>
      <ns0:c xmlns:ns0="http://schemas.openxmlformats.org/spreadsheetml/2006/main" r="AL257" s="11" t="inlineStr">
        <ns0:is>
          <ns0:t>General</ns0:t>
        </ns0:is>
      </ns0:c>
      <ns0:c xmlns:ns0="http://schemas.openxmlformats.org/spreadsheetml/2006/main" r="AM257" s="11" t="inlineStr">
        <ns0:is>
          <ns0:t>Spice Subcircuit</ns0:t>
        </ns0:is>
      </ns0:c>
      <ns0:c xmlns:ns0="http://schemas.openxmlformats.org/spreadsheetml/2006/main" r="AN257" s="11" t="inlineStr">
        <ns0:is>
          <ns0:t>@DESIGNATOR %1 %2 @MODEL PARAMS: Cvalue=2.7e-09 Rsvalue=1473.65688048051 Rinsvalue=10000000000</ns0:t>
        </ns0:is>
      </ns0:c>
      <ns0:c xmlns:ns0="http://schemas.openxmlformats.org/spreadsheetml/2006/main" r="AO257" s="11" t="inlineStr">
        <ns0:is>
          <ns0:t>X</ns0:t>
        </ns0:is>
      </ns0:c>
      <ns0:c xmlns:ns0="http://schemas.openxmlformats.org/spreadsheetml/2006/main" r="AP257" s="11" t="inlineStr">
        <ns0:is>
          <ns0:t>(1:1),(2:2)</ns0:t>
        </ns0:is>
      </ns0:c>
      <ns0:c xmlns:ns0="http://schemas.openxmlformats.org/spreadsheetml/2006/main" r="AQ257" s="11" t="inlineStr">
        <ns0:is>
          <ns0:t>Simulation\Capacitors\MY_LIB_C_RC.ckt</ns0:t>
        </ns0:is>
      </ns0:c>
    </ns0:row>
    <ns0:row r="258" ht="30" customHeight="1">
      <ns0:c r="A258" t="str" s="14">
        <ns0:v>C0259</ns0:v>
      </ns0:c>
      <ns0:c r="B258" t="str" s="14">
        <ns0:v>Конденсатор</ns0:v>
      </ns0:c>
      <ns0:c r="C258" t="str" s="14">
        <ns0:v>3.3n</ns0:v>
      </ns0:c>
      <ns0:c r="D258" t="str" s="11">
        <ns0:f>SUBSTITUTE(SUBSTITUTE(SUBSTITUTE(SUBSTITUTE(C258,"p"," пФ"),"n"," нФ"),"u"," мкФ"),".",",")</ns0:f>
        <ns0:v>3,3 нФ</ns0:v>
      </ns0:c>
      <ns0:c r="E258" t="str" s="14">
        <ns0:v>±20%</ns0:v>
      </ns0:c>
      <ns0:c r="F258" s="14"/>
      <ns0:c r="G258" t="str" s="14">
        <ns0:v>100 В</ns0:v>
      </ns0:c>
      <ns0:c r="H258" t="str" s="14">
        <ns0:v>X7R</ns0:v>
      </ns0:c>
      <ns0:c r="I258" t="str" s="15">
        <ns0:v>0603</ns0:v>
      </ns0:c>
      <ns0:c r="J258" t="str" s="14">
        <ns0:v>YAGEO</ns0:v>
      </ns0:c>
      <ns0:c r="K258" t="str" s="14">
        <ns0:v>CC0603MRX7R0BB332</ns0:v>
      </ns0:c>
      <ns0:c r="L258" t="str" s="11">
        <ns0:f>B258&amp;" "&amp;D258&amp;" "&amp;E258&amp;" "&amp;G258&amp;" "&amp;H258&amp;" "&amp;I258</ns0:f>
        <ns0:v>Конденсатор 3,3 нФ ±20% 100 В X7R 0603</ns0:v>
      </ns0:c>
      <ns0:c r="M258" t="str" s="13">
        <ns0:v>C</ns0:v>
      </ns0:c>
      <ns0:c r="N258" t="str" s="13">
        <ns0:v>Symbols\MY_LIB_Capacitors.SchLib</ns0:v>
      </ns0:c>
      <ns0:c r="O258" t="str" s="13">
        <ns0:v>CAPC1608X90N</ns0:v>
      </ns0:c>
      <ns0:c r="P258" t="str" s="13">
        <ns0:v>Footprints\PBL - SMD Packages.PcbLib</ns0:v>
      </ns0:c>
      <ns0:c r="Q258" t="str" s="14">
        <ns0:v>YAGEO CC; список 20.10.2026</ns0:v>
      </ns0:c>
      <ns0:c r="R258" t="str" s="11">
        <ns0:f>D258</ns0:f>
        <ns0:v>3,3 нФ</ns0:v>
      </ns0:c>
      <ns0:c r="S258" t="str" s="11">
        <ns0:f>L258</ns0:f>
        <ns0:v>Конденсатор 3,3 нФ ±20% 100 В X7R 0603</ns0:v>
      </ns0:c>
      <x:c xmlns:x="http://schemas.openxmlformats.org/spreadsheetml/2006/main" r="T258" t="str" s="11">
        <x:v>C:\Users\Nomatin\Documents\Altium\MY_LIB\MY_LIB\Datasheets\YAGEO_CC_X7R.pdf</x:v>
      </x:c>
      <x:c xmlns:x="http://schemas.openxmlformats.org/spreadsheetml/2006/main" r="U258" t="str" s="11">
        <x:v>Даташит — локальный</x:v>
      </x:c>
      <x:c xmlns:x="http://schemas.openxmlformats.org/spreadsheetml/2006/main" r="V258" t="str" s="11">
        <x:v>C:\Users\Nomatin\Documents\Altium\MY_LIB\MY_LIB\Datasheets\YAGEO_CC_X7R.pdf</x:v>
      </x:c>
      <x:c xmlns:x="http://schemas.openxmlformats.org/spreadsheetml/2006/main" r="W258" t="str" s="11">
        <x:v>Даташит — производитель</x:v>
      </x:c>
      <x:c xmlns:x="http://schemas.openxmlformats.org/spreadsheetml/2006/main" r="X258" t="str" s="11">
        <x:v>https://yageogroup.com/content/datasheet/asset/file/UPY-GPHC_X7R_6_3V-TO-250V</x:v>
      </x:c>
      <x:c xmlns:x="http://schemas.openxmlformats.org/spreadsheetml/2006/main" r="Y258" t="str" s="11">
        <x:v>C:\Users\Nomatin\Documents\Altium\MY_LIB\MY_LIB\Datasheets\YAGEO_CC_X7R.pdf</x:v>
      </x:c>
      <ns0:c xmlns:ns0="http://schemas.openxmlformats.org/spreadsheetml/2006/main" r="Z258" s="11">
        <ns0:v>3.3e-09</ns0:v>
      </ns0:c>
      <ns0:c xmlns:ns0="http://schemas.openxmlformats.org/spreadsheetml/2006/main" r="AA258" s="11">
        <ns0:v>0.025</ns0:v>
      </ns0:c>
      <ns0:c xmlns:ns0="http://schemas.openxmlformats.org/spreadsheetml/2006/main" r="AB258" s="11">
        <ns0:v>1000</ns0:v>
      </ns0:c>
      <ns0:c xmlns:ns0="http://schemas.openxmlformats.org/spreadsheetml/2006/main" r="AC258" s="11">
        <ns0:v>1</ns0:v>
      </ns0:c>
      <ns0:c xmlns:ns0="http://schemas.openxmlformats.org/spreadsheetml/2006/main" r="AD258" s="11">
        <ns0:v>20</ns0:v>
      </ns0:c>
      <ns0:c xmlns:ns0="http://schemas.openxmlformats.org/spreadsheetml/2006/main" r="AE258" s="11">
        <ns0:v>500</ns0:v>
      </ns0:c>
      <ns0:c xmlns:ns0="http://schemas.openxmlformats.org/spreadsheetml/2006/main" r="AF258" s="11">
        <ns0:v>10000000000</ns0:v>
      </ns0:c>
      <ns0:c xmlns:ns0="http://schemas.openxmlformats.org/spreadsheetml/2006/main" r="AG258" s="11">
        <ns0:v>100</ns0:v>
      </ns0:c>
      <ns0:c xmlns:ns0="http://schemas.openxmlformats.org/spreadsheetml/2006/main" r="AH258" s="11">
        <ns0:v>60</ns0:v>
      </ns0:c>
      <ns0:c xmlns:ns0="http://schemas.openxmlformats.org/spreadsheetml/2006/main" r="AI258" s="11">
        <ns0:v>1205.71926584769</ns0:v>
      </ns0:c>
      <ns0:c xmlns:ns0="http://schemas.openxmlformats.org/spreadsheetml/2006/main" r="AJ258" s="11" t="inlineStr">
        <ns0:is>
          <ns0:t>MY_LIB_C_RC</ns0:t>
        </ns0:is>
      </ns0:c>
      <ns0:c xmlns:ns0="http://schemas.openxmlformats.org/spreadsheetml/2006/main" r="AK258" s="11" t="inlineStr">
        <ns0:is>
          <ns0:t>Nominal C; DFmax at 1kHz; minimum insulation; no temperature/bias/ESL</ns0:t>
        </ns0:is>
      </ns0:c>
      <ns0:c xmlns:ns0="http://schemas.openxmlformats.org/spreadsheetml/2006/main" r="AL258" s="11" t="inlineStr">
        <ns0:is>
          <ns0:t>General</ns0:t>
        </ns0:is>
      </ns0:c>
      <ns0:c xmlns:ns0="http://schemas.openxmlformats.org/spreadsheetml/2006/main" r="AM258" s="11" t="inlineStr">
        <ns0:is>
          <ns0:t>Spice Subcircuit</ns0:t>
        </ns0:is>
      </ns0:c>
      <ns0:c xmlns:ns0="http://schemas.openxmlformats.org/spreadsheetml/2006/main" r="AN258" s="11" t="inlineStr">
        <ns0:is>
          <ns0:t>@DESIGNATOR %1 %2 @MODEL PARAMS: Cvalue=3.3e-09 Rsvalue=1205.71926584769 Rinsvalue=10000000000</ns0:t>
        </ns0:is>
      </ns0:c>
      <ns0:c xmlns:ns0="http://schemas.openxmlformats.org/spreadsheetml/2006/main" r="AO258" s="11" t="inlineStr">
        <ns0:is>
          <ns0:t>X</ns0:t>
        </ns0:is>
      </ns0:c>
      <ns0:c xmlns:ns0="http://schemas.openxmlformats.org/spreadsheetml/2006/main" r="AP258" s="11" t="inlineStr">
        <ns0:is>
          <ns0:t>(1:1),(2:2)</ns0:t>
        </ns0:is>
      </ns0:c>
      <ns0:c xmlns:ns0="http://schemas.openxmlformats.org/spreadsheetml/2006/main" r="AQ258" s="11" t="inlineStr">
        <ns0:is>
          <ns0:t>Simulation\Capacitors\MY_LIB_C_RC.ckt</ns0:t>
        </ns0:is>
      </ns0:c>
    </ns0:row>
    <ns0:row r="259" ht="30" customHeight="1">
      <ns0:c r="A259" t="str" s="14">
        <ns0:v>C0260</ns0:v>
      </ns0:c>
      <ns0:c r="B259" t="str" s="14">
        <ns0:v>Конденсатор</ns0:v>
      </ns0:c>
      <ns0:c r="C259" t="str" s="14">
        <ns0:v>3.9n</ns0:v>
      </ns0:c>
      <ns0:c r="D259" t="str" s="11">
        <ns0:f>SUBSTITUTE(SUBSTITUTE(SUBSTITUTE(SUBSTITUTE(C259,"p"," пФ"),"n"," нФ"),"u"," мкФ"),".",",")</ns0:f>
        <ns0:v>3,9 нФ</ns0:v>
      </ns0:c>
      <ns0:c r="E259" t="str" s="14">
        <ns0:v>±20%</ns0:v>
      </ns0:c>
      <ns0:c r="F259" s="14"/>
      <ns0:c r="G259" t="str" s="14">
        <ns0:v>25 В</ns0:v>
      </ns0:c>
      <ns0:c r="H259" t="str" s="14">
        <ns0:v>X7R</ns0:v>
      </ns0:c>
      <ns0:c r="I259" t="str" s="15">
        <ns0:v>0603</ns0:v>
      </ns0:c>
      <ns0:c r="J259" t="str" s="14">
        <ns0:v>YAGEO</ns0:v>
      </ns0:c>
      <ns0:c r="K259" t="str" s="14">
        <ns0:v>CC0603MRX7R8BB392</ns0:v>
      </ns0:c>
      <ns0:c r="L259" t="str" s="11">
        <ns0:f>B259&amp;" "&amp;D259&amp;" "&amp;E259&amp;" "&amp;G259&amp;" "&amp;H259&amp;" "&amp;I259</ns0:f>
        <ns0:v>Конденсатор 3,9 нФ ±20% 25 В X7R 0603</ns0:v>
      </ns0:c>
      <ns0:c r="M259" t="str" s="13">
        <ns0:v>C</ns0:v>
      </ns0:c>
      <ns0:c r="N259" t="str" s="13">
        <ns0:v>Symbols\MY_LIB_Capacitors.SchLib</ns0:v>
      </ns0:c>
      <ns0:c r="O259" t="str" s="13">
        <ns0:v>CAPC1608X90N</ns0:v>
      </ns0:c>
      <ns0:c r="P259" t="str" s="13">
        <ns0:v>Footprints\PBL - SMD Packages.PcbLib</ns0:v>
      </ns0:c>
      <ns0:c r="Q259" t="str" s="14">
        <ns0:v>YAGEO CC; список 20.10.2026</ns0:v>
      </ns0:c>
      <ns0:c r="R259" t="str" s="11">
        <ns0:f>D259</ns0:f>
        <ns0:v>3,9 нФ</ns0:v>
      </ns0:c>
      <ns0:c r="S259" t="str" s="11">
        <ns0:f>L259</ns0:f>
        <ns0:v>Конденсатор 3,9 нФ ±20% 25 В X7R 0603</ns0:v>
      </ns0:c>
      <x:c xmlns:x="http://schemas.openxmlformats.org/spreadsheetml/2006/main" r="T259" t="str" s="11">
        <x:v>C:\Users\Nomatin\Documents\Altium\MY_LIB\MY_LIB\Datasheets\YAGEO_CC_X7R.pdf</x:v>
      </x:c>
      <x:c xmlns:x="http://schemas.openxmlformats.org/spreadsheetml/2006/main" r="U259" t="str" s="11">
        <x:v>Даташит — локальный</x:v>
      </x:c>
      <x:c xmlns:x="http://schemas.openxmlformats.org/spreadsheetml/2006/main" r="V259" t="str" s="11">
        <x:v>C:\Users\Nomatin\Documents\Altium\MY_LIB\MY_LIB\Datasheets\YAGEO_CC_X7R.pdf</x:v>
      </x:c>
      <x:c xmlns:x="http://schemas.openxmlformats.org/spreadsheetml/2006/main" r="W259" t="str" s="11">
        <x:v>Даташит — производитель</x:v>
      </x:c>
      <x:c xmlns:x="http://schemas.openxmlformats.org/spreadsheetml/2006/main" r="X259" t="str" s="11">
        <x:v>https://yageogroup.com/content/datasheet/asset/file/UPY-GPHC_X7R_6_3V-TO-250V</x:v>
      </x:c>
      <x:c xmlns:x="http://schemas.openxmlformats.org/spreadsheetml/2006/main" r="Y259" t="str" s="11">
        <x:v>C:\Users\Nomatin\Documents\Altium\MY_LIB\MY_LIB\Datasheets\YAGEO_CC_X7R.pdf</x:v>
      </x:c>
      <ns0:c xmlns:ns0="http://schemas.openxmlformats.org/spreadsheetml/2006/main" r="Z259" s="11">
        <ns0:v>3.9e-09</ns0:v>
      </ns0:c>
      <ns0:c xmlns:ns0="http://schemas.openxmlformats.org/spreadsheetml/2006/main" r="AA259" s="11">
        <ns0:v>0.025</ns0:v>
      </ns0:c>
      <ns0:c xmlns:ns0="http://schemas.openxmlformats.org/spreadsheetml/2006/main" r="AB259" s="11">
        <ns0:v>1000</ns0:v>
      </ns0:c>
      <ns0:c xmlns:ns0="http://schemas.openxmlformats.org/spreadsheetml/2006/main" r="AC259" s="11">
        <ns0:v>1</ns0:v>
      </ns0:c>
      <ns0:c xmlns:ns0="http://schemas.openxmlformats.org/spreadsheetml/2006/main" r="AD259" s="11">
        <ns0:v>20</ns0:v>
      </ns0:c>
      <ns0:c xmlns:ns0="http://schemas.openxmlformats.org/spreadsheetml/2006/main" r="AE259" s="11">
        <ns0:v>500</ns0:v>
      </ns0:c>
      <ns0:c xmlns:ns0="http://schemas.openxmlformats.org/spreadsheetml/2006/main" r="AF259" s="11">
        <ns0:v>10000000000</ns0:v>
      </ns0:c>
      <ns0:c xmlns:ns0="http://schemas.openxmlformats.org/spreadsheetml/2006/main" r="AG259" s="11">
        <ns0:v>25</ns0:v>
      </ns0:c>
      <ns0:c xmlns:ns0="http://schemas.openxmlformats.org/spreadsheetml/2006/main" r="AH259" s="11">
        <ns0:v>60</ns0:v>
      </ns0:c>
      <ns0:c xmlns:ns0="http://schemas.openxmlformats.org/spreadsheetml/2006/main" r="AI259" s="11">
        <ns0:v>1020.22399417882</ns0:v>
      </ns0:c>
      <ns0:c xmlns:ns0="http://schemas.openxmlformats.org/spreadsheetml/2006/main" r="AJ259" s="11" t="inlineStr">
        <ns0:is>
          <ns0:t>MY_LIB_C_RC</ns0:t>
        </ns0:is>
      </ns0:c>
      <ns0:c xmlns:ns0="http://schemas.openxmlformats.org/spreadsheetml/2006/main" r="AK259" s="11" t="inlineStr">
        <ns0:is>
          <ns0:t>Nominal C; DFmax at 1kHz; minimum insulation; no temperature/bias/ESL</ns0:t>
        </ns0:is>
      </ns0:c>
      <ns0:c xmlns:ns0="http://schemas.openxmlformats.org/spreadsheetml/2006/main" r="AL259" s="11" t="inlineStr">
        <ns0:is>
          <ns0:t>General</ns0:t>
        </ns0:is>
      </ns0:c>
      <ns0:c xmlns:ns0="http://schemas.openxmlformats.org/spreadsheetml/2006/main" r="AM259" s="11" t="inlineStr">
        <ns0:is>
          <ns0:t>Spice Subcircuit</ns0:t>
        </ns0:is>
      </ns0:c>
      <ns0:c xmlns:ns0="http://schemas.openxmlformats.org/spreadsheetml/2006/main" r="AN259" s="11" t="inlineStr">
        <ns0:is>
          <ns0:t>@DESIGNATOR %1 %2 @MODEL PARAMS: Cvalue=3.9e-09 Rsvalue=1020.22399417882 Rinsvalue=10000000000</ns0:t>
        </ns0:is>
      </ns0:c>
      <ns0:c xmlns:ns0="http://schemas.openxmlformats.org/spreadsheetml/2006/main" r="AO259" s="11" t="inlineStr">
        <ns0:is>
          <ns0:t>X</ns0:t>
        </ns0:is>
      </ns0:c>
      <ns0:c xmlns:ns0="http://schemas.openxmlformats.org/spreadsheetml/2006/main" r="AP259" s="11" t="inlineStr">
        <ns0:is>
          <ns0:t>(1:1),(2:2)</ns0:t>
        </ns0:is>
      </ns0:c>
      <ns0:c xmlns:ns0="http://schemas.openxmlformats.org/spreadsheetml/2006/main" r="AQ259" s="11" t="inlineStr">
        <ns0:is>
          <ns0:t>Simulation\Capacitors\MY_LIB_C_RC.ckt</ns0:t>
        </ns0:is>
      </ns0:c>
    </ns0:row>
    <ns0:row r="260" ht="30" customHeight="1">
      <ns0:c r="A260" t="str" s="14">
        <ns0:v>C0261</ns0:v>
      </ns0:c>
      <ns0:c r="B260" t="str" s="14">
        <ns0:v>Конденсатор</ns0:v>
      </ns0:c>
      <ns0:c r="C260" t="str" s="14">
        <ns0:v>4.7n</ns0:v>
      </ns0:c>
      <ns0:c r="D260" t="str" s="11">
        <ns0:f>SUBSTITUTE(SUBSTITUTE(SUBSTITUTE(SUBSTITUTE(C260,"p"," пФ"),"n"," нФ"),"u"," мкФ"),".",",")</ns0:f>
        <ns0:v>4,7 нФ</ns0:v>
      </ns0:c>
      <ns0:c r="E260" t="str" s="14">
        <ns0:v>±20%</ns0:v>
      </ns0:c>
      <ns0:c r="F260" s="14"/>
      <ns0:c r="G260" t="str" s="14">
        <ns0:v>100 В</ns0:v>
      </ns0:c>
      <ns0:c r="H260" t="str" s="14">
        <ns0:v>X7R</ns0:v>
      </ns0:c>
      <ns0:c r="I260" t="str" s="15">
        <ns0:v>0603</ns0:v>
      </ns0:c>
      <ns0:c r="J260" t="str" s="14">
        <ns0:v>YAGEO</ns0:v>
      </ns0:c>
      <ns0:c r="K260" t="str" s="14">
        <ns0:v>CC0603MRX7R0BB472</ns0:v>
      </ns0:c>
      <ns0:c r="L260" t="str" s="11">
        <ns0:f>B260&amp;" "&amp;D260&amp;" "&amp;E260&amp;" "&amp;G260&amp;" "&amp;H260&amp;" "&amp;I260</ns0:f>
        <ns0:v>Конденсатор 4,7 нФ ±20% 100 В X7R 0603</ns0:v>
      </ns0:c>
      <ns0:c r="M260" t="str" s="13">
        <ns0:v>C</ns0:v>
      </ns0:c>
      <ns0:c r="N260" t="str" s="13">
        <ns0:v>Symbols\MY_LIB_Capacitors.SchLib</ns0:v>
      </ns0:c>
      <ns0:c r="O260" t="str" s="13">
        <ns0:v>CAPC1608X90N</ns0:v>
      </ns0:c>
      <ns0:c r="P260" t="str" s="13">
        <ns0:v>Footprints\PBL - SMD Packages.PcbLib</ns0:v>
      </ns0:c>
      <ns0:c r="Q260" t="str" s="14">
        <ns0:v>YAGEO CC; список 20.10.2026</ns0:v>
      </ns0:c>
      <ns0:c r="R260" t="str" s="11">
        <ns0:f>D260</ns0:f>
        <ns0:v>4,7 нФ</ns0:v>
      </ns0:c>
      <ns0:c r="S260" t="str" s="11">
        <ns0:f>L260</ns0:f>
        <ns0:v>Конденсатор 4,7 нФ ±20% 100 В X7R 0603</ns0:v>
      </ns0:c>
      <x:c xmlns:x="http://schemas.openxmlformats.org/spreadsheetml/2006/main" r="T260" t="str" s="11">
        <x:v>C:\Users\Nomatin\Documents\Altium\MY_LIB\MY_LIB\Datasheets\YAGEO_CC_X7R.pdf</x:v>
      </x:c>
      <x:c xmlns:x="http://schemas.openxmlformats.org/spreadsheetml/2006/main" r="U260" t="str" s="11">
        <x:v>Даташит — локальный</x:v>
      </x:c>
      <x:c xmlns:x="http://schemas.openxmlformats.org/spreadsheetml/2006/main" r="V260" t="str" s="11">
        <x:v>C:\Users\Nomatin\Documents\Altium\MY_LIB\MY_LIB\Datasheets\YAGEO_CC_X7R.pdf</x:v>
      </x:c>
      <x:c xmlns:x="http://schemas.openxmlformats.org/spreadsheetml/2006/main" r="W260" t="str" s="11">
        <x:v>Даташит — производитель</x:v>
      </x:c>
      <x:c xmlns:x="http://schemas.openxmlformats.org/spreadsheetml/2006/main" r="X260" t="str" s="11">
        <x:v>https://yageogroup.com/content/datasheet/asset/file/UPY-GPHC_X7R_6_3V-TO-250V</x:v>
      </x:c>
      <x:c xmlns:x="http://schemas.openxmlformats.org/spreadsheetml/2006/main" r="Y260" t="str" s="11">
        <x:v>C:\Users\Nomatin\Documents\Altium\MY_LIB\MY_LIB\Datasheets\YAGEO_CC_X7R.pdf</x:v>
      </x:c>
      <ns0:c xmlns:ns0="http://schemas.openxmlformats.org/spreadsheetml/2006/main" r="Z260" s="11">
        <ns0:v>4.7e-09</ns0:v>
      </ns0:c>
      <ns0:c xmlns:ns0="http://schemas.openxmlformats.org/spreadsheetml/2006/main" r="AA260" s="11">
        <ns0:v>0.025</ns0:v>
      </ns0:c>
      <ns0:c xmlns:ns0="http://schemas.openxmlformats.org/spreadsheetml/2006/main" r="AB260" s="11">
        <ns0:v>1000</ns0:v>
      </ns0:c>
      <ns0:c xmlns:ns0="http://schemas.openxmlformats.org/spreadsheetml/2006/main" r="AC260" s="11">
        <ns0:v>1</ns0:v>
      </ns0:c>
      <ns0:c xmlns:ns0="http://schemas.openxmlformats.org/spreadsheetml/2006/main" r="AD260" s="11">
        <ns0:v>20</ns0:v>
      </ns0:c>
      <ns0:c xmlns:ns0="http://schemas.openxmlformats.org/spreadsheetml/2006/main" r="AE260" s="11">
        <ns0:v>500</ns0:v>
      </ns0:c>
      <ns0:c xmlns:ns0="http://schemas.openxmlformats.org/spreadsheetml/2006/main" r="AF260" s="11">
        <ns0:v>10000000000</ns0:v>
      </ns0:c>
      <ns0:c xmlns:ns0="http://schemas.openxmlformats.org/spreadsheetml/2006/main" r="AG260" s="11">
        <ns0:v>100</ns0:v>
      </ns0:c>
      <ns0:c xmlns:ns0="http://schemas.openxmlformats.org/spreadsheetml/2006/main" r="AH260" s="11">
        <ns0:v>60</ns0:v>
      </ns0:c>
      <ns0:c xmlns:ns0="http://schemas.openxmlformats.org/spreadsheetml/2006/main" r="AI260" s="11">
        <ns0:v>846.568846233486</ns0:v>
      </ns0:c>
      <ns0:c xmlns:ns0="http://schemas.openxmlformats.org/spreadsheetml/2006/main" r="AJ260" s="11" t="inlineStr">
        <ns0:is>
          <ns0:t>MY_LIB_C_RC</ns0:t>
        </ns0:is>
      </ns0:c>
      <ns0:c xmlns:ns0="http://schemas.openxmlformats.org/spreadsheetml/2006/main" r="AK260" s="11" t="inlineStr">
        <ns0:is>
          <ns0:t>Nominal C; DFmax at 1kHz; minimum insulation; no temperature/bias/ESL</ns0:t>
        </ns0:is>
      </ns0:c>
      <ns0:c xmlns:ns0="http://schemas.openxmlformats.org/spreadsheetml/2006/main" r="AL260" s="11" t="inlineStr">
        <ns0:is>
          <ns0:t>General</ns0:t>
        </ns0:is>
      </ns0:c>
      <ns0:c xmlns:ns0="http://schemas.openxmlformats.org/spreadsheetml/2006/main" r="AM260" s="11" t="inlineStr">
        <ns0:is>
          <ns0:t>Spice Subcircuit</ns0:t>
        </ns0:is>
      </ns0:c>
      <ns0:c xmlns:ns0="http://schemas.openxmlformats.org/spreadsheetml/2006/main" r="AN260" s="11" t="inlineStr">
        <ns0:is>
          <ns0:t>@DESIGNATOR %1 %2 @MODEL PARAMS: Cvalue=4.7e-09 Rsvalue=846.568846233486 Rinsvalue=10000000000</ns0:t>
        </ns0:is>
      </ns0:c>
      <ns0:c xmlns:ns0="http://schemas.openxmlformats.org/spreadsheetml/2006/main" r="AO260" s="11" t="inlineStr">
        <ns0:is>
          <ns0:t>X</ns0:t>
        </ns0:is>
      </ns0:c>
      <ns0:c xmlns:ns0="http://schemas.openxmlformats.org/spreadsheetml/2006/main" r="AP260" s="11" t="inlineStr">
        <ns0:is>
          <ns0:t>(1:1),(2:2)</ns0:t>
        </ns0:is>
      </ns0:c>
      <ns0:c xmlns:ns0="http://schemas.openxmlformats.org/spreadsheetml/2006/main" r="AQ260" s="11" t="inlineStr">
        <ns0:is>
          <ns0:t>Simulation\Capacitors\MY_LIB_C_RC.ckt</ns0:t>
        </ns0:is>
      </ns0:c>
    </ns0:row>
    <ns0:row r="261" ht="30" customHeight="1">
      <ns0:c r="A261" t="str" s="14">
        <ns0:v>C0262</ns0:v>
      </ns0:c>
      <ns0:c r="B261" t="str" s="14">
        <ns0:v>Конденсатор</ns0:v>
      </ns0:c>
      <ns0:c r="C261" t="str" s="14">
        <ns0:v>5.6n</ns0:v>
      </ns0:c>
      <ns0:c r="D261" t="str" s="11">
        <ns0:f>SUBSTITUTE(SUBSTITUTE(SUBSTITUTE(SUBSTITUTE(C261,"p"," пФ"),"n"," нФ"),"u"," мкФ"),".",",")</ns0:f>
        <ns0:v>5,6 нФ</ns0:v>
      </ns0:c>
      <ns0:c r="E261" t="str" s="14">
        <ns0:v>±20%</ns0:v>
      </ns0:c>
      <ns0:c r="F261" s="14"/>
      <ns0:c r="G261" t="str" s="14">
        <ns0:v>50 В</ns0:v>
      </ns0:c>
      <ns0:c r="H261" t="str" s="14">
        <ns0:v>X7R</ns0:v>
      </ns0:c>
      <ns0:c r="I261" t="str" s="15">
        <ns0:v>0603</ns0:v>
      </ns0:c>
      <ns0:c r="J261" t="str" s="14">
        <ns0:v>YAGEO</ns0:v>
      </ns0:c>
      <ns0:c r="K261" t="str" s="14">
        <ns0:v>CC0603MRX7R9BB562</ns0:v>
      </ns0:c>
      <ns0:c r="L261" t="str" s="11">
        <ns0:f>B261&amp;" "&amp;D261&amp;" "&amp;E261&amp;" "&amp;G261&amp;" "&amp;H261&amp;" "&amp;I261</ns0:f>
        <ns0:v>Конденсатор 5,6 нФ ±20% 50 В X7R 0603</ns0:v>
      </ns0:c>
      <ns0:c r="M261" t="str" s="13">
        <ns0:v>C</ns0:v>
      </ns0:c>
      <ns0:c r="N261" t="str" s="13">
        <ns0:v>Symbols\MY_LIB_Capacitors.SchLib</ns0:v>
      </ns0:c>
      <ns0:c r="O261" t="str" s="13">
        <ns0:v>CAPC1608X90N</ns0:v>
      </ns0:c>
      <ns0:c r="P261" t="str" s="13">
        <ns0:v>Footprints\PBL - SMD Packages.PcbLib</ns0:v>
      </ns0:c>
      <ns0:c r="Q261" t="str" s="14">
        <ns0:v>YAGEO CC; список 20.10.2026</ns0:v>
      </ns0:c>
      <ns0:c r="R261" t="str" s="11">
        <ns0:f>D261</ns0:f>
        <ns0:v>5,6 нФ</ns0:v>
      </ns0:c>
      <ns0:c r="S261" t="str" s="11">
        <ns0:f>L261</ns0:f>
        <ns0:v>Конденсатор 5,6 нФ ±20% 50 В X7R 0603</ns0:v>
      </ns0:c>
      <x:c xmlns:x="http://schemas.openxmlformats.org/spreadsheetml/2006/main" r="T261" t="str" s="11">
        <x:v>C:\Users\Nomatin\Documents\Altium\MY_LIB\MY_LIB\Datasheets\YAGEO_CC_X7R.pdf</x:v>
      </x:c>
      <x:c xmlns:x="http://schemas.openxmlformats.org/spreadsheetml/2006/main" r="U261" t="str" s="11">
        <x:v>Даташит — локальный</x:v>
      </x:c>
      <x:c xmlns:x="http://schemas.openxmlformats.org/spreadsheetml/2006/main" r="V261" t="str" s="11">
        <x:v>C:\Users\Nomatin\Documents\Altium\MY_LIB\MY_LIB\Datasheets\YAGEO_CC_X7R.pdf</x:v>
      </x:c>
      <x:c xmlns:x="http://schemas.openxmlformats.org/spreadsheetml/2006/main" r="W261" t="str" s="11">
        <x:v>Даташит — производитель</x:v>
      </x:c>
      <x:c xmlns:x="http://schemas.openxmlformats.org/spreadsheetml/2006/main" r="X261" t="str" s="11">
        <x:v>https://yageogroup.com/content/datasheet/asset/file/UPY-GPHC_X7R_6_3V-TO-250V</x:v>
      </x:c>
      <x:c xmlns:x="http://schemas.openxmlformats.org/spreadsheetml/2006/main" r="Y261" t="str" s="11">
        <x:v>C:\Users\Nomatin\Documents\Altium\MY_LIB\MY_LIB\Datasheets\YAGEO_CC_X7R.pdf</x:v>
      </x:c>
      <ns0:c xmlns:ns0="http://schemas.openxmlformats.org/spreadsheetml/2006/main" r="Z261" s="11">
        <ns0:v>5.6e-09</ns0:v>
      </ns0:c>
      <ns0:c xmlns:ns0="http://schemas.openxmlformats.org/spreadsheetml/2006/main" r="AA261" s="11">
        <ns0:v>0.025</ns0:v>
      </ns0:c>
      <ns0:c xmlns:ns0="http://schemas.openxmlformats.org/spreadsheetml/2006/main" r="AB261" s="11">
        <ns0:v>1000</ns0:v>
      </ns0:c>
      <ns0:c xmlns:ns0="http://schemas.openxmlformats.org/spreadsheetml/2006/main" r="AC261" s="11">
        <ns0:v>1</ns0:v>
      </ns0:c>
      <ns0:c xmlns:ns0="http://schemas.openxmlformats.org/spreadsheetml/2006/main" r="AD261" s="11">
        <ns0:v>20</ns0:v>
      </ns0:c>
      <ns0:c xmlns:ns0="http://schemas.openxmlformats.org/spreadsheetml/2006/main" r="AE261" s="11">
        <ns0:v>500</ns0:v>
      </ns0:c>
      <ns0:c xmlns:ns0="http://schemas.openxmlformats.org/spreadsheetml/2006/main" r="AF261" s="11">
        <ns0:v>10000000000</ns0:v>
      </ns0:c>
      <ns0:c xmlns:ns0="http://schemas.openxmlformats.org/spreadsheetml/2006/main" r="AG261" s="11">
        <ns0:v>50</ns0:v>
      </ns0:c>
      <ns0:c xmlns:ns0="http://schemas.openxmlformats.org/spreadsheetml/2006/main" r="AH261" s="11">
        <ns0:v>60</ns0:v>
      </ns0:c>
      <ns0:c xmlns:ns0="http://schemas.openxmlformats.org/spreadsheetml/2006/main" r="AI261" s="11">
        <ns0:v>710.513138803104</ns0:v>
      </ns0:c>
      <ns0:c xmlns:ns0="http://schemas.openxmlformats.org/spreadsheetml/2006/main" r="AJ261" s="11" t="inlineStr">
        <ns0:is>
          <ns0:t>MY_LIB_C_RC</ns0:t>
        </ns0:is>
      </ns0:c>
      <ns0:c xmlns:ns0="http://schemas.openxmlformats.org/spreadsheetml/2006/main" r="AK261" s="11" t="inlineStr">
        <ns0:is>
          <ns0:t>Nominal C; DFmax at 1kHz; minimum insulation; no temperature/bias/ESL</ns0:t>
        </ns0:is>
      </ns0:c>
      <ns0:c xmlns:ns0="http://schemas.openxmlformats.org/spreadsheetml/2006/main" r="AL261" s="11" t="inlineStr">
        <ns0:is>
          <ns0:t>General</ns0:t>
        </ns0:is>
      </ns0:c>
      <ns0:c xmlns:ns0="http://schemas.openxmlformats.org/spreadsheetml/2006/main" r="AM261" s="11" t="inlineStr">
        <ns0:is>
          <ns0:t>Spice Subcircuit</ns0:t>
        </ns0:is>
      </ns0:c>
      <ns0:c xmlns:ns0="http://schemas.openxmlformats.org/spreadsheetml/2006/main" r="AN261" s="11" t="inlineStr">
        <ns0:is>
          <ns0:t>@DESIGNATOR %1 %2 @MODEL PARAMS: Cvalue=5.6e-09 Rsvalue=710.513138803104 Rinsvalue=10000000000</ns0:t>
        </ns0:is>
      </ns0:c>
      <ns0:c xmlns:ns0="http://schemas.openxmlformats.org/spreadsheetml/2006/main" r="AO261" s="11" t="inlineStr">
        <ns0:is>
          <ns0:t>X</ns0:t>
        </ns0:is>
      </ns0:c>
      <ns0:c xmlns:ns0="http://schemas.openxmlformats.org/spreadsheetml/2006/main" r="AP261" s="11" t="inlineStr">
        <ns0:is>
          <ns0:t>(1:1),(2:2)</ns0:t>
        </ns0:is>
      </ns0:c>
      <ns0:c xmlns:ns0="http://schemas.openxmlformats.org/spreadsheetml/2006/main" r="AQ261" s="11" t="inlineStr">
        <ns0:is>
          <ns0:t>Simulation\Capacitors\MY_LIB_C_RC.ckt</ns0:t>
        </ns0:is>
      </ns0:c>
    </ns0:row>
    <ns0:row r="262" ht="30" customHeight="1">
      <ns0:c r="A262" t="str" s="14">
        <ns0:v>C0263</ns0:v>
      </ns0:c>
      <ns0:c r="B262" t="str" s="14">
        <ns0:v>Конденсатор</ns0:v>
      </ns0:c>
      <ns0:c r="C262" t="str" s="14">
        <ns0:v>6.8n</ns0:v>
      </ns0:c>
      <ns0:c r="D262" t="str" s="11">
        <ns0:f>SUBSTITUTE(SUBSTITUTE(SUBSTITUTE(SUBSTITUTE(C262,"p"," пФ"),"n"," нФ"),"u"," мкФ"),".",",")</ns0:f>
        <ns0:v>6,8 нФ</ns0:v>
      </ns0:c>
      <ns0:c r="E262" t="str" s="14">
        <ns0:v>±20%</ns0:v>
      </ns0:c>
      <ns0:c r="F262" s="14"/>
      <ns0:c r="G262" t="str" s="14">
        <ns0:v>100 В</ns0:v>
      </ns0:c>
      <ns0:c r="H262" t="str" s="14">
        <ns0:v>X7R</ns0:v>
      </ns0:c>
      <ns0:c r="I262" t="str" s="15">
        <ns0:v>0603</ns0:v>
      </ns0:c>
      <ns0:c r="J262" t="str" s="14">
        <ns0:v>YAGEO</ns0:v>
      </ns0:c>
      <ns0:c r="K262" t="str" s="14">
        <ns0:v>CC0603MRX7R0BB682</ns0:v>
      </ns0:c>
      <ns0:c r="L262" t="str" s="11">
        <ns0:f>B262&amp;" "&amp;D262&amp;" "&amp;E262&amp;" "&amp;G262&amp;" "&amp;H262&amp;" "&amp;I262</ns0:f>
        <ns0:v>Конденсатор 6,8 нФ ±20% 100 В X7R 0603</ns0:v>
      </ns0:c>
      <ns0:c r="M262" t="str" s="13">
        <ns0:v>C</ns0:v>
      </ns0:c>
      <ns0:c r="N262" t="str" s="13">
        <ns0:v>Symbols\MY_LIB_Capacitors.SchLib</ns0:v>
      </ns0:c>
      <ns0:c r="O262" t="str" s="13">
        <ns0:v>CAPC1608X90N</ns0:v>
      </ns0:c>
      <ns0:c r="P262" t="str" s="13">
        <ns0:v>Footprints\PBL - SMD Packages.PcbLib</ns0:v>
      </ns0:c>
      <ns0:c r="Q262" t="str" s="14">
        <ns0:v>YAGEO CC; список 20.10.2026</ns0:v>
      </ns0:c>
      <ns0:c r="R262" t="str" s="11">
        <ns0:f>D262</ns0:f>
        <ns0:v>6,8 нФ</ns0:v>
      </ns0:c>
      <ns0:c r="S262" t="str" s="11">
        <ns0:f>L262</ns0:f>
        <ns0:v>Конденсатор 6,8 нФ ±20% 100 В X7R 0603</ns0:v>
      </ns0:c>
      <x:c xmlns:x="http://schemas.openxmlformats.org/spreadsheetml/2006/main" r="T262" t="str" s="11">
        <x:v>C:\Users\Nomatin\Documents\Altium\MY_LIB\MY_LIB\Datasheets\YAGEO_CC_X7R.pdf</x:v>
      </x:c>
      <x:c xmlns:x="http://schemas.openxmlformats.org/spreadsheetml/2006/main" r="U262" t="str" s="11">
        <x:v>Даташит — локальный</x:v>
      </x:c>
      <x:c xmlns:x="http://schemas.openxmlformats.org/spreadsheetml/2006/main" r="V262" t="str" s="11">
        <x:v>C:\Users\Nomatin\Documents\Altium\MY_LIB\MY_LIB\Datasheets\YAGEO_CC_X7R.pdf</x:v>
      </x:c>
      <x:c xmlns:x="http://schemas.openxmlformats.org/spreadsheetml/2006/main" r="W262" t="str" s="11">
        <x:v>Даташит — производитель</x:v>
      </x:c>
      <x:c xmlns:x="http://schemas.openxmlformats.org/spreadsheetml/2006/main" r="X262" t="str" s="11">
        <x:v>https://yageogroup.com/content/datasheet/asset/file/UPY-GPHC_X7R_6_3V-TO-250V</x:v>
      </x:c>
      <x:c xmlns:x="http://schemas.openxmlformats.org/spreadsheetml/2006/main" r="Y262" t="str" s="11">
        <x:v>C:\Users\Nomatin\Documents\Altium\MY_LIB\MY_LIB\Datasheets\YAGEO_CC_X7R.pdf</x:v>
      </x:c>
      <ns0:c xmlns:ns0="http://schemas.openxmlformats.org/spreadsheetml/2006/main" r="Z262" s="11">
        <ns0:v>6.8e-09</ns0:v>
      </ns0:c>
      <ns0:c xmlns:ns0="http://schemas.openxmlformats.org/spreadsheetml/2006/main" r="AA262" s="11">
        <ns0:v>0.025</ns0:v>
      </ns0:c>
      <ns0:c xmlns:ns0="http://schemas.openxmlformats.org/spreadsheetml/2006/main" r="AB262" s="11">
        <ns0:v>1000</ns0:v>
      </ns0:c>
      <ns0:c xmlns:ns0="http://schemas.openxmlformats.org/spreadsheetml/2006/main" r="AC262" s="11">
        <ns0:v>1</ns0:v>
      </ns0:c>
      <ns0:c xmlns:ns0="http://schemas.openxmlformats.org/spreadsheetml/2006/main" r="AD262" s="11">
        <ns0:v>20</ns0:v>
      </ns0:c>
      <ns0:c xmlns:ns0="http://schemas.openxmlformats.org/spreadsheetml/2006/main" r="AE262" s="11">
        <ns0:v>500</ns0:v>
      </ns0:c>
      <ns0:c xmlns:ns0="http://schemas.openxmlformats.org/spreadsheetml/2006/main" r="AF262" s="11">
        <ns0:v>10000000000</ns0:v>
      </ns0:c>
      <ns0:c xmlns:ns0="http://schemas.openxmlformats.org/spreadsheetml/2006/main" r="AG262" s="11">
        <ns0:v>100</ns0:v>
      </ns0:c>
      <ns0:c xmlns:ns0="http://schemas.openxmlformats.org/spreadsheetml/2006/main" r="AH262" s="11">
        <ns0:v>60</ns0:v>
      </ns0:c>
      <ns0:c xmlns:ns0="http://schemas.openxmlformats.org/spreadsheetml/2006/main" r="AI262" s="11">
        <ns0:v>585.128467249615</ns0:v>
      </ns0:c>
      <ns0:c xmlns:ns0="http://schemas.openxmlformats.org/spreadsheetml/2006/main" r="AJ262" s="11" t="inlineStr">
        <ns0:is>
          <ns0:t>MY_LIB_C_RC</ns0:t>
        </ns0:is>
      </ns0:c>
      <ns0:c xmlns:ns0="http://schemas.openxmlformats.org/spreadsheetml/2006/main" r="AK262" s="11" t="inlineStr">
        <ns0:is>
          <ns0:t>Nominal C; DFmax at 1kHz; minimum insulation; no temperature/bias/ESL</ns0:t>
        </ns0:is>
      </ns0:c>
      <ns0:c xmlns:ns0="http://schemas.openxmlformats.org/spreadsheetml/2006/main" r="AL262" s="11" t="inlineStr">
        <ns0:is>
          <ns0:t>General</ns0:t>
        </ns0:is>
      </ns0:c>
      <ns0:c xmlns:ns0="http://schemas.openxmlformats.org/spreadsheetml/2006/main" r="AM262" s="11" t="inlineStr">
        <ns0:is>
          <ns0:t>Spice Subcircuit</ns0:t>
        </ns0:is>
      </ns0:c>
      <ns0:c xmlns:ns0="http://schemas.openxmlformats.org/spreadsheetml/2006/main" r="AN262" s="11" t="inlineStr">
        <ns0:is>
          <ns0:t>@DESIGNATOR %1 %2 @MODEL PARAMS: Cvalue=6.8e-09 Rsvalue=585.128467249615 Rinsvalue=10000000000</ns0:t>
        </ns0:is>
      </ns0:c>
      <ns0:c xmlns:ns0="http://schemas.openxmlformats.org/spreadsheetml/2006/main" r="AO262" s="11" t="inlineStr">
        <ns0:is>
          <ns0:t>X</ns0:t>
        </ns0:is>
      </ns0:c>
      <ns0:c xmlns:ns0="http://schemas.openxmlformats.org/spreadsheetml/2006/main" r="AP262" s="11" t="inlineStr">
        <ns0:is>
          <ns0:t>(1:1),(2:2)</ns0:t>
        </ns0:is>
      </ns0:c>
      <ns0:c xmlns:ns0="http://schemas.openxmlformats.org/spreadsheetml/2006/main" r="AQ262" s="11" t="inlineStr">
        <ns0:is>
          <ns0:t>Simulation\Capacitors\MY_LIB_C_RC.ckt</ns0:t>
        </ns0:is>
      </ns0:c>
    </ns0:row>
    <ns0:row r="263" ht="30" customHeight="1">
      <ns0:c r="A263" t="str" s="14">
        <ns0:v>C0264</ns0:v>
      </ns0:c>
      <ns0:c r="B263" t="str" s="14">
        <ns0:v>Конденсатор</ns0:v>
      </ns0:c>
      <ns0:c r="C263" t="str" s="14">
        <ns0:v>10n</ns0:v>
      </ns0:c>
      <ns0:c r="D263" t="str" s="11">
        <ns0:f>SUBSTITUTE(SUBSTITUTE(SUBSTITUTE(SUBSTITUTE(C263,"p"," пФ"),"n"," нФ"),"u"," мкФ"),".",",")</ns0:f>
        <ns0:v>10 нФ</ns0:v>
      </ns0:c>
      <ns0:c r="E263" t="str" s="14">
        <ns0:v>±20%</ns0:v>
      </ns0:c>
      <ns0:c r="F263" s="14"/>
      <ns0:c r="G263" t="str" s="14">
        <ns0:v>100 В</ns0:v>
      </ns0:c>
      <ns0:c r="H263" t="str" s="14">
        <ns0:v>X7R</ns0:v>
      </ns0:c>
      <ns0:c r="I263" t="str" s="15">
        <ns0:v>0603</ns0:v>
      </ns0:c>
      <ns0:c r="J263" t="str" s="14">
        <ns0:v>YAGEO</ns0:v>
      </ns0:c>
      <ns0:c r="K263" t="str" s="14">
        <ns0:v>CC0603MRX7R0BB103</ns0:v>
      </ns0:c>
      <ns0:c r="L263" t="str" s="11">
        <ns0:f>B263&amp;" "&amp;D263&amp;" "&amp;E263&amp;" "&amp;G263&amp;" "&amp;H263&amp;" "&amp;I263</ns0:f>
        <ns0:v>Конденсатор 10 нФ ±20% 100 В X7R 0603</ns0:v>
      </ns0:c>
      <ns0:c r="M263" t="str" s="13">
        <ns0:v>C</ns0:v>
      </ns0:c>
      <ns0:c r="N263" t="str" s="13">
        <ns0:v>Symbols\MY_LIB_Capacitors.SchLib</ns0:v>
      </ns0:c>
      <ns0:c r="O263" t="str" s="13">
        <ns0:v>CAPC1608X90N</ns0:v>
      </ns0:c>
      <ns0:c r="P263" t="str" s="13">
        <ns0:v>Footprints\PBL - SMD Packages.PcbLib</ns0:v>
      </ns0:c>
      <ns0:c r="Q263" t="str" s="14">
        <ns0:v>YAGEO CC; список 20.10.2026</ns0:v>
      </ns0:c>
      <ns0:c r="R263" t="str" s="11">
        <ns0:f>D263</ns0:f>
        <ns0:v>10 нФ</ns0:v>
      </ns0:c>
      <ns0:c r="S263" t="str" s="11">
        <ns0:f>L263</ns0:f>
        <ns0:v>Конденсатор 10 нФ ±20% 100 В X7R 0603</ns0:v>
      </ns0:c>
      <x:c xmlns:x="http://schemas.openxmlformats.org/spreadsheetml/2006/main" r="T263" t="str" s="11">
        <x:v>C:\Users\Nomatin\Documents\Altium\MY_LIB\MY_LIB\Datasheets\YAGEO_CC_X7R.pdf</x:v>
      </x:c>
      <x:c xmlns:x="http://schemas.openxmlformats.org/spreadsheetml/2006/main" r="U263" t="str" s="11">
        <x:v>Даташит — локальный</x:v>
      </x:c>
      <x:c xmlns:x="http://schemas.openxmlformats.org/spreadsheetml/2006/main" r="V263" t="str" s="11">
        <x:v>C:\Users\Nomatin\Documents\Altium\MY_LIB\MY_LIB\Datasheets\YAGEO_CC_X7R.pdf</x:v>
      </x:c>
      <x:c xmlns:x="http://schemas.openxmlformats.org/spreadsheetml/2006/main" r="W263" t="str" s="11">
        <x:v>Даташит — производитель</x:v>
      </x:c>
      <x:c xmlns:x="http://schemas.openxmlformats.org/spreadsheetml/2006/main" r="X263" t="str" s="11">
        <x:v>https://yageogroup.com/content/datasheet/asset/file/UPY-GPHC_X7R_6_3V-TO-250V</x:v>
      </x:c>
      <x:c xmlns:x="http://schemas.openxmlformats.org/spreadsheetml/2006/main" r="Y263" t="str" s="11">
        <x:v>C:\Users\Nomatin\Documents\Altium\MY_LIB\MY_LIB\Datasheets\YAGEO_CC_X7R.pdf</x:v>
      </x:c>
      <ns0:c xmlns:ns0="http://schemas.openxmlformats.org/spreadsheetml/2006/main" r="Z263" s="11">
        <ns0:v>1e-08</ns0:v>
      </ns0:c>
      <ns0:c xmlns:ns0="http://schemas.openxmlformats.org/spreadsheetml/2006/main" r="AA263" s="11">
        <ns0:v>0.025</ns0:v>
      </ns0:c>
      <ns0:c xmlns:ns0="http://schemas.openxmlformats.org/spreadsheetml/2006/main" r="AB263" s="11">
        <ns0:v>1000</ns0:v>
      </ns0:c>
      <ns0:c xmlns:ns0="http://schemas.openxmlformats.org/spreadsheetml/2006/main" r="AC263" s="11">
        <ns0:v>1</ns0:v>
      </ns0:c>
      <ns0:c xmlns:ns0="http://schemas.openxmlformats.org/spreadsheetml/2006/main" r="AD263" s="11">
        <ns0:v>20</ns0:v>
      </ns0:c>
      <ns0:c xmlns:ns0="http://schemas.openxmlformats.org/spreadsheetml/2006/main" r="AE263" s="11">
        <ns0:v>500</ns0:v>
      </ns0:c>
      <ns0:c xmlns:ns0="http://schemas.openxmlformats.org/spreadsheetml/2006/main" r="AF263" s="11">
        <ns0:v>10000000000</ns0:v>
      </ns0:c>
      <ns0:c xmlns:ns0="http://schemas.openxmlformats.org/spreadsheetml/2006/main" r="AG263" s="11">
        <ns0:v>100</ns0:v>
      </ns0:c>
      <ns0:c xmlns:ns0="http://schemas.openxmlformats.org/spreadsheetml/2006/main" r="AH263" s="11">
        <ns0:v>60</ns0:v>
      </ns0:c>
      <ns0:c xmlns:ns0="http://schemas.openxmlformats.org/spreadsheetml/2006/main" r="AI263" s="11">
        <ns0:v>397.887357729738</ns0:v>
      </ns0:c>
      <ns0:c xmlns:ns0="http://schemas.openxmlformats.org/spreadsheetml/2006/main" r="AJ263" s="11" t="inlineStr">
        <ns0:is>
          <ns0:t>MY_LIB_C_RC</ns0:t>
        </ns0:is>
      </ns0:c>
      <ns0:c xmlns:ns0="http://schemas.openxmlformats.org/spreadsheetml/2006/main" r="AK263" s="11" t="inlineStr">
        <ns0:is>
          <ns0:t>Nominal C; DFmax at 1kHz; minimum insulation; no temperature/bias/ESL</ns0:t>
        </ns0:is>
      </ns0:c>
      <ns0:c xmlns:ns0="http://schemas.openxmlformats.org/spreadsheetml/2006/main" r="AL263" s="11" t="inlineStr">
        <ns0:is>
          <ns0:t>General</ns0:t>
        </ns0:is>
      </ns0:c>
      <ns0:c xmlns:ns0="http://schemas.openxmlformats.org/spreadsheetml/2006/main" r="AM263" s="11" t="inlineStr">
        <ns0:is>
          <ns0:t>Spice Subcircuit</ns0:t>
        </ns0:is>
      </ns0:c>
      <ns0:c xmlns:ns0="http://schemas.openxmlformats.org/spreadsheetml/2006/main" r="AN263" s="11" t="inlineStr">
        <ns0:is>
          <ns0:t>@DESIGNATOR %1 %2 @MODEL PARAMS: Cvalue=1e-08 Rsvalue=397.887357729738 Rinsvalue=10000000000</ns0:t>
        </ns0:is>
      </ns0:c>
      <ns0:c xmlns:ns0="http://schemas.openxmlformats.org/spreadsheetml/2006/main" r="AO263" s="11" t="inlineStr">
        <ns0:is>
          <ns0:t>X</ns0:t>
        </ns0:is>
      </ns0:c>
      <ns0:c xmlns:ns0="http://schemas.openxmlformats.org/spreadsheetml/2006/main" r="AP263" s="11" t="inlineStr">
        <ns0:is>
          <ns0:t>(1:1),(2:2)</ns0:t>
        </ns0:is>
      </ns0:c>
      <ns0:c xmlns:ns0="http://schemas.openxmlformats.org/spreadsheetml/2006/main" r="AQ263" s="11" t="inlineStr">
        <ns0:is>
          <ns0:t>Simulation\Capacitors\MY_LIB_C_RC.ckt</ns0:t>
        </ns0:is>
      </ns0:c>
    </ns0:row>
    <ns0:row r="264" ht="30" customHeight="1">
      <ns0:c r="A264" t="str" s="14">
        <ns0:v>C0265</ns0:v>
      </ns0:c>
      <ns0:c r="B264" t="str" s="14">
        <ns0:v>Конденсатор</ns0:v>
      </ns0:c>
      <ns0:c r="C264" t="str" s="14">
        <ns0:v>15n</ns0:v>
      </ns0:c>
      <ns0:c r="D264" t="str" s="11">
        <ns0:f>SUBSTITUTE(SUBSTITUTE(SUBSTITUTE(SUBSTITUTE(C264,"p"," пФ"),"n"," нФ"),"u"," мкФ"),".",",")</ns0:f>
        <ns0:v>15 нФ</ns0:v>
      </ns0:c>
      <ns0:c r="E264" t="str" s="14">
        <ns0:v>±20%</ns0:v>
      </ns0:c>
      <ns0:c r="F264" s="14"/>
      <ns0:c r="G264" t="str" s="14">
        <ns0:v>100 В</ns0:v>
      </ns0:c>
      <ns0:c r="H264" t="str" s="14">
        <ns0:v>X7R</ns0:v>
      </ns0:c>
      <ns0:c r="I264" t="str" s="15">
        <ns0:v>0603</ns0:v>
      </ns0:c>
      <ns0:c r="J264" t="str" s="14">
        <ns0:v>YAGEO</ns0:v>
      </ns0:c>
      <ns0:c r="K264" t="str" s="14">
        <ns0:v>CC0603MRX7R0BB153</ns0:v>
      </ns0:c>
      <ns0:c r="L264" t="str" s="11">
        <ns0:f>B264&amp;" "&amp;D264&amp;" "&amp;E264&amp;" "&amp;G264&amp;" "&amp;H264&amp;" "&amp;I264</ns0:f>
        <ns0:v>Конденсатор 15 нФ ±20% 100 В X7R 0603</ns0:v>
      </ns0:c>
      <ns0:c r="M264" t="str" s="13">
        <ns0:v>C</ns0:v>
      </ns0:c>
      <ns0:c r="N264" t="str" s="13">
        <ns0:v>Symbols\MY_LIB_Capacitors.SchLib</ns0:v>
      </ns0:c>
      <ns0:c r="O264" t="str" s="13">
        <ns0:v>CAPC1608X90N</ns0:v>
      </ns0:c>
      <ns0:c r="P264" t="str" s="13">
        <ns0:v>Footprints\PBL - SMD Packages.PcbLib</ns0:v>
      </ns0:c>
      <ns0:c r="Q264" t="str" s="14">
        <ns0:v>YAGEO CC; список 20.10.2026</ns0:v>
      </ns0:c>
      <ns0:c r="R264" t="str" s="11">
        <ns0:f>D264</ns0:f>
        <ns0:v>15 нФ</ns0:v>
      </ns0:c>
      <ns0:c r="S264" t="str" s="11">
        <ns0:f>L264</ns0:f>
        <ns0:v>Конденсатор 15 нФ ±20% 100 В X7R 0603</ns0:v>
      </ns0:c>
      <x:c xmlns:x="http://schemas.openxmlformats.org/spreadsheetml/2006/main" r="T264" t="str" s="11">
        <x:v>C:\Users\Nomatin\Documents\Altium\MY_LIB\MY_LIB\Datasheets\YAGEO_CC_X7R.pdf</x:v>
      </x:c>
      <x:c xmlns:x="http://schemas.openxmlformats.org/spreadsheetml/2006/main" r="U264" t="str" s="11">
        <x:v>Даташит — локальный</x:v>
      </x:c>
      <x:c xmlns:x="http://schemas.openxmlformats.org/spreadsheetml/2006/main" r="V264" t="str" s="11">
        <x:v>C:\Users\Nomatin\Documents\Altium\MY_LIB\MY_LIB\Datasheets\YAGEO_CC_X7R.pdf</x:v>
      </x:c>
      <x:c xmlns:x="http://schemas.openxmlformats.org/spreadsheetml/2006/main" r="W264" t="str" s="11">
        <x:v>Даташит — производитель</x:v>
      </x:c>
      <x:c xmlns:x="http://schemas.openxmlformats.org/spreadsheetml/2006/main" r="X264" t="str" s="11">
        <x:v>https://yageogroup.com/content/datasheet/asset/file/UPY-GPHC_X7R_6_3V-TO-250V</x:v>
      </x:c>
      <x:c xmlns:x="http://schemas.openxmlformats.org/spreadsheetml/2006/main" r="Y264" t="str" s="11">
        <x:v>C:\Users\Nomatin\Documents\Altium\MY_LIB\MY_LIB\Datasheets\YAGEO_CC_X7R.pdf</x:v>
      </x:c>
      <ns0:c xmlns:ns0="http://schemas.openxmlformats.org/spreadsheetml/2006/main" r="Z264" s="11">
        <ns0:v>1.5e-08</ns0:v>
      </ns0:c>
      <ns0:c xmlns:ns0="http://schemas.openxmlformats.org/spreadsheetml/2006/main" r="AA264" s="11">
        <ns0:v>0.05</ns0:v>
      </ns0:c>
      <ns0:c xmlns:ns0="http://schemas.openxmlformats.org/spreadsheetml/2006/main" r="AB264" s="11">
        <ns0:v>1000</ns0:v>
      </ns0:c>
      <ns0:c xmlns:ns0="http://schemas.openxmlformats.org/spreadsheetml/2006/main" r="AC264" s="11">
        <ns0:v>1</ns0:v>
      </ns0:c>
      <ns0:c xmlns:ns0="http://schemas.openxmlformats.org/spreadsheetml/2006/main" r="AD264" s="11">
        <ns0:v>20</ns0:v>
      </ns0:c>
      <ns0:c xmlns:ns0="http://schemas.openxmlformats.org/spreadsheetml/2006/main" r="AE264" s="11">
        <ns0:v>500</ns0:v>
      </ns0:c>
      <ns0:c xmlns:ns0="http://schemas.openxmlformats.org/spreadsheetml/2006/main" r="AF264" s="11">
        <ns0:v>10000000000</ns0:v>
      </ns0:c>
      <ns0:c xmlns:ns0="http://schemas.openxmlformats.org/spreadsheetml/2006/main" r="AG264" s="11">
        <ns0:v>100</ns0:v>
      </ns0:c>
      <ns0:c xmlns:ns0="http://schemas.openxmlformats.org/spreadsheetml/2006/main" r="AH264" s="11">
        <ns0:v>60</ns0:v>
      </ns0:c>
      <ns0:c xmlns:ns0="http://schemas.openxmlformats.org/spreadsheetml/2006/main" r="AI264" s="11">
        <ns0:v>530.516476972984</ns0:v>
      </ns0:c>
      <ns0:c xmlns:ns0="http://schemas.openxmlformats.org/spreadsheetml/2006/main" r="AJ264" s="11" t="inlineStr">
        <ns0:is>
          <ns0:t>MY_LIB_C_RC</ns0:t>
        </ns0:is>
      </ns0:c>
      <ns0:c xmlns:ns0="http://schemas.openxmlformats.org/spreadsheetml/2006/main" r="AK264" s="11" t="inlineStr">
        <ns0:is>
          <ns0:t>Nominal C; DFmax at 1kHz; minimum insulation; no temperature/bias/ESL</ns0:t>
        </ns0:is>
      </ns0:c>
      <ns0:c xmlns:ns0="http://schemas.openxmlformats.org/spreadsheetml/2006/main" r="AL264" s="11" t="inlineStr">
        <ns0:is>
          <ns0:t>General</ns0:t>
        </ns0:is>
      </ns0:c>
      <ns0:c xmlns:ns0="http://schemas.openxmlformats.org/spreadsheetml/2006/main" r="AM264" s="11" t="inlineStr">
        <ns0:is>
          <ns0:t>Spice Subcircuit</ns0:t>
        </ns0:is>
      </ns0:c>
      <ns0:c xmlns:ns0="http://schemas.openxmlformats.org/spreadsheetml/2006/main" r="AN264" s="11" t="inlineStr">
        <ns0:is>
          <ns0:t>@DESIGNATOR %1 %2 @MODEL PARAMS: Cvalue=1.5e-08 Rsvalue=530.516476972984 Rinsvalue=10000000000</ns0:t>
        </ns0:is>
      </ns0:c>
      <ns0:c xmlns:ns0="http://schemas.openxmlformats.org/spreadsheetml/2006/main" r="AO264" s="11" t="inlineStr">
        <ns0:is>
          <ns0:t>X</ns0:t>
        </ns0:is>
      </ns0:c>
      <ns0:c xmlns:ns0="http://schemas.openxmlformats.org/spreadsheetml/2006/main" r="AP264" s="11" t="inlineStr">
        <ns0:is>
          <ns0:t>(1:1),(2:2)</ns0:t>
        </ns0:is>
      </ns0:c>
      <ns0:c xmlns:ns0="http://schemas.openxmlformats.org/spreadsheetml/2006/main" r="AQ264" s="11" t="inlineStr">
        <ns0:is>
          <ns0:t>Simulation\Capacitors\MY_LIB_C_RC.ckt</ns0:t>
        </ns0:is>
      </ns0:c>
    </ns0:row>
    <ns0:row r="265" ht="30" customHeight="1">
      <ns0:c r="A265" t="str" s="14">
        <ns0:v>C0266</ns0:v>
      </ns0:c>
      <ns0:c r="B265" t="str" s="14">
        <ns0:v>Конденсатор</ns0:v>
      </ns0:c>
      <ns0:c r="C265" t="str" s="14">
        <ns0:v>22n</ns0:v>
      </ns0:c>
      <ns0:c r="D265" t="str" s="11">
        <ns0:f>SUBSTITUTE(SUBSTITUTE(SUBSTITUTE(SUBSTITUTE(C265,"p"," пФ"),"n"," нФ"),"u"," мкФ"),".",",")</ns0:f>
        <ns0:v>22 нФ</ns0:v>
      </ns0:c>
      <ns0:c r="E265" t="str" s="14">
        <ns0:v>±20%</ns0:v>
      </ns0:c>
      <ns0:c r="F265" s="14"/>
      <ns0:c r="G265" t="str" s="14">
        <ns0:v>100 В</ns0:v>
      </ns0:c>
      <ns0:c r="H265" t="str" s="14">
        <ns0:v>X7R</ns0:v>
      </ns0:c>
      <ns0:c r="I265" t="str" s="15">
        <ns0:v>0603</ns0:v>
      </ns0:c>
      <ns0:c r="J265" t="str" s="14">
        <ns0:v>YAGEO</ns0:v>
      </ns0:c>
      <ns0:c r="K265" t="str" s="14">
        <ns0:v>CC0603MRX7R0BB223</ns0:v>
      </ns0:c>
      <ns0:c r="L265" t="str" s="11">
        <ns0:f>B265&amp;" "&amp;D265&amp;" "&amp;E265&amp;" "&amp;G265&amp;" "&amp;H265&amp;" "&amp;I265</ns0:f>
        <ns0:v>Конденсатор 22 нФ ±20% 100 В X7R 0603</ns0:v>
      </ns0:c>
      <ns0:c r="M265" t="str" s="13">
        <ns0:v>C</ns0:v>
      </ns0:c>
      <ns0:c r="N265" t="str" s="13">
        <ns0:v>Symbols\MY_LIB_Capacitors.SchLib</ns0:v>
      </ns0:c>
      <ns0:c r="O265" t="str" s="13">
        <ns0:v>CAPC1608X90N</ns0:v>
      </ns0:c>
      <ns0:c r="P265" t="str" s="13">
        <ns0:v>Footprints\PBL - SMD Packages.PcbLib</ns0:v>
      </ns0:c>
      <ns0:c r="Q265" t="str" s="14">
        <ns0:v>YAGEO CC; список 20.10.2026</ns0:v>
      </ns0:c>
      <ns0:c r="R265" t="str" s="11">
        <ns0:f>D265</ns0:f>
        <ns0:v>22 нФ</ns0:v>
      </ns0:c>
      <ns0:c r="S265" t="str" s="11">
        <ns0:f>L265</ns0:f>
        <ns0:v>Конденсатор 22 нФ ±20% 100 В X7R 0603</ns0:v>
      </ns0:c>
      <x:c xmlns:x="http://schemas.openxmlformats.org/spreadsheetml/2006/main" r="T265" t="str" s="11">
        <x:v>C:\Users\Nomatin\Documents\Altium\MY_LIB\MY_LIB\Datasheets\YAGEO_CC_X7R.pdf</x:v>
      </x:c>
      <x:c xmlns:x="http://schemas.openxmlformats.org/spreadsheetml/2006/main" r="U265" t="str" s="11">
        <x:v>Даташит — локальный</x:v>
      </x:c>
      <x:c xmlns:x="http://schemas.openxmlformats.org/spreadsheetml/2006/main" r="V265" t="str" s="11">
        <x:v>C:\Users\Nomatin\Documents\Altium\MY_LIB\MY_LIB\Datasheets\YAGEO_CC_X7R.pdf</x:v>
      </x:c>
      <x:c xmlns:x="http://schemas.openxmlformats.org/spreadsheetml/2006/main" r="W265" t="str" s="11">
        <x:v>Даташит — производитель</x:v>
      </x:c>
      <x:c xmlns:x="http://schemas.openxmlformats.org/spreadsheetml/2006/main" r="X265" t="str" s="11">
        <x:v>https://yageogroup.com/content/datasheet/asset/file/UPY-GPHC_X7R_6_3V-TO-250V</x:v>
      </x:c>
      <x:c xmlns:x="http://schemas.openxmlformats.org/spreadsheetml/2006/main" r="Y265" t="str" s="11">
        <x:v>C:\Users\Nomatin\Documents\Altium\MY_LIB\MY_LIB\Datasheets\YAGEO_CC_X7R.pdf</x:v>
      </x:c>
      <ns0:c xmlns:ns0="http://schemas.openxmlformats.org/spreadsheetml/2006/main" r="Z265" s="11">
        <ns0:v>2.2e-08</ns0:v>
      </ns0:c>
      <ns0:c xmlns:ns0="http://schemas.openxmlformats.org/spreadsheetml/2006/main" r="AA265" s="11">
        <ns0:v>0.05</ns0:v>
      </ns0:c>
      <ns0:c xmlns:ns0="http://schemas.openxmlformats.org/spreadsheetml/2006/main" r="AB265" s="11">
        <ns0:v>1000</ns0:v>
      </ns0:c>
      <ns0:c xmlns:ns0="http://schemas.openxmlformats.org/spreadsheetml/2006/main" r="AC265" s="11">
        <ns0:v>1</ns0:v>
      </ns0:c>
      <ns0:c xmlns:ns0="http://schemas.openxmlformats.org/spreadsheetml/2006/main" r="AD265" s="11">
        <ns0:v>20</ns0:v>
      </ns0:c>
      <ns0:c xmlns:ns0="http://schemas.openxmlformats.org/spreadsheetml/2006/main" r="AE265" s="11">
        <ns0:v>500</ns0:v>
      </ns0:c>
      <ns0:c xmlns:ns0="http://schemas.openxmlformats.org/spreadsheetml/2006/main" r="AF265" s="11">
        <ns0:v>10000000000</ns0:v>
      </ns0:c>
      <ns0:c xmlns:ns0="http://schemas.openxmlformats.org/spreadsheetml/2006/main" r="AG265" s="11">
        <ns0:v>100</ns0:v>
      </ns0:c>
      <ns0:c xmlns:ns0="http://schemas.openxmlformats.org/spreadsheetml/2006/main" r="AH265" s="11">
        <ns0:v>60</ns0:v>
      </ns0:c>
      <ns0:c xmlns:ns0="http://schemas.openxmlformats.org/spreadsheetml/2006/main" r="AI265" s="11">
        <ns0:v>361.715779754308</ns0:v>
      </ns0:c>
      <ns0:c xmlns:ns0="http://schemas.openxmlformats.org/spreadsheetml/2006/main" r="AJ265" s="11" t="inlineStr">
        <ns0:is>
          <ns0:t>MY_LIB_C_RC</ns0:t>
        </ns0:is>
      </ns0:c>
      <ns0:c xmlns:ns0="http://schemas.openxmlformats.org/spreadsheetml/2006/main" r="AK265" s="11" t="inlineStr">
        <ns0:is>
          <ns0:t>Nominal C; DFmax at 1kHz; minimum insulation; no temperature/bias/ESL</ns0:t>
        </ns0:is>
      </ns0:c>
      <ns0:c xmlns:ns0="http://schemas.openxmlformats.org/spreadsheetml/2006/main" r="AL265" s="11" t="inlineStr">
        <ns0:is>
          <ns0:t>General</ns0:t>
        </ns0:is>
      </ns0:c>
      <ns0:c xmlns:ns0="http://schemas.openxmlformats.org/spreadsheetml/2006/main" r="AM265" s="11" t="inlineStr">
        <ns0:is>
          <ns0:t>Spice Subcircuit</ns0:t>
        </ns0:is>
      </ns0:c>
      <ns0:c xmlns:ns0="http://schemas.openxmlformats.org/spreadsheetml/2006/main" r="AN265" s="11" t="inlineStr">
        <ns0:is>
          <ns0:t>@DESIGNATOR %1 %2 @MODEL PARAMS: Cvalue=2.2e-08 Rsvalue=361.715779754308 Rinsvalue=10000000000</ns0:t>
        </ns0:is>
      </ns0:c>
      <ns0:c xmlns:ns0="http://schemas.openxmlformats.org/spreadsheetml/2006/main" r="AO265" s="11" t="inlineStr">
        <ns0:is>
          <ns0:t>X</ns0:t>
        </ns0:is>
      </ns0:c>
      <ns0:c xmlns:ns0="http://schemas.openxmlformats.org/spreadsheetml/2006/main" r="AP265" s="11" t="inlineStr">
        <ns0:is>
          <ns0:t>(1:1),(2:2)</ns0:t>
        </ns0:is>
      </ns0:c>
      <ns0:c xmlns:ns0="http://schemas.openxmlformats.org/spreadsheetml/2006/main" r="AQ265" s="11" t="inlineStr">
        <ns0:is>
          <ns0:t>Simulation\Capacitors\MY_LIB_C_RC.ckt</ns0:t>
        </ns0:is>
      </ns0:c>
    </ns0:row>
    <ns0:row r="266" ht="30" customHeight="1">
      <ns0:c r="A266" t="str" s="14">
        <ns0:v>C0267</ns0:v>
      </ns0:c>
      <ns0:c r="B266" t="str" s="14">
        <ns0:v>Конденсатор</ns0:v>
      </ns0:c>
      <ns0:c r="C266" t="str" s="14">
        <ns0:v>33n</ns0:v>
      </ns0:c>
      <ns0:c r="D266" t="str" s="11">
        <ns0:f>SUBSTITUTE(SUBSTITUTE(SUBSTITUTE(SUBSTITUTE(C266,"p"," пФ"),"n"," нФ"),"u"," мкФ"),".",",")</ns0:f>
        <ns0:v>33 нФ</ns0:v>
      </ns0:c>
      <ns0:c r="E266" t="str" s="14">
        <ns0:v>±20%</ns0:v>
      </ns0:c>
      <ns0:c r="F266" s="14"/>
      <ns0:c r="G266" t="str" s="14">
        <ns0:v>100 В</ns0:v>
      </ns0:c>
      <ns0:c r="H266" t="str" s="14">
        <ns0:v>X7R</ns0:v>
      </ns0:c>
      <ns0:c r="I266" t="str" s="15">
        <ns0:v>0603</ns0:v>
      </ns0:c>
      <ns0:c r="J266" t="str" s="14">
        <ns0:v>YAGEO</ns0:v>
      </ns0:c>
      <ns0:c r="K266" t="str" s="14">
        <ns0:v>CC0603MRX7R0BB333</ns0:v>
      </ns0:c>
      <ns0:c r="L266" t="str" s="11">
        <ns0:f>B266&amp;" "&amp;D266&amp;" "&amp;E266&amp;" "&amp;G266&amp;" "&amp;H266&amp;" "&amp;I266</ns0:f>
        <ns0:v>Конденсатор 33 нФ ±20% 100 В X7R 0603</ns0:v>
      </ns0:c>
      <ns0:c r="M266" t="str" s="13">
        <ns0:v>C</ns0:v>
      </ns0:c>
      <ns0:c r="N266" t="str" s="13">
        <ns0:v>Symbols\MY_LIB_Capacitors.SchLib</ns0:v>
      </ns0:c>
      <ns0:c r="O266" t="str" s="13">
        <ns0:v>CAPC1608X90N</ns0:v>
      </ns0:c>
      <ns0:c r="P266" t="str" s="13">
        <ns0:v>Footprints\PBL - SMD Packages.PcbLib</ns0:v>
      </ns0:c>
      <ns0:c r="Q266" t="str" s="14">
        <ns0:v>YAGEO CC; список 20.10.2026</ns0:v>
      </ns0:c>
      <ns0:c r="R266" t="str" s="11">
        <ns0:f>D266</ns0:f>
        <ns0:v>33 нФ</ns0:v>
      </ns0:c>
      <ns0:c r="S266" t="str" s="11">
        <ns0:f>L266</ns0:f>
        <ns0:v>Конденсатор 33 нФ ±20% 100 В X7R 0603</ns0:v>
      </ns0:c>
      <x:c xmlns:x="http://schemas.openxmlformats.org/spreadsheetml/2006/main" r="T266" t="str" s="11">
        <x:v>C:\Users\Nomatin\Documents\Altium\MY_LIB\MY_LIB\Datasheets\YAGEO_CC_X7R.pdf</x:v>
      </x:c>
      <x:c xmlns:x="http://schemas.openxmlformats.org/spreadsheetml/2006/main" r="U266" t="str" s="11">
        <x:v>Даташит — локальный</x:v>
      </x:c>
      <x:c xmlns:x="http://schemas.openxmlformats.org/spreadsheetml/2006/main" r="V266" t="str" s="11">
        <x:v>C:\Users\Nomatin\Documents\Altium\MY_LIB\MY_LIB\Datasheets\YAGEO_CC_X7R.pdf</x:v>
      </x:c>
      <x:c xmlns:x="http://schemas.openxmlformats.org/spreadsheetml/2006/main" r="W266" t="str" s="11">
        <x:v>Даташит — производитель</x:v>
      </x:c>
      <x:c xmlns:x="http://schemas.openxmlformats.org/spreadsheetml/2006/main" r="X266" t="str" s="11">
        <x:v>https://yageogroup.com/content/datasheet/asset/file/UPY-GPHC_X7R_6_3V-TO-250V</x:v>
      </x:c>
      <x:c xmlns:x="http://schemas.openxmlformats.org/spreadsheetml/2006/main" r="Y266" t="str" s="11">
        <x:v>C:\Users\Nomatin\Documents\Altium\MY_LIB\MY_LIB\Datasheets\YAGEO_CC_X7R.pdf</x:v>
      </x:c>
      <ns0:c xmlns:ns0="http://schemas.openxmlformats.org/spreadsheetml/2006/main" r="Z266" s="11">
        <ns0:v>3.3e-08</ns0:v>
      </ns0:c>
      <ns0:c xmlns:ns0="http://schemas.openxmlformats.org/spreadsheetml/2006/main" r="AA266" s="11">
        <ns0:v>0.05</ns0:v>
      </ns0:c>
      <ns0:c xmlns:ns0="http://schemas.openxmlformats.org/spreadsheetml/2006/main" r="AB266" s="11">
        <ns0:v>1000</ns0:v>
      </ns0:c>
      <ns0:c xmlns:ns0="http://schemas.openxmlformats.org/spreadsheetml/2006/main" r="AC266" s="11">
        <ns0:v>1</ns0:v>
      </ns0:c>
      <ns0:c xmlns:ns0="http://schemas.openxmlformats.org/spreadsheetml/2006/main" r="AD266" s="11">
        <ns0:v>20</ns0:v>
      </ns0:c>
      <ns0:c xmlns:ns0="http://schemas.openxmlformats.org/spreadsheetml/2006/main" r="AE266" s="11">
        <ns0:v>500</ns0:v>
      </ns0:c>
      <ns0:c xmlns:ns0="http://schemas.openxmlformats.org/spreadsheetml/2006/main" r="AF266" s="11">
        <ns0:v>10000000000</ns0:v>
      </ns0:c>
      <ns0:c xmlns:ns0="http://schemas.openxmlformats.org/spreadsheetml/2006/main" r="AG266" s="11">
        <ns0:v>100</ns0:v>
      </ns0:c>
      <ns0:c xmlns:ns0="http://schemas.openxmlformats.org/spreadsheetml/2006/main" r="AH266" s="11">
        <ns0:v>60</ns0:v>
      </ns0:c>
      <ns0:c xmlns:ns0="http://schemas.openxmlformats.org/spreadsheetml/2006/main" r="AI266" s="11">
        <ns0:v>241.143853169538</ns0:v>
      </ns0:c>
      <ns0:c xmlns:ns0="http://schemas.openxmlformats.org/spreadsheetml/2006/main" r="AJ266" s="11" t="inlineStr">
        <ns0:is>
          <ns0:t>MY_LIB_C_RC</ns0:t>
        </ns0:is>
      </ns0:c>
      <ns0:c xmlns:ns0="http://schemas.openxmlformats.org/spreadsheetml/2006/main" r="AK266" s="11" t="inlineStr">
        <ns0:is>
          <ns0:t>Nominal C; DFmax at 1kHz; minimum insulation; no temperature/bias/ESL</ns0:t>
        </ns0:is>
      </ns0:c>
      <ns0:c xmlns:ns0="http://schemas.openxmlformats.org/spreadsheetml/2006/main" r="AL266" s="11" t="inlineStr">
        <ns0:is>
          <ns0:t>General</ns0:t>
        </ns0:is>
      </ns0:c>
      <ns0:c xmlns:ns0="http://schemas.openxmlformats.org/spreadsheetml/2006/main" r="AM266" s="11" t="inlineStr">
        <ns0:is>
          <ns0:t>Spice Subcircuit</ns0:t>
        </ns0:is>
      </ns0:c>
      <ns0:c xmlns:ns0="http://schemas.openxmlformats.org/spreadsheetml/2006/main" r="AN266" s="11" t="inlineStr">
        <ns0:is>
          <ns0:t>@DESIGNATOR %1 %2 @MODEL PARAMS: Cvalue=3.3e-08 Rsvalue=241.143853169538 Rinsvalue=10000000000</ns0:t>
        </ns0:is>
      </ns0:c>
      <ns0:c xmlns:ns0="http://schemas.openxmlformats.org/spreadsheetml/2006/main" r="AO266" s="11" t="inlineStr">
        <ns0:is>
          <ns0:t>X</ns0:t>
        </ns0:is>
      </ns0:c>
      <ns0:c xmlns:ns0="http://schemas.openxmlformats.org/spreadsheetml/2006/main" r="AP266" s="11" t="inlineStr">
        <ns0:is>
          <ns0:t>(1:1),(2:2)</ns0:t>
        </ns0:is>
      </ns0:c>
      <ns0:c xmlns:ns0="http://schemas.openxmlformats.org/spreadsheetml/2006/main" r="AQ266" s="11" t="inlineStr">
        <ns0:is>
          <ns0:t>Simulation\Capacitors\MY_LIB_C_RC.ckt</ns0:t>
        </ns0:is>
      </ns0:c>
    </ns0:row>
    <ns0:row r="267" ht="30" customHeight="1">
      <ns0:c r="A267" t="str" s="14">
        <ns0:v>C0268</ns0:v>
      </ns0:c>
      <ns0:c r="B267" t="str" s="14">
        <ns0:v>Конденсатор</ns0:v>
      </ns0:c>
      <ns0:c r="C267" t="str" s="14">
        <ns0:v>39n</ns0:v>
      </ns0:c>
      <ns0:c r="D267" t="str" s="11">
        <ns0:f>SUBSTITUTE(SUBSTITUTE(SUBSTITUTE(SUBSTITUTE(C267,"p"," пФ"),"n"," нФ"),"u"," мкФ"),".",",")</ns0:f>
        <ns0:v>39 нФ</ns0:v>
      </ns0:c>
      <ns0:c r="E267" t="str" s="14">
        <ns0:v>±20%</ns0:v>
      </ns0:c>
      <ns0:c r="F267" s="14"/>
      <ns0:c r="G267" t="str" s="14">
        <ns0:v>16 В</ns0:v>
      </ns0:c>
      <ns0:c r="H267" t="str" s="14">
        <ns0:v>X7R</ns0:v>
      </ns0:c>
      <ns0:c r="I267" t="str" s="15">
        <ns0:v>0603</ns0:v>
      </ns0:c>
      <ns0:c r="J267" t="str" s="14">
        <ns0:v>YAGEO</ns0:v>
      </ns0:c>
      <ns0:c r="K267" t="str" s="14">
        <ns0:v>CC0603MRX7R7BB393</ns0:v>
      </ns0:c>
      <ns0:c r="L267" t="str" s="11">
        <ns0:f>B267&amp;" "&amp;D267&amp;" "&amp;E267&amp;" "&amp;G267&amp;" "&amp;H267&amp;" "&amp;I267</ns0:f>
        <ns0:v>Конденсатор 39 нФ ±20% 16 В X7R 0603</ns0:v>
      </ns0:c>
      <ns0:c r="M267" t="str" s="13">
        <ns0:v>C</ns0:v>
      </ns0:c>
      <ns0:c r="N267" t="str" s="13">
        <ns0:v>Symbols\MY_LIB_Capacitors.SchLib</ns0:v>
      </ns0:c>
      <ns0:c r="O267" t="str" s="13">
        <ns0:v>CAPC1608X90N</ns0:v>
      </ns0:c>
      <ns0:c r="P267" t="str" s="13">
        <ns0:v>Footprints\PBL - SMD Packages.PcbLib</ns0:v>
      </ns0:c>
      <ns0:c r="Q267" t="str" s="14">
        <ns0:v>YAGEO CC; список 20.10.2026</ns0:v>
      </ns0:c>
      <ns0:c r="R267" t="str" s="11">
        <ns0:f>D267</ns0:f>
        <ns0:v>39 нФ</ns0:v>
      </ns0:c>
      <ns0:c r="S267" t="str" s="11">
        <ns0:f>L267</ns0:f>
        <ns0:v>Конденсатор 39 нФ ±20% 16 В X7R 0603</ns0:v>
      </ns0:c>
      <x:c xmlns:x="http://schemas.openxmlformats.org/spreadsheetml/2006/main" r="T267" t="str" s="11">
        <x:v>C:\Users\Nomatin\Documents\Altium\MY_LIB\MY_LIB\Datasheets\YAGEO_CC_X7R.pdf</x:v>
      </x:c>
      <x:c xmlns:x="http://schemas.openxmlformats.org/spreadsheetml/2006/main" r="U267" t="str" s="11">
        <x:v>Даташит — локальный</x:v>
      </x:c>
      <x:c xmlns:x="http://schemas.openxmlformats.org/spreadsheetml/2006/main" r="V267" t="str" s="11">
        <x:v>C:\Users\Nomatin\Documents\Altium\MY_LIB\MY_LIB\Datasheets\YAGEO_CC_X7R.pdf</x:v>
      </x:c>
      <x:c xmlns:x="http://schemas.openxmlformats.org/spreadsheetml/2006/main" r="W267" t="str" s="11">
        <x:v>Даташит — производитель</x:v>
      </x:c>
      <x:c xmlns:x="http://schemas.openxmlformats.org/spreadsheetml/2006/main" r="X267" t="str" s="11">
        <x:v>https://yageogroup.com/content/datasheet/asset/file/UPY-GPHC_X7R_6_3V-TO-250V</x:v>
      </x:c>
      <x:c xmlns:x="http://schemas.openxmlformats.org/spreadsheetml/2006/main" r="Y267" t="str" s="11">
        <x:v>C:\Users\Nomatin\Documents\Altium\MY_LIB\MY_LIB\Datasheets\YAGEO_CC_X7R.pdf</x:v>
      </x:c>
      <ns0:c xmlns:ns0="http://schemas.openxmlformats.org/spreadsheetml/2006/main" r="Z267" s="11">
        <ns0:v>3.9e-08</ns0:v>
      </ns0:c>
      <ns0:c xmlns:ns0="http://schemas.openxmlformats.org/spreadsheetml/2006/main" r="AA267" s="11">
        <ns0:v>0.035</ns0:v>
      </ns0:c>
      <ns0:c xmlns:ns0="http://schemas.openxmlformats.org/spreadsheetml/2006/main" r="AB267" s="11">
        <ns0:v>1000</ns0:v>
      </ns0:c>
      <ns0:c xmlns:ns0="http://schemas.openxmlformats.org/spreadsheetml/2006/main" r="AC267" s="11">
        <ns0:v>1</ns0:v>
      </ns0:c>
      <ns0:c xmlns:ns0="http://schemas.openxmlformats.org/spreadsheetml/2006/main" r="AD267" s="11">
        <ns0:v>20</ns0:v>
      </ns0:c>
      <ns0:c xmlns:ns0="http://schemas.openxmlformats.org/spreadsheetml/2006/main" r="AE267" s="11">
        <ns0:v>500</ns0:v>
      </ns0:c>
      <ns0:c xmlns:ns0="http://schemas.openxmlformats.org/spreadsheetml/2006/main" r="AF267" s="11">
        <ns0:v>10000000000</ns0:v>
      </ns0:c>
      <ns0:c xmlns:ns0="http://schemas.openxmlformats.org/spreadsheetml/2006/main" r="AG267" s="11">
        <ns0:v>16</ns0:v>
      </ns0:c>
      <ns0:c xmlns:ns0="http://schemas.openxmlformats.org/spreadsheetml/2006/main" r="AH267" s="11">
        <ns0:v>60</ns0:v>
      </ns0:c>
      <ns0:c xmlns:ns0="http://schemas.openxmlformats.org/spreadsheetml/2006/main" r="AI267" s="11">
        <ns0:v>142.831359185034</ns0:v>
      </ns0:c>
      <ns0:c xmlns:ns0="http://schemas.openxmlformats.org/spreadsheetml/2006/main" r="AJ267" s="11" t="inlineStr">
        <ns0:is>
          <ns0:t>MY_LIB_C_RC</ns0:t>
        </ns0:is>
      </ns0:c>
      <ns0:c xmlns:ns0="http://schemas.openxmlformats.org/spreadsheetml/2006/main" r="AK267" s="11" t="inlineStr">
        <ns0:is>
          <ns0:t>Nominal C; DFmax at 1kHz; minimum insulation; no temperature/bias/ESL</ns0:t>
        </ns0:is>
      </ns0:c>
      <ns0:c xmlns:ns0="http://schemas.openxmlformats.org/spreadsheetml/2006/main" r="AL267" s="11" t="inlineStr">
        <ns0:is>
          <ns0:t>General</ns0:t>
        </ns0:is>
      </ns0:c>
      <ns0:c xmlns:ns0="http://schemas.openxmlformats.org/spreadsheetml/2006/main" r="AM267" s="11" t="inlineStr">
        <ns0:is>
          <ns0:t>Spice Subcircuit</ns0:t>
        </ns0:is>
      </ns0:c>
      <ns0:c xmlns:ns0="http://schemas.openxmlformats.org/spreadsheetml/2006/main" r="AN267" s="11" t="inlineStr">
        <ns0:is>
          <ns0:t>@DESIGNATOR %1 %2 @MODEL PARAMS: Cvalue=3.9e-08 Rsvalue=142.831359185034 Rinsvalue=10000000000</ns0:t>
        </ns0:is>
      </ns0:c>
      <ns0:c xmlns:ns0="http://schemas.openxmlformats.org/spreadsheetml/2006/main" r="AO267" s="11" t="inlineStr">
        <ns0:is>
          <ns0:t>X</ns0:t>
        </ns0:is>
      </ns0:c>
      <ns0:c xmlns:ns0="http://schemas.openxmlformats.org/spreadsheetml/2006/main" r="AP267" s="11" t="inlineStr">
        <ns0:is>
          <ns0:t>(1:1),(2:2)</ns0:t>
        </ns0:is>
      </ns0:c>
      <ns0:c xmlns:ns0="http://schemas.openxmlformats.org/spreadsheetml/2006/main" r="AQ267" s="11" t="inlineStr">
        <ns0:is>
          <ns0:t>Simulation\Capacitors\MY_LIB_C_RC.ckt</ns0:t>
        </ns0:is>
      </ns0:c>
    </ns0:row>
    <ns0:row r="268" ht="30" customHeight="1">
      <ns0:c r="A268" t="str" s="14">
        <ns0:v>C0269</ns0:v>
      </ns0:c>
      <ns0:c r="B268" t="str" s="14">
        <ns0:v>Конденсатор</ns0:v>
      </ns0:c>
      <ns0:c r="C268" t="str" s="14">
        <ns0:v>47n</ns0:v>
      </ns0:c>
      <ns0:c r="D268" t="str" s="11">
        <ns0:f>SUBSTITUTE(SUBSTITUTE(SUBSTITUTE(SUBSTITUTE(C268,"p"," пФ"),"n"," нФ"),"u"," мкФ"),".",",")</ns0:f>
        <ns0:v>47 нФ</ns0:v>
      </ns0:c>
      <ns0:c r="E268" t="str" s="14">
        <ns0:v>±20%</ns0:v>
      </ns0:c>
      <ns0:c r="F268" s="14"/>
      <ns0:c r="G268" t="str" s="14">
        <ns0:v>100 В</ns0:v>
      </ns0:c>
      <ns0:c r="H268" t="str" s="14">
        <ns0:v>X7R</ns0:v>
      </ns0:c>
      <ns0:c r="I268" t="str" s="15">
        <ns0:v>0603</ns0:v>
      </ns0:c>
      <ns0:c r="J268" t="str" s="14">
        <ns0:v>YAGEO</ns0:v>
      </ns0:c>
      <ns0:c r="K268" t="str" s="14">
        <ns0:v>CC0603MRX7R0BB473</ns0:v>
      </ns0:c>
      <ns0:c r="L268" t="str" s="11">
        <ns0:f>B268&amp;" "&amp;D268&amp;" "&amp;E268&amp;" "&amp;G268&amp;" "&amp;H268&amp;" "&amp;I268</ns0:f>
        <ns0:v>Конденсатор 47 нФ ±20% 100 В X7R 0603</ns0:v>
      </ns0:c>
      <ns0:c r="M268" t="str" s="13">
        <ns0:v>C</ns0:v>
      </ns0:c>
      <ns0:c r="N268" t="str" s="13">
        <ns0:v>Symbols\MY_LIB_Capacitors.SchLib</ns0:v>
      </ns0:c>
      <ns0:c r="O268" t="str" s="13">
        <ns0:v>CAPC1608X90N</ns0:v>
      </ns0:c>
      <ns0:c r="P268" t="str" s="13">
        <ns0:v>Footprints\PBL - SMD Packages.PcbLib</ns0:v>
      </ns0:c>
      <ns0:c r="Q268" t="str" s="14">
        <ns0:v>YAGEO CC; список 20.10.2026</ns0:v>
      </ns0:c>
      <ns0:c r="R268" t="str" s="11">
        <ns0:f>D268</ns0:f>
        <ns0:v>47 нФ</ns0:v>
      </ns0:c>
      <ns0:c r="S268" t="str" s="11">
        <ns0:f>L268</ns0:f>
        <ns0:v>Конденсатор 47 нФ ±20% 100 В X7R 0603</ns0:v>
      </ns0:c>
      <x:c xmlns:x="http://schemas.openxmlformats.org/spreadsheetml/2006/main" r="T268" t="str" s="11">
        <x:v>C:\Users\Nomatin\Documents\Altium\MY_LIB\MY_LIB\Datasheets\YAGEO_CC_X7R.pdf</x:v>
      </x:c>
      <x:c xmlns:x="http://schemas.openxmlformats.org/spreadsheetml/2006/main" r="U268" t="str" s="11">
        <x:v>Даташит — локальный</x:v>
      </x:c>
      <x:c xmlns:x="http://schemas.openxmlformats.org/spreadsheetml/2006/main" r="V268" t="str" s="11">
        <x:v>C:\Users\Nomatin\Documents\Altium\MY_LIB\MY_LIB\Datasheets\YAGEO_CC_X7R.pdf</x:v>
      </x:c>
      <x:c xmlns:x="http://schemas.openxmlformats.org/spreadsheetml/2006/main" r="W268" t="str" s="11">
        <x:v>Даташит — производитель</x:v>
      </x:c>
      <x:c xmlns:x="http://schemas.openxmlformats.org/spreadsheetml/2006/main" r="X268" t="str" s="11">
        <x:v>https://yageogroup.com/content/datasheet/asset/file/UPY-GPHC_X7R_6_3V-TO-250V</x:v>
      </x:c>
      <x:c xmlns:x="http://schemas.openxmlformats.org/spreadsheetml/2006/main" r="Y268" t="str" s="11">
        <x:v>C:\Users\Nomatin\Documents\Altium\MY_LIB\MY_LIB\Datasheets\YAGEO_CC_X7R.pdf</x:v>
      </x:c>
      <ns0:c xmlns:ns0="http://schemas.openxmlformats.org/spreadsheetml/2006/main" r="Z268" s="11">
        <ns0:v>4.7e-08</ns0:v>
      </ns0:c>
      <ns0:c xmlns:ns0="http://schemas.openxmlformats.org/spreadsheetml/2006/main" r="AA268" s="11">
        <ns0:v>0.05</ns0:v>
      </ns0:c>
      <ns0:c xmlns:ns0="http://schemas.openxmlformats.org/spreadsheetml/2006/main" r="AB268" s="11">
        <ns0:v>1000</ns0:v>
      </ns0:c>
      <ns0:c xmlns:ns0="http://schemas.openxmlformats.org/spreadsheetml/2006/main" r="AC268" s="11">
        <ns0:v>1</ns0:v>
      </ns0:c>
      <ns0:c xmlns:ns0="http://schemas.openxmlformats.org/spreadsheetml/2006/main" r="AD268" s="11">
        <ns0:v>20</ns0:v>
      </ns0:c>
      <ns0:c xmlns:ns0="http://schemas.openxmlformats.org/spreadsheetml/2006/main" r="AE268" s="11">
        <ns0:v>500</ns0:v>
      </ns0:c>
      <ns0:c xmlns:ns0="http://schemas.openxmlformats.org/spreadsheetml/2006/main" r="AF268" s="11">
        <ns0:v>10000000000</ns0:v>
      </ns0:c>
      <ns0:c xmlns:ns0="http://schemas.openxmlformats.org/spreadsheetml/2006/main" r="AG268" s="11">
        <ns0:v>100</ns0:v>
      </ns0:c>
      <ns0:c xmlns:ns0="http://schemas.openxmlformats.org/spreadsheetml/2006/main" r="AH268" s="11">
        <ns0:v>60</ns0:v>
      </ns0:c>
      <ns0:c xmlns:ns0="http://schemas.openxmlformats.org/spreadsheetml/2006/main" r="AI268" s="11">
        <ns0:v>169.313769246697</ns0:v>
      </ns0:c>
      <ns0:c xmlns:ns0="http://schemas.openxmlformats.org/spreadsheetml/2006/main" r="AJ268" s="11" t="inlineStr">
        <ns0:is>
          <ns0:t>MY_LIB_C_RC</ns0:t>
        </ns0:is>
      </ns0:c>
      <ns0:c xmlns:ns0="http://schemas.openxmlformats.org/spreadsheetml/2006/main" r="AK268" s="11" t="inlineStr">
        <ns0:is>
          <ns0:t>Nominal C; DFmax at 1kHz; minimum insulation; no temperature/bias/ESL</ns0:t>
        </ns0:is>
      </ns0:c>
      <ns0:c xmlns:ns0="http://schemas.openxmlformats.org/spreadsheetml/2006/main" r="AL268" s="11" t="inlineStr">
        <ns0:is>
          <ns0:t>General</ns0:t>
        </ns0:is>
      </ns0:c>
      <ns0:c xmlns:ns0="http://schemas.openxmlformats.org/spreadsheetml/2006/main" r="AM268" s="11" t="inlineStr">
        <ns0:is>
          <ns0:t>Spice Subcircuit</ns0:t>
        </ns0:is>
      </ns0:c>
      <ns0:c xmlns:ns0="http://schemas.openxmlformats.org/spreadsheetml/2006/main" r="AN268" s="11" t="inlineStr">
        <ns0:is>
          <ns0:t>@DESIGNATOR %1 %2 @MODEL PARAMS: Cvalue=4.7e-08 Rsvalue=169.313769246697 Rinsvalue=10000000000</ns0:t>
        </ns0:is>
      </ns0:c>
      <ns0:c xmlns:ns0="http://schemas.openxmlformats.org/spreadsheetml/2006/main" r="AO268" s="11" t="inlineStr">
        <ns0:is>
          <ns0:t>X</ns0:t>
        </ns0:is>
      </ns0:c>
      <ns0:c xmlns:ns0="http://schemas.openxmlformats.org/spreadsheetml/2006/main" r="AP268" s="11" t="inlineStr">
        <ns0:is>
          <ns0:t>(1:1),(2:2)</ns0:t>
        </ns0:is>
      </ns0:c>
      <ns0:c xmlns:ns0="http://schemas.openxmlformats.org/spreadsheetml/2006/main" r="AQ268" s="11" t="inlineStr">
        <ns0:is>
          <ns0:t>Simulation\Capacitors\MY_LIB_C_RC.ckt</ns0:t>
        </ns0:is>
      </ns0:c>
    </ns0:row>
    <ns0:row r="269" ht="30" customHeight="1">
      <ns0:c r="A269" t="str" s="14">
        <ns0:v>C0270</ns0:v>
      </ns0:c>
      <ns0:c r="B269" t="str" s="14">
        <ns0:v>Конденсатор</ns0:v>
      </ns0:c>
      <ns0:c r="C269" t="str" s="14">
        <ns0:v>68n</ns0:v>
      </ns0:c>
      <ns0:c r="D269" t="str" s="11">
        <ns0:f>SUBSTITUTE(SUBSTITUTE(SUBSTITUTE(SUBSTITUTE(C269,"p"," пФ"),"n"," нФ"),"u"," мкФ"),".",",")</ns0:f>
        <ns0:v>68 нФ</ns0:v>
      </ns0:c>
      <ns0:c r="E269" t="str" s="14">
        <ns0:v>±20%</ns0:v>
      </ns0:c>
      <ns0:c r="F269" s="14"/>
      <ns0:c r="G269" t="str" s="14">
        <ns0:v>100 В</ns0:v>
      </ns0:c>
      <ns0:c r="H269" t="str" s="14">
        <ns0:v>X7R</ns0:v>
      </ns0:c>
      <ns0:c r="I269" t="str" s="15">
        <ns0:v>0603</ns0:v>
      </ns0:c>
      <ns0:c r="J269" t="str" s="14">
        <ns0:v>YAGEO</ns0:v>
      </ns0:c>
      <ns0:c r="K269" t="str" s="14">
        <ns0:v>CC0603MRX7R0BB683</ns0:v>
      </ns0:c>
      <ns0:c r="L269" t="str" s="11">
        <ns0:f>B269&amp;" "&amp;D269&amp;" "&amp;E269&amp;" "&amp;G269&amp;" "&amp;H269&amp;" "&amp;I269</ns0:f>
        <ns0:v>Конденсатор 68 нФ ±20% 100 В X7R 0603</ns0:v>
      </ns0:c>
      <ns0:c r="M269" t="str" s="13">
        <ns0:v>C</ns0:v>
      </ns0:c>
      <ns0:c r="N269" t="str" s="13">
        <ns0:v>Symbols\MY_LIB_Capacitors.SchLib</ns0:v>
      </ns0:c>
      <ns0:c r="O269" t="str" s="13">
        <ns0:v>CAPC1608X90N</ns0:v>
      </ns0:c>
      <ns0:c r="P269" t="str" s="13">
        <ns0:v>Footprints\PBL - SMD Packages.PcbLib</ns0:v>
      </ns0:c>
      <ns0:c r="Q269" t="str" s="14">
        <ns0:v>YAGEO CC; список 20.10.2026</ns0:v>
      </ns0:c>
      <ns0:c r="R269" t="str" s="11">
        <ns0:f>D269</ns0:f>
        <ns0:v>68 нФ</ns0:v>
      </ns0:c>
      <ns0:c r="S269" t="str" s="11">
        <ns0:f>L269</ns0:f>
        <ns0:v>Конденсатор 68 нФ ±20% 100 В X7R 0603</ns0:v>
      </ns0:c>
      <x:c xmlns:x="http://schemas.openxmlformats.org/spreadsheetml/2006/main" r="T269" t="str" s="11">
        <x:v>C:\Users\Nomatin\Documents\Altium\MY_LIB\MY_LIB\Datasheets\YAGEO_CC_X7R.pdf</x:v>
      </x:c>
      <x:c xmlns:x="http://schemas.openxmlformats.org/spreadsheetml/2006/main" r="U269" t="str" s="11">
        <x:v>Даташит — локальный</x:v>
      </x:c>
      <x:c xmlns:x="http://schemas.openxmlformats.org/spreadsheetml/2006/main" r="V269" t="str" s="11">
        <x:v>C:\Users\Nomatin\Documents\Altium\MY_LIB\MY_LIB\Datasheets\YAGEO_CC_X7R.pdf</x:v>
      </x:c>
      <x:c xmlns:x="http://schemas.openxmlformats.org/spreadsheetml/2006/main" r="W269" t="str" s="11">
        <x:v>Даташит — производитель</x:v>
      </x:c>
      <x:c xmlns:x="http://schemas.openxmlformats.org/spreadsheetml/2006/main" r="X269" t="str" s="11">
        <x:v>https://yageogroup.com/content/datasheet/asset/file/UPY-GPHC_X7R_6_3V-TO-250V</x:v>
      </x:c>
      <x:c xmlns:x="http://schemas.openxmlformats.org/spreadsheetml/2006/main" r="Y269" t="str" s="11">
        <x:v>C:\Users\Nomatin\Documents\Altium\MY_LIB\MY_LIB\Datasheets\YAGEO_CC_X7R.pdf</x:v>
      </x:c>
      <ns0:c xmlns:ns0="http://schemas.openxmlformats.org/spreadsheetml/2006/main" r="Z269" s="11">
        <ns0:v>6.8e-08</ns0:v>
      </ns0:c>
      <ns0:c xmlns:ns0="http://schemas.openxmlformats.org/spreadsheetml/2006/main" r="AA269" s="11">
        <ns0:v>0.05</ns0:v>
      </ns0:c>
      <ns0:c xmlns:ns0="http://schemas.openxmlformats.org/spreadsheetml/2006/main" r="AB269" s="11">
        <ns0:v>1000</ns0:v>
      </ns0:c>
      <ns0:c xmlns:ns0="http://schemas.openxmlformats.org/spreadsheetml/2006/main" r="AC269" s="11">
        <ns0:v>1</ns0:v>
      </ns0:c>
      <ns0:c xmlns:ns0="http://schemas.openxmlformats.org/spreadsheetml/2006/main" r="AD269" s="11">
        <ns0:v>20</ns0:v>
      </ns0:c>
      <ns0:c xmlns:ns0="http://schemas.openxmlformats.org/spreadsheetml/2006/main" r="AE269" s="11">
        <ns0:v>500</ns0:v>
      </ns0:c>
      <ns0:c xmlns:ns0="http://schemas.openxmlformats.org/spreadsheetml/2006/main" r="AF269" s="11">
        <ns0:v>7352941176.47059</ns0:v>
      </ns0:c>
      <ns0:c xmlns:ns0="http://schemas.openxmlformats.org/spreadsheetml/2006/main" r="AG269" s="11">
        <ns0:v>100</ns0:v>
      </ns0:c>
      <ns0:c xmlns:ns0="http://schemas.openxmlformats.org/spreadsheetml/2006/main" r="AH269" s="11">
        <ns0:v>60</ns0:v>
      </ns0:c>
      <ns0:c xmlns:ns0="http://schemas.openxmlformats.org/spreadsheetml/2006/main" r="AI269" s="11">
        <ns0:v>117.025693449923</ns0:v>
      </ns0:c>
      <ns0:c xmlns:ns0="http://schemas.openxmlformats.org/spreadsheetml/2006/main" r="AJ269" s="11" t="inlineStr">
        <ns0:is>
          <ns0:t>MY_LIB_C_RC</ns0:t>
        </ns0:is>
      </ns0:c>
      <ns0:c xmlns:ns0="http://schemas.openxmlformats.org/spreadsheetml/2006/main" r="AK269" s="11" t="inlineStr">
        <ns0:is>
          <ns0:t>Nominal C; DFmax at 1kHz; minimum insulation; no temperature/bias/ESL</ns0:t>
        </ns0:is>
      </ns0:c>
      <ns0:c xmlns:ns0="http://schemas.openxmlformats.org/spreadsheetml/2006/main" r="AL269" s="11" t="inlineStr">
        <ns0:is>
          <ns0:t>General</ns0:t>
        </ns0:is>
      </ns0:c>
      <ns0:c xmlns:ns0="http://schemas.openxmlformats.org/spreadsheetml/2006/main" r="AM269" s="11" t="inlineStr">
        <ns0:is>
          <ns0:t>Spice Subcircuit</ns0:t>
        </ns0:is>
      </ns0:c>
      <ns0:c xmlns:ns0="http://schemas.openxmlformats.org/spreadsheetml/2006/main" r="AN269" s="11" t="inlineStr">
        <ns0:is>
          <ns0:t>@DESIGNATOR %1 %2 @MODEL PARAMS: Cvalue=6.8e-08 Rsvalue=117.025693449923 Rinsvalue=7352941176.47059</ns0:t>
        </ns0:is>
      </ns0:c>
      <ns0:c xmlns:ns0="http://schemas.openxmlformats.org/spreadsheetml/2006/main" r="AO269" s="11" t="inlineStr">
        <ns0:is>
          <ns0:t>X</ns0:t>
        </ns0:is>
      </ns0:c>
      <ns0:c xmlns:ns0="http://schemas.openxmlformats.org/spreadsheetml/2006/main" r="AP269" s="11" t="inlineStr">
        <ns0:is>
          <ns0:t>(1:1),(2:2)</ns0:t>
        </ns0:is>
      </ns0:c>
      <ns0:c xmlns:ns0="http://schemas.openxmlformats.org/spreadsheetml/2006/main" r="AQ269" s="11" t="inlineStr">
        <ns0:is>
          <ns0:t>Simulation\Capacitors\MY_LIB_C_RC.ckt</ns0:t>
        </ns0:is>
      </ns0:c>
    </ns0:row>
    <ns0:row r="270" ht="30" customHeight="1">
      <ns0:c r="A270" t="str" s="14">
        <ns0:v>C0271</ns0:v>
      </ns0:c>
      <ns0:c r="B270" t="str" s="14">
        <ns0:v>Конденсатор</ns0:v>
      </ns0:c>
      <ns0:c r="C270" t="str" s="14">
        <ns0:v>100n</ns0:v>
      </ns0:c>
      <ns0:c r="D270" t="str" s="11">
        <ns0:f>SUBSTITUTE(SUBSTITUTE(SUBSTITUTE(SUBSTITUTE(C270,"p"," пФ"),"n"," нФ"),"u"," мкФ"),".",",")</ns0:f>
        <ns0:v>100 нФ</ns0:v>
      </ns0:c>
      <ns0:c r="E270" t="str" s="14">
        <ns0:v>±20%</ns0:v>
      </ns0:c>
      <ns0:c r="F270" s="14"/>
      <ns0:c r="G270" t="str" s="14">
        <ns0:v>100 В</ns0:v>
      </ns0:c>
      <ns0:c r="H270" t="str" s="14">
        <ns0:v>X7R</ns0:v>
      </ns0:c>
      <ns0:c r="I270" t="str" s="15">
        <ns0:v>0603</ns0:v>
      </ns0:c>
      <ns0:c r="J270" t="str" s="14">
        <ns0:v>YAGEO</ns0:v>
      </ns0:c>
      <ns0:c r="K270" t="str" s="14">
        <ns0:v>CC0603MRX7R0BB104</ns0:v>
      </ns0:c>
      <ns0:c r="L270" t="str" s="11">
        <ns0:f>B270&amp;" "&amp;D270&amp;" "&amp;E270&amp;" "&amp;G270&amp;" "&amp;H270&amp;" "&amp;I270</ns0:f>
        <ns0:v>Конденсатор 100 нФ ±20% 100 В X7R 0603</ns0:v>
      </ns0:c>
      <ns0:c r="M270" t="str" s="13">
        <ns0:v>C</ns0:v>
      </ns0:c>
      <ns0:c r="N270" t="str" s="13">
        <ns0:v>Symbols\MY_LIB_Capacitors.SchLib</ns0:v>
      </ns0:c>
      <ns0:c r="O270" t="str" s="13">
        <ns0:v>CAPC1608X90N</ns0:v>
      </ns0:c>
      <ns0:c r="P270" t="str" s="13">
        <ns0:v>Footprints\PBL - SMD Packages.PcbLib</ns0:v>
      </ns0:c>
      <ns0:c r="Q270" t="str" s="14">
        <ns0:v>YAGEO CC; список 20.10.2026</ns0:v>
      </ns0:c>
      <ns0:c r="R270" t="str" s="11">
        <ns0:f>D270</ns0:f>
        <ns0:v>100 нФ</ns0:v>
      </ns0:c>
      <ns0:c r="S270" t="str" s="11">
        <ns0:f>L270</ns0:f>
        <ns0:v>Конденсатор 100 нФ ±20% 100 В X7R 0603</ns0:v>
      </ns0:c>
      <x:c xmlns:x="http://schemas.openxmlformats.org/spreadsheetml/2006/main" r="T270" t="str" s="11">
        <x:v>C:\Users\Nomatin\Documents\Altium\MY_LIB\MY_LIB\Datasheets\YAGEO_CC_X7R.pdf</x:v>
      </x:c>
      <x:c xmlns:x="http://schemas.openxmlformats.org/spreadsheetml/2006/main" r="U270" t="str" s="11">
        <x:v>Даташит — локальный</x:v>
      </x:c>
      <x:c xmlns:x="http://schemas.openxmlformats.org/spreadsheetml/2006/main" r="V270" t="str" s="11">
        <x:v>C:\Users\Nomatin\Documents\Altium\MY_LIB\MY_LIB\Datasheets\YAGEO_CC_X7R.pdf</x:v>
      </x:c>
      <x:c xmlns:x="http://schemas.openxmlformats.org/spreadsheetml/2006/main" r="W270" t="str" s="11">
        <x:v>Даташит — производитель</x:v>
      </x:c>
      <x:c xmlns:x="http://schemas.openxmlformats.org/spreadsheetml/2006/main" r="X270" t="str" s="11">
        <x:v>https://yageogroup.com/content/datasheet/asset/file/UPY-GPHC_X7R_6_3V-TO-250V</x:v>
      </x:c>
      <x:c xmlns:x="http://schemas.openxmlformats.org/spreadsheetml/2006/main" r="Y270" t="str" s="11">
        <x:v>C:\Users\Nomatin\Documents\Altium\MY_LIB\MY_LIB\Datasheets\YAGEO_CC_X7R.pdf</x:v>
      </x:c>
      <ns0:c xmlns:ns0="http://schemas.openxmlformats.org/spreadsheetml/2006/main" r="Z270" s="11">
        <ns0:v>1e-07</ns0:v>
      </ns0:c>
      <ns0:c xmlns:ns0="http://schemas.openxmlformats.org/spreadsheetml/2006/main" r="AA270" s="11">
        <ns0:v>0.05</ns0:v>
      </ns0:c>
      <ns0:c xmlns:ns0="http://schemas.openxmlformats.org/spreadsheetml/2006/main" r="AB270" s="11">
        <ns0:v>1000</ns0:v>
      </ns0:c>
      <ns0:c xmlns:ns0="http://schemas.openxmlformats.org/spreadsheetml/2006/main" r="AC270" s="11">
        <ns0:v>1</ns0:v>
      </ns0:c>
      <ns0:c xmlns:ns0="http://schemas.openxmlformats.org/spreadsheetml/2006/main" r="AD270" s="11">
        <ns0:v>20</ns0:v>
      </ns0:c>
      <ns0:c xmlns:ns0="http://schemas.openxmlformats.org/spreadsheetml/2006/main" r="AE270" s="11">
        <ns0:v>500</ns0:v>
      </ns0:c>
      <ns0:c xmlns:ns0="http://schemas.openxmlformats.org/spreadsheetml/2006/main" r="AF270" s="11">
        <ns0:v>5000000000</ns0:v>
      </ns0:c>
      <ns0:c xmlns:ns0="http://schemas.openxmlformats.org/spreadsheetml/2006/main" r="AG270" s="11">
        <ns0:v>100</ns0:v>
      </ns0:c>
      <ns0:c xmlns:ns0="http://schemas.openxmlformats.org/spreadsheetml/2006/main" r="AH270" s="11">
        <ns0:v>60</ns0:v>
      </ns0:c>
      <ns0:c xmlns:ns0="http://schemas.openxmlformats.org/spreadsheetml/2006/main" r="AI270" s="11">
        <ns0:v>79.5774715459477</ns0:v>
      </ns0:c>
      <ns0:c xmlns:ns0="http://schemas.openxmlformats.org/spreadsheetml/2006/main" r="AJ270" s="11" t="inlineStr">
        <ns0:is>
          <ns0:t>MY_LIB_C_RC</ns0:t>
        </ns0:is>
      </ns0:c>
      <ns0:c xmlns:ns0="http://schemas.openxmlformats.org/spreadsheetml/2006/main" r="AK270" s="11" t="inlineStr">
        <ns0:is>
          <ns0:t>Nominal C; DFmax at 1kHz; minimum insulation; no temperature/bias/ESL</ns0:t>
        </ns0:is>
      </ns0:c>
      <ns0:c xmlns:ns0="http://schemas.openxmlformats.org/spreadsheetml/2006/main" r="AL270" s="11" t="inlineStr">
        <ns0:is>
          <ns0:t>General</ns0:t>
        </ns0:is>
      </ns0:c>
      <ns0:c xmlns:ns0="http://schemas.openxmlformats.org/spreadsheetml/2006/main" r="AM270" s="11" t="inlineStr">
        <ns0:is>
          <ns0:t>Spice Subcircuit</ns0:t>
        </ns0:is>
      </ns0:c>
      <ns0:c xmlns:ns0="http://schemas.openxmlformats.org/spreadsheetml/2006/main" r="AN270" s="11" t="inlineStr">
        <ns0:is>
          <ns0:t>@DESIGNATOR %1 %2 @MODEL PARAMS: Cvalue=1e-07 Rsvalue=79.5774715459477 Rinsvalue=5000000000</ns0:t>
        </ns0:is>
      </ns0:c>
      <ns0:c xmlns:ns0="http://schemas.openxmlformats.org/spreadsheetml/2006/main" r="AO270" s="11" t="inlineStr">
        <ns0:is>
          <ns0:t>X</ns0:t>
        </ns0:is>
      </ns0:c>
      <ns0:c xmlns:ns0="http://schemas.openxmlformats.org/spreadsheetml/2006/main" r="AP270" s="11" t="inlineStr">
        <ns0:is>
          <ns0:t>(1:1),(2:2)</ns0:t>
        </ns0:is>
      </ns0:c>
      <ns0:c xmlns:ns0="http://schemas.openxmlformats.org/spreadsheetml/2006/main" r="AQ270" s="11" t="inlineStr">
        <ns0:is>
          <ns0:t>Simulation\Capacitors\MY_LIB_C_RC.ckt</ns0:t>
        </ns0:is>
      </ns0:c>
    </ns0:row>
    <ns0:row r="271" ht="30" customHeight="1">
      <ns0:c r="A271" t="str" s="14">
        <ns0:v>C0272</ns0:v>
      </ns0:c>
      <ns0:c r="B271" t="str" s="14">
        <ns0:v>Конденсатор</ns0:v>
      </ns0:c>
      <ns0:c r="C271" t="str" s="14">
        <ns0:v>150n</ns0:v>
      </ns0:c>
      <ns0:c r="D271" t="str" s="11">
        <ns0:f>SUBSTITUTE(SUBSTITUTE(SUBSTITUTE(SUBSTITUTE(C271,"p"," пФ"),"n"," нФ"),"u"," мкФ"),".",",")</ns0:f>
        <ns0:v>150 нФ</ns0:v>
      </ns0:c>
      <ns0:c r="E271" t="str" s="14">
        <ns0:v>±20%</ns0:v>
      </ns0:c>
      <ns0:c r="F271" s="14"/>
      <ns0:c r="G271" t="str" s="14">
        <ns0:v>50 В</ns0:v>
      </ns0:c>
      <ns0:c r="H271" t="str" s="14">
        <ns0:v>X7R</ns0:v>
      </ns0:c>
      <ns0:c r="I271" t="str" s="15">
        <ns0:v>0603</ns0:v>
      </ns0:c>
      <ns0:c r="J271" t="str" s="14">
        <ns0:v>YAGEO</ns0:v>
      </ns0:c>
      <ns0:c r="K271" t="str" s="14">
        <ns0:v>CC0603MRX7R9BB154</ns0:v>
      </ns0:c>
      <ns0:c r="L271" t="str" s="11">
        <ns0:f>B271&amp;" "&amp;D271&amp;" "&amp;E271&amp;" "&amp;G271&amp;" "&amp;H271&amp;" "&amp;I271</ns0:f>
        <ns0:v>Конденсатор 150 нФ ±20% 50 В X7R 0603</ns0:v>
      </ns0:c>
      <ns0:c r="M271" t="str" s="13">
        <ns0:v>C</ns0:v>
      </ns0:c>
      <ns0:c r="N271" t="str" s="13">
        <ns0:v>Symbols\MY_LIB_Capacitors.SchLib</ns0:v>
      </ns0:c>
      <ns0:c r="O271" t="str" s="13">
        <ns0:v>CAPC1608X90N</ns0:v>
      </ns0:c>
      <ns0:c r="P271" t="str" s="13">
        <ns0:v>Footprints\PBL - SMD Packages.PcbLib</ns0:v>
      </ns0:c>
      <ns0:c r="Q271" t="str" s="14">
        <ns0:v>YAGEO CC; список 20.10.2026</ns0:v>
      </ns0:c>
      <ns0:c r="R271" t="str" s="11">
        <ns0:f>D271</ns0:f>
        <ns0:v>150 нФ</ns0:v>
      </ns0:c>
      <ns0:c r="S271" t="str" s="11">
        <ns0:f>L271</ns0:f>
        <ns0:v>Конденсатор 150 нФ ±20% 50 В X7R 0603</ns0:v>
      </ns0:c>
      <x:c xmlns:x="http://schemas.openxmlformats.org/spreadsheetml/2006/main" r="T271" t="str" s="11">
        <x:v>C:\Users\Nomatin\Documents\Altium\MY_LIB\MY_LIB\Datasheets\YAGEO_CC_X7R.pdf</x:v>
      </x:c>
      <x:c xmlns:x="http://schemas.openxmlformats.org/spreadsheetml/2006/main" r="U271" t="str" s="11">
        <x:v>Даташит — локальный</x:v>
      </x:c>
      <x:c xmlns:x="http://schemas.openxmlformats.org/spreadsheetml/2006/main" r="V271" t="str" s="11">
        <x:v>C:\Users\Nomatin\Documents\Altium\MY_LIB\MY_LIB\Datasheets\YAGEO_CC_X7R.pdf</x:v>
      </x:c>
      <x:c xmlns:x="http://schemas.openxmlformats.org/spreadsheetml/2006/main" r="W271" t="str" s="11">
        <x:v>Даташит — производитель</x:v>
      </x:c>
      <x:c xmlns:x="http://schemas.openxmlformats.org/spreadsheetml/2006/main" r="X271" t="str" s="11">
        <x:v>https://yageogroup.com/content/datasheet/asset/file/UPY-GPHC_X7R_6_3V-TO-250V</x:v>
      </x:c>
      <x:c xmlns:x="http://schemas.openxmlformats.org/spreadsheetml/2006/main" r="Y271" t="str" s="11">
        <x:v>C:\Users\Nomatin\Documents\Altium\MY_LIB\MY_LIB\Datasheets\YAGEO_CC_X7R.pdf</x:v>
      </x:c>
      <ns0:c xmlns:ns0="http://schemas.openxmlformats.org/spreadsheetml/2006/main" r="Z271" s="11">
        <ns0:v>1.5e-07</ns0:v>
      </ns0:c>
      <ns0:c xmlns:ns0="http://schemas.openxmlformats.org/spreadsheetml/2006/main" r="AA271" s="11">
        <ns0:v>0.035</ns0:v>
      </ns0:c>
      <ns0:c xmlns:ns0="http://schemas.openxmlformats.org/spreadsheetml/2006/main" r="AB271" s="11">
        <ns0:v>1000</ns0:v>
      </ns0:c>
      <ns0:c xmlns:ns0="http://schemas.openxmlformats.org/spreadsheetml/2006/main" r="AC271" s="11">
        <ns0:v>1</ns0:v>
      </ns0:c>
      <ns0:c xmlns:ns0="http://schemas.openxmlformats.org/spreadsheetml/2006/main" r="AD271" s="11">
        <ns0:v>20</ns0:v>
      </ns0:c>
      <ns0:c xmlns:ns0="http://schemas.openxmlformats.org/spreadsheetml/2006/main" r="AE271" s="11">
        <ns0:v>500</ns0:v>
      </ns0:c>
      <ns0:c xmlns:ns0="http://schemas.openxmlformats.org/spreadsheetml/2006/main" r="AF271" s="11">
        <ns0:v>3333333333.33333</ns0:v>
      </ns0:c>
      <ns0:c xmlns:ns0="http://schemas.openxmlformats.org/spreadsheetml/2006/main" r="AG271" s="11">
        <ns0:v>50</ns0:v>
      </ns0:c>
      <ns0:c xmlns:ns0="http://schemas.openxmlformats.org/spreadsheetml/2006/main" r="AH271" s="11">
        <ns0:v>60</ns0:v>
      </ns0:c>
      <ns0:c xmlns:ns0="http://schemas.openxmlformats.org/spreadsheetml/2006/main" r="AI271" s="11">
        <ns0:v>37.1361533881089</ns0:v>
      </ns0:c>
      <ns0:c xmlns:ns0="http://schemas.openxmlformats.org/spreadsheetml/2006/main" r="AJ271" s="11" t="inlineStr">
        <ns0:is>
          <ns0:t>MY_LIB_C_RC</ns0:t>
        </ns0:is>
      </ns0:c>
      <ns0:c xmlns:ns0="http://schemas.openxmlformats.org/spreadsheetml/2006/main" r="AK271" s="11" t="inlineStr">
        <ns0:is>
          <ns0:t>Nominal C; DFmax at 1kHz; minimum insulation; no temperature/bias/ESL</ns0:t>
        </ns0:is>
      </ns0:c>
      <ns0:c xmlns:ns0="http://schemas.openxmlformats.org/spreadsheetml/2006/main" r="AL271" s="11" t="inlineStr">
        <ns0:is>
          <ns0:t>General</ns0:t>
        </ns0:is>
      </ns0:c>
      <ns0:c xmlns:ns0="http://schemas.openxmlformats.org/spreadsheetml/2006/main" r="AM271" s="11" t="inlineStr">
        <ns0:is>
          <ns0:t>Spice Subcircuit</ns0:t>
        </ns0:is>
      </ns0:c>
      <ns0:c xmlns:ns0="http://schemas.openxmlformats.org/spreadsheetml/2006/main" r="AN271" s="11" t="inlineStr">
        <ns0:is>
          <ns0:t>@DESIGNATOR %1 %2 @MODEL PARAMS: Cvalue=1.5e-07 Rsvalue=37.1361533881089 Rinsvalue=3333333333.33333</ns0:t>
        </ns0:is>
      </ns0:c>
      <ns0:c xmlns:ns0="http://schemas.openxmlformats.org/spreadsheetml/2006/main" r="AO271" s="11" t="inlineStr">
        <ns0:is>
          <ns0:t>X</ns0:t>
        </ns0:is>
      </ns0:c>
      <ns0:c xmlns:ns0="http://schemas.openxmlformats.org/spreadsheetml/2006/main" r="AP271" s="11" t="inlineStr">
        <ns0:is>
          <ns0:t>(1:1),(2:2)</ns0:t>
        </ns0:is>
      </ns0:c>
      <ns0:c xmlns:ns0="http://schemas.openxmlformats.org/spreadsheetml/2006/main" r="AQ271" s="11" t="inlineStr">
        <ns0:is>
          <ns0:t>Simulation\Capacitors\MY_LIB_C_RC.ckt</ns0:t>
        </ns0:is>
      </ns0:c>
    </ns0:row>
    <ns0:row r="272" ht="30" customHeight="1">
      <ns0:c r="A272" t="str" s="14">
        <ns0:v>C0273</ns0:v>
      </ns0:c>
      <ns0:c r="B272" t="str" s="14">
        <ns0:v>Конденсатор</ns0:v>
      </ns0:c>
      <ns0:c r="C272" t="str" s="14">
        <ns0:v>220n</ns0:v>
      </ns0:c>
      <ns0:c r="D272" t="str" s="11">
        <ns0:f>SUBSTITUTE(SUBSTITUTE(SUBSTITUTE(SUBSTITUTE(C272,"p"," пФ"),"n"," нФ"),"u"," мкФ"),".",",")</ns0:f>
        <ns0:v>220 нФ</ns0:v>
      </ns0:c>
      <ns0:c r="E272" t="str" s="14">
        <ns0:v>±20%</ns0:v>
      </ns0:c>
      <ns0:c r="F272" s="14"/>
      <ns0:c r="G272" t="str" s="14">
        <ns0:v>50 В</ns0:v>
      </ns0:c>
      <ns0:c r="H272" t="str" s="14">
        <ns0:v>X7R</ns0:v>
      </ns0:c>
      <ns0:c r="I272" t="str" s="15">
        <ns0:v>0603</ns0:v>
      </ns0:c>
      <ns0:c r="J272" t="str" s="14">
        <ns0:v>YAGEO</ns0:v>
      </ns0:c>
      <ns0:c r="K272" t="str" s="14">
        <ns0:v>CC0603MRX7R9BB224</ns0:v>
      </ns0:c>
      <ns0:c r="L272" t="str" s="11">
        <ns0:f>B272&amp;" "&amp;D272&amp;" "&amp;E272&amp;" "&amp;G272&amp;" "&amp;H272&amp;" "&amp;I272</ns0:f>
        <ns0:v>Конденсатор 220 нФ ±20% 50 В X7R 0603</ns0:v>
      </ns0:c>
      <ns0:c r="M272" t="str" s="13">
        <ns0:v>C</ns0:v>
      </ns0:c>
      <ns0:c r="N272" t="str" s="13">
        <ns0:v>Symbols\MY_LIB_Capacitors.SchLib</ns0:v>
      </ns0:c>
      <ns0:c r="O272" t="str" s="13">
        <ns0:v>CAPC1608X90N</ns0:v>
      </ns0:c>
      <ns0:c r="P272" t="str" s="13">
        <ns0:v>Footprints\PBL - SMD Packages.PcbLib</ns0:v>
      </ns0:c>
      <ns0:c r="Q272" t="str" s="14">
        <ns0:v>YAGEO CC; список 20.10.2026</ns0:v>
      </ns0:c>
      <ns0:c r="R272" t="str" s="11">
        <ns0:f>D272</ns0:f>
        <ns0:v>220 нФ</ns0:v>
      </ns0:c>
      <ns0:c r="S272" t="str" s="11">
        <ns0:f>L272</ns0:f>
        <ns0:v>Конденсатор 220 нФ ±20% 50 В X7R 0603</ns0:v>
      </ns0:c>
      <x:c xmlns:x="http://schemas.openxmlformats.org/spreadsheetml/2006/main" r="T272" t="str" s="11">
        <x:v>C:\Users\Nomatin\Documents\Altium\MY_LIB\MY_LIB\Datasheets\YAGEO_CC_X7R.pdf</x:v>
      </x:c>
      <x:c xmlns:x="http://schemas.openxmlformats.org/spreadsheetml/2006/main" r="U272" t="str" s="11">
        <x:v>Даташит — локальный</x:v>
      </x:c>
      <x:c xmlns:x="http://schemas.openxmlformats.org/spreadsheetml/2006/main" r="V272" t="str" s="11">
        <x:v>C:\Users\Nomatin\Documents\Altium\MY_LIB\MY_LIB\Datasheets\YAGEO_CC_X7R.pdf</x:v>
      </x:c>
      <x:c xmlns:x="http://schemas.openxmlformats.org/spreadsheetml/2006/main" r="W272" t="str" s="11">
        <x:v>Даташит — производитель</x:v>
      </x:c>
      <x:c xmlns:x="http://schemas.openxmlformats.org/spreadsheetml/2006/main" r="X272" t="str" s="11">
        <x:v>https://yageogroup.com/content/datasheet/asset/file/UPY-GPHC_X7R_6_3V-TO-250V</x:v>
      </x:c>
      <x:c xmlns:x="http://schemas.openxmlformats.org/spreadsheetml/2006/main" r="Y272" t="str" s="11">
        <x:v>C:\Users\Nomatin\Documents\Altium\MY_LIB\MY_LIB\Datasheets\YAGEO_CC_X7R.pdf</x:v>
      </x:c>
      <ns0:c xmlns:ns0="http://schemas.openxmlformats.org/spreadsheetml/2006/main" r="Z272" s="11">
        <ns0:v>2.2e-07</ns0:v>
      </ns0:c>
      <ns0:c xmlns:ns0="http://schemas.openxmlformats.org/spreadsheetml/2006/main" r="AA272" s="11">
        <ns0:v>0.035</ns0:v>
      </ns0:c>
      <ns0:c xmlns:ns0="http://schemas.openxmlformats.org/spreadsheetml/2006/main" r="AB272" s="11">
        <ns0:v>1000</ns0:v>
      </ns0:c>
      <ns0:c xmlns:ns0="http://schemas.openxmlformats.org/spreadsheetml/2006/main" r="AC272" s="11">
        <ns0:v>1</ns0:v>
      </ns0:c>
      <ns0:c xmlns:ns0="http://schemas.openxmlformats.org/spreadsheetml/2006/main" r="AD272" s="11">
        <ns0:v>20</ns0:v>
      </ns0:c>
      <ns0:c xmlns:ns0="http://schemas.openxmlformats.org/spreadsheetml/2006/main" r="AE272" s="11">
        <ns0:v>500</ns0:v>
      </ns0:c>
      <ns0:c xmlns:ns0="http://schemas.openxmlformats.org/spreadsheetml/2006/main" r="AF272" s="11">
        <ns0:v>2272727272.72727</ns0:v>
      </ns0:c>
      <ns0:c xmlns:ns0="http://schemas.openxmlformats.org/spreadsheetml/2006/main" r="AG272" s="11">
        <ns0:v>50</ns0:v>
      </ns0:c>
      <ns0:c xmlns:ns0="http://schemas.openxmlformats.org/spreadsheetml/2006/main" r="AH272" s="11">
        <ns0:v>60</ns0:v>
      </ns0:c>
      <ns0:c xmlns:ns0="http://schemas.openxmlformats.org/spreadsheetml/2006/main" r="AI272" s="11">
        <ns0:v>25.3201045828015</ns0:v>
      </ns0:c>
      <ns0:c xmlns:ns0="http://schemas.openxmlformats.org/spreadsheetml/2006/main" r="AJ272" s="11" t="inlineStr">
        <ns0:is>
          <ns0:t>MY_LIB_C_RC</ns0:t>
        </ns0:is>
      </ns0:c>
      <ns0:c xmlns:ns0="http://schemas.openxmlformats.org/spreadsheetml/2006/main" r="AK272" s="11" t="inlineStr">
        <ns0:is>
          <ns0:t>Nominal C; DFmax at 1kHz; minimum insulation; no temperature/bias/ESL</ns0:t>
        </ns0:is>
      </ns0:c>
      <ns0:c xmlns:ns0="http://schemas.openxmlformats.org/spreadsheetml/2006/main" r="AL272" s="11" t="inlineStr">
        <ns0:is>
          <ns0:t>General</ns0:t>
        </ns0:is>
      </ns0:c>
      <ns0:c xmlns:ns0="http://schemas.openxmlformats.org/spreadsheetml/2006/main" r="AM272" s="11" t="inlineStr">
        <ns0:is>
          <ns0:t>Spice Subcircuit</ns0:t>
        </ns0:is>
      </ns0:c>
      <ns0:c xmlns:ns0="http://schemas.openxmlformats.org/spreadsheetml/2006/main" r="AN272" s="11" t="inlineStr">
        <ns0:is>
          <ns0:t>@DESIGNATOR %1 %2 @MODEL PARAMS: Cvalue=2.2e-07 Rsvalue=25.3201045828015 Rinsvalue=2272727272.72727</ns0:t>
        </ns0:is>
      </ns0:c>
      <ns0:c xmlns:ns0="http://schemas.openxmlformats.org/spreadsheetml/2006/main" r="AO272" s="11" t="inlineStr">
        <ns0:is>
          <ns0:t>X</ns0:t>
        </ns0:is>
      </ns0:c>
      <ns0:c xmlns:ns0="http://schemas.openxmlformats.org/spreadsheetml/2006/main" r="AP272" s="11" t="inlineStr">
        <ns0:is>
          <ns0:t>(1:1),(2:2)</ns0:t>
        </ns0:is>
      </ns0:c>
      <ns0:c xmlns:ns0="http://schemas.openxmlformats.org/spreadsheetml/2006/main" r="AQ272" s="11" t="inlineStr">
        <ns0:is>
          <ns0:t>Simulation\Capacitors\MY_LIB_C_RC.ckt</ns0:t>
        </ns0:is>
      </ns0:c>
    </ns0:row>
    <ns0:row r="273" ht="30" customHeight="1">
      <ns0:c r="A273" t="str" s="14">
        <ns0:v>C0274</ns0:v>
      </ns0:c>
      <ns0:c r="B273" t="str" s="14">
        <ns0:v>Конденсатор</ns0:v>
      </ns0:c>
      <ns0:c r="C273" t="str" s="14">
        <ns0:v>330n</ns0:v>
      </ns0:c>
      <ns0:c r="D273" t="str" s="11">
        <ns0:f>SUBSTITUTE(SUBSTITUTE(SUBSTITUTE(SUBSTITUTE(C273,"p"," пФ"),"n"," нФ"),"u"," мкФ"),".",",")</ns0:f>
        <ns0:v>330 нФ</ns0:v>
      </ns0:c>
      <ns0:c r="E273" t="str" s="14">
        <ns0:v>±20%</ns0:v>
      </ns0:c>
      <ns0:c r="F273" s="14"/>
      <ns0:c r="G273" t="str" s="14">
        <ns0:v>25 В</ns0:v>
      </ns0:c>
      <ns0:c r="H273" t="str" s="14">
        <ns0:v>X7R</ns0:v>
      </ns0:c>
      <ns0:c r="I273" t="str" s="15">
        <ns0:v>0603</ns0:v>
      </ns0:c>
      <ns0:c r="J273" t="str" s="14">
        <ns0:v>YAGEO</ns0:v>
      </ns0:c>
      <ns0:c r="K273" t="str" s="14">
        <ns0:v>CC0603MRX7R8BB334</ns0:v>
      </ns0:c>
      <ns0:c r="L273" t="str" s="11">
        <ns0:f>B273&amp;" "&amp;D273&amp;" "&amp;E273&amp;" "&amp;G273&amp;" "&amp;H273&amp;" "&amp;I273</ns0:f>
        <ns0:v>Конденсатор 330 нФ ±20% 25 В X7R 0603</ns0:v>
      </ns0:c>
      <ns0:c r="M273" t="str" s="13">
        <ns0:v>C</ns0:v>
      </ns0:c>
      <ns0:c r="N273" t="str" s="13">
        <ns0:v>Symbols\MY_LIB_Capacitors.SchLib</ns0:v>
      </ns0:c>
      <ns0:c r="O273" t="str" s="13">
        <ns0:v>CAPC1608X90N</ns0:v>
      </ns0:c>
      <ns0:c r="P273" t="str" s="13">
        <ns0:v>Footprints\PBL - SMD Packages.PcbLib</ns0:v>
      </ns0:c>
      <ns0:c r="Q273" t="str" s="14">
        <ns0:v>YAGEO CC; список 20.10.2026</ns0:v>
      </ns0:c>
      <ns0:c r="R273" t="str" s="11">
        <ns0:f>D273</ns0:f>
        <ns0:v>330 нФ</ns0:v>
      </ns0:c>
      <ns0:c r="S273" t="str" s="11">
        <ns0:f>L273</ns0:f>
        <ns0:v>Конденсатор 330 нФ ±20% 25 В X7R 0603</ns0:v>
      </ns0:c>
      <x:c xmlns:x="http://schemas.openxmlformats.org/spreadsheetml/2006/main" r="T273" t="str" s="11">
        <x:v>C:\Users\Nomatin\Documents\Altium\MY_LIB\MY_LIB\Datasheets\YAGEO_CC_X7R.pdf</x:v>
      </x:c>
      <x:c xmlns:x="http://schemas.openxmlformats.org/spreadsheetml/2006/main" r="U273" t="str" s="11">
        <x:v>Даташит — локальный</x:v>
      </x:c>
      <x:c xmlns:x="http://schemas.openxmlformats.org/spreadsheetml/2006/main" r="V273" t="str" s="11">
        <x:v>C:\Users\Nomatin\Documents\Altium\MY_LIB\MY_LIB\Datasheets\YAGEO_CC_X7R.pdf</x:v>
      </x:c>
      <x:c xmlns:x="http://schemas.openxmlformats.org/spreadsheetml/2006/main" r="W273" t="str" s="11">
        <x:v>Даташит — производитель</x:v>
      </x:c>
      <x:c xmlns:x="http://schemas.openxmlformats.org/spreadsheetml/2006/main" r="X273" t="str" s="11">
        <x:v>https://yageogroup.com/content/datasheet/asset/file/UPY-GPHC_X7R_6_3V-TO-250V</x:v>
      </x:c>
      <x:c xmlns:x="http://schemas.openxmlformats.org/spreadsheetml/2006/main" r="Y273" t="str" s="11">
        <x:v>C:\Users\Nomatin\Documents\Altium\MY_LIB\MY_LIB\Datasheets\YAGEO_CC_X7R.pdf</x:v>
      </x:c>
      <ns0:c xmlns:ns0="http://schemas.openxmlformats.org/spreadsheetml/2006/main" r="Z273" s="11">
        <ns0:v>3.3e-07</ns0:v>
      </ns0:c>
      <ns0:c xmlns:ns0="http://schemas.openxmlformats.org/spreadsheetml/2006/main" r="AA273" s="11">
        <ns0:v>0.07</ns0:v>
      </ns0:c>
      <ns0:c xmlns:ns0="http://schemas.openxmlformats.org/spreadsheetml/2006/main" r="AB273" s="11">
        <ns0:v>1000</ns0:v>
      </ns0:c>
      <ns0:c xmlns:ns0="http://schemas.openxmlformats.org/spreadsheetml/2006/main" r="AC273" s="11">
        <ns0:v>1</ns0:v>
      </ns0:c>
      <ns0:c xmlns:ns0="http://schemas.openxmlformats.org/spreadsheetml/2006/main" r="AD273" s="11">
        <ns0:v>20</ns0:v>
      </ns0:c>
      <ns0:c xmlns:ns0="http://schemas.openxmlformats.org/spreadsheetml/2006/main" r="AE273" s="11">
        <ns0:v>100</ns0:v>
      </ns0:c>
      <ns0:c xmlns:ns0="http://schemas.openxmlformats.org/spreadsheetml/2006/main" r="AF273" s="11">
        <ns0:v>303030303.030303</ns0:v>
      </ns0:c>
      <ns0:c xmlns:ns0="http://schemas.openxmlformats.org/spreadsheetml/2006/main" r="AG273" s="11">
        <ns0:v>25</ns0:v>
      </ns0:c>
      <ns0:c xmlns:ns0="http://schemas.openxmlformats.org/spreadsheetml/2006/main" r="AH273" s="11">
        <ns0:v>60</ns0:v>
      </ns0:c>
      <ns0:c xmlns:ns0="http://schemas.openxmlformats.org/spreadsheetml/2006/main" r="AI273" s="11">
        <ns0:v>33.7601394437354</ns0:v>
      </ns0:c>
      <ns0:c xmlns:ns0="http://schemas.openxmlformats.org/spreadsheetml/2006/main" r="AJ273" s="11" t="inlineStr">
        <ns0:is>
          <ns0:t>MY_LIB_C_RC</ns0:t>
        </ns0:is>
      </ns0:c>
      <ns0:c xmlns:ns0="http://schemas.openxmlformats.org/spreadsheetml/2006/main" r="AK273" s="11" t="inlineStr">
        <ns0:is>
          <ns0:t>Nominal C; DFmax at 1kHz; minimum insulation; no temperature/bias/ESL</ns0:t>
        </ns0:is>
      </ns0:c>
      <ns0:c xmlns:ns0="http://schemas.openxmlformats.org/spreadsheetml/2006/main" r="AL273" s="11" t="inlineStr">
        <ns0:is>
          <ns0:t>General</ns0:t>
        </ns0:is>
      </ns0:c>
      <ns0:c xmlns:ns0="http://schemas.openxmlformats.org/spreadsheetml/2006/main" r="AM273" s="11" t="inlineStr">
        <ns0:is>
          <ns0:t>Spice Subcircuit</ns0:t>
        </ns0:is>
      </ns0:c>
      <ns0:c xmlns:ns0="http://schemas.openxmlformats.org/spreadsheetml/2006/main" r="AN273" s="11" t="inlineStr">
        <ns0:is>
          <ns0:t>@DESIGNATOR %1 %2 @MODEL PARAMS: Cvalue=3.3e-07 Rsvalue=33.7601394437354 Rinsvalue=303030303.030303</ns0:t>
        </ns0:is>
      </ns0:c>
      <ns0:c xmlns:ns0="http://schemas.openxmlformats.org/spreadsheetml/2006/main" r="AO273" s="11" t="inlineStr">
        <ns0:is>
          <ns0:t>X</ns0:t>
        </ns0:is>
      </ns0:c>
      <ns0:c xmlns:ns0="http://schemas.openxmlformats.org/spreadsheetml/2006/main" r="AP273" s="11" t="inlineStr">
        <ns0:is>
          <ns0:t>(1:1),(2:2)</ns0:t>
        </ns0:is>
      </ns0:c>
      <ns0:c xmlns:ns0="http://schemas.openxmlformats.org/spreadsheetml/2006/main" r="AQ273" s="11" t="inlineStr">
        <ns0:is>
          <ns0:t>Simulation\Capacitors\MY_LIB_C_RC.ckt</ns0:t>
        </ns0:is>
      </ns0:c>
    </ns0:row>
    <ns0:row r="274" ht="30" customHeight="1">
      <ns0:c r="A274" t="str" s="14">
        <ns0:v>C0275</ns0:v>
      </ns0:c>
      <ns0:c r="B274" t="str" s="14">
        <ns0:v>Конденсатор</ns0:v>
      </ns0:c>
      <ns0:c r="C274" t="str" s="14">
        <ns0:v>470n</ns0:v>
      </ns0:c>
      <ns0:c r="D274" t="str" s="11">
        <ns0:f>SUBSTITUTE(SUBSTITUTE(SUBSTITUTE(SUBSTITUTE(C274,"p"," пФ"),"n"," нФ"),"u"," мкФ"),".",",")</ns0:f>
        <ns0:v>470 нФ</ns0:v>
      </ns0:c>
      <ns0:c r="E274" t="str" s="14">
        <ns0:v>±20%</ns0:v>
      </ns0:c>
      <ns0:c r="F274" s="14"/>
      <ns0:c r="G274" t="str" s="14">
        <ns0:v>50 В</ns0:v>
      </ns0:c>
      <ns0:c r="H274" t="str" s="14">
        <ns0:v>X7R</ns0:v>
      </ns0:c>
      <ns0:c r="I274" t="str" s="15">
        <ns0:v>0603</ns0:v>
      </ns0:c>
      <ns0:c r="J274" t="str" s="14">
        <ns0:v>YAGEO</ns0:v>
      </ns0:c>
      <ns0:c r="K274" t="str" s="14">
        <ns0:v>CC0603MRX7R9BB474</ns0:v>
      </ns0:c>
      <ns0:c r="L274" t="str" s="11">
        <ns0:f>B274&amp;" "&amp;D274&amp;" "&amp;E274&amp;" "&amp;G274&amp;" "&amp;H274&amp;" "&amp;I274</ns0:f>
        <ns0:v>Конденсатор 470 нФ ±20% 50 В X7R 0603</ns0:v>
      </ns0:c>
      <ns0:c r="M274" t="str" s="13">
        <ns0:v>C</ns0:v>
      </ns0:c>
      <ns0:c r="N274" t="str" s="13">
        <ns0:v>Symbols\MY_LIB_Capacitors.SchLib</ns0:v>
      </ns0:c>
      <ns0:c r="O274" t="str" s="13">
        <ns0:v>CAPC1608X90N</ns0:v>
      </ns0:c>
      <ns0:c r="P274" t="str" s="13">
        <ns0:v>Footprints\PBL - SMD Packages.PcbLib</ns0:v>
      </ns0:c>
      <ns0:c r="Q274" t="str" s="14">
        <ns0:v>YAGEO CC; список 20.10.2026</ns0:v>
      </ns0:c>
      <ns0:c r="R274" t="str" s="11">
        <ns0:f>D274</ns0:f>
        <ns0:v>470 нФ</ns0:v>
      </ns0:c>
      <ns0:c r="S274" t="str" s="11">
        <ns0:f>L274</ns0:f>
        <ns0:v>Конденсатор 470 нФ ±20% 50 В X7R 0603</ns0:v>
      </ns0:c>
      <x:c xmlns:x="http://schemas.openxmlformats.org/spreadsheetml/2006/main" r="T274" t="str" s="11">
        <x:v>C:\Users\Nomatin\Documents\Altium\MY_LIB\MY_LIB\Datasheets\YAGEO_CC_X7R.pdf</x:v>
      </x:c>
      <x:c xmlns:x="http://schemas.openxmlformats.org/spreadsheetml/2006/main" r="U274" t="str" s="11">
        <x:v>Даташит — локальный</x:v>
      </x:c>
      <x:c xmlns:x="http://schemas.openxmlformats.org/spreadsheetml/2006/main" r="V274" t="str" s="11">
        <x:v>C:\Users\Nomatin\Documents\Altium\MY_LIB\MY_LIB\Datasheets\YAGEO_CC_X7R.pdf</x:v>
      </x:c>
      <x:c xmlns:x="http://schemas.openxmlformats.org/spreadsheetml/2006/main" r="W274" t="str" s="11">
        <x:v>Даташит — производитель</x:v>
      </x:c>
      <x:c xmlns:x="http://schemas.openxmlformats.org/spreadsheetml/2006/main" r="X274" t="str" s="11">
        <x:v>https://yageogroup.com/content/datasheet/asset/file/UPY-GPHC_X7R_6_3V-TO-250V</x:v>
      </x:c>
      <x:c xmlns:x="http://schemas.openxmlformats.org/spreadsheetml/2006/main" r="Y274" t="str" s="11">
        <x:v>C:\Users\Nomatin\Documents\Altium\MY_LIB\MY_LIB\Datasheets\YAGEO_CC_X7R.pdf</x:v>
      </x:c>
      <ns0:c xmlns:ns0="http://schemas.openxmlformats.org/spreadsheetml/2006/main" r="Z274" s="11">
        <ns0:v>4.7e-07</ns0:v>
      </ns0:c>
      <ns0:c xmlns:ns0="http://schemas.openxmlformats.org/spreadsheetml/2006/main" r="AA274" s="11">
        <ns0:v>0.1</ns0:v>
      </ns0:c>
      <ns0:c xmlns:ns0="http://schemas.openxmlformats.org/spreadsheetml/2006/main" r="AB274" s="11">
        <ns0:v>1000</ns0:v>
      </ns0:c>
      <ns0:c xmlns:ns0="http://schemas.openxmlformats.org/spreadsheetml/2006/main" r="AC274" s="11">
        <ns0:v>1</ns0:v>
      </ns0:c>
      <ns0:c xmlns:ns0="http://schemas.openxmlformats.org/spreadsheetml/2006/main" r="AD274" s="11">
        <ns0:v>20</ns0:v>
      </ns0:c>
      <ns0:c xmlns:ns0="http://schemas.openxmlformats.org/spreadsheetml/2006/main" r="AE274" s="11">
        <ns0:v>100</ns0:v>
      </ns0:c>
      <ns0:c xmlns:ns0="http://schemas.openxmlformats.org/spreadsheetml/2006/main" r="AF274" s="11">
        <ns0:v>212765957.446808</ns0:v>
      </ns0:c>
      <ns0:c xmlns:ns0="http://schemas.openxmlformats.org/spreadsheetml/2006/main" r="AG274" s="11">
        <ns0:v>50</ns0:v>
      </ns0:c>
      <ns0:c xmlns:ns0="http://schemas.openxmlformats.org/spreadsheetml/2006/main" r="AH274" s="11">
        <ns0:v>60</ns0:v>
      </ns0:c>
      <ns0:c xmlns:ns0="http://schemas.openxmlformats.org/spreadsheetml/2006/main" r="AI274" s="11">
        <ns0:v>33.8627538493394</ns0:v>
      </ns0:c>
      <ns0:c xmlns:ns0="http://schemas.openxmlformats.org/spreadsheetml/2006/main" r="AJ274" s="11" t="inlineStr">
        <ns0:is>
          <ns0:t>MY_LIB_C_RC</ns0:t>
        </ns0:is>
      </ns0:c>
      <ns0:c xmlns:ns0="http://schemas.openxmlformats.org/spreadsheetml/2006/main" r="AK274" s="11" t="inlineStr">
        <ns0:is>
          <ns0:t>Nominal C; DFmax at 1kHz; minimum insulation; no temperature/bias/ESL</ns0:t>
        </ns0:is>
      </ns0:c>
      <ns0:c xmlns:ns0="http://schemas.openxmlformats.org/spreadsheetml/2006/main" r="AL274" s="11" t="inlineStr">
        <ns0:is>
          <ns0:t>General</ns0:t>
        </ns0:is>
      </ns0:c>
      <ns0:c xmlns:ns0="http://schemas.openxmlformats.org/spreadsheetml/2006/main" r="AM274" s="11" t="inlineStr">
        <ns0:is>
          <ns0:t>Spice Subcircuit</ns0:t>
        </ns0:is>
      </ns0:c>
      <ns0:c xmlns:ns0="http://schemas.openxmlformats.org/spreadsheetml/2006/main" r="AN274" s="11" t="inlineStr">
        <ns0:is>
          <ns0:t>@DESIGNATOR %1 %2 @MODEL PARAMS: Cvalue=4.7e-07 Rsvalue=33.8627538493394 Rinsvalue=212765957.446808</ns0:t>
        </ns0:is>
      </ns0:c>
      <ns0:c xmlns:ns0="http://schemas.openxmlformats.org/spreadsheetml/2006/main" r="AO274" s="11" t="inlineStr">
        <ns0:is>
          <ns0:t>X</ns0:t>
        </ns0:is>
      </ns0:c>
      <ns0:c xmlns:ns0="http://schemas.openxmlformats.org/spreadsheetml/2006/main" r="AP274" s="11" t="inlineStr">
        <ns0:is>
          <ns0:t>(1:1),(2:2)</ns0:t>
        </ns0:is>
      </ns0:c>
      <ns0:c xmlns:ns0="http://schemas.openxmlformats.org/spreadsheetml/2006/main" r="AQ274" s="11" t="inlineStr">
        <ns0:is>
          <ns0:t>Simulation\Capacitors\MY_LIB_C_RC.ckt</ns0:t>
        </ns0:is>
      </ns0:c>
    </ns0:row>
    <ns0:row r="275" ht="30" customHeight="1">
      <ns0:c r="A275" t="str" s="14">
        <ns0:v>C0276</ns0:v>
      </ns0:c>
      <ns0:c r="B275" t="str" s="14">
        <ns0:v>Конденсатор</ns0:v>
      </ns0:c>
      <ns0:c r="C275" t="str" s="14">
        <ns0:v>680n</ns0:v>
      </ns0:c>
      <ns0:c r="D275" t="str" s="11">
        <ns0:f>SUBSTITUTE(SUBSTITUTE(SUBSTITUTE(SUBSTITUTE(C275,"p"," пФ"),"n"," нФ"),"u"," мкФ"),".",",")</ns0:f>
        <ns0:v>680 нФ</ns0:v>
      </ns0:c>
      <ns0:c r="E275" t="str" s="14">
        <ns0:v>±20%</ns0:v>
      </ns0:c>
      <ns0:c r="F275" s="14"/>
      <ns0:c r="G275" t="str" s="14">
        <ns0:v>50 В</ns0:v>
      </ns0:c>
      <ns0:c r="H275" t="str" s="14">
        <ns0:v>X7R</ns0:v>
      </ns0:c>
      <ns0:c r="I275" t="str" s="15">
        <ns0:v>0603</ns0:v>
      </ns0:c>
      <ns0:c r="J275" t="str" s="14">
        <ns0:v>YAGEO</ns0:v>
      </ns0:c>
      <ns0:c r="K275" t="str" s="14">
        <ns0:v>CC0603MRX7R9BB684</ns0:v>
      </ns0:c>
      <ns0:c r="L275" t="str" s="11">
        <ns0:f>B275&amp;" "&amp;D275&amp;" "&amp;E275&amp;" "&amp;G275&amp;" "&amp;H275&amp;" "&amp;I275</ns0:f>
        <ns0:v>Конденсатор 680 нФ ±20% 50 В X7R 0603</ns0:v>
      </ns0:c>
      <ns0:c r="M275" t="str" s="13">
        <ns0:v>C</ns0:v>
      </ns0:c>
      <ns0:c r="N275" t="str" s="13">
        <ns0:v>Symbols\MY_LIB_Capacitors.SchLib</ns0:v>
      </ns0:c>
      <ns0:c r="O275" t="str" s="13">
        <ns0:v>CAPC1608X90N</ns0:v>
      </ns0:c>
      <ns0:c r="P275" t="str" s="13">
        <ns0:v>Footprints\PBL - SMD Packages.PcbLib</ns0:v>
      </ns0:c>
      <ns0:c r="Q275" t="str" s="14">
        <ns0:v>YAGEO CC; список 20.10.2026</ns0:v>
      </ns0:c>
      <ns0:c r="R275" t="str" s="11">
        <ns0:f>D275</ns0:f>
        <ns0:v>680 нФ</ns0:v>
      </ns0:c>
      <ns0:c r="S275" t="str" s="11">
        <ns0:f>L275</ns0:f>
        <ns0:v>Конденсатор 680 нФ ±20% 50 В X7R 0603</ns0:v>
      </ns0:c>
      <x:c xmlns:x="http://schemas.openxmlformats.org/spreadsheetml/2006/main" r="T275" t="str" s="11">
        <x:v>C:\Users\Nomatin\Documents\Altium\MY_LIB\MY_LIB\Datasheets\YAGEO_CC_X7R.pdf</x:v>
      </x:c>
      <x:c xmlns:x="http://schemas.openxmlformats.org/spreadsheetml/2006/main" r="U275" t="str" s="11">
        <x:v>Даташит — локальный</x:v>
      </x:c>
      <x:c xmlns:x="http://schemas.openxmlformats.org/spreadsheetml/2006/main" r="V275" t="str" s="11">
        <x:v>C:\Users\Nomatin\Documents\Altium\MY_LIB\MY_LIB\Datasheets\YAGEO_CC_X7R.pdf</x:v>
      </x:c>
      <x:c xmlns:x="http://schemas.openxmlformats.org/spreadsheetml/2006/main" r="W275" t="str" s="11">
        <x:v>Даташит — производитель</x:v>
      </x:c>
      <x:c xmlns:x="http://schemas.openxmlformats.org/spreadsheetml/2006/main" r="X275" t="str" s="11">
        <x:v>https://yageogroup.com/content/datasheet/asset/file/UPY-GPHC_X7R_6_3V-TO-250V</x:v>
      </x:c>
      <x:c xmlns:x="http://schemas.openxmlformats.org/spreadsheetml/2006/main" r="Y275" t="str" s="11">
        <x:v>C:\Users\Nomatin\Documents\Altium\MY_LIB\MY_LIB\Datasheets\YAGEO_CC_X7R.pdf</x:v>
      </x:c>
      <ns0:c xmlns:ns0="http://schemas.openxmlformats.org/spreadsheetml/2006/main" r="Z275" s="11">
        <ns0:v>6.8e-07</ns0:v>
      </ns0:c>
      <ns0:c xmlns:ns0="http://schemas.openxmlformats.org/spreadsheetml/2006/main" r="AA275" s="11">
        <ns0:v>0.1</ns0:v>
      </ns0:c>
      <ns0:c xmlns:ns0="http://schemas.openxmlformats.org/spreadsheetml/2006/main" r="AB275" s="11">
        <ns0:v>1000</ns0:v>
      </ns0:c>
      <ns0:c xmlns:ns0="http://schemas.openxmlformats.org/spreadsheetml/2006/main" r="AC275" s="11">
        <ns0:v>1</ns0:v>
      </ns0:c>
      <ns0:c xmlns:ns0="http://schemas.openxmlformats.org/spreadsheetml/2006/main" r="AD275" s="11">
        <ns0:v>20</ns0:v>
      </ns0:c>
      <ns0:c xmlns:ns0="http://schemas.openxmlformats.org/spreadsheetml/2006/main" r="AE275" s="11">
        <ns0:v>100</ns0:v>
      </ns0:c>
      <ns0:c xmlns:ns0="http://schemas.openxmlformats.org/spreadsheetml/2006/main" r="AF275" s="11">
        <ns0:v>147058823.529412</ns0:v>
      </ns0:c>
      <ns0:c xmlns:ns0="http://schemas.openxmlformats.org/spreadsheetml/2006/main" r="AG275" s="11">
        <ns0:v>50</ns0:v>
      </ns0:c>
      <ns0:c xmlns:ns0="http://schemas.openxmlformats.org/spreadsheetml/2006/main" r="AH275" s="11">
        <ns0:v>60</ns0:v>
      </ns0:c>
      <ns0:c xmlns:ns0="http://schemas.openxmlformats.org/spreadsheetml/2006/main" r="AI275" s="11">
        <ns0:v>23.4051386899846</ns0:v>
      </ns0:c>
      <ns0:c xmlns:ns0="http://schemas.openxmlformats.org/spreadsheetml/2006/main" r="AJ275" s="11" t="inlineStr">
        <ns0:is>
          <ns0:t>MY_LIB_C_RC</ns0:t>
        </ns0:is>
      </ns0:c>
      <ns0:c xmlns:ns0="http://schemas.openxmlformats.org/spreadsheetml/2006/main" r="AK275" s="11" t="inlineStr">
        <ns0:is>
          <ns0:t>Nominal C; DFmax at 1kHz; minimum insulation; no temperature/bias/ESL</ns0:t>
        </ns0:is>
      </ns0:c>
      <ns0:c xmlns:ns0="http://schemas.openxmlformats.org/spreadsheetml/2006/main" r="AL275" s="11" t="inlineStr">
        <ns0:is>
          <ns0:t>General</ns0:t>
        </ns0:is>
      </ns0:c>
      <ns0:c xmlns:ns0="http://schemas.openxmlformats.org/spreadsheetml/2006/main" r="AM275" s="11" t="inlineStr">
        <ns0:is>
          <ns0:t>Spice Subcircuit</ns0:t>
        </ns0:is>
      </ns0:c>
      <ns0:c xmlns:ns0="http://schemas.openxmlformats.org/spreadsheetml/2006/main" r="AN275" s="11" t="inlineStr">
        <ns0:is>
          <ns0:t>@DESIGNATOR %1 %2 @MODEL PARAMS: Cvalue=6.8e-07 Rsvalue=23.4051386899846 Rinsvalue=147058823.529412</ns0:t>
        </ns0:is>
      </ns0:c>
      <ns0:c xmlns:ns0="http://schemas.openxmlformats.org/spreadsheetml/2006/main" r="AO275" s="11" t="inlineStr">
        <ns0:is>
          <ns0:t>X</ns0:t>
        </ns0:is>
      </ns0:c>
      <ns0:c xmlns:ns0="http://schemas.openxmlformats.org/spreadsheetml/2006/main" r="AP275" s="11" t="inlineStr">
        <ns0:is>
          <ns0:t>(1:1),(2:2)</ns0:t>
        </ns0:is>
      </ns0:c>
      <ns0:c xmlns:ns0="http://schemas.openxmlformats.org/spreadsheetml/2006/main" r="AQ275" s="11" t="inlineStr">
        <ns0:is>
          <ns0:t>Simulation\Capacitors\MY_LIB_C_RC.ckt</ns0:t>
        </ns0:is>
      </ns0:c>
    </ns0:row>
    <ns0:row r="276" ht="30" customHeight="1">
      <ns0:c r="A276" t="str" s="14">
        <ns0:v>C0277</ns0:v>
      </ns0:c>
      <ns0:c r="B276" t="str" s="14">
        <ns0:v>Конденсатор</ns0:v>
      </ns0:c>
      <ns0:c r="C276" t="str" s="14">
        <ns0:v>1u</ns0:v>
      </ns0:c>
      <ns0:c r="D276" t="str" s="11">
        <ns0:f>SUBSTITUTE(SUBSTITUTE(SUBSTITUTE(SUBSTITUTE(C276,"p"," пФ"),"n"," нФ"),"u"," мкФ"),".",",")</ns0:f>
        <ns0:v>1 мкФ</ns0:v>
      </ns0:c>
      <ns0:c r="E276" t="str" s="14">
        <ns0:v>±20%</ns0:v>
      </ns0:c>
      <ns0:c r="F276" s="14"/>
      <ns0:c r="G276" t="str" s="14">
        <ns0:v>50 В</ns0:v>
      </ns0:c>
      <ns0:c r="H276" t="str" s="14">
        <ns0:v>X7R</ns0:v>
      </ns0:c>
      <ns0:c r="I276" t="str" s="15">
        <ns0:v>0603</ns0:v>
      </ns0:c>
      <ns0:c r="J276" t="str" s="14">
        <ns0:v>YAGEO</ns0:v>
      </ns0:c>
      <ns0:c r="K276" t="str" s="14">
        <ns0:v>CC0603MRX7R9BB105</ns0:v>
      </ns0:c>
      <ns0:c r="L276" t="str" s="11">
        <ns0:f>B276&amp;" "&amp;D276&amp;" "&amp;E276&amp;" "&amp;G276&amp;" "&amp;H276&amp;" "&amp;I276</ns0:f>
        <ns0:v>Конденсатор 1 мкФ ±20% 50 В X7R 0603</ns0:v>
      </ns0:c>
      <ns0:c r="M276" t="str" s="13">
        <ns0:v>C</ns0:v>
      </ns0:c>
      <ns0:c r="N276" t="str" s="13">
        <ns0:v>Symbols\MY_LIB_Capacitors.SchLib</ns0:v>
      </ns0:c>
      <ns0:c r="O276" t="str" s="13">
        <ns0:v>CAPC1608X90N</ns0:v>
      </ns0:c>
      <ns0:c r="P276" t="str" s="13">
        <ns0:v>Footprints\PBL - SMD Packages.PcbLib</ns0:v>
      </ns0:c>
      <ns0:c r="Q276" t="str" s="14">
        <ns0:v>YAGEO CC; список 20.10.2026</ns0:v>
      </ns0:c>
      <ns0:c r="R276" t="str" s="11">
        <ns0:f>D276</ns0:f>
        <ns0:v>1 мкФ</ns0:v>
      </ns0:c>
      <ns0:c r="S276" t="str" s="11">
        <ns0:f>L276</ns0:f>
        <ns0:v>Конденсатор 1 мкФ ±20% 50 В X7R 0603</ns0:v>
      </ns0:c>
      <x:c xmlns:x="http://schemas.openxmlformats.org/spreadsheetml/2006/main" r="T276" t="str" s="11">
        <x:v>C:\Users\Nomatin\Documents\Altium\MY_LIB\MY_LIB\Datasheets\YAGEO_CC_X7R.pdf</x:v>
      </x:c>
      <x:c xmlns:x="http://schemas.openxmlformats.org/spreadsheetml/2006/main" r="U276" t="str" s="11">
        <x:v>Даташит — локальный</x:v>
      </x:c>
      <x:c xmlns:x="http://schemas.openxmlformats.org/spreadsheetml/2006/main" r="V276" t="str" s="11">
        <x:v>C:\Users\Nomatin\Documents\Altium\MY_LIB\MY_LIB\Datasheets\YAGEO_CC_X7R.pdf</x:v>
      </x:c>
      <x:c xmlns:x="http://schemas.openxmlformats.org/spreadsheetml/2006/main" r="W276" t="str" s="11">
        <x:v>Даташит — производитель</x:v>
      </x:c>
      <x:c xmlns:x="http://schemas.openxmlformats.org/spreadsheetml/2006/main" r="X276" t="str" s="11">
        <x:v>https://yageogroup.com/content/datasheet/asset/file/UPY-GPHC_X7R_6_3V-TO-250V</x:v>
      </x:c>
      <x:c xmlns:x="http://schemas.openxmlformats.org/spreadsheetml/2006/main" r="Y276" t="str" s="11">
        <x:v>C:\Users\Nomatin\Documents\Altium\MY_LIB\MY_LIB\Datasheets\YAGEO_CC_X7R.pdf</x:v>
      </x:c>
      <ns0:c xmlns:ns0="http://schemas.openxmlformats.org/spreadsheetml/2006/main" r="Z276" s="11">
        <ns0:v>1e-06</ns0:v>
      </ns0:c>
      <ns0:c xmlns:ns0="http://schemas.openxmlformats.org/spreadsheetml/2006/main" r="AA276" s="11">
        <ns0:v>0.1</ns0:v>
      </ns0:c>
      <ns0:c xmlns:ns0="http://schemas.openxmlformats.org/spreadsheetml/2006/main" r="AB276" s="11">
        <ns0:v>1000</ns0:v>
      </ns0:c>
      <ns0:c xmlns:ns0="http://schemas.openxmlformats.org/spreadsheetml/2006/main" r="AC276" s="11">
        <ns0:v>1</ns0:v>
      </ns0:c>
      <ns0:c xmlns:ns0="http://schemas.openxmlformats.org/spreadsheetml/2006/main" r="AD276" s="11">
        <ns0:v>20</ns0:v>
      </ns0:c>
      <ns0:c xmlns:ns0="http://schemas.openxmlformats.org/spreadsheetml/2006/main" r="AE276" s="11">
        <ns0:v>100</ns0:v>
      </ns0:c>
      <ns0:c xmlns:ns0="http://schemas.openxmlformats.org/spreadsheetml/2006/main" r="AF276" s="11">
        <ns0:v>100000000</ns0:v>
      </ns0:c>
      <ns0:c xmlns:ns0="http://schemas.openxmlformats.org/spreadsheetml/2006/main" r="AG276" s="11">
        <ns0:v>50</ns0:v>
      </ns0:c>
      <ns0:c xmlns:ns0="http://schemas.openxmlformats.org/spreadsheetml/2006/main" r="AH276" s="11">
        <ns0:v>60</ns0:v>
      </ns0:c>
      <ns0:c xmlns:ns0="http://schemas.openxmlformats.org/spreadsheetml/2006/main" r="AI276" s="11">
        <ns0:v>15.9154943091895</ns0:v>
      </ns0:c>
      <ns0:c xmlns:ns0="http://schemas.openxmlformats.org/spreadsheetml/2006/main" r="AJ276" s="11" t="inlineStr">
        <ns0:is>
          <ns0:t>MY_LIB_C_RC</ns0:t>
        </ns0:is>
      </ns0:c>
      <ns0:c xmlns:ns0="http://schemas.openxmlformats.org/spreadsheetml/2006/main" r="AK276" s="11" t="inlineStr">
        <ns0:is>
          <ns0:t>Nominal C; DFmax at 1kHz; minimum insulation; no temperature/bias/ESL</ns0:t>
        </ns0:is>
      </ns0:c>
      <ns0:c xmlns:ns0="http://schemas.openxmlformats.org/spreadsheetml/2006/main" r="AL276" s="11" t="inlineStr">
        <ns0:is>
          <ns0:t>General</ns0:t>
        </ns0:is>
      </ns0:c>
      <ns0:c xmlns:ns0="http://schemas.openxmlformats.org/spreadsheetml/2006/main" r="AM276" s="11" t="inlineStr">
        <ns0:is>
          <ns0:t>Spice Subcircuit</ns0:t>
        </ns0:is>
      </ns0:c>
      <ns0:c xmlns:ns0="http://schemas.openxmlformats.org/spreadsheetml/2006/main" r="AN276" s="11" t="inlineStr">
        <ns0:is>
          <ns0:t>@DESIGNATOR %1 %2 @MODEL PARAMS: Cvalue=1e-06 Rsvalue=15.9154943091895 Rinsvalue=100000000</ns0:t>
        </ns0:is>
      </ns0:c>
      <ns0:c xmlns:ns0="http://schemas.openxmlformats.org/spreadsheetml/2006/main" r="AO276" s="11" t="inlineStr">
        <ns0:is>
          <ns0:t>X</ns0:t>
        </ns0:is>
      </ns0:c>
      <ns0:c xmlns:ns0="http://schemas.openxmlformats.org/spreadsheetml/2006/main" r="AP276" s="11" t="inlineStr">
        <ns0:is>
          <ns0:t>(1:1),(2:2)</ns0:t>
        </ns0:is>
      </ns0:c>
      <ns0:c xmlns:ns0="http://schemas.openxmlformats.org/spreadsheetml/2006/main" r="AQ276" s="11" t="inlineStr">
        <ns0:is>
          <ns0:t>Simulation\Capacitors\MY_LIB_C_RC.ckt</ns0:t>
        </ns0:is>
      </ns0:c>
    </ns0:row>
    <ns0:row r="277" ht="30" customHeight="1">
      <ns0:c r="A277" t="str" s="14">
        <ns0:v>C0278</ns0:v>
      </ns0:c>
      <ns0:c r="B277" t="str" s="14">
        <ns0:v>Конденсатор</ns0:v>
      </ns0:c>
      <ns0:c r="C277" t="str" s="14">
        <ns0:v>2.2u</ns0:v>
      </ns0:c>
      <ns0:c r="D277" t="str" s="11">
        <ns0:f>SUBSTITUTE(SUBSTITUTE(SUBSTITUTE(SUBSTITUTE(C277,"p"," пФ"),"n"," нФ"),"u"," мкФ"),".",",")</ns0:f>
        <ns0:v>2,2 мкФ</ns0:v>
      </ns0:c>
      <ns0:c r="E277" t="str" s="14">
        <ns0:v>±20%</ns0:v>
      </ns0:c>
      <ns0:c r="F277" s="14"/>
      <ns0:c r="G277" t="str" s="14">
        <ns0:v>16 В</ns0:v>
      </ns0:c>
      <ns0:c r="H277" t="str" s="14">
        <ns0:v>X7R</ns0:v>
      </ns0:c>
      <ns0:c r="I277" t="str" s="15">
        <ns0:v>0603</ns0:v>
      </ns0:c>
      <ns0:c r="J277" t="str" s="14">
        <ns0:v>YAGEO</ns0:v>
      </ns0:c>
      <ns0:c r="K277" t="str" s="14">
        <ns0:v>CC0603MRX7R7BB225</ns0:v>
      </ns0:c>
      <ns0:c r="L277" t="str" s="11">
        <ns0:f>B277&amp;" "&amp;D277&amp;" "&amp;E277&amp;" "&amp;G277&amp;" "&amp;H277&amp;" "&amp;I277</ns0:f>
        <ns0:v>Конденсатор 2,2 мкФ ±20% 16 В X7R 0603</ns0:v>
      </ns0:c>
      <ns0:c r="M277" t="str" s="13">
        <ns0:v>C</ns0:v>
      </ns0:c>
      <ns0:c r="N277" t="str" s="13">
        <ns0:v>Symbols\MY_LIB_Capacitors.SchLib</ns0:v>
      </ns0:c>
      <ns0:c r="O277" t="str" s="13">
        <ns0:v>CAPC1608X90N</ns0:v>
      </ns0:c>
      <ns0:c r="P277" t="str" s="13">
        <ns0:v>Footprints\PBL - SMD Packages.PcbLib</ns0:v>
      </ns0:c>
      <ns0:c r="Q277" t="str" s="14">
        <ns0:v>YAGEO CC; список 20.10.2026</ns0:v>
      </ns0:c>
      <ns0:c r="R277" t="str" s="11">
        <ns0:f>D277</ns0:f>
        <ns0:v>2,2 мкФ</ns0:v>
      </ns0:c>
      <ns0:c r="S277" t="str" s="11">
        <ns0:f>L277</ns0:f>
        <ns0:v>Конденсатор 2,2 мкФ ±20% 16 В X7R 0603</ns0:v>
      </ns0:c>
      <x:c xmlns:x="http://schemas.openxmlformats.org/spreadsheetml/2006/main" r="T277" t="str" s="11">
        <x:v>C:\Users\Nomatin\Documents\Altium\MY_LIB\MY_LIB\Datasheets\YAGEO_CC_X7R.pdf</x:v>
      </x:c>
      <x:c xmlns:x="http://schemas.openxmlformats.org/spreadsheetml/2006/main" r="U277" t="str" s="11">
        <x:v>Даташит — локальный</x:v>
      </x:c>
      <x:c xmlns:x="http://schemas.openxmlformats.org/spreadsheetml/2006/main" r="V277" t="str" s="11">
        <x:v>C:\Users\Nomatin\Documents\Altium\MY_LIB\MY_LIB\Datasheets\YAGEO_CC_X7R.pdf</x:v>
      </x:c>
      <x:c xmlns:x="http://schemas.openxmlformats.org/spreadsheetml/2006/main" r="W277" t="str" s="11">
        <x:v>Даташит — производитель</x:v>
      </x:c>
      <x:c xmlns:x="http://schemas.openxmlformats.org/spreadsheetml/2006/main" r="X277" t="str" s="11">
        <x:v>https://yageogroup.com/content/datasheet/asset/file/UPY-GPHC_X7R_6_3V-TO-250V</x:v>
      </x:c>
      <x:c xmlns:x="http://schemas.openxmlformats.org/spreadsheetml/2006/main" r="Y277" t="str" s="11">
        <x:v>C:\Users\Nomatin\Documents\Altium\MY_LIB\MY_LIB\Datasheets\YAGEO_CC_X7R.pdf</x:v>
      </x:c>
      <ns0:c xmlns:ns0="http://schemas.openxmlformats.org/spreadsheetml/2006/main" r="Z277" s="11">
        <ns0:v>2.2e-06</ns0:v>
      </ns0:c>
      <ns0:c xmlns:ns0="http://schemas.openxmlformats.org/spreadsheetml/2006/main" r="AA277" s="11">
        <ns0:v>0.1</ns0:v>
      </ns0:c>
      <ns0:c xmlns:ns0="http://schemas.openxmlformats.org/spreadsheetml/2006/main" r="AB277" s="11">
        <ns0:v>1000</ns0:v>
      </ns0:c>
      <ns0:c xmlns:ns0="http://schemas.openxmlformats.org/spreadsheetml/2006/main" r="AC277" s="11">
        <ns0:v>1</ns0:v>
      </ns0:c>
      <ns0:c xmlns:ns0="http://schemas.openxmlformats.org/spreadsheetml/2006/main" r="AD277" s="11">
        <ns0:v>20</ns0:v>
      </ns0:c>
      <ns0:c xmlns:ns0="http://schemas.openxmlformats.org/spreadsheetml/2006/main" r="AE277" s="11">
        <ns0:v>50</ns0:v>
      </ns0:c>
      <ns0:c xmlns:ns0="http://schemas.openxmlformats.org/spreadsheetml/2006/main" r="AF277" s="11">
        <ns0:v>22727272.7272727</ns0:v>
      </ns0:c>
      <ns0:c xmlns:ns0="http://schemas.openxmlformats.org/spreadsheetml/2006/main" r="AG277" s="11">
        <ns0:v>16</ns0:v>
      </ns0:c>
      <ns0:c xmlns:ns0="http://schemas.openxmlformats.org/spreadsheetml/2006/main" r="AH277" s="11">
        <ns0:v>60</ns0:v>
      </ns0:c>
      <ns0:c xmlns:ns0="http://schemas.openxmlformats.org/spreadsheetml/2006/main" r="AI277" s="11">
        <ns0:v>7.23431559508615</ns0:v>
      </ns0:c>
      <ns0:c xmlns:ns0="http://schemas.openxmlformats.org/spreadsheetml/2006/main" r="AJ277" s="11" t="inlineStr">
        <ns0:is>
          <ns0:t>MY_LIB_C_RC</ns0:t>
        </ns0:is>
      </ns0:c>
      <ns0:c xmlns:ns0="http://schemas.openxmlformats.org/spreadsheetml/2006/main" r="AK277" s="11" t="inlineStr">
        <ns0:is>
          <ns0:t>Nominal C; DFmax at 1kHz; minimum insulation; no temperature/bias/ESL</ns0:t>
        </ns0:is>
      </ns0:c>
      <ns0:c xmlns:ns0="http://schemas.openxmlformats.org/spreadsheetml/2006/main" r="AL277" s="11" t="inlineStr">
        <ns0:is>
          <ns0:t>General</ns0:t>
        </ns0:is>
      </ns0:c>
      <ns0:c xmlns:ns0="http://schemas.openxmlformats.org/spreadsheetml/2006/main" r="AM277" s="11" t="inlineStr">
        <ns0:is>
          <ns0:t>Spice Subcircuit</ns0:t>
        </ns0:is>
      </ns0:c>
      <ns0:c xmlns:ns0="http://schemas.openxmlformats.org/spreadsheetml/2006/main" r="AN277" s="11" t="inlineStr">
        <ns0:is>
          <ns0:t>@DESIGNATOR %1 %2 @MODEL PARAMS: Cvalue=2.2e-06 Rsvalue=7.23431559508615 Rinsvalue=22727272.7272727</ns0:t>
        </ns0:is>
      </ns0:c>
      <ns0:c xmlns:ns0="http://schemas.openxmlformats.org/spreadsheetml/2006/main" r="AO277" s="11" t="inlineStr">
        <ns0:is>
          <ns0:t>X</ns0:t>
        </ns0:is>
      </ns0:c>
      <ns0:c xmlns:ns0="http://schemas.openxmlformats.org/spreadsheetml/2006/main" r="AP277" s="11" t="inlineStr">
        <ns0:is>
          <ns0:t>(1:1),(2:2)</ns0:t>
        </ns0:is>
      </ns0:c>
      <ns0:c xmlns:ns0="http://schemas.openxmlformats.org/spreadsheetml/2006/main" r="AQ277" s="11" t="inlineStr">
        <ns0:is>
          <ns0:t>Simulation\Capacitors\MY_LIB_C_RC.ckt</ns0:t>
        </ns0:is>
      </ns0:c>
    </ns0:row>
  </ns0:sheetData>
  <x:pageMargins left="0.7" right="0.7" top="0.75" bottom="0.75" header="0.3" footer="0.3"/>
  <x:tableParts count="1">
    <x:tablePart xmlns:r="http://schemas.openxmlformats.org/officeDocument/2006/relationships" r:id="Rf3f0e18cae8f4499"/>
  </x:tableParts>
</x:worksheet>
</file>

<file path=xl/worksheets/sheet3.xml><?xml version="1.0" encoding="utf-8"?>
<x:worksheet xmlns:x="http://schemas.openxmlformats.org/spreadsheetml/2006/main">
  <x:sheetPr>
    <x:tabColor rgb="FF24435B"/>
  </x:sheetPr>
  <x:sheetViews>
    <x:sheetView showGridLines="0" workbookViewId="0">
      <x:pane xSplit="2" ySplit="1" topLeftCell="C2" activePane="bottomRight" state="frozen"/>
    </x:sheetView>
  </x:sheetViews>
  <x:sheetFormatPr baseColWidth="8" defaultRowHeight="14.25"/>
  <x:cols>
    <x:col min="1" max="1" width="12" customWidth="1"/>
    <x:col min="2" max="2" width="20" customWidth="1"/>
    <x:col min="3" max="3" width="30" customWidth="1"/>
    <x:col min="4" max="4" width="19" customWidth="1"/>
    <x:col min="5" max="5" width="15" customWidth="1"/>
    <x:col min="6" max="6" width="16" customWidth="1"/>
    <x:col min="7" max="8" width="30" customWidth="1"/>
    <x:col min="8" max="8" width="26" customWidth="1"/>
    <x:col min="9" max="9" width="24" customWidth="1"/>
    <x:col min="10" max="10" width="22" customWidth="1"/>
    <x:col min="11" max="11" width="61" customWidth="1"/>
    <x:col min="12" max="12" width="30" customWidth="1"/>
    <x:col min="13" max="13" width="34" customWidth="1"/>
    <x:col min="14" max="14" width="30" customWidth="1"/>
    <x:col min="15" max="15" width="34" customWidth="1"/>
    <x:col min="16" max="16" width="62" customWidth="1"/>
    <x:col min="17" max="17" width="18" customWidth="1"/>
    <x:col min="18" max="18" width="20" customWidth="1"/>
    <x:col min="19" max="19" width="60" customWidth="1"/>
    <x:col min="20" max="20" width="29" customWidth="1"/>
    <x:col min="21" max="21" width="29" customWidth="1"/>
    <x:col min="22" max="22" width="29" customWidth="1"/>
    <x:col min="23" max="23" width="29" customWidth="1"/>
    <x:col min="24" max="24" width="29" customWidth="1"/>
    <x:col min="25" max="25" width="29" customWidth="1"/>
    <x:col min="26" max="26" width="29" customWidth="1"/>
    <x:col min="27" max="27" width="52" customWidth="1"/>
    <x:col min="28" max="28" width="52" customWidth="1"/>
    <x:col min="29" max="29" width="52" customWidth="1"/>
    <x:col min="30" max="30" width="52" customWidth="1"/>
    <x:col min="31" max="31" width="45" customWidth="1"/>
    <x:col min="32" max="32" width="45" customWidth="1"/>
    <x:col min="33" max="33" width="45" customWidth="1"/>
  </x:cols>
  <ns0:sheetData xmlns:ns0="http://schemas.openxmlformats.org/spreadsheetml/2006/main">
    <ns0:row r="1" ht="34.04999923706055" customHeight="1">
      <ns0:c r="A1" t="inlineStr" s="8">
        <ns0:is>
          <ns0:t xml:space="preserve">ID</ns0:t>
        </ns0:is>
      </ns0:c>
      <ns0:c r="B1" t="inlineStr" s="8">
        <ns0:is>
          <ns0:t xml:space="preserve">Type</ns0:t>
        </ns0:is>
      </ns0:c>
      <ns0:c r="C1" t="inlineStr" s="8">
        <ns0:is>
          <ns0:t xml:space="preserve">Value</ns0:t>
        </ns0:is>
      </ns0:c>
      <ns0:c r="D1" t="inlineStr" s="8">
        <ns0:is>
          <ns0:t xml:space="preserve">ESKD_value</ns0:t>
        </ns0:is>
      </ns0:c>
      <ns0:c r="E1" t="inlineStr" s="8">
        <ns0:is>
          <ns0:t xml:space="preserve">Tolerance</ns0:t>
        </ns0:is>
      </ns0:c>
      <ns0:c r="F1" t="inlineStr" s="8">
        <ns0:is>
          <ns0:t xml:space="preserve">Power</ns0:t>
        </ns0:is>
      </ns0:c>
      <ns0:c r="G1" t="inlineStr" s="8">
        <ns0:is>
          <ns0:t xml:space="preserve">Voltage</ns0:t>
        </ns0:is>
      </ns0:c>
      <ns0:c r="H1" t="inlineStr" s="8">
        <ns0:is>
          <ns0:t xml:space="preserve">Package</ns0:t>
        </ns0:is>
      </ns0:c>
      <ns0:c r="I1" t="inlineStr" s="8">
        <ns0:is>
          <ns0:t xml:space="preserve">Manufacturer</ns0:t>
        </ns0:is>
      </ns0:c>
      <ns0:c r="J1" t="inlineStr" s="8">
        <ns0:is>
          <ns0:t xml:space="preserve">MPN</ns0:t>
        </ns0:is>
      </ns0:c>
      <ns0:c r="K1" t="inlineStr" s="8">
        <ns0:is>
          <ns0:t xml:space="preserve">CommentBase</ns0:t>
        </ns0:is>
      </ns0:c>
      <ns0:c r="L1" t="inlineStr" s="8">
        <ns0:is>
          <ns0:t xml:space="preserve">Library Ref</ns0:t>
        </ns0:is>
      </ns0:c>
      <ns0:c r="M1" t="inlineStr" s="8">
        <ns0:is>
          <ns0:t xml:space="preserve">Library Path</ns0:t>
        </ns0:is>
      </ns0:c>
      <ns0:c r="N1" t="inlineStr" s="8">
        <ns0:is>
          <ns0:t xml:space="preserve">Footprint Ref</ns0:t>
        </ns0:is>
      </ns0:c>
      <ns0:c r="O1" t="inlineStr" s="8">
        <ns0:is>
          <ns0:t xml:space="preserve">Footprint Path</ns0:t>
        </ns0:is>
      </ns0:c>
      <ns0:c r="P1" t="inlineStr" s="8">
        <ns0:is>
          <ns0:t xml:space="preserve">Notes</ns0:t>
        </ns0:is>
      </ns0:c>
      <ns0:c r="Q1" t="inlineStr" s="8">
        <ns0:is>
          <ns0:t xml:space="preserve">Dielectric</ns0:t>
        </ns0:is>
      </ns0:c>
      <ns0:c r="R1" t="inlineStr" s="9">
        <ns0:is>
          <ns0:t xml:space="preserve">Comment</ns0:t>
        </ns0:is>
      </ns0:c>
      <ns0:c r="S1" t="inlineStr" s="9">
        <ns0:is>
          <ns0:t xml:space="preserve">Description</ns0:t>
        </ns0:is>
      </ns0:c>
      <ns0:c r="T1" t="inlineStr" s="17">
        <ns0:is>
          <ns0:t xml:space="preserve">OperatingTemperatureMin</ns0:t>
        </ns0:is>
      </ns0:c>
      <ns0:c r="U1" t="inlineStr" s="17">
        <ns0:is>
          <ns0:t xml:space="preserve">OperatingTemperatureMax</ns0:t>
        </ns0:is>
      </ns0:c>
      <ns0:c r="V1" t="inlineStr" s="17">
        <ns0:is>
          <ns0:t xml:space="preserve">TemperatureReference</ns0:t>
        </ns0:is>
      </ns0:c>
      <ns0:c r="W1" t="inlineStr" s="17">
        <ns0:is>
          <ns0:t xml:space="preserve">StorageTemperatureMin</ns0:t>
        </ns0:is>
      </ns0:c>
      <ns0:c r="X1" t="inlineStr" s="17">
        <ns0:is>
          <ns0:t xml:space="preserve">StorageTemperatureMax</ns0:t>
        </ns0:is>
      </ns0:c>
      <ns0:c r="Y1" t="inlineStr" s="17">
        <ns0:is>
          <ns0:t xml:space="preserve">JunctionTemperatureMin</ns0:t>
        </ns0:is>
      </ns0:c>
      <ns0:c r="Z1" t="inlineStr" s="17">
        <ns0:is>
          <ns0:t xml:space="preserve">JunctionTemperatureMax</ns0:t>
        </ns0:is>
      </ns0:c>
      <x:c xmlns:x="http://schemas.openxmlformats.org/spreadsheetml/2006/main" r="AA1" t="str" s="17">
        <x:v>Datasheet</x:v>
      </x:c>
      <ns0:c r="AB1" t="inlineStr" s="17">
        <ns0:is>
          <ns0:t xml:space="preserve">DatasheetRevision</ns0:t>
        </ns0:is>
      </ns0:c>
      <x:c xmlns:x="http://schemas.openxmlformats.org/spreadsheetml/2006/main" r="AC1" t="str" s="17">
        <x:v>ComponentLink1Description</x:v>
      </x:c>
      <x:c xmlns:x="http://schemas.openxmlformats.org/spreadsheetml/2006/main" r="AD1" t="str" s="17">
        <x:v>ComponentLink1URL</x:v>
      </x:c>
      <x:c xmlns:x="http://schemas.openxmlformats.org/spreadsheetml/2006/main" r="AE1" t="str" s="17">
        <x:v>ComponentLink2Description</x:v>
      </x:c>
      <x:c xmlns:x="http://schemas.openxmlformats.org/spreadsheetml/2006/main" r="AF1" t="str" s="17">
        <x:v>ComponentLink2URL</x:v>
      </x:c>
      <x:c xmlns:x="http://schemas.openxmlformats.org/spreadsheetml/2006/main" r="AG1" t="str" s="17">
        <x:v>HelpURL</x:v>
      </x:c>
    </ns0:row>
    <ns0:row r="2" ht="110" customHeight="1">
      <ns0:c r="A2" t="inlineStr" s="18">
        <ns0:is>
          <ns0:t xml:space="preserve">U0002</ns0:t>
        </ns0:is>
      </ns0:c>
      <ns0:c r="B2" t="inlineStr" s="18">
        <ns0:is>
          <ns0:t xml:space="preserve">Микросхема</ns0:t>
        </ns0:is>
      </ns0:c>
      <ns0:c r="C2" t="inlineStr" s="18">
        <ns0:is>
          <ns0:t xml:space="preserve">CP2102N-A02-GQFN24</ns0:t>
        </ns0:is>
      </ns0:c>
      <ns0:c r="D2" t="str" s="19">
        <ns0:f>C2</ns0:f>
        <ns0:v>CP2102N-A02-GQFN24</ns0:v>
      </ns0:c>
      <ns0:c r="E2" s="18"/>
      <ns0:c r="F2" s="18"/>
      <ns0:c r="G2" t="inlineStr" s="18">
        <ns0:is>
          <ns0:t xml:space="preserve">3.0–3.6 V (VDD); 3.0–5.25 V (VREGIN)</ns0:t>
        </ns0:is>
      </ns0:c>
      <ns0:c r="H2" t="inlineStr" s="20">
        <ns0:is>
          <ns0:t xml:space="preserve">QFN-24 4×4 mm, EP</ns0:t>
        </ns0:is>
      </ns0:c>
      <ns0:c r="I2" t="inlineStr" s="18">
        <ns0:is>
          <ns0:t xml:space="preserve">Silicon Labs</ns0:t>
        </ns0:is>
      </ns0:c>
      <ns0:c r="J2" t="inlineStr" s="18">
        <ns0:is>
          <ns0:t xml:space="preserve">CP2102N-A02-GQFN24</ns0:t>
        </ns0:is>
      </ns0:c>
      <ns0:c r="K2" t="str" s="21">
        <ns0:f>B2&amp;" "&amp;J2</ns0:f>
        <ns0:v>Микросхема CP2102N-A02-GQFN24</ns0:v>
      </ns0:c>
      <ns0:c r="L2" t="inlineStr" s="22">
        <ns0:is>
          <ns0:t xml:space="preserve">CP2102N-A02-GQFN24</ns0:t>
        </ns0:is>
      </ns0:c>
      <ns0:c r="M2" t="inlineStr" s="22">
        <ns0:is>
          <ns0:t xml:space="preserve">Symbols\MY_LIB_IC.SchLib</ns0:t>
        </ns0:is>
      </ns0:c>
      <ns0:c r="N2" t="inlineStr" s="22">
        <ns0:is>
          <ns0:t xml:space="preserve">CP2102N-A02-GQFN24_DS15</ns0:t>
        </ns0:is>
      </ns0:c>
      <ns0:c r="O2" t="inlineStr" s="22">
        <ns0:is>
          <ns0:t xml:space="preserve">Footprints\MY_LIB_IC.PcbLib</ns0:t>
        </ns0:is>
      </ns0:c>
      <ns0:c r="P2" t="inlineStr" s="18">
        <ns0:is>
          <ns0:t xml:space="preserve">USB–UART, до 3 Мбод. EP=25 (GND). TA −40…+85 °C: табл. 3.1. Tj −40…+105 °C и хранение: absolute maximum, табл. 3.10.</ns0:t>
        </ns0:is>
      </ns0:c>
      <ns0:c r="Q2" s="18"/>
      <ns0:c r="R2" t="str" s="23">
        <ns0:f>D2</ns0:f>
        <ns0:v>CP2102N-A02-GQFN24</ns0:v>
      </ns0:c>
      <ns0:c r="S2" t="str" s="24">
        <ns0:f>K2</ns0:f>
        <ns0:v>Микросхема CP2102N-A02-GQFN24</ns0:v>
      </ns0:c>
      <ns0:c r="T2" t="n" s="25">
        <ns0:v>-40</ns0:v>
      </ns0:c>
      <ns0:c r="U2" t="n" s="25">
        <ns0:v>85</ns0:v>
      </ns0:c>
      <ns0:c r="V2" t="inlineStr" s="24">
        <ns0:is>
          <ns0:t xml:space="preserve">TA (ambient), °C; recommended operating</ns0:t>
        </ns0:is>
      </ns0:c>
      <ns0:c r="W2" t="n" s="25">
        <ns0:v>-65</ns0:v>
      </ns0:c>
      <ns0:c r="X2" t="n" s="25">
        <ns0:v>150</ns0:v>
      </ns0:c>
      <ns0:c r="Y2" t="n" s="25">
        <ns0:v>-40</ns0:v>
      </ns0:c>
      <ns0:c r="Z2" t="n" s="25">
        <ns0:v>105</ns0:v>
      </ns0:c>
      <x:c xmlns:x="http://schemas.openxmlformats.org/spreadsheetml/2006/main" r="AA2" t="str" s="26">
        <x:v>C:\Users\Nomatin\Documents\Altium\MY_LIB\MY_LIB\Datasheets\cp2102n-datasheet.pdf</x:v>
      </x:c>
      <ns0:c r="AB2" t="inlineStr" s="24">
        <ns0:is>
          <ns0:t xml:space="preserve">Rev. 1.5</ns0:t>
        </ns0:is>
      </ns0:c>
      <x:c xmlns:x="http://schemas.openxmlformats.org/spreadsheetml/2006/main" r="AC2" t="str" s="24">
        <x:v>Даташит — локальный</x:v>
      </x:c>
      <x:c xmlns:x="http://schemas.openxmlformats.org/spreadsheetml/2006/main" r="AD2" t="str" s="26">
        <x:v>C:\Users\Nomatin\Documents\Altium\MY_LIB\MY_LIB\Datasheets\cp2102n-datasheet.pdf</x:v>
      </x:c>
      <x:c xmlns:x="http://schemas.openxmlformats.org/spreadsheetml/2006/main" r="AE2" t="str" s="25">
        <x:v>Даташит — производитель</x:v>
      </x:c>
      <x:c xmlns:x="http://schemas.openxmlformats.org/spreadsheetml/2006/main" r="AF2" t="str" s="25">
        <x:v>https://www.silabs.com/documents/public/data-sheets/cp2102n-datasheet.pdf</x:v>
      </x:c>
      <x:c xmlns:x="http://schemas.openxmlformats.org/spreadsheetml/2006/main" r="AG2" t="str" s="25">
        <x:v>C:\Users\Nomatin\Documents\Altium\MY_LIB\MY_LIB\Datasheets\cp2102n-datasheet.pdf</x:v>
      </x:c>
    </ns0:row>
    <ns0:row r="3" ht="110" customHeight="1">
      <ns0:c r="A3" t="inlineStr" s="18">
        <ns0:is>
          <ns0:t xml:space="preserve">U0003</ns0:t>
        </ns0:is>
      </ns0:c>
      <ns0:c r="B3" t="inlineStr" s="18">
        <ns0:is>
          <ns0:t xml:space="preserve">Микросхема</ns0:t>
        </ns0:is>
      </ns0:c>
      <ns0:c r="C3" t="inlineStr" s="18">
        <ns0:is>
          <ns0:t xml:space="preserve">USBLC6-2SC6</ns0:t>
        </ns0:is>
      </ns0:c>
      <ns0:c r="D3" t="str" s="19">
        <ns0:f>C3</ns0:f>
        <ns0:v>USBLC6-2SC6</ns0:v>
      </ns0:c>
      <ns0:c r="E3" s="18"/>
      <ns0:c r="F3" s="18"/>
      <ns0:c r="G3" t="inlineStr" s="18">
        <ns0:is>
          <ns0:t xml:space="preserve">5.25 V (VRM)</ns0:t>
        </ns0:is>
      </ns0:c>
      <ns0:c r="H3" t="inlineStr" s="20">
        <ns0:is>
          <ns0:t xml:space="preserve">SOT23-6L</ns0:t>
        </ns0:is>
      </ns0:c>
      <ns0:c r="I3" t="inlineStr" s="18">
        <ns0:is>
          <ns0:t xml:space="preserve">STMicroelectronics</ns0:t>
        </ns0:is>
      </ns0:c>
      <ns0:c r="J3" t="inlineStr" s="18">
        <ns0:is>
          <ns0:t xml:space="preserve">USBLC6-2SC6</ns0:t>
        </ns0:is>
      </ns0:c>
      <ns0:c r="K3" t="str" s="21">
        <ns0:f>B3&amp;" "&amp;J3</ns0:f>
        <ns0:v>Микросхема USBLC6-2SC6</ns0:v>
      </ns0:c>
      <ns0:c r="L3" t="inlineStr" s="22">
        <ns0:is>
          <ns0:t xml:space="preserve">USBLC6-2SC6</ns0:t>
        </ns0:is>
      </ns0:c>
      <ns0:c r="M3" t="inlineStr" s="22">
        <ns0:is>
          <ns0:t xml:space="preserve">Symbols\MY_LIB_IC.SchLib</ns0:t>
        </ns0:is>
      </ns0:c>
      <ns0:c r="N3" t="inlineStr" s="22">
        <ns0:is>
          <ns0:t xml:space="preserve">ST_SOT23-6L</ns0:t>
        </ns0:is>
      </ns0:c>
      <ns0:c r="O3" t="inlineStr" s="22">
        <ns0:is>
          <ns0:t xml:space="preserve">Footprints\MY_LIB_IC.PcbLib</ns0:t>
        </ns0:is>
      </ns0:c>
      <ns0:c r="P3" t="inlineStr" s="18">
        <ns0:is>
          <ns0:t xml:space="preserve">ESD-защита двух линий USB. Tj −40…+150 °C (не TA), табл. 1 absolute ratings. I/O1=1,6; I/O2=3,4; GND=2; VBUS=5.</ns0:t>
        </ns0:is>
      </ns0:c>
      <ns0:c r="Q3" s="18"/>
      <ns0:c r="R3" t="str" s="23">
        <ns0:f>D3</ns0:f>
        <ns0:v>USBLC6-2SC6</ns0:v>
      </ns0:c>
      <ns0:c r="S3" t="str" s="24">
        <ns0:f>K3</ns0:f>
        <ns0:v>Микросхема USBLC6-2SC6</ns0:v>
      </ns0:c>
      <ns0:c r="T3" t="n" s="25">
        <ns0:v>-40</ns0:v>
      </ns0:c>
      <ns0:c r="U3" t="n" s="25">
        <ns0:v>150</ns0:v>
      </ns0:c>
      <ns0:c r="V3" t="inlineStr" s="24">
        <ns0:is>
          <ns0:t xml:space="preserve">Tj (junction), °C; Table 1 absolute ratings</ns0:t>
        </ns0:is>
      </ns0:c>
      <ns0:c r="W3" t="n" s="25">
        <ns0:v>-55</ns0:v>
      </ns0:c>
      <ns0:c r="X3" t="n" s="25">
        <ns0:v>150</ns0:v>
      </ns0:c>
      <ns0:c r="Y3" t="n" s="25">
        <ns0:v>-40</ns0:v>
      </ns0:c>
      <ns0:c r="Z3" t="n" s="25">
        <ns0:v>150</ns0:v>
      </ns0:c>
      <x:c xmlns:x="http://schemas.openxmlformats.org/spreadsheetml/2006/main" r="AA3" t="str" s="26">
        <x:v>C:\Users\Nomatin\Documents\Altium\MY_LIB\MY_LIB\Datasheets\USBLC6-2_ST.pdf</x:v>
      </x:c>
      <ns0:c r="AB3" t="inlineStr" s="24">
        <ns0:is>
          <ns0:t xml:space="preserve">DS4260 Rev 7, December 2021</ns0:t>
        </ns0:is>
      </ns0:c>
      <x:c xmlns:x="http://schemas.openxmlformats.org/spreadsheetml/2006/main" r="AC3" t="str" s="24">
        <x:v>Даташит — локальный</x:v>
      </x:c>
      <x:c xmlns:x="http://schemas.openxmlformats.org/spreadsheetml/2006/main" r="AD3" t="str" s="26">
        <x:v>C:\Users\Nomatin\Documents\Altium\MY_LIB\MY_LIB\Datasheets\USBLC6-2_ST.pdf</x:v>
      </x:c>
      <x:c xmlns:x="http://schemas.openxmlformats.org/spreadsheetml/2006/main" r="AE3" t="str" s="25">
        <x:v>Даташит — производитель</x:v>
      </x:c>
      <x:c xmlns:x="http://schemas.openxmlformats.org/spreadsheetml/2006/main" r="AF3" t="str" s="25">
        <x:v>https://www.st.com/resource/en/datasheet/usblc6-2.pdf</x:v>
      </x:c>
      <x:c xmlns:x="http://schemas.openxmlformats.org/spreadsheetml/2006/main" r="AG3" t="str" s="25">
        <x:v>C:\Users\Nomatin\Documents\Altium\MY_LIB\MY_LIB\Datasheets\USBLC6-2_ST.pdf</x:v>
      </x:c>
    </ns0:row>
    <ns0:row r="4" ht="110" customHeight="1">
      <ns0:c r="A4" t="str" s="37">
        <ns0:v>U0004</ns0:v>
      </ns0:c>
      <ns0:c r="B4" t="str" s="37">
        <ns0:v>Микросхема</ns0:v>
      </ns0:c>
      <ns0:c r="C4" t="str" s="37">
        <ns0:v>ISOW1432DFMR</ns0:v>
      </ns0:c>
      <ns0:c r="D4" t="str" s="38">
        <ns0:f>C4</ns0:f>
        <ns0:v>ISOW1432DFMR</ns0:v>
      </ns0:c>
      <ns0:c r="E4" s="37"/>
      <ns0:c r="F4" s="37"/>
      <ns0:c r="G4" t="str" s="37">
        <ns0:v>VIO: 1,71–1,89 / 2,25–5,5 В; VDD: 3–5,5 В</ns0:v>
      </ns0:c>
      <ns0:c r="H4" t="str" s="39">
        <ns0:v>SOIC-20 DFM (7,5×12,83 мм)</ns0:v>
      </ns0:c>
      <ns0:c r="I4" t="str" s="37">
        <ns0:v>Texas Instruments</ns0:v>
      </ns0:c>
      <ns0:c r="J4" t="str" s="37">
        <ns0:v>ISOW1432DFMR</ns0:v>
      </ns0:c>
      <ns0:c r="K4" t="str" s="40">
        <ns0:f>B4&amp;" "&amp;J4</ns0:f>
        <ns0:v>Микросхема ISOW1432DFMR</ns0:v>
      </ns0:c>
      <ns0:c r="L4" t="str" s="41">
        <ns0:v>ISOW1432DFMR</ns0:v>
      </ns0:c>
      <ns0:c r="M4" t="str" s="41">
        <ns0:v>Symbols\MY_LIB_IC.SchLib</ns0:v>
      </ns0:c>
      <ns0:c r="N4" t="str" s="41">
        <ns0:v>TI_DFM0020A</ns0:v>
      </ns0:c>
      <ns0:c r="O4" t="str" s="41">
        <ns0:v>Footprints\MY_LIB_IC.PcbLib</ns0:v>
      </ns0:c>
      <ns0:c r="P4" t="str" s="37">
        <ns0:v>RS-485/RS-422 full duplex, 12 Мбит/с; DC-DC. Внешние соединения GNDIO/GND1, VISOOUT/VISOIN, GISOIN/GND2 — по TI.</ns0:v>
      </ns0:c>
      <ns0:c r="Q4" s="37"/>
      <ns0:c r="R4" t="str" s="38">
        <ns0:f>D4</ns0:f>
        <ns0:v>ISOW1432DFMR</ns0:v>
      </ns0:c>
      <ns0:c r="S4" t="str" s="40">
        <ns0:f>K4</ns0:f>
        <ns0:v>Микросхема ISOW1432DFMR</ns0:v>
      </ns0:c>
      <ns0:c r="T4" t="n" s="42">
        <ns0:v>-40</ns0:v>
      </ns0:c>
      <ns0:c r="U4" t="n" s="42">
        <ns0:v>125</ns0:v>
      </ns0:c>
      <ns0:c r="V4" t="str" s="40">
        <ns0:v>TA (ambient), °C; recommended operating</ns0:v>
      </ns0:c>
      <ns0:c r="W4" t="n" s="42">
        <ns0:v>-65</ns0:v>
      </ns0:c>
      <ns0:c r="X4" t="n" s="42">
        <ns0:v>150</ns0:v>
      </ns0:c>
      <ns0:c r="Y4" t="n" s="42">
        <ns0:v>-40</ns0:v>
      </ns0:c>
      <ns0:c r="Z4" t="n" s="42">
        <ns0:v>150</ns0:v>
      </ns0:c>
      <x:c xmlns:x="http://schemas.openxmlformats.org/spreadsheetml/2006/main" r="AA4" t="str" s="37">
        <x:v>C:\Users\Nomatin\Documents\Altium\MY_LIB\MY_LIB\Datasheets\ISOW1432_TI.pdf</x:v>
      </x:c>
      <ns0:c r="AB4" t="str" s="37">
        <ns0:v>SLLSF86D, August 2026</ns0:v>
      </ns0:c>
      <x:c xmlns:x="http://schemas.openxmlformats.org/spreadsheetml/2006/main" r="AC4" t="str" s="37">
        <x:v>Даташит — локальный</x:v>
      </x:c>
      <x:c xmlns:x="http://schemas.openxmlformats.org/spreadsheetml/2006/main" r="AD4" t="str" s="37">
        <x:v>C:\Users\Nomatin\Documents\Altium\MY_LIB\MY_LIB\Datasheets\ISOW1432_TI.pdf</x:v>
      </x:c>
      <x:c xmlns:x="http://schemas.openxmlformats.org/spreadsheetml/2006/main" r="AE4" t="str" s="42">
        <x:v>Даташит — производитель</x:v>
      </x:c>
      <x:c xmlns:x="http://schemas.openxmlformats.org/spreadsheetml/2006/main" r="AF4" t="str" s="42">
        <x:v>https://www.ti.com/lit/ds/symlink/isow1432.pdf</x:v>
      </x:c>
      <x:c xmlns:x="http://schemas.openxmlformats.org/spreadsheetml/2006/main" r="AG4" t="str" s="42">
        <x:v>C:\Users\Nomatin\Documents\Altium\MY_LIB\MY_LIB\Datasheets\ISOW1432_TI.pdf</x:v>
      </x:c>
    </ns0:row>
    <ns0:row r="5" ht="110" customHeight="1">
      <ns0:c r="A5" t="str" s="37">
        <ns0:v>U0005</ns0:v>
      </ns0:c>
      <ns0:c r="B5" t="str" s="37">
        <ns0:v>TVS-сборка</ns0:v>
      </ns0:c>
      <ns0:c r="C5" t="str" s="37">
        <ns0:v>CDSOT23-SM712</ns0:v>
      </ns0:c>
      <ns0:c r="D5" t="str" s="38">
        <ns0:f>C5</ns0:f>
        <ns0:v>CDSOT23-SM712</ns0:v>
      </ns0:c>
      <ns0:c r="E5" s="37"/>
      <ns0:c r="F5" t="str" s="37">
        <ns0:v>400 Вт (импульс 8/20 мкс)</ns0:v>
      </ns0:c>
      <ns0:c r="G5" t="str" s="37">
        <ns0:v>VWM: 7/12 В (по полярности)</ns0:v>
      </ns0:c>
      <ns0:c r="H5" t="str" s="39">
        <ns0:v>SOT23-3</ns0:v>
      </ns0:c>
      <ns0:c r="I5" t="str" s="37">
        <ns0:v>Bourns</ns0:v>
      </ns0:c>
      <ns0:c r="J5" t="str" s="37">
        <ns0:v>CDSOT23-SM712</ns0:v>
      </ns0:c>
      <ns0:c r="K5" t="str" s="40">
        <ns0:f>B5&amp;" "&amp;J5</ns0:f>
        <ns0:v>TVS-сборка CDSOT23-SM712</ns0:v>
      </ns0:c>
      <ns0:c r="L5" t="str" s="41">
        <ns0:v>CDSOT23-SM712</ns0:v>
      </ns0:c>
      <ns0:c r="M5" t="str" s="41">
        <ns0:v>Symbols\MY_LIB_IC.SchLib</ns0:v>
      </ns0:c>
      <ns0:c r="N5" t="str" s="41">
        <ns0:v>BOURNS_CDSOT23_SM712</ns0:v>
      </ns0:c>
      <ns0:c r="O5" t="str" s="41">
        <ns0:v>Footprints\CDSOT23-SM712_UL\BOURNS_CDSOT23_SM712.PcbLib</ns0:v>
      </ns0:c>
      <ns0:c r="P5" t="str" s="37">
        <ns0:v>RS-485 TVS: 1=I/O1, 2=I/O2, 3=GND. VWM: 3→1/2 — 7 В; 1/2→3 — 12 В. IPP 17 А, 8/20 мкс.</ns0:v>
      </ns0:c>
      <ns0:c r="Q5" s="37"/>
      <ns0:c r="R5" t="str" s="38">
        <ns0:f>D5</ns0:f>
        <ns0:v>CDSOT23-SM712</ns0:v>
      </ns0:c>
      <ns0:c r="S5" t="str" s="40">
        <ns0:f>K5</ns0:f>
        <ns0:v>TVS-сборка CDSOT23-SM712</ns0:v>
      </ns0:c>
      <ns0:c r="T5" t="n" s="42">
        <ns0:v>-55</ns0:v>
      </ns0:c>
      <ns0:c r="U5" t="n" s="42">
        <ns0:v>150</ns0:v>
      </ns0:c>
      <ns0:c r="V5" t="str" s="40">
        <ns0:v>TOPR, °C; datasheet absolute ratings</ns0:v>
      </ns0:c>
      <ns0:c r="W5" t="n" s="42">
        <ns0:v>-55</ns0:v>
      </ns0:c>
      <ns0:c r="X5" t="n" s="42">
        <ns0:v>150</ns0:v>
      </ns0:c>
      <ns0:c r="Y5" s="42"/>
      <ns0:c r="Z5" s="42"/>
      <x:c xmlns:x="http://schemas.openxmlformats.org/spreadsheetml/2006/main" r="AA5" t="str" s="37">
        <x:v>C:\Users\Nomatin\Documents\Altium\MY_LIB\MY_LIB\Datasheets\CDSOT23-SM712_Bourns.pdf</x:v>
      </x:c>
      <ns0:c r="AB5" t="str" s="37">
        <ns0:v>Rev. 06/24</ns0:v>
      </ns0:c>
      <x:c xmlns:x="http://schemas.openxmlformats.org/spreadsheetml/2006/main" r="AC5" t="str" s="37">
        <x:v>Даташит — локальный</x:v>
      </x:c>
      <x:c xmlns:x="http://schemas.openxmlformats.org/spreadsheetml/2006/main" r="AD5" t="str" s="37">
        <x:v>C:\Users\Nomatin\Documents\Altium\MY_LIB\MY_LIB\Datasheets\CDSOT23-SM712_Bourns.pdf</x:v>
      </x:c>
      <x:c xmlns:x="http://schemas.openxmlformats.org/spreadsheetml/2006/main" r="AE5" t="str" s="42">
        <x:v>Даташит — производитель</x:v>
      </x:c>
      <x:c xmlns:x="http://schemas.openxmlformats.org/spreadsheetml/2006/main" r="AF5" t="str" s="42">
        <x:v>https://www.bourns.com/docs/product-datasheets/cdsot23-sm712.pdf</x:v>
      </x:c>
      <x:c xmlns:x="http://schemas.openxmlformats.org/spreadsheetml/2006/main" r="AG5" t="str" s="42">
        <x:v>C:\Users\Nomatin\Documents\Altium\MY_LIB\MY_LIB\Datasheets\CDSOT23-SM712_Bourns.pdf</x:v>
      </x:c>
    </ns0:row>
  </ns0:sheetData>
  <x:hyperlinks>
    <x:hyperlink xmlns:r="http://schemas.openxmlformats.org/officeDocument/2006/relationships" ref="AA3" r:id="R1c4bca6533874f2f"/>
    <x:hyperlink xmlns:r="http://schemas.openxmlformats.org/officeDocument/2006/relationships" ref="AD3" r:id="R9095a22ed94f4365"/>
    <x:hyperlink xmlns:r="http://schemas.openxmlformats.org/officeDocument/2006/relationships" ref="AA4" r:id="Rdb1e5dea436940a3"/>
    <x:hyperlink xmlns:r="http://schemas.openxmlformats.org/officeDocument/2006/relationships" ref="AD4" r:id="Rcf817795add64a6d"/>
  </x:hyperlinks>
  <x:pageMargins left="0.7" right="0.7" top="0.75" bottom="0.75" header="0.3" footer="0.3"/>
  <x:tableParts count="1">
    <x:tablePart xmlns:r="http://schemas.openxmlformats.org/officeDocument/2006/relationships" r:id="Rad05b27715d349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6" hidden="0" customWidth="1"/>
    <x:col min="7" max="7" width="14" hidden="0" customWidth="1"/>
    <x:col min="8" max="8" width="22" hidden="0" customWidth="1"/>
    <x:col min="9" max="9" width="24" hidden="0" customWidth="1"/>
    <x:col min="10" max="10" width="24" hidden="0" customWidth="1"/>
    <x:col min="11" max="11" width="45" hidden="0" customWidth="1"/>
    <x:col min="12" max="12" width="23" hidden="0" customWidth="1"/>
    <x:col min="13" max="13" width="38" hidden="0" customWidth="1"/>
    <x:col min="14" max="14" width="28" hidden="0" customWidth="1"/>
    <x:col min="15" max="15" width="42" hidden="0" customWidth="1"/>
    <x:col min="16" max="16" width="55" hidden="0" customWidth="1"/>
    <x:col min="17" max="17" width="18" hidden="0" customWidth="1"/>
    <x:col min="18" max="18" width="20" hidden="0" customWidth="1"/>
    <x:col min="19" max="19" width="45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  <x:col min="24" max="24" width="45" customWidth="1"/>
    <x:col min="25" max="25" width="45" customWidth="1"/>
    <x:col min="26" max="26" width="45" customWidth="1"/>
  </x:cols>
  <x:sheetData>
    <x:row r="1" ht="42" customHeight="1">
      <x:c r="A1" s="32" t="str">
        <x:v>ID</x:v>
      </x:c>
      <x:c r="B1" s="32" t="str">
        <x:v>Type</x:v>
      </x:c>
      <x:c r="C1" s="32" t="str">
        <x:v>Value</x:v>
      </x:c>
      <x:c r="D1" s="32" t="str">
        <x:v>ESKD_value</x:v>
      </x:c>
      <x:c r="E1" s="32" t="str">
        <x:v>Tolerance</x:v>
      </x:c>
      <x:c r="F1" s="32" t="str">
        <x:v>Power</x:v>
      </x:c>
      <x:c r="G1" s="32" t="str">
        <x:v>Voltage</x:v>
      </x:c>
      <x:c r="H1" s="32" t="str">
        <x:v>Package</x:v>
      </x:c>
      <x:c r="I1" s="32" t="str">
        <x:v>Manufacturer</x:v>
      </x:c>
      <x:c r="J1" s="32" t="str">
        <x:v>MPN</x:v>
      </x:c>
      <x:c r="K1" s="32" t="str">
        <x:v>CommentBase</x:v>
      </x:c>
      <x:c r="L1" s="32" t="str">
        <x:v>Library Ref</x:v>
      </x:c>
      <x:c r="M1" s="32" t="str">
        <x:v>Library Path</x:v>
      </x:c>
      <x:c r="N1" s="32" t="str">
        <x:v>Footprint Ref</x:v>
      </x:c>
      <x:c r="O1" s="32" t="str">
        <x:v>Footprint Path</x:v>
      </x:c>
      <x:c r="P1" s="32" t="str">
        <x:v>Notes</x:v>
      </x:c>
      <x:c r="Q1" s="32" t="str">
        <x:v>Dielectric</x:v>
      </x:c>
      <x:c r="R1" s="32" t="str">
        <x:v>Comment</x:v>
      </x:c>
      <x:c r="S1" s="32" t="str">
        <x:v>Description</x:v>
      </x:c>
      <x:c xmlns:x="http://schemas.openxmlformats.org/spreadsheetml/2006/main" r="T1" t="str" s="32">
        <x:v>Datasheet</x:v>
      </x:c>
      <x:c r="U1" s="32" t="str">
        <x:v>DatasheetRevision</x:v>
      </x:c>
      <x:c xmlns:x="http://schemas.openxmlformats.org/spreadsheetml/2006/main" r="V1" t="str" s="32">
        <x:v>ComponentLink1Description</x:v>
      </x:c>
      <x:c xmlns:x="http://schemas.openxmlformats.org/spreadsheetml/2006/main" r="W1" t="str" s="32">
        <x:v>ComponentLink1URL</x:v>
      </x:c>
      <x:c xmlns:x="http://schemas.openxmlformats.org/spreadsheetml/2006/main" r="X1" t="str" s="32">
        <x:v>ComponentLink2Description</x:v>
      </x:c>
      <x:c xmlns:x="http://schemas.openxmlformats.org/spreadsheetml/2006/main" r="Y1" t="str" s="32">
        <x:v>ComponentLink2URL</x:v>
      </x:c>
      <x:c xmlns:x="http://schemas.openxmlformats.org/spreadsheetml/2006/main" r="Z1" t="str" s="32">
        <x:v>HelpURL</x:v>
      </x:c>
    </x:row>
    <x:row r="2" ht="62" customHeight="1">
      <x:c r="A2" s="33" t="str">
        <x:v>XS0001</x:v>
      </x:c>
      <x:c r="B2" s="33" t="str">
        <x:v>Разъём</x:v>
      </x:c>
      <x:c r="C2" s="33" t="str">
        <x:v>USB Type-C</x:v>
      </x:c>
      <x:c r="D2" s="34" t="str">
        <x:f>C2</x:f>
        <x:v>USB Type-C</x:v>
      </x:c>
      <x:c r="E2" s="33"/>
      <x:c r="F2" s="33"/>
      <x:c r="G2" s="33"/>
      <x:c r="H2" s="35" t="str">
        <x:v>USB Type-C, SMT</x:v>
      </x:c>
      <x:c r="I2" s="33" t="str">
        <x:v>GCT</x:v>
      </x:c>
      <x:c r="J2" s="33" t="str">
        <x:v>USB4110-GF-A</x:v>
      </x:c>
      <x:c r="K2" s="34" t="str">
        <x:f>B2&amp;" "&amp;D2&amp;" "&amp;J2</x:f>
        <x:v>Разъём USB Type-C USB4110-GF-A</x:v>
      </x:c>
      <x:c r="L2" s="36" t="str">
        <x:v>USB4110-GF-A</x:v>
      </x:c>
      <x:c r="M2" s="36" t="str">
        <x:v>Symbols\MY_LIB_Connectors.SchLib</x:v>
      </x:c>
      <x:c r="N2" s="36" t="str">
        <x:v>USB4110-GF-A_GCT</x:v>
      </x:c>
      <x:c r="O2" s="36" t="str">
        <x:v>Footprints\MY_LIB_Connectors.PcbLib</x:v>
      </x:c>
      <x:c r="P2" s="33" t="str">
        <x:v>USB 2.0; 12 сигнальных выводов + SH; 4 площадки корпуса SH</x:v>
      </x:c>
      <x:c r="Q2" s="33"/>
      <x:c r="R2" s="34" t="str">
        <x:f>D2</x:f>
        <x:v>USB Type-C</x:v>
      </x:c>
      <x:c r="S2" s="34" t="str">
        <x:f>K2</x:f>
        <x:v>Разъём USB Type-C USB4110-GF-A</x:v>
      </x:c>
      <x:c xmlns:x="http://schemas.openxmlformats.org/spreadsheetml/2006/main" r="T2" t="str" s="33">
        <x:v>C:\Users\Nomatin\Documents\Altium\MY_LIB\MY_LIB\Datasheets\GCT_USB4110\USB4110_drawing.pdf</x:v>
      </x:c>
      <x:c r="U2" s="33" t="str">
        <x:v>B4, 22.05.2024</x:v>
      </x:c>
      <x:c xmlns:x="http://schemas.openxmlformats.org/spreadsheetml/2006/main" r="V2" t="str" s="33">
        <x:v>Даташит — локальный</x:v>
      </x:c>
      <x:c xmlns:x="http://schemas.openxmlformats.org/spreadsheetml/2006/main" r="W2" t="str" s="33">
        <x:v>C:\Users\Nomatin\Documents\Altium\MY_LIB\MY_LIB\Datasheets\GCT_USB4110\USB4110_drawing.pdf</x:v>
      </x:c>
      <x:c xmlns:x="http://schemas.openxmlformats.org/spreadsheetml/2006/main" r="X2" t="str" s="33">
        <x:v>Даташит — производитель</x:v>
      </x:c>
      <x:c xmlns:x="http://schemas.openxmlformats.org/spreadsheetml/2006/main" r="Y2" t="str" s="33">
        <x:v>https://gct.co/files/drawings/usb4110.pdf</x:v>
      </x:c>
      <x:c xmlns:x="http://schemas.openxmlformats.org/spreadsheetml/2006/main" r="Z2" t="str" s="33">
        <x:v>C:\Users\Nomatin\Documents\Altium\MY_LIB\MY_LIB\Datasheets\GCT_USB4110\USB4110_drawing.pdf</x:v>
      </x:c>
    </x:row>
    <ns0:row xmlns:ns0="http://schemas.openxmlformats.org/spreadsheetml/2006/main" r="3" ht="85" customHeight="1">
      <ns0:c r="A3" t="str" s="33">
        <ns0:v>XS0002</ns0:v>
      </ns0:c>
      <ns0:c r="B3" t="str" s="33">
        <ns0:v>Разъём</ns0:v>
      </ns0:c>
      <ns0:c r="C3" t="str" s="33">
        <ns0:v>D-SUB 9F</ns0:v>
      </ns0:c>
      <ns0:c r="D3" t="str" s="34">
        <ns0:f>C3</ns0:f>
        <ns0:v>D-SUB 9F</ns0:v>
      </ns0:c>
      <ns0:c r="E3" s="33"/>
      <ns0:c r="F3" s="33"/>
      <ns0:c r="G3" s="33"/>
      <ns0:c r="H3" t="str" s="35">
        <ns0:v>D-SUB-9, угловая розетка, THT</ns0:v>
      </ns0:c>
      <ns0:c r="I3" t="str" s="33">
        <ns0:v>CONNFLY</ns0:v>
      </ns0:c>
      <ns0:c r="J3" t="str" s="33">
        <ns0:v>DS1037-01-09F</ns0:v>
      </ns0:c>
      <ns0:c r="K3" t="str" s="34">
        <ns0:f>B3&amp;" "&amp;D3&amp;" "&amp;J3</ns0:f>
        <ns0:v>Разъём D-SUB 9F DS1037-01-09F</ns0:v>
      </ns0:c>
      <ns0:c xmlns:ns0="http://schemas.openxmlformats.org/spreadsheetml/2006/main" r="L3" t="inlineStr" s="36">
        <ns0:is>
          <ns0:t>DS1037_01_09F</ns0:t>
        </ns0:is>
      </ns0:c>
      <ns0:c r="M3" t="str" s="36">
        <ns0:v>Symbols\MY_LIB_Connectors.SchLib</ns0:v>
      </ns0:c>
      <ns0:c r="N3" t="str" s="36">
        <ns0:v>CONNFLY_DS1037_01_09F</ns0:v>
      </ns0:c>
      <ns0:c r="O3" t="str" s="36">
        <ns0:v>Footprints\MY_LIB_Connectors.PcbLib</ns0:v>
      </ns0:c>
      <ns0:c r="P3" t="str" s="33">
        <ns0:v>Контакты 1–9. Два крепления NPTH без электрического подключения. STEP пользователя встроен. См. REVIEW.md.</ns0:v>
      </ns0:c>
      <ns0:c r="Q3" s="33"/>
      <ns0:c r="R3" t="str" s="34">
        <ns0:f>D3</ns0:f>
        <ns0:v>D-SUB 9F</ns0:v>
      </ns0:c>
      <ns0:c r="S3" t="str" s="34">
        <ns0:f>K3</ns0:f>
        <ns0:v>Разъём D-SUB 9F DS1037-01-09F</ns0:v>
      </ns0:c>
      <x:c xmlns:x="http://schemas.openxmlformats.org/spreadsheetml/2006/main" r="T3" t="str" s="33">
        <x:v>C:\Users\Nomatin\Documents\Altium\MY_LIB\MY_LIB\Datasheets\CONNFLY_DS1037-01.pdf</x:v>
      </x:c>
      <ns0:c r="U3" t="str" s="33">
        <ns0:v>C, 08.08.2017</ns0:v>
      </ns0:c>
      <x:c xmlns:x="http://schemas.openxmlformats.org/spreadsheetml/2006/main" r="V3" t="str" s="33">
        <x:v>Даташит — локальный</x:v>
      </x:c>
      <x:c xmlns:x="http://schemas.openxmlformats.org/spreadsheetml/2006/main" r="W3" t="str" s="33">
        <x:v>C:\Users\Nomatin\Documents\Altium\MY_LIB\MY_LIB\Datasheets\CONNFLY_DS1037-01.pdf</x:v>
      </x:c>
      <x:c xmlns:x="http://schemas.openxmlformats.org/spreadsheetml/2006/main" r="X3" t="str" s="33">
        <x:v>Даташит — производитель</x:v>
      </x:c>
      <x:c xmlns:x="http://schemas.openxmlformats.org/spreadsheetml/2006/main" r="Y3" t="str" s="33">
        <x:v>https://www.connfly.com/static/upload/file/pdf/DS1037-01.pdf</x:v>
      </x:c>
      <x:c xmlns:x="http://schemas.openxmlformats.org/spreadsheetml/2006/main" r="Z3" t="str" s="33">
        <x:v>C:\Users\Nomatin\Documents\Altium\MY_LIB\MY_LIB\Datasheets\CONNFLY_DS1037-01.pdf</x:v>
      </x:c>
    </ns0:row>
    <ns0:row xmlns:ns0="http://schemas.openxmlformats.org/spreadsheetml/2006/main" r="4" ht="85" customHeight="1">
      <ns0:c r="A4" t="str" s="33">
        <ns0:v>XP0001</ns0:v>
      </ns0:c>
      <ns0:c r="B4" t="str" s="33">
        <ns0:v>Разъём</ns0:v>
      </ns0:c>
      <ns0:c r="C4" t="str" s="33">
        <ns0:v>1x01, 2.54 мм</ns0:v>
      </ns0:c>
      <ns0:c r="D4" t="str" s="34">
        <ns0:f>C4</ns0:f>
        <ns0:v>1x01, 2.54 мм</ns0:v>
      </ns0:c>
      <ns0:c r="E4" s="33"/>
      <ns0:c r="F4" s="33"/>
      <ns0:c r="G4" s="33"/>
      <ns0:c r="H4" t="str" s="35">
        <ns0:v>1x01, P2.54, THT, прямой</ns0:v>
      </ns0:c>
      <ns0:c r="I4" t="str" s="33">
        <ns0:v>CONNFLY</ns0:v>
      </ns0:c>
      <ns0:c r="J4" t="str" s="33">
        <ns0:v>DS1021</ns0:v>
      </ns0:c>
      <ns0:c r="K4" t="str" s="34">
        <ns0:f>B4&amp;" "&amp;D4&amp;" "&amp;J4</ns0:f>
        <ns0:v>Разъём 1x01, 2.54 мм DS1021</ns0:v>
      </ns0:c>
      <ns0:c r="L4" t="str" s="36">
        <ns0:v>XP_1</ns0:v>
      </ns0:c>
      <ns0:c r="M4" t="str" s="36">
        <ns0:v>Symbols\MY_LIB_Connectors.SchLib</ns0:v>
      </ns0:c>
      <ns0:c r="N4" t="str" s="36">
        <ns0:v>CONNFLY_DS1021_1X01</ns0:v>
      </ns0:c>
      <ns0:c r="O4" t="str" s="36">
        <ns0:v>Footprints\MY_LIB_Connectors.PcbLib</ns0:v>
      </ns0:c>
      <ns0:c r="P4" t="str" s="33">
        <ns0:v>Штыревой, прямой; 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" s="33"/>
      <ns0:c r="R4" t="str" s="34">
        <ns0:f>D4</ns0:f>
        <ns0:v>1x01, 2.54 мм</ns0:v>
      </ns0:c>
      <ns0:c r="S4" t="str" s="34">
        <ns0:f>K4</ns0:f>
        <ns0:v>Разъём 1x01, 2.54 мм DS1021</ns0:v>
      </ns0:c>
      <ns0:c r="T4" t="str" s="33">
        <ns0:v>C:\Users\Nomatin\Documents\Altium\MY_LIB\MY_LIB\Datasheets\CONNFLY_DS1021.pdf</ns0:v>
      </ns0:c>
      <ns0:c r="U4" s="33"/>
      <ns0:c r="V4" t="str" s="33">
        <ns0:v>Даташит — локальный</ns0:v>
      </ns0:c>
      <ns0:c r="W4" t="str" s="33">
        <ns0:v>C:\Users\Nomatin\Documents\Altium\MY_LIB\MY_LIB\Datasheets\CONNFLY_DS1021.pdf</ns0:v>
      </ns0:c>
      <ns0:c r="X4" t="str" s="33">
        <ns0:v>Даташит — производитель</ns0:v>
      </ns0:c>
      <ns0:c r="Y4" t="str" s="33">
        <ns0:v>https://en.connfly.com/static/upload/file/pdf/DS1021.pdf</ns0:v>
      </ns0:c>
      <ns0:c r="Z4" t="str" s="33">
        <ns0:v>C:\Users\Nomatin\Documents\Altium\MY_LIB\MY_LIB\Datasheets\CONNFLY_DS1021.pdf</ns0:v>
      </ns0:c>
    </ns0:row>
    <ns0:row xmlns:ns0="http://schemas.openxmlformats.org/spreadsheetml/2006/main" r="5" ht="85" customHeight="1">
      <ns0:c r="A5" t="str" s="33">
        <ns0:v>XP0002</ns0:v>
      </ns0:c>
      <ns0:c r="B5" t="str" s="33">
        <ns0:v>Разъём</ns0:v>
      </ns0:c>
      <ns0:c r="C5" t="str" s="33">
        <ns0:v>1x02, 2.54 мм</ns0:v>
      </ns0:c>
      <ns0:c r="D5" t="str" s="34">
        <ns0:f>C5</ns0:f>
        <ns0:v>1x02, 2.54 мм</ns0:v>
      </ns0:c>
      <ns0:c r="E5" s="33"/>
      <ns0:c r="F5" s="33"/>
      <ns0:c r="G5" s="33"/>
      <ns0:c r="H5" t="str" s="35">
        <ns0:v>1x02, P2.54, THT, прямой</ns0:v>
      </ns0:c>
      <ns0:c r="I5" t="str" s="33">
        <ns0:v>CONNFLY</ns0:v>
      </ns0:c>
      <ns0:c r="J5" t="str" s="33">
        <ns0:v>DS1021</ns0:v>
      </ns0:c>
      <ns0:c r="K5" t="str" s="34">
        <ns0:f>B5&amp;" "&amp;D5&amp;" "&amp;J5</ns0:f>
        <ns0:v>Разъём 1x02, 2.54 мм DS1021</ns0:v>
      </ns0:c>
      <ns0:c r="L5" t="str" s="36">
        <ns0:v>XP_2</ns0:v>
      </ns0:c>
      <ns0:c r="M5" t="str" s="36">
        <ns0:v>Symbols\MY_LIB_Connectors.SchLib</ns0:v>
      </ns0:c>
      <ns0:c r="N5" t="str" s="36">
        <ns0:v>CONNFLY_DS1021_1X02</ns0:v>
      </ns0:c>
      <ns0:c r="O5" t="str" s="36">
        <ns0:v>Footprints\MY_LIB_Connectors.PcbLib</ns0:v>
      </ns0:c>
      <ns0:c r="P5" t="str" s="33">
        <ns0:v>Штыревой, прямой; 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" s="33"/>
      <ns0:c r="R5" t="str" s="34">
        <ns0:f>D5</ns0:f>
        <ns0:v>1x02, 2.54 мм</ns0:v>
      </ns0:c>
      <ns0:c r="S5" t="str" s="34">
        <ns0:f>K5</ns0:f>
        <ns0:v>Разъём 1x02, 2.54 мм DS1021</ns0:v>
      </ns0:c>
      <ns0:c r="T5" t="str" s="33">
        <ns0:v>C:\Users\Nomatin\Documents\Altium\MY_LIB\MY_LIB\Datasheets\CONNFLY_DS1021.pdf</ns0:v>
      </ns0:c>
      <ns0:c r="U5" s="33"/>
      <ns0:c r="V5" t="str" s="33">
        <ns0:v>Даташит — локальный</ns0:v>
      </ns0:c>
      <ns0:c r="W5" t="str" s="33">
        <ns0:v>C:\Users\Nomatin\Documents\Altium\MY_LIB\MY_LIB\Datasheets\CONNFLY_DS1021.pdf</ns0:v>
      </ns0:c>
      <ns0:c r="X5" t="str" s="33">
        <ns0:v>Даташит — производитель</ns0:v>
      </ns0:c>
      <ns0:c r="Y5" t="str" s="33">
        <ns0:v>https://en.connfly.com/static/upload/file/pdf/DS1021.pdf</ns0:v>
      </ns0:c>
      <ns0:c r="Z5" t="str" s="33">
        <ns0:v>C:\Users\Nomatin\Documents\Altium\MY_LIB\MY_LIB\Datasheets\CONNFLY_DS1021.pdf</ns0:v>
      </ns0:c>
    </ns0:row>
    <ns0:row xmlns:ns0="http://schemas.openxmlformats.org/spreadsheetml/2006/main" r="6" ht="85" customHeight="1">
      <ns0:c r="A6" t="str" s="33">
        <ns0:v>XP0003</ns0:v>
      </ns0:c>
      <ns0:c r="B6" t="str" s="33">
        <ns0:v>Разъём</ns0:v>
      </ns0:c>
      <ns0:c r="C6" t="str" s="33">
        <ns0:v>1x03, 2.54 мм</ns0:v>
      </ns0:c>
      <ns0:c r="D6" t="str" s="34">
        <ns0:f>C6</ns0:f>
        <ns0:v>1x03, 2.54 мм</ns0:v>
      </ns0:c>
      <ns0:c r="E6" s="33"/>
      <ns0:c r="F6" s="33"/>
      <ns0:c r="G6" s="33"/>
      <ns0:c r="H6" t="str" s="35">
        <ns0:v>1x03, P2.54, THT, прямой</ns0:v>
      </ns0:c>
      <ns0:c r="I6" t="str" s="33">
        <ns0:v>CONNFLY</ns0:v>
      </ns0:c>
      <ns0:c r="J6" t="str" s="33">
        <ns0:v>DS1021</ns0:v>
      </ns0:c>
      <ns0:c r="K6" t="str" s="34">
        <ns0:f>B6&amp;" "&amp;D6&amp;" "&amp;J6</ns0:f>
        <ns0:v>Разъём 1x03, 2.54 мм DS1021</ns0:v>
      </ns0:c>
      <ns0:c r="L6" t="str" s="36">
        <ns0:v>XP_3</ns0:v>
      </ns0:c>
      <ns0:c r="M6" t="str" s="36">
        <ns0:v>Symbols\MY_LIB_Connectors.SchLib</ns0:v>
      </ns0:c>
      <ns0:c r="N6" t="str" s="36">
        <ns0:v>CONNFLY_DS1021_1X03</ns0:v>
      </ns0:c>
      <ns0:c r="O6" t="str" s="36">
        <ns0:v>Footprints\MY_LIB_Connectors.PcbLib</ns0:v>
      </ns0:c>
      <ns0:c r="P6" t="str" s="33">
        <ns0:v>Штыревой, прямой; 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" s="33"/>
      <ns0:c r="R6" t="str" s="34">
        <ns0:f>D6</ns0:f>
        <ns0:v>1x03, 2.54 мм</ns0:v>
      </ns0:c>
      <ns0:c r="S6" t="str" s="34">
        <ns0:f>K6</ns0:f>
        <ns0:v>Разъём 1x03, 2.54 мм DS1021</ns0:v>
      </ns0:c>
      <ns0:c r="T6" t="str" s="33">
        <ns0:v>C:\Users\Nomatin\Documents\Altium\MY_LIB\MY_LIB\Datasheets\CONNFLY_DS1021.pdf</ns0:v>
      </ns0:c>
      <ns0:c r="U6" s="33"/>
      <ns0:c r="V6" t="str" s="33">
        <ns0:v>Даташит — локальный</ns0:v>
      </ns0:c>
      <ns0:c r="W6" t="str" s="33">
        <ns0:v>C:\Users\Nomatin\Documents\Altium\MY_LIB\MY_LIB\Datasheets\CONNFLY_DS1021.pdf</ns0:v>
      </ns0:c>
      <ns0:c r="X6" t="str" s="33">
        <ns0:v>Даташит — производитель</ns0:v>
      </ns0:c>
      <ns0:c r="Y6" t="str" s="33">
        <ns0:v>https://en.connfly.com/static/upload/file/pdf/DS1021.pdf</ns0:v>
      </ns0:c>
      <ns0:c r="Z6" t="str" s="33">
        <ns0:v>C:\Users\Nomatin\Documents\Altium\MY_LIB\MY_LIB\Datasheets\CONNFLY_DS1021.pdf</ns0:v>
      </ns0:c>
    </ns0:row>
    <ns0:row xmlns:ns0="http://schemas.openxmlformats.org/spreadsheetml/2006/main" r="7" ht="85" customHeight="1">
      <ns0:c r="A7" t="str" s="33">
        <ns0:v>XP0004</ns0:v>
      </ns0:c>
      <ns0:c r="B7" t="str" s="33">
        <ns0:v>Разъём</ns0:v>
      </ns0:c>
      <ns0:c r="C7" t="str" s="33">
        <ns0:v>1x04, 2.54 мм</ns0:v>
      </ns0:c>
      <ns0:c r="D7" t="str" s="34">
        <ns0:f>C7</ns0:f>
        <ns0:v>1x04, 2.54 мм</ns0:v>
      </ns0:c>
      <ns0:c r="E7" s="33"/>
      <ns0:c r="F7" s="33"/>
      <ns0:c r="G7" s="33"/>
      <ns0:c r="H7" t="str" s="35">
        <ns0:v>1x04, P2.54, THT, прямой</ns0:v>
      </ns0:c>
      <ns0:c r="I7" t="str" s="33">
        <ns0:v>CONNFLY</ns0:v>
      </ns0:c>
      <ns0:c r="J7" t="str" s="33">
        <ns0:v>DS1021</ns0:v>
      </ns0:c>
      <ns0:c r="K7" t="str" s="34">
        <ns0:f>B7&amp;" "&amp;D7&amp;" "&amp;J7</ns0:f>
        <ns0:v>Разъём 1x04, 2.54 мм DS1021</ns0:v>
      </ns0:c>
      <ns0:c r="L7" t="str" s="36">
        <ns0:v>XP_4</ns0:v>
      </ns0:c>
      <ns0:c r="M7" t="str" s="36">
        <ns0:v>Symbols\MY_LIB_Connectors.SchLib</ns0:v>
      </ns0:c>
      <ns0:c r="N7" t="str" s="36">
        <ns0:v>CONNFLY_DS1021_1X04</ns0:v>
      </ns0:c>
      <ns0:c r="O7" t="str" s="36">
        <ns0:v>Footprints\MY_LIB_Connectors.PcbLib</ns0:v>
      </ns0:c>
      <ns0:c r="P7" t="str" s="33">
        <ns0:v>Штыревой, прямой;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" s="33"/>
      <ns0:c r="R7" t="str" s="34">
        <ns0:f>D7</ns0:f>
        <ns0:v>1x04, 2.54 мм</ns0:v>
      </ns0:c>
      <ns0:c r="S7" t="str" s="34">
        <ns0:f>K7</ns0:f>
        <ns0:v>Разъём 1x04, 2.54 мм DS1021</ns0:v>
      </ns0:c>
      <ns0:c r="T7" t="str" s="33">
        <ns0:v>C:\Users\Nomatin\Documents\Altium\MY_LIB\MY_LIB\Datasheets\CONNFLY_DS1021.pdf</ns0:v>
      </ns0:c>
      <ns0:c r="U7" s="33"/>
      <ns0:c r="V7" t="str" s="33">
        <ns0:v>Даташит — локальный</ns0:v>
      </ns0:c>
      <ns0:c r="W7" t="str" s="33">
        <ns0:v>C:\Users\Nomatin\Documents\Altium\MY_LIB\MY_LIB\Datasheets\CONNFLY_DS1021.pdf</ns0:v>
      </ns0:c>
      <ns0:c r="X7" t="str" s="33">
        <ns0:v>Даташит — производитель</ns0:v>
      </ns0:c>
      <ns0:c r="Y7" t="str" s="33">
        <ns0:v>https://en.connfly.com/static/upload/file/pdf/DS1021.pdf</ns0:v>
      </ns0:c>
      <ns0:c r="Z7" t="str" s="33">
        <ns0:v>C:\Users\Nomatin\Documents\Altium\MY_LIB\MY_LIB\Datasheets\CONNFLY_DS1021.pdf</ns0:v>
      </ns0:c>
    </ns0:row>
    <ns0:row xmlns:ns0="http://schemas.openxmlformats.org/spreadsheetml/2006/main" r="8" ht="85" customHeight="1">
      <ns0:c r="A8" t="str" s="33">
        <ns0:v>XP0005</ns0:v>
      </ns0:c>
      <ns0:c r="B8" t="str" s="33">
        <ns0:v>Разъём</ns0:v>
      </ns0:c>
      <ns0:c r="C8" t="str" s="33">
        <ns0:v>1x05, 2.54 мм</ns0:v>
      </ns0:c>
      <ns0:c r="D8" t="str" s="34">
        <ns0:f>C8</ns0:f>
        <ns0:v>1x05, 2.54 мм</ns0:v>
      </ns0:c>
      <ns0:c r="E8" s="33"/>
      <ns0:c r="F8" s="33"/>
      <ns0:c r="G8" s="33"/>
      <ns0:c r="H8" t="str" s="35">
        <ns0:v>1x05, P2.54, THT, прямой</ns0:v>
      </ns0:c>
      <ns0:c r="I8" t="str" s="33">
        <ns0:v>CONNFLY</ns0:v>
      </ns0:c>
      <ns0:c r="J8" t="str" s="33">
        <ns0:v>DS1021</ns0:v>
      </ns0:c>
      <ns0:c r="K8" t="str" s="34">
        <ns0:f>B8&amp;" "&amp;D8&amp;" "&amp;J8</ns0:f>
        <ns0:v>Разъём 1x05, 2.54 мм DS1021</ns0:v>
      </ns0:c>
      <ns0:c r="L8" t="str" s="36">
        <ns0:v>XP_5</ns0:v>
      </ns0:c>
      <ns0:c r="M8" t="str" s="36">
        <ns0:v>Symbols\MY_LIB_Connectors.SchLib</ns0:v>
      </ns0:c>
      <ns0:c r="N8" t="str" s="36">
        <ns0:v>CONNFLY_DS1021_1X05</ns0:v>
      </ns0:c>
      <ns0:c r="O8" t="str" s="36">
        <ns0:v>Footprints\MY_LIB_Connectors.PcbLib</ns0:v>
      </ns0:c>
      <ns0:c r="P8" t="str" s="33">
        <ns0:v>Штыревой, прямой; 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" s="33"/>
      <ns0:c r="R8" t="str" s="34">
        <ns0:f>D8</ns0:f>
        <ns0:v>1x05, 2.54 мм</ns0:v>
      </ns0:c>
      <ns0:c r="S8" t="str" s="34">
        <ns0:f>K8</ns0:f>
        <ns0:v>Разъём 1x05, 2.54 мм DS1021</ns0:v>
      </ns0:c>
      <ns0:c r="T8" t="str" s="33">
        <ns0:v>C:\Users\Nomatin\Documents\Altium\MY_LIB\MY_LIB\Datasheets\CONNFLY_DS1021.pdf</ns0:v>
      </ns0:c>
      <ns0:c r="U8" s="33"/>
      <ns0:c r="V8" t="str" s="33">
        <ns0:v>Даташит — локальный</ns0:v>
      </ns0:c>
      <ns0:c r="W8" t="str" s="33">
        <ns0:v>C:\Users\Nomatin\Documents\Altium\MY_LIB\MY_LIB\Datasheets\CONNFLY_DS1021.pdf</ns0:v>
      </ns0:c>
      <ns0:c r="X8" t="str" s="33">
        <ns0:v>Даташит — производитель</ns0:v>
      </ns0:c>
      <ns0:c r="Y8" t="str" s="33">
        <ns0:v>https://en.connfly.com/static/upload/file/pdf/DS1021.pdf</ns0:v>
      </ns0:c>
      <ns0:c r="Z8" t="str" s="33">
        <ns0:v>C:\Users\Nomatin\Documents\Altium\MY_LIB\MY_LIB\Datasheets\CONNFLY_DS1021.pdf</ns0:v>
      </ns0:c>
    </ns0:row>
    <ns0:row xmlns:ns0="http://schemas.openxmlformats.org/spreadsheetml/2006/main" r="9" ht="85" customHeight="1">
      <ns0:c r="A9" t="str" s="33">
        <ns0:v>XP0006</ns0:v>
      </ns0:c>
      <ns0:c r="B9" t="str" s="33">
        <ns0:v>Разъём</ns0:v>
      </ns0:c>
      <ns0:c r="C9" t="str" s="33">
        <ns0:v>1x06, 2.54 мм</ns0:v>
      </ns0:c>
      <ns0:c r="D9" t="str" s="34">
        <ns0:f>C9</ns0:f>
        <ns0:v>1x06, 2.54 мм</ns0:v>
      </ns0:c>
      <ns0:c r="E9" s="33"/>
      <ns0:c r="F9" s="33"/>
      <ns0:c r="G9" s="33"/>
      <ns0:c r="H9" t="str" s="35">
        <ns0:v>1x06, P2.54, THT, прямой</ns0:v>
      </ns0:c>
      <ns0:c r="I9" t="str" s="33">
        <ns0:v>CONNFLY</ns0:v>
      </ns0:c>
      <ns0:c r="J9" t="str" s="33">
        <ns0:v>DS1021</ns0:v>
      </ns0:c>
      <ns0:c r="K9" t="str" s="34">
        <ns0:f>B9&amp;" "&amp;D9&amp;" "&amp;J9</ns0:f>
        <ns0:v>Разъём 1x06, 2.54 мм DS1021</ns0:v>
      </ns0:c>
      <ns0:c r="L9" t="str" s="36">
        <ns0:v>XP_6</ns0:v>
      </ns0:c>
      <ns0:c r="M9" t="str" s="36">
        <ns0:v>Symbols\MY_LIB_Connectors.SchLib</ns0:v>
      </ns0:c>
      <ns0:c r="N9" t="str" s="36">
        <ns0:v>CONNFLY_DS1021_1X06</ns0:v>
      </ns0:c>
      <ns0:c r="O9" t="str" s="36">
        <ns0:v>Footprints\MY_LIB_Connectors.PcbLib</ns0:v>
      </ns0:c>
      <ns0:c r="P9" t="str" s="33">
        <ns0:v>Штыревой, прямой;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" s="33"/>
      <ns0:c r="R9" t="str" s="34">
        <ns0:f>D9</ns0:f>
        <ns0:v>1x06, 2.54 мм</ns0:v>
      </ns0:c>
      <ns0:c r="S9" t="str" s="34">
        <ns0:f>K9</ns0:f>
        <ns0:v>Разъём 1x06, 2.54 мм DS1021</ns0:v>
      </ns0:c>
      <ns0:c r="T9" t="str" s="33">
        <ns0:v>C:\Users\Nomatin\Documents\Altium\MY_LIB\MY_LIB\Datasheets\CONNFLY_DS1021.pdf</ns0:v>
      </ns0:c>
      <ns0:c r="U9" s="33"/>
      <ns0:c r="V9" t="str" s="33">
        <ns0:v>Даташит — локальный</ns0:v>
      </ns0:c>
      <ns0:c r="W9" t="str" s="33">
        <ns0:v>C:\Users\Nomatin\Documents\Altium\MY_LIB\MY_LIB\Datasheets\CONNFLY_DS1021.pdf</ns0:v>
      </ns0:c>
      <ns0:c r="X9" t="str" s="33">
        <ns0:v>Даташит — производитель</ns0:v>
      </ns0:c>
      <ns0:c r="Y9" t="str" s="33">
        <ns0:v>https://en.connfly.com/static/upload/file/pdf/DS1021.pdf</ns0:v>
      </ns0:c>
      <ns0:c r="Z9" t="str" s="33">
        <ns0:v>C:\Users\Nomatin\Documents\Altium\MY_LIB\MY_LIB\Datasheets\CONNFLY_DS1021.pdf</ns0:v>
      </ns0:c>
    </ns0:row>
    <ns0:row xmlns:ns0="http://schemas.openxmlformats.org/spreadsheetml/2006/main" r="10" ht="85" customHeight="1">
      <ns0:c r="A10" t="str" s="33">
        <ns0:v>XP0007</ns0:v>
      </ns0:c>
      <ns0:c r="B10" t="str" s="33">
        <ns0:v>Разъём</ns0:v>
      </ns0:c>
      <ns0:c r="C10" t="str" s="33">
        <ns0:v>1x07, 2.54 мм</ns0:v>
      </ns0:c>
      <ns0:c r="D10" t="str" s="34">
        <ns0:f>C10</ns0:f>
        <ns0:v>1x07, 2.54 мм</ns0:v>
      </ns0:c>
      <ns0:c r="E10" s="33"/>
      <ns0:c r="F10" s="33"/>
      <ns0:c r="G10" s="33"/>
      <ns0:c r="H10" t="str" s="35">
        <ns0:v>1x07, P2.54, THT, прямой</ns0:v>
      </ns0:c>
      <ns0:c r="I10" t="str" s="33">
        <ns0:v>CONNFLY</ns0:v>
      </ns0:c>
      <ns0:c r="J10" t="str" s="33">
        <ns0:v>DS1021</ns0:v>
      </ns0:c>
      <ns0:c r="K10" t="str" s="34">
        <ns0:f>B10&amp;" "&amp;D10&amp;" "&amp;J10</ns0:f>
        <ns0:v>Разъём 1x07, 2.54 мм DS1021</ns0:v>
      </ns0:c>
      <ns0:c r="L10" t="str" s="36">
        <ns0:v>XP_7</ns0:v>
      </ns0:c>
      <ns0:c r="M10" t="str" s="36">
        <ns0:v>Symbols\MY_LIB_Connectors.SchLib</ns0:v>
      </ns0:c>
      <ns0:c r="N10" t="str" s="36">
        <ns0:v>CONNFLY_DS1021_1X07</ns0:v>
      </ns0:c>
      <ns0:c r="O10" t="str" s="36">
        <ns0:v>Footprints\MY_LIB_Connectors.PcbLib</ns0:v>
      </ns0:c>
      <ns0:c r="P10" t="str" s="33">
        <ns0:v>Штыревой, прямой; 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" s="33"/>
      <ns0:c r="R10" t="str" s="34">
        <ns0:f>D10</ns0:f>
        <ns0:v>1x07, 2.54 мм</ns0:v>
      </ns0:c>
      <ns0:c r="S10" t="str" s="34">
        <ns0:f>K10</ns0:f>
        <ns0:v>Разъём 1x07, 2.54 мм DS1021</ns0:v>
      </ns0:c>
      <ns0:c r="T10" t="str" s="33">
        <ns0:v>C:\Users\Nomatin\Documents\Altium\MY_LIB\MY_LIB\Datasheets\CONNFLY_DS1021.pdf</ns0:v>
      </ns0:c>
      <ns0:c r="U10" s="33"/>
      <ns0:c r="V10" t="str" s="33">
        <ns0:v>Даташит — локальный</ns0:v>
      </ns0:c>
      <ns0:c r="W10" t="str" s="33">
        <ns0:v>C:\Users\Nomatin\Documents\Altium\MY_LIB\MY_LIB\Datasheets\CONNFLY_DS1021.pdf</ns0:v>
      </ns0:c>
      <ns0:c r="X10" t="str" s="33">
        <ns0:v>Даташит — производитель</ns0:v>
      </ns0:c>
      <ns0:c r="Y10" t="str" s="33">
        <ns0:v>https://en.connfly.com/static/upload/file/pdf/DS1021.pdf</ns0:v>
      </ns0:c>
      <ns0:c r="Z10" t="str" s="33">
        <ns0:v>C:\Users\Nomatin\Documents\Altium\MY_LIB\MY_LIB\Datasheets\CONNFLY_DS1021.pdf</ns0:v>
      </ns0:c>
    </ns0:row>
    <ns0:row xmlns:ns0="http://schemas.openxmlformats.org/spreadsheetml/2006/main" r="11" ht="85" customHeight="1">
      <ns0:c r="A11" t="str" s="33">
        <ns0:v>XP0008</ns0:v>
      </ns0:c>
      <ns0:c r="B11" t="str" s="33">
        <ns0:v>Разъём</ns0:v>
      </ns0:c>
      <ns0:c r="C11" t="str" s="33">
        <ns0:v>1x08, 2.54 мм</ns0:v>
      </ns0:c>
      <ns0:c r="D11" t="str" s="34">
        <ns0:f>C11</ns0:f>
        <ns0:v>1x08, 2.54 мм</ns0:v>
      </ns0:c>
      <ns0:c r="E11" s="33"/>
      <ns0:c r="F11" s="33"/>
      <ns0:c r="G11" s="33"/>
      <ns0:c r="H11" t="str" s="35">
        <ns0:v>1x08, P2.54, THT, прямой</ns0:v>
      </ns0:c>
      <ns0:c r="I11" t="str" s="33">
        <ns0:v>CONNFLY</ns0:v>
      </ns0:c>
      <ns0:c r="J11" t="str" s="33">
        <ns0:v>DS1021</ns0:v>
      </ns0:c>
      <ns0:c r="K11" t="str" s="34">
        <ns0:f>B11&amp;" "&amp;D11&amp;" "&amp;J11</ns0:f>
        <ns0:v>Разъём 1x08, 2.54 мм DS1021</ns0:v>
      </ns0:c>
      <ns0:c r="L11" t="str" s="36">
        <ns0:v>XP_8</ns0:v>
      </ns0:c>
      <ns0:c r="M11" t="str" s="36">
        <ns0:v>Symbols\MY_LIB_Connectors.SchLib</ns0:v>
      </ns0:c>
      <ns0:c r="N11" t="str" s="36">
        <ns0:v>CONNFLY_DS1021_1X08</ns0:v>
      </ns0:c>
      <ns0:c r="O11" t="str" s="36">
        <ns0:v>Footprints\MY_LIB_Connectors.PcbLib</ns0:v>
      </ns0:c>
      <ns0:c r="P11" t="str" s="33">
        <ns0:v>Штыревой, прямой;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" s="33"/>
      <ns0:c r="R11" t="str" s="34">
        <ns0:f>D11</ns0:f>
        <ns0:v>1x08, 2.54 мм</ns0:v>
      </ns0:c>
      <ns0:c r="S11" t="str" s="34">
        <ns0:f>K11</ns0:f>
        <ns0:v>Разъём 1x08, 2.54 мм DS1021</ns0:v>
      </ns0:c>
      <ns0:c r="T11" t="str" s="33">
        <ns0:v>C:\Users\Nomatin\Documents\Altium\MY_LIB\MY_LIB\Datasheets\CONNFLY_DS1021.pdf</ns0:v>
      </ns0:c>
      <ns0:c r="U11" s="33"/>
      <ns0:c r="V11" t="str" s="33">
        <ns0:v>Даташит — локальный</ns0:v>
      </ns0:c>
      <ns0:c r="W11" t="str" s="33">
        <ns0:v>C:\Users\Nomatin\Documents\Altium\MY_LIB\MY_LIB\Datasheets\CONNFLY_DS1021.pdf</ns0:v>
      </ns0:c>
      <ns0:c r="X11" t="str" s="33">
        <ns0:v>Даташит — производитель</ns0:v>
      </ns0:c>
      <ns0:c r="Y11" t="str" s="33">
        <ns0:v>https://en.connfly.com/static/upload/file/pdf/DS1021.pdf</ns0:v>
      </ns0:c>
      <ns0:c r="Z11" t="str" s="33">
        <ns0:v>C:\Users\Nomatin\Documents\Altium\MY_LIB\MY_LIB\Datasheets\CONNFLY_DS1021.pdf</ns0:v>
      </ns0:c>
    </ns0:row>
    <ns0:row xmlns:ns0="http://schemas.openxmlformats.org/spreadsheetml/2006/main" r="12" ht="85" customHeight="1">
      <ns0:c r="A12" t="str" s="33">
        <ns0:v>XP0009</ns0:v>
      </ns0:c>
      <ns0:c r="B12" t="str" s="33">
        <ns0:v>Разъём</ns0:v>
      </ns0:c>
      <ns0:c r="C12" t="str" s="33">
        <ns0:v>1x09, 2.54 мм</ns0:v>
      </ns0:c>
      <ns0:c r="D12" t="str" s="34">
        <ns0:f>C12</ns0:f>
        <ns0:v>1x09, 2.54 мм</ns0:v>
      </ns0:c>
      <ns0:c r="E12" s="33"/>
      <ns0:c r="F12" s="33"/>
      <ns0:c r="G12" s="33"/>
      <ns0:c r="H12" t="str" s="35">
        <ns0:v>1x09, P2.54, THT, прямой</ns0:v>
      </ns0:c>
      <ns0:c r="I12" t="str" s="33">
        <ns0:v>CONNFLY</ns0:v>
      </ns0:c>
      <ns0:c r="J12" t="str" s="33">
        <ns0:v>DS1021</ns0:v>
      </ns0:c>
      <ns0:c r="K12" t="str" s="34">
        <ns0:f>B12&amp;" "&amp;D12&amp;" "&amp;J12</ns0:f>
        <ns0:v>Разъём 1x09, 2.54 мм DS1021</ns0:v>
      </ns0:c>
      <ns0:c r="L12" t="str" s="36">
        <ns0:v>XP_9</ns0:v>
      </ns0:c>
      <ns0:c r="M12" t="str" s="36">
        <ns0:v>Symbols\MY_LIB_Connectors.SchLib</ns0:v>
      </ns0:c>
      <ns0:c r="N12" t="str" s="36">
        <ns0:v>CONNFLY_DS1021_1X09</ns0:v>
      </ns0:c>
      <ns0:c r="O12" t="str" s="36">
        <ns0:v>Footprints\MY_LIB_Connectors.PcbLib</ns0:v>
      </ns0:c>
      <ns0:c r="P12" t="str" s="33">
        <ns0:v>Штыревой, прямой; 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" s="33"/>
      <ns0:c r="R12" t="str" s="34">
        <ns0:f>D12</ns0:f>
        <ns0:v>1x09, 2.54 мм</ns0:v>
      </ns0:c>
      <ns0:c r="S12" t="str" s="34">
        <ns0:f>K12</ns0:f>
        <ns0:v>Разъём 1x09, 2.54 мм DS1021</ns0:v>
      </ns0:c>
      <ns0:c r="T12" t="str" s="33">
        <ns0:v>C:\Users\Nomatin\Documents\Altium\MY_LIB\MY_LIB\Datasheets\CONNFLY_DS1021.pdf</ns0:v>
      </ns0:c>
      <ns0:c r="U12" s="33"/>
      <ns0:c r="V12" t="str" s="33">
        <ns0:v>Даташит — локальный</ns0:v>
      </ns0:c>
      <ns0:c r="W12" t="str" s="33">
        <ns0:v>C:\Users\Nomatin\Documents\Altium\MY_LIB\MY_LIB\Datasheets\CONNFLY_DS1021.pdf</ns0:v>
      </ns0:c>
      <ns0:c r="X12" t="str" s="33">
        <ns0:v>Даташит — производитель</ns0:v>
      </ns0:c>
      <ns0:c r="Y12" t="str" s="33">
        <ns0:v>https://en.connfly.com/static/upload/file/pdf/DS1021.pdf</ns0:v>
      </ns0:c>
      <ns0:c r="Z12" t="str" s="33">
        <ns0:v>C:\Users\Nomatin\Documents\Altium\MY_LIB\MY_LIB\Datasheets\CONNFLY_DS1021.pdf</ns0:v>
      </ns0:c>
    </ns0:row>
    <ns0:row xmlns:ns0="http://schemas.openxmlformats.org/spreadsheetml/2006/main" r="13" ht="85" customHeight="1">
      <ns0:c r="A13" t="str" s="33">
        <ns0:v>XP0010</ns0:v>
      </ns0:c>
      <ns0:c r="B13" t="str" s="33">
        <ns0:v>Разъём</ns0:v>
      </ns0:c>
      <ns0:c r="C13" t="str" s="33">
        <ns0:v>1x10, 2.54 мм</ns0:v>
      </ns0:c>
      <ns0:c r="D13" t="str" s="34">
        <ns0:f>C13</ns0:f>
        <ns0:v>1x10, 2.54 мм</ns0:v>
      </ns0:c>
      <ns0:c r="E13" s="33"/>
      <ns0:c r="F13" s="33"/>
      <ns0:c r="G13" s="33"/>
      <ns0:c r="H13" t="str" s="35">
        <ns0:v>1x10, P2.54, THT, прямой</ns0:v>
      </ns0:c>
      <ns0:c r="I13" t="str" s="33">
        <ns0:v>CONNFLY</ns0:v>
      </ns0:c>
      <ns0:c r="J13" t="str" s="33">
        <ns0:v>DS1021</ns0:v>
      </ns0:c>
      <ns0:c r="K13" t="str" s="34">
        <ns0:f>B13&amp;" "&amp;D13&amp;" "&amp;J13</ns0:f>
        <ns0:v>Разъём 1x10, 2.54 мм DS1021</ns0:v>
      </ns0:c>
      <ns0:c r="L13" t="str" s="36">
        <ns0:v>XP_10</ns0:v>
      </ns0:c>
      <ns0:c r="M13" t="str" s="36">
        <ns0:v>Symbols\MY_LIB_Connectors.SchLib</ns0:v>
      </ns0:c>
      <ns0:c r="N13" t="str" s="36">
        <ns0:v>CONNFLY_DS1021_1X10</ns0:v>
      </ns0:c>
      <ns0:c r="O13" t="str" s="36">
        <ns0:v>Footprints\MY_LIB_Connectors.PcbLib</ns0:v>
      </ns0:c>
      <ns0:c r="P13" t="str" s="33">
        <ns0:v>Штыревой, прямой;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" s="33"/>
      <ns0:c r="R13" t="str" s="34">
        <ns0:f>D13</ns0:f>
        <ns0:v>1x10, 2.54 мм</ns0:v>
      </ns0:c>
      <ns0:c r="S13" t="str" s="34">
        <ns0:f>K13</ns0:f>
        <ns0:v>Разъём 1x10, 2.54 мм DS1021</ns0:v>
      </ns0:c>
      <ns0:c r="T13" t="str" s="33">
        <ns0:v>C:\Users\Nomatin\Documents\Altium\MY_LIB\MY_LIB\Datasheets\CONNFLY_DS1021.pdf</ns0:v>
      </ns0:c>
      <ns0:c r="U13" s="33"/>
      <ns0:c r="V13" t="str" s="33">
        <ns0:v>Даташит — локальный</ns0:v>
      </ns0:c>
      <ns0:c r="W13" t="str" s="33">
        <ns0:v>C:\Users\Nomatin\Documents\Altium\MY_LIB\MY_LIB\Datasheets\CONNFLY_DS1021.pdf</ns0:v>
      </ns0:c>
      <ns0:c r="X13" t="str" s="33">
        <ns0:v>Даташит — производитель</ns0:v>
      </ns0:c>
      <ns0:c r="Y13" t="str" s="33">
        <ns0:v>https://en.connfly.com/static/upload/file/pdf/DS1021.pdf</ns0:v>
      </ns0:c>
      <ns0:c r="Z13" t="str" s="33">
        <ns0:v>C:\Users\Nomatin\Documents\Altium\MY_LIB\MY_LIB\Datasheets\CONNFLY_DS1021.pdf</ns0:v>
      </ns0:c>
    </ns0:row>
    <ns0:row xmlns:ns0="http://schemas.openxmlformats.org/spreadsheetml/2006/main" r="14" ht="85" customHeight="1">
      <ns0:c r="A14" t="str" s="33">
        <ns0:v>XP0011</ns0:v>
      </ns0:c>
      <ns0:c r="B14" t="str" s="33">
        <ns0:v>Разъём</ns0:v>
      </ns0:c>
      <ns0:c r="C14" t="str" s="33">
        <ns0:v>1x11, 2.54 мм</ns0:v>
      </ns0:c>
      <ns0:c r="D14" t="str" s="34">
        <ns0:f>C14</ns0:f>
        <ns0:v>1x11, 2.54 мм</ns0:v>
      </ns0:c>
      <ns0:c r="E14" s="33"/>
      <ns0:c r="F14" s="33"/>
      <ns0:c r="G14" s="33"/>
      <ns0:c r="H14" t="str" s="35">
        <ns0:v>1x11, P2.54, THT, прямой</ns0:v>
      </ns0:c>
      <ns0:c r="I14" t="str" s="33">
        <ns0:v>CONNFLY</ns0:v>
      </ns0:c>
      <ns0:c r="J14" t="str" s="33">
        <ns0:v>DS1021</ns0:v>
      </ns0:c>
      <ns0:c r="K14" t="str" s="34">
        <ns0:f>B14&amp;" "&amp;D14&amp;" "&amp;J14</ns0:f>
        <ns0:v>Разъём 1x11, 2.54 мм DS1021</ns0:v>
      </ns0:c>
      <ns0:c r="L14" t="str" s="36">
        <ns0:v>XP_11</ns0:v>
      </ns0:c>
      <ns0:c r="M14" t="str" s="36">
        <ns0:v>Symbols\MY_LIB_Connectors.SchLib</ns0:v>
      </ns0:c>
      <ns0:c r="N14" t="str" s="36">
        <ns0:v>CONNFLY_DS1021_1X11</ns0:v>
      </ns0:c>
      <ns0:c r="O14" t="str" s="36">
        <ns0:v>Footprints\MY_LIB_Connectors.PcbLib</ns0:v>
      </ns0:c>
      <ns0:c r="P14" t="str" s="33">
        <ns0:v>Штыревой, прямой; 11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" s="33"/>
      <ns0:c r="R14" t="str" s="34">
        <ns0:f>D14</ns0:f>
        <ns0:v>1x11, 2.54 мм</ns0:v>
      </ns0:c>
      <ns0:c r="S14" t="str" s="34">
        <ns0:f>K14</ns0:f>
        <ns0:v>Разъём 1x11, 2.54 мм DS1021</ns0:v>
      </ns0:c>
      <ns0:c r="T14" t="str" s="33">
        <ns0:v>C:\Users\Nomatin\Documents\Altium\MY_LIB\MY_LIB\Datasheets\CONNFLY_DS1021.pdf</ns0:v>
      </ns0:c>
      <ns0:c r="U14" s="33"/>
      <ns0:c r="V14" t="str" s="33">
        <ns0:v>Даташит — локальный</ns0:v>
      </ns0:c>
      <ns0:c r="W14" t="str" s="33">
        <ns0:v>C:\Users\Nomatin\Documents\Altium\MY_LIB\MY_LIB\Datasheets\CONNFLY_DS1021.pdf</ns0:v>
      </ns0:c>
      <ns0:c r="X14" t="str" s="33">
        <ns0:v>Даташит — производитель</ns0:v>
      </ns0:c>
      <ns0:c r="Y14" t="str" s="33">
        <ns0:v>https://en.connfly.com/static/upload/file/pdf/DS1021.pdf</ns0:v>
      </ns0:c>
      <ns0:c r="Z14" t="str" s="33">
        <ns0:v>C:\Users\Nomatin\Documents\Altium\MY_LIB\MY_LIB\Datasheets\CONNFLY_DS1021.pdf</ns0:v>
      </ns0:c>
    </ns0:row>
    <ns0:row xmlns:ns0="http://schemas.openxmlformats.org/spreadsheetml/2006/main" r="15" ht="85" customHeight="1">
      <ns0:c r="A15" t="str" s="33">
        <ns0:v>XP0012</ns0:v>
      </ns0:c>
      <ns0:c r="B15" t="str" s="33">
        <ns0:v>Разъём</ns0:v>
      </ns0:c>
      <ns0:c r="C15" t="str" s="33">
        <ns0:v>1x12, 2.54 мм</ns0:v>
      </ns0:c>
      <ns0:c r="D15" t="str" s="34">
        <ns0:f>C15</ns0:f>
        <ns0:v>1x12, 2.54 мм</ns0:v>
      </ns0:c>
      <ns0:c r="E15" s="33"/>
      <ns0:c r="F15" s="33"/>
      <ns0:c r="G15" s="33"/>
      <ns0:c r="H15" t="str" s="35">
        <ns0:v>1x12, P2.54, THT, прямой</ns0:v>
      </ns0:c>
      <ns0:c r="I15" t="str" s="33">
        <ns0:v>CONNFLY</ns0:v>
      </ns0:c>
      <ns0:c r="J15" t="str" s="33">
        <ns0:v>DS1021</ns0:v>
      </ns0:c>
      <ns0:c r="K15" t="str" s="34">
        <ns0:f>B15&amp;" "&amp;D15&amp;" "&amp;J15</ns0:f>
        <ns0:v>Разъём 1x12, 2.54 мм DS1021</ns0:v>
      </ns0:c>
      <ns0:c r="L15" t="str" s="36">
        <ns0:v>XP_12</ns0:v>
      </ns0:c>
      <ns0:c r="M15" t="str" s="36">
        <ns0:v>Symbols\MY_LIB_Connectors.SchLib</ns0:v>
      </ns0:c>
      <ns0:c r="N15" t="str" s="36">
        <ns0:v>CONNFLY_DS1021_1X12</ns0:v>
      </ns0:c>
      <ns0:c r="O15" t="str" s="36">
        <ns0:v>Footprints\MY_LIB_Connectors.PcbLib</ns0:v>
      </ns0:c>
      <ns0:c r="P15" t="str" s="33">
        <ns0:v>Штыревой, прямой;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" s="33"/>
      <ns0:c r="R15" t="str" s="34">
        <ns0:f>D15</ns0:f>
        <ns0:v>1x12, 2.54 мм</ns0:v>
      </ns0:c>
      <ns0:c r="S15" t="str" s="34">
        <ns0:f>K15</ns0:f>
        <ns0:v>Разъём 1x12, 2.54 мм DS1021</ns0:v>
      </ns0:c>
      <ns0:c r="T15" t="str" s="33">
        <ns0:v>C:\Users\Nomatin\Documents\Altium\MY_LIB\MY_LIB\Datasheets\CONNFLY_DS1021.pdf</ns0:v>
      </ns0:c>
      <ns0:c r="U15" s="33"/>
      <ns0:c r="V15" t="str" s="33">
        <ns0:v>Даташит — локальный</ns0:v>
      </ns0:c>
      <ns0:c r="W15" t="str" s="33">
        <ns0:v>C:\Users\Nomatin\Documents\Altium\MY_LIB\MY_LIB\Datasheets\CONNFLY_DS1021.pdf</ns0:v>
      </ns0:c>
      <ns0:c r="X15" t="str" s="33">
        <ns0:v>Даташит — производитель</ns0:v>
      </ns0:c>
      <ns0:c r="Y15" t="str" s="33">
        <ns0:v>https://en.connfly.com/static/upload/file/pdf/DS1021.pdf</ns0:v>
      </ns0:c>
      <ns0:c r="Z15" t="str" s="33">
        <ns0:v>C:\Users\Nomatin\Documents\Altium\MY_LIB\MY_LIB\Datasheets\CONNFLY_DS1021.pdf</ns0:v>
      </ns0:c>
    </ns0:row>
    <ns0:row xmlns:ns0="http://schemas.openxmlformats.org/spreadsheetml/2006/main" r="16" ht="85" customHeight="1">
      <ns0:c r="A16" t="str" s="33">
        <ns0:v>XP0013</ns0:v>
      </ns0:c>
      <ns0:c r="B16" t="str" s="33">
        <ns0:v>Разъём</ns0:v>
      </ns0:c>
      <ns0:c r="C16" t="str" s="33">
        <ns0:v>1x13, 2.54 мм</ns0:v>
      </ns0:c>
      <ns0:c r="D16" t="str" s="34">
        <ns0:f>C16</ns0:f>
        <ns0:v>1x13, 2.54 мм</ns0:v>
      </ns0:c>
      <ns0:c r="E16" s="33"/>
      <ns0:c r="F16" s="33"/>
      <ns0:c r="G16" s="33"/>
      <ns0:c r="H16" t="str" s="35">
        <ns0:v>1x13, P2.54, THT, прямой</ns0:v>
      </ns0:c>
      <ns0:c r="I16" t="str" s="33">
        <ns0:v>CONNFLY</ns0:v>
      </ns0:c>
      <ns0:c r="J16" t="str" s="33">
        <ns0:v>DS1021</ns0:v>
      </ns0:c>
      <ns0:c r="K16" t="str" s="34">
        <ns0:f>B16&amp;" "&amp;D16&amp;" "&amp;J16</ns0:f>
        <ns0:v>Разъём 1x13, 2.54 мм DS1021</ns0:v>
      </ns0:c>
      <ns0:c r="L16" t="str" s="36">
        <ns0:v>XP_13</ns0:v>
      </ns0:c>
      <ns0:c r="M16" t="str" s="36">
        <ns0:v>Symbols\MY_LIB_Connectors.SchLib</ns0:v>
      </ns0:c>
      <ns0:c r="N16" t="str" s="36">
        <ns0:v>CONNFLY_DS1021_1X13</ns0:v>
      </ns0:c>
      <ns0:c r="O16" t="str" s="36">
        <ns0:v>Footprints\MY_LIB_Connectors.PcbLib</ns0:v>
      </ns0:c>
      <ns0:c r="P16" t="str" s="33">
        <ns0:v>Штыревой, прямой; 13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" s="33"/>
      <ns0:c r="R16" t="str" s="34">
        <ns0:f>D16</ns0:f>
        <ns0:v>1x13, 2.54 мм</ns0:v>
      </ns0:c>
      <ns0:c r="S16" t="str" s="34">
        <ns0:f>K16</ns0:f>
        <ns0:v>Разъём 1x13, 2.54 мм DS1021</ns0:v>
      </ns0:c>
      <ns0:c r="T16" t="str" s="33">
        <ns0:v>C:\Users\Nomatin\Documents\Altium\MY_LIB\MY_LIB\Datasheets\CONNFLY_DS1021.pdf</ns0:v>
      </ns0:c>
      <ns0:c r="U16" s="33"/>
      <ns0:c r="V16" t="str" s="33">
        <ns0:v>Даташит — локальный</ns0:v>
      </ns0:c>
      <ns0:c r="W16" t="str" s="33">
        <ns0:v>C:\Users\Nomatin\Documents\Altium\MY_LIB\MY_LIB\Datasheets\CONNFLY_DS1021.pdf</ns0:v>
      </ns0:c>
      <ns0:c r="X16" t="str" s="33">
        <ns0:v>Даташит — производитель</ns0:v>
      </ns0:c>
      <ns0:c r="Y16" t="str" s="33">
        <ns0:v>https://en.connfly.com/static/upload/file/pdf/DS1021.pdf</ns0:v>
      </ns0:c>
      <ns0:c r="Z16" t="str" s="33">
        <ns0:v>C:\Users\Nomatin\Documents\Altium\MY_LIB\MY_LIB\Datasheets\CONNFLY_DS1021.pdf</ns0:v>
      </ns0:c>
    </ns0:row>
    <ns0:row xmlns:ns0="http://schemas.openxmlformats.org/spreadsheetml/2006/main" r="17" ht="85" customHeight="1">
      <ns0:c r="A17" t="str" s="33">
        <ns0:v>XP0014</ns0:v>
      </ns0:c>
      <ns0:c r="B17" t="str" s="33">
        <ns0:v>Разъём</ns0:v>
      </ns0:c>
      <ns0:c r="C17" t="str" s="33">
        <ns0:v>1x14, 2.54 мм</ns0:v>
      </ns0:c>
      <ns0:c r="D17" t="str" s="34">
        <ns0:f>C17</ns0:f>
        <ns0:v>1x14, 2.54 мм</ns0:v>
      </ns0:c>
      <ns0:c r="E17" s="33"/>
      <ns0:c r="F17" s="33"/>
      <ns0:c r="G17" s="33"/>
      <ns0:c r="H17" t="str" s="35">
        <ns0:v>1x14, P2.54, THT, прямой</ns0:v>
      </ns0:c>
      <ns0:c r="I17" t="str" s="33">
        <ns0:v>CONNFLY</ns0:v>
      </ns0:c>
      <ns0:c r="J17" t="str" s="33">
        <ns0:v>DS1021</ns0:v>
      </ns0:c>
      <ns0:c r="K17" t="str" s="34">
        <ns0:f>B17&amp;" "&amp;D17&amp;" "&amp;J17</ns0:f>
        <ns0:v>Разъём 1x14, 2.54 мм DS1021</ns0:v>
      </ns0:c>
      <ns0:c r="L17" t="str" s="36">
        <ns0:v>XP_14</ns0:v>
      </ns0:c>
      <ns0:c r="M17" t="str" s="36">
        <ns0:v>Symbols\MY_LIB_Connectors.SchLib</ns0:v>
      </ns0:c>
      <ns0:c r="N17" t="str" s="36">
        <ns0:v>CONNFLY_DS1021_1X14</ns0:v>
      </ns0:c>
      <ns0:c r="O17" t="str" s="36">
        <ns0:v>Footprints\MY_LIB_Connectors.PcbLib</ns0:v>
      </ns0:c>
      <ns0:c r="P17" t="str" s="33">
        <ns0:v>Штыревой, прямой;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" s="33"/>
      <ns0:c r="R17" t="str" s="34">
        <ns0:f>D17</ns0:f>
        <ns0:v>1x14, 2.54 мм</ns0:v>
      </ns0:c>
      <ns0:c r="S17" t="str" s="34">
        <ns0:f>K17</ns0:f>
        <ns0:v>Разъём 1x14, 2.54 мм DS1021</ns0:v>
      </ns0:c>
      <ns0:c r="T17" t="str" s="33">
        <ns0:v>C:\Users\Nomatin\Documents\Altium\MY_LIB\MY_LIB\Datasheets\CONNFLY_DS1021.pdf</ns0:v>
      </ns0:c>
      <ns0:c r="U17" s="33"/>
      <ns0:c r="V17" t="str" s="33">
        <ns0:v>Даташит — локальный</ns0:v>
      </ns0:c>
      <ns0:c r="W17" t="str" s="33">
        <ns0:v>C:\Users\Nomatin\Documents\Altium\MY_LIB\MY_LIB\Datasheets\CONNFLY_DS1021.pdf</ns0:v>
      </ns0:c>
      <ns0:c r="X17" t="str" s="33">
        <ns0:v>Даташит — производитель</ns0:v>
      </ns0:c>
      <ns0:c r="Y17" t="str" s="33">
        <ns0:v>https://en.connfly.com/static/upload/file/pdf/DS1021.pdf</ns0:v>
      </ns0:c>
      <ns0:c r="Z17" t="str" s="33">
        <ns0:v>C:\Users\Nomatin\Documents\Altium\MY_LIB\MY_LIB\Datasheets\CONNFLY_DS1021.pdf</ns0:v>
      </ns0:c>
    </ns0:row>
    <ns0:row xmlns:ns0="http://schemas.openxmlformats.org/spreadsheetml/2006/main" r="18" ht="85" customHeight="1">
      <ns0:c r="A18" t="str" s="33">
        <ns0:v>XP0015</ns0:v>
      </ns0:c>
      <ns0:c r="B18" t="str" s="33">
        <ns0:v>Разъём</ns0:v>
      </ns0:c>
      <ns0:c r="C18" t="str" s="33">
        <ns0:v>1x15, 2.54 мм</ns0:v>
      </ns0:c>
      <ns0:c r="D18" t="str" s="34">
        <ns0:f>C18</ns0:f>
        <ns0:v>1x15, 2.54 мм</ns0:v>
      </ns0:c>
      <ns0:c r="E18" s="33"/>
      <ns0:c r="F18" s="33"/>
      <ns0:c r="G18" s="33"/>
      <ns0:c r="H18" t="str" s="35">
        <ns0:v>1x15, P2.54, THT, прямой</ns0:v>
      </ns0:c>
      <ns0:c r="I18" t="str" s="33">
        <ns0:v>CONNFLY</ns0:v>
      </ns0:c>
      <ns0:c r="J18" t="str" s="33">
        <ns0:v>DS1021</ns0:v>
      </ns0:c>
      <ns0:c r="K18" t="str" s="34">
        <ns0:f>B18&amp;" "&amp;D18&amp;" "&amp;J18</ns0:f>
        <ns0:v>Разъём 1x15, 2.54 мм DS1021</ns0:v>
      </ns0:c>
      <ns0:c r="L18" t="str" s="36">
        <ns0:v>XP_15</ns0:v>
      </ns0:c>
      <ns0:c r="M18" t="str" s="36">
        <ns0:v>Symbols\MY_LIB_Connectors.SchLib</ns0:v>
      </ns0:c>
      <ns0:c r="N18" t="str" s="36">
        <ns0:v>CONNFLY_DS1021_1X15</ns0:v>
      </ns0:c>
      <ns0:c r="O18" t="str" s="36">
        <ns0:v>Footprints\MY_LIB_Connectors.PcbLib</ns0:v>
      </ns0:c>
      <ns0:c r="P18" t="str" s="33">
        <ns0:v>Штыревой, прямой; 15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" s="33"/>
      <ns0:c r="R18" t="str" s="34">
        <ns0:f>D18</ns0:f>
        <ns0:v>1x15, 2.54 мм</ns0:v>
      </ns0:c>
      <ns0:c r="S18" t="str" s="34">
        <ns0:f>K18</ns0:f>
        <ns0:v>Разъём 1x15, 2.54 мм DS1021</ns0:v>
      </ns0:c>
      <ns0:c r="T18" t="str" s="33">
        <ns0:v>C:\Users\Nomatin\Documents\Altium\MY_LIB\MY_LIB\Datasheets\CONNFLY_DS1021.pdf</ns0:v>
      </ns0:c>
      <ns0:c r="U18" s="33"/>
      <ns0:c r="V18" t="str" s="33">
        <ns0:v>Даташит — локальный</ns0:v>
      </ns0:c>
      <ns0:c r="W18" t="str" s="33">
        <ns0:v>C:\Users\Nomatin\Documents\Altium\MY_LIB\MY_LIB\Datasheets\CONNFLY_DS1021.pdf</ns0:v>
      </ns0:c>
      <ns0:c r="X18" t="str" s="33">
        <ns0:v>Даташит — производитель</ns0:v>
      </ns0:c>
      <ns0:c r="Y18" t="str" s="33">
        <ns0:v>https://en.connfly.com/static/upload/file/pdf/DS1021.pdf</ns0:v>
      </ns0:c>
      <ns0:c r="Z18" t="str" s="33">
        <ns0:v>C:\Users\Nomatin\Documents\Altium\MY_LIB\MY_LIB\Datasheets\CONNFLY_DS1021.pdf</ns0:v>
      </ns0:c>
    </ns0:row>
    <ns0:row xmlns:ns0="http://schemas.openxmlformats.org/spreadsheetml/2006/main" r="19" ht="85" customHeight="1">
      <ns0:c r="A19" t="str" s="33">
        <ns0:v>XP0016</ns0:v>
      </ns0:c>
      <ns0:c r="B19" t="str" s="33">
        <ns0:v>Разъём</ns0:v>
      </ns0:c>
      <ns0:c r="C19" t="str" s="33">
        <ns0:v>1x16, 2.54 мм</ns0:v>
      </ns0:c>
      <ns0:c r="D19" t="str" s="34">
        <ns0:f>C19</ns0:f>
        <ns0:v>1x16, 2.54 мм</ns0:v>
      </ns0:c>
      <ns0:c r="E19" s="33"/>
      <ns0:c r="F19" s="33"/>
      <ns0:c r="G19" s="33"/>
      <ns0:c r="H19" t="str" s="35">
        <ns0:v>1x16, P2.54, THT, прямой</ns0:v>
      </ns0:c>
      <ns0:c r="I19" t="str" s="33">
        <ns0:v>CONNFLY</ns0:v>
      </ns0:c>
      <ns0:c r="J19" t="str" s="33">
        <ns0:v>DS1021</ns0:v>
      </ns0:c>
      <ns0:c r="K19" t="str" s="34">
        <ns0:f>B19&amp;" "&amp;D19&amp;" "&amp;J19</ns0:f>
        <ns0:v>Разъём 1x16, 2.54 мм DS1021</ns0:v>
      </ns0:c>
      <ns0:c r="L19" t="str" s="36">
        <ns0:v>XP_16</ns0:v>
      </ns0:c>
      <ns0:c r="M19" t="str" s="36">
        <ns0:v>Symbols\MY_LIB_Connectors.SchLib</ns0:v>
      </ns0:c>
      <ns0:c r="N19" t="str" s="36">
        <ns0:v>CONNFLY_DS1021_1X16</ns0:v>
      </ns0:c>
      <ns0:c r="O19" t="str" s="36">
        <ns0:v>Footprints\MY_LIB_Connectors.PcbLib</ns0:v>
      </ns0:c>
      <ns0:c r="P19" t="str" s="33">
        <ns0:v>Штыревой, прямой;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" s="33"/>
      <ns0:c r="R19" t="str" s="34">
        <ns0:f>D19</ns0:f>
        <ns0:v>1x16, 2.54 мм</ns0:v>
      </ns0:c>
      <ns0:c r="S19" t="str" s="34">
        <ns0:f>K19</ns0:f>
        <ns0:v>Разъём 1x16, 2.54 мм DS1021</ns0:v>
      </ns0:c>
      <ns0:c r="T19" t="str" s="33">
        <ns0:v>C:\Users\Nomatin\Documents\Altium\MY_LIB\MY_LIB\Datasheets\CONNFLY_DS1021.pdf</ns0:v>
      </ns0:c>
      <ns0:c r="U19" s="33"/>
      <ns0:c r="V19" t="str" s="33">
        <ns0:v>Даташит — локальный</ns0:v>
      </ns0:c>
      <ns0:c r="W19" t="str" s="33">
        <ns0:v>C:\Users\Nomatin\Documents\Altium\MY_LIB\MY_LIB\Datasheets\CONNFLY_DS1021.pdf</ns0:v>
      </ns0:c>
      <ns0:c r="X19" t="str" s="33">
        <ns0:v>Даташит — производитель</ns0:v>
      </ns0:c>
      <ns0:c r="Y19" t="str" s="33">
        <ns0:v>https://en.connfly.com/static/upload/file/pdf/DS1021.pdf</ns0:v>
      </ns0:c>
      <ns0:c r="Z19" t="str" s="33">
        <ns0:v>C:\Users\Nomatin\Documents\Altium\MY_LIB\MY_LIB\Datasheets\CONNFLY_DS1021.pdf</ns0:v>
      </ns0:c>
    </ns0:row>
    <ns0:row xmlns:ns0="http://schemas.openxmlformats.org/spreadsheetml/2006/main" r="20" ht="85" customHeight="1">
      <ns0:c r="A20" t="str" s="33">
        <ns0:v>XP0017</ns0:v>
      </ns0:c>
      <ns0:c r="B20" t="str" s="33">
        <ns0:v>Разъём</ns0:v>
      </ns0:c>
      <ns0:c r="C20" t="str" s="33">
        <ns0:v>1x17, 2.54 мм</ns0:v>
      </ns0:c>
      <ns0:c r="D20" t="str" s="34">
        <ns0:f>C20</ns0:f>
        <ns0:v>1x17, 2.54 мм</ns0:v>
      </ns0:c>
      <ns0:c r="E20" s="33"/>
      <ns0:c r="F20" s="33"/>
      <ns0:c r="G20" s="33"/>
      <ns0:c r="H20" t="str" s="35">
        <ns0:v>1x17, P2.54, THT, прямой</ns0:v>
      </ns0:c>
      <ns0:c r="I20" t="str" s="33">
        <ns0:v>CONNFLY</ns0:v>
      </ns0:c>
      <ns0:c r="J20" t="str" s="33">
        <ns0:v>DS1021</ns0:v>
      </ns0:c>
      <ns0:c r="K20" t="str" s="34">
        <ns0:f>B20&amp;" "&amp;D20&amp;" "&amp;J20</ns0:f>
        <ns0:v>Разъём 1x17, 2.54 мм DS1021</ns0:v>
      </ns0:c>
      <ns0:c r="L20" t="str" s="36">
        <ns0:v>XP_17</ns0:v>
      </ns0:c>
      <ns0:c r="M20" t="str" s="36">
        <ns0:v>Symbols\MY_LIB_Connectors.SchLib</ns0:v>
      </ns0:c>
      <ns0:c r="N20" t="str" s="36">
        <ns0:v>CONNFLY_DS1021_1X17</ns0:v>
      </ns0:c>
      <ns0:c r="O20" t="str" s="36">
        <ns0:v>Footprints\MY_LIB_Connectors.PcbLib</ns0:v>
      </ns0:c>
      <ns0:c r="P20" t="str" s="33">
        <ns0:v>Штыревой, прямой; 17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" s="33"/>
      <ns0:c r="R20" t="str" s="34">
        <ns0:f>D20</ns0:f>
        <ns0:v>1x17, 2.54 мм</ns0:v>
      </ns0:c>
      <ns0:c r="S20" t="str" s="34">
        <ns0:f>K20</ns0:f>
        <ns0:v>Разъём 1x17, 2.54 мм DS1021</ns0:v>
      </ns0:c>
      <ns0:c r="T20" t="str" s="33">
        <ns0:v>C:\Users\Nomatin\Documents\Altium\MY_LIB\MY_LIB\Datasheets\CONNFLY_DS1021.pdf</ns0:v>
      </ns0:c>
      <ns0:c r="U20" s="33"/>
      <ns0:c r="V20" t="str" s="33">
        <ns0:v>Даташит — локальный</ns0:v>
      </ns0:c>
      <ns0:c r="W20" t="str" s="33">
        <ns0:v>C:\Users\Nomatin\Documents\Altium\MY_LIB\MY_LIB\Datasheets\CONNFLY_DS1021.pdf</ns0:v>
      </ns0:c>
      <ns0:c r="X20" t="str" s="33">
        <ns0:v>Даташит — производитель</ns0:v>
      </ns0:c>
      <ns0:c r="Y20" t="str" s="33">
        <ns0:v>https://en.connfly.com/static/upload/file/pdf/DS1021.pdf</ns0:v>
      </ns0:c>
      <ns0:c r="Z20" t="str" s="33">
        <ns0:v>C:\Users\Nomatin\Documents\Altium\MY_LIB\MY_LIB\Datasheets\CONNFLY_DS1021.pdf</ns0:v>
      </ns0:c>
    </ns0:row>
    <ns0:row xmlns:ns0="http://schemas.openxmlformats.org/spreadsheetml/2006/main" r="21" ht="85" customHeight="1">
      <ns0:c r="A21" t="str" s="33">
        <ns0:v>XP0018</ns0:v>
      </ns0:c>
      <ns0:c r="B21" t="str" s="33">
        <ns0:v>Разъём</ns0:v>
      </ns0:c>
      <ns0:c r="C21" t="str" s="33">
        <ns0:v>1x18, 2.54 мм</ns0:v>
      </ns0:c>
      <ns0:c r="D21" t="str" s="34">
        <ns0:f>C21</ns0:f>
        <ns0:v>1x18, 2.54 мм</ns0:v>
      </ns0:c>
      <ns0:c r="E21" s="33"/>
      <ns0:c r="F21" s="33"/>
      <ns0:c r="G21" s="33"/>
      <ns0:c r="H21" t="str" s="35">
        <ns0:v>1x18, P2.54, THT, прямой</ns0:v>
      </ns0:c>
      <ns0:c r="I21" t="str" s="33">
        <ns0:v>CONNFLY</ns0:v>
      </ns0:c>
      <ns0:c r="J21" t="str" s="33">
        <ns0:v>DS1021</ns0:v>
      </ns0:c>
      <ns0:c r="K21" t="str" s="34">
        <ns0:f>B21&amp;" "&amp;D21&amp;" "&amp;J21</ns0:f>
        <ns0:v>Разъём 1x18, 2.54 мм DS1021</ns0:v>
      </ns0:c>
      <ns0:c r="L21" t="str" s="36">
        <ns0:v>XP_18</ns0:v>
      </ns0:c>
      <ns0:c r="M21" t="str" s="36">
        <ns0:v>Symbols\MY_LIB_Connectors.SchLib</ns0:v>
      </ns0:c>
      <ns0:c r="N21" t="str" s="36">
        <ns0:v>CONNFLY_DS1021_1X18</ns0:v>
      </ns0:c>
      <ns0:c r="O21" t="str" s="36">
        <ns0:v>Footprints\MY_LIB_Connectors.PcbLib</ns0:v>
      </ns0:c>
      <ns0:c r="P21" t="str" s="33">
        <ns0:v>Штыревой, прямой;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" s="33"/>
      <ns0:c r="R21" t="str" s="34">
        <ns0:f>D21</ns0:f>
        <ns0:v>1x18, 2.54 мм</ns0:v>
      </ns0:c>
      <ns0:c r="S21" t="str" s="34">
        <ns0:f>K21</ns0:f>
        <ns0:v>Разъём 1x18, 2.54 мм DS1021</ns0:v>
      </ns0:c>
      <ns0:c r="T21" t="str" s="33">
        <ns0:v>C:\Users\Nomatin\Documents\Altium\MY_LIB\MY_LIB\Datasheets\CONNFLY_DS1021.pdf</ns0:v>
      </ns0:c>
      <ns0:c r="U21" s="33"/>
      <ns0:c r="V21" t="str" s="33">
        <ns0:v>Даташит — локальный</ns0:v>
      </ns0:c>
      <ns0:c r="W21" t="str" s="33">
        <ns0:v>C:\Users\Nomatin\Documents\Altium\MY_LIB\MY_LIB\Datasheets\CONNFLY_DS1021.pdf</ns0:v>
      </ns0:c>
      <ns0:c r="X21" t="str" s="33">
        <ns0:v>Даташит — производитель</ns0:v>
      </ns0:c>
      <ns0:c r="Y21" t="str" s="33">
        <ns0:v>https://en.connfly.com/static/upload/file/pdf/DS1021.pdf</ns0:v>
      </ns0:c>
      <ns0:c r="Z21" t="str" s="33">
        <ns0:v>C:\Users\Nomatin\Documents\Altium\MY_LIB\MY_LIB\Datasheets\CONNFLY_DS1021.pdf</ns0:v>
      </ns0:c>
    </ns0:row>
    <ns0:row xmlns:ns0="http://schemas.openxmlformats.org/spreadsheetml/2006/main" r="22" ht="85" customHeight="1">
      <ns0:c r="A22" t="str" s="33">
        <ns0:v>XP0019</ns0:v>
      </ns0:c>
      <ns0:c r="B22" t="str" s="33">
        <ns0:v>Разъём</ns0:v>
      </ns0:c>
      <ns0:c r="C22" t="str" s="33">
        <ns0:v>1x19, 2.54 мм</ns0:v>
      </ns0:c>
      <ns0:c r="D22" t="str" s="34">
        <ns0:f>C22</ns0:f>
        <ns0:v>1x19, 2.54 мм</ns0:v>
      </ns0:c>
      <ns0:c r="E22" s="33"/>
      <ns0:c r="F22" s="33"/>
      <ns0:c r="G22" s="33"/>
      <ns0:c r="H22" t="str" s="35">
        <ns0:v>1x19, P2.54, THT, прямой</ns0:v>
      </ns0:c>
      <ns0:c r="I22" t="str" s="33">
        <ns0:v>CONNFLY</ns0:v>
      </ns0:c>
      <ns0:c r="J22" t="str" s="33">
        <ns0:v>DS1021</ns0:v>
      </ns0:c>
      <ns0:c r="K22" t="str" s="34">
        <ns0:f>B22&amp;" "&amp;D22&amp;" "&amp;J22</ns0:f>
        <ns0:v>Разъём 1x19, 2.54 мм DS1021</ns0:v>
      </ns0:c>
      <ns0:c r="L22" t="str" s="36">
        <ns0:v>XP_19</ns0:v>
      </ns0:c>
      <ns0:c r="M22" t="str" s="36">
        <ns0:v>Symbols\MY_LIB_Connectors.SchLib</ns0:v>
      </ns0:c>
      <ns0:c r="N22" t="str" s="36">
        <ns0:v>CONNFLY_DS1021_1X19</ns0:v>
      </ns0:c>
      <ns0:c r="O22" t="str" s="36">
        <ns0:v>Footprints\MY_LIB_Connectors.PcbLib</ns0:v>
      </ns0:c>
      <ns0:c r="P22" t="str" s="33">
        <ns0:v>Штыревой, прямой; 19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" s="33"/>
      <ns0:c r="R22" t="str" s="34">
        <ns0:f>D22</ns0:f>
        <ns0:v>1x19, 2.54 мм</ns0:v>
      </ns0:c>
      <ns0:c r="S22" t="str" s="34">
        <ns0:f>K22</ns0:f>
        <ns0:v>Разъём 1x19, 2.54 мм DS1021</ns0:v>
      </ns0:c>
      <ns0:c r="T22" t="str" s="33">
        <ns0:v>C:\Users\Nomatin\Documents\Altium\MY_LIB\MY_LIB\Datasheets\CONNFLY_DS1021.pdf</ns0:v>
      </ns0:c>
      <ns0:c r="U22" s="33"/>
      <ns0:c r="V22" t="str" s="33">
        <ns0:v>Даташит — локальный</ns0:v>
      </ns0:c>
      <ns0:c r="W22" t="str" s="33">
        <ns0:v>C:\Users\Nomatin\Documents\Altium\MY_LIB\MY_LIB\Datasheets\CONNFLY_DS1021.pdf</ns0:v>
      </ns0:c>
      <ns0:c r="X22" t="str" s="33">
        <ns0:v>Даташит — производитель</ns0:v>
      </ns0:c>
      <ns0:c r="Y22" t="str" s="33">
        <ns0:v>https://en.connfly.com/static/upload/file/pdf/DS1021.pdf</ns0:v>
      </ns0:c>
      <ns0:c r="Z22" t="str" s="33">
        <ns0:v>C:\Users\Nomatin\Documents\Altium\MY_LIB\MY_LIB\Datasheets\CONNFLY_DS1021.pdf</ns0:v>
      </ns0:c>
    </ns0:row>
    <ns0:row xmlns:ns0="http://schemas.openxmlformats.org/spreadsheetml/2006/main" r="23" ht="85" customHeight="1">
      <ns0:c r="A23" t="str" s="33">
        <ns0:v>XP0020</ns0:v>
      </ns0:c>
      <ns0:c r="B23" t="str" s="33">
        <ns0:v>Разъём</ns0:v>
      </ns0:c>
      <ns0:c r="C23" t="str" s="33">
        <ns0:v>1x20, 2.54 мм</ns0:v>
      </ns0:c>
      <ns0:c r="D23" t="str" s="34">
        <ns0:f>C23</ns0:f>
        <ns0:v>1x20, 2.54 мм</ns0:v>
      </ns0:c>
      <ns0:c r="E23" s="33"/>
      <ns0:c r="F23" s="33"/>
      <ns0:c r="G23" s="33"/>
      <ns0:c r="H23" t="str" s="35">
        <ns0:v>1x20, P2.54, THT, прямой</ns0:v>
      </ns0:c>
      <ns0:c r="I23" t="str" s="33">
        <ns0:v>CONNFLY</ns0:v>
      </ns0:c>
      <ns0:c r="J23" t="str" s="33">
        <ns0:v>DS1021</ns0:v>
      </ns0:c>
      <ns0:c r="K23" t="str" s="34">
        <ns0:f>B23&amp;" "&amp;D23&amp;" "&amp;J23</ns0:f>
        <ns0:v>Разъём 1x20, 2.54 мм DS1021</ns0:v>
      </ns0:c>
      <ns0:c r="L23" t="str" s="36">
        <ns0:v>XP_20</ns0:v>
      </ns0:c>
      <ns0:c r="M23" t="str" s="36">
        <ns0:v>Symbols\MY_LIB_Connectors.SchLib</ns0:v>
      </ns0:c>
      <ns0:c r="N23" t="str" s="36">
        <ns0:v>CONNFLY_DS1021_1X20</ns0:v>
      </ns0:c>
      <ns0:c r="O23" t="str" s="36">
        <ns0:v>Footprints\MY_LIB_Connectors.PcbLib</ns0:v>
      </ns0:c>
      <ns0:c r="P23" t="str" s="33">
        <ns0:v>Штыревой, прямой;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" s="33"/>
      <ns0:c r="R23" t="str" s="34">
        <ns0:f>D23</ns0:f>
        <ns0:v>1x20, 2.54 мм</ns0:v>
      </ns0:c>
      <ns0:c r="S23" t="str" s="34">
        <ns0:f>K23</ns0:f>
        <ns0:v>Разъём 1x20, 2.54 мм DS1021</ns0:v>
      </ns0:c>
      <ns0:c r="T23" t="str" s="33">
        <ns0:v>C:\Users\Nomatin\Documents\Altium\MY_LIB\MY_LIB\Datasheets\CONNFLY_DS1021.pdf</ns0:v>
      </ns0:c>
      <ns0:c r="U23" s="33"/>
      <ns0:c r="V23" t="str" s="33">
        <ns0:v>Даташит — локальный</ns0:v>
      </ns0:c>
      <ns0:c r="W23" t="str" s="33">
        <ns0:v>C:\Users\Nomatin\Documents\Altium\MY_LIB\MY_LIB\Datasheets\CONNFLY_DS1021.pdf</ns0:v>
      </ns0:c>
      <ns0:c r="X23" t="str" s="33">
        <ns0:v>Даташит — производитель</ns0:v>
      </ns0:c>
      <ns0:c r="Y23" t="str" s="33">
        <ns0:v>https://en.connfly.com/static/upload/file/pdf/DS1021.pdf</ns0:v>
      </ns0:c>
      <ns0:c r="Z23" t="str" s="33">
        <ns0:v>C:\Users\Nomatin\Documents\Altium\MY_LIB\MY_LIB\Datasheets\CONNFLY_DS1021.pdf</ns0:v>
      </ns0:c>
    </ns0:row>
    <ns0:row xmlns:ns0="http://schemas.openxmlformats.org/spreadsheetml/2006/main" r="24" ht="85" customHeight="1">
      <ns0:c r="A24" t="str" s="33">
        <ns0:v>XP0021</ns0:v>
      </ns0:c>
      <ns0:c r="B24" t="str" s="33">
        <ns0:v>Разъём</ns0:v>
      </ns0:c>
      <ns0:c r="C24" t="str" s="33">
        <ns0:v>1x21, 2.54 мм</ns0:v>
      </ns0:c>
      <ns0:c r="D24" t="str" s="34">
        <ns0:f>C24</ns0:f>
        <ns0:v>1x21, 2.54 мм</ns0:v>
      </ns0:c>
      <ns0:c r="E24" s="33"/>
      <ns0:c r="F24" s="33"/>
      <ns0:c r="G24" s="33"/>
      <ns0:c r="H24" t="str" s="35">
        <ns0:v>1x21, P2.54, THT, прямой</ns0:v>
      </ns0:c>
      <ns0:c r="I24" t="str" s="33">
        <ns0:v>CONNFLY</ns0:v>
      </ns0:c>
      <ns0:c r="J24" t="str" s="33">
        <ns0:v>DS1021</ns0:v>
      </ns0:c>
      <ns0:c r="K24" t="str" s="34">
        <ns0:f>B24&amp;" "&amp;D24&amp;" "&amp;J24</ns0:f>
        <ns0:v>Разъём 1x21, 2.54 мм DS1021</ns0:v>
      </ns0:c>
      <ns0:c r="L24" t="str" s="36">
        <ns0:v>XP_21</ns0:v>
      </ns0:c>
      <ns0:c r="M24" t="str" s="36">
        <ns0:v>Symbols\MY_LIB_Connectors.SchLib</ns0:v>
      </ns0:c>
      <ns0:c r="N24" t="str" s="36">
        <ns0:v>CONNFLY_DS1021_1X21</ns0:v>
      </ns0:c>
      <ns0:c r="O24" t="str" s="36">
        <ns0:v>Footprints\MY_LIB_Connectors.PcbLib</ns0:v>
      </ns0:c>
      <ns0:c r="P24" t="str" s="33">
        <ns0:v>Штыревой, прямой; 21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4" s="33"/>
      <ns0:c r="R24" t="str" s="34">
        <ns0:f>D24</ns0:f>
        <ns0:v>1x21, 2.54 мм</ns0:v>
      </ns0:c>
      <ns0:c r="S24" t="str" s="34">
        <ns0:f>K24</ns0:f>
        <ns0:v>Разъём 1x21, 2.54 мм DS1021</ns0:v>
      </ns0:c>
      <ns0:c r="T24" t="str" s="33">
        <ns0:v>C:\Users\Nomatin\Documents\Altium\MY_LIB\MY_LIB\Datasheets\CONNFLY_DS1021.pdf</ns0:v>
      </ns0:c>
      <ns0:c r="U24" s="33"/>
      <ns0:c r="V24" t="str" s="33">
        <ns0:v>Даташит — локальный</ns0:v>
      </ns0:c>
      <ns0:c r="W24" t="str" s="33">
        <ns0:v>C:\Users\Nomatin\Documents\Altium\MY_LIB\MY_LIB\Datasheets\CONNFLY_DS1021.pdf</ns0:v>
      </ns0:c>
      <ns0:c r="X24" t="str" s="33">
        <ns0:v>Даташит — производитель</ns0:v>
      </ns0:c>
      <ns0:c r="Y24" t="str" s="33">
        <ns0:v>https://en.connfly.com/static/upload/file/pdf/DS1021.pdf</ns0:v>
      </ns0:c>
      <ns0:c r="Z24" t="str" s="33">
        <ns0:v>C:\Users\Nomatin\Documents\Altium\MY_LIB\MY_LIB\Datasheets\CONNFLY_DS1021.pdf</ns0:v>
      </ns0:c>
    </ns0:row>
    <ns0:row xmlns:ns0="http://schemas.openxmlformats.org/spreadsheetml/2006/main" r="25" ht="85" customHeight="1">
      <ns0:c r="A25" t="str" s="33">
        <ns0:v>XP0022</ns0:v>
      </ns0:c>
      <ns0:c r="B25" t="str" s="33">
        <ns0:v>Разъём</ns0:v>
      </ns0:c>
      <ns0:c r="C25" t="str" s="33">
        <ns0:v>1x22, 2.54 мм</ns0:v>
      </ns0:c>
      <ns0:c r="D25" t="str" s="34">
        <ns0:f>C25</ns0:f>
        <ns0:v>1x22, 2.54 мм</ns0:v>
      </ns0:c>
      <ns0:c r="E25" s="33"/>
      <ns0:c r="F25" s="33"/>
      <ns0:c r="G25" s="33"/>
      <ns0:c r="H25" t="str" s="35">
        <ns0:v>1x22, P2.54, THT, прямой</ns0:v>
      </ns0:c>
      <ns0:c r="I25" t="str" s="33">
        <ns0:v>CONNFLY</ns0:v>
      </ns0:c>
      <ns0:c r="J25" t="str" s="33">
        <ns0:v>DS1021</ns0:v>
      </ns0:c>
      <ns0:c r="K25" t="str" s="34">
        <ns0:f>B25&amp;" "&amp;D25&amp;" "&amp;J25</ns0:f>
        <ns0:v>Разъём 1x22, 2.54 мм DS1021</ns0:v>
      </ns0:c>
      <ns0:c r="L25" t="str" s="36">
        <ns0:v>XP_22</ns0:v>
      </ns0:c>
      <ns0:c r="M25" t="str" s="36">
        <ns0:v>Symbols\MY_LIB_Connectors.SchLib</ns0:v>
      </ns0:c>
      <ns0:c r="N25" t="str" s="36">
        <ns0:v>CONNFLY_DS1021_1X22</ns0:v>
      </ns0:c>
      <ns0:c r="O25" t="str" s="36">
        <ns0:v>Footprints\MY_LIB_Connectors.PcbLib</ns0:v>
      </ns0:c>
      <ns0:c r="P25" t="str" s="33">
        <ns0:v>Штыревой, прямой;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5" s="33"/>
      <ns0:c r="R25" t="str" s="34">
        <ns0:f>D25</ns0:f>
        <ns0:v>1x22, 2.54 мм</ns0:v>
      </ns0:c>
      <ns0:c r="S25" t="str" s="34">
        <ns0:f>K25</ns0:f>
        <ns0:v>Разъём 1x22, 2.54 мм DS1021</ns0:v>
      </ns0:c>
      <ns0:c r="T25" t="str" s="33">
        <ns0:v>C:\Users\Nomatin\Documents\Altium\MY_LIB\MY_LIB\Datasheets\CONNFLY_DS1021.pdf</ns0:v>
      </ns0:c>
      <ns0:c r="U25" s="33"/>
      <ns0:c r="V25" t="str" s="33">
        <ns0:v>Даташит — локальный</ns0:v>
      </ns0:c>
      <ns0:c r="W25" t="str" s="33">
        <ns0:v>C:\Users\Nomatin\Documents\Altium\MY_LIB\MY_LIB\Datasheets\CONNFLY_DS1021.pdf</ns0:v>
      </ns0:c>
      <ns0:c r="X25" t="str" s="33">
        <ns0:v>Даташит — производитель</ns0:v>
      </ns0:c>
      <ns0:c r="Y25" t="str" s="33">
        <ns0:v>https://en.connfly.com/static/upload/file/pdf/DS1021.pdf</ns0:v>
      </ns0:c>
      <ns0:c r="Z25" t="str" s="33">
        <ns0:v>C:\Users\Nomatin\Documents\Altium\MY_LIB\MY_LIB\Datasheets\CONNFLY_DS1021.pdf</ns0:v>
      </ns0:c>
    </ns0:row>
    <ns0:row xmlns:ns0="http://schemas.openxmlformats.org/spreadsheetml/2006/main" r="26" ht="85" customHeight="1">
      <ns0:c r="A26" t="str" s="33">
        <ns0:v>XP0023</ns0:v>
      </ns0:c>
      <ns0:c r="B26" t="str" s="33">
        <ns0:v>Разъём</ns0:v>
      </ns0:c>
      <ns0:c r="C26" t="str" s="33">
        <ns0:v>1x23, 2.54 мм</ns0:v>
      </ns0:c>
      <ns0:c r="D26" t="str" s="34">
        <ns0:f>C26</ns0:f>
        <ns0:v>1x23, 2.54 мм</ns0:v>
      </ns0:c>
      <ns0:c r="E26" s="33"/>
      <ns0:c r="F26" s="33"/>
      <ns0:c r="G26" s="33"/>
      <ns0:c r="H26" t="str" s="35">
        <ns0:v>1x23, P2.54, THT, прямой</ns0:v>
      </ns0:c>
      <ns0:c r="I26" t="str" s="33">
        <ns0:v>CONNFLY</ns0:v>
      </ns0:c>
      <ns0:c r="J26" t="str" s="33">
        <ns0:v>DS1021</ns0:v>
      </ns0:c>
      <ns0:c r="K26" t="str" s="34">
        <ns0:f>B26&amp;" "&amp;D26&amp;" "&amp;J26</ns0:f>
        <ns0:v>Разъём 1x23, 2.54 мм DS1021</ns0:v>
      </ns0:c>
      <ns0:c r="L26" t="str" s="36">
        <ns0:v>XP_23</ns0:v>
      </ns0:c>
      <ns0:c r="M26" t="str" s="36">
        <ns0:v>Symbols\MY_LIB_Connectors.SchLib</ns0:v>
      </ns0:c>
      <ns0:c r="N26" t="str" s="36">
        <ns0:v>CONNFLY_DS1021_1X23</ns0:v>
      </ns0:c>
      <ns0:c r="O26" t="str" s="36">
        <ns0:v>Footprints\MY_LIB_Connectors.PcbLib</ns0:v>
      </ns0:c>
      <ns0:c r="P26" t="str" s="33">
        <ns0:v>Штыревой, прямой; 23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6" s="33"/>
      <ns0:c r="R26" t="str" s="34">
        <ns0:f>D26</ns0:f>
        <ns0:v>1x23, 2.54 мм</ns0:v>
      </ns0:c>
      <ns0:c r="S26" t="str" s="34">
        <ns0:f>K26</ns0:f>
        <ns0:v>Разъём 1x23, 2.54 мм DS1021</ns0:v>
      </ns0:c>
      <ns0:c r="T26" t="str" s="33">
        <ns0:v>C:\Users\Nomatin\Documents\Altium\MY_LIB\MY_LIB\Datasheets\CONNFLY_DS1021.pdf</ns0:v>
      </ns0:c>
      <ns0:c r="U26" s="33"/>
      <ns0:c r="V26" t="str" s="33">
        <ns0:v>Даташит — локальный</ns0:v>
      </ns0:c>
      <ns0:c r="W26" t="str" s="33">
        <ns0:v>C:\Users\Nomatin\Documents\Altium\MY_LIB\MY_LIB\Datasheets\CONNFLY_DS1021.pdf</ns0:v>
      </ns0:c>
      <ns0:c r="X26" t="str" s="33">
        <ns0:v>Даташит — производитель</ns0:v>
      </ns0:c>
      <ns0:c r="Y26" t="str" s="33">
        <ns0:v>https://en.connfly.com/static/upload/file/pdf/DS1021.pdf</ns0:v>
      </ns0:c>
      <ns0:c r="Z26" t="str" s="33">
        <ns0:v>C:\Users\Nomatin\Documents\Altium\MY_LIB\MY_LIB\Datasheets\CONNFLY_DS1021.pdf</ns0:v>
      </ns0:c>
    </ns0:row>
    <ns0:row xmlns:ns0="http://schemas.openxmlformats.org/spreadsheetml/2006/main" r="27" ht="85" customHeight="1">
      <ns0:c r="A27" t="str" s="33">
        <ns0:v>XP0024</ns0:v>
      </ns0:c>
      <ns0:c r="B27" t="str" s="33">
        <ns0:v>Разъём</ns0:v>
      </ns0:c>
      <ns0:c r="C27" t="str" s="33">
        <ns0:v>1x24, 2.54 мм</ns0:v>
      </ns0:c>
      <ns0:c r="D27" t="str" s="34">
        <ns0:f>C27</ns0:f>
        <ns0:v>1x24, 2.54 мм</ns0:v>
      </ns0:c>
      <ns0:c r="E27" s="33"/>
      <ns0:c r="F27" s="33"/>
      <ns0:c r="G27" s="33"/>
      <ns0:c r="H27" t="str" s="35">
        <ns0:v>1x24, P2.54, THT, прямой</ns0:v>
      </ns0:c>
      <ns0:c r="I27" t="str" s="33">
        <ns0:v>CONNFLY</ns0:v>
      </ns0:c>
      <ns0:c r="J27" t="str" s="33">
        <ns0:v>DS1021</ns0:v>
      </ns0:c>
      <ns0:c r="K27" t="str" s="34">
        <ns0:f>B27&amp;" "&amp;D27&amp;" "&amp;J27</ns0:f>
        <ns0:v>Разъём 1x24, 2.54 мм DS1021</ns0:v>
      </ns0:c>
      <ns0:c r="L27" t="str" s="36">
        <ns0:v>XP_24</ns0:v>
      </ns0:c>
      <ns0:c r="M27" t="str" s="36">
        <ns0:v>Symbols\MY_LIB_Connectors.SchLib</ns0:v>
      </ns0:c>
      <ns0:c r="N27" t="str" s="36">
        <ns0:v>CONNFLY_DS1021_1X24</ns0:v>
      </ns0:c>
      <ns0:c r="O27" t="str" s="36">
        <ns0:v>Footprints\MY_LIB_Connectors.PcbLib</ns0:v>
      </ns0:c>
      <ns0:c r="P27" t="str" s="33">
        <ns0:v>Штыревой, прямой;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7" s="33"/>
      <ns0:c r="R27" t="str" s="34">
        <ns0:f>D27</ns0:f>
        <ns0:v>1x24, 2.54 мм</ns0:v>
      </ns0:c>
      <ns0:c r="S27" t="str" s="34">
        <ns0:f>K27</ns0:f>
        <ns0:v>Разъём 1x24, 2.54 мм DS1021</ns0:v>
      </ns0:c>
      <ns0:c r="T27" t="str" s="33">
        <ns0:v>C:\Users\Nomatin\Documents\Altium\MY_LIB\MY_LIB\Datasheets\CONNFLY_DS1021.pdf</ns0:v>
      </ns0:c>
      <ns0:c r="U27" s="33"/>
      <ns0:c r="V27" t="str" s="33">
        <ns0:v>Даташит — локальный</ns0:v>
      </ns0:c>
      <ns0:c r="W27" t="str" s="33">
        <ns0:v>C:\Users\Nomatin\Documents\Altium\MY_LIB\MY_LIB\Datasheets\CONNFLY_DS1021.pdf</ns0:v>
      </ns0:c>
      <ns0:c r="X27" t="str" s="33">
        <ns0:v>Даташит — производитель</ns0:v>
      </ns0:c>
      <ns0:c r="Y27" t="str" s="33">
        <ns0:v>https://en.connfly.com/static/upload/file/pdf/DS1021.pdf</ns0:v>
      </ns0:c>
      <ns0:c r="Z27" t="str" s="33">
        <ns0:v>C:\Users\Nomatin\Documents\Altium\MY_LIB\MY_LIB\Datasheets\CONNFLY_DS1021.pdf</ns0:v>
      </ns0:c>
    </ns0:row>
    <ns0:row xmlns:ns0="http://schemas.openxmlformats.org/spreadsheetml/2006/main" r="28" ht="85" customHeight="1">
      <ns0:c r="A28" t="str" s="33">
        <ns0:v>XP0025</ns0:v>
      </ns0:c>
      <ns0:c r="B28" t="str" s="33">
        <ns0:v>Разъём</ns0:v>
      </ns0:c>
      <ns0:c r="C28" t="str" s="33">
        <ns0:v>1x25, 2.54 мм</ns0:v>
      </ns0:c>
      <ns0:c r="D28" t="str" s="34">
        <ns0:f>C28</ns0:f>
        <ns0:v>1x25, 2.54 мм</ns0:v>
      </ns0:c>
      <ns0:c r="E28" s="33"/>
      <ns0:c r="F28" s="33"/>
      <ns0:c r="G28" s="33"/>
      <ns0:c r="H28" t="str" s="35">
        <ns0:v>1x25, P2.54, THT, прямой</ns0:v>
      </ns0:c>
      <ns0:c r="I28" t="str" s="33">
        <ns0:v>CONNFLY</ns0:v>
      </ns0:c>
      <ns0:c r="J28" t="str" s="33">
        <ns0:v>DS1021</ns0:v>
      </ns0:c>
      <ns0:c r="K28" t="str" s="34">
        <ns0:f>B28&amp;" "&amp;D28&amp;" "&amp;J28</ns0:f>
        <ns0:v>Разъём 1x25, 2.54 мм DS1021</ns0:v>
      </ns0:c>
      <ns0:c r="L28" t="str" s="36">
        <ns0:v>XP_25</ns0:v>
      </ns0:c>
      <ns0:c r="M28" t="str" s="36">
        <ns0:v>Symbols\MY_LIB_Connectors.SchLib</ns0:v>
      </ns0:c>
      <ns0:c r="N28" t="str" s="36">
        <ns0:v>CONNFLY_DS1021_1X25</ns0:v>
      </ns0:c>
      <ns0:c r="O28" t="str" s="36">
        <ns0:v>Footprints\MY_LIB_Connectors.PcbLib</ns0:v>
      </ns0:c>
      <ns0:c r="P28" t="str" s="33">
        <ns0:v>Штыревой, прямой; 25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8" s="33"/>
      <ns0:c r="R28" t="str" s="34">
        <ns0:f>D28</ns0:f>
        <ns0:v>1x25, 2.54 мм</ns0:v>
      </ns0:c>
      <ns0:c r="S28" t="str" s="34">
        <ns0:f>K28</ns0:f>
        <ns0:v>Разъём 1x25, 2.54 мм DS1021</ns0:v>
      </ns0:c>
      <ns0:c r="T28" t="str" s="33">
        <ns0:v>C:\Users\Nomatin\Documents\Altium\MY_LIB\MY_LIB\Datasheets\CONNFLY_DS1021.pdf</ns0:v>
      </ns0:c>
      <ns0:c r="U28" s="33"/>
      <ns0:c r="V28" t="str" s="33">
        <ns0:v>Даташит — локальный</ns0:v>
      </ns0:c>
      <ns0:c r="W28" t="str" s="33">
        <ns0:v>C:\Users\Nomatin\Documents\Altium\MY_LIB\MY_LIB\Datasheets\CONNFLY_DS1021.pdf</ns0:v>
      </ns0:c>
      <ns0:c r="X28" t="str" s="33">
        <ns0:v>Даташит — производитель</ns0:v>
      </ns0:c>
      <ns0:c r="Y28" t="str" s="33">
        <ns0:v>https://en.connfly.com/static/upload/file/pdf/DS1021.pdf</ns0:v>
      </ns0:c>
      <ns0:c r="Z28" t="str" s="33">
        <ns0:v>C:\Users\Nomatin\Documents\Altium\MY_LIB\MY_LIB\Datasheets\CONNFLY_DS1021.pdf</ns0:v>
      </ns0:c>
    </ns0:row>
    <ns0:row xmlns:ns0="http://schemas.openxmlformats.org/spreadsheetml/2006/main" r="29" ht="85" customHeight="1">
      <ns0:c r="A29" t="str" s="33">
        <ns0:v>XP0026</ns0:v>
      </ns0:c>
      <ns0:c r="B29" t="str" s="33">
        <ns0:v>Разъём</ns0:v>
      </ns0:c>
      <ns0:c r="C29" t="str" s="33">
        <ns0:v>1x26, 2.54 мм</ns0:v>
      </ns0:c>
      <ns0:c r="D29" t="str" s="34">
        <ns0:f>C29</ns0:f>
        <ns0:v>1x26, 2.54 мм</ns0:v>
      </ns0:c>
      <ns0:c r="E29" s="33"/>
      <ns0:c r="F29" s="33"/>
      <ns0:c r="G29" s="33"/>
      <ns0:c r="H29" t="str" s="35">
        <ns0:v>1x26, P2.54, THT, прямой</ns0:v>
      </ns0:c>
      <ns0:c r="I29" t="str" s="33">
        <ns0:v>CONNFLY</ns0:v>
      </ns0:c>
      <ns0:c r="J29" t="str" s="33">
        <ns0:v>DS1021</ns0:v>
      </ns0:c>
      <ns0:c r="K29" t="str" s="34">
        <ns0:f>B29&amp;" "&amp;D29&amp;" "&amp;J29</ns0:f>
        <ns0:v>Разъём 1x26, 2.54 мм DS1021</ns0:v>
      </ns0:c>
      <ns0:c r="L29" t="str" s="36">
        <ns0:v>XP_26</ns0:v>
      </ns0:c>
      <ns0:c r="M29" t="str" s="36">
        <ns0:v>Symbols\MY_LIB_Connectors.SchLib</ns0:v>
      </ns0:c>
      <ns0:c r="N29" t="str" s="36">
        <ns0:v>CONNFLY_DS1021_1X26</ns0:v>
      </ns0:c>
      <ns0:c r="O29" t="str" s="36">
        <ns0:v>Footprints\MY_LIB_Connectors.PcbLib</ns0:v>
      </ns0:c>
      <ns0:c r="P29" t="str" s="33">
        <ns0:v>Штыревой, прямой;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9" s="33"/>
      <ns0:c r="R29" t="str" s="34">
        <ns0:f>D29</ns0:f>
        <ns0:v>1x26, 2.54 мм</ns0:v>
      </ns0:c>
      <ns0:c r="S29" t="str" s="34">
        <ns0:f>K29</ns0:f>
        <ns0:v>Разъём 1x26, 2.54 мм DS1021</ns0:v>
      </ns0:c>
      <ns0:c r="T29" t="str" s="33">
        <ns0:v>C:\Users\Nomatin\Documents\Altium\MY_LIB\MY_LIB\Datasheets\CONNFLY_DS1021.pdf</ns0:v>
      </ns0:c>
      <ns0:c r="U29" s="33"/>
      <ns0:c r="V29" t="str" s="33">
        <ns0:v>Даташит — локальный</ns0:v>
      </ns0:c>
      <ns0:c r="W29" t="str" s="33">
        <ns0:v>C:\Users\Nomatin\Documents\Altium\MY_LIB\MY_LIB\Datasheets\CONNFLY_DS1021.pdf</ns0:v>
      </ns0:c>
      <ns0:c r="X29" t="str" s="33">
        <ns0:v>Даташит — производитель</ns0:v>
      </ns0:c>
      <ns0:c r="Y29" t="str" s="33">
        <ns0:v>https://en.connfly.com/static/upload/file/pdf/DS1021.pdf</ns0:v>
      </ns0:c>
      <ns0:c r="Z29" t="str" s="33">
        <ns0:v>C:\Users\Nomatin\Documents\Altium\MY_LIB\MY_LIB\Datasheets\CONNFLY_DS1021.pdf</ns0:v>
      </ns0:c>
    </ns0:row>
    <ns0:row xmlns:ns0="http://schemas.openxmlformats.org/spreadsheetml/2006/main" r="30" ht="85" customHeight="1">
      <ns0:c r="A30" t="str" s="33">
        <ns0:v>XP0027</ns0:v>
      </ns0:c>
      <ns0:c r="B30" t="str" s="33">
        <ns0:v>Разъём</ns0:v>
      </ns0:c>
      <ns0:c r="C30" t="str" s="33">
        <ns0:v>1x27, 2.54 мм</ns0:v>
      </ns0:c>
      <ns0:c r="D30" t="str" s="34">
        <ns0:f>C30</ns0:f>
        <ns0:v>1x27, 2.54 мм</ns0:v>
      </ns0:c>
      <ns0:c r="E30" s="33"/>
      <ns0:c r="F30" s="33"/>
      <ns0:c r="G30" s="33"/>
      <ns0:c r="H30" t="str" s="35">
        <ns0:v>1x27, P2.54, THT, прямой</ns0:v>
      </ns0:c>
      <ns0:c r="I30" t="str" s="33">
        <ns0:v>CONNFLY</ns0:v>
      </ns0:c>
      <ns0:c r="J30" t="str" s="33">
        <ns0:v>DS1021</ns0:v>
      </ns0:c>
      <ns0:c r="K30" t="str" s="34">
        <ns0:f>B30&amp;" "&amp;D30&amp;" "&amp;J30</ns0:f>
        <ns0:v>Разъём 1x27, 2.54 мм DS1021</ns0:v>
      </ns0:c>
      <ns0:c r="L30" t="str" s="36">
        <ns0:v>XP_27</ns0:v>
      </ns0:c>
      <ns0:c r="M30" t="str" s="36">
        <ns0:v>Symbols\MY_LIB_Connectors.SchLib</ns0:v>
      </ns0:c>
      <ns0:c r="N30" t="str" s="36">
        <ns0:v>CONNFLY_DS1021_1X27</ns0:v>
      </ns0:c>
      <ns0:c r="O30" t="str" s="36">
        <ns0:v>Footprints\MY_LIB_Connectors.PcbLib</ns0:v>
      </ns0:c>
      <ns0:c r="P30" t="str" s="33">
        <ns0:v>Штыревой, прямой; 27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0" s="33"/>
      <ns0:c r="R30" t="str" s="34">
        <ns0:f>D30</ns0:f>
        <ns0:v>1x27, 2.54 мм</ns0:v>
      </ns0:c>
      <ns0:c r="S30" t="str" s="34">
        <ns0:f>K30</ns0:f>
        <ns0:v>Разъём 1x27, 2.54 мм DS1021</ns0:v>
      </ns0:c>
      <ns0:c r="T30" t="str" s="33">
        <ns0:v>C:\Users\Nomatin\Documents\Altium\MY_LIB\MY_LIB\Datasheets\CONNFLY_DS1021.pdf</ns0:v>
      </ns0:c>
      <ns0:c r="U30" s="33"/>
      <ns0:c r="V30" t="str" s="33">
        <ns0:v>Даташит — локальный</ns0:v>
      </ns0:c>
      <ns0:c r="W30" t="str" s="33">
        <ns0:v>C:\Users\Nomatin\Documents\Altium\MY_LIB\MY_LIB\Datasheets\CONNFLY_DS1021.pdf</ns0:v>
      </ns0:c>
      <ns0:c r="X30" t="str" s="33">
        <ns0:v>Даташит — производитель</ns0:v>
      </ns0:c>
      <ns0:c r="Y30" t="str" s="33">
        <ns0:v>https://en.connfly.com/static/upload/file/pdf/DS1021.pdf</ns0:v>
      </ns0:c>
      <ns0:c r="Z30" t="str" s="33">
        <ns0:v>C:\Users\Nomatin\Documents\Altium\MY_LIB\MY_LIB\Datasheets\CONNFLY_DS1021.pdf</ns0:v>
      </ns0:c>
    </ns0:row>
    <ns0:row xmlns:ns0="http://schemas.openxmlformats.org/spreadsheetml/2006/main" r="31" ht="85" customHeight="1">
      <ns0:c r="A31" t="str" s="33">
        <ns0:v>XP0028</ns0:v>
      </ns0:c>
      <ns0:c r="B31" t="str" s="33">
        <ns0:v>Разъём</ns0:v>
      </ns0:c>
      <ns0:c r="C31" t="str" s="33">
        <ns0:v>1x28, 2.54 мм</ns0:v>
      </ns0:c>
      <ns0:c r="D31" t="str" s="34">
        <ns0:f>C31</ns0:f>
        <ns0:v>1x28, 2.54 мм</ns0:v>
      </ns0:c>
      <ns0:c r="E31" s="33"/>
      <ns0:c r="F31" s="33"/>
      <ns0:c r="G31" s="33"/>
      <ns0:c r="H31" t="str" s="35">
        <ns0:v>1x28, P2.54, THT, прямой</ns0:v>
      </ns0:c>
      <ns0:c r="I31" t="str" s="33">
        <ns0:v>CONNFLY</ns0:v>
      </ns0:c>
      <ns0:c r="J31" t="str" s="33">
        <ns0:v>DS1021</ns0:v>
      </ns0:c>
      <ns0:c r="K31" t="str" s="34">
        <ns0:f>B31&amp;" "&amp;D31&amp;" "&amp;J31</ns0:f>
        <ns0:v>Разъём 1x28, 2.54 мм DS1021</ns0:v>
      </ns0:c>
      <ns0:c r="L31" t="str" s="36">
        <ns0:v>XP_28</ns0:v>
      </ns0:c>
      <ns0:c r="M31" t="str" s="36">
        <ns0:v>Symbols\MY_LIB_Connectors.SchLib</ns0:v>
      </ns0:c>
      <ns0:c r="N31" t="str" s="36">
        <ns0:v>CONNFLY_DS1021_1X28</ns0:v>
      </ns0:c>
      <ns0:c r="O31" t="str" s="36">
        <ns0:v>Footprints\MY_LIB_Connectors.PcbLib</ns0:v>
      </ns0:c>
      <ns0:c r="P31" t="str" s="33">
        <ns0:v>Штыревой, прямой;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1" s="33"/>
      <ns0:c r="R31" t="str" s="34">
        <ns0:f>D31</ns0:f>
        <ns0:v>1x28, 2.54 мм</ns0:v>
      </ns0:c>
      <ns0:c r="S31" t="str" s="34">
        <ns0:f>K31</ns0:f>
        <ns0:v>Разъём 1x28, 2.54 мм DS1021</ns0:v>
      </ns0:c>
      <ns0:c r="T31" t="str" s="33">
        <ns0:v>C:\Users\Nomatin\Documents\Altium\MY_LIB\MY_LIB\Datasheets\CONNFLY_DS1021.pdf</ns0:v>
      </ns0:c>
      <ns0:c r="U31" s="33"/>
      <ns0:c r="V31" t="str" s="33">
        <ns0:v>Даташит — локальный</ns0:v>
      </ns0:c>
      <ns0:c r="W31" t="str" s="33">
        <ns0:v>C:\Users\Nomatin\Documents\Altium\MY_LIB\MY_LIB\Datasheets\CONNFLY_DS1021.pdf</ns0:v>
      </ns0:c>
      <ns0:c r="X31" t="str" s="33">
        <ns0:v>Даташит — производитель</ns0:v>
      </ns0:c>
      <ns0:c r="Y31" t="str" s="33">
        <ns0:v>https://en.connfly.com/static/upload/file/pdf/DS1021.pdf</ns0:v>
      </ns0:c>
      <ns0:c r="Z31" t="str" s="33">
        <ns0:v>C:\Users\Nomatin\Documents\Altium\MY_LIB\MY_LIB\Datasheets\CONNFLY_DS1021.pdf</ns0:v>
      </ns0:c>
    </ns0:row>
    <ns0:row xmlns:ns0="http://schemas.openxmlformats.org/spreadsheetml/2006/main" r="32" ht="85" customHeight="1">
      <ns0:c r="A32" t="str" s="33">
        <ns0:v>XP0029</ns0:v>
      </ns0:c>
      <ns0:c r="B32" t="str" s="33">
        <ns0:v>Разъём</ns0:v>
      </ns0:c>
      <ns0:c r="C32" t="str" s="33">
        <ns0:v>1x29, 2.54 мм</ns0:v>
      </ns0:c>
      <ns0:c r="D32" t="str" s="34">
        <ns0:f>C32</ns0:f>
        <ns0:v>1x29, 2.54 мм</ns0:v>
      </ns0:c>
      <ns0:c r="E32" s="33"/>
      <ns0:c r="F32" s="33"/>
      <ns0:c r="G32" s="33"/>
      <ns0:c r="H32" t="str" s="35">
        <ns0:v>1x29, P2.54, THT, прямой</ns0:v>
      </ns0:c>
      <ns0:c r="I32" t="str" s="33">
        <ns0:v>CONNFLY</ns0:v>
      </ns0:c>
      <ns0:c r="J32" t="str" s="33">
        <ns0:v>DS1021</ns0:v>
      </ns0:c>
      <ns0:c r="K32" t="str" s="34">
        <ns0:f>B32&amp;" "&amp;D32&amp;" "&amp;J32</ns0:f>
        <ns0:v>Разъём 1x29, 2.54 мм DS1021</ns0:v>
      </ns0:c>
      <ns0:c r="L32" t="str" s="36">
        <ns0:v>XP_29</ns0:v>
      </ns0:c>
      <ns0:c r="M32" t="str" s="36">
        <ns0:v>Symbols\MY_LIB_Connectors.SchLib</ns0:v>
      </ns0:c>
      <ns0:c r="N32" t="str" s="36">
        <ns0:v>CONNFLY_DS1021_1X29</ns0:v>
      </ns0:c>
      <ns0:c r="O32" t="str" s="36">
        <ns0:v>Footprints\MY_LIB_Connectors.PcbLib</ns0:v>
      </ns0:c>
      <ns0:c r="P32" t="str" s="33">
        <ns0:v>Штыревой, прямой; 29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2" s="33"/>
      <ns0:c r="R32" t="str" s="34">
        <ns0:f>D32</ns0:f>
        <ns0:v>1x29, 2.54 мм</ns0:v>
      </ns0:c>
      <ns0:c r="S32" t="str" s="34">
        <ns0:f>K32</ns0:f>
        <ns0:v>Разъём 1x29, 2.54 мм DS1021</ns0:v>
      </ns0:c>
      <ns0:c r="T32" t="str" s="33">
        <ns0:v>C:\Users\Nomatin\Documents\Altium\MY_LIB\MY_LIB\Datasheets\CONNFLY_DS1021.pdf</ns0:v>
      </ns0:c>
      <ns0:c r="U32" s="33"/>
      <ns0:c r="V32" t="str" s="33">
        <ns0:v>Даташит — локальный</ns0:v>
      </ns0:c>
      <ns0:c r="W32" t="str" s="33">
        <ns0:v>C:\Users\Nomatin\Documents\Altium\MY_LIB\MY_LIB\Datasheets\CONNFLY_DS1021.pdf</ns0:v>
      </ns0:c>
      <ns0:c r="X32" t="str" s="33">
        <ns0:v>Даташит — производитель</ns0:v>
      </ns0:c>
      <ns0:c r="Y32" t="str" s="33">
        <ns0:v>https://en.connfly.com/static/upload/file/pdf/DS1021.pdf</ns0:v>
      </ns0:c>
      <ns0:c r="Z32" t="str" s="33">
        <ns0:v>C:\Users\Nomatin\Documents\Altium\MY_LIB\MY_LIB\Datasheets\CONNFLY_DS1021.pdf</ns0:v>
      </ns0:c>
    </ns0:row>
    <ns0:row xmlns:ns0="http://schemas.openxmlformats.org/spreadsheetml/2006/main" r="33" ht="85" customHeight="1">
      <ns0:c r="A33" t="str" s="33">
        <ns0:v>XP0030</ns0:v>
      </ns0:c>
      <ns0:c r="B33" t="str" s="33">
        <ns0:v>Разъём</ns0:v>
      </ns0:c>
      <ns0:c r="C33" t="str" s="33">
        <ns0:v>1x30, 2.54 мм</ns0:v>
      </ns0:c>
      <ns0:c r="D33" t="str" s="34">
        <ns0:f>C33</ns0:f>
        <ns0:v>1x30, 2.54 мм</ns0:v>
      </ns0:c>
      <ns0:c r="E33" s="33"/>
      <ns0:c r="F33" s="33"/>
      <ns0:c r="G33" s="33"/>
      <ns0:c r="H33" t="str" s="35">
        <ns0:v>1x30, P2.54, THT, прямой</ns0:v>
      </ns0:c>
      <ns0:c r="I33" t="str" s="33">
        <ns0:v>CONNFLY</ns0:v>
      </ns0:c>
      <ns0:c r="J33" t="str" s="33">
        <ns0:v>DS1021</ns0:v>
      </ns0:c>
      <ns0:c r="K33" t="str" s="34">
        <ns0:f>B33&amp;" "&amp;D33&amp;" "&amp;J33</ns0:f>
        <ns0:v>Разъём 1x30, 2.54 мм DS1021</ns0:v>
      </ns0:c>
      <ns0:c r="L33" t="str" s="36">
        <ns0:v>XP_30</ns0:v>
      </ns0:c>
      <ns0:c r="M33" t="str" s="36">
        <ns0:v>Symbols\MY_LIB_Connectors.SchLib</ns0:v>
      </ns0:c>
      <ns0:c r="N33" t="str" s="36">
        <ns0:v>CONNFLY_DS1021_1X30</ns0:v>
      </ns0:c>
      <ns0:c r="O33" t="str" s="36">
        <ns0:v>Footprints\MY_LIB_Connectors.PcbLib</ns0:v>
      </ns0:c>
      <ns0:c r="P33" t="str" s="33">
        <ns0:v>Штыревой, прямой;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3" s="33"/>
      <ns0:c r="R33" t="str" s="34">
        <ns0:f>D33</ns0:f>
        <ns0:v>1x30, 2.54 мм</ns0:v>
      </ns0:c>
      <ns0:c r="S33" t="str" s="34">
        <ns0:f>K33</ns0:f>
        <ns0:v>Разъём 1x30, 2.54 мм DS1021</ns0:v>
      </ns0:c>
      <ns0:c r="T33" t="str" s="33">
        <ns0:v>C:\Users\Nomatin\Documents\Altium\MY_LIB\MY_LIB\Datasheets\CONNFLY_DS1021.pdf</ns0:v>
      </ns0:c>
      <ns0:c r="U33" s="33"/>
      <ns0:c r="V33" t="str" s="33">
        <ns0:v>Даташит — локальный</ns0:v>
      </ns0:c>
      <ns0:c r="W33" t="str" s="33">
        <ns0:v>C:\Users\Nomatin\Documents\Altium\MY_LIB\MY_LIB\Datasheets\CONNFLY_DS1021.pdf</ns0:v>
      </ns0:c>
      <ns0:c r="X33" t="str" s="33">
        <ns0:v>Даташит — производитель</ns0:v>
      </ns0:c>
      <ns0:c r="Y33" t="str" s="33">
        <ns0:v>https://en.connfly.com/static/upload/file/pdf/DS1021.pdf</ns0:v>
      </ns0:c>
      <ns0:c r="Z33" t="str" s="33">
        <ns0:v>C:\Users\Nomatin\Documents\Altium\MY_LIB\MY_LIB\Datasheets\CONNFLY_DS1021.pdf</ns0:v>
      </ns0:c>
    </ns0:row>
    <ns0:row xmlns:ns0="http://schemas.openxmlformats.org/spreadsheetml/2006/main" r="34" ht="85" customHeight="1">
      <ns0:c r="A34" t="str" s="33">
        <ns0:v>XP0031</ns0:v>
      </ns0:c>
      <ns0:c r="B34" t="str" s="33">
        <ns0:v>Разъём</ns0:v>
      </ns0:c>
      <ns0:c r="C34" t="str" s="33">
        <ns0:v>1x31, 2.54 мм</ns0:v>
      </ns0:c>
      <ns0:c r="D34" t="str" s="34">
        <ns0:f>C34</ns0:f>
        <ns0:v>1x31, 2.54 мм</ns0:v>
      </ns0:c>
      <ns0:c r="E34" s="33"/>
      <ns0:c r="F34" s="33"/>
      <ns0:c r="G34" s="33"/>
      <ns0:c r="H34" t="str" s="35">
        <ns0:v>1x31, P2.54, THT, прямой</ns0:v>
      </ns0:c>
      <ns0:c r="I34" t="str" s="33">
        <ns0:v>CONNFLY</ns0:v>
      </ns0:c>
      <ns0:c r="J34" t="str" s="33">
        <ns0:v>DS1021</ns0:v>
      </ns0:c>
      <ns0:c r="K34" t="str" s="34">
        <ns0:f>B34&amp;" "&amp;D34&amp;" "&amp;J34</ns0:f>
        <ns0:v>Разъём 1x31, 2.54 мм DS1021</ns0:v>
      </ns0:c>
      <ns0:c r="L34" t="str" s="36">
        <ns0:v>XP_31</ns0:v>
      </ns0:c>
      <ns0:c r="M34" t="str" s="36">
        <ns0:v>Symbols\MY_LIB_Connectors.SchLib</ns0:v>
      </ns0:c>
      <ns0:c r="N34" t="str" s="36">
        <ns0:v>CONNFLY_DS1021_1X31</ns0:v>
      </ns0:c>
      <ns0:c r="O34" t="str" s="36">
        <ns0:v>Footprints\MY_LIB_Connectors.PcbLib</ns0:v>
      </ns0:c>
      <ns0:c r="P34" t="str" s="33">
        <ns0:v>Штыревой, прямой; 31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4" s="33"/>
      <ns0:c r="R34" t="str" s="34">
        <ns0:f>D34</ns0:f>
        <ns0:v>1x31, 2.54 мм</ns0:v>
      </ns0:c>
      <ns0:c r="S34" t="str" s="34">
        <ns0:f>K34</ns0:f>
        <ns0:v>Разъём 1x31, 2.54 мм DS1021</ns0:v>
      </ns0:c>
      <ns0:c r="T34" t="str" s="33">
        <ns0:v>C:\Users\Nomatin\Documents\Altium\MY_LIB\MY_LIB\Datasheets\CONNFLY_DS1021.pdf</ns0:v>
      </ns0:c>
      <ns0:c r="U34" s="33"/>
      <ns0:c r="V34" t="str" s="33">
        <ns0:v>Даташит — локальный</ns0:v>
      </ns0:c>
      <ns0:c r="W34" t="str" s="33">
        <ns0:v>C:\Users\Nomatin\Documents\Altium\MY_LIB\MY_LIB\Datasheets\CONNFLY_DS1021.pdf</ns0:v>
      </ns0:c>
      <ns0:c r="X34" t="str" s="33">
        <ns0:v>Даташит — производитель</ns0:v>
      </ns0:c>
      <ns0:c r="Y34" t="str" s="33">
        <ns0:v>https://en.connfly.com/static/upload/file/pdf/DS1021.pdf</ns0:v>
      </ns0:c>
      <ns0:c r="Z34" t="str" s="33">
        <ns0:v>C:\Users\Nomatin\Documents\Altium\MY_LIB\MY_LIB\Datasheets\CONNFLY_DS1021.pdf</ns0:v>
      </ns0:c>
    </ns0:row>
    <ns0:row xmlns:ns0="http://schemas.openxmlformats.org/spreadsheetml/2006/main" r="35" ht="85" customHeight="1">
      <ns0:c r="A35" t="str" s="33">
        <ns0:v>XP0032</ns0:v>
      </ns0:c>
      <ns0:c r="B35" t="str" s="33">
        <ns0:v>Разъём</ns0:v>
      </ns0:c>
      <ns0:c r="C35" t="str" s="33">
        <ns0:v>1x32, 2.54 мм</ns0:v>
      </ns0:c>
      <ns0:c r="D35" t="str" s="34">
        <ns0:f>C35</ns0:f>
        <ns0:v>1x32, 2.54 мм</ns0:v>
      </ns0:c>
      <ns0:c r="E35" s="33"/>
      <ns0:c r="F35" s="33"/>
      <ns0:c r="G35" s="33"/>
      <ns0:c r="H35" t="str" s="35">
        <ns0:v>1x32, P2.54, THT, прямой</ns0:v>
      </ns0:c>
      <ns0:c r="I35" t="str" s="33">
        <ns0:v>CONNFLY</ns0:v>
      </ns0:c>
      <ns0:c r="J35" t="str" s="33">
        <ns0:v>DS1021</ns0:v>
      </ns0:c>
      <ns0:c r="K35" t="str" s="34">
        <ns0:f>B35&amp;" "&amp;D35&amp;" "&amp;J35</ns0:f>
        <ns0:v>Разъём 1x32, 2.54 мм DS1021</ns0:v>
      </ns0:c>
      <ns0:c r="L35" t="str" s="36">
        <ns0:v>XP_32</ns0:v>
      </ns0:c>
      <ns0:c r="M35" t="str" s="36">
        <ns0:v>Symbols\MY_LIB_Connectors.SchLib</ns0:v>
      </ns0:c>
      <ns0:c r="N35" t="str" s="36">
        <ns0:v>CONNFLY_DS1021_1X32</ns0:v>
      </ns0:c>
      <ns0:c r="O35" t="str" s="36">
        <ns0:v>Footprints\MY_LIB_Connectors.PcbLib</ns0:v>
      </ns0:c>
      <ns0:c r="P35" t="str" s="33">
        <ns0:v>Штыревой, прямой;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5" s="33"/>
      <ns0:c r="R35" t="str" s="34">
        <ns0:f>D35</ns0:f>
        <ns0:v>1x32, 2.54 мм</ns0:v>
      </ns0:c>
      <ns0:c r="S35" t="str" s="34">
        <ns0:f>K35</ns0:f>
        <ns0:v>Разъём 1x32, 2.54 мм DS1021</ns0:v>
      </ns0:c>
      <ns0:c r="T35" t="str" s="33">
        <ns0:v>C:\Users\Nomatin\Documents\Altium\MY_LIB\MY_LIB\Datasheets\CONNFLY_DS1021.pdf</ns0:v>
      </ns0:c>
      <ns0:c r="U35" s="33"/>
      <ns0:c r="V35" t="str" s="33">
        <ns0:v>Даташит — локальный</ns0:v>
      </ns0:c>
      <ns0:c r="W35" t="str" s="33">
        <ns0:v>C:\Users\Nomatin\Documents\Altium\MY_LIB\MY_LIB\Datasheets\CONNFLY_DS1021.pdf</ns0:v>
      </ns0:c>
      <ns0:c r="X35" t="str" s="33">
        <ns0:v>Даташит — производитель</ns0:v>
      </ns0:c>
      <ns0:c r="Y35" t="str" s="33">
        <ns0:v>https://en.connfly.com/static/upload/file/pdf/DS1021.pdf</ns0:v>
      </ns0:c>
      <ns0:c r="Z35" t="str" s="33">
        <ns0:v>C:\Users\Nomatin\Documents\Altium\MY_LIB\MY_LIB\Datasheets\CONNFLY_DS1021.pdf</ns0:v>
      </ns0:c>
    </ns0:row>
    <ns0:row xmlns:ns0="http://schemas.openxmlformats.org/spreadsheetml/2006/main" r="36" ht="85" customHeight="1">
      <ns0:c r="A36" t="str" s="33">
        <ns0:v>XP0033</ns0:v>
      </ns0:c>
      <ns0:c r="B36" t="str" s="33">
        <ns0:v>Разъём</ns0:v>
      </ns0:c>
      <ns0:c r="C36" t="str" s="33">
        <ns0:v>1x33, 2.54 мм</ns0:v>
      </ns0:c>
      <ns0:c r="D36" t="str" s="34">
        <ns0:f>C36</ns0:f>
        <ns0:v>1x33, 2.54 мм</ns0:v>
      </ns0:c>
      <ns0:c r="E36" s="33"/>
      <ns0:c r="F36" s="33"/>
      <ns0:c r="G36" s="33"/>
      <ns0:c r="H36" t="str" s="35">
        <ns0:v>1x33, P2.54, THT, прямой</ns0:v>
      </ns0:c>
      <ns0:c r="I36" t="str" s="33">
        <ns0:v>CONNFLY</ns0:v>
      </ns0:c>
      <ns0:c r="J36" t="str" s="33">
        <ns0:v>DS1021</ns0:v>
      </ns0:c>
      <ns0:c r="K36" t="str" s="34">
        <ns0:f>B36&amp;" "&amp;D36&amp;" "&amp;J36</ns0:f>
        <ns0:v>Разъём 1x33, 2.54 мм DS1021</ns0:v>
      </ns0:c>
      <ns0:c r="L36" t="str" s="36">
        <ns0:v>XP_33</ns0:v>
      </ns0:c>
      <ns0:c r="M36" t="str" s="36">
        <ns0:v>Symbols\MY_LIB_Connectors.SchLib</ns0:v>
      </ns0:c>
      <ns0:c r="N36" t="str" s="36">
        <ns0:v>CONNFLY_DS1021_1X33</ns0:v>
      </ns0:c>
      <ns0:c r="O36" t="str" s="36">
        <ns0:v>Footprints\MY_LIB_Connectors.PcbLib</ns0:v>
      </ns0:c>
      <ns0:c r="P36" t="str" s="33">
        <ns0:v>Штыревой, прямой; 33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6" s="33"/>
      <ns0:c r="R36" t="str" s="34">
        <ns0:f>D36</ns0:f>
        <ns0:v>1x33, 2.54 мм</ns0:v>
      </ns0:c>
      <ns0:c r="S36" t="str" s="34">
        <ns0:f>K36</ns0:f>
        <ns0:v>Разъём 1x33, 2.54 мм DS1021</ns0:v>
      </ns0:c>
      <ns0:c r="T36" t="str" s="33">
        <ns0:v>C:\Users\Nomatin\Documents\Altium\MY_LIB\MY_LIB\Datasheets\CONNFLY_DS1021.pdf</ns0:v>
      </ns0:c>
      <ns0:c r="U36" s="33"/>
      <ns0:c r="V36" t="str" s="33">
        <ns0:v>Даташит — локальный</ns0:v>
      </ns0:c>
      <ns0:c r="W36" t="str" s="33">
        <ns0:v>C:\Users\Nomatin\Documents\Altium\MY_LIB\MY_LIB\Datasheets\CONNFLY_DS1021.pdf</ns0:v>
      </ns0:c>
      <ns0:c r="X36" t="str" s="33">
        <ns0:v>Даташит — производитель</ns0:v>
      </ns0:c>
      <ns0:c r="Y36" t="str" s="33">
        <ns0:v>https://en.connfly.com/static/upload/file/pdf/DS1021.pdf</ns0:v>
      </ns0:c>
      <ns0:c r="Z36" t="str" s="33">
        <ns0:v>C:\Users\Nomatin\Documents\Altium\MY_LIB\MY_LIB\Datasheets\CONNFLY_DS1021.pdf</ns0:v>
      </ns0:c>
    </ns0:row>
    <ns0:row xmlns:ns0="http://schemas.openxmlformats.org/spreadsheetml/2006/main" r="37" ht="85" customHeight="1">
      <ns0:c r="A37" t="str" s="33">
        <ns0:v>XP0034</ns0:v>
      </ns0:c>
      <ns0:c r="B37" t="str" s="33">
        <ns0:v>Разъём</ns0:v>
      </ns0:c>
      <ns0:c r="C37" t="str" s="33">
        <ns0:v>1x34, 2.54 мм</ns0:v>
      </ns0:c>
      <ns0:c r="D37" t="str" s="34">
        <ns0:f>C37</ns0:f>
        <ns0:v>1x34, 2.54 мм</ns0:v>
      </ns0:c>
      <ns0:c r="E37" s="33"/>
      <ns0:c r="F37" s="33"/>
      <ns0:c r="G37" s="33"/>
      <ns0:c r="H37" t="str" s="35">
        <ns0:v>1x34, P2.54, THT, прямой</ns0:v>
      </ns0:c>
      <ns0:c r="I37" t="str" s="33">
        <ns0:v>CONNFLY</ns0:v>
      </ns0:c>
      <ns0:c r="J37" t="str" s="33">
        <ns0:v>DS1021</ns0:v>
      </ns0:c>
      <ns0:c r="K37" t="str" s="34">
        <ns0:f>B37&amp;" "&amp;D37&amp;" "&amp;J37</ns0:f>
        <ns0:v>Разъём 1x34, 2.54 мм DS1021</ns0:v>
      </ns0:c>
      <ns0:c r="L37" t="str" s="36">
        <ns0:v>XP_34</ns0:v>
      </ns0:c>
      <ns0:c r="M37" t="str" s="36">
        <ns0:v>Symbols\MY_LIB_Connectors.SchLib</ns0:v>
      </ns0:c>
      <ns0:c r="N37" t="str" s="36">
        <ns0:v>CONNFLY_DS1021_1X34</ns0:v>
      </ns0:c>
      <ns0:c r="O37" t="str" s="36">
        <ns0:v>Footprints\MY_LIB_Connectors.PcbLib</ns0:v>
      </ns0:c>
      <ns0:c r="P37" t="str" s="33">
        <ns0:v>Штыревой, прямой;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7" s="33"/>
      <ns0:c r="R37" t="str" s="34">
        <ns0:f>D37</ns0:f>
        <ns0:v>1x34, 2.54 мм</ns0:v>
      </ns0:c>
      <ns0:c r="S37" t="str" s="34">
        <ns0:f>K37</ns0:f>
        <ns0:v>Разъём 1x34, 2.54 мм DS1021</ns0:v>
      </ns0:c>
      <ns0:c r="T37" t="str" s="33">
        <ns0:v>C:\Users\Nomatin\Documents\Altium\MY_LIB\MY_LIB\Datasheets\CONNFLY_DS1021.pdf</ns0:v>
      </ns0:c>
      <ns0:c r="U37" s="33"/>
      <ns0:c r="V37" t="str" s="33">
        <ns0:v>Даташит — локальный</ns0:v>
      </ns0:c>
      <ns0:c r="W37" t="str" s="33">
        <ns0:v>C:\Users\Nomatin\Documents\Altium\MY_LIB\MY_LIB\Datasheets\CONNFLY_DS1021.pdf</ns0:v>
      </ns0:c>
      <ns0:c r="X37" t="str" s="33">
        <ns0:v>Даташит — производитель</ns0:v>
      </ns0:c>
      <ns0:c r="Y37" t="str" s="33">
        <ns0:v>https://en.connfly.com/static/upload/file/pdf/DS1021.pdf</ns0:v>
      </ns0:c>
      <ns0:c r="Z37" t="str" s="33">
        <ns0:v>C:\Users\Nomatin\Documents\Altium\MY_LIB\MY_LIB\Datasheets\CONNFLY_DS1021.pdf</ns0:v>
      </ns0:c>
    </ns0:row>
    <ns0:row xmlns:ns0="http://schemas.openxmlformats.org/spreadsheetml/2006/main" r="38" ht="85" customHeight="1">
      <ns0:c r="A38" t="str" s="33">
        <ns0:v>XP0035</ns0:v>
      </ns0:c>
      <ns0:c r="B38" t="str" s="33">
        <ns0:v>Разъём</ns0:v>
      </ns0:c>
      <ns0:c r="C38" t="str" s="33">
        <ns0:v>1x35, 2.54 мм</ns0:v>
      </ns0:c>
      <ns0:c r="D38" t="str" s="34">
        <ns0:f>C38</ns0:f>
        <ns0:v>1x35, 2.54 мм</ns0:v>
      </ns0:c>
      <ns0:c r="E38" s="33"/>
      <ns0:c r="F38" s="33"/>
      <ns0:c r="G38" s="33"/>
      <ns0:c r="H38" t="str" s="35">
        <ns0:v>1x35, P2.54, THT, прямой</ns0:v>
      </ns0:c>
      <ns0:c r="I38" t="str" s="33">
        <ns0:v>CONNFLY</ns0:v>
      </ns0:c>
      <ns0:c r="J38" t="str" s="33">
        <ns0:v>DS1021</ns0:v>
      </ns0:c>
      <ns0:c r="K38" t="str" s="34">
        <ns0:f>B38&amp;" "&amp;D38&amp;" "&amp;J38</ns0:f>
        <ns0:v>Разъём 1x35, 2.54 мм DS1021</ns0:v>
      </ns0:c>
      <ns0:c r="L38" t="str" s="36">
        <ns0:v>XP_35</ns0:v>
      </ns0:c>
      <ns0:c r="M38" t="str" s="36">
        <ns0:v>Symbols\MY_LIB_Connectors.SchLib</ns0:v>
      </ns0:c>
      <ns0:c r="N38" t="str" s="36">
        <ns0:v>CONNFLY_DS1021_1X35</ns0:v>
      </ns0:c>
      <ns0:c r="O38" t="str" s="36">
        <ns0:v>Footprints\MY_LIB_Connectors.PcbLib</ns0:v>
      </ns0:c>
      <ns0:c r="P38" t="str" s="33">
        <ns0:v>Штыревой, прямой; 35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8" s="33"/>
      <ns0:c r="R38" t="str" s="34">
        <ns0:f>D38</ns0:f>
        <ns0:v>1x35, 2.54 мм</ns0:v>
      </ns0:c>
      <ns0:c r="S38" t="str" s="34">
        <ns0:f>K38</ns0:f>
        <ns0:v>Разъём 1x35, 2.54 мм DS1021</ns0:v>
      </ns0:c>
      <ns0:c r="T38" t="str" s="33">
        <ns0:v>C:\Users\Nomatin\Documents\Altium\MY_LIB\MY_LIB\Datasheets\CONNFLY_DS1021.pdf</ns0:v>
      </ns0:c>
      <ns0:c r="U38" s="33"/>
      <ns0:c r="V38" t="str" s="33">
        <ns0:v>Даташит — локальный</ns0:v>
      </ns0:c>
      <ns0:c r="W38" t="str" s="33">
        <ns0:v>C:\Users\Nomatin\Documents\Altium\MY_LIB\MY_LIB\Datasheets\CONNFLY_DS1021.pdf</ns0:v>
      </ns0:c>
      <ns0:c r="X38" t="str" s="33">
        <ns0:v>Даташит — производитель</ns0:v>
      </ns0:c>
      <ns0:c r="Y38" t="str" s="33">
        <ns0:v>https://en.connfly.com/static/upload/file/pdf/DS1021.pdf</ns0:v>
      </ns0:c>
      <ns0:c r="Z38" t="str" s="33">
        <ns0:v>C:\Users\Nomatin\Documents\Altium\MY_LIB\MY_LIB\Datasheets\CONNFLY_DS1021.pdf</ns0:v>
      </ns0:c>
    </ns0:row>
    <ns0:row xmlns:ns0="http://schemas.openxmlformats.org/spreadsheetml/2006/main" r="39" ht="85" customHeight="1">
      <ns0:c r="A39" t="str" s="33">
        <ns0:v>XP0036</ns0:v>
      </ns0:c>
      <ns0:c r="B39" t="str" s="33">
        <ns0:v>Разъём</ns0:v>
      </ns0:c>
      <ns0:c r="C39" t="str" s="33">
        <ns0:v>1x36, 2.54 мм</ns0:v>
      </ns0:c>
      <ns0:c r="D39" t="str" s="34">
        <ns0:f>C39</ns0:f>
        <ns0:v>1x36, 2.54 мм</ns0:v>
      </ns0:c>
      <ns0:c r="E39" s="33"/>
      <ns0:c r="F39" s="33"/>
      <ns0:c r="G39" s="33"/>
      <ns0:c r="H39" t="str" s="35">
        <ns0:v>1x36, P2.54, THT, прямой</ns0:v>
      </ns0:c>
      <ns0:c r="I39" t="str" s="33">
        <ns0:v>CONNFLY</ns0:v>
      </ns0:c>
      <ns0:c r="J39" t="str" s="33">
        <ns0:v>DS1021</ns0:v>
      </ns0:c>
      <ns0:c r="K39" t="str" s="34">
        <ns0:f>B39&amp;" "&amp;D39&amp;" "&amp;J39</ns0:f>
        <ns0:v>Разъём 1x36, 2.54 мм DS1021</ns0:v>
      </ns0:c>
      <ns0:c r="L39" t="str" s="36">
        <ns0:v>XP_36</ns0:v>
      </ns0:c>
      <ns0:c r="M39" t="str" s="36">
        <ns0:v>Symbols\MY_LIB_Connectors.SchLib</ns0:v>
      </ns0:c>
      <ns0:c r="N39" t="str" s="36">
        <ns0:v>CONNFLY_DS1021_1X36</ns0:v>
      </ns0:c>
      <ns0:c r="O39" t="str" s="36">
        <ns0:v>Footprints\MY_LIB_Connectors.PcbLib</ns0:v>
      </ns0:c>
      <ns0:c r="P39" t="str" s="33">
        <ns0:v>Штыревой, прямой;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39" s="33"/>
      <ns0:c r="R39" t="str" s="34">
        <ns0:f>D39</ns0:f>
        <ns0:v>1x36, 2.54 мм</ns0:v>
      </ns0:c>
      <ns0:c r="S39" t="str" s="34">
        <ns0:f>K39</ns0:f>
        <ns0:v>Разъём 1x36, 2.54 мм DS1021</ns0:v>
      </ns0:c>
      <ns0:c r="T39" t="str" s="33">
        <ns0:v>C:\Users\Nomatin\Documents\Altium\MY_LIB\MY_LIB\Datasheets\CONNFLY_DS1021.pdf</ns0:v>
      </ns0:c>
      <ns0:c r="U39" s="33"/>
      <ns0:c r="V39" t="str" s="33">
        <ns0:v>Даташит — локальный</ns0:v>
      </ns0:c>
      <ns0:c r="W39" t="str" s="33">
        <ns0:v>C:\Users\Nomatin\Documents\Altium\MY_LIB\MY_LIB\Datasheets\CONNFLY_DS1021.pdf</ns0:v>
      </ns0:c>
      <ns0:c r="X39" t="str" s="33">
        <ns0:v>Даташит — производитель</ns0:v>
      </ns0:c>
      <ns0:c r="Y39" t="str" s="33">
        <ns0:v>https://en.connfly.com/static/upload/file/pdf/DS1021.pdf</ns0:v>
      </ns0:c>
      <ns0:c r="Z39" t="str" s="33">
        <ns0:v>C:\Users\Nomatin\Documents\Altium\MY_LIB\MY_LIB\Datasheets\CONNFLY_DS1021.pdf</ns0:v>
      </ns0:c>
    </ns0:row>
    <ns0:row xmlns:ns0="http://schemas.openxmlformats.org/spreadsheetml/2006/main" r="40" ht="85" customHeight="1">
      <ns0:c r="A40" t="str" s="33">
        <ns0:v>XP0037</ns0:v>
      </ns0:c>
      <ns0:c r="B40" t="str" s="33">
        <ns0:v>Разъём</ns0:v>
      </ns0:c>
      <ns0:c r="C40" t="str" s="33">
        <ns0:v>1x37, 2.54 мм</ns0:v>
      </ns0:c>
      <ns0:c r="D40" t="str" s="34">
        <ns0:f>C40</ns0:f>
        <ns0:v>1x37, 2.54 мм</ns0:v>
      </ns0:c>
      <ns0:c r="E40" s="33"/>
      <ns0:c r="F40" s="33"/>
      <ns0:c r="G40" s="33"/>
      <ns0:c r="H40" t="str" s="35">
        <ns0:v>1x37, P2.54, THT, прямой</ns0:v>
      </ns0:c>
      <ns0:c r="I40" t="str" s="33">
        <ns0:v>CONNFLY</ns0:v>
      </ns0:c>
      <ns0:c r="J40" t="str" s="33">
        <ns0:v>DS1021</ns0:v>
      </ns0:c>
      <ns0:c r="K40" t="str" s="34">
        <ns0:f>B40&amp;" "&amp;D40&amp;" "&amp;J40</ns0:f>
        <ns0:v>Разъём 1x37, 2.54 мм DS1021</ns0:v>
      </ns0:c>
      <ns0:c r="L40" t="str" s="36">
        <ns0:v>XP_37</ns0:v>
      </ns0:c>
      <ns0:c r="M40" t="str" s="36">
        <ns0:v>Symbols\MY_LIB_Connectors.SchLib</ns0:v>
      </ns0:c>
      <ns0:c r="N40" t="str" s="36">
        <ns0:v>CONNFLY_DS1021_1X37</ns0:v>
      </ns0:c>
      <ns0:c r="O40" t="str" s="36">
        <ns0:v>Footprints\MY_LIB_Connectors.PcbLib</ns0:v>
      </ns0:c>
      <ns0:c r="P40" t="str" s="33">
        <ns0:v>Штыревой, прямой; 37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0" s="33"/>
      <ns0:c r="R40" t="str" s="34">
        <ns0:f>D40</ns0:f>
        <ns0:v>1x37, 2.54 мм</ns0:v>
      </ns0:c>
      <ns0:c r="S40" t="str" s="34">
        <ns0:f>K40</ns0:f>
        <ns0:v>Разъём 1x37, 2.54 мм DS1021</ns0:v>
      </ns0:c>
      <ns0:c r="T40" t="str" s="33">
        <ns0:v>C:\Users\Nomatin\Documents\Altium\MY_LIB\MY_LIB\Datasheets\CONNFLY_DS1021.pdf</ns0:v>
      </ns0:c>
      <ns0:c r="U40" s="33"/>
      <ns0:c r="V40" t="str" s="33">
        <ns0:v>Даташит — локальный</ns0:v>
      </ns0:c>
      <ns0:c r="W40" t="str" s="33">
        <ns0:v>C:\Users\Nomatin\Documents\Altium\MY_LIB\MY_LIB\Datasheets\CONNFLY_DS1021.pdf</ns0:v>
      </ns0:c>
      <ns0:c r="X40" t="str" s="33">
        <ns0:v>Даташит — производитель</ns0:v>
      </ns0:c>
      <ns0:c r="Y40" t="str" s="33">
        <ns0:v>https://en.connfly.com/static/upload/file/pdf/DS1021.pdf</ns0:v>
      </ns0:c>
      <ns0:c r="Z40" t="str" s="33">
        <ns0:v>C:\Users\Nomatin\Documents\Altium\MY_LIB\MY_LIB\Datasheets\CONNFLY_DS1021.pdf</ns0:v>
      </ns0:c>
    </ns0:row>
    <ns0:row xmlns:ns0="http://schemas.openxmlformats.org/spreadsheetml/2006/main" r="41" ht="85" customHeight="1">
      <ns0:c r="A41" t="str" s="33">
        <ns0:v>XP0038</ns0:v>
      </ns0:c>
      <ns0:c r="B41" t="str" s="33">
        <ns0:v>Разъём</ns0:v>
      </ns0:c>
      <ns0:c r="C41" t="str" s="33">
        <ns0:v>1x38, 2.54 мм</ns0:v>
      </ns0:c>
      <ns0:c r="D41" t="str" s="34">
        <ns0:f>C41</ns0:f>
        <ns0:v>1x38, 2.54 мм</ns0:v>
      </ns0:c>
      <ns0:c r="E41" s="33"/>
      <ns0:c r="F41" s="33"/>
      <ns0:c r="G41" s="33"/>
      <ns0:c r="H41" t="str" s="35">
        <ns0:v>1x38, P2.54, THT, прямой</ns0:v>
      </ns0:c>
      <ns0:c r="I41" t="str" s="33">
        <ns0:v>CONNFLY</ns0:v>
      </ns0:c>
      <ns0:c r="J41" t="str" s="33">
        <ns0:v>DS1021</ns0:v>
      </ns0:c>
      <ns0:c r="K41" t="str" s="34">
        <ns0:f>B41&amp;" "&amp;D41&amp;" "&amp;J41</ns0:f>
        <ns0:v>Разъём 1x38, 2.54 мм DS1021</ns0:v>
      </ns0:c>
      <ns0:c r="L41" t="str" s="36">
        <ns0:v>XP_38</ns0:v>
      </ns0:c>
      <ns0:c r="M41" t="str" s="36">
        <ns0:v>Symbols\MY_LIB_Connectors.SchLib</ns0:v>
      </ns0:c>
      <ns0:c r="N41" t="str" s="36">
        <ns0:v>CONNFLY_DS1021_1X38</ns0:v>
      </ns0:c>
      <ns0:c r="O41" t="str" s="36">
        <ns0:v>Footprints\MY_LIB_Connectors.PcbLib</ns0:v>
      </ns0:c>
      <ns0:c r="P41" t="str" s="33">
        <ns0:v>Штыревой, прямой;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1" s="33"/>
      <ns0:c r="R41" t="str" s="34">
        <ns0:f>D41</ns0:f>
        <ns0:v>1x38, 2.54 мм</ns0:v>
      </ns0:c>
      <ns0:c r="S41" t="str" s="34">
        <ns0:f>K41</ns0:f>
        <ns0:v>Разъём 1x38, 2.54 мм DS1021</ns0:v>
      </ns0:c>
      <ns0:c r="T41" t="str" s="33">
        <ns0:v>C:\Users\Nomatin\Documents\Altium\MY_LIB\MY_LIB\Datasheets\CONNFLY_DS1021.pdf</ns0:v>
      </ns0:c>
      <ns0:c r="U41" s="33"/>
      <ns0:c r="V41" t="str" s="33">
        <ns0:v>Даташит — локальный</ns0:v>
      </ns0:c>
      <ns0:c r="W41" t="str" s="33">
        <ns0:v>C:\Users\Nomatin\Documents\Altium\MY_LIB\MY_LIB\Datasheets\CONNFLY_DS1021.pdf</ns0:v>
      </ns0:c>
      <ns0:c r="X41" t="str" s="33">
        <ns0:v>Даташит — производитель</ns0:v>
      </ns0:c>
      <ns0:c r="Y41" t="str" s="33">
        <ns0:v>https://en.connfly.com/static/upload/file/pdf/DS1021.pdf</ns0:v>
      </ns0:c>
      <ns0:c r="Z41" t="str" s="33">
        <ns0:v>C:\Users\Nomatin\Documents\Altium\MY_LIB\MY_LIB\Datasheets\CONNFLY_DS1021.pdf</ns0:v>
      </ns0:c>
    </ns0:row>
    <ns0:row xmlns:ns0="http://schemas.openxmlformats.org/spreadsheetml/2006/main" r="42" ht="85" customHeight="1">
      <ns0:c r="A42" t="str" s="33">
        <ns0:v>XP0039</ns0:v>
      </ns0:c>
      <ns0:c r="B42" t="str" s="33">
        <ns0:v>Разъём</ns0:v>
      </ns0:c>
      <ns0:c r="C42" t="str" s="33">
        <ns0:v>1x39, 2.54 мм</ns0:v>
      </ns0:c>
      <ns0:c r="D42" t="str" s="34">
        <ns0:f>C42</ns0:f>
        <ns0:v>1x39, 2.54 мм</ns0:v>
      </ns0:c>
      <ns0:c r="E42" s="33"/>
      <ns0:c r="F42" s="33"/>
      <ns0:c r="G42" s="33"/>
      <ns0:c r="H42" t="str" s="35">
        <ns0:v>1x39, P2.54, THT, прямой</ns0:v>
      </ns0:c>
      <ns0:c r="I42" t="str" s="33">
        <ns0:v>CONNFLY</ns0:v>
      </ns0:c>
      <ns0:c r="J42" t="str" s="33">
        <ns0:v>DS1021</ns0:v>
      </ns0:c>
      <ns0:c r="K42" t="str" s="34">
        <ns0:f>B42&amp;" "&amp;D42&amp;" "&amp;J42</ns0:f>
        <ns0:v>Разъём 1x39, 2.54 мм DS1021</ns0:v>
      </ns0:c>
      <ns0:c r="L42" t="str" s="36">
        <ns0:v>XP_39</ns0:v>
      </ns0:c>
      <ns0:c r="M42" t="str" s="36">
        <ns0:v>Symbols\MY_LIB_Connectors.SchLib</ns0:v>
      </ns0:c>
      <ns0:c r="N42" t="str" s="36">
        <ns0:v>CONNFLY_DS1021_1X39</ns0:v>
      </ns0:c>
      <ns0:c r="O42" t="str" s="36">
        <ns0:v>Footprints\MY_LIB_Connectors.PcbLib</ns0:v>
      </ns0:c>
      <ns0:c r="P42" t="str" s="33">
        <ns0:v>Штыревой, прямой; 39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2" s="33"/>
      <ns0:c r="R42" t="str" s="34">
        <ns0:f>D42</ns0:f>
        <ns0:v>1x39, 2.54 мм</ns0:v>
      </ns0:c>
      <ns0:c r="S42" t="str" s="34">
        <ns0:f>K42</ns0:f>
        <ns0:v>Разъём 1x39, 2.54 мм DS1021</ns0:v>
      </ns0:c>
      <ns0:c r="T42" t="str" s="33">
        <ns0:v>C:\Users\Nomatin\Documents\Altium\MY_LIB\MY_LIB\Datasheets\CONNFLY_DS1021.pdf</ns0:v>
      </ns0:c>
      <ns0:c r="U42" s="33"/>
      <ns0:c r="V42" t="str" s="33">
        <ns0:v>Даташит — локальный</ns0:v>
      </ns0:c>
      <ns0:c r="W42" t="str" s="33">
        <ns0:v>C:\Users\Nomatin\Documents\Altium\MY_LIB\MY_LIB\Datasheets\CONNFLY_DS1021.pdf</ns0:v>
      </ns0:c>
      <ns0:c r="X42" t="str" s="33">
        <ns0:v>Даташит — производитель</ns0:v>
      </ns0:c>
      <ns0:c r="Y42" t="str" s="33">
        <ns0:v>https://en.connfly.com/static/upload/file/pdf/DS1021.pdf</ns0:v>
      </ns0:c>
      <ns0:c r="Z42" t="str" s="33">
        <ns0:v>C:\Users\Nomatin\Documents\Altium\MY_LIB\MY_LIB\Datasheets\CONNFLY_DS1021.pdf</ns0:v>
      </ns0:c>
    </ns0:row>
    <ns0:row xmlns:ns0="http://schemas.openxmlformats.org/spreadsheetml/2006/main" r="43" ht="85" customHeight="1">
      <ns0:c r="A43" t="str" s="33">
        <ns0:v>XP0040</ns0:v>
      </ns0:c>
      <ns0:c r="B43" t="str" s="33">
        <ns0:v>Разъём</ns0:v>
      </ns0:c>
      <ns0:c r="C43" t="str" s="33">
        <ns0:v>1x40, 2.54 мм</ns0:v>
      </ns0:c>
      <ns0:c r="D43" t="str" s="34">
        <ns0:f>C43</ns0:f>
        <ns0:v>1x40, 2.54 мм</ns0:v>
      </ns0:c>
      <ns0:c r="E43" s="33"/>
      <ns0:c r="F43" s="33"/>
      <ns0:c r="G43" s="33"/>
      <ns0:c r="H43" t="str" s="35">
        <ns0:v>1x40, P2.54, THT, прямой</ns0:v>
      </ns0:c>
      <ns0:c r="I43" t="str" s="33">
        <ns0:v>CONNFLY</ns0:v>
      </ns0:c>
      <ns0:c r="J43" t="str" s="33">
        <ns0:v>DS1021</ns0:v>
      </ns0:c>
      <ns0:c r="K43" t="str" s="34">
        <ns0:f>B43&amp;" "&amp;D43&amp;" "&amp;J43</ns0:f>
        <ns0:v>Разъём 1x40, 2.54 мм DS1021</ns0:v>
      </ns0:c>
      <ns0:c r="L43" t="str" s="36">
        <ns0:v>XP_40</ns0:v>
      </ns0:c>
      <ns0:c r="M43" t="str" s="36">
        <ns0:v>Symbols\MY_LIB_Connectors.SchLib</ns0:v>
      </ns0:c>
      <ns0:c r="N43" t="str" s="36">
        <ns0:v>CONNFLY_DS1021_1X40</ns0:v>
      </ns0:c>
      <ns0:c r="O43" t="str" s="36">
        <ns0:v>Footprints\MY_LIB_Connectors.PcbLib</ns0:v>
      </ns0:c>
      <ns0:c r="P43" t="str" s="33">
        <ns0:v>Штыревой, прямой;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3" s="33"/>
      <ns0:c r="R43" t="str" s="34">
        <ns0:f>D43</ns0:f>
        <ns0:v>1x40, 2.54 мм</ns0:v>
      </ns0:c>
      <ns0:c r="S43" t="str" s="34">
        <ns0:f>K43</ns0:f>
        <ns0:v>Разъём 1x40, 2.54 мм DS1021</ns0:v>
      </ns0:c>
      <ns0:c r="T43" t="str" s="33">
        <ns0:v>C:\Users\Nomatin\Documents\Altium\MY_LIB\MY_LIB\Datasheets\CONNFLY_DS1021.pdf</ns0:v>
      </ns0:c>
      <ns0:c r="U43" s="33"/>
      <ns0:c r="V43" t="str" s="33">
        <ns0:v>Даташит — локальный</ns0:v>
      </ns0:c>
      <ns0:c r="W43" t="str" s="33">
        <ns0:v>C:\Users\Nomatin\Documents\Altium\MY_LIB\MY_LIB\Datasheets\CONNFLY_DS1021.pdf</ns0:v>
      </ns0:c>
      <ns0:c r="X43" t="str" s="33">
        <ns0:v>Даташит — производитель</ns0:v>
      </ns0:c>
      <ns0:c r="Y43" t="str" s="33">
        <ns0:v>https://en.connfly.com/static/upload/file/pdf/DS1021.pdf</ns0:v>
      </ns0:c>
      <ns0:c r="Z43" t="str" s="33">
        <ns0:v>C:\Users\Nomatin\Documents\Altium\MY_LIB\MY_LIB\Datasheets\CONNFLY_DS1021.pdf</ns0:v>
      </ns0:c>
    </ns0:row>
    <ns0:row xmlns:ns0="http://schemas.openxmlformats.org/spreadsheetml/2006/main" r="44" ht="85" customHeight="1">
      <ns0:c r="A44" t="str" s="33">
        <ns0:v>XP0041</ns0:v>
      </ns0:c>
      <ns0:c r="B44" t="str" s="33">
        <ns0:v>Разъём</ns0:v>
      </ns0:c>
      <ns0:c r="C44" t="str" s="33">
        <ns0:v>2x01, 2.54 мм</ns0:v>
      </ns0:c>
      <ns0:c r="D44" t="str" s="34">
        <ns0:f>C44</ns0:f>
        <ns0:v>2x01, 2.54 мм</ns0:v>
      </ns0:c>
      <ns0:c r="E44" s="33"/>
      <ns0:c r="F44" s="33"/>
      <ns0:c r="G44" s="33"/>
      <ns0:c r="H44" t="str" s="35">
        <ns0:v>2x01, P2.54, THT, прямой</ns0:v>
      </ns0:c>
      <ns0:c r="I44" t="str" s="33">
        <ns0:v>CONNFLY</ns0:v>
      </ns0:c>
      <ns0:c r="J44" t="str" s="33">
        <ns0:v>DS1021</ns0:v>
      </ns0:c>
      <ns0:c r="K44" t="str" s="34">
        <ns0:f>B44&amp;" "&amp;D44&amp;" "&amp;J44</ns0:f>
        <ns0:v>Разъём 2x01, 2.54 мм DS1021</ns0:v>
      </ns0:c>
      <ns0:c r="L44" t="str" s="36">
        <ns0:v>XP_2</ns0:v>
      </ns0:c>
      <ns0:c r="M44" t="str" s="36">
        <ns0:v>Symbols\MY_LIB_Connectors.SchLib</ns0:v>
      </ns0:c>
      <ns0:c r="N44" t="str" s="36">
        <ns0:v>CONNFLY_DS1021_2X01</ns0:v>
      </ns0:c>
      <ns0:c r="O44" t="str" s="36">
        <ns0:v>Footprints\MY_LIB_Connectors.PcbLib</ns0:v>
      </ns0:c>
      <ns0:c r="P44" t="str" s="33">
        <ns0:v>Штыревой, прямой; 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4" s="33"/>
      <ns0:c r="R44" t="str" s="34">
        <ns0:f>D44</ns0:f>
        <ns0:v>2x01, 2.54 мм</ns0:v>
      </ns0:c>
      <ns0:c r="S44" t="str" s="34">
        <ns0:f>K44</ns0:f>
        <ns0:v>Разъём 2x01, 2.54 мм DS1021</ns0:v>
      </ns0:c>
      <ns0:c r="T44" t="str" s="33">
        <ns0:v>C:\Users\Nomatin\Documents\Altium\MY_LIB\MY_LIB\Datasheets\CONNFLY_DS1021.pdf</ns0:v>
      </ns0:c>
      <ns0:c r="U44" s="33"/>
      <ns0:c r="V44" t="str" s="33">
        <ns0:v>Даташит — локальный</ns0:v>
      </ns0:c>
      <ns0:c r="W44" t="str" s="33">
        <ns0:v>C:\Users\Nomatin\Documents\Altium\MY_LIB\MY_LIB\Datasheets\CONNFLY_DS1021.pdf</ns0:v>
      </ns0:c>
      <ns0:c r="X44" t="str" s="33">
        <ns0:v>Даташит — производитель</ns0:v>
      </ns0:c>
      <ns0:c r="Y44" t="str" s="33">
        <ns0:v>https://en.connfly.com/static/upload/file/pdf/DS1021.pdf</ns0:v>
      </ns0:c>
      <ns0:c r="Z44" t="str" s="33">
        <ns0:v>C:\Users\Nomatin\Documents\Altium\MY_LIB\MY_LIB\Datasheets\CONNFLY_DS1021.pdf</ns0:v>
      </ns0:c>
    </ns0:row>
    <ns0:row xmlns:ns0="http://schemas.openxmlformats.org/spreadsheetml/2006/main" r="45" ht="85" customHeight="1">
      <ns0:c r="A45" t="str" s="33">
        <ns0:v>XP0042</ns0:v>
      </ns0:c>
      <ns0:c r="B45" t="str" s="33">
        <ns0:v>Разъём</ns0:v>
      </ns0:c>
      <ns0:c r="C45" t="str" s="33">
        <ns0:v>2x02, 2.54 мм</ns0:v>
      </ns0:c>
      <ns0:c r="D45" t="str" s="34">
        <ns0:f>C45</ns0:f>
        <ns0:v>2x02, 2.54 мм</ns0:v>
      </ns0:c>
      <ns0:c r="E45" s="33"/>
      <ns0:c r="F45" s="33"/>
      <ns0:c r="G45" s="33"/>
      <ns0:c r="H45" t="str" s="35">
        <ns0:v>2x02, P2.54, THT, прямой</ns0:v>
      </ns0:c>
      <ns0:c r="I45" t="str" s="33">
        <ns0:v>CONNFLY</ns0:v>
      </ns0:c>
      <ns0:c r="J45" t="str" s="33">
        <ns0:v>DS1021</ns0:v>
      </ns0:c>
      <ns0:c r="K45" t="str" s="34">
        <ns0:f>B45&amp;" "&amp;D45&amp;" "&amp;J45</ns0:f>
        <ns0:v>Разъём 2x02, 2.54 мм DS1021</ns0:v>
      </ns0:c>
      <ns0:c r="L45" t="str" s="36">
        <ns0:v>XP_4</ns0:v>
      </ns0:c>
      <ns0:c r="M45" t="str" s="36">
        <ns0:v>Symbols\MY_LIB_Connectors.SchLib</ns0:v>
      </ns0:c>
      <ns0:c r="N45" t="str" s="36">
        <ns0:v>CONNFLY_DS1021_2X02</ns0:v>
      </ns0:c>
      <ns0:c r="O45" t="str" s="36">
        <ns0:v>Footprints\MY_LIB_Connectors.PcbLib</ns0:v>
      </ns0:c>
      <ns0:c r="P45" t="str" s="33">
        <ns0:v>Штыревой, прямой;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5" s="33"/>
      <ns0:c r="R45" t="str" s="34">
        <ns0:f>D45</ns0:f>
        <ns0:v>2x02, 2.54 мм</ns0:v>
      </ns0:c>
      <ns0:c r="S45" t="str" s="34">
        <ns0:f>K45</ns0:f>
        <ns0:v>Разъём 2x02, 2.54 мм DS1021</ns0:v>
      </ns0:c>
      <ns0:c r="T45" t="str" s="33">
        <ns0:v>C:\Users\Nomatin\Documents\Altium\MY_LIB\MY_LIB\Datasheets\CONNFLY_DS1021.pdf</ns0:v>
      </ns0:c>
      <ns0:c r="U45" s="33"/>
      <ns0:c r="V45" t="str" s="33">
        <ns0:v>Даташит — локальный</ns0:v>
      </ns0:c>
      <ns0:c r="W45" t="str" s="33">
        <ns0:v>C:\Users\Nomatin\Documents\Altium\MY_LIB\MY_LIB\Datasheets\CONNFLY_DS1021.pdf</ns0:v>
      </ns0:c>
      <ns0:c r="X45" t="str" s="33">
        <ns0:v>Даташит — производитель</ns0:v>
      </ns0:c>
      <ns0:c r="Y45" t="str" s="33">
        <ns0:v>https://en.connfly.com/static/upload/file/pdf/DS1021.pdf</ns0:v>
      </ns0:c>
      <ns0:c r="Z45" t="str" s="33">
        <ns0:v>C:\Users\Nomatin\Documents\Altium\MY_LIB\MY_LIB\Datasheets\CONNFLY_DS1021.pdf</ns0:v>
      </ns0:c>
    </ns0:row>
    <ns0:row xmlns:ns0="http://schemas.openxmlformats.org/spreadsheetml/2006/main" r="46" ht="85" customHeight="1">
      <ns0:c r="A46" t="str" s="33">
        <ns0:v>XP0043</ns0:v>
      </ns0:c>
      <ns0:c r="B46" t="str" s="33">
        <ns0:v>Разъём</ns0:v>
      </ns0:c>
      <ns0:c r="C46" t="str" s="33">
        <ns0:v>2x03, 2.54 мм</ns0:v>
      </ns0:c>
      <ns0:c r="D46" t="str" s="34">
        <ns0:f>C46</ns0:f>
        <ns0:v>2x03, 2.54 мм</ns0:v>
      </ns0:c>
      <ns0:c r="E46" s="33"/>
      <ns0:c r="F46" s="33"/>
      <ns0:c r="G46" s="33"/>
      <ns0:c r="H46" t="str" s="35">
        <ns0:v>2x03, P2.54, THT, прямой</ns0:v>
      </ns0:c>
      <ns0:c r="I46" t="str" s="33">
        <ns0:v>CONNFLY</ns0:v>
      </ns0:c>
      <ns0:c r="J46" t="str" s="33">
        <ns0:v>DS1021</ns0:v>
      </ns0:c>
      <ns0:c r="K46" t="str" s="34">
        <ns0:f>B46&amp;" "&amp;D46&amp;" "&amp;J46</ns0:f>
        <ns0:v>Разъём 2x03, 2.54 мм DS1021</ns0:v>
      </ns0:c>
      <ns0:c r="L46" t="str" s="36">
        <ns0:v>XP_6</ns0:v>
      </ns0:c>
      <ns0:c r="M46" t="str" s="36">
        <ns0:v>Symbols\MY_LIB_Connectors.SchLib</ns0:v>
      </ns0:c>
      <ns0:c r="N46" t="str" s="36">
        <ns0:v>CONNFLY_DS1021_2X03</ns0:v>
      </ns0:c>
      <ns0:c r="O46" t="str" s="36">
        <ns0:v>Footprints\MY_LIB_Connectors.PcbLib</ns0:v>
      </ns0:c>
      <ns0:c r="P46" t="str" s="33">
        <ns0:v>Штыревой, прямой;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6" s="33"/>
      <ns0:c r="R46" t="str" s="34">
        <ns0:f>D46</ns0:f>
        <ns0:v>2x03, 2.54 мм</ns0:v>
      </ns0:c>
      <ns0:c r="S46" t="str" s="34">
        <ns0:f>K46</ns0:f>
        <ns0:v>Разъём 2x03, 2.54 мм DS1021</ns0:v>
      </ns0:c>
      <ns0:c r="T46" t="str" s="33">
        <ns0:v>C:\Users\Nomatin\Documents\Altium\MY_LIB\MY_LIB\Datasheets\CONNFLY_DS1021.pdf</ns0:v>
      </ns0:c>
      <ns0:c r="U46" s="33"/>
      <ns0:c r="V46" t="str" s="33">
        <ns0:v>Даташит — локальный</ns0:v>
      </ns0:c>
      <ns0:c r="W46" t="str" s="33">
        <ns0:v>C:\Users\Nomatin\Documents\Altium\MY_LIB\MY_LIB\Datasheets\CONNFLY_DS1021.pdf</ns0:v>
      </ns0:c>
      <ns0:c r="X46" t="str" s="33">
        <ns0:v>Даташит — производитель</ns0:v>
      </ns0:c>
      <ns0:c r="Y46" t="str" s="33">
        <ns0:v>https://en.connfly.com/static/upload/file/pdf/DS1021.pdf</ns0:v>
      </ns0:c>
      <ns0:c r="Z46" t="str" s="33">
        <ns0:v>C:\Users\Nomatin\Documents\Altium\MY_LIB\MY_LIB\Datasheets\CONNFLY_DS1021.pdf</ns0:v>
      </ns0:c>
    </ns0:row>
    <ns0:row xmlns:ns0="http://schemas.openxmlformats.org/spreadsheetml/2006/main" r="47" ht="85" customHeight="1">
      <ns0:c r="A47" t="str" s="33">
        <ns0:v>XP0044</ns0:v>
      </ns0:c>
      <ns0:c r="B47" t="str" s="33">
        <ns0:v>Разъём</ns0:v>
      </ns0:c>
      <ns0:c r="C47" t="str" s="33">
        <ns0:v>2x04, 2.54 мм</ns0:v>
      </ns0:c>
      <ns0:c r="D47" t="str" s="34">
        <ns0:f>C47</ns0:f>
        <ns0:v>2x04, 2.54 мм</ns0:v>
      </ns0:c>
      <ns0:c r="E47" s="33"/>
      <ns0:c r="F47" s="33"/>
      <ns0:c r="G47" s="33"/>
      <ns0:c r="H47" t="str" s="35">
        <ns0:v>2x04, P2.54, THT, прямой</ns0:v>
      </ns0:c>
      <ns0:c r="I47" t="str" s="33">
        <ns0:v>CONNFLY</ns0:v>
      </ns0:c>
      <ns0:c r="J47" t="str" s="33">
        <ns0:v>DS1021</ns0:v>
      </ns0:c>
      <ns0:c r="K47" t="str" s="34">
        <ns0:f>B47&amp;" "&amp;D47&amp;" "&amp;J47</ns0:f>
        <ns0:v>Разъём 2x04, 2.54 мм DS1021</ns0:v>
      </ns0:c>
      <ns0:c r="L47" t="str" s="36">
        <ns0:v>XP_8</ns0:v>
      </ns0:c>
      <ns0:c r="M47" t="str" s="36">
        <ns0:v>Symbols\MY_LIB_Connectors.SchLib</ns0:v>
      </ns0:c>
      <ns0:c r="N47" t="str" s="36">
        <ns0:v>CONNFLY_DS1021_2X04</ns0:v>
      </ns0:c>
      <ns0:c r="O47" t="str" s="36">
        <ns0:v>Footprints\MY_LIB_Connectors.PcbLib</ns0:v>
      </ns0:c>
      <ns0:c r="P47" t="str" s="33">
        <ns0:v>Штыревой, прямой;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7" s="33"/>
      <ns0:c r="R47" t="str" s="34">
        <ns0:f>D47</ns0:f>
        <ns0:v>2x04, 2.54 мм</ns0:v>
      </ns0:c>
      <ns0:c r="S47" t="str" s="34">
        <ns0:f>K47</ns0:f>
        <ns0:v>Разъём 2x04, 2.54 мм DS1021</ns0:v>
      </ns0:c>
      <ns0:c r="T47" t="str" s="33">
        <ns0:v>C:\Users\Nomatin\Documents\Altium\MY_LIB\MY_LIB\Datasheets\CONNFLY_DS1021.pdf</ns0:v>
      </ns0:c>
      <ns0:c r="U47" s="33"/>
      <ns0:c r="V47" t="str" s="33">
        <ns0:v>Даташит — локальный</ns0:v>
      </ns0:c>
      <ns0:c r="W47" t="str" s="33">
        <ns0:v>C:\Users\Nomatin\Documents\Altium\MY_LIB\MY_LIB\Datasheets\CONNFLY_DS1021.pdf</ns0:v>
      </ns0:c>
      <ns0:c r="X47" t="str" s="33">
        <ns0:v>Даташит — производитель</ns0:v>
      </ns0:c>
      <ns0:c r="Y47" t="str" s="33">
        <ns0:v>https://en.connfly.com/static/upload/file/pdf/DS1021.pdf</ns0:v>
      </ns0:c>
      <ns0:c r="Z47" t="str" s="33">
        <ns0:v>C:\Users\Nomatin\Documents\Altium\MY_LIB\MY_LIB\Datasheets\CONNFLY_DS1021.pdf</ns0:v>
      </ns0:c>
    </ns0:row>
    <ns0:row xmlns:ns0="http://schemas.openxmlformats.org/spreadsheetml/2006/main" r="48" ht="85" customHeight="1">
      <ns0:c r="A48" t="str" s="33">
        <ns0:v>XP0045</ns0:v>
      </ns0:c>
      <ns0:c r="B48" t="str" s="33">
        <ns0:v>Разъём</ns0:v>
      </ns0:c>
      <ns0:c r="C48" t="str" s="33">
        <ns0:v>2x05, 2.54 мм</ns0:v>
      </ns0:c>
      <ns0:c r="D48" t="str" s="34">
        <ns0:f>C48</ns0:f>
        <ns0:v>2x05, 2.54 мм</ns0:v>
      </ns0:c>
      <ns0:c r="E48" s="33"/>
      <ns0:c r="F48" s="33"/>
      <ns0:c r="G48" s="33"/>
      <ns0:c r="H48" t="str" s="35">
        <ns0:v>2x05, P2.54, THT, прямой</ns0:v>
      </ns0:c>
      <ns0:c r="I48" t="str" s="33">
        <ns0:v>CONNFLY</ns0:v>
      </ns0:c>
      <ns0:c r="J48" t="str" s="33">
        <ns0:v>DS1021</ns0:v>
      </ns0:c>
      <ns0:c r="K48" t="str" s="34">
        <ns0:f>B48&amp;" "&amp;D48&amp;" "&amp;J48</ns0:f>
        <ns0:v>Разъём 2x05, 2.54 мм DS1021</ns0:v>
      </ns0:c>
      <ns0:c r="L48" t="str" s="36">
        <ns0:v>XP_10</ns0:v>
      </ns0:c>
      <ns0:c r="M48" t="str" s="36">
        <ns0:v>Symbols\MY_LIB_Connectors.SchLib</ns0:v>
      </ns0:c>
      <ns0:c r="N48" t="str" s="36">
        <ns0:v>CONNFLY_DS1021_2X05</ns0:v>
      </ns0:c>
      <ns0:c r="O48" t="str" s="36">
        <ns0:v>Footprints\MY_LIB_Connectors.PcbLib</ns0:v>
      </ns0:c>
      <ns0:c r="P48" t="str" s="33">
        <ns0:v>Штыревой, прямой;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8" s="33"/>
      <ns0:c r="R48" t="str" s="34">
        <ns0:f>D48</ns0:f>
        <ns0:v>2x05, 2.54 мм</ns0:v>
      </ns0:c>
      <ns0:c r="S48" t="str" s="34">
        <ns0:f>K48</ns0:f>
        <ns0:v>Разъём 2x05, 2.54 мм DS1021</ns0:v>
      </ns0:c>
      <ns0:c r="T48" t="str" s="33">
        <ns0:v>C:\Users\Nomatin\Documents\Altium\MY_LIB\MY_LIB\Datasheets\CONNFLY_DS1021.pdf</ns0:v>
      </ns0:c>
      <ns0:c r="U48" s="33"/>
      <ns0:c r="V48" t="str" s="33">
        <ns0:v>Даташит — локальный</ns0:v>
      </ns0:c>
      <ns0:c r="W48" t="str" s="33">
        <ns0:v>C:\Users\Nomatin\Documents\Altium\MY_LIB\MY_LIB\Datasheets\CONNFLY_DS1021.pdf</ns0:v>
      </ns0:c>
      <ns0:c r="X48" t="str" s="33">
        <ns0:v>Даташит — производитель</ns0:v>
      </ns0:c>
      <ns0:c r="Y48" t="str" s="33">
        <ns0:v>https://en.connfly.com/static/upload/file/pdf/DS1021.pdf</ns0:v>
      </ns0:c>
      <ns0:c r="Z48" t="str" s="33">
        <ns0:v>C:\Users\Nomatin\Documents\Altium\MY_LIB\MY_LIB\Datasheets\CONNFLY_DS1021.pdf</ns0:v>
      </ns0:c>
    </ns0:row>
    <ns0:row xmlns:ns0="http://schemas.openxmlformats.org/spreadsheetml/2006/main" r="49" ht="85" customHeight="1">
      <ns0:c r="A49" t="str" s="33">
        <ns0:v>XP0046</ns0:v>
      </ns0:c>
      <ns0:c r="B49" t="str" s="33">
        <ns0:v>Разъём</ns0:v>
      </ns0:c>
      <ns0:c r="C49" t="str" s="33">
        <ns0:v>2x06, 2.54 мм</ns0:v>
      </ns0:c>
      <ns0:c r="D49" t="str" s="34">
        <ns0:f>C49</ns0:f>
        <ns0:v>2x06, 2.54 мм</ns0:v>
      </ns0:c>
      <ns0:c r="E49" s="33"/>
      <ns0:c r="F49" s="33"/>
      <ns0:c r="G49" s="33"/>
      <ns0:c r="H49" t="str" s="35">
        <ns0:v>2x06, P2.54, THT, прямой</ns0:v>
      </ns0:c>
      <ns0:c r="I49" t="str" s="33">
        <ns0:v>CONNFLY</ns0:v>
      </ns0:c>
      <ns0:c r="J49" t="str" s="33">
        <ns0:v>DS1021</ns0:v>
      </ns0:c>
      <ns0:c r="K49" t="str" s="34">
        <ns0:f>B49&amp;" "&amp;D49&amp;" "&amp;J49</ns0:f>
        <ns0:v>Разъём 2x06, 2.54 мм DS1021</ns0:v>
      </ns0:c>
      <ns0:c r="L49" t="str" s="36">
        <ns0:v>XP_12</ns0:v>
      </ns0:c>
      <ns0:c r="M49" t="str" s="36">
        <ns0:v>Symbols\MY_LIB_Connectors.SchLib</ns0:v>
      </ns0:c>
      <ns0:c r="N49" t="str" s="36">
        <ns0:v>CONNFLY_DS1021_2X06</ns0:v>
      </ns0:c>
      <ns0:c r="O49" t="str" s="36">
        <ns0:v>Footprints\MY_LIB_Connectors.PcbLib</ns0:v>
      </ns0:c>
      <ns0:c r="P49" t="str" s="33">
        <ns0:v>Штыревой, прямой;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49" s="33"/>
      <ns0:c r="R49" t="str" s="34">
        <ns0:f>D49</ns0:f>
        <ns0:v>2x06, 2.54 мм</ns0:v>
      </ns0:c>
      <ns0:c r="S49" t="str" s="34">
        <ns0:f>K49</ns0:f>
        <ns0:v>Разъём 2x06, 2.54 мм DS1021</ns0:v>
      </ns0:c>
      <ns0:c r="T49" t="str" s="33">
        <ns0:v>C:\Users\Nomatin\Documents\Altium\MY_LIB\MY_LIB\Datasheets\CONNFLY_DS1021.pdf</ns0:v>
      </ns0:c>
      <ns0:c r="U49" s="33"/>
      <ns0:c r="V49" t="str" s="33">
        <ns0:v>Даташит — локальный</ns0:v>
      </ns0:c>
      <ns0:c r="W49" t="str" s="33">
        <ns0:v>C:\Users\Nomatin\Documents\Altium\MY_LIB\MY_LIB\Datasheets\CONNFLY_DS1021.pdf</ns0:v>
      </ns0:c>
      <ns0:c r="X49" t="str" s="33">
        <ns0:v>Даташит — производитель</ns0:v>
      </ns0:c>
      <ns0:c r="Y49" t="str" s="33">
        <ns0:v>https://en.connfly.com/static/upload/file/pdf/DS1021.pdf</ns0:v>
      </ns0:c>
      <ns0:c r="Z49" t="str" s="33">
        <ns0:v>C:\Users\Nomatin\Documents\Altium\MY_LIB\MY_LIB\Datasheets\CONNFLY_DS1021.pdf</ns0:v>
      </ns0:c>
    </ns0:row>
    <ns0:row xmlns:ns0="http://schemas.openxmlformats.org/spreadsheetml/2006/main" r="50" ht="85" customHeight="1">
      <ns0:c r="A50" t="str" s="33">
        <ns0:v>XP0047</ns0:v>
      </ns0:c>
      <ns0:c r="B50" t="str" s="33">
        <ns0:v>Разъём</ns0:v>
      </ns0:c>
      <ns0:c r="C50" t="str" s="33">
        <ns0:v>2x07, 2.54 мм</ns0:v>
      </ns0:c>
      <ns0:c r="D50" t="str" s="34">
        <ns0:f>C50</ns0:f>
        <ns0:v>2x07, 2.54 мм</ns0:v>
      </ns0:c>
      <ns0:c r="E50" s="33"/>
      <ns0:c r="F50" s="33"/>
      <ns0:c r="G50" s="33"/>
      <ns0:c r="H50" t="str" s="35">
        <ns0:v>2x07, P2.54, THT, прямой</ns0:v>
      </ns0:c>
      <ns0:c r="I50" t="str" s="33">
        <ns0:v>CONNFLY</ns0:v>
      </ns0:c>
      <ns0:c r="J50" t="str" s="33">
        <ns0:v>DS1021</ns0:v>
      </ns0:c>
      <ns0:c r="K50" t="str" s="34">
        <ns0:f>B50&amp;" "&amp;D50&amp;" "&amp;J50</ns0:f>
        <ns0:v>Разъём 2x07, 2.54 мм DS1021</ns0:v>
      </ns0:c>
      <ns0:c r="L50" t="str" s="36">
        <ns0:v>XP_14</ns0:v>
      </ns0:c>
      <ns0:c r="M50" t="str" s="36">
        <ns0:v>Symbols\MY_LIB_Connectors.SchLib</ns0:v>
      </ns0:c>
      <ns0:c r="N50" t="str" s="36">
        <ns0:v>CONNFLY_DS1021_2X07</ns0:v>
      </ns0:c>
      <ns0:c r="O50" t="str" s="36">
        <ns0:v>Footprints\MY_LIB_Connectors.PcbLib</ns0:v>
      </ns0:c>
      <ns0:c r="P50" t="str" s="33">
        <ns0:v>Штыревой, прямой;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0" s="33"/>
      <ns0:c r="R50" t="str" s="34">
        <ns0:f>D50</ns0:f>
        <ns0:v>2x07, 2.54 мм</ns0:v>
      </ns0:c>
      <ns0:c r="S50" t="str" s="34">
        <ns0:f>K50</ns0:f>
        <ns0:v>Разъём 2x07, 2.54 мм DS1021</ns0:v>
      </ns0:c>
      <ns0:c r="T50" t="str" s="33">
        <ns0:v>C:\Users\Nomatin\Documents\Altium\MY_LIB\MY_LIB\Datasheets\CONNFLY_DS1021.pdf</ns0:v>
      </ns0:c>
      <ns0:c r="U50" s="33"/>
      <ns0:c r="V50" t="str" s="33">
        <ns0:v>Даташит — локальный</ns0:v>
      </ns0:c>
      <ns0:c r="W50" t="str" s="33">
        <ns0:v>C:\Users\Nomatin\Documents\Altium\MY_LIB\MY_LIB\Datasheets\CONNFLY_DS1021.pdf</ns0:v>
      </ns0:c>
      <ns0:c r="X50" t="str" s="33">
        <ns0:v>Даташит — производитель</ns0:v>
      </ns0:c>
      <ns0:c r="Y50" t="str" s="33">
        <ns0:v>https://en.connfly.com/static/upload/file/pdf/DS1021.pdf</ns0:v>
      </ns0:c>
      <ns0:c r="Z50" t="str" s="33">
        <ns0:v>C:\Users\Nomatin\Documents\Altium\MY_LIB\MY_LIB\Datasheets\CONNFLY_DS1021.pdf</ns0:v>
      </ns0:c>
    </ns0:row>
    <ns0:row xmlns:ns0="http://schemas.openxmlformats.org/spreadsheetml/2006/main" r="51" ht="85" customHeight="1">
      <ns0:c r="A51" t="str" s="33">
        <ns0:v>XP0048</ns0:v>
      </ns0:c>
      <ns0:c r="B51" t="str" s="33">
        <ns0:v>Разъём</ns0:v>
      </ns0:c>
      <ns0:c r="C51" t="str" s="33">
        <ns0:v>2x08, 2.54 мм</ns0:v>
      </ns0:c>
      <ns0:c r="D51" t="str" s="34">
        <ns0:f>C51</ns0:f>
        <ns0:v>2x08, 2.54 мм</ns0:v>
      </ns0:c>
      <ns0:c r="E51" s="33"/>
      <ns0:c r="F51" s="33"/>
      <ns0:c r="G51" s="33"/>
      <ns0:c r="H51" t="str" s="35">
        <ns0:v>2x08, P2.54, THT, прямой</ns0:v>
      </ns0:c>
      <ns0:c r="I51" t="str" s="33">
        <ns0:v>CONNFLY</ns0:v>
      </ns0:c>
      <ns0:c r="J51" t="str" s="33">
        <ns0:v>DS1021</ns0:v>
      </ns0:c>
      <ns0:c r="K51" t="str" s="34">
        <ns0:f>B51&amp;" "&amp;D51&amp;" "&amp;J51</ns0:f>
        <ns0:v>Разъём 2x08, 2.54 мм DS1021</ns0:v>
      </ns0:c>
      <ns0:c r="L51" t="str" s="36">
        <ns0:v>XP_16</ns0:v>
      </ns0:c>
      <ns0:c r="M51" t="str" s="36">
        <ns0:v>Symbols\MY_LIB_Connectors.SchLib</ns0:v>
      </ns0:c>
      <ns0:c r="N51" t="str" s="36">
        <ns0:v>CONNFLY_DS1021_2X08</ns0:v>
      </ns0:c>
      <ns0:c r="O51" t="str" s="36">
        <ns0:v>Footprints\MY_LIB_Connectors.PcbLib</ns0:v>
      </ns0:c>
      <ns0:c r="P51" t="str" s="33">
        <ns0:v>Штыревой, прямой;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1" s="33"/>
      <ns0:c r="R51" t="str" s="34">
        <ns0:f>D51</ns0:f>
        <ns0:v>2x08, 2.54 мм</ns0:v>
      </ns0:c>
      <ns0:c r="S51" t="str" s="34">
        <ns0:f>K51</ns0:f>
        <ns0:v>Разъём 2x08, 2.54 мм DS1021</ns0:v>
      </ns0:c>
      <ns0:c r="T51" t="str" s="33">
        <ns0:v>C:\Users\Nomatin\Documents\Altium\MY_LIB\MY_LIB\Datasheets\CONNFLY_DS1021.pdf</ns0:v>
      </ns0:c>
      <ns0:c r="U51" s="33"/>
      <ns0:c r="V51" t="str" s="33">
        <ns0:v>Даташит — локальный</ns0:v>
      </ns0:c>
      <ns0:c r="W51" t="str" s="33">
        <ns0:v>C:\Users\Nomatin\Documents\Altium\MY_LIB\MY_LIB\Datasheets\CONNFLY_DS1021.pdf</ns0:v>
      </ns0:c>
      <ns0:c r="X51" t="str" s="33">
        <ns0:v>Даташит — производитель</ns0:v>
      </ns0:c>
      <ns0:c r="Y51" t="str" s="33">
        <ns0:v>https://en.connfly.com/static/upload/file/pdf/DS1021.pdf</ns0:v>
      </ns0:c>
      <ns0:c r="Z51" t="str" s="33">
        <ns0:v>C:\Users\Nomatin\Documents\Altium\MY_LIB\MY_LIB\Datasheets\CONNFLY_DS1021.pdf</ns0:v>
      </ns0:c>
    </ns0:row>
    <ns0:row xmlns:ns0="http://schemas.openxmlformats.org/spreadsheetml/2006/main" r="52" ht="85" customHeight="1">
      <ns0:c r="A52" t="str" s="33">
        <ns0:v>XP0049</ns0:v>
      </ns0:c>
      <ns0:c r="B52" t="str" s="33">
        <ns0:v>Разъём</ns0:v>
      </ns0:c>
      <ns0:c r="C52" t="str" s="33">
        <ns0:v>2x09, 2.54 мм</ns0:v>
      </ns0:c>
      <ns0:c r="D52" t="str" s="34">
        <ns0:f>C52</ns0:f>
        <ns0:v>2x09, 2.54 мм</ns0:v>
      </ns0:c>
      <ns0:c r="E52" s="33"/>
      <ns0:c r="F52" s="33"/>
      <ns0:c r="G52" s="33"/>
      <ns0:c r="H52" t="str" s="35">
        <ns0:v>2x09, P2.54, THT, прямой</ns0:v>
      </ns0:c>
      <ns0:c r="I52" t="str" s="33">
        <ns0:v>CONNFLY</ns0:v>
      </ns0:c>
      <ns0:c r="J52" t="str" s="33">
        <ns0:v>DS1021</ns0:v>
      </ns0:c>
      <ns0:c r="K52" t="str" s="34">
        <ns0:f>B52&amp;" "&amp;D52&amp;" "&amp;J52</ns0:f>
        <ns0:v>Разъём 2x09, 2.54 мм DS1021</ns0:v>
      </ns0:c>
      <ns0:c r="L52" t="str" s="36">
        <ns0:v>XP_18</ns0:v>
      </ns0:c>
      <ns0:c r="M52" t="str" s="36">
        <ns0:v>Symbols\MY_LIB_Connectors.SchLib</ns0:v>
      </ns0:c>
      <ns0:c r="N52" t="str" s="36">
        <ns0:v>CONNFLY_DS1021_2X09</ns0:v>
      </ns0:c>
      <ns0:c r="O52" t="str" s="36">
        <ns0:v>Footprints\MY_LIB_Connectors.PcbLib</ns0:v>
      </ns0:c>
      <ns0:c r="P52" t="str" s="33">
        <ns0:v>Штыревой, прямой;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2" s="33"/>
      <ns0:c r="R52" t="str" s="34">
        <ns0:f>D52</ns0:f>
        <ns0:v>2x09, 2.54 мм</ns0:v>
      </ns0:c>
      <ns0:c r="S52" t="str" s="34">
        <ns0:f>K52</ns0:f>
        <ns0:v>Разъём 2x09, 2.54 мм DS1021</ns0:v>
      </ns0:c>
      <ns0:c r="T52" t="str" s="33">
        <ns0:v>C:\Users\Nomatin\Documents\Altium\MY_LIB\MY_LIB\Datasheets\CONNFLY_DS1021.pdf</ns0:v>
      </ns0:c>
      <ns0:c r="U52" s="33"/>
      <ns0:c r="V52" t="str" s="33">
        <ns0:v>Даташит — локальный</ns0:v>
      </ns0:c>
      <ns0:c r="W52" t="str" s="33">
        <ns0:v>C:\Users\Nomatin\Documents\Altium\MY_LIB\MY_LIB\Datasheets\CONNFLY_DS1021.pdf</ns0:v>
      </ns0:c>
      <ns0:c r="X52" t="str" s="33">
        <ns0:v>Даташит — производитель</ns0:v>
      </ns0:c>
      <ns0:c r="Y52" t="str" s="33">
        <ns0:v>https://en.connfly.com/static/upload/file/pdf/DS1021.pdf</ns0:v>
      </ns0:c>
      <ns0:c r="Z52" t="str" s="33">
        <ns0:v>C:\Users\Nomatin\Documents\Altium\MY_LIB\MY_LIB\Datasheets\CONNFLY_DS1021.pdf</ns0:v>
      </ns0:c>
    </ns0:row>
    <ns0:row xmlns:ns0="http://schemas.openxmlformats.org/spreadsheetml/2006/main" r="53" ht="85" customHeight="1">
      <ns0:c r="A53" t="str" s="33">
        <ns0:v>XP0050</ns0:v>
      </ns0:c>
      <ns0:c r="B53" t="str" s="33">
        <ns0:v>Разъём</ns0:v>
      </ns0:c>
      <ns0:c r="C53" t="str" s="33">
        <ns0:v>2x10, 2.54 мм</ns0:v>
      </ns0:c>
      <ns0:c r="D53" t="str" s="34">
        <ns0:f>C53</ns0:f>
        <ns0:v>2x10, 2.54 мм</ns0:v>
      </ns0:c>
      <ns0:c r="E53" s="33"/>
      <ns0:c r="F53" s="33"/>
      <ns0:c r="G53" s="33"/>
      <ns0:c r="H53" t="str" s="35">
        <ns0:v>2x10, P2.54, THT, прямой</ns0:v>
      </ns0:c>
      <ns0:c r="I53" t="str" s="33">
        <ns0:v>CONNFLY</ns0:v>
      </ns0:c>
      <ns0:c r="J53" t="str" s="33">
        <ns0:v>DS1021</ns0:v>
      </ns0:c>
      <ns0:c r="K53" t="str" s="34">
        <ns0:f>B53&amp;" "&amp;D53&amp;" "&amp;J53</ns0:f>
        <ns0:v>Разъём 2x10, 2.54 мм DS1021</ns0:v>
      </ns0:c>
      <ns0:c r="L53" t="str" s="36">
        <ns0:v>XP_20</ns0:v>
      </ns0:c>
      <ns0:c r="M53" t="str" s="36">
        <ns0:v>Symbols\MY_LIB_Connectors.SchLib</ns0:v>
      </ns0:c>
      <ns0:c r="N53" t="str" s="36">
        <ns0:v>CONNFLY_DS1021_2X10</ns0:v>
      </ns0:c>
      <ns0:c r="O53" t="str" s="36">
        <ns0:v>Footprints\MY_LIB_Connectors.PcbLib</ns0:v>
      </ns0:c>
      <ns0:c r="P53" t="str" s="33">
        <ns0:v>Штыревой, прямой;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3" s="33"/>
      <ns0:c r="R53" t="str" s="34">
        <ns0:f>D53</ns0:f>
        <ns0:v>2x10, 2.54 мм</ns0:v>
      </ns0:c>
      <ns0:c r="S53" t="str" s="34">
        <ns0:f>K53</ns0:f>
        <ns0:v>Разъём 2x10, 2.54 мм DS1021</ns0:v>
      </ns0:c>
      <ns0:c r="T53" t="str" s="33">
        <ns0:v>C:\Users\Nomatin\Documents\Altium\MY_LIB\MY_LIB\Datasheets\CONNFLY_DS1021.pdf</ns0:v>
      </ns0:c>
      <ns0:c r="U53" s="33"/>
      <ns0:c r="V53" t="str" s="33">
        <ns0:v>Даташит — локальный</ns0:v>
      </ns0:c>
      <ns0:c r="W53" t="str" s="33">
        <ns0:v>C:\Users\Nomatin\Documents\Altium\MY_LIB\MY_LIB\Datasheets\CONNFLY_DS1021.pdf</ns0:v>
      </ns0:c>
      <ns0:c r="X53" t="str" s="33">
        <ns0:v>Даташит — производитель</ns0:v>
      </ns0:c>
      <ns0:c r="Y53" t="str" s="33">
        <ns0:v>https://en.connfly.com/static/upload/file/pdf/DS1021.pdf</ns0:v>
      </ns0:c>
      <ns0:c r="Z53" t="str" s="33">
        <ns0:v>C:\Users\Nomatin\Documents\Altium\MY_LIB\MY_LIB\Datasheets\CONNFLY_DS1021.pdf</ns0:v>
      </ns0:c>
    </ns0:row>
    <ns0:row xmlns:ns0="http://schemas.openxmlformats.org/spreadsheetml/2006/main" r="54" ht="85" customHeight="1">
      <ns0:c r="A54" t="str" s="33">
        <ns0:v>XP0051</ns0:v>
      </ns0:c>
      <ns0:c r="B54" t="str" s="33">
        <ns0:v>Разъём</ns0:v>
      </ns0:c>
      <ns0:c r="C54" t="str" s="33">
        <ns0:v>2x11, 2.54 мм</ns0:v>
      </ns0:c>
      <ns0:c r="D54" t="str" s="34">
        <ns0:f>C54</ns0:f>
        <ns0:v>2x11, 2.54 мм</ns0:v>
      </ns0:c>
      <ns0:c r="E54" s="33"/>
      <ns0:c r="F54" s="33"/>
      <ns0:c r="G54" s="33"/>
      <ns0:c r="H54" t="str" s="35">
        <ns0:v>2x11, P2.54, THT, прямой</ns0:v>
      </ns0:c>
      <ns0:c r="I54" t="str" s="33">
        <ns0:v>CONNFLY</ns0:v>
      </ns0:c>
      <ns0:c r="J54" t="str" s="33">
        <ns0:v>DS1021</ns0:v>
      </ns0:c>
      <ns0:c r="K54" t="str" s="34">
        <ns0:f>B54&amp;" "&amp;D54&amp;" "&amp;J54</ns0:f>
        <ns0:v>Разъём 2x11, 2.54 мм DS1021</ns0:v>
      </ns0:c>
      <ns0:c r="L54" t="str" s="36">
        <ns0:v>XP_22</ns0:v>
      </ns0:c>
      <ns0:c r="M54" t="str" s="36">
        <ns0:v>Symbols\MY_LIB_Connectors.SchLib</ns0:v>
      </ns0:c>
      <ns0:c r="N54" t="str" s="36">
        <ns0:v>CONNFLY_DS1021_2X11</ns0:v>
      </ns0:c>
      <ns0:c r="O54" t="str" s="36">
        <ns0:v>Footprints\MY_LIB_Connectors.PcbLib</ns0:v>
      </ns0:c>
      <ns0:c r="P54" t="str" s="33">
        <ns0:v>Штыревой, прямой;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4" s="33"/>
      <ns0:c r="R54" t="str" s="34">
        <ns0:f>D54</ns0:f>
        <ns0:v>2x11, 2.54 мм</ns0:v>
      </ns0:c>
      <ns0:c r="S54" t="str" s="34">
        <ns0:f>K54</ns0:f>
        <ns0:v>Разъём 2x11, 2.54 мм DS1021</ns0:v>
      </ns0:c>
      <ns0:c r="T54" t="str" s="33">
        <ns0:v>C:\Users\Nomatin\Documents\Altium\MY_LIB\MY_LIB\Datasheets\CONNFLY_DS1021.pdf</ns0:v>
      </ns0:c>
      <ns0:c r="U54" s="33"/>
      <ns0:c r="V54" t="str" s="33">
        <ns0:v>Даташит — локальный</ns0:v>
      </ns0:c>
      <ns0:c r="W54" t="str" s="33">
        <ns0:v>C:\Users\Nomatin\Documents\Altium\MY_LIB\MY_LIB\Datasheets\CONNFLY_DS1021.pdf</ns0:v>
      </ns0:c>
      <ns0:c r="X54" t="str" s="33">
        <ns0:v>Даташит — производитель</ns0:v>
      </ns0:c>
      <ns0:c r="Y54" t="str" s="33">
        <ns0:v>https://en.connfly.com/static/upload/file/pdf/DS1021.pdf</ns0:v>
      </ns0:c>
      <ns0:c r="Z54" t="str" s="33">
        <ns0:v>C:\Users\Nomatin\Documents\Altium\MY_LIB\MY_LIB\Datasheets\CONNFLY_DS1021.pdf</ns0:v>
      </ns0:c>
    </ns0:row>
    <ns0:row xmlns:ns0="http://schemas.openxmlformats.org/spreadsheetml/2006/main" r="55" ht="85" customHeight="1">
      <ns0:c r="A55" t="str" s="33">
        <ns0:v>XP0052</ns0:v>
      </ns0:c>
      <ns0:c r="B55" t="str" s="33">
        <ns0:v>Разъём</ns0:v>
      </ns0:c>
      <ns0:c r="C55" t="str" s="33">
        <ns0:v>2x12, 2.54 мм</ns0:v>
      </ns0:c>
      <ns0:c r="D55" t="str" s="34">
        <ns0:f>C55</ns0:f>
        <ns0:v>2x12, 2.54 мм</ns0:v>
      </ns0:c>
      <ns0:c r="E55" s="33"/>
      <ns0:c r="F55" s="33"/>
      <ns0:c r="G55" s="33"/>
      <ns0:c r="H55" t="str" s="35">
        <ns0:v>2x12, P2.54, THT, прямой</ns0:v>
      </ns0:c>
      <ns0:c r="I55" t="str" s="33">
        <ns0:v>CONNFLY</ns0:v>
      </ns0:c>
      <ns0:c r="J55" t="str" s="33">
        <ns0:v>DS1021</ns0:v>
      </ns0:c>
      <ns0:c r="K55" t="str" s="34">
        <ns0:f>B55&amp;" "&amp;D55&amp;" "&amp;J55</ns0:f>
        <ns0:v>Разъём 2x12, 2.54 мм DS1021</ns0:v>
      </ns0:c>
      <ns0:c r="L55" t="str" s="36">
        <ns0:v>XP_24</ns0:v>
      </ns0:c>
      <ns0:c r="M55" t="str" s="36">
        <ns0:v>Symbols\MY_LIB_Connectors.SchLib</ns0:v>
      </ns0:c>
      <ns0:c r="N55" t="str" s="36">
        <ns0:v>CONNFLY_DS1021_2X12</ns0:v>
      </ns0:c>
      <ns0:c r="O55" t="str" s="36">
        <ns0:v>Footprints\MY_LIB_Connectors.PcbLib</ns0:v>
      </ns0:c>
      <ns0:c r="P55" t="str" s="33">
        <ns0:v>Штыревой, прямой;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5" s="33"/>
      <ns0:c r="R55" t="str" s="34">
        <ns0:f>D55</ns0:f>
        <ns0:v>2x12, 2.54 мм</ns0:v>
      </ns0:c>
      <ns0:c r="S55" t="str" s="34">
        <ns0:f>K55</ns0:f>
        <ns0:v>Разъём 2x12, 2.54 мм DS1021</ns0:v>
      </ns0:c>
      <ns0:c r="T55" t="str" s="33">
        <ns0:v>C:\Users\Nomatin\Documents\Altium\MY_LIB\MY_LIB\Datasheets\CONNFLY_DS1021.pdf</ns0:v>
      </ns0:c>
      <ns0:c r="U55" s="33"/>
      <ns0:c r="V55" t="str" s="33">
        <ns0:v>Даташит — локальный</ns0:v>
      </ns0:c>
      <ns0:c r="W55" t="str" s="33">
        <ns0:v>C:\Users\Nomatin\Documents\Altium\MY_LIB\MY_LIB\Datasheets\CONNFLY_DS1021.pdf</ns0:v>
      </ns0:c>
      <ns0:c r="X55" t="str" s="33">
        <ns0:v>Даташит — производитель</ns0:v>
      </ns0:c>
      <ns0:c r="Y55" t="str" s="33">
        <ns0:v>https://en.connfly.com/static/upload/file/pdf/DS1021.pdf</ns0:v>
      </ns0:c>
      <ns0:c r="Z55" t="str" s="33">
        <ns0:v>C:\Users\Nomatin\Documents\Altium\MY_LIB\MY_LIB\Datasheets\CONNFLY_DS1021.pdf</ns0:v>
      </ns0:c>
    </ns0:row>
    <ns0:row xmlns:ns0="http://schemas.openxmlformats.org/spreadsheetml/2006/main" r="56" ht="85" customHeight="1">
      <ns0:c r="A56" t="str" s="33">
        <ns0:v>XP0053</ns0:v>
      </ns0:c>
      <ns0:c r="B56" t="str" s="33">
        <ns0:v>Разъём</ns0:v>
      </ns0:c>
      <ns0:c r="C56" t="str" s="33">
        <ns0:v>2x13, 2.54 мм</ns0:v>
      </ns0:c>
      <ns0:c r="D56" t="str" s="34">
        <ns0:f>C56</ns0:f>
        <ns0:v>2x13, 2.54 мм</ns0:v>
      </ns0:c>
      <ns0:c r="E56" s="33"/>
      <ns0:c r="F56" s="33"/>
      <ns0:c r="G56" s="33"/>
      <ns0:c r="H56" t="str" s="35">
        <ns0:v>2x13, P2.54, THT, прямой</ns0:v>
      </ns0:c>
      <ns0:c r="I56" t="str" s="33">
        <ns0:v>CONNFLY</ns0:v>
      </ns0:c>
      <ns0:c r="J56" t="str" s="33">
        <ns0:v>DS1021</ns0:v>
      </ns0:c>
      <ns0:c r="K56" t="str" s="34">
        <ns0:f>B56&amp;" "&amp;D56&amp;" "&amp;J56</ns0:f>
        <ns0:v>Разъём 2x13, 2.54 мм DS1021</ns0:v>
      </ns0:c>
      <ns0:c r="L56" t="str" s="36">
        <ns0:v>XP_26</ns0:v>
      </ns0:c>
      <ns0:c r="M56" t="str" s="36">
        <ns0:v>Symbols\MY_LIB_Connectors.SchLib</ns0:v>
      </ns0:c>
      <ns0:c r="N56" t="str" s="36">
        <ns0:v>CONNFLY_DS1021_2X13</ns0:v>
      </ns0:c>
      <ns0:c r="O56" t="str" s="36">
        <ns0:v>Footprints\MY_LIB_Connectors.PcbLib</ns0:v>
      </ns0:c>
      <ns0:c r="P56" t="str" s="33">
        <ns0:v>Штыревой, прямой;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6" s="33"/>
      <ns0:c r="R56" t="str" s="34">
        <ns0:f>D56</ns0:f>
        <ns0:v>2x13, 2.54 мм</ns0:v>
      </ns0:c>
      <ns0:c r="S56" t="str" s="34">
        <ns0:f>K56</ns0:f>
        <ns0:v>Разъём 2x13, 2.54 мм DS1021</ns0:v>
      </ns0:c>
      <ns0:c r="T56" t="str" s="33">
        <ns0:v>C:\Users\Nomatin\Documents\Altium\MY_LIB\MY_LIB\Datasheets\CONNFLY_DS1021.pdf</ns0:v>
      </ns0:c>
      <ns0:c r="U56" s="33"/>
      <ns0:c r="V56" t="str" s="33">
        <ns0:v>Даташит — локальный</ns0:v>
      </ns0:c>
      <ns0:c r="W56" t="str" s="33">
        <ns0:v>C:\Users\Nomatin\Documents\Altium\MY_LIB\MY_LIB\Datasheets\CONNFLY_DS1021.pdf</ns0:v>
      </ns0:c>
      <ns0:c r="X56" t="str" s="33">
        <ns0:v>Даташит — производитель</ns0:v>
      </ns0:c>
      <ns0:c r="Y56" t="str" s="33">
        <ns0:v>https://en.connfly.com/static/upload/file/pdf/DS1021.pdf</ns0:v>
      </ns0:c>
      <ns0:c r="Z56" t="str" s="33">
        <ns0:v>C:\Users\Nomatin\Documents\Altium\MY_LIB\MY_LIB\Datasheets\CONNFLY_DS1021.pdf</ns0:v>
      </ns0:c>
    </ns0:row>
    <ns0:row xmlns:ns0="http://schemas.openxmlformats.org/spreadsheetml/2006/main" r="57" ht="85" customHeight="1">
      <ns0:c r="A57" t="str" s="33">
        <ns0:v>XP0054</ns0:v>
      </ns0:c>
      <ns0:c r="B57" t="str" s="33">
        <ns0:v>Разъём</ns0:v>
      </ns0:c>
      <ns0:c r="C57" t="str" s="33">
        <ns0:v>2x14, 2.54 мм</ns0:v>
      </ns0:c>
      <ns0:c r="D57" t="str" s="34">
        <ns0:f>C57</ns0:f>
        <ns0:v>2x14, 2.54 мм</ns0:v>
      </ns0:c>
      <ns0:c r="E57" s="33"/>
      <ns0:c r="F57" s="33"/>
      <ns0:c r="G57" s="33"/>
      <ns0:c r="H57" t="str" s="35">
        <ns0:v>2x14, P2.54, THT, прямой</ns0:v>
      </ns0:c>
      <ns0:c r="I57" t="str" s="33">
        <ns0:v>CONNFLY</ns0:v>
      </ns0:c>
      <ns0:c r="J57" t="str" s="33">
        <ns0:v>DS1021</ns0:v>
      </ns0:c>
      <ns0:c r="K57" t="str" s="34">
        <ns0:f>B57&amp;" "&amp;D57&amp;" "&amp;J57</ns0:f>
        <ns0:v>Разъём 2x14, 2.54 мм DS1021</ns0:v>
      </ns0:c>
      <ns0:c r="L57" t="str" s="36">
        <ns0:v>XP_28</ns0:v>
      </ns0:c>
      <ns0:c r="M57" t="str" s="36">
        <ns0:v>Symbols\MY_LIB_Connectors.SchLib</ns0:v>
      </ns0:c>
      <ns0:c r="N57" t="str" s="36">
        <ns0:v>CONNFLY_DS1021_2X14</ns0:v>
      </ns0:c>
      <ns0:c r="O57" t="str" s="36">
        <ns0:v>Footprints\MY_LIB_Connectors.PcbLib</ns0:v>
      </ns0:c>
      <ns0:c r="P57" t="str" s="33">
        <ns0:v>Штыревой, прямой;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7" s="33"/>
      <ns0:c r="R57" t="str" s="34">
        <ns0:f>D57</ns0:f>
        <ns0:v>2x14, 2.54 мм</ns0:v>
      </ns0:c>
      <ns0:c r="S57" t="str" s="34">
        <ns0:f>K57</ns0:f>
        <ns0:v>Разъём 2x14, 2.54 мм DS1021</ns0:v>
      </ns0:c>
      <ns0:c r="T57" t="str" s="33">
        <ns0:v>C:\Users\Nomatin\Documents\Altium\MY_LIB\MY_LIB\Datasheets\CONNFLY_DS1021.pdf</ns0:v>
      </ns0:c>
      <ns0:c r="U57" s="33"/>
      <ns0:c r="V57" t="str" s="33">
        <ns0:v>Даташит — локальный</ns0:v>
      </ns0:c>
      <ns0:c r="W57" t="str" s="33">
        <ns0:v>C:\Users\Nomatin\Documents\Altium\MY_LIB\MY_LIB\Datasheets\CONNFLY_DS1021.pdf</ns0:v>
      </ns0:c>
      <ns0:c r="X57" t="str" s="33">
        <ns0:v>Даташит — производитель</ns0:v>
      </ns0:c>
      <ns0:c r="Y57" t="str" s="33">
        <ns0:v>https://en.connfly.com/static/upload/file/pdf/DS1021.pdf</ns0:v>
      </ns0:c>
      <ns0:c r="Z57" t="str" s="33">
        <ns0:v>C:\Users\Nomatin\Documents\Altium\MY_LIB\MY_LIB\Datasheets\CONNFLY_DS1021.pdf</ns0:v>
      </ns0:c>
    </ns0:row>
    <ns0:row xmlns:ns0="http://schemas.openxmlformats.org/spreadsheetml/2006/main" r="58" ht="85" customHeight="1">
      <ns0:c r="A58" t="str" s="33">
        <ns0:v>XP0055</ns0:v>
      </ns0:c>
      <ns0:c r="B58" t="str" s="33">
        <ns0:v>Разъём</ns0:v>
      </ns0:c>
      <ns0:c r="C58" t="str" s="33">
        <ns0:v>2x15, 2.54 мм</ns0:v>
      </ns0:c>
      <ns0:c r="D58" t="str" s="34">
        <ns0:f>C58</ns0:f>
        <ns0:v>2x15, 2.54 мм</ns0:v>
      </ns0:c>
      <ns0:c r="E58" s="33"/>
      <ns0:c r="F58" s="33"/>
      <ns0:c r="G58" s="33"/>
      <ns0:c r="H58" t="str" s="35">
        <ns0:v>2x15, P2.54, THT, прямой</ns0:v>
      </ns0:c>
      <ns0:c r="I58" t="str" s="33">
        <ns0:v>CONNFLY</ns0:v>
      </ns0:c>
      <ns0:c r="J58" t="str" s="33">
        <ns0:v>DS1021</ns0:v>
      </ns0:c>
      <ns0:c r="K58" t="str" s="34">
        <ns0:f>B58&amp;" "&amp;D58&amp;" "&amp;J58</ns0:f>
        <ns0:v>Разъём 2x15, 2.54 мм DS1021</ns0:v>
      </ns0:c>
      <ns0:c r="L58" t="str" s="36">
        <ns0:v>XP_30</ns0:v>
      </ns0:c>
      <ns0:c r="M58" t="str" s="36">
        <ns0:v>Symbols\MY_LIB_Connectors.SchLib</ns0:v>
      </ns0:c>
      <ns0:c r="N58" t="str" s="36">
        <ns0:v>CONNFLY_DS1021_2X15</ns0:v>
      </ns0:c>
      <ns0:c r="O58" t="str" s="36">
        <ns0:v>Footprints\MY_LIB_Connectors.PcbLib</ns0:v>
      </ns0:c>
      <ns0:c r="P58" t="str" s="33">
        <ns0:v>Штыревой, прямой;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8" s="33"/>
      <ns0:c r="R58" t="str" s="34">
        <ns0:f>D58</ns0:f>
        <ns0:v>2x15, 2.54 мм</ns0:v>
      </ns0:c>
      <ns0:c r="S58" t="str" s="34">
        <ns0:f>K58</ns0:f>
        <ns0:v>Разъём 2x15, 2.54 мм DS1021</ns0:v>
      </ns0:c>
      <ns0:c r="T58" t="str" s="33">
        <ns0:v>C:\Users\Nomatin\Documents\Altium\MY_LIB\MY_LIB\Datasheets\CONNFLY_DS1021.pdf</ns0:v>
      </ns0:c>
      <ns0:c r="U58" s="33"/>
      <ns0:c r="V58" t="str" s="33">
        <ns0:v>Даташит — локальный</ns0:v>
      </ns0:c>
      <ns0:c r="W58" t="str" s="33">
        <ns0:v>C:\Users\Nomatin\Documents\Altium\MY_LIB\MY_LIB\Datasheets\CONNFLY_DS1021.pdf</ns0:v>
      </ns0:c>
      <ns0:c r="X58" t="str" s="33">
        <ns0:v>Даташит — производитель</ns0:v>
      </ns0:c>
      <ns0:c r="Y58" t="str" s="33">
        <ns0:v>https://en.connfly.com/static/upload/file/pdf/DS1021.pdf</ns0:v>
      </ns0:c>
      <ns0:c r="Z58" t="str" s="33">
        <ns0:v>C:\Users\Nomatin\Documents\Altium\MY_LIB\MY_LIB\Datasheets\CONNFLY_DS1021.pdf</ns0:v>
      </ns0:c>
    </ns0:row>
    <ns0:row xmlns:ns0="http://schemas.openxmlformats.org/spreadsheetml/2006/main" r="59" ht="85" customHeight="1">
      <ns0:c r="A59" t="str" s="33">
        <ns0:v>XP0056</ns0:v>
      </ns0:c>
      <ns0:c r="B59" t="str" s="33">
        <ns0:v>Разъём</ns0:v>
      </ns0:c>
      <ns0:c r="C59" t="str" s="33">
        <ns0:v>2x16, 2.54 мм</ns0:v>
      </ns0:c>
      <ns0:c r="D59" t="str" s="34">
        <ns0:f>C59</ns0:f>
        <ns0:v>2x16, 2.54 мм</ns0:v>
      </ns0:c>
      <ns0:c r="E59" s="33"/>
      <ns0:c r="F59" s="33"/>
      <ns0:c r="G59" s="33"/>
      <ns0:c r="H59" t="str" s="35">
        <ns0:v>2x16, P2.54, THT, прямой</ns0:v>
      </ns0:c>
      <ns0:c r="I59" t="str" s="33">
        <ns0:v>CONNFLY</ns0:v>
      </ns0:c>
      <ns0:c r="J59" t="str" s="33">
        <ns0:v>DS1021</ns0:v>
      </ns0:c>
      <ns0:c r="K59" t="str" s="34">
        <ns0:f>B59&amp;" "&amp;D59&amp;" "&amp;J59</ns0:f>
        <ns0:v>Разъём 2x16, 2.54 мм DS1021</ns0:v>
      </ns0:c>
      <ns0:c r="L59" t="str" s="36">
        <ns0:v>XP_32</ns0:v>
      </ns0:c>
      <ns0:c r="M59" t="str" s="36">
        <ns0:v>Symbols\MY_LIB_Connectors.SchLib</ns0:v>
      </ns0:c>
      <ns0:c r="N59" t="str" s="36">
        <ns0:v>CONNFLY_DS1021_2X16</ns0:v>
      </ns0:c>
      <ns0:c r="O59" t="str" s="36">
        <ns0:v>Footprints\MY_LIB_Connectors.PcbLib</ns0:v>
      </ns0:c>
      <ns0:c r="P59" t="str" s="33">
        <ns0:v>Штыревой, прямой;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59" s="33"/>
      <ns0:c r="R59" t="str" s="34">
        <ns0:f>D59</ns0:f>
        <ns0:v>2x16, 2.54 мм</ns0:v>
      </ns0:c>
      <ns0:c r="S59" t="str" s="34">
        <ns0:f>K59</ns0:f>
        <ns0:v>Разъём 2x16, 2.54 мм DS1021</ns0:v>
      </ns0:c>
      <ns0:c r="T59" t="str" s="33">
        <ns0:v>C:\Users\Nomatin\Documents\Altium\MY_LIB\MY_LIB\Datasheets\CONNFLY_DS1021.pdf</ns0:v>
      </ns0:c>
      <ns0:c r="U59" s="33"/>
      <ns0:c r="V59" t="str" s="33">
        <ns0:v>Даташит — локальный</ns0:v>
      </ns0:c>
      <ns0:c r="W59" t="str" s="33">
        <ns0:v>C:\Users\Nomatin\Documents\Altium\MY_LIB\MY_LIB\Datasheets\CONNFLY_DS1021.pdf</ns0:v>
      </ns0:c>
      <ns0:c r="X59" t="str" s="33">
        <ns0:v>Даташит — производитель</ns0:v>
      </ns0:c>
      <ns0:c r="Y59" t="str" s="33">
        <ns0:v>https://en.connfly.com/static/upload/file/pdf/DS1021.pdf</ns0:v>
      </ns0:c>
      <ns0:c r="Z59" t="str" s="33">
        <ns0:v>C:\Users\Nomatin\Documents\Altium\MY_LIB\MY_LIB\Datasheets\CONNFLY_DS1021.pdf</ns0:v>
      </ns0:c>
    </ns0:row>
    <ns0:row xmlns:ns0="http://schemas.openxmlformats.org/spreadsheetml/2006/main" r="60" ht="85" customHeight="1">
      <ns0:c r="A60" t="str" s="33">
        <ns0:v>XP0057</ns0:v>
      </ns0:c>
      <ns0:c r="B60" t="str" s="33">
        <ns0:v>Разъём</ns0:v>
      </ns0:c>
      <ns0:c r="C60" t="str" s="33">
        <ns0:v>2x17, 2.54 мм</ns0:v>
      </ns0:c>
      <ns0:c r="D60" t="str" s="34">
        <ns0:f>C60</ns0:f>
        <ns0:v>2x17, 2.54 мм</ns0:v>
      </ns0:c>
      <ns0:c r="E60" s="33"/>
      <ns0:c r="F60" s="33"/>
      <ns0:c r="G60" s="33"/>
      <ns0:c r="H60" t="str" s="35">
        <ns0:v>2x17, P2.54, THT, прямой</ns0:v>
      </ns0:c>
      <ns0:c r="I60" t="str" s="33">
        <ns0:v>CONNFLY</ns0:v>
      </ns0:c>
      <ns0:c r="J60" t="str" s="33">
        <ns0:v>DS1021</ns0:v>
      </ns0:c>
      <ns0:c r="K60" t="str" s="34">
        <ns0:f>B60&amp;" "&amp;D60&amp;" "&amp;J60</ns0:f>
        <ns0:v>Разъём 2x17, 2.54 мм DS1021</ns0:v>
      </ns0:c>
      <ns0:c r="L60" t="str" s="36">
        <ns0:v>XP_34</ns0:v>
      </ns0:c>
      <ns0:c r="M60" t="str" s="36">
        <ns0:v>Symbols\MY_LIB_Connectors.SchLib</ns0:v>
      </ns0:c>
      <ns0:c r="N60" t="str" s="36">
        <ns0:v>CONNFLY_DS1021_2X17</ns0:v>
      </ns0:c>
      <ns0:c r="O60" t="str" s="36">
        <ns0:v>Footprints\MY_LIB_Connectors.PcbLib</ns0:v>
      </ns0:c>
      <ns0:c r="P60" t="str" s="33">
        <ns0:v>Штыревой, прямой;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0" s="33"/>
      <ns0:c r="R60" t="str" s="34">
        <ns0:f>D60</ns0:f>
        <ns0:v>2x17, 2.54 мм</ns0:v>
      </ns0:c>
      <ns0:c r="S60" t="str" s="34">
        <ns0:f>K60</ns0:f>
        <ns0:v>Разъём 2x17, 2.54 мм DS1021</ns0:v>
      </ns0:c>
      <ns0:c r="T60" t="str" s="33">
        <ns0:v>C:\Users\Nomatin\Documents\Altium\MY_LIB\MY_LIB\Datasheets\CONNFLY_DS1021.pdf</ns0:v>
      </ns0:c>
      <ns0:c r="U60" s="33"/>
      <ns0:c r="V60" t="str" s="33">
        <ns0:v>Даташит — локальный</ns0:v>
      </ns0:c>
      <ns0:c r="W60" t="str" s="33">
        <ns0:v>C:\Users\Nomatin\Documents\Altium\MY_LIB\MY_LIB\Datasheets\CONNFLY_DS1021.pdf</ns0:v>
      </ns0:c>
      <ns0:c r="X60" t="str" s="33">
        <ns0:v>Даташит — производитель</ns0:v>
      </ns0:c>
      <ns0:c r="Y60" t="str" s="33">
        <ns0:v>https://en.connfly.com/static/upload/file/pdf/DS1021.pdf</ns0:v>
      </ns0:c>
      <ns0:c r="Z60" t="str" s="33">
        <ns0:v>C:\Users\Nomatin\Documents\Altium\MY_LIB\MY_LIB\Datasheets\CONNFLY_DS1021.pdf</ns0:v>
      </ns0:c>
    </ns0:row>
    <ns0:row xmlns:ns0="http://schemas.openxmlformats.org/spreadsheetml/2006/main" r="61" ht="85" customHeight="1">
      <ns0:c r="A61" t="str" s="33">
        <ns0:v>XP0058</ns0:v>
      </ns0:c>
      <ns0:c r="B61" t="str" s="33">
        <ns0:v>Разъём</ns0:v>
      </ns0:c>
      <ns0:c r="C61" t="str" s="33">
        <ns0:v>2x18, 2.54 мм</ns0:v>
      </ns0:c>
      <ns0:c r="D61" t="str" s="34">
        <ns0:f>C61</ns0:f>
        <ns0:v>2x18, 2.54 мм</ns0:v>
      </ns0:c>
      <ns0:c r="E61" s="33"/>
      <ns0:c r="F61" s="33"/>
      <ns0:c r="G61" s="33"/>
      <ns0:c r="H61" t="str" s="35">
        <ns0:v>2x18, P2.54, THT, прямой</ns0:v>
      </ns0:c>
      <ns0:c r="I61" t="str" s="33">
        <ns0:v>CONNFLY</ns0:v>
      </ns0:c>
      <ns0:c r="J61" t="str" s="33">
        <ns0:v>DS1021</ns0:v>
      </ns0:c>
      <ns0:c r="K61" t="str" s="34">
        <ns0:f>B61&amp;" "&amp;D61&amp;" "&amp;J61</ns0:f>
        <ns0:v>Разъём 2x18, 2.54 мм DS1021</ns0:v>
      </ns0:c>
      <ns0:c r="L61" t="str" s="36">
        <ns0:v>XP_36</ns0:v>
      </ns0:c>
      <ns0:c r="M61" t="str" s="36">
        <ns0:v>Symbols\MY_LIB_Connectors.SchLib</ns0:v>
      </ns0:c>
      <ns0:c r="N61" t="str" s="36">
        <ns0:v>CONNFLY_DS1021_2X18</ns0:v>
      </ns0:c>
      <ns0:c r="O61" t="str" s="36">
        <ns0:v>Footprints\MY_LIB_Connectors.PcbLib</ns0:v>
      </ns0:c>
      <ns0:c r="P61" t="str" s="33">
        <ns0:v>Штыревой, прямой;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1" s="33"/>
      <ns0:c r="R61" t="str" s="34">
        <ns0:f>D61</ns0:f>
        <ns0:v>2x18, 2.54 мм</ns0:v>
      </ns0:c>
      <ns0:c r="S61" t="str" s="34">
        <ns0:f>K61</ns0:f>
        <ns0:v>Разъём 2x18, 2.54 мм DS1021</ns0:v>
      </ns0:c>
      <ns0:c r="T61" t="str" s="33">
        <ns0:v>C:\Users\Nomatin\Documents\Altium\MY_LIB\MY_LIB\Datasheets\CONNFLY_DS1021.pdf</ns0:v>
      </ns0:c>
      <ns0:c r="U61" s="33"/>
      <ns0:c r="V61" t="str" s="33">
        <ns0:v>Даташит — локальный</ns0:v>
      </ns0:c>
      <ns0:c r="W61" t="str" s="33">
        <ns0:v>C:\Users\Nomatin\Documents\Altium\MY_LIB\MY_LIB\Datasheets\CONNFLY_DS1021.pdf</ns0:v>
      </ns0:c>
      <ns0:c r="X61" t="str" s="33">
        <ns0:v>Даташит — производитель</ns0:v>
      </ns0:c>
      <ns0:c r="Y61" t="str" s="33">
        <ns0:v>https://en.connfly.com/static/upload/file/pdf/DS1021.pdf</ns0:v>
      </ns0:c>
      <ns0:c r="Z61" t="str" s="33">
        <ns0:v>C:\Users\Nomatin\Documents\Altium\MY_LIB\MY_LIB\Datasheets\CONNFLY_DS1021.pdf</ns0:v>
      </ns0:c>
    </ns0:row>
    <ns0:row xmlns:ns0="http://schemas.openxmlformats.org/spreadsheetml/2006/main" r="62" ht="85" customHeight="1">
      <ns0:c r="A62" t="str" s="33">
        <ns0:v>XP0059</ns0:v>
      </ns0:c>
      <ns0:c r="B62" t="str" s="33">
        <ns0:v>Разъём</ns0:v>
      </ns0:c>
      <ns0:c r="C62" t="str" s="33">
        <ns0:v>2x19, 2.54 мм</ns0:v>
      </ns0:c>
      <ns0:c r="D62" t="str" s="34">
        <ns0:f>C62</ns0:f>
        <ns0:v>2x19, 2.54 мм</ns0:v>
      </ns0:c>
      <ns0:c r="E62" s="33"/>
      <ns0:c r="F62" s="33"/>
      <ns0:c r="G62" s="33"/>
      <ns0:c r="H62" t="str" s="35">
        <ns0:v>2x19, P2.54, THT, прямой</ns0:v>
      </ns0:c>
      <ns0:c r="I62" t="str" s="33">
        <ns0:v>CONNFLY</ns0:v>
      </ns0:c>
      <ns0:c r="J62" t="str" s="33">
        <ns0:v>DS1021</ns0:v>
      </ns0:c>
      <ns0:c r="K62" t="str" s="34">
        <ns0:f>B62&amp;" "&amp;D62&amp;" "&amp;J62</ns0:f>
        <ns0:v>Разъём 2x19, 2.54 мм DS1021</ns0:v>
      </ns0:c>
      <ns0:c r="L62" t="str" s="36">
        <ns0:v>XP_38</ns0:v>
      </ns0:c>
      <ns0:c r="M62" t="str" s="36">
        <ns0:v>Symbols\MY_LIB_Connectors.SchLib</ns0:v>
      </ns0:c>
      <ns0:c r="N62" t="str" s="36">
        <ns0:v>CONNFLY_DS1021_2X19</ns0:v>
      </ns0:c>
      <ns0:c r="O62" t="str" s="36">
        <ns0:v>Footprints\MY_LIB_Connectors.PcbLib</ns0:v>
      </ns0:c>
      <ns0:c r="P62" t="str" s="33">
        <ns0:v>Штыревой, прямой;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2" s="33"/>
      <ns0:c r="R62" t="str" s="34">
        <ns0:f>D62</ns0:f>
        <ns0:v>2x19, 2.54 мм</ns0:v>
      </ns0:c>
      <ns0:c r="S62" t="str" s="34">
        <ns0:f>K62</ns0:f>
        <ns0:v>Разъём 2x19, 2.54 мм DS1021</ns0:v>
      </ns0:c>
      <ns0:c r="T62" t="str" s="33">
        <ns0:v>C:\Users\Nomatin\Documents\Altium\MY_LIB\MY_LIB\Datasheets\CONNFLY_DS1021.pdf</ns0:v>
      </ns0:c>
      <ns0:c r="U62" s="33"/>
      <ns0:c r="V62" t="str" s="33">
        <ns0:v>Даташит — локальный</ns0:v>
      </ns0:c>
      <ns0:c r="W62" t="str" s="33">
        <ns0:v>C:\Users\Nomatin\Documents\Altium\MY_LIB\MY_LIB\Datasheets\CONNFLY_DS1021.pdf</ns0:v>
      </ns0:c>
      <ns0:c r="X62" t="str" s="33">
        <ns0:v>Даташит — производитель</ns0:v>
      </ns0:c>
      <ns0:c r="Y62" t="str" s="33">
        <ns0:v>https://en.connfly.com/static/upload/file/pdf/DS1021.pdf</ns0:v>
      </ns0:c>
      <ns0:c r="Z62" t="str" s="33">
        <ns0:v>C:\Users\Nomatin\Documents\Altium\MY_LIB\MY_LIB\Datasheets\CONNFLY_DS1021.pdf</ns0:v>
      </ns0:c>
    </ns0:row>
    <ns0:row xmlns:ns0="http://schemas.openxmlformats.org/spreadsheetml/2006/main" r="63" ht="85" customHeight="1">
      <ns0:c r="A63" t="str" s="33">
        <ns0:v>XP0060</ns0:v>
      </ns0:c>
      <ns0:c r="B63" t="str" s="33">
        <ns0:v>Разъём</ns0:v>
      </ns0:c>
      <ns0:c r="C63" t="str" s="33">
        <ns0:v>2x20, 2.54 мм</ns0:v>
      </ns0:c>
      <ns0:c r="D63" t="str" s="34">
        <ns0:f>C63</ns0:f>
        <ns0:v>2x20, 2.54 мм</ns0:v>
      </ns0:c>
      <ns0:c r="E63" s="33"/>
      <ns0:c r="F63" s="33"/>
      <ns0:c r="G63" s="33"/>
      <ns0:c r="H63" t="str" s="35">
        <ns0:v>2x20, P2.54, THT, прямой</ns0:v>
      </ns0:c>
      <ns0:c r="I63" t="str" s="33">
        <ns0:v>CONNFLY</ns0:v>
      </ns0:c>
      <ns0:c r="J63" t="str" s="33">
        <ns0:v>DS1021</ns0:v>
      </ns0:c>
      <ns0:c r="K63" t="str" s="34">
        <ns0:f>B63&amp;" "&amp;D63&amp;" "&amp;J63</ns0:f>
        <ns0:v>Разъём 2x20, 2.54 мм DS1021</ns0:v>
      </ns0:c>
      <ns0:c r="L63" t="str" s="36">
        <ns0:v>XP_40</ns0:v>
      </ns0:c>
      <ns0:c r="M63" t="str" s="36">
        <ns0:v>Symbols\MY_LIB_Connectors.SchLib</ns0:v>
      </ns0:c>
      <ns0:c r="N63" t="str" s="36">
        <ns0:v>CONNFLY_DS1021_2X20</ns0:v>
      </ns0:c>
      <ns0:c r="O63" t="str" s="36">
        <ns0:v>Footprints\MY_LIB_Connectors.PcbLib</ns0:v>
      </ns0:c>
      <ns0:c r="P63" t="str" s="33">
        <ns0:v>Штыревой, прямой;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3" s="33"/>
      <ns0:c r="R63" t="str" s="34">
        <ns0:f>D63</ns0:f>
        <ns0:v>2x20, 2.54 мм</ns0:v>
      </ns0:c>
      <ns0:c r="S63" t="str" s="34">
        <ns0:f>K63</ns0:f>
        <ns0:v>Разъём 2x20, 2.54 мм DS1021</ns0:v>
      </ns0:c>
      <ns0:c r="T63" t="str" s="33">
        <ns0:v>C:\Users\Nomatin\Documents\Altium\MY_LIB\MY_LIB\Datasheets\CONNFLY_DS1021.pdf</ns0:v>
      </ns0:c>
      <ns0:c r="U63" s="33"/>
      <ns0:c r="V63" t="str" s="33">
        <ns0:v>Даташит — локальный</ns0:v>
      </ns0:c>
      <ns0:c r="W63" t="str" s="33">
        <ns0:v>C:\Users\Nomatin\Documents\Altium\MY_LIB\MY_LIB\Datasheets\CONNFLY_DS1021.pdf</ns0:v>
      </ns0:c>
      <ns0:c r="X63" t="str" s="33">
        <ns0:v>Даташит — производитель</ns0:v>
      </ns0:c>
      <ns0:c r="Y63" t="str" s="33">
        <ns0:v>https://en.connfly.com/static/upload/file/pdf/DS1021.pdf</ns0:v>
      </ns0:c>
      <ns0:c r="Z63" t="str" s="33">
        <ns0:v>C:\Users\Nomatin\Documents\Altium\MY_LIB\MY_LIB\Datasheets\CONNFLY_DS1021.pdf</ns0:v>
      </ns0:c>
    </ns0:row>
    <ns0:row xmlns:ns0="http://schemas.openxmlformats.org/spreadsheetml/2006/main" r="64" ht="85" customHeight="1">
      <ns0:c r="A64" t="str" s="33">
        <ns0:v>XP0061</ns0:v>
      </ns0:c>
      <ns0:c r="B64" t="str" s="33">
        <ns0:v>Разъём</ns0:v>
      </ns0:c>
      <ns0:c r="C64" t="str" s="33">
        <ns0:v>2x21, 2.54 мм</ns0:v>
      </ns0:c>
      <ns0:c r="D64" t="str" s="34">
        <ns0:f>C64</ns0:f>
        <ns0:v>2x21, 2.54 мм</ns0:v>
      </ns0:c>
      <ns0:c r="E64" s="33"/>
      <ns0:c r="F64" s="33"/>
      <ns0:c r="G64" s="33"/>
      <ns0:c r="H64" t="str" s="35">
        <ns0:v>2x21, P2.54, THT, прямой</ns0:v>
      </ns0:c>
      <ns0:c r="I64" t="str" s="33">
        <ns0:v>CONNFLY</ns0:v>
      </ns0:c>
      <ns0:c r="J64" t="str" s="33">
        <ns0:v>DS1021</ns0:v>
      </ns0:c>
      <ns0:c r="K64" t="str" s="34">
        <ns0:f>B64&amp;" "&amp;D64&amp;" "&amp;J64</ns0:f>
        <ns0:v>Разъём 2x21, 2.54 мм DS1021</ns0:v>
      </ns0:c>
      <ns0:c r="L64" t="str" s="36">
        <ns0:v>XP_42</ns0:v>
      </ns0:c>
      <ns0:c r="M64" t="str" s="36">
        <ns0:v>Symbols\MY_LIB_Connectors.SchLib</ns0:v>
      </ns0:c>
      <ns0:c r="N64" t="str" s="36">
        <ns0:v>CONNFLY_DS1021_2X21</ns0:v>
      </ns0:c>
      <ns0:c r="O64" t="str" s="36">
        <ns0:v>Footprints\MY_LIB_Connectors.PcbLib</ns0:v>
      </ns0:c>
      <ns0:c r="P64" t="str" s="33">
        <ns0:v>Штыревой, прямой; 42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4" s="33"/>
      <ns0:c r="R64" t="str" s="34">
        <ns0:f>D64</ns0:f>
        <ns0:v>2x21, 2.54 мм</ns0:v>
      </ns0:c>
      <ns0:c r="S64" t="str" s="34">
        <ns0:f>K64</ns0:f>
        <ns0:v>Разъём 2x21, 2.54 мм DS1021</ns0:v>
      </ns0:c>
      <ns0:c r="T64" t="str" s="33">
        <ns0:v>C:\Users\Nomatin\Documents\Altium\MY_LIB\MY_LIB\Datasheets\CONNFLY_DS1021.pdf</ns0:v>
      </ns0:c>
      <ns0:c r="U64" s="33"/>
      <ns0:c r="V64" t="str" s="33">
        <ns0:v>Даташит — локальный</ns0:v>
      </ns0:c>
      <ns0:c r="W64" t="str" s="33">
        <ns0:v>C:\Users\Nomatin\Documents\Altium\MY_LIB\MY_LIB\Datasheets\CONNFLY_DS1021.pdf</ns0:v>
      </ns0:c>
      <ns0:c r="X64" t="str" s="33">
        <ns0:v>Даташит — производитель</ns0:v>
      </ns0:c>
      <ns0:c r="Y64" t="str" s="33">
        <ns0:v>https://en.connfly.com/static/upload/file/pdf/DS1021.pdf</ns0:v>
      </ns0:c>
      <ns0:c r="Z64" t="str" s="33">
        <ns0:v>C:\Users\Nomatin\Documents\Altium\MY_LIB\MY_LIB\Datasheets\CONNFLY_DS1021.pdf</ns0:v>
      </ns0:c>
    </ns0:row>
    <ns0:row xmlns:ns0="http://schemas.openxmlformats.org/spreadsheetml/2006/main" r="65" ht="85" customHeight="1">
      <ns0:c r="A65" t="str" s="33">
        <ns0:v>XP0062</ns0:v>
      </ns0:c>
      <ns0:c r="B65" t="str" s="33">
        <ns0:v>Разъём</ns0:v>
      </ns0:c>
      <ns0:c r="C65" t="str" s="33">
        <ns0:v>2x22, 2.54 мм</ns0:v>
      </ns0:c>
      <ns0:c r="D65" t="str" s="34">
        <ns0:f>C65</ns0:f>
        <ns0:v>2x22, 2.54 мм</ns0:v>
      </ns0:c>
      <ns0:c r="E65" s="33"/>
      <ns0:c r="F65" s="33"/>
      <ns0:c r="G65" s="33"/>
      <ns0:c r="H65" t="str" s="35">
        <ns0:v>2x22, P2.54, THT, прямой</ns0:v>
      </ns0:c>
      <ns0:c r="I65" t="str" s="33">
        <ns0:v>CONNFLY</ns0:v>
      </ns0:c>
      <ns0:c r="J65" t="str" s="33">
        <ns0:v>DS1021</ns0:v>
      </ns0:c>
      <ns0:c r="K65" t="str" s="34">
        <ns0:f>B65&amp;" "&amp;D65&amp;" "&amp;J65</ns0:f>
        <ns0:v>Разъём 2x22, 2.54 мм DS1021</ns0:v>
      </ns0:c>
      <ns0:c r="L65" t="str" s="36">
        <ns0:v>XP_44</ns0:v>
      </ns0:c>
      <ns0:c r="M65" t="str" s="36">
        <ns0:v>Symbols\MY_LIB_Connectors.SchLib</ns0:v>
      </ns0:c>
      <ns0:c r="N65" t="str" s="36">
        <ns0:v>CONNFLY_DS1021_2X22</ns0:v>
      </ns0:c>
      <ns0:c r="O65" t="str" s="36">
        <ns0:v>Footprints\MY_LIB_Connectors.PcbLib</ns0:v>
      </ns0:c>
      <ns0:c r="P65" t="str" s="33">
        <ns0:v>Штыревой, прямой; 44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5" s="33"/>
      <ns0:c r="R65" t="str" s="34">
        <ns0:f>D65</ns0:f>
        <ns0:v>2x22, 2.54 мм</ns0:v>
      </ns0:c>
      <ns0:c r="S65" t="str" s="34">
        <ns0:f>K65</ns0:f>
        <ns0:v>Разъём 2x22, 2.54 мм DS1021</ns0:v>
      </ns0:c>
      <ns0:c r="T65" t="str" s="33">
        <ns0:v>C:\Users\Nomatin\Documents\Altium\MY_LIB\MY_LIB\Datasheets\CONNFLY_DS1021.pdf</ns0:v>
      </ns0:c>
      <ns0:c r="U65" s="33"/>
      <ns0:c r="V65" t="str" s="33">
        <ns0:v>Даташит — локальный</ns0:v>
      </ns0:c>
      <ns0:c r="W65" t="str" s="33">
        <ns0:v>C:\Users\Nomatin\Documents\Altium\MY_LIB\MY_LIB\Datasheets\CONNFLY_DS1021.pdf</ns0:v>
      </ns0:c>
      <ns0:c r="X65" t="str" s="33">
        <ns0:v>Даташит — производитель</ns0:v>
      </ns0:c>
      <ns0:c r="Y65" t="str" s="33">
        <ns0:v>https://en.connfly.com/static/upload/file/pdf/DS1021.pdf</ns0:v>
      </ns0:c>
      <ns0:c r="Z65" t="str" s="33">
        <ns0:v>C:\Users\Nomatin\Documents\Altium\MY_LIB\MY_LIB\Datasheets\CONNFLY_DS1021.pdf</ns0:v>
      </ns0:c>
    </ns0:row>
    <ns0:row xmlns:ns0="http://schemas.openxmlformats.org/spreadsheetml/2006/main" r="66" ht="85" customHeight="1">
      <ns0:c r="A66" t="str" s="33">
        <ns0:v>XP0063</ns0:v>
      </ns0:c>
      <ns0:c r="B66" t="str" s="33">
        <ns0:v>Разъём</ns0:v>
      </ns0:c>
      <ns0:c r="C66" t="str" s="33">
        <ns0:v>2x23, 2.54 мм</ns0:v>
      </ns0:c>
      <ns0:c r="D66" t="str" s="34">
        <ns0:f>C66</ns0:f>
        <ns0:v>2x23, 2.54 мм</ns0:v>
      </ns0:c>
      <ns0:c r="E66" s="33"/>
      <ns0:c r="F66" s="33"/>
      <ns0:c r="G66" s="33"/>
      <ns0:c r="H66" t="str" s="35">
        <ns0:v>2x23, P2.54, THT, прямой</ns0:v>
      </ns0:c>
      <ns0:c r="I66" t="str" s="33">
        <ns0:v>CONNFLY</ns0:v>
      </ns0:c>
      <ns0:c r="J66" t="str" s="33">
        <ns0:v>DS1021</ns0:v>
      </ns0:c>
      <ns0:c r="K66" t="str" s="34">
        <ns0:f>B66&amp;" "&amp;D66&amp;" "&amp;J66</ns0:f>
        <ns0:v>Разъём 2x23, 2.54 мм DS1021</ns0:v>
      </ns0:c>
      <ns0:c r="L66" t="str" s="36">
        <ns0:v>XP_46</ns0:v>
      </ns0:c>
      <ns0:c r="M66" t="str" s="36">
        <ns0:v>Symbols\MY_LIB_Connectors.SchLib</ns0:v>
      </ns0:c>
      <ns0:c r="N66" t="str" s="36">
        <ns0:v>CONNFLY_DS1021_2X23</ns0:v>
      </ns0:c>
      <ns0:c r="O66" t="str" s="36">
        <ns0:v>Footprints\MY_LIB_Connectors.PcbLib</ns0:v>
      </ns0:c>
      <ns0:c r="P66" t="str" s="33">
        <ns0:v>Штыревой, прямой; 46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6" s="33"/>
      <ns0:c r="R66" t="str" s="34">
        <ns0:f>D66</ns0:f>
        <ns0:v>2x23, 2.54 мм</ns0:v>
      </ns0:c>
      <ns0:c r="S66" t="str" s="34">
        <ns0:f>K66</ns0:f>
        <ns0:v>Разъём 2x23, 2.54 мм DS1021</ns0:v>
      </ns0:c>
      <ns0:c r="T66" t="str" s="33">
        <ns0:v>C:\Users\Nomatin\Documents\Altium\MY_LIB\MY_LIB\Datasheets\CONNFLY_DS1021.pdf</ns0:v>
      </ns0:c>
      <ns0:c r="U66" s="33"/>
      <ns0:c r="V66" t="str" s="33">
        <ns0:v>Даташит — локальный</ns0:v>
      </ns0:c>
      <ns0:c r="W66" t="str" s="33">
        <ns0:v>C:\Users\Nomatin\Documents\Altium\MY_LIB\MY_LIB\Datasheets\CONNFLY_DS1021.pdf</ns0:v>
      </ns0:c>
      <ns0:c r="X66" t="str" s="33">
        <ns0:v>Даташит — производитель</ns0:v>
      </ns0:c>
      <ns0:c r="Y66" t="str" s="33">
        <ns0:v>https://en.connfly.com/static/upload/file/pdf/DS1021.pdf</ns0:v>
      </ns0:c>
      <ns0:c r="Z66" t="str" s="33">
        <ns0:v>C:\Users\Nomatin\Documents\Altium\MY_LIB\MY_LIB\Datasheets\CONNFLY_DS1021.pdf</ns0:v>
      </ns0:c>
    </ns0:row>
    <ns0:row xmlns:ns0="http://schemas.openxmlformats.org/spreadsheetml/2006/main" r="67" ht="85" customHeight="1">
      <ns0:c r="A67" t="str" s="33">
        <ns0:v>XP0064</ns0:v>
      </ns0:c>
      <ns0:c r="B67" t="str" s="33">
        <ns0:v>Разъём</ns0:v>
      </ns0:c>
      <ns0:c r="C67" t="str" s="33">
        <ns0:v>2x24, 2.54 мм</ns0:v>
      </ns0:c>
      <ns0:c r="D67" t="str" s="34">
        <ns0:f>C67</ns0:f>
        <ns0:v>2x24, 2.54 мм</ns0:v>
      </ns0:c>
      <ns0:c r="E67" s="33"/>
      <ns0:c r="F67" s="33"/>
      <ns0:c r="G67" s="33"/>
      <ns0:c r="H67" t="str" s="35">
        <ns0:v>2x24, P2.54, THT, прямой</ns0:v>
      </ns0:c>
      <ns0:c r="I67" t="str" s="33">
        <ns0:v>CONNFLY</ns0:v>
      </ns0:c>
      <ns0:c r="J67" t="str" s="33">
        <ns0:v>DS1021</ns0:v>
      </ns0:c>
      <ns0:c r="K67" t="str" s="34">
        <ns0:f>B67&amp;" "&amp;D67&amp;" "&amp;J67</ns0:f>
        <ns0:v>Разъём 2x24, 2.54 мм DS1021</ns0:v>
      </ns0:c>
      <ns0:c r="L67" t="str" s="36">
        <ns0:v>XP_48</ns0:v>
      </ns0:c>
      <ns0:c r="M67" t="str" s="36">
        <ns0:v>Symbols\MY_LIB_Connectors.SchLib</ns0:v>
      </ns0:c>
      <ns0:c r="N67" t="str" s="36">
        <ns0:v>CONNFLY_DS1021_2X24</ns0:v>
      </ns0:c>
      <ns0:c r="O67" t="str" s="36">
        <ns0:v>Footprints\MY_LIB_Connectors.PcbLib</ns0:v>
      </ns0:c>
      <ns0:c r="P67" t="str" s="33">
        <ns0:v>Штыревой, прямой; 48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7" s="33"/>
      <ns0:c r="R67" t="str" s="34">
        <ns0:f>D67</ns0:f>
        <ns0:v>2x24, 2.54 мм</ns0:v>
      </ns0:c>
      <ns0:c r="S67" t="str" s="34">
        <ns0:f>K67</ns0:f>
        <ns0:v>Разъём 2x24, 2.54 мм DS1021</ns0:v>
      </ns0:c>
      <ns0:c r="T67" t="str" s="33">
        <ns0:v>C:\Users\Nomatin\Documents\Altium\MY_LIB\MY_LIB\Datasheets\CONNFLY_DS1021.pdf</ns0:v>
      </ns0:c>
      <ns0:c r="U67" s="33"/>
      <ns0:c r="V67" t="str" s="33">
        <ns0:v>Даташит — локальный</ns0:v>
      </ns0:c>
      <ns0:c r="W67" t="str" s="33">
        <ns0:v>C:\Users\Nomatin\Documents\Altium\MY_LIB\MY_LIB\Datasheets\CONNFLY_DS1021.pdf</ns0:v>
      </ns0:c>
      <ns0:c r="X67" t="str" s="33">
        <ns0:v>Даташит — производитель</ns0:v>
      </ns0:c>
      <ns0:c r="Y67" t="str" s="33">
        <ns0:v>https://en.connfly.com/static/upload/file/pdf/DS1021.pdf</ns0:v>
      </ns0:c>
      <ns0:c r="Z67" t="str" s="33">
        <ns0:v>C:\Users\Nomatin\Documents\Altium\MY_LIB\MY_LIB\Datasheets\CONNFLY_DS1021.pdf</ns0:v>
      </ns0:c>
    </ns0:row>
    <ns0:row xmlns:ns0="http://schemas.openxmlformats.org/spreadsheetml/2006/main" r="68" ht="85" customHeight="1">
      <ns0:c r="A68" t="str" s="33">
        <ns0:v>XP0065</ns0:v>
      </ns0:c>
      <ns0:c r="B68" t="str" s="33">
        <ns0:v>Разъём</ns0:v>
      </ns0:c>
      <ns0:c r="C68" t="str" s="33">
        <ns0:v>2x25, 2.54 мм</ns0:v>
      </ns0:c>
      <ns0:c r="D68" t="str" s="34">
        <ns0:f>C68</ns0:f>
        <ns0:v>2x25, 2.54 мм</ns0:v>
      </ns0:c>
      <ns0:c r="E68" s="33"/>
      <ns0:c r="F68" s="33"/>
      <ns0:c r="G68" s="33"/>
      <ns0:c r="H68" t="str" s="35">
        <ns0:v>2x25, P2.54, THT, прямой</ns0:v>
      </ns0:c>
      <ns0:c r="I68" t="str" s="33">
        <ns0:v>CONNFLY</ns0:v>
      </ns0:c>
      <ns0:c r="J68" t="str" s="33">
        <ns0:v>DS1021</ns0:v>
      </ns0:c>
      <ns0:c r="K68" t="str" s="34">
        <ns0:f>B68&amp;" "&amp;D68&amp;" "&amp;J68</ns0:f>
        <ns0:v>Разъём 2x25, 2.54 мм DS1021</ns0:v>
      </ns0:c>
      <ns0:c r="L68" t="str" s="36">
        <ns0:v>XP_50</ns0:v>
      </ns0:c>
      <ns0:c r="M68" t="str" s="36">
        <ns0:v>Symbols\MY_LIB_Connectors.SchLib</ns0:v>
      </ns0:c>
      <ns0:c r="N68" t="str" s="36">
        <ns0:v>CONNFLY_DS1021_2X25</ns0:v>
      </ns0:c>
      <ns0:c r="O68" t="str" s="36">
        <ns0:v>Footprints\MY_LIB_Connectors.PcbLib</ns0:v>
      </ns0:c>
      <ns0:c r="P68" t="str" s="33">
        <ns0:v>Штыревой, прямой; 50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8" s="33"/>
      <ns0:c r="R68" t="str" s="34">
        <ns0:f>D68</ns0:f>
        <ns0:v>2x25, 2.54 мм</ns0:v>
      </ns0:c>
      <ns0:c r="S68" t="str" s="34">
        <ns0:f>K68</ns0:f>
        <ns0:v>Разъём 2x25, 2.54 мм DS1021</ns0:v>
      </ns0:c>
      <ns0:c r="T68" t="str" s="33">
        <ns0:v>C:\Users\Nomatin\Documents\Altium\MY_LIB\MY_LIB\Datasheets\CONNFLY_DS1021.pdf</ns0:v>
      </ns0:c>
      <ns0:c r="U68" s="33"/>
      <ns0:c r="V68" t="str" s="33">
        <ns0:v>Даташит — локальный</ns0:v>
      </ns0:c>
      <ns0:c r="W68" t="str" s="33">
        <ns0:v>C:\Users\Nomatin\Documents\Altium\MY_LIB\MY_LIB\Datasheets\CONNFLY_DS1021.pdf</ns0:v>
      </ns0:c>
      <ns0:c r="X68" t="str" s="33">
        <ns0:v>Даташит — производитель</ns0:v>
      </ns0:c>
      <ns0:c r="Y68" t="str" s="33">
        <ns0:v>https://en.connfly.com/static/upload/file/pdf/DS1021.pdf</ns0:v>
      </ns0:c>
      <ns0:c r="Z68" t="str" s="33">
        <ns0:v>C:\Users\Nomatin\Documents\Altium\MY_LIB\MY_LIB\Datasheets\CONNFLY_DS1021.pdf</ns0:v>
      </ns0:c>
    </ns0:row>
    <ns0:row xmlns:ns0="http://schemas.openxmlformats.org/spreadsheetml/2006/main" r="69" ht="85" customHeight="1">
      <ns0:c r="A69" t="str" s="33">
        <ns0:v>XP0066</ns0:v>
      </ns0:c>
      <ns0:c r="B69" t="str" s="33">
        <ns0:v>Разъём</ns0:v>
      </ns0:c>
      <ns0:c r="C69" t="str" s="33">
        <ns0:v>2x26, 2.54 мм</ns0:v>
      </ns0:c>
      <ns0:c r="D69" t="str" s="34">
        <ns0:f>C69</ns0:f>
        <ns0:v>2x26, 2.54 мм</ns0:v>
      </ns0:c>
      <ns0:c r="E69" s="33"/>
      <ns0:c r="F69" s="33"/>
      <ns0:c r="G69" s="33"/>
      <ns0:c r="H69" t="str" s="35">
        <ns0:v>2x26, P2.54, THT, прямой</ns0:v>
      </ns0:c>
      <ns0:c r="I69" t="str" s="33">
        <ns0:v>CONNFLY</ns0:v>
      </ns0:c>
      <ns0:c r="J69" t="str" s="33">
        <ns0:v>DS1021</ns0:v>
      </ns0:c>
      <ns0:c r="K69" t="str" s="34">
        <ns0:f>B69&amp;" "&amp;D69&amp;" "&amp;J69</ns0:f>
        <ns0:v>Разъём 2x26, 2.54 мм DS1021</ns0:v>
      </ns0:c>
      <ns0:c r="L69" t="str" s="36">
        <ns0:v>XP_52</ns0:v>
      </ns0:c>
      <ns0:c r="M69" t="str" s="36">
        <ns0:v>Symbols\MY_LIB_Connectors.SchLib</ns0:v>
      </ns0:c>
      <ns0:c r="N69" t="str" s="36">
        <ns0:v>CONNFLY_DS1021_2X26</ns0:v>
      </ns0:c>
      <ns0:c r="O69" t="str" s="36">
        <ns0:v>Footprints\MY_LIB_Connectors.PcbLib</ns0:v>
      </ns0:c>
      <ns0:c r="P69" t="str" s="33">
        <ns0:v>Штыревой, прямой; 52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69" s="33"/>
      <ns0:c r="R69" t="str" s="34">
        <ns0:f>D69</ns0:f>
        <ns0:v>2x26, 2.54 мм</ns0:v>
      </ns0:c>
      <ns0:c r="S69" t="str" s="34">
        <ns0:f>K69</ns0:f>
        <ns0:v>Разъём 2x26, 2.54 мм DS1021</ns0:v>
      </ns0:c>
      <ns0:c r="T69" t="str" s="33">
        <ns0:v>C:\Users\Nomatin\Documents\Altium\MY_LIB\MY_LIB\Datasheets\CONNFLY_DS1021.pdf</ns0:v>
      </ns0:c>
      <ns0:c r="U69" s="33"/>
      <ns0:c r="V69" t="str" s="33">
        <ns0:v>Даташит — локальный</ns0:v>
      </ns0:c>
      <ns0:c r="W69" t="str" s="33">
        <ns0:v>C:\Users\Nomatin\Documents\Altium\MY_LIB\MY_LIB\Datasheets\CONNFLY_DS1021.pdf</ns0:v>
      </ns0:c>
      <ns0:c r="X69" t="str" s="33">
        <ns0:v>Даташит — производитель</ns0:v>
      </ns0:c>
      <ns0:c r="Y69" t="str" s="33">
        <ns0:v>https://en.connfly.com/static/upload/file/pdf/DS1021.pdf</ns0:v>
      </ns0:c>
      <ns0:c r="Z69" t="str" s="33">
        <ns0:v>C:\Users\Nomatin\Documents\Altium\MY_LIB\MY_LIB\Datasheets\CONNFLY_DS1021.pdf</ns0:v>
      </ns0:c>
    </ns0:row>
    <ns0:row xmlns:ns0="http://schemas.openxmlformats.org/spreadsheetml/2006/main" r="70" ht="85" customHeight="1">
      <ns0:c r="A70" t="str" s="33">
        <ns0:v>XP0067</ns0:v>
      </ns0:c>
      <ns0:c r="B70" t="str" s="33">
        <ns0:v>Разъём</ns0:v>
      </ns0:c>
      <ns0:c r="C70" t="str" s="33">
        <ns0:v>2x27, 2.54 мм</ns0:v>
      </ns0:c>
      <ns0:c r="D70" t="str" s="34">
        <ns0:f>C70</ns0:f>
        <ns0:v>2x27, 2.54 мм</ns0:v>
      </ns0:c>
      <ns0:c r="E70" s="33"/>
      <ns0:c r="F70" s="33"/>
      <ns0:c r="G70" s="33"/>
      <ns0:c r="H70" t="str" s="35">
        <ns0:v>2x27, P2.54, THT, прямой</ns0:v>
      </ns0:c>
      <ns0:c r="I70" t="str" s="33">
        <ns0:v>CONNFLY</ns0:v>
      </ns0:c>
      <ns0:c r="J70" t="str" s="33">
        <ns0:v>DS1021</ns0:v>
      </ns0:c>
      <ns0:c r="K70" t="str" s="34">
        <ns0:f>B70&amp;" "&amp;D70&amp;" "&amp;J70</ns0:f>
        <ns0:v>Разъём 2x27, 2.54 мм DS1021</ns0:v>
      </ns0:c>
      <ns0:c r="L70" t="str" s="36">
        <ns0:v>XP_54</ns0:v>
      </ns0:c>
      <ns0:c r="M70" t="str" s="36">
        <ns0:v>Symbols\MY_LIB_Connectors.SchLib</ns0:v>
      </ns0:c>
      <ns0:c r="N70" t="str" s="36">
        <ns0:v>CONNFLY_DS1021_2X27</ns0:v>
      </ns0:c>
      <ns0:c r="O70" t="str" s="36">
        <ns0:v>Footprints\MY_LIB_Connectors.PcbLib</ns0:v>
      </ns0:c>
      <ns0:c r="P70" t="str" s="33">
        <ns0:v>Штыревой, прямой; 54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0" s="33"/>
      <ns0:c r="R70" t="str" s="34">
        <ns0:f>D70</ns0:f>
        <ns0:v>2x27, 2.54 мм</ns0:v>
      </ns0:c>
      <ns0:c r="S70" t="str" s="34">
        <ns0:f>K70</ns0:f>
        <ns0:v>Разъём 2x27, 2.54 мм DS1021</ns0:v>
      </ns0:c>
      <ns0:c r="T70" t="str" s="33">
        <ns0:v>C:\Users\Nomatin\Documents\Altium\MY_LIB\MY_LIB\Datasheets\CONNFLY_DS1021.pdf</ns0:v>
      </ns0:c>
      <ns0:c r="U70" s="33"/>
      <ns0:c r="V70" t="str" s="33">
        <ns0:v>Даташит — локальный</ns0:v>
      </ns0:c>
      <ns0:c r="W70" t="str" s="33">
        <ns0:v>C:\Users\Nomatin\Documents\Altium\MY_LIB\MY_LIB\Datasheets\CONNFLY_DS1021.pdf</ns0:v>
      </ns0:c>
      <ns0:c r="X70" t="str" s="33">
        <ns0:v>Даташит — производитель</ns0:v>
      </ns0:c>
      <ns0:c r="Y70" t="str" s="33">
        <ns0:v>https://en.connfly.com/static/upload/file/pdf/DS1021.pdf</ns0:v>
      </ns0:c>
      <ns0:c r="Z70" t="str" s="33">
        <ns0:v>C:\Users\Nomatin\Documents\Altium\MY_LIB\MY_LIB\Datasheets\CONNFLY_DS1021.pdf</ns0:v>
      </ns0:c>
    </ns0:row>
    <ns0:row xmlns:ns0="http://schemas.openxmlformats.org/spreadsheetml/2006/main" r="71" ht="85" customHeight="1">
      <ns0:c r="A71" t="str" s="33">
        <ns0:v>XP0068</ns0:v>
      </ns0:c>
      <ns0:c r="B71" t="str" s="33">
        <ns0:v>Разъём</ns0:v>
      </ns0:c>
      <ns0:c r="C71" t="str" s="33">
        <ns0:v>2x28, 2.54 мм</ns0:v>
      </ns0:c>
      <ns0:c r="D71" t="str" s="34">
        <ns0:f>C71</ns0:f>
        <ns0:v>2x28, 2.54 мм</ns0:v>
      </ns0:c>
      <ns0:c r="E71" s="33"/>
      <ns0:c r="F71" s="33"/>
      <ns0:c r="G71" s="33"/>
      <ns0:c r="H71" t="str" s="35">
        <ns0:v>2x28, P2.54, THT, прямой</ns0:v>
      </ns0:c>
      <ns0:c r="I71" t="str" s="33">
        <ns0:v>CONNFLY</ns0:v>
      </ns0:c>
      <ns0:c r="J71" t="str" s="33">
        <ns0:v>DS1021</ns0:v>
      </ns0:c>
      <ns0:c r="K71" t="str" s="34">
        <ns0:f>B71&amp;" "&amp;D71&amp;" "&amp;J71</ns0:f>
        <ns0:v>Разъём 2x28, 2.54 мм DS1021</ns0:v>
      </ns0:c>
      <ns0:c r="L71" t="str" s="36">
        <ns0:v>XP_56</ns0:v>
      </ns0:c>
      <ns0:c r="M71" t="str" s="36">
        <ns0:v>Symbols\MY_LIB_Connectors.SchLib</ns0:v>
      </ns0:c>
      <ns0:c r="N71" t="str" s="36">
        <ns0:v>CONNFLY_DS1021_2X28</ns0:v>
      </ns0:c>
      <ns0:c r="O71" t="str" s="36">
        <ns0:v>Footprints\MY_LIB_Connectors.PcbLib</ns0:v>
      </ns0:c>
      <ns0:c r="P71" t="str" s="33">
        <ns0:v>Штыревой, прямой; 56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1" s="33"/>
      <ns0:c r="R71" t="str" s="34">
        <ns0:f>D71</ns0:f>
        <ns0:v>2x28, 2.54 мм</ns0:v>
      </ns0:c>
      <ns0:c r="S71" t="str" s="34">
        <ns0:f>K71</ns0:f>
        <ns0:v>Разъём 2x28, 2.54 мм DS1021</ns0:v>
      </ns0:c>
      <ns0:c r="T71" t="str" s="33">
        <ns0:v>C:\Users\Nomatin\Documents\Altium\MY_LIB\MY_LIB\Datasheets\CONNFLY_DS1021.pdf</ns0:v>
      </ns0:c>
      <ns0:c r="U71" s="33"/>
      <ns0:c r="V71" t="str" s="33">
        <ns0:v>Даташит — локальный</ns0:v>
      </ns0:c>
      <ns0:c r="W71" t="str" s="33">
        <ns0:v>C:\Users\Nomatin\Documents\Altium\MY_LIB\MY_LIB\Datasheets\CONNFLY_DS1021.pdf</ns0:v>
      </ns0:c>
      <ns0:c r="X71" t="str" s="33">
        <ns0:v>Даташит — производитель</ns0:v>
      </ns0:c>
      <ns0:c r="Y71" t="str" s="33">
        <ns0:v>https://en.connfly.com/static/upload/file/pdf/DS1021.pdf</ns0:v>
      </ns0:c>
      <ns0:c r="Z71" t="str" s="33">
        <ns0:v>C:\Users\Nomatin\Documents\Altium\MY_LIB\MY_LIB\Datasheets\CONNFLY_DS1021.pdf</ns0:v>
      </ns0:c>
    </ns0:row>
    <ns0:row xmlns:ns0="http://schemas.openxmlformats.org/spreadsheetml/2006/main" r="72" ht="85" customHeight="1">
      <ns0:c r="A72" t="str" s="33">
        <ns0:v>XP0069</ns0:v>
      </ns0:c>
      <ns0:c r="B72" t="str" s="33">
        <ns0:v>Разъём</ns0:v>
      </ns0:c>
      <ns0:c r="C72" t="str" s="33">
        <ns0:v>2x29, 2.54 мм</ns0:v>
      </ns0:c>
      <ns0:c r="D72" t="str" s="34">
        <ns0:f>C72</ns0:f>
        <ns0:v>2x29, 2.54 мм</ns0:v>
      </ns0:c>
      <ns0:c r="E72" s="33"/>
      <ns0:c r="F72" s="33"/>
      <ns0:c r="G72" s="33"/>
      <ns0:c r="H72" t="str" s="35">
        <ns0:v>2x29, P2.54, THT, прямой</ns0:v>
      </ns0:c>
      <ns0:c r="I72" t="str" s="33">
        <ns0:v>CONNFLY</ns0:v>
      </ns0:c>
      <ns0:c r="J72" t="str" s="33">
        <ns0:v>DS1021</ns0:v>
      </ns0:c>
      <ns0:c r="K72" t="str" s="34">
        <ns0:f>B72&amp;" "&amp;D72&amp;" "&amp;J72</ns0:f>
        <ns0:v>Разъём 2x29, 2.54 мм DS1021</ns0:v>
      </ns0:c>
      <ns0:c r="L72" t="str" s="36">
        <ns0:v>XP_58</ns0:v>
      </ns0:c>
      <ns0:c r="M72" t="str" s="36">
        <ns0:v>Symbols\MY_LIB_Connectors.SchLib</ns0:v>
      </ns0:c>
      <ns0:c r="N72" t="str" s="36">
        <ns0:v>CONNFLY_DS1021_2X29</ns0:v>
      </ns0:c>
      <ns0:c r="O72" t="str" s="36">
        <ns0:v>Footprints\MY_LIB_Connectors.PcbLib</ns0:v>
      </ns0:c>
      <ns0:c r="P72" t="str" s="33">
        <ns0:v>Штыревой, прямой; 58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2" s="33"/>
      <ns0:c r="R72" t="str" s="34">
        <ns0:f>D72</ns0:f>
        <ns0:v>2x29, 2.54 мм</ns0:v>
      </ns0:c>
      <ns0:c r="S72" t="str" s="34">
        <ns0:f>K72</ns0:f>
        <ns0:v>Разъём 2x29, 2.54 мм DS1021</ns0:v>
      </ns0:c>
      <ns0:c r="T72" t="str" s="33">
        <ns0:v>C:\Users\Nomatin\Documents\Altium\MY_LIB\MY_LIB\Datasheets\CONNFLY_DS1021.pdf</ns0:v>
      </ns0:c>
      <ns0:c r="U72" s="33"/>
      <ns0:c r="V72" t="str" s="33">
        <ns0:v>Даташит — локальный</ns0:v>
      </ns0:c>
      <ns0:c r="W72" t="str" s="33">
        <ns0:v>C:\Users\Nomatin\Documents\Altium\MY_LIB\MY_LIB\Datasheets\CONNFLY_DS1021.pdf</ns0:v>
      </ns0:c>
      <ns0:c r="X72" t="str" s="33">
        <ns0:v>Даташит — производитель</ns0:v>
      </ns0:c>
      <ns0:c r="Y72" t="str" s="33">
        <ns0:v>https://en.connfly.com/static/upload/file/pdf/DS1021.pdf</ns0:v>
      </ns0:c>
      <ns0:c r="Z72" t="str" s="33">
        <ns0:v>C:\Users\Nomatin\Documents\Altium\MY_LIB\MY_LIB\Datasheets\CONNFLY_DS1021.pdf</ns0:v>
      </ns0:c>
    </ns0:row>
    <ns0:row xmlns:ns0="http://schemas.openxmlformats.org/spreadsheetml/2006/main" r="73" ht="85" customHeight="1">
      <ns0:c r="A73" t="str" s="33">
        <ns0:v>XP0070</ns0:v>
      </ns0:c>
      <ns0:c r="B73" t="str" s="33">
        <ns0:v>Разъём</ns0:v>
      </ns0:c>
      <ns0:c r="C73" t="str" s="33">
        <ns0:v>2x30, 2.54 мм</ns0:v>
      </ns0:c>
      <ns0:c r="D73" t="str" s="34">
        <ns0:f>C73</ns0:f>
        <ns0:v>2x30, 2.54 мм</ns0:v>
      </ns0:c>
      <ns0:c r="E73" s="33"/>
      <ns0:c r="F73" s="33"/>
      <ns0:c r="G73" s="33"/>
      <ns0:c r="H73" t="str" s="35">
        <ns0:v>2x30, P2.54, THT, прямой</ns0:v>
      </ns0:c>
      <ns0:c r="I73" t="str" s="33">
        <ns0:v>CONNFLY</ns0:v>
      </ns0:c>
      <ns0:c r="J73" t="str" s="33">
        <ns0:v>DS1021</ns0:v>
      </ns0:c>
      <ns0:c r="K73" t="str" s="34">
        <ns0:f>B73&amp;" "&amp;D73&amp;" "&amp;J73</ns0:f>
        <ns0:v>Разъём 2x30, 2.54 мм DS1021</ns0:v>
      </ns0:c>
      <ns0:c r="L73" t="str" s="36">
        <ns0:v>XP_60</ns0:v>
      </ns0:c>
      <ns0:c r="M73" t="str" s="36">
        <ns0:v>Symbols\MY_LIB_Connectors.SchLib</ns0:v>
      </ns0:c>
      <ns0:c r="N73" t="str" s="36">
        <ns0:v>CONNFLY_DS1021_2X30</ns0:v>
      </ns0:c>
      <ns0:c r="O73" t="str" s="36">
        <ns0:v>Footprints\MY_LIB_Connectors.PcbLib</ns0:v>
      </ns0:c>
      <ns0:c r="P73" t="str" s="33">
        <ns0:v>Штыревой, прямой; 60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3" s="33"/>
      <ns0:c r="R73" t="str" s="34">
        <ns0:f>D73</ns0:f>
        <ns0:v>2x30, 2.54 мм</ns0:v>
      </ns0:c>
      <ns0:c r="S73" t="str" s="34">
        <ns0:f>K73</ns0:f>
        <ns0:v>Разъём 2x30, 2.54 мм DS1021</ns0:v>
      </ns0:c>
      <ns0:c r="T73" t="str" s="33">
        <ns0:v>C:\Users\Nomatin\Documents\Altium\MY_LIB\MY_LIB\Datasheets\CONNFLY_DS1021.pdf</ns0:v>
      </ns0:c>
      <ns0:c r="U73" s="33"/>
      <ns0:c r="V73" t="str" s="33">
        <ns0:v>Даташит — локальный</ns0:v>
      </ns0:c>
      <ns0:c r="W73" t="str" s="33">
        <ns0:v>C:\Users\Nomatin\Documents\Altium\MY_LIB\MY_LIB\Datasheets\CONNFLY_DS1021.pdf</ns0:v>
      </ns0:c>
      <ns0:c r="X73" t="str" s="33">
        <ns0:v>Даташит — производитель</ns0:v>
      </ns0:c>
      <ns0:c r="Y73" t="str" s="33">
        <ns0:v>https://en.connfly.com/static/upload/file/pdf/DS1021.pdf</ns0:v>
      </ns0:c>
      <ns0:c r="Z73" t="str" s="33">
        <ns0:v>C:\Users\Nomatin\Documents\Altium\MY_LIB\MY_LIB\Datasheets\CONNFLY_DS1021.pdf</ns0:v>
      </ns0:c>
    </ns0:row>
    <ns0:row xmlns:ns0="http://schemas.openxmlformats.org/spreadsheetml/2006/main" r="74" ht="85" customHeight="1">
      <ns0:c r="A74" t="str" s="33">
        <ns0:v>XP0071</ns0:v>
      </ns0:c>
      <ns0:c r="B74" t="str" s="33">
        <ns0:v>Разъём</ns0:v>
      </ns0:c>
      <ns0:c r="C74" t="str" s="33">
        <ns0:v>2x31, 2.54 мм</ns0:v>
      </ns0:c>
      <ns0:c r="D74" t="str" s="34">
        <ns0:f>C74</ns0:f>
        <ns0:v>2x31, 2.54 мм</ns0:v>
      </ns0:c>
      <ns0:c r="E74" s="33"/>
      <ns0:c r="F74" s="33"/>
      <ns0:c r="G74" s="33"/>
      <ns0:c r="H74" t="str" s="35">
        <ns0:v>2x31, P2.54, THT, прямой</ns0:v>
      </ns0:c>
      <ns0:c r="I74" t="str" s="33">
        <ns0:v>CONNFLY</ns0:v>
      </ns0:c>
      <ns0:c r="J74" t="str" s="33">
        <ns0:v>DS1021</ns0:v>
      </ns0:c>
      <ns0:c r="K74" t="str" s="34">
        <ns0:f>B74&amp;" "&amp;D74&amp;" "&amp;J74</ns0:f>
        <ns0:v>Разъём 2x31, 2.54 мм DS1021</ns0:v>
      </ns0:c>
      <ns0:c r="L74" t="str" s="36">
        <ns0:v>XP_62</ns0:v>
      </ns0:c>
      <ns0:c r="M74" t="str" s="36">
        <ns0:v>Symbols\MY_LIB_Connectors.SchLib</ns0:v>
      </ns0:c>
      <ns0:c r="N74" t="str" s="36">
        <ns0:v>CONNFLY_DS1021_2X31</ns0:v>
      </ns0:c>
      <ns0:c r="O74" t="str" s="36">
        <ns0:v>Footprints\MY_LIB_Connectors.PcbLib</ns0:v>
      </ns0:c>
      <ns0:c r="P74" t="str" s="33">
        <ns0:v>Штыревой, прямой; 62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4" s="33"/>
      <ns0:c r="R74" t="str" s="34">
        <ns0:f>D74</ns0:f>
        <ns0:v>2x31, 2.54 мм</ns0:v>
      </ns0:c>
      <ns0:c r="S74" t="str" s="34">
        <ns0:f>K74</ns0:f>
        <ns0:v>Разъём 2x31, 2.54 мм DS1021</ns0:v>
      </ns0:c>
      <ns0:c r="T74" t="str" s="33">
        <ns0:v>C:\Users\Nomatin\Documents\Altium\MY_LIB\MY_LIB\Datasheets\CONNFLY_DS1021.pdf</ns0:v>
      </ns0:c>
      <ns0:c r="U74" s="33"/>
      <ns0:c r="V74" t="str" s="33">
        <ns0:v>Даташит — локальный</ns0:v>
      </ns0:c>
      <ns0:c r="W74" t="str" s="33">
        <ns0:v>C:\Users\Nomatin\Documents\Altium\MY_LIB\MY_LIB\Datasheets\CONNFLY_DS1021.pdf</ns0:v>
      </ns0:c>
      <ns0:c r="X74" t="str" s="33">
        <ns0:v>Даташит — производитель</ns0:v>
      </ns0:c>
      <ns0:c r="Y74" t="str" s="33">
        <ns0:v>https://en.connfly.com/static/upload/file/pdf/DS1021.pdf</ns0:v>
      </ns0:c>
      <ns0:c r="Z74" t="str" s="33">
        <ns0:v>C:\Users\Nomatin\Documents\Altium\MY_LIB\MY_LIB\Datasheets\CONNFLY_DS1021.pdf</ns0:v>
      </ns0:c>
    </ns0:row>
    <ns0:row xmlns:ns0="http://schemas.openxmlformats.org/spreadsheetml/2006/main" r="75" ht="85" customHeight="1">
      <ns0:c r="A75" t="str" s="33">
        <ns0:v>XP0072</ns0:v>
      </ns0:c>
      <ns0:c r="B75" t="str" s="33">
        <ns0:v>Разъём</ns0:v>
      </ns0:c>
      <ns0:c r="C75" t="str" s="33">
        <ns0:v>2x32, 2.54 мм</ns0:v>
      </ns0:c>
      <ns0:c r="D75" t="str" s="34">
        <ns0:f>C75</ns0:f>
        <ns0:v>2x32, 2.54 мм</ns0:v>
      </ns0:c>
      <ns0:c r="E75" s="33"/>
      <ns0:c r="F75" s="33"/>
      <ns0:c r="G75" s="33"/>
      <ns0:c r="H75" t="str" s="35">
        <ns0:v>2x32, P2.54, THT, прямой</ns0:v>
      </ns0:c>
      <ns0:c r="I75" t="str" s="33">
        <ns0:v>CONNFLY</ns0:v>
      </ns0:c>
      <ns0:c r="J75" t="str" s="33">
        <ns0:v>DS1021</ns0:v>
      </ns0:c>
      <ns0:c r="K75" t="str" s="34">
        <ns0:f>B75&amp;" "&amp;D75&amp;" "&amp;J75</ns0:f>
        <ns0:v>Разъём 2x32, 2.54 мм DS1021</ns0:v>
      </ns0:c>
      <ns0:c r="L75" t="str" s="36">
        <ns0:v>XP_64</ns0:v>
      </ns0:c>
      <ns0:c r="M75" t="str" s="36">
        <ns0:v>Symbols\MY_LIB_Connectors.SchLib</ns0:v>
      </ns0:c>
      <ns0:c r="N75" t="str" s="36">
        <ns0:v>CONNFLY_DS1021_2X32</ns0:v>
      </ns0:c>
      <ns0:c r="O75" t="str" s="36">
        <ns0:v>Footprints\MY_LIB_Connectors.PcbLib</ns0:v>
      </ns0:c>
      <ns0:c r="P75" t="str" s="33">
        <ns0:v>Штыревой, прямой; 64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5" s="33"/>
      <ns0:c r="R75" t="str" s="34">
        <ns0:f>D75</ns0:f>
        <ns0:v>2x32, 2.54 мм</ns0:v>
      </ns0:c>
      <ns0:c r="S75" t="str" s="34">
        <ns0:f>K75</ns0:f>
        <ns0:v>Разъём 2x32, 2.54 мм DS1021</ns0:v>
      </ns0:c>
      <ns0:c r="T75" t="str" s="33">
        <ns0:v>C:\Users\Nomatin\Documents\Altium\MY_LIB\MY_LIB\Datasheets\CONNFLY_DS1021.pdf</ns0:v>
      </ns0:c>
      <ns0:c r="U75" s="33"/>
      <ns0:c r="V75" t="str" s="33">
        <ns0:v>Даташит — локальный</ns0:v>
      </ns0:c>
      <ns0:c r="W75" t="str" s="33">
        <ns0:v>C:\Users\Nomatin\Documents\Altium\MY_LIB\MY_LIB\Datasheets\CONNFLY_DS1021.pdf</ns0:v>
      </ns0:c>
      <ns0:c r="X75" t="str" s="33">
        <ns0:v>Даташит — производитель</ns0:v>
      </ns0:c>
      <ns0:c r="Y75" t="str" s="33">
        <ns0:v>https://en.connfly.com/static/upload/file/pdf/DS1021.pdf</ns0:v>
      </ns0:c>
      <ns0:c r="Z75" t="str" s="33">
        <ns0:v>C:\Users\Nomatin\Documents\Altium\MY_LIB\MY_LIB\Datasheets\CONNFLY_DS1021.pdf</ns0:v>
      </ns0:c>
    </ns0:row>
    <ns0:row xmlns:ns0="http://schemas.openxmlformats.org/spreadsheetml/2006/main" r="76" ht="85" customHeight="1">
      <ns0:c r="A76" t="str" s="33">
        <ns0:v>XP0073</ns0:v>
      </ns0:c>
      <ns0:c r="B76" t="str" s="33">
        <ns0:v>Разъём</ns0:v>
      </ns0:c>
      <ns0:c r="C76" t="str" s="33">
        <ns0:v>2x33, 2.54 мм</ns0:v>
      </ns0:c>
      <ns0:c r="D76" t="str" s="34">
        <ns0:f>C76</ns0:f>
        <ns0:v>2x33, 2.54 мм</ns0:v>
      </ns0:c>
      <ns0:c r="E76" s="33"/>
      <ns0:c r="F76" s="33"/>
      <ns0:c r="G76" s="33"/>
      <ns0:c r="H76" t="str" s="35">
        <ns0:v>2x33, P2.54, THT, прямой</ns0:v>
      </ns0:c>
      <ns0:c r="I76" t="str" s="33">
        <ns0:v>CONNFLY</ns0:v>
      </ns0:c>
      <ns0:c r="J76" t="str" s="33">
        <ns0:v>DS1021</ns0:v>
      </ns0:c>
      <ns0:c r="K76" t="str" s="34">
        <ns0:f>B76&amp;" "&amp;D76&amp;" "&amp;J76</ns0:f>
        <ns0:v>Разъём 2x33, 2.54 мм DS1021</ns0:v>
      </ns0:c>
      <ns0:c r="L76" t="str" s="36">
        <ns0:v>XP_66</ns0:v>
      </ns0:c>
      <ns0:c r="M76" t="str" s="36">
        <ns0:v>Symbols\MY_LIB_Connectors.SchLib</ns0:v>
      </ns0:c>
      <ns0:c r="N76" t="str" s="36">
        <ns0:v>CONNFLY_DS1021_2X33</ns0:v>
      </ns0:c>
      <ns0:c r="O76" t="str" s="36">
        <ns0:v>Footprints\MY_LIB_Connectors.PcbLib</ns0:v>
      </ns0:c>
      <ns0:c r="P76" t="str" s="33">
        <ns0:v>Штыревой, прямой; 66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6" s="33"/>
      <ns0:c r="R76" t="str" s="34">
        <ns0:f>D76</ns0:f>
        <ns0:v>2x33, 2.54 мм</ns0:v>
      </ns0:c>
      <ns0:c r="S76" t="str" s="34">
        <ns0:f>K76</ns0:f>
        <ns0:v>Разъём 2x33, 2.54 мм DS1021</ns0:v>
      </ns0:c>
      <ns0:c r="T76" t="str" s="33">
        <ns0:v>C:\Users\Nomatin\Documents\Altium\MY_LIB\MY_LIB\Datasheets\CONNFLY_DS1021.pdf</ns0:v>
      </ns0:c>
      <ns0:c r="U76" s="33"/>
      <ns0:c r="V76" t="str" s="33">
        <ns0:v>Даташит — локальный</ns0:v>
      </ns0:c>
      <ns0:c r="W76" t="str" s="33">
        <ns0:v>C:\Users\Nomatin\Documents\Altium\MY_LIB\MY_LIB\Datasheets\CONNFLY_DS1021.pdf</ns0:v>
      </ns0:c>
      <ns0:c r="X76" t="str" s="33">
        <ns0:v>Даташит — производитель</ns0:v>
      </ns0:c>
      <ns0:c r="Y76" t="str" s="33">
        <ns0:v>https://en.connfly.com/static/upload/file/pdf/DS1021.pdf</ns0:v>
      </ns0:c>
      <ns0:c r="Z76" t="str" s="33">
        <ns0:v>C:\Users\Nomatin\Documents\Altium\MY_LIB\MY_LIB\Datasheets\CONNFLY_DS1021.pdf</ns0:v>
      </ns0:c>
    </ns0:row>
    <ns0:row xmlns:ns0="http://schemas.openxmlformats.org/spreadsheetml/2006/main" r="77" ht="85" customHeight="1">
      <ns0:c r="A77" t="str" s="33">
        <ns0:v>XP0074</ns0:v>
      </ns0:c>
      <ns0:c r="B77" t="str" s="33">
        <ns0:v>Разъём</ns0:v>
      </ns0:c>
      <ns0:c r="C77" t="str" s="33">
        <ns0:v>2x34, 2.54 мм</ns0:v>
      </ns0:c>
      <ns0:c r="D77" t="str" s="34">
        <ns0:f>C77</ns0:f>
        <ns0:v>2x34, 2.54 мм</ns0:v>
      </ns0:c>
      <ns0:c r="E77" s="33"/>
      <ns0:c r="F77" s="33"/>
      <ns0:c r="G77" s="33"/>
      <ns0:c r="H77" t="str" s="35">
        <ns0:v>2x34, P2.54, THT, прямой</ns0:v>
      </ns0:c>
      <ns0:c r="I77" t="str" s="33">
        <ns0:v>CONNFLY</ns0:v>
      </ns0:c>
      <ns0:c r="J77" t="str" s="33">
        <ns0:v>DS1021</ns0:v>
      </ns0:c>
      <ns0:c r="K77" t="str" s="34">
        <ns0:f>B77&amp;" "&amp;D77&amp;" "&amp;J77</ns0:f>
        <ns0:v>Разъём 2x34, 2.54 мм DS1021</ns0:v>
      </ns0:c>
      <ns0:c r="L77" t="str" s="36">
        <ns0:v>XP_68</ns0:v>
      </ns0:c>
      <ns0:c r="M77" t="str" s="36">
        <ns0:v>Symbols\MY_LIB_Connectors.SchLib</ns0:v>
      </ns0:c>
      <ns0:c r="N77" t="str" s="36">
        <ns0:v>CONNFLY_DS1021_2X34</ns0:v>
      </ns0:c>
      <ns0:c r="O77" t="str" s="36">
        <ns0:v>Footprints\MY_LIB_Connectors.PcbLib</ns0:v>
      </ns0:c>
      <ns0:c r="P77" t="str" s="33">
        <ns0:v>Штыревой, прямой; 68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7" s="33"/>
      <ns0:c r="R77" t="str" s="34">
        <ns0:f>D77</ns0:f>
        <ns0:v>2x34, 2.54 мм</ns0:v>
      </ns0:c>
      <ns0:c r="S77" t="str" s="34">
        <ns0:f>K77</ns0:f>
        <ns0:v>Разъём 2x34, 2.54 мм DS1021</ns0:v>
      </ns0:c>
      <ns0:c r="T77" t="str" s="33">
        <ns0:v>C:\Users\Nomatin\Documents\Altium\MY_LIB\MY_LIB\Datasheets\CONNFLY_DS1021.pdf</ns0:v>
      </ns0:c>
      <ns0:c r="U77" s="33"/>
      <ns0:c r="V77" t="str" s="33">
        <ns0:v>Даташит — локальный</ns0:v>
      </ns0:c>
      <ns0:c r="W77" t="str" s="33">
        <ns0:v>C:\Users\Nomatin\Documents\Altium\MY_LIB\MY_LIB\Datasheets\CONNFLY_DS1021.pdf</ns0:v>
      </ns0:c>
      <ns0:c r="X77" t="str" s="33">
        <ns0:v>Даташит — производитель</ns0:v>
      </ns0:c>
      <ns0:c r="Y77" t="str" s="33">
        <ns0:v>https://en.connfly.com/static/upload/file/pdf/DS1021.pdf</ns0:v>
      </ns0:c>
      <ns0:c r="Z77" t="str" s="33">
        <ns0:v>C:\Users\Nomatin\Documents\Altium\MY_LIB\MY_LIB\Datasheets\CONNFLY_DS1021.pdf</ns0:v>
      </ns0:c>
    </ns0:row>
    <ns0:row xmlns:ns0="http://schemas.openxmlformats.org/spreadsheetml/2006/main" r="78" ht="85" customHeight="1">
      <ns0:c r="A78" t="str" s="33">
        <ns0:v>XP0075</ns0:v>
      </ns0:c>
      <ns0:c r="B78" t="str" s="33">
        <ns0:v>Разъём</ns0:v>
      </ns0:c>
      <ns0:c r="C78" t="str" s="33">
        <ns0:v>2x35, 2.54 мм</ns0:v>
      </ns0:c>
      <ns0:c r="D78" t="str" s="34">
        <ns0:f>C78</ns0:f>
        <ns0:v>2x35, 2.54 мм</ns0:v>
      </ns0:c>
      <ns0:c r="E78" s="33"/>
      <ns0:c r="F78" s="33"/>
      <ns0:c r="G78" s="33"/>
      <ns0:c r="H78" t="str" s="35">
        <ns0:v>2x35, P2.54, THT, прямой</ns0:v>
      </ns0:c>
      <ns0:c r="I78" t="str" s="33">
        <ns0:v>CONNFLY</ns0:v>
      </ns0:c>
      <ns0:c r="J78" t="str" s="33">
        <ns0:v>DS1021</ns0:v>
      </ns0:c>
      <ns0:c r="K78" t="str" s="34">
        <ns0:f>B78&amp;" "&amp;D78&amp;" "&amp;J78</ns0:f>
        <ns0:v>Разъём 2x35, 2.54 мм DS1021</ns0:v>
      </ns0:c>
      <ns0:c r="L78" t="str" s="36">
        <ns0:v>XP_70</ns0:v>
      </ns0:c>
      <ns0:c r="M78" t="str" s="36">
        <ns0:v>Symbols\MY_LIB_Connectors.SchLib</ns0:v>
      </ns0:c>
      <ns0:c r="N78" t="str" s="36">
        <ns0:v>CONNFLY_DS1021_2X35</ns0:v>
      </ns0:c>
      <ns0:c r="O78" t="str" s="36">
        <ns0:v>Footprints\MY_LIB_Connectors.PcbLib</ns0:v>
      </ns0:c>
      <ns0:c r="P78" t="str" s="33">
        <ns0:v>Штыревой, прямой; 70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8" s="33"/>
      <ns0:c r="R78" t="str" s="34">
        <ns0:f>D78</ns0:f>
        <ns0:v>2x35, 2.54 мм</ns0:v>
      </ns0:c>
      <ns0:c r="S78" t="str" s="34">
        <ns0:f>K78</ns0:f>
        <ns0:v>Разъём 2x35, 2.54 мм DS1021</ns0:v>
      </ns0:c>
      <ns0:c r="T78" t="str" s="33">
        <ns0:v>C:\Users\Nomatin\Documents\Altium\MY_LIB\MY_LIB\Datasheets\CONNFLY_DS1021.pdf</ns0:v>
      </ns0:c>
      <ns0:c r="U78" s="33"/>
      <ns0:c r="V78" t="str" s="33">
        <ns0:v>Даташит — локальный</ns0:v>
      </ns0:c>
      <ns0:c r="W78" t="str" s="33">
        <ns0:v>C:\Users\Nomatin\Documents\Altium\MY_LIB\MY_LIB\Datasheets\CONNFLY_DS1021.pdf</ns0:v>
      </ns0:c>
      <ns0:c r="X78" t="str" s="33">
        <ns0:v>Даташит — производитель</ns0:v>
      </ns0:c>
      <ns0:c r="Y78" t="str" s="33">
        <ns0:v>https://en.connfly.com/static/upload/file/pdf/DS1021.pdf</ns0:v>
      </ns0:c>
      <ns0:c r="Z78" t="str" s="33">
        <ns0:v>C:\Users\Nomatin\Documents\Altium\MY_LIB\MY_LIB\Datasheets\CONNFLY_DS1021.pdf</ns0:v>
      </ns0:c>
    </ns0:row>
    <ns0:row xmlns:ns0="http://schemas.openxmlformats.org/spreadsheetml/2006/main" r="79" ht="85" customHeight="1">
      <ns0:c r="A79" t="str" s="33">
        <ns0:v>XP0076</ns0:v>
      </ns0:c>
      <ns0:c r="B79" t="str" s="33">
        <ns0:v>Разъём</ns0:v>
      </ns0:c>
      <ns0:c r="C79" t="str" s="33">
        <ns0:v>2x36, 2.54 мм</ns0:v>
      </ns0:c>
      <ns0:c r="D79" t="str" s="34">
        <ns0:f>C79</ns0:f>
        <ns0:v>2x36, 2.54 мм</ns0:v>
      </ns0:c>
      <ns0:c r="E79" s="33"/>
      <ns0:c r="F79" s="33"/>
      <ns0:c r="G79" s="33"/>
      <ns0:c r="H79" t="str" s="35">
        <ns0:v>2x36, P2.54, THT, прямой</ns0:v>
      </ns0:c>
      <ns0:c r="I79" t="str" s="33">
        <ns0:v>CONNFLY</ns0:v>
      </ns0:c>
      <ns0:c r="J79" t="str" s="33">
        <ns0:v>DS1021</ns0:v>
      </ns0:c>
      <ns0:c r="K79" t="str" s="34">
        <ns0:f>B79&amp;" "&amp;D79&amp;" "&amp;J79</ns0:f>
        <ns0:v>Разъём 2x36, 2.54 мм DS1021</ns0:v>
      </ns0:c>
      <ns0:c r="L79" t="str" s="36">
        <ns0:v>XP_72</ns0:v>
      </ns0:c>
      <ns0:c r="M79" t="str" s="36">
        <ns0:v>Symbols\MY_LIB_Connectors.SchLib</ns0:v>
      </ns0:c>
      <ns0:c r="N79" t="str" s="36">
        <ns0:v>CONNFLY_DS1021_2X36</ns0:v>
      </ns0:c>
      <ns0:c r="O79" t="str" s="36">
        <ns0:v>Footprints\MY_LIB_Connectors.PcbLib</ns0:v>
      </ns0:c>
      <ns0:c r="P79" t="str" s="33">
        <ns0:v>Штыревой, прямой; 72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79" s="33"/>
      <ns0:c r="R79" t="str" s="34">
        <ns0:f>D79</ns0:f>
        <ns0:v>2x36, 2.54 мм</ns0:v>
      </ns0:c>
      <ns0:c r="S79" t="str" s="34">
        <ns0:f>K79</ns0:f>
        <ns0:v>Разъём 2x36, 2.54 мм DS1021</ns0:v>
      </ns0:c>
      <ns0:c r="T79" t="str" s="33">
        <ns0:v>C:\Users\Nomatin\Documents\Altium\MY_LIB\MY_LIB\Datasheets\CONNFLY_DS1021.pdf</ns0:v>
      </ns0:c>
      <ns0:c r="U79" s="33"/>
      <ns0:c r="V79" t="str" s="33">
        <ns0:v>Даташит — локальный</ns0:v>
      </ns0:c>
      <ns0:c r="W79" t="str" s="33">
        <ns0:v>C:\Users\Nomatin\Documents\Altium\MY_LIB\MY_LIB\Datasheets\CONNFLY_DS1021.pdf</ns0:v>
      </ns0:c>
      <ns0:c r="X79" t="str" s="33">
        <ns0:v>Даташит — производитель</ns0:v>
      </ns0:c>
      <ns0:c r="Y79" t="str" s="33">
        <ns0:v>https://en.connfly.com/static/upload/file/pdf/DS1021.pdf</ns0:v>
      </ns0:c>
      <ns0:c r="Z79" t="str" s="33">
        <ns0:v>C:\Users\Nomatin\Documents\Altium\MY_LIB\MY_LIB\Datasheets\CONNFLY_DS1021.pdf</ns0:v>
      </ns0:c>
    </ns0:row>
    <ns0:row xmlns:ns0="http://schemas.openxmlformats.org/spreadsheetml/2006/main" r="80" ht="85" customHeight="1">
      <ns0:c r="A80" t="str" s="33">
        <ns0:v>XP0077</ns0:v>
      </ns0:c>
      <ns0:c r="B80" t="str" s="33">
        <ns0:v>Разъём</ns0:v>
      </ns0:c>
      <ns0:c r="C80" t="str" s="33">
        <ns0:v>2x37, 2.54 мм</ns0:v>
      </ns0:c>
      <ns0:c r="D80" t="str" s="34">
        <ns0:f>C80</ns0:f>
        <ns0:v>2x37, 2.54 мм</ns0:v>
      </ns0:c>
      <ns0:c r="E80" s="33"/>
      <ns0:c r="F80" s="33"/>
      <ns0:c r="G80" s="33"/>
      <ns0:c r="H80" t="str" s="35">
        <ns0:v>2x37, P2.54, THT, прямой</ns0:v>
      </ns0:c>
      <ns0:c r="I80" t="str" s="33">
        <ns0:v>CONNFLY</ns0:v>
      </ns0:c>
      <ns0:c r="J80" t="str" s="33">
        <ns0:v>DS1021</ns0:v>
      </ns0:c>
      <ns0:c r="K80" t="str" s="34">
        <ns0:f>B80&amp;" "&amp;D80&amp;" "&amp;J80</ns0:f>
        <ns0:v>Разъём 2x37, 2.54 мм DS1021</ns0:v>
      </ns0:c>
      <ns0:c r="L80" t="str" s="36">
        <ns0:v>XP_74</ns0:v>
      </ns0:c>
      <ns0:c r="M80" t="str" s="36">
        <ns0:v>Symbols\MY_LIB_Connectors.SchLib</ns0:v>
      </ns0:c>
      <ns0:c r="N80" t="str" s="36">
        <ns0:v>CONNFLY_DS1021_2X37</ns0:v>
      </ns0:c>
      <ns0:c r="O80" t="str" s="36">
        <ns0:v>Footprints\MY_LIB_Connectors.PcbLib</ns0:v>
      </ns0:c>
      <ns0:c r="P80" t="str" s="33">
        <ns0:v>Штыревой, прямой; 74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0" s="33"/>
      <ns0:c r="R80" t="str" s="34">
        <ns0:f>D80</ns0:f>
        <ns0:v>2x37, 2.54 мм</ns0:v>
      </ns0:c>
      <ns0:c r="S80" t="str" s="34">
        <ns0:f>K80</ns0:f>
        <ns0:v>Разъём 2x37, 2.54 мм DS1021</ns0:v>
      </ns0:c>
      <ns0:c r="T80" t="str" s="33">
        <ns0:v>C:\Users\Nomatin\Documents\Altium\MY_LIB\MY_LIB\Datasheets\CONNFLY_DS1021.pdf</ns0:v>
      </ns0:c>
      <ns0:c r="U80" s="33"/>
      <ns0:c r="V80" t="str" s="33">
        <ns0:v>Даташит — локальный</ns0:v>
      </ns0:c>
      <ns0:c r="W80" t="str" s="33">
        <ns0:v>C:\Users\Nomatin\Documents\Altium\MY_LIB\MY_LIB\Datasheets\CONNFLY_DS1021.pdf</ns0:v>
      </ns0:c>
      <ns0:c r="X80" t="str" s="33">
        <ns0:v>Даташит — производитель</ns0:v>
      </ns0:c>
      <ns0:c r="Y80" t="str" s="33">
        <ns0:v>https://en.connfly.com/static/upload/file/pdf/DS1021.pdf</ns0:v>
      </ns0:c>
      <ns0:c r="Z80" t="str" s="33">
        <ns0:v>C:\Users\Nomatin\Documents\Altium\MY_LIB\MY_LIB\Datasheets\CONNFLY_DS1021.pdf</ns0:v>
      </ns0:c>
    </ns0:row>
    <ns0:row xmlns:ns0="http://schemas.openxmlformats.org/spreadsheetml/2006/main" r="81" ht="85" customHeight="1">
      <ns0:c r="A81" t="str" s="33">
        <ns0:v>XP0078</ns0:v>
      </ns0:c>
      <ns0:c r="B81" t="str" s="33">
        <ns0:v>Разъём</ns0:v>
      </ns0:c>
      <ns0:c r="C81" t="str" s="33">
        <ns0:v>2x38, 2.54 мм</ns0:v>
      </ns0:c>
      <ns0:c r="D81" t="str" s="34">
        <ns0:f>C81</ns0:f>
        <ns0:v>2x38, 2.54 мм</ns0:v>
      </ns0:c>
      <ns0:c r="E81" s="33"/>
      <ns0:c r="F81" s="33"/>
      <ns0:c r="G81" s="33"/>
      <ns0:c r="H81" t="str" s="35">
        <ns0:v>2x38, P2.54, THT, прямой</ns0:v>
      </ns0:c>
      <ns0:c r="I81" t="str" s="33">
        <ns0:v>CONNFLY</ns0:v>
      </ns0:c>
      <ns0:c r="J81" t="str" s="33">
        <ns0:v>DS1021</ns0:v>
      </ns0:c>
      <ns0:c r="K81" t="str" s="34">
        <ns0:f>B81&amp;" "&amp;D81&amp;" "&amp;J81</ns0:f>
        <ns0:v>Разъём 2x38, 2.54 мм DS1021</ns0:v>
      </ns0:c>
      <ns0:c r="L81" t="str" s="36">
        <ns0:v>XP_76</ns0:v>
      </ns0:c>
      <ns0:c r="M81" t="str" s="36">
        <ns0:v>Symbols\MY_LIB_Connectors.SchLib</ns0:v>
      </ns0:c>
      <ns0:c r="N81" t="str" s="36">
        <ns0:v>CONNFLY_DS1021_2X38</ns0:v>
      </ns0:c>
      <ns0:c r="O81" t="str" s="36">
        <ns0:v>Footprints\MY_LIB_Connectors.PcbLib</ns0:v>
      </ns0:c>
      <ns0:c r="P81" t="str" s="33">
        <ns0:v>Штыревой, прямой; 76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1" s="33"/>
      <ns0:c r="R81" t="str" s="34">
        <ns0:f>D81</ns0:f>
        <ns0:v>2x38, 2.54 мм</ns0:v>
      </ns0:c>
      <ns0:c r="S81" t="str" s="34">
        <ns0:f>K81</ns0:f>
        <ns0:v>Разъём 2x38, 2.54 мм DS1021</ns0:v>
      </ns0:c>
      <ns0:c r="T81" t="str" s="33">
        <ns0:v>C:\Users\Nomatin\Documents\Altium\MY_LIB\MY_LIB\Datasheets\CONNFLY_DS1021.pdf</ns0:v>
      </ns0:c>
      <ns0:c r="U81" s="33"/>
      <ns0:c r="V81" t="str" s="33">
        <ns0:v>Даташит — локальный</ns0:v>
      </ns0:c>
      <ns0:c r="W81" t="str" s="33">
        <ns0:v>C:\Users\Nomatin\Documents\Altium\MY_LIB\MY_LIB\Datasheets\CONNFLY_DS1021.pdf</ns0:v>
      </ns0:c>
      <ns0:c r="X81" t="str" s="33">
        <ns0:v>Даташит — производитель</ns0:v>
      </ns0:c>
      <ns0:c r="Y81" t="str" s="33">
        <ns0:v>https://en.connfly.com/static/upload/file/pdf/DS1021.pdf</ns0:v>
      </ns0:c>
      <ns0:c r="Z81" t="str" s="33">
        <ns0:v>C:\Users\Nomatin\Documents\Altium\MY_LIB\MY_LIB\Datasheets\CONNFLY_DS1021.pdf</ns0:v>
      </ns0:c>
    </ns0:row>
    <ns0:row xmlns:ns0="http://schemas.openxmlformats.org/spreadsheetml/2006/main" r="82" ht="85" customHeight="1">
      <ns0:c r="A82" t="str" s="33">
        <ns0:v>XP0079</ns0:v>
      </ns0:c>
      <ns0:c r="B82" t="str" s="33">
        <ns0:v>Разъём</ns0:v>
      </ns0:c>
      <ns0:c r="C82" t="str" s="33">
        <ns0:v>2x39, 2.54 мм</ns0:v>
      </ns0:c>
      <ns0:c r="D82" t="str" s="34">
        <ns0:f>C82</ns0:f>
        <ns0:v>2x39, 2.54 мм</ns0:v>
      </ns0:c>
      <ns0:c r="E82" s="33"/>
      <ns0:c r="F82" s="33"/>
      <ns0:c r="G82" s="33"/>
      <ns0:c r="H82" t="str" s="35">
        <ns0:v>2x39, P2.54, THT, прямой</ns0:v>
      </ns0:c>
      <ns0:c r="I82" t="str" s="33">
        <ns0:v>CONNFLY</ns0:v>
      </ns0:c>
      <ns0:c r="J82" t="str" s="33">
        <ns0:v>DS1021</ns0:v>
      </ns0:c>
      <ns0:c r="K82" t="str" s="34">
        <ns0:f>B82&amp;" "&amp;D82&amp;" "&amp;J82</ns0:f>
        <ns0:v>Разъём 2x39, 2.54 мм DS1021</ns0:v>
      </ns0:c>
      <ns0:c r="L82" t="str" s="36">
        <ns0:v>XP_78</ns0:v>
      </ns0:c>
      <ns0:c r="M82" t="str" s="36">
        <ns0:v>Symbols\MY_LIB_Connectors.SchLib</ns0:v>
      </ns0:c>
      <ns0:c r="N82" t="str" s="36">
        <ns0:v>CONNFLY_DS1021_2X39</ns0:v>
      </ns0:c>
      <ns0:c r="O82" t="str" s="36">
        <ns0:v>Footprints\MY_LIB_Connectors.PcbLib</ns0:v>
      </ns0:c>
      <ns0:c r="P82" t="str" s="33">
        <ns0:v>Штыревой, прямой; 78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2" s="33"/>
      <ns0:c r="R82" t="str" s="34">
        <ns0:f>D82</ns0:f>
        <ns0:v>2x39, 2.54 мм</ns0:v>
      </ns0:c>
      <ns0:c r="S82" t="str" s="34">
        <ns0:f>K82</ns0:f>
        <ns0:v>Разъём 2x39, 2.54 мм DS1021</ns0:v>
      </ns0:c>
      <ns0:c r="T82" t="str" s="33">
        <ns0:v>C:\Users\Nomatin\Documents\Altium\MY_LIB\MY_LIB\Datasheets\CONNFLY_DS1021.pdf</ns0:v>
      </ns0:c>
      <ns0:c r="U82" s="33"/>
      <ns0:c r="V82" t="str" s="33">
        <ns0:v>Даташит — локальный</ns0:v>
      </ns0:c>
      <ns0:c r="W82" t="str" s="33">
        <ns0:v>C:\Users\Nomatin\Documents\Altium\MY_LIB\MY_LIB\Datasheets\CONNFLY_DS1021.pdf</ns0:v>
      </ns0:c>
      <ns0:c r="X82" t="str" s="33">
        <ns0:v>Даташит — производитель</ns0:v>
      </ns0:c>
      <ns0:c r="Y82" t="str" s="33">
        <ns0:v>https://en.connfly.com/static/upload/file/pdf/DS1021.pdf</ns0:v>
      </ns0:c>
      <ns0:c r="Z82" t="str" s="33">
        <ns0:v>C:\Users\Nomatin\Documents\Altium\MY_LIB\MY_LIB\Datasheets\CONNFLY_DS1021.pdf</ns0:v>
      </ns0:c>
    </ns0:row>
    <ns0:row xmlns:ns0="http://schemas.openxmlformats.org/spreadsheetml/2006/main" r="83" ht="85" customHeight="1">
      <ns0:c r="A83" t="str" s="33">
        <ns0:v>XP0080</ns0:v>
      </ns0:c>
      <ns0:c r="B83" t="str" s="33">
        <ns0:v>Разъём</ns0:v>
      </ns0:c>
      <ns0:c r="C83" t="str" s="33">
        <ns0:v>2x40, 2.54 мм</ns0:v>
      </ns0:c>
      <ns0:c r="D83" t="str" s="34">
        <ns0:f>C83</ns0:f>
        <ns0:v>2x40, 2.54 мм</ns0:v>
      </ns0:c>
      <ns0:c r="E83" s="33"/>
      <ns0:c r="F83" s="33"/>
      <ns0:c r="G83" s="33"/>
      <ns0:c r="H83" t="str" s="35">
        <ns0:v>2x40, P2.54, THT, прямой</ns0:v>
      </ns0:c>
      <ns0:c r="I83" t="str" s="33">
        <ns0:v>CONNFLY</ns0:v>
      </ns0:c>
      <ns0:c r="J83" t="str" s="33">
        <ns0:v>DS1021</ns0:v>
      </ns0:c>
      <ns0:c r="K83" t="str" s="34">
        <ns0:f>B83&amp;" "&amp;D83&amp;" "&amp;J83</ns0:f>
        <ns0:v>Разъём 2x40, 2.54 мм DS1021</ns0:v>
      </ns0:c>
      <ns0:c r="L83" t="str" s="36">
        <ns0:v>XP_80</ns0:v>
      </ns0:c>
      <ns0:c r="M83" t="str" s="36">
        <ns0:v>Symbols\MY_LIB_Connectors.SchLib</ns0:v>
      </ns0:c>
      <ns0:c r="N83" t="str" s="36">
        <ns0:v>CONNFLY_DS1021_2X40</ns0:v>
      </ns0:c>
      <ns0:c r="O83" t="str" s="36">
        <ns0:v>Footprints\MY_LIB_Connectors.PcbLib</ns0:v>
      </ns0:c>
      <ns0:c r="P83" t="str" s="33">
        <ns0:v>Штыревой, прямой; 80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3" s="33"/>
      <ns0:c r="R83" t="str" s="34">
        <ns0:f>D83</ns0:f>
        <ns0:v>2x40, 2.54 мм</ns0:v>
      </ns0:c>
      <ns0:c r="S83" t="str" s="34">
        <ns0:f>K83</ns0:f>
        <ns0:v>Разъём 2x40, 2.54 мм DS1021</ns0:v>
      </ns0:c>
      <ns0:c r="T83" t="str" s="33">
        <ns0:v>C:\Users\Nomatin\Documents\Altium\MY_LIB\MY_LIB\Datasheets\CONNFLY_DS1021.pdf</ns0:v>
      </ns0:c>
      <ns0:c r="U83" s="33"/>
      <ns0:c r="V83" t="str" s="33">
        <ns0:v>Даташит — локальный</ns0:v>
      </ns0:c>
      <ns0:c r="W83" t="str" s="33">
        <ns0:v>C:\Users\Nomatin\Documents\Altium\MY_LIB\MY_LIB\Datasheets\CONNFLY_DS1021.pdf</ns0:v>
      </ns0:c>
      <ns0:c r="X83" t="str" s="33">
        <ns0:v>Даташит — производитель</ns0:v>
      </ns0:c>
      <ns0:c r="Y83" t="str" s="33">
        <ns0:v>https://en.connfly.com/static/upload/file/pdf/DS1021.pdf</ns0:v>
      </ns0:c>
      <ns0:c r="Z83" t="str" s="33">
        <ns0:v>C:\Users\Nomatin\Documents\Altium\MY_LIB\MY_LIB\Datasheets\CONNFLY_DS1021.pdf</ns0:v>
      </ns0:c>
    </ns0:row>
    <ns0:row xmlns:ns0="http://schemas.openxmlformats.org/spreadsheetml/2006/main" r="84" ht="85" customHeight="1">
      <ns0:c r="A84" t="str" s="33">
        <ns0:v>XP0081</ns0:v>
      </ns0:c>
      <ns0:c r="B84" t="str" s="33">
        <ns0:v>Разъём</ns0:v>
      </ns0:c>
      <ns0:c r="C84" t="str" s="33">
        <ns0:v>1x01, 2.54 мм</ns0:v>
      </ns0:c>
      <ns0:c r="D84" t="str" s="34">
        <ns0:f>C84</ns0:f>
        <ns0:v>1x01, 2.54 мм</ns0:v>
      </ns0:c>
      <ns0:c r="E84" s="33"/>
      <ns0:c r="F84" s="33"/>
      <ns0:c r="G84" s="33"/>
      <ns0:c r="H84" t="str" s="35">
        <ns0:v>1x01, P2.54, THT, угловой</ns0:v>
      </ns0:c>
      <ns0:c r="I84" t="str" s="33">
        <ns0:v>CONNFLY</ns0:v>
      </ns0:c>
      <ns0:c r="J84" t="str" s="33">
        <ns0:v>DS1022</ns0:v>
      </ns0:c>
      <ns0:c r="K84" t="str" s="34">
        <ns0:f>B84&amp;" "&amp;D84&amp;" "&amp;J84</ns0:f>
        <ns0:v>Разъём 1x01, 2.54 мм DS1022</ns0:v>
      </ns0:c>
      <ns0:c r="L84" t="str" s="36">
        <ns0:v>XP_1</ns0:v>
      </ns0:c>
      <ns0:c r="M84" t="str" s="36">
        <ns0:v>Symbols\MY_LIB_Connectors.SchLib</ns0:v>
      </ns0:c>
      <ns0:c r="N84" t="str" s="36">
        <ns0:v>CONNFLY_DS1022_1X01</ns0:v>
      </ns0:c>
      <ns0:c r="O84" t="str" s="36">
        <ns0:v>Footprints\MY_LIB_Connectors.PcbLib</ns0:v>
      </ns0:c>
      <ns0:c r="P84" t="str" s="33">
        <ns0:v>Штыревой, угловой; 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4" s="33"/>
      <ns0:c r="R84" t="str" s="34">
        <ns0:f>D84</ns0:f>
        <ns0:v>1x01, 2.54 мм</ns0:v>
      </ns0:c>
      <ns0:c r="S84" t="str" s="34">
        <ns0:f>K84</ns0:f>
        <ns0:v>Разъём 1x01, 2.54 мм DS1022</ns0:v>
      </ns0:c>
      <ns0:c r="T84" t="str" s="33">
        <ns0:v>C:\Users\Nomatin\Documents\Altium\MY_LIB\MY_LIB\Datasheets\CONNFLY_DS1022.pdf</ns0:v>
      </ns0:c>
      <ns0:c r="U84" s="33"/>
      <ns0:c r="V84" t="str" s="33">
        <ns0:v>Даташит — локальный</ns0:v>
      </ns0:c>
      <ns0:c r="W84" t="str" s="33">
        <ns0:v>C:\Users\Nomatin\Documents\Altium\MY_LIB\MY_LIB\Datasheets\CONNFLY_DS1022.pdf</ns0:v>
      </ns0:c>
      <ns0:c r="X84" t="str" s="33">
        <ns0:v>Даташит — производитель</ns0:v>
      </ns0:c>
      <ns0:c r="Y84" t="str" s="33">
        <ns0:v>https://en.connfly.com/static/upload/file/pdf/DS1022.pdf</ns0:v>
      </ns0:c>
      <ns0:c r="Z84" t="str" s="33">
        <ns0:v>C:\Users\Nomatin\Documents\Altium\MY_LIB\MY_LIB\Datasheets\CONNFLY_DS1022.pdf</ns0:v>
      </ns0:c>
    </ns0:row>
    <ns0:row xmlns:ns0="http://schemas.openxmlformats.org/spreadsheetml/2006/main" r="85" ht="85" customHeight="1">
      <ns0:c r="A85" t="str" s="33">
        <ns0:v>XP0082</ns0:v>
      </ns0:c>
      <ns0:c r="B85" t="str" s="33">
        <ns0:v>Разъём</ns0:v>
      </ns0:c>
      <ns0:c r="C85" t="str" s="33">
        <ns0:v>1x02, 2.54 мм</ns0:v>
      </ns0:c>
      <ns0:c r="D85" t="str" s="34">
        <ns0:f>C85</ns0:f>
        <ns0:v>1x02, 2.54 мм</ns0:v>
      </ns0:c>
      <ns0:c r="E85" s="33"/>
      <ns0:c r="F85" s="33"/>
      <ns0:c r="G85" s="33"/>
      <ns0:c r="H85" t="str" s="35">
        <ns0:v>1x02, P2.54, THT, угловой</ns0:v>
      </ns0:c>
      <ns0:c r="I85" t="str" s="33">
        <ns0:v>CONNFLY</ns0:v>
      </ns0:c>
      <ns0:c r="J85" t="str" s="33">
        <ns0:v>DS1022</ns0:v>
      </ns0:c>
      <ns0:c r="K85" t="str" s="34">
        <ns0:f>B85&amp;" "&amp;D85&amp;" "&amp;J85</ns0:f>
        <ns0:v>Разъём 1x02, 2.54 мм DS1022</ns0:v>
      </ns0:c>
      <ns0:c r="L85" t="str" s="36">
        <ns0:v>XP_2</ns0:v>
      </ns0:c>
      <ns0:c r="M85" t="str" s="36">
        <ns0:v>Symbols\MY_LIB_Connectors.SchLib</ns0:v>
      </ns0:c>
      <ns0:c r="N85" t="str" s="36">
        <ns0:v>CONNFLY_DS1022_1X02</ns0:v>
      </ns0:c>
      <ns0:c r="O85" t="str" s="36">
        <ns0:v>Footprints\MY_LIB_Connectors.PcbLib</ns0:v>
      </ns0:c>
      <ns0:c r="P85" t="str" s="33">
        <ns0:v>Штыревой, угловой; 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5" s="33"/>
      <ns0:c r="R85" t="str" s="34">
        <ns0:f>D85</ns0:f>
        <ns0:v>1x02, 2.54 мм</ns0:v>
      </ns0:c>
      <ns0:c r="S85" t="str" s="34">
        <ns0:f>K85</ns0:f>
        <ns0:v>Разъём 1x02, 2.54 мм DS1022</ns0:v>
      </ns0:c>
      <ns0:c r="T85" t="str" s="33">
        <ns0:v>C:\Users\Nomatin\Documents\Altium\MY_LIB\MY_LIB\Datasheets\CONNFLY_DS1022.pdf</ns0:v>
      </ns0:c>
      <ns0:c r="U85" s="33"/>
      <ns0:c r="V85" t="str" s="33">
        <ns0:v>Даташит — локальный</ns0:v>
      </ns0:c>
      <ns0:c r="W85" t="str" s="33">
        <ns0:v>C:\Users\Nomatin\Documents\Altium\MY_LIB\MY_LIB\Datasheets\CONNFLY_DS1022.pdf</ns0:v>
      </ns0:c>
      <ns0:c r="X85" t="str" s="33">
        <ns0:v>Даташит — производитель</ns0:v>
      </ns0:c>
      <ns0:c r="Y85" t="str" s="33">
        <ns0:v>https://en.connfly.com/static/upload/file/pdf/DS1022.pdf</ns0:v>
      </ns0:c>
      <ns0:c r="Z85" t="str" s="33">
        <ns0:v>C:\Users\Nomatin\Documents\Altium\MY_LIB\MY_LIB\Datasheets\CONNFLY_DS1022.pdf</ns0:v>
      </ns0:c>
    </ns0:row>
    <ns0:row xmlns:ns0="http://schemas.openxmlformats.org/spreadsheetml/2006/main" r="86" ht="85" customHeight="1">
      <ns0:c r="A86" t="str" s="33">
        <ns0:v>XP0083</ns0:v>
      </ns0:c>
      <ns0:c r="B86" t="str" s="33">
        <ns0:v>Разъём</ns0:v>
      </ns0:c>
      <ns0:c r="C86" t="str" s="33">
        <ns0:v>1x03, 2.54 мм</ns0:v>
      </ns0:c>
      <ns0:c r="D86" t="str" s="34">
        <ns0:f>C86</ns0:f>
        <ns0:v>1x03, 2.54 мм</ns0:v>
      </ns0:c>
      <ns0:c r="E86" s="33"/>
      <ns0:c r="F86" s="33"/>
      <ns0:c r="G86" s="33"/>
      <ns0:c r="H86" t="str" s="35">
        <ns0:v>1x03, P2.54, THT, угловой</ns0:v>
      </ns0:c>
      <ns0:c r="I86" t="str" s="33">
        <ns0:v>CONNFLY</ns0:v>
      </ns0:c>
      <ns0:c r="J86" t="str" s="33">
        <ns0:v>DS1022</ns0:v>
      </ns0:c>
      <ns0:c r="K86" t="str" s="34">
        <ns0:f>B86&amp;" "&amp;D86&amp;" "&amp;J86</ns0:f>
        <ns0:v>Разъём 1x03, 2.54 мм DS1022</ns0:v>
      </ns0:c>
      <ns0:c r="L86" t="str" s="36">
        <ns0:v>XP_3</ns0:v>
      </ns0:c>
      <ns0:c r="M86" t="str" s="36">
        <ns0:v>Symbols\MY_LIB_Connectors.SchLib</ns0:v>
      </ns0:c>
      <ns0:c r="N86" t="str" s="36">
        <ns0:v>CONNFLY_DS1022_1X03</ns0:v>
      </ns0:c>
      <ns0:c r="O86" t="str" s="36">
        <ns0:v>Footprints\MY_LIB_Connectors.PcbLib</ns0:v>
      </ns0:c>
      <ns0:c r="P86" t="str" s="33">
        <ns0:v>Штыревой, угловой; 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6" s="33"/>
      <ns0:c r="R86" t="str" s="34">
        <ns0:f>D86</ns0:f>
        <ns0:v>1x03, 2.54 мм</ns0:v>
      </ns0:c>
      <ns0:c r="S86" t="str" s="34">
        <ns0:f>K86</ns0:f>
        <ns0:v>Разъём 1x03, 2.54 мм DS1022</ns0:v>
      </ns0:c>
      <ns0:c r="T86" t="str" s="33">
        <ns0:v>C:\Users\Nomatin\Documents\Altium\MY_LIB\MY_LIB\Datasheets\CONNFLY_DS1022.pdf</ns0:v>
      </ns0:c>
      <ns0:c r="U86" s="33"/>
      <ns0:c r="V86" t="str" s="33">
        <ns0:v>Даташит — локальный</ns0:v>
      </ns0:c>
      <ns0:c r="W86" t="str" s="33">
        <ns0:v>C:\Users\Nomatin\Documents\Altium\MY_LIB\MY_LIB\Datasheets\CONNFLY_DS1022.pdf</ns0:v>
      </ns0:c>
      <ns0:c r="X86" t="str" s="33">
        <ns0:v>Даташит — производитель</ns0:v>
      </ns0:c>
      <ns0:c r="Y86" t="str" s="33">
        <ns0:v>https://en.connfly.com/static/upload/file/pdf/DS1022.pdf</ns0:v>
      </ns0:c>
      <ns0:c r="Z86" t="str" s="33">
        <ns0:v>C:\Users\Nomatin\Documents\Altium\MY_LIB\MY_LIB\Datasheets\CONNFLY_DS1022.pdf</ns0:v>
      </ns0:c>
    </ns0:row>
    <ns0:row xmlns:ns0="http://schemas.openxmlformats.org/spreadsheetml/2006/main" r="87" ht="85" customHeight="1">
      <ns0:c r="A87" t="str" s="33">
        <ns0:v>XP0084</ns0:v>
      </ns0:c>
      <ns0:c r="B87" t="str" s="33">
        <ns0:v>Разъём</ns0:v>
      </ns0:c>
      <ns0:c r="C87" t="str" s="33">
        <ns0:v>1x04, 2.54 мм</ns0:v>
      </ns0:c>
      <ns0:c r="D87" t="str" s="34">
        <ns0:f>C87</ns0:f>
        <ns0:v>1x04, 2.54 мм</ns0:v>
      </ns0:c>
      <ns0:c r="E87" s="33"/>
      <ns0:c r="F87" s="33"/>
      <ns0:c r="G87" s="33"/>
      <ns0:c r="H87" t="str" s="35">
        <ns0:v>1x04, P2.54, THT, угловой</ns0:v>
      </ns0:c>
      <ns0:c r="I87" t="str" s="33">
        <ns0:v>CONNFLY</ns0:v>
      </ns0:c>
      <ns0:c r="J87" t="str" s="33">
        <ns0:v>DS1022</ns0:v>
      </ns0:c>
      <ns0:c r="K87" t="str" s="34">
        <ns0:f>B87&amp;" "&amp;D87&amp;" "&amp;J87</ns0:f>
        <ns0:v>Разъём 1x04, 2.54 мм DS1022</ns0:v>
      </ns0:c>
      <ns0:c r="L87" t="str" s="36">
        <ns0:v>XP_4</ns0:v>
      </ns0:c>
      <ns0:c r="M87" t="str" s="36">
        <ns0:v>Symbols\MY_LIB_Connectors.SchLib</ns0:v>
      </ns0:c>
      <ns0:c r="N87" t="str" s="36">
        <ns0:v>CONNFLY_DS1022_1X04</ns0:v>
      </ns0:c>
      <ns0:c r="O87" t="str" s="36">
        <ns0:v>Footprints\MY_LIB_Connectors.PcbLib</ns0:v>
      </ns0:c>
      <ns0:c r="P87" t="str" s="33">
        <ns0:v>Штыревой, угловой;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7" s="33"/>
      <ns0:c r="R87" t="str" s="34">
        <ns0:f>D87</ns0:f>
        <ns0:v>1x04, 2.54 мм</ns0:v>
      </ns0:c>
      <ns0:c r="S87" t="str" s="34">
        <ns0:f>K87</ns0:f>
        <ns0:v>Разъём 1x04, 2.54 мм DS1022</ns0:v>
      </ns0:c>
      <ns0:c r="T87" t="str" s="33">
        <ns0:v>C:\Users\Nomatin\Documents\Altium\MY_LIB\MY_LIB\Datasheets\CONNFLY_DS1022.pdf</ns0:v>
      </ns0:c>
      <ns0:c r="U87" s="33"/>
      <ns0:c r="V87" t="str" s="33">
        <ns0:v>Даташит — локальный</ns0:v>
      </ns0:c>
      <ns0:c r="W87" t="str" s="33">
        <ns0:v>C:\Users\Nomatin\Documents\Altium\MY_LIB\MY_LIB\Datasheets\CONNFLY_DS1022.pdf</ns0:v>
      </ns0:c>
      <ns0:c r="X87" t="str" s="33">
        <ns0:v>Даташит — производитель</ns0:v>
      </ns0:c>
      <ns0:c r="Y87" t="str" s="33">
        <ns0:v>https://en.connfly.com/static/upload/file/pdf/DS1022.pdf</ns0:v>
      </ns0:c>
      <ns0:c r="Z87" t="str" s="33">
        <ns0:v>C:\Users\Nomatin\Documents\Altium\MY_LIB\MY_LIB\Datasheets\CONNFLY_DS1022.pdf</ns0:v>
      </ns0:c>
    </ns0:row>
    <ns0:row xmlns:ns0="http://schemas.openxmlformats.org/spreadsheetml/2006/main" r="88" ht="85" customHeight="1">
      <ns0:c r="A88" t="str" s="33">
        <ns0:v>XP0085</ns0:v>
      </ns0:c>
      <ns0:c r="B88" t="str" s="33">
        <ns0:v>Разъём</ns0:v>
      </ns0:c>
      <ns0:c r="C88" t="str" s="33">
        <ns0:v>1x05, 2.54 мм</ns0:v>
      </ns0:c>
      <ns0:c r="D88" t="str" s="34">
        <ns0:f>C88</ns0:f>
        <ns0:v>1x05, 2.54 мм</ns0:v>
      </ns0:c>
      <ns0:c r="E88" s="33"/>
      <ns0:c r="F88" s="33"/>
      <ns0:c r="G88" s="33"/>
      <ns0:c r="H88" t="str" s="35">
        <ns0:v>1x05, P2.54, THT, угловой</ns0:v>
      </ns0:c>
      <ns0:c r="I88" t="str" s="33">
        <ns0:v>CONNFLY</ns0:v>
      </ns0:c>
      <ns0:c r="J88" t="str" s="33">
        <ns0:v>DS1022</ns0:v>
      </ns0:c>
      <ns0:c r="K88" t="str" s="34">
        <ns0:f>B88&amp;" "&amp;D88&amp;" "&amp;J88</ns0:f>
        <ns0:v>Разъём 1x05, 2.54 мм DS1022</ns0:v>
      </ns0:c>
      <ns0:c r="L88" t="str" s="36">
        <ns0:v>XP_5</ns0:v>
      </ns0:c>
      <ns0:c r="M88" t="str" s="36">
        <ns0:v>Symbols\MY_LIB_Connectors.SchLib</ns0:v>
      </ns0:c>
      <ns0:c r="N88" t="str" s="36">
        <ns0:v>CONNFLY_DS1022_1X05</ns0:v>
      </ns0:c>
      <ns0:c r="O88" t="str" s="36">
        <ns0:v>Footprints\MY_LIB_Connectors.PcbLib</ns0:v>
      </ns0:c>
      <ns0:c r="P88" t="str" s="33">
        <ns0:v>Штыревой, угловой; 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8" s="33"/>
      <ns0:c r="R88" t="str" s="34">
        <ns0:f>D88</ns0:f>
        <ns0:v>1x05, 2.54 мм</ns0:v>
      </ns0:c>
      <ns0:c r="S88" t="str" s="34">
        <ns0:f>K88</ns0:f>
        <ns0:v>Разъём 1x05, 2.54 мм DS1022</ns0:v>
      </ns0:c>
      <ns0:c r="T88" t="str" s="33">
        <ns0:v>C:\Users\Nomatin\Documents\Altium\MY_LIB\MY_LIB\Datasheets\CONNFLY_DS1022.pdf</ns0:v>
      </ns0:c>
      <ns0:c r="U88" s="33"/>
      <ns0:c r="V88" t="str" s="33">
        <ns0:v>Даташит — локальный</ns0:v>
      </ns0:c>
      <ns0:c r="W88" t="str" s="33">
        <ns0:v>C:\Users\Nomatin\Documents\Altium\MY_LIB\MY_LIB\Datasheets\CONNFLY_DS1022.pdf</ns0:v>
      </ns0:c>
      <ns0:c r="X88" t="str" s="33">
        <ns0:v>Даташит — производитель</ns0:v>
      </ns0:c>
      <ns0:c r="Y88" t="str" s="33">
        <ns0:v>https://en.connfly.com/static/upload/file/pdf/DS1022.pdf</ns0:v>
      </ns0:c>
      <ns0:c r="Z88" t="str" s="33">
        <ns0:v>C:\Users\Nomatin\Documents\Altium\MY_LIB\MY_LIB\Datasheets\CONNFLY_DS1022.pdf</ns0:v>
      </ns0:c>
    </ns0:row>
    <ns0:row xmlns:ns0="http://schemas.openxmlformats.org/spreadsheetml/2006/main" r="89" ht="85" customHeight="1">
      <ns0:c r="A89" t="str" s="33">
        <ns0:v>XP0086</ns0:v>
      </ns0:c>
      <ns0:c r="B89" t="str" s="33">
        <ns0:v>Разъём</ns0:v>
      </ns0:c>
      <ns0:c r="C89" t="str" s="33">
        <ns0:v>1x06, 2.54 мм</ns0:v>
      </ns0:c>
      <ns0:c r="D89" t="str" s="34">
        <ns0:f>C89</ns0:f>
        <ns0:v>1x06, 2.54 мм</ns0:v>
      </ns0:c>
      <ns0:c r="E89" s="33"/>
      <ns0:c r="F89" s="33"/>
      <ns0:c r="G89" s="33"/>
      <ns0:c r="H89" t="str" s="35">
        <ns0:v>1x06, P2.54, THT, угловой</ns0:v>
      </ns0:c>
      <ns0:c r="I89" t="str" s="33">
        <ns0:v>CONNFLY</ns0:v>
      </ns0:c>
      <ns0:c r="J89" t="str" s="33">
        <ns0:v>DS1022</ns0:v>
      </ns0:c>
      <ns0:c r="K89" t="str" s="34">
        <ns0:f>B89&amp;" "&amp;D89&amp;" "&amp;J89</ns0:f>
        <ns0:v>Разъём 1x06, 2.54 мм DS1022</ns0:v>
      </ns0:c>
      <ns0:c r="L89" t="str" s="36">
        <ns0:v>XP_6</ns0:v>
      </ns0:c>
      <ns0:c r="M89" t="str" s="36">
        <ns0:v>Symbols\MY_LIB_Connectors.SchLib</ns0:v>
      </ns0:c>
      <ns0:c r="N89" t="str" s="36">
        <ns0:v>CONNFLY_DS1022_1X06</ns0:v>
      </ns0:c>
      <ns0:c r="O89" t="str" s="36">
        <ns0:v>Footprints\MY_LIB_Connectors.PcbLib</ns0:v>
      </ns0:c>
      <ns0:c r="P89" t="str" s="33">
        <ns0:v>Штыревой, угловой;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89" s="33"/>
      <ns0:c r="R89" t="str" s="34">
        <ns0:f>D89</ns0:f>
        <ns0:v>1x06, 2.54 мм</ns0:v>
      </ns0:c>
      <ns0:c r="S89" t="str" s="34">
        <ns0:f>K89</ns0:f>
        <ns0:v>Разъём 1x06, 2.54 мм DS1022</ns0:v>
      </ns0:c>
      <ns0:c r="T89" t="str" s="33">
        <ns0:v>C:\Users\Nomatin\Documents\Altium\MY_LIB\MY_LIB\Datasheets\CONNFLY_DS1022.pdf</ns0:v>
      </ns0:c>
      <ns0:c r="U89" s="33"/>
      <ns0:c r="V89" t="str" s="33">
        <ns0:v>Даташит — локальный</ns0:v>
      </ns0:c>
      <ns0:c r="W89" t="str" s="33">
        <ns0:v>C:\Users\Nomatin\Documents\Altium\MY_LIB\MY_LIB\Datasheets\CONNFLY_DS1022.pdf</ns0:v>
      </ns0:c>
      <ns0:c r="X89" t="str" s="33">
        <ns0:v>Даташит — производитель</ns0:v>
      </ns0:c>
      <ns0:c r="Y89" t="str" s="33">
        <ns0:v>https://en.connfly.com/static/upload/file/pdf/DS1022.pdf</ns0:v>
      </ns0:c>
      <ns0:c r="Z89" t="str" s="33">
        <ns0:v>C:\Users\Nomatin\Documents\Altium\MY_LIB\MY_LIB\Datasheets\CONNFLY_DS1022.pdf</ns0:v>
      </ns0:c>
    </ns0:row>
    <ns0:row xmlns:ns0="http://schemas.openxmlformats.org/spreadsheetml/2006/main" r="90" ht="85" customHeight="1">
      <ns0:c r="A90" t="str" s="33">
        <ns0:v>XP0087</ns0:v>
      </ns0:c>
      <ns0:c r="B90" t="str" s="33">
        <ns0:v>Разъём</ns0:v>
      </ns0:c>
      <ns0:c r="C90" t="str" s="33">
        <ns0:v>1x07, 2.54 мм</ns0:v>
      </ns0:c>
      <ns0:c r="D90" t="str" s="34">
        <ns0:f>C90</ns0:f>
        <ns0:v>1x07, 2.54 мм</ns0:v>
      </ns0:c>
      <ns0:c r="E90" s="33"/>
      <ns0:c r="F90" s="33"/>
      <ns0:c r="G90" s="33"/>
      <ns0:c r="H90" t="str" s="35">
        <ns0:v>1x07, P2.54, THT, угловой</ns0:v>
      </ns0:c>
      <ns0:c r="I90" t="str" s="33">
        <ns0:v>CONNFLY</ns0:v>
      </ns0:c>
      <ns0:c r="J90" t="str" s="33">
        <ns0:v>DS1022</ns0:v>
      </ns0:c>
      <ns0:c r="K90" t="str" s="34">
        <ns0:f>B90&amp;" "&amp;D90&amp;" "&amp;J90</ns0:f>
        <ns0:v>Разъём 1x07, 2.54 мм DS1022</ns0:v>
      </ns0:c>
      <ns0:c r="L90" t="str" s="36">
        <ns0:v>XP_7</ns0:v>
      </ns0:c>
      <ns0:c r="M90" t="str" s="36">
        <ns0:v>Symbols\MY_LIB_Connectors.SchLib</ns0:v>
      </ns0:c>
      <ns0:c r="N90" t="str" s="36">
        <ns0:v>CONNFLY_DS1022_1X07</ns0:v>
      </ns0:c>
      <ns0:c r="O90" t="str" s="36">
        <ns0:v>Footprints\MY_LIB_Connectors.PcbLib</ns0:v>
      </ns0:c>
      <ns0:c r="P90" t="str" s="33">
        <ns0:v>Штыревой, угловой; 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0" s="33"/>
      <ns0:c r="R90" t="str" s="34">
        <ns0:f>D90</ns0:f>
        <ns0:v>1x07, 2.54 мм</ns0:v>
      </ns0:c>
      <ns0:c r="S90" t="str" s="34">
        <ns0:f>K90</ns0:f>
        <ns0:v>Разъём 1x07, 2.54 мм DS1022</ns0:v>
      </ns0:c>
      <ns0:c r="T90" t="str" s="33">
        <ns0:v>C:\Users\Nomatin\Documents\Altium\MY_LIB\MY_LIB\Datasheets\CONNFLY_DS1022.pdf</ns0:v>
      </ns0:c>
      <ns0:c r="U90" s="33"/>
      <ns0:c r="V90" t="str" s="33">
        <ns0:v>Даташит — локальный</ns0:v>
      </ns0:c>
      <ns0:c r="W90" t="str" s="33">
        <ns0:v>C:\Users\Nomatin\Documents\Altium\MY_LIB\MY_LIB\Datasheets\CONNFLY_DS1022.pdf</ns0:v>
      </ns0:c>
      <ns0:c r="X90" t="str" s="33">
        <ns0:v>Даташит — производитель</ns0:v>
      </ns0:c>
      <ns0:c r="Y90" t="str" s="33">
        <ns0:v>https://en.connfly.com/static/upload/file/pdf/DS1022.pdf</ns0:v>
      </ns0:c>
      <ns0:c r="Z90" t="str" s="33">
        <ns0:v>C:\Users\Nomatin\Documents\Altium\MY_LIB\MY_LIB\Datasheets\CONNFLY_DS1022.pdf</ns0:v>
      </ns0:c>
    </ns0:row>
    <ns0:row xmlns:ns0="http://schemas.openxmlformats.org/spreadsheetml/2006/main" r="91" ht="85" customHeight="1">
      <ns0:c r="A91" t="str" s="33">
        <ns0:v>XP0088</ns0:v>
      </ns0:c>
      <ns0:c r="B91" t="str" s="33">
        <ns0:v>Разъём</ns0:v>
      </ns0:c>
      <ns0:c r="C91" t="str" s="33">
        <ns0:v>1x08, 2.54 мм</ns0:v>
      </ns0:c>
      <ns0:c r="D91" t="str" s="34">
        <ns0:f>C91</ns0:f>
        <ns0:v>1x08, 2.54 мм</ns0:v>
      </ns0:c>
      <ns0:c r="E91" s="33"/>
      <ns0:c r="F91" s="33"/>
      <ns0:c r="G91" s="33"/>
      <ns0:c r="H91" t="str" s="35">
        <ns0:v>1x08, P2.54, THT, угловой</ns0:v>
      </ns0:c>
      <ns0:c r="I91" t="str" s="33">
        <ns0:v>CONNFLY</ns0:v>
      </ns0:c>
      <ns0:c r="J91" t="str" s="33">
        <ns0:v>DS1022</ns0:v>
      </ns0:c>
      <ns0:c r="K91" t="str" s="34">
        <ns0:f>B91&amp;" "&amp;D91&amp;" "&amp;J91</ns0:f>
        <ns0:v>Разъём 1x08, 2.54 мм DS1022</ns0:v>
      </ns0:c>
      <ns0:c r="L91" t="str" s="36">
        <ns0:v>XP_8</ns0:v>
      </ns0:c>
      <ns0:c r="M91" t="str" s="36">
        <ns0:v>Symbols\MY_LIB_Connectors.SchLib</ns0:v>
      </ns0:c>
      <ns0:c r="N91" t="str" s="36">
        <ns0:v>CONNFLY_DS1022_1X08</ns0:v>
      </ns0:c>
      <ns0:c r="O91" t="str" s="36">
        <ns0:v>Footprints\MY_LIB_Connectors.PcbLib</ns0:v>
      </ns0:c>
      <ns0:c r="P91" t="str" s="33">
        <ns0:v>Штыревой, угловой;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1" s="33"/>
      <ns0:c r="R91" t="str" s="34">
        <ns0:f>D91</ns0:f>
        <ns0:v>1x08, 2.54 мм</ns0:v>
      </ns0:c>
      <ns0:c r="S91" t="str" s="34">
        <ns0:f>K91</ns0:f>
        <ns0:v>Разъём 1x08, 2.54 мм DS1022</ns0:v>
      </ns0:c>
      <ns0:c r="T91" t="str" s="33">
        <ns0:v>C:\Users\Nomatin\Documents\Altium\MY_LIB\MY_LIB\Datasheets\CONNFLY_DS1022.pdf</ns0:v>
      </ns0:c>
      <ns0:c r="U91" s="33"/>
      <ns0:c r="V91" t="str" s="33">
        <ns0:v>Даташит — локальный</ns0:v>
      </ns0:c>
      <ns0:c r="W91" t="str" s="33">
        <ns0:v>C:\Users\Nomatin\Documents\Altium\MY_LIB\MY_LIB\Datasheets\CONNFLY_DS1022.pdf</ns0:v>
      </ns0:c>
      <ns0:c r="X91" t="str" s="33">
        <ns0:v>Даташит — производитель</ns0:v>
      </ns0:c>
      <ns0:c r="Y91" t="str" s="33">
        <ns0:v>https://en.connfly.com/static/upload/file/pdf/DS1022.pdf</ns0:v>
      </ns0:c>
      <ns0:c r="Z91" t="str" s="33">
        <ns0:v>C:\Users\Nomatin\Documents\Altium\MY_LIB\MY_LIB\Datasheets\CONNFLY_DS1022.pdf</ns0:v>
      </ns0:c>
    </ns0:row>
    <ns0:row xmlns:ns0="http://schemas.openxmlformats.org/spreadsheetml/2006/main" r="92" ht="85" customHeight="1">
      <ns0:c r="A92" t="str" s="33">
        <ns0:v>XP0089</ns0:v>
      </ns0:c>
      <ns0:c r="B92" t="str" s="33">
        <ns0:v>Разъём</ns0:v>
      </ns0:c>
      <ns0:c r="C92" t="str" s="33">
        <ns0:v>1x09, 2.54 мм</ns0:v>
      </ns0:c>
      <ns0:c r="D92" t="str" s="34">
        <ns0:f>C92</ns0:f>
        <ns0:v>1x09, 2.54 мм</ns0:v>
      </ns0:c>
      <ns0:c r="E92" s="33"/>
      <ns0:c r="F92" s="33"/>
      <ns0:c r="G92" s="33"/>
      <ns0:c r="H92" t="str" s="35">
        <ns0:v>1x09, P2.54, THT, угловой</ns0:v>
      </ns0:c>
      <ns0:c r="I92" t="str" s="33">
        <ns0:v>CONNFLY</ns0:v>
      </ns0:c>
      <ns0:c r="J92" t="str" s="33">
        <ns0:v>DS1022</ns0:v>
      </ns0:c>
      <ns0:c r="K92" t="str" s="34">
        <ns0:f>B92&amp;" "&amp;D92&amp;" "&amp;J92</ns0:f>
        <ns0:v>Разъём 1x09, 2.54 мм DS1022</ns0:v>
      </ns0:c>
      <ns0:c r="L92" t="str" s="36">
        <ns0:v>XP_9</ns0:v>
      </ns0:c>
      <ns0:c r="M92" t="str" s="36">
        <ns0:v>Symbols\MY_LIB_Connectors.SchLib</ns0:v>
      </ns0:c>
      <ns0:c r="N92" t="str" s="36">
        <ns0:v>CONNFLY_DS1022_1X09</ns0:v>
      </ns0:c>
      <ns0:c r="O92" t="str" s="36">
        <ns0:v>Footprints\MY_LIB_Connectors.PcbLib</ns0:v>
      </ns0:c>
      <ns0:c r="P92" t="str" s="33">
        <ns0:v>Штыревой, угловой; 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2" s="33"/>
      <ns0:c r="R92" t="str" s="34">
        <ns0:f>D92</ns0:f>
        <ns0:v>1x09, 2.54 мм</ns0:v>
      </ns0:c>
      <ns0:c r="S92" t="str" s="34">
        <ns0:f>K92</ns0:f>
        <ns0:v>Разъём 1x09, 2.54 мм DS1022</ns0:v>
      </ns0:c>
      <ns0:c r="T92" t="str" s="33">
        <ns0:v>C:\Users\Nomatin\Documents\Altium\MY_LIB\MY_LIB\Datasheets\CONNFLY_DS1022.pdf</ns0:v>
      </ns0:c>
      <ns0:c r="U92" s="33"/>
      <ns0:c r="V92" t="str" s="33">
        <ns0:v>Даташит — локальный</ns0:v>
      </ns0:c>
      <ns0:c r="W92" t="str" s="33">
        <ns0:v>C:\Users\Nomatin\Documents\Altium\MY_LIB\MY_LIB\Datasheets\CONNFLY_DS1022.pdf</ns0:v>
      </ns0:c>
      <ns0:c r="X92" t="str" s="33">
        <ns0:v>Даташит — производитель</ns0:v>
      </ns0:c>
      <ns0:c r="Y92" t="str" s="33">
        <ns0:v>https://en.connfly.com/static/upload/file/pdf/DS1022.pdf</ns0:v>
      </ns0:c>
      <ns0:c r="Z92" t="str" s="33">
        <ns0:v>C:\Users\Nomatin\Documents\Altium\MY_LIB\MY_LIB\Datasheets\CONNFLY_DS1022.pdf</ns0:v>
      </ns0:c>
    </ns0:row>
    <ns0:row xmlns:ns0="http://schemas.openxmlformats.org/spreadsheetml/2006/main" r="93" ht="85" customHeight="1">
      <ns0:c r="A93" t="str" s="33">
        <ns0:v>XP0090</ns0:v>
      </ns0:c>
      <ns0:c r="B93" t="str" s="33">
        <ns0:v>Разъём</ns0:v>
      </ns0:c>
      <ns0:c r="C93" t="str" s="33">
        <ns0:v>1x10, 2.54 мм</ns0:v>
      </ns0:c>
      <ns0:c r="D93" t="str" s="34">
        <ns0:f>C93</ns0:f>
        <ns0:v>1x10, 2.54 мм</ns0:v>
      </ns0:c>
      <ns0:c r="E93" s="33"/>
      <ns0:c r="F93" s="33"/>
      <ns0:c r="G93" s="33"/>
      <ns0:c r="H93" t="str" s="35">
        <ns0:v>1x10, P2.54, THT, угловой</ns0:v>
      </ns0:c>
      <ns0:c r="I93" t="str" s="33">
        <ns0:v>CONNFLY</ns0:v>
      </ns0:c>
      <ns0:c r="J93" t="str" s="33">
        <ns0:v>DS1022</ns0:v>
      </ns0:c>
      <ns0:c r="K93" t="str" s="34">
        <ns0:f>B93&amp;" "&amp;D93&amp;" "&amp;J93</ns0:f>
        <ns0:v>Разъём 1x10, 2.54 мм DS1022</ns0:v>
      </ns0:c>
      <ns0:c r="L93" t="str" s="36">
        <ns0:v>XP_10</ns0:v>
      </ns0:c>
      <ns0:c r="M93" t="str" s="36">
        <ns0:v>Symbols\MY_LIB_Connectors.SchLib</ns0:v>
      </ns0:c>
      <ns0:c r="N93" t="str" s="36">
        <ns0:v>CONNFLY_DS1022_1X10</ns0:v>
      </ns0:c>
      <ns0:c r="O93" t="str" s="36">
        <ns0:v>Footprints\MY_LIB_Connectors.PcbLib</ns0:v>
      </ns0:c>
      <ns0:c r="P93" t="str" s="33">
        <ns0:v>Штыревой, угловой;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3" s="33"/>
      <ns0:c r="R93" t="str" s="34">
        <ns0:f>D93</ns0:f>
        <ns0:v>1x10, 2.54 мм</ns0:v>
      </ns0:c>
      <ns0:c r="S93" t="str" s="34">
        <ns0:f>K93</ns0:f>
        <ns0:v>Разъём 1x10, 2.54 мм DS1022</ns0:v>
      </ns0:c>
      <ns0:c r="T93" t="str" s="33">
        <ns0:v>C:\Users\Nomatin\Documents\Altium\MY_LIB\MY_LIB\Datasheets\CONNFLY_DS1022.pdf</ns0:v>
      </ns0:c>
      <ns0:c r="U93" s="33"/>
      <ns0:c r="V93" t="str" s="33">
        <ns0:v>Даташит — локальный</ns0:v>
      </ns0:c>
      <ns0:c r="W93" t="str" s="33">
        <ns0:v>C:\Users\Nomatin\Documents\Altium\MY_LIB\MY_LIB\Datasheets\CONNFLY_DS1022.pdf</ns0:v>
      </ns0:c>
      <ns0:c r="X93" t="str" s="33">
        <ns0:v>Даташит — производитель</ns0:v>
      </ns0:c>
      <ns0:c r="Y93" t="str" s="33">
        <ns0:v>https://en.connfly.com/static/upload/file/pdf/DS1022.pdf</ns0:v>
      </ns0:c>
      <ns0:c r="Z93" t="str" s="33">
        <ns0:v>C:\Users\Nomatin\Documents\Altium\MY_LIB\MY_LIB\Datasheets\CONNFLY_DS1022.pdf</ns0:v>
      </ns0:c>
    </ns0:row>
    <ns0:row xmlns:ns0="http://schemas.openxmlformats.org/spreadsheetml/2006/main" r="94" ht="85" customHeight="1">
      <ns0:c r="A94" t="str" s="33">
        <ns0:v>XP0091</ns0:v>
      </ns0:c>
      <ns0:c r="B94" t="str" s="33">
        <ns0:v>Разъём</ns0:v>
      </ns0:c>
      <ns0:c r="C94" t="str" s="33">
        <ns0:v>1x11, 2.54 мм</ns0:v>
      </ns0:c>
      <ns0:c r="D94" t="str" s="34">
        <ns0:f>C94</ns0:f>
        <ns0:v>1x11, 2.54 мм</ns0:v>
      </ns0:c>
      <ns0:c r="E94" s="33"/>
      <ns0:c r="F94" s="33"/>
      <ns0:c r="G94" s="33"/>
      <ns0:c r="H94" t="str" s="35">
        <ns0:v>1x11, P2.54, THT, угловой</ns0:v>
      </ns0:c>
      <ns0:c r="I94" t="str" s="33">
        <ns0:v>CONNFLY</ns0:v>
      </ns0:c>
      <ns0:c r="J94" t="str" s="33">
        <ns0:v>DS1022</ns0:v>
      </ns0:c>
      <ns0:c r="K94" t="str" s="34">
        <ns0:f>B94&amp;" "&amp;D94&amp;" "&amp;J94</ns0:f>
        <ns0:v>Разъём 1x11, 2.54 мм DS1022</ns0:v>
      </ns0:c>
      <ns0:c r="L94" t="str" s="36">
        <ns0:v>XP_11</ns0:v>
      </ns0:c>
      <ns0:c r="M94" t="str" s="36">
        <ns0:v>Symbols\MY_LIB_Connectors.SchLib</ns0:v>
      </ns0:c>
      <ns0:c r="N94" t="str" s="36">
        <ns0:v>CONNFLY_DS1022_1X11</ns0:v>
      </ns0:c>
      <ns0:c r="O94" t="str" s="36">
        <ns0:v>Footprints\MY_LIB_Connectors.PcbLib</ns0:v>
      </ns0:c>
      <ns0:c r="P94" t="str" s="33">
        <ns0:v>Штыревой, угловой; 11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4" s="33"/>
      <ns0:c r="R94" t="str" s="34">
        <ns0:f>D94</ns0:f>
        <ns0:v>1x11, 2.54 мм</ns0:v>
      </ns0:c>
      <ns0:c r="S94" t="str" s="34">
        <ns0:f>K94</ns0:f>
        <ns0:v>Разъём 1x11, 2.54 мм DS1022</ns0:v>
      </ns0:c>
      <ns0:c r="T94" t="str" s="33">
        <ns0:v>C:\Users\Nomatin\Documents\Altium\MY_LIB\MY_LIB\Datasheets\CONNFLY_DS1022.pdf</ns0:v>
      </ns0:c>
      <ns0:c r="U94" s="33"/>
      <ns0:c r="V94" t="str" s="33">
        <ns0:v>Даташит — локальный</ns0:v>
      </ns0:c>
      <ns0:c r="W94" t="str" s="33">
        <ns0:v>C:\Users\Nomatin\Documents\Altium\MY_LIB\MY_LIB\Datasheets\CONNFLY_DS1022.pdf</ns0:v>
      </ns0:c>
      <ns0:c r="X94" t="str" s="33">
        <ns0:v>Даташит — производитель</ns0:v>
      </ns0:c>
      <ns0:c r="Y94" t="str" s="33">
        <ns0:v>https://en.connfly.com/static/upload/file/pdf/DS1022.pdf</ns0:v>
      </ns0:c>
      <ns0:c r="Z94" t="str" s="33">
        <ns0:v>C:\Users\Nomatin\Documents\Altium\MY_LIB\MY_LIB\Datasheets\CONNFLY_DS1022.pdf</ns0:v>
      </ns0:c>
    </ns0:row>
    <ns0:row xmlns:ns0="http://schemas.openxmlformats.org/spreadsheetml/2006/main" r="95" ht="85" customHeight="1">
      <ns0:c r="A95" t="str" s="33">
        <ns0:v>XP0092</ns0:v>
      </ns0:c>
      <ns0:c r="B95" t="str" s="33">
        <ns0:v>Разъём</ns0:v>
      </ns0:c>
      <ns0:c r="C95" t="str" s="33">
        <ns0:v>1x12, 2.54 мм</ns0:v>
      </ns0:c>
      <ns0:c r="D95" t="str" s="34">
        <ns0:f>C95</ns0:f>
        <ns0:v>1x12, 2.54 мм</ns0:v>
      </ns0:c>
      <ns0:c r="E95" s="33"/>
      <ns0:c r="F95" s="33"/>
      <ns0:c r="G95" s="33"/>
      <ns0:c r="H95" t="str" s="35">
        <ns0:v>1x12, P2.54, THT, угловой</ns0:v>
      </ns0:c>
      <ns0:c r="I95" t="str" s="33">
        <ns0:v>CONNFLY</ns0:v>
      </ns0:c>
      <ns0:c r="J95" t="str" s="33">
        <ns0:v>DS1022</ns0:v>
      </ns0:c>
      <ns0:c r="K95" t="str" s="34">
        <ns0:f>B95&amp;" "&amp;D95&amp;" "&amp;J95</ns0:f>
        <ns0:v>Разъём 1x12, 2.54 мм DS1022</ns0:v>
      </ns0:c>
      <ns0:c r="L95" t="str" s="36">
        <ns0:v>XP_12</ns0:v>
      </ns0:c>
      <ns0:c r="M95" t="str" s="36">
        <ns0:v>Symbols\MY_LIB_Connectors.SchLib</ns0:v>
      </ns0:c>
      <ns0:c r="N95" t="str" s="36">
        <ns0:v>CONNFLY_DS1022_1X12</ns0:v>
      </ns0:c>
      <ns0:c r="O95" t="str" s="36">
        <ns0:v>Footprints\MY_LIB_Connectors.PcbLib</ns0:v>
      </ns0:c>
      <ns0:c r="P95" t="str" s="33">
        <ns0:v>Штыревой, угловой;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5" s="33"/>
      <ns0:c r="R95" t="str" s="34">
        <ns0:f>D95</ns0:f>
        <ns0:v>1x12, 2.54 мм</ns0:v>
      </ns0:c>
      <ns0:c r="S95" t="str" s="34">
        <ns0:f>K95</ns0:f>
        <ns0:v>Разъём 1x12, 2.54 мм DS1022</ns0:v>
      </ns0:c>
      <ns0:c r="T95" t="str" s="33">
        <ns0:v>C:\Users\Nomatin\Documents\Altium\MY_LIB\MY_LIB\Datasheets\CONNFLY_DS1022.pdf</ns0:v>
      </ns0:c>
      <ns0:c r="U95" s="33"/>
      <ns0:c r="V95" t="str" s="33">
        <ns0:v>Даташит — локальный</ns0:v>
      </ns0:c>
      <ns0:c r="W95" t="str" s="33">
        <ns0:v>C:\Users\Nomatin\Documents\Altium\MY_LIB\MY_LIB\Datasheets\CONNFLY_DS1022.pdf</ns0:v>
      </ns0:c>
      <ns0:c r="X95" t="str" s="33">
        <ns0:v>Даташит — производитель</ns0:v>
      </ns0:c>
      <ns0:c r="Y95" t="str" s="33">
        <ns0:v>https://en.connfly.com/static/upload/file/pdf/DS1022.pdf</ns0:v>
      </ns0:c>
      <ns0:c r="Z95" t="str" s="33">
        <ns0:v>C:\Users\Nomatin\Documents\Altium\MY_LIB\MY_LIB\Datasheets\CONNFLY_DS1022.pdf</ns0:v>
      </ns0:c>
    </ns0:row>
    <ns0:row xmlns:ns0="http://schemas.openxmlformats.org/spreadsheetml/2006/main" r="96" ht="85" customHeight="1">
      <ns0:c r="A96" t="str" s="33">
        <ns0:v>XP0093</ns0:v>
      </ns0:c>
      <ns0:c r="B96" t="str" s="33">
        <ns0:v>Разъём</ns0:v>
      </ns0:c>
      <ns0:c r="C96" t="str" s="33">
        <ns0:v>1x13, 2.54 мм</ns0:v>
      </ns0:c>
      <ns0:c r="D96" t="str" s="34">
        <ns0:f>C96</ns0:f>
        <ns0:v>1x13, 2.54 мм</ns0:v>
      </ns0:c>
      <ns0:c r="E96" s="33"/>
      <ns0:c r="F96" s="33"/>
      <ns0:c r="G96" s="33"/>
      <ns0:c r="H96" t="str" s="35">
        <ns0:v>1x13, P2.54, THT, угловой</ns0:v>
      </ns0:c>
      <ns0:c r="I96" t="str" s="33">
        <ns0:v>CONNFLY</ns0:v>
      </ns0:c>
      <ns0:c r="J96" t="str" s="33">
        <ns0:v>DS1022</ns0:v>
      </ns0:c>
      <ns0:c r="K96" t="str" s="34">
        <ns0:f>B96&amp;" "&amp;D96&amp;" "&amp;J96</ns0:f>
        <ns0:v>Разъём 1x13, 2.54 мм DS1022</ns0:v>
      </ns0:c>
      <ns0:c r="L96" t="str" s="36">
        <ns0:v>XP_13</ns0:v>
      </ns0:c>
      <ns0:c r="M96" t="str" s="36">
        <ns0:v>Symbols\MY_LIB_Connectors.SchLib</ns0:v>
      </ns0:c>
      <ns0:c r="N96" t="str" s="36">
        <ns0:v>CONNFLY_DS1022_1X13</ns0:v>
      </ns0:c>
      <ns0:c r="O96" t="str" s="36">
        <ns0:v>Footprints\MY_LIB_Connectors.PcbLib</ns0:v>
      </ns0:c>
      <ns0:c r="P96" t="str" s="33">
        <ns0:v>Штыревой, угловой; 13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6" s="33"/>
      <ns0:c r="R96" t="str" s="34">
        <ns0:f>D96</ns0:f>
        <ns0:v>1x13, 2.54 мм</ns0:v>
      </ns0:c>
      <ns0:c r="S96" t="str" s="34">
        <ns0:f>K96</ns0:f>
        <ns0:v>Разъём 1x13, 2.54 мм DS1022</ns0:v>
      </ns0:c>
      <ns0:c r="T96" t="str" s="33">
        <ns0:v>C:\Users\Nomatin\Documents\Altium\MY_LIB\MY_LIB\Datasheets\CONNFLY_DS1022.pdf</ns0:v>
      </ns0:c>
      <ns0:c r="U96" s="33"/>
      <ns0:c r="V96" t="str" s="33">
        <ns0:v>Даташит — локальный</ns0:v>
      </ns0:c>
      <ns0:c r="W96" t="str" s="33">
        <ns0:v>C:\Users\Nomatin\Documents\Altium\MY_LIB\MY_LIB\Datasheets\CONNFLY_DS1022.pdf</ns0:v>
      </ns0:c>
      <ns0:c r="X96" t="str" s="33">
        <ns0:v>Даташит — производитель</ns0:v>
      </ns0:c>
      <ns0:c r="Y96" t="str" s="33">
        <ns0:v>https://en.connfly.com/static/upload/file/pdf/DS1022.pdf</ns0:v>
      </ns0:c>
      <ns0:c r="Z96" t="str" s="33">
        <ns0:v>C:\Users\Nomatin\Documents\Altium\MY_LIB\MY_LIB\Datasheets\CONNFLY_DS1022.pdf</ns0:v>
      </ns0:c>
    </ns0:row>
    <ns0:row xmlns:ns0="http://schemas.openxmlformats.org/spreadsheetml/2006/main" r="97" ht="85" customHeight="1">
      <ns0:c r="A97" t="str" s="33">
        <ns0:v>XP0094</ns0:v>
      </ns0:c>
      <ns0:c r="B97" t="str" s="33">
        <ns0:v>Разъём</ns0:v>
      </ns0:c>
      <ns0:c r="C97" t="str" s="33">
        <ns0:v>1x14, 2.54 мм</ns0:v>
      </ns0:c>
      <ns0:c r="D97" t="str" s="34">
        <ns0:f>C97</ns0:f>
        <ns0:v>1x14, 2.54 мм</ns0:v>
      </ns0:c>
      <ns0:c r="E97" s="33"/>
      <ns0:c r="F97" s="33"/>
      <ns0:c r="G97" s="33"/>
      <ns0:c r="H97" t="str" s="35">
        <ns0:v>1x14, P2.54, THT, угловой</ns0:v>
      </ns0:c>
      <ns0:c r="I97" t="str" s="33">
        <ns0:v>CONNFLY</ns0:v>
      </ns0:c>
      <ns0:c r="J97" t="str" s="33">
        <ns0:v>DS1022</ns0:v>
      </ns0:c>
      <ns0:c r="K97" t="str" s="34">
        <ns0:f>B97&amp;" "&amp;D97&amp;" "&amp;J97</ns0:f>
        <ns0:v>Разъём 1x14, 2.54 мм DS1022</ns0:v>
      </ns0:c>
      <ns0:c r="L97" t="str" s="36">
        <ns0:v>XP_14</ns0:v>
      </ns0:c>
      <ns0:c r="M97" t="str" s="36">
        <ns0:v>Symbols\MY_LIB_Connectors.SchLib</ns0:v>
      </ns0:c>
      <ns0:c r="N97" t="str" s="36">
        <ns0:v>CONNFLY_DS1022_1X14</ns0:v>
      </ns0:c>
      <ns0:c r="O97" t="str" s="36">
        <ns0:v>Footprints\MY_LIB_Connectors.PcbLib</ns0:v>
      </ns0:c>
      <ns0:c r="P97" t="str" s="33">
        <ns0:v>Штыревой, угловой;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7" s="33"/>
      <ns0:c r="R97" t="str" s="34">
        <ns0:f>D97</ns0:f>
        <ns0:v>1x14, 2.54 мм</ns0:v>
      </ns0:c>
      <ns0:c r="S97" t="str" s="34">
        <ns0:f>K97</ns0:f>
        <ns0:v>Разъём 1x14, 2.54 мм DS1022</ns0:v>
      </ns0:c>
      <ns0:c r="T97" t="str" s="33">
        <ns0:v>C:\Users\Nomatin\Documents\Altium\MY_LIB\MY_LIB\Datasheets\CONNFLY_DS1022.pdf</ns0:v>
      </ns0:c>
      <ns0:c r="U97" s="33"/>
      <ns0:c r="V97" t="str" s="33">
        <ns0:v>Даташит — локальный</ns0:v>
      </ns0:c>
      <ns0:c r="W97" t="str" s="33">
        <ns0:v>C:\Users\Nomatin\Documents\Altium\MY_LIB\MY_LIB\Datasheets\CONNFLY_DS1022.pdf</ns0:v>
      </ns0:c>
      <ns0:c r="X97" t="str" s="33">
        <ns0:v>Даташит — производитель</ns0:v>
      </ns0:c>
      <ns0:c r="Y97" t="str" s="33">
        <ns0:v>https://en.connfly.com/static/upload/file/pdf/DS1022.pdf</ns0:v>
      </ns0:c>
      <ns0:c r="Z97" t="str" s="33">
        <ns0:v>C:\Users\Nomatin\Documents\Altium\MY_LIB\MY_LIB\Datasheets\CONNFLY_DS1022.pdf</ns0:v>
      </ns0:c>
    </ns0:row>
    <ns0:row xmlns:ns0="http://schemas.openxmlformats.org/spreadsheetml/2006/main" r="98" ht="85" customHeight="1">
      <ns0:c r="A98" t="str" s="33">
        <ns0:v>XP0095</ns0:v>
      </ns0:c>
      <ns0:c r="B98" t="str" s="33">
        <ns0:v>Разъём</ns0:v>
      </ns0:c>
      <ns0:c r="C98" t="str" s="33">
        <ns0:v>1x15, 2.54 мм</ns0:v>
      </ns0:c>
      <ns0:c r="D98" t="str" s="34">
        <ns0:f>C98</ns0:f>
        <ns0:v>1x15, 2.54 мм</ns0:v>
      </ns0:c>
      <ns0:c r="E98" s="33"/>
      <ns0:c r="F98" s="33"/>
      <ns0:c r="G98" s="33"/>
      <ns0:c r="H98" t="str" s="35">
        <ns0:v>1x15, P2.54, THT, угловой</ns0:v>
      </ns0:c>
      <ns0:c r="I98" t="str" s="33">
        <ns0:v>CONNFLY</ns0:v>
      </ns0:c>
      <ns0:c r="J98" t="str" s="33">
        <ns0:v>DS1022</ns0:v>
      </ns0:c>
      <ns0:c r="K98" t="str" s="34">
        <ns0:f>B98&amp;" "&amp;D98&amp;" "&amp;J98</ns0:f>
        <ns0:v>Разъём 1x15, 2.54 мм DS1022</ns0:v>
      </ns0:c>
      <ns0:c r="L98" t="str" s="36">
        <ns0:v>XP_15</ns0:v>
      </ns0:c>
      <ns0:c r="M98" t="str" s="36">
        <ns0:v>Symbols\MY_LIB_Connectors.SchLib</ns0:v>
      </ns0:c>
      <ns0:c r="N98" t="str" s="36">
        <ns0:v>CONNFLY_DS1022_1X15</ns0:v>
      </ns0:c>
      <ns0:c r="O98" t="str" s="36">
        <ns0:v>Footprints\MY_LIB_Connectors.PcbLib</ns0:v>
      </ns0:c>
      <ns0:c r="P98" t="str" s="33">
        <ns0:v>Штыревой, угловой; 15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8" s="33"/>
      <ns0:c r="R98" t="str" s="34">
        <ns0:f>D98</ns0:f>
        <ns0:v>1x15, 2.54 мм</ns0:v>
      </ns0:c>
      <ns0:c r="S98" t="str" s="34">
        <ns0:f>K98</ns0:f>
        <ns0:v>Разъём 1x15, 2.54 мм DS1022</ns0:v>
      </ns0:c>
      <ns0:c r="T98" t="str" s="33">
        <ns0:v>C:\Users\Nomatin\Documents\Altium\MY_LIB\MY_LIB\Datasheets\CONNFLY_DS1022.pdf</ns0:v>
      </ns0:c>
      <ns0:c r="U98" s="33"/>
      <ns0:c r="V98" t="str" s="33">
        <ns0:v>Даташит — локальный</ns0:v>
      </ns0:c>
      <ns0:c r="W98" t="str" s="33">
        <ns0:v>C:\Users\Nomatin\Documents\Altium\MY_LIB\MY_LIB\Datasheets\CONNFLY_DS1022.pdf</ns0:v>
      </ns0:c>
      <ns0:c r="X98" t="str" s="33">
        <ns0:v>Даташит — производитель</ns0:v>
      </ns0:c>
      <ns0:c r="Y98" t="str" s="33">
        <ns0:v>https://en.connfly.com/static/upload/file/pdf/DS1022.pdf</ns0:v>
      </ns0:c>
      <ns0:c r="Z98" t="str" s="33">
        <ns0:v>C:\Users\Nomatin\Documents\Altium\MY_LIB\MY_LIB\Datasheets\CONNFLY_DS1022.pdf</ns0:v>
      </ns0:c>
    </ns0:row>
    <ns0:row xmlns:ns0="http://schemas.openxmlformats.org/spreadsheetml/2006/main" r="99" ht="85" customHeight="1">
      <ns0:c r="A99" t="str" s="33">
        <ns0:v>XP0096</ns0:v>
      </ns0:c>
      <ns0:c r="B99" t="str" s="33">
        <ns0:v>Разъём</ns0:v>
      </ns0:c>
      <ns0:c r="C99" t="str" s="33">
        <ns0:v>1x16, 2.54 мм</ns0:v>
      </ns0:c>
      <ns0:c r="D99" t="str" s="34">
        <ns0:f>C99</ns0:f>
        <ns0:v>1x16, 2.54 мм</ns0:v>
      </ns0:c>
      <ns0:c r="E99" s="33"/>
      <ns0:c r="F99" s="33"/>
      <ns0:c r="G99" s="33"/>
      <ns0:c r="H99" t="str" s="35">
        <ns0:v>1x16, P2.54, THT, угловой</ns0:v>
      </ns0:c>
      <ns0:c r="I99" t="str" s="33">
        <ns0:v>CONNFLY</ns0:v>
      </ns0:c>
      <ns0:c r="J99" t="str" s="33">
        <ns0:v>DS1022</ns0:v>
      </ns0:c>
      <ns0:c r="K99" t="str" s="34">
        <ns0:f>B99&amp;" "&amp;D99&amp;" "&amp;J99</ns0:f>
        <ns0:v>Разъём 1x16, 2.54 мм DS1022</ns0:v>
      </ns0:c>
      <ns0:c r="L99" t="str" s="36">
        <ns0:v>XP_16</ns0:v>
      </ns0:c>
      <ns0:c r="M99" t="str" s="36">
        <ns0:v>Symbols\MY_LIB_Connectors.SchLib</ns0:v>
      </ns0:c>
      <ns0:c r="N99" t="str" s="36">
        <ns0:v>CONNFLY_DS1022_1X16</ns0:v>
      </ns0:c>
      <ns0:c r="O99" t="str" s="36">
        <ns0:v>Footprints\MY_LIB_Connectors.PcbLib</ns0:v>
      </ns0:c>
      <ns0:c r="P99" t="str" s="33">
        <ns0:v>Штыревой, угловой;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99" s="33"/>
      <ns0:c r="R99" t="str" s="34">
        <ns0:f>D99</ns0:f>
        <ns0:v>1x16, 2.54 мм</ns0:v>
      </ns0:c>
      <ns0:c r="S99" t="str" s="34">
        <ns0:f>K99</ns0:f>
        <ns0:v>Разъём 1x16, 2.54 мм DS1022</ns0:v>
      </ns0:c>
      <ns0:c r="T99" t="str" s="33">
        <ns0:v>C:\Users\Nomatin\Documents\Altium\MY_LIB\MY_LIB\Datasheets\CONNFLY_DS1022.pdf</ns0:v>
      </ns0:c>
      <ns0:c r="U99" s="33"/>
      <ns0:c r="V99" t="str" s="33">
        <ns0:v>Даташит — локальный</ns0:v>
      </ns0:c>
      <ns0:c r="W99" t="str" s="33">
        <ns0:v>C:\Users\Nomatin\Documents\Altium\MY_LIB\MY_LIB\Datasheets\CONNFLY_DS1022.pdf</ns0:v>
      </ns0:c>
      <ns0:c r="X99" t="str" s="33">
        <ns0:v>Даташит — производитель</ns0:v>
      </ns0:c>
      <ns0:c r="Y99" t="str" s="33">
        <ns0:v>https://en.connfly.com/static/upload/file/pdf/DS1022.pdf</ns0:v>
      </ns0:c>
      <ns0:c r="Z99" t="str" s="33">
        <ns0:v>C:\Users\Nomatin\Documents\Altium\MY_LIB\MY_LIB\Datasheets\CONNFLY_DS1022.pdf</ns0:v>
      </ns0:c>
    </ns0:row>
    <ns0:row xmlns:ns0="http://schemas.openxmlformats.org/spreadsheetml/2006/main" r="100" ht="85" customHeight="1">
      <ns0:c r="A100" t="str" s="33">
        <ns0:v>XP0097</ns0:v>
      </ns0:c>
      <ns0:c r="B100" t="str" s="33">
        <ns0:v>Разъём</ns0:v>
      </ns0:c>
      <ns0:c r="C100" t="str" s="33">
        <ns0:v>1x17, 2.54 мм</ns0:v>
      </ns0:c>
      <ns0:c r="D100" t="str" s="34">
        <ns0:f>C100</ns0:f>
        <ns0:v>1x17, 2.54 мм</ns0:v>
      </ns0:c>
      <ns0:c r="E100" s="33"/>
      <ns0:c r="F100" s="33"/>
      <ns0:c r="G100" s="33"/>
      <ns0:c r="H100" t="str" s="35">
        <ns0:v>1x17, P2.54, THT, угловой</ns0:v>
      </ns0:c>
      <ns0:c r="I100" t="str" s="33">
        <ns0:v>CONNFLY</ns0:v>
      </ns0:c>
      <ns0:c r="J100" t="str" s="33">
        <ns0:v>DS1022</ns0:v>
      </ns0:c>
      <ns0:c r="K100" t="str" s="34">
        <ns0:f>B100&amp;" "&amp;D100&amp;" "&amp;J100</ns0:f>
        <ns0:v>Разъём 1x17, 2.54 мм DS1022</ns0:v>
      </ns0:c>
      <ns0:c r="L100" t="str" s="36">
        <ns0:v>XP_17</ns0:v>
      </ns0:c>
      <ns0:c r="M100" t="str" s="36">
        <ns0:v>Symbols\MY_LIB_Connectors.SchLib</ns0:v>
      </ns0:c>
      <ns0:c r="N100" t="str" s="36">
        <ns0:v>CONNFLY_DS1022_1X17</ns0:v>
      </ns0:c>
      <ns0:c r="O100" t="str" s="36">
        <ns0:v>Footprints\MY_LIB_Connectors.PcbLib</ns0:v>
      </ns0:c>
      <ns0:c r="P100" t="str" s="33">
        <ns0:v>Штыревой, угловой; 17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0" s="33"/>
      <ns0:c r="R100" t="str" s="34">
        <ns0:f>D100</ns0:f>
        <ns0:v>1x17, 2.54 мм</ns0:v>
      </ns0:c>
      <ns0:c r="S100" t="str" s="34">
        <ns0:f>K100</ns0:f>
        <ns0:v>Разъём 1x17, 2.54 мм DS1022</ns0:v>
      </ns0:c>
      <ns0:c r="T100" t="str" s="33">
        <ns0:v>C:\Users\Nomatin\Documents\Altium\MY_LIB\MY_LIB\Datasheets\CONNFLY_DS1022.pdf</ns0:v>
      </ns0:c>
      <ns0:c r="U100" s="33"/>
      <ns0:c r="V100" t="str" s="33">
        <ns0:v>Даташит — локальный</ns0:v>
      </ns0:c>
      <ns0:c r="W100" t="str" s="33">
        <ns0:v>C:\Users\Nomatin\Documents\Altium\MY_LIB\MY_LIB\Datasheets\CONNFLY_DS1022.pdf</ns0:v>
      </ns0:c>
      <ns0:c r="X100" t="str" s="33">
        <ns0:v>Даташит — производитель</ns0:v>
      </ns0:c>
      <ns0:c r="Y100" t="str" s="33">
        <ns0:v>https://en.connfly.com/static/upload/file/pdf/DS1022.pdf</ns0:v>
      </ns0:c>
      <ns0:c r="Z100" t="str" s="33">
        <ns0:v>C:\Users\Nomatin\Documents\Altium\MY_LIB\MY_LIB\Datasheets\CONNFLY_DS1022.pdf</ns0:v>
      </ns0:c>
    </ns0:row>
    <ns0:row xmlns:ns0="http://schemas.openxmlformats.org/spreadsheetml/2006/main" r="101" ht="85" customHeight="1">
      <ns0:c r="A101" t="str" s="33">
        <ns0:v>XP0098</ns0:v>
      </ns0:c>
      <ns0:c r="B101" t="str" s="33">
        <ns0:v>Разъём</ns0:v>
      </ns0:c>
      <ns0:c r="C101" t="str" s="33">
        <ns0:v>1x18, 2.54 мм</ns0:v>
      </ns0:c>
      <ns0:c r="D101" t="str" s="34">
        <ns0:f>C101</ns0:f>
        <ns0:v>1x18, 2.54 мм</ns0:v>
      </ns0:c>
      <ns0:c r="E101" s="33"/>
      <ns0:c r="F101" s="33"/>
      <ns0:c r="G101" s="33"/>
      <ns0:c r="H101" t="str" s="35">
        <ns0:v>1x18, P2.54, THT, угловой</ns0:v>
      </ns0:c>
      <ns0:c r="I101" t="str" s="33">
        <ns0:v>CONNFLY</ns0:v>
      </ns0:c>
      <ns0:c r="J101" t="str" s="33">
        <ns0:v>DS1022</ns0:v>
      </ns0:c>
      <ns0:c r="K101" t="str" s="34">
        <ns0:f>B101&amp;" "&amp;D101&amp;" "&amp;J101</ns0:f>
        <ns0:v>Разъём 1x18, 2.54 мм DS1022</ns0:v>
      </ns0:c>
      <ns0:c r="L101" t="str" s="36">
        <ns0:v>XP_18</ns0:v>
      </ns0:c>
      <ns0:c r="M101" t="str" s="36">
        <ns0:v>Symbols\MY_LIB_Connectors.SchLib</ns0:v>
      </ns0:c>
      <ns0:c r="N101" t="str" s="36">
        <ns0:v>CONNFLY_DS1022_1X18</ns0:v>
      </ns0:c>
      <ns0:c r="O101" t="str" s="36">
        <ns0:v>Footprints\MY_LIB_Connectors.PcbLib</ns0:v>
      </ns0:c>
      <ns0:c r="P101" t="str" s="33">
        <ns0:v>Штыревой, угловой;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1" s="33"/>
      <ns0:c r="R101" t="str" s="34">
        <ns0:f>D101</ns0:f>
        <ns0:v>1x18, 2.54 мм</ns0:v>
      </ns0:c>
      <ns0:c r="S101" t="str" s="34">
        <ns0:f>K101</ns0:f>
        <ns0:v>Разъём 1x18, 2.54 мм DS1022</ns0:v>
      </ns0:c>
      <ns0:c r="T101" t="str" s="33">
        <ns0:v>C:\Users\Nomatin\Documents\Altium\MY_LIB\MY_LIB\Datasheets\CONNFLY_DS1022.pdf</ns0:v>
      </ns0:c>
      <ns0:c r="U101" s="33"/>
      <ns0:c r="V101" t="str" s="33">
        <ns0:v>Даташит — локальный</ns0:v>
      </ns0:c>
      <ns0:c r="W101" t="str" s="33">
        <ns0:v>C:\Users\Nomatin\Documents\Altium\MY_LIB\MY_LIB\Datasheets\CONNFLY_DS1022.pdf</ns0:v>
      </ns0:c>
      <ns0:c r="X101" t="str" s="33">
        <ns0:v>Даташит — производитель</ns0:v>
      </ns0:c>
      <ns0:c r="Y101" t="str" s="33">
        <ns0:v>https://en.connfly.com/static/upload/file/pdf/DS1022.pdf</ns0:v>
      </ns0:c>
      <ns0:c r="Z101" t="str" s="33">
        <ns0:v>C:\Users\Nomatin\Documents\Altium\MY_LIB\MY_LIB\Datasheets\CONNFLY_DS1022.pdf</ns0:v>
      </ns0:c>
    </ns0:row>
    <ns0:row xmlns:ns0="http://schemas.openxmlformats.org/spreadsheetml/2006/main" r="102" ht="85" customHeight="1">
      <ns0:c r="A102" t="str" s="33">
        <ns0:v>XP0099</ns0:v>
      </ns0:c>
      <ns0:c r="B102" t="str" s="33">
        <ns0:v>Разъём</ns0:v>
      </ns0:c>
      <ns0:c r="C102" t="str" s="33">
        <ns0:v>1x19, 2.54 мм</ns0:v>
      </ns0:c>
      <ns0:c r="D102" t="str" s="34">
        <ns0:f>C102</ns0:f>
        <ns0:v>1x19, 2.54 мм</ns0:v>
      </ns0:c>
      <ns0:c r="E102" s="33"/>
      <ns0:c r="F102" s="33"/>
      <ns0:c r="G102" s="33"/>
      <ns0:c r="H102" t="str" s="35">
        <ns0:v>1x19, P2.54, THT, угловой</ns0:v>
      </ns0:c>
      <ns0:c r="I102" t="str" s="33">
        <ns0:v>CONNFLY</ns0:v>
      </ns0:c>
      <ns0:c r="J102" t="str" s="33">
        <ns0:v>DS1022</ns0:v>
      </ns0:c>
      <ns0:c r="K102" t="str" s="34">
        <ns0:f>B102&amp;" "&amp;D102&amp;" "&amp;J102</ns0:f>
        <ns0:v>Разъём 1x19, 2.54 мм DS1022</ns0:v>
      </ns0:c>
      <ns0:c r="L102" t="str" s="36">
        <ns0:v>XP_19</ns0:v>
      </ns0:c>
      <ns0:c r="M102" t="str" s="36">
        <ns0:v>Symbols\MY_LIB_Connectors.SchLib</ns0:v>
      </ns0:c>
      <ns0:c r="N102" t="str" s="36">
        <ns0:v>CONNFLY_DS1022_1X19</ns0:v>
      </ns0:c>
      <ns0:c r="O102" t="str" s="36">
        <ns0:v>Footprints\MY_LIB_Connectors.PcbLib</ns0:v>
      </ns0:c>
      <ns0:c r="P102" t="str" s="33">
        <ns0:v>Штыревой, угловой; 19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2" s="33"/>
      <ns0:c r="R102" t="str" s="34">
        <ns0:f>D102</ns0:f>
        <ns0:v>1x19, 2.54 мм</ns0:v>
      </ns0:c>
      <ns0:c r="S102" t="str" s="34">
        <ns0:f>K102</ns0:f>
        <ns0:v>Разъём 1x19, 2.54 мм DS1022</ns0:v>
      </ns0:c>
      <ns0:c r="T102" t="str" s="33">
        <ns0:v>C:\Users\Nomatin\Documents\Altium\MY_LIB\MY_LIB\Datasheets\CONNFLY_DS1022.pdf</ns0:v>
      </ns0:c>
      <ns0:c r="U102" s="33"/>
      <ns0:c r="V102" t="str" s="33">
        <ns0:v>Даташит — локальный</ns0:v>
      </ns0:c>
      <ns0:c r="W102" t="str" s="33">
        <ns0:v>C:\Users\Nomatin\Documents\Altium\MY_LIB\MY_LIB\Datasheets\CONNFLY_DS1022.pdf</ns0:v>
      </ns0:c>
      <ns0:c r="X102" t="str" s="33">
        <ns0:v>Даташит — производитель</ns0:v>
      </ns0:c>
      <ns0:c r="Y102" t="str" s="33">
        <ns0:v>https://en.connfly.com/static/upload/file/pdf/DS1022.pdf</ns0:v>
      </ns0:c>
      <ns0:c r="Z102" t="str" s="33">
        <ns0:v>C:\Users\Nomatin\Documents\Altium\MY_LIB\MY_LIB\Datasheets\CONNFLY_DS1022.pdf</ns0:v>
      </ns0:c>
    </ns0:row>
    <ns0:row xmlns:ns0="http://schemas.openxmlformats.org/spreadsheetml/2006/main" r="103" ht="85" customHeight="1">
      <ns0:c r="A103" t="str" s="33">
        <ns0:v>XP0100</ns0:v>
      </ns0:c>
      <ns0:c r="B103" t="str" s="33">
        <ns0:v>Разъём</ns0:v>
      </ns0:c>
      <ns0:c r="C103" t="str" s="33">
        <ns0:v>1x20, 2.54 мм</ns0:v>
      </ns0:c>
      <ns0:c r="D103" t="str" s="34">
        <ns0:f>C103</ns0:f>
        <ns0:v>1x20, 2.54 мм</ns0:v>
      </ns0:c>
      <ns0:c r="E103" s="33"/>
      <ns0:c r="F103" s="33"/>
      <ns0:c r="G103" s="33"/>
      <ns0:c r="H103" t="str" s="35">
        <ns0:v>1x20, P2.54, THT, угловой</ns0:v>
      </ns0:c>
      <ns0:c r="I103" t="str" s="33">
        <ns0:v>CONNFLY</ns0:v>
      </ns0:c>
      <ns0:c r="J103" t="str" s="33">
        <ns0:v>DS1022</ns0:v>
      </ns0:c>
      <ns0:c r="K103" t="str" s="34">
        <ns0:f>B103&amp;" "&amp;D103&amp;" "&amp;J103</ns0:f>
        <ns0:v>Разъём 1x20, 2.54 мм DS1022</ns0:v>
      </ns0:c>
      <ns0:c r="L103" t="str" s="36">
        <ns0:v>XP_20</ns0:v>
      </ns0:c>
      <ns0:c r="M103" t="str" s="36">
        <ns0:v>Symbols\MY_LIB_Connectors.SchLib</ns0:v>
      </ns0:c>
      <ns0:c r="N103" t="str" s="36">
        <ns0:v>CONNFLY_DS1022_1X20</ns0:v>
      </ns0:c>
      <ns0:c r="O103" t="str" s="36">
        <ns0:v>Footprints\MY_LIB_Connectors.PcbLib</ns0:v>
      </ns0:c>
      <ns0:c r="P103" t="str" s="33">
        <ns0:v>Штыревой, угловой;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3" s="33"/>
      <ns0:c r="R103" t="str" s="34">
        <ns0:f>D103</ns0:f>
        <ns0:v>1x20, 2.54 мм</ns0:v>
      </ns0:c>
      <ns0:c r="S103" t="str" s="34">
        <ns0:f>K103</ns0:f>
        <ns0:v>Разъём 1x20, 2.54 мм DS1022</ns0:v>
      </ns0:c>
      <ns0:c r="T103" t="str" s="33">
        <ns0:v>C:\Users\Nomatin\Documents\Altium\MY_LIB\MY_LIB\Datasheets\CONNFLY_DS1022.pdf</ns0:v>
      </ns0:c>
      <ns0:c r="U103" s="33"/>
      <ns0:c r="V103" t="str" s="33">
        <ns0:v>Даташит — локальный</ns0:v>
      </ns0:c>
      <ns0:c r="W103" t="str" s="33">
        <ns0:v>C:\Users\Nomatin\Documents\Altium\MY_LIB\MY_LIB\Datasheets\CONNFLY_DS1022.pdf</ns0:v>
      </ns0:c>
      <ns0:c r="X103" t="str" s="33">
        <ns0:v>Даташит — производитель</ns0:v>
      </ns0:c>
      <ns0:c r="Y103" t="str" s="33">
        <ns0:v>https://en.connfly.com/static/upload/file/pdf/DS1022.pdf</ns0:v>
      </ns0:c>
      <ns0:c r="Z103" t="str" s="33">
        <ns0:v>C:\Users\Nomatin\Documents\Altium\MY_LIB\MY_LIB\Datasheets\CONNFLY_DS1022.pdf</ns0:v>
      </ns0:c>
    </ns0:row>
    <ns0:row xmlns:ns0="http://schemas.openxmlformats.org/spreadsheetml/2006/main" r="104" ht="85" customHeight="1">
      <ns0:c r="A104" t="str" s="33">
        <ns0:v>XP0101</ns0:v>
      </ns0:c>
      <ns0:c r="B104" t="str" s="33">
        <ns0:v>Разъём</ns0:v>
      </ns0:c>
      <ns0:c r="C104" t="str" s="33">
        <ns0:v>1x21, 2.54 мм</ns0:v>
      </ns0:c>
      <ns0:c r="D104" t="str" s="34">
        <ns0:f>C104</ns0:f>
        <ns0:v>1x21, 2.54 мм</ns0:v>
      </ns0:c>
      <ns0:c r="E104" s="33"/>
      <ns0:c r="F104" s="33"/>
      <ns0:c r="G104" s="33"/>
      <ns0:c r="H104" t="str" s="35">
        <ns0:v>1x21, P2.54, THT, угловой</ns0:v>
      </ns0:c>
      <ns0:c r="I104" t="str" s="33">
        <ns0:v>CONNFLY</ns0:v>
      </ns0:c>
      <ns0:c r="J104" t="str" s="33">
        <ns0:v>DS1022</ns0:v>
      </ns0:c>
      <ns0:c r="K104" t="str" s="34">
        <ns0:f>B104&amp;" "&amp;D104&amp;" "&amp;J104</ns0:f>
        <ns0:v>Разъём 1x21, 2.54 мм DS1022</ns0:v>
      </ns0:c>
      <ns0:c r="L104" t="str" s="36">
        <ns0:v>XP_21</ns0:v>
      </ns0:c>
      <ns0:c r="M104" t="str" s="36">
        <ns0:v>Symbols\MY_LIB_Connectors.SchLib</ns0:v>
      </ns0:c>
      <ns0:c r="N104" t="str" s="36">
        <ns0:v>CONNFLY_DS1022_1X21</ns0:v>
      </ns0:c>
      <ns0:c r="O104" t="str" s="36">
        <ns0:v>Footprints\MY_LIB_Connectors.PcbLib</ns0:v>
      </ns0:c>
      <ns0:c r="P104" t="str" s="33">
        <ns0:v>Штыревой, угловой; 21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4" s="33"/>
      <ns0:c r="R104" t="str" s="34">
        <ns0:f>D104</ns0:f>
        <ns0:v>1x21, 2.54 мм</ns0:v>
      </ns0:c>
      <ns0:c r="S104" t="str" s="34">
        <ns0:f>K104</ns0:f>
        <ns0:v>Разъём 1x21, 2.54 мм DS1022</ns0:v>
      </ns0:c>
      <ns0:c r="T104" t="str" s="33">
        <ns0:v>C:\Users\Nomatin\Documents\Altium\MY_LIB\MY_LIB\Datasheets\CONNFLY_DS1022.pdf</ns0:v>
      </ns0:c>
      <ns0:c r="U104" s="33"/>
      <ns0:c r="V104" t="str" s="33">
        <ns0:v>Даташит — локальный</ns0:v>
      </ns0:c>
      <ns0:c r="W104" t="str" s="33">
        <ns0:v>C:\Users\Nomatin\Documents\Altium\MY_LIB\MY_LIB\Datasheets\CONNFLY_DS1022.pdf</ns0:v>
      </ns0:c>
      <ns0:c r="X104" t="str" s="33">
        <ns0:v>Даташит — производитель</ns0:v>
      </ns0:c>
      <ns0:c r="Y104" t="str" s="33">
        <ns0:v>https://en.connfly.com/static/upload/file/pdf/DS1022.pdf</ns0:v>
      </ns0:c>
      <ns0:c r="Z104" t="str" s="33">
        <ns0:v>C:\Users\Nomatin\Documents\Altium\MY_LIB\MY_LIB\Datasheets\CONNFLY_DS1022.pdf</ns0:v>
      </ns0:c>
    </ns0:row>
    <ns0:row xmlns:ns0="http://schemas.openxmlformats.org/spreadsheetml/2006/main" r="105" ht="85" customHeight="1">
      <ns0:c r="A105" t="str" s="33">
        <ns0:v>XP0102</ns0:v>
      </ns0:c>
      <ns0:c r="B105" t="str" s="33">
        <ns0:v>Разъём</ns0:v>
      </ns0:c>
      <ns0:c r="C105" t="str" s="33">
        <ns0:v>1x22, 2.54 мм</ns0:v>
      </ns0:c>
      <ns0:c r="D105" t="str" s="34">
        <ns0:f>C105</ns0:f>
        <ns0:v>1x22, 2.54 мм</ns0:v>
      </ns0:c>
      <ns0:c r="E105" s="33"/>
      <ns0:c r="F105" s="33"/>
      <ns0:c r="G105" s="33"/>
      <ns0:c r="H105" t="str" s="35">
        <ns0:v>1x22, P2.54, THT, угловой</ns0:v>
      </ns0:c>
      <ns0:c r="I105" t="str" s="33">
        <ns0:v>CONNFLY</ns0:v>
      </ns0:c>
      <ns0:c r="J105" t="str" s="33">
        <ns0:v>DS1022</ns0:v>
      </ns0:c>
      <ns0:c r="K105" t="str" s="34">
        <ns0:f>B105&amp;" "&amp;D105&amp;" "&amp;J105</ns0:f>
        <ns0:v>Разъём 1x22, 2.54 мм DS1022</ns0:v>
      </ns0:c>
      <ns0:c r="L105" t="str" s="36">
        <ns0:v>XP_22</ns0:v>
      </ns0:c>
      <ns0:c r="M105" t="str" s="36">
        <ns0:v>Symbols\MY_LIB_Connectors.SchLib</ns0:v>
      </ns0:c>
      <ns0:c r="N105" t="str" s="36">
        <ns0:v>CONNFLY_DS1022_1X22</ns0:v>
      </ns0:c>
      <ns0:c r="O105" t="str" s="36">
        <ns0:v>Footprints\MY_LIB_Connectors.PcbLib</ns0:v>
      </ns0:c>
      <ns0:c r="P105" t="str" s="33">
        <ns0:v>Штыревой, угловой;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5" s="33"/>
      <ns0:c r="R105" t="str" s="34">
        <ns0:f>D105</ns0:f>
        <ns0:v>1x22, 2.54 мм</ns0:v>
      </ns0:c>
      <ns0:c r="S105" t="str" s="34">
        <ns0:f>K105</ns0:f>
        <ns0:v>Разъём 1x22, 2.54 мм DS1022</ns0:v>
      </ns0:c>
      <ns0:c r="T105" t="str" s="33">
        <ns0:v>C:\Users\Nomatin\Documents\Altium\MY_LIB\MY_LIB\Datasheets\CONNFLY_DS1022.pdf</ns0:v>
      </ns0:c>
      <ns0:c r="U105" s="33"/>
      <ns0:c r="V105" t="str" s="33">
        <ns0:v>Даташит — локальный</ns0:v>
      </ns0:c>
      <ns0:c r="W105" t="str" s="33">
        <ns0:v>C:\Users\Nomatin\Documents\Altium\MY_LIB\MY_LIB\Datasheets\CONNFLY_DS1022.pdf</ns0:v>
      </ns0:c>
      <ns0:c r="X105" t="str" s="33">
        <ns0:v>Даташит — производитель</ns0:v>
      </ns0:c>
      <ns0:c r="Y105" t="str" s="33">
        <ns0:v>https://en.connfly.com/static/upload/file/pdf/DS1022.pdf</ns0:v>
      </ns0:c>
      <ns0:c r="Z105" t="str" s="33">
        <ns0:v>C:\Users\Nomatin\Documents\Altium\MY_LIB\MY_LIB\Datasheets\CONNFLY_DS1022.pdf</ns0:v>
      </ns0:c>
    </ns0:row>
    <ns0:row xmlns:ns0="http://schemas.openxmlformats.org/spreadsheetml/2006/main" r="106" ht="85" customHeight="1">
      <ns0:c r="A106" t="str" s="33">
        <ns0:v>XP0103</ns0:v>
      </ns0:c>
      <ns0:c r="B106" t="str" s="33">
        <ns0:v>Разъём</ns0:v>
      </ns0:c>
      <ns0:c r="C106" t="str" s="33">
        <ns0:v>1x23, 2.54 мм</ns0:v>
      </ns0:c>
      <ns0:c r="D106" t="str" s="34">
        <ns0:f>C106</ns0:f>
        <ns0:v>1x23, 2.54 мм</ns0:v>
      </ns0:c>
      <ns0:c r="E106" s="33"/>
      <ns0:c r="F106" s="33"/>
      <ns0:c r="G106" s="33"/>
      <ns0:c r="H106" t="str" s="35">
        <ns0:v>1x23, P2.54, THT, угловой</ns0:v>
      </ns0:c>
      <ns0:c r="I106" t="str" s="33">
        <ns0:v>CONNFLY</ns0:v>
      </ns0:c>
      <ns0:c r="J106" t="str" s="33">
        <ns0:v>DS1022</ns0:v>
      </ns0:c>
      <ns0:c r="K106" t="str" s="34">
        <ns0:f>B106&amp;" "&amp;D106&amp;" "&amp;J106</ns0:f>
        <ns0:v>Разъём 1x23, 2.54 мм DS1022</ns0:v>
      </ns0:c>
      <ns0:c r="L106" t="str" s="36">
        <ns0:v>XP_23</ns0:v>
      </ns0:c>
      <ns0:c r="M106" t="str" s="36">
        <ns0:v>Symbols\MY_LIB_Connectors.SchLib</ns0:v>
      </ns0:c>
      <ns0:c r="N106" t="str" s="36">
        <ns0:v>CONNFLY_DS1022_1X23</ns0:v>
      </ns0:c>
      <ns0:c r="O106" t="str" s="36">
        <ns0:v>Footprints\MY_LIB_Connectors.PcbLib</ns0:v>
      </ns0:c>
      <ns0:c r="P106" t="str" s="33">
        <ns0:v>Штыревой, угловой; 23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6" s="33"/>
      <ns0:c r="R106" t="str" s="34">
        <ns0:f>D106</ns0:f>
        <ns0:v>1x23, 2.54 мм</ns0:v>
      </ns0:c>
      <ns0:c r="S106" t="str" s="34">
        <ns0:f>K106</ns0:f>
        <ns0:v>Разъём 1x23, 2.54 мм DS1022</ns0:v>
      </ns0:c>
      <ns0:c r="T106" t="str" s="33">
        <ns0:v>C:\Users\Nomatin\Documents\Altium\MY_LIB\MY_LIB\Datasheets\CONNFLY_DS1022.pdf</ns0:v>
      </ns0:c>
      <ns0:c r="U106" s="33"/>
      <ns0:c r="V106" t="str" s="33">
        <ns0:v>Даташит — локальный</ns0:v>
      </ns0:c>
      <ns0:c r="W106" t="str" s="33">
        <ns0:v>C:\Users\Nomatin\Documents\Altium\MY_LIB\MY_LIB\Datasheets\CONNFLY_DS1022.pdf</ns0:v>
      </ns0:c>
      <ns0:c r="X106" t="str" s="33">
        <ns0:v>Даташит — производитель</ns0:v>
      </ns0:c>
      <ns0:c r="Y106" t="str" s="33">
        <ns0:v>https://en.connfly.com/static/upload/file/pdf/DS1022.pdf</ns0:v>
      </ns0:c>
      <ns0:c r="Z106" t="str" s="33">
        <ns0:v>C:\Users\Nomatin\Documents\Altium\MY_LIB\MY_LIB\Datasheets\CONNFLY_DS1022.pdf</ns0:v>
      </ns0:c>
    </ns0:row>
    <ns0:row xmlns:ns0="http://schemas.openxmlformats.org/spreadsheetml/2006/main" r="107" ht="85" customHeight="1">
      <ns0:c r="A107" t="str" s="33">
        <ns0:v>XP0104</ns0:v>
      </ns0:c>
      <ns0:c r="B107" t="str" s="33">
        <ns0:v>Разъём</ns0:v>
      </ns0:c>
      <ns0:c r="C107" t="str" s="33">
        <ns0:v>1x24, 2.54 мм</ns0:v>
      </ns0:c>
      <ns0:c r="D107" t="str" s="34">
        <ns0:f>C107</ns0:f>
        <ns0:v>1x24, 2.54 мм</ns0:v>
      </ns0:c>
      <ns0:c r="E107" s="33"/>
      <ns0:c r="F107" s="33"/>
      <ns0:c r="G107" s="33"/>
      <ns0:c r="H107" t="str" s="35">
        <ns0:v>1x24, P2.54, THT, угловой</ns0:v>
      </ns0:c>
      <ns0:c r="I107" t="str" s="33">
        <ns0:v>CONNFLY</ns0:v>
      </ns0:c>
      <ns0:c r="J107" t="str" s="33">
        <ns0:v>DS1022</ns0:v>
      </ns0:c>
      <ns0:c r="K107" t="str" s="34">
        <ns0:f>B107&amp;" "&amp;D107&amp;" "&amp;J107</ns0:f>
        <ns0:v>Разъём 1x24, 2.54 мм DS1022</ns0:v>
      </ns0:c>
      <ns0:c r="L107" t="str" s="36">
        <ns0:v>XP_24</ns0:v>
      </ns0:c>
      <ns0:c r="M107" t="str" s="36">
        <ns0:v>Symbols\MY_LIB_Connectors.SchLib</ns0:v>
      </ns0:c>
      <ns0:c r="N107" t="str" s="36">
        <ns0:v>CONNFLY_DS1022_1X24</ns0:v>
      </ns0:c>
      <ns0:c r="O107" t="str" s="36">
        <ns0:v>Footprints\MY_LIB_Connectors.PcbLib</ns0:v>
      </ns0:c>
      <ns0:c r="P107" t="str" s="33">
        <ns0:v>Штыревой, угловой;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7" s="33"/>
      <ns0:c r="R107" t="str" s="34">
        <ns0:f>D107</ns0:f>
        <ns0:v>1x24, 2.54 мм</ns0:v>
      </ns0:c>
      <ns0:c r="S107" t="str" s="34">
        <ns0:f>K107</ns0:f>
        <ns0:v>Разъём 1x24, 2.54 мм DS1022</ns0:v>
      </ns0:c>
      <ns0:c r="T107" t="str" s="33">
        <ns0:v>C:\Users\Nomatin\Documents\Altium\MY_LIB\MY_LIB\Datasheets\CONNFLY_DS1022.pdf</ns0:v>
      </ns0:c>
      <ns0:c r="U107" s="33"/>
      <ns0:c r="V107" t="str" s="33">
        <ns0:v>Даташит — локальный</ns0:v>
      </ns0:c>
      <ns0:c r="W107" t="str" s="33">
        <ns0:v>C:\Users\Nomatin\Documents\Altium\MY_LIB\MY_LIB\Datasheets\CONNFLY_DS1022.pdf</ns0:v>
      </ns0:c>
      <ns0:c r="X107" t="str" s="33">
        <ns0:v>Даташит — производитель</ns0:v>
      </ns0:c>
      <ns0:c r="Y107" t="str" s="33">
        <ns0:v>https://en.connfly.com/static/upload/file/pdf/DS1022.pdf</ns0:v>
      </ns0:c>
      <ns0:c r="Z107" t="str" s="33">
        <ns0:v>C:\Users\Nomatin\Documents\Altium\MY_LIB\MY_LIB\Datasheets\CONNFLY_DS1022.pdf</ns0:v>
      </ns0:c>
    </ns0:row>
    <ns0:row xmlns:ns0="http://schemas.openxmlformats.org/spreadsheetml/2006/main" r="108" ht="85" customHeight="1">
      <ns0:c r="A108" t="str" s="33">
        <ns0:v>XP0105</ns0:v>
      </ns0:c>
      <ns0:c r="B108" t="str" s="33">
        <ns0:v>Разъём</ns0:v>
      </ns0:c>
      <ns0:c r="C108" t="str" s="33">
        <ns0:v>1x25, 2.54 мм</ns0:v>
      </ns0:c>
      <ns0:c r="D108" t="str" s="34">
        <ns0:f>C108</ns0:f>
        <ns0:v>1x25, 2.54 мм</ns0:v>
      </ns0:c>
      <ns0:c r="E108" s="33"/>
      <ns0:c r="F108" s="33"/>
      <ns0:c r="G108" s="33"/>
      <ns0:c r="H108" t="str" s="35">
        <ns0:v>1x25, P2.54, THT, угловой</ns0:v>
      </ns0:c>
      <ns0:c r="I108" t="str" s="33">
        <ns0:v>CONNFLY</ns0:v>
      </ns0:c>
      <ns0:c r="J108" t="str" s="33">
        <ns0:v>DS1022</ns0:v>
      </ns0:c>
      <ns0:c r="K108" t="str" s="34">
        <ns0:f>B108&amp;" "&amp;D108&amp;" "&amp;J108</ns0:f>
        <ns0:v>Разъём 1x25, 2.54 мм DS1022</ns0:v>
      </ns0:c>
      <ns0:c r="L108" t="str" s="36">
        <ns0:v>XP_25</ns0:v>
      </ns0:c>
      <ns0:c r="M108" t="str" s="36">
        <ns0:v>Symbols\MY_LIB_Connectors.SchLib</ns0:v>
      </ns0:c>
      <ns0:c r="N108" t="str" s="36">
        <ns0:v>CONNFLY_DS1022_1X25</ns0:v>
      </ns0:c>
      <ns0:c r="O108" t="str" s="36">
        <ns0:v>Footprints\MY_LIB_Connectors.PcbLib</ns0:v>
      </ns0:c>
      <ns0:c r="P108" t="str" s="33">
        <ns0:v>Штыревой, угловой; 25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8" s="33"/>
      <ns0:c r="R108" t="str" s="34">
        <ns0:f>D108</ns0:f>
        <ns0:v>1x25, 2.54 мм</ns0:v>
      </ns0:c>
      <ns0:c r="S108" t="str" s="34">
        <ns0:f>K108</ns0:f>
        <ns0:v>Разъём 1x25, 2.54 мм DS1022</ns0:v>
      </ns0:c>
      <ns0:c r="T108" t="str" s="33">
        <ns0:v>C:\Users\Nomatin\Documents\Altium\MY_LIB\MY_LIB\Datasheets\CONNFLY_DS1022.pdf</ns0:v>
      </ns0:c>
      <ns0:c r="U108" s="33"/>
      <ns0:c r="V108" t="str" s="33">
        <ns0:v>Даташит — локальный</ns0:v>
      </ns0:c>
      <ns0:c r="W108" t="str" s="33">
        <ns0:v>C:\Users\Nomatin\Documents\Altium\MY_LIB\MY_LIB\Datasheets\CONNFLY_DS1022.pdf</ns0:v>
      </ns0:c>
      <ns0:c r="X108" t="str" s="33">
        <ns0:v>Даташит — производитель</ns0:v>
      </ns0:c>
      <ns0:c r="Y108" t="str" s="33">
        <ns0:v>https://en.connfly.com/static/upload/file/pdf/DS1022.pdf</ns0:v>
      </ns0:c>
      <ns0:c r="Z108" t="str" s="33">
        <ns0:v>C:\Users\Nomatin\Documents\Altium\MY_LIB\MY_LIB\Datasheets\CONNFLY_DS1022.pdf</ns0:v>
      </ns0:c>
    </ns0:row>
    <ns0:row xmlns:ns0="http://schemas.openxmlformats.org/spreadsheetml/2006/main" r="109" ht="85" customHeight="1">
      <ns0:c r="A109" t="str" s="33">
        <ns0:v>XP0106</ns0:v>
      </ns0:c>
      <ns0:c r="B109" t="str" s="33">
        <ns0:v>Разъём</ns0:v>
      </ns0:c>
      <ns0:c r="C109" t="str" s="33">
        <ns0:v>1x26, 2.54 мм</ns0:v>
      </ns0:c>
      <ns0:c r="D109" t="str" s="34">
        <ns0:f>C109</ns0:f>
        <ns0:v>1x26, 2.54 мм</ns0:v>
      </ns0:c>
      <ns0:c r="E109" s="33"/>
      <ns0:c r="F109" s="33"/>
      <ns0:c r="G109" s="33"/>
      <ns0:c r="H109" t="str" s="35">
        <ns0:v>1x26, P2.54, THT, угловой</ns0:v>
      </ns0:c>
      <ns0:c r="I109" t="str" s="33">
        <ns0:v>CONNFLY</ns0:v>
      </ns0:c>
      <ns0:c r="J109" t="str" s="33">
        <ns0:v>DS1022</ns0:v>
      </ns0:c>
      <ns0:c r="K109" t="str" s="34">
        <ns0:f>B109&amp;" "&amp;D109&amp;" "&amp;J109</ns0:f>
        <ns0:v>Разъём 1x26, 2.54 мм DS1022</ns0:v>
      </ns0:c>
      <ns0:c r="L109" t="str" s="36">
        <ns0:v>XP_26</ns0:v>
      </ns0:c>
      <ns0:c r="M109" t="str" s="36">
        <ns0:v>Symbols\MY_LIB_Connectors.SchLib</ns0:v>
      </ns0:c>
      <ns0:c r="N109" t="str" s="36">
        <ns0:v>CONNFLY_DS1022_1X26</ns0:v>
      </ns0:c>
      <ns0:c r="O109" t="str" s="36">
        <ns0:v>Footprints\MY_LIB_Connectors.PcbLib</ns0:v>
      </ns0:c>
      <ns0:c r="P109" t="str" s="33">
        <ns0:v>Штыревой, угловой;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09" s="33"/>
      <ns0:c r="R109" t="str" s="34">
        <ns0:f>D109</ns0:f>
        <ns0:v>1x26, 2.54 мм</ns0:v>
      </ns0:c>
      <ns0:c r="S109" t="str" s="34">
        <ns0:f>K109</ns0:f>
        <ns0:v>Разъём 1x26, 2.54 мм DS1022</ns0:v>
      </ns0:c>
      <ns0:c r="T109" t="str" s="33">
        <ns0:v>C:\Users\Nomatin\Documents\Altium\MY_LIB\MY_LIB\Datasheets\CONNFLY_DS1022.pdf</ns0:v>
      </ns0:c>
      <ns0:c r="U109" s="33"/>
      <ns0:c r="V109" t="str" s="33">
        <ns0:v>Даташит — локальный</ns0:v>
      </ns0:c>
      <ns0:c r="W109" t="str" s="33">
        <ns0:v>C:\Users\Nomatin\Documents\Altium\MY_LIB\MY_LIB\Datasheets\CONNFLY_DS1022.pdf</ns0:v>
      </ns0:c>
      <ns0:c r="X109" t="str" s="33">
        <ns0:v>Даташит — производитель</ns0:v>
      </ns0:c>
      <ns0:c r="Y109" t="str" s="33">
        <ns0:v>https://en.connfly.com/static/upload/file/pdf/DS1022.pdf</ns0:v>
      </ns0:c>
      <ns0:c r="Z109" t="str" s="33">
        <ns0:v>C:\Users\Nomatin\Documents\Altium\MY_LIB\MY_LIB\Datasheets\CONNFLY_DS1022.pdf</ns0:v>
      </ns0:c>
    </ns0:row>
    <ns0:row xmlns:ns0="http://schemas.openxmlformats.org/spreadsheetml/2006/main" r="110" ht="85" customHeight="1">
      <ns0:c r="A110" t="str" s="33">
        <ns0:v>XP0107</ns0:v>
      </ns0:c>
      <ns0:c r="B110" t="str" s="33">
        <ns0:v>Разъём</ns0:v>
      </ns0:c>
      <ns0:c r="C110" t="str" s="33">
        <ns0:v>1x27, 2.54 мм</ns0:v>
      </ns0:c>
      <ns0:c r="D110" t="str" s="34">
        <ns0:f>C110</ns0:f>
        <ns0:v>1x27, 2.54 мм</ns0:v>
      </ns0:c>
      <ns0:c r="E110" s="33"/>
      <ns0:c r="F110" s="33"/>
      <ns0:c r="G110" s="33"/>
      <ns0:c r="H110" t="str" s="35">
        <ns0:v>1x27, P2.54, THT, угловой</ns0:v>
      </ns0:c>
      <ns0:c r="I110" t="str" s="33">
        <ns0:v>CONNFLY</ns0:v>
      </ns0:c>
      <ns0:c r="J110" t="str" s="33">
        <ns0:v>DS1022</ns0:v>
      </ns0:c>
      <ns0:c r="K110" t="str" s="34">
        <ns0:f>B110&amp;" "&amp;D110&amp;" "&amp;J110</ns0:f>
        <ns0:v>Разъём 1x27, 2.54 мм DS1022</ns0:v>
      </ns0:c>
      <ns0:c r="L110" t="str" s="36">
        <ns0:v>XP_27</ns0:v>
      </ns0:c>
      <ns0:c r="M110" t="str" s="36">
        <ns0:v>Symbols\MY_LIB_Connectors.SchLib</ns0:v>
      </ns0:c>
      <ns0:c r="N110" t="str" s="36">
        <ns0:v>CONNFLY_DS1022_1X27</ns0:v>
      </ns0:c>
      <ns0:c r="O110" t="str" s="36">
        <ns0:v>Footprints\MY_LIB_Connectors.PcbLib</ns0:v>
      </ns0:c>
      <ns0:c r="P110" t="str" s="33">
        <ns0:v>Штыревой, угловой; 27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0" s="33"/>
      <ns0:c r="R110" t="str" s="34">
        <ns0:f>D110</ns0:f>
        <ns0:v>1x27, 2.54 мм</ns0:v>
      </ns0:c>
      <ns0:c r="S110" t="str" s="34">
        <ns0:f>K110</ns0:f>
        <ns0:v>Разъём 1x27, 2.54 мм DS1022</ns0:v>
      </ns0:c>
      <ns0:c r="T110" t="str" s="33">
        <ns0:v>C:\Users\Nomatin\Documents\Altium\MY_LIB\MY_LIB\Datasheets\CONNFLY_DS1022.pdf</ns0:v>
      </ns0:c>
      <ns0:c r="U110" s="33"/>
      <ns0:c r="V110" t="str" s="33">
        <ns0:v>Даташит — локальный</ns0:v>
      </ns0:c>
      <ns0:c r="W110" t="str" s="33">
        <ns0:v>C:\Users\Nomatin\Documents\Altium\MY_LIB\MY_LIB\Datasheets\CONNFLY_DS1022.pdf</ns0:v>
      </ns0:c>
      <ns0:c r="X110" t="str" s="33">
        <ns0:v>Даташит — производитель</ns0:v>
      </ns0:c>
      <ns0:c r="Y110" t="str" s="33">
        <ns0:v>https://en.connfly.com/static/upload/file/pdf/DS1022.pdf</ns0:v>
      </ns0:c>
      <ns0:c r="Z110" t="str" s="33">
        <ns0:v>C:\Users\Nomatin\Documents\Altium\MY_LIB\MY_LIB\Datasheets\CONNFLY_DS1022.pdf</ns0:v>
      </ns0:c>
    </ns0:row>
    <ns0:row xmlns:ns0="http://schemas.openxmlformats.org/spreadsheetml/2006/main" r="111" ht="85" customHeight="1">
      <ns0:c r="A111" t="str" s="33">
        <ns0:v>XP0108</ns0:v>
      </ns0:c>
      <ns0:c r="B111" t="str" s="33">
        <ns0:v>Разъём</ns0:v>
      </ns0:c>
      <ns0:c r="C111" t="str" s="33">
        <ns0:v>1x28, 2.54 мм</ns0:v>
      </ns0:c>
      <ns0:c r="D111" t="str" s="34">
        <ns0:f>C111</ns0:f>
        <ns0:v>1x28, 2.54 мм</ns0:v>
      </ns0:c>
      <ns0:c r="E111" s="33"/>
      <ns0:c r="F111" s="33"/>
      <ns0:c r="G111" s="33"/>
      <ns0:c r="H111" t="str" s="35">
        <ns0:v>1x28, P2.54, THT, угловой</ns0:v>
      </ns0:c>
      <ns0:c r="I111" t="str" s="33">
        <ns0:v>CONNFLY</ns0:v>
      </ns0:c>
      <ns0:c r="J111" t="str" s="33">
        <ns0:v>DS1022</ns0:v>
      </ns0:c>
      <ns0:c r="K111" t="str" s="34">
        <ns0:f>B111&amp;" "&amp;D111&amp;" "&amp;J111</ns0:f>
        <ns0:v>Разъём 1x28, 2.54 мм DS1022</ns0:v>
      </ns0:c>
      <ns0:c r="L111" t="str" s="36">
        <ns0:v>XP_28</ns0:v>
      </ns0:c>
      <ns0:c r="M111" t="str" s="36">
        <ns0:v>Symbols\MY_LIB_Connectors.SchLib</ns0:v>
      </ns0:c>
      <ns0:c r="N111" t="str" s="36">
        <ns0:v>CONNFLY_DS1022_1X28</ns0:v>
      </ns0:c>
      <ns0:c r="O111" t="str" s="36">
        <ns0:v>Footprints\MY_LIB_Connectors.PcbLib</ns0:v>
      </ns0:c>
      <ns0:c r="P111" t="str" s="33">
        <ns0:v>Штыревой, угловой;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1" s="33"/>
      <ns0:c r="R111" t="str" s="34">
        <ns0:f>D111</ns0:f>
        <ns0:v>1x28, 2.54 мм</ns0:v>
      </ns0:c>
      <ns0:c r="S111" t="str" s="34">
        <ns0:f>K111</ns0:f>
        <ns0:v>Разъём 1x28, 2.54 мм DS1022</ns0:v>
      </ns0:c>
      <ns0:c r="T111" t="str" s="33">
        <ns0:v>C:\Users\Nomatin\Documents\Altium\MY_LIB\MY_LIB\Datasheets\CONNFLY_DS1022.pdf</ns0:v>
      </ns0:c>
      <ns0:c r="U111" s="33"/>
      <ns0:c r="V111" t="str" s="33">
        <ns0:v>Даташит — локальный</ns0:v>
      </ns0:c>
      <ns0:c r="W111" t="str" s="33">
        <ns0:v>C:\Users\Nomatin\Documents\Altium\MY_LIB\MY_LIB\Datasheets\CONNFLY_DS1022.pdf</ns0:v>
      </ns0:c>
      <ns0:c r="X111" t="str" s="33">
        <ns0:v>Даташит — производитель</ns0:v>
      </ns0:c>
      <ns0:c r="Y111" t="str" s="33">
        <ns0:v>https://en.connfly.com/static/upload/file/pdf/DS1022.pdf</ns0:v>
      </ns0:c>
      <ns0:c r="Z111" t="str" s="33">
        <ns0:v>C:\Users\Nomatin\Documents\Altium\MY_LIB\MY_LIB\Datasheets\CONNFLY_DS1022.pdf</ns0:v>
      </ns0:c>
    </ns0:row>
    <ns0:row xmlns:ns0="http://schemas.openxmlformats.org/spreadsheetml/2006/main" r="112" ht="85" customHeight="1">
      <ns0:c r="A112" t="str" s="33">
        <ns0:v>XP0109</ns0:v>
      </ns0:c>
      <ns0:c r="B112" t="str" s="33">
        <ns0:v>Разъём</ns0:v>
      </ns0:c>
      <ns0:c r="C112" t="str" s="33">
        <ns0:v>1x29, 2.54 мм</ns0:v>
      </ns0:c>
      <ns0:c r="D112" t="str" s="34">
        <ns0:f>C112</ns0:f>
        <ns0:v>1x29, 2.54 мм</ns0:v>
      </ns0:c>
      <ns0:c r="E112" s="33"/>
      <ns0:c r="F112" s="33"/>
      <ns0:c r="G112" s="33"/>
      <ns0:c r="H112" t="str" s="35">
        <ns0:v>1x29, P2.54, THT, угловой</ns0:v>
      </ns0:c>
      <ns0:c r="I112" t="str" s="33">
        <ns0:v>CONNFLY</ns0:v>
      </ns0:c>
      <ns0:c r="J112" t="str" s="33">
        <ns0:v>DS1022</ns0:v>
      </ns0:c>
      <ns0:c r="K112" t="str" s="34">
        <ns0:f>B112&amp;" "&amp;D112&amp;" "&amp;J112</ns0:f>
        <ns0:v>Разъём 1x29, 2.54 мм DS1022</ns0:v>
      </ns0:c>
      <ns0:c r="L112" t="str" s="36">
        <ns0:v>XP_29</ns0:v>
      </ns0:c>
      <ns0:c r="M112" t="str" s="36">
        <ns0:v>Symbols\MY_LIB_Connectors.SchLib</ns0:v>
      </ns0:c>
      <ns0:c r="N112" t="str" s="36">
        <ns0:v>CONNFLY_DS1022_1X29</ns0:v>
      </ns0:c>
      <ns0:c r="O112" t="str" s="36">
        <ns0:v>Footprints\MY_LIB_Connectors.PcbLib</ns0:v>
      </ns0:c>
      <ns0:c r="P112" t="str" s="33">
        <ns0:v>Штыревой, угловой; 29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2" s="33"/>
      <ns0:c r="R112" t="str" s="34">
        <ns0:f>D112</ns0:f>
        <ns0:v>1x29, 2.54 мм</ns0:v>
      </ns0:c>
      <ns0:c r="S112" t="str" s="34">
        <ns0:f>K112</ns0:f>
        <ns0:v>Разъём 1x29, 2.54 мм DS1022</ns0:v>
      </ns0:c>
      <ns0:c r="T112" t="str" s="33">
        <ns0:v>C:\Users\Nomatin\Documents\Altium\MY_LIB\MY_LIB\Datasheets\CONNFLY_DS1022.pdf</ns0:v>
      </ns0:c>
      <ns0:c r="U112" s="33"/>
      <ns0:c r="V112" t="str" s="33">
        <ns0:v>Даташит — локальный</ns0:v>
      </ns0:c>
      <ns0:c r="W112" t="str" s="33">
        <ns0:v>C:\Users\Nomatin\Documents\Altium\MY_LIB\MY_LIB\Datasheets\CONNFLY_DS1022.pdf</ns0:v>
      </ns0:c>
      <ns0:c r="X112" t="str" s="33">
        <ns0:v>Даташит — производитель</ns0:v>
      </ns0:c>
      <ns0:c r="Y112" t="str" s="33">
        <ns0:v>https://en.connfly.com/static/upload/file/pdf/DS1022.pdf</ns0:v>
      </ns0:c>
      <ns0:c r="Z112" t="str" s="33">
        <ns0:v>C:\Users\Nomatin\Documents\Altium\MY_LIB\MY_LIB\Datasheets\CONNFLY_DS1022.pdf</ns0:v>
      </ns0:c>
    </ns0:row>
    <ns0:row xmlns:ns0="http://schemas.openxmlformats.org/spreadsheetml/2006/main" r="113" ht="85" customHeight="1">
      <ns0:c r="A113" t="str" s="33">
        <ns0:v>XP0110</ns0:v>
      </ns0:c>
      <ns0:c r="B113" t="str" s="33">
        <ns0:v>Разъём</ns0:v>
      </ns0:c>
      <ns0:c r="C113" t="str" s="33">
        <ns0:v>1x30, 2.54 мм</ns0:v>
      </ns0:c>
      <ns0:c r="D113" t="str" s="34">
        <ns0:f>C113</ns0:f>
        <ns0:v>1x30, 2.54 мм</ns0:v>
      </ns0:c>
      <ns0:c r="E113" s="33"/>
      <ns0:c r="F113" s="33"/>
      <ns0:c r="G113" s="33"/>
      <ns0:c r="H113" t="str" s="35">
        <ns0:v>1x30, P2.54, THT, угловой</ns0:v>
      </ns0:c>
      <ns0:c r="I113" t="str" s="33">
        <ns0:v>CONNFLY</ns0:v>
      </ns0:c>
      <ns0:c r="J113" t="str" s="33">
        <ns0:v>DS1022</ns0:v>
      </ns0:c>
      <ns0:c r="K113" t="str" s="34">
        <ns0:f>B113&amp;" "&amp;D113&amp;" "&amp;J113</ns0:f>
        <ns0:v>Разъём 1x30, 2.54 мм DS1022</ns0:v>
      </ns0:c>
      <ns0:c r="L113" t="str" s="36">
        <ns0:v>XP_30</ns0:v>
      </ns0:c>
      <ns0:c r="M113" t="str" s="36">
        <ns0:v>Symbols\MY_LIB_Connectors.SchLib</ns0:v>
      </ns0:c>
      <ns0:c r="N113" t="str" s="36">
        <ns0:v>CONNFLY_DS1022_1X30</ns0:v>
      </ns0:c>
      <ns0:c r="O113" t="str" s="36">
        <ns0:v>Footprints\MY_LIB_Connectors.PcbLib</ns0:v>
      </ns0:c>
      <ns0:c r="P113" t="str" s="33">
        <ns0:v>Штыревой, угловой;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3" s="33"/>
      <ns0:c r="R113" t="str" s="34">
        <ns0:f>D113</ns0:f>
        <ns0:v>1x30, 2.54 мм</ns0:v>
      </ns0:c>
      <ns0:c r="S113" t="str" s="34">
        <ns0:f>K113</ns0:f>
        <ns0:v>Разъём 1x30, 2.54 мм DS1022</ns0:v>
      </ns0:c>
      <ns0:c r="T113" t="str" s="33">
        <ns0:v>C:\Users\Nomatin\Documents\Altium\MY_LIB\MY_LIB\Datasheets\CONNFLY_DS1022.pdf</ns0:v>
      </ns0:c>
      <ns0:c r="U113" s="33"/>
      <ns0:c r="V113" t="str" s="33">
        <ns0:v>Даташит — локальный</ns0:v>
      </ns0:c>
      <ns0:c r="W113" t="str" s="33">
        <ns0:v>C:\Users\Nomatin\Documents\Altium\MY_LIB\MY_LIB\Datasheets\CONNFLY_DS1022.pdf</ns0:v>
      </ns0:c>
      <ns0:c r="X113" t="str" s="33">
        <ns0:v>Даташит — производитель</ns0:v>
      </ns0:c>
      <ns0:c r="Y113" t="str" s="33">
        <ns0:v>https://en.connfly.com/static/upload/file/pdf/DS1022.pdf</ns0:v>
      </ns0:c>
      <ns0:c r="Z113" t="str" s="33">
        <ns0:v>C:\Users\Nomatin\Documents\Altium\MY_LIB\MY_LIB\Datasheets\CONNFLY_DS1022.pdf</ns0:v>
      </ns0:c>
    </ns0:row>
    <ns0:row xmlns:ns0="http://schemas.openxmlformats.org/spreadsheetml/2006/main" r="114" ht="85" customHeight="1">
      <ns0:c r="A114" t="str" s="33">
        <ns0:v>XP0111</ns0:v>
      </ns0:c>
      <ns0:c r="B114" t="str" s="33">
        <ns0:v>Разъём</ns0:v>
      </ns0:c>
      <ns0:c r="C114" t="str" s="33">
        <ns0:v>1x31, 2.54 мм</ns0:v>
      </ns0:c>
      <ns0:c r="D114" t="str" s="34">
        <ns0:f>C114</ns0:f>
        <ns0:v>1x31, 2.54 мм</ns0:v>
      </ns0:c>
      <ns0:c r="E114" s="33"/>
      <ns0:c r="F114" s="33"/>
      <ns0:c r="G114" s="33"/>
      <ns0:c r="H114" t="str" s="35">
        <ns0:v>1x31, P2.54, THT, угловой</ns0:v>
      </ns0:c>
      <ns0:c r="I114" t="str" s="33">
        <ns0:v>CONNFLY</ns0:v>
      </ns0:c>
      <ns0:c r="J114" t="str" s="33">
        <ns0:v>DS1022</ns0:v>
      </ns0:c>
      <ns0:c r="K114" t="str" s="34">
        <ns0:f>B114&amp;" "&amp;D114&amp;" "&amp;J114</ns0:f>
        <ns0:v>Разъём 1x31, 2.54 мм DS1022</ns0:v>
      </ns0:c>
      <ns0:c r="L114" t="str" s="36">
        <ns0:v>XP_31</ns0:v>
      </ns0:c>
      <ns0:c r="M114" t="str" s="36">
        <ns0:v>Symbols\MY_LIB_Connectors.SchLib</ns0:v>
      </ns0:c>
      <ns0:c r="N114" t="str" s="36">
        <ns0:v>CONNFLY_DS1022_1X31</ns0:v>
      </ns0:c>
      <ns0:c r="O114" t="str" s="36">
        <ns0:v>Footprints\MY_LIB_Connectors.PcbLib</ns0:v>
      </ns0:c>
      <ns0:c r="P114" t="str" s="33">
        <ns0:v>Штыревой, угловой; 31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4" s="33"/>
      <ns0:c r="R114" t="str" s="34">
        <ns0:f>D114</ns0:f>
        <ns0:v>1x31, 2.54 мм</ns0:v>
      </ns0:c>
      <ns0:c r="S114" t="str" s="34">
        <ns0:f>K114</ns0:f>
        <ns0:v>Разъём 1x31, 2.54 мм DS1022</ns0:v>
      </ns0:c>
      <ns0:c r="T114" t="str" s="33">
        <ns0:v>C:\Users\Nomatin\Documents\Altium\MY_LIB\MY_LIB\Datasheets\CONNFLY_DS1022.pdf</ns0:v>
      </ns0:c>
      <ns0:c r="U114" s="33"/>
      <ns0:c r="V114" t="str" s="33">
        <ns0:v>Даташит — локальный</ns0:v>
      </ns0:c>
      <ns0:c r="W114" t="str" s="33">
        <ns0:v>C:\Users\Nomatin\Documents\Altium\MY_LIB\MY_LIB\Datasheets\CONNFLY_DS1022.pdf</ns0:v>
      </ns0:c>
      <ns0:c r="X114" t="str" s="33">
        <ns0:v>Даташит — производитель</ns0:v>
      </ns0:c>
      <ns0:c r="Y114" t="str" s="33">
        <ns0:v>https://en.connfly.com/static/upload/file/pdf/DS1022.pdf</ns0:v>
      </ns0:c>
      <ns0:c r="Z114" t="str" s="33">
        <ns0:v>C:\Users\Nomatin\Documents\Altium\MY_LIB\MY_LIB\Datasheets\CONNFLY_DS1022.pdf</ns0:v>
      </ns0:c>
    </ns0:row>
    <ns0:row xmlns:ns0="http://schemas.openxmlformats.org/spreadsheetml/2006/main" r="115" ht="85" customHeight="1">
      <ns0:c r="A115" t="str" s="33">
        <ns0:v>XP0112</ns0:v>
      </ns0:c>
      <ns0:c r="B115" t="str" s="33">
        <ns0:v>Разъём</ns0:v>
      </ns0:c>
      <ns0:c r="C115" t="str" s="33">
        <ns0:v>1x32, 2.54 мм</ns0:v>
      </ns0:c>
      <ns0:c r="D115" t="str" s="34">
        <ns0:f>C115</ns0:f>
        <ns0:v>1x32, 2.54 мм</ns0:v>
      </ns0:c>
      <ns0:c r="E115" s="33"/>
      <ns0:c r="F115" s="33"/>
      <ns0:c r="G115" s="33"/>
      <ns0:c r="H115" t="str" s="35">
        <ns0:v>1x32, P2.54, THT, угловой</ns0:v>
      </ns0:c>
      <ns0:c r="I115" t="str" s="33">
        <ns0:v>CONNFLY</ns0:v>
      </ns0:c>
      <ns0:c r="J115" t="str" s="33">
        <ns0:v>DS1022</ns0:v>
      </ns0:c>
      <ns0:c r="K115" t="str" s="34">
        <ns0:f>B115&amp;" "&amp;D115&amp;" "&amp;J115</ns0:f>
        <ns0:v>Разъём 1x32, 2.54 мм DS1022</ns0:v>
      </ns0:c>
      <ns0:c r="L115" t="str" s="36">
        <ns0:v>XP_32</ns0:v>
      </ns0:c>
      <ns0:c r="M115" t="str" s="36">
        <ns0:v>Symbols\MY_LIB_Connectors.SchLib</ns0:v>
      </ns0:c>
      <ns0:c r="N115" t="str" s="36">
        <ns0:v>CONNFLY_DS1022_1X32</ns0:v>
      </ns0:c>
      <ns0:c r="O115" t="str" s="36">
        <ns0:v>Footprints\MY_LIB_Connectors.PcbLib</ns0:v>
      </ns0:c>
      <ns0:c r="P115" t="str" s="33">
        <ns0:v>Штыревой, угловой;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5" s="33"/>
      <ns0:c r="R115" t="str" s="34">
        <ns0:f>D115</ns0:f>
        <ns0:v>1x32, 2.54 мм</ns0:v>
      </ns0:c>
      <ns0:c r="S115" t="str" s="34">
        <ns0:f>K115</ns0:f>
        <ns0:v>Разъём 1x32, 2.54 мм DS1022</ns0:v>
      </ns0:c>
      <ns0:c r="T115" t="str" s="33">
        <ns0:v>C:\Users\Nomatin\Documents\Altium\MY_LIB\MY_LIB\Datasheets\CONNFLY_DS1022.pdf</ns0:v>
      </ns0:c>
      <ns0:c r="U115" s="33"/>
      <ns0:c r="V115" t="str" s="33">
        <ns0:v>Даташит — локальный</ns0:v>
      </ns0:c>
      <ns0:c r="W115" t="str" s="33">
        <ns0:v>C:\Users\Nomatin\Documents\Altium\MY_LIB\MY_LIB\Datasheets\CONNFLY_DS1022.pdf</ns0:v>
      </ns0:c>
      <ns0:c r="X115" t="str" s="33">
        <ns0:v>Даташит — производитель</ns0:v>
      </ns0:c>
      <ns0:c r="Y115" t="str" s="33">
        <ns0:v>https://en.connfly.com/static/upload/file/pdf/DS1022.pdf</ns0:v>
      </ns0:c>
      <ns0:c r="Z115" t="str" s="33">
        <ns0:v>C:\Users\Nomatin\Documents\Altium\MY_LIB\MY_LIB\Datasheets\CONNFLY_DS1022.pdf</ns0:v>
      </ns0:c>
    </ns0:row>
    <ns0:row xmlns:ns0="http://schemas.openxmlformats.org/spreadsheetml/2006/main" r="116" ht="85" customHeight="1">
      <ns0:c r="A116" t="str" s="33">
        <ns0:v>XP0113</ns0:v>
      </ns0:c>
      <ns0:c r="B116" t="str" s="33">
        <ns0:v>Разъём</ns0:v>
      </ns0:c>
      <ns0:c r="C116" t="str" s="33">
        <ns0:v>1x33, 2.54 мм</ns0:v>
      </ns0:c>
      <ns0:c r="D116" t="str" s="34">
        <ns0:f>C116</ns0:f>
        <ns0:v>1x33, 2.54 мм</ns0:v>
      </ns0:c>
      <ns0:c r="E116" s="33"/>
      <ns0:c r="F116" s="33"/>
      <ns0:c r="G116" s="33"/>
      <ns0:c r="H116" t="str" s="35">
        <ns0:v>1x33, P2.54, THT, угловой</ns0:v>
      </ns0:c>
      <ns0:c r="I116" t="str" s="33">
        <ns0:v>CONNFLY</ns0:v>
      </ns0:c>
      <ns0:c r="J116" t="str" s="33">
        <ns0:v>DS1022</ns0:v>
      </ns0:c>
      <ns0:c r="K116" t="str" s="34">
        <ns0:f>B116&amp;" "&amp;D116&amp;" "&amp;J116</ns0:f>
        <ns0:v>Разъём 1x33, 2.54 мм DS1022</ns0:v>
      </ns0:c>
      <ns0:c r="L116" t="str" s="36">
        <ns0:v>XP_33</ns0:v>
      </ns0:c>
      <ns0:c r="M116" t="str" s="36">
        <ns0:v>Symbols\MY_LIB_Connectors.SchLib</ns0:v>
      </ns0:c>
      <ns0:c r="N116" t="str" s="36">
        <ns0:v>CONNFLY_DS1022_1X33</ns0:v>
      </ns0:c>
      <ns0:c r="O116" t="str" s="36">
        <ns0:v>Footprints\MY_LIB_Connectors.PcbLib</ns0:v>
      </ns0:c>
      <ns0:c r="P116" t="str" s="33">
        <ns0:v>Штыревой, угловой; 33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6" s="33"/>
      <ns0:c r="R116" t="str" s="34">
        <ns0:f>D116</ns0:f>
        <ns0:v>1x33, 2.54 мм</ns0:v>
      </ns0:c>
      <ns0:c r="S116" t="str" s="34">
        <ns0:f>K116</ns0:f>
        <ns0:v>Разъём 1x33, 2.54 мм DS1022</ns0:v>
      </ns0:c>
      <ns0:c r="T116" t="str" s="33">
        <ns0:v>C:\Users\Nomatin\Documents\Altium\MY_LIB\MY_LIB\Datasheets\CONNFLY_DS1022.pdf</ns0:v>
      </ns0:c>
      <ns0:c r="U116" s="33"/>
      <ns0:c r="V116" t="str" s="33">
        <ns0:v>Даташит — локальный</ns0:v>
      </ns0:c>
      <ns0:c r="W116" t="str" s="33">
        <ns0:v>C:\Users\Nomatin\Documents\Altium\MY_LIB\MY_LIB\Datasheets\CONNFLY_DS1022.pdf</ns0:v>
      </ns0:c>
      <ns0:c r="X116" t="str" s="33">
        <ns0:v>Даташит — производитель</ns0:v>
      </ns0:c>
      <ns0:c r="Y116" t="str" s="33">
        <ns0:v>https://en.connfly.com/static/upload/file/pdf/DS1022.pdf</ns0:v>
      </ns0:c>
      <ns0:c r="Z116" t="str" s="33">
        <ns0:v>C:\Users\Nomatin\Documents\Altium\MY_LIB\MY_LIB\Datasheets\CONNFLY_DS1022.pdf</ns0:v>
      </ns0:c>
    </ns0:row>
    <ns0:row xmlns:ns0="http://schemas.openxmlformats.org/spreadsheetml/2006/main" r="117" ht="85" customHeight="1">
      <ns0:c r="A117" t="str" s="33">
        <ns0:v>XP0114</ns0:v>
      </ns0:c>
      <ns0:c r="B117" t="str" s="33">
        <ns0:v>Разъём</ns0:v>
      </ns0:c>
      <ns0:c r="C117" t="str" s="33">
        <ns0:v>1x34, 2.54 мм</ns0:v>
      </ns0:c>
      <ns0:c r="D117" t="str" s="34">
        <ns0:f>C117</ns0:f>
        <ns0:v>1x34, 2.54 мм</ns0:v>
      </ns0:c>
      <ns0:c r="E117" s="33"/>
      <ns0:c r="F117" s="33"/>
      <ns0:c r="G117" s="33"/>
      <ns0:c r="H117" t="str" s="35">
        <ns0:v>1x34, P2.54, THT, угловой</ns0:v>
      </ns0:c>
      <ns0:c r="I117" t="str" s="33">
        <ns0:v>CONNFLY</ns0:v>
      </ns0:c>
      <ns0:c r="J117" t="str" s="33">
        <ns0:v>DS1022</ns0:v>
      </ns0:c>
      <ns0:c r="K117" t="str" s="34">
        <ns0:f>B117&amp;" "&amp;D117&amp;" "&amp;J117</ns0:f>
        <ns0:v>Разъём 1x34, 2.54 мм DS1022</ns0:v>
      </ns0:c>
      <ns0:c r="L117" t="str" s="36">
        <ns0:v>XP_34</ns0:v>
      </ns0:c>
      <ns0:c r="M117" t="str" s="36">
        <ns0:v>Symbols\MY_LIB_Connectors.SchLib</ns0:v>
      </ns0:c>
      <ns0:c r="N117" t="str" s="36">
        <ns0:v>CONNFLY_DS1022_1X34</ns0:v>
      </ns0:c>
      <ns0:c r="O117" t="str" s="36">
        <ns0:v>Footprints\MY_LIB_Connectors.PcbLib</ns0:v>
      </ns0:c>
      <ns0:c r="P117" t="str" s="33">
        <ns0:v>Штыревой, угловой;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7" s="33"/>
      <ns0:c r="R117" t="str" s="34">
        <ns0:f>D117</ns0:f>
        <ns0:v>1x34, 2.54 мм</ns0:v>
      </ns0:c>
      <ns0:c r="S117" t="str" s="34">
        <ns0:f>K117</ns0:f>
        <ns0:v>Разъём 1x34, 2.54 мм DS1022</ns0:v>
      </ns0:c>
      <ns0:c r="T117" t="str" s="33">
        <ns0:v>C:\Users\Nomatin\Documents\Altium\MY_LIB\MY_LIB\Datasheets\CONNFLY_DS1022.pdf</ns0:v>
      </ns0:c>
      <ns0:c r="U117" s="33"/>
      <ns0:c r="V117" t="str" s="33">
        <ns0:v>Даташит — локальный</ns0:v>
      </ns0:c>
      <ns0:c r="W117" t="str" s="33">
        <ns0:v>C:\Users\Nomatin\Documents\Altium\MY_LIB\MY_LIB\Datasheets\CONNFLY_DS1022.pdf</ns0:v>
      </ns0:c>
      <ns0:c r="X117" t="str" s="33">
        <ns0:v>Даташит — производитель</ns0:v>
      </ns0:c>
      <ns0:c r="Y117" t="str" s="33">
        <ns0:v>https://en.connfly.com/static/upload/file/pdf/DS1022.pdf</ns0:v>
      </ns0:c>
      <ns0:c r="Z117" t="str" s="33">
        <ns0:v>C:\Users\Nomatin\Documents\Altium\MY_LIB\MY_LIB\Datasheets\CONNFLY_DS1022.pdf</ns0:v>
      </ns0:c>
    </ns0:row>
    <ns0:row xmlns:ns0="http://schemas.openxmlformats.org/spreadsheetml/2006/main" r="118" ht="85" customHeight="1">
      <ns0:c r="A118" t="str" s="33">
        <ns0:v>XP0115</ns0:v>
      </ns0:c>
      <ns0:c r="B118" t="str" s="33">
        <ns0:v>Разъём</ns0:v>
      </ns0:c>
      <ns0:c r="C118" t="str" s="33">
        <ns0:v>1x35, 2.54 мм</ns0:v>
      </ns0:c>
      <ns0:c r="D118" t="str" s="34">
        <ns0:f>C118</ns0:f>
        <ns0:v>1x35, 2.54 мм</ns0:v>
      </ns0:c>
      <ns0:c r="E118" s="33"/>
      <ns0:c r="F118" s="33"/>
      <ns0:c r="G118" s="33"/>
      <ns0:c r="H118" t="str" s="35">
        <ns0:v>1x35, P2.54, THT, угловой</ns0:v>
      </ns0:c>
      <ns0:c r="I118" t="str" s="33">
        <ns0:v>CONNFLY</ns0:v>
      </ns0:c>
      <ns0:c r="J118" t="str" s="33">
        <ns0:v>DS1022</ns0:v>
      </ns0:c>
      <ns0:c r="K118" t="str" s="34">
        <ns0:f>B118&amp;" "&amp;D118&amp;" "&amp;J118</ns0:f>
        <ns0:v>Разъём 1x35, 2.54 мм DS1022</ns0:v>
      </ns0:c>
      <ns0:c r="L118" t="str" s="36">
        <ns0:v>XP_35</ns0:v>
      </ns0:c>
      <ns0:c r="M118" t="str" s="36">
        <ns0:v>Symbols\MY_LIB_Connectors.SchLib</ns0:v>
      </ns0:c>
      <ns0:c r="N118" t="str" s="36">
        <ns0:v>CONNFLY_DS1022_1X35</ns0:v>
      </ns0:c>
      <ns0:c r="O118" t="str" s="36">
        <ns0:v>Footprints\MY_LIB_Connectors.PcbLib</ns0:v>
      </ns0:c>
      <ns0:c r="P118" t="str" s="33">
        <ns0:v>Штыревой, угловой; 35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8" s="33"/>
      <ns0:c r="R118" t="str" s="34">
        <ns0:f>D118</ns0:f>
        <ns0:v>1x35, 2.54 мм</ns0:v>
      </ns0:c>
      <ns0:c r="S118" t="str" s="34">
        <ns0:f>K118</ns0:f>
        <ns0:v>Разъём 1x35, 2.54 мм DS1022</ns0:v>
      </ns0:c>
      <ns0:c r="T118" t="str" s="33">
        <ns0:v>C:\Users\Nomatin\Documents\Altium\MY_LIB\MY_LIB\Datasheets\CONNFLY_DS1022.pdf</ns0:v>
      </ns0:c>
      <ns0:c r="U118" s="33"/>
      <ns0:c r="V118" t="str" s="33">
        <ns0:v>Даташит — локальный</ns0:v>
      </ns0:c>
      <ns0:c r="W118" t="str" s="33">
        <ns0:v>C:\Users\Nomatin\Documents\Altium\MY_LIB\MY_LIB\Datasheets\CONNFLY_DS1022.pdf</ns0:v>
      </ns0:c>
      <ns0:c r="X118" t="str" s="33">
        <ns0:v>Даташит — производитель</ns0:v>
      </ns0:c>
      <ns0:c r="Y118" t="str" s="33">
        <ns0:v>https://en.connfly.com/static/upload/file/pdf/DS1022.pdf</ns0:v>
      </ns0:c>
      <ns0:c r="Z118" t="str" s="33">
        <ns0:v>C:\Users\Nomatin\Documents\Altium\MY_LIB\MY_LIB\Datasheets\CONNFLY_DS1022.pdf</ns0:v>
      </ns0:c>
    </ns0:row>
    <ns0:row xmlns:ns0="http://schemas.openxmlformats.org/spreadsheetml/2006/main" r="119" ht="85" customHeight="1">
      <ns0:c r="A119" t="str" s="33">
        <ns0:v>XP0116</ns0:v>
      </ns0:c>
      <ns0:c r="B119" t="str" s="33">
        <ns0:v>Разъём</ns0:v>
      </ns0:c>
      <ns0:c r="C119" t="str" s="33">
        <ns0:v>1x36, 2.54 мм</ns0:v>
      </ns0:c>
      <ns0:c r="D119" t="str" s="34">
        <ns0:f>C119</ns0:f>
        <ns0:v>1x36, 2.54 мм</ns0:v>
      </ns0:c>
      <ns0:c r="E119" s="33"/>
      <ns0:c r="F119" s="33"/>
      <ns0:c r="G119" s="33"/>
      <ns0:c r="H119" t="str" s="35">
        <ns0:v>1x36, P2.54, THT, угловой</ns0:v>
      </ns0:c>
      <ns0:c r="I119" t="str" s="33">
        <ns0:v>CONNFLY</ns0:v>
      </ns0:c>
      <ns0:c r="J119" t="str" s="33">
        <ns0:v>DS1022</ns0:v>
      </ns0:c>
      <ns0:c r="K119" t="str" s="34">
        <ns0:f>B119&amp;" "&amp;D119&amp;" "&amp;J119</ns0:f>
        <ns0:v>Разъём 1x36, 2.54 мм DS1022</ns0:v>
      </ns0:c>
      <ns0:c r="L119" t="str" s="36">
        <ns0:v>XP_36</ns0:v>
      </ns0:c>
      <ns0:c r="M119" t="str" s="36">
        <ns0:v>Symbols\MY_LIB_Connectors.SchLib</ns0:v>
      </ns0:c>
      <ns0:c r="N119" t="str" s="36">
        <ns0:v>CONNFLY_DS1022_1X36</ns0:v>
      </ns0:c>
      <ns0:c r="O119" t="str" s="36">
        <ns0:v>Footprints\MY_LIB_Connectors.PcbLib</ns0:v>
      </ns0:c>
      <ns0:c r="P119" t="str" s="33">
        <ns0:v>Штыревой, угловой;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19" s="33"/>
      <ns0:c r="R119" t="str" s="34">
        <ns0:f>D119</ns0:f>
        <ns0:v>1x36, 2.54 мм</ns0:v>
      </ns0:c>
      <ns0:c r="S119" t="str" s="34">
        <ns0:f>K119</ns0:f>
        <ns0:v>Разъём 1x36, 2.54 мм DS1022</ns0:v>
      </ns0:c>
      <ns0:c r="T119" t="str" s="33">
        <ns0:v>C:\Users\Nomatin\Documents\Altium\MY_LIB\MY_LIB\Datasheets\CONNFLY_DS1022.pdf</ns0:v>
      </ns0:c>
      <ns0:c r="U119" s="33"/>
      <ns0:c r="V119" t="str" s="33">
        <ns0:v>Даташит — локальный</ns0:v>
      </ns0:c>
      <ns0:c r="W119" t="str" s="33">
        <ns0:v>C:\Users\Nomatin\Documents\Altium\MY_LIB\MY_LIB\Datasheets\CONNFLY_DS1022.pdf</ns0:v>
      </ns0:c>
      <ns0:c r="X119" t="str" s="33">
        <ns0:v>Даташит — производитель</ns0:v>
      </ns0:c>
      <ns0:c r="Y119" t="str" s="33">
        <ns0:v>https://en.connfly.com/static/upload/file/pdf/DS1022.pdf</ns0:v>
      </ns0:c>
      <ns0:c r="Z119" t="str" s="33">
        <ns0:v>C:\Users\Nomatin\Documents\Altium\MY_LIB\MY_LIB\Datasheets\CONNFLY_DS1022.pdf</ns0:v>
      </ns0:c>
    </ns0:row>
    <ns0:row xmlns:ns0="http://schemas.openxmlformats.org/spreadsheetml/2006/main" r="120" ht="85" customHeight="1">
      <ns0:c r="A120" t="str" s="33">
        <ns0:v>XP0117</ns0:v>
      </ns0:c>
      <ns0:c r="B120" t="str" s="33">
        <ns0:v>Разъём</ns0:v>
      </ns0:c>
      <ns0:c r="C120" t="str" s="33">
        <ns0:v>1x37, 2.54 мм</ns0:v>
      </ns0:c>
      <ns0:c r="D120" t="str" s="34">
        <ns0:f>C120</ns0:f>
        <ns0:v>1x37, 2.54 мм</ns0:v>
      </ns0:c>
      <ns0:c r="E120" s="33"/>
      <ns0:c r="F120" s="33"/>
      <ns0:c r="G120" s="33"/>
      <ns0:c r="H120" t="str" s="35">
        <ns0:v>1x37, P2.54, THT, угловой</ns0:v>
      </ns0:c>
      <ns0:c r="I120" t="str" s="33">
        <ns0:v>CONNFLY</ns0:v>
      </ns0:c>
      <ns0:c r="J120" t="str" s="33">
        <ns0:v>DS1022</ns0:v>
      </ns0:c>
      <ns0:c r="K120" t="str" s="34">
        <ns0:f>B120&amp;" "&amp;D120&amp;" "&amp;J120</ns0:f>
        <ns0:v>Разъём 1x37, 2.54 мм DS1022</ns0:v>
      </ns0:c>
      <ns0:c r="L120" t="str" s="36">
        <ns0:v>XP_37</ns0:v>
      </ns0:c>
      <ns0:c r="M120" t="str" s="36">
        <ns0:v>Symbols\MY_LIB_Connectors.SchLib</ns0:v>
      </ns0:c>
      <ns0:c r="N120" t="str" s="36">
        <ns0:v>CONNFLY_DS1022_1X37</ns0:v>
      </ns0:c>
      <ns0:c r="O120" t="str" s="36">
        <ns0:v>Footprints\MY_LIB_Connectors.PcbLib</ns0:v>
      </ns0:c>
      <ns0:c r="P120" t="str" s="33">
        <ns0:v>Штыревой, угловой; 37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0" s="33"/>
      <ns0:c r="R120" t="str" s="34">
        <ns0:f>D120</ns0:f>
        <ns0:v>1x37, 2.54 мм</ns0:v>
      </ns0:c>
      <ns0:c r="S120" t="str" s="34">
        <ns0:f>K120</ns0:f>
        <ns0:v>Разъём 1x37, 2.54 мм DS1022</ns0:v>
      </ns0:c>
      <ns0:c r="T120" t="str" s="33">
        <ns0:v>C:\Users\Nomatin\Documents\Altium\MY_LIB\MY_LIB\Datasheets\CONNFLY_DS1022.pdf</ns0:v>
      </ns0:c>
      <ns0:c r="U120" s="33"/>
      <ns0:c r="V120" t="str" s="33">
        <ns0:v>Даташит — локальный</ns0:v>
      </ns0:c>
      <ns0:c r="W120" t="str" s="33">
        <ns0:v>C:\Users\Nomatin\Documents\Altium\MY_LIB\MY_LIB\Datasheets\CONNFLY_DS1022.pdf</ns0:v>
      </ns0:c>
      <ns0:c r="X120" t="str" s="33">
        <ns0:v>Даташит — производитель</ns0:v>
      </ns0:c>
      <ns0:c r="Y120" t="str" s="33">
        <ns0:v>https://en.connfly.com/static/upload/file/pdf/DS1022.pdf</ns0:v>
      </ns0:c>
      <ns0:c r="Z120" t="str" s="33">
        <ns0:v>C:\Users\Nomatin\Documents\Altium\MY_LIB\MY_LIB\Datasheets\CONNFLY_DS1022.pdf</ns0:v>
      </ns0:c>
    </ns0:row>
    <ns0:row xmlns:ns0="http://schemas.openxmlformats.org/spreadsheetml/2006/main" r="121" ht="85" customHeight="1">
      <ns0:c r="A121" t="str" s="33">
        <ns0:v>XP0118</ns0:v>
      </ns0:c>
      <ns0:c r="B121" t="str" s="33">
        <ns0:v>Разъём</ns0:v>
      </ns0:c>
      <ns0:c r="C121" t="str" s="33">
        <ns0:v>1x38, 2.54 мм</ns0:v>
      </ns0:c>
      <ns0:c r="D121" t="str" s="34">
        <ns0:f>C121</ns0:f>
        <ns0:v>1x38, 2.54 мм</ns0:v>
      </ns0:c>
      <ns0:c r="E121" s="33"/>
      <ns0:c r="F121" s="33"/>
      <ns0:c r="G121" s="33"/>
      <ns0:c r="H121" t="str" s="35">
        <ns0:v>1x38, P2.54, THT, угловой</ns0:v>
      </ns0:c>
      <ns0:c r="I121" t="str" s="33">
        <ns0:v>CONNFLY</ns0:v>
      </ns0:c>
      <ns0:c r="J121" t="str" s="33">
        <ns0:v>DS1022</ns0:v>
      </ns0:c>
      <ns0:c r="K121" t="str" s="34">
        <ns0:f>B121&amp;" "&amp;D121&amp;" "&amp;J121</ns0:f>
        <ns0:v>Разъём 1x38, 2.54 мм DS1022</ns0:v>
      </ns0:c>
      <ns0:c r="L121" t="str" s="36">
        <ns0:v>XP_38</ns0:v>
      </ns0:c>
      <ns0:c r="M121" t="str" s="36">
        <ns0:v>Symbols\MY_LIB_Connectors.SchLib</ns0:v>
      </ns0:c>
      <ns0:c r="N121" t="str" s="36">
        <ns0:v>CONNFLY_DS1022_1X38</ns0:v>
      </ns0:c>
      <ns0:c r="O121" t="str" s="36">
        <ns0:v>Footprints\MY_LIB_Connectors.PcbLib</ns0:v>
      </ns0:c>
      <ns0:c r="P121" t="str" s="33">
        <ns0:v>Штыревой, угловой;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1" s="33"/>
      <ns0:c r="R121" t="str" s="34">
        <ns0:f>D121</ns0:f>
        <ns0:v>1x38, 2.54 мм</ns0:v>
      </ns0:c>
      <ns0:c r="S121" t="str" s="34">
        <ns0:f>K121</ns0:f>
        <ns0:v>Разъём 1x38, 2.54 мм DS1022</ns0:v>
      </ns0:c>
      <ns0:c r="T121" t="str" s="33">
        <ns0:v>C:\Users\Nomatin\Documents\Altium\MY_LIB\MY_LIB\Datasheets\CONNFLY_DS1022.pdf</ns0:v>
      </ns0:c>
      <ns0:c r="U121" s="33"/>
      <ns0:c r="V121" t="str" s="33">
        <ns0:v>Даташит — локальный</ns0:v>
      </ns0:c>
      <ns0:c r="W121" t="str" s="33">
        <ns0:v>C:\Users\Nomatin\Documents\Altium\MY_LIB\MY_LIB\Datasheets\CONNFLY_DS1022.pdf</ns0:v>
      </ns0:c>
      <ns0:c r="X121" t="str" s="33">
        <ns0:v>Даташит — производитель</ns0:v>
      </ns0:c>
      <ns0:c r="Y121" t="str" s="33">
        <ns0:v>https://en.connfly.com/static/upload/file/pdf/DS1022.pdf</ns0:v>
      </ns0:c>
      <ns0:c r="Z121" t="str" s="33">
        <ns0:v>C:\Users\Nomatin\Documents\Altium\MY_LIB\MY_LIB\Datasheets\CONNFLY_DS1022.pdf</ns0:v>
      </ns0:c>
    </ns0:row>
    <ns0:row xmlns:ns0="http://schemas.openxmlformats.org/spreadsheetml/2006/main" r="122" ht="85" customHeight="1">
      <ns0:c r="A122" t="str" s="33">
        <ns0:v>XP0119</ns0:v>
      </ns0:c>
      <ns0:c r="B122" t="str" s="33">
        <ns0:v>Разъём</ns0:v>
      </ns0:c>
      <ns0:c r="C122" t="str" s="33">
        <ns0:v>1x39, 2.54 мм</ns0:v>
      </ns0:c>
      <ns0:c r="D122" t="str" s="34">
        <ns0:f>C122</ns0:f>
        <ns0:v>1x39, 2.54 мм</ns0:v>
      </ns0:c>
      <ns0:c r="E122" s="33"/>
      <ns0:c r="F122" s="33"/>
      <ns0:c r="G122" s="33"/>
      <ns0:c r="H122" t="str" s="35">
        <ns0:v>1x39, P2.54, THT, угловой</ns0:v>
      </ns0:c>
      <ns0:c r="I122" t="str" s="33">
        <ns0:v>CONNFLY</ns0:v>
      </ns0:c>
      <ns0:c r="J122" t="str" s="33">
        <ns0:v>DS1022</ns0:v>
      </ns0:c>
      <ns0:c r="K122" t="str" s="34">
        <ns0:f>B122&amp;" "&amp;D122&amp;" "&amp;J122</ns0:f>
        <ns0:v>Разъём 1x39, 2.54 мм DS1022</ns0:v>
      </ns0:c>
      <ns0:c r="L122" t="str" s="36">
        <ns0:v>XP_39</ns0:v>
      </ns0:c>
      <ns0:c r="M122" t="str" s="36">
        <ns0:v>Symbols\MY_LIB_Connectors.SchLib</ns0:v>
      </ns0:c>
      <ns0:c r="N122" t="str" s="36">
        <ns0:v>CONNFLY_DS1022_1X39</ns0:v>
      </ns0:c>
      <ns0:c r="O122" t="str" s="36">
        <ns0:v>Footprints\MY_LIB_Connectors.PcbLib</ns0:v>
      </ns0:c>
      <ns0:c r="P122" t="str" s="33">
        <ns0:v>Штыревой, угловой; 39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2" s="33"/>
      <ns0:c r="R122" t="str" s="34">
        <ns0:f>D122</ns0:f>
        <ns0:v>1x39, 2.54 мм</ns0:v>
      </ns0:c>
      <ns0:c r="S122" t="str" s="34">
        <ns0:f>K122</ns0:f>
        <ns0:v>Разъём 1x39, 2.54 мм DS1022</ns0:v>
      </ns0:c>
      <ns0:c r="T122" t="str" s="33">
        <ns0:v>C:\Users\Nomatin\Documents\Altium\MY_LIB\MY_LIB\Datasheets\CONNFLY_DS1022.pdf</ns0:v>
      </ns0:c>
      <ns0:c r="U122" s="33"/>
      <ns0:c r="V122" t="str" s="33">
        <ns0:v>Даташит — локальный</ns0:v>
      </ns0:c>
      <ns0:c r="W122" t="str" s="33">
        <ns0:v>C:\Users\Nomatin\Documents\Altium\MY_LIB\MY_LIB\Datasheets\CONNFLY_DS1022.pdf</ns0:v>
      </ns0:c>
      <ns0:c r="X122" t="str" s="33">
        <ns0:v>Даташит — производитель</ns0:v>
      </ns0:c>
      <ns0:c r="Y122" t="str" s="33">
        <ns0:v>https://en.connfly.com/static/upload/file/pdf/DS1022.pdf</ns0:v>
      </ns0:c>
      <ns0:c r="Z122" t="str" s="33">
        <ns0:v>C:\Users\Nomatin\Documents\Altium\MY_LIB\MY_LIB\Datasheets\CONNFLY_DS1022.pdf</ns0:v>
      </ns0:c>
    </ns0:row>
    <ns0:row xmlns:ns0="http://schemas.openxmlformats.org/spreadsheetml/2006/main" r="123" ht="85" customHeight="1">
      <ns0:c r="A123" t="str" s="33">
        <ns0:v>XP0120</ns0:v>
      </ns0:c>
      <ns0:c r="B123" t="str" s="33">
        <ns0:v>Разъём</ns0:v>
      </ns0:c>
      <ns0:c r="C123" t="str" s="33">
        <ns0:v>1x40, 2.54 мм</ns0:v>
      </ns0:c>
      <ns0:c r="D123" t="str" s="34">
        <ns0:f>C123</ns0:f>
        <ns0:v>1x40, 2.54 мм</ns0:v>
      </ns0:c>
      <ns0:c r="E123" s="33"/>
      <ns0:c r="F123" s="33"/>
      <ns0:c r="G123" s="33"/>
      <ns0:c r="H123" t="str" s="35">
        <ns0:v>1x40, P2.54, THT, угловой</ns0:v>
      </ns0:c>
      <ns0:c r="I123" t="str" s="33">
        <ns0:v>CONNFLY</ns0:v>
      </ns0:c>
      <ns0:c r="J123" t="str" s="33">
        <ns0:v>DS1022</ns0:v>
      </ns0:c>
      <ns0:c r="K123" t="str" s="34">
        <ns0:f>B123&amp;" "&amp;D123&amp;" "&amp;J123</ns0:f>
        <ns0:v>Разъём 1x40, 2.54 мм DS1022</ns0:v>
      </ns0:c>
      <ns0:c r="L123" t="str" s="36">
        <ns0:v>XP_40</ns0:v>
      </ns0:c>
      <ns0:c r="M123" t="str" s="36">
        <ns0:v>Symbols\MY_LIB_Connectors.SchLib</ns0:v>
      </ns0:c>
      <ns0:c r="N123" t="str" s="36">
        <ns0:v>CONNFLY_DS1022_1X40</ns0:v>
      </ns0:c>
      <ns0:c r="O123" t="str" s="36">
        <ns0:v>Footprints\MY_LIB_Connectors.PcbLib</ns0:v>
      </ns0:c>
      <ns0:c r="P123" t="str" s="33">
        <ns0:v>Штыревой, угловой;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3" s="33"/>
      <ns0:c r="R123" t="str" s="34">
        <ns0:f>D123</ns0:f>
        <ns0:v>1x40, 2.54 мм</ns0:v>
      </ns0:c>
      <ns0:c r="S123" t="str" s="34">
        <ns0:f>K123</ns0:f>
        <ns0:v>Разъём 1x40, 2.54 мм DS1022</ns0:v>
      </ns0:c>
      <ns0:c r="T123" t="str" s="33">
        <ns0:v>C:\Users\Nomatin\Documents\Altium\MY_LIB\MY_LIB\Datasheets\CONNFLY_DS1022.pdf</ns0:v>
      </ns0:c>
      <ns0:c r="U123" s="33"/>
      <ns0:c r="V123" t="str" s="33">
        <ns0:v>Даташит — локальный</ns0:v>
      </ns0:c>
      <ns0:c r="W123" t="str" s="33">
        <ns0:v>C:\Users\Nomatin\Documents\Altium\MY_LIB\MY_LIB\Datasheets\CONNFLY_DS1022.pdf</ns0:v>
      </ns0:c>
      <ns0:c r="X123" t="str" s="33">
        <ns0:v>Даташит — производитель</ns0:v>
      </ns0:c>
      <ns0:c r="Y123" t="str" s="33">
        <ns0:v>https://en.connfly.com/static/upload/file/pdf/DS1022.pdf</ns0:v>
      </ns0:c>
      <ns0:c r="Z123" t="str" s="33">
        <ns0:v>C:\Users\Nomatin\Documents\Altium\MY_LIB\MY_LIB\Datasheets\CONNFLY_DS1022.pdf</ns0:v>
      </ns0:c>
    </ns0:row>
    <ns0:row xmlns:ns0="http://schemas.openxmlformats.org/spreadsheetml/2006/main" r="124" ht="85" customHeight="1">
      <ns0:c r="A124" t="str" s="33">
        <ns0:v>XP0121</ns0:v>
      </ns0:c>
      <ns0:c r="B124" t="str" s="33">
        <ns0:v>Разъём</ns0:v>
      </ns0:c>
      <ns0:c r="C124" t="str" s="33">
        <ns0:v>2x01, 2.54 мм</ns0:v>
      </ns0:c>
      <ns0:c r="D124" t="str" s="34">
        <ns0:f>C124</ns0:f>
        <ns0:v>2x01, 2.54 мм</ns0:v>
      </ns0:c>
      <ns0:c r="E124" s="33"/>
      <ns0:c r="F124" s="33"/>
      <ns0:c r="G124" s="33"/>
      <ns0:c r="H124" t="str" s="35">
        <ns0:v>2x01, P2.54, THT, угловой</ns0:v>
      </ns0:c>
      <ns0:c r="I124" t="str" s="33">
        <ns0:v>CONNFLY</ns0:v>
      </ns0:c>
      <ns0:c r="J124" t="str" s="33">
        <ns0:v>DS1022</ns0:v>
      </ns0:c>
      <ns0:c r="K124" t="str" s="34">
        <ns0:f>B124&amp;" "&amp;D124&amp;" "&amp;J124</ns0:f>
        <ns0:v>Разъём 2x01, 2.54 мм DS1022</ns0:v>
      </ns0:c>
      <ns0:c r="L124" t="str" s="36">
        <ns0:v>XP_2</ns0:v>
      </ns0:c>
      <ns0:c r="M124" t="str" s="36">
        <ns0:v>Symbols\MY_LIB_Connectors.SchLib</ns0:v>
      </ns0:c>
      <ns0:c r="N124" t="str" s="36">
        <ns0:v>CONNFLY_DS1022_2X01</ns0:v>
      </ns0:c>
      <ns0:c r="O124" t="str" s="36">
        <ns0:v>Footprints\MY_LIB_Connectors.PcbLib</ns0:v>
      </ns0:c>
      <ns0:c r="P124" t="str" s="33">
        <ns0:v>Штыревой, угловой; 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4" s="33"/>
      <ns0:c r="R124" t="str" s="34">
        <ns0:f>D124</ns0:f>
        <ns0:v>2x01, 2.54 мм</ns0:v>
      </ns0:c>
      <ns0:c r="S124" t="str" s="34">
        <ns0:f>K124</ns0:f>
        <ns0:v>Разъём 2x01, 2.54 мм DS1022</ns0:v>
      </ns0:c>
      <ns0:c r="T124" t="str" s="33">
        <ns0:v>C:\Users\Nomatin\Documents\Altium\MY_LIB\MY_LIB\Datasheets\CONNFLY_DS1022.pdf</ns0:v>
      </ns0:c>
      <ns0:c r="U124" s="33"/>
      <ns0:c r="V124" t="str" s="33">
        <ns0:v>Даташит — локальный</ns0:v>
      </ns0:c>
      <ns0:c r="W124" t="str" s="33">
        <ns0:v>C:\Users\Nomatin\Documents\Altium\MY_LIB\MY_LIB\Datasheets\CONNFLY_DS1022.pdf</ns0:v>
      </ns0:c>
      <ns0:c r="X124" t="str" s="33">
        <ns0:v>Даташит — производитель</ns0:v>
      </ns0:c>
      <ns0:c r="Y124" t="str" s="33">
        <ns0:v>https://en.connfly.com/static/upload/file/pdf/DS1022.pdf</ns0:v>
      </ns0:c>
      <ns0:c r="Z124" t="str" s="33">
        <ns0:v>C:\Users\Nomatin\Documents\Altium\MY_LIB\MY_LIB\Datasheets\CONNFLY_DS1022.pdf</ns0:v>
      </ns0:c>
    </ns0:row>
    <ns0:row xmlns:ns0="http://schemas.openxmlformats.org/spreadsheetml/2006/main" r="125" ht="85" customHeight="1">
      <ns0:c r="A125" t="str" s="33">
        <ns0:v>XP0122</ns0:v>
      </ns0:c>
      <ns0:c r="B125" t="str" s="33">
        <ns0:v>Разъём</ns0:v>
      </ns0:c>
      <ns0:c r="C125" t="str" s="33">
        <ns0:v>2x02, 2.54 мм</ns0:v>
      </ns0:c>
      <ns0:c r="D125" t="str" s="34">
        <ns0:f>C125</ns0:f>
        <ns0:v>2x02, 2.54 мм</ns0:v>
      </ns0:c>
      <ns0:c r="E125" s="33"/>
      <ns0:c r="F125" s="33"/>
      <ns0:c r="G125" s="33"/>
      <ns0:c r="H125" t="str" s="35">
        <ns0:v>2x02, P2.54, THT, угловой</ns0:v>
      </ns0:c>
      <ns0:c r="I125" t="str" s="33">
        <ns0:v>CONNFLY</ns0:v>
      </ns0:c>
      <ns0:c r="J125" t="str" s="33">
        <ns0:v>DS1022</ns0:v>
      </ns0:c>
      <ns0:c r="K125" t="str" s="34">
        <ns0:f>B125&amp;" "&amp;D125&amp;" "&amp;J125</ns0:f>
        <ns0:v>Разъём 2x02, 2.54 мм DS1022</ns0:v>
      </ns0:c>
      <ns0:c r="L125" t="str" s="36">
        <ns0:v>XP_4</ns0:v>
      </ns0:c>
      <ns0:c r="M125" t="str" s="36">
        <ns0:v>Symbols\MY_LIB_Connectors.SchLib</ns0:v>
      </ns0:c>
      <ns0:c r="N125" t="str" s="36">
        <ns0:v>CONNFLY_DS1022_2X02</ns0:v>
      </ns0:c>
      <ns0:c r="O125" t="str" s="36">
        <ns0:v>Footprints\MY_LIB_Connectors.PcbLib</ns0:v>
      </ns0:c>
      <ns0:c r="P125" t="str" s="33">
        <ns0:v>Штыревой, угловой;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5" s="33"/>
      <ns0:c r="R125" t="str" s="34">
        <ns0:f>D125</ns0:f>
        <ns0:v>2x02, 2.54 мм</ns0:v>
      </ns0:c>
      <ns0:c r="S125" t="str" s="34">
        <ns0:f>K125</ns0:f>
        <ns0:v>Разъём 2x02, 2.54 мм DS1022</ns0:v>
      </ns0:c>
      <ns0:c r="T125" t="str" s="33">
        <ns0:v>C:\Users\Nomatin\Documents\Altium\MY_LIB\MY_LIB\Datasheets\CONNFLY_DS1022.pdf</ns0:v>
      </ns0:c>
      <ns0:c r="U125" s="33"/>
      <ns0:c r="V125" t="str" s="33">
        <ns0:v>Даташит — локальный</ns0:v>
      </ns0:c>
      <ns0:c r="W125" t="str" s="33">
        <ns0:v>C:\Users\Nomatin\Documents\Altium\MY_LIB\MY_LIB\Datasheets\CONNFLY_DS1022.pdf</ns0:v>
      </ns0:c>
      <ns0:c r="X125" t="str" s="33">
        <ns0:v>Даташит — производитель</ns0:v>
      </ns0:c>
      <ns0:c r="Y125" t="str" s="33">
        <ns0:v>https://en.connfly.com/static/upload/file/pdf/DS1022.pdf</ns0:v>
      </ns0:c>
      <ns0:c r="Z125" t="str" s="33">
        <ns0:v>C:\Users\Nomatin\Documents\Altium\MY_LIB\MY_LIB\Datasheets\CONNFLY_DS1022.pdf</ns0:v>
      </ns0:c>
    </ns0:row>
    <ns0:row xmlns:ns0="http://schemas.openxmlformats.org/spreadsheetml/2006/main" r="126" ht="85" customHeight="1">
      <ns0:c r="A126" t="str" s="33">
        <ns0:v>XP0123</ns0:v>
      </ns0:c>
      <ns0:c r="B126" t="str" s="33">
        <ns0:v>Разъём</ns0:v>
      </ns0:c>
      <ns0:c r="C126" t="str" s="33">
        <ns0:v>2x03, 2.54 мм</ns0:v>
      </ns0:c>
      <ns0:c r="D126" t="str" s="34">
        <ns0:f>C126</ns0:f>
        <ns0:v>2x03, 2.54 мм</ns0:v>
      </ns0:c>
      <ns0:c r="E126" s="33"/>
      <ns0:c r="F126" s="33"/>
      <ns0:c r="G126" s="33"/>
      <ns0:c r="H126" t="str" s="35">
        <ns0:v>2x03, P2.54, THT, угловой</ns0:v>
      </ns0:c>
      <ns0:c r="I126" t="str" s="33">
        <ns0:v>CONNFLY</ns0:v>
      </ns0:c>
      <ns0:c r="J126" t="str" s="33">
        <ns0:v>DS1022</ns0:v>
      </ns0:c>
      <ns0:c r="K126" t="str" s="34">
        <ns0:f>B126&amp;" "&amp;D126&amp;" "&amp;J126</ns0:f>
        <ns0:v>Разъём 2x03, 2.54 мм DS1022</ns0:v>
      </ns0:c>
      <ns0:c r="L126" t="str" s="36">
        <ns0:v>XP_6</ns0:v>
      </ns0:c>
      <ns0:c r="M126" t="str" s="36">
        <ns0:v>Symbols\MY_LIB_Connectors.SchLib</ns0:v>
      </ns0:c>
      <ns0:c r="N126" t="str" s="36">
        <ns0:v>CONNFLY_DS1022_2X03</ns0:v>
      </ns0:c>
      <ns0:c r="O126" t="str" s="36">
        <ns0:v>Footprints\MY_LIB_Connectors.PcbLib</ns0:v>
      </ns0:c>
      <ns0:c r="P126" t="str" s="33">
        <ns0:v>Штыревой, угловой;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6" s="33"/>
      <ns0:c r="R126" t="str" s="34">
        <ns0:f>D126</ns0:f>
        <ns0:v>2x03, 2.54 мм</ns0:v>
      </ns0:c>
      <ns0:c r="S126" t="str" s="34">
        <ns0:f>K126</ns0:f>
        <ns0:v>Разъём 2x03, 2.54 мм DS1022</ns0:v>
      </ns0:c>
      <ns0:c r="T126" t="str" s="33">
        <ns0:v>C:\Users\Nomatin\Documents\Altium\MY_LIB\MY_LIB\Datasheets\CONNFLY_DS1022.pdf</ns0:v>
      </ns0:c>
      <ns0:c r="U126" s="33"/>
      <ns0:c r="V126" t="str" s="33">
        <ns0:v>Даташит — локальный</ns0:v>
      </ns0:c>
      <ns0:c r="W126" t="str" s="33">
        <ns0:v>C:\Users\Nomatin\Documents\Altium\MY_LIB\MY_LIB\Datasheets\CONNFLY_DS1022.pdf</ns0:v>
      </ns0:c>
      <ns0:c r="X126" t="str" s="33">
        <ns0:v>Даташит — производитель</ns0:v>
      </ns0:c>
      <ns0:c r="Y126" t="str" s="33">
        <ns0:v>https://en.connfly.com/static/upload/file/pdf/DS1022.pdf</ns0:v>
      </ns0:c>
      <ns0:c r="Z126" t="str" s="33">
        <ns0:v>C:\Users\Nomatin\Documents\Altium\MY_LIB\MY_LIB\Datasheets\CONNFLY_DS1022.pdf</ns0:v>
      </ns0:c>
    </ns0:row>
    <ns0:row xmlns:ns0="http://schemas.openxmlformats.org/spreadsheetml/2006/main" r="127" ht="85" customHeight="1">
      <ns0:c r="A127" t="str" s="33">
        <ns0:v>XP0124</ns0:v>
      </ns0:c>
      <ns0:c r="B127" t="str" s="33">
        <ns0:v>Разъём</ns0:v>
      </ns0:c>
      <ns0:c r="C127" t="str" s="33">
        <ns0:v>2x04, 2.54 мм</ns0:v>
      </ns0:c>
      <ns0:c r="D127" t="str" s="34">
        <ns0:f>C127</ns0:f>
        <ns0:v>2x04, 2.54 мм</ns0:v>
      </ns0:c>
      <ns0:c r="E127" s="33"/>
      <ns0:c r="F127" s="33"/>
      <ns0:c r="G127" s="33"/>
      <ns0:c r="H127" t="str" s="35">
        <ns0:v>2x04, P2.54, THT, угловой</ns0:v>
      </ns0:c>
      <ns0:c r="I127" t="str" s="33">
        <ns0:v>CONNFLY</ns0:v>
      </ns0:c>
      <ns0:c r="J127" t="str" s="33">
        <ns0:v>DS1022</ns0:v>
      </ns0:c>
      <ns0:c r="K127" t="str" s="34">
        <ns0:f>B127&amp;" "&amp;D127&amp;" "&amp;J127</ns0:f>
        <ns0:v>Разъём 2x04, 2.54 мм DS1022</ns0:v>
      </ns0:c>
      <ns0:c r="L127" t="str" s="36">
        <ns0:v>XP_8</ns0:v>
      </ns0:c>
      <ns0:c r="M127" t="str" s="36">
        <ns0:v>Symbols\MY_LIB_Connectors.SchLib</ns0:v>
      </ns0:c>
      <ns0:c r="N127" t="str" s="36">
        <ns0:v>CONNFLY_DS1022_2X04</ns0:v>
      </ns0:c>
      <ns0:c r="O127" t="str" s="36">
        <ns0:v>Footprints\MY_LIB_Connectors.PcbLib</ns0:v>
      </ns0:c>
      <ns0:c r="P127" t="str" s="33">
        <ns0:v>Штыревой, угловой;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7" s="33"/>
      <ns0:c r="R127" t="str" s="34">
        <ns0:f>D127</ns0:f>
        <ns0:v>2x04, 2.54 мм</ns0:v>
      </ns0:c>
      <ns0:c r="S127" t="str" s="34">
        <ns0:f>K127</ns0:f>
        <ns0:v>Разъём 2x04, 2.54 мм DS1022</ns0:v>
      </ns0:c>
      <ns0:c r="T127" t="str" s="33">
        <ns0:v>C:\Users\Nomatin\Documents\Altium\MY_LIB\MY_LIB\Datasheets\CONNFLY_DS1022.pdf</ns0:v>
      </ns0:c>
      <ns0:c r="U127" s="33"/>
      <ns0:c r="V127" t="str" s="33">
        <ns0:v>Даташит — локальный</ns0:v>
      </ns0:c>
      <ns0:c r="W127" t="str" s="33">
        <ns0:v>C:\Users\Nomatin\Documents\Altium\MY_LIB\MY_LIB\Datasheets\CONNFLY_DS1022.pdf</ns0:v>
      </ns0:c>
      <ns0:c r="X127" t="str" s="33">
        <ns0:v>Даташит — производитель</ns0:v>
      </ns0:c>
      <ns0:c r="Y127" t="str" s="33">
        <ns0:v>https://en.connfly.com/static/upload/file/pdf/DS1022.pdf</ns0:v>
      </ns0:c>
      <ns0:c r="Z127" t="str" s="33">
        <ns0:v>C:\Users\Nomatin\Documents\Altium\MY_LIB\MY_LIB\Datasheets\CONNFLY_DS1022.pdf</ns0:v>
      </ns0:c>
    </ns0:row>
    <ns0:row xmlns:ns0="http://schemas.openxmlformats.org/spreadsheetml/2006/main" r="128" ht="85" customHeight="1">
      <ns0:c r="A128" t="str" s="33">
        <ns0:v>XP0125</ns0:v>
      </ns0:c>
      <ns0:c r="B128" t="str" s="33">
        <ns0:v>Разъём</ns0:v>
      </ns0:c>
      <ns0:c r="C128" t="str" s="33">
        <ns0:v>2x05, 2.54 мм</ns0:v>
      </ns0:c>
      <ns0:c r="D128" t="str" s="34">
        <ns0:f>C128</ns0:f>
        <ns0:v>2x05, 2.54 мм</ns0:v>
      </ns0:c>
      <ns0:c r="E128" s="33"/>
      <ns0:c r="F128" s="33"/>
      <ns0:c r="G128" s="33"/>
      <ns0:c r="H128" t="str" s="35">
        <ns0:v>2x05, P2.54, THT, угловой</ns0:v>
      </ns0:c>
      <ns0:c r="I128" t="str" s="33">
        <ns0:v>CONNFLY</ns0:v>
      </ns0:c>
      <ns0:c r="J128" t="str" s="33">
        <ns0:v>DS1022</ns0:v>
      </ns0:c>
      <ns0:c r="K128" t="str" s="34">
        <ns0:f>B128&amp;" "&amp;D128&amp;" "&amp;J128</ns0:f>
        <ns0:v>Разъём 2x05, 2.54 мм DS1022</ns0:v>
      </ns0:c>
      <ns0:c r="L128" t="str" s="36">
        <ns0:v>XP_10</ns0:v>
      </ns0:c>
      <ns0:c r="M128" t="str" s="36">
        <ns0:v>Symbols\MY_LIB_Connectors.SchLib</ns0:v>
      </ns0:c>
      <ns0:c r="N128" t="str" s="36">
        <ns0:v>CONNFLY_DS1022_2X05</ns0:v>
      </ns0:c>
      <ns0:c r="O128" t="str" s="36">
        <ns0:v>Footprints\MY_LIB_Connectors.PcbLib</ns0:v>
      </ns0:c>
      <ns0:c r="P128" t="str" s="33">
        <ns0:v>Штыревой, угловой;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8" s="33"/>
      <ns0:c r="R128" t="str" s="34">
        <ns0:f>D128</ns0:f>
        <ns0:v>2x05, 2.54 мм</ns0:v>
      </ns0:c>
      <ns0:c r="S128" t="str" s="34">
        <ns0:f>K128</ns0:f>
        <ns0:v>Разъём 2x05, 2.54 мм DS1022</ns0:v>
      </ns0:c>
      <ns0:c r="T128" t="str" s="33">
        <ns0:v>C:\Users\Nomatin\Documents\Altium\MY_LIB\MY_LIB\Datasheets\CONNFLY_DS1022.pdf</ns0:v>
      </ns0:c>
      <ns0:c r="U128" s="33"/>
      <ns0:c r="V128" t="str" s="33">
        <ns0:v>Даташит — локальный</ns0:v>
      </ns0:c>
      <ns0:c r="W128" t="str" s="33">
        <ns0:v>C:\Users\Nomatin\Documents\Altium\MY_LIB\MY_LIB\Datasheets\CONNFLY_DS1022.pdf</ns0:v>
      </ns0:c>
      <ns0:c r="X128" t="str" s="33">
        <ns0:v>Даташит — производитель</ns0:v>
      </ns0:c>
      <ns0:c r="Y128" t="str" s="33">
        <ns0:v>https://en.connfly.com/static/upload/file/pdf/DS1022.pdf</ns0:v>
      </ns0:c>
      <ns0:c r="Z128" t="str" s="33">
        <ns0:v>C:\Users\Nomatin\Documents\Altium\MY_LIB\MY_LIB\Datasheets\CONNFLY_DS1022.pdf</ns0:v>
      </ns0:c>
    </ns0:row>
    <ns0:row xmlns:ns0="http://schemas.openxmlformats.org/spreadsheetml/2006/main" r="129" ht="85" customHeight="1">
      <ns0:c r="A129" t="str" s="33">
        <ns0:v>XP0126</ns0:v>
      </ns0:c>
      <ns0:c r="B129" t="str" s="33">
        <ns0:v>Разъём</ns0:v>
      </ns0:c>
      <ns0:c r="C129" t="str" s="33">
        <ns0:v>2x06, 2.54 мм</ns0:v>
      </ns0:c>
      <ns0:c r="D129" t="str" s="34">
        <ns0:f>C129</ns0:f>
        <ns0:v>2x06, 2.54 мм</ns0:v>
      </ns0:c>
      <ns0:c r="E129" s="33"/>
      <ns0:c r="F129" s="33"/>
      <ns0:c r="G129" s="33"/>
      <ns0:c r="H129" t="str" s="35">
        <ns0:v>2x06, P2.54, THT, угловой</ns0:v>
      </ns0:c>
      <ns0:c r="I129" t="str" s="33">
        <ns0:v>CONNFLY</ns0:v>
      </ns0:c>
      <ns0:c r="J129" t="str" s="33">
        <ns0:v>DS1022</ns0:v>
      </ns0:c>
      <ns0:c r="K129" t="str" s="34">
        <ns0:f>B129&amp;" "&amp;D129&amp;" "&amp;J129</ns0:f>
        <ns0:v>Разъём 2x06, 2.54 мм DS1022</ns0:v>
      </ns0:c>
      <ns0:c r="L129" t="str" s="36">
        <ns0:v>XP_12</ns0:v>
      </ns0:c>
      <ns0:c r="M129" t="str" s="36">
        <ns0:v>Symbols\MY_LIB_Connectors.SchLib</ns0:v>
      </ns0:c>
      <ns0:c r="N129" t="str" s="36">
        <ns0:v>CONNFLY_DS1022_2X06</ns0:v>
      </ns0:c>
      <ns0:c r="O129" t="str" s="36">
        <ns0:v>Footprints\MY_LIB_Connectors.PcbLib</ns0:v>
      </ns0:c>
      <ns0:c r="P129" t="str" s="33">
        <ns0:v>Штыревой, угловой;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29" s="33"/>
      <ns0:c r="R129" t="str" s="34">
        <ns0:f>D129</ns0:f>
        <ns0:v>2x06, 2.54 мм</ns0:v>
      </ns0:c>
      <ns0:c r="S129" t="str" s="34">
        <ns0:f>K129</ns0:f>
        <ns0:v>Разъём 2x06, 2.54 мм DS1022</ns0:v>
      </ns0:c>
      <ns0:c r="T129" t="str" s="33">
        <ns0:v>C:\Users\Nomatin\Documents\Altium\MY_LIB\MY_LIB\Datasheets\CONNFLY_DS1022.pdf</ns0:v>
      </ns0:c>
      <ns0:c r="U129" s="33"/>
      <ns0:c r="V129" t="str" s="33">
        <ns0:v>Даташит — локальный</ns0:v>
      </ns0:c>
      <ns0:c r="W129" t="str" s="33">
        <ns0:v>C:\Users\Nomatin\Documents\Altium\MY_LIB\MY_LIB\Datasheets\CONNFLY_DS1022.pdf</ns0:v>
      </ns0:c>
      <ns0:c r="X129" t="str" s="33">
        <ns0:v>Даташит — производитель</ns0:v>
      </ns0:c>
      <ns0:c r="Y129" t="str" s="33">
        <ns0:v>https://en.connfly.com/static/upload/file/pdf/DS1022.pdf</ns0:v>
      </ns0:c>
      <ns0:c r="Z129" t="str" s="33">
        <ns0:v>C:\Users\Nomatin\Documents\Altium\MY_LIB\MY_LIB\Datasheets\CONNFLY_DS1022.pdf</ns0:v>
      </ns0:c>
    </ns0:row>
    <ns0:row xmlns:ns0="http://schemas.openxmlformats.org/spreadsheetml/2006/main" r="130" ht="85" customHeight="1">
      <ns0:c r="A130" t="str" s="33">
        <ns0:v>XP0127</ns0:v>
      </ns0:c>
      <ns0:c r="B130" t="str" s="33">
        <ns0:v>Разъём</ns0:v>
      </ns0:c>
      <ns0:c r="C130" t="str" s="33">
        <ns0:v>2x07, 2.54 мм</ns0:v>
      </ns0:c>
      <ns0:c r="D130" t="str" s="34">
        <ns0:f>C130</ns0:f>
        <ns0:v>2x07, 2.54 мм</ns0:v>
      </ns0:c>
      <ns0:c r="E130" s="33"/>
      <ns0:c r="F130" s="33"/>
      <ns0:c r="G130" s="33"/>
      <ns0:c r="H130" t="str" s="35">
        <ns0:v>2x07, P2.54, THT, угловой</ns0:v>
      </ns0:c>
      <ns0:c r="I130" t="str" s="33">
        <ns0:v>CONNFLY</ns0:v>
      </ns0:c>
      <ns0:c r="J130" t="str" s="33">
        <ns0:v>DS1022</ns0:v>
      </ns0:c>
      <ns0:c r="K130" t="str" s="34">
        <ns0:f>B130&amp;" "&amp;D130&amp;" "&amp;J130</ns0:f>
        <ns0:v>Разъём 2x07, 2.54 мм DS1022</ns0:v>
      </ns0:c>
      <ns0:c r="L130" t="str" s="36">
        <ns0:v>XP_14</ns0:v>
      </ns0:c>
      <ns0:c r="M130" t="str" s="36">
        <ns0:v>Symbols\MY_LIB_Connectors.SchLib</ns0:v>
      </ns0:c>
      <ns0:c r="N130" t="str" s="36">
        <ns0:v>CONNFLY_DS1022_2X07</ns0:v>
      </ns0:c>
      <ns0:c r="O130" t="str" s="36">
        <ns0:v>Footprints\MY_LIB_Connectors.PcbLib</ns0:v>
      </ns0:c>
      <ns0:c r="P130" t="str" s="33">
        <ns0:v>Штыревой, угловой;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0" s="33"/>
      <ns0:c r="R130" t="str" s="34">
        <ns0:f>D130</ns0:f>
        <ns0:v>2x07, 2.54 мм</ns0:v>
      </ns0:c>
      <ns0:c r="S130" t="str" s="34">
        <ns0:f>K130</ns0:f>
        <ns0:v>Разъём 2x07, 2.54 мм DS1022</ns0:v>
      </ns0:c>
      <ns0:c r="T130" t="str" s="33">
        <ns0:v>C:\Users\Nomatin\Documents\Altium\MY_LIB\MY_LIB\Datasheets\CONNFLY_DS1022.pdf</ns0:v>
      </ns0:c>
      <ns0:c r="U130" s="33"/>
      <ns0:c r="V130" t="str" s="33">
        <ns0:v>Даташит — локальный</ns0:v>
      </ns0:c>
      <ns0:c r="W130" t="str" s="33">
        <ns0:v>C:\Users\Nomatin\Documents\Altium\MY_LIB\MY_LIB\Datasheets\CONNFLY_DS1022.pdf</ns0:v>
      </ns0:c>
      <ns0:c r="X130" t="str" s="33">
        <ns0:v>Даташит — производитель</ns0:v>
      </ns0:c>
      <ns0:c r="Y130" t="str" s="33">
        <ns0:v>https://en.connfly.com/static/upload/file/pdf/DS1022.pdf</ns0:v>
      </ns0:c>
      <ns0:c r="Z130" t="str" s="33">
        <ns0:v>C:\Users\Nomatin\Documents\Altium\MY_LIB\MY_LIB\Datasheets\CONNFLY_DS1022.pdf</ns0:v>
      </ns0:c>
    </ns0:row>
    <ns0:row xmlns:ns0="http://schemas.openxmlformats.org/spreadsheetml/2006/main" r="131" ht="85" customHeight="1">
      <ns0:c r="A131" t="str" s="33">
        <ns0:v>XP0128</ns0:v>
      </ns0:c>
      <ns0:c r="B131" t="str" s="33">
        <ns0:v>Разъём</ns0:v>
      </ns0:c>
      <ns0:c r="C131" t="str" s="33">
        <ns0:v>2x08, 2.54 мм</ns0:v>
      </ns0:c>
      <ns0:c r="D131" t="str" s="34">
        <ns0:f>C131</ns0:f>
        <ns0:v>2x08, 2.54 мм</ns0:v>
      </ns0:c>
      <ns0:c r="E131" s="33"/>
      <ns0:c r="F131" s="33"/>
      <ns0:c r="G131" s="33"/>
      <ns0:c r="H131" t="str" s="35">
        <ns0:v>2x08, P2.54, THT, угловой</ns0:v>
      </ns0:c>
      <ns0:c r="I131" t="str" s="33">
        <ns0:v>CONNFLY</ns0:v>
      </ns0:c>
      <ns0:c r="J131" t="str" s="33">
        <ns0:v>DS1022</ns0:v>
      </ns0:c>
      <ns0:c r="K131" t="str" s="34">
        <ns0:f>B131&amp;" "&amp;D131&amp;" "&amp;J131</ns0:f>
        <ns0:v>Разъём 2x08, 2.54 мм DS1022</ns0:v>
      </ns0:c>
      <ns0:c r="L131" t="str" s="36">
        <ns0:v>XP_16</ns0:v>
      </ns0:c>
      <ns0:c r="M131" t="str" s="36">
        <ns0:v>Symbols\MY_LIB_Connectors.SchLib</ns0:v>
      </ns0:c>
      <ns0:c r="N131" t="str" s="36">
        <ns0:v>CONNFLY_DS1022_2X08</ns0:v>
      </ns0:c>
      <ns0:c r="O131" t="str" s="36">
        <ns0:v>Footprints\MY_LIB_Connectors.PcbLib</ns0:v>
      </ns0:c>
      <ns0:c r="P131" t="str" s="33">
        <ns0:v>Штыревой, угловой;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1" s="33"/>
      <ns0:c r="R131" t="str" s="34">
        <ns0:f>D131</ns0:f>
        <ns0:v>2x08, 2.54 мм</ns0:v>
      </ns0:c>
      <ns0:c r="S131" t="str" s="34">
        <ns0:f>K131</ns0:f>
        <ns0:v>Разъём 2x08, 2.54 мм DS1022</ns0:v>
      </ns0:c>
      <ns0:c r="T131" t="str" s="33">
        <ns0:v>C:\Users\Nomatin\Documents\Altium\MY_LIB\MY_LIB\Datasheets\CONNFLY_DS1022.pdf</ns0:v>
      </ns0:c>
      <ns0:c r="U131" s="33"/>
      <ns0:c r="V131" t="str" s="33">
        <ns0:v>Даташит — локальный</ns0:v>
      </ns0:c>
      <ns0:c r="W131" t="str" s="33">
        <ns0:v>C:\Users\Nomatin\Documents\Altium\MY_LIB\MY_LIB\Datasheets\CONNFLY_DS1022.pdf</ns0:v>
      </ns0:c>
      <ns0:c r="X131" t="str" s="33">
        <ns0:v>Даташит — производитель</ns0:v>
      </ns0:c>
      <ns0:c r="Y131" t="str" s="33">
        <ns0:v>https://en.connfly.com/static/upload/file/pdf/DS1022.pdf</ns0:v>
      </ns0:c>
      <ns0:c r="Z131" t="str" s="33">
        <ns0:v>C:\Users\Nomatin\Documents\Altium\MY_LIB\MY_LIB\Datasheets\CONNFLY_DS1022.pdf</ns0:v>
      </ns0:c>
    </ns0:row>
    <ns0:row xmlns:ns0="http://schemas.openxmlformats.org/spreadsheetml/2006/main" r="132" ht="85" customHeight="1">
      <ns0:c r="A132" t="str" s="33">
        <ns0:v>XP0129</ns0:v>
      </ns0:c>
      <ns0:c r="B132" t="str" s="33">
        <ns0:v>Разъём</ns0:v>
      </ns0:c>
      <ns0:c r="C132" t="str" s="33">
        <ns0:v>2x09, 2.54 мм</ns0:v>
      </ns0:c>
      <ns0:c r="D132" t="str" s="34">
        <ns0:f>C132</ns0:f>
        <ns0:v>2x09, 2.54 мм</ns0:v>
      </ns0:c>
      <ns0:c r="E132" s="33"/>
      <ns0:c r="F132" s="33"/>
      <ns0:c r="G132" s="33"/>
      <ns0:c r="H132" t="str" s="35">
        <ns0:v>2x09, P2.54, THT, угловой</ns0:v>
      </ns0:c>
      <ns0:c r="I132" t="str" s="33">
        <ns0:v>CONNFLY</ns0:v>
      </ns0:c>
      <ns0:c r="J132" t="str" s="33">
        <ns0:v>DS1022</ns0:v>
      </ns0:c>
      <ns0:c r="K132" t="str" s="34">
        <ns0:f>B132&amp;" "&amp;D132&amp;" "&amp;J132</ns0:f>
        <ns0:v>Разъём 2x09, 2.54 мм DS1022</ns0:v>
      </ns0:c>
      <ns0:c r="L132" t="str" s="36">
        <ns0:v>XP_18</ns0:v>
      </ns0:c>
      <ns0:c r="M132" t="str" s="36">
        <ns0:v>Symbols\MY_LIB_Connectors.SchLib</ns0:v>
      </ns0:c>
      <ns0:c r="N132" t="str" s="36">
        <ns0:v>CONNFLY_DS1022_2X09</ns0:v>
      </ns0:c>
      <ns0:c r="O132" t="str" s="36">
        <ns0:v>Footprints\MY_LIB_Connectors.PcbLib</ns0:v>
      </ns0:c>
      <ns0:c r="P132" t="str" s="33">
        <ns0:v>Штыревой, угловой;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2" s="33"/>
      <ns0:c r="R132" t="str" s="34">
        <ns0:f>D132</ns0:f>
        <ns0:v>2x09, 2.54 мм</ns0:v>
      </ns0:c>
      <ns0:c r="S132" t="str" s="34">
        <ns0:f>K132</ns0:f>
        <ns0:v>Разъём 2x09, 2.54 мм DS1022</ns0:v>
      </ns0:c>
      <ns0:c r="T132" t="str" s="33">
        <ns0:v>C:\Users\Nomatin\Documents\Altium\MY_LIB\MY_LIB\Datasheets\CONNFLY_DS1022.pdf</ns0:v>
      </ns0:c>
      <ns0:c r="U132" s="33"/>
      <ns0:c r="V132" t="str" s="33">
        <ns0:v>Даташит — локальный</ns0:v>
      </ns0:c>
      <ns0:c r="W132" t="str" s="33">
        <ns0:v>C:\Users\Nomatin\Documents\Altium\MY_LIB\MY_LIB\Datasheets\CONNFLY_DS1022.pdf</ns0:v>
      </ns0:c>
      <ns0:c r="X132" t="str" s="33">
        <ns0:v>Даташит — производитель</ns0:v>
      </ns0:c>
      <ns0:c r="Y132" t="str" s="33">
        <ns0:v>https://en.connfly.com/static/upload/file/pdf/DS1022.pdf</ns0:v>
      </ns0:c>
      <ns0:c r="Z132" t="str" s="33">
        <ns0:v>C:\Users\Nomatin\Documents\Altium\MY_LIB\MY_LIB\Datasheets\CONNFLY_DS1022.pdf</ns0:v>
      </ns0:c>
    </ns0:row>
    <ns0:row xmlns:ns0="http://schemas.openxmlformats.org/spreadsheetml/2006/main" r="133" ht="85" customHeight="1">
      <ns0:c r="A133" t="str" s="33">
        <ns0:v>XP0130</ns0:v>
      </ns0:c>
      <ns0:c r="B133" t="str" s="33">
        <ns0:v>Разъём</ns0:v>
      </ns0:c>
      <ns0:c r="C133" t="str" s="33">
        <ns0:v>2x10, 2.54 мм</ns0:v>
      </ns0:c>
      <ns0:c r="D133" t="str" s="34">
        <ns0:f>C133</ns0:f>
        <ns0:v>2x10, 2.54 мм</ns0:v>
      </ns0:c>
      <ns0:c r="E133" s="33"/>
      <ns0:c r="F133" s="33"/>
      <ns0:c r="G133" s="33"/>
      <ns0:c r="H133" t="str" s="35">
        <ns0:v>2x10, P2.54, THT, угловой</ns0:v>
      </ns0:c>
      <ns0:c r="I133" t="str" s="33">
        <ns0:v>CONNFLY</ns0:v>
      </ns0:c>
      <ns0:c r="J133" t="str" s="33">
        <ns0:v>DS1022</ns0:v>
      </ns0:c>
      <ns0:c r="K133" t="str" s="34">
        <ns0:f>B133&amp;" "&amp;D133&amp;" "&amp;J133</ns0:f>
        <ns0:v>Разъём 2x10, 2.54 мм DS1022</ns0:v>
      </ns0:c>
      <ns0:c r="L133" t="str" s="36">
        <ns0:v>XP_20</ns0:v>
      </ns0:c>
      <ns0:c r="M133" t="str" s="36">
        <ns0:v>Symbols\MY_LIB_Connectors.SchLib</ns0:v>
      </ns0:c>
      <ns0:c r="N133" t="str" s="36">
        <ns0:v>CONNFLY_DS1022_2X10</ns0:v>
      </ns0:c>
      <ns0:c r="O133" t="str" s="36">
        <ns0:v>Footprints\MY_LIB_Connectors.PcbLib</ns0:v>
      </ns0:c>
      <ns0:c r="P133" t="str" s="33">
        <ns0:v>Штыревой, угловой;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3" s="33"/>
      <ns0:c r="R133" t="str" s="34">
        <ns0:f>D133</ns0:f>
        <ns0:v>2x10, 2.54 мм</ns0:v>
      </ns0:c>
      <ns0:c r="S133" t="str" s="34">
        <ns0:f>K133</ns0:f>
        <ns0:v>Разъём 2x10, 2.54 мм DS1022</ns0:v>
      </ns0:c>
      <ns0:c r="T133" t="str" s="33">
        <ns0:v>C:\Users\Nomatin\Documents\Altium\MY_LIB\MY_LIB\Datasheets\CONNFLY_DS1022.pdf</ns0:v>
      </ns0:c>
      <ns0:c r="U133" s="33"/>
      <ns0:c r="V133" t="str" s="33">
        <ns0:v>Даташит — локальный</ns0:v>
      </ns0:c>
      <ns0:c r="W133" t="str" s="33">
        <ns0:v>C:\Users\Nomatin\Documents\Altium\MY_LIB\MY_LIB\Datasheets\CONNFLY_DS1022.pdf</ns0:v>
      </ns0:c>
      <ns0:c r="X133" t="str" s="33">
        <ns0:v>Даташит — производитель</ns0:v>
      </ns0:c>
      <ns0:c r="Y133" t="str" s="33">
        <ns0:v>https://en.connfly.com/static/upload/file/pdf/DS1022.pdf</ns0:v>
      </ns0:c>
      <ns0:c r="Z133" t="str" s="33">
        <ns0:v>C:\Users\Nomatin\Documents\Altium\MY_LIB\MY_LIB\Datasheets\CONNFLY_DS1022.pdf</ns0:v>
      </ns0:c>
    </ns0:row>
    <ns0:row xmlns:ns0="http://schemas.openxmlformats.org/spreadsheetml/2006/main" r="134" ht="85" customHeight="1">
      <ns0:c r="A134" t="str" s="33">
        <ns0:v>XP0131</ns0:v>
      </ns0:c>
      <ns0:c r="B134" t="str" s="33">
        <ns0:v>Разъём</ns0:v>
      </ns0:c>
      <ns0:c r="C134" t="str" s="33">
        <ns0:v>2x11, 2.54 мм</ns0:v>
      </ns0:c>
      <ns0:c r="D134" t="str" s="34">
        <ns0:f>C134</ns0:f>
        <ns0:v>2x11, 2.54 мм</ns0:v>
      </ns0:c>
      <ns0:c r="E134" s="33"/>
      <ns0:c r="F134" s="33"/>
      <ns0:c r="G134" s="33"/>
      <ns0:c r="H134" t="str" s="35">
        <ns0:v>2x11, P2.54, THT, угловой</ns0:v>
      </ns0:c>
      <ns0:c r="I134" t="str" s="33">
        <ns0:v>CONNFLY</ns0:v>
      </ns0:c>
      <ns0:c r="J134" t="str" s="33">
        <ns0:v>DS1022</ns0:v>
      </ns0:c>
      <ns0:c r="K134" t="str" s="34">
        <ns0:f>B134&amp;" "&amp;D134&amp;" "&amp;J134</ns0:f>
        <ns0:v>Разъём 2x11, 2.54 мм DS1022</ns0:v>
      </ns0:c>
      <ns0:c r="L134" t="str" s="36">
        <ns0:v>XP_22</ns0:v>
      </ns0:c>
      <ns0:c r="M134" t="str" s="36">
        <ns0:v>Symbols\MY_LIB_Connectors.SchLib</ns0:v>
      </ns0:c>
      <ns0:c r="N134" t="str" s="36">
        <ns0:v>CONNFLY_DS1022_2X11</ns0:v>
      </ns0:c>
      <ns0:c r="O134" t="str" s="36">
        <ns0:v>Footprints\MY_LIB_Connectors.PcbLib</ns0:v>
      </ns0:c>
      <ns0:c r="P134" t="str" s="33">
        <ns0:v>Штыревой, угловой;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4" s="33"/>
      <ns0:c r="R134" t="str" s="34">
        <ns0:f>D134</ns0:f>
        <ns0:v>2x11, 2.54 мм</ns0:v>
      </ns0:c>
      <ns0:c r="S134" t="str" s="34">
        <ns0:f>K134</ns0:f>
        <ns0:v>Разъём 2x11, 2.54 мм DS1022</ns0:v>
      </ns0:c>
      <ns0:c r="T134" t="str" s="33">
        <ns0:v>C:\Users\Nomatin\Documents\Altium\MY_LIB\MY_LIB\Datasheets\CONNFLY_DS1022.pdf</ns0:v>
      </ns0:c>
      <ns0:c r="U134" s="33"/>
      <ns0:c r="V134" t="str" s="33">
        <ns0:v>Даташит — локальный</ns0:v>
      </ns0:c>
      <ns0:c r="W134" t="str" s="33">
        <ns0:v>C:\Users\Nomatin\Documents\Altium\MY_LIB\MY_LIB\Datasheets\CONNFLY_DS1022.pdf</ns0:v>
      </ns0:c>
      <ns0:c r="X134" t="str" s="33">
        <ns0:v>Даташит — производитель</ns0:v>
      </ns0:c>
      <ns0:c r="Y134" t="str" s="33">
        <ns0:v>https://en.connfly.com/static/upload/file/pdf/DS1022.pdf</ns0:v>
      </ns0:c>
      <ns0:c r="Z134" t="str" s="33">
        <ns0:v>C:\Users\Nomatin\Documents\Altium\MY_LIB\MY_LIB\Datasheets\CONNFLY_DS1022.pdf</ns0:v>
      </ns0:c>
    </ns0:row>
    <ns0:row xmlns:ns0="http://schemas.openxmlformats.org/spreadsheetml/2006/main" r="135" ht="85" customHeight="1">
      <ns0:c r="A135" t="str" s="33">
        <ns0:v>XP0132</ns0:v>
      </ns0:c>
      <ns0:c r="B135" t="str" s="33">
        <ns0:v>Разъём</ns0:v>
      </ns0:c>
      <ns0:c r="C135" t="str" s="33">
        <ns0:v>2x12, 2.54 мм</ns0:v>
      </ns0:c>
      <ns0:c r="D135" t="str" s="34">
        <ns0:f>C135</ns0:f>
        <ns0:v>2x12, 2.54 мм</ns0:v>
      </ns0:c>
      <ns0:c r="E135" s="33"/>
      <ns0:c r="F135" s="33"/>
      <ns0:c r="G135" s="33"/>
      <ns0:c r="H135" t="str" s="35">
        <ns0:v>2x12, P2.54, THT, угловой</ns0:v>
      </ns0:c>
      <ns0:c r="I135" t="str" s="33">
        <ns0:v>CONNFLY</ns0:v>
      </ns0:c>
      <ns0:c r="J135" t="str" s="33">
        <ns0:v>DS1022</ns0:v>
      </ns0:c>
      <ns0:c r="K135" t="str" s="34">
        <ns0:f>B135&amp;" "&amp;D135&amp;" "&amp;J135</ns0:f>
        <ns0:v>Разъём 2x12, 2.54 мм DS1022</ns0:v>
      </ns0:c>
      <ns0:c r="L135" t="str" s="36">
        <ns0:v>XP_24</ns0:v>
      </ns0:c>
      <ns0:c r="M135" t="str" s="36">
        <ns0:v>Symbols\MY_LIB_Connectors.SchLib</ns0:v>
      </ns0:c>
      <ns0:c r="N135" t="str" s="36">
        <ns0:v>CONNFLY_DS1022_2X12</ns0:v>
      </ns0:c>
      <ns0:c r="O135" t="str" s="36">
        <ns0:v>Footprints\MY_LIB_Connectors.PcbLib</ns0:v>
      </ns0:c>
      <ns0:c r="P135" t="str" s="33">
        <ns0:v>Штыревой, угловой;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5" s="33"/>
      <ns0:c r="R135" t="str" s="34">
        <ns0:f>D135</ns0:f>
        <ns0:v>2x12, 2.54 мм</ns0:v>
      </ns0:c>
      <ns0:c r="S135" t="str" s="34">
        <ns0:f>K135</ns0:f>
        <ns0:v>Разъём 2x12, 2.54 мм DS1022</ns0:v>
      </ns0:c>
      <ns0:c r="T135" t="str" s="33">
        <ns0:v>C:\Users\Nomatin\Documents\Altium\MY_LIB\MY_LIB\Datasheets\CONNFLY_DS1022.pdf</ns0:v>
      </ns0:c>
      <ns0:c r="U135" s="33"/>
      <ns0:c r="V135" t="str" s="33">
        <ns0:v>Даташит — локальный</ns0:v>
      </ns0:c>
      <ns0:c r="W135" t="str" s="33">
        <ns0:v>C:\Users\Nomatin\Documents\Altium\MY_LIB\MY_LIB\Datasheets\CONNFLY_DS1022.pdf</ns0:v>
      </ns0:c>
      <ns0:c r="X135" t="str" s="33">
        <ns0:v>Даташит — производитель</ns0:v>
      </ns0:c>
      <ns0:c r="Y135" t="str" s="33">
        <ns0:v>https://en.connfly.com/static/upload/file/pdf/DS1022.pdf</ns0:v>
      </ns0:c>
      <ns0:c r="Z135" t="str" s="33">
        <ns0:v>C:\Users\Nomatin\Documents\Altium\MY_LIB\MY_LIB\Datasheets\CONNFLY_DS1022.pdf</ns0:v>
      </ns0:c>
    </ns0:row>
    <ns0:row xmlns:ns0="http://schemas.openxmlformats.org/spreadsheetml/2006/main" r="136" ht="85" customHeight="1">
      <ns0:c r="A136" t="str" s="33">
        <ns0:v>XP0133</ns0:v>
      </ns0:c>
      <ns0:c r="B136" t="str" s="33">
        <ns0:v>Разъём</ns0:v>
      </ns0:c>
      <ns0:c r="C136" t="str" s="33">
        <ns0:v>2x13, 2.54 мм</ns0:v>
      </ns0:c>
      <ns0:c r="D136" t="str" s="34">
        <ns0:f>C136</ns0:f>
        <ns0:v>2x13, 2.54 мм</ns0:v>
      </ns0:c>
      <ns0:c r="E136" s="33"/>
      <ns0:c r="F136" s="33"/>
      <ns0:c r="G136" s="33"/>
      <ns0:c r="H136" t="str" s="35">
        <ns0:v>2x13, P2.54, THT, угловой</ns0:v>
      </ns0:c>
      <ns0:c r="I136" t="str" s="33">
        <ns0:v>CONNFLY</ns0:v>
      </ns0:c>
      <ns0:c r="J136" t="str" s="33">
        <ns0:v>DS1022</ns0:v>
      </ns0:c>
      <ns0:c r="K136" t="str" s="34">
        <ns0:f>B136&amp;" "&amp;D136&amp;" "&amp;J136</ns0:f>
        <ns0:v>Разъём 2x13, 2.54 мм DS1022</ns0:v>
      </ns0:c>
      <ns0:c r="L136" t="str" s="36">
        <ns0:v>XP_26</ns0:v>
      </ns0:c>
      <ns0:c r="M136" t="str" s="36">
        <ns0:v>Symbols\MY_LIB_Connectors.SchLib</ns0:v>
      </ns0:c>
      <ns0:c r="N136" t="str" s="36">
        <ns0:v>CONNFLY_DS1022_2X13</ns0:v>
      </ns0:c>
      <ns0:c r="O136" t="str" s="36">
        <ns0:v>Footprints\MY_LIB_Connectors.PcbLib</ns0:v>
      </ns0:c>
      <ns0:c r="P136" t="str" s="33">
        <ns0:v>Штыревой, угловой;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6" s="33"/>
      <ns0:c r="R136" t="str" s="34">
        <ns0:f>D136</ns0:f>
        <ns0:v>2x13, 2.54 мм</ns0:v>
      </ns0:c>
      <ns0:c r="S136" t="str" s="34">
        <ns0:f>K136</ns0:f>
        <ns0:v>Разъём 2x13, 2.54 мм DS1022</ns0:v>
      </ns0:c>
      <ns0:c r="T136" t="str" s="33">
        <ns0:v>C:\Users\Nomatin\Documents\Altium\MY_LIB\MY_LIB\Datasheets\CONNFLY_DS1022.pdf</ns0:v>
      </ns0:c>
      <ns0:c r="U136" s="33"/>
      <ns0:c r="V136" t="str" s="33">
        <ns0:v>Даташит — локальный</ns0:v>
      </ns0:c>
      <ns0:c r="W136" t="str" s="33">
        <ns0:v>C:\Users\Nomatin\Documents\Altium\MY_LIB\MY_LIB\Datasheets\CONNFLY_DS1022.pdf</ns0:v>
      </ns0:c>
      <ns0:c r="X136" t="str" s="33">
        <ns0:v>Даташит — производитель</ns0:v>
      </ns0:c>
      <ns0:c r="Y136" t="str" s="33">
        <ns0:v>https://en.connfly.com/static/upload/file/pdf/DS1022.pdf</ns0:v>
      </ns0:c>
      <ns0:c r="Z136" t="str" s="33">
        <ns0:v>C:\Users\Nomatin\Documents\Altium\MY_LIB\MY_LIB\Datasheets\CONNFLY_DS1022.pdf</ns0:v>
      </ns0:c>
    </ns0:row>
    <ns0:row xmlns:ns0="http://schemas.openxmlformats.org/spreadsheetml/2006/main" r="137" ht="85" customHeight="1">
      <ns0:c r="A137" t="str" s="33">
        <ns0:v>XP0134</ns0:v>
      </ns0:c>
      <ns0:c r="B137" t="str" s="33">
        <ns0:v>Разъём</ns0:v>
      </ns0:c>
      <ns0:c r="C137" t="str" s="33">
        <ns0:v>2x14, 2.54 мм</ns0:v>
      </ns0:c>
      <ns0:c r="D137" t="str" s="34">
        <ns0:f>C137</ns0:f>
        <ns0:v>2x14, 2.54 мм</ns0:v>
      </ns0:c>
      <ns0:c r="E137" s="33"/>
      <ns0:c r="F137" s="33"/>
      <ns0:c r="G137" s="33"/>
      <ns0:c r="H137" t="str" s="35">
        <ns0:v>2x14, P2.54, THT, угловой</ns0:v>
      </ns0:c>
      <ns0:c r="I137" t="str" s="33">
        <ns0:v>CONNFLY</ns0:v>
      </ns0:c>
      <ns0:c r="J137" t="str" s="33">
        <ns0:v>DS1022</ns0:v>
      </ns0:c>
      <ns0:c r="K137" t="str" s="34">
        <ns0:f>B137&amp;" "&amp;D137&amp;" "&amp;J137</ns0:f>
        <ns0:v>Разъём 2x14, 2.54 мм DS1022</ns0:v>
      </ns0:c>
      <ns0:c r="L137" t="str" s="36">
        <ns0:v>XP_28</ns0:v>
      </ns0:c>
      <ns0:c r="M137" t="str" s="36">
        <ns0:v>Symbols\MY_LIB_Connectors.SchLib</ns0:v>
      </ns0:c>
      <ns0:c r="N137" t="str" s="36">
        <ns0:v>CONNFLY_DS1022_2X14</ns0:v>
      </ns0:c>
      <ns0:c r="O137" t="str" s="36">
        <ns0:v>Footprints\MY_LIB_Connectors.PcbLib</ns0:v>
      </ns0:c>
      <ns0:c r="P137" t="str" s="33">
        <ns0:v>Штыревой, угловой;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7" s="33"/>
      <ns0:c r="R137" t="str" s="34">
        <ns0:f>D137</ns0:f>
        <ns0:v>2x14, 2.54 мм</ns0:v>
      </ns0:c>
      <ns0:c r="S137" t="str" s="34">
        <ns0:f>K137</ns0:f>
        <ns0:v>Разъём 2x14, 2.54 мм DS1022</ns0:v>
      </ns0:c>
      <ns0:c r="T137" t="str" s="33">
        <ns0:v>C:\Users\Nomatin\Documents\Altium\MY_LIB\MY_LIB\Datasheets\CONNFLY_DS1022.pdf</ns0:v>
      </ns0:c>
      <ns0:c r="U137" s="33"/>
      <ns0:c r="V137" t="str" s="33">
        <ns0:v>Даташит — локальный</ns0:v>
      </ns0:c>
      <ns0:c r="W137" t="str" s="33">
        <ns0:v>C:\Users\Nomatin\Documents\Altium\MY_LIB\MY_LIB\Datasheets\CONNFLY_DS1022.pdf</ns0:v>
      </ns0:c>
      <ns0:c r="X137" t="str" s="33">
        <ns0:v>Даташит — производитель</ns0:v>
      </ns0:c>
      <ns0:c r="Y137" t="str" s="33">
        <ns0:v>https://en.connfly.com/static/upload/file/pdf/DS1022.pdf</ns0:v>
      </ns0:c>
      <ns0:c r="Z137" t="str" s="33">
        <ns0:v>C:\Users\Nomatin\Documents\Altium\MY_LIB\MY_LIB\Datasheets\CONNFLY_DS1022.pdf</ns0:v>
      </ns0:c>
    </ns0:row>
    <ns0:row xmlns:ns0="http://schemas.openxmlformats.org/spreadsheetml/2006/main" r="138" ht="85" customHeight="1">
      <ns0:c r="A138" t="str" s="33">
        <ns0:v>XP0135</ns0:v>
      </ns0:c>
      <ns0:c r="B138" t="str" s="33">
        <ns0:v>Разъём</ns0:v>
      </ns0:c>
      <ns0:c r="C138" t="str" s="33">
        <ns0:v>2x15, 2.54 мм</ns0:v>
      </ns0:c>
      <ns0:c r="D138" t="str" s="34">
        <ns0:f>C138</ns0:f>
        <ns0:v>2x15, 2.54 мм</ns0:v>
      </ns0:c>
      <ns0:c r="E138" s="33"/>
      <ns0:c r="F138" s="33"/>
      <ns0:c r="G138" s="33"/>
      <ns0:c r="H138" t="str" s="35">
        <ns0:v>2x15, P2.54, THT, угловой</ns0:v>
      </ns0:c>
      <ns0:c r="I138" t="str" s="33">
        <ns0:v>CONNFLY</ns0:v>
      </ns0:c>
      <ns0:c r="J138" t="str" s="33">
        <ns0:v>DS1022</ns0:v>
      </ns0:c>
      <ns0:c r="K138" t="str" s="34">
        <ns0:f>B138&amp;" "&amp;D138&amp;" "&amp;J138</ns0:f>
        <ns0:v>Разъём 2x15, 2.54 мм DS1022</ns0:v>
      </ns0:c>
      <ns0:c r="L138" t="str" s="36">
        <ns0:v>XP_30</ns0:v>
      </ns0:c>
      <ns0:c r="M138" t="str" s="36">
        <ns0:v>Symbols\MY_LIB_Connectors.SchLib</ns0:v>
      </ns0:c>
      <ns0:c r="N138" t="str" s="36">
        <ns0:v>CONNFLY_DS1022_2X15</ns0:v>
      </ns0:c>
      <ns0:c r="O138" t="str" s="36">
        <ns0:v>Footprints\MY_LIB_Connectors.PcbLib</ns0:v>
      </ns0:c>
      <ns0:c r="P138" t="str" s="33">
        <ns0:v>Штыревой, угловой;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8" s="33"/>
      <ns0:c r="R138" t="str" s="34">
        <ns0:f>D138</ns0:f>
        <ns0:v>2x15, 2.54 мм</ns0:v>
      </ns0:c>
      <ns0:c r="S138" t="str" s="34">
        <ns0:f>K138</ns0:f>
        <ns0:v>Разъём 2x15, 2.54 мм DS1022</ns0:v>
      </ns0:c>
      <ns0:c r="T138" t="str" s="33">
        <ns0:v>C:\Users\Nomatin\Documents\Altium\MY_LIB\MY_LIB\Datasheets\CONNFLY_DS1022.pdf</ns0:v>
      </ns0:c>
      <ns0:c r="U138" s="33"/>
      <ns0:c r="V138" t="str" s="33">
        <ns0:v>Даташит — локальный</ns0:v>
      </ns0:c>
      <ns0:c r="W138" t="str" s="33">
        <ns0:v>C:\Users\Nomatin\Documents\Altium\MY_LIB\MY_LIB\Datasheets\CONNFLY_DS1022.pdf</ns0:v>
      </ns0:c>
      <ns0:c r="X138" t="str" s="33">
        <ns0:v>Даташит — производитель</ns0:v>
      </ns0:c>
      <ns0:c r="Y138" t="str" s="33">
        <ns0:v>https://en.connfly.com/static/upload/file/pdf/DS1022.pdf</ns0:v>
      </ns0:c>
      <ns0:c r="Z138" t="str" s="33">
        <ns0:v>C:\Users\Nomatin\Documents\Altium\MY_LIB\MY_LIB\Datasheets\CONNFLY_DS1022.pdf</ns0:v>
      </ns0:c>
    </ns0:row>
    <ns0:row xmlns:ns0="http://schemas.openxmlformats.org/spreadsheetml/2006/main" r="139" ht="85" customHeight="1">
      <ns0:c r="A139" t="str" s="33">
        <ns0:v>XP0136</ns0:v>
      </ns0:c>
      <ns0:c r="B139" t="str" s="33">
        <ns0:v>Разъём</ns0:v>
      </ns0:c>
      <ns0:c r="C139" t="str" s="33">
        <ns0:v>2x16, 2.54 мм</ns0:v>
      </ns0:c>
      <ns0:c r="D139" t="str" s="34">
        <ns0:f>C139</ns0:f>
        <ns0:v>2x16, 2.54 мм</ns0:v>
      </ns0:c>
      <ns0:c r="E139" s="33"/>
      <ns0:c r="F139" s="33"/>
      <ns0:c r="G139" s="33"/>
      <ns0:c r="H139" t="str" s="35">
        <ns0:v>2x16, P2.54, THT, угловой</ns0:v>
      </ns0:c>
      <ns0:c r="I139" t="str" s="33">
        <ns0:v>CONNFLY</ns0:v>
      </ns0:c>
      <ns0:c r="J139" t="str" s="33">
        <ns0:v>DS1022</ns0:v>
      </ns0:c>
      <ns0:c r="K139" t="str" s="34">
        <ns0:f>B139&amp;" "&amp;D139&amp;" "&amp;J139</ns0:f>
        <ns0:v>Разъём 2x16, 2.54 мм DS1022</ns0:v>
      </ns0:c>
      <ns0:c r="L139" t="str" s="36">
        <ns0:v>XP_32</ns0:v>
      </ns0:c>
      <ns0:c r="M139" t="str" s="36">
        <ns0:v>Symbols\MY_LIB_Connectors.SchLib</ns0:v>
      </ns0:c>
      <ns0:c r="N139" t="str" s="36">
        <ns0:v>CONNFLY_DS1022_2X16</ns0:v>
      </ns0:c>
      <ns0:c r="O139" t="str" s="36">
        <ns0:v>Footprints\MY_LIB_Connectors.PcbLib</ns0:v>
      </ns0:c>
      <ns0:c r="P139" t="str" s="33">
        <ns0:v>Штыревой, угловой;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39" s="33"/>
      <ns0:c r="R139" t="str" s="34">
        <ns0:f>D139</ns0:f>
        <ns0:v>2x16, 2.54 мм</ns0:v>
      </ns0:c>
      <ns0:c r="S139" t="str" s="34">
        <ns0:f>K139</ns0:f>
        <ns0:v>Разъём 2x16, 2.54 мм DS1022</ns0:v>
      </ns0:c>
      <ns0:c r="T139" t="str" s="33">
        <ns0:v>C:\Users\Nomatin\Documents\Altium\MY_LIB\MY_LIB\Datasheets\CONNFLY_DS1022.pdf</ns0:v>
      </ns0:c>
      <ns0:c r="U139" s="33"/>
      <ns0:c r="V139" t="str" s="33">
        <ns0:v>Даташит — локальный</ns0:v>
      </ns0:c>
      <ns0:c r="W139" t="str" s="33">
        <ns0:v>C:\Users\Nomatin\Documents\Altium\MY_LIB\MY_LIB\Datasheets\CONNFLY_DS1022.pdf</ns0:v>
      </ns0:c>
      <ns0:c r="X139" t="str" s="33">
        <ns0:v>Даташит — производитель</ns0:v>
      </ns0:c>
      <ns0:c r="Y139" t="str" s="33">
        <ns0:v>https://en.connfly.com/static/upload/file/pdf/DS1022.pdf</ns0:v>
      </ns0:c>
      <ns0:c r="Z139" t="str" s="33">
        <ns0:v>C:\Users\Nomatin\Documents\Altium\MY_LIB\MY_LIB\Datasheets\CONNFLY_DS1022.pdf</ns0:v>
      </ns0:c>
    </ns0:row>
    <ns0:row xmlns:ns0="http://schemas.openxmlformats.org/spreadsheetml/2006/main" r="140" ht="85" customHeight="1">
      <ns0:c r="A140" t="str" s="33">
        <ns0:v>XP0137</ns0:v>
      </ns0:c>
      <ns0:c r="B140" t="str" s="33">
        <ns0:v>Разъём</ns0:v>
      </ns0:c>
      <ns0:c r="C140" t="str" s="33">
        <ns0:v>2x17, 2.54 мм</ns0:v>
      </ns0:c>
      <ns0:c r="D140" t="str" s="34">
        <ns0:f>C140</ns0:f>
        <ns0:v>2x17, 2.54 мм</ns0:v>
      </ns0:c>
      <ns0:c r="E140" s="33"/>
      <ns0:c r="F140" s="33"/>
      <ns0:c r="G140" s="33"/>
      <ns0:c r="H140" t="str" s="35">
        <ns0:v>2x17, P2.54, THT, угловой</ns0:v>
      </ns0:c>
      <ns0:c r="I140" t="str" s="33">
        <ns0:v>CONNFLY</ns0:v>
      </ns0:c>
      <ns0:c r="J140" t="str" s="33">
        <ns0:v>DS1022</ns0:v>
      </ns0:c>
      <ns0:c r="K140" t="str" s="34">
        <ns0:f>B140&amp;" "&amp;D140&amp;" "&amp;J140</ns0:f>
        <ns0:v>Разъём 2x17, 2.54 мм DS1022</ns0:v>
      </ns0:c>
      <ns0:c r="L140" t="str" s="36">
        <ns0:v>XP_34</ns0:v>
      </ns0:c>
      <ns0:c r="M140" t="str" s="36">
        <ns0:v>Symbols\MY_LIB_Connectors.SchLib</ns0:v>
      </ns0:c>
      <ns0:c r="N140" t="str" s="36">
        <ns0:v>CONNFLY_DS1022_2X17</ns0:v>
      </ns0:c>
      <ns0:c r="O140" t="str" s="36">
        <ns0:v>Footprints\MY_LIB_Connectors.PcbLib</ns0:v>
      </ns0:c>
      <ns0:c r="P140" t="str" s="33">
        <ns0:v>Штыревой, угловой;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0" s="33"/>
      <ns0:c r="R140" t="str" s="34">
        <ns0:f>D140</ns0:f>
        <ns0:v>2x17, 2.54 мм</ns0:v>
      </ns0:c>
      <ns0:c r="S140" t="str" s="34">
        <ns0:f>K140</ns0:f>
        <ns0:v>Разъём 2x17, 2.54 мм DS1022</ns0:v>
      </ns0:c>
      <ns0:c r="T140" t="str" s="33">
        <ns0:v>C:\Users\Nomatin\Documents\Altium\MY_LIB\MY_LIB\Datasheets\CONNFLY_DS1022.pdf</ns0:v>
      </ns0:c>
      <ns0:c r="U140" s="33"/>
      <ns0:c r="V140" t="str" s="33">
        <ns0:v>Даташит — локальный</ns0:v>
      </ns0:c>
      <ns0:c r="W140" t="str" s="33">
        <ns0:v>C:\Users\Nomatin\Documents\Altium\MY_LIB\MY_LIB\Datasheets\CONNFLY_DS1022.pdf</ns0:v>
      </ns0:c>
      <ns0:c r="X140" t="str" s="33">
        <ns0:v>Даташит — производитель</ns0:v>
      </ns0:c>
      <ns0:c r="Y140" t="str" s="33">
        <ns0:v>https://en.connfly.com/static/upload/file/pdf/DS1022.pdf</ns0:v>
      </ns0:c>
      <ns0:c r="Z140" t="str" s="33">
        <ns0:v>C:\Users\Nomatin\Documents\Altium\MY_LIB\MY_LIB\Datasheets\CONNFLY_DS1022.pdf</ns0:v>
      </ns0:c>
    </ns0:row>
    <ns0:row xmlns:ns0="http://schemas.openxmlformats.org/spreadsheetml/2006/main" r="141" ht="85" customHeight="1">
      <ns0:c r="A141" t="str" s="33">
        <ns0:v>XP0138</ns0:v>
      </ns0:c>
      <ns0:c r="B141" t="str" s="33">
        <ns0:v>Разъём</ns0:v>
      </ns0:c>
      <ns0:c r="C141" t="str" s="33">
        <ns0:v>2x18, 2.54 мм</ns0:v>
      </ns0:c>
      <ns0:c r="D141" t="str" s="34">
        <ns0:f>C141</ns0:f>
        <ns0:v>2x18, 2.54 мм</ns0:v>
      </ns0:c>
      <ns0:c r="E141" s="33"/>
      <ns0:c r="F141" s="33"/>
      <ns0:c r="G141" s="33"/>
      <ns0:c r="H141" t="str" s="35">
        <ns0:v>2x18, P2.54, THT, угловой</ns0:v>
      </ns0:c>
      <ns0:c r="I141" t="str" s="33">
        <ns0:v>CONNFLY</ns0:v>
      </ns0:c>
      <ns0:c r="J141" t="str" s="33">
        <ns0:v>DS1022</ns0:v>
      </ns0:c>
      <ns0:c r="K141" t="str" s="34">
        <ns0:f>B141&amp;" "&amp;D141&amp;" "&amp;J141</ns0:f>
        <ns0:v>Разъём 2x18, 2.54 мм DS1022</ns0:v>
      </ns0:c>
      <ns0:c r="L141" t="str" s="36">
        <ns0:v>XP_36</ns0:v>
      </ns0:c>
      <ns0:c r="M141" t="str" s="36">
        <ns0:v>Symbols\MY_LIB_Connectors.SchLib</ns0:v>
      </ns0:c>
      <ns0:c r="N141" t="str" s="36">
        <ns0:v>CONNFLY_DS1022_2X18</ns0:v>
      </ns0:c>
      <ns0:c r="O141" t="str" s="36">
        <ns0:v>Footprints\MY_LIB_Connectors.PcbLib</ns0:v>
      </ns0:c>
      <ns0:c r="P141" t="str" s="33">
        <ns0:v>Штыревой, угловой;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1" s="33"/>
      <ns0:c r="R141" t="str" s="34">
        <ns0:f>D141</ns0:f>
        <ns0:v>2x18, 2.54 мм</ns0:v>
      </ns0:c>
      <ns0:c r="S141" t="str" s="34">
        <ns0:f>K141</ns0:f>
        <ns0:v>Разъём 2x18, 2.54 мм DS1022</ns0:v>
      </ns0:c>
      <ns0:c r="T141" t="str" s="33">
        <ns0:v>C:\Users\Nomatin\Documents\Altium\MY_LIB\MY_LIB\Datasheets\CONNFLY_DS1022.pdf</ns0:v>
      </ns0:c>
      <ns0:c r="U141" s="33"/>
      <ns0:c r="V141" t="str" s="33">
        <ns0:v>Даташит — локальный</ns0:v>
      </ns0:c>
      <ns0:c r="W141" t="str" s="33">
        <ns0:v>C:\Users\Nomatin\Documents\Altium\MY_LIB\MY_LIB\Datasheets\CONNFLY_DS1022.pdf</ns0:v>
      </ns0:c>
      <ns0:c r="X141" t="str" s="33">
        <ns0:v>Даташит — производитель</ns0:v>
      </ns0:c>
      <ns0:c r="Y141" t="str" s="33">
        <ns0:v>https://en.connfly.com/static/upload/file/pdf/DS1022.pdf</ns0:v>
      </ns0:c>
      <ns0:c r="Z141" t="str" s="33">
        <ns0:v>C:\Users\Nomatin\Documents\Altium\MY_LIB\MY_LIB\Datasheets\CONNFLY_DS1022.pdf</ns0:v>
      </ns0:c>
    </ns0:row>
    <ns0:row xmlns:ns0="http://schemas.openxmlformats.org/spreadsheetml/2006/main" r="142" ht="85" customHeight="1">
      <ns0:c r="A142" t="str" s="33">
        <ns0:v>XP0139</ns0:v>
      </ns0:c>
      <ns0:c r="B142" t="str" s="33">
        <ns0:v>Разъём</ns0:v>
      </ns0:c>
      <ns0:c r="C142" t="str" s="33">
        <ns0:v>2x19, 2.54 мм</ns0:v>
      </ns0:c>
      <ns0:c r="D142" t="str" s="34">
        <ns0:f>C142</ns0:f>
        <ns0:v>2x19, 2.54 мм</ns0:v>
      </ns0:c>
      <ns0:c r="E142" s="33"/>
      <ns0:c r="F142" s="33"/>
      <ns0:c r="G142" s="33"/>
      <ns0:c r="H142" t="str" s="35">
        <ns0:v>2x19, P2.54, THT, угловой</ns0:v>
      </ns0:c>
      <ns0:c r="I142" t="str" s="33">
        <ns0:v>CONNFLY</ns0:v>
      </ns0:c>
      <ns0:c r="J142" t="str" s="33">
        <ns0:v>DS1022</ns0:v>
      </ns0:c>
      <ns0:c r="K142" t="str" s="34">
        <ns0:f>B142&amp;" "&amp;D142&amp;" "&amp;J142</ns0:f>
        <ns0:v>Разъём 2x19, 2.54 мм DS1022</ns0:v>
      </ns0:c>
      <ns0:c r="L142" t="str" s="36">
        <ns0:v>XP_38</ns0:v>
      </ns0:c>
      <ns0:c r="M142" t="str" s="36">
        <ns0:v>Symbols\MY_LIB_Connectors.SchLib</ns0:v>
      </ns0:c>
      <ns0:c r="N142" t="str" s="36">
        <ns0:v>CONNFLY_DS1022_2X19</ns0:v>
      </ns0:c>
      <ns0:c r="O142" t="str" s="36">
        <ns0:v>Footprints\MY_LIB_Connectors.PcbLib</ns0:v>
      </ns0:c>
      <ns0:c r="P142" t="str" s="33">
        <ns0:v>Штыревой, угловой;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2" s="33"/>
      <ns0:c r="R142" t="str" s="34">
        <ns0:f>D142</ns0:f>
        <ns0:v>2x19, 2.54 мм</ns0:v>
      </ns0:c>
      <ns0:c r="S142" t="str" s="34">
        <ns0:f>K142</ns0:f>
        <ns0:v>Разъём 2x19, 2.54 мм DS1022</ns0:v>
      </ns0:c>
      <ns0:c r="T142" t="str" s="33">
        <ns0:v>C:\Users\Nomatin\Documents\Altium\MY_LIB\MY_LIB\Datasheets\CONNFLY_DS1022.pdf</ns0:v>
      </ns0:c>
      <ns0:c r="U142" s="33"/>
      <ns0:c r="V142" t="str" s="33">
        <ns0:v>Даташит — локальный</ns0:v>
      </ns0:c>
      <ns0:c r="W142" t="str" s="33">
        <ns0:v>C:\Users\Nomatin\Documents\Altium\MY_LIB\MY_LIB\Datasheets\CONNFLY_DS1022.pdf</ns0:v>
      </ns0:c>
      <ns0:c r="X142" t="str" s="33">
        <ns0:v>Даташит — производитель</ns0:v>
      </ns0:c>
      <ns0:c r="Y142" t="str" s="33">
        <ns0:v>https://en.connfly.com/static/upload/file/pdf/DS1022.pdf</ns0:v>
      </ns0:c>
      <ns0:c r="Z142" t="str" s="33">
        <ns0:v>C:\Users\Nomatin\Documents\Altium\MY_LIB\MY_LIB\Datasheets\CONNFLY_DS1022.pdf</ns0:v>
      </ns0:c>
    </ns0:row>
    <ns0:row xmlns:ns0="http://schemas.openxmlformats.org/spreadsheetml/2006/main" r="143" ht="85" customHeight="1">
      <ns0:c r="A143" t="str" s="33">
        <ns0:v>XP0140</ns0:v>
      </ns0:c>
      <ns0:c r="B143" t="str" s="33">
        <ns0:v>Разъём</ns0:v>
      </ns0:c>
      <ns0:c r="C143" t="str" s="33">
        <ns0:v>2x20, 2.54 мм</ns0:v>
      </ns0:c>
      <ns0:c r="D143" t="str" s="34">
        <ns0:f>C143</ns0:f>
        <ns0:v>2x20, 2.54 мм</ns0:v>
      </ns0:c>
      <ns0:c r="E143" s="33"/>
      <ns0:c r="F143" s="33"/>
      <ns0:c r="G143" s="33"/>
      <ns0:c r="H143" t="str" s="35">
        <ns0:v>2x20, P2.54, THT, угловой</ns0:v>
      </ns0:c>
      <ns0:c r="I143" t="str" s="33">
        <ns0:v>CONNFLY</ns0:v>
      </ns0:c>
      <ns0:c r="J143" t="str" s="33">
        <ns0:v>DS1022</ns0:v>
      </ns0:c>
      <ns0:c r="K143" t="str" s="34">
        <ns0:f>B143&amp;" "&amp;D143&amp;" "&amp;J143</ns0:f>
        <ns0:v>Разъём 2x20, 2.54 мм DS1022</ns0:v>
      </ns0:c>
      <ns0:c r="L143" t="str" s="36">
        <ns0:v>XP_40</ns0:v>
      </ns0:c>
      <ns0:c r="M143" t="str" s="36">
        <ns0:v>Symbols\MY_LIB_Connectors.SchLib</ns0:v>
      </ns0:c>
      <ns0:c r="N143" t="str" s="36">
        <ns0:v>CONNFLY_DS1022_2X20</ns0:v>
      </ns0:c>
      <ns0:c r="O143" t="str" s="36">
        <ns0:v>Footprints\MY_LIB_Connectors.PcbLib</ns0:v>
      </ns0:c>
      <ns0:c r="P143" t="str" s="33">
        <ns0:v>Штыревой, угловой;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3" s="33"/>
      <ns0:c r="R143" t="str" s="34">
        <ns0:f>D143</ns0:f>
        <ns0:v>2x20, 2.54 мм</ns0:v>
      </ns0:c>
      <ns0:c r="S143" t="str" s="34">
        <ns0:f>K143</ns0:f>
        <ns0:v>Разъём 2x20, 2.54 мм DS1022</ns0:v>
      </ns0:c>
      <ns0:c r="T143" t="str" s="33">
        <ns0:v>C:\Users\Nomatin\Documents\Altium\MY_LIB\MY_LIB\Datasheets\CONNFLY_DS1022.pdf</ns0:v>
      </ns0:c>
      <ns0:c r="U143" s="33"/>
      <ns0:c r="V143" t="str" s="33">
        <ns0:v>Даташит — локальный</ns0:v>
      </ns0:c>
      <ns0:c r="W143" t="str" s="33">
        <ns0:v>C:\Users\Nomatin\Documents\Altium\MY_LIB\MY_LIB\Datasheets\CONNFLY_DS1022.pdf</ns0:v>
      </ns0:c>
      <ns0:c r="X143" t="str" s="33">
        <ns0:v>Даташит — производитель</ns0:v>
      </ns0:c>
      <ns0:c r="Y143" t="str" s="33">
        <ns0:v>https://en.connfly.com/static/upload/file/pdf/DS1022.pdf</ns0:v>
      </ns0:c>
      <ns0:c r="Z143" t="str" s="33">
        <ns0:v>C:\Users\Nomatin\Documents\Altium\MY_LIB\MY_LIB\Datasheets\CONNFLY_DS1022.pdf</ns0:v>
      </ns0:c>
    </ns0:row>
    <ns0:row xmlns:ns0="http://schemas.openxmlformats.org/spreadsheetml/2006/main" r="144" ht="85" customHeight="1">
      <ns0:c r="A144" t="str" s="33">
        <ns0:v>XP0141</ns0:v>
      </ns0:c>
      <ns0:c r="B144" t="str" s="33">
        <ns0:v>Разъём</ns0:v>
      </ns0:c>
      <ns0:c r="C144" t="str" s="33">
        <ns0:v>2x21, 2.54 мм</ns0:v>
      </ns0:c>
      <ns0:c r="D144" t="str" s="34">
        <ns0:f>C144</ns0:f>
        <ns0:v>2x21, 2.54 мм</ns0:v>
      </ns0:c>
      <ns0:c r="E144" s="33"/>
      <ns0:c r="F144" s="33"/>
      <ns0:c r="G144" s="33"/>
      <ns0:c r="H144" t="str" s="35">
        <ns0:v>2x21, P2.54, THT, угловой</ns0:v>
      </ns0:c>
      <ns0:c r="I144" t="str" s="33">
        <ns0:v>CONNFLY</ns0:v>
      </ns0:c>
      <ns0:c r="J144" t="str" s="33">
        <ns0:v>DS1022</ns0:v>
      </ns0:c>
      <ns0:c r="K144" t="str" s="34">
        <ns0:f>B144&amp;" "&amp;D144&amp;" "&amp;J144</ns0:f>
        <ns0:v>Разъём 2x21, 2.54 мм DS1022</ns0:v>
      </ns0:c>
      <ns0:c r="L144" t="str" s="36">
        <ns0:v>XP_42</ns0:v>
      </ns0:c>
      <ns0:c r="M144" t="str" s="36">
        <ns0:v>Symbols\MY_LIB_Connectors.SchLib</ns0:v>
      </ns0:c>
      <ns0:c r="N144" t="str" s="36">
        <ns0:v>CONNFLY_DS1022_2X21</ns0:v>
      </ns0:c>
      <ns0:c r="O144" t="str" s="36">
        <ns0:v>Footprints\MY_LIB_Connectors.PcbLib</ns0:v>
      </ns0:c>
      <ns0:c r="P144" t="str" s="33">
        <ns0:v>Штыревой, угловой; 42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4" s="33"/>
      <ns0:c r="R144" t="str" s="34">
        <ns0:f>D144</ns0:f>
        <ns0:v>2x21, 2.54 мм</ns0:v>
      </ns0:c>
      <ns0:c r="S144" t="str" s="34">
        <ns0:f>K144</ns0:f>
        <ns0:v>Разъём 2x21, 2.54 мм DS1022</ns0:v>
      </ns0:c>
      <ns0:c r="T144" t="str" s="33">
        <ns0:v>C:\Users\Nomatin\Documents\Altium\MY_LIB\MY_LIB\Datasheets\CONNFLY_DS1022.pdf</ns0:v>
      </ns0:c>
      <ns0:c r="U144" s="33"/>
      <ns0:c r="V144" t="str" s="33">
        <ns0:v>Даташит — локальный</ns0:v>
      </ns0:c>
      <ns0:c r="W144" t="str" s="33">
        <ns0:v>C:\Users\Nomatin\Documents\Altium\MY_LIB\MY_LIB\Datasheets\CONNFLY_DS1022.pdf</ns0:v>
      </ns0:c>
      <ns0:c r="X144" t="str" s="33">
        <ns0:v>Даташит — производитель</ns0:v>
      </ns0:c>
      <ns0:c r="Y144" t="str" s="33">
        <ns0:v>https://en.connfly.com/static/upload/file/pdf/DS1022.pdf</ns0:v>
      </ns0:c>
      <ns0:c r="Z144" t="str" s="33">
        <ns0:v>C:\Users\Nomatin\Documents\Altium\MY_LIB\MY_LIB\Datasheets\CONNFLY_DS1022.pdf</ns0:v>
      </ns0:c>
    </ns0:row>
    <ns0:row xmlns:ns0="http://schemas.openxmlformats.org/spreadsheetml/2006/main" r="145" ht="85" customHeight="1">
      <ns0:c r="A145" t="str" s="33">
        <ns0:v>XP0142</ns0:v>
      </ns0:c>
      <ns0:c r="B145" t="str" s="33">
        <ns0:v>Разъём</ns0:v>
      </ns0:c>
      <ns0:c r="C145" t="str" s="33">
        <ns0:v>2x22, 2.54 мм</ns0:v>
      </ns0:c>
      <ns0:c r="D145" t="str" s="34">
        <ns0:f>C145</ns0:f>
        <ns0:v>2x22, 2.54 мм</ns0:v>
      </ns0:c>
      <ns0:c r="E145" s="33"/>
      <ns0:c r="F145" s="33"/>
      <ns0:c r="G145" s="33"/>
      <ns0:c r="H145" t="str" s="35">
        <ns0:v>2x22, P2.54, THT, угловой</ns0:v>
      </ns0:c>
      <ns0:c r="I145" t="str" s="33">
        <ns0:v>CONNFLY</ns0:v>
      </ns0:c>
      <ns0:c r="J145" t="str" s="33">
        <ns0:v>DS1022</ns0:v>
      </ns0:c>
      <ns0:c r="K145" t="str" s="34">
        <ns0:f>B145&amp;" "&amp;D145&amp;" "&amp;J145</ns0:f>
        <ns0:v>Разъём 2x22, 2.54 мм DS1022</ns0:v>
      </ns0:c>
      <ns0:c r="L145" t="str" s="36">
        <ns0:v>XP_44</ns0:v>
      </ns0:c>
      <ns0:c r="M145" t="str" s="36">
        <ns0:v>Symbols\MY_LIB_Connectors.SchLib</ns0:v>
      </ns0:c>
      <ns0:c r="N145" t="str" s="36">
        <ns0:v>CONNFLY_DS1022_2X22</ns0:v>
      </ns0:c>
      <ns0:c r="O145" t="str" s="36">
        <ns0:v>Footprints\MY_LIB_Connectors.PcbLib</ns0:v>
      </ns0:c>
      <ns0:c r="P145" t="str" s="33">
        <ns0:v>Штыревой, угловой; 44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5" s="33"/>
      <ns0:c r="R145" t="str" s="34">
        <ns0:f>D145</ns0:f>
        <ns0:v>2x22, 2.54 мм</ns0:v>
      </ns0:c>
      <ns0:c r="S145" t="str" s="34">
        <ns0:f>K145</ns0:f>
        <ns0:v>Разъём 2x22, 2.54 мм DS1022</ns0:v>
      </ns0:c>
      <ns0:c r="T145" t="str" s="33">
        <ns0:v>C:\Users\Nomatin\Documents\Altium\MY_LIB\MY_LIB\Datasheets\CONNFLY_DS1022.pdf</ns0:v>
      </ns0:c>
      <ns0:c r="U145" s="33"/>
      <ns0:c r="V145" t="str" s="33">
        <ns0:v>Даташит — локальный</ns0:v>
      </ns0:c>
      <ns0:c r="W145" t="str" s="33">
        <ns0:v>C:\Users\Nomatin\Documents\Altium\MY_LIB\MY_LIB\Datasheets\CONNFLY_DS1022.pdf</ns0:v>
      </ns0:c>
      <ns0:c r="X145" t="str" s="33">
        <ns0:v>Даташит — производитель</ns0:v>
      </ns0:c>
      <ns0:c r="Y145" t="str" s="33">
        <ns0:v>https://en.connfly.com/static/upload/file/pdf/DS1022.pdf</ns0:v>
      </ns0:c>
      <ns0:c r="Z145" t="str" s="33">
        <ns0:v>C:\Users\Nomatin\Documents\Altium\MY_LIB\MY_LIB\Datasheets\CONNFLY_DS1022.pdf</ns0:v>
      </ns0:c>
    </ns0:row>
    <ns0:row xmlns:ns0="http://schemas.openxmlformats.org/spreadsheetml/2006/main" r="146" ht="85" customHeight="1">
      <ns0:c r="A146" t="str" s="33">
        <ns0:v>XP0143</ns0:v>
      </ns0:c>
      <ns0:c r="B146" t="str" s="33">
        <ns0:v>Разъём</ns0:v>
      </ns0:c>
      <ns0:c r="C146" t="str" s="33">
        <ns0:v>2x23, 2.54 мм</ns0:v>
      </ns0:c>
      <ns0:c r="D146" t="str" s="34">
        <ns0:f>C146</ns0:f>
        <ns0:v>2x23, 2.54 мм</ns0:v>
      </ns0:c>
      <ns0:c r="E146" s="33"/>
      <ns0:c r="F146" s="33"/>
      <ns0:c r="G146" s="33"/>
      <ns0:c r="H146" t="str" s="35">
        <ns0:v>2x23, P2.54, THT, угловой</ns0:v>
      </ns0:c>
      <ns0:c r="I146" t="str" s="33">
        <ns0:v>CONNFLY</ns0:v>
      </ns0:c>
      <ns0:c r="J146" t="str" s="33">
        <ns0:v>DS1022</ns0:v>
      </ns0:c>
      <ns0:c r="K146" t="str" s="34">
        <ns0:f>B146&amp;" "&amp;D146&amp;" "&amp;J146</ns0:f>
        <ns0:v>Разъём 2x23, 2.54 мм DS1022</ns0:v>
      </ns0:c>
      <ns0:c r="L146" t="str" s="36">
        <ns0:v>XP_46</ns0:v>
      </ns0:c>
      <ns0:c r="M146" t="str" s="36">
        <ns0:v>Symbols\MY_LIB_Connectors.SchLib</ns0:v>
      </ns0:c>
      <ns0:c r="N146" t="str" s="36">
        <ns0:v>CONNFLY_DS1022_2X23</ns0:v>
      </ns0:c>
      <ns0:c r="O146" t="str" s="36">
        <ns0:v>Footprints\MY_LIB_Connectors.PcbLib</ns0:v>
      </ns0:c>
      <ns0:c r="P146" t="str" s="33">
        <ns0:v>Штыревой, угловой; 46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6" s="33"/>
      <ns0:c r="R146" t="str" s="34">
        <ns0:f>D146</ns0:f>
        <ns0:v>2x23, 2.54 мм</ns0:v>
      </ns0:c>
      <ns0:c r="S146" t="str" s="34">
        <ns0:f>K146</ns0:f>
        <ns0:v>Разъём 2x23, 2.54 мм DS1022</ns0:v>
      </ns0:c>
      <ns0:c r="T146" t="str" s="33">
        <ns0:v>C:\Users\Nomatin\Documents\Altium\MY_LIB\MY_LIB\Datasheets\CONNFLY_DS1022.pdf</ns0:v>
      </ns0:c>
      <ns0:c r="U146" s="33"/>
      <ns0:c r="V146" t="str" s="33">
        <ns0:v>Даташит — локальный</ns0:v>
      </ns0:c>
      <ns0:c r="W146" t="str" s="33">
        <ns0:v>C:\Users\Nomatin\Documents\Altium\MY_LIB\MY_LIB\Datasheets\CONNFLY_DS1022.pdf</ns0:v>
      </ns0:c>
      <ns0:c r="X146" t="str" s="33">
        <ns0:v>Даташит — производитель</ns0:v>
      </ns0:c>
      <ns0:c r="Y146" t="str" s="33">
        <ns0:v>https://en.connfly.com/static/upload/file/pdf/DS1022.pdf</ns0:v>
      </ns0:c>
      <ns0:c r="Z146" t="str" s="33">
        <ns0:v>C:\Users\Nomatin\Documents\Altium\MY_LIB\MY_LIB\Datasheets\CONNFLY_DS1022.pdf</ns0:v>
      </ns0:c>
    </ns0:row>
    <ns0:row xmlns:ns0="http://schemas.openxmlformats.org/spreadsheetml/2006/main" r="147" ht="85" customHeight="1">
      <ns0:c r="A147" t="str" s="33">
        <ns0:v>XP0144</ns0:v>
      </ns0:c>
      <ns0:c r="B147" t="str" s="33">
        <ns0:v>Разъём</ns0:v>
      </ns0:c>
      <ns0:c r="C147" t="str" s="33">
        <ns0:v>2x24, 2.54 мм</ns0:v>
      </ns0:c>
      <ns0:c r="D147" t="str" s="34">
        <ns0:f>C147</ns0:f>
        <ns0:v>2x24, 2.54 мм</ns0:v>
      </ns0:c>
      <ns0:c r="E147" s="33"/>
      <ns0:c r="F147" s="33"/>
      <ns0:c r="G147" s="33"/>
      <ns0:c r="H147" t="str" s="35">
        <ns0:v>2x24, P2.54, THT, угловой</ns0:v>
      </ns0:c>
      <ns0:c r="I147" t="str" s="33">
        <ns0:v>CONNFLY</ns0:v>
      </ns0:c>
      <ns0:c r="J147" t="str" s="33">
        <ns0:v>DS1022</ns0:v>
      </ns0:c>
      <ns0:c r="K147" t="str" s="34">
        <ns0:f>B147&amp;" "&amp;D147&amp;" "&amp;J147</ns0:f>
        <ns0:v>Разъём 2x24, 2.54 мм DS1022</ns0:v>
      </ns0:c>
      <ns0:c r="L147" t="str" s="36">
        <ns0:v>XP_48</ns0:v>
      </ns0:c>
      <ns0:c r="M147" t="str" s="36">
        <ns0:v>Symbols\MY_LIB_Connectors.SchLib</ns0:v>
      </ns0:c>
      <ns0:c r="N147" t="str" s="36">
        <ns0:v>CONNFLY_DS1022_2X24</ns0:v>
      </ns0:c>
      <ns0:c r="O147" t="str" s="36">
        <ns0:v>Footprints\MY_LIB_Connectors.PcbLib</ns0:v>
      </ns0:c>
      <ns0:c r="P147" t="str" s="33">
        <ns0:v>Штыревой, угловой; 48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7" s="33"/>
      <ns0:c r="R147" t="str" s="34">
        <ns0:f>D147</ns0:f>
        <ns0:v>2x24, 2.54 мм</ns0:v>
      </ns0:c>
      <ns0:c r="S147" t="str" s="34">
        <ns0:f>K147</ns0:f>
        <ns0:v>Разъём 2x24, 2.54 мм DS1022</ns0:v>
      </ns0:c>
      <ns0:c r="T147" t="str" s="33">
        <ns0:v>C:\Users\Nomatin\Documents\Altium\MY_LIB\MY_LIB\Datasheets\CONNFLY_DS1022.pdf</ns0:v>
      </ns0:c>
      <ns0:c r="U147" s="33"/>
      <ns0:c r="V147" t="str" s="33">
        <ns0:v>Даташит — локальный</ns0:v>
      </ns0:c>
      <ns0:c r="W147" t="str" s="33">
        <ns0:v>C:\Users\Nomatin\Documents\Altium\MY_LIB\MY_LIB\Datasheets\CONNFLY_DS1022.pdf</ns0:v>
      </ns0:c>
      <ns0:c r="X147" t="str" s="33">
        <ns0:v>Даташит — производитель</ns0:v>
      </ns0:c>
      <ns0:c r="Y147" t="str" s="33">
        <ns0:v>https://en.connfly.com/static/upload/file/pdf/DS1022.pdf</ns0:v>
      </ns0:c>
      <ns0:c r="Z147" t="str" s="33">
        <ns0:v>C:\Users\Nomatin\Documents\Altium\MY_LIB\MY_LIB\Datasheets\CONNFLY_DS1022.pdf</ns0:v>
      </ns0:c>
    </ns0:row>
    <ns0:row xmlns:ns0="http://schemas.openxmlformats.org/spreadsheetml/2006/main" r="148" ht="85" customHeight="1">
      <ns0:c r="A148" t="str" s="33">
        <ns0:v>XP0145</ns0:v>
      </ns0:c>
      <ns0:c r="B148" t="str" s="33">
        <ns0:v>Разъём</ns0:v>
      </ns0:c>
      <ns0:c r="C148" t="str" s="33">
        <ns0:v>2x25, 2.54 мм</ns0:v>
      </ns0:c>
      <ns0:c r="D148" t="str" s="34">
        <ns0:f>C148</ns0:f>
        <ns0:v>2x25, 2.54 мм</ns0:v>
      </ns0:c>
      <ns0:c r="E148" s="33"/>
      <ns0:c r="F148" s="33"/>
      <ns0:c r="G148" s="33"/>
      <ns0:c r="H148" t="str" s="35">
        <ns0:v>2x25, P2.54, THT, угловой</ns0:v>
      </ns0:c>
      <ns0:c r="I148" t="str" s="33">
        <ns0:v>CONNFLY</ns0:v>
      </ns0:c>
      <ns0:c r="J148" t="str" s="33">
        <ns0:v>DS1022</ns0:v>
      </ns0:c>
      <ns0:c r="K148" t="str" s="34">
        <ns0:f>B148&amp;" "&amp;D148&amp;" "&amp;J148</ns0:f>
        <ns0:v>Разъём 2x25, 2.54 мм DS1022</ns0:v>
      </ns0:c>
      <ns0:c r="L148" t="str" s="36">
        <ns0:v>XP_50</ns0:v>
      </ns0:c>
      <ns0:c r="M148" t="str" s="36">
        <ns0:v>Symbols\MY_LIB_Connectors.SchLib</ns0:v>
      </ns0:c>
      <ns0:c r="N148" t="str" s="36">
        <ns0:v>CONNFLY_DS1022_2X25</ns0:v>
      </ns0:c>
      <ns0:c r="O148" t="str" s="36">
        <ns0:v>Footprints\MY_LIB_Connectors.PcbLib</ns0:v>
      </ns0:c>
      <ns0:c r="P148" t="str" s="33">
        <ns0:v>Штыревой, угловой; 50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8" s="33"/>
      <ns0:c r="R148" t="str" s="34">
        <ns0:f>D148</ns0:f>
        <ns0:v>2x25, 2.54 мм</ns0:v>
      </ns0:c>
      <ns0:c r="S148" t="str" s="34">
        <ns0:f>K148</ns0:f>
        <ns0:v>Разъём 2x25, 2.54 мм DS1022</ns0:v>
      </ns0:c>
      <ns0:c r="T148" t="str" s="33">
        <ns0:v>C:\Users\Nomatin\Documents\Altium\MY_LIB\MY_LIB\Datasheets\CONNFLY_DS1022.pdf</ns0:v>
      </ns0:c>
      <ns0:c r="U148" s="33"/>
      <ns0:c r="V148" t="str" s="33">
        <ns0:v>Даташит — локальный</ns0:v>
      </ns0:c>
      <ns0:c r="W148" t="str" s="33">
        <ns0:v>C:\Users\Nomatin\Documents\Altium\MY_LIB\MY_LIB\Datasheets\CONNFLY_DS1022.pdf</ns0:v>
      </ns0:c>
      <ns0:c r="X148" t="str" s="33">
        <ns0:v>Даташит — производитель</ns0:v>
      </ns0:c>
      <ns0:c r="Y148" t="str" s="33">
        <ns0:v>https://en.connfly.com/static/upload/file/pdf/DS1022.pdf</ns0:v>
      </ns0:c>
      <ns0:c r="Z148" t="str" s="33">
        <ns0:v>C:\Users\Nomatin\Documents\Altium\MY_LIB\MY_LIB\Datasheets\CONNFLY_DS1022.pdf</ns0:v>
      </ns0:c>
    </ns0:row>
    <ns0:row xmlns:ns0="http://schemas.openxmlformats.org/spreadsheetml/2006/main" r="149" ht="85" customHeight="1">
      <ns0:c r="A149" t="str" s="33">
        <ns0:v>XP0146</ns0:v>
      </ns0:c>
      <ns0:c r="B149" t="str" s="33">
        <ns0:v>Разъём</ns0:v>
      </ns0:c>
      <ns0:c r="C149" t="str" s="33">
        <ns0:v>2x26, 2.54 мм</ns0:v>
      </ns0:c>
      <ns0:c r="D149" t="str" s="34">
        <ns0:f>C149</ns0:f>
        <ns0:v>2x26, 2.54 мм</ns0:v>
      </ns0:c>
      <ns0:c r="E149" s="33"/>
      <ns0:c r="F149" s="33"/>
      <ns0:c r="G149" s="33"/>
      <ns0:c r="H149" t="str" s="35">
        <ns0:v>2x26, P2.54, THT, угловой</ns0:v>
      </ns0:c>
      <ns0:c r="I149" t="str" s="33">
        <ns0:v>CONNFLY</ns0:v>
      </ns0:c>
      <ns0:c r="J149" t="str" s="33">
        <ns0:v>DS1022</ns0:v>
      </ns0:c>
      <ns0:c r="K149" t="str" s="34">
        <ns0:f>B149&amp;" "&amp;D149&amp;" "&amp;J149</ns0:f>
        <ns0:v>Разъём 2x26, 2.54 мм DS1022</ns0:v>
      </ns0:c>
      <ns0:c r="L149" t="str" s="36">
        <ns0:v>XP_52</ns0:v>
      </ns0:c>
      <ns0:c r="M149" t="str" s="36">
        <ns0:v>Symbols\MY_LIB_Connectors.SchLib</ns0:v>
      </ns0:c>
      <ns0:c r="N149" t="str" s="36">
        <ns0:v>CONNFLY_DS1022_2X26</ns0:v>
      </ns0:c>
      <ns0:c r="O149" t="str" s="36">
        <ns0:v>Footprints\MY_LIB_Connectors.PcbLib</ns0:v>
      </ns0:c>
      <ns0:c r="P149" t="str" s="33">
        <ns0:v>Штыревой, угловой; 52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49" s="33"/>
      <ns0:c r="R149" t="str" s="34">
        <ns0:f>D149</ns0:f>
        <ns0:v>2x26, 2.54 мм</ns0:v>
      </ns0:c>
      <ns0:c r="S149" t="str" s="34">
        <ns0:f>K149</ns0:f>
        <ns0:v>Разъём 2x26, 2.54 мм DS1022</ns0:v>
      </ns0:c>
      <ns0:c r="T149" t="str" s="33">
        <ns0:v>C:\Users\Nomatin\Documents\Altium\MY_LIB\MY_LIB\Datasheets\CONNFLY_DS1022.pdf</ns0:v>
      </ns0:c>
      <ns0:c r="U149" s="33"/>
      <ns0:c r="V149" t="str" s="33">
        <ns0:v>Даташит — локальный</ns0:v>
      </ns0:c>
      <ns0:c r="W149" t="str" s="33">
        <ns0:v>C:\Users\Nomatin\Documents\Altium\MY_LIB\MY_LIB\Datasheets\CONNFLY_DS1022.pdf</ns0:v>
      </ns0:c>
      <ns0:c r="X149" t="str" s="33">
        <ns0:v>Даташит — производитель</ns0:v>
      </ns0:c>
      <ns0:c r="Y149" t="str" s="33">
        <ns0:v>https://en.connfly.com/static/upload/file/pdf/DS1022.pdf</ns0:v>
      </ns0:c>
      <ns0:c r="Z149" t="str" s="33">
        <ns0:v>C:\Users\Nomatin\Documents\Altium\MY_LIB\MY_LIB\Datasheets\CONNFLY_DS1022.pdf</ns0:v>
      </ns0:c>
    </ns0:row>
    <ns0:row xmlns:ns0="http://schemas.openxmlformats.org/spreadsheetml/2006/main" r="150" ht="85" customHeight="1">
      <ns0:c r="A150" t="str" s="33">
        <ns0:v>XP0147</ns0:v>
      </ns0:c>
      <ns0:c r="B150" t="str" s="33">
        <ns0:v>Разъём</ns0:v>
      </ns0:c>
      <ns0:c r="C150" t="str" s="33">
        <ns0:v>2x27, 2.54 мм</ns0:v>
      </ns0:c>
      <ns0:c r="D150" t="str" s="34">
        <ns0:f>C150</ns0:f>
        <ns0:v>2x27, 2.54 мм</ns0:v>
      </ns0:c>
      <ns0:c r="E150" s="33"/>
      <ns0:c r="F150" s="33"/>
      <ns0:c r="G150" s="33"/>
      <ns0:c r="H150" t="str" s="35">
        <ns0:v>2x27, P2.54, THT, угловой</ns0:v>
      </ns0:c>
      <ns0:c r="I150" t="str" s="33">
        <ns0:v>CONNFLY</ns0:v>
      </ns0:c>
      <ns0:c r="J150" t="str" s="33">
        <ns0:v>DS1022</ns0:v>
      </ns0:c>
      <ns0:c r="K150" t="str" s="34">
        <ns0:f>B150&amp;" "&amp;D150&amp;" "&amp;J150</ns0:f>
        <ns0:v>Разъём 2x27, 2.54 мм DS1022</ns0:v>
      </ns0:c>
      <ns0:c r="L150" t="str" s="36">
        <ns0:v>XP_54</ns0:v>
      </ns0:c>
      <ns0:c r="M150" t="str" s="36">
        <ns0:v>Symbols\MY_LIB_Connectors.SchLib</ns0:v>
      </ns0:c>
      <ns0:c r="N150" t="str" s="36">
        <ns0:v>CONNFLY_DS1022_2X27</ns0:v>
      </ns0:c>
      <ns0:c r="O150" t="str" s="36">
        <ns0:v>Footprints\MY_LIB_Connectors.PcbLib</ns0:v>
      </ns0:c>
      <ns0:c r="P150" t="str" s="33">
        <ns0:v>Штыревой, угловой; 54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0" s="33"/>
      <ns0:c r="R150" t="str" s="34">
        <ns0:f>D150</ns0:f>
        <ns0:v>2x27, 2.54 мм</ns0:v>
      </ns0:c>
      <ns0:c r="S150" t="str" s="34">
        <ns0:f>K150</ns0:f>
        <ns0:v>Разъём 2x27, 2.54 мм DS1022</ns0:v>
      </ns0:c>
      <ns0:c r="T150" t="str" s="33">
        <ns0:v>C:\Users\Nomatin\Documents\Altium\MY_LIB\MY_LIB\Datasheets\CONNFLY_DS1022.pdf</ns0:v>
      </ns0:c>
      <ns0:c r="U150" s="33"/>
      <ns0:c r="V150" t="str" s="33">
        <ns0:v>Даташит — локальный</ns0:v>
      </ns0:c>
      <ns0:c r="W150" t="str" s="33">
        <ns0:v>C:\Users\Nomatin\Documents\Altium\MY_LIB\MY_LIB\Datasheets\CONNFLY_DS1022.pdf</ns0:v>
      </ns0:c>
      <ns0:c r="X150" t="str" s="33">
        <ns0:v>Даташит — производитель</ns0:v>
      </ns0:c>
      <ns0:c r="Y150" t="str" s="33">
        <ns0:v>https://en.connfly.com/static/upload/file/pdf/DS1022.pdf</ns0:v>
      </ns0:c>
      <ns0:c r="Z150" t="str" s="33">
        <ns0:v>C:\Users\Nomatin\Documents\Altium\MY_LIB\MY_LIB\Datasheets\CONNFLY_DS1022.pdf</ns0:v>
      </ns0:c>
    </ns0:row>
    <ns0:row xmlns:ns0="http://schemas.openxmlformats.org/spreadsheetml/2006/main" r="151" ht="85" customHeight="1">
      <ns0:c r="A151" t="str" s="33">
        <ns0:v>XP0148</ns0:v>
      </ns0:c>
      <ns0:c r="B151" t="str" s="33">
        <ns0:v>Разъём</ns0:v>
      </ns0:c>
      <ns0:c r="C151" t="str" s="33">
        <ns0:v>2x28, 2.54 мм</ns0:v>
      </ns0:c>
      <ns0:c r="D151" t="str" s="34">
        <ns0:f>C151</ns0:f>
        <ns0:v>2x28, 2.54 мм</ns0:v>
      </ns0:c>
      <ns0:c r="E151" s="33"/>
      <ns0:c r="F151" s="33"/>
      <ns0:c r="G151" s="33"/>
      <ns0:c r="H151" t="str" s="35">
        <ns0:v>2x28, P2.54, THT, угловой</ns0:v>
      </ns0:c>
      <ns0:c r="I151" t="str" s="33">
        <ns0:v>CONNFLY</ns0:v>
      </ns0:c>
      <ns0:c r="J151" t="str" s="33">
        <ns0:v>DS1022</ns0:v>
      </ns0:c>
      <ns0:c r="K151" t="str" s="34">
        <ns0:f>B151&amp;" "&amp;D151&amp;" "&amp;J151</ns0:f>
        <ns0:v>Разъём 2x28, 2.54 мм DS1022</ns0:v>
      </ns0:c>
      <ns0:c r="L151" t="str" s="36">
        <ns0:v>XP_56</ns0:v>
      </ns0:c>
      <ns0:c r="M151" t="str" s="36">
        <ns0:v>Symbols\MY_LIB_Connectors.SchLib</ns0:v>
      </ns0:c>
      <ns0:c r="N151" t="str" s="36">
        <ns0:v>CONNFLY_DS1022_2X28</ns0:v>
      </ns0:c>
      <ns0:c r="O151" t="str" s="36">
        <ns0:v>Footprints\MY_LIB_Connectors.PcbLib</ns0:v>
      </ns0:c>
      <ns0:c r="P151" t="str" s="33">
        <ns0:v>Штыревой, угловой; 56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1" s="33"/>
      <ns0:c r="R151" t="str" s="34">
        <ns0:f>D151</ns0:f>
        <ns0:v>2x28, 2.54 мм</ns0:v>
      </ns0:c>
      <ns0:c r="S151" t="str" s="34">
        <ns0:f>K151</ns0:f>
        <ns0:v>Разъём 2x28, 2.54 мм DS1022</ns0:v>
      </ns0:c>
      <ns0:c r="T151" t="str" s="33">
        <ns0:v>C:\Users\Nomatin\Documents\Altium\MY_LIB\MY_LIB\Datasheets\CONNFLY_DS1022.pdf</ns0:v>
      </ns0:c>
      <ns0:c r="U151" s="33"/>
      <ns0:c r="V151" t="str" s="33">
        <ns0:v>Даташит — локальный</ns0:v>
      </ns0:c>
      <ns0:c r="W151" t="str" s="33">
        <ns0:v>C:\Users\Nomatin\Documents\Altium\MY_LIB\MY_LIB\Datasheets\CONNFLY_DS1022.pdf</ns0:v>
      </ns0:c>
      <ns0:c r="X151" t="str" s="33">
        <ns0:v>Даташит — производитель</ns0:v>
      </ns0:c>
      <ns0:c r="Y151" t="str" s="33">
        <ns0:v>https://en.connfly.com/static/upload/file/pdf/DS1022.pdf</ns0:v>
      </ns0:c>
      <ns0:c r="Z151" t="str" s="33">
        <ns0:v>C:\Users\Nomatin\Documents\Altium\MY_LIB\MY_LIB\Datasheets\CONNFLY_DS1022.pdf</ns0:v>
      </ns0:c>
    </ns0:row>
    <ns0:row xmlns:ns0="http://schemas.openxmlformats.org/spreadsheetml/2006/main" r="152" ht="85" customHeight="1">
      <ns0:c r="A152" t="str" s="33">
        <ns0:v>XP0149</ns0:v>
      </ns0:c>
      <ns0:c r="B152" t="str" s="33">
        <ns0:v>Разъём</ns0:v>
      </ns0:c>
      <ns0:c r="C152" t="str" s="33">
        <ns0:v>2x29, 2.54 мм</ns0:v>
      </ns0:c>
      <ns0:c r="D152" t="str" s="34">
        <ns0:f>C152</ns0:f>
        <ns0:v>2x29, 2.54 мм</ns0:v>
      </ns0:c>
      <ns0:c r="E152" s="33"/>
      <ns0:c r="F152" s="33"/>
      <ns0:c r="G152" s="33"/>
      <ns0:c r="H152" t="str" s="35">
        <ns0:v>2x29, P2.54, THT, угловой</ns0:v>
      </ns0:c>
      <ns0:c r="I152" t="str" s="33">
        <ns0:v>CONNFLY</ns0:v>
      </ns0:c>
      <ns0:c r="J152" t="str" s="33">
        <ns0:v>DS1022</ns0:v>
      </ns0:c>
      <ns0:c r="K152" t="str" s="34">
        <ns0:f>B152&amp;" "&amp;D152&amp;" "&amp;J152</ns0:f>
        <ns0:v>Разъём 2x29, 2.54 мм DS1022</ns0:v>
      </ns0:c>
      <ns0:c r="L152" t="str" s="36">
        <ns0:v>XP_58</ns0:v>
      </ns0:c>
      <ns0:c r="M152" t="str" s="36">
        <ns0:v>Symbols\MY_LIB_Connectors.SchLib</ns0:v>
      </ns0:c>
      <ns0:c r="N152" t="str" s="36">
        <ns0:v>CONNFLY_DS1022_2X29</ns0:v>
      </ns0:c>
      <ns0:c r="O152" t="str" s="36">
        <ns0:v>Footprints\MY_LIB_Connectors.PcbLib</ns0:v>
      </ns0:c>
      <ns0:c r="P152" t="str" s="33">
        <ns0:v>Штыревой, угловой; 58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2" s="33"/>
      <ns0:c r="R152" t="str" s="34">
        <ns0:f>D152</ns0:f>
        <ns0:v>2x29, 2.54 мм</ns0:v>
      </ns0:c>
      <ns0:c r="S152" t="str" s="34">
        <ns0:f>K152</ns0:f>
        <ns0:v>Разъём 2x29, 2.54 мм DS1022</ns0:v>
      </ns0:c>
      <ns0:c r="T152" t="str" s="33">
        <ns0:v>C:\Users\Nomatin\Documents\Altium\MY_LIB\MY_LIB\Datasheets\CONNFLY_DS1022.pdf</ns0:v>
      </ns0:c>
      <ns0:c r="U152" s="33"/>
      <ns0:c r="V152" t="str" s="33">
        <ns0:v>Даташит — локальный</ns0:v>
      </ns0:c>
      <ns0:c r="W152" t="str" s="33">
        <ns0:v>C:\Users\Nomatin\Documents\Altium\MY_LIB\MY_LIB\Datasheets\CONNFLY_DS1022.pdf</ns0:v>
      </ns0:c>
      <ns0:c r="X152" t="str" s="33">
        <ns0:v>Даташит — производитель</ns0:v>
      </ns0:c>
      <ns0:c r="Y152" t="str" s="33">
        <ns0:v>https://en.connfly.com/static/upload/file/pdf/DS1022.pdf</ns0:v>
      </ns0:c>
      <ns0:c r="Z152" t="str" s="33">
        <ns0:v>C:\Users\Nomatin\Documents\Altium\MY_LIB\MY_LIB\Datasheets\CONNFLY_DS1022.pdf</ns0:v>
      </ns0:c>
    </ns0:row>
    <ns0:row xmlns:ns0="http://schemas.openxmlformats.org/spreadsheetml/2006/main" r="153" ht="85" customHeight="1">
      <ns0:c r="A153" t="str" s="33">
        <ns0:v>XP0150</ns0:v>
      </ns0:c>
      <ns0:c r="B153" t="str" s="33">
        <ns0:v>Разъём</ns0:v>
      </ns0:c>
      <ns0:c r="C153" t="str" s="33">
        <ns0:v>2x30, 2.54 мм</ns0:v>
      </ns0:c>
      <ns0:c r="D153" t="str" s="34">
        <ns0:f>C153</ns0:f>
        <ns0:v>2x30, 2.54 мм</ns0:v>
      </ns0:c>
      <ns0:c r="E153" s="33"/>
      <ns0:c r="F153" s="33"/>
      <ns0:c r="G153" s="33"/>
      <ns0:c r="H153" t="str" s="35">
        <ns0:v>2x30, P2.54, THT, угловой</ns0:v>
      </ns0:c>
      <ns0:c r="I153" t="str" s="33">
        <ns0:v>CONNFLY</ns0:v>
      </ns0:c>
      <ns0:c r="J153" t="str" s="33">
        <ns0:v>DS1022</ns0:v>
      </ns0:c>
      <ns0:c r="K153" t="str" s="34">
        <ns0:f>B153&amp;" "&amp;D153&amp;" "&amp;J153</ns0:f>
        <ns0:v>Разъём 2x30, 2.54 мм DS1022</ns0:v>
      </ns0:c>
      <ns0:c r="L153" t="str" s="36">
        <ns0:v>XP_60</ns0:v>
      </ns0:c>
      <ns0:c r="M153" t="str" s="36">
        <ns0:v>Symbols\MY_LIB_Connectors.SchLib</ns0:v>
      </ns0:c>
      <ns0:c r="N153" t="str" s="36">
        <ns0:v>CONNFLY_DS1022_2X30</ns0:v>
      </ns0:c>
      <ns0:c r="O153" t="str" s="36">
        <ns0:v>Footprints\MY_LIB_Connectors.PcbLib</ns0:v>
      </ns0:c>
      <ns0:c r="P153" t="str" s="33">
        <ns0:v>Штыревой, угловой; 60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3" s="33"/>
      <ns0:c r="R153" t="str" s="34">
        <ns0:f>D153</ns0:f>
        <ns0:v>2x30, 2.54 мм</ns0:v>
      </ns0:c>
      <ns0:c r="S153" t="str" s="34">
        <ns0:f>K153</ns0:f>
        <ns0:v>Разъём 2x30, 2.54 мм DS1022</ns0:v>
      </ns0:c>
      <ns0:c r="T153" t="str" s="33">
        <ns0:v>C:\Users\Nomatin\Documents\Altium\MY_LIB\MY_LIB\Datasheets\CONNFLY_DS1022.pdf</ns0:v>
      </ns0:c>
      <ns0:c r="U153" s="33"/>
      <ns0:c r="V153" t="str" s="33">
        <ns0:v>Даташит — локальный</ns0:v>
      </ns0:c>
      <ns0:c r="W153" t="str" s="33">
        <ns0:v>C:\Users\Nomatin\Documents\Altium\MY_LIB\MY_LIB\Datasheets\CONNFLY_DS1022.pdf</ns0:v>
      </ns0:c>
      <ns0:c r="X153" t="str" s="33">
        <ns0:v>Даташит — производитель</ns0:v>
      </ns0:c>
      <ns0:c r="Y153" t="str" s="33">
        <ns0:v>https://en.connfly.com/static/upload/file/pdf/DS1022.pdf</ns0:v>
      </ns0:c>
      <ns0:c r="Z153" t="str" s="33">
        <ns0:v>C:\Users\Nomatin\Documents\Altium\MY_LIB\MY_LIB\Datasheets\CONNFLY_DS1022.pdf</ns0:v>
      </ns0:c>
    </ns0:row>
    <ns0:row xmlns:ns0="http://schemas.openxmlformats.org/spreadsheetml/2006/main" r="154" ht="85" customHeight="1">
      <ns0:c r="A154" t="str" s="33">
        <ns0:v>XP0151</ns0:v>
      </ns0:c>
      <ns0:c r="B154" t="str" s="33">
        <ns0:v>Разъём</ns0:v>
      </ns0:c>
      <ns0:c r="C154" t="str" s="33">
        <ns0:v>2x31, 2.54 мм</ns0:v>
      </ns0:c>
      <ns0:c r="D154" t="str" s="34">
        <ns0:f>C154</ns0:f>
        <ns0:v>2x31, 2.54 мм</ns0:v>
      </ns0:c>
      <ns0:c r="E154" s="33"/>
      <ns0:c r="F154" s="33"/>
      <ns0:c r="G154" s="33"/>
      <ns0:c r="H154" t="str" s="35">
        <ns0:v>2x31, P2.54, THT, угловой</ns0:v>
      </ns0:c>
      <ns0:c r="I154" t="str" s="33">
        <ns0:v>CONNFLY</ns0:v>
      </ns0:c>
      <ns0:c r="J154" t="str" s="33">
        <ns0:v>DS1022</ns0:v>
      </ns0:c>
      <ns0:c r="K154" t="str" s="34">
        <ns0:f>B154&amp;" "&amp;D154&amp;" "&amp;J154</ns0:f>
        <ns0:v>Разъём 2x31, 2.54 мм DS1022</ns0:v>
      </ns0:c>
      <ns0:c r="L154" t="str" s="36">
        <ns0:v>XP_62</ns0:v>
      </ns0:c>
      <ns0:c r="M154" t="str" s="36">
        <ns0:v>Symbols\MY_LIB_Connectors.SchLib</ns0:v>
      </ns0:c>
      <ns0:c r="N154" t="str" s="36">
        <ns0:v>CONNFLY_DS1022_2X31</ns0:v>
      </ns0:c>
      <ns0:c r="O154" t="str" s="36">
        <ns0:v>Footprints\MY_LIB_Connectors.PcbLib</ns0:v>
      </ns0:c>
      <ns0:c r="P154" t="str" s="33">
        <ns0:v>Штыревой, угловой; 62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4" s="33"/>
      <ns0:c r="R154" t="str" s="34">
        <ns0:f>D154</ns0:f>
        <ns0:v>2x31, 2.54 мм</ns0:v>
      </ns0:c>
      <ns0:c r="S154" t="str" s="34">
        <ns0:f>K154</ns0:f>
        <ns0:v>Разъём 2x31, 2.54 мм DS1022</ns0:v>
      </ns0:c>
      <ns0:c r="T154" t="str" s="33">
        <ns0:v>C:\Users\Nomatin\Documents\Altium\MY_LIB\MY_LIB\Datasheets\CONNFLY_DS1022.pdf</ns0:v>
      </ns0:c>
      <ns0:c r="U154" s="33"/>
      <ns0:c r="V154" t="str" s="33">
        <ns0:v>Даташит — локальный</ns0:v>
      </ns0:c>
      <ns0:c r="W154" t="str" s="33">
        <ns0:v>C:\Users\Nomatin\Documents\Altium\MY_LIB\MY_LIB\Datasheets\CONNFLY_DS1022.pdf</ns0:v>
      </ns0:c>
      <ns0:c r="X154" t="str" s="33">
        <ns0:v>Даташит — производитель</ns0:v>
      </ns0:c>
      <ns0:c r="Y154" t="str" s="33">
        <ns0:v>https://en.connfly.com/static/upload/file/pdf/DS1022.pdf</ns0:v>
      </ns0:c>
      <ns0:c r="Z154" t="str" s="33">
        <ns0:v>C:\Users\Nomatin\Documents\Altium\MY_LIB\MY_LIB\Datasheets\CONNFLY_DS1022.pdf</ns0:v>
      </ns0:c>
    </ns0:row>
    <ns0:row xmlns:ns0="http://schemas.openxmlformats.org/spreadsheetml/2006/main" r="155" ht="85" customHeight="1">
      <ns0:c r="A155" t="str" s="33">
        <ns0:v>XP0152</ns0:v>
      </ns0:c>
      <ns0:c r="B155" t="str" s="33">
        <ns0:v>Разъём</ns0:v>
      </ns0:c>
      <ns0:c r="C155" t="str" s="33">
        <ns0:v>2x32, 2.54 мм</ns0:v>
      </ns0:c>
      <ns0:c r="D155" t="str" s="34">
        <ns0:f>C155</ns0:f>
        <ns0:v>2x32, 2.54 мм</ns0:v>
      </ns0:c>
      <ns0:c r="E155" s="33"/>
      <ns0:c r="F155" s="33"/>
      <ns0:c r="G155" s="33"/>
      <ns0:c r="H155" t="str" s="35">
        <ns0:v>2x32, P2.54, THT, угловой</ns0:v>
      </ns0:c>
      <ns0:c r="I155" t="str" s="33">
        <ns0:v>CONNFLY</ns0:v>
      </ns0:c>
      <ns0:c r="J155" t="str" s="33">
        <ns0:v>DS1022</ns0:v>
      </ns0:c>
      <ns0:c r="K155" t="str" s="34">
        <ns0:f>B155&amp;" "&amp;D155&amp;" "&amp;J155</ns0:f>
        <ns0:v>Разъём 2x32, 2.54 мм DS1022</ns0:v>
      </ns0:c>
      <ns0:c r="L155" t="str" s="36">
        <ns0:v>XP_64</ns0:v>
      </ns0:c>
      <ns0:c r="M155" t="str" s="36">
        <ns0:v>Symbols\MY_LIB_Connectors.SchLib</ns0:v>
      </ns0:c>
      <ns0:c r="N155" t="str" s="36">
        <ns0:v>CONNFLY_DS1022_2X32</ns0:v>
      </ns0:c>
      <ns0:c r="O155" t="str" s="36">
        <ns0:v>Footprints\MY_LIB_Connectors.PcbLib</ns0:v>
      </ns0:c>
      <ns0:c r="P155" t="str" s="33">
        <ns0:v>Штыревой, угловой; 64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5" s="33"/>
      <ns0:c r="R155" t="str" s="34">
        <ns0:f>D155</ns0:f>
        <ns0:v>2x32, 2.54 мм</ns0:v>
      </ns0:c>
      <ns0:c r="S155" t="str" s="34">
        <ns0:f>K155</ns0:f>
        <ns0:v>Разъём 2x32, 2.54 мм DS1022</ns0:v>
      </ns0:c>
      <ns0:c r="T155" t="str" s="33">
        <ns0:v>C:\Users\Nomatin\Documents\Altium\MY_LIB\MY_LIB\Datasheets\CONNFLY_DS1022.pdf</ns0:v>
      </ns0:c>
      <ns0:c r="U155" s="33"/>
      <ns0:c r="V155" t="str" s="33">
        <ns0:v>Даташит — локальный</ns0:v>
      </ns0:c>
      <ns0:c r="W155" t="str" s="33">
        <ns0:v>C:\Users\Nomatin\Documents\Altium\MY_LIB\MY_LIB\Datasheets\CONNFLY_DS1022.pdf</ns0:v>
      </ns0:c>
      <ns0:c r="X155" t="str" s="33">
        <ns0:v>Даташит — производитель</ns0:v>
      </ns0:c>
      <ns0:c r="Y155" t="str" s="33">
        <ns0:v>https://en.connfly.com/static/upload/file/pdf/DS1022.pdf</ns0:v>
      </ns0:c>
      <ns0:c r="Z155" t="str" s="33">
        <ns0:v>C:\Users\Nomatin\Documents\Altium\MY_LIB\MY_LIB\Datasheets\CONNFLY_DS1022.pdf</ns0:v>
      </ns0:c>
    </ns0:row>
    <ns0:row xmlns:ns0="http://schemas.openxmlformats.org/spreadsheetml/2006/main" r="156" ht="85" customHeight="1">
      <ns0:c r="A156" t="str" s="33">
        <ns0:v>XP0153</ns0:v>
      </ns0:c>
      <ns0:c r="B156" t="str" s="33">
        <ns0:v>Разъём</ns0:v>
      </ns0:c>
      <ns0:c r="C156" t="str" s="33">
        <ns0:v>2x33, 2.54 мм</ns0:v>
      </ns0:c>
      <ns0:c r="D156" t="str" s="34">
        <ns0:f>C156</ns0:f>
        <ns0:v>2x33, 2.54 мм</ns0:v>
      </ns0:c>
      <ns0:c r="E156" s="33"/>
      <ns0:c r="F156" s="33"/>
      <ns0:c r="G156" s="33"/>
      <ns0:c r="H156" t="str" s="35">
        <ns0:v>2x33, P2.54, THT, угловой</ns0:v>
      </ns0:c>
      <ns0:c r="I156" t="str" s="33">
        <ns0:v>CONNFLY</ns0:v>
      </ns0:c>
      <ns0:c r="J156" t="str" s="33">
        <ns0:v>DS1022</ns0:v>
      </ns0:c>
      <ns0:c r="K156" t="str" s="34">
        <ns0:f>B156&amp;" "&amp;D156&amp;" "&amp;J156</ns0:f>
        <ns0:v>Разъём 2x33, 2.54 мм DS1022</ns0:v>
      </ns0:c>
      <ns0:c r="L156" t="str" s="36">
        <ns0:v>XP_66</ns0:v>
      </ns0:c>
      <ns0:c r="M156" t="str" s="36">
        <ns0:v>Symbols\MY_LIB_Connectors.SchLib</ns0:v>
      </ns0:c>
      <ns0:c r="N156" t="str" s="36">
        <ns0:v>CONNFLY_DS1022_2X33</ns0:v>
      </ns0:c>
      <ns0:c r="O156" t="str" s="36">
        <ns0:v>Footprints\MY_LIB_Connectors.PcbLib</ns0:v>
      </ns0:c>
      <ns0:c r="P156" t="str" s="33">
        <ns0:v>Штыревой, угловой; 66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6" s="33"/>
      <ns0:c r="R156" t="str" s="34">
        <ns0:f>D156</ns0:f>
        <ns0:v>2x33, 2.54 мм</ns0:v>
      </ns0:c>
      <ns0:c r="S156" t="str" s="34">
        <ns0:f>K156</ns0:f>
        <ns0:v>Разъём 2x33, 2.54 мм DS1022</ns0:v>
      </ns0:c>
      <ns0:c r="T156" t="str" s="33">
        <ns0:v>C:\Users\Nomatin\Documents\Altium\MY_LIB\MY_LIB\Datasheets\CONNFLY_DS1022.pdf</ns0:v>
      </ns0:c>
      <ns0:c r="U156" s="33"/>
      <ns0:c r="V156" t="str" s="33">
        <ns0:v>Даташит — локальный</ns0:v>
      </ns0:c>
      <ns0:c r="W156" t="str" s="33">
        <ns0:v>C:\Users\Nomatin\Documents\Altium\MY_LIB\MY_LIB\Datasheets\CONNFLY_DS1022.pdf</ns0:v>
      </ns0:c>
      <ns0:c r="X156" t="str" s="33">
        <ns0:v>Даташит — производитель</ns0:v>
      </ns0:c>
      <ns0:c r="Y156" t="str" s="33">
        <ns0:v>https://en.connfly.com/static/upload/file/pdf/DS1022.pdf</ns0:v>
      </ns0:c>
      <ns0:c r="Z156" t="str" s="33">
        <ns0:v>C:\Users\Nomatin\Documents\Altium\MY_LIB\MY_LIB\Datasheets\CONNFLY_DS1022.pdf</ns0:v>
      </ns0:c>
    </ns0:row>
    <ns0:row xmlns:ns0="http://schemas.openxmlformats.org/spreadsheetml/2006/main" r="157" ht="85" customHeight="1">
      <ns0:c r="A157" t="str" s="33">
        <ns0:v>XP0154</ns0:v>
      </ns0:c>
      <ns0:c r="B157" t="str" s="33">
        <ns0:v>Разъём</ns0:v>
      </ns0:c>
      <ns0:c r="C157" t="str" s="33">
        <ns0:v>2x34, 2.54 мм</ns0:v>
      </ns0:c>
      <ns0:c r="D157" t="str" s="34">
        <ns0:f>C157</ns0:f>
        <ns0:v>2x34, 2.54 мм</ns0:v>
      </ns0:c>
      <ns0:c r="E157" s="33"/>
      <ns0:c r="F157" s="33"/>
      <ns0:c r="G157" s="33"/>
      <ns0:c r="H157" t="str" s="35">
        <ns0:v>2x34, P2.54, THT, угловой</ns0:v>
      </ns0:c>
      <ns0:c r="I157" t="str" s="33">
        <ns0:v>CONNFLY</ns0:v>
      </ns0:c>
      <ns0:c r="J157" t="str" s="33">
        <ns0:v>DS1022</ns0:v>
      </ns0:c>
      <ns0:c r="K157" t="str" s="34">
        <ns0:f>B157&amp;" "&amp;D157&amp;" "&amp;J157</ns0:f>
        <ns0:v>Разъём 2x34, 2.54 мм DS1022</ns0:v>
      </ns0:c>
      <ns0:c r="L157" t="str" s="36">
        <ns0:v>XP_68</ns0:v>
      </ns0:c>
      <ns0:c r="M157" t="str" s="36">
        <ns0:v>Symbols\MY_LIB_Connectors.SchLib</ns0:v>
      </ns0:c>
      <ns0:c r="N157" t="str" s="36">
        <ns0:v>CONNFLY_DS1022_2X34</ns0:v>
      </ns0:c>
      <ns0:c r="O157" t="str" s="36">
        <ns0:v>Footprints\MY_LIB_Connectors.PcbLib</ns0:v>
      </ns0:c>
      <ns0:c r="P157" t="str" s="33">
        <ns0:v>Штыревой, угловой; 68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7" s="33"/>
      <ns0:c r="R157" t="str" s="34">
        <ns0:f>D157</ns0:f>
        <ns0:v>2x34, 2.54 мм</ns0:v>
      </ns0:c>
      <ns0:c r="S157" t="str" s="34">
        <ns0:f>K157</ns0:f>
        <ns0:v>Разъём 2x34, 2.54 мм DS1022</ns0:v>
      </ns0:c>
      <ns0:c r="T157" t="str" s="33">
        <ns0:v>C:\Users\Nomatin\Documents\Altium\MY_LIB\MY_LIB\Datasheets\CONNFLY_DS1022.pdf</ns0:v>
      </ns0:c>
      <ns0:c r="U157" s="33"/>
      <ns0:c r="V157" t="str" s="33">
        <ns0:v>Даташит — локальный</ns0:v>
      </ns0:c>
      <ns0:c r="W157" t="str" s="33">
        <ns0:v>C:\Users\Nomatin\Documents\Altium\MY_LIB\MY_LIB\Datasheets\CONNFLY_DS1022.pdf</ns0:v>
      </ns0:c>
      <ns0:c r="X157" t="str" s="33">
        <ns0:v>Даташит — производитель</ns0:v>
      </ns0:c>
      <ns0:c r="Y157" t="str" s="33">
        <ns0:v>https://en.connfly.com/static/upload/file/pdf/DS1022.pdf</ns0:v>
      </ns0:c>
      <ns0:c r="Z157" t="str" s="33">
        <ns0:v>C:\Users\Nomatin\Documents\Altium\MY_LIB\MY_LIB\Datasheets\CONNFLY_DS1022.pdf</ns0:v>
      </ns0:c>
    </ns0:row>
    <ns0:row xmlns:ns0="http://schemas.openxmlformats.org/spreadsheetml/2006/main" r="158" ht="85" customHeight="1">
      <ns0:c r="A158" t="str" s="33">
        <ns0:v>XP0155</ns0:v>
      </ns0:c>
      <ns0:c r="B158" t="str" s="33">
        <ns0:v>Разъём</ns0:v>
      </ns0:c>
      <ns0:c r="C158" t="str" s="33">
        <ns0:v>2x35, 2.54 мм</ns0:v>
      </ns0:c>
      <ns0:c r="D158" t="str" s="34">
        <ns0:f>C158</ns0:f>
        <ns0:v>2x35, 2.54 мм</ns0:v>
      </ns0:c>
      <ns0:c r="E158" s="33"/>
      <ns0:c r="F158" s="33"/>
      <ns0:c r="G158" s="33"/>
      <ns0:c r="H158" t="str" s="35">
        <ns0:v>2x35, P2.54, THT, угловой</ns0:v>
      </ns0:c>
      <ns0:c r="I158" t="str" s="33">
        <ns0:v>CONNFLY</ns0:v>
      </ns0:c>
      <ns0:c r="J158" t="str" s="33">
        <ns0:v>DS1022</ns0:v>
      </ns0:c>
      <ns0:c r="K158" t="str" s="34">
        <ns0:f>B158&amp;" "&amp;D158&amp;" "&amp;J158</ns0:f>
        <ns0:v>Разъём 2x35, 2.54 мм DS1022</ns0:v>
      </ns0:c>
      <ns0:c r="L158" t="str" s="36">
        <ns0:v>XP_70</ns0:v>
      </ns0:c>
      <ns0:c r="M158" t="str" s="36">
        <ns0:v>Symbols\MY_LIB_Connectors.SchLib</ns0:v>
      </ns0:c>
      <ns0:c r="N158" t="str" s="36">
        <ns0:v>CONNFLY_DS1022_2X35</ns0:v>
      </ns0:c>
      <ns0:c r="O158" t="str" s="36">
        <ns0:v>Footprints\MY_LIB_Connectors.PcbLib</ns0:v>
      </ns0:c>
      <ns0:c r="P158" t="str" s="33">
        <ns0:v>Штыревой, угловой; 70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8" s="33"/>
      <ns0:c r="R158" t="str" s="34">
        <ns0:f>D158</ns0:f>
        <ns0:v>2x35, 2.54 мм</ns0:v>
      </ns0:c>
      <ns0:c r="S158" t="str" s="34">
        <ns0:f>K158</ns0:f>
        <ns0:v>Разъём 2x35, 2.54 мм DS1022</ns0:v>
      </ns0:c>
      <ns0:c r="T158" t="str" s="33">
        <ns0:v>C:\Users\Nomatin\Documents\Altium\MY_LIB\MY_LIB\Datasheets\CONNFLY_DS1022.pdf</ns0:v>
      </ns0:c>
      <ns0:c r="U158" s="33"/>
      <ns0:c r="V158" t="str" s="33">
        <ns0:v>Даташит — локальный</ns0:v>
      </ns0:c>
      <ns0:c r="W158" t="str" s="33">
        <ns0:v>C:\Users\Nomatin\Documents\Altium\MY_LIB\MY_LIB\Datasheets\CONNFLY_DS1022.pdf</ns0:v>
      </ns0:c>
      <ns0:c r="X158" t="str" s="33">
        <ns0:v>Даташит — производитель</ns0:v>
      </ns0:c>
      <ns0:c r="Y158" t="str" s="33">
        <ns0:v>https://en.connfly.com/static/upload/file/pdf/DS1022.pdf</ns0:v>
      </ns0:c>
      <ns0:c r="Z158" t="str" s="33">
        <ns0:v>C:\Users\Nomatin\Documents\Altium\MY_LIB\MY_LIB\Datasheets\CONNFLY_DS1022.pdf</ns0:v>
      </ns0:c>
    </ns0:row>
    <ns0:row xmlns:ns0="http://schemas.openxmlformats.org/spreadsheetml/2006/main" r="159" ht="85" customHeight="1">
      <ns0:c r="A159" t="str" s="33">
        <ns0:v>XP0156</ns0:v>
      </ns0:c>
      <ns0:c r="B159" t="str" s="33">
        <ns0:v>Разъём</ns0:v>
      </ns0:c>
      <ns0:c r="C159" t="str" s="33">
        <ns0:v>2x36, 2.54 мм</ns0:v>
      </ns0:c>
      <ns0:c r="D159" t="str" s="34">
        <ns0:f>C159</ns0:f>
        <ns0:v>2x36, 2.54 мм</ns0:v>
      </ns0:c>
      <ns0:c r="E159" s="33"/>
      <ns0:c r="F159" s="33"/>
      <ns0:c r="G159" s="33"/>
      <ns0:c r="H159" t="str" s="35">
        <ns0:v>2x36, P2.54, THT, угловой</ns0:v>
      </ns0:c>
      <ns0:c r="I159" t="str" s="33">
        <ns0:v>CONNFLY</ns0:v>
      </ns0:c>
      <ns0:c r="J159" t="str" s="33">
        <ns0:v>DS1022</ns0:v>
      </ns0:c>
      <ns0:c r="K159" t="str" s="34">
        <ns0:f>B159&amp;" "&amp;D159&amp;" "&amp;J159</ns0:f>
        <ns0:v>Разъём 2x36, 2.54 мм DS1022</ns0:v>
      </ns0:c>
      <ns0:c r="L159" t="str" s="36">
        <ns0:v>XP_72</ns0:v>
      </ns0:c>
      <ns0:c r="M159" t="str" s="36">
        <ns0:v>Symbols\MY_LIB_Connectors.SchLib</ns0:v>
      </ns0:c>
      <ns0:c r="N159" t="str" s="36">
        <ns0:v>CONNFLY_DS1022_2X36</ns0:v>
      </ns0:c>
      <ns0:c r="O159" t="str" s="36">
        <ns0:v>Footprints\MY_LIB_Connectors.PcbLib</ns0:v>
      </ns0:c>
      <ns0:c r="P159" t="str" s="33">
        <ns0:v>Штыревой, угловой; 72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59" s="33"/>
      <ns0:c r="R159" t="str" s="34">
        <ns0:f>D159</ns0:f>
        <ns0:v>2x36, 2.54 мм</ns0:v>
      </ns0:c>
      <ns0:c r="S159" t="str" s="34">
        <ns0:f>K159</ns0:f>
        <ns0:v>Разъём 2x36, 2.54 мм DS1022</ns0:v>
      </ns0:c>
      <ns0:c r="T159" t="str" s="33">
        <ns0:v>C:\Users\Nomatin\Documents\Altium\MY_LIB\MY_LIB\Datasheets\CONNFLY_DS1022.pdf</ns0:v>
      </ns0:c>
      <ns0:c r="U159" s="33"/>
      <ns0:c r="V159" t="str" s="33">
        <ns0:v>Даташит — локальный</ns0:v>
      </ns0:c>
      <ns0:c r="W159" t="str" s="33">
        <ns0:v>C:\Users\Nomatin\Documents\Altium\MY_LIB\MY_LIB\Datasheets\CONNFLY_DS1022.pdf</ns0:v>
      </ns0:c>
      <ns0:c r="X159" t="str" s="33">
        <ns0:v>Даташит — производитель</ns0:v>
      </ns0:c>
      <ns0:c r="Y159" t="str" s="33">
        <ns0:v>https://en.connfly.com/static/upload/file/pdf/DS1022.pdf</ns0:v>
      </ns0:c>
      <ns0:c r="Z159" t="str" s="33">
        <ns0:v>C:\Users\Nomatin\Documents\Altium\MY_LIB\MY_LIB\Datasheets\CONNFLY_DS1022.pdf</ns0:v>
      </ns0:c>
    </ns0:row>
    <ns0:row xmlns:ns0="http://schemas.openxmlformats.org/spreadsheetml/2006/main" r="160" ht="85" customHeight="1">
      <ns0:c r="A160" t="str" s="33">
        <ns0:v>XP0157</ns0:v>
      </ns0:c>
      <ns0:c r="B160" t="str" s="33">
        <ns0:v>Разъём</ns0:v>
      </ns0:c>
      <ns0:c r="C160" t="str" s="33">
        <ns0:v>2x37, 2.54 мм</ns0:v>
      </ns0:c>
      <ns0:c r="D160" t="str" s="34">
        <ns0:f>C160</ns0:f>
        <ns0:v>2x37, 2.54 мм</ns0:v>
      </ns0:c>
      <ns0:c r="E160" s="33"/>
      <ns0:c r="F160" s="33"/>
      <ns0:c r="G160" s="33"/>
      <ns0:c r="H160" t="str" s="35">
        <ns0:v>2x37, P2.54, THT, угловой</ns0:v>
      </ns0:c>
      <ns0:c r="I160" t="str" s="33">
        <ns0:v>CONNFLY</ns0:v>
      </ns0:c>
      <ns0:c r="J160" t="str" s="33">
        <ns0:v>DS1022</ns0:v>
      </ns0:c>
      <ns0:c r="K160" t="str" s="34">
        <ns0:f>B160&amp;" "&amp;D160&amp;" "&amp;J160</ns0:f>
        <ns0:v>Разъём 2x37, 2.54 мм DS1022</ns0:v>
      </ns0:c>
      <ns0:c r="L160" t="str" s="36">
        <ns0:v>XP_74</ns0:v>
      </ns0:c>
      <ns0:c r="M160" t="str" s="36">
        <ns0:v>Symbols\MY_LIB_Connectors.SchLib</ns0:v>
      </ns0:c>
      <ns0:c r="N160" t="str" s="36">
        <ns0:v>CONNFLY_DS1022_2X37</ns0:v>
      </ns0:c>
      <ns0:c r="O160" t="str" s="36">
        <ns0:v>Footprints\MY_LIB_Connectors.PcbLib</ns0:v>
      </ns0:c>
      <ns0:c r="P160" t="str" s="33">
        <ns0:v>Штыревой, угловой; 74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0" s="33"/>
      <ns0:c r="R160" t="str" s="34">
        <ns0:f>D160</ns0:f>
        <ns0:v>2x37, 2.54 мм</ns0:v>
      </ns0:c>
      <ns0:c r="S160" t="str" s="34">
        <ns0:f>K160</ns0:f>
        <ns0:v>Разъём 2x37, 2.54 мм DS1022</ns0:v>
      </ns0:c>
      <ns0:c r="T160" t="str" s="33">
        <ns0:v>C:\Users\Nomatin\Documents\Altium\MY_LIB\MY_LIB\Datasheets\CONNFLY_DS1022.pdf</ns0:v>
      </ns0:c>
      <ns0:c r="U160" s="33"/>
      <ns0:c r="V160" t="str" s="33">
        <ns0:v>Даташит — локальный</ns0:v>
      </ns0:c>
      <ns0:c r="W160" t="str" s="33">
        <ns0:v>C:\Users\Nomatin\Documents\Altium\MY_LIB\MY_LIB\Datasheets\CONNFLY_DS1022.pdf</ns0:v>
      </ns0:c>
      <ns0:c r="X160" t="str" s="33">
        <ns0:v>Даташит — производитель</ns0:v>
      </ns0:c>
      <ns0:c r="Y160" t="str" s="33">
        <ns0:v>https://en.connfly.com/static/upload/file/pdf/DS1022.pdf</ns0:v>
      </ns0:c>
      <ns0:c r="Z160" t="str" s="33">
        <ns0:v>C:\Users\Nomatin\Documents\Altium\MY_LIB\MY_LIB\Datasheets\CONNFLY_DS1022.pdf</ns0:v>
      </ns0:c>
    </ns0:row>
    <ns0:row xmlns:ns0="http://schemas.openxmlformats.org/spreadsheetml/2006/main" r="161" ht="85" customHeight="1">
      <ns0:c r="A161" t="str" s="33">
        <ns0:v>XP0158</ns0:v>
      </ns0:c>
      <ns0:c r="B161" t="str" s="33">
        <ns0:v>Разъём</ns0:v>
      </ns0:c>
      <ns0:c r="C161" t="str" s="33">
        <ns0:v>2x38, 2.54 мм</ns0:v>
      </ns0:c>
      <ns0:c r="D161" t="str" s="34">
        <ns0:f>C161</ns0:f>
        <ns0:v>2x38, 2.54 мм</ns0:v>
      </ns0:c>
      <ns0:c r="E161" s="33"/>
      <ns0:c r="F161" s="33"/>
      <ns0:c r="G161" s="33"/>
      <ns0:c r="H161" t="str" s="35">
        <ns0:v>2x38, P2.54, THT, угловой</ns0:v>
      </ns0:c>
      <ns0:c r="I161" t="str" s="33">
        <ns0:v>CONNFLY</ns0:v>
      </ns0:c>
      <ns0:c r="J161" t="str" s="33">
        <ns0:v>DS1022</ns0:v>
      </ns0:c>
      <ns0:c r="K161" t="str" s="34">
        <ns0:f>B161&amp;" "&amp;D161&amp;" "&amp;J161</ns0:f>
        <ns0:v>Разъём 2x38, 2.54 мм DS1022</ns0:v>
      </ns0:c>
      <ns0:c r="L161" t="str" s="36">
        <ns0:v>XP_76</ns0:v>
      </ns0:c>
      <ns0:c r="M161" t="str" s="36">
        <ns0:v>Symbols\MY_LIB_Connectors.SchLib</ns0:v>
      </ns0:c>
      <ns0:c r="N161" t="str" s="36">
        <ns0:v>CONNFLY_DS1022_2X38</ns0:v>
      </ns0:c>
      <ns0:c r="O161" t="str" s="36">
        <ns0:v>Footprints\MY_LIB_Connectors.PcbLib</ns0:v>
      </ns0:c>
      <ns0:c r="P161" t="str" s="33">
        <ns0:v>Штыревой, угловой; 76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1" s="33"/>
      <ns0:c r="R161" t="str" s="34">
        <ns0:f>D161</ns0:f>
        <ns0:v>2x38, 2.54 мм</ns0:v>
      </ns0:c>
      <ns0:c r="S161" t="str" s="34">
        <ns0:f>K161</ns0:f>
        <ns0:v>Разъём 2x38, 2.54 мм DS1022</ns0:v>
      </ns0:c>
      <ns0:c r="T161" t="str" s="33">
        <ns0:v>C:\Users\Nomatin\Documents\Altium\MY_LIB\MY_LIB\Datasheets\CONNFLY_DS1022.pdf</ns0:v>
      </ns0:c>
      <ns0:c r="U161" s="33"/>
      <ns0:c r="V161" t="str" s="33">
        <ns0:v>Даташит — локальный</ns0:v>
      </ns0:c>
      <ns0:c r="W161" t="str" s="33">
        <ns0:v>C:\Users\Nomatin\Documents\Altium\MY_LIB\MY_LIB\Datasheets\CONNFLY_DS1022.pdf</ns0:v>
      </ns0:c>
      <ns0:c r="X161" t="str" s="33">
        <ns0:v>Даташит — производитель</ns0:v>
      </ns0:c>
      <ns0:c r="Y161" t="str" s="33">
        <ns0:v>https://en.connfly.com/static/upload/file/pdf/DS1022.pdf</ns0:v>
      </ns0:c>
      <ns0:c r="Z161" t="str" s="33">
        <ns0:v>C:\Users\Nomatin\Documents\Altium\MY_LIB\MY_LIB\Datasheets\CONNFLY_DS1022.pdf</ns0:v>
      </ns0:c>
    </ns0:row>
    <ns0:row xmlns:ns0="http://schemas.openxmlformats.org/spreadsheetml/2006/main" r="162" ht="85" customHeight="1">
      <ns0:c r="A162" t="str" s="33">
        <ns0:v>XP0159</ns0:v>
      </ns0:c>
      <ns0:c r="B162" t="str" s="33">
        <ns0:v>Разъём</ns0:v>
      </ns0:c>
      <ns0:c r="C162" t="str" s="33">
        <ns0:v>2x39, 2.54 мм</ns0:v>
      </ns0:c>
      <ns0:c r="D162" t="str" s="34">
        <ns0:f>C162</ns0:f>
        <ns0:v>2x39, 2.54 мм</ns0:v>
      </ns0:c>
      <ns0:c r="E162" s="33"/>
      <ns0:c r="F162" s="33"/>
      <ns0:c r="G162" s="33"/>
      <ns0:c r="H162" t="str" s="35">
        <ns0:v>2x39, P2.54, THT, угловой</ns0:v>
      </ns0:c>
      <ns0:c r="I162" t="str" s="33">
        <ns0:v>CONNFLY</ns0:v>
      </ns0:c>
      <ns0:c r="J162" t="str" s="33">
        <ns0:v>DS1022</ns0:v>
      </ns0:c>
      <ns0:c r="K162" t="str" s="34">
        <ns0:f>B162&amp;" "&amp;D162&amp;" "&amp;J162</ns0:f>
        <ns0:v>Разъём 2x39, 2.54 мм DS1022</ns0:v>
      </ns0:c>
      <ns0:c r="L162" t="str" s="36">
        <ns0:v>XP_78</ns0:v>
      </ns0:c>
      <ns0:c r="M162" t="str" s="36">
        <ns0:v>Symbols\MY_LIB_Connectors.SchLib</ns0:v>
      </ns0:c>
      <ns0:c r="N162" t="str" s="36">
        <ns0:v>CONNFLY_DS1022_2X39</ns0:v>
      </ns0:c>
      <ns0:c r="O162" t="str" s="36">
        <ns0:v>Footprints\MY_LIB_Connectors.PcbLib</ns0:v>
      </ns0:c>
      <ns0:c r="P162" t="str" s="33">
        <ns0:v>Штыревой, угловой; 78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2" s="33"/>
      <ns0:c r="R162" t="str" s="34">
        <ns0:f>D162</ns0:f>
        <ns0:v>2x39, 2.54 мм</ns0:v>
      </ns0:c>
      <ns0:c r="S162" t="str" s="34">
        <ns0:f>K162</ns0:f>
        <ns0:v>Разъём 2x39, 2.54 мм DS1022</ns0:v>
      </ns0:c>
      <ns0:c r="T162" t="str" s="33">
        <ns0:v>C:\Users\Nomatin\Documents\Altium\MY_LIB\MY_LIB\Datasheets\CONNFLY_DS1022.pdf</ns0:v>
      </ns0:c>
      <ns0:c r="U162" s="33"/>
      <ns0:c r="V162" t="str" s="33">
        <ns0:v>Даташит — локальный</ns0:v>
      </ns0:c>
      <ns0:c r="W162" t="str" s="33">
        <ns0:v>C:\Users\Nomatin\Documents\Altium\MY_LIB\MY_LIB\Datasheets\CONNFLY_DS1022.pdf</ns0:v>
      </ns0:c>
      <ns0:c r="X162" t="str" s="33">
        <ns0:v>Даташит — производитель</ns0:v>
      </ns0:c>
      <ns0:c r="Y162" t="str" s="33">
        <ns0:v>https://en.connfly.com/static/upload/file/pdf/DS1022.pdf</ns0:v>
      </ns0:c>
      <ns0:c r="Z162" t="str" s="33">
        <ns0:v>C:\Users\Nomatin\Documents\Altium\MY_LIB\MY_LIB\Datasheets\CONNFLY_DS1022.pdf</ns0:v>
      </ns0:c>
    </ns0:row>
    <ns0:row xmlns:ns0="http://schemas.openxmlformats.org/spreadsheetml/2006/main" r="163" ht="85" customHeight="1">
      <ns0:c r="A163" t="str" s="33">
        <ns0:v>XP0160</ns0:v>
      </ns0:c>
      <ns0:c r="B163" t="str" s="33">
        <ns0:v>Разъём</ns0:v>
      </ns0:c>
      <ns0:c r="C163" t="str" s="33">
        <ns0:v>2x40, 2.54 мм</ns0:v>
      </ns0:c>
      <ns0:c r="D163" t="str" s="34">
        <ns0:f>C163</ns0:f>
        <ns0:v>2x40, 2.54 мм</ns0:v>
      </ns0:c>
      <ns0:c r="E163" s="33"/>
      <ns0:c r="F163" s="33"/>
      <ns0:c r="G163" s="33"/>
      <ns0:c r="H163" t="str" s="35">
        <ns0:v>2x40, P2.54, THT, угловой</ns0:v>
      </ns0:c>
      <ns0:c r="I163" t="str" s="33">
        <ns0:v>CONNFLY</ns0:v>
      </ns0:c>
      <ns0:c r="J163" t="str" s="33">
        <ns0:v>DS1022</ns0:v>
      </ns0:c>
      <ns0:c r="K163" t="str" s="34">
        <ns0:f>B163&amp;" "&amp;D163&amp;" "&amp;J163</ns0:f>
        <ns0:v>Разъём 2x40, 2.54 мм DS1022</ns0:v>
      </ns0:c>
      <ns0:c r="L163" t="str" s="36">
        <ns0:v>XP_80</ns0:v>
      </ns0:c>
      <ns0:c r="M163" t="str" s="36">
        <ns0:v>Symbols\MY_LIB_Connectors.SchLib</ns0:v>
      </ns0:c>
      <ns0:c r="N163" t="str" s="36">
        <ns0:v>CONNFLY_DS1022_2X40</ns0:v>
      </ns0:c>
      <ns0:c r="O163" t="str" s="36">
        <ns0:v>Footprints\MY_LIB_Connectors.PcbLib</ns0:v>
      </ns0:c>
      <ns0:c r="P163" t="str" s="33">
        <ns0:v>Штыревой, угловой; 80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3" s="33"/>
      <ns0:c r="R163" t="str" s="34">
        <ns0:f>D163</ns0:f>
        <ns0:v>2x40, 2.54 мм</ns0:v>
      </ns0:c>
      <ns0:c r="S163" t="str" s="34">
        <ns0:f>K163</ns0:f>
        <ns0:v>Разъём 2x40, 2.54 мм DS1022</ns0:v>
      </ns0:c>
      <ns0:c r="T163" t="str" s="33">
        <ns0:v>C:\Users\Nomatin\Documents\Altium\MY_LIB\MY_LIB\Datasheets\CONNFLY_DS1022.pdf</ns0:v>
      </ns0:c>
      <ns0:c r="U163" s="33"/>
      <ns0:c r="V163" t="str" s="33">
        <ns0:v>Даташит — локальный</ns0:v>
      </ns0:c>
      <ns0:c r="W163" t="str" s="33">
        <ns0:v>C:\Users\Nomatin\Documents\Altium\MY_LIB\MY_LIB\Datasheets\CONNFLY_DS1022.pdf</ns0:v>
      </ns0:c>
      <ns0:c r="X163" t="str" s="33">
        <ns0:v>Даташит — производитель</ns0:v>
      </ns0:c>
      <ns0:c r="Y163" t="str" s="33">
        <ns0:v>https://en.connfly.com/static/upload/file/pdf/DS1022.pdf</ns0:v>
      </ns0:c>
      <ns0:c r="Z163" t="str" s="33">
        <ns0:v>C:\Users\Nomatin\Documents\Altium\MY_LIB\MY_LIB\Datasheets\CONNFLY_DS1022.pdf</ns0:v>
      </ns0:c>
    </ns0:row>
    <ns0:row xmlns:ns0="http://schemas.openxmlformats.org/spreadsheetml/2006/main" r="164" ht="85" customHeight="1">
      <ns0:c r="A164" t="str" s="33">
        <ns0:v>XS0003</ns0:v>
      </ns0:c>
      <ns0:c r="B164" t="str" s="33">
        <ns0:v>Разъём</ns0:v>
      </ns0:c>
      <ns0:c r="C164" t="str" s="33">
        <ns0:v>1x02, 2.54 мм</ns0:v>
      </ns0:c>
      <ns0:c r="D164" t="str" s="34">
        <ns0:f>C164</ns0:f>
        <ns0:v>1x02, 2.54 мм</ns0:v>
      </ns0:c>
      <ns0:c r="E164" s="33"/>
      <ns0:c r="F164" s="33"/>
      <ns0:c r="G164" s="33"/>
      <ns0:c r="H164" t="str" s="35">
        <ns0:v>1x02, P2.54, THT, прямой</ns0:v>
      </ns0:c>
      <ns0:c r="I164" t="str" s="33">
        <ns0:v>CONNFLY</ns0:v>
      </ns0:c>
      <ns0:c r="J164" t="str" s="33">
        <ns0:v>DS1023</ns0:v>
      </ns0:c>
      <ns0:c r="K164" t="str" s="34">
        <ns0:f>B164&amp;" "&amp;D164&amp;" "&amp;J164</ns0:f>
        <ns0:v>Разъём 1x02, 2.54 мм DS1023</ns0:v>
      </ns0:c>
      <ns0:c r="L164" t="str" s="36">
        <ns0:v>XS_2</ns0:v>
      </ns0:c>
      <ns0:c r="M164" t="str" s="36">
        <ns0:v>Symbols\MY_LIB_Connectors.SchLib</ns0:v>
      </ns0:c>
      <ns0:c r="N164" t="str" s="36">
        <ns0:v>CONNFLY_DS1023_1X02</ns0:v>
      </ns0:c>
      <ns0:c r="O164" t="str" s="36">
        <ns0:v>Footprints\MY_LIB_Connectors.PcbLib</ns0:v>
      </ns0:c>
      <ns0:c r="P164" t="str" s="33">
        <ns0:v>Гнездовой, прямой; 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4" s="33"/>
      <ns0:c r="R164" t="str" s="34">
        <ns0:f>D164</ns0:f>
        <ns0:v>1x02, 2.54 мм</ns0:v>
      </ns0:c>
      <ns0:c r="S164" t="str" s="34">
        <ns0:f>K164</ns0:f>
        <ns0:v>Разъём 1x02, 2.54 мм DS1023</ns0:v>
      </ns0:c>
      <ns0:c r="T164" t="str" s="33">
        <ns0:v>C:\Users\Nomatin\Documents\Altium\MY_LIB\MY_LIB\Datasheets\CONNFLY_DS1023.pdf</ns0:v>
      </ns0:c>
      <ns0:c r="U164" s="33"/>
      <ns0:c r="V164" t="str" s="33">
        <ns0:v>Даташит — локальный</ns0:v>
      </ns0:c>
      <ns0:c r="W164" t="str" s="33">
        <ns0:v>C:\Users\Nomatin\Documents\Altium\MY_LIB\MY_LIB\Datasheets\CONNFLY_DS1023.pdf</ns0:v>
      </ns0:c>
      <ns0:c r="X164" t="str" s="33">
        <ns0:v>Даташит — производитель</ns0:v>
      </ns0:c>
      <ns0:c r="Y164" t="str" s="33">
        <ns0:v>https://en.connfly.com/static/upload/file/pdf/DS1023.pdf</ns0:v>
      </ns0:c>
      <ns0:c r="Z164" t="str" s="33">
        <ns0:v>C:\Users\Nomatin\Documents\Altium\MY_LIB\MY_LIB\Datasheets\CONNFLY_DS1023.pdf</ns0:v>
      </ns0:c>
    </ns0:row>
    <ns0:row xmlns:ns0="http://schemas.openxmlformats.org/spreadsheetml/2006/main" r="165" ht="85" customHeight="1">
      <ns0:c r="A165" t="str" s="33">
        <ns0:v>XS0004</ns0:v>
      </ns0:c>
      <ns0:c r="B165" t="str" s="33">
        <ns0:v>Разъём</ns0:v>
      </ns0:c>
      <ns0:c r="C165" t="str" s="33">
        <ns0:v>1x03, 2.54 мм</ns0:v>
      </ns0:c>
      <ns0:c r="D165" t="str" s="34">
        <ns0:f>C165</ns0:f>
        <ns0:v>1x03, 2.54 мм</ns0:v>
      </ns0:c>
      <ns0:c r="E165" s="33"/>
      <ns0:c r="F165" s="33"/>
      <ns0:c r="G165" s="33"/>
      <ns0:c r="H165" t="str" s="35">
        <ns0:v>1x03, P2.54, THT, прямой</ns0:v>
      </ns0:c>
      <ns0:c r="I165" t="str" s="33">
        <ns0:v>CONNFLY</ns0:v>
      </ns0:c>
      <ns0:c r="J165" t="str" s="33">
        <ns0:v>DS1023</ns0:v>
      </ns0:c>
      <ns0:c r="K165" t="str" s="34">
        <ns0:f>B165&amp;" "&amp;D165&amp;" "&amp;J165</ns0:f>
        <ns0:v>Разъём 1x03, 2.54 мм DS1023</ns0:v>
      </ns0:c>
      <ns0:c r="L165" t="str" s="36">
        <ns0:v>XS_3</ns0:v>
      </ns0:c>
      <ns0:c r="M165" t="str" s="36">
        <ns0:v>Symbols\MY_LIB_Connectors.SchLib</ns0:v>
      </ns0:c>
      <ns0:c r="N165" t="str" s="36">
        <ns0:v>CONNFLY_DS1023_1X03</ns0:v>
      </ns0:c>
      <ns0:c r="O165" t="str" s="36">
        <ns0:v>Footprints\MY_LIB_Connectors.PcbLib</ns0:v>
      </ns0:c>
      <ns0:c r="P165" t="str" s="33">
        <ns0:v>Гнездовой, прямой; 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5" s="33"/>
      <ns0:c r="R165" t="str" s="34">
        <ns0:f>D165</ns0:f>
        <ns0:v>1x03, 2.54 мм</ns0:v>
      </ns0:c>
      <ns0:c r="S165" t="str" s="34">
        <ns0:f>K165</ns0:f>
        <ns0:v>Разъём 1x03, 2.54 мм DS1023</ns0:v>
      </ns0:c>
      <ns0:c r="T165" t="str" s="33">
        <ns0:v>C:\Users\Nomatin\Documents\Altium\MY_LIB\MY_LIB\Datasheets\CONNFLY_DS1023.pdf</ns0:v>
      </ns0:c>
      <ns0:c r="U165" s="33"/>
      <ns0:c r="V165" t="str" s="33">
        <ns0:v>Даташит — локальный</ns0:v>
      </ns0:c>
      <ns0:c r="W165" t="str" s="33">
        <ns0:v>C:\Users\Nomatin\Documents\Altium\MY_LIB\MY_LIB\Datasheets\CONNFLY_DS1023.pdf</ns0:v>
      </ns0:c>
      <ns0:c r="X165" t="str" s="33">
        <ns0:v>Даташит — производитель</ns0:v>
      </ns0:c>
      <ns0:c r="Y165" t="str" s="33">
        <ns0:v>https://en.connfly.com/static/upload/file/pdf/DS1023.pdf</ns0:v>
      </ns0:c>
      <ns0:c r="Z165" t="str" s="33">
        <ns0:v>C:\Users\Nomatin\Documents\Altium\MY_LIB\MY_LIB\Datasheets\CONNFLY_DS1023.pdf</ns0:v>
      </ns0:c>
    </ns0:row>
    <ns0:row xmlns:ns0="http://schemas.openxmlformats.org/spreadsheetml/2006/main" r="166" ht="85" customHeight="1">
      <ns0:c r="A166" t="str" s="33">
        <ns0:v>XS0005</ns0:v>
      </ns0:c>
      <ns0:c r="B166" t="str" s="33">
        <ns0:v>Разъём</ns0:v>
      </ns0:c>
      <ns0:c r="C166" t="str" s="33">
        <ns0:v>1x04, 2.54 мм</ns0:v>
      </ns0:c>
      <ns0:c r="D166" t="str" s="34">
        <ns0:f>C166</ns0:f>
        <ns0:v>1x04, 2.54 мм</ns0:v>
      </ns0:c>
      <ns0:c r="E166" s="33"/>
      <ns0:c r="F166" s="33"/>
      <ns0:c r="G166" s="33"/>
      <ns0:c r="H166" t="str" s="35">
        <ns0:v>1x04, P2.54, THT, прямой</ns0:v>
      </ns0:c>
      <ns0:c r="I166" t="str" s="33">
        <ns0:v>CONNFLY</ns0:v>
      </ns0:c>
      <ns0:c r="J166" t="str" s="33">
        <ns0:v>DS1023</ns0:v>
      </ns0:c>
      <ns0:c r="K166" t="str" s="34">
        <ns0:f>B166&amp;" "&amp;D166&amp;" "&amp;J166</ns0:f>
        <ns0:v>Разъём 1x04, 2.54 мм DS1023</ns0:v>
      </ns0:c>
      <ns0:c r="L166" t="str" s="36">
        <ns0:v>XS_4</ns0:v>
      </ns0:c>
      <ns0:c r="M166" t="str" s="36">
        <ns0:v>Symbols\MY_LIB_Connectors.SchLib</ns0:v>
      </ns0:c>
      <ns0:c r="N166" t="str" s="36">
        <ns0:v>CONNFLY_DS1023_1X04</ns0:v>
      </ns0:c>
      <ns0:c r="O166" t="str" s="36">
        <ns0:v>Footprints\MY_LIB_Connectors.PcbLib</ns0:v>
      </ns0:c>
      <ns0:c r="P166" t="str" s="33">
        <ns0:v>Гнездовой, прямой;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6" s="33"/>
      <ns0:c r="R166" t="str" s="34">
        <ns0:f>D166</ns0:f>
        <ns0:v>1x04, 2.54 мм</ns0:v>
      </ns0:c>
      <ns0:c r="S166" t="str" s="34">
        <ns0:f>K166</ns0:f>
        <ns0:v>Разъём 1x04, 2.54 мм DS1023</ns0:v>
      </ns0:c>
      <ns0:c r="T166" t="str" s="33">
        <ns0:v>C:\Users\Nomatin\Documents\Altium\MY_LIB\MY_LIB\Datasheets\CONNFLY_DS1023.pdf</ns0:v>
      </ns0:c>
      <ns0:c r="U166" s="33"/>
      <ns0:c r="V166" t="str" s="33">
        <ns0:v>Даташит — локальный</ns0:v>
      </ns0:c>
      <ns0:c r="W166" t="str" s="33">
        <ns0:v>C:\Users\Nomatin\Documents\Altium\MY_LIB\MY_LIB\Datasheets\CONNFLY_DS1023.pdf</ns0:v>
      </ns0:c>
      <ns0:c r="X166" t="str" s="33">
        <ns0:v>Даташит — производитель</ns0:v>
      </ns0:c>
      <ns0:c r="Y166" t="str" s="33">
        <ns0:v>https://en.connfly.com/static/upload/file/pdf/DS1023.pdf</ns0:v>
      </ns0:c>
      <ns0:c r="Z166" t="str" s="33">
        <ns0:v>C:\Users\Nomatin\Documents\Altium\MY_LIB\MY_LIB\Datasheets\CONNFLY_DS1023.pdf</ns0:v>
      </ns0:c>
    </ns0:row>
    <ns0:row xmlns:ns0="http://schemas.openxmlformats.org/spreadsheetml/2006/main" r="167" ht="85" customHeight="1">
      <ns0:c r="A167" t="str" s="33">
        <ns0:v>XS0006</ns0:v>
      </ns0:c>
      <ns0:c r="B167" t="str" s="33">
        <ns0:v>Разъём</ns0:v>
      </ns0:c>
      <ns0:c r="C167" t="str" s="33">
        <ns0:v>1x05, 2.54 мм</ns0:v>
      </ns0:c>
      <ns0:c r="D167" t="str" s="34">
        <ns0:f>C167</ns0:f>
        <ns0:v>1x05, 2.54 мм</ns0:v>
      </ns0:c>
      <ns0:c r="E167" s="33"/>
      <ns0:c r="F167" s="33"/>
      <ns0:c r="G167" s="33"/>
      <ns0:c r="H167" t="str" s="35">
        <ns0:v>1x05, P2.54, THT, прямой</ns0:v>
      </ns0:c>
      <ns0:c r="I167" t="str" s="33">
        <ns0:v>CONNFLY</ns0:v>
      </ns0:c>
      <ns0:c r="J167" t="str" s="33">
        <ns0:v>DS1023</ns0:v>
      </ns0:c>
      <ns0:c r="K167" t="str" s="34">
        <ns0:f>B167&amp;" "&amp;D167&amp;" "&amp;J167</ns0:f>
        <ns0:v>Разъём 1x05, 2.54 мм DS1023</ns0:v>
      </ns0:c>
      <ns0:c r="L167" t="str" s="36">
        <ns0:v>XS_5</ns0:v>
      </ns0:c>
      <ns0:c r="M167" t="str" s="36">
        <ns0:v>Symbols\MY_LIB_Connectors.SchLib</ns0:v>
      </ns0:c>
      <ns0:c r="N167" t="str" s="36">
        <ns0:v>CONNFLY_DS1023_1X05</ns0:v>
      </ns0:c>
      <ns0:c r="O167" t="str" s="36">
        <ns0:v>Footprints\MY_LIB_Connectors.PcbLib</ns0:v>
      </ns0:c>
      <ns0:c r="P167" t="str" s="33">
        <ns0:v>Гнездовой, прямой; 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7" s="33"/>
      <ns0:c r="R167" t="str" s="34">
        <ns0:f>D167</ns0:f>
        <ns0:v>1x05, 2.54 мм</ns0:v>
      </ns0:c>
      <ns0:c r="S167" t="str" s="34">
        <ns0:f>K167</ns0:f>
        <ns0:v>Разъём 1x05, 2.54 мм DS1023</ns0:v>
      </ns0:c>
      <ns0:c r="T167" t="str" s="33">
        <ns0:v>C:\Users\Nomatin\Documents\Altium\MY_LIB\MY_LIB\Datasheets\CONNFLY_DS1023.pdf</ns0:v>
      </ns0:c>
      <ns0:c r="U167" s="33"/>
      <ns0:c r="V167" t="str" s="33">
        <ns0:v>Даташит — локальный</ns0:v>
      </ns0:c>
      <ns0:c r="W167" t="str" s="33">
        <ns0:v>C:\Users\Nomatin\Documents\Altium\MY_LIB\MY_LIB\Datasheets\CONNFLY_DS1023.pdf</ns0:v>
      </ns0:c>
      <ns0:c r="X167" t="str" s="33">
        <ns0:v>Даташит — производитель</ns0:v>
      </ns0:c>
      <ns0:c r="Y167" t="str" s="33">
        <ns0:v>https://en.connfly.com/static/upload/file/pdf/DS1023.pdf</ns0:v>
      </ns0:c>
      <ns0:c r="Z167" t="str" s="33">
        <ns0:v>C:\Users\Nomatin\Documents\Altium\MY_LIB\MY_LIB\Datasheets\CONNFLY_DS1023.pdf</ns0:v>
      </ns0:c>
    </ns0:row>
    <ns0:row xmlns:ns0="http://schemas.openxmlformats.org/spreadsheetml/2006/main" r="168" ht="85" customHeight="1">
      <ns0:c r="A168" t="str" s="33">
        <ns0:v>XS0007</ns0:v>
      </ns0:c>
      <ns0:c r="B168" t="str" s="33">
        <ns0:v>Разъём</ns0:v>
      </ns0:c>
      <ns0:c r="C168" t="str" s="33">
        <ns0:v>1x06, 2.54 мм</ns0:v>
      </ns0:c>
      <ns0:c r="D168" t="str" s="34">
        <ns0:f>C168</ns0:f>
        <ns0:v>1x06, 2.54 мм</ns0:v>
      </ns0:c>
      <ns0:c r="E168" s="33"/>
      <ns0:c r="F168" s="33"/>
      <ns0:c r="G168" s="33"/>
      <ns0:c r="H168" t="str" s="35">
        <ns0:v>1x06, P2.54, THT, прямой</ns0:v>
      </ns0:c>
      <ns0:c r="I168" t="str" s="33">
        <ns0:v>CONNFLY</ns0:v>
      </ns0:c>
      <ns0:c r="J168" t="str" s="33">
        <ns0:v>DS1023</ns0:v>
      </ns0:c>
      <ns0:c r="K168" t="str" s="34">
        <ns0:f>B168&amp;" "&amp;D168&amp;" "&amp;J168</ns0:f>
        <ns0:v>Разъём 1x06, 2.54 мм DS1023</ns0:v>
      </ns0:c>
      <ns0:c r="L168" t="str" s="36">
        <ns0:v>XS_6</ns0:v>
      </ns0:c>
      <ns0:c r="M168" t="str" s="36">
        <ns0:v>Symbols\MY_LIB_Connectors.SchLib</ns0:v>
      </ns0:c>
      <ns0:c r="N168" t="str" s="36">
        <ns0:v>CONNFLY_DS1023_1X06</ns0:v>
      </ns0:c>
      <ns0:c r="O168" t="str" s="36">
        <ns0:v>Footprints\MY_LIB_Connectors.PcbLib</ns0:v>
      </ns0:c>
      <ns0:c r="P168" t="str" s="33">
        <ns0:v>Гнездовой, прямой;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8" s="33"/>
      <ns0:c r="R168" t="str" s="34">
        <ns0:f>D168</ns0:f>
        <ns0:v>1x06, 2.54 мм</ns0:v>
      </ns0:c>
      <ns0:c r="S168" t="str" s="34">
        <ns0:f>K168</ns0:f>
        <ns0:v>Разъём 1x06, 2.54 мм DS1023</ns0:v>
      </ns0:c>
      <ns0:c r="T168" t="str" s="33">
        <ns0:v>C:\Users\Nomatin\Documents\Altium\MY_LIB\MY_LIB\Datasheets\CONNFLY_DS1023.pdf</ns0:v>
      </ns0:c>
      <ns0:c r="U168" s="33"/>
      <ns0:c r="V168" t="str" s="33">
        <ns0:v>Даташит — локальный</ns0:v>
      </ns0:c>
      <ns0:c r="W168" t="str" s="33">
        <ns0:v>C:\Users\Nomatin\Documents\Altium\MY_LIB\MY_LIB\Datasheets\CONNFLY_DS1023.pdf</ns0:v>
      </ns0:c>
      <ns0:c r="X168" t="str" s="33">
        <ns0:v>Даташит — производитель</ns0:v>
      </ns0:c>
      <ns0:c r="Y168" t="str" s="33">
        <ns0:v>https://en.connfly.com/static/upload/file/pdf/DS1023.pdf</ns0:v>
      </ns0:c>
      <ns0:c r="Z168" t="str" s="33">
        <ns0:v>C:\Users\Nomatin\Documents\Altium\MY_LIB\MY_LIB\Datasheets\CONNFLY_DS1023.pdf</ns0:v>
      </ns0:c>
    </ns0:row>
    <ns0:row xmlns:ns0="http://schemas.openxmlformats.org/spreadsheetml/2006/main" r="169" ht="85" customHeight="1">
      <ns0:c r="A169" t="str" s="33">
        <ns0:v>XS0008</ns0:v>
      </ns0:c>
      <ns0:c r="B169" t="str" s="33">
        <ns0:v>Разъём</ns0:v>
      </ns0:c>
      <ns0:c r="C169" t="str" s="33">
        <ns0:v>1x07, 2.54 мм</ns0:v>
      </ns0:c>
      <ns0:c r="D169" t="str" s="34">
        <ns0:f>C169</ns0:f>
        <ns0:v>1x07, 2.54 мм</ns0:v>
      </ns0:c>
      <ns0:c r="E169" s="33"/>
      <ns0:c r="F169" s="33"/>
      <ns0:c r="G169" s="33"/>
      <ns0:c r="H169" t="str" s="35">
        <ns0:v>1x07, P2.54, THT, прямой</ns0:v>
      </ns0:c>
      <ns0:c r="I169" t="str" s="33">
        <ns0:v>CONNFLY</ns0:v>
      </ns0:c>
      <ns0:c r="J169" t="str" s="33">
        <ns0:v>DS1023</ns0:v>
      </ns0:c>
      <ns0:c r="K169" t="str" s="34">
        <ns0:f>B169&amp;" "&amp;D169&amp;" "&amp;J169</ns0:f>
        <ns0:v>Разъём 1x07, 2.54 мм DS1023</ns0:v>
      </ns0:c>
      <ns0:c r="L169" t="str" s="36">
        <ns0:v>XS_7</ns0:v>
      </ns0:c>
      <ns0:c r="M169" t="str" s="36">
        <ns0:v>Symbols\MY_LIB_Connectors.SchLib</ns0:v>
      </ns0:c>
      <ns0:c r="N169" t="str" s="36">
        <ns0:v>CONNFLY_DS1023_1X07</ns0:v>
      </ns0:c>
      <ns0:c r="O169" t="str" s="36">
        <ns0:v>Footprints\MY_LIB_Connectors.PcbLib</ns0:v>
      </ns0:c>
      <ns0:c r="P169" t="str" s="33">
        <ns0:v>Гнездовой, прямой; 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69" s="33"/>
      <ns0:c r="R169" t="str" s="34">
        <ns0:f>D169</ns0:f>
        <ns0:v>1x07, 2.54 мм</ns0:v>
      </ns0:c>
      <ns0:c r="S169" t="str" s="34">
        <ns0:f>K169</ns0:f>
        <ns0:v>Разъём 1x07, 2.54 мм DS1023</ns0:v>
      </ns0:c>
      <ns0:c r="T169" t="str" s="33">
        <ns0:v>C:\Users\Nomatin\Documents\Altium\MY_LIB\MY_LIB\Datasheets\CONNFLY_DS1023.pdf</ns0:v>
      </ns0:c>
      <ns0:c r="U169" s="33"/>
      <ns0:c r="V169" t="str" s="33">
        <ns0:v>Даташит — локальный</ns0:v>
      </ns0:c>
      <ns0:c r="W169" t="str" s="33">
        <ns0:v>C:\Users\Nomatin\Documents\Altium\MY_LIB\MY_LIB\Datasheets\CONNFLY_DS1023.pdf</ns0:v>
      </ns0:c>
      <ns0:c r="X169" t="str" s="33">
        <ns0:v>Даташит — производитель</ns0:v>
      </ns0:c>
      <ns0:c r="Y169" t="str" s="33">
        <ns0:v>https://en.connfly.com/static/upload/file/pdf/DS1023.pdf</ns0:v>
      </ns0:c>
      <ns0:c r="Z169" t="str" s="33">
        <ns0:v>C:\Users\Nomatin\Documents\Altium\MY_LIB\MY_LIB\Datasheets\CONNFLY_DS1023.pdf</ns0:v>
      </ns0:c>
    </ns0:row>
    <ns0:row xmlns:ns0="http://schemas.openxmlformats.org/spreadsheetml/2006/main" r="170" ht="85" customHeight="1">
      <ns0:c r="A170" t="str" s="33">
        <ns0:v>XS0009</ns0:v>
      </ns0:c>
      <ns0:c r="B170" t="str" s="33">
        <ns0:v>Разъём</ns0:v>
      </ns0:c>
      <ns0:c r="C170" t="str" s="33">
        <ns0:v>1x08, 2.54 мм</ns0:v>
      </ns0:c>
      <ns0:c r="D170" t="str" s="34">
        <ns0:f>C170</ns0:f>
        <ns0:v>1x08, 2.54 мм</ns0:v>
      </ns0:c>
      <ns0:c r="E170" s="33"/>
      <ns0:c r="F170" s="33"/>
      <ns0:c r="G170" s="33"/>
      <ns0:c r="H170" t="str" s="35">
        <ns0:v>1x08, P2.54, THT, прямой</ns0:v>
      </ns0:c>
      <ns0:c r="I170" t="str" s="33">
        <ns0:v>CONNFLY</ns0:v>
      </ns0:c>
      <ns0:c r="J170" t="str" s="33">
        <ns0:v>DS1023</ns0:v>
      </ns0:c>
      <ns0:c r="K170" t="str" s="34">
        <ns0:f>B170&amp;" "&amp;D170&amp;" "&amp;J170</ns0:f>
        <ns0:v>Разъём 1x08, 2.54 мм DS1023</ns0:v>
      </ns0:c>
      <ns0:c r="L170" t="str" s="36">
        <ns0:v>XS_8</ns0:v>
      </ns0:c>
      <ns0:c r="M170" t="str" s="36">
        <ns0:v>Symbols\MY_LIB_Connectors.SchLib</ns0:v>
      </ns0:c>
      <ns0:c r="N170" t="str" s="36">
        <ns0:v>CONNFLY_DS1023_1X08</ns0:v>
      </ns0:c>
      <ns0:c r="O170" t="str" s="36">
        <ns0:v>Footprints\MY_LIB_Connectors.PcbLib</ns0:v>
      </ns0:c>
      <ns0:c r="P170" t="str" s="33">
        <ns0:v>Гнездовой, прямой;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0" s="33"/>
      <ns0:c r="R170" t="str" s="34">
        <ns0:f>D170</ns0:f>
        <ns0:v>1x08, 2.54 мм</ns0:v>
      </ns0:c>
      <ns0:c r="S170" t="str" s="34">
        <ns0:f>K170</ns0:f>
        <ns0:v>Разъём 1x08, 2.54 мм DS1023</ns0:v>
      </ns0:c>
      <ns0:c r="T170" t="str" s="33">
        <ns0:v>C:\Users\Nomatin\Documents\Altium\MY_LIB\MY_LIB\Datasheets\CONNFLY_DS1023.pdf</ns0:v>
      </ns0:c>
      <ns0:c r="U170" s="33"/>
      <ns0:c r="V170" t="str" s="33">
        <ns0:v>Даташит — локальный</ns0:v>
      </ns0:c>
      <ns0:c r="W170" t="str" s="33">
        <ns0:v>C:\Users\Nomatin\Documents\Altium\MY_LIB\MY_LIB\Datasheets\CONNFLY_DS1023.pdf</ns0:v>
      </ns0:c>
      <ns0:c r="X170" t="str" s="33">
        <ns0:v>Даташит — производитель</ns0:v>
      </ns0:c>
      <ns0:c r="Y170" t="str" s="33">
        <ns0:v>https://en.connfly.com/static/upload/file/pdf/DS1023.pdf</ns0:v>
      </ns0:c>
      <ns0:c r="Z170" t="str" s="33">
        <ns0:v>C:\Users\Nomatin\Documents\Altium\MY_LIB\MY_LIB\Datasheets\CONNFLY_DS1023.pdf</ns0:v>
      </ns0:c>
    </ns0:row>
    <ns0:row xmlns:ns0="http://schemas.openxmlformats.org/spreadsheetml/2006/main" r="171" ht="85" customHeight="1">
      <ns0:c r="A171" t="str" s="33">
        <ns0:v>XS0010</ns0:v>
      </ns0:c>
      <ns0:c r="B171" t="str" s="33">
        <ns0:v>Разъём</ns0:v>
      </ns0:c>
      <ns0:c r="C171" t="str" s="33">
        <ns0:v>1x09, 2.54 мм</ns0:v>
      </ns0:c>
      <ns0:c r="D171" t="str" s="34">
        <ns0:f>C171</ns0:f>
        <ns0:v>1x09, 2.54 мм</ns0:v>
      </ns0:c>
      <ns0:c r="E171" s="33"/>
      <ns0:c r="F171" s="33"/>
      <ns0:c r="G171" s="33"/>
      <ns0:c r="H171" t="str" s="35">
        <ns0:v>1x09, P2.54, THT, прямой</ns0:v>
      </ns0:c>
      <ns0:c r="I171" t="str" s="33">
        <ns0:v>CONNFLY</ns0:v>
      </ns0:c>
      <ns0:c r="J171" t="str" s="33">
        <ns0:v>DS1023</ns0:v>
      </ns0:c>
      <ns0:c r="K171" t="str" s="34">
        <ns0:f>B171&amp;" "&amp;D171&amp;" "&amp;J171</ns0:f>
        <ns0:v>Разъём 1x09, 2.54 мм DS1023</ns0:v>
      </ns0:c>
      <ns0:c r="L171" t="str" s="36">
        <ns0:v>XS_9</ns0:v>
      </ns0:c>
      <ns0:c r="M171" t="str" s="36">
        <ns0:v>Symbols\MY_LIB_Connectors.SchLib</ns0:v>
      </ns0:c>
      <ns0:c r="N171" t="str" s="36">
        <ns0:v>CONNFLY_DS1023_1X09</ns0:v>
      </ns0:c>
      <ns0:c r="O171" t="str" s="36">
        <ns0:v>Footprints\MY_LIB_Connectors.PcbLib</ns0:v>
      </ns0:c>
      <ns0:c r="P171" t="str" s="33">
        <ns0:v>Гнездовой, прямой; 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1" s="33"/>
      <ns0:c r="R171" t="str" s="34">
        <ns0:f>D171</ns0:f>
        <ns0:v>1x09, 2.54 мм</ns0:v>
      </ns0:c>
      <ns0:c r="S171" t="str" s="34">
        <ns0:f>K171</ns0:f>
        <ns0:v>Разъём 1x09, 2.54 мм DS1023</ns0:v>
      </ns0:c>
      <ns0:c r="T171" t="str" s="33">
        <ns0:v>C:\Users\Nomatin\Documents\Altium\MY_LIB\MY_LIB\Datasheets\CONNFLY_DS1023.pdf</ns0:v>
      </ns0:c>
      <ns0:c r="U171" s="33"/>
      <ns0:c r="V171" t="str" s="33">
        <ns0:v>Даташит — локальный</ns0:v>
      </ns0:c>
      <ns0:c r="W171" t="str" s="33">
        <ns0:v>C:\Users\Nomatin\Documents\Altium\MY_LIB\MY_LIB\Datasheets\CONNFLY_DS1023.pdf</ns0:v>
      </ns0:c>
      <ns0:c r="X171" t="str" s="33">
        <ns0:v>Даташит — производитель</ns0:v>
      </ns0:c>
      <ns0:c r="Y171" t="str" s="33">
        <ns0:v>https://en.connfly.com/static/upload/file/pdf/DS1023.pdf</ns0:v>
      </ns0:c>
      <ns0:c r="Z171" t="str" s="33">
        <ns0:v>C:\Users\Nomatin\Documents\Altium\MY_LIB\MY_LIB\Datasheets\CONNFLY_DS1023.pdf</ns0:v>
      </ns0:c>
    </ns0:row>
    <ns0:row xmlns:ns0="http://schemas.openxmlformats.org/spreadsheetml/2006/main" r="172" ht="85" customHeight="1">
      <ns0:c r="A172" t="str" s="33">
        <ns0:v>XS0011</ns0:v>
      </ns0:c>
      <ns0:c r="B172" t="str" s="33">
        <ns0:v>Разъём</ns0:v>
      </ns0:c>
      <ns0:c r="C172" t="str" s="33">
        <ns0:v>1x10, 2.54 мм</ns0:v>
      </ns0:c>
      <ns0:c r="D172" t="str" s="34">
        <ns0:f>C172</ns0:f>
        <ns0:v>1x10, 2.54 мм</ns0:v>
      </ns0:c>
      <ns0:c r="E172" s="33"/>
      <ns0:c r="F172" s="33"/>
      <ns0:c r="G172" s="33"/>
      <ns0:c r="H172" t="str" s="35">
        <ns0:v>1x10, P2.54, THT, прямой</ns0:v>
      </ns0:c>
      <ns0:c r="I172" t="str" s="33">
        <ns0:v>CONNFLY</ns0:v>
      </ns0:c>
      <ns0:c r="J172" t="str" s="33">
        <ns0:v>DS1023</ns0:v>
      </ns0:c>
      <ns0:c r="K172" t="str" s="34">
        <ns0:f>B172&amp;" "&amp;D172&amp;" "&amp;J172</ns0:f>
        <ns0:v>Разъём 1x10, 2.54 мм DS1023</ns0:v>
      </ns0:c>
      <ns0:c r="L172" t="str" s="36">
        <ns0:v>XS_10</ns0:v>
      </ns0:c>
      <ns0:c r="M172" t="str" s="36">
        <ns0:v>Symbols\MY_LIB_Connectors.SchLib</ns0:v>
      </ns0:c>
      <ns0:c r="N172" t="str" s="36">
        <ns0:v>CONNFLY_DS1023_1X10</ns0:v>
      </ns0:c>
      <ns0:c r="O172" t="str" s="36">
        <ns0:v>Footprints\MY_LIB_Connectors.PcbLib</ns0:v>
      </ns0:c>
      <ns0:c r="P172" t="str" s="33">
        <ns0:v>Гнездовой, прямой;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2" s="33"/>
      <ns0:c r="R172" t="str" s="34">
        <ns0:f>D172</ns0:f>
        <ns0:v>1x10, 2.54 мм</ns0:v>
      </ns0:c>
      <ns0:c r="S172" t="str" s="34">
        <ns0:f>K172</ns0:f>
        <ns0:v>Разъём 1x10, 2.54 мм DS1023</ns0:v>
      </ns0:c>
      <ns0:c r="T172" t="str" s="33">
        <ns0:v>C:\Users\Nomatin\Documents\Altium\MY_LIB\MY_LIB\Datasheets\CONNFLY_DS1023.pdf</ns0:v>
      </ns0:c>
      <ns0:c r="U172" s="33"/>
      <ns0:c r="V172" t="str" s="33">
        <ns0:v>Даташит — локальный</ns0:v>
      </ns0:c>
      <ns0:c r="W172" t="str" s="33">
        <ns0:v>C:\Users\Nomatin\Documents\Altium\MY_LIB\MY_LIB\Datasheets\CONNFLY_DS1023.pdf</ns0:v>
      </ns0:c>
      <ns0:c r="X172" t="str" s="33">
        <ns0:v>Даташит — производитель</ns0:v>
      </ns0:c>
      <ns0:c r="Y172" t="str" s="33">
        <ns0:v>https://en.connfly.com/static/upload/file/pdf/DS1023.pdf</ns0:v>
      </ns0:c>
      <ns0:c r="Z172" t="str" s="33">
        <ns0:v>C:\Users\Nomatin\Documents\Altium\MY_LIB\MY_LIB\Datasheets\CONNFLY_DS1023.pdf</ns0:v>
      </ns0:c>
    </ns0:row>
    <ns0:row xmlns:ns0="http://schemas.openxmlformats.org/spreadsheetml/2006/main" r="173" ht="85" customHeight="1">
      <ns0:c r="A173" t="str" s="33">
        <ns0:v>XS0012</ns0:v>
      </ns0:c>
      <ns0:c r="B173" t="str" s="33">
        <ns0:v>Разъём</ns0:v>
      </ns0:c>
      <ns0:c r="C173" t="str" s="33">
        <ns0:v>1x11, 2.54 мм</ns0:v>
      </ns0:c>
      <ns0:c r="D173" t="str" s="34">
        <ns0:f>C173</ns0:f>
        <ns0:v>1x11, 2.54 мм</ns0:v>
      </ns0:c>
      <ns0:c r="E173" s="33"/>
      <ns0:c r="F173" s="33"/>
      <ns0:c r="G173" s="33"/>
      <ns0:c r="H173" t="str" s="35">
        <ns0:v>1x11, P2.54, THT, прямой</ns0:v>
      </ns0:c>
      <ns0:c r="I173" t="str" s="33">
        <ns0:v>CONNFLY</ns0:v>
      </ns0:c>
      <ns0:c r="J173" t="str" s="33">
        <ns0:v>DS1023</ns0:v>
      </ns0:c>
      <ns0:c r="K173" t="str" s="34">
        <ns0:f>B173&amp;" "&amp;D173&amp;" "&amp;J173</ns0:f>
        <ns0:v>Разъём 1x11, 2.54 мм DS1023</ns0:v>
      </ns0:c>
      <ns0:c r="L173" t="str" s="36">
        <ns0:v>XS_11</ns0:v>
      </ns0:c>
      <ns0:c r="M173" t="str" s="36">
        <ns0:v>Symbols\MY_LIB_Connectors.SchLib</ns0:v>
      </ns0:c>
      <ns0:c r="N173" t="str" s="36">
        <ns0:v>CONNFLY_DS1023_1X11</ns0:v>
      </ns0:c>
      <ns0:c r="O173" t="str" s="36">
        <ns0:v>Footprints\MY_LIB_Connectors.PcbLib</ns0:v>
      </ns0:c>
      <ns0:c r="P173" t="str" s="33">
        <ns0:v>Гнездовой, прямой; 11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3" s="33"/>
      <ns0:c r="R173" t="str" s="34">
        <ns0:f>D173</ns0:f>
        <ns0:v>1x11, 2.54 мм</ns0:v>
      </ns0:c>
      <ns0:c r="S173" t="str" s="34">
        <ns0:f>K173</ns0:f>
        <ns0:v>Разъём 1x11, 2.54 мм DS1023</ns0:v>
      </ns0:c>
      <ns0:c r="T173" t="str" s="33">
        <ns0:v>C:\Users\Nomatin\Documents\Altium\MY_LIB\MY_LIB\Datasheets\CONNFLY_DS1023.pdf</ns0:v>
      </ns0:c>
      <ns0:c r="U173" s="33"/>
      <ns0:c r="V173" t="str" s="33">
        <ns0:v>Даташит — локальный</ns0:v>
      </ns0:c>
      <ns0:c r="W173" t="str" s="33">
        <ns0:v>C:\Users\Nomatin\Documents\Altium\MY_LIB\MY_LIB\Datasheets\CONNFLY_DS1023.pdf</ns0:v>
      </ns0:c>
      <ns0:c r="X173" t="str" s="33">
        <ns0:v>Даташит — производитель</ns0:v>
      </ns0:c>
      <ns0:c r="Y173" t="str" s="33">
        <ns0:v>https://en.connfly.com/static/upload/file/pdf/DS1023.pdf</ns0:v>
      </ns0:c>
      <ns0:c r="Z173" t="str" s="33">
        <ns0:v>C:\Users\Nomatin\Documents\Altium\MY_LIB\MY_LIB\Datasheets\CONNFLY_DS1023.pdf</ns0:v>
      </ns0:c>
    </ns0:row>
    <ns0:row xmlns:ns0="http://schemas.openxmlformats.org/spreadsheetml/2006/main" r="174" ht="85" customHeight="1">
      <ns0:c r="A174" t="str" s="33">
        <ns0:v>XS0013</ns0:v>
      </ns0:c>
      <ns0:c r="B174" t="str" s="33">
        <ns0:v>Разъём</ns0:v>
      </ns0:c>
      <ns0:c r="C174" t="str" s="33">
        <ns0:v>1x12, 2.54 мм</ns0:v>
      </ns0:c>
      <ns0:c r="D174" t="str" s="34">
        <ns0:f>C174</ns0:f>
        <ns0:v>1x12, 2.54 мм</ns0:v>
      </ns0:c>
      <ns0:c r="E174" s="33"/>
      <ns0:c r="F174" s="33"/>
      <ns0:c r="G174" s="33"/>
      <ns0:c r="H174" t="str" s="35">
        <ns0:v>1x12, P2.54, THT, прямой</ns0:v>
      </ns0:c>
      <ns0:c r="I174" t="str" s="33">
        <ns0:v>CONNFLY</ns0:v>
      </ns0:c>
      <ns0:c r="J174" t="str" s="33">
        <ns0:v>DS1023</ns0:v>
      </ns0:c>
      <ns0:c r="K174" t="str" s="34">
        <ns0:f>B174&amp;" "&amp;D174&amp;" "&amp;J174</ns0:f>
        <ns0:v>Разъём 1x12, 2.54 мм DS1023</ns0:v>
      </ns0:c>
      <ns0:c r="L174" t="str" s="36">
        <ns0:v>XS_12</ns0:v>
      </ns0:c>
      <ns0:c r="M174" t="str" s="36">
        <ns0:v>Symbols\MY_LIB_Connectors.SchLib</ns0:v>
      </ns0:c>
      <ns0:c r="N174" t="str" s="36">
        <ns0:v>CONNFLY_DS1023_1X12</ns0:v>
      </ns0:c>
      <ns0:c r="O174" t="str" s="36">
        <ns0:v>Footprints\MY_LIB_Connectors.PcbLib</ns0:v>
      </ns0:c>
      <ns0:c r="P174" t="str" s="33">
        <ns0:v>Гнездовой, прямой;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4" s="33"/>
      <ns0:c r="R174" t="str" s="34">
        <ns0:f>D174</ns0:f>
        <ns0:v>1x12, 2.54 мм</ns0:v>
      </ns0:c>
      <ns0:c r="S174" t="str" s="34">
        <ns0:f>K174</ns0:f>
        <ns0:v>Разъём 1x12, 2.54 мм DS1023</ns0:v>
      </ns0:c>
      <ns0:c r="T174" t="str" s="33">
        <ns0:v>C:\Users\Nomatin\Documents\Altium\MY_LIB\MY_LIB\Datasheets\CONNFLY_DS1023.pdf</ns0:v>
      </ns0:c>
      <ns0:c r="U174" s="33"/>
      <ns0:c r="V174" t="str" s="33">
        <ns0:v>Даташит — локальный</ns0:v>
      </ns0:c>
      <ns0:c r="W174" t="str" s="33">
        <ns0:v>C:\Users\Nomatin\Documents\Altium\MY_LIB\MY_LIB\Datasheets\CONNFLY_DS1023.pdf</ns0:v>
      </ns0:c>
      <ns0:c r="X174" t="str" s="33">
        <ns0:v>Даташит — производитель</ns0:v>
      </ns0:c>
      <ns0:c r="Y174" t="str" s="33">
        <ns0:v>https://en.connfly.com/static/upload/file/pdf/DS1023.pdf</ns0:v>
      </ns0:c>
      <ns0:c r="Z174" t="str" s="33">
        <ns0:v>C:\Users\Nomatin\Documents\Altium\MY_LIB\MY_LIB\Datasheets\CONNFLY_DS1023.pdf</ns0:v>
      </ns0:c>
    </ns0:row>
    <ns0:row xmlns:ns0="http://schemas.openxmlformats.org/spreadsheetml/2006/main" r="175" ht="85" customHeight="1">
      <ns0:c r="A175" t="str" s="33">
        <ns0:v>XS0014</ns0:v>
      </ns0:c>
      <ns0:c r="B175" t="str" s="33">
        <ns0:v>Разъём</ns0:v>
      </ns0:c>
      <ns0:c r="C175" t="str" s="33">
        <ns0:v>1x13, 2.54 мм</ns0:v>
      </ns0:c>
      <ns0:c r="D175" t="str" s="34">
        <ns0:f>C175</ns0:f>
        <ns0:v>1x13, 2.54 мм</ns0:v>
      </ns0:c>
      <ns0:c r="E175" s="33"/>
      <ns0:c r="F175" s="33"/>
      <ns0:c r="G175" s="33"/>
      <ns0:c r="H175" t="str" s="35">
        <ns0:v>1x13, P2.54, THT, прямой</ns0:v>
      </ns0:c>
      <ns0:c r="I175" t="str" s="33">
        <ns0:v>CONNFLY</ns0:v>
      </ns0:c>
      <ns0:c r="J175" t="str" s="33">
        <ns0:v>DS1023</ns0:v>
      </ns0:c>
      <ns0:c r="K175" t="str" s="34">
        <ns0:f>B175&amp;" "&amp;D175&amp;" "&amp;J175</ns0:f>
        <ns0:v>Разъём 1x13, 2.54 мм DS1023</ns0:v>
      </ns0:c>
      <ns0:c r="L175" t="str" s="36">
        <ns0:v>XS_13</ns0:v>
      </ns0:c>
      <ns0:c r="M175" t="str" s="36">
        <ns0:v>Symbols\MY_LIB_Connectors.SchLib</ns0:v>
      </ns0:c>
      <ns0:c r="N175" t="str" s="36">
        <ns0:v>CONNFLY_DS1023_1X13</ns0:v>
      </ns0:c>
      <ns0:c r="O175" t="str" s="36">
        <ns0:v>Footprints\MY_LIB_Connectors.PcbLib</ns0:v>
      </ns0:c>
      <ns0:c r="P175" t="str" s="33">
        <ns0:v>Гнездовой, прямой; 13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5" s="33"/>
      <ns0:c r="R175" t="str" s="34">
        <ns0:f>D175</ns0:f>
        <ns0:v>1x13, 2.54 мм</ns0:v>
      </ns0:c>
      <ns0:c r="S175" t="str" s="34">
        <ns0:f>K175</ns0:f>
        <ns0:v>Разъём 1x13, 2.54 мм DS1023</ns0:v>
      </ns0:c>
      <ns0:c r="T175" t="str" s="33">
        <ns0:v>C:\Users\Nomatin\Documents\Altium\MY_LIB\MY_LIB\Datasheets\CONNFLY_DS1023.pdf</ns0:v>
      </ns0:c>
      <ns0:c r="U175" s="33"/>
      <ns0:c r="V175" t="str" s="33">
        <ns0:v>Даташит — локальный</ns0:v>
      </ns0:c>
      <ns0:c r="W175" t="str" s="33">
        <ns0:v>C:\Users\Nomatin\Documents\Altium\MY_LIB\MY_LIB\Datasheets\CONNFLY_DS1023.pdf</ns0:v>
      </ns0:c>
      <ns0:c r="X175" t="str" s="33">
        <ns0:v>Даташит — производитель</ns0:v>
      </ns0:c>
      <ns0:c r="Y175" t="str" s="33">
        <ns0:v>https://en.connfly.com/static/upload/file/pdf/DS1023.pdf</ns0:v>
      </ns0:c>
      <ns0:c r="Z175" t="str" s="33">
        <ns0:v>C:\Users\Nomatin\Documents\Altium\MY_LIB\MY_LIB\Datasheets\CONNFLY_DS1023.pdf</ns0:v>
      </ns0:c>
    </ns0:row>
    <ns0:row xmlns:ns0="http://schemas.openxmlformats.org/spreadsheetml/2006/main" r="176" ht="85" customHeight="1">
      <ns0:c r="A176" t="str" s="33">
        <ns0:v>XS0015</ns0:v>
      </ns0:c>
      <ns0:c r="B176" t="str" s="33">
        <ns0:v>Разъём</ns0:v>
      </ns0:c>
      <ns0:c r="C176" t="str" s="33">
        <ns0:v>1x14, 2.54 мм</ns0:v>
      </ns0:c>
      <ns0:c r="D176" t="str" s="34">
        <ns0:f>C176</ns0:f>
        <ns0:v>1x14, 2.54 мм</ns0:v>
      </ns0:c>
      <ns0:c r="E176" s="33"/>
      <ns0:c r="F176" s="33"/>
      <ns0:c r="G176" s="33"/>
      <ns0:c r="H176" t="str" s="35">
        <ns0:v>1x14, P2.54, THT, прямой</ns0:v>
      </ns0:c>
      <ns0:c r="I176" t="str" s="33">
        <ns0:v>CONNFLY</ns0:v>
      </ns0:c>
      <ns0:c r="J176" t="str" s="33">
        <ns0:v>DS1023</ns0:v>
      </ns0:c>
      <ns0:c r="K176" t="str" s="34">
        <ns0:f>B176&amp;" "&amp;D176&amp;" "&amp;J176</ns0:f>
        <ns0:v>Разъём 1x14, 2.54 мм DS1023</ns0:v>
      </ns0:c>
      <ns0:c r="L176" t="str" s="36">
        <ns0:v>XS_14</ns0:v>
      </ns0:c>
      <ns0:c r="M176" t="str" s="36">
        <ns0:v>Symbols\MY_LIB_Connectors.SchLib</ns0:v>
      </ns0:c>
      <ns0:c r="N176" t="str" s="36">
        <ns0:v>CONNFLY_DS1023_1X14</ns0:v>
      </ns0:c>
      <ns0:c r="O176" t="str" s="36">
        <ns0:v>Footprints\MY_LIB_Connectors.PcbLib</ns0:v>
      </ns0:c>
      <ns0:c r="P176" t="str" s="33">
        <ns0:v>Гнездовой, прямой;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6" s="33"/>
      <ns0:c r="R176" t="str" s="34">
        <ns0:f>D176</ns0:f>
        <ns0:v>1x14, 2.54 мм</ns0:v>
      </ns0:c>
      <ns0:c r="S176" t="str" s="34">
        <ns0:f>K176</ns0:f>
        <ns0:v>Разъём 1x14, 2.54 мм DS1023</ns0:v>
      </ns0:c>
      <ns0:c r="T176" t="str" s="33">
        <ns0:v>C:\Users\Nomatin\Documents\Altium\MY_LIB\MY_LIB\Datasheets\CONNFLY_DS1023.pdf</ns0:v>
      </ns0:c>
      <ns0:c r="U176" s="33"/>
      <ns0:c r="V176" t="str" s="33">
        <ns0:v>Даташит — локальный</ns0:v>
      </ns0:c>
      <ns0:c r="W176" t="str" s="33">
        <ns0:v>C:\Users\Nomatin\Documents\Altium\MY_LIB\MY_LIB\Datasheets\CONNFLY_DS1023.pdf</ns0:v>
      </ns0:c>
      <ns0:c r="X176" t="str" s="33">
        <ns0:v>Даташит — производитель</ns0:v>
      </ns0:c>
      <ns0:c r="Y176" t="str" s="33">
        <ns0:v>https://en.connfly.com/static/upload/file/pdf/DS1023.pdf</ns0:v>
      </ns0:c>
      <ns0:c r="Z176" t="str" s="33">
        <ns0:v>C:\Users\Nomatin\Documents\Altium\MY_LIB\MY_LIB\Datasheets\CONNFLY_DS1023.pdf</ns0:v>
      </ns0:c>
    </ns0:row>
    <ns0:row xmlns:ns0="http://schemas.openxmlformats.org/spreadsheetml/2006/main" r="177" ht="85" customHeight="1">
      <ns0:c r="A177" t="str" s="33">
        <ns0:v>XS0016</ns0:v>
      </ns0:c>
      <ns0:c r="B177" t="str" s="33">
        <ns0:v>Разъём</ns0:v>
      </ns0:c>
      <ns0:c r="C177" t="str" s="33">
        <ns0:v>1x15, 2.54 мм</ns0:v>
      </ns0:c>
      <ns0:c r="D177" t="str" s="34">
        <ns0:f>C177</ns0:f>
        <ns0:v>1x15, 2.54 мм</ns0:v>
      </ns0:c>
      <ns0:c r="E177" s="33"/>
      <ns0:c r="F177" s="33"/>
      <ns0:c r="G177" s="33"/>
      <ns0:c r="H177" t="str" s="35">
        <ns0:v>1x15, P2.54, THT, прямой</ns0:v>
      </ns0:c>
      <ns0:c r="I177" t="str" s="33">
        <ns0:v>CONNFLY</ns0:v>
      </ns0:c>
      <ns0:c r="J177" t="str" s="33">
        <ns0:v>DS1023</ns0:v>
      </ns0:c>
      <ns0:c r="K177" t="str" s="34">
        <ns0:f>B177&amp;" "&amp;D177&amp;" "&amp;J177</ns0:f>
        <ns0:v>Разъём 1x15, 2.54 мм DS1023</ns0:v>
      </ns0:c>
      <ns0:c r="L177" t="str" s="36">
        <ns0:v>XS_15</ns0:v>
      </ns0:c>
      <ns0:c r="M177" t="str" s="36">
        <ns0:v>Symbols\MY_LIB_Connectors.SchLib</ns0:v>
      </ns0:c>
      <ns0:c r="N177" t="str" s="36">
        <ns0:v>CONNFLY_DS1023_1X15</ns0:v>
      </ns0:c>
      <ns0:c r="O177" t="str" s="36">
        <ns0:v>Footprints\MY_LIB_Connectors.PcbLib</ns0:v>
      </ns0:c>
      <ns0:c r="P177" t="str" s="33">
        <ns0:v>Гнездовой, прямой; 15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7" s="33"/>
      <ns0:c r="R177" t="str" s="34">
        <ns0:f>D177</ns0:f>
        <ns0:v>1x15, 2.54 мм</ns0:v>
      </ns0:c>
      <ns0:c r="S177" t="str" s="34">
        <ns0:f>K177</ns0:f>
        <ns0:v>Разъём 1x15, 2.54 мм DS1023</ns0:v>
      </ns0:c>
      <ns0:c r="T177" t="str" s="33">
        <ns0:v>C:\Users\Nomatin\Documents\Altium\MY_LIB\MY_LIB\Datasheets\CONNFLY_DS1023.pdf</ns0:v>
      </ns0:c>
      <ns0:c r="U177" s="33"/>
      <ns0:c r="V177" t="str" s="33">
        <ns0:v>Даташит — локальный</ns0:v>
      </ns0:c>
      <ns0:c r="W177" t="str" s="33">
        <ns0:v>C:\Users\Nomatin\Documents\Altium\MY_LIB\MY_LIB\Datasheets\CONNFLY_DS1023.pdf</ns0:v>
      </ns0:c>
      <ns0:c r="X177" t="str" s="33">
        <ns0:v>Даташит — производитель</ns0:v>
      </ns0:c>
      <ns0:c r="Y177" t="str" s="33">
        <ns0:v>https://en.connfly.com/static/upload/file/pdf/DS1023.pdf</ns0:v>
      </ns0:c>
      <ns0:c r="Z177" t="str" s="33">
        <ns0:v>C:\Users\Nomatin\Documents\Altium\MY_LIB\MY_LIB\Datasheets\CONNFLY_DS1023.pdf</ns0:v>
      </ns0:c>
    </ns0:row>
    <ns0:row xmlns:ns0="http://schemas.openxmlformats.org/spreadsheetml/2006/main" r="178" ht="85" customHeight="1">
      <ns0:c r="A178" t="str" s="33">
        <ns0:v>XS0017</ns0:v>
      </ns0:c>
      <ns0:c r="B178" t="str" s="33">
        <ns0:v>Разъём</ns0:v>
      </ns0:c>
      <ns0:c r="C178" t="str" s="33">
        <ns0:v>1x16, 2.54 мм</ns0:v>
      </ns0:c>
      <ns0:c r="D178" t="str" s="34">
        <ns0:f>C178</ns0:f>
        <ns0:v>1x16, 2.54 мм</ns0:v>
      </ns0:c>
      <ns0:c r="E178" s="33"/>
      <ns0:c r="F178" s="33"/>
      <ns0:c r="G178" s="33"/>
      <ns0:c r="H178" t="str" s="35">
        <ns0:v>1x16, P2.54, THT, прямой</ns0:v>
      </ns0:c>
      <ns0:c r="I178" t="str" s="33">
        <ns0:v>CONNFLY</ns0:v>
      </ns0:c>
      <ns0:c r="J178" t="str" s="33">
        <ns0:v>DS1023</ns0:v>
      </ns0:c>
      <ns0:c r="K178" t="str" s="34">
        <ns0:f>B178&amp;" "&amp;D178&amp;" "&amp;J178</ns0:f>
        <ns0:v>Разъём 1x16, 2.54 мм DS1023</ns0:v>
      </ns0:c>
      <ns0:c r="L178" t="str" s="36">
        <ns0:v>XS_16</ns0:v>
      </ns0:c>
      <ns0:c r="M178" t="str" s="36">
        <ns0:v>Symbols\MY_LIB_Connectors.SchLib</ns0:v>
      </ns0:c>
      <ns0:c r="N178" t="str" s="36">
        <ns0:v>CONNFLY_DS1023_1X16</ns0:v>
      </ns0:c>
      <ns0:c r="O178" t="str" s="36">
        <ns0:v>Footprints\MY_LIB_Connectors.PcbLib</ns0:v>
      </ns0:c>
      <ns0:c r="P178" t="str" s="33">
        <ns0:v>Гнездовой, прямой;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8" s="33"/>
      <ns0:c r="R178" t="str" s="34">
        <ns0:f>D178</ns0:f>
        <ns0:v>1x16, 2.54 мм</ns0:v>
      </ns0:c>
      <ns0:c r="S178" t="str" s="34">
        <ns0:f>K178</ns0:f>
        <ns0:v>Разъём 1x16, 2.54 мм DS1023</ns0:v>
      </ns0:c>
      <ns0:c r="T178" t="str" s="33">
        <ns0:v>C:\Users\Nomatin\Documents\Altium\MY_LIB\MY_LIB\Datasheets\CONNFLY_DS1023.pdf</ns0:v>
      </ns0:c>
      <ns0:c r="U178" s="33"/>
      <ns0:c r="V178" t="str" s="33">
        <ns0:v>Даташит — локальный</ns0:v>
      </ns0:c>
      <ns0:c r="W178" t="str" s="33">
        <ns0:v>C:\Users\Nomatin\Documents\Altium\MY_LIB\MY_LIB\Datasheets\CONNFLY_DS1023.pdf</ns0:v>
      </ns0:c>
      <ns0:c r="X178" t="str" s="33">
        <ns0:v>Даташит — производитель</ns0:v>
      </ns0:c>
      <ns0:c r="Y178" t="str" s="33">
        <ns0:v>https://en.connfly.com/static/upload/file/pdf/DS1023.pdf</ns0:v>
      </ns0:c>
      <ns0:c r="Z178" t="str" s="33">
        <ns0:v>C:\Users\Nomatin\Documents\Altium\MY_LIB\MY_LIB\Datasheets\CONNFLY_DS1023.pdf</ns0:v>
      </ns0:c>
    </ns0:row>
    <ns0:row xmlns:ns0="http://schemas.openxmlformats.org/spreadsheetml/2006/main" r="179" ht="85" customHeight="1">
      <ns0:c r="A179" t="str" s="33">
        <ns0:v>XS0018</ns0:v>
      </ns0:c>
      <ns0:c r="B179" t="str" s="33">
        <ns0:v>Разъём</ns0:v>
      </ns0:c>
      <ns0:c r="C179" t="str" s="33">
        <ns0:v>1x17, 2.54 мм</ns0:v>
      </ns0:c>
      <ns0:c r="D179" t="str" s="34">
        <ns0:f>C179</ns0:f>
        <ns0:v>1x17, 2.54 мм</ns0:v>
      </ns0:c>
      <ns0:c r="E179" s="33"/>
      <ns0:c r="F179" s="33"/>
      <ns0:c r="G179" s="33"/>
      <ns0:c r="H179" t="str" s="35">
        <ns0:v>1x17, P2.54, THT, прямой</ns0:v>
      </ns0:c>
      <ns0:c r="I179" t="str" s="33">
        <ns0:v>CONNFLY</ns0:v>
      </ns0:c>
      <ns0:c r="J179" t="str" s="33">
        <ns0:v>DS1023</ns0:v>
      </ns0:c>
      <ns0:c r="K179" t="str" s="34">
        <ns0:f>B179&amp;" "&amp;D179&amp;" "&amp;J179</ns0:f>
        <ns0:v>Разъём 1x17, 2.54 мм DS1023</ns0:v>
      </ns0:c>
      <ns0:c r="L179" t="str" s="36">
        <ns0:v>XS_17</ns0:v>
      </ns0:c>
      <ns0:c r="M179" t="str" s="36">
        <ns0:v>Symbols\MY_LIB_Connectors.SchLib</ns0:v>
      </ns0:c>
      <ns0:c r="N179" t="str" s="36">
        <ns0:v>CONNFLY_DS1023_1X17</ns0:v>
      </ns0:c>
      <ns0:c r="O179" t="str" s="36">
        <ns0:v>Footprints\MY_LIB_Connectors.PcbLib</ns0:v>
      </ns0:c>
      <ns0:c r="P179" t="str" s="33">
        <ns0:v>Гнездовой, прямой; 17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79" s="33"/>
      <ns0:c r="R179" t="str" s="34">
        <ns0:f>D179</ns0:f>
        <ns0:v>1x17, 2.54 мм</ns0:v>
      </ns0:c>
      <ns0:c r="S179" t="str" s="34">
        <ns0:f>K179</ns0:f>
        <ns0:v>Разъём 1x17, 2.54 мм DS1023</ns0:v>
      </ns0:c>
      <ns0:c r="T179" t="str" s="33">
        <ns0:v>C:\Users\Nomatin\Documents\Altium\MY_LIB\MY_LIB\Datasheets\CONNFLY_DS1023.pdf</ns0:v>
      </ns0:c>
      <ns0:c r="U179" s="33"/>
      <ns0:c r="V179" t="str" s="33">
        <ns0:v>Даташит — локальный</ns0:v>
      </ns0:c>
      <ns0:c r="W179" t="str" s="33">
        <ns0:v>C:\Users\Nomatin\Documents\Altium\MY_LIB\MY_LIB\Datasheets\CONNFLY_DS1023.pdf</ns0:v>
      </ns0:c>
      <ns0:c r="X179" t="str" s="33">
        <ns0:v>Даташит — производитель</ns0:v>
      </ns0:c>
      <ns0:c r="Y179" t="str" s="33">
        <ns0:v>https://en.connfly.com/static/upload/file/pdf/DS1023.pdf</ns0:v>
      </ns0:c>
      <ns0:c r="Z179" t="str" s="33">
        <ns0:v>C:\Users\Nomatin\Documents\Altium\MY_LIB\MY_LIB\Datasheets\CONNFLY_DS1023.pdf</ns0:v>
      </ns0:c>
    </ns0:row>
    <ns0:row xmlns:ns0="http://schemas.openxmlformats.org/spreadsheetml/2006/main" r="180" ht="85" customHeight="1">
      <ns0:c r="A180" t="str" s="33">
        <ns0:v>XS0019</ns0:v>
      </ns0:c>
      <ns0:c r="B180" t="str" s="33">
        <ns0:v>Разъём</ns0:v>
      </ns0:c>
      <ns0:c r="C180" t="str" s="33">
        <ns0:v>1x18, 2.54 мм</ns0:v>
      </ns0:c>
      <ns0:c r="D180" t="str" s="34">
        <ns0:f>C180</ns0:f>
        <ns0:v>1x18, 2.54 мм</ns0:v>
      </ns0:c>
      <ns0:c r="E180" s="33"/>
      <ns0:c r="F180" s="33"/>
      <ns0:c r="G180" s="33"/>
      <ns0:c r="H180" t="str" s="35">
        <ns0:v>1x18, P2.54, THT, прямой</ns0:v>
      </ns0:c>
      <ns0:c r="I180" t="str" s="33">
        <ns0:v>CONNFLY</ns0:v>
      </ns0:c>
      <ns0:c r="J180" t="str" s="33">
        <ns0:v>DS1023</ns0:v>
      </ns0:c>
      <ns0:c r="K180" t="str" s="34">
        <ns0:f>B180&amp;" "&amp;D180&amp;" "&amp;J180</ns0:f>
        <ns0:v>Разъём 1x18, 2.54 мм DS1023</ns0:v>
      </ns0:c>
      <ns0:c r="L180" t="str" s="36">
        <ns0:v>XS_18</ns0:v>
      </ns0:c>
      <ns0:c r="M180" t="str" s="36">
        <ns0:v>Symbols\MY_LIB_Connectors.SchLib</ns0:v>
      </ns0:c>
      <ns0:c r="N180" t="str" s="36">
        <ns0:v>CONNFLY_DS1023_1X18</ns0:v>
      </ns0:c>
      <ns0:c r="O180" t="str" s="36">
        <ns0:v>Footprints\MY_LIB_Connectors.PcbLib</ns0:v>
      </ns0:c>
      <ns0:c r="P180" t="str" s="33">
        <ns0:v>Гнездовой, прямой;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0" s="33"/>
      <ns0:c r="R180" t="str" s="34">
        <ns0:f>D180</ns0:f>
        <ns0:v>1x18, 2.54 мм</ns0:v>
      </ns0:c>
      <ns0:c r="S180" t="str" s="34">
        <ns0:f>K180</ns0:f>
        <ns0:v>Разъём 1x18, 2.54 мм DS1023</ns0:v>
      </ns0:c>
      <ns0:c r="T180" t="str" s="33">
        <ns0:v>C:\Users\Nomatin\Documents\Altium\MY_LIB\MY_LIB\Datasheets\CONNFLY_DS1023.pdf</ns0:v>
      </ns0:c>
      <ns0:c r="U180" s="33"/>
      <ns0:c r="V180" t="str" s="33">
        <ns0:v>Даташит — локальный</ns0:v>
      </ns0:c>
      <ns0:c r="W180" t="str" s="33">
        <ns0:v>C:\Users\Nomatin\Documents\Altium\MY_LIB\MY_LIB\Datasheets\CONNFLY_DS1023.pdf</ns0:v>
      </ns0:c>
      <ns0:c r="X180" t="str" s="33">
        <ns0:v>Даташит — производитель</ns0:v>
      </ns0:c>
      <ns0:c r="Y180" t="str" s="33">
        <ns0:v>https://en.connfly.com/static/upload/file/pdf/DS1023.pdf</ns0:v>
      </ns0:c>
      <ns0:c r="Z180" t="str" s="33">
        <ns0:v>C:\Users\Nomatin\Documents\Altium\MY_LIB\MY_LIB\Datasheets\CONNFLY_DS1023.pdf</ns0:v>
      </ns0:c>
    </ns0:row>
    <ns0:row xmlns:ns0="http://schemas.openxmlformats.org/spreadsheetml/2006/main" r="181" ht="85" customHeight="1">
      <ns0:c r="A181" t="str" s="33">
        <ns0:v>XS0020</ns0:v>
      </ns0:c>
      <ns0:c r="B181" t="str" s="33">
        <ns0:v>Разъём</ns0:v>
      </ns0:c>
      <ns0:c r="C181" t="str" s="33">
        <ns0:v>1x19, 2.54 мм</ns0:v>
      </ns0:c>
      <ns0:c r="D181" t="str" s="34">
        <ns0:f>C181</ns0:f>
        <ns0:v>1x19, 2.54 мм</ns0:v>
      </ns0:c>
      <ns0:c r="E181" s="33"/>
      <ns0:c r="F181" s="33"/>
      <ns0:c r="G181" s="33"/>
      <ns0:c r="H181" t="str" s="35">
        <ns0:v>1x19, P2.54, THT, прямой</ns0:v>
      </ns0:c>
      <ns0:c r="I181" t="str" s="33">
        <ns0:v>CONNFLY</ns0:v>
      </ns0:c>
      <ns0:c r="J181" t="str" s="33">
        <ns0:v>DS1023</ns0:v>
      </ns0:c>
      <ns0:c r="K181" t="str" s="34">
        <ns0:f>B181&amp;" "&amp;D181&amp;" "&amp;J181</ns0:f>
        <ns0:v>Разъём 1x19, 2.54 мм DS1023</ns0:v>
      </ns0:c>
      <ns0:c r="L181" t="str" s="36">
        <ns0:v>XS_19</ns0:v>
      </ns0:c>
      <ns0:c r="M181" t="str" s="36">
        <ns0:v>Symbols\MY_LIB_Connectors.SchLib</ns0:v>
      </ns0:c>
      <ns0:c r="N181" t="str" s="36">
        <ns0:v>CONNFLY_DS1023_1X19</ns0:v>
      </ns0:c>
      <ns0:c r="O181" t="str" s="36">
        <ns0:v>Footprints\MY_LIB_Connectors.PcbLib</ns0:v>
      </ns0:c>
      <ns0:c r="P181" t="str" s="33">
        <ns0:v>Гнездовой, прямой; 19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1" s="33"/>
      <ns0:c r="R181" t="str" s="34">
        <ns0:f>D181</ns0:f>
        <ns0:v>1x19, 2.54 мм</ns0:v>
      </ns0:c>
      <ns0:c r="S181" t="str" s="34">
        <ns0:f>K181</ns0:f>
        <ns0:v>Разъём 1x19, 2.54 мм DS1023</ns0:v>
      </ns0:c>
      <ns0:c r="T181" t="str" s="33">
        <ns0:v>C:\Users\Nomatin\Documents\Altium\MY_LIB\MY_LIB\Datasheets\CONNFLY_DS1023.pdf</ns0:v>
      </ns0:c>
      <ns0:c r="U181" s="33"/>
      <ns0:c r="V181" t="str" s="33">
        <ns0:v>Даташит — локальный</ns0:v>
      </ns0:c>
      <ns0:c r="W181" t="str" s="33">
        <ns0:v>C:\Users\Nomatin\Documents\Altium\MY_LIB\MY_LIB\Datasheets\CONNFLY_DS1023.pdf</ns0:v>
      </ns0:c>
      <ns0:c r="X181" t="str" s="33">
        <ns0:v>Даташит — производитель</ns0:v>
      </ns0:c>
      <ns0:c r="Y181" t="str" s="33">
        <ns0:v>https://en.connfly.com/static/upload/file/pdf/DS1023.pdf</ns0:v>
      </ns0:c>
      <ns0:c r="Z181" t="str" s="33">
        <ns0:v>C:\Users\Nomatin\Documents\Altium\MY_LIB\MY_LIB\Datasheets\CONNFLY_DS1023.pdf</ns0:v>
      </ns0:c>
    </ns0:row>
    <ns0:row xmlns:ns0="http://schemas.openxmlformats.org/spreadsheetml/2006/main" r="182" ht="85" customHeight="1">
      <ns0:c r="A182" t="str" s="33">
        <ns0:v>XS0021</ns0:v>
      </ns0:c>
      <ns0:c r="B182" t="str" s="33">
        <ns0:v>Разъём</ns0:v>
      </ns0:c>
      <ns0:c r="C182" t="str" s="33">
        <ns0:v>1x20, 2.54 мм</ns0:v>
      </ns0:c>
      <ns0:c r="D182" t="str" s="34">
        <ns0:f>C182</ns0:f>
        <ns0:v>1x20, 2.54 мм</ns0:v>
      </ns0:c>
      <ns0:c r="E182" s="33"/>
      <ns0:c r="F182" s="33"/>
      <ns0:c r="G182" s="33"/>
      <ns0:c r="H182" t="str" s="35">
        <ns0:v>1x20, P2.54, THT, прямой</ns0:v>
      </ns0:c>
      <ns0:c r="I182" t="str" s="33">
        <ns0:v>CONNFLY</ns0:v>
      </ns0:c>
      <ns0:c r="J182" t="str" s="33">
        <ns0:v>DS1023</ns0:v>
      </ns0:c>
      <ns0:c r="K182" t="str" s="34">
        <ns0:f>B182&amp;" "&amp;D182&amp;" "&amp;J182</ns0:f>
        <ns0:v>Разъём 1x20, 2.54 мм DS1023</ns0:v>
      </ns0:c>
      <ns0:c r="L182" t="str" s="36">
        <ns0:v>XS_20</ns0:v>
      </ns0:c>
      <ns0:c r="M182" t="str" s="36">
        <ns0:v>Symbols\MY_LIB_Connectors.SchLib</ns0:v>
      </ns0:c>
      <ns0:c r="N182" t="str" s="36">
        <ns0:v>CONNFLY_DS1023_1X20</ns0:v>
      </ns0:c>
      <ns0:c r="O182" t="str" s="36">
        <ns0:v>Footprints\MY_LIB_Connectors.PcbLib</ns0:v>
      </ns0:c>
      <ns0:c r="P182" t="str" s="33">
        <ns0:v>Гнездовой, прямой;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2" s="33"/>
      <ns0:c r="R182" t="str" s="34">
        <ns0:f>D182</ns0:f>
        <ns0:v>1x20, 2.54 мм</ns0:v>
      </ns0:c>
      <ns0:c r="S182" t="str" s="34">
        <ns0:f>K182</ns0:f>
        <ns0:v>Разъём 1x20, 2.54 мм DS1023</ns0:v>
      </ns0:c>
      <ns0:c r="T182" t="str" s="33">
        <ns0:v>C:\Users\Nomatin\Documents\Altium\MY_LIB\MY_LIB\Datasheets\CONNFLY_DS1023.pdf</ns0:v>
      </ns0:c>
      <ns0:c r="U182" s="33"/>
      <ns0:c r="V182" t="str" s="33">
        <ns0:v>Даташит — локальный</ns0:v>
      </ns0:c>
      <ns0:c r="W182" t="str" s="33">
        <ns0:v>C:\Users\Nomatin\Documents\Altium\MY_LIB\MY_LIB\Datasheets\CONNFLY_DS1023.pdf</ns0:v>
      </ns0:c>
      <ns0:c r="X182" t="str" s="33">
        <ns0:v>Даташит — производитель</ns0:v>
      </ns0:c>
      <ns0:c r="Y182" t="str" s="33">
        <ns0:v>https://en.connfly.com/static/upload/file/pdf/DS1023.pdf</ns0:v>
      </ns0:c>
      <ns0:c r="Z182" t="str" s="33">
        <ns0:v>C:\Users\Nomatin\Documents\Altium\MY_LIB\MY_LIB\Datasheets\CONNFLY_DS1023.pdf</ns0:v>
      </ns0:c>
    </ns0:row>
    <ns0:row xmlns:ns0="http://schemas.openxmlformats.org/spreadsheetml/2006/main" r="183" ht="85" customHeight="1">
      <ns0:c r="A183" t="str" s="33">
        <ns0:v>XS0022</ns0:v>
      </ns0:c>
      <ns0:c r="B183" t="str" s="33">
        <ns0:v>Разъём</ns0:v>
      </ns0:c>
      <ns0:c r="C183" t="str" s="33">
        <ns0:v>1x21, 2.54 мм</ns0:v>
      </ns0:c>
      <ns0:c r="D183" t="str" s="34">
        <ns0:f>C183</ns0:f>
        <ns0:v>1x21, 2.54 мм</ns0:v>
      </ns0:c>
      <ns0:c r="E183" s="33"/>
      <ns0:c r="F183" s="33"/>
      <ns0:c r="G183" s="33"/>
      <ns0:c r="H183" t="str" s="35">
        <ns0:v>1x21, P2.54, THT, прямой</ns0:v>
      </ns0:c>
      <ns0:c r="I183" t="str" s="33">
        <ns0:v>CONNFLY</ns0:v>
      </ns0:c>
      <ns0:c r="J183" t="str" s="33">
        <ns0:v>DS1023</ns0:v>
      </ns0:c>
      <ns0:c r="K183" t="str" s="34">
        <ns0:f>B183&amp;" "&amp;D183&amp;" "&amp;J183</ns0:f>
        <ns0:v>Разъём 1x21, 2.54 мм DS1023</ns0:v>
      </ns0:c>
      <ns0:c r="L183" t="str" s="36">
        <ns0:v>XS_21</ns0:v>
      </ns0:c>
      <ns0:c r="M183" t="str" s="36">
        <ns0:v>Symbols\MY_LIB_Connectors.SchLib</ns0:v>
      </ns0:c>
      <ns0:c r="N183" t="str" s="36">
        <ns0:v>CONNFLY_DS1023_1X21</ns0:v>
      </ns0:c>
      <ns0:c r="O183" t="str" s="36">
        <ns0:v>Footprints\MY_LIB_Connectors.PcbLib</ns0:v>
      </ns0:c>
      <ns0:c r="P183" t="str" s="33">
        <ns0:v>Гнездовой, прямой; 21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3" s="33"/>
      <ns0:c r="R183" t="str" s="34">
        <ns0:f>D183</ns0:f>
        <ns0:v>1x21, 2.54 мм</ns0:v>
      </ns0:c>
      <ns0:c r="S183" t="str" s="34">
        <ns0:f>K183</ns0:f>
        <ns0:v>Разъём 1x21, 2.54 мм DS1023</ns0:v>
      </ns0:c>
      <ns0:c r="T183" t="str" s="33">
        <ns0:v>C:\Users\Nomatin\Documents\Altium\MY_LIB\MY_LIB\Datasheets\CONNFLY_DS1023.pdf</ns0:v>
      </ns0:c>
      <ns0:c r="U183" s="33"/>
      <ns0:c r="V183" t="str" s="33">
        <ns0:v>Даташит — локальный</ns0:v>
      </ns0:c>
      <ns0:c r="W183" t="str" s="33">
        <ns0:v>C:\Users\Nomatin\Documents\Altium\MY_LIB\MY_LIB\Datasheets\CONNFLY_DS1023.pdf</ns0:v>
      </ns0:c>
      <ns0:c r="X183" t="str" s="33">
        <ns0:v>Даташит — производитель</ns0:v>
      </ns0:c>
      <ns0:c r="Y183" t="str" s="33">
        <ns0:v>https://en.connfly.com/static/upload/file/pdf/DS1023.pdf</ns0:v>
      </ns0:c>
      <ns0:c r="Z183" t="str" s="33">
        <ns0:v>C:\Users\Nomatin\Documents\Altium\MY_LIB\MY_LIB\Datasheets\CONNFLY_DS1023.pdf</ns0:v>
      </ns0:c>
    </ns0:row>
    <ns0:row xmlns:ns0="http://schemas.openxmlformats.org/spreadsheetml/2006/main" r="184" ht="85" customHeight="1">
      <ns0:c r="A184" t="str" s="33">
        <ns0:v>XS0023</ns0:v>
      </ns0:c>
      <ns0:c r="B184" t="str" s="33">
        <ns0:v>Разъём</ns0:v>
      </ns0:c>
      <ns0:c r="C184" t="str" s="33">
        <ns0:v>1x22, 2.54 мм</ns0:v>
      </ns0:c>
      <ns0:c r="D184" t="str" s="34">
        <ns0:f>C184</ns0:f>
        <ns0:v>1x22, 2.54 мм</ns0:v>
      </ns0:c>
      <ns0:c r="E184" s="33"/>
      <ns0:c r="F184" s="33"/>
      <ns0:c r="G184" s="33"/>
      <ns0:c r="H184" t="str" s="35">
        <ns0:v>1x22, P2.54, THT, прямой</ns0:v>
      </ns0:c>
      <ns0:c r="I184" t="str" s="33">
        <ns0:v>CONNFLY</ns0:v>
      </ns0:c>
      <ns0:c r="J184" t="str" s="33">
        <ns0:v>DS1023</ns0:v>
      </ns0:c>
      <ns0:c r="K184" t="str" s="34">
        <ns0:f>B184&amp;" "&amp;D184&amp;" "&amp;J184</ns0:f>
        <ns0:v>Разъём 1x22, 2.54 мм DS1023</ns0:v>
      </ns0:c>
      <ns0:c r="L184" t="str" s="36">
        <ns0:v>XS_22</ns0:v>
      </ns0:c>
      <ns0:c r="M184" t="str" s="36">
        <ns0:v>Symbols\MY_LIB_Connectors.SchLib</ns0:v>
      </ns0:c>
      <ns0:c r="N184" t="str" s="36">
        <ns0:v>CONNFLY_DS1023_1X22</ns0:v>
      </ns0:c>
      <ns0:c r="O184" t="str" s="36">
        <ns0:v>Footprints\MY_LIB_Connectors.PcbLib</ns0:v>
      </ns0:c>
      <ns0:c r="P184" t="str" s="33">
        <ns0:v>Гнездовой, прямой;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4" s="33"/>
      <ns0:c r="R184" t="str" s="34">
        <ns0:f>D184</ns0:f>
        <ns0:v>1x22, 2.54 мм</ns0:v>
      </ns0:c>
      <ns0:c r="S184" t="str" s="34">
        <ns0:f>K184</ns0:f>
        <ns0:v>Разъём 1x22, 2.54 мм DS1023</ns0:v>
      </ns0:c>
      <ns0:c r="T184" t="str" s="33">
        <ns0:v>C:\Users\Nomatin\Documents\Altium\MY_LIB\MY_LIB\Datasheets\CONNFLY_DS1023.pdf</ns0:v>
      </ns0:c>
      <ns0:c r="U184" s="33"/>
      <ns0:c r="V184" t="str" s="33">
        <ns0:v>Даташит — локальный</ns0:v>
      </ns0:c>
      <ns0:c r="W184" t="str" s="33">
        <ns0:v>C:\Users\Nomatin\Documents\Altium\MY_LIB\MY_LIB\Datasheets\CONNFLY_DS1023.pdf</ns0:v>
      </ns0:c>
      <ns0:c r="X184" t="str" s="33">
        <ns0:v>Даташит — производитель</ns0:v>
      </ns0:c>
      <ns0:c r="Y184" t="str" s="33">
        <ns0:v>https://en.connfly.com/static/upload/file/pdf/DS1023.pdf</ns0:v>
      </ns0:c>
      <ns0:c r="Z184" t="str" s="33">
        <ns0:v>C:\Users\Nomatin\Documents\Altium\MY_LIB\MY_LIB\Datasheets\CONNFLY_DS1023.pdf</ns0:v>
      </ns0:c>
    </ns0:row>
    <ns0:row xmlns:ns0="http://schemas.openxmlformats.org/spreadsheetml/2006/main" r="185" ht="85" customHeight="1">
      <ns0:c r="A185" t="str" s="33">
        <ns0:v>XS0024</ns0:v>
      </ns0:c>
      <ns0:c r="B185" t="str" s="33">
        <ns0:v>Разъём</ns0:v>
      </ns0:c>
      <ns0:c r="C185" t="str" s="33">
        <ns0:v>1x23, 2.54 мм</ns0:v>
      </ns0:c>
      <ns0:c r="D185" t="str" s="34">
        <ns0:f>C185</ns0:f>
        <ns0:v>1x23, 2.54 мм</ns0:v>
      </ns0:c>
      <ns0:c r="E185" s="33"/>
      <ns0:c r="F185" s="33"/>
      <ns0:c r="G185" s="33"/>
      <ns0:c r="H185" t="str" s="35">
        <ns0:v>1x23, P2.54, THT, прямой</ns0:v>
      </ns0:c>
      <ns0:c r="I185" t="str" s="33">
        <ns0:v>CONNFLY</ns0:v>
      </ns0:c>
      <ns0:c r="J185" t="str" s="33">
        <ns0:v>DS1023</ns0:v>
      </ns0:c>
      <ns0:c r="K185" t="str" s="34">
        <ns0:f>B185&amp;" "&amp;D185&amp;" "&amp;J185</ns0:f>
        <ns0:v>Разъём 1x23, 2.54 мм DS1023</ns0:v>
      </ns0:c>
      <ns0:c r="L185" t="str" s="36">
        <ns0:v>XS_23</ns0:v>
      </ns0:c>
      <ns0:c r="M185" t="str" s="36">
        <ns0:v>Symbols\MY_LIB_Connectors.SchLib</ns0:v>
      </ns0:c>
      <ns0:c r="N185" t="str" s="36">
        <ns0:v>CONNFLY_DS1023_1X23</ns0:v>
      </ns0:c>
      <ns0:c r="O185" t="str" s="36">
        <ns0:v>Footprints\MY_LIB_Connectors.PcbLib</ns0:v>
      </ns0:c>
      <ns0:c r="P185" t="str" s="33">
        <ns0:v>Гнездовой, прямой; 23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5" s="33"/>
      <ns0:c r="R185" t="str" s="34">
        <ns0:f>D185</ns0:f>
        <ns0:v>1x23, 2.54 мм</ns0:v>
      </ns0:c>
      <ns0:c r="S185" t="str" s="34">
        <ns0:f>K185</ns0:f>
        <ns0:v>Разъём 1x23, 2.54 мм DS1023</ns0:v>
      </ns0:c>
      <ns0:c r="T185" t="str" s="33">
        <ns0:v>C:\Users\Nomatin\Documents\Altium\MY_LIB\MY_LIB\Datasheets\CONNFLY_DS1023.pdf</ns0:v>
      </ns0:c>
      <ns0:c r="U185" s="33"/>
      <ns0:c r="V185" t="str" s="33">
        <ns0:v>Даташит — локальный</ns0:v>
      </ns0:c>
      <ns0:c r="W185" t="str" s="33">
        <ns0:v>C:\Users\Nomatin\Documents\Altium\MY_LIB\MY_LIB\Datasheets\CONNFLY_DS1023.pdf</ns0:v>
      </ns0:c>
      <ns0:c r="X185" t="str" s="33">
        <ns0:v>Даташит — производитель</ns0:v>
      </ns0:c>
      <ns0:c r="Y185" t="str" s="33">
        <ns0:v>https://en.connfly.com/static/upload/file/pdf/DS1023.pdf</ns0:v>
      </ns0:c>
      <ns0:c r="Z185" t="str" s="33">
        <ns0:v>C:\Users\Nomatin\Documents\Altium\MY_LIB\MY_LIB\Datasheets\CONNFLY_DS1023.pdf</ns0:v>
      </ns0:c>
    </ns0:row>
    <ns0:row xmlns:ns0="http://schemas.openxmlformats.org/spreadsheetml/2006/main" r="186" ht="85" customHeight="1">
      <ns0:c r="A186" t="str" s="33">
        <ns0:v>XS0025</ns0:v>
      </ns0:c>
      <ns0:c r="B186" t="str" s="33">
        <ns0:v>Разъём</ns0:v>
      </ns0:c>
      <ns0:c r="C186" t="str" s="33">
        <ns0:v>1x24, 2.54 мм</ns0:v>
      </ns0:c>
      <ns0:c r="D186" t="str" s="34">
        <ns0:f>C186</ns0:f>
        <ns0:v>1x24, 2.54 мм</ns0:v>
      </ns0:c>
      <ns0:c r="E186" s="33"/>
      <ns0:c r="F186" s="33"/>
      <ns0:c r="G186" s="33"/>
      <ns0:c r="H186" t="str" s="35">
        <ns0:v>1x24, P2.54, THT, прямой</ns0:v>
      </ns0:c>
      <ns0:c r="I186" t="str" s="33">
        <ns0:v>CONNFLY</ns0:v>
      </ns0:c>
      <ns0:c r="J186" t="str" s="33">
        <ns0:v>DS1023</ns0:v>
      </ns0:c>
      <ns0:c r="K186" t="str" s="34">
        <ns0:f>B186&amp;" "&amp;D186&amp;" "&amp;J186</ns0:f>
        <ns0:v>Разъём 1x24, 2.54 мм DS1023</ns0:v>
      </ns0:c>
      <ns0:c r="L186" t="str" s="36">
        <ns0:v>XS_24</ns0:v>
      </ns0:c>
      <ns0:c r="M186" t="str" s="36">
        <ns0:v>Symbols\MY_LIB_Connectors.SchLib</ns0:v>
      </ns0:c>
      <ns0:c r="N186" t="str" s="36">
        <ns0:v>CONNFLY_DS1023_1X24</ns0:v>
      </ns0:c>
      <ns0:c r="O186" t="str" s="36">
        <ns0:v>Footprints\MY_LIB_Connectors.PcbLib</ns0:v>
      </ns0:c>
      <ns0:c r="P186" t="str" s="33">
        <ns0:v>Гнездовой, прямой;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6" s="33"/>
      <ns0:c r="R186" t="str" s="34">
        <ns0:f>D186</ns0:f>
        <ns0:v>1x24, 2.54 мм</ns0:v>
      </ns0:c>
      <ns0:c r="S186" t="str" s="34">
        <ns0:f>K186</ns0:f>
        <ns0:v>Разъём 1x24, 2.54 мм DS1023</ns0:v>
      </ns0:c>
      <ns0:c r="T186" t="str" s="33">
        <ns0:v>C:\Users\Nomatin\Documents\Altium\MY_LIB\MY_LIB\Datasheets\CONNFLY_DS1023.pdf</ns0:v>
      </ns0:c>
      <ns0:c r="U186" s="33"/>
      <ns0:c r="V186" t="str" s="33">
        <ns0:v>Даташит — локальный</ns0:v>
      </ns0:c>
      <ns0:c r="W186" t="str" s="33">
        <ns0:v>C:\Users\Nomatin\Documents\Altium\MY_LIB\MY_LIB\Datasheets\CONNFLY_DS1023.pdf</ns0:v>
      </ns0:c>
      <ns0:c r="X186" t="str" s="33">
        <ns0:v>Даташит — производитель</ns0:v>
      </ns0:c>
      <ns0:c r="Y186" t="str" s="33">
        <ns0:v>https://en.connfly.com/static/upload/file/pdf/DS1023.pdf</ns0:v>
      </ns0:c>
      <ns0:c r="Z186" t="str" s="33">
        <ns0:v>C:\Users\Nomatin\Documents\Altium\MY_LIB\MY_LIB\Datasheets\CONNFLY_DS1023.pdf</ns0:v>
      </ns0:c>
    </ns0:row>
    <ns0:row xmlns:ns0="http://schemas.openxmlformats.org/spreadsheetml/2006/main" r="187" ht="85" customHeight="1">
      <ns0:c r="A187" t="str" s="33">
        <ns0:v>XS0026</ns0:v>
      </ns0:c>
      <ns0:c r="B187" t="str" s="33">
        <ns0:v>Разъём</ns0:v>
      </ns0:c>
      <ns0:c r="C187" t="str" s="33">
        <ns0:v>1x25, 2.54 мм</ns0:v>
      </ns0:c>
      <ns0:c r="D187" t="str" s="34">
        <ns0:f>C187</ns0:f>
        <ns0:v>1x25, 2.54 мм</ns0:v>
      </ns0:c>
      <ns0:c r="E187" s="33"/>
      <ns0:c r="F187" s="33"/>
      <ns0:c r="G187" s="33"/>
      <ns0:c r="H187" t="str" s="35">
        <ns0:v>1x25, P2.54, THT, прямой</ns0:v>
      </ns0:c>
      <ns0:c r="I187" t="str" s="33">
        <ns0:v>CONNFLY</ns0:v>
      </ns0:c>
      <ns0:c r="J187" t="str" s="33">
        <ns0:v>DS1023</ns0:v>
      </ns0:c>
      <ns0:c r="K187" t="str" s="34">
        <ns0:f>B187&amp;" "&amp;D187&amp;" "&amp;J187</ns0:f>
        <ns0:v>Разъём 1x25, 2.54 мм DS1023</ns0:v>
      </ns0:c>
      <ns0:c r="L187" t="str" s="36">
        <ns0:v>XS_25</ns0:v>
      </ns0:c>
      <ns0:c r="M187" t="str" s="36">
        <ns0:v>Symbols\MY_LIB_Connectors.SchLib</ns0:v>
      </ns0:c>
      <ns0:c r="N187" t="str" s="36">
        <ns0:v>CONNFLY_DS1023_1X25</ns0:v>
      </ns0:c>
      <ns0:c r="O187" t="str" s="36">
        <ns0:v>Footprints\MY_LIB_Connectors.PcbLib</ns0:v>
      </ns0:c>
      <ns0:c r="P187" t="str" s="33">
        <ns0:v>Гнездовой, прямой; 25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7" s="33"/>
      <ns0:c r="R187" t="str" s="34">
        <ns0:f>D187</ns0:f>
        <ns0:v>1x25, 2.54 мм</ns0:v>
      </ns0:c>
      <ns0:c r="S187" t="str" s="34">
        <ns0:f>K187</ns0:f>
        <ns0:v>Разъём 1x25, 2.54 мм DS1023</ns0:v>
      </ns0:c>
      <ns0:c r="T187" t="str" s="33">
        <ns0:v>C:\Users\Nomatin\Documents\Altium\MY_LIB\MY_LIB\Datasheets\CONNFLY_DS1023.pdf</ns0:v>
      </ns0:c>
      <ns0:c r="U187" s="33"/>
      <ns0:c r="V187" t="str" s="33">
        <ns0:v>Даташит — локальный</ns0:v>
      </ns0:c>
      <ns0:c r="W187" t="str" s="33">
        <ns0:v>C:\Users\Nomatin\Documents\Altium\MY_LIB\MY_LIB\Datasheets\CONNFLY_DS1023.pdf</ns0:v>
      </ns0:c>
      <ns0:c r="X187" t="str" s="33">
        <ns0:v>Даташит — производитель</ns0:v>
      </ns0:c>
      <ns0:c r="Y187" t="str" s="33">
        <ns0:v>https://en.connfly.com/static/upload/file/pdf/DS1023.pdf</ns0:v>
      </ns0:c>
      <ns0:c r="Z187" t="str" s="33">
        <ns0:v>C:\Users\Nomatin\Documents\Altium\MY_LIB\MY_LIB\Datasheets\CONNFLY_DS1023.pdf</ns0:v>
      </ns0:c>
    </ns0:row>
    <ns0:row xmlns:ns0="http://schemas.openxmlformats.org/spreadsheetml/2006/main" r="188" ht="85" customHeight="1">
      <ns0:c r="A188" t="str" s="33">
        <ns0:v>XS0027</ns0:v>
      </ns0:c>
      <ns0:c r="B188" t="str" s="33">
        <ns0:v>Разъём</ns0:v>
      </ns0:c>
      <ns0:c r="C188" t="str" s="33">
        <ns0:v>1x26, 2.54 мм</ns0:v>
      </ns0:c>
      <ns0:c r="D188" t="str" s="34">
        <ns0:f>C188</ns0:f>
        <ns0:v>1x26, 2.54 мм</ns0:v>
      </ns0:c>
      <ns0:c r="E188" s="33"/>
      <ns0:c r="F188" s="33"/>
      <ns0:c r="G188" s="33"/>
      <ns0:c r="H188" t="str" s="35">
        <ns0:v>1x26, P2.54, THT, прямой</ns0:v>
      </ns0:c>
      <ns0:c r="I188" t="str" s="33">
        <ns0:v>CONNFLY</ns0:v>
      </ns0:c>
      <ns0:c r="J188" t="str" s="33">
        <ns0:v>DS1023</ns0:v>
      </ns0:c>
      <ns0:c r="K188" t="str" s="34">
        <ns0:f>B188&amp;" "&amp;D188&amp;" "&amp;J188</ns0:f>
        <ns0:v>Разъём 1x26, 2.54 мм DS1023</ns0:v>
      </ns0:c>
      <ns0:c r="L188" t="str" s="36">
        <ns0:v>XS_26</ns0:v>
      </ns0:c>
      <ns0:c r="M188" t="str" s="36">
        <ns0:v>Symbols\MY_LIB_Connectors.SchLib</ns0:v>
      </ns0:c>
      <ns0:c r="N188" t="str" s="36">
        <ns0:v>CONNFLY_DS1023_1X26</ns0:v>
      </ns0:c>
      <ns0:c r="O188" t="str" s="36">
        <ns0:v>Footprints\MY_LIB_Connectors.PcbLib</ns0:v>
      </ns0:c>
      <ns0:c r="P188" t="str" s="33">
        <ns0:v>Гнездовой, прямой;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8" s="33"/>
      <ns0:c r="R188" t="str" s="34">
        <ns0:f>D188</ns0:f>
        <ns0:v>1x26, 2.54 мм</ns0:v>
      </ns0:c>
      <ns0:c r="S188" t="str" s="34">
        <ns0:f>K188</ns0:f>
        <ns0:v>Разъём 1x26, 2.54 мм DS1023</ns0:v>
      </ns0:c>
      <ns0:c r="T188" t="str" s="33">
        <ns0:v>C:\Users\Nomatin\Documents\Altium\MY_LIB\MY_LIB\Datasheets\CONNFLY_DS1023.pdf</ns0:v>
      </ns0:c>
      <ns0:c r="U188" s="33"/>
      <ns0:c r="V188" t="str" s="33">
        <ns0:v>Даташит — локальный</ns0:v>
      </ns0:c>
      <ns0:c r="W188" t="str" s="33">
        <ns0:v>C:\Users\Nomatin\Documents\Altium\MY_LIB\MY_LIB\Datasheets\CONNFLY_DS1023.pdf</ns0:v>
      </ns0:c>
      <ns0:c r="X188" t="str" s="33">
        <ns0:v>Даташит — производитель</ns0:v>
      </ns0:c>
      <ns0:c r="Y188" t="str" s="33">
        <ns0:v>https://en.connfly.com/static/upload/file/pdf/DS1023.pdf</ns0:v>
      </ns0:c>
      <ns0:c r="Z188" t="str" s="33">
        <ns0:v>C:\Users\Nomatin\Documents\Altium\MY_LIB\MY_LIB\Datasheets\CONNFLY_DS1023.pdf</ns0:v>
      </ns0:c>
    </ns0:row>
    <ns0:row xmlns:ns0="http://schemas.openxmlformats.org/spreadsheetml/2006/main" r="189" ht="85" customHeight="1">
      <ns0:c r="A189" t="str" s="33">
        <ns0:v>XS0028</ns0:v>
      </ns0:c>
      <ns0:c r="B189" t="str" s="33">
        <ns0:v>Разъём</ns0:v>
      </ns0:c>
      <ns0:c r="C189" t="str" s="33">
        <ns0:v>1x27, 2.54 мм</ns0:v>
      </ns0:c>
      <ns0:c r="D189" t="str" s="34">
        <ns0:f>C189</ns0:f>
        <ns0:v>1x27, 2.54 мм</ns0:v>
      </ns0:c>
      <ns0:c r="E189" s="33"/>
      <ns0:c r="F189" s="33"/>
      <ns0:c r="G189" s="33"/>
      <ns0:c r="H189" t="str" s="35">
        <ns0:v>1x27, P2.54, THT, прямой</ns0:v>
      </ns0:c>
      <ns0:c r="I189" t="str" s="33">
        <ns0:v>CONNFLY</ns0:v>
      </ns0:c>
      <ns0:c r="J189" t="str" s="33">
        <ns0:v>DS1023</ns0:v>
      </ns0:c>
      <ns0:c r="K189" t="str" s="34">
        <ns0:f>B189&amp;" "&amp;D189&amp;" "&amp;J189</ns0:f>
        <ns0:v>Разъём 1x27, 2.54 мм DS1023</ns0:v>
      </ns0:c>
      <ns0:c r="L189" t="str" s="36">
        <ns0:v>XS_27</ns0:v>
      </ns0:c>
      <ns0:c r="M189" t="str" s="36">
        <ns0:v>Symbols\MY_LIB_Connectors.SchLib</ns0:v>
      </ns0:c>
      <ns0:c r="N189" t="str" s="36">
        <ns0:v>CONNFLY_DS1023_1X27</ns0:v>
      </ns0:c>
      <ns0:c r="O189" t="str" s="36">
        <ns0:v>Footprints\MY_LIB_Connectors.PcbLib</ns0:v>
      </ns0:c>
      <ns0:c r="P189" t="str" s="33">
        <ns0:v>Гнездовой, прямой; 27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89" s="33"/>
      <ns0:c r="R189" t="str" s="34">
        <ns0:f>D189</ns0:f>
        <ns0:v>1x27, 2.54 мм</ns0:v>
      </ns0:c>
      <ns0:c r="S189" t="str" s="34">
        <ns0:f>K189</ns0:f>
        <ns0:v>Разъём 1x27, 2.54 мм DS1023</ns0:v>
      </ns0:c>
      <ns0:c r="T189" t="str" s="33">
        <ns0:v>C:\Users\Nomatin\Documents\Altium\MY_LIB\MY_LIB\Datasheets\CONNFLY_DS1023.pdf</ns0:v>
      </ns0:c>
      <ns0:c r="U189" s="33"/>
      <ns0:c r="V189" t="str" s="33">
        <ns0:v>Даташит — локальный</ns0:v>
      </ns0:c>
      <ns0:c r="W189" t="str" s="33">
        <ns0:v>C:\Users\Nomatin\Documents\Altium\MY_LIB\MY_LIB\Datasheets\CONNFLY_DS1023.pdf</ns0:v>
      </ns0:c>
      <ns0:c r="X189" t="str" s="33">
        <ns0:v>Даташит — производитель</ns0:v>
      </ns0:c>
      <ns0:c r="Y189" t="str" s="33">
        <ns0:v>https://en.connfly.com/static/upload/file/pdf/DS1023.pdf</ns0:v>
      </ns0:c>
      <ns0:c r="Z189" t="str" s="33">
        <ns0:v>C:\Users\Nomatin\Documents\Altium\MY_LIB\MY_LIB\Datasheets\CONNFLY_DS1023.pdf</ns0:v>
      </ns0:c>
    </ns0:row>
    <ns0:row xmlns:ns0="http://schemas.openxmlformats.org/spreadsheetml/2006/main" r="190" ht="85" customHeight="1">
      <ns0:c r="A190" t="str" s="33">
        <ns0:v>XS0029</ns0:v>
      </ns0:c>
      <ns0:c r="B190" t="str" s="33">
        <ns0:v>Разъём</ns0:v>
      </ns0:c>
      <ns0:c r="C190" t="str" s="33">
        <ns0:v>1x28, 2.54 мм</ns0:v>
      </ns0:c>
      <ns0:c r="D190" t="str" s="34">
        <ns0:f>C190</ns0:f>
        <ns0:v>1x28, 2.54 мм</ns0:v>
      </ns0:c>
      <ns0:c r="E190" s="33"/>
      <ns0:c r="F190" s="33"/>
      <ns0:c r="G190" s="33"/>
      <ns0:c r="H190" t="str" s="35">
        <ns0:v>1x28, P2.54, THT, прямой</ns0:v>
      </ns0:c>
      <ns0:c r="I190" t="str" s="33">
        <ns0:v>CONNFLY</ns0:v>
      </ns0:c>
      <ns0:c r="J190" t="str" s="33">
        <ns0:v>DS1023</ns0:v>
      </ns0:c>
      <ns0:c r="K190" t="str" s="34">
        <ns0:f>B190&amp;" "&amp;D190&amp;" "&amp;J190</ns0:f>
        <ns0:v>Разъём 1x28, 2.54 мм DS1023</ns0:v>
      </ns0:c>
      <ns0:c r="L190" t="str" s="36">
        <ns0:v>XS_28</ns0:v>
      </ns0:c>
      <ns0:c r="M190" t="str" s="36">
        <ns0:v>Symbols\MY_LIB_Connectors.SchLib</ns0:v>
      </ns0:c>
      <ns0:c r="N190" t="str" s="36">
        <ns0:v>CONNFLY_DS1023_1X28</ns0:v>
      </ns0:c>
      <ns0:c r="O190" t="str" s="36">
        <ns0:v>Footprints\MY_LIB_Connectors.PcbLib</ns0:v>
      </ns0:c>
      <ns0:c r="P190" t="str" s="33">
        <ns0:v>Гнездовой, прямой;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0" s="33"/>
      <ns0:c r="R190" t="str" s="34">
        <ns0:f>D190</ns0:f>
        <ns0:v>1x28, 2.54 мм</ns0:v>
      </ns0:c>
      <ns0:c r="S190" t="str" s="34">
        <ns0:f>K190</ns0:f>
        <ns0:v>Разъём 1x28, 2.54 мм DS1023</ns0:v>
      </ns0:c>
      <ns0:c r="T190" t="str" s="33">
        <ns0:v>C:\Users\Nomatin\Documents\Altium\MY_LIB\MY_LIB\Datasheets\CONNFLY_DS1023.pdf</ns0:v>
      </ns0:c>
      <ns0:c r="U190" s="33"/>
      <ns0:c r="V190" t="str" s="33">
        <ns0:v>Даташит — локальный</ns0:v>
      </ns0:c>
      <ns0:c r="W190" t="str" s="33">
        <ns0:v>C:\Users\Nomatin\Documents\Altium\MY_LIB\MY_LIB\Datasheets\CONNFLY_DS1023.pdf</ns0:v>
      </ns0:c>
      <ns0:c r="X190" t="str" s="33">
        <ns0:v>Даташит — производитель</ns0:v>
      </ns0:c>
      <ns0:c r="Y190" t="str" s="33">
        <ns0:v>https://en.connfly.com/static/upload/file/pdf/DS1023.pdf</ns0:v>
      </ns0:c>
      <ns0:c r="Z190" t="str" s="33">
        <ns0:v>C:\Users\Nomatin\Documents\Altium\MY_LIB\MY_LIB\Datasheets\CONNFLY_DS1023.pdf</ns0:v>
      </ns0:c>
    </ns0:row>
    <ns0:row xmlns:ns0="http://schemas.openxmlformats.org/spreadsheetml/2006/main" r="191" ht="85" customHeight="1">
      <ns0:c r="A191" t="str" s="33">
        <ns0:v>XS0030</ns0:v>
      </ns0:c>
      <ns0:c r="B191" t="str" s="33">
        <ns0:v>Разъём</ns0:v>
      </ns0:c>
      <ns0:c r="C191" t="str" s="33">
        <ns0:v>1x29, 2.54 мм</ns0:v>
      </ns0:c>
      <ns0:c r="D191" t="str" s="34">
        <ns0:f>C191</ns0:f>
        <ns0:v>1x29, 2.54 мм</ns0:v>
      </ns0:c>
      <ns0:c r="E191" s="33"/>
      <ns0:c r="F191" s="33"/>
      <ns0:c r="G191" s="33"/>
      <ns0:c r="H191" t="str" s="35">
        <ns0:v>1x29, P2.54, THT, прямой</ns0:v>
      </ns0:c>
      <ns0:c r="I191" t="str" s="33">
        <ns0:v>CONNFLY</ns0:v>
      </ns0:c>
      <ns0:c r="J191" t="str" s="33">
        <ns0:v>DS1023</ns0:v>
      </ns0:c>
      <ns0:c r="K191" t="str" s="34">
        <ns0:f>B191&amp;" "&amp;D191&amp;" "&amp;J191</ns0:f>
        <ns0:v>Разъём 1x29, 2.54 мм DS1023</ns0:v>
      </ns0:c>
      <ns0:c r="L191" t="str" s="36">
        <ns0:v>XS_29</ns0:v>
      </ns0:c>
      <ns0:c r="M191" t="str" s="36">
        <ns0:v>Symbols\MY_LIB_Connectors.SchLib</ns0:v>
      </ns0:c>
      <ns0:c r="N191" t="str" s="36">
        <ns0:v>CONNFLY_DS1023_1X29</ns0:v>
      </ns0:c>
      <ns0:c r="O191" t="str" s="36">
        <ns0:v>Footprints\MY_LIB_Connectors.PcbLib</ns0:v>
      </ns0:c>
      <ns0:c r="P191" t="str" s="33">
        <ns0:v>Гнездовой, прямой; 29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1" s="33"/>
      <ns0:c r="R191" t="str" s="34">
        <ns0:f>D191</ns0:f>
        <ns0:v>1x29, 2.54 мм</ns0:v>
      </ns0:c>
      <ns0:c r="S191" t="str" s="34">
        <ns0:f>K191</ns0:f>
        <ns0:v>Разъём 1x29, 2.54 мм DS1023</ns0:v>
      </ns0:c>
      <ns0:c r="T191" t="str" s="33">
        <ns0:v>C:\Users\Nomatin\Documents\Altium\MY_LIB\MY_LIB\Datasheets\CONNFLY_DS1023.pdf</ns0:v>
      </ns0:c>
      <ns0:c r="U191" s="33"/>
      <ns0:c r="V191" t="str" s="33">
        <ns0:v>Даташит — локальный</ns0:v>
      </ns0:c>
      <ns0:c r="W191" t="str" s="33">
        <ns0:v>C:\Users\Nomatin\Documents\Altium\MY_LIB\MY_LIB\Datasheets\CONNFLY_DS1023.pdf</ns0:v>
      </ns0:c>
      <ns0:c r="X191" t="str" s="33">
        <ns0:v>Даташит — производитель</ns0:v>
      </ns0:c>
      <ns0:c r="Y191" t="str" s="33">
        <ns0:v>https://en.connfly.com/static/upload/file/pdf/DS1023.pdf</ns0:v>
      </ns0:c>
      <ns0:c r="Z191" t="str" s="33">
        <ns0:v>C:\Users\Nomatin\Documents\Altium\MY_LIB\MY_LIB\Datasheets\CONNFLY_DS1023.pdf</ns0:v>
      </ns0:c>
    </ns0:row>
    <ns0:row xmlns:ns0="http://schemas.openxmlformats.org/spreadsheetml/2006/main" r="192" ht="85" customHeight="1">
      <ns0:c r="A192" t="str" s="33">
        <ns0:v>XS0031</ns0:v>
      </ns0:c>
      <ns0:c r="B192" t="str" s="33">
        <ns0:v>Разъём</ns0:v>
      </ns0:c>
      <ns0:c r="C192" t="str" s="33">
        <ns0:v>1x30, 2.54 мм</ns0:v>
      </ns0:c>
      <ns0:c r="D192" t="str" s="34">
        <ns0:f>C192</ns0:f>
        <ns0:v>1x30, 2.54 мм</ns0:v>
      </ns0:c>
      <ns0:c r="E192" s="33"/>
      <ns0:c r="F192" s="33"/>
      <ns0:c r="G192" s="33"/>
      <ns0:c r="H192" t="str" s="35">
        <ns0:v>1x30, P2.54, THT, прямой</ns0:v>
      </ns0:c>
      <ns0:c r="I192" t="str" s="33">
        <ns0:v>CONNFLY</ns0:v>
      </ns0:c>
      <ns0:c r="J192" t="str" s="33">
        <ns0:v>DS1023</ns0:v>
      </ns0:c>
      <ns0:c r="K192" t="str" s="34">
        <ns0:f>B192&amp;" "&amp;D192&amp;" "&amp;J192</ns0:f>
        <ns0:v>Разъём 1x30, 2.54 мм DS1023</ns0:v>
      </ns0:c>
      <ns0:c r="L192" t="str" s="36">
        <ns0:v>XS_30</ns0:v>
      </ns0:c>
      <ns0:c r="M192" t="str" s="36">
        <ns0:v>Symbols\MY_LIB_Connectors.SchLib</ns0:v>
      </ns0:c>
      <ns0:c r="N192" t="str" s="36">
        <ns0:v>CONNFLY_DS1023_1X30</ns0:v>
      </ns0:c>
      <ns0:c r="O192" t="str" s="36">
        <ns0:v>Footprints\MY_LIB_Connectors.PcbLib</ns0:v>
      </ns0:c>
      <ns0:c r="P192" t="str" s="33">
        <ns0:v>Гнездовой, прямой;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2" s="33"/>
      <ns0:c r="R192" t="str" s="34">
        <ns0:f>D192</ns0:f>
        <ns0:v>1x30, 2.54 мм</ns0:v>
      </ns0:c>
      <ns0:c r="S192" t="str" s="34">
        <ns0:f>K192</ns0:f>
        <ns0:v>Разъём 1x30, 2.54 мм DS1023</ns0:v>
      </ns0:c>
      <ns0:c r="T192" t="str" s="33">
        <ns0:v>C:\Users\Nomatin\Documents\Altium\MY_LIB\MY_LIB\Datasheets\CONNFLY_DS1023.pdf</ns0:v>
      </ns0:c>
      <ns0:c r="U192" s="33"/>
      <ns0:c r="V192" t="str" s="33">
        <ns0:v>Даташит — локальный</ns0:v>
      </ns0:c>
      <ns0:c r="W192" t="str" s="33">
        <ns0:v>C:\Users\Nomatin\Documents\Altium\MY_LIB\MY_LIB\Datasheets\CONNFLY_DS1023.pdf</ns0:v>
      </ns0:c>
      <ns0:c r="X192" t="str" s="33">
        <ns0:v>Даташит — производитель</ns0:v>
      </ns0:c>
      <ns0:c r="Y192" t="str" s="33">
        <ns0:v>https://en.connfly.com/static/upload/file/pdf/DS1023.pdf</ns0:v>
      </ns0:c>
      <ns0:c r="Z192" t="str" s="33">
        <ns0:v>C:\Users\Nomatin\Documents\Altium\MY_LIB\MY_LIB\Datasheets\CONNFLY_DS1023.pdf</ns0:v>
      </ns0:c>
    </ns0:row>
    <ns0:row xmlns:ns0="http://schemas.openxmlformats.org/spreadsheetml/2006/main" r="193" ht="85" customHeight="1">
      <ns0:c r="A193" t="str" s="33">
        <ns0:v>XS0032</ns0:v>
      </ns0:c>
      <ns0:c r="B193" t="str" s="33">
        <ns0:v>Разъём</ns0:v>
      </ns0:c>
      <ns0:c r="C193" t="str" s="33">
        <ns0:v>1x31, 2.54 мм</ns0:v>
      </ns0:c>
      <ns0:c r="D193" t="str" s="34">
        <ns0:f>C193</ns0:f>
        <ns0:v>1x31, 2.54 мм</ns0:v>
      </ns0:c>
      <ns0:c r="E193" s="33"/>
      <ns0:c r="F193" s="33"/>
      <ns0:c r="G193" s="33"/>
      <ns0:c r="H193" t="str" s="35">
        <ns0:v>1x31, P2.54, THT, прямой</ns0:v>
      </ns0:c>
      <ns0:c r="I193" t="str" s="33">
        <ns0:v>CONNFLY</ns0:v>
      </ns0:c>
      <ns0:c r="J193" t="str" s="33">
        <ns0:v>DS1023</ns0:v>
      </ns0:c>
      <ns0:c r="K193" t="str" s="34">
        <ns0:f>B193&amp;" "&amp;D193&amp;" "&amp;J193</ns0:f>
        <ns0:v>Разъём 1x31, 2.54 мм DS1023</ns0:v>
      </ns0:c>
      <ns0:c r="L193" t="str" s="36">
        <ns0:v>XS_31</ns0:v>
      </ns0:c>
      <ns0:c r="M193" t="str" s="36">
        <ns0:v>Symbols\MY_LIB_Connectors.SchLib</ns0:v>
      </ns0:c>
      <ns0:c r="N193" t="str" s="36">
        <ns0:v>CONNFLY_DS1023_1X31</ns0:v>
      </ns0:c>
      <ns0:c r="O193" t="str" s="36">
        <ns0:v>Footprints\MY_LIB_Connectors.PcbLib</ns0:v>
      </ns0:c>
      <ns0:c r="P193" t="str" s="33">
        <ns0:v>Гнездовой, прямой; 31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3" s="33"/>
      <ns0:c r="R193" t="str" s="34">
        <ns0:f>D193</ns0:f>
        <ns0:v>1x31, 2.54 мм</ns0:v>
      </ns0:c>
      <ns0:c r="S193" t="str" s="34">
        <ns0:f>K193</ns0:f>
        <ns0:v>Разъём 1x31, 2.54 мм DS1023</ns0:v>
      </ns0:c>
      <ns0:c r="T193" t="str" s="33">
        <ns0:v>C:\Users\Nomatin\Documents\Altium\MY_LIB\MY_LIB\Datasheets\CONNFLY_DS1023.pdf</ns0:v>
      </ns0:c>
      <ns0:c r="U193" s="33"/>
      <ns0:c r="V193" t="str" s="33">
        <ns0:v>Даташит — локальный</ns0:v>
      </ns0:c>
      <ns0:c r="W193" t="str" s="33">
        <ns0:v>C:\Users\Nomatin\Documents\Altium\MY_LIB\MY_LIB\Datasheets\CONNFLY_DS1023.pdf</ns0:v>
      </ns0:c>
      <ns0:c r="X193" t="str" s="33">
        <ns0:v>Даташит — производитель</ns0:v>
      </ns0:c>
      <ns0:c r="Y193" t="str" s="33">
        <ns0:v>https://en.connfly.com/static/upload/file/pdf/DS1023.pdf</ns0:v>
      </ns0:c>
      <ns0:c r="Z193" t="str" s="33">
        <ns0:v>C:\Users\Nomatin\Documents\Altium\MY_LIB\MY_LIB\Datasheets\CONNFLY_DS1023.pdf</ns0:v>
      </ns0:c>
    </ns0:row>
    <ns0:row xmlns:ns0="http://schemas.openxmlformats.org/spreadsheetml/2006/main" r="194" ht="85" customHeight="1">
      <ns0:c r="A194" t="str" s="33">
        <ns0:v>XS0033</ns0:v>
      </ns0:c>
      <ns0:c r="B194" t="str" s="33">
        <ns0:v>Разъём</ns0:v>
      </ns0:c>
      <ns0:c r="C194" t="str" s="33">
        <ns0:v>1x32, 2.54 мм</ns0:v>
      </ns0:c>
      <ns0:c r="D194" t="str" s="34">
        <ns0:f>C194</ns0:f>
        <ns0:v>1x32, 2.54 мм</ns0:v>
      </ns0:c>
      <ns0:c r="E194" s="33"/>
      <ns0:c r="F194" s="33"/>
      <ns0:c r="G194" s="33"/>
      <ns0:c r="H194" t="str" s="35">
        <ns0:v>1x32, P2.54, THT, прямой</ns0:v>
      </ns0:c>
      <ns0:c r="I194" t="str" s="33">
        <ns0:v>CONNFLY</ns0:v>
      </ns0:c>
      <ns0:c r="J194" t="str" s="33">
        <ns0:v>DS1023</ns0:v>
      </ns0:c>
      <ns0:c r="K194" t="str" s="34">
        <ns0:f>B194&amp;" "&amp;D194&amp;" "&amp;J194</ns0:f>
        <ns0:v>Разъём 1x32, 2.54 мм DS1023</ns0:v>
      </ns0:c>
      <ns0:c r="L194" t="str" s="36">
        <ns0:v>XS_32</ns0:v>
      </ns0:c>
      <ns0:c r="M194" t="str" s="36">
        <ns0:v>Symbols\MY_LIB_Connectors.SchLib</ns0:v>
      </ns0:c>
      <ns0:c r="N194" t="str" s="36">
        <ns0:v>CONNFLY_DS1023_1X32</ns0:v>
      </ns0:c>
      <ns0:c r="O194" t="str" s="36">
        <ns0:v>Footprints\MY_LIB_Connectors.PcbLib</ns0:v>
      </ns0:c>
      <ns0:c r="P194" t="str" s="33">
        <ns0:v>Гнездовой, прямой;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4" s="33"/>
      <ns0:c r="R194" t="str" s="34">
        <ns0:f>D194</ns0:f>
        <ns0:v>1x32, 2.54 мм</ns0:v>
      </ns0:c>
      <ns0:c r="S194" t="str" s="34">
        <ns0:f>K194</ns0:f>
        <ns0:v>Разъём 1x32, 2.54 мм DS1023</ns0:v>
      </ns0:c>
      <ns0:c r="T194" t="str" s="33">
        <ns0:v>C:\Users\Nomatin\Documents\Altium\MY_LIB\MY_LIB\Datasheets\CONNFLY_DS1023.pdf</ns0:v>
      </ns0:c>
      <ns0:c r="U194" s="33"/>
      <ns0:c r="V194" t="str" s="33">
        <ns0:v>Даташит — локальный</ns0:v>
      </ns0:c>
      <ns0:c r="W194" t="str" s="33">
        <ns0:v>C:\Users\Nomatin\Documents\Altium\MY_LIB\MY_LIB\Datasheets\CONNFLY_DS1023.pdf</ns0:v>
      </ns0:c>
      <ns0:c r="X194" t="str" s="33">
        <ns0:v>Даташит — производитель</ns0:v>
      </ns0:c>
      <ns0:c r="Y194" t="str" s="33">
        <ns0:v>https://en.connfly.com/static/upload/file/pdf/DS1023.pdf</ns0:v>
      </ns0:c>
      <ns0:c r="Z194" t="str" s="33">
        <ns0:v>C:\Users\Nomatin\Documents\Altium\MY_LIB\MY_LIB\Datasheets\CONNFLY_DS1023.pdf</ns0:v>
      </ns0:c>
    </ns0:row>
    <ns0:row xmlns:ns0="http://schemas.openxmlformats.org/spreadsheetml/2006/main" r="195" ht="85" customHeight="1">
      <ns0:c r="A195" t="str" s="33">
        <ns0:v>XS0034</ns0:v>
      </ns0:c>
      <ns0:c r="B195" t="str" s="33">
        <ns0:v>Разъём</ns0:v>
      </ns0:c>
      <ns0:c r="C195" t="str" s="33">
        <ns0:v>1x33, 2.54 мм</ns0:v>
      </ns0:c>
      <ns0:c r="D195" t="str" s="34">
        <ns0:f>C195</ns0:f>
        <ns0:v>1x33, 2.54 мм</ns0:v>
      </ns0:c>
      <ns0:c r="E195" s="33"/>
      <ns0:c r="F195" s="33"/>
      <ns0:c r="G195" s="33"/>
      <ns0:c r="H195" t="str" s="35">
        <ns0:v>1x33, P2.54, THT, прямой</ns0:v>
      </ns0:c>
      <ns0:c r="I195" t="str" s="33">
        <ns0:v>CONNFLY</ns0:v>
      </ns0:c>
      <ns0:c r="J195" t="str" s="33">
        <ns0:v>DS1023</ns0:v>
      </ns0:c>
      <ns0:c r="K195" t="str" s="34">
        <ns0:f>B195&amp;" "&amp;D195&amp;" "&amp;J195</ns0:f>
        <ns0:v>Разъём 1x33, 2.54 мм DS1023</ns0:v>
      </ns0:c>
      <ns0:c r="L195" t="str" s="36">
        <ns0:v>XS_33</ns0:v>
      </ns0:c>
      <ns0:c r="M195" t="str" s="36">
        <ns0:v>Symbols\MY_LIB_Connectors.SchLib</ns0:v>
      </ns0:c>
      <ns0:c r="N195" t="str" s="36">
        <ns0:v>CONNFLY_DS1023_1X33</ns0:v>
      </ns0:c>
      <ns0:c r="O195" t="str" s="36">
        <ns0:v>Footprints\MY_LIB_Connectors.PcbLib</ns0:v>
      </ns0:c>
      <ns0:c r="P195" t="str" s="33">
        <ns0:v>Гнездовой, прямой; 33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5" s="33"/>
      <ns0:c r="R195" t="str" s="34">
        <ns0:f>D195</ns0:f>
        <ns0:v>1x33, 2.54 мм</ns0:v>
      </ns0:c>
      <ns0:c r="S195" t="str" s="34">
        <ns0:f>K195</ns0:f>
        <ns0:v>Разъём 1x33, 2.54 мм DS1023</ns0:v>
      </ns0:c>
      <ns0:c r="T195" t="str" s="33">
        <ns0:v>C:\Users\Nomatin\Documents\Altium\MY_LIB\MY_LIB\Datasheets\CONNFLY_DS1023.pdf</ns0:v>
      </ns0:c>
      <ns0:c r="U195" s="33"/>
      <ns0:c r="V195" t="str" s="33">
        <ns0:v>Даташит — локальный</ns0:v>
      </ns0:c>
      <ns0:c r="W195" t="str" s="33">
        <ns0:v>C:\Users\Nomatin\Documents\Altium\MY_LIB\MY_LIB\Datasheets\CONNFLY_DS1023.pdf</ns0:v>
      </ns0:c>
      <ns0:c r="X195" t="str" s="33">
        <ns0:v>Даташит — производитель</ns0:v>
      </ns0:c>
      <ns0:c r="Y195" t="str" s="33">
        <ns0:v>https://en.connfly.com/static/upload/file/pdf/DS1023.pdf</ns0:v>
      </ns0:c>
      <ns0:c r="Z195" t="str" s="33">
        <ns0:v>C:\Users\Nomatin\Documents\Altium\MY_LIB\MY_LIB\Datasheets\CONNFLY_DS1023.pdf</ns0:v>
      </ns0:c>
    </ns0:row>
    <ns0:row xmlns:ns0="http://schemas.openxmlformats.org/spreadsheetml/2006/main" r="196" ht="85" customHeight="1">
      <ns0:c r="A196" t="str" s="33">
        <ns0:v>XS0035</ns0:v>
      </ns0:c>
      <ns0:c r="B196" t="str" s="33">
        <ns0:v>Разъём</ns0:v>
      </ns0:c>
      <ns0:c r="C196" t="str" s="33">
        <ns0:v>1x34, 2.54 мм</ns0:v>
      </ns0:c>
      <ns0:c r="D196" t="str" s="34">
        <ns0:f>C196</ns0:f>
        <ns0:v>1x34, 2.54 мм</ns0:v>
      </ns0:c>
      <ns0:c r="E196" s="33"/>
      <ns0:c r="F196" s="33"/>
      <ns0:c r="G196" s="33"/>
      <ns0:c r="H196" t="str" s="35">
        <ns0:v>1x34, P2.54, THT, прямой</ns0:v>
      </ns0:c>
      <ns0:c r="I196" t="str" s="33">
        <ns0:v>CONNFLY</ns0:v>
      </ns0:c>
      <ns0:c r="J196" t="str" s="33">
        <ns0:v>DS1023</ns0:v>
      </ns0:c>
      <ns0:c r="K196" t="str" s="34">
        <ns0:f>B196&amp;" "&amp;D196&amp;" "&amp;J196</ns0:f>
        <ns0:v>Разъём 1x34, 2.54 мм DS1023</ns0:v>
      </ns0:c>
      <ns0:c r="L196" t="str" s="36">
        <ns0:v>XS_34</ns0:v>
      </ns0:c>
      <ns0:c r="M196" t="str" s="36">
        <ns0:v>Symbols\MY_LIB_Connectors.SchLib</ns0:v>
      </ns0:c>
      <ns0:c r="N196" t="str" s="36">
        <ns0:v>CONNFLY_DS1023_1X34</ns0:v>
      </ns0:c>
      <ns0:c r="O196" t="str" s="36">
        <ns0:v>Footprints\MY_LIB_Connectors.PcbLib</ns0:v>
      </ns0:c>
      <ns0:c r="P196" t="str" s="33">
        <ns0:v>Гнездовой, прямой;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6" s="33"/>
      <ns0:c r="R196" t="str" s="34">
        <ns0:f>D196</ns0:f>
        <ns0:v>1x34, 2.54 мм</ns0:v>
      </ns0:c>
      <ns0:c r="S196" t="str" s="34">
        <ns0:f>K196</ns0:f>
        <ns0:v>Разъём 1x34, 2.54 мм DS1023</ns0:v>
      </ns0:c>
      <ns0:c r="T196" t="str" s="33">
        <ns0:v>C:\Users\Nomatin\Documents\Altium\MY_LIB\MY_LIB\Datasheets\CONNFLY_DS1023.pdf</ns0:v>
      </ns0:c>
      <ns0:c r="U196" s="33"/>
      <ns0:c r="V196" t="str" s="33">
        <ns0:v>Даташит — локальный</ns0:v>
      </ns0:c>
      <ns0:c r="W196" t="str" s="33">
        <ns0:v>C:\Users\Nomatin\Documents\Altium\MY_LIB\MY_LIB\Datasheets\CONNFLY_DS1023.pdf</ns0:v>
      </ns0:c>
      <ns0:c r="X196" t="str" s="33">
        <ns0:v>Даташит — производитель</ns0:v>
      </ns0:c>
      <ns0:c r="Y196" t="str" s="33">
        <ns0:v>https://en.connfly.com/static/upload/file/pdf/DS1023.pdf</ns0:v>
      </ns0:c>
      <ns0:c r="Z196" t="str" s="33">
        <ns0:v>C:\Users\Nomatin\Documents\Altium\MY_LIB\MY_LIB\Datasheets\CONNFLY_DS1023.pdf</ns0:v>
      </ns0:c>
    </ns0:row>
    <ns0:row xmlns:ns0="http://schemas.openxmlformats.org/spreadsheetml/2006/main" r="197" ht="85" customHeight="1">
      <ns0:c r="A197" t="str" s="33">
        <ns0:v>XS0036</ns0:v>
      </ns0:c>
      <ns0:c r="B197" t="str" s="33">
        <ns0:v>Разъём</ns0:v>
      </ns0:c>
      <ns0:c r="C197" t="str" s="33">
        <ns0:v>1x35, 2.54 мм</ns0:v>
      </ns0:c>
      <ns0:c r="D197" t="str" s="34">
        <ns0:f>C197</ns0:f>
        <ns0:v>1x35, 2.54 мм</ns0:v>
      </ns0:c>
      <ns0:c r="E197" s="33"/>
      <ns0:c r="F197" s="33"/>
      <ns0:c r="G197" s="33"/>
      <ns0:c r="H197" t="str" s="35">
        <ns0:v>1x35, P2.54, THT, прямой</ns0:v>
      </ns0:c>
      <ns0:c r="I197" t="str" s="33">
        <ns0:v>CONNFLY</ns0:v>
      </ns0:c>
      <ns0:c r="J197" t="str" s="33">
        <ns0:v>DS1023</ns0:v>
      </ns0:c>
      <ns0:c r="K197" t="str" s="34">
        <ns0:f>B197&amp;" "&amp;D197&amp;" "&amp;J197</ns0:f>
        <ns0:v>Разъём 1x35, 2.54 мм DS1023</ns0:v>
      </ns0:c>
      <ns0:c r="L197" t="str" s="36">
        <ns0:v>XS_35</ns0:v>
      </ns0:c>
      <ns0:c r="M197" t="str" s="36">
        <ns0:v>Symbols\MY_LIB_Connectors.SchLib</ns0:v>
      </ns0:c>
      <ns0:c r="N197" t="str" s="36">
        <ns0:v>CONNFLY_DS1023_1X35</ns0:v>
      </ns0:c>
      <ns0:c r="O197" t="str" s="36">
        <ns0:v>Footprints\MY_LIB_Connectors.PcbLib</ns0:v>
      </ns0:c>
      <ns0:c r="P197" t="str" s="33">
        <ns0:v>Гнездовой, прямой; 35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7" s="33"/>
      <ns0:c r="R197" t="str" s="34">
        <ns0:f>D197</ns0:f>
        <ns0:v>1x35, 2.54 мм</ns0:v>
      </ns0:c>
      <ns0:c r="S197" t="str" s="34">
        <ns0:f>K197</ns0:f>
        <ns0:v>Разъём 1x35, 2.54 мм DS1023</ns0:v>
      </ns0:c>
      <ns0:c r="T197" t="str" s="33">
        <ns0:v>C:\Users\Nomatin\Documents\Altium\MY_LIB\MY_LIB\Datasheets\CONNFLY_DS1023.pdf</ns0:v>
      </ns0:c>
      <ns0:c r="U197" s="33"/>
      <ns0:c r="V197" t="str" s="33">
        <ns0:v>Даташит — локальный</ns0:v>
      </ns0:c>
      <ns0:c r="W197" t="str" s="33">
        <ns0:v>C:\Users\Nomatin\Documents\Altium\MY_LIB\MY_LIB\Datasheets\CONNFLY_DS1023.pdf</ns0:v>
      </ns0:c>
      <ns0:c r="X197" t="str" s="33">
        <ns0:v>Даташит — производитель</ns0:v>
      </ns0:c>
      <ns0:c r="Y197" t="str" s="33">
        <ns0:v>https://en.connfly.com/static/upload/file/pdf/DS1023.pdf</ns0:v>
      </ns0:c>
      <ns0:c r="Z197" t="str" s="33">
        <ns0:v>C:\Users\Nomatin\Documents\Altium\MY_LIB\MY_LIB\Datasheets\CONNFLY_DS1023.pdf</ns0:v>
      </ns0:c>
    </ns0:row>
    <ns0:row xmlns:ns0="http://schemas.openxmlformats.org/spreadsheetml/2006/main" r="198" ht="85" customHeight="1">
      <ns0:c r="A198" t="str" s="33">
        <ns0:v>XS0037</ns0:v>
      </ns0:c>
      <ns0:c r="B198" t="str" s="33">
        <ns0:v>Разъём</ns0:v>
      </ns0:c>
      <ns0:c r="C198" t="str" s="33">
        <ns0:v>1x36, 2.54 мм</ns0:v>
      </ns0:c>
      <ns0:c r="D198" t="str" s="34">
        <ns0:f>C198</ns0:f>
        <ns0:v>1x36, 2.54 мм</ns0:v>
      </ns0:c>
      <ns0:c r="E198" s="33"/>
      <ns0:c r="F198" s="33"/>
      <ns0:c r="G198" s="33"/>
      <ns0:c r="H198" t="str" s="35">
        <ns0:v>1x36, P2.54, THT, прямой</ns0:v>
      </ns0:c>
      <ns0:c r="I198" t="str" s="33">
        <ns0:v>CONNFLY</ns0:v>
      </ns0:c>
      <ns0:c r="J198" t="str" s="33">
        <ns0:v>DS1023</ns0:v>
      </ns0:c>
      <ns0:c r="K198" t="str" s="34">
        <ns0:f>B198&amp;" "&amp;D198&amp;" "&amp;J198</ns0:f>
        <ns0:v>Разъём 1x36, 2.54 мм DS1023</ns0:v>
      </ns0:c>
      <ns0:c r="L198" t="str" s="36">
        <ns0:v>XS_36</ns0:v>
      </ns0:c>
      <ns0:c r="M198" t="str" s="36">
        <ns0:v>Symbols\MY_LIB_Connectors.SchLib</ns0:v>
      </ns0:c>
      <ns0:c r="N198" t="str" s="36">
        <ns0:v>CONNFLY_DS1023_1X36</ns0:v>
      </ns0:c>
      <ns0:c r="O198" t="str" s="36">
        <ns0:v>Footprints\MY_LIB_Connectors.PcbLib</ns0:v>
      </ns0:c>
      <ns0:c r="P198" t="str" s="33">
        <ns0:v>Гнездовой, прямой;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8" s="33"/>
      <ns0:c r="R198" t="str" s="34">
        <ns0:f>D198</ns0:f>
        <ns0:v>1x36, 2.54 мм</ns0:v>
      </ns0:c>
      <ns0:c r="S198" t="str" s="34">
        <ns0:f>K198</ns0:f>
        <ns0:v>Разъём 1x36, 2.54 мм DS1023</ns0:v>
      </ns0:c>
      <ns0:c r="T198" t="str" s="33">
        <ns0:v>C:\Users\Nomatin\Documents\Altium\MY_LIB\MY_LIB\Datasheets\CONNFLY_DS1023.pdf</ns0:v>
      </ns0:c>
      <ns0:c r="U198" s="33"/>
      <ns0:c r="V198" t="str" s="33">
        <ns0:v>Даташит — локальный</ns0:v>
      </ns0:c>
      <ns0:c r="W198" t="str" s="33">
        <ns0:v>C:\Users\Nomatin\Documents\Altium\MY_LIB\MY_LIB\Datasheets\CONNFLY_DS1023.pdf</ns0:v>
      </ns0:c>
      <ns0:c r="X198" t="str" s="33">
        <ns0:v>Даташит — производитель</ns0:v>
      </ns0:c>
      <ns0:c r="Y198" t="str" s="33">
        <ns0:v>https://en.connfly.com/static/upload/file/pdf/DS1023.pdf</ns0:v>
      </ns0:c>
      <ns0:c r="Z198" t="str" s="33">
        <ns0:v>C:\Users\Nomatin\Documents\Altium\MY_LIB\MY_LIB\Datasheets\CONNFLY_DS1023.pdf</ns0:v>
      </ns0:c>
    </ns0:row>
    <ns0:row xmlns:ns0="http://schemas.openxmlformats.org/spreadsheetml/2006/main" r="199" ht="85" customHeight="1">
      <ns0:c r="A199" t="str" s="33">
        <ns0:v>XS0038</ns0:v>
      </ns0:c>
      <ns0:c r="B199" t="str" s="33">
        <ns0:v>Разъём</ns0:v>
      </ns0:c>
      <ns0:c r="C199" t="str" s="33">
        <ns0:v>1x37, 2.54 мм</ns0:v>
      </ns0:c>
      <ns0:c r="D199" t="str" s="34">
        <ns0:f>C199</ns0:f>
        <ns0:v>1x37, 2.54 мм</ns0:v>
      </ns0:c>
      <ns0:c r="E199" s="33"/>
      <ns0:c r="F199" s="33"/>
      <ns0:c r="G199" s="33"/>
      <ns0:c r="H199" t="str" s="35">
        <ns0:v>1x37, P2.54, THT, прямой</ns0:v>
      </ns0:c>
      <ns0:c r="I199" t="str" s="33">
        <ns0:v>CONNFLY</ns0:v>
      </ns0:c>
      <ns0:c r="J199" t="str" s="33">
        <ns0:v>DS1023</ns0:v>
      </ns0:c>
      <ns0:c r="K199" t="str" s="34">
        <ns0:f>B199&amp;" "&amp;D199&amp;" "&amp;J199</ns0:f>
        <ns0:v>Разъём 1x37, 2.54 мм DS1023</ns0:v>
      </ns0:c>
      <ns0:c r="L199" t="str" s="36">
        <ns0:v>XS_37</ns0:v>
      </ns0:c>
      <ns0:c r="M199" t="str" s="36">
        <ns0:v>Symbols\MY_LIB_Connectors.SchLib</ns0:v>
      </ns0:c>
      <ns0:c r="N199" t="str" s="36">
        <ns0:v>CONNFLY_DS1023_1X37</ns0:v>
      </ns0:c>
      <ns0:c r="O199" t="str" s="36">
        <ns0:v>Footprints\MY_LIB_Connectors.PcbLib</ns0:v>
      </ns0:c>
      <ns0:c r="P199" t="str" s="33">
        <ns0:v>Гнездовой, прямой; 37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199" s="33"/>
      <ns0:c r="R199" t="str" s="34">
        <ns0:f>D199</ns0:f>
        <ns0:v>1x37, 2.54 мм</ns0:v>
      </ns0:c>
      <ns0:c r="S199" t="str" s="34">
        <ns0:f>K199</ns0:f>
        <ns0:v>Разъём 1x37, 2.54 мм DS1023</ns0:v>
      </ns0:c>
      <ns0:c r="T199" t="str" s="33">
        <ns0:v>C:\Users\Nomatin\Documents\Altium\MY_LIB\MY_LIB\Datasheets\CONNFLY_DS1023.pdf</ns0:v>
      </ns0:c>
      <ns0:c r="U199" s="33"/>
      <ns0:c r="V199" t="str" s="33">
        <ns0:v>Даташит — локальный</ns0:v>
      </ns0:c>
      <ns0:c r="W199" t="str" s="33">
        <ns0:v>C:\Users\Nomatin\Documents\Altium\MY_LIB\MY_LIB\Datasheets\CONNFLY_DS1023.pdf</ns0:v>
      </ns0:c>
      <ns0:c r="X199" t="str" s="33">
        <ns0:v>Даташит — производитель</ns0:v>
      </ns0:c>
      <ns0:c r="Y199" t="str" s="33">
        <ns0:v>https://en.connfly.com/static/upload/file/pdf/DS1023.pdf</ns0:v>
      </ns0:c>
      <ns0:c r="Z199" t="str" s="33">
        <ns0:v>C:\Users\Nomatin\Documents\Altium\MY_LIB\MY_LIB\Datasheets\CONNFLY_DS1023.pdf</ns0:v>
      </ns0:c>
    </ns0:row>
    <ns0:row xmlns:ns0="http://schemas.openxmlformats.org/spreadsheetml/2006/main" r="200" ht="85" customHeight="1">
      <ns0:c r="A200" t="str" s="33">
        <ns0:v>XS0039</ns0:v>
      </ns0:c>
      <ns0:c r="B200" t="str" s="33">
        <ns0:v>Разъём</ns0:v>
      </ns0:c>
      <ns0:c r="C200" t="str" s="33">
        <ns0:v>1x38, 2.54 мм</ns0:v>
      </ns0:c>
      <ns0:c r="D200" t="str" s="34">
        <ns0:f>C200</ns0:f>
        <ns0:v>1x38, 2.54 мм</ns0:v>
      </ns0:c>
      <ns0:c r="E200" s="33"/>
      <ns0:c r="F200" s="33"/>
      <ns0:c r="G200" s="33"/>
      <ns0:c r="H200" t="str" s="35">
        <ns0:v>1x38, P2.54, THT, прямой</ns0:v>
      </ns0:c>
      <ns0:c r="I200" t="str" s="33">
        <ns0:v>CONNFLY</ns0:v>
      </ns0:c>
      <ns0:c r="J200" t="str" s="33">
        <ns0:v>DS1023</ns0:v>
      </ns0:c>
      <ns0:c r="K200" t="str" s="34">
        <ns0:f>B200&amp;" "&amp;D200&amp;" "&amp;J200</ns0:f>
        <ns0:v>Разъём 1x38, 2.54 мм DS1023</ns0:v>
      </ns0:c>
      <ns0:c r="L200" t="str" s="36">
        <ns0:v>XS_38</ns0:v>
      </ns0:c>
      <ns0:c r="M200" t="str" s="36">
        <ns0:v>Symbols\MY_LIB_Connectors.SchLib</ns0:v>
      </ns0:c>
      <ns0:c r="N200" t="str" s="36">
        <ns0:v>CONNFLY_DS1023_1X38</ns0:v>
      </ns0:c>
      <ns0:c r="O200" t="str" s="36">
        <ns0:v>Footprints\MY_LIB_Connectors.PcbLib</ns0:v>
      </ns0:c>
      <ns0:c r="P200" t="str" s="33">
        <ns0:v>Гнездовой, прямой;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0" s="33"/>
      <ns0:c r="R200" t="str" s="34">
        <ns0:f>D200</ns0:f>
        <ns0:v>1x38, 2.54 мм</ns0:v>
      </ns0:c>
      <ns0:c r="S200" t="str" s="34">
        <ns0:f>K200</ns0:f>
        <ns0:v>Разъём 1x38, 2.54 мм DS1023</ns0:v>
      </ns0:c>
      <ns0:c r="T200" t="str" s="33">
        <ns0:v>C:\Users\Nomatin\Documents\Altium\MY_LIB\MY_LIB\Datasheets\CONNFLY_DS1023.pdf</ns0:v>
      </ns0:c>
      <ns0:c r="U200" s="33"/>
      <ns0:c r="V200" t="str" s="33">
        <ns0:v>Даташит — локальный</ns0:v>
      </ns0:c>
      <ns0:c r="W200" t="str" s="33">
        <ns0:v>C:\Users\Nomatin\Documents\Altium\MY_LIB\MY_LIB\Datasheets\CONNFLY_DS1023.pdf</ns0:v>
      </ns0:c>
      <ns0:c r="X200" t="str" s="33">
        <ns0:v>Даташит — производитель</ns0:v>
      </ns0:c>
      <ns0:c r="Y200" t="str" s="33">
        <ns0:v>https://en.connfly.com/static/upload/file/pdf/DS1023.pdf</ns0:v>
      </ns0:c>
      <ns0:c r="Z200" t="str" s="33">
        <ns0:v>C:\Users\Nomatin\Documents\Altium\MY_LIB\MY_LIB\Datasheets\CONNFLY_DS1023.pdf</ns0:v>
      </ns0:c>
    </ns0:row>
    <ns0:row xmlns:ns0="http://schemas.openxmlformats.org/spreadsheetml/2006/main" r="201" ht="85" customHeight="1">
      <ns0:c r="A201" t="str" s="33">
        <ns0:v>XS0040</ns0:v>
      </ns0:c>
      <ns0:c r="B201" t="str" s="33">
        <ns0:v>Разъём</ns0:v>
      </ns0:c>
      <ns0:c r="C201" t="str" s="33">
        <ns0:v>1x39, 2.54 мм</ns0:v>
      </ns0:c>
      <ns0:c r="D201" t="str" s="34">
        <ns0:f>C201</ns0:f>
        <ns0:v>1x39, 2.54 мм</ns0:v>
      </ns0:c>
      <ns0:c r="E201" s="33"/>
      <ns0:c r="F201" s="33"/>
      <ns0:c r="G201" s="33"/>
      <ns0:c r="H201" t="str" s="35">
        <ns0:v>1x39, P2.54, THT, прямой</ns0:v>
      </ns0:c>
      <ns0:c r="I201" t="str" s="33">
        <ns0:v>CONNFLY</ns0:v>
      </ns0:c>
      <ns0:c r="J201" t="str" s="33">
        <ns0:v>DS1023</ns0:v>
      </ns0:c>
      <ns0:c r="K201" t="str" s="34">
        <ns0:f>B201&amp;" "&amp;D201&amp;" "&amp;J201</ns0:f>
        <ns0:v>Разъём 1x39, 2.54 мм DS1023</ns0:v>
      </ns0:c>
      <ns0:c r="L201" t="str" s="36">
        <ns0:v>XS_39</ns0:v>
      </ns0:c>
      <ns0:c r="M201" t="str" s="36">
        <ns0:v>Symbols\MY_LIB_Connectors.SchLib</ns0:v>
      </ns0:c>
      <ns0:c r="N201" t="str" s="36">
        <ns0:v>CONNFLY_DS1023_1X39</ns0:v>
      </ns0:c>
      <ns0:c r="O201" t="str" s="36">
        <ns0:v>Footprints\MY_LIB_Connectors.PcbLib</ns0:v>
      </ns0:c>
      <ns0:c r="P201" t="str" s="33">
        <ns0:v>Гнездовой, прямой; 39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1" s="33"/>
      <ns0:c r="R201" t="str" s="34">
        <ns0:f>D201</ns0:f>
        <ns0:v>1x39, 2.54 мм</ns0:v>
      </ns0:c>
      <ns0:c r="S201" t="str" s="34">
        <ns0:f>K201</ns0:f>
        <ns0:v>Разъём 1x39, 2.54 мм DS1023</ns0:v>
      </ns0:c>
      <ns0:c r="T201" t="str" s="33">
        <ns0:v>C:\Users\Nomatin\Documents\Altium\MY_LIB\MY_LIB\Datasheets\CONNFLY_DS1023.pdf</ns0:v>
      </ns0:c>
      <ns0:c r="U201" s="33"/>
      <ns0:c r="V201" t="str" s="33">
        <ns0:v>Даташит — локальный</ns0:v>
      </ns0:c>
      <ns0:c r="W201" t="str" s="33">
        <ns0:v>C:\Users\Nomatin\Documents\Altium\MY_LIB\MY_LIB\Datasheets\CONNFLY_DS1023.pdf</ns0:v>
      </ns0:c>
      <ns0:c r="X201" t="str" s="33">
        <ns0:v>Даташит — производитель</ns0:v>
      </ns0:c>
      <ns0:c r="Y201" t="str" s="33">
        <ns0:v>https://en.connfly.com/static/upload/file/pdf/DS1023.pdf</ns0:v>
      </ns0:c>
      <ns0:c r="Z201" t="str" s="33">
        <ns0:v>C:\Users\Nomatin\Documents\Altium\MY_LIB\MY_LIB\Datasheets\CONNFLY_DS1023.pdf</ns0:v>
      </ns0:c>
    </ns0:row>
    <ns0:row xmlns:ns0="http://schemas.openxmlformats.org/spreadsheetml/2006/main" r="202" ht="85" customHeight="1">
      <ns0:c r="A202" t="str" s="33">
        <ns0:v>XS0041</ns0:v>
      </ns0:c>
      <ns0:c r="B202" t="str" s="33">
        <ns0:v>Разъём</ns0:v>
      </ns0:c>
      <ns0:c r="C202" t="str" s="33">
        <ns0:v>1x40, 2.54 мм</ns0:v>
      </ns0:c>
      <ns0:c r="D202" t="str" s="34">
        <ns0:f>C202</ns0:f>
        <ns0:v>1x40, 2.54 мм</ns0:v>
      </ns0:c>
      <ns0:c r="E202" s="33"/>
      <ns0:c r="F202" s="33"/>
      <ns0:c r="G202" s="33"/>
      <ns0:c r="H202" t="str" s="35">
        <ns0:v>1x40, P2.54, THT, прямой</ns0:v>
      </ns0:c>
      <ns0:c r="I202" t="str" s="33">
        <ns0:v>CONNFLY</ns0:v>
      </ns0:c>
      <ns0:c r="J202" t="str" s="33">
        <ns0:v>DS1023</ns0:v>
      </ns0:c>
      <ns0:c r="K202" t="str" s="34">
        <ns0:f>B202&amp;" "&amp;D202&amp;" "&amp;J202</ns0:f>
        <ns0:v>Разъём 1x40, 2.54 мм DS1023</ns0:v>
      </ns0:c>
      <ns0:c r="L202" t="str" s="36">
        <ns0:v>XS_40</ns0:v>
      </ns0:c>
      <ns0:c r="M202" t="str" s="36">
        <ns0:v>Symbols\MY_LIB_Connectors.SchLib</ns0:v>
      </ns0:c>
      <ns0:c r="N202" t="str" s="36">
        <ns0:v>CONNFLY_DS1023_1X40</ns0:v>
      </ns0:c>
      <ns0:c r="O202" t="str" s="36">
        <ns0:v>Footprints\MY_LIB_Connectors.PcbLib</ns0:v>
      </ns0:c>
      <ns0:c r="P202" t="str" s="33">
        <ns0:v>Гнездовой, прямой;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2" s="33"/>
      <ns0:c r="R202" t="str" s="34">
        <ns0:f>D202</ns0:f>
        <ns0:v>1x40, 2.54 мм</ns0:v>
      </ns0:c>
      <ns0:c r="S202" t="str" s="34">
        <ns0:f>K202</ns0:f>
        <ns0:v>Разъём 1x40, 2.54 мм DS1023</ns0:v>
      </ns0:c>
      <ns0:c r="T202" t="str" s="33">
        <ns0:v>C:\Users\Nomatin\Documents\Altium\MY_LIB\MY_LIB\Datasheets\CONNFLY_DS1023.pdf</ns0:v>
      </ns0:c>
      <ns0:c r="U202" s="33"/>
      <ns0:c r="V202" t="str" s="33">
        <ns0:v>Даташит — локальный</ns0:v>
      </ns0:c>
      <ns0:c r="W202" t="str" s="33">
        <ns0:v>C:\Users\Nomatin\Documents\Altium\MY_LIB\MY_LIB\Datasheets\CONNFLY_DS1023.pdf</ns0:v>
      </ns0:c>
      <ns0:c r="X202" t="str" s="33">
        <ns0:v>Даташит — производитель</ns0:v>
      </ns0:c>
      <ns0:c r="Y202" t="str" s="33">
        <ns0:v>https://en.connfly.com/static/upload/file/pdf/DS1023.pdf</ns0:v>
      </ns0:c>
      <ns0:c r="Z202" t="str" s="33">
        <ns0:v>C:\Users\Nomatin\Documents\Altium\MY_LIB\MY_LIB\Datasheets\CONNFLY_DS1023.pdf</ns0:v>
      </ns0:c>
    </ns0:row>
    <ns0:row xmlns:ns0="http://schemas.openxmlformats.org/spreadsheetml/2006/main" r="203" ht="85" customHeight="1">
      <ns0:c r="A203" t="str" s="33">
        <ns0:v>XS0042</ns0:v>
      </ns0:c>
      <ns0:c r="B203" t="str" s="33">
        <ns0:v>Разъём</ns0:v>
      </ns0:c>
      <ns0:c r="C203" t="str" s="33">
        <ns0:v>2x02, 2.54 мм</ns0:v>
      </ns0:c>
      <ns0:c r="D203" t="str" s="34">
        <ns0:f>C203</ns0:f>
        <ns0:v>2x02, 2.54 мм</ns0:v>
      </ns0:c>
      <ns0:c r="E203" s="33"/>
      <ns0:c r="F203" s="33"/>
      <ns0:c r="G203" s="33"/>
      <ns0:c r="H203" t="str" s="35">
        <ns0:v>2x02, P2.54, THT, прямой</ns0:v>
      </ns0:c>
      <ns0:c r="I203" t="str" s="33">
        <ns0:v>CONNFLY</ns0:v>
      </ns0:c>
      <ns0:c r="J203" t="str" s="33">
        <ns0:v>DS1023</ns0:v>
      </ns0:c>
      <ns0:c r="K203" t="str" s="34">
        <ns0:f>B203&amp;" "&amp;D203&amp;" "&amp;J203</ns0:f>
        <ns0:v>Разъём 2x02, 2.54 мм DS1023</ns0:v>
      </ns0:c>
      <ns0:c r="L203" t="str" s="36">
        <ns0:v>XS_4</ns0:v>
      </ns0:c>
      <ns0:c r="M203" t="str" s="36">
        <ns0:v>Symbols\MY_LIB_Connectors.SchLib</ns0:v>
      </ns0:c>
      <ns0:c r="N203" t="str" s="36">
        <ns0:v>CONNFLY_DS1023_2X02</ns0:v>
      </ns0:c>
      <ns0:c r="O203" t="str" s="36">
        <ns0:v>Footprints\MY_LIB_Connectors.PcbLib</ns0:v>
      </ns0:c>
      <ns0:c r="P203" t="str" s="33">
        <ns0:v>Гнездовой, прямой; 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3" s="33"/>
      <ns0:c r="R203" t="str" s="34">
        <ns0:f>D203</ns0:f>
        <ns0:v>2x02, 2.54 мм</ns0:v>
      </ns0:c>
      <ns0:c r="S203" t="str" s="34">
        <ns0:f>K203</ns0:f>
        <ns0:v>Разъём 2x02, 2.54 мм DS1023</ns0:v>
      </ns0:c>
      <ns0:c r="T203" t="str" s="33">
        <ns0:v>C:\Users\Nomatin\Documents\Altium\MY_LIB\MY_LIB\Datasheets\CONNFLY_DS1023.pdf</ns0:v>
      </ns0:c>
      <ns0:c r="U203" s="33"/>
      <ns0:c r="V203" t="str" s="33">
        <ns0:v>Даташит — локальный</ns0:v>
      </ns0:c>
      <ns0:c r="W203" t="str" s="33">
        <ns0:v>C:\Users\Nomatin\Documents\Altium\MY_LIB\MY_LIB\Datasheets\CONNFLY_DS1023.pdf</ns0:v>
      </ns0:c>
      <ns0:c r="X203" t="str" s="33">
        <ns0:v>Даташит — производитель</ns0:v>
      </ns0:c>
      <ns0:c r="Y203" t="str" s="33">
        <ns0:v>https://en.connfly.com/static/upload/file/pdf/DS1023.pdf</ns0:v>
      </ns0:c>
      <ns0:c r="Z203" t="str" s="33">
        <ns0:v>C:\Users\Nomatin\Documents\Altium\MY_LIB\MY_LIB\Datasheets\CONNFLY_DS1023.pdf</ns0:v>
      </ns0:c>
    </ns0:row>
    <ns0:row xmlns:ns0="http://schemas.openxmlformats.org/spreadsheetml/2006/main" r="204" ht="85" customHeight="1">
      <ns0:c r="A204" t="str" s="33">
        <ns0:v>XS0043</ns0:v>
      </ns0:c>
      <ns0:c r="B204" t="str" s="33">
        <ns0:v>Разъём</ns0:v>
      </ns0:c>
      <ns0:c r="C204" t="str" s="33">
        <ns0:v>2x03, 2.54 мм</ns0:v>
      </ns0:c>
      <ns0:c r="D204" t="str" s="34">
        <ns0:f>C204</ns0:f>
        <ns0:v>2x03, 2.54 мм</ns0:v>
      </ns0:c>
      <ns0:c r="E204" s="33"/>
      <ns0:c r="F204" s="33"/>
      <ns0:c r="G204" s="33"/>
      <ns0:c r="H204" t="str" s="35">
        <ns0:v>2x03, P2.54, THT, прямой</ns0:v>
      </ns0:c>
      <ns0:c r="I204" t="str" s="33">
        <ns0:v>CONNFLY</ns0:v>
      </ns0:c>
      <ns0:c r="J204" t="str" s="33">
        <ns0:v>DS1023</ns0:v>
      </ns0:c>
      <ns0:c r="K204" t="str" s="34">
        <ns0:f>B204&amp;" "&amp;D204&amp;" "&amp;J204</ns0:f>
        <ns0:v>Разъём 2x03, 2.54 мм DS1023</ns0:v>
      </ns0:c>
      <ns0:c r="L204" t="str" s="36">
        <ns0:v>XS_6</ns0:v>
      </ns0:c>
      <ns0:c r="M204" t="str" s="36">
        <ns0:v>Symbols\MY_LIB_Connectors.SchLib</ns0:v>
      </ns0:c>
      <ns0:c r="N204" t="str" s="36">
        <ns0:v>CONNFLY_DS1023_2X03</ns0:v>
      </ns0:c>
      <ns0:c r="O204" t="str" s="36">
        <ns0:v>Footprints\MY_LIB_Connectors.PcbLib</ns0:v>
      </ns0:c>
      <ns0:c r="P204" t="str" s="33">
        <ns0:v>Гнездовой, прямой; 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4" s="33"/>
      <ns0:c r="R204" t="str" s="34">
        <ns0:f>D204</ns0:f>
        <ns0:v>2x03, 2.54 мм</ns0:v>
      </ns0:c>
      <ns0:c r="S204" t="str" s="34">
        <ns0:f>K204</ns0:f>
        <ns0:v>Разъём 2x03, 2.54 мм DS1023</ns0:v>
      </ns0:c>
      <ns0:c r="T204" t="str" s="33">
        <ns0:v>C:\Users\Nomatin\Documents\Altium\MY_LIB\MY_LIB\Datasheets\CONNFLY_DS1023.pdf</ns0:v>
      </ns0:c>
      <ns0:c r="U204" s="33"/>
      <ns0:c r="V204" t="str" s="33">
        <ns0:v>Даташит — локальный</ns0:v>
      </ns0:c>
      <ns0:c r="W204" t="str" s="33">
        <ns0:v>C:\Users\Nomatin\Documents\Altium\MY_LIB\MY_LIB\Datasheets\CONNFLY_DS1023.pdf</ns0:v>
      </ns0:c>
      <ns0:c r="X204" t="str" s="33">
        <ns0:v>Даташит — производитель</ns0:v>
      </ns0:c>
      <ns0:c r="Y204" t="str" s="33">
        <ns0:v>https://en.connfly.com/static/upload/file/pdf/DS1023.pdf</ns0:v>
      </ns0:c>
      <ns0:c r="Z204" t="str" s="33">
        <ns0:v>C:\Users\Nomatin\Documents\Altium\MY_LIB\MY_LIB\Datasheets\CONNFLY_DS1023.pdf</ns0:v>
      </ns0:c>
    </ns0:row>
    <ns0:row xmlns:ns0="http://schemas.openxmlformats.org/spreadsheetml/2006/main" r="205" ht="85" customHeight="1">
      <ns0:c r="A205" t="str" s="33">
        <ns0:v>XS0044</ns0:v>
      </ns0:c>
      <ns0:c r="B205" t="str" s="33">
        <ns0:v>Разъём</ns0:v>
      </ns0:c>
      <ns0:c r="C205" t="str" s="33">
        <ns0:v>2x04, 2.54 мм</ns0:v>
      </ns0:c>
      <ns0:c r="D205" t="str" s="34">
        <ns0:f>C205</ns0:f>
        <ns0:v>2x04, 2.54 мм</ns0:v>
      </ns0:c>
      <ns0:c r="E205" s="33"/>
      <ns0:c r="F205" s="33"/>
      <ns0:c r="G205" s="33"/>
      <ns0:c r="H205" t="str" s="35">
        <ns0:v>2x04, P2.54, THT, прямой</ns0:v>
      </ns0:c>
      <ns0:c r="I205" t="str" s="33">
        <ns0:v>CONNFLY</ns0:v>
      </ns0:c>
      <ns0:c r="J205" t="str" s="33">
        <ns0:v>DS1023</ns0:v>
      </ns0:c>
      <ns0:c r="K205" t="str" s="34">
        <ns0:f>B205&amp;" "&amp;D205&amp;" "&amp;J205</ns0:f>
        <ns0:v>Разъём 2x04, 2.54 мм DS1023</ns0:v>
      </ns0:c>
      <ns0:c r="L205" t="str" s="36">
        <ns0:v>XS_8</ns0:v>
      </ns0:c>
      <ns0:c r="M205" t="str" s="36">
        <ns0:v>Symbols\MY_LIB_Connectors.SchLib</ns0:v>
      </ns0:c>
      <ns0:c r="N205" t="str" s="36">
        <ns0:v>CONNFLY_DS1023_2X04</ns0:v>
      </ns0:c>
      <ns0:c r="O205" t="str" s="36">
        <ns0:v>Footprints\MY_LIB_Connectors.PcbLib</ns0:v>
      </ns0:c>
      <ns0:c r="P205" t="str" s="33">
        <ns0:v>Гнездовой, прямой; 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5" s="33"/>
      <ns0:c r="R205" t="str" s="34">
        <ns0:f>D205</ns0:f>
        <ns0:v>2x04, 2.54 мм</ns0:v>
      </ns0:c>
      <ns0:c r="S205" t="str" s="34">
        <ns0:f>K205</ns0:f>
        <ns0:v>Разъём 2x04, 2.54 мм DS1023</ns0:v>
      </ns0:c>
      <ns0:c r="T205" t="str" s="33">
        <ns0:v>C:\Users\Nomatin\Documents\Altium\MY_LIB\MY_LIB\Datasheets\CONNFLY_DS1023.pdf</ns0:v>
      </ns0:c>
      <ns0:c r="U205" s="33"/>
      <ns0:c r="V205" t="str" s="33">
        <ns0:v>Даташит — локальный</ns0:v>
      </ns0:c>
      <ns0:c r="W205" t="str" s="33">
        <ns0:v>C:\Users\Nomatin\Documents\Altium\MY_LIB\MY_LIB\Datasheets\CONNFLY_DS1023.pdf</ns0:v>
      </ns0:c>
      <ns0:c r="X205" t="str" s="33">
        <ns0:v>Даташит — производитель</ns0:v>
      </ns0:c>
      <ns0:c r="Y205" t="str" s="33">
        <ns0:v>https://en.connfly.com/static/upload/file/pdf/DS1023.pdf</ns0:v>
      </ns0:c>
      <ns0:c r="Z205" t="str" s="33">
        <ns0:v>C:\Users\Nomatin\Documents\Altium\MY_LIB\MY_LIB\Datasheets\CONNFLY_DS1023.pdf</ns0:v>
      </ns0:c>
    </ns0:row>
    <ns0:row xmlns:ns0="http://schemas.openxmlformats.org/spreadsheetml/2006/main" r="206" ht="85" customHeight="1">
      <ns0:c r="A206" t="str" s="33">
        <ns0:v>XS0045</ns0:v>
      </ns0:c>
      <ns0:c r="B206" t="str" s="33">
        <ns0:v>Разъём</ns0:v>
      </ns0:c>
      <ns0:c r="C206" t="str" s="33">
        <ns0:v>2x05, 2.54 мм</ns0:v>
      </ns0:c>
      <ns0:c r="D206" t="str" s="34">
        <ns0:f>C206</ns0:f>
        <ns0:v>2x05, 2.54 мм</ns0:v>
      </ns0:c>
      <ns0:c r="E206" s="33"/>
      <ns0:c r="F206" s="33"/>
      <ns0:c r="G206" s="33"/>
      <ns0:c r="H206" t="str" s="35">
        <ns0:v>2x05, P2.54, THT, прямой</ns0:v>
      </ns0:c>
      <ns0:c r="I206" t="str" s="33">
        <ns0:v>CONNFLY</ns0:v>
      </ns0:c>
      <ns0:c r="J206" t="str" s="33">
        <ns0:v>DS1023</ns0:v>
      </ns0:c>
      <ns0:c r="K206" t="str" s="34">
        <ns0:f>B206&amp;" "&amp;D206&amp;" "&amp;J206</ns0:f>
        <ns0:v>Разъём 2x05, 2.54 мм DS1023</ns0:v>
      </ns0:c>
      <ns0:c r="L206" t="str" s="36">
        <ns0:v>XS_10</ns0:v>
      </ns0:c>
      <ns0:c r="M206" t="str" s="36">
        <ns0:v>Symbols\MY_LIB_Connectors.SchLib</ns0:v>
      </ns0:c>
      <ns0:c r="N206" t="str" s="36">
        <ns0:v>CONNFLY_DS1023_2X05</ns0:v>
      </ns0:c>
      <ns0:c r="O206" t="str" s="36">
        <ns0:v>Footprints\MY_LIB_Connectors.PcbLib</ns0:v>
      </ns0:c>
      <ns0:c r="P206" t="str" s="33">
        <ns0:v>Гнездовой, прямой; 10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6" s="33"/>
      <ns0:c r="R206" t="str" s="34">
        <ns0:f>D206</ns0:f>
        <ns0:v>2x05, 2.54 мм</ns0:v>
      </ns0:c>
      <ns0:c r="S206" t="str" s="34">
        <ns0:f>K206</ns0:f>
        <ns0:v>Разъём 2x05, 2.54 мм DS1023</ns0:v>
      </ns0:c>
      <ns0:c r="T206" t="str" s="33">
        <ns0:v>C:\Users\Nomatin\Documents\Altium\MY_LIB\MY_LIB\Datasheets\CONNFLY_DS1023.pdf</ns0:v>
      </ns0:c>
      <ns0:c r="U206" s="33"/>
      <ns0:c r="V206" t="str" s="33">
        <ns0:v>Даташит — локальный</ns0:v>
      </ns0:c>
      <ns0:c r="W206" t="str" s="33">
        <ns0:v>C:\Users\Nomatin\Documents\Altium\MY_LIB\MY_LIB\Datasheets\CONNFLY_DS1023.pdf</ns0:v>
      </ns0:c>
      <ns0:c r="X206" t="str" s="33">
        <ns0:v>Даташит — производитель</ns0:v>
      </ns0:c>
      <ns0:c r="Y206" t="str" s="33">
        <ns0:v>https://en.connfly.com/static/upload/file/pdf/DS1023.pdf</ns0:v>
      </ns0:c>
      <ns0:c r="Z206" t="str" s="33">
        <ns0:v>C:\Users\Nomatin\Documents\Altium\MY_LIB\MY_LIB\Datasheets\CONNFLY_DS1023.pdf</ns0:v>
      </ns0:c>
    </ns0:row>
    <ns0:row xmlns:ns0="http://schemas.openxmlformats.org/spreadsheetml/2006/main" r="207" ht="85" customHeight="1">
      <ns0:c r="A207" t="str" s="33">
        <ns0:v>XS0046</ns0:v>
      </ns0:c>
      <ns0:c r="B207" t="str" s="33">
        <ns0:v>Разъём</ns0:v>
      </ns0:c>
      <ns0:c r="C207" t="str" s="33">
        <ns0:v>2x06, 2.54 мм</ns0:v>
      </ns0:c>
      <ns0:c r="D207" t="str" s="34">
        <ns0:f>C207</ns0:f>
        <ns0:v>2x06, 2.54 мм</ns0:v>
      </ns0:c>
      <ns0:c r="E207" s="33"/>
      <ns0:c r="F207" s="33"/>
      <ns0:c r="G207" s="33"/>
      <ns0:c r="H207" t="str" s="35">
        <ns0:v>2x06, P2.54, THT, прямой</ns0:v>
      </ns0:c>
      <ns0:c r="I207" t="str" s="33">
        <ns0:v>CONNFLY</ns0:v>
      </ns0:c>
      <ns0:c r="J207" t="str" s="33">
        <ns0:v>DS1023</ns0:v>
      </ns0:c>
      <ns0:c r="K207" t="str" s="34">
        <ns0:f>B207&amp;" "&amp;D207&amp;" "&amp;J207</ns0:f>
        <ns0:v>Разъём 2x06, 2.54 мм DS1023</ns0:v>
      </ns0:c>
      <ns0:c r="L207" t="str" s="36">
        <ns0:v>XS_12</ns0:v>
      </ns0:c>
      <ns0:c r="M207" t="str" s="36">
        <ns0:v>Symbols\MY_LIB_Connectors.SchLib</ns0:v>
      </ns0:c>
      <ns0:c r="N207" t="str" s="36">
        <ns0:v>CONNFLY_DS1023_2X06</ns0:v>
      </ns0:c>
      <ns0:c r="O207" t="str" s="36">
        <ns0:v>Footprints\MY_LIB_Connectors.PcbLib</ns0:v>
      </ns0:c>
      <ns0:c r="P207" t="str" s="33">
        <ns0:v>Гнездовой, прямой; 12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7" s="33"/>
      <ns0:c r="R207" t="str" s="34">
        <ns0:f>D207</ns0:f>
        <ns0:v>2x06, 2.54 мм</ns0:v>
      </ns0:c>
      <ns0:c r="S207" t="str" s="34">
        <ns0:f>K207</ns0:f>
        <ns0:v>Разъём 2x06, 2.54 мм DS1023</ns0:v>
      </ns0:c>
      <ns0:c r="T207" t="str" s="33">
        <ns0:v>C:\Users\Nomatin\Documents\Altium\MY_LIB\MY_LIB\Datasheets\CONNFLY_DS1023.pdf</ns0:v>
      </ns0:c>
      <ns0:c r="U207" s="33"/>
      <ns0:c r="V207" t="str" s="33">
        <ns0:v>Даташит — локальный</ns0:v>
      </ns0:c>
      <ns0:c r="W207" t="str" s="33">
        <ns0:v>C:\Users\Nomatin\Documents\Altium\MY_LIB\MY_LIB\Datasheets\CONNFLY_DS1023.pdf</ns0:v>
      </ns0:c>
      <ns0:c r="X207" t="str" s="33">
        <ns0:v>Даташит — производитель</ns0:v>
      </ns0:c>
      <ns0:c r="Y207" t="str" s="33">
        <ns0:v>https://en.connfly.com/static/upload/file/pdf/DS1023.pdf</ns0:v>
      </ns0:c>
      <ns0:c r="Z207" t="str" s="33">
        <ns0:v>C:\Users\Nomatin\Documents\Altium\MY_LIB\MY_LIB\Datasheets\CONNFLY_DS1023.pdf</ns0:v>
      </ns0:c>
    </ns0:row>
    <ns0:row xmlns:ns0="http://schemas.openxmlformats.org/spreadsheetml/2006/main" r="208" ht="85" customHeight="1">
      <ns0:c r="A208" t="str" s="33">
        <ns0:v>XS0047</ns0:v>
      </ns0:c>
      <ns0:c r="B208" t="str" s="33">
        <ns0:v>Разъём</ns0:v>
      </ns0:c>
      <ns0:c r="C208" t="str" s="33">
        <ns0:v>2x07, 2.54 мм</ns0:v>
      </ns0:c>
      <ns0:c r="D208" t="str" s="34">
        <ns0:f>C208</ns0:f>
        <ns0:v>2x07, 2.54 мм</ns0:v>
      </ns0:c>
      <ns0:c r="E208" s="33"/>
      <ns0:c r="F208" s="33"/>
      <ns0:c r="G208" s="33"/>
      <ns0:c r="H208" t="str" s="35">
        <ns0:v>2x07, P2.54, THT, прямой</ns0:v>
      </ns0:c>
      <ns0:c r="I208" t="str" s="33">
        <ns0:v>CONNFLY</ns0:v>
      </ns0:c>
      <ns0:c r="J208" t="str" s="33">
        <ns0:v>DS1023</ns0:v>
      </ns0:c>
      <ns0:c r="K208" t="str" s="34">
        <ns0:f>B208&amp;" "&amp;D208&amp;" "&amp;J208</ns0:f>
        <ns0:v>Разъём 2x07, 2.54 мм DS1023</ns0:v>
      </ns0:c>
      <ns0:c r="L208" t="str" s="36">
        <ns0:v>XS_14</ns0:v>
      </ns0:c>
      <ns0:c r="M208" t="str" s="36">
        <ns0:v>Symbols\MY_LIB_Connectors.SchLib</ns0:v>
      </ns0:c>
      <ns0:c r="N208" t="str" s="36">
        <ns0:v>CONNFLY_DS1023_2X07</ns0:v>
      </ns0:c>
      <ns0:c r="O208" t="str" s="36">
        <ns0:v>Footprints\MY_LIB_Connectors.PcbLib</ns0:v>
      </ns0:c>
      <ns0:c r="P208" t="str" s="33">
        <ns0:v>Гнездовой, прямой; 14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8" s="33"/>
      <ns0:c r="R208" t="str" s="34">
        <ns0:f>D208</ns0:f>
        <ns0:v>2x07, 2.54 мм</ns0:v>
      </ns0:c>
      <ns0:c r="S208" t="str" s="34">
        <ns0:f>K208</ns0:f>
        <ns0:v>Разъём 2x07, 2.54 мм DS1023</ns0:v>
      </ns0:c>
      <ns0:c r="T208" t="str" s="33">
        <ns0:v>C:\Users\Nomatin\Documents\Altium\MY_LIB\MY_LIB\Datasheets\CONNFLY_DS1023.pdf</ns0:v>
      </ns0:c>
      <ns0:c r="U208" s="33"/>
      <ns0:c r="V208" t="str" s="33">
        <ns0:v>Даташит — локальный</ns0:v>
      </ns0:c>
      <ns0:c r="W208" t="str" s="33">
        <ns0:v>C:\Users\Nomatin\Documents\Altium\MY_LIB\MY_LIB\Datasheets\CONNFLY_DS1023.pdf</ns0:v>
      </ns0:c>
      <ns0:c r="X208" t="str" s="33">
        <ns0:v>Даташит — производитель</ns0:v>
      </ns0:c>
      <ns0:c r="Y208" t="str" s="33">
        <ns0:v>https://en.connfly.com/static/upload/file/pdf/DS1023.pdf</ns0:v>
      </ns0:c>
      <ns0:c r="Z208" t="str" s="33">
        <ns0:v>C:\Users\Nomatin\Documents\Altium\MY_LIB\MY_LIB\Datasheets\CONNFLY_DS1023.pdf</ns0:v>
      </ns0:c>
    </ns0:row>
    <ns0:row xmlns:ns0="http://schemas.openxmlformats.org/spreadsheetml/2006/main" r="209" ht="85" customHeight="1">
      <ns0:c r="A209" t="str" s="33">
        <ns0:v>XS0048</ns0:v>
      </ns0:c>
      <ns0:c r="B209" t="str" s="33">
        <ns0:v>Разъём</ns0:v>
      </ns0:c>
      <ns0:c r="C209" t="str" s="33">
        <ns0:v>2x08, 2.54 мм</ns0:v>
      </ns0:c>
      <ns0:c r="D209" t="str" s="34">
        <ns0:f>C209</ns0:f>
        <ns0:v>2x08, 2.54 мм</ns0:v>
      </ns0:c>
      <ns0:c r="E209" s="33"/>
      <ns0:c r="F209" s="33"/>
      <ns0:c r="G209" s="33"/>
      <ns0:c r="H209" t="str" s="35">
        <ns0:v>2x08, P2.54, THT, прямой</ns0:v>
      </ns0:c>
      <ns0:c r="I209" t="str" s="33">
        <ns0:v>CONNFLY</ns0:v>
      </ns0:c>
      <ns0:c r="J209" t="str" s="33">
        <ns0:v>DS1023</ns0:v>
      </ns0:c>
      <ns0:c r="K209" t="str" s="34">
        <ns0:f>B209&amp;" "&amp;D209&amp;" "&amp;J209</ns0:f>
        <ns0:v>Разъём 2x08, 2.54 мм DS1023</ns0:v>
      </ns0:c>
      <ns0:c r="L209" t="str" s="36">
        <ns0:v>XS_16</ns0:v>
      </ns0:c>
      <ns0:c r="M209" t="str" s="36">
        <ns0:v>Symbols\MY_LIB_Connectors.SchLib</ns0:v>
      </ns0:c>
      <ns0:c r="N209" t="str" s="36">
        <ns0:v>CONNFLY_DS1023_2X08</ns0:v>
      </ns0:c>
      <ns0:c r="O209" t="str" s="36">
        <ns0:v>Footprints\MY_LIB_Connectors.PcbLib</ns0:v>
      </ns0:c>
      <ns0:c r="P209" t="str" s="33">
        <ns0:v>Гнездовой, прямой; 16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09" s="33"/>
      <ns0:c r="R209" t="str" s="34">
        <ns0:f>D209</ns0:f>
        <ns0:v>2x08, 2.54 мм</ns0:v>
      </ns0:c>
      <ns0:c r="S209" t="str" s="34">
        <ns0:f>K209</ns0:f>
        <ns0:v>Разъём 2x08, 2.54 мм DS1023</ns0:v>
      </ns0:c>
      <ns0:c r="T209" t="str" s="33">
        <ns0:v>C:\Users\Nomatin\Documents\Altium\MY_LIB\MY_LIB\Datasheets\CONNFLY_DS1023.pdf</ns0:v>
      </ns0:c>
      <ns0:c r="U209" s="33"/>
      <ns0:c r="V209" t="str" s="33">
        <ns0:v>Даташит — локальный</ns0:v>
      </ns0:c>
      <ns0:c r="W209" t="str" s="33">
        <ns0:v>C:\Users\Nomatin\Documents\Altium\MY_LIB\MY_LIB\Datasheets\CONNFLY_DS1023.pdf</ns0:v>
      </ns0:c>
      <ns0:c r="X209" t="str" s="33">
        <ns0:v>Даташит — производитель</ns0:v>
      </ns0:c>
      <ns0:c r="Y209" t="str" s="33">
        <ns0:v>https://en.connfly.com/static/upload/file/pdf/DS1023.pdf</ns0:v>
      </ns0:c>
      <ns0:c r="Z209" t="str" s="33">
        <ns0:v>C:\Users\Nomatin\Documents\Altium\MY_LIB\MY_LIB\Datasheets\CONNFLY_DS1023.pdf</ns0:v>
      </ns0:c>
    </ns0:row>
    <ns0:row xmlns:ns0="http://schemas.openxmlformats.org/spreadsheetml/2006/main" r="210" ht="85" customHeight="1">
      <ns0:c r="A210" t="str" s="33">
        <ns0:v>XS0049</ns0:v>
      </ns0:c>
      <ns0:c r="B210" t="str" s="33">
        <ns0:v>Разъём</ns0:v>
      </ns0:c>
      <ns0:c r="C210" t="str" s="33">
        <ns0:v>2x09, 2.54 мм</ns0:v>
      </ns0:c>
      <ns0:c r="D210" t="str" s="34">
        <ns0:f>C210</ns0:f>
        <ns0:v>2x09, 2.54 мм</ns0:v>
      </ns0:c>
      <ns0:c r="E210" s="33"/>
      <ns0:c r="F210" s="33"/>
      <ns0:c r="G210" s="33"/>
      <ns0:c r="H210" t="str" s="35">
        <ns0:v>2x09, P2.54, THT, прямой</ns0:v>
      </ns0:c>
      <ns0:c r="I210" t="str" s="33">
        <ns0:v>CONNFLY</ns0:v>
      </ns0:c>
      <ns0:c r="J210" t="str" s="33">
        <ns0:v>DS1023</ns0:v>
      </ns0:c>
      <ns0:c r="K210" t="str" s="34">
        <ns0:f>B210&amp;" "&amp;D210&amp;" "&amp;J210</ns0:f>
        <ns0:v>Разъём 2x09, 2.54 мм DS1023</ns0:v>
      </ns0:c>
      <ns0:c r="L210" t="str" s="36">
        <ns0:v>XS_18</ns0:v>
      </ns0:c>
      <ns0:c r="M210" t="str" s="36">
        <ns0:v>Symbols\MY_LIB_Connectors.SchLib</ns0:v>
      </ns0:c>
      <ns0:c r="N210" t="str" s="36">
        <ns0:v>CONNFLY_DS1023_2X09</ns0:v>
      </ns0:c>
      <ns0:c r="O210" t="str" s="36">
        <ns0:v>Footprints\MY_LIB_Connectors.PcbLib</ns0:v>
      </ns0:c>
      <ns0:c r="P210" t="str" s="33">
        <ns0:v>Гнездовой, прямой; 18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0" s="33"/>
      <ns0:c r="R210" t="str" s="34">
        <ns0:f>D210</ns0:f>
        <ns0:v>2x09, 2.54 мм</ns0:v>
      </ns0:c>
      <ns0:c r="S210" t="str" s="34">
        <ns0:f>K210</ns0:f>
        <ns0:v>Разъём 2x09, 2.54 мм DS1023</ns0:v>
      </ns0:c>
      <ns0:c r="T210" t="str" s="33">
        <ns0:v>C:\Users\Nomatin\Documents\Altium\MY_LIB\MY_LIB\Datasheets\CONNFLY_DS1023.pdf</ns0:v>
      </ns0:c>
      <ns0:c r="U210" s="33"/>
      <ns0:c r="V210" t="str" s="33">
        <ns0:v>Даташит — локальный</ns0:v>
      </ns0:c>
      <ns0:c r="W210" t="str" s="33">
        <ns0:v>C:\Users\Nomatin\Documents\Altium\MY_LIB\MY_LIB\Datasheets\CONNFLY_DS1023.pdf</ns0:v>
      </ns0:c>
      <ns0:c r="X210" t="str" s="33">
        <ns0:v>Даташит — производитель</ns0:v>
      </ns0:c>
      <ns0:c r="Y210" t="str" s="33">
        <ns0:v>https://en.connfly.com/static/upload/file/pdf/DS1023.pdf</ns0:v>
      </ns0:c>
      <ns0:c r="Z210" t="str" s="33">
        <ns0:v>C:\Users\Nomatin\Documents\Altium\MY_LIB\MY_LIB\Datasheets\CONNFLY_DS1023.pdf</ns0:v>
      </ns0:c>
    </ns0:row>
    <ns0:row xmlns:ns0="http://schemas.openxmlformats.org/spreadsheetml/2006/main" r="211" ht="85" customHeight="1">
      <ns0:c r="A211" t="str" s="33">
        <ns0:v>XS0050</ns0:v>
      </ns0:c>
      <ns0:c r="B211" t="str" s="33">
        <ns0:v>Разъём</ns0:v>
      </ns0:c>
      <ns0:c r="C211" t="str" s="33">
        <ns0:v>2x10, 2.54 мм</ns0:v>
      </ns0:c>
      <ns0:c r="D211" t="str" s="34">
        <ns0:f>C211</ns0:f>
        <ns0:v>2x10, 2.54 мм</ns0:v>
      </ns0:c>
      <ns0:c r="E211" s="33"/>
      <ns0:c r="F211" s="33"/>
      <ns0:c r="G211" s="33"/>
      <ns0:c r="H211" t="str" s="35">
        <ns0:v>2x10, P2.54, THT, прямой</ns0:v>
      </ns0:c>
      <ns0:c r="I211" t="str" s="33">
        <ns0:v>CONNFLY</ns0:v>
      </ns0:c>
      <ns0:c r="J211" t="str" s="33">
        <ns0:v>DS1023</ns0:v>
      </ns0:c>
      <ns0:c r="K211" t="str" s="34">
        <ns0:f>B211&amp;" "&amp;D211&amp;" "&amp;J211</ns0:f>
        <ns0:v>Разъём 2x10, 2.54 мм DS1023</ns0:v>
      </ns0:c>
      <ns0:c r="L211" t="str" s="36">
        <ns0:v>XS_20</ns0:v>
      </ns0:c>
      <ns0:c r="M211" t="str" s="36">
        <ns0:v>Symbols\MY_LIB_Connectors.SchLib</ns0:v>
      </ns0:c>
      <ns0:c r="N211" t="str" s="36">
        <ns0:v>CONNFLY_DS1023_2X10</ns0:v>
      </ns0:c>
      <ns0:c r="O211" t="str" s="36">
        <ns0:v>Footprints\MY_LIB_Connectors.PcbLib</ns0:v>
      </ns0:c>
      <ns0:c r="P211" t="str" s="33">
        <ns0:v>Гнездовой, прямой; 20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1" s="33"/>
      <ns0:c r="R211" t="str" s="34">
        <ns0:f>D211</ns0:f>
        <ns0:v>2x10, 2.54 мм</ns0:v>
      </ns0:c>
      <ns0:c r="S211" t="str" s="34">
        <ns0:f>K211</ns0:f>
        <ns0:v>Разъём 2x10, 2.54 мм DS1023</ns0:v>
      </ns0:c>
      <ns0:c r="T211" t="str" s="33">
        <ns0:v>C:\Users\Nomatin\Documents\Altium\MY_LIB\MY_LIB\Datasheets\CONNFLY_DS1023.pdf</ns0:v>
      </ns0:c>
      <ns0:c r="U211" s="33"/>
      <ns0:c r="V211" t="str" s="33">
        <ns0:v>Даташит — локальный</ns0:v>
      </ns0:c>
      <ns0:c r="W211" t="str" s="33">
        <ns0:v>C:\Users\Nomatin\Documents\Altium\MY_LIB\MY_LIB\Datasheets\CONNFLY_DS1023.pdf</ns0:v>
      </ns0:c>
      <ns0:c r="X211" t="str" s="33">
        <ns0:v>Даташит — производитель</ns0:v>
      </ns0:c>
      <ns0:c r="Y211" t="str" s="33">
        <ns0:v>https://en.connfly.com/static/upload/file/pdf/DS1023.pdf</ns0:v>
      </ns0:c>
      <ns0:c r="Z211" t="str" s="33">
        <ns0:v>C:\Users\Nomatin\Documents\Altium\MY_LIB\MY_LIB\Datasheets\CONNFLY_DS1023.pdf</ns0:v>
      </ns0:c>
    </ns0:row>
    <ns0:row xmlns:ns0="http://schemas.openxmlformats.org/spreadsheetml/2006/main" r="212" ht="85" customHeight="1">
      <ns0:c r="A212" t="str" s="33">
        <ns0:v>XS0051</ns0:v>
      </ns0:c>
      <ns0:c r="B212" t="str" s="33">
        <ns0:v>Разъём</ns0:v>
      </ns0:c>
      <ns0:c r="C212" t="str" s="33">
        <ns0:v>2x11, 2.54 мм</ns0:v>
      </ns0:c>
      <ns0:c r="D212" t="str" s="34">
        <ns0:f>C212</ns0:f>
        <ns0:v>2x11, 2.54 мм</ns0:v>
      </ns0:c>
      <ns0:c r="E212" s="33"/>
      <ns0:c r="F212" s="33"/>
      <ns0:c r="G212" s="33"/>
      <ns0:c r="H212" t="str" s="35">
        <ns0:v>2x11, P2.54, THT, прямой</ns0:v>
      </ns0:c>
      <ns0:c r="I212" t="str" s="33">
        <ns0:v>CONNFLY</ns0:v>
      </ns0:c>
      <ns0:c r="J212" t="str" s="33">
        <ns0:v>DS1023</ns0:v>
      </ns0:c>
      <ns0:c r="K212" t="str" s="34">
        <ns0:f>B212&amp;" "&amp;D212&amp;" "&amp;J212</ns0:f>
        <ns0:v>Разъём 2x11, 2.54 мм DS1023</ns0:v>
      </ns0:c>
      <ns0:c r="L212" t="str" s="36">
        <ns0:v>XS_22</ns0:v>
      </ns0:c>
      <ns0:c r="M212" t="str" s="36">
        <ns0:v>Symbols\MY_LIB_Connectors.SchLib</ns0:v>
      </ns0:c>
      <ns0:c r="N212" t="str" s="36">
        <ns0:v>CONNFLY_DS1023_2X11</ns0:v>
      </ns0:c>
      <ns0:c r="O212" t="str" s="36">
        <ns0:v>Footprints\MY_LIB_Connectors.PcbLib</ns0:v>
      </ns0:c>
      <ns0:c r="P212" t="str" s="33">
        <ns0:v>Гнездовой, прямой; 22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2" s="33"/>
      <ns0:c r="R212" t="str" s="34">
        <ns0:f>D212</ns0:f>
        <ns0:v>2x11, 2.54 мм</ns0:v>
      </ns0:c>
      <ns0:c r="S212" t="str" s="34">
        <ns0:f>K212</ns0:f>
        <ns0:v>Разъём 2x11, 2.54 мм DS1023</ns0:v>
      </ns0:c>
      <ns0:c r="T212" t="str" s="33">
        <ns0:v>C:\Users\Nomatin\Documents\Altium\MY_LIB\MY_LIB\Datasheets\CONNFLY_DS1023.pdf</ns0:v>
      </ns0:c>
      <ns0:c r="U212" s="33"/>
      <ns0:c r="V212" t="str" s="33">
        <ns0:v>Даташит — локальный</ns0:v>
      </ns0:c>
      <ns0:c r="W212" t="str" s="33">
        <ns0:v>C:\Users\Nomatin\Documents\Altium\MY_LIB\MY_LIB\Datasheets\CONNFLY_DS1023.pdf</ns0:v>
      </ns0:c>
      <ns0:c r="X212" t="str" s="33">
        <ns0:v>Даташит — производитель</ns0:v>
      </ns0:c>
      <ns0:c r="Y212" t="str" s="33">
        <ns0:v>https://en.connfly.com/static/upload/file/pdf/DS1023.pdf</ns0:v>
      </ns0:c>
      <ns0:c r="Z212" t="str" s="33">
        <ns0:v>C:\Users\Nomatin\Documents\Altium\MY_LIB\MY_LIB\Datasheets\CONNFLY_DS1023.pdf</ns0:v>
      </ns0:c>
    </ns0:row>
    <ns0:row xmlns:ns0="http://schemas.openxmlformats.org/spreadsheetml/2006/main" r="213" ht="85" customHeight="1">
      <ns0:c r="A213" t="str" s="33">
        <ns0:v>XS0052</ns0:v>
      </ns0:c>
      <ns0:c r="B213" t="str" s="33">
        <ns0:v>Разъём</ns0:v>
      </ns0:c>
      <ns0:c r="C213" t="str" s="33">
        <ns0:v>2x12, 2.54 мм</ns0:v>
      </ns0:c>
      <ns0:c r="D213" t="str" s="34">
        <ns0:f>C213</ns0:f>
        <ns0:v>2x12, 2.54 мм</ns0:v>
      </ns0:c>
      <ns0:c r="E213" s="33"/>
      <ns0:c r="F213" s="33"/>
      <ns0:c r="G213" s="33"/>
      <ns0:c r="H213" t="str" s="35">
        <ns0:v>2x12, P2.54, THT, прямой</ns0:v>
      </ns0:c>
      <ns0:c r="I213" t="str" s="33">
        <ns0:v>CONNFLY</ns0:v>
      </ns0:c>
      <ns0:c r="J213" t="str" s="33">
        <ns0:v>DS1023</ns0:v>
      </ns0:c>
      <ns0:c r="K213" t="str" s="34">
        <ns0:f>B213&amp;" "&amp;D213&amp;" "&amp;J213</ns0:f>
        <ns0:v>Разъём 2x12, 2.54 мм DS1023</ns0:v>
      </ns0:c>
      <ns0:c r="L213" t="str" s="36">
        <ns0:v>XS_24</ns0:v>
      </ns0:c>
      <ns0:c r="M213" t="str" s="36">
        <ns0:v>Symbols\MY_LIB_Connectors.SchLib</ns0:v>
      </ns0:c>
      <ns0:c r="N213" t="str" s="36">
        <ns0:v>CONNFLY_DS1023_2X12</ns0:v>
      </ns0:c>
      <ns0:c r="O213" t="str" s="36">
        <ns0:v>Footprints\MY_LIB_Connectors.PcbLib</ns0:v>
      </ns0:c>
      <ns0:c r="P213" t="str" s="33">
        <ns0:v>Гнездовой, прямой; 24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3" s="33"/>
      <ns0:c r="R213" t="str" s="34">
        <ns0:f>D213</ns0:f>
        <ns0:v>2x12, 2.54 мм</ns0:v>
      </ns0:c>
      <ns0:c r="S213" t="str" s="34">
        <ns0:f>K213</ns0:f>
        <ns0:v>Разъём 2x12, 2.54 мм DS1023</ns0:v>
      </ns0:c>
      <ns0:c r="T213" t="str" s="33">
        <ns0:v>C:\Users\Nomatin\Documents\Altium\MY_LIB\MY_LIB\Datasheets\CONNFLY_DS1023.pdf</ns0:v>
      </ns0:c>
      <ns0:c r="U213" s="33"/>
      <ns0:c r="V213" t="str" s="33">
        <ns0:v>Даташит — локальный</ns0:v>
      </ns0:c>
      <ns0:c r="W213" t="str" s="33">
        <ns0:v>C:\Users\Nomatin\Documents\Altium\MY_LIB\MY_LIB\Datasheets\CONNFLY_DS1023.pdf</ns0:v>
      </ns0:c>
      <ns0:c r="X213" t="str" s="33">
        <ns0:v>Даташит — производитель</ns0:v>
      </ns0:c>
      <ns0:c r="Y213" t="str" s="33">
        <ns0:v>https://en.connfly.com/static/upload/file/pdf/DS1023.pdf</ns0:v>
      </ns0:c>
      <ns0:c r="Z213" t="str" s="33">
        <ns0:v>C:\Users\Nomatin\Documents\Altium\MY_LIB\MY_LIB\Datasheets\CONNFLY_DS1023.pdf</ns0:v>
      </ns0:c>
    </ns0:row>
    <ns0:row xmlns:ns0="http://schemas.openxmlformats.org/spreadsheetml/2006/main" r="214" ht="85" customHeight="1">
      <ns0:c r="A214" t="str" s="33">
        <ns0:v>XS0053</ns0:v>
      </ns0:c>
      <ns0:c r="B214" t="str" s="33">
        <ns0:v>Разъём</ns0:v>
      </ns0:c>
      <ns0:c r="C214" t="str" s="33">
        <ns0:v>2x13, 2.54 мм</ns0:v>
      </ns0:c>
      <ns0:c r="D214" t="str" s="34">
        <ns0:f>C214</ns0:f>
        <ns0:v>2x13, 2.54 мм</ns0:v>
      </ns0:c>
      <ns0:c r="E214" s="33"/>
      <ns0:c r="F214" s="33"/>
      <ns0:c r="G214" s="33"/>
      <ns0:c r="H214" t="str" s="35">
        <ns0:v>2x13, P2.54, THT, прямой</ns0:v>
      </ns0:c>
      <ns0:c r="I214" t="str" s="33">
        <ns0:v>CONNFLY</ns0:v>
      </ns0:c>
      <ns0:c r="J214" t="str" s="33">
        <ns0:v>DS1023</ns0:v>
      </ns0:c>
      <ns0:c r="K214" t="str" s="34">
        <ns0:f>B214&amp;" "&amp;D214&amp;" "&amp;J214</ns0:f>
        <ns0:v>Разъём 2x13, 2.54 мм DS1023</ns0:v>
      </ns0:c>
      <ns0:c r="L214" t="str" s="36">
        <ns0:v>XS_26</ns0:v>
      </ns0:c>
      <ns0:c r="M214" t="str" s="36">
        <ns0:v>Symbols\MY_LIB_Connectors.SchLib</ns0:v>
      </ns0:c>
      <ns0:c r="N214" t="str" s="36">
        <ns0:v>CONNFLY_DS1023_2X13</ns0:v>
      </ns0:c>
      <ns0:c r="O214" t="str" s="36">
        <ns0:v>Footprints\MY_LIB_Connectors.PcbLib</ns0:v>
      </ns0:c>
      <ns0:c r="P214" t="str" s="33">
        <ns0:v>Гнездовой, прямой; 26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4" s="33"/>
      <ns0:c r="R214" t="str" s="34">
        <ns0:f>D214</ns0:f>
        <ns0:v>2x13, 2.54 мм</ns0:v>
      </ns0:c>
      <ns0:c r="S214" t="str" s="34">
        <ns0:f>K214</ns0:f>
        <ns0:v>Разъём 2x13, 2.54 мм DS1023</ns0:v>
      </ns0:c>
      <ns0:c r="T214" t="str" s="33">
        <ns0:v>C:\Users\Nomatin\Documents\Altium\MY_LIB\MY_LIB\Datasheets\CONNFLY_DS1023.pdf</ns0:v>
      </ns0:c>
      <ns0:c r="U214" s="33"/>
      <ns0:c r="V214" t="str" s="33">
        <ns0:v>Даташит — локальный</ns0:v>
      </ns0:c>
      <ns0:c r="W214" t="str" s="33">
        <ns0:v>C:\Users\Nomatin\Documents\Altium\MY_LIB\MY_LIB\Datasheets\CONNFLY_DS1023.pdf</ns0:v>
      </ns0:c>
      <ns0:c r="X214" t="str" s="33">
        <ns0:v>Даташит — производитель</ns0:v>
      </ns0:c>
      <ns0:c r="Y214" t="str" s="33">
        <ns0:v>https://en.connfly.com/static/upload/file/pdf/DS1023.pdf</ns0:v>
      </ns0:c>
      <ns0:c r="Z214" t="str" s="33">
        <ns0:v>C:\Users\Nomatin\Documents\Altium\MY_LIB\MY_LIB\Datasheets\CONNFLY_DS1023.pdf</ns0:v>
      </ns0:c>
    </ns0:row>
    <ns0:row xmlns:ns0="http://schemas.openxmlformats.org/spreadsheetml/2006/main" r="215" ht="85" customHeight="1">
      <ns0:c r="A215" t="str" s="33">
        <ns0:v>XS0054</ns0:v>
      </ns0:c>
      <ns0:c r="B215" t="str" s="33">
        <ns0:v>Разъём</ns0:v>
      </ns0:c>
      <ns0:c r="C215" t="str" s="33">
        <ns0:v>2x14, 2.54 мм</ns0:v>
      </ns0:c>
      <ns0:c r="D215" t="str" s="34">
        <ns0:f>C215</ns0:f>
        <ns0:v>2x14, 2.54 мм</ns0:v>
      </ns0:c>
      <ns0:c r="E215" s="33"/>
      <ns0:c r="F215" s="33"/>
      <ns0:c r="G215" s="33"/>
      <ns0:c r="H215" t="str" s="35">
        <ns0:v>2x14, P2.54, THT, прямой</ns0:v>
      </ns0:c>
      <ns0:c r="I215" t="str" s="33">
        <ns0:v>CONNFLY</ns0:v>
      </ns0:c>
      <ns0:c r="J215" t="str" s="33">
        <ns0:v>DS1023</ns0:v>
      </ns0:c>
      <ns0:c r="K215" t="str" s="34">
        <ns0:f>B215&amp;" "&amp;D215&amp;" "&amp;J215</ns0:f>
        <ns0:v>Разъём 2x14, 2.54 мм DS1023</ns0:v>
      </ns0:c>
      <ns0:c r="L215" t="str" s="36">
        <ns0:v>XS_28</ns0:v>
      </ns0:c>
      <ns0:c r="M215" t="str" s="36">
        <ns0:v>Symbols\MY_LIB_Connectors.SchLib</ns0:v>
      </ns0:c>
      <ns0:c r="N215" t="str" s="36">
        <ns0:v>CONNFLY_DS1023_2X14</ns0:v>
      </ns0:c>
      <ns0:c r="O215" t="str" s="36">
        <ns0:v>Footprints\MY_LIB_Connectors.PcbLib</ns0:v>
      </ns0:c>
      <ns0:c r="P215" t="str" s="33">
        <ns0:v>Гнездовой, прямой; 28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5" s="33"/>
      <ns0:c r="R215" t="str" s="34">
        <ns0:f>D215</ns0:f>
        <ns0:v>2x14, 2.54 мм</ns0:v>
      </ns0:c>
      <ns0:c r="S215" t="str" s="34">
        <ns0:f>K215</ns0:f>
        <ns0:v>Разъём 2x14, 2.54 мм DS1023</ns0:v>
      </ns0:c>
      <ns0:c r="T215" t="str" s="33">
        <ns0:v>C:\Users\Nomatin\Documents\Altium\MY_LIB\MY_LIB\Datasheets\CONNFLY_DS1023.pdf</ns0:v>
      </ns0:c>
      <ns0:c r="U215" s="33"/>
      <ns0:c r="V215" t="str" s="33">
        <ns0:v>Даташит — локальный</ns0:v>
      </ns0:c>
      <ns0:c r="W215" t="str" s="33">
        <ns0:v>C:\Users\Nomatin\Documents\Altium\MY_LIB\MY_LIB\Datasheets\CONNFLY_DS1023.pdf</ns0:v>
      </ns0:c>
      <ns0:c r="X215" t="str" s="33">
        <ns0:v>Даташит — производитель</ns0:v>
      </ns0:c>
      <ns0:c r="Y215" t="str" s="33">
        <ns0:v>https://en.connfly.com/static/upload/file/pdf/DS1023.pdf</ns0:v>
      </ns0:c>
      <ns0:c r="Z215" t="str" s="33">
        <ns0:v>C:\Users\Nomatin\Documents\Altium\MY_LIB\MY_LIB\Datasheets\CONNFLY_DS1023.pdf</ns0:v>
      </ns0:c>
    </ns0:row>
    <ns0:row xmlns:ns0="http://schemas.openxmlformats.org/spreadsheetml/2006/main" r="216" ht="85" customHeight="1">
      <ns0:c r="A216" t="str" s="33">
        <ns0:v>XS0055</ns0:v>
      </ns0:c>
      <ns0:c r="B216" t="str" s="33">
        <ns0:v>Разъём</ns0:v>
      </ns0:c>
      <ns0:c r="C216" t="str" s="33">
        <ns0:v>2x15, 2.54 мм</ns0:v>
      </ns0:c>
      <ns0:c r="D216" t="str" s="34">
        <ns0:f>C216</ns0:f>
        <ns0:v>2x15, 2.54 мм</ns0:v>
      </ns0:c>
      <ns0:c r="E216" s="33"/>
      <ns0:c r="F216" s="33"/>
      <ns0:c r="G216" s="33"/>
      <ns0:c r="H216" t="str" s="35">
        <ns0:v>2x15, P2.54, THT, прямой</ns0:v>
      </ns0:c>
      <ns0:c r="I216" t="str" s="33">
        <ns0:v>CONNFLY</ns0:v>
      </ns0:c>
      <ns0:c r="J216" t="str" s="33">
        <ns0:v>DS1023</ns0:v>
      </ns0:c>
      <ns0:c r="K216" t="str" s="34">
        <ns0:f>B216&amp;" "&amp;D216&amp;" "&amp;J216</ns0:f>
        <ns0:v>Разъём 2x15, 2.54 мм DS1023</ns0:v>
      </ns0:c>
      <ns0:c r="L216" t="str" s="36">
        <ns0:v>XS_30</ns0:v>
      </ns0:c>
      <ns0:c r="M216" t="str" s="36">
        <ns0:v>Symbols\MY_LIB_Connectors.SchLib</ns0:v>
      </ns0:c>
      <ns0:c r="N216" t="str" s="36">
        <ns0:v>CONNFLY_DS1023_2X15</ns0:v>
      </ns0:c>
      <ns0:c r="O216" t="str" s="36">
        <ns0:v>Footprints\MY_LIB_Connectors.PcbLib</ns0:v>
      </ns0:c>
      <ns0:c r="P216" t="str" s="33">
        <ns0:v>Гнездовой, прямой; 30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6" s="33"/>
      <ns0:c r="R216" t="str" s="34">
        <ns0:f>D216</ns0:f>
        <ns0:v>2x15, 2.54 мм</ns0:v>
      </ns0:c>
      <ns0:c r="S216" t="str" s="34">
        <ns0:f>K216</ns0:f>
        <ns0:v>Разъём 2x15, 2.54 мм DS1023</ns0:v>
      </ns0:c>
      <ns0:c r="T216" t="str" s="33">
        <ns0:v>C:\Users\Nomatin\Documents\Altium\MY_LIB\MY_LIB\Datasheets\CONNFLY_DS1023.pdf</ns0:v>
      </ns0:c>
      <ns0:c r="U216" s="33"/>
      <ns0:c r="V216" t="str" s="33">
        <ns0:v>Даташит — локальный</ns0:v>
      </ns0:c>
      <ns0:c r="W216" t="str" s="33">
        <ns0:v>C:\Users\Nomatin\Documents\Altium\MY_LIB\MY_LIB\Datasheets\CONNFLY_DS1023.pdf</ns0:v>
      </ns0:c>
      <ns0:c r="X216" t="str" s="33">
        <ns0:v>Даташит — производитель</ns0:v>
      </ns0:c>
      <ns0:c r="Y216" t="str" s="33">
        <ns0:v>https://en.connfly.com/static/upload/file/pdf/DS1023.pdf</ns0:v>
      </ns0:c>
      <ns0:c r="Z216" t="str" s="33">
        <ns0:v>C:\Users\Nomatin\Documents\Altium\MY_LIB\MY_LIB\Datasheets\CONNFLY_DS1023.pdf</ns0:v>
      </ns0:c>
    </ns0:row>
    <ns0:row xmlns:ns0="http://schemas.openxmlformats.org/spreadsheetml/2006/main" r="217" ht="85" customHeight="1">
      <ns0:c r="A217" t="str" s="33">
        <ns0:v>XS0056</ns0:v>
      </ns0:c>
      <ns0:c r="B217" t="str" s="33">
        <ns0:v>Разъём</ns0:v>
      </ns0:c>
      <ns0:c r="C217" t="str" s="33">
        <ns0:v>2x16, 2.54 мм</ns0:v>
      </ns0:c>
      <ns0:c r="D217" t="str" s="34">
        <ns0:f>C217</ns0:f>
        <ns0:v>2x16, 2.54 мм</ns0:v>
      </ns0:c>
      <ns0:c r="E217" s="33"/>
      <ns0:c r="F217" s="33"/>
      <ns0:c r="G217" s="33"/>
      <ns0:c r="H217" t="str" s="35">
        <ns0:v>2x16, P2.54, THT, прямой</ns0:v>
      </ns0:c>
      <ns0:c r="I217" t="str" s="33">
        <ns0:v>CONNFLY</ns0:v>
      </ns0:c>
      <ns0:c r="J217" t="str" s="33">
        <ns0:v>DS1023</ns0:v>
      </ns0:c>
      <ns0:c r="K217" t="str" s="34">
        <ns0:f>B217&amp;" "&amp;D217&amp;" "&amp;J217</ns0:f>
        <ns0:v>Разъём 2x16, 2.54 мм DS1023</ns0:v>
      </ns0:c>
      <ns0:c r="L217" t="str" s="36">
        <ns0:v>XS_32</ns0:v>
      </ns0:c>
      <ns0:c r="M217" t="str" s="36">
        <ns0:v>Symbols\MY_LIB_Connectors.SchLib</ns0:v>
      </ns0:c>
      <ns0:c r="N217" t="str" s="36">
        <ns0:v>CONNFLY_DS1023_2X16</ns0:v>
      </ns0:c>
      <ns0:c r="O217" t="str" s="36">
        <ns0:v>Footprints\MY_LIB_Connectors.PcbLib</ns0:v>
      </ns0:c>
      <ns0:c r="P217" t="str" s="33">
        <ns0:v>Гнездовой, прямой; 32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7" s="33"/>
      <ns0:c r="R217" t="str" s="34">
        <ns0:f>D217</ns0:f>
        <ns0:v>2x16, 2.54 мм</ns0:v>
      </ns0:c>
      <ns0:c r="S217" t="str" s="34">
        <ns0:f>K217</ns0:f>
        <ns0:v>Разъём 2x16, 2.54 мм DS1023</ns0:v>
      </ns0:c>
      <ns0:c r="T217" t="str" s="33">
        <ns0:v>C:\Users\Nomatin\Documents\Altium\MY_LIB\MY_LIB\Datasheets\CONNFLY_DS1023.pdf</ns0:v>
      </ns0:c>
      <ns0:c r="U217" s="33"/>
      <ns0:c r="V217" t="str" s="33">
        <ns0:v>Даташит — локальный</ns0:v>
      </ns0:c>
      <ns0:c r="W217" t="str" s="33">
        <ns0:v>C:\Users\Nomatin\Documents\Altium\MY_LIB\MY_LIB\Datasheets\CONNFLY_DS1023.pdf</ns0:v>
      </ns0:c>
      <ns0:c r="X217" t="str" s="33">
        <ns0:v>Даташит — производитель</ns0:v>
      </ns0:c>
      <ns0:c r="Y217" t="str" s="33">
        <ns0:v>https://en.connfly.com/static/upload/file/pdf/DS1023.pdf</ns0:v>
      </ns0:c>
      <ns0:c r="Z217" t="str" s="33">
        <ns0:v>C:\Users\Nomatin\Documents\Altium\MY_LIB\MY_LIB\Datasheets\CONNFLY_DS1023.pdf</ns0:v>
      </ns0:c>
    </ns0:row>
    <ns0:row xmlns:ns0="http://schemas.openxmlformats.org/spreadsheetml/2006/main" r="218" ht="85" customHeight="1">
      <ns0:c r="A218" t="str" s="33">
        <ns0:v>XS0057</ns0:v>
      </ns0:c>
      <ns0:c r="B218" t="str" s="33">
        <ns0:v>Разъём</ns0:v>
      </ns0:c>
      <ns0:c r="C218" t="str" s="33">
        <ns0:v>2x17, 2.54 мм</ns0:v>
      </ns0:c>
      <ns0:c r="D218" t="str" s="34">
        <ns0:f>C218</ns0:f>
        <ns0:v>2x17, 2.54 мм</ns0:v>
      </ns0:c>
      <ns0:c r="E218" s="33"/>
      <ns0:c r="F218" s="33"/>
      <ns0:c r="G218" s="33"/>
      <ns0:c r="H218" t="str" s="35">
        <ns0:v>2x17, P2.54, THT, прямой</ns0:v>
      </ns0:c>
      <ns0:c r="I218" t="str" s="33">
        <ns0:v>CONNFLY</ns0:v>
      </ns0:c>
      <ns0:c r="J218" t="str" s="33">
        <ns0:v>DS1023</ns0:v>
      </ns0:c>
      <ns0:c r="K218" t="str" s="34">
        <ns0:f>B218&amp;" "&amp;D218&amp;" "&amp;J218</ns0:f>
        <ns0:v>Разъём 2x17, 2.54 мм DS1023</ns0:v>
      </ns0:c>
      <ns0:c r="L218" t="str" s="36">
        <ns0:v>XS_34</ns0:v>
      </ns0:c>
      <ns0:c r="M218" t="str" s="36">
        <ns0:v>Symbols\MY_LIB_Connectors.SchLib</ns0:v>
      </ns0:c>
      <ns0:c r="N218" t="str" s="36">
        <ns0:v>CONNFLY_DS1023_2X17</ns0:v>
      </ns0:c>
      <ns0:c r="O218" t="str" s="36">
        <ns0:v>Footprints\MY_LIB_Connectors.PcbLib</ns0:v>
      </ns0:c>
      <ns0:c r="P218" t="str" s="33">
        <ns0:v>Гнездовой, прямой; 34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8" s="33"/>
      <ns0:c r="R218" t="str" s="34">
        <ns0:f>D218</ns0:f>
        <ns0:v>2x17, 2.54 мм</ns0:v>
      </ns0:c>
      <ns0:c r="S218" t="str" s="34">
        <ns0:f>K218</ns0:f>
        <ns0:v>Разъём 2x17, 2.54 мм DS1023</ns0:v>
      </ns0:c>
      <ns0:c r="T218" t="str" s="33">
        <ns0:v>C:\Users\Nomatin\Documents\Altium\MY_LIB\MY_LIB\Datasheets\CONNFLY_DS1023.pdf</ns0:v>
      </ns0:c>
      <ns0:c r="U218" s="33"/>
      <ns0:c r="V218" t="str" s="33">
        <ns0:v>Даташит — локальный</ns0:v>
      </ns0:c>
      <ns0:c r="W218" t="str" s="33">
        <ns0:v>C:\Users\Nomatin\Documents\Altium\MY_LIB\MY_LIB\Datasheets\CONNFLY_DS1023.pdf</ns0:v>
      </ns0:c>
      <ns0:c r="X218" t="str" s="33">
        <ns0:v>Даташит — производитель</ns0:v>
      </ns0:c>
      <ns0:c r="Y218" t="str" s="33">
        <ns0:v>https://en.connfly.com/static/upload/file/pdf/DS1023.pdf</ns0:v>
      </ns0:c>
      <ns0:c r="Z218" t="str" s="33">
        <ns0:v>C:\Users\Nomatin\Documents\Altium\MY_LIB\MY_LIB\Datasheets\CONNFLY_DS1023.pdf</ns0:v>
      </ns0:c>
    </ns0:row>
    <ns0:row xmlns:ns0="http://schemas.openxmlformats.org/spreadsheetml/2006/main" r="219" ht="85" customHeight="1">
      <ns0:c r="A219" t="str" s="33">
        <ns0:v>XS0058</ns0:v>
      </ns0:c>
      <ns0:c r="B219" t="str" s="33">
        <ns0:v>Разъём</ns0:v>
      </ns0:c>
      <ns0:c r="C219" t="str" s="33">
        <ns0:v>2x18, 2.54 мм</ns0:v>
      </ns0:c>
      <ns0:c r="D219" t="str" s="34">
        <ns0:f>C219</ns0:f>
        <ns0:v>2x18, 2.54 мм</ns0:v>
      </ns0:c>
      <ns0:c r="E219" s="33"/>
      <ns0:c r="F219" s="33"/>
      <ns0:c r="G219" s="33"/>
      <ns0:c r="H219" t="str" s="35">
        <ns0:v>2x18, P2.54, THT, прямой</ns0:v>
      </ns0:c>
      <ns0:c r="I219" t="str" s="33">
        <ns0:v>CONNFLY</ns0:v>
      </ns0:c>
      <ns0:c r="J219" t="str" s="33">
        <ns0:v>DS1023</ns0:v>
      </ns0:c>
      <ns0:c r="K219" t="str" s="34">
        <ns0:f>B219&amp;" "&amp;D219&amp;" "&amp;J219</ns0:f>
        <ns0:v>Разъём 2x18, 2.54 мм DS1023</ns0:v>
      </ns0:c>
      <ns0:c r="L219" t="str" s="36">
        <ns0:v>XS_36</ns0:v>
      </ns0:c>
      <ns0:c r="M219" t="str" s="36">
        <ns0:v>Symbols\MY_LIB_Connectors.SchLib</ns0:v>
      </ns0:c>
      <ns0:c r="N219" t="str" s="36">
        <ns0:v>CONNFLY_DS1023_2X18</ns0:v>
      </ns0:c>
      <ns0:c r="O219" t="str" s="36">
        <ns0:v>Footprints\MY_LIB_Connectors.PcbLib</ns0:v>
      </ns0:c>
      <ns0:c r="P219" t="str" s="33">
        <ns0:v>Гнездовой, прямой; 36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19" s="33"/>
      <ns0:c r="R219" t="str" s="34">
        <ns0:f>D219</ns0:f>
        <ns0:v>2x18, 2.54 мм</ns0:v>
      </ns0:c>
      <ns0:c r="S219" t="str" s="34">
        <ns0:f>K219</ns0:f>
        <ns0:v>Разъём 2x18, 2.54 мм DS1023</ns0:v>
      </ns0:c>
      <ns0:c r="T219" t="str" s="33">
        <ns0:v>C:\Users\Nomatin\Documents\Altium\MY_LIB\MY_LIB\Datasheets\CONNFLY_DS1023.pdf</ns0:v>
      </ns0:c>
      <ns0:c r="U219" s="33"/>
      <ns0:c r="V219" t="str" s="33">
        <ns0:v>Даташит — локальный</ns0:v>
      </ns0:c>
      <ns0:c r="W219" t="str" s="33">
        <ns0:v>C:\Users\Nomatin\Documents\Altium\MY_LIB\MY_LIB\Datasheets\CONNFLY_DS1023.pdf</ns0:v>
      </ns0:c>
      <ns0:c r="X219" t="str" s="33">
        <ns0:v>Даташит — производитель</ns0:v>
      </ns0:c>
      <ns0:c r="Y219" t="str" s="33">
        <ns0:v>https://en.connfly.com/static/upload/file/pdf/DS1023.pdf</ns0:v>
      </ns0:c>
      <ns0:c r="Z219" t="str" s="33">
        <ns0:v>C:\Users\Nomatin\Documents\Altium\MY_LIB\MY_LIB\Datasheets\CONNFLY_DS1023.pdf</ns0:v>
      </ns0:c>
    </ns0:row>
    <ns0:row xmlns:ns0="http://schemas.openxmlformats.org/spreadsheetml/2006/main" r="220" ht="85" customHeight="1">
      <ns0:c r="A220" t="str" s="33">
        <ns0:v>XS0059</ns0:v>
      </ns0:c>
      <ns0:c r="B220" t="str" s="33">
        <ns0:v>Разъём</ns0:v>
      </ns0:c>
      <ns0:c r="C220" t="str" s="33">
        <ns0:v>2x19, 2.54 мм</ns0:v>
      </ns0:c>
      <ns0:c r="D220" t="str" s="34">
        <ns0:f>C220</ns0:f>
        <ns0:v>2x19, 2.54 мм</ns0:v>
      </ns0:c>
      <ns0:c r="E220" s="33"/>
      <ns0:c r="F220" s="33"/>
      <ns0:c r="G220" s="33"/>
      <ns0:c r="H220" t="str" s="35">
        <ns0:v>2x19, P2.54, THT, прямой</ns0:v>
      </ns0:c>
      <ns0:c r="I220" t="str" s="33">
        <ns0:v>CONNFLY</ns0:v>
      </ns0:c>
      <ns0:c r="J220" t="str" s="33">
        <ns0:v>DS1023</ns0:v>
      </ns0:c>
      <ns0:c r="K220" t="str" s="34">
        <ns0:f>B220&amp;" "&amp;D220&amp;" "&amp;J220</ns0:f>
        <ns0:v>Разъём 2x19, 2.54 мм DS1023</ns0:v>
      </ns0:c>
      <ns0:c r="L220" t="str" s="36">
        <ns0:v>XS_38</ns0:v>
      </ns0:c>
      <ns0:c r="M220" t="str" s="36">
        <ns0:v>Symbols\MY_LIB_Connectors.SchLib</ns0:v>
      </ns0:c>
      <ns0:c r="N220" t="str" s="36">
        <ns0:v>CONNFLY_DS1023_2X19</ns0:v>
      </ns0:c>
      <ns0:c r="O220" t="str" s="36">
        <ns0:v>Footprints\MY_LIB_Connectors.PcbLib</ns0:v>
      </ns0:c>
      <ns0:c r="P220" t="str" s="33">
        <ns0:v>Гнездовой, прямой; 38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0" s="33"/>
      <ns0:c r="R220" t="str" s="34">
        <ns0:f>D220</ns0:f>
        <ns0:v>2x19, 2.54 мм</ns0:v>
      </ns0:c>
      <ns0:c r="S220" t="str" s="34">
        <ns0:f>K220</ns0:f>
        <ns0:v>Разъём 2x19, 2.54 мм DS1023</ns0:v>
      </ns0:c>
      <ns0:c r="T220" t="str" s="33">
        <ns0:v>C:\Users\Nomatin\Documents\Altium\MY_LIB\MY_LIB\Datasheets\CONNFLY_DS1023.pdf</ns0:v>
      </ns0:c>
      <ns0:c r="U220" s="33"/>
      <ns0:c r="V220" t="str" s="33">
        <ns0:v>Даташит — локальный</ns0:v>
      </ns0:c>
      <ns0:c r="W220" t="str" s="33">
        <ns0:v>C:\Users\Nomatin\Documents\Altium\MY_LIB\MY_LIB\Datasheets\CONNFLY_DS1023.pdf</ns0:v>
      </ns0:c>
      <ns0:c r="X220" t="str" s="33">
        <ns0:v>Даташит — производитель</ns0:v>
      </ns0:c>
      <ns0:c r="Y220" t="str" s="33">
        <ns0:v>https://en.connfly.com/static/upload/file/pdf/DS1023.pdf</ns0:v>
      </ns0:c>
      <ns0:c r="Z220" t="str" s="33">
        <ns0:v>C:\Users\Nomatin\Documents\Altium\MY_LIB\MY_LIB\Datasheets\CONNFLY_DS1023.pdf</ns0:v>
      </ns0:c>
    </ns0:row>
    <ns0:row xmlns:ns0="http://schemas.openxmlformats.org/spreadsheetml/2006/main" r="221" ht="85" customHeight="1">
      <ns0:c r="A221" t="str" s="33">
        <ns0:v>XS0060</ns0:v>
      </ns0:c>
      <ns0:c r="B221" t="str" s="33">
        <ns0:v>Разъём</ns0:v>
      </ns0:c>
      <ns0:c r="C221" t="str" s="33">
        <ns0:v>2x20, 2.54 мм</ns0:v>
      </ns0:c>
      <ns0:c r="D221" t="str" s="34">
        <ns0:f>C221</ns0:f>
        <ns0:v>2x20, 2.54 мм</ns0:v>
      </ns0:c>
      <ns0:c r="E221" s="33"/>
      <ns0:c r="F221" s="33"/>
      <ns0:c r="G221" s="33"/>
      <ns0:c r="H221" t="str" s="35">
        <ns0:v>2x20, P2.54, THT, прямой</ns0:v>
      </ns0:c>
      <ns0:c r="I221" t="str" s="33">
        <ns0:v>CONNFLY</ns0:v>
      </ns0:c>
      <ns0:c r="J221" t="str" s="33">
        <ns0:v>DS1023</ns0:v>
      </ns0:c>
      <ns0:c r="K221" t="str" s="34">
        <ns0:f>B221&amp;" "&amp;D221&amp;" "&amp;J221</ns0:f>
        <ns0:v>Разъём 2x20, 2.54 мм DS1023</ns0:v>
      </ns0:c>
      <ns0:c r="L221" t="str" s="36">
        <ns0:v>XS_40</ns0:v>
      </ns0:c>
      <ns0:c r="M221" t="str" s="36">
        <ns0:v>Symbols\MY_LIB_Connectors.SchLib</ns0:v>
      </ns0:c>
      <ns0:c r="N221" t="str" s="36">
        <ns0:v>CONNFLY_DS1023_2X20</ns0:v>
      </ns0:c>
      <ns0:c r="O221" t="str" s="36">
        <ns0:v>Footprints\MY_LIB_Connectors.PcbLib</ns0:v>
      </ns0:c>
      <ns0:c r="P221" t="str" s="33">
        <ns0:v>Гнездовой, прямой; 40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1" s="33"/>
      <ns0:c r="R221" t="str" s="34">
        <ns0:f>D221</ns0:f>
        <ns0:v>2x20, 2.54 мм</ns0:v>
      </ns0:c>
      <ns0:c r="S221" t="str" s="34">
        <ns0:f>K221</ns0:f>
        <ns0:v>Разъём 2x20, 2.54 мм DS1023</ns0:v>
      </ns0:c>
      <ns0:c r="T221" t="str" s="33">
        <ns0:v>C:\Users\Nomatin\Documents\Altium\MY_LIB\MY_LIB\Datasheets\CONNFLY_DS1023.pdf</ns0:v>
      </ns0:c>
      <ns0:c r="U221" s="33"/>
      <ns0:c r="V221" t="str" s="33">
        <ns0:v>Даташит — локальный</ns0:v>
      </ns0:c>
      <ns0:c r="W221" t="str" s="33">
        <ns0:v>C:\Users\Nomatin\Documents\Altium\MY_LIB\MY_LIB\Datasheets\CONNFLY_DS1023.pdf</ns0:v>
      </ns0:c>
      <ns0:c r="X221" t="str" s="33">
        <ns0:v>Даташит — производитель</ns0:v>
      </ns0:c>
      <ns0:c r="Y221" t="str" s="33">
        <ns0:v>https://en.connfly.com/static/upload/file/pdf/DS1023.pdf</ns0:v>
      </ns0:c>
      <ns0:c r="Z221" t="str" s="33">
        <ns0:v>C:\Users\Nomatin\Documents\Altium\MY_LIB\MY_LIB\Datasheets\CONNFLY_DS1023.pdf</ns0:v>
      </ns0:c>
    </ns0:row>
    <ns0:row xmlns:ns0="http://schemas.openxmlformats.org/spreadsheetml/2006/main" r="222" ht="85" customHeight="1">
      <ns0:c r="A222" t="str" s="33">
        <ns0:v>XS0061</ns0:v>
      </ns0:c>
      <ns0:c r="B222" t="str" s="33">
        <ns0:v>Разъём</ns0:v>
      </ns0:c>
      <ns0:c r="C222" t="str" s="33">
        <ns0:v>2x21, 2.54 мм</ns0:v>
      </ns0:c>
      <ns0:c r="D222" t="str" s="34">
        <ns0:f>C222</ns0:f>
        <ns0:v>2x21, 2.54 мм</ns0:v>
      </ns0:c>
      <ns0:c r="E222" s="33"/>
      <ns0:c r="F222" s="33"/>
      <ns0:c r="G222" s="33"/>
      <ns0:c r="H222" t="str" s="35">
        <ns0:v>2x21, P2.54, THT, прямой</ns0:v>
      </ns0:c>
      <ns0:c r="I222" t="str" s="33">
        <ns0:v>CONNFLY</ns0:v>
      </ns0:c>
      <ns0:c r="J222" t="str" s="33">
        <ns0:v>DS1023</ns0:v>
      </ns0:c>
      <ns0:c r="K222" t="str" s="34">
        <ns0:f>B222&amp;" "&amp;D222&amp;" "&amp;J222</ns0:f>
        <ns0:v>Разъём 2x21, 2.54 мм DS1023</ns0:v>
      </ns0:c>
      <ns0:c r="L222" t="str" s="36">
        <ns0:v>XS_42</ns0:v>
      </ns0:c>
      <ns0:c r="M222" t="str" s="36">
        <ns0:v>Symbols\MY_LIB_Connectors.SchLib</ns0:v>
      </ns0:c>
      <ns0:c r="N222" t="str" s="36">
        <ns0:v>CONNFLY_DS1023_2X21</ns0:v>
      </ns0:c>
      <ns0:c r="O222" t="str" s="36">
        <ns0:v>Footprints\MY_LIB_Connectors.PcbLib</ns0:v>
      </ns0:c>
      <ns0:c r="P222" t="str" s="33">
        <ns0:v>Гнездовой, прямой; 42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2" s="33"/>
      <ns0:c r="R222" t="str" s="34">
        <ns0:f>D222</ns0:f>
        <ns0:v>2x21, 2.54 мм</ns0:v>
      </ns0:c>
      <ns0:c r="S222" t="str" s="34">
        <ns0:f>K222</ns0:f>
        <ns0:v>Разъём 2x21, 2.54 мм DS1023</ns0:v>
      </ns0:c>
      <ns0:c r="T222" t="str" s="33">
        <ns0:v>C:\Users\Nomatin\Documents\Altium\MY_LIB\MY_LIB\Datasheets\CONNFLY_DS1023.pdf</ns0:v>
      </ns0:c>
      <ns0:c r="U222" s="33"/>
      <ns0:c r="V222" t="str" s="33">
        <ns0:v>Даташит — локальный</ns0:v>
      </ns0:c>
      <ns0:c r="W222" t="str" s="33">
        <ns0:v>C:\Users\Nomatin\Documents\Altium\MY_LIB\MY_LIB\Datasheets\CONNFLY_DS1023.pdf</ns0:v>
      </ns0:c>
      <ns0:c r="X222" t="str" s="33">
        <ns0:v>Даташит — производитель</ns0:v>
      </ns0:c>
      <ns0:c r="Y222" t="str" s="33">
        <ns0:v>https://en.connfly.com/static/upload/file/pdf/DS1023.pdf</ns0:v>
      </ns0:c>
      <ns0:c r="Z222" t="str" s="33">
        <ns0:v>C:\Users\Nomatin\Documents\Altium\MY_LIB\MY_LIB\Datasheets\CONNFLY_DS1023.pdf</ns0:v>
      </ns0:c>
    </ns0:row>
    <ns0:row xmlns:ns0="http://schemas.openxmlformats.org/spreadsheetml/2006/main" r="223" ht="85" customHeight="1">
      <ns0:c r="A223" t="str" s="33">
        <ns0:v>XS0062</ns0:v>
      </ns0:c>
      <ns0:c r="B223" t="str" s="33">
        <ns0:v>Разъём</ns0:v>
      </ns0:c>
      <ns0:c r="C223" t="str" s="33">
        <ns0:v>2x22, 2.54 мм</ns0:v>
      </ns0:c>
      <ns0:c r="D223" t="str" s="34">
        <ns0:f>C223</ns0:f>
        <ns0:v>2x22, 2.54 мм</ns0:v>
      </ns0:c>
      <ns0:c r="E223" s="33"/>
      <ns0:c r="F223" s="33"/>
      <ns0:c r="G223" s="33"/>
      <ns0:c r="H223" t="str" s="35">
        <ns0:v>2x22, P2.54, THT, прямой</ns0:v>
      </ns0:c>
      <ns0:c r="I223" t="str" s="33">
        <ns0:v>CONNFLY</ns0:v>
      </ns0:c>
      <ns0:c r="J223" t="str" s="33">
        <ns0:v>DS1023</ns0:v>
      </ns0:c>
      <ns0:c r="K223" t="str" s="34">
        <ns0:f>B223&amp;" "&amp;D223&amp;" "&amp;J223</ns0:f>
        <ns0:v>Разъём 2x22, 2.54 мм DS1023</ns0:v>
      </ns0:c>
      <ns0:c r="L223" t="str" s="36">
        <ns0:v>XS_44</ns0:v>
      </ns0:c>
      <ns0:c r="M223" t="str" s="36">
        <ns0:v>Symbols\MY_LIB_Connectors.SchLib</ns0:v>
      </ns0:c>
      <ns0:c r="N223" t="str" s="36">
        <ns0:v>CONNFLY_DS1023_2X22</ns0:v>
      </ns0:c>
      <ns0:c r="O223" t="str" s="36">
        <ns0:v>Footprints\MY_LIB_Connectors.PcbLib</ns0:v>
      </ns0:c>
      <ns0:c r="P223" t="str" s="33">
        <ns0:v>Гнездовой, прямой; 44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3" s="33"/>
      <ns0:c r="R223" t="str" s="34">
        <ns0:f>D223</ns0:f>
        <ns0:v>2x22, 2.54 мм</ns0:v>
      </ns0:c>
      <ns0:c r="S223" t="str" s="34">
        <ns0:f>K223</ns0:f>
        <ns0:v>Разъём 2x22, 2.54 мм DS1023</ns0:v>
      </ns0:c>
      <ns0:c r="T223" t="str" s="33">
        <ns0:v>C:\Users\Nomatin\Documents\Altium\MY_LIB\MY_LIB\Datasheets\CONNFLY_DS1023.pdf</ns0:v>
      </ns0:c>
      <ns0:c r="U223" s="33"/>
      <ns0:c r="V223" t="str" s="33">
        <ns0:v>Даташит — локальный</ns0:v>
      </ns0:c>
      <ns0:c r="W223" t="str" s="33">
        <ns0:v>C:\Users\Nomatin\Documents\Altium\MY_LIB\MY_LIB\Datasheets\CONNFLY_DS1023.pdf</ns0:v>
      </ns0:c>
      <ns0:c r="X223" t="str" s="33">
        <ns0:v>Даташит — производитель</ns0:v>
      </ns0:c>
      <ns0:c r="Y223" t="str" s="33">
        <ns0:v>https://en.connfly.com/static/upload/file/pdf/DS1023.pdf</ns0:v>
      </ns0:c>
      <ns0:c r="Z223" t="str" s="33">
        <ns0:v>C:\Users\Nomatin\Documents\Altium\MY_LIB\MY_LIB\Datasheets\CONNFLY_DS1023.pdf</ns0:v>
      </ns0:c>
    </ns0:row>
    <ns0:row xmlns:ns0="http://schemas.openxmlformats.org/spreadsheetml/2006/main" r="224" ht="85" customHeight="1">
      <ns0:c r="A224" t="str" s="33">
        <ns0:v>XS0063</ns0:v>
      </ns0:c>
      <ns0:c r="B224" t="str" s="33">
        <ns0:v>Разъём</ns0:v>
      </ns0:c>
      <ns0:c r="C224" t="str" s="33">
        <ns0:v>2x23, 2.54 мм</ns0:v>
      </ns0:c>
      <ns0:c r="D224" t="str" s="34">
        <ns0:f>C224</ns0:f>
        <ns0:v>2x23, 2.54 мм</ns0:v>
      </ns0:c>
      <ns0:c r="E224" s="33"/>
      <ns0:c r="F224" s="33"/>
      <ns0:c r="G224" s="33"/>
      <ns0:c r="H224" t="str" s="35">
        <ns0:v>2x23, P2.54, THT, прямой</ns0:v>
      </ns0:c>
      <ns0:c r="I224" t="str" s="33">
        <ns0:v>CONNFLY</ns0:v>
      </ns0:c>
      <ns0:c r="J224" t="str" s="33">
        <ns0:v>DS1023</ns0:v>
      </ns0:c>
      <ns0:c r="K224" t="str" s="34">
        <ns0:f>B224&amp;" "&amp;D224&amp;" "&amp;J224</ns0:f>
        <ns0:v>Разъём 2x23, 2.54 мм DS1023</ns0:v>
      </ns0:c>
      <ns0:c r="L224" t="str" s="36">
        <ns0:v>XS_46</ns0:v>
      </ns0:c>
      <ns0:c r="M224" t="str" s="36">
        <ns0:v>Symbols\MY_LIB_Connectors.SchLib</ns0:v>
      </ns0:c>
      <ns0:c r="N224" t="str" s="36">
        <ns0:v>CONNFLY_DS1023_2X23</ns0:v>
      </ns0:c>
      <ns0:c r="O224" t="str" s="36">
        <ns0:v>Footprints\MY_LIB_Connectors.PcbLib</ns0:v>
      </ns0:c>
      <ns0:c r="P224" t="str" s="33">
        <ns0:v>Гнездовой, прямой; 46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4" s="33"/>
      <ns0:c r="R224" t="str" s="34">
        <ns0:f>D224</ns0:f>
        <ns0:v>2x23, 2.54 мм</ns0:v>
      </ns0:c>
      <ns0:c r="S224" t="str" s="34">
        <ns0:f>K224</ns0:f>
        <ns0:v>Разъём 2x23, 2.54 мм DS1023</ns0:v>
      </ns0:c>
      <ns0:c r="T224" t="str" s="33">
        <ns0:v>C:\Users\Nomatin\Documents\Altium\MY_LIB\MY_LIB\Datasheets\CONNFLY_DS1023.pdf</ns0:v>
      </ns0:c>
      <ns0:c r="U224" s="33"/>
      <ns0:c r="V224" t="str" s="33">
        <ns0:v>Даташит — локальный</ns0:v>
      </ns0:c>
      <ns0:c r="W224" t="str" s="33">
        <ns0:v>C:\Users\Nomatin\Documents\Altium\MY_LIB\MY_LIB\Datasheets\CONNFLY_DS1023.pdf</ns0:v>
      </ns0:c>
      <ns0:c r="X224" t="str" s="33">
        <ns0:v>Даташит — производитель</ns0:v>
      </ns0:c>
      <ns0:c r="Y224" t="str" s="33">
        <ns0:v>https://en.connfly.com/static/upload/file/pdf/DS1023.pdf</ns0:v>
      </ns0:c>
      <ns0:c r="Z224" t="str" s="33">
        <ns0:v>C:\Users\Nomatin\Documents\Altium\MY_LIB\MY_LIB\Datasheets\CONNFLY_DS1023.pdf</ns0:v>
      </ns0:c>
    </ns0:row>
    <ns0:row xmlns:ns0="http://schemas.openxmlformats.org/spreadsheetml/2006/main" r="225" ht="85" customHeight="1">
      <ns0:c r="A225" t="str" s="33">
        <ns0:v>XS0064</ns0:v>
      </ns0:c>
      <ns0:c r="B225" t="str" s="33">
        <ns0:v>Разъём</ns0:v>
      </ns0:c>
      <ns0:c r="C225" t="str" s="33">
        <ns0:v>2x24, 2.54 мм</ns0:v>
      </ns0:c>
      <ns0:c r="D225" t="str" s="34">
        <ns0:f>C225</ns0:f>
        <ns0:v>2x24, 2.54 мм</ns0:v>
      </ns0:c>
      <ns0:c r="E225" s="33"/>
      <ns0:c r="F225" s="33"/>
      <ns0:c r="G225" s="33"/>
      <ns0:c r="H225" t="str" s="35">
        <ns0:v>2x24, P2.54, THT, прямой</ns0:v>
      </ns0:c>
      <ns0:c r="I225" t="str" s="33">
        <ns0:v>CONNFLY</ns0:v>
      </ns0:c>
      <ns0:c r="J225" t="str" s="33">
        <ns0:v>DS1023</ns0:v>
      </ns0:c>
      <ns0:c r="K225" t="str" s="34">
        <ns0:f>B225&amp;" "&amp;D225&amp;" "&amp;J225</ns0:f>
        <ns0:v>Разъём 2x24, 2.54 мм DS1023</ns0:v>
      </ns0:c>
      <ns0:c r="L225" t="str" s="36">
        <ns0:v>XS_48</ns0:v>
      </ns0:c>
      <ns0:c r="M225" t="str" s="36">
        <ns0:v>Symbols\MY_LIB_Connectors.SchLib</ns0:v>
      </ns0:c>
      <ns0:c r="N225" t="str" s="36">
        <ns0:v>CONNFLY_DS1023_2X24</ns0:v>
      </ns0:c>
      <ns0:c r="O225" t="str" s="36">
        <ns0:v>Footprints\MY_LIB_Connectors.PcbLib</ns0:v>
      </ns0:c>
      <ns0:c r="P225" t="str" s="33">
        <ns0:v>Гнездовой, прямой; 48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5" s="33"/>
      <ns0:c r="R225" t="str" s="34">
        <ns0:f>D225</ns0:f>
        <ns0:v>2x24, 2.54 мм</ns0:v>
      </ns0:c>
      <ns0:c r="S225" t="str" s="34">
        <ns0:f>K225</ns0:f>
        <ns0:v>Разъём 2x24, 2.54 мм DS1023</ns0:v>
      </ns0:c>
      <ns0:c r="T225" t="str" s="33">
        <ns0:v>C:\Users\Nomatin\Documents\Altium\MY_LIB\MY_LIB\Datasheets\CONNFLY_DS1023.pdf</ns0:v>
      </ns0:c>
      <ns0:c r="U225" s="33"/>
      <ns0:c r="V225" t="str" s="33">
        <ns0:v>Даташит — локальный</ns0:v>
      </ns0:c>
      <ns0:c r="W225" t="str" s="33">
        <ns0:v>C:\Users\Nomatin\Documents\Altium\MY_LIB\MY_LIB\Datasheets\CONNFLY_DS1023.pdf</ns0:v>
      </ns0:c>
      <ns0:c r="X225" t="str" s="33">
        <ns0:v>Даташит — производитель</ns0:v>
      </ns0:c>
      <ns0:c r="Y225" t="str" s="33">
        <ns0:v>https://en.connfly.com/static/upload/file/pdf/DS1023.pdf</ns0:v>
      </ns0:c>
      <ns0:c r="Z225" t="str" s="33">
        <ns0:v>C:\Users\Nomatin\Documents\Altium\MY_LIB\MY_LIB\Datasheets\CONNFLY_DS1023.pdf</ns0:v>
      </ns0:c>
    </ns0:row>
    <ns0:row xmlns:ns0="http://schemas.openxmlformats.org/spreadsheetml/2006/main" r="226" ht="85" customHeight="1">
      <ns0:c r="A226" t="str" s="33">
        <ns0:v>XS0065</ns0:v>
      </ns0:c>
      <ns0:c r="B226" t="str" s="33">
        <ns0:v>Разъём</ns0:v>
      </ns0:c>
      <ns0:c r="C226" t="str" s="33">
        <ns0:v>2x25, 2.54 мм</ns0:v>
      </ns0:c>
      <ns0:c r="D226" t="str" s="34">
        <ns0:f>C226</ns0:f>
        <ns0:v>2x25, 2.54 мм</ns0:v>
      </ns0:c>
      <ns0:c r="E226" s="33"/>
      <ns0:c r="F226" s="33"/>
      <ns0:c r="G226" s="33"/>
      <ns0:c r="H226" t="str" s="35">
        <ns0:v>2x25, P2.54, THT, прямой</ns0:v>
      </ns0:c>
      <ns0:c r="I226" t="str" s="33">
        <ns0:v>CONNFLY</ns0:v>
      </ns0:c>
      <ns0:c r="J226" t="str" s="33">
        <ns0:v>DS1023</ns0:v>
      </ns0:c>
      <ns0:c r="K226" t="str" s="34">
        <ns0:f>B226&amp;" "&amp;D226&amp;" "&amp;J226</ns0:f>
        <ns0:v>Разъём 2x25, 2.54 мм DS1023</ns0:v>
      </ns0:c>
      <ns0:c r="L226" t="str" s="36">
        <ns0:v>XS_50</ns0:v>
      </ns0:c>
      <ns0:c r="M226" t="str" s="36">
        <ns0:v>Symbols\MY_LIB_Connectors.SchLib</ns0:v>
      </ns0:c>
      <ns0:c r="N226" t="str" s="36">
        <ns0:v>CONNFLY_DS1023_2X25</ns0:v>
      </ns0:c>
      <ns0:c r="O226" t="str" s="36">
        <ns0:v>Footprints\MY_LIB_Connectors.PcbLib</ns0:v>
      </ns0:c>
      <ns0:c r="P226" t="str" s="33">
        <ns0:v>Гнездовой, прямой; 50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6" s="33"/>
      <ns0:c r="R226" t="str" s="34">
        <ns0:f>D226</ns0:f>
        <ns0:v>2x25, 2.54 мм</ns0:v>
      </ns0:c>
      <ns0:c r="S226" t="str" s="34">
        <ns0:f>K226</ns0:f>
        <ns0:v>Разъём 2x25, 2.54 мм DS1023</ns0:v>
      </ns0:c>
      <ns0:c r="T226" t="str" s="33">
        <ns0:v>C:\Users\Nomatin\Documents\Altium\MY_LIB\MY_LIB\Datasheets\CONNFLY_DS1023.pdf</ns0:v>
      </ns0:c>
      <ns0:c r="U226" s="33"/>
      <ns0:c r="V226" t="str" s="33">
        <ns0:v>Даташит — локальный</ns0:v>
      </ns0:c>
      <ns0:c r="W226" t="str" s="33">
        <ns0:v>C:\Users\Nomatin\Documents\Altium\MY_LIB\MY_LIB\Datasheets\CONNFLY_DS1023.pdf</ns0:v>
      </ns0:c>
      <ns0:c r="X226" t="str" s="33">
        <ns0:v>Даташит — производитель</ns0:v>
      </ns0:c>
      <ns0:c r="Y226" t="str" s="33">
        <ns0:v>https://en.connfly.com/static/upload/file/pdf/DS1023.pdf</ns0:v>
      </ns0:c>
      <ns0:c r="Z226" t="str" s="33">
        <ns0:v>C:\Users\Nomatin\Documents\Altium\MY_LIB\MY_LIB\Datasheets\CONNFLY_DS1023.pdf</ns0:v>
      </ns0:c>
    </ns0:row>
    <ns0:row xmlns:ns0="http://schemas.openxmlformats.org/spreadsheetml/2006/main" r="227" ht="85" customHeight="1">
      <ns0:c r="A227" t="str" s="33">
        <ns0:v>XS0066</ns0:v>
      </ns0:c>
      <ns0:c r="B227" t="str" s="33">
        <ns0:v>Разъём</ns0:v>
      </ns0:c>
      <ns0:c r="C227" t="str" s="33">
        <ns0:v>2x26, 2.54 мм</ns0:v>
      </ns0:c>
      <ns0:c r="D227" t="str" s="34">
        <ns0:f>C227</ns0:f>
        <ns0:v>2x26, 2.54 мм</ns0:v>
      </ns0:c>
      <ns0:c r="E227" s="33"/>
      <ns0:c r="F227" s="33"/>
      <ns0:c r="G227" s="33"/>
      <ns0:c r="H227" t="str" s="35">
        <ns0:v>2x26, P2.54, THT, прямой</ns0:v>
      </ns0:c>
      <ns0:c r="I227" t="str" s="33">
        <ns0:v>CONNFLY</ns0:v>
      </ns0:c>
      <ns0:c r="J227" t="str" s="33">
        <ns0:v>DS1023</ns0:v>
      </ns0:c>
      <ns0:c r="K227" t="str" s="34">
        <ns0:f>B227&amp;" "&amp;D227&amp;" "&amp;J227</ns0:f>
        <ns0:v>Разъём 2x26, 2.54 мм DS1023</ns0:v>
      </ns0:c>
      <ns0:c r="L227" t="str" s="36">
        <ns0:v>XS_52</ns0:v>
      </ns0:c>
      <ns0:c r="M227" t="str" s="36">
        <ns0:v>Symbols\MY_LIB_Connectors.SchLib</ns0:v>
      </ns0:c>
      <ns0:c r="N227" t="str" s="36">
        <ns0:v>CONNFLY_DS1023_2X26</ns0:v>
      </ns0:c>
      <ns0:c r="O227" t="str" s="36">
        <ns0:v>Footprints\MY_LIB_Connectors.PcbLib</ns0:v>
      </ns0:c>
      <ns0:c r="P227" t="str" s="33">
        <ns0:v>Гнездовой, прямой; 52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7" s="33"/>
      <ns0:c r="R227" t="str" s="34">
        <ns0:f>D227</ns0:f>
        <ns0:v>2x26, 2.54 мм</ns0:v>
      </ns0:c>
      <ns0:c r="S227" t="str" s="34">
        <ns0:f>K227</ns0:f>
        <ns0:v>Разъём 2x26, 2.54 мм DS1023</ns0:v>
      </ns0:c>
      <ns0:c r="T227" t="str" s="33">
        <ns0:v>C:\Users\Nomatin\Documents\Altium\MY_LIB\MY_LIB\Datasheets\CONNFLY_DS1023.pdf</ns0:v>
      </ns0:c>
      <ns0:c r="U227" s="33"/>
      <ns0:c r="V227" t="str" s="33">
        <ns0:v>Даташит — локальный</ns0:v>
      </ns0:c>
      <ns0:c r="W227" t="str" s="33">
        <ns0:v>C:\Users\Nomatin\Documents\Altium\MY_LIB\MY_LIB\Datasheets\CONNFLY_DS1023.pdf</ns0:v>
      </ns0:c>
      <ns0:c r="X227" t="str" s="33">
        <ns0:v>Даташит — производитель</ns0:v>
      </ns0:c>
      <ns0:c r="Y227" t="str" s="33">
        <ns0:v>https://en.connfly.com/static/upload/file/pdf/DS1023.pdf</ns0:v>
      </ns0:c>
      <ns0:c r="Z227" t="str" s="33">
        <ns0:v>C:\Users\Nomatin\Documents\Altium\MY_LIB\MY_LIB\Datasheets\CONNFLY_DS1023.pdf</ns0:v>
      </ns0:c>
    </ns0:row>
    <ns0:row xmlns:ns0="http://schemas.openxmlformats.org/spreadsheetml/2006/main" r="228" ht="85" customHeight="1">
      <ns0:c r="A228" t="str" s="33">
        <ns0:v>XS0067</ns0:v>
      </ns0:c>
      <ns0:c r="B228" t="str" s="33">
        <ns0:v>Разъём</ns0:v>
      </ns0:c>
      <ns0:c r="C228" t="str" s="33">
        <ns0:v>2x27, 2.54 мм</ns0:v>
      </ns0:c>
      <ns0:c r="D228" t="str" s="34">
        <ns0:f>C228</ns0:f>
        <ns0:v>2x27, 2.54 мм</ns0:v>
      </ns0:c>
      <ns0:c r="E228" s="33"/>
      <ns0:c r="F228" s="33"/>
      <ns0:c r="G228" s="33"/>
      <ns0:c r="H228" t="str" s="35">
        <ns0:v>2x27, P2.54, THT, прямой</ns0:v>
      </ns0:c>
      <ns0:c r="I228" t="str" s="33">
        <ns0:v>CONNFLY</ns0:v>
      </ns0:c>
      <ns0:c r="J228" t="str" s="33">
        <ns0:v>DS1023</ns0:v>
      </ns0:c>
      <ns0:c r="K228" t="str" s="34">
        <ns0:f>B228&amp;" "&amp;D228&amp;" "&amp;J228</ns0:f>
        <ns0:v>Разъём 2x27, 2.54 мм DS1023</ns0:v>
      </ns0:c>
      <ns0:c r="L228" t="str" s="36">
        <ns0:v>XS_54</ns0:v>
      </ns0:c>
      <ns0:c r="M228" t="str" s="36">
        <ns0:v>Symbols\MY_LIB_Connectors.SchLib</ns0:v>
      </ns0:c>
      <ns0:c r="N228" t="str" s="36">
        <ns0:v>CONNFLY_DS1023_2X27</ns0:v>
      </ns0:c>
      <ns0:c r="O228" t="str" s="36">
        <ns0:v>Footprints\MY_LIB_Connectors.PcbLib</ns0:v>
      </ns0:c>
      <ns0:c r="P228" t="str" s="33">
        <ns0:v>Гнездовой, прямой; 54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8" s="33"/>
      <ns0:c r="R228" t="str" s="34">
        <ns0:f>D228</ns0:f>
        <ns0:v>2x27, 2.54 мм</ns0:v>
      </ns0:c>
      <ns0:c r="S228" t="str" s="34">
        <ns0:f>K228</ns0:f>
        <ns0:v>Разъём 2x27, 2.54 мм DS1023</ns0:v>
      </ns0:c>
      <ns0:c r="T228" t="str" s="33">
        <ns0:v>C:\Users\Nomatin\Documents\Altium\MY_LIB\MY_LIB\Datasheets\CONNFLY_DS1023.pdf</ns0:v>
      </ns0:c>
      <ns0:c r="U228" s="33"/>
      <ns0:c r="V228" t="str" s="33">
        <ns0:v>Даташит — локальный</ns0:v>
      </ns0:c>
      <ns0:c r="W228" t="str" s="33">
        <ns0:v>C:\Users\Nomatin\Documents\Altium\MY_LIB\MY_LIB\Datasheets\CONNFLY_DS1023.pdf</ns0:v>
      </ns0:c>
      <ns0:c r="X228" t="str" s="33">
        <ns0:v>Даташит — производитель</ns0:v>
      </ns0:c>
      <ns0:c r="Y228" t="str" s="33">
        <ns0:v>https://en.connfly.com/static/upload/file/pdf/DS1023.pdf</ns0:v>
      </ns0:c>
      <ns0:c r="Z228" t="str" s="33">
        <ns0:v>C:\Users\Nomatin\Documents\Altium\MY_LIB\MY_LIB\Datasheets\CONNFLY_DS1023.pdf</ns0:v>
      </ns0:c>
    </ns0:row>
    <ns0:row xmlns:ns0="http://schemas.openxmlformats.org/spreadsheetml/2006/main" r="229" ht="85" customHeight="1">
      <ns0:c r="A229" t="str" s="33">
        <ns0:v>XS0068</ns0:v>
      </ns0:c>
      <ns0:c r="B229" t="str" s="33">
        <ns0:v>Разъём</ns0:v>
      </ns0:c>
      <ns0:c r="C229" t="str" s="33">
        <ns0:v>2x28, 2.54 мм</ns0:v>
      </ns0:c>
      <ns0:c r="D229" t="str" s="34">
        <ns0:f>C229</ns0:f>
        <ns0:v>2x28, 2.54 мм</ns0:v>
      </ns0:c>
      <ns0:c r="E229" s="33"/>
      <ns0:c r="F229" s="33"/>
      <ns0:c r="G229" s="33"/>
      <ns0:c r="H229" t="str" s="35">
        <ns0:v>2x28, P2.54, THT, прямой</ns0:v>
      </ns0:c>
      <ns0:c r="I229" t="str" s="33">
        <ns0:v>CONNFLY</ns0:v>
      </ns0:c>
      <ns0:c r="J229" t="str" s="33">
        <ns0:v>DS1023</ns0:v>
      </ns0:c>
      <ns0:c r="K229" t="str" s="34">
        <ns0:f>B229&amp;" "&amp;D229&amp;" "&amp;J229</ns0:f>
        <ns0:v>Разъём 2x28, 2.54 мм DS1023</ns0:v>
      </ns0:c>
      <ns0:c r="L229" t="str" s="36">
        <ns0:v>XS_56</ns0:v>
      </ns0:c>
      <ns0:c r="M229" t="str" s="36">
        <ns0:v>Symbols\MY_LIB_Connectors.SchLib</ns0:v>
      </ns0:c>
      <ns0:c r="N229" t="str" s="36">
        <ns0:v>CONNFLY_DS1023_2X28</ns0:v>
      </ns0:c>
      <ns0:c r="O229" t="str" s="36">
        <ns0:v>Footprints\MY_LIB_Connectors.PcbLib</ns0:v>
      </ns0:c>
      <ns0:c r="P229" t="str" s="33">
        <ns0:v>Гнездовой, прямой; 56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29" s="33"/>
      <ns0:c r="R229" t="str" s="34">
        <ns0:f>D229</ns0:f>
        <ns0:v>2x28, 2.54 мм</ns0:v>
      </ns0:c>
      <ns0:c r="S229" t="str" s="34">
        <ns0:f>K229</ns0:f>
        <ns0:v>Разъём 2x28, 2.54 мм DS1023</ns0:v>
      </ns0:c>
      <ns0:c r="T229" t="str" s="33">
        <ns0:v>C:\Users\Nomatin\Documents\Altium\MY_LIB\MY_LIB\Datasheets\CONNFLY_DS1023.pdf</ns0:v>
      </ns0:c>
      <ns0:c r="U229" s="33"/>
      <ns0:c r="V229" t="str" s="33">
        <ns0:v>Даташит — локальный</ns0:v>
      </ns0:c>
      <ns0:c r="W229" t="str" s="33">
        <ns0:v>C:\Users\Nomatin\Documents\Altium\MY_LIB\MY_LIB\Datasheets\CONNFLY_DS1023.pdf</ns0:v>
      </ns0:c>
      <ns0:c r="X229" t="str" s="33">
        <ns0:v>Даташит — производитель</ns0:v>
      </ns0:c>
      <ns0:c r="Y229" t="str" s="33">
        <ns0:v>https://en.connfly.com/static/upload/file/pdf/DS1023.pdf</ns0:v>
      </ns0:c>
      <ns0:c r="Z229" t="str" s="33">
        <ns0:v>C:\Users\Nomatin\Documents\Altium\MY_LIB\MY_LIB\Datasheets\CONNFLY_DS1023.pdf</ns0:v>
      </ns0:c>
    </ns0:row>
    <ns0:row xmlns:ns0="http://schemas.openxmlformats.org/spreadsheetml/2006/main" r="230" ht="85" customHeight="1">
      <ns0:c r="A230" t="str" s="33">
        <ns0:v>XS0069</ns0:v>
      </ns0:c>
      <ns0:c r="B230" t="str" s="33">
        <ns0:v>Разъём</ns0:v>
      </ns0:c>
      <ns0:c r="C230" t="str" s="33">
        <ns0:v>2x29, 2.54 мм</ns0:v>
      </ns0:c>
      <ns0:c r="D230" t="str" s="34">
        <ns0:f>C230</ns0:f>
        <ns0:v>2x29, 2.54 мм</ns0:v>
      </ns0:c>
      <ns0:c r="E230" s="33"/>
      <ns0:c r="F230" s="33"/>
      <ns0:c r="G230" s="33"/>
      <ns0:c r="H230" t="str" s="35">
        <ns0:v>2x29, P2.54, THT, прямой</ns0:v>
      </ns0:c>
      <ns0:c r="I230" t="str" s="33">
        <ns0:v>CONNFLY</ns0:v>
      </ns0:c>
      <ns0:c r="J230" t="str" s="33">
        <ns0:v>DS1023</ns0:v>
      </ns0:c>
      <ns0:c r="K230" t="str" s="34">
        <ns0:f>B230&amp;" "&amp;D230&amp;" "&amp;J230</ns0:f>
        <ns0:v>Разъём 2x29, 2.54 мм DS1023</ns0:v>
      </ns0:c>
      <ns0:c r="L230" t="str" s="36">
        <ns0:v>XS_58</ns0:v>
      </ns0:c>
      <ns0:c r="M230" t="str" s="36">
        <ns0:v>Symbols\MY_LIB_Connectors.SchLib</ns0:v>
      </ns0:c>
      <ns0:c r="N230" t="str" s="36">
        <ns0:v>CONNFLY_DS1023_2X29</ns0:v>
      </ns0:c>
      <ns0:c r="O230" t="str" s="36">
        <ns0:v>Footprints\MY_LIB_Connectors.PcbLib</ns0:v>
      </ns0:c>
      <ns0:c r="P230" t="str" s="33">
        <ns0:v>Гнездовой, прямой; 58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0" s="33"/>
      <ns0:c r="R230" t="str" s="34">
        <ns0:f>D230</ns0:f>
        <ns0:v>2x29, 2.54 мм</ns0:v>
      </ns0:c>
      <ns0:c r="S230" t="str" s="34">
        <ns0:f>K230</ns0:f>
        <ns0:v>Разъём 2x29, 2.54 мм DS1023</ns0:v>
      </ns0:c>
      <ns0:c r="T230" t="str" s="33">
        <ns0:v>C:\Users\Nomatin\Documents\Altium\MY_LIB\MY_LIB\Datasheets\CONNFLY_DS1023.pdf</ns0:v>
      </ns0:c>
      <ns0:c r="U230" s="33"/>
      <ns0:c r="V230" t="str" s="33">
        <ns0:v>Даташит — локальный</ns0:v>
      </ns0:c>
      <ns0:c r="W230" t="str" s="33">
        <ns0:v>C:\Users\Nomatin\Documents\Altium\MY_LIB\MY_LIB\Datasheets\CONNFLY_DS1023.pdf</ns0:v>
      </ns0:c>
      <ns0:c r="X230" t="str" s="33">
        <ns0:v>Даташит — производитель</ns0:v>
      </ns0:c>
      <ns0:c r="Y230" t="str" s="33">
        <ns0:v>https://en.connfly.com/static/upload/file/pdf/DS1023.pdf</ns0:v>
      </ns0:c>
      <ns0:c r="Z230" t="str" s="33">
        <ns0:v>C:\Users\Nomatin\Documents\Altium\MY_LIB\MY_LIB\Datasheets\CONNFLY_DS1023.pdf</ns0:v>
      </ns0:c>
    </ns0:row>
    <ns0:row xmlns:ns0="http://schemas.openxmlformats.org/spreadsheetml/2006/main" r="231" ht="85" customHeight="1">
      <ns0:c r="A231" t="str" s="33">
        <ns0:v>XS0070</ns0:v>
      </ns0:c>
      <ns0:c r="B231" t="str" s="33">
        <ns0:v>Разъём</ns0:v>
      </ns0:c>
      <ns0:c r="C231" t="str" s="33">
        <ns0:v>2x30, 2.54 мм</ns0:v>
      </ns0:c>
      <ns0:c r="D231" t="str" s="34">
        <ns0:f>C231</ns0:f>
        <ns0:v>2x30, 2.54 мм</ns0:v>
      </ns0:c>
      <ns0:c r="E231" s="33"/>
      <ns0:c r="F231" s="33"/>
      <ns0:c r="G231" s="33"/>
      <ns0:c r="H231" t="str" s="35">
        <ns0:v>2x30, P2.54, THT, прямой</ns0:v>
      </ns0:c>
      <ns0:c r="I231" t="str" s="33">
        <ns0:v>CONNFLY</ns0:v>
      </ns0:c>
      <ns0:c r="J231" t="str" s="33">
        <ns0:v>DS1023</ns0:v>
      </ns0:c>
      <ns0:c r="K231" t="str" s="34">
        <ns0:f>B231&amp;" "&amp;D231&amp;" "&amp;J231</ns0:f>
        <ns0:v>Разъём 2x30, 2.54 мм DS1023</ns0:v>
      </ns0:c>
      <ns0:c r="L231" t="str" s="36">
        <ns0:v>XS_60</ns0:v>
      </ns0:c>
      <ns0:c r="M231" t="str" s="36">
        <ns0:v>Symbols\MY_LIB_Connectors.SchLib</ns0:v>
      </ns0:c>
      <ns0:c r="N231" t="str" s="36">
        <ns0:v>CONNFLY_DS1023_2X30</ns0:v>
      </ns0:c>
      <ns0:c r="O231" t="str" s="36">
        <ns0:v>Footprints\MY_LIB_Connectors.PcbLib</ns0:v>
      </ns0:c>
      <ns0:c r="P231" t="str" s="33">
        <ns0:v>Гнездовой, прямой; 60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1" s="33"/>
      <ns0:c r="R231" t="str" s="34">
        <ns0:f>D231</ns0:f>
        <ns0:v>2x30, 2.54 мм</ns0:v>
      </ns0:c>
      <ns0:c r="S231" t="str" s="34">
        <ns0:f>K231</ns0:f>
        <ns0:v>Разъём 2x30, 2.54 мм DS1023</ns0:v>
      </ns0:c>
      <ns0:c r="T231" t="str" s="33">
        <ns0:v>C:\Users\Nomatin\Documents\Altium\MY_LIB\MY_LIB\Datasheets\CONNFLY_DS1023.pdf</ns0:v>
      </ns0:c>
      <ns0:c r="U231" s="33"/>
      <ns0:c r="V231" t="str" s="33">
        <ns0:v>Даташит — локальный</ns0:v>
      </ns0:c>
      <ns0:c r="W231" t="str" s="33">
        <ns0:v>C:\Users\Nomatin\Documents\Altium\MY_LIB\MY_LIB\Datasheets\CONNFLY_DS1023.pdf</ns0:v>
      </ns0:c>
      <ns0:c r="X231" t="str" s="33">
        <ns0:v>Даташит — производитель</ns0:v>
      </ns0:c>
      <ns0:c r="Y231" t="str" s="33">
        <ns0:v>https://en.connfly.com/static/upload/file/pdf/DS1023.pdf</ns0:v>
      </ns0:c>
      <ns0:c r="Z231" t="str" s="33">
        <ns0:v>C:\Users\Nomatin\Documents\Altium\MY_LIB\MY_LIB\Datasheets\CONNFLY_DS1023.pdf</ns0:v>
      </ns0:c>
    </ns0:row>
    <ns0:row xmlns:ns0="http://schemas.openxmlformats.org/spreadsheetml/2006/main" r="232" ht="85" customHeight="1">
      <ns0:c r="A232" t="str" s="33">
        <ns0:v>XS0071</ns0:v>
      </ns0:c>
      <ns0:c r="B232" t="str" s="33">
        <ns0:v>Разъём</ns0:v>
      </ns0:c>
      <ns0:c r="C232" t="str" s="33">
        <ns0:v>2x31, 2.54 мм</ns0:v>
      </ns0:c>
      <ns0:c r="D232" t="str" s="34">
        <ns0:f>C232</ns0:f>
        <ns0:v>2x31, 2.54 мм</ns0:v>
      </ns0:c>
      <ns0:c r="E232" s="33"/>
      <ns0:c r="F232" s="33"/>
      <ns0:c r="G232" s="33"/>
      <ns0:c r="H232" t="str" s="35">
        <ns0:v>2x31, P2.54, THT, прямой</ns0:v>
      </ns0:c>
      <ns0:c r="I232" t="str" s="33">
        <ns0:v>CONNFLY</ns0:v>
      </ns0:c>
      <ns0:c r="J232" t="str" s="33">
        <ns0:v>DS1023</ns0:v>
      </ns0:c>
      <ns0:c r="K232" t="str" s="34">
        <ns0:f>B232&amp;" "&amp;D232&amp;" "&amp;J232</ns0:f>
        <ns0:v>Разъём 2x31, 2.54 мм DS1023</ns0:v>
      </ns0:c>
      <ns0:c r="L232" t="str" s="36">
        <ns0:v>XS_62</ns0:v>
      </ns0:c>
      <ns0:c r="M232" t="str" s="36">
        <ns0:v>Symbols\MY_LIB_Connectors.SchLib</ns0:v>
      </ns0:c>
      <ns0:c r="N232" t="str" s="36">
        <ns0:v>CONNFLY_DS1023_2X31</ns0:v>
      </ns0:c>
      <ns0:c r="O232" t="str" s="36">
        <ns0:v>Footprints\MY_LIB_Connectors.PcbLib</ns0:v>
      </ns0:c>
      <ns0:c r="P232" t="str" s="33">
        <ns0:v>Гнездовой, прямой; 62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2" s="33"/>
      <ns0:c r="R232" t="str" s="34">
        <ns0:f>D232</ns0:f>
        <ns0:v>2x31, 2.54 мм</ns0:v>
      </ns0:c>
      <ns0:c r="S232" t="str" s="34">
        <ns0:f>K232</ns0:f>
        <ns0:v>Разъём 2x31, 2.54 мм DS1023</ns0:v>
      </ns0:c>
      <ns0:c r="T232" t="str" s="33">
        <ns0:v>C:\Users\Nomatin\Documents\Altium\MY_LIB\MY_LIB\Datasheets\CONNFLY_DS1023.pdf</ns0:v>
      </ns0:c>
      <ns0:c r="U232" s="33"/>
      <ns0:c r="V232" t="str" s="33">
        <ns0:v>Даташит — локальный</ns0:v>
      </ns0:c>
      <ns0:c r="W232" t="str" s="33">
        <ns0:v>C:\Users\Nomatin\Documents\Altium\MY_LIB\MY_LIB\Datasheets\CONNFLY_DS1023.pdf</ns0:v>
      </ns0:c>
      <ns0:c r="X232" t="str" s="33">
        <ns0:v>Даташит — производитель</ns0:v>
      </ns0:c>
      <ns0:c r="Y232" t="str" s="33">
        <ns0:v>https://en.connfly.com/static/upload/file/pdf/DS1023.pdf</ns0:v>
      </ns0:c>
      <ns0:c r="Z232" t="str" s="33">
        <ns0:v>C:\Users\Nomatin\Documents\Altium\MY_LIB\MY_LIB\Datasheets\CONNFLY_DS1023.pdf</ns0:v>
      </ns0:c>
    </ns0:row>
    <ns0:row xmlns:ns0="http://schemas.openxmlformats.org/spreadsheetml/2006/main" r="233" ht="85" customHeight="1">
      <ns0:c r="A233" t="str" s="33">
        <ns0:v>XS0072</ns0:v>
      </ns0:c>
      <ns0:c r="B233" t="str" s="33">
        <ns0:v>Разъём</ns0:v>
      </ns0:c>
      <ns0:c r="C233" t="str" s="33">
        <ns0:v>2x32, 2.54 мм</ns0:v>
      </ns0:c>
      <ns0:c r="D233" t="str" s="34">
        <ns0:f>C233</ns0:f>
        <ns0:v>2x32, 2.54 мм</ns0:v>
      </ns0:c>
      <ns0:c r="E233" s="33"/>
      <ns0:c r="F233" s="33"/>
      <ns0:c r="G233" s="33"/>
      <ns0:c r="H233" t="str" s="35">
        <ns0:v>2x32, P2.54, THT, прямой</ns0:v>
      </ns0:c>
      <ns0:c r="I233" t="str" s="33">
        <ns0:v>CONNFLY</ns0:v>
      </ns0:c>
      <ns0:c r="J233" t="str" s="33">
        <ns0:v>DS1023</ns0:v>
      </ns0:c>
      <ns0:c r="K233" t="str" s="34">
        <ns0:f>B233&amp;" "&amp;D233&amp;" "&amp;J233</ns0:f>
        <ns0:v>Разъём 2x32, 2.54 мм DS1023</ns0:v>
      </ns0:c>
      <ns0:c r="L233" t="str" s="36">
        <ns0:v>XS_64</ns0:v>
      </ns0:c>
      <ns0:c r="M233" t="str" s="36">
        <ns0:v>Symbols\MY_LIB_Connectors.SchLib</ns0:v>
      </ns0:c>
      <ns0:c r="N233" t="str" s="36">
        <ns0:v>CONNFLY_DS1023_2X32</ns0:v>
      </ns0:c>
      <ns0:c r="O233" t="str" s="36">
        <ns0:v>Footprints\MY_LIB_Connectors.PcbLib</ns0:v>
      </ns0:c>
      <ns0:c r="P233" t="str" s="33">
        <ns0:v>Гнездовой, прямой; 64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3" s="33"/>
      <ns0:c r="R233" t="str" s="34">
        <ns0:f>D233</ns0:f>
        <ns0:v>2x32, 2.54 мм</ns0:v>
      </ns0:c>
      <ns0:c r="S233" t="str" s="34">
        <ns0:f>K233</ns0:f>
        <ns0:v>Разъём 2x32, 2.54 мм DS1023</ns0:v>
      </ns0:c>
      <ns0:c r="T233" t="str" s="33">
        <ns0:v>C:\Users\Nomatin\Documents\Altium\MY_LIB\MY_LIB\Datasheets\CONNFLY_DS1023.pdf</ns0:v>
      </ns0:c>
      <ns0:c r="U233" s="33"/>
      <ns0:c r="V233" t="str" s="33">
        <ns0:v>Даташит — локальный</ns0:v>
      </ns0:c>
      <ns0:c r="W233" t="str" s="33">
        <ns0:v>C:\Users\Nomatin\Documents\Altium\MY_LIB\MY_LIB\Datasheets\CONNFLY_DS1023.pdf</ns0:v>
      </ns0:c>
      <ns0:c r="X233" t="str" s="33">
        <ns0:v>Даташит — производитель</ns0:v>
      </ns0:c>
      <ns0:c r="Y233" t="str" s="33">
        <ns0:v>https://en.connfly.com/static/upload/file/pdf/DS1023.pdf</ns0:v>
      </ns0:c>
      <ns0:c r="Z233" t="str" s="33">
        <ns0:v>C:\Users\Nomatin\Documents\Altium\MY_LIB\MY_LIB\Datasheets\CONNFLY_DS1023.pdf</ns0:v>
      </ns0:c>
    </ns0:row>
    <ns0:row xmlns:ns0="http://schemas.openxmlformats.org/spreadsheetml/2006/main" r="234" ht="85" customHeight="1">
      <ns0:c r="A234" t="str" s="33">
        <ns0:v>XS0073</ns0:v>
      </ns0:c>
      <ns0:c r="B234" t="str" s="33">
        <ns0:v>Разъём</ns0:v>
      </ns0:c>
      <ns0:c r="C234" t="str" s="33">
        <ns0:v>2x33, 2.54 мм</ns0:v>
      </ns0:c>
      <ns0:c r="D234" t="str" s="34">
        <ns0:f>C234</ns0:f>
        <ns0:v>2x33, 2.54 мм</ns0:v>
      </ns0:c>
      <ns0:c r="E234" s="33"/>
      <ns0:c r="F234" s="33"/>
      <ns0:c r="G234" s="33"/>
      <ns0:c r="H234" t="str" s="35">
        <ns0:v>2x33, P2.54, THT, прямой</ns0:v>
      </ns0:c>
      <ns0:c r="I234" t="str" s="33">
        <ns0:v>CONNFLY</ns0:v>
      </ns0:c>
      <ns0:c r="J234" t="str" s="33">
        <ns0:v>DS1023</ns0:v>
      </ns0:c>
      <ns0:c r="K234" t="str" s="34">
        <ns0:f>B234&amp;" "&amp;D234&amp;" "&amp;J234</ns0:f>
        <ns0:v>Разъём 2x33, 2.54 мм DS1023</ns0:v>
      </ns0:c>
      <ns0:c r="L234" t="str" s="36">
        <ns0:v>XS_66</ns0:v>
      </ns0:c>
      <ns0:c r="M234" t="str" s="36">
        <ns0:v>Symbols\MY_LIB_Connectors.SchLib</ns0:v>
      </ns0:c>
      <ns0:c r="N234" t="str" s="36">
        <ns0:v>CONNFLY_DS1023_2X33</ns0:v>
      </ns0:c>
      <ns0:c r="O234" t="str" s="36">
        <ns0:v>Footprints\MY_LIB_Connectors.PcbLib</ns0:v>
      </ns0:c>
      <ns0:c r="P234" t="str" s="33">
        <ns0:v>Гнездовой, прямой; 66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4" s="33"/>
      <ns0:c r="R234" t="str" s="34">
        <ns0:f>D234</ns0:f>
        <ns0:v>2x33, 2.54 мм</ns0:v>
      </ns0:c>
      <ns0:c r="S234" t="str" s="34">
        <ns0:f>K234</ns0:f>
        <ns0:v>Разъём 2x33, 2.54 мм DS1023</ns0:v>
      </ns0:c>
      <ns0:c r="T234" t="str" s="33">
        <ns0:v>C:\Users\Nomatin\Documents\Altium\MY_LIB\MY_LIB\Datasheets\CONNFLY_DS1023.pdf</ns0:v>
      </ns0:c>
      <ns0:c r="U234" s="33"/>
      <ns0:c r="V234" t="str" s="33">
        <ns0:v>Даташит — локальный</ns0:v>
      </ns0:c>
      <ns0:c r="W234" t="str" s="33">
        <ns0:v>C:\Users\Nomatin\Documents\Altium\MY_LIB\MY_LIB\Datasheets\CONNFLY_DS1023.pdf</ns0:v>
      </ns0:c>
      <ns0:c r="X234" t="str" s="33">
        <ns0:v>Даташит — производитель</ns0:v>
      </ns0:c>
      <ns0:c r="Y234" t="str" s="33">
        <ns0:v>https://en.connfly.com/static/upload/file/pdf/DS1023.pdf</ns0:v>
      </ns0:c>
      <ns0:c r="Z234" t="str" s="33">
        <ns0:v>C:\Users\Nomatin\Documents\Altium\MY_LIB\MY_LIB\Datasheets\CONNFLY_DS1023.pdf</ns0:v>
      </ns0:c>
    </ns0:row>
    <ns0:row xmlns:ns0="http://schemas.openxmlformats.org/spreadsheetml/2006/main" r="235" ht="85" customHeight="1">
      <ns0:c r="A235" t="str" s="33">
        <ns0:v>XS0074</ns0:v>
      </ns0:c>
      <ns0:c r="B235" t="str" s="33">
        <ns0:v>Разъём</ns0:v>
      </ns0:c>
      <ns0:c r="C235" t="str" s="33">
        <ns0:v>2x34, 2.54 мм</ns0:v>
      </ns0:c>
      <ns0:c r="D235" t="str" s="34">
        <ns0:f>C235</ns0:f>
        <ns0:v>2x34, 2.54 мм</ns0:v>
      </ns0:c>
      <ns0:c r="E235" s="33"/>
      <ns0:c r="F235" s="33"/>
      <ns0:c r="G235" s="33"/>
      <ns0:c r="H235" t="str" s="35">
        <ns0:v>2x34, P2.54, THT, прямой</ns0:v>
      </ns0:c>
      <ns0:c r="I235" t="str" s="33">
        <ns0:v>CONNFLY</ns0:v>
      </ns0:c>
      <ns0:c r="J235" t="str" s="33">
        <ns0:v>DS1023</ns0:v>
      </ns0:c>
      <ns0:c r="K235" t="str" s="34">
        <ns0:f>B235&amp;" "&amp;D235&amp;" "&amp;J235</ns0:f>
        <ns0:v>Разъём 2x34, 2.54 мм DS1023</ns0:v>
      </ns0:c>
      <ns0:c r="L235" t="str" s="36">
        <ns0:v>XS_68</ns0:v>
      </ns0:c>
      <ns0:c r="M235" t="str" s="36">
        <ns0:v>Symbols\MY_LIB_Connectors.SchLib</ns0:v>
      </ns0:c>
      <ns0:c r="N235" t="str" s="36">
        <ns0:v>CONNFLY_DS1023_2X34</ns0:v>
      </ns0:c>
      <ns0:c r="O235" t="str" s="36">
        <ns0:v>Footprints\MY_LIB_Connectors.PcbLib</ns0:v>
      </ns0:c>
      <ns0:c r="P235" t="str" s="33">
        <ns0:v>Гнездовой, прямой; 68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5" s="33"/>
      <ns0:c r="R235" t="str" s="34">
        <ns0:f>D235</ns0:f>
        <ns0:v>2x34, 2.54 мм</ns0:v>
      </ns0:c>
      <ns0:c r="S235" t="str" s="34">
        <ns0:f>K235</ns0:f>
        <ns0:v>Разъём 2x34, 2.54 мм DS1023</ns0:v>
      </ns0:c>
      <ns0:c r="T235" t="str" s="33">
        <ns0:v>C:\Users\Nomatin\Documents\Altium\MY_LIB\MY_LIB\Datasheets\CONNFLY_DS1023.pdf</ns0:v>
      </ns0:c>
      <ns0:c r="U235" s="33"/>
      <ns0:c r="V235" t="str" s="33">
        <ns0:v>Даташит — локальный</ns0:v>
      </ns0:c>
      <ns0:c r="W235" t="str" s="33">
        <ns0:v>C:\Users\Nomatin\Documents\Altium\MY_LIB\MY_LIB\Datasheets\CONNFLY_DS1023.pdf</ns0:v>
      </ns0:c>
      <ns0:c r="X235" t="str" s="33">
        <ns0:v>Даташит — производитель</ns0:v>
      </ns0:c>
      <ns0:c r="Y235" t="str" s="33">
        <ns0:v>https://en.connfly.com/static/upload/file/pdf/DS1023.pdf</ns0:v>
      </ns0:c>
      <ns0:c r="Z235" t="str" s="33">
        <ns0:v>C:\Users\Nomatin\Documents\Altium\MY_LIB\MY_LIB\Datasheets\CONNFLY_DS1023.pdf</ns0:v>
      </ns0:c>
    </ns0:row>
    <ns0:row xmlns:ns0="http://schemas.openxmlformats.org/spreadsheetml/2006/main" r="236" ht="85" customHeight="1">
      <ns0:c r="A236" t="str" s="33">
        <ns0:v>XS0075</ns0:v>
      </ns0:c>
      <ns0:c r="B236" t="str" s="33">
        <ns0:v>Разъём</ns0:v>
      </ns0:c>
      <ns0:c r="C236" t="str" s="33">
        <ns0:v>2x35, 2.54 мм</ns0:v>
      </ns0:c>
      <ns0:c r="D236" t="str" s="34">
        <ns0:f>C236</ns0:f>
        <ns0:v>2x35, 2.54 мм</ns0:v>
      </ns0:c>
      <ns0:c r="E236" s="33"/>
      <ns0:c r="F236" s="33"/>
      <ns0:c r="G236" s="33"/>
      <ns0:c r="H236" t="str" s="35">
        <ns0:v>2x35, P2.54, THT, прямой</ns0:v>
      </ns0:c>
      <ns0:c r="I236" t="str" s="33">
        <ns0:v>CONNFLY</ns0:v>
      </ns0:c>
      <ns0:c r="J236" t="str" s="33">
        <ns0:v>DS1023</ns0:v>
      </ns0:c>
      <ns0:c r="K236" t="str" s="34">
        <ns0:f>B236&amp;" "&amp;D236&amp;" "&amp;J236</ns0:f>
        <ns0:v>Разъём 2x35, 2.54 мм DS1023</ns0:v>
      </ns0:c>
      <ns0:c r="L236" t="str" s="36">
        <ns0:v>XS_70</ns0:v>
      </ns0:c>
      <ns0:c r="M236" t="str" s="36">
        <ns0:v>Symbols\MY_LIB_Connectors.SchLib</ns0:v>
      </ns0:c>
      <ns0:c r="N236" t="str" s="36">
        <ns0:v>CONNFLY_DS1023_2X35</ns0:v>
      </ns0:c>
      <ns0:c r="O236" t="str" s="36">
        <ns0:v>Footprints\MY_LIB_Connectors.PcbLib</ns0:v>
      </ns0:c>
      <ns0:c r="P236" t="str" s="33">
        <ns0:v>Гнездовой, прямой; 70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6" s="33"/>
      <ns0:c r="R236" t="str" s="34">
        <ns0:f>D236</ns0:f>
        <ns0:v>2x35, 2.54 мм</ns0:v>
      </ns0:c>
      <ns0:c r="S236" t="str" s="34">
        <ns0:f>K236</ns0:f>
        <ns0:v>Разъём 2x35, 2.54 мм DS1023</ns0:v>
      </ns0:c>
      <ns0:c r="T236" t="str" s="33">
        <ns0:v>C:\Users\Nomatin\Documents\Altium\MY_LIB\MY_LIB\Datasheets\CONNFLY_DS1023.pdf</ns0:v>
      </ns0:c>
      <ns0:c r="U236" s="33"/>
      <ns0:c r="V236" t="str" s="33">
        <ns0:v>Даташит — локальный</ns0:v>
      </ns0:c>
      <ns0:c r="W236" t="str" s="33">
        <ns0:v>C:\Users\Nomatin\Documents\Altium\MY_LIB\MY_LIB\Datasheets\CONNFLY_DS1023.pdf</ns0:v>
      </ns0:c>
      <ns0:c r="X236" t="str" s="33">
        <ns0:v>Даташит — производитель</ns0:v>
      </ns0:c>
      <ns0:c r="Y236" t="str" s="33">
        <ns0:v>https://en.connfly.com/static/upload/file/pdf/DS1023.pdf</ns0:v>
      </ns0:c>
      <ns0:c r="Z236" t="str" s="33">
        <ns0:v>C:\Users\Nomatin\Documents\Altium\MY_LIB\MY_LIB\Datasheets\CONNFLY_DS1023.pdf</ns0:v>
      </ns0:c>
    </ns0:row>
    <ns0:row xmlns:ns0="http://schemas.openxmlformats.org/spreadsheetml/2006/main" r="237" ht="85" customHeight="1">
      <ns0:c r="A237" t="str" s="33">
        <ns0:v>XS0076</ns0:v>
      </ns0:c>
      <ns0:c r="B237" t="str" s="33">
        <ns0:v>Разъём</ns0:v>
      </ns0:c>
      <ns0:c r="C237" t="str" s="33">
        <ns0:v>2x36, 2.54 мм</ns0:v>
      </ns0:c>
      <ns0:c r="D237" t="str" s="34">
        <ns0:f>C237</ns0:f>
        <ns0:v>2x36, 2.54 мм</ns0:v>
      </ns0:c>
      <ns0:c r="E237" s="33"/>
      <ns0:c r="F237" s="33"/>
      <ns0:c r="G237" s="33"/>
      <ns0:c r="H237" t="str" s="35">
        <ns0:v>2x36, P2.54, THT, прямой</ns0:v>
      </ns0:c>
      <ns0:c r="I237" t="str" s="33">
        <ns0:v>CONNFLY</ns0:v>
      </ns0:c>
      <ns0:c r="J237" t="str" s="33">
        <ns0:v>DS1023</ns0:v>
      </ns0:c>
      <ns0:c r="K237" t="str" s="34">
        <ns0:f>B237&amp;" "&amp;D237&amp;" "&amp;J237</ns0:f>
        <ns0:v>Разъём 2x36, 2.54 мм DS1023</ns0:v>
      </ns0:c>
      <ns0:c r="L237" t="str" s="36">
        <ns0:v>XS_72</ns0:v>
      </ns0:c>
      <ns0:c r="M237" t="str" s="36">
        <ns0:v>Symbols\MY_LIB_Connectors.SchLib</ns0:v>
      </ns0:c>
      <ns0:c r="N237" t="str" s="36">
        <ns0:v>CONNFLY_DS1023_2X36</ns0:v>
      </ns0:c>
      <ns0:c r="O237" t="str" s="36">
        <ns0:v>Footprints\MY_LIB_Connectors.PcbLib</ns0:v>
      </ns0:c>
      <ns0:c r="P237" t="str" s="33">
        <ns0:v>Гнездовой, прямой; 72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7" s="33"/>
      <ns0:c r="R237" t="str" s="34">
        <ns0:f>D237</ns0:f>
        <ns0:v>2x36, 2.54 мм</ns0:v>
      </ns0:c>
      <ns0:c r="S237" t="str" s="34">
        <ns0:f>K237</ns0:f>
        <ns0:v>Разъём 2x36, 2.54 мм DS1023</ns0:v>
      </ns0:c>
      <ns0:c r="T237" t="str" s="33">
        <ns0:v>C:\Users\Nomatin\Documents\Altium\MY_LIB\MY_LIB\Datasheets\CONNFLY_DS1023.pdf</ns0:v>
      </ns0:c>
      <ns0:c r="U237" s="33"/>
      <ns0:c r="V237" t="str" s="33">
        <ns0:v>Даташит — локальный</ns0:v>
      </ns0:c>
      <ns0:c r="W237" t="str" s="33">
        <ns0:v>C:\Users\Nomatin\Documents\Altium\MY_LIB\MY_LIB\Datasheets\CONNFLY_DS1023.pdf</ns0:v>
      </ns0:c>
      <ns0:c r="X237" t="str" s="33">
        <ns0:v>Даташит — производитель</ns0:v>
      </ns0:c>
      <ns0:c r="Y237" t="str" s="33">
        <ns0:v>https://en.connfly.com/static/upload/file/pdf/DS1023.pdf</ns0:v>
      </ns0:c>
      <ns0:c r="Z237" t="str" s="33">
        <ns0:v>C:\Users\Nomatin\Documents\Altium\MY_LIB\MY_LIB\Datasheets\CONNFLY_DS1023.pdf</ns0:v>
      </ns0:c>
    </ns0:row>
    <ns0:row xmlns:ns0="http://schemas.openxmlformats.org/spreadsheetml/2006/main" r="238" ht="85" customHeight="1">
      <ns0:c r="A238" t="str" s="33">
        <ns0:v>XS0077</ns0:v>
      </ns0:c>
      <ns0:c r="B238" t="str" s="33">
        <ns0:v>Разъём</ns0:v>
      </ns0:c>
      <ns0:c r="C238" t="str" s="33">
        <ns0:v>2x37, 2.54 мм</ns0:v>
      </ns0:c>
      <ns0:c r="D238" t="str" s="34">
        <ns0:f>C238</ns0:f>
        <ns0:v>2x37, 2.54 мм</ns0:v>
      </ns0:c>
      <ns0:c r="E238" s="33"/>
      <ns0:c r="F238" s="33"/>
      <ns0:c r="G238" s="33"/>
      <ns0:c r="H238" t="str" s="35">
        <ns0:v>2x37, P2.54, THT, прямой</ns0:v>
      </ns0:c>
      <ns0:c r="I238" t="str" s="33">
        <ns0:v>CONNFLY</ns0:v>
      </ns0:c>
      <ns0:c r="J238" t="str" s="33">
        <ns0:v>DS1023</ns0:v>
      </ns0:c>
      <ns0:c r="K238" t="str" s="34">
        <ns0:f>B238&amp;" "&amp;D238&amp;" "&amp;J238</ns0:f>
        <ns0:v>Разъём 2x37, 2.54 мм DS1023</ns0:v>
      </ns0:c>
      <ns0:c r="L238" t="str" s="36">
        <ns0:v>XS_74</ns0:v>
      </ns0:c>
      <ns0:c r="M238" t="str" s="36">
        <ns0:v>Symbols\MY_LIB_Connectors.SchLib</ns0:v>
      </ns0:c>
      <ns0:c r="N238" t="str" s="36">
        <ns0:v>CONNFLY_DS1023_2X37</ns0:v>
      </ns0:c>
      <ns0:c r="O238" t="str" s="36">
        <ns0:v>Footprints\MY_LIB_Connectors.PcbLib</ns0:v>
      </ns0:c>
      <ns0:c r="P238" t="str" s="33">
        <ns0:v>Гнездовой, прямой; 74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8" s="33"/>
      <ns0:c r="R238" t="str" s="34">
        <ns0:f>D238</ns0:f>
        <ns0:v>2x37, 2.54 мм</ns0:v>
      </ns0:c>
      <ns0:c r="S238" t="str" s="34">
        <ns0:f>K238</ns0:f>
        <ns0:v>Разъём 2x37, 2.54 мм DS1023</ns0:v>
      </ns0:c>
      <ns0:c r="T238" t="str" s="33">
        <ns0:v>C:\Users\Nomatin\Documents\Altium\MY_LIB\MY_LIB\Datasheets\CONNFLY_DS1023.pdf</ns0:v>
      </ns0:c>
      <ns0:c r="U238" s="33"/>
      <ns0:c r="V238" t="str" s="33">
        <ns0:v>Даташит — локальный</ns0:v>
      </ns0:c>
      <ns0:c r="W238" t="str" s="33">
        <ns0:v>C:\Users\Nomatin\Documents\Altium\MY_LIB\MY_LIB\Datasheets\CONNFLY_DS1023.pdf</ns0:v>
      </ns0:c>
      <ns0:c r="X238" t="str" s="33">
        <ns0:v>Даташит — производитель</ns0:v>
      </ns0:c>
      <ns0:c r="Y238" t="str" s="33">
        <ns0:v>https://en.connfly.com/static/upload/file/pdf/DS1023.pdf</ns0:v>
      </ns0:c>
      <ns0:c r="Z238" t="str" s="33">
        <ns0:v>C:\Users\Nomatin\Documents\Altium\MY_LIB\MY_LIB\Datasheets\CONNFLY_DS1023.pdf</ns0:v>
      </ns0:c>
    </ns0:row>
    <ns0:row xmlns:ns0="http://schemas.openxmlformats.org/spreadsheetml/2006/main" r="239" ht="85" customHeight="1">
      <ns0:c r="A239" t="str" s="33">
        <ns0:v>XS0078</ns0:v>
      </ns0:c>
      <ns0:c r="B239" t="str" s="33">
        <ns0:v>Разъём</ns0:v>
      </ns0:c>
      <ns0:c r="C239" t="str" s="33">
        <ns0:v>2x38, 2.54 мм</ns0:v>
      </ns0:c>
      <ns0:c r="D239" t="str" s="34">
        <ns0:f>C239</ns0:f>
        <ns0:v>2x38, 2.54 мм</ns0:v>
      </ns0:c>
      <ns0:c r="E239" s="33"/>
      <ns0:c r="F239" s="33"/>
      <ns0:c r="G239" s="33"/>
      <ns0:c r="H239" t="str" s="35">
        <ns0:v>2x38, P2.54, THT, прямой</ns0:v>
      </ns0:c>
      <ns0:c r="I239" t="str" s="33">
        <ns0:v>CONNFLY</ns0:v>
      </ns0:c>
      <ns0:c r="J239" t="str" s="33">
        <ns0:v>DS1023</ns0:v>
      </ns0:c>
      <ns0:c r="K239" t="str" s="34">
        <ns0:f>B239&amp;" "&amp;D239&amp;" "&amp;J239</ns0:f>
        <ns0:v>Разъём 2x38, 2.54 мм DS1023</ns0:v>
      </ns0:c>
      <ns0:c r="L239" t="str" s="36">
        <ns0:v>XS_76</ns0:v>
      </ns0:c>
      <ns0:c r="M239" t="str" s="36">
        <ns0:v>Symbols\MY_LIB_Connectors.SchLib</ns0:v>
      </ns0:c>
      <ns0:c r="N239" t="str" s="36">
        <ns0:v>CONNFLY_DS1023_2X38</ns0:v>
      </ns0:c>
      <ns0:c r="O239" t="str" s="36">
        <ns0:v>Footprints\MY_LIB_Connectors.PcbLib</ns0:v>
      </ns0:c>
      <ns0:c r="P239" t="str" s="33">
        <ns0:v>Гнездовой, прямой; 76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39" s="33"/>
      <ns0:c r="R239" t="str" s="34">
        <ns0:f>D239</ns0:f>
        <ns0:v>2x38, 2.54 мм</ns0:v>
      </ns0:c>
      <ns0:c r="S239" t="str" s="34">
        <ns0:f>K239</ns0:f>
        <ns0:v>Разъём 2x38, 2.54 мм DS1023</ns0:v>
      </ns0:c>
      <ns0:c r="T239" t="str" s="33">
        <ns0:v>C:\Users\Nomatin\Documents\Altium\MY_LIB\MY_LIB\Datasheets\CONNFLY_DS1023.pdf</ns0:v>
      </ns0:c>
      <ns0:c r="U239" s="33"/>
      <ns0:c r="V239" t="str" s="33">
        <ns0:v>Даташит — локальный</ns0:v>
      </ns0:c>
      <ns0:c r="W239" t="str" s="33">
        <ns0:v>C:\Users\Nomatin\Documents\Altium\MY_LIB\MY_LIB\Datasheets\CONNFLY_DS1023.pdf</ns0:v>
      </ns0:c>
      <ns0:c r="X239" t="str" s="33">
        <ns0:v>Даташит — производитель</ns0:v>
      </ns0:c>
      <ns0:c r="Y239" t="str" s="33">
        <ns0:v>https://en.connfly.com/static/upload/file/pdf/DS1023.pdf</ns0:v>
      </ns0:c>
      <ns0:c r="Z239" t="str" s="33">
        <ns0:v>C:\Users\Nomatin\Documents\Altium\MY_LIB\MY_LIB\Datasheets\CONNFLY_DS1023.pdf</ns0:v>
      </ns0:c>
    </ns0:row>
    <ns0:row xmlns:ns0="http://schemas.openxmlformats.org/spreadsheetml/2006/main" r="240" ht="85" customHeight="1">
      <ns0:c r="A240" t="str" s="33">
        <ns0:v>XS0079</ns0:v>
      </ns0:c>
      <ns0:c r="B240" t="str" s="33">
        <ns0:v>Разъём</ns0:v>
      </ns0:c>
      <ns0:c r="C240" t="str" s="33">
        <ns0:v>2x39, 2.54 мм</ns0:v>
      </ns0:c>
      <ns0:c r="D240" t="str" s="34">
        <ns0:f>C240</ns0:f>
        <ns0:v>2x39, 2.54 мм</ns0:v>
      </ns0:c>
      <ns0:c r="E240" s="33"/>
      <ns0:c r="F240" s="33"/>
      <ns0:c r="G240" s="33"/>
      <ns0:c r="H240" t="str" s="35">
        <ns0:v>2x39, P2.54, THT, прямой</ns0:v>
      </ns0:c>
      <ns0:c r="I240" t="str" s="33">
        <ns0:v>CONNFLY</ns0:v>
      </ns0:c>
      <ns0:c r="J240" t="str" s="33">
        <ns0:v>DS1023</ns0:v>
      </ns0:c>
      <ns0:c r="K240" t="str" s="34">
        <ns0:f>B240&amp;" "&amp;D240&amp;" "&amp;J240</ns0:f>
        <ns0:v>Разъём 2x39, 2.54 мм DS1023</ns0:v>
      </ns0:c>
      <ns0:c r="L240" t="str" s="36">
        <ns0:v>XS_78</ns0:v>
      </ns0:c>
      <ns0:c r="M240" t="str" s="36">
        <ns0:v>Symbols\MY_LIB_Connectors.SchLib</ns0:v>
      </ns0:c>
      <ns0:c r="N240" t="str" s="36">
        <ns0:v>CONNFLY_DS1023_2X39</ns0:v>
      </ns0:c>
      <ns0:c r="O240" t="str" s="36">
        <ns0:v>Footprints\MY_LIB_Connectors.PcbLib</ns0:v>
      </ns0:c>
      <ns0:c r="P240" t="str" s="33">
        <ns0:v>Гнездовой, прямой; 78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40" s="33"/>
      <ns0:c r="R240" t="str" s="34">
        <ns0:f>D240</ns0:f>
        <ns0:v>2x39, 2.54 мм</ns0:v>
      </ns0:c>
      <ns0:c r="S240" t="str" s="34">
        <ns0:f>K240</ns0:f>
        <ns0:v>Разъём 2x39, 2.54 мм DS1023</ns0:v>
      </ns0:c>
      <ns0:c r="T240" t="str" s="33">
        <ns0:v>C:\Users\Nomatin\Documents\Altium\MY_LIB\MY_LIB\Datasheets\CONNFLY_DS1023.pdf</ns0:v>
      </ns0:c>
      <ns0:c r="U240" s="33"/>
      <ns0:c r="V240" t="str" s="33">
        <ns0:v>Даташит — локальный</ns0:v>
      </ns0:c>
      <ns0:c r="W240" t="str" s="33">
        <ns0:v>C:\Users\Nomatin\Documents\Altium\MY_LIB\MY_LIB\Datasheets\CONNFLY_DS1023.pdf</ns0:v>
      </ns0:c>
      <ns0:c r="X240" t="str" s="33">
        <ns0:v>Даташит — производитель</ns0:v>
      </ns0:c>
      <ns0:c r="Y240" t="str" s="33">
        <ns0:v>https://en.connfly.com/static/upload/file/pdf/DS1023.pdf</ns0:v>
      </ns0:c>
      <ns0:c r="Z240" t="str" s="33">
        <ns0:v>C:\Users\Nomatin\Documents\Altium\MY_LIB\MY_LIB\Datasheets\CONNFLY_DS1023.pdf</ns0:v>
      </ns0:c>
    </ns0:row>
    <ns0:row xmlns:ns0="http://schemas.openxmlformats.org/spreadsheetml/2006/main" r="241" ht="85" customHeight="1">
      <ns0:c r="A241" t="str" s="33">
        <ns0:v>XS0080</ns0:v>
      </ns0:c>
      <ns0:c r="B241" t="str" s="33">
        <ns0:v>Разъём</ns0:v>
      </ns0:c>
      <ns0:c r="C241" t="str" s="33">
        <ns0:v>2x40, 2.54 мм</ns0:v>
      </ns0:c>
      <ns0:c r="D241" t="str" s="34">
        <ns0:f>C241</ns0:f>
        <ns0:v>2x40, 2.54 мм</ns0:v>
      </ns0:c>
      <ns0:c r="E241" s="33"/>
      <ns0:c r="F241" s="33"/>
      <ns0:c r="G241" s="33"/>
      <ns0:c r="H241" t="str" s="35">
        <ns0:v>2x40, P2.54, THT, прямой</ns0:v>
      </ns0:c>
      <ns0:c r="I241" t="str" s="33">
        <ns0:v>CONNFLY</ns0:v>
      </ns0:c>
      <ns0:c r="J241" t="str" s="33">
        <ns0:v>DS1023</ns0:v>
      </ns0:c>
      <ns0:c r="K241" t="str" s="34">
        <ns0:f>B241&amp;" "&amp;D241&amp;" "&amp;J241</ns0:f>
        <ns0:v>Разъём 2x40, 2.54 мм DS1023</ns0:v>
      </ns0:c>
      <ns0:c r="L241" t="str" s="36">
        <ns0:v>XS_80</ns0:v>
      </ns0:c>
      <ns0:c r="M241" t="str" s="36">
        <ns0:v>Symbols\MY_LIB_Connectors.SchLib</ns0:v>
      </ns0:c>
      <ns0:c r="N241" t="str" s="36">
        <ns0:v>CONNFLY_DS1023_2X40</ns0:v>
      </ns0:c>
      <ns0:c r="O241" t="str" s="36">
        <ns0:v>Footprints\MY_LIB_Connectors.PcbLib</ns0:v>
      </ns0:c>
      <ns0:c r="P241" t="str" s="33">
        <ns0:v>Гнездовой, прямой; 80 контактов. MPN указан как серия; полный заказной код зависит от длины выводов и покрытия. Стандартная модель KiCad, не точная модель Connfly. Отверстия Ø1 мм.</ns0:v>
      </ns0:c>
      <ns0:c r="Q241" s="33"/>
      <ns0:c r="R241" t="str" s="34">
        <ns0:f>D241</ns0:f>
        <ns0:v>2x40, 2.54 мм</ns0:v>
      </ns0:c>
      <ns0:c r="S241" t="str" s="34">
        <ns0:f>K241</ns0:f>
        <ns0:v>Разъём 2x40, 2.54 мм DS1023</ns0:v>
      </ns0:c>
      <ns0:c r="T241" t="str" s="33">
        <ns0:v>C:\Users\Nomatin\Documents\Altium\MY_LIB\MY_LIB\Datasheets\CONNFLY_DS1023.pdf</ns0:v>
      </ns0:c>
      <ns0:c r="U241" s="33"/>
      <ns0:c r="V241" t="str" s="33">
        <ns0:v>Даташит — локальный</ns0:v>
      </ns0:c>
      <ns0:c r="W241" t="str" s="33">
        <ns0:v>C:\Users\Nomatin\Documents\Altium\MY_LIB\MY_LIB\Datasheets\CONNFLY_DS1023.pdf</ns0:v>
      </ns0:c>
      <ns0:c r="X241" t="str" s="33">
        <ns0:v>Даташит — производитель</ns0:v>
      </ns0:c>
      <ns0:c r="Y241" t="str" s="33">
        <ns0:v>https://en.connfly.com/static/upload/file/pdf/DS1023.pdf</ns0:v>
      </ns0:c>
      <ns0:c r="Z241" t="str" s="33">
        <ns0:v>C:\Users\Nomatin\Documents\Altium\MY_LIB\MY_LIB\Datasheets\CONNFLY_DS1023.pdf</ns0:v>
      </ns0:c>
    </ns0:row>
    <ns0:row xmlns:ns0="http://schemas.openxmlformats.org/spreadsheetml/2006/main" r="242">
      <ns0:c r="A242" t="str" s="33">
        <ns0:v>XP0161</ns0:v>
      </ns0:c>
      <ns0:c r="B242" t="str" s="33">
        <ns0:v>Разъём</ns0:v>
      </ns0:c>
      <ns0:c r="C242" t="str" s="33">
        <ns0:v>JST PH, 1x10, 2,0 мм</ns0:v>
      </ns0:c>
      <ns0:c r="D242" t="str" s="34">
        <ns0:f>C242</ns0:f>
        <ns0:v>JST PH, 1x10, 2,0 мм</ns0:v>
      </ns0:c>
      <ns0:c r="E242" s="33"/>
      <ns0:c r="F242" s="33"/>
      <ns0:c r="G242" s="33"/>
      <ns0:c r="H242" t="str" s="35">
        <ns0:v>1x10, P2,0, THT, прямой</ns0:v>
      </ns0:c>
      <ns0:c r="I242" t="str" s="33">
        <ns0:v>JST</ns0:v>
      </ns0:c>
      <ns0:c r="J242" t="str" s="33">
        <ns0:v>B10B-PH-K</ns0:v>
      </ns0:c>
      <ns0:c r="K242" t="str" s="34">
        <ns0:f>B242&amp;" "&amp;D242&amp;" "&amp;J242</ns0:f>
        <ns0:v>Разъём JST PH, 1x10, 2,0 мм B10B-PH-K</ns0:v>
      </ns0:c>
      <ns0:c r="L242" t="str" s="36">
        <ns0:v>XP_10</ns0:v>
      </ns0:c>
      <ns0:c r="M242" t="str" s="36">
        <ns0:v>Symbols\MY_LIB_Connectors.SchLib</ns0:v>
      </ns0:c>
      <ns0:c r="N242" t="str" s="36">
        <ns0:v>JST_PH_B10B-PH-K</ns0:v>
      </ns0:c>
      <ns0:c r="O242" t="str" s="36">
        <ns0:v>Footprints\MY_LIB_Connectors.PcbLib</ns0:v>
      </ns0:c>
      <ns0:c r="P242" t="str" s="33">
        <ns0:v>Штыревой; 10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2" s="33"/>
      <ns0:c r="R242" t="str" s="34">
        <ns0:f>D242</ns0:f>
        <ns0:v>JST PH, 1x10, 2,0 мм</ns0:v>
      </ns0:c>
      <ns0:c r="S242" t="str" s="34">
        <ns0:f>K242</ns0:f>
        <ns0:v>Разъём JST PH, 1x10, 2,0 мм B10B-PH-K</ns0:v>
      </ns0:c>
      <ns0:c r="T242" t="str" s="33">
        <ns0:v>C:\Users\Nomatin\Documents\Altium\MY_LIB\MY_LIB\Datasheets\JST_PH.pdf</ns0:v>
      </ns0:c>
      <ns0:c r="U242" s="33"/>
      <ns0:c r="V242" t="str" s="33">
        <ns0:v>Даташит — локальный</ns0:v>
      </ns0:c>
      <ns0:c r="W242" t="str" s="33">
        <ns0:v>C:\Users\Nomatin\Documents\Altium\MY_LIB\MY_LIB\Datasheets\JST_PH.pdf</ns0:v>
      </ns0:c>
      <ns0:c r="X242" t="str" s="33">
        <ns0:v>Даташит — производитель</ns0:v>
      </ns0:c>
      <ns0:c r="Y242" t="str" s="33">
        <ns0:v>https://www.jst-mfg.com/product/pdf/eng/ePH.pdf</ns0:v>
      </ns0:c>
      <ns0:c r="Z242" t="str" s="33">
        <ns0:v>C:\Users\Nomatin\Documents\Altium\MY_LIB\MY_LIB\Datasheets\JST_PH.pdf</ns0:v>
      </ns0:c>
    </ns0:row>
    <ns0:row xmlns:ns0="http://schemas.openxmlformats.org/spreadsheetml/2006/main" r="243">
      <ns0:c r="A243" t="str" s="33">
        <ns0:v>XP0162</ns0:v>
      </ns0:c>
      <ns0:c r="B243" t="str" s="33">
        <ns0:v>Разъём</ns0:v>
      </ns0:c>
      <ns0:c r="C243" t="str" s="33">
        <ns0:v>JST PH, 1x10, 2,0 мм</ns0:v>
      </ns0:c>
      <ns0:c r="D243" t="str" s="34">
        <ns0:f>C243</ns0:f>
        <ns0:v>JST PH, 1x10, 2,0 мм</ns0:v>
      </ns0:c>
      <ns0:c r="E243" s="33"/>
      <ns0:c r="F243" s="33"/>
      <ns0:c r="G243" s="33"/>
      <ns0:c r="H243" t="str" s="35">
        <ns0:v>1x10, P2,0, SMD, прямой</ns0:v>
      </ns0:c>
      <ns0:c r="I243" t="str" s="33">
        <ns0:v>JST</ns0:v>
      </ns0:c>
      <ns0:c r="J243" t="str" s="33">
        <ns0:v>B10B-PH-SM4-TB</ns0:v>
      </ns0:c>
      <ns0:c r="K243" t="str" s="34">
        <ns0:f>B243&amp;" "&amp;D243&amp;" "&amp;J243</ns0:f>
        <ns0:v>Разъём JST PH, 1x10, 2,0 мм B10B-PH-SM4-TB</ns0:v>
      </ns0:c>
      <ns0:c r="L243" t="str" s="36">
        <ns0:v>XP_10_MP</ns0:v>
      </ns0:c>
      <ns0:c r="M243" t="str" s="36">
        <ns0:v>Symbols\MY_LIB_Connectors.SchLib</ns0:v>
      </ns0:c>
      <ns0:c r="N243" t="str" s="36">
        <ns0:v>JST_PH_B10B-PH-SM4-TB</ns0:v>
      </ns0:c>
      <ns0:c r="O243" t="str" s="36">
        <ns0:v>Footprints\MY_LIB_Connectors.PcbLib</ns0:v>
      </ns0:c>
      <ns0:c r="P243" t="str" s="33">
        <ns0:v>Штыревой; 10 сигнальных контактов, шаг 2,0 мм; прямой, SMD. Контакт 11: Name=MP; обе металлические площадки имеют номер 11.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3" s="33"/>
      <ns0:c r="R243" t="str" s="34">
        <ns0:f>D243</ns0:f>
        <ns0:v>JST PH, 1x10, 2,0 мм</ns0:v>
      </ns0:c>
      <ns0:c r="S243" t="str" s="34">
        <ns0:f>K243</ns0:f>
        <ns0:v>Разъём JST PH, 1x10, 2,0 мм B10B-PH-SM4-TB</ns0:v>
      </ns0:c>
      <ns0:c r="T243" t="str" s="33">
        <ns0:v>C:\Users\Nomatin\Documents\Altium\MY_LIB\MY_LIB\Datasheets\JST_PH.pdf</ns0:v>
      </ns0:c>
      <ns0:c r="U243" s="33"/>
      <ns0:c r="V243" t="str" s="33">
        <ns0:v>Даташит — локальный</ns0:v>
      </ns0:c>
      <ns0:c r="W243" t="str" s="33">
        <ns0:v>C:\Users\Nomatin\Documents\Altium\MY_LIB\MY_LIB\Datasheets\JST_PH.pdf</ns0:v>
      </ns0:c>
      <ns0:c r="X243" t="str" s="33">
        <ns0:v>Даташит — производитель</ns0:v>
      </ns0:c>
      <ns0:c r="Y243" t="str" s="33">
        <ns0:v>https://www.jst-mfg.com/product/pdf/eng/ePH.pdf</ns0:v>
      </ns0:c>
      <ns0:c r="Z243" t="str" s="33">
        <ns0:v>C:\Users\Nomatin\Documents\Altium\MY_LIB\MY_LIB\Datasheets\JST_PH.pdf</ns0:v>
      </ns0:c>
    </ns0:row>
    <ns0:row xmlns:ns0="http://schemas.openxmlformats.org/spreadsheetml/2006/main" r="244">
      <ns0:c r="A244" t="str" s="33">
        <ns0:v>XP0163</ns0:v>
      </ns0:c>
      <ns0:c r="B244" t="str" s="33">
        <ns0:v>Разъём</ns0:v>
      </ns0:c>
      <ns0:c r="C244" t="str" s="33">
        <ns0:v>JST PH, 1x11, 2,0 мм</ns0:v>
      </ns0:c>
      <ns0:c r="D244" t="str" s="34">
        <ns0:f>C244</ns0:f>
        <ns0:v>JST PH, 1x11, 2,0 мм</ns0:v>
      </ns0:c>
      <ns0:c r="E244" s="33"/>
      <ns0:c r="F244" s="33"/>
      <ns0:c r="G244" s="33"/>
      <ns0:c r="H244" t="str" s="35">
        <ns0:v>1x11, P2,0, THT, прямой</ns0:v>
      </ns0:c>
      <ns0:c r="I244" t="str" s="33">
        <ns0:v>JST</ns0:v>
      </ns0:c>
      <ns0:c r="J244" t="str" s="33">
        <ns0:v>B11B-PH-K</ns0:v>
      </ns0:c>
      <ns0:c r="K244" t="str" s="34">
        <ns0:f>B244&amp;" "&amp;D244&amp;" "&amp;J244</ns0:f>
        <ns0:v>Разъём JST PH, 1x11, 2,0 мм B11B-PH-K</ns0:v>
      </ns0:c>
      <ns0:c r="L244" t="str" s="36">
        <ns0:v>XP_11</ns0:v>
      </ns0:c>
      <ns0:c r="M244" t="str" s="36">
        <ns0:v>Symbols\MY_LIB_Connectors.SchLib</ns0:v>
      </ns0:c>
      <ns0:c r="N244" t="str" s="36">
        <ns0:v>JST_PH_B11B-PH-K</ns0:v>
      </ns0:c>
      <ns0:c r="O244" t="str" s="36">
        <ns0:v>Footprints\MY_LIB_Connectors.PcbLib</ns0:v>
      </ns0:c>
      <ns0:c r="P244" t="str" s="33">
        <ns0:v>Штыревой; 11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4" s="33"/>
      <ns0:c r="R244" t="str" s="34">
        <ns0:f>D244</ns0:f>
        <ns0:v>JST PH, 1x11, 2,0 мм</ns0:v>
      </ns0:c>
      <ns0:c r="S244" t="str" s="34">
        <ns0:f>K244</ns0:f>
        <ns0:v>Разъём JST PH, 1x11, 2,0 мм B11B-PH-K</ns0:v>
      </ns0:c>
      <ns0:c r="T244" t="str" s="33">
        <ns0:v>C:\Users\Nomatin\Documents\Altium\MY_LIB\MY_LIB\Datasheets\JST_PH.pdf</ns0:v>
      </ns0:c>
      <ns0:c r="U244" s="33"/>
      <ns0:c r="V244" t="str" s="33">
        <ns0:v>Даташит — локальный</ns0:v>
      </ns0:c>
      <ns0:c r="W244" t="str" s="33">
        <ns0:v>C:\Users\Nomatin\Documents\Altium\MY_LIB\MY_LIB\Datasheets\JST_PH.pdf</ns0:v>
      </ns0:c>
      <ns0:c r="X244" t="str" s="33">
        <ns0:v>Даташит — производитель</ns0:v>
      </ns0:c>
      <ns0:c r="Y244" t="str" s="33">
        <ns0:v>https://www.jst-mfg.com/product/pdf/eng/ePH.pdf</ns0:v>
      </ns0:c>
      <ns0:c r="Z244" t="str" s="33">
        <ns0:v>C:\Users\Nomatin\Documents\Altium\MY_LIB\MY_LIB\Datasheets\JST_PH.pdf</ns0:v>
      </ns0:c>
    </ns0:row>
    <ns0:row xmlns:ns0="http://schemas.openxmlformats.org/spreadsheetml/2006/main" r="245">
      <ns0:c r="A245" t="str" s="33">
        <ns0:v>XP0164</ns0:v>
      </ns0:c>
      <ns0:c r="B245" t="str" s="33">
        <ns0:v>Разъём</ns0:v>
      </ns0:c>
      <ns0:c r="C245" t="str" s="33">
        <ns0:v>JST PH, 1x11, 2,0 мм</ns0:v>
      </ns0:c>
      <ns0:c r="D245" t="str" s="34">
        <ns0:f>C245</ns0:f>
        <ns0:v>JST PH, 1x11, 2,0 мм</ns0:v>
      </ns0:c>
      <ns0:c r="E245" s="33"/>
      <ns0:c r="F245" s="33"/>
      <ns0:c r="G245" s="33"/>
      <ns0:c r="H245" t="str" s="35">
        <ns0:v>1x11, P2,0, SMD, прямой</ns0:v>
      </ns0:c>
      <ns0:c r="I245" t="str" s="33">
        <ns0:v>JST</ns0:v>
      </ns0:c>
      <ns0:c r="J245" t="str" s="33">
        <ns0:v>B11B-PH-SM4-TB</ns0:v>
      </ns0:c>
      <ns0:c r="K245" t="str" s="34">
        <ns0:f>B245&amp;" "&amp;D245&amp;" "&amp;J245</ns0:f>
        <ns0:v>Разъём JST PH, 1x11, 2,0 мм B11B-PH-SM4-TB</ns0:v>
      </ns0:c>
      <ns0:c r="L245" t="str" s="36">
        <ns0:v>XP_11_MP</ns0:v>
      </ns0:c>
      <ns0:c r="M245" t="str" s="36">
        <ns0:v>Symbols\MY_LIB_Connectors.SchLib</ns0:v>
      </ns0:c>
      <ns0:c r="N245" t="str" s="36">
        <ns0:v>JST_PH_B11B-PH-SM4-TB</ns0:v>
      </ns0:c>
      <ns0:c r="O245" t="str" s="36">
        <ns0:v>Footprints\MY_LIB_Connectors.PcbLib</ns0:v>
      </ns0:c>
      <ns0:c r="P245" t="str" s="33">
        <ns0:v>Штыревой; 11 сигнальных контактов, шаг 2,0 мм; прямой, SMD. Контакт 12: Name=MP; обе металлические площадки имеют номер 12.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5" s="33"/>
      <ns0:c r="R245" t="str" s="34">
        <ns0:f>D245</ns0:f>
        <ns0:v>JST PH, 1x11, 2,0 мм</ns0:v>
      </ns0:c>
      <ns0:c r="S245" t="str" s="34">
        <ns0:f>K245</ns0:f>
        <ns0:v>Разъём JST PH, 1x11, 2,0 мм B11B-PH-SM4-TB</ns0:v>
      </ns0:c>
      <ns0:c r="T245" t="str" s="33">
        <ns0:v>C:\Users\Nomatin\Documents\Altium\MY_LIB\MY_LIB\Datasheets\JST_PH.pdf</ns0:v>
      </ns0:c>
      <ns0:c r="U245" s="33"/>
      <ns0:c r="V245" t="str" s="33">
        <ns0:v>Даташит — локальный</ns0:v>
      </ns0:c>
      <ns0:c r="W245" t="str" s="33">
        <ns0:v>C:\Users\Nomatin\Documents\Altium\MY_LIB\MY_LIB\Datasheets\JST_PH.pdf</ns0:v>
      </ns0:c>
      <ns0:c r="X245" t="str" s="33">
        <ns0:v>Даташит — производитель</ns0:v>
      </ns0:c>
      <ns0:c r="Y245" t="str" s="33">
        <ns0:v>https://www.jst-mfg.com/product/pdf/eng/ePH.pdf</ns0:v>
      </ns0:c>
      <ns0:c r="Z245" t="str" s="33">
        <ns0:v>C:\Users\Nomatin\Documents\Altium\MY_LIB\MY_LIB\Datasheets\JST_PH.pdf</ns0:v>
      </ns0:c>
    </ns0:row>
    <ns0:row xmlns:ns0="http://schemas.openxmlformats.org/spreadsheetml/2006/main" r="246">
      <ns0:c r="A246" t="str" s="33">
        <ns0:v>XP0165</ns0:v>
      </ns0:c>
      <ns0:c r="B246" t="str" s="33">
        <ns0:v>Разъём</ns0:v>
      </ns0:c>
      <ns0:c r="C246" t="str" s="33">
        <ns0:v>JST PH, 1x12, 2,0 мм</ns0:v>
      </ns0:c>
      <ns0:c r="D246" t="str" s="34">
        <ns0:f>C246</ns0:f>
        <ns0:v>JST PH, 1x12, 2,0 мм</ns0:v>
      </ns0:c>
      <ns0:c r="E246" s="33"/>
      <ns0:c r="F246" s="33"/>
      <ns0:c r="G246" s="33"/>
      <ns0:c r="H246" t="str" s="35">
        <ns0:v>1x12, P2,0, THT, прямой</ns0:v>
      </ns0:c>
      <ns0:c r="I246" t="str" s="33">
        <ns0:v>JST</ns0:v>
      </ns0:c>
      <ns0:c r="J246" t="str" s="33">
        <ns0:v>B12B-PH-K</ns0:v>
      </ns0:c>
      <ns0:c r="K246" t="str" s="34">
        <ns0:f>B246&amp;" "&amp;D246&amp;" "&amp;J246</ns0:f>
        <ns0:v>Разъём JST PH, 1x12, 2,0 мм B12B-PH-K</ns0:v>
      </ns0:c>
      <ns0:c r="L246" t="str" s="36">
        <ns0:v>XP_12</ns0:v>
      </ns0:c>
      <ns0:c r="M246" t="str" s="36">
        <ns0:v>Symbols\MY_LIB_Connectors.SchLib</ns0:v>
      </ns0:c>
      <ns0:c r="N246" t="str" s="36">
        <ns0:v>JST_PH_B12B-PH-K</ns0:v>
      </ns0:c>
      <ns0:c r="O246" t="str" s="36">
        <ns0:v>Footprints\MY_LIB_Connectors.PcbLib</ns0:v>
      </ns0:c>
      <ns0:c r="P246" t="str" s="33">
        <ns0:v>Штыревой; 12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6" s="33"/>
      <ns0:c r="R246" t="str" s="34">
        <ns0:f>D246</ns0:f>
        <ns0:v>JST PH, 1x12, 2,0 мм</ns0:v>
      </ns0:c>
      <ns0:c r="S246" t="str" s="34">
        <ns0:f>K246</ns0:f>
        <ns0:v>Разъём JST PH, 1x12, 2,0 мм B12B-PH-K</ns0:v>
      </ns0:c>
      <ns0:c r="T246" t="str" s="33">
        <ns0:v>C:\Users\Nomatin\Documents\Altium\MY_LIB\MY_LIB\Datasheets\JST_PH.pdf</ns0:v>
      </ns0:c>
      <ns0:c r="U246" s="33"/>
      <ns0:c r="V246" t="str" s="33">
        <ns0:v>Даташит — локальный</ns0:v>
      </ns0:c>
      <ns0:c r="W246" t="str" s="33">
        <ns0:v>C:\Users\Nomatin\Documents\Altium\MY_LIB\MY_LIB\Datasheets\JST_PH.pdf</ns0:v>
      </ns0:c>
      <ns0:c r="X246" t="str" s="33">
        <ns0:v>Даташит — производитель</ns0:v>
      </ns0:c>
      <ns0:c r="Y246" t="str" s="33">
        <ns0:v>https://www.jst-mfg.com/product/pdf/eng/ePH.pdf</ns0:v>
      </ns0:c>
      <ns0:c r="Z246" t="str" s="33">
        <ns0:v>C:\Users\Nomatin\Documents\Altium\MY_LIB\MY_LIB\Datasheets\JST_PH.pdf</ns0:v>
      </ns0:c>
    </ns0:row>
    <ns0:row xmlns:ns0="http://schemas.openxmlformats.org/spreadsheetml/2006/main" r="247">
      <ns0:c r="A247" t="str" s="33">
        <ns0:v>XP0166</ns0:v>
      </ns0:c>
      <ns0:c r="B247" t="str" s="33">
        <ns0:v>Разъём</ns0:v>
      </ns0:c>
      <ns0:c r="C247" t="str" s="33">
        <ns0:v>JST PH, 1x12, 2,0 мм</ns0:v>
      </ns0:c>
      <ns0:c r="D247" t="str" s="34">
        <ns0:f>C247</ns0:f>
        <ns0:v>JST PH, 1x12, 2,0 мм</ns0:v>
      </ns0:c>
      <ns0:c r="E247" s="33"/>
      <ns0:c r="F247" s="33"/>
      <ns0:c r="G247" s="33"/>
      <ns0:c r="H247" t="str" s="35">
        <ns0:v>1x12, P2,0, SMD, прямой</ns0:v>
      </ns0:c>
      <ns0:c r="I247" t="str" s="33">
        <ns0:v>JST</ns0:v>
      </ns0:c>
      <ns0:c r="J247" t="str" s="33">
        <ns0:v>B12B-PH-SM4-TB</ns0:v>
      </ns0:c>
      <ns0:c r="K247" t="str" s="34">
        <ns0:f>B247&amp;" "&amp;D247&amp;" "&amp;J247</ns0:f>
        <ns0:v>Разъём JST PH, 1x12, 2,0 мм B12B-PH-SM4-TB</ns0:v>
      </ns0:c>
      <ns0:c r="L247" t="str" s="36">
        <ns0:v>XP_12_MP</ns0:v>
      </ns0:c>
      <ns0:c r="M247" t="str" s="36">
        <ns0:v>Symbols\MY_LIB_Connectors.SchLib</ns0:v>
      </ns0:c>
      <ns0:c r="N247" t="str" s="36">
        <ns0:v>JST_PH_B12B-PH-SM4-TB</ns0:v>
      </ns0:c>
      <ns0:c r="O247" t="str" s="36">
        <ns0:v>Footprints\MY_LIB_Connectors.PcbLib</ns0:v>
      </ns0:c>
      <ns0:c r="P247" t="str" s="33">
        <ns0:v>Штыревой; 12 сигнальных контактов, шаг 2,0 мм; прямой, SMD. Контакт 13: Name=MP; обе металлические площадки имеют номер 13.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7" s="33"/>
      <ns0:c r="R247" t="str" s="34">
        <ns0:f>D247</ns0:f>
        <ns0:v>JST PH, 1x12, 2,0 мм</ns0:v>
      </ns0:c>
      <ns0:c r="S247" t="str" s="34">
        <ns0:f>K247</ns0:f>
        <ns0:v>Разъём JST PH, 1x12, 2,0 мм B12B-PH-SM4-TB</ns0:v>
      </ns0:c>
      <ns0:c r="T247" t="str" s="33">
        <ns0:v>C:\Users\Nomatin\Documents\Altium\MY_LIB\MY_LIB\Datasheets\JST_PH.pdf</ns0:v>
      </ns0:c>
      <ns0:c r="U247" s="33"/>
      <ns0:c r="V247" t="str" s="33">
        <ns0:v>Даташит — локальный</ns0:v>
      </ns0:c>
      <ns0:c r="W247" t="str" s="33">
        <ns0:v>C:\Users\Nomatin\Documents\Altium\MY_LIB\MY_LIB\Datasheets\JST_PH.pdf</ns0:v>
      </ns0:c>
      <ns0:c r="X247" t="str" s="33">
        <ns0:v>Даташит — производитель</ns0:v>
      </ns0:c>
      <ns0:c r="Y247" t="str" s="33">
        <ns0:v>https://www.jst-mfg.com/product/pdf/eng/ePH.pdf</ns0:v>
      </ns0:c>
      <ns0:c r="Z247" t="str" s="33">
        <ns0:v>C:\Users\Nomatin\Documents\Altium\MY_LIB\MY_LIB\Datasheets\JST_PH.pdf</ns0:v>
      </ns0:c>
    </ns0:row>
    <ns0:row xmlns:ns0="http://schemas.openxmlformats.org/spreadsheetml/2006/main" r="248">
      <ns0:c r="A248" t="str" s="33">
        <ns0:v>XP0167</ns0:v>
      </ns0:c>
      <ns0:c r="B248" t="str" s="33">
        <ns0:v>Разъём</ns0:v>
      </ns0:c>
      <ns0:c r="C248" t="str" s="33">
        <ns0:v>JST PH, 1x13, 2,0 мм</ns0:v>
      </ns0:c>
      <ns0:c r="D248" t="str" s="34">
        <ns0:f>C248</ns0:f>
        <ns0:v>JST PH, 1x13, 2,0 мм</ns0:v>
      </ns0:c>
      <ns0:c r="E248" s="33"/>
      <ns0:c r="F248" s="33"/>
      <ns0:c r="G248" s="33"/>
      <ns0:c r="H248" t="str" s="35">
        <ns0:v>1x13, P2,0, THT, прямой</ns0:v>
      </ns0:c>
      <ns0:c r="I248" t="str" s="33">
        <ns0:v>JST</ns0:v>
      </ns0:c>
      <ns0:c r="J248" t="str" s="33">
        <ns0:v>B13B-PH-K</ns0:v>
      </ns0:c>
      <ns0:c r="K248" t="str" s="34">
        <ns0:f>B248&amp;" "&amp;D248&amp;" "&amp;J248</ns0:f>
        <ns0:v>Разъём JST PH, 1x13, 2,0 мм B13B-PH-K</ns0:v>
      </ns0:c>
      <ns0:c r="L248" t="str" s="36">
        <ns0:v>XP_13</ns0:v>
      </ns0:c>
      <ns0:c r="M248" t="str" s="36">
        <ns0:v>Symbols\MY_LIB_Connectors.SchLib</ns0:v>
      </ns0:c>
      <ns0:c r="N248" t="str" s="36">
        <ns0:v>JST_PH_B13B-PH-K</ns0:v>
      </ns0:c>
      <ns0:c r="O248" t="str" s="36">
        <ns0:v>Footprints\MY_LIB_Connectors.PcbLib</ns0:v>
      </ns0:c>
      <ns0:c r="P248" t="str" s="33">
        <ns0:v>Штыревой; 13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8" s="33"/>
      <ns0:c r="R248" t="str" s="34">
        <ns0:f>D248</ns0:f>
        <ns0:v>JST PH, 1x13, 2,0 мм</ns0:v>
      </ns0:c>
      <ns0:c r="S248" t="str" s="34">
        <ns0:f>K248</ns0:f>
        <ns0:v>Разъём JST PH, 1x13, 2,0 мм B13B-PH-K</ns0:v>
      </ns0:c>
      <ns0:c r="T248" t="str" s="33">
        <ns0:v>C:\Users\Nomatin\Documents\Altium\MY_LIB\MY_LIB\Datasheets\JST_PH.pdf</ns0:v>
      </ns0:c>
      <ns0:c r="U248" s="33"/>
      <ns0:c r="V248" t="str" s="33">
        <ns0:v>Даташит — локальный</ns0:v>
      </ns0:c>
      <ns0:c r="W248" t="str" s="33">
        <ns0:v>C:\Users\Nomatin\Documents\Altium\MY_LIB\MY_LIB\Datasheets\JST_PH.pdf</ns0:v>
      </ns0:c>
      <ns0:c r="X248" t="str" s="33">
        <ns0:v>Даташит — производитель</ns0:v>
      </ns0:c>
      <ns0:c r="Y248" t="str" s="33">
        <ns0:v>https://www.jst-mfg.com/product/pdf/eng/ePH.pdf</ns0:v>
      </ns0:c>
      <ns0:c r="Z248" t="str" s="33">
        <ns0:v>C:\Users\Nomatin\Documents\Altium\MY_LIB\MY_LIB\Datasheets\JST_PH.pdf</ns0:v>
      </ns0:c>
    </ns0:row>
    <ns0:row xmlns:ns0="http://schemas.openxmlformats.org/spreadsheetml/2006/main" r="249">
      <ns0:c r="A249" t="str" s="33">
        <ns0:v>XP0168</ns0:v>
      </ns0:c>
      <ns0:c r="B249" t="str" s="33">
        <ns0:v>Разъём</ns0:v>
      </ns0:c>
      <ns0:c r="C249" t="str" s="33">
        <ns0:v>JST PH, 1x13, 2,0 мм</ns0:v>
      </ns0:c>
      <ns0:c r="D249" t="str" s="34">
        <ns0:f>C249</ns0:f>
        <ns0:v>JST PH, 1x13, 2,0 мм</ns0:v>
      </ns0:c>
      <ns0:c r="E249" s="33"/>
      <ns0:c r="F249" s="33"/>
      <ns0:c r="G249" s="33"/>
      <ns0:c r="H249" t="str" s="35">
        <ns0:v>1x13, P2,0, SMD, прямой</ns0:v>
      </ns0:c>
      <ns0:c r="I249" t="str" s="33">
        <ns0:v>JST</ns0:v>
      </ns0:c>
      <ns0:c r="J249" t="str" s="33">
        <ns0:v>B13B-PH-SM4-TB</ns0:v>
      </ns0:c>
      <ns0:c r="K249" t="str" s="34">
        <ns0:f>B249&amp;" "&amp;D249&amp;" "&amp;J249</ns0:f>
        <ns0:v>Разъём JST PH, 1x13, 2,0 мм B13B-PH-SM4-TB</ns0:v>
      </ns0:c>
      <ns0:c r="L249" t="str" s="36">
        <ns0:v>XP_13_MP</ns0:v>
      </ns0:c>
      <ns0:c r="M249" t="str" s="36">
        <ns0:v>Symbols\MY_LIB_Connectors.SchLib</ns0:v>
      </ns0:c>
      <ns0:c r="N249" t="str" s="36">
        <ns0:v>JST_PH_B13B-PH-SM4-TB</ns0:v>
      </ns0:c>
      <ns0:c r="O249" t="str" s="36">
        <ns0:v>Footprints\MY_LIB_Connectors.PcbLib</ns0:v>
      </ns0:c>
      <ns0:c r="P249" t="str" s="33">
        <ns0:v>Штыревой; 13 сигнальных контактов, шаг 2,0 мм; прямой, SMD. Контакт 14: Name=MP; обе металлические площадки имеют номер 14.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49" s="33"/>
      <ns0:c r="R249" t="str" s="34">
        <ns0:f>D249</ns0:f>
        <ns0:v>JST PH, 1x13, 2,0 мм</ns0:v>
      </ns0:c>
      <ns0:c r="S249" t="str" s="34">
        <ns0:f>K249</ns0:f>
        <ns0:v>Разъём JST PH, 1x13, 2,0 мм B13B-PH-SM4-TB</ns0:v>
      </ns0:c>
      <ns0:c r="T249" t="str" s="33">
        <ns0:v>C:\Users\Nomatin\Documents\Altium\MY_LIB\MY_LIB\Datasheets\JST_PH.pdf</ns0:v>
      </ns0:c>
      <ns0:c r="U249" s="33"/>
      <ns0:c r="V249" t="str" s="33">
        <ns0:v>Даташит — локальный</ns0:v>
      </ns0:c>
      <ns0:c r="W249" t="str" s="33">
        <ns0:v>C:\Users\Nomatin\Documents\Altium\MY_LIB\MY_LIB\Datasheets\JST_PH.pdf</ns0:v>
      </ns0:c>
      <ns0:c r="X249" t="str" s="33">
        <ns0:v>Даташит — производитель</ns0:v>
      </ns0:c>
      <ns0:c r="Y249" t="str" s="33">
        <ns0:v>https://www.jst-mfg.com/product/pdf/eng/ePH.pdf</ns0:v>
      </ns0:c>
      <ns0:c r="Z249" t="str" s="33">
        <ns0:v>C:\Users\Nomatin\Documents\Altium\MY_LIB\MY_LIB\Datasheets\JST_PH.pdf</ns0:v>
      </ns0:c>
    </ns0:row>
    <ns0:row xmlns:ns0="http://schemas.openxmlformats.org/spreadsheetml/2006/main" r="250">
      <ns0:c r="A250" t="str" s="33">
        <ns0:v>XP0169</ns0:v>
      </ns0:c>
      <ns0:c r="B250" t="str" s="33">
        <ns0:v>Разъём</ns0:v>
      </ns0:c>
      <ns0:c r="C250" t="str" s="33">
        <ns0:v>JST PH, 1x14, 2,0 мм</ns0:v>
      </ns0:c>
      <ns0:c r="D250" t="str" s="34">
        <ns0:f>C250</ns0:f>
        <ns0:v>JST PH, 1x14, 2,0 мм</ns0:v>
      </ns0:c>
      <ns0:c r="E250" s="33"/>
      <ns0:c r="F250" s="33"/>
      <ns0:c r="G250" s="33"/>
      <ns0:c r="H250" t="str" s="35">
        <ns0:v>1x14, P2,0, THT, прямой</ns0:v>
      </ns0:c>
      <ns0:c r="I250" t="str" s="33">
        <ns0:v>JST</ns0:v>
      </ns0:c>
      <ns0:c r="J250" t="str" s="33">
        <ns0:v>B14B-PH-K</ns0:v>
      </ns0:c>
      <ns0:c r="K250" t="str" s="34">
        <ns0:f>B250&amp;" "&amp;D250&amp;" "&amp;J250</ns0:f>
        <ns0:v>Разъём JST PH, 1x14, 2,0 мм B14B-PH-K</ns0:v>
      </ns0:c>
      <ns0:c r="L250" t="str" s="36">
        <ns0:v>XP_14</ns0:v>
      </ns0:c>
      <ns0:c r="M250" t="str" s="36">
        <ns0:v>Symbols\MY_LIB_Connectors.SchLib</ns0:v>
      </ns0:c>
      <ns0:c r="N250" t="str" s="36">
        <ns0:v>JST_PH_B14B-PH-K</ns0:v>
      </ns0:c>
      <ns0:c r="O250" t="str" s="36">
        <ns0:v>Footprints\MY_LIB_Connectors.PcbLib</ns0:v>
      </ns0:c>
      <ns0:c r="P250" t="str" s="33">
        <ns0:v>Штыревой; 14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0" s="33"/>
      <ns0:c r="R250" t="str" s="34">
        <ns0:f>D250</ns0:f>
        <ns0:v>JST PH, 1x14, 2,0 мм</ns0:v>
      </ns0:c>
      <ns0:c r="S250" t="str" s="34">
        <ns0:f>K250</ns0:f>
        <ns0:v>Разъём JST PH, 1x14, 2,0 мм B14B-PH-K</ns0:v>
      </ns0:c>
      <ns0:c r="T250" t="str" s="33">
        <ns0:v>C:\Users\Nomatin\Documents\Altium\MY_LIB\MY_LIB\Datasheets\JST_PH.pdf</ns0:v>
      </ns0:c>
      <ns0:c r="U250" s="33"/>
      <ns0:c r="V250" t="str" s="33">
        <ns0:v>Даташит — локальный</ns0:v>
      </ns0:c>
      <ns0:c r="W250" t="str" s="33">
        <ns0:v>C:\Users\Nomatin\Documents\Altium\MY_LIB\MY_LIB\Datasheets\JST_PH.pdf</ns0:v>
      </ns0:c>
      <ns0:c r="X250" t="str" s="33">
        <ns0:v>Даташит — производитель</ns0:v>
      </ns0:c>
      <ns0:c r="Y250" t="str" s="33">
        <ns0:v>https://www.jst-mfg.com/product/pdf/eng/ePH.pdf</ns0:v>
      </ns0:c>
      <ns0:c r="Z250" t="str" s="33">
        <ns0:v>C:\Users\Nomatin\Documents\Altium\MY_LIB\MY_LIB\Datasheets\JST_PH.pdf</ns0:v>
      </ns0:c>
    </ns0:row>
    <ns0:row xmlns:ns0="http://schemas.openxmlformats.org/spreadsheetml/2006/main" r="251">
      <ns0:c r="A251" t="str" s="33">
        <ns0:v>XP0170</ns0:v>
      </ns0:c>
      <ns0:c r="B251" t="str" s="33">
        <ns0:v>Разъём</ns0:v>
      </ns0:c>
      <ns0:c r="C251" t="str" s="33">
        <ns0:v>JST PH, 1x14, 2,0 мм</ns0:v>
      </ns0:c>
      <ns0:c r="D251" t="str" s="34">
        <ns0:f>C251</ns0:f>
        <ns0:v>JST PH, 1x14, 2,0 мм</ns0:v>
      </ns0:c>
      <ns0:c r="E251" s="33"/>
      <ns0:c r="F251" s="33"/>
      <ns0:c r="G251" s="33"/>
      <ns0:c r="H251" t="str" s="35">
        <ns0:v>1x14, P2,0, SMD, прямой</ns0:v>
      </ns0:c>
      <ns0:c r="I251" t="str" s="33">
        <ns0:v>JST</ns0:v>
      </ns0:c>
      <ns0:c r="J251" t="str" s="33">
        <ns0:v>B14B-PH-SM4-TB</ns0:v>
      </ns0:c>
      <ns0:c r="K251" t="str" s="34">
        <ns0:f>B251&amp;" "&amp;D251&amp;" "&amp;J251</ns0:f>
        <ns0:v>Разъём JST PH, 1x14, 2,0 мм B14B-PH-SM4-TB</ns0:v>
      </ns0:c>
      <ns0:c r="L251" t="str" s="36">
        <ns0:v>XP_14_MP</ns0:v>
      </ns0:c>
      <ns0:c r="M251" t="str" s="36">
        <ns0:v>Symbols\MY_LIB_Connectors.SchLib</ns0:v>
      </ns0:c>
      <ns0:c r="N251" t="str" s="36">
        <ns0:v>JST_PH_B14B-PH-SM4-TB</ns0:v>
      </ns0:c>
      <ns0:c r="O251" t="str" s="36">
        <ns0:v>Footprints\MY_LIB_Connectors.PcbLib</ns0:v>
      </ns0:c>
      <ns0:c r="P251" t="str" s="33">
        <ns0:v>Штыревой; 14 сигнальных контактов, шаг 2,0 мм; прямой, SMD. Контакт 15: Name=MP; обе металлические площадки имеют номер 15.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1" s="33"/>
      <ns0:c r="R251" t="str" s="34">
        <ns0:f>D251</ns0:f>
        <ns0:v>JST PH, 1x14, 2,0 мм</ns0:v>
      </ns0:c>
      <ns0:c r="S251" t="str" s="34">
        <ns0:f>K251</ns0:f>
        <ns0:v>Разъём JST PH, 1x14, 2,0 мм B14B-PH-SM4-TB</ns0:v>
      </ns0:c>
      <ns0:c r="T251" t="str" s="33">
        <ns0:v>C:\Users\Nomatin\Documents\Altium\MY_LIB\MY_LIB\Datasheets\JST_PH.pdf</ns0:v>
      </ns0:c>
      <ns0:c r="U251" s="33"/>
      <ns0:c r="V251" t="str" s="33">
        <ns0:v>Даташит — локальный</ns0:v>
      </ns0:c>
      <ns0:c r="W251" t="str" s="33">
        <ns0:v>C:\Users\Nomatin\Documents\Altium\MY_LIB\MY_LIB\Datasheets\JST_PH.pdf</ns0:v>
      </ns0:c>
      <ns0:c r="X251" t="str" s="33">
        <ns0:v>Даташит — производитель</ns0:v>
      </ns0:c>
      <ns0:c r="Y251" t="str" s="33">
        <ns0:v>https://www.jst-mfg.com/product/pdf/eng/ePH.pdf</ns0:v>
      </ns0:c>
      <ns0:c r="Z251" t="str" s="33">
        <ns0:v>C:\Users\Nomatin\Documents\Altium\MY_LIB\MY_LIB\Datasheets\JST_PH.pdf</ns0:v>
      </ns0:c>
    </ns0:row>
    <ns0:row xmlns:ns0="http://schemas.openxmlformats.org/spreadsheetml/2006/main" r="252">
      <ns0:c r="A252" t="str" s="33">
        <ns0:v>XP0171</ns0:v>
      </ns0:c>
      <ns0:c r="B252" t="str" s="33">
        <ns0:v>Разъём</ns0:v>
      </ns0:c>
      <ns0:c r="C252" t="str" s="33">
        <ns0:v>JST PH, 1x15, 2,0 мм</ns0:v>
      </ns0:c>
      <ns0:c r="D252" t="str" s="34">
        <ns0:f>C252</ns0:f>
        <ns0:v>JST PH, 1x15, 2,0 мм</ns0:v>
      </ns0:c>
      <ns0:c r="E252" s="33"/>
      <ns0:c r="F252" s="33"/>
      <ns0:c r="G252" s="33"/>
      <ns0:c r="H252" t="str" s="35">
        <ns0:v>1x15, P2,0, THT, прямой</ns0:v>
      </ns0:c>
      <ns0:c r="I252" t="str" s="33">
        <ns0:v>JST</ns0:v>
      </ns0:c>
      <ns0:c r="J252" t="str" s="33">
        <ns0:v>B15B-PH-K</ns0:v>
      </ns0:c>
      <ns0:c r="K252" t="str" s="34">
        <ns0:f>B252&amp;" "&amp;D252&amp;" "&amp;J252</ns0:f>
        <ns0:v>Разъём JST PH, 1x15, 2,0 мм B15B-PH-K</ns0:v>
      </ns0:c>
      <ns0:c r="L252" t="str" s="36">
        <ns0:v>XP_15</ns0:v>
      </ns0:c>
      <ns0:c r="M252" t="str" s="36">
        <ns0:v>Symbols\MY_LIB_Connectors.SchLib</ns0:v>
      </ns0:c>
      <ns0:c r="N252" t="str" s="36">
        <ns0:v>JST_PH_B15B-PH-K</ns0:v>
      </ns0:c>
      <ns0:c r="O252" t="str" s="36">
        <ns0:v>Footprints\MY_LIB_Connectors.PcbLib</ns0:v>
      </ns0:c>
      <ns0:c r="P252" t="str" s="33">
        <ns0:v>Штыревой; 15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2" s="33"/>
      <ns0:c r="R252" t="str" s="34">
        <ns0:f>D252</ns0:f>
        <ns0:v>JST PH, 1x15, 2,0 мм</ns0:v>
      </ns0:c>
      <ns0:c r="S252" t="str" s="34">
        <ns0:f>K252</ns0:f>
        <ns0:v>Разъём JST PH, 1x15, 2,0 мм B15B-PH-K</ns0:v>
      </ns0:c>
      <ns0:c r="T252" t="str" s="33">
        <ns0:v>C:\Users\Nomatin\Documents\Altium\MY_LIB\MY_LIB\Datasheets\JST_PH.pdf</ns0:v>
      </ns0:c>
      <ns0:c r="U252" s="33"/>
      <ns0:c r="V252" t="str" s="33">
        <ns0:v>Даташит — локальный</ns0:v>
      </ns0:c>
      <ns0:c r="W252" t="str" s="33">
        <ns0:v>C:\Users\Nomatin\Documents\Altium\MY_LIB\MY_LIB\Datasheets\JST_PH.pdf</ns0:v>
      </ns0:c>
      <ns0:c r="X252" t="str" s="33">
        <ns0:v>Даташит — производитель</ns0:v>
      </ns0:c>
      <ns0:c r="Y252" t="str" s="33">
        <ns0:v>https://www.jst-mfg.com/product/pdf/eng/ePH.pdf</ns0:v>
      </ns0:c>
      <ns0:c r="Z252" t="str" s="33">
        <ns0:v>C:\Users\Nomatin\Documents\Altium\MY_LIB\MY_LIB\Datasheets\JST_PH.pdf</ns0:v>
      </ns0:c>
    </ns0:row>
    <ns0:row xmlns:ns0="http://schemas.openxmlformats.org/spreadsheetml/2006/main" r="253">
      <ns0:c r="A253" t="str" s="33">
        <ns0:v>XP0172</ns0:v>
      </ns0:c>
      <ns0:c r="B253" t="str" s="33">
        <ns0:v>Разъём</ns0:v>
      </ns0:c>
      <ns0:c r="C253" t="str" s="33">
        <ns0:v>JST PH, 1x15, 2,0 мм</ns0:v>
      </ns0:c>
      <ns0:c r="D253" t="str" s="34">
        <ns0:f>C253</ns0:f>
        <ns0:v>JST PH, 1x15, 2,0 мм</ns0:v>
      </ns0:c>
      <ns0:c r="E253" s="33"/>
      <ns0:c r="F253" s="33"/>
      <ns0:c r="G253" s="33"/>
      <ns0:c r="H253" t="str" s="35">
        <ns0:v>1x15, P2,0, SMD, прямой</ns0:v>
      </ns0:c>
      <ns0:c r="I253" t="str" s="33">
        <ns0:v>JST</ns0:v>
      </ns0:c>
      <ns0:c r="J253" t="str" s="33">
        <ns0:v>B15B-PH-SM4-TB</ns0:v>
      </ns0:c>
      <ns0:c r="K253" t="str" s="34">
        <ns0:f>B253&amp;" "&amp;D253&amp;" "&amp;J253</ns0:f>
        <ns0:v>Разъём JST PH, 1x15, 2,0 мм B15B-PH-SM4-TB</ns0:v>
      </ns0:c>
      <ns0:c r="L253" t="str" s="36">
        <ns0:v>XP_15_MP</ns0:v>
      </ns0:c>
      <ns0:c r="M253" t="str" s="36">
        <ns0:v>Symbols\MY_LIB_Connectors.SchLib</ns0:v>
      </ns0:c>
      <ns0:c r="N253" t="str" s="36">
        <ns0:v>JST_PH_B15B-PH-SM4-TB</ns0:v>
      </ns0:c>
      <ns0:c r="O253" t="str" s="36">
        <ns0:v>Footprints\MY_LIB_Connectors.PcbLib</ns0:v>
      </ns0:c>
      <ns0:c r="P253" t="str" s="33">
        <ns0:v>Штыревой; 15 сигнальных контактов, шаг 2,0 мм; прямой, SMD. Контакт 16: Name=MP; обе металлические площадки имеют номер 16.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3" s="33"/>
      <ns0:c r="R253" t="str" s="34">
        <ns0:f>D253</ns0:f>
        <ns0:v>JST PH, 1x15, 2,0 мм</ns0:v>
      </ns0:c>
      <ns0:c r="S253" t="str" s="34">
        <ns0:f>K253</ns0:f>
        <ns0:v>Разъём JST PH, 1x15, 2,0 мм B15B-PH-SM4-TB</ns0:v>
      </ns0:c>
      <ns0:c r="T253" t="str" s="33">
        <ns0:v>C:\Users\Nomatin\Documents\Altium\MY_LIB\MY_LIB\Datasheets\JST_PH.pdf</ns0:v>
      </ns0:c>
      <ns0:c r="U253" s="33"/>
      <ns0:c r="V253" t="str" s="33">
        <ns0:v>Даташит — локальный</ns0:v>
      </ns0:c>
      <ns0:c r="W253" t="str" s="33">
        <ns0:v>C:\Users\Nomatin\Documents\Altium\MY_LIB\MY_LIB\Datasheets\JST_PH.pdf</ns0:v>
      </ns0:c>
      <ns0:c r="X253" t="str" s="33">
        <ns0:v>Даташит — производитель</ns0:v>
      </ns0:c>
      <ns0:c r="Y253" t="str" s="33">
        <ns0:v>https://www.jst-mfg.com/product/pdf/eng/ePH.pdf</ns0:v>
      </ns0:c>
      <ns0:c r="Z253" t="str" s="33">
        <ns0:v>C:\Users\Nomatin\Documents\Altium\MY_LIB\MY_LIB\Datasheets\JST_PH.pdf</ns0:v>
      </ns0:c>
    </ns0:row>
    <ns0:row xmlns:ns0="http://schemas.openxmlformats.org/spreadsheetml/2006/main" r="254">
      <ns0:c r="A254" t="str" s="33">
        <ns0:v>XP0173</ns0:v>
      </ns0:c>
      <ns0:c r="B254" t="str" s="33">
        <ns0:v>Разъём</ns0:v>
      </ns0:c>
      <ns0:c r="C254" t="str" s="33">
        <ns0:v>JST PH, 1x16, 2,0 мм</ns0:v>
      </ns0:c>
      <ns0:c r="D254" t="str" s="34">
        <ns0:f>C254</ns0:f>
        <ns0:v>JST PH, 1x16, 2,0 мм</ns0:v>
      </ns0:c>
      <ns0:c r="E254" s="33"/>
      <ns0:c r="F254" s="33"/>
      <ns0:c r="G254" s="33"/>
      <ns0:c r="H254" t="str" s="35">
        <ns0:v>1x16, P2,0, THT, прямой</ns0:v>
      </ns0:c>
      <ns0:c r="I254" t="str" s="33">
        <ns0:v>JST</ns0:v>
      </ns0:c>
      <ns0:c r="J254" t="str" s="33">
        <ns0:v>B16B-PH-K</ns0:v>
      </ns0:c>
      <ns0:c r="K254" t="str" s="34">
        <ns0:f>B254&amp;" "&amp;D254&amp;" "&amp;J254</ns0:f>
        <ns0:v>Разъём JST PH, 1x16, 2,0 мм B16B-PH-K</ns0:v>
      </ns0:c>
      <ns0:c r="L254" t="str" s="36">
        <ns0:v>XP_16</ns0:v>
      </ns0:c>
      <ns0:c r="M254" t="str" s="36">
        <ns0:v>Symbols\MY_LIB_Connectors.SchLib</ns0:v>
      </ns0:c>
      <ns0:c r="N254" t="str" s="36">
        <ns0:v>JST_PH_B16B-PH-K</ns0:v>
      </ns0:c>
      <ns0:c r="O254" t="str" s="36">
        <ns0:v>Footprints\MY_LIB_Connectors.PcbLib</ns0:v>
      </ns0:c>
      <ns0:c r="P254" t="str" s="33">
        <ns0:v>Штыревой; 16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4" s="33"/>
      <ns0:c r="R254" t="str" s="34">
        <ns0:f>D254</ns0:f>
        <ns0:v>JST PH, 1x16, 2,0 мм</ns0:v>
      </ns0:c>
      <ns0:c r="S254" t="str" s="34">
        <ns0:f>K254</ns0:f>
        <ns0:v>Разъём JST PH, 1x16, 2,0 мм B16B-PH-K</ns0:v>
      </ns0:c>
      <ns0:c r="T254" t="str" s="33">
        <ns0:v>C:\Users\Nomatin\Documents\Altium\MY_LIB\MY_LIB\Datasheets\JST_PH.pdf</ns0:v>
      </ns0:c>
      <ns0:c r="U254" s="33"/>
      <ns0:c r="V254" t="str" s="33">
        <ns0:v>Даташит — локальный</ns0:v>
      </ns0:c>
      <ns0:c r="W254" t="str" s="33">
        <ns0:v>C:\Users\Nomatin\Documents\Altium\MY_LIB\MY_LIB\Datasheets\JST_PH.pdf</ns0:v>
      </ns0:c>
      <ns0:c r="X254" t="str" s="33">
        <ns0:v>Даташит — производитель</ns0:v>
      </ns0:c>
      <ns0:c r="Y254" t="str" s="33">
        <ns0:v>https://www.jst-mfg.com/product/pdf/eng/ePH.pdf</ns0:v>
      </ns0:c>
      <ns0:c r="Z254" t="str" s="33">
        <ns0:v>C:\Users\Nomatin\Documents\Altium\MY_LIB\MY_LIB\Datasheets\JST_PH.pdf</ns0:v>
      </ns0:c>
    </ns0:row>
    <ns0:row xmlns:ns0="http://schemas.openxmlformats.org/spreadsheetml/2006/main" r="255">
      <ns0:c r="A255" t="str" s="33">
        <ns0:v>XP0174</ns0:v>
      </ns0:c>
      <ns0:c r="B255" t="str" s="33">
        <ns0:v>Разъём</ns0:v>
      </ns0:c>
      <ns0:c r="C255" t="str" s="33">
        <ns0:v>JST PH, 1x16, 2,0 мм</ns0:v>
      </ns0:c>
      <ns0:c r="D255" t="str" s="34">
        <ns0:f>C255</ns0:f>
        <ns0:v>JST PH, 1x16, 2,0 мм</ns0:v>
      </ns0:c>
      <ns0:c r="E255" s="33"/>
      <ns0:c r="F255" s="33"/>
      <ns0:c r="G255" s="33"/>
      <ns0:c r="H255" t="str" s="35">
        <ns0:v>1x16, P2,0, SMD, прямой</ns0:v>
      </ns0:c>
      <ns0:c r="I255" t="str" s="33">
        <ns0:v>JST</ns0:v>
      </ns0:c>
      <ns0:c r="J255" t="str" s="33">
        <ns0:v>B16B-PH-SM4-TB</ns0:v>
      </ns0:c>
      <ns0:c r="K255" t="str" s="34">
        <ns0:f>B255&amp;" "&amp;D255&amp;" "&amp;J255</ns0:f>
        <ns0:v>Разъём JST PH, 1x16, 2,0 мм B16B-PH-SM4-TB</ns0:v>
      </ns0:c>
      <ns0:c r="L255" t="str" s="36">
        <ns0:v>XP_16_MP</ns0:v>
      </ns0:c>
      <ns0:c r="M255" t="str" s="36">
        <ns0:v>Symbols\MY_LIB_Connectors.SchLib</ns0:v>
      </ns0:c>
      <ns0:c r="N255" t="str" s="36">
        <ns0:v>JST_PH_B16B-PH-SM4-TB</ns0:v>
      </ns0:c>
      <ns0:c r="O255" t="str" s="36">
        <ns0:v>Footprints\MY_LIB_Connectors.PcbLib</ns0:v>
      </ns0:c>
      <ns0:c r="P255" t="str" s="33">
        <ns0:v>Штыревой; 16 сигнальных контактов, шаг 2,0 мм; прямой, SMD. Контакт 17: Name=MP; обе металлические площадки имеют номер 17.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5" s="33"/>
      <ns0:c r="R255" t="str" s="34">
        <ns0:f>D255</ns0:f>
        <ns0:v>JST PH, 1x16, 2,0 мм</ns0:v>
      </ns0:c>
      <ns0:c r="S255" t="str" s="34">
        <ns0:f>K255</ns0:f>
        <ns0:v>Разъём JST PH, 1x16, 2,0 мм B16B-PH-SM4-TB</ns0:v>
      </ns0:c>
      <ns0:c r="T255" t="str" s="33">
        <ns0:v>C:\Users\Nomatin\Documents\Altium\MY_LIB\MY_LIB\Datasheets\JST_PH.pdf</ns0:v>
      </ns0:c>
      <ns0:c r="U255" s="33"/>
      <ns0:c r="V255" t="str" s="33">
        <ns0:v>Даташит — локальный</ns0:v>
      </ns0:c>
      <ns0:c r="W255" t="str" s="33">
        <ns0:v>C:\Users\Nomatin\Documents\Altium\MY_LIB\MY_LIB\Datasheets\JST_PH.pdf</ns0:v>
      </ns0:c>
      <ns0:c r="X255" t="str" s="33">
        <ns0:v>Даташит — производитель</ns0:v>
      </ns0:c>
      <ns0:c r="Y255" t="str" s="33">
        <ns0:v>https://www.jst-mfg.com/product/pdf/eng/ePH.pdf</ns0:v>
      </ns0:c>
      <ns0:c r="Z255" t="str" s="33">
        <ns0:v>C:\Users\Nomatin\Documents\Altium\MY_LIB\MY_LIB\Datasheets\JST_PH.pdf</ns0:v>
      </ns0:c>
    </ns0:row>
    <ns0:row xmlns:ns0="http://schemas.openxmlformats.org/spreadsheetml/2006/main" r="256">
      <ns0:c r="A256" t="str" s="33">
        <ns0:v>XP0175</ns0:v>
      </ns0:c>
      <ns0:c r="B256" t="str" s="33">
        <ns0:v>Разъём</ns0:v>
      </ns0:c>
      <ns0:c r="C256" t="str" s="33">
        <ns0:v>JST PH, 1x02, 2,0 мм</ns0:v>
      </ns0:c>
      <ns0:c r="D256" t="str" s="34">
        <ns0:f>C256</ns0:f>
        <ns0:v>JST PH, 1x02, 2,0 мм</ns0:v>
      </ns0:c>
      <ns0:c r="E256" s="33"/>
      <ns0:c r="F256" s="33"/>
      <ns0:c r="G256" s="33"/>
      <ns0:c r="H256" t="str" s="35">
        <ns0:v>1x02, P2,0, THT, прямой</ns0:v>
      </ns0:c>
      <ns0:c r="I256" t="str" s="33">
        <ns0:v>JST</ns0:v>
      </ns0:c>
      <ns0:c r="J256" t="str" s="33">
        <ns0:v>B2B-PH-K</ns0:v>
      </ns0:c>
      <ns0:c r="K256" t="str" s="34">
        <ns0:f>B256&amp;" "&amp;D256&amp;" "&amp;J256</ns0:f>
        <ns0:v>Разъём JST PH, 1x02, 2,0 мм B2B-PH-K</ns0:v>
      </ns0:c>
      <ns0:c r="L256" t="str" s="36">
        <ns0:v>XP_2</ns0:v>
      </ns0:c>
      <ns0:c r="M256" t="str" s="36">
        <ns0:v>Symbols\MY_LIB_Connectors.SchLib</ns0:v>
      </ns0:c>
      <ns0:c r="N256" t="str" s="36">
        <ns0:v>JST_PH_B2B-PH-K</ns0:v>
      </ns0:c>
      <ns0:c r="O256" t="str" s="36">
        <ns0:v>Footprints\MY_LIB_Connectors.PcbLib</ns0:v>
      </ns0:c>
      <ns0:c r="P256" t="str" s="33">
        <ns0:v>Штыревой; 2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6" s="33"/>
      <ns0:c r="R256" t="str" s="34">
        <ns0:f>D256</ns0:f>
        <ns0:v>JST PH, 1x02, 2,0 мм</ns0:v>
      </ns0:c>
      <ns0:c r="S256" t="str" s="34">
        <ns0:f>K256</ns0:f>
        <ns0:v>Разъём JST PH, 1x02, 2,0 мм B2B-PH-K</ns0:v>
      </ns0:c>
      <ns0:c r="T256" t="str" s="33">
        <ns0:v>C:\Users\Nomatin\Documents\Altium\MY_LIB\MY_LIB\Datasheets\JST_PH.pdf</ns0:v>
      </ns0:c>
      <ns0:c r="U256" s="33"/>
      <ns0:c r="V256" t="str" s="33">
        <ns0:v>Даташит — локальный</ns0:v>
      </ns0:c>
      <ns0:c r="W256" t="str" s="33">
        <ns0:v>C:\Users\Nomatin\Documents\Altium\MY_LIB\MY_LIB\Datasheets\JST_PH.pdf</ns0:v>
      </ns0:c>
      <ns0:c r="X256" t="str" s="33">
        <ns0:v>Даташит — производитель</ns0:v>
      </ns0:c>
      <ns0:c r="Y256" t="str" s="33">
        <ns0:v>https://www.jst-mfg.com/product/pdf/eng/ePH.pdf</ns0:v>
      </ns0:c>
      <ns0:c r="Z256" t="str" s="33">
        <ns0:v>C:\Users\Nomatin\Documents\Altium\MY_LIB\MY_LIB\Datasheets\JST_PH.pdf</ns0:v>
      </ns0:c>
    </ns0:row>
    <ns0:row xmlns:ns0="http://schemas.openxmlformats.org/spreadsheetml/2006/main" r="257">
      <ns0:c r="A257" t="str" s="33">
        <ns0:v>XP0176</ns0:v>
      </ns0:c>
      <ns0:c r="B257" t="str" s="33">
        <ns0:v>Разъём</ns0:v>
      </ns0:c>
      <ns0:c r="C257" t="str" s="33">
        <ns0:v>JST PH, 1x02, 2,0 мм</ns0:v>
      </ns0:c>
      <ns0:c r="D257" t="str" s="34">
        <ns0:f>C257</ns0:f>
        <ns0:v>JST PH, 1x02, 2,0 мм</ns0:v>
      </ns0:c>
      <ns0:c r="E257" s="33"/>
      <ns0:c r="F257" s="33"/>
      <ns0:c r="G257" s="33"/>
      <ns0:c r="H257" t="str" s="35">
        <ns0:v>1x02, P2,0, SMD, прямой</ns0:v>
      </ns0:c>
      <ns0:c r="I257" t="str" s="33">
        <ns0:v>JST</ns0:v>
      </ns0:c>
      <ns0:c r="J257" t="str" s="33">
        <ns0:v>B2B-PH-SM4-TB</ns0:v>
      </ns0:c>
      <ns0:c r="K257" t="str" s="34">
        <ns0:f>B257&amp;" "&amp;D257&amp;" "&amp;J257</ns0:f>
        <ns0:v>Разъём JST PH, 1x02, 2,0 мм B2B-PH-SM4-TB</ns0:v>
      </ns0:c>
      <ns0:c r="L257" t="str" s="36">
        <ns0:v>XP_2_MP</ns0:v>
      </ns0:c>
      <ns0:c r="M257" t="str" s="36">
        <ns0:v>Symbols\MY_LIB_Connectors.SchLib</ns0:v>
      </ns0:c>
      <ns0:c r="N257" t="str" s="36">
        <ns0:v>JST_PH_B2B-PH-SM4-TB</ns0:v>
      </ns0:c>
      <ns0:c r="O257" t="str" s="36">
        <ns0:v>Footprints\MY_LIB_Connectors.PcbLib</ns0:v>
      </ns0:c>
      <ns0:c r="P257" t="str" s="33">
        <ns0:v>Штыревой; 2 сигнальных контактов, шаг 2,0 мм; прямой, SMD. Контакт 3: Name=MP; обе металлические площадки имеют номер 3.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7" s="33"/>
      <ns0:c r="R257" t="str" s="34">
        <ns0:f>D257</ns0:f>
        <ns0:v>JST PH, 1x02, 2,0 мм</ns0:v>
      </ns0:c>
      <ns0:c r="S257" t="str" s="34">
        <ns0:f>K257</ns0:f>
        <ns0:v>Разъём JST PH, 1x02, 2,0 мм B2B-PH-SM4-TB</ns0:v>
      </ns0:c>
      <ns0:c r="T257" t="str" s="33">
        <ns0:v>C:\Users\Nomatin\Documents\Altium\MY_LIB\MY_LIB\Datasheets\JST_PH.pdf</ns0:v>
      </ns0:c>
      <ns0:c r="U257" s="33"/>
      <ns0:c r="V257" t="str" s="33">
        <ns0:v>Даташит — локальный</ns0:v>
      </ns0:c>
      <ns0:c r="W257" t="str" s="33">
        <ns0:v>C:\Users\Nomatin\Documents\Altium\MY_LIB\MY_LIB\Datasheets\JST_PH.pdf</ns0:v>
      </ns0:c>
      <ns0:c r="X257" t="str" s="33">
        <ns0:v>Даташит — производитель</ns0:v>
      </ns0:c>
      <ns0:c r="Y257" t="str" s="33">
        <ns0:v>https://www.jst-mfg.com/product/pdf/eng/ePH.pdf</ns0:v>
      </ns0:c>
      <ns0:c r="Z257" t="str" s="33">
        <ns0:v>C:\Users\Nomatin\Documents\Altium\MY_LIB\MY_LIB\Datasheets\JST_PH.pdf</ns0:v>
      </ns0:c>
    </ns0:row>
    <ns0:row xmlns:ns0="http://schemas.openxmlformats.org/spreadsheetml/2006/main" r="258">
      <ns0:c r="A258" t="str" s="33">
        <ns0:v>XP0177</ns0:v>
      </ns0:c>
      <ns0:c r="B258" t="str" s="33">
        <ns0:v>Разъём</ns0:v>
      </ns0:c>
      <ns0:c r="C258" t="str" s="33">
        <ns0:v>JST PH, 1x03, 2,0 мм</ns0:v>
      </ns0:c>
      <ns0:c r="D258" t="str" s="34">
        <ns0:f>C258</ns0:f>
        <ns0:v>JST PH, 1x03, 2,0 мм</ns0:v>
      </ns0:c>
      <ns0:c r="E258" s="33"/>
      <ns0:c r="F258" s="33"/>
      <ns0:c r="G258" s="33"/>
      <ns0:c r="H258" t="str" s="35">
        <ns0:v>1x03, P2,0, THT, прямой</ns0:v>
      </ns0:c>
      <ns0:c r="I258" t="str" s="33">
        <ns0:v>JST</ns0:v>
      </ns0:c>
      <ns0:c r="J258" t="str" s="33">
        <ns0:v>B3B-PH-K</ns0:v>
      </ns0:c>
      <ns0:c r="K258" t="str" s="34">
        <ns0:f>B258&amp;" "&amp;D258&amp;" "&amp;J258</ns0:f>
        <ns0:v>Разъём JST PH, 1x03, 2,0 мм B3B-PH-K</ns0:v>
      </ns0:c>
      <ns0:c r="L258" t="str" s="36">
        <ns0:v>XP_3</ns0:v>
      </ns0:c>
      <ns0:c r="M258" t="str" s="36">
        <ns0:v>Symbols\MY_LIB_Connectors.SchLib</ns0:v>
      </ns0:c>
      <ns0:c r="N258" t="str" s="36">
        <ns0:v>JST_PH_B3B-PH-K</ns0:v>
      </ns0:c>
      <ns0:c r="O258" t="str" s="36">
        <ns0:v>Footprints\MY_LIB_Connectors.PcbLib</ns0:v>
      </ns0:c>
      <ns0:c r="P258" t="str" s="33">
        <ns0:v>Штыревой; 3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8" s="33"/>
      <ns0:c r="R258" t="str" s="34">
        <ns0:f>D258</ns0:f>
        <ns0:v>JST PH, 1x03, 2,0 мм</ns0:v>
      </ns0:c>
      <ns0:c r="S258" t="str" s="34">
        <ns0:f>K258</ns0:f>
        <ns0:v>Разъём JST PH, 1x03, 2,0 мм B3B-PH-K</ns0:v>
      </ns0:c>
      <ns0:c r="T258" t="str" s="33">
        <ns0:v>C:\Users\Nomatin\Documents\Altium\MY_LIB\MY_LIB\Datasheets\JST_PH.pdf</ns0:v>
      </ns0:c>
      <ns0:c r="U258" s="33"/>
      <ns0:c r="V258" t="str" s="33">
        <ns0:v>Даташит — локальный</ns0:v>
      </ns0:c>
      <ns0:c r="W258" t="str" s="33">
        <ns0:v>C:\Users\Nomatin\Documents\Altium\MY_LIB\MY_LIB\Datasheets\JST_PH.pdf</ns0:v>
      </ns0:c>
      <ns0:c r="X258" t="str" s="33">
        <ns0:v>Даташит — производитель</ns0:v>
      </ns0:c>
      <ns0:c r="Y258" t="str" s="33">
        <ns0:v>https://www.jst-mfg.com/product/pdf/eng/ePH.pdf</ns0:v>
      </ns0:c>
      <ns0:c r="Z258" t="str" s="33">
        <ns0:v>C:\Users\Nomatin\Documents\Altium\MY_LIB\MY_LIB\Datasheets\JST_PH.pdf</ns0:v>
      </ns0:c>
    </ns0:row>
    <ns0:row xmlns:ns0="http://schemas.openxmlformats.org/spreadsheetml/2006/main" r="259">
      <ns0:c r="A259" t="str" s="33">
        <ns0:v>XP0178</ns0:v>
      </ns0:c>
      <ns0:c r="B259" t="str" s="33">
        <ns0:v>Разъём</ns0:v>
      </ns0:c>
      <ns0:c r="C259" t="str" s="33">
        <ns0:v>JST PH, 1x03, 2,0 мм</ns0:v>
      </ns0:c>
      <ns0:c r="D259" t="str" s="34">
        <ns0:f>C259</ns0:f>
        <ns0:v>JST PH, 1x03, 2,0 мм</ns0:v>
      </ns0:c>
      <ns0:c r="E259" s="33"/>
      <ns0:c r="F259" s="33"/>
      <ns0:c r="G259" s="33"/>
      <ns0:c r="H259" t="str" s="35">
        <ns0:v>1x03, P2,0, SMD, прямой</ns0:v>
      </ns0:c>
      <ns0:c r="I259" t="str" s="33">
        <ns0:v>JST</ns0:v>
      </ns0:c>
      <ns0:c r="J259" t="str" s="33">
        <ns0:v>B3B-PH-SM4-TB</ns0:v>
      </ns0:c>
      <ns0:c r="K259" t="str" s="34">
        <ns0:f>B259&amp;" "&amp;D259&amp;" "&amp;J259</ns0:f>
        <ns0:v>Разъём JST PH, 1x03, 2,0 мм B3B-PH-SM4-TB</ns0:v>
      </ns0:c>
      <ns0:c r="L259" t="str" s="36">
        <ns0:v>XP_3_MP</ns0:v>
      </ns0:c>
      <ns0:c r="M259" t="str" s="36">
        <ns0:v>Symbols\MY_LIB_Connectors.SchLib</ns0:v>
      </ns0:c>
      <ns0:c r="N259" t="str" s="36">
        <ns0:v>JST_PH_B3B-PH-SM4-TB</ns0:v>
      </ns0:c>
      <ns0:c r="O259" t="str" s="36">
        <ns0:v>Footprints\MY_LIB_Connectors.PcbLib</ns0:v>
      </ns0:c>
      <ns0:c r="P259" t="str" s="33">
        <ns0:v>Штыревой; 3 сигнальных контактов, шаг 2,0 мм; прямой, SMD. Контакт 4: Name=MP; обе металлические площадки имеют номер 4.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59" s="33"/>
      <ns0:c r="R259" t="str" s="34">
        <ns0:f>D259</ns0:f>
        <ns0:v>JST PH, 1x03, 2,0 мм</ns0:v>
      </ns0:c>
      <ns0:c r="S259" t="str" s="34">
        <ns0:f>K259</ns0:f>
        <ns0:v>Разъём JST PH, 1x03, 2,0 мм B3B-PH-SM4-TB</ns0:v>
      </ns0:c>
      <ns0:c r="T259" t="str" s="33">
        <ns0:v>C:\Users\Nomatin\Documents\Altium\MY_LIB\MY_LIB\Datasheets\JST_PH.pdf</ns0:v>
      </ns0:c>
      <ns0:c r="U259" s="33"/>
      <ns0:c r="V259" t="str" s="33">
        <ns0:v>Даташит — локальный</ns0:v>
      </ns0:c>
      <ns0:c r="W259" t="str" s="33">
        <ns0:v>C:\Users\Nomatin\Documents\Altium\MY_LIB\MY_LIB\Datasheets\JST_PH.pdf</ns0:v>
      </ns0:c>
      <ns0:c r="X259" t="str" s="33">
        <ns0:v>Даташит — производитель</ns0:v>
      </ns0:c>
      <ns0:c r="Y259" t="str" s="33">
        <ns0:v>https://www.jst-mfg.com/product/pdf/eng/ePH.pdf</ns0:v>
      </ns0:c>
      <ns0:c r="Z259" t="str" s="33">
        <ns0:v>C:\Users\Nomatin\Documents\Altium\MY_LIB\MY_LIB\Datasheets\JST_PH.pdf</ns0:v>
      </ns0:c>
    </ns0:row>
    <ns0:row xmlns:ns0="http://schemas.openxmlformats.org/spreadsheetml/2006/main" r="260">
      <ns0:c r="A260" t="str" s="33">
        <ns0:v>XP0179</ns0:v>
      </ns0:c>
      <ns0:c r="B260" t="str" s="33">
        <ns0:v>Разъём</ns0:v>
      </ns0:c>
      <ns0:c r="C260" t="str" s="33">
        <ns0:v>JST PH, 1x04, 2,0 мм</ns0:v>
      </ns0:c>
      <ns0:c r="D260" t="str" s="34">
        <ns0:f>C260</ns0:f>
        <ns0:v>JST PH, 1x04, 2,0 мм</ns0:v>
      </ns0:c>
      <ns0:c r="E260" s="33"/>
      <ns0:c r="F260" s="33"/>
      <ns0:c r="G260" s="33"/>
      <ns0:c r="H260" t="str" s="35">
        <ns0:v>1x04, P2,0, THT, прямой</ns0:v>
      </ns0:c>
      <ns0:c r="I260" t="str" s="33">
        <ns0:v>JST</ns0:v>
      </ns0:c>
      <ns0:c r="J260" t="str" s="33">
        <ns0:v>B4B-PH-K</ns0:v>
      </ns0:c>
      <ns0:c r="K260" t="str" s="34">
        <ns0:f>B260&amp;" "&amp;D260&amp;" "&amp;J260</ns0:f>
        <ns0:v>Разъём JST PH, 1x04, 2,0 мм B4B-PH-K</ns0:v>
      </ns0:c>
      <ns0:c r="L260" t="str" s="36">
        <ns0:v>XP_4</ns0:v>
      </ns0:c>
      <ns0:c r="M260" t="str" s="36">
        <ns0:v>Symbols\MY_LIB_Connectors.SchLib</ns0:v>
      </ns0:c>
      <ns0:c r="N260" t="str" s="36">
        <ns0:v>JST_PH_B4B-PH-K</ns0:v>
      </ns0:c>
      <ns0:c r="O260" t="str" s="36">
        <ns0:v>Footprints\MY_LIB_Connectors.PcbLib</ns0:v>
      </ns0:c>
      <ns0:c r="P260" t="str" s="33">
        <ns0:v>Штыревой; 4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0" s="33"/>
      <ns0:c r="R260" t="str" s="34">
        <ns0:f>D260</ns0:f>
        <ns0:v>JST PH, 1x04, 2,0 мм</ns0:v>
      </ns0:c>
      <ns0:c r="S260" t="str" s="34">
        <ns0:f>K260</ns0:f>
        <ns0:v>Разъём JST PH, 1x04, 2,0 мм B4B-PH-K</ns0:v>
      </ns0:c>
      <ns0:c r="T260" t="str" s="33">
        <ns0:v>C:\Users\Nomatin\Documents\Altium\MY_LIB\MY_LIB\Datasheets\JST_PH.pdf</ns0:v>
      </ns0:c>
      <ns0:c r="U260" s="33"/>
      <ns0:c r="V260" t="str" s="33">
        <ns0:v>Даташит — локальный</ns0:v>
      </ns0:c>
      <ns0:c r="W260" t="str" s="33">
        <ns0:v>C:\Users\Nomatin\Documents\Altium\MY_LIB\MY_LIB\Datasheets\JST_PH.pdf</ns0:v>
      </ns0:c>
      <ns0:c r="X260" t="str" s="33">
        <ns0:v>Даташит — производитель</ns0:v>
      </ns0:c>
      <ns0:c r="Y260" t="str" s="33">
        <ns0:v>https://www.jst-mfg.com/product/pdf/eng/ePH.pdf</ns0:v>
      </ns0:c>
      <ns0:c r="Z260" t="str" s="33">
        <ns0:v>C:\Users\Nomatin\Documents\Altium\MY_LIB\MY_LIB\Datasheets\JST_PH.pdf</ns0:v>
      </ns0:c>
    </ns0:row>
    <ns0:row xmlns:ns0="http://schemas.openxmlformats.org/spreadsheetml/2006/main" r="261">
      <ns0:c r="A261" t="str" s="33">
        <ns0:v>XP0180</ns0:v>
      </ns0:c>
      <ns0:c r="B261" t="str" s="33">
        <ns0:v>Разъём</ns0:v>
      </ns0:c>
      <ns0:c r="C261" t="str" s="33">
        <ns0:v>JST PH, 1x04, 2,0 мм</ns0:v>
      </ns0:c>
      <ns0:c r="D261" t="str" s="34">
        <ns0:f>C261</ns0:f>
        <ns0:v>JST PH, 1x04, 2,0 мм</ns0:v>
      </ns0:c>
      <ns0:c r="E261" s="33"/>
      <ns0:c r="F261" s="33"/>
      <ns0:c r="G261" s="33"/>
      <ns0:c r="H261" t="str" s="35">
        <ns0:v>1x04, P2,0, SMD, прямой</ns0:v>
      </ns0:c>
      <ns0:c r="I261" t="str" s="33">
        <ns0:v>JST</ns0:v>
      </ns0:c>
      <ns0:c r="J261" t="str" s="33">
        <ns0:v>B4B-PH-SM4-TB</ns0:v>
      </ns0:c>
      <ns0:c r="K261" t="str" s="34">
        <ns0:f>B261&amp;" "&amp;D261&amp;" "&amp;J261</ns0:f>
        <ns0:v>Разъём JST PH, 1x04, 2,0 мм B4B-PH-SM4-TB</ns0:v>
      </ns0:c>
      <ns0:c r="L261" t="str" s="36">
        <ns0:v>XP_4_MP</ns0:v>
      </ns0:c>
      <ns0:c r="M261" t="str" s="36">
        <ns0:v>Symbols\MY_LIB_Connectors.SchLib</ns0:v>
      </ns0:c>
      <ns0:c r="N261" t="str" s="36">
        <ns0:v>JST_PH_B4B-PH-SM4-TB</ns0:v>
      </ns0:c>
      <ns0:c r="O261" t="str" s="36">
        <ns0:v>Footprints\MY_LIB_Connectors.PcbLib</ns0:v>
      </ns0:c>
      <ns0:c r="P261" t="str" s="33">
        <ns0:v>Штыревой; 4 сигнальных контактов, шаг 2,0 мм; прямой, SMD. Контакт 5: Name=MP; обе металлические площадки имеют номер 5.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1" s="33"/>
      <ns0:c r="R261" t="str" s="34">
        <ns0:f>D261</ns0:f>
        <ns0:v>JST PH, 1x04, 2,0 мм</ns0:v>
      </ns0:c>
      <ns0:c r="S261" t="str" s="34">
        <ns0:f>K261</ns0:f>
        <ns0:v>Разъём JST PH, 1x04, 2,0 мм B4B-PH-SM4-TB</ns0:v>
      </ns0:c>
      <ns0:c r="T261" t="str" s="33">
        <ns0:v>C:\Users\Nomatin\Documents\Altium\MY_LIB\MY_LIB\Datasheets\JST_PH.pdf</ns0:v>
      </ns0:c>
      <ns0:c r="U261" s="33"/>
      <ns0:c r="V261" t="str" s="33">
        <ns0:v>Даташит — локальный</ns0:v>
      </ns0:c>
      <ns0:c r="W261" t="str" s="33">
        <ns0:v>C:\Users\Nomatin\Documents\Altium\MY_LIB\MY_LIB\Datasheets\JST_PH.pdf</ns0:v>
      </ns0:c>
      <ns0:c r="X261" t="str" s="33">
        <ns0:v>Даташит — производитель</ns0:v>
      </ns0:c>
      <ns0:c r="Y261" t="str" s="33">
        <ns0:v>https://www.jst-mfg.com/product/pdf/eng/ePH.pdf</ns0:v>
      </ns0:c>
      <ns0:c r="Z261" t="str" s="33">
        <ns0:v>C:\Users\Nomatin\Documents\Altium\MY_LIB\MY_LIB\Datasheets\JST_PH.pdf</ns0:v>
      </ns0:c>
    </ns0:row>
    <ns0:row xmlns:ns0="http://schemas.openxmlformats.org/spreadsheetml/2006/main" r="262">
      <ns0:c r="A262" t="str" s="33">
        <ns0:v>XP0181</ns0:v>
      </ns0:c>
      <ns0:c r="B262" t="str" s="33">
        <ns0:v>Разъём</ns0:v>
      </ns0:c>
      <ns0:c r="C262" t="str" s="33">
        <ns0:v>JST PH, 1x05, 2,0 мм</ns0:v>
      </ns0:c>
      <ns0:c r="D262" t="str" s="34">
        <ns0:f>C262</ns0:f>
        <ns0:v>JST PH, 1x05, 2,0 мм</ns0:v>
      </ns0:c>
      <ns0:c r="E262" s="33"/>
      <ns0:c r="F262" s="33"/>
      <ns0:c r="G262" s="33"/>
      <ns0:c r="H262" t="str" s="35">
        <ns0:v>1x05, P2,0, THT, прямой</ns0:v>
      </ns0:c>
      <ns0:c r="I262" t="str" s="33">
        <ns0:v>JST</ns0:v>
      </ns0:c>
      <ns0:c r="J262" t="str" s="33">
        <ns0:v>B5B-PH-K</ns0:v>
      </ns0:c>
      <ns0:c r="K262" t="str" s="34">
        <ns0:f>B262&amp;" "&amp;D262&amp;" "&amp;J262</ns0:f>
        <ns0:v>Разъём JST PH, 1x05, 2,0 мм B5B-PH-K</ns0:v>
      </ns0:c>
      <ns0:c r="L262" t="str" s="36">
        <ns0:v>XP_5</ns0:v>
      </ns0:c>
      <ns0:c r="M262" t="str" s="36">
        <ns0:v>Symbols\MY_LIB_Connectors.SchLib</ns0:v>
      </ns0:c>
      <ns0:c r="N262" t="str" s="36">
        <ns0:v>JST_PH_B5B-PH-K</ns0:v>
      </ns0:c>
      <ns0:c r="O262" t="str" s="36">
        <ns0:v>Footprints\MY_LIB_Connectors.PcbLib</ns0:v>
      </ns0:c>
      <ns0:c r="P262" t="str" s="33">
        <ns0:v>Штыревой; 5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2" s="33"/>
      <ns0:c r="R262" t="str" s="34">
        <ns0:f>D262</ns0:f>
        <ns0:v>JST PH, 1x05, 2,0 мм</ns0:v>
      </ns0:c>
      <ns0:c r="S262" t="str" s="34">
        <ns0:f>K262</ns0:f>
        <ns0:v>Разъём JST PH, 1x05, 2,0 мм B5B-PH-K</ns0:v>
      </ns0:c>
      <ns0:c r="T262" t="str" s="33">
        <ns0:v>C:\Users\Nomatin\Documents\Altium\MY_LIB\MY_LIB\Datasheets\JST_PH.pdf</ns0:v>
      </ns0:c>
      <ns0:c r="U262" s="33"/>
      <ns0:c r="V262" t="str" s="33">
        <ns0:v>Даташит — локальный</ns0:v>
      </ns0:c>
      <ns0:c r="W262" t="str" s="33">
        <ns0:v>C:\Users\Nomatin\Documents\Altium\MY_LIB\MY_LIB\Datasheets\JST_PH.pdf</ns0:v>
      </ns0:c>
      <ns0:c r="X262" t="str" s="33">
        <ns0:v>Даташит — производитель</ns0:v>
      </ns0:c>
      <ns0:c r="Y262" t="str" s="33">
        <ns0:v>https://www.jst-mfg.com/product/pdf/eng/ePH.pdf</ns0:v>
      </ns0:c>
      <ns0:c r="Z262" t="str" s="33">
        <ns0:v>C:\Users\Nomatin\Documents\Altium\MY_LIB\MY_LIB\Datasheets\JST_PH.pdf</ns0:v>
      </ns0:c>
    </ns0:row>
    <ns0:row xmlns:ns0="http://schemas.openxmlformats.org/spreadsheetml/2006/main" r="263">
      <ns0:c r="A263" t="str" s="33">
        <ns0:v>XP0182</ns0:v>
      </ns0:c>
      <ns0:c r="B263" t="str" s="33">
        <ns0:v>Разъём</ns0:v>
      </ns0:c>
      <ns0:c r="C263" t="str" s="33">
        <ns0:v>JST PH, 1x05, 2,0 мм</ns0:v>
      </ns0:c>
      <ns0:c r="D263" t="str" s="34">
        <ns0:f>C263</ns0:f>
        <ns0:v>JST PH, 1x05, 2,0 мм</ns0:v>
      </ns0:c>
      <ns0:c r="E263" s="33"/>
      <ns0:c r="F263" s="33"/>
      <ns0:c r="G263" s="33"/>
      <ns0:c r="H263" t="str" s="35">
        <ns0:v>1x05, P2,0, SMD, прямой</ns0:v>
      </ns0:c>
      <ns0:c r="I263" t="str" s="33">
        <ns0:v>JST</ns0:v>
      </ns0:c>
      <ns0:c r="J263" t="str" s="33">
        <ns0:v>B5B-PH-SM4-TB</ns0:v>
      </ns0:c>
      <ns0:c r="K263" t="str" s="34">
        <ns0:f>B263&amp;" "&amp;D263&amp;" "&amp;J263</ns0:f>
        <ns0:v>Разъём JST PH, 1x05, 2,0 мм B5B-PH-SM4-TB</ns0:v>
      </ns0:c>
      <ns0:c r="L263" t="str" s="36">
        <ns0:v>XP_5_MP</ns0:v>
      </ns0:c>
      <ns0:c r="M263" t="str" s="36">
        <ns0:v>Symbols\MY_LIB_Connectors.SchLib</ns0:v>
      </ns0:c>
      <ns0:c r="N263" t="str" s="36">
        <ns0:v>JST_PH_B5B-PH-SM4-TB</ns0:v>
      </ns0:c>
      <ns0:c r="O263" t="str" s="36">
        <ns0:v>Footprints\MY_LIB_Connectors.PcbLib</ns0:v>
      </ns0:c>
      <ns0:c r="P263" t="str" s="33">
        <ns0:v>Штыревой; 5 сигнальных контактов, шаг 2,0 мм; прямой, SMD. Контакт 6: Name=MP; обе металлические площадки имеют номер 6.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3" s="33"/>
      <ns0:c r="R263" t="str" s="34">
        <ns0:f>D263</ns0:f>
        <ns0:v>JST PH, 1x05, 2,0 мм</ns0:v>
      </ns0:c>
      <ns0:c r="S263" t="str" s="34">
        <ns0:f>K263</ns0:f>
        <ns0:v>Разъём JST PH, 1x05, 2,0 мм B5B-PH-SM4-TB</ns0:v>
      </ns0:c>
      <ns0:c r="T263" t="str" s="33">
        <ns0:v>C:\Users\Nomatin\Documents\Altium\MY_LIB\MY_LIB\Datasheets\JST_PH.pdf</ns0:v>
      </ns0:c>
      <ns0:c r="U263" s="33"/>
      <ns0:c r="V263" t="str" s="33">
        <ns0:v>Даташит — локальный</ns0:v>
      </ns0:c>
      <ns0:c r="W263" t="str" s="33">
        <ns0:v>C:\Users\Nomatin\Documents\Altium\MY_LIB\MY_LIB\Datasheets\JST_PH.pdf</ns0:v>
      </ns0:c>
      <ns0:c r="X263" t="str" s="33">
        <ns0:v>Даташит — производитель</ns0:v>
      </ns0:c>
      <ns0:c r="Y263" t="str" s="33">
        <ns0:v>https://www.jst-mfg.com/product/pdf/eng/ePH.pdf</ns0:v>
      </ns0:c>
      <ns0:c r="Z263" t="str" s="33">
        <ns0:v>C:\Users\Nomatin\Documents\Altium\MY_LIB\MY_LIB\Datasheets\JST_PH.pdf</ns0:v>
      </ns0:c>
    </ns0:row>
    <ns0:row xmlns:ns0="http://schemas.openxmlformats.org/spreadsheetml/2006/main" r="264">
      <ns0:c r="A264" t="str" s="33">
        <ns0:v>XP0183</ns0:v>
      </ns0:c>
      <ns0:c r="B264" t="str" s="33">
        <ns0:v>Разъём</ns0:v>
      </ns0:c>
      <ns0:c r="C264" t="str" s="33">
        <ns0:v>JST PH, 1x06, 2,0 мм</ns0:v>
      </ns0:c>
      <ns0:c r="D264" t="str" s="34">
        <ns0:f>C264</ns0:f>
        <ns0:v>JST PH, 1x06, 2,0 мм</ns0:v>
      </ns0:c>
      <ns0:c r="E264" s="33"/>
      <ns0:c r="F264" s="33"/>
      <ns0:c r="G264" s="33"/>
      <ns0:c r="H264" t="str" s="35">
        <ns0:v>1x06, P2,0, THT, прямой</ns0:v>
      </ns0:c>
      <ns0:c r="I264" t="str" s="33">
        <ns0:v>JST</ns0:v>
      </ns0:c>
      <ns0:c r="J264" t="str" s="33">
        <ns0:v>B6B-PH-K</ns0:v>
      </ns0:c>
      <ns0:c r="K264" t="str" s="34">
        <ns0:f>B264&amp;" "&amp;D264&amp;" "&amp;J264</ns0:f>
        <ns0:v>Разъём JST PH, 1x06, 2,0 мм B6B-PH-K</ns0:v>
      </ns0:c>
      <ns0:c r="L264" t="str" s="36">
        <ns0:v>XP_6</ns0:v>
      </ns0:c>
      <ns0:c r="M264" t="str" s="36">
        <ns0:v>Symbols\MY_LIB_Connectors.SchLib</ns0:v>
      </ns0:c>
      <ns0:c r="N264" t="str" s="36">
        <ns0:v>JST_PH_B6B-PH-K</ns0:v>
      </ns0:c>
      <ns0:c r="O264" t="str" s="36">
        <ns0:v>Footprints\MY_LIB_Connectors.PcbLib</ns0:v>
      </ns0:c>
      <ns0:c r="P264" t="str" s="33">
        <ns0:v>Штыревой; 6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4" s="33"/>
      <ns0:c r="R264" t="str" s="34">
        <ns0:f>D264</ns0:f>
        <ns0:v>JST PH, 1x06, 2,0 мм</ns0:v>
      </ns0:c>
      <ns0:c r="S264" t="str" s="34">
        <ns0:f>K264</ns0:f>
        <ns0:v>Разъём JST PH, 1x06, 2,0 мм B6B-PH-K</ns0:v>
      </ns0:c>
      <ns0:c r="T264" t="str" s="33">
        <ns0:v>C:\Users\Nomatin\Documents\Altium\MY_LIB\MY_LIB\Datasheets\JST_PH.pdf</ns0:v>
      </ns0:c>
      <ns0:c r="U264" s="33"/>
      <ns0:c r="V264" t="str" s="33">
        <ns0:v>Даташит — локальный</ns0:v>
      </ns0:c>
      <ns0:c r="W264" t="str" s="33">
        <ns0:v>C:\Users\Nomatin\Documents\Altium\MY_LIB\MY_LIB\Datasheets\JST_PH.pdf</ns0:v>
      </ns0:c>
      <ns0:c r="X264" t="str" s="33">
        <ns0:v>Даташит — производитель</ns0:v>
      </ns0:c>
      <ns0:c r="Y264" t="str" s="33">
        <ns0:v>https://www.jst-mfg.com/product/pdf/eng/ePH.pdf</ns0:v>
      </ns0:c>
      <ns0:c r="Z264" t="str" s="33">
        <ns0:v>C:\Users\Nomatin\Documents\Altium\MY_LIB\MY_LIB\Datasheets\JST_PH.pdf</ns0:v>
      </ns0:c>
    </ns0:row>
    <ns0:row xmlns:ns0="http://schemas.openxmlformats.org/spreadsheetml/2006/main" r="265">
      <ns0:c r="A265" t="str" s="33">
        <ns0:v>XP0184</ns0:v>
      </ns0:c>
      <ns0:c r="B265" t="str" s="33">
        <ns0:v>Разъём</ns0:v>
      </ns0:c>
      <ns0:c r="C265" t="str" s="33">
        <ns0:v>JST PH, 1x06, 2,0 мм</ns0:v>
      </ns0:c>
      <ns0:c r="D265" t="str" s="34">
        <ns0:f>C265</ns0:f>
        <ns0:v>JST PH, 1x06, 2,0 мм</ns0:v>
      </ns0:c>
      <ns0:c r="E265" s="33"/>
      <ns0:c r="F265" s="33"/>
      <ns0:c r="G265" s="33"/>
      <ns0:c r="H265" t="str" s="35">
        <ns0:v>1x06, P2,0, SMD, прямой</ns0:v>
      </ns0:c>
      <ns0:c r="I265" t="str" s="33">
        <ns0:v>JST</ns0:v>
      </ns0:c>
      <ns0:c r="J265" t="str" s="33">
        <ns0:v>B6B-PH-SM4-TB</ns0:v>
      </ns0:c>
      <ns0:c r="K265" t="str" s="34">
        <ns0:f>B265&amp;" "&amp;D265&amp;" "&amp;J265</ns0:f>
        <ns0:v>Разъём JST PH, 1x06, 2,0 мм B6B-PH-SM4-TB</ns0:v>
      </ns0:c>
      <ns0:c r="L265" t="str" s="36">
        <ns0:v>XP_6_MP</ns0:v>
      </ns0:c>
      <ns0:c r="M265" t="str" s="36">
        <ns0:v>Symbols\MY_LIB_Connectors.SchLib</ns0:v>
      </ns0:c>
      <ns0:c r="N265" t="str" s="36">
        <ns0:v>JST_PH_B6B-PH-SM4-TB</ns0:v>
      </ns0:c>
      <ns0:c r="O265" t="str" s="36">
        <ns0:v>Footprints\MY_LIB_Connectors.PcbLib</ns0:v>
      </ns0:c>
      <ns0:c r="P265" t="str" s="33">
        <ns0:v>Штыревой; 6 сигнальных контактов, шаг 2,0 мм; прямой, SMD. Контакт 7: Name=MP; обе металлические площадки имеют номер 7.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5" s="33"/>
      <ns0:c r="R265" t="str" s="34">
        <ns0:f>D265</ns0:f>
        <ns0:v>JST PH, 1x06, 2,0 мм</ns0:v>
      </ns0:c>
      <ns0:c r="S265" t="str" s="34">
        <ns0:f>K265</ns0:f>
        <ns0:v>Разъём JST PH, 1x06, 2,0 мм B6B-PH-SM4-TB</ns0:v>
      </ns0:c>
      <ns0:c r="T265" t="str" s="33">
        <ns0:v>C:\Users\Nomatin\Documents\Altium\MY_LIB\MY_LIB\Datasheets\JST_PH.pdf</ns0:v>
      </ns0:c>
      <ns0:c r="U265" s="33"/>
      <ns0:c r="V265" t="str" s="33">
        <ns0:v>Даташит — локальный</ns0:v>
      </ns0:c>
      <ns0:c r="W265" t="str" s="33">
        <ns0:v>C:\Users\Nomatin\Documents\Altium\MY_LIB\MY_LIB\Datasheets\JST_PH.pdf</ns0:v>
      </ns0:c>
      <ns0:c r="X265" t="str" s="33">
        <ns0:v>Даташит — производитель</ns0:v>
      </ns0:c>
      <ns0:c r="Y265" t="str" s="33">
        <ns0:v>https://www.jst-mfg.com/product/pdf/eng/ePH.pdf</ns0:v>
      </ns0:c>
      <ns0:c r="Z265" t="str" s="33">
        <ns0:v>C:\Users\Nomatin\Documents\Altium\MY_LIB\MY_LIB\Datasheets\JST_PH.pdf</ns0:v>
      </ns0:c>
    </ns0:row>
    <ns0:row xmlns:ns0="http://schemas.openxmlformats.org/spreadsheetml/2006/main" r="266">
      <ns0:c r="A266" t="str" s="33">
        <ns0:v>XP0185</ns0:v>
      </ns0:c>
      <ns0:c r="B266" t="str" s="33">
        <ns0:v>Разъём</ns0:v>
      </ns0:c>
      <ns0:c r="C266" t="str" s="33">
        <ns0:v>JST PH, 1x07, 2,0 мм</ns0:v>
      </ns0:c>
      <ns0:c r="D266" t="str" s="34">
        <ns0:f>C266</ns0:f>
        <ns0:v>JST PH, 1x07, 2,0 мм</ns0:v>
      </ns0:c>
      <ns0:c r="E266" s="33"/>
      <ns0:c r="F266" s="33"/>
      <ns0:c r="G266" s="33"/>
      <ns0:c r="H266" t="str" s="35">
        <ns0:v>1x07, P2,0, THT, прямой</ns0:v>
      </ns0:c>
      <ns0:c r="I266" t="str" s="33">
        <ns0:v>JST</ns0:v>
      </ns0:c>
      <ns0:c r="J266" t="str" s="33">
        <ns0:v>B7B-PH-K</ns0:v>
      </ns0:c>
      <ns0:c r="K266" t="str" s="34">
        <ns0:f>B266&amp;" "&amp;D266&amp;" "&amp;J266</ns0:f>
        <ns0:v>Разъём JST PH, 1x07, 2,0 мм B7B-PH-K</ns0:v>
      </ns0:c>
      <ns0:c r="L266" t="str" s="36">
        <ns0:v>XP_7</ns0:v>
      </ns0:c>
      <ns0:c r="M266" t="str" s="36">
        <ns0:v>Symbols\MY_LIB_Connectors.SchLib</ns0:v>
      </ns0:c>
      <ns0:c r="N266" t="str" s="36">
        <ns0:v>JST_PH_B7B-PH-K</ns0:v>
      </ns0:c>
      <ns0:c r="O266" t="str" s="36">
        <ns0:v>Footprints\MY_LIB_Connectors.PcbLib</ns0:v>
      </ns0:c>
      <ns0:c r="P266" t="str" s="33">
        <ns0:v>Штыревой; 7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6" s="33"/>
      <ns0:c r="R266" t="str" s="34">
        <ns0:f>D266</ns0:f>
        <ns0:v>JST PH, 1x07, 2,0 мм</ns0:v>
      </ns0:c>
      <ns0:c r="S266" t="str" s="34">
        <ns0:f>K266</ns0:f>
        <ns0:v>Разъём JST PH, 1x07, 2,0 мм B7B-PH-K</ns0:v>
      </ns0:c>
      <ns0:c r="T266" t="str" s="33">
        <ns0:v>C:\Users\Nomatin\Documents\Altium\MY_LIB\MY_LIB\Datasheets\JST_PH.pdf</ns0:v>
      </ns0:c>
      <ns0:c r="U266" s="33"/>
      <ns0:c r="V266" t="str" s="33">
        <ns0:v>Даташит — локальный</ns0:v>
      </ns0:c>
      <ns0:c r="W266" t="str" s="33">
        <ns0:v>C:\Users\Nomatin\Documents\Altium\MY_LIB\MY_LIB\Datasheets\JST_PH.pdf</ns0:v>
      </ns0:c>
      <ns0:c r="X266" t="str" s="33">
        <ns0:v>Даташит — производитель</ns0:v>
      </ns0:c>
      <ns0:c r="Y266" t="str" s="33">
        <ns0:v>https://www.jst-mfg.com/product/pdf/eng/ePH.pdf</ns0:v>
      </ns0:c>
      <ns0:c r="Z266" t="str" s="33">
        <ns0:v>C:\Users\Nomatin\Documents\Altium\MY_LIB\MY_LIB\Datasheets\JST_PH.pdf</ns0:v>
      </ns0:c>
    </ns0:row>
    <ns0:row xmlns:ns0="http://schemas.openxmlformats.org/spreadsheetml/2006/main" r="267">
      <ns0:c r="A267" t="str" s="33">
        <ns0:v>XP0186</ns0:v>
      </ns0:c>
      <ns0:c r="B267" t="str" s="33">
        <ns0:v>Разъём</ns0:v>
      </ns0:c>
      <ns0:c r="C267" t="str" s="33">
        <ns0:v>JST PH, 1x07, 2,0 мм</ns0:v>
      </ns0:c>
      <ns0:c r="D267" t="str" s="34">
        <ns0:f>C267</ns0:f>
        <ns0:v>JST PH, 1x07, 2,0 мм</ns0:v>
      </ns0:c>
      <ns0:c r="E267" s="33"/>
      <ns0:c r="F267" s="33"/>
      <ns0:c r="G267" s="33"/>
      <ns0:c r="H267" t="str" s="35">
        <ns0:v>1x07, P2,0, SMD, прямой</ns0:v>
      </ns0:c>
      <ns0:c r="I267" t="str" s="33">
        <ns0:v>JST</ns0:v>
      </ns0:c>
      <ns0:c r="J267" t="str" s="33">
        <ns0:v>B7B-PH-SM4-TB</ns0:v>
      </ns0:c>
      <ns0:c r="K267" t="str" s="34">
        <ns0:f>B267&amp;" "&amp;D267&amp;" "&amp;J267</ns0:f>
        <ns0:v>Разъём JST PH, 1x07, 2,0 мм B7B-PH-SM4-TB</ns0:v>
      </ns0:c>
      <ns0:c r="L267" t="str" s="36">
        <ns0:v>XP_7_MP</ns0:v>
      </ns0:c>
      <ns0:c r="M267" t="str" s="36">
        <ns0:v>Symbols\MY_LIB_Connectors.SchLib</ns0:v>
      </ns0:c>
      <ns0:c r="N267" t="str" s="36">
        <ns0:v>JST_PH_B7B-PH-SM4-TB</ns0:v>
      </ns0:c>
      <ns0:c r="O267" t="str" s="36">
        <ns0:v>Footprints\MY_LIB_Connectors.PcbLib</ns0:v>
      </ns0:c>
      <ns0:c r="P267" t="str" s="33">
        <ns0:v>Штыревой; 7 сигнальных контактов, шаг 2,0 мм; прямой, SMD. Контакт 8: Name=MP; обе металлические площадки имеют номер 8.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7" s="33"/>
      <ns0:c r="R267" t="str" s="34">
        <ns0:f>D267</ns0:f>
        <ns0:v>JST PH, 1x07, 2,0 мм</ns0:v>
      </ns0:c>
      <ns0:c r="S267" t="str" s="34">
        <ns0:f>K267</ns0:f>
        <ns0:v>Разъём JST PH, 1x07, 2,0 мм B7B-PH-SM4-TB</ns0:v>
      </ns0:c>
      <ns0:c r="T267" t="str" s="33">
        <ns0:v>C:\Users\Nomatin\Documents\Altium\MY_LIB\MY_LIB\Datasheets\JST_PH.pdf</ns0:v>
      </ns0:c>
      <ns0:c r="U267" s="33"/>
      <ns0:c r="V267" t="str" s="33">
        <ns0:v>Даташит — локальный</ns0:v>
      </ns0:c>
      <ns0:c r="W267" t="str" s="33">
        <ns0:v>C:\Users\Nomatin\Documents\Altium\MY_LIB\MY_LIB\Datasheets\JST_PH.pdf</ns0:v>
      </ns0:c>
      <ns0:c r="X267" t="str" s="33">
        <ns0:v>Даташит — производитель</ns0:v>
      </ns0:c>
      <ns0:c r="Y267" t="str" s="33">
        <ns0:v>https://www.jst-mfg.com/product/pdf/eng/ePH.pdf</ns0:v>
      </ns0:c>
      <ns0:c r="Z267" t="str" s="33">
        <ns0:v>C:\Users\Nomatin\Documents\Altium\MY_LIB\MY_LIB\Datasheets\JST_PH.pdf</ns0:v>
      </ns0:c>
    </ns0:row>
    <ns0:row xmlns:ns0="http://schemas.openxmlformats.org/spreadsheetml/2006/main" r="268">
      <ns0:c r="A268" t="str" s="33">
        <ns0:v>XP0187</ns0:v>
      </ns0:c>
      <ns0:c r="B268" t="str" s="33">
        <ns0:v>Разъём</ns0:v>
      </ns0:c>
      <ns0:c r="C268" t="str" s="33">
        <ns0:v>JST PH, 1x08, 2,0 мм</ns0:v>
      </ns0:c>
      <ns0:c r="D268" t="str" s="34">
        <ns0:f>C268</ns0:f>
        <ns0:v>JST PH, 1x08, 2,0 мм</ns0:v>
      </ns0:c>
      <ns0:c r="E268" s="33"/>
      <ns0:c r="F268" s="33"/>
      <ns0:c r="G268" s="33"/>
      <ns0:c r="H268" t="str" s="35">
        <ns0:v>1x08, P2,0, THT, прямой</ns0:v>
      </ns0:c>
      <ns0:c r="I268" t="str" s="33">
        <ns0:v>JST</ns0:v>
      </ns0:c>
      <ns0:c r="J268" t="str" s="33">
        <ns0:v>B8B-PH-K</ns0:v>
      </ns0:c>
      <ns0:c r="K268" t="str" s="34">
        <ns0:f>B268&amp;" "&amp;D268&amp;" "&amp;J268</ns0:f>
        <ns0:v>Разъём JST PH, 1x08, 2,0 мм B8B-PH-K</ns0:v>
      </ns0:c>
      <ns0:c r="L268" t="str" s="36">
        <ns0:v>XP_8</ns0:v>
      </ns0:c>
      <ns0:c r="M268" t="str" s="36">
        <ns0:v>Symbols\MY_LIB_Connectors.SchLib</ns0:v>
      </ns0:c>
      <ns0:c r="N268" t="str" s="36">
        <ns0:v>JST_PH_B8B-PH-K</ns0:v>
      </ns0:c>
      <ns0:c r="O268" t="str" s="36">
        <ns0:v>Footprints\MY_LIB_Connectors.PcbLib</ns0:v>
      </ns0:c>
      <ns0:c r="P268" t="str" s="33">
        <ns0:v>Штыревой; 8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8" s="33"/>
      <ns0:c r="R268" t="str" s="34">
        <ns0:f>D268</ns0:f>
        <ns0:v>JST PH, 1x08, 2,0 мм</ns0:v>
      </ns0:c>
      <ns0:c r="S268" t="str" s="34">
        <ns0:f>K268</ns0:f>
        <ns0:v>Разъём JST PH, 1x08, 2,0 мм B8B-PH-K</ns0:v>
      </ns0:c>
      <ns0:c r="T268" t="str" s="33">
        <ns0:v>C:\Users\Nomatin\Documents\Altium\MY_LIB\MY_LIB\Datasheets\JST_PH.pdf</ns0:v>
      </ns0:c>
      <ns0:c r="U268" s="33"/>
      <ns0:c r="V268" t="str" s="33">
        <ns0:v>Даташит — локальный</ns0:v>
      </ns0:c>
      <ns0:c r="W268" t="str" s="33">
        <ns0:v>C:\Users\Nomatin\Documents\Altium\MY_LIB\MY_LIB\Datasheets\JST_PH.pdf</ns0:v>
      </ns0:c>
      <ns0:c r="X268" t="str" s="33">
        <ns0:v>Даташит — производитель</ns0:v>
      </ns0:c>
      <ns0:c r="Y268" t="str" s="33">
        <ns0:v>https://www.jst-mfg.com/product/pdf/eng/ePH.pdf</ns0:v>
      </ns0:c>
      <ns0:c r="Z268" t="str" s="33">
        <ns0:v>C:\Users\Nomatin\Documents\Altium\MY_LIB\MY_LIB\Datasheets\JST_PH.pdf</ns0:v>
      </ns0:c>
    </ns0:row>
    <ns0:row xmlns:ns0="http://schemas.openxmlformats.org/spreadsheetml/2006/main" r="269">
      <ns0:c r="A269" t="str" s="33">
        <ns0:v>XP0188</ns0:v>
      </ns0:c>
      <ns0:c r="B269" t="str" s="33">
        <ns0:v>Разъём</ns0:v>
      </ns0:c>
      <ns0:c r="C269" t="str" s="33">
        <ns0:v>JST PH, 1x08, 2,0 мм</ns0:v>
      </ns0:c>
      <ns0:c r="D269" t="str" s="34">
        <ns0:f>C269</ns0:f>
        <ns0:v>JST PH, 1x08, 2,0 мм</ns0:v>
      </ns0:c>
      <ns0:c r="E269" s="33"/>
      <ns0:c r="F269" s="33"/>
      <ns0:c r="G269" s="33"/>
      <ns0:c r="H269" t="str" s="35">
        <ns0:v>1x08, P2,0, SMD, прямой</ns0:v>
      </ns0:c>
      <ns0:c r="I269" t="str" s="33">
        <ns0:v>JST</ns0:v>
      </ns0:c>
      <ns0:c r="J269" t="str" s="33">
        <ns0:v>B8B-PH-SM4-TB</ns0:v>
      </ns0:c>
      <ns0:c r="K269" t="str" s="34">
        <ns0:f>B269&amp;" "&amp;D269&amp;" "&amp;J269</ns0:f>
        <ns0:v>Разъём JST PH, 1x08, 2,0 мм B8B-PH-SM4-TB</ns0:v>
      </ns0:c>
      <ns0:c r="L269" t="str" s="36">
        <ns0:v>XP_8_MP</ns0:v>
      </ns0:c>
      <ns0:c r="M269" t="str" s="36">
        <ns0:v>Symbols\MY_LIB_Connectors.SchLib</ns0:v>
      </ns0:c>
      <ns0:c r="N269" t="str" s="36">
        <ns0:v>JST_PH_B8B-PH-SM4-TB</ns0:v>
      </ns0:c>
      <ns0:c r="O269" t="str" s="36">
        <ns0:v>Footprints\MY_LIB_Connectors.PcbLib</ns0:v>
      </ns0:c>
      <ns0:c r="P269" t="str" s="33">
        <ns0:v>Штыревой; 8 сигнальных контактов, шаг 2,0 мм; прямой, SMD. Контакт 9: Name=MP; обе металлические площадки имеют номер 9.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69" s="33"/>
      <ns0:c r="R269" t="str" s="34">
        <ns0:f>D269</ns0:f>
        <ns0:v>JST PH, 1x08, 2,0 мм</ns0:v>
      </ns0:c>
      <ns0:c r="S269" t="str" s="34">
        <ns0:f>K269</ns0:f>
        <ns0:v>Разъём JST PH, 1x08, 2,0 мм B8B-PH-SM4-TB</ns0:v>
      </ns0:c>
      <ns0:c r="T269" t="str" s="33">
        <ns0:v>C:\Users\Nomatin\Documents\Altium\MY_LIB\MY_LIB\Datasheets\JST_PH.pdf</ns0:v>
      </ns0:c>
      <ns0:c r="U269" s="33"/>
      <ns0:c r="V269" t="str" s="33">
        <ns0:v>Даташит — локальный</ns0:v>
      </ns0:c>
      <ns0:c r="W269" t="str" s="33">
        <ns0:v>C:\Users\Nomatin\Documents\Altium\MY_LIB\MY_LIB\Datasheets\JST_PH.pdf</ns0:v>
      </ns0:c>
      <ns0:c r="X269" t="str" s="33">
        <ns0:v>Даташит — производитель</ns0:v>
      </ns0:c>
      <ns0:c r="Y269" t="str" s="33">
        <ns0:v>https://www.jst-mfg.com/product/pdf/eng/ePH.pdf</ns0:v>
      </ns0:c>
      <ns0:c r="Z269" t="str" s="33">
        <ns0:v>C:\Users\Nomatin\Documents\Altium\MY_LIB\MY_LIB\Datasheets\JST_PH.pdf</ns0:v>
      </ns0:c>
    </ns0:row>
    <ns0:row xmlns:ns0="http://schemas.openxmlformats.org/spreadsheetml/2006/main" r="270">
      <ns0:c r="A270" t="str" s="33">
        <ns0:v>XP0189</ns0:v>
      </ns0:c>
      <ns0:c r="B270" t="str" s="33">
        <ns0:v>Разъём</ns0:v>
      </ns0:c>
      <ns0:c r="C270" t="str" s="33">
        <ns0:v>JST PH, 1x09, 2,0 мм</ns0:v>
      </ns0:c>
      <ns0:c r="D270" t="str" s="34">
        <ns0:f>C270</ns0:f>
        <ns0:v>JST PH, 1x09, 2,0 мм</ns0:v>
      </ns0:c>
      <ns0:c r="E270" s="33"/>
      <ns0:c r="F270" s="33"/>
      <ns0:c r="G270" s="33"/>
      <ns0:c r="H270" t="str" s="35">
        <ns0:v>1x09, P2,0, THT, прямой</ns0:v>
      </ns0:c>
      <ns0:c r="I270" t="str" s="33">
        <ns0:v>JST</ns0:v>
      </ns0:c>
      <ns0:c r="J270" t="str" s="33">
        <ns0:v>B9B-PH-K</ns0:v>
      </ns0:c>
      <ns0:c r="K270" t="str" s="34">
        <ns0:f>B270&amp;" "&amp;D270&amp;" "&amp;J270</ns0:f>
        <ns0:v>Разъём JST PH, 1x09, 2,0 мм B9B-PH-K</ns0:v>
      </ns0:c>
      <ns0:c r="L270" t="str" s="36">
        <ns0:v>XP_9</ns0:v>
      </ns0:c>
      <ns0:c r="M270" t="str" s="36">
        <ns0:v>Symbols\MY_LIB_Connectors.SchLib</ns0:v>
      </ns0:c>
      <ns0:c r="N270" t="str" s="36">
        <ns0:v>JST_PH_B9B-PH-K</ns0:v>
      </ns0:c>
      <ns0:c r="O270" t="str" s="36">
        <ns0:v>Footprints\MY_LIB_Connectors.PcbLib</ns0:v>
      </ns0:c>
      <ns0:c r="P270" t="str" s="33">
        <ns0:v>Штыревой; 9 сигнальных контактов, шаг 2,0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0" s="33"/>
      <ns0:c r="R270" t="str" s="34">
        <ns0:f>D270</ns0:f>
        <ns0:v>JST PH, 1x09, 2,0 мм</ns0:v>
      </ns0:c>
      <ns0:c r="S270" t="str" s="34">
        <ns0:f>K270</ns0:f>
        <ns0:v>Разъём JST PH, 1x09, 2,0 мм B9B-PH-K</ns0:v>
      </ns0:c>
      <ns0:c r="T270" t="str" s="33">
        <ns0:v>C:\Users\Nomatin\Documents\Altium\MY_LIB\MY_LIB\Datasheets\JST_PH.pdf</ns0:v>
      </ns0:c>
      <ns0:c r="U270" s="33"/>
      <ns0:c r="V270" t="str" s="33">
        <ns0:v>Даташит — локальный</ns0:v>
      </ns0:c>
      <ns0:c r="W270" t="str" s="33">
        <ns0:v>C:\Users\Nomatin\Documents\Altium\MY_LIB\MY_LIB\Datasheets\JST_PH.pdf</ns0:v>
      </ns0:c>
      <ns0:c r="X270" t="str" s="33">
        <ns0:v>Даташит — производитель</ns0:v>
      </ns0:c>
      <ns0:c r="Y270" t="str" s="33">
        <ns0:v>https://www.jst-mfg.com/product/pdf/eng/ePH.pdf</ns0:v>
      </ns0:c>
      <ns0:c r="Z270" t="str" s="33">
        <ns0:v>C:\Users\Nomatin\Documents\Altium\MY_LIB\MY_LIB\Datasheets\JST_PH.pdf</ns0:v>
      </ns0:c>
    </ns0:row>
    <ns0:row xmlns:ns0="http://schemas.openxmlformats.org/spreadsheetml/2006/main" r="271">
      <ns0:c r="A271" t="str" s="33">
        <ns0:v>XP0190</ns0:v>
      </ns0:c>
      <ns0:c r="B271" t="str" s="33">
        <ns0:v>Разъём</ns0:v>
      </ns0:c>
      <ns0:c r="C271" t="str" s="33">
        <ns0:v>JST PH, 1x09, 2,0 мм</ns0:v>
      </ns0:c>
      <ns0:c r="D271" t="str" s="34">
        <ns0:f>C271</ns0:f>
        <ns0:v>JST PH, 1x09, 2,0 мм</ns0:v>
      </ns0:c>
      <ns0:c r="E271" s="33"/>
      <ns0:c r="F271" s="33"/>
      <ns0:c r="G271" s="33"/>
      <ns0:c r="H271" t="str" s="35">
        <ns0:v>1x09, P2,0, SMD, прямой</ns0:v>
      </ns0:c>
      <ns0:c r="I271" t="str" s="33">
        <ns0:v>JST</ns0:v>
      </ns0:c>
      <ns0:c r="J271" t="str" s="33">
        <ns0:v>B9B-PH-SM4-TB</ns0:v>
      </ns0:c>
      <ns0:c r="K271" t="str" s="34">
        <ns0:f>B271&amp;" "&amp;D271&amp;" "&amp;J271</ns0:f>
        <ns0:v>Разъём JST PH, 1x09, 2,0 мм B9B-PH-SM4-TB</ns0:v>
      </ns0:c>
      <ns0:c r="L271" t="str" s="36">
        <ns0:v>XP_9_MP</ns0:v>
      </ns0:c>
      <ns0:c r="M271" t="str" s="36">
        <ns0:v>Symbols\MY_LIB_Connectors.SchLib</ns0:v>
      </ns0:c>
      <ns0:c r="N271" t="str" s="36">
        <ns0:v>JST_PH_B9B-PH-SM4-TB</ns0:v>
      </ns0:c>
      <ns0:c r="O271" t="str" s="36">
        <ns0:v>Footprints\MY_LIB_Connectors.PcbLib</ns0:v>
      </ns0:c>
      <ns0:c r="P271" t="str" s="33">
        <ns0:v>Штыревой; 9 сигнальных контактов, шаг 2,0 мм; прямой, SMD. Контакт 10: Name=MP; обе металлические площадки имеют номер 10.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1" s="33"/>
      <ns0:c r="R271" t="str" s="34">
        <ns0:f>D271</ns0:f>
        <ns0:v>JST PH, 1x09, 2,0 мм</ns0:v>
      </ns0:c>
      <ns0:c r="S271" t="str" s="34">
        <ns0:f>K271</ns0:f>
        <ns0:v>Разъём JST PH, 1x09, 2,0 мм B9B-PH-SM4-TB</ns0:v>
      </ns0:c>
      <ns0:c r="T271" t="str" s="33">
        <ns0:v>C:\Users\Nomatin\Documents\Altium\MY_LIB\MY_LIB\Datasheets\JST_PH.pdf</ns0:v>
      </ns0:c>
      <ns0:c r="U271" s="33"/>
      <ns0:c r="V271" t="str" s="33">
        <ns0:v>Даташит — локальный</ns0:v>
      </ns0:c>
      <ns0:c r="W271" t="str" s="33">
        <ns0:v>C:\Users\Nomatin\Documents\Altium\MY_LIB\MY_LIB\Datasheets\JST_PH.pdf</ns0:v>
      </ns0:c>
      <ns0:c r="X271" t="str" s="33">
        <ns0:v>Даташит — производитель</ns0:v>
      </ns0:c>
      <ns0:c r="Y271" t="str" s="33">
        <ns0:v>https://www.jst-mfg.com/product/pdf/eng/ePH.pdf</ns0:v>
      </ns0:c>
      <ns0:c r="Z271" t="str" s="33">
        <ns0:v>C:\Users\Nomatin\Documents\Altium\MY_LIB\MY_LIB\Datasheets\JST_PH.pdf</ns0:v>
      </ns0:c>
    </ns0:row>
    <ns0:row xmlns:ns0="http://schemas.openxmlformats.org/spreadsheetml/2006/main" r="272">
      <ns0:c r="A272" t="str" s="33">
        <ns0:v>XP0191</ns0:v>
      </ns0:c>
      <ns0:c r="B272" t="str" s="33">
        <ns0:v>Разъём</ns0:v>
      </ns0:c>
      <ns0:c r="C272" t="str" s="33">
        <ns0:v>JST PH, 1x10, 2,0 мм</ns0:v>
      </ns0:c>
      <ns0:c r="D272" t="str" s="34">
        <ns0:f>C272</ns0:f>
        <ns0:v>JST PH, 1x10, 2,0 мм</ns0:v>
      </ns0:c>
      <ns0:c r="E272" s="33"/>
      <ns0:c r="F272" s="33"/>
      <ns0:c r="G272" s="33"/>
      <ns0:c r="H272" t="str" s="35">
        <ns0:v>1x10, P2,0, THT, угловой</ns0:v>
      </ns0:c>
      <ns0:c r="I272" t="str" s="33">
        <ns0:v>JST</ns0:v>
      </ns0:c>
      <ns0:c r="J272" t="str" s="33">
        <ns0:v>S10B-PH-K</ns0:v>
      </ns0:c>
      <ns0:c r="K272" t="str" s="34">
        <ns0:f>B272&amp;" "&amp;D272&amp;" "&amp;J272</ns0:f>
        <ns0:v>Разъём JST PH, 1x10, 2,0 мм S10B-PH-K</ns0:v>
      </ns0:c>
      <ns0:c r="L272" t="str" s="36">
        <ns0:v>XP_10</ns0:v>
      </ns0:c>
      <ns0:c r="M272" t="str" s="36">
        <ns0:v>Symbols\MY_LIB_Connectors.SchLib</ns0:v>
      </ns0:c>
      <ns0:c r="N272" t="str" s="36">
        <ns0:v>JST_PH_S10B-PH-K</ns0:v>
      </ns0:c>
      <ns0:c r="O272" t="str" s="36">
        <ns0:v>Footprints\MY_LIB_Connectors.PcbLib</ns0:v>
      </ns0:c>
      <ns0:c r="P272" t="str" s="33">
        <ns0:v>Штыревой; 10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2" s="33"/>
      <ns0:c r="R272" t="str" s="34">
        <ns0:f>D272</ns0:f>
        <ns0:v>JST PH, 1x10, 2,0 мм</ns0:v>
      </ns0:c>
      <ns0:c r="S272" t="str" s="34">
        <ns0:f>K272</ns0:f>
        <ns0:v>Разъём JST PH, 1x10, 2,0 мм S10B-PH-K</ns0:v>
      </ns0:c>
      <ns0:c r="T272" t="str" s="33">
        <ns0:v>C:\Users\Nomatin\Documents\Altium\MY_LIB\MY_LIB\Datasheets\JST_PH.pdf</ns0:v>
      </ns0:c>
      <ns0:c r="U272" s="33"/>
      <ns0:c r="V272" t="str" s="33">
        <ns0:v>Даташит — локальный</ns0:v>
      </ns0:c>
      <ns0:c r="W272" t="str" s="33">
        <ns0:v>C:\Users\Nomatin\Documents\Altium\MY_LIB\MY_LIB\Datasheets\JST_PH.pdf</ns0:v>
      </ns0:c>
      <ns0:c r="X272" t="str" s="33">
        <ns0:v>Даташит — производитель</ns0:v>
      </ns0:c>
      <ns0:c r="Y272" t="str" s="33">
        <ns0:v>https://www.jst-mfg.com/product/pdf/eng/ePH.pdf</ns0:v>
      </ns0:c>
      <ns0:c r="Z272" t="str" s="33">
        <ns0:v>C:\Users\Nomatin\Documents\Altium\MY_LIB\MY_LIB\Datasheets\JST_PH.pdf</ns0:v>
      </ns0:c>
    </ns0:row>
    <ns0:row xmlns:ns0="http://schemas.openxmlformats.org/spreadsheetml/2006/main" r="273">
      <ns0:c r="A273" t="str" s="33">
        <ns0:v>XP0192</ns0:v>
      </ns0:c>
      <ns0:c r="B273" t="str" s="33">
        <ns0:v>Разъём</ns0:v>
      </ns0:c>
      <ns0:c r="C273" t="str" s="33">
        <ns0:v>JST PH, 1x10, 2,0 мм</ns0:v>
      </ns0:c>
      <ns0:c r="D273" t="str" s="34">
        <ns0:f>C273</ns0:f>
        <ns0:v>JST PH, 1x10, 2,0 мм</ns0:v>
      </ns0:c>
      <ns0:c r="E273" s="33"/>
      <ns0:c r="F273" s="33"/>
      <ns0:c r="G273" s="33"/>
      <ns0:c r="H273" t="str" s="35">
        <ns0:v>1x10, P2,0, SMD, угловой</ns0:v>
      </ns0:c>
      <ns0:c r="I273" t="str" s="33">
        <ns0:v>JST</ns0:v>
      </ns0:c>
      <ns0:c r="J273" t="str" s="33">
        <ns0:v>S10B-PH-SM4-TB</ns0:v>
      </ns0:c>
      <ns0:c r="K273" t="str" s="34">
        <ns0:f>B273&amp;" "&amp;D273&amp;" "&amp;J273</ns0:f>
        <ns0:v>Разъём JST PH, 1x10, 2,0 мм S10B-PH-SM4-TB</ns0:v>
      </ns0:c>
      <ns0:c r="L273" t="str" s="36">
        <ns0:v>XP_10_MP</ns0:v>
      </ns0:c>
      <ns0:c r="M273" t="str" s="36">
        <ns0:v>Symbols\MY_LIB_Connectors.SchLib</ns0:v>
      </ns0:c>
      <ns0:c r="N273" t="str" s="36">
        <ns0:v>JST_PH_S10B-PH-SM4-TB</ns0:v>
      </ns0:c>
      <ns0:c r="O273" t="str" s="36">
        <ns0:v>Footprints\MY_LIB_Connectors.PcbLib</ns0:v>
      </ns0:c>
      <ns0:c r="P273" t="str" s="33">
        <ns0:v>Штыревой; 10 сигнальных контактов, шаг 2,0 мм; угловой, SMD. Контакт 11: Name=MP; обе металлические площадки имеют номер 11.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3" s="33"/>
      <ns0:c r="R273" t="str" s="34">
        <ns0:f>D273</ns0:f>
        <ns0:v>JST PH, 1x10, 2,0 мм</ns0:v>
      </ns0:c>
      <ns0:c r="S273" t="str" s="34">
        <ns0:f>K273</ns0:f>
        <ns0:v>Разъём JST PH, 1x10, 2,0 мм S10B-PH-SM4-TB</ns0:v>
      </ns0:c>
      <ns0:c r="T273" t="str" s="33">
        <ns0:v>C:\Users\Nomatin\Documents\Altium\MY_LIB\MY_LIB\Datasheets\JST_PH.pdf</ns0:v>
      </ns0:c>
      <ns0:c r="U273" s="33"/>
      <ns0:c r="V273" t="str" s="33">
        <ns0:v>Даташит — локальный</ns0:v>
      </ns0:c>
      <ns0:c r="W273" t="str" s="33">
        <ns0:v>C:\Users\Nomatin\Documents\Altium\MY_LIB\MY_LIB\Datasheets\JST_PH.pdf</ns0:v>
      </ns0:c>
      <ns0:c r="X273" t="str" s="33">
        <ns0:v>Даташит — производитель</ns0:v>
      </ns0:c>
      <ns0:c r="Y273" t="str" s="33">
        <ns0:v>https://www.jst-mfg.com/product/pdf/eng/ePH.pdf</ns0:v>
      </ns0:c>
      <ns0:c r="Z273" t="str" s="33">
        <ns0:v>C:\Users\Nomatin\Documents\Altium\MY_LIB\MY_LIB\Datasheets\JST_PH.pdf</ns0:v>
      </ns0:c>
    </ns0:row>
    <ns0:row xmlns:ns0="http://schemas.openxmlformats.org/spreadsheetml/2006/main" r="274">
      <ns0:c r="A274" t="str" s="33">
        <ns0:v>XP0193</ns0:v>
      </ns0:c>
      <ns0:c r="B274" t="str" s="33">
        <ns0:v>Разъём</ns0:v>
      </ns0:c>
      <ns0:c r="C274" t="str" s="33">
        <ns0:v>JST PH, 1x11, 2,0 мм</ns0:v>
      </ns0:c>
      <ns0:c r="D274" t="str" s="34">
        <ns0:f>C274</ns0:f>
        <ns0:v>JST PH, 1x11, 2,0 мм</ns0:v>
      </ns0:c>
      <ns0:c r="E274" s="33"/>
      <ns0:c r="F274" s="33"/>
      <ns0:c r="G274" s="33"/>
      <ns0:c r="H274" t="str" s="35">
        <ns0:v>1x11, P2,0, THT, угловой</ns0:v>
      </ns0:c>
      <ns0:c r="I274" t="str" s="33">
        <ns0:v>JST</ns0:v>
      </ns0:c>
      <ns0:c r="J274" t="str" s="33">
        <ns0:v>S11B-PH-K</ns0:v>
      </ns0:c>
      <ns0:c r="K274" t="str" s="34">
        <ns0:f>B274&amp;" "&amp;D274&amp;" "&amp;J274</ns0:f>
        <ns0:v>Разъём JST PH, 1x11, 2,0 мм S11B-PH-K</ns0:v>
      </ns0:c>
      <ns0:c r="L274" t="str" s="36">
        <ns0:v>XP_11</ns0:v>
      </ns0:c>
      <ns0:c r="M274" t="str" s="36">
        <ns0:v>Symbols\MY_LIB_Connectors.SchLib</ns0:v>
      </ns0:c>
      <ns0:c r="N274" t="str" s="36">
        <ns0:v>JST_PH_S11B-PH-K</ns0:v>
      </ns0:c>
      <ns0:c r="O274" t="str" s="36">
        <ns0:v>Footprints\MY_LIB_Connectors.PcbLib</ns0:v>
      </ns0:c>
      <ns0:c r="P274" t="str" s="33">
        <ns0:v>Штыревой; 11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4" s="33"/>
      <ns0:c r="R274" t="str" s="34">
        <ns0:f>D274</ns0:f>
        <ns0:v>JST PH, 1x11, 2,0 мм</ns0:v>
      </ns0:c>
      <ns0:c r="S274" t="str" s="34">
        <ns0:f>K274</ns0:f>
        <ns0:v>Разъём JST PH, 1x11, 2,0 мм S11B-PH-K</ns0:v>
      </ns0:c>
      <ns0:c r="T274" t="str" s="33">
        <ns0:v>C:\Users\Nomatin\Documents\Altium\MY_LIB\MY_LIB\Datasheets\JST_PH.pdf</ns0:v>
      </ns0:c>
      <ns0:c r="U274" s="33"/>
      <ns0:c r="V274" t="str" s="33">
        <ns0:v>Даташит — локальный</ns0:v>
      </ns0:c>
      <ns0:c r="W274" t="str" s="33">
        <ns0:v>C:\Users\Nomatin\Documents\Altium\MY_LIB\MY_LIB\Datasheets\JST_PH.pdf</ns0:v>
      </ns0:c>
      <ns0:c r="X274" t="str" s="33">
        <ns0:v>Даташит — производитель</ns0:v>
      </ns0:c>
      <ns0:c r="Y274" t="str" s="33">
        <ns0:v>https://www.jst-mfg.com/product/pdf/eng/ePH.pdf</ns0:v>
      </ns0:c>
      <ns0:c r="Z274" t="str" s="33">
        <ns0:v>C:\Users\Nomatin\Documents\Altium\MY_LIB\MY_LIB\Datasheets\JST_PH.pdf</ns0:v>
      </ns0:c>
    </ns0:row>
    <ns0:row xmlns:ns0="http://schemas.openxmlformats.org/spreadsheetml/2006/main" r="275">
      <ns0:c r="A275" t="str" s="33">
        <ns0:v>XP0194</ns0:v>
      </ns0:c>
      <ns0:c r="B275" t="str" s="33">
        <ns0:v>Разъём</ns0:v>
      </ns0:c>
      <ns0:c r="C275" t="str" s="33">
        <ns0:v>JST PH, 1x11, 2,0 мм</ns0:v>
      </ns0:c>
      <ns0:c r="D275" t="str" s="34">
        <ns0:f>C275</ns0:f>
        <ns0:v>JST PH, 1x11, 2,0 мм</ns0:v>
      </ns0:c>
      <ns0:c r="E275" s="33"/>
      <ns0:c r="F275" s="33"/>
      <ns0:c r="G275" s="33"/>
      <ns0:c r="H275" t="str" s="35">
        <ns0:v>1x11, P2,0, SMD, угловой</ns0:v>
      </ns0:c>
      <ns0:c r="I275" t="str" s="33">
        <ns0:v>JST</ns0:v>
      </ns0:c>
      <ns0:c r="J275" t="str" s="33">
        <ns0:v>S11B-PH-SM4-TB</ns0:v>
      </ns0:c>
      <ns0:c r="K275" t="str" s="34">
        <ns0:f>B275&amp;" "&amp;D275&amp;" "&amp;J275</ns0:f>
        <ns0:v>Разъём JST PH, 1x11, 2,0 мм S11B-PH-SM4-TB</ns0:v>
      </ns0:c>
      <ns0:c r="L275" t="str" s="36">
        <ns0:v>XP_11_MP</ns0:v>
      </ns0:c>
      <ns0:c r="M275" t="str" s="36">
        <ns0:v>Symbols\MY_LIB_Connectors.SchLib</ns0:v>
      </ns0:c>
      <ns0:c r="N275" t="str" s="36">
        <ns0:v>JST_PH_S11B-PH-SM4-TB</ns0:v>
      </ns0:c>
      <ns0:c r="O275" t="str" s="36">
        <ns0:v>Footprints\MY_LIB_Connectors.PcbLib</ns0:v>
      </ns0:c>
      <ns0:c r="P275" t="str" s="33">
        <ns0:v>Штыревой; 11 сигнальных контактов, шаг 2,0 мм; угловой, SMD. Контакт 12: Name=MP; обе металлические площадки имеют номер 12.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5" s="33"/>
      <ns0:c r="R275" t="str" s="34">
        <ns0:f>D275</ns0:f>
        <ns0:v>JST PH, 1x11, 2,0 мм</ns0:v>
      </ns0:c>
      <ns0:c r="S275" t="str" s="34">
        <ns0:f>K275</ns0:f>
        <ns0:v>Разъём JST PH, 1x11, 2,0 мм S11B-PH-SM4-TB</ns0:v>
      </ns0:c>
      <ns0:c r="T275" t="str" s="33">
        <ns0:v>C:\Users\Nomatin\Documents\Altium\MY_LIB\MY_LIB\Datasheets\JST_PH.pdf</ns0:v>
      </ns0:c>
      <ns0:c r="U275" s="33"/>
      <ns0:c r="V275" t="str" s="33">
        <ns0:v>Даташит — локальный</ns0:v>
      </ns0:c>
      <ns0:c r="W275" t="str" s="33">
        <ns0:v>C:\Users\Nomatin\Documents\Altium\MY_LIB\MY_LIB\Datasheets\JST_PH.pdf</ns0:v>
      </ns0:c>
      <ns0:c r="X275" t="str" s="33">
        <ns0:v>Даташит — производитель</ns0:v>
      </ns0:c>
      <ns0:c r="Y275" t="str" s="33">
        <ns0:v>https://www.jst-mfg.com/product/pdf/eng/ePH.pdf</ns0:v>
      </ns0:c>
      <ns0:c r="Z275" t="str" s="33">
        <ns0:v>C:\Users\Nomatin\Documents\Altium\MY_LIB\MY_LIB\Datasheets\JST_PH.pdf</ns0:v>
      </ns0:c>
    </ns0:row>
    <ns0:row xmlns:ns0="http://schemas.openxmlformats.org/spreadsheetml/2006/main" r="276">
      <ns0:c r="A276" t="str" s="33">
        <ns0:v>XP0195</ns0:v>
      </ns0:c>
      <ns0:c r="B276" t="str" s="33">
        <ns0:v>Разъём</ns0:v>
      </ns0:c>
      <ns0:c r="C276" t="str" s="33">
        <ns0:v>JST PH, 1x12, 2,0 мм</ns0:v>
      </ns0:c>
      <ns0:c r="D276" t="str" s="34">
        <ns0:f>C276</ns0:f>
        <ns0:v>JST PH, 1x12, 2,0 мм</ns0:v>
      </ns0:c>
      <ns0:c r="E276" s="33"/>
      <ns0:c r="F276" s="33"/>
      <ns0:c r="G276" s="33"/>
      <ns0:c r="H276" t="str" s="35">
        <ns0:v>1x12, P2,0, THT, угловой</ns0:v>
      </ns0:c>
      <ns0:c r="I276" t="str" s="33">
        <ns0:v>JST</ns0:v>
      </ns0:c>
      <ns0:c r="J276" t="str" s="33">
        <ns0:v>S12B-PH-K</ns0:v>
      </ns0:c>
      <ns0:c r="K276" t="str" s="34">
        <ns0:f>B276&amp;" "&amp;D276&amp;" "&amp;J276</ns0:f>
        <ns0:v>Разъём JST PH, 1x12, 2,0 мм S12B-PH-K</ns0:v>
      </ns0:c>
      <ns0:c r="L276" t="str" s="36">
        <ns0:v>XP_12</ns0:v>
      </ns0:c>
      <ns0:c r="M276" t="str" s="36">
        <ns0:v>Symbols\MY_LIB_Connectors.SchLib</ns0:v>
      </ns0:c>
      <ns0:c r="N276" t="str" s="36">
        <ns0:v>JST_PH_S12B-PH-K</ns0:v>
      </ns0:c>
      <ns0:c r="O276" t="str" s="36">
        <ns0:v>Footprints\MY_LIB_Connectors.PcbLib</ns0:v>
      </ns0:c>
      <ns0:c r="P276" t="str" s="33">
        <ns0:v>Штыревой; 12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6" s="33"/>
      <ns0:c r="R276" t="str" s="34">
        <ns0:f>D276</ns0:f>
        <ns0:v>JST PH, 1x12, 2,0 мм</ns0:v>
      </ns0:c>
      <ns0:c r="S276" t="str" s="34">
        <ns0:f>K276</ns0:f>
        <ns0:v>Разъём JST PH, 1x12, 2,0 мм S12B-PH-K</ns0:v>
      </ns0:c>
      <ns0:c r="T276" t="str" s="33">
        <ns0:v>C:\Users\Nomatin\Documents\Altium\MY_LIB\MY_LIB\Datasheets\JST_PH.pdf</ns0:v>
      </ns0:c>
      <ns0:c r="U276" s="33"/>
      <ns0:c r="V276" t="str" s="33">
        <ns0:v>Даташит — локальный</ns0:v>
      </ns0:c>
      <ns0:c r="W276" t="str" s="33">
        <ns0:v>C:\Users\Nomatin\Documents\Altium\MY_LIB\MY_LIB\Datasheets\JST_PH.pdf</ns0:v>
      </ns0:c>
      <ns0:c r="X276" t="str" s="33">
        <ns0:v>Даташит — производитель</ns0:v>
      </ns0:c>
      <ns0:c r="Y276" t="str" s="33">
        <ns0:v>https://www.jst-mfg.com/product/pdf/eng/ePH.pdf</ns0:v>
      </ns0:c>
      <ns0:c r="Z276" t="str" s="33">
        <ns0:v>C:\Users\Nomatin\Documents\Altium\MY_LIB\MY_LIB\Datasheets\JST_PH.pdf</ns0:v>
      </ns0:c>
    </ns0:row>
    <ns0:row xmlns:ns0="http://schemas.openxmlformats.org/spreadsheetml/2006/main" r="277">
      <ns0:c r="A277" t="str" s="33">
        <ns0:v>XP0196</ns0:v>
      </ns0:c>
      <ns0:c r="B277" t="str" s="33">
        <ns0:v>Разъём</ns0:v>
      </ns0:c>
      <ns0:c r="C277" t="str" s="33">
        <ns0:v>JST PH, 1x12, 2,0 мм</ns0:v>
      </ns0:c>
      <ns0:c r="D277" t="str" s="34">
        <ns0:f>C277</ns0:f>
        <ns0:v>JST PH, 1x12, 2,0 мм</ns0:v>
      </ns0:c>
      <ns0:c r="E277" s="33"/>
      <ns0:c r="F277" s="33"/>
      <ns0:c r="G277" s="33"/>
      <ns0:c r="H277" t="str" s="35">
        <ns0:v>1x12, P2,0, SMD, угловой</ns0:v>
      </ns0:c>
      <ns0:c r="I277" t="str" s="33">
        <ns0:v>JST</ns0:v>
      </ns0:c>
      <ns0:c r="J277" t="str" s="33">
        <ns0:v>S12B-PH-SM4-TB</ns0:v>
      </ns0:c>
      <ns0:c r="K277" t="str" s="34">
        <ns0:f>B277&amp;" "&amp;D277&amp;" "&amp;J277</ns0:f>
        <ns0:v>Разъём JST PH, 1x12, 2,0 мм S12B-PH-SM4-TB</ns0:v>
      </ns0:c>
      <ns0:c r="L277" t="str" s="36">
        <ns0:v>XP_12_MP</ns0:v>
      </ns0:c>
      <ns0:c r="M277" t="str" s="36">
        <ns0:v>Symbols\MY_LIB_Connectors.SchLib</ns0:v>
      </ns0:c>
      <ns0:c r="N277" t="str" s="36">
        <ns0:v>JST_PH_S12B-PH-SM4-TB</ns0:v>
      </ns0:c>
      <ns0:c r="O277" t="str" s="36">
        <ns0:v>Footprints\MY_LIB_Connectors.PcbLib</ns0:v>
      </ns0:c>
      <ns0:c r="P277" t="str" s="33">
        <ns0:v>Штыревой; 12 сигнальных контактов, шаг 2,0 мм; угловой, SMD. Контакт 13: Name=MP; обе металлические площадки имеют номер 13.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7" s="33"/>
      <ns0:c r="R277" t="str" s="34">
        <ns0:f>D277</ns0:f>
        <ns0:v>JST PH, 1x12, 2,0 мм</ns0:v>
      </ns0:c>
      <ns0:c r="S277" t="str" s="34">
        <ns0:f>K277</ns0:f>
        <ns0:v>Разъём JST PH, 1x12, 2,0 мм S12B-PH-SM4-TB</ns0:v>
      </ns0:c>
      <ns0:c r="T277" t="str" s="33">
        <ns0:v>C:\Users\Nomatin\Documents\Altium\MY_LIB\MY_LIB\Datasheets\JST_PH.pdf</ns0:v>
      </ns0:c>
      <ns0:c r="U277" s="33"/>
      <ns0:c r="V277" t="str" s="33">
        <ns0:v>Даташит — локальный</ns0:v>
      </ns0:c>
      <ns0:c r="W277" t="str" s="33">
        <ns0:v>C:\Users\Nomatin\Documents\Altium\MY_LIB\MY_LIB\Datasheets\JST_PH.pdf</ns0:v>
      </ns0:c>
      <ns0:c r="X277" t="str" s="33">
        <ns0:v>Даташит — производитель</ns0:v>
      </ns0:c>
      <ns0:c r="Y277" t="str" s="33">
        <ns0:v>https://www.jst-mfg.com/product/pdf/eng/ePH.pdf</ns0:v>
      </ns0:c>
      <ns0:c r="Z277" t="str" s="33">
        <ns0:v>C:\Users\Nomatin\Documents\Altium\MY_LIB\MY_LIB\Datasheets\JST_PH.pdf</ns0:v>
      </ns0:c>
    </ns0:row>
    <ns0:row xmlns:ns0="http://schemas.openxmlformats.org/spreadsheetml/2006/main" r="278">
      <ns0:c r="A278" t="str" s="33">
        <ns0:v>XP0197</ns0:v>
      </ns0:c>
      <ns0:c r="B278" t="str" s="33">
        <ns0:v>Разъём</ns0:v>
      </ns0:c>
      <ns0:c r="C278" t="str" s="33">
        <ns0:v>JST PH, 1x13, 2,0 мм</ns0:v>
      </ns0:c>
      <ns0:c r="D278" t="str" s="34">
        <ns0:f>C278</ns0:f>
        <ns0:v>JST PH, 1x13, 2,0 мм</ns0:v>
      </ns0:c>
      <ns0:c r="E278" s="33"/>
      <ns0:c r="F278" s="33"/>
      <ns0:c r="G278" s="33"/>
      <ns0:c r="H278" t="str" s="35">
        <ns0:v>1x13, P2,0, THT, угловой</ns0:v>
      </ns0:c>
      <ns0:c r="I278" t="str" s="33">
        <ns0:v>JST</ns0:v>
      </ns0:c>
      <ns0:c r="J278" t="str" s="33">
        <ns0:v>S13B-PH-K</ns0:v>
      </ns0:c>
      <ns0:c r="K278" t="str" s="34">
        <ns0:f>B278&amp;" "&amp;D278&amp;" "&amp;J278</ns0:f>
        <ns0:v>Разъём JST PH, 1x13, 2,0 мм S13B-PH-K</ns0:v>
      </ns0:c>
      <ns0:c r="L278" t="str" s="36">
        <ns0:v>XP_13</ns0:v>
      </ns0:c>
      <ns0:c r="M278" t="str" s="36">
        <ns0:v>Symbols\MY_LIB_Connectors.SchLib</ns0:v>
      </ns0:c>
      <ns0:c r="N278" t="str" s="36">
        <ns0:v>JST_PH_S13B-PH-K</ns0:v>
      </ns0:c>
      <ns0:c r="O278" t="str" s="36">
        <ns0:v>Footprints\MY_LIB_Connectors.PcbLib</ns0:v>
      </ns0:c>
      <ns0:c r="P278" t="str" s="33">
        <ns0:v>Штыревой; 13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8" s="33"/>
      <ns0:c r="R278" t="str" s="34">
        <ns0:f>D278</ns0:f>
        <ns0:v>JST PH, 1x13, 2,0 мм</ns0:v>
      </ns0:c>
      <ns0:c r="S278" t="str" s="34">
        <ns0:f>K278</ns0:f>
        <ns0:v>Разъём JST PH, 1x13, 2,0 мм S13B-PH-K</ns0:v>
      </ns0:c>
      <ns0:c r="T278" t="str" s="33">
        <ns0:v>C:\Users\Nomatin\Documents\Altium\MY_LIB\MY_LIB\Datasheets\JST_PH.pdf</ns0:v>
      </ns0:c>
      <ns0:c r="U278" s="33"/>
      <ns0:c r="V278" t="str" s="33">
        <ns0:v>Даташит — локальный</ns0:v>
      </ns0:c>
      <ns0:c r="W278" t="str" s="33">
        <ns0:v>C:\Users\Nomatin\Documents\Altium\MY_LIB\MY_LIB\Datasheets\JST_PH.pdf</ns0:v>
      </ns0:c>
      <ns0:c r="X278" t="str" s="33">
        <ns0:v>Даташит — производитель</ns0:v>
      </ns0:c>
      <ns0:c r="Y278" t="str" s="33">
        <ns0:v>https://www.jst-mfg.com/product/pdf/eng/ePH.pdf</ns0:v>
      </ns0:c>
      <ns0:c r="Z278" t="str" s="33">
        <ns0:v>C:\Users\Nomatin\Documents\Altium\MY_LIB\MY_LIB\Datasheets\JST_PH.pdf</ns0:v>
      </ns0:c>
    </ns0:row>
    <ns0:row xmlns:ns0="http://schemas.openxmlformats.org/spreadsheetml/2006/main" r="279">
      <ns0:c r="A279" t="str" s="33">
        <ns0:v>XP0198</ns0:v>
      </ns0:c>
      <ns0:c r="B279" t="str" s="33">
        <ns0:v>Разъём</ns0:v>
      </ns0:c>
      <ns0:c r="C279" t="str" s="33">
        <ns0:v>JST PH, 1x13, 2,0 мм</ns0:v>
      </ns0:c>
      <ns0:c r="D279" t="str" s="34">
        <ns0:f>C279</ns0:f>
        <ns0:v>JST PH, 1x13, 2,0 мм</ns0:v>
      </ns0:c>
      <ns0:c r="E279" s="33"/>
      <ns0:c r="F279" s="33"/>
      <ns0:c r="G279" s="33"/>
      <ns0:c r="H279" t="str" s="35">
        <ns0:v>1x13, P2,0, SMD, угловой</ns0:v>
      </ns0:c>
      <ns0:c r="I279" t="str" s="33">
        <ns0:v>JST</ns0:v>
      </ns0:c>
      <ns0:c r="J279" t="str" s="33">
        <ns0:v>S13B-PH-SM4-TB</ns0:v>
      </ns0:c>
      <ns0:c r="K279" t="str" s="34">
        <ns0:f>B279&amp;" "&amp;D279&amp;" "&amp;J279</ns0:f>
        <ns0:v>Разъём JST PH, 1x13, 2,0 мм S13B-PH-SM4-TB</ns0:v>
      </ns0:c>
      <ns0:c r="L279" t="str" s="36">
        <ns0:v>XP_13_MP</ns0:v>
      </ns0:c>
      <ns0:c r="M279" t="str" s="36">
        <ns0:v>Symbols\MY_LIB_Connectors.SchLib</ns0:v>
      </ns0:c>
      <ns0:c r="N279" t="str" s="36">
        <ns0:v>JST_PH_S13B-PH-SM4-TB</ns0:v>
      </ns0:c>
      <ns0:c r="O279" t="str" s="36">
        <ns0:v>Footprints\MY_LIB_Connectors.PcbLib</ns0:v>
      </ns0:c>
      <ns0:c r="P279" t="str" s="33">
        <ns0:v>Штыревой; 13 сигнальных контактов, шаг 2,0 мм; угловой, SMD. Контакт 14: Name=MP; обе металлические площадки имеют номер 14.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79" s="33"/>
      <ns0:c r="R279" t="str" s="34">
        <ns0:f>D279</ns0:f>
        <ns0:v>JST PH, 1x13, 2,0 мм</ns0:v>
      </ns0:c>
      <ns0:c r="S279" t="str" s="34">
        <ns0:f>K279</ns0:f>
        <ns0:v>Разъём JST PH, 1x13, 2,0 мм S13B-PH-SM4-TB</ns0:v>
      </ns0:c>
      <ns0:c r="T279" t="str" s="33">
        <ns0:v>C:\Users\Nomatin\Documents\Altium\MY_LIB\MY_LIB\Datasheets\JST_PH.pdf</ns0:v>
      </ns0:c>
      <ns0:c r="U279" s="33"/>
      <ns0:c r="V279" t="str" s="33">
        <ns0:v>Даташит — локальный</ns0:v>
      </ns0:c>
      <ns0:c r="W279" t="str" s="33">
        <ns0:v>C:\Users\Nomatin\Documents\Altium\MY_LIB\MY_LIB\Datasheets\JST_PH.pdf</ns0:v>
      </ns0:c>
      <ns0:c r="X279" t="str" s="33">
        <ns0:v>Даташит — производитель</ns0:v>
      </ns0:c>
      <ns0:c r="Y279" t="str" s="33">
        <ns0:v>https://www.jst-mfg.com/product/pdf/eng/ePH.pdf</ns0:v>
      </ns0:c>
      <ns0:c r="Z279" t="str" s="33">
        <ns0:v>C:\Users\Nomatin\Documents\Altium\MY_LIB\MY_LIB\Datasheets\JST_PH.pdf</ns0:v>
      </ns0:c>
    </ns0:row>
    <ns0:row xmlns:ns0="http://schemas.openxmlformats.org/spreadsheetml/2006/main" r="280">
      <ns0:c r="A280" t="str" s="33">
        <ns0:v>XP0199</ns0:v>
      </ns0:c>
      <ns0:c r="B280" t="str" s="33">
        <ns0:v>Разъём</ns0:v>
      </ns0:c>
      <ns0:c r="C280" t="str" s="33">
        <ns0:v>JST PH, 1x14, 2,0 мм</ns0:v>
      </ns0:c>
      <ns0:c r="D280" t="str" s="34">
        <ns0:f>C280</ns0:f>
        <ns0:v>JST PH, 1x14, 2,0 мм</ns0:v>
      </ns0:c>
      <ns0:c r="E280" s="33"/>
      <ns0:c r="F280" s="33"/>
      <ns0:c r="G280" s="33"/>
      <ns0:c r="H280" t="str" s="35">
        <ns0:v>1x14, P2,0, THT, угловой</ns0:v>
      </ns0:c>
      <ns0:c r="I280" t="str" s="33">
        <ns0:v>JST</ns0:v>
      </ns0:c>
      <ns0:c r="J280" t="str" s="33">
        <ns0:v>S14B-PH-K</ns0:v>
      </ns0:c>
      <ns0:c r="K280" t="str" s="34">
        <ns0:f>B280&amp;" "&amp;D280&amp;" "&amp;J280</ns0:f>
        <ns0:v>Разъём JST PH, 1x14, 2,0 мм S14B-PH-K</ns0:v>
      </ns0:c>
      <ns0:c r="L280" t="str" s="36">
        <ns0:v>XP_14</ns0:v>
      </ns0:c>
      <ns0:c r="M280" t="str" s="36">
        <ns0:v>Symbols\MY_LIB_Connectors.SchLib</ns0:v>
      </ns0:c>
      <ns0:c r="N280" t="str" s="36">
        <ns0:v>JST_PH_S14B-PH-K</ns0:v>
      </ns0:c>
      <ns0:c r="O280" t="str" s="36">
        <ns0:v>Footprints\MY_LIB_Connectors.PcbLib</ns0:v>
      </ns0:c>
      <ns0:c r="P280" t="str" s="33">
        <ns0:v>Штыревой; 14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0" s="33"/>
      <ns0:c r="R280" t="str" s="34">
        <ns0:f>D280</ns0:f>
        <ns0:v>JST PH, 1x14, 2,0 мм</ns0:v>
      </ns0:c>
      <ns0:c r="S280" t="str" s="34">
        <ns0:f>K280</ns0:f>
        <ns0:v>Разъём JST PH, 1x14, 2,0 мм S14B-PH-K</ns0:v>
      </ns0:c>
      <ns0:c r="T280" t="str" s="33">
        <ns0:v>C:\Users\Nomatin\Documents\Altium\MY_LIB\MY_LIB\Datasheets\JST_PH.pdf</ns0:v>
      </ns0:c>
      <ns0:c r="U280" s="33"/>
      <ns0:c r="V280" t="str" s="33">
        <ns0:v>Даташит — локальный</ns0:v>
      </ns0:c>
      <ns0:c r="W280" t="str" s="33">
        <ns0:v>C:\Users\Nomatin\Documents\Altium\MY_LIB\MY_LIB\Datasheets\JST_PH.pdf</ns0:v>
      </ns0:c>
      <ns0:c r="X280" t="str" s="33">
        <ns0:v>Даташит — производитель</ns0:v>
      </ns0:c>
      <ns0:c r="Y280" t="str" s="33">
        <ns0:v>https://www.jst-mfg.com/product/pdf/eng/ePH.pdf</ns0:v>
      </ns0:c>
      <ns0:c r="Z280" t="str" s="33">
        <ns0:v>C:\Users\Nomatin\Documents\Altium\MY_LIB\MY_LIB\Datasheets\JST_PH.pdf</ns0:v>
      </ns0:c>
    </ns0:row>
    <ns0:row xmlns:ns0="http://schemas.openxmlformats.org/spreadsheetml/2006/main" r="281">
      <ns0:c r="A281" t="str" s="33">
        <ns0:v>XP0200</ns0:v>
      </ns0:c>
      <ns0:c r="B281" t="str" s="33">
        <ns0:v>Разъём</ns0:v>
      </ns0:c>
      <ns0:c r="C281" t="str" s="33">
        <ns0:v>JST PH, 1x14, 2,0 мм</ns0:v>
      </ns0:c>
      <ns0:c r="D281" t="str" s="34">
        <ns0:f>C281</ns0:f>
        <ns0:v>JST PH, 1x14, 2,0 мм</ns0:v>
      </ns0:c>
      <ns0:c r="E281" s="33"/>
      <ns0:c r="F281" s="33"/>
      <ns0:c r="G281" s="33"/>
      <ns0:c r="H281" t="str" s="35">
        <ns0:v>1x14, P2,0, SMD, угловой</ns0:v>
      </ns0:c>
      <ns0:c r="I281" t="str" s="33">
        <ns0:v>JST</ns0:v>
      </ns0:c>
      <ns0:c r="J281" t="str" s="33">
        <ns0:v>S14B-PH-SM4-TB</ns0:v>
      </ns0:c>
      <ns0:c r="K281" t="str" s="34">
        <ns0:f>B281&amp;" "&amp;D281&amp;" "&amp;J281</ns0:f>
        <ns0:v>Разъём JST PH, 1x14, 2,0 мм S14B-PH-SM4-TB</ns0:v>
      </ns0:c>
      <ns0:c r="L281" t="str" s="36">
        <ns0:v>XP_14_MP</ns0:v>
      </ns0:c>
      <ns0:c r="M281" t="str" s="36">
        <ns0:v>Symbols\MY_LIB_Connectors.SchLib</ns0:v>
      </ns0:c>
      <ns0:c r="N281" t="str" s="36">
        <ns0:v>JST_PH_S14B-PH-SM4-TB</ns0:v>
      </ns0:c>
      <ns0:c r="O281" t="str" s="36">
        <ns0:v>Footprints\MY_LIB_Connectors.PcbLib</ns0:v>
      </ns0:c>
      <ns0:c r="P281" t="str" s="33">
        <ns0:v>Штыревой; 14 сигнальных контактов, шаг 2,0 мм; угловой, SMD. Контакт 15: Name=MP; обе металлические площадки имеют номер 15.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1" s="33"/>
      <ns0:c r="R281" t="str" s="34">
        <ns0:f>D281</ns0:f>
        <ns0:v>JST PH, 1x14, 2,0 мм</ns0:v>
      </ns0:c>
      <ns0:c r="S281" t="str" s="34">
        <ns0:f>K281</ns0:f>
        <ns0:v>Разъём JST PH, 1x14, 2,0 мм S14B-PH-SM4-TB</ns0:v>
      </ns0:c>
      <ns0:c r="T281" t="str" s="33">
        <ns0:v>C:\Users\Nomatin\Documents\Altium\MY_LIB\MY_LIB\Datasheets\JST_PH.pdf</ns0:v>
      </ns0:c>
      <ns0:c r="U281" s="33"/>
      <ns0:c r="V281" t="str" s="33">
        <ns0:v>Даташит — локальный</ns0:v>
      </ns0:c>
      <ns0:c r="W281" t="str" s="33">
        <ns0:v>C:\Users\Nomatin\Documents\Altium\MY_LIB\MY_LIB\Datasheets\JST_PH.pdf</ns0:v>
      </ns0:c>
      <ns0:c r="X281" t="str" s="33">
        <ns0:v>Даташит — производитель</ns0:v>
      </ns0:c>
      <ns0:c r="Y281" t="str" s="33">
        <ns0:v>https://www.jst-mfg.com/product/pdf/eng/ePH.pdf</ns0:v>
      </ns0:c>
      <ns0:c r="Z281" t="str" s="33">
        <ns0:v>C:\Users\Nomatin\Documents\Altium\MY_LIB\MY_LIB\Datasheets\JST_PH.pdf</ns0:v>
      </ns0:c>
    </ns0:row>
    <ns0:row xmlns:ns0="http://schemas.openxmlformats.org/spreadsheetml/2006/main" r="282">
      <ns0:c r="A282" t="str" s="33">
        <ns0:v>XP0201</ns0:v>
      </ns0:c>
      <ns0:c r="B282" t="str" s="33">
        <ns0:v>Разъём</ns0:v>
      </ns0:c>
      <ns0:c r="C282" t="str" s="33">
        <ns0:v>JST PH, 1x15, 2,0 мм</ns0:v>
      </ns0:c>
      <ns0:c r="D282" t="str" s="34">
        <ns0:f>C282</ns0:f>
        <ns0:v>JST PH, 1x15, 2,0 мм</ns0:v>
      </ns0:c>
      <ns0:c r="E282" s="33"/>
      <ns0:c r="F282" s="33"/>
      <ns0:c r="G282" s="33"/>
      <ns0:c r="H282" t="str" s="35">
        <ns0:v>1x15, P2,0, THT, угловой</ns0:v>
      </ns0:c>
      <ns0:c r="I282" t="str" s="33">
        <ns0:v>JST</ns0:v>
      </ns0:c>
      <ns0:c r="J282" t="str" s="33">
        <ns0:v>S15B-PH-K</ns0:v>
      </ns0:c>
      <ns0:c r="K282" t="str" s="34">
        <ns0:f>B282&amp;" "&amp;D282&amp;" "&amp;J282</ns0:f>
        <ns0:v>Разъём JST PH, 1x15, 2,0 мм S15B-PH-K</ns0:v>
      </ns0:c>
      <ns0:c r="L282" t="str" s="36">
        <ns0:v>XP_15</ns0:v>
      </ns0:c>
      <ns0:c r="M282" t="str" s="36">
        <ns0:v>Symbols\MY_LIB_Connectors.SchLib</ns0:v>
      </ns0:c>
      <ns0:c r="N282" t="str" s="36">
        <ns0:v>JST_PH_S15B-PH-K</ns0:v>
      </ns0:c>
      <ns0:c r="O282" t="str" s="36">
        <ns0:v>Footprints\MY_LIB_Connectors.PcbLib</ns0:v>
      </ns0:c>
      <ns0:c r="P282" t="str" s="33">
        <ns0:v>Штыревой; 15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2" s="33"/>
      <ns0:c r="R282" t="str" s="34">
        <ns0:f>D282</ns0:f>
        <ns0:v>JST PH, 1x15, 2,0 мм</ns0:v>
      </ns0:c>
      <ns0:c r="S282" t="str" s="34">
        <ns0:f>K282</ns0:f>
        <ns0:v>Разъём JST PH, 1x15, 2,0 мм S15B-PH-K</ns0:v>
      </ns0:c>
      <ns0:c r="T282" t="str" s="33">
        <ns0:v>C:\Users\Nomatin\Documents\Altium\MY_LIB\MY_LIB\Datasheets\JST_PH.pdf</ns0:v>
      </ns0:c>
      <ns0:c r="U282" s="33"/>
      <ns0:c r="V282" t="str" s="33">
        <ns0:v>Даташит — локальный</ns0:v>
      </ns0:c>
      <ns0:c r="W282" t="str" s="33">
        <ns0:v>C:\Users\Nomatin\Documents\Altium\MY_LIB\MY_LIB\Datasheets\JST_PH.pdf</ns0:v>
      </ns0:c>
      <ns0:c r="X282" t="str" s="33">
        <ns0:v>Даташит — производитель</ns0:v>
      </ns0:c>
      <ns0:c r="Y282" t="str" s="33">
        <ns0:v>https://www.jst-mfg.com/product/pdf/eng/ePH.pdf</ns0:v>
      </ns0:c>
      <ns0:c r="Z282" t="str" s="33">
        <ns0:v>C:\Users\Nomatin\Documents\Altium\MY_LIB\MY_LIB\Datasheets\JST_PH.pdf</ns0:v>
      </ns0:c>
    </ns0:row>
    <ns0:row xmlns:ns0="http://schemas.openxmlformats.org/spreadsheetml/2006/main" r="283">
      <ns0:c r="A283" t="str" s="33">
        <ns0:v>XP0202</ns0:v>
      </ns0:c>
      <ns0:c r="B283" t="str" s="33">
        <ns0:v>Разъём</ns0:v>
      </ns0:c>
      <ns0:c r="C283" t="str" s="33">
        <ns0:v>JST PH, 1x15, 2,0 мм</ns0:v>
      </ns0:c>
      <ns0:c r="D283" t="str" s="34">
        <ns0:f>C283</ns0:f>
        <ns0:v>JST PH, 1x15, 2,0 мм</ns0:v>
      </ns0:c>
      <ns0:c r="E283" s="33"/>
      <ns0:c r="F283" s="33"/>
      <ns0:c r="G283" s="33"/>
      <ns0:c r="H283" t="str" s="35">
        <ns0:v>1x15, P2,0, SMD, угловой</ns0:v>
      </ns0:c>
      <ns0:c r="I283" t="str" s="33">
        <ns0:v>JST</ns0:v>
      </ns0:c>
      <ns0:c r="J283" t="str" s="33">
        <ns0:v>S15B-PH-SM4-TB</ns0:v>
      </ns0:c>
      <ns0:c r="K283" t="str" s="34">
        <ns0:f>B283&amp;" "&amp;D283&amp;" "&amp;J283</ns0:f>
        <ns0:v>Разъём JST PH, 1x15, 2,0 мм S15B-PH-SM4-TB</ns0:v>
      </ns0:c>
      <ns0:c r="L283" t="str" s="36">
        <ns0:v>XP_15_MP</ns0:v>
      </ns0:c>
      <ns0:c r="M283" t="str" s="36">
        <ns0:v>Symbols\MY_LIB_Connectors.SchLib</ns0:v>
      </ns0:c>
      <ns0:c r="N283" t="str" s="36">
        <ns0:v>JST_PH_S15B-PH-SM4-TB</ns0:v>
      </ns0:c>
      <ns0:c r="O283" t="str" s="36">
        <ns0:v>Footprints\MY_LIB_Connectors.PcbLib</ns0:v>
      </ns0:c>
      <ns0:c r="P283" t="str" s="33">
        <ns0:v>Штыревой; 15 сигнальных контактов, шаг 2,0 мм; угловой, SMD. Контакт 16: Name=MP; обе металлические площадки имеют номер 16.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3" s="33"/>
      <ns0:c r="R283" t="str" s="34">
        <ns0:f>D283</ns0:f>
        <ns0:v>JST PH, 1x15, 2,0 мм</ns0:v>
      </ns0:c>
      <ns0:c r="S283" t="str" s="34">
        <ns0:f>K283</ns0:f>
        <ns0:v>Разъём JST PH, 1x15, 2,0 мм S15B-PH-SM4-TB</ns0:v>
      </ns0:c>
      <ns0:c r="T283" t="str" s="33">
        <ns0:v>C:\Users\Nomatin\Documents\Altium\MY_LIB\MY_LIB\Datasheets\JST_PH.pdf</ns0:v>
      </ns0:c>
      <ns0:c r="U283" s="33"/>
      <ns0:c r="V283" t="str" s="33">
        <ns0:v>Даташит — локальный</ns0:v>
      </ns0:c>
      <ns0:c r="W283" t="str" s="33">
        <ns0:v>C:\Users\Nomatin\Documents\Altium\MY_LIB\MY_LIB\Datasheets\JST_PH.pdf</ns0:v>
      </ns0:c>
      <ns0:c r="X283" t="str" s="33">
        <ns0:v>Даташит — производитель</ns0:v>
      </ns0:c>
      <ns0:c r="Y283" t="str" s="33">
        <ns0:v>https://www.jst-mfg.com/product/pdf/eng/ePH.pdf</ns0:v>
      </ns0:c>
      <ns0:c r="Z283" t="str" s="33">
        <ns0:v>C:\Users\Nomatin\Documents\Altium\MY_LIB\MY_LIB\Datasheets\JST_PH.pdf</ns0:v>
      </ns0:c>
    </ns0:row>
    <ns0:row xmlns:ns0="http://schemas.openxmlformats.org/spreadsheetml/2006/main" r="284">
      <ns0:c r="A284" t="str" s="33">
        <ns0:v>XP0203</ns0:v>
      </ns0:c>
      <ns0:c r="B284" t="str" s="33">
        <ns0:v>Разъём</ns0:v>
      </ns0:c>
      <ns0:c r="C284" t="str" s="33">
        <ns0:v>JST PH, 1x16, 2,0 мм</ns0:v>
      </ns0:c>
      <ns0:c r="D284" t="str" s="34">
        <ns0:f>C284</ns0:f>
        <ns0:v>JST PH, 1x16, 2,0 мм</ns0:v>
      </ns0:c>
      <ns0:c r="E284" s="33"/>
      <ns0:c r="F284" s="33"/>
      <ns0:c r="G284" s="33"/>
      <ns0:c r="H284" t="str" s="35">
        <ns0:v>1x16, P2,0, THT, угловой</ns0:v>
      </ns0:c>
      <ns0:c r="I284" t="str" s="33">
        <ns0:v>JST</ns0:v>
      </ns0:c>
      <ns0:c r="J284" t="str" s="33">
        <ns0:v>S16B-PH-K</ns0:v>
      </ns0:c>
      <ns0:c r="K284" t="str" s="34">
        <ns0:f>B284&amp;" "&amp;D284&amp;" "&amp;J284</ns0:f>
        <ns0:v>Разъём JST PH, 1x16, 2,0 мм S16B-PH-K</ns0:v>
      </ns0:c>
      <ns0:c r="L284" t="str" s="36">
        <ns0:v>XP_16</ns0:v>
      </ns0:c>
      <ns0:c r="M284" t="str" s="36">
        <ns0:v>Symbols\MY_LIB_Connectors.SchLib</ns0:v>
      </ns0:c>
      <ns0:c r="N284" t="str" s="36">
        <ns0:v>JST_PH_S16B-PH-K</ns0:v>
      </ns0:c>
      <ns0:c r="O284" t="str" s="36">
        <ns0:v>Footprints\MY_LIB_Connectors.PcbLib</ns0:v>
      </ns0:c>
      <ns0:c r="P284" t="str" s="33">
        <ns0:v>Штыревой; 16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4" s="33"/>
      <ns0:c r="R284" t="str" s="34">
        <ns0:f>D284</ns0:f>
        <ns0:v>JST PH, 1x16, 2,0 мм</ns0:v>
      </ns0:c>
      <ns0:c r="S284" t="str" s="34">
        <ns0:f>K284</ns0:f>
        <ns0:v>Разъём JST PH, 1x16, 2,0 мм S16B-PH-K</ns0:v>
      </ns0:c>
      <ns0:c r="T284" t="str" s="33">
        <ns0:v>C:\Users\Nomatin\Documents\Altium\MY_LIB\MY_LIB\Datasheets\JST_PH.pdf</ns0:v>
      </ns0:c>
      <ns0:c r="U284" s="33"/>
      <ns0:c r="V284" t="str" s="33">
        <ns0:v>Даташит — локальный</ns0:v>
      </ns0:c>
      <ns0:c r="W284" t="str" s="33">
        <ns0:v>C:\Users\Nomatin\Documents\Altium\MY_LIB\MY_LIB\Datasheets\JST_PH.pdf</ns0:v>
      </ns0:c>
      <ns0:c r="X284" t="str" s="33">
        <ns0:v>Даташит — производитель</ns0:v>
      </ns0:c>
      <ns0:c r="Y284" t="str" s="33">
        <ns0:v>https://www.jst-mfg.com/product/pdf/eng/ePH.pdf</ns0:v>
      </ns0:c>
      <ns0:c r="Z284" t="str" s="33">
        <ns0:v>C:\Users\Nomatin\Documents\Altium\MY_LIB\MY_LIB\Datasheets\JST_PH.pdf</ns0:v>
      </ns0:c>
    </ns0:row>
    <ns0:row xmlns:ns0="http://schemas.openxmlformats.org/spreadsheetml/2006/main" r="285">
      <ns0:c r="A285" t="str" s="33">
        <ns0:v>XP0204</ns0:v>
      </ns0:c>
      <ns0:c r="B285" t="str" s="33">
        <ns0:v>Разъём</ns0:v>
      </ns0:c>
      <ns0:c r="C285" t="str" s="33">
        <ns0:v>JST PH, 1x02, 2,0 мм</ns0:v>
      </ns0:c>
      <ns0:c r="D285" t="str" s="34">
        <ns0:f>C285</ns0:f>
        <ns0:v>JST PH, 1x02, 2,0 мм</ns0:v>
      </ns0:c>
      <ns0:c r="E285" s="33"/>
      <ns0:c r="F285" s="33"/>
      <ns0:c r="G285" s="33"/>
      <ns0:c r="H285" t="str" s="35">
        <ns0:v>1x02, P2,0, THT, угловой</ns0:v>
      </ns0:c>
      <ns0:c r="I285" t="str" s="33">
        <ns0:v>JST</ns0:v>
      </ns0:c>
      <ns0:c r="J285" t="str" s="33">
        <ns0:v>S2B-PH-K</ns0:v>
      </ns0:c>
      <ns0:c r="K285" t="str" s="34">
        <ns0:f>B285&amp;" "&amp;D285&amp;" "&amp;J285</ns0:f>
        <ns0:v>Разъём JST PH, 1x02, 2,0 мм S2B-PH-K</ns0:v>
      </ns0:c>
      <ns0:c r="L285" t="str" s="36">
        <ns0:v>XP_2</ns0:v>
      </ns0:c>
      <ns0:c r="M285" t="str" s="36">
        <ns0:v>Symbols\MY_LIB_Connectors.SchLib</ns0:v>
      </ns0:c>
      <ns0:c r="N285" t="str" s="36">
        <ns0:v>JST_PH_S2B-PH-K</ns0:v>
      </ns0:c>
      <ns0:c r="O285" t="str" s="36">
        <ns0:v>Footprints\MY_LIB_Connectors.PcbLib</ns0:v>
      </ns0:c>
      <ns0:c r="P285" t="str" s="33">
        <ns0:v>Штыревой; 2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5" s="33"/>
      <ns0:c r="R285" t="str" s="34">
        <ns0:f>D285</ns0:f>
        <ns0:v>JST PH, 1x02, 2,0 мм</ns0:v>
      </ns0:c>
      <ns0:c r="S285" t="str" s="34">
        <ns0:f>K285</ns0:f>
        <ns0:v>Разъём JST PH, 1x02, 2,0 мм S2B-PH-K</ns0:v>
      </ns0:c>
      <ns0:c r="T285" t="str" s="33">
        <ns0:v>C:\Users\Nomatin\Documents\Altium\MY_LIB\MY_LIB\Datasheets\JST_PH.pdf</ns0:v>
      </ns0:c>
      <ns0:c r="U285" s="33"/>
      <ns0:c r="V285" t="str" s="33">
        <ns0:v>Даташит — локальный</ns0:v>
      </ns0:c>
      <ns0:c r="W285" t="str" s="33">
        <ns0:v>C:\Users\Nomatin\Documents\Altium\MY_LIB\MY_LIB\Datasheets\JST_PH.pdf</ns0:v>
      </ns0:c>
      <ns0:c r="X285" t="str" s="33">
        <ns0:v>Даташит — производитель</ns0:v>
      </ns0:c>
      <ns0:c r="Y285" t="str" s="33">
        <ns0:v>https://www.jst-mfg.com/product/pdf/eng/ePH.pdf</ns0:v>
      </ns0:c>
      <ns0:c r="Z285" t="str" s="33">
        <ns0:v>C:\Users\Nomatin\Documents\Altium\MY_LIB\MY_LIB\Datasheets\JST_PH.pdf</ns0:v>
      </ns0:c>
    </ns0:row>
    <ns0:row xmlns:ns0="http://schemas.openxmlformats.org/spreadsheetml/2006/main" r="286">
      <ns0:c r="A286" t="str" s="33">
        <ns0:v>XP0205</ns0:v>
      </ns0:c>
      <ns0:c r="B286" t="str" s="33">
        <ns0:v>Разъём</ns0:v>
      </ns0:c>
      <ns0:c r="C286" t="str" s="33">
        <ns0:v>JST PH, 1x02, 2,0 мм</ns0:v>
      </ns0:c>
      <ns0:c r="D286" t="str" s="34">
        <ns0:f>C286</ns0:f>
        <ns0:v>JST PH, 1x02, 2,0 мм</ns0:v>
      </ns0:c>
      <ns0:c r="E286" s="33"/>
      <ns0:c r="F286" s="33"/>
      <ns0:c r="G286" s="33"/>
      <ns0:c r="H286" t="str" s="35">
        <ns0:v>1x02, P2,0, SMD, угловой</ns0:v>
      </ns0:c>
      <ns0:c r="I286" t="str" s="33">
        <ns0:v>JST</ns0:v>
      </ns0:c>
      <ns0:c r="J286" t="str" s="33">
        <ns0:v>S2B-PH-SM4-TB</ns0:v>
      </ns0:c>
      <ns0:c r="K286" t="str" s="34">
        <ns0:f>B286&amp;" "&amp;D286&amp;" "&amp;J286</ns0:f>
        <ns0:v>Разъём JST PH, 1x02, 2,0 мм S2B-PH-SM4-TB</ns0:v>
      </ns0:c>
      <ns0:c r="L286" t="str" s="36">
        <ns0:v>XP_2_MP</ns0:v>
      </ns0:c>
      <ns0:c r="M286" t="str" s="36">
        <ns0:v>Symbols\MY_LIB_Connectors.SchLib</ns0:v>
      </ns0:c>
      <ns0:c r="N286" t="str" s="36">
        <ns0:v>JST_PH_S2B-PH-SM4-TB</ns0:v>
      </ns0:c>
      <ns0:c r="O286" t="str" s="36">
        <ns0:v>Footprints\MY_LIB_Connectors.PcbLib</ns0:v>
      </ns0:c>
      <ns0:c r="P286" t="str" s="33">
        <ns0:v>Штыревой; 2 сигнальных контактов, шаг 2,0 мм; угловой, SMD. Контакт 3: Name=MP; обе металлические площадки имеют номер 3.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6" s="33"/>
      <ns0:c r="R286" t="str" s="34">
        <ns0:f>D286</ns0:f>
        <ns0:v>JST PH, 1x02, 2,0 мм</ns0:v>
      </ns0:c>
      <ns0:c r="S286" t="str" s="34">
        <ns0:f>K286</ns0:f>
        <ns0:v>Разъём JST PH, 1x02, 2,0 мм S2B-PH-SM4-TB</ns0:v>
      </ns0:c>
      <ns0:c r="T286" t="str" s="33">
        <ns0:v>C:\Users\Nomatin\Documents\Altium\MY_LIB\MY_LIB\Datasheets\JST_PH.pdf</ns0:v>
      </ns0:c>
      <ns0:c r="U286" s="33"/>
      <ns0:c r="V286" t="str" s="33">
        <ns0:v>Даташит — локальный</ns0:v>
      </ns0:c>
      <ns0:c r="W286" t="str" s="33">
        <ns0:v>C:\Users\Nomatin\Documents\Altium\MY_LIB\MY_LIB\Datasheets\JST_PH.pdf</ns0:v>
      </ns0:c>
      <ns0:c r="X286" t="str" s="33">
        <ns0:v>Даташит — производитель</ns0:v>
      </ns0:c>
      <ns0:c r="Y286" t="str" s="33">
        <ns0:v>https://www.jst-mfg.com/product/pdf/eng/ePH.pdf</ns0:v>
      </ns0:c>
      <ns0:c r="Z286" t="str" s="33">
        <ns0:v>C:\Users\Nomatin\Documents\Altium\MY_LIB\MY_LIB\Datasheets\JST_PH.pdf</ns0:v>
      </ns0:c>
    </ns0:row>
    <ns0:row xmlns:ns0="http://schemas.openxmlformats.org/spreadsheetml/2006/main" r="287">
      <ns0:c r="A287" t="str" s="33">
        <ns0:v>XP0206</ns0:v>
      </ns0:c>
      <ns0:c r="B287" t="str" s="33">
        <ns0:v>Разъём</ns0:v>
      </ns0:c>
      <ns0:c r="C287" t="str" s="33">
        <ns0:v>JST PH, 1x03, 2,0 мм</ns0:v>
      </ns0:c>
      <ns0:c r="D287" t="str" s="34">
        <ns0:f>C287</ns0:f>
        <ns0:v>JST PH, 1x03, 2,0 мм</ns0:v>
      </ns0:c>
      <ns0:c r="E287" s="33"/>
      <ns0:c r="F287" s="33"/>
      <ns0:c r="G287" s="33"/>
      <ns0:c r="H287" t="str" s="35">
        <ns0:v>1x03, P2,0, THT, угловой</ns0:v>
      </ns0:c>
      <ns0:c r="I287" t="str" s="33">
        <ns0:v>JST</ns0:v>
      </ns0:c>
      <ns0:c r="J287" t="str" s="33">
        <ns0:v>S3B-PH-K</ns0:v>
      </ns0:c>
      <ns0:c r="K287" t="str" s="34">
        <ns0:f>B287&amp;" "&amp;D287&amp;" "&amp;J287</ns0:f>
        <ns0:v>Разъём JST PH, 1x03, 2,0 мм S3B-PH-K</ns0:v>
      </ns0:c>
      <ns0:c r="L287" t="str" s="36">
        <ns0:v>XP_3</ns0:v>
      </ns0:c>
      <ns0:c r="M287" t="str" s="36">
        <ns0:v>Symbols\MY_LIB_Connectors.SchLib</ns0:v>
      </ns0:c>
      <ns0:c r="N287" t="str" s="36">
        <ns0:v>JST_PH_S3B-PH-K</ns0:v>
      </ns0:c>
      <ns0:c r="O287" t="str" s="36">
        <ns0:v>Footprints\MY_LIB_Connectors.PcbLib</ns0:v>
      </ns0:c>
      <ns0:c r="P287" t="str" s="33">
        <ns0:v>Штыревой; 3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7" s="33"/>
      <ns0:c r="R287" t="str" s="34">
        <ns0:f>D287</ns0:f>
        <ns0:v>JST PH, 1x03, 2,0 мм</ns0:v>
      </ns0:c>
      <ns0:c r="S287" t="str" s="34">
        <ns0:f>K287</ns0:f>
        <ns0:v>Разъём JST PH, 1x03, 2,0 мм S3B-PH-K</ns0:v>
      </ns0:c>
      <ns0:c r="T287" t="str" s="33">
        <ns0:v>C:\Users\Nomatin\Documents\Altium\MY_LIB\MY_LIB\Datasheets\JST_PH.pdf</ns0:v>
      </ns0:c>
      <ns0:c r="U287" s="33"/>
      <ns0:c r="V287" t="str" s="33">
        <ns0:v>Даташит — локальный</ns0:v>
      </ns0:c>
      <ns0:c r="W287" t="str" s="33">
        <ns0:v>C:\Users\Nomatin\Documents\Altium\MY_LIB\MY_LIB\Datasheets\JST_PH.pdf</ns0:v>
      </ns0:c>
      <ns0:c r="X287" t="str" s="33">
        <ns0:v>Даташит — производитель</ns0:v>
      </ns0:c>
      <ns0:c r="Y287" t="str" s="33">
        <ns0:v>https://www.jst-mfg.com/product/pdf/eng/ePH.pdf</ns0:v>
      </ns0:c>
      <ns0:c r="Z287" t="str" s="33">
        <ns0:v>C:\Users\Nomatin\Documents\Altium\MY_LIB\MY_LIB\Datasheets\JST_PH.pdf</ns0:v>
      </ns0:c>
    </ns0:row>
    <ns0:row xmlns:ns0="http://schemas.openxmlformats.org/spreadsheetml/2006/main" r="288">
      <ns0:c r="A288" t="str" s="33">
        <ns0:v>XP0207</ns0:v>
      </ns0:c>
      <ns0:c r="B288" t="str" s="33">
        <ns0:v>Разъём</ns0:v>
      </ns0:c>
      <ns0:c r="C288" t="str" s="33">
        <ns0:v>JST PH, 1x03, 2,0 мм</ns0:v>
      </ns0:c>
      <ns0:c r="D288" t="str" s="34">
        <ns0:f>C288</ns0:f>
        <ns0:v>JST PH, 1x03, 2,0 мм</ns0:v>
      </ns0:c>
      <ns0:c r="E288" s="33"/>
      <ns0:c r="F288" s="33"/>
      <ns0:c r="G288" s="33"/>
      <ns0:c r="H288" t="str" s="35">
        <ns0:v>1x03, P2,0, SMD, угловой</ns0:v>
      </ns0:c>
      <ns0:c r="I288" t="str" s="33">
        <ns0:v>JST</ns0:v>
      </ns0:c>
      <ns0:c r="J288" t="str" s="33">
        <ns0:v>S3B-PH-SM4-TB</ns0:v>
      </ns0:c>
      <ns0:c r="K288" t="str" s="34">
        <ns0:f>B288&amp;" "&amp;D288&amp;" "&amp;J288</ns0:f>
        <ns0:v>Разъём JST PH, 1x03, 2,0 мм S3B-PH-SM4-TB</ns0:v>
      </ns0:c>
      <ns0:c r="L288" t="str" s="36">
        <ns0:v>XP_3_MP</ns0:v>
      </ns0:c>
      <ns0:c r="M288" t="str" s="36">
        <ns0:v>Symbols\MY_LIB_Connectors.SchLib</ns0:v>
      </ns0:c>
      <ns0:c r="N288" t="str" s="36">
        <ns0:v>JST_PH_S3B-PH-SM4-TB</ns0:v>
      </ns0:c>
      <ns0:c r="O288" t="str" s="36">
        <ns0:v>Footprints\MY_LIB_Connectors.PcbLib</ns0:v>
      </ns0:c>
      <ns0:c r="P288" t="str" s="33">
        <ns0:v>Штыревой; 3 сигнальных контактов, шаг 2,0 мм; угловой, SMD. Контакт 4: Name=MP; обе металлические площадки имеют номер 4.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8" s="33"/>
      <ns0:c r="R288" t="str" s="34">
        <ns0:f>D288</ns0:f>
        <ns0:v>JST PH, 1x03, 2,0 мм</ns0:v>
      </ns0:c>
      <ns0:c r="S288" t="str" s="34">
        <ns0:f>K288</ns0:f>
        <ns0:v>Разъём JST PH, 1x03, 2,0 мм S3B-PH-SM4-TB</ns0:v>
      </ns0:c>
      <ns0:c r="T288" t="str" s="33">
        <ns0:v>C:\Users\Nomatin\Documents\Altium\MY_LIB\MY_LIB\Datasheets\JST_PH.pdf</ns0:v>
      </ns0:c>
      <ns0:c r="U288" s="33"/>
      <ns0:c r="V288" t="str" s="33">
        <ns0:v>Даташит — локальный</ns0:v>
      </ns0:c>
      <ns0:c r="W288" t="str" s="33">
        <ns0:v>C:\Users\Nomatin\Documents\Altium\MY_LIB\MY_LIB\Datasheets\JST_PH.pdf</ns0:v>
      </ns0:c>
      <ns0:c r="X288" t="str" s="33">
        <ns0:v>Даташит — производитель</ns0:v>
      </ns0:c>
      <ns0:c r="Y288" t="str" s="33">
        <ns0:v>https://www.jst-mfg.com/product/pdf/eng/ePH.pdf</ns0:v>
      </ns0:c>
      <ns0:c r="Z288" t="str" s="33">
        <ns0:v>C:\Users\Nomatin\Documents\Altium\MY_LIB\MY_LIB\Datasheets\JST_PH.pdf</ns0:v>
      </ns0:c>
    </ns0:row>
    <ns0:row xmlns:ns0="http://schemas.openxmlformats.org/spreadsheetml/2006/main" r="289">
      <ns0:c r="A289" t="str" s="33">
        <ns0:v>XP0208</ns0:v>
      </ns0:c>
      <ns0:c r="B289" t="str" s="33">
        <ns0:v>Разъём</ns0:v>
      </ns0:c>
      <ns0:c r="C289" t="str" s="33">
        <ns0:v>JST PH, 1x04, 2,0 мм</ns0:v>
      </ns0:c>
      <ns0:c r="D289" t="str" s="34">
        <ns0:f>C289</ns0:f>
        <ns0:v>JST PH, 1x04, 2,0 мм</ns0:v>
      </ns0:c>
      <ns0:c r="E289" s="33"/>
      <ns0:c r="F289" s="33"/>
      <ns0:c r="G289" s="33"/>
      <ns0:c r="H289" t="str" s="35">
        <ns0:v>1x04, P2,0, THT, угловой</ns0:v>
      </ns0:c>
      <ns0:c r="I289" t="str" s="33">
        <ns0:v>JST</ns0:v>
      </ns0:c>
      <ns0:c r="J289" t="str" s="33">
        <ns0:v>S4B-PH-K</ns0:v>
      </ns0:c>
      <ns0:c r="K289" t="str" s="34">
        <ns0:f>B289&amp;" "&amp;D289&amp;" "&amp;J289</ns0:f>
        <ns0:v>Разъём JST PH, 1x04, 2,0 мм S4B-PH-K</ns0:v>
      </ns0:c>
      <ns0:c r="L289" t="str" s="36">
        <ns0:v>XP_4</ns0:v>
      </ns0:c>
      <ns0:c r="M289" t="str" s="36">
        <ns0:v>Symbols\MY_LIB_Connectors.SchLib</ns0:v>
      </ns0:c>
      <ns0:c r="N289" t="str" s="36">
        <ns0:v>JST_PH_S4B-PH-K</ns0:v>
      </ns0:c>
      <ns0:c r="O289" t="str" s="36">
        <ns0:v>Footprints\MY_LIB_Connectors.PcbLib</ns0:v>
      </ns0:c>
      <ns0:c r="P289" t="str" s="33">
        <ns0:v>Штыревой; 4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89" s="33"/>
      <ns0:c r="R289" t="str" s="34">
        <ns0:f>D289</ns0:f>
        <ns0:v>JST PH, 1x04, 2,0 мм</ns0:v>
      </ns0:c>
      <ns0:c r="S289" t="str" s="34">
        <ns0:f>K289</ns0:f>
        <ns0:v>Разъём JST PH, 1x04, 2,0 мм S4B-PH-K</ns0:v>
      </ns0:c>
      <ns0:c r="T289" t="str" s="33">
        <ns0:v>C:\Users\Nomatin\Documents\Altium\MY_LIB\MY_LIB\Datasheets\JST_PH.pdf</ns0:v>
      </ns0:c>
      <ns0:c r="U289" s="33"/>
      <ns0:c r="V289" t="str" s="33">
        <ns0:v>Даташит — локальный</ns0:v>
      </ns0:c>
      <ns0:c r="W289" t="str" s="33">
        <ns0:v>C:\Users\Nomatin\Documents\Altium\MY_LIB\MY_LIB\Datasheets\JST_PH.pdf</ns0:v>
      </ns0:c>
      <ns0:c r="X289" t="str" s="33">
        <ns0:v>Даташит — производитель</ns0:v>
      </ns0:c>
      <ns0:c r="Y289" t="str" s="33">
        <ns0:v>https://www.jst-mfg.com/product/pdf/eng/ePH.pdf</ns0:v>
      </ns0:c>
      <ns0:c r="Z289" t="str" s="33">
        <ns0:v>C:\Users\Nomatin\Documents\Altium\MY_LIB\MY_LIB\Datasheets\JST_PH.pdf</ns0:v>
      </ns0:c>
    </ns0:row>
    <ns0:row xmlns:ns0="http://schemas.openxmlformats.org/spreadsheetml/2006/main" r="290">
      <ns0:c r="A290" t="str" s="33">
        <ns0:v>XP0209</ns0:v>
      </ns0:c>
      <ns0:c r="B290" t="str" s="33">
        <ns0:v>Разъём</ns0:v>
      </ns0:c>
      <ns0:c r="C290" t="str" s="33">
        <ns0:v>JST PH, 1x04, 2,0 мм</ns0:v>
      </ns0:c>
      <ns0:c r="D290" t="str" s="34">
        <ns0:f>C290</ns0:f>
        <ns0:v>JST PH, 1x04, 2,0 мм</ns0:v>
      </ns0:c>
      <ns0:c r="E290" s="33"/>
      <ns0:c r="F290" s="33"/>
      <ns0:c r="G290" s="33"/>
      <ns0:c r="H290" t="str" s="35">
        <ns0:v>1x04, P2,0, SMD, угловой</ns0:v>
      </ns0:c>
      <ns0:c r="I290" t="str" s="33">
        <ns0:v>JST</ns0:v>
      </ns0:c>
      <ns0:c r="J290" t="str" s="33">
        <ns0:v>S4B-PH-SM4-TB</ns0:v>
      </ns0:c>
      <ns0:c r="K290" t="str" s="34">
        <ns0:f>B290&amp;" "&amp;D290&amp;" "&amp;J290</ns0:f>
        <ns0:v>Разъём JST PH, 1x04, 2,0 мм S4B-PH-SM4-TB</ns0:v>
      </ns0:c>
      <ns0:c r="L290" t="str" s="36">
        <ns0:v>XP_4_MP</ns0:v>
      </ns0:c>
      <ns0:c r="M290" t="str" s="36">
        <ns0:v>Symbols\MY_LIB_Connectors.SchLib</ns0:v>
      </ns0:c>
      <ns0:c r="N290" t="str" s="36">
        <ns0:v>JST_PH_S4B-PH-SM4-TB</ns0:v>
      </ns0:c>
      <ns0:c r="O290" t="str" s="36">
        <ns0:v>Footprints\MY_LIB_Connectors.PcbLib</ns0:v>
      </ns0:c>
      <ns0:c r="P290" t="str" s="33">
        <ns0:v>Штыревой; 4 сигнальных контактов, шаг 2,0 мм; угловой, SMD. Контакт 5: Name=MP; обе металлические площадки имеют номер 5.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0" s="33"/>
      <ns0:c r="R290" t="str" s="34">
        <ns0:f>D290</ns0:f>
        <ns0:v>JST PH, 1x04, 2,0 мм</ns0:v>
      </ns0:c>
      <ns0:c r="S290" t="str" s="34">
        <ns0:f>K290</ns0:f>
        <ns0:v>Разъём JST PH, 1x04, 2,0 мм S4B-PH-SM4-TB</ns0:v>
      </ns0:c>
      <ns0:c r="T290" t="str" s="33">
        <ns0:v>C:\Users\Nomatin\Documents\Altium\MY_LIB\MY_LIB\Datasheets\JST_PH.pdf</ns0:v>
      </ns0:c>
      <ns0:c r="U290" s="33"/>
      <ns0:c r="V290" t="str" s="33">
        <ns0:v>Даташит — локальный</ns0:v>
      </ns0:c>
      <ns0:c r="W290" t="str" s="33">
        <ns0:v>C:\Users\Nomatin\Documents\Altium\MY_LIB\MY_LIB\Datasheets\JST_PH.pdf</ns0:v>
      </ns0:c>
      <ns0:c r="X290" t="str" s="33">
        <ns0:v>Даташит — производитель</ns0:v>
      </ns0:c>
      <ns0:c r="Y290" t="str" s="33">
        <ns0:v>https://www.jst-mfg.com/product/pdf/eng/ePH.pdf</ns0:v>
      </ns0:c>
      <ns0:c r="Z290" t="str" s="33">
        <ns0:v>C:\Users\Nomatin\Documents\Altium\MY_LIB\MY_LIB\Datasheets\JST_PH.pdf</ns0:v>
      </ns0:c>
    </ns0:row>
    <ns0:row xmlns:ns0="http://schemas.openxmlformats.org/spreadsheetml/2006/main" r="291">
      <ns0:c r="A291" t="str" s="33">
        <ns0:v>XP0210</ns0:v>
      </ns0:c>
      <ns0:c r="B291" t="str" s="33">
        <ns0:v>Разъём</ns0:v>
      </ns0:c>
      <ns0:c r="C291" t="str" s="33">
        <ns0:v>JST PH, 1x05, 2,0 мм</ns0:v>
      </ns0:c>
      <ns0:c r="D291" t="str" s="34">
        <ns0:f>C291</ns0:f>
        <ns0:v>JST PH, 1x05, 2,0 мм</ns0:v>
      </ns0:c>
      <ns0:c r="E291" s="33"/>
      <ns0:c r="F291" s="33"/>
      <ns0:c r="G291" s="33"/>
      <ns0:c r="H291" t="str" s="35">
        <ns0:v>1x05, P2,0, THT, угловой</ns0:v>
      </ns0:c>
      <ns0:c r="I291" t="str" s="33">
        <ns0:v>JST</ns0:v>
      </ns0:c>
      <ns0:c r="J291" t="str" s="33">
        <ns0:v>S5B-PH-K</ns0:v>
      </ns0:c>
      <ns0:c r="K291" t="str" s="34">
        <ns0:f>B291&amp;" "&amp;D291&amp;" "&amp;J291</ns0:f>
        <ns0:v>Разъём JST PH, 1x05, 2,0 мм S5B-PH-K</ns0:v>
      </ns0:c>
      <ns0:c r="L291" t="str" s="36">
        <ns0:v>XP_5</ns0:v>
      </ns0:c>
      <ns0:c r="M291" t="str" s="36">
        <ns0:v>Symbols\MY_LIB_Connectors.SchLib</ns0:v>
      </ns0:c>
      <ns0:c r="N291" t="str" s="36">
        <ns0:v>JST_PH_S5B-PH-K</ns0:v>
      </ns0:c>
      <ns0:c r="O291" t="str" s="36">
        <ns0:v>Footprints\MY_LIB_Connectors.PcbLib</ns0:v>
      </ns0:c>
      <ns0:c r="P291" t="str" s="33">
        <ns0:v>Штыревой; 5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1" s="33"/>
      <ns0:c r="R291" t="str" s="34">
        <ns0:f>D291</ns0:f>
        <ns0:v>JST PH, 1x05, 2,0 мм</ns0:v>
      </ns0:c>
      <ns0:c r="S291" t="str" s="34">
        <ns0:f>K291</ns0:f>
        <ns0:v>Разъём JST PH, 1x05, 2,0 мм S5B-PH-K</ns0:v>
      </ns0:c>
      <ns0:c r="T291" t="str" s="33">
        <ns0:v>C:\Users\Nomatin\Documents\Altium\MY_LIB\MY_LIB\Datasheets\JST_PH.pdf</ns0:v>
      </ns0:c>
      <ns0:c r="U291" s="33"/>
      <ns0:c r="V291" t="str" s="33">
        <ns0:v>Даташит — локальный</ns0:v>
      </ns0:c>
      <ns0:c r="W291" t="str" s="33">
        <ns0:v>C:\Users\Nomatin\Documents\Altium\MY_LIB\MY_LIB\Datasheets\JST_PH.pdf</ns0:v>
      </ns0:c>
      <ns0:c r="X291" t="str" s="33">
        <ns0:v>Даташит — производитель</ns0:v>
      </ns0:c>
      <ns0:c r="Y291" t="str" s="33">
        <ns0:v>https://www.jst-mfg.com/product/pdf/eng/ePH.pdf</ns0:v>
      </ns0:c>
      <ns0:c r="Z291" t="str" s="33">
        <ns0:v>C:\Users\Nomatin\Documents\Altium\MY_LIB\MY_LIB\Datasheets\JST_PH.pdf</ns0:v>
      </ns0:c>
    </ns0:row>
    <ns0:row xmlns:ns0="http://schemas.openxmlformats.org/spreadsheetml/2006/main" r="292">
      <ns0:c r="A292" t="str" s="33">
        <ns0:v>XP0211</ns0:v>
      </ns0:c>
      <ns0:c r="B292" t="str" s="33">
        <ns0:v>Разъём</ns0:v>
      </ns0:c>
      <ns0:c r="C292" t="str" s="33">
        <ns0:v>JST PH, 1x05, 2,0 мм</ns0:v>
      </ns0:c>
      <ns0:c r="D292" t="str" s="34">
        <ns0:f>C292</ns0:f>
        <ns0:v>JST PH, 1x05, 2,0 мм</ns0:v>
      </ns0:c>
      <ns0:c r="E292" s="33"/>
      <ns0:c r="F292" s="33"/>
      <ns0:c r="G292" s="33"/>
      <ns0:c r="H292" t="str" s="35">
        <ns0:v>1x05, P2,0, SMD, угловой</ns0:v>
      </ns0:c>
      <ns0:c r="I292" t="str" s="33">
        <ns0:v>JST</ns0:v>
      </ns0:c>
      <ns0:c r="J292" t="str" s="33">
        <ns0:v>S5B-PH-SM4-TB</ns0:v>
      </ns0:c>
      <ns0:c r="K292" t="str" s="34">
        <ns0:f>B292&amp;" "&amp;D292&amp;" "&amp;J292</ns0:f>
        <ns0:v>Разъём JST PH, 1x05, 2,0 мм S5B-PH-SM4-TB</ns0:v>
      </ns0:c>
      <ns0:c r="L292" t="str" s="36">
        <ns0:v>XP_5_MP</ns0:v>
      </ns0:c>
      <ns0:c r="M292" t="str" s="36">
        <ns0:v>Symbols\MY_LIB_Connectors.SchLib</ns0:v>
      </ns0:c>
      <ns0:c r="N292" t="str" s="36">
        <ns0:v>JST_PH_S5B-PH-SM4-TB</ns0:v>
      </ns0:c>
      <ns0:c r="O292" t="str" s="36">
        <ns0:v>Footprints\MY_LIB_Connectors.PcbLib</ns0:v>
      </ns0:c>
      <ns0:c r="P292" t="str" s="33">
        <ns0:v>Штыревой; 5 сигнальных контактов, шаг 2,0 мм; угловой, SMD. Контакт 6: Name=MP; обе металлические площадки имеют номер 6.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2" s="33"/>
      <ns0:c r="R292" t="str" s="34">
        <ns0:f>D292</ns0:f>
        <ns0:v>JST PH, 1x05, 2,0 мм</ns0:v>
      </ns0:c>
      <ns0:c r="S292" t="str" s="34">
        <ns0:f>K292</ns0:f>
        <ns0:v>Разъём JST PH, 1x05, 2,0 мм S5B-PH-SM4-TB</ns0:v>
      </ns0:c>
      <ns0:c r="T292" t="str" s="33">
        <ns0:v>C:\Users\Nomatin\Documents\Altium\MY_LIB\MY_LIB\Datasheets\JST_PH.pdf</ns0:v>
      </ns0:c>
      <ns0:c r="U292" s="33"/>
      <ns0:c r="V292" t="str" s="33">
        <ns0:v>Даташит — локальный</ns0:v>
      </ns0:c>
      <ns0:c r="W292" t="str" s="33">
        <ns0:v>C:\Users\Nomatin\Documents\Altium\MY_LIB\MY_LIB\Datasheets\JST_PH.pdf</ns0:v>
      </ns0:c>
      <ns0:c r="X292" t="str" s="33">
        <ns0:v>Даташит — производитель</ns0:v>
      </ns0:c>
      <ns0:c r="Y292" t="str" s="33">
        <ns0:v>https://www.jst-mfg.com/product/pdf/eng/ePH.pdf</ns0:v>
      </ns0:c>
      <ns0:c r="Z292" t="str" s="33">
        <ns0:v>C:\Users\Nomatin\Documents\Altium\MY_LIB\MY_LIB\Datasheets\JST_PH.pdf</ns0:v>
      </ns0:c>
    </ns0:row>
    <ns0:row xmlns:ns0="http://schemas.openxmlformats.org/spreadsheetml/2006/main" r="293">
      <ns0:c r="A293" t="str" s="33">
        <ns0:v>XP0212</ns0:v>
      </ns0:c>
      <ns0:c r="B293" t="str" s="33">
        <ns0:v>Разъём</ns0:v>
      </ns0:c>
      <ns0:c r="C293" t="str" s="33">
        <ns0:v>JST PH, 1x06, 2,0 мм</ns0:v>
      </ns0:c>
      <ns0:c r="D293" t="str" s="34">
        <ns0:f>C293</ns0:f>
        <ns0:v>JST PH, 1x06, 2,0 мм</ns0:v>
      </ns0:c>
      <ns0:c r="E293" s="33"/>
      <ns0:c r="F293" s="33"/>
      <ns0:c r="G293" s="33"/>
      <ns0:c r="H293" t="str" s="35">
        <ns0:v>1x06, P2,0, THT, угловой</ns0:v>
      </ns0:c>
      <ns0:c r="I293" t="str" s="33">
        <ns0:v>JST</ns0:v>
      </ns0:c>
      <ns0:c r="J293" t="str" s="33">
        <ns0:v>S6B-PH-K</ns0:v>
      </ns0:c>
      <ns0:c r="K293" t="str" s="34">
        <ns0:f>B293&amp;" "&amp;D293&amp;" "&amp;J293</ns0:f>
        <ns0:v>Разъём JST PH, 1x06, 2,0 мм S6B-PH-K</ns0:v>
      </ns0:c>
      <ns0:c r="L293" t="str" s="36">
        <ns0:v>XP_6</ns0:v>
      </ns0:c>
      <ns0:c r="M293" t="str" s="36">
        <ns0:v>Symbols\MY_LIB_Connectors.SchLib</ns0:v>
      </ns0:c>
      <ns0:c r="N293" t="str" s="36">
        <ns0:v>JST_PH_S6B-PH-K</ns0:v>
      </ns0:c>
      <ns0:c r="O293" t="str" s="36">
        <ns0:v>Footprints\MY_LIB_Connectors.PcbLib</ns0:v>
      </ns0:c>
      <ns0:c r="P293" t="str" s="33">
        <ns0:v>Штыревой; 6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3" s="33"/>
      <ns0:c r="R293" t="str" s="34">
        <ns0:f>D293</ns0:f>
        <ns0:v>JST PH, 1x06, 2,0 мм</ns0:v>
      </ns0:c>
      <ns0:c r="S293" t="str" s="34">
        <ns0:f>K293</ns0:f>
        <ns0:v>Разъём JST PH, 1x06, 2,0 мм S6B-PH-K</ns0:v>
      </ns0:c>
      <ns0:c r="T293" t="str" s="33">
        <ns0:v>C:\Users\Nomatin\Documents\Altium\MY_LIB\MY_LIB\Datasheets\JST_PH.pdf</ns0:v>
      </ns0:c>
      <ns0:c r="U293" s="33"/>
      <ns0:c r="V293" t="str" s="33">
        <ns0:v>Даташит — локальный</ns0:v>
      </ns0:c>
      <ns0:c r="W293" t="str" s="33">
        <ns0:v>C:\Users\Nomatin\Documents\Altium\MY_LIB\MY_LIB\Datasheets\JST_PH.pdf</ns0:v>
      </ns0:c>
      <ns0:c r="X293" t="str" s="33">
        <ns0:v>Даташит — производитель</ns0:v>
      </ns0:c>
      <ns0:c r="Y293" t="str" s="33">
        <ns0:v>https://www.jst-mfg.com/product/pdf/eng/ePH.pdf</ns0:v>
      </ns0:c>
      <ns0:c r="Z293" t="str" s="33">
        <ns0:v>C:\Users\Nomatin\Documents\Altium\MY_LIB\MY_LIB\Datasheets\JST_PH.pdf</ns0:v>
      </ns0:c>
    </ns0:row>
    <ns0:row xmlns:ns0="http://schemas.openxmlformats.org/spreadsheetml/2006/main" r="294">
      <ns0:c r="A294" t="str" s="33">
        <ns0:v>XP0213</ns0:v>
      </ns0:c>
      <ns0:c r="B294" t="str" s="33">
        <ns0:v>Разъём</ns0:v>
      </ns0:c>
      <ns0:c r="C294" t="str" s="33">
        <ns0:v>JST PH, 1x06, 2,0 мм</ns0:v>
      </ns0:c>
      <ns0:c r="D294" t="str" s="34">
        <ns0:f>C294</ns0:f>
        <ns0:v>JST PH, 1x06, 2,0 мм</ns0:v>
      </ns0:c>
      <ns0:c r="E294" s="33"/>
      <ns0:c r="F294" s="33"/>
      <ns0:c r="G294" s="33"/>
      <ns0:c r="H294" t="str" s="35">
        <ns0:v>1x06, P2,0, SMD, угловой</ns0:v>
      </ns0:c>
      <ns0:c r="I294" t="str" s="33">
        <ns0:v>JST</ns0:v>
      </ns0:c>
      <ns0:c r="J294" t="str" s="33">
        <ns0:v>S6B-PH-SM4-TB</ns0:v>
      </ns0:c>
      <ns0:c r="K294" t="str" s="34">
        <ns0:f>B294&amp;" "&amp;D294&amp;" "&amp;J294</ns0:f>
        <ns0:v>Разъём JST PH, 1x06, 2,0 мм S6B-PH-SM4-TB</ns0:v>
      </ns0:c>
      <ns0:c r="L294" t="str" s="36">
        <ns0:v>XP_6_MP</ns0:v>
      </ns0:c>
      <ns0:c r="M294" t="str" s="36">
        <ns0:v>Symbols\MY_LIB_Connectors.SchLib</ns0:v>
      </ns0:c>
      <ns0:c r="N294" t="str" s="36">
        <ns0:v>JST_PH_S6B-PH-SM4-TB</ns0:v>
      </ns0:c>
      <ns0:c r="O294" t="str" s="36">
        <ns0:v>Footprints\MY_LIB_Connectors.PcbLib</ns0:v>
      </ns0:c>
      <ns0:c r="P294" t="str" s="33">
        <ns0:v>Штыревой; 6 сигнальных контактов, шаг 2,0 мм; угловой, SMD. Контакт 7: Name=MP; обе металлические площадки имеют номер 7.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4" s="33"/>
      <ns0:c r="R294" t="str" s="34">
        <ns0:f>D294</ns0:f>
        <ns0:v>JST PH, 1x06, 2,0 мм</ns0:v>
      </ns0:c>
      <ns0:c r="S294" t="str" s="34">
        <ns0:f>K294</ns0:f>
        <ns0:v>Разъём JST PH, 1x06, 2,0 мм S6B-PH-SM4-TB</ns0:v>
      </ns0:c>
      <ns0:c r="T294" t="str" s="33">
        <ns0:v>C:\Users\Nomatin\Documents\Altium\MY_LIB\MY_LIB\Datasheets\JST_PH.pdf</ns0:v>
      </ns0:c>
      <ns0:c r="U294" s="33"/>
      <ns0:c r="V294" t="str" s="33">
        <ns0:v>Даташит — локальный</ns0:v>
      </ns0:c>
      <ns0:c r="W294" t="str" s="33">
        <ns0:v>C:\Users\Nomatin\Documents\Altium\MY_LIB\MY_LIB\Datasheets\JST_PH.pdf</ns0:v>
      </ns0:c>
      <ns0:c r="X294" t="str" s="33">
        <ns0:v>Даташит — производитель</ns0:v>
      </ns0:c>
      <ns0:c r="Y294" t="str" s="33">
        <ns0:v>https://www.jst-mfg.com/product/pdf/eng/ePH.pdf</ns0:v>
      </ns0:c>
      <ns0:c r="Z294" t="str" s="33">
        <ns0:v>C:\Users\Nomatin\Documents\Altium\MY_LIB\MY_LIB\Datasheets\JST_PH.pdf</ns0:v>
      </ns0:c>
    </ns0:row>
    <ns0:row xmlns:ns0="http://schemas.openxmlformats.org/spreadsheetml/2006/main" r="295">
      <ns0:c r="A295" t="str" s="33">
        <ns0:v>XP0214</ns0:v>
      </ns0:c>
      <ns0:c r="B295" t="str" s="33">
        <ns0:v>Разъём</ns0:v>
      </ns0:c>
      <ns0:c r="C295" t="str" s="33">
        <ns0:v>JST PH, 1x07, 2,0 мм</ns0:v>
      </ns0:c>
      <ns0:c r="D295" t="str" s="34">
        <ns0:f>C295</ns0:f>
        <ns0:v>JST PH, 1x07, 2,0 мм</ns0:v>
      </ns0:c>
      <ns0:c r="E295" s="33"/>
      <ns0:c r="F295" s="33"/>
      <ns0:c r="G295" s="33"/>
      <ns0:c r="H295" t="str" s="35">
        <ns0:v>1x07, P2,0, THT, угловой</ns0:v>
      </ns0:c>
      <ns0:c r="I295" t="str" s="33">
        <ns0:v>JST</ns0:v>
      </ns0:c>
      <ns0:c r="J295" t="str" s="33">
        <ns0:v>S7B-PH-K</ns0:v>
      </ns0:c>
      <ns0:c r="K295" t="str" s="34">
        <ns0:f>B295&amp;" "&amp;D295&amp;" "&amp;J295</ns0:f>
        <ns0:v>Разъём JST PH, 1x07, 2,0 мм S7B-PH-K</ns0:v>
      </ns0:c>
      <ns0:c r="L295" t="str" s="36">
        <ns0:v>XP_7</ns0:v>
      </ns0:c>
      <ns0:c r="M295" t="str" s="36">
        <ns0:v>Symbols\MY_LIB_Connectors.SchLib</ns0:v>
      </ns0:c>
      <ns0:c r="N295" t="str" s="36">
        <ns0:v>JST_PH_S7B-PH-K</ns0:v>
      </ns0:c>
      <ns0:c r="O295" t="str" s="36">
        <ns0:v>Footprints\MY_LIB_Connectors.PcbLib</ns0:v>
      </ns0:c>
      <ns0:c r="P295" t="str" s="33">
        <ns0:v>Штыревой; 7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5" s="33"/>
      <ns0:c r="R295" t="str" s="34">
        <ns0:f>D295</ns0:f>
        <ns0:v>JST PH, 1x07, 2,0 мм</ns0:v>
      </ns0:c>
      <ns0:c r="S295" t="str" s="34">
        <ns0:f>K295</ns0:f>
        <ns0:v>Разъём JST PH, 1x07, 2,0 мм S7B-PH-K</ns0:v>
      </ns0:c>
      <ns0:c r="T295" t="str" s="33">
        <ns0:v>C:\Users\Nomatin\Documents\Altium\MY_LIB\MY_LIB\Datasheets\JST_PH.pdf</ns0:v>
      </ns0:c>
      <ns0:c r="U295" s="33"/>
      <ns0:c r="V295" t="str" s="33">
        <ns0:v>Даташит — локальный</ns0:v>
      </ns0:c>
      <ns0:c r="W295" t="str" s="33">
        <ns0:v>C:\Users\Nomatin\Documents\Altium\MY_LIB\MY_LIB\Datasheets\JST_PH.pdf</ns0:v>
      </ns0:c>
      <ns0:c r="X295" t="str" s="33">
        <ns0:v>Даташит — производитель</ns0:v>
      </ns0:c>
      <ns0:c r="Y295" t="str" s="33">
        <ns0:v>https://www.jst-mfg.com/product/pdf/eng/ePH.pdf</ns0:v>
      </ns0:c>
      <ns0:c r="Z295" t="str" s="33">
        <ns0:v>C:\Users\Nomatin\Documents\Altium\MY_LIB\MY_LIB\Datasheets\JST_PH.pdf</ns0:v>
      </ns0:c>
    </ns0:row>
    <ns0:row xmlns:ns0="http://schemas.openxmlformats.org/spreadsheetml/2006/main" r="296">
      <ns0:c r="A296" t="str" s="33">
        <ns0:v>XP0215</ns0:v>
      </ns0:c>
      <ns0:c r="B296" t="str" s="33">
        <ns0:v>Разъём</ns0:v>
      </ns0:c>
      <ns0:c r="C296" t="str" s="33">
        <ns0:v>JST PH, 1x07, 2,0 мм</ns0:v>
      </ns0:c>
      <ns0:c r="D296" t="str" s="34">
        <ns0:f>C296</ns0:f>
        <ns0:v>JST PH, 1x07, 2,0 мм</ns0:v>
      </ns0:c>
      <ns0:c r="E296" s="33"/>
      <ns0:c r="F296" s="33"/>
      <ns0:c r="G296" s="33"/>
      <ns0:c r="H296" t="str" s="35">
        <ns0:v>1x07, P2,0, SMD, угловой</ns0:v>
      </ns0:c>
      <ns0:c r="I296" t="str" s="33">
        <ns0:v>JST</ns0:v>
      </ns0:c>
      <ns0:c r="J296" t="str" s="33">
        <ns0:v>S7B-PH-SM4-TB</ns0:v>
      </ns0:c>
      <ns0:c r="K296" t="str" s="34">
        <ns0:f>B296&amp;" "&amp;D296&amp;" "&amp;J296</ns0:f>
        <ns0:v>Разъём JST PH, 1x07, 2,0 мм S7B-PH-SM4-TB</ns0:v>
      </ns0:c>
      <ns0:c r="L296" t="str" s="36">
        <ns0:v>XP_7_MP</ns0:v>
      </ns0:c>
      <ns0:c r="M296" t="str" s="36">
        <ns0:v>Symbols\MY_LIB_Connectors.SchLib</ns0:v>
      </ns0:c>
      <ns0:c r="N296" t="str" s="36">
        <ns0:v>JST_PH_S7B-PH-SM4-TB</ns0:v>
      </ns0:c>
      <ns0:c r="O296" t="str" s="36">
        <ns0:v>Footprints\MY_LIB_Connectors.PcbLib</ns0:v>
      </ns0:c>
      <ns0:c r="P296" t="str" s="33">
        <ns0:v>Штыревой; 7 сигнальных контактов, шаг 2,0 мм; угловой, SMD. Контакт 8: Name=MP; обе металлические площадки имеют номер 8.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6" s="33"/>
      <ns0:c r="R296" t="str" s="34">
        <ns0:f>D296</ns0:f>
        <ns0:v>JST PH, 1x07, 2,0 мм</ns0:v>
      </ns0:c>
      <ns0:c r="S296" t="str" s="34">
        <ns0:f>K296</ns0:f>
        <ns0:v>Разъём JST PH, 1x07, 2,0 мм S7B-PH-SM4-TB</ns0:v>
      </ns0:c>
      <ns0:c r="T296" t="str" s="33">
        <ns0:v>C:\Users\Nomatin\Documents\Altium\MY_LIB\MY_LIB\Datasheets\JST_PH.pdf</ns0:v>
      </ns0:c>
      <ns0:c r="U296" s="33"/>
      <ns0:c r="V296" t="str" s="33">
        <ns0:v>Даташит — локальный</ns0:v>
      </ns0:c>
      <ns0:c r="W296" t="str" s="33">
        <ns0:v>C:\Users\Nomatin\Documents\Altium\MY_LIB\MY_LIB\Datasheets\JST_PH.pdf</ns0:v>
      </ns0:c>
      <ns0:c r="X296" t="str" s="33">
        <ns0:v>Даташит — производитель</ns0:v>
      </ns0:c>
      <ns0:c r="Y296" t="str" s="33">
        <ns0:v>https://www.jst-mfg.com/product/pdf/eng/ePH.pdf</ns0:v>
      </ns0:c>
      <ns0:c r="Z296" t="str" s="33">
        <ns0:v>C:\Users\Nomatin\Documents\Altium\MY_LIB\MY_LIB\Datasheets\JST_PH.pdf</ns0:v>
      </ns0:c>
    </ns0:row>
    <ns0:row xmlns:ns0="http://schemas.openxmlformats.org/spreadsheetml/2006/main" r="297">
      <ns0:c r="A297" t="str" s="33">
        <ns0:v>XP0216</ns0:v>
      </ns0:c>
      <ns0:c r="B297" t="str" s="33">
        <ns0:v>Разъём</ns0:v>
      </ns0:c>
      <ns0:c r="C297" t="str" s="33">
        <ns0:v>JST PH, 1x08, 2,0 мм</ns0:v>
      </ns0:c>
      <ns0:c r="D297" t="str" s="34">
        <ns0:f>C297</ns0:f>
        <ns0:v>JST PH, 1x08, 2,0 мм</ns0:v>
      </ns0:c>
      <ns0:c r="E297" s="33"/>
      <ns0:c r="F297" s="33"/>
      <ns0:c r="G297" s="33"/>
      <ns0:c r="H297" t="str" s="35">
        <ns0:v>1x08, P2,0, THT, угловой</ns0:v>
      </ns0:c>
      <ns0:c r="I297" t="str" s="33">
        <ns0:v>JST</ns0:v>
      </ns0:c>
      <ns0:c r="J297" t="str" s="33">
        <ns0:v>S8B-PH-K</ns0:v>
      </ns0:c>
      <ns0:c r="K297" t="str" s="34">
        <ns0:f>B297&amp;" "&amp;D297&amp;" "&amp;J297</ns0:f>
        <ns0:v>Разъём JST PH, 1x08, 2,0 мм S8B-PH-K</ns0:v>
      </ns0:c>
      <ns0:c r="L297" t="str" s="36">
        <ns0:v>XP_8</ns0:v>
      </ns0:c>
      <ns0:c r="M297" t="str" s="36">
        <ns0:v>Symbols\MY_LIB_Connectors.SchLib</ns0:v>
      </ns0:c>
      <ns0:c r="N297" t="str" s="36">
        <ns0:v>JST_PH_S8B-PH-K</ns0:v>
      </ns0:c>
      <ns0:c r="O297" t="str" s="36">
        <ns0:v>Footprints\MY_LIB_Connectors.PcbLib</ns0:v>
      </ns0:c>
      <ns0:c r="P297" t="str" s="33">
        <ns0:v>Штыревой; 8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7" s="33"/>
      <ns0:c r="R297" t="str" s="34">
        <ns0:f>D297</ns0:f>
        <ns0:v>JST PH, 1x08, 2,0 мм</ns0:v>
      </ns0:c>
      <ns0:c r="S297" t="str" s="34">
        <ns0:f>K297</ns0:f>
        <ns0:v>Разъём JST PH, 1x08, 2,0 мм S8B-PH-K</ns0:v>
      </ns0:c>
      <ns0:c r="T297" t="str" s="33">
        <ns0:v>C:\Users\Nomatin\Documents\Altium\MY_LIB\MY_LIB\Datasheets\JST_PH.pdf</ns0:v>
      </ns0:c>
      <ns0:c r="U297" s="33"/>
      <ns0:c r="V297" t="str" s="33">
        <ns0:v>Даташит — локальный</ns0:v>
      </ns0:c>
      <ns0:c r="W297" t="str" s="33">
        <ns0:v>C:\Users\Nomatin\Documents\Altium\MY_LIB\MY_LIB\Datasheets\JST_PH.pdf</ns0:v>
      </ns0:c>
      <ns0:c r="X297" t="str" s="33">
        <ns0:v>Даташит — производитель</ns0:v>
      </ns0:c>
      <ns0:c r="Y297" t="str" s="33">
        <ns0:v>https://www.jst-mfg.com/product/pdf/eng/ePH.pdf</ns0:v>
      </ns0:c>
      <ns0:c r="Z297" t="str" s="33">
        <ns0:v>C:\Users\Nomatin\Documents\Altium\MY_LIB\MY_LIB\Datasheets\JST_PH.pdf</ns0:v>
      </ns0:c>
    </ns0:row>
    <ns0:row xmlns:ns0="http://schemas.openxmlformats.org/spreadsheetml/2006/main" r="298">
      <ns0:c r="A298" t="str" s="33">
        <ns0:v>XP0217</ns0:v>
      </ns0:c>
      <ns0:c r="B298" t="str" s="33">
        <ns0:v>Разъём</ns0:v>
      </ns0:c>
      <ns0:c r="C298" t="str" s="33">
        <ns0:v>JST PH, 1x08, 2,0 мм</ns0:v>
      </ns0:c>
      <ns0:c r="D298" t="str" s="34">
        <ns0:f>C298</ns0:f>
        <ns0:v>JST PH, 1x08, 2,0 мм</ns0:v>
      </ns0:c>
      <ns0:c r="E298" s="33"/>
      <ns0:c r="F298" s="33"/>
      <ns0:c r="G298" s="33"/>
      <ns0:c r="H298" t="str" s="35">
        <ns0:v>1x08, P2,0, SMD, угловой</ns0:v>
      </ns0:c>
      <ns0:c r="I298" t="str" s="33">
        <ns0:v>JST</ns0:v>
      </ns0:c>
      <ns0:c r="J298" t="str" s="33">
        <ns0:v>S8B-PH-SM4-TB</ns0:v>
      </ns0:c>
      <ns0:c r="K298" t="str" s="34">
        <ns0:f>B298&amp;" "&amp;D298&amp;" "&amp;J298</ns0:f>
        <ns0:v>Разъём JST PH, 1x08, 2,0 мм S8B-PH-SM4-TB</ns0:v>
      </ns0:c>
      <ns0:c r="L298" t="str" s="36">
        <ns0:v>XP_8_MP</ns0:v>
      </ns0:c>
      <ns0:c r="M298" t="str" s="36">
        <ns0:v>Symbols\MY_LIB_Connectors.SchLib</ns0:v>
      </ns0:c>
      <ns0:c r="N298" t="str" s="36">
        <ns0:v>JST_PH_S8B-PH-SM4-TB</ns0:v>
      </ns0:c>
      <ns0:c r="O298" t="str" s="36">
        <ns0:v>Footprints\MY_LIB_Connectors.PcbLib</ns0:v>
      </ns0:c>
      <ns0:c r="P298" t="str" s="33">
        <ns0:v>Штыревой; 8 сигнальных контактов, шаг 2,0 мм; угловой, SMD. Контакт 9: Name=MP; обе металлические площадки имеют номер 9.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8" s="33"/>
      <ns0:c r="R298" t="str" s="34">
        <ns0:f>D298</ns0:f>
        <ns0:v>JST PH, 1x08, 2,0 мм</ns0:v>
      </ns0:c>
      <ns0:c r="S298" t="str" s="34">
        <ns0:f>K298</ns0:f>
        <ns0:v>Разъём JST PH, 1x08, 2,0 мм S8B-PH-SM4-TB</ns0:v>
      </ns0:c>
      <ns0:c r="T298" t="str" s="33">
        <ns0:v>C:\Users\Nomatin\Documents\Altium\MY_LIB\MY_LIB\Datasheets\JST_PH.pdf</ns0:v>
      </ns0:c>
      <ns0:c r="U298" s="33"/>
      <ns0:c r="V298" t="str" s="33">
        <ns0:v>Даташит — локальный</ns0:v>
      </ns0:c>
      <ns0:c r="W298" t="str" s="33">
        <ns0:v>C:\Users\Nomatin\Documents\Altium\MY_LIB\MY_LIB\Datasheets\JST_PH.pdf</ns0:v>
      </ns0:c>
      <ns0:c r="X298" t="str" s="33">
        <ns0:v>Даташит — производитель</ns0:v>
      </ns0:c>
      <ns0:c r="Y298" t="str" s="33">
        <ns0:v>https://www.jst-mfg.com/product/pdf/eng/ePH.pdf</ns0:v>
      </ns0:c>
      <ns0:c r="Z298" t="str" s="33">
        <ns0:v>C:\Users\Nomatin\Documents\Altium\MY_LIB\MY_LIB\Datasheets\JST_PH.pdf</ns0:v>
      </ns0:c>
    </ns0:row>
    <ns0:row xmlns:ns0="http://schemas.openxmlformats.org/spreadsheetml/2006/main" r="299">
      <ns0:c r="A299" t="str" s="33">
        <ns0:v>XP0218</ns0:v>
      </ns0:c>
      <ns0:c r="B299" t="str" s="33">
        <ns0:v>Разъём</ns0:v>
      </ns0:c>
      <ns0:c r="C299" t="str" s="33">
        <ns0:v>JST PH, 1x09, 2,0 мм</ns0:v>
      </ns0:c>
      <ns0:c r="D299" t="str" s="34">
        <ns0:f>C299</ns0:f>
        <ns0:v>JST PH, 1x09, 2,0 мм</ns0:v>
      </ns0:c>
      <ns0:c r="E299" s="33"/>
      <ns0:c r="F299" s="33"/>
      <ns0:c r="G299" s="33"/>
      <ns0:c r="H299" t="str" s="35">
        <ns0:v>1x09, P2,0, THT, угловой</ns0:v>
      </ns0:c>
      <ns0:c r="I299" t="str" s="33">
        <ns0:v>JST</ns0:v>
      </ns0:c>
      <ns0:c r="J299" t="str" s="33">
        <ns0:v>S9B-PH-K</ns0:v>
      </ns0:c>
      <ns0:c r="K299" t="str" s="34">
        <ns0:f>B299&amp;" "&amp;D299&amp;" "&amp;J299</ns0:f>
        <ns0:v>Разъём JST PH, 1x09, 2,0 мм S9B-PH-K</ns0:v>
      </ns0:c>
      <ns0:c r="L299" t="str" s="36">
        <ns0:v>XP_9</ns0:v>
      </ns0:c>
      <ns0:c r="M299" t="str" s="36">
        <ns0:v>Symbols\MY_LIB_Connectors.SchLib</ns0:v>
      </ns0:c>
      <ns0:c r="N299" t="str" s="36">
        <ns0:v>JST_PH_S9B-PH-K</ns0:v>
      </ns0:c>
      <ns0:c r="O299" t="str" s="36">
        <ns0:v>Footprints\MY_LIB_Connectors.PcbLib</ns0:v>
      </ns0:c>
      <ns0:c r="P299" t="str" s="33">
        <ns0:v>Штыревой; 9 сигнальных контактов, шаг 2,0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299" s="33"/>
      <ns0:c r="R299" t="str" s="34">
        <ns0:f>D299</ns0:f>
        <ns0:v>JST PH, 1x09, 2,0 мм</ns0:v>
      </ns0:c>
      <ns0:c r="S299" t="str" s="34">
        <ns0:f>K299</ns0:f>
        <ns0:v>Разъём JST PH, 1x09, 2,0 мм S9B-PH-K</ns0:v>
      </ns0:c>
      <ns0:c r="T299" t="str" s="33">
        <ns0:v>C:\Users\Nomatin\Documents\Altium\MY_LIB\MY_LIB\Datasheets\JST_PH.pdf</ns0:v>
      </ns0:c>
      <ns0:c r="U299" s="33"/>
      <ns0:c r="V299" t="str" s="33">
        <ns0:v>Даташит — локальный</ns0:v>
      </ns0:c>
      <ns0:c r="W299" t="str" s="33">
        <ns0:v>C:\Users\Nomatin\Documents\Altium\MY_LIB\MY_LIB\Datasheets\JST_PH.pdf</ns0:v>
      </ns0:c>
      <ns0:c r="X299" t="str" s="33">
        <ns0:v>Даташит — производитель</ns0:v>
      </ns0:c>
      <ns0:c r="Y299" t="str" s="33">
        <ns0:v>https://www.jst-mfg.com/product/pdf/eng/ePH.pdf</ns0:v>
      </ns0:c>
      <ns0:c r="Z299" t="str" s="33">
        <ns0:v>C:\Users\Nomatin\Documents\Altium\MY_LIB\MY_LIB\Datasheets\JST_PH.pdf</ns0:v>
      </ns0:c>
    </ns0:row>
    <ns0:row xmlns:ns0="http://schemas.openxmlformats.org/spreadsheetml/2006/main" r="300">
      <ns0:c r="A300" t="str" s="33">
        <ns0:v>XP0219</ns0:v>
      </ns0:c>
      <ns0:c r="B300" t="str" s="33">
        <ns0:v>Разъём</ns0:v>
      </ns0:c>
      <ns0:c r="C300" t="str" s="33">
        <ns0:v>JST PH, 1x09, 2,0 мм</ns0:v>
      </ns0:c>
      <ns0:c r="D300" t="str" s="34">
        <ns0:f>C300</ns0:f>
        <ns0:v>JST PH, 1x09, 2,0 мм</ns0:v>
      </ns0:c>
      <ns0:c r="E300" s="33"/>
      <ns0:c r="F300" s="33"/>
      <ns0:c r="G300" s="33"/>
      <ns0:c r="H300" t="str" s="35">
        <ns0:v>1x09, P2,0, SMD, угловой</ns0:v>
      </ns0:c>
      <ns0:c r="I300" t="str" s="33">
        <ns0:v>JST</ns0:v>
      </ns0:c>
      <ns0:c r="J300" t="str" s="33">
        <ns0:v>S9B-PH-SM4-TB</ns0:v>
      </ns0:c>
      <ns0:c r="K300" t="str" s="34">
        <ns0:f>B300&amp;" "&amp;D300&amp;" "&amp;J300</ns0:f>
        <ns0:v>Разъём JST PH, 1x09, 2,0 мм S9B-PH-SM4-TB</ns0:v>
      </ns0:c>
      <ns0:c r="L300" t="str" s="36">
        <ns0:v>XP_9_MP</ns0:v>
      </ns0:c>
      <ns0:c r="M300" t="str" s="36">
        <ns0:v>Symbols\MY_LIB_Connectors.SchLib</ns0:v>
      </ns0:c>
      <ns0:c r="N300" t="str" s="36">
        <ns0:v>JST_PH_S9B-PH-SM4-TB</ns0:v>
      </ns0:c>
      <ns0:c r="O300" t="str" s="36">
        <ns0:v>Footprints\MY_LIB_Connectors.PcbLib</ns0:v>
      </ns0:c>
      <ns0:c r="P300" t="str" s="33">
        <ns0:v>Штыревой; 9 сигнальных контактов, шаг 2,0 мм; угловой, SMD. Контакт 10: Name=MP; обе металлические площадки имеют номер 10.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0" s="33"/>
      <ns0:c r="R300" t="str" s="34">
        <ns0:f>D300</ns0:f>
        <ns0:v>JST PH, 1x09, 2,0 мм</ns0:v>
      </ns0:c>
      <ns0:c r="S300" t="str" s="34">
        <ns0:f>K300</ns0:f>
        <ns0:v>Разъём JST PH, 1x09, 2,0 мм S9B-PH-SM4-TB</ns0:v>
      </ns0:c>
      <ns0:c r="T300" t="str" s="33">
        <ns0:v>C:\Users\Nomatin\Documents\Altium\MY_LIB\MY_LIB\Datasheets\JST_PH.pdf</ns0:v>
      </ns0:c>
      <ns0:c r="U300" s="33"/>
      <ns0:c r="V300" t="str" s="33">
        <ns0:v>Даташит — локальный</ns0:v>
      </ns0:c>
      <ns0:c r="W300" t="str" s="33">
        <ns0:v>C:\Users\Nomatin\Documents\Altium\MY_LIB\MY_LIB\Datasheets\JST_PH.pdf</ns0:v>
      </ns0:c>
      <ns0:c r="X300" t="str" s="33">
        <ns0:v>Даташит — производитель</ns0:v>
      </ns0:c>
      <ns0:c r="Y300" t="str" s="33">
        <ns0:v>https://www.jst-mfg.com/product/pdf/eng/ePH.pdf</ns0:v>
      </ns0:c>
      <ns0:c r="Z300" t="str" s="33">
        <ns0:v>C:\Users\Nomatin\Documents\Altium\MY_LIB\MY_LIB\Datasheets\JST_PH.pdf</ns0:v>
      </ns0:c>
    </ns0:row>
    <ns0:row xmlns:ns0="http://schemas.openxmlformats.org/spreadsheetml/2006/main" r="301">
      <ns0:c r="A301" t="str" s="33">
        <ns0:v>XP0220</ns0:v>
      </ns0:c>
      <ns0:c r="B301" t="str" s="33">
        <ns0:v>Разъём</ns0:v>
      </ns0:c>
      <ns0:c r="C301" t="str" s="33">
        <ns0:v>JST XH, 1x10, 2,5 мм</ns0:v>
      </ns0:c>
      <ns0:c r="D301" t="str" s="34">
        <ns0:f>C301</ns0:f>
        <ns0:v>JST XH, 1x10, 2,5 мм</ns0:v>
      </ns0:c>
      <ns0:c r="E301" s="33"/>
      <ns0:c r="F301" s="33"/>
      <ns0:c r="G301" s="33"/>
      <ns0:c r="H301" t="str" s="35">
        <ns0:v>1x10, P2,5, THT, прямой</ns0:v>
      </ns0:c>
      <ns0:c r="I301" t="str" s="33">
        <ns0:v>JST</ns0:v>
      </ns0:c>
      <ns0:c r="J301" t="str" s="33">
        <ns0:v>B10B-XH-A</ns0:v>
      </ns0:c>
      <ns0:c r="K301" t="str" s="34">
        <ns0:f>B301&amp;" "&amp;D301&amp;" "&amp;J301</ns0:f>
        <ns0:v>Разъём JST XH, 1x10, 2,5 мм B10B-XH-A</ns0:v>
      </ns0:c>
      <ns0:c r="L301" t="str" s="36">
        <ns0:v>XP_10</ns0:v>
      </ns0:c>
      <ns0:c r="M301" t="str" s="36">
        <ns0:v>Symbols\MY_LIB_Connectors.SchLib</ns0:v>
      </ns0:c>
      <ns0:c r="N301" t="str" s="36">
        <ns0:v>JST_XH_B10B-XH-A</ns0:v>
      </ns0:c>
      <ns0:c r="O301" t="str" s="36">
        <ns0:v>Footprints\MY_LIB_Connectors.PcbLib</ns0:v>
      </ns0:c>
      <ns0:c r="P301" t="str" s="33">
        <ns0:v>Штыревой; 10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1" s="33"/>
      <ns0:c r="R301" t="str" s="34">
        <ns0:f>D301</ns0:f>
        <ns0:v>JST XH, 1x10, 2,5 мм</ns0:v>
      </ns0:c>
      <ns0:c r="S301" t="str" s="34">
        <ns0:f>K301</ns0:f>
        <ns0:v>Разъём JST XH, 1x10, 2,5 мм B10B-XH-A</ns0:v>
      </ns0:c>
      <ns0:c r="T301" t="str" s="33">
        <ns0:v>C:\Users\Nomatin\Documents\Altium\MY_LIB\MY_LIB\Datasheets\JST_XH.pdf</ns0:v>
      </ns0:c>
      <ns0:c r="U301" s="33"/>
      <ns0:c r="V301" t="str" s="33">
        <ns0:v>Даташит — локальный</ns0:v>
      </ns0:c>
      <ns0:c r="W301" t="str" s="33">
        <ns0:v>C:\Users\Nomatin\Documents\Altium\MY_LIB\MY_LIB\Datasheets\JST_XH.pdf</ns0:v>
      </ns0:c>
      <ns0:c r="X301" t="str" s="33">
        <ns0:v>Даташит — производитель</ns0:v>
      </ns0:c>
      <ns0:c r="Y301" t="str" s="33">
        <ns0:v>https://www.jst-mfg.com/product/pdf/eng/eXH.pdf</ns0:v>
      </ns0:c>
      <ns0:c r="Z301" t="str" s="33">
        <ns0:v>C:\Users\Nomatin\Documents\Altium\MY_LIB\MY_LIB\Datasheets\JST_XH.pdf</ns0:v>
      </ns0:c>
    </ns0:row>
    <ns0:row xmlns:ns0="http://schemas.openxmlformats.org/spreadsheetml/2006/main" r="302">
      <ns0:c r="A302" t="str" s="33">
        <ns0:v>XP0221</ns0:v>
      </ns0:c>
      <ns0:c r="B302" t="str" s="33">
        <ns0:v>Разъём</ns0:v>
      </ns0:c>
      <ns0:c r="C302" t="str" s="33">
        <ns0:v>JST XH, 1x10, 2,5 мм</ns0:v>
      </ns0:c>
      <ns0:c r="D302" t="str" s="34">
        <ns0:f>C302</ns0:f>
        <ns0:v>JST XH, 1x10, 2,5 мм</ns0:v>
      </ns0:c>
      <ns0:c r="E302" s="33"/>
      <ns0:c r="F302" s="33"/>
      <ns0:c r="G302" s="33"/>
      <ns0:c r="H302" t="str" s="35">
        <ns0:v>1x10, P2,5, THT, прямой</ns0:v>
      </ns0:c>
      <ns0:c r="I302" t="str" s="33">
        <ns0:v>JST</ns0:v>
      </ns0:c>
      <ns0:c r="J302" t="str" s="33">
        <ns0:v>B10B-XH-AM</ns0:v>
      </ns0:c>
      <ns0:c r="K302" t="str" s="34">
        <ns0:f>B302&amp;" "&amp;D302&amp;" "&amp;J302</ns0:f>
        <ns0:v>Разъём JST XH, 1x10, 2,5 мм B10B-XH-AM</ns0:v>
      </ns0:c>
      <ns0:c r="L302" t="str" s="36">
        <ns0:v>XP_10</ns0:v>
      </ns0:c>
      <ns0:c r="M302" t="str" s="36">
        <ns0:v>Symbols\MY_LIB_Connectors.SchLib</ns0:v>
      </ns0:c>
      <ns0:c r="N302" t="str" s="36">
        <ns0:v>JST_XH_B10B-XH-AM</ns0:v>
      </ns0:c>
      <ns0:c r="O302" t="str" s="36">
        <ns0:v>Footprints\MY_LIB_Connectors.PcbLib</ns0:v>
      </ns0:c>
      <ns0:c r="P302" t="str" s="33">
        <ns0:v>Штыревой; 10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2" s="33"/>
      <ns0:c r="R302" t="str" s="34">
        <ns0:f>D302</ns0:f>
        <ns0:v>JST XH, 1x10, 2,5 мм</ns0:v>
      </ns0:c>
      <ns0:c r="S302" t="str" s="34">
        <ns0:f>K302</ns0:f>
        <ns0:v>Разъём JST XH, 1x10, 2,5 мм B10B-XH-AM</ns0:v>
      </ns0:c>
      <ns0:c r="T302" t="str" s="33">
        <ns0:v>C:\Users\Nomatin\Documents\Altium\MY_LIB\MY_LIB\Datasheets\JST_XH.pdf</ns0:v>
      </ns0:c>
      <ns0:c r="U302" s="33"/>
      <ns0:c r="V302" t="str" s="33">
        <ns0:v>Даташит — локальный</ns0:v>
      </ns0:c>
      <ns0:c r="W302" t="str" s="33">
        <ns0:v>C:\Users\Nomatin\Documents\Altium\MY_LIB\MY_LIB\Datasheets\JST_XH.pdf</ns0:v>
      </ns0:c>
      <ns0:c r="X302" t="str" s="33">
        <ns0:v>Даташит — производитель</ns0:v>
      </ns0:c>
      <ns0:c r="Y302" t="str" s="33">
        <ns0:v>https://www.jst-mfg.com/product/pdf/eng/eXH.pdf</ns0:v>
      </ns0:c>
      <ns0:c r="Z302" t="str" s="33">
        <ns0:v>C:\Users\Nomatin\Documents\Altium\MY_LIB\MY_LIB\Datasheets\JST_XH.pdf</ns0:v>
      </ns0:c>
    </ns0:row>
    <ns0:row xmlns:ns0="http://schemas.openxmlformats.org/spreadsheetml/2006/main" r="303">
      <ns0:c r="A303" t="str" s="33">
        <ns0:v>XP0222</ns0:v>
      </ns0:c>
      <ns0:c r="B303" t="str" s="33">
        <ns0:v>Разъём</ns0:v>
      </ns0:c>
      <ns0:c r="C303" t="str" s="33">
        <ns0:v>JST XH, 1x11, 2,5 мм</ns0:v>
      </ns0:c>
      <ns0:c r="D303" t="str" s="34">
        <ns0:f>C303</ns0:f>
        <ns0:v>JST XH, 1x11, 2,5 мм</ns0:v>
      </ns0:c>
      <ns0:c r="E303" s="33"/>
      <ns0:c r="F303" s="33"/>
      <ns0:c r="G303" s="33"/>
      <ns0:c r="H303" t="str" s="35">
        <ns0:v>1x11, P2,5, THT, прямой</ns0:v>
      </ns0:c>
      <ns0:c r="I303" t="str" s="33">
        <ns0:v>JST</ns0:v>
      </ns0:c>
      <ns0:c r="J303" t="str" s="33">
        <ns0:v>B11B-XH-A</ns0:v>
      </ns0:c>
      <ns0:c r="K303" t="str" s="34">
        <ns0:f>B303&amp;" "&amp;D303&amp;" "&amp;J303</ns0:f>
        <ns0:v>Разъём JST XH, 1x11, 2,5 мм B11B-XH-A</ns0:v>
      </ns0:c>
      <ns0:c r="L303" t="str" s="36">
        <ns0:v>XP_11</ns0:v>
      </ns0:c>
      <ns0:c r="M303" t="str" s="36">
        <ns0:v>Symbols\MY_LIB_Connectors.SchLib</ns0:v>
      </ns0:c>
      <ns0:c r="N303" t="str" s="36">
        <ns0:v>JST_XH_B11B-XH-A</ns0:v>
      </ns0:c>
      <ns0:c r="O303" t="str" s="36">
        <ns0:v>Footprints\MY_LIB_Connectors.PcbLib</ns0:v>
      </ns0:c>
      <ns0:c r="P303" t="str" s="33">
        <ns0:v>Штыревой; 11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3" s="33"/>
      <ns0:c r="R303" t="str" s="34">
        <ns0:f>D303</ns0:f>
        <ns0:v>JST XH, 1x11, 2,5 мм</ns0:v>
      </ns0:c>
      <ns0:c r="S303" t="str" s="34">
        <ns0:f>K303</ns0:f>
        <ns0:v>Разъём JST XH, 1x11, 2,5 мм B11B-XH-A</ns0:v>
      </ns0:c>
      <ns0:c r="T303" t="str" s="33">
        <ns0:v>C:\Users\Nomatin\Documents\Altium\MY_LIB\MY_LIB\Datasheets\JST_XH.pdf</ns0:v>
      </ns0:c>
      <ns0:c r="U303" s="33"/>
      <ns0:c r="V303" t="str" s="33">
        <ns0:v>Даташит — локальный</ns0:v>
      </ns0:c>
      <ns0:c r="W303" t="str" s="33">
        <ns0:v>C:\Users\Nomatin\Documents\Altium\MY_LIB\MY_LIB\Datasheets\JST_XH.pdf</ns0:v>
      </ns0:c>
      <ns0:c r="X303" t="str" s="33">
        <ns0:v>Даташит — производитель</ns0:v>
      </ns0:c>
      <ns0:c r="Y303" t="str" s="33">
        <ns0:v>https://www.jst-mfg.com/product/pdf/eng/eXH.pdf</ns0:v>
      </ns0:c>
      <ns0:c r="Z303" t="str" s="33">
        <ns0:v>C:\Users\Nomatin\Documents\Altium\MY_LIB\MY_LIB\Datasheets\JST_XH.pdf</ns0:v>
      </ns0:c>
    </ns0:row>
    <ns0:row xmlns:ns0="http://schemas.openxmlformats.org/spreadsheetml/2006/main" r="304">
      <ns0:c r="A304" t="str" s="33">
        <ns0:v>XP0223</ns0:v>
      </ns0:c>
      <ns0:c r="B304" t="str" s="33">
        <ns0:v>Разъём</ns0:v>
      </ns0:c>
      <ns0:c r="C304" t="str" s="33">
        <ns0:v>JST XH, 1x12, 2,5 мм</ns0:v>
      </ns0:c>
      <ns0:c r="D304" t="str" s="34">
        <ns0:f>C304</ns0:f>
        <ns0:v>JST XH, 1x12, 2,5 мм</ns0:v>
      </ns0:c>
      <ns0:c r="E304" s="33"/>
      <ns0:c r="F304" s="33"/>
      <ns0:c r="G304" s="33"/>
      <ns0:c r="H304" t="str" s="35">
        <ns0:v>1x12, P2,5, THT, прямой</ns0:v>
      </ns0:c>
      <ns0:c r="I304" t="str" s="33">
        <ns0:v>JST</ns0:v>
      </ns0:c>
      <ns0:c r="J304" t="str" s="33">
        <ns0:v>B12B-XH-A</ns0:v>
      </ns0:c>
      <ns0:c r="K304" t="str" s="34">
        <ns0:f>B304&amp;" "&amp;D304&amp;" "&amp;J304</ns0:f>
        <ns0:v>Разъём JST XH, 1x12, 2,5 мм B12B-XH-A</ns0:v>
      </ns0:c>
      <ns0:c r="L304" t="str" s="36">
        <ns0:v>XP_12</ns0:v>
      </ns0:c>
      <ns0:c r="M304" t="str" s="36">
        <ns0:v>Symbols\MY_LIB_Connectors.SchLib</ns0:v>
      </ns0:c>
      <ns0:c r="N304" t="str" s="36">
        <ns0:v>JST_XH_B12B-XH-A</ns0:v>
      </ns0:c>
      <ns0:c r="O304" t="str" s="36">
        <ns0:v>Footprints\MY_LIB_Connectors.PcbLib</ns0:v>
      </ns0:c>
      <ns0:c r="P304" t="str" s="33">
        <ns0:v>Штыревой; 12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4" s="33"/>
      <ns0:c r="R304" t="str" s="34">
        <ns0:f>D304</ns0:f>
        <ns0:v>JST XH, 1x12, 2,5 мм</ns0:v>
      </ns0:c>
      <ns0:c r="S304" t="str" s="34">
        <ns0:f>K304</ns0:f>
        <ns0:v>Разъём JST XH, 1x12, 2,5 мм B12B-XH-A</ns0:v>
      </ns0:c>
      <ns0:c r="T304" t="str" s="33">
        <ns0:v>C:\Users\Nomatin\Documents\Altium\MY_LIB\MY_LIB\Datasheets\JST_XH.pdf</ns0:v>
      </ns0:c>
      <ns0:c r="U304" s="33"/>
      <ns0:c r="V304" t="str" s="33">
        <ns0:v>Даташит — локальный</ns0:v>
      </ns0:c>
      <ns0:c r="W304" t="str" s="33">
        <ns0:v>C:\Users\Nomatin\Documents\Altium\MY_LIB\MY_LIB\Datasheets\JST_XH.pdf</ns0:v>
      </ns0:c>
      <ns0:c r="X304" t="str" s="33">
        <ns0:v>Даташит — производитель</ns0:v>
      </ns0:c>
      <ns0:c r="Y304" t="str" s="33">
        <ns0:v>https://www.jst-mfg.com/product/pdf/eng/eXH.pdf</ns0:v>
      </ns0:c>
      <ns0:c r="Z304" t="str" s="33">
        <ns0:v>C:\Users\Nomatin\Documents\Altium\MY_LIB\MY_LIB\Datasheets\JST_XH.pdf</ns0:v>
      </ns0:c>
    </ns0:row>
    <ns0:row xmlns:ns0="http://schemas.openxmlformats.org/spreadsheetml/2006/main" r="305">
      <ns0:c r="A305" t="str" s="33">
        <ns0:v>XP0224</ns0:v>
      </ns0:c>
      <ns0:c r="B305" t="str" s="33">
        <ns0:v>Разъём</ns0:v>
      </ns0:c>
      <ns0:c r="C305" t="str" s="33">
        <ns0:v>JST XH, 1x12, 2,5 мм</ns0:v>
      </ns0:c>
      <ns0:c r="D305" t="str" s="34">
        <ns0:f>C305</ns0:f>
        <ns0:v>JST XH, 1x12, 2,5 мм</ns0:v>
      </ns0:c>
      <ns0:c r="E305" s="33"/>
      <ns0:c r="F305" s="33"/>
      <ns0:c r="G305" s="33"/>
      <ns0:c r="H305" t="str" s="35">
        <ns0:v>1x12, P2,5, THT, прямой</ns0:v>
      </ns0:c>
      <ns0:c r="I305" t="str" s="33">
        <ns0:v>JST</ns0:v>
      </ns0:c>
      <ns0:c r="J305" t="str" s="33">
        <ns0:v>B12B-XH-AM</ns0:v>
      </ns0:c>
      <ns0:c r="K305" t="str" s="34">
        <ns0:f>B305&amp;" "&amp;D305&amp;" "&amp;J305</ns0:f>
        <ns0:v>Разъём JST XH, 1x12, 2,5 мм B12B-XH-AM</ns0:v>
      </ns0:c>
      <ns0:c r="L305" t="str" s="36">
        <ns0:v>XP_12</ns0:v>
      </ns0:c>
      <ns0:c r="M305" t="str" s="36">
        <ns0:v>Symbols\MY_LIB_Connectors.SchLib</ns0:v>
      </ns0:c>
      <ns0:c r="N305" t="str" s="36">
        <ns0:v>JST_XH_B12B-XH-AM</ns0:v>
      </ns0:c>
      <ns0:c r="O305" t="str" s="36">
        <ns0:v>Footprints\MY_LIB_Connectors.PcbLib</ns0:v>
      </ns0:c>
      <ns0:c r="P305" t="str" s="33">
        <ns0:v>Штыревой; 12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5" s="33"/>
      <ns0:c r="R305" t="str" s="34">
        <ns0:f>D305</ns0:f>
        <ns0:v>JST XH, 1x12, 2,5 мм</ns0:v>
      </ns0:c>
      <ns0:c r="S305" t="str" s="34">
        <ns0:f>K305</ns0:f>
        <ns0:v>Разъём JST XH, 1x12, 2,5 мм B12B-XH-AM</ns0:v>
      </ns0:c>
      <ns0:c r="T305" t="str" s="33">
        <ns0:v>C:\Users\Nomatin\Documents\Altium\MY_LIB\MY_LIB\Datasheets\JST_XH.pdf</ns0:v>
      </ns0:c>
      <ns0:c r="U305" s="33"/>
      <ns0:c r="V305" t="str" s="33">
        <ns0:v>Даташит — локальный</ns0:v>
      </ns0:c>
      <ns0:c r="W305" t="str" s="33">
        <ns0:v>C:\Users\Nomatin\Documents\Altium\MY_LIB\MY_LIB\Datasheets\JST_XH.pdf</ns0:v>
      </ns0:c>
      <ns0:c r="X305" t="str" s="33">
        <ns0:v>Даташит — производитель</ns0:v>
      </ns0:c>
      <ns0:c r="Y305" t="str" s="33">
        <ns0:v>https://www.jst-mfg.com/product/pdf/eng/eXH.pdf</ns0:v>
      </ns0:c>
      <ns0:c r="Z305" t="str" s="33">
        <ns0:v>C:\Users\Nomatin\Documents\Altium\MY_LIB\MY_LIB\Datasheets\JST_XH.pdf</ns0:v>
      </ns0:c>
    </ns0:row>
    <ns0:row xmlns:ns0="http://schemas.openxmlformats.org/spreadsheetml/2006/main" r="306">
      <ns0:c r="A306" t="str" s="33">
        <ns0:v>XP0225</ns0:v>
      </ns0:c>
      <ns0:c r="B306" t="str" s="33">
        <ns0:v>Разъём</ns0:v>
      </ns0:c>
      <ns0:c r="C306" t="str" s="33">
        <ns0:v>JST XH, 1x13, 2,5 мм</ns0:v>
      </ns0:c>
      <ns0:c r="D306" t="str" s="34">
        <ns0:f>C306</ns0:f>
        <ns0:v>JST XH, 1x13, 2,5 мм</ns0:v>
      </ns0:c>
      <ns0:c r="E306" s="33"/>
      <ns0:c r="F306" s="33"/>
      <ns0:c r="G306" s="33"/>
      <ns0:c r="H306" t="str" s="35">
        <ns0:v>1x13, P2,5, THT, прямой</ns0:v>
      </ns0:c>
      <ns0:c r="I306" t="str" s="33">
        <ns0:v>JST</ns0:v>
      </ns0:c>
      <ns0:c r="J306" t="str" s="33">
        <ns0:v>B13B-XH-A</ns0:v>
      </ns0:c>
      <ns0:c r="K306" t="str" s="34">
        <ns0:f>B306&amp;" "&amp;D306&amp;" "&amp;J306</ns0:f>
        <ns0:v>Разъём JST XH, 1x13, 2,5 мм B13B-XH-A</ns0:v>
      </ns0:c>
      <ns0:c r="L306" t="str" s="36">
        <ns0:v>XP_13</ns0:v>
      </ns0:c>
      <ns0:c r="M306" t="str" s="36">
        <ns0:v>Symbols\MY_LIB_Connectors.SchLib</ns0:v>
      </ns0:c>
      <ns0:c r="N306" t="str" s="36">
        <ns0:v>JST_XH_B13B-XH-A</ns0:v>
      </ns0:c>
      <ns0:c r="O306" t="str" s="36">
        <ns0:v>Footprints\MY_LIB_Connectors.PcbLib</ns0:v>
      </ns0:c>
      <ns0:c r="P306" t="str" s="33">
        <ns0:v>Штыревой; 13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6" s="33"/>
      <ns0:c r="R306" t="str" s="34">
        <ns0:f>D306</ns0:f>
        <ns0:v>JST XH, 1x13, 2,5 мм</ns0:v>
      </ns0:c>
      <ns0:c r="S306" t="str" s="34">
        <ns0:f>K306</ns0:f>
        <ns0:v>Разъём JST XH, 1x13, 2,5 мм B13B-XH-A</ns0:v>
      </ns0:c>
      <ns0:c r="T306" t="str" s="33">
        <ns0:v>C:\Users\Nomatin\Documents\Altium\MY_LIB\MY_LIB\Datasheets\JST_XH.pdf</ns0:v>
      </ns0:c>
      <ns0:c r="U306" s="33"/>
      <ns0:c r="V306" t="str" s="33">
        <ns0:v>Даташит — локальный</ns0:v>
      </ns0:c>
      <ns0:c r="W306" t="str" s="33">
        <ns0:v>C:\Users\Nomatin\Documents\Altium\MY_LIB\MY_LIB\Datasheets\JST_XH.pdf</ns0:v>
      </ns0:c>
      <ns0:c r="X306" t="str" s="33">
        <ns0:v>Даташит — производитель</ns0:v>
      </ns0:c>
      <ns0:c r="Y306" t="str" s="33">
        <ns0:v>https://www.jst-mfg.com/product/pdf/eng/eXH.pdf</ns0:v>
      </ns0:c>
      <ns0:c r="Z306" t="str" s="33">
        <ns0:v>C:\Users\Nomatin\Documents\Altium\MY_LIB\MY_LIB\Datasheets\JST_XH.pdf</ns0:v>
      </ns0:c>
    </ns0:row>
    <ns0:row xmlns:ns0="http://schemas.openxmlformats.org/spreadsheetml/2006/main" r="307">
      <ns0:c r="A307" t="str" s="33">
        <ns0:v>XP0226</ns0:v>
      </ns0:c>
      <ns0:c r="B307" t="str" s="33">
        <ns0:v>Разъём</ns0:v>
      </ns0:c>
      <ns0:c r="C307" t="str" s="33">
        <ns0:v>JST XH, 1x14, 2,5 мм</ns0:v>
      </ns0:c>
      <ns0:c r="D307" t="str" s="34">
        <ns0:f>C307</ns0:f>
        <ns0:v>JST XH, 1x14, 2,5 мм</ns0:v>
      </ns0:c>
      <ns0:c r="E307" s="33"/>
      <ns0:c r="F307" s="33"/>
      <ns0:c r="G307" s="33"/>
      <ns0:c r="H307" t="str" s="35">
        <ns0:v>1x14, P2,5, THT, прямой</ns0:v>
      </ns0:c>
      <ns0:c r="I307" t="str" s="33">
        <ns0:v>JST</ns0:v>
      </ns0:c>
      <ns0:c r="J307" t="str" s="33">
        <ns0:v>B14B-XH-A</ns0:v>
      </ns0:c>
      <ns0:c r="K307" t="str" s="34">
        <ns0:f>B307&amp;" "&amp;D307&amp;" "&amp;J307</ns0:f>
        <ns0:v>Разъём JST XH, 1x14, 2,5 мм B14B-XH-A</ns0:v>
      </ns0:c>
      <ns0:c r="L307" t="str" s="36">
        <ns0:v>XP_14</ns0:v>
      </ns0:c>
      <ns0:c r="M307" t="str" s="36">
        <ns0:v>Symbols\MY_LIB_Connectors.SchLib</ns0:v>
      </ns0:c>
      <ns0:c r="N307" t="str" s="36">
        <ns0:v>JST_XH_B14B-XH-A</ns0:v>
      </ns0:c>
      <ns0:c r="O307" t="str" s="36">
        <ns0:v>Footprints\MY_LIB_Connectors.PcbLib</ns0:v>
      </ns0:c>
      <ns0:c r="P307" t="str" s="33">
        <ns0:v>Штыревой; 14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7" s="33"/>
      <ns0:c r="R307" t="str" s="34">
        <ns0:f>D307</ns0:f>
        <ns0:v>JST XH, 1x14, 2,5 мм</ns0:v>
      </ns0:c>
      <ns0:c r="S307" t="str" s="34">
        <ns0:f>K307</ns0:f>
        <ns0:v>Разъём JST XH, 1x14, 2,5 мм B14B-XH-A</ns0:v>
      </ns0:c>
      <ns0:c r="T307" t="str" s="33">
        <ns0:v>C:\Users\Nomatin\Documents\Altium\MY_LIB\MY_LIB\Datasheets\JST_XH.pdf</ns0:v>
      </ns0:c>
      <ns0:c r="U307" s="33"/>
      <ns0:c r="V307" t="str" s="33">
        <ns0:v>Даташит — локальный</ns0:v>
      </ns0:c>
      <ns0:c r="W307" t="str" s="33">
        <ns0:v>C:\Users\Nomatin\Documents\Altium\MY_LIB\MY_LIB\Datasheets\JST_XH.pdf</ns0:v>
      </ns0:c>
      <ns0:c r="X307" t="str" s="33">
        <ns0:v>Даташит — производитель</ns0:v>
      </ns0:c>
      <ns0:c r="Y307" t="str" s="33">
        <ns0:v>https://www.jst-mfg.com/product/pdf/eng/eXH.pdf</ns0:v>
      </ns0:c>
      <ns0:c r="Z307" t="str" s="33">
        <ns0:v>C:\Users\Nomatin\Documents\Altium\MY_LIB\MY_LIB\Datasheets\JST_XH.pdf</ns0:v>
      </ns0:c>
    </ns0:row>
    <ns0:row xmlns:ns0="http://schemas.openxmlformats.org/spreadsheetml/2006/main" r="308">
      <ns0:c r="A308" t="str" s="33">
        <ns0:v>XP0227</ns0:v>
      </ns0:c>
      <ns0:c r="B308" t="str" s="33">
        <ns0:v>Разъём</ns0:v>
      </ns0:c>
      <ns0:c r="C308" t="str" s="33">
        <ns0:v>JST XH, 1x15, 2,5 мм</ns0:v>
      </ns0:c>
      <ns0:c r="D308" t="str" s="34">
        <ns0:f>C308</ns0:f>
        <ns0:v>JST XH, 1x15, 2,5 мм</ns0:v>
      </ns0:c>
      <ns0:c r="E308" s="33"/>
      <ns0:c r="F308" s="33"/>
      <ns0:c r="G308" s="33"/>
      <ns0:c r="H308" t="str" s="35">
        <ns0:v>1x15, P2,5, THT, прямой</ns0:v>
      </ns0:c>
      <ns0:c r="I308" t="str" s="33">
        <ns0:v>JST</ns0:v>
      </ns0:c>
      <ns0:c r="J308" t="str" s="33">
        <ns0:v>B15B-XH-A</ns0:v>
      </ns0:c>
      <ns0:c r="K308" t="str" s="34">
        <ns0:f>B308&amp;" "&amp;D308&amp;" "&amp;J308</ns0:f>
        <ns0:v>Разъём JST XH, 1x15, 2,5 мм B15B-XH-A</ns0:v>
      </ns0:c>
      <ns0:c r="L308" t="str" s="36">
        <ns0:v>XP_15</ns0:v>
      </ns0:c>
      <ns0:c r="M308" t="str" s="36">
        <ns0:v>Symbols\MY_LIB_Connectors.SchLib</ns0:v>
      </ns0:c>
      <ns0:c r="N308" t="str" s="36">
        <ns0:v>JST_XH_B15B-XH-A</ns0:v>
      </ns0:c>
      <ns0:c r="O308" t="str" s="36">
        <ns0:v>Footprints\MY_LIB_Connectors.PcbLib</ns0:v>
      </ns0:c>
      <ns0:c r="P308" t="str" s="33">
        <ns0:v>Штыревой; 15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8" s="33"/>
      <ns0:c r="R308" t="str" s="34">
        <ns0:f>D308</ns0:f>
        <ns0:v>JST XH, 1x15, 2,5 мм</ns0:v>
      </ns0:c>
      <ns0:c r="S308" t="str" s="34">
        <ns0:f>K308</ns0:f>
        <ns0:v>Разъём JST XH, 1x15, 2,5 мм B15B-XH-A</ns0:v>
      </ns0:c>
      <ns0:c r="T308" t="str" s="33">
        <ns0:v>C:\Users\Nomatin\Documents\Altium\MY_LIB\MY_LIB\Datasheets\JST_XH.pdf</ns0:v>
      </ns0:c>
      <ns0:c r="U308" s="33"/>
      <ns0:c r="V308" t="str" s="33">
        <ns0:v>Даташит — локальный</ns0:v>
      </ns0:c>
      <ns0:c r="W308" t="str" s="33">
        <ns0:v>C:\Users\Nomatin\Documents\Altium\MY_LIB\MY_LIB\Datasheets\JST_XH.pdf</ns0:v>
      </ns0:c>
      <ns0:c r="X308" t="str" s="33">
        <ns0:v>Даташит — производитель</ns0:v>
      </ns0:c>
      <ns0:c r="Y308" t="str" s="33">
        <ns0:v>https://www.jst-mfg.com/product/pdf/eng/eXH.pdf</ns0:v>
      </ns0:c>
      <ns0:c r="Z308" t="str" s="33">
        <ns0:v>C:\Users\Nomatin\Documents\Altium\MY_LIB\MY_LIB\Datasheets\JST_XH.pdf</ns0:v>
      </ns0:c>
    </ns0:row>
    <ns0:row xmlns:ns0="http://schemas.openxmlformats.org/spreadsheetml/2006/main" r="309">
      <ns0:c r="A309" t="str" s="33">
        <ns0:v>XP0228</ns0:v>
      </ns0:c>
      <ns0:c r="B309" t="str" s="33">
        <ns0:v>Разъём</ns0:v>
      </ns0:c>
      <ns0:c r="C309" t="str" s="33">
        <ns0:v>JST XH, 1x16, 2,5 мм</ns0:v>
      </ns0:c>
      <ns0:c r="D309" t="str" s="34">
        <ns0:f>C309</ns0:f>
        <ns0:v>JST XH, 1x16, 2,5 мм</ns0:v>
      </ns0:c>
      <ns0:c r="E309" s="33"/>
      <ns0:c r="F309" s="33"/>
      <ns0:c r="G309" s="33"/>
      <ns0:c r="H309" t="str" s="35">
        <ns0:v>1x16, P2,5, THT, прямой</ns0:v>
      </ns0:c>
      <ns0:c r="I309" t="str" s="33">
        <ns0:v>JST</ns0:v>
      </ns0:c>
      <ns0:c r="J309" t="str" s="33">
        <ns0:v>B16B-XH-A</ns0:v>
      </ns0:c>
      <ns0:c r="K309" t="str" s="34">
        <ns0:f>B309&amp;" "&amp;D309&amp;" "&amp;J309</ns0:f>
        <ns0:v>Разъём JST XH, 1x16, 2,5 мм B16B-XH-A</ns0:v>
      </ns0:c>
      <ns0:c r="L309" t="str" s="36">
        <ns0:v>XP_16</ns0:v>
      </ns0:c>
      <ns0:c r="M309" t="str" s="36">
        <ns0:v>Symbols\MY_LIB_Connectors.SchLib</ns0:v>
      </ns0:c>
      <ns0:c r="N309" t="str" s="36">
        <ns0:v>JST_XH_B16B-XH-A</ns0:v>
      </ns0:c>
      <ns0:c r="O309" t="str" s="36">
        <ns0:v>Footprints\MY_LIB_Connectors.PcbLib</ns0:v>
      </ns0:c>
      <ns0:c r="P309" t="str" s="33">
        <ns0:v>Штыревой; 16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09" s="33"/>
      <ns0:c r="R309" t="str" s="34">
        <ns0:f>D309</ns0:f>
        <ns0:v>JST XH, 1x16, 2,5 мм</ns0:v>
      </ns0:c>
      <ns0:c r="S309" t="str" s="34">
        <ns0:f>K309</ns0:f>
        <ns0:v>Разъём JST XH, 1x16, 2,5 мм B16B-XH-A</ns0:v>
      </ns0:c>
      <ns0:c r="T309" t="str" s="33">
        <ns0:v>C:\Users\Nomatin\Documents\Altium\MY_LIB\MY_LIB\Datasheets\JST_XH.pdf</ns0:v>
      </ns0:c>
      <ns0:c r="U309" s="33"/>
      <ns0:c r="V309" t="str" s="33">
        <ns0:v>Даташит — локальный</ns0:v>
      </ns0:c>
      <ns0:c r="W309" t="str" s="33">
        <ns0:v>C:\Users\Nomatin\Documents\Altium\MY_LIB\MY_LIB\Datasheets\JST_XH.pdf</ns0:v>
      </ns0:c>
      <ns0:c r="X309" t="str" s="33">
        <ns0:v>Даташит — производитель</ns0:v>
      </ns0:c>
      <ns0:c r="Y309" t="str" s="33">
        <ns0:v>https://www.jst-mfg.com/product/pdf/eng/eXH.pdf</ns0:v>
      </ns0:c>
      <ns0:c r="Z309" t="str" s="33">
        <ns0:v>C:\Users\Nomatin\Documents\Altium\MY_LIB\MY_LIB\Datasheets\JST_XH.pdf</ns0:v>
      </ns0:c>
    </ns0:row>
    <ns0:row xmlns:ns0="http://schemas.openxmlformats.org/spreadsheetml/2006/main" r="310">
      <ns0:c r="A310" t="str" s="33">
        <ns0:v>XP0229</ns0:v>
      </ns0:c>
      <ns0:c r="B310" t="str" s="33">
        <ns0:v>Разъём</ns0:v>
      </ns0:c>
      <ns0:c r="C310" t="str" s="33">
        <ns0:v>JST XH, 1x01, 2,5 мм</ns0:v>
      </ns0:c>
      <ns0:c r="D310" t="str" s="34">
        <ns0:f>C310</ns0:f>
        <ns0:v>JST XH, 1x01, 2,5 мм</ns0:v>
      </ns0:c>
      <ns0:c r="E310" s="33"/>
      <ns0:c r="F310" s="33"/>
      <ns0:c r="G310" s="33"/>
      <ns0:c r="H310" t="str" s="35">
        <ns0:v>1x01, P2,5, THT, прямой</ns0:v>
      </ns0:c>
      <ns0:c r="I310" t="str" s="33">
        <ns0:v>JST</ns0:v>
      </ns0:c>
      <ns0:c r="J310" t="str" s="33">
        <ns0:v>B1B-XH-AM</ns0:v>
      </ns0:c>
      <ns0:c r="K310" t="str" s="34">
        <ns0:f>B310&amp;" "&amp;D310&amp;" "&amp;J310</ns0:f>
        <ns0:v>Разъём JST XH, 1x01, 2,5 мм B1B-XH-AM</ns0:v>
      </ns0:c>
      <ns0:c r="L310" t="str" s="36">
        <ns0:v>XP_1</ns0:v>
      </ns0:c>
      <ns0:c r="M310" t="str" s="36">
        <ns0:v>Symbols\MY_LIB_Connectors.SchLib</ns0:v>
      </ns0:c>
      <ns0:c r="N310" t="str" s="36">
        <ns0:v>JST_XH_B1B-XH-AM</ns0:v>
      </ns0:c>
      <ns0:c r="O310" t="str" s="36">
        <ns0:v>Footprints\MY_LIB_Connectors.PcbLib</ns0:v>
      </ns0:c>
      <ns0:c r="P310" t="str" s="33">
        <ns0:v>Штыревой; 1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0" s="33"/>
      <ns0:c r="R310" t="str" s="34">
        <ns0:f>D310</ns0:f>
        <ns0:v>JST XH, 1x01, 2,5 мм</ns0:v>
      </ns0:c>
      <ns0:c r="S310" t="str" s="34">
        <ns0:f>K310</ns0:f>
        <ns0:v>Разъём JST XH, 1x01, 2,5 мм B1B-XH-AM</ns0:v>
      </ns0:c>
      <ns0:c r="T310" t="str" s="33">
        <ns0:v>C:\Users\Nomatin\Documents\Altium\MY_LIB\MY_LIB\Datasheets\JST_XH.pdf</ns0:v>
      </ns0:c>
      <ns0:c r="U310" s="33"/>
      <ns0:c r="V310" t="str" s="33">
        <ns0:v>Даташит — локальный</ns0:v>
      </ns0:c>
      <ns0:c r="W310" t="str" s="33">
        <ns0:v>C:\Users\Nomatin\Documents\Altium\MY_LIB\MY_LIB\Datasheets\JST_XH.pdf</ns0:v>
      </ns0:c>
      <ns0:c r="X310" t="str" s="33">
        <ns0:v>Даташит — производитель</ns0:v>
      </ns0:c>
      <ns0:c r="Y310" t="str" s="33">
        <ns0:v>https://www.jst-mfg.com/product/pdf/eng/eXH.pdf</ns0:v>
      </ns0:c>
      <ns0:c r="Z310" t="str" s="33">
        <ns0:v>C:\Users\Nomatin\Documents\Altium\MY_LIB\MY_LIB\Datasheets\JST_XH.pdf</ns0:v>
      </ns0:c>
    </ns0:row>
    <ns0:row xmlns:ns0="http://schemas.openxmlformats.org/spreadsheetml/2006/main" r="311">
      <ns0:c r="A311" t="str" s="33">
        <ns0:v>XP0230</ns0:v>
      </ns0:c>
      <ns0:c r="B311" t="str" s="33">
        <ns0:v>Разъём</ns0:v>
      </ns0:c>
      <ns0:c r="C311" t="str" s="33">
        <ns0:v>JST XH, 1x20, 2,5 мм</ns0:v>
      </ns0:c>
      <ns0:c r="D311" t="str" s="34">
        <ns0:f>C311</ns0:f>
        <ns0:v>JST XH, 1x20, 2,5 мм</ns0:v>
      </ns0:c>
      <ns0:c r="E311" s="33"/>
      <ns0:c r="F311" s="33"/>
      <ns0:c r="G311" s="33"/>
      <ns0:c r="H311" t="str" s="35">
        <ns0:v>1x20, P2,5, THT, прямой</ns0:v>
      </ns0:c>
      <ns0:c r="I311" t="str" s="33">
        <ns0:v>JST</ns0:v>
      </ns0:c>
      <ns0:c r="J311" t="str" s="33">
        <ns0:v>B20B-XH-A</ns0:v>
      </ns0:c>
      <ns0:c r="K311" t="str" s="34">
        <ns0:f>B311&amp;" "&amp;D311&amp;" "&amp;J311</ns0:f>
        <ns0:v>Разъём JST XH, 1x20, 2,5 мм B20B-XH-A</ns0:v>
      </ns0:c>
      <ns0:c r="L311" t="str" s="36">
        <ns0:v>XP_20</ns0:v>
      </ns0:c>
      <ns0:c r="M311" t="str" s="36">
        <ns0:v>Symbols\MY_LIB_Connectors.SchLib</ns0:v>
      </ns0:c>
      <ns0:c r="N311" t="str" s="36">
        <ns0:v>JST_XH_B20B-XH-A</ns0:v>
      </ns0:c>
      <ns0:c r="O311" t="str" s="36">
        <ns0:v>Footprints\MY_LIB_Connectors.PcbLib</ns0:v>
      </ns0:c>
      <ns0:c r="P311" t="str" s="33">
        <ns0:v>Штыревой; 20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1" s="33"/>
      <ns0:c r="R311" t="str" s="34">
        <ns0:f>D311</ns0:f>
        <ns0:v>JST XH, 1x20, 2,5 мм</ns0:v>
      </ns0:c>
      <ns0:c r="S311" t="str" s="34">
        <ns0:f>K311</ns0:f>
        <ns0:v>Разъём JST XH, 1x20, 2,5 мм B20B-XH-A</ns0:v>
      </ns0:c>
      <ns0:c r="T311" t="str" s="33">
        <ns0:v>C:\Users\Nomatin\Documents\Altium\MY_LIB\MY_LIB\Datasheets\JST_XH.pdf</ns0:v>
      </ns0:c>
      <ns0:c r="U311" s="33"/>
      <ns0:c r="V311" t="str" s="33">
        <ns0:v>Даташит — локальный</ns0:v>
      </ns0:c>
      <ns0:c r="W311" t="str" s="33">
        <ns0:v>C:\Users\Nomatin\Documents\Altium\MY_LIB\MY_LIB\Datasheets\JST_XH.pdf</ns0:v>
      </ns0:c>
      <ns0:c r="X311" t="str" s="33">
        <ns0:v>Даташит — производитель</ns0:v>
      </ns0:c>
      <ns0:c r="Y311" t="str" s="33">
        <ns0:v>https://www.jst-mfg.com/product/pdf/eng/eXH.pdf</ns0:v>
      </ns0:c>
      <ns0:c r="Z311" t="str" s="33">
        <ns0:v>C:\Users\Nomatin\Documents\Altium\MY_LIB\MY_LIB\Datasheets\JST_XH.pdf</ns0:v>
      </ns0:c>
    </ns0:row>
    <ns0:row xmlns:ns0="http://schemas.openxmlformats.org/spreadsheetml/2006/main" r="312">
      <ns0:c r="A312" t="str" s="33">
        <ns0:v>XP0231</ns0:v>
      </ns0:c>
      <ns0:c r="B312" t="str" s="33">
        <ns0:v>Разъём</ns0:v>
      </ns0:c>
      <ns0:c r="C312" t="str" s="33">
        <ns0:v>JST XH, 1x02, 2,5 мм</ns0:v>
      </ns0:c>
      <ns0:c r="D312" t="str" s="34">
        <ns0:f>C312</ns0:f>
        <ns0:v>JST XH, 1x02, 2,5 мм</ns0:v>
      </ns0:c>
      <ns0:c r="E312" s="33"/>
      <ns0:c r="F312" s="33"/>
      <ns0:c r="G312" s="33"/>
      <ns0:c r="H312" t="str" s="35">
        <ns0:v>1x02, P2,5, THT, прямой</ns0:v>
      </ns0:c>
      <ns0:c r="I312" t="str" s="33">
        <ns0:v>JST</ns0:v>
      </ns0:c>
      <ns0:c r="J312" t="str" s="33">
        <ns0:v>B2B-XH-A</ns0:v>
      </ns0:c>
      <ns0:c r="K312" t="str" s="34">
        <ns0:f>B312&amp;" "&amp;D312&amp;" "&amp;J312</ns0:f>
        <ns0:v>Разъём JST XH, 1x02, 2,5 мм B2B-XH-A</ns0:v>
      </ns0:c>
      <ns0:c r="L312" t="str" s="36">
        <ns0:v>XP_2</ns0:v>
      </ns0:c>
      <ns0:c r="M312" t="str" s="36">
        <ns0:v>Symbols\MY_LIB_Connectors.SchLib</ns0:v>
      </ns0:c>
      <ns0:c r="N312" t="str" s="36">
        <ns0:v>JST_XH_B2B-XH-A</ns0:v>
      </ns0:c>
      <ns0:c r="O312" t="str" s="36">
        <ns0:v>Footprints\MY_LIB_Connectors.PcbLib</ns0:v>
      </ns0:c>
      <ns0:c r="P312" t="str" s="33">
        <ns0:v>Штыревой; 2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2" s="33"/>
      <ns0:c r="R312" t="str" s="34">
        <ns0:f>D312</ns0:f>
        <ns0:v>JST XH, 1x02, 2,5 мм</ns0:v>
      </ns0:c>
      <ns0:c r="S312" t="str" s="34">
        <ns0:f>K312</ns0:f>
        <ns0:v>Разъём JST XH, 1x02, 2,5 мм B2B-XH-A</ns0:v>
      </ns0:c>
      <ns0:c r="T312" t="str" s="33">
        <ns0:v>C:\Users\Nomatin\Documents\Altium\MY_LIB\MY_LIB\Datasheets\JST_XH.pdf</ns0:v>
      </ns0:c>
      <ns0:c r="U312" s="33"/>
      <ns0:c r="V312" t="str" s="33">
        <ns0:v>Даташит — локальный</ns0:v>
      </ns0:c>
      <ns0:c r="W312" t="str" s="33">
        <ns0:v>C:\Users\Nomatin\Documents\Altium\MY_LIB\MY_LIB\Datasheets\JST_XH.pdf</ns0:v>
      </ns0:c>
      <ns0:c r="X312" t="str" s="33">
        <ns0:v>Даташит — производитель</ns0:v>
      </ns0:c>
      <ns0:c r="Y312" t="str" s="33">
        <ns0:v>https://www.jst-mfg.com/product/pdf/eng/eXH.pdf</ns0:v>
      </ns0:c>
      <ns0:c r="Z312" t="str" s="33">
        <ns0:v>C:\Users\Nomatin\Documents\Altium\MY_LIB\MY_LIB\Datasheets\JST_XH.pdf</ns0:v>
      </ns0:c>
    </ns0:row>
    <ns0:row xmlns:ns0="http://schemas.openxmlformats.org/spreadsheetml/2006/main" r="313">
      <ns0:c r="A313" t="str" s="33">
        <ns0:v>XP0232</ns0:v>
      </ns0:c>
      <ns0:c r="B313" t="str" s="33">
        <ns0:v>Разъём</ns0:v>
      </ns0:c>
      <ns0:c r="C313" t="str" s="33">
        <ns0:v>JST XH, 1x02, 2,5 мм</ns0:v>
      </ns0:c>
      <ns0:c r="D313" t="str" s="34">
        <ns0:f>C313</ns0:f>
        <ns0:v>JST XH, 1x02, 2,5 мм</ns0:v>
      </ns0:c>
      <ns0:c r="E313" s="33"/>
      <ns0:c r="F313" s="33"/>
      <ns0:c r="G313" s="33"/>
      <ns0:c r="H313" t="str" s="35">
        <ns0:v>1x02, P2,5, THT, прямой</ns0:v>
      </ns0:c>
      <ns0:c r="I313" t="str" s="33">
        <ns0:v>JST</ns0:v>
      </ns0:c>
      <ns0:c r="J313" t="str" s="33">
        <ns0:v>B2B-XH-AM</ns0:v>
      </ns0:c>
      <ns0:c r="K313" t="str" s="34">
        <ns0:f>B313&amp;" "&amp;D313&amp;" "&amp;J313</ns0:f>
        <ns0:v>Разъём JST XH, 1x02, 2,5 мм B2B-XH-AM</ns0:v>
      </ns0:c>
      <ns0:c r="L313" t="str" s="36">
        <ns0:v>XP_2</ns0:v>
      </ns0:c>
      <ns0:c r="M313" t="str" s="36">
        <ns0:v>Symbols\MY_LIB_Connectors.SchLib</ns0:v>
      </ns0:c>
      <ns0:c r="N313" t="str" s="36">
        <ns0:v>JST_XH_B2B-XH-AM</ns0:v>
      </ns0:c>
      <ns0:c r="O313" t="str" s="36">
        <ns0:v>Footprints\MY_LIB_Connectors.PcbLib</ns0:v>
      </ns0:c>
      <ns0:c r="P313" t="str" s="33">
        <ns0:v>Штыревой; 2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3" s="33"/>
      <ns0:c r="R313" t="str" s="34">
        <ns0:f>D313</ns0:f>
        <ns0:v>JST XH, 1x02, 2,5 мм</ns0:v>
      </ns0:c>
      <ns0:c r="S313" t="str" s="34">
        <ns0:f>K313</ns0:f>
        <ns0:v>Разъём JST XH, 1x02, 2,5 мм B2B-XH-AM</ns0:v>
      </ns0:c>
      <ns0:c r="T313" t="str" s="33">
        <ns0:v>C:\Users\Nomatin\Documents\Altium\MY_LIB\MY_LIB\Datasheets\JST_XH.pdf</ns0:v>
      </ns0:c>
      <ns0:c r="U313" s="33"/>
      <ns0:c r="V313" t="str" s="33">
        <ns0:v>Даташит — локальный</ns0:v>
      </ns0:c>
      <ns0:c r="W313" t="str" s="33">
        <ns0:v>C:\Users\Nomatin\Documents\Altium\MY_LIB\MY_LIB\Datasheets\JST_XH.pdf</ns0:v>
      </ns0:c>
      <ns0:c r="X313" t="str" s="33">
        <ns0:v>Даташит — производитель</ns0:v>
      </ns0:c>
      <ns0:c r="Y313" t="str" s="33">
        <ns0:v>https://www.jst-mfg.com/product/pdf/eng/eXH.pdf</ns0:v>
      </ns0:c>
      <ns0:c r="Z313" t="str" s="33">
        <ns0:v>C:\Users\Nomatin\Documents\Altium\MY_LIB\MY_LIB\Datasheets\JST_XH.pdf</ns0:v>
      </ns0:c>
    </ns0:row>
    <ns0:row xmlns:ns0="http://schemas.openxmlformats.org/spreadsheetml/2006/main" r="314">
      <ns0:c r="A314" t="str" s="33">
        <ns0:v>XP0233</ns0:v>
      </ns0:c>
      <ns0:c r="B314" t="str" s="33">
        <ns0:v>Разъём</ns0:v>
      </ns0:c>
      <ns0:c r="C314" t="str" s="33">
        <ns0:v>JST XH, 1x03, 2,5 мм</ns0:v>
      </ns0:c>
      <ns0:c r="D314" t="str" s="34">
        <ns0:f>C314</ns0:f>
        <ns0:v>JST XH, 1x03, 2,5 мм</ns0:v>
      </ns0:c>
      <ns0:c r="E314" s="33"/>
      <ns0:c r="F314" s="33"/>
      <ns0:c r="G314" s="33"/>
      <ns0:c r="H314" t="str" s="35">
        <ns0:v>1x03, P2,5, THT, прямой</ns0:v>
      </ns0:c>
      <ns0:c r="I314" t="str" s="33">
        <ns0:v>JST</ns0:v>
      </ns0:c>
      <ns0:c r="J314" t="str" s="33">
        <ns0:v>B3B-XH-A</ns0:v>
      </ns0:c>
      <ns0:c r="K314" t="str" s="34">
        <ns0:f>B314&amp;" "&amp;D314&amp;" "&amp;J314</ns0:f>
        <ns0:v>Разъём JST XH, 1x03, 2,5 мм B3B-XH-A</ns0:v>
      </ns0:c>
      <ns0:c r="L314" t="str" s="36">
        <ns0:v>XP_3</ns0:v>
      </ns0:c>
      <ns0:c r="M314" t="str" s="36">
        <ns0:v>Symbols\MY_LIB_Connectors.SchLib</ns0:v>
      </ns0:c>
      <ns0:c r="N314" t="str" s="36">
        <ns0:v>JST_XH_B3B-XH-A</ns0:v>
      </ns0:c>
      <ns0:c r="O314" t="str" s="36">
        <ns0:v>Footprints\MY_LIB_Connectors.PcbLib</ns0:v>
      </ns0:c>
      <ns0:c r="P314" t="str" s="33">
        <ns0:v>Штыревой; 3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4" s="33"/>
      <ns0:c r="R314" t="str" s="34">
        <ns0:f>D314</ns0:f>
        <ns0:v>JST XH, 1x03, 2,5 мм</ns0:v>
      </ns0:c>
      <ns0:c r="S314" t="str" s="34">
        <ns0:f>K314</ns0:f>
        <ns0:v>Разъём JST XH, 1x03, 2,5 мм B3B-XH-A</ns0:v>
      </ns0:c>
      <ns0:c r="T314" t="str" s="33">
        <ns0:v>C:\Users\Nomatin\Documents\Altium\MY_LIB\MY_LIB\Datasheets\JST_XH.pdf</ns0:v>
      </ns0:c>
      <ns0:c r="U314" s="33"/>
      <ns0:c r="V314" t="str" s="33">
        <ns0:v>Даташит — локальный</ns0:v>
      </ns0:c>
      <ns0:c r="W314" t="str" s="33">
        <ns0:v>C:\Users\Nomatin\Documents\Altium\MY_LIB\MY_LIB\Datasheets\JST_XH.pdf</ns0:v>
      </ns0:c>
      <ns0:c r="X314" t="str" s="33">
        <ns0:v>Даташит — производитель</ns0:v>
      </ns0:c>
      <ns0:c r="Y314" t="str" s="33">
        <ns0:v>https://www.jst-mfg.com/product/pdf/eng/eXH.pdf</ns0:v>
      </ns0:c>
      <ns0:c r="Z314" t="str" s="33">
        <ns0:v>C:\Users\Nomatin\Documents\Altium\MY_LIB\MY_LIB\Datasheets\JST_XH.pdf</ns0:v>
      </ns0:c>
    </ns0:row>
    <ns0:row xmlns:ns0="http://schemas.openxmlformats.org/spreadsheetml/2006/main" r="315">
      <ns0:c r="A315" t="str" s="33">
        <ns0:v>XP0234</ns0:v>
      </ns0:c>
      <ns0:c r="B315" t="str" s="33">
        <ns0:v>Разъём</ns0:v>
      </ns0:c>
      <ns0:c r="C315" t="str" s="33">
        <ns0:v>JST XH, 1x03, 2,5 мм</ns0:v>
      </ns0:c>
      <ns0:c r="D315" t="str" s="34">
        <ns0:f>C315</ns0:f>
        <ns0:v>JST XH, 1x03, 2,5 мм</ns0:v>
      </ns0:c>
      <ns0:c r="E315" s="33"/>
      <ns0:c r="F315" s="33"/>
      <ns0:c r="G315" s="33"/>
      <ns0:c r="H315" t="str" s="35">
        <ns0:v>1x03, P2,5, THT, прямой</ns0:v>
      </ns0:c>
      <ns0:c r="I315" t="str" s="33">
        <ns0:v>JST</ns0:v>
      </ns0:c>
      <ns0:c r="J315" t="str" s="33">
        <ns0:v>B3B-XH-AM</ns0:v>
      </ns0:c>
      <ns0:c r="K315" t="str" s="34">
        <ns0:f>B315&amp;" "&amp;D315&amp;" "&amp;J315</ns0:f>
        <ns0:v>Разъём JST XH, 1x03, 2,5 мм B3B-XH-AM</ns0:v>
      </ns0:c>
      <ns0:c r="L315" t="str" s="36">
        <ns0:v>XP_3</ns0:v>
      </ns0:c>
      <ns0:c r="M315" t="str" s="36">
        <ns0:v>Symbols\MY_LIB_Connectors.SchLib</ns0:v>
      </ns0:c>
      <ns0:c r="N315" t="str" s="36">
        <ns0:v>JST_XH_B3B-XH-AM</ns0:v>
      </ns0:c>
      <ns0:c r="O315" t="str" s="36">
        <ns0:v>Footprints\MY_LIB_Connectors.PcbLib</ns0:v>
      </ns0:c>
      <ns0:c r="P315" t="str" s="33">
        <ns0:v>Штыревой; 3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5" s="33"/>
      <ns0:c r="R315" t="str" s="34">
        <ns0:f>D315</ns0:f>
        <ns0:v>JST XH, 1x03, 2,5 мм</ns0:v>
      </ns0:c>
      <ns0:c r="S315" t="str" s="34">
        <ns0:f>K315</ns0:f>
        <ns0:v>Разъём JST XH, 1x03, 2,5 мм B3B-XH-AM</ns0:v>
      </ns0:c>
      <ns0:c r="T315" t="str" s="33">
        <ns0:v>C:\Users\Nomatin\Documents\Altium\MY_LIB\MY_LIB\Datasheets\JST_XH.pdf</ns0:v>
      </ns0:c>
      <ns0:c r="U315" s="33"/>
      <ns0:c r="V315" t="str" s="33">
        <ns0:v>Даташит — локальный</ns0:v>
      </ns0:c>
      <ns0:c r="W315" t="str" s="33">
        <ns0:v>C:\Users\Nomatin\Documents\Altium\MY_LIB\MY_LIB\Datasheets\JST_XH.pdf</ns0:v>
      </ns0:c>
      <ns0:c r="X315" t="str" s="33">
        <ns0:v>Даташит — производитель</ns0:v>
      </ns0:c>
      <ns0:c r="Y315" t="str" s="33">
        <ns0:v>https://www.jst-mfg.com/product/pdf/eng/eXH.pdf</ns0:v>
      </ns0:c>
      <ns0:c r="Z315" t="str" s="33">
        <ns0:v>C:\Users\Nomatin\Documents\Altium\MY_LIB\MY_LIB\Datasheets\JST_XH.pdf</ns0:v>
      </ns0:c>
    </ns0:row>
    <ns0:row xmlns:ns0="http://schemas.openxmlformats.org/spreadsheetml/2006/main" r="316">
      <ns0:c r="A316" t="str" s="33">
        <ns0:v>XP0235</ns0:v>
      </ns0:c>
      <ns0:c r="B316" t="str" s="33">
        <ns0:v>Разъём</ns0:v>
      </ns0:c>
      <ns0:c r="C316" t="str" s="33">
        <ns0:v>JST XH, 1x04, 2,5 мм</ns0:v>
      </ns0:c>
      <ns0:c r="D316" t="str" s="34">
        <ns0:f>C316</ns0:f>
        <ns0:v>JST XH, 1x04, 2,5 мм</ns0:v>
      </ns0:c>
      <ns0:c r="E316" s="33"/>
      <ns0:c r="F316" s="33"/>
      <ns0:c r="G316" s="33"/>
      <ns0:c r="H316" t="str" s="35">
        <ns0:v>1x04, P2,5, THT, прямой</ns0:v>
      </ns0:c>
      <ns0:c r="I316" t="str" s="33">
        <ns0:v>JST</ns0:v>
      </ns0:c>
      <ns0:c r="J316" t="str" s="33">
        <ns0:v>B4B-XH-A</ns0:v>
      </ns0:c>
      <ns0:c r="K316" t="str" s="34">
        <ns0:f>B316&amp;" "&amp;D316&amp;" "&amp;J316</ns0:f>
        <ns0:v>Разъём JST XH, 1x04, 2,5 мм B4B-XH-A</ns0:v>
      </ns0:c>
      <ns0:c r="L316" t="str" s="36">
        <ns0:v>XP_4</ns0:v>
      </ns0:c>
      <ns0:c r="M316" t="str" s="36">
        <ns0:v>Symbols\MY_LIB_Connectors.SchLib</ns0:v>
      </ns0:c>
      <ns0:c r="N316" t="str" s="36">
        <ns0:v>JST_XH_B4B-XH-A</ns0:v>
      </ns0:c>
      <ns0:c r="O316" t="str" s="36">
        <ns0:v>Footprints\MY_LIB_Connectors.PcbLib</ns0:v>
      </ns0:c>
      <ns0:c r="P316" t="str" s="33">
        <ns0:v>Штыревой; 4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6" s="33"/>
      <ns0:c r="R316" t="str" s="34">
        <ns0:f>D316</ns0:f>
        <ns0:v>JST XH, 1x04, 2,5 мм</ns0:v>
      </ns0:c>
      <ns0:c r="S316" t="str" s="34">
        <ns0:f>K316</ns0:f>
        <ns0:v>Разъём JST XH, 1x04, 2,5 мм B4B-XH-A</ns0:v>
      </ns0:c>
      <ns0:c r="T316" t="str" s="33">
        <ns0:v>C:\Users\Nomatin\Documents\Altium\MY_LIB\MY_LIB\Datasheets\JST_XH.pdf</ns0:v>
      </ns0:c>
      <ns0:c r="U316" s="33"/>
      <ns0:c r="V316" t="str" s="33">
        <ns0:v>Даташит — локальный</ns0:v>
      </ns0:c>
      <ns0:c r="W316" t="str" s="33">
        <ns0:v>C:\Users\Nomatin\Documents\Altium\MY_LIB\MY_LIB\Datasheets\JST_XH.pdf</ns0:v>
      </ns0:c>
      <ns0:c r="X316" t="str" s="33">
        <ns0:v>Даташит — производитель</ns0:v>
      </ns0:c>
      <ns0:c r="Y316" t="str" s="33">
        <ns0:v>https://www.jst-mfg.com/product/pdf/eng/eXH.pdf</ns0:v>
      </ns0:c>
      <ns0:c r="Z316" t="str" s="33">
        <ns0:v>C:\Users\Nomatin\Documents\Altium\MY_LIB\MY_LIB\Datasheets\JST_XH.pdf</ns0:v>
      </ns0:c>
    </ns0:row>
    <ns0:row xmlns:ns0="http://schemas.openxmlformats.org/spreadsheetml/2006/main" r="317">
      <ns0:c r="A317" t="str" s="33">
        <ns0:v>XP0236</ns0:v>
      </ns0:c>
      <ns0:c r="B317" t="str" s="33">
        <ns0:v>Разъём</ns0:v>
      </ns0:c>
      <ns0:c r="C317" t="str" s="33">
        <ns0:v>JST XH, 1x04, 2,5 мм</ns0:v>
      </ns0:c>
      <ns0:c r="D317" t="str" s="34">
        <ns0:f>C317</ns0:f>
        <ns0:v>JST XH, 1x04, 2,5 мм</ns0:v>
      </ns0:c>
      <ns0:c r="E317" s="33"/>
      <ns0:c r="F317" s="33"/>
      <ns0:c r="G317" s="33"/>
      <ns0:c r="H317" t="str" s="35">
        <ns0:v>1x04, P2,5, THT, прямой</ns0:v>
      </ns0:c>
      <ns0:c r="I317" t="str" s="33">
        <ns0:v>JST</ns0:v>
      </ns0:c>
      <ns0:c r="J317" t="str" s="33">
        <ns0:v>B4B-XH-AM</ns0:v>
      </ns0:c>
      <ns0:c r="K317" t="str" s="34">
        <ns0:f>B317&amp;" "&amp;D317&amp;" "&amp;J317</ns0:f>
        <ns0:v>Разъём JST XH, 1x04, 2,5 мм B4B-XH-AM</ns0:v>
      </ns0:c>
      <ns0:c r="L317" t="str" s="36">
        <ns0:v>XP_4</ns0:v>
      </ns0:c>
      <ns0:c r="M317" t="str" s="36">
        <ns0:v>Symbols\MY_LIB_Connectors.SchLib</ns0:v>
      </ns0:c>
      <ns0:c r="N317" t="str" s="36">
        <ns0:v>JST_XH_B4B-XH-AM</ns0:v>
      </ns0:c>
      <ns0:c r="O317" t="str" s="36">
        <ns0:v>Footprints\MY_LIB_Connectors.PcbLib</ns0:v>
      </ns0:c>
      <ns0:c r="P317" t="str" s="33">
        <ns0:v>Штыревой; 4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7" s="33"/>
      <ns0:c r="R317" t="str" s="34">
        <ns0:f>D317</ns0:f>
        <ns0:v>JST XH, 1x04, 2,5 мм</ns0:v>
      </ns0:c>
      <ns0:c r="S317" t="str" s="34">
        <ns0:f>K317</ns0:f>
        <ns0:v>Разъём JST XH, 1x04, 2,5 мм B4B-XH-AM</ns0:v>
      </ns0:c>
      <ns0:c r="T317" t="str" s="33">
        <ns0:v>C:\Users\Nomatin\Documents\Altium\MY_LIB\MY_LIB\Datasheets\JST_XH.pdf</ns0:v>
      </ns0:c>
      <ns0:c r="U317" s="33"/>
      <ns0:c r="V317" t="str" s="33">
        <ns0:v>Даташит — локальный</ns0:v>
      </ns0:c>
      <ns0:c r="W317" t="str" s="33">
        <ns0:v>C:\Users\Nomatin\Documents\Altium\MY_LIB\MY_LIB\Datasheets\JST_XH.pdf</ns0:v>
      </ns0:c>
      <ns0:c r="X317" t="str" s="33">
        <ns0:v>Даташит — производитель</ns0:v>
      </ns0:c>
      <ns0:c r="Y317" t="str" s="33">
        <ns0:v>https://www.jst-mfg.com/product/pdf/eng/eXH.pdf</ns0:v>
      </ns0:c>
      <ns0:c r="Z317" t="str" s="33">
        <ns0:v>C:\Users\Nomatin\Documents\Altium\MY_LIB\MY_LIB\Datasheets\JST_XH.pdf</ns0:v>
      </ns0:c>
    </ns0:row>
    <ns0:row xmlns:ns0="http://schemas.openxmlformats.org/spreadsheetml/2006/main" r="318">
      <ns0:c r="A318" t="str" s="33">
        <ns0:v>XP0237</ns0:v>
      </ns0:c>
      <ns0:c r="B318" t="str" s="33">
        <ns0:v>Разъём</ns0:v>
      </ns0:c>
      <ns0:c r="C318" t="str" s="33">
        <ns0:v>JST XH, 1x05, 2,5 мм</ns0:v>
      </ns0:c>
      <ns0:c r="D318" t="str" s="34">
        <ns0:f>C318</ns0:f>
        <ns0:v>JST XH, 1x05, 2,5 мм</ns0:v>
      </ns0:c>
      <ns0:c r="E318" s="33"/>
      <ns0:c r="F318" s="33"/>
      <ns0:c r="G318" s="33"/>
      <ns0:c r="H318" t="str" s="35">
        <ns0:v>1x05, P2,5, THT, прямой</ns0:v>
      </ns0:c>
      <ns0:c r="I318" t="str" s="33">
        <ns0:v>JST</ns0:v>
      </ns0:c>
      <ns0:c r="J318" t="str" s="33">
        <ns0:v>B5B-XH-A</ns0:v>
      </ns0:c>
      <ns0:c r="K318" t="str" s="34">
        <ns0:f>B318&amp;" "&amp;D318&amp;" "&amp;J318</ns0:f>
        <ns0:v>Разъём JST XH, 1x05, 2,5 мм B5B-XH-A</ns0:v>
      </ns0:c>
      <ns0:c r="L318" t="str" s="36">
        <ns0:v>XP_5</ns0:v>
      </ns0:c>
      <ns0:c r="M318" t="str" s="36">
        <ns0:v>Symbols\MY_LIB_Connectors.SchLib</ns0:v>
      </ns0:c>
      <ns0:c r="N318" t="str" s="36">
        <ns0:v>JST_XH_B5B-XH-A</ns0:v>
      </ns0:c>
      <ns0:c r="O318" t="str" s="36">
        <ns0:v>Footprints\MY_LIB_Connectors.PcbLib</ns0:v>
      </ns0:c>
      <ns0:c r="P318" t="str" s="33">
        <ns0:v>Штыревой; 5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8" s="33"/>
      <ns0:c r="R318" t="str" s="34">
        <ns0:f>D318</ns0:f>
        <ns0:v>JST XH, 1x05, 2,5 мм</ns0:v>
      </ns0:c>
      <ns0:c r="S318" t="str" s="34">
        <ns0:f>K318</ns0:f>
        <ns0:v>Разъём JST XH, 1x05, 2,5 мм B5B-XH-A</ns0:v>
      </ns0:c>
      <ns0:c r="T318" t="str" s="33">
        <ns0:v>C:\Users\Nomatin\Documents\Altium\MY_LIB\MY_LIB\Datasheets\JST_XH.pdf</ns0:v>
      </ns0:c>
      <ns0:c r="U318" s="33"/>
      <ns0:c r="V318" t="str" s="33">
        <ns0:v>Даташит — локальный</ns0:v>
      </ns0:c>
      <ns0:c r="W318" t="str" s="33">
        <ns0:v>C:\Users\Nomatin\Documents\Altium\MY_LIB\MY_LIB\Datasheets\JST_XH.pdf</ns0:v>
      </ns0:c>
      <ns0:c r="X318" t="str" s="33">
        <ns0:v>Даташит — производитель</ns0:v>
      </ns0:c>
      <ns0:c r="Y318" t="str" s="33">
        <ns0:v>https://www.jst-mfg.com/product/pdf/eng/eXH.pdf</ns0:v>
      </ns0:c>
      <ns0:c r="Z318" t="str" s="33">
        <ns0:v>C:\Users\Nomatin\Documents\Altium\MY_LIB\MY_LIB\Datasheets\JST_XH.pdf</ns0:v>
      </ns0:c>
    </ns0:row>
    <ns0:row xmlns:ns0="http://schemas.openxmlformats.org/spreadsheetml/2006/main" r="319">
      <ns0:c r="A319" t="str" s="33">
        <ns0:v>XP0238</ns0:v>
      </ns0:c>
      <ns0:c r="B319" t="str" s="33">
        <ns0:v>Разъём</ns0:v>
      </ns0:c>
      <ns0:c r="C319" t="str" s="33">
        <ns0:v>JST XH, 1x05, 2,5 мм</ns0:v>
      </ns0:c>
      <ns0:c r="D319" t="str" s="34">
        <ns0:f>C319</ns0:f>
        <ns0:v>JST XH, 1x05, 2,5 мм</ns0:v>
      </ns0:c>
      <ns0:c r="E319" s="33"/>
      <ns0:c r="F319" s="33"/>
      <ns0:c r="G319" s="33"/>
      <ns0:c r="H319" t="str" s="35">
        <ns0:v>1x05, P2,5, THT, прямой</ns0:v>
      </ns0:c>
      <ns0:c r="I319" t="str" s="33">
        <ns0:v>JST</ns0:v>
      </ns0:c>
      <ns0:c r="J319" t="str" s="33">
        <ns0:v>B5B-XH-AM</ns0:v>
      </ns0:c>
      <ns0:c r="K319" t="str" s="34">
        <ns0:f>B319&amp;" "&amp;D319&amp;" "&amp;J319</ns0:f>
        <ns0:v>Разъём JST XH, 1x05, 2,5 мм B5B-XH-AM</ns0:v>
      </ns0:c>
      <ns0:c r="L319" t="str" s="36">
        <ns0:v>XP_5</ns0:v>
      </ns0:c>
      <ns0:c r="M319" t="str" s="36">
        <ns0:v>Symbols\MY_LIB_Connectors.SchLib</ns0:v>
      </ns0:c>
      <ns0:c r="N319" t="str" s="36">
        <ns0:v>JST_XH_B5B-XH-AM</ns0:v>
      </ns0:c>
      <ns0:c r="O319" t="str" s="36">
        <ns0:v>Footprints\MY_LIB_Connectors.PcbLib</ns0:v>
      </ns0:c>
      <ns0:c r="P319" t="str" s="33">
        <ns0:v>Штыревой; 5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19" s="33"/>
      <ns0:c r="R319" t="str" s="34">
        <ns0:f>D319</ns0:f>
        <ns0:v>JST XH, 1x05, 2,5 мм</ns0:v>
      </ns0:c>
      <ns0:c r="S319" t="str" s="34">
        <ns0:f>K319</ns0:f>
        <ns0:v>Разъём JST XH, 1x05, 2,5 мм B5B-XH-AM</ns0:v>
      </ns0:c>
      <ns0:c r="T319" t="str" s="33">
        <ns0:v>C:\Users\Nomatin\Documents\Altium\MY_LIB\MY_LIB\Datasheets\JST_XH.pdf</ns0:v>
      </ns0:c>
      <ns0:c r="U319" s="33"/>
      <ns0:c r="V319" t="str" s="33">
        <ns0:v>Даташит — локальный</ns0:v>
      </ns0:c>
      <ns0:c r="W319" t="str" s="33">
        <ns0:v>C:\Users\Nomatin\Documents\Altium\MY_LIB\MY_LIB\Datasheets\JST_XH.pdf</ns0:v>
      </ns0:c>
      <ns0:c r="X319" t="str" s="33">
        <ns0:v>Даташит — производитель</ns0:v>
      </ns0:c>
      <ns0:c r="Y319" t="str" s="33">
        <ns0:v>https://www.jst-mfg.com/product/pdf/eng/eXH.pdf</ns0:v>
      </ns0:c>
      <ns0:c r="Z319" t="str" s="33">
        <ns0:v>C:\Users\Nomatin\Documents\Altium\MY_LIB\MY_LIB\Datasheets\JST_XH.pdf</ns0:v>
      </ns0:c>
    </ns0:row>
    <ns0:row xmlns:ns0="http://schemas.openxmlformats.org/spreadsheetml/2006/main" r="320">
      <ns0:c r="A320" t="str" s="33">
        <ns0:v>XP0239</ns0:v>
      </ns0:c>
      <ns0:c r="B320" t="str" s="33">
        <ns0:v>Разъём</ns0:v>
      </ns0:c>
      <ns0:c r="C320" t="str" s="33">
        <ns0:v>JST XH, 1x06, 2,5 мм</ns0:v>
      </ns0:c>
      <ns0:c r="D320" t="str" s="34">
        <ns0:f>C320</ns0:f>
        <ns0:v>JST XH, 1x06, 2,5 мм</ns0:v>
      </ns0:c>
      <ns0:c r="E320" s="33"/>
      <ns0:c r="F320" s="33"/>
      <ns0:c r="G320" s="33"/>
      <ns0:c r="H320" t="str" s="35">
        <ns0:v>1x06, P2,5, THT, прямой</ns0:v>
      </ns0:c>
      <ns0:c r="I320" t="str" s="33">
        <ns0:v>JST</ns0:v>
      </ns0:c>
      <ns0:c r="J320" t="str" s="33">
        <ns0:v>B6B-XH-A</ns0:v>
      </ns0:c>
      <ns0:c r="K320" t="str" s="34">
        <ns0:f>B320&amp;" "&amp;D320&amp;" "&amp;J320</ns0:f>
        <ns0:v>Разъём JST XH, 1x06, 2,5 мм B6B-XH-A</ns0:v>
      </ns0:c>
      <ns0:c r="L320" t="str" s="36">
        <ns0:v>XP_6</ns0:v>
      </ns0:c>
      <ns0:c r="M320" t="str" s="36">
        <ns0:v>Symbols\MY_LIB_Connectors.SchLib</ns0:v>
      </ns0:c>
      <ns0:c r="N320" t="str" s="36">
        <ns0:v>JST_XH_B6B-XH-A</ns0:v>
      </ns0:c>
      <ns0:c r="O320" t="str" s="36">
        <ns0:v>Footprints\MY_LIB_Connectors.PcbLib</ns0:v>
      </ns0:c>
      <ns0:c r="P320" t="str" s="33">
        <ns0:v>Штыревой; 6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0" s="33"/>
      <ns0:c r="R320" t="str" s="34">
        <ns0:f>D320</ns0:f>
        <ns0:v>JST XH, 1x06, 2,5 мм</ns0:v>
      </ns0:c>
      <ns0:c r="S320" t="str" s="34">
        <ns0:f>K320</ns0:f>
        <ns0:v>Разъём JST XH, 1x06, 2,5 мм B6B-XH-A</ns0:v>
      </ns0:c>
      <ns0:c r="T320" t="str" s="33">
        <ns0:v>C:\Users\Nomatin\Documents\Altium\MY_LIB\MY_LIB\Datasheets\JST_XH.pdf</ns0:v>
      </ns0:c>
      <ns0:c r="U320" s="33"/>
      <ns0:c r="V320" t="str" s="33">
        <ns0:v>Даташит — локальный</ns0:v>
      </ns0:c>
      <ns0:c r="W320" t="str" s="33">
        <ns0:v>C:\Users\Nomatin\Documents\Altium\MY_LIB\MY_LIB\Datasheets\JST_XH.pdf</ns0:v>
      </ns0:c>
      <ns0:c r="X320" t="str" s="33">
        <ns0:v>Даташит — производитель</ns0:v>
      </ns0:c>
      <ns0:c r="Y320" t="str" s="33">
        <ns0:v>https://www.jst-mfg.com/product/pdf/eng/eXH.pdf</ns0:v>
      </ns0:c>
      <ns0:c r="Z320" t="str" s="33">
        <ns0:v>C:\Users\Nomatin\Documents\Altium\MY_LIB\MY_LIB\Datasheets\JST_XH.pdf</ns0:v>
      </ns0:c>
    </ns0:row>
    <ns0:row xmlns:ns0="http://schemas.openxmlformats.org/spreadsheetml/2006/main" r="321">
      <ns0:c r="A321" t="str" s="33">
        <ns0:v>XP0240</ns0:v>
      </ns0:c>
      <ns0:c r="B321" t="str" s="33">
        <ns0:v>Разъём</ns0:v>
      </ns0:c>
      <ns0:c r="C321" t="str" s="33">
        <ns0:v>JST XH, 1x06, 2,5 мм</ns0:v>
      </ns0:c>
      <ns0:c r="D321" t="str" s="34">
        <ns0:f>C321</ns0:f>
        <ns0:v>JST XH, 1x06, 2,5 мм</ns0:v>
      </ns0:c>
      <ns0:c r="E321" s="33"/>
      <ns0:c r="F321" s="33"/>
      <ns0:c r="G321" s="33"/>
      <ns0:c r="H321" t="str" s="35">
        <ns0:v>1x06, P2,5, THT, прямой</ns0:v>
      </ns0:c>
      <ns0:c r="I321" t="str" s="33">
        <ns0:v>JST</ns0:v>
      </ns0:c>
      <ns0:c r="J321" t="str" s="33">
        <ns0:v>B6B-XH-AM</ns0:v>
      </ns0:c>
      <ns0:c r="K321" t="str" s="34">
        <ns0:f>B321&amp;" "&amp;D321&amp;" "&amp;J321</ns0:f>
        <ns0:v>Разъём JST XH, 1x06, 2,5 мм B6B-XH-AM</ns0:v>
      </ns0:c>
      <ns0:c r="L321" t="str" s="36">
        <ns0:v>XP_6</ns0:v>
      </ns0:c>
      <ns0:c r="M321" t="str" s="36">
        <ns0:v>Symbols\MY_LIB_Connectors.SchLib</ns0:v>
      </ns0:c>
      <ns0:c r="N321" t="str" s="36">
        <ns0:v>JST_XH_B6B-XH-AM</ns0:v>
      </ns0:c>
      <ns0:c r="O321" t="str" s="36">
        <ns0:v>Footprints\MY_LIB_Connectors.PcbLib</ns0:v>
      </ns0:c>
      <ns0:c r="P321" t="str" s="33">
        <ns0:v>Штыревой; 6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1" s="33"/>
      <ns0:c r="R321" t="str" s="34">
        <ns0:f>D321</ns0:f>
        <ns0:v>JST XH, 1x06, 2,5 мм</ns0:v>
      </ns0:c>
      <ns0:c r="S321" t="str" s="34">
        <ns0:f>K321</ns0:f>
        <ns0:v>Разъём JST XH, 1x06, 2,5 мм B6B-XH-AM</ns0:v>
      </ns0:c>
      <ns0:c r="T321" t="str" s="33">
        <ns0:v>C:\Users\Nomatin\Documents\Altium\MY_LIB\MY_LIB\Datasheets\JST_XH.pdf</ns0:v>
      </ns0:c>
      <ns0:c r="U321" s="33"/>
      <ns0:c r="V321" t="str" s="33">
        <ns0:v>Даташит — локальный</ns0:v>
      </ns0:c>
      <ns0:c r="W321" t="str" s="33">
        <ns0:v>C:\Users\Nomatin\Documents\Altium\MY_LIB\MY_LIB\Datasheets\JST_XH.pdf</ns0:v>
      </ns0:c>
      <ns0:c r="X321" t="str" s="33">
        <ns0:v>Даташит — производитель</ns0:v>
      </ns0:c>
      <ns0:c r="Y321" t="str" s="33">
        <ns0:v>https://www.jst-mfg.com/product/pdf/eng/eXH.pdf</ns0:v>
      </ns0:c>
      <ns0:c r="Z321" t="str" s="33">
        <ns0:v>C:\Users\Nomatin\Documents\Altium\MY_LIB\MY_LIB\Datasheets\JST_XH.pdf</ns0:v>
      </ns0:c>
    </ns0:row>
    <ns0:row xmlns:ns0="http://schemas.openxmlformats.org/spreadsheetml/2006/main" r="322">
      <ns0:c r="A322" t="str" s="33">
        <ns0:v>XP0241</ns0:v>
      </ns0:c>
      <ns0:c r="B322" t="str" s="33">
        <ns0:v>Разъём</ns0:v>
      </ns0:c>
      <ns0:c r="C322" t="str" s="33">
        <ns0:v>JST XH, 1x07, 2,5 мм</ns0:v>
      </ns0:c>
      <ns0:c r="D322" t="str" s="34">
        <ns0:f>C322</ns0:f>
        <ns0:v>JST XH, 1x07, 2,5 мм</ns0:v>
      </ns0:c>
      <ns0:c r="E322" s="33"/>
      <ns0:c r="F322" s="33"/>
      <ns0:c r="G322" s="33"/>
      <ns0:c r="H322" t="str" s="35">
        <ns0:v>1x07, P2,5, THT, прямой</ns0:v>
      </ns0:c>
      <ns0:c r="I322" t="str" s="33">
        <ns0:v>JST</ns0:v>
      </ns0:c>
      <ns0:c r="J322" t="str" s="33">
        <ns0:v>B7B-XH-A</ns0:v>
      </ns0:c>
      <ns0:c r="K322" t="str" s="34">
        <ns0:f>B322&amp;" "&amp;D322&amp;" "&amp;J322</ns0:f>
        <ns0:v>Разъём JST XH, 1x07, 2,5 мм B7B-XH-A</ns0:v>
      </ns0:c>
      <ns0:c r="L322" t="str" s="36">
        <ns0:v>XP_7</ns0:v>
      </ns0:c>
      <ns0:c r="M322" t="str" s="36">
        <ns0:v>Symbols\MY_LIB_Connectors.SchLib</ns0:v>
      </ns0:c>
      <ns0:c r="N322" t="str" s="36">
        <ns0:v>JST_XH_B7B-XH-A</ns0:v>
      </ns0:c>
      <ns0:c r="O322" t="str" s="36">
        <ns0:v>Footprints\MY_LIB_Connectors.PcbLib</ns0:v>
      </ns0:c>
      <ns0:c r="P322" t="str" s="33">
        <ns0:v>Штыревой; 7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2" s="33"/>
      <ns0:c r="R322" t="str" s="34">
        <ns0:f>D322</ns0:f>
        <ns0:v>JST XH, 1x07, 2,5 мм</ns0:v>
      </ns0:c>
      <ns0:c r="S322" t="str" s="34">
        <ns0:f>K322</ns0:f>
        <ns0:v>Разъём JST XH, 1x07, 2,5 мм B7B-XH-A</ns0:v>
      </ns0:c>
      <ns0:c r="T322" t="str" s="33">
        <ns0:v>C:\Users\Nomatin\Documents\Altium\MY_LIB\MY_LIB\Datasheets\JST_XH.pdf</ns0:v>
      </ns0:c>
      <ns0:c r="U322" s="33"/>
      <ns0:c r="V322" t="str" s="33">
        <ns0:v>Даташит — локальный</ns0:v>
      </ns0:c>
      <ns0:c r="W322" t="str" s="33">
        <ns0:v>C:\Users\Nomatin\Documents\Altium\MY_LIB\MY_LIB\Datasheets\JST_XH.pdf</ns0:v>
      </ns0:c>
      <ns0:c r="X322" t="str" s="33">
        <ns0:v>Даташит — производитель</ns0:v>
      </ns0:c>
      <ns0:c r="Y322" t="str" s="33">
        <ns0:v>https://www.jst-mfg.com/product/pdf/eng/eXH.pdf</ns0:v>
      </ns0:c>
      <ns0:c r="Z322" t="str" s="33">
        <ns0:v>C:\Users\Nomatin\Documents\Altium\MY_LIB\MY_LIB\Datasheets\JST_XH.pdf</ns0:v>
      </ns0:c>
    </ns0:row>
    <ns0:row xmlns:ns0="http://schemas.openxmlformats.org/spreadsheetml/2006/main" r="323">
      <ns0:c r="A323" t="str" s="33">
        <ns0:v>XP0242</ns0:v>
      </ns0:c>
      <ns0:c r="B323" t="str" s="33">
        <ns0:v>Разъём</ns0:v>
      </ns0:c>
      <ns0:c r="C323" t="str" s="33">
        <ns0:v>JST XH, 1x07, 2,5 мм</ns0:v>
      </ns0:c>
      <ns0:c r="D323" t="str" s="34">
        <ns0:f>C323</ns0:f>
        <ns0:v>JST XH, 1x07, 2,5 мм</ns0:v>
      </ns0:c>
      <ns0:c r="E323" s="33"/>
      <ns0:c r="F323" s="33"/>
      <ns0:c r="G323" s="33"/>
      <ns0:c r="H323" t="str" s="35">
        <ns0:v>1x07, P2,5, THT, прямой</ns0:v>
      </ns0:c>
      <ns0:c r="I323" t="str" s="33">
        <ns0:v>JST</ns0:v>
      </ns0:c>
      <ns0:c r="J323" t="str" s="33">
        <ns0:v>B7B-XH-AM</ns0:v>
      </ns0:c>
      <ns0:c r="K323" t="str" s="34">
        <ns0:f>B323&amp;" "&amp;D323&amp;" "&amp;J323</ns0:f>
        <ns0:v>Разъём JST XH, 1x07, 2,5 мм B7B-XH-AM</ns0:v>
      </ns0:c>
      <ns0:c r="L323" t="str" s="36">
        <ns0:v>XP_7</ns0:v>
      </ns0:c>
      <ns0:c r="M323" t="str" s="36">
        <ns0:v>Symbols\MY_LIB_Connectors.SchLib</ns0:v>
      </ns0:c>
      <ns0:c r="N323" t="str" s="36">
        <ns0:v>JST_XH_B7B-XH-AM</ns0:v>
      </ns0:c>
      <ns0:c r="O323" t="str" s="36">
        <ns0:v>Footprints\MY_LIB_Connectors.PcbLib</ns0:v>
      </ns0:c>
      <ns0:c r="P323" t="str" s="33">
        <ns0:v>Штыревой; 7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3" s="33"/>
      <ns0:c r="R323" t="str" s="34">
        <ns0:f>D323</ns0:f>
        <ns0:v>JST XH, 1x07, 2,5 мм</ns0:v>
      </ns0:c>
      <ns0:c r="S323" t="str" s="34">
        <ns0:f>K323</ns0:f>
        <ns0:v>Разъём JST XH, 1x07, 2,5 мм B7B-XH-AM</ns0:v>
      </ns0:c>
      <ns0:c r="T323" t="str" s="33">
        <ns0:v>C:\Users\Nomatin\Documents\Altium\MY_LIB\MY_LIB\Datasheets\JST_XH.pdf</ns0:v>
      </ns0:c>
      <ns0:c r="U323" s="33"/>
      <ns0:c r="V323" t="str" s="33">
        <ns0:v>Даташит — локальный</ns0:v>
      </ns0:c>
      <ns0:c r="W323" t="str" s="33">
        <ns0:v>C:\Users\Nomatin\Documents\Altium\MY_LIB\MY_LIB\Datasheets\JST_XH.pdf</ns0:v>
      </ns0:c>
      <ns0:c r="X323" t="str" s="33">
        <ns0:v>Даташит — производитель</ns0:v>
      </ns0:c>
      <ns0:c r="Y323" t="str" s="33">
        <ns0:v>https://www.jst-mfg.com/product/pdf/eng/eXH.pdf</ns0:v>
      </ns0:c>
      <ns0:c r="Z323" t="str" s="33">
        <ns0:v>C:\Users\Nomatin\Documents\Altium\MY_LIB\MY_LIB\Datasheets\JST_XH.pdf</ns0:v>
      </ns0:c>
    </ns0:row>
    <ns0:row xmlns:ns0="http://schemas.openxmlformats.org/spreadsheetml/2006/main" r="324">
      <ns0:c r="A324" t="str" s="33">
        <ns0:v>XP0243</ns0:v>
      </ns0:c>
      <ns0:c r="B324" t="str" s="33">
        <ns0:v>Разъём</ns0:v>
      </ns0:c>
      <ns0:c r="C324" t="str" s="33">
        <ns0:v>JST XH, 1x08, 2,5 мм</ns0:v>
      </ns0:c>
      <ns0:c r="D324" t="str" s="34">
        <ns0:f>C324</ns0:f>
        <ns0:v>JST XH, 1x08, 2,5 мм</ns0:v>
      </ns0:c>
      <ns0:c r="E324" s="33"/>
      <ns0:c r="F324" s="33"/>
      <ns0:c r="G324" s="33"/>
      <ns0:c r="H324" t="str" s="35">
        <ns0:v>1x08, P2,5, THT, прямой</ns0:v>
      </ns0:c>
      <ns0:c r="I324" t="str" s="33">
        <ns0:v>JST</ns0:v>
      </ns0:c>
      <ns0:c r="J324" t="str" s="33">
        <ns0:v>B8B-XH-A</ns0:v>
      </ns0:c>
      <ns0:c r="K324" t="str" s="34">
        <ns0:f>B324&amp;" "&amp;D324&amp;" "&amp;J324</ns0:f>
        <ns0:v>Разъём JST XH, 1x08, 2,5 мм B8B-XH-A</ns0:v>
      </ns0:c>
      <ns0:c r="L324" t="str" s="36">
        <ns0:v>XP_8</ns0:v>
      </ns0:c>
      <ns0:c r="M324" t="str" s="36">
        <ns0:v>Symbols\MY_LIB_Connectors.SchLib</ns0:v>
      </ns0:c>
      <ns0:c r="N324" t="str" s="36">
        <ns0:v>JST_XH_B8B-XH-A</ns0:v>
      </ns0:c>
      <ns0:c r="O324" t="str" s="36">
        <ns0:v>Footprints\MY_LIB_Connectors.PcbLib</ns0:v>
      </ns0:c>
      <ns0:c r="P324" t="str" s="33">
        <ns0:v>Штыревой; 8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4" s="33"/>
      <ns0:c r="R324" t="str" s="34">
        <ns0:f>D324</ns0:f>
        <ns0:v>JST XH, 1x08, 2,5 мм</ns0:v>
      </ns0:c>
      <ns0:c r="S324" t="str" s="34">
        <ns0:f>K324</ns0:f>
        <ns0:v>Разъём JST XH, 1x08, 2,5 мм B8B-XH-A</ns0:v>
      </ns0:c>
      <ns0:c r="T324" t="str" s="33">
        <ns0:v>C:\Users\Nomatin\Documents\Altium\MY_LIB\MY_LIB\Datasheets\JST_XH.pdf</ns0:v>
      </ns0:c>
      <ns0:c r="U324" s="33"/>
      <ns0:c r="V324" t="str" s="33">
        <ns0:v>Даташит — локальный</ns0:v>
      </ns0:c>
      <ns0:c r="W324" t="str" s="33">
        <ns0:v>C:\Users\Nomatin\Documents\Altium\MY_LIB\MY_LIB\Datasheets\JST_XH.pdf</ns0:v>
      </ns0:c>
      <ns0:c r="X324" t="str" s="33">
        <ns0:v>Даташит — производитель</ns0:v>
      </ns0:c>
      <ns0:c r="Y324" t="str" s="33">
        <ns0:v>https://www.jst-mfg.com/product/pdf/eng/eXH.pdf</ns0:v>
      </ns0:c>
      <ns0:c r="Z324" t="str" s="33">
        <ns0:v>C:\Users\Nomatin\Documents\Altium\MY_LIB\MY_LIB\Datasheets\JST_XH.pdf</ns0:v>
      </ns0:c>
    </ns0:row>
    <ns0:row xmlns:ns0="http://schemas.openxmlformats.org/spreadsheetml/2006/main" r="325">
      <ns0:c r="A325" t="str" s="33">
        <ns0:v>XP0244</ns0:v>
      </ns0:c>
      <ns0:c r="B325" t="str" s="33">
        <ns0:v>Разъём</ns0:v>
      </ns0:c>
      <ns0:c r="C325" t="str" s="33">
        <ns0:v>JST XH, 1x08, 2,5 мм</ns0:v>
      </ns0:c>
      <ns0:c r="D325" t="str" s="34">
        <ns0:f>C325</ns0:f>
        <ns0:v>JST XH, 1x08, 2,5 мм</ns0:v>
      </ns0:c>
      <ns0:c r="E325" s="33"/>
      <ns0:c r="F325" s="33"/>
      <ns0:c r="G325" s="33"/>
      <ns0:c r="H325" t="str" s="35">
        <ns0:v>1x08, P2,5, THT, прямой</ns0:v>
      </ns0:c>
      <ns0:c r="I325" t="str" s="33">
        <ns0:v>JST</ns0:v>
      </ns0:c>
      <ns0:c r="J325" t="str" s="33">
        <ns0:v>B8B-XH-AM</ns0:v>
      </ns0:c>
      <ns0:c r="K325" t="str" s="34">
        <ns0:f>B325&amp;" "&amp;D325&amp;" "&amp;J325</ns0:f>
        <ns0:v>Разъём JST XH, 1x08, 2,5 мм B8B-XH-AM</ns0:v>
      </ns0:c>
      <ns0:c r="L325" t="str" s="36">
        <ns0:v>XP_8</ns0:v>
      </ns0:c>
      <ns0:c r="M325" t="str" s="36">
        <ns0:v>Symbols\MY_LIB_Connectors.SchLib</ns0:v>
      </ns0:c>
      <ns0:c r="N325" t="str" s="36">
        <ns0:v>JST_XH_B8B-XH-AM</ns0:v>
      </ns0:c>
      <ns0:c r="O325" t="str" s="36">
        <ns0:v>Footprints\MY_LIB_Connectors.PcbLib</ns0:v>
      </ns0:c>
      <ns0:c r="P325" t="str" s="33">
        <ns0:v>Штыревой; 8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5" s="33"/>
      <ns0:c r="R325" t="str" s="34">
        <ns0:f>D325</ns0:f>
        <ns0:v>JST XH, 1x08, 2,5 мм</ns0:v>
      </ns0:c>
      <ns0:c r="S325" t="str" s="34">
        <ns0:f>K325</ns0:f>
        <ns0:v>Разъём JST XH, 1x08, 2,5 мм B8B-XH-AM</ns0:v>
      </ns0:c>
      <ns0:c r="T325" t="str" s="33">
        <ns0:v>C:\Users\Nomatin\Documents\Altium\MY_LIB\MY_LIB\Datasheets\JST_XH.pdf</ns0:v>
      </ns0:c>
      <ns0:c r="U325" s="33"/>
      <ns0:c r="V325" t="str" s="33">
        <ns0:v>Даташит — локальный</ns0:v>
      </ns0:c>
      <ns0:c r="W325" t="str" s="33">
        <ns0:v>C:\Users\Nomatin\Documents\Altium\MY_LIB\MY_LIB\Datasheets\JST_XH.pdf</ns0:v>
      </ns0:c>
      <ns0:c r="X325" t="str" s="33">
        <ns0:v>Даташит — производитель</ns0:v>
      </ns0:c>
      <ns0:c r="Y325" t="str" s="33">
        <ns0:v>https://www.jst-mfg.com/product/pdf/eng/eXH.pdf</ns0:v>
      </ns0:c>
      <ns0:c r="Z325" t="str" s="33">
        <ns0:v>C:\Users\Nomatin\Documents\Altium\MY_LIB\MY_LIB\Datasheets\JST_XH.pdf</ns0:v>
      </ns0:c>
    </ns0:row>
    <ns0:row xmlns:ns0="http://schemas.openxmlformats.org/spreadsheetml/2006/main" r="326">
      <ns0:c r="A326" t="str" s="33">
        <ns0:v>XP0245</ns0:v>
      </ns0:c>
      <ns0:c r="B326" t="str" s="33">
        <ns0:v>Разъём</ns0:v>
      </ns0:c>
      <ns0:c r="C326" t="str" s="33">
        <ns0:v>JST XH, 1x09, 2,5 мм</ns0:v>
      </ns0:c>
      <ns0:c r="D326" t="str" s="34">
        <ns0:f>C326</ns0:f>
        <ns0:v>JST XH, 1x09, 2,5 мм</ns0:v>
      </ns0:c>
      <ns0:c r="E326" s="33"/>
      <ns0:c r="F326" s="33"/>
      <ns0:c r="G326" s="33"/>
      <ns0:c r="H326" t="str" s="35">
        <ns0:v>1x09, P2,5, THT, прямой</ns0:v>
      </ns0:c>
      <ns0:c r="I326" t="str" s="33">
        <ns0:v>JST</ns0:v>
      </ns0:c>
      <ns0:c r="J326" t="str" s="33">
        <ns0:v>B9B-XH-A</ns0:v>
      </ns0:c>
      <ns0:c r="K326" t="str" s="34">
        <ns0:f>B326&amp;" "&amp;D326&amp;" "&amp;J326</ns0:f>
        <ns0:v>Разъём JST XH, 1x09, 2,5 мм B9B-XH-A</ns0:v>
      </ns0:c>
      <ns0:c r="L326" t="str" s="36">
        <ns0:v>XP_9</ns0:v>
      </ns0:c>
      <ns0:c r="M326" t="str" s="36">
        <ns0:v>Symbols\MY_LIB_Connectors.SchLib</ns0:v>
      </ns0:c>
      <ns0:c r="N326" t="str" s="36">
        <ns0:v>JST_XH_B9B-XH-A</ns0:v>
      </ns0:c>
      <ns0:c r="O326" t="str" s="36">
        <ns0:v>Footprints\MY_LIB_Connectors.PcbLib</ns0:v>
      </ns0:c>
      <ns0:c r="P326" t="str" s="33">
        <ns0:v>Штыревой; 9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6" s="33"/>
      <ns0:c r="R326" t="str" s="34">
        <ns0:f>D326</ns0:f>
        <ns0:v>JST XH, 1x09, 2,5 мм</ns0:v>
      </ns0:c>
      <ns0:c r="S326" t="str" s="34">
        <ns0:f>K326</ns0:f>
        <ns0:v>Разъём JST XH, 1x09, 2,5 мм B9B-XH-A</ns0:v>
      </ns0:c>
      <ns0:c r="T326" t="str" s="33">
        <ns0:v>C:\Users\Nomatin\Documents\Altium\MY_LIB\MY_LIB\Datasheets\JST_XH.pdf</ns0:v>
      </ns0:c>
      <ns0:c r="U326" s="33"/>
      <ns0:c r="V326" t="str" s="33">
        <ns0:v>Даташит — локальный</ns0:v>
      </ns0:c>
      <ns0:c r="W326" t="str" s="33">
        <ns0:v>C:\Users\Nomatin\Documents\Altium\MY_LIB\MY_LIB\Datasheets\JST_XH.pdf</ns0:v>
      </ns0:c>
      <ns0:c r="X326" t="str" s="33">
        <ns0:v>Даташит — производитель</ns0:v>
      </ns0:c>
      <ns0:c r="Y326" t="str" s="33">
        <ns0:v>https://www.jst-mfg.com/product/pdf/eng/eXH.pdf</ns0:v>
      </ns0:c>
      <ns0:c r="Z326" t="str" s="33">
        <ns0:v>C:\Users\Nomatin\Documents\Altium\MY_LIB\MY_LIB\Datasheets\JST_XH.pdf</ns0:v>
      </ns0:c>
    </ns0:row>
    <ns0:row xmlns:ns0="http://schemas.openxmlformats.org/spreadsheetml/2006/main" r="327">
      <ns0:c r="A327" t="str" s="33">
        <ns0:v>XP0246</ns0:v>
      </ns0:c>
      <ns0:c r="B327" t="str" s="33">
        <ns0:v>Разъём</ns0:v>
      </ns0:c>
      <ns0:c r="C327" t="str" s="33">
        <ns0:v>JST XH, 1x09, 2,5 мм</ns0:v>
      </ns0:c>
      <ns0:c r="D327" t="str" s="34">
        <ns0:f>C327</ns0:f>
        <ns0:v>JST XH, 1x09, 2,5 мм</ns0:v>
      </ns0:c>
      <ns0:c r="E327" s="33"/>
      <ns0:c r="F327" s="33"/>
      <ns0:c r="G327" s="33"/>
      <ns0:c r="H327" t="str" s="35">
        <ns0:v>1x09, P2,5, THT, прямой</ns0:v>
      </ns0:c>
      <ns0:c r="I327" t="str" s="33">
        <ns0:v>JST</ns0:v>
      </ns0:c>
      <ns0:c r="J327" t="str" s="33">
        <ns0:v>B9B-XH-AM</ns0:v>
      </ns0:c>
      <ns0:c r="K327" t="str" s="34">
        <ns0:f>B327&amp;" "&amp;D327&amp;" "&amp;J327</ns0:f>
        <ns0:v>Разъём JST XH, 1x09, 2,5 мм B9B-XH-AM</ns0:v>
      </ns0:c>
      <ns0:c r="L327" t="str" s="36">
        <ns0:v>XP_9</ns0:v>
      </ns0:c>
      <ns0:c r="M327" t="str" s="36">
        <ns0:v>Symbols\MY_LIB_Connectors.SchLib</ns0:v>
      </ns0:c>
      <ns0:c r="N327" t="str" s="36">
        <ns0:v>JST_XH_B9B-XH-AM</ns0:v>
      </ns0:c>
      <ns0:c r="O327" t="str" s="36">
        <ns0:v>Footprints\MY_LIB_Connectors.PcbLib</ns0:v>
      </ns0:c>
      <ns0:c r="P327" t="str" s="33">
        <ns0:v>Штыревой; 9 сигнальных контактов, шаг 2,5 мм; прямой,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7" s="33"/>
      <ns0:c r="R327" t="str" s="34">
        <ns0:f>D327</ns0:f>
        <ns0:v>JST XH, 1x09, 2,5 мм</ns0:v>
      </ns0:c>
      <ns0:c r="S327" t="str" s="34">
        <ns0:f>K327</ns0:f>
        <ns0:v>Разъём JST XH, 1x09, 2,5 мм B9B-XH-AM</ns0:v>
      </ns0:c>
      <ns0:c r="T327" t="str" s="33">
        <ns0:v>C:\Users\Nomatin\Documents\Altium\MY_LIB\MY_LIB\Datasheets\JST_XH.pdf</ns0:v>
      </ns0:c>
      <ns0:c r="U327" s="33"/>
      <ns0:c r="V327" t="str" s="33">
        <ns0:v>Даташит — локальный</ns0:v>
      </ns0:c>
      <ns0:c r="W327" t="str" s="33">
        <ns0:v>C:\Users\Nomatin\Documents\Altium\MY_LIB\MY_LIB\Datasheets\JST_XH.pdf</ns0:v>
      </ns0:c>
      <ns0:c r="X327" t="str" s="33">
        <ns0:v>Даташит — производитель</ns0:v>
      </ns0:c>
      <ns0:c r="Y327" t="str" s="33">
        <ns0:v>https://www.jst-mfg.com/product/pdf/eng/eXH.pdf</ns0:v>
      </ns0:c>
      <ns0:c r="Z327" t="str" s="33">
        <ns0:v>C:\Users\Nomatin\Documents\Altium\MY_LIB\MY_LIB\Datasheets\JST_XH.pdf</ns0:v>
      </ns0:c>
    </ns0:row>
    <ns0:row xmlns:ns0="http://schemas.openxmlformats.org/spreadsheetml/2006/main" r="328">
      <ns0:c r="A328" t="str" s="33">
        <ns0:v>XP0247</ns0:v>
      </ns0:c>
      <ns0:c r="B328" t="str" s="33">
        <ns0:v>Разъём</ns0:v>
      </ns0:c>
      <ns0:c r="C328" t="str" s="33">
        <ns0:v>JST XH, 1x10, 2,5 мм</ns0:v>
      </ns0:c>
      <ns0:c r="D328" t="str" s="34">
        <ns0:f>C328</ns0:f>
        <ns0:v>JST XH, 1x10, 2,5 мм</ns0:v>
      </ns0:c>
      <ns0:c r="E328" s="33"/>
      <ns0:c r="F328" s="33"/>
      <ns0:c r="G328" s="33"/>
      <ns0:c r="H328" t="str" s="35">
        <ns0:v>1x10, P2,5, THT, угловой</ns0:v>
      </ns0:c>
      <ns0:c r="I328" t="str" s="33">
        <ns0:v>JST</ns0:v>
      </ns0:c>
      <ns0:c r="J328" t="str" s="33">
        <ns0:v>S10B-XH-A-1</ns0:v>
      </ns0:c>
      <ns0:c r="K328" t="str" s="34">
        <ns0:f>B328&amp;" "&amp;D328&amp;" "&amp;J328</ns0:f>
        <ns0:v>Разъём JST XH, 1x10, 2,5 мм S10B-XH-A-1</ns0:v>
      </ns0:c>
      <ns0:c r="L328" t="str" s="36">
        <ns0:v>XP_10</ns0:v>
      </ns0:c>
      <ns0:c r="M328" t="str" s="36">
        <ns0:v>Symbols\MY_LIB_Connectors.SchLib</ns0:v>
      </ns0:c>
      <ns0:c r="N328" t="str" s="36">
        <ns0:v>JST_XH_S10B-XH-A-1</ns0:v>
      </ns0:c>
      <ns0:c r="O328" t="str" s="36">
        <ns0:v>Footprints\MY_LIB_Connectors.PcbLib</ns0:v>
      </ns0:c>
      <ns0:c r="P328" t="str" s="33">
        <ns0:v>Штыревой; 10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8" s="33"/>
      <ns0:c r="R328" t="str" s="34">
        <ns0:f>D328</ns0:f>
        <ns0:v>JST XH, 1x10, 2,5 мм</ns0:v>
      </ns0:c>
      <ns0:c r="S328" t="str" s="34">
        <ns0:f>K328</ns0:f>
        <ns0:v>Разъём JST XH, 1x10, 2,5 мм S10B-XH-A-1</ns0:v>
      </ns0:c>
      <ns0:c r="T328" t="str" s="33">
        <ns0:v>C:\Users\Nomatin\Documents\Altium\MY_LIB\MY_LIB\Datasheets\JST_XH.pdf</ns0:v>
      </ns0:c>
      <ns0:c r="U328" s="33"/>
      <ns0:c r="V328" t="str" s="33">
        <ns0:v>Даташит — локальный</ns0:v>
      </ns0:c>
      <ns0:c r="W328" t="str" s="33">
        <ns0:v>C:\Users\Nomatin\Documents\Altium\MY_LIB\MY_LIB\Datasheets\JST_XH.pdf</ns0:v>
      </ns0:c>
      <ns0:c r="X328" t="str" s="33">
        <ns0:v>Даташит — производитель</ns0:v>
      </ns0:c>
      <ns0:c r="Y328" t="str" s="33">
        <ns0:v>https://www.jst-mfg.com/product/pdf/eng/eXH.pdf</ns0:v>
      </ns0:c>
      <ns0:c r="Z328" t="str" s="33">
        <ns0:v>C:\Users\Nomatin\Documents\Altium\MY_LIB\MY_LIB\Datasheets\JST_XH.pdf</ns0:v>
      </ns0:c>
    </ns0:row>
    <ns0:row xmlns:ns0="http://schemas.openxmlformats.org/spreadsheetml/2006/main" r="329">
      <ns0:c r="A329" t="str" s="33">
        <ns0:v>XP0248</ns0:v>
      </ns0:c>
      <ns0:c r="B329" t="str" s="33">
        <ns0:v>Разъём</ns0:v>
      </ns0:c>
      <ns0:c r="C329" t="str" s="33">
        <ns0:v>JST XH, 1x10, 2,5 мм</ns0:v>
      </ns0:c>
      <ns0:c r="D329" t="str" s="34">
        <ns0:f>C329</ns0:f>
        <ns0:v>JST XH, 1x10, 2,5 мм</ns0:v>
      </ns0:c>
      <ns0:c r="E329" s="33"/>
      <ns0:c r="F329" s="33"/>
      <ns0:c r="G329" s="33"/>
      <ns0:c r="H329" t="str" s="35">
        <ns0:v>1x10, P2,5, THT, угловой</ns0:v>
      </ns0:c>
      <ns0:c r="I329" t="str" s="33">
        <ns0:v>JST</ns0:v>
      </ns0:c>
      <ns0:c r="J329" t="str" s="33">
        <ns0:v>S10B-XH-A</ns0:v>
      </ns0:c>
      <ns0:c r="K329" t="str" s="34">
        <ns0:f>B329&amp;" "&amp;D329&amp;" "&amp;J329</ns0:f>
        <ns0:v>Разъём JST XH, 1x10, 2,5 мм S10B-XH-A</ns0:v>
      </ns0:c>
      <ns0:c r="L329" t="str" s="36">
        <ns0:v>XP_10</ns0:v>
      </ns0:c>
      <ns0:c r="M329" t="str" s="36">
        <ns0:v>Symbols\MY_LIB_Connectors.SchLib</ns0:v>
      </ns0:c>
      <ns0:c r="N329" t="str" s="36">
        <ns0:v>JST_XH_S10B-XH-A</ns0:v>
      </ns0:c>
      <ns0:c r="O329" t="str" s="36">
        <ns0:v>Footprints\MY_LIB_Connectors.PcbLib</ns0:v>
      </ns0:c>
      <ns0:c r="P329" t="str" s="33">
        <ns0:v>Штыревой; 10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29" s="33"/>
      <ns0:c r="R329" t="str" s="34">
        <ns0:f>D329</ns0:f>
        <ns0:v>JST XH, 1x10, 2,5 мм</ns0:v>
      </ns0:c>
      <ns0:c r="S329" t="str" s="34">
        <ns0:f>K329</ns0:f>
        <ns0:v>Разъём JST XH, 1x10, 2,5 мм S10B-XH-A</ns0:v>
      </ns0:c>
      <ns0:c r="T329" t="str" s="33">
        <ns0:v>C:\Users\Nomatin\Documents\Altium\MY_LIB\MY_LIB\Datasheets\JST_XH.pdf</ns0:v>
      </ns0:c>
      <ns0:c r="U329" s="33"/>
      <ns0:c r="V329" t="str" s="33">
        <ns0:v>Даташит — локальный</ns0:v>
      </ns0:c>
      <ns0:c r="W329" t="str" s="33">
        <ns0:v>C:\Users\Nomatin\Documents\Altium\MY_LIB\MY_LIB\Datasheets\JST_XH.pdf</ns0:v>
      </ns0:c>
      <ns0:c r="X329" t="str" s="33">
        <ns0:v>Даташит — производитель</ns0:v>
      </ns0:c>
      <ns0:c r="Y329" t="str" s="33">
        <ns0:v>https://www.jst-mfg.com/product/pdf/eng/eXH.pdf</ns0:v>
      </ns0:c>
      <ns0:c r="Z329" t="str" s="33">
        <ns0:v>C:\Users\Nomatin\Documents\Altium\MY_LIB\MY_LIB\Datasheets\JST_XH.pdf</ns0:v>
      </ns0:c>
    </ns0:row>
    <ns0:row xmlns:ns0="http://schemas.openxmlformats.org/spreadsheetml/2006/main" r="330">
      <ns0:c r="A330" t="str" s="33">
        <ns0:v>XP0249</ns0:v>
      </ns0:c>
      <ns0:c r="B330" t="str" s="33">
        <ns0:v>Разъём</ns0:v>
      </ns0:c>
      <ns0:c r="C330" t="str" s="33">
        <ns0:v>JST XH, 1x11, 2,5 мм</ns0:v>
      </ns0:c>
      <ns0:c r="D330" t="str" s="34">
        <ns0:f>C330</ns0:f>
        <ns0:v>JST XH, 1x11, 2,5 мм</ns0:v>
      </ns0:c>
      <ns0:c r="E330" s="33"/>
      <ns0:c r="F330" s="33"/>
      <ns0:c r="G330" s="33"/>
      <ns0:c r="H330" t="str" s="35">
        <ns0:v>1x11, P2,5, THT, угловой</ns0:v>
      </ns0:c>
      <ns0:c r="I330" t="str" s="33">
        <ns0:v>JST</ns0:v>
      </ns0:c>
      <ns0:c r="J330" t="str" s="33">
        <ns0:v>S11B-XH-A-1</ns0:v>
      </ns0:c>
      <ns0:c r="K330" t="str" s="34">
        <ns0:f>B330&amp;" "&amp;D330&amp;" "&amp;J330</ns0:f>
        <ns0:v>Разъём JST XH, 1x11, 2,5 мм S11B-XH-A-1</ns0:v>
      </ns0:c>
      <ns0:c r="L330" t="str" s="36">
        <ns0:v>XP_11</ns0:v>
      </ns0:c>
      <ns0:c r="M330" t="str" s="36">
        <ns0:v>Symbols\MY_LIB_Connectors.SchLib</ns0:v>
      </ns0:c>
      <ns0:c r="N330" t="str" s="36">
        <ns0:v>JST_XH_S11B-XH-A-1</ns0:v>
      </ns0:c>
      <ns0:c r="O330" t="str" s="36">
        <ns0:v>Footprints\MY_LIB_Connectors.PcbLib</ns0:v>
      </ns0:c>
      <ns0:c r="P330" t="str" s="33">
        <ns0:v>Штыревой; 11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0" s="33"/>
      <ns0:c r="R330" t="str" s="34">
        <ns0:f>D330</ns0:f>
        <ns0:v>JST XH, 1x11, 2,5 мм</ns0:v>
      </ns0:c>
      <ns0:c r="S330" t="str" s="34">
        <ns0:f>K330</ns0:f>
        <ns0:v>Разъём JST XH, 1x11, 2,5 мм S11B-XH-A-1</ns0:v>
      </ns0:c>
      <ns0:c r="T330" t="str" s="33">
        <ns0:v>C:\Users\Nomatin\Documents\Altium\MY_LIB\MY_LIB\Datasheets\JST_XH.pdf</ns0:v>
      </ns0:c>
      <ns0:c r="U330" s="33"/>
      <ns0:c r="V330" t="str" s="33">
        <ns0:v>Даташит — локальный</ns0:v>
      </ns0:c>
      <ns0:c r="W330" t="str" s="33">
        <ns0:v>C:\Users\Nomatin\Documents\Altium\MY_LIB\MY_LIB\Datasheets\JST_XH.pdf</ns0:v>
      </ns0:c>
      <ns0:c r="X330" t="str" s="33">
        <ns0:v>Даташит — производитель</ns0:v>
      </ns0:c>
      <ns0:c r="Y330" t="str" s="33">
        <ns0:v>https://www.jst-mfg.com/product/pdf/eng/eXH.pdf</ns0:v>
      </ns0:c>
      <ns0:c r="Z330" t="str" s="33">
        <ns0:v>C:\Users\Nomatin\Documents\Altium\MY_LIB\MY_LIB\Datasheets\JST_XH.pdf</ns0:v>
      </ns0:c>
    </ns0:row>
    <ns0:row xmlns:ns0="http://schemas.openxmlformats.org/spreadsheetml/2006/main" r="331">
      <ns0:c r="A331" t="str" s="33">
        <ns0:v>XP0250</ns0:v>
      </ns0:c>
      <ns0:c r="B331" t="str" s="33">
        <ns0:v>Разъём</ns0:v>
      </ns0:c>
      <ns0:c r="C331" t="str" s="33">
        <ns0:v>JST XH, 1x11, 2,5 мм</ns0:v>
      </ns0:c>
      <ns0:c r="D331" t="str" s="34">
        <ns0:f>C331</ns0:f>
        <ns0:v>JST XH, 1x11, 2,5 мм</ns0:v>
      </ns0:c>
      <ns0:c r="E331" s="33"/>
      <ns0:c r="F331" s="33"/>
      <ns0:c r="G331" s="33"/>
      <ns0:c r="H331" t="str" s="35">
        <ns0:v>1x11, P2,5, THT, угловой</ns0:v>
      </ns0:c>
      <ns0:c r="I331" t="str" s="33">
        <ns0:v>JST</ns0:v>
      </ns0:c>
      <ns0:c r="J331" t="str" s="33">
        <ns0:v>S11B-XH-A</ns0:v>
      </ns0:c>
      <ns0:c r="K331" t="str" s="34">
        <ns0:f>B331&amp;" "&amp;D331&amp;" "&amp;J331</ns0:f>
        <ns0:v>Разъём JST XH, 1x11, 2,5 мм S11B-XH-A</ns0:v>
      </ns0:c>
      <ns0:c r="L331" t="str" s="36">
        <ns0:v>XP_11</ns0:v>
      </ns0:c>
      <ns0:c r="M331" t="str" s="36">
        <ns0:v>Symbols\MY_LIB_Connectors.SchLib</ns0:v>
      </ns0:c>
      <ns0:c r="N331" t="str" s="36">
        <ns0:v>JST_XH_S11B-XH-A</ns0:v>
      </ns0:c>
      <ns0:c r="O331" t="str" s="36">
        <ns0:v>Footprints\MY_LIB_Connectors.PcbLib</ns0:v>
      </ns0:c>
      <ns0:c r="P331" t="str" s="33">
        <ns0:v>Штыревой; 11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1" s="33"/>
      <ns0:c r="R331" t="str" s="34">
        <ns0:f>D331</ns0:f>
        <ns0:v>JST XH, 1x11, 2,5 мм</ns0:v>
      </ns0:c>
      <ns0:c r="S331" t="str" s="34">
        <ns0:f>K331</ns0:f>
        <ns0:v>Разъём JST XH, 1x11, 2,5 мм S11B-XH-A</ns0:v>
      </ns0:c>
      <ns0:c r="T331" t="str" s="33">
        <ns0:v>C:\Users\Nomatin\Documents\Altium\MY_LIB\MY_LIB\Datasheets\JST_XH.pdf</ns0:v>
      </ns0:c>
      <ns0:c r="U331" s="33"/>
      <ns0:c r="V331" t="str" s="33">
        <ns0:v>Даташит — локальный</ns0:v>
      </ns0:c>
      <ns0:c r="W331" t="str" s="33">
        <ns0:v>C:\Users\Nomatin\Documents\Altium\MY_LIB\MY_LIB\Datasheets\JST_XH.pdf</ns0:v>
      </ns0:c>
      <ns0:c r="X331" t="str" s="33">
        <ns0:v>Даташит — производитель</ns0:v>
      </ns0:c>
      <ns0:c r="Y331" t="str" s="33">
        <ns0:v>https://www.jst-mfg.com/product/pdf/eng/eXH.pdf</ns0:v>
      </ns0:c>
      <ns0:c r="Z331" t="str" s="33">
        <ns0:v>C:\Users\Nomatin\Documents\Altium\MY_LIB\MY_LIB\Datasheets\JST_XH.pdf</ns0:v>
      </ns0:c>
    </ns0:row>
    <ns0:row xmlns:ns0="http://schemas.openxmlformats.org/spreadsheetml/2006/main" r="332">
      <ns0:c r="A332" t="str" s="33">
        <ns0:v>XP0251</ns0:v>
      </ns0:c>
      <ns0:c r="B332" t="str" s="33">
        <ns0:v>Разъём</ns0:v>
      </ns0:c>
      <ns0:c r="C332" t="str" s="33">
        <ns0:v>JST XH, 1x12, 2,5 мм</ns0:v>
      </ns0:c>
      <ns0:c r="D332" t="str" s="34">
        <ns0:f>C332</ns0:f>
        <ns0:v>JST XH, 1x12, 2,5 мм</ns0:v>
      </ns0:c>
      <ns0:c r="E332" s="33"/>
      <ns0:c r="F332" s="33"/>
      <ns0:c r="G332" s="33"/>
      <ns0:c r="H332" t="str" s="35">
        <ns0:v>1x12, P2,5, THT, угловой</ns0:v>
      </ns0:c>
      <ns0:c r="I332" t="str" s="33">
        <ns0:v>JST</ns0:v>
      </ns0:c>
      <ns0:c r="J332" t="str" s="33">
        <ns0:v>S12B-XH-A-1</ns0:v>
      </ns0:c>
      <ns0:c r="K332" t="str" s="34">
        <ns0:f>B332&amp;" "&amp;D332&amp;" "&amp;J332</ns0:f>
        <ns0:v>Разъём JST XH, 1x12, 2,5 мм S12B-XH-A-1</ns0:v>
      </ns0:c>
      <ns0:c r="L332" t="str" s="36">
        <ns0:v>XP_12</ns0:v>
      </ns0:c>
      <ns0:c r="M332" t="str" s="36">
        <ns0:v>Symbols\MY_LIB_Connectors.SchLib</ns0:v>
      </ns0:c>
      <ns0:c r="N332" t="str" s="36">
        <ns0:v>JST_XH_S12B-XH-A-1</ns0:v>
      </ns0:c>
      <ns0:c r="O332" t="str" s="36">
        <ns0:v>Footprints\MY_LIB_Connectors.PcbLib</ns0:v>
      </ns0:c>
      <ns0:c r="P332" t="str" s="33">
        <ns0:v>Штыревой; 12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2" s="33"/>
      <ns0:c r="R332" t="str" s="34">
        <ns0:f>D332</ns0:f>
        <ns0:v>JST XH, 1x12, 2,5 мм</ns0:v>
      </ns0:c>
      <ns0:c r="S332" t="str" s="34">
        <ns0:f>K332</ns0:f>
        <ns0:v>Разъём JST XH, 1x12, 2,5 мм S12B-XH-A-1</ns0:v>
      </ns0:c>
      <ns0:c r="T332" t="str" s="33">
        <ns0:v>C:\Users\Nomatin\Documents\Altium\MY_LIB\MY_LIB\Datasheets\JST_XH.pdf</ns0:v>
      </ns0:c>
      <ns0:c r="U332" s="33"/>
      <ns0:c r="V332" t="str" s="33">
        <ns0:v>Даташит — локальный</ns0:v>
      </ns0:c>
      <ns0:c r="W332" t="str" s="33">
        <ns0:v>C:\Users\Nomatin\Documents\Altium\MY_LIB\MY_LIB\Datasheets\JST_XH.pdf</ns0:v>
      </ns0:c>
      <ns0:c r="X332" t="str" s="33">
        <ns0:v>Даташит — производитель</ns0:v>
      </ns0:c>
      <ns0:c r="Y332" t="str" s="33">
        <ns0:v>https://www.jst-mfg.com/product/pdf/eng/eXH.pdf</ns0:v>
      </ns0:c>
      <ns0:c r="Z332" t="str" s="33">
        <ns0:v>C:\Users\Nomatin\Documents\Altium\MY_LIB\MY_LIB\Datasheets\JST_XH.pdf</ns0:v>
      </ns0:c>
    </ns0:row>
    <ns0:row xmlns:ns0="http://schemas.openxmlformats.org/spreadsheetml/2006/main" r="333">
      <ns0:c r="A333" t="str" s="33">
        <ns0:v>XP0252</ns0:v>
      </ns0:c>
      <ns0:c r="B333" t="str" s="33">
        <ns0:v>Разъём</ns0:v>
      </ns0:c>
      <ns0:c r="C333" t="str" s="33">
        <ns0:v>JST XH, 1x12, 2,5 мм</ns0:v>
      </ns0:c>
      <ns0:c r="D333" t="str" s="34">
        <ns0:f>C333</ns0:f>
        <ns0:v>JST XH, 1x12, 2,5 мм</ns0:v>
      </ns0:c>
      <ns0:c r="E333" s="33"/>
      <ns0:c r="F333" s="33"/>
      <ns0:c r="G333" s="33"/>
      <ns0:c r="H333" t="str" s="35">
        <ns0:v>1x12, P2,5, THT, угловой</ns0:v>
      </ns0:c>
      <ns0:c r="I333" t="str" s="33">
        <ns0:v>JST</ns0:v>
      </ns0:c>
      <ns0:c r="J333" t="str" s="33">
        <ns0:v>S12B-XH-A</ns0:v>
      </ns0:c>
      <ns0:c r="K333" t="str" s="34">
        <ns0:f>B333&amp;" "&amp;D333&amp;" "&amp;J333</ns0:f>
        <ns0:v>Разъём JST XH, 1x12, 2,5 мм S12B-XH-A</ns0:v>
      </ns0:c>
      <ns0:c r="L333" t="str" s="36">
        <ns0:v>XP_12</ns0:v>
      </ns0:c>
      <ns0:c r="M333" t="str" s="36">
        <ns0:v>Symbols\MY_LIB_Connectors.SchLib</ns0:v>
      </ns0:c>
      <ns0:c r="N333" t="str" s="36">
        <ns0:v>JST_XH_S12B-XH-A</ns0:v>
      </ns0:c>
      <ns0:c r="O333" t="str" s="36">
        <ns0:v>Footprints\MY_LIB_Connectors.PcbLib</ns0:v>
      </ns0:c>
      <ns0:c r="P333" t="str" s="33">
        <ns0:v>Штыревой; 12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3" s="33"/>
      <ns0:c r="R333" t="str" s="34">
        <ns0:f>D333</ns0:f>
        <ns0:v>JST XH, 1x12, 2,5 мм</ns0:v>
      </ns0:c>
      <ns0:c r="S333" t="str" s="34">
        <ns0:f>K333</ns0:f>
        <ns0:v>Разъём JST XH, 1x12, 2,5 мм S12B-XH-A</ns0:v>
      </ns0:c>
      <ns0:c r="T333" t="str" s="33">
        <ns0:v>C:\Users\Nomatin\Documents\Altium\MY_LIB\MY_LIB\Datasheets\JST_XH.pdf</ns0:v>
      </ns0:c>
      <ns0:c r="U333" s="33"/>
      <ns0:c r="V333" t="str" s="33">
        <ns0:v>Даташит — локальный</ns0:v>
      </ns0:c>
      <ns0:c r="W333" t="str" s="33">
        <ns0:v>C:\Users\Nomatin\Documents\Altium\MY_LIB\MY_LIB\Datasheets\JST_XH.pdf</ns0:v>
      </ns0:c>
      <ns0:c r="X333" t="str" s="33">
        <ns0:v>Даташит — производитель</ns0:v>
      </ns0:c>
      <ns0:c r="Y333" t="str" s="33">
        <ns0:v>https://www.jst-mfg.com/product/pdf/eng/eXH.pdf</ns0:v>
      </ns0:c>
      <ns0:c r="Z333" t="str" s="33">
        <ns0:v>C:\Users\Nomatin\Documents\Altium\MY_LIB\MY_LIB\Datasheets\JST_XH.pdf</ns0:v>
      </ns0:c>
    </ns0:row>
    <ns0:row xmlns:ns0="http://schemas.openxmlformats.org/spreadsheetml/2006/main" r="334">
      <ns0:c r="A334" t="str" s="33">
        <ns0:v>XP0253</ns0:v>
      </ns0:c>
      <ns0:c r="B334" t="str" s="33">
        <ns0:v>Разъём</ns0:v>
      </ns0:c>
      <ns0:c r="C334" t="str" s="33">
        <ns0:v>JST XH, 1x13, 2,5 мм</ns0:v>
      </ns0:c>
      <ns0:c r="D334" t="str" s="34">
        <ns0:f>C334</ns0:f>
        <ns0:v>JST XH, 1x13, 2,5 мм</ns0:v>
      </ns0:c>
      <ns0:c r="E334" s="33"/>
      <ns0:c r="F334" s="33"/>
      <ns0:c r="G334" s="33"/>
      <ns0:c r="H334" t="str" s="35">
        <ns0:v>1x13, P2,5, THT, угловой</ns0:v>
      </ns0:c>
      <ns0:c r="I334" t="str" s="33">
        <ns0:v>JST</ns0:v>
      </ns0:c>
      <ns0:c r="J334" t="str" s="33">
        <ns0:v>S13B-XH-A-1</ns0:v>
      </ns0:c>
      <ns0:c r="K334" t="str" s="34">
        <ns0:f>B334&amp;" "&amp;D334&amp;" "&amp;J334</ns0:f>
        <ns0:v>Разъём JST XH, 1x13, 2,5 мм S13B-XH-A-1</ns0:v>
      </ns0:c>
      <ns0:c r="L334" t="str" s="36">
        <ns0:v>XP_13</ns0:v>
      </ns0:c>
      <ns0:c r="M334" t="str" s="36">
        <ns0:v>Symbols\MY_LIB_Connectors.SchLib</ns0:v>
      </ns0:c>
      <ns0:c r="N334" t="str" s="36">
        <ns0:v>JST_XH_S13B-XH-A-1</ns0:v>
      </ns0:c>
      <ns0:c r="O334" t="str" s="36">
        <ns0:v>Footprints\MY_LIB_Connectors.PcbLib</ns0:v>
      </ns0:c>
      <ns0:c r="P334" t="str" s="33">
        <ns0:v>Штыревой; 13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4" s="33"/>
      <ns0:c r="R334" t="str" s="34">
        <ns0:f>D334</ns0:f>
        <ns0:v>JST XH, 1x13, 2,5 мм</ns0:v>
      </ns0:c>
      <ns0:c r="S334" t="str" s="34">
        <ns0:f>K334</ns0:f>
        <ns0:v>Разъём JST XH, 1x13, 2,5 мм S13B-XH-A-1</ns0:v>
      </ns0:c>
      <ns0:c r="T334" t="str" s="33">
        <ns0:v>C:\Users\Nomatin\Documents\Altium\MY_LIB\MY_LIB\Datasheets\JST_XH.pdf</ns0:v>
      </ns0:c>
      <ns0:c r="U334" s="33"/>
      <ns0:c r="V334" t="str" s="33">
        <ns0:v>Даташит — локальный</ns0:v>
      </ns0:c>
      <ns0:c r="W334" t="str" s="33">
        <ns0:v>C:\Users\Nomatin\Documents\Altium\MY_LIB\MY_LIB\Datasheets\JST_XH.pdf</ns0:v>
      </ns0:c>
      <ns0:c r="X334" t="str" s="33">
        <ns0:v>Даташит — производитель</ns0:v>
      </ns0:c>
      <ns0:c r="Y334" t="str" s="33">
        <ns0:v>https://www.jst-mfg.com/product/pdf/eng/eXH.pdf</ns0:v>
      </ns0:c>
      <ns0:c r="Z334" t="str" s="33">
        <ns0:v>C:\Users\Nomatin\Documents\Altium\MY_LIB\MY_LIB\Datasheets\JST_XH.pdf</ns0:v>
      </ns0:c>
    </ns0:row>
    <ns0:row xmlns:ns0="http://schemas.openxmlformats.org/spreadsheetml/2006/main" r="335">
      <ns0:c r="A335" t="str" s="33">
        <ns0:v>XP0254</ns0:v>
      </ns0:c>
      <ns0:c r="B335" t="str" s="33">
        <ns0:v>Разъём</ns0:v>
      </ns0:c>
      <ns0:c r="C335" t="str" s="33">
        <ns0:v>JST XH, 1x13, 2,5 мм</ns0:v>
      </ns0:c>
      <ns0:c r="D335" t="str" s="34">
        <ns0:f>C335</ns0:f>
        <ns0:v>JST XH, 1x13, 2,5 мм</ns0:v>
      </ns0:c>
      <ns0:c r="E335" s="33"/>
      <ns0:c r="F335" s="33"/>
      <ns0:c r="G335" s="33"/>
      <ns0:c r="H335" t="str" s="35">
        <ns0:v>1x13, P2,5, THT, угловой</ns0:v>
      </ns0:c>
      <ns0:c r="I335" t="str" s="33">
        <ns0:v>JST</ns0:v>
      </ns0:c>
      <ns0:c r="J335" t="str" s="33">
        <ns0:v>S13B-XH-A</ns0:v>
      </ns0:c>
      <ns0:c r="K335" t="str" s="34">
        <ns0:f>B335&amp;" "&amp;D335&amp;" "&amp;J335</ns0:f>
        <ns0:v>Разъём JST XH, 1x13, 2,5 мм S13B-XH-A</ns0:v>
      </ns0:c>
      <ns0:c r="L335" t="str" s="36">
        <ns0:v>XP_13</ns0:v>
      </ns0:c>
      <ns0:c r="M335" t="str" s="36">
        <ns0:v>Symbols\MY_LIB_Connectors.SchLib</ns0:v>
      </ns0:c>
      <ns0:c r="N335" t="str" s="36">
        <ns0:v>JST_XH_S13B-XH-A</ns0:v>
      </ns0:c>
      <ns0:c r="O335" t="str" s="36">
        <ns0:v>Footprints\MY_LIB_Connectors.PcbLib</ns0:v>
      </ns0:c>
      <ns0:c r="P335" t="str" s="33">
        <ns0:v>Штыревой; 13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5" s="33"/>
      <ns0:c r="R335" t="str" s="34">
        <ns0:f>D335</ns0:f>
        <ns0:v>JST XH, 1x13, 2,5 мм</ns0:v>
      </ns0:c>
      <ns0:c r="S335" t="str" s="34">
        <ns0:f>K335</ns0:f>
        <ns0:v>Разъём JST XH, 1x13, 2,5 мм S13B-XH-A</ns0:v>
      </ns0:c>
      <ns0:c r="T335" t="str" s="33">
        <ns0:v>C:\Users\Nomatin\Documents\Altium\MY_LIB\MY_LIB\Datasheets\JST_XH.pdf</ns0:v>
      </ns0:c>
      <ns0:c r="U335" s="33"/>
      <ns0:c r="V335" t="str" s="33">
        <ns0:v>Даташит — локальный</ns0:v>
      </ns0:c>
      <ns0:c r="W335" t="str" s="33">
        <ns0:v>C:\Users\Nomatin\Documents\Altium\MY_LIB\MY_LIB\Datasheets\JST_XH.pdf</ns0:v>
      </ns0:c>
      <ns0:c r="X335" t="str" s="33">
        <ns0:v>Даташит — производитель</ns0:v>
      </ns0:c>
      <ns0:c r="Y335" t="str" s="33">
        <ns0:v>https://www.jst-mfg.com/product/pdf/eng/eXH.pdf</ns0:v>
      </ns0:c>
      <ns0:c r="Z335" t="str" s="33">
        <ns0:v>C:\Users\Nomatin\Documents\Altium\MY_LIB\MY_LIB\Datasheets\JST_XH.pdf</ns0:v>
      </ns0:c>
    </ns0:row>
    <ns0:row xmlns:ns0="http://schemas.openxmlformats.org/spreadsheetml/2006/main" r="336">
      <ns0:c r="A336" t="str" s="33">
        <ns0:v>XP0255</ns0:v>
      </ns0:c>
      <ns0:c r="B336" t="str" s="33">
        <ns0:v>Разъём</ns0:v>
      </ns0:c>
      <ns0:c r="C336" t="str" s="33">
        <ns0:v>JST XH, 1x14, 2,5 мм</ns0:v>
      </ns0:c>
      <ns0:c r="D336" t="str" s="34">
        <ns0:f>C336</ns0:f>
        <ns0:v>JST XH, 1x14, 2,5 мм</ns0:v>
      </ns0:c>
      <ns0:c r="E336" s="33"/>
      <ns0:c r="F336" s="33"/>
      <ns0:c r="G336" s="33"/>
      <ns0:c r="H336" t="str" s="35">
        <ns0:v>1x14, P2,5, THT, угловой</ns0:v>
      </ns0:c>
      <ns0:c r="I336" t="str" s="33">
        <ns0:v>JST</ns0:v>
      </ns0:c>
      <ns0:c r="J336" t="str" s="33">
        <ns0:v>S14B-XH-A-1</ns0:v>
      </ns0:c>
      <ns0:c r="K336" t="str" s="34">
        <ns0:f>B336&amp;" "&amp;D336&amp;" "&amp;J336</ns0:f>
        <ns0:v>Разъём JST XH, 1x14, 2,5 мм S14B-XH-A-1</ns0:v>
      </ns0:c>
      <ns0:c r="L336" t="str" s="36">
        <ns0:v>XP_14</ns0:v>
      </ns0:c>
      <ns0:c r="M336" t="str" s="36">
        <ns0:v>Symbols\MY_LIB_Connectors.SchLib</ns0:v>
      </ns0:c>
      <ns0:c r="N336" t="str" s="36">
        <ns0:v>JST_XH_S14B-XH-A-1</ns0:v>
      </ns0:c>
      <ns0:c r="O336" t="str" s="36">
        <ns0:v>Footprints\MY_LIB_Connectors.PcbLib</ns0:v>
      </ns0:c>
      <ns0:c r="P336" t="str" s="33">
        <ns0:v>Штыревой; 14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6" s="33"/>
      <ns0:c r="R336" t="str" s="34">
        <ns0:f>D336</ns0:f>
        <ns0:v>JST XH, 1x14, 2,5 мм</ns0:v>
      </ns0:c>
      <ns0:c r="S336" t="str" s="34">
        <ns0:f>K336</ns0:f>
        <ns0:v>Разъём JST XH, 1x14, 2,5 мм S14B-XH-A-1</ns0:v>
      </ns0:c>
      <ns0:c r="T336" t="str" s="33">
        <ns0:v>C:\Users\Nomatin\Documents\Altium\MY_LIB\MY_LIB\Datasheets\JST_XH.pdf</ns0:v>
      </ns0:c>
      <ns0:c r="U336" s="33"/>
      <ns0:c r="V336" t="str" s="33">
        <ns0:v>Даташит — локальный</ns0:v>
      </ns0:c>
      <ns0:c r="W336" t="str" s="33">
        <ns0:v>C:\Users\Nomatin\Documents\Altium\MY_LIB\MY_LIB\Datasheets\JST_XH.pdf</ns0:v>
      </ns0:c>
      <ns0:c r="X336" t="str" s="33">
        <ns0:v>Даташит — производитель</ns0:v>
      </ns0:c>
      <ns0:c r="Y336" t="str" s="33">
        <ns0:v>https://www.jst-mfg.com/product/pdf/eng/eXH.pdf</ns0:v>
      </ns0:c>
      <ns0:c r="Z336" t="str" s="33">
        <ns0:v>C:\Users\Nomatin\Documents\Altium\MY_LIB\MY_LIB\Datasheets\JST_XH.pdf</ns0:v>
      </ns0:c>
    </ns0:row>
    <ns0:row xmlns:ns0="http://schemas.openxmlformats.org/spreadsheetml/2006/main" r="337">
      <ns0:c r="A337" t="str" s="33">
        <ns0:v>XP0256</ns0:v>
      </ns0:c>
      <ns0:c r="B337" t="str" s="33">
        <ns0:v>Разъём</ns0:v>
      </ns0:c>
      <ns0:c r="C337" t="str" s="33">
        <ns0:v>JST XH, 1x14, 2,5 мм</ns0:v>
      </ns0:c>
      <ns0:c r="D337" t="str" s="34">
        <ns0:f>C337</ns0:f>
        <ns0:v>JST XH, 1x14, 2,5 мм</ns0:v>
      </ns0:c>
      <ns0:c r="E337" s="33"/>
      <ns0:c r="F337" s="33"/>
      <ns0:c r="G337" s="33"/>
      <ns0:c r="H337" t="str" s="35">
        <ns0:v>1x14, P2,5, THT, угловой</ns0:v>
      </ns0:c>
      <ns0:c r="I337" t="str" s="33">
        <ns0:v>JST</ns0:v>
      </ns0:c>
      <ns0:c r="J337" t="str" s="33">
        <ns0:v>S14B-XH-A</ns0:v>
      </ns0:c>
      <ns0:c r="K337" t="str" s="34">
        <ns0:f>B337&amp;" "&amp;D337&amp;" "&amp;J337</ns0:f>
        <ns0:v>Разъём JST XH, 1x14, 2,5 мм S14B-XH-A</ns0:v>
      </ns0:c>
      <ns0:c r="L337" t="str" s="36">
        <ns0:v>XP_14</ns0:v>
      </ns0:c>
      <ns0:c r="M337" t="str" s="36">
        <ns0:v>Symbols\MY_LIB_Connectors.SchLib</ns0:v>
      </ns0:c>
      <ns0:c r="N337" t="str" s="36">
        <ns0:v>JST_XH_S14B-XH-A</ns0:v>
      </ns0:c>
      <ns0:c r="O337" t="str" s="36">
        <ns0:v>Footprints\MY_LIB_Connectors.PcbLib</ns0:v>
      </ns0:c>
      <ns0:c r="P337" t="str" s="33">
        <ns0:v>Штыревой; 14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7" s="33"/>
      <ns0:c r="R337" t="str" s="34">
        <ns0:f>D337</ns0:f>
        <ns0:v>JST XH, 1x14, 2,5 мм</ns0:v>
      </ns0:c>
      <ns0:c r="S337" t="str" s="34">
        <ns0:f>K337</ns0:f>
        <ns0:v>Разъём JST XH, 1x14, 2,5 мм S14B-XH-A</ns0:v>
      </ns0:c>
      <ns0:c r="T337" t="str" s="33">
        <ns0:v>C:\Users\Nomatin\Documents\Altium\MY_LIB\MY_LIB\Datasheets\JST_XH.pdf</ns0:v>
      </ns0:c>
      <ns0:c r="U337" s="33"/>
      <ns0:c r="V337" t="str" s="33">
        <ns0:v>Даташит — локальный</ns0:v>
      </ns0:c>
      <ns0:c r="W337" t="str" s="33">
        <ns0:v>C:\Users\Nomatin\Documents\Altium\MY_LIB\MY_LIB\Datasheets\JST_XH.pdf</ns0:v>
      </ns0:c>
      <ns0:c r="X337" t="str" s="33">
        <ns0:v>Даташит — производитель</ns0:v>
      </ns0:c>
      <ns0:c r="Y337" t="str" s="33">
        <ns0:v>https://www.jst-mfg.com/product/pdf/eng/eXH.pdf</ns0:v>
      </ns0:c>
      <ns0:c r="Z337" t="str" s="33">
        <ns0:v>C:\Users\Nomatin\Documents\Altium\MY_LIB\MY_LIB\Datasheets\JST_XH.pdf</ns0:v>
      </ns0:c>
    </ns0:row>
    <ns0:row xmlns:ns0="http://schemas.openxmlformats.org/spreadsheetml/2006/main" r="338">
      <ns0:c r="A338" t="str" s="33">
        <ns0:v>XP0257</ns0:v>
      </ns0:c>
      <ns0:c r="B338" t="str" s="33">
        <ns0:v>Разъём</ns0:v>
      </ns0:c>
      <ns0:c r="C338" t="str" s="33">
        <ns0:v>JST XH, 1x15, 2,5 мм</ns0:v>
      </ns0:c>
      <ns0:c r="D338" t="str" s="34">
        <ns0:f>C338</ns0:f>
        <ns0:v>JST XH, 1x15, 2,5 мм</ns0:v>
      </ns0:c>
      <ns0:c r="E338" s="33"/>
      <ns0:c r="F338" s="33"/>
      <ns0:c r="G338" s="33"/>
      <ns0:c r="H338" t="str" s="35">
        <ns0:v>1x15, P2,5, THT, угловой</ns0:v>
      </ns0:c>
      <ns0:c r="I338" t="str" s="33">
        <ns0:v>JST</ns0:v>
      </ns0:c>
      <ns0:c r="J338" t="str" s="33">
        <ns0:v>S15B-XH-A-1</ns0:v>
      </ns0:c>
      <ns0:c r="K338" t="str" s="34">
        <ns0:f>B338&amp;" "&amp;D338&amp;" "&amp;J338</ns0:f>
        <ns0:v>Разъём JST XH, 1x15, 2,5 мм S15B-XH-A-1</ns0:v>
      </ns0:c>
      <ns0:c r="L338" t="str" s="36">
        <ns0:v>XP_15</ns0:v>
      </ns0:c>
      <ns0:c r="M338" t="str" s="36">
        <ns0:v>Symbols\MY_LIB_Connectors.SchLib</ns0:v>
      </ns0:c>
      <ns0:c r="N338" t="str" s="36">
        <ns0:v>JST_XH_S15B-XH-A-1</ns0:v>
      </ns0:c>
      <ns0:c r="O338" t="str" s="36">
        <ns0:v>Footprints\MY_LIB_Connectors.PcbLib</ns0:v>
      </ns0:c>
      <ns0:c r="P338" t="str" s="33">
        <ns0:v>Штыревой; 15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8" s="33"/>
      <ns0:c r="R338" t="str" s="34">
        <ns0:f>D338</ns0:f>
        <ns0:v>JST XH, 1x15, 2,5 мм</ns0:v>
      </ns0:c>
      <ns0:c r="S338" t="str" s="34">
        <ns0:f>K338</ns0:f>
        <ns0:v>Разъём JST XH, 1x15, 2,5 мм S15B-XH-A-1</ns0:v>
      </ns0:c>
      <ns0:c r="T338" t="str" s="33">
        <ns0:v>C:\Users\Nomatin\Documents\Altium\MY_LIB\MY_LIB\Datasheets\JST_XH.pdf</ns0:v>
      </ns0:c>
      <ns0:c r="U338" s="33"/>
      <ns0:c r="V338" t="str" s="33">
        <ns0:v>Даташит — локальный</ns0:v>
      </ns0:c>
      <ns0:c r="W338" t="str" s="33">
        <ns0:v>C:\Users\Nomatin\Documents\Altium\MY_LIB\MY_LIB\Datasheets\JST_XH.pdf</ns0:v>
      </ns0:c>
      <ns0:c r="X338" t="str" s="33">
        <ns0:v>Даташит — производитель</ns0:v>
      </ns0:c>
      <ns0:c r="Y338" t="str" s="33">
        <ns0:v>https://www.jst-mfg.com/product/pdf/eng/eXH.pdf</ns0:v>
      </ns0:c>
      <ns0:c r="Z338" t="str" s="33">
        <ns0:v>C:\Users\Nomatin\Documents\Altium\MY_LIB\MY_LIB\Datasheets\JST_XH.pdf</ns0:v>
      </ns0:c>
    </ns0:row>
    <ns0:row xmlns:ns0="http://schemas.openxmlformats.org/spreadsheetml/2006/main" r="339">
      <ns0:c r="A339" t="str" s="33">
        <ns0:v>XP0258</ns0:v>
      </ns0:c>
      <ns0:c r="B339" t="str" s="33">
        <ns0:v>Разъём</ns0:v>
      </ns0:c>
      <ns0:c r="C339" t="str" s="33">
        <ns0:v>JST XH, 1x15, 2,5 мм</ns0:v>
      </ns0:c>
      <ns0:c r="D339" t="str" s="34">
        <ns0:f>C339</ns0:f>
        <ns0:v>JST XH, 1x15, 2,5 мм</ns0:v>
      </ns0:c>
      <ns0:c r="E339" s="33"/>
      <ns0:c r="F339" s="33"/>
      <ns0:c r="G339" s="33"/>
      <ns0:c r="H339" t="str" s="35">
        <ns0:v>1x15, P2,5, THT, угловой</ns0:v>
      </ns0:c>
      <ns0:c r="I339" t="str" s="33">
        <ns0:v>JST</ns0:v>
      </ns0:c>
      <ns0:c r="J339" t="str" s="33">
        <ns0:v>S15B-XH-A</ns0:v>
      </ns0:c>
      <ns0:c r="K339" t="str" s="34">
        <ns0:f>B339&amp;" "&amp;D339&amp;" "&amp;J339</ns0:f>
        <ns0:v>Разъём JST XH, 1x15, 2,5 мм S15B-XH-A</ns0:v>
      </ns0:c>
      <ns0:c r="L339" t="str" s="36">
        <ns0:v>XP_15</ns0:v>
      </ns0:c>
      <ns0:c r="M339" t="str" s="36">
        <ns0:v>Symbols\MY_LIB_Connectors.SchLib</ns0:v>
      </ns0:c>
      <ns0:c r="N339" t="str" s="36">
        <ns0:v>JST_XH_S15B-XH-A</ns0:v>
      </ns0:c>
      <ns0:c r="O339" t="str" s="36">
        <ns0:v>Footprints\MY_LIB_Connectors.PcbLib</ns0:v>
      </ns0:c>
      <ns0:c r="P339" t="str" s="33">
        <ns0:v>Штыревой; 15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39" s="33"/>
      <ns0:c r="R339" t="str" s="34">
        <ns0:f>D339</ns0:f>
        <ns0:v>JST XH, 1x15, 2,5 мм</ns0:v>
      </ns0:c>
      <ns0:c r="S339" t="str" s="34">
        <ns0:f>K339</ns0:f>
        <ns0:v>Разъём JST XH, 1x15, 2,5 мм S15B-XH-A</ns0:v>
      </ns0:c>
      <ns0:c r="T339" t="str" s="33">
        <ns0:v>C:\Users\Nomatin\Documents\Altium\MY_LIB\MY_LIB\Datasheets\JST_XH.pdf</ns0:v>
      </ns0:c>
      <ns0:c r="U339" s="33"/>
      <ns0:c r="V339" t="str" s="33">
        <ns0:v>Даташит — локальный</ns0:v>
      </ns0:c>
      <ns0:c r="W339" t="str" s="33">
        <ns0:v>C:\Users\Nomatin\Documents\Altium\MY_LIB\MY_LIB\Datasheets\JST_XH.pdf</ns0:v>
      </ns0:c>
      <ns0:c r="X339" t="str" s="33">
        <ns0:v>Даташит — производитель</ns0:v>
      </ns0:c>
      <ns0:c r="Y339" t="str" s="33">
        <ns0:v>https://www.jst-mfg.com/product/pdf/eng/eXH.pdf</ns0:v>
      </ns0:c>
      <ns0:c r="Z339" t="str" s="33">
        <ns0:v>C:\Users\Nomatin\Documents\Altium\MY_LIB\MY_LIB\Datasheets\JST_XH.pdf</ns0:v>
      </ns0:c>
    </ns0:row>
    <ns0:row xmlns:ns0="http://schemas.openxmlformats.org/spreadsheetml/2006/main" r="340">
      <ns0:c r="A340" t="str" s="33">
        <ns0:v>XP0259</ns0:v>
      </ns0:c>
      <ns0:c r="B340" t="str" s="33">
        <ns0:v>Разъём</ns0:v>
      </ns0:c>
      <ns0:c r="C340" t="str" s="33">
        <ns0:v>JST XH, 1x16, 2,5 мм</ns0:v>
      </ns0:c>
      <ns0:c r="D340" t="str" s="34">
        <ns0:f>C340</ns0:f>
        <ns0:v>JST XH, 1x16, 2,5 мм</ns0:v>
      </ns0:c>
      <ns0:c r="E340" s="33"/>
      <ns0:c r="F340" s="33"/>
      <ns0:c r="G340" s="33"/>
      <ns0:c r="H340" t="str" s="35">
        <ns0:v>1x16, P2,5, THT, угловой</ns0:v>
      </ns0:c>
      <ns0:c r="I340" t="str" s="33">
        <ns0:v>JST</ns0:v>
      </ns0:c>
      <ns0:c r="J340" t="str" s="33">
        <ns0:v>S16B-XH-A</ns0:v>
      </ns0:c>
      <ns0:c r="K340" t="str" s="34">
        <ns0:f>B340&amp;" "&amp;D340&amp;" "&amp;J340</ns0:f>
        <ns0:v>Разъём JST XH, 1x16, 2,5 мм S16B-XH-A</ns0:v>
      </ns0:c>
      <ns0:c r="L340" t="str" s="36">
        <ns0:v>XP_16</ns0:v>
      </ns0:c>
      <ns0:c r="M340" t="str" s="36">
        <ns0:v>Symbols\MY_LIB_Connectors.SchLib</ns0:v>
      </ns0:c>
      <ns0:c r="N340" t="str" s="36">
        <ns0:v>JST_XH_S16B-XH-A</ns0:v>
      </ns0:c>
      <ns0:c r="O340" t="str" s="36">
        <ns0:v>Footprints\MY_LIB_Connectors.PcbLib</ns0:v>
      </ns0:c>
      <ns0:c r="P340" t="str" s="33">
        <ns0:v>Штыревой; 16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0" s="33"/>
      <ns0:c r="R340" t="str" s="34">
        <ns0:f>D340</ns0:f>
        <ns0:v>JST XH, 1x16, 2,5 мм</ns0:v>
      </ns0:c>
      <ns0:c r="S340" t="str" s="34">
        <ns0:f>K340</ns0:f>
        <ns0:v>Разъём JST XH, 1x16, 2,5 мм S16B-XH-A</ns0:v>
      </ns0:c>
      <ns0:c r="T340" t="str" s="33">
        <ns0:v>C:\Users\Nomatin\Documents\Altium\MY_LIB\MY_LIB\Datasheets\JST_XH.pdf</ns0:v>
      </ns0:c>
      <ns0:c r="U340" s="33"/>
      <ns0:c r="V340" t="str" s="33">
        <ns0:v>Даташит — локальный</ns0:v>
      </ns0:c>
      <ns0:c r="W340" t="str" s="33">
        <ns0:v>C:\Users\Nomatin\Documents\Altium\MY_LIB\MY_LIB\Datasheets\JST_XH.pdf</ns0:v>
      </ns0:c>
      <ns0:c r="X340" t="str" s="33">
        <ns0:v>Даташит — производитель</ns0:v>
      </ns0:c>
      <ns0:c r="Y340" t="str" s="33">
        <ns0:v>https://www.jst-mfg.com/product/pdf/eng/eXH.pdf</ns0:v>
      </ns0:c>
      <ns0:c r="Z340" t="str" s="33">
        <ns0:v>C:\Users\Nomatin\Documents\Altium\MY_LIB\MY_LIB\Datasheets\JST_XH.pdf</ns0:v>
      </ns0:c>
    </ns0:row>
    <ns0:row xmlns:ns0="http://schemas.openxmlformats.org/spreadsheetml/2006/main" r="341">
      <ns0:c r="A341" t="str" s="33">
        <ns0:v>XP0260</ns0:v>
      </ns0:c>
      <ns0:c r="B341" t="str" s="33">
        <ns0:v>Разъём</ns0:v>
      </ns0:c>
      <ns0:c r="C341" t="str" s="33">
        <ns0:v>JST XH, 1x02, 2,5 мм</ns0:v>
      </ns0:c>
      <ns0:c r="D341" t="str" s="34">
        <ns0:f>C341</ns0:f>
        <ns0:v>JST XH, 1x02, 2,5 мм</ns0:v>
      </ns0:c>
      <ns0:c r="E341" s="33"/>
      <ns0:c r="F341" s="33"/>
      <ns0:c r="G341" s="33"/>
      <ns0:c r="H341" t="str" s="35">
        <ns0:v>1x02, P2,5, THT, угловой</ns0:v>
      </ns0:c>
      <ns0:c r="I341" t="str" s="33">
        <ns0:v>JST</ns0:v>
      </ns0:c>
      <ns0:c r="J341" t="str" s="33">
        <ns0:v>S2B-XH-A-1</ns0:v>
      </ns0:c>
      <ns0:c r="K341" t="str" s="34">
        <ns0:f>B341&amp;" "&amp;D341&amp;" "&amp;J341</ns0:f>
        <ns0:v>Разъём JST XH, 1x02, 2,5 мм S2B-XH-A-1</ns0:v>
      </ns0:c>
      <ns0:c r="L341" t="str" s="36">
        <ns0:v>XP_2</ns0:v>
      </ns0:c>
      <ns0:c r="M341" t="str" s="36">
        <ns0:v>Symbols\MY_LIB_Connectors.SchLib</ns0:v>
      </ns0:c>
      <ns0:c r="N341" t="str" s="36">
        <ns0:v>JST_XH_S2B-XH-A-1</ns0:v>
      </ns0:c>
      <ns0:c r="O341" t="str" s="36">
        <ns0:v>Footprints\MY_LIB_Connectors.PcbLib</ns0:v>
      </ns0:c>
      <ns0:c r="P341" t="str" s="33">
        <ns0:v>Штыревой; 2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1" s="33"/>
      <ns0:c r="R341" t="str" s="34">
        <ns0:f>D341</ns0:f>
        <ns0:v>JST XH, 1x02, 2,5 мм</ns0:v>
      </ns0:c>
      <ns0:c r="S341" t="str" s="34">
        <ns0:f>K341</ns0:f>
        <ns0:v>Разъём JST XH, 1x02, 2,5 мм S2B-XH-A-1</ns0:v>
      </ns0:c>
      <ns0:c r="T341" t="str" s="33">
        <ns0:v>C:\Users\Nomatin\Documents\Altium\MY_LIB\MY_LIB\Datasheets\JST_XH.pdf</ns0:v>
      </ns0:c>
      <ns0:c r="U341" s="33"/>
      <ns0:c r="V341" t="str" s="33">
        <ns0:v>Даташит — локальный</ns0:v>
      </ns0:c>
      <ns0:c r="W341" t="str" s="33">
        <ns0:v>C:\Users\Nomatin\Documents\Altium\MY_LIB\MY_LIB\Datasheets\JST_XH.pdf</ns0:v>
      </ns0:c>
      <ns0:c r="X341" t="str" s="33">
        <ns0:v>Даташит — производитель</ns0:v>
      </ns0:c>
      <ns0:c r="Y341" t="str" s="33">
        <ns0:v>https://www.jst-mfg.com/product/pdf/eng/eXH.pdf</ns0:v>
      </ns0:c>
      <ns0:c r="Z341" t="str" s="33">
        <ns0:v>C:\Users\Nomatin\Documents\Altium\MY_LIB\MY_LIB\Datasheets\JST_XH.pdf</ns0:v>
      </ns0:c>
    </ns0:row>
    <ns0:row xmlns:ns0="http://schemas.openxmlformats.org/spreadsheetml/2006/main" r="342">
      <ns0:c r="A342" t="str" s="33">
        <ns0:v>XP0261</ns0:v>
      </ns0:c>
      <ns0:c r="B342" t="str" s="33">
        <ns0:v>Разъём</ns0:v>
      </ns0:c>
      <ns0:c r="C342" t="str" s="33">
        <ns0:v>JST XH, 1x02, 2,5 мм</ns0:v>
      </ns0:c>
      <ns0:c r="D342" t="str" s="34">
        <ns0:f>C342</ns0:f>
        <ns0:v>JST XH, 1x02, 2,5 мм</ns0:v>
      </ns0:c>
      <ns0:c r="E342" s="33"/>
      <ns0:c r="F342" s="33"/>
      <ns0:c r="G342" s="33"/>
      <ns0:c r="H342" t="str" s="35">
        <ns0:v>1x02, P2,5, THT, угловой</ns0:v>
      </ns0:c>
      <ns0:c r="I342" t="str" s="33">
        <ns0:v>JST</ns0:v>
      </ns0:c>
      <ns0:c r="J342" t="str" s="33">
        <ns0:v>S2B-XH-A</ns0:v>
      </ns0:c>
      <ns0:c r="K342" t="str" s="34">
        <ns0:f>B342&amp;" "&amp;D342&amp;" "&amp;J342</ns0:f>
        <ns0:v>Разъём JST XH, 1x02, 2,5 мм S2B-XH-A</ns0:v>
      </ns0:c>
      <ns0:c r="L342" t="str" s="36">
        <ns0:v>XP_2</ns0:v>
      </ns0:c>
      <ns0:c r="M342" t="str" s="36">
        <ns0:v>Symbols\MY_LIB_Connectors.SchLib</ns0:v>
      </ns0:c>
      <ns0:c r="N342" t="str" s="36">
        <ns0:v>JST_XH_S2B-XH-A</ns0:v>
      </ns0:c>
      <ns0:c r="O342" t="str" s="36">
        <ns0:v>Footprints\MY_LIB_Connectors.PcbLib</ns0:v>
      </ns0:c>
      <ns0:c r="P342" t="str" s="33">
        <ns0:v>Штыревой; 2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2" s="33"/>
      <ns0:c r="R342" t="str" s="34">
        <ns0:f>D342</ns0:f>
        <ns0:v>JST XH, 1x02, 2,5 мм</ns0:v>
      </ns0:c>
      <ns0:c r="S342" t="str" s="34">
        <ns0:f>K342</ns0:f>
        <ns0:v>Разъём JST XH, 1x02, 2,5 мм S2B-XH-A</ns0:v>
      </ns0:c>
      <ns0:c r="T342" t="str" s="33">
        <ns0:v>C:\Users\Nomatin\Documents\Altium\MY_LIB\MY_LIB\Datasheets\JST_XH.pdf</ns0:v>
      </ns0:c>
      <ns0:c r="U342" s="33"/>
      <ns0:c r="V342" t="str" s="33">
        <ns0:v>Даташит — локальный</ns0:v>
      </ns0:c>
      <ns0:c r="W342" t="str" s="33">
        <ns0:v>C:\Users\Nomatin\Documents\Altium\MY_LIB\MY_LIB\Datasheets\JST_XH.pdf</ns0:v>
      </ns0:c>
      <ns0:c r="X342" t="str" s="33">
        <ns0:v>Даташит — производитель</ns0:v>
      </ns0:c>
      <ns0:c r="Y342" t="str" s="33">
        <ns0:v>https://www.jst-mfg.com/product/pdf/eng/eXH.pdf</ns0:v>
      </ns0:c>
      <ns0:c r="Z342" t="str" s="33">
        <ns0:v>C:\Users\Nomatin\Documents\Altium\MY_LIB\MY_LIB\Datasheets\JST_XH.pdf</ns0:v>
      </ns0:c>
    </ns0:row>
    <ns0:row xmlns:ns0="http://schemas.openxmlformats.org/spreadsheetml/2006/main" r="343">
      <ns0:c r="A343" t="str" s="33">
        <ns0:v>XP0262</ns0:v>
      </ns0:c>
      <ns0:c r="B343" t="str" s="33">
        <ns0:v>Разъём</ns0:v>
      </ns0:c>
      <ns0:c r="C343" t="str" s="33">
        <ns0:v>JST XH, 1x03, 2,5 мм</ns0:v>
      </ns0:c>
      <ns0:c r="D343" t="str" s="34">
        <ns0:f>C343</ns0:f>
        <ns0:v>JST XH, 1x03, 2,5 мм</ns0:v>
      </ns0:c>
      <ns0:c r="E343" s="33"/>
      <ns0:c r="F343" s="33"/>
      <ns0:c r="G343" s="33"/>
      <ns0:c r="H343" t="str" s="35">
        <ns0:v>1x03, P2,5, THT, угловой</ns0:v>
      </ns0:c>
      <ns0:c r="I343" t="str" s="33">
        <ns0:v>JST</ns0:v>
      </ns0:c>
      <ns0:c r="J343" t="str" s="33">
        <ns0:v>S3B-XH-A-1</ns0:v>
      </ns0:c>
      <ns0:c r="K343" t="str" s="34">
        <ns0:f>B343&amp;" "&amp;D343&amp;" "&amp;J343</ns0:f>
        <ns0:v>Разъём JST XH, 1x03, 2,5 мм S3B-XH-A-1</ns0:v>
      </ns0:c>
      <ns0:c r="L343" t="str" s="36">
        <ns0:v>XP_3</ns0:v>
      </ns0:c>
      <ns0:c r="M343" t="str" s="36">
        <ns0:v>Symbols\MY_LIB_Connectors.SchLib</ns0:v>
      </ns0:c>
      <ns0:c r="N343" t="str" s="36">
        <ns0:v>JST_XH_S3B-XH-A-1</ns0:v>
      </ns0:c>
      <ns0:c r="O343" t="str" s="36">
        <ns0:v>Footprints\MY_LIB_Connectors.PcbLib</ns0:v>
      </ns0:c>
      <ns0:c r="P343" t="str" s="33">
        <ns0:v>Штыревой; 3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3" s="33"/>
      <ns0:c r="R343" t="str" s="34">
        <ns0:f>D343</ns0:f>
        <ns0:v>JST XH, 1x03, 2,5 мм</ns0:v>
      </ns0:c>
      <ns0:c r="S343" t="str" s="34">
        <ns0:f>K343</ns0:f>
        <ns0:v>Разъём JST XH, 1x03, 2,5 мм S3B-XH-A-1</ns0:v>
      </ns0:c>
      <ns0:c r="T343" t="str" s="33">
        <ns0:v>C:\Users\Nomatin\Documents\Altium\MY_LIB\MY_LIB\Datasheets\JST_XH.pdf</ns0:v>
      </ns0:c>
      <ns0:c r="U343" s="33"/>
      <ns0:c r="V343" t="str" s="33">
        <ns0:v>Даташит — локальный</ns0:v>
      </ns0:c>
      <ns0:c r="W343" t="str" s="33">
        <ns0:v>C:\Users\Nomatin\Documents\Altium\MY_LIB\MY_LIB\Datasheets\JST_XH.pdf</ns0:v>
      </ns0:c>
      <ns0:c r="X343" t="str" s="33">
        <ns0:v>Даташит — производитель</ns0:v>
      </ns0:c>
      <ns0:c r="Y343" t="str" s="33">
        <ns0:v>https://www.jst-mfg.com/product/pdf/eng/eXH.pdf</ns0:v>
      </ns0:c>
      <ns0:c r="Z343" t="str" s="33">
        <ns0:v>C:\Users\Nomatin\Documents\Altium\MY_LIB\MY_LIB\Datasheets\JST_XH.pdf</ns0:v>
      </ns0:c>
    </ns0:row>
    <ns0:row xmlns:ns0="http://schemas.openxmlformats.org/spreadsheetml/2006/main" r="344">
      <ns0:c r="A344" t="str" s="33">
        <ns0:v>XP0263</ns0:v>
      </ns0:c>
      <ns0:c r="B344" t="str" s="33">
        <ns0:v>Разъём</ns0:v>
      </ns0:c>
      <ns0:c r="C344" t="str" s="33">
        <ns0:v>JST XH, 1x03, 2,5 мм</ns0:v>
      </ns0:c>
      <ns0:c r="D344" t="str" s="34">
        <ns0:f>C344</ns0:f>
        <ns0:v>JST XH, 1x03, 2,5 мм</ns0:v>
      </ns0:c>
      <ns0:c r="E344" s="33"/>
      <ns0:c r="F344" s="33"/>
      <ns0:c r="G344" s="33"/>
      <ns0:c r="H344" t="str" s="35">
        <ns0:v>1x03, P2,5, THT, угловой</ns0:v>
      </ns0:c>
      <ns0:c r="I344" t="str" s="33">
        <ns0:v>JST</ns0:v>
      </ns0:c>
      <ns0:c r="J344" t="str" s="33">
        <ns0:v>S3B-XH-A</ns0:v>
      </ns0:c>
      <ns0:c r="K344" t="str" s="34">
        <ns0:f>B344&amp;" "&amp;D344&amp;" "&amp;J344</ns0:f>
        <ns0:v>Разъём JST XH, 1x03, 2,5 мм S3B-XH-A</ns0:v>
      </ns0:c>
      <ns0:c r="L344" t="str" s="36">
        <ns0:v>XP_3</ns0:v>
      </ns0:c>
      <ns0:c r="M344" t="str" s="36">
        <ns0:v>Symbols\MY_LIB_Connectors.SchLib</ns0:v>
      </ns0:c>
      <ns0:c r="N344" t="str" s="36">
        <ns0:v>JST_XH_S3B-XH-A</ns0:v>
      </ns0:c>
      <ns0:c r="O344" t="str" s="36">
        <ns0:v>Footprints\MY_LIB_Connectors.PcbLib</ns0:v>
      </ns0:c>
      <ns0:c r="P344" t="str" s="33">
        <ns0:v>Штыревой; 3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4" s="33"/>
      <ns0:c r="R344" t="str" s="34">
        <ns0:f>D344</ns0:f>
        <ns0:v>JST XH, 1x03, 2,5 мм</ns0:v>
      </ns0:c>
      <ns0:c r="S344" t="str" s="34">
        <ns0:f>K344</ns0:f>
        <ns0:v>Разъём JST XH, 1x03, 2,5 мм S3B-XH-A</ns0:v>
      </ns0:c>
      <ns0:c r="T344" t="str" s="33">
        <ns0:v>C:\Users\Nomatin\Documents\Altium\MY_LIB\MY_LIB\Datasheets\JST_XH.pdf</ns0:v>
      </ns0:c>
      <ns0:c r="U344" s="33"/>
      <ns0:c r="V344" t="str" s="33">
        <ns0:v>Даташит — локальный</ns0:v>
      </ns0:c>
      <ns0:c r="W344" t="str" s="33">
        <ns0:v>C:\Users\Nomatin\Documents\Altium\MY_LIB\MY_LIB\Datasheets\JST_XH.pdf</ns0:v>
      </ns0:c>
      <ns0:c r="X344" t="str" s="33">
        <ns0:v>Даташит — производитель</ns0:v>
      </ns0:c>
      <ns0:c r="Y344" t="str" s="33">
        <ns0:v>https://www.jst-mfg.com/product/pdf/eng/eXH.pdf</ns0:v>
      </ns0:c>
      <ns0:c r="Z344" t="str" s="33">
        <ns0:v>C:\Users\Nomatin\Documents\Altium\MY_LIB\MY_LIB\Datasheets\JST_XH.pdf</ns0:v>
      </ns0:c>
    </ns0:row>
    <ns0:row xmlns:ns0="http://schemas.openxmlformats.org/spreadsheetml/2006/main" r="345">
      <ns0:c r="A345" t="str" s="33">
        <ns0:v>XP0264</ns0:v>
      </ns0:c>
      <ns0:c r="B345" t="str" s="33">
        <ns0:v>Разъём</ns0:v>
      </ns0:c>
      <ns0:c r="C345" t="str" s="33">
        <ns0:v>JST XH, 1x03, 2,5 мм</ns0:v>
      </ns0:c>
      <ns0:c r="D345" t="str" s="34">
        <ns0:f>C345</ns0:f>
        <ns0:v>JST XH, 1x03, 2,5 мм</ns0:v>
      </ns0:c>
      <ns0:c r="E345" s="33"/>
      <ns0:c r="F345" s="33"/>
      <ns0:c r="G345" s="33"/>
      <ns0:c r="H345" t="str" s="35">
        <ns0:v>1x03, P2,5, SMD, угловой</ns0:v>
      </ns0:c>
      <ns0:c r="I345" t="str" s="33">
        <ns0:v>JST</ns0:v>
      </ns0:c>
      <ns0:c r="J345" t="str" s="33">
        <ns0:v>S3B-XH-SM4-TB</ns0:v>
      </ns0:c>
      <ns0:c r="K345" t="str" s="34">
        <ns0:f>B345&amp;" "&amp;D345&amp;" "&amp;J345</ns0:f>
        <ns0:v>Разъём JST XH, 1x03, 2,5 мм S3B-XH-SM4-TB</ns0:v>
      </ns0:c>
      <ns0:c r="L345" t="str" s="36">
        <ns0:v>XP_3_MP</ns0:v>
      </ns0:c>
      <ns0:c r="M345" t="str" s="36">
        <ns0:v>Symbols\MY_LIB_Connectors.SchLib</ns0:v>
      </ns0:c>
      <ns0:c r="N345" t="str" s="36">
        <ns0:v>JST_XH_S3B-XH-SM4-TB</ns0:v>
      </ns0:c>
      <ns0:c r="O345" t="str" s="36">
        <ns0:v>Footprints\MY_LIB_Connectors.PcbLib</ns0:v>
      </ns0:c>
      <ns0:c r="P345" t="str" s="33">
        <ns0:v>Штыревой; 3 сигнальных контактов, шаг 2,5 мм; угловой, SMD. Контакт 4: Name=MP; обе металлические площадки имеют номер 4.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5" s="33"/>
      <ns0:c r="R345" t="str" s="34">
        <ns0:f>D345</ns0:f>
        <ns0:v>JST XH, 1x03, 2,5 мм</ns0:v>
      </ns0:c>
      <ns0:c r="S345" t="str" s="34">
        <ns0:f>K345</ns0:f>
        <ns0:v>Разъём JST XH, 1x03, 2,5 мм S3B-XH-SM4-TB</ns0:v>
      </ns0:c>
      <ns0:c r="T345" t="str" s="33">
        <ns0:v>C:\Users\Nomatin\Documents\Altium\MY_LIB\MY_LIB\Datasheets\JST_XH.pdf</ns0:v>
      </ns0:c>
      <ns0:c r="U345" s="33"/>
      <ns0:c r="V345" t="str" s="33">
        <ns0:v>Даташит — локальный</ns0:v>
      </ns0:c>
      <ns0:c r="W345" t="str" s="33">
        <ns0:v>C:\Users\Nomatin\Documents\Altium\MY_LIB\MY_LIB\Datasheets\JST_XH.pdf</ns0:v>
      </ns0:c>
      <ns0:c r="X345" t="str" s="33">
        <ns0:v>Даташит — производитель</ns0:v>
      </ns0:c>
      <ns0:c r="Y345" t="str" s="33">
        <ns0:v>https://www.jst-mfg.com/product/pdf/eng/eXH.pdf</ns0:v>
      </ns0:c>
      <ns0:c r="Z345" t="str" s="33">
        <ns0:v>C:\Users\Nomatin\Documents\Altium\MY_LIB\MY_LIB\Datasheets\JST_XH.pdf</ns0:v>
      </ns0:c>
    </ns0:row>
    <ns0:row xmlns:ns0="http://schemas.openxmlformats.org/spreadsheetml/2006/main" r="346">
      <ns0:c r="A346" t="str" s="33">
        <ns0:v>XP0265</ns0:v>
      </ns0:c>
      <ns0:c r="B346" t="str" s="33">
        <ns0:v>Разъём</ns0:v>
      </ns0:c>
      <ns0:c r="C346" t="str" s="33">
        <ns0:v>JST XH, 1x04, 2,5 мм</ns0:v>
      </ns0:c>
      <ns0:c r="D346" t="str" s="34">
        <ns0:f>C346</ns0:f>
        <ns0:v>JST XH, 1x04, 2,5 мм</ns0:v>
      </ns0:c>
      <ns0:c r="E346" s="33"/>
      <ns0:c r="F346" s="33"/>
      <ns0:c r="G346" s="33"/>
      <ns0:c r="H346" t="str" s="35">
        <ns0:v>1x04, P2,5, THT, угловой</ns0:v>
      </ns0:c>
      <ns0:c r="I346" t="str" s="33">
        <ns0:v>JST</ns0:v>
      </ns0:c>
      <ns0:c r="J346" t="str" s="33">
        <ns0:v>S4B-XH-A-1</ns0:v>
      </ns0:c>
      <ns0:c r="K346" t="str" s="34">
        <ns0:f>B346&amp;" "&amp;D346&amp;" "&amp;J346</ns0:f>
        <ns0:v>Разъём JST XH, 1x04, 2,5 мм S4B-XH-A-1</ns0:v>
      </ns0:c>
      <ns0:c r="L346" t="str" s="36">
        <ns0:v>XP_4</ns0:v>
      </ns0:c>
      <ns0:c r="M346" t="str" s="36">
        <ns0:v>Symbols\MY_LIB_Connectors.SchLib</ns0:v>
      </ns0:c>
      <ns0:c r="N346" t="str" s="36">
        <ns0:v>JST_XH_S4B-XH-A-1</ns0:v>
      </ns0:c>
      <ns0:c r="O346" t="str" s="36">
        <ns0:v>Footprints\MY_LIB_Connectors.PcbLib</ns0:v>
      </ns0:c>
      <ns0:c r="P346" t="str" s="33">
        <ns0:v>Штыревой; 4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6" s="33"/>
      <ns0:c r="R346" t="str" s="34">
        <ns0:f>D346</ns0:f>
        <ns0:v>JST XH, 1x04, 2,5 мм</ns0:v>
      </ns0:c>
      <ns0:c r="S346" t="str" s="34">
        <ns0:f>K346</ns0:f>
        <ns0:v>Разъём JST XH, 1x04, 2,5 мм S4B-XH-A-1</ns0:v>
      </ns0:c>
      <ns0:c r="T346" t="str" s="33">
        <ns0:v>C:\Users\Nomatin\Documents\Altium\MY_LIB\MY_LIB\Datasheets\JST_XH.pdf</ns0:v>
      </ns0:c>
      <ns0:c r="U346" s="33"/>
      <ns0:c r="V346" t="str" s="33">
        <ns0:v>Даташит — локальный</ns0:v>
      </ns0:c>
      <ns0:c r="W346" t="str" s="33">
        <ns0:v>C:\Users\Nomatin\Documents\Altium\MY_LIB\MY_LIB\Datasheets\JST_XH.pdf</ns0:v>
      </ns0:c>
      <ns0:c r="X346" t="str" s="33">
        <ns0:v>Даташит — производитель</ns0:v>
      </ns0:c>
      <ns0:c r="Y346" t="str" s="33">
        <ns0:v>https://www.jst-mfg.com/product/pdf/eng/eXH.pdf</ns0:v>
      </ns0:c>
      <ns0:c r="Z346" t="str" s="33">
        <ns0:v>C:\Users\Nomatin\Documents\Altium\MY_LIB\MY_LIB\Datasheets\JST_XH.pdf</ns0:v>
      </ns0:c>
    </ns0:row>
    <ns0:row xmlns:ns0="http://schemas.openxmlformats.org/spreadsheetml/2006/main" r="347">
      <ns0:c r="A347" t="str" s="33">
        <ns0:v>XP0266</ns0:v>
      </ns0:c>
      <ns0:c r="B347" t="str" s="33">
        <ns0:v>Разъём</ns0:v>
      </ns0:c>
      <ns0:c r="C347" t="str" s="33">
        <ns0:v>JST XH, 1x04, 2,5 мм</ns0:v>
      </ns0:c>
      <ns0:c r="D347" t="str" s="34">
        <ns0:f>C347</ns0:f>
        <ns0:v>JST XH, 1x04, 2,5 мм</ns0:v>
      </ns0:c>
      <ns0:c r="E347" s="33"/>
      <ns0:c r="F347" s="33"/>
      <ns0:c r="G347" s="33"/>
      <ns0:c r="H347" t="str" s="35">
        <ns0:v>1x04, P2,5, THT, угловой</ns0:v>
      </ns0:c>
      <ns0:c r="I347" t="str" s="33">
        <ns0:v>JST</ns0:v>
      </ns0:c>
      <ns0:c r="J347" t="str" s="33">
        <ns0:v>S4B-XH-A</ns0:v>
      </ns0:c>
      <ns0:c r="K347" t="str" s="34">
        <ns0:f>B347&amp;" "&amp;D347&amp;" "&amp;J347</ns0:f>
        <ns0:v>Разъём JST XH, 1x04, 2,5 мм S4B-XH-A</ns0:v>
      </ns0:c>
      <ns0:c r="L347" t="str" s="36">
        <ns0:v>XP_4</ns0:v>
      </ns0:c>
      <ns0:c r="M347" t="str" s="36">
        <ns0:v>Symbols\MY_LIB_Connectors.SchLib</ns0:v>
      </ns0:c>
      <ns0:c r="N347" t="str" s="36">
        <ns0:v>JST_XH_S4B-XH-A</ns0:v>
      </ns0:c>
      <ns0:c r="O347" t="str" s="36">
        <ns0:v>Footprints\MY_LIB_Connectors.PcbLib</ns0:v>
      </ns0:c>
      <ns0:c r="P347" t="str" s="33">
        <ns0:v>Штыревой; 4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7" s="33"/>
      <ns0:c r="R347" t="str" s="34">
        <ns0:f>D347</ns0:f>
        <ns0:v>JST XH, 1x04, 2,5 мм</ns0:v>
      </ns0:c>
      <ns0:c r="S347" t="str" s="34">
        <ns0:f>K347</ns0:f>
        <ns0:v>Разъём JST XH, 1x04, 2,5 мм S4B-XH-A</ns0:v>
      </ns0:c>
      <ns0:c r="T347" t="str" s="33">
        <ns0:v>C:\Users\Nomatin\Documents\Altium\MY_LIB\MY_LIB\Datasheets\JST_XH.pdf</ns0:v>
      </ns0:c>
      <ns0:c r="U347" s="33"/>
      <ns0:c r="V347" t="str" s="33">
        <ns0:v>Даташит — локальный</ns0:v>
      </ns0:c>
      <ns0:c r="W347" t="str" s="33">
        <ns0:v>C:\Users\Nomatin\Documents\Altium\MY_LIB\MY_LIB\Datasheets\JST_XH.pdf</ns0:v>
      </ns0:c>
      <ns0:c r="X347" t="str" s="33">
        <ns0:v>Даташит — производитель</ns0:v>
      </ns0:c>
      <ns0:c r="Y347" t="str" s="33">
        <ns0:v>https://www.jst-mfg.com/product/pdf/eng/eXH.pdf</ns0:v>
      </ns0:c>
      <ns0:c r="Z347" t="str" s="33">
        <ns0:v>C:\Users\Nomatin\Documents\Altium\MY_LIB\MY_LIB\Datasheets\JST_XH.pdf</ns0:v>
      </ns0:c>
    </ns0:row>
    <ns0:row xmlns:ns0="http://schemas.openxmlformats.org/spreadsheetml/2006/main" r="348">
      <ns0:c r="A348" t="str" s="33">
        <ns0:v>XP0267</ns0:v>
      </ns0:c>
      <ns0:c r="B348" t="str" s="33">
        <ns0:v>Разъём</ns0:v>
      </ns0:c>
      <ns0:c r="C348" t="str" s="33">
        <ns0:v>JST XH, 1x04, 2,5 мм</ns0:v>
      </ns0:c>
      <ns0:c r="D348" t="str" s="34">
        <ns0:f>C348</ns0:f>
        <ns0:v>JST XH, 1x04, 2,5 мм</ns0:v>
      </ns0:c>
      <ns0:c r="E348" s="33"/>
      <ns0:c r="F348" s="33"/>
      <ns0:c r="G348" s="33"/>
      <ns0:c r="H348" t="str" s="35">
        <ns0:v>1x04, P2,5, SMD, угловой</ns0:v>
      </ns0:c>
      <ns0:c r="I348" t="str" s="33">
        <ns0:v>JST</ns0:v>
      </ns0:c>
      <ns0:c r="J348" t="str" s="33">
        <ns0:v>S4B-XH-SM4-TB</ns0:v>
      </ns0:c>
      <ns0:c r="K348" t="str" s="34">
        <ns0:f>B348&amp;" "&amp;D348&amp;" "&amp;J348</ns0:f>
        <ns0:v>Разъём JST XH, 1x04, 2,5 мм S4B-XH-SM4-TB</ns0:v>
      </ns0:c>
      <ns0:c r="L348" t="str" s="36">
        <ns0:v>XP_4_MP</ns0:v>
      </ns0:c>
      <ns0:c r="M348" t="str" s="36">
        <ns0:v>Symbols\MY_LIB_Connectors.SchLib</ns0:v>
      </ns0:c>
      <ns0:c r="N348" t="str" s="36">
        <ns0:v>JST_XH_S4B-XH-SM4-TB</ns0:v>
      </ns0:c>
      <ns0:c r="O348" t="str" s="36">
        <ns0:v>Footprints\MY_LIB_Connectors.PcbLib</ns0:v>
      </ns0:c>
      <ns0:c r="P348" t="str" s="33">
        <ns0:v>Штыревой; 4 сигнальных контактов, шаг 2,5 мм; угловой, SMD. Контакт 5: Name=MP; обе металлические площадки имеют номер 5.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8" s="33"/>
      <ns0:c r="R348" t="str" s="34">
        <ns0:f>D348</ns0:f>
        <ns0:v>JST XH, 1x04, 2,5 мм</ns0:v>
      </ns0:c>
      <ns0:c r="S348" t="str" s="34">
        <ns0:f>K348</ns0:f>
        <ns0:v>Разъём JST XH, 1x04, 2,5 мм S4B-XH-SM4-TB</ns0:v>
      </ns0:c>
      <ns0:c r="T348" t="str" s="33">
        <ns0:v>C:\Users\Nomatin\Documents\Altium\MY_LIB\MY_LIB\Datasheets\JST_XH.pdf</ns0:v>
      </ns0:c>
      <ns0:c r="U348" s="33"/>
      <ns0:c r="V348" t="str" s="33">
        <ns0:v>Даташит — локальный</ns0:v>
      </ns0:c>
      <ns0:c r="W348" t="str" s="33">
        <ns0:v>C:\Users\Nomatin\Documents\Altium\MY_LIB\MY_LIB\Datasheets\JST_XH.pdf</ns0:v>
      </ns0:c>
      <ns0:c r="X348" t="str" s="33">
        <ns0:v>Даташит — производитель</ns0:v>
      </ns0:c>
      <ns0:c r="Y348" t="str" s="33">
        <ns0:v>https://www.jst-mfg.com/product/pdf/eng/eXH.pdf</ns0:v>
      </ns0:c>
      <ns0:c r="Z348" t="str" s="33">
        <ns0:v>C:\Users\Nomatin\Documents\Altium\MY_LIB\MY_LIB\Datasheets\JST_XH.pdf</ns0:v>
      </ns0:c>
    </ns0:row>
    <ns0:row xmlns:ns0="http://schemas.openxmlformats.org/spreadsheetml/2006/main" r="349">
      <ns0:c r="A349" t="str" s="33">
        <ns0:v>XP0268</ns0:v>
      </ns0:c>
      <ns0:c r="B349" t="str" s="33">
        <ns0:v>Разъём</ns0:v>
      </ns0:c>
      <ns0:c r="C349" t="str" s="33">
        <ns0:v>JST XH, 1x05, 2,5 мм</ns0:v>
      </ns0:c>
      <ns0:c r="D349" t="str" s="34">
        <ns0:f>C349</ns0:f>
        <ns0:v>JST XH, 1x05, 2,5 мм</ns0:v>
      </ns0:c>
      <ns0:c r="E349" s="33"/>
      <ns0:c r="F349" s="33"/>
      <ns0:c r="G349" s="33"/>
      <ns0:c r="H349" t="str" s="35">
        <ns0:v>1x05, P2,5, THT, угловой</ns0:v>
      </ns0:c>
      <ns0:c r="I349" t="str" s="33">
        <ns0:v>JST</ns0:v>
      </ns0:c>
      <ns0:c r="J349" t="str" s="33">
        <ns0:v>S5B-XH-A-1</ns0:v>
      </ns0:c>
      <ns0:c r="K349" t="str" s="34">
        <ns0:f>B349&amp;" "&amp;D349&amp;" "&amp;J349</ns0:f>
        <ns0:v>Разъём JST XH, 1x05, 2,5 мм S5B-XH-A-1</ns0:v>
      </ns0:c>
      <ns0:c r="L349" t="str" s="36">
        <ns0:v>XP_5</ns0:v>
      </ns0:c>
      <ns0:c r="M349" t="str" s="36">
        <ns0:v>Symbols\MY_LIB_Connectors.SchLib</ns0:v>
      </ns0:c>
      <ns0:c r="N349" t="str" s="36">
        <ns0:v>JST_XH_S5B-XH-A-1</ns0:v>
      </ns0:c>
      <ns0:c r="O349" t="str" s="36">
        <ns0:v>Footprints\MY_LIB_Connectors.PcbLib</ns0:v>
      </ns0:c>
      <ns0:c r="P349" t="str" s="33">
        <ns0:v>Штыревой; 5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49" s="33"/>
      <ns0:c r="R349" t="str" s="34">
        <ns0:f>D349</ns0:f>
        <ns0:v>JST XH, 1x05, 2,5 мм</ns0:v>
      </ns0:c>
      <ns0:c r="S349" t="str" s="34">
        <ns0:f>K349</ns0:f>
        <ns0:v>Разъём JST XH, 1x05, 2,5 мм S5B-XH-A-1</ns0:v>
      </ns0:c>
      <ns0:c r="T349" t="str" s="33">
        <ns0:v>C:\Users\Nomatin\Documents\Altium\MY_LIB\MY_LIB\Datasheets\JST_XH.pdf</ns0:v>
      </ns0:c>
      <ns0:c r="U349" s="33"/>
      <ns0:c r="V349" t="str" s="33">
        <ns0:v>Даташит — локальный</ns0:v>
      </ns0:c>
      <ns0:c r="W349" t="str" s="33">
        <ns0:v>C:\Users\Nomatin\Documents\Altium\MY_LIB\MY_LIB\Datasheets\JST_XH.pdf</ns0:v>
      </ns0:c>
      <ns0:c r="X349" t="str" s="33">
        <ns0:v>Даташит — производитель</ns0:v>
      </ns0:c>
      <ns0:c r="Y349" t="str" s="33">
        <ns0:v>https://www.jst-mfg.com/product/pdf/eng/eXH.pdf</ns0:v>
      </ns0:c>
      <ns0:c r="Z349" t="str" s="33">
        <ns0:v>C:\Users\Nomatin\Documents\Altium\MY_LIB\MY_LIB\Datasheets\JST_XH.pdf</ns0:v>
      </ns0:c>
    </ns0:row>
    <ns0:row xmlns:ns0="http://schemas.openxmlformats.org/spreadsheetml/2006/main" r="350">
      <ns0:c r="A350" t="str" s="33">
        <ns0:v>XP0269</ns0:v>
      </ns0:c>
      <ns0:c r="B350" t="str" s="33">
        <ns0:v>Разъём</ns0:v>
      </ns0:c>
      <ns0:c r="C350" t="str" s="33">
        <ns0:v>JST XH, 1x05, 2,5 мм</ns0:v>
      </ns0:c>
      <ns0:c r="D350" t="str" s="34">
        <ns0:f>C350</ns0:f>
        <ns0:v>JST XH, 1x05, 2,5 мм</ns0:v>
      </ns0:c>
      <ns0:c r="E350" s="33"/>
      <ns0:c r="F350" s="33"/>
      <ns0:c r="G350" s="33"/>
      <ns0:c r="H350" t="str" s="35">
        <ns0:v>1x05, P2,5, THT, угловой</ns0:v>
      </ns0:c>
      <ns0:c r="I350" t="str" s="33">
        <ns0:v>JST</ns0:v>
      </ns0:c>
      <ns0:c r="J350" t="str" s="33">
        <ns0:v>S5B-XH-A</ns0:v>
      </ns0:c>
      <ns0:c r="K350" t="str" s="34">
        <ns0:f>B350&amp;" "&amp;D350&amp;" "&amp;J350</ns0:f>
        <ns0:v>Разъём JST XH, 1x05, 2,5 мм S5B-XH-A</ns0:v>
      </ns0:c>
      <ns0:c r="L350" t="str" s="36">
        <ns0:v>XP_5</ns0:v>
      </ns0:c>
      <ns0:c r="M350" t="str" s="36">
        <ns0:v>Symbols\MY_LIB_Connectors.SchLib</ns0:v>
      </ns0:c>
      <ns0:c r="N350" t="str" s="36">
        <ns0:v>JST_XH_S5B-XH-A</ns0:v>
      </ns0:c>
      <ns0:c r="O350" t="str" s="36">
        <ns0:v>Footprints\MY_LIB_Connectors.PcbLib</ns0:v>
      </ns0:c>
      <ns0:c r="P350" t="str" s="33">
        <ns0:v>Штыревой; 5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0" s="33"/>
      <ns0:c r="R350" t="str" s="34">
        <ns0:f>D350</ns0:f>
        <ns0:v>JST XH, 1x05, 2,5 мм</ns0:v>
      </ns0:c>
      <ns0:c r="S350" t="str" s="34">
        <ns0:f>K350</ns0:f>
        <ns0:v>Разъём JST XH, 1x05, 2,5 мм S5B-XH-A</ns0:v>
      </ns0:c>
      <ns0:c r="T350" t="str" s="33">
        <ns0:v>C:\Users\Nomatin\Documents\Altium\MY_LIB\MY_LIB\Datasheets\JST_XH.pdf</ns0:v>
      </ns0:c>
      <ns0:c r="U350" s="33"/>
      <ns0:c r="V350" t="str" s="33">
        <ns0:v>Даташит — локальный</ns0:v>
      </ns0:c>
      <ns0:c r="W350" t="str" s="33">
        <ns0:v>C:\Users\Nomatin\Documents\Altium\MY_LIB\MY_LIB\Datasheets\JST_XH.pdf</ns0:v>
      </ns0:c>
      <ns0:c r="X350" t="str" s="33">
        <ns0:v>Даташит — производитель</ns0:v>
      </ns0:c>
      <ns0:c r="Y350" t="str" s="33">
        <ns0:v>https://www.jst-mfg.com/product/pdf/eng/eXH.pdf</ns0:v>
      </ns0:c>
      <ns0:c r="Z350" t="str" s="33">
        <ns0:v>C:\Users\Nomatin\Documents\Altium\MY_LIB\MY_LIB\Datasheets\JST_XH.pdf</ns0:v>
      </ns0:c>
    </ns0:row>
    <ns0:row xmlns:ns0="http://schemas.openxmlformats.org/spreadsheetml/2006/main" r="351">
      <ns0:c r="A351" t="str" s="33">
        <ns0:v>XP0270</ns0:v>
      </ns0:c>
      <ns0:c r="B351" t="str" s="33">
        <ns0:v>Разъём</ns0:v>
      </ns0:c>
      <ns0:c r="C351" t="str" s="33">
        <ns0:v>JST XH, 1x06, 2,5 мм</ns0:v>
      </ns0:c>
      <ns0:c r="D351" t="str" s="34">
        <ns0:f>C351</ns0:f>
        <ns0:v>JST XH, 1x06, 2,5 мм</ns0:v>
      </ns0:c>
      <ns0:c r="E351" s="33"/>
      <ns0:c r="F351" s="33"/>
      <ns0:c r="G351" s="33"/>
      <ns0:c r="H351" t="str" s="35">
        <ns0:v>1x06, P2,5, THT, угловой</ns0:v>
      </ns0:c>
      <ns0:c r="I351" t="str" s="33">
        <ns0:v>JST</ns0:v>
      </ns0:c>
      <ns0:c r="J351" t="str" s="33">
        <ns0:v>S6B-XH-A-1</ns0:v>
      </ns0:c>
      <ns0:c r="K351" t="str" s="34">
        <ns0:f>B351&amp;" "&amp;D351&amp;" "&amp;J351</ns0:f>
        <ns0:v>Разъём JST XH, 1x06, 2,5 мм S6B-XH-A-1</ns0:v>
      </ns0:c>
      <ns0:c r="L351" t="str" s="36">
        <ns0:v>XP_6</ns0:v>
      </ns0:c>
      <ns0:c r="M351" t="str" s="36">
        <ns0:v>Symbols\MY_LIB_Connectors.SchLib</ns0:v>
      </ns0:c>
      <ns0:c r="N351" t="str" s="36">
        <ns0:v>JST_XH_S6B-XH-A-1</ns0:v>
      </ns0:c>
      <ns0:c r="O351" t="str" s="36">
        <ns0:v>Footprints\MY_LIB_Connectors.PcbLib</ns0:v>
      </ns0:c>
      <ns0:c r="P351" t="str" s="33">
        <ns0:v>Штыревой; 6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1" s="33"/>
      <ns0:c r="R351" t="str" s="34">
        <ns0:f>D351</ns0:f>
        <ns0:v>JST XH, 1x06, 2,5 мм</ns0:v>
      </ns0:c>
      <ns0:c r="S351" t="str" s="34">
        <ns0:f>K351</ns0:f>
        <ns0:v>Разъём JST XH, 1x06, 2,5 мм S6B-XH-A-1</ns0:v>
      </ns0:c>
      <ns0:c r="T351" t="str" s="33">
        <ns0:v>C:\Users\Nomatin\Documents\Altium\MY_LIB\MY_LIB\Datasheets\JST_XH.pdf</ns0:v>
      </ns0:c>
      <ns0:c r="U351" s="33"/>
      <ns0:c r="V351" t="str" s="33">
        <ns0:v>Даташит — локальный</ns0:v>
      </ns0:c>
      <ns0:c r="W351" t="str" s="33">
        <ns0:v>C:\Users\Nomatin\Documents\Altium\MY_LIB\MY_LIB\Datasheets\JST_XH.pdf</ns0:v>
      </ns0:c>
      <ns0:c r="X351" t="str" s="33">
        <ns0:v>Даташит — производитель</ns0:v>
      </ns0:c>
      <ns0:c r="Y351" t="str" s="33">
        <ns0:v>https://www.jst-mfg.com/product/pdf/eng/eXH.pdf</ns0:v>
      </ns0:c>
      <ns0:c r="Z351" t="str" s="33">
        <ns0:v>C:\Users\Nomatin\Documents\Altium\MY_LIB\MY_LIB\Datasheets\JST_XH.pdf</ns0:v>
      </ns0:c>
    </ns0:row>
    <ns0:row xmlns:ns0="http://schemas.openxmlformats.org/spreadsheetml/2006/main" r="352">
      <ns0:c r="A352" t="str" s="33">
        <ns0:v>XP0271</ns0:v>
      </ns0:c>
      <ns0:c r="B352" t="str" s="33">
        <ns0:v>Разъём</ns0:v>
      </ns0:c>
      <ns0:c r="C352" t="str" s="33">
        <ns0:v>JST XH, 1x06, 2,5 мм</ns0:v>
      </ns0:c>
      <ns0:c r="D352" t="str" s="34">
        <ns0:f>C352</ns0:f>
        <ns0:v>JST XH, 1x06, 2,5 мм</ns0:v>
      </ns0:c>
      <ns0:c r="E352" s="33"/>
      <ns0:c r="F352" s="33"/>
      <ns0:c r="G352" s="33"/>
      <ns0:c r="H352" t="str" s="35">
        <ns0:v>1x06, P2,5, THT, угловой</ns0:v>
      </ns0:c>
      <ns0:c r="I352" t="str" s="33">
        <ns0:v>JST</ns0:v>
      </ns0:c>
      <ns0:c r="J352" t="str" s="33">
        <ns0:v>S6B-XH-A</ns0:v>
      </ns0:c>
      <ns0:c r="K352" t="str" s="34">
        <ns0:f>B352&amp;" "&amp;D352&amp;" "&amp;J352</ns0:f>
        <ns0:v>Разъём JST XH, 1x06, 2,5 мм S6B-XH-A</ns0:v>
      </ns0:c>
      <ns0:c r="L352" t="str" s="36">
        <ns0:v>XP_6</ns0:v>
      </ns0:c>
      <ns0:c r="M352" t="str" s="36">
        <ns0:v>Symbols\MY_LIB_Connectors.SchLib</ns0:v>
      </ns0:c>
      <ns0:c r="N352" t="str" s="36">
        <ns0:v>JST_XH_S6B-XH-A</ns0:v>
      </ns0:c>
      <ns0:c r="O352" t="str" s="36">
        <ns0:v>Footprints\MY_LIB_Connectors.PcbLib</ns0:v>
      </ns0:c>
      <ns0:c r="P352" t="str" s="33">
        <ns0:v>Штыревой; 6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2" s="33"/>
      <ns0:c r="R352" t="str" s="34">
        <ns0:f>D352</ns0:f>
        <ns0:v>JST XH, 1x06, 2,5 мм</ns0:v>
      </ns0:c>
      <ns0:c r="S352" t="str" s="34">
        <ns0:f>K352</ns0:f>
        <ns0:v>Разъём JST XH, 1x06, 2,5 мм S6B-XH-A</ns0:v>
      </ns0:c>
      <ns0:c r="T352" t="str" s="33">
        <ns0:v>C:\Users\Nomatin\Documents\Altium\MY_LIB\MY_LIB\Datasheets\JST_XH.pdf</ns0:v>
      </ns0:c>
      <ns0:c r="U352" s="33"/>
      <ns0:c r="V352" t="str" s="33">
        <ns0:v>Даташит — локальный</ns0:v>
      </ns0:c>
      <ns0:c r="W352" t="str" s="33">
        <ns0:v>C:\Users\Nomatin\Documents\Altium\MY_LIB\MY_LIB\Datasheets\JST_XH.pdf</ns0:v>
      </ns0:c>
      <ns0:c r="X352" t="str" s="33">
        <ns0:v>Даташит — производитель</ns0:v>
      </ns0:c>
      <ns0:c r="Y352" t="str" s="33">
        <ns0:v>https://www.jst-mfg.com/product/pdf/eng/eXH.pdf</ns0:v>
      </ns0:c>
      <ns0:c r="Z352" t="str" s="33">
        <ns0:v>C:\Users\Nomatin\Documents\Altium\MY_LIB\MY_LIB\Datasheets\JST_XH.pdf</ns0:v>
      </ns0:c>
    </ns0:row>
    <ns0:row xmlns:ns0="http://schemas.openxmlformats.org/spreadsheetml/2006/main" r="353">
      <ns0:c r="A353" t="str" s="33">
        <ns0:v>XP0272</ns0:v>
      </ns0:c>
      <ns0:c r="B353" t="str" s="33">
        <ns0:v>Разъём</ns0:v>
      </ns0:c>
      <ns0:c r="C353" t="str" s="33">
        <ns0:v>JST XH, 1x06, 2,5 мм</ns0:v>
      </ns0:c>
      <ns0:c r="D353" t="str" s="34">
        <ns0:f>C353</ns0:f>
        <ns0:v>JST XH, 1x06, 2,5 мм</ns0:v>
      </ns0:c>
      <ns0:c r="E353" s="33"/>
      <ns0:c r="F353" s="33"/>
      <ns0:c r="G353" s="33"/>
      <ns0:c r="H353" t="str" s="35">
        <ns0:v>1x06, P2,5, SMD, угловой</ns0:v>
      </ns0:c>
      <ns0:c r="I353" t="str" s="33">
        <ns0:v>JST</ns0:v>
      </ns0:c>
      <ns0:c r="J353" t="str" s="33">
        <ns0:v>S6B-XH-SM4-TB</ns0:v>
      </ns0:c>
      <ns0:c r="K353" t="str" s="34">
        <ns0:f>B353&amp;" "&amp;D353&amp;" "&amp;J353</ns0:f>
        <ns0:v>Разъём JST XH, 1x06, 2,5 мм S6B-XH-SM4-TB</ns0:v>
      </ns0:c>
      <ns0:c r="L353" t="str" s="36">
        <ns0:v>XP_6_MP</ns0:v>
      </ns0:c>
      <ns0:c r="M353" t="str" s="36">
        <ns0:v>Symbols\MY_LIB_Connectors.SchLib</ns0:v>
      </ns0:c>
      <ns0:c r="N353" t="str" s="36">
        <ns0:v>JST_XH_S6B-XH-SM4-TB</ns0:v>
      </ns0:c>
      <ns0:c r="O353" t="str" s="36">
        <ns0:v>Footprints\MY_LIB_Connectors.PcbLib</ns0:v>
      </ns0:c>
      <ns0:c r="P353" t="str" s="33">
        <ns0:v>Штыревой; 6 сигнальных контактов, шаг 2,5 мм; угловой, SMD. Контакт 7: Name=MP; обе металлические площадки имеют номер 7. MP подключается по схеме.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3" s="33"/>
      <ns0:c r="R353" t="str" s="34">
        <ns0:f>D353</ns0:f>
        <ns0:v>JST XH, 1x06, 2,5 мм</ns0:v>
      </ns0:c>
      <ns0:c r="S353" t="str" s="34">
        <ns0:f>K353</ns0:f>
        <ns0:v>Разъём JST XH, 1x06, 2,5 мм S6B-XH-SM4-TB</ns0:v>
      </ns0:c>
      <ns0:c r="T353" t="str" s="33">
        <ns0:v>C:\Users\Nomatin\Documents\Altium\MY_LIB\MY_LIB\Datasheets\JST_XH.pdf</ns0:v>
      </ns0:c>
      <ns0:c r="U353" s="33"/>
      <ns0:c r="V353" t="str" s="33">
        <ns0:v>Даташит — локальный</ns0:v>
      </ns0:c>
      <ns0:c r="W353" t="str" s="33">
        <ns0:v>C:\Users\Nomatin\Documents\Altium\MY_LIB\MY_LIB\Datasheets\JST_XH.pdf</ns0:v>
      </ns0:c>
      <ns0:c r="X353" t="str" s="33">
        <ns0:v>Даташит — производитель</ns0:v>
      </ns0:c>
      <ns0:c r="Y353" t="str" s="33">
        <ns0:v>https://www.jst-mfg.com/product/pdf/eng/eXH.pdf</ns0:v>
      </ns0:c>
      <ns0:c r="Z353" t="str" s="33">
        <ns0:v>C:\Users\Nomatin\Documents\Altium\MY_LIB\MY_LIB\Datasheets\JST_XH.pdf</ns0:v>
      </ns0:c>
    </ns0:row>
    <ns0:row xmlns:ns0="http://schemas.openxmlformats.org/spreadsheetml/2006/main" r="354">
      <ns0:c r="A354" t="str" s="33">
        <ns0:v>XP0273</ns0:v>
      </ns0:c>
      <ns0:c r="B354" t="str" s="33">
        <ns0:v>Разъём</ns0:v>
      </ns0:c>
      <ns0:c r="C354" t="str" s="33">
        <ns0:v>JST XH, 1x07, 2,5 мм</ns0:v>
      </ns0:c>
      <ns0:c r="D354" t="str" s="34">
        <ns0:f>C354</ns0:f>
        <ns0:v>JST XH, 1x07, 2,5 мм</ns0:v>
      </ns0:c>
      <ns0:c r="E354" s="33"/>
      <ns0:c r="F354" s="33"/>
      <ns0:c r="G354" s="33"/>
      <ns0:c r="H354" t="str" s="35">
        <ns0:v>1x07, P2,5, THT, угловой</ns0:v>
      </ns0:c>
      <ns0:c r="I354" t="str" s="33">
        <ns0:v>JST</ns0:v>
      </ns0:c>
      <ns0:c r="J354" t="str" s="33">
        <ns0:v>S7B-XH-A-1</ns0:v>
      </ns0:c>
      <ns0:c r="K354" t="str" s="34">
        <ns0:f>B354&amp;" "&amp;D354&amp;" "&amp;J354</ns0:f>
        <ns0:v>Разъём JST XH, 1x07, 2,5 мм S7B-XH-A-1</ns0:v>
      </ns0:c>
      <ns0:c r="L354" t="str" s="36">
        <ns0:v>XP_7</ns0:v>
      </ns0:c>
      <ns0:c r="M354" t="str" s="36">
        <ns0:v>Symbols\MY_LIB_Connectors.SchLib</ns0:v>
      </ns0:c>
      <ns0:c r="N354" t="str" s="36">
        <ns0:v>JST_XH_S7B-XH-A-1</ns0:v>
      </ns0:c>
      <ns0:c r="O354" t="str" s="36">
        <ns0:v>Footprints\MY_LIB_Connectors.PcbLib</ns0:v>
      </ns0:c>
      <ns0:c r="P354" t="str" s="33">
        <ns0:v>Штыревой; 7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4" s="33"/>
      <ns0:c r="R354" t="str" s="34">
        <ns0:f>D354</ns0:f>
        <ns0:v>JST XH, 1x07, 2,5 мм</ns0:v>
      </ns0:c>
      <ns0:c r="S354" t="str" s="34">
        <ns0:f>K354</ns0:f>
        <ns0:v>Разъём JST XH, 1x07, 2,5 мм S7B-XH-A-1</ns0:v>
      </ns0:c>
      <ns0:c r="T354" t="str" s="33">
        <ns0:v>C:\Users\Nomatin\Documents\Altium\MY_LIB\MY_LIB\Datasheets\JST_XH.pdf</ns0:v>
      </ns0:c>
      <ns0:c r="U354" s="33"/>
      <ns0:c r="V354" t="str" s="33">
        <ns0:v>Даташит — локальный</ns0:v>
      </ns0:c>
      <ns0:c r="W354" t="str" s="33">
        <ns0:v>C:\Users\Nomatin\Documents\Altium\MY_LIB\MY_LIB\Datasheets\JST_XH.pdf</ns0:v>
      </ns0:c>
      <ns0:c r="X354" t="str" s="33">
        <ns0:v>Даташит — производитель</ns0:v>
      </ns0:c>
      <ns0:c r="Y354" t="str" s="33">
        <ns0:v>https://www.jst-mfg.com/product/pdf/eng/eXH.pdf</ns0:v>
      </ns0:c>
      <ns0:c r="Z354" t="str" s="33">
        <ns0:v>C:\Users\Nomatin\Documents\Altium\MY_LIB\MY_LIB\Datasheets\JST_XH.pdf</ns0:v>
      </ns0:c>
    </ns0:row>
    <ns0:row xmlns:ns0="http://schemas.openxmlformats.org/spreadsheetml/2006/main" r="355">
      <ns0:c r="A355" t="str" s="33">
        <ns0:v>XP0274</ns0:v>
      </ns0:c>
      <ns0:c r="B355" t="str" s="33">
        <ns0:v>Разъём</ns0:v>
      </ns0:c>
      <ns0:c r="C355" t="str" s="33">
        <ns0:v>JST XH, 1x07, 2,5 мм</ns0:v>
      </ns0:c>
      <ns0:c r="D355" t="str" s="34">
        <ns0:f>C355</ns0:f>
        <ns0:v>JST XH, 1x07, 2,5 мм</ns0:v>
      </ns0:c>
      <ns0:c r="E355" s="33"/>
      <ns0:c r="F355" s="33"/>
      <ns0:c r="G355" s="33"/>
      <ns0:c r="H355" t="str" s="35">
        <ns0:v>1x07, P2,5, THT, угловой</ns0:v>
      </ns0:c>
      <ns0:c r="I355" t="str" s="33">
        <ns0:v>JST</ns0:v>
      </ns0:c>
      <ns0:c r="J355" t="str" s="33">
        <ns0:v>S7B-XH-A</ns0:v>
      </ns0:c>
      <ns0:c r="K355" t="str" s="34">
        <ns0:f>B355&amp;" "&amp;D355&amp;" "&amp;J355</ns0:f>
        <ns0:v>Разъём JST XH, 1x07, 2,5 мм S7B-XH-A</ns0:v>
      </ns0:c>
      <ns0:c r="L355" t="str" s="36">
        <ns0:v>XP_7</ns0:v>
      </ns0:c>
      <ns0:c r="M355" t="str" s="36">
        <ns0:v>Symbols\MY_LIB_Connectors.SchLib</ns0:v>
      </ns0:c>
      <ns0:c r="N355" t="str" s="36">
        <ns0:v>JST_XH_S7B-XH-A</ns0:v>
      </ns0:c>
      <ns0:c r="O355" t="str" s="36">
        <ns0:v>Footprints\MY_LIB_Connectors.PcbLib</ns0:v>
      </ns0:c>
      <ns0:c r="P355" t="str" s="33">
        <ns0:v>Штыревой; 7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5" s="33"/>
      <ns0:c r="R355" t="str" s="34">
        <ns0:f>D355</ns0:f>
        <ns0:v>JST XH, 1x07, 2,5 мм</ns0:v>
      </ns0:c>
      <ns0:c r="S355" t="str" s="34">
        <ns0:f>K355</ns0:f>
        <ns0:v>Разъём JST XH, 1x07, 2,5 мм S7B-XH-A</ns0:v>
      </ns0:c>
      <ns0:c r="T355" t="str" s="33">
        <ns0:v>C:\Users\Nomatin\Documents\Altium\MY_LIB\MY_LIB\Datasheets\JST_XH.pdf</ns0:v>
      </ns0:c>
      <ns0:c r="U355" s="33"/>
      <ns0:c r="V355" t="str" s="33">
        <ns0:v>Даташит — локальный</ns0:v>
      </ns0:c>
      <ns0:c r="W355" t="str" s="33">
        <ns0:v>C:\Users\Nomatin\Documents\Altium\MY_LIB\MY_LIB\Datasheets\JST_XH.pdf</ns0:v>
      </ns0:c>
      <ns0:c r="X355" t="str" s="33">
        <ns0:v>Даташит — производитель</ns0:v>
      </ns0:c>
      <ns0:c r="Y355" t="str" s="33">
        <ns0:v>https://www.jst-mfg.com/product/pdf/eng/eXH.pdf</ns0:v>
      </ns0:c>
      <ns0:c r="Z355" t="str" s="33">
        <ns0:v>C:\Users\Nomatin\Documents\Altium\MY_LIB\MY_LIB\Datasheets\JST_XH.pdf</ns0:v>
      </ns0:c>
    </ns0:row>
    <ns0:row xmlns:ns0="http://schemas.openxmlformats.org/spreadsheetml/2006/main" r="356">
      <ns0:c r="A356" t="str" s="33">
        <ns0:v>XP0275</ns0:v>
      </ns0:c>
      <ns0:c r="B356" t="str" s="33">
        <ns0:v>Разъём</ns0:v>
      </ns0:c>
      <ns0:c r="C356" t="str" s="33">
        <ns0:v>JST XH, 1x08, 2,5 мм</ns0:v>
      </ns0:c>
      <ns0:c r="D356" t="str" s="34">
        <ns0:f>C356</ns0:f>
        <ns0:v>JST XH, 1x08, 2,5 мм</ns0:v>
      </ns0:c>
      <ns0:c r="E356" s="33"/>
      <ns0:c r="F356" s="33"/>
      <ns0:c r="G356" s="33"/>
      <ns0:c r="H356" t="str" s="35">
        <ns0:v>1x08, P2,5, THT, угловой</ns0:v>
      </ns0:c>
      <ns0:c r="I356" t="str" s="33">
        <ns0:v>JST</ns0:v>
      </ns0:c>
      <ns0:c r="J356" t="str" s="33">
        <ns0:v>S8B-XH-A-1</ns0:v>
      </ns0:c>
      <ns0:c r="K356" t="str" s="34">
        <ns0:f>B356&amp;" "&amp;D356&amp;" "&amp;J356</ns0:f>
        <ns0:v>Разъём JST XH, 1x08, 2,5 мм S8B-XH-A-1</ns0:v>
      </ns0:c>
      <ns0:c r="L356" t="str" s="36">
        <ns0:v>XP_8</ns0:v>
      </ns0:c>
      <ns0:c r="M356" t="str" s="36">
        <ns0:v>Symbols\MY_LIB_Connectors.SchLib</ns0:v>
      </ns0:c>
      <ns0:c r="N356" t="str" s="36">
        <ns0:v>JST_XH_S8B-XH-A-1</ns0:v>
      </ns0:c>
      <ns0:c r="O356" t="str" s="36">
        <ns0:v>Footprints\MY_LIB_Connectors.PcbLib</ns0:v>
      </ns0:c>
      <ns0:c r="P356" t="str" s="33">
        <ns0:v>Штыревой; 8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6" s="33"/>
      <ns0:c r="R356" t="str" s="34">
        <ns0:f>D356</ns0:f>
        <ns0:v>JST XH, 1x08, 2,5 мм</ns0:v>
      </ns0:c>
      <ns0:c r="S356" t="str" s="34">
        <ns0:f>K356</ns0:f>
        <ns0:v>Разъём JST XH, 1x08, 2,5 мм S8B-XH-A-1</ns0:v>
      </ns0:c>
      <ns0:c r="T356" t="str" s="33">
        <ns0:v>C:\Users\Nomatin\Documents\Altium\MY_LIB\MY_LIB\Datasheets\JST_XH.pdf</ns0:v>
      </ns0:c>
      <ns0:c r="U356" s="33"/>
      <ns0:c r="V356" t="str" s="33">
        <ns0:v>Даташит — локальный</ns0:v>
      </ns0:c>
      <ns0:c r="W356" t="str" s="33">
        <ns0:v>C:\Users\Nomatin\Documents\Altium\MY_LIB\MY_LIB\Datasheets\JST_XH.pdf</ns0:v>
      </ns0:c>
      <ns0:c r="X356" t="str" s="33">
        <ns0:v>Даташит — производитель</ns0:v>
      </ns0:c>
      <ns0:c r="Y356" t="str" s="33">
        <ns0:v>https://www.jst-mfg.com/product/pdf/eng/eXH.pdf</ns0:v>
      </ns0:c>
      <ns0:c r="Z356" t="str" s="33">
        <ns0:v>C:\Users\Nomatin\Documents\Altium\MY_LIB\MY_LIB\Datasheets\JST_XH.pdf</ns0:v>
      </ns0:c>
    </ns0:row>
    <ns0:row xmlns:ns0="http://schemas.openxmlformats.org/spreadsheetml/2006/main" r="357">
      <ns0:c r="A357" t="str" s="33">
        <ns0:v>XP0276</ns0:v>
      </ns0:c>
      <ns0:c r="B357" t="str" s="33">
        <ns0:v>Разъём</ns0:v>
      </ns0:c>
      <ns0:c r="C357" t="str" s="33">
        <ns0:v>JST XH, 1x08, 2,5 мм</ns0:v>
      </ns0:c>
      <ns0:c r="D357" t="str" s="34">
        <ns0:f>C357</ns0:f>
        <ns0:v>JST XH, 1x08, 2,5 мм</ns0:v>
      </ns0:c>
      <ns0:c r="E357" s="33"/>
      <ns0:c r="F357" s="33"/>
      <ns0:c r="G357" s="33"/>
      <ns0:c r="H357" t="str" s="35">
        <ns0:v>1x08, P2,5, THT, угловой</ns0:v>
      </ns0:c>
      <ns0:c r="I357" t="str" s="33">
        <ns0:v>JST</ns0:v>
      </ns0:c>
      <ns0:c r="J357" t="str" s="33">
        <ns0:v>S8B-XH-A</ns0:v>
      </ns0:c>
      <ns0:c r="K357" t="str" s="34">
        <ns0:f>B357&amp;" "&amp;D357&amp;" "&amp;J357</ns0:f>
        <ns0:v>Разъём JST XH, 1x08, 2,5 мм S8B-XH-A</ns0:v>
      </ns0:c>
      <ns0:c r="L357" t="str" s="36">
        <ns0:v>XP_8</ns0:v>
      </ns0:c>
      <ns0:c r="M357" t="str" s="36">
        <ns0:v>Symbols\MY_LIB_Connectors.SchLib</ns0:v>
      </ns0:c>
      <ns0:c r="N357" t="str" s="36">
        <ns0:v>JST_XH_S8B-XH-A</ns0:v>
      </ns0:c>
      <ns0:c r="O357" t="str" s="36">
        <ns0:v>Footprints\MY_LIB_Connectors.PcbLib</ns0:v>
      </ns0:c>
      <ns0:c r="P357" t="str" s="33">
        <ns0:v>Штыревой; 8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7" s="33"/>
      <ns0:c r="R357" t="str" s="34">
        <ns0:f>D357</ns0:f>
        <ns0:v>JST XH, 1x08, 2,5 мм</ns0:v>
      </ns0:c>
      <ns0:c r="S357" t="str" s="34">
        <ns0:f>K357</ns0:f>
        <ns0:v>Разъём JST XH, 1x08, 2,5 мм S8B-XH-A</ns0:v>
      </ns0:c>
      <ns0:c r="T357" t="str" s="33">
        <ns0:v>C:\Users\Nomatin\Documents\Altium\MY_LIB\MY_LIB\Datasheets\JST_XH.pdf</ns0:v>
      </ns0:c>
      <ns0:c r="U357" s="33"/>
      <ns0:c r="V357" t="str" s="33">
        <ns0:v>Даташит — локальный</ns0:v>
      </ns0:c>
      <ns0:c r="W357" t="str" s="33">
        <ns0:v>C:\Users\Nomatin\Documents\Altium\MY_LIB\MY_LIB\Datasheets\JST_XH.pdf</ns0:v>
      </ns0:c>
      <ns0:c r="X357" t="str" s="33">
        <ns0:v>Даташит — производитель</ns0:v>
      </ns0:c>
      <ns0:c r="Y357" t="str" s="33">
        <ns0:v>https://www.jst-mfg.com/product/pdf/eng/eXH.pdf</ns0:v>
      </ns0:c>
      <ns0:c r="Z357" t="str" s="33">
        <ns0:v>C:\Users\Nomatin\Documents\Altium\MY_LIB\MY_LIB\Datasheets\JST_XH.pdf</ns0:v>
      </ns0:c>
    </ns0:row>
    <ns0:row xmlns:ns0="http://schemas.openxmlformats.org/spreadsheetml/2006/main" r="358">
      <ns0:c r="A358" t="str" s="33">
        <ns0:v>XP0277</ns0:v>
      </ns0:c>
      <ns0:c r="B358" t="str" s="33">
        <ns0:v>Разъём</ns0:v>
      </ns0:c>
      <ns0:c r="C358" t="str" s="33">
        <ns0:v>JST XH, 1x09, 2,5 мм</ns0:v>
      </ns0:c>
      <ns0:c r="D358" t="str" s="34">
        <ns0:f>C358</ns0:f>
        <ns0:v>JST XH, 1x09, 2,5 мм</ns0:v>
      </ns0:c>
      <ns0:c r="E358" s="33"/>
      <ns0:c r="F358" s="33"/>
      <ns0:c r="G358" s="33"/>
      <ns0:c r="H358" t="str" s="35">
        <ns0:v>1x09, P2,5, THT, угловой</ns0:v>
      </ns0:c>
      <ns0:c r="I358" t="str" s="33">
        <ns0:v>JST</ns0:v>
      </ns0:c>
      <ns0:c r="J358" t="str" s="33">
        <ns0:v>S9B-XH-A-1</ns0:v>
      </ns0:c>
      <ns0:c r="K358" t="str" s="34">
        <ns0:f>B358&amp;" "&amp;D358&amp;" "&amp;J358</ns0:f>
        <ns0:v>Разъём JST XH, 1x09, 2,5 мм S9B-XH-A-1</ns0:v>
      </ns0:c>
      <ns0:c r="L358" t="str" s="36">
        <ns0:v>XP_9</ns0:v>
      </ns0:c>
      <ns0:c r="M358" t="str" s="36">
        <ns0:v>Symbols\MY_LIB_Connectors.SchLib</ns0:v>
      </ns0:c>
      <ns0:c r="N358" t="str" s="36">
        <ns0:v>JST_XH_S9B-XH-A-1</ns0:v>
      </ns0:c>
      <ns0:c r="O358" t="str" s="36">
        <ns0:v>Footprints\MY_LIB_Connectors.PcbLib</ns0:v>
      </ns0:c>
      <ns0:c r="P358" t="str" s="33">
        <ns0:v>Штыревой; 9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8" s="33"/>
      <ns0:c r="R358" t="str" s="34">
        <ns0:f>D358</ns0:f>
        <ns0:v>JST XH, 1x09, 2,5 мм</ns0:v>
      </ns0:c>
      <ns0:c r="S358" t="str" s="34">
        <ns0:f>K358</ns0:f>
        <ns0:v>Разъём JST XH, 1x09, 2,5 мм S9B-XH-A-1</ns0:v>
      </ns0:c>
      <ns0:c r="T358" t="str" s="33">
        <ns0:v>C:\Users\Nomatin\Documents\Altium\MY_LIB\MY_LIB\Datasheets\JST_XH.pdf</ns0:v>
      </ns0:c>
      <ns0:c r="U358" s="33"/>
      <ns0:c r="V358" t="str" s="33">
        <ns0:v>Даташит — локальный</ns0:v>
      </ns0:c>
      <ns0:c r="W358" t="str" s="33">
        <ns0:v>C:\Users\Nomatin\Documents\Altium\MY_LIB\MY_LIB\Datasheets\JST_XH.pdf</ns0:v>
      </ns0:c>
      <ns0:c r="X358" t="str" s="33">
        <ns0:v>Даташит — производитель</ns0:v>
      </ns0:c>
      <ns0:c r="Y358" t="str" s="33">
        <ns0:v>https://www.jst-mfg.com/product/pdf/eng/eXH.pdf</ns0:v>
      </ns0:c>
      <ns0:c r="Z358" t="str" s="33">
        <ns0:v>C:\Users\Nomatin\Documents\Altium\MY_LIB\MY_LIB\Datasheets\JST_XH.pdf</ns0:v>
      </ns0:c>
    </ns0:row>
    <ns0:row xmlns:ns0="http://schemas.openxmlformats.org/spreadsheetml/2006/main" r="359">
      <ns0:c r="A359" t="str" s="33">
        <ns0:v>XP0278</ns0:v>
      </ns0:c>
      <ns0:c r="B359" t="str" s="33">
        <ns0:v>Разъём</ns0:v>
      </ns0:c>
      <ns0:c r="C359" t="str" s="33">
        <ns0:v>JST XH, 1x09, 2,5 мм</ns0:v>
      </ns0:c>
      <ns0:c r="D359" t="str" s="34">
        <ns0:f>C359</ns0:f>
        <ns0:v>JST XH, 1x09, 2,5 мм</ns0:v>
      </ns0:c>
      <ns0:c r="E359" s="33"/>
      <ns0:c r="F359" s="33"/>
      <ns0:c r="G359" s="33"/>
      <ns0:c r="H359" t="str" s="35">
        <ns0:v>1x09, P2,5, THT, угловой</ns0:v>
      </ns0:c>
      <ns0:c r="I359" t="str" s="33">
        <ns0:v>JST</ns0:v>
      </ns0:c>
      <ns0:c r="J359" t="str" s="33">
        <ns0:v>S9B-XH-A</ns0:v>
      </ns0:c>
      <ns0:c r="K359" t="str" s="34">
        <ns0:f>B359&amp;" "&amp;D359&amp;" "&amp;J359</ns0:f>
        <ns0:v>Разъём JST XH, 1x09, 2,5 мм S9B-XH-A</ns0:v>
      </ns0:c>
      <ns0:c r="L359" t="str" s="36">
        <ns0:v>XP_9</ns0:v>
      </ns0:c>
      <ns0:c r="M359" t="str" s="36">
        <ns0:v>Symbols\MY_LIB_Connectors.SchLib</ns0:v>
      </ns0:c>
      <ns0:c r="N359" t="str" s="36">
        <ns0:v>JST_XH_S9B-XH-A</ns0:v>
      </ns0:c>
      <ns0:c r="O359" t="str" s="36">
        <ns0:v>Footprints\MY_LIB_Connectors.PcbLib</ns0:v>
      </ns0:c>
      <ns0:c r="P359" t="str" s="33">
        <ns0:v>Штыревой; 9 сигнальных контактов, шаг 2,5 мм; угловой, THT. Механические отверстия NPTH без номера и электрического подключения. Готовый STEP встроен; происхождение модели — Footprints/JST_PH_XH/MODEL_INDEX.csv. MPN приведён как базовое исполнение; суффиксы покрытия и упаковки уточняются при заказе.</ns0:v>
      </ns0:c>
      <ns0:c r="Q359" s="33"/>
      <ns0:c r="R359" t="str" s="34">
        <ns0:f>D359</ns0:f>
        <ns0:v>JST XH, 1x09, 2,5 мм</ns0:v>
      </ns0:c>
      <ns0:c r="S359" t="str" s="34">
        <ns0:f>K359</ns0:f>
        <ns0:v>Разъём JST XH, 1x09, 2,5 мм S9B-XH-A</ns0:v>
      </ns0:c>
      <ns0:c r="T359" t="str" s="33">
        <ns0:v>C:\Users\Nomatin\Documents\Altium\MY_LIB\MY_LIB\Datasheets\JST_XH.pdf</ns0:v>
      </ns0:c>
      <ns0:c r="U359" s="33"/>
      <ns0:c r="V359" t="str" s="33">
        <ns0:v>Даташит — локальный</ns0:v>
      </ns0:c>
      <ns0:c r="W359" t="str" s="33">
        <ns0:v>C:\Users\Nomatin\Documents\Altium\MY_LIB\MY_LIB\Datasheets\JST_XH.pdf</ns0:v>
      </ns0:c>
      <ns0:c r="X359" t="str" s="33">
        <ns0:v>Даташит — производитель</ns0:v>
      </ns0:c>
      <ns0:c r="Y359" t="str" s="33">
        <ns0:v>https://www.jst-mfg.com/product/pdf/eng/eXH.pdf</ns0:v>
      </ns0:c>
      <ns0:c r="Z359" t="str" s="33">
        <ns0:v>C:\Users\Nomatin\Documents\Altium\MY_LIB\MY_LIB\Datasheets\JST_XH.pdf</ns0:v>
      </ns0:c>
    </ns0:row>
  </x:sheetData>
  <x:pageMargins left="0.7" right="0.7" top="0.75" bottom="0.75" header="0.3" footer="0.3"/>
  <x:tableParts count="1">
    <x:tablePart xmlns:r="http://schemas.openxmlformats.org/officeDocument/2006/relationships" r:id="Ra027cb023ce740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6" hidden="0" customWidth="1"/>
    <x:col min="7" max="7" width="14" hidden="0" customWidth="1"/>
    <x:col min="8" max="8" width="22" hidden="0" customWidth="1"/>
    <x:col min="9" max="9" width="24" hidden="0" customWidth="1"/>
    <x:col min="10" max="10" width="24" hidden="0" customWidth="1"/>
    <x:col min="11" max="11" width="45" hidden="0" customWidth="1"/>
    <x:col min="12" max="12" width="23" hidden="0" customWidth="1"/>
    <x:col min="13" max="13" width="38" hidden="0" customWidth="1"/>
    <x:col min="14" max="14" width="28" hidden="0" customWidth="1"/>
    <x:col min="15" max="15" width="52" hidden="0" customWidth="1"/>
    <x:col min="16" max="16" width="60" hidden="0" customWidth="1"/>
    <x:col min="17" max="17" width="18" hidden="0" customWidth="1"/>
    <x:col min="18" max="18" width="20" hidden="0" customWidth="1"/>
    <x:col min="19" max="19" width="45" hidden="0" customWidth="1"/>
    <x:col min="20" max="20" width="48" hidden="0" customWidth="1"/>
    <x:col min="21" max="21" width="48" hidden="0" customWidth="1"/>
    <x:col min="22" max="22" width="48" hidden="0" customWidth="1"/>
    <x:col min="23" max="23" width="48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27" hidden="0" customWidth="1"/>
    <x:col min="29" max="29" width="27" hidden="0" customWidth="1"/>
    <x:col min="30" max="30" width="45" customWidth="1"/>
    <x:col min="31" max="31" width="45" customWidth="1"/>
    <x:col min="32" max="32" width="45" customWidth="1"/>
  </x:cols>
  <x:sheetData>
    <x:row r="1" ht="46" customHeight="1">
      <x:c r="A1" s="32" t="str">
        <x:v>ID</x:v>
      </x:c>
      <x:c r="B1" s="32" t="str">
        <x:v>Type</x:v>
      </x:c>
      <x:c r="C1" s="32" t="str">
        <x:v>Value</x:v>
      </x:c>
      <x:c r="D1" s="32" t="str">
        <x:v>ESKD_value</x:v>
      </x:c>
      <x:c r="E1" s="32" t="str">
        <x:v>Tolerance</x:v>
      </x:c>
      <x:c r="F1" s="32" t="str">
        <x:v>Power</x:v>
      </x:c>
      <x:c r="G1" s="32" t="str">
        <x:v>Voltage</x:v>
      </x:c>
      <x:c r="H1" s="32" t="str">
        <x:v>Package</x:v>
      </x:c>
      <x:c r="I1" s="32" t="str">
        <x:v>Manufacturer</x:v>
      </x:c>
      <x:c r="J1" s="32" t="str">
        <x:v>MPN</x:v>
      </x:c>
      <x:c r="K1" s="32" t="str">
        <x:v>CommentBase</x:v>
      </x:c>
      <x:c r="L1" s="32" t="str">
        <x:v>Library Ref</x:v>
      </x:c>
      <x:c r="M1" s="32" t="str">
        <x:v>Library Path</x:v>
      </x:c>
      <x:c r="N1" s="32" t="str">
        <x:v>Footprint Ref</x:v>
      </x:c>
      <x:c r="O1" s="32" t="str">
        <x:v>Footprint Path</x:v>
      </x:c>
      <x:c r="P1" s="32" t="str">
        <x:v>Notes</x:v>
      </x:c>
      <x:c r="Q1" s="32" t="str">
        <x:v>Dielectric</x:v>
      </x:c>
      <x:c r="R1" s="32" t="str">
        <x:v>Comment</x:v>
      </x:c>
      <x:c r="S1" s="32" t="str">
        <x:v>Description</x:v>
      </x:c>
      <x:c xmlns:x="http://schemas.openxmlformats.org/spreadsheetml/2006/main" r="T1" t="str" s="32">
        <x:v>Datasheet</x:v>
      </x:c>
      <x:c r="U1" s="32" t="str">
        <x:v>DatasheetRevision</x:v>
      </x:c>
      <x:c xmlns:x="http://schemas.openxmlformats.org/spreadsheetml/2006/main" r="V1" t="str" s="32">
        <x:v>ComponentLink1Description</x:v>
      </x:c>
      <x:c xmlns:x="http://schemas.openxmlformats.org/spreadsheetml/2006/main" r="W1" t="str" s="32">
        <x:v>ComponentLink1URL</x:v>
      </x:c>
      <x:c r="X1" s="32" t="str">
        <x:v>CurrentRating</x:v>
      </x:c>
      <x:c r="Y1" s="32" t="str">
        <x:v>OperatingTemperatureMin</x:v>
      </x:c>
      <x:c r="Z1" s="32" t="str">
        <x:v>OperatingTemperatureMax</x:v>
      </x:c>
      <x:c r="AA1" s="32" t="str">
        <x:v>TemperatureReference</x:v>
      </x:c>
      <x:c r="AB1" s="32" t="str">
        <x:v>ContactForm</x:v>
      </x:c>
      <x:c r="AC1" s="32" t="str">
        <x:v>Positions</x:v>
      </x:c>
      <x:c xmlns:x="http://schemas.openxmlformats.org/spreadsheetml/2006/main" r="AD1" t="str" s="32">
        <x:v>ComponentLink2Description</x:v>
      </x:c>
      <x:c xmlns:x="http://schemas.openxmlformats.org/spreadsheetml/2006/main" r="AE1" t="str" s="32">
        <x:v>ComponentLink2URL</x:v>
      </x:c>
      <x:c xmlns:x="http://schemas.openxmlformats.org/spreadsheetml/2006/main" r="AF1" t="str" s="32">
        <x:v>HelpURL</x:v>
      </x:c>
    </x:row>
    <x:row r="2" ht="72" customHeight="1">
      <x:c r="A2" s="33" t="str">
        <x:v>SA0001</x:v>
      </x:c>
      <x:c r="B2" s="33" t="str">
        <x:v>Переключатель</x:v>
      </x:c>
      <x:c r="C2" s="33" t="str">
        <x:v>DS1040-01RT</x:v>
      </x:c>
      <x:c r="D2" s="34" t="str">
        <x:f>C2</x:f>
        <x:v>DS1040-01RT</x:v>
      </x:c>
      <x:c r="E2" s="33"/>
      <x:c r="F2" s="33"/>
      <x:c r="G2" s="33" t="str">
        <x:v>24 В AC/DC</x:v>
      </x:c>
      <x:c r="H2" s="35" t="str">
        <x:v>Piano DIP, THT, 2 вывода</x:v>
      </x:c>
      <x:c r="I2" s="33" t="str">
        <x:v>CONNFLY</x:v>
      </x:c>
      <x:c r="J2" s="33" t="str">
        <x:v>DS1040-01RT</x:v>
      </x:c>
      <x:c r="K2" s="34" t="str">
        <x:f>B2&amp;" "&amp;J2</x:f>
        <x:v>Переключатель DS1040-01RT</x:v>
      </x:c>
      <x:c r="L2" s="36" t="str">
        <x:v>DS1040-01RT</x:v>
      </x:c>
      <x:c r="M2" s="36" t="str">
        <x:v>Symbols\MY_LIB_Switches.SchLib</x:v>
      </x:c>
      <x:c r="N2" s="36" t="str">
        <x:v>CONNFLY_DS1040_01RT</x:v>
      </x:c>
      <x:c r="O2" s="36" t="str">
        <x:v>Footprints\CONNFLY_DS1040-01RT\CONNFLY_DS1040_01RT.PcbLib</x:v>
      </x:c>
      <x:c r="P2" s="33" t="str">
        <x:v>1 позиция SPST Piano; красный корпус. 3D-модель приблизительная: см. REVIEW.md в папке footprint.</x:v>
      </x:c>
      <x:c r="Q2" s="33"/>
      <x:c r="R2" s="34" t="str">
        <x:f>D2</x:f>
        <x:v>DS1040-01RT</x:v>
      </x:c>
      <x:c r="S2" s="34" t="str">
        <x:f>K2</x:f>
        <x:v>Переключатель DS1040-01RT</x:v>
      </x:c>
      <x:c xmlns:x="http://schemas.openxmlformats.org/spreadsheetml/2006/main" r="T2" t="str" s="33">
        <x:v>C:\Users\Nomatin\Documents\Altium\MY_LIB\MY_LIB\Datasheets\CONNFLY_DS1040_series.pdf</x:v>
      </x:c>
      <x:c r="U2" s="33" t="str">
        <x:v>C-DS1040-01XT-E, Rev. E, 05.07.2019</x:v>
      </x:c>
      <x:c xmlns:x="http://schemas.openxmlformats.org/spreadsheetml/2006/main" r="V2" t="str" s="33">
        <x:v>Даташит — локальный</x:v>
      </x:c>
      <x:c xmlns:x="http://schemas.openxmlformats.org/spreadsheetml/2006/main" r="W2" t="str" s="33">
        <x:v>C:\Users\Nomatin\Documents\Altium\MY_LIB\MY_LIB\Datasheets\CONNFLY_DS1040_series.pdf</x:v>
      </x:c>
      <x:c r="X2" s="33" t="str">
        <x:v>100 мА</x:v>
      </x:c>
      <x:c r="Y2" s="48" t="n">
        <x:v>-40</x:v>
      </x:c>
      <x:c r="Z2" s="48" t="n">
        <x:v>105</x:v>
      </x:c>
      <x:c r="AA2" s="33" t="str">
        <x:v>Temperature Range, °C; DS1040 sheet 3</x:v>
      </x:c>
      <x:c r="AB2" s="33" t="str">
        <x:v>SPST</x:v>
      </x:c>
      <x:c r="AC2" s="48" t="n">
        <x:v>1</x:v>
      </x:c>
      <x:c xmlns:x="http://schemas.openxmlformats.org/spreadsheetml/2006/main" r="AD2" t="str" s="33">
        <x:v>Даташит — производитель</x:v>
      </x:c>
      <x:c xmlns:x="http://schemas.openxmlformats.org/spreadsheetml/2006/main" r="AE2" t="str" s="33">
        <x:v>https://www.connfly.com/static/upload/file/pdf/DS1040.pdf</x:v>
      </x:c>
      <x:c xmlns:x="http://schemas.openxmlformats.org/spreadsheetml/2006/main" r="AF2" t="str" s="33">
        <x:v>C:\Users\Nomatin\Documents\Altium\MY_LIB\MY_LIB\Datasheets\CONNFLY_DS1040_series.pdf</x:v>
      </x:c>
    </x:row>
  </x:sheetData>
  <x:pageMargins left="0.7" right="0.7" top="0.75" bottom="0.75" header="0.3" footer="0.3"/>
  <x:tableParts count="1">
    <x:tablePart xmlns:r="http://schemas.openxmlformats.org/officeDocument/2006/relationships" r:id="R5dd681b1c0d9423d"/>
  </x:tableParts>
</x:worksheet>
</file>

<file path=xl/worksheets/sheet6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20" hidden="0" customWidth="1"/>
    <ns0:col min="3" max="3" width="20" hidden="0" customWidth="1"/>
    <ns0:col min="4" max="4" width="20" hidden="0" customWidth="1"/>
    <ns0:col min="5" max="5" width="15" hidden="0" customWidth="1"/>
    <ns0:col min="6" max="6" width="16" hidden="0" customWidth="1"/>
    <ns0:col min="7" max="7" width="14" hidden="0" customWidth="1"/>
    <ns0:col min="8" max="8" width="22" hidden="0" customWidth="1"/>
    <ns0:col min="9" max="9" width="24" hidden="0" customWidth="1"/>
    <ns0:col min="10" max="10" width="27" hidden="0" customWidth="1"/>
    <ns0:col min="11" max="11" width="45" hidden="0" customWidth="1"/>
    <ns0:col min="12" max="12" width="27" hidden="0" customWidth="1"/>
    <ns0:col min="13" max="13" width="27" hidden="0" customWidth="1"/>
    <ns0:col min="14" max="14" width="27" hidden="0" customWidth="1"/>
    <ns0:col min="15" max="15" width="50" hidden="0" customWidth="1"/>
    <ns0:col min="16" max="16" width="50" hidden="0" customWidth="1"/>
    <ns0:col min="17" max="17" width="18" hidden="0" customWidth="1"/>
    <ns0:col min="18" max="18" width="20" hidden="0" customWidth="1"/>
    <ns0:col min="19" max="19" width="45" hidden="0" customWidth="1"/>
    <ns0:col min="20" max="20" width="45" hidden="0" customWidth="1"/>
    <ns0:col min="21" max="21" width="45" hidden="0" customWidth="1"/>
    <ns0:col min="22" max="22" width="45" hidden="0" customWidth="1"/>
    <ns0:col min="23" max="23" width="45" hidden="0" customWidth="1"/>
    <ns0:col min="24" max="24" width="24" hidden="0" customWidth="1"/>
    <ns0:col min="25" max="25" width="24" hidden="0" customWidth="1"/>
    <ns0:col min="26" max="26" width="24" hidden="0" customWidth="1"/>
    <ns0:col min="27" max="27" width="24" hidden="0" customWidth="1"/>
    <ns0:col min="28" max="28" width="24" hidden="0" customWidth="1"/>
    <ns0:col min="29" max="29" width="24" hidden="0" customWidth="1"/>
    <ns0:col min="30" max="30" width="24" hidden="0" customWidth="1"/>
    <ns0:col min="31" max="31" width="24" hidden="0" customWidth="1"/>
    <ns0:col min="32" max="32" width="24" hidden="0" customWidth="1"/>
    <ns0:col min="33" max="33" width="24" hidden="0" customWidth="1"/>
    <ns0:col min="34" max="34" width="24" hidden="0" customWidth="1"/>
    <ns0:col min="35" max="35" width="45" customWidth="1"/>
    <ns0:col min="36" max="36" width="45" customWidth="1"/>
    <ns0:col min="37" max="37" width="45" customWidth="1"/>
  </ns0:cols>
  <ns0:sheetData>
    <ns0:row r="1" ht="44" customHeight="1">
      <ns0:c r="A1" t="str" s="32">
        <ns0:v>ID</ns0:v>
      </ns0:c>
      <ns0:c r="B1" t="str" s="32">
        <ns0:v>Type</ns0:v>
      </ns0:c>
      <ns0:c r="C1" t="str" s="32">
        <ns0:v>Value</ns0:v>
      </ns0:c>
      <ns0:c r="D1" t="str" s="32">
        <ns0:v>ESKD_value</ns0:v>
      </ns0:c>
      <ns0:c r="E1" t="str" s="32">
        <ns0:v>Tolerance</ns0:v>
      </ns0:c>
      <ns0:c r="F1" t="str" s="32">
        <ns0:v>Power</ns0:v>
      </ns0:c>
      <ns0:c r="G1" t="str" s="32">
        <ns0:v>Voltage</ns0:v>
      </ns0:c>
      <ns0:c r="H1" t="str" s="32">
        <ns0:v>Package</ns0:v>
      </ns0:c>
      <ns0:c r="I1" t="str" s="32">
        <ns0:v>Manufacturer</ns0:v>
      </ns0:c>
      <ns0:c r="J1" t="str" s="32">
        <ns0:v>MPN</ns0:v>
      </ns0:c>
      <ns0:c r="K1" t="str" s="32">
        <ns0:v>CommentBase</ns0:v>
      </ns0:c>
      <ns0:c r="L1" t="str" s="32">
        <ns0:v>Library Ref</ns0:v>
      </ns0:c>
      <ns0:c r="M1" t="str" s="32">
        <ns0:v>Library Path</ns0:v>
      </ns0:c>
      <ns0:c r="N1" t="str" s="32">
        <ns0:v>Footprint Ref</ns0:v>
      </ns0:c>
      <ns0:c r="O1" t="str" s="32">
        <ns0:v>Footprint Path</ns0:v>
      </ns0:c>
      <ns0:c r="P1" t="str" s="32">
        <ns0:v>Notes</ns0:v>
      </ns0:c>
      <ns0:c r="Q1" t="str" s="32">
        <ns0:v>Dielectric</ns0:v>
      </ns0:c>
      <ns0:c r="R1" t="str" s="32">
        <ns0:v>Comment</ns0:v>
      </ns0:c>
      <ns0:c r="S1" t="str" s="32">
        <ns0:v>Description</ns0:v>
      </ns0:c>
      <x:c xmlns:x="http://schemas.openxmlformats.org/spreadsheetml/2006/main" r="T1" t="str" s="32">
        <x:v>Datasheet</x:v>
      </x:c>
      <ns0:c r="U1" t="str" s="32">
        <ns0:v>DatasheetRevision</ns0:v>
      </ns0:c>
      <x:c xmlns:x="http://schemas.openxmlformats.org/spreadsheetml/2006/main" r="V1" t="str" s="32">
        <x:v>ComponentLink1Description</x:v>
      </x:c>
      <x:c xmlns:x="http://schemas.openxmlformats.org/spreadsheetml/2006/main" r="W1" t="str" s="32">
        <x:v>ComponentLink1URL</x:v>
      </x:c>
      <ns0:c r="X1" t="str" s="32">
        <ns0:v>Color</ns0:v>
      </ns0:c>
      <ns0:c r="Y1" t="str" s="32">
        <ns0:v>WavelengthNm</ns0:v>
      </ns0:c>
      <ns0:c r="Z1" t="str" s="32">
        <ns0:v>ForwardVoltageTypicalV</ns0:v>
      </ns0:c>
      <ns0:c r="AA1" t="str" s="32">
        <ns0:v>ForwardVoltageMaxV</ns0:v>
      </ns0:c>
      <ns0:c r="AB1" t="str" s="32">
        <ns0:v>TestCurrentMa</ns0:v>
      </ns0:c>
      <ns0:c r="AC1" t="str" s="32">
        <ns0:v>ViewingAngleDeg</ns0:v>
      </ns0:c>
      <ns0:c r="AD1" t="str" s="32">
        <ns0:v>IntensityMinMcd</ns0:v>
      </ns0:c>
      <ns0:c r="AE1" t="str" s="32">
        <ns0:v>IntensityTypicalMcd</ns0:v>
      </ns0:c>
      <ns0:c r="AF1" t="str" s="32">
        <ns0:v>PinMapping</ns0:v>
      </ns0:c>
      <ns0:c r="AG1" t="str" s="32">
        <ns0:v>ChipMaterial</ns0:v>
      </ns0:c>
      <ns0:c r="AH1" t="str" s="32">
        <ns0:v>Family</ns0:v>
      </ns0:c>
      <x:c xmlns:x="http://schemas.openxmlformats.org/spreadsheetml/2006/main" r="AI1" t="str" s="32">
        <x:v>ComponentLink2Description</x:v>
      </x:c>
      <x:c xmlns:x="http://schemas.openxmlformats.org/spreadsheetml/2006/main" r="AJ1" t="str" s="32">
        <x:v>ComponentLink2URL</x:v>
      </x:c>
      <x:c xmlns:x="http://schemas.openxmlformats.org/spreadsheetml/2006/main" r="AK1" t="str" s="32">
        <x:v>HelpURL</x:v>
      </x:c>
    </ns0:row>
    <ns0:row r="2" ht="70" customHeight="1">
      <ns0:c r="A2" t="str" s="33">
        <ns0:v>HL0001</ns0:v>
      </ns0:c>
      <ns0:c r="B2" t="str" s="33">
        <ns0:v>Светодиод</ns0:v>
      </ns0:c>
      <ns0:c r="C2" t="str" s="33">
        <ns0:v>TO-1608BC-BF</ns0:v>
      </ns0:c>
      <ns0:c r="D2" t="str" s="34">
        <ns0:f>C2</ns0:f>
        <ns0:v>TO-1608BC-BF</ns0:v>
      </ns0:c>
      <ns0:c r="E2" s="33"/>
      <ns0:c r="F2" s="33"/>
      <ns0:c r="G2" t="str" s="33">
        <ns0:v>3,2 В (тип., IF=20 мА)</ns0:v>
      </ns0:c>
      <ns0:c r="H2" t="str" s="35">
        <ns0:v>0603</ns0:v>
      </ns0:c>
      <ns0:c r="I2" t="str" s="33">
        <ns0:v>Oasistek</ns0:v>
      </ns0:c>
      <ns0:c r="J2" t="str" s="33">
        <ns0:v>TO-1608BC-BF</ns0:v>
      </ns0:c>
      <ns0:c r="K2" s="34" t="str">
        <ns0:f>B2&amp;" "&amp;X2&amp;" "&amp;LEFT(G2,FIND(" ",G2)-1)&amp;"В "&amp;AE2&amp;"мкд "&amp;H2</ns0:f>
        <ns0:v>Светодиод Синий 3,2В 247мкд 0603</ns0:v>
      </ns0:c>
      <ns0:c r="L2" t="str" s="36">
        <ns0:v>LED_1C2A</ns0:v>
      </ns0:c>
      <ns0:c r="M2" t="str" s="36">
        <ns0:v>Symbols\MY_LIB_Semiconductors.SchLib</ns0:v>
      </ns0:c>
      <ns0:c r="N2" t="str" s="36">
        <ns0:v>LED_0603_1C2A</ns0:v>
      </ns0:c>
      <ns0:c r="O2" t="str" s="36">
        <ns0:v>Footprints\MY_LIB_LED.PcbLib</ns0:v>
      </ns0:c>
      <ns0:c r="P2" t="str" s="33">
        <ns0:v>Прозрачная линза; VF/IV при IF=20 мА по каталогу 2021, стр.19–20. Стандартная геометрия 0603; не точная копия рекомендованного land pattern. Пины подтверждены индивидуальным даташитом.</ns0:v>
      </ns0:c>
      <ns0:c r="Q2" s="33"/>
      <ns0:c r="R2" t="str" s="34">
        <ns0:f>D2</ns0:f>
        <ns0:v>TO-1608BC-BF</ns0:v>
      </ns0:c>
      <ns0:c r="S2" s="34" t="str">
        <ns0:f>K2</ns0:f>
        <ns0:v>Светодиод Синий 3,2В 247мкд 0603</ns0:v>
      </ns0:c>
      <x:c xmlns:x="http://schemas.openxmlformats.org/spreadsheetml/2006/main" r="T2" t="str" s="33">
        <x:v>C:\Users\Nomatin\Documents\Altium\MY_LIB\MY_LIB\Datasheets\Oasistek_LED\TO-1608BC-BF.pdf</x:v>
      </x:c>
      <ns0:c r="U2" t="str" s="33">
        <ns0:v>Параметры: каталог 2021, стр.19–20; пины: Rev. A-1; 2015-11-16; GS15110003</ns0:v>
      </ns0:c>
      <x:c xmlns:x="http://schemas.openxmlformats.org/spreadsheetml/2006/main" r="V2" t="str" s="33">
        <x:v>Даташит — локальный</x:v>
      </x:c>
      <x:c xmlns:x="http://schemas.openxmlformats.org/spreadsheetml/2006/main" r="W2" t="str" s="33">
        <x:v>C:\Users\Nomatin\Documents\Altium\MY_LIB\MY_LIB\Datasheets\Oasistek_LED\TO-1608BC-BF.pdf</x:v>
      </x:c>
      <ns0:c r="X2" t="str" s="33">
        <ns0:v>Синий</ns0:v>
      </ns0:c>
      <ns0:c r="Y2" t="n" s="33">
        <ns0:v>468</ns0:v>
      </ns0:c>
      <ns0:c r="Z2" t="n" s="33">
        <ns0:v>3.2</ns0:v>
      </ns0:c>
      <ns0:c r="AA2" t="n" s="33">
        <ns0:v>3.6</ns0:v>
      </ns0:c>
      <ns0:c r="AB2" t="n" s="33">
        <ns0:v>20</ns0:v>
      </ns0:c>
      <ns0:c r="AC2" t="n" s="33">
        <ns0:v>120</ns0:v>
      </ns0:c>
      <ns0:c r="AD2" t="n" s="33">
        <ns0:v>112</ns0:v>
      </ns0:c>
      <ns0:c r="AE2" t="n" s="33">
        <ns0:v>247</ns0:v>
      </ns0:c>
      <ns0:c r="AF2" t="str" s="33">
        <ns0:v>1=C (K), 2=A</ns0:v>
      </ns0:c>
      <ns0:c r="AG2" t="str" s="33">
        <ns0:v>InGaN</ns0:v>
      </ns0:c>
      <ns0:c r="AH2" t="str" s="33">
        <ns0:v>TO-1608BC</ns0:v>
      </ns0:c>
      <x:c xmlns:x="http://schemas.openxmlformats.org/spreadsheetml/2006/main" r="AI2" t="str" s="33">
        <x:v>Даташит — производитель</x:v>
      </x:c>
      <x:c xmlns:x="http://schemas.openxmlformats.org/spreadsheetml/2006/main" r="AJ2" t="str" s="33">
        <x:v>https://www.oasistek.com/upload/2021_SMD_Lamp_Catalogue.pdf</x:v>
      </x:c>
      <x:c xmlns:x="http://schemas.openxmlformats.org/spreadsheetml/2006/main" r="AK2" t="str" s="33">
        <x:v>C:\Users\Nomatin\Documents\Altium\MY_LIB\MY_LIB\Datasheets\Oasistek_LED\TO-1608BC-BF.pdf</x:v>
      </x:c>
    </ns0:row>
    <ns0:row r="3" ht="70" customHeight="1">
      <ns0:c r="A3" t="str" s="33">
        <ns0:v>HL0002</ns0:v>
      </ns0:c>
      <ns0:c r="B3" t="str" s="33">
        <ns0:v>Светодиод</ns0:v>
      </ns0:c>
      <ns0:c r="C3" t="str" s="33">
        <ns0:v>TO-1608BC-PG</ns0:v>
      </ns0:c>
      <ns0:c r="D3" t="str" s="34">
        <ns0:f>C3</ns0:f>
        <ns0:v>TO-1608BC-PG</ns0:v>
      </ns0:c>
      <ns0:c r="E3" s="33"/>
      <ns0:c r="F3" s="33"/>
      <ns0:c r="G3" t="str" s="33">
        <ns0:v>3,2 В (тип., IF=20 мА)</ns0:v>
      </ns0:c>
      <ns0:c r="H3" t="str" s="35">
        <ns0:v>0603</ns0:v>
      </ns0:c>
      <ns0:c r="I3" t="str" s="33">
        <ns0:v>Oasistek</ns0:v>
      </ns0:c>
      <ns0:c r="J3" t="str" s="33">
        <ns0:v>TO-1608BC-PG</ns0:v>
      </ns0:c>
      <ns0:c r="K3" s="34" t="str">
        <ns0:f>B3&amp;" "&amp;X3&amp;" "&amp;LEFT(G3,FIND(" ",G3)-1)&amp;"В "&amp;AE3&amp;"мкд "&amp;H3</ns0:f>
        <ns0:v>Светодиод Чистый зелёный 3,2В 705мкд 0603</ns0:v>
      </ns0:c>
      <ns0:c r="L3" t="str" s="36">
        <ns0:v>LED_1C2A</ns0:v>
      </ns0:c>
      <ns0:c r="M3" t="str" s="36">
        <ns0:v>Symbols\MY_LIB_Semiconductors.SchLib</ns0:v>
      </ns0:c>
      <ns0:c r="N3" t="str" s="36">
        <ns0:v>LED_0603_1C2A</ns0:v>
      </ns0:c>
      <ns0:c r="O3" t="str" s="36">
        <ns0:v>Footprints\MY_LIB_LED.PcbLib</ns0:v>
      </ns0:c>
      <ns0:c r="P3" t="str" s="33">
        <ns0:v>Прозрачная линза; VF/IV при IF=20 мА по каталогу 2021, стр.19–20. Стандартная геометрия 0603; не точная копия рекомендованного land pattern. Пины подтверждены индивидуальным даташитом.</ns0:v>
      </ns0:c>
      <ns0:c r="Q3" s="33"/>
      <ns0:c r="R3" t="str" s="34">
        <ns0:f>D3</ns0:f>
        <ns0:v>TO-1608BC-PG</ns0:v>
      </ns0:c>
      <ns0:c r="S3" s="34" t="str">
        <ns0:f>K3</ns0:f>
        <ns0:v>Светодиод Чистый зелёный 3,2В 705мкд 0603</ns0:v>
      </ns0:c>
      <x:c xmlns:x="http://schemas.openxmlformats.org/spreadsheetml/2006/main" r="T3" t="str" s="33">
        <x:v>C:\Users\Nomatin\Documents\Altium\MY_LIB\MY_LIB\Datasheets\Oasistek_LED\TO-1608BC-PG.pdf</x:v>
      </x:c>
      <ns0:c r="U3" t="str" s="33">
        <ns0:v>Параметры: каталог 2021, стр.19–20; пины: Rev. A; 2017-05-18; GS1705005</ns0:v>
      </ns0:c>
      <x:c xmlns:x="http://schemas.openxmlformats.org/spreadsheetml/2006/main" r="V3" t="str" s="33">
        <x:v>Даташит — локальный</x:v>
      </x:c>
      <x:c xmlns:x="http://schemas.openxmlformats.org/spreadsheetml/2006/main" r="W3" t="str" s="33">
        <x:v>C:\Users\Nomatin\Documents\Altium\MY_LIB\MY_LIB\Datasheets\Oasistek_LED\TO-1608BC-PG.pdf</x:v>
      </x:c>
      <ns0:c r="X3" t="str" s="33">
        <ns0:v>Чистый зелёный</ns0:v>
      </ns0:c>
      <ns0:c r="Y3" t="n" s="33">
        <ns0:v>525</ns0:v>
      </ns0:c>
      <ns0:c r="Z3" t="n" s="33">
        <ns0:v>3.2</ns0:v>
      </ns0:c>
      <ns0:c r="AA3" t="n" s="33">
        <ns0:v>3.6</ns0:v>
      </ns0:c>
      <ns0:c r="AB3" t="n" s="33">
        <ns0:v>20</ns0:v>
      </ns0:c>
      <ns0:c r="AC3" t="n" s="33">
        <ns0:v>120</ns0:v>
      </ns0:c>
      <ns0:c r="AD3" t="n" s="33">
        <ns0:v>321</ns0:v>
      </ns0:c>
      <ns0:c r="AE3" t="n" s="33">
        <ns0:v>705</ns0:v>
      </ns0:c>
      <ns0:c r="AF3" t="str" s="33">
        <ns0:v>1=C (K), 2=A</ns0:v>
      </ns0:c>
      <ns0:c r="AG3" t="str" s="33">
        <ns0:v>InGaN</ns0:v>
      </ns0:c>
      <ns0:c r="AH3" t="str" s="33">
        <ns0:v>TO-1608BC</ns0:v>
      </ns0:c>
      <x:c xmlns:x="http://schemas.openxmlformats.org/spreadsheetml/2006/main" r="AI3" t="str" s="33">
        <x:v>Даташит — производитель</x:v>
      </x:c>
      <x:c xmlns:x="http://schemas.openxmlformats.org/spreadsheetml/2006/main" r="AJ3" t="str" s="33">
        <x:v>https://www.oasistek.com/upload/2021_SMD_Lamp_Catalogue.pdf</x:v>
      </x:c>
      <x:c xmlns:x="http://schemas.openxmlformats.org/spreadsheetml/2006/main" r="AK3" t="str" s="33">
        <x:v>C:\Users\Nomatin\Documents\Altium\MY_LIB\MY_LIB\Datasheets\Oasistek_LED\TO-1608BC-PG.pdf</x:v>
      </x:c>
    </ns0:row>
    <ns0:row r="4" ht="70" customHeight="1">
      <ns0:c r="A4" t="str" s="33">
        <ns0:v>HL0003</ns0:v>
      </ns0:c>
      <ns0:c r="B4" t="str" s="33">
        <ns0:v>Светодиод</ns0:v>
      </ns0:c>
      <ns0:c r="C4" t="str" s="33">
        <ns0:v>TO-1608BC-MGE</ns0:v>
      </ns0:c>
      <ns0:c r="D4" t="str" s="34">
        <ns0:f>C4</ns0:f>
        <ns0:v>TO-1608BC-MGE</ns0:v>
      </ns0:c>
      <ns0:c r="E4" s="33"/>
      <ns0:c r="F4" s="33"/>
      <ns0:c r="G4" t="str" s="33">
        <ns0:v>2 В (тип., IF=20 мА)</ns0:v>
      </ns0:c>
      <ns0:c r="H4" t="str" s="35">
        <ns0:v>0603</ns0:v>
      </ns0:c>
      <ns0:c r="I4" t="str" s="33">
        <ns0:v>Oasistek</ns0:v>
      </ns0:c>
      <ns0:c r="J4" t="str" s="33">
        <ns0:v>TO-1608BC-MGE</ns0:v>
      </ns0:c>
      <ns0:c r="K4" s="34" t="str">
        <ns0:f>B4&amp;" "&amp;X4&amp;" "&amp;LEFT(G4,FIND(" ",G4)-1)&amp;"В "&amp;AE4&amp;"мкд "&amp;H4</ns0:f>
        <ns0:v>Светодиод Жёлто-зелёный 2В 112мкд 0603</ns0:v>
      </ns0:c>
      <ns0:c r="L4" t="str" s="36">
        <ns0:v>LED_1C2A</ns0:v>
      </ns0:c>
      <ns0:c r="M4" t="str" s="36">
        <ns0:v>Symbols\MY_LIB_Semiconductors.SchLib</ns0:v>
      </ns0:c>
      <ns0:c r="N4" t="str" s="36">
        <ns0:v>LED_0603_1C2A</ns0:v>
      </ns0:c>
      <ns0:c r="O4" t="str" s="36">
        <ns0:v>Footprints\MY_LIB_LED.PcbLib</ns0:v>
      </ns0:c>
      <ns0:c r="P4" t="str" s="33">
        <ns0:v>Прозрачная линза; VF/IV при IF=20 мА по каталогу 2021, стр.19–20. Стандартная геометрия 0603; не точная копия рекомендованного land pattern. Пины подтверждены индивидуальным даташитом.</ns0:v>
      </ns0:c>
      <ns0:c r="Q4" s="33"/>
      <ns0:c r="R4" t="str" s="34">
        <ns0:f>D4</ns0:f>
        <ns0:v>TO-1608BC-MGE</ns0:v>
      </ns0:c>
      <ns0:c r="S4" s="34" t="str">
        <ns0:f>K4</ns0:f>
        <ns0:v>Светодиод Жёлто-зелёный 2В 112мкд 0603</ns0:v>
      </ns0:c>
      <x:c xmlns:x="http://schemas.openxmlformats.org/spreadsheetml/2006/main" r="T4" t="str" s="33">
        <x:v>C:\Users\Nomatin\Documents\Altium\MY_LIB\MY_LIB\Datasheets\Oasistek_LED\TO-1608BC-MGE.pdf</x:v>
      </x:c>
      <ns0:c r="U4" t="str" s="33">
        <ns0:v>Параметры: каталог 2021, стр.19–20; пины: Rev. A-1; 2015-11-16; GS1511006</ns0:v>
      </ns0:c>
      <x:c xmlns:x="http://schemas.openxmlformats.org/spreadsheetml/2006/main" r="V4" t="str" s="33">
        <x:v>Даташит — локальный</x:v>
      </x:c>
      <x:c xmlns:x="http://schemas.openxmlformats.org/spreadsheetml/2006/main" r="W4" t="str" s="33">
        <x:v>C:\Users\Nomatin\Documents\Altium\MY_LIB\MY_LIB\Datasheets\Oasistek_LED\TO-1608BC-MGE.pdf</x:v>
      </x:c>
      <ns0:c r="X4" t="str" s="33">
        <ns0:v>Жёлто-зелёный</ns0:v>
      </ns0:c>
      <ns0:c r="Y4" t="n" s="33">
        <ns0:v>572</ns0:v>
      </ns0:c>
      <ns0:c r="Z4" t="n" s="33">
        <ns0:v>2</ns0:v>
      </ns0:c>
      <ns0:c r="AA4" t="n" s="33">
        <ns0:v>2.4</ns0:v>
      </ns0:c>
      <ns0:c r="AB4" t="n" s="33">
        <ns0:v>20</ns0:v>
      </ns0:c>
      <ns0:c r="AC4" t="n" s="33">
        <ns0:v>120</ns0:v>
      </ns0:c>
      <ns0:c r="AD4" t="n" s="33">
        <ns0:v>51</ns0:v>
      </ns0:c>
      <ns0:c r="AE4" t="n" s="33">
        <ns0:v>112</ns0:v>
      </ns0:c>
      <ns0:c r="AF4" t="str" s="33">
        <ns0:v>1=C (K), 2=A</ns0:v>
      </ns0:c>
      <ns0:c r="AG4" t="str" s="33">
        <ns0:v>AlGaInP</ns0:v>
      </ns0:c>
      <ns0:c r="AH4" t="str" s="33">
        <ns0:v>TO-1608BC</ns0:v>
      </ns0:c>
      <x:c xmlns:x="http://schemas.openxmlformats.org/spreadsheetml/2006/main" r="AI4" t="str" s="33">
        <x:v>Даташит — производитель</x:v>
      </x:c>
      <x:c xmlns:x="http://schemas.openxmlformats.org/spreadsheetml/2006/main" r="AJ4" t="str" s="33">
        <x:v>https://www.oasistek.com/upload/2021_SMD_Lamp_Catalogue.pdf</x:v>
      </x:c>
      <x:c xmlns:x="http://schemas.openxmlformats.org/spreadsheetml/2006/main" r="AK4" t="str" s="33">
        <x:v>C:\Users\Nomatin\Documents\Altium\MY_LIB\MY_LIB\Datasheets\Oasistek_LED\TO-1608BC-MGE.pdf</x:v>
      </x:c>
    </ns0:row>
    <ns0:row r="5" ht="70" customHeight="1">
      <ns0:c r="A5" t="str" s="33">
        <ns0:v>HL0004</ns0:v>
      </ns0:c>
      <ns0:c r="B5" t="str" s="33">
        <ns0:v>Светодиод</ns0:v>
      </ns0:c>
      <ns0:c r="C5" t="str" s="33">
        <ns0:v>TO-1608BC-MYF</ns0:v>
      </ns0:c>
      <ns0:c r="D5" t="str" s="34">
        <ns0:f>C5</ns0:f>
        <ns0:v>TO-1608BC-MYF</ns0:v>
      </ns0:c>
      <ns0:c r="E5" s="33"/>
      <ns0:c r="F5" s="33"/>
      <ns0:c r="G5" t="str" s="33">
        <ns0:v>2 В (тип., IF=20 мА)</ns0:v>
      </ns0:c>
      <ns0:c r="H5" t="str" s="35">
        <ns0:v>0603</ns0:v>
      </ns0:c>
      <ns0:c r="I5" t="str" s="33">
        <ns0:v>Oasistek</ns0:v>
      </ns0:c>
      <ns0:c r="J5" t="str" s="33">
        <ns0:v>TO-1608BC-MYF</ns0:v>
      </ns0:c>
      <ns0:c r="K5" s="34" t="str">
        <ns0:f>B5&amp;" "&amp;X5&amp;" "&amp;LEFT(G5,FIND(" ",G5)-1)&amp;"В "&amp;AE5&amp;"мкд "&amp;H5</ns0:f>
        <ns0:v>Светодиод Жёлтый 2В 247мкд 0603</ns0:v>
      </ns0:c>
      <ns0:c r="L5" t="str" s="36">
        <ns0:v>LED_1C2A</ns0:v>
      </ns0:c>
      <ns0:c r="M5" t="str" s="36">
        <ns0:v>Symbols\MY_LIB_Semiconductors.SchLib</ns0:v>
      </ns0:c>
      <ns0:c r="N5" t="str" s="36">
        <ns0:v>LED_0603_1C2A</ns0:v>
      </ns0:c>
      <ns0:c r="O5" t="str" s="36">
        <ns0:v>Footprints\MY_LIB_LED.PcbLib</ns0:v>
      </ns0:c>
      <ns0:c r="P5" t="str" s="33">
        <ns0:v>Прозрачная линза; VF/IV при IF=20 мА по каталогу 2021, стр.19–20. Стандартная геометрия 0603; не точная копия рекомендованного land pattern. Пины подтверждены индивидуальным даташитом.</ns0:v>
      </ns0:c>
      <ns0:c r="Q5" s="33"/>
      <ns0:c r="R5" t="str" s="34">
        <ns0:f>D5</ns0:f>
        <ns0:v>TO-1608BC-MYF</ns0:v>
      </ns0:c>
      <ns0:c r="S5" s="34" t="str">
        <ns0:f>K5</ns0:f>
        <ns0:v>Светодиод Жёлтый 2В 247мкд 0603</ns0:v>
      </ns0:c>
      <x:c xmlns:x="http://schemas.openxmlformats.org/spreadsheetml/2006/main" r="T5" t="str" s="33">
        <x:v>C:\Users\Nomatin\Documents\Altium\MY_LIB\MY_LIB\Datasheets\Oasistek_LED\TO-1608BC-MYF.pdf</x:v>
      </x:c>
      <ns0:c r="U5" t="str" s="33">
        <ns0:v>Параметры: каталог 2021, стр.19–20; пины: Rev. A-1; 2015-11-16; GS1511023</ns0:v>
      </ns0:c>
      <x:c xmlns:x="http://schemas.openxmlformats.org/spreadsheetml/2006/main" r="V5" t="str" s="33">
        <x:v>Даташит — локальный</x:v>
      </x:c>
      <x:c xmlns:x="http://schemas.openxmlformats.org/spreadsheetml/2006/main" r="W5" t="str" s="33">
        <x:v>C:\Users\Nomatin\Documents\Altium\MY_LIB\MY_LIB\Datasheets\Oasistek_LED\TO-1608BC-MYF.pdf</x:v>
      </x:c>
      <ns0:c r="X5" t="str" s="33">
        <ns0:v>Жёлтый</ns0:v>
      </ns0:c>
      <ns0:c r="Y5" t="n" s="33">
        <ns0:v>592</ns0:v>
      </ns0:c>
      <ns0:c r="Z5" t="n" s="33">
        <ns0:v>2</ns0:v>
      </ns0:c>
      <ns0:c r="AA5" t="n" s="33">
        <ns0:v>2.4</ns0:v>
      </ns0:c>
      <ns0:c r="AB5" t="n" s="33">
        <ns0:v>20</ns0:v>
      </ns0:c>
      <ns0:c r="AC5" t="n" s="33">
        <ns0:v>120</ns0:v>
      </ns0:c>
      <ns0:c r="AD5" t="n" s="33">
        <ns0:v>146</ns0:v>
      </ns0:c>
      <ns0:c r="AE5" t="n" s="33">
        <ns0:v>247</ns0:v>
      </ns0:c>
      <ns0:c r="AF5" t="str" s="33">
        <ns0:v>1=C (K), 2=A</ns0:v>
      </ns0:c>
      <ns0:c r="AG5" t="str" s="33">
        <ns0:v>AlGaInP</ns0:v>
      </ns0:c>
      <ns0:c r="AH5" t="str" s="33">
        <ns0:v>TO-1608BC</ns0:v>
      </ns0:c>
      <x:c xmlns:x="http://schemas.openxmlformats.org/spreadsheetml/2006/main" r="AI5" t="str" s="33">
        <x:v>Даташит — производитель</x:v>
      </x:c>
      <x:c xmlns:x="http://schemas.openxmlformats.org/spreadsheetml/2006/main" r="AJ5" t="str" s="33">
        <x:v>https://www.oasistek.com/upload/2021_SMD_Lamp_Catalogue.pdf</x:v>
      </x:c>
      <x:c xmlns:x="http://schemas.openxmlformats.org/spreadsheetml/2006/main" r="AK5" t="str" s="33">
        <x:v>C:\Users\Nomatin\Documents\Altium\MY_LIB\MY_LIB\Datasheets\Oasistek_LED\TO-1608BC-MYF.pdf</x:v>
      </x:c>
    </ns0:row>
    <ns0:row r="6" ht="120" customHeight="1">
      <ns0:c r="A6" t="str" s="33">
        <ns0:v>HL0005</ns0:v>
      </ns0:c>
      <ns0:c r="B6" t="str" s="33">
        <ns0:v>Светодиод</ns0:v>
      </ns0:c>
      <ns0:c r="C6" t="str" s="33">
        <ns0:v>TO-1608BC-MAE</ns0:v>
      </ns0:c>
      <ns0:c r="D6" t="str" s="34">
        <ns0:f>C6</ns0:f>
        <ns0:v>TO-1608BC-MAE</ns0:v>
      </ns0:c>
      <ns0:c r="E6" s="33"/>
      <ns0:c r="F6" s="33"/>
      <ns0:c r="G6" t="str" s="33">
        <ns0:v>2 В (тип., IF=20 мА)</ns0:v>
      </ns0:c>
      <ns0:c r="H6" t="str" s="35">
        <ns0:v>0603</ns0:v>
      </ns0:c>
      <ns0:c r="I6" t="str" s="33">
        <ns0:v>Oasistek</ns0:v>
      </ns0:c>
      <ns0:c r="J6" t="str" s="33">
        <ns0:v>TO-1608BC-MAE</ns0:v>
      </ns0:c>
      <ns0:c r="K6" s="34" t="str">
        <ns0:f>B6&amp;" "&amp;X6&amp;" "&amp;LEFT(G6,FIND(" ",G6)-1)&amp;"В "&amp;AE6&amp;"мкд "&amp;H6</ns0:f>
        <ns0:v>Светодиод Янтарный 2В 112мкд 0603</ns0:v>
      </ns0:c>
      <ns0:c r="L6" t="str" s="36">
        <ns0:v>LED_1C2A</ns0:v>
      </ns0:c>
      <ns0:c r="M6" t="str" s="36">
        <ns0:v>Symbols\MY_LIB_Semiconductors.SchLib</ns0:v>
      </ns0:c>
      <ns0:c r="N6" t="str" s="36">
        <ns0:v>LED_0603_1C2A</ns0:v>
      </ns0:c>
      <ns0:c r="O6" t="str" s="36">
        <ns0:v>Footprints\MY_LIB_LED.PcbLib</ns0:v>
      </ns0:c>
      <ns0:c r="P6" t="str" s="33">
        <ns0:v>Прозрачная линза; VF/IV при IF=20 мА по каталогу 2021, стр.19–20. Стандартная геометрия 0603; не точная копия рекомендованного land pattern. ВНУТРЕННЯЯ нумерация 1=K,2=A; заводская не подтверждена. Ориентировать по метке катода; каталог показывает P/N.</ns0:v>
      </ns0:c>
      <ns0:c r="Q6" s="33"/>
      <ns0:c r="R6" t="str" s="34">
        <ns0:f>D6</ns0:f>
        <ns0:v>TO-1608BC-MAE</ns0:v>
      </ns0:c>
      <ns0:c r="S6" s="34" t="str">
        <ns0:f>K6</ns0:f>
        <ns0:v>Светодиод Янтарный 2В 112мкд 0603</ns0:v>
      </ns0:c>
      <x:c xmlns:x="http://schemas.openxmlformats.org/spreadsheetml/2006/main" r="T6" t="str" s="33">
        <x:v>C:\Users\Nomatin\Documents\Altium\MY_LIB\MY_LIB\Datasheets\Oasistek_LED\Oasistek_2021_catalogue.pdf</x:v>
      </x:c>
      <ns0:c r="U6" t="str" s="33">
        <ns0:v>Параметры: каталог 2021, стр.19–20; пины: 2021 SMD Lamp Catalogue; PDF page 12; printed pages 19-20</ns0:v>
      </ns0:c>
      <x:c xmlns:x="http://schemas.openxmlformats.org/spreadsheetml/2006/main" r="V6" t="str" s="33">
        <x:v>Даташит — локальный</x:v>
      </x:c>
      <x:c xmlns:x="http://schemas.openxmlformats.org/spreadsheetml/2006/main" r="W6" t="str" s="33">
        <x:v>C:\Users\Nomatin\Documents\Altium\MY_LIB\MY_LIB\Datasheets\Oasistek_LED\Oasistek_2021_catalogue.pdf</x:v>
      </x:c>
      <ns0:c r="X6" t="str" s="33">
        <ns0:v>Янтарный</ns0:v>
      </ns0:c>
      <ns0:c r="Y6" t="n" s="33">
        <ns0:v>605</ns0:v>
      </ns0:c>
      <ns0:c r="Z6" t="n" s="33">
        <ns0:v>2</ns0:v>
      </ns0:c>
      <ns0:c r="AA6" t="n" s="33">
        <ns0:v>2.4</ns0:v>
      </ns0:c>
      <ns0:c r="AB6" t="n" s="33">
        <ns0:v>20</ns0:v>
      </ns0:c>
      <ns0:c r="AC6" t="n" s="33">
        <ns0:v>120</ns0:v>
      </ns0:c>
      <ns0:c r="AD6" t="n" s="33">
        <ns0:v>51</ns0:v>
      </ns0:c>
      <ns0:c r="AE6" t="n" s="33">
        <ns0:v>112</ns0:v>
      </ns0:c>
      <ns0:c r="AF6" t="str" s="33">
        <ns0:v>1=C (K), 2=A (внутренняя; заводская не подтверждена)</ns0:v>
      </ns0:c>
      <ns0:c r="AG6" t="str" s="33">
        <ns0:v>AlGaInP</ns0:v>
      </ns0:c>
      <ns0:c r="AH6" t="str" s="33">
        <ns0:v>TO-1608BC</ns0:v>
      </ns0:c>
      <x:c xmlns:x="http://schemas.openxmlformats.org/spreadsheetml/2006/main" r="AI6" t="str" s="33">
        <x:v>Даташит — производитель</x:v>
      </x:c>
      <x:c xmlns:x="http://schemas.openxmlformats.org/spreadsheetml/2006/main" r="AJ6" t="str" s="33">
        <x:v>https://www.oasistek.com/upload/2021_SMD_Lamp_Catalogue.pdf</x:v>
      </x:c>
      <x:c xmlns:x="http://schemas.openxmlformats.org/spreadsheetml/2006/main" r="AK6" t="str" s="33">
        <x:v>C:\Users\Nomatin\Documents\Altium\MY_LIB\MY_LIB\Datasheets\Oasistek_LED\Oasistek_2021_catalogue.pdf</x:v>
      </x:c>
    </ns0:row>
    <ns0:row r="7" ht="120" customHeight="1">
      <ns0:c r="A7" t="str" s="33">
        <ns0:v>HL0006</ns0:v>
      </ns0:c>
      <ns0:c r="B7" t="str" s="33">
        <ns0:v>Светодиод</ns0:v>
      </ns0:c>
      <ns0:c r="C7" t="str" s="33">
        <ns0:v>TO-1608BC-MEE</ns0:v>
      </ns0:c>
      <ns0:c r="D7" t="str" s="34">
        <ns0:f>C7</ns0:f>
        <ns0:v>TO-1608BC-MEE</ns0:v>
      </ns0:c>
      <ns0:c r="E7" s="33"/>
      <ns0:c r="F7" s="33"/>
      <ns0:c r="G7" t="str" s="33">
        <ns0:v>2 В (тип., IF=20 мА)</ns0:v>
      </ns0:c>
      <ns0:c r="H7" t="str" s="35">
        <ns0:v>0603</ns0:v>
      </ns0:c>
      <ns0:c r="I7" t="str" s="33">
        <ns0:v>Oasistek</ns0:v>
      </ns0:c>
      <ns0:c r="J7" t="str" s="33">
        <ns0:v>TO-1608BC-MEE</ns0:v>
      </ns0:c>
      <ns0:c r="K7" s="34" t="str">
        <ns0:f>B7&amp;" "&amp;X7&amp;" "&amp;LEFT(G7,FIND(" ",G7)-1)&amp;"В "&amp;AE7&amp;"мкд "&amp;H7</ns0:f>
        <ns0:v>Светодиод Оранжевый 2В 112мкд 0603</ns0:v>
      </ns0:c>
      <ns0:c r="L7" t="str" s="36">
        <ns0:v>LED_1C2A</ns0:v>
      </ns0:c>
      <ns0:c r="M7" t="str" s="36">
        <ns0:v>Symbols\MY_LIB_Semiconductors.SchLib</ns0:v>
      </ns0:c>
      <ns0:c r="N7" t="str" s="36">
        <ns0:v>LED_0603_1C2A</ns0:v>
      </ns0:c>
      <ns0:c r="O7" t="str" s="36">
        <ns0:v>Footprints\MY_LIB_LED.PcbLib</ns0:v>
      </ns0:c>
      <ns0:c r="P7" t="str" s="33">
        <ns0:v>Прозрачная линза; VF/IV при IF=20 мА по каталогу 2021, стр.19–20. Стандартная геометрия 0603; не точная копия рекомендованного land pattern. ВНУТРЕННЯЯ нумерация 1=K,2=A; заводская не подтверждена. Ориентировать по метке катода; каталог показывает P/N.</ns0:v>
      </ns0:c>
      <ns0:c r="Q7" s="33"/>
      <ns0:c r="R7" t="str" s="34">
        <ns0:f>D7</ns0:f>
        <ns0:v>TO-1608BC-MEE</ns0:v>
      </ns0:c>
      <ns0:c r="S7" s="34" t="str">
        <ns0:f>K7</ns0:f>
        <ns0:v>Светодиод Оранжевый 2В 112мкд 0603</ns0:v>
      </ns0:c>
      <x:c xmlns:x="http://schemas.openxmlformats.org/spreadsheetml/2006/main" r="T7" t="str" s="33">
        <x:v>C:\Users\Nomatin\Documents\Altium\MY_LIB\MY_LIB\Datasheets\Oasistek_LED\Oasistek_2021_catalogue.pdf</x:v>
      </x:c>
      <ns0:c r="U7" t="str" s="33">
        <ns0:v>Параметры: каталог 2021, стр.19–20; пины: 2021 SMD Lamp Catalogue; PDF page 12; printed pages 19-20</ns0:v>
      </ns0:c>
      <x:c xmlns:x="http://schemas.openxmlformats.org/spreadsheetml/2006/main" r="V7" t="str" s="33">
        <x:v>Даташит — локальный</x:v>
      </x:c>
      <x:c xmlns:x="http://schemas.openxmlformats.org/spreadsheetml/2006/main" r="W7" t="str" s="33">
        <x:v>C:\Users\Nomatin\Documents\Altium\MY_LIB\MY_LIB\Datasheets\Oasistek_LED\Oasistek_2021_catalogue.pdf</x:v>
      </x:c>
      <ns0:c r="X7" t="str" s="33">
        <ns0:v>Оранжевый</ns0:v>
      </ns0:c>
      <ns0:c r="Y7" t="n" s="33">
        <ns0:v>623</ns0:v>
      </ns0:c>
      <ns0:c r="Z7" t="n" s="33">
        <ns0:v>2</ns0:v>
      </ns0:c>
      <ns0:c r="AA7" t="n" s="33">
        <ns0:v>2.4</ns0:v>
      </ns0:c>
      <ns0:c r="AB7" t="n" s="33">
        <ns0:v>20</ns0:v>
      </ns0:c>
      <ns0:c r="AC7" t="n" s="33">
        <ns0:v>120</ns0:v>
      </ns0:c>
      <ns0:c r="AD7" t="n" s="33">
        <ns0:v>51</ns0:v>
      </ns0:c>
      <ns0:c r="AE7" t="n" s="33">
        <ns0:v>112</ns0:v>
      </ns0:c>
      <ns0:c r="AF7" t="str" s="33">
        <ns0:v>1=C (K), 2=A (внутренняя; заводская не подтверждена)</ns0:v>
      </ns0:c>
      <ns0:c r="AG7" t="str" s="33">
        <ns0:v>AlGaInP</ns0:v>
      </ns0:c>
      <ns0:c r="AH7" t="str" s="33">
        <ns0:v>TO-1608BC</ns0:v>
      </ns0:c>
      <x:c xmlns:x="http://schemas.openxmlformats.org/spreadsheetml/2006/main" r="AI7" t="str" s="33">
        <x:v>Даташит — производитель</x:v>
      </x:c>
      <x:c xmlns:x="http://schemas.openxmlformats.org/spreadsheetml/2006/main" r="AJ7" t="str" s="33">
        <x:v>https://www.oasistek.com/upload/2021_SMD_Lamp_Catalogue.pdf</x:v>
      </x:c>
      <x:c xmlns:x="http://schemas.openxmlformats.org/spreadsheetml/2006/main" r="AK7" t="str" s="33">
        <x:v>C:\Users\Nomatin\Documents\Altium\MY_LIB\MY_LIB\Datasheets\Oasistek_LED\Oasistek_2021_catalogue.pdf</x:v>
      </x:c>
    </ns0:row>
    <ns0:row r="8" ht="70" customHeight="1">
      <ns0:c r="A8" t="str" s="33">
        <ns0:v>HL0007</ns0:v>
      </ns0:c>
      <ns0:c r="B8" t="str" s="33">
        <ns0:v>Светодиод</ns0:v>
      </ns0:c>
      <ns0:c r="C8" t="str" s="33">
        <ns0:v>TO-1608BC-MRE</ns0:v>
      </ns0:c>
      <ns0:c r="D8" t="str" s="34">
        <ns0:f>C8</ns0:f>
        <ns0:v>TO-1608BC-MRE</ns0:v>
      </ns0:c>
      <ns0:c r="E8" s="33"/>
      <ns0:c r="F8" s="33"/>
      <ns0:c r="G8" t="str" s="33">
        <ns0:v>2 В (тип., IF=20 мА)</ns0:v>
      </ns0:c>
      <ns0:c r="H8" t="str" s="35">
        <ns0:v>0603</ns0:v>
      </ns0:c>
      <ns0:c r="I8" t="str" s="33">
        <ns0:v>Oasistek</ns0:v>
      </ns0:c>
      <ns0:c r="J8" t="str" s="33">
        <ns0:v>TO-1608BC-MRE</ns0:v>
      </ns0:c>
      <ns0:c r="K8" s="34" t="str">
        <ns0:f>B8&amp;" "&amp;X8&amp;" "&amp;LEFT(G8,FIND(" ",G8)-1)&amp;"В "&amp;AE8&amp;"мкд "&amp;H8</ns0:f>
        <ns0:v>Светодиод Красный 2В 112мкд 0603</ns0:v>
      </ns0:c>
      <ns0:c r="L8" t="str" s="36">
        <ns0:v>LED_1C2A</ns0:v>
      </ns0:c>
      <ns0:c r="M8" t="str" s="36">
        <ns0:v>Symbols\MY_LIB_Semiconductors.SchLib</ns0:v>
      </ns0:c>
      <ns0:c r="N8" t="str" s="36">
        <ns0:v>LED_0603_1C2A</ns0:v>
      </ns0:c>
      <ns0:c r="O8" t="str" s="36">
        <ns0:v>Footprints\MY_LIB_LED.PcbLib</ns0:v>
      </ns0:c>
      <ns0:c r="P8" t="str" s="33">
        <ns0:v>Прозрачная линза; VF/IV при IF=20 мА по каталогу 2021, стр.19–20. Стандартная геометрия 0603; не точная копия рекомендованного land pattern. Пины подтверждены индивидуальным даташитом.</ns0:v>
      </ns0:c>
      <ns0:c r="Q8" s="33"/>
      <ns0:c r="R8" t="str" s="34">
        <ns0:f>D8</ns0:f>
        <ns0:v>TO-1608BC-MRE</ns0:v>
      </ns0:c>
      <ns0:c r="S8" s="34" t="str">
        <ns0:f>K8</ns0:f>
        <ns0:v>Светодиод Красный 2В 112мкд 0603</ns0:v>
      </ns0:c>
      <x:c xmlns:x="http://schemas.openxmlformats.org/spreadsheetml/2006/main" r="T8" t="str" s="33">
        <x:v>C:\Users\Nomatin\Documents\Altium\MY_LIB\MY_LIB\Datasheets\Oasistek_LED\TO-1608BC-MRE.pdf</x:v>
      </x:c>
      <ns0:c r="U8" t="str" s="33">
        <ns0:v>Параметры: каталог 2021, стр.19–20; пины: Rev. A-1; 2017-05-18; GS1705006</ns0:v>
      </ns0:c>
      <x:c xmlns:x="http://schemas.openxmlformats.org/spreadsheetml/2006/main" r="V8" t="str" s="33">
        <x:v>Даташит — локальный</x:v>
      </x:c>
      <x:c xmlns:x="http://schemas.openxmlformats.org/spreadsheetml/2006/main" r="W8" t="str" s="33">
        <x:v>C:\Users\Nomatin\Documents\Altium\MY_LIB\MY_LIB\Datasheets\Oasistek_LED\TO-1608BC-MRE.pdf</x:v>
      </x:c>
      <ns0:c r="X8" t="str" s="33">
        <ns0:v>Красный</ns0:v>
      </ns0:c>
      <ns0:c r="Y8" t="n" s="33">
        <ns0:v>630</ns0:v>
      </ns0:c>
      <ns0:c r="Z8" t="n" s="33">
        <ns0:v>2</ns0:v>
      </ns0:c>
      <ns0:c r="AA8" t="n" s="33">
        <ns0:v>2.4</ns0:v>
      </ns0:c>
      <ns0:c r="AB8" t="n" s="33">
        <ns0:v>20</ns0:v>
      </ns0:c>
      <ns0:c r="AC8" t="n" s="33">
        <ns0:v>120</ns0:v>
      </ns0:c>
      <ns0:c r="AD8" t="n" s="33">
        <ns0:v>51</ns0:v>
      </ns0:c>
      <ns0:c r="AE8" t="n" s="33">
        <ns0:v>112</ns0:v>
      </ns0:c>
      <ns0:c r="AF8" t="str" s="33">
        <ns0:v>1=C (K), 2=A</ns0:v>
      </ns0:c>
      <ns0:c r="AG8" t="str" s="33">
        <ns0:v>AlGaInP</ns0:v>
      </ns0:c>
      <ns0:c r="AH8" t="str" s="33">
        <ns0:v>TO-1608BC</ns0:v>
      </ns0:c>
      <x:c xmlns:x="http://schemas.openxmlformats.org/spreadsheetml/2006/main" r="AI8" t="str" s="33">
        <x:v>Даташит — производитель</x:v>
      </x:c>
      <x:c xmlns:x="http://schemas.openxmlformats.org/spreadsheetml/2006/main" r="AJ8" t="str" s="33">
        <x:v>https://www.oasistek.com/upload/2021_SMD_Lamp_Catalogue.pdf</x:v>
      </x:c>
      <x:c xmlns:x="http://schemas.openxmlformats.org/spreadsheetml/2006/main" r="AK8" t="str" s="33">
        <x:v>C:\Users\Nomatin\Documents\Altium\MY_LIB\MY_LIB\Datasheets\Oasistek_LED\TO-1608BC-MRE.pdf</x:v>
      </x:c>
    </ns0:row>
    <ns0:row r="9" ht="70" customHeight="1">
      <ns0:c r="A9" t="str" s="33">
        <ns0:v>HL0008</ns0:v>
      </ns0:c>
      <ns0:c r="B9" t="str" s="33">
        <ns0:v>Светодиод</ns0:v>
      </ns0:c>
      <ns0:c r="C9" t="str" s="33">
        <ns0:v>TO-2013BC-BF</ns0:v>
      </ns0:c>
      <ns0:c r="D9" t="str" s="34">
        <ns0:f>C9</ns0:f>
        <ns0:v>TO-2013BC-BF</ns0:v>
      </ns0:c>
      <ns0:c r="E9" s="33"/>
      <ns0:c r="F9" s="33"/>
      <ns0:c r="G9" t="str" s="33">
        <ns0:v>3,2 В (тип., IF=20 мА)</ns0:v>
      </ns0:c>
      <ns0:c r="H9" t="str" s="35">
        <ns0:v>0805</ns0:v>
      </ns0:c>
      <ns0:c r="I9" t="str" s="33">
        <ns0:v>Oasistek</ns0:v>
      </ns0:c>
      <ns0:c r="J9" t="str" s="33">
        <ns0:v>TO-2013BC-BF</ns0:v>
      </ns0:c>
      <ns0:c r="K9" s="34" t="str">
        <ns0:f>B9&amp;" "&amp;X9&amp;" "&amp;LEFT(G9,FIND(" ",G9)-1)&amp;"В "&amp;AE9&amp;"мкд "&amp;H9</ns0:f>
        <ns0:v>Светодиод Синий 3,2В 247мкд 0805</ns0:v>
      </ns0:c>
      <ns0:c r="L9" t="str" s="36">
        <ns0:v>LED_1C2A</ns0:v>
      </ns0:c>
      <ns0:c r="M9" t="str" s="36">
        <ns0:v>Symbols\MY_LIB_Semiconductors.SchLib</ns0:v>
      </ns0:c>
      <ns0:c r="N9" t="str" s="36">
        <ns0:v>LED_0805_1C2A</ns0:v>
      </ns0:c>
      <ns0:c r="O9" t="str" s="36">
        <ns0:v>Footprints\MY_LIB_LED.PcbLib</ns0:v>
      </ns0:c>
      <ns0:c r="P9" t="str" s="33">
        <ns0:v>Прозрачная линза; VF/IV при IF=20 мА по каталогу 2021, стр.19–20. Стандартная геометрия 0805; не точная копия рекомендованного land pattern. Пины подтверждены индивидуальным даташитом.</ns0:v>
      </ns0:c>
      <ns0:c r="Q9" s="33"/>
      <ns0:c r="R9" t="str" s="34">
        <ns0:f>D9</ns0:f>
        <ns0:v>TO-2013BC-BF</ns0:v>
      </ns0:c>
      <ns0:c r="S9" s="34" t="str">
        <ns0:f>K9</ns0:f>
        <ns0:v>Светодиод Синий 3,2В 247мкд 0805</ns0:v>
      </ns0:c>
      <x:c xmlns:x="http://schemas.openxmlformats.org/spreadsheetml/2006/main" r="T9" t="str" s="33">
        <x:v>C:\Users\Nomatin\Documents\Altium\MY_LIB\MY_LIB\Datasheets\Oasistek_LED\TO-2013BC-BF.pdf</x:v>
      </x:c>
      <ns0:c r="U9" t="str" s="33">
        <ns0:v>Параметры: каталог 2021, стр.19–20; пины: Rev. A-1; 2015-11-16; GS1511032</ns0:v>
      </ns0:c>
      <x:c xmlns:x="http://schemas.openxmlformats.org/spreadsheetml/2006/main" r="V9" t="str" s="33">
        <x:v>Даташит — локальный</x:v>
      </x:c>
      <x:c xmlns:x="http://schemas.openxmlformats.org/spreadsheetml/2006/main" r="W9" t="str" s="33">
        <x:v>C:\Users\Nomatin\Documents\Altium\MY_LIB\MY_LIB\Datasheets\Oasistek_LED\TO-2013BC-BF.pdf</x:v>
      </x:c>
      <ns0:c r="X9" t="str" s="33">
        <ns0:v>Синий</ns0:v>
      </ns0:c>
      <ns0:c r="Y9" t="n" s="33">
        <ns0:v>468</ns0:v>
      </ns0:c>
      <ns0:c r="Z9" t="n" s="33">
        <ns0:v>3.2</ns0:v>
      </ns0:c>
      <ns0:c r="AA9" t="n" s="33">
        <ns0:v>3.6</ns0:v>
      </ns0:c>
      <ns0:c r="AB9" t="n" s="33">
        <ns0:v>20</ns0:v>
      </ns0:c>
      <ns0:c r="AC9" t="n" s="33">
        <ns0:v>120</ns0:v>
      </ns0:c>
      <ns0:c r="AD9" t="n" s="33">
        <ns0:v>112</ns0:v>
      </ns0:c>
      <ns0:c r="AE9" t="n" s="33">
        <ns0:v>247</ns0:v>
      </ns0:c>
      <ns0:c r="AF9" t="str" s="33">
        <ns0:v>1=C (K), 2=A</ns0:v>
      </ns0:c>
      <ns0:c r="AG9" t="str" s="33">
        <ns0:v>InGaN</ns0:v>
      </ns0:c>
      <ns0:c r="AH9" t="str" s="33">
        <ns0:v>TO-2013BC</ns0:v>
      </ns0:c>
      <x:c xmlns:x="http://schemas.openxmlformats.org/spreadsheetml/2006/main" r="AI9" t="str" s="33">
        <x:v>Даташит — производитель</x:v>
      </x:c>
      <x:c xmlns:x="http://schemas.openxmlformats.org/spreadsheetml/2006/main" r="AJ9" t="str" s="33">
        <x:v>https://www.oasistek.com/upload/2021_SMD_Lamp_Catalogue.pdf</x:v>
      </x:c>
      <x:c xmlns:x="http://schemas.openxmlformats.org/spreadsheetml/2006/main" r="AK9" t="str" s="33">
        <x:v>C:\Users\Nomatin\Documents\Altium\MY_LIB\MY_LIB\Datasheets\Oasistek_LED\TO-2013BC-BF.pdf</x:v>
      </x:c>
    </ns0:row>
    <ns0:row r="10" ht="70" customHeight="1">
      <ns0:c r="A10" t="str" s="33">
        <ns0:v>HL0009</ns0:v>
      </ns0:c>
      <ns0:c r="B10" t="str" s="33">
        <ns0:v>Светодиод</ns0:v>
      </ns0:c>
      <ns0:c r="C10" t="str" s="33">
        <ns0:v>TO-2013BC-PG</ns0:v>
      </ns0:c>
      <ns0:c r="D10" t="str" s="34">
        <ns0:f>C10</ns0:f>
        <ns0:v>TO-2013BC-PG</ns0:v>
      </ns0:c>
      <ns0:c r="E10" s="33"/>
      <ns0:c r="F10" s="33"/>
      <ns0:c r="G10" t="str" s="33">
        <ns0:v>3,2 В (тип., IF=20 мА)</ns0:v>
      </ns0:c>
      <ns0:c r="H10" t="str" s="35">
        <ns0:v>0805</ns0:v>
      </ns0:c>
      <ns0:c r="I10" t="str" s="33">
        <ns0:v>Oasistek</ns0:v>
      </ns0:c>
      <ns0:c r="J10" t="str" s="33">
        <ns0:v>TO-2013BC-PG</ns0:v>
      </ns0:c>
      <ns0:c r="K10" s="34" t="str">
        <ns0:f>B10&amp;" "&amp;X10&amp;" "&amp;LEFT(G10,FIND(" ",G10)-1)&amp;"В "&amp;AE10&amp;"мкд "&amp;H10</ns0:f>
        <ns0:v>Светодиод Чистый зелёный 3,2В 705мкд 0805</ns0:v>
      </ns0:c>
      <ns0:c r="L10" t="str" s="36">
        <ns0:v>LED_1C2A</ns0:v>
      </ns0:c>
      <ns0:c r="M10" t="str" s="36">
        <ns0:v>Symbols\MY_LIB_Semiconductors.SchLib</ns0:v>
      </ns0:c>
      <ns0:c r="N10" t="str" s="36">
        <ns0:v>LED_0805_1C2A</ns0:v>
      </ns0:c>
      <ns0:c r="O10" t="str" s="36">
        <ns0:v>Footprints\MY_LIB_LED.PcbLib</ns0:v>
      </ns0:c>
      <ns0:c r="P10" t="str" s="33">
        <ns0:v>Прозрачная линза; VF/IV при IF=20 мА по каталогу 2021, стр.19–20. Стандартная геометрия 0805; не точная копия рекомендованного land pattern. Пины подтверждены индивидуальным даташитом.</ns0:v>
      </ns0:c>
      <ns0:c r="Q10" s="33"/>
      <ns0:c r="R10" t="str" s="34">
        <ns0:f>D10</ns0:f>
        <ns0:v>TO-2013BC-PG</ns0:v>
      </ns0:c>
      <ns0:c r="S10" s="34" t="str">
        <ns0:f>K10</ns0:f>
        <ns0:v>Светодиод Чистый зелёный 3,2В 705мкд 0805</ns0:v>
      </ns0:c>
      <x:c xmlns:x="http://schemas.openxmlformats.org/spreadsheetml/2006/main" r="T10" t="str" s="33">
        <x:v>C:\Users\Nomatin\Documents\Altium\MY_LIB\MY_LIB\Datasheets\Oasistek_LED\TO-2013BC-PG.pdf</x:v>
      </x:c>
      <ns0:c r="U10" t="str" s="33">
        <ns0:v>Параметры: каталог 2021, стр.19–20; пины: Rev. A-1; 2017-06-09; GS1706012</ns0:v>
      </ns0:c>
      <x:c xmlns:x="http://schemas.openxmlformats.org/spreadsheetml/2006/main" r="V10" t="str" s="33">
        <x:v>Даташит — локальный</x:v>
      </x:c>
      <x:c xmlns:x="http://schemas.openxmlformats.org/spreadsheetml/2006/main" r="W10" t="str" s="33">
        <x:v>C:\Users\Nomatin\Documents\Altium\MY_LIB\MY_LIB\Datasheets\Oasistek_LED\TO-2013BC-PG.pdf</x:v>
      </x:c>
      <ns0:c r="X10" t="str" s="33">
        <ns0:v>Чистый зелёный</ns0:v>
      </ns0:c>
      <ns0:c r="Y10" t="n" s="33">
        <ns0:v>525</ns0:v>
      </ns0:c>
      <ns0:c r="Z10" t="n" s="33">
        <ns0:v>3.2</ns0:v>
      </ns0:c>
      <ns0:c r="AA10" t="n" s="33">
        <ns0:v>3.6</ns0:v>
      </ns0:c>
      <ns0:c r="AB10" t="n" s="33">
        <ns0:v>20</ns0:v>
      </ns0:c>
      <ns0:c r="AC10" t="n" s="33">
        <ns0:v>120</ns0:v>
      </ns0:c>
      <ns0:c r="AD10" t="n" s="33">
        <ns0:v>321</ns0:v>
      </ns0:c>
      <ns0:c r="AE10" t="n" s="33">
        <ns0:v>705</ns0:v>
      </ns0:c>
      <ns0:c r="AF10" t="str" s="33">
        <ns0:v>1=C (K), 2=A</ns0:v>
      </ns0:c>
      <ns0:c r="AG10" t="str" s="33">
        <ns0:v>InGaN</ns0:v>
      </ns0:c>
      <ns0:c r="AH10" t="str" s="33">
        <ns0:v>TO-2013BC</ns0:v>
      </ns0:c>
      <x:c xmlns:x="http://schemas.openxmlformats.org/spreadsheetml/2006/main" r="AI10" t="str" s="33">
        <x:v>Даташит — производитель</x:v>
      </x:c>
      <x:c xmlns:x="http://schemas.openxmlformats.org/spreadsheetml/2006/main" r="AJ10" t="str" s="33">
        <x:v>https://www.oasistek.com/upload/2021_SMD_Lamp_Catalogue.pdf</x:v>
      </x:c>
      <x:c xmlns:x="http://schemas.openxmlformats.org/spreadsheetml/2006/main" r="AK10" t="str" s="33">
        <x:v>C:\Users\Nomatin\Documents\Altium\MY_LIB\MY_LIB\Datasheets\Oasistek_LED\TO-2013BC-PG.pdf</x:v>
      </x:c>
    </ns0:row>
    <ns0:row r="11" ht="70" customHeight="1">
      <ns0:c r="A11" t="str" s="33">
        <ns0:v>HL0010</ns0:v>
      </ns0:c>
      <ns0:c r="B11" t="str" s="33">
        <ns0:v>Светодиод</ns0:v>
      </ns0:c>
      <ns0:c r="C11" t="str" s="33">
        <ns0:v>TO-2013BC-MGE</ns0:v>
      </ns0:c>
      <ns0:c r="D11" t="str" s="34">
        <ns0:f>C11</ns0:f>
        <ns0:v>TO-2013BC-MGE</ns0:v>
      </ns0:c>
      <ns0:c r="E11" s="33"/>
      <ns0:c r="F11" s="33"/>
      <ns0:c r="G11" t="str" s="33">
        <ns0:v>2 В (тип., IF=20 мА)</ns0:v>
      </ns0:c>
      <ns0:c r="H11" t="str" s="35">
        <ns0:v>0805</ns0:v>
      </ns0:c>
      <ns0:c r="I11" t="str" s="33">
        <ns0:v>Oasistek</ns0:v>
      </ns0:c>
      <ns0:c r="J11" t="str" s="33">
        <ns0:v>TO-2013BC-MGE</ns0:v>
      </ns0:c>
      <ns0:c r="K11" s="34" t="str">
        <ns0:f>B11&amp;" "&amp;X11&amp;" "&amp;LEFT(G11,FIND(" ",G11)-1)&amp;"В "&amp;AE11&amp;"мкд "&amp;H11</ns0:f>
        <ns0:v>Светодиод Жёлто-зелёный 2В 112мкд 0805</ns0:v>
      </ns0:c>
      <ns0:c r="L11" t="str" s="36">
        <ns0:v>LED_1C2A</ns0:v>
      </ns0:c>
      <ns0:c r="M11" t="str" s="36">
        <ns0:v>Symbols\MY_LIB_Semiconductors.SchLib</ns0:v>
      </ns0:c>
      <ns0:c r="N11" t="str" s="36">
        <ns0:v>LED_0805_1C2A</ns0:v>
      </ns0:c>
      <ns0:c r="O11" t="str" s="36">
        <ns0:v>Footprints\MY_LIB_LED.PcbLib</ns0:v>
      </ns0:c>
      <ns0:c r="P11" t="str" s="33">
        <ns0:v>Прозрачная линза; VF/IV при IF=20 мА по каталогу 2021, стр.19–20. Стандартная геометрия 0805; не точная копия рекомендованного land pattern. Пины подтверждены индивидуальным даташитом.</ns0:v>
      </ns0:c>
      <ns0:c r="Q11" s="33"/>
      <ns0:c r="R11" t="str" s="34">
        <ns0:f>D11</ns0:f>
        <ns0:v>TO-2013BC-MGE</ns0:v>
      </ns0:c>
      <ns0:c r="S11" s="34" t="str">
        <ns0:f>K11</ns0:f>
        <ns0:v>Светодиод Жёлто-зелёный 2В 112мкд 0805</ns0:v>
      </ns0:c>
      <x:c xmlns:x="http://schemas.openxmlformats.org/spreadsheetml/2006/main" r="T11" t="str" s="33">
        <x:v>C:\Users\Nomatin\Documents\Altium\MY_LIB\MY_LIB\Datasheets\Oasistek_LED\TO-2013BC-MGE.pdf</x:v>
      </x:c>
      <ns0:c r="U11" t="str" s="33">
        <ns0:v>Параметры: каталог 2021, стр.19–20; пины: Rev. A-1; 2015-11-16; GS1511030</ns0:v>
      </ns0:c>
      <x:c xmlns:x="http://schemas.openxmlformats.org/spreadsheetml/2006/main" r="V11" t="str" s="33">
        <x:v>Даташит — локальный</x:v>
      </x:c>
      <x:c xmlns:x="http://schemas.openxmlformats.org/spreadsheetml/2006/main" r="W11" t="str" s="33">
        <x:v>C:\Users\Nomatin\Documents\Altium\MY_LIB\MY_LIB\Datasheets\Oasistek_LED\TO-2013BC-MGE.pdf</x:v>
      </x:c>
      <ns0:c r="X11" t="str" s="33">
        <ns0:v>Жёлто-зелёный</ns0:v>
      </ns0:c>
      <ns0:c r="Y11" t="n" s="33">
        <ns0:v>572</ns0:v>
      </ns0:c>
      <ns0:c r="Z11" t="n" s="33">
        <ns0:v>2</ns0:v>
      </ns0:c>
      <ns0:c r="AA11" t="n" s="33">
        <ns0:v>2.4</ns0:v>
      </ns0:c>
      <ns0:c r="AB11" t="n" s="33">
        <ns0:v>20</ns0:v>
      </ns0:c>
      <ns0:c r="AC11" t="n" s="33">
        <ns0:v>120</ns0:v>
      </ns0:c>
      <ns0:c r="AD11" t="n" s="33">
        <ns0:v>51</ns0:v>
      </ns0:c>
      <ns0:c r="AE11" t="n" s="33">
        <ns0:v>112</ns0:v>
      </ns0:c>
      <ns0:c r="AF11" t="str" s="33">
        <ns0:v>1=C (K), 2=A</ns0:v>
      </ns0:c>
      <ns0:c r="AG11" t="str" s="33">
        <ns0:v>AlGaInP</ns0:v>
      </ns0:c>
      <ns0:c r="AH11" t="str" s="33">
        <ns0:v>TO-2013BC</ns0:v>
      </ns0:c>
      <x:c xmlns:x="http://schemas.openxmlformats.org/spreadsheetml/2006/main" r="AI11" t="str" s="33">
        <x:v>Даташит — производитель</x:v>
      </x:c>
      <x:c xmlns:x="http://schemas.openxmlformats.org/spreadsheetml/2006/main" r="AJ11" t="str" s="33">
        <x:v>https://www.oasistek.com/upload/2021_SMD_Lamp_Catalogue.pdf</x:v>
      </x:c>
      <x:c xmlns:x="http://schemas.openxmlformats.org/spreadsheetml/2006/main" r="AK11" t="str" s="33">
        <x:v>C:\Users\Nomatin\Documents\Altium\MY_LIB\MY_LIB\Datasheets\Oasistek_LED\TO-2013BC-MGE.pdf</x:v>
      </x:c>
    </ns0:row>
    <ns0:row r="12" ht="120" customHeight="1">
      <ns0:c r="A12" t="str" s="33">
        <ns0:v>HL0011</ns0:v>
      </ns0:c>
      <ns0:c r="B12" t="str" s="33">
        <ns0:v>Светодиод</ns0:v>
      </ns0:c>
      <ns0:c r="C12" t="str" s="33">
        <ns0:v>TO-2013BC-MYF</ns0:v>
      </ns0:c>
      <ns0:c r="D12" t="str" s="34">
        <ns0:f>C12</ns0:f>
        <ns0:v>TO-2013BC-MYF</ns0:v>
      </ns0:c>
      <ns0:c r="E12" s="33"/>
      <ns0:c r="F12" s="33"/>
      <ns0:c r="G12" t="str" s="33">
        <ns0:v>2 В (тип., IF=20 мА)</ns0:v>
      </ns0:c>
      <ns0:c r="H12" t="str" s="35">
        <ns0:v>0805</ns0:v>
      </ns0:c>
      <ns0:c r="I12" t="str" s="33">
        <ns0:v>Oasistek</ns0:v>
      </ns0:c>
      <ns0:c r="J12" t="str" s="33">
        <ns0:v>TO-2013BC-MYF</ns0:v>
      </ns0:c>
      <ns0:c r="K12" s="34" t="str">
        <ns0:f>B12&amp;" "&amp;X12&amp;" "&amp;LEFT(G12,FIND(" ",G12)-1)&amp;"В "&amp;AE12&amp;"мкд "&amp;H12</ns0:f>
        <ns0:v>Светодиод Жёлтый 2В 247мкд 0805</ns0:v>
      </ns0:c>
      <ns0:c r="L12" t="str" s="36">
        <ns0:v>LED_1C2A</ns0:v>
      </ns0:c>
      <ns0:c r="M12" t="str" s="36">
        <ns0:v>Symbols\MY_LIB_Semiconductors.SchLib</ns0:v>
      </ns0:c>
      <ns0:c r="N12" t="str" s="36">
        <ns0:v>LED_0805_1C2A</ns0:v>
      </ns0:c>
      <ns0:c r="O12" t="str" s="36">
        <ns0:v>Footprints\MY_LIB_LED.PcbLib</ns0:v>
      </ns0:c>
      <ns0:c r="P12" t="str" s="33">
        <ns0:v>Прозрачная линза; VF/IV при IF=20 мА по каталогу 2021, стр.19–20. Стандартная геометрия 0805; не точная копия рекомендованного land pattern. ВНУТРЕННЯЯ нумерация 1=K,2=A; заводская не подтверждена. Ориентировать по метке катода; каталог показывает P/N.</ns0:v>
      </ns0:c>
      <ns0:c r="Q12" s="33"/>
      <ns0:c r="R12" t="str" s="34">
        <ns0:f>D12</ns0:f>
        <ns0:v>TO-2013BC-MYF</ns0:v>
      </ns0:c>
      <ns0:c r="S12" s="34" t="str">
        <ns0:f>K12</ns0:f>
        <ns0:v>Светодиод Жёлтый 2В 247мкд 0805</ns0:v>
      </ns0:c>
      <x:c xmlns:x="http://schemas.openxmlformats.org/spreadsheetml/2006/main" r="T12" t="str" s="33">
        <x:v>C:\Users\Nomatin\Documents\Altium\MY_LIB\MY_LIB\Datasheets\Oasistek_LED\Oasistek_2021_catalogue.pdf</x:v>
      </x:c>
      <ns0:c r="U12" t="str" s="33">
        <ns0:v>Параметры: каталог 2021, стр.19–20; пины: 2021 SMD Lamp Catalogue; PDF page 12; printed pages 19-20</ns0:v>
      </ns0:c>
      <x:c xmlns:x="http://schemas.openxmlformats.org/spreadsheetml/2006/main" r="V12" t="str" s="33">
        <x:v>Даташит — локальный</x:v>
      </x:c>
      <x:c xmlns:x="http://schemas.openxmlformats.org/spreadsheetml/2006/main" r="W12" t="str" s="33">
        <x:v>C:\Users\Nomatin\Documents\Altium\MY_LIB\MY_LIB\Datasheets\Oasistek_LED\Oasistek_2021_catalogue.pdf</x:v>
      </x:c>
      <ns0:c r="X12" t="str" s="33">
        <ns0:v>Жёлтый</ns0:v>
      </ns0:c>
      <ns0:c r="Y12" t="n" s="33">
        <ns0:v>592</ns0:v>
      </ns0:c>
      <ns0:c r="Z12" t="n" s="33">
        <ns0:v>2</ns0:v>
      </ns0:c>
      <ns0:c r="AA12" t="n" s="33">
        <ns0:v>2.4</ns0:v>
      </ns0:c>
      <ns0:c r="AB12" t="n" s="33">
        <ns0:v>20</ns0:v>
      </ns0:c>
      <ns0:c r="AC12" t="n" s="33">
        <ns0:v>120</ns0:v>
      </ns0:c>
      <ns0:c r="AD12" t="n" s="33">
        <ns0:v>146</ns0:v>
      </ns0:c>
      <ns0:c r="AE12" t="n" s="33">
        <ns0:v>247</ns0:v>
      </ns0:c>
      <ns0:c r="AF12" t="str" s="33">
        <ns0:v>1=C (K), 2=A (внутренняя; заводская не подтверждена)</ns0:v>
      </ns0:c>
      <ns0:c r="AG12" t="str" s="33">
        <ns0:v>AlGaInP</ns0:v>
      </ns0:c>
      <ns0:c r="AH12" t="str" s="33">
        <ns0:v>TO-2013BC</ns0:v>
      </ns0:c>
      <x:c xmlns:x="http://schemas.openxmlformats.org/spreadsheetml/2006/main" r="AI12" t="str" s="33">
        <x:v>Даташит — производитель</x:v>
      </x:c>
      <x:c xmlns:x="http://schemas.openxmlformats.org/spreadsheetml/2006/main" r="AJ12" t="str" s="33">
        <x:v>https://www.oasistek.com/upload/2021_SMD_Lamp_Catalogue.pdf</x:v>
      </x:c>
      <x:c xmlns:x="http://schemas.openxmlformats.org/spreadsheetml/2006/main" r="AK12" t="str" s="33">
        <x:v>C:\Users\Nomatin\Documents\Altium\MY_LIB\MY_LIB\Datasheets\Oasistek_LED\Oasistek_2021_catalogue.pdf</x:v>
      </x:c>
    </ns0:row>
    <ns0:row r="13" ht="120" customHeight="1">
      <ns0:c r="A13" t="str" s="33">
        <ns0:v>HL0012</ns0:v>
      </ns0:c>
      <ns0:c r="B13" t="str" s="33">
        <ns0:v>Светодиод</ns0:v>
      </ns0:c>
      <ns0:c r="C13" t="str" s="33">
        <ns0:v>TO-2013BC-MAF</ns0:v>
      </ns0:c>
      <ns0:c r="D13" t="str" s="34">
        <ns0:f>C13</ns0:f>
        <ns0:v>TO-2013BC-MAF</ns0:v>
      </ns0:c>
      <ns0:c r="E13" s="33"/>
      <ns0:c r="F13" s="33"/>
      <ns0:c r="G13" t="str" s="33">
        <ns0:v>2 В (тип., IF=20 мА)</ns0:v>
      </ns0:c>
      <ns0:c r="H13" t="str" s="35">
        <ns0:v>0805</ns0:v>
      </ns0:c>
      <ns0:c r="I13" t="str" s="33">
        <ns0:v>Oasistek</ns0:v>
      </ns0:c>
      <ns0:c r="J13" t="str" s="33">
        <ns0:v>TO-2013BC-MAF</ns0:v>
      </ns0:c>
      <ns0:c r="K13" s="34" t="str">
        <ns0:f>B13&amp;" "&amp;X13&amp;" "&amp;LEFT(G13,FIND(" ",G13)-1)&amp;"В "&amp;AE13&amp;"мкд "&amp;H13</ns0:f>
        <ns0:v>Светодиод Янтарный 2В 247мкд 0805</ns0:v>
      </ns0:c>
      <ns0:c r="L13" t="str" s="36">
        <ns0:v>LED_1C2A</ns0:v>
      </ns0:c>
      <ns0:c r="M13" t="str" s="36">
        <ns0:v>Symbols\MY_LIB_Semiconductors.SchLib</ns0:v>
      </ns0:c>
      <ns0:c r="N13" t="str" s="36">
        <ns0:v>LED_0805_1C2A</ns0:v>
      </ns0:c>
      <ns0:c r="O13" t="str" s="36">
        <ns0:v>Footprints\MY_LIB_LED.PcbLib</ns0:v>
      </ns0:c>
      <ns0:c r="P13" t="str" s="33">
        <ns0:v>Прозрачная линза; VF/IV при IF=20 мА по каталогу 2021, стр.19–20. Стандартная геометрия 0805; не точная копия рекомендованного land pattern. ВНУТРЕННЯЯ нумерация 1=K,2=A; заводская не подтверждена. Ориентировать по метке катода; каталог показывает P/N.</ns0:v>
      </ns0:c>
      <ns0:c r="Q13" s="33"/>
      <ns0:c r="R13" t="str" s="34">
        <ns0:f>D13</ns0:f>
        <ns0:v>TO-2013BC-MAF</ns0:v>
      </ns0:c>
      <ns0:c r="S13" s="34" t="str">
        <ns0:f>K13</ns0:f>
        <ns0:v>Светодиод Янтарный 2В 247мкд 0805</ns0:v>
      </ns0:c>
      <x:c xmlns:x="http://schemas.openxmlformats.org/spreadsheetml/2006/main" r="T13" t="str" s="33">
        <x:v>C:\Users\Nomatin\Documents\Altium\MY_LIB\MY_LIB\Datasheets\Oasistek_LED\Oasistek_2021_catalogue.pdf</x:v>
      </x:c>
      <ns0:c r="U13" t="str" s="33">
        <ns0:v>Параметры: каталог 2021, стр.19–20; пины: 2021 SMD Lamp Catalogue; PDF page 12; printed pages 19-20</ns0:v>
      </ns0:c>
      <x:c xmlns:x="http://schemas.openxmlformats.org/spreadsheetml/2006/main" r="V13" t="str" s="33">
        <x:v>Даташит — локальный</x:v>
      </x:c>
      <x:c xmlns:x="http://schemas.openxmlformats.org/spreadsheetml/2006/main" r="W13" t="str" s="33">
        <x:v>C:\Users\Nomatin\Documents\Altium\MY_LIB\MY_LIB\Datasheets\Oasistek_LED\Oasistek_2021_catalogue.pdf</x:v>
      </x:c>
      <ns0:c r="X13" t="str" s="33">
        <ns0:v>Янтарный</ns0:v>
      </ns0:c>
      <ns0:c r="Y13" t="n" s="33">
        <ns0:v>605</ns0:v>
      </ns0:c>
      <ns0:c r="Z13" t="n" s="33">
        <ns0:v>2</ns0:v>
      </ns0:c>
      <ns0:c r="AA13" t="n" s="33">
        <ns0:v>2.4</ns0:v>
      </ns0:c>
      <ns0:c r="AB13" t="n" s="33">
        <ns0:v>20</ns0:v>
      </ns0:c>
      <ns0:c r="AC13" t="n" s="33">
        <ns0:v>120</ns0:v>
      </ns0:c>
      <ns0:c r="AD13" t="n" s="33">
        <ns0:v>146</ns0:v>
      </ns0:c>
      <ns0:c r="AE13" t="n" s="33">
        <ns0:v>247</ns0:v>
      </ns0:c>
      <ns0:c r="AF13" t="str" s="33">
        <ns0:v>1=C (K), 2=A (внутренняя; заводская не подтверждена)</ns0:v>
      </ns0:c>
      <ns0:c r="AG13" t="str" s="33">
        <ns0:v>AlGaInP</ns0:v>
      </ns0:c>
      <ns0:c r="AH13" t="str" s="33">
        <ns0:v>TO-2013BC</ns0:v>
      </ns0:c>
      <x:c xmlns:x="http://schemas.openxmlformats.org/spreadsheetml/2006/main" r="AI13" t="str" s="33">
        <x:v>Даташит — производитель</x:v>
      </x:c>
      <x:c xmlns:x="http://schemas.openxmlformats.org/spreadsheetml/2006/main" r="AJ13" t="str" s="33">
        <x:v>https://www.oasistek.com/upload/2021_SMD_Lamp_Catalogue.pdf</x:v>
      </x:c>
      <x:c xmlns:x="http://schemas.openxmlformats.org/spreadsheetml/2006/main" r="AK13" t="str" s="33">
        <x:v>C:\Users\Nomatin\Documents\Altium\MY_LIB\MY_LIB\Datasheets\Oasistek_LED\Oasistek_2021_catalogue.pdf</x:v>
      </x:c>
    </ns0:row>
    <ns0:row r="14" ht="120" customHeight="1">
      <ns0:c r="A14" t="str" s="33">
        <ns0:v>HL0013</ns0:v>
      </ns0:c>
      <ns0:c r="B14" t="str" s="33">
        <ns0:v>Светодиод</ns0:v>
      </ns0:c>
      <ns0:c r="C14" t="str" s="33">
        <ns0:v>TO-2013BC-MEF</ns0:v>
      </ns0:c>
      <ns0:c r="D14" t="str" s="34">
        <ns0:f>C14</ns0:f>
        <ns0:v>TO-2013BC-MEF</ns0:v>
      </ns0:c>
      <ns0:c r="E14" s="33"/>
      <ns0:c r="F14" s="33"/>
      <ns0:c r="G14" t="str" s="33">
        <ns0:v>2 В (тип., IF=20 мА)</ns0:v>
      </ns0:c>
      <ns0:c r="H14" t="str" s="35">
        <ns0:v>0805</ns0:v>
      </ns0:c>
      <ns0:c r="I14" t="str" s="33">
        <ns0:v>Oasistek</ns0:v>
      </ns0:c>
      <ns0:c r="J14" t="str" s="33">
        <ns0:v>TO-2013BC-MEF</ns0:v>
      </ns0:c>
      <ns0:c r="K14" s="34" t="str">
        <ns0:f>B14&amp;" "&amp;X14&amp;" "&amp;LEFT(G14,FIND(" ",G14)-1)&amp;"В "&amp;AE14&amp;"мкд "&amp;H14</ns0:f>
        <ns0:v>Светодиод Оранжевый 2В 247мкд 0805</ns0:v>
      </ns0:c>
      <ns0:c r="L14" t="str" s="36">
        <ns0:v>LED_1C2A</ns0:v>
      </ns0:c>
      <ns0:c r="M14" t="str" s="36">
        <ns0:v>Symbols\MY_LIB_Semiconductors.SchLib</ns0:v>
      </ns0:c>
      <ns0:c r="N14" t="str" s="36">
        <ns0:v>LED_0805_1C2A</ns0:v>
      </ns0:c>
      <ns0:c r="O14" t="str" s="36">
        <ns0:v>Footprints\MY_LIB_LED.PcbLib</ns0:v>
      </ns0:c>
      <ns0:c r="P14" t="str" s="33">
        <ns0:v>Прозрачная линза; VF/IV при IF=20 мА по каталогу 2021, стр.19–20. Стандартная геометрия 0805; не точная копия рекомендованного land pattern. ВНУТРЕННЯЯ нумерация 1=K,2=A; заводская не подтверждена. Ориентировать по метке катода; каталог показывает P/N.</ns0:v>
      </ns0:c>
      <ns0:c r="Q14" s="33"/>
      <ns0:c r="R14" t="str" s="34">
        <ns0:f>D14</ns0:f>
        <ns0:v>TO-2013BC-MEF</ns0:v>
      </ns0:c>
      <ns0:c r="S14" s="34" t="str">
        <ns0:f>K14</ns0:f>
        <ns0:v>Светодиод Оранжевый 2В 247мкд 0805</ns0:v>
      </ns0:c>
      <x:c xmlns:x="http://schemas.openxmlformats.org/spreadsheetml/2006/main" r="T14" t="str" s="33">
        <x:v>C:\Users\Nomatin\Documents\Altium\MY_LIB\MY_LIB\Datasheets\Oasistek_LED\Oasistek_2021_catalogue.pdf</x:v>
      </x:c>
      <ns0:c r="U14" t="str" s="33">
        <ns0:v>Параметры: каталог 2021, стр.19–20; пины: 2021 SMD Lamp Catalogue; PDF page 12; printed pages 19-20</ns0:v>
      </ns0:c>
      <x:c xmlns:x="http://schemas.openxmlformats.org/spreadsheetml/2006/main" r="V14" t="str" s="33">
        <x:v>Даташит — локальный</x:v>
      </x:c>
      <x:c xmlns:x="http://schemas.openxmlformats.org/spreadsheetml/2006/main" r="W14" t="str" s="33">
        <x:v>C:\Users\Nomatin\Documents\Altium\MY_LIB\MY_LIB\Datasheets\Oasistek_LED\Oasistek_2021_catalogue.pdf</x:v>
      </x:c>
      <ns0:c r="X14" t="str" s="33">
        <ns0:v>Оранжевый</ns0:v>
      </ns0:c>
      <ns0:c r="Y14" t="n" s="33">
        <ns0:v>623</ns0:v>
      </ns0:c>
      <ns0:c r="Z14" t="n" s="33">
        <ns0:v>2</ns0:v>
      </ns0:c>
      <ns0:c r="AA14" t="n" s="33">
        <ns0:v>2.4</ns0:v>
      </ns0:c>
      <ns0:c r="AB14" t="n" s="33">
        <ns0:v>20</ns0:v>
      </ns0:c>
      <ns0:c r="AC14" t="n" s="33">
        <ns0:v>120</ns0:v>
      </ns0:c>
      <ns0:c r="AD14" t="n" s="33">
        <ns0:v>146</ns0:v>
      </ns0:c>
      <ns0:c r="AE14" t="n" s="33">
        <ns0:v>247</ns0:v>
      </ns0:c>
      <ns0:c r="AF14" t="str" s="33">
        <ns0:v>1=C (K), 2=A (внутренняя; заводская не подтверждена)</ns0:v>
      </ns0:c>
      <ns0:c r="AG14" t="str" s="33">
        <ns0:v>AlGaInP</ns0:v>
      </ns0:c>
      <ns0:c r="AH14" t="str" s="33">
        <ns0:v>TO-2013BC</ns0:v>
      </ns0:c>
      <x:c xmlns:x="http://schemas.openxmlformats.org/spreadsheetml/2006/main" r="AI14" t="str" s="33">
        <x:v>Даташит — производитель</x:v>
      </x:c>
      <x:c xmlns:x="http://schemas.openxmlformats.org/spreadsheetml/2006/main" r="AJ14" t="str" s="33">
        <x:v>https://www.oasistek.com/upload/2021_SMD_Lamp_Catalogue.pdf</x:v>
      </x:c>
      <x:c xmlns:x="http://schemas.openxmlformats.org/spreadsheetml/2006/main" r="AK14" t="str" s="33">
        <x:v>C:\Users\Nomatin\Documents\Altium\MY_LIB\MY_LIB\Datasheets\Oasistek_LED\Oasistek_2021_catalogue.pdf</x:v>
      </x:c>
    </ns0:row>
    <ns0:row r="15" ht="70" customHeight="1">
      <ns0:c r="A15" t="str" s="33">
        <ns0:v>HL0014</ns0:v>
      </ns0:c>
      <ns0:c r="B15" t="str" s="33">
        <ns0:v>Светодиод</ns0:v>
      </ns0:c>
      <ns0:c r="C15" t="str" s="33">
        <ns0:v>TO-2013BC-MRE</ns0:v>
      </ns0:c>
      <ns0:c r="D15" t="str" s="34">
        <ns0:f>C15</ns0:f>
        <ns0:v>TO-2013BC-MRE</ns0:v>
      </ns0:c>
      <ns0:c r="E15" s="33"/>
      <ns0:c r="F15" s="33"/>
      <ns0:c r="G15" t="str" s="33">
        <ns0:v>2 В (тип., IF=20 мА)</ns0:v>
      </ns0:c>
      <ns0:c r="H15" t="str" s="35">
        <ns0:v>0805</ns0:v>
      </ns0:c>
      <ns0:c r="I15" t="str" s="33">
        <ns0:v>Oasistek</ns0:v>
      </ns0:c>
      <ns0:c r="J15" t="str" s="33">
        <ns0:v>TO-2013BC-MRE</ns0:v>
      </ns0:c>
      <ns0:c r="K15" s="34" t="str">
        <ns0:f>B15&amp;" "&amp;X15&amp;" "&amp;LEFT(G15,FIND(" ",G15)-1)&amp;"В "&amp;AE15&amp;"мкд "&amp;H15</ns0:f>
        <ns0:v>Светодиод Красный 2В 112мкд 0805</ns0:v>
      </ns0:c>
      <ns0:c r="L15" t="str" s="36">
        <ns0:v>LED_1C2A</ns0:v>
      </ns0:c>
      <ns0:c r="M15" t="str" s="36">
        <ns0:v>Symbols\MY_LIB_Semiconductors.SchLib</ns0:v>
      </ns0:c>
      <ns0:c r="N15" t="str" s="36">
        <ns0:v>LED_0805_1C2A</ns0:v>
      </ns0:c>
      <ns0:c r="O15" t="str" s="36">
        <ns0:v>Footprints\MY_LIB_LED.PcbLib</ns0:v>
      </ns0:c>
      <ns0:c r="P15" t="str" s="33">
        <ns0:v>Прозрачная линза; VF/IV при IF=20 мА по каталогу 2021, стр.19–20. Стандартная геометрия 0805; не точная копия рекомендованного land pattern. Пины подтверждены индивидуальным даташитом.</ns0:v>
      </ns0:c>
      <ns0:c r="Q15" s="33"/>
      <ns0:c r="R15" t="str" s="34">
        <ns0:f>D15</ns0:f>
        <ns0:v>TO-2013BC-MRE</ns0:v>
      </ns0:c>
      <ns0:c r="S15" s="34" t="str">
        <ns0:f>K15</ns0:f>
        <ns0:v>Светодиод Красный 2В 112мкд 0805</ns0:v>
      </ns0:c>
      <x:c xmlns:x="http://schemas.openxmlformats.org/spreadsheetml/2006/main" r="T15" t="str" s="33">
        <x:v>C:\Users\Nomatin\Documents\Altium\MY_LIB\MY_LIB\Datasheets\Oasistek_LED\TO-2013BC-MRE.pdf</x:v>
      </x:c>
      <ns0:c r="U15" t="str" s="33">
        <ns0:v>Параметры: каталог 2021, стр.19–20; пины: Rev. A-2; 2017-05-25; GS1705011</ns0:v>
      </ns0:c>
      <x:c xmlns:x="http://schemas.openxmlformats.org/spreadsheetml/2006/main" r="V15" t="str" s="33">
        <x:v>Даташит — локальный</x:v>
      </x:c>
      <x:c xmlns:x="http://schemas.openxmlformats.org/spreadsheetml/2006/main" r="W15" t="str" s="33">
        <x:v>C:\Users\Nomatin\Documents\Altium\MY_LIB\MY_LIB\Datasheets\Oasistek_LED\TO-2013BC-MRE.pdf</x:v>
      </x:c>
      <ns0:c r="X15" t="str" s="33">
        <ns0:v>Красный</ns0:v>
      </ns0:c>
      <ns0:c r="Y15" t="n" s="33">
        <ns0:v>630</ns0:v>
      </ns0:c>
      <ns0:c r="Z15" t="n" s="33">
        <ns0:v>2</ns0:v>
      </ns0:c>
      <ns0:c r="AA15" t="n" s="33">
        <ns0:v>2.4</ns0:v>
      </ns0:c>
      <ns0:c r="AB15" t="n" s="33">
        <ns0:v>20</ns0:v>
      </ns0:c>
      <ns0:c r="AC15" t="n" s="33">
        <ns0:v>120</ns0:v>
      </ns0:c>
      <ns0:c r="AD15" t="n" s="33">
        <ns0:v>51</ns0:v>
      </ns0:c>
      <ns0:c r="AE15" t="n" s="33">
        <ns0:v>112</ns0:v>
      </ns0:c>
      <ns0:c r="AF15" t="str" s="33">
        <ns0:v>1=C (K), 2=A</ns0:v>
      </ns0:c>
      <ns0:c r="AG15" t="str" s="33">
        <ns0:v>AlGaInP</ns0:v>
      </ns0:c>
      <ns0:c r="AH15" t="str" s="33">
        <ns0:v>TO-2013BC</ns0:v>
      </ns0:c>
      <x:c xmlns:x="http://schemas.openxmlformats.org/spreadsheetml/2006/main" r="AI15" t="str" s="33">
        <x:v>Даташит — производитель</x:v>
      </x:c>
      <x:c xmlns:x="http://schemas.openxmlformats.org/spreadsheetml/2006/main" r="AJ15" t="str" s="33">
        <x:v>https://www.oasistek.com/upload/2021_SMD_Lamp_Catalogue.pdf</x:v>
      </x:c>
      <x:c xmlns:x="http://schemas.openxmlformats.org/spreadsheetml/2006/main" r="AK15" t="str" s="33">
        <x:v>C:\Users\Nomatin\Documents\Altium\MY_LIB\MY_LIB\Datasheets\Oasistek_LED\TO-2013BC-MRE.pdf</x:v>
      </x:c>
    </ns0:row>
  </ns0:sheetData>
  <ns0:pageMargins left="0.7" right="0.7" top="0.75" bottom="0.75" header="0.3" footer="0.3"/>
  <ns0:tableParts count="1">
    <ns0:tablePart ns1:id="R2bee39e30b9d406e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25" hidden="0" customWidth="1"/>
    <ns0:col min="3" max="3" width="20" hidden="0" customWidth="1"/>
    <ns0:col min="4" max="4" width="20" hidden="0" customWidth="1"/>
    <ns0:col min="5" max="5" width="15" hidden="0" customWidth="1"/>
    <ns0:col min="6" max="6" width="16" hidden="0" customWidth="1"/>
    <ns0:col min="7" max="7" width="14" hidden="0" customWidth="1"/>
    <ns0:col min="8" max="8" width="22" hidden="0" customWidth="1"/>
    <ns0:col min="9" max="9" width="24" hidden="0" customWidth="1"/>
    <ns0:col min="10" max="10" width="24" hidden="0" customWidth="1"/>
    <ns0:col min="11" max="11" width="45" hidden="0" customWidth="1"/>
    <ns0:col min="12" max="12" width="29" hidden="0" customWidth="1"/>
    <ns0:col min="13" max="13" width="29" hidden="0" customWidth="1"/>
    <ns0:col min="14" max="14" width="29" hidden="0" customWidth="1"/>
    <ns0:col min="15" max="15" width="52" hidden="0" customWidth="1"/>
    <ns0:col min="16" max="16" width="52" hidden="0" customWidth="1"/>
    <ns0:col min="17" max="17" width="18" hidden="0" customWidth="1"/>
    <ns0:col min="18" max="18" width="20" hidden="0" customWidth="1"/>
    <ns0:col min="19" max="19" width="45" hidden="0" customWidth="1"/>
    <ns0:col min="20" max="20" width="45" hidden="0" customWidth="1"/>
    <ns0:col min="21" max="21" width="45" hidden="0" customWidth="1"/>
    <ns0:col min="22" max="22" width="45" hidden="0" customWidth="1"/>
    <ns0:col min="23" max="23" width="45" hidden="0" customWidth="1"/>
    <ns0:col min="24" max="24" width="24" hidden="0" customWidth="1"/>
    <ns0:col min="25" max="25" width="26" hidden="0" customWidth="1"/>
  </ns0:cols>
  <ns0:sheetData>
    <ns0:row r="1" ht="36" customHeight="1">
      <ns0:c r="A1" t="str" s="32">
        <ns0:v>ID</ns0:v>
      </ns0:c>
      <ns0:c r="B1" t="str" s="32">
        <ns0:v>Type</ns0:v>
      </ns0:c>
      <ns0:c r="C1" t="str" s="32">
        <ns0:v>Value</ns0:v>
      </ns0:c>
      <ns0:c r="D1" t="str" s="32">
        <ns0:v>ESKD_value</ns0:v>
      </ns0:c>
      <ns0:c r="E1" t="str" s="32">
        <ns0:v>Tolerance</ns0:v>
      </ns0:c>
      <ns0:c r="F1" t="str" s="32">
        <ns0:v>Power</ns0:v>
      </ns0:c>
      <ns0:c r="G1" t="str" s="32">
        <ns0:v>Voltage</ns0:v>
      </ns0:c>
      <ns0:c r="H1" t="str" s="32">
        <ns0:v>Package</ns0:v>
      </ns0:c>
      <ns0:c r="I1" t="str" s="32">
        <ns0:v>Manufacturer</ns0:v>
      </ns0:c>
      <ns0:c r="J1" t="str" s="32">
        <ns0:v>MPN</ns0:v>
      </ns0:c>
      <ns0:c r="K1" t="str" s="32">
        <ns0:v>CommentBase</ns0:v>
      </ns0:c>
      <ns0:c r="L1" t="str" s="32">
        <ns0:v>Library Ref</ns0:v>
      </ns0:c>
      <ns0:c r="M1" t="str" s="32">
        <ns0:v>Library Path</ns0:v>
      </ns0:c>
      <ns0:c r="N1" t="str" s="32">
        <ns0:v>Footprint Ref</ns0:v>
      </ns0:c>
      <ns0:c r="O1" t="str" s="32">
        <ns0:v>Footprint Path</ns0:v>
      </ns0:c>
      <ns0:c r="P1" t="str" s="32">
        <ns0:v>Notes</ns0:v>
      </ns0:c>
      <ns0:c r="Q1" t="str" s="32">
        <ns0:v>Dielectric</ns0:v>
      </ns0:c>
      <ns0:c r="R1" t="str" s="32">
        <ns0:v>Comment</ns0:v>
      </ns0:c>
      <ns0:c r="S1" t="str" s="32">
        <ns0:v>Description</ns0:v>
      </ns0:c>
      <x:c xmlns:x="http://schemas.openxmlformats.org/spreadsheetml/2006/main" r="T1" t="str" s="32">
        <x:v>Datasheet</x:v>
      </x:c>
      <x:c xmlns:x="http://schemas.openxmlformats.org/spreadsheetml/2006/main" r="U1" t="str" s="32">
        <x:v>DatasheetRevision</x:v>
      </x:c>
      <x:c xmlns:x="http://schemas.openxmlformats.org/spreadsheetml/2006/main" r="V1" t="str" s="32">
        <x:v>ComponentLink1Description</x:v>
      </x:c>
      <x:c xmlns:x="http://schemas.openxmlformats.org/spreadsheetml/2006/main" r="W1" t="str" s="32">
        <x:v>ComponentLink1URL</x:v>
      </x:c>
      <ns0:c r="X1" t="str" s="32">
        <ns0:v>DiameterMm</ns0:v>
      </ns0:c>
      <ns0:c r="Y1" t="str" s="32">
        <ns0:v>ComponentType</ns0:v>
      </ns0:c>
    </ns0:row>
    <ns0:row r="2" ht="110" customHeight="1">
      <ns0:c r="A2" t="str" s="33">
        <ns0:v>TP0001</ns0:v>
      </ns0:c>
      <ns0:c r="B2" t="str" s="33">
        <ns0:v>Контрольная точка</ns0:v>
      </ns0:c>
      <ns0:c r="C2" t="str" s="33">
        <ns0:v>D1.0mm</ns0:v>
      </ns0:c>
      <ns0:c r="D2" t="str" s="34">
        <ns0:f>C2</ns0:f>
        <ns0:v>D1.0mm</ns0:v>
      </ns0:c>
      <ns0:c r="E2" s="33"/>
      <ns0:c r="F2" s="33"/>
      <ns0:c r="G2" s="33"/>
      <ns0:c r="H2" t="str" s="35">
        <ns0:v>Площадка Ø1,0 мм</ns0:v>
      </ns0:c>
      <ns0:c r="I2" s="33"/>
      <ns0:c r="J2" s="33"/>
      <ns0:c r="K2" t="str" s="34">
        <ns0:f>B2&amp;" "&amp;H2</ns0:f>
        <ns0:v>Контрольная точка Площадка Ø1,0 мм</ns0:v>
      </ns0:c>
      <ns0:c r="L2" t="str" s="36">
        <ns0:v>TestPoint</ns0:v>
      </ns0:c>
      <ns0:c r="M2" t="str" s="36">
        <ns0:v>Symbols\MY_LIB_Special.SchLib</ns0:v>
      </ns0:c>
      <ns0:c r="N2" t="str" s="36">
        <ns0:v>TestPoint_Pad_D1.0mm</ns0:v>
      </ns0:c>
      <ns0:c r="O2" t="str" s="36">
        <ns0:v>Footprints\MY_LIB_TestPoints.PcbLib</ns0:v>
      </ns0:c>
      <ns0:c r="P2" t="str" s="33">
        <ns0:v>Одна круглая площадка Top Layer; маска открыта +0,05 мм; без отверстия, пасты и шелкографии. Standard (No BOM).</ns0:v>
      </ns0:c>
      <ns0:c r="Q2" s="33"/>
      <ns0:c r="R2" t="str" s="34">
        <ns0:f>D2</ns0:f>
        <ns0:v>D1.0mm</ns0:v>
      </ns0:c>
      <ns0:c r="S2" t="str" s="34">
        <ns0:f>K2</ns0:f>
        <ns0:v>Контрольная точка Площадка Ø1,0 мм</ns0:v>
      </ns0:c>
      <x:c xmlns:x="http://schemas.openxmlformats.org/spreadsheetml/2006/main" r="T2" s="33"/>
      <x:c xmlns:x="http://schemas.openxmlformats.org/spreadsheetml/2006/main" r="U2" s="33"/>
      <x:c xmlns:x="http://schemas.openxmlformats.org/spreadsheetml/2006/main" r="V2" s="33"/>
      <x:c xmlns:x="http://schemas.openxmlformats.org/spreadsheetml/2006/main" r="W2" s="33"/>
      <ns0:c r="X2" t="n" s="33">
        <ns0:v>1</ns0:v>
      </ns0:c>
      <ns0:c r="Y2" t="str" s="33">
        <ns0:v>Standard (No BOM)</ns0:v>
      </ns0:c>
    </ns0:row>
    <ns0:row r="3" ht="110" customHeight="1">
      <ns0:c r="A3" t="str" s="33">
        <ns0:v>TP0002</ns0:v>
      </ns0:c>
      <ns0:c r="B3" t="str" s="33">
        <ns0:v>Контрольная точка</ns0:v>
      </ns0:c>
      <ns0:c r="C3" t="str" s="33">
        <ns0:v>D1.5mm</ns0:v>
      </ns0:c>
      <ns0:c r="D3" t="str" s="34">
        <ns0:f>C3</ns0:f>
        <ns0:v>D1.5mm</ns0:v>
      </ns0:c>
      <ns0:c r="E3" s="33"/>
      <ns0:c r="F3" s="33"/>
      <ns0:c r="G3" s="33"/>
      <ns0:c r="H3" t="str" s="35">
        <ns0:v>Площадка Ø1,5 мм</ns0:v>
      </ns0:c>
      <ns0:c r="I3" s="33"/>
      <ns0:c r="J3" s="33"/>
      <ns0:c r="K3" t="str" s="34">
        <ns0:f>B3&amp;" "&amp;H3</ns0:f>
        <ns0:v>Контрольная точка Площадка Ø1,5 мм</ns0:v>
      </ns0:c>
      <ns0:c r="L3" t="str" s="36">
        <ns0:v>TestPoint</ns0:v>
      </ns0:c>
      <ns0:c r="M3" t="str" s="36">
        <ns0:v>Symbols\MY_LIB_Special.SchLib</ns0:v>
      </ns0:c>
      <ns0:c r="N3" t="str" s="36">
        <ns0:v>TestPoint_Pad_D1.5mm</ns0:v>
      </ns0:c>
      <ns0:c r="O3" t="str" s="36">
        <ns0:v>Footprints\MY_LIB_TestPoints.PcbLib</ns0:v>
      </ns0:c>
      <ns0:c r="P3" t="str" s="33">
        <ns0:v>Одна круглая площадка Top Layer; маска открыта +0,05 мм; без отверстия, пасты и шелкографии. Standard (No BOM).</ns0:v>
      </ns0:c>
      <ns0:c r="Q3" s="33"/>
      <ns0:c r="R3" t="str" s="34">
        <ns0:f>D3</ns0:f>
        <ns0:v>D1.5mm</ns0:v>
      </ns0:c>
      <ns0:c r="S3" t="str" s="34">
        <ns0:f>K3</ns0:f>
        <ns0:v>Контрольная точка Площадка Ø1,5 мм</ns0:v>
      </ns0:c>
      <x:c xmlns:x="http://schemas.openxmlformats.org/spreadsheetml/2006/main" r="T3" s="33"/>
      <x:c xmlns:x="http://schemas.openxmlformats.org/spreadsheetml/2006/main" r="U3" s="33"/>
      <x:c xmlns:x="http://schemas.openxmlformats.org/spreadsheetml/2006/main" r="V3" s="33"/>
      <x:c xmlns:x="http://schemas.openxmlformats.org/spreadsheetml/2006/main" r="W3" s="33"/>
      <ns0:c r="X3" t="n" s="33">
        <ns0:v>1.5</ns0:v>
      </ns0:c>
      <ns0:c r="Y3" t="str" s="33">
        <ns0:v>Standard (No BOM)</ns0:v>
      </ns0:c>
    </ns0:row>
    <ns0:row r="4" ht="110" customHeight="1">
      <ns0:c r="A4" t="str" s="33">
        <ns0:v>TP0003</ns0:v>
      </ns0:c>
      <ns0:c r="B4" t="str" s="33">
        <ns0:v>Контрольная точка</ns0:v>
      </ns0:c>
      <ns0:c r="C4" t="str" s="33">
        <ns0:v>D2.0mm</ns0:v>
      </ns0:c>
      <ns0:c r="D4" t="str" s="34">
        <ns0:f>C4</ns0:f>
        <ns0:v>D2.0mm</ns0:v>
      </ns0:c>
      <ns0:c r="E4" s="33"/>
      <ns0:c r="F4" s="33"/>
      <ns0:c r="G4" s="33"/>
      <ns0:c r="H4" t="str" s="35">
        <ns0:v>Площадка Ø2,0 мм</ns0:v>
      </ns0:c>
      <ns0:c r="I4" s="33"/>
      <ns0:c r="J4" s="33"/>
      <ns0:c r="K4" t="str" s="34">
        <ns0:f>B4&amp;" "&amp;H4</ns0:f>
        <ns0:v>Контрольная точка Площадка Ø2,0 мм</ns0:v>
      </ns0:c>
      <ns0:c r="L4" t="str" s="36">
        <ns0:v>TestPoint</ns0:v>
      </ns0:c>
      <ns0:c r="M4" t="str" s="36">
        <ns0:v>Symbols\MY_LIB_Special.SchLib</ns0:v>
      </ns0:c>
      <ns0:c r="N4" t="str" s="36">
        <ns0:v>TestPoint_Pad_D2.0mm</ns0:v>
      </ns0:c>
      <ns0:c r="O4" t="str" s="36">
        <ns0:v>Footprints\MY_LIB_TestPoints.PcbLib</ns0:v>
      </ns0:c>
      <ns0:c r="P4" t="str" s="33">
        <ns0:v>Одна круглая площадка Top Layer; маска открыта +0,05 мм; без отверстия, пасты и шелкографии. Standard (No BOM).</ns0:v>
      </ns0:c>
      <ns0:c r="Q4" s="33"/>
      <ns0:c r="R4" t="str" s="34">
        <ns0:f>D4</ns0:f>
        <ns0:v>D2.0mm</ns0:v>
      </ns0:c>
      <ns0:c r="S4" t="str" s="34">
        <ns0:f>K4</ns0:f>
        <ns0:v>Контрольная точка Площадка Ø2,0 мм</ns0:v>
      </ns0:c>
      <x:c xmlns:x="http://schemas.openxmlformats.org/spreadsheetml/2006/main" r="T4" s="33"/>
      <x:c xmlns:x="http://schemas.openxmlformats.org/spreadsheetml/2006/main" r="U4" s="33"/>
      <x:c xmlns:x="http://schemas.openxmlformats.org/spreadsheetml/2006/main" r="V4" s="33"/>
      <x:c xmlns:x="http://schemas.openxmlformats.org/spreadsheetml/2006/main" r="W4" s="33"/>
      <ns0:c r="X4" t="n" s="33">
        <ns0:v>2</ns0:v>
      </ns0:c>
      <ns0:c r="Y4" t="str" s="33">
        <ns0:v>Standard (No BOM)</ns0:v>
      </ns0:c>
    </ns0:row>
  </ns0:sheetData>
  <ns0:pageMargins left="0.7" right="0.7" top="0.75" bottom="0.75" header="0.3" footer="0.3"/>
  <ns0:tableParts count="1">
    <ns0:tablePart ns1:id="Rbd9ae99f35be42d0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27" hidden="0" customWidth="1"/>
    <ns0:col min="3" max="3" width="27" hidden="0" customWidth="1"/>
    <ns0:col min="4" max="4" width="27" hidden="0" customWidth="1"/>
    <ns0:col min="5" max="5" width="15" hidden="0" customWidth="1"/>
    <ns0:col min="6" max="6" width="16" hidden="0" customWidth="1"/>
    <ns0:col min="7" max="7" width="14" hidden="0" customWidth="1"/>
    <ns0:col min="8" max="8" width="22" hidden="0" customWidth="1"/>
    <ns0:col min="9" max="9" width="24" hidden="0" customWidth="1"/>
    <ns0:col min="10" max="10" width="28" hidden="0" customWidth="1"/>
    <ns0:col min="11" max="11" width="45" hidden="0" customWidth="1"/>
    <ns0:col min="12" max="12" width="23" hidden="0" customWidth="1"/>
    <ns0:col min="13" max="13" width="38" hidden="0" customWidth="1"/>
    <ns0:col min="14" max="14" width="28" hidden="0" customWidth="1"/>
    <ns0:col min="15" max="15" width="42" hidden="0" customWidth="1"/>
    <ns0:col min="16" max="16" width="65" hidden="0" customWidth="1"/>
    <ns0:col min="17" max="17" width="18" hidden="0" customWidth="1"/>
    <ns0:col min="18" max="18" width="20" hidden="0" customWidth="1"/>
    <ns0:col min="19" max="19" width="45" hidden="0" customWidth="1"/>
    <ns0:col min="20" max="20" width="42" hidden="0" customWidth="1"/>
    <ns0:col min="21" max="21" width="42" hidden="0" customWidth="1"/>
    <ns0:col min="22" max="22" width="42" hidden="0" customWidth="1"/>
    <ns0:col min="23" max="23" width="42" hidden="0" customWidth="1"/>
    <ns0:col min="24" max="24" width="42" hidden="0" customWidth="1"/>
    <ns0:col min="25" max="25" width="42" hidden="0" customWidth="1"/>
    <ns0:col min="26" max="26" width="24" hidden="0" customWidth="1"/>
    <ns0:col min="27" max="27" width="24" hidden="0" customWidth="1"/>
    <ns0:col min="28" max="28" width="24" hidden="0" customWidth="1"/>
    <ns0:col min="29" max="29" width="24" hidden="0" customWidth="1"/>
    <ns0:col min="30" max="30" width="24" hidden="0" customWidth="1"/>
    <ns0:col min="31" max="31" width="24" hidden="0" customWidth="1"/>
    <ns0:col min="32" max="32" width="24" hidden="0" customWidth="1"/>
    <ns0:col min="33" max="33" width="24" hidden="0" customWidth="1"/>
    <ns0:col min="34" max="34" width="24" hidden="0" customWidth="1"/>
    <ns0:col min="35" max="35" width="24" hidden="0" customWidth="1"/>
    <ns0:col min="36" max="36" width="24" hidden="0" customWidth="1"/>
    <ns0:col min="37" max="37" width="24" hidden="0" customWidth="1"/>
    <ns0:col min="38" max="38" width="24" hidden="0" customWidth="1"/>
  </ns0:cols>
  <ns0:sheetData>
    <ns0:row r="1" ht="36" customHeight="1">
      <ns0:c r="A1" t="str" s="32">
        <ns0:v>ID</ns0:v>
      </ns0:c>
      <ns0:c r="B1" t="str" s="32">
        <ns0:v>Type</ns0:v>
      </ns0:c>
      <ns0:c r="C1" t="str" s="32">
        <ns0:v>Value</ns0:v>
      </ns0:c>
      <ns0:c r="D1" t="str" s="32">
        <ns0:v>ESKD_value</ns0:v>
      </ns0:c>
      <ns0:c r="E1" t="str" s="32">
        <ns0:v>Tolerance</ns0:v>
      </ns0:c>
      <ns0:c r="F1" t="str" s="32">
        <ns0:v>Power</ns0:v>
      </ns0:c>
      <ns0:c r="G1" t="str" s="32">
        <ns0:v>Voltage</ns0:v>
      </ns0:c>
      <ns0:c r="H1" t="str" s="32">
        <ns0:v>Package</ns0:v>
      </ns0:c>
      <ns0:c r="I1" t="str" s="32">
        <ns0:v>Manufacturer</ns0:v>
      </ns0:c>
      <ns0:c r="J1" t="str" s="32">
        <ns0:v>MPN</ns0:v>
      </ns0:c>
      <ns0:c r="K1" t="str" s="32">
        <ns0:v>CommentBase</ns0:v>
      </ns0:c>
      <ns0:c r="L1" t="str" s="32">
        <ns0:v>Library Ref</ns0:v>
      </ns0:c>
      <ns0:c r="M1" t="str" s="32">
        <ns0:v>Library Path</ns0:v>
      </ns0:c>
      <ns0:c r="N1" t="str" s="32">
        <ns0:v>Footprint Ref</ns0:v>
      </ns0:c>
      <ns0:c r="O1" t="str" s="32">
        <ns0:v>Footprint Path</ns0:v>
      </ns0:c>
      <ns0:c r="P1" t="str" s="32">
        <ns0:v>Notes</ns0:v>
      </ns0:c>
      <ns0:c r="Q1" t="str" s="32">
        <ns0:v>Dielectric</ns0:v>
      </ns0:c>
      <ns0:c r="R1" t="str" s="32">
        <ns0:v>Comment</ns0:v>
      </ns0:c>
      <ns0:c r="S1" t="str" s="32">
        <ns0:v>Description</ns0:v>
      </ns0:c>
      <ns0:c r="T1" t="str" s="32">
        <ns0:v>Datasheet</ns0:v>
      </ns0:c>
      <ns0:c r="U1" t="str" s="32">
        <ns0:v>ComponentLink1Description</ns0:v>
      </ns0:c>
      <ns0:c r="V1" t="str" s="32">
        <ns0:v>ComponentLink1URL</ns0:v>
      </ns0:c>
      <ns0:c r="W1" t="str" s="32">
        <ns0:v>ComponentLink2Description</ns0:v>
      </ns0:c>
      <ns0:c r="X1" t="str" s="32">
        <ns0:v>ComponentLink2URL</ns0:v>
      </ns0:c>
      <ns0:c r="Y1" t="str" s="32">
        <ns0:v>HelpURL</ns0:v>
      </ns0:c>
      <ns0:c r="Z1" t="str" s="32">
        <ns0:v>ImpedanceOhm</ns0:v>
      </ns0:c>
      <ns0:c r="AA1" t="str" s="32">
        <ns0:v>TestFrequencyMHz</ns0:v>
      </ns0:c>
      <ns0:c r="AB1" t="str" s="32">
        <ns0:v>RatedCurrentA</ns0:v>
      </ns0:c>
      <ns0:c r="AC1" t="str" s="32">
        <ns0:v>RatedCurrent125CA</ns0:v>
      </ns0:c>
      <ns0:c r="AD1" t="str" s="32">
        <ns0:v>DCResistanceMaxOhm</ns0:v>
      </ns0:c>
      <ns0:c r="AE1" t="str" s="32">
        <ns0:v>OperatingTemperatureMin</ns0:v>
      </ns0:c>
      <ns0:c r="AF1" t="str" s="32">
        <ns0:v>OperatingTemperatureMax</ns0:v>
      </ns0:c>
      <ns0:c r="AG1" t="str" s="32">
        <ns0:v>TemperatureReference</ns0:v>
      </ns0:c>
      <ns0:c r="AH1" t="str" s="32">
        <ns0:v>Family</ns0:v>
      </ns0:c>
      <ns0:c r="AI1" t="str" s="32">
        <ns0:v>Grade</ns0:v>
      </ns0:c>
      <ns0:c r="AJ1" t="str" s="32">
        <ns0:v>Packaging</ns0:v>
      </ns0:c>
      <ns0:c r="AK1" t="str" s="32">
        <ns0:v>PackagingQuantity</ns0:v>
      </ns0:c>
      <ns0:c r="AL1" t="str" s="32">
        <ns0:v>DatasheetRevision</ns0:v>
      </ns0:c>
    </ns0:row>
    <ns0:row r="2" ht="72" customHeight="1">
      <ns0:c r="A2" t="str" s="33">
        <ns0:v>L0001</ns0:v>
      </ns0:c>
      <ns0:c r="B2" t="str" s="33">
        <ns0:v>Ферритовый фильтр</ns0:v>
      </ns0:c>
      <ns0:c r="C2" t="str" s="33">
        <ns0:v>30 Ом @ 100 МГц</ns0:v>
      </ns0:c>
      <ns0:c r="D2" t="str" s="34">
        <ns0:f>C2</ns0:f>
        <ns0:v>30 Ом @ 100 МГц</ns0:v>
      </ns0:c>
      <ns0:c r="E2" t="str" s="33">
        <ns0:v>±10 Ом</ns0:v>
      </ns0:c>
      <ns0:c r="F2" s="33"/>
      <ns0:c r="G2" s="33"/>
      <ns0:c r="H2" t="str" s="35">
        <ns0:v>0805</ns0:v>
      </ns0:c>
      <ns0:c r="I2" t="str" s="33">
        <ns0:v>TDK</ns0:v>
      </ns0:c>
      <ns0:c r="J2" t="str" s="33">
        <ns0:v>MPZ2012S300AT000</ns0:v>
      </ns0:c>
      <ns0:c r="K2" t="str" s="34">
        <ns0:f>B2&amp;" "&amp;J2</ns0:f>
        <ns0:v>Ферритовый фильтр MPZ2012S300AT000</ns0:v>
      </ns0:c>
      <ns0:c r="L2" t="str" s="36">
        <ns0:v>Ferrite_Bead</ns0:v>
      </ns0:c>
      <ns0:c r="M2" t="str" s="36">
        <ns0:v>Symbols\MY_LIB_Inductors.SchLib</ns0:v>
      </ns0:c>
      <ns0:c r="N2" t="str" s="36">
        <ns0:v>TDK_MPZ2012S_2012</ns0:v>
      </ns0:c>
      <ns0:c r="O2" t="str" s="36">
        <ns0:v>Footprints\MY_LIB_Inductors.PcbLib</ns0:v>
      </ns0:c>
      <ns0:c r="P2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2" s="33"/>
      <ns0:c r="R2" t="str" s="34">
        <ns0:f>D2</ns0:f>
        <ns0:v>30 Ом @ 100 МГц</ns0:v>
      </ns0:c>
      <ns0:c r="S2" t="str" s="34">
        <ns0:f>K2</ns0:f>
        <ns0:v>Ферритовый фильтр MPZ2012S300AT000</ns0:v>
      </ns0:c>
      <ns0:c r="T2" t="str" s="33">
        <ns0:v>C:\Users\Nomatin\Documents\Altium\MY_LIB\MY_LIB\Datasheets\Ferrite_Beads\TDK_MPZ2012_commercial.pdf</ns0:v>
      </ns0:c>
      <ns0:c r="U2" t="str" s="33">
        <ns0:v>Даташит — локальный</ns0:v>
      </ns0:c>
      <ns0:c r="V2" t="str" s="33">
        <ns0:v>C:\Users\Nomatin\Documents\Altium\MY_LIB\MY_LIB\Datasheets\Ferrite_Beads\TDK_MPZ2012_commercial.pdf</ns0:v>
      </ns0:c>
      <ns0:c r="W2" t="str" s="33">
        <ns0:v>Даташит — производитель</ns0:v>
      </ns0:c>
      <ns0:c r="X2" t="str" s="33">
        <ns0:v>https://product.tdk.com/en/system/files/dam/doc/product/emc/emc/beads/catalog/beads_commercial_power_mpz2012_en.pdf</ns0:v>
      </ns0:c>
      <ns0:c r="Y2" t="str" s="33">
        <ns0:v>C:\Users\Nomatin\Documents\Altium\MY_LIB\MY_LIB\Datasheets\Ferrite_Beads\TDK_MPZ2012_commercial.pdf</ns0:v>
      </ns0:c>
      <ns0:c r="Z2" t="n" s="33">
        <ns0:v>30</ns0:v>
      </ns0:c>
      <ns0:c r="AA2" t="n" s="33">
        <ns0:v>100</ns0:v>
      </ns0:c>
      <ns0:c r="AB2" t="n" s="33">
        <ns0:v>6</ns0:v>
      </ns0:c>
      <ns0:c r="AC2" s="33"/>
      <ns0:c r="AD2" t="n" s="33">
        <ns0:v>0.01</ns0:v>
      </ns0:c>
      <ns0:c r="AE2" t="n" s="33">
        <ns0:v>-55</ns0:v>
      </ns0:c>
      <ns0:c r="AF2" t="n" s="33">
        <ns0:v>125</ns0:v>
      </ns0:c>
      <ns0:c r="AG2" t="str" s="33">
        <ns0:v>Component temperature including self-heating, °C; current derating above 85°C</ns0:v>
      </ns0:c>
      <ns0:c r="AH2" t="str" s="33">
        <ns0:v>MPZ2012S</ns0:v>
      </ns0:c>
      <ns0:c r="AI2" t="str" s="33">
        <ns0:v>Commercial</ns0:v>
      </ns0:c>
      <ns0:c r="AJ2" t="str" s="33">
        <ns0:v>180 mm paper tape</ns0:v>
      </ns0:c>
      <ns0:c r="AK2" t="n" s="33">
        <ns0:v>4000</ns0:v>
      </ns0:c>
      <ns0:c r="AL2" t="str" s="33">
        <ns0:v>2019-04-24</ns0:v>
      </ns0:c>
    </ns0:row>
    <ns0:row r="3" ht="72" customHeight="1">
      <ns0:c r="A3" t="str" s="33">
        <ns0:v>L0002</ns0:v>
      </ns0:c>
      <ns0:c r="B3" t="str" s="33">
        <ns0:v>Ферритовый фильтр</ns0:v>
      </ns0:c>
      <ns0:c r="C3" t="str" s="33">
        <ns0:v>100 Ом @ 100 МГц</ns0:v>
      </ns0:c>
      <ns0:c r="D3" t="str" s="34">
        <ns0:f>C3</ns0:f>
        <ns0:v>100 Ом @ 100 МГц</ns0:v>
      </ns0:c>
      <ns0:c r="E3" t="str" s="33">
        <ns0:v>±25%</ns0:v>
      </ns0:c>
      <ns0:c r="F3" s="33"/>
      <ns0:c r="G3" s="33"/>
      <ns0:c r="H3" t="str" s="35">
        <ns0:v>0805</ns0:v>
      </ns0:c>
      <ns0:c r="I3" t="str" s="33">
        <ns0:v>TDK</ns0:v>
      </ns0:c>
      <ns0:c r="J3" t="str" s="33">
        <ns0:v>MPZ2012S101AT000</ns0:v>
      </ns0:c>
      <ns0:c r="K3" t="str" s="34">
        <ns0:f>B3&amp;" "&amp;J3</ns0:f>
        <ns0:v>Ферритовый фильтр MPZ2012S101AT000</ns0:v>
      </ns0:c>
      <ns0:c r="L3" t="str" s="36">
        <ns0:v>Ferrite_Bead</ns0:v>
      </ns0:c>
      <ns0:c r="M3" t="str" s="36">
        <ns0:v>Symbols\MY_LIB_Inductors.SchLib</ns0:v>
      </ns0:c>
      <ns0:c r="N3" t="str" s="36">
        <ns0:v>TDK_MPZ2012S_2012</ns0:v>
      </ns0:c>
      <ns0:c r="O3" t="str" s="36">
        <ns0:v>Footprints\MY_LIB_Inductors.PcbLib</ns0:v>
      </ns0:c>
      <ns0:c r="P3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3" s="33"/>
      <ns0:c r="R3" t="str" s="34">
        <ns0:f>D3</ns0:f>
        <ns0:v>100 Ом @ 100 МГц</ns0:v>
      </ns0:c>
      <ns0:c r="S3" t="str" s="34">
        <ns0:f>K3</ns0:f>
        <ns0:v>Ферритовый фильтр MPZ2012S101AT000</ns0:v>
      </ns0:c>
      <ns0:c r="T3" t="str" s="33">
        <ns0:v>C:\Users\Nomatin\Documents\Altium\MY_LIB\MY_LIB\Datasheets\Ferrite_Beads\TDK_MPZ2012_commercial.pdf</ns0:v>
      </ns0:c>
      <ns0:c r="U3" t="str" s="33">
        <ns0:v>Даташит — локальный</ns0:v>
      </ns0:c>
      <ns0:c r="V3" t="str" s="33">
        <ns0:v>C:\Users\Nomatin\Documents\Altium\MY_LIB\MY_LIB\Datasheets\Ferrite_Beads\TDK_MPZ2012_commercial.pdf</ns0:v>
      </ns0:c>
      <ns0:c r="W3" t="str" s="33">
        <ns0:v>Даташит — производитель</ns0:v>
      </ns0:c>
      <ns0:c r="X3" t="str" s="33">
        <ns0:v>https://product.tdk.com/en/system/files/dam/doc/product/emc/emc/beads/catalog/beads_commercial_power_mpz2012_en.pdf</ns0:v>
      </ns0:c>
      <ns0:c r="Y3" t="str" s="33">
        <ns0:v>C:\Users\Nomatin\Documents\Altium\MY_LIB\MY_LIB\Datasheets\Ferrite_Beads\TDK_MPZ2012_commercial.pdf</ns0:v>
      </ns0:c>
      <ns0:c r="Z3" t="n" s="33">
        <ns0:v>100</ns0:v>
      </ns0:c>
      <ns0:c r="AA3" t="n" s="33">
        <ns0:v>100</ns0:v>
      </ns0:c>
      <ns0:c r="AB3" t="n" s="33">
        <ns0:v>4</ns0:v>
      </ns0:c>
      <ns0:c r="AC3" s="33"/>
      <ns0:c r="AD3" t="n" s="33">
        <ns0:v>0.02</ns0:v>
      </ns0:c>
      <ns0:c r="AE3" t="n" s="33">
        <ns0:v>-55</ns0:v>
      </ns0:c>
      <ns0:c r="AF3" t="n" s="33">
        <ns0:v>125</ns0:v>
      </ns0:c>
      <ns0:c r="AG3" t="str" s="33">
        <ns0:v>Component temperature including self-heating, °C; current derating above 85°C</ns0:v>
      </ns0:c>
      <ns0:c r="AH3" t="str" s="33">
        <ns0:v>MPZ2012S</ns0:v>
      </ns0:c>
      <ns0:c r="AI3" t="str" s="33">
        <ns0:v>Commercial</ns0:v>
      </ns0:c>
      <ns0:c r="AJ3" t="str" s="33">
        <ns0:v>180 mm paper tape</ns0:v>
      </ns0:c>
      <ns0:c r="AK3" t="n" s="33">
        <ns0:v>4000</ns0:v>
      </ns0:c>
      <ns0:c r="AL3" t="str" s="33">
        <ns0:v>2019-04-24</ns0:v>
      </ns0:c>
    </ns0:row>
    <ns0:row r="4" ht="72" customHeight="1">
      <ns0:c r="A4" t="str" s="33">
        <ns0:v>L0003</ns0:v>
      </ns0:c>
      <ns0:c r="B4" t="str" s="33">
        <ns0:v>Ферритовый фильтр</ns0:v>
      </ns0:c>
      <ns0:c r="C4" t="str" s="33">
        <ns0:v>220 Ом @ 100 МГц</ns0:v>
      </ns0:c>
      <ns0:c r="D4" t="str" s="34">
        <ns0:f>C4</ns0:f>
        <ns0:v>220 Ом @ 100 МГц</ns0:v>
      </ns0:c>
      <ns0:c r="E4" t="str" s="33">
        <ns0:v>±25%</ns0:v>
      </ns0:c>
      <ns0:c r="F4" s="33"/>
      <ns0:c r="G4" s="33"/>
      <ns0:c r="H4" t="str" s="35">
        <ns0:v>0805</ns0:v>
      </ns0:c>
      <ns0:c r="I4" t="str" s="33">
        <ns0:v>TDK</ns0:v>
      </ns0:c>
      <ns0:c r="J4" t="str" s="33">
        <ns0:v>MPZ2012S221AT000</ns0:v>
      </ns0:c>
      <ns0:c r="K4" t="str" s="34">
        <ns0:f>B4&amp;" "&amp;J4</ns0:f>
        <ns0:v>Ферритовый фильтр MPZ2012S221AT000</ns0:v>
      </ns0:c>
      <ns0:c r="L4" t="str" s="36">
        <ns0:v>Ferrite_Bead</ns0:v>
      </ns0:c>
      <ns0:c r="M4" t="str" s="36">
        <ns0:v>Symbols\MY_LIB_Inductors.SchLib</ns0:v>
      </ns0:c>
      <ns0:c r="N4" t="str" s="36">
        <ns0:v>TDK_MPZ2012S_2012</ns0:v>
      </ns0:c>
      <ns0:c r="O4" t="str" s="36">
        <ns0:v>Footprints\MY_LIB_Inductors.PcbLib</ns0:v>
      </ns0:c>
      <ns0:c r="P4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4" s="33"/>
      <ns0:c r="R4" t="str" s="34">
        <ns0:f>D4</ns0:f>
        <ns0:v>220 Ом @ 100 МГц</ns0:v>
      </ns0:c>
      <ns0:c r="S4" t="str" s="34">
        <ns0:f>K4</ns0:f>
        <ns0:v>Ферритовый фильтр MPZ2012S221AT000</ns0:v>
      </ns0:c>
      <ns0:c r="T4" t="str" s="33">
        <ns0:v>C:\Users\Nomatin\Documents\Altium\MY_LIB\MY_LIB\Datasheets\Ferrite_Beads\TDK_MPZ2012_commercial.pdf</ns0:v>
      </ns0:c>
      <ns0:c r="U4" t="str" s="33">
        <ns0:v>Даташит — локальный</ns0:v>
      </ns0:c>
      <ns0:c r="V4" t="str" s="33">
        <ns0:v>C:\Users\Nomatin\Documents\Altium\MY_LIB\MY_LIB\Datasheets\Ferrite_Beads\TDK_MPZ2012_commercial.pdf</ns0:v>
      </ns0:c>
      <ns0:c r="W4" t="str" s="33">
        <ns0:v>Даташит — производитель</ns0:v>
      </ns0:c>
      <ns0:c r="X4" t="str" s="33">
        <ns0:v>https://product.tdk.com/en/system/files/dam/doc/product/emc/emc/beads/catalog/beads_commercial_power_mpz2012_en.pdf</ns0:v>
      </ns0:c>
      <ns0:c r="Y4" t="str" s="33">
        <ns0:v>C:\Users\Nomatin\Documents\Altium\MY_LIB\MY_LIB\Datasheets\Ferrite_Beads\TDK_MPZ2012_commercial.pdf</ns0:v>
      </ns0:c>
      <ns0:c r="Z4" t="n" s="33">
        <ns0:v>220</ns0:v>
      </ns0:c>
      <ns0:c r="AA4" t="n" s="33">
        <ns0:v>100</ns0:v>
      </ns0:c>
      <ns0:c r="AB4" t="n" s="33">
        <ns0:v>3</ns0:v>
      </ns0:c>
      <ns0:c r="AC4" s="33"/>
      <ns0:c r="AD4" t="n" s="33">
        <ns0:v>0.04</ns0:v>
      </ns0:c>
      <ns0:c r="AE4" t="n" s="33">
        <ns0:v>-55</ns0:v>
      </ns0:c>
      <ns0:c r="AF4" t="n" s="33">
        <ns0:v>125</ns0:v>
      </ns0:c>
      <ns0:c r="AG4" t="str" s="33">
        <ns0:v>Component temperature including self-heating, °C; current derating above 85°C</ns0:v>
      </ns0:c>
      <ns0:c r="AH4" t="str" s="33">
        <ns0:v>MPZ2012S</ns0:v>
      </ns0:c>
      <ns0:c r="AI4" t="str" s="33">
        <ns0:v>Commercial</ns0:v>
      </ns0:c>
      <ns0:c r="AJ4" t="str" s="33">
        <ns0:v>180 mm paper tape</ns0:v>
      </ns0:c>
      <ns0:c r="AK4" t="n" s="33">
        <ns0:v>4000</ns0:v>
      </ns0:c>
      <ns0:c r="AL4" t="str" s="33">
        <ns0:v>2019-04-24</ns0:v>
      </ns0:c>
    </ns0:row>
    <ns0:row r="5" ht="72" customHeight="1">
      <ns0:c r="A5" t="str" s="33">
        <ns0:v>L0004</ns0:v>
      </ns0:c>
      <ns0:c r="B5" t="str" s="33">
        <ns0:v>Ферритовый фильтр</ns0:v>
      </ns0:c>
      <ns0:c r="C5" t="str" s="33">
        <ns0:v>330 Ом @ 100 МГц</ns0:v>
      </ns0:c>
      <ns0:c r="D5" t="str" s="34">
        <ns0:f>C5</ns0:f>
        <ns0:v>330 Ом @ 100 МГц</ns0:v>
      </ns0:c>
      <ns0:c r="E5" t="str" s="33">
        <ns0:v>±25%</ns0:v>
      </ns0:c>
      <ns0:c r="F5" s="33"/>
      <ns0:c r="G5" s="33"/>
      <ns0:c r="H5" t="str" s="35">
        <ns0:v>0805</ns0:v>
      </ns0:c>
      <ns0:c r="I5" t="str" s="33">
        <ns0:v>TDK</ns0:v>
      </ns0:c>
      <ns0:c r="J5" t="str" s="33">
        <ns0:v>MPZ2012S331AT000</ns0:v>
      </ns0:c>
      <ns0:c r="K5" t="str" s="34">
        <ns0:f>B5&amp;" "&amp;J5</ns0:f>
        <ns0:v>Ферритовый фильтр MPZ2012S331AT000</ns0:v>
      </ns0:c>
      <ns0:c r="L5" t="str" s="36">
        <ns0:v>Ferrite_Bead</ns0:v>
      </ns0:c>
      <ns0:c r="M5" t="str" s="36">
        <ns0:v>Symbols\MY_LIB_Inductors.SchLib</ns0:v>
      </ns0:c>
      <ns0:c r="N5" t="str" s="36">
        <ns0:v>TDK_MPZ2012S_2012</ns0:v>
      </ns0:c>
      <ns0:c r="O5" t="str" s="36">
        <ns0:v>Footprints\MY_LIB_Inductors.PcbLib</ns0:v>
      </ns0:c>
      <ns0:c r="P5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5" s="33"/>
      <ns0:c r="R5" t="str" s="34">
        <ns0:f>D5</ns0:f>
        <ns0:v>330 Ом @ 100 МГц</ns0:v>
      </ns0:c>
      <ns0:c r="S5" t="str" s="34">
        <ns0:f>K5</ns0:f>
        <ns0:v>Ферритовый фильтр MPZ2012S331AT000</ns0:v>
      </ns0:c>
      <ns0:c r="T5" t="str" s="33">
        <ns0:v>C:\Users\Nomatin\Documents\Altium\MY_LIB\MY_LIB\Datasheets\Ferrite_Beads\TDK_MPZ2012_commercial.pdf</ns0:v>
      </ns0:c>
      <ns0:c r="U5" t="str" s="33">
        <ns0:v>Даташит — локальный</ns0:v>
      </ns0:c>
      <ns0:c r="V5" t="str" s="33">
        <ns0:v>C:\Users\Nomatin\Documents\Altium\MY_LIB\MY_LIB\Datasheets\Ferrite_Beads\TDK_MPZ2012_commercial.pdf</ns0:v>
      </ns0:c>
      <ns0:c r="W5" t="str" s="33">
        <ns0:v>Даташит — производитель</ns0:v>
      </ns0:c>
      <ns0:c r="X5" t="str" s="33">
        <ns0:v>https://product.tdk.com/en/system/files/dam/doc/product/emc/emc/beads/catalog/beads_commercial_power_mpz2012_en.pdf</ns0:v>
      </ns0:c>
      <ns0:c r="Y5" t="str" s="33">
        <ns0:v>C:\Users\Nomatin\Documents\Altium\MY_LIB\MY_LIB\Datasheets\Ferrite_Beads\TDK_MPZ2012_commercial.pdf</ns0:v>
      </ns0:c>
      <ns0:c r="Z5" t="n" s="33">
        <ns0:v>330</ns0:v>
      </ns0:c>
      <ns0:c r="AA5" t="n" s="33">
        <ns0:v>100</ns0:v>
      </ns0:c>
      <ns0:c r="AB5" t="n" s="33">
        <ns0:v>2.5</ns0:v>
      </ns0:c>
      <ns0:c r="AC5" s="33"/>
      <ns0:c r="AD5" t="n" s="33">
        <ns0:v>0.05</ns0:v>
      </ns0:c>
      <ns0:c r="AE5" t="n" s="33">
        <ns0:v>-55</ns0:v>
      </ns0:c>
      <ns0:c r="AF5" t="n" s="33">
        <ns0:v>125</ns0:v>
      </ns0:c>
      <ns0:c r="AG5" t="str" s="33">
        <ns0:v>Component temperature including self-heating, °C; current derating above 85°C</ns0:v>
      </ns0:c>
      <ns0:c r="AH5" t="str" s="33">
        <ns0:v>MPZ2012S</ns0:v>
      </ns0:c>
      <ns0:c r="AI5" t="str" s="33">
        <ns0:v>Commercial</ns0:v>
      </ns0:c>
      <ns0:c r="AJ5" t="str" s="33">
        <ns0:v>180 mm paper tape</ns0:v>
      </ns0:c>
      <ns0:c r="AK5" t="n" s="33">
        <ns0:v>4000</ns0:v>
      </ns0:c>
      <ns0:c r="AL5" t="str" s="33">
        <ns0:v>2019-04-24</ns0:v>
      </ns0:c>
    </ns0:row>
    <ns0:row r="6" ht="72" customHeight="1">
      <ns0:c r="A6" t="str" s="33">
        <ns0:v>L0005</ns0:v>
      </ns0:c>
      <ns0:c r="B6" t="str" s="33">
        <ns0:v>Ферритовый фильтр</ns0:v>
      </ns0:c>
      <ns0:c r="C6" t="str" s="33">
        <ns0:v>600 Ом @ 100 МГц</ns0:v>
      </ns0:c>
      <ns0:c r="D6" t="str" s="34">
        <ns0:f>C6</ns0:f>
        <ns0:v>600 Ом @ 100 МГц</ns0:v>
      </ns0:c>
      <ns0:c r="E6" t="str" s="33">
        <ns0:v>±25%</ns0:v>
      </ns0:c>
      <ns0:c r="F6" s="33"/>
      <ns0:c r="G6" s="33"/>
      <ns0:c r="H6" t="str" s="35">
        <ns0:v>0805</ns0:v>
      </ns0:c>
      <ns0:c r="I6" t="str" s="33">
        <ns0:v>TDK</ns0:v>
      </ns0:c>
      <ns0:c r="J6" t="str" s="33">
        <ns0:v>MPZ2012S601AT000</ns0:v>
      </ns0:c>
      <ns0:c r="K6" t="str" s="34">
        <ns0:f>B6&amp;" "&amp;J6</ns0:f>
        <ns0:v>Ферритовый фильтр MPZ2012S601AT000</ns0:v>
      </ns0:c>
      <ns0:c r="L6" t="str" s="36">
        <ns0:v>Ferrite_Bead</ns0:v>
      </ns0:c>
      <ns0:c r="M6" t="str" s="36">
        <ns0:v>Symbols\MY_LIB_Inductors.SchLib</ns0:v>
      </ns0:c>
      <ns0:c r="N6" t="str" s="36">
        <ns0:v>TDK_MPZ2012S_2012</ns0:v>
      </ns0:c>
      <ns0:c r="O6" t="str" s="36">
        <ns0:v>Footprints\MY_LIB_Inductors.PcbLib</ns0:v>
      </ns0:c>
      <ns0:c r="P6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6" s="33"/>
      <ns0:c r="R6" t="str" s="34">
        <ns0:f>D6</ns0:f>
        <ns0:v>600 Ом @ 100 МГц</ns0:v>
      </ns0:c>
      <ns0:c r="S6" t="str" s="34">
        <ns0:f>K6</ns0:f>
        <ns0:v>Ферритовый фильтр MPZ2012S601AT000</ns0:v>
      </ns0:c>
      <ns0:c r="T6" t="str" s="33">
        <ns0:v>C:\Users\Nomatin\Documents\Altium\MY_LIB\MY_LIB\Datasheets\Ferrite_Beads\TDK_MPZ2012_commercial.pdf</ns0:v>
      </ns0:c>
      <ns0:c r="U6" t="str" s="33">
        <ns0:v>Даташит — локальный</ns0:v>
      </ns0:c>
      <ns0:c r="V6" t="str" s="33">
        <ns0:v>C:\Users\Nomatin\Documents\Altium\MY_LIB\MY_LIB\Datasheets\Ferrite_Beads\TDK_MPZ2012_commercial.pdf</ns0:v>
      </ns0:c>
      <ns0:c r="W6" t="str" s="33">
        <ns0:v>Даташит — производитель</ns0:v>
      </ns0:c>
      <ns0:c r="X6" t="str" s="33">
        <ns0:v>https://product.tdk.com/en/system/files/dam/doc/product/emc/emc/beads/catalog/beads_commercial_power_mpz2012_en.pdf</ns0:v>
      </ns0:c>
      <ns0:c r="Y6" t="str" s="33">
        <ns0:v>C:\Users\Nomatin\Documents\Altium\MY_LIB\MY_LIB\Datasheets\Ferrite_Beads\TDK_MPZ2012_commercial.pdf</ns0:v>
      </ns0:c>
      <ns0:c r="Z6" t="n" s="33">
        <ns0:v>600</ns0:v>
      </ns0:c>
      <ns0:c r="AA6" t="n" s="33">
        <ns0:v>100</ns0:v>
      </ns0:c>
      <ns0:c r="AB6" t="n" s="33">
        <ns0:v>2</ns0:v>
      </ns0:c>
      <ns0:c r="AC6" s="33"/>
      <ns0:c r="AD6" t="n" s="33">
        <ns0:v>0.1</ns0:v>
      </ns0:c>
      <ns0:c r="AE6" t="n" s="33">
        <ns0:v>-55</ns0:v>
      </ns0:c>
      <ns0:c r="AF6" t="n" s="33">
        <ns0:v>125</ns0:v>
      </ns0:c>
      <ns0:c r="AG6" t="str" s="33">
        <ns0:v>Component temperature including self-heating, °C; current derating above 85°C</ns0:v>
      </ns0:c>
      <ns0:c r="AH6" t="str" s="33">
        <ns0:v>MPZ2012S</ns0:v>
      </ns0:c>
      <ns0:c r="AI6" t="str" s="33">
        <ns0:v>Commercial</ns0:v>
      </ns0:c>
      <ns0:c r="AJ6" t="str" s="33">
        <ns0:v>180 mm paper tape</ns0:v>
      </ns0:c>
      <ns0:c r="AK6" t="n" s="33">
        <ns0:v>4000</ns0:v>
      </ns0:c>
      <ns0:c r="AL6" t="str" s="33">
        <ns0:v>2019-04-24</ns0:v>
      </ns0:c>
    </ns0:row>
    <ns0:row r="7" ht="72" customHeight="1">
      <ns0:c r="A7" t="str" s="33">
        <ns0:v>L0006</ns0:v>
      </ns0:c>
      <ns0:c r="B7" t="str" s="33">
        <ns0:v>Ферритовый фильтр</ns0:v>
      </ns0:c>
      <ns0:c r="C7" t="str" s="33">
        <ns0:v>1000 Ом @ 100 МГц</ns0:v>
      </ns0:c>
      <ns0:c r="D7" t="str" s="34">
        <ns0:f>C7</ns0:f>
        <ns0:v>1000 Ом @ 100 МГц</ns0:v>
      </ns0:c>
      <ns0:c r="E7" t="str" s="33">
        <ns0:v>±25%</ns0:v>
      </ns0:c>
      <ns0:c r="F7" s="33"/>
      <ns0:c r="G7" s="33"/>
      <ns0:c r="H7" t="str" s="35">
        <ns0:v>0805</ns0:v>
      </ns0:c>
      <ns0:c r="I7" t="str" s="33">
        <ns0:v>TDK</ns0:v>
      </ns0:c>
      <ns0:c r="J7" t="str" s="33">
        <ns0:v>MPZ2012S102AT000</ns0:v>
      </ns0:c>
      <ns0:c r="K7" t="str" s="34">
        <ns0:f>B7&amp;" "&amp;J7</ns0:f>
        <ns0:v>Ферритовый фильтр MPZ2012S102AT000</ns0:v>
      </ns0:c>
      <ns0:c r="L7" t="str" s="36">
        <ns0:v>Ferrite_Bead</ns0:v>
      </ns0:c>
      <ns0:c r="M7" t="str" s="36">
        <ns0:v>Symbols\MY_LIB_Inductors.SchLib</ns0:v>
      </ns0:c>
      <ns0:c r="N7" t="str" s="36">
        <ns0:v>TDK_MPZ2012S_2012</ns0:v>
      </ns0:c>
      <ns0:c r="O7" t="str" s="36">
        <ns0:v>Footprints\MY_LIB_Inductors.PcbLib</ns0:v>
      </ns0:c>
      <ns0:c r="P7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7" s="33"/>
      <ns0:c r="R7" t="str" s="34">
        <ns0:f>D7</ns0:f>
        <ns0:v>1000 Ом @ 100 МГц</ns0:v>
      </ns0:c>
      <ns0:c r="S7" t="str" s="34">
        <ns0:f>K7</ns0:f>
        <ns0:v>Ферритовый фильтр MPZ2012S102AT000</ns0:v>
      </ns0:c>
      <ns0:c r="T7" t="str" s="33">
        <ns0:v>C:\Users\Nomatin\Documents\Altium\MY_LIB\MY_LIB\Datasheets\Ferrite_Beads\TDK_MPZ2012_commercial.pdf</ns0:v>
      </ns0:c>
      <ns0:c r="U7" t="str" s="33">
        <ns0:v>Даташит — локальный</ns0:v>
      </ns0:c>
      <ns0:c r="V7" t="str" s="33">
        <ns0:v>C:\Users\Nomatin\Documents\Altium\MY_LIB\MY_LIB\Datasheets\Ferrite_Beads\TDK_MPZ2012_commercial.pdf</ns0:v>
      </ns0:c>
      <ns0:c r="W7" t="str" s="33">
        <ns0:v>Даташит — производитель</ns0:v>
      </ns0:c>
      <ns0:c r="X7" t="str" s="33">
        <ns0:v>https://product.tdk.com/en/system/files/dam/doc/product/emc/emc/beads/catalog/beads_commercial_power_mpz2012_en.pdf</ns0:v>
      </ns0:c>
      <ns0:c r="Y7" t="str" s="33">
        <ns0:v>C:\Users\Nomatin\Documents\Altium\MY_LIB\MY_LIB\Datasheets\Ferrite_Beads\TDK_MPZ2012_commercial.pdf</ns0:v>
      </ns0:c>
      <ns0:c r="Z7" t="n" s="33">
        <ns0:v>1000</ns0:v>
      </ns0:c>
      <ns0:c r="AA7" t="n" s="33">
        <ns0:v>100</ns0:v>
      </ns0:c>
      <ns0:c r="AB7" t="n" s="33">
        <ns0:v>1.5</ns0:v>
      </ns0:c>
      <ns0:c r="AC7" s="33"/>
      <ns0:c r="AD7" t="n" s="33">
        <ns0:v>0.15</ns0:v>
      </ns0:c>
      <ns0:c r="AE7" t="n" s="33">
        <ns0:v>-55</ns0:v>
      </ns0:c>
      <ns0:c r="AF7" t="n" s="33">
        <ns0:v>125</ns0:v>
      </ns0:c>
      <ns0:c r="AG7" t="str" s="33">
        <ns0:v>Component temperature including self-heating, °C; current derating above 85°C</ns0:v>
      </ns0:c>
      <ns0:c r="AH7" t="str" s="33">
        <ns0:v>MPZ2012S</ns0:v>
      </ns0:c>
      <ns0:c r="AI7" t="str" s="33">
        <ns0:v>Commercial</ns0:v>
      </ns0:c>
      <ns0:c r="AJ7" t="str" s="33">
        <ns0:v>180 mm paper tape</ns0:v>
      </ns0:c>
      <ns0:c r="AK7" t="n" s="33">
        <ns0:v>4000</ns0:v>
      </ns0:c>
      <ns0:c r="AL7" t="str" s="33">
        <ns0:v>2019-04-24</ns0:v>
      </ns0:c>
    </ns0:row>
    <ns0:row r="8" ht="72" customHeight="1">
      <ns0:c r="A8" t="str" s="33">
        <ns0:v>L0007</ns0:v>
      </ns0:c>
      <ns0:c r="B8" t="str" s="33">
        <ns0:v>Ферритовый фильтр</ns0:v>
      </ns0:c>
      <ns0:c r="C8" t="str" s="33">
        <ns0:v>30 Ом @ 100 МГц</ns0:v>
      </ns0:c>
      <ns0:c r="D8" t="str" s="34">
        <ns0:f>C8</ns0:f>
        <ns0:v>30 Ом @ 100 МГц</ns0:v>
      </ns0:c>
      <ns0:c r="E8" t="str" s="33">
        <ns0:v>±10 Ом</ns0:v>
      </ns0:c>
      <ns0:c r="F8" s="33"/>
      <ns0:c r="G8" s="33"/>
      <ns0:c r="H8" t="str" s="35">
        <ns0:v>0805</ns0:v>
      </ns0:c>
      <ns0:c r="I8" t="str" s="33">
        <ns0:v>TDK</ns0:v>
      </ns0:c>
      <ns0:c r="J8" t="str" s="33">
        <ns0:v>MPZ2012S300ATD25</ns0:v>
      </ns0:c>
      <ns0:c r="K8" t="str" s="34">
        <ns0:f>B8&amp;" "&amp;J8</ns0:f>
        <ns0:v>Ферритовый фильтр MPZ2012S300ATD25</ns0:v>
      </ns0:c>
      <ns0:c r="L8" t="str" s="36">
        <ns0:v>Ferrite_Bead</ns0:v>
      </ns0:c>
      <ns0:c r="M8" t="str" s="36">
        <ns0:v>Symbols\MY_LIB_Inductors.SchLib</ns0:v>
      </ns0:c>
      <ns0:c r="N8" t="str" s="36">
        <ns0:v>TDK_MPZ2012S_2012</ns0:v>
      </ns0:c>
      <ns0:c r="O8" t="str" s="36">
        <ns0:v>Footprints\MY_LIB_Inductors.PcbLib</ns0:v>
      </ns0:c>
      <ns0:c r="P8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8" s="33"/>
      <ns0:c r="R8" t="str" s="34">
        <ns0:f>D8</ns0:f>
        <ns0:v>30 Ом @ 100 МГц</ns0:v>
      </ns0:c>
      <ns0:c r="S8" t="str" s="34">
        <ns0:f>K8</ns0:f>
        <ns0:v>Ферритовый фильтр MPZ2012S300ATD25</ns0:v>
      </ns0:c>
      <ns0:c r="T8" t="str" s="33">
        <ns0:v>C:\Users\Nomatin\Documents\Altium\MY_LIB\MY_LIB\Datasheets\Ferrite_Beads\TDK_MPZ2012_automotive.pdf</ns0:v>
      </ns0:c>
      <ns0:c r="U8" t="str" s="33">
        <ns0:v>Даташит — локальный</ns0:v>
      </ns0:c>
      <ns0:c r="V8" t="str" s="33">
        <ns0:v>C:\Users\Nomatin\Documents\Altium\MY_LIB\MY_LIB\Datasheets\Ferrite_Beads\TDK_MPZ2012_automotive.pdf</ns0:v>
      </ns0:c>
      <ns0:c r="W8" t="str" s="33">
        <ns0:v>Даташит — производитель</ns0:v>
      </ns0:c>
      <ns0:c r="X8" t="str" s="33">
        <ns0:v>https://product.tdk.com/en/system/files/dam/doc/product/emc/emc/beads/catalog/beads_automotive_power_mpz2012_en.pdf</ns0:v>
      </ns0:c>
      <ns0:c r="Y8" t="str" s="33">
        <ns0:v>C:\Users\Nomatin\Documents\Altium\MY_LIB\MY_LIB\Datasheets\Ferrite_Beads\TDK_MPZ2012_automotive.pdf</ns0:v>
      </ns0:c>
      <ns0:c r="Z8" t="n" s="33">
        <ns0:v>30</ns0:v>
      </ns0:c>
      <ns0:c r="AA8" t="n" s="33">
        <ns0:v>100</ns0:v>
      </ns0:c>
      <ns0:c r="AB8" t="n" s="33">
        <ns0:v>6</ns0:v>
      </ns0:c>
      <ns0:c r="AC8" s="33"/>
      <ns0:c r="AD8" t="n" s="33">
        <ns0:v>0.01</ns0:v>
      </ns0:c>
      <ns0:c r="AE8" t="n" s="33">
        <ns0:v>-55</ns0:v>
      </ns0:c>
      <ns0:c r="AF8" t="n" s="33">
        <ns0:v>125</ns0:v>
      </ns0:c>
      <ns0:c r="AG8" t="str" s="33">
        <ns0:v>Component temperature including self-heating, °C; current derating above 85°C</ns0:v>
      </ns0:c>
      <ns0:c r="AH8" t="str" s="33">
        <ns0:v>MPZ2012S</ns0:v>
      </ns0:c>
      <ns0:c r="AI8" t="str" s="33">
        <ns0:v>Automotive AEC-Q200</ns0:v>
      </ns0:c>
      <ns0:c r="AJ8" t="str" s="33">
        <ns0:v>180 mm paper tape</ns0:v>
      </ns0:c>
      <ns0:c r="AK8" t="n" s="33">
        <ns0:v>4000</ns0:v>
      </ns0:c>
      <ns0:c r="AL8" t="str" s="33">
        <ns0:v>2019-04-23</ns0:v>
      </ns0:c>
    </ns0:row>
    <ns0:row r="9" ht="72" customHeight="1">
      <ns0:c r="A9" t="str" s="33">
        <ns0:v>L0008</ns0:v>
      </ns0:c>
      <ns0:c r="B9" t="str" s="33">
        <ns0:v>Ферритовый фильтр</ns0:v>
      </ns0:c>
      <ns0:c r="C9" t="str" s="33">
        <ns0:v>100 Ом @ 100 МГц</ns0:v>
      </ns0:c>
      <ns0:c r="D9" t="str" s="34">
        <ns0:f>C9</ns0:f>
        <ns0:v>100 Ом @ 100 МГц</ns0:v>
      </ns0:c>
      <ns0:c r="E9" t="str" s="33">
        <ns0:v>±25%</ns0:v>
      </ns0:c>
      <ns0:c r="F9" s="33"/>
      <ns0:c r="G9" s="33"/>
      <ns0:c r="H9" t="str" s="35">
        <ns0:v>0805</ns0:v>
      </ns0:c>
      <ns0:c r="I9" t="str" s="33">
        <ns0:v>TDK</ns0:v>
      </ns0:c>
      <ns0:c r="J9" t="str" s="33">
        <ns0:v>MPZ2012S101ATD25</ns0:v>
      </ns0:c>
      <ns0:c r="K9" t="str" s="34">
        <ns0:f>B9&amp;" "&amp;J9</ns0:f>
        <ns0:v>Ферритовый фильтр MPZ2012S101ATD25</ns0:v>
      </ns0:c>
      <ns0:c r="L9" t="str" s="36">
        <ns0:v>Ferrite_Bead</ns0:v>
      </ns0:c>
      <ns0:c r="M9" t="str" s="36">
        <ns0:v>Symbols\MY_LIB_Inductors.SchLib</ns0:v>
      </ns0:c>
      <ns0:c r="N9" t="str" s="36">
        <ns0:v>TDK_MPZ2012S_2012</ns0:v>
      </ns0:c>
      <ns0:c r="O9" t="str" s="36">
        <ns0:v>Footprints\MY_LIB_Inductors.PcbLib</ns0:v>
      </ns0:c>
      <ns0:c r="P9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9" s="33"/>
      <ns0:c r="R9" t="str" s="34">
        <ns0:f>D9</ns0:f>
        <ns0:v>100 Ом @ 100 МГц</ns0:v>
      </ns0:c>
      <ns0:c r="S9" t="str" s="34">
        <ns0:f>K9</ns0:f>
        <ns0:v>Ферритовый фильтр MPZ2012S101ATD25</ns0:v>
      </ns0:c>
      <ns0:c r="T9" t="str" s="33">
        <ns0:v>C:\Users\Nomatin\Documents\Altium\MY_LIB\MY_LIB\Datasheets\Ferrite_Beads\TDK_MPZ2012_automotive.pdf</ns0:v>
      </ns0:c>
      <ns0:c r="U9" t="str" s="33">
        <ns0:v>Даташит — локальный</ns0:v>
      </ns0:c>
      <ns0:c r="V9" t="str" s="33">
        <ns0:v>C:\Users\Nomatin\Documents\Altium\MY_LIB\MY_LIB\Datasheets\Ferrite_Beads\TDK_MPZ2012_automotive.pdf</ns0:v>
      </ns0:c>
      <ns0:c r="W9" t="str" s="33">
        <ns0:v>Даташит — производитель</ns0:v>
      </ns0:c>
      <ns0:c r="X9" t="str" s="33">
        <ns0:v>https://product.tdk.com/en/system/files/dam/doc/product/emc/emc/beads/catalog/beads_automotive_power_mpz2012_en.pdf</ns0:v>
      </ns0:c>
      <ns0:c r="Y9" t="str" s="33">
        <ns0:v>C:\Users\Nomatin\Documents\Altium\MY_LIB\MY_LIB\Datasheets\Ferrite_Beads\TDK_MPZ2012_automotive.pdf</ns0:v>
      </ns0:c>
      <ns0:c r="Z9" t="n" s="33">
        <ns0:v>100</ns0:v>
      </ns0:c>
      <ns0:c r="AA9" t="n" s="33">
        <ns0:v>100</ns0:v>
      </ns0:c>
      <ns0:c r="AB9" t="n" s="33">
        <ns0:v>4</ns0:v>
      </ns0:c>
      <ns0:c r="AC9" s="33"/>
      <ns0:c r="AD9" t="n" s="33">
        <ns0:v>0.02</ns0:v>
      </ns0:c>
      <ns0:c r="AE9" t="n" s="33">
        <ns0:v>-55</ns0:v>
      </ns0:c>
      <ns0:c r="AF9" t="n" s="33">
        <ns0:v>125</ns0:v>
      </ns0:c>
      <ns0:c r="AG9" t="str" s="33">
        <ns0:v>Component temperature including self-heating, °C; current derating above 85°C</ns0:v>
      </ns0:c>
      <ns0:c r="AH9" t="str" s="33">
        <ns0:v>MPZ2012S</ns0:v>
      </ns0:c>
      <ns0:c r="AI9" t="str" s="33">
        <ns0:v>Automotive AEC-Q200</ns0:v>
      </ns0:c>
      <ns0:c r="AJ9" t="str" s="33">
        <ns0:v>180 mm paper tape</ns0:v>
      </ns0:c>
      <ns0:c r="AK9" t="n" s="33">
        <ns0:v>4000</ns0:v>
      </ns0:c>
      <ns0:c r="AL9" t="str" s="33">
        <ns0:v>2019-04-23</ns0:v>
      </ns0:c>
    </ns0:row>
    <ns0:row r="10" ht="72" customHeight="1">
      <ns0:c r="A10" t="str" s="33">
        <ns0:v>L0009</ns0:v>
      </ns0:c>
      <ns0:c r="B10" t="str" s="33">
        <ns0:v>Ферритовый фильтр</ns0:v>
      </ns0:c>
      <ns0:c r="C10" t="str" s="33">
        <ns0:v>220 Ом @ 100 МГц</ns0:v>
      </ns0:c>
      <ns0:c r="D10" t="str" s="34">
        <ns0:f>C10</ns0:f>
        <ns0:v>220 Ом @ 100 МГц</ns0:v>
      </ns0:c>
      <ns0:c r="E10" t="str" s="33">
        <ns0:v>±25%</ns0:v>
      </ns0:c>
      <ns0:c r="F10" s="33"/>
      <ns0:c r="G10" s="33"/>
      <ns0:c r="H10" t="str" s="35">
        <ns0:v>0805</ns0:v>
      </ns0:c>
      <ns0:c r="I10" t="str" s="33">
        <ns0:v>TDK</ns0:v>
      </ns0:c>
      <ns0:c r="J10" t="str" s="33">
        <ns0:v>MPZ2012S221ATD25</ns0:v>
      </ns0:c>
      <ns0:c r="K10" t="str" s="34">
        <ns0:f>B10&amp;" "&amp;J10</ns0:f>
        <ns0:v>Ферритовый фильтр MPZ2012S221ATD25</ns0:v>
      </ns0:c>
      <ns0:c r="L10" t="str" s="36">
        <ns0:v>Ferrite_Bead</ns0:v>
      </ns0:c>
      <ns0:c r="M10" t="str" s="36">
        <ns0:v>Symbols\MY_LIB_Inductors.SchLib</ns0:v>
      </ns0:c>
      <ns0:c r="N10" t="str" s="36">
        <ns0:v>TDK_MPZ2012S_2012</ns0:v>
      </ns0:c>
      <ns0:c r="O10" t="str" s="36">
        <ns0:v>Footprints\MY_LIB_Inductors.PcbLib</ns0:v>
      </ns0:c>
      <ns0:c r="P10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10" s="33"/>
      <ns0:c r="R10" t="str" s="34">
        <ns0:f>D10</ns0:f>
        <ns0:v>220 Ом @ 100 МГц</ns0:v>
      </ns0:c>
      <ns0:c r="S10" t="str" s="34">
        <ns0:f>K10</ns0:f>
        <ns0:v>Ферритовый фильтр MPZ2012S221ATD25</ns0:v>
      </ns0:c>
      <ns0:c r="T10" t="str" s="33">
        <ns0:v>C:\Users\Nomatin\Documents\Altium\MY_LIB\MY_LIB\Datasheets\Ferrite_Beads\TDK_MPZ2012_automotive.pdf</ns0:v>
      </ns0:c>
      <ns0:c r="U10" t="str" s="33">
        <ns0:v>Даташит — локальный</ns0:v>
      </ns0:c>
      <ns0:c r="V10" t="str" s="33">
        <ns0:v>C:\Users\Nomatin\Documents\Altium\MY_LIB\MY_LIB\Datasheets\Ferrite_Beads\TDK_MPZ2012_automotive.pdf</ns0:v>
      </ns0:c>
      <ns0:c r="W10" t="str" s="33">
        <ns0:v>Даташит — производитель</ns0:v>
      </ns0:c>
      <ns0:c r="X10" t="str" s="33">
        <ns0:v>https://product.tdk.com/en/system/files/dam/doc/product/emc/emc/beads/catalog/beads_automotive_power_mpz2012_en.pdf</ns0:v>
      </ns0:c>
      <ns0:c r="Y10" t="str" s="33">
        <ns0:v>C:\Users\Nomatin\Documents\Altium\MY_LIB\MY_LIB\Datasheets\Ferrite_Beads\TDK_MPZ2012_automotive.pdf</ns0:v>
      </ns0:c>
      <ns0:c r="Z10" t="n" s="33">
        <ns0:v>220</ns0:v>
      </ns0:c>
      <ns0:c r="AA10" t="n" s="33">
        <ns0:v>100</ns0:v>
      </ns0:c>
      <ns0:c r="AB10" t="n" s="33">
        <ns0:v>3</ns0:v>
      </ns0:c>
      <ns0:c r="AC10" s="33"/>
      <ns0:c r="AD10" t="n" s="33">
        <ns0:v>0.04</ns0:v>
      </ns0:c>
      <ns0:c r="AE10" t="n" s="33">
        <ns0:v>-55</ns0:v>
      </ns0:c>
      <ns0:c r="AF10" t="n" s="33">
        <ns0:v>125</ns0:v>
      </ns0:c>
      <ns0:c r="AG10" t="str" s="33">
        <ns0:v>Component temperature including self-heating, °C; current derating above 85°C</ns0:v>
      </ns0:c>
      <ns0:c r="AH10" t="str" s="33">
        <ns0:v>MPZ2012S</ns0:v>
      </ns0:c>
      <ns0:c r="AI10" t="str" s="33">
        <ns0:v>Automotive AEC-Q200</ns0:v>
      </ns0:c>
      <ns0:c r="AJ10" t="str" s="33">
        <ns0:v>180 mm paper tape</ns0:v>
      </ns0:c>
      <ns0:c r="AK10" t="n" s="33">
        <ns0:v>4000</ns0:v>
      </ns0:c>
      <ns0:c r="AL10" t="str" s="33">
        <ns0:v>2019-04-23</ns0:v>
      </ns0:c>
    </ns0:row>
    <ns0:row r="11" ht="72" customHeight="1">
      <ns0:c r="A11" t="str" s="33">
        <ns0:v>L0010</ns0:v>
      </ns0:c>
      <ns0:c r="B11" t="str" s="33">
        <ns0:v>Ферритовый фильтр</ns0:v>
      </ns0:c>
      <ns0:c r="C11" t="str" s="33">
        <ns0:v>330 Ом @ 100 МГц</ns0:v>
      </ns0:c>
      <ns0:c r="D11" t="str" s="34">
        <ns0:f>C11</ns0:f>
        <ns0:v>330 Ом @ 100 МГц</ns0:v>
      </ns0:c>
      <ns0:c r="E11" t="str" s="33">
        <ns0:v>±25%</ns0:v>
      </ns0:c>
      <ns0:c r="F11" s="33"/>
      <ns0:c r="G11" s="33"/>
      <ns0:c r="H11" t="str" s="35">
        <ns0:v>0805</ns0:v>
      </ns0:c>
      <ns0:c r="I11" t="str" s="33">
        <ns0:v>TDK</ns0:v>
      </ns0:c>
      <ns0:c r="J11" t="str" s="33">
        <ns0:v>MPZ2012S331ATD25</ns0:v>
      </ns0:c>
      <ns0:c r="K11" t="str" s="34">
        <ns0:f>B11&amp;" "&amp;J11</ns0:f>
        <ns0:v>Ферритовый фильтр MPZ2012S331ATD25</ns0:v>
      </ns0:c>
      <ns0:c r="L11" t="str" s="36">
        <ns0:v>Ferrite_Bead</ns0:v>
      </ns0:c>
      <ns0:c r="M11" t="str" s="36">
        <ns0:v>Symbols\MY_LIB_Inductors.SchLib</ns0:v>
      </ns0:c>
      <ns0:c r="N11" t="str" s="36">
        <ns0:v>TDK_MPZ2012S_2012</ns0:v>
      </ns0:c>
      <ns0:c r="O11" t="str" s="36">
        <ns0:v>Footprints\MY_LIB_Inductors.PcbLib</ns0:v>
      </ns0:c>
      <ns0:c r="P11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11" s="33"/>
      <ns0:c r="R11" t="str" s="34">
        <ns0:f>D11</ns0:f>
        <ns0:v>330 Ом @ 100 МГц</ns0:v>
      </ns0:c>
      <ns0:c r="S11" t="str" s="34">
        <ns0:f>K11</ns0:f>
        <ns0:v>Ферритовый фильтр MPZ2012S331ATD25</ns0:v>
      </ns0:c>
      <ns0:c r="T11" t="str" s="33">
        <ns0:v>C:\Users\Nomatin\Documents\Altium\MY_LIB\MY_LIB\Datasheets\Ferrite_Beads\TDK_MPZ2012_automotive.pdf</ns0:v>
      </ns0:c>
      <ns0:c r="U11" t="str" s="33">
        <ns0:v>Даташит — локальный</ns0:v>
      </ns0:c>
      <ns0:c r="V11" t="str" s="33">
        <ns0:v>C:\Users\Nomatin\Documents\Altium\MY_LIB\MY_LIB\Datasheets\Ferrite_Beads\TDK_MPZ2012_automotive.pdf</ns0:v>
      </ns0:c>
      <ns0:c r="W11" t="str" s="33">
        <ns0:v>Даташит — производитель</ns0:v>
      </ns0:c>
      <ns0:c r="X11" t="str" s="33">
        <ns0:v>https://product.tdk.com/en/system/files/dam/doc/product/emc/emc/beads/catalog/beads_automotive_power_mpz2012_en.pdf</ns0:v>
      </ns0:c>
      <ns0:c r="Y11" t="str" s="33">
        <ns0:v>C:\Users\Nomatin\Documents\Altium\MY_LIB\MY_LIB\Datasheets\Ferrite_Beads\TDK_MPZ2012_automotive.pdf</ns0:v>
      </ns0:c>
      <ns0:c r="Z11" t="n" s="33">
        <ns0:v>330</ns0:v>
      </ns0:c>
      <ns0:c r="AA11" t="n" s="33">
        <ns0:v>100</ns0:v>
      </ns0:c>
      <ns0:c r="AB11" t="n" s="33">
        <ns0:v>2.5</ns0:v>
      </ns0:c>
      <ns0:c r="AC11" s="33"/>
      <ns0:c r="AD11" t="n" s="33">
        <ns0:v>0.05</ns0:v>
      </ns0:c>
      <ns0:c r="AE11" t="n" s="33">
        <ns0:v>-55</ns0:v>
      </ns0:c>
      <ns0:c r="AF11" t="n" s="33">
        <ns0:v>125</ns0:v>
      </ns0:c>
      <ns0:c r="AG11" t="str" s="33">
        <ns0:v>Component temperature including self-heating, °C; current derating above 85°C</ns0:v>
      </ns0:c>
      <ns0:c r="AH11" t="str" s="33">
        <ns0:v>MPZ2012S</ns0:v>
      </ns0:c>
      <ns0:c r="AI11" t="str" s="33">
        <ns0:v>Automotive AEC-Q200</ns0:v>
      </ns0:c>
      <ns0:c r="AJ11" t="str" s="33">
        <ns0:v>180 mm paper tape</ns0:v>
      </ns0:c>
      <ns0:c r="AK11" t="n" s="33">
        <ns0:v>4000</ns0:v>
      </ns0:c>
      <ns0:c r="AL11" t="str" s="33">
        <ns0:v>2019-04-23</ns0:v>
      </ns0:c>
    </ns0:row>
    <ns0:row r="12" ht="72" customHeight="1">
      <ns0:c r="A12" t="str" s="33">
        <ns0:v>L0011</ns0:v>
      </ns0:c>
      <ns0:c r="B12" t="str" s="33">
        <ns0:v>Ферритовый фильтр</ns0:v>
      </ns0:c>
      <ns0:c r="C12" t="str" s="33">
        <ns0:v>600 Ом @ 100 МГц</ns0:v>
      </ns0:c>
      <ns0:c r="D12" t="str" s="34">
        <ns0:f>C12</ns0:f>
        <ns0:v>600 Ом @ 100 МГц</ns0:v>
      </ns0:c>
      <ns0:c r="E12" t="str" s="33">
        <ns0:v>±25%</ns0:v>
      </ns0:c>
      <ns0:c r="F12" s="33"/>
      <ns0:c r="G12" s="33"/>
      <ns0:c r="H12" t="str" s="35">
        <ns0:v>0805</ns0:v>
      </ns0:c>
      <ns0:c r="I12" t="str" s="33">
        <ns0:v>TDK</ns0:v>
      </ns0:c>
      <ns0:c r="J12" t="str" s="33">
        <ns0:v>MPZ2012S601ATD25</ns0:v>
      </ns0:c>
      <ns0:c r="K12" t="str" s="34">
        <ns0:f>B12&amp;" "&amp;J12</ns0:f>
        <ns0:v>Ферритовый фильтр MPZ2012S601ATD25</ns0:v>
      </ns0:c>
      <ns0:c r="L12" t="str" s="36">
        <ns0:v>Ferrite_Bead</ns0:v>
      </ns0:c>
      <ns0:c r="M12" t="str" s="36">
        <ns0:v>Symbols\MY_LIB_Inductors.SchLib</ns0:v>
      </ns0:c>
      <ns0:c r="N12" t="str" s="36">
        <ns0:v>TDK_MPZ2012S_2012</ns0:v>
      </ns0:c>
      <ns0:c r="O12" t="str" s="36">
        <ns0:v>Footprints\MY_LIB_Inductors.PcbLib</ns0:v>
      </ns0:c>
      <ns0:c r="P12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12" s="33"/>
      <ns0:c r="R12" t="str" s="34">
        <ns0:f>D12</ns0:f>
        <ns0:v>600 Ом @ 100 МГц</ns0:v>
      </ns0:c>
      <ns0:c r="S12" t="str" s="34">
        <ns0:f>K12</ns0:f>
        <ns0:v>Ферритовый фильтр MPZ2012S601ATD25</ns0:v>
      </ns0:c>
      <ns0:c r="T12" t="str" s="33">
        <ns0:v>C:\Users\Nomatin\Documents\Altium\MY_LIB\MY_LIB\Datasheets\Ferrite_Beads\TDK_MPZ2012_automotive.pdf</ns0:v>
      </ns0:c>
      <ns0:c r="U12" t="str" s="33">
        <ns0:v>Даташит — локальный</ns0:v>
      </ns0:c>
      <ns0:c r="V12" t="str" s="33">
        <ns0:v>C:\Users\Nomatin\Documents\Altium\MY_LIB\MY_LIB\Datasheets\Ferrite_Beads\TDK_MPZ2012_automotive.pdf</ns0:v>
      </ns0:c>
      <ns0:c r="W12" t="str" s="33">
        <ns0:v>Даташит — производитель</ns0:v>
      </ns0:c>
      <ns0:c r="X12" t="str" s="33">
        <ns0:v>https://product.tdk.com/en/system/files/dam/doc/product/emc/emc/beads/catalog/beads_automotive_power_mpz2012_en.pdf</ns0:v>
      </ns0:c>
      <ns0:c r="Y12" t="str" s="33">
        <ns0:v>C:\Users\Nomatin\Documents\Altium\MY_LIB\MY_LIB\Datasheets\Ferrite_Beads\TDK_MPZ2012_automotive.pdf</ns0:v>
      </ns0:c>
      <ns0:c r="Z12" t="n" s="33">
        <ns0:v>600</ns0:v>
      </ns0:c>
      <ns0:c r="AA12" t="n" s="33">
        <ns0:v>100</ns0:v>
      </ns0:c>
      <ns0:c r="AB12" t="n" s="33">
        <ns0:v>2</ns0:v>
      </ns0:c>
      <ns0:c r="AC12" s="33"/>
      <ns0:c r="AD12" t="n" s="33">
        <ns0:v>0.1</ns0:v>
      </ns0:c>
      <ns0:c r="AE12" t="n" s="33">
        <ns0:v>-55</ns0:v>
      </ns0:c>
      <ns0:c r="AF12" t="n" s="33">
        <ns0:v>125</ns0:v>
      </ns0:c>
      <ns0:c r="AG12" t="str" s="33">
        <ns0:v>Component temperature including self-heating, °C; current derating above 85°C</ns0:v>
      </ns0:c>
      <ns0:c r="AH12" t="str" s="33">
        <ns0:v>MPZ2012S</ns0:v>
      </ns0:c>
      <ns0:c r="AI12" t="str" s="33">
        <ns0:v>Automotive AEC-Q200</ns0:v>
      </ns0:c>
      <ns0:c r="AJ12" t="str" s="33">
        <ns0:v>180 mm paper tape</ns0:v>
      </ns0:c>
      <ns0:c r="AK12" t="n" s="33">
        <ns0:v>4000</ns0:v>
      </ns0:c>
      <ns0:c r="AL12" t="str" s="33">
        <ns0:v>2019-04-23</ns0:v>
      </ns0:c>
    </ns0:row>
    <ns0:row r="13" ht="72" customHeight="1">
      <ns0:c r="A13" t="str" s="33">
        <ns0:v>L0012</ns0:v>
      </ns0:c>
      <ns0:c r="B13" t="str" s="33">
        <ns0:v>Ферритовый фильтр</ns0:v>
      </ns0:c>
      <ns0:c r="C13" t="str" s="33">
        <ns0:v>1000 Ом @ 100 МГц</ns0:v>
      </ns0:c>
      <ns0:c r="D13" t="str" s="34">
        <ns0:f>C13</ns0:f>
        <ns0:v>1000 Ом @ 100 МГц</ns0:v>
      </ns0:c>
      <ns0:c r="E13" t="str" s="33">
        <ns0:v>±25%</ns0:v>
      </ns0:c>
      <ns0:c r="F13" s="33"/>
      <ns0:c r="G13" s="33"/>
      <ns0:c r="H13" t="str" s="35">
        <ns0:v>0805</ns0:v>
      </ns0:c>
      <ns0:c r="I13" t="str" s="33">
        <ns0:v>TDK</ns0:v>
      </ns0:c>
      <ns0:c r="J13" t="str" s="33">
        <ns0:v>MPZ2012S102ATD25</ns0:v>
      </ns0:c>
      <ns0:c r="K13" t="str" s="34">
        <ns0:f>B13&amp;" "&amp;J13</ns0:f>
        <ns0:v>Ферритовый фильтр MPZ2012S102ATD25</ns0:v>
      </ns0:c>
      <ns0:c r="L13" t="str" s="36">
        <ns0:v>Ferrite_Bead</ns0:v>
      </ns0:c>
      <ns0:c r="M13" t="str" s="36">
        <ns0:v>Symbols\MY_LIB_Inductors.SchLib</ns0:v>
      </ns0:c>
      <ns0:c r="N13" t="str" s="36">
        <ns0:v>TDK_MPZ2012S_2012</ns0:v>
      </ns0:c>
      <ns0:c r="O13" t="str" s="36">
        <ns0:v>Footprints\MY_LIB_Inductors.PcbLib</ns0:v>
      </ns0:c>
      <ns0:c r="P13" t="str" s="33">
        <ns0:v>Неполярный; выводы 1–2. Импеданс при 100 МГц; DCR — начальное максимальное значение. Ток номинальный при температуре компонента до 85 °C; выше — снижение по графику. Температура включает саморазогрев. </ns0:v>
      </ns0:c>
      <ns0:c r="Q13" s="33"/>
      <ns0:c r="R13" t="str" s="34">
        <ns0:f>D13</ns0:f>
        <ns0:v>1000 Ом @ 100 МГц</ns0:v>
      </ns0:c>
      <ns0:c r="S13" t="str" s="34">
        <ns0:f>K13</ns0:f>
        <ns0:v>Ферритовый фильтр MPZ2012S102ATD25</ns0:v>
      </ns0:c>
      <ns0:c r="T13" t="str" s="33">
        <ns0:v>C:\Users\Nomatin\Documents\Altium\MY_LIB\MY_LIB\Datasheets\Ferrite_Beads\TDK_MPZ2012_automotive.pdf</ns0:v>
      </ns0:c>
      <ns0:c r="U13" t="str" s="33">
        <ns0:v>Даташит — локальный</ns0:v>
      </ns0:c>
      <ns0:c r="V13" t="str" s="33">
        <ns0:v>C:\Users\Nomatin\Documents\Altium\MY_LIB\MY_LIB\Datasheets\Ferrite_Beads\TDK_MPZ2012_automotive.pdf</ns0:v>
      </ns0:c>
      <ns0:c r="W13" t="str" s="33">
        <ns0:v>Даташит — производитель</ns0:v>
      </ns0:c>
      <ns0:c r="X13" t="str" s="33">
        <ns0:v>https://product.tdk.com/en/system/files/dam/doc/product/emc/emc/beads/catalog/beads_automotive_power_mpz2012_en.pdf</ns0:v>
      </ns0:c>
      <ns0:c r="Y13" t="str" s="33">
        <ns0:v>C:\Users\Nomatin\Documents\Altium\MY_LIB\MY_LIB\Datasheets\Ferrite_Beads\TDK_MPZ2012_automotive.pdf</ns0:v>
      </ns0:c>
      <ns0:c r="Z13" t="n" s="33">
        <ns0:v>1000</ns0:v>
      </ns0:c>
      <ns0:c r="AA13" t="n" s="33">
        <ns0:v>100</ns0:v>
      </ns0:c>
      <ns0:c r="AB13" t="n" s="33">
        <ns0:v>1.5</ns0:v>
      </ns0:c>
      <ns0:c r="AC13" s="33"/>
      <ns0:c r="AD13" t="n" s="33">
        <ns0:v>0.15</ns0:v>
      </ns0:c>
      <ns0:c r="AE13" t="n" s="33">
        <ns0:v>-55</ns0:v>
      </ns0:c>
      <ns0:c r="AF13" t="n" s="33">
        <ns0:v>125</ns0:v>
      </ns0:c>
      <ns0:c r="AG13" t="str" s="33">
        <ns0:v>Component temperature including self-heating, °C; current derating above 85°C</ns0:v>
      </ns0:c>
      <ns0:c r="AH13" t="str" s="33">
        <ns0:v>MPZ2012S</ns0:v>
      </ns0:c>
      <ns0:c r="AI13" t="str" s="33">
        <ns0:v>Automotive AEC-Q200</ns0:v>
      </ns0:c>
      <ns0:c r="AJ13" t="str" s="33">
        <ns0:v>180 mm paper tape</ns0:v>
      </ns0:c>
      <ns0:c r="AK13" t="n" s="33">
        <ns0:v>4000</ns0:v>
      </ns0:c>
      <ns0:c r="AL13" t="str" s="33">
        <ns0:v>2019-04-23</ns0:v>
      </ns0:c>
    </ns0:row>
    <ns0:row r="14" ht="72" customHeight="1">
      <ns0:c r="A14" t="str" s="33">
        <ns0:v>L0013</ns0:v>
      </ns0:c>
      <ns0:c r="B14" t="str" s="33">
        <ns0:v>Ферритовый фильтр</ns0:v>
      </ns0:c>
      <ns0:c r="C14" t="str" s="33">
        <ns0:v>22 Ом @ 100 МГц</ns0:v>
      </ns0:c>
      <ns0:c r="D14" t="str" s="34">
        <ns0:f>C14</ns0:f>
        <ns0:v>22 Ом @ 100 МГц</ns0:v>
      </ns0:c>
      <ns0:c r="E14" t="str" s="33">
        <ns0:v>±25%</ns0:v>
      </ns0:c>
      <ns0:c r="F14" s="33"/>
      <ns0:c r="G14" s="33"/>
      <ns0:c r="H14" t="str" s="35">
        <ns0:v>0805</ns0:v>
      </ns0:c>
      <ns0:c r="I14" t="str" s="33">
        <ns0:v>Murata</ns0:v>
      </ns0:c>
      <ns0:c r="J14" t="str" s="33">
        <ns0:v>BLM21PG220SN1D</ns0:v>
      </ns0:c>
      <ns0:c r="K14" t="str" s="34">
        <ns0:f>B14&amp;" "&amp;J14</ns0:f>
        <ns0:v>Ферритовый фильтр BLM21PG220SN1D</ns0:v>
      </ns0:c>
      <ns0:c r="L14" t="str" s="36">
        <ns0:v>Ferrite_Bead</ns0:v>
      </ns0:c>
      <ns0:c r="M14" t="str" s="36">
        <ns0:v>Symbols\MY_LIB_Inductors.SchLib</ns0:v>
      </ns0:c>
      <ns0:c r="N14" t="str" s="36">
        <ns0:v>Murata_BLM21PG_2012_Reflow</ns0:v>
      </ns0:c>
      <ns0:c r="O14" t="str" s="36">
        <ns0:v>Footprints\MY_LIB_Inductors.PcbLib</ns0:v>
      </ns0:c>
      <ns0:c r="P1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14" s="33"/>
      <ns0:c r="R14" t="str" s="34">
        <ns0:f>D14</ns0:f>
        <ns0:v>22 Ом @ 100 МГц</ns0:v>
      </ns0:c>
      <ns0:c r="S14" t="str" s="34">
        <ns0:f>K14</ns0:f>
        <ns0:v>Ферритовый фильтр BLM21PG220SN1D</ns0:v>
      </ns0:c>
      <ns0:c r="T14" t="str" s="33">
        <ns0:v>C:\Users\Nomatin\Documents\Altium\MY_LIB\MY_LIB\Datasheets\Ferrite_Beads\Murata_ENFA0005.pdf</ns0:v>
      </ns0:c>
      <ns0:c r="U14" t="str" s="33">
        <ns0:v>Даташит — локальный</ns0:v>
      </ns0:c>
      <ns0:c r="V14" t="str" s="33">
        <ns0:v>C:\Users\Nomatin\Documents\Altium\MY_LIB\MY_LIB\Datasheets\Ferrite_Beads\Murata_ENFA0005.pdf</ns0:v>
      </ns0:c>
      <ns0:c r="W14" t="str" s="33">
        <ns0:v>Даташит — производитель</ns0:v>
      </ns0:c>
      <ns0:c r="X14" t="str" s="33">
        <ns0:v>https://www.murata.com/products/productdata/8796738977822/ENFA0005.pdf</ns0:v>
      </ns0:c>
      <ns0:c r="Y14" t="str" s="33">
        <ns0:v>C:\Users\Nomatin\Documents\Altium\MY_LIB\MY_LIB\Datasheets\Ferrite_Beads\Murata_ENFA0005.pdf</ns0:v>
      </ns0:c>
      <ns0:c r="Z14" t="n" s="33">
        <ns0:v>22</ns0:v>
      </ns0:c>
      <ns0:c r="AA14" t="n" s="33">
        <ns0:v>100</ns0:v>
      </ns0:c>
      <ns0:c r="AB14" t="n" s="33">
        <ns0:v>6</ns0:v>
      </ns0:c>
      <ns0:c r="AC14" t="n" s="33">
        <ns0:v>3.3</ns0:v>
      </ns0:c>
      <ns0:c r="AD14" t="n" s="33">
        <ns0:v>0.009</ns0:v>
      </ns0:c>
      <ns0:c r="AE14" t="n" s="33">
        <ns0:v>-55</ns0:v>
      </ns0:c>
      <ns0:c r="AF14" t="n" s="33">
        <ns0:v>125</ns0:v>
      </ns0:c>
      <ns0:c r="AG14" t="str" s="33">
        <ns0:v>TA, °C; rated current at 85°C / 125°C</ns0:v>
      </ns0:c>
      <ns0:c r="AH14" t="str" s="33">
        <ns0:v>BLM21PG</ns0:v>
      </ns0:c>
      <ns0:c r="AI14" t="str" s="33">
        <ns0:v>Consumer/industrial</ns0:v>
      </ns0:c>
      <ns0:c r="AJ14" t="str" s="33">
        <ns0:v>180 mm paper tape</ns0:v>
      </ns0:c>
      <ns0:c r="AK14" t="n" s="33">
        <ns0:v>4000</ns0:v>
      </ns0:c>
      <ns0:c r="AL14" t="str" s="33">
        <ns0:v>JENF243A_0005AE-01</ns0:v>
      </ns0:c>
    </ns0:row>
    <ns0:row r="15" ht="72" customHeight="1">
      <ns0:c r="A15" t="str" s="33">
        <ns0:v>L0014</ns0:v>
      </ns0:c>
      <ns0:c r="B15" t="str" s="33">
        <ns0:v>Ферритовый фильтр</ns0:v>
      </ns0:c>
      <ns0:c r="C15" t="str" s="33">
        <ns0:v>22 Ом @ 100 МГц</ns0:v>
      </ns0:c>
      <ns0:c r="D15" t="str" s="34">
        <ns0:f>C15</ns0:f>
        <ns0:v>22 Ом @ 100 МГц</ns0:v>
      </ns0:c>
      <ns0:c r="E15" t="str" s="33">
        <ns0:v>±25%</ns0:v>
      </ns0:c>
      <ns0:c r="F15" s="33"/>
      <ns0:c r="G15" s="33"/>
      <ns0:c r="H15" t="str" s="35">
        <ns0:v>0805</ns0:v>
      </ns0:c>
      <ns0:c r="I15" t="str" s="33">
        <ns0:v>Murata</ns0:v>
      </ns0:c>
      <ns0:c r="J15" t="str" s="33">
        <ns0:v>BLM21PG220SN1J</ns0:v>
      </ns0:c>
      <ns0:c r="K15" t="str" s="34">
        <ns0:f>B15&amp;" "&amp;J15</ns0:f>
        <ns0:v>Ферритовый фильтр BLM21PG220SN1J</ns0:v>
      </ns0:c>
      <ns0:c r="L15" t="str" s="36">
        <ns0:v>Ferrite_Bead</ns0:v>
      </ns0:c>
      <ns0:c r="M15" t="str" s="36">
        <ns0:v>Symbols\MY_LIB_Inductors.SchLib</ns0:v>
      </ns0:c>
      <ns0:c r="N15" t="str" s="36">
        <ns0:v>Murata_BLM21PG_2012_Reflow</ns0:v>
      </ns0:c>
      <ns0:c r="O15" t="str" s="36">
        <ns0:v>Footprints\MY_LIB_Inductors.PcbLib</ns0:v>
      </ns0:c>
      <ns0:c r="P1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15" s="33"/>
      <ns0:c r="R15" t="str" s="34">
        <ns0:f>D15</ns0:f>
        <ns0:v>22 Ом @ 100 МГц</ns0:v>
      </ns0:c>
      <ns0:c r="S15" t="str" s="34">
        <ns0:f>K15</ns0:f>
        <ns0:v>Ферритовый фильтр BLM21PG220SN1J</ns0:v>
      </ns0:c>
      <ns0:c r="T15" t="str" s="33">
        <ns0:v>C:\Users\Nomatin\Documents\Altium\MY_LIB\MY_LIB\Datasheets\Ferrite_Beads\Murata_ENFA0005.pdf</ns0:v>
      </ns0:c>
      <ns0:c r="U15" t="str" s="33">
        <ns0:v>Даташит — локальный</ns0:v>
      </ns0:c>
      <ns0:c r="V15" t="str" s="33">
        <ns0:v>C:\Users\Nomatin\Documents\Altium\MY_LIB\MY_LIB\Datasheets\Ferrite_Beads\Murata_ENFA0005.pdf</ns0:v>
      </ns0:c>
      <ns0:c r="W15" t="str" s="33">
        <ns0:v>Даташит — производитель</ns0:v>
      </ns0:c>
      <ns0:c r="X15" t="str" s="33">
        <ns0:v>https://www.murata.com/products/productdata/8796738977822/ENFA0005.pdf</ns0:v>
      </ns0:c>
      <ns0:c r="Y15" t="str" s="33">
        <ns0:v>C:\Users\Nomatin\Documents\Altium\MY_LIB\MY_LIB\Datasheets\Ferrite_Beads\Murata_ENFA0005.pdf</ns0:v>
      </ns0:c>
      <ns0:c r="Z15" t="n" s="33">
        <ns0:v>22</ns0:v>
      </ns0:c>
      <ns0:c r="AA15" t="n" s="33">
        <ns0:v>100</ns0:v>
      </ns0:c>
      <ns0:c r="AB15" t="n" s="33">
        <ns0:v>6</ns0:v>
      </ns0:c>
      <ns0:c r="AC15" t="n" s="33">
        <ns0:v>3.3</ns0:v>
      </ns0:c>
      <ns0:c r="AD15" t="n" s="33">
        <ns0:v>0.009</ns0:v>
      </ns0:c>
      <ns0:c r="AE15" t="n" s="33">
        <ns0:v>-55</ns0:v>
      </ns0:c>
      <ns0:c r="AF15" t="n" s="33">
        <ns0:v>125</ns0:v>
      </ns0:c>
      <ns0:c r="AG15" t="str" s="33">
        <ns0:v>TA, °C; rated current at 85°C / 125°C</ns0:v>
      </ns0:c>
      <ns0:c r="AH15" t="str" s="33">
        <ns0:v>BLM21PG</ns0:v>
      </ns0:c>
      <ns0:c r="AI15" t="str" s="33">
        <ns0:v>Consumer/industrial</ns0:v>
      </ns0:c>
      <ns0:c r="AJ15" t="str" s="33">
        <ns0:v>330 mm paper tape</ns0:v>
      </ns0:c>
      <ns0:c r="AK15" t="n" s="33">
        <ns0:v>10000</ns0:v>
      </ns0:c>
      <ns0:c r="AL15" t="str" s="33">
        <ns0:v>JENF243A_0005AE-01</ns0:v>
      </ns0:c>
    </ns0:row>
    <ns0:row r="16" ht="72" customHeight="1">
      <ns0:c r="A16" t="str" s="33">
        <ns0:v>L0015</ns0:v>
      </ns0:c>
      <ns0:c r="B16" t="str" s="33">
        <ns0:v>Ферритовый фильтр</ns0:v>
      </ns0:c>
      <ns0:c r="C16" t="str" s="33">
        <ns0:v>22 Ом @ 100 МГц</ns0:v>
      </ns0:c>
      <ns0:c r="D16" t="str" s="34">
        <ns0:f>C16</ns0:f>
        <ns0:v>22 Ом @ 100 МГц</ns0:v>
      </ns0:c>
      <ns0:c r="E16" t="str" s="33">
        <ns0:v>±25%</ns0:v>
      </ns0:c>
      <ns0:c r="F16" s="33"/>
      <ns0:c r="G16" s="33"/>
      <ns0:c r="H16" t="str" s="35">
        <ns0:v>0805</ns0:v>
      </ns0:c>
      <ns0:c r="I16" t="str" s="33">
        <ns0:v>Murata</ns0:v>
      </ns0:c>
      <ns0:c r="J16" t="str" s="33">
        <ns0:v>BLM21PG220SN1B</ns0:v>
      </ns0:c>
      <ns0:c r="K16" t="str" s="34">
        <ns0:f>B16&amp;" "&amp;J16</ns0:f>
        <ns0:v>Ферритовый фильтр BLM21PG220SN1B</ns0:v>
      </ns0:c>
      <ns0:c r="L16" t="str" s="36">
        <ns0:v>Ferrite_Bead</ns0:v>
      </ns0:c>
      <ns0:c r="M16" t="str" s="36">
        <ns0:v>Symbols\MY_LIB_Inductors.SchLib</ns0:v>
      </ns0:c>
      <ns0:c r="N16" t="str" s="36">
        <ns0:v>Murata_BLM21PG_2012_Reflow</ns0:v>
      </ns0:c>
      <ns0:c r="O16" t="str" s="36">
        <ns0:v>Footprints\MY_LIB_Inductors.PcbLib</ns0:v>
      </ns0:c>
      <ns0:c r="P1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16" s="33"/>
      <ns0:c r="R16" t="str" s="34">
        <ns0:f>D16</ns0:f>
        <ns0:v>22 Ом @ 100 МГц</ns0:v>
      </ns0:c>
      <ns0:c r="S16" t="str" s="34">
        <ns0:f>K16</ns0:f>
        <ns0:v>Ферритовый фильтр BLM21PG220SN1B</ns0:v>
      </ns0:c>
      <ns0:c r="T16" t="str" s="33">
        <ns0:v>C:\Users\Nomatin\Documents\Altium\MY_LIB\MY_LIB\Datasheets\Ferrite_Beads\Murata_ENFA0005.pdf</ns0:v>
      </ns0:c>
      <ns0:c r="U16" t="str" s="33">
        <ns0:v>Даташит — локальный</ns0:v>
      </ns0:c>
      <ns0:c r="V16" t="str" s="33">
        <ns0:v>C:\Users\Nomatin\Documents\Altium\MY_LIB\MY_LIB\Datasheets\Ferrite_Beads\Murata_ENFA0005.pdf</ns0:v>
      </ns0:c>
      <ns0:c r="W16" t="str" s="33">
        <ns0:v>Даташит — производитель</ns0:v>
      </ns0:c>
      <ns0:c r="X16" t="str" s="33">
        <ns0:v>https://www.murata.com/products/productdata/8796738977822/ENFA0005.pdf</ns0:v>
      </ns0:c>
      <ns0:c r="Y16" t="str" s="33">
        <ns0:v>C:\Users\Nomatin\Documents\Altium\MY_LIB\MY_LIB\Datasheets\Ferrite_Beads\Murata_ENFA0005.pdf</ns0:v>
      </ns0:c>
      <ns0:c r="Z16" t="n" s="33">
        <ns0:v>22</ns0:v>
      </ns0:c>
      <ns0:c r="AA16" t="n" s="33">
        <ns0:v>100</ns0:v>
      </ns0:c>
      <ns0:c r="AB16" t="n" s="33">
        <ns0:v>6</ns0:v>
      </ns0:c>
      <ns0:c r="AC16" t="n" s="33">
        <ns0:v>3.3</ns0:v>
      </ns0:c>
      <ns0:c r="AD16" t="n" s="33">
        <ns0:v>0.009</ns0:v>
      </ns0:c>
      <ns0:c r="AE16" t="n" s="33">
        <ns0:v>-55</ns0:v>
      </ns0:c>
      <ns0:c r="AF16" t="n" s="33">
        <ns0:v>125</ns0:v>
      </ns0:c>
      <ns0:c r="AG16" t="str" s="33">
        <ns0:v>TA, °C; rated current at 85°C / 125°C</ns0:v>
      </ns0:c>
      <ns0:c r="AH16" t="str" s="33">
        <ns0:v>BLM21PG</ns0:v>
      </ns0:c>
      <ns0:c r="AI16" t="str" s="33">
        <ns0:v>Consumer/industrial</ns0:v>
      </ns0:c>
      <ns0:c r="AJ16" t="str" s="33">
        <ns0:v>Bulk (bag)</ns0:v>
      </ns0:c>
      <ns0:c r="AK16" t="n" s="33">
        <ns0:v>1000</ns0:v>
      </ns0:c>
      <ns0:c r="AL16" t="str" s="33">
        <ns0:v>JENF243A_0005AE-01</ns0:v>
      </ns0:c>
    </ns0:row>
    <ns0:row r="17" ht="72" customHeight="1">
      <ns0:c r="A17" t="str" s="33">
        <ns0:v>L0016</ns0:v>
      </ns0:c>
      <ns0:c r="B17" t="str" s="33">
        <ns0:v>Ферритовый фильтр</ns0:v>
      </ns0:c>
      <ns0:c r="C17" t="str" s="33">
        <ns0:v>30 Ом @ 100 МГц</ns0:v>
      </ns0:c>
      <ns0:c r="D17" t="str" s="34">
        <ns0:f>C17</ns0:f>
        <ns0:v>30 Ом @ 100 МГц</ns0:v>
      </ns0:c>
      <ns0:c r="E17" t="str" s="33">
        <ns0:v>≥20 Ом; тип. 30 Ом</ns0:v>
      </ns0:c>
      <ns0:c r="F17" s="33"/>
      <ns0:c r="G17" s="33"/>
      <ns0:c r="H17" t="str" s="35">
        <ns0:v>0805</ns0:v>
      </ns0:c>
      <ns0:c r="I17" t="str" s="33">
        <ns0:v>Murata</ns0:v>
      </ns0:c>
      <ns0:c r="J17" t="str" s="33">
        <ns0:v>BLM21PG300SN1D</ns0:v>
      </ns0:c>
      <ns0:c r="K17" t="str" s="34">
        <ns0:f>B17&amp;" "&amp;J17</ns0:f>
        <ns0:v>Ферритовый фильтр BLM21PG300SN1D</ns0:v>
      </ns0:c>
      <ns0:c r="L17" t="str" s="36">
        <ns0:v>Ferrite_Bead</ns0:v>
      </ns0:c>
      <ns0:c r="M17" t="str" s="36">
        <ns0:v>Symbols\MY_LIB_Inductors.SchLib</ns0:v>
      </ns0:c>
      <ns0:c r="N17" t="str" s="36">
        <ns0:v>Murata_BLM21PG_2012_Reflow</ns0:v>
      </ns0:c>
      <ns0:c r="O17" t="str" s="36">
        <ns0:v>Footprints\MY_LIB_Inductors.PcbLib</ns0:v>
      </ns0:c>
      <ns0:c r="P1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17" s="33"/>
      <ns0:c r="R17" t="str" s="34">
        <ns0:f>D17</ns0:f>
        <ns0:v>30 Ом @ 100 МГц</ns0:v>
      </ns0:c>
      <ns0:c r="S17" t="str" s="34">
        <ns0:f>K17</ns0:f>
        <ns0:v>Ферритовый фильтр BLM21PG300SN1D</ns0:v>
      </ns0:c>
      <ns0:c r="T17" t="str" s="33">
        <ns0:v>C:\Users\Nomatin\Documents\Altium\MY_LIB\MY_LIB\Datasheets\Ferrite_Beads\Murata_ENFA0005.pdf</ns0:v>
      </ns0:c>
      <ns0:c r="U17" t="str" s="33">
        <ns0:v>Даташит — локальный</ns0:v>
      </ns0:c>
      <ns0:c r="V17" t="str" s="33">
        <ns0:v>C:\Users\Nomatin\Documents\Altium\MY_LIB\MY_LIB\Datasheets\Ferrite_Beads\Murata_ENFA0005.pdf</ns0:v>
      </ns0:c>
      <ns0:c r="W17" t="str" s="33">
        <ns0:v>Даташит — производитель</ns0:v>
      </ns0:c>
      <ns0:c r="X17" t="str" s="33">
        <ns0:v>https://www.murata.com/products/productdata/8796738977822/ENFA0005.pdf</ns0:v>
      </ns0:c>
      <ns0:c r="Y17" t="str" s="33">
        <ns0:v>C:\Users\Nomatin\Documents\Altium\MY_LIB\MY_LIB\Datasheets\Ferrite_Beads\Murata_ENFA0005.pdf</ns0:v>
      </ns0:c>
      <ns0:c r="Z17" t="n" s="33">
        <ns0:v>30</ns0:v>
      </ns0:c>
      <ns0:c r="AA17" t="n" s="33">
        <ns0:v>100</ns0:v>
      </ns0:c>
      <ns0:c r="AB17" t="n" s="33">
        <ns0:v>4</ns0:v>
      </ns0:c>
      <ns0:c r="AC17" t="n" s="33">
        <ns0:v>2.3</ns0:v>
      </ns0:c>
      <ns0:c r="AD17" t="n" s="33">
        <ns0:v>0.014</ns0:v>
      </ns0:c>
      <ns0:c r="AE17" t="n" s="33">
        <ns0:v>-55</ns0:v>
      </ns0:c>
      <ns0:c r="AF17" t="n" s="33">
        <ns0:v>125</ns0:v>
      </ns0:c>
      <ns0:c r="AG17" t="str" s="33">
        <ns0:v>TA, °C; rated current at 85°C / 125°C</ns0:v>
      </ns0:c>
      <ns0:c r="AH17" t="str" s="33">
        <ns0:v>BLM21PG</ns0:v>
      </ns0:c>
      <ns0:c r="AI17" t="str" s="33">
        <ns0:v>Consumer/industrial</ns0:v>
      </ns0:c>
      <ns0:c r="AJ17" t="str" s="33">
        <ns0:v>180 mm paper tape</ns0:v>
      </ns0:c>
      <ns0:c r="AK17" t="n" s="33">
        <ns0:v>4000</ns0:v>
      </ns0:c>
      <ns0:c r="AL17" t="str" s="33">
        <ns0:v>JENF243A_0005AE-01</ns0:v>
      </ns0:c>
    </ns0:row>
    <ns0:row r="18" ht="72" customHeight="1">
      <ns0:c r="A18" t="str" s="33">
        <ns0:v>L0017</ns0:v>
      </ns0:c>
      <ns0:c r="B18" t="str" s="33">
        <ns0:v>Ферритовый фильтр</ns0:v>
      </ns0:c>
      <ns0:c r="C18" t="str" s="33">
        <ns0:v>30 Ом @ 100 МГц</ns0:v>
      </ns0:c>
      <ns0:c r="D18" t="str" s="34">
        <ns0:f>C18</ns0:f>
        <ns0:v>30 Ом @ 100 МГц</ns0:v>
      </ns0:c>
      <ns0:c r="E18" t="str" s="33">
        <ns0:v>≥20 Ом; тип. 30 Ом</ns0:v>
      </ns0:c>
      <ns0:c r="F18" s="33"/>
      <ns0:c r="G18" s="33"/>
      <ns0:c r="H18" t="str" s="35">
        <ns0:v>0805</ns0:v>
      </ns0:c>
      <ns0:c r="I18" t="str" s="33">
        <ns0:v>Murata</ns0:v>
      </ns0:c>
      <ns0:c r="J18" t="str" s="33">
        <ns0:v>BLM21PG300SN1J</ns0:v>
      </ns0:c>
      <ns0:c r="K18" t="str" s="34">
        <ns0:f>B18&amp;" "&amp;J18</ns0:f>
        <ns0:v>Ферритовый фильтр BLM21PG300SN1J</ns0:v>
      </ns0:c>
      <ns0:c r="L18" t="str" s="36">
        <ns0:v>Ferrite_Bead</ns0:v>
      </ns0:c>
      <ns0:c r="M18" t="str" s="36">
        <ns0:v>Symbols\MY_LIB_Inductors.SchLib</ns0:v>
      </ns0:c>
      <ns0:c r="N18" t="str" s="36">
        <ns0:v>Murata_BLM21PG_2012_Reflow</ns0:v>
      </ns0:c>
      <ns0:c r="O18" t="str" s="36">
        <ns0:v>Footprints\MY_LIB_Inductors.PcbLib</ns0:v>
      </ns0:c>
      <ns0:c r="P1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18" s="33"/>
      <ns0:c r="R18" t="str" s="34">
        <ns0:f>D18</ns0:f>
        <ns0:v>30 Ом @ 100 МГц</ns0:v>
      </ns0:c>
      <ns0:c r="S18" t="str" s="34">
        <ns0:f>K18</ns0:f>
        <ns0:v>Ферритовый фильтр BLM21PG300SN1J</ns0:v>
      </ns0:c>
      <ns0:c r="T18" t="str" s="33">
        <ns0:v>C:\Users\Nomatin\Documents\Altium\MY_LIB\MY_LIB\Datasheets\Ferrite_Beads\Murata_ENFA0005.pdf</ns0:v>
      </ns0:c>
      <ns0:c r="U18" t="str" s="33">
        <ns0:v>Даташит — локальный</ns0:v>
      </ns0:c>
      <ns0:c r="V18" t="str" s="33">
        <ns0:v>C:\Users\Nomatin\Documents\Altium\MY_LIB\MY_LIB\Datasheets\Ferrite_Beads\Murata_ENFA0005.pdf</ns0:v>
      </ns0:c>
      <ns0:c r="W18" t="str" s="33">
        <ns0:v>Даташит — производитель</ns0:v>
      </ns0:c>
      <ns0:c r="X18" t="str" s="33">
        <ns0:v>https://www.murata.com/products/productdata/8796738977822/ENFA0005.pdf</ns0:v>
      </ns0:c>
      <ns0:c r="Y18" t="str" s="33">
        <ns0:v>C:\Users\Nomatin\Documents\Altium\MY_LIB\MY_LIB\Datasheets\Ferrite_Beads\Murata_ENFA0005.pdf</ns0:v>
      </ns0:c>
      <ns0:c r="Z18" t="n" s="33">
        <ns0:v>30</ns0:v>
      </ns0:c>
      <ns0:c r="AA18" t="n" s="33">
        <ns0:v>100</ns0:v>
      </ns0:c>
      <ns0:c r="AB18" t="n" s="33">
        <ns0:v>4</ns0:v>
      </ns0:c>
      <ns0:c r="AC18" t="n" s="33">
        <ns0:v>2.3</ns0:v>
      </ns0:c>
      <ns0:c r="AD18" t="n" s="33">
        <ns0:v>0.014</ns0:v>
      </ns0:c>
      <ns0:c r="AE18" t="n" s="33">
        <ns0:v>-55</ns0:v>
      </ns0:c>
      <ns0:c r="AF18" t="n" s="33">
        <ns0:v>125</ns0:v>
      </ns0:c>
      <ns0:c r="AG18" t="str" s="33">
        <ns0:v>TA, °C; rated current at 85°C / 125°C</ns0:v>
      </ns0:c>
      <ns0:c r="AH18" t="str" s="33">
        <ns0:v>BLM21PG</ns0:v>
      </ns0:c>
      <ns0:c r="AI18" t="str" s="33">
        <ns0:v>Consumer/industrial</ns0:v>
      </ns0:c>
      <ns0:c r="AJ18" t="str" s="33">
        <ns0:v>330 mm paper tape</ns0:v>
      </ns0:c>
      <ns0:c r="AK18" t="n" s="33">
        <ns0:v>10000</ns0:v>
      </ns0:c>
      <ns0:c r="AL18" t="str" s="33">
        <ns0:v>JENF243A_0005AE-01</ns0:v>
      </ns0:c>
    </ns0:row>
    <ns0:row r="19" ht="72" customHeight="1">
      <ns0:c r="A19" t="str" s="33">
        <ns0:v>L0018</ns0:v>
      </ns0:c>
      <ns0:c r="B19" t="str" s="33">
        <ns0:v>Ферритовый фильтр</ns0:v>
      </ns0:c>
      <ns0:c r="C19" t="str" s="33">
        <ns0:v>30 Ом @ 100 МГц</ns0:v>
      </ns0:c>
      <ns0:c r="D19" t="str" s="34">
        <ns0:f>C19</ns0:f>
        <ns0:v>30 Ом @ 100 МГц</ns0:v>
      </ns0:c>
      <ns0:c r="E19" t="str" s="33">
        <ns0:v>≥20 Ом; тип. 30 Ом</ns0:v>
      </ns0:c>
      <ns0:c r="F19" s="33"/>
      <ns0:c r="G19" s="33"/>
      <ns0:c r="H19" t="str" s="35">
        <ns0:v>0805</ns0:v>
      </ns0:c>
      <ns0:c r="I19" t="str" s="33">
        <ns0:v>Murata</ns0:v>
      </ns0:c>
      <ns0:c r="J19" t="str" s="33">
        <ns0:v>BLM21PG300SN1B</ns0:v>
      </ns0:c>
      <ns0:c r="K19" t="str" s="34">
        <ns0:f>B19&amp;" "&amp;J19</ns0:f>
        <ns0:v>Ферритовый фильтр BLM21PG300SN1B</ns0:v>
      </ns0:c>
      <ns0:c r="L19" t="str" s="36">
        <ns0:v>Ferrite_Bead</ns0:v>
      </ns0:c>
      <ns0:c r="M19" t="str" s="36">
        <ns0:v>Symbols\MY_LIB_Inductors.SchLib</ns0:v>
      </ns0:c>
      <ns0:c r="N19" t="str" s="36">
        <ns0:v>Murata_BLM21PG_2012_Reflow</ns0:v>
      </ns0:c>
      <ns0:c r="O19" t="str" s="36">
        <ns0:v>Footprints\MY_LIB_Inductors.PcbLib</ns0:v>
      </ns0:c>
      <ns0:c r="P1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19" s="33"/>
      <ns0:c r="R19" t="str" s="34">
        <ns0:f>D19</ns0:f>
        <ns0:v>30 Ом @ 100 МГц</ns0:v>
      </ns0:c>
      <ns0:c r="S19" t="str" s="34">
        <ns0:f>K19</ns0:f>
        <ns0:v>Ферритовый фильтр BLM21PG300SN1B</ns0:v>
      </ns0:c>
      <ns0:c r="T19" t="str" s="33">
        <ns0:v>C:\Users\Nomatin\Documents\Altium\MY_LIB\MY_LIB\Datasheets\Ferrite_Beads\Murata_ENFA0005.pdf</ns0:v>
      </ns0:c>
      <ns0:c r="U19" t="str" s="33">
        <ns0:v>Даташит — локальный</ns0:v>
      </ns0:c>
      <ns0:c r="V19" t="str" s="33">
        <ns0:v>C:\Users\Nomatin\Documents\Altium\MY_LIB\MY_LIB\Datasheets\Ferrite_Beads\Murata_ENFA0005.pdf</ns0:v>
      </ns0:c>
      <ns0:c r="W19" t="str" s="33">
        <ns0:v>Даташит — производитель</ns0:v>
      </ns0:c>
      <ns0:c r="X19" t="str" s="33">
        <ns0:v>https://www.murata.com/products/productdata/8796738977822/ENFA0005.pdf</ns0:v>
      </ns0:c>
      <ns0:c r="Y19" t="str" s="33">
        <ns0:v>C:\Users\Nomatin\Documents\Altium\MY_LIB\MY_LIB\Datasheets\Ferrite_Beads\Murata_ENFA0005.pdf</ns0:v>
      </ns0:c>
      <ns0:c r="Z19" t="n" s="33">
        <ns0:v>30</ns0:v>
      </ns0:c>
      <ns0:c r="AA19" t="n" s="33">
        <ns0:v>100</ns0:v>
      </ns0:c>
      <ns0:c r="AB19" t="n" s="33">
        <ns0:v>4</ns0:v>
      </ns0:c>
      <ns0:c r="AC19" t="n" s="33">
        <ns0:v>2.3</ns0:v>
      </ns0:c>
      <ns0:c r="AD19" t="n" s="33">
        <ns0:v>0.014</ns0:v>
      </ns0:c>
      <ns0:c r="AE19" t="n" s="33">
        <ns0:v>-55</ns0:v>
      </ns0:c>
      <ns0:c r="AF19" t="n" s="33">
        <ns0:v>125</ns0:v>
      </ns0:c>
      <ns0:c r="AG19" t="str" s="33">
        <ns0:v>TA, °C; rated current at 85°C / 125°C</ns0:v>
      </ns0:c>
      <ns0:c r="AH19" t="str" s="33">
        <ns0:v>BLM21PG</ns0:v>
      </ns0:c>
      <ns0:c r="AI19" t="str" s="33">
        <ns0:v>Consumer/industrial</ns0:v>
      </ns0:c>
      <ns0:c r="AJ19" t="str" s="33">
        <ns0:v>Bulk (bag)</ns0:v>
      </ns0:c>
      <ns0:c r="AK19" t="n" s="33">
        <ns0:v>1000</ns0:v>
      </ns0:c>
      <ns0:c r="AL19" t="str" s="33">
        <ns0:v>JENF243A_0005AE-01</ns0:v>
      </ns0:c>
    </ns0:row>
    <ns0:row r="20" ht="72" customHeight="1">
      <ns0:c r="A20" t="str" s="33">
        <ns0:v>L0019</ns0:v>
      </ns0:c>
      <ns0:c r="B20" t="str" s="33">
        <ns0:v>Ферритовый фильтр</ns0:v>
      </ns0:c>
      <ns0:c r="C20" t="str" s="33">
        <ns0:v>60 Ом @ 100 МГц</ns0:v>
      </ns0:c>
      <ns0:c r="D20" t="str" s="34">
        <ns0:f>C20</ns0:f>
        <ns0:v>60 Ом @ 100 МГц</ns0:v>
      </ns0:c>
      <ns0:c r="E20" t="str" s="33">
        <ns0:v>±25%</ns0:v>
      </ns0:c>
      <ns0:c r="F20" s="33"/>
      <ns0:c r="G20" s="33"/>
      <ns0:c r="H20" t="str" s="35">
        <ns0:v>0805</ns0:v>
      </ns0:c>
      <ns0:c r="I20" t="str" s="33">
        <ns0:v>Murata</ns0:v>
      </ns0:c>
      <ns0:c r="J20" t="str" s="33">
        <ns0:v>BLM21PG600SN1D</ns0:v>
      </ns0:c>
      <ns0:c r="K20" t="str" s="34">
        <ns0:f>B20&amp;" "&amp;J20</ns0:f>
        <ns0:v>Ферритовый фильтр BLM21PG600SN1D</ns0:v>
      </ns0:c>
      <ns0:c r="L20" t="str" s="36">
        <ns0:v>Ferrite_Bead</ns0:v>
      </ns0:c>
      <ns0:c r="M20" t="str" s="36">
        <ns0:v>Symbols\MY_LIB_Inductors.SchLib</ns0:v>
      </ns0:c>
      <ns0:c r="N20" t="str" s="36">
        <ns0:v>Murata_BLM21PG_2012_Reflow</ns0:v>
      </ns0:c>
      <ns0:c r="O20" t="str" s="36">
        <ns0:v>Footprints\MY_LIB_Inductors.PcbLib</ns0:v>
      </ns0:c>
      <ns0:c r="P2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0" s="33"/>
      <ns0:c r="R20" t="str" s="34">
        <ns0:f>D20</ns0:f>
        <ns0:v>60 Ом @ 100 МГц</ns0:v>
      </ns0:c>
      <ns0:c r="S20" t="str" s="34">
        <ns0:f>K20</ns0:f>
        <ns0:v>Ферритовый фильтр BLM21PG600SN1D</ns0:v>
      </ns0:c>
      <ns0:c r="T20" t="str" s="33">
        <ns0:v>C:\Users\Nomatin\Documents\Altium\MY_LIB\MY_LIB\Datasheets\Ferrite_Beads\Murata_ENFA0005.pdf</ns0:v>
      </ns0:c>
      <ns0:c r="U20" t="str" s="33">
        <ns0:v>Даташит — локальный</ns0:v>
      </ns0:c>
      <ns0:c r="V20" t="str" s="33">
        <ns0:v>C:\Users\Nomatin\Documents\Altium\MY_LIB\MY_LIB\Datasheets\Ferrite_Beads\Murata_ENFA0005.pdf</ns0:v>
      </ns0:c>
      <ns0:c r="W20" t="str" s="33">
        <ns0:v>Даташит — производитель</ns0:v>
      </ns0:c>
      <ns0:c r="X20" t="str" s="33">
        <ns0:v>https://www.murata.com/products/productdata/8796738977822/ENFA0005.pdf</ns0:v>
      </ns0:c>
      <ns0:c r="Y20" t="str" s="33">
        <ns0:v>C:\Users\Nomatin\Documents\Altium\MY_LIB\MY_LIB\Datasheets\Ferrite_Beads\Murata_ENFA0005.pdf</ns0:v>
      </ns0:c>
      <ns0:c r="Z20" t="n" s="33">
        <ns0:v>60</ns0:v>
      </ns0:c>
      <ns0:c r="AA20" t="n" s="33">
        <ns0:v>100</ns0:v>
      </ns0:c>
      <ns0:c r="AB20" t="n" s="33">
        <ns0:v>3.5</ns0:v>
      </ns0:c>
      <ns0:c r="AC20" t="n" s="33">
        <ns0:v>1.9</ns0:v>
      </ns0:c>
      <ns0:c r="AD20" t="n" s="33">
        <ns0:v>0.02</ns0:v>
      </ns0:c>
      <ns0:c r="AE20" t="n" s="33">
        <ns0:v>-55</ns0:v>
      </ns0:c>
      <ns0:c r="AF20" t="n" s="33">
        <ns0:v>125</ns0:v>
      </ns0:c>
      <ns0:c r="AG20" t="str" s="33">
        <ns0:v>TA, °C; rated current at 85°C / 125°C</ns0:v>
      </ns0:c>
      <ns0:c r="AH20" t="str" s="33">
        <ns0:v>BLM21PG</ns0:v>
      </ns0:c>
      <ns0:c r="AI20" t="str" s="33">
        <ns0:v>Consumer/industrial</ns0:v>
      </ns0:c>
      <ns0:c r="AJ20" t="str" s="33">
        <ns0:v>180 mm paper tape</ns0:v>
      </ns0:c>
      <ns0:c r="AK20" t="n" s="33">
        <ns0:v>4000</ns0:v>
      </ns0:c>
      <ns0:c r="AL20" t="str" s="33">
        <ns0:v>JENF243A_0005AE-01</ns0:v>
      </ns0:c>
    </ns0:row>
    <ns0:row r="21" ht="72" customHeight="1">
      <ns0:c r="A21" t="str" s="33">
        <ns0:v>L0020</ns0:v>
      </ns0:c>
      <ns0:c r="B21" t="str" s="33">
        <ns0:v>Ферритовый фильтр</ns0:v>
      </ns0:c>
      <ns0:c r="C21" t="str" s="33">
        <ns0:v>60 Ом @ 100 МГц</ns0:v>
      </ns0:c>
      <ns0:c r="D21" t="str" s="34">
        <ns0:f>C21</ns0:f>
        <ns0:v>60 Ом @ 100 МГц</ns0:v>
      </ns0:c>
      <ns0:c r="E21" t="str" s="33">
        <ns0:v>±25%</ns0:v>
      </ns0:c>
      <ns0:c r="F21" s="33"/>
      <ns0:c r="G21" s="33"/>
      <ns0:c r="H21" t="str" s="35">
        <ns0:v>0805</ns0:v>
      </ns0:c>
      <ns0:c r="I21" t="str" s="33">
        <ns0:v>Murata</ns0:v>
      </ns0:c>
      <ns0:c r="J21" t="str" s="33">
        <ns0:v>BLM21PG600SN1J</ns0:v>
      </ns0:c>
      <ns0:c r="K21" t="str" s="34">
        <ns0:f>B21&amp;" "&amp;J21</ns0:f>
        <ns0:v>Ферритовый фильтр BLM21PG600SN1J</ns0:v>
      </ns0:c>
      <ns0:c r="L21" t="str" s="36">
        <ns0:v>Ferrite_Bead</ns0:v>
      </ns0:c>
      <ns0:c r="M21" t="str" s="36">
        <ns0:v>Symbols\MY_LIB_Inductors.SchLib</ns0:v>
      </ns0:c>
      <ns0:c r="N21" t="str" s="36">
        <ns0:v>Murata_BLM21PG_2012_Reflow</ns0:v>
      </ns0:c>
      <ns0:c r="O21" t="str" s="36">
        <ns0:v>Footprints\MY_LIB_Inductors.PcbLib</ns0:v>
      </ns0:c>
      <ns0:c r="P2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1" s="33"/>
      <ns0:c r="R21" t="str" s="34">
        <ns0:f>D21</ns0:f>
        <ns0:v>60 Ом @ 100 МГц</ns0:v>
      </ns0:c>
      <ns0:c r="S21" t="str" s="34">
        <ns0:f>K21</ns0:f>
        <ns0:v>Ферритовый фильтр BLM21PG600SN1J</ns0:v>
      </ns0:c>
      <ns0:c r="T21" t="str" s="33">
        <ns0:v>C:\Users\Nomatin\Documents\Altium\MY_LIB\MY_LIB\Datasheets\Ferrite_Beads\Murata_ENFA0005.pdf</ns0:v>
      </ns0:c>
      <ns0:c r="U21" t="str" s="33">
        <ns0:v>Даташит — локальный</ns0:v>
      </ns0:c>
      <ns0:c r="V21" t="str" s="33">
        <ns0:v>C:\Users\Nomatin\Documents\Altium\MY_LIB\MY_LIB\Datasheets\Ferrite_Beads\Murata_ENFA0005.pdf</ns0:v>
      </ns0:c>
      <ns0:c r="W21" t="str" s="33">
        <ns0:v>Даташит — производитель</ns0:v>
      </ns0:c>
      <ns0:c r="X21" t="str" s="33">
        <ns0:v>https://www.murata.com/products/productdata/8796738977822/ENFA0005.pdf</ns0:v>
      </ns0:c>
      <ns0:c r="Y21" t="str" s="33">
        <ns0:v>C:\Users\Nomatin\Documents\Altium\MY_LIB\MY_LIB\Datasheets\Ferrite_Beads\Murata_ENFA0005.pdf</ns0:v>
      </ns0:c>
      <ns0:c r="Z21" t="n" s="33">
        <ns0:v>60</ns0:v>
      </ns0:c>
      <ns0:c r="AA21" t="n" s="33">
        <ns0:v>100</ns0:v>
      </ns0:c>
      <ns0:c r="AB21" t="n" s="33">
        <ns0:v>3.5</ns0:v>
      </ns0:c>
      <ns0:c r="AC21" t="n" s="33">
        <ns0:v>1.9</ns0:v>
      </ns0:c>
      <ns0:c r="AD21" t="n" s="33">
        <ns0:v>0.02</ns0:v>
      </ns0:c>
      <ns0:c r="AE21" t="n" s="33">
        <ns0:v>-55</ns0:v>
      </ns0:c>
      <ns0:c r="AF21" t="n" s="33">
        <ns0:v>125</ns0:v>
      </ns0:c>
      <ns0:c r="AG21" t="str" s="33">
        <ns0:v>TA, °C; rated current at 85°C / 125°C</ns0:v>
      </ns0:c>
      <ns0:c r="AH21" t="str" s="33">
        <ns0:v>BLM21PG</ns0:v>
      </ns0:c>
      <ns0:c r="AI21" t="str" s="33">
        <ns0:v>Consumer/industrial</ns0:v>
      </ns0:c>
      <ns0:c r="AJ21" t="str" s="33">
        <ns0:v>330 mm paper tape</ns0:v>
      </ns0:c>
      <ns0:c r="AK21" t="n" s="33">
        <ns0:v>10000</ns0:v>
      </ns0:c>
      <ns0:c r="AL21" t="str" s="33">
        <ns0:v>JENF243A_0005AE-01</ns0:v>
      </ns0:c>
    </ns0:row>
    <ns0:row r="22" ht="72" customHeight="1">
      <ns0:c r="A22" t="str" s="33">
        <ns0:v>L0021</ns0:v>
      </ns0:c>
      <ns0:c r="B22" t="str" s="33">
        <ns0:v>Ферритовый фильтр</ns0:v>
      </ns0:c>
      <ns0:c r="C22" t="str" s="33">
        <ns0:v>60 Ом @ 100 МГц</ns0:v>
      </ns0:c>
      <ns0:c r="D22" t="str" s="34">
        <ns0:f>C22</ns0:f>
        <ns0:v>60 Ом @ 100 МГц</ns0:v>
      </ns0:c>
      <ns0:c r="E22" t="str" s="33">
        <ns0:v>±25%</ns0:v>
      </ns0:c>
      <ns0:c r="F22" s="33"/>
      <ns0:c r="G22" s="33"/>
      <ns0:c r="H22" t="str" s="35">
        <ns0:v>0805</ns0:v>
      </ns0:c>
      <ns0:c r="I22" t="str" s="33">
        <ns0:v>Murata</ns0:v>
      </ns0:c>
      <ns0:c r="J22" t="str" s="33">
        <ns0:v>BLM21PG600SN1B</ns0:v>
      </ns0:c>
      <ns0:c r="K22" t="str" s="34">
        <ns0:f>B22&amp;" "&amp;J22</ns0:f>
        <ns0:v>Ферритовый фильтр BLM21PG600SN1B</ns0:v>
      </ns0:c>
      <ns0:c r="L22" t="str" s="36">
        <ns0:v>Ferrite_Bead</ns0:v>
      </ns0:c>
      <ns0:c r="M22" t="str" s="36">
        <ns0:v>Symbols\MY_LIB_Inductors.SchLib</ns0:v>
      </ns0:c>
      <ns0:c r="N22" t="str" s="36">
        <ns0:v>Murata_BLM21PG_2012_Reflow</ns0:v>
      </ns0:c>
      <ns0:c r="O22" t="str" s="36">
        <ns0:v>Footprints\MY_LIB_Inductors.PcbLib</ns0:v>
      </ns0:c>
      <ns0:c r="P2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2" s="33"/>
      <ns0:c r="R22" t="str" s="34">
        <ns0:f>D22</ns0:f>
        <ns0:v>60 Ом @ 100 МГц</ns0:v>
      </ns0:c>
      <ns0:c r="S22" t="str" s="34">
        <ns0:f>K22</ns0:f>
        <ns0:v>Ферритовый фильтр BLM21PG600SN1B</ns0:v>
      </ns0:c>
      <ns0:c r="T22" t="str" s="33">
        <ns0:v>C:\Users\Nomatin\Documents\Altium\MY_LIB\MY_LIB\Datasheets\Ferrite_Beads\Murata_ENFA0005.pdf</ns0:v>
      </ns0:c>
      <ns0:c r="U22" t="str" s="33">
        <ns0:v>Даташит — локальный</ns0:v>
      </ns0:c>
      <ns0:c r="V22" t="str" s="33">
        <ns0:v>C:\Users\Nomatin\Documents\Altium\MY_LIB\MY_LIB\Datasheets\Ferrite_Beads\Murata_ENFA0005.pdf</ns0:v>
      </ns0:c>
      <ns0:c r="W22" t="str" s="33">
        <ns0:v>Даташит — производитель</ns0:v>
      </ns0:c>
      <ns0:c r="X22" t="str" s="33">
        <ns0:v>https://www.murata.com/products/productdata/8796738977822/ENFA0005.pdf</ns0:v>
      </ns0:c>
      <ns0:c r="Y22" t="str" s="33">
        <ns0:v>C:\Users\Nomatin\Documents\Altium\MY_LIB\MY_LIB\Datasheets\Ferrite_Beads\Murata_ENFA0005.pdf</ns0:v>
      </ns0:c>
      <ns0:c r="Z22" t="n" s="33">
        <ns0:v>60</ns0:v>
      </ns0:c>
      <ns0:c r="AA22" t="n" s="33">
        <ns0:v>100</ns0:v>
      </ns0:c>
      <ns0:c r="AB22" t="n" s="33">
        <ns0:v>3.5</ns0:v>
      </ns0:c>
      <ns0:c r="AC22" t="n" s="33">
        <ns0:v>1.9</ns0:v>
      </ns0:c>
      <ns0:c r="AD22" t="n" s="33">
        <ns0:v>0.02</ns0:v>
      </ns0:c>
      <ns0:c r="AE22" t="n" s="33">
        <ns0:v>-55</ns0:v>
      </ns0:c>
      <ns0:c r="AF22" t="n" s="33">
        <ns0:v>125</ns0:v>
      </ns0:c>
      <ns0:c r="AG22" t="str" s="33">
        <ns0:v>TA, °C; rated current at 85°C / 125°C</ns0:v>
      </ns0:c>
      <ns0:c r="AH22" t="str" s="33">
        <ns0:v>BLM21PG</ns0:v>
      </ns0:c>
      <ns0:c r="AI22" t="str" s="33">
        <ns0:v>Consumer/industrial</ns0:v>
      </ns0:c>
      <ns0:c r="AJ22" t="str" s="33">
        <ns0:v>Bulk (bag)</ns0:v>
      </ns0:c>
      <ns0:c r="AK22" t="n" s="33">
        <ns0:v>1000</ns0:v>
      </ns0:c>
      <ns0:c r="AL22" t="str" s="33">
        <ns0:v>JENF243A_0005AE-01</ns0:v>
      </ns0:c>
    </ns0:row>
    <ns0:row r="23" ht="72" customHeight="1">
      <ns0:c r="A23" t="str" s="33">
        <ns0:v>L0022</ns0:v>
      </ns0:c>
      <ns0:c r="B23" t="str" s="33">
        <ns0:v>Ферритовый фильтр</ns0:v>
      </ns0:c>
      <ns0:c r="C23" t="str" s="33">
        <ns0:v>120 Ом @ 100 МГц</ns0:v>
      </ns0:c>
      <ns0:c r="D23" t="str" s="34">
        <ns0:f>C23</ns0:f>
        <ns0:v>120 Ом @ 100 МГц</ns0:v>
      </ns0:c>
      <ns0:c r="E23" t="str" s="33">
        <ns0:v>±25%</ns0:v>
      </ns0:c>
      <ns0:c r="F23" s="33"/>
      <ns0:c r="G23" s="33"/>
      <ns0:c r="H23" t="str" s="35">
        <ns0:v>0805</ns0:v>
      </ns0:c>
      <ns0:c r="I23" t="str" s="33">
        <ns0:v>Murata</ns0:v>
      </ns0:c>
      <ns0:c r="J23" t="str" s="33">
        <ns0:v>BLM21PG121SN1D</ns0:v>
      </ns0:c>
      <ns0:c r="K23" t="str" s="34">
        <ns0:f>B23&amp;" "&amp;J23</ns0:f>
        <ns0:v>Ферритовый фильтр BLM21PG121SN1D</ns0:v>
      </ns0:c>
      <ns0:c r="L23" t="str" s="36">
        <ns0:v>Ferrite_Bead</ns0:v>
      </ns0:c>
      <ns0:c r="M23" t="str" s="36">
        <ns0:v>Symbols\MY_LIB_Inductors.SchLib</ns0:v>
      </ns0:c>
      <ns0:c r="N23" t="str" s="36">
        <ns0:v>Murata_BLM21PG_2012_Reflow</ns0:v>
      </ns0:c>
      <ns0:c r="O23" t="str" s="36">
        <ns0:v>Footprints\MY_LIB_Inductors.PcbLib</ns0:v>
      </ns0:c>
      <ns0:c r="P2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3" s="33"/>
      <ns0:c r="R23" t="str" s="34">
        <ns0:f>D23</ns0:f>
        <ns0:v>120 Ом @ 100 МГц</ns0:v>
      </ns0:c>
      <ns0:c r="S23" t="str" s="34">
        <ns0:f>K23</ns0:f>
        <ns0:v>Ферритовый фильтр BLM21PG121SN1D</ns0:v>
      </ns0:c>
      <ns0:c r="T23" t="str" s="33">
        <ns0:v>C:\Users\Nomatin\Documents\Altium\MY_LIB\MY_LIB\Datasheets\Ferrite_Beads\Murata_ENFA0005.pdf</ns0:v>
      </ns0:c>
      <ns0:c r="U23" t="str" s="33">
        <ns0:v>Даташит — локальный</ns0:v>
      </ns0:c>
      <ns0:c r="V23" t="str" s="33">
        <ns0:v>C:\Users\Nomatin\Documents\Altium\MY_LIB\MY_LIB\Datasheets\Ferrite_Beads\Murata_ENFA0005.pdf</ns0:v>
      </ns0:c>
      <ns0:c r="W23" t="str" s="33">
        <ns0:v>Даташит — производитель</ns0:v>
      </ns0:c>
      <ns0:c r="X23" t="str" s="33">
        <ns0:v>https://www.murata.com/products/productdata/8796738977822/ENFA0005.pdf</ns0:v>
      </ns0:c>
      <ns0:c r="Y23" t="str" s="33">
        <ns0:v>C:\Users\Nomatin\Documents\Altium\MY_LIB\MY_LIB\Datasheets\Ferrite_Beads\Murata_ENFA0005.pdf</ns0:v>
      </ns0:c>
      <ns0:c r="Z23" t="n" s="33">
        <ns0:v>120</ns0:v>
      </ns0:c>
      <ns0:c r="AA23" t="n" s="33">
        <ns0:v>100</ns0:v>
      </ns0:c>
      <ns0:c r="AB23" t="n" s="33">
        <ns0:v>3</ns0:v>
      </ns0:c>
      <ns0:c r="AC23" t="n" s="33">
        <ns0:v>1.55</ns0:v>
      </ns0:c>
      <ns0:c r="AD23" t="n" s="33">
        <ns0:v>0.03</ns0:v>
      </ns0:c>
      <ns0:c r="AE23" t="n" s="33">
        <ns0:v>-55</ns0:v>
      </ns0:c>
      <ns0:c r="AF23" t="n" s="33">
        <ns0:v>125</ns0:v>
      </ns0:c>
      <ns0:c r="AG23" t="str" s="33">
        <ns0:v>TA, °C; rated current at 85°C / 125°C</ns0:v>
      </ns0:c>
      <ns0:c r="AH23" t="str" s="33">
        <ns0:v>BLM21PG</ns0:v>
      </ns0:c>
      <ns0:c r="AI23" t="str" s="33">
        <ns0:v>Consumer/industrial</ns0:v>
      </ns0:c>
      <ns0:c r="AJ23" t="str" s="33">
        <ns0:v>180 mm paper tape</ns0:v>
      </ns0:c>
      <ns0:c r="AK23" t="n" s="33">
        <ns0:v>4000</ns0:v>
      </ns0:c>
      <ns0:c r="AL23" t="str" s="33">
        <ns0:v>JENF243A_0005AE-01</ns0:v>
      </ns0:c>
    </ns0:row>
    <ns0:row r="24" ht="72" customHeight="1">
      <ns0:c r="A24" t="str" s="33">
        <ns0:v>L0023</ns0:v>
      </ns0:c>
      <ns0:c r="B24" t="str" s="33">
        <ns0:v>Ферритовый фильтр</ns0:v>
      </ns0:c>
      <ns0:c r="C24" t="str" s="33">
        <ns0:v>120 Ом @ 100 МГц</ns0:v>
      </ns0:c>
      <ns0:c r="D24" t="str" s="34">
        <ns0:f>C24</ns0:f>
        <ns0:v>120 Ом @ 100 МГц</ns0:v>
      </ns0:c>
      <ns0:c r="E24" t="str" s="33">
        <ns0:v>±25%</ns0:v>
      </ns0:c>
      <ns0:c r="F24" s="33"/>
      <ns0:c r="G24" s="33"/>
      <ns0:c r="H24" t="str" s="35">
        <ns0:v>0805</ns0:v>
      </ns0:c>
      <ns0:c r="I24" t="str" s="33">
        <ns0:v>Murata</ns0:v>
      </ns0:c>
      <ns0:c r="J24" t="str" s="33">
        <ns0:v>BLM21PG121SN1J</ns0:v>
      </ns0:c>
      <ns0:c r="K24" t="str" s="34">
        <ns0:f>B24&amp;" "&amp;J24</ns0:f>
        <ns0:v>Ферритовый фильтр BLM21PG121SN1J</ns0:v>
      </ns0:c>
      <ns0:c r="L24" t="str" s="36">
        <ns0:v>Ferrite_Bead</ns0:v>
      </ns0:c>
      <ns0:c r="M24" t="str" s="36">
        <ns0:v>Symbols\MY_LIB_Inductors.SchLib</ns0:v>
      </ns0:c>
      <ns0:c r="N24" t="str" s="36">
        <ns0:v>Murata_BLM21PG_2012_Reflow</ns0:v>
      </ns0:c>
      <ns0:c r="O24" t="str" s="36">
        <ns0:v>Footprints\MY_LIB_Inductors.PcbLib</ns0:v>
      </ns0:c>
      <ns0:c r="P2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4" s="33"/>
      <ns0:c r="R24" t="str" s="34">
        <ns0:f>D24</ns0:f>
        <ns0:v>120 Ом @ 100 МГц</ns0:v>
      </ns0:c>
      <ns0:c r="S24" t="str" s="34">
        <ns0:f>K24</ns0:f>
        <ns0:v>Ферритовый фильтр BLM21PG121SN1J</ns0:v>
      </ns0:c>
      <ns0:c r="T24" t="str" s="33">
        <ns0:v>C:\Users\Nomatin\Documents\Altium\MY_LIB\MY_LIB\Datasheets\Ferrite_Beads\Murata_ENFA0005.pdf</ns0:v>
      </ns0:c>
      <ns0:c r="U24" t="str" s="33">
        <ns0:v>Даташит — локальный</ns0:v>
      </ns0:c>
      <ns0:c r="V24" t="str" s="33">
        <ns0:v>C:\Users\Nomatin\Documents\Altium\MY_LIB\MY_LIB\Datasheets\Ferrite_Beads\Murata_ENFA0005.pdf</ns0:v>
      </ns0:c>
      <ns0:c r="W24" t="str" s="33">
        <ns0:v>Даташит — производитель</ns0:v>
      </ns0:c>
      <ns0:c r="X24" t="str" s="33">
        <ns0:v>https://www.murata.com/products/productdata/8796738977822/ENFA0005.pdf</ns0:v>
      </ns0:c>
      <ns0:c r="Y24" t="str" s="33">
        <ns0:v>C:\Users\Nomatin\Documents\Altium\MY_LIB\MY_LIB\Datasheets\Ferrite_Beads\Murata_ENFA0005.pdf</ns0:v>
      </ns0:c>
      <ns0:c r="Z24" t="n" s="33">
        <ns0:v>120</ns0:v>
      </ns0:c>
      <ns0:c r="AA24" t="n" s="33">
        <ns0:v>100</ns0:v>
      </ns0:c>
      <ns0:c r="AB24" t="n" s="33">
        <ns0:v>3</ns0:v>
      </ns0:c>
      <ns0:c r="AC24" t="n" s="33">
        <ns0:v>1.55</ns0:v>
      </ns0:c>
      <ns0:c r="AD24" t="n" s="33">
        <ns0:v>0.03</ns0:v>
      </ns0:c>
      <ns0:c r="AE24" t="n" s="33">
        <ns0:v>-55</ns0:v>
      </ns0:c>
      <ns0:c r="AF24" t="n" s="33">
        <ns0:v>125</ns0:v>
      </ns0:c>
      <ns0:c r="AG24" t="str" s="33">
        <ns0:v>TA, °C; rated current at 85°C / 125°C</ns0:v>
      </ns0:c>
      <ns0:c r="AH24" t="str" s="33">
        <ns0:v>BLM21PG</ns0:v>
      </ns0:c>
      <ns0:c r="AI24" t="str" s="33">
        <ns0:v>Consumer/industrial</ns0:v>
      </ns0:c>
      <ns0:c r="AJ24" t="str" s="33">
        <ns0:v>330 mm paper tape</ns0:v>
      </ns0:c>
      <ns0:c r="AK24" t="n" s="33">
        <ns0:v>10000</ns0:v>
      </ns0:c>
      <ns0:c r="AL24" t="str" s="33">
        <ns0:v>JENF243A_0005AE-01</ns0:v>
      </ns0:c>
    </ns0:row>
    <ns0:row r="25" ht="72" customHeight="1">
      <ns0:c r="A25" t="str" s="33">
        <ns0:v>L0024</ns0:v>
      </ns0:c>
      <ns0:c r="B25" t="str" s="33">
        <ns0:v>Ферритовый фильтр</ns0:v>
      </ns0:c>
      <ns0:c r="C25" t="str" s="33">
        <ns0:v>120 Ом @ 100 МГц</ns0:v>
      </ns0:c>
      <ns0:c r="D25" t="str" s="34">
        <ns0:f>C25</ns0:f>
        <ns0:v>120 Ом @ 100 МГц</ns0:v>
      </ns0:c>
      <ns0:c r="E25" t="str" s="33">
        <ns0:v>±25%</ns0:v>
      </ns0:c>
      <ns0:c r="F25" s="33"/>
      <ns0:c r="G25" s="33"/>
      <ns0:c r="H25" t="str" s="35">
        <ns0:v>0805</ns0:v>
      </ns0:c>
      <ns0:c r="I25" t="str" s="33">
        <ns0:v>Murata</ns0:v>
      </ns0:c>
      <ns0:c r="J25" t="str" s="33">
        <ns0:v>BLM21PG121SN1B</ns0:v>
      </ns0:c>
      <ns0:c r="K25" t="str" s="34">
        <ns0:f>B25&amp;" "&amp;J25</ns0:f>
        <ns0:v>Ферритовый фильтр BLM21PG121SN1B</ns0:v>
      </ns0:c>
      <ns0:c r="L25" t="str" s="36">
        <ns0:v>Ferrite_Bead</ns0:v>
      </ns0:c>
      <ns0:c r="M25" t="str" s="36">
        <ns0:v>Symbols\MY_LIB_Inductors.SchLib</ns0:v>
      </ns0:c>
      <ns0:c r="N25" t="str" s="36">
        <ns0:v>Murata_BLM21PG_2012_Reflow</ns0:v>
      </ns0:c>
      <ns0:c r="O25" t="str" s="36">
        <ns0:v>Footprints\MY_LIB_Inductors.PcbLib</ns0:v>
      </ns0:c>
      <ns0:c r="P2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5" s="33"/>
      <ns0:c r="R25" t="str" s="34">
        <ns0:f>D25</ns0:f>
        <ns0:v>120 Ом @ 100 МГц</ns0:v>
      </ns0:c>
      <ns0:c r="S25" t="str" s="34">
        <ns0:f>K25</ns0:f>
        <ns0:v>Ферритовый фильтр BLM21PG121SN1B</ns0:v>
      </ns0:c>
      <ns0:c r="T25" t="str" s="33">
        <ns0:v>C:\Users\Nomatin\Documents\Altium\MY_LIB\MY_LIB\Datasheets\Ferrite_Beads\Murata_ENFA0005.pdf</ns0:v>
      </ns0:c>
      <ns0:c r="U25" t="str" s="33">
        <ns0:v>Даташит — локальный</ns0:v>
      </ns0:c>
      <ns0:c r="V25" t="str" s="33">
        <ns0:v>C:\Users\Nomatin\Documents\Altium\MY_LIB\MY_LIB\Datasheets\Ferrite_Beads\Murata_ENFA0005.pdf</ns0:v>
      </ns0:c>
      <ns0:c r="W25" t="str" s="33">
        <ns0:v>Даташит — производитель</ns0:v>
      </ns0:c>
      <ns0:c r="X25" t="str" s="33">
        <ns0:v>https://www.murata.com/products/productdata/8796738977822/ENFA0005.pdf</ns0:v>
      </ns0:c>
      <ns0:c r="Y25" t="str" s="33">
        <ns0:v>C:\Users\Nomatin\Documents\Altium\MY_LIB\MY_LIB\Datasheets\Ferrite_Beads\Murata_ENFA0005.pdf</ns0:v>
      </ns0:c>
      <ns0:c r="Z25" t="n" s="33">
        <ns0:v>120</ns0:v>
      </ns0:c>
      <ns0:c r="AA25" t="n" s="33">
        <ns0:v>100</ns0:v>
      </ns0:c>
      <ns0:c r="AB25" t="n" s="33">
        <ns0:v>3</ns0:v>
      </ns0:c>
      <ns0:c r="AC25" t="n" s="33">
        <ns0:v>1.55</ns0:v>
      </ns0:c>
      <ns0:c r="AD25" t="n" s="33">
        <ns0:v>0.03</ns0:v>
      </ns0:c>
      <ns0:c r="AE25" t="n" s="33">
        <ns0:v>-55</ns0:v>
      </ns0:c>
      <ns0:c r="AF25" t="n" s="33">
        <ns0:v>125</ns0:v>
      </ns0:c>
      <ns0:c r="AG25" t="str" s="33">
        <ns0:v>TA, °C; rated current at 85°C / 125°C</ns0:v>
      </ns0:c>
      <ns0:c r="AH25" t="str" s="33">
        <ns0:v>BLM21PG</ns0:v>
      </ns0:c>
      <ns0:c r="AI25" t="str" s="33">
        <ns0:v>Consumer/industrial</ns0:v>
      </ns0:c>
      <ns0:c r="AJ25" t="str" s="33">
        <ns0:v>Bulk (bag)</ns0:v>
      </ns0:c>
      <ns0:c r="AK25" t="n" s="33">
        <ns0:v>1000</ns0:v>
      </ns0:c>
      <ns0:c r="AL25" t="str" s="33">
        <ns0:v>JENF243A_0005AE-01</ns0:v>
      </ns0:c>
    </ns0:row>
    <ns0:row r="26" ht="72" customHeight="1">
      <ns0:c r="A26" t="str" s="33">
        <ns0:v>L0025</ns0:v>
      </ns0:c>
      <ns0:c r="B26" t="str" s="33">
        <ns0:v>Ферритовый фильтр</ns0:v>
      </ns0:c>
      <ns0:c r="C26" t="str" s="33">
        <ns0:v>220 Ом @ 100 МГц</ns0:v>
      </ns0:c>
      <ns0:c r="D26" t="str" s="34">
        <ns0:f>C26</ns0:f>
        <ns0:v>220 Ом @ 100 МГц</ns0:v>
      </ns0:c>
      <ns0:c r="E26" t="str" s="33">
        <ns0:v>±25%</ns0:v>
      </ns0:c>
      <ns0:c r="F26" s="33"/>
      <ns0:c r="G26" s="33"/>
      <ns0:c r="H26" t="str" s="35">
        <ns0:v>0805</ns0:v>
      </ns0:c>
      <ns0:c r="I26" t="str" s="33">
        <ns0:v>Murata</ns0:v>
      </ns0:c>
      <ns0:c r="J26" t="str" s="33">
        <ns0:v>BLM21PG221SN1D</ns0:v>
      </ns0:c>
      <ns0:c r="K26" t="str" s="34">
        <ns0:f>B26&amp;" "&amp;J26</ns0:f>
        <ns0:v>Ферритовый фильтр BLM21PG221SN1D</ns0:v>
      </ns0:c>
      <ns0:c r="L26" t="str" s="36">
        <ns0:v>Ferrite_Bead</ns0:v>
      </ns0:c>
      <ns0:c r="M26" t="str" s="36">
        <ns0:v>Symbols\MY_LIB_Inductors.SchLib</ns0:v>
      </ns0:c>
      <ns0:c r="N26" t="str" s="36">
        <ns0:v>Murata_BLM21PG_2012_Reflow</ns0:v>
      </ns0:c>
      <ns0:c r="O26" t="str" s="36">
        <ns0:v>Footprints\MY_LIB_Inductors.PcbLib</ns0:v>
      </ns0:c>
      <ns0:c r="P2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6" s="33"/>
      <ns0:c r="R26" t="str" s="34">
        <ns0:f>D26</ns0:f>
        <ns0:v>220 Ом @ 100 МГц</ns0:v>
      </ns0:c>
      <ns0:c r="S26" t="str" s="34">
        <ns0:f>K26</ns0:f>
        <ns0:v>Ферритовый фильтр BLM21PG221SN1D</ns0:v>
      </ns0:c>
      <ns0:c r="T26" t="str" s="33">
        <ns0:v>C:\Users\Nomatin\Documents\Altium\MY_LIB\MY_LIB\Datasheets\Ferrite_Beads\Murata_ENFA0005.pdf</ns0:v>
      </ns0:c>
      <ns0:c r="U26" t="str" s="33">
        <ns0:v>Даташит — локальный</ns0:v>
      </ns0:c>
      <ns0:c r="V26" t="str" s="33">
        <ns0:v>C:\Users\Nomatin\Documents\Altium\MY_LIB\MY_LIB\Datasheets\Ferrite_Beads\Murata_ENFA0005.pdf</ns0:v>
      </ns0:c>
      <ns0:c r="W26" t="str" s="33">
        <ns0:v>Даташит — производитель</ns0:v>
      </ns0:c>
      <ns0:c r="X26" t="str" s="33">
        <ns0:v>https://www.murata.com/products/productdata/8796738977822/ENFA0005.pdf</ns0:v>
      </ns0:c>
      <ns0:c r="Y26" t="str" s="33">
        <ns0:v>C:\Users\Nomatin\Documents\Altium\MY_LIB\MY_LIB\Datasheets\Ferrite_Beads\Murata_ENFA0005.pdf</ns0:v>
      </ns0:c>
      <ns0:c r="Z26" t="n" s="33">
        <ns0:v>220</ns0:v>
      </ns0:c>
      <ns0:c r="AA26" t="n" s="33">
        <ns0:v>100</ns0:v>
      </ns0:c>
      <ns0:c r="AB26" t="n" s="33">
        <ns0:v>2</ns0:v>
      </ns0:c>
      <ns0:c r="AC26" t="n" s="33">
        <ns0:v>1.25</ns0:v>
      </ns0:c>
      <ns0:c r="AD26" t="n" s="33">
        <ns0:v>0.045</ns0:v>
      </ns0:c>
      <ns0:c r="AE26" t="n" s="33">
        <ns0:v>-55</ns0:v>
      </ns0:c>
      <ns0:c r="AF26" t="n" s="33">
        <ns0:v>125</ns0:v>
      </ns0:c>
      <ns0:c r="AG26" t="str" s="33">
        <ns0:v>TA, °C; rated current at 85°C / 125°C</ns0:v>
      </ns0:c>
      <ns0:c r="AH26" t="str" s="33">
        <ns0:v>BLM21PG</ns0:v>
      </ns0:c>
      <ns0:c r="AI26" t="str" s="33">
        <ns0:v>Consumer/industrial</ns0:v>
      </ns0:c>
      <ns0:c r="AJ26" t="str" s="33">
        <ns0:v>180 mm paper tape</ns0:v>
      </ns0:c>
      <ns0:c r="AK26" t="n" s="33">
        <ns0:v>4000</ns0:v>
      </ns0:c>
      <ns0:c r="AL26" t="str" s="33">
        <ns0:v>JENF243A_0005AE-01</ns0:v>
      </ns0:c>
    </ns0:row>
    <ns0:row r="27" ht="72" customHeight="1">
      <ns0:c r="A27" t="str" s="33">
        <ns0:v>L0026</ns0:v>
      </ns0:c>
      <ns0:c r="B27" t="str" s="33">
        <ns0:v>Ферритовый фильтр</ns0:v>
      </ns0:c>
      <ns0:c r="C27" t="str" s="33">
        <ns0:v>220 Ом @ 100 МГц</ns0:v>
      </ns0:c>
      <ns0:c r="D27" t="str" s="34">
        <ns0:f>C27</ns0:f>
        <ns0:v>220 Ом @ 100 МГц</ns0:v>
      </ns0:c>
      <ns0:c r="E27" t="str" s="33">
        <ns0:v>±25%</ns0:v>
      </ns0:c>
      <ns0:c r="F27" s="33"/>
      <ns0:c r="G27" s="33"/>
      <ns0:c r="H27" t="str" s="35">
        <ns0:v>0805</ns0:v>
      </ns0:c>
      <ns0:c r="I27" t="str" s="33">
        <ns0:v>Murata</ns0:v>
      </ns0:c>
      <ns0:c r="J27" t="str" s="33">
        <ns0:v>BLM21PG221SN1J</ns0:v>
      </ns0:c>
      <ns0:c r="K27" t="str" s="34">
        <ns0:f>B27&amp;" "&amp;J27</ns0:f>
        <ns0:v>Ферритовый фильтр BLM21PG221SN1J</ns0:v>
      </ns0:c>
      <ns0:c r="L27" t="str" s="36">
        <ns0:v>Ferrite_Bead</ns0:v>
      </ns0:c>
      <ns0:c r="M27" t="str" s="36">
        <ns0:v>Symbols\MY_LIB_Inductors.SchLib</ns0:v>
      </ns0:c>
      <ns0:c r="N27" t="str" s="36">
        <ns0:v>Murata_BLM21PG_2012_Reflow</ns0:v>
      </ns0:c>
      <ns0:c r="O27" t="str" s="36">
        <ns0:v>Footprints\MY_LIB_Inductors.PcbLib</ns0:v>
      </ns0:c>
      <ns0:c r="P2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7" s="33"/>
      <ns0:c r="R27" t="str" s="34">
        <ns0:f>D27</ns0:f>
        <ns0:v>220 Ом @ 100 МГц</ns0:v>
      </ns0:c>
      <ns0:c r="S27" t="str" s="34">
        <ns0:f>K27</ns0:f>
        <ns0:v>Ферритовый фильтр BLM21PG221SN1J</ns0:v>
      </ns0:c>
      <ns0:c r="T27" t="str" s="33">
        <ns0:v>C:\Users\Nomatin\Documents\Altium\MY_LIB\MY_LIB\Datasheets\Ferrite_Beads\Murata_ENFA0005.pdf</ns0:v>
      </ns0:c>
      <ns0:c r="U27" t="str" s="33">
        <ns0:v>Даташит — локальный</ns0:v>
      </ns0:c>
      <ns0:c r="V27" t="str" s="33">
        <ns0:v>C:\Users\Nomatin\Documents\Altium\MY_LIB\MY_LIB\Datasheets\Ferrite_Beads\Murata_ENFA0005.pdf</ns0:v>
      </ns0:c>
      <ns0:c r="W27" t="str" s="33">
        <ns0:v>Даташит — производитель</ns0:v>
      </ns0:c>
      <ns0:c r="X27" t="str" s="33">
        <ns0:v>https://www.murata.com/products/productdata/8796738977822/ENFA0005.pdf</ns0:v>
      </ns0:c>
      <ns0:c r="Y27" t="str" s="33">
        <ns0:v>C:\Users\Nomatin\Documents\Altium\MY_LIB\MY_LIB\Datasheets\Ferrite_Beads\Murata_ENFA0005.pdf</ns0:v>
      </ns0:c>
      <ns0:c r="Z27" t="n" s="33">
        <ns0:v>220</ns0:v>
      </ns0:c>
      <ns0:c r="AA27" t="n" s="33">
        <ns0:v>100</ns0:v>
      </ns0:c>
      <ns0:c r="AB27" t="n" s="33">
        <ns0:v>2</ns0:v>
      </ns0:c>
      <ns0:c r="AC27" t="n" s="33">
        <ns0:v>1.25</ns0:v>
      </ns0:c>
      <ns0:c r="AD27" t="n" s="33">
        <ns0:v>0.045</ns0:v>
      </ns0:c>
      <ns0:c r="AE27" t="n" s="33">
        <ns0:v>-55</ns0:v>
      </ns0:c>
      <ns0:c r="AF27" t="n" s="33">
        <ns0:v>125</ns0:v>
      </ns0:c>
      <ns0:c r="AG27" t="str" s="33">
        <ns0:v>TA, °C; rated current at 85°C / 125°C</ns0:v>
      </ns0:c>
      <ns0:c r="AH27" t="str" s="33">
        <ns0:v>BLM21PG</ns0:v>
      </ns0:c>
      <ns0:c r="AI27" t="str" s="33">
        <ns0:v>Consumer/industrial</ns0:v>
      </ns0:c>
      <ns0:c r="AJ27" t="str" s="33">
        <ns0:v>330 mm paper tape</ns0:v>
      </ns0:c>
      <ns0:c r="AK27" t="n" s="33">
        <ns0:v>10000</ns0:v>
      </ns0:c>
      <ns0:c r="AL27" t="str" s="33">
        <ns0:v>JENF243A_0005AE-01</ns0:v>
      </ns0:c>
    </ns0:row>
    <ns0:row r="28" ht="72" customHeight="1">
      <ns0:c r="A28" t="str" s="33">
        <ns0:v>L0027</ns0:v>
      </ns0:c>
      <ns0:c r="B28" t="str" s="33">
        <ns0:v>Ферритовый фильтр</ns0:v>
      </ns0:c>
      <ns0:c r="C28" t="str" s="33">
        <ns0:v>220 Ом @ 100 МГц</ns0:v>
      </ns0:c>
      <ns0:c r="D28" t="str" s="34">
        <ns0:f>C28</ns0:f>
        <ns0:v>220 Ом @ 100 МГц</ns0:v>
      </ns0:c>
      <ns0:c r="E28" t="str" s="33">
        <ns0:v>±25%</ns0:v>
      </ns0:c>
      <ns0:c r="F28" s="33"/>
      <ns0:c r="G28" s="33"/>
      <ns0:c r="H28" t="str" s="35">
        <ns0:v>0805</ns0:v>
      </ns0:c>
      <ns0:c r="I28" t="str" s="33">
        <ns0:v>Murata</ns0:v>
      </ns0:c>
      <ns0:c r="J28" t="str" s="33">
        <ns0:v>BLM21PG221SN1B</ns0:v>
      </ns0:c>
      <ns0:c r="K28" t="str" s="34">
        <ns0:f>B28&amp;" "&amp;J28</ns0:f>
        <ns0:v>Ферритовый фильтр BLM21PG221SN1B</ns0:v>
      </ns0:c>
      <ns0:c r="L28" t="str" s="36">
        <ns0:v>Ferrite_Bead</ns0:v>
      </ns0:c>
      <ns0:c r="M28" t="str" s="36">
        <ns0:v>Symbols\MY_LIB_Inductors.SchLib</ns0:v>
      </ns0:c>
      <ns0:c r="N28" t="str" s="36">
        <ns0:v>Murata_BLM21PG_2012_Reflow</ns0:v>
      </ns0:c>
      <ns0:c r="O28" t="str" s="36">
        <ns0:v>Footprints\MY_LIB_Inductors.PcbLib</ns0:v>
      </ns0:c>
      <ns0:c r="P2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8" s="33"/>
      <ns0:c r="R28" t="str" s="34">
        <ns0:f>D28</ns0:f>
        <ns0:v>220 Ом @ 100 МГц</ns0:v>
      </ns0:c>
      <ns0:c r="S28" t="str" s="34">
        <ns0:f>K28</ns0:f>
        <ns0:v>Ферритовый фильтр BLM21PG221SN1B</ns0:v>
      </ns0:c>
      <ns0:c r="T28" t="str" s="33">
        <ns0:v>C:\Users\Nomatin\Documents\Altium\MY_LIB\MY_LIB\Datasheets\Ferrite_Beads\Murata_ENFA0005.pdf</ns0:v>
      </ns0:c>
      <ns0:c r="U28" t="str" s="33">
        <ns0:v>Даташит — локальный</ns0:v>
      </ns0:c>
      <ns0:c r="V28" t="str" s="33">
        <ns0:v>C:\Users\Nomatin\Documents\Altium\MY_LIB\MY_LIB\Datasheets\Ferrite_Beads\Murata_ENFA0005.pdf</ns0:v>
      </ns0:c>
      <ns0:c r="W28" t="str" s="33">
        <ns0:v>Даташит — производитель</ns0:v>
      </ns0:c>
      <ns0:c r="X28" t="str" s="33">
        <ns0:v>https://www.murata.com/products/productdata/8796738977822/ENFA0005.pdf</ns0:v>
      </ns0:c>
      <ns0:c r="Y28" t="str" s="33">
        <ns0:v>C:\Users\Nomatin\Documents\Altium\MY_LIB\MY_LIB\Datasheets\Ferrite_Beads\Murata_ENFA0005.pdf</ns0:v>
      </ns0:c>
      <ns0:c r="Z28" t="n" s="33">
        <ns0:v>220</ns0:v>
      </ns0:c>
      <ns0:c r="AA28" t="n" s="33">
        <ns0:v>100</ns0:v>
      </ns0:c>
      <ns0:c r="AB28" t="n" s="33">
        <ns0:v>2</ns0:v>
      </ns0:c>
      <ns0:c r="AC28" t="n" s="33">
        <ns0:v>1.25</ns0:v>
      </ns0:c>
      <ns0:c r="AD28" t="n" s="33">
        <ns0:v>0.045</ns0:v>
      </ns0:c>
      <ns0:c r="AE28" t="n" s="33">
        <ns0:v>-55</ns0:v>
      </ns0:c>
      <ns0:c r="AF28" t="n" s="33">
        <ns0:v>125</ns0:v>
      </ns0:c>
      <ns0:c r="AG28" t="str" s="33">
        <ns0:v>TA, °C; rated current at 85°C / 125°C</ns0:v>
      </ns0:c>
      <ns0:c r="AH28" t="str" s="33">
        <ns0:v>BLM21PG</ns0:v>
      </ns0:c>
      <ns0:c r="AI28" t="str" s="33">
        <ns0:v>Consumer/industrial</ns0:v>
      </ns0:c>
      <ns0:c r="AJ28" t="str" s="33">
        <ns0:v>Bulk (bag)</ns0:v>
      </ns0:c>
      <ns0:c r="AK28" t="n" s="33">
        <ns0:v>1000</ns0:v>
      </ns0:c>
      <ns0:c r="AL28" t="str" s="33">
        <ns0:v>JENF243A_0005AE-01</ns0:v>
      </ns0:c>
    </ns0:row>
    <ns0:row r="29" ht="72" customHeight="1">
      <ns0:c r="A29" t="str" s="33">
        <ns0:v>L0028</ns0:v>
      </ns0:c>
      <ns0:c r="B29" t="str" s="33">
        <ns0:v>Ферритовый фильтр</ns0:v>
      </ns0:c>
      <ns0:c r="C29" t="str" s="33">
        <ns0:v>330 Ом @ 100 МГц</ns0:v>
      </ns0:c>
      <ns0:c r="D29" t="str" s="34">
        <ns0:f>C29</ns0:f>
        <ns0:v>330 Ом @ 100 МГц</ns0:v>
      </ns0:c>
      <ns0:c r="E29" t="str" s="33">
        <ns0:v>±25%</ns0:v>
      </ns0:c>
      <ns0:c r="F29" s="33"/>
      <ns0:c r="G29" s="33"/>
      <ns0:c r="H29" t="str" s="35">
        <ns0:v>0805</ns0:v>
      </ns0:c>
      <ns0:c r="I29" t="str" s="33">
        <ns0:v>Murata</ns0:v>
      </ns0:c>
      <ns0:c r="J29" t="str" s="33">
        <ns0:v>BLM21PG331SN1D</ns0:v>
      </ns0:c>
      <ns0:c r="K29" t="str" s="34">
        <ns0:f>B29&amp;" "&amp;J29</ns0:f>
        <ns0:v>Ферритовый фильтр BLM21PG331SN1D</ns0:v>
      </ns0:c>
      <ns0:c r="L29" t="str" s="36">
        <ns0:v>Ferrite_Bead</ns0:v>
      </ns0:c>
      <ns0:c r="M29" t="str" s="36">
        <ns0:v>Symbols\MY_LIB_Inductors.SchLib</ns0:v>
      </ns0:c>
      <ns0:c r="N29" t="str" s="36">
        <ns0:v>Murata_BLM21PG_2012_Reflow</ns0:v>
      </ns0:c>
      <ns0:c r="O29" t="str" s="36">
        <ns0:v>Footprints\MY_LIB_Inductors.PcbLib</ns0:v>
      </ns0:c>
      <ns0:c r="P2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29" s="33"/>
      <ns0:c r="R29" t="str" s="34">
        <ns0:f>D29</ns0:f>
        <ns0:v>330 Ом @ 100 МГц</ns0:v>
      </ns0:c>
      <ns0:c r="S29" t="str" s="34">
        <ns0:f>K29</ns0:f>
        <ns0:v>Ферритовый фильтр BLM21PG331SN1D</ns0:v>
      </ns0:c>
      <ns0:c r="T29" t="str" s="33">
        <ns0:v>C:\Users\Nomatin\Documents\Altium\MY_LIB\MY_LIB\Datasheets\Ferrite_Beads\Murata_ENFA0005.pdf</ns0:v>
      </ns0:c>
      <ns0:c r="U29" t="str" s="33">
        <ns0:v>Даташит — локальный</ns0:v>
      </ns0:c>
      <ns0:c r="V29" t="str" s="33">
        <ns0:v>C:\Users\Nomatin\Documents\Altium\MY_LIB\MY_LIB\Datasheets\Ferrite_Beads\Murata_ENFA0005.pdf</ns0:v>
      </ns0:c>
      <ns0:c r="W29" t="str" s="33">
        <ns0:v>Даташит — производитель</ns0:v>
      </ns0:c>
      <ns0:c r="X29" t="str" s="33">
        <ns0:v>https://www.murata.com/products/productdata/8796738977822/ENFA0005.pdf</ns0:v>
      </ns0:c>
      <ns0:c r="Y29" t="str" s="33">
        <ns0:v>C:\Users\Nomatin\Documents\Altium\MY_LIB\MY_LIB\Datasheets\Ferrite_Beads\Murata_ENFA0005.pdf</ns0:v>
      </ns0:c>
      <ns0:c r="Z29" t="n" s="33">
        <ns0:v>330</ns0:v>
      </ns0:c>
      <ns0:c r="AA29" t="n" s="33">
        <ns0:v>100</ns0:v>
      </ns0:c>
      <ns0:c r="AB29" t="n" s="33">
        <ns0:v>1.5</ns0:v>
      </ns0:c>
      <ns0:c r="AC29" t="n" s="33">
        <ns0:v>1</ns0:v>
      </ns0:c>
      <ns0:c r="AD29" t="n" s="33">
        <ns0:v>0.07</ns0:v>
      </ns0:c>
      <ns0:c r="AE29" t="n" s="33">
        <ns0:v>-55</ns0:v>
      </ns0:c>
      <ns0:c r="AF29" t="n" s="33">
        <ns0:v>125</ns0:v>
      </ns0:c>
      <ns0:c r="AG29" t="str" s="33">
        <ns0:v>TA, °C; rated current at 85°C / 125°C</ns0:v>
      </ns0:c>
      <ns0:c r="AH29" t="str" s="33">
        <ns0:v>BLM21PG</ns0:v>
      </ns0:c>
      <ns0:c r="AI29" t="str" s="33">
        <ns0:v>Consumer/industrial</ns0:v>
      </ns0:c>
      <ns0:c r="AJ29" t="str" s="33">
        <ns0:v>180 mm paper tape</ns0:v>
      </ns0:c>
      <ns0:c r="AK29" t="n" s="33">
        <ns0:v>4000</ns0:v>
      </ns0:c>
      <ns0:c r="AL29" t="str" s="33">
        <ns0:v>JENF243A_0005AE-01</ns0:v>
      </ns0:c>
    </ns0:row>
    <ns0:row r="30" ht="72" customHeight="1">
      <ns0:c r="A30" t="str" s="33">
        <ns0:v>L0029</ns0:v>
      </ns0:c>
      <ns0:c r="B30" t="str" s="33">
        <ns0:v>Ферритовый фильтр</ns0:v>
      </ns0:c>
      <ns0:c r="C30" t="str" s="33">
        <ns0:v>330 Ом @ 100 МГц</ns0:v>
      </ns0:c>
      <ns0:c r="D30" t="str" s="34">
        <ns0:f>C30</ns0:f>
        <ns0:v>330 Ом @ 100 МГц</ns0:v>
      </ns0:c>
      <ns0:c r="E30" t="str" s="33">
        <ns0:v>±25%</ns0:v>
      </ns0:c>
      <ns0:c r="F30" s="33"/>
      <ns0:c r="G30" s="33"/>
      <ns0:c r="H30" t="str" s="35">
        <ns0:v>0805</ns0:v>
      </ns0:c>
      <ns0:c r="I30" t="str" s="33">
        <ns0:v>Murata</ns0:v>
      </ns0:c>
      <ns0:c r="J30" t="str" s="33">
        <ns0:v>BLM21PG331SN1J</ns0:v>
      </ns0:c>
      <ns0:c r="K30" t="str" s="34">
        <ns0:f>B30&amp;" "&amp;J30</ns0:f>
        <ns0:v>Ферритовый фильтр BLM21PG331SN1J</ns0:v>
      </ns0:c>
      <ns0:c r="L30" t="str" s="36">
        <ns0:v>Ferrite_Bead</ns0:v>
      </ns0:c>
      <ns0:c r="M30" t="str" s="36">
        <ns0:v>Symbols\MY_LIB_Inductors.SchLib</ns0:v>
      </ns0:c>
      <ns0:c r="N30" t="str" s="36">
        <ns0:v>Murata_BLM21PG_2012_Reflow</ns0:v>
      </ns0:c>
      <ns0:c r="O30" t="str" s="36">
        <ns0:v>Footprints\MY_LIB_Inductors.PcbLib</ns0:v>
      </ns0:c>
      <ns0:c r="P3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0" s="33"/>
      <ns0:c r="R30" t="str" s="34">
        <ns0:f>D30</ns0:f>
        <ns0:v>330 Ом @ 100 МГц</ns0:v>
      </ns0:c>
      <ns0:c r="S30" t="str" s="34">
        <ns0:f>K30</ns0:f>
        <ns0:v>Ферритовый фильтр BLM21PG331SN1J</ns0:v>
      </ns0:c>
      <ns0:c r="T30" t="str" s="33">
        <ns0:v>C:\Users\Nomatin\Documents\Altium\MY_LIB\MY_LIB\Datasheets\Ferrite_Beads\Murata_ENFA0005.pdf</ns0:v>
      </ns0:c>
      <ns0:c r="U30" t="str" s="33">
        <ns0:v>Даташит — локальный</ns0:v>
      </ns0:c>
      <ns0:c r="V30" t="str" s="33">
        <ns0:v>C:\Users\Nomatin\Documents\Altium\MY_LIB\MY_LIB\Datasheets\Ferrite_Beads\Murata_ENFA0005.pdf</ns0:v>
      </ns0:c>
      <ns0:c r="W30" t="str" s="33">
        <ns0:v>Даташит — производитель</ns0:v>
      </ns0:c>
      <ns0:c r="X30" t="str" s="33">
        <ns0:v>https://www.murata.com/products/productdata/8796738977822/ENFA0005.pdf</ns0:v>
      </ns0:c>
      <ns0:c r="Y30" t="str" s="33">
        <ns0:v>C:\Users\Nomatin\Documents\Altium\MY_LIB\MY_LIB\Datasheets\Ferrite_Beads\Murata_ENFA0005.pdf</ns0:v>
      </ns0:c>
      <ns0:c r="Z30" t="n" s="33">
        <ns0:v>330</ns0:v>
      </ns0:c>
      <ns0:c r="AA30" t="n" s="33">
        <ns0:v>100</ns0:v>
      </ns0:c>
      <ns0:c r="AB30" t="n" s="33">
        <ns0:v>1.5</ns0:v>
      </ns0:c>
      <ns0:c r="AC30" t="n" s="33">
        <ns0:v>1</ns0:v>
      </ns0:c>
      <ns0:c r="AD30" t="n" s="33">
        <ns0:v>0.07</ns0:v>
      </ns0:c>
      <ns0:c r="AE30" t="n" s="33">
        <ns0:v>-55</ns0:v>
      </ns0:c>
      <ns0:c r="AF30" t="n" s="33">
        <ns0:v>125</ns0:v>
      </ns0:c>
      <ns0:c r="AG30" t="str" s="33">
        <ns0:v>TA, °C; rated current at 85°C / 125°C</ns0:v>
      </ns0:c>
      <ns0:c r="AH30" t="str" s="33">
        <ns0:v>BLM21PG</ns0:v>
      </ns0:c>
      <ns0:c r="AI30" t="str" s="33">
        <ns0:v>Consumer/industrial</ns0:v>
      </ns0:c>
      <ns0:c r="AJ30" t="str" s="33">
        <ns0:v>330 mm paper tape</ns0:v>
      </ns0:c>
      <ns0:c r="AK30" t="n" s="33">
        <ns0:v>10000</ns0:v>
      </ns0:c>
      <ns0:c r="AL30" t="str" s="33">
        <ns0:v>JENF243A_0005AE-01</ns0:v>
      </ns0:c>
    </ns0:row>
    <ns0:row r="31" ht="72" customHeight="1">
      <ns0:c r="A31" t="str" s="33">
        <ns0:v>L0030</ns0:v>
      </ns0:c>
      <ns0:c r="B31" t="str" s="33">
        <ns0:v>Ферритовый фильтр</ns0:v>
      </ns0:c>
      <ns0:c r="C31" t="str" s="33">
        <ns0:v>330 Ом @ 100 МГц</ns0:v>
      </ns0:c>
      <ns0:c r="D31" t="str" s="34">
        <ns0:f>C31</ns0:f>
        <ns0:v>330 Ом @ 100 МГц</ns0:v>
      </ns0:c>
      <ns0:c r="E31" t="str" s="33">
        <ns0:v>±25%</ns0:v>
      </ns0:c>
      <ns0:c r="F31" s="33"/>
      <ns0:c r="G31" s="33"/>
      <ns0:c r="H31" t="str" s="35">
        <ns0:v>0805</ns0:v>
      </ns0:c>
      <ns0:c r="I31" t="str" s="33">
        <ns0:v>Murata</ns0:v>
      </ns0:c>
      <ns0:c r="J31" t="str" s="33">
        <ns0:v>BLM21PG331SN1B</ns0:v>
      </ns0:c>
      <ns0:c r="K31" t="str" s="34">
        <ns0:f>B31&amp;" "&amp;J31</ns0:f>
        <ns0:v>Ферритовый фильтр BLM21PG331SN1B</ns0:v>
      </ns0:c>
      <ns0:c r="L31" t="str" s="36">
        <ns0:v>Ferrite_Bead</ns0:v>
      </ns0:c>
      <ns0:c r="M31" t="str" s="36">
        <ns0:v>Symbols\MY_LIB_Inductors.SchLib</ns0:v>
      </ns0:c>
      <ns0:c r="N31" t="str" s="36">
        <ns0:v>Murata_BLM21PG_2012_Reflow</ns0:v>
      </ns0:c>
      <ns0:c r="O31" t="str" s="36">
        <ns0:v>Footprints\MY_LIB_Inductors.PcbLib</ns0:v>
      </ns0:c>
      <ns0:c r="P3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1" s="33"/>
      <ns0:c r="R31" t="str" s="34">
        <ns0:f>D31</ns0:f>
        <ns0:v>330 Ом @ 100 МГц</ns0:v>
      </ns0:c>
      <ns0:c r="S31" t="str" s="34">
        <ns0:f>K31</ns0:f>
        <ns0:v>Ферритовый фильтр BLM21PG331SN1B</ns0:v>
      </ns0:c>
      <ns0:c r="T31" t="str" s="33">
        <ns0:v>C:\Users\Nomatin\Documents\Altium\MY_LIB\MY_LIB\Datasheets\Ferrite_Beads\Murata_ENFA0005.pdf</ns0:v>
      </ns0:c>
      <ns0:c r="U31" t="str" s="33">
        <ns0:v>Даташит — локальный</ns0:v>
      </ns0:c>
      <ns0:c r="V31" t="str" s="33">
        <ns0:v>C:\Users\Nomatin\Documents\Altium\MY_LIB\MY_LIB\Datasheets\Ferrite_Beads\Murata_ENFA0005.pdf</ns0:v>
      </ns0:c>
      <ns0:c r="W31" t="str" s="33">
        <ns0:v>Даташит — производитель</ns0:v>
      </ns0:c>
      <ns0:c r="X31" t="str" s="33">
        <ns0:v>https://www.murata.com/products/productdata/8796738977822/ENFA0005.pdf</ns0:v>
      </ns0:c>
      <ns0:c r="Y31" t="str" s="33">
        <ns0:v>C:\Users\Nomatin\Documents\Altium\MY_LIB\MY_LIB\Datasheets\Ferrite_Beads\Murata_ENFA0005.pdf</ns0:v>
      </ns0:c>
      <ns0:c r="Z31" t="n" s="33">
        <ns0:v>330</ns0:v>
      </ns0:c>
      <ns0:c r="AA31" t="n" s="33">
        <ns0:v>100</ns0:v>
      </ns0:c>
      <ns0:c r="AB31" t="n" s="33">
        <ns0:v>1.5</ns0:v>
      </ns0:c>
      <ns0:c r="AC31" t="n" s="33">
        <ns0:v>1</ns0:v>
      </ns0:c>
      <ns0:c r="AD31" t="n" s="33">
        <ns0:v>0.07</ns0:v>
      </ns0:c>
      <ns0:c r="AE31" t="n" s="33">
        <ns0:v>-55</ns0:v>
      </ns0:c>
      <ns0:c r="AF31" t="n" s="33">
        <ns0:v>125</ns0:v>
      </ns0:c>
      <ns0:c r="AG31" t="str" s="33">
        <ns0:v>TA, °C; rated current at 85°C / 125°C</ns0:v>
      </ns0:c>
      <ns0:c r="AH31" t="str" s="33">
        <ns0:v>BLM21PG</ns0:v>
      </ns0:c>
      <ns0:c r="AI31" t="str" s="33">
        <ns0:v>Consumer/industrial</ns0:v>
      </ns0:c>
      <ns0:c r="AJ31" t="str" s="33">
        <ns0:v>Bulk (bag)</ns0:v>
      </ns0:c>
      <ns0:c r="AK31" t="n" s="33">
        <ns0:v>1000</ns0:v>
      </ns0:c>
      <ns0:c r="AL31" t="str" s="33">
        <ns0:v>JENF243A_0005AE-01</ns0:v>
      </ns0:c>
    </ns0:row>
    <ns0:row r="32" ht="72" customHeight="1">
      <ns0:c r="A32" t="str" s="33">
        <ns0:v>L0031</ns0:v>
      </ns0:c>
      <ns0:c r="B32" t="str" s="33">
        <ns0:v>Ферритовый фильтр</ns0:v>
      </ns0:c>
      <ns0:c r="C32" t="str" s="33">
        <ns0:v>600 Ом @ 100 МГц</ns0:v>
      </ns0:c>
      <ns0:c r="D32" t="str" s="34">
        <ns0:f>C32</ns0:f>
        <ns0:v>600 Ом @ 100 МГц</ns0:v>
      </ns0:c>
      <ns0:c r="E32" t="str" s="33">
        <ns0:v>±25%</ns0:v>
      </ns0:c>
      <ns0:c r="F32" s="33"/>
      <ns0:c r="G32" s="33"/>
      <ns0:c r="H32" t="str" s="35">
        <ns0:v>0805</ns0:v>
      </ns0:c>
      <ns0:c r="I32" t="str" s="33">
        <ns0:v>Murata</ns0:v>
      </ns0:c>
      <ns0:c r="J32" t="str" s="33">
        <ns0:v>BLM21PG601SN1D</ns0:v>
      </ns0:c>
      <ns0:c r="K32" t="str" s="34">
        <ns0:f>B32&amp;" "&amp;J32</ns0:f>
        <ns0:v>Ферритовый фильтр BLM21PG601SN1D</ns0:v>
      </ns0:c>
      <ns0:c r="L32" t="str" s="36">
        <ns0:v>Ferrite_Bead</ns0:v>
      </ns0:c>
      <ns0:c r="M32" t="str" s="36">
        <ns0:v>Symbols\MY_LIB_Inductors.SchLib</ns0:v>
      </ns0:c>
      <ns0:c r="N32" t="str" s="36">
        <ns0:v>Murata_BLM21PG_2012_Reflow</ns0:v>
      </ns0:c>
      <ns0:c r="O32" t="str" s="36">
        <ns0:v>Footprints\MY_LIB_Inductors.PcbLib</ns0:v>
      </ns0:c>
      <ns0:c r="P3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2" s="33"/>
      <ns0:c r="R32" t="str" s="34">
        <ns0:f>D32</ns0:f>
        <ns0:v>600 Ом @ 100 МГц</ns0:v>
      </ns0:c>
      <ns0:c r="S32" t="str" s="34">
        <ns0:f>K32</ns0:f>
        <ns0:v>Ферритовый фильтр BLM21PG601SN1D</ns0:v>
      </ns0:c>
      <ns0:c r="T32" t="str" s="33">
        <ns0:v>C:\Users\Nomatin\Documents\Altium\MY_LIB\MY_LIB\Datasheets\Ferrite_Beads\Murata_ENFA0005.pdf</ns0:v>
      </ns0:c>
      <ns0:c r="U32" t="str" s="33">
        <ns0:v>Даташит — локальный</ns0:v>
      </ns0:c>
      <ns0:c r="V32" t="str" s="33">
        <ns0:v>C:\Users\Nomatin\Documents\Altium\MY_LIB\MY_LIB\Datasheets\Ferrite_Beads\Murata_ENFA0005.pdf</ns0:v>
      </ns0:c>
      <ns0:c r="W32" t="str" s="33">
        <ns0:v>Даташит — производитель</ns0:v>
      </ns0:c>
      <ns0:c r="X32" t="str" s="33">
        <ns0:v>https://www.murata.com/products/productdata/8796738977822/ENFA0005.pdf</ns0:v>
      </ns0:c>
      <ns0:c r="Y32" t="str" s="33">
        <ns0:v>C:\Users\Nomatin\Documents\Altium\MY_LIB\MY_LIB\Datasheets\Ferrite_Beads\Murata_ENFA0005.pdf</ns0:v>
      </ns0:c>
      <ns0:c r="Z32" t="n" s="33">
        <ns0:v>600</ns0:v>
      </ns0:c>
      <ns0:c r="AA32" t="n" s="33">
        <ns0:v>100</ns0:v>
      </ns0:c>
      <ns0:c r="AB32" t="n" s="33">
        <ns0:v>1.4</ns0:v>
      </ns0:c>
      <ns0:c r="AC32" t="n" s="33">
        <ns0:v>0.9</ns0:v>
      </ns0:c>
      <ns0:c r="AD32" t="n" s="33">
        <ns0:v>0.14</ns0:v>
      </ns0:c>
      <ns0:c r="AE32" t="n" s="33">
        <ns0:v>-55</ns0:v>
      </ns0:c>
      <ns0:c r="AF32" t="n" s="33">
        <ns0:v>125</ns0:v>
      </ns0:c>
      <ns0:c r="AG32" t="str" s="33">
        <ns0:v>TA, °C; rated current at 85°C / 125°C</ns0:v>
      </ns0:c>
      <ns0:c r="AH32" t="str" s="33">
        <ns0:v>BLM21PG</ns0:v>
      </ns0:c>
      <ns0:c r="AI32" t="str" s="33">
        <ns0:v>Consumer/industrial</ns0:v>
      </ns0:c>
      <ns0:c r="AJ32" t="str" s="33">
        <ns0:v>180 mm paper tape</ns0:v>
      </ns0:c>
      <ns0:c r="AK32" t="n" s="33">
        <ns0:v>4000</ns0:v>
      </ns0:c>
      <ns0:c r="AL32" t="str" s="33">
        <ns0:v>JENF243A_0005AE-01</ns0:v>
      </ns0:c>
    </ns0:row>
    <ns0:row r="33" ht="72" customHeight="1">
      <ns0:c r="A33" t="str" s="33">
        <ns0:v>L0032</ns0:v>
      </ns0:c>
      <ns0:c r="B33" t="str" s="33">
        <ns0:v>Ферритовый фильтр</ns0:v>
      </ns0:c>
      <ns0:c r="C33" t="str" s="33">
        <ns0:v>600 Ом @ 100 МГц</ns0:v>
      </ns0:c>
      <ns0:c r="D33" t="str" s="34">
        <ns0:f>C33</ns0:f>
        <ns0:v>600 Ом @ 100 МГц</ns0:v>
      </ns0:c>
      <ns0:c r="E33" t="str" s="33">
        <ns0:v>±25%</ns0:v>
      </ns0:c>
      <ns0:c r="F33" s="33"/>
      <ns0:c r="G33" s="33"/>
      <ns0:c r="H33" t="str" s="35">
        <ns0:v>0805</ns0:v>
      </ns0:c>
      <ns0:c r="I33" t="str" s="33">
        <ns0:v>Murata</ns0:v>
      </ns0:c>
      <ns0:c r="J33" t="str" s="33">
        <ns0:v>BLM21PG601SN1J</ns0:v>
      </ns0:c>
      <ns0:c r="K33" t="str" s="34">
        <ns0:f>B33&amp;" "&amp;J33</ns0:f>
        <ns0:v>Ферритовый фильтр BLM21PG601SN1J</ns0:v>
      </ns0:c>
      <ns0:c r="L33" t="str" s="36">
        <ns0:v>Ferrite_Bead</ns0:v>
      </ns0:c>
      <ns0:c r="M33" t="str" s="36">
        <ns0:v>Symbols\MY_LIB_Inductors.SchLib</ns0:v>
      </ns0:c>
      <ns0:c r="N33" t="str" s="36">
        <ns0:v>Murata_BLM21PG_2012_Reflow</ns0:v>
      </ns0:c>
      <ns0:c r="O33" t="str" s="36">
        <ns0:v>Footprints\MY_LIB_Inductors.PcbLib</ns0:v>
      </ns0:c>
      <ns0:c r="P3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3" s="33"/>
      <ns0:c r="R33" t="str" s="34">
        <ns0:f>D33</ns0:f>
        <ns0:v>600 Ом @ 100 МГц</ns0:v>
      </ns0:c>
      <ns0:c r="S33" t="str" s="34">
        <ns0:f>K33</ns0:f>
        <ns0:v>Ферритовый фильтр BLM21PG601SN1J</ns0:v>
      </ns0:c>
      <ns0:c r="T33" t="str" s="33">
        <ns0:v>C:\Users\Nomatin\Documents\Altium\MY_LIB\MY_LIB\Datasheets\Ferrite_Beads\Murata_ENFA0005.pdf</ns0:v>
      </ns0:c>
      <ns0:c r="U33" t="str" s="33">
        <ns0:v>Даташит — локальный</ns0:v>
      </ns0:c>
      <ns0:c r="V33" t="str" s="33">
        <ns0:v>C:\Users\Nomatin\Documents\Altium\MY_LIB\MY_LIB\Datasheets\Ferrite_Beads\Murata_ENFA0005.pdf</ns0:v>
      </ns0:c>
      <ns0:c r="W33" t="str" s="33">
        <ns0:v>Даташит — производитель</ns0:v>
      </ns0:c>
      <ns0:c r="X33" t="str" s="33">
        <ns0:v>https://www.murata.com/products/productdata/8796738977822/ENFA0005.pdf</ns0:v>
      </ns0:c>
      <ns0:c r="Y33" t="str" s="33">
        <ns0:v>C:\Users\Nomatin\Documents\Altium\MY_LIB\MY_LIB\Datasheets\Ferrite_Beads\Murata_ENFA0005.pdf</ns0:v>
      </ns0:c>
      <ns0:c r="Z33" t="n" s="33">
        <ns0:v>600</ns0:v>
      </ns0:c>
      <ns0:c r="AA33" t="n" s="33">
        <ns0:v>100</ns0:v>
      </ns0:c>
      <ns0:c r="AB33" t="n" s="33">
        <ns0:v>1.4</ns0:v>
      </ns0:c>
      <ns0:c r="AC33" t="n" s="33">
        <ns0:v>0.9</ns0:v>
      </ns0:c>
      <ns0:c r="AD33" t="n" s="33">
        <ns0:v>0.14</ns0:v>
      </ns0:c>
      <ns0:c r="AE33" t="n" s="33">
        <ns0:v>-55</ns0:v>
      </ns0:c>
      <ns0:c r="AF33" t="n" s="33">
        <ns0:v>125</ns0:v>
      </ns0:c>
      <ns0:c r="AG33" t="str" s="33">
        <ns0:v>TA, °C; rated current at 85°C / 125°C</ns0:v>
      </ns0:c>
      <ns0:c r="AH33" t="str" s="33">
        <ns0:v>BLM21PG</ns0:v>
      </ns0:c>
      <ns0:c r="AI33" t="str" s="33">
        <ns0:v>Consumer/industrial</ns0:v>
      </ns0:c>
      <ns0:c r="AJ33" t="str" s="33">
        <ns0:v>330 mm paper tape</ns0:v>
      </ns0:c>
      <ns0:c r="AK33" t="n" s="33">
        <ns0:v>10000</ns0:v>
      </ns0:c>
      <ns0:c r="AL33" t="str" s="33">
        <ns0:v>JENF243A_0005AE-01</ns0:v>
      </ns0:c>
    </ns0:row>
    <ns0:row r="34" ht="72" customHeight="1">
      <ns0:c r="A34" t="str" s="33">
        <ns0:v>L0033</ns0:v>
      </ns0:c>
      <ns0:c r="B34" t="str" s="33">
        <ns0:v>Ферритовый фильтр</ns0:v>
      </ns0:c>
      <ns0:c r="C34" t="str" s="33">
        <ns0:v>600 Ом @ 100 МГц</ns0:v>
      </ns0:c>
      <ns0:c r="D34" t="str" s="34">
        <ns0:f>C34</ns0:f>
        <ns0:v>600 Ом @ 100 МГц</ns0:v>
      </ns0:c>
      <ns0:c r="E34" t="str" s="33">
        <ns0:v>±25%</ns0:v>
      </ns0:c>
      <ns0:c r="F34" s="33"/>
      <ns0:c r="G34" s="33"/>
      <ns0:c r="H34" t="str" s="35">
        <ns0:v>0805</ns0:v>
      </ns0:c>
      <ns0:c r="I34" t="str" s="33">
        <ns0:v>Murata</ns0:v>
      </ns0:c>
      <ns0:c r="J34" t="str" s="33">
        <ns0:v>BLM21PG601SN1B</ns0:v>
      </ns0:c>
      <ns0:c r="K34" t="str" s="34">
        <ns0:f>B34&amp;" "&amp;J34</ns0:f>
        <ns0:v>Ферритовый фильтр BLM21PG601SN1B</ns0:v>
      </ns0:c>
      <ns0:c r="L34" t="str" s="36">
        <ns0:v>Ferrite_Bead</ns0:v>
      </ns0:c>
      <ns0:c r="M34" t="str" s="36">
        <ns0:v>Symbols\MY_LIB_Inductors.SchLib</ns0:v>
      </ns0:c>
      <ns0:c r="N34" t="str" s="36">
        <ns0:v>Murata_BLM21PG_2012_Reflow</ns0:v>
      </ns0:c>
      <ns0:c r="O34" t="str" s="36">
        <ns0:v>Footprints\MY_LIB_Inductors.PcbLib</ns0:v>
      </ns0:c>
      <ns0:c r="P3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4" s="33"/>
      <ns0:c r="R34" t="str" s="34">
        <ns0:f>D34</ns0:f>
        <ns0:v>600 Ом @ 100 МГц</ns0:v>
      </ns0:c>
      <ns0:c r="S34" t="str" s="34">
        <ns0:f>K34</ns0:f>
        <ns0:v>Ферритовый фильтр BLM21PG601SN1B</ns0:v>
      </ns0:c>
      <ns0:c r="T34" t="str" s="33">
        <ns0:v>C:\Users\Nomatin\Documents\Altium\MY_LIB\MY_LIB\Datasheets\Ferrite_Beads\Murata_ENFA0005.pdf</ns0:v>
      </ns0:c>
      <ns0:c r="U34" t="str" s="33">
        <ns0:v>Даташит — локальный</ns0:v>
      </ns0:c>
      <ns0:c r="V34" t="str" s="33">
        <ns0:v>C:\Users\Nomatin\Documents\Altium\MY_LIB\MY_LIB\Datasheets\Ferrite_Beads\Murata_ENFA0005.pdf</ns0:v>
      </ns0:c>
      <ns0:c r="W34" t="str" s="33">
        <ns0:v>Даташит — производитель</ns0:v>
      </ns0:c>
      <ns0:c r="X34" t="str" s="33">
        <ns0:v>https://www.murata.com/products/productdata/8796738977822/ENFA0005.pdf</ns0:v>
      </ns0:c>
      <ns0:c r="Y34" t="str" s="33">
        <ns0:v>C:\Users\Nomatin\Documents\Altium\MY_LIB\MY_LIB\Datasheets\Ferrite_Beads\Murata_ENFA0005.pdf</ns0:v>
      </ns0:c>
      <ns0:c r="Z34" t="n" s="33">
        <ns0:v>600</ns0:v>
      </ns0:c>
      <ns0:c r="AA34" t="n" s="33">
        <ns0:v>100</ns0:v>
      </ns0:c>
      <ns0:c r="AB34" t="n" s="33">
        <ns0:v>1.4</ns0:v>
      </ns0:c>
      <ns0:c r="AC34" t="n" s="33">
        <ns0:v>0.9</ns0:v>
      </ns0:c>
      <ns0:c r="AD34" t="n" s="33">
        <ns0:v>0.14</ns0:v>
      </ns0:c>
      <ns0:c r="AE34" t="n" s="33">
        <ns0:v>-55</ns0:v>
      </ns0:c>
      <ns0:c r="AF34" t="n" s="33">
        <ns0:v>125</ns0:v>
      </ns0:c>
      <ns0:c r="AG34" t="str" s="33">
        <ns0:v>TA, °C; rated current at 85°C / 125°C</ns0:v>
      </ns0:c>
      <ns0:c r="AH34" t="str" s="33">
        <ns0:v>BLM21PG</ns0:v>
      </ns0:c>
      <ns0:c r="AI34" t="str" s="33">
        <ns0:v>Consumer/industrial</ns0:v>
      </ns0:c>
      <ns0:c r="AJ34" t="str" s="33">
        <ns0:v>Bulk (bag)</ns0:v>
      </ns0:c>
      <ns0:c r="AK34" t="n" s="33">
        <ns0:v>1000</ns0:v>
      </ns0:c>
      <ns0:c r="AL34" t="str" s="33">
        <ns0:v>JENF243A_0005AE-01</ns0:v>
      </ns0:c>
    </ns0:row>
    <ns0:row r="35" ht="72" customHeight="1">
      <ns0:c r="A35" t="str" s="33">
        <ns0:v>L0034</ns0:v>
      </ns0:c>
      <ns0:c r="B35" t="str" s="33">
        <ns0:v>Ферритовый фильтр</ns0:v>
      </ns0:c>
      <ns0:c r="C35" t="str" s="33">
        <ns0:v>1000 Ом @ 100 МГц</ns0:v>
      </ns0:c>
      <ns0:c r="D35" t="str" s="34">
        <ns0:f>C35</ns0:f>
        <ns0:v>1000 Ом @ 100 МГц</ns0:v>
      </ns0:c>
      <ns0:c r="E35" t="str" s="33">
        <ns0:v>±25%</ns0:v>
      </ns0:c>
      <ns0:c r="F35" s="33"/>
      <ns0:c r="G35" s="33"/>
      <ns0:c r="H35" t="str" s="35">
        <ns0:v>0805</ns0:v>
      </ns0:c>
      <ns0:c r="I35" t="str" s="33">
        <ns0:v>Murata</ns0:v>
      </ns0:c>
      <ns0:c r="J35" t="str" s="33">
        <ns0:v>BLM21PG102SN1D</ns0:v>
      </ns0:c>
      <ns0:c r="K35" t="str" s="34">
        <ns0:f>B35&amp;" "&amp;J35</ns0:f>
        <ns0:v>Ферритовый фильтр BLM21PG102SN1D</ns0:v>
      </ns0:c>
      <ns0:c r="L35" t="str" s="36">
        <ns0:v>Ferrite_Bead</ns0:v>
      </ns0:c>
      <ns0:c r="M35" t="str" s="36">
        <ns0:v>Symbols\MY_LIB_Inductors.SchLib</ns0:v>
      </ns0:c>
      <ns0:c r="N35" t="str" s="36">
        <ns0:v>Murata_BLM21PG_2012_Reflow</ns0:v>
      </ns0:c>
      <ns0:c r="O35" t="str" s="36">
        <ns0:v>Footprints\MY_LIB_Inductors.PcbLib</ns0:v>
      </ns0:c>
      <ns0:c r="P3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5" s="33"/>
      <ns0:c r="R35" t="str" s="34">
        <ns0:f>D35</ns0:f>
        <ns0:v>1000 Ом @ 100 МГц</ns0:v>
      </ns0:c>
      <ns0:c r="S35" t="str" s="34">
        <ns0:f>K35</ns0:f>
        <ns0:v>Ферритовый фильтр BLM21PG102SN1D</ns0:v>
      </ns0:c>
      <ns0:c r="T35" t="str" s="33">
        <ns0:v>C:\Users\Nomatin\Documents\Altium\MY_LIB\MY_LIB\Datasheets\Ferrite_Beads\Murata_ENFA0005.pdf</ns0:v>
      </ns0:c>
      <ns0:c r="U35" t="str" s="33">
        <ns0:v>Даташит — локальный</ns0:v>
      </ns0:c>
      <ns0:c r="V35" t="str" s="33">
        <ns0:v>C:\Users\Nomatin\Documents\Altium\MY_LIB\MY_LIB\Datasheets\Ferrite_Beads\Murata_ENFA0005.pdf</ns0:v>
      </ns0:c>
      <ns0:c r="W35" t="str" s="33">
        <ns0:v>Даташит — производитель</ns0:v>
      </ns0:c>
      <ns0:c r="X35" t="str" s="33">
        <ns0:v>https://www.murata.com/products/productdata/8796738977822/ENFA0005.pdf</ns0:v>
      </ns0:c>
      <ns0:c r="Y35" t="str" s="33">
        <ns0:v>C:\Users\Nomatin\Documents\Altium\MY_LIB\MY_LIB\Datasheets\Ferrite_Beads\Murata_ENFA0005.pdf</ns0:v>
      </ns0:c>
      <ns0:c r="Z35" t="n" s="33">
        <ns0:v>1000</ns0:v>
      </ns0:c>
      <ns0:c r="AA35" t="n" s="33">
        <ns0:v>100</ns0:v>
      </ns0:c>
      <ns0:c r="AB35" t="n" s="33">
        <ns0:v>1.15</ns0:v>
      </ns0:c>
      <ns0:c r="AC35" t="n" s="33">
        <ns0:v>0.7</ns0:v>
      </ns0:c>
      <ns0:c r="AD35" t="n" s="33">
        <ns0:v>0.2</ns0:v>
      </ns0:c>
      <ns0:c r="AE35" t="n" s="33">
        <ns0:v>-55</ns0:v>
      </ns0:c>
      <ns0:c r="AF35" t="n" s="33">
        <ns0:v>125</ns0:v>
      </ns0:c>
      <ns0:c r="AG35" t="str" s="33">
        <ns0:v>TA, °C; rated current at 85°C / 125°C</ns0:v>
      </ns0:c>
      <ns0:c r="AH35" t="str" s="33">
        <ns0:v>BLM21PG</ns0:v>
      </ns0:c>
      <ns0:c r="AI35" t="str" s="33">
        <ns0:v>Consumer/industrial</ns0:v>
      </ns0:c>
      <ns0:c r="AJ35" t="str" s="33">
        <ns0:v>180 mm paper tape</ns0:v>
      </ns0:c>
      <ns0:c r="AK35" t="n" s="33">
        <ns0:v>4000</ns0:v>
      </ns0:c>
      <ns0:c r="AL35" t="str" s="33">
        <ns0:v>JENF243A_0005AE-01</ns0:v>
      </ns0:c>
    </ns0:row>
    <ns0:row r="36" ht="72" customHeight="1">
      <ns0:c r="A36" t="str" s="33">
        <ns0:v>L0035</ns0:v>
      </ns0:c>
      <ns0:c r="B36" t="str" s="33">
        <ns0:v>Ферритовый фильтр</ns0:v>
      </ns0:c>
      <ns0:c r="C36" t="str" s="33">
        <ns0:v>1000 Ом @ 100 МГц</ns0:v>
      </ns0:c>
      <ns0:c r="D36" t="str" s="34">
        <ns0:f>C36</ns0:f>
        <ns0:v>1000 Ом @ 100 МГц</ns0:v>
      </ns0:c>
      <ns0:c r="E36" t="str" s="33">
        <ns0:v>±25%</ns0:v>
      </ns0:c>
      <ns0:c r="F36" s="33"/>
      <ns0:c r="G36" s="33"/>
      <ns0:c r="H36" t="str" s="35">
        <ns0:v>0805</ns0:v>
      </ns0:c>
      <ns0:c r="I36" t="str" s="33">
        <ns0:v>Murata</ns0:v>
      </ns0:c>
      <ns0:c r="J36" t="str" s="33">
        <ns0:v>BLM21PG102SN1J</ns0:v>
      </ns0:c>
      <ns0:c r="K36" t="str" s="34">
        <ns0:f>B36&amp;" "&amp;J36</ns0:f>
        <ns0:v>Ферритовый фильтр BLM21PG102SN1J</ns0:v>
      </ns0:c>
      <ns0:c r="L36" t="str" s="36">
        <ns0:v>Ferrite_Bead</ns0:v>
      </ns0:c>
      <ns0:c r="M36" t="str" s="36">
        <ns0:v>Symbols\MY_LIB_Inductors.SchLib</ns0:v>
      </ns0:c>
      <ns0:c r="N36" t="str" s="36">
        <ns0:v>Murata_BLM21PG_2012_Reflow</ns0:v>
      </ns0:c>
      <ns0:c r="O36" t="str" s="36">
        <ns0:v>Footprints\MY_LIB_Inductors.PcbLib</ns0:v>
      </ns0:c>
      <ns0:c r="P3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6" s="33"/>
      <ns0:c r="R36" t="str" s="34">
        <ns0:f>D36</ns0:f>
        <ns0:v>1000 Ом @ 100 МГц</ns0:v>
      </ns0:c>
      <ns0:c r="S36" t="str" s="34">
        <ns0:f>K36</ns0:f>
        <ns0:v>Ферритовый фильтр BLM21PG102SN1J</ns0:v>
      </ns0:c>
      <ns0:c r="T36" t="str" s="33">
        <ns0:v>C:\Users\Nomatin\Documents\Altium\MY_LIB\MY_LIB\Datasheets\Ferrite_Beads\Murata_ENFA0005.pdf</ns0:v>
      </ns0:c>
      <ns0:c r="U36" t="str" s="33">
        <ns0:v>Даташит — локальный</ns0:v>
      </ns0:c>
      <ns0:c r="V36" t="str" s="33">
        <ns0:v>C:\Users\Nomatin\Documents\Altium\MY_LIB\MY_LIB\Datasheets\Ferrite_Beads\Murata_ENFA0005.pdf</ns0:v>
      </ns0:c>
      <ns0:c r="W36" t="str" s="33">
        <ns0:v>Даташит — производитель</ns0:v>
      </ns0:c>
      <ns0:c r="X36" t="str" s="33">
        <ns0:v>https://www.murata.com/products/productdata/8796738977822/ENFA0005.pdf</ns0:v>
      </ns0:c>
      <ns0:c r="Y36" t="str" s="33">
        <ns0:v>C:\Users\Nomatin\Documents\Altium\MY_LIB\MY_LIB\Datasheets\Ferrite_Beads\Murata_ENFA0005.pdf</ns0:v>
      </ns0:c>
      <ns0:c r="Z36" t="n" s="33">
        <ns0:v>1000</ns0:v>
      </ns0:c>
      <ns0:c r="AA36" t="n" s="33">
        <ns0:v>100</ns0:v>
      </ns0:c>
      <ns0:c r="AB36" t="n" s="33">
        <ns0:v>1.15</ns0:v>
      </ns0:c>
      <ns0:c r="AC36" t="n" s="33">
        <ns0:v>0.7</ns0:v>
      </ns0:c>
      <ns0:c r="AD36" t="n" s="33">
        <ns0:v>0.2</ns0:v>
      </ns0:c>
      <ns0:c r="AE36" t="n" s="33">
        <ns0:v>-55</ns0:v>
      </ns0:c>
      <ns0:c r="AF36" t="n" s="33">
        <ns0:v>125</ns0:v>
      </ns0:c>
      <ns0:c r="AG36" t="str" s="33">
        <ns0:v>TA, °C; rated current at 85°C / 125°C</ns0:v>
      </ns0:c>
      <ns0:c r="AH36" t="str" s="33">
        <ns0:v>BLM21PG</ns0:v>
      </ns0:c>
      <ns0:c r="AI36" t="str" s="33">
        <ns0:v>Consumer/industrial</ns0:v>
      </ns0:c>
      <ns0:c r="AJ36" t="str" s="33">
        <ns0:v>330 mm paper tape</ns0:v>
      </ns0:c>
      <ns0:c r="AK36" t="n" s="33">
        <ns0:v>10000</ns0:v>
      </ns0:c>
      <ns0:c r="AL36" t="str" s="33">
        <ns0:v>JENF243A_0005AE-01</ns0:v>
      </ns0:c>
    </ns0:row>
    <ns0:row r="37" ht="72" customHeight="1">
      <ns0:c r="A37" t="str" s="33">
        <ns0:v>L0036</ns0:v>
      </ns0:c>
      <ns0:c r="B37" t="str" s="33">
        <ns0:v>Ферритовый фильтр</ns0:v>
      </ns0:c>
      <ns0:c r="C37" t="str" s="33">
        <ns0:v>1000 Ом @ 100 МГц</ns0:v>
      </ns0:c>
      <ns0:c r="D37" t="str" s="34">
        <ns0:f>C37</ns0:f>
        <ns0:v>1000 Ом @ 100 МГц</ns0:v>
      </ns0:c>
      <ns0:c r="E37" t="str" s="33">
        <ns0:v>±25%</ns0:v>
      </ns0:c>
      <ns0:c r="F37" s="33"/>
      <ns0:c r="G37" s="33"/>
      <ns0:c r="H37" t="str" s="35">
        <ns0:v>0805</ns0:v>
      </ns0:c>
      <ns0:c r="I37" t="str" s="33">
        <ns0:v>Murata</ns0:v>
      </ns0:c>
      <ns0:c r="J37" t="str" s="33">
        <ns0:v>BLM21PG102SN1B</ns0:v>
      </ns0:c>
      <ns0:c r="K37" t="str" s="34">
        <ns0:f>B37&amp;" "&amp;J37</ns0:f>
        <ns0:v>Ферритовый фильтр BLM21PG102SN1B</ns0:v>
      </ns0:c>
      <ns0:c r="L37" t="str" s="36">
        <ns0:v>Ferrite_Bead</ns0:v>
      </ns0:c>
      <ns0:c r="M37" t="str" s="36">
        <ns0:v>Symbols\MY_LIB_Inductors.SchLib</ns0:v>
      </ns0:c>
      <ns0:c r="N37" t="str" s="36">
        <ns0:v>Murata_BLM21PG_2012_Reflow</ns0:v>
      </ns0:c>
      <ns0:c r="O37" t="str" s="36">
        <ns0:v>Footprints\MY_LIB_Inductors.PcbLib</ns0:v>
      </ns0:c>
      <ns0:c r="P3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7" s="33"/>
      <ns0:c r="R37" t="str" s="34">
        <ns0:f>D37</ns0:f>
        <ns0:v>1000 Ом @ 100 МГц</ns0:v>
      </ns0:c>
      <ns0:c r="S37" t="str" s="34">
        <ns0:f>K37</ns0:f>
        <ns0:v>Ферритовый фильтр BLM21PG102SN1B</ns0:v>
      </ns0:c>
      <ns0:c r="T37" t="str" s="33">
        <ns0:v>C:\Users\Nomatin\Documents\Altium\MY_LIB\MY_LIB\Datasheets\Ferrite_Beads\Murata_ENFA0005.pdf</ns0:v>
      </ns0:c>
      <ns0:c r="U37" t="str" s="33">
        <ns0:v>Даташит — локальный</ns0:v>
      </ns0:c>
      <ns0:c r="V37" t="str" s="33">
        <ns0:v>C:\Users\Nomatin\Documents\Altium\MY_LIB\MY_LIB\Datasheets\Ferrite_Beads\Murata_ENFA0005.pdf</ns0:v>
      </ns0:c>
      <ns0:c r="W37" t="str" s="33">
        <ns0:v>Даташит — производитель</ns0:v>
      </ns0:c>
      <ns0:c r="X37" t="str" s="33">
        <ns0:v>https://www.murata.com/products/productdata/8796738977822/ENFA0005.pdf</ns0:v>
      </ns0:c>
      <ns0:c r="Y37" t="str" s="33">
        <ns0:v>C:\Users\Nomatin\Documents\Altium\MY_LIB\MY_LIB\Datasheets\Ferrite_Beads\Murata_ENFA0005.pdf</ns0:v>
      </ns0:c>
      <ns0:c r="Z37" t="n" s="33">
        <ns0:v>1000</ns0:v>
      </ns0:c>
      <ns0:c r="AA37" t="n" s="33">
        <ns0:v>100</ns0:v>
      </ns0:c>
      <ns0:c r="AB37" t="n" s="33">
        <ns0:v>1.15</ns0:v>
      </ns0:c>
      <ns0:c r="AC37" t="n" s="33">
        <ns0:v>0.7</ns0:v>
      </ns0:c>
      <ns0:c r="AD37" t="n" s="33">
        <ns0:v>0.2</ns0:v>
      </ns0:c>
      <ns0:c r="AE37" t="n" s="33">
        <ns0:v>-55</ns0:v>
      </ns0:c>
      <ns0:c r="AF37" t="n" s="33">
        <ns0:v>125</ns0:v>
      </ns0:c>
      <ns0:c r="AG37" t="str" s="33">
        <ns0:v>TA, °C; rated current at 85°C / 125°C</ns0:v>
      </ns0:c>
      <ns0:c r="AH37" t="str" s="33">
        <ns0:v>BLM21PG</ns0:v>
      </ns0:c>
      <ns0:c r="AI37" t="str" s="33">
        <ns0:v>Consumer/industrial</ns0:v>
      </ns0:c>
      <ns0:c r="AJ37" t="str" s="33">
        <ns0:v>Bulk (bag)</ns0:v>
      </ns0:c>
      <ns0:c r="AK37" t="n" s="33">
        <ns0:v>1000</ns0:v>
      </ns0:c>
      <ns0:c r="AL37" t="str" s="33">
        <ns0:v>JENF243A_0005AE-01</ns0:v>
      </ns0:c>
    </ns0:row>
    <ns0:row r="38" ht="72" customHeight="1">
      <ns0:c r="A38" t="str" s="33">
        <ns0:v>L0037</ns0:v>
      </ns0:c>
      <ns0:c r="B38" t="str" s="33">
        <ns0:v>Ферритовый фильтр</ns0:v>
      </ns0:c>
      <ns0:c r="C38" t="str" s="33">
        <ns0:v>22 Ом @ 100 МГц</ns0:v>
      </ns0:c>
      <ns0:c r="D38" t="str" s="34">
        <ns0:f>C38</ns0:f>
        <ns0:v>22 Ом @ 100 МГц</ns0:v>
      </ns0:c>
      <ns0:c r="E38" t="str" s="33">
        <ns0:v>±25%</ns0:v>
      </ns0:c>
      <ns0:c r="F38" s="33"/>
      <ns0:c r="G38" s="33"/>
      <ns0:c r="H38" t="str" s="35">
        <ns0:v>0805</ns0:v>
      </ns0:c>
      <ns0:c r="I38" t="str" s="33">
        <ns0:v>Murata</ns0:v>
      </ns0:c>
      <ns0:c r="J38" t="str" s="33">
        <ns0:v>BLM21PG220SH1D</ns0:v>
      </ns0:c>
      <ns0:c r="K38" t="str" s="34">
        <ns0:f>B38&amp;" "&amp;J38</ns0:f>
        <ns0:v>Ферритовый фильтр BLM21PG220SH1D</ns0:v>
      </ns0:c>
      <ns0:c r="L38" t="str" s="36">
        <ns0:v>Ferrite_Bead</ns0:v>
      </ns0:c>
      <ns0:c r="M38" t="str" s="36">
        <ns0:v>Symbols\MY_LIB_Inductors.SchLib</ns0:v>
      </ns0:c>
      <ns0:c r="N38" t="str" s="36">
        <ns0:v>Murata_BLM21PG_2012_Reflow</ns0:v>
      </ns0:c>
      <ns0:c r="O38" t="str" s="36">
        <ns0:v>Footprints\MY_LIB_Inductors.PcbLib</ns0:v>
      </ns0:c>
      <ns0:c r="P3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8" s="33"/>
      <ns0:c r="R38" t="str" s="34">
        <ns0:f>D38</ns0:f>
        <ns0:v>22 Ом @ 100 МГц</ns0:v>
      </ns0:c>
      <ns0:c r="S38" t="str" s="34">
        <ns0:f>K38</ns0:f>
        <ns0:v>Ферритовый фильтр BLM21PG220SH1D</ns0:v>
      </ns0:c>
      <ns0:c r="T38" t="str" s="33">
        <ns0:v>C:\Users\Nomatin\Documents\Altium\MY_LIB\MY_LIB\Datasheets\Ferrite_Beads\Murata_QNFA9102.pdf</ns0:v>
      </ns0:c>
      <ns0:c r="U38" t="str" s="33">
        <ns0:v>Даташит — локальный</ns0:v>
      </ns0:c>
      <ns0:c r="V38" t="str" s="33">
        <ns0:v>C:\Users\Nomatin\Documents\Altium\MY_LIB\MY_LIB\Datasheets\Ferrite_Beads\Murata_QNFA9102.pdf</ns0:v>
      </ns0:c>
      <ns0:c r="W38" t="str" s="33">
        <ns0:v>Даташит — производитель</ns0:v>
      </ns0:c>
      <ns0:c r="X38" t="str" s="33">
        <ns0:v>https://www.murata.com/products/productdata/8796740354078/QNFA9102.pdf</ns0:v>
      </ns0:c>
      <ns0:c r="Y38" t="str" s="33">
        <ns0:v>C:\Users\Nomatin\Documents\Altium\MY_LIB\MY_LIB\Datasheets\Ferrite_Beads\Murata_QNFA9102.pdf</ns0:v>
      </ns0:c>
      <ns0:c r="Z38" t="n" s="33">
        <ns0:v>22</ns0:v>
      </ns0:c>
      <ns0:c r="AA38" t="n" s="33">
        <ns0:v>100</ns0:v>
      </ns0:c>
      <ns0:c r="AB38" t="n" s="33">
        <ns0:v>6</ns0:v>
      </ns0:c>
      <ns0:c r="AC38" t="n" s="33">
        <ns0:v>3.3</ns0:v>
      </ns0:c>
      <ns0:c r="AD38" t="n" s="33">
        <ns0:v>0.009</ns0:v>
      </ns0:c>
      <ns0:c r="AE38" t="n" s="33">
        <ns0:v>-55</ns0:v>
      </ns0:c>
      <ns0:c r="AF38" t="n" s="33">
        <ns0:v>125</ns0:v>
      </ns0:c>
      <ns0:c r="AG38" t="str" s="33">
        <ns0:v>TA, °C; rated current at 85°C / 125°C</ns0:v>
      </ns0:c>
      <ns0:c r="AH38" t="str" s="33">
        <ns0:v>BLM21PG</ns0:v>
      </ns0:c>
      <ns0:c r="AI38" t="str" s="33">
        <ns0:v>Automotive powertrain/safety AEC-Q200</ns0:v>
      </ns0:c>
      <ns0:c r="AJ38" t="str" s="33">
        <ns0:v>180 mm paper tape</ns0:v>
      </ns0:c>
      <ns0:c r="AK38" t="n" s="33">
        <ns0:v>4000</ns0:v>
      </ns0:c>
      <ns0:c r="AL38" t="str" s="33">
        <ns0:v>JENF243A_9102P-01; source mirror includes cover</ns0:v>
      </ns0:c>
    </ns0:row>
    <ns0:row r="39" ht="72" customHeight="1">
      <ns0:c r="A39" t="str" s="33">
        <ns0:v>L0038</ns0:v>
      </ns0:c>
      <ns0:c r="B39" t="str" s="33">
        <ns0:v>Ферритовый фильтр</ns0:v>
      </ns0:c>
      <ns0:c r="C39" t="str" s="33">
        <ns0:v>22 Ом @ 100 МГц</ns0:v>
      </ns0:c>
      <ns0:c r="D39" t="str" s="34">
        <ns0:f>C39</ns0:f>
        <ns0:v>22 Ом @ 100 МГц</ns0:v>
      </ns0:c>
      <ns0:c r="E39" t="str" s="33">
        <ns0:v>±25%</ns0:v>
      </ns0:c>
      <ns0:c r="F39" s="33"/>
      <ns0:c r="G39" s="33"/>
      <ns0:c r="H39" t="str" s="35">
        <ns0:v>0805</ns0:v>
      </ns0:c>
      <ns0:c r="I39" t="str" s="33">
        <ns0:v>Murata</ns0:v>
      </ns0:c>
      <ns0:c r="J39" t="str" s="33">
        <ns0:v>BLM21PG220SH1J</ns0:v>
      </ns0:c>
      <ns0:c r="K39" t="str" s="34">
        <ns0:f>B39&amp;" "&amp;J39</ns0:f>
        <ns0:v>Ферритовый фильтр BLM21PG220SH1J</ns0:v>
      </ns0:c>
      <ns0:c r="L39" t="str" s="36">
        <ns0:v>Ferrite_Bead</ns0:v>
      </ns0:c>
      <ns0:c r="M39" t="str" s="36">
        <ns0:v>Symbols\MY_LIB_Inductors.SchLib</ns0:v>
      </ns0:c>
      <ns0:c r="N39" t="str" s="36">
        <ns0:v>Murata_BLM21PG_2012_Reflow</ns0:v>
      </ns0:c>
      <ns0:c r="O39" t="str" s="36">
        <ns0:v>Footprints\MY_LIB_Inductors.PcbLib</ns0:v>
      </ns0:c>
      <ns0:c r="P3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39" s="33"/>
      <ns0:c r="R39" t="str" s="34">
        <ns0:f>D39</ns0:f>
        <ns0:v>22 Ом @ 100 МГц</ns0:v>
      </ns0:c>
      <ns0:c r="S39" t="str" s="34">
        <ns0:f>K39</ns0:f>
        <ns0:v>Ферритовый фильтр BLM21PG220SH1J</ns0:v>
      </ns0:c>
      <ns0:c r="T39" t="str" s="33">
        <ns0:v>C:\Users\Nomatin\Documents\Altium\MY_LIB\MY_LIB\Datasheets\Ferrite_Beads\Murata_QNFA9102.pdf</ns0:v>
      </ns0:c>
      <ns0:c r="U39" t="str" s="33">
        <ns0:v>Даташит — локальный</ns0:v>
      </ns0:c>
      <ns0:c r="V39" t="str" s="33">
        <ns0:v>C:\Users\Nomatin\Documents\Altium\MY_LIB\MY_LIB\Datasheets\Ferrite_Beads\Murata_QNFA9102.pdf</ns0:v>
      </ns0:c>
      <ns0:c r="W39" t="str" s="33">
        <ns0:v>Даташит — производитель</ns0:v>
      </ns0:c>
      <ns0:c r="X39" t="str" s="33">
        <ns0:v>https://www.murata.com/products/productdata/8796740354078/QNFA9102.pdf</ns0:v>
      </ns0:c>
      <ns0:c r="Y39" t="str" s="33">
        <ns0:v>C:\Users\Nomatin\Documents\Altium\MY_LIB\MY_LIB\Datasheets\Ferrite_Beads\Murata_QNFA9102.pdf</ns0:v>
      </ns0:c>
      <ns0:c r="Z39" t="n" s="33">
        <ns0:v>22</ns0:v>
      </ns0:c>
      <ns0:c r="AA39" t="n" s="33">
        <ns0:v>100</ns0:v>
      </ns0:c>
      <ns0:c r="AB39" t="n" s="33">
        <ns0:v>6</ns0:v>
      </ns0:c>
      <ns0:c r="AC39" t="n" s="33">
        <ns0:v>3.3</ns0:v>
      </ns0:c>
      <ns0:c r="AD39" t="n" s="33">
        <ns0:v>0.009</ns0:v>
      </ns0:c>
      <ns0:c r="AE39" t="n" s="33">
        <ns0:v>-55</ns0:v>
      </ns0:c>
      <ns0:c r="AF39" t="n" s="33">
        <ns0:v>125</ns0:v>
      </ns0:c>
      <ns0:c r="AG39" t="str" s="33">
        <ns0:v>TA, °C; rated current at 85°C / 125°C</ns0:v>
      </ns0:c>
      <ns0:c r="AH39" t="str" s="33">
        <ns0:v>BLM21PG</ns0:v>
      </ns0:c>
      <ns0:c r="AI39" t="str" s="33">
        <ns0:v>Automotive powertrain/safety AEC-Q200</ns0:v>
      </ns0:c>
      <ns0:c r="AJ39" t="str" s="33">
        <ns0:v>330 mm paper tape</ns0:v>
      </ns0:c>
      <ns0:c r="AK39" t="n" s="33">
        <ns0:v>10000</ns0:v>
      </ns0:c>
      <ns0:c r="AL39" t="str" s="33">
        <ns0:v>JENF243A_9102P-01; source mirror includes cover</ns0:v>
      </ns0:c>
    </ns0:row>
    <ns0:row r="40" ht="72" customHeight="1">
      <ns0:c r="A40" t="str" s="33">
        <ns0:v>L0039</ns0:v>
      </ns0:c>
      <ns0:c r="B40" t="str" s="33">
        <ns0:v>Ферритовый фильтр</ns0:v>
      </ns0:c>
      <ns0:c r="C40" t="str" s="33">
        <ns0:v>22 Ом @ 100 МГц</ns0:v>
      </ns0:c>
      <ns0:c r="D40" t="str" s="34">
        <ns0:f>C40</ns0:f>
        <ns0:v>22 Ом @ 100 МГц</ns0:v>
      </ns0:c>
      <ns0:c r="E40" t="str" s="33">
        <ns0:v>±25%</ns0:v>
      </ns0:c>
      <ns0:c r="F40" s="33"/>
      <ns0:c r="G40" s="33"/>
      <ns0:c r="H40" t="str" s="35">
        <ns0:v>0805</ns0:v>
      </ns0:c>
      <ns0:c r="I40" t="str" s="33">
        <ns0:v>Murata</ns0:v>
      </ns0:c>
      <ns0:c r="J40" t="str" s="33">
        <ns0:v>BLM21PG220SH1B</ns0:v>
      </ns0:c>
      <ns0:c r="K40" t="str" s="34">
        <ns0:f>B40&amp;" "&amp;J40</ns0:f>
        <ns0:v>Ферритовый фильтр BLM21PG220SH1B</ns0:v>
      </ns0:c>
      <ns0:c r="L40" t="str" s="36">
        <ns0:v>Ferrite_Bead</ns0:v>
      </ns0:c>
      <ns0:c r="M40" t="str" s="36">
        <ns0:v>Symbols\MY_LIB_Inductors.SchLib</ns0:v>
      </ns0:c>
      <ns0:c r="N40" t="str" s="36">
        <ns0:v>Murata_BLM21PG_2012_Reflow</ns0:v>
      </ns0:c>
      <ns0:c r="O40" t="str" s="36">
        <ns0:v>Footprints\MY_LIB_Inductors.PcbLib</ns0:v>
      </ns0:c>
      <ns0:c r="P4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0" s="33"/>
      <ns0:c r="R40" t="str" s="34">
        <ns0:f>D40</ns0:f>
        <ns0:v>22 Ом @ 100 МГц</ns0:v>
      </ns0:c>
      <ns0:c r="S40" t="str" s="34">
        <ns0:f>K40</ns0:f>
        <ns0:v>Ферритовый фильтр BLM21PG220SH1B</ns0:v>
      </ns0:c>
      <ns0:c r="T40" t="str" s="33">
        <ns0:v>C:\Users\Nomatin\Documents\Altium\MY_LIB\MY_LIB\Datasheets\Ferrite_Beads\Murata_QNFA9102.pdf</ns0:v>
      </ns0:c>
      <ns0:c r="U40" t="str" s="33">
        <ns0:v>Даташит — локальный</ns0:v>
      </ns0:c>
      <ns0:c r="V40" t="str" s="33">
        <ns0:v>C:\Users\Nomatin\Documents\Altium\MY_LIB\MY_LIB\Datasheets\Ferrite_Beads\Murata_QNFA9102.pdf</ns0:v>
      </ns0:c>
      <ns0:c r="W40" t="str" s="33">
        <ns0:v>Даташит — производитель</ns0:v>
      </ns0:c>
      <ns0:c r="X40" t="str" s="33">
        <ns0:v>https://www.murata.com/products/productdata/8796740354078/QNFA9102.pdf</ns0:v>
      </ns0:c>
      <ns0:c r="Y40" t="str" s="33">
        <ns0:v>C:\Users\Nomatin\Documents\Altium\MY_LIB\MY_LIB\Datasheets\Ferrite_Beads\Murata_QNFA9102.pdf</ns0:v>
      </ns0:c>
      <ns0:c r="Z40" t="n" s="33">
        <ns0:v>22</ns0:v>
      </ns0:c>
      <ns0:c r="AA40" t="n" s="33">
        <ns0:v>100</ns0:v>
      </ns0:c>
      <ns0:c r="AB40" t="n" s="33">
        <ns0:v>6</ns0:v>
      </ns0:c>
      <ns0:c r="AC40" t="n" s="33">
        <ns0:v>3.3</ns0:v>
      </ns0:c>
      <ns0:c r="AD40" t="n" s="33">
        <ns0:v>0.009</ns0:v>
      </ns0:c>
      <ns0:c r="AE40" t="n" s="33">
        <ns0:v>-55</ns0:v>
      </ns0:c>
      <ns0:c r="AF40" t="n" s="33">
        <ns0:v>125</ns0:v>
      </ns0:c>
      <ns0:c r="AG40" t="str" s="33">
        <ns0:v>TA, °C; rated current at 85°C / 125°C</ns0:v>
      </ns0:c>
      <ns0:c r="AH40" t="str" s="33">
        <ns0:v>BLM21PG</ns0:v>
      </ns0:c>
      <ns0:c r="AI40" t="str" s="33">
        <ns0:v>Automotive powertrain/safety AEC-Q200</ns0:v>
      </ns0:c>
      <ns0:c r="AJ40" t="str" s="33">
        <ns0:v>Bulk (bag)</ns0:v>
      </ns0:c>
      <ns0:c r="AK40" t="n" s="33">
        <ns0:v>1000</ns0:v>
      </ns0:c>
      <ns0:c r="AL40" t="str" s="33">
        <ns0:v>JENF243A_9102P-01; source mirror includes cover</ns0:v>
      </ns0:c>
    </ns0:row>
    <ns0:row r="41" ht="72" customHeight="1">
      <ns0:c r="A41" t="str" s="33">
        <ns0:v>L0040</ns0:v>
      </ns0:c>
      <ns0:c r="B41" t="str" s="33">
        <ns0:v>Ферритовый фильтр</ns0:v>
      </ns0:c>
      <ns0:c r="C41" t="str" s="33">
        <ns0:v>30 Ом @ 100 МГц</ns0:v>
      </ns0:c>
      <ns0:c r="D41" t="str" s="34">
        <ns0:f>C41</ns0:f>
        <ns0:v>30 Ом @ 100 МГц</ns0:v>
      </ns0:c>
      <ns0:c r="E41" t="str" s="33">
        <ns0:v>≥20 Ом; тип. 30 Ом</ns0:v>
      </ns0:c>
      <ns0:c r="F41" s="33"/>
      <ns0:c r="G41" s="33"/>
      <ns0:c r="H41" t="str" s="35">
        <ns0:v>0805</ns0:v>
      </ns0:c>
      <ns0:c r="I41" t="str" s="33">
        <ns0:v>Murata</ns0:v>
      </ns0:c>
      <ns0:c r="J41" t="str" s="33">
        <ns0:v>BLM21PG300SH1D</ns0:v>
      </ns0:c>
      <ns0:c r="K41" t="str" s="34">
        <ns0:f>B41&amp;" "&amp;J41</ns0:f>
        <ns0:v>Ферритовый фильтр BLM21PG300SH1D</ns0:v>
      </ns0:c>
      <ns0:c r="L41" t="str" s="36">
        <ns0:v>Ferrite_Bead</ns0:v>
      </ns0:c>
      <ns0:c r="M41" t="str" s="36">
        <ns0:v>Symbols\MY_LIB_Inductors.SchLib</ns0:v>
      </ns0:c>
      <ns0:c r="N41" t="str" s="36">
        <ns0:v>Murata_BLM21PG_2012_Reflow</ns0:v>
      </ns0:c>
      <ns0:c r="O41" t="str" s="36">
        <ns0:v>Footprints\MY_LIB_Inductors.PcbLib</ns0:v>
      </ns0:c>
      <ns0:c r="P4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41" s="33"/>
      <ns0:c r="R41" t="str" s="34">
        <ns0:f>D41</ns0:f>
        <ns0:v>30 Ом @ 100 МГц</ns0:v>
      </ns0:c>
      <ns0:c r="S41" t="str" s="34">
        <ns0:f>K41</ns0:f>
        <ns0:v>Ферритовый фильтр BLM21PG300SH1D</ns0:v>
      </ns0:c>
      <ns0:c r="T41" t="str" s="33">
        <ns0:v>C:\Users\Nomatin\Documents\Altium\MY_LIB\MY_LIB\Datasheets\Ferrite_Beads\Murata_QNFA9102.pdf</ns0:v>
      </ns0:c>
      <ns0:c r="U41" t="str" s="33">
        <ns0:v>Даташит — локальный</ns0:v>
      </ns0:c>
      <ns0:c r="V41" t="str" s="33">
        <ns0:v>C:\Users\Nomatin\Documents\Altium\MY_LIB\MY_LIB\Datasheets\Ferrite_Beads\Murata_QNFA9102.pdf</ns0:v>
      </ns0:c>
      <ns0:c r="W41" t="str" s="33">
        <ns0:v>Даташит — производитель</ns0:v>
      </ns0:c>
      <ns0:c r="X41" t="str" s="33">
        <ns0:v>https://www.murata.com/products/productdata/8796740354078/QNFA9102.pdf</ns0:v>
      </ns0:c>
      <ns0:c r="Y41" t="str" s="33">
        <ns0:v>C:\Users\Nomatin\Documents\Altium\MY_LIB\MY_LIB\Datasheets\Ferrite_Beads\Murata_QNFA9102.pdf</ns0:v>
      </ns0:c>
      <ns0:c r="Z41" t="n" s="33">
        <ns0:v>30</ns0:v>
      </ns0:c>
      <ns0:c r="AA41" t="n" s="33">
        <ns0:v>100</ns0:v>
      </ns0:c>
      <ns0:c r="AB41" t="n" s="33">
        <ns0:v>4</ns0:v>
      </ns0:c>
      <ns0:c r="AC41" t="n" s="33">
        <ns0:v>2.3</ns0:v>
      </ns0:c>
      <ns0:c r="AD41" t="n" s="33">
        <ns0:v>0.014</ns0:v>
      </ns0:c>
      <ns0:c r="AE41" t="n" s="33">
        <ns0:v>-55</ns0:v>
      </ns0:c>
      <ns0:c r="AF41" t="n" s="33">
        <ns0:v>125</ns0:v>
      </ns0:c>
      <ns0:c r="AG41" t="str" s="33">
        <ns0:v>TA, °C; rated current at 85°C / 125°C</ns0:v>
      </ns0:c>
      <ns0:c r="AH41" t="str" s="33">
        <ns0:v>BLM21PG</ns0:v>
      </ns0:c>
      <ns0:c r="AI41" t="str" s="33">
        <ns0:v>Automotive powertrain/safety AEC-Q200</ns0:v>
      </ns0:c>
      <ns0:c r="AJ41" t="str" s="33">
        <ns0:v>180 mm paper tape</ns0:v>
      </ns0:c>
      <ns0:c r="AK41" t="n" s="33">
        <ns0:v>4000</ns0:v>
      </ns0:c>
      <ns0:c r="AL41" t="str" s="33">
        <ns0:v>JENF243A_9102P-01; source mirror includes cover</ns0:v>
      </ns0:c>
    </ns0:row>
    <ns0:row r="42" ht="72" customHeight="1">
      <ns0:c r="A42" t="str" s="33">
        <ns0:v>L0041</ns0:v>
      </ns0:c>
      <ns0:c r="B42" t="str" s="33">
        <ns0:v>Ферритовый фильтр</ns0:v>
      </ns0:c>
      <ns0:c r="C42" t="str" s="33">
        <ns0:v>30 Ом @ 100 МГц</ns0:v>
      </ns0:c>
      <ns0:c r="D42" t="str" s="34">
        <ns0:f>C42</ns0:f>
        <ns0:v>30 Ом @ 100 МГц</ns0:v>
      </ns0:c>
      <ns0:c r="E42" t="str" s="33">
        <ns0:v>≥20 Ом; тип. 30 Ом</ns0:v>
      </ns0:c>
      <ns0:c r="F42" s="33"/>
      <ns0:c r="G42" s="33"/>
      <ns0:c r="H42" t="str" s="35">
        <ns0:v>0805</ns0:v>
      </ns0:c>
      <ns0:c r="I42" t="str" s="33">
        <ns0:v>Murata</ns0:v>
      </ns0:c>
      <ns0:c r="J42" t="str" s="33">
        <ns0:v>BLM21PG300SH1J</ns0:v>
      </ns0:c>
      <ns0:c r="K42" t="str" s="34">
        <ns0:f>B42&amp;" "&amp;J42</ns0:f>
        <ns0:v>Ферритовый фильтр BLM21PG300SH1J</ns0:v>
      </ns0:c>
      <ns0:c r="L42" t="str" s="36">
        <ns0:v>Ferrite_Bead</ns0:v>
      </ns0:c>
      <ns0:c r="M42" t="str" s="36">
        <ns0:v>Symbols\MY_LIB_Inductors.SchLib</ns0:v>
      </ns0:c>
      <ns0:c r="N42" t="str" s="36">
        <ns0:v>Murata_BLM21PG_2012_Reflow</ns0:v>
      </ns0:c>
      <ns0:c r="O42" t="str" s="36">
        <ns0:v>Footprints\MY_LIB_Inductors.PcbLib</ns0:v>
      </ns0:c>
      <ns0:c r="P4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42" s="33"/>
      <ns0:c r="R42" t="str" s="34">
        <ns0:f>D42</ns0:f>
        <ns0:v>30 Ом @ 100 МГц</ns0:v>
      </ns0:c>
      <ns0:c r="S42" t="str" s="34">
        <ns0:f>K42</ns0:f>
        <ns0:v>Ферритовый фильтр BLM21PG300SH1J</ns0:v>
      </ns0:c>
      <ns0:c r="T42" t="str" s="33">
        <ns0:v>C:\Users\Nomatin\Documents\Altium\MY_LIB\MY_LIB\Datasheets\Ferrite_Beads\Murata_QNFA9102.pdf</ns0:v>
      </ns0:c>
      <ns0:c r="U42" t="str" s="33">
        <ns0:v>Даташит — локальный</ns0:v>
      </ns0:c>
      <ns0:c r="V42" t="str" s="33">
        <ns0:v>C:\Users\Nomatin\Documents\Altium\MY_LIB\MY_LIB\Datasheets\Ferrite_Beads\Murata_QNFA9102.pdf</ns0:v>
      </ns0:c>
      <ns0:c r="W42" t="str" s="33">
        <ns0:v>Даташит — производитель</ns0:v>
      </ns0:c>
      <ns0:c r="X42" t="str" s="33">
        <ns0:v>https://www.murata.com/products/productdata/8796740354078/QNFA9102.pdf</ns0:v>
      </ns0:c>
      <ns0:c r="Y42" t="str" s="33">
        <ns0:v>C:\Users\Nomatin\Documents\Altium\MY_LIB\MY_LIB\Datasheets\Ferrite_Beads\Murata_QNFA9102.pdf</ns0:v>
      </ns0:c>
      <ns0:c r="Z42" t="n" s="33">
        <ns0:v>30</ns0:v>
      </ns0:c>
      <ns0:c r="AA42" t="n" s="33">
        <ns0:v>100</ns0:v>
      </ns0:c>
      <ns0:c r="AB42" t="n" s="33">
        <ns0:v>4</ns0:v>
      </ns0:c>
      <ns0:c r="AC42" t="n" s="33">
        <ns0:v>2.3</ns0:v>
      </ns0:c>
      <ns0:c r="AD42" t="n" s="33">
        <ns0:v>0.014</ns0:v>
      </ns0:c>
      <ns0:c r="AE42" t="n" s="33">
        <ns0:v>-55</ns0:v>
      </ns0:c>
      <ns0:c r="AF42" t="n" s="33">
        <ns0:v>125</ns0:v>
      </ns0:c>
      <ns0:c r="AG42" t="str" s="33">
        <ns0:v>TA, °C; rated current at 85°C / 125°C</ns0:v>
      </ns0:c>
      <ns0:c r="AH42" t="str" s="33">
        <ns0:v>BLM21PG</ns0:v>
      </ns0:c>
      <ns0:c r="AI42" t="str" s="33">
        <ns0:v>Automotive powertrain/safety AEC-Q200</ns0:v>
      </ns0:c>
      <ns0:c r="AJ42" t="str" s="33">
        <ns0:v>330 mm paper tape</ns0:v>
      </ns0:c>
      <ns0:c r="AK42" t="n" s="33">
        <ns0:v>10000</ns0:v>
      </ns0:c>
      <ns0:c r="AL42" t="str" s="33">
        <ns0:v>JENF243A_9102P-01; source mirror includes cover</ns0:v>
      </ns0:c>
    </ns0:row>
    <ns0:row r="43" ht="72" customHeight="1">
      <ns0:c r="A43" t="str" s="33">
        <ns0:v>L0042</ns0:v>
      </ns0:c>
      <ns0:c r="B43" t="str" s="33">
        <ns0:v>Ферритовый фильтр</ns0:v>
      </ns0:c>
      <ns0:c r="C43" t="str" s="33">
        <ns0:v>30 Ом @ 100 МГц</ns0:v>
      </ns0:c>
      <ns0:c r="D43" t="str" s="34">
        <ns0:f>C43</ns0:f>
        <ns0:v>30 Ом @ 100 МГц</ns0:v>
      </ns0:c>
      <ns0:c r="E43" t="str" s="33">
        <ns0:v>≥20 Ом; тип. 30 Ом</ns0:v>
      </ns0:c>
      <ns0:c r="F43" s="33"/>
      <ns0:c r="G43" s="33"/>
      <ns0:c r="H43" t="str" s="35">
        <ns0:v>0805</ns0:v>
      </ns0:c>
      <ns0:c r="I43" t="str" s="33">
        <ns0:v>Murata</ns0:v>
      </ns0:c>
      <ns0:c r="J43" t="str" s="33">
        <ns0:v>BLM21PG300SH1B</ns0:v>
      </ns0:c>
      <ns0:c r="K43" t="str" s="34">
        <ns0:f>B43&amp;" "&amp;J43</ns0:f>
        <ns0:v>Ферритовый фильтр BLM21PG300SH1B</ns0:v>
      </ns0:c>
      <ns0:c r="L43" t="str" s="36">
        <ns0:v>Ferrite_Bead</ns0:v>
      </ns0:c>
      <ns0:c r="M43" t="str" s="36">
        <ns0:v>Symbols\MY_LIB_Inductors.SchLib</ns0:v>
      </ns0:c>
      <ns0:c r="N43" t="str" s="36">
        <ns0:v>Murata_BLM21PG_2012_Reflow</ns0:v>
      </ns0:c>
      <ns0:c r="O43" t="str" s="36">
        <ns0:v>Footprints\MY_LIB_Inductors.PcbLib</ns0:v>
      </ns0:c>
      <ns0:c r="P4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гарантированный минимум 20 Ом. </ns0:v>
      </ns0:c>
      <ns0:c r="Q43" s="33"/>
      <ns0:c r="R43" t="str" s="34">
        <ns0:f>D43</ns0:f>
        <ns0:v>30 Ом @ 100 МГц</ns0:v>
      </ns0:c>
      <ns0:c r="S43" t="str" s="34">
        <ns0:f>K43</ns0:f>
        <ns0:v>Ферритовый фильтр BLM21PG300SH1B</ns0:v>
      </ns0:c>
      <ns0:c r="T43" t="str" s="33">
        <ns0:v>C:\Users\Nomatin\Documents\Altium\MY_LIB\MY_LIB\Datasheets\Ferrite_Beads\Murata_QNFA9102.pdf</ns0:v>
      </ns0:c>
      <ns0:c r="U43" t="str" s="33">
        <ns0:v>Даташит — локальный</ns0:v>
      </ns0:c>
      <ns0:c r="V43" t="str" s="33">
        <ns0:v>C:\Users\Nomatin\Documents\Altium\MY_LIB\MY_LIB\Datasheets\Ferrite_Beads\Murata_QNFA9102.pdf</ns0:v>
      </ns0:c>
      <ns0:c r="W43" t="str" s="33">
        <ns0:v>Даташит — производитель</ns0:v>
      </ns0:c>
      <ns0:c r="X43" t="str" s="33">
        <ns0:v>https://www.murata.com/products/productdata/8796740354078/QNFA9102.pdf</ns0:v>
      </ns0:c>
      <ns0:c r="Y43" t="str" s="33">
        <ns0:v>C:\Users\Nomatin\Documents\Altium\MY_LIB\MY_LIB\Datasheets\Ferrite_Beads\Murata_QNFA9102.pdf</ns0:v>
      </ns0:c>
      <ns0:c r="Z43" t="n" s="33">
        <ns0:v>30</ns0:v>
      </ns0:c>
      <ns0:c r="AA43" t="n" s="33">
        <ns0:v>100</ns0:v>
      </ns0:c>
      <ns0:c r="AB43" t="n" s="33">
        <ns0:v>4</ns0:v>
      </ns0:c>
      <ns0:c r="AC43" t="n" s="33">
        <ns0:v>2.3</ns0:v>
      </ns0:c>
      <ns0:c r="AD43" t="n" s="33">
        <ns0:v>0.014</ns0:v>
      </ns0:c>
      <ns0:c r="AE43" t="n" s="33">
        <ns0:v>-55</ns0:v>
      </ns0:c>
      <ns0:c r="AF43" t="n" s="33">
        <ns0:v>125</ns0:v>
      </ns0:c>
      <ns0:c r="AG43" t="str" s="33">
        <ns0:v>TA, °C; rated current at 85°C / 125°C</ns0:v>
      </ns0:c>
      <ns0:c r="AH43" t="str" s="33">
        <ns0:v>BLM21PG</ns0:v>
      </ns0:c>
      <ns0:c r="AI43" t="str" s="33">
        <ns0:v>Automotive powertrain/safety AEC-Q200</ns0:v>
      </ns0:c>
      <ns0:c r="AJ43" t="str" s="33">
        <ns0:v>Bulk (bag)</ns0:v>
      </ns0:c>
      <ns0:c r="AK43" t="n" s="33">
        <ns0:v>1000</ns0:v>
      </ns0:c>
      <ns0:c r="AL43" t="str" s="33">
        <ns0:v>JENF243A_9102P-01; source mirror includes cover</ns0:v>
      </ns0:c>
    </ns0:row>
    <ns0:row r="44" ht="72" customHeight="1">
      <ns0:c r="A44" t="str" s="33">
        <ns0:v>L0043</ns0:v>
      </ns0:c>
      <ns0:c r="B44" t="str" s="33">
        <ns0:v>Ферритовый фильтр</ns0:v>
      </ns0:c>
      <ns0:c r="C44" t="str" s="33">
        <ns0:v>60 Ом @ 100 МГц</ns0:v>
      </ns0:c>
      <ns0:c r="D44" t="str" s="34">
        <ns0:f>C44</ns0:f>
        <ns0:v>60 Ом @ 100 МГц</ns0:v>
      </ns0:c>
      <ns0:c r="E44" t="str" s="33">
        <ns0:v>±25%</ns0:v>
      </ns0:c>
      <ns0:c r="F44" s="33"/>
      <ns0:c r="G44" s="33"/>
      <ns0:c r="H44" t="str" s="35">
        <ns0:v>0805</ns0:v>
      </ns0:c>
      <ns0:c r="I44" t="str" s="33">
        <ns0:v>Murata</ns0:v>
      </ns0:c>
      <ns0:c r="J44" t="str" s="33">
        <ns0:v>BLM21PG600SH1D</ns0:v>
      </ns0:c>
      <ns0:c r="K44" t="str" s="34">
        <ns0:f>B44&amp;" "&amp;J44</ns0:f>
        <ns0:v>Ферритовый фильтр BLM21PG600SH1D</ns0:v>
      </ns0:c>
      <ns0:c r="L44" t="str" s="36">
        <ns0:v>Ferrite_Bead</ns0:v>
      </ns0:c>
      <ns0:c r="M44" t="str" s="36">
        <ns0:v>Symbols\MY_LIB_Inductors.SchLib</ns0:v>
      </ns0:c>
      <ns0:c r="N44" t="str" s="36">
        <ns0:v>Murata_BLM21PG_2012_Reflow</ns0:v>
      </ns0:c>
      <ns0:c r="O44" t="str" s="36">
        <ns0:v>Footprints\MY_LIB_Inductors.PcbLib</ns0:v>
      </ns0:c>
      <ns0:c r="P4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4" s="33"/>
      <ns0:c r="R44" t="str" s="34">
        <ns0:f>D44</ns0:f>
        <ns0:v>60 Ом @ 100 МГц</ns0:v>
      </ns0:c>
      <ns0:c r="S44" t="str" s="34">
        <ns0:f>K44</ns0:f>
        <ns0:v>Ферритовый фильтр BLM21PG600SH1D</ns0:v>
      </ns0:c>
      <ns0:c r="T44" t="str" s="33">
        <ns0:v>C:\Users\Nomatin\Documents\Altium\MY_LIB\MY_LIB\Datasheets\Ferrite_Beads\Murata_QNFA9102.pdf</ns0:v>
      </ns0:c>
      <ns0:c r="U44" t="str" s="33">
        <ns0:v>Даташит — локальный</ns0:v>
      </ns0:c>
      <ns0:c r="V44" t="str" s="33">
        <ns0:v>C:\Users\Nomatin\Documents\Altium\MY_LIB\MY_LIB\Datasheets\Ferrite_Beads\Murata_QNFA9102.pdf</ns0:v>
      </ns0:c>
      <ns0:c r="W44" t="str" s="33">
        <ns0:v>Даташит — производитель</ns0:v>
      </ns0:c>
      <ns0:c r="X44" t="str" s="33">
        <ns0:v>https://www.murata.com/products/productdata/8796740354078/QNFA9102.pdf</ns0:v>
      </ns0:c>
      <ns0:c r="Y44" t="str" s="33">
        <ns0:v>C:\Users\Nomatin\Documents\Altium\MY_LIB\MY_LIB\Datasheets\Ferrite_Beads\Murata_QNFA9102.pdf</ns0:v>
      </ns0:c>
      <ns0:c r="Z44" t="n" s="33">
        <ns0:v>60</ns0:v>
      </ns0:c>
      <ns0:c r="AA44" t="n" s="33">
        <ns0:v>100</ns0:v>
      </ns0:c>
      <ns0:c r="AB44" t="n" s="33">
        <ns0:v>3.5</ns0:v>
      </ns0:c>
      <ns0:c r="AC44" t="n" s="33">
        <ns0:v>1.9</ns0:v>
      </ns0:c>
      <ns0:c r="AD44" t="n" s="33">
        <ns0:v>0.02</ns0:v>
      </ns0:c>
      <ns0:c r="AE44" t="n" s="33">
        <ns0:v>-55</ns0:v>
      </ns0:c>
      <ns0:c r="AF44" t="n" s="33">
        <ns0:v>125</ns0:v>
      </ns0:c>
      <ns0:c r="AG44" t="str" s="33">
        <ns0:v>TA, °C; rated current at 85°C / 125°C</ns0:v>
      </ns0:c>
      <ns0:c r="AH44" t="str" s="33">
        <ns0:v>BLM21PG</ns0:v>
      </ns0:c>
      <ns0:c r="AI44" t="str" s="33">
        <ns0:v>Automotive powertrain/safety AEC-Q200</ns0:v>
      </ns0:c>
      <ns0:c r="AJ44" t="str" s="33">
        <ns0:v>180 mm paper tape</ns0:v>
      </ns0:c>
      <ns0:c r="AK44" t="n" s="33">
        <ns0:v>4000</ns0:v>
      </ns0:c>
      <ns0:c r="AL44" t="str" s="33">
        <ns0:v>JENF243A_9102P-01; source mirror includes cover</ns0:v>
      </ns0:c>
    </ns0:row>
    <ns0:row r="45" ht="72" customHeight="1">
      <ns0:c r="A45" t="str" s="33">
        <ns0:v>L0044</ns0:v>
      </ns0:c>
      <ns0:c r="B45" t="str" s="33">
        <ns0:v>Ферритовый фильтр</ns0:v>
      </ns0:c>
      <ns0:c r="C45" t="str" s="33">
        <ns0:v>60 Ом @ 100 МГц</ns0:v>
      </ns0:c>
      <ns0:c r="D45" t="str" s="34">
        <ns0:f>C45</ns0:f>
        <ns0:v>60 Ом @ 100 МГц</ns0:v>
      </ns0:c>
      <ns0:c r="E45" t="str" s="33">
        <ns0:v>±25%</ns0:v>
      </ns0:c>
      <ns0:c r="F45" s="33"/>
      <ns0:c r="G45" s="33"/>
      <ns0:c r="H45" t="str" s="35">
        <ns0:v>0805</ns0:v>
      </ns0:c>
      <ns0:c r="I45" t="str" s="33">
        <ns0:v>Murata</ns0:v>
      </ns0:c>
      <ns0:c r="J45" t="str" s="33">
        <ns0:v>BLM21PG600SH1J</ns0:v>
      </ns0:c>
      <ns0:c r="K45" t="str" s="34">
        <ns0:f>B45&amp;" "&amp;J45</ns0:f>
        <ns0:v>Ферритовый фильтр BLM21PG600SH1J</ns0:v>
      </ns0:c>
      <ns0:c r="L45" t="str" s="36">
        <ns0:v>Ferrite_Bead</ns0:v>
      </ns0:c>
      <ns0:c r="M45" t="str" s="36">
        <ns0:v>Symbols\MY_LIB_Inductors.SchLib</ns0:v>
      </ns0:c>
      <ns0:c r="N45" t="str" s="36">
        <ns0:v>Murata_BLM21PG_2012_Reflow</ns0:v>
      </ns0:c>
      <ns0:c r="O45" t="str" s="36">
        <ns0:v>Footprints\MY_LIB_Inductors.PcbLib</ns0:v>
      </ns0:c>
      <ns0:c r="P4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5" s="33"/>
      <ns0:c r="R45" t="str" s="34">
        <ns0:f>D45</ns0:f>
        <ns0:v>60 Ом @ 100 МГц</ns0:v>
      </ns0:c>
      <ns0:c r="S45" t="str" s="34">
        <ns0:f>K45</ns0:f>
        <ns0:v>Ферритовый фильтр BLM21PG600SH1J</ns0:v>
      </ns0:c>
      <ns0:c r="T45" t="str" s="33">
        <ns0:v>C:\Users\Nomatin\Documents\Altium\MY_LIB\MY_LIB\Datasheets\Ferrite_Beads\Murata_QNFA9102.pdf</ns0:v>
      </ns0:c>
      <ns0:c r="U45" t="str" s="33">
        <ns0:v>Даташит — локальный</ns0:v>
      </ns0:c>
      <ns0:c r="V45" t="str" s="33">
        <ns0:v>C:\Users\Nomatin\Documents\Altium\MY_LIB\MY_LIB\Datasheets\Ferrite_Beads\Murata_QNFA9102.pdf</ns0:v>
      </ns0:c>
      <ns0:c r="W45" t="str" s="33">
        <ns0:v>Даташит — производитель</ns0:v>
      </ns0:c>
      <ns0:c r="X45" t="str" s="33">
        <ns0:v>https://www.murata.com/products/productdata/8796740354078/QNFA9102.pdf</ns0:v>
      </ns0:c>
      <ns0:c r="Y45" t="str" s="33">
        <ns0:v>C:\Users\Nomatin\Documents\Altium\MY_LIB\MY_LIB\Datasheets\Ferrite_Beads\Murata_QNFA9102.pdf</ns0:v>
      </ns0:c>
      <ns0:c r="Z45" t="n" s="33">
        <ns0:v>60</ns0:v>
      </ns0:c>
      <ns0:c r="AA45" t="n" s="33">
        <ns0:v>100</ns0:v>
      </ns0:c>
      <ns0:c r="AB45" t="n" s="33">
        <ns0:v>3.5</ns0:v>
      </ns0:c>
      <ns0:c r="AC45" t="n" s="33">
        <ns0:v>1.9</ns0:v>
      </ns0:c>
      <ns0:c r="AD45" t="n" s="33">
        <ns0:v>0.02</ns0:v>
      </ns0:c>
      <ns0:c r="AE45" t="n" s="33">
        <ns0:v>-55</ns0:v>
      </ns0:c>
      <ns0:c r="AF45" t="n" s="33">
        <ns0:v>125</ns0:v>
      </ns0:c>
      <ns0:c r="AG45" t="str" s="33">
        <ns0:v>TA, °C; rated current at 85°C / 125°C</ns0:v>
      </ns0:c>
      <ns0:c r="AH45" t="str" s="33">
        <ns0:v>BLM21PG</ns0:v>
      </ns0:c>
      <ns0:c r="AI45" t="str" s="33">
        <ns0:v>Automotive powertrain/safety AEC-Q200</ns0:v>
      </ns0:c>
      <ns0:c r="AJ45" t="str" s="33">
        <ns0:v>330 mm paper tape</ns0:v>
      </ns0:c>
      <ns0:c r="AK45" t="n" s="33">
        <ns0:v>10000</ns0:v>
      </ns0:c>
      <ns0:c r="AL45" t="str" s="33">
        <ns0:v>JENF243A_9102P-01; source mirror includes cover</ns0:v>
      </ns0:c>
    </ns0:row>
    <ns0:row r="46" ht="72" customHeight="1">
      <ns0:c r="A46" t="str" s="33">
        <ns0:v>L0045</ns0:v>
      </ns0:c>
      <ns0:c r="B46" t="str" s="33">
        <ns0:v>Ферритовый фильтр</ns0:v>
      </ns0:c>
      <ns0:c r="C46" t="str" s="33">
        <ns0:v>60 Ом @ 100 МГц</ns0:v>
      </ns0:c>
      <ns0:c r="D46" t="str" s="34">
        <ns0:f>C46</ns0:f>
        <ns0:v>60 Ом @ 100 МГц</ns0:v>
      </ns0:c>
      <ns0:c r="E46" t="str" s="33">
        <ns0:v>±25%</ns0:v>
      </ns0:c>
      <ns0:c r="F46" s="33"/>
      <ns0:c r="G46" s="33"/>
      <ns0:c r="H46" t="str" s="35">
        <ns0:v>0805</ns0:v>
      </ns0:c>
      <ns0:c r="I46" t="str" s="33">
        <ns0:v>Murata</ns0:v>
      </ns0:c>
      <ns0:c r="J46" t="str" s="33">
        <ns0:v>BLM21PG600SH1B</ns0:v>
      </ns0:c>
      <ns0:c r="K46" t="str" s="34">
        <ns0:f>B46&amp;" "&amp;J46</ns0:f>
        <ns0:v>Ферритовый фильтр BLM21PG600SH1B</ns0:v>
      </ns0:c>
      <ns0:c r="L46" t="str" s="36">
        <ns0:v>Ferrite_Bead</ns0:v>
      </ns0:c>
      <ns0:c r="M46" t="str" s="36">
        <ns0:v>Symbols\MY_LIB_Inductors.SchLib</ns0:v>
      </ns0:c>
      <ns0:c r="N46" t="str" s="36">
        <ns0:v>Murata_BLM21PG_2012_Reflow</ns0:v>
      </ns0:c>
      <ns0:c r="O46" t="str" s="36">
        <ns0:v>Footprints\MY_LIB_Inductors.PcbLib</ns0:v>
      </ns0:c>
      <ns0:c r="P4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6" s="33"/>
      <ns0:c r="R46" t="str" s="34">
        <ns0:f>D46</ns0:f>
        <ns0:v>60 Ом @ 100 МГц</ns0:v>
      </ns0:c>
      <ns0:c r="S46" t="str" s="34">
        <ns0:f>K46</ns0:f>
        <ns0:v>Ферритовый фильтр BLM21PG600SH1B</ns0:v>
      </ns0:c>
      <ns0:c r="T46" t="str" s="33">
        <ns0:v>C:\Users\Nomatin\Documents\Altium\MY_LIB\MY_LIB\Datasheets\Ferrite_Beads\Murata_QNFA9102.pdf</ns0:v>
      </ns0:c>
      <ns0:c r="U46" t="str" s="33">
        <ns0:v>Даташит — локальный</ns0:v>
      </ns0:c>
      <ns0:c r="V46" t="str" s="33">
        <ns0:v>C:\Users\Nomatin\Documents\Altium\MY_LIB\MY_LIB\Datasheets\Ferrite_Beads\Murata_QNFA9102.pdf</ns0:v>
      </ns0:c>
      <ns0:c r="W46" t="str" s="33">
        <ns0:v>Даташит — производитель</ns0:v>
      </ns0:c>
      <ns0:c r="X46" t="str" s="33">
        <ns0:v>https://www.murata.com/products/productdata/8796740354078/QNFA9102.pdf</ns0:v>
      </ns0:c>
      <ns0:c r="Y46" t="str" s="33">
        <ns0:v>C:\Users\Nomatin\Documents\Altium\MY_LIB\MY_LIB\Datasheets\Ferrite_Beads\Murata_QNFA9102.pdf</ns0:v>
      </ns0:c>
      <ns0:c r="Z46" t="n" s="33">
        <ns0:v>60</ns0:v>
      </ns0:c>
      <ns0:c r="AA46" t="n" s="33">
        <ns0:v>100</ns0:v>
      </ns0:c>
      <ns0:c r="AB46" t="n" s="33">
        <ns0:v>3.5</ns0:v>
      </ns0:c>
      <ns0:c r="AC46" t="n" s="33">
        <ns0:v>1.9</ns0:v>
      </ns0:c>
      <ns0:c r="AD46" t="n" s="33">
        <ns0:v>0.02</ns0:v>
      </ns0:c>
      <ns0:c r="AE46" t="n" s="33">
        <ns0:v>-55</ns0:v>
      </ns0:c>
      <ns0:c r="AF46" t="n" s="33">
        <ns0:v>125</ns0:v>
      </ns0:c>
      <ns0:c r="AG46" t="str" s="33">
        <ns0:v>TA, °C; rated current at 85°C / 125°C</ns0:v>
      </ns0:c>
      <ns0:c r="AH46" t="str" s="33">
        <ns0:v>BLM21PG</ns0:v>
      </ns0:c>
      <ns0:c r="AI46" t="str" s="33">
        <ns0:v>Automotive powertrain/safety AEC-Q200</ns0:v>
      </ns0:c>
      <ns0:c r="AJ46" t="str" s="33">
        <ns0:v>Bulk (bag)</ns0:v>
      </ns0:c>
      <ns0:c r="AK46" t="n" s="33">
        <ns0:v>1000</ns0:v>
      </ns0:c>
      <ns0:c r="AL46" t="str" s="33">
        <ns0:v>JENF243A_9102P-01; source mirror includes cover</ns0:v>
      </ns0:c>
    </ns0:row>
    <ns0:row r="47" ht="72" customHeight="1">
      <ns0:c r="A47" t="str" s="33">
        <ns0:v>L0046</ns0:v>
      </ns0:c>
      <ns0:c r="B47" t="str" s="33">
        <ns0:v>Ферритовый фильтр</ns0:v>
      </ns0:c>
      <ns0:c r="C47" t="str" s="33">
        <ns0:v>120 Ом @ 100 МГц</ns0:v>
      </ns0:c>
      <ns0:c r="D47" t="str" s="34">
        <ns0:f>C47</ns0:f>
        <ns0:v>120 Ом @ 100 МГц</ns0:v>
      </ns0:c>
      <ns0:c r="E47" t="str" s="33">
        <ns0:v>±25%</ns0:v>
      </ns0:c>
      <ns0:c r="F47" s="33"/>
      <ns0:c r="G47" s="33"/>
      <ns0:c r="H47" t="str" s="35">
        <ns0:v>0805</ns0:v>
      </ns0:c>
      <ns0:c r="I47" t="str" s="33">
        <ns0:v>Murata</ns0:v>
      </ns0:c>
      <ns0:c r="J47" t="str" s="33">
        <ns0:v>BLM21PG121SH1D</ns0:v>
      </ns0:c>
      <ns0:c r="K47" t="str" s="34">
        <ns0:f>B47&amp;" "&amp;J47</ns0:f>
        <ns0:v>Ферритовый фильтр BLM21PG121SH1D</ns0:v>
      </ns0:c>
      <ns0:c r="L47" t="str" s="36">
        <ns0:v>Ferrite_Bead</ns0:v>
      </ns0:c>
      <ns0:c r="M47" t="str" s="36">
        <ns0:v>Symbols\MY_LIB_Inductors.SchLib</ns0:v>
      </ns0:c>
      <ns0:c r="N47" t="str" s="36">
        <ns0:v>Murata_BLM21PG_2012_Reflow</ns0:v>
      </ns0:c>
      <ns0:c r="O47" t="str" s="36">
        <ns0:v>Footprints\MY_LIB_Inductors.PcbLib</ns0:v>
      </ns0:c>
      <ns0:c r="P4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7" s="33"/>
      <ns0:c r="R47" t="str" s="34">
        <ns0:f>D47</ns0:f>
        <ns0:v>120 Ом @ 100 МГц</ns0:v>
      </ns0:c>
      <ns0:c r="S47" t="str" s="34">
        <ns0:f>K47</ns0:f>
        <ns0:v>Ферритовый фильтр BLM21PG121SH1D</ns0:v>
      </ns0:c>
      <ns0:c r="T47" t="str" s="33">
        <ns0:v>C:\Users\Nomatin\Documents\Altium\MY_LIB\MY_LIB\Datasheets\Ferrite_Beads\Murata_QNFA9102.pdf</ns0:v>
      </ns0:c>
      <ns0:c r="U47" t="str" s="33">
        <ns0:v>Даташит — локальный</ns0:v>
      </ns0:c>
      <ns0:c r="V47" t="str" s="33">
        <ns0:v>C:\Users\Nomatin\Documents\Altium\MY_LIB\MY_LIB\Datasheets\Ferrite_Beads\Murata_QNFA9102.pdf</ns0:v>
      </ns0:c>
      <ns0:c r="W47" t="str" s="33">
        <ns0:v>Даташит — производитель</ns0:v>
      </ns0:c>
      <ns0:c r="X47" t="str" s="33">
        <ns0:v>https://www.murata.com/products/productdata/8796740354078/QNFA9102.pdf</ns0:v>
      </ns0:c>
      <ns0:c r="Y47" t="str" s="33">
        <ns0:v>C:\Users\Nomatin\Documents\Altium\MY_LIB\MY_LIB\Datasheets\Ferrite_Beads\Murata_QNFA9102.pdf</ns0:v>
      </ns0:c>
      <ns0:c r="Z47" t="n" s="33">
        <ns0:v>120</ns0:v>
      </ns0:c>
      <ns0:c r="AA47" t="n" s="33">
        <ns0:v>100</ns0:v>
      </ns0:c>
      <ns0:c r="AB47" t="n" s="33">
        <ns0:v>3</ns0:v>
      </ns0:c>
      <ns0:c r="AC47" t="n" s="33">
        <ns0:v>1.55</ns0:v>
      </ns0:c>
      <ns0:c r="AD47" t="n" s="33">
        <ns0:v>0.03</ns0:v>
      </ns0:c>
      <ns0:c r="AE47" t="n" s="33">
        <ns0:v>-55</ns0:v>
      </ns0:c>
      <ns0:c r="AF47" t="n" s="33">
        <ns0:v>125</ns0:v>
      </ns0:c>
      <ns0:c r="AG47" t="str" s="33">
        <ns0:v>TA, °C; rated current at 85°C / 125°C</ns0:v>
      </ns0:c>
      <ns0:c r="AH47" t="str" s="33">
        <ns0:v>BLM21PG</ns0:v>
      </ns0:c>
      <ns0:c r="AI47" t="str" s="33">
        <ns0:v>Automotive powertrain/safety AEC-Q200</ns0:v>
      </ns0:c>
      <ns0:c r="AJ47" t="str" s="33">
        <ns0:v>180 mm paper tape</ns0:v>
      </ns0:c>
      <ns0:c r="AK47" t="n" s="33">
        <ns0:v>4000</ns0:v>
      </ns0:c>
      <ns0:c r="AL47" t="str" s="33">
        <ns0:v>JENF243A_9102P-01; source mirror includes cover</ns0:v>
      </ns0:c>
    </ns0:row>
    <ns0:row r="48" ht="72" customHeight="1">
      <ns0:c r="A48" t="str" s="33">
        <ns0:v>L0047</ns0:v>
      </ns0:c>
      <ns0:c r="B48" t="str" s="33">
        <ns0:v>Ферритовый фильтр</ns0:v>
      </ns0:c>
      <ns0:c r="C48" t="str" s="33">
        <ns0:v>120 Ом @ 100 МГц</ns0:v>
      </ns0:c>
      <ns0:c r="D48" t="str" s="34">
        <ns0:f>C48</ns0:f>
        <ns0:v>120 Ом @ 100 МГц</ns0:v>
      </ns0:c>
      <ns0:c r="E48" t="str" s="33">
        <ns0:v>±25%</ns0:v>
      </ns0:c>
      <ns0:c r="F48" s="33"/>
      <ns0:c r="G48" s="33"/>
      <ns0:c r="H48" t="str" s="35">
        <ns0:v>0805</ns0:v>
      </ns0:c>
      <ns0:c r="I48" t="str" s="33">
        <ns0:v>Murata</ns0:v>
      </ns0:c>
      <ns0:c r="J48" t="str" s="33">
        <ns0:v>BLM21PG121SH1J</ns0:v>
      </ns0:c>
      <ns0:c r="K48" t="str" s="34">
        <ns0:f>B48&amp;" "&amp;J48</ns0:f>
        <ns0:v>Ферритовый фильтр BLM21PG121SH1J</ns0:v>
      </ns0:c>
      <ns0:c r="L48" t="str" s="36">
        <ns0:v>Ferrite_Bead</ns0:v>
      </ns0:c>
      <ns0:c r="M48" t="str" s="36">
        <ns0:v>Symbols\MY_LIB_Inductors.SchLib</ns0:v>
      </ns0:c>
      <ns0:c r="N48" t="str" s="36">
        <ns0:v>Murata_BLM21PG_2012_Reflow</ns0:v>
      </ns0:c>
      <ns0:c r="O48" t="str" s="36">
        <ns0:v>Footprints\MY_LIB_Inductors.PcbLib</ns0:v>
      </ns0:c>
      <ns0:c r="P4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8" s="33"/>
      <ns0:c r="R48" t="str" s="34">
        <ns0:f>D48</ns0:f>
        <ns0:v>120 Ом @ 100 МГц</ns0:v>
      </ns0:c>
      <ns0:c r="S48" t="str" s="34">
        <ns0:f>K48</ns0:f>
        <ns0:v>Ферритовый фильтр BLM21PG121SH1J</ns0:v>
      </ns0:c>
      <ns0:c r="T48" t="str" s="33">
        <ns0:v>C:\Users\Nomatin\Documents\Altium\MY_LIB\MY_LIB\Datasheets\Ferrite_Beads\Murata_QNFA9102.pdf</ns0:v>
      </ns0:c>
      <ns0:c r="U48" t="str" s="33">
        <ns0:v>Даташит — локальный</ns0:v>
      </ns0:c>
      <ns0:c r="V48" t="str" s="33">
        <ns0:v>C:\Users\Nomatin\Documents\Altium\MY_LIB\MY_LIB\Datasheets\Ferrite_Beads\Murata_QNFA9102.pdf</ns0:v>
      </ns0:c>
      <ns0:c r="W48" t="str" s="33">
        <ns0:v>Даташит — производитель</ns0:v>
      </ns0:c>
      <ns0:c r="X48" t="str" s="33">
        <ns0:v>https://www.murata.com/products/productdata/8796740354078/QNFA9102.pdf</ns0:v>
      </ns0:c>
      <ns0:c r="Y48" t="str" s="33">
        <ns0:v>C:\Users\Nomatin\Documents\Altium\MY_LIB\MY_LIB\Datasheets\Ferrite_Beads\Murata_QNFA9102.pdf</ns0:v>
      </ns0:c>
      <ns0:c r="Z48" t="n" s="33">
        <ns0:v>120</ns0:v>
      </ns0:c>
      <ns0:c r="AA48" t="n" s="33">
        <ns0:v>100</ns0:v>
      </ns0:c>
      <ns0:c r="AB48" t="n" s="33">
        <ns0:v>3</ns0:v>
      </ns0:c>
      <ns0:c r="AC48" t="n" s="33">
        <ns0:v>1.55</ns0:v>
      </ns0:c>
      <ns0:c r="AD48" t="n" s="33">
        <ns0:v>0.03</ns0:v>
      </ns0:c>
      <ns0:c r="AE48" t="n" s="33">
        <ns0:v>-55</ns0:v>
      </ns0:c>
      <ns0:c r="AF48" t="n" s="33">
        <ns0:v>125</ns0:v>
      </ns0:c>
      <ns0:c r="AG48" t="str" s="33">
        <ns0:v>TA, °C; rated current at 85°C / 125°C</ns0:v>
      </ns0:c>
      <ns0:c r="AH48" t="str" s="33">
        <ns0:v>BLM21PG</ns0:v>
      </ns0:c>
      <ns0:c r="AI48" t="str" s="33">
        <ns0:v>Automotive powertrain/safety AEC-Q200</ns0:v>
      </ns0:c>
      <ns0:c r="AJ48" t="str" s="33">
        <ns0:v>330 mm paper tape</ns0:v>
      </ns0:c>
      <ns0:c r="AK48" t="n" s="33">
        <ns0:v>10000</ns0:v>
      </ns0:c>
      <ns0:c r="AL48" t="str" s="33">
        <ns0:v>JENF243A_9102P-01; source mirror includes cover</ns0:v>
      </ns0:c>
    </ns0:row>
    <ns0:row r="49" ht="72" customHeight="1">
      <ns0:c r="A49" t="str" s="33">
        <ns0:v>L0048</ns0:v>
      </ns0:c>
      <ns0:c r="B49" t="str" s="33">
        <ns0:v>Ферритовый фильтр</ns0:v>
      </ns0:c>
      <ns0:c r="C49" t="str" s="33">
        <ns0:v>120 Ом @ 100 МГц</ns0:v>
      </ns0:c>
      <ns0:c r="D49" t="str" s="34">
        <ns0:f>C49</ns0:f>
        <ns0:v>120 Ом @ 100 МГц</ns0:v>
      </ns0:c>
      <ns0:c r="E49" t="str" s="33">
        <ns0:v>±25%</ns0:v>
      </ns0:c>
      <ns0:c r="F49" s="33"/>
      <ns0:c r="G49" s="33"/>
      <ns0:c r="H49" t="str" s="35">
        <ns0:v>0805</ns0:v>
      </ns0:c>
      <ns0:c r="I49" t="str" s="33">
        <ns0:v>Murata</ns0:v>
      </ns0:c>
      <ns0:c r="J49" t="str" s="33">
        <ns0:v>BLM21PG121SH1B</ns0:v>
      </ns0:c>
      <ns0:c r="K49" t="str" s="34">
        <ns0:f>B49&amp;" "&amp;J49</ns0:f>
        <ns0:v>Ферритовый фильтр BLM21PG121SH1B</ns0:v>
      </ns0:c>
      <ns0:c r="L49" t="str" s="36">
        <ns0:v>Ferrite_Bead</ns0:v>
      </ns0:c>
      <ns0:c r="M49" t="str" s="36">
        <ns0:v>Symbols\MY_LIB_Inductors.SchLib</ns0:v>
      </ns0:c>
      <ns0:c r="N49" t="str" s="36">
        <ns0:v>Murata_BLM21PG_2012_Reflow</ns0:v>
      </ns0:c>
      <ns0:c r="O49" t="str" s="36">
        <ns0:v>Footprints\MY_LIB_Inductors.PcbLib</ns0:v>
      </ns0:c>
      <ns0:c r="P4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49" s="33"/>
      <ns0:c r="R49" t="str" s="34">
        <ns0:f>D49</ns0:f>
        <ns0:v>120 Ом @ 100 МГц</ns0:v>
      </ns0:c>
      <ns0:c r="S49" t="str" s="34">
        <ns0:f>K49</ns0:f>
        <ns0:v>Ферритовый фильтр BLM21PG121SH1B</ns0:v>
      </ns0:c>
      <ns0:c r="T49" t="str" s="33">
        <ns0:v>C:\Users\Nomatin\Documents\Altium\MY_LIB\MY_LIB\Datasheets\Ferrite_Beads\Murata_QNFA9102.pdf</ns0:v>
      </ns0:c>
      <ns0:c r="U49" t="str" s="33">
        <ns0:v>Даташит — локальный</ns0:v>
      </ns0:c>
      <ns0:c r="V49" t="str" s="33">
        <ns0:v>C:\Users\Nomatin\Documents\Altium\MY_LIB\MY_LIB\Datasheets\Ferrite_Beads\Murata_QNFA9102.pdf</ns0:v>
      </ns0:c>
      <ns0:c r="W49" t="str" s="33">
        <ns0:v>Даташит — производитель</ns0:v>
      </ns0:c>
      <ns0:c r="X49" t="str" s="33">
        <ns0:v>https://www.murata.com/products/productdata/8796740354078/QNFA9102.pdf</ns0:v>
      </ns0:c>
      <ns0:c r="Y49" t="str" s="33">
        <ns0:v>C:\Users\Nomatin\Documents\Altium\MY_LIB\MY_LIB\Datasheets\Ferrite_Beads\Murata_QNFA9102.pdf</ns0:v>
      </ns0:c>
      <ns0:c r="Z49" t="n" s="33">
        <ns0:v>120</ns0:v>
      </ns0:c>
      <ns0:c r="AA49" t="n" s="33">
        <ns0:v>100</ns0:v>
      </ns0:c>
      <ns0:c r="AB49" t="n" s="33">
        <ns0:v>3</ns0:v>
      </ns0:c>
      <ns0:c r="AC49" t="n" s="33">
        <ns0:v>1.55</ns0:v>
      </ns0:c>
      <ns0:c r="AD49" t="n" s="33">
        <ns0:v>0.03</ns0:v>
      </ns0:c>
      <ns0:c r="AE49" t="n" s="33">
        <ns0:v>-55</ns0:v>
      </ns0:c>
      <ns0:c r="AF49" t="n" s="33">
        <ns0:v>125</ns0:v>
      </ns0:c>
      <ns0:c r="AG49" t="str" s="33">
        <ns0:v>TA, °C; rated current at 85°C / 125°C</ns0:v>
      </ns0:c>
      <ns0:c r="AH49" t="str" s="33">
        <ns0:v>BLM21PG</ns0:v>
      </ns0:c>
      <ns0:c r="AI49" t="str" s="33">
        <ns0:v>Automotive powertrain/safety AEC-Q200</ns0:v>
      </ns0:c>
      <ns0:c r="AJ49" t="str" s="33">
        <ns0:v>Bulk (bag)</ns0:v>
      </ns0:c>
      <ns0:c r="AK49" t="n" s="33">
        <ns0:v>1000</ns0:v>
      </ns0:c>
      <ns0:c r="AL49" t="str" s="33">
        <ns0:v>JENF243A_9102P-01; source mirror includes cover</ns0:v>
      </ns0:c>
    </ns0:row>
    <ns0:row r="50" ht="72" customHeight="1">
      <ns0:c r="A50" t="str" s="33">
        <ns0:v>L0049</ns0:v>
      </ns0:c>
      <ns0:c r="B50" t="str" s="33">
        <ns0:v>Ферритовый фильтр</ns0:v>
      </ns0:c>
      <ns0:c r="C50" t="str" s="33">
        <ns0:v>220 Ом @ 100 МГц</ns0:v>
      </ns0:c>
      <ns0:c r="D50" t="str" s="34">
        <ns0:f>C50</ns0:f>
        <ns0:v>220 Ом @ 100 МГц</ns0:v>
      </ns0:c>
      <ns0:c r="E50" t="str" s="33">
        <ns0:v>±25%</ns0:v>
      </ns0:c>
      <ns0:c r="F50" s="33"/>
      <ns0:c r="G50" s="33"/>
      <ns0:c r="H50" t="str" s="35">
        <ns0:v>0805</ns0:v>
      </ns0:c>
      <ns0:c r="I50" t="str" s="33">
        <ns0:v>Murata</ns0:v>
      </ns0:c>
      <ns0:c r="J50" t="str" s="33">
        <ns0:v>BLM21PG221SH1D</ns0:v>
      </ns0:c>
      <ns0:c r="K50" t="str" s="34">
        <ns0:f>B50&amp;" "&amp;J50</ns0:f>
        <ns0:v>Ферритовый фильтр BLM21PG221SH1D</ns0:v>
      </ns0:c>
      <ns0:c r="L50" t="str" s="36">
        <ns0:v>Ferrite_Bead</ns0:v>
      </ns0:c>
      <ns0:c r="M50" t="str" s="36">
        <ns0:v>Symbols\MY_LIB_Inductors.SchLib</ns0:v>
      </ns0:c>
      <ns0:c r="N50" t="str" s="36">
        <ns0:v>Murata_BLM21PG_2012_Reflow</ns0:v>
      </ns0:c>
      <ns0:c r="O50" t="str" s="36">
        <ns0:v>Footprints\MY_LIB_Inductors.PcbLib</ns0:v>
      </ns0:c>
      <ns0:c r="P5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0" s="33"/>
      <ns0:c r="R50" t="str" s="34">
        <ns0:f>D50</ns0:f>
        <ns0:v>220 Ом @ 100 МГц</ns0:v>
      </ns0:c>
      <ns0:c r="S50" t="str" s="34">
        <ns0:f>K50</ns0:f>
        <ns0:v>Ферритовый фильтр BLM21PG221SH1D</ns0:v>
      </ns0:c>
      <ns0:c r="T50" t="str" s="33">
        <ns0:v>C:\Users\Nomatin\Documents\Altium\MY_LIB\MY_LIB\Datasheets\Ferrite_Beads\Murata_QNFA9102.pdf</ns0:v>
      </ns0:c>
      <ns0:c r="U50" t="str" s="33">
        <ns0:v>Даташит — локальный</ns0:v>
      </ns0:c>
      <ns0:c r="V50" t="str" s="33">
        <ns0:v>C:\Users\Nomatin\Documents\Altium\MY_LIB\MY_LIB\Datasheets\Ferrite_Beads\Murata_QNFA9102.pdf</ns0:v>
      </ns0:c>
      <ns0:c r="W50" t="str" s="33">
        <ns0:v>Даташит — производитель</ns0:v>
      </ns0:c>
      <ns0:c r="X50" t="str" s="33">
        <ns0:v>https://www.murata.com/products/productdata/8796740354078/QNFA9102.pdf</ns0:v>
      </ns0:c>
      <ns0:c r="Y50" t="str" s="33">
        <ns0:v>C:\Users\Nomatin\Documents\Altium\MY_LIB\MY_LIB\Datasheets\Ferrite_Beads\Murata_QNFA9102.pdf</ns0:v>
      </ns0:c>
      <ns0:c r="Z50" t="n" s="33">
        <ns0:v>220</ns0:v>
      </ns0:c>
      <ns0:c r="AA50" t="n" s="33">
        <ns0:v>100</ns0:v>
      </ns0:c>
      <ns0:c r="AB50" t="n" s="33">
        <ns0:v>2</ns0:v>
      </ns0:c>
      <ns0:c r="AC50" t="n" s="33">
        <ns0:v>1.25</ns0:v>
      </ns0:c>
      <ns0:c r="AD50" t="n" s="33">
        <ns0:v>0.045</ns0:v>
      </ns0:c>
      <ns0:c r="AE50" t="n" s="33">
        <ns0:v>-55</ns0:v>
      </ns0:c>
      <ns0:c r="AF50" t="n" s="33">
        <ns0:v>125</ns0:v>
      </ns0:c>
      <ns0:c r="AG50" t="str" s="33">
        <ns0:v>TA, °C; rated current at 85°C / 125°C</ns0:v>
      </ns0:c>
      <ns0:c r="AH50" t="str" s="33">
        <ns0:v>BLM21PG</ns0:v>
      </ns0:c>
      <ns0:c r="AI50" t="str" s="33">
        <ns0:v>Automotive powertrain/safety AEC-Q200</ns0:v>
      </ns0:c>
      <ns0:c r="AJ50" t="str" s="33">
        <ns0:v>180 mm paper tape</ns0:v>
      </ns0:c>
      <ns0:c r="AK50" t="n" s="33">
        <ns0:v>4000</ns0:v>
      </ns0:c>
      <ns0:c r="AL50" t="str" s="33">
        <ns0:v>JENF243A_9102P-01; source mirror includes cover</ns0:v>
      </ns0:c>
    </ns0:row>
    <ns0:row r="51" ht="72" customHeight="1">
      <ns0:c r="A51" t="str" s="33">
        <ns0:v>L0050</ns0:v>
      </ns0:c>
      <ns0:c r="B51" t="str" s="33">
        <ns0:v>Ферритовый фильтр</ns0:v>
      </ns0:c>
      <ns0:c r="C51" t="str" s="33">
        <ns0:v>220 Ом @ 100 МГц</ns0:v>
      </ns0:c>
      <ns0:c r="D51" t="str" s="34">
        <ns0:f>C51</ns0:f>
        <ns0:v>220 Ом @ 100 МГц</ns0:v>
      </ns0:c>
      <ns0:c r="E51" t="str" s="33">
        <ns0:v>±25%</ns0:v>
      </ns0:c>
      <ns0:c r="F51" s="33"/>
      <ns0:c r="G51" s="33"/>
      <ns0:c r="H51" t="str" s="35">
        <ns0:v>0805</ns0:v>
      </ns0:c>
      <ns0:c r="I51" t="str" s="33">
        <ns0:v>Murata</ns0:v>
      </ns0:c>
      <ns0:c r="J51" t="str" s="33">
        <ns0:v>BLM21PG221SH1J</ns0:v>
      </ns0:c>
      <ns0:c r="K51" t="str" s="34">
        <ns0:f>B51&amp;" "&amp;J51</ns0:f>
        <ns0:v>Ферритовый фильтр BLM21PG221SH1J</ns0:v>
      </ns0:c>
      <ns0:c r="L51" t="str" s="36">
        <ns0:v>Ferrite_Bead</ns0:v>
      </ns0:c>
      <ns0:c r="M51" t="str" s="36">
        <ns0:v>Symbols\MY_LIB_Inductors.SchLib</ns0:v>
      </ns0:c>
      <ns0:c r="N51" t="str" s="36">
        <ns0:v>Murata_BLM21PG_2012_Reflow</ns0:v>
      </ns0:c>
      <ns0:c r="O51" t="str" s="36">
        <ns0:v>Footprints\MY_LIB_Inductors.PcbLib</ns0:v>
      </ns0:c>
      <ns0:c r="P5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1" s="33"/>
      <ns0:c r="R51" t="str" s="34">
        <ns0:f>D51</ns0:f>
        <ns0:v>220 Ом @ 100 МГц</ns0:v>
      </ns0:c>
      <ns0:c r="S51" t="str" s="34">
        <ns0:f>K51</ns0:f>
        <ns0:v>Ферритовый фильтр BLM21PG221SH1J</ns0:v>
      </ns0:c>
      <ns0:c r="T51" t="str" s="33">
        <ns0:v>C:\Users\Nomatin\Documents\Altium\MY_LIB\MY_LIB\Datasheets\Ferrite_Beads\Murata_QNFA9102.pdf</ns0:v>
      </ns0:c>
      <ns0:c r="U51" t="str" s="33">
        <ns0:v>Даташит — локальный</ns0:v>
      </ns0:c>
      <ns0:c r="V51" t="str" s="33">
        <ns0:v>C:\Users\Nomatin\Documents\Altium\MY_LIB\MY_LIB\Datasheets\Ferrite_Beads\Murata_QNFA9102.pdf</ns0:v>
      </ns0:c>
      <ns0:c r="W51" t="str" s="33">
        <ns0:v>Даташит — производитель</ns0:v>
      </ns0:c>
      <ns0:c r="X51" t="str" s="33">
        <ns0:v>https://www.murata.com/products/productdata/8796740354078/QNFA9102.pdf</ns0:v>
      </ns0:c>
      <ns0:c r="Y51" t="str" s="33">
        <ns0:v>C:\Users\Nomatin\Documents\Altium\MY_LIB\MY_LIB\Datasheets\Ferrite_Beads\Murata_QNFA9102.pdf</ns0:v>
      </ns0:c>
      <ns0:c r="Z51" t="n" s="33">
        <ns0:v>220</ns0:v>
      </ns0:c>
      <ns0:c r="AA51" t="n" s="33">
        <ns0:v>100</ns0:v>
      </ns0:c>
      <ns0:c r="AB51" t="n" s="33">
        <ns0:v>2</ns0:v>
      </ns0:c>
      <ns0:c r="AC51" t="n" s="33">
        <ns0:v>1.25</ns0:v>
      </ns0:c>
      <ns0:c r="AD51" t="n" s="33">
        <ns0:v>0.045</ns0:v>
      </ns0:c>
      <ns0:c r="AE51" t="n" s="33">
        <ns0:v>-55</ns0:v>
      </ns0:c>
      <ns0:c r="AF51" t="n" s="33">
        <ns0:v>125</ns0:v>
      </ns0:c>
      <ns0:c r="AG51" t="str" s="33">
        <ns0:v>TA, °C; rated current at 85°C / 125°C</ns0:v>
      </ns0:c>
      <ns0:c r="AH51" t="str" s="33">
        <ns0:v>BLM21PG</ns0:v>
      </ns0:c>
      <ns0:c r="AI51" t="str" s="33">
        <ns0:v>Automotive powertrain/safety AEC-Q200</ns0:v>
      </ns0:c>
      <ns0:c r="AJ51" t="str" s="33">
        <ns0:v>330 mm paper tape</ns0:v>
      </ns0:c>
      <ns0:c r="AK51" t="n" s="33">
        <ns0:v>10000</ns0:v>
      </ns0:c>
      <ns0:c r="AL51" t="str" s="33">
        <ns0:v>JENF243A_9102P-01; source mirror includes cover</ns0:v>
      </ns0:c>
    </ns0:row>
    <ns0:row r="52" ht="72" customHeight="1">
      <ns0:c r="A52" t="str" s="33">
        <ns0:v>L0051</ns0:v>
      </ns0:c>
      <ns0:c r="B52" t="str" s="33">
        <ns0:v>Ферритовый фильтр</ns0:v>
      </ns0:c>
      <ns0:c r="C52" t="str" s="33">
        <ns0:v>220 Ом @ 100 МГц</ns0:v>
      </ns0:c>
      <ns0:c r="D52" t="str" s="34">
        <ns0:f>C52</ns0:f>
        <ns0:v>220 Ом @ 100 МГц</ns0:v>
      </ns0:c>
      <ns0:c r="E52" t="str" s="33">
        <ns0:v>±25%</ns0:v>
      </ns0:c>
      <ns0:c r="F52" s="33"/>
      <ns0:c r="G52" s="33"/>
      <ns0:c r="H52" t="str" s="35">
        <ns0:v>0805</ns0:v>
      </ns0:c>
      <ns0:c r="I52" t="str" s="33">
        <ns0:v>Murata</ns0:v>
      </ns0:c>
      <ns0:c r="J52" t="str" s="33">
        <ns0:v>BLM21PG221SH1B</ns0:v>
      </ns0:c>
      <ns0:c r="K52" t="str" s="34">
        <ns0:f>B52&amp;" "&amp;J52</ns0:f>
        <ns0:v>Ферритовый фильтр BLM21PG221SH1B</ns0:v>
      </ns0:c>
      <ns0:c r="L52" t="str" s="36">
        <ns0:v>Ferrite_Bead</ns0:v>
      </ns0:c>
      <ns0:c r="M52" t="str" s="36">
        <ns0:v>Symbols\MY_LIB_Inductors.SchLib</ns0:v>
      </ns0:c>
      <ns0:c r="N52" t="str" s="36">
        <ns0:v>Murata_BLM21PG_2012_Reflow</ns0:v>
      </ns0:c>
      <ns0:c r="O52" t="str" s="36">
        <ns0:v>Footprints\MY_LIB_Inductors.PcbLib</ns0:v>
      </ns0:c>
      <ns0:c r="P5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2" s="33"/>
      <ns0:c r="R52" t="str" s="34">
        <ns0:f>D52</ns0:f>
        <ns0:v>220 Ом @ 100 МГц</ns0:v>
      </ns0:c>
      <ns0:c r="S52" t="str" s="34">
        <ns0:f>K52</ns0:f>
        <ns0:v>Ферритовый фильтр BLM21PG221SH1B</ns0:v>
      </ns0:c>
      <ns0:c r="T52" t="str" s="33">
        <ns0:v>C:\Users\Nomatin\Documents\Altium\MY_LIB\MY_LIB\Datasheets\Ferrite_Beads\Murata_QNFA9102.pdf</ns0:v>
      </ns0:c>
      <ns0:c r="U52" t="str" s="33">
        <ns0:v>Даташит — локальный</ns0:v>
      </ns0:c>
      <ns0:c r="V52" t="str" s="33">
        <ns0:v>C:\Users\Nomatin\Documents\Altium\MY_LIB\MY_LIB\Datasheets\Ferrite_Beads\Murata_QNFA9102.pdf</ns0:v>
      </ns0:c>
      <ns0:c r="W52" t="str" s="33">
        <ns0:v>Даташит — производитель</ns0:v>
      </ns0:c>
      <ns0:c r="X52" t="str" s="33">
        <ns0:v>https://www.murata.com/products/productdata/8796740354078/QNFA9102.pdf</ns0:v>
      </ns0:c>
      <ns0:c r="Y52" t="str" s="33">
        <ns0:v>C:\Users\Nomatin\Documents\Altium\MY_LIB\MY_LIB\Datasheets\Ferrite_Beads\Murata_QNFA9102.pdf</ns0:v>
      </ns0:c>
      <ns0:c r="Z52" t="n" s="33">
        <ns0:v>220</ns0:v>
      </ns0:c>
      <ns0:c r="AA52" t="n" s="33">
        <ns0:v>100</ns0:v>
      </ns0:c>
      <ns0:c r="AB52" t="n" s="33">
        <ns0:v>2</ns0:v>
      </ns0:c>
      <ns0:c r="AC52" t="n" s="33">
        <ns0:v>1.25</ns0:v>
      </ns0:c>
      <ns0:c r="AD52" t="n" s="33">
        <ns0:v>0.045</ns0:v>
      </ns0:c>
      <ns0:c r="AE52" t="n" s="33">
        <ns0:v>-55</ns0:v>
      </ns0:c>
      <ns0:c r="AF52" t="n" s="33">
        <ns0:v>125</ns0:v>
      </ns0:c>
      <ns0:c r="AG52" t="str" s="33">
        <ns0:v>TA, °C; rated current at 85°C / 125°C</ns0:v>
      </ns0:c>
      <ns0:c r="AH52" t="str" s="33">
        <ns0:v>BLM21PG</ns0:v>
      </ns0:c>
      <ns0:c r="AI52" t="str" s="33">
        <ns0:v>Automotive powertrain/safety AEC-Q200</ns0:v>
      </ns0:c>
      <ns0:c r="AJ52" t="str" s="33">
        <ns0:v>Bulk (bag)</ns0:v>
      </ns0:c>
      <ns0:c r="AK52" t="n" s="33">
        <ns0:v>1000</ns0:v>
      </ns0:c>
      <ns0:c r="AL52" t="str" s="33">
        <ns0:v>JENF243A_9102P-01; source mirror includes cover</ns0:v>
      </ns0:c>
    </ns0:row>
    <ns0:row r="53" ht="72" customHeight="1">
      <ns0:c r="A53" t="str" s="33">
        <ns0:v>L0052</ns0:v>
      </ns0:c>
      <ns0:c r="B53" t="str" s="33">
        <ns0:v>Ферритовый фильтр</ns0:v>
      </ns0:c>
      <ns0:c r="C53" t="str" s="33">
        <ns0:v>330 Ом @ 100 МГц</ns0:v>
      </ns0:c>
      <ns0:c r="D53" t="str" s="34">
        <ns0:f>C53</ns0:f>
        <ns0:v>330 Ом @ 100 МГц</ns0:v>
      </ns0:c>
      <ns0:c r="E53" t="str" s="33">
        <ns0:v>±25%</ns0:v>
      </ns0:c>
      <ns0:c r="F53" s="33"/>
      <ns0:c r="G53" s="33"/>
      <ns0:c r="H53" t="str" s="35">
        <ns0:v>0805</ns0:v>
      </ns0:c>
      <ns0:c r="I53" t="str" s="33">
        <ns0:v>Murata</ns0:v>
      </ns0:c>
      <ns0:c r="J53" t="str" s="33">
        <ns0:v>BLM21PG331SH1D</ns0:v>
      </ns0:c>
      <ns0:c r="K53" t="str" s="34">
        <ns0:f>B53&amp;" "&amp;J53</ns0:f>
        <ns0:v>Ферритовый фильтр BLM21PG331SH1D</ns0:v>
      </ns0:c>
      <ns0:c r="L53" t="str" s="36">
        <ns0:v>Ferrite_Bead</ns0:v>
      </ns0:c>
      <ns0:c r="M53" t="str" s="36">
        <ns0:v>Symbols\MY_LIB_Inductors.SchLib</ns0:v>
      </ns0:c>
      <ns0:c r="N53" t="str" s="36">
        <ns0:v>Murata_BLM21PG_2012_Reflow</ns0:v>
      </ns0:c>
      <ns0:c r="O53" t="str" s="36">
        <ns0:v>Footprints\MY_LIB_Inductors.PcbLib</ns0:v>
      </ns0:c>
      <ns0:c r="P5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3" s="33"/>
      <ns0:c r="R53" t="str" s="34">
        <ns0:f>D53</ns0:f>
        <ns0:v>330 Ом @ 100 МГц</ns0:v>
      </ns0:c>
      <ns0:c r="S53" t="str" s="34">
        <ns0:f>K53</ns0:f>
        <ns0:v>Ферритовый фильтр BLM21PG331SH1D</ns0:v>
      </ns0:c>
      <ns0:c r="T53" t="str" s="33">
        <ns0:v>C:\Users\Nomatin\Documents\Altium\MY_LIB\MY_LIB\Datasheets\Ferrite_Beads\Murata_QNFA9102.pdf</ns0:v>
      </ns0:c>
      <ns0:c r="U53" t="str" s="33">
        <ns0:v>Даташит — локальный</ns0:v>
      </ns0:c>
      <ns0:c r="V53" t="str" s="33">
        <ns0:v>C:\Users\Nomatin\Documents\Altium\MY_LIB\MY_LIB\Datasheets\Ferrite_Beads\Murata_QNFA9102.pdf</ns0:v>
      </ns0:c>
      <ns0:c r="W53" t="str" s="33">
        <ns0:v>Даташит — производитель</ns0:v>
      </ns0:c>
      <ns0:c r="X53" t="str" s="33">
        <ns0:v>https://www.murata.com/products/productdata/8796740354078/QNFA9102.pdf</ns0:v>
      </ns0:c>
      <ns0:c r="Y53" t="str" s="33">
        <ns0:v>C:\Users\Nomatin\Documents\Altium\MY_LIB\MY_LIB\Datasheets\Ferrite_Beads\Murata_QNFA9102.pdf</ns0:v>
      </ns0:c>
      <ns0:c r="Z53" t="n" s="33">
        <ns0:v>330</ns0:v>
      </ns0:c>
      <ns0:c r="AA53" t="n" s="33">
        <ns0:v>100</ns0:v>
      </ns0:c>
      <ns0:c r="AB53" t="n" s="33">
        <ns0:v>1.5</ns0:v>
      </ns0:c>
      <ns0:c r="AC53" t="n" s="33">
        <ns0:v>1</ns0:v>
      </ns0:c>
      <ns0:c r="AD53" t="n" s="33">
        <ns0:v>0.07</ns0:v>
      </ns0:c>
      <ns0:c r="AE53" t="n" s="33">
        <ns0:v>-55</ns0:v>
      </ns0:c>
      <ns0:c r="AF53" t="n" s="33">
        <ns0:v>125</ns0:v>
      </ns0:c>
      <ns0:c r="AG53" t="str" s="33">
        <ns0:v>TA, °C; rated current at 85°C / 125°C</ns0:v>
      </ns0:c>
      <ns0:c r="AH53" t="str" s="33">
        <ns0:v>BLM21PG</ns0:v>
      </ns0:c>
      <ns0:c r="AI53" t="str" s="33">
        <ns0:v>Automotive powertrain/safety AEC-Q200</ns0:v>
      </ns0:c>
      <ns0:c r="AJ53" t="str" s="33">
        <ns0:v>180 mm paper tape</ns0:v>
      </ns0:c>
      <ns0:c r="AK53" t="n" s="33">
        <ns0:v>4000</ns0:v>
      </ns0:c>
      <ns0:c r="AL53" t="str" s="33">
        <ns0:v>JENF243A_9102P-01; source mirror includes cover</ns0:v>
      </ns0:c>
    </ns0:row>
    <ns0:row r="54" ht="72" customHeight="1">
      <ns0:c r="A54" t="str" s="33">
        <ns0:v>L0053</ns0:v>
      </ns0:c>
      <ns0:c r="B54" t="str" s="33">
        <ns0:v>Ферритовый фильтр</ns0:v>
      </ns0:c>
      <ns0:c r="C54" t="str" s="33">
        <ns0:v>330 Ом @ 100 МГц</ns0:v>
      </ns0:c>
      <ns0:c r="D54" t="str" s="34">
        <ns0:f>C54</ns0:f>
        <ns0:v>330 Ом @ 100 МГц</ns0:v>
      </ns0:c>
      <ns0:c r="E54" t="str" s="33">
        <ns0:v>±25%</ns0:v>
      </ns0:c>
      <ns0:c r="F54" s="33"/>
      <ns0:c r="G54" s="33"/>
      <ns0:c r="H54" t="str" s="35">
        <ns0:v>0805</ns0:v>
      </ns0:c>
      <ns0:c r="I54" t="str" s="33">
        <ns0:v>Murata</ns0:v>
      </ns0:c>
      <ns0:c r="J54" t="str" s="33">
        <ns0:v>BLM21PG331SH1J</ns0:v>
      </ns0:c>
      <ns0:c r="K54" t="str" s="34">
        <ns0:f>B54&amp;" "&amp;J54</ns0:f>
        <ns0:v>Ферритовый фильтр BLM21PG331SH1J</ns0:v>
      </ns0:c>
      <ns0:c r="L54" t="str" s="36">
        <ns0:v>Ferrite_Bead</ns0:v>
      </ns0:c>
      <ns0:c r="M54" t="str" s="36">
        <ns0:v>Symbols\MY_LIB_Inductors.SchLib</ns0:v>
      </ns0:c>
      <ns0:c r="N54" t="str" s="36">
        <ns0:v>Murata_BLM21PG_2012_Reflow</ns0:v>
      </ns0:c>
      <ns0:c r="O54" t="str" s="36">
        <ns0:v>Footprints\MY_LIB_Inductors.PcbLib</ns0:v>
      </ns0:c>
      <ns0:c r="P5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4" s="33"/>
      <ns0:c r="R54" t="str" s="34">
        <ns0:f>D54</ns0:f>
        <ns0:v>330 Ом @ 100 МГц</ns0:v>
      </ns0:c>
      <ns0:c r="S54" t="str" s="34">
        <ns0:f>K54</ns0:f>
        <ns0:v>Ферритовый фильтр BLM21PG331SH1J</ns0:v>
      </ns0:c>
      <ns0:c r="T54" t="str" s="33">
        <ns0:v>C:\Users\Nomatin\Documents\Altium\MY_LIB\MY_LIB\Datasheets\Ferrite_Beads\Murata_QNFA9102.pdf</ns0:v>
      </ns0:c>
      <ns0:c r="U54" t="str" s="33">
        <ns0:v>Даташит — локальный</ns0:v>
      </ns0:c>
      <ns0:c r="V54" t="str" s="33">
        <ns0:v>C:\Users\Nomatin\Documents\Altium\MY_LIB\MY_LIB\Datasheets\Ferrite_Beads\Murata_QNFA9102.pdf</ns0:v>
      </ns0:c>
      <ns0:c r="W54" t="str" s="33">
        <ns0:v>Даташит — производитель</ns0:v>
      </ns0:c>
      <ns0:c r="X54" t="str" s="33">
        <ns0:v>https://www.murata.com/products/productdata/8796740354078/QNFA9102.pdf</ns0:v>
      </ns0:c>
      <ns0:c r="Y54" t="str" s="33">
        <ns0:v>C:\Users\Nomatin\Documents\Altium\MY_LIB\MY_LIB\Datasheets\Ferrite_Beads\Murata_QNFA9102.pdf</ns0:v>
      </ns0:c>
      <ns0:c r="Z54" t="n" s="33">
        <ns0:v>330</ns0:v>
      </ns0:c>
      <ns0:c r="AA54" t="n" s="33">
        <ns0:v>100</ns0:v>
      </ns0:c>
      <ns0:c r="AB54" t="n" s="33">
        <ns0:v>1.5</ns0:v>
      </ns0:c>
      <ns0:c r="AC54" t="n" s="33">
        <ns0:v>1</ns0:v>
      </ns0:c>
      <ns0:c r="AD54" t="n" s="33">
        <ns0:v>0.07</ns0:v>
      </ns0:c>
      <ns0:c r="AE54" t="n" s="33">
        <ns0:v>-55</ns0:v>
      </ns0:c>
      <ns0:c r="AF54" t="n" s="33">
        <ns0:v>125</ns0:v>
      </ns0:c>
      <ns0:c r="AG54" t="str" s="33">
        <ns0:v>TA, °C; rated current at 85°C / 125°C</ns0:v>
      </ns0:c>
      <ns0:c r="AH54" t="str" s="33">
        <ns0:v>BLM21PG</ns0:v>
      </ns0:c>
      <ns0:c r="AI54" t="str" s="33">
        <ns0:v>Automotive powertrain/safety AEC-Q200</ns0:v>
      </ns0:c>
      <ns0:c r="AJ54" t="str" s="33">
        <ns0:v>330 mm paper tape</ns0:v>
      </ns0:c>
      <ns0:c r="AK54" t="n" s="33">
        <ns0:v>10000</ns0:v>
      </ns0:c>
      <ns0:c r="AL54" t="str" s="33">
        <ns0:v>JENF243A_9102P-01; source mirror includes cover</ns0:v>
      </ns0:c>
    </ns0:row>
    <ns0:row r="55" ht="72" customHeight="1">
      <ns0:c r="A55" t="str" s="33">
        <ns0:v>L0054</ns0:v>
      </ns0:c>
      <ns0:c r="B55" t="str" s="33">
        <ns0:v>Ферритовый фильтр</ns0:v>
      </ns0:c>
      <ns0:c r="C55" t="str" s="33">
        <ns0:v>330 Ом @ 100 МГц</ns0:v>
      </ns0:c>
      <ns0:c r="D55" t="str" s="34">
        <ns0:f>C55</ns0:f>
        <ns0:v>330 Ом @ 100 МГц</ns0:v>
      </ns0:c>
      <ns0:c r="E55" t="str" s="33">
        <ns0:v>±25%</ns0:v>
      </ns0:c>
      <ns0:c r="F55" s="33"/>
      <ns0:c r="G55" s="33"/>
      <ns0:c r="H55" t="str" s="35">
        <ns0:v>0805</ns0:v>
      </ns0:c>
      <ns0:c r="I55" t="str" s="33">
        <ns0:v>Murata</ns0:v>
      </ns0:c>
      <ns0:c r="J55" t="str" s="33">
        <ns0:v>BLM21PG331SH1B</ns0:v>
      </ns0:c>
      <ns0:c r="K55" t="str" s="34">
        <ns0:f>B55&amp;" "&amp;J55</ns0:f>
        <ns0:v>Ферритовый фильтр BLM21PG331SH1B</ns0:v>
      </ns0:c>
      <ns0:c r="L55" t="str" s="36">
        <ns0:v>Ferrite_Bead</ns0:v>
      </ns0:c>
      <ns0:c r="M55" t="str" s="36">
        <ns0:v>Symbols\MY_LIB_Inductors.SchLib</ns0:v>
      </ns0:c>
      <ns0:c r="N55" t="str" s="36">
        <ns0:v>Murata_BLM21PG_2012_Reflow</ns0:v>
      </ns0:c>
      <ns0:c r="O55" t="str" s="36">
        <ns0:v>Footprints\MY_LIB_Inductors.PcbLib</ns0:v>
      </ns0:c>
      <ns0:c r="P5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5" s="33"/>
      <ns0:c r="R55" t="str" s="34">
        <ns0:f>D55</ns0:f>
        <ns0:v>330 Ом @ 100 МГц</ns0:v>
      </ns0:c>
      <ns0:c r="S55" t="str" s="34">
        <ns0:f>K55</ns0:f>
        <ns0:v>Ферритовый фильтр BLM21PG331SH1B</ns0:v>
      </ns0:c>
      <ns0:c r="T55" t="str" s="33">
        <ns0:v>C:\Users\Nomatin\Documents\Altium\MY_LIB\MY_LIB\Datasheets\Ferrite_Beads\Murata_QNFA9102.pdf</ns0:v>
      </ns0:c>
      <ns0:c r="U55" t="str" s="33">
        <ns0:v>Даташит — локальный</ns0:v>
      </ns0:c>
      <ns0:c r="V55" t="str" s="33">
        <ns0:v>C:\Users\Nomatin\Documents\Altium\MY_LIB\MY_LIB\Datasheets\Ferrite_Beads\Murata_QNFA9102.pdf</ns0:v>
      </ns0:c>
      <ns0:c r="W55" t="str" s="33">
        <ns0:v>Даташит — производитель</ns0:v>
      </ns0:c>
      <ns0:c r="X55" t="str" s="33">
        <ns0:v>https://www.murata.com/products/productdata/8796740354078/QNFA9102.pdf</ns0:v>
      </ns0:c>
      <ns0:c r="Y55" t="str" s="33">
        <ns0:v>C:\Users\Nomatin\Documents\Altium\MY_LIB\MY_LIB\Datasheets\Ferrite_Beads\Murata_QNFA9102.pdf</ns0:v>
      </ns0:c>
      <ns0:c r="Z55" t="n" s="33">
        <ns0:v>330</ns0:v>
      </ns0:c>
      <ns0:c r="AA55" t="n" s="33">
        <ns0:v>100</ns0:v>
      </ns0:c>
      <ns0:c r="AB55" t="n" s="33">
        <ns0:v>1.5</ns0:v>
      </ns0:c>
      <ns0:c r="AC55" t="n" s="33">
        <ns0:v>1</ns0:v>
      </ns0:c>
      <ns0:c r="AD55" t="n" s="33">
        <ns0:v>0.07</ns0:v>
      </ns0:c>
      <ns0:c r="AE55" t="n" s="33">
        <ns0:v>-55</ns0:v>
      </ns0:c>
      <ns0:c r="AF55" t="n" s="33">
        <ns0:v>125</ns0:v>
      </ns0:c>
      <ns0:c r="AG55" t="str" s="33">
        <ns0:v>TA, °C; rated current at 85°C / 125°C</ns0:v>
      </ns0:c>
      <ns0:c r="AH55" t="str" s="33">
        <ns0:v>BLM21PG</ns0:v>
      </ns0:c>
      <ns0:c r="AI55" t="str" s="33">
        <ns0:v>Automotive powertrain/safety AEC-Q200</ns0:v>
      </ns0:c>
      <ns0:c r="AJ55" t="str" s="33">
        <ns0:v>Bulk (bag)</ns0:v>
      </ns0:c>
      <ns0:c r="AK55" t="n" s="33">
        <ns0:v>1000</ns0:v>
      </ns0:c>
      <ns0:c r="AL55" t="str" s="33">
        <ns0:v>JENF243A_9102P-01; source mirror includes cover</ns0:v>
      </ns0:c>
    </ns0:row>
    <ns0:row r="56" ht="72" customHeight="1">
      <ns0:c r="A56" t="str" s="33">
        <ns0:v>L0055</ns0:v>
      </ns0:c>
      <ns0:c r="B56" t="str" s="33">
        <ns0:v>Ферритовый фильтр</ns0:v>
      </ns0:c>
      <ns0:c r="C56" t="str" s="33">
        <ns0:v>600 Ом @ 100 МГц</ns0:v>
      </ns0:c>
      <ns0:c r="D56" t="str" s="34">
        <ns0:f>C56</ns0:f>
        <ns0:v>600 Ом @ 100 МГц</ns0:v>
      </ns0:c>
      <ns0:c r="E56" t="str" s="33">
        <ns0:v>±25%</ns0:v>
      </ns0:c>
      <ns0:c r="F56" s="33"/>
      <ns0:c r="G56" s="33"/>
      <ns0:c r="H56" t="str" s="35">
        <ns0:v>0805</ns0:v>
      </ns0:c>
      <ns0:c r="I56" t="str" s="33">
        <ns0:v>Murata</ns0:v>
      </ns0:c>
      <ns0:c r="J56" t="str" s="33">
        <ns0:v>BLM21PG601SH1D</ns0:v>
      </ns0:c>
      <ns0:c r="K56" t="str" s="34">
        <ns0:f>B56&amp;" "&amp;J56</ns0:f>
        <ns0:v>Ферритовый фильтр BLM21PG601SH1D</ns0:v>
      </ns0:c>
      <ns0:c r="L56" t="str" s="36">
        <ns0:v>Ferrite_Bead</ns0:v>
      </ns0:c>
      <ns0:c r="M56" t="str" s="36">
        <ns0:v>Symbols\MY_LIB_Inductors.SchLib</ns0:v>
      </ns0:c>
      <ns0:c r="N56" t="str" s="36">
        <ns0:v>Murata_BLM21PG_2012_Reflow</ns0:v>
      </ns0:c>
      <ns0:c r="O56" t="str" s="36">
        <ns0:v>Footprints\MY_LIB_Inductors.PcbLib</ns0:v>
      </ns0:c>
      <ns0:c r="P5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6" s="33"/>
      <ns0:c r="R56" t="str" s="34">
        <ns0:f>D56</ns0:f>
        <ns0:v>600 Ом @ 100 МГц</ns0:v>
      </ns0:c>
      <ns0:c r="S56" t="str" s="34">
        <ns0:f>K56</ns0:f>
        <ns0:v>Ферритовый фильтр BLM21PG601SH1D</ns0:v>
      </ns0:c>
      <ns0:c r="T56" t="str" s="33">
        <ns0:v>C:\Users\Nomatin\Documents\Altium\MY_LIB\MY_LIB\Datasheets\Ferrite_Beads\Murata_QNFA9102.pdf</ns0:v>
      </ns0:c>
      <ns0:c r="U56" t="str" s="33">
        <ns0:v>Даташит — локальный</ns0:v>
      </ns0:c>
      <ns0:c r="V56" t="str" s="33">
        <ns0:v>C:\Users\Nomatin\Documents\Altium\MY_LIB\MY_LIB\Datasheets\Ferrite_Beads\Murata_QNFA9102.pdf</ns0:v>
      </ns0:c>
      <ns0:c r="W56" t="str" s="33">
        <ns0:v>Даташит — производитель</ns0:v>
      </ns0:c>
      <ns0:c r="X56" t="str" s="33">
        <ns0:v>https://www.murata.com/products/productdata/8796740354078/QNFA9102.pdf</ns0:v>
      </ns0:c>
      <ns0:c r="Y56" t="str" s="33">
        <ns0:v>C:\Users\Nomatin\Documents\Altium\MY_LIB\MY_LIB\Datasheets\Ferrite_Beads\Murata_QNFA9102.pdf</ns0:v>
      </ns0:c>
      <ns0:c r="Z56" t="n" s="33">
        <ns0:v>600</ns0:v>
      </ns0:c>
      <ns0:c r="AA56" t="n" s="33">
        <ns0:v>100</ns0:v>
      </ns0:c>
      <ns0:c r="AB56" t="n" s="33">
        <ns0:v>1.4</ns0:v>
      </ns0:c>
      <ns0:c r="AC56" t="n" s="33">
        <ns0:v>0.9</ns0:v>
      </ns0:c>
      <ns0:c r="AD56" t="n" s="33">
        <ns0:v>0.14</ns0:v>
      </ns0:c>
      <ns0:c r="AE56" t="n" s="33">
        <ns0:v>-55</ns0:v>
      </ns0:c>
      <ns0:c r="AF56" t="n" s="33">
        <ns0:v>125</ns0:v>
      </ns0:c>
      <ns0:c r="AG56" t="str" s="33">
        <ns0:v>TA, °C; rated current at 85°C / 125°C</ns0:v>
      </ns0:c>
      <ns0:c r="AH56" t="str" s="33">
        <ns0:v>BLM21PG</ns0:v>
      </ns0:c>
      <ns0:c r="AI56" t="str" s="33">
        <ns0:v>Automotive powertrain/safety AEC-Q200</ns0:v>
      </ns0:c>
      <ns0:c r="AJ56" t="str" s="33">
        <ns0:v>180 mm paper tape</ns0:v>
      </ns0:c>
      <ns0:c r="AK56" t="n" s="33">
        <ns0:v>4000</ns0:v>
      </ns0:c>
      <ns0:c r="AL56" t="str" s="33">
        <ns0:v>JENF243A_9102P-01; source mirror includes cover</ns0:v>
      </ns0:c>
    </ns0:row>
    <ns0:row r="57" ht="72" customHeight="1">
      <ns0:c r="A57" t="str" s="33">
        <ns0:v>L0056</ns0:v>
      </ns0:c>
      <ns0:c r="B57" t="str" s="33">
        <ns0:v>Ферритовый фильтр</ns0:v>
      </ns0:c>
      <ns0:c r="C57" t="str" s="33">
        <ns0:v>600 Ом @ 100 МГц</ns0:v>
      </ns0:c>
      <ns0:c r="D57" t="str" s="34">
        <ns0:f>C57</ns0:f>
        <ns0:v>600 Ом @ 100 МГц</ns0:v>
      </ns0:c>
      <ns0:c r="E57" t="str" s="33">
        <ns0:v>±25%</ns0:v>
      </ns0:c>
      <ns0:c r="F57" s="33"/>
      <ns0:c r="G57" s="33"/>
      <ns0:c r="H57" t="str" s="35">
        <ns0:v>0805</ns0:v>
      </ns0:c>
      <ns0:c r="I57" t="str" s="33">
        <ns0:v>Murata</ns0:v>
      </ns0:c>
      <ns0:c r="J57" t="str" s="33">
        <ns0:v>BLM21PG601SH1J</ns0:v>
      </ns0:c>
      <ns0:c r="K57" t="str" s="34">
        <ns0:f>B57&amp;" "&amp;J57</ns0:f>
        <ns0:v>Ферритовый фильтр BLM21PG601SH1J</ns0:v>
      </ns0:c>
      <ns0:c r="L57" t="str" s="36">
        <ns0:v>Ferrite_Bead</ns0:v>
      </ns0:c>
      <ns0:c r="M57" t="str" s="36">
        <ns0:v>Symbols\MY_LIB_Inductors.SchLib</ns0:v>
      </ns0:c>
      <ns0:c r="N57" t="str" s="36">
        <ns0:v>Murata_BLM21PG_2012_Reflow</ns0:v>
      </ns0:c>
      <ns0:c r="O57" t="str" s="36">
        <ns0:v>Footprints\MY_LIB_Inductors.PcbLib</ns0:v>
      </ns0:c>
      <ns0:c r="P5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7" s="33"/>
      <ns0:c r="R57" t="str" s="34">
        <ns0:f>D57</ns0:f>
        <ns0:v>600 Ом @ 100 МГц</ns0:v>
      </ns0:c>
      <ns0:c r="S57" t="str" s="34">
        <ns0:f>K57</ns0:f>
        <ns0:v>Ферритовый фильтр BLM21PG601SH1J</ns0:v>
      </ns0:c>
      <ns0:c r="T57" t="str" s="33">
        <ns0:v>C:\Users\Nomatin\Documents\Altium\MY_LIB\MY_LIB\Datasheets\Ferrite_Beads\Murata_QNFA9102.pdf</ns0:v>
      </ns0:c>
      <ns0:c r="U57" t="str" s="33">
        <ns0:v>Даташит — локальный</ns0:v>
      </ns0:c>
      <ns0:c r="V57" t="str" s="33">
        <ns0:v>C:\Users\Nomatin\Documents\Altium\MY_LIB\MY_LIB\Datasheets\Ferrite_Beads\Murata_QNFA9102.pdf</ns0:v>
      </ns0:c>
      <ns0:c r="W57" t="str" s="33">
        <ns0:v>Даташит — производитель</ns0:v>
      </ns0:c>
      <ns0:c r="X57" t="str" s="33">
        <ns0:v>https://www.murata.com/products/productdata/8796740354078/QNFA9102.pdf</ns0:v>
      </ns0:c>
      <ns0:c r="Y57" t="str" s="33">
        <ns0:v>C:\Users\Nomatin\Documents\Altium\MY_LIB\MY_LIB\Datasheets\Ferrite_Beads\Murata_QNFA9102.pdf</ns0:v>
      </ns0:c>
      <ns0:c r="Z57" t="n" s="33">
        <ns0:v>600</ns0:v>
      </ns0:c>
      <ns0:c r="AA57" t="n" s="33">
        <ns0:v>100</ns0:v>
      </ns0:c>
      <ns0:c r="AB57" t="n" s="33">
        <ns0:v>1.4</ns0:v>
      </ns0:c>
      <ns0:c r="AC57" t="n" s="33">
        <ns0:v>0.9</ns0:v>
      </ns0:c>
      <ns0:c r="AD57" t="n" s="33">
        <ns0:v>0.14</ns0:v>
      </ns0:c>
      <ns0:c r="AE57" t="n" s="33">
        <ns0:v>-55</ns0:v>
      </ns0:c>
      <ns0:c r="AF57" t="n" s="33">
        <ns0:v>125</ns0:v>
      </ns0:c>
      <ns0:c r="AG57" t="str" s="33">
        <ns0:v>TA, °C; rated current at 85°C / 125°C</ns0:v>
      </ns0:c>
      <ns0:c r="AH57" t="str" s="33">
        <ns0:v>BLM21PG</ns0:v>
      </ns0:c>
      <ns0:c r="AI57" t="str" s="33">
        <ns0:v>Automotive powertrain/safety AEC-Q200</ns0:v>
      </ns0:c>
      <ns0:c r="AJ57" t="str" s="33">
        <ns0:v>330 mm paper tape</ns0:v>
      </ns0:c>
      <ns0:c r="AK57" t="n" s="33">
        <ns0:v>10000</ns0:v>
      </ns0:c>
      <ns0:c r="AL57" t="str" s="33">
        <ns0:v>JENF243A_9102P-01; source mirror includes cover</ns0:v>
      </ns0:c>
    </ns0:row>
    <ns0:row r="58" ht="72" customHeight="1">
      <ns0:c r="A58" t="str" s="33">
        <ns0:v>L0057</ns0:v>
      </ns0:c>
      <ns0:c r="B58" t="str" s="33">
        <ns0:v>Ферритовый фильтр</ns0:v>
      </ns0:c>
      <ns0:c r="C58" t="str" s="33">
        <ns0:v>600 Ом @ 100 МГц</ns0:v>
      </ns0:c>
      <ns0:c r="D58" t="str" s="34">
        <ns0:f>C58</ns0:f>
        <ns0:v>600 Ом @ 100 МГц</ns0:v>
      </ns0:c>
      <ns0:c r="E58" t="str" s="33">
        <ns0:v>±25%</ns0:v>
      </ns0:c>
      <ns0:c r="F58" s="33"/>
      <ns0:c r="G58" s="33"/>
      <ns0:c r="H58" t="str" s="35">
        <ns0:v>0805</ns0:v>
      </ns0:c>
      <ns0:c r="I58" t="str" s="33">
        <ns0:v>Murata</ns0:v>
      </ns0:c>
      <ns0:c r="J58" t="str" s="33">
        <ns0:v>BLM21PG601SH1B</ns0:v>
      </ns0:c>
      <ns0:c r="K58" t="str" s="34">
        <ns0:f>B58&amp;" "&amp;J58</ns0:f>
        <ns0:v>Ферритовый фильтр BLM21PG601SH1B</ns0:v>
      </ns0:c>
      <ns0:c r="L58" t="str" s="36">
        <ns0:v>Ferrite_Bead</ns0:v>
      </ns0:c>
      <ns0:c r="M58" t="str" s="36">
        <ns0:v>Symbols\MY_LIB_Inductors.SchLib</ns0:v>
      </ns0:c>
      <ns0:c r="N58" t="str" s="36">
        <ns0:v>Murata_BLM21PG_2012_Reflow</ns0:v>
      </ns0:c>
      <ns0:c r="O58" t="str" s="36">
        <ns0:v>Footprints\MY_LIB_Inductors.PcbLib</ns0:v>
      </ns0:c>
      <ns0:c r="P5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8" s="33"/>
      <ns0:c r="R58" t="str" s="34">
        <ns0:f>D58</ns0:f>
        <ns0:v>600 Ом @ 100 МГц</ns0:v>
      </ns0:c>
      <ns0:c r="S58" t="str" s="34">
        <ns0:f>K58</ns0:f>
        <ns0:v>Ферритовый фильтр BLM21PG601SH1B</ns0:v>
      </ns0:c>
      <ns0:c r="T58" t="str" s="33">
        <ns0:v>C:\Users\Nomatin\Documents\Altium\MY_LIB\MY_LIB\Datasheets\Ferrite_Beads\Murata_QNFA9102.pdf</ns0:v>
      </ns0:c>
      <ns0:c r="U58" t="str" s="33">
        <ns0:v>Даташит — локальный</ns0:v>
      </ns0:c>
      <ns0:c r="V58" t="str" s="33">
        <ns0:v>C:\Users\Nomatin\Documents\Altium\MY_LIB\MY_LIB\Datasheets\Ferrite_Beads\Murata_QNFA9102.pdf</ns0:v>
      </ns0:c>
      <ns0:c r="W58" t="str" s="33">
        <ns0:v>Даташит — производитель</ns0:v>
      </ns0:c>
      <ns0:c r="X58" t="str" s="33">
        <ns0:v>https://www.murata.com/products/productdata/8796740354078/QNFA9102.pdf</ns0:v>
      </ns0:c>
      <ns0:c r="Y58" t="str" s="33">
        <ns0:v>C:\Users\Nomatin\Documents\Altium\MY_LIB\MY_LIB\Datasheets\Ferrite_Beads\Murata_QNFA9102.pdf</ns0:v>
      </ns0:c>
      <ns0:c r="Z58" t="n" s="33">
        <ns0:v>600</ns0:v>
      </ns0:c>
      <ns0:c r="AA58" t="n" s="33">
        <ns0:v>100</ns0:v>
      </ns0:c>
      <ns0:c r="AB58" t="n" s="33">
        <ns0:v>1.4</ns0:v>
      </ns0:c>
      <ns0:c r="AC58" t="n" s="33">
        <ns0:v>0.9</ns0:v>
      </ns0:c>
      <ns0:c r="AD58" t="n" s="33">
        <ns0:v>0.14</ns0:v>
      </ns0:c>
      <ns0:c r="AE58" t="n" s="33">
        <ns0:v>-55</ns0:v>
      </ns0:c>
      <ns0:c r="AF58" t="n" s="33">
        <ns0:v>125</ns0:v>
      </ns0:c>
      <ns0:c r="AG58" t="str" s="33">
        <ns0:v>TA, °C; rated current at 85°C / 125°C</ns0:v>
      </ns0:c>
      <ns0:c r="AH58" t="str" s="33">
        <ns0:v>BLM21PG</ns0:v>
      </ns0:c>
      <ns0:c r="AI58" t="str" s="33">
        <ns0:v>Automotive powertrain/safety AEC-Q200</ns0:v>
      </ns0:c>
      <ns0:c r="AJ58" t="str" s="33">
        <ns0:v>Bulk (bag)</ns0:v>
      </ns0:c>
      <ns0:c r="AK58" t="n" s="33">
        <ns0:v>1000</ns0:v>
      </ns0:c>
      <ns0:c r="AL58" t="str" s="33">
        <ns0:v>JENF243A_9102P-01; source mirror includes cover</ns0:v>
      </ns0:c>
    </ns0:row>
    <ns0:row r="59" ht="72" customHeight="1">
      <ns0:c r="A59" t="str" s="33">
        <ns0:v>L0058</ns0:v>
      </ns0:c>
      <ns0:c r="B59" t="str" s="33">
        <ns0:v>Ферритовый фильтр</ns0:v>
      </ns0:c>
      <ns0:c r="C59" t="str" s="33">
        <ns0:v>1000 Ом @ 100 МГц</ns0:v>
      </ns0:c>
      <ns0:c r="D59" t="str" s="34">
        <ns0:f>C59</ns0:f>
        <ns0:v>1000 Ом @ 100 МГц</ns0:v>
      </ns0:c>
      <ns0:c r="E59" t="str" s="33">
        <ns0:v>±25%</ns0:v>
      </ns0:c>
      <ns0:c r="F59" s="33"/>
      <ns0:c r="G59" s="33"/>
      <ns0:c r="H59" t="str" s="35">
        <ns0:v>0805</ns0:v>
      </ns0:c>
      <ns0:c r="I59" t="str" s="33">
        <ns0:v>Murata</ns0:v>
      </ns0:c>
      <ns0:c r="J59" t="str" s="33">
        <ns0:v>BLM21PG102SH1D</ns0:v>
      </ns0:c>
      <ns0:c r="K59" t="str" s="34">
        <ns0:f>B59&amp;" "&amp;J59</ns0:f>
        <ns0:v>Ферритовый фильтр BLM21PG102SH1D</ns0:v>
      </ns0:c>
      <ns0:c r="L59" t="str" s="36">
        <ns0:v>Ferrite_Bead</ns0:v>
      </ns0:c>
      <ns0:c r="M59" t="str" s="36">
        <ns0:v>Symbols\MY_LIB_Inductors.SchLib</ns0:v>
      </ns0:c>
      <ns0:c r="N59" t="str" s="36">
        <ns0:v>Murata_BLM21PG_2012_Reflow</ns0:v>
      </ns0:c>
      <ns0:c r="O59" t="str" s="36">
        <ns0:v>Footprints\MY_LIB_Inductors.PcbLib</ns0:v>
      </ns0:c>
      <ns0:c r="P5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59" s="33"/>
      <ns0:c r="R59" t="str" s="34">
        <ns0:f>D59</ns0:f>
        <ns0:v>1000 Ом @ 100 МГц</ns0:v>
      </ns0:c>
      <ns0:c r="S59" t="str" s="34">
        <ns0:f>K59</ns0:f>
        <ns0:v>Ферритовый фильтр BLM21PG102SH1D</ns0:v>
      </ns0:c>
      <ns0:c r="T59" t="str" s="33">
        <ns0:v>C:\Users\Nomatin\Documents\Altium\MY_LIB\MY_LIB\Datasheets\Ferrite_Beads\Murata_QNFA9102.pdf</ns0:v>
      </ns0:c>
      <ns0:c r="U59" t="str" s="33">
        <ns0:v>Даташит — локальный</ns0:v>
      </ns0:c>
      <ns0:c r="V59" t="str" s="33">
        <ns0:v>C:\Users\Nomatin\Documents\Altium\MY_LIB\MY_LIB\Datasheets\Ferrite_Beads\Murata_QNFA9102.pdf</ns0:v>
      </ns0:c>
      <ns0:c r="W59" t="str" s="33">
        <ns0:v>Даташит — производитель</ns0:v>
      </ns0:c>
      <ns0:c r="X59" t="str" s="33">
        <ns0:v>https://www.murata.com/products/productdata/8796740354078/QNFA9102.pdf</ns0:v>
      </ns0:c>
      <ns0:c r="Y59" t="str" s="33">
        <ns0:v>C:\Users\Nomatin\Documents\Altium\MY_LIB\MY_LIB\Datasheets\Ferrite_Beads\Murata_QNFA9102.pdf</ns0:v>
      </ns0:c>
      <ns0:c r="Z59" t="n" s="33">
        <ns0:v>1000</ns0:v>
      </ns0:c>
      <ns0:c r="AA59" t="n" s="33">
        <ns0:v>100</ns0:v>
      </ns0:c>
      <ns0:c r="AB59" t="n" s="33">
        <ns0:v>1.15</ns0:v>
      </ns0:c>
      <ns0:c r="AC59" t="n" s="33">
        <ns0:v>0.7</ns0:v>
      </ns0:c>
      <ns0:c r="AD59" t="n" s="33">
        <ns0:v>0.2</ns0:v>
      </ns0:c>
      <ns0:c r="AE59" t="n" s="33">
        <ns0:v>-55</ns0:v>
      </ns0:c>
      <ns0:c r="AF59" t="n" s="33">
        <ns0:v>125</ns0:v>
      </ns0:c>
      <ns0:c r="AG59" t="str" s="33">
        <ns0:v>TA, °C; rated current at 85°C / 125°C</ns0:v>
      </ns0:c>
      <ns0:c r="AH59" t="str" s="33">
        <ns0:v>BLM21PG</ns0:v>
      </ns0:c>
      <ns0:c r="AI59" t="str" s="33">
        <ns0:v>Automotive powertrain/safety AEC-Q200</ns0:v>
      </ns0:c>
      <ns0:c r="AJ59" t="str" s="33">
        <ns0:v>180 mm paper tape</ns0:v>
      </ns0:c>
      <ns0:c r="AK59" t="n" s="33">
        <ns0:v>4000</ns0:v>
      </ns0:c>
      <ns0:c r="AL59" t="str" s="33">
        <ns0:v>JENF243A_9102P-01; source mirror includes cover</ns0:v>
      </ns0:c>
    </ns0:row>
    <ns0:row r="60" ht="72" customHeight="1">
      <ns0:c r="A60" t="str" s="33">
        <ns0:v>L0059</ns0:v>
      </ns0:c>
      <ns0:c r="B60" t="str" s="33">
        <ns0:v>Ферритовый фильтр</ns0:v>
      </ns0:c>
      <ns0:c r="C60" t="str" s="33">
        <ns0:v>1000 Ом @ 100 МГц</ns0:v>
      </ns0:c>
      <ns0:c r="D60" t="str" s="34">
        <ns0:f>C60</ns0:f>
        <ns0:v>1000 Ом @ 100 МГц</ns0:v>
      </ns0:c>
      <ns0:c r="E60" t="str" s="33">
        <ns0:v>±25%</ns0:v>
      </ns0:c>
      <ns0:c r="F60" s="33"/>
      <ns0:c r="G60" s="33"/>
      <ns0:c r="H60" t="str" s="35">
        <ns0:v>0805</ns0:v>
      </ns0:c>
      <ns0:c r="I60" t="str" s="33">
        <ns0:v>Murata</ns0:v>
      </ns0:c>
      <ns0:c r="J60" t="str" s="33">
        <ns0:v>BLM21PG102SH1J</ns0:v>
      </ns0:c>
      <ns0:c r="K60" t="str" s="34">
        <ns0:f>B60&amp;" "&amp;J60</ns0:f>
        <ns0:v>Ферритовый фильтр BLM21PG102SH1J</ns0:v>
      </ns0:c>
      <ns0:c r="L60" t="str" s="36">
        <ns0:v>Ferrite_Bead</ns0:v>
      </ns0:c>
      <ns0:c r="M60" t="str" s="36">
        <ns0:v>Symbols\MY_LIB_Inductors.SchLib</ns0:v>
      </ns0:c>
      <ns0:c r="N60" t="str" s="36">
        <ns0:v>Murata_BLM21PG_2012_Reflow</ns0:v>
      </ns0:c>
      <ns0:c r="O60" t="str" s="36">
        <ns0:v>Footprints\MY_LIB_Inductors.PcbLib</ns0:v>
      </ns0:c>
      <ns0:c r="P6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0" s="33"/>
      <ns0:c r="R60" t="str" s="34">
        <ns0:f>D60</ns0:f>
        <ns0:v>1000 Ом @ 100 МГц</ns0:v>
      </ns0:c>
      <ns0:c r="S60" t="str" s="34">
        <ns0:f>K60</ns0:f>
        <ns0:v>Ферритовый фильтр BLM21PG102SH1J</ns0:v>
      </ns0:c>
      <ns0:c r="T60" t="str" s="33">
        <ns0:v>C:\Users\Nomatin\Documents\Altium\MY_LIB\MY_LIB\Datasheets\Ferrite_Beads\Murata_QNFA9102.pdf</ns0:v>
      </ns0:c>
      <ns0:c r="U60" t="str" s="33">
        <ns0:v>Даташит — локальный</ns0:v>
      </ns0:c>
      <ns0:c r="V60" t="str" s="33">
        <ns0:v>C:\Users\Nomatin\Documents\Altium\MY_LIB\MY_LIB\Datasheets\Ferrite_Beads\Murata_QNFA9102.pdf</ns0:v>
      </ns0:c>
      <ns0:c r="W60" t="str" s="33">
        <ns0:v>Даташит — производитель</ns0:v>
      </ns0:c>
      <ns0:c r="X60" t="str" s="33">
        <ns0:v>https://www.murata.com/products/productdata/8796740354078/QNFA9102.pdf</ns0:v>
      </ns0:c>
      <ns0:c r="Y60" t="str" s="33">
        <ns0:v>C:\Users\Nomatin\Documents\Altium\MY_LIB\MY_LIB\Datasheets\Ferrite_Beads\Murata_QNFA9102.pdf</ns0:v>
      </ns0:c>
      <ns0:c r="Z60" t="n" s="33">
        <ns0:v>1000</ns0:v>
      </ns0:c>
      <ns0:c r="AA60" t="n" s="33">
        <ns0:v>100</ns0:v>
      </ns0:c>
      <ns0:c r="AB60" t="n" s="33">
        <ns0:v>1.15</ns0:v>
      </ns0:c>
      <ns0:c r="AC60" t="n" s="33">
        <ns0:v>0.7</ns0:v>
      </ns0:c>
      <ns0:c r="AD60" t="n" s="33">
        <ns0:v>0.2</ns0:v>
      </ns0:c>
      <ns0:c r="AE60" t="n" s="33">
        <ns0:v>-55</ns0:v>
      </ns0:c>
      <ns0:c r="AF60" t="n" s="33">
        <ns0:v>125</ns0:v>
      </ns0:c>
      <ns0:c r="AG60" t="str" s="33">
        <ns0:v>TA, °C; rated current at 85°C / 125°C</ns0:v>
      </ns0:c>
      <ns0:c r="AH60" t="str" s="33">
        <ns0:v>BLM21PG</ns0:v>
      </ns0:c>
      <ns0:c r="AI60" t="str" s="33">
        <ns0:v>Automotive powertrain/safety AEC-Q200</ns0:v>
      </ns0:c>
      <ns0:c r="AJ60" t="str" s="33">
        <ns0:v>330 mm paper tape</ns0:v>
      </ns0:c>
      <ns0:c r="AK60" t="n" s="33">
        <ns0:v>10000</ns0:v>
      </ns0:c>
      <ns0:c r="AL60" t="str" s="33">
        <ns0:v>JENF243A_9102P-01; source mirror includes cover</ns0:v>
      </ns0:c>
    </ns0:row>
    <ns0:row r="61" ht="72" customHeight="1">
      <ns0:c r="A61" t="str" s="33">
        <ns0:v>L0060</ns0:v>
      </ns0:c>
      <ns0:c r="B61" t="str" s="33">
        <ns0:v>Ферритовый фильтр</ns0:v>
      </ns0:c>
      <ns0:c r="C61" t="str" s="33">
        <ns0:v>1000 Ом @ 100 МГц</ns0:v>
      </ns0:c>
      <ns0:c r="D61" t="str" s="34">
        <ns0:f>C61</ns0:f>
        <ns0:v>1000 Ом @ 100 МГц</ns0:v>
      </ns0:c>
      <ns0:c r="E61" t="str" s="33">
        <ns0:v>±25%</ns0:v>
      </ns0:c>
      <ns0:c r="F61" s="33"/>
      <ns0:c r="G61" s="33"/>
      <ns0:c r="H61" t="str" s="35">
        <ns0:v>0805</ns0:v>
      </ns0:c>
      <ns0:c r="I61" t="str" s="33">
        <ns0:v>Murata</ns0:v>
      </ns0:c>
      <ns0:c r="J61" t="str" s="33">
        <ns0:v>BLM21PG102SH1B</ns0:v>
      </ns0:c>
      <ns0:c r="K61" t="str" s="34">
        <ns0:f>B61&amp;" "&amp;J61</ns0:f>
        <ns0:v>Ферритовый фильтр BLM21PG102SH1B</ns0:v>
      </ns0:c>
      <ns0:c r="L61" t="str" s="36">
        <ns0:v>Ferrite_Bead</ns0:v>
      </ns0:c>
      <ns0:c r="M61" t="str" s="36">
        <ns0:v>Symbols\MY_LIB_Inductors.SchLib</ns0:v>
      </ns0:c>
      <ns0:c r="N61" t="str" s="36">
        <ns0:v>Murata_BLM21PG_2012_Reflow</ns0:v>
      </ns0:c>
      <ns0:c r="O61" t="str" s="36">
        <ns0:v>Footprints\MY_LIB_Inductors.PcbLib</ns0:v>
      </ns0:c>
      <ns0:c r="P6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1" s="33"/>
      <ns0:c r="R61" t="str" s="34">
        <ns0:f>D61</ns0:f>
        <ns0:v>1000 Ом @ 100 МГц</ns0:v>
      </ns0:c>
      <ns0:c r="S61" t="str" s="34">
        <ns0:f>K61</ns0:f>
        <ns0:v>Ферритовый фильтр BLM21PG102SH1B</ns0:v>
      </ns0:c>
      <ns0:c r="T61" t="str" s="33">
        <ns0:v>C:\Users\Nomatin\Documents\Altium\MY_LIB\MY_LIB\Datasheets\Ferrite_Beads\Murata_QNFA9102.pdf</ns0:v>
      </ns0:c>
      <ns0:c r="U61" t="str" s="33">
        <ns0:v>Даташит — локальный</ns0:v>
      </ns0:c>
      <ns0:c r="V61" t="str" s="33">
        <ns0:v>C:\Users\Nomatin\Documents\Altium\MY_LIB\MY_LIB\Datasheets\Ferrite_Beads\Murata_QNFA9102.pdf</ns0:v>
      </ns0:c>
      <ns0:c r="W61" t="str" s="33">
        <ns0:v>Даташит — производитель</ns0:v>
      </ns0:c>
      <ns0:c r="X61" t="str" s="33">
        <ns0:v>https://www.murata.com/products/productdata/8796740354078/QNFA9102.pdf</ns0:v>
      </ns0:c>
      <ns0:c r="Y61" t="str" s="33">
        <ns0:v>C:\Users\Nomatin\Documents\Altium\MY_LIB\MY_LIB\Datasheets\Ferrite_Beads\Murata_QNFA9102.pdf</ns0:v>
      </ns0:c>
      <ns0:c r="Z61" t="n" s="33">
        <ns0:v>1000</ns0:v>
      </ns0:c>
      <ns0:c r="AA61" t="n" s="33">
        <ns0:v>100</ns0:v>
      </ns0:c>
      <ns0:c r="AB61" t="n" s="33">
        <ns0:v>1.15</ns0:v>
      </ns0:c>
      <ns0:c r="AC61" t="n" s="33">
        <ns0:v>0.7</ns0:v>
      </ns0:c>
      <ns0:c r="AD61" t="n" s="33">
        <ns0:v>0.2</ns0:v>
      </ns0:c>
      <ns0:c r="AE61" t="n" s="33">
        <ns0:v>-55</ns0:v>
      </ns0:c>
      <ns0:c r="AF61" t="n" s="33">
        <ns0:v>125</ns0:v>
      </ns0:c>
      <ns0:c r="AG61" t="str" s="33">
        <ns0:v>TA, °C; rated current at 85°C / 125°C</ns0:v>
      </ns0:c>
      <ns0:c r="AH61" t="str" s="33">
        <ns0:v>BLM21PG</ns0:v>
      </ns0:c>
      <ns0:c r="AI61" t="str" s="33">
        <ns0:v>Automotive powertrain/safety AEC-Q200</ns0:v>
      </ns0:c>
      <ns0:c r="AJ61" t="str" s="33">
        <ns0:v>Bulk (bag)</ns0:v>
      </ns0:c>
      <ns0:c r="AK61" t="n" s="33">
        <ns0:v>1000</ns0:v>
      </ns0:c>
      <ns0:c r="AL61" t="str" s="33">
        <ns0:v>JENF243A_9102P-01; source mirror includes cover</ns0:v>
      </ns0:c>
    </ns0:row>
    <ns0:row r="62" ht="72" customHeight="1">
      <ns0:c r="A62" t="str" s="33">
        <ns0:v>L0061</ns0:v>
      </ns0:c>
      <ns0:c r="B62" t="str" s="33">
        <ns0:v>Ферритовый фильтр</ns0:v>
      </ns0:c>
      <ns0:c r="C62" t="str" s="33">
        <ns0:v>22 Ом @ 100 МГц</ns0:v>
      </ns0:c>
      <ns0:c r="D62" t="str" s="34">
        <ns0:f>C62</ns0:f>
        <ns0:v>22 Ом @ 100 МГц</ns0:v>
      </ns0:c>
      <ns0:c r="E62" t="str" s="33">
        <ns0:v>±25%</ns0:v>
      </ns0:c>
      <ns0:c r="F62" s="33"/>
      <ns0:c r="G62" s="33"/>
      <ns0:c r="H62" t="str" s="35">
        <ns0:v>0805</ns0:v>
      </ns0:c>
      <ns0:c r="I62" t="str" s="33">
        <ns0:v>Murata</ns0:v>
      </ns0:c>
      <ns0:c r="J62" t="str" s="33">
        <ns0:v>BLM21PG220SZ1D</ns0:v>
      </ns0:c>
      <ns0:c r="K62" t="str" s="34">
        <ns0:f>B62&amp;" "&amp;J62</ns0:f>
        <ns0:v>Ферритовый фильтр BLM21PG220SZ1D</ns0:v>
      </ns0:c>
      <ns0:c r="L62" t="str" s="36">
        <ns0:v>Ferrite_Bead</ns0:v>
      </ns0:c>
      <ns0:c r="M62" t="str" s="36">
        <ns0:v>Symbols\MY_LIB_Inductors.SchLib</ns0:v>
      </ns0:c>
      <ns0:c r="N62" t="str" s="36">
        <ns0:v>Murata_BLM21PG_2012_Reflow</ns0:v>
      </ns0:c>
      <ns0:c r="O62" t="str" s="36">
        <ns0:v>Footprints\MY_LIB_Inductors.PcbLib</ns0:v>
      </ns0:c>
      <ns0:c r="P6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2" s="33"/>
      <ns0:c r="R62" t="str" s="34">
        <ns0:f>D62</ns0:f>
        <ns0:v>22 Ом @ 100 МГц</ns0:v>
      </ns0:c>
      <ns0:c r="S62" t="str" s="34">
        <ns0:f>K62</ns0:f>
        <ns0:v>Ферритовый фильтр BLM21PG220SZ1D</ns0:v>
      </ns0:c>
      <ns0:c r="T62" t="str" s="33">
        <ns0:v>C:\Users\Nomatin\Documents\Altium\MY_LIB\MY_LIB\Datasheets\Ferrite_Beads\Murata_BLM21PG_C51E_excerpt.pdf</ns0:v>
      </ns0:c>
      <ns0:c r="U62" t="str" s="33">
        <ns0:v>Даташит — локальный</ns0:v>
      </ns0:c>
      <ns0:c r="V62" t="str" s="33">
        <ns0:v>C:\Users\Nomatin\Documents\Altium\MY_LIB\MY_LIB\Datasheets\Ferrite_Beads\Murata_BLM21PG_C51E_excerpt.pdf</ns0:v>
      </ns0:c>
      <ns0:c r="W62" t="str" s="33">
        <ns0:v>Даташит — производитель</ns0:v>
      </ns0:c>
      <ns0:c r="X62" t="str" s="33">
        <ns0:v>https://www.murata.com/products/productdata/8796749987870/QNFA9114.pdf</ns0:v>
      </ns0:c>
      <ns0:c r="Y62" t="str" s="33">
        <ns0:v>C:\Users\Nomatin\Documents\Altium\MY_LIB\MY_LIB\Datasheets\Ferrite_Beads\Murata_BLM21PG_C51E_excerpt.pdf</ns0:v>
      </ns0:c>
      <ns0:c r="Z62" t="n" s="33">
        <ns0:v>22</ns0:v>
      </ns0:c>
      <ns0:c r="AA62" t="n" s="33">
        <ns0:v>100</ns0:v>
      </ns0:c>
      <ns0:c r="AB62" t="n" s="33">
        <ns0:v>6</ns0:v>
      </ns0:c>
      <ns0:c r="AC62" t="n" s="33">
        <ns0:v>3.3</ns0:v>
      </ns0:c>
      <ns0:c r="AD62" t="n" s="33">
        <ns0:v>0.009</ns0:v>
      </ns0:c>
      <ns0:c r="AE62" t="n" s="33">
        <ns0:v>-55</ns0:v>
      </ns0:c>
      <ns0:c r="AF62" t="n" s="33">
        <ns0:v>125</ns0:v>
      </ns0:c>
      <ns0:c r="AG62" t="str" s="33">
        <ns0:v>TA, °C; rated current at 85°C / 125°C</ns0:v>
      </ns0:c>
      <ns0:c r="AH62" t="str" s="33">
        <ns0:v>BLM21PG</ns0:v>
      </ns0:c>
      <ns0:c r="AI62" t="str" s="33">
        <ns0:v>Automotive infotainment/comfort</ns0:v>
      </ns0:c>
      <ns0:c r="AJ62" t="str" s="33">
        <ns0:v>180 mm paper tape</ns0:v>
      </ns0:c>
      <ns0:c r="AK62" t="n" s="33">
        <ns0:v>4000</ns0:v>
      </ns0:c>
      <ns0:c r="AL62" t="str" s="33">
        <ns0:v>C51E 2022-01-07, original pp.90-91</ns0:v>
      </ns0:c>
    </ns0:row>
    <ns0:row r="63" ht="72" customHeight="1">
      <ns0:c r="A63" t="str" s="33">
        <ns0:v>L0062</ns0:v>
      </ns0:c>
      <ns0:c r="B63" t="str" s="33">
        <ns0:v>Ферритовый фильтр</ns0:v>
      </ns0:c>
      <ns0:c r="C63" t="str" s="33">
        <ns0:v>22 Ом @ 100 МГц</ns0:v>
      </ns0:c>
      <ns0:c r="D63" t="str" s="34">
        <ns0:f>C63</ns0:f>
        <ns0:v>22 Ом @ 100 МГц</ns0:v>
      </ns0:c>
      <ns0:c r="E63" t="str" s="33">
        <ns0:v>±25%</ns0:v>
      </ns0:c>
      <ns0:c r="F63" s="33"/>
      <ns0:c r="G63" s="33"/>
      <ns0:c r="H63" t="str" s="35">
        <ns0:v>0805</ns0:v>
      </ns0:c>
      <ns0:c r="I63" t="str" s="33">
        <ns0:v>Murata</ns0:v>
      </ns0:c>
      <ns0:c r="J63" t="str" s="33">
        <ns0:v>BLM21PG220SZ1J</ns0:v>
      </ns0:c>
      <ns0:c r="K63" t="str" s="34">
        <ns0:f>B63&amp;" "&amp;J63</ns0:f>
        <ns0:v>Ферритовый фильтр BLM21PG220SZ1J</ns0:v>
      </ns0:c>
      <ns0:c r="L63" t="str" s="36">
        <ns0:v>Ferrite_Bead</ns0:v>
      </ns0:c>
      <ns0:c r="M63" t="str" s="36">
        <ns0:v>Symbols\MY_LIB_Inductors.SchLib</ns0:v>
      </ns0:c>
      <ns0:c r="N63" t="str" s="36">
        <ns0:v>Murata_BLM21PG_2012_Reflow</ns0:v>
      </ns0:c>
      <ns0:c r="O63" t="str" s="36">
        <ns0:v>Footprints\MY_LIB_Inductors.PcbLib</ns0:v>
      </ns0:c>
      <ns0:c r="P6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3" s="33"/>
      <ns0:c r="R63" t="str" s="34">
        <ns0:f>D63</ns0:f>
        <ns0:v>22 Ом @ 100 МГц</ns0:v>
      </ns0:c>
      <ns0:c r="S63" t="str" s="34">
        <ns0:f>K63</ns0:f>
        <ns0:v>Ферритовый фильтр BLM21PG220SZ1J</ns0:v>
      </ns0:c>
      <ns0:c r="T63" t="str" s="33">
        <ns0:v>C:\Users\Nomatin\Documents\Altium\MY_LIB\MY_LIB\Datasheets\Ferrite_Beads\Murata_BLM21PG_C51E_excerpt.pdf</ns0:v>
      </ns0:c>
      <ns0:c r="U63" t="str" s="33">
        <ns0:v>Даташит — локальный</ns0:v>
      </ns0:c>
      <ns0:c r="V63" t="str" s="33">
        <ns0:v>C:\Users\Nomatin\Documents\Altium\MY_LIB\MY_LIB\Datasheets\Ferrite_Beads\Murata_BLM21PG_C51E_excerpt.pdf</ns0:v>
      </ns0:c>
      <ns0:c r="W63" t="str" s="33">
        <ns0:v>Даташит — производитель</ns0:v>
      </ns0:c>
      <ns0:c r="X63" t="str" s="33">
        <ns0:v>https://www.murata.com/products/productdata/8796749987870/QNFA9114.pdf</ns0:v>
      </ns0:c>
      <ns0:c r="Y63" t="str" s="33">
        <ns0:v>C:\Users\Nomatin\Documents\Altium\MY_LIB\MY_LIB\Datasheets\Ferrite_Beads\Murata_BLM21PG_C51E_excerpt.pdf</ns0:v>
      </ns0:c>
      <ns0:c r="Z63" t="n" s="33">
        <ns0:v>22</ns0:v>
      </ns0:c>
      <ns0:c r="AA63" t="n" s="33">
        <ns0:v>100</ns0:v>
      </ns0:c>
      <ns0:c r="AB63" t="n" s="33">
        <ns0:v>6</ns0:v>
      </ns0:c>
      <ns0:c r="AC63" t="n" s="33">
        <ns0:v>3.3</ns0:v>
      </ns0:c>
      <ns0:c r="AD63" t="n" s="33">
        <ns0:v>0.009</ns0:v>
      </ns0:c>
      <ns0:c r="AE63" t="n" s="33">
        <ns0:v>-55</ns0:v>
      </ns0:c>
      <ns0:c r="AF63" t="n" s="33">
        <ns0:v>125</ns0:v>
      </ns0:c>
      <ns0:c r="AG63" t="str" s="33">
        <ns0:v>TA, °C; rated current at 85°C / 125°C</ns0:v>
      </ns0:c>
      <ns0:c r="AH63" t="str" s="33">
        <ns0:v>BLM21PG</ns0:v>
      </ns0:c>
      <ns0:c r="AI63" t="str" s="33">
        <ns0:v>Automotive infotainment/comfort</ns0:v>
      </ns0:c>
      <ns0:c r="AJ63" t="str" s="33">
        <ns0:v>330 mm paper tape</ns0:v>
      </ns0:c>
      <ns0:c r="AK63" t="n" s="33">
        <ns0:v>10000</ns0:v>
      </ns0:c>
      <ns0:c r="AL63" t="str" s="33">
        <ns0:v>C51E 2022-01-07, original pp.90-91</ns0:v>
      </ns0:c>
    </ns0:row>
    <ns0:row r="64" ht="72" customHeight="1">
      <ns0:c r="A64" t="str" s="33">
        <ns0:v>L0063</ns0:v>
      </ns0:c>
      <ns0:c r="B64" t="str" s="33">
        <ns0:v>Ферритовый фильтр</ns0:v>
      </ns0:c>
      <ns0:c r="C64" t="str" s="33">
        <ns0:v>22 Ом @ 100 МГц</ns0:v>
      </ns0:c>
      <ns0:c r="D64" t="str" s="34">
        <ns0:f>C64</ns0:f>
        <ns0:v>22 Ом @ 100 МГц</ns0:v>
      </ns0:c>
      <ns0:c r="E64" t="str" s="33">
        <ns0:v>±25%</ns0:v>
      </ns0:c>
      <ns0:c r="F64" s="33"/>
      <ns0:c r="G64" s="33"/>
      <ns0:c r="H64" t="str" s="35">
        <ns0:v>0805</ns0:v>
      </ns0:c>
      <ns0:c r="I64" t="str" s="33">
        <ns0:v>Murata</ns0:v>
      </ns0:c>
      <ns0:c r="J64" t="str" s="33">
        <ns0:v>BLM21PG220SZ1B</ns0:v>
      </ns0:c>
      <ns0:c r="K64" t="str" s="34">
        <ns0:f>B64&amp;" "&amp;J64</ns0:f>
        <ns0:v>Ферритовый фильтр BLM21PG220SZ1B</ns0:v>
      </ns0:c>
      <ns0:c r="L64" t="str" s="36">
        <ns0:v>Ferrite_Bead</ns0:v>
      </ns0:c>
      <ns0:c r="M64" t="str" s="36">
        <ns0:v>Symbols\MY_LIB_Inductors.SchLib</ns0:v>
      </ns0:c>
      <ns0:c r="N64" t="str" s="36">
        <ns0:v>Murata_BLM21PG_2012_Reflow</ns0:v>
      </ns0:c>
      <ns0:c r="O64" t="str" s="36">
        <ns0:v>Footprints\MY_LIB_Inductors.PcbLib</ns0:v>
      </ns0:c>
      <ns0:c r="P6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4" s="33"/>
      <ns0:c r="R64" t="str" s="34">
        <ns0:f>D64</ns0:f>
        <ns0:v>22 Ом @ 100 МГц</ns0:v>
      </ns0:c>
      <ns0:c r="S64" t="str" s="34">
        <ns0:f>K64</ns0:f>
        <ns0:v>Ферритовый фильтр BLM21PG220SZ1B</ns0:v>
      </ns0:c>
      <ns0:c r="T64" t="str" s="33">
        <ns0:v>C:\Users\Nomatin\Documents\Altium\MY_LIB\MY_LIB\Datasheets\Ferrite_Beads\Murata_BLM21PG_C51E_excerpt.pdf</ns0:v>
      </ns0:c>
      <ns0:c r="U64" t="str" s="33">
        <ns0:v>Даташит — локальный</ns0:v>
      </ns0:c>
      <ns0:c r="V64" t="str" s="33">
        <ns0:v>C:\Users\Nomatin\Documents\Altium\MY_LIB\MY_LIB\Datasheets\Ferrite_Beads\Murata_BLM21PG_C51E_excerpt.pdf</ns0:v>
      </ns0:c>
      <ns0:c r="W64" t="str" s="33">
        <ns0:v>Даташит — производитель</ns0:v>
      </ns0:c>
      <ns0:c r="X64" t="str" s="33">
        <ns0:v>https://www.murata.com/products/productdata/8796749987870/QNFA9114.pdf</ns0:v>
      </ns0:c>
      <ns0:c r="Y64" t="str" s="33">
        <ns0:v>C:\Users\Nomatin\Documents\Altium\MY_LIB\MY_LIB\Datasheets\Ferrite_Beads\Murata_BLM21PG_C51E_excerpt.pdf</ns0:v>
      </ns0:c>
      <ns0:c r="Z64" t="n" s="33">
        <ns0:v>22</ns0:v>
      </ns0:c>
      <ns0:c r="AA64" t="n" s="33">
        <ns0:v>100</ns0:v>
      </ns0:c>
      <ns0:c r="AB64" t="n" s="33">
        <ns0:v>6</ns0:v>
      </ns0:c>
      <ns0:c r="AC64" t="n" s="33">
        <ns0:v>3.3</ns0:v>
      </ns0:c>
      <ns0:c r="AD64" t="n" s="33">
        <ns0:v>0.009</ns0:v>
      </ns0:c>
      <ns0:c r="AE64" t="n" s="33">
        <ns0:v>-55</ns0:v>
      </ns0:c>
      <ns0:c r="AF64" t="n" s="33">
        <ns0:v>125</ns0:v>
      </ns0:c>
      <ns0:c r="AG64" t="str" s="33">
        <ns0:v>TA, °C; rated current at 85°C / 125°C</ns0:v>
      </ns0:c>
      <ns0:c r="AH64" t="str" s="33">
        <ns0:v>BLM21PG</ns0:v>
      </ns0:c>
      <ns0:c r="AI64" t="str" s="33">
        <ns0:v>Automotive infotainment/comfort</ns0:v>
      </ns0:c>
      <ns0:c r="AJ64" t="str" s="33">
        <ns0:v>Bulk (bag)</ns0:v>
      </ns0:c>
      <ns0:c r="AK64" t="n" s="33">
        <ns0:v>1000</ns0:v>
      </ns0:c>
      <ns0:c r="AL64" t="str" s="33">
        <ns0:v>C51E 2022-01-07, original pp.90-91</ns0:v>
      </ns0:c>
    </ns0:row>
    <ns0:row r="65" ht="72" customHeight="1">
      <ns0:c r="A65" t="str" s="33">
        <ns0:v>L0064</ns0:v>
      </ns0:c>
      <ns0:c r="B65" t="str" s="33">
        <ns0:v>Ферритовый фильтр</ns0:v>
      </ns0:c>
      <ns0:c r="C65" t="str" s="33">
        <ns0:v>30 Ом @ 100 МГц</ns0:v>
      </ns0:c>
      <ns0:c r="D65" t="str" s="34">
        <ns0:f>C65</ns0:f>
        <ns0:v>30 Ом @ 100 МГц</ns0:v>
      </ns0:c>
      <ns0:c r="E65" t="str" s="33">
        <ns0:v>Тип. 30 Ом</ns0:v>
      </ns0:c>
      <ns0:c r="F65" s="33"/>
      <ns0:c r="G65" s="33"/>
      <ns0:c r="H65" t="str" s="35">
        <ns0:v>0805</ns0:v>
      </ns0:c>
      <ns0:c r="I65" t="str" s="33">
        <ns0:v>Murata</ns0:v>
      </ns0:c>
      <ns0:c r="J65" t="str" s="33">
        <ns0:v>BLM21PG300SZ1D</ns0:v>
      </ns0:c>
      <ns0:c r="K65" t="str" s="34">
        <ns0:f>B65&amp;" "&amp;J65</ns0:f>
        <ns0:v>Ферритовый фильтр BLM21PG300SZ1D</ns0:v>
      </ns0:c>
      <ns0:c r="L65" t="str" s="36">
        <ns0:v>Ferrite_Bead</ns0:v>
      </ns0:c>
      <ns0:c r="M65" t="str" s="36">
        <ns0:v>Symbols\MY_LIB_Inductors.SchLib</ns0:v>
      </ns0:c>
      <ns0:c r="N65" t="str" s="36">
        <ns0:v>Murata_BLM21PG_2012_Reflow</ns0:v>
      </ns0:c>
      <ns0:c r="O65" t="str" s="36">
        <ns0:v>Footprints\MY_LIB_Inductors.PcbLib</ns0:v>
      </ns0:c>
      <ns0:c r="P6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</ns0:v>
      </ns0:c>
      <ns0:c r="Q65" s="33"/>
      <ns0:c r="R65" t="str" s="34">
        <ns0:f>D65</ns0:f>
        <ns0:v>30 Ом @ 100 МГц</ns0:v>
      </ns0:c>
      <ns0:c r="S65" t="str" s="34">
        <ns0:f>K65</ns0:f>
        <ns0:v>Ферритовый фильтр BLM21PG300SZ1D</ns0:v>
      </ns0:c>
      <ns0:c r="T65" t="str" s="33">
        <ns0:v>C:\Users\Nomatin\Documents\Altium\MY_LIB\MY_LIB\Datasheets\Ferrite_Beads\Murata_BLM21PG_C51E_excerpt.pdf</ns0:v>
      </ns0:c>
      <ns0:c r="U65" t="str" s="33">
        <ns0:v>Даташит — локальный</ns0:v>
      </ns0:c>
      <ns0:c r="V65" t="str" s="33">
        <ns0:v>C:\Users\Nomatin\Documents\Altium\MY_LIB\MY_LIB\Datasheets\Ferrite_Beads\Murata_BLM21PG_C51E_excerpt.pdf</ns0:v>
      </ns0:c>
      <ns0:c r="W65" t="str" s="33">
        <ns0:v>Даташит — производитель</ns0:v>
      </ns0:c>
      <ns0:c r="X65" t="str" s="33">
        <ns0:v>https://www.murata.com/products/productdata/8796749987870/QNFA9114.pdf</ns0:v>
      </ns0:c>
      <ns0:c r="Y65" t="str" s="33">
        <ns0:v>C:\Users\Nomatin\Documents\Altium\MY_LIB\MY_LIB\Datasheets\Ferrite_Beads\Murata_BLM21PG_C51E_excerpt.pdf</ns0:v>
      </ns0:c>
      <ns0:c r="Z65" t="n" s="33">
        <ns0:v>30</ns0:v>
      </ns0:c>
      <ns0:c r="AA65" t="n" s="33">
        <ns0:v>100</ns0:v>
      </ns0:c>
      <ns0:c r="AB65" t="n" s="33">
        <ns0:v>4</ns0:v>
      </ns0:c>
      <ns0:c r="AC65" t="n" s="33">
        <ns0:v>2.3</ns0:v>
      </ns0:c>
      <ns0:c r="AD65" t="n" s="33">
        <ns0:v>0.014</ns0:v>
      </ns0:c>
      <ns0:c r="AE65" t="n" s="33">
        <ns0:v>-55</ns0:v>
      </ns0:c>
      <ns0:c r="AF65" t="n" s="33">
        <ns0:v>125</ns0:v>
      </ns0:c>
      <ns0:c r="AG65" t="str" s="33">
        <ns0:v>TA, °C; rated current at 85°C / 125°C</ns0:v>
      </ns0:c>
      <ns0:c r="AH65" t="str" s="33">
        <ns0:v>BLM21PG</ns0:v>
      </ns0:c>
      <ns0:c r="AI65" t="str" s="33">
        <ns0:v>Automotive infotainment/comfort</ns0:v>
      </ns0:c>
      <ns0:c r="AJ65" t="str" s="33">
        <ns0:v>180 mm paper tape</ns0:v>
      </ns0:c>
      <ns0:c r="AK65" t="n" s="33">
        <ns0:v>4000</ns0:v>
      </ns0:c>
      <ns0:c r="AL65" t="str" s="33">
        <ns0:v>C51E 2022-01-07, original pp.90-91</ns0:v>
      </ns0:c>
    </ns0:row>
    <ns0:row r="66" ht="72" customHeight="1">
      <ns0:c r="A66" t="str" s="33">
        <ns0:v>L0065</ns0:v>
      </ns0:c>
      <ns0:c r="B66" t="str" s="33">
        <ns0:v>Ферритовый фильтр</ns0:v>
      </ns0:c>
      <ns0:c r="C66" t="str" s="33">
        <ns0:v>30 Ом @ 100 МГц</ns0:v>
      </ns0:c>
      <ns0:c r="D66" t="str" s="34">
        <ns0:f>C66</ns0:f>
        <ns0:v>30 Ом @ 100 МГц</ns0:v>
      </ns0:c>
      <ns0:c r="E66" t="str" s="33">
        <ns0:v>Тип. 30 Ом</ns0:v>
      </ns0:c>
      <ns0:c r="F66" s="33"/>
      <ns0:c r="G66" s="33"/>
      <ns0:c r="H66" t="str" s="35">
        <ns0:v>0805</ns0:v>
      </ns0:c>
      <ns0:c r="I66" t="str" s="33">
        <ns0:v>Murata</ns0:v>
      </ns0:c>
      <ns0:c r="J66" t="str" s="33">
        <ns0:v>BLM21PG300SZ1J</ns0:v>
      </ns0:c>
      <ns0:c r="K66" t="str" s="34">
        <ns0:f>B66&amp;" "&amp;J66</ns0:f>
        <ns0:v>Ферритовый фильтр BLM21PG300SZ1J</ns0:v>
      </ns0:c>
      <ns0:c r="L66" t="str" s="36">
        <ns0:v>Ferrite_Bead</ns0:v>
      </ns0:c>
      <ns0:c r="M66" t="str" s="36">
        <ns0:v>Symbols\MY_LIB_Inductors.SchLib</ns0:v>
      </ns0:c>
      <ns0:c r="N66" t="str" s="36">
        <ns0:v>Murata_BLM21PG_2012_Reflow</ns0:v>
      </ns0:c>
      <ns0:c r="O66" t="str" s="36">
        <ns0:v>Footprints\MY_LIB_Inductors.PcbLib</ns0:v>
      </ns0:c>
      <ns0:c r="P6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</ns0:v>
      </ns0:c>
      <ns0:c r="Q66" s="33"/>
      <ns0:c r="R66" t="str" s="34">
        <ns0:f>D66</ns0:f>
        <ns0:v>30 Ом @ 100 МГц</ns0:v>
      </ns0:c>
      <ns0:c r="S66" t="str" s="34">
        <ns0:f>K66</ns0:f>
        <ns0:v>Ферритовый фильтр BLM21PG300SZ1J</ns0:v>
      </ns0:c>
      <ns0:c r="T66" t="str" s="33">
        <ns0:v>C:\Users\Nomatin\Documents\Altium\MY_LIB\MY_LIB\Datasheets\Ferrite_Beads\Murata_BLM21PG_C51E_excerpt.pdf</ns0:v>
      </ns0:c>
      <ns0:c r="U66" t="str" s="33">
        <ns0:v>Даташит — локальный</ns0:v>
      </ns0:c>
      <ns0:c r="V66" t="str" s="33">
        <ns0:v>C:\Users\Nomatin\Documents\Altium\MY_LIB\MY_LIB\Datasheets\Ferrite_Beads\Murata_BLM21PG_C51E_excerpt.pdf</ns0:v>
      </ns0:c>
      <ns0:c r="W66" t="str" s="33">
        <ns0:v>Даташит — производитель</ns0:v>
      </ns0:c>
      <ns0:c r="X66" t="str" s="33">
        <ns0:v>https://www.murata.com/products/productdata/8796749987870/QNFA9114.pdf</ns0:v>
      </ns0:c>
      <ns0:c r="Y66" t="str" s="33">
        <ns0:v>C:\Users\Nomatin\Documents\Altium\MY_LIB\MY_LIB\Datasheets\Ferrite_Beads\Murata_BLM21PG_C51E_excerpt.pdf</ns0:v>
      </ns0:c>
      <ns0:c r="Z66" t="n" s="33">
        <ns0:v>30</ns0:v>
      </ns0:c>
      <ns0:c r="AA66" t="n" s="33">
        <ns0:v>100</ns0:v>
      </ns0:c>
      <ns0:c r="AB66" t="n" s="33">
        <ns0:v>4</ns0:v>
      </ns0:c>
      <ns0:c r="AC66" t="n" s="33">
        <ns0:v>2.3</ns0:v>
      </ns0:c>
      <ns0:c r="AD66" t="n" s="33">
        <ns0:v>0.014</ns0:v>
      </ns0:c>
      <ns0:c r="AE66" t="n" s="33">
        <ns0:v>-55</ns0:v>
      </ns0:c>
      <ns0:c r="AF66" t="n" s="33">
        <ns0:v>125</ns0:v>
      </ns0:c>
      <ns0:c r="AG66" t="str" s="33">
        <ns0:v>TA, °C; rated current at 85°C / 125°C</ns0:v>
      </ns0:c>
      <ns0:c r="AH66" t="str" s="33">
        <ns0:v>BLM21PG</ns0:v>
      </ns0:c>
      <ns0:c r="AI66" t="str" s="33">
        <ns0:v>Automotive infotainment/comfort</ns0:v>
      </ns0:c>
      <ns0:c r="AJ66" t="str" s="33">
        <ns0:v>330 mm paper tape</ns0:v>
      </ns0:c>
      <ns0:c r="AK66" t="n" s="33">
        <ns0:v>10000</ns0:v>
      </ns0:c>
      <ns0:c r="AL66" t="str" s="33">
        <ns0:v>C51E 2022-01-07, original pp.90-91</ns0:v>
      </ns0:c>
    </ns0:row>
    <ns0:row r="67" ht="72" customHeight="1">
      <ns0:c r="A67" t="str" s="33">
        <ns0:v>L0066</ns0:v>
      </ns0:c>
      <ns0:c r="B67" t="str" s="33">
        <ns0:v>Ферритовый фильтр</ns0:v>
      </ns0:c>
      <ns0:c r="C67" t="str" s="33">
        <ns0:v>30 Ом @ 100 МГц</ns0:v>
      </ns0:c>
      <ns0:c r="D67" t="str" s="34">
        <ns0:f>C67</ns0:f>
        <ns0:v>30 Ом @ 100 МГц</ns0:v>
      </ns0:c>
      <ns0:c r="E67" t="str" s="33">
        <ns0:v>Тип. 30 Ом</ns0:v>
      </ns0:c>
      <ns0:c r="F67" s="33"/>
      <ns0:c r="G67" s="33"/>
      <ns0:c r="H67" t="str" s="35">
        <ns0:v>0805</ns0:v>
      </ns0:c>
      <ns0:c r="I67" t="str" s="33">
        <ns0:v>Murata</ns0:v>
      </ns0:c>
      <ns0:c r="J67" t="str" s="33">
        <ns0:v>BLM21PG300SZ1B</ns0:v>
      </ns0:c>
      <ns0:c r="K67" t="str" s="34">
        <ns0:f>B67&amp;" "&amp;J67</ns0:f>
        <ns0:v>Ферритовый фильтр BLM21PG300SZ1B</ns0:v>
      </ns0:c>
      <ns0:c r="L67" t="str" s="36">
        <ns0:v>Ferrite_Bead</ns0:v>
      </ns0:c>
      <ns0:c r="M67" t="str" s="36">
        <ns0:v>Symbols\MY_LIB_Inductors.SchLib</ns0:v>
      </ns0:c>
      <ns0:c r="N67" t="str" s="36">
        <ns0:v>Murata_BLM21PG_2012_Reflow</ns0:v>
      </ns0:c>
      <ns0:c r="O67" t="str" s="36">
        <ns0:v>Footprints\MY_LIB_Inductors.PcbLib</ns0:v>
      </ns0:c>
      <ns0:c r="P6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30 Ом — типовое значение; </ns0:v>
      </ns0:c>
      <ns0:c r="Q67" s="33"/>
      <ns0:c r="R67" t="str" s="34">
        <ns0:f>D67</ns0:f>
        <ns0:v>30 Ом @ 100 МГц</ns0:v>
      </ns0:c>
      <ns0:c r="S67" t="str" s="34">
        <ns0:f>K67</ns0:f>
        <ns0:v>Ферритовый фильтр BLM21PG300SZ1B</ns0:v>
      </ns0:c>
      <ns0:c r="T67" t="str" s="33">
        <ns0:v>C:\Users\Nomatin\Documents\Altium\MY_LIB\MY_LIB\Datasheets\Ferrite_Beads\Murata_BLM21PG_C51E_excerpt.pdf</ns0:v>
      </ns0:c>
      <ns0:c r="U67" t="str" s="33">
        <ns0:v>Даташит — локальный</ns0:v>
      </ns0:c>
      <ns0:c r="V67" t="str" s="33">
        <ns0:v>C:\Users\Nomatin\Documents\Altium\MY_LIB\MY_LIB\Datasheets\Ferrite_Beads\Murata_BLM21PG_C51E_excerpt.pdf</ns0:v>
      </ns0:c>
      <ns0:c r="W67" t="str" s="33">
        <ns0:v>Даташит — производитель</ns0:v>
      </ns0:c>
      <ns0:c r="X67" t="str" s="33">
        <ns0:v>https://www.murata.com/products/productdata/8796749987870/QNFA9114.pdf</ns0:v>
      </ns0:c>
      <ns0:c r="Y67" t="str" s="33">
        <ns0:v>C:\Users\Nomatin\Documents\Altium\MY_LIB\MY_LIB\Datasheets\Ferrite_Beads\Murata_BLM21PG_C51E_excerpt.pdf</ns0:v>
      </ns0:c>
      <ns0:c r="Z67" t="n" s="33">
        <ns0:v>30</ns0:v>
      </ns0:c>
      <ns0:c r="AA67" t="n" s="33">
        <ns0:v>100</ns0:v>
      </ns0:c>
      <ns0:c r="AB67" t="n" s="33">
        <ns0:v>4</ns0:v>
      </ns0:c>
      <ns0:c r="AC67" t="n" s="33">
        <ns0:v>2.3</ns0:v>
      </ns0:c>
      <ns0:c r="AD67" t="n" s="33">
        <ns0:v>0.014</ns0:v>
      </ns0:c>
      <ns0:c r="AE67" t="n" s="33">
        <ns0:v>-55</ns0:v>
      </ns0:c>
      <ns0:c r="AF67" t="n" s="33">
        <ns0:v>125</ns0:v>
      </ns0:c>
      <ns0:c r="AG67" t="str" s="33">
        <ns0:v>TA, °C; rated current at 85°C / 125°C</ns0:v>
      </ns0:c>
      <ns0:c r="AH67" t="str" s="33">
        <ns0:v>BLM21PG</ns0:v>
      </ns0:c>
      <ns0:c r="AI67" t="str" s="33">
        <ns0:v>Automotive infotainment/comfort</ns0:v>
      </ns0:c>
      <ns0:c r="AJ67" t="str" s="33">
        <ns0:v>Bulk (bag)</ns0:v>
      </ns0:c>
      <ns0:c r="AK67" t="n" s="33">
        <ns0:v>1000</ns0:v>
      </ns0:c>
      <ns0:c r="AL67" t="str" s="33">
        <ns0:v>C51E 2022-01-07, original pp.90-91</ns0:v>
      </ns0:c>
    </ns0:row>
    <ns0:row r="68" ht="72" customHeight="1">
      <ns0:c r="A68" t="str" s="33">
        <ns0:v>L0067</ns0:v>
      </ns0:c>
      <ns0:c r="B68" t="str" s="33">
        <ns0:v>Ферритовый фильтр</ns0:v>
      </ns0:c>
      <ns0:c r="C68" t="str" s="33">
        <ns0:v>60 Ом @ 100 МГц</ns0:v>
      </ns0:c>
      <ns0:c r="D68" t="str" s="34">
        <ns0:f>C68</ns0:f>
        <ns0:v>60 Ом @ 100 МГц</ns0:v>
      </ns0:c>
      <ns0:c r="E68" t="str" s="33">
        <ns0:v>±25%</ns0:v>
      </ns0:c>
      <ns0:c r="F68" s="33"/>
      <ns0:c r="G68" s="33"/>
      <ns0:c r="H68" t="str" s="35">
        <ns0:v>0805</ns0:v>
      </ns0:c>
      <ns0:c r="I68" t="str" s="33">
        <ns0:v>Murata</ns0:v>
      </ns0:c>
      <ns0:c r="J68" t="str" s="33">
        <ns0:v>BLM21PG600SZ1D</ns0:v>
      </ns0:c>
      <ns0:c r="K68" t="str" s="34">
        <ns0:f>B68&amp;" "&amp;J68</ns0:f>
        <ns0:v>Ферритовый фильтр BLM21PG600SZ1D</ns0:v>
      </ns0:c>
      <ns0:c r="L68" t="str" s="36">
        <ns0:v>Ferrite_Bead</ns0:v>
      </ns0:c>
      <ns0:c r="M68" t="str" s="36">
        <ns0:v>Symbols\MY_LIB_Inductors.SchLib</ns0:v>
      </ns0:c>
      <ns0:c r="N68" t="str" s="36">
        <ns0:v>Murata_BLM21PG_2012_Reflow</ns0:v>
      </ns0:c>
      <ns0:c r="O68" t="str" s="36">
        <ns0:v>Footprints\MY_LIB_Inductors.PcbLib</ns0:v>
      </ns0:c>
      <ns0:c r="P6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8" s="33"/>
      <ns0:c r="R68" t="str" s="34">
        <ns0:f>D68</ns0:f>
        <ns0:v>60 Ом @ 100 МГц</ns0:v>
      </ns0:c>
      <ns0:c r="S68" t="str" s="34">
        <ns0:f>K68</ns0:f>
        <ns0:v>Ферритовый фильтр BLM21PG600SZ1D</ns0:v>
      </ns0:c>
      <ns0:c r="T68" t="str" s="33">
        <ns0:v>C:\Users\Nomatin\Documents\Altium\MY_LIB\MY_LIB\Datasheets\Ferrite_Beads\Murata_BLM21PG_C51E_excerpt.pdf</ns0:v>
      </ns0:c>
      <ns0:c r="U68" t="str" s="33">
        <ns0:v>Даташит — локальный</ns0:v>
      </ns0:c>
      <ns0:c r="V68" t="str" s="33">
        <ns0:v>C:\Users\Nomatin\Documents\Altium\MY_LIB\MY_LIB\Datasheets\Ferrite_Beads\Murata_BLM21PG_C51E_excerpt.pdf</ns0:v>
      </ns0:c>
      <ns0:c r="W68" t="str" s="33">
        <ns0:v>Даташит — производитель</ns0:v>
      </ns0:c>
      <ns0:c r="X68" t="str" s="33">
        <ns0:v>https://www.murata.com/products/productdata/8796749987870/QNFA9114.pdf</ns0:v>
      </ns0:c>
      <ns0:c r="Y68" t="str" s="33">
        <ns0:v>C:\Users\Nomatin\Documents\Altium\MY_LIB\MY_LIB\Datasheets\Ferrite_Beads\Murata_BLM21PG_C51E_excerpt.pdf</ns0:v>
      </ns0:c>
      <ns0:c r="Z68" t="n" s="33">
        <ns0:v>60</ns0:v>
      </ns0:c>
      <ns0:c r="AA68" t="n" s="33">
        <ns0:v>100</ns0:v>
      </ns0:c>
      <ns0:c r="AB68" t="n" s="33">
        <ns0:v>3.5</ns0:v>
      </ns0:c>
      <ns0:c r="AC68" t="n" s="33">
        <ns0:v>1.9</ns0:v>
      </ns0:c>
      <ns0:c r="AD68" t="n" s="33">
        <ns0:v>0.02</ns0:v>
      </ns0:c>
      <ns0:c r="AE68" t="n" s="33">
        <ns0:v>-55</ns0:v>
      </ns0:c>
      <ns0:c r="AF68" t="n" s="33">
        <ns0:v>125</ns0:v>
      </ns0:c>
      <ns0:c r="AG68" t="str" s="33">
        <ns0:v>TA, °C; rated current at 85°C / 125°C</ns0:v>
      </ns0:c>
      <ns0:c r="AH68" t="str" s="33">
        <ns0:v>BLM21PG</ns0:v>
      </ns0:c>
      <ns0:c r="AI68" t="str" s="33">
        <ns0:v>Automotive infotainment/comfort</ns0:v>
      </ns0:c>
      <ns0:c r="AJ68" t="str" s="33">
        <ns0:v>180 mm paper tape</ns0:v>
      </ns0:c>
      <ns0:c r="AK68" t="n" s="33">
        <ns0:v>4000</ns0:v>
      </ns0:c>
      <ns0:c r="AL68" t="str" s="33">
        <ns0:v>C51E 2022-01-07, original pp.90-91</ns0:v>
      </ns0:c>
    </ns0:row>
    <ns0:row r="69" ht="72" customHeight="1">
      <ns0:c r="A69" t="str" s="33">
        <ns0:v>L0068</ns0:v>
      </ns0:c>
      <ns0:c r="B69" t="str" s="33">
        <ns0:v>Ферритовый фильтр</ns0:v>
      </ns0:c>
      <ns0:c r="C69" t="str" s="33">
        <ns0:v>60 Ом @ 100 МГц</ns0:v>
      </ns0:c>
      <ns0:c r="D69" t="str" s="34">
        <ns0:f>C69</ns0:f>
        <ns0:v>60 Ом @ 100 МГц</ns0:v>
      </ns0:c>
      <ns0:c r="E69" t="str" s="33">
        <ns0:v>±25%</ns0:v>
      </ns0:c>
      <ns0:c r="F69" s="33"/>
      <ns0:c r="G69" s="33"/>
      <ns0:c r="H69" t="str" s="35">
        <ns0:v>0805</ns0:v>
      </ns0:c>
      <ns0:c r="I69" t="str" s="33">
        <ns0:v>Murata</ns0:v>
      </ns0:c>
      <ns0:c r="J69" t="str" s="33">
        <ns0:v>BLM21PG600SZ1J</ns0:v>
      </ns0:c>
      <ns0:c r="K69" t="str" s="34">
        <ns0:f>B69&amp;" "&amp;J69</ns0:f>
        <ns0:v>Ферритовый фильтр BLM21PG600SZ1J</ns0:v>
      </ns0:c>
      <ns0:c r="L69" t="str" s="36">
        <ns0:v>Ferrite_Bead</ns0:v>
      </ns0:c>
      <ns0:c r="M69" t="str" s="36">
        <ns0:v>Symbols\MY_LIB_Inductors.SchLib</ns0:v>
      </ns0:c>
      <ns0:c r="N69" t="str" s="36">
        <ns0:v>Murata_BLM21PG_2012_Reflow</ns0:v>
      </ns0:c>
      <ns0:c r="O69" t="str" s="36">
        <ns0:v>Footprints\MY_LIB_Inductors.PcbLib</ns0:v>
      </ns0:c>
      <ns0:c r="P6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69" s="33"/>
      <ns0:c r="R69" t="str" s="34">
        <ns0:f>D69</ns0:f>
        <ns0:v>60 Ом @ 100 МГц</ns0:v>
      </ns0:c>
      <ns0:c r="S69" t="str" s="34">
        <ns0:f>K69</ns0:f>
        <ns0:v>Ферритовый фильтр BLM21PG600SZ1J</ns0:v>
      </ns0:c>
      <ns0:c r="T69" t="str" s="33">
        <ns0:v>C:\Users\Nomatin\Documents\Altium\MY_LIB\MY_LIB\Datasheets\Ferrite_Beads\Murata_BLM21PG_C51E_excerpt.pdf</ns0:v>
      </ns0:c>
      <ns0:c r="U69" t="str" s="33">
        <ns0:v>Даташит — локальный</ns0:v>
      </ns0:c>
      <ns0:c r="V69" t="str" s="33">
        <ns0:v>C:\Users\Nomatin\Documents\Altium\MY_LIB\MY_LIB\Datasheets\Ferrite_Beads\Murata_BLM21PG_C51E_excerpt.pdf</ns0:v>
      </ns0:c>
      <ns0:c r="W69" t="str" s="33">
        <ns0:v>Даташит — производитель</ns0:v>
      </ns0:c>
      <ns0:c r="X69" t="str" s="33">
        <ns0:v>https://www.murata.com/products/productdata/8796749987870/QNFA9114.pdf</ns0:v>
      </ns0:c>
      <ns0:c r="Y69" t="str" s="33">
        <ns0:v>C:\Users\Nomatin\Documents\Altium\MY_LIB\MY_LIB\Datasheets\Ferrite_Beads\Murata_BLM21PG_C51E_excerpt.pdf</ns0:v>
      </ns0:c>
      <ns0:c r="Z69" t="n" s="33">
        <ns0:v>60</ns0:v>
      </ns0:c>
      <ns0:c r="AA69" t="n" s="33">
        <ns0:v>100</ns0:v>
      </ns0:c>
      <ns0:c r="AB69" t="n" s="33">
        <ns0:v>3.5</ns0:v>
      </ns0:c>
      <ns0:c r="AC69" t="n" s="33">
        <ns0:v>1.9</ns0:v>
      </ns0:c>
      <ns0:c r="AD69" t="n" s="33">
        <ns0:v>0.02</ns0:v>
      </ns0:c>
      <ns0:c r="AE69" t="n" s="33">
        <ns0:v>-55</ns0:v>
      </ns0:c>
      <ns0:c r="AF69" t="n" s="33">
        <ns0:v>125</ns0:v>
      </ns0:c>
      <ns0:c r="AG69" t="str" s="33">
        <ns0:v>TA, °C; rated current at 85°C / 125°C</ns0:v>
      </ns0:c>
      <ns0:c r="AH69" t="str" s="33">
        <ns0:v>BLM21PG</ns0:v>
      </ns0:c>
      <ns0:c r="AI69" t="str" s="33">
        <ns0:v>Automotive infotainment/comfort</ns0:v>
      </ns0:c>
      <ns0:c r="AJ69" t="str" s="33">
        <ns0:v>330 mm paper tape</ns0:v>
      </ns0:c>
      <ns0:c r="AK69" t="n" s="33">
        <ns0:v>10000</ns0:v>
      </ns0:c>
      <ns0:c r="AL69" t="str" s="33">
        <ns0:v>C51E 2022-01-07, original pp.90-91</ns0:v>
      </ns0:c>
    </ns0:row>
    <ns0:row r="70" ht="72" customHeight="1">
      <ns0:c r="A70" t="str" s="33">
        <ns0:v>L0069</ns0:v>
      </ns0:c>
      <ns0:c r="B70" t="str" s="33">
        <ns0:v>Ферритовый фильтр</ns0:v>
      </ns0:c>
      <ns0:c r="C70" t="str" s="33">
        <ns0:v>60 Ом @ 100 МГц</ns0:v>
      </ns0:c>
      <ns0:c r="D70" t="str" s="34">
        <ns0:f>C70</ns0:f>
        <ns0:v>60 Ом @ 100 МГц</ns0:v>
      </ns0:c>
      <ns0:c r="E70" t="str" s="33">
        <ns0:v>±25%</ns0:v>
      </ns0:c>
      <ns0:c r="F70" s="33"/>
      <ns0:c r="G70" s="33"/>
      <ns0:c r="H70" t="str" s="35">
        <ns0:v>0805</ns0:v>
      </ns0:c>
      <ns0:c r="I70" t="str" s="33">
        <ns0:v>Murata</ns0:v>
      </ns0:c>
      <ns0:c r="J70" t="str" s="33">
        <ns0:v>BLM21PG600SZ1B</ns0:v>
      </ns0:c>
      <ns0:c r="K70" t="str" s="34">
        <ns0:f>B70&amp;" "&amp;J70</ns0:f>
        <ns0:v>Ферритовый фильтр BLM21PG600SZ1B</ns0:v>
      </ns0:c>
      <ns0:c r="L70" t="str" s="36">
        <ns0:v>Ferrite_Bead</ns0:v>
      </ns0:c>
      <ns0:c r="M70" t="str" s="36">
        <ns0:v>Symbols\MY_LIB_Inductors.SchLib</ns0:v>
      </ns0:c>
      <ns0:c r="N70" t="str" s="36">
        <ns0:v>Murata_BLM21PG_2012_Reflow</ns0:v>
      </ns0:c>
      <ns0:c r="O70" t="str" s="36">
        <ns0:v>Footprints\MY_LIB_Inductors.PcbLib</ns0:v>
      </ns0:c>
      <ns0:c r="P70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0" s="33"/>
      <ns0:c r="R70" t="str" s="34">
        <ns0:f>D70</ns0:f>
        <ns0:v>60 Ом @ 100 МГц</ns0:v>
      </ns0:c>
      <ns0:c r="S70" t="str" s="34">
        <ns0:f>K70</ns0:f>
        <ns0:v>Ферритовый фильтр BLM21PG600SZ1B</ns0:v>
      </ns0:c>
      <ns0:c r="T70" t="str" s="33">
        <ns0:v>C:\Users\Nomatin\Documents\Altium\MY_LIB\MY_LIB\Datasheets\Ferrite_Beads\Murata_BLM21PG_C51E_excerpt.pdf</ns0:v>
      </ns0:c>
      <ns0:c r="U70" t="str" s="33">
        <ns0:v>Даташит — локальный</ns0:v>
      </ns0:c>
      <ns0:c r="V70" t="str" s="33">
        <ns0:v>C:\Users\Nomatin\Documents\Altium\MY_LIB\MY_LIB\Datasheets\Ferrite_Beads\Murata_BLM21PG_C51E_excerpt.pdf</ns0:v>
      </ns0:c>
      <ns0:c r="W70" t="str" s="33">
        <ns0:v>Даташит — производитель</ns0:v>
      </ns0:c>
      <ns0:c r="X70" t="str" s="33">
        <ns0:v>https://www.murata.com/products/productdata/8796749987870/QNFA9114.pdf</ns0:v>
      </ns0:c>
      <ns0:c r="Y70" t="str" s="33">
        <ns0:v>C:\Users\Nomatin\Documents\Altium\MY_LIB\MY_LIB\Datasheets\Ferrite_Beads\Murata_BLM21PG_C51E_excerpt.pdf</ns0:v>
      </ns0:c>
      <ns0:c r="Z70" t="n" s="33">
        <ns0:v>60</ns0:v>
      </ns0:c>
      <ns0:c r="AA70" t="n" s="33">
        <ns0:v>100</ns0:v>
      </ns0:c>
      <ns0:c r="AB70" t="n" s="33">
        <ns0:v>3.5</ns0:v>
      </ns0:c>
      <ns0:c r="AC70" t="n" s="33">
        <ns0:v>1.9</ns0:v>
      </ns0:c>
      <ns0:c r="AD70" t="n" s="33">
        <ns0:v>0.02</ns0:v>
      </ns0:c>
      <ns0:c r="AE70" t="n" s="33">
        <ns0:v>-55</ns0:v>
      </ns0:c>
      <ns0:c r="AF70" t="n" s="33">
        <ns0:v>125</ns0:v>
      </ns0:c>
      <ns0:c r="AG70" t="str" s="33">
        <ns0:v>TA, °C; rated current at 85°C / 125°C</ns0:v>
      </ns0:c>
      <ns0:c r="AH70" t="str" s="33">
        <ns0:v>BLM21PG</ns0:v>
      </ns0:c>
      <ns0:c r="AI70" t="str" s="33">
        <ns0:v>Automotive infotainment/comfort</ns0:v>
      </ns0:c>
      <ns0:c r="AJ70" t="str" s="33">
        <ns0:v>Bulk (bag)</ns0:v>
      </ns0:c>
      <ns0:c r="AK70" t="n" s="33">
        <ns0:v>1000</ns0:v>
      </ns0:c>
      <ns0:c r="AL70" t="str" s="33">
        <ns0:v>C51E 2022-01-07, original pp.90-91</ns0:v>
      </ns0:c>
    </ns0:row>
    <ns0:row r="71" ht="72" customHeight="1">
      <ns0:c r="A71" t="str" s="33">
        <ns0:v>L0070</ns0:v>
      </ns0:c>
      <ns0:c r="B71" t="str" s="33">
        <ns0:v>Ферритовый фильтр</ns0:v>
      </ns0:c>
      <ns0:c r="C71" t="str" s="33">
        <ns0:v>120 Ом @ 100 МГц</ns0:v>
      </ns0:c>
      <ns0:c r="D71" t="str" s="34">
        <ns0:f>C71</ns0:f>
        <ns0:v>120 Ом @ 100 МГц</ns0:v>
      </ns0:c>
      <ns0:c r="E71" t="str" s="33">
        <ns0:v>±25%</ns0:v>
      </ns0:c>
      <ns0:c r="F71" s="33"/>
      <ns0:c r="G71" s="33"/>
      <ns0:c r="H71" t="str" s="35">
        <ns0:v>0805</ns0:v>
      </ns0:c>
      <ns0:c r="I71" t="str" s="33">
        <ns0:v>Murata</ns0:v>
      </ns0:c>
      <ns0:c r="J71" t="str" s="33">
        <ns0:v>BLM21PG121SZ1D</ns0:v>
      </ns0:c>
      <ns0:c r="K71" t="str" s="34">
        <ns0:f>B71&amp;" "&amp;J71</ns0:f>
        <ns0:v>Ферритовый фильтр BLM21PG121SZ1D</ns0:v>
      </ns0:c>
      <ns0:c r="L71" t="str" s="36">
        <ns0:v>Ferrite_Bead</ns0:v>
      </ns0:c>
      <ns0:c r="M71" t="str" s="36">
        <ns0:v>Symbols\MY_LIB_Inductors.SchLib</ns0:v>
      </ns0:c>
      <ns0:c r="N71" t="str" s="36">
        <ns0:v>Murata_BLM21PG_2012_Reflow</ns0:v>
      </ns0:c>
      <ns0:c r="O71" t="str" s="36">
        <ns0:v>Footprints\MY_LIB_Inductors.PcbLib</ns0:v>
      </ns0:c>
      <ns0:c r="P71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1" s="33"/>
      <ns0:c r="R71" t="str" s="34">
        <ns0:f>D71</ns0:f>
        <ns0:v>120 Ом @ 100 МГц</ns0:v>
      </ns0:c>
      <ns0:c r="S71" t="str" s="34">
        <ns0:f>K71</ns0:f>
        <ns0:v>Ферритовый фильтр BLM21PG121SZ1D</ns0:v>
      </ns0:c>
      <ns0:c r="T71" t="str" s="33">
        <ns0:v>C:\Users\Nomatin\Documents\Altium\MY_LIB\MY_LIB\Datasheets\Ferrite_Beads\Murata_BLM21PG_C51E_excerpt.pdf</ns0:v>
      </ns0:c>
      <ns0:c r="U71" t="str" s="33">
        <ns0:v>Даташит — локальный</ns0:v>
      </ns0:c>
      <ns0:c r="V71" t="str" s="33">
        <ns0:v>C:\Users\Nomatin\Documents\Altium\MY_LIB\MY_LIB\Datasheets\Ferrite_Beads\Murata_BLM21PG_C51E_excerpt.pdf</ns0:v>
      </ns0:c>
      <ns0:c r="W71" t="str" s="33">
        <ns0:v>Даташит — производитель</ns0:v>
      </ns0:c>
      <ns0:c r="X71" t="str" s="33">
        <ns0:v>https://www.murata.com/products/productdata/8796749987870/QNFA9114.pdf</ns0:v>
      </ns0:c>
      <ns0:c r="Y71" t="str" s="33">
        <ns0:v>C:\Users\Nomatin\Documents\Altium\MY_LIB\MY_LIB\Datasheets\Ferrite_Beads\Murata_BLM21PG_C51E_excerpt.pdf</ns0:v>
      </ns0:c>
      <ns0:c r="Z71" t="n" s="33">
        <ns0:v>120</ns0:v>
      </ns0:c>
      <ns0:c r="AA71" t="n" s="33">
        <ns0:v>100</ns0:v>
      </ns0:c>
      <ns0:c r="AB71" t="n" s="33">
        <ns0:v>3</ns0:v>
      </ns0:c>
      <ns0:c r="AC71" t="n" s="33">
        <ns0:v>1.55</ns0:v>
      </ns0:c>
      <ns0:c r="AD71" t="n" s="33">
        <ns0:v>0.03</ns0:v>
      </ns0:c>
      <ns0:c r="AE71" t="n" s="33">
        <ns0:v>-55</ns0:v>
      </ns0:c>
      <ns0:c r="AF71" t="n" s="33">
        <ns0:v>125</ns0:v>
      </ns0:c>
      <ns0:c r="AG71" t="str" s="33">
        <ns0:v>TA, °C; rated current at 85°C / 125°C</ns0:v>
      </ns0:c>
      <ns0:c r="AH71" t="str" s="33">
        <ns0:v>BLM21PG</ns0:v>
      </ns0:c>
      <ns0:c r="AI71" t="str" s="33">
        <ns0:v>Automotive infotainment/comfort</ns0:v>
      </ns0:c>
      <ns0:c r="AJ71" t="str" s="33">
        <ns0:v>180 mm paper tape</ns0:v>
      </ns0:c>
      <ns0:c r="AK71" t="n" s="33">
        <ns0:v>4000</ns0:v>
      </ns0:c>
      <ns0:c r="AL71" t="str" s="33">
        <ns0:v>C51E 2022-01-07, original pp.90-91</ns0:v>
      </ns0:c>
    </ns0:row>
    <ns0:row r="72" ht="72" customHeight="1">
      <ns0:c r="A72" t="str" s="33">
        <ns0:v>L0071</ns0:v>
      </ns0:c>
      <ns0:c r="B72" t="str" s="33">
        <ns0:v>Ферритовый фильтр</ns0:v>
      </ns0:c>
      <ns0:c r="C72" t="str" s="33">
        <ns0:v>120 Ом @ 100 МГц</ns0:v>
      </ns0:c>
      <ns0:c r="D72" t="str" s="34">
        <ns0:f>C72</ns0:f>
        <ns0:v>120 Ом @ 100 МГц</ns0:v>
      </ns0:c>
      <ns0:c r="E72" t="str" s="33">
        <ns0:v>±25%</ns0:v>
      </ns0:c>
      <ns0:c r="F72" s="33"/>
      <ns0:c r="G72" s="33"/>
      <ns0:c r="H72" t="str" s="35">
        <ns0:v>0805</ns0:v>
      </ns0:c>
      <ns0:c r="I72" t="str" s="33">
        <ns0:v>Murata</ns0:v>
      </ns0:c>
      <ns0:c r="J72" t="str" s="33">
        <ns0:v>BLM21PG121SZ1J</ns0:v>
      </ns0:c>
      <ns0:c r="K72" t="str" s="34">
        <ns0:f>B72&amp;" "&amp;J72</ns0:f>
        <ns0:v>Ферритовый фильтр BLM21PG121SZ1J</ns0:v>
      </ns0:c>
      <ns0:c r="L72" t="str" s="36">
        <ns0:v>Ferrite_Bead</ns0:v>
      </ns0:c>
      <ns0:c r="M72" t="str" s="36">
        <ns0:v>Symbols\MY_LIB_Inductors.SchLib</ns0:v>
      </ns0:c>
      <ns0:c r="N72" t="str" s="36">
        <ns0:v>Murata_BLM21PG_2012_Reflow</ns0:v>
      </ns0:c>
      <ns0:c r="O72" t="str" s="36">
        <ns0:v>Footprints\MY_LIB_Inductors.PcbLib</ns0:v>
      </ns0:c>
      <ns0:c r="P72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2" s="33"/>
      <ns0:c r="R72" t="str" s="34">
        <ns0:f>D72</ns0:f>
        <ns0:v>120 Ом @ 100 МГц</ns0:v>
      </ns0:c>
      <ns0:c r="S72" t="str" s="34">
        <ns0:f>K72</ns0:f>
        <ns0:v>Ферритовый фильтр BLM21PG121SZ1J</ns0:v>
      </ns0:c>
      <ns0:c r="T72" t="str" s="33">
        <ns0:v>C:\Users\Nomatin\Documents\Altium\MY_LIB\MY_LIB\Datasheets\Ferrite_Beads\Murata_BLM21PG_C51E_excerpt.pdf</ns0:v>
      </ns0:c>
      <ns0:c r="U72" t="str" s="33">
        <ns0:v>Даташит — локальный</ns0:v>
      </ns0:c>
      <ns0:c r="V72" t="str" s="33">
        <ns0:v>C:\Users\Nomatin\Documents\Altium\MY_LIB\MY_LIB\Datasheets\Ferrite_Beads\Murata_BLM21PG_C51E_excerpt.pdf</ns0:v>
      </ns0:c>
      <ns0:c r="W72" t="str" s="33">
        <ns0:v>Даташит — производитель</ns0:v>
      </ns0:c>
      <ns0:c r="X72" t="str" s="33">
        <ns0:v>https://www.murata.com/products/productdata/8796749987870/QNFA9114.pdf</ns0:v>
      </ns0:c>
      <ns0:c r="Y72" t="str" s="33">
        <ns0:v>C:\Users\Nomatin\Documents\Altium\MY_LIB\MY_LIB\Datasheets\Ferrite_Beads\Murata_BLM21PG_C51E_excerpt.pdf</ns0:v>
      </ns0:c>
      <ns0:c r="Z72" t="n" s="33">
        <ns0:v>120</ns0:v>
      </ns0:c>
      <ns0:c r="AA72" t="n" s="33">
        <ns0:v>100</ns0:v>
      </ns0:c>
      <ns0:c r="AB72" t="n" s="33">
        <ns0:v>3</ns0:v>
      </ns0:c>
      <ns0:c r="AC72" t="n" s="33">
        <ns0:v>1.55</ns0:v>
      </ns0:c>
      <ns0:c r="AD72" t="n" s="33">
        <ns0:v>0.03</ns0:v>
      </ns0:c>
      <ns0:c r="AE72" t="n" s="33">
        <ns0:v>-55</ns0:v>
      </ns0:c>
      <ns0:c r="AF72" t="n" s="33">
        <ns0:v>125</ns0:v>
      </ns0:c>
      <ns0:c r="AG72" t="str" s="33">
        <ns0:v>TA, °C; rated current at 85°C / 125°C</ns0:v>
      </ns0:c>
      <ns0:c r="AH72" t="str" s="33">
        <ns0:v>BLM21PG</ns0:v>
      </ns0:c>
      <ns0:c r="AI72" t="str" s="33">
        <ns0:v>Automotive infotainment/comfort</ns0:v>
      </ns0:c>
      <ns0:c r="AJ72" t="str" s="33">
        <ns0:v>330 mm paper tape</ns0:v>
      </ns0:c>
      <ns0:c r="AK72" t="n" s="33">
        <ns0:v>10000</ns0:v>
      </ns0:c>
      <ns0:c r="AL72" t="str" s="33">
        <ns0:v>C51E 2022-01-07, original pp.90-91</ns0:v>
      </ns0:c>
    </ns0:row>
    <ns0:row r="73" ht="72" customHeight="1">
      <ns0:c r="A73" t="str" s="33">
        <ns0:v>L0072</ns0:v>
      </ns0:c>
      <ns0:c r="B73" t="str" s="33">
        <ns0:v>Ферритовый фильтр</ns0:v>
      </ns0:c>
      <ns0:c r="C73" t="str" s="33">
        <ns0:v>120 Ом @ 100 МГц</ns0:v>
      </ns0:c>
      <ns0:c r="D73" t="str" s="34">
        <ns0:f>C73</ns0:f>
        <ns0:v>120 Ом @ 100 МГц</ns0:v>
      </ns0:c>
      <ns0:c r="E73" t="str" s="33">
        <ns0:v>±25%</ns0:v>
      </ns0:c>
      <ns0:c r="F73" s="33"/>
      <ns0:c r="G73" s="33"/>
      <ns0:c r="H73" t="str" s="35">
        <ns0:v>0805</ns0:v>
      </ns0:c>
      <ns0:c r="I73" t="str" s="33">
        <ns0:v>Murata</ns0:v>
      </ns0:c>
      <ns0:c r="J73" t="str" s="33">
        <ns0:v>BLM21PG121SZ1B</ns0:v>
      </ns0:c>
      <ns0:c r="K73" t="str" s="34">
        <ns0:f>B73&amp;" "&amp;J73</ns0:f>
        <ns0:v>Ферритовый фильтр BLM21PG121SZ1B</ns0:v>
      </ns0:c>
      <ns0:c r="L73" t="str" s="36">
        <ns0:v>Ferrite_Bead</ns0:v>
      </ns0:c>
      <ns0:c r="M73" t="str" s="36">
        <ns0:v>Symbols\MY_LIB_Inductors.SchLib</ns0:v>
      </ns0:c>
      <ns0:c r="N73" t="str" s="36">
        <ns0:v>Murata_BLM21PG_2012_Reflow</ns0:v>
      </ns0:c>
      <ns0:c r="O73" t="str" s="36">
        <ns0:v>Footprints\MY_LIB_Inductors.PcbLib</ns0:v>
      </ns0:c>
      <ns0:c r="P73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3" s="33"/>
      <ns0:c r="R73" t="str" s="34">
        <ns0:f>D73</ns0:f>
        <ns0:v>120 Ом @ 100 МГц</ns0:v>
      </ns0:c>
      <ns0:c r="S73" t="str" s="34">
        <ns0:f>K73</ns0:f>
        <ns0:v>Ферритовый фильтр BLM21PG121SZ1B</ns0:v>
      </ns0:c>
      <ns0:c r="T73" t="str" s="33">
        <ns0:v>C:\Users\Nomatin\Documents\Altium\MY_LIB\MY_LIB\Datasheets\Ferrite_Beads\Murata_BLM21PG_C51E_excerpt.pdf</ns0:v>
      </ns0:c>
      <ns0:c r="U73" t="str" s="33">
        <ns0:v>Даташит — локальный</ns0:v>
      </ns0:c>
      <ns0:c r="V73" t="str" s="33">
        <ns0:v>C:\Users\Nomatin\Documents\Altium\MY_LIB\MY_LIB\Datasheets\Ferrite_Beads\Murata_BLM21PG_C51E_excerpt.pdf</ns0:v>
      </ns0:c>
      <ns0:c r="W73" t="str" s="33">
        <ns0:v>Даташит — производитель</ns0:v>
      </ns0:c>
      <ns0:c r="X73" t="str" s="33">
        <ns0:v>https://www.murata.com/products/productdata/8796749987870/QNFA9114.pdf</ns0:v>
      </ns0:c>
      <ns0:c r="Y73" t="str" s="33">
        <ns0:v>C:\Users\Nomatin\Documents\Altium\MY_LIB\MY_LIB\Datasheets\Ferrite_Beads\Murata_BLM21PG_C51E_excerpt.pdf</ns0:v>
      </ns0:c>
      <ns0:c r="Z73" t="n" s="33">
        <ns0:v>120</ns0:v>
      </ns0:c>
      <ns0:c r="AA73" t="n" s="33">
        <ns0:v>100</ns0:v>
      </ns0:c>
      <ns0:c r="AB73" t="n" s="33">
        <ns0:v>3</ns0:v>
      </ns0:c>
      <ns0:c r="AC73" t="n" s="33">
        <ns0:v>1.55</ns0:v>
      </ns0:c>
      <ns0:c r="AD73" t="n" s="33">
        <ns0:v>0.03</ns0:v>
      </ns0:c>
      <ns0:c r="AE73" t="n" s="33">
        <ns0:v>-55</ns0:v>
      </ns0:c>
      <ns0:c r="AF73" t="n" s="33">
        <ns0:v>125</ns0:v>
      </ns0:c>
      <ns0:c r="AG73" t="str" s="33">
        <ns0:v>TA, °C; rated current at 85°C / 125°C</ns0:v>
      </ns0:c>
      <ns0:c r="AH73" t="str" s="33">
        <ns0:v>BLM21PG</ns0:v>
      </ns0:c>
      <ns0:c r="AI73" t="str" s="33">
        <ns0:v>Automotive infotainment/comfort</ns0:v>
      </ns0:c>
      <ns0:c r="AJ73" t="str" s="33">
        <ns0:v>Bulk (bag)</ns0:v>
      </ns0:c>
      <ns0:c r="AK73" t="n" s="33">
        <ns0:v>1000</ns0:v>
      </ns0:c>
      <ns0:c r="AL73" t="str" s="33">
        <ns0:v>C51E 2022-01-07, original pp.90-91</ns0:v>
      </ns0:c>
    </ns0:row>
    <ns0:row r="74" ht="72" customHeight="1">
      <ns0:c r="A74" t="str" s="33">
        <ns0:v>L0073</ns0:v>
      </ns0:c>
      <ns0:c r="B74" t="str" s="33">
        <ns0:v>Ферритовый фильтр</ns0:v>
      </ns0:c>
      <ns0:c r="C74" t="str" s="33">
        <ns0:v>220 Ом @ 100 МГц</ns0:v>
      </ns0:c>
      <ns0:c r="D74" t="str" s="34">
        <ns0:f>C74</ns0:f>
        <ns0:v>220 Ом @ 100 МГц</ns0:v>
      </ns0:c>
      <ns0:c r="E74" t="str" s="33">
        <ns0:v>±25%</ns0:v>
      </ns0:c>
      <ns0:c r="F74" s="33"/>
      <ns0:c r="G74" s="33"/>
      <ns0:c r="H74" t="str" s="35">
        <ns0:v>0805</ns0:v>
      </ns0:c>
      <ns0:c r="I74" t="str" s="33">
        <ns0:v>Murata</ns0:v>
      </ns0:c>
      <ns0:c r="J74" t="str" s="33">
        <ns0:v>BLM21PG221SZ1D</ns0:v>
      </ns0:c>
      <ns0:c r="K74" t="str" s="34">
        <ns0:f>B74&amp;" "&amp;J74</ns0:f>
        <ns0:v>Ферритовый фильтр BLM21PG221SZ1D</ns0:v>
      </ns0:c>
      <ns0:c r="L74" t="str" s="36">
        <ns0:v>Ferrite_Bead</ns0:v>
      </ns0:c>
      <ns0:c r="M74" t="str" s="36">
        <ns0:v>Symbols\MY_LIB_Inductors.SchLib</ns0:v>
      </ns0:c>
      <ns0:c r="N74" t="str" s="36">
        <ns0:v>Murata_BLM21PG_2012_Reflow</ns0:v>
      </ns0:c>
      <ns0:c r="O74" t="str" s="36">
        <ns0:v>Footprints\MY_LIB_Inductors.PcbLib</ns0:v>
      </ns0:c>
      <ns0:c r="P74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4" s="33"/>
      <ns0:c r="R74" t="str" s="34">
        <ns0:f>D74</ns0:f>
        <ns0:v>220 Ом @ 100 МГц</ns0:v>
      </ns0:c>
      <ns0:c r="S74" t="str" s="34">
        <ns0:f>K74</ns0:f>
        <ns0:v>Ферритовый фильтр BLM21PG221SZ1D</ns0:v>
      </ns0:c>
      <ns0:c r="T74" t="str" s="33">
        <ns0:v>C:\Users\Nomatin\Documents\Altium\MY_LIB\MY_LIB\Datasheets\Ferrite_Beads\Murata_BLM21PG_C51E_excerpt.pdf</ns0:v>
      </ns0:c>
      <ns0:c r="U74" t="str" s="33">
        <ns0:v>Даташит — локальный</ns0:v>
      </ns0:c>
      <ns0:c r="V74" t="str" s="33">
        <ns0:v>C:\Users\Nomatin\Documents\Altium\MY_LIB\MY_LIB\Datasheets\Ferrite_Beads\Murata_BLM21PG_C51E_excerpt.pdf</ns0:v>
      </ns0:c>
      <ns0:c r="W74" t="str" s="33">
        <ns0:v>Даташит — производитель</ns0:v>
      </ns0:c>
      <ns0:c r="X74" t="str" s="33">
        <ns0:v>https://www.murata.com/products/productdata/8796749987870/QNFA9114.pdf</ns0:v>
      </ns0:c>
      <ns0:c r="Y74" t="str" s="33">
        <ns0:v>C:\Users\Nomatin\Documents\Altium\MY_LIB\MY_LIB\Datasheets\Ferrite_Beads\Murata_BLM21PG_C51E_excerpt.pdf</ns0:v>
      </ns0:c>
      <ns0:c r="Z74" t="n" s="33">
        <ns0:v>220</ns0:v>
      </ns0:c>
      <ns0:c r="AA74" t="n" s="33">
        <ns0:v>100</ns0:v>
      </ns0:c>
      <ns0:c r="AB74" t="n" s="33">
        <ns0:v>2</ns0:v>
      </ns0:c>
      <ns0:c r="AC74" t="n" s="33">
        <ns0:v>1.25</ns0:v>
      </ns0:c>
      <ns0:c r="AD74" t="n" s="33">
        <ns0:v>0.045</ns0:v>
      </ns0:c>
      <ns0:c r="AE74" t="n" s="33">
        <ns0:v>-55</ns0:v>
      </ns0:c>
      <ns0:c r="AF74" t="n" s="33">
        <ns0:v>125</ns0:v>
      </ns0:c>
      <ns0:c r="AG74" t="str" s="33">
        <ns0:v>TA, °C; rated current at 85°C / 125°C</ns0:v>
      </ns0:c>
      <ns0:c r="AH74" t="str" s="33">
        <ns0:v>BLM21PG</ns0:v>
      </ns0:c>
      <ns0:c r="AI74" t="str" s="33">
        <ns0:v>Automotive infotainment/comfort</ns0:v>
      </ns0:c>
      <ns0:c r="AJ74" t="str" s="33">
        <ns0:v>180 mm paper tape</ns0:v>
      </ns0:c>
      <ns0:c r="AK74" t="n" s="33">
        <ns0:v>4000</ns0:v>
      </ns0:c>
      <ns0:c r="AL74" t="str" s="33">
        <ns0:v>C51E 2022-01-07, original pp.90-91</ns0:v>
      </ns0:c>
    </ns0:row>
    <ns0:row r="75" ht="72" customHeight="1">
      <ns0:c r="A75" t="str" s="33">
        <ns0:v>L0074</ns0:v>
      </ns0:c>
      <ns0:c r="B75" t="str" s="33">
        <ns0:v>Ферритовый фильтр</ns0:v>
      </ns0:c>
      <ns0:c r="C75" t="str" s="33">
        <ns0:v>220 Ом @ 100 МГц</ns0:v>
      </ns0:c>
      <ns0:c r="D75" t="str" s="34">
        <ns0:f>C75</ns0:f>
        <ns0:v>220 Ом @ 100 МГц</ns0:v>
      </ns0:c>
      <ns0:c r="E75" t="str" s="33">
        <ns0:v>±25%</ns0:v>
      </ns0:c>
      <ns0:c r="F75" s="33"/>
      <ns0:c r="G75" s="33"/>
      <ns0:c r="H75" t="str" s="35">
        <ns0:v>0805</ns0:v>
      </ns0:c>
      <ns0:c r="I75" t="str" s="33">
        <ns0:v>Murata</ns0:v>
      </ns0:c>
      <ns0:c r="J75" t="str" s="33">
        <ns0:v>BLM21PG221SZ1J</ns0:v>
      </ns0:c>
      <ns0:c r="K75" t="str" s="34">
        <ns0:f>B75&amp;" "&amp;J75</ns0:f>
        <ns0:v>Ферритовый фильтр BLM21PG221SZ1J</ns0:v>
      </ns0:c>
      <ns0:c r="L75" t="str" s="36">
        <ns0:v>Ferrite_Bead</ns0:v>
      </ns0:c>
      <ns0:c r="M75" t="str" s="36">
        <ns0:v>Symbols\MY_LIB_Inductors.SchLib</ns0:v>
      </ns0:c>
      <ns0:c r="N75" t="str" s="36">
        <ns0:v>Murata_BLM21PG_2012_Reflow</ns0:v>
      </ns0:c>
      <ns0:c r="O75" t="str" s="36">
        <ns0:v>Footprints\MY_LIB_Inductors.PcbLib</ns0:v>
      </ns0:c>
      <ns0:c r="P75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5" s="33"/>
      <ns0:c r="R75" t="str" s="34">
        <ns0:f>D75</ns0:f>
        <ns0:v>220 Ом @ 100 МГц</ns0:v>
      </ns0:c>
      <ns0:c r="S75" t="str" s="34">
        <ns0:f>K75</ns0:f>
        <ns0:v>Ферритовый фильтр BLM21PG221SZ1J</ns0:v>
      </ns0:c>
      <ns0:c r="T75" t="str" s="33">
        <ns0:v>C:\Users\Nomatin\Documents\Altium\MY_LIB\MY_LIB\Datasheets\Ferrite_Beads\Murata_BLM21PG_C51E_excerpt.pdf</ns0:v>
      </ns0:c>
      <ns0:c r="U75" t="str" s="33">
        <ns0:v>Даташит — локальный</ns0:v>
      </ns0:c>
      <ns0:c r="V75" t="str" s="33">
        <ns0:v>C:\Users\Nomatin\Documents\Altium\MY_LIB\MY_LIB\Datasheets\Ferrite_Beads\Murata_BLM21PG_C51E_excerpt.pdf</ns0:v>
      </ns0:c>
      <ns0:c r="W75" t="str" s="33">
        <ns0:v>Даташит — производитель</ns0:v>
      </ns0:c>
      <ns0:c r="X75" t="str" s="33">
        <ns0:v>https://www.murata.com/products/productdata/8796749987870/QNFA9114.pdf</ns0:v>
      </ns0:c>
      <ns0:c r="Y75" t="str" s="33">
        <ns0:v>C:\Users\Nomatin\Documents\Altium\MY_LIB\MY_LIB\Datasheets\Ferrite_Beads\Murata_BLM21PG_C51E_excerpt.pdf</ns0:v>
      </ns0:c>
      <ns0:c r="Z75" t="n" s="33">
        <ns0:v>220</ns0:v>
      </ns0:c>
      <ns0:c r="AA75" t="n" s="33">
        <ns0:v>100</ns0:v>
      </ns0:c>
      <ns0:c r="AB75" t="n" s="33">
        <ns0:v>2</ns0:v>
      </ns0:c>
      <ns0:c r="AC75" t="n" s="33">
        <ns0:v>1.25</ns0:v>
      </ns0:c>
      <ns0:c r="AD75" t="n" s="33">
        <ns0:v>0.045</ns0:v>
      </ns0:c>
      <ns0:c r="AE75" t="n" s="33">
        <ns0:v>-55</ns0:v>
      </ns0:c>
      <ns0:c r="AF75" t="n" s="33">
        <ns0:v>125</ns0:v>
      </ns0:c>
      <ns0:c r="AG75" t="str" s="33">
        <ns0:v>TA, °C; rated current at 85°C / 125°C</ns0:v>
      </ns0:c>
      <ns0:c r="AH75" t="str" s="33">
        <ns0:v>BLM21PG</ns0:v>
      </ns0:c>
      <ns0:c r="AI75" t="str" s="33">
        <ns0:v>Automotive infotainment/comfort</ns0:v>
      </ns0:c>
      <ns0:c r="AJ75" t="str" s="33">
        <ns0:v>330 mm paper tape</ns0:v>
      </ns0:c>
      <ns0:c r="AK75" t="n" s="33">
        <ns0:v>10000</ns0:v>
      </ns0:c>
      <ns0:c r="AL75" t="str" s="33">
        <ns0:v>C51E 2022-01-07, original pp.90-91</ns0:v>
      </ns0:c>
    </ns0:row>
    <ns0:row r="76" ht="72" customHeight="1">
      <ns0:c r="A76" t="str" s="33">
        <ns0:v>L0075</ns0:v>
      </ns0:c>
      <ns0:c r="B76" t="str" s="33">
        <ns0:v>Ферритовый фильтр</ns0:v>
      </ns0:c>
      <ns0:c r="C76" t="str" s="33">
        <ns0:v>220 Ом @ 100 МГц</ns0:v>
      </ns0:c>
      <ns0:c r="D76" t="str" s="34">
        <ns0:f>C76</ns0:f>
        <ns0:v>220 Ом @ 100 МГц</ns0:v>
      </ns0:c>
      <ns0:c r="E76" t="str" s="33">
        <ns0:v>±25%</ns0:v>
      </ns0:c>
      <ns0:c r="F76" s="33"/>
      <ns0:c r="G76" s="33"/>
      <ns0:c r="H76" t="str" s="35">
        <ns0:v>0805</ns0:v>
      </ns0:c>
      <ns0:c r="I76" t="str" s="33">
        <ns0:v>Murata</ns0:v>
      </ns0:c>
      <ns0:c r="J76" t="str" s="33">
        <ns0:v>BLM21PG221SZ1B</ns0:v>
      </ns0:c>
      <ns0:c r="K76" t="str" s="34">
        <ns0:f>B76&amp;" "&amp;J76</ns0:f>
        <ns0:v>Ферритовый фильтр BLM21PG221SZ1B</ns0:v>
      </ns0:c>
      <ns0:c r="L76" t="str" s="36">
        <ns0:v>Ferrite_Bead</ns0:v>
      </ns0:c>
      <ns0:c r="M76" t="str" s="36">
        <ns0:v>Symbols\MY_LIB_Inductors.SchLib</ns0:v>
      </ns0:c>
      <ns0:c r="N76" t="str" s="36">
        <ns0:v>Murata_BLM21PG_2012_Reflow</ns0:v>
      </ns0:c>
      <ns0:c r="O76" t="str" s="36">
        <ns0:v>Footprints\MY_LIB_Inductors.PcbLib</ns0:v>
      </ns0:c>
      <ns0:c r="P76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6" s="33"/>
      <ns0:c r="R76" t="str" s="34">
        <ns0:f>D76</ns0:f>
        <ns0:v>220 Ом @ 100 МГц</ns0:v>
      </ns0:c>
      <ns0:c r="S76" t="str" s="34">
        <ns0:f>K76</ns0:f>
        <ns0:v>Ферритовый фильтр BLM21PG221SZ1B</ns0:v>
      </ns0:c>
      <ns0:c r="T76" t="str" s="33">
        <ns0:v>C:\Users\Nomatin\Documents\Altium\MY_LIB\MY_LIB\Datasheets\Ferrite_Beads\Murata_BLM21PG_C51E_excerpt.pdf</ns0:v>
      </ns0:c>
      <ns0:c r="U76" t="str" s="33">
        <ns0:v>Даташит — локальный</ns0:v>
      </ns0:c>
      <ns0:c r="V76" t="str" s="33">
        <ns0:v>C:\Users\Nomatin\Documents\Altium\MY_LIB\MY_LIB\Datasheets\Ferrite_Beads\Murata_BLM21PG_C51E_excerpt.pdf</ns0:v>
      </ns0:c>
      <ns0:c r="W76" t="str" s="33">
        <ns0:v>Даташит — производитель</ns0:v>
      </ns0:c>
      <ns0:c r="X76" t="str" s="33">
        <ns0:v>https://www.murata.com/products/productdata/8796749987870/QNFA9114.pdf</ns0:v>
      </ns0:c>
      <ns0:c r="Y76" t="str" s="33">
        <ns0:v>C:\Users\Nomatin\Documents\Altium\MY_LIB\MY_LIB\Datasheets\Ferrite_Beads\Murata_BLM21PG_C51E_excerpt.pdf</ns0:v>
      </ns0:c>
      <ns0:c r="Z76" t="n" s="33">
        <ns0:v>220</ns0:v>
      </ns0:c>
      <ns0:c r="AA76" t="n" s="33">
        <ns0:v>100</ns0:v>
      </ns0:c>
      <ns0:c r="AB76" t="n" s="33">
        <ns0:v>2</ns0:v>
      </ns0:c>
      <ns0:c r="AC76" t="n" s="33">
        <ns0:v>1.25</ns0:v>
      </ns0:c>
      <ns0:c r="AD76" t="n" s="33">
        <ns0:v>0.045</ns0:v>
      </ns0:c>
      <ns0:c r="AE76" t="n" s="33">
        <ns0:v>-55</ns0:v>
      </ns0:c>
      <ns0:c r="AF76" t="n" s="33">
        <ns0:v>125</ns0:v>
      </ns0:c>
      <ns0:c r="AG76" t="str" s="33">
        <ns0:v>TA, °C; rated current at 85°C / 125°C</ns0:v>
      </ns0:c>
      <ns0:c r="AH76" t="str" s="33">
        <ns0:v>BLM21PG</ns0:v>
      </ns0:c>
      <ns0:c r="AI76" t="str" s="33">
        <ns0:v>Automotive infotainment/comfort</ns0:v>
      </ns0:c>
      <ns0:c r="AJ76" t="str" s="33">
        <ns0:v>Bulk (bag)</ns0:v>
      </ns0:c>
      <ns0:c r="AK76" t="n" s="33">
        <ns0:v>1000</ns0:v>
      </ns0:c>
      <ns0:c r="AL76" t="str" s="33">
        <ns0:v>C51E 2022-01-07, original pp.90-91</ns0:v>
      </ns0:c>
    </ns0:row>
    <ns0:row r="77" ht="72" customHeight="1">
      <ns0:c r="A77" t="str" s="33">
        <ns0:v>L0076</ns0:v>
      </ns0:c>
      <ns0:c r="B77" t="str" s="33">
        <ns0:v>Ферритовый фильтр</ns0:v>
      </ns0:c>
      <ns0:c r="C77" t="str" s="33">
        <ns0:v>330 Ом @ 100 МГц</ns0:v>
      </ns0:c>
      <ns0:c r="D77" t="str" s="34">
        <ns0:f>C77</ns0:f>
        <ns0:v>330 Ом @ 100 МГц</ns0:v>
      </ns0:c>
      <ns0:c r="E77" t="str" s="33">
        <ns0:v>±25%</ns0:v>
      </ns0:c>
      <ns0:c r="F77" s="33"/>
      <ns0:c r="G77" s="33"/>
      <ns0:c r="H77" t="str" s="35">
        <ns0:v>0805</ns0:v>
      </ns0:c>
      <ns0:c r="I77" t="str" s="33">
        <ns0:v>Murata</ns0:v>
      </ns0:c>
      <ns0:c r="J77" t="str" s="33">
        <ns0:v>BLM21PG331SZ1D</ns0:v>
      </ns0:c>
      <ns0:c r="K77" t="str" s="34">
        <ns0:f>B77&amp;" "&amp;J77</ns0:f>
        <ns0:v>Ферритовый фильтр BLM21PG331SZ1D</ns0:v>
      </ns0:c>
      <ns0:c r="L77" t="str" s="36">
        <ns0:v>Ferrite_Bead</ns0:v>
      </ns0:c>
      <ns0:c r="M77" t="str" s="36">
        <ns0:v>Symbols\MY_LIB_Inductors.SchLib</ns0:v>
      </ns0:c>
      <ns0:c r="N77" t="str" s="36">
        <ns0:v>Murata_BLM21PG_2012_Reflow</ns0:v>
      </ns0:c>
      <ns0:c r="O77" t="str" s="36">
        <ns0:v>Footprints\MY_LIB_Inductors.PcbLib</ns0:v>
      </ns0:c>
      <ns0:c r="P77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7" s="33"/>
      <ns0:c r="R77" t="str" s="34">
        <ns0:f>D77</ns0:f>
        <ns0:v>330 Ом @ 100 МГц</ns0:v>
      </ns0:c>
      <ns0:c r="S77" t="str" s="34">
        <ns0:f>K77</ns0:f>
        <ns0:v>Ферритовый фильтр BLM21PG331SZ1D</ns0:v>
      </ns0:c>
      <ns0:c r="T77" t="str" s="33">
        <ns0:v>C:\Users\Nomatin\Documents\Altium\MY_LIB\MY_LIB\Datasheets\Ferrite_Beads\Murata_BLM21PG_C51E_excerpt.pdf</ns0:v>
      </ns0:c>
      <ns0:c r="U77" t="str" s="33">
        <ns0:v>Даташит — локальный</ns0:v>
      </ns0:c>
      <ns0:c r="V77" t="str" s="33">
        <ns0:v>C:\Users\Nomatin\Documents\Altium\MY_LIB\MY_LIB\Datasheets\Ferrite_Beads\Murata_BLM21PG_C51E_excerpt.pdf</ns0:v>
      </ns0:c>
      <ns0:c r="W77" t="str" s="33">
        <ns0:v>Даташит — производитель</ns0:v>
      </ns0:c>
      <ns0:c r="X77" t="str" s="33">
        <ns0:v>https://www.murata.com/products/productdata/8796749987870/QNFA9114.pdf</ns0:v>
      </ns0:c>
      <ns0:c r="Y77" t="str" s="33">
        <ns0:v>C:\Users\Nomatin\Documents\Altium\MY_LIB\MY_LIB\Datasheets\Ferrite_Beads\Murata_BLM21PG_C51E_excerpt.pdf</ns0:v>
      </ns0:c>
      <ns0:c r="Z77" t="n" s="33">
        <ns0:v>330</ns0:v>
      </ns0:c>
      <ns0:c r="AA77" t="n" s="33">
        <ns0:v>100</ns0:v>
      </ns0:c>
      <ns0:c r="AB77" t="n" s="33">
        <ns0:v>1.5</ns0:v>
      </ns0:c>
      <ns0:c r="AC77" t="n" s="33">
        <ns0:v>1</ns0:v>
      </ns0:c>
      <ns0:c r="AD77" t="n" s="33">
        <ns0:v>0.07</ns0:v>
      </ns0:c>
      <ns0:c r="AE77" t="n" s="33">
        <ns0:v>-55</ns0:v>
      </ns0:c>
      <ns0:c r="AF77" t="n" s="33">
        <ns0:v>125</ns0:v>
      </ns0:c>
      <ns0:c r="AG77" t="str" s="33">
        <ns0:v>TA, °C; rated current at 85°C / 125°C</ns0:v>
      </ns0:c>
      <ns0:c r="AH77" t="str" s="33">
        <ns0:v>BLM21PG</ns0:v>
      </ns0:c>
      <ns0:c r="AI77" t="str" s="33">
        <ns0:v>Automotive infotainment/comfort</ns0:v>
      </ns0:c>
      <ns0:c r="AJ77" t="str" s="33">
        <ns0:v>180 mm paper tape</ns0:v>
      </ns0:c>
      <ns0:c r="AK77" t="n" s="33">
        <ns0:v>4000</ns0:v>
      </ns0:c>
      <ns0:c r="AL77" t="str" s="33">
        <ns0:v>C51E 2022-01-07, original pp.90-91</ns0:v>
      </ns0:c>
    </ns0:row>
    <ns0:row r="78" ht="72" customHeight="1">
      <ns0:c r="A78" t="str" s="33">
        <ns0:v>L0077</ns0:v>
      </ns0:c>
      <ns0:c r="B78" t="str" s="33">
        <ns0:v>Ферритовый фильтр</ns0:v>
      </ns0:c>
      <ns0:c r="C78" t="str" s="33">
        <ns0:v>330 Ом @ 100 МГц</ns0:v>
      </ns0:c>
      <ns0:c r="D78" t="str" s="34">
        <ns0:f>C78</ns0:f>
        <ns0:v>330 Ом @ 100 МГц</ns0:v>
      </ns0:c>
      <ns0:c r="E78" t="str" s="33">
        <ns0:v>±25%</ns0:v>
      </ns0:c>
      <ns0:c r="F78" s="33"/>
      <ns0:c r="G78" s="33"/>
      <ns0:c r="H78" t="str" s="35">
        <ns0:v>0805</ns0:v>
      </ns0:c>
      <ns0:c r="I78" t="str" s="33">
        <ns0:v>Murata</ns0:v>
      </ns0:c>
      <ns0:c r="J78" t="str" s="33">
        <ns0:v>BLM21PG331SZ1J</ns0:v>
      </ns0:c>
      <ns0:c r="K78" t="str" s="34">
        <ns0:f>B78&amp;" "&amp;J78</ns0:f>
        <ns0:v>Ферритовый фильтр BLM21PG331SZ1J</ns0:v>
      </ns0:c>
      <ns0:c r="L78" t="str" s="36">
        <ns0:v>Ferrite_Bead</ns0:v>
      </ns0:c>
      <ns0:c r="M78" t="str" s="36">
        <ns0:v>Symbols\MY_LIB_Inductors.SchLib</ns0:v>
      </ns0:c>
      <ns0:c r="N78" t="str" s="36">
        <ns0:v>Murata_BLM21PG_2012_Reflow</ns0:v>
      </ns0:c>
      <ns0:c r="O78" t="str" s="36">
        <ns0:v>Footprints\MY_LIB_Inductors.PcbLib</ns0:v>
      </ns0:c>
      <ns0:c r="P78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8" s="33"/>
      <ns0:c r="R78" t="str" s="34">
        <ns0:f>D78</ns0:f>
        <ns0:v>330 Ом @ 100 МГц</ns0:v>
      </ns0:c>
      <ns0:c r="S78" t="str" s="34">
        <ns0:f>K78</ns0:f>
        <ns0:v>Ферритовый фильтр BLM21PG331SZ1J</ns0:v>
      </ns0:c>
      <ns0:c r="T78" t="str" s="33">
        <ns0:v>C:\Users\Nomatin\Documents\Altium\MY_LIB\MY_LIB\Datasheets\Ferrite_Beads\Murata_BLM21PG_C51E_excerpt.pdf</ns0:v>
      </ns0:c>
      <ns0:c r="U78" t="str" s="33">
        <ns0:v>Даташит — локальный</ns0:v>
      </ns0:c>
      <ns0:c r="V78" t="str" s="33">
        <ns0:v>C:\Users\Nomatin\Documents\Altium\MY_LIB\MY_LIB\Datasheets\Ferrite_Beads\Murata_BLM21PG_C51E_excerpt.pdf</ns0:v>
      </ns0:c>
      <ns0:c r="W78" t="str" s="33">
        <ns0:v>Даташит — производитель</ns0:v>
      </ns0:c>
      <ns0:c r="X78" t="str" s="33">
        <ns0:v>https://www.murata.com/products/productdata/8796749987870/QNFA9114.pdf</ns0:v>
      </ns0:c>
      <ns0:c r="Y78" t="str" s="33">
        <ns0:v>C:\Users\Nomatin\Documents\Altium\MY_LIB\MY_LIB\Datasheets\Ferrite_Beads\Murata_BLM21PG_C51E_excerpt.pdf</ns0:v>
      </ns0:c>
      <ns0:c r="Z78" t="n" s="33">
        <ns0:v>330</ns0:v>
      </ns0:c>
      <ns0:c r="AA78" t="n" s="33">
        <ns0:v>100</ns0:v>
      </ns0:c>
      <ns0:c r="AB78" t="n" s="33">
        <ns0:v>1.5</ns0:v>
      </ns0:c>
      <ns0:c r="AC78" t="n" s="33">
        <ns0:v>1</ns0:v>
      </ns0:c>
      <ns0:c r="AD78" t="n" s="33">
        <ns0:v>0.07</ns0:v>
      </ns0:c>
      <ns0:c r="AE78" t="n" s="33">
        <ns0:v>-55</ns0:v>
      </ns0:c>
      <ns0:c r="AF78" t="n" s="33">
        <ns0:v>125</ns0:v>
      </ns0:c>
      <ns0:c r="AG78" t="str" s="33">
        <ns0:v>TA, °C; rated current at 85°C / 125°C</ns0:v>
      </ns0:c>
      <ns0:c r="AH78" t="str" s="33">
        <ns0:v>BLM21PG</ns0:v>
      </ns0:c>
      <ns0:c r="AI78" t="str" s="33">
        <ns0:v>Automotive infotainment/comfort</ns0:v>
      </ns0:c>
      <ns0:c r="AJ78" t="str" s="33">
        <ns0:v>330 mm paper tape</ns0:v>
      </ns0:c>
      <ns0:c r="AK78" t="n" s="33">
        <ns0:v>10000</ns0:v>
      </ns0:c>
      <ns0:c r="AL78" t="str" s="33">
        <ns0:v>C51E 2022-01-07, original pp.90-91</ns0:v>
      </ns0:c>
    </ns0:row>
    <ns0:row r="79" ht="72" customHeight="1">
      <ns0:c r="A79" t="str" s="33">
        <ns0:v>L0078</ns0:v>
      </ns0:c>
      <ns0:c r="B79" t="str" s="33">
        <ns0:v>Ферритовый фильтр</ns0:v>
      </ns0:c>
      <ns0:c r="C79" t="str" s="33">
        <ns0:v>330 Ом @ 100 МГц</ns0:v>
      </ns0:c>
      <ns0:c r="D79" t="str" s="34">
        <ns0:f>C79</ns0:f>
        <ns0:v>330 Ом @ 100 МГц</ns0:v>
      </ns0:c>
      <ns0:c r="E79" t="str" s="33">
        <ns0:v>±25%</ns0:v>
      </ns0:c>
      <ns0:c r="F79" s="33"/>
      <ns0:c r="G79" s="33"/>
      <ns0:c r="H79" t="str" s="35">
        <ns0:v>0805</ns0:v>
      </ns0:c>
      <ns0:c r="I79" t="str" s="33">
        <ns0:v>Murata</ns0:v>
      </ns0:c>
      <ns0:c r="J79" t="str" s="33">
        <ns0:v>BLM21PG331SZ1B</ns0:v>
      </ns0:c>
      <ns0:c r="K79" t="str" s="34">
        <ns0:f>B79&amp;" "&amp;J79</ns0:f>
        <ns0:v>Ферритовый фильтр BLM21PG331SZ1B</ns0:v>
      </ns0:c>
      <ns0:c r="L79" t="str" s="36">
        <ns0:v>Ferrite_Bead</ns0:v>
      </ns0:c>
      <ns0:c r="M79" t="str" s="36">
        <ns0:v>Symbols\MY_LIB_Inductors.SchLib</ns0:v>
      </ns0:c>
      <ns0:c r="N79" t="str" s="36">
        <ns0:v>Murata_BLM21PG_2012_Reflow</ns0:v>
      </ns0:c>
      <ns0:c r="O79" t="str" s="36">
        <ns0:v>Footprints\MY_LIB_Inductors.PcbLib</ns0:v>
      </ns0:c>
      <ns0:c r="P79" t="str" s="33">
        <ns0:v>Неполярный; выводы 1–2. Импеданс при 100 МГц; DCR — начальное максимальное значение. Ток указан при TA=85 °C, отдельное поле — при TA=125 °C; выше 85 °C требуется снижение тока. Ширину подводящей меди выбирать по даташиту с учётом тока и толщины меди. </ns0:v>
      </ns0:c>
      <ns0:c r="Q79" s="33"/>
      <ns0:c r="R79" t="str" s="34">
        <ns0:f>D79</ns0:f>
        <ns0:v>330 Ом @ 100 МГц</ns0:v>
      </ns0:c>
      <ns0:c r="S79" t="str" s="34">
        <ns0:f>K79</ns0:f>
        <ns0:v>Ферритовый фильтр BLM21PG331SZ1B</ns0:v>
      </ns0:c>
      <ns0:c r="T79" t="str" s="33">
        <ns0:v>C:\Users\Nomatin\Documents\Altium\MY_LIB\MY_LIB\Datasheets\Ferrite_Beads\Murata_BLM21PG_C51E_excerpt.pdf</ns0:v>
      </ns0:c>
      <ns0:c r="U79" t="str" s="33">
        <ns0:v>Даташит — локальный</ns0:v>
      </ns0:c>
      <ns0:c r="V79" t="str" s="33">
        <ns0:v>C:\Users\Nomatin\Documents\Altium\MY_LIB\MY_LIB\Datasheets\Ferrite_Beads\Murata_BLM21PG_C51E_excerpt.pdf</ns0:v>
      </ns0:c>
      <ns0:c r="W79" t="str" s="33">
        <ns0:v>Даташит — производитель</ns0:v>
      </ns0:c>
      <ns0:c r="X79" t="str" s="33">
        <ns0:v>https://www.murata.com/products/productdata/8796749987870/QNFA9114.pdf</ns0:v>
      </ns0:c>
      <ns0:c r="Y79" t="str" s="33">
        <ns0:v>C:\Users\Nomatin\Documents\Altium\MY_LIB\MY_LIB\Datasheets\Ferrite_Beads\Murata_BLM21PG_C51E_excerpt.pdf</ns0:v>
      </ns0:c>
      <ns0:c r="Z79" t="n" s="33">
        <ns0:v>330</ns0:v>
      </ns0:c>
      <ns0:c r="AA79" t="n" s="33">
        <ns0:v>100</ns0:v>
      </ns0:c>
      <ns0:c r="AB79" t="n" s="33">
        <ns0:v>1.5</ns0:v>
      </ns0:c>
      <ns0:c r="AC79" t="n" s="33">
        <ns0:v>1</ns0:v>
      </ns0:c>
      <ns0:c r="AD79" t="n" s="33">
        <ns0:v>0.07</ns0:v>
      </ns0:c>
      <ns0:c r="AE79" t="n" s="33">
        <ns0:v>-55</ns0:v>
      </ns0:c>
      <ns0:c r="AF79" t="n" s="33">
        <ns0:v>125</ns0:v>
      </ns0:c>
      <ns0:c r="AG79" t="str" s="33">
        <ns0:v>TA, °C; rated current at 85°C / 125°C</ns0:v>
      </ns0:c>
      <ns0:c r="AH79" t="str" s="33">
        <ns0:v>BLM21PG</ns0:v>
      </ns0:c>
      <ns0:c r="AI79" t="str" s="33">
        <ns0:v>Automotive infotainment/comfort</ns0:v>
      </ns0:c>
      <ns0:c r="AJ79" t="str" s="33">
        <ns0:v>Bulk (bag)</ns0:v>
      </ns0:c>
      <ns0:c r="AK79" t="n" s="33">
        <ns0:v>1000</ns0:v>
      </ns0:c>
      <ns0:c r="AL79" t="str" s="33">
        <ns0:v>C51E 2022-01-07, original pp.90-91</ns0:v>
      </ns0:c>
    </ns0:row>
  </ns0:sheetData>
  <ns0:pageMargins left="0.7" right="0.7" top="0.75" bottom="0.75" header="0.3" footer="0.3"/>
  <ns0:tableParts count="1">
    <ns0:tablePart ns1:id="R79e348f13b904b60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2" hidden="0" customWidth="1"/>
    <ns0:col min="2" max="2" width="20" hidden="0" customWidth="1"/>
    <ns0:col min="3" max="3" width="25" hidden="0" customWidth="1"/>
    <ns0:col min="4" max="4" width="25" hidden="0" customWidth="1"/>
    <ns0:col min="5" max="5" width="15" hidden="0" customWidth="1"/>
    <ns0:col min="6" max="6" width="16" hidden="0" customWidth="1"/>
    <ns0:col min="7" max="7" width="29" hidden="0" customWidth="1"/>
    <ns0:col min="8" max="8" width="22" hidden="0" customWidth="1"/>
    <ns0:col min="9" max="9" width="24" hidden="0" customWidth="1"/>
    <ns0:col min="10" max="10" width="30" hidden="0" customWidth="1"/>
    <ns0:col min="11" max="11" width="30" hidden="0" customWidth="1"/>
    <ns0:col min="12" max="12" width="30" hidden="0" customWidth="1"/>
    <ns0:col min="13" max="13" width="30" hidden="0" customWidth="1"/>
    <ns0:col min="14" max="14" width="30" hidden="0" customWidth="1"/>
    <ns0:col min="15" max="15" width="30" hidden="0" customWidth="1"/>
    <ns0:col min="16" max="16" width="65" hidden="0" customWidth="1"/>
    <ns0:col min="17" max="17" width="18" hidden="0" customWidth="1"/>
    <ns0:col min="18" max="18" width="20" hidden="0" customWidth="1"/>
    <ns0:col min="19" max="19" width="45" hidden="0" customWidth="1"/>
    <ns0:col min="20" max="20" width="26" hidden="0" customWidth="1"/>
    <ns0:col min="21" max="21" width="26" hidden="0" customWidth="1"/>
    <ns0:col min="22" max="22" width="26" hidden="0" customWidth="1"/>
    <ns0:col min="23" max="23" width="26" hidden="0" customWidth="1"/>
    <ns0:col min="24" max="24" width="26" hidden="0" customWidth="1"/>
    <ns0:col min="25" max="25" width="26" hidden="0" customWidth="1"/>
    <ns0:col min="26" max="26" width="26" hidden="0" customWidth="1"/>
    <ns0:col min="27" max="27" width="26" hidden="0" customWidth="1"/>
    <ns0:col min="28" max="28" width="26" hidden="0" customWidth="1"/>
    <ns0:col min="29" max="29" width="26" hidden="0" customWidth="1"/>
    <ns0:col min="30" max="30" width="26" hidden="0" customWidth="1"/>
    <ns0:col min="31" max="31" width="26" hidden="0" customWidth="1"/>
    <ns0:col min="32" max="32" width="26" hidden="0" customWidth="1"/>
    <ns0:col min="33" max="33" width="26" hidden="0" customWidth="1"/>
    <ns0:col min="34" max="34" width="26" hidden="0" customWidth="1"/>
    <ns0:col min="35" max="35" width="26" hidden="0" customWidth="1"/>
    <ns0:col min="36" max="36" width="26" hidden="0" customWidth="1"/>
  </ns0:cols>
  <ns0:sheetData>
    <ns0:row r="1" ht="44" customHeight="1">
      <ns0:c r="A1" s="32" t="str">
        <ns0:v>ID</ns0:v>
      </ns0:c>
      <ns0:c r="B1" s="32" t="str">
        <ns0:v>Type</ns0:v>
      </ns0:c>
      <ns0:c r="C1" s="32" t="str">
        <ns0:v>Value</ns0:v>
      </ns0:c>
      <ns0:c r="D1" s="32" t="str">
        <ns0:v>ESKD_value</ns0:v>
      </ns0:c>
      <ns0:c r="E1" s="32" t="str">
        <ns0:v>Tolerance</ns0:v>
      </ns0:c>
      <ns0:c r="F1" s="32" t="str">
        <ns0:v>Power</ns0:v>
      </ns0:c>
      <ns0:c r="G1" s="32" t="str">
        <ns0:v>Voltage</ns0:v>
      </ns0:c>
      <ns0:c r="H1" s="32" t="str">
        <ns0:v>Package</ns0:v>
      </ns0:c>
      <ns0:c r="I1" s="32" t="str">
        <ns0:v>Manufacturer</ns0:v>
      </ns0:c>
      <ns0:c r="J1" s="32" t="str">
        <ns0:v>MPN</ns0:v>
      </ns0:c>
      <ns0:c r="K1" s="32" t="str">
        <ns0:v>CommentBase</ns0:v>
      </ns0:c>
      <ns0:c r="L1" s="32" t="str">
        <ns0:v>Library Ref</ns0:v>
      </ns0:c>
      <ns0:c r="M1" s="32" t="str">
        <ns0:v>Library Path</ns0:v>
      </ns0:c>
      <ns0:c r="N1" s="32" t="str">
        <ns0:v>Footprint Ref</ns0:v>
      </ns0:c>
      <ns0:c r="O1" s="32" t="str">
        <ns0:v>Footprint Path</ns0:v>
      </ns0:c>
      <ns0:c r="P1" s="32" t="str">
        <ns0:v>Notes</ns0:v>
      </ns0:c>
      <ns0:c r="Q1" s="32" t="str">
        <ns0:v>Dielectric</ns0:v>
      </ns0:c>
      <ns0:c r="R1" s="32" t="str">
        <ns0:v>Comment</ns0:v>
      </ns0:c>
      <ns0:c r="S1" s="32" t="str">
        <ns0:v>Description</ns0:v>
      </ns0:c>
      <ns0:c r="T1" s="32" t="str">
        <ns0:v>Datasheet</ns0:v>
      </ns0:c>
      <ns0:c r="U1" s="32" t="str">
        <ns0:v>DatasheetRevision</ns0:v>
      </ns0:c>
      <ns0:c r="V1" s="32" t="str">
        <ns0:v>ComponentLink1Description</ns0:v>
      </ns0:c>
      <ns0:c r="W1" s="32" t="str">
        <ns0:v>ComponentLink1URL</ns0:v>
      </ns0:c>
      <ns0:c r="X1" s="32" t="str">
        <ns0:v>ComponentLink2Description</ns0:v>
      </ns0:c>
      <ns0:c r="Y1" s="32" t="str">
        <ns0:v>ComponentLink2URL</ns0:v>
      </ns0:c>
      <ns0:c r="Z1" s="32" t="str">
        <ns0:v>HelpURL</ns0:v>
      </ns0:c>
      <ns0:c r="AA1" s="32" t="str">
        <ns0:v>Family</ns0:v>
      </ns0:c>
      <ns0:c r="AB1" s="32" t="str">
        <ns0:v>Configuration</ns0:v>
      </ns0:c>
      <ns0:c r="AC1" s="32" t="str">
        <ns0:v>PinMapping</ns0:v>
      </ns0:c>
      <ns0:c r="AD1" s="32" t="str">
        <ns0:v>RatedCurrentA</ns0:v>
      </ns0:c>
      <ns0:c r="AE1" s="32" t="str">
        <ns0:v>ReverseVoltageMaxV</ns0:v>
      </ns0:c>
      <ns0:c r="AF1" s="32" t="str">
        <ns0:v>ZenerVoltageNominalV</ns0:v>
      </ns0:c>
      <ns0:c r="AG1" s="32" t="str">
        <ns0:v>TestCurrentMa</ns0:v>
      </ns0:c>
      <ns0:c r="AH1" s="32" t="str">
        <ns0:v>ForwardVoltageMaxV</ns0:v>
      </ns0:c>
      <ns0:c r="AI1" s="32" t="str">
        <ns0:v>ReverseRecoveryTimeMaxNs</ns0:v>
      </ns0:c>
      <ns0:c r="AJ1" s="32" t="str">
        <ns0:v>PowerCondition</ns0:v>
      </ns0:c>
    </ns0:row>
    <ns0:row r="2" ht="60" customHeight="1">
      <ns0:c r="A2" s="33" t="str">
        <ns0:v>VD0001</ns0:v>
      </ns0:c>
      <ns0:c r="B2" s="33" t="str">
        <ns0:v>Диод</ns0:v>
      </ns0:c>
      <ns0:c r="C2" s="33" t="str">
        <ns0:v>1N4148W</ns0:v>
      </ns0:c>
      <ns0:c r="D2" s="34" t="str">
        <ns0:f>C2</ns0:f>
        <ns0:v>1N4148W</ns0:v>
      </ns0:c>
      <ns0:c r="E2" s="33"/>
      <ns0:c r="F2" s="33"/>
      <ns0:c r="G2" s="33" t="str">
        <ns0:v>100 В (VRRM/VR, см. даташит)</ns0:v>
      </ns0:c>
      <ns0:c r="H2" s="35" t="str">
        <ns0:v>SOD-123</ns0:v>
      </ns0:c>
      <ns0:c r="I2" s="33" t="str">
        <ns0:v>Vishay</ns0:v>
      </ns0:c>
      <ns0:c r="J2" s="33" t="str">
        <ns0:v>1N4148W</ns0:v>
      </ns0:c>
      <ns0:c r="K2" s="34" t="str">
        <ns0:f>B2&amp;" "&amp;J2</ns0:f>
        <ns0:v>Диод 1N4148W</ns0:v>
      </ns0:c>
      <ns0:c r="L2" s="36" t="str">
        <ns0:v>Diode_AK</ns0:v>
      </ns0:c>
      <ns0:c r="M2" s="36" t="str">
        <ns0:v>Symbols\MY_LIB_Semiconductors.SchLib</ns0:v>
      </ns0:c>
      <ns0:c r="N2" s="36" t="str">
        <ns0:v>SOD123</ns0:v>
      </ns0:c>
      <ns0:c r="O2" s="36" t="str">
        <ns0:v>Footprints\PBL - SMD Packages.PcbLib</ns0:v>
      </ns0:c>
      <ns0:c r="P2" s="33" t="str">
        <ns0:v>Быстродействующий переключательный диод. Полоса корпуса обозначает катод K.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2" s="33"/>
      <ns0:c r="R2" s="34" t="str">
        <ns0:f>D2</ns0:f>
        <ns0:v>1N4148W</ns0:v>
      </ns0:c>
      <ns0:c r="S2" s="34" t="str">
        <ns0:f>K2</ns0:f>
        <ns0:v>Диод 1N4148W</ns0:v>
      </ns0:c>
      <ns0:c r="T2" s="33" t="str">
        <ns0:v>C:\Users\Nomatin\Documents\Altium\MY_LIB\MY_LIB\Datasheets\Diodes\1N4148W_Vishay.pdf</ns0:v>
      </ns0:c>
      <ns0:c r="U2" s="33" t="str">
        <ns0:v>Rev. 1.0, 16-Nov-2023</ns0:v>
      </ns0:c>
      <ns0:c r="V2" s="33" t="str">
        <ns0:v>Даташит — локальный</ns0:v>
      </ns0:c>
      <ns0:c r="W2" s="33" t="str">
        <ns0:v>C:\Users\Nomatin\Documents\Altium\MY_LIB\MY_LIB\Datasheets\Diodes\1N4148W_Vishay.pdf</ns0:v>
      </ns0:c>
      <ns0:c r="X2" s="33" t="str">
        <ns0:v>Даташит — производитель</ns0:v>
      </ns0:c>
      <ns0:c r="Y2" s="33" t="str">
        <ns0:v>https://www.vishay.com/docs/86356/1n4148w.pdf</ns0:v>
      </ns0:c>
      <ns0:c r="Z2" s="33" t="str">
        <ns0:v>C:\Users\Nomatin\Documents\Altium\MY_LIB\MY_LIB\Datasheets\Diodes\1N4148W_Vishay.pdf</ns0:v>
      </ns0:c>
      <ns0:c r="AA2" s="33" t="str">
        <ns0:v>1N4148W</ns0:v>
      </ns0:c>
      <ns0:c r="AB2" s="33" t="str">
        <ns0:v>Одиночный</ns0:v>
      </ns0:c>
      <ns0:c r="AC2" s="33" t="str">
        <ns0:v>A=A; K=C</ns0:v>
      </ns0:c>
      <ns0:c r="AD2" s="33"/>
      <ns0:c r="AE2" s="33" t="n">
        <ns0:v>100</ns0:v>
      </ns0:c>
      <ns0:c r="AF2" s="33"/>
      <ns0:c r="AG2" s="33"/>
      <ns0:c r="AH2" s="33"/>
      <ns0:c r="AI2" s="33" t="n">
        <ns0:v>4</ns0:v>
      </ns0:c>
      <ns0:c r="AJ2" s="33"/>
    </ns0:row>
    <ns0:row r="3" ht="60" customHeight="1">
      <ns0:c r="A3" s="33" t="str">
        <ns0:v>VD0002</ns0:v>
      </ns0:c>
      <ns0:c r="B3" s="33" t="str">
        <ns0:v>Диод</ns0:v>
      </ns0:c>
      <ns0:c r="C3" s="33" t="str">
        <ns0:v>1N4148WS</ns0:v>
      </ns0:c>
      <ns0:c r="D3" s="34" t="str">
        <ns0:f>C3</ns0:f>
        <ns0:v>1N4148WS</ns0:v>
      </ns0:c>
      <ns0:c r="E3" s="33"/>
      <ns0:c r="F3" s="33"/>
      <ns0:c r="G3" s="33" t="str">
        <ns0:v>100 В (VRRM/VR, см. даташит)</ns0:v>
      </ns0:c>
      <ns0:c r="H3" s="35" t="str">
        <ns0:v>SOD-323</ns0:v>
      </ns0:c>
      <ns0:c r="I3" s="33" t="str">
        <ns0:v>Vishay</ns0:v>
      </ns0:c>
      <ns0:c r="J3" s="33" t="str">
        <ns0:v>1N4148WS</ns0:v>
      </ns0:c>
      <ns0:c r="K3" s="34" t="str">
        <ns0:f>B3&amp;" "&amp;J3</ns0:f>
        <ns0:v>Диод 1N4148WS</ns0:v>
      </ns0:c>
      <ns0:c r="L3" s="36" t="str">
        <ns0:v>Diode_AK</ns0:v>
      </ns0:c>
      <ns0:c r="M3" s="36" t="str">
        <ns0:v>Symbols\MY_LIB_Semiconductors.SchLib</ns0:v>
      </ns0:c>
      <ns0:c r="N3" s="36" t="str">
        <ns0:v>SOD323</ns0:v>
      </ns0:c>
      <ns0:c r="O3" s="36" t="str">
        <ns0:v>Footprints\PBL - SMD Packages.PcbLib</ns0:v>
      </ns0:c>
      <ns0:c r="P3" s="33" t="str">
        <ns0:v>Быстродействующий переключательный диод. Полоса корпуса обозначает катод K.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3" s="33"/>
      <ns0:c r="R3" s="34" t="str">
        <ns0:f>D3</ns0:f>
        <ns0:v>1N4148WS</ns0:v>
      </ns0:c>
      <ns0:c r="S3" s="34" t="str">
        <ns0:f>K3</ns0:f>
        <ns0:v>Диод 1N4148WS</ns0:v>
      </ns0:c>
      <ns0:c r="T3" s="33" t="str">
        <ns0:v>C:\Users\Nomatin\Documents\Altium\MY_LIB\MY_LIB\Datasheets\Diodes\1N4148WS_Vishay.pdf</ns0:v>
      </ns0:c>
      <ns0:c r="U3" s="33" t="str">
        <ns0:v>Rev. 1.2, 03-Mar-2026</ns0:v>
      </ns0:c>
      <ns0:c r="V3" s="33" t="str">
        <ns0:v>Даташит — локальный</ns0:v>
      </ns0:c>
      <ns0:c r="W3" s="33" t="str">
        <ns0:v>C:\Users\Nomatin\Documents\Altium\MY_LIB\MY_LIB\Datasheets\Diodes\1N4148WS_Vishay.pdf</ns0:v>
      </ns0:c>
      <ns0:c r="X3" s="33" t="str">
        <ns0:v>Даташит — производитель</ns0:v>
      </ns0:c>
      <ns0:c r="Y3" s="33" t="str">
        <ns0:v>https://www.vishay.com/docs/86455/1n4148ws.pdf</ns0:v>
      </ns0:c>
      <ns0:c r="Z3" s="33" t="str">
        <ns0:v>C:\Users\Nomatin\Documents\Altium\MY_LIB\MY_LIB\Datasheets\Diodes\1N4148WS_Vishay.pdf</ns0:v>
      </ns0:c>
      <ns0:c r="AA3" s="33" t="str">
        <ns0:v>1N4148WS</ns0:v>
      </ns0:c>
      <ns0:c r="AB3" s="33" t="str">
        <ns0:v>Одиночный</ns0:v>
      </ns0:c>
      <ns0:c r="AC3" s="33" t="str">
        <ns0:v>A=A; K=C</ns0:v>
      </ns0:c>
      <ns0:c r="AD3" s="33"/>
      <ns0:c r="AE3" s="33" t="n">
        <ns0:v>100</ns0:v>
      </ns0:c>
      <ns0:c r="AF3" s="33"/>
      <ns0:c r="AG3" s="33"/>
      <ns0:c r="AH3" s="33"/>
      <ns0:c r="AI3" s="33" t="n">
        <ns0:v>4</ns0:v>
      </ns0:c>
      <ns0:c r="AJ3" s="33"/>
    </ns0:row>
    <ns0:row r="4" ht="60" customHeight="1">
      <ns0:c r="A4" s="33" t="str">
        <ns0:v>VD0003</ns0:v>
      </ns0:c>
      <ns0:c r="B4" s="33" t="str">
        <ns0:v>Диод</ns0:v>
      </ns0:c>
      <ns0:c r="C4" s="33" t="str">
        <ns0:v>BAS16</ns0:v>
      </ns0:c>
      <ns0:c r="D4" s="34" t="str">
        <ns0:f>C4</ns0:f>
        <ns0:v>BAS16</ns0:v>
      </ns0:c>
      <ns0:c r="E4" s="33"/>
      <ns0:c r="F4" s="33"/>
      <ns0:c r="G4" s="33" t="str">
        <ns0:v>100 В (VRRM/VR, см. даташит)</ns0:v>
      </ns0:c>
      <ns0:c r="H4" s="35" t="str">
        <ns0:v>SOT-23</ns0:v>
      </ns0:c>
      <ns0:c r="I4" s="33" t="str">
        <ns0:v>Nexperia</ns0:v>
      </ns0:c>
      <ns0:c r="J4" s="33" t="str">
        <ns0:v>BAS16</ns0:v>
      </ns0:c>
      <ns0:c r="K4" s="34" t="str">
        <ns0:f>B4&amp;" "&amp;J4</ns0:f>
        <ns0:v>Диод BAS16</ns0:v>
      </ns0:c>
      <ns0:c r="L4" s="36" t="str">
        <ns0:v>Diode_1A3C</ns0:v>
      </ns0:c>
      <ns0:c r="M4" s="36" t="str">
        <ns0:v>Symbols\MY_LIB_Semiconductors.SchLib</ns0:v>
      </ns0:c>
      <ns0:c r="N4" s="36" t="str">
        <ns0:v>SOT23-3</ns0:v>
      </ns0:c>
      <ns0:c r="O4" s="36" t="str">
        <ns0:v>Footprints\PBL - SMD Packages.PcbLib</ns0:v>
      </ns0:c>
      <ns0:c r="P4" s="33" t="str">
        <ns0:v>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4" s="33"/>
      <ns0:c r="R4" s="34" t="str">
        <ns0:f>D4</ns0:f>
        <ns0:v>BAS16</ns0:v>
      </ns0:c>
      <ns0:c r="S4" s="34" t="str">
        <ns0:f>K4</ns0:f>
        <ns0:v>Диод BAS16</ns0:v>
      </ns0:c>
      <ns0:c r="T4" s="33" t="str">
        <ns0:v>C:\Users\Nomatin\Documents\Altium\MY_LIB\MY_LIB\Datasheets\Diodes\BAS16_Nexperia.pdf</ns0:v>
      </ns0:c>
      <ns0:c r="U4" s="33" t="str">
        <ns0:v>Rev. 6, 24-Sep-2014; local archived family sheet</ns0:v>
      </ns0:c>
      <ns0:c r="V4" s="33" t="str">
        <ns0:v>Даташит — локальный</ns0:v>
      </ns0:c>
      <ns0:c r="W4" s="33" t="str">
        <ns0:v>C:\Users\Nomatin\Documents\Altium\MY_LIB\MY_LIB\Datasheets\Diodes\BAS16_Nexperia.pdf</ns0:v>
      </ns0:c>
      <ns0:c r="X4" s="33" t="str">
        <ns0:v>Даташит — производитель</ns0:v>
      </ns0:c>
      <ns0:c r="Y4" s="33" t="str">
        <ns0:v>https://assets.nexperia.com/documents/data-sheet/BAS16.pdf</ns0:v>
      </ns0:c>
      <ns0:c r="Z4" s="33" t="str">
        <ns0:v>C:\Users\Nomatin\Documents\Altium\MY_LIB\MY_LIB\Datasheets\Diodes\BAS16_Nexperia.pdf</ns0:v>
      </ns0:c>
      <ns0:c r="AA4" s="33" t="str">
        <ns0:v>BAS16</ns0:v>
      </ns0:c>
      <ns0:c r="AB4" s="33" t="str">
        <ns0:v>Одиночный</ns0:v>
      </ns0:c>
      <ns0:c r="AC4" s="33" t="str">
        <ns0:v>1=A; 2=NC; 3=K</ns0:v>
      </ns0:c>
      <ns0:c r="AD4" s="33"/>
      <ns0:c r="AE4" s="33" t="n">
        <ns0:v>100</ns0:v>
      </ns0:c>
      <ns0:c r="AF4" s="33"/>
      <ns0:c r="AG4" s="33"/>
      <ns0:c r="AH4" s="33"/>
      <ns0:c r="AI4" s="33" t="n">
        <ns0:v>4</ns0:v>
      </ns0:c>
      <ns0:c r="AJ4" s="33"/>
    </ns0:row>
    <ns0:row r="5" ht="60" customHeight="1">
      <ns0:c r="A5" s="33" t="str">
        <ns0:v>VD0004</ns0:v>
      </ns0:c>
      <ns0:c r="B5" s="33" t="str">
        <ns0:v>Диод</ns0:v>
      </ns0:c>
      <ns0:c r="C5" s="33" t="str">
        <ns0:v>BAV70</ns0:v>
      </ns0:c>
      <ns0:c r="D5" s="34" t="str">
        <ns0:f>C5</ns0:f>
        <ns0:v>BAV70</ns0:v>
      </ns0:c>
      <ns0:c r="E5" s="33"/>
      <ns0:c r="F5" s="33"/>
      <ns0:c r="G5" s="33" t="str">
        <ns0:v>100 В (VRRM/VR, см. даташит)</ns0:v>
      </ns0:c>
      <ns0:c r="H5" s="35" t="str">
        <ns0:v>SOT-23</ns0:v>
      </ns0:c>
      <ns0:c r="I5" s="33" t="str">
        <ns0:v>Nexperia</ns0:v>
      </ns0:c>
      <ns0:c r="J5" s="33" t="str">
        <ns0:v>BAV70</ns0:v>
      </ns0:c>
      <ns0:c r="K5" s="34" t="str">
        <ns0:f>B5&amp;" "&amp;J5</ns0:f>
        <ns0:v>Диод BAV70</ns0:v>
      </ns0:c>
      <ns0:c r="L5" s="36" t="str">
        <ns0:v>Diode_CC_123</ns0:v>
      </ns0:c>
      <ns0:c r="M5" s="36" t="str">
        <ns0:v>Symbols\MY_LIB_Semiconductors.SchLib</ns0:v>
      </ns0:c>
      <ns0:c r="N5" s="36" t="str">
        <ns0:v>SOT23-3</ns0:v>
      </ns0:c>
      <ns0:c r="O5" s="36" t="str">
        <ns0:v>Footprints\PBL - SMD Packages.PcbLib</ns0:v>
      </ns0:c>
      <ns0:c xmlns:ns0="http://schemas.openxmlformats.org/spreadsheetml/2006/main" r="P5" s="33" t="str">
        <ns0:v>Базовое обозначение изделия; суффикс упаковки/покрытия уточняется при заказе. Единое УГО: два диода и внутреннее соединение показаны графически, три внешних вывода. Существующий футпринт и типовая 3D-модель библиотеки; не точный рекомендованный land pattern производителя.</ns0:v>
      </ns0:c>
      <ns0:c r="Q5" s="33"/>
      <ns0:c r="R5" s="34" t="str">
        <ns0:f>D5</ns0:f>
        <ns0:v>BAV70</ns0:v>
      </ns0:c>
      <ns0:c r="S5" s="34" t="str">
        <ns0:f>K5</ns0:f>
        <ns0:v>Диод BAV70</ns0:v>
      </ns0:c>
      <ns0:c r="T5" s="33" t="str">
        <ns0:v>C:\Users\Nomatin\Documents\Altium\MY_LIB\MY_LIB\Datasheets\Diodes\BAV70_Nexperia.pdf</ns0:v>
      </ns0:c>
      <ns0:c r="U5" s="33" t="str">
        <ns0:v>Rev. 8, 18-Mar-2015; local archived family sheet</ns0:v>
      </ns0:c>
      <ns0:c r="V5" s="33" t="str">
        <ns0:v>Даташит — локальный</ns0:v>
      </ns0:c>
      <ns0:c r="W5" s="33" t="str">
        <ns0:v>C:\Users\Nomatin\Documents\Altium\MY_LIB\MY_LIB\Datasheets\Diodes\BAV70_Nexperia.pdf</ns0:v>
      </ns0:c>
      <ns0:c r="X5" s="33" t="str">
        <ns0:v>Даташит — производитель</ns0:v>
      </ns0:c>
      <ns0:c r="Y5" s="33" t="str">
        <ns0:v>https://assets.nexperia.com/documents/data-sheet/BAV70.pdf</ns0:v>
      </ns0:c>
      <ns0:c r="Z5" s="33" t="str">
        <ns0:v>C:\Users\Nomatin\Documents\Altium\MY_LIB\MY_LIB\Datasheets\Diodes\BAV70_Nexperia.pdf</ns0:v>
      </ns0:c>
      <ns0:c r="AA5" s="33" t="str">
        <ns0:v>BAV70</ns0:v>
      </ns0:c>
      <ns0:c r="AB5" s="33" t="str">
        <ns0:v>Сдвоенный, общий катод</ns0:v>
      </ns0:c>
      <ns0:c r="AC5" s="33" t="str">
        <ns0:v>1=A1; 2=A2; 3=K1/K2</ns0:v>
      </ns0:c>
      <ns0:c r="AD5" s="33"/>
      <ns0:c r="AE5" s="33" t="n">
        <ns0:v>100</ns0:v>
      </ns0:c>
      <ns0:c r="AF5" s="33"/>
      <ns0:c r="AG5" s="33"/>
      <ns0:c r="AH5" s="33"/>
      <ns0:c r="AI5" s="33" t="n">
        <ns0:v>4</ns0:v>
      </ns0:c>
      <ns0:c r="AJ5" s="33"/>
    </ns0:row>
    <ns0:row r="6" ht="60" customHeight="1">
      <ns0:c r="A6" s="33" t="str">
        <ns0:v>VD0005</ns0:v>
      </ns0:c>
      <ns0:c r="B6" s="33" t="str">
        <ns0:v>Диод</ns0:v>
      </ns0:c>
      <ns0:c r="C6" s="33" t="str">
        <ns0:v>BAV99</ns0:v>
      </ns0:c>
      <ns0:c r="D6" s="34" t="str">
        <ns0:f>C6</ns0:f>
        <ns0:v>BAV99</ns0:v>
      </ns0:c>
      <ns0:c r="E6" s="33"/>
      <ns0:c r="F6" s="33"/>
      <ns0:c r="G6" s="33" t="str">
        <ns0:v>100 В (VRRM/VR, см. даташит)</ns0:v>
      </ns0:c>
      <ns0:c r="H6" s="35" t="str">
        <ns0:v>SOT-23</ns0:v>
      </ns0:c>
      <ns0:c r="I6" s="33" t="str">
        <ns0:v>Nexperia</ns0:v>
      </ns0:c>
      <ns0:c r="J6" s="33" t="str">
        <ns0:v>BAV99</ns0:v>
      </ns0:c>
      <ns0:c r="K6" s="34" t="str">
        <ns0:f>B6&amp;" "&amp;J6</ns0:f>
        <ns0:v>Диод BAV99</ns0:v>
      </ns0:c>
      <ns0:c r="L6" s="36" t="str">
        <ns0:v>Diode_Series_132</ns0:v>
      </ns0:c>
      <ns0:c r="M6" s="36" t="str">
        <ns0:v>Symbols\MY_LIB_Semiconductors.SchLib</ns0:v>
      </ns0:c>
      <ns0:c r="N6" s="36" t="str">
        <ns0:v>SOT23-3</ns0:v>
      </ns0:c>
      <ns0:c r="O6" s="36" t="str">
        <ns0:v>Footprints\PBL - SMD Packages.PcbLib</ns0:v>
      </ns0:c>
      <ns0:c xmlns:ns0="http://schemas.openxmlformats.org/spreadsheetml/2006/main" r="P6" s="33" t="str">
        <ns0:v>Базовое обозначение изделия; суффикс упаковки/покрытия уточняется при заказе. Единое УГО: два диода и внутреннее соединение показаны графически, три внешних вывода. Существующий футпринт и типовая 3D-модель библиотеки; не точный рекомендованный land pattern производителя.</ns0:v>
      </ns0:c>
      <ns0:c r="Q6" s="33"/>
      <ns0:c r="R6" s="34" t="str">
        <ns0:f>D6</ns0:f>
        <ns0:v>BAV99</ns0:v>
      </ns0:c>
      <ns0:c r="S6" s="34" t="str">
        <ns0:f>K6</ns0:f>
        <ns0:v>Диод BAV99</ns0:v>
      </ns0:c>
      <ns0:c r="T6" s="33" t="str">
        <ns0:v>C:\Users\Nomatin\Documents\Altium\MY_LIB\MY_LIB\Datasheets\Diodes\BAV99_Nexperia.pdf</ns0:v>
      </ns0:c>
      <ns0:c r="U6" s="33" t="str">
        <ns0:v>01-Jul-2022</ns0:v>
      </ns0:c>
      <ns0:c r="V6" s="33" t="str">
        <ns0:v>Даташит — локальный</ns0:v>
      </ns0:c>
      <ns0:c r="W6" s="33" t="str">
        <ns0:v>C:\Users\Nomatin\Documents\Altium\MY_LIB\MY_LIB\Datasheets\Diodes\BAV99_Nexperia.pdf</ns0:v>
      </ns0:c>
      <ns0:c r="X6" s="33" t="str">
        <ns0:v>Даташит — производитель</ns0:v>
      </ns0:c>
      <ns0:c r="Y6" s="33" t="str">
        <ns0:v>https://assets.nexperia.com/documents/data-sheet/BAV99.pdf</ns0:v>
      </ns0:c>
      <ns0:c r="Z6" s="33" t="str">
        <ns0:v>C:\Users\Nomatin\Documents\Altium\MY_LIB\MY_LIB\Datasheets\Diodes\BAV99_Nexperia.pdf</ns0:v>
      </ns0:c>
      <ns0:c r="AA6" s="33" t="str">
        <ns0:v>BAV99</ns0:v>
      </ns0:c>
      <ns0:c r="AB6" s="33" t="str">
        <ns0:v>Два диода последовательно</ns0:v>
      </ns0:c>
      <ns0:c r="AC6" s="33" t="str">
        <ns0:v>1=A1; 2=K2; 3=K1/A2</ns0:v>
      </ns0:c>
      <ns0:c r="AD6" s="33"/>
      <ns0:c r="AE6" s="33" t="n">
        <ns0:v>100</ns0:v>
      </ns0:c>
      <ns0:c r="AF6" s="33"/>
      <ns0:c r="AG6" s="33"/>
      <ns0:c r="AH6" s="33"/>
      <ns0:c r="AI6" s="33" t="n">
        <ns0:v>4</ns0:v>
      </ns0:c>
      <ns0:c r="AJ6" s="33"/>
    </ns0:row>
    <ns0:row r="7" ht="60" customHeight="1">
      <ns0:c r="A7" s="33" t="str">
        <ns0:v>VD0006</ns0:v>
      </ns0:c>
      <ns0:c r="B7" s="33" t="str">
        <ns0:v>Диод</ns0:v>
      </ns0:c>
      <ns0:c r="C7" s="33" t="str">
        <ns0:v>S1A</ns0:v>
      </ns0:c>
      <ns0:c r="D7" s="34" t="str">
        <ns0:f>C7</ns0:f>
        <ns0:v>S1A</ns0:v>
      </ns0:c>
      <ns0:c r="E7" s="33"/>
      <ns0:c r="F7" s="33"/>
      <ns0:c r="G7" s="33" t="str">
        <ns0:v>50 В (VRRM/VR, см. даташит)</ns0:v>
      </ns0:c>
      <ns0:c r="H7" s="35" t="str">
        <ns0:v>SMA / DO-214AC</ns0:v>
      </ns0:c>
      <ns0:c r="I7" s="33" t="str">
        <ns0:v>Diotec Semiconductor</ns0:v>
      </ns0:c>
      <ns0:c r="J7" s="33" t="str">
        <ns0:v>S1A</ns0:v>
      </ns0:c>
      <ns0:c r="K7" s="34" t="str">
        <ns0:f>B7&amp;" "&amp;J7</ns0:f>
        <ns0:v>Диод S1A</ns0:v>
      </ns0:c>
      <ns0:c r="L7" s="36" t="str">
        <ns0:v>Diode_AK</ns0:v>
      </ns0:c>
      <ns0:c r="M7" s="36" t="str">
        <ns0:v>Symbols\MY_LIB_Semiconductors.SchLib</ns0:v>
      </ns0:c>
      <ns0:c r="N7" s="36" t="str">
        <ns0:v>SMA_Diotec</ns0:v>
      </ns0:c>
      <ns0:c r="O7" s="36" t="str">
        <ns0:v>Footprints\PBL - SMD Packages.PcbLib</ns0:v>
      </ns0:c>
      <ns0:c r="P7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7" s="33"/>
      <ns0:c r="R7" s="34" t="str">
        <ns0:f>D7</ns0:f>
        <ns0:v>S1A</ns0:v>
      </ns0:c>
      <ns0:c r="S7" s="34" t="str">
        <ns0:f>K7</ns0:f>
        <ns0:v>Диод S1A</ns0:v>
      </ns0:c>
      <ns0:c r="T7" s="33" t="str">
        <ns0:v>C:\Users\Nomatin\Documents\Altium\MY_LIB\MY_LIB\Datasheets\Diodes\S1A_S1Y_Diotec.pdf</ns0:v>
      </ns0:c>
      <ns0:c r="U7" s="33" t="str">
        <ns0:v>2026-04-02</ns0:v>
      </ns0:c>
      <ns0:c r="V7" s="33" t="str">
        <ns0:v>Даташит — локальный</ns0:v>
      </ns0:c>
      <ns0:c r="W7" s="33" t="str">
        <ns0:v>C:\Users\Nomatin\Documents\Altium\MY_LIB\MY_LIB\Datasheets\Diodes\S1A_S1Y_Diotec.pdf</ns0:v>
      </ns0:c>
      <ns0:c r="X7" s="33" t="str">
        <ns0:v>Даташит — производитель</ns0:v>
      </ns0:c>
      <ns0:c r="Y7" s="33" t="str">
        <ns0:v>https://diotec.com/files/diotec/productfiles/datasheet/s1a.pdf</ns0:v>
      </ns0:c>
      <ns0:c r="Z7" s="33" t="str">
        <ns0:v>C:\Users\Nomatin\Documents\Altium\MY_LIB\MY_LIB\Datasheets\Diodes\S1A_S1Y_Diotec.pdf</ns0:v>
      </ns0:c>
      <ns0:c r="AA7" s="33" t="str">
        <ns0:v>S1A–S1Y</ns0:v>
      </ns0:c>
      <ns0:c r="AB7" s="33" t="str">
        <ns0:v>Одиночный</ns0:v>
      </ns0:c>
      <ns0:c r="AC7" s="33" t="str">
        <ns0:v>A=A; K=C</ns0:v>
      </ns0:c>
      <ns0:c r="AD7" s="33" t="n">
        <ns0:v>1</ns0:v>
      </ns0:c>
      <ns0:c r="AE7" s="33" t="n">
        <ns0:v>50</ns0:v>
      </ns0:c>
      <ns0:c r="AF7" s="33"/>
      <ns0:c r="AG7" s="33"/>
      <ns0:c r="AH7" s="33"/>
      <ns0:c r="AI7" s="33"/>
      <ns0:c r="AJ7" s="33"/>
    </ns0:row>
    <ns0:row r="8" ht="60" customHeight="1">
      <ns0:c r="A8" s="33" t="str">
        <ns0:v>VD0007</ns0:v>
      </ns0:c>
      <ns0:c r="B8" s="33" t="str">
        <ns0:v>Диод</ns0:v>
      </ns0:c>
      <ns0:c r="C8" s="33" t="str">
        <ns0:v>S1B</ns0:v>
      </ns0:c>
      <ns0:c r="D8" s="34" t="str">
        <ns0:f>C8</ns0:f>
        <ns0:v>S1B</ns0:v>
      </ns0:c>
      <ns0:c r="E8" s="33"/>
      <ns0:c r="F8" s="33"/>
      <ns0:c r="G8" s="33" t="str">
        <ns0:v>100 В (VRRM/VR, см. даташит)</ns0:v>
      </ns0:c>
      <ns0:c r="H8" s="35" t="str">
        <ns0:v>SMA / DO-214AC</ns0:v>
      </ns0:c>
      <ns0:c r="I8" s="33" t="str">
        <ns0:v>Diotec Semiconductor</ns0:v>
      </ns0:c>
      <ns0:c r="J8" s="33" t="str">
        <ns0:v>S1B</ns0:v>
      </ns0:c>
      <ns0:c r="K8" s="34" t="str">
        <ns0:f>B8&amp;" "&amp;J8</ns0:f>
        <ns0:v>Диод S1B</ns0:v>
      </ns0:c>
      <ns0:c r="L8" s="36" t="str">
        <ns0:v>Diode_AK</ns0:v>
      </ns0:c>
      <ns0:c r="M8" s="36" t="str">
        <ns0:v>Symbols\MY_LIB_Semiconductors.SchLib</ns0:v>
      </ns0:c>
      <ns0:c r="N8" s="36" t="str">
        <ns0:v>SMA_Diotec</ns0:v>
      </ns0:c>
      <ns0:c r="O8" s="36" t="str">
        <ns0:v>Footprints\PBL - SMD Packages.PcbLib</ns0:v>
      </ns0:c>
      <ns0:c r="P8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8" s="33"/>
      <ns0:c r="R8" s="34" t="str">
        <ns0:f>D8</ns0:f>
        <ns0:v>S1B</ns0:v>
      </ns0:c>
      <ns0:c r="S8" s="34" t="str">
        <ns0:f>K8</ns0:f>
        <ns0:v>Диод S1B</ns0:v>
      </ns0:c>
      <ns0:c r="T8" s="33" t="str">
        <ns0:v>C:\Users\Nomatin\Documents\Altium\MY_LIB\MY_LIB\Datasheets\Diodes\S1A_S1Y_Diotec.pdf</ns0:v>
      </ns0:c>
      <ns0:c r="U8" s="33" t="str">
        <ns0:v>2026-04-02</ns0:v>
      </ns0:c>
      <ns0:c r="V8" s="33" t="str">
        <ns0:v>Даташит — локальный</ns0:v>
      </ns0:c>
      <ns0:c r="W8" s="33" t="str">
        <ns0:v>C:\Users\Nomatin\Documents\Altium\MY_LIB\MY_LIB\Datasheets\Diodes\S1A_S1Y_Diotec.pdf</ns0:v>
      </ns0:c>
      <ns0:c r="X8" s="33" t="str">
        <ns0:v>Даташит — производитель</ns0:v>
      </ns0:c>
      <ns0:c r="Y8" s="33" t="str">
        <ns0:v>https://diotec.com/files/diotec/productfiles/datasheet/s1a.pdf</ns0:v>
      </ns0:c>
      <ns0:c r="Z8" s="33" t="str">
        <ns0:v>C:\Users\Nomatin\Documents\Altium\MY_LIB\MY_LIB\Datasheets\Diodes\S1A_S1Y_Diotec.pdf</ns0:v>
      </ns0:c>
      <ns0:c r="AA8" s="33" t="str">
        <ns0:v>S1A–S1Y</ns0:v>
      </ns0:c>
      <ns0:c r="AB8" s="33" t="str">
        <ns0:v>Одиночный</ns0:v>
      </ns0:c>
      <ns0:c r="AC8" s="33" t="str">
        <ns0:v>A=A; K=C</ns0:v>
      </ns0:c>
      <ns0:c r="AD8" s="33" t="n">
        <ns0:v>1</ns0:v>
      </ns0:c>
      <ns0:c r="AE8" s="33" t="n">
        <ns0:v>100</ns0:v>
      </ns0:c>
      <ns0:c r="AF8" s="33"/>
      <ns0:c r="AG8" s="33"/>
      <ns0:c r="AH8" s="33"/>
      <ns0:c r="AI8" s="33"/>
      <ns0:c r="AJ8" s="33"/>
    </ns0:row>
    <ns0:row r="9" ht="60" customHeight="1">
      <ns0:c r="A9" s="33" t="str">
        <ns0:v>VD0008</ns0:v>
      </ns0:c>
      <ns0:c r="B9" s="33" t="str">
        <ns0:v>Диод</ns0:v>
      </ns0:c>
      <ns0:c r="C9" s="33" t="str">
        <ns0:v>S1D</ns0:v>
      </ns0:c>
      <ns0:c r="D9" s="34" t="str">
        <ns0:f>C9</ns0:f>
        <ns0:v>S1D</ns0:v>
      </ns0:c>
      <ns0:c r="E9" s="33"/>
      <ns0:c r="F9" s="33"/>
      <ns0:c r="G9" s="33" t="str">
        <ns0:v>200 В (VRRM/VR, см. даташит)</ns0:v>
      </ns0:c>
      <ns0:c r="H9" s="35" t="str">
        <ns0:v>SMA / DO-214AC</ns0:v>
      </ns0:c>
      <ns0:c r="I9" s="33" t="str">
        <ns0:v>Diotec Semiconductor</ns0:v>
      </ns0:c>
      <ns0:c r="J9" s="33" t="str">
        <ns0:v>S1D</ns0:v>
      </ns0:c>
      <ns0:c r="K9" s="34" t="str">
        <ns0:f>B9&amp;" "&amp;J9</ns0:f>
        <ns0:v>Диод S1D</ns0:v>
      </ns0:c>
      <ns0:c r="L9" s="36" t="str">
        <ns0:v>Diode_AK</ns0:v>
      </ns0:c>
      <ns0:c r="M9" s="36" t="str">
        <ns0:v>Symbols\MY_LIB_Semiconductors.SchLib</ns0:v>
      </ns0:c>
      <ns0:c r="N9" s="36" t="str">
        <ns0:v>SMA_Diotec</ns0:v>
      </ns0:c>
      <ns0:c r="O9" s="36" t="str">
        <ns0:v>Footprints\PBL - SMD Packages.PcbLib</ns0:v>
      </ns0:c>
      <ns0:c r="P9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9" s="33"/>
      <ns0:c r="R9" s="34" t="str">
        <ns0:f>D9</ns0:f>
        <ns0:v>S1D</ns0:v>
      </ns0:c>
      <ns0:c r="S9" s="34" t="str">
        <ns0:f>K9</ns0:f>
        <ns0:v>Диод S1D</ns0:v>
      </ns0:c>
      <ns0:c r="T9" s="33" t="str">
        <ns0:v>C:\Users\Nomatin\Documents\Altium\MY_LIB\MY_LIB\Datasheets\Diodes\S1A_S1Y_Diotec.pdf</ns0:v>
      </ns0:c>
      <ns0:c r="U9" s="33" t="str">
        <ns0:v>2026-04-02</ns0:v>
      </ns0:c>
      <ns0:c r="V9" s="33" t="str">
        <ns0:v>Даташит — локальный</ns0:v>
      </ns0:c>
      <ns0:c r="W9" s="33" t="str">
        <ns0:v>C:\Users\Nomatin\Documents\Altium\MY_LIB\MY_LIB\Datasheets\Diodes\S1A_S1Y_Diotec.pdf</ns0:v>
      </ns0:c>
      <ns0:c r="X9" s="33" t="str">
        <ns0:v>Даташит — производитель</ns0:v>
      </ns0:c>
      <ns0:c r="Y9" s="33" t="str">
        <ns0:v>https://diotec.com/files/diotec/productfiles/datasheet/s1a.pdf</ns0:v>
      </ns0:c>
      <ns0:c r="Z9" s="33" t="str">
        <ns0:v>C:\Users\Nomatin\Documents\Altium\MY_LIB\MY_LIB\Datasheets\Diodes\S1A_S1Y_Diotec.pdf</ns0:v>
      </ns0:c>
      <ns0:c r="AA9" s="33" t="str">
        <ns0:v>S1A–S1Y</ns0:v>
      </ns0:c>
      <ns0:c r="AB9" s="33" t="str">
        <ns0:v>Одиночный</ns0:v>
      </ns0:c>
      <ns0:c r="AC9" s="33" t="str">
        <ns0:v>A=A; K=C</ns0:v>
      </ns0:c>
      <ns0:c r="AD9" s="33" t="n">
        <ns0:v>1</ns0:v>
      </ns0:c>
      <ns0:c r="AE9" s="33" t="n">
        <ns0:v>200</ns0:v>
      </ns0:c>
      <ns0:c r="AF9" s="33"/>
      <ns0:c r="AG9" s="33"/>
      <ns0:c r="AH9" s="33"/>
      <ns0:c r="AI9" s="33"/>
      <ns0:c r="AJ9" s="33"/>
    </ns0:row>
    <ns0:row r="10" ht="60" customHeight="1">
      <ns0:c r="A10" s="33" t="str">
        <ns0:v>VD0009</ns0:v>
      </ns0:c>
      <ns0:c r="B10" s="33" t="str">
        <ns0:v>Диод</ns0:v>
      </ns0:c>
      <ns0:c r="C10" s="33" t="str">
        <ns0:v>S1G</ns0:v>
      </ns0:c>
      <ns0:c r="D10" s="34" t="str">
        <ns0:f>C10</ns0:f>
        <ns0:v>S1G</ns0:v>
      </ns0:c>
      <ns0:c r="E10" s="33"/>
      <ns0:c r="F10" s="33"/>
      <ns0:c r="G10" s="33" t="str">
        <ns0:v>400 В (VRRM/VR, см. даташит)</ns0:v>
      </ns0:c>
      <ns0:c r="H10" s="35" t="str">
        <ns0:v>SMA / DO-214AC</ns0:v>
      </ns0:c>
      <ns0:c r="I10" s="33" t="str">
        <ns0:v>Diotec Semiconductor</ns0:v>
      </ns0:c>
      <ns0:c r="J10" s="33" t="str">
        <ns0:v>S1G</ns0:v>
      </ns0:c>
      <ns0:c r="K10" s="34" t="str">
        <ns0:f>B10&amp;" "&amp;J10</ns0:f>
        <ns0:v>Диод S1G</ns0:v>
      </ns0:c>
      <ns0:c r="L10" s="36" t="str">
        <ns0:v>Diode_AK</ns0:v>
      </ns0:c>
      <ns0:c r="M10" s="36" t="str">
        <ns0:v>Symbols\MY_LIB_Semiconductors.SchLib</ns0:v>
      </ns0:c>
      <ns0:c r="N10" s="36" t="str">
        <ns0:v>SMA_Diotec</ns0:v>
      </ns0:c>
      <ns0:c r="O10" s="36" t="str">
        <ns0:v>Footprints\PBL - SMD Packages.PcbLib</ns0:v>
      </ns0:c>
      <ns0:c r="P10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0" s="33"/>
      <ns0:c r="R10" s="34" t="str">
        <ns0:f>D10</ns0:f>
        <ns0:v>S1G</ns0:v>
      </ns0:c>
      <ns0:c r="S10" s="34" t="str">
        <ns0:f>K10</ns0:f>
        <ns0:v>Диод S1G</ns0:v>
      </ns0:c>
      <ns0:c r="T10" s="33" t="str">
        <ns0:v>C:\Users\Nomatin\Documents\Altium\MY_LIB\MY_LIB\Datasheets\Diodes\S1A_S1Y_Diotec.pdf</ns0:v>
      </ns0:c>
      <ns0:c r="U10" s="33" t="str">
        <ns0:v>2026-04-02</ns0:v>
      </ns0:c>
      <ns0:c r="V10" s="33" t="str">
        <ns0:v>Даташит — локальный</ns0:v>
      </ns0:c>
      <ns0:c r="W10" s="33" t="str">
        <ns0:v>C:\Users\Nomatin\Documents\Altium\MY_LIB\MY_LIB\Datasheets\Diodes\S1A_S1Y_Diotec.pdf</ns0:v>
      </ns0:c>
      <ns0:c r="X10" s="33" t="str">
        <ns0:v>Даташит — производитель</ns0:v>
      </ns0:c>
      <ns0:c r="Y10" s="33" t="str">
        <ns0:v>https://diotec.com/files/diotec/productfiles/datasheet/s1a.pdf</ns0:v>
      </ns0:c>
      <ns0:c r="Z10" s="33" t="str">
        <ns0:v>C:\Users\Nomatin\Documents\Altium\MY_LIB\MY_LIB\Datasheets\Diodes\S1A_S1Y_Diotec.pdf</ns0:v>
      </ns0:c>
      <ns0:c r="AA10" s="33" t="str">
        <ns0:v>S1A–S1Y</ns0:v>
      </ns0:c>
      <ns0:c r="AB10" s="33" t="str">
        <ns0:v>Одиночный</ns0:v>
      </ns0:c>
      <ns0:c r="AC10" s="33" t="str">
        <ns0:v>A=A; K=C</ns0:v>
      </ns0:c>
      <ns0:c r="AD10" s="33" t="n">
        <ns0:v>1</ns0:v>
      </ns0:c>
      <ns0:c r="AE10" s="33" t="n">
        <ns0:v>400</ns0:v>
      </ns0:c>
      <ns0:c r="AF10" s="33"/>
      <ns0:c r="AG10" s="33"/>
      <ns0:c r="AH10" s="33"/>
      <ns0:c r="AI10" s="33"/>
      <ns0:c r="AJ10" s="33"/>
    </ns0:row>
    <ns0:row r="11" ht="60" customHeight="1">
      <ns0:c r="A11" s="33" t="str">
        <ns0:v>VD0010</ns0:v>
      </ns0:c>
      <ns0:c r="B11" s="33" t="str">
        <ns0:v>Диод</ns0:v>
      </ns0:c>
      <ns0:c r="C11" s="33" t="str">
        <ns0:v>S1J</ns0:v>
      </ns0:c>
      <ns0:c r="D11" s="34" t="str">
        <ns0:f>C11</ns0:f>
        <ns0:v>S1J</ns0:v>
      </ns0:c>
      <ns0:c r="E11" s="33"/>
      <ns0:c r="F11" s="33"/>
      <ns0:c r="G11" s="33" t="str">
        <ns0:v>600 В (VRRM/VR, см. даташит)</ns0:v>
      </ns0:c>
      <ns0:c r="H11" s="35" t="str">
        <ns0:v>SMA / DO-214AC</ns0:v>
      </ns0:c>
      <ns0:c r="I11" s="33" t="str">
        <ns0:v>Diotec Semiconductor</ns0:v>
      </ns0:c>
      <ns0:c r="J11" s="33" t="str">
        <ns0:v>S1J</ns0:v>
      </ns0:c>
      <ns0:c r="K11" s="34" t="str">
        <ns0:f>B11&amp;" "&amp;J11</ns0:f>
        <ns0:v>Диод S1J</ns0:v>
      </ns0:c>
      <ns0:c r="L11" s="36" t="str">
        <ns0:v>Diode_AK</ns0:v>
      </ns0:c>
      <ns0:c r="M11" s="36" t="str">
        <ns0:v>Symbols\MY_LIB_Semiconductors.SchLib</ns0:v>
      </ns0:c>
      <ns0:c r="N11" s="36" t="str">
        <ns0:v>SMA_Diotec</ns0:v>
      </ns0:c>
      <ns0:c r="O11" s="36" t="str">
        <ns0:v>Footprints\PBL - SMD Packages.PcbLib</ns0:v>
      </ns0:c>
      <ns0:c r="P11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1" s="33"/>
      <ns0:c r="R11" s="34" t="str">
        <ns0:f>D11</ns0:f>
        <ns0:v>S1J</ns0:v>
      </ns0:c>
      <ns0:c r="S11" s="34" t="str">
        <ns0:f>K11</ns0:f>
        <ns0:v>Диод S1J</ns0:v>
      </ns0:c>
      <ns0:c r="T11" s="33" t="str">
        <ns0:v>C:\Users\Nomatin\Documents\Altium\MY_LIB\MY_LIB\Datasheets\Diodes\S1A_S1Y_Diotec.pdf</ns0:v>
      </ns0:c>
      <ns0:c r="U11" s="33" t="str">
        <ns0:v>2026-04-02</ns0:v>
      </ns0:c>
      <ns0:c r="V11" s="33" t="str">
        <ns0:v>Даташит — локальный</ns0:v>
      </ns0:c>
      <ns0:c r="W11" s="33" t="str">
        <ns0:v>C:\Users\Nomatin\Documents\Altium\MY_LIB\MY_LIB\Datasheets\Diodes\S1A_S1Y_Diotec.pdf</ns0:v>
      </ns0:c>
      <ns0:c r="X11" s="33" t="str">
        <ns0:v>Даташит — производитель</ns0:v>
      </ns0:c>
      <ns0:c r="Y11" s="33" t="str">
        <ns0:v>https://diotec.com/files/diotec/productfiles/datasheet/s1a.pdf</ns0:v>
      </ns0:c>
      <ns0:c r="Z11" s="33" t="str">
        <ns0:v>C:\Users\Nomatin\Documents\Altium\MY_LIB\MY_LIB\Datasheets\Diodes\S1A_S1Y_Diotec.pdf</ns0:v>
      </ns0:c>
      <ns0:c r="AA11" s="33" t="str">
        <ns0:v>S1A–S1Y</ns0:v>
      </ns0:c>
      <ns0:c r="AB11" s="33" t="str">
        <ns0:v>Одиночный</ns0:v>
      </ns0:c>
      <ns0:c r="AC11" s="33" t="str">
        <ns0:v>A=A; K=C</ns0:v>
      </ns0:c>
      <ns0:c r="AD11" s="33" t="n">
        <ns0:v>1</ns0:v>
      </ns0:c>
      <ns0:c r="AE11" s="33" t="n">
        <ns0:v>600</ns0:v>
      </ns0:c>
      <ns0:c r="AF11" s="33"/>
      <ns0:c r="AG11" s="33"/>
      <ns0:c r="AH11" s="33"/>
      <ns0:c r="AI11" s="33"/>
      <ns0:c r="AJ11" s="33"/>
    </ns0:row>
    <ns0:row r="12" ht="60" customHeight="1">
      <ns0:c r="A12" s="33" t="str">
        <ns0:v>VD0011</ns0:v>
      </ns0:c>
      <ns0:c r="B12" s="33" t="str">
        <ns0:v>Диод</ns0:v>
      </ns0:c>
      <ns0:c r="C12" s="33" t="str">
        <ns0:v>S1K</ns0:v>
      </ns0:c>
      <ns0:c r="D12" s="34" t="str">
        <ns0:f>C12</ns0:f>
        <ns0:v>S1K</ns0:v>
      </ns0:c>
      <ns0:c r="E12" s="33"/>
      <ns0:c r="F12" s="33"/>
      <ns0:c r="G12" s="33" t="str">
        <ns0:v>800 В (VRRM/VR, см. даташит)</ns0:v>
      </ns0:c>
      <ns0:c r="H12" s="35" t="str">
        <ns0:v>SMA / DO-214AC</ns0:v>
      </ns0:c>
      <ns0:c r="I12" s="33" t="str">
        <ns0:v>Diotec Semiconductor</ns0:v>
      </ns0:c>
      <ns0:c r="J12" s="33" t="str">
        <ns0:v>S1K</ns0:v>
      </ns0:c>
      <ns0:c r="K12" s="34" t="str">
        <ns0:f>B12&amp;" "&amp;J12</ns0:f>
        <ns0:v>Диод S1K</ns0:v>
      </ns0:c>
      <ns0:c r="L12" s="36" t="str">
        <ns0:v>Diode_AK</ns0:v>
      </ns0:c>
      <ns0:c r="M12" s="36" t="str">
        <ns0:v>Symbols\MY_LIB_Semiconductors.SchLib</ns0:v>
      </ns0:c>
      <ns0:c r="N12" s="36" t="str">
        <ns0:v>SMA_Diotec</ns0:v>
      </ns0:c>
      <ns0:c r="O12" s="36" t="str">
        <ns0:v>Footprints\PBL - SMD Packages.PcbLib</ns0:v>
      </ns0:c>
      <ns0:c r="P12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2" s="33"/>
      <ns0:c r="R12" s="34" t="str">
        <ns0:f>D12</ns0:f>
        <ns0:v>S1K</ns0:v>
      </ns0:c>
      <ns0:c r="S12" s="34" t="str">
        <ns0:f>K12</ns0:f>
        <ns0:v>Диод S1K</ns0:v>
      </ns0:c>
      <ns0:c r="T12" s="33" t="str">
        <ns0:v>C:\Users\Nomatin\Documents\Altium\MY_LIB\MY_LIB\Datasheets\Diodes\S1A_S1Y_Diotec.pdf</ns0:v>
      </ns0:c>
      <ns0:c r="U12" s="33" t="str">
        <ns0:v>2026-04-02</ns0:v>
      </ns0:c>
      <ns0:c r="V12" s="33" t="str">
        <ns0:v>Даташит — локальный</ns0:v>
      </ns0:c>
      <ns0:c r="W12" s="33" t="str">
        <ns0:v>C:\Users\Nomatin\Documents\Altium\MY_LIB\MY_LIB\Datasheets\Diodes\S1A_S1Y_Diotec.pdf</ns0:v>
      </ns0:c>
      <ns0:c r="X12" s="33" t="str">
        <ns0:v>Даташит — производитель</ns0:v>
      </ns0:c>
      <ns0:c r="Y12" s="33" t="str">
        <ns0:v>https://diotec.com/files/diotec/productfiles/datasheet/s1a.pdf</ns0:v>
      </ns0:c>
      <ns0:c r="Z12" s="33" t="str">
        <ns0:v>C:\Users\Nomatin\Documents\Altium\MY_LIB\MY_LIB\Datasheets\Diodes\S1A_S1Y_Diotec.pdf</ns0:v>
      </ns0:c>
      <ns0:c r="AA12" s="33" t="str">
        <ns0:v>S1A–S1Y</ns0:v>
      </ns0:c>
      <ns0:c r="AB12" s="33" t="str">
        <ns0:v>Одиночный</ns0:v>
      </ns0:c>
      <ns0:c r="AC12" s="33" t="str">
        <ns0:v>A=A; K=C</ns0:v>
      </ns0:c>
      <ns0:c r="AD12" s="33" t="n">
        <ns0:v>1</ns0:v>
      </ns0:c>
      <ns0:c r="AE12" s="33" t="n">
        <ns0:v>800</ns0:v>
      </ns0:c>
      <ns0:c r="AF12" s="33"/>
      <ns0:c r="AG12" s="33"/>
      <ns0:c r="AH12" s="33"/>
      <ns0:c r="AI12" s="33"/>
      <ns0:c r="AJ12" s="33"/>
    </ns0:row>
    <ns0:row r="13" ht="60" customHeight="1">
      <ns0:c r="A13" s="33" t="str">
        <ns0:v>VD0012</ns0:v>
      </ns0:c>
      <ns0:c r="B13" s="33" t="str">
        <ns0:v>Диод</ns0:v>
      </ns0:c>
      <ns0:c r="C13" s="33" t="str">
        <ns0:v>S1M</ns0:v>
      </ns0:c>
      <ns0:c r="D13" s="34" t="str">
        <ns0:f>C13</ns0:f>
        <ns0:v>S1M</ns0:v>
      </ns0:c>
      <ns0:c r="E13" s="33"/>
      <ns0:c r="F13" s="33"/>
      <ns0:c r="G13" s="33" t="str">
        <ns0:v>1000 В (VRRM/VR, см. даташит)</ns0:v>
      </ns0:c>
      <ns0:c r="H13" s="35" t="str">
        <ns0:v>SMA / DO-214AC</ns0:v>
      </ns0:c>
      <ns0:c r="I13" s="33" t="str">
        <ns0:v>Diotec Semiconductor</ns0:v>
      </ns0:c>
      <ns0:c r="J13" s="33" t="str">
        <ns0:v>S1M</ns0:v>
      </ns0:c>
      <ns0:c r="K13" s="34" t="str">
        <ns0:f>B13&amp;" "&amp;J13</ns0:f>
        <ns0:v>Диод S1M</ns0:v>
      </ns0:c>
      <ns0:c r="L13" s="36" t="str">
        <ns0:v>Diode_AK</ns0:v>
      </ns0:c>
      <ns0:c r="M13" s="36" t="str">
        <ns0:v>Symbols\MY_LIB_Semiconductors.SchLib</ns0:v>
      </ns0:c>
      <ns0:c r="N13" s="36" t="str">
        <ns0:v>SMA_Diotec</ns0:v>
      </ns0:c>
      <ns0:c r="O13" s="36" t="str">
        <ns0:v>Footprints\PBL - SMD Packages.PcbLib</ns0:v>
      </ns0:c>
      <ns0:c r="P13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3" s="33"/>
      <ns0:c r="R13" s="34" t="str">
        <ns0:f>D13</ns0:f>
        <ns0:v>S1M</ns0:v>
      </ns0:c>
      <ns0:c r="S13" s="34" t="str">
        <ns0:f>K13</ns0:f>
        <ns0:v>Диод S1M</ns0:v>
      </ns0:c>
      <ns0:c r="T13" s="33" t="str">
        <ns0:v>C:\Users\Nomatin\Documents\Altium\MY_LIB\MY_LIB\Datasheets\Diodes\S1A_S1Y_Diotec.pdf</ns0:v>
      </ns0:c>
      <ns0:c r="U13" s="33" t="str">
        <ns0:v>2026-04-02</ns0:v>
      </ns0:c>
      <ns0:c r="V13" s="33" t="str">
        <ns0:v>Даташит — локальный</ns0:v>
      </ns0:c>
      <ns0:c r="W13" s="33" t="str">
        <ns0:v>C:\Users\Nomatin\Documents\Altium\MY_LIB\MY_LIB\Datasheets\Diodes\S1A_S1Y_Diotec.pdf</ns0:v>
      </ns0:c>
      <ns0:c r="X13" s="33" t="str">
        <ns0:v>Даташит — производитель</ns0:v>
      </ns0:c>
      <ns0:c r="Y13" s="33" t="str">
        <ns0:v>https://diotec.com/files/diotec/productfiles/datasheet/s1a.pdf</ns0:v>
      </ns0:c>
      <ns0:c r="Z13" s="33" t="str">
        <ns0:v>C:\Users\Nomatin\Documents\Altium\MY_LIB\MY_LIB\Datasheets\Diodes\S1A_S1Y_Diotec.pdf</ns0:v>
      </ns0:c>
      <ns0:c r="AA13" s="33" t="str">
        <ns0:v>S1A–S1Y</ns0:v>
      </ns0:c>
      <ns0:c r="AB13" s="33" t="str">
        <ns0:v>Одиночный</ns0:v>
      </ns0:c>
      <ns0:c r="AC13" s="33" t="str">
        <ns0:v>A=A; K=C</ns0:v>
      </ns0:c>
      <ns0:c r="AD13" s="33" t="n">
        <ns0:v>1</ns0:v>
      </ns0:c>
      <ns0:c r="AE13" s="33" t="n">
        <ns0:v>1000</ns0:v>
      </ns0:c>
      <ns0:c r="AF13" s="33"/>
      <ns0:c r="AG13" s="33"/>
      <ns0:c r="AH13" s="33"/>
      <ns0:c r="AI13" s="33"/>
      <ns0:c r="AJ13" s="33"/>
    </ns0:row>
    <ns0:row r="14" ht="60" customHeight="1">
      <ns0:c r="A14" s="33" t="str">
        <ns0:v>VD0013</ns0:v>
      </ns0:c>
      <ns0:c r="B14" s="33" t="str">
        <ns0:v>Диод</ns0:v>
      </ns0:c>
      <ns0:c r="C14" s="33" t="str">
        <ns0:v>S1T</ns0:v>
      </ns0:c>
      <ns0:c r="D14" s="34" t="str">
        <ns0:f>C14</ns0:f>
        <ns0:v>S1T</ns0:v>
      </ns0:c>
      <ns0:c r="E14" s="33"/>
      <ns0:c r="F14" s="33"/>
      <ns0:c r="G14" s="33" t="str">
        <ns0:v>1300 В (VRRM/VR, см. даташит)</ns0:v>
      </ns0:c>
      <ns0:c r="H14" s="35" t="str">
        <ns0:v>SMA / DO-214AC</ns0:v>
      </ns0:c>
      <ns0:c r="I14" s="33" t="str">
        <ns0:v>Diotec Semiconductor</ns0:v>
      </ns0:c>
      <ns0:c r="J14" s="33" t="str">
        <ns0:v>S1T</ns0:v>
      </ns0:c>
      <ns0:c r="K14" s="34" t="str">
        <ns0:f>B14&amp;" "&amp;J14</ns0:f>
        <ns0:v>Диод S1T</ns0:v>
      </ns0:c>
      <ns0:c r="L14" s="36" t="str">
        <ns0:v>Diode_AK</ns0:v>
      </ns0:c>
      <ns0:c r="M14" s="36" t="str">
        <ns0:v>Symbols\MY_LIB_Semiconductors.SchLib</ns0:v>
      </ns0:c>
      <ns0:c r="N14" s="36" t="str">
        <ns0:v>SMA_Diotec</ns0:v>
      </ns0:c>
      <ns0:c r="O14" s="36" t="str">
        <ns0:v>Footprints\PBL - SMD Packages.PcbLib</ns0:v>
      </ns0:c>
      <ns0:c r="P14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4" s="33"/>
      <ns0:c r="R14" s="34" t="str">
        <ns0:f>D14</ns0:f>
        <ns0:v>S1T</ns0:v>
      </ns0:c>
      <ns0:c r="S14" s="34" t="str">
        <ns0:f>K14</ns0:f>
        <ns0:v>Диод S1T</ns0:v>
      </ns0:c>
      <ns0:c r="T14" s="33" t="str">
        <ns0:v>C:\Users\Nomatin\Documents\Altium\MY_LIB\MY_LIB\Datasheets\Diodes\S1A_S1Y_Diotec.pdf</ns0:v>
      </ns0:c>
      <ns0:c r="U14" s="33" t="str">
        <ns0:v>2026-04-02</ns0:v>
      </ns0:c>
      <ns0:c r="V14" s="33" t="str">
        <ns0:v>Даташит — локальный</ns0:v>
      </ns0:c>
      <ns0:c r="W14" s="33" t="str">
        <ns0:v>C:\Users\Nomatin\Documents\Altium\MY_LIB\MY_LIB\Datasheets\Diodes\S1A_S1Y_Diotec.pdf</ns0:v>
      </ns0:c>
      <ns0:c r="X14" s="33" t="str">
        <ns0:v>Даташит — производитель</ns0:v>
      </ns0:c>
      <ns0:c r="Y14" s="33" t="str">
        <ns0:v>https://diotec.com/files/diotec/productfiles/datasheet/s1a.pdf</ns0:v>
      </ns0:c>
      <ns0:c r="Z14" s="33" t="str">
        <ns0:v>C:\Users\Nomatin\Documents\Altium\MY_LIB\MY_LIB\Datasheets\Diodes\S1A_S1Y_Diotec.pdf</ns0:v>
      </ns0:c>
      <ns0:c r="AA14" s="33" t="str">
        <ns0:v>S1A–S1Y</ns0:v>
      </ns0:c>
      <ns0:c r="AB14" s="33" t="str">
        <ns0:v>Одиночный</ns0:v>
      </ns0:c>
      <ns0:c r="AC14" s="33" t="str">
        <ns0:v>A=A; K=C</ns0:v>
      </ns0:c>
      <ns0:c r="AD14" s="33" t="n">
        <ns0:v>1</ns0:v>
      </ns0:c>
      <ns0:c r="AE14" s="33" t="n">
        <ns0:v>1300</ns0:v>
      </ns0:c>
      <ns0:c r="AF14" s="33"/>
      <ns0:c r="AG14" s="33"/>
      <ns0:c r="AH14" s="33"/>
      <ns0:c r="AI14" s="33"/>
      <ns0:c r="AJ14" s="33"/>
    </ns0:row>
    <ns0:row r="15" ht="60" customHeight="1">
      <ns0:c r="A15" s="33" t="str">
        <ns0:v>VD0014</ns0:v>
      </ns0:c>
      <ns0:c r="B15" s="33" t="str">
        <ns0:v>Диод</ns0:v>
      </ns0:c>
      <ns0:c r="C15" s="33" t="str">
        <ns0:v>S1W</ns0:v>
      </ns0:c>
      <ns0:c r="D15" s="34" t="str">
        <ns0:f>C15</ns0:f>
        <ns0:v>S1W</ns0:v>
      </ns0:c>
      <ns0:c r="E15" s="33"/>
      <ns0:c r="F15" s="33"/>
      <ns0:c r="G15" s="33" t="str">
        <ns0:v>1600 В (VRRM/VR, см. даташит)</ns0:v>
      </ns0:c>
      <ns0:c r="H15" s="35" t="str">
        <ns0:v>SMA / DO-214AC</ns0:v>
      </ns0:c>
      <ns0:c r="I15" s="33" t="str">
        <ns0:v>Diotec Semiconductor</ns0:v>
      </ns0:c>
      <ns0:c r="J15" s="33" t="str">
        <ns0:v>S1W</ns0:v>
      </ns0:c>
      <ns0:c r="K15" s="34" t="str">
        <ns0:f>B15&amp;" "&amp;J15</ns0:f>
        <ns0:v>Диод S1W</ns0:v>
      </ns0:c>
      <ns0:c r="L15" s="36" t="str">
        <ns0:v>Diode_AK</ns0:v>
      </ns0:c>
      <ns0:c r="M15" s="36" t="str">
        <ns0:v>Symbols\MY_LIB_Semiconductors.SchLib</ns0:v>
      </ns0:c>
      <ns0:c r="N15" s="36" t="str">
        <ns0:v>SMA_Diotec</ns0:v>
      </ns0:c>
      <ns0:c r="O15" s="36" t="str">
        <ns0:v>Footprints\PBL - SMD Packages.PcbLib</ns0:v>
      </ns0:c>
      <ns0:c r="P15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5" s="33"/>
      <ns0:c r="R15" s="34" t="str">
        <ns0:f>D15</ns0:f>
        <ns0:v>S1W</ns0:v>
      </ns0:c>
      <ns0:c r="S15" s="34" t="str">
        <ns0:f>K15</ns0:f>
        <ns0:v>Диод S1W</ns0:v>
      </ns0:c>
      <ns0:c r="T15" s="33" t="str">
        <ns0:v>C:\Users\Nomatin\Documents\Altium\MY_LIB\MY_LIB\Datasheets\Diodes\S1A_S1Y_Diotec.pdf</ns0:v>
      </ns0:c>
      <ns0:c r="U15" s="33" t="str">
        <ns0:v>2026-04-02</ns0:v>
      </ns0:c>
      <ns0:c r="V15" s="33" t="str">
        <ns0:v>Даташит — локальный</ns0:v>
      </ns0:c>
      <ns0:c r="W15" s="33" t="str">
        <ns0:v>C:\Users\Nomatin\Documents\Altium\MY_LIB\MY_LIB\Datasheets\Diodes\S1A_S1Y_Diotec.pdf</ns0:v>
      </ns0:c>
      <ns0:c r="X15" s="33" t="str">
        <ns0:v>Даташит — производитель</ns0:v>
      </ns0:c>
      <ns0:c r="Y15" s="33" t="str">
        <ns0:v>https://diotec.com/files/diotec/productfiles/datasheet/s1a.pdf</ns0:v>
      </ns0:c>
      <ns0:c r="Z15" s="33" t="str">
        <ns0:v>C:\Users\Nomatin\Documents\Altium\MY_LIB\MY_LIB\Datasheets\Diodes\S1A_S1Y_Diotec.pdf</ns0:v>
      </ns0:c>
      <ns0:c r="AA15" s="33" t="str">
        <ns0:v>S1A–S1Y</ns0:v>
      </ns0:c>
      <ns0:c r="AB15" s="33" t="str">
        <ns0:v>Одиночный</ns0:v>
      </ns0:c>
      <ns0:c r="AC15" s="33" t="str">
        <ns0:v>A=A; K=C</ns0:v>
      </ns0:c>
      <ns0:c r="AD15" s="33" t="n">
        <ns0:v>1</ns0:v>
      </ns0:c>
      <ns0:c r="AE15" s="33" t="n">
        <ns0:v>1600</ns0:v>
      </ns0:c>
      <ns0:c r="AF15" s="33"/>
      <ns0:c r="AG15" s="33"/>
      <ns0:c r="AH15" s="33"/>
      <ns0:c r="AI15" s="33"/>
      <ns0:c r="AJ15" s="33"/>
    </ns0:row>
    <ns0:row r="16" ht="60" customHeight="1">
      <ns0:c r="A16" s="33" t="str">
        <ns0:v>VD0015</ns0:v>
      </ns0:c>
      <ns0:c r="B16" s="33" t="str">
        <ns0:v>Диод</ns0:v>
      </ns0:c>
      <ns0:c r="C16" s="33" t="str">
        <ns0:v>S1X</ns0:v>
      </ns0:c>
      <ns0:c r="D16" s="34" t="str">
        <ns0:f>C16</ns0:f>
        <ns0:v>S1X</ns0:v>
      </ns0:c>
      <ns0:c r="E16" s="33"/>
      <ns0:c r="F16" s="33"/>
      <ns0:c r="G16" s="33" t="str">
        <ns0:v>1800 В (VRRM/VR, см. даташит)</ns0:v>
      </ns0:c>
      <ns0:c r="H16" s="35" t="str">
        <ns0:v>SMA / DO-214AC</ns0:v>
      </ns0:c>
      <ns0:c r="I16" s="33" t="str">
        <ns0:v>Diotec Semiconductor</ns0:v>
      </ns0:c>
      <ns0:c r="J16" s="33" t="str">
        <ns0:v>S1X</ns0:v>
      </ns0:c>
      <ns0:c r="K16" s="34" t="str">
        <ns0:f>B16&amp;" "&amp;J16</ns0:f>
        <ns0:v>Диод S1X</ns0:v>
      </ns0:c>
      <ns0:c r="L16" s="36" t="str">
        <ns0:v>Diode_AK</ns0:v>
      </ns0:c>
      <ns0:c r="M16" s="36" t="str">
        <ns0:v>Symbols\MY_LIB_Semiconductors.SchLib</ns0:v>
      </ns0:c>
      <ns0:c r="N16" s="36" t="str">
        <ns0:v>SMA_Diotec</ns0:v>
      </ns0:c>
      <ns0:c r="O16" s="36" t="str">
        <ns0:v>Footprints\PBL - SMD Packages.PcbLib</ns0:v>
      </ns0:c>
      <ns0:c r="P16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6" s="33"/>
      <ns0:c r="R16" s="34" t="str">
        <ns0:f>D16</ns0:f>
        <ns0:v>S1X</ns0:v>
      </ns0:c>
      <ns0:c r="S16" s="34" t="str">
        <ns0:f>K16</ns0:f>
        <ns0:v>Диод S1X</ns0:v>
      </ns0:c>
      <ns0:c r="T16" s="33" t="str">
        <ns0:v>C:\Users\Nomatin\Documents\Altium\MY_LIB\MY_LIB\Datasheets\Diodes\S1A_S1Y_Diotec.pdf</ns0:v>
      </ns0:c>
      <ns0:c r="U16" s="33" t="str">
        <ns0:v>2026-04-02</ns0:v>
      </ns0:c>
      <ns0:c r="V16" s="33" t="str">
        <ns0:v>Даташит — локальный</ns0:v>
      </ns0:c>
      <ns0:c r="W16" s="33" t="str">
        <ns0:v>C:\Users\Nomatin\Documents\Altium\MY_LIB\MY_LIB\Datasheets\Diodes\S1A_S1Y_Diotec.pdf</ns0:v>
      </ns0:c>
      <ns0:c r="X16" s="33" t="str">
        <ns0:v>Даташит — производитель</ns0:v>
      </ns0:c>
      <ns0:c r="Y16" s="33" t="str">
        <ns0:v>https://diotec.com/files/diotec/productfiles/datasheet/s1a.pdf</ns0:v>
      </ns0:c>
      <ns0:c r="Z16" s="33" t="str">
        <ns0:v>C:\Users\Nomatin\Documents\Altium\MY_LIB\MY_LIB\Datasheets\Diodes\S1A_S1Y_Diotec.pdf</ns0:v>
      </ns0:c>
      <ns0:c r="AA16" s="33" t="str">
        <ns0:v>S1A–S1Y</ns0:v>
      </ns0:c>
      <ns0:c r="AB16" s="33" t="str">
        <ns0:v>Одиночный</ns0:v>
      </ns0:c>
      <ns0:c r="AC16" s="33" t="str">
        <ns0:v>A=A; K=C</ns0:v>
      </ns0:c>
      <ns0:c r="AD16" s="33" t="n">
        <ns0:v>1</ns0:v>
      </ns0:c>
      <ns0:c r="AE16" s="33" t="n">
        <ns0:v>1800</ns0:v>
      </ns0:c>
      <ns0:c r="AF16" s="33"/>
      <ns0:c r="AG16" s="33"/>
      <ns0:c r="AH16" s="33"/>
      <ns0:c r="AI16" s="33"/>
      <ns0:c r="AJ16" s="33"/>
    </ns0:row>
    <ns0:row r="17" ht="60" customHeight="1">
      <ns0:c r="A17" s="33" t="str">
        <ns0:v>VD0016</ns0:v>
      </ns0:c>
      <ns0:c r="B17" s="33" t="str">
        <ns0:v>Диод</ns0:v>
      </ns0:c>
      <ns0:c r="C17" s="33" t="str">
        <ns0:v>S1Y</ns0:v>
      </ns0:c>
      <ns0:c r="D17" s="34" t="str">
        <ns0:f>C17</ns0:f>
        <ns0:v>S1Y</ns0:v>
      </ns0:c>
      <ns0:c r="E17" s="33"/>
      <ns0:c r="F17" s="33"/>
      <ns0:c r="G17" s="33" t="str">
        <ns0:v>2000 В (VRRM/VR, см. даташит)</ns0:v>
      </ns0:c>
      <ns0:c r="H17" s="35" t="str">
        <ns0:v>SMA / DO-214AC</ns0:v>
      </ns0:c>
      <ns0:c r="I17" s="33" t="str">
        <ns0:v>Diotec Semiconductor</ns0:v>
      </ns0:c>
      <ns0:c r="J17" s="33" t="str">
        <ns0:v>S1Y</ns0:v>
      </ns0:c>
      <ns0:c r="K17" s="34" t="str">
        <ns0:f>B17&amp;" "&amp;J17</ns0:f>
        <ns0:v>Диод S1Y</ns0:v>
      </ns0:c>
      <ns0:c r="L17" s="36" t="str">
        <ns0:v>Diode_AK</ns0:v>
      </ns0:c>
      <ns0:c r="M17" s="36" t="str">
        <ns0:v>Symbols\MY_LIB_Semiconductors.SchLib</ns0:v>
      </ns0:c>
      <ns0:c r="N17" s="36" t="str">
        <ns0:v>SMA_Diotec</ns0:v>
      </ns0:c>
      <ns0:c r="O17" s="36" t="str">
        <ns0:v>Footprints\PBL - SMD Packages.PcbLib</ns0:v>
      </ns0:c>
      <ns0:c r="P17" s="33" t="str">
        <ns0:v>Выпрямительный диод. IFAV=1 А при TT=100 °C; температурные условия и снижение тока — по даташиту.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7" s="33"/>
      <ns0:c r="R17" s="34" t="str">
        <ns0:f>D17</ns0:f>
        <ns0:v>S1Y</ns0:v>
      </ns0:c>
      <ns0:c r="S17" s="34" t="str">
        <ns0:f>K17</ns0:f>
        <ns0:v>Диод S1Y</ns0:v>
      </ns0:c>
      <ns0:c r="T17" s="33" t="str">
        <ns0:v>C:\Users\Nomatin\Documents\Altium\MY_LIB\MY_LIB\Datasheets\Diodes\S1A_S1Y_Diotec.pdf</ns0:v>
      </ns0:c>
      <ns0:c r="U17" s="33" t="str">
        <ns0:v>2026-04-02</ns0:v>
      </ns0:c>
      <ns0:c r="V17" s="33" t="str">
        <ns0:v>Даташит — локальный</ns0:v>
      </ns0:c>
      <ns0:c r="W17" s="33" t="str">
        <ns0:v>C:\Users\Nomatin\Documents\Altium\MY_LIB\MY_LIB\Datasheets\Diodes\S1A_S1Y_Diotec.pdf</ns0:v>
      </ns0:c>
      <ns0:c r="X17" s="33" t="str">
        <ns0:v>Даташит — производитель</ns0:v>
      </ns0:c>
      <ns0:c r="Y17" s="33" t="str">
        <ns0:v>https://diotec.com/files/diotec/productfiles/datasheet/s1a.pdf</ns0:v>
      </ns0:c>
      <ns0:c r="Z17" s="33" t="str">
        <ns0:v>C:\Users\Nomatin\Documents\Altium\MY_LIB\MY_LIB\Datasheets\Diodes\S1A_S1Y_Diotec.pdf</ns0:v>
      </ns0:c>
      <ns0:c r="AA17" s="33" t="str">
        <ns0:v>S1A–S1Y</ns0:v>
      </ns0:c>
      <ns0:c r="AB17" s="33" t="str">
        <ns0:v>Одиночный</ns0:v>
      </ns0:c>
      <ns0:c r="AC17" s="33" t="str">
        <ns0:v>A=A; K=C</ns0:v>
      </ns0:c>
      <ns0:c r="AD17" s="33" t="n">
        <ns0:v>1</ns0:v>
      </ns0:c>
      <ns0:c r="AE17" s="33" t="n">
        <ns0:v>2000</ns0:v>
      </ns0:c>
      <ns0:c r="AF17" s="33"/>
      <ns0:c r="AG17" s="33"/>
      <ns0:c r="AH17" s="33"/>
      <ns0:c r="AI17" s="33"/>
      <ns0:c r="AJ17" s="33"/>
    </ns0:row>
    <ns0:row r="18" ht="60" customHeight="1">
      <ns0:c r="A18" s="33" t="str">
        <ns0:v>VD0017</ns0:v>
      </ns0:c>
      <ns0:c r="B18" s="33" t="str">
        <ns0:v>Диод</ns0:v>
      </ns0:c>
      <ns0:c r="C18" s="33" t="str">
        <ns0:v>ES1A</ns0:v>
      </ns0:c>
      <ns0:c r="D18" s="34" t="str">
        <ns0:f>C18</ns0:f>
        <ns0:v>ES1A</ns0:v>
      </ns0:c>
      <ns0:c r="E18" s="33"/>
      <ns0:c r="F18" s="33"/>
      <ns0:c r="G18" s="33" t="str">
        <ns0:v>50 В (VRRM/VR, см. даташит)</ns0:v>
      </ns0:c>
      <ns0:c r="H18" s="35" t="str">
        <ns0:v>SMA / DO-214AC</ns0:v>
      </ns0:c>
      <ns0:c r="I18" s="33" t="str">
        <ns0:v>Diotec Semiconductor</ns0:v>
      </ns0:c>
      <ns0:c r="J18" s="33" t="str">
        <ns0:v>ES1A</ns0:v>
      </ns0:c>
      <ns0:c r="K18" s="34" t="str">
        <ns0:f>B18&amp;" "&amp;J18</ns0:f>
        <ns0:v>Диод ES1A</ns0:v>
      </ns0:c>
      <ns0:c r="L18" s="36" t="str">
        <ns0:v>Diode_AK</ns0:v>
      </ns0:c>
      <ns0:c r="M18" s="36" t="str">
        <ns0:v>Symbols\MY_LIB_Semiconductors.SchLib</ns0:v>
      </ns0:c>
      <ns0:c r="N18" s="36" t="str">
        <ns0:v>SMA_Diotec</ns0:v>
      </ns0:c>
      <ns0:c r="O18" s="36" t="str">
        <ns0:v>Footprints\PBL - SMD Packages.PcbLib</ns0:v>
      </ns0:c>
      <ns0:c r="P18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8" s="33"/>
      <ns0:c r="R18" s="34" t="str">
        <ns0:f>D18</ns0:f>
        <ns0:v>ES1A</ns0:v>
      </ns0:c>
      <ns0:c r="S18" s="34" t="str">
        <ns0:f>K18</ns0:f>
        <ns0:v>Диод ES1A</ns0:v>
      </ns0:c>
      <ns0:c r="T18" s="33" t="str">
        <ns0:v>C:\Users\Nomatin\Documents\Altium\MY_LIB\MY_LIB\Datasheets\Diodes\ES1A_ES1J_Diotec.pdf</ns0:v>
      </ns0:c>
      <ns0:c r="U18" s="33" t="str">
        <ns0:v>2026-08-11</ns0:v>
      </ns0:c>
      <ns0:c r="V18" s="33" t="str">
        <ns0:v>Даташит — локальный</ns0:v>
      </ns0:c>
      <ns0:c r="W18" s="33" t="str">
        <ns0:v>C:\Users\Nomatin\Documents\Altium\MY_LIB\MY_LIB\Datasheets\Diodes\ES1A_ES1J_Diotec.pdf</ns0:v>
      </ns0:c>
      <ns0:c r="X18" s="33" t="str">
        <ns0:v>Даташит — производитель</ns0:v>
      </ns0:c>
      <ns0:c r="Y18" s="33" t="str">
        <ns0:v>https://diotec.com/files/diotec/productfiles/datasheet/es1a.pdf</ns0:v>
      </ns0:c>
      <ns0:c r="Z18" s="33" t="str">
        <ns0:v>C:\Users\Nomatin\Documents\Altium\MY_LIB\MY_LIB\Datasheets\Diodes\ES1A_ES1J_Diotec.pdf</ns0:v>
      </ns0:c>
      <ns0:c r="AA18" s="33" t="str">
        <ns0:v>ES1A–ES1J</ns0:v>
      </ns0:c>
      <ns0:c r="AB18" s="33" t="str">
        <ns0:v>Одиночный</ns0:v>
      </ns0:c>
      <ns0:c r="AC18" s="33" t="str">
        <ns0:v>A=A; K=C</ns0:v>
      </ns0:c>
      <ns0:c r="AD18" s="33" t="n">
        <ns0:v>1</ns0:v>
      </ns0:c>
      <ns0:c r="AE18" s="33" t="n">
        <ns0:v>50</ns0:v>
      </ns0:c>
      <ns0:c r="AF18" s="33"/>
      <ns0:c r="AG18" s="33"/>
      <ns0:c r="AH18" s="33"/>
      <ns0:c r="AI18" s="33"/>
      <ns0:c r="AJ18" s="33"/>
    </ns0:row>
    <ns0:row r="19" ht="60" customHeight="1">
      <ns0:c r="A19" s="33" t="str">
        <ns0:v>VD0018</ns0:v>
      </ns0:c>
      <ns0:c r="B19" s="33" t="str">
        <ns0:v>Диод</ns0:v>
      </ns0:c>
      <ns0:c r="C19" s="33" t="str">
        <ns0:v>ES1B</ns0:v>
      </ns0:c>
      <ns0:c r="D19" s="34" t="str">
        <ns0:f>C19</ns0:f>
        <ns0:v>ES1B</ns0:v>
      </ns0:c>
      <ns0:c r="E19" s="33"/>
      <ns0:c r="F19" s="33"/>
      <ns0:c r="G19" s="33" t="str">
        <ns0:v>100 В (VRRM/VR, см. даташит)</ns0:v>
      </ns0:c>
      <ns0:c r="H19" s="35" t="str">
        <ns0:v>SMA / DO-214AC</ns0:v>
      </ns0:c>
      <ns0:c r="I19" s="33" t="str">
        <ns0:v>Diotec Semiconductor</ns0:v>
      </ns0:c>
      <ns0:c r="J19" s="33" t="str">
        <ns0:v>ES1B</ns0:v>
      </ns0:c>
      <ns0:c r="K19" s="34" t="str">
        <ns0:f>B19&amp;" "&amp;J19</ns0:f>
        <ns0:v>Диод ES1B</ns0:v>
      </ns0:c>
      <ns0:c r="L19" s="36" t="str">
        <ns0:v>Diode_AK</ns0:v>
      </ns0:c>
      <ns0:c r="M19" s="36" t="str">
        <ns0:v>Symbols\MY_LIB_Semiconductors.SchLib</ns0:v>
      </ns0:c>
      <ns0:c r="N19" s="36" t="str">
        <ns0:v>SMA_Diotec</ns0:v>
      </ns0:c>
      <ns0:c r="O19" s="36" t="str">
        <ns0:v>Footprints\PBL - SMD Packages.PcbLib</ns0:v>
      </ns0:c>
      <ns0:c r="P19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19" s="33"/>
      <ns0:c r="R19" s="34" t="str">
        <ns0:f>D19</ns0:f>
        <ns0:v>ES1B</ns0:v>
      </ns0:c>
      <ns0:c r="S19" s="34" t="str">
        <ns0:f>K19</ns0:f>
        <ns0:v>Диод ES1B</ns0:v>
      </ns0:c>
      <ns0:c r="T19" s="33" t="str">
        <ns0:v>C:\Users\Nomatin\Documents\Altium\MY_LIB\MY_LIB\Datasheets\Diodes\ES1A_ES1J_Diotec.pdf</ns0:v>
      </ns0:c>
      <ns0:c r="U19" s="33" t="str">
        <ns0:v>2026-08-11</ns0:v>
      </ns0:c>
      <ns0:c r="V19" s="33" t="str">
        <ns0:v>Даташит — локальный</ns0:v>
      </ns0:c>
      <ns0:c r="W19" s="33" t="str">
        <ns0:v>C:\Users\Nomatin\Documents\Altium\MY_LIB\MY_LIB\Datasheets\Diodes\ES1A_ES1J_Diotec.pdf</ns0:v>
      </ns0:c>
      <ns0:c r="X19" s="33" t="str">
        <ns0:v>Даташит — производитель</ns0:v>
      </ns0:c>
      <ns0:c r="Y19" s="33" t="str">
        <ns0:v>https://diotec.com/files/diotec/productfiles/datasheet/es1a.pdf</ns0:v>
      </ns0:c>
      <ns0:c r="Z19" s="33" t="str">
        <ns0:v>C:\Users\Nomatin\Documents\Altium\MY_LIB\MY_LIB\Datasheets\Diodes\ES1A_ES1J_Diotec.pdf</ns0:v>
      </ns0:c>
      <ns0:c r="AA19" s="33" t="str">
        <ns0:v>ES1A–ES1J</ns0:v>
      </ns0:c>
      <ns0:c r="AB19" s="33" t="str">
        <ns0:v>Одиночный</ns0:v>
      </ns0:c>
      <ns0:c r="AC19" s="33" t="str">
        <ns0:v>A=A; K=C</ns0:v>
      </ns0:c>
      <ns0:c r="AD19" s="33" t="n">
        <ns0:v>1</ns0:v>
      </ns0:c>
      <ns0:c r="AE19" s="33" t="n">
        <ns0:v>100</ns0:v>
      </ns0:c>
      <ns0:c r="AF19" s="33"/>
      <ns0:c r="AG19" s="33"/>
      <ns0:c r="AH19" s="33"/>
      <ns0:c r="AI19" s="33"/>
      <ns0:c r="AJ19" s="33"/>
    </ns0:row>
    <ns0:row r="20" ht="60" customHeight="1">
      <ns0:c r="A20" s="33" t="str">
        <ns0:v>VD0019</ns0:v>
      </ns0:c>
      <ns0:c r="B20" s="33" t="str">
        <ns0:v>Диод</ns0:v>
      </ns0:c>
      <ns0:c r="C20" s="33" t="str">
        <ns0:v>ES1C</ns0:v>
      </ns0:c>
      <ns0:c r="D20" s="34" t="str">
        <ns0:f>C20</ns0:f>
        <ns0:v>ES1C</ns0:v>
      </ns0:c>
      <ns0:c r="E20" s="33"/>
      <ns0:c r="F20" s="33"/>
      <ns0:c r="G20" s="33" t="str">
        <ns0:v>150 В (VRRM/VR, см. даташит)</ns0:v>
      </ns0:c>
      <ns0:c r="H20" s="35" t="str">
        <ns0:v>SMA / DO-214AC</ns0:v>
      </ns0:c>
      <ns0:c r="I20" s="33" t="str">
        <ns0:v>Diotec Semiconductor</ns0:v>
      </ns0:c>
      <ns0:c r="J20" s="33" t="str">
        <ns0:v>ES1C</ns0:v>
      </ns0:c>
      <ns0:c r="K20" s="34" t="str">
        <ns0:f>B20&amp;" "&amp;J20</ns0:f>
        <ns0:v>Диод ES1C</ns0:v>
      </ns0:c>
      <ns0:c r="L20" s="36" t="str">
        <ns0:v>Diode_AK</ns0:v>
      </ns0:c>
      <ns0:c r="M20" s="36" t="str">
        <ns0:v>Symbols\MY_LIB_Semiconductors.SchLib</ns0:v>
      </ns0:c>
      <ns0:c r="N20" s="36" t="str">
        <ns0:v>SMA_Diotec</ns0:v>
      </ns0:c>
      <ns0:c r="O20" s="36" t="str">
        <ns0:v>Footprints\PBL - SMD Packages.PcbLib</ns0:v>
      </ns0:c>
      <ns0:c r="P20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0" s="33"/>
      <ns0:c r="R20" s="34" t="str">
        <ns0:f>D20</ns0:f>
        <ns0:v>ES1C</ns0:v>
      </ns0:c>
      <ns0:c r="S20" s="34" t="str">
        <ns0:f>K20</ns0:f>
        <ns0:v>Диод ES1C</ns0:v>
      </ns0:c>
      <ns0:c r="T20" s="33" t="str">
        <ns0:v>C:\Users\Nomatin\Documents\Altium\MY_LIB\MY_LIB\Datasheets\Diodes\ES1A_ES1J_Diotec.pdf</ns0:v>
      </ns0:c>
      <ns0:c r="U20" s="33" t="str">
        <ns0:v>2026-08-11</ns0:v>
      </ns0:c>
      <ns0:c r="V20" s="33" t="str">
        <ns0:v>Даташит — локальный</ns0:v>
      </ns0:c>
      <ns0:c r="W20" s="33" t="str">
        <ns0:v>C:\Users\Nomatin\Documents\Altium\MY_LIB\MY_LIB\Datasheets\Diodes\ES1A_ES1J_Diotec.pdf</ns0:v>
      </ns0:c>
      <ns0:c r="X20" s="33" t="str">
        <ns0:v>Даташит — производитель</ns0:v>
      </ns0:c>
      <ns0:c r="Y20" s="33" t="str">
        <ns0:v>https://diotec.com/files/diotec/productfiles/datasheet/es1a.pdf</ns0:v>
      </ns0:c>
      <ns0:c r="Z20" s="33" t="str">
        <ns0:v>C:\Users\Nomatin\Documents\Altium\MY_LIB\MY_LIB\Datasheets\Diodes\ES1A_ES1J_Diotec.pdf</ns0:v>
      </ns0:c>
      <ns0:c r="AA20" s="33" t="str">
        <ns0:v>ES1A–ES1J</ns0:v>
      </ns0:c>
      <ns0:c r="AB20" s="33" t="str">
        <ns0:v>Одиночный</ns0:v>
      </ns0:c>
      <ns0:c r="AC20" s="33" t="str">
        <ns0:v>A=A; K=C</ns0:v>
      </ns0:c>
      <ns0:c r="AD20" s="33" t="n">
        <ns0:v>1</ns0:v>
      </ns0:c>
      <ns0:c r="AE20" s="33" t="n">
        <ns0:v>150</ns0:v>
      </ns0:c>
      <ns0:c r="AF20" s="33"/>
      <ns0:c r="AG20" s="33"/>
      <ns0:c r="AH20" s="33"/>
      <ns0:c r="AI20" s="33"/>
      <ns0:c r="AJ20" s="33"/>
    </ns0:row>
    <ns0:row r="21" ht="60" customHeight="1">
      <ns0:c r="A21" s="33" t="str">
        <ns0:v>VD0020</ns0:v>
      </ns0:c>
      <ns0:c r="B21" s="33" t="str">
        <ns0:v>Диод</ns0:v>
      </ns0:c>
      <ns0:c r="C21" s="33" t="str">
        <ns0:v>ES1D</ns0:v>
      </ns0:c>
      <ns0:c r="D21" s="34" t="str">
        <ns0:f>C21</ns0:f>
        <ns0:v>ES1D</ns0:v>
      </ns0:c>
      <ns0:c r="E21" s="33"/>
      <ns0:c r="F21" s="33"/>
      <ns0:c r="G21" s="33" t="str">
        <ns0:v>200 В (VRRM/VR, см. даташит)</ns0:v>
      </ns0:c>
      <ns0:c r="H21" s="35" t="str">
        <ns0:v>SMA / DO-214AC</ns0:v>
      </ns0:c>
      <ns0:c r="I21" s="33" t="str">
        <ns0:v>Diotec Semiconductor</ns0:v>
      </ns0:c>
      <ns0:c r="J21" s="33" t="str">
        <ns0:v>ES1D</ns0:v>
      </ns0:c>
      <ns0:c r="K21" s="34" t="str">
        <ns0:f>B21&amp;" "&amp;J21</ns0:f>
        <ns0:v>Диод ES1D</ns0:v>
      </ns0:c>
      <ns0:c r="L21" s="36" t="str">
        <ns0:v>Diode_AK</ns0:v>
      </ns0:c>
      <ns0:c r="M21" s="36" t="str">
        <ns0:v>Symbols\MY_LIB_Semiconductors.SchLib</ns0:v>
      </ns0:c>
      <ns0:c r="N21" s="36" t="str">
        <ns0:v>SMA_Diotec</ns0:v>
      </ns0:c>
      <ns0:c r="O21" s="36" t="str">
        <ns0:v>Footprints\PBL - SMD Packages.PcbLib</ns0:v>
      </ns0:c>
      <ns0:c r="P21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1" s="33"/>
      <ns0:c r="R21" s="34" t="str">
        <ns0:f>D21</ns0:f>
        <ns0:v>ES1D</ns0:v>
      </ns0:c>
      <ns0:c r="S21" s="34" t="str">
        <ns0:f>K21</ns0:f>
        <ns0:v>Диод ES1D</ns0:v>
      </ns0:c>
      <ns0:c r="T21" s="33" t="str">
        <ns0:v>C:\Users\Nomatin\Documents\Altium\MY_LIB\MY_LIB\Datasheets\Diodes\ES1A_ES1J_Diotec.pdf</ns0:v>
      </ns0:c>
      <ns0:c r="U21" s="33" t="str">
        <ns0:v>2026-08-11</ns0:v>
      </ns0:c>
      <ns0:c r="V21" s="33" t="str">
        <ns0:v>Даташит — локальный</ns0:v>
      </ns0:c>
      <ns0:c r="W21" s="33" t="str">
        <ns0:v>C:\Users\Nomatin\Documents\Altium\MY_LIB\MY_LIB\Datasheets\Diodes\ES1A_ES1J_Diotec.pdf</ns0:v>
      </ns0:c>
      <ns0:c r="X21" s="33" t="str">
        <ns0:v>Даташит — производитель</ns0:v>
      </ns0:c>
      <ns0:c r="Y21" s="33" t="str">
        <ns0:v>https://diotec.com/files/diotec/productfiles/datasheet/es1a.pdf</ns0:v>
      </ns0:c>
      <ns0:c r="Z21" s="33" t="str">
        <ns0:v>C:\Users\Nomatin\Documents\Altium\MY_LIB\MY_LIB\Datasheets\Diodes\ES1A_ES1J_Diotec.pdf</ns0:v>
      </ns0:c>
      <ns0:c r="AA21" s="33" t="str">
        <ns0:v>ES1A–ES1J</ns0:v>
      </ns0:c>
      <ns0:c r="AB21" s="33" t="str">
        <ns0:v>Одиночный</ns0:v>
      </ns0:c>
      <ns0:c r="AC21" s="33" t="str">
        <ns0:v>A=A; K=C</ns0:v>
      </ns0:c>
      <ns0:c r="AD21" s="33" t="n">
        <ns0:v>1</ns0:v>
      </ns0:c>
      <ns0:c r="AE21" s="33" t="n">
        <ns0:v>200</ns0:v>
      </ns0:c>
      <ns0:c r="AF21" s="33"/>
      <ns0:c r="AG21" s="33"/>
      <ns0:c r="AH21" s="33"/>
      <ns0:c r="AI21" s="33"/>
      <ns0:c r="AJ21" s="33"/>
    </ns0:row>
    <ns0:row r="22" ht="60" customHeight="1">
      <ns0:c r="A22" s="33" t="str">
        <ns0:v>VD0021</ns0:v>
      </ns0:c>
      <ns0:c r="B22" s="33" t="str">
        <ns0:v>Диод</ns0:v>
      </ns0:c>
      <ns0:c r="C22" s="33" t="str">
        <ns0:v>ES1F</ns0:v>
      </ns0:c>
      <ns0:c r="D22" s="34" t="str">
        <ns0:f>C22</ns0:f>
        <ns0:v>ES1F</ns0:v>
      </ns0:c>
      <ns0:c r="E22" s="33"/>
      <ns0:c r="F22" s="33"/>
      <ns0:c r="G22" s="33" t="str">
        <ns0:v>300 В (VRRM/VR, см. даташит)</ns0:v>
      </ns0:c>
      <ns0:c r="H22" s="35" t="str">
        <ns0:v>SMA / DO-214AC</ns0:v>
      </ns0:c>
      <ns0:c r="I22" s="33" t="str">
        <ns0:v>Diotec Semiconductor</ns0:v>
      </ns0:c>
      <ns0:c r="J22" s="33" t="str">
        <ns0:v>ES1F</ns0:v>
      </ns0:c>
      <ns0:c r="K22" s="34" t="str">
        <ns0:f>B22&amp;" "&amp;J22</ns0:f>
        <ns0:v>Диод ES1F</ns0:v>
      </ns0:c>
      <ns0:c r="L22" s="36" t="str">
        <ns0:v>Diode_AK</ns0:v>
      </ns0:c>
      <ns0:c r="M22" s="36" t="str">
        <ns0:v>Symbols\MY_LIB_Semiconductors.SchLib</ns0:v>
      </ns0:c>
      <ns0:c r="N22" s="36" t="str">
        <ns0:v>SMA_Diotec</ns0:v>
      </ns0:c>
      <ns0:c r="O22" s="36" t="str">
        <ns0:v>Footprints\PBL - SMD Packages.PcbLib</ns0:v>
      </ns0:c>
      <ns0:c r="P22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2" s="33"/>
      <ns0:c r="R22" s="34" t="str">
        <ns0:f>D22</ns0:f>
        <ns0:v>ES1F</ns0:v>
      </ns0:c>
      <ns0:c r="S22" s="34" t="str">
        <ns0:f>K22</ns0:f>
        <ns0:v>Диод ES1F</ns0:v>
      </ns0:c>
      <ns0:c r="T22" s="33" t="str">
        <ns0:v>C:\Users\Nomatin\Documents\Altium\MY_LIB\MY_LIB\Datasheets\Diodes\ES1A_ES1J_Diotec.pdf</ns0:v>
      </ns0:c>
      <ns0:c r="U22" s="33" t="str">
        <ns0:v>2026-08-11</ns0:v>
      </ns0:c>
      <ns0:c r="V22" s="33" t="str">
        <ns0:v>Даташит — локальный</ns0:v>
      </ns0:c>
      <ns0:c r="W22" s="33" t="str">
        <ns0:v>C:\Users\Nomatin\Documents\Altium\MY_LIB\MY_LIB\Datasheets\Diodes\ES1A_ES1J_Diotec.pdf</ns0:v>
      </ns0:c>
      <ns0:c r="X22" s="33" t="str">
        <ns0:v>Даташит — производитель</ns0:v>
      </ns0:c>
      <ns0:c r="Y22" s="33" t="str">
        <ns0:v>https://diotec.com/files/diotec/productfiles/datasheet/es1a.pdf</ns0:v>
      </ns0:c>
      <ns0:c r="Z22" s="33" t="str">
        <ns0:v>C:\Users\Nomatin\Documents\Altium\MY_LIB\MY_LIB\Datasheets\Diodes\ES1A_ES1J_Diotec.pdf</ns0:v>
      </ns0:c>
      <ns0:c r="AA22" s="33" t="str">
        <ns0:v>ES1A–ES1J</ns0:v>
      </ns0:c>
      <ns0:c r="AB22" s="33" t="str">
        <ns0:v>Одиночный</ns0:v>
      </ns0:c>
      <ns0:c r="AC22" s="33" t="str">
        <ns0:v>A=A; K=C</ns0:v>
      </ns0:c>
      <ns0:c r="AD22" s="33" t="n">
        <ns0:v>1</ns0:v>
      </ns0:c>
      <ns0:c r="AE22" s="33" t="n">
        <ns0:v>300</ns0:v>
      </ns0:c>
      <ns0:c r="AF22" s="33"/>
      <ns0:c r="AG22" s="33"/>
      <ns0:c r="AH22" s="33"/>
      <ns0:c r="AI22" s="33"/>
      <ns0:c r="AJ22" s="33"/>
    </ns0:row>
    <ns0:row r="23" ht="60" customHeight="1">
      <ns0:c r="A23" s="33" t="str">
        <ns0:v>VD0022</ns0:v>
      </ns0:c>
      <ns0:c r="B23" s="33" t="str">
        <ns0:v>Диод</ns0:v>
      </ns0:c>
      <ns0:c r="C23" s="33" t="str">
        <ns0:v>ES1G</ns0:v>
      </ns0:c>
      <ns0:c r="D23" s="34" t="str">
        <ns0:f>C23</ns0:f>
        <ns0:v>ES1G</ns0:v>
      </ns0:c>
      <ns0:c r="E23" s="33"/>
      <ns0:c r="F23" s="33"/>
      <ns0:c r="G23" s="33" t="str">
        <ns0:v>400 В (VRRM/VR, см. даташит)</ns0:v>
      </ns0:c>
      <ns0:c r="H23" s="35" t="str">
        <ns0:v>SMA / DO-214AC</ns0:v>
      </ns0:c>
      <ns0:c r="I23" s="33" t="str">
        <ns0:v>Diotec Semiconductor</ns0:v>
      </ns0:c>
      <ns0:c r="J23" s="33" t="str">
        <ns0:v>ES1G</ns0:v>
      </ns0:c>
      <ns0:c r="K23" s="34" t="str">
        <ns0:f>B23&amp;" "&amp;J23</ns0:f>
        <ns0:v>Диод ES1G</ns0:v>
      </ns0:c>
      <ns0:c r="L23" s="36" t="str">
        <ns0:v>Diode_AK</ns0:v>
      </ns0:c>
      <ns0:c r="M23" s="36" t="str">
        <ns0:v>Symbols\MY_LIB_Semiconductors.SchLib</ns0:v>
      </ns0:c>
      <ns0:c r="N23" s="36" t="str">
        <ns0:v>SMA_Diotec</ns0:v>
      </ns0:c>
      <ns0:c r="O23" s="36" t="str">
        <ns0:v>Footprints\PBL - SMD Packages.PcbLib</ns0:v>
      </ns0:c>
      <ns0:c r="P23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3" s="33"/>
      <ns0:c r="R23" s="34" t="str">
        <ns0:f>D23</ns0:f>
        <ns0:v>ES1G</ns0:v>
      </ns0:c>
      <ns0:c r="S23" s="34" t="str">
        <ns0:f>K23</ns0:f>
        <ns0:v>Диод ES1G</ns0:v>
      </ns0:c>
      <ns0:c r="T23" s="33" t="str">
        <ns0:v>C:\Users\Nomatin\Documents\Altium\MY_LIB\MY_LIB\Datasheets\Diodes\ES1A_ES1J_Diotec.pdf</ns0:v>
      </ns0:c>
      <ns0:c r="U23" s="33" t="str">
        <ns0:v>2026-08-11</ns0:v>
      </ns0:c>
      <ns0:c r="V23" s="33" t="str">
        <ns0:v>Даташит — локальный</ns0:v>
      </ns0:c>
      <ns0:c r="W23" s="33" t="str">
        <ns0:v>C:\Users\Nomatin\Documents\Altium\MY_LIB\MY_LIB\Datasheets\Diodes\ES1A_ES1J_Diotec.pdf</ns0:v>
      </ns0:c>
      <ns0:c r="X23" s="33" t="str">
        <ns0:v>Даташит — производитель</ns0:v>
      </ns0:c>
      <ns0:c r="Y23" s="33" t="str">
        <ns0:v>https://diotec.com/files/diotec/productfiles/datasheet/es1a.pdf</ns0:v>
      </ns0:c>
      <ns0:c r="Z23" s="33" t="str">
        <ns0:v>C:\Users\Nomatin\Documents\Altium\MY_LIB\MY_LIB\Datasheets\Diodes\ES1A_ES1J_Diotec.pdf</ns0:v>
      </ns0:c>
      <ns0:c r="AA23" s="33" t="str">
        <ns0:v>ES1A–ES1J</ns0:v>
      </ns0:c>
      <ns0:c r="AB23" s="33" t="str">
        <ns0:v>Одиночный</ns0:v>
      </ns0:c>
      <ns0:c r="AC23" s="33" t="str">
        <ns0:v>A=A; K=C</ns0:v>
      </ns0:c>
      <ns0:c r="AD23" s="33" t="n">
        <ns0:v>1</ns0:v>
      </ns0:c>
      <ns0:c r="AE23" s="33" t="n">
        <ns0:v>400</ns0:v>
      </ns0:c>
      <ns0:c r="AF23" s="33"/>
      <ns0:c r="AG23" s="33"/>
      <ns0:c r="AH23" s="33"/>
      <ns0:c r="AI23" s="33"/>
      <ns0:c r="AJ23" s="33"/>
    </ns0:row>
    <ns0:row r="24" ht="60" customHeight="1">
      <ns0:c r="A24" s="33" t="str">
        <ns0:v>VD0023</ns0:v>
      </ns0:c>
      <ns0:c r="B24" s="33" t="str">
        <ns0:v>Диод</ns0:v>
      </ns0:c>
      <ns0:c r="C24" s="33" t="str">
        <ns0:v>ES1J</ns0:v>
      </ns0:c>
      <ns0:c r="D24" s="34" t="str">
        <ns0:f>C24</ns0:f>
        <ns0:v>ES1J</ns0:v>
      </ns0:c>
      <ns0:c r="E24" s="33"/>
      <ns0:c r="F24" s="33"/>
      <ns0:c r="G24" s="33" t="str">
        <ns0:v>600 В (VRRM/VR, см. даташит)</ns0:v>
      </ns0:c>
      <ns0:c r="H24" s="35" t="str">
        <ns0:v>SMA / DO-214AC</ns0:v>
      </ns0:c>
      <ns0:c r="I24" s="33" t="str">
        <ns0:v>Diotec Semiconductor</ns0:v>
      </ns0:c>
      <ns0:c r="J24" s="33" t="str">
        <ns0:v>ES1J</ns0:v>
      </ns0:c>
      <ns0:c r="K24" s="34" t="str">
        <ns0:f>B24&amp;" "&amp;J24</ns0:f>
        <ns0:v>Диод ES1J</ns0:v>
      </ns0:c>
      <ns0:c r="L24" s="36" t="str">
        <ns0:v>Diode_AK</ns0:v>
      </ns0:c>
      <ns0:c r="M24" s="36" t="str">
        <ns0:v>Symbols\MY_LIB_Semiconductors.SchLib</ns0:v>
      </ns0:c>
      <ns0:c r="N24" s="36" t="str">
        <ns0:v>SMA_Diotec</ns0:v>
      </ns0:c>
      <ns0:c r="O24" s="36" t="str">
        <ns0:v>Footprints\PBL - SMD Packages.PcbLib</ns0:v>
      </ns0:c>
      <ns0:c r="P24" s="33" t="str">
        <ns0:v>Быстровосстанавливающийся выпрямительный диод. IFAV=1 А при TT=100 °C; trr и VF различаются между исполнениями.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4" s="33"/>
      <ns0:c r="R24" s="34" t="str">
        <ns0:f>D24</ns0:f>
        <ns0:v>ES1J</ns0:v>
      </ns0:c>
      <ns0:c r="S24" s="34" t="str">
        <ns0:f>K24</ns0:f>
        <ns0:v>Диод ES1J</ns0:v>
      </ns0:c>
      <ns0:c r="T24" s="33" t="str">
        <ns0:v>C:\Users\Nomatin\Documents\Altium\MY_LIB\MY_LIB\Datasheets\Diodes\ES1A_ES1J_Diotec.pdf</ns0:v>
      </ns0:c>
      <ns0:c r="U24" s="33" t="str">
        <ns0:v>2026-08-11</ns0:v>
      </ns0:c>
      <ns0:c r="V24" s="33" t="str">
        <ns0:v>Даташит — локальный</ns0:v>
      </ns0:c>
      <ns0:c r="W24" s="33" t="str">
        <ns0:v>C:\Users\Nomatin\Documents\Altium\MY_LIB\MY_LIB\Datasheets\Diodes\ES1A_ES1J_Diotec.pdf</ns0:v>
      </ns0:c>
      <ns0:c r="X24" s="33" t="str">
        <ns0:v>Даташит — производитель</ns0:v>
      </ns0:c>
      <ns0:c r="Y24" s="33" t="str">
        <ns0:v>https://diotec.com/files/diotec/productfiles/datasheet/es1a.pdf</ns0:v>
      </ns0:c>
      <ns0:c r="Z24" s="33" t="str">
        <ns0:v>C:\Users\Nomatin\Documents\Altium\MY_LIB\MY_LIB\Datasheets\Diodes\ES1A_ES1J_Diotec.pdf</ns0:v>
      </ns0:c>
      <ns0:c r="AA24" s="33" t="str">
        <ns0:v>ES1A–ES1J</ns0:v>
      </ns0:c>
      <ns0:c r="AB24" s="33" t="str">
        <ns0:v>Одиночный</ns0:v>
      </ns0:c>
      <ns0:c r="AC24" s="33" t="str">
        <ns0:v>A=A; K=C</ns0:v>
      </ns0:c>
      <ns0:c r="AD24" s="33" t="n">
        <ns0:v>1</ns0:v>
      </ns0:c>
      <ns0:c r="AE24" s="33" t="n">
        <ns0:v>600</ns0:v>
      </ns0:c>
      <ns0:c r="AF24" s="33"/>
      <ns0:c r="AG24" s="33"/>
      <ns0:c r="AH24" s="33"/>
      <ns0:c r="AI24" s="33"/>
      <ns0:c r="AJ24" s="33"/>
    </ns0:row>
    <ns0:row r="25" ht="60" customHeight="1">
      <ns0:c r="A25" s="33" t="str">
        <ns0:v>VD0024</ns0:v>
      </ns0:c>
      <ns0:c r="B25" s="33" t="str">
        <ns0:v>Диод Шоттки</ns0:v>
      </ns0:c>
      <ns0:c r="C25" s="33" t="str">
        <ns0:v>BAT54</ns0:v>
      </ns0:c>
      <ns0:c r="D25" s="34" t="str">
        <ns0:f>C25</ns0:f>
        <ns0:v>BAT54</ns0:v>
      </ns0:c>
      <ns0:c r="E25" s="33"/>
      <ns0:c r="F25" s="33"/>
      <ns0:c r="G25" s="33" t="str">
        <ns0:v>30 В (VRRM/VR, см. даташит)</ns0:v>
      </ns0:c>
      <ns0:c r="H25" s="35" t="str">
        <ns0:v>SOT-23</ns0:v>
      </ns0:c>
      <ns0:c r="I25" s="33" t="str">
        <ns0:v>Nexperia</ns0:v>
      </ns0:c>
      <ns0:c r="J25" s="33" t="str">
        <ns0:v>BAT54</ns0:v>
      </ns0:c>
      <ns0:c r="K25" s="34" t="str">
        <ns0:f>B25&amp;" "&amp;J25</ns0:f>
        <ns0:v>Диод Шоттки BAT54</ns0:v>
      </ns0:c>
      <ns0:c r="L25" s="36" t="str">
        <ns0:v>Schottky_1A3C</ns0:v>
      </ns0:c>
      <ns0:c r="M25" s="36" t="str">
        <ns0:v>Symbols\MY_LIB_Semiconductors.SchLib</ns0:v>
      </ns0:c>
      <ns0:c r="N25" s="36" t="str">
        <ns0:v>SOT23-3</ns0:v>
      </ns0:c>
      <ns0:c r="O25" s="36" t="str">
        <ns0:v>Footprints\PBL - SMD Packages.PcbLib</ns0:v>
      </ns0:c>
      <ns0:c r="P25" s="33" t="str">
        <ns0:v>Для сдвоенных диодов учитывать суммарную мощность корпуса и условия одновременной проводимости.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5" s="33"/>
      <ns0:c r="R25" s="34" t="str">
        <ns0:f>D25</ns0:f>
        <ns0:v>BAT54</ns0:v>
      </ns0:c>
      <ns0:c r="S25" s="34" t="str">
        <ns0:f>K25</ns0:f>
        <ns0:v>Диод Шоттки BAT54</ns0:v>
      </ns0:c>
      <ns0:c r="T25" s="33" t="str">
        <ns0:v>C:\Users\Nomatin\Documents\Altium\MY_LIB\MY_LIB\Datasheets\Diodes\BAT54_series_Nexperia.pdf</ns0:v>
      </ns0:c>
      <ns0:c r="U25" s="33" t="str">
        <ns0:v>Rev. 5, 05-Oct-2012; local archived family sheet</ns0:v>
      </ns0:c>
      <ns0:c r="V25" s="33" t="str">
        <ns0:v>Даташит — локальный</ns0:v>
      </ns0:c>
      <ns0:c r="W25" s="33" t="str">
        <ns0:v>C:\Users\Nomatin\Documents\Altium\MY_LIB\MY_LIB\Datasheets\Diodes\BAT54_series_Nexperia.pdf</ns0:v>
      </ns0:c>
      <ns0:c r="X25" s="33" t="str">
        <ns0:v>Даташит — производитель</ns0:v>
      </ns0:c>
      <ns0:c r="Y25" s="33" t="str">
        <ns0:v>https://assets.nexperia.com/documents/data-sheet/BAT54.pdf</ns0:v>
      </ns0:c>
      <ns0:c r="Z25" s="33" t="str">
        <ns0:v>C:\Users\Nomatin\Documents\Altium\MY_LIB\MY_LIB\Datasheets\Diodes\BAT54_series_Nexperia.pdf</ns0:v>
      </ns0:c>
      <ns0:c r="AA25" s="33" t="str">
        <ns0:v>BAT54 / A / C / S</ns0:v>
      </ns0:c>
      <ns0:c r="AB25" s="33" t="str">
        <ns0:v>Одиночный</ns0:v>
      </ns0:c>
      <ns0:c r="AC25" s="33" t="str">
        <ns0:v>1=A; 2=NC; 3=K</ns0:v>
      </ns0:c>
      <ns0:c r="AD25" s="33"/>
      <ns0:c r="AE25" s="33" t="n">
        <ns0:v>30</ns0:v>
      </ns0:c>
      <ns0:c r="AF25" s="33"/>
      <ns0:c r="AG25" s="33"/>
      <ns0:c r="AH25" s="33"/>
      <ns0:c r="AI25" s="33"/>
      <ns0:c r="AJ25" s="33"/>
    </ns0:row>
    <ns0:row r="26" ht="60" customHeight="1">
      <ns0:c r="A26" s="33" t="str">
        <ns0:v>VD0025</ns0:v>
      </ns0:c>
      <ns0:c r="B26" s="33" t="str">
        <ns0:v>Диод Шоттки</ns0:v>
      </ns0:c>
      <ns0:c r="C26" s="33" t="str">
        <ns0:v>BAT54A</ns0:v>
      </ns0:c>
      <ns0:c r="D26" s="34" t="str">
        <ns0:f>C26</ns0:f>
        <ns0:v>BAT54A</ns0:v>
      </ns0:c>
      <ns0:c r="E26" s="33"/>
      <ns0:c r="F26" s="33"/>
      <ns0:c r="G26" s="33" t="str">
        <ns0:v>30 В (VRRM/VR, см. даташит)</ns0:v>
      </ns0:c>
      <ns0:c r="H26" s="35" t="str">
        <ns0:v>SOT-23</ns0:v>
      </ns0:c>
      <ns0:c r="I26" s="33" t="str">
        <ns0:v>Nexperia</ns0:v>
      </ns0:c>
      <ns0:c r="J26" s="33" t="str">
        <ns0:v>BAT54A</ns0:v>
      </ns0:c>
      <ns0:c r="K26" s="34" t="str">
        <ns0:f>B26&amp;" "&amp;J26</ns0:f>
        <ns0:v>Диод Шоттки BAT54A</ns0:v>
      </ns0:c>
      <ns0:c r="L26" s="36" t="str">
        <ns0:v>Schottky_CA_123</ns0:v>
      </ns0:c>
      <ns0:c r="M26" s="36" t="str">
        <ns0:v>Symbols\MY_LIB_Semiconductors.SchLib</ns0:v>
      </ns0:c>
      <ns0:c r="N26" s="36" t="str">
        <ns0:v>SOT23-3</ns0:v>
      </ns0:c>
      <ns0:c r="O26" s="36" t="str">
        <ns0:v>Footprints\PBL - SMD Packages.PcbLib</ns0:v>
      </ns0:c>
      <ns0:c xmlns:ns0="http://schemas.openxmlformats.org/spreadsheetml/2006/main" r="P26" s="33" t="str">
        <ns0:v>Для сдвоенных диодов учитывать суммарную мощность корпуса и условия одновременной проводимости. Базовое обозначение изделия; суффикс упаковки/покрытия уточняется при заказе. Единое УГО: два диода и внутреннее соединение показаны графически, три внешних вывода. Существующий футпринт и типовая 3D-модель библиотеки; не точный рекомендованный land pattern производителя.</ns0:v>
      </ns0:c>
      <ns0:c r="Q26" s="33"/>
      <ns0:c r="R26" s="34" t="str">
        <ns0:f>D26</ns0:f>
        <ns0:v>BAT54A</ns0:v>
      </ns0:c>
      <ns0:c r="S26" s="34" t="str">
        <ns0:f>K26</ns0:f>
        <ns0:v>Диод Шоттки BAT54A</ns0:v>
      </ns0:c>
      <ns0:c r="T26" s="33" t="str">
        <ns0:v>C:\Users\Nomatin\Documents\Altium\MY_LIB\MY_LIB\Datasheets\Diodes\BAT54_series_Nexperia.pdf</ns0:v>
      </ns0:c>
      <ns0:c r="U26" s="33" t="str">
        <ns0:v>Rev. 5, 05-Oct-2012; local archived family sheet</ns0:v>
      </ns0:c>
      <ns0:c r="V26" s="33" t="str">
        <ns0:v>Даташит — локальный</ns0:v>
      </ns0:c>
      <ns0:c r="W26" s="33" t="str">
        <ns0:v>C:\Users\Nomatin\Documents\Altium\MY_LIB\MY_LIB\Datasheets\Diodes\BAT54_series_Nexperia.pdf</ns0:v>
      </ns0:c>
      <ns0:c r="X26" s="33" t="str">
        <ns0:v>Даташит — производитель</ns0:v>
      </ns0:c>
      <ns0:c r="Y26" s="33" t="str">
        <ns0:v>https://assets.nexperia.com/documents/data-sheet/BAT54A.pdf</ns0:v>
      </ns0:c>
      <ns0:c r="Z26" s="33" t="str">
        <ns0:v>C:\Users\Nomatin\Documents\Altium\MY_LIB\MY_LIB\Datasheets\Diodes\BAT54_series_Nexperia.pdf</ns0:v>
      </ns0:c>
      <ns0:c r="AA26" s="33" t="str">
        <ns0:v>BAT54 / A / C / S</ns0:v>
      </ns0:c>
      <ns0:c r="AB26" s="33" t="str">
        <ns0:v>Сдвоенный, общий анод</ns0:v>
      </ns0:c>
      <ns0:c r="AC26" s="33" t="str">
        <ns0:v>1=K1; 2=K2; 3=A1/A2</ns0:v>
      </ns0:c>
      <ns0:c r="AD26" s="33"/>
      <ns0:c r="AE26" s="33" t="n">
        <ns0:v>30</ns0:v>
      </ns0:c>
      <ns0:c r="AF26" s="33"/>
      <ns0:c r="AG26" s="33"/>
      <ns0:c r="AH26" s="33"/>
      <ns0:c r="AI26" s="33"/>
      <ns0:c r="AJ26" s="33"/>
    </ns0:row>
    <ns0:row r="27" ht="60" customHeight="1">
      <ns0:c r="A27" s="33" t="str">
        <ns0:v>VD0026</ns0:v>
      </ns0:c>
      <ns0:c r="B27" s="33" t="str">
        <ns0:v>Диод Шоттки</ns0:v>
      </ns0:c>
      <ns0:c r="C27" s="33" t="str">
        <ns0:v>BAT54C</ns0:v>
      </ns0:c>
      <ns0:c r="D27" s="34" t="str">
        <ns0:f>C27</ns0:f>
        <ns0:v>BAT54C</ns0:v>
      </ns0:c>
      <ns0:c r="E27" s="33"/>
      <ns0:c r="F27" s="33"/>
      <ns0:c r="G27" s="33" t="str">
        <ns0:v>30 В (VRRM/VR, см. даташит)</ns0:v>
      </ns0:c>
      <ns0:c r="H27" s="35" t="str">
        <ns0:v>SOT-23</ns0:v>
      </ns0:c>
      <ns0:c r="I27" s="33" t="str">
        <ns0:v>Nexperia</ns0:v>
      </ns0:c>
      <ns0:c r="J27" s="33" t="str">
        <ns0:v>BAT54C</ns0:v>
      </ns0:c>
      <ns0:c r="K27" s="34" t="str">
        <ns0:f>B27&amp;" "&amp;J27</ns0:f>
        <ns0:v>Диод Шоттки BAT54C</ns0:v>
      </ns0:c>
      <ns0:c r="L27" s="36" t="str">
        <ns0:v>Schottky_CC_123</ns0:v>
      </ns0:c>
      <ns0:c r="M27" s="36" t="str">
        <ns0:v>Symbols\MY_LIB_Semiconductors.SchLib</ns0:v>
      </ns0:c>
      <ns0:c r="N27" s="36" t="str">
        <ns0:v>SOT23-3</ns0:v>
      </ns0:c>
      <ns0:c r="O27" s="36" t="str">
        <ns0:v>Footprints\PBL - SMD Packages.PcbLib</ns0:v>
      </ns0:c>
      <ns0:c xmlns:ns0="http://schemas.openxmlformats.org/spreadsheetml/2006/main" r="P27" s="33" t="str">
        <ns0:v>Для сдвоенных диодов учитывать суммарную мощность корпуса и условия одновременной проводимости. Базовое обозначение изделия; суффикс упаковки/покрытия уточняется при заказе. Единое УГО: два диода и внутреннее соединение показаны графически, три внешних вывода. Существующий футпринт и типовая 3D-модель библиотеки; не точный рекомендованный land pattern производителя.</ns0:v>
      </ns0:c>
      <ns0:c r="Q27" s="33"/>
      <ns0:c r="R27" s="34" t="str">
        <ns0:f>D27</ns0:f>
        <ns0:v>BAT54C</ns0:v>
      </ns0:c>
      <ns0:c r="S27" s="34" t="str">
        <ns0:f>K27</ns0:f>
        <ns0:v>Диод Шоттки BAT54C</ns0:v>
      </ns0:c>
      <ns0:c r="T27" s="33" t="str">
        <ns0:v>C:\Users\Nomatin\Documents\Altium\MY_LIB\MY_LIB\Datasheets\Diodes\BAT54_series_Nexperia.pdf</ns0:v>
      </ns0:c>
      <ns0:c r="U27" s="33" t="str">
        <ns0:v>Rev. 5, 05-Oct-2012; local archived family sheet</ns0:v>
      </ns0:c>
      <ns0:c r="V27" s="33" t="str">
        <ns0:v>Даташит — локальный</ns0:v>
      </ns0:c>
      <ns0:c r="W27" s="33" t="str">
        <ns0:v>C:\Users\Nomatin\Documents\Altium\MY_LIB\MY_LIB\Datasheets\Diodes\BAT54_series_Nexperia.pdf</ns0:v>
      </ns0:c>
      <ns0:c r="X27" s="33" t="str">
        <ns0:v>Даташит — производитель</ns0:v>
      </ns0:c>
      <ns0:c r="Y27" s="33" t="str">
        <ns0:v>https://assets.nexperia.com/documents/data-sheet/BAT54C.pdf</ns0:v>
      </ns0:c>
      <ns0:c r="Z27" s="33" t="str">
        <ns0:v>C:\Users\Nomatin\Documents\Altium\MY_LIB\MY_LIB\Datasheets\Diodes\BAT54_series_Nexperia.pdf</ns0:v>
      </ns0:c>
      <ns0:c r="AA27" s="33" t="str">
        <ns0:v>BAT54 / A / C / S</ns0:v>
      </ns0:c>
      <ns0:c r="AB27" s="33" t="str">
        <ns0:v>Сдвоенный, общий катод</ns0:v>
      </ns0:c>
      <ns0:c r="AC27" s="33" t="str">
        <ns0:v>1=A1; 2=A2; 3=K1/K2</ns0:v>
      </ns0:c>
      <ns0:c r="AD27" s="33"/>
      <ns0:c r="AE27" s="33" t="n">
        <ns0:v>30</ns0:v>
      </ns0:c>
      <ns0:c r="AF27" s="33"/>
      <ns0:c r="AG27" s="33"/>
      <ns0:c r="AH27" s="33"/>
      <ns0:c r="AI27" s="33"/>
      <ns0:c r="AJ27" s="33"/>
    </ns0:row>
    <ns0:row r="28" ht="60" customHeight="1">
      <ns0:c r="A28" s="33" t="str">
        <ns0:v>VD0027</ns0:v>
      </ns0:c>
      <ns0:c r="B28" s="33" t="str">
        <ns0:v>Диод Шоттки</ns0:v>
      </ns0:c>
      <ns0:c r="C28" s="33" t="str">
        <ns0:v>BAT54S</ns0:v>
      </ns0:c>
      <ns0:c r="D28" s="34" t="str">
        <ns0:f>C28</ns0:f>
        <ns0:v>BAT54S</ns0:v>
      </ns0:c>
      <ns0:c r="E28" s="33"/>
      <ns0:c r="F28" s="33"/>
      <ns0:c r="G28" s="33" t="str">
        <ns0:v>30 В (VRRM/VR, см. даташит)</ns0:v>
      </ns0:c>
      <ns0:c r="H28" s="35" t="str">
        <ns0:v>SOT-23</ns0:v>
      </ns0:c>
      <ns0:c r="I28" s="33" t="str">
        <ns0:v>Nexperia</ns0:v>
      </ns0:c>
      <ns0:c r="J28" s="33" t="str">
        <ns0:v>BAT54S</ns0:v>
      </ns0:c>
      <ns0:c r="K28" s="34" t="str">
        <ns0:f>B28&amp;" "&amp;J28</ns0:f>
        <ns0:v>Диод Шоттки BAT54S</ns0:v>
      </ns0:c>
      <ns0:c r="L28" s="36" t="str">
        <ns0:v>Schottky_Series_132</ns0:v>
      </ns0:c>
      <ns0:c r="M28" s="36" t="str">
        <ns0:v>Symbols\MY_LIB_Semiconductors.SchLib</ns0:v>
      </ns0:c>
      <ns0:c r="N28" s="36" t="str">
        <ns0:v>SOT23-3</ns0:v>
      </ns0:c>
      <ns0:c r="O28" s="36" t="str">
        <ns0:v>Footprints\PBL - SMD Packages.PcbLib</ns0:v>
      </ns0:c>
      <ns0:c xmlns:ns0="http://schemas.openxmlformats.org/spreadsheetml/2006/main" r="P28" s="33" t="str">
        <ns0:v>Для сдвоенных диодов учитывать суммарную мощность корпуса и условия одновременной проводимости. Базовое обозначение изделия; суффикс упаковки/покрытия уточняется при заказе. Единое УГО: два диода и внутреннее соединение показаны графически, три внешних вывода. Существующий футпринт и типовая 3D-модель библиотеки; не точный рекомендованный land pattern производителя.</ns0:v>
      </ns0:c>
      <ns0:c r="Q28" s="33"/>
      <ns0:c r="R28" s="34" t="str">
        <ns0:f>D28</ns0:f>
        <ns0:v>BAT54S</ns0:v>
      </ns0:c>
      <ns0:c r="S28" s="34" t="str">
        <ns0:f>K28</ns0:f>
        <ns0:v>Диод Шоттки BAT54S</ns0:v>
      </ns0:c>
      <ns0:c r="T28" s="33" t="str">
        <ns0:v>C:\Users\Nomatin\Documents\Altium\MY_LIB\MY_LIB\Datasheets\Diodes\BAT54_series_Nexperia.pdf</ns0:v>
      </ns0:c>
      <ns0:c r="U28" s="33" t="str">
        <ns0:v>Rev. 5, 05-Oct-2012; local archived family sheet</ns0:v>
      </ns0:c>
      <ns0:c r="V28" s="33" t="str">
        <ns0:v>Даташит — локальный</ns0:v>
      </ns0:c>
      <ns0:c r="W28" s="33" t="str">
        <ns0:v>C:\Users\Nomatin\Documents\Altium\MY_LIB\MY_LIB\Datasheets\Diodes\BAT54_series_Nexperia.pdf</ns0:v>
      </ns0:c>
      <ns0:c r="X28" s="33" t="str">
        <ns0:v>Даташит — производитель</ns0:v>
      </ns0:c>
      <ns0:c r="Y28" s="33" t="str">
        <ns0:v>https://assets.nexperia.com/documents/data-sheet/BAT54S.pdf</ns0:v>
      </ns0:c>
      <ns0:c r="Z28" s="33" t="str">
        <ns0:v>C:\Users\Nomatin\Documents\Altium\MY_LIB\MY_LIB\Datasheets\Diodes\BAT54_series_Nexperia.pdf</ns0:v>
      </ns0:c>
      <ns0:c r="AA28" s="33" t="str">
        <ns0:v>BAT54 / A / C / S</ns0:v>
      </ns0:c>
      <ns0:c r="AB28" s="33" t="str">
        <ns0:v>Два диода последовательно</ns0:v>
      </ns0:c>
      <ns0:c r="AC28" s="33" t="str">
        <ns0:v>1=A1; 2=K2; 3=K1/A2</ns0:v>
      </ns0:c>
      <ns0:c r="AD28" s="33"/>
      <ns0:c r="AE28" s="33" t="n">
        <ns0:v>30</ns0:v>
      </ns0:c>
      <ns0:c r="AF28" s="33"/>
      <ns0:c r="AG28" s="33"/>
      <ns0:c r="AH28" s="33"/>
      <ns0:c r="AI28" s="33"/>
      <ns0:c r="AJ28" s="33"/>
    </ns0:row>
    <ns0:row r="29" ht="60" customHeight="1">
      <ns0:c r="A29" s="33" t="str">
        <ns0:v>VD0028</ns0:v>
      </ns0:c>
      <ns0:c r="B29" s="33" t="str">
        <ns0:v>Диод Шоттки</ns0:v>
      </ns0:c>
      <ns0:c r="C29" s="33" t="str">
        <ns0:v>SS12A</ns0:v>
      </ns0:c>
      <ns0:c r="D29" s="34" t="str">
        <ns0:f>C29</ns0:f>
        <ns0:v>SS12A</ns0:v>
      </ns0:c>
      <ns0:c r="E29" s="33"/>
      <ns0:c r="F29" s="33"/>
      <ns0:c r="G29" s="33" t="str">
        <ns0:v>20 В (VRRM/VR, см. даташит)</ns0:v>
      </ns0:c>
      <ns0:c r="H29" s="35" t="str">
        <ns0:v>SMA / DO-214AC</ns0:v>
      </ns0:c>
      <ns0:c r="I29" s="33" t="str">
        <ns0:v>Yangjie</ns0:v>
      </ns0:c>
      <ns0:c r="J29" s="33" t="str">
        <ns0:v>SS12A</ns0:v>
      </ns0:c>
      <ns0:c r="K29" s="34" t="str">
        <ns0:f>B29&amp;" "&amp;J29</ns0:f>
        <ns0:v>Диод Шоттки SS12A</ns0:v>
      </ns0:c>
      <ns0:c r="L29" s="36" t="str">
        <ns0:v>Schottky_AK</ns0:v>
      </ns0:c>
      <ns0:c r="M29" s="36" t="str">
        <ns0:v>Symbols\MY_LIB_Semiconductors.SchLib</ns0:v>
      </ns0:c>
      <ns0:c r="N29" s="36" t="str">
        <ns0:v>SMA_Yangjie</ns0:v>
      </ns0:c>
      <ns0:c r="O29" s="36" t="str">
        <ns0:v>Footprints\PBL - SMD Packages.PcbLib</ns0:v>
      </ns0:c>
      <ns0:c r="P29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29" s="33"/>
      <ns0:c r="R29" s="34" t="str">
        <ns0:f>D29</ns0:f>
        <ns0:v>SS12A</ns0:v>
      </ns0:c>
      <ns0:c r="S29" s="34" t="str">
        <ns0:f>K29</ns0:f>
        <ns0:v>Диод Шоттки SS12A</ns0:v>
      </ns0:c>
      <ns0:c r="T29" s="33" t="str">
        <ns0:v>C:\Users\Nomatin\Documents\Altium\MY_LIB\MY_LIB\Datasheets\Diodes\SS12A_SS120A_Yangjie.pdf</ns0:v>
      </ns0:c>
      <ns0:c r="U29" s="33" t="str">
        <ns0:v>Rev. 2.8, 19-Sep-2022</ns0:v>
      </ns0:c>
      <ns0:c r="V29" s="33" t="str">
        <ns0:v>Даташит — локальный</ns0:v>
      </ns0:c>
      <ns0:c r="W29" s="33" t="str">
        <ns0:v>C:\Users\Nomatin\Documents\Altium\MY_LIB\MY_LIB\Datasheets\Diodes\SS12A_SS120A_Yangjie.pdf</ns0:v>
      </ns0:c>
      <ns0:c r="X29" s="33" t="str">
        <ns0:v>Даташит — производитель</ns0:v>
      </ns0:c>
      <ns0:c r="Y29" s="33" t="str">
        <ns0:v>https://www.21yangjie.com/pdf/zlqj/xtjejg/SS12A%20THRU%20SS120A.pdf</ns0:v>
      </ns0:c>
      <ns0:c r="Z29" s="33" t="str">
        <ns0:v>C:\Users\Nomatin\Documents\Altium\MY_LIB\MY_LIB\Datasheets\Diodes\SS12A_SS120A_Yangjie.pdf</ns0:v>
      </ns0:c>
      <ns0:c r="AA29" s="33" t="str">
        <ns0:v>SS12A–SS120A</ns0:v>
      </ns0:c>
      <ns0:c r="AB29" s="33" t="str">
        <ns0:v>Одиночный</ns0:v>
      </ns0:c>
      <ns0:c r="AC29" s="33" t="str">
        <ns0:v>A=A; K=C</ns0:v>
      </ns0:c>
      <ns0:c r="AD29" s="33" t="n">
        <ns0:v>1</ns0:v>
      </ns0:c>
      <ns0:c r="AE29" s="33" t="n">
        <ns0:v>20</ns0:v>
      </ns0:c>
      <ns0:c r="AF29" s="33"/>
      <ns0:c r="AG29" s="33"/>
      <ns0:c r="AH29" s="33"/>
      <ns0:c r="AI29" s="33"/>
      <ns0:c r="AJ29" s="33"/>
    </ns0:row>
    <ns0:row r="30" ht="60" customHeight="1">
      <ns0:c r="A30" s="33" t="str">
        <ns0:v>VD0029</ns0:v>
      </ns0:c>
      <ns0:c r="B30" s="33" t="str">
        <ns0:v>Диод Шоттки</ns0:v>
      </ns0:c>
      <ns0:c r="C30" s="33" t="str">
        <ns0:v>SS13A</ns0:v>
      </ns0:c>
      <ns0:c r="D30" s="34" t="str">
        <ns0:f>C30</ns0:f>
        <ns0:v>SS13A</ns0:v>
      </ns0:c>
      <ns0:c r="E30" s="33"/>
      <ns0:c r="F30" s="33"/>
      <ns0:c r="G30" s="33" t="str">
        <ns0:v>30 В (VRRM/VR, см. даташит)</ns0:v>
      </ns0:c>
      <ns0:c r="H30" s="35" t="str">
        <ns0:v>SMA / DO-214AC</ns0:v>
      </ns0:c>
      <ns0:c r="I30" s="33" t="str">
        <ns0:v>Yangjie</ns0:v>
      </ns0:c>
      <ns0:c r="J30" s="33" t="str">
        <ns0:v>SS13A</ns0:v>
      </ns0:c>
      <ns0:c r="K30" s="34" t="str">
        <ns0:f>B30&amp;" "&amp;J30</ns0:f>
        <ns0:v>Диод Шоттки SS13A</ns0:v>
      </ns0:c>
      <ns0:c r="L30" s="36" t="str">
        <ns0:v>Schottky_AK</ns0:v>
      </ns0:c>
      <ns0:c r="M30" s="36" t="str">
        <ns0:v>Symbols\MY_LIB_Semiconductors.SchLib</ns0:v>
      </ns0:c>
      <ns0:c r="N30" s="36" t="str">
        <ns0:v>SMA_Yangjie</ns0:v>
      </ns0:c>
      <ns0:c r="O30" s="36" t="str">
        <ns0:v>Footprints\PBL - SMD Packages.PcbLib</ns0:v>
      </ns0:c>
      <ns0:c r="P30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0" s="33"/>
      <ns0:c r="R30" s="34" t="str">
        <ns0:f>D30</ns0:f>
        <ns0:v>SS13A</ns0:v>
      </ns0:c>
      <ns0:c r="S30" s="34" t="str">
        <ns0:f>K30</ns0:f>
        <ns0:v>Диод Шоттки SS13A</ns0:v>
      </ns0:c>
      <ns0:c r="T30" s="33" t="str">
        <ns0:v>C:\Users\Nomatin\Documents\Altium\MY_LIB\MY_LIB\Datasheets\Diodes\SS12A_SS120A_Yangjie.pdf</ns0:v>
      </ns0:c>
      <ns0:c r="U30" s="33" t="str">
        <ns0:v>Rev. 2.8, 19-Sep-2022</ns0:v>
      </ns0:c>
      <ns0:c r="V30" s="33" t="str">
        <ns0:v>Даташит — локальный</ns0:v>
      </ns0:c>
      <ns0:c r="W30" s="33" t="str">
        <ns0:v>C:\Users\Nomatin\Documents\Altium\MY_LIB\MY_LIB\Datasheets\Diodes\SS12A_SS120A_Yangjie.pdf</ns0:v>
      </ns0:c>
      <ns0:c r="X30" s="33" t="str">
        <ns0:v>Даташит — производитель</ns0:v>
      </ns0:c>
      <ns0:c r="Y30" s="33" t="str">
        <ns0:v>https://www.21yangjie.com/pdf/zlqj/xtjejg/SS12A%20THRU%20SS120A.pdf</ns0:v>
      </ns0:c>
      <ns0:c r="Z30" s="33" t="str">
        <ns0:v>C:\Users\Nomatin\Documents\Altium\MY_LIB\MY_LIB\Datasheets\Diodes\SS12A_SS120A_Yangjie.pdf</ns0:v>
      </ns0:c>
      <ns0:c r="AA30" s="33" t="str">
        <ns0:v>SS12A–SS120A</ns0:v>
      </ns0:c>
      <ns0:c r="AB30" s="33" t="str">
        <ns0:v>Одиночный</ns0:v>
      </ns0:c>
      <ns0:c r="AC30" s="33" t="str">
        <ns0:v>A=A; K=C</ns0:v>
      </ns0:c>
      <ns0:c r="AD30" s="33" t="n">
        <ns0:v>1</ns0:v>
      </ns0:c>
      <ns0:c r="AE30" s="33" t="n">
        <ns0:v>30</ns0:v>
      </ns0:c>
      <ns0:c r="AF30" s="33"/>
      <ns0:c r="AG30" s="33"/>
      <ns0:c r="AH30" s="33"/>
      <ns0:c r="AI30" s="33"/>
      <ns0:c r="AJ30" s="33"/>
    </ns0:row>
    <ns0:row r="31" ht="60" customHeight="1">
      <ns0:c r="A31" s="33" t="str">
        <ns0:v>VD0030</ns0:v>
      </ns0:c>
      <ns0:c r="B31" s="33" t="str">
        <ns0:v>Диод Шоттки</ns0:v>
      </ns0:c>
      <ns0:c r="C31" s="33" t="str">
        <ns0:v>SS14A</ns0:v>
      </ns0:c>
      <ns0:c r="D31" s="34" t="str">
        <ns0:f>C31</ns0:f>
        <ns0:v>SS14A</ns0:v>
      </ns0:c>
      <ns0:c r="E31" s="33"/>
      <ns0:c r="F31" s="33"/>
      <ns0:c r="G31" s="33" t="str">
        <ns0:v>40 В (VRRM/VR, см. даташит)</ns0:v>
      </ns0:c>
      <ns0:c r="H31" s="35" t="str">
        <ns0:v>SMA / DO-214AC</ns0:v>
      </ns0:c>
      <ns0:c r="I31" s="33" t="str">
        <ns0:v>Yangjie</ns0:v>
      </ns0:c>
      <ns0:c r="J31" s="33" t="str">
        <ns0:v>SS14A</ns0:v>
      </ns0:c>
      <ns0:c r="K31" s="34" t="str">
        <ns0:f>B31&amp;" "&amp;J31</ns0:f>
        <ns0:v>Диод Шоттки SS14A</ns0:v>
      </ns0:c>
      <ns0:c r="L31" s="36" t="str">
        <ns0:v>Schottky_AK</ns0:v>
      </ns0:c>
      <ns0:c r="M31" s="36" t="str">
        <ns0:v>Symbols\MY_LIB_Semiconductors.SchLib</ns0:v>
      </ns0:c>
      <ns0:c r="N31" s="36" t="str">
        <ns0:v>SMA_Yangjie</ns0:v>
      </ns0:c>
      <ns0:c r="O31" s="36" t="str">
        <ns0:v>Footprints\PBL - SMD Packages.PcbLib</ns0:v>
      </ns0:c>
      <ns0:c r="P31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1" s="33"/>
      <ns0:c r="R31" s="34" t="str">
        <ns0:f>D31</ns0:f>
        <ns0:v>SS14A</ns0:v>
      </ns0:c>
      <ns0:c r="S31" s="34" t="str">
        <ns0:f>K31</ns0:f>
        <ns0:v>Диод Шоттки SS14A</ns0:v>
      </ns0:c>
      <ns0:c r="T31" s="33" t="str">
        <ns0:v>C:\Users\Nomatin\Documents\Altium\MY_LIB\MY_LIB\Datasheets\Diodes\SS12A_SS120A_Yangjie.pdf</ns0:v>
      </ns0:c>
      <ns0:c r="U31" s="33" t="str">
        <ns0:v>Rev. 2.8, 19-Sep-2022</ns0:v>
      </ns0:c>
      <ns0:c r="V31" s="33" t="str">
        <ns0:v>Даташит — локальный</ns0:v>
      </ns0:c>
      <ns0:c r="W31" s="33" t="str">
        <ns0:v>C:\Users\Nomatin\Documents\Altium\MY_LIB\MY_LIB\Datasheets\Diodes\SS12A_SS120A_Yangjie.pdf</ns0:v>
      </ns0:c>
      <ns0:c r="X31" s="33" t="str">
        <ns0:v>Даташит — производитель</ns0:v>
      </ns0:c>
      <ns0:c r="Y31" s="33" t="str">
        <ns0:v>https://www.21yangjie.com/pdf/zlqj/xtjejg/SS12A%20THRU%20SS120A.pdf</ns0:v>
      </ns0:c>
      <ns0:c r="Z31" s="33" t="str">
        <ns0:v>C:\Users\Nomatin\Documents\Altium\MY_LIB\MY_LIB\Datasheets\Diodes\SS12A_SS120A_Yangjie.pdf</ns0:v>
      </ns0:c>
      <ns0:c r="AA31" s="33" t="str">
        <ns0:v>SS12A–SS120A</ns0:v>
      </ns0:c>
      <ns0:c r="AB31" s="33" t="str">
        <ns0:v>Одиночный</ns0:v>
      </ns0:c>
      <ns0:c r="AC31" s="33" t="str">
        <ns0:v>A=A; K=C</ns0:v>
      </ns0:c>
      <ns0:c r="AD31" s="33" t="n">
        <ns0:v>1</ns0:v>
      </ns0:c>
      <ns0:c r="AE31" s="33" t="n">
        <ns0:v>40</ns0:v>
      </ns0:c>
      <ns0:c r="AF31" s="33"/>
      <ns0:c r="AG31" s="33"/>
      <ns0:c r="AH31" s="33"/>
      <ns0:c r="AI31" s="33"/>
      <ns0:c r="AJ31" s="33"/>
    </ns0:row>
    <ns0:row r="32" ht="60" customHeight="1">
      <ns0:c r="A32" s="33" t="str">
        <ns0:v>VD0031</ns0:v>
      </ns0:c>
      <ns0:c r="B32" s="33" t="str">
        <ns0:v>Диод Шоттки</ns0:v>
      </ns0:c>
      <ns0:c r="C32" s="33" t="str">
        <ns0:v>SS15A</ns0:v>
      </ns0:c>
      <ns0:c r="D32" s="34" t="str">
        <ns0:f>C32</ns0:f>
        <ns0:v>SS15A</ns0:v>
      </ns0:c>
      <ns0:c r="E32" s="33"/>
      <ns0:c r="F32" s="33"/>
      <ns0:c r="G32" s="33" t="str">
        <ns0:v>50 В (VRRM/VR, см. даташит)</ns0:v>
      </ns0:c>
      <ns0:c r="H32" s="35" t="str">
        <ns0:v>SMA / DO-214AC</ns0:v>
      </ns0:c>
      <ns0:c r="I32" s="33" t="str">
        <ns0:v>Yangjie</ns0:v>
      </ns0:c>
      <ns0:c r="J32" s="33" t="str">
        <ns0:v>SS15A</ns0:v>
      </ns0:c>
      <ns0:c r="K32" s="34" t="str">
        <ns0:f>B32&amp;" "&amp;J32</ns0:f>
        <ns0:v>Диод Шоттки SS15A</ns0:v>
      </ns0:c>
      <ns0:c r="L32" s="36" t="str">
        <ns0:v>Schottky_AK</ns0:v>
      </ns0:c>
      <ns0:c r="M32" s="36" t="str">
        <ns0:v>Symbols\MY_LIB_Semiconductors.SchLib</ns0:v>
      </ns0:c>
      <ns0:c r="N32" s="36" t="str">
        <ns0:v>SMA_Yangjie</ns0:v>
      </ns0:c>
      <ns0:c r="O32" s="36" t="str">
        <ns0:v>Footprints\PBL - SMD Packages.PcbLib</ns0:v>
      </ns0:c>
      <ns0:c r="P32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2" s="33"/>
      <ns0:c r="R32" s="34" t="str">
        <ns0:f>D32</ns0:f>
        <ns0:v>SS15A</ns0:v>
      </ns0:c>
      <ns0:c r="S32" s="34" t="str">
        <ns0:f>K32</ns0:f>
        <ns0:v>Диод Шоттки SS15A</ns0:v>
      </ns0:c>
      <ns0:c r="T32" s="33" t="str">
        <ns0:v>C:\Users\Nomatin\Documents\Altium\MY_LIB\MY_LIB\Datasheets\Diodes\SS12A_SS120A_Yangjie.pdf</ns0:v>
      </ns0:c>
      <ns0:c r="U32" s="33" t="str">
        <ns0:v>Rev. 2.8, 19-Sep-2022</ns0:v>
      </ns0:c>
      <ns0:c r="V32" s="33" t="str">
        <ns0:v>Даташит — локальный</ns0:v>
      </ns0:c>
      <ns0:c r="W32" s="33" t="str">
        <ns0:v>C:\Users\Nomatin\Documents\Altium\MY_LIB\MY_LIB\Datasheets\Diodes\SS12A_SS120A_Yangjie.pdf</ns0:v>
      </ns0:c>
      <ns0:c r="X32" s="33" t="str">
        <ns0:v>Даташит — производитель</ns0:v>
      </ns0:c>
      <ns0:c r="Y32" s="33" t="str">
        <ns0:v>https://www.21yangjie.com/pdf/zlqj/xtjejg/SS12A%20THRU%20SS120A.pdf</ns0:v>
      </ns0:c>
      <ns0:c r="Z32" s="33" t="str">
        <ns0:v>C:\Users\Nomatin\Documents\Altium\MY_LIB\MY_LIB\Datasheets\Diodes\SS12A_SS120A_Yangjie.pdf</ns0:v>
      </ns0:c>
      <ns0:c r="AA32" s="33" t="str">
        <ns0:v>SS12A–SS120A</ns0:v>
      </ns0:c>
      <ns0:c r="AB32" s="33" t="str">
        <ns0:v>Одиночный</ns0:v>
      </ns0:c>
      <ns0:c r="AC32" s="33" t="str">
        <ns0:v>A=A; K=C</ns0:v>
      </ns0:c>
      <ns0:c r="AD32" s="33" t="n">
        <ns0:v>1</ns0:v>
      </ns0:c>
      <ns0:c r="AE32" s="33" t="n">
        <ns0:v>50</ns0:v>
      </ns0:c>
      <ns0:c r="AF32" s="33"/>
      <ns0:c r="AG32" s="33"/>
      <ns0:c r="AH32" s="33"/>
      <ns0:c r="AI32" s="33"/>
      <ns0:c r="AJ32" s="33"/>
    </ns0:row>
    <ns0:row r="33" ht="60" customHeight="1">
      <ns0:c r="A33" s="33" t="str">
        <ns0:v>VD0032</ns0:v>
      </ns0:c>
      <ns0:c r="B33" s="33" t="str">
        <ns0:v>Диод Шоттки</ns0:v>
      </ns0:c>
      <ns0:c r="C33" s="33" t="str">
        <ns0:v>SS16A</ns0:v>
      </ns0:c>
      <ns0:c r="D33" s="34" t="str">
        <ns0:f>C33</ns0:f>
        <ns0:v>SS16A</ns0:v>
      </ns0:c>
      <ns0:c r="E33" s="33"/>
      <ns0:c r="F33" s="33"/>
      <ns0:c r="G33" s="33" t="str">
        <ns0:v>60 В (VRRM/VR, см. даташит)</ns0:v>
      </ns0:c>
      <ns0:c r="H33" s="35" t="str">
        <ns0:v>SMA / DO-214AC</ns0:v>
      </ns0:c>
      <ns0:c r="I33" s="33" t="str">
        <ns0:v>Yangjie</ns0:v>
      </ns0:c>
      <ns0:c r="J33" s="33" t="str">
        <ns0:v>SS16A</ns0:v>
      </ns0:c>
      <ns0:c r="K33" s="34" t="str">
        <ns0:f>B33&amp;" "&amp;J33</ns0:f>
        <ns0:v>Диод Шоттки SS16A</ns0:v>
      </ns0:c>
      <ns0:c r="L33" s="36" t="str">
        <ns0:v>Schottky_AK</ns0:v>
      </ns0:c>
      <ns0:c r="M33" s="36" t="str">
        <ns0:v>Symbols\MY_LIB_Semiconductors.SchLib</ns0:v>
      </ns0:c>
      <ns0:c r="N33" s="36" t="str">
        <ns0:v>SMA_Yangjie</ns0:v>
      </ns0:c>
      <ns0:c r="O33" s="36" t="str">
        <ns0:v>Footprints\PBL - SMD Packages.PcbLib</ns0:v>
      </ns0:c>
      <ns0:c r="P33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3" s="33"/>
      <ns0:c r="R33" s="34" t="str">
        <ns0:f>D33</ns0:f>
        <ns0:v>SS16A</ns0:v>
      </ns0:c>
      <ns0:c r="S33" s="34" t="str">
        <ns0:f>K33</ns0:f>
        <ns0:v>Диод Шоттки SS16A</ns0:v>
      </ns0:c>
      <ns0:c r="T33" s="33" t="str">
        <ns0:v>C:\Users\Nomatin\Documents\Altium\MY_LIB\MY_LIB\Datasheets\Diodes\SS12A_SS120A_Yangjie.pdf</ns0:v>
      </ns0:c>
      <ns0:c r="U33" s="33" t="str">
        <ns0:v>Rev. 2.8, 19-Sep-2022</ns0:v>
      </ns0:c>
      <ns0:c r="V33" s="33" t="str">
        <ns0:v>Даташит — локальный</ns0:v>
      </ns0:c>
      <ns0:c r="W33" s="33" t="str">
        <ns0:v>C:\Users\Nomatin\Documents\Altium\MY_LIB\MY_LIB\Datasheets\Diodes\SS12A_SS120A_Yangjie.pdf</ns0:v>
      </ns0:c>
      <ns0:c r="X33" s="33" t="str">
        <ns0:v>Даташит — производитель</ns0:v>
      </ns0:c>
      <ns0:c r="Y33" s="33" t="str">
        <ns0:v>https://www.21yangjie.com/pdf/zlqj/xtjejg/SS12A%20THRU%20SS120A.pdf</ns0:v>
      </ns0:c>
      <ns0:c r="Z33" s="33" t="str">
        <ns0:v>C:\Users\Nomatin\Documents\Altium\MY_LIB\MY_LIB\Datasheets\Diodes\SS12A_SS120A_Yangjie.pdf</ns0:v>
      </ns0:c>
      <ns0:c r="AA33" s="33" t="str">
        <ns0:v>SS12A–SS120A</ns0:v>
      </ns0:c>
      <ns0:c r="AB33" s="33" t="str">
        <ns0:v>Одиночный</ns0:v>
      </ns0:c>
      <ns0:c r="AC33" s="33" t="str">
        <ns0:v>A=A; K=C</ns0:v>
      </ns0:c>
      <ns0:c r="AD33" s="33" t="n">
        <ns0:v>1</ns0:v>
      </ns0:c>
      <ns0:c r="AE33" s="33" t="n">
        <ns0:v>60</ns0:v>
      </ns0:c>
      <ns0:c r="AF33" s="33"/>
      <ns0:c r="AG33" s="33"/>
      <ns0:c r="AH33" s="33"/>
      <ns0:c r="AI33" s="33"/>
      <ns0:c r="AJ33" s="33"/>
    </ns0:row>
    <ns0:row r="34" ht="60" customHeight="1">
      <ns0:c r="A34" s="33" t="str">
        <ns0:v>VD0033</ns0:v>
      </ns0:c>
      <ns0:c r="B34" s="33" t="str">
        <ns0:v>Диод Шоттки</ns0:v>
      </ns0:c>
      <ns0:c r="C34" s="33" t="str">
        <ns0:v>SS18A</ns0:v>
      </ns0:c>
      <ns0:c r="D34" s="34" t="str">
        <ns0:f>C34</ns0:f>
        <ns0:v>SS18A</ns0:v>
      </ns0:c>
      <ns0:c r="E34" s="33"/>
      <ns0:c r="F34" s="33"/>
      <ns0:c r="G34" s="33" t="str">
        <ns0:v>80 В (VRRM/VR, см. даташит)</ns0:v>
      </ns0:c>
      <ns0:c r="H34" s="35" t="str">
        <ns0:v>SMA / DO-214AC</ns0:v>
      </ns0:c>
      <ns0:c r="I34" s="33" t="str">
        <ns0:v>Yangjie</ns0:v>
      </ns0:c>
      <ns0:c r="J34" s="33" t="str">
        <ns0:v>SS18A</ns0:v>
      </ns0:c>
      <ns0:c r="K34" s="34" t="str">
        <ns0:f>B34&amp;" "&amp;J34</ns0:f>
        <ns0:v>Диод Шоттки SS18A</ns0:v>
      </ns0:c>
      <ns0:c r="L34" s="36" t="str">
        <ns0:v>Schottky_AK</ns0:v>
      </ns0:c>
      <ns0:c r="M34" s="36" t="str">
        <ns0:v>Symbols\MY_LIB_Semiconductors.SchLib</ns0:v>
      </ns0:c>
      <ns0:c r="N34" s="36" t="str">
        <ns0:v>SMA_Yangjie</ns0:v>
      </ns0:c>
      <ns0:c r="O34" s="36" t="str">
        <ns0:v>Footprints\PBL - SMD Packages.PcbLib</ns0:v>
      </ns0:c>
      <ns0:c r="P34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4" s="33"/>
      <ns0:c r="R34" s="34" t="str">
        <ns0:f>D34</ns0:f>
        <ns0:v>SS18A</ns0:v>
      </ns0:c>
      <ns0:c r="S34" s="34" t="str">
        <ns0:f>K34</ns0:f>
        <ns0:v>Диод Шоттки SS18A</ns0:v>
      </ns0:c>
      <ns0:c r="T34" s="33" t="str">
        <ns0:v>C:\Users\Nomatin\Documents\Altium\MY_LIB\MY_LIB\Datasheets\Diodes\SS12A_SS120A_Yangjie.pdf</ns0:v>
      </ns0:c>
      <ns0:c r="U34" s="33" t="str">
        <ns0:v>Rev. 2.8, 19-Sep-2022</ns0:v>
      </ns0:c>
      <ns0:c r="V34" s="33" t="str">
        <ns0:v>Даташит — локальный</ns0:v>
      </ns0:c>
      <ns0:c r="W34" s="33" t="str">
        <ns0:v>C:\Users\Nomatin\Documents\Altium\MY_LIB\MY_LIB\Datasheets\Diodes\SS12A_SS120A_Yangjie.pdf</ns0:v>
      </ns0:c>
      <ns0:c r="X34" s="33" t="str">
        <ns0:v>Даташит — производитель</ns0:v>
      </ns0:c>
      <ns0:c r="Y34" s="33" t="str">
        <ns0:v>https://www.21yangjie.com/pdf/zlqj/xtjejg/SS12A%20THRU%20SS120A.pdf</ns0:v>
      </ns0:c>
      <ns0:c r="Z34" s="33" t="str">
        <ns0:v>C:\Users\Nomatin\Documents\Altium\MY_LIB\MY_LIB\Datasheets\Diodes\SS12A_SS120A_Yangjie.pdf</ns0:v>
      </ns0:c>
      <ns0:c r="AA34" s="33" t="str">
        <ns0:v>SS12A–SS120A</ns0:v>
      </ns0:c>
      <ns0:c r="AB34" s="33" t="str">
        <ns0:v>Одиночный</ns0:v>
      </ns0:c>
      <ns0:c r="AC34" s="33" t="str">
        <ns0:v>A=A; K=C</ns0:v>
      </ns0:c>
      <ns0:c r="AD34" s="33" t="n">
        <ns0:v>1</ns0:v>
      </ns0:c>
      <ns0:c r="AE34" s="33" t="n">
        <ns0:v>80</ns0:v>
      </ns0:c>
      <ns0:c r="AF34" s="33"/>
      <ns0:c r="AG34" s="33"/>
      <ns0:c r="AH34" s="33"/>
      <ns0:c r="AI34" s="33"/>
      <ns0:c r="AJ34" s="33"/>
    </ns0:row>
    <ns0:row r="35" ht="60" customHeight="1">
      <ns0:c r="A35" s="33" t="str">
        <ns0:v>VD0034</ns0:v>
      </ns0:c>
      <ns0:c r="B35" s="33" t="str">
        <ns0:v>Диод Шоттки</ns0:v>
      </ns0:c>
      <ns0:c r="C35" s="33" t="str">
        <ns0:v>SS110A</ns0:v>
      </ns0:c>
      <ns0:c r="D35" s="34" t="str">
        <ns0:f>C35</ns0:f>
        <ns0:v>SS110A</ns0:v>
      </ns0:c>
      <ns0:c r="E35" s="33"/>
      <ns0:c r="F35" s="33"/>
      <ns0:c r="G35" s="33" t="str">
        <ns0:v>100 В (VRRM/VR, см. даташит)</ns0:v>
      </ns0:c>
      <ns0:c r="H35" s="35" t="str">
        <ns0:v>SMA / DO-214AC</ns0:v>
      </ns0:c>
      <ns0:c r="I35" s="33" t="str">
        <ns0:v>Yangjie</ns0:v>
      </ns0:c>
      <ns0:c r="J35" s="33" t="str">
        <ns0:v>SS110A</ns0:v>
      </ns0:c>
      <ns0:c r="K35" s="34" t="str">
        <ns0:f>B35&amp;" "&amp;J35</ns0:f>
        <ns0:v>Диод Шоттки SS110A</ns0:v>
      </ns0:c>
      <ns0:c r="L35" s="36" t="str">
        <ns0:v>Schottky_AK</ns0:v>
      </ns0:c>
      <ns0:c r="M35" s="36" t="str">
        <ns0:v>Symbols\MY_LIB_Semiconductors.SchLib</ns0:v>
      </ns0:c>
      <ns0:c r="N35" s="36" t="str">
        <ns0:v>SMA_Yangjie</ns0:v>
      </ns0:c>
      <ns0:c r="O35" s="36" t="str">
        <ns0:v>Footprints\PBL - SMD Packages.PcbLib</ns0:v>
      </ns0:c>
      <ns0:c r="P35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5" s="33"/>
      <ns0:c r="R35" s="34" t="str">
        <ns0:f>D35</ns0:f>
        <ns0:v>SS110A</ns0:v>
      </ns0:c>
      <ns0:c r="S35" s="34" t="str">
        <ns0:f>K35</ns0:f>
        <ns0:v>Диод Шоттки SS110A</ns0:v>
      </ns0:c>
      <ns0:c r="T35" s="33" t="str">
        <ns0:v>C:\Users\Nomatin\Documents\Altium\MY_LIB\MY_LIB\Datasheets\Diodes\SS12A_SS120A_Yangjie.pdf</ns0:v>
      </ns0:c>
      <ns0:c r="U35" s="33" t="str">
        <ns0:v>Rev. 2.8, 19-Sep-2022</ns0:v>
      </ns0:c>
      <ns0:c r="V35" s="33" t="str">
        <ns0:v>Даташит — локальный</ns0:v>
      </ns0:c>
      <ns0:c r="W35" s="33" t="str">
        <ns0:v>C:\Users\Nomatin\Documents\Altium\MY_LIB\MY_LIB\Datasheets\Diodes\SS12A_SS120A_Yangjie.pdf</ns0:v>
      </ns0:c>
      <ns0:c r="X35" s="33" t="str">
        <ns0:v>Даташит — производитель</ns0:v>
      </ns0:c>
      <ns0:c r="Y35" s="33" t="str">
        <ns0:v>https://www.21yangjie.com/pdf/zlqj/xtjejg/SS12A%20THRU%20SS120A.pdf</ns0:v>
      </ns0:c>
      <ns0:c r="Z35" s="33" t="str">
        <ns0:v>C:\Users\Nomatin\Documents\Altium\MY_LIB\MY_LIB\Datasheets\Diodes\SS12A_SS120A_Yangjie.pdf</ns0:v>
      </ns0:c>
      <ns0:c r="AA35" s="33" t="str">
        <ns0:v>SS12A–SS120A</ns0:v>
      </ns0:c>
      <ns0:c r="AB35" s="33" t="str">
        <ns0:v>Одиночный</ns0:v>
      </ns0:c>
      <ns0:c r="AC35" s="33" t="str">
        <ns0:v>A=A; K=C</ns0:v>
      </ns0:c>
      <ns0:c r="AD35" s="33" t="n">
        <ns0:v>1</ns0:v>
      </ns0:c>
      <ns0:c r="AE35" s="33" t="n">
        <ns0:v>100</ns0:v>
      </ns0:c>
      <ns0:c r="AF35" s="33"/>
      <ns0:c r="AG35" s="33"/>
      <ns0:c r="AH35" s="33"/>
      <ns0:c r="AI35" s="33"/>
      <ns0:c r="AJ35" s="33"/>
    </ns0:row>
    <ns0:row r="36" ht="60" customHeight="1">
      <ns0:c r="A36" s="33" t="str">
        <ns0:v>VD0035</ns0:v>
      </ns0:c>
      <ns0:c r="B36" s="33" t="str">
        <ns0:v>Диод Шоттки</ns0:v>
      </ns0:c>
      <ns0:c r="C36" s="33" t="str">
        <ns0:v>SS115A</ns0:v>
      </ns0:c>
      <ns0:c r="D36" s="34" t="str">
        <ns0:f>C36</ns0:f>
        <ns0:v>SS115A</ns0:v>
      </ns0:c>
      <ns0:c r="E36" s="33"/>
      <ns0:c r="F36" s="33"/>
      <ns0:c r="G36" s="33" t="str">
        <ns0:v>150 В (VRRM/VR, см. даташит)</ns0:v>
      </ns0:c>
      <ns0:c r="H36" s="35" t="str">
        <ns0:v>SMA / DO-214AC</ns0:v>
      </ns0:c>
      <ns0:c r="I36" s="33" t="str">
        <ns0:v>Yangjie</ns0:v>
      </ns0:c>
      <ns0:c r="J36" s="33" t="str">
        <ns0:v>SS115A</ns0:v>
      </ns0:c>
      <ns0:c r="K36" s="34" t="str">
        <ns0:f>B36&amp;" "&amp;J36</ns0:f>
        <ns0:v>Диод Шоттки SS115A</ns0:v>
      </ns0:c>
      <ns0:c r="L36" s="36" t="str">
        <ns0:v>Schottky_AK</ns0:v>
      </ns0:c>
      <ns0:c r="M36" s="36" t="str">
        <ns0:v>Symbols\MY_LIB_Semiconductors.SchLib</ns0:v>
      </ns0:c>
      <ns0:c r="N36" s="36" t="str">
        <ns0:v>SMA_Yangjie</ns0:v>
      </ns0:c>
      <ns0:c r="O36" s="36" t="str">
        <ns0:v>Footprints\PBL - SMD Packages.PcbLib</ns0:v>
      </ns0:c>
      <ns0:c r="P36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6" s="33"/>
      <ns0:c r="R36" s="34" t="str">
        <ns0:f>D36</ns0:f>
        <ns0:v>SS115A</ns0:v>
      </ns0:c>
      <ns0:c r="S36" s="34" t="str">
        <ns0:f>K36</ns0:f>
        <ns0:v>Диод Шоттки SS115A</ns0:v>
      </ns0:c>
      <ns0:c r="T36" s="33" t="str">
        <ns0:v>C:\Users\Nomatin\Documents\Altium\MY_LIB\MY_LIB\Datasheets\Diodes\SS12A_SS120A_Yangjie.pdf</ns0:v>
      </ns0:c>
      <ns0:c r="U36" s="33" t="str">
        <ns0:v>Rev. 2.8, 19-Sep-2022</ns0:v>
      </ns0:c>
      <ns0:c r="V36" s="33" t="str">
        <ns0:v>Даташит — локальный</ns0:v>
      </ns0:c>
      <ns0:c r="W36" s="33" t="str">
        <ns0:v>C:\Users\Nomatin\Documents\Altium\MY_LIB\MY_LIB\Datasheets\Diodes\SS12A_SS120A_Yangjie.pdf</ns0:v>
      </ns0:c>
      <ns0:c r="X36" s="33" t="str">
        <ns0:v>Даташит — производитель</ns0:v>
      </ns0:c>
      <ns0:c r="Y36" s="33" t="str">
        <ns0:v>https://www.21yangjie.com/pdf/zlqj/xtjejg/SS12A%20THRU%20SS120A.pdf</ns0:v>
      </ns0:c>
      <ns0:c r="Z36" s="33" t="str">
        <ns0:v>C:\Users\Nomatin\Documents\Altium\MY_LIB\MY_LIB\Datasheets\Diodes\SS12A_SS120A_Yangjie.pdf</ns0:v>
      </ns0:c>
      <ns0:c r="AA36" s="33" t="str">
        <ns0:v>SS12A–SS120A</ns0:v>
      </ns0:c>
      <ns0:c r="AB36" s="33" t="str">
        <ns0:v>Одиночный</ns0:v>
      </ns0:c>
      <ns0:c r="AC36" s="33" t="str">
        <ns0:v>A=A; K=C</ns0:v>
      </ns0:c>
      <ns0:c r="AD36" s="33" t="n">
        <ns0:v>1</ns0:v>
      </ns0:c>
      <ns0:c r="AE36" s="33" t="n">
        <ns0:v>150</ns0:v>
      </ns0:c>
      <ns0:c r="AF36" s="33"/>
      <ns0:c r="AG36" s="33"/>
      <ns0:c r="AH36" s="33"/>
      <ns0:c r="AI36" s="33"/>
      <ns0:c r="AJ36" s="33"/>
    </ns0:row>
    <ns0:row r="37" ht="60" customHeight="1">
      <ns0:c r="A37" s="33" t="str">
        <ns0:v>VD0036</ns0:v>
      </ns0:c>
      <ns0:c r="B37" s="33" t="str">
        <ns0:v>Диод Шоттки</ns0:v>
      </ns0:c>
      <ns0:c r="C37" s="33" t="str">
        <ns0:v>SS120A</ns0:v>
      </ns0:c>
      <ns0:c r="D37" s="34" t="str">
        <ns0:f>C37</ns0:f>
        <ns0:v>SS120A</ns0:v>
      </ns0:c>
      <ns0:c r="E37" s="33"/>
      <ns0:c r="F37" s="33"/>
      <ns0:c r="G37" s="33" t="str">
        <ns0:v>200 В (VRRM/VR, см. даташит)</ns0:v>
      </ns0:c>
      <ns0:c r="H37" s="35" t="str">
        <ns0:v>SMA / DO-214AC</ns0:v>
      </ns0:c>
      <ns0:c r="I37" s="33" t="str">
        <ns0:v>Yangjie</ns0:v>
      </ns0:c>
      <ns0:c r="J37" s="33" t="str">
        <ns0:v>SS120A</ns0:v>
      </ns0:c>
      <ns0:c r="K37" s="34" t="str">
        <ns0:f>B37&amp;" "&amp;J37</ns0:f>
        <ns0:v>Диод Шоттки SS120A</ns0:v>
      </ns0:c>
      <ns0:c r="L37" s="36" t="str">
        <ns0:v>Schottky_AK</ns0:v>
      </ns0:c>
      <ns0:c r="M37" s="36" t="str">
        <ns0:v>Symbols\MY_LIB_Semiconductors.SchLib</ns0:v>
      </ns0:c>
      <ns0:c r="N37" s="36" t="str">
        <ns0:v>SMA_Yangjie</ns0:v>
      </ns0:c>
      <ns0:c r="O37" s="36" t="str">
        <ns0:v>Footprints\PBL - SMD Packages.PcbLib</ns0:v>
      </ns0:c>
      <ns0:c r="P37" s="33" t="str">
        <ns0:v>Выпрямительный диод Шоттки 1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7" s="33"/>
      <ns0:c r="R37" s="34" t="str">
        <ns0:f>D37</ns0:f>
        <ns0:v>SS120A</ns0:v>
      </ns0:c>
      <ns0:c r="S37" s="34" t="str">
        <ns0:f>K37</ns0:f>
        <ns0:v>Диод Шоттки SS120A</ns0:v>
      </ns0:c>
      <ns0:c r="T37" s="33" t="str">
        <ns0:v>C:\Users\Nomatin\Documents\Altium\MY_LIB\MY_LIB\Datasheets\Diodes\SS12A_SS120A_Yangjie.pdf</ns0:v>
      </ns0:c>
      <ns0:c r="U37" s="33" t="str">
        <ns0:v>Rev. 2.8, 19-Sep-2022</ns0:v>
      </ns0:c>
      <ns0:c r="V37" s="33" t="str">
        <ns0:v>Даташит — локальный</ns0:v>
      </ns0:c>
      <ns0:c r="W37" s="33" t="str">
        <ns0:v>C:\Users\Nomatin\Documents\Altium\MY_LIB\MY_LIB\Datasheets\Diodes\SS12A_SS120A_Yangjie.pdf</ns0:v>
      </ns0:c>
      <ns0:c r="X37" s="33" t="str">
        <ns0:v>Даташит — производитель</ns0:v>
      </ns0:c>
      <ns0:c r="Y37" s="33" t="str">
        <ns0:v>https://www.21yangjie.com/pdf/zlqj/xtjejg/SS12A%20THRU%20SS120A.pdf</ns0:v>
      </ns0:c>
      <ns0:c r="Z37" s="33" t="str">
        <ns0:v>C:\Users\Nomatin\Documents\Altium\MY_LIB\MY_LIB\Datasheets\Diodes\SS12A_SS120A_Yangjie.pdf</ns0:v>
      </ns0:c>
      <ns0:c r="AA37" s="33" t="str">
        <ns0:v>SS12A–SS120A</ns0:v>
      </ns0:c>
      <ns0:c r="AB37" s="33" t="str">
        <ns0:v>Одиночный</ns0:v>
      </ns0:c>
      <ns0:c r="AC37" s="33" t="str">
        <ns0:v>A=A; K=C</ns0:v>
      </ns0:c>
      <ns0:c r="AD37" s="33" t="n">
        <ns0:v>1</ns0:v>
      </ns0:c>
      <ns0:c r="AE37" s="33" t="n">
        <ns0:v>200</ns0:v>
      </ns0:c>
      <ns0:c r="AF37" s="33"/>
      <ns0:c r="AG37" s="33"/>
      <ns0:c r="AH37" s="33"/>
      <ns0:c r="AI37" s="33"/>
      <ns0:c r="AJ37" s="33"/>
    </ns0:row>
    <ns0:row r="38" ht="60" customHeight="1">
      <ns0:c r="A38" s="33" t="str">
        <ns0:v>VD0037</ns0:v>
      </ns0:c>
      <ns0:c r="B38" s="33" t="str">
        <ns0:v>Диод Шоттки</ns0:v>
      </ns0:c>
      <ns0:c r="C38" s="33" t="str">
        <ns0:v>SS22A</ns0:v>
      </ns0:c>
      <ns0:c r="D38" s="34" t="str">
        <ns0:f>C38</ns0:f>
        <ns0:v>SS22A</ns0:v>
      </ns0:c>
      <ns0:c r="E38" s="33"/>
      <ns0:c r="F38" s="33"/>
      <ns0:c r="G38" s="33" t="str">
        <ns0:v>20 В (VRRM/VR, см. даташит)</ns0:v>
      </ns0:c>
      <ns0:c r="H38" s="35" t="str">
        <ns0:v>SMA / DO-214AC</ns0:v>
      </ns0:c>
      <ns0:c r="I38" s="33" t="str">
        <ns0:v>Yangjie</ns0:v>
      </ns0:c>
      <ns0:c r="J38" s="33" t="str">
        <ns0:v>SS22A</ns0:v>
      </ns0:c>
      <ns0:c r="K38" s="34" t="str">
        <ns0:f>B38&amp;" "&amp;J38</ns0:f>
        <ns0:v>Диод Шоттки SS22A</ns0:v>
      </ns0:c>
      <ns0:c r="L38" s="36" t="str">
        <ns0:v>Schottky_AK</ns0:v>
      </ns0:c>
      <ns0:c r="M38" s="36" t="str">
        <ns0:v>Symbols\MY_LIB_Semiconductors.SchLib</ns0:v>
      </ns0:c>
      <ns0:c r="N38" s="36" t="str">
        <ns0:v>SMA_Yangjie</ns0:v>
      </ns0:c>
      <ns0:c r="O38" s="36" t="str">
        <ns0:v>Footprints\PBL - SMD Packages.PcbLib</ns0:v>
      </ns0:c>
      <ns0:c r="P38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8" s="33"/>
      <ns0:c r="R38" s="34" t="str">
        <ns0:f>D38</ns0:f>
        <ns0:v>SS22A</ns0:v>
      </ns0:c>
      <ns0:c r="S38" s="34" t="str">
        <ns0:f>K38</ns0:f>
        <ns0:v>Диод Шоттки SS22A</ns0:v>
      </ns0:c>
      <ns0:c r="T38" s="33" t="str">
        <ns0:v>C:\Users\Nomatin\Documents\Altium\MY_LIB\MY_LIB\Datasheets\Diodes\SS22A_SS220A_Yangjie.pdf</ns0:v>
      </ns0:c>
      <ns0:c r="U38" s="33" t="str">
        <ns0:v>Rev. 2.7, 19-Sep-2022</ns0:v>
      </ns0:c>
      <ns0:c r="V38" s="33" t="str">
        <ns0:v>Даташит — локальный</ns0:v>
      </ns0:c>
      <ns0:c r="W38" s="33" t="str">
        <ns0:v>C:\Users\Nomatin\Documents\Altium\MY_LIB\MY_LIB\Datasheets\Diodes\SS22A_SS220A_Yangjie.pdf</ns0:v>
      </ns0:c>
      <ns0:c r="X38" s="33" t="str">
        <ns0:v>Даташит — производитель</ns0:v>
      </ns0:c>
      <ns0:c r="Y38" s="33" t="str">
        <ns0:v>https://www.21yangjie.com/pdf/zlqj/xtjejg/SS22A%20THRU%20SS220A%20.pdf</ns0:v>
      </ns0:c>
      <ns0:c r="Z38" s="33" t="str">
        <ns0:v>C:\Users\Nomatin\Documents\Altium\MY_LIB\MY_LIB\Datasheets\Diodes\SS22A_SS220A_Yangjie.pdf</ns0:v>
      </ns0:c>
      <ns0:c r="AA38" s="33" t="str">
        <ns0:v>SS22A–SS220A</ns0:v>
      </ns0:c>
      <ns0:c r="AB38" s="33" t="str">
        <ns0:v>Одиночный</ns0:v>
      </ns0:c>
      <ns0:c r="AC38" s="33" t="str">
        <ns0:v>A=A; K=C</ns0:v>
      </ns0:c>
      <ns0:c r="AD38" s="33" t="n">
        <ns0:v>2</ns0:v>
      </ns0:c>
      <ns0:c r="AE38" s="33" t="n">
        <ns0:v>20</ns0:v>
      </ns0:c>
      <ns0:c r="AF38" s="33"/>
      <ns0:c r="AG38" s="33"/>
      <ns0:c r="AH38" s="33"/>
      <ns0:c r="AI38" s="33"/>
      <ns0:c r="AJ38" s="33"/>
    </ns0:row>
    <ns0:row r="39" ht="60" customHeight="1">
      <ns0:c r="A39" s="33" t="str">
        <ns0:v>VD0038</ns0:v>
      </ns0:c>
      <ns0:c r="B39" s="33" t="str">
        <ns0:v>Диод Шоттки</ns0:v>
      </ns0:c>
      <ns0:c r="C39" s="33" t="str">
        <ns0:v>SS23A</ns0:v>
      </ns0:c>
      <ns0:c r="D39" s="34" t="str">
        <ns0:f>C39</ns0:f>
        <ns0:v>SS23A</ns0:v>
      </ns0:c>
      <ns0:c r="E39" s="33"/>
      <ns0:c r="F39" s="33"/>
      <ns0:c r="G39" s="33" t="str">
        <ns0:v>30 В (VRRM/VR, см. даташит)</ns0:v>
      </ns0:c>
      <ns0:c r="H39" s="35" t="str">
        <ns0:v>SMA / DO-214AC</ns0:v>
      </ns0:c>
      <ns0:c r="I39" s="33" t="str">
        <ns0:v>Yangjie</ns0:v>
      </ns0:c>
      <ns0:c r="J39" s="33" t="str">
        <ns0:v>SS23A</ns0:v>
      </ns0:c>
      <ns0:c r="K39" s="34" t="str">
        <ns0:f>B39&amp;" "&amp;J39</ns0:f>
        <ns0:v>Диод Шоттки SS23A</ns0:v>
      </ns0:c>
      <ns0:c r="L39" s="36" t="str">
        <ns0:v>Schottky_AK</ns0:v>
      </ns0:c>
      <ns0:c r="M39" s="36" t="str">
        <ns0:v>Symbols\MY_LIB_Semiconductors.SchLib</ns0:v>
      </ns0:c>
      <ns0:c r="N39" s="36" t="str">
        <ns0:v>SMA_Yangjie</ns0:v>
      </ns0:c>
      <ns0:c r="O39" s="36" t="str">
        <ns0:v>Footprints\PBL - SMD Packages.PcbLib</ns0:v>
      </ns0:c>
      <ns0:c r="P39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39" s="33"/>
      <ns0:c r="R39" s="34" t="str">
        <ns0:f>D39</ns0:f>
        <ns0:v>SS23A</ns0:v>
      </ns0:c>
      <ns0:c r="S39" s="34" t="str">
        <ns0:f>K39</ns0:f>
        <ns0:v>Диод Шоттки SS23A</ns0:v>
      </ns0:c>
      <ns0:c r="T39" s="33" t="str">
        <ns0:v>C:\Users\Nomatin\Documents\Altium\MY_LIB\MY_LIB\Datasheets\Diodes\SS22A_SS220A_Yangjie.pdf</ns0:v>
      </ns0:c>
      <ns0:c r="U39" s="33" t="str">
        <ns0:v>Rev. 2.7, 19-Sep-2022</ns0:v>
      </ns0:c>
      <ns0:c r="V39" s="33" t="str">
        <ns0:v>Даташит — локальный</ns0:v>
      </ns0:c>
      <ns0:c r="W39" s="33" t="str">
        <ns0:v>C:\Users\Nomatin\Documents\Altium\MY_LIB\MY_LIB\Datasheets\Diodes\SS22A_SS220A_Yangjie.pdf</ns0:v>
      </ns0:c>
      <ns0:c r="X39" s="33" t="str">
        <ns0:v>Даташит — производитель</ns0:v>
      </ns0:c>
      <ns0:c r="Y39" s="33" t="str">
        <ns0:v>https://www.21yangjie.com/pdf/zlqj/xtjejg/SS22A%20THRU%20SS220A%20.pdf</ns0:v>
      </ns0:c>
      <ns0:c r="Z39" s="33" t="str">
        <ns0:v>C:\Users\Nomatin\Documents\Altium\MY_LIB\MY_LIB\Datasheets\Diodes\SS22A_SS220A_Yangjie.pdf</ns0:v>
      </ns0:c>
      <ns0:c r="AA39" s="33" t="str">
        <ns0:v>SS22A–SS220A</ns0:v>
      </ns0:c>
      <ns0:c r="AB39" s="33" t="str">
        <ns0:v>Одиночный</ns0:v>
      </ns0:c>
      <ns0:c r="AC39" s="33" t="str">
        <ns0:v>A=A; K=C</ns0:v>
      </ns0:c>
      <ns0:c r="AD39" s="33" t="n">
        <ns0:v>2</ns0:v>
      </ns0:c>
      <ns0:c r="AE39" s="33" t="n">
        <ns0:v>30</ns0:v>
      </ns0:c>
      <ns0:c r="AF39" s="33"/>
      <ns0:c r="AG39" s="33"/>
      <ns0:c r="AH39" s="33"/>
      <ns0:c r="AI39" s="33"/>
      <ns0:c r="AJ39" s="33"/>
    </ns0:row>
    <ns0:row r="40" ht="60" customHeight="1">
      <ns0:c r="A40" s="33" t="str">
        <ns0:v>VD0039</ns0:v>
      </ns0:c>
      <ns0:c r="B40" s="33" t="str">
        <ns0:v>Диод Шоттки</ns0:v>
      </ns0:c>
      <ns0:c r="C40" s="33" t="str">
        <ns0:v>SS24A</ns0:v>
      </ns0:c>
      <ns0:c r="D40" s="34" t="str">
        <ns0:f>C40</ns0:f>
        <ns0:v>SS24A</ns0:v>
      </ns0:c>
      <ns0:c r="E40" s="33"/>
      <ns0:c r="F40" s="33"/>
      <ns0:c r="G40" s="33" t="str">
        <ns0:v>40 В (VRRM/VR, см. даташит)</ns0:v>
      </ns0:c>
      <ns0:c r="H40" s="35" t="str">
        <ns0:v>SMA / DO-214AC</ns0:v>
      </ns0:c>
      <ns0:c r="I40" s="33" t="str">
        <ns0:v>Yangjie</ns0:v>
      </ns0:c>
      <ns0:c r="J40" s="33" t="str">
        <ns0:v>SS24A</ns0:v>
      </ns0:c>
      <ns0:c r="K40" s="34" t="str">
        <ns0:f>B40&amp;" "&amp;J40</ns0:f>
        <ns0:v>Диод Шоттки SS24A</ns0:v>
      </ns0:c>
      <ns0:c r="L40" s="36" t="str">
        <ns0:v>Schottky_AK</ns0:v>
      </ns0:c>
      <ns0:c r="M40" s="36" t="str">
        <ns0:v>Symbols\MY_LIB_Semiconductors.SchLib</ns0:v>
      </ns0:c>
      <ns0:c r="N40" s="36" t="str">
        <ns0:v>SMA_Yangjie</ns0:v>
      </ns0:c>
      <ns0:c r="O40" s="36" t="str">
        <ns0:v>Footprints\PBL - SMD Packages.PcbLib</ns0:v>
      </ns0:c>
      <ns0:c r="P40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0" s="33"/>
      <ns0:c r="R40" s="34" t="str">
        <ns0:f>D40</ns0:f>
        <ns0:v>SS24A</ns0:v>
      </ns0:c>
      <ns0:c r="S40" s="34" t="str">
        <ns0:f>K40</ns0:f>
        <ns0:v>Диод Шоттки SS24A</ns0:v>
      </ns0:c>
      <ns0:c r="T40" s="33" t="str">
        <ns0:v>C:\Users\Nomatin\Documents\Altium\MY_LIB\MY_LIB\Datasheets\Diodes\SS22A_SS220A_Yangjie.pdf</ns0:v>
      </ns0:c>
      <ns0:c r="U40" s="33" t="str">
        <ns0:v>Rev. 2.7, 19-Sep-2022</ns0:v>
      </ns0:c>
      <ns0:c r="V40" s="33" t="str">
        <ns0:v>Даташит — локальный</ns0:v>
      </ns0:c>
      <ns0:c r="W40" s="33" t="str">
        <ns0:v>C:\Users\Nomatin\Documents\Altium\MY_LIB\MY_LIB\Datasheets\Diodes\SS22A_SS220A_Yangjie.pdf</ns0:v>
      </ns0:c>
      <ns0:c r="X40" s="33" t="str">
        <ns0:v>Даташит — производитель</ns0:v>
      </ns0:c>
      <ns0:c r="Y40" s="33" t="str">
        <ns0:v>https://www.21yangjie.com/pdf/zlqj/xtjejg/SS22A%20THRU%20SS220A%20.pdf</ns0:v>
      </ns0:c>
      <ns0:c r="Z40" s="33" t="str">
        <ns0:v>C:\Users\Nomatin\Documents\Altium\MY_LIB\MY_LIB\Datasheets\Diodes\SS22A_SS220A_Yangjie.pdf</ns0:v>
      </ns0:c>
      <ns0:c r="AA40" s="33" t="str">
        <ns0:v>SS22A–SS220A</ns0:v>
      </ns0:c>
      <ns0:c r="AB40" s="33" t="str">
        <ns0:v>Одиночный</ns0:v>
      </ns0:c>
      <ns0:c r="AC40" s="33" t="str">
        <ns0:v>A=A; K=C</ns0:v>
      </ns0:c>
      <ns0:c r="AD40" s="33" t="n">
        <ns0:v>2</ns0:v>
      </ns0:c>
      <ns0:c r="AE40" s="33" t="n">
        <ns0:v>40</ns0:v>
      </ns0:c>
      <ns0:c r="AF40" s="33"/>
      <ns0:c r="AG40" s="33"/>
      <ns0:c r="AH40" s="33"/>
      <ns0:c r="AI40" s="33"/>
      <ns0:c r="AJ40" s="33"/>
    </ns0:row>
    <ns0:row r="41" ht="60" customHeight="1">
      <ns0:c r="A41" s="33" t="str">
        <ns0:v>VD0040</ns0:v>
      </ns0:c>
      <ns0:c r="B41" s="33" t="str">
        <ns0:v>Диод Шоттки</ns0:v>
      </ns0:c>
      <ns0:c r="C41" s="33" t="str">
        <ns0:v>SS25A</ns0:v>
      </ns0:c>
      <ns0:c r="D41" s="34" t="str">
        <ns0:f>C41</ns0:f>
        <ns0:v>SS25A</ns0:v>
      </ns0:c>
      <ns0:c r="E41" s="33"/>
      <ns0:c r="F41" s="33"/>
      <ns0:c r="G41" s="33" t="str">
        <ns0:v>50 В (VRRM/VR, см. даташит)</ns0:v>
      </ns0:c>
      <ns0:c r="H41" s="35" t="str">
        <ns0:v>SMA / DO-214AC</ns0:v>
      </ns0:c>
      <ns0:c r="I41" s="33" t="str">
        <ns0:v>Yangjie</ns0:v>
      </ns0:c>
      <ns0:c r="J41" s="33" t="str">
        <ns0:v>SS25A</ns0:v>
      </ns0:c>
      <ns0:c r="K41" s="34" t="str">
        <ns0:f>B41&amp;" "&amp;J41</ns0:f>
        <ns0:v>Диод Шоттки SS25A</ns0:v>
      </ns0:c>
      <ns0:c r="L41" s="36" t="str">
        <ns0:v>Schottky_AK</ns0:v>
      </ns0:c>
      <ns0:c r="M41" s="36" t="str">
        <ns0:v>Symbols\MY_LIB_Semiconductors.SchLib</ns0:v>
      </ns0:c>
      <ns0:c r="N41" s="36" t="str">
        <ns0:v>SMA_Yangjie</ns0:v>
      </ns0:c>
      <ns0:c r="O41" s="36" t="str">
        <ns0:v>Footprints\PBL - SMD Packages.PcbLib</ns0:v>
      </ns0:c>
      <ns0:c r="P41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1" s="33"/>
      <ns0:c r="R41" s="34" t="str">
        <ns0:f>D41</ns0:f>
        <ns0:v>SS25A</ns0:v>
      </ns0:c>
      <ns0:c r="S41" s="34" t="str">
        <ns0:f>K41</ns0:f>
        <ns0:v>Диод Шоттки SS25A</ns0:v>
      </ns0:c>
      <ns0:c r="T41" s="33" t="str">
        <ns0:v>C:\Users\Nomatin\Documents\Altium\MY_LIB\MY_LIB\Datasheets\Diodes\SS22A_SS220A_Yangjie.pdf</ns0:v>
      </ns0:c>
      <ns0:c r="U41" s="33" t="str">
        <ns0:v>Rev. 2.7, 19-Sep-2022</ns0:v>
      </ns0:c>
      <ns0:c r="V41" s="33" t="str">
        <ns0:v>Даташит — локальный</ns0:v>
      </ns0:c>
      <ns0:c r="W41" s="33" t="str">
        <ns0:v>C:\Users\Nomatin\Documents\Altium\MY_LIB\MY_LIB\Datasheets\Diodes\SS22A_SS220A_Yangjie.pdf</ns0:v>
      </ns0:c>
      <ns0:c r="X41" s="33" t="str">
        <ns0:v>Даташит — производитель</ns0:v>
      </ns0:c>
      <ns0:c r="Y41" s="33" t="str">
        <ns0:v>https://www.21yangjie.com/pdf/zlqj/xtjejg/SS22A%20THRU%20SS220A%20.pdf</ns0:v>
      </ns0:c>
      <ns0:c r="Z41" s="33" t="str">
        <ns0:v>C:\Users\Nomatin\Documents\Altium\MY_LIB\MY_LIB\Datasheets\Diodes\SS22A_SS220A_Yangjie.pdf</ns0:v>
      </ns0:c>
      <ns0:c r="AA41" s="33" t="str">
        <ns0:v>SS22A–SS220A</ns0:v>
      </ns0:c>
      <ns0:c r="AB41" s="33" t="str">
        <ns0:v>Одиночный</ns0:v>
      </ns0:c>
      <ns0:c r="AC41" s="33" t="str">
        <ns0:v>A=A; K=C</ns0:v>
      </ns0:c>
      <ns0:c r="AD41" s="33" t="n">
        <ns0:v>2</ns0:v>
      </ns0:c>
      <ns0:c r="AE41" s="33" t="n">
        <ns0:v>50</ns0:v>
      </ns0:c>
      <ns0:c r="AF41" s="33"/>
      <ns0:c r="AG41" s="33"/>
      <ns0:c r="AH41" s="33"/>
      <ns0:c r="AI41" s="33"/>
      <ns0:c r="AJ41" s="33"/>
    </ns0:row>
    <ns0:row r="42" ht="60" customHeight="1">
      <ns0:c r="A42" s="33" t="str">
        <ns0:v>VD0041</ns0:v>
      </ns0:c>
      <ns0:c r="B42" s="33" t="str">
        <ns0:v>Диод Шоттки</ns0:v>
      </ns0:c>
      <ns0:c r="C42" s="33" t="str">
        <ns0:v>SS26A</ns0:v>
      </ns0:c>
      <ns0:c r="D42" s="34" t="str">
        <ns0:f>C42</ns0:f>
        <ns0:v>SS26A</ns0:v>
      </ns0:c>
      <ns0:c r="E42" s="33"/>
      <ns0:c r="F42" s="33"/>
      <ns0:c r="G42" s="33" t="str">
        <ns0:v>60 В (VRRM/VR, см. даташит)</ns0:v>
      </ns0:c>
      <ns0:c r="H42" s="35" t="str">
        <ns0:v>SMA / DO-214AC</ns0:v>
      </ns0:c>
      <ns0:c r="I42" s="33" t="str">
        <ns0:v>Yangjie</ns0:v>
      </ns0:c>
      <ns0:c r="J42" s="33" t="str">
        <ns0:v>SS26A</ns0:v>
      </ns0:c>
      <ns0:c r="K42" s="34" t="str">
        <ns0:f>B42&amp;" "&amp;J42</ns0:f>
        <ns0:v>Диод Шоттки SS26A</ns0:v>
      </ns0:c>
      <ns0:c r="L42" s="36" t="str">
        <ns0:v>Schottky_AK</ns0:v>
      </ns0:c>
      <ns0:c r="M42" s="36" t="str">
        <ns0:v>Symbols\MY_LIB_Semiconductors.SchLib</ns0:v>
      </ns0:c>
      <ns0:c r="N42" s="36" t="str">
        <ns0:v>SMA_Yangjie</ns0:v>
      </ns0:c>
      <ns0:c r="O42" s="36" t="str">
        <ns0:v>Footprints\PBL - SMD Packages.PcbLib</ns0:v>
      </ns0:c>
      <ns0:c r="P42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2" s="33"/>
      <ns0:c r="R42" s="34" t="str">
        <ns0:f>D42</ns0:f>
        <ns0:v>SS26A</ns0:v>
      </ns0:c>
      <ns0:c r="S42" s="34" t="str">
        <ns0:f>K42</ns0:f>
        <ns0:v>Диод Шоттки SS26A</ns0:v>
      </ns0:c>
      <ns0:c r="T42" s="33" t="str">
        <ns0:v>C:\Users\Nomatin\Documents\Altium\MY_LIB\MY_LIB\Datasheets\Diodes\SS22A_SS220A_Yangjie.pdf</ns0:v>
      </ns0:c>
      <ns0:c r="U42" s="33" t="str">
        <ns0:v>Rev. 2.7, 19-Sep-2022</ns0:v>
      </ns0:c>
      <ns0:c r="V42" s="33" t="str">
        <ns0:v>Даташит — локальный</ns0:v>
      </ns0:c>
      <ns0:c r="W42" s="33" t="str">
        <ns0:v>C:\Users\Nomatin\Documents\Altium\MY_LIB\MY_LIB\Datasheets\Diodes\SS22A_SS220A_Yangjie.pdf</ns0:v>
      </ns0:c>
      <ns0:c r="X42" s="33" t="str">
        <ns0:v>Даташит — производитель</ns0:v>
      </ns0:c>
      <ns0:c r="Y42" s="33" t="str">
        <ns0:v>https://www.21yangjie.com/pdf/zlqj/xtjejg/SS22A%20THRU%20SS220A%20.pdf</ns0:v>
      </ns0:c>
      <ns0:c r="Z42" s="33" t="str">
        <ns0:v>C:\Users\Nomatin\Documents\Altium\MY_LIB\MY_LIB\Datasheets\Diodes\SS22A_SS220A_Yangjie.pdf</ns0:v>
      </ns0:c>
      <ns0:c r="AA42" s="33" t="str">
        <ns0:v>SS22A–SS220A</ns0:v>
      </ns0:c>
      <ns0:c r="AB42" s="33" t="str">
        <ns0:v>Одиночный</ns0:v>
      </ns0:c>
      <ns0:c r="AC42" s="33" t="str">
        <ns0:v>A=A; K=C</ns0:v>
      </ns0:c>
      <ns0:c r="AD42" s="33" t="n">
        <ns0:v>2</ns0:v>
      </ns0:c>
      <ns0:c r="AE42" s="33" t="n">
        <ns0:v>60</ns0:v>
      </ns0:c>
      <ns0:c r="AF42" s="33"/>
      <ns0:c r="AG42" s="33"/>
      <ns0:c r="AH42" s="33"/>
      <ns0:c r="AI42" s="33"/>
      <ns0:c r="AJ42" s="33"/>
    </ns0:row>
    <ns0:row r="43" ht="60" customHeight="1">
      <ns0:c r="A43" s="33" t="str">
        <ns0:v>VD0042</ns0:v>
      </ns0:c>
      <ns0:c r="B43" s="33" t="str">
        <ns0:v>Диод Шоттки</ns0:v>
      </ns0:c>
      <ns0:c r="C43" s="33" t="str">
        <ns0:v>SS28A</ns0:v>
      </ns0:c>
      <ns0:c r="D43" s="34" t="str">
        <ns0:f>C43</ns0:f>
        <ns0:v>SS28A</ns0:v>
      </ns0:c>
      <ns0:c r="E43" s="33"/>
      <ns0:c r="F43" s="33"/>
      <ns0:c r="G43" s="33" t="str">
        <ns0:v>80 В (VRRM/VR, см. даташит)</ns0:v>
      </ns0:c>
      <ns0:c r="H43" s="35" t="str">
        <ns0:v>SMA / DO-214AC</ns0:v>
      </ns0:c>
      <ns0:c r="I43" s="33" t="str">
        <ns0:v>Yangjie</ns0:v>
      </ns0:c>
      <ns0:c r="J43" s="33" t="str">
        <ns0:v>SS28A</ns0:v>
      </ns0:c>
      <ns0:c r="K43" s="34" t="str">
        <ns0:f>B43&amp;" "&amp;J43</ns0:f>
        <ns0:v>Диод Шоттки SS28A</ns0:v>
      </ns0:c>
      <ns0:c r="L43" s="36" t="str">
        <ns0:v>Schottky_AK</ns0:v>
      </ns0:c>
      <ns0:c r="M43" s="36" t="str">
        <ns0:v>Symbols\MY_LIB_Semiconductors.SchLib</ns0:v>
      </ns0:c>
      <ns0:c r="N43" s="36" t="str">
        <ns0:v>SMA_Yangjie</ns0:v>
      </ns0:c>
      <ns0:c r="O43" s="36" t="str">
        <ns0:v>Footprints\PBL - SMD Packages.PcbLib</ns0:v>
      </ns0:c>
      <ns0:c r="P43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3" s="33"/>
      <ns0:c r="R43" s="34" t="str">
        <ns0:f>D43</ns0:f>
        <ns0:v>SS28A</ns0:v>
      </ns0:c>
      <ns0:c r="S43" s="34" t="str">
        <ns0:f>K43</ns0:f>
        <ns0:v>Диод Шоттки SS28A</ns0:v>
      </ns0:c>
      <ns0:c r="T43" s="33" t="str">
        <ns0:v>C:\Users\Nomatin\Documents\Altium\MY_LIB\MY_LIB\Datasheets\Diodes\SS22A_SS220A_Yangjie.pdf</ns0:v>
      </ns0:c>
      <ns0:c r="U43" s="33" t="str">
        <ns0:v>Rev. 2.7, 19-Sep-2022</ns0:v>
      </ns0:c>
      <ns0:c r="V43" s="33" t="str">
        <ns0:v>Даташит — локальный</ns0:v>
      </ns0:c>
      <ns0:c r="W43" s="33" t="str">
        <ns0:v>C:\Users\Nomatin\Documents\Altium\MY_LIB\MY_LIB\Datasheets\Diodes\SS22A_SS220A_Yangjie.pdf</ns0:v>
      </ns0:c>
      <ns0:c r="X43" s="33" t="str">
        <ns0:v>Даташит — производитель</ns0:v>
      </ns0:c>
      <ns0:c r="Y43" s="33" t="str">
        <ns0:v>https://www.21yangjie.com/pdf/zlqj/xtjejg/SS22A%20THRU%20SS220A%20.pdf</ns0:v>
      </ns0:c>
      <ns0:c r="Z43" s="33" t="str">
        <ns0:v>C:\Users\Nomatin\Documents\Altium\MY_LIB\MY_LIB\Datasheets\Diodes\SS22A_SS220A_Yangjie.pdf</ns0:v>
      </ns0:c>
      <ns0:c r="AA43" s="33" t="str">
        <ns0:v>SS22A–SS220A</ns0:v>
      </ns0:c>
      <ns0:c r="AB43" s="33" t="str">
        <ns0:v>Одиночный</ns0:v>
      </ns0:c>
      <ns0:c r="AC43" s="33" t="str">
        <ns0:v>A=A; K=C</ns0:v>
      </ns0:c>
      <ns0:c r="AD43" s="33" t="n">
        <ns0:v>2</ns0:v>
      </ns0:c>
      <ns0:c r="AE43" s="33" t="n">
        <ns0:v>80</ns0:v>
      </ns0:c>
      <ns0:c r="AF43" s="33"/>
      <ns0:c r="AG43" s="33"/>
      <ns0:c r="AH43" s="33"/>
      <ns0:c r="AI43" s="33"/>
      <ns0:c r="AJ43" s="33"/>
    </ns0:row>
    <ns0:row r="44" ht="60" customHeight="1">
      <ns0:c r="A44" s="33" t="str">
        <ns0:v>VD0043</ns0:v>
      </ns0:c>
      <ns0:c r="B44" s="33" t="str">
        <ns0:v>Диод Шоттки</ns0:v>
      </ns0:c>
      <ns0:c r="C44" s="33" t="str">
        <ns0:v>SS210A</ns0:v>
      </ns0:c>
      <ns0:c r="D44" s="34" t="str">
        <ns0:f>C44</ns0:f>
        <ns0:v>SS210A</ns0:v>
      </ns0:c>
      <ns0:c r="E44" s="33"/>
      <ns0:c r="F44" s="33"/>
      <ns0:c r="G44" s="33" t="str">
        <ns0:v>100 В (VRRM/VR, см. даташит)</ns0:v>
      </ns0:c>
      <ns0:c r="H44" s="35" t="str">
        <ns0:v>SMA / DO-214AC</ns0:v>
      </ns0:c>
      <ns0:c r="I44" s="33" t="str">
        <ns0:v>Yangjie</ns0:v>
      </ns0:c>
      <ns0:c r="J44" s="33" t="str">
        <ns0:v>SS210A</ns0:v>
      </ns0:c>
      <ns0:c r="K44" s="34" t="str">
        <ns0:f>B44&amp;" "&amp;J44</ns0:f>
        <ns0:v>Диод Шоттки SS210A</ns0:v>
      </ns0:c>
      <ns0:c r="L44" s="36" t="str">
        <ns0:v>Schottky_AK</ns0:v>
      </ns0:c>
      <ns0:c r="M44" s="36" t="str">
        <ns0:v>Symbols\MY_LIB_Semiconductors.SchLib</ns0:v>
      </ns0:c>
      <ns0:c r="N44" s="36" t="str">
        <ns0:v>SMA_Yangjie</ns0:v>
      </ns0:c>
      <ns0:c r="O44" s="36" t="str">
        <ns0:v>Footprints\PBL - SMD Packages.PcbLib</ns0:v>
      </ns0:c>
      <ns0:c r="P44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4" s="33"/>
      <ns0:c r="R44" s="34" t="str">
        <ns0:f>D44</ns0:f>
        <ns0:v>SS210A</ns0:v>
      </ns0:c>
      <ns0:c r="S44" s="34" t="str">
        <ns0:f>K44</ns0:f>
        <ns0:v>Диод Шоттки SS210A</ns0:v>
      </ns0:c>
      <ns0:c r="T44" s="33" t="str">
        <ns0:v>C:\Users\Nomatin\Documents\Altium\MY_LIB\MY_LIB\Datasheets\Diodes\SS22A_SS220A_Yangjie.pdf</ns0:v>
      </ns0:c>
      <ns0:c r="U44" s="33" t="str">
        <ns0:v>Rev. 2.7, 19-Sep-2022</ns0:v>
      </ns0:c>
      <ns0:c r="V44" s="33" t="str">
        <ns0:v>Даташит — локальный</ns0:v>
      </ns0:c>
      <ns0:c r="W44" s="33" t="str">
        <ns0:v>C:\Users\Nomatin\Documents\Altium\MY_LIB\MY_LIB\Datasheets\Diodes\SS22A_SS220A_Yangjie.pdf</ns0:v>
      </ns0:c>
      <ns0:c r="X44" s="33" t="str">
        <ns0:v>Даташит — производитель</ns0:v>
      </ns0:c>
      <ns0:c r="Y44" s="33" t="str">
        <ns0:v>https://www.21yangjie.com/pdf/zlqj/xtjejg/SS22A%20THRU%20SS220A%20.pdf</ns0:v>
      </ns0:c>
      <ns0:c r="Z44" s="33" t="str">
        <ns0:v>C:\Users\Nomatin\Documents\Altium\MY_LIB\MY_LIB\Datasheets\Diodes\SS22A_SS220A_Yangjie.pdf</ns0:v>
      </ns0:c>
      <ns0:c r="AA44" s="33" t="str">
        <ns0:v>SS22A–SS220A</ns0:v>
      </ns0:c>
      <ns0:c r="AB44" s="33" t="str">
        <ns0:v>Одиночный</ns0:v>
      </ns0:c>
      <ns0:c r="AC44" s="33" t="str">
        <ns0:v>A=A; K=C</ns0:v>
      </ns0:c>
      <ns0:c r="AD44" s="33" t="n">
        <ns0:v>2</ns0:v>
      </ns0:c>
      <ns0:c r="AE44" s="33" t="n">
        <ns0:v>100</ns0:v>
      </ns0:c>
      <ns0:c r="AF44" s="33"/>
      <ns0:c r="AG44" s="33"/>
      <ns0:c r="AH44" s="33"/>
      <ns0:c r="AI44" s="33"/>
      <ns0:c r="AJ44" s="33"/>
    </ns0:row>
    <ns0:row r="45" ht="60" customHeight="1">
      <ns0:c r="A45" s="33" t="str">
        <ns0:v>VD0044</ns0:v>
      </ns0:c>
      <ns0:c r="B45" s="33" t="str">
        <ns0:v>Диод Шоттки</ns0:v>
      </ns0:c>
      <ns0:c r="C45" s="33" t="str">
        <ns0:v>SS215A</ns0:v>
      </ns0:c>
      <ns0:c r="D45" s="34" t="str">
        <ns0:f>C45</ns0:f>
        <ns0:v>SS215A</ns0:v>
      </ns0:c>
      <ns0:c r="E45" s="33"/>
      <ns0:c r="F45" s="33"/>
      <ns0:c r="G45" s="33" t="str">
        <ns0:v>150 В (VRRM/VR, см. даташит)</ns0:v>
      </ns0:c>
      <ns0:c r="H45" s="35" t="str">
        <ns0:v>SMA / DO-214AC</ns0:v>
      </ns0:c>
      <ns0:c r="I45" s="33" t="str">
        <ns0:v>Yangjie</ns0:v>
      </ns0:c>
      <ns0:c r="J45" s="33" t="str">
        <ns0:v>SS215A</ns0:v>
      </ns0:c>
      <ns0:c r="K45" s="34" t="str">
        <ns0:f>B45&amp;" "&amp;J45</ns0:f>
        <ns0:v>Диод Шоттки SS215A</ns0:v>
      </ns0:c>
      <ns0:c r="L45" s="36" t="str">
        <ns0:v>Schottky_AK</ns0:v>
      </ns0:c>
      <ns0:c r="M45" s="36" t="str">
        <ns0:v>Symbols\MY_LIB_Semiconductors.SchLib</ns0:v>
      </ns0:c>
      <ns0:c r="N45" s="36" t="str">
        <ns0:v>SMA_Yangjie</ns0:v>
      </ns0:c>
      <ns0:c r="O45" s="36" t="str">
        <ns0:v>Footprints\PBL - SMD Packages.PcbLib</ns0:v>
      </ns0:c>
      <ns0:c r="P45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5" s="33"/>
      <ns0:c r="R45" s="34" t="str">
        <ns0:f>D45</ns0:f>
        <ns0:v>SS215A</ns0:v>
      </ns0:c>
      <ns0:c r="S45" s="34" t="str">
        <ns0:f>K45</ns0:f>
        <ns0:v>Диод Шоттки SS215A</ns0:v>
      </ns0:c>
      <ns0:c r="T45" s="33" t="str">
        <ns0:v>C:\Users\Nomatin\Documents\Altium\MY_LIB\MY_LIB\Datasheets\Diodes\SS22A_SS220A_Yangjie.pdf</ns0:v>
      </ns0:c>
      <ns0:c r="U45" s="33" t="str">
        <ns0:v>Rev. 2.7, 19-Sep-2022</ns0:v>
      </ns0:c>
      <ns0:c r="V45" s="33" t="str">
        <ns0:v>Даташит — локальный</ns0:v>
      </ns0:c>
      <ns0:c r="W45" s="33" t="str">
        <ns0:v>C:\Users\Nomatin\Documents\Altium\MY_LIB\MY_LIB\Datasheets\Diodes\SS22A_SS220A_Yangjie.pdf</ns0:v>
      </ns0:c>
      <ns0:c r="X45" s="33" t="str">
        <ns0:v>Даташит — производитель</ns0:v>
      </ns0:c>
      <ns0:c r="Y45" s="33" t="str">
        <ns0:v>https://www.21yangjie.com/pdf/zlqj/xtjejg/SS22A%20THRU%20SS220A%20.pdf</ns0:v>
      </ns0:c>
      <ns0:c r="Z45" s="33" t="str">
        <ns0:v>C:\Users\Nomatin\Documents\Altium\MY_LIB\MY_LIB\Datasheets\Diodes\SS22A_SS220A_Yangjie.pdf</ns0:v>
      </ns0:c>
      <ns0:c r="AA45" s="33" t="str">
        <ns0:v>SS22A–SS220A</ns0:v>
      </ns0:c>
      <ns0:c r="AB45" s="33" t="str">
        <ns0:v>Одиночный</ns0:v>
      </ns0:c>
      <ns0:c r="AC45" s="33" t="str">
        <ns0:v>A=A; K=C</ns0:v>
      </ns0:c>
      <ns0:c r="AD45" s="33" t="n">
        <ns0:v>2</ns0:v>
      </ns0:c>
      <ns0:c r="AE45" s="33" t="n">
        <ns0:v>150</ns0:v>
      </ns0:c>
      <ns0:c r="AF45" s="33"/>
      <ns0:c r="AG45" s="33"/>
      <ns0:c r="AH45" s="33"/>
      <ns0:c r="AI45" s="33"/>
      <ns0:c r="AJ45" s="33"/>
    </ns0:row>
    <ns0:row r="46" ht="60" customHeight="1">
      <ns0:c r="A46" s="33" t="str">
        <ns0:v>VD0045</ns0:v>
      </ns0:c>
      <ns0:c r="B46" s="33" t="str">
        <ns0:v>Диод Шоттки</ns0:v>
      </ns0:c>
      <ns0:c r="C46" s="33" t="str">
        <ns0:v>SS220A</ns0:v>
      </ns0:c>
      <ns0:c r="D46" s="34" t="str">
        <ns0:f>C46</ns0:f>
        <ns0:v>SS220A</ns0:v>
      </ns0:c>
      <ns0:c r="E46" s="33"/>
      <ns0:c r="F46" s="33"/>
      <ns0:c r="G46" s="33" t="str">
        <ns0:v>200 В (VRRM/VR, см. даташит)</ns0:v>
      </ns0:c>
      <ns0:c r="H46" s="35" t="str">
        <ns0:v>SMA / DO-214AC</ns0:v>
      </ns0:c>
      <ns0:c r="I46" s="33" t="str">
        <ns0:v>Yangjie</ns0:v>
      </ns0:c>
      <ns0:c r="J46" s="33" t="str">
        <ns0:v>SS220A</ns0:v>
      </ns0:c>
      <ns0:c r="K46" s="34" t="str">
        <ns0:f>B46&amp;" "&amp;J46</ns0:f>
        <ns0:v>Диод Шоттки SS220A</ns0:v>
      </ns0:c>
      <ns0:c r="L46" s="36" t="str">
        <ns0:v>Schottky_AK</ns0:v>
      </ns0:c>
      <ns0:c r="M46" s="36" t="str">
        <ns0:v>Symbols\MY_LIB_Semiconductors.SchLib</ns0:v>
      </ns0:c>
      <ns0:c r="N46" s="36" t="str">
        <ns0:v>SMA_Yangjie</ns0:v>
      </ns0:c>
      <ns0:c r="O46" s="36" t="str">
        <ns0:v>Footprints\PBL - SMD Packages.PcbLib</ns0:v>
      </ns0:c>
      <ns0:c r="P46" s="33" t="str">
        <ns0:v>Выпрямительный диод Шоттки 2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6" s="33"/>
      <ns0:c r="R46" s="34" t="str">
        <ns0:f>D46</ns0:f>
        <ns0:v>SS220A</ns0:v>
      </ns0:c>
      <ns0:c r="S46" s="34" t="str">
        <ns0:f>K46</ns0:f>
        <ns0:v>Диод Шоттки SS220A</ns0:v>
      </ns0:c>
      <ns0:c r="T46" s="33" t="str">
        <ns0:v>C:\Users\Nomatin\Documents\Altium\MY_LIB\MY_LIB\Datasheets\Diodes\SS22A_SS220A_Yangjie.pdf</ns0:v>
      </ns0:c>
      <ns0:c r="U46" s="33" t="str">
        <ns0:v>Rev. 2.7, 19-Sep-2022</ns0:v>
      </ns0:c>
      <ns0:c r="V46" s="33" t="str">
        <ns0:v>Даташит — локальный</ns0:v>
      </ns0:c>
      <ns0:c r="W46" s="33" t="str">
        <ns0:v>C:\Users\Nomatin\Documents\Altium\MY_LIB\MY_LIB\Datasheets\Diodes\SS22A_SS220A_Yangjie.pdf</ns0:v>
      </ns0:c>
      <ns0:c r="X46" s="33" t="str">
        <ns0:v>Даташит — производитель</ns0:v>
      </ns0:c>
      <ns0:c r="Y46" s="33" t="str">
        <ns0:v>https://www.21yangjie.com/pdf/zlqj/xtjejg/SS22A%20THRU%20SS220A%20.pdf</ns0:v>
      </ns0:c>
      <ns0:c r="Z46" s="33" t="str">
        <ns0:v>C:\Users\Nomatin\Documents\Altium\MY_LIB\MY_LIB\Datasheets\Diodes\SS22A_SS220A_Yangjie.pdf</ns0:v>
      </ns0:c>
      <ns0:c r="AA46" s="33" t="str">
        <ns0:v>SS22A–SS220A</ns0:v>
      </ns0:c>
      <ns0:c r="AB46" s="33" t="str">
        <ns0:v>Одиночный</ns0:v>
      </ns0:c>
      <ns0:c r="AC46" s="33" t="str">
        <ns0:v>A=A; K=C</ns0:v>
      </ns0:c>
      <ns0:c r="AD46" s="33" t="n">
        <ns0:v>2</ns0:v>
      </ns0:c>
      <ns0:c r="AE46" s="33" t="n">
        <ns0:v>200</ns0:v>
      </ns0:c>
      <ns0:c r="AF46" s="33"/>
      <ns0:c r="AG46" s="33"/>
      <ns0:c r="AH46" s="33"/>
      <ns0:c r="AI46" s="33"/>
      <ns0:c r="AJ46" s="33"/>
    </ns0:row>
    <ns0:row r="47" ht="60" customHeight="1">
      <ns0:c r="A47" s="33" t="str">
        <ns0:v>VD0046</ns0:v>
      </ns0:c>
      <ns0:c r="B47" s="33" t="str">
        <ns0:v>Диод Шоттки</ns0:v>
      </ns0:c>
      <ns0:c r="C47" s="33" t="str">
        <ns0:v>SS32A</ns0:v>
      </ns0:c>
      <ns0:c r="D47" s="34" t="str">
        <ns0:f>C47</ns0:f>
        <ns0:v>SS32A</ns0:v>
      </ns0:c>
      <ns0:c r="E47" s="33"/>
      <ns0:c r="F47" s="33"/>
      <ns0:c r="G47" s="33" t="str">
        <ns0:v>20 В (VRRM/VR, см. даташит)</ns0:v>
      </ns0:c>
      <ns0:c r="H47" s="35" t="str">
        <ns0:v>SMA / DO-214AC</ns0:v>
      </ns0:c>
      <ns0:c r="I47" s="33" t="str">
        <ns0:v>Yangjie</ns0:v>
      </ns0:c>
      <ns0:c r="J47" s="33" t="str">
        <ns0:v>SS32A</ns0:v>
      </ns0:c>
      <ns0:c r="K47" s="34" t="str">
        <ns0:f>B47&amp;" "&amp;J47</ns0:f>
        <ns0:v>Диод Шоттки SS32A</ns0:v>
      </ns0:c>
      <ns0:c r="L47" s="36" t="str">
        <ns0:v>Schottky_AK</ns0:v>
      </ns0:c>
      <ns0:c r="M47" s="36" t="str">
        <ns0:v>Symbols\MY_LIB_Semiconductors.SchLib</ns0:v>
      </ns0:c>
      <ns0:c r="N47" s="36" t="str">
        <ns0:v>SMA_Yangjie</ns0:v>
      </ns0:c>
      <ns0:c r="O47" s="36" t="str">
        <ns0:v>Footprints\PBL - SMD Packages.PcbLib</ns0:v>
      </ns0:c>
      <ns0:c r="P47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7" s="33"/>
      <ns0:c r="R47" s="34" t="str">
        <ns0:f>D47</ns0:f>
        <ns0:v>SS32A</ns0:v>
      </ns0:c>
      <ns0:c r="S47" s="34" t="str">
        <ns0:f>K47</ns0:f>
        <ns0:v>Диод Шоттки SS32A</ns0:v>
      </ns0:c>
      <ns0:c r="T47" s="33" t="str">
        <ns0:v>C:\Users\Nomatin\Documents\Altium\MY_LIB\MY_LIB\Datasheets\Diodes\SS32A_SS320A_Yangjie.pdf</ns0:v>
      </ns0:c>
      <ns0:c r="U47" s="33" t="str">
        <ns0:v>Rev. 2.4, 28-Apr-2014</ns0:v>
      </ns0:c>
      <ns0:c r="V47" s="33" t="str">
        <ns0:v>Даташит — локальный</ns0:v>
      </ns0:c>
      <ns0:c r="W47" s="33" t="str">
        <ns0:v>C:\Users\Nomatin\Documents\Altium\MY_LIB\MY_LIB\Datasheets\Diodes\SS32A_SS320A_Yangjie.pdf</ns0:v>
      </ns0:c>
      <ns0:c r="X47" s="33" t="str">
        <ns0:v>Даташит — производитель</ns0:v>
      </ns0:c>
      <ns0:c r="Y47" s="33" t="str">
        <ns0:v>https://www.21yangjie.com/pdf/zlqj/xtjejg/SS32A%20THRU%20SS320A.pdf</ns0:v>
      </ns0:c>
      <ns0:c r="Z47" s="33" t="str">
        <ns0:v>C:\Users\Nomatin\Documents\Altium\MY_LIB\MY_LIB\Datasheets\Diodes\SS32A_SS320A_Yangjie.pdf</ns0:v>
      </ns0:c>
      <ns0:c r="AA47" s="33" t="str">
        <ns0:v>SS32A–SS320A</ns0:v>
      </ns0:c>
      <ns0:c r="AB47" s="33" t="str">
        <ns0:v>Одиночный</ns0:v>
      </ns0:c>
      <ns0:c r="AC47" s="33" t="str">
        <ns0:v>A=A; K=C</ns0:v>
      </ns0:c>
      <ns0:c r="AD47" s="33" t="n">
        <ns0:v>3</ns0:v>
      </ns0:c>
      <ns0:c r="AE47" s="33" t="n">
        <ns0:v>20</ns0:v>
      </ns0:c>
      <ns0:c r="AF47" s="33"/>
      <ns0:c r="AG47" s="33"/>
      <ns0:c r="AH47" s="33"/>
      <ns0:c r="AI47" s="33"/>
      <ns0:c r="AJ47" s="33"/>
    </ns0:row>
    <ns0:row r="48" ht="60" customHeight="1">
      <ns0:c r="A48" s="33" t="str">
        <ns0:v>VD0047</ns0:v>
      </ns0:c>
      <ns0:c r="B48" s="33" t="str">
        <ns0:v>Диод Шоттки</ns0:v>
      </ns0:c>
      <ns0:c r="C48" s="33" t="str">
        <ns0:v>SS33A</ns0:v>
      </ns0:c>
      <ns0:c r="D48" s="34" t="str">
        <ns0:f>C48</ns0:f>
        <ns0:v>SS33A</ns0:v>
      </ns0:c>
      <ns0:c r="E48" s="33"/>
      <ns0:c r="F48" s="33"/>
      <ns0:c r="G48" s="33" t="str">
        <ns0:v>30 В (VRRM/VR, см. даташит)</ns0:v>
      </ns0:c>
      <ns0:c r="H48" s="35" t="str">
        <ns0:v>SMA / DO-214AC</ns0:v>
      </ns0:c>
      <ns0:c r="I48" s="33" t="str">
        <ns0:v>Yangjie</ns0:v>
      </ns0:c>
      <ns0:c r="J48" s="33" t="str">
        <ns0:v>SS33A</ns0:v>
      </ns0:c>
      <ns0:c r="K48" s="34" t="str">
        <ns0:f>B48&amp;" "&amp;J48</ns0:f>
        <ns0:v>Диод Шоттки SS33A</ns0:v>
      </ns0:c>
      <ns0:c r="L48" s="36" t="str">
        <ns0:v>Schottky_AK</ns0:v>
      </ns0:c>
      <ns0:c r="M48" s="36" t="str">
        <ns0:v>Symbols\MY_LIB_Semiconductors.SchLib</ns0:v>
      </ns0:c>
      <ns0:c r="N48" s="36" t="str">
        <ns0:v>SMA_Yangjie</ns0:v>
      </ns0:c>
      <ns0:c r="O48" s="36" t="str">
        <ns0:v>Footprints\PBL - SMD Packages.PcbLib</ns0:v>
      </ns0:c>
      <ns0:c r="P48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8" s="33"/>
      <ns0:c r="R48" s="34" t="str">
        <ns0:f>D48</ns0:f>
        <ns0:v>SS33A</ns0:v>
      </ns0:c>
      <ns0:c r="S48" s="34" t="str">
        <ns0:f>K48</ns0:f>
        <ns0:v>Диод Шоттки SS33A</ns0:v>
      </ns0:c>
      <ns0:c r="T48" s="33" t="str">
        <ns0:v>C:\Users\Nomatin\Documents\Altium\MY_LIB\MY_LIB\Datasheets\Diodes\SS32A_SS320A_Yangjie.pdf</ns0:v>
      </ns0:c>
      <ns0:c r="U48" s="33" t="str">
        <ns0:v>Rev. 2.4, 28-Apr-2014</ns0:v>
      </ns0:c>
      <ns0:c r="V48" s="33" t="str">
        <ns0:v>Даташит — локальный</ns0:v>
      </ns0:c>
      <ns0:c r="W48" s="33" t="str">
        <ns0:v>C:\Users\Nomatin\Documents\Altium\MY_LIB\MY_LIB\Datasheets\Diodes\SS32A_SS320A_Yangjie.pdf</ns0:v>
      </ns0:c>
      <ns0:c r="X48" s="33" t="str">
        <ns0:v>Даташит — производитель</ns0:v>
      </ns0:c>
      <ns0:c r="Y48" s="33" t="str">
        <ns0:v>https://www.21yangjie.com/pdf/zlqj/xtjejg/SS32A%20THRU%20SS320A.pdf</ns0:v>
      </ns0:c>
      <ns0:c r="Z48" s="33" t="str">
        <ns0:v>C:\Users\Nomatin\Documents\Altium\MY_LIB\MY_LIB\Datasheets\Diodes\SS32A_SS320A_Yangjie.pdf</ns0:v>
      </ns0:c>
      <ns0:c r="AA48" s="33" t="str">
        <ns0:v>SS32A–SS320A</ns0:v>
      </ns0:c>
      <ns0:c r="AB48" s="33" t="str">
        <ns0:v>Одиночный</ns0:v>
      </ns0:c>
      <ns0:c r="AC48" s="33" t="str">
        <ns0:v>A=A; K=C</ns0:v>
      </ns0:c>
      <ns0:c r="AD48" s="33" t="n">
        <ns0:v>3</ns0:v>
      </ns0:c>
      <ns0:c r="AE48" s="33" t="n">
        <ns0:v>30</ns0:v>
      </ns0:c>
      <ns0:c r="AF48" s="33"/>
      <ns0:c r="AG48" s="33"/>
      <ns0:c r="AH48" s="33"/>
      <ns0:c r="AI48" s="33"/>
      <ns0:c r="AJ48" s="33"/>
    </ns0:row>
    <ns0:row r="49" ht="60" customHeight="1">
      <ns0:c r="A49" s="33" t="str">
        <ns0:v>VD0048</ns0:v>
      </ns0:c>
      <ns0:c r="B49" s="33" t="str">
        <ns0:v>Диод Шоттки</ns0:v>
      </ns0:c>
      <ns0:c r="C49" s="33" t="str">
        <ns0:v>SS34A</ns0:v>
      </ns0:c>
      <ns0:c r="D49" s="34" t="str">
        <ns0:f>C49</ns0:f>
        <ns0:v>SS34A</ns0:v>
      </ns0:c>
      <ns0:c r="E49" s="33"/>
      <ns0:c r="F49" s="33"/>
      <ns0:c r="G49" s="33" t="str">
        <ns0:v>40 В (VRRM/VR, см. даташит)</ns0:v>
      </ns0:c>
      <ns0:c r="H49" s="35" t="str">
        <ns0:v>SMA / DO-214AC</ns0:v>
      </ns0:c>
      <ns0:c r="I49" s="33" t="str">
        <ns0:v>Yangjie</ns0:v>
      </ns0:c>
      <ns0:c r="J49" s="33" t="str">
        <ns0:v>SS34A</ns0:v>
      </ns0:c>
      <ns0:c r="K49" s="34" t="str">
        <ns0:f>B49&amp;" "&amp;J49</ns0:f>
        <ns0:v>Диод Шоттки SS34A</ns0:v>
      </ns0:c>
      <ns0:c r="L49" s="36" t="str">
        <ns0:v>Schottky_AK</ns0:v>
      </ns0:c>
      <ns0:c r="M49" s="36" t="str">
        <ns0:v>Symbols\MY_LIB_Semiconductors.SchLib</ns0:v>
      </ns0:c>
      <ns0:c r="N49" s="36" t="str">
        <ns0:v>SMA_Yangjie</ns0:v>
      </ns0:c>
      <ns0:c r="O49" s="36" t="str">
        <ns0:v>Footprints\PBL - SMD Packages.PcbLib</ns0:v>
      </ns0:c>
      <ns0:c r="P49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49" s="33"/>
      <ns0:c r="R49" s="34" t="str">
        <ns0:f>D49</ns0:f>
        <ns0:v>SS34A</ns0:v>
      </ns0:c>
      <ns0:c r="S49" s="34" t="str">
        <ns0:f>K49</ns0:f>
        <ns0:v>Диод Шоттки SS34A</ns0:v>
      </ns0:c>
      <ns0:c r="T49" s="33" t="str">
        <ns0:v>C:\Users\Nomatin\Documents\Altium\MY_LIB\MY_LIB\Datasheets\Diodes\SS32A_SS320A_Yangjie.pdf</ns0:v>
      </ns0:c>
      <ns0:c r="U49" s="33" t="str">
        <ns0:v>Rev. 2.4, 28-Apr-2014</ns0:v>
      </ns0:c>
      <ns0:c r="V49" s="33" t="str">
        <ns0:v>Даташит — локальный</ns0:v>
      </ns0:c>
      <ns0:c r="W49" s="33" t="str">
        <ns0:v>C:\Users\Nomatin\Documents\Altium\MY_LIB\MY_LIB\Datasheets\Diodes\SS32A_SS320A_Yangjie.pdf</ns0:v>
      </ns0:c>
      <ns0:c r="X49" s="33" t="str">
        <ns0:v>Даташит — производитель</ns0:v>
      </ns0:c>
      <ns0:c r="Y49" s="33" t="str">
        <ns0:v>https://www.21yangjie.com/pdf/zlqj/xtjejg/SS32A%20THRU%20SS320A.pdf</ns0:v>
      </ns0:c>
      <ns0:c r="Z49" s="33" t="str">
        <ns0:v>C:\Users\Nomatin\Documents\Altium\MY_LIB\MY_LIB\Datasheets\Diodes\SS32A_SS320A_Yangjie.pdf</ns0:v>
      </ns0:c>
      <ns0:c r="AA49" s="33" t="str">
        <ns0:v>SS32A–SS320A</ns0:v>
      </ns0:c>
      <ns0:c r="AB49" s="33" t="str">
        <ns0:v>Одиночный</ns0:v>
      </ns0:c>
      <ns0:c r="AC49" s="33" t="str">
        <ns0:v>A=A; K=C</ns0:v>
      </ns0:c>
      <ns0:c r="AD49" s="33" t="n">
        <ns0:v>3</ns0:v>
      </ns0:c>
      <ns0:c r="AE49" s="33" t="n">
        <ns0:v>40</ns0:v>
      </ns0:c>
      <ns0:c r="AF49" s="33"/>
      <ns0:c r="AG49" s="33"/>
      <ns0:c r="AH49" s="33"/>
      <ns0:c r="AI49" s="33"/>
      <ns0:c r="AJ49" s="33"/>
    </ns0:row>
    <ns0:row r="50" ht="60" customHeight="1">
      <ns0:c r="A50" s="33" t="str">
        <ns0:v>VD0049</ns0:v>
      </ns0:c>
      <ns0:c r="B50" s="33" t="str">
        <ns0:v>Диод Шоттки</ns0:v>
      </ns0:c>
      <ns0:c r="C50" s="33" t="str">
        <ns0:v>SS35A</ns0:v>
      </ns0:c>
      <ns0:c r="D50" s="34" t="str">
        <ns0:f>C50</ns0:f>
        <ns0:v>SS35A</ns0:v>
      </ns0:c>
      <ns0:c r="E50" s="33"/>
      <ns0:c r="F50" s="33"/>
      <ns0:c r="G50" s="33" t="str">
        <ns0:v>50 В (VRRM/VR, см. даташит)</ns0:v>
      </ns0:c>
      <ns0:c r="H50" s="35" t="str">
        <ns0:v>SMA / DO-214AC</ns0:v>
      </ns0:c>
      <ns0:c r="I50" s="33" t="str">
        <ns0:v>Yangjie</ns0:v>
      </ns0:c>
      <ns0:c r="J50" s="33" t="str">
        <ns0:v>SS35A</ns0:v>
      </ns0:c>
      <ns0:c r="K50" s="34" t="str">
        <ns0:f>B50&amp;" "&amp;J50</ns0:f>
        <ns0:v>Диод Шоттки SS35A</ns0:v>
      </ns0:c>
      <ns0:c r="L50" s="36" t="str">
        <ns0:v>Schottky_AK</ns0:v>
      </ns0:c>
      <ns0:c r="M50" s="36" t="str">
        <ns0:v>Symbols\MY_LIB_Semiconductors.SchLib</ns0:v>
      </ns0:c>
      <ns0:c r="N50" s="36" t="str">
        <ns0:v>SMA_Yangjie</ns0:v>
      </ns0:c>
      <ns0:c r="O50" s="36" t="str">
        <ns0:v>Footprints\PBL - SMD Packages.PcbLib</ns0:v>
      </ns0:c>
      <ns0:c r="P50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0" s="33"/>
      <ns0:c r="R50" s="34" t="str">
        <ns0:f>D50</ns0:f>
        <ns0:v>SS35A</ns0:v>
      </ns0:c>
      <ns0:c r="S50" s="34" t="str">
        <ns0:f>K50</ns0:f>
        <ns0:v>Диод Шоттки SS35A</ns0:v>
      </ns0:c>
      <ns0:c r="T50" s="33" t="str">
        <ns0:v>C:\Users\Nomatin\Documents\Altium\MY_LIB\MY_LIB\Datasheets\Diodes\SS32A_SS320A_Yangjie.pdf</ns0:v>
      </ns0:c>
      <ns0:c r="U50" s="33" t="str">
        <ns0:v>Rev. 2.4, 28-Apr-2014</ns0:v>
      </ns0:c>
      <ns0:c r="V50" s="33" t="str">
        <ns0:v>Даташит — локальный</ns0:v>
      </ns0:c>
      <ns0:c r="W50" s="33" t="str">
        <ns0:v>C:\Users\Nomatin\Documents\Altium\MY_LIB\MY_LIB\Datasheets\Diodes\SS32A_SS320A_Yangjie.pdf</ns0:v>
      </ns0:c>
      <ns0:c r="X50" s="33" t="str">
        <ns0:v>Даташит — производитель</ns0:v>
      </ns0:c>
      <ns0:c r="Y50" s="33" t="str">
        <ns0:v>https://www.21yangjie.com/pdf/zlqj/xtjejg/SS32A%20THRU%20SS320A.pdf</ns0:v>
      </ns0:c>
      <ns0:c r="Z50" s="33" t="str">
        <ns0:v>C:\Users\Nomatin\Documents\Altium\MY_LIB\MY_LIB\Datasheets\Diodes\SS32A_SS320A_Yangjie.pdf</ns0:v>
      </ns0:c>
      <ns0:c r="AA50" s="33" t="str">
        <ns0:v>SS32A–SS320A</ns0:v>
      </ns0:c>
      <ns0:c r="AB50" s="33" t="str">
        <ns0:v>Одиночный</ns0:v>
      </ns0:c>
      <ns0:c r="AC50" s="33" t="str">
        <ns0:v>A=A; K=C</ns0:v>
      </ns0:c>
      <ns0:c r="AD50" s="33" t="n">
        <ns0:v>3</ns0:v>
      </ns0:c>
      <ns0:c r="AE50" s="33" t="n">
        <ns0:v>50</ns0:v>
      </ns0:c>
      <ns0:c r="AF50" s="33"/>
      <ns0:c r="AG50" s="33"/>
      <ns0:c r="AH50" s="33"/>
      <ns0:c r="AI50" s="33"/>
      <ns0:c r="AJ50" s="33"/>
    </ns0:row>
    <ns0:row r="51" ht="60" customHeight="1">
      <ns0:c r="A51" s="33" t="str">
        <ns0:v>VD0050</ns0:v>
      </ns0:c>
      <ns0:c r="B51" s="33" t="str">
        <ns0:v>Диод Шоттки</ns0:v>
      </ns0:c>
      <ns0:c r="C51" s="33" t="str">
        <ns0:v>SS36A</ns0:v>
      </ns0:c>
      <ns0:c r="D51" s="34" t="str">
        <ns0:f>C51</ns0:f>
        <ns0:v>SS36A</ns0:v>
      </ns0:c>
      <ns0:c r="E51" s="33"/>
      <ns0:c r="F51" s="33"/>
      <ns0:c r="G51" s="33" t="str">
        <ns0:v>60 В (VRRM/VR, см. даташит)</ns0:v>
      </ns0:c>
      <ns0:c r="H51" s="35" t="str">
        <ns0:v>SMA / DO-214AC</ns0:v>
      </ns0:c>
      <ns0:c r="I51" s="33" t="str">
        <ns0:v>Yangjie</ns0:v>
      </ns0:c>
      <ns0:c r="J51" s="33" t="str">
        <ns0:v>SS36A</ns0:v>
      </ns0:c>
      <ns0:c r="K51" s="34" t="str">
        <ns0:f>B51&amp;" "&amp;J51</ns0:f>
        <ns0:v>Диод Шоттки SS36A</ns0:v>
      </ns0:c>
      <ns0:c r="L51" s="36" t="str">
        <ns0:v>Schottky_AK</ns0:v>
      </ns0:c>
      <ns0:c r="M51" s="36" t="str">
        <ns0:v>Symbols\MY_LIB_Semiconductors.SchLib</ns0:v>
      </ns0:c>
      <ns0:c r="N51" s="36" t="str">
        <ns0:v>SMA_Yangjie</ns0:v>
      </ns0:c>
      <ns0:c r="O51" s="36" t="str">
        <ns0:v>Footprints\PBL - SMD Packages.PcbLib</ns0:v>
      </ns0:c>
      <ns0:c r="P51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1" s="33"/>
      <ns0:c r="R51" s="34" t="str">
        <ns0:f>D51</ns0:f>
        <ns0:v>SS36A</ns0:v>
      </ns0:c>
      <ns0:c r="S51" s="34" t="str">
        <ns0:f>K51</ns0:f>
        <ns0:v>Диод Шоттки SS36A</ns0:v>
      </ns0:c>
      <ns0:c r="T51" s="33" t="str">
        <ns0:v>C:\Users\Nomatin\Documents\Altium\MY_LIB\MY_LIB\Datasheets\Diodes\SS32A_SS320A_Yangjie.pdf</ns0:v>
      </ns0:c>
      <ns0:c r="U51" s="33" t="str">
        <ns0:v>Rev. 2.4, 28-Apr-2014</ns0:v>
      </ns0:c>
      <ns0:c r="V51" s="33" t="str">
        <ns0:v>Даташит — локальный</ns0:v>
      </ns0:c>
      <ns0:c r="W51" s="33" t="str">
        <ns0:v>C:\Users\Nomatin\Documents\Altium\MY_LIB\MY_LIB\Datasheets\Diodes\SS32A_SS320A_Yangjie.pdf</ns0:v>
      </ns0:c>
      <ns0:c r="X51" s="33" t="str">
        <ns0:v>Даташит — производитель</ns0:v>
      </ns0:c>
      <ns0:c r="Y51" s="33" t="str">
        <ns0:v>https://www.21yangjie.com/pdf/zlqj/xtjejg/SS32A%20THRU%20SS320A.pdf</ns0:v>
      </ns0:c>
      <ns0:c r="Z51" s="33" t="str">
        <ns0:v>C:\Users\Nomatin\Documents\Altium\MY_LIB\MY_LIB\Datasheets\Diodes\SS32A_SS320A_Yangjie.pdf</ns0:v>
      </ns0:c>
      <ns0:c r="AA51" s="33" t="str">
        <ns0:v>SS32A–SS320A</ns0:v>
      </ns0:c>
      <ns0:c r="AB51" s="33" t="str">
        <ns0:v>Одиночный</ns0:v>
      </ns0:c>
      <ns0:c r="AC51" s="33" t="str">
        <ns0:v>A=A; K=C</ns0:v>
      </ns0:c>
      <ns0:c r="AD51" s="33" t="n">
        <ns0:v>3</ns0:v>
      </ns0:c>
      <ns0:c r="AE51" s="33" t="n">
        <ns0:v>60</ns0:v>
      </ns0:c>
      <ns0:c r="AF51" s="33"/>
      <ns0:c r="AG51" s="33"/>
      <ns0:c r="AH51" s="33"/>
      <ns0:c r="AI51" s="33"/>
      <ns0:c r="AJ51" s="33"/>
    </ns0:row>
    <ns0:row r="52" ht="60" customHeight="1">
      <ns0:c r="A52" s="33" t="str">
        <ns0:v>VD0051</ns0:v>
      </ns0:c>
      <ns0:c r="B52" s="33" t="str">
        <ns0:v>Диод Шоттки</ns0:v>
      </ns0:c>
      <ns0:c r="C52" s="33" t="str">
        <ns0:v>SS38A</ns0:v>
      </ns0:c>
      <ns0:c r="D52" s="34" t="str">
        <ns0:f>C52</ns0:f>
        <ns0:v>SS38A</ns0:v>
      </ns0:c>
      <ns0:c r="E52" s="33"/>
      <ns0:c r="F52" s="33"/>
      <ns0:c r="G52" s="33" t="str">
        <ns0:v>80 В (VRRM/VR, см. даташит)</ns0:v>
      </ns0:c>
      <ns0:c r="H52" s="35" t="str">
        <ns0:v>SMA / DO-214AC</ns0:v>
      </ns0:c>
      <ns0:c r="I52" s="33" t="str">
        <ns0:v>Yangjie</ns0:v>
      </ns0:c>
      <ns0:c r="J52" s="33" t="str">
        <ns0:v>SS38A</ns0:v>
      </ns0:c>
      <ns0:c r="K52" s="34" t="str">
        <ns0:f>B52&amp;" "&amp;J52</ns0:f>
        <ns0:v>Диод Шоттки SS38A</ns0:v>
      </ns0:c>
      <ns0:c r="L52" s="36" t="str">
        <ns0:v>Schottky_AK</ns0:v>
      </ns0:c>
      <ns0:c r="M52" s="36" t="str">
        <ns0:v>Symbols\MY_LIB_Semiconductors.SchLib</ns0:v>
      </ns0:c>
      <ns0:c r="N52" s="36" t="str">
        <ns0:v>SMA_Yangjie</ns0:v>
      </ns0:c>
      <ns0:c r="O52" s="36" t="str">
        <ns0:v>Footprints\PBL - SMD Packages.PcbLib</ns0:v>
      </ns0:c>
      <ns0:c r="P52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2" s="33"/>
      <ns0:c r="R52" s="34" t="str">
        <ns0:f>D52</ns0:f>
        <ns0:v>SS38A</ns0:v>
      </ns0:c>
      <ns0:c r="S52" s="34" t="str">
        <ns0:f>K52</ns0:f>
        <ns0:v>Диод Шоттки SS38A</ns0:v>
      </ns0:c>
      <ns0:c r="T52" s="33" t="str">
        <ns0:v>C:\Users\Nomatin\Documents\Altium\MY_LIB\MY_LIB\Datasheets\Diodes\SS32A_SS320A_Yangjie.pdf</ns0:v>
      </ns0:c>
      <ns0:c r="U52" s="33" t="str">
        <ns0:v>Rev. 2.4, 28-Apr-2014</ns0:v>
      </ns0:c>
      <ns0:c r="V52" s="33" t="str">
        <ns0:v>Даташит — локальный</ns0:v>
      </ns0:c>
      <ns0:c r="W52" s="33" t="str">
        <ns0:v>C:\Users\Nomatin\Documents\Altium\MY_LIB\MY_LIB\Datasheets\Diodes\SS32A_SS320A_Yangjie.pdf</ns0:v>
      </ns0:c>
      <ns0:c r="X52" s="33" t="str">
        <ns0:v>Даташит — производитель</ns0:v>
      </ns0:c>
      <ns0:c r="Y52" s="33" t="str">
        <ns0:v>https://www.21yangjie.com/pdf/zlqj/xtjejg/SS32A%20THRU%20SS320A.pdf</ns0:v>
      </ns0:c>
      <ns0:c r="Z52" s="33" t="str">
        <ns0:v>C:\Users\Nomatin\Documents\Altium\MY_LIB\MY_LIB\Datasheets\Diodes\SS32A_SS320A_Yangjie.pdf</ns0:v>
      </ns0:c>
      <ns0:c r="AA52" s="33" t="str">
        <ns0:v>SS32A–SS320A</ns0:v>
      </ns0:c>
      <ns0:c r="AB52" s="33" t="str">
        <ns0:v>Одиночный</ns0:v>
      </ns0:c>
      <ns0:c r="AC52" s="33" t="str">
        <ns0:v>A=A; K=C</ns0:v>
      </ns0:c>
      <ns0:c r="AD52" s="33" t="n">
        <ns0:v>3</ns0:v>
      </ns0:c>
      <ns0:c r="AE52" s="33" t="n">
        <ns0:v>80</ns0:v>
      </ns0:c>
      <ns0:c r="AF52" s="33"/>
      <ns0:c r="AG52" s="33"/>
      <ns0:c r="AH52" s="33"/>
      <ns0:c r="AI52" s="33"/>
      <ns0:c r="AJ52" s="33"/>
    </ns0:row>
    <ns0:row r="53" ht="60" customHeight="1">
      <ns0:c r="A53" s="33" t="str">
        <ns0:v>VD0052</ns0:v>
      </ns0:c>
      <ns0:c r="B53" s="33" t="str">
        <ns0:v>Диод Шоттки</ns0:v>
      </ns0:c>
      <ns0:c r="C53" s="33" t="str">
        <ns0:v>SS310A</ns0:v>
      </ns0:c>
      <ns0:c r="D53" s="34" t="str">
        <ns0:f>C53</ns0:f>
        <ns0:v>SS310A</ns0:v>
      </ns0:c>
      <ns0:c r="E53" s="33"/>
      <ns0:c r="F53" s="33"/>
      <ns0:c r="G53" s="33" t="str">
        <ns0:v>100 В (VRRM/VR, см. даташит)</ns0:v>
      </ns0:c>
      <ns0:c r="H53" s="35" t="str">
        <ns0:v>SMA / DO-214AC</ns0:v>
      </ns0:c>
      <ns0:c r="I53" s="33" t="str">
        <ns0:v>Yangjie</ns0:v>
      </ns0:c>
      <ns0:c r="J53" s="33" t="str">
        <ns0:v>SS310A</ns0:v>
      </ns0:c>
      <ns0:c r="K53" s="34" t="str">
        <ns0:f>B53&amp;" "&amp;J53</ns0:f>
        <ns0:v>Диод Шоттки SS310A</ns0:v>
      </ns0:c>
      <ns0:c r="L53" s="36" t="str">
        <ns0:v>Schottky_AK</ns0:v>
      </ns0:c>
      <ns0:c r="M53" s="36" t="str">
        <ns0:v>Symbols\MY_LIB_Semiconductors.SchLib</ns0:v>
      </ns0:c>
      <ns0:c r="N53" s="36" t="str">
        <ns0:v>SMA_Yangjie</ns0:v>
      </ns0:c>
      <ns0:c r="O53" s="36" t="str">
        <ns0:v>Footprints\PBL - SMD Packages.PcbLib</ns0:v>
      </ns0:c>
      <ns0:c r="P53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3" s="33"/>
      <ns0:c r="R53" s="34" t="str">
        <ns0:f>D53</ns0:f>
        <ns0:v>SS310A</ns0:v>
      </ns0:c>
      <ns0:c r="S53" s="34" t="str">
        <ns0:f>K53</ns0:f>
        <ns0:v>Диод Шоттки SS310A</ns0:v>
      </ns0:c>
      <ns0:c r="T53" s="33" t="str">
        <ns0:v>C:\Users\Nomatin\Documents\Altium\MY_LIB\MY_LIB\Datasheets\Diodes\SS32A_SS320A_Yangjie.pdf</ns0:v>
      </ns0:c>
      <ns0:c r="U53" s="33" t="str">
        <ns0:v>Rev. 2.4, 28-Apr-2014</ns0:v>
      </ns0:c>
      <ns0:c r="V53" s="33" t="str">
        <ns0:v>Даташит — локальный</ns0:v>
      </ns0:c>
      <ns0:c r="W53" s="33" t="str">
        <ns0:v>C:\Users\Nomatin\Documents\Altium\MY_LIB\MY_LIB\Datasheets\Diodes\SS32A_SS320A_Yangjie.pdf</ns0:v>
      </ns0:c>
      <ns0:c r="X53" s="33" t="str">
        <ns0:v>Даташит — производитель</ns0:v>
      </ns0:c>
      <ns0:c r="Y53" s="33" t="str">
        <ns0:v>https://www.21yangjie.com/pdf/zlqj/xtjejg/SS32A%20THRU%20SS320A.pdf</ns0:v>
      </ns0:c>
      <ns0:c r="Z53" s="33" t="str">
        <ns0:v>C:\Users\Nomatin\Documents\Altium\MY_LIB\MY_LIB\Datasheets\Diodes\SS32A_SS320A_Yangjie.pdf</ns0:v>
      </ns0:c>
      <ns0:c r="AA53" s="33" t="str">
        <ns0:v>SS32A–SS320A</ns0:v>
      </ns0:c>
      <ns0:c r="AB53" s="33" t="str">
        <ns0:v>Одиночный</ns0:v>
      </ns0:c>
      <ns0:c r="AC53" s="33" t="str">
        <ns0:v>A=A; K=C</ns0:v>
      </ns0:c>
      <ns0:c r="AD53" s="33" t="n">
        <ns0:v>3</ns0:v>
      </ns0:c>
      <ns0:c r="AE53" s="33" t="n">
        <ns0:v>100</ns0:v>
      </ns0:c>
      <ns0:c r="AF53" s="33"/>
      <ns0:c r="AG53" s="33"/>
      <ns0:c r="AH53" s="33"/>
      <ns0:c r="AI53" s="33"/>
      <ns0:c r="AJ53" s="33"/>
    </ns0:row>
    <ns0:row r="54" ht="60" customHeight="1">
      <ns0:c r="A54" s="33" t="str">
        <ns0:v>VD0053</ns0:v>
      </ns0:c>
      <ns0:c r="B54" s="33" t="str">
        <ns0:v>Диод Шоттки</ns0:v>
      </ns0:c>
      <ns0:c r="C54" s="33" t="str">
        <ns0:v>SS315A</ns0:v>
      </ns0:c>
      <ns0:c r="D54" s="34" t="str">
        <ns0:f>C54</ns0:f>
        <ns0:v>SS315A</ns0:v>
      </ns0:c>
      <ns0:c r="E54" s="33"/>
      <ns0:c r="F54" s="33"/>
      <ns0:c r="G54" s="33" t="str">
        <ns0:v>150 В (VRRM/VR, см. даташит)</ns0:v>
      </ns0:c>
      <ns0:c r="H54" s="35" t="str">
        <ns0:v>SMA / DO-214AC</ns0:v>
      </ns0:c>
      <ns0:c r="I54" s="33" t="str">
        <ns0:v>Yangjie</ns0:v>
      </ns0:c>
      <ns0:c r="J54" s="33" t="str">
        <ns0:v>SS315A</ns0:v>
      </ns0:c>
      <ns0:c r="K54" s="34" t="str">
        <ns0:f>B54&amp;" "&amp;J54</ns0:f>
        <ns0:v>Диод Шоттки SS315A</ns0:v>
      </ns0:c>
      <ns0:c r="L54" s="36" t="str">
        <ns0:v>Schottky_AK</ns0:v>
      </ns0:c>
      <ns0:c r="M54" s="36" t="str">
        <ns0:v>Symbols\MY_LIB_Semiconductors.SchLib</ns0:v>
      </ns0:c>
      <ns0:c r="N54" s="36" t="str">
        <ns0:v>SMA_Yangjie</ns0:v>
      </ns0:c>
      <ns0:c r="O54" s="36" t="str">
        <ns0:v>Footprints\PBL - SMD Packages.PcbLib</ns0:v>
      </ns0:c>
      <ns0:c r="P54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4" s="33"/>
      <ns0:c r="R54" s="34" t="str">
        <ns0:f>D54</ns0:f>
        <ns0:v>SS315A</ns0:v>
      </ns0:c>
      <ns0:c r="S54" s="34" t="str">
        <ns0:f>K54</ns0:f>
        <ns0:v>Диод Шоттки SS315A</ns0:v>
      </ns0:c>
      <ns0:c r="T54" s="33" t="str">
        <ns0:v>C:\Users\Nomatin\Documents\Altium\MY_LIB\MY_LIB\Datasheets\Diodes\SS32A_SS320A_Yangjie.pdf</ns0:v>
      </ns0:c>
      <ns0:c r="U54" s="33" t="str">
        <ns0:v>Rev. 2.4, 28-Apr-2014</ns0:v>
      </ns0:c>
      <ns0:c r="V54" s="33" t="str">
        <ns0:v>Даташит — локальный</ns0:v>
      </ns0:c>
      <ns0:c r="W54" s="33" t="str">
        <ns0:v>C:\Users\Nomatin\Documents\Altium\MY_LIB\MY_LIB\Datasheets\Diodes\SS32A_SS320A_Yangjie.pdf</ns0:v>
      </ns0:c>
      <ns0:c r="X54" s="33" t="str">
        <ns0:v>Даташит — производитель</ns0:v>
      </ns0:c>
      <ns0:c r="Y54" s="33" t="str">
        <ns0:v>https://www.21yangjie.com/pdf/zlqj/xtjejg/SS32A%20THRU%20SS320A.pdf</ns0:v>
      </ns0:c>
      <ns0:c r="Z54" s="33" t="str">
        <ns0:v>C:\Users\Nomatin\Documents\Altium\MY_LIB\MY_LIB\Datasheets\Diodes\SS32A_SS320A_Yangjie.pdf</ns0:v>
      </ns0:c>
      <ns0:c r="AA54" s="33" t="str">
        <ns0:v>SS32A–SS320A</ns0:v>
      </ns0:c>
      <ns0:c r="AB54" s="33" t="str">
        <ns0:v>Одиночный</ns0:v>
      </ns0:c>
      <ns0:c r="AC54" s="33" t="str">
        <ns0:v>A=A; K=C</ns0:v>
      </ns0:c>
      <ns0:c r="AD54" s="33" t="n">
        <ns0:v>3</ns0:v>
      </ns0:c>
      <ns0:c r="AE54" s="33" t="n">
        <ns0:v>150</ns0:v>
      </ns0:c>
      <ns0:c r="AF54" s="33"/>
      <ns0:c r="AG54" s="33"/>
      <ns0:c r="AH54" s="33"/>
      <ns0:c r="AI54" s="33"/>
      <ns0:c r="AJ54" s="33"/>
    </ns0:row>
    <ns0:row r="55" ht="60" customHeight="1">
      <ns0:c r="A55" s="33" t="str">
        <ns0:v>VD0054</ns0:v>
      </ns0:c>
      <ns0:c r="B55" s="33" t="str">
        <ns0:v>Диод Шоттки</ns0:v>
      </ns0:c>
      <ns0:c r="C55" s="33" t="str">
        <ns0:v>SS320A</ns0:v>
      </ns0:c>
      <ns0:c r="D55" s="34" t="str">
        <ns0:f>C55</ns0:f>
        <ns0:v>SS320A</ns0:v>
      </ns0:c>
      <ns0:c r="E55" s="33"/>
      <ns0:c r="F55" s="33"/>
      <ns0:c r="G55" s="33" t="str">
        <ns0:v>200 В (VRRM/VR, см. даташит)</ns0:v>
      </ns0:c>
      <ns0:c r="H55" s="35" t="str">
        <ns0:v>SMA / DO-214AC</ns0:v>
      </ns0:c>
      <ns0:c r="I55" s="33" t="str">
        <ns0:v>Yangjie</ns0:v>
      </ns0:c>
      <ns0:c r="J55" s="33" t="str">
        <ns0:v>SS320A</ns0:v>
      </ns0:c>
      <ns0:c r="K55" s="34" t="str">
        <ns0:f>B55&amp;" "&amp;J55</ns0:f>
        <ns0:v>Диод Шоттки SS320A</ns0:v>
      </ns0:c>
      <ns0:c r="L55" s="36" t="str">
        <ns0:v>Schottky_AK</ns0:v>
      </ns0:c>
      <ns0:c r="M55" s="36" t="str">
        <ns0:v>Symbols\MY_LIB_Semiconductors.SchLib</ns0:v>
      </ns0:c>
      <ns0:c r="N55" s="36" t="str">
        <ns0:v>SMA_Yangjie</ns0:v>
      </ns0:c>
      <ns0:c r="O55" s="36" t="str">
        <ns0:v>Footprints\PBL - SMD Packages.PcbLib</ns0:v>
      </ns0:c>
      <ns0:c r="P55" s="33" t="str">
        <ns0:v>Выпрямительный диод Шоттки 3 А. Ток задан для условий монтажа и температуры даташита, не произвольной площади меди. Базовое обозначение изделия; суффикс упаковки/покрытия уточняется при заказе. Встроен готовый типовой STEP KiCad SMA, не точная заводская CAD.</ns0:v>
      </ns0:c>
      <ns0:c r="Q55" s="33"/>
      <ns0:c r="R55" s="34" t="str">
        <ns0:f>D55</ns0:f>
        <ns0:v>SS320A</ns0:v>
      </ns0:c>
      <ns0:c r="S55" s="34" t="str">
        <ns0:f>K55</ns0:f>
        <ns0:v>Диод Шоттки SS320A</ns0:v>
      </ns0:c>
      <ns0:c r="T55" s="33" t="str">
        <ns0:v>C:\Users\Nomatin\Documents\Altium\MY_LIB\MY_LIB\Datasheets\Diodes\SS32A_SS320A_Yangjie.pdf</ns0:v>
      </ns0:c>
      <ns0:c r="U55" s="33" t="str">
        <ns0:v>Rev. 2.4, 28-Apr-2014</ns0:v>
      </ns0:c>
      <ns0:c r="V55" s="33" t="str">
        <ns0:v>Даташит — локальный</ns0:v>
      </ns0:c>
      <ns0:c r="W55" s="33" t="str">
        <ns0:v>C:\Users\Nomatin\Documents\Altium\MY_LIB\MY_LIB\Datasheets\Diodes\SS32A_SS320A_Yangjie.pdf</ns0:v>
      </ns0:c>
      <ns0:c r="X55" s="33" t="str">
        <ns0:v>Даташит — производитель</ns0:v>
      </ns0:c>
      <ns0:c r="Y55" s="33" t="str">
        <ns0:v>https://www.21yangjie.com/pdf/zlqj/xtjejg/SS32A%20THRU%20SS320A.pdf</ns0:v>
      </ns0:c>
      <ns0:c r="Z55" s="33" t="str">
        <ns0:v>C:\Users\Nomatin\Documents\Altium\MY_LIB\MY_LIB\Datasheets\Diodes\SS32A_SS320A_Yangjie.pdf</ns0:v>
      </ns0:c>
      <ns0:c r="AA55" s="33" t="str">
        <ns0:v>SS32A–SS320A</ns0:v>
      </ns0:c>
      <ns0:c r="AB55" s="33" t="str">
        <ns0:v>Одиночный</ns0:v>
      </ns0:c>
      <ns0:c r="AC55" s="33" t="str">
        <ns0:v>A=A; K=C</ns0:v>
      </ns0:c>
      <ns0:c r="AD55" s="33" t="n">
        <ns0:v>3</ns0:v>
      </ns0:c>
      <ns0:c r="AE55" s="33" t="n">
        <ns0:v>200</ns0:v>
      </ns0:c>
      <ns0:c r="AF55" s="33"/>
      <ns0:c r="AG55" s="33"/>
      <ns0:c r="AH55" s="33"/>
      <ns0:c r="AI55" s="33"/>
      <ns0:c r="AJ55" s="33"/>
    </ns0:row>
    <ns0:row r="56" ht="60" customHeight="1">
      <ns0:c r="A56" s="33" t="str">
        <ns0:v>VD0055</ns0:v>
      </ns0:c>
      <ns0:c r="B56" s="33" t="str">
        <ns0:v>Стабилитрон</ns0:v>
      </ns0:c>
      <ns0:c r="C56" s="33" t="str">
        <ns0:v>BZT52-B2V4</ns0:v>
      </ns0:c>
      <ns0:c r="D56" s="34" t="str">
        <ns0:f>C56</ns0:f>
        <ns0:v>BZT52-B2V4</ns0:v>
      </ns0:c>
      <ns0:c r="E56" s="33" t="str">
        <ns0:v>±2%</ns0:v>
      </ns0:c>
      <ns0:c r="F56" s="33" t="str">
        <ns0:v>0,35 Вт</ns0:v>
      </ns0:c>
      <ns0:c r="G56" s="33" t="str">
        <ns0:v>2.4 В (Uст ном.)</ns0:v>
      </ns0:c>
      <ns0:c r="H56" s="35" t="str">
        <ns0:v>SOD-123</ns0:v>
      </ns0:c>
      <ns0:c r="I56" s="33" t="str">
        <ns0:v>Nexperia</ns0:v>
      </ns0:c>
      <ns0:c r="J56" s="33" t="str">
        <ns0:v>BZT52-B2V4</ns0:v>
      </ns0:c>
      <ns0:c r="K56" s="34" t="str">
        <ns0:f>B56&amp;" "&amp;J56</ns0:f>
        <ns0:v>Стабилитрон BZT52-B2V4</ns0:v>
      </ns0:c>
      <ns0:c r="L56" s="36" t="str">
        <ns0:v>Zener_AK</ns0:v>
      </ns0:c>
      <ns0:c r="M56" s="36" t="str">
        <ns0:v>Symbols\MY_LIB_Semiconductors.SchLib</ns0:v>
      </ns0:c>
      <ns0:c r="N56" s="36" t="str">
        <ns0:v>SOD123</ns0:v>
      </ns0:c>
      <ns0:c r="O56" s="36" t="str">
        <ns0:v>Footprints\PBL - SMD Packages.PcbLib</ns0:v>
      </ns0:c>
      <ns0:c r="P5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56" s="33"/>
      <ns0:c r="R56" s="34" t="str">
        <ns0:f>D56</ns0:f>
        <ns0:v>BZT52-B2V4</ns0:v>
      </ns0:c>
      <ns0:c r="S56" s="34" t="str">
        <ns0:f>K56</ns0:f>
        <ns0:v>Стабилитрон BZT52-B2V4</ns0:v>
      </ns0:c>
      <ns0:c r="T56" s="33" t="str">
        <ns0:v>C:\Users\Nomatin\Documents\Altium\MY_LIB\MY_LIB\Datasheets\Diodes\BZT52_B_Nexperia.pdf</ns0:v>
      </ns0:c>
      <ns0:c r="U56" s="33" t="str">
        <ns0:v>Rev. 2, 06-Feb-2024; B selection</ns0:v>
      </ns0:c>
      <ns0:c r="V56" s="33" t="str">
        <ns0:v>Даташит — локальный</ns0:v>
      </ns0:c>
      <ns0:c r="W56" s="33" t="str">
        <ns0:v>C:\Users\Nomatin\Documents\Altium\MY_LIB\MY_LIB\Datasheets\Diodes\BZT52_B_Nexperia.pdf</ns0:v>
      </ns0:c>
      <ns0:c r="X56" s="33" t="str">
        <ns0:v>Даташит — производитель</ns0:v>
      </ns0:c>
      <ns0:c r="Y56" s="33" t="str">
        <ns0:v>https://assets.nexperia.com/documents/data-sheet/BZT52_SER.pdf</ns0:v>
      </ns0:c>
      <ns0:c r="Z56" s="33" t="str">
        <ns0:v>C:\Users\Nomatin\Documents\Altium\MY_LIB\MY_LIB\Datasheets\Diodes\BZT52_B_Nexperia.pdf</ns0:v>
      </ns0:c>
      <ns0:c r="AA56" s="33" t="str">
        <ns0:v>BZT52-B</ns0:v>
      </ns0:c>
      <ns0:c r="AB56" s="33" t="str">
        <ns0:v>Одиночный</ns0:v>
      </ns0:c>
      <ns0:c r="AC56" s="33" t="str">
        <ns0:v>K=C (manufacturer 1); A=A (manufacturer 2)</ns0:v>
      </ns0:c>
      <ns0:c r="AD56" s="33"/>
      <ns0:c r="AE56" s="33"/>
      <ns0:c r="AF56" s="33" t="n">
        <ns0:v>2.4</ns0:v>
      </ns0:c>
      <ns0:c r="AG56" s="33" t="n">
        <ns0:v>5</ns0:v>
      </ns0:c>
      <ns0:c r="AH56" s="33"/>
      <ns0:c r="AI56" s="33"/>
      <ns0:c r="AJ56" s="33" t="str">
        <ns0:v>350 мВт: стандартное посадочное место. 590 мВт: медь катода 1 см², TA≤25 °C; далее снижение мощности.</ns0:v>
      </ns0:c>
    </ns0:row>
    <ns0:row r="57" ht="60" customHeight="1">
      <ns0:c r="A57" s="33" t="str">
        <ns0:v>VD0056</ns0:v>
      </ns0:c>
      <ns0:c r="B57" s="33" t="str">
        <ns0:v>Стабилитрон</ns0:v>
      </ns0:c>
      <ns0:c r="C57" s="33" t="str">
        <ns0:v>BZT52-B2V7</ns0:v>
      </ns0:c>
      <ns0:c r="D57" s="34" t="str">
        <ns0:f>C57</ns0:f>
        <ns0:v>BZT52-B2V7</ns0:v>
      </ns0:c>
      <ns0:c r="E57" s="33" t="str">
        <ns0:v>±2%</ns0:v>
      </ns0:c>
      <ns0:c r="F57" s="33" t="str">
        <ns0:v>0,35 Вт</ns0:v>
      </ns0:c>
      <ns0:c r="G57" s="33" t="str">
        <ns0:v>2.7 В (Uст ном.)</ns0:v>
      </ns0:c>
      <ns0:c r="H57" s="35" t="str">
        <ns0:v>SOD-123</ns0:v>
      </ns0:c>
      <ns0:c r="I57" s="33" t="str">
        <ns0:v>Nexperia</ns0:v>
      </ns0:c>
      <ns0:c r="J57" s="33" t="str">
        <ns0:v>BZT52-B2V7</ns0:v>
      </ns0:c>
      <ns0:c r="K57" s="34" t="str">
        <ns0:f>B57&amp;" "&amp;J57</ns0:f>
        <ns0:v>Стабилитрон BZT52-B2V7</ns0:v>
      </ns0:c>
      <ns0:c r="L57" s="36" t="str">
        <ns0:v>Zener_AK</ns0:v>
      </ns0:c>
      <ns0:c r="M57" s="36" t="str">
        <ns0:v>Symbols\MY_LIB_Semiconductors.SchLib</ns0:v>
      </ns0:c>
      <ns0:c r="N57" s="36" t="str">
        <ns0:v>SOD123</ns0:v>
      </ns0:c>
      <ns0:c r="O57" s="36" t="str">
        <ns0:v>Footprints\PBL - SMD Packages.PcbLib</ns0:v>
      </ns0:c>
      <ns0:c r="P5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57" s="33"/>
      <ns0:c r="R57" s="34" t="str">
        <ns0:f>D57</ns0:f>
        <ns0:v>BZT52-B2V7</ns0:v>
      </ns0:c>
      <ns0:c r="S57" s="34" t="str">
        <ns0:f>K57</ns0:f>
        <ns0:v>Стабилитрон BZT52-B2V7</ns0:v>
      </ns0:c>
      <ns0:c r="T57" s="33" t="str">
        <ns0:v>C:\Users\Nomatin\Documents\Altium\MY_LIB\MY_LIB\Datasheets\Diodes\BZT52_B_Nexperia.pdf</ns0:v>
      </ns0:c>
      <ns0:c r="U57" s="33" t="str">
        <ns0:v>Rev. 2, 06-Feb-2024; B selection</ns0:v>
      </ns0:c>
      <ns0:c r="V57" s="33" t="str">
        <ns0:v>Даташит — локальный</ns0:v>
      </ns0:c>
      <ns0:c r="W57" s="33" t="str">
        <ns0:v>C:\Users\Nomatin\Documents\Altium\MY_LIB\MY_LIB\Datasheets\Diodes\BZT52_B_Nexperia.pdf</ns0:v>
      </ns0:c>
      <ns0:c r="X57" s="33" t="str">
        <ns0:v>Даташит — производитель</ns0:v>
      </ns0:c>
      <ns0:c r="Y57" s="33" t="str">
        <ns0:v>https://assets.nexperia.com/documents/data-sheet/BZT52_SER.pdf</ns0:v>
      </ns0:c>
      <ns0:c r="Z57" s="33" t="str">
        <ns0:v>C:\Users\Nomatin\Documents\Altium\MY_LIB\MY_LIB\Datasheets\Diodes\BZT52_B_Nexperia.pdf</ns0:v>
      </ns0:c>
      <ns0:c r="AA57" s="33" t="str">
        <ns0:v>BZT52-B</ns0:v>
      </ns0:c>
      <ns0:c r="AB57" s="33" t="str">
        <ns0:v>Одиночный</ns0:v>
      </ns0:c>
      <ns0:c r="AC57" s="33" t="str">
        <ns0:v>K=C (manufacturer 1); A=A (manufacturer 2)</ns0:v>
      </ns0:c>
      <ns0:c r="AD57" s="33"/>
      <ns0:c r="AE57" s="33"/>
      <ns0:c r="AF57" s="33" t="n">
        <ns0:v>2.7</ns0:v>
      </ns0:c>
      <ns0:c r="AG57" s="33" t="n">
        <ns0:v>5</ns0:v>
      </ns0:c>
      <ns0:c r="AH57" s="33"/>
      <ns0:c r="AI57" s="33"/>
      <ns0:c r="AJ57" s="33" t="str">
        <ns0:v>350 мВт: стандартное посадочное место. 590 мВт: медь катода 1 см², TA≤25 °C; далее снижение мощности.</ns0:v>
      </ns0:c>
    </ns0:row>
    <ns0:row r="58" ht="60" customHeight="1">
      <ns0:c r="A58" s="33" t="str">
        <ns0:v>VD0057</ns0:v>
      </ns0:c>
      <ns0:c r="B58" s="33" t="str">
        <ns0:v>Стабилитрон</ns0:v>
      </ns0:c>
      <ns0:c r="C58" s="33" t="str">
        <ns0:v>BZT52-B3V0</ns0:v>
      </ns0:c>
      <ns0:c r="D58" s="34" t="str">
        <ns0:f>C58</ns0:f>
        <ns0:v>BZT52-B3V0</ns0:v>
      </ns0:c>
      <ns0:c r="E58" s="33" t="str">
        <ns0:v>±2%</ns0:v>
      </ns0:c>
      <ns0:c r="F58" s="33" t="str">
        <ns0:v>0,35 Вт</ns0:v>
      </ns0:c>
      <ns0:c r="G58" s="33" t="str">
        <ns0:v>3 В (Uст ном.)</ns0:v>
      </ns0:c>
      <ns0:c r="H58" s="35" t="str">
        <ns0:v>SOD-123</ns0:v>
      </ns0:c>
      <ns0:c r="I58" s="33" t="str">
        <ns0:v>Nexperia</ns0:v>
      </ns0:c>
      <ns0:c r="J58" s="33" t="str">
        <ns0:v>BZT52-B3V0</ns0:v>
      </ns0:c>
      <ns0:c r="K58" s="34" t="str">
        <ns0:f>B58&amp;" "&amp;J58</ns0:f>
        <ns0:v>Стабилитрон BZT52-B3V0</ns0:v>
      </ns0:c>
      <ns0:c r="L58" s="36" t="str">
        <ns0:v>Zener_AK</ns0:v>
      </ns0:c>
      <ns0:c r="M58" s="36" t="str">
        <ns0:v>Symbols\MY_LIB_Semiconductors.SchLib</ns0:v>
      </ns0:c>
      <ns0:c r="N58" s="36" t="str">
        <ns0:v>SOD123</ns0:v>
      </ns0:c>
      <ns0:c r="O58" s="36" t="str">
        <ns0:v>Footprints\PBL - SMD Packages.PcbLib</ns0:v>
      </ns0:c>
      <ns0:c r="P5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58" s="33"/>
      <ns0:c r="R58" s="34" t="str">
        <ns0:f>D58</ns0:f>
        <ns0:v>BZT52-B3V0</ns0:v>
      </ns0:c>
      <ns0:c r="S58" s="34" t="str">
        <ns0:f>K58</ns0:f>
        <ns0:v>Стабилитрон BZT52-B3V0</ns0:v>
      </ns0:c>
      <ns0:c r="T58" s="33" t="str">
        <ns0:v>C:\Users\Nomatin\Documents\Altium\MY_LIB\MY_LIB\Datasheets\Diodes\BZT52_B_Nexperia.pdf</ns0:v>
      </ns0:c>
      <ns0:c r="U58" s="33" t="str">
        <ns0:v>Rev. 2, 06-Feb-2024; B selection</ns0:v>
      </ns0:c>
      <ns0:c r="V58" s="33" t="str">
        <ns0:v>Даташит — локальный</ns0:v>
      </ns0:c>
      <ns0:c r="W58" s="33" t="str">
        <ns0:v>C:\Users\Nomatin\Documents\Altium\MY_LIB\MY_LIB\Datasheets\Diodes\BZT52_B_Nexperia.pdf</ns0:v>
      </ns0:c>
      <ns0:c r="X58" s="33" t="str">
        <ns0:v>Даташит — производитель</ns0:v>
      </ns0:c>
      <ns0:c r="Y58" s="33" t="str">
        <ns0:v>https://assets.nexperia.com/documents/data-sheet/BZT52_SER.pdf</ns0:v>
      </ns0:c>
      <ns0:c r="Z58" s="33" t="str">
        <ns0:v>C:\Users\Nomatin\Documents\Altium\MY_LIB\MY_LIB\Datasheets\Diodes\BZT52_B_Nexperia.pdf</ns0:v>
      </ns0:c>
      <ns0:c r="AA58" s="33" t="str">
        <ns0:v>BZT52-B</ns0:v>
      </ns0:c>
      <ns0:c r="AB58" s="33" t="str">
        <ns0:v>Одиночный</ns0:v>
      </ns0:c>
      <ns0:c r="AC58" s="33" t="str">
        <ns0:v>K=C (manufacturer 1); A=A (manufacturer 2)</ns0:v>
      </ns0:c>
      <ns0:c r="AD58" s="33"/>
      <ns0:c r="AE58" s="33"/>
      <ns0:c r="AF58" s="33" t="n">
        <ns0:v>3</ns0:v>
      </ns0:c>
      <ns0:c r="AG58" s="33" t="n">
        <ns0:v>5</ns0:v>
      </ns0:c>
      <ns0:c r="AH58" s="33"/>
      <ns0:c r="AI58" s="33"/>
      <ns0:c r="AJ58" s="33" t="str">
        <ns0:v>350 мВт: стандартное посадочное место. 590 мВт: медь катода 1 см², TA≤25 °C; далее снижение мощности.</ns0:v>
      </ns0:c>
    </ns0:row>
    <ns0:row r="59" ht="60" customHeight="1">
      <ns0:c r="A59" s="33" t="str">
        <ns0:v>VD0058</ns0:v>
      </ns0:c>
      <ns0:c r="B59" s="33" t="str">
        <ns0:v>Стабилитрон</ns0:v>
      </ns0:c>
      <ns0:c r="C59" s="33" t="str">
        <ns0:v>BZT52-B3V3</ns0:v>
      </ns0:c>
      <ns0:c r="D59" s="34" t="str">
        <ns0:f>C59</ns0:f>
        <ns0:v>BZT52-B3V3</ns0:v>
      </ns0:c>
      <ns0:c r="E59" s="33" t="str">
        <ns0:v>±2%</ns0:v>
      </ns0:c>
      <ns0:c r="F59" s="33" t="str">
        <ns0:v>0,35 Вт</ns0:v>
      </ns0:c>
      <ns0:c r="G59" s="33" t="str">
        <ns0:v>3.3 В (Uст ном.)</ns0:v>
      </ns0:c>
      <ns0:c r="H59" s="35" t="str">
        <ns0:v>SOD-123</ns0:v>
      </ns0:c>
      <ns0:c r="I59" s="33" t="str">
        <ns0:v>Nexperia</ns0:v>
      </ns0:c>
      <ns0:c r="J59" s="33" t="str">
        <ns0:v>BZT52-B3V3</ns0:v>
      </ns0:c>
      <ns0:c r="K59" s="34" t="str">
        <ns0:f>B59&amp;" "&amp;J59</ns0:f>
        <ns0:v>Стабилитрон BZT52-B3V3</ns0:v>
      </ns0:c>
      <ns0:c r="L59" s="36" t="str">
        <ns0:v>Zener_AK</ns0:v>
      </ns0:c>
      <ns0:c r="M59" s="36" t="str">
        <ns0:v>Symbols\MY_LIB_Semiconductors.SchLib</ns0:v>
      </ns0:c>
      <ns0:c r="N59" s="36" t="str">
        <ns0:v>SOD123</ns0:v>
      </ns0:c>
      <ns0:c r="O59" s="36" t="str">
        <ns0:v>Footprints\PBL - SMD Packages.PcbLib</ns0:v>
      </ns0:c>
      <ns0:c r="P5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59" s="33"/>
      <ns0:c r="R59" s="34" t="str">
        <ns0:f>D59</ns0:f>
        <ns0:v>BZT52-B3V3</ns0:v>
      </ns0:c>
      <ns0:c r="S59" s="34" t="str">
        <ns0:f>K59</ns0:f>
        <ns0:v>Стабилитрон BZT52-B3V3</ns0:v>
      </ns0:c>
      <ns0:c r="T59" s="33" t="str">
        <ns0:v>C:\Users\Nomatin\Documents\Altium\MY_LIB\MY_LIB\Datasheets\Diodes\BZT52_B_Nexperia.pdf</ns0:v>
      </ns0:c>
      <ns0:c r="U59" s="33" t="str">
        <ns0:v>Rev. 2, 06-Feb-2024; B selection</ns0:v>
      </ns0:c>
      <ns0:c r="V59" s="33" t="str">
        <ns0:v>Даташит — локальный</ns0:v>
      </ns0:c>
      <ns0:c r="W59" s="33" t="str">
        <ns0:v>C:\Users\Nomatin\Documents\Altium\MY_LIB\MY_LIB\Datasheets\Diodes\BZT52_B_Nexperia.pdf</ns0:v>
      </ns0:c>
      <ns0:c r="X59" s="33" t="str">
        <ns0:v>Даташит — производитель</ns0:v>
      </ns0:c>
      <ns0:c r="Y59" s="33" t="str">
        <ns0:v>https://assets.nexperia.com/documents/data-sheet/BZT52_SER.pdf</ns0:v>
      </ns0:c>
      <ns0:c r="Z59" s="33" t="str">
        <ns0:v>C:\Users\Nomatin\Documents\Altium\MY_LIB\MY_LIB\Datasheets\Diodes\BZT52_B_Nexperia.pdf</ns0:v>
      </ns0:c>
      <ns0:c r="AA59" s="33" t="str">
        <ns0:v>BZT52-B</ns0:v>
      </ns0:c>
      <ns0:c r="AB59" s="33" t="str">
        <ns0:v>Одиночный</ns0:v>
      </ns0:c>
      <ns0:c r="AC59" s="33" t="str">
        <ns0:v>K=C (manufacturer 1); A=A (manufacturer 2)</ns0:v>
      </ns0:c>
      <ns0:c r="AD59" s="33"/>
      <ns0:c r="AE59" s="33"/>
      <ns0:c r="AF59" s="33" t="n">
        <ns0:v>3.3</ns0:v>
      </ns0:c>
      <ns0:c r="AG59" s="33" t="n">
        <ns0:v>5</ns0:v>
      </ns0:c>
      <ns0:c r="AH59" s="33"/>
      <ns0:c r="AI59" s="33"/>
      <ns0:c r="AJ59" s="33" t="str">
        <ns0:v>350 мВт: стандартное посадочное место. 590 мВт: медь катода 1 см², TA≤25 °C; далее снижение мощности.</ns0:v>
      </ns0:c>
    </ns0:row>
    <ns0:row r="60" ht="60" customHeight="1">
      <ns0:c r="A60" s="33" t="str">
        <ns0:v>VD0059</ns0:v>
      </ns0:c>
      <ns0:c r="B60" s="33" t="str">
        <ns0:v>Стабилитрон</ns0:v>
      </ns0:c>
      <ns0:c r="C60" s="33" t="str">
        <ns0:v>BZT52-B3V6</ns0:v>
      </ns0:c>
      <ns0:c r="D60" s="34" t="str">
        <ns0:f>C60</ns0:f>
        <ns0:v>BZT52-B3V6</ns0:v>
      </ns0:c>
      <ns0:c r="E60" s="33" t="str">
        <ns0:v>±2%</ns0:v>
      </ns0:c>
      <ns0:c r="F60" s="33" t="str">
        <ns0:v>0,35 Вт</ns0:v>
      </ns0:c>
      <ns0:c r="G60" s="33" t="str">
        <ns0:v>3.6 В (Uст ном.)</ns0:v>
      </ns0:c>
      <ns0:c r="H60" s="35" t="str">
        <ns0:v>SOD-123</ns0:v>
      </ns0:c>
      <ns0:c r="I60" s="33" t="str">
        <ns0:v>Nexperia</ns0:v>
      </ns0:c>
      <ns0:c r="J60" s="33" t="str">
        <ns0:v>BZT52-B3V6</ns0:v>
      </ns0:c>
      <ns0:c r="K60" s="34" t="str">
        <ns0:f>B60&amp;" "&amp;J60</ns0:f>
        <ns0:v>Стабилитрон BZT52-B3V6</ns0:v>
      </ns0:c>
      <ns0:c r="L60" s="36" t="str">
        <ns0:v>Zener_AK</ns0:v>
      </ns0:c>
      <ns0:c r="M60" s="36" t="str">
        <ns0:v>Symbols\MY_LIB_Semiconductors.SchLib</ns0:v>
      </ns0:c>
      <ns0:c r="N60" s="36" t="str">
        <ns0:v>SOD123</ns0:v>
      </ns0:c>
      <ns0:c r="O60" s="36" t="str">
        <ns0:v>Footprints\PBL - SMD Packages.PcbLib</ns0:v>
      </ns0:c>
      <ns0:c r="P6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0" s="33"/>
      <ns0:c r="R60" s="34" t="str">
        <ns0:f>D60</ns0:f>
        <ns0:v>BZT52-B3V6</ns0:v>
      </ns0:c>
      <ns0:c r="S60" s="34" t="str">
        <ns0:f>K60</ns0:f>
        <ns0:v>Стабилитрон BZT52-B3V6</ns0:v>
      </ns0:c>
      <ns0:c r="T60" s="33" t="str">
        <ns0:v>C:\Users\Nomatin\Documents\Altium\MY_LIB\MY_LIB\Datasheets\Diodes\BZT52_B_Nexperia.pdf</ns0:v>
      </ns0:c>
      <ns0:c r="U60" s="33" t="str">
        <ns0:v>Rev. 2, 06-Feb-2024; B selection</ns0:v>
      </ns0:c>
      <ns0:c r="V60" s="33" t="str">
        <ns0:v>Даташит — локальный</ns0:v>
      </ns0:c>
      <ns0:c r="W60" s="33" t="str">
        <ns0:v>C:\Users\Nomatin\Documents\Altium\MY_LIB\MY_LIB\Datasheets\Diodes\BZT52_B_Nexperia.pdf</ns0:v>
      </ns0:c>
      <ns0:c r="X60" s="33" t="str">
        <ns0:v>Даташит — производитель</ns0:v>
      </ns0:c>
      <ns0:c r="Y60" s="33" t="str">
        <ns0:v>https://assets.nexperia.com/documents/data-sheet/BZT52_SER.pdf</ns0:v>
      </ns0:c>
      <ns0:c r="Z60" s="33" t="str">
        <ns0:v>C:\Users\Nomatin\Documents\Altium\MY_LIB\MY_LIB\Datasheets\Diodes\BZT52_B_Nexperia.pdf</ns0:v>
      </ns0:c>
      <ns0:c r="AA60" s="33" t="str">
        <ns0:v>BZT52-B</ns0:v>
      </ns0:c>
      <ns0:c r="AB60" s="33" t="str">
        <ns0:v>Одиночный</ns0:v>
      </ns0:c>
      <ns0:c r="AC60" s="33" t="str">
        <ns0:v>K=C (manufacturer 1); A=A (manufacturer 2)</ns0:v>
      </ns0:c>
      <ns0:c r="AD60" s="33"/>
      <ns0:c r="AE60" s="33"/>
      <ns0:c r="AF60" s="33" t="n">
        <ns0:v>3.6</ns0:v>
      </ns0:c>
      <ns0:c r="AG60" s="33" t="n">
        <ns0:v>5</ns0:v>
      </ns0:c>
      <ns0:c r="AH60" s="33"/>
      <ns0:c r="AI60" s="33"/>
      <ns0:c r="AJ60" s="33" t="str">
        <ns0:v>350 мВт: стандартное посадочное место. 590 мВт: медь катода 1 см², TA≤25 °C; далее снижение мощности.</ns0:v>
      </ns0:c>
    </ns0:row>
    <ns0:row r="61" ht="60" customHeight="1">
      <ns0:c r="A61" s="33" t="str">
        <ns0:v>VD0060</ns0:v>
      </ns0:c>
      <ns0:c r="B61" s="33" t="str">
        <ns0:v>Стабилитрон</ns0:v>
      </ns0:c>
      <ns0:c r="C61" s="33" t="str">
        <ns0:v>BZT52-B3V9</ns0:v>
      </ns0:c>
      <ns0:c r="D61" s="34" t="str">
        <ns0:f>C61</ns0:f>
        <ns0:v>BZT52-B3V9</ns0:v>
      </ns0:c>
      <ns0:c r="E61" s="33" t="str">
        <ns0:v>±2%</ns0:v>
      </ns0:c>
      <ns0:c r="F61" s="33" t="str">
        <ns0:v>0,35 Вт</ns0:v>
      </ns0:c>
      <ns0:c r="G61" s="33" t="str">
        <ns0:v>3.9 В (Uст ном.)</ns0:v>
      </ns0:c>
      <ns0:c r="H61" s="35" t="str">
        <ns0:v>SOD-123</ns0:v>
      </ns0:c>
      <ns0:c r="I61" s="33" t="str">
        <ns0:v>Nexperia</ns0:v>
      </ns0:c>
      <ns0:c r="J61" s="33" t="str">
        <ns0:v>BZT52-B3V9</ns0:v>
      </ns0:c>
      <ns0:c r="K61" s="34" t="str">
        <ns0:f>B61&amp;" "&amp;J61</ns0:f>
        <ns0:v>Стабилитрон BZT52-B3V9</ns0:v>
      </ns0:c>
      <ns0:c r="L61" s="36" t="str">
        <ns0:v>Zener_AK</ns0:v>
      </ns0:c>
      <ns0:c r="M61" s="36" t="str">
        <ns0:v>Symbols\MY_LIB_Semiconductors.SchLib</ns0:v>
      </ns0:c>
      <ns0:c r="N61" s="36" t="str">
        <ns0:v>SOD123</ns0:v>
      </ns0:c>
      <ns0:c r="O61" s="36" t="str">
        <ns0:v>Footprints\PBL - SMD Packages.PcbLib</ns0:v>
      </ns0:c>
      <ns0:c r="P6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1" s="33"/>
      <ns0:c r="R61" s="34" t="str">
        <ns0:f>D61</ns0:f>
        <ns0:v>BZT52-B3V9</ns0:v>
      </ns0:c>
      <ns0:c r="S61" s="34" t="str">
        <ns0:f>K61</ns0:f>
        <ns0:v>Стабилитрон BZT52-B3V9</ns0:v>
      </ns0:c>
      <ns0:c r="T61" s="33" t="str">
        <ns0:v>C:\Users\Nomatin\Documents\Altium\MY_LIB\MY_LIB\Datasheets\Diodes\BZT52_B_Nexperia.pdf</ns0:v>
      </ns0:c>
      <ns0:c r="U61" s="33" t="str">
        <ns0:v>Rev. 2, 06-Feb-2024; B selection</ns0:v>
      </ns0:c>
      <ns0:c r="V61" s="33" t="str">
        <ns0:v>Даташит — локальный</ns0:v>
      </ns0:c>
      <ns0:c r="W61" s="33" t="str">
        <ns0:v>C:\Users\Nomatin\Documents\Altium\MY_LIB\MY_LIB\Datasheets\Diodes\BZT52_B_Nexperia.pdf</ns0:v>
      </ns0:c>
      <ns0:c r="X61" s="33" t="str">
        <ns0:v>Даташит — производитель</ns0:v>
      </ns0:c>
      <ns0:c r="Y61" s="33" t="str">
        <ns0:v>https://assets.nexperia.com/documents/data-sheet/BZT52_SER.pdf</ns0:v>
      </ns0:c>
      <ns0:c r="Z61" s="33" t="str">
        <ns0:v>C:\Users\Nomatin\Documents\Altium\MY_LIB\MY_LIB\Datasheets\Diodes\BZT52_B_Nexperia.pdf</ns0:v>
      </ns0:c>
      <ns0:c r="AA61" s="33" t="str">
        <ns0:v>BZT52-B</ns0:v>
      </ns0:c>
      <ns0:c r="AB61" s="33" t="str">
        <ns0:v>Одиночный</ns0:v>
      </ns0:c>
      <ns0:c r="AC61" s="33" t="str">
        <ns0:v>K=C (manufacturer 1); A=A (manufacturer 2)</ns0:v>
      </ns0:c>
      <ns0:c r="AD61" s="33"/>
      <ns0:c r="AE61" s="33"/>
      <ns0:c r="AF61" s="33" t="n">
        <ns0:v>3.9</ns0:v>
      </ns0:c>
      <ns0:c r="AG61" s="33" t="n">
        <ns0:v>5</ns0:v>
      </ns0:c>
      <ns0:c r="AH61" s="33"/>
      <ns0:c r="AI61" s="33"/>
      <ns0:c r="AJ61" s="33" t="str">
        <ns0:v>350 мВт: стандартное посадочное место. 590 мВт: медь катода 1 см², TA≤25 °C; далее снижение мощности.</ns0:v>
      </ns0:c>
    </ns0:row>
    <ns0:row r="62" ht="60" customHeight="1">
      <ns0:c r="A62" s="33" t="str">
        <ns0:v>VD0061</ns0:v>
      </ns0:c>
      <ns0:c r="B62" s="33" t="str">
        <ns0:v>Стабилитрон</ns0:v>
      </ns0:c>
      <ns0:c r="C62" s="33" t="str">
        <ns0:v>BZT52-B4V3</ns0:v>
      </ns0:c>
      <ns0:c r="D62" s="34" t="str">
        <ns0:f>C62</ns0:f>
        <ns0:v>BZT52-B4V3</ns0:v>
      </ns0:c>
      <ns0:c r="E62" s="33" t="str">
        <ns0:v>±2%</ns0:v>
      </ns0:c>
      <ns0:c r="F62" s="33" t="str">
        <ns0:v>0,35 Вт</ns0:v>
      </ns0:c>
      <ns0:c r="G62" s="33" t="str">
        <ns0:v>4.3 В (Uст ном.)</ns0:v>
      </ns0:c>
      <ns0:c r="H62" s="35" t="str">
        <ns0:v>SOD-123</ns0:v>
      </ns0:c>
      <ns0:c r="I62" s="33" t="str">
        <ns0:v>Nexperia</ns0:v>
      </ns0:c>
      <ns0:c r="J62" s="33" t="str">
        <ns0:v>BZT52-B4V3</ns0:v>
      </ns0:c>
      <ns0:c r="K62" s="34" t="str">
        <ns0:f>B62&amp;" "&amp;J62</ns0:f>
        <ns0:v>Стабилитрон BZT52-B4V3</ns0:v>
      </ns0:c>
      <ns0:c r="L62" s="36" t="str">
        <ns0:v>Zener_AK</ns0:v>
      </ns0:c>
      <ns0:c r="M62" s="36" t="str">
        <ns0:v>Symbols\MY_LIB_Semiconductors.SchLib</ns0:v>
      </ns0:c>
      <ns0:c r="N62" s="36" t="str">
        <ns0:v>SOD123</ns0:v>
      </ns0:c>
      <ns0:c r="O62" s="36" t="str">
        <ns0:v>Footprints\PBL - SMD Packages.PcbLib</ns0:v>
      </ns0:c>
      <ns0:c r="P6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2" s="33"/>
      <ns0:c r="R62" s="34" t="str">
        <ns0:f>D62</ns0:f>
        <ns0:v>BZT52-B4V3</ns0:v>
      </ns0:c>
      <ns0:c r="S62" s="34" t="str">
        <ns0:f>K62</ns0:f>
        <ns0:v>Стабилитрон BZT52-B4V3</ns0:v>
      </ns0:c>
      <ns0:c r="T62" s="33" t="str">
        <ns0:v>C:\Users\Nomatin\Documents\Altium\MY_LIB\MY_LIB\Datasheets\Diodes\BZT52_B_Nexperia.pdf</ns0:v>
      </ns0:c>
      <ns0:c r="U62" s="33" t="str">
        <ns0:v>Rev. 2, 06-Feb-2024; B selection</ns0:v>
      </ns0:c>
      <ns0:c r="V62" s="33" t="str">
        <ns0:v>Даташит — локальный</ns0:v>
      </ns0:c>
      <ns0:c r="W62" s="33" t="str">
        <ns0:v>C:\Users\Nomatin\Documents\Altium\MY_LIB\MY_LIB\Datasheets\Diodes\BZT52_B_Nexperia.pdf</ns0:v>
      </ns0:c>
      <ns0:c r="X62" s="33" t="str">
        <ns0:v>Даташит — производитель</ns0:v>
      </ns0:c>
      <ns0:c r="Y62" s="33" t="str">
        <ns0:v>https://assets.nexperia.com/documents/data-sheet/BZT52_SER.pdf</ns0:v>
      </ns0:c>
      <ns0:c r="Z62" s="33" t="str">
        <ns0:v>C:\Users\Nomatin\Documents\Altium\MY_LIB\MY_LIB\Datasheets\Diodes\BZT52_B_Nexperia.pdf</ns0:v>
      </ns0:c>
      <ns0:c r="AA62" s="33" t="str">
        <ns0:v>BZT52-B</ns0:v>
      </ns0:c>
      <ns0:c r="AB62" s="33" t="str">
        <ns0:v>Одиночный</ns0:v>
      </ns0:c>
      <ns0:c r="AC62" s="33" t="str">
        <ns0:v>K=C (manufacturer 1); A=A (manufacturer 2)</ns0:v>
      </ns0:c>
      <ns0:c r="AD62" s="33"/>
      <ns0:c r="AE62" s="33"/>
      <ns0:c r="AF62" s="33" t="n">
        <ns0:v>4.3</ns0:v>
      </ns0:c>
      <ns0:c r="AG62" s="33" t="n">
        <ns0:v>5</ns0:v>
      </ns0:c>
      <ns0:c r="AH62" s="33"/>
      <ns0:c r="AI62" s="33"/>
      <ns0:c r="AJ62" s="33" t="str">
        <ns0:v>350 мВт: стандартное посадочное место. 590 мВт: медь катода 1 см², TA≤25 °C; далее снижение мощности.</ns0:v>
      </ns0:c>
    </ns0:row>
    <ns0:row r="63" ht="60" customHeight="1">
      <ns0:c r="A63" s="33" t="str">
        <ns0:v>VD0062</ns0:v>
      </ns0:c>
      <ns0:c r="B63" s="33" t="str">
        <ns0:v>Стабилитрон</ns0:v>
      </ns0:c>
      <ns0:c r="C63" s="33" t="str">
        <ns0:v>BZT52-B4V7</ns0:v>
      </ns0:c>
      <ns0:c r="D63" s="34" t="str">
        <ns0:f>C63</ns0:f>
        <ns0:v>BZT52-B4V7</ns0:v>
      </ns0:c>
      <ns0:c r="E63" s="33" t="str">
        <ns0:v>±2%</ns0:v>
      </ns0:c>
      <ns0:c r="F63" s="33" t="str">
        <ns0:v>0,35 Вт</ns0:v>
      </ns0:c>
      <ns0:c r="G63" s="33" t="str">
        <ns0:v>4.7 В (Uст ном.)</ns0:v>
      </ns0:c>
      <ns0:c r="H63" s="35" t="str">
        <ns0:v>SOD-123</ns0:v>
      </ns0:c>
      <ns0:c r="I63" s="33" t="str">
        <ns0:v>Nexperia</ns0:v>
      </ns0:c>
      <ns0:c r="J63" s="33" t="str">
        <ns0:v>BZT52-B4V7</ns0:v>
      </ns0:c>
      <ns0:c r="K63" s="34" t="str">
        <ns0:f>B63&amp;" "&amp;J63</ns0:f>
        <ns0:v>Стабилитрон BZT52-B4V7</ns0:v>
      </ns0:c>
      <ns0:c r="L63" s="36" t="str">
        <ns0:v>Zener_AK</ns0:v>
      </ns0:c>
      <ns0:c r="M63" s="36" t="str">
        <ns0:v>Symbols\MY_LIB_Semiconductors.SchLib</ns0:v>
      </ns0:c>
      <ns0:c r="N63" s="36" t="str">
        <ns0:v>SOD123</ns0:v>
      </ns0:c>
      <ns0:c r="O63" s="36" t="str">
        <ns0:v>Footprints\PBL - SMD Packages.PcbLib</ns0:v>
      </ns0:c>
      <ns0:c r="P6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3" s="33"/>
      <ns0:c r="R63" s="34" t="str">
        <ns0:f>D63</ns0:f>
        <ns0:v>BZT52-B4V7</ns0:v>
      </ns0:c>
      <ns0:c r="S63" s="34" t="str">
        <ns0:f>K63</ns0:f>
        <ns0:v>Стабилитрон BZT52-B4V7</ns0:v>
      </ns0:c>
      <ns0:c r="T63" s="33" t="str">
        <ns0:v>C:\Users\Nomatin\Documents\Altium\MY_LIB\MY_LIB\Datasheets\Diodes\BZT52_B_Nexperia.pdf</ns0:v>
      </ns0:c>
      <ns0:c r="U63" s="33" t="str">
        <ns0:v>Rev. 2, 06-Feb-2024; B selection</ns0:v>
      </ns0:c>
      <ns0:c r="V63" s="33" t="str">
        <ns0:v>Даташит — локальный</ns0:v>
      </ns0:c>
      <ns0:c r="W63" s="33" t="str">
        <ns0:v>C:\Users\Nomatin\Documents\Altium\MY_LIB\MY_LIB\Datasheets\Diodes\BZT52_B_Nexperia.pdf</ns0:v>
      </ns0:c>
      <ns0:c r="X63" s="33" t="str">
        <ns0:v>Даташит — производитель</ns0:v>
      </ns0:c>
      <ns0:c r="Y63" s="33" t="str">
        <ns0:v>https://assets.nexperia.com/documents/data-sheet/BZT52_SER.pdf</ns0:v>
      </ns0:c>
      <ns0:c r="Z63" s="33" t="str">
        <ns0:v>C:\Users\Nomatin\Documents\Altium\MY_LIB\MY_LIB\Datasheets\Diodes\BZT52_B_Nexperia.pdf</ns0:v>
      </ns0:c>
      <ns0:c r="AA63" s="33" t="str">
        <ns0:v>BZT52-B</ns0:v>
      </ns0:c>
      <ns0:c r="AB63" s="33" t="str">
        <ns0:v>Одиночный</ns0:v>
      </ns0:c>
      <ns0:c r="AC63" s="33" t="str">
        <ns0:v>K=C (manufacturer 1); A=A (manufacturer 2)</ns0:v>
      </ns0:c>
      <ns0:c r="AD63" s="33"/>
      <ns0:c r="AE63" s="33"/>
      <ns0:c r="AF63" s="33" t="n">
        <ns0:v>4.7</ns0:v>
      </ns0:c>
      <ns0:c r="AG63" s="33" t="n">
        <ns0:v>5</ns0:v>
      </ns0:c>
      <ns0:c r="AH63" s="33"/>
      <ns0:c r="AI63" s="33"/>
      <ns0:c r="AJ63" s="33" t="str">
        <ns0:v>350 мВт: стандартное посадочное место. 590 мВт: медь катода 1 см², TA≤25 °C; далее снижение мощности.</ns0:v>
      </ns0:c>
    </ns0:row>
    <ns0:row r="64" ht="60" customHeight="1">
      <ns0:c r="A64" s="33" t="str">
        <ns0:v>VD0063</ns0:v>
      </ns0:c>
      <ns0:c r="B64" s="33" t="str">
        <ns0:v>Стабилитрон</ns0:v>
      </ns0:c>
      <ns0:c r="C64" s="33" t="str">
        <ns0:v>BZT52-B5V1</ns0:v>
      </ns0:c>
      <ns0:c r="D64" s="34" t="str">
        <ns0:f>C64</ns0:f>
        <ns0:v>BZT52-B5V1</ns0:v>
      </ns0:c>
      <ns0:c r="E64" s="33" t="str">
        <ns0:v>±2%</ns0:v>
      </ns0:c>
      <ns0:c r="F64" s="33" t="str">
        <ns0:v>0,35 Вт</ns0:v>
      </ns0:c>
      <ns0:c r="G64" s="33" t="str">
        <ns0:v>5.1 В (Uст ном.)</ns0:v>
      </ns0:c>
      <ns0:c r="H64" s="35" t="str">
        <ns0:v>SOD-123</ns0:v>
      </ns0:c>
      <ns0:c r="I64" s="33" t="str">
        <ns0:v>Nexperia</ns0:v>
      </ns0:c>
      <ns0:c r="J64" s="33" t="str">
        <ns0:v>BZT52-B5V1</ns0:v>
      </ns0:c>
      <ns0:c r="K64" s="34" t="str">
        <ns0:f>B64&amp;" "&amp;J64</ns0:f>
        <ns0:v>Стабилитрон BZT52-B5V1</ns0:v>
      </ns0:c>
      <ns0:c r="L64" s="36" t="str">
        <ns0:v>Zener_AK</ns0:v>
      </ns0:c>
      <ns0:c r="M64" s="36" t="str">
        <ns0:v>Symbols\MY_LIB_Semiconductors.SchLib</ns0:v>
      </ns0:c>
      <ns0:c r="N64" s="36" t="str">
        <ns0:v>SOD123</ns0:v>
      </ns0:c>
      <ns0:c r="O64" s="36" t="str">
        <ns0:v>Footprints\PBL - SMD Packages.PcbLib</ns0:v>
      </ns0:c>
      <ns0:c r="P6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4" s="33"/>
      <ns0:c r="R64" s="34" t="str">
        <ns0:f>D64</ns0:f>
        <ns0:v>BZT52-B5V1</ns0:v>
      </ns0:c>
      <ns0:c r="S64" s="34" t="str">
        <ns0:f>K64</ns0:f>
        <ns0:v>Стабилитрон BZT52-B5V1</ns0:v>
      </ns0:c>
      <ns0:c r="T64" s="33" t="str">
        <ns0:v>C:\Users\Nomatin\Documents\Altium\MY_LIB\MY_LIB\Datasheets\Diodes\BZT52_B_Nexperia.pdf</ns0:v>
      </ns0:c>
      <ns0:c r="U64" s="33" t="str">
        <ns0:v>Rev. 2, 06-Feb-2024; B selection</ns0:v>
      </ns0:c>
      <ns0:c r="V64" s="33" t="str">
        <ns0:v>Даташит — локальный</ns0:v>
      </ns0:c>
      <ns0:c r="W64" s="33" t="str">
        <ns0:v>C:\Users\Nomatin\Documents\Altium\MY_LIB\MY_LIB\Datasheets\Diodes\BZT52_B_Nexperia.pdf</ns0:v>
      </ns0:c>
      <ns0:c r="X64" s="33" t="str">
        <ns0:v>Даташит — производитель</ns0:v>
      </ns0:c>
      <ns0:c r="Y64" s="33" t="str">
        <ns0:v>https://assets.nexperia.com/documents/data-sheet/BZT52_SER.pdf</ns0:v>
      </ns0:c>
      <ns0:c r="Z64" s="33" t="str">
        <ns0:v>C:\Users\Nomatin\Documents\Altium\MY_LIB\MY_LIB\Datasheets\Diodes\BZT52_B_Nexperia.pdf</ns0:v>
      </ns0:c>
      <ns0:c r="AA64" s="33" t="str">
        <ns0:v>BZT52-B</ns0:v>
      </ns0:c>
      <ns0:c r="AB64" s="33" t="str">
        <ns0:v>Одиночный</ns0:v>
      </ns0:c>
      <ns0:c r="AC64" s="33" t="str">
        <ns0:v>K=C (manufacturer 1); A=A (manufacturer 2)</ns0:v>
      </ns0:c>
      <ns0:c r="AD64" s="33"/>
      <ns0:c r="AE64" s="33"/>
      <ns0:c r="AF64" s="33" t="n">
        <ns0:v>5.1</ns0:v>
      </ns0:c>
      <ns0:c r="AG64" s="33" t="n">
        <ns0:v>5</ns0:v>
      </ns0:c>
      <ns0:c r="AH64" s="33"/>
      <ns0:c r="AI64" s="33"/>
      <ns0:c r="AJ64" s="33" t="str">
        <ns0:v>350 мВт: стандартное посадочное место. 590 мВт: медь катода 1 см², TA≤25 °C; далее снижение мощности.</ns0:v>
      </ns0:c>
    </ns0:row>
    <ns0:row r="65" ht="60" customHeight="1">
      <ns0:c r="A65" s="33" t="str">
        <ns0:v>VD0064</ns0:v>
      </ns0:c>
      <ns0:c r="B65" s="33" t="str">
        <ns0:v>Стабилитрон</ns0:v>
      </ns0:c>
      <ns0:c r="C65" s="33" t="str">
        <ns0:v>BZT52-B5V6</ns0:v>
      </ns0:c>
      <ns0:c r="D65" s="34" t="str">
        <ns0:f>C65</ns0:f>
        <ns0:v>BZT52-B5V6</ns0:v>
      </ns0:c>
      <ns0:c r="E65" s="33" t="str">
        <ns0:v>±2%</ns0:v>
      </ns0:c>
      <ns0:c r="F65" s="33" t="str">
        <ns0:v>0,35 Вт</ns0:v>
      </ns0:c>
      <ns0:c r="G65" s="33" t="str">
        <ns0:v>5.6 В (Uст ном.)</ns0:v>
      </ns0:c>
      <ns0:c r="H65" s="35" t="str">
        <ns0:v>SOD-123</ns0:v>
      </ns0:c>
      <ns0:c r="I65" s="33" t="str">
        <ns0:v>Nexperia</ns0:v>
      </ns0:c>
      <ns0:c r="J65" s="33" t="str">
        <ns0:v>BZT52-B5V6</ns0:v>
      </ns0:c>
      <ns0:c r="K65" s="34" t="str">
        <ns0:f>B65&amp;" "&amp;J65</ns0:f>
        <ns0:v>Стабилитрон BZT52-B5V6</ns0:v>
      </ns0:c>
      <ns0:c r="L65" s="36" t="str">
        <ns0:v>Zener_AK</ns0:v>
      </ns0:c>
      <ns0:c r="M65" s="36" t="str">
        <ns0:v>Symbols\MY_LIB_Semiconductors.SchLib</ns0:v>
      </ns0:c>
      <ns0:c r="N65" s="36" t="str">
        <ns0:v>SOD123</ns0:v>
      </ns0:c>
      <ns0:c r="O65" s="36" t="str">
        <ns0:v>Footprints\PBL - SMD Packages.PcbLib</ns0:v>
      </ns0:c>
      <ns0:c r="P6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5" s="33"/>
      <ns0:c r="R65" s="34" t="str">
        <ns0:f>D65</ns0:f>
        <ns0:v>BZT52-B5V6</ns0:v>
      </ns0:c>
      <ns0:c r="S65" s="34" t="str">
        <ns0:f>K65</ns0:f>
        <ns0:v>Стабилитрон BZT52-B5V6</ns0:v>
      </ns0:c>
      <ns0:c r="T65" s="33" t="str">
        <ns0:v>C:\Users\Nomatin\Documents\Altium\MY_LIB\MY_LIB\Datasheets\Diodes\BZT52_B_Nexperia.pdf</ns0:v>
      </ns0:c>
      <ns0:c r="U65" s="33" t="str">
        <ns0:v>Rev. 2, 06-Feb-2024; B selection</ns0:v>
      </ns0:c>
      <ns0:c r="V65" s="33" t="str">
        <ns0:v>Даташит — локальный</ns0:v>
      </ns0:c>
      <ns0:c r="W65" s="33" t="str">
        <ns0:v>C:\Users\Nomatin\Documents\Altium\MY_LIB\MY_LIB\Datasheets\Diodes\BZT52_B_Nexperia.pdf</ns0:v>
      </ns0:c>
      <ns0:c r="X65" s="33" t="str">
        <ns0:v>Даташит — производитель</ns0:v>
      </ns0:c>
      <ns0:c r="Y65" s="33" t="str">
        <ns0:v>https://assets.nexperia.com/documents/data-sheet/BZT52_SER.pdf</ns0:v>
      </ns0:c>
      <ns0:c r="Z65" s="33" t="str">
        <ns0:v>C:\Users\Nomatin\Documents\Altium\MY_LIB\MY_LIB\Datasheets\Diodes\BZT52_B_Nexperia.pdf</ns0:v>
      </ns0:c>
      <ns0:c r="AA65" s="33" t="str">
        <ns0:v>BZT52-B</ns0:v>
      </ns0:c>
      <ns0:c r="AB65" s="33" t="str">
        <ns0:v>Одиночный</ns0:v>
      </ns0:c>
      <ns0:c r="AC65" s="33" t="str">
        <ns0:v>K=C (manufacturer 1); A=A (manufacturer 2)</ns0:v>
      </ns0:c>
      <ns0:c r="AD65" s="33"/>
      <ns0:c r="AE65" s="33"/>
      <ns0:c r="AF65" s="33" t="n">
        <ns0:v>5.6</ns0:v>
      </ns0:c>
      <ns0:c r="AG65" s="33" t="n">
        <ns0:v>5</ns0:v>
      </ns0:c>
      <ns0:c r="AH65" s="33"/>
      <ns0:c r="AI65" s="33"/>
      <ns0:c r="AJ65" s="33" t="str">
        <ns0:v>350 мВт: стандартное посадочное место. 590 мВт: медь катода 1 см², TA≤25 °C; далее снижение мощности.</ns0:v>
      </ns0:c>
    </ns0:row>
    <ns0:row r="66" ht="60" customHeight="1">
      <ns0:c r="A66" s="33" t="str">
        <ns0:v>VD0065</ns0:v>
      </ns0:c>
      <ns0:c r="B66" s="33" t="str">
        <ns0:v>Стабилитрон</ns0:v>
      </ns0:c>
      <ns0:c r="C66" s="33" t="str">
        <ns0:v>BZT52-B6V2</ns0:v>
      </ns0:c>
      <ns0:c r="D66" s="34" t="str">
        <ns0:f>C66</ns0:f>
        <ns0:v>BZT52-B6V2</ns0:v>
      </ns0:c>
      <ns0:c r="E66" s="33" t="str">
        <ns0:v>±2%</ns0:v>
      </ns0:c>
      <ns0:c r="F66" s="33" t="str">
        <ns0:v>0,35 Вт</ns0:v>
      </ns0:c>
      <ns0:c r="G66" s="33" t="str">
        <ns0:v>6.2 В (Uст ном.)</ns0:v>
      </ns0:c>
      <ns0:c r="H66" s="35" t="str">
        <ns0:v>SOD-123</ns0:v>
      </ns0:c>
      <ns0:c r="I66" s="33" t="str">
        <ns0:v>Nexperia</ns0:v>
      </ns0:c>
      <ns0:c r="J66" s="33" t="str">
        <ns0:v>BZT52-B6V2</ns0:v>
      </ns0:c>
      <ns0:c r="K66" s="34" t="str">
        <ns0:f>B66&amp;" "&amp;J66</ns0:f>
        <ns0:v>Стабилитрон BZT52-B6V2</ns0:v>
      </ns0:c>
      <ns0:c r="L66" s="36" t="str">
        <ns0:v>Zener_AK</ns0:v>
      </ns0:c>
      <ns0:c r="M66" s="36" t="str">
        <ns0:v>Symbols\MY_LIB_Semiconductors.SchLib</ns0:v>
      </ns0:c>
      <ns0:c r="N66" s="36" t="str">
        <ns0:v>SOD123</ns0:v>
      </ns0:c>
      <ns0:c r="O66" s="36" t="str">
        <ns0:v>Footprints\PBL - SMD Packages.PcbLib</ns0:v>
      </ns0:c>
      <ns0:c r="P6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6" s="33"/>
      <ns0:c r="R66" s="34" t="str">
        <ns0:f>D66</ns0:f>
        <ns0:v>BZT52-B6V2</ns0:v>
      </ns0:c>
      <ns0:c r="S66" s="34" t="str">
        <ns0:f>K66</ns0:f>
        <ns0:v>Стабилитрон BZT52-B6V2</ns0:v>
      </ns0:c>
      <ns0:c r="T66" s="33" t="str">
        <ns0:v>C:\Users\Nomatin\Documents\Altium\MY_LIB\MY_LIB\Datasheets\Diodes\BZT52_B_Nexperia.pdf</ns0:v>
      </ns0:c>
      <ns0:c r="U66" s="33" t="str">
        <ns0:v>Rev. 2, 06-Feb-2024; B selection</ns0:v>
      </ns0:c>
      <ns0:c r="V66" s="33" t="str">
        <ns0:v>Даташит — локальный</ns0:v>
      </ns0:c>
      <ns0:c r="W66" s="33" t="str">
        <ns0:v>C:\Users\Nomatin\Documents\Altium\MY_LIB\MY_LIB\Datasheets\Diodes\BZT52_B_Nexperia.pdf</ns0:v>
      </ns0:c>
      <ns0:c r="X66" s="33" t="str">
        <ns0:v>Даташит — производитель</ns0:v>
      </ns0:c>
      <ns0:c r="Y66" s="33" t="str">
        <ns0:v>https://assets.nexperia.com/documents/data-sheet/BZT52_SER.pdf</ns0:v>
      </ns0:c>
      <ns0:c r="Z66" s="33" t="str">
        <ns0:v>C:\Users\Nomatin\Documents\Altium\MY_LIB\MY_LIB\Datasheets\Diodes\BZT52_B_Nexperia.pdf</ns0:v>
      </ns0:c>
      <ns0:c r="AA66" s="33" t="str">
        <ns0:v>BZT52-B</ns0:v>
      </ns0:c>
      <ns0:c r="AB66" s="33" t="str">
        <ns0:v>Одиночный</ns0:v>
      </ns0:c>
      <ns0:c r="AC66" s="33" t="str">
        <ns0:v>K=C (manufacturer 1); A=A (manufacturer 2)</ns0:v>
      </ns0:c>
      <ns0:c r="AD66" s="33"/>
      <ns0:c r="AE66" s="33"/>
      <ns0:c r="AF66" s="33" t="n">
        <ns0:v>6.2</ns0:v>
      </ns0:c>
      <ns0:c r="AG66" s="33" t="n">
        <ns0:v>5</ns0:v>
      </ns0:c>
      <ns0:c r="AH66" s="33"/>
      <ns0:c r="AI66" s="33"/>
      <ns0:c r="AJ66" s="33" t="str">
        <ns0:v>350 мВт: стандартное посадочное место. 590 мВт: медь катода 1 см², TA≤25 °C; далее снижение мощности.</ns0:v>
      </ns0:c>
    </ns0:row>
    <ns0:row r="67" ht="60" customHeight="1">
      <ns0:c r="A67" s="33" t="str">
        <ns0:v>VD0066</ns0:v>
      </ns0:c>
      <ns0:c r="B67" s="33" t="str">
        <ns0:v>Стабилитрон</ns0:v>
      </ns0:c>
      <ns0:c r="C67" s="33" t="str">
        <ns0:v>BZT52-B6V8</ns0:v>
      </ns0:c>
      <ns0:c r="D67" s="34" t="str">
        <ns0:f>C67</ns0:f>
        <ns0:v>BZT52-B6V8</ns0:v>
      </ns0:c>
      <ns0:c r="E67" s="33" t="str">
        <ns0:v>±2%</ns0:v>
      </ns0:c>
      <ns0:c r="F67" s="33" t="str">
        <ns0:v>0,35 Вт</ns0:v>
      </ns0:c>
      <ns0:c r="G67" s="33" t="str">
        <ns0:v>6.8 В (Uст ном.)</ns0:v>
      </ns0:c>
      <ns0:c r="H67" s="35" t="str">
        <ns0:v>SOD-123</ns0:v>
      </ns0:c>
      <ns0:c r="I67" s="33" t="str">
        <ns0:v>Nexperia</ns0:v>
      </ns0:c>
      <ns0:c r="J67" s="33" t="str">
        <ns0:v>BZT52-B6V8</ns0:v>
      </ns0:c>
      <ns0:c r="K67" s="34" t="str">
        <ns0:f>B67&amp;" "&amp;J67</ns0:f>
        <ns0:v>Стабилитрон BZT52-B6V8</ns0:v>
      </ns0:c>
      <ns0:c r="L67" s="36" t="str">
        <ns0:v>Zener_AK</ns0:v>
      </ns0:c>
      <ns0:c r="M67" s="36" t="str">
        <ns0:v>Symbols\MY_LIB_Semiconductors.SchLib</ns0:v>
      </ns0:c>
      <ns0:c r="N67" s="36" t="str">
        <ns0:v>SOD123</ns0:v>
      </ns0:c>
      <ns0:c r="O67" s="36" t="str">
        <ns0:v>Footprints\PBL - SMD Packages.PcbLib</ns0:v>
      </ns0:c>
      <ns0:c r="P6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7" s="33"/>
      <ns0:c r="R67" s="34" t="str">
        <ns0:f>D67</ns0:f>
        <ns0:v>BZT52-B6V8</ns0:v>
      </ns0:c>
      <ns0:c r="S67" s="34" t="str">
        <ns0:f>K67</ns0:f>
        <ns0:v>Стабилитрон BZT52-B6V8</ns0:v>
      </ns0:c>
      <ns0:c r="T67" s="33" t="str">
        <ns0:v>C:\Users\Nomatin\Documents\Altium\MY_LIB\MY_LIB\Datasheets\Diodes\BZT52_B_Nexperia.pdf</ns0:v>
      </ns0:c>
      <ns0:c r="U67" s="33" t="str">
        <ns0:v>Rev. 2, 06-Feb-2024; B selection</ns0:v>
      </ns0:c>
      <ns0:c r="V67" s="33" t="str">
        <ns0:v>Даташит — локальный</ns0:v>
      </ns0:c>
      <ns0:c r="W67" s="33" t="str">
        <ns0:v>C:\Users\Nomatin\Documents\Altium\MY_LIB\MY_LIB\Datasheets\Diodes\BZT52_B_Nexperia.pdf</ns0:v>
      </ns0:c>
      <ns0:c r="X67" s="33" t="str">
        <ns0:v>Даташит — производитель</ns0:v>
      </ns0:c>
      <ns0:c r="Y67" s="33" t="str">
        <ns0:v>https://assets.nexperia.com/documents/data-sheet/BZT52_SER.pdf</ns0:v>
      </ns0:c>
      <ns0:c r="Z67" s="33" t="str">
        <ns0:v>C:\Users\Nomatin\Documents\Altium\MY_LIB\MY_LIB\Datasheets\Diodes\BZT52_B_Nexperia.pdf</ns0:v>
      </ns0:c>
      <ns0:c r="AA67" s="33" t="str">
        <ns0:v>BZT52-B</ns0:v>
      </ns0:c>
      <ns0:c r="AB67" s="33" t="str">
        <ns0:v>Одиночный</ns0:v>
      </ns0:c>
      <ns0:c r="AC67" s="33" t="str">
        <ns0:v>K=C (manufacturer 1); A=A (manufacturer 2)</ns0:v>
      </ns0:c>
      <ns0:c r="AD67" s="33"/>
      <ns0:c r="AE67" s="33"/>
      <ns0:c r="AF67" s="33" t="n">
        <ns0:v>6.8</ns0:v>
      </ns0:c>
      <ns0:c r="AG67" s="33" t="n">
        <ns0:v>5</ns0:v>
      </ns0:c>
      <ns0:c r="AH67" s="33"/>
      <ns0:c r="AI67" s="33"/>
      <ns0:c r="AJ67" s="33" t="str">
        <ns0:v>350 мВт: стандартное посадочное место. 590 мВт: медь катода 1 см², TA≤25 °C; далее снижение мощности.</ns0:v>
      </ns0:c>
    </ns0:row>
    <ns0:row r="68" ht="60" customHeight="1">
      <ns0:c r="A68" s="33" t="str">
        <ns0:v>VD0067</ns0:v>
      </ns0:c>
      <ns0:c r="B68" s="33" t="str">
        <ns0:v>Стабилитрон</ns0:v>
      </ns0:c>
      <ns0:c r="C68" s="33" t="str">
        <ns0:v>BZT52-B7V5</ns0:v>
      </ns0:c>
      <ns0:c r="D68" s="34" t="str">
        <ns0:f>C68</ns0:f>
        <ns0:v>BZT52-B7V5</ns0:v>
      </ns0:c>
      <ns0:c r="E68" s="33" t="str">
        <ns0:v>±2%</ns0:v>
      </ns0:c>
      <ns0:c r="F68" s="33" t="str">
        <ns0:v>0,35 Вт</ns0:v>
      </ns0:c>
      <ns0:c r="G68" s="33" t="str">
        <ns0:v>7.5 В (Uст ном.)</ns0:v>
      </ns0:c>
      <ns0:c r="H68" s="35" t="str">
        <ns0:v>SOD-123</ns0:v>
      </ns0:c>
      <ns0:c r="I68" s="33" t="str">
        <ns0:v>Nexperia</ns0:v>
      </ns0:c>
      <ns0:c r="J68" s="33" t="str">
        <ns0:v>BZT52-B7V5</ns0:v>
      </ns0:c>
      <ns0:c r="K68" s="34" t="str">
        <ns0:f>B68&amp;" "&amp;J68</ns0:f>
        <ns0:v>Стабилитрон BZT52-B7V5</ns0:v>
      </ns0:c>
      <ns0:c r="L68" s="36" t="str">
        <ns0:v>Zener_AK</ns0:v>
      </ns0:c>
      <ns0:c r="M68" s="36" t="str">
        <ns0:v>Symbols\MY_LIB_Semiconductors.SchLib</ns0:v>
      </ns0:c>
      <ns0:c r="N68" s="36" t="str">
        <ns0:v>SOD123</ns0:v>
      </ns0:c>
      <ns0:c r="O68" s="36" t="str">
        <ns0:v>Footprints\PBL - SMD Packages.PcbLib</ns0:v>
      </ns0:c>
      <ns0:c r="P6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8" s="33"/>
      <ns0:c r="R68" s="34" t="str">
        <ns0:f>D68</ns0:f>
        <ns0:v>BZT52-B7V5</ns0:v>
      </ns0:c>
      <ns0:c r="S68" s="34" t="str">
        <ns0:f>K68</ns0:f>
        <ns0:v>Стабилитрон BZT52-B7V5</ns0:v>
      </ns0:c>
      <ns0:c r="T68" s="33" t="str">
        <ns0:v>C:\Users\Nomatin\Documents\Altium\MY_LIB\MY_LIB\Datasheets\Diodes\BZT52_B_Nexperia.pdf</ns0:v>
      </ns0:c>
      <ns0:c r="U68" s="33" t="str">
        <ns0:v>Rev. 2, 06-Feb-2024; B selection</ns0:v>
      </ns0:c>
      <ns0:c r="V68" s="33" t="str">
        <ns0:v>Даташит — локальный</ns0:v>
      </ns0:c>
      <ns0:c r="W68" s="33" t="str">
        <ns0:v>C:\Users\Nomatin\Documents\Altium\MY_LIB\MY_LIB\Datasheets\Diodes\BZT52_B_Nexperia.pdf</ns0:v>
      </ns0:c>
      <ns0:c r="X68" s="33" t="str">
        <ns0:v>Даташит — производитель</ns0:v>
      </ns0:c>
      <ns0:c r="Y68" s="33" t="str">
        <ns0:v>https://assets.nexperia.com/documents/data-sheet/BZT52_SER.pdf</ns0:v>
      </ns0:c>
      <ns0:c r="Z68" s="33" t="str">
        <ns0:v>C:\Users\Nomatin\Documents\Altium\MY_LIB\MY_LIB\Datasheets\Diodes\BZT52_B_Nexperia.pdf</ns0:v>
      </ns0:c>
      <ns0:c r="AA68" s="33" t="str">
        <ns0:v>BZT52-B</ns0:v>
      </ns0:c>
      <ns0:c r="AB68" s="33" t="str">
        <ns0:v>Одиночный</ns0:v>
      </ns0:c>
      <ns0:c r="AC68" s="33" t="str">
        <ns0:v>K=C (manufacturer 1); A=A (manufacturer 2)</ns0:v>
      </ns0:c>
      <ns0:c r="AD68" s="33"/>
      <ns0:c r="AE68" s="33"/>
      <ns0:c r="AF68" s="33" t="n">
        <ns0:v>7.5</ns0:v>
      </ns0:c>
      <ns0:c r="AG68" s="33" t="n">
        <ns0:v>5</ns0:v>
      </ns0:c>
      <ns0:c r="AH68" s="33"/>
      <ns0:c r="AI68" s="33"/>
      <ns0:c r="AJ68" s="33" t="str">
        <ns0:v>350 мВт: стандартное посадочное место. 590 мВт: медь катода 1 см², TA≤25 °C; далее снижение мощности.</ns0:v>
      </ns0:c>
    </ns0:row>
    <ns0:row r="69" ht="60" customHeight="1">
      <ns0:c r="A69" s="33" t="str">
        <ns0:v>VD0068</ns0:v>
      </ns0:c>
      <ns0:c r="B69" s="33" t="str">
        <ns0:v>Стабилитрон</ns0:v>
      </ns0:c>
      <ns0:c r="C69" s="33" t="str">
        <ns0:v>BZT52-B8V2</ns0:v>
      </ns0:c>
      <ns0:c r="D69" s="34" t="str">
        <ns0:f>C69</ns0:f>
        <ns0:v>BZT52-B8V2</ns0:v>
      </ns0:c>
      <ns0:c r="E69" s="33" t="str">
        <ns0:v>±2%</ns0:v>
      </ns0:c>
      <ns0:c r="F69" s="33" t="str">
        <ns0:v>0,35 Вт</ns0:v>
      </ns0:c>
      <ns0:c r="G69" s="33" t="str">
        <ns0:v>8.2 В (Uст ном.)</ns0:v>
      </ns0:c>
      <ns0:c r="H69" s="35" t="str">
        <ns0:v>SOD-123</ns0:v>
      </ns0:c>
      <ns0:c r="I69" s="33" t="str">
        <ns0:v>Nexperia</ns0:v>
      </ns0:c>
      <ns0:c r="J69" s="33" t="str">
        <ns0:v>BZT52-B8V2</ns0:v>
      </ns0:c>
      <ns0:c r="K69" s="34" t="str">
        <ns0:f>B69&amp;" "&amp;J69</ns0:f>
        <ns0:v>Стабилитрон BZT52-B8V2</ns0:v>
      </ns0:c>
      <ns0:c r="L69" s="36" t="str">
        <ns0:v>Zener_AK</ns0:v>
      </ns0:c>
      <ns0:c r="M69" s="36" t="str">
        <ns0:v>Symbols\MY_LIB_Semiconductors.SchLib</ns0:v>
      </ns0:c>
      <ns0:c r="N69" s="36" t="str">
        <ns0:v>SOD123</ns0:v>
      </ns0:c>
      <ns0:c r="O69" s="36" t="str">
        <ns0:v>Footprints\PBL - SMD Packages.PcbLib</ns0:v>
      </ns0:c>
      <ns0:c r="P6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69" s="33"/>
      <ns0:c r="R69" s="34" t="str">
        <ns0:f>D69</ns0:f>
        <ns0:v>BZT52-B8V2</ns0:v>
      </ns0:c>
      <ns0:c r="S69" s="34" t="str">
        <ns0:f>K69</ns0:f>
        <ns0:v>Стабилитрон BZT52-B8V2</ns0:v>
      </ns0:c>
      <ns0:c r="T69" s="33" t="str">
        <ns0:v>C:\Users\Nomatin\Documents\Altium\MY_LIB\MY_LIB\Datasheets\Diodes\BZT52_B_Nexperia.pdf</ns0:v>
      </ns0:c>
      <ns0:c r="U69" s="33" t="str">
        <ns0:v>Rev. 2, 06-Feb-2024; B selection</ns0:v>
      </ns0:c>
      <ns0:c r="V69" s="33" t="str">
        <ns0:v>Даташит — локальный</ns0:v>
      </ns0:c>
      <ns0:c r="W69" s="33" t="str">
        <ns0:v>C:\Users\Nomatin\Documents\Altium\MY_LIB\MY_LIB\Datasheets\Diodes\BZT52_B_Nexperia.pdf</ns0:v>
      </ns0:c>
      <ns0:c r="X69" s="33" t="str">
        <ns0:v>Даташит — производитель</ns0:v>
      </ns0:c>
      <ns0:c r="Y69" s="33" t="str">
        <ns0:v>https://assets.nexperia.com/documents/data-sheet/BZT52_SER.pdf</ns0:v>
      </ns0:c>
      <ns0:c r="Z69" s="33" t="str">
        <ns0:v>C:\Users\Nomatin\Documents\Altium\MY_LIB\MY_LIB\Datasheets\Diodes\BZT52_B_Nexperia.pdf</ns0:v>
      </ns0:c>
      <ns0:c r="AA69" s="33" t="str">
        <ns0:v>BZT52-B</ns0:v>
      </ns0:c>
      <ns0:c r="AB69" s="33" t="str">
        <ns0:v>Одиночный</ns0:v>
      </ns0:c>
      <ns0:c r="AC69" s="33" t="str">
        <ns0:v>K=C (manufacturer 1); A=A (manufacturer 2)</ns0:v>
      </ns0:c>
      <ns0:c r="AD69" s="33"/>
      <ns0:c r="AE69" s="33"/>
      <ns0:c r="AF69" s="33" t="n">
        <ns0:v>8.2</ns0:v>
      </ns0:c>
      <ns0:c r="AG69" s="33" t="n">
        <ns0:v>5</ns0:v>
      </ns0:c>
      <ns0:c r="AH69" s="33"/>
      <ns0:c r="AI69" s="33"/>
      <ns0:c r="AJ69" s="33" t="str">
        <ns0:v>350 мВт: стандартное посадочное место. 590 мВт: медь катода 1 см², TA≤25 °C; далее снижение мощности.</ns0:v>
      </ns0:c>
    </ns0:row>
    <ns0:row r="70" ht="60" customHeight="1">
      <ns0:c r="A70" s="33" t="str">
        <ns0:v>VD0069</ns0:v>
      </ns0:c>
      <ns0:c r="B70" s="33" t="str">
        <ns0:v>Стабилитрон</ns0:v>
      </ns0:c>
      <ns0:c r="C70" s="33" t="str">
        <ns0:v>BZT52-B9V1</ns0:v>
      </ns0:c>
      <ns0:c r="D70" s="34" t="str">
        <ns0:f>C70</ns0:f>
        <ns0:v>BZT52-B9V1</ns0:v>
      </ns0:c>
      <ns0:c r="E70" s="33" t="str">
        <ns0:v>±2%</ns0:v>
      </ns0:c>
      <ns0:c r="F70" s="33" t="str">
        <ns0:v>0,35 Вт</ns0:v>
      </ns0:c>
      <ns0:c r="G70" s="33" t="str">
        <ns0:v>9.1 В (Uст ном.)</ns0:v>
      </ns0:c>
      <ns0:c r="H70" s="35" t="str">
        <ns0:v>SOD-123</ns0:v>
      </ns0:c>
      <ns0:c r="I70" s="33" t="str">
        <ns0:v>Nexperia</ns0:v>
      </ns0:c>
      <ns0:c r="J70" s="33" t="str">
        <ns0:v>BZT52-B9V1</ns0:v>
      </ns0:c>
      <ns0:c r="K70" s="34" t="str">
        <ns0:f>B70&amp;" "&amp;J70</ns0:f>
        <ns0:v>Стабилитрон BZT52-B9V1</ns0:v>
      </ns0:c>
      <ns0:c r="L70" s="36" t="str">
        <ns0:v>Zener_AK</ns0:v>
      </ns0:c>
      <ns0:c r="M70" s="36" t="str">
        <ns0:v>Symbols\MY_LIB_Semiconductors.SchLib</ns0:v>
      </ns0:c>
      <ns0:c r="N70" s="36" t="str">
        <ns0:v>SOD123</ns0:v>
      </ns0:c>
      <ns0:c r="O70" s="36" t="str">
        <ns0:v>Footprints\PBL - SMD Packages.PcbLib</ns0:v>
      </ns0:c>
      <ns0:c r="P7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0" s="33"/>
      <ns0:c r="R70" s="34" t="str">
        <ns0:f>D70</ns0:f>
        <ns0:v>BZT52-B9V1</ns0:v>
      </ns0:c>
      <ns0:c r="S70" s="34" t="str">
        <ns0:f>K70</ns0:f>
        <ns0:v>Стабилитрон BZT52-B9V1</ns0:v>
      </ns0:c>
      <ns0:c r="T70" s="33" t="str">
        <ns0:v>C:\Users\Nomatin\Documents\Altium\MY_LIB\MY_LIB\Datasheets\Diodes\BZT52_B_Nexperia.pdf</ns0:v>
      </ns0:c>
      <ns0:c r="U70" s="33" t="str">
        <ns0:v>Rev. 2, 06-Feb-2024; B selection</ns0:v>
      </ns0:c>
      <ns0:c r="V70" s="33" t="str">
        <ns0:v>Даташит — локальный</ns0:v>
      </ns0:c>
      <ns0:c r="W70" s="33" t="str">
        <ns0:v>C:\Users\Nomatin\Documents\Altium\MY_LIB\MY_LIB\Datasheets\Diodes\BZT52_B_Nexperia.pdf</ns0:v>
      </ns0:c>
      <ns0:c r="X70" s="33" t="str">
        <ns0:v>Даташит — производитель</ns0:v>
      </ns0:c>
      <ns0:c r="Y70" s="33" t="str">
        <ns0:v>https://assets.nexperia.com/documents/data-sheet/BZT52_SER.pdf</ns0:v>
      </ns0:c>
      <ns0:c r="Z70" s="33" t="str">
        <ns0:v>C:\Users\Nomatin\Documents\Altium\MY_LIB\MY_LIB\Datasheets\Diodes\BZT52_B_Nexperia.pdf</ns0:v>
      </ns0:c>
      <ns0:c r="AA70" s="33" t="str">
        <ns0:v>BZT52-B</ns0:v>
      </ns0:c>
      <ns0:c r="AB70" s="33" t="str">
        <ns0:v>Одиночный</ns0:v>
      </ns0:c>
      <ns0:c r="AC70" s="33" t="str">
        <ns0:v>K=C (manufacturer 1); A=A (manufacturer 2)</ns0:v>
      </ns0:c>
      <ns0:c r="AD70" s="33"/>
      <ns0:c r="AE70" s="33"/>
      <ns0:c r="AF70" s="33" t="n">
        <ns0:v>9.1</ns0:v>
      </ns0:c>
      <ns0:c r="AG70" s="33" t="n">
        <ns0:v>5</ns0:v>
      </ns0:c>
      <ns0:c r="AH70" s="33"/>
      <ns0:c r="AI70" s="33"/>
      <ns0:c r="AJ70" s="33" t="str">
        <ns0:v>350 мВт: стандартное посадочное место. 590 мВт: медь катода 1 см², TA≤25 °C; далее снижение мощности.</ns0:v>
      </ns0:c>
    </ns0:row>
    <ns0:row r="71" ht="60" customHeight="1">
      <ns0:c r="A71" s="33" t="str">
        <ns0:v>VD0070</ns0:v>
      </ns0:c>
      <ns0:c r="B71" s="33" t="str">
        <ns0:v>Стабилитрон</ns0:v>
      </ns0:c>
      <ns0:c r="C71" s="33" t="str">
        <ns0:v>BZT52-B10</ns0:v>
      </ns0:c>
      <ns0:c r="D71" s="34" t="str">
        <ns0:f>C71</ns0:f>
        <ns0:v>BZT52-B10</ns0:v>
      </ns0:c>
      <ns0:c r="E71" s="33" t="str">
        <ns0:v>±2%</ns0:v>
      </ns0:c>
      <ns0:c r="F71" s="33" t="str">
        <ns0:v>0,35 Вт</ns0:v>
      </ns0:c>
      <ns0:c r="G71" s="33" t="str">
        <ns0:v>10 В (Uст ном.)</ns0:v>
      </ns0:c>
      <ns0:c r="H71" s="35" t="str">
        <ns0:v>SOD-123</ns0:v>
      </ns0:c>
      <ns0:c r="I71" s="33" t="str">
        <ns0:v>Nexperia</ns0:v>
      </ns0:c>
      <ns0:c r="J71" s="33" t="str">
        <ns0:v>BZT52-B10</ns0:v>
      </ns0:c>
      <ns0:c r="K71" s="34" t="str">
        <ns0:f>B71&amp;" "&amp;J71</ns0:f>
        <ns0:v>Стабилитрон BZT52-B10</ns0:v>
      </ns0:c>
      <ns0:c r="L71" s="36" t="str">
        <ns0:v>Zener_AK</ns0:v>
      </ns0:c>
      <ns0:c r="M71" s="36" t="str">
        <ns0:v>Symbols\MY_LIB_Semiconductors.SchLib</ns0:v>
      </ns0:c>
      <ns0:c r="N71" s="36" t="str">
        <ns0:v>SOD123</ns0:v>
      </ns0:c>
      <ns0:c r="O71" s="36" t="str">
        <ns0:v>Footprints\PBL - SMD Packages.PcbLib</ns0:v>
      </ns0:c>
      <ns0:c r="P7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1" s="33"/>
      <ns0:c r="R71" s="34" t="str">
        <ns0:f>D71</ns0:f>
        <ns0:v>BZT52-B10</ns0:v>
      </ns0:c>
      <ns0:c r="S71" s="34" t="str">
        <ns0:f>K71</ns0:f>
        <ns0:v>Стабилитрон BZT52-B10</ns0:v>
      </ns0:c>
      <ns0:c r="T71" s="33" t="str">
        <ns0:v>C:\Users\Nomatin\Documents\Altium\MY_LIB\MY_LIB\Datasheets\Diodes\BZT52_B_Nexperia.pdf</ns0:v>
      </ns0:c>
      <ns0:c r="U71" s="33" t="str">
        <ns0:v>Rev. 2, 06-Feb-2024; B selection</ns0:v>
      </ns0:c>
      <ns0:c r="V71" s="33" t="str">
        <ns0:v>Даташит — локальный</ns0:v>
      </ns0:c>
      <ns0:c r="W71" s="33" t="str">
        <ns0:v>C:\Users\Nomatin\Documents\Altium\MY_LIB\MY_LIB\Datasheets\Diodes\BZT52_B_Nexperia.pdf</ns0:v>
      </ns0:c>
      <ns0:c r="X71" s="33" t="str">
        <ns0:v>Даташит — производитель</ns0:v>
      </ns0:c>
      <ns0:c r="Y71" s="33" t="str">
        <ns0:v>https://assets.nexperia.com/documents/data-sheet/BZT52_SER.pdf</ns0:v>
      </ns0:c>
      <ns0:c r="Z71" s="33" t="str">
        <ns0:v>C:\Users\Nomatin\Documents\Altium\MY_LIB\MY_LIB\Datasheets\Diodes\BZT52_B_Nexperia.pdf</ns0:v>
      </ns0:c>
      <ns0:c r="AA71" s="33" t="str">
        <ns0:v>BZT52-B</ns0:v>
      </ns0:c>
      <ns0:c r="AB71" s="33" t="str">
        <ns0:v>Одиночный</ns0:v>
      </ns0:c>
      <ns0:c r="AC71" s="33" t="str">
        <ns0:v>K=C (manufacturer 1); A=A (manufacturer 2)</ns0:v>
      </ns0:c>
      <ns0:c r="AD71" s="33"/>
      <ns0:c r="AE71" s="33"/>
      <ns0:c r="AF71" s="33" t="n">
        <ns0:v>10</ns0:v>
      </ns0:c>
      <ns0:c r="AG71" s="33" t="n">
        <ns0:v>5</ns0:v>
      </ns0:c>
      <ns0:c r="AH71" s="33"/>
      <ns0:c r="AI71" s="33"/>
      <ns0:c r="AJ71" s="33" t="str">
        <ns0:v>350 мВт: стандартное посадочное место. 590 мВт: медь катода 1 см², TA≤25 °C; далее снижение мощности.</ns0:v>
      </ns0:c>
    </ns0:row>
    <ns0:row r="72" ht="60" customHeight="1">
      <ns0:c r="A72" s="33" t="str">
        <ns0:v>VD0071</ns0:v>
      </ns0:c>
      <ns0:c r="B72" s="33" t="str">
        <ns0:v>Стабилитрон</ns0:v>
      </ns0:c>
      <ns0:c r="C72" s="33" t="str">
        <ns0:v>BZT52-B11</ns0:v>
      </ns0:c>
      <ns0:c r="D72" s="34" t="str">
        <ns0:f>C72</ns0:f>
        <ns0:v>BZT52-B11</ns0:v>
      </ns0:c>
      <ns0:c r="E72" s="33" t="str">
        <ns0:v>±2%</ns0:v>
      </ns0:c>
      <ns0:c r="F72" s="33" t="str">
        <ns0:v>0,35 Вт</ns0:v>
      </ns0:c>
      <ns0:c r="G72" s="33" t="str">
        <ns0:v>11 В (Uст ном.)</ns0:v>
      </ns0:c>
      <ns0:c r="H72" s="35" t="str">
        <ns0:v>SOD-123</ns0:v>
      </ns0:c>
      <ns0:c r="I72" s="33" t="str">
        <ns0:v>Nexperia</ns0:v>
      </ns0:c>
      <ns0:c r="J72" s="33" t="str">
        <ns0:v>BZT52-B11</ns0:v>
      </ns0:c>
      <ns0:c r="K72" s="34" t="str">
        <ns0:f>B72&amp;" "&amp;J72</ns0:f>
        <ns0:v>Стабилитрон BZT52-B11</ns0:v>
      </ns0:c>
      <ns0:c r="L72" s="36" t="str">
        <ns0:v>Zener_AK</ns0:v>
      </ns0:c>
      <ns0:c r="M72" s="36" t="str">
        <ns0:v>Symbols\MY_LIB_Semiconductors.SchLib</ns0:v>
      </ns0:c>
      <ns0:c r="N72" s="36" t="str">
        <ns0:v>SOD123</ns0:v>
      </ns0:c>
      <ns0:c r="O72" s="36" t="str">
        <ns0:v>Footprints\PBL - SMD Packages.PcbLib</ns0:v>
      </ns0:c>
      <ns0:c r="P7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2" s="33"/>
      <ns0:c r="R72" s="34" t="str">
        <ns0:f>D72</ns0:f>
        <ns0:v>BZT52-B11</ns0:v>
      </ns0:c>
      <ns0:c r="S72" s="34" t="str">
        <ns0:f>K72</ns0:f>
        <ns0:v>Стабилитрон BZT52-B11</ns0:v>
      </ns0:c>
      <ns0:c r="T72" s="33" t="str">
        <ns0:v>C:\Users\Nomatin\Documents\Altium\MY_LIB\MY_LIB\Datasheets\Diodes\BZT52_B_Nexperia.pdf</ns0:v>
      </ns0:c>
      <ns0:c r="U72" s="33" t="str">
        <ns0:v>Rev. 2, 06-Feb-2024; B selection</ns0:v>
      </ns0:c>
      <ns0:c r="V72" s="33" t="str">
        <ns0:v>Даташит — локальный</ns0:v>
      </ns0:c>
      <ns0:c r="W72" s="33" t="str">
        <ns0:v>C:\Users\Nomatin\Documents\Altium\MY_LIB\MY_LIB\Datasheets\Diodes\BZT52_B_Nexperia.pdf</ns0:v>
      </ns0:c>
      <ns0:c r="X72" s="33" t="str">
        <ns0:v>Даташит — производитель</ns0:v>
      </ns0:c>
      <ns0:c r="Y72" s="33" t="str">
        <ns0:v>https://assets.nexperia.com/documents/data-sheet/BZT52_SER.pdf</ns0:v>
      </ns0:c>
      <ns0:c r="Z72" s="33" t="str">
        <ns0:v>C:\Users\Nomatin\Documents\Altium\MY_LIB\MY_LIB\Datasheets\Diodes\BZT52_B_Nexperia.pdf</ns0:v>
      </ns0:c>
      <ns0:c r="AA72" s="33" t="str">
        <ns0:v>BZT52-B</ns0:v>
      </ns0:c>
      <ns0:c r="AB72" s="33" t="str">
        <ns0:v>Одиночный</ns0:v>
      </ns0:c>
      <ns0:c r="AC72" s="33" t="str">
        <ns0:v>K=C (manufacturer 1); A=A (manufacturer 2)</ns0:v>
      </ns0:c>
      <ns0:c r="AD72" s="33"/>
      <ns0:c r="AE72" s="33"/>
      <ns0:c r="AF72" s="33" t="n">
        <ns0:v>11</ns0:v>
      </ns0:c>
      <ns0:c r="AG72" s="33" t="n">
        <ns0:v>5</ns0:v>
      </ns0:c>
      <ns0:c r="AH72" s="33"/>
      <ns0:c r="AI72" s="33"/>
      <ns0:c r="AJ72" s="33" t="str">
        <ns0:v>350 мВт: стандартное посадочное место. 590 мВт: медь катода 1 см², TA≤25 °C; далее снижение мощности.</ns0:v>
      </ns0:c>
    </ns0:row>
    <ns0:row r="73" ht="60" customHeight="1">
      <ns0:c r="A73" s="33" t="str">
        <ns0:v>VD0072</ns0:v>
      </ns0:c>
      <ns0:c r="B73" s="33" t="str">
        <ns0:v>Стабилитрон</ns0:v>
      </ns0:c>
      <ns0:c r="C73" s="33" t="str">
        <ns0:v>BZT52-B12</ns0:v>
      </ns0:c>
      <ns0:c r="D73" s="34" t="str">
        <ns0:f>C73</ns0:f>
        <ns0:v>BZT52-B12</ns0:v>
      </ns0:c>
      <ns0:c r="E73" s="33" t="str">
        <ns0:v>±2%</ns0:v>
      </ns0:c>
      <ns0:c r="F73" s="33" t="str">
        <ns0:v>0,35 Вт</ns0:v>
      </ns0:c>
      <ns0:c r="G73" s="33" t="str">
        <ns0:v>12 В (Uст ном.)</ns0:v>
      </ns0:c>
      <ns0:c r="H73" s="35" t="str">
        <ns0:v>SOD-123</ns0:v>
      </ns0:c>
      <ns0:c r="I73" s="33" t="str">
        <ns0:v>Nexperia</ns0:v>
      </ns0:c>
      <ns0:c r="J73" s="33" t="str">
        <ns0:v>BZT52-B12</ns0:v>
      </ns0:c>
      <ns0:c r="K73" s="34" t="str">
        <ns0:f>B73&amp;" "&amp;J73</ns0:f>
        <ns0:v>Стабилитрон BZT52-B12</ns0:v>
      </ns0:c>
      <ns0:c r="L73" s="36" t="str">
        <ns0:v>Zener_AK</ns0:v>
      </ns0:c>
      <ns0:c r="M73" s="36" t="str">
        <ns0:v>Symbols\MY_LIB_Semiconductors.SchLib</ns0:v>
      </ns0:c>
      <ns0:c r="N73" s="36" t="str">
        <ns0:v>SOD123</ns0:v>
      </ns0:c>
      <ns0:c r="O73" s="36" t="str">
        <ns0:v>Footprints\PBL - SMD Packages.PcbLib</ns0:v>
      </ns0:c>
      <ns0:c r="P7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3" s="33"/>
      <ns0:c r="R73" s="34" t="str">
        <ns0:f>D73</ns0:f>
        <ns0:v>BZT52-B12</ns0:v>
      </ns0:c>
      <ns0:c r="S73" s="34" t="str">
        <ns0:f>K73</ns0:f>
        <ns0:v>Стабилитрон BZT52-B12</ns0:v>
      </ns0:c>
      <ns0:c r="T73" s="33" t="str">
        <ns0:v>C:\Users\Nomatin\Documents\Altium\MY_LIB\MY_LIB\Datasheets\Diodes\BZT52_B_Nexperia.pdf</ns0:v>
      </ns0:c>
      <ns0:c r="U73" s="33" t="str">
        <ns0:v>Rev. 2, 06-Feb-2024; B selection</ns0:v>
      </ns0:c>
      <ns0:c r="V73" s="33" t="str">
        <ns0:v>Даташит — локальный</ns0:v>
      </ns0:c>
      <ns0:c r="W73" s="33" t="str">
        <ns0:v>C:\Users\Nomatin\Documents\Altium\MY_LIB\MY_LIB\Datasheets\Diodes\BZT52_B_Nexperia.pdf</ns0:v>
      </ns0:c>
      <ns0:c r="X73" s="33" t="str">
        <ns0:v>Даташит — производитель</ns0:v>
      </ns0:c>
      <ns0:c r="Y73" s="33" t="str">
        <ns0:v>https://assets.nexperia.com/documents/data-sheet/BZT52_SER.pdf</ns0:v>
      </ns0:c>
      <ns0:c r="Z73" s="33" t="str">
        <ns0:v>C:\Users\Nomatin\Documents\Altium\MY_LIB\MY_LIB\Datasheets\Diodes\BZT52_B_Nexperia.pdf</ns0:v>
      </ns0:c>
      <ns0:c r="AA73" s="33" t="str">
        <ns0:v>BZT52-B</ns0:v>
      </ns0:c>
      <ns0:c r="AB73" s="33" t="str">
        <ns0:v>Одиночный</ns0:v>
      </ns0:c>
      <ns0:c r="AC73" s="33" t="str">
        <ns0:v>K=C (manufacturer 1); A=A (manufacturer 2)</ns0:v>
      </ns0:c>
      <ns0:c r="AD73" s="33"/>
      <ns0:c r="AE73" s="33"/>
      <ns0:c r="AF73" s="33" t="n">
        <ns0:v>12</ns0:v>
      </ns0:c>
      <ns0:c r="AG73" s="33" t="n">
        <ns0:v>5</ns0:v>
      </ns0:c>
      <ns0:c r="AH73" s="33"/>
      <ns0:c r="AI73" s="33"/>
      <ns0:c r="AJ73" s="33" t="str">
        <ns0:v>350 мВт: стандартное посадочное место. 590 мВт: медь катода 1 см², TA≤25 °C; далее снижение мощности.</ns0:v>
      </ns0:c>
    </ns0:row>
    <ns0:row r="74" ht="60" customHeight="1">
      <ns0:c r="A74" s="33" t="str">
        <ns0:v>VD0073</ns0:v>
      </ns0:c>
      <ns0:c r="B74" s="33" t="str">
        <ns0:v>Стабилитрон</ns0:v>
      </ns0:c>
      <ns0:c r="C74" s="33" t="str">
        <ns0:v>BZT52-B13</ns0:v>
      </ns0:c>
      <ns0:c r="D74" s="34" t="str">
        <ns0:f>C74</ns0:f>
        <ns0:v>BZT52-B13</ns0:v>
      </ns0:c>
      <ns0:c r="E74" s="33" t="str">
        <ns0:v>±2%</ns0:v>
      </ns0:c>
      <ns0:c r="F74" s="33" t="str">
        <ns0:v>0,35 Вт</ns0:v>
      </ns0:c>
      <ns0:c r="G74" s="33" t="str">
        <ns0:v>13 В (Uст ном.)</ns0:v>
      </ns0:c>
      <ns0:c r="H74" s="35" t="str">
        <ns0:v>SOD-123</ns0:v>
      </ns0:c>
      <ns0:c r="I74" s="33" t="str">
        <ns0:v>Nexperia</ns0:v>
      </ns0:c>
      <ns0:c r="J74" s="33" t="str">
        <ns0:v>BZT52-B13</ns0:v>
      </ns0:c>
      <ns0:c r="K74" s="34" t="str">
        <ns0:f>B74&amp;" "&amp;J74</ns0:f>
        <ns0:v>Стабилитрон BZT52-B13</ns0:v>
      </ns0:c>
      <ns0:c r="L74" s="36" t="str">
        <ns0:v>Zener_AK</ns0:v>
      </ns0:c>
      <ns0:c r="M74" s="36" t="str">
        <ns0:v>Symbols\MY_LIB_Semiconductors.SchLib</ns0:v>
      </ns0:c>
      <ns0:c r="N74" s="36" t="str">
        <ns0:v>SOD123</ns0:v>
      </ns0:c>
      <ns0:c r="O74" s="36" t="str">
        <ns0:v>Footprints\PBL - SMD Packages.PcbLib</ns0:v>
      </ns0:c>
      <ns0:c r="P7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4" s="33"/>
      <ns0:c r="R74" s="34" t="str">
        <ns0:f>D74</ns0:f>
        <ns0:v>BZT52-B13</ns0:v>
      </ns0:c>
      <ns0:c r="S74" s="34" t="str">
        <ns0:f>K74</ns0:f>
        <ns0:v>Стабилитрон BZT52-B13</ns0:v>
      </ns0:c>
      <ns0:c r="T74" s="33" t="str">
        <ns0:v>C:\Users\Nomatin\Documents\Altium\MY_LIB\MY_LIB\Datasheets\Diodes\BZT52_B_Nexperia.pdf</ns0:v>
      </ns0:c>
      <ns0:c r="U74" s="33" t="str">
        <ns0:v>Rev. 2, 06-Feb-2024; B selection</ns0:v>
      </ns0:c>
      <ns0:c r="V74" s="33" t="str">
        <ns0:v>Даташит — локальный</ns0:v>
      </ns0:c>
      <ns0:c r="W74" s="33" t="str">
        <ns0:v>C:\Users\Nomatin\Documents\Altium\MY_LIB\MY_LIB\Datasheets\Diodes\BZT52_B_Nexperia.pdf</ns0:v>
      </ns0:c>
      <ns0:c r="X74" s="33" t="str">
        <ns0:v>Даташит — производитель</ns0:v>
      </ns0:c>
      <ns0:c r="Y74" s="33" t="str">
        <ns0:v>https://assets.nexperia.com/documents/data-sheet/BZT52_SER.pdf</ns0:v>
      </ns0:c>
      <ns0:c r="Z74" s="33" t="str">
        <ns0:v>C:\Users\Nomatin\Documents\Altium\MY_LIB\MY_LIB\Datasheets\Diodes\BZT52_B_Nexperia.pdf</ns0:v>
      </ns0:c>
      <ns0:c r="AA74" s="33" t="str">
        <ns0:v>BZT52-B</ns0:v>
      </ns0:c>
      <ns0:c r="AB74" s="33" t="str">
        <ns0:v>Одиночный</ns0:v>
      </ns0:c>
      <ns0:c r="AC74" s="33" t="str">
        <ns0:v>K=C (manufacturer 1); A=A (manufacturer 2)</ns0:v>
      </ns0:c>
      <ns0:c r="AD74" s="33"/>
      <ns0:c r="AE74" s="33"/>
      <ns0:c r="AF74" s="33" t="n">
        <ns0:v>13</ns0:v>
      </ns0:c>
      <ns0:c r="AG74" s="33" t="n">
        <ns0:v>5</ns0:v>
      </ns0:c>
      <ns0:c r="AH74" s="33"/>
      <ns0:c r="AI74" s="33"/>
      <ns0:c r="AJ74" s="33" t="str">
        <ns0:v>350 мВт: стандартное посадочное место. 590 мВт: медь катода 1 см², TA≤25 °C; далее снижение мощности.</ns0:v>
      </ns0:c>
    </ns0:row>
    <ns0:row r="75" ht="60" customHeight="1">
      <ns0:c r="A75" s="33" t="str">
        <ns0:v>VD0074</ns0:v>
      </ns0:c>
      <ns0:c r="B75" s="33" t="str">
        <ns0:v>Стабилитрон</ns0:v>
      </ns0:c>
      <ns0:c r="C75" s="33" t="str">
        <ns0:v>BZT52-B15</ns0:v>
      </ns0:c>
      <ns0:c r="D75" s="34" t="str">
        <ns0:f>C75</ns0:f>
        <ns0:v>BZT52-B15</ns0:v>
      </ns0:c>
      <ns0:c r="E75" s="33" t="str">
        <ns0:v>±2%</ns0:v>
      </ns0:c>
      <ns0:c r="F75" s="33" t="str">
        <ns0:v>0,35 Вт</ns0:v>
      </ns0:c>
      <ns0:c r="G75" s="33" t="str">
        <ns0:v>15 В (Uст ном.)</ns0:v>
      </ns0:c>
      <ns0:c r="H75" s="35" t="str">
        <ns0:v>SOD-123</ns0:v>
      </ns0:c>
      <ns0:c r="I75" s="33" t="str">
        <ns0:v>Nexperia</ns0:v>
      </ns0:c>
      <ns0:c r="J75" s="33" t="str">
        <ns0:v>BZT52-B15</ns0:v>
      </ns0:c>
      <ns0:c r="K75" s="34" t="str">
        <ns0:f>B75&amp;" "&amp;J75</ns0:f>
        <ns0:v>Стабилитрон BZT52-B15</ns0:v>
      </ns0:c>
      <ns0:c r="L75" s="36" t="str">
        <ns0:v>Zener_AK</ns0:v>
      </ns0:c>
      <ns0:c r="M75" s="36" t="str">
        <ns0:v>Symbols\MY_LIB_Semiconductors.SchLib</ns0:v>
      </ns0:c>
      <ns0:c r="N75" s="36" t="str">
        <ns0:v>SOD123</ns0:v>
      </ns0:c>
      <ns0:c r="O75" s="36" t="str">
        <ns0:v>Footprints\PBL - SMD Packages.PcbLib</ns0:v>
      </ns0:c>
      <ns0:c r="P7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5" s="33"/>
      <ns0:c r="R75" s="34" t="str">
        <ns0:f>D75</ns0:f>
        <ns0:v>BZT52-B15</ns0:v>
      </ns0:c>
      <ns0:c r="S75" s="34" t="str">
        <ns0:f>K75</ns0:f>
        <ns0:v>Стабилитрон BZT52-B15</ns0:v>
      </ns0:c>
      <ns0:c r="T75" s="33" t="str">
        <ns0:v>C:\Users\Nomatin\Documents\Altium\MY_LIB\MY_LIB\Datasheets\Diodes\BZT52_B_Nexperia.pdf</ns0:v>
      </ns0:c>
      <ns0:c r="U75" s="33" t="str">
        <ns0:v>Rev. 2, 06-Feb-2024; B selection</ns0:v>
      </ns0:c>
      <ns0:c r="V75" s="33" t="str">
        <ns0:v>Даташит — локальный</ns0:v>
      </ns0:c>
      <ns0:c r="W75" s="33" t="str">
        <ns0:v>C:\Users\Nomatin\Documents\Altium\MY_LIB\MY_LIB\Datasheets\Diodes\BZT52_B_Nexperia.pdf</ns0:v>
      </ns0:c>
      <ns0:c r="X75" s="33" t="str">
        <ns0:v>Даташит — производитель</ns0:v>
      </ns0:c>
      <ns0:c r="Y75" s="33" t="str">
        <ns0:v>https://assets.nexperia.com/documents/data-sheet/BZT52_SER.pdf</ns0:v>
      </ns0:c>
      <ns0:c r="Z75" s="33" t="str">
        <ns0:v>C:\Users\Nomatin\Documents\Altium\MY_LIB\MY_LIB\Datasheets\Diodes\BZT52_B_Nexperia.pdf</ns0:v>
      </ns0:c>
      <ns0:c r="AA75" s="33" t="str">
        <ns0:v>BZT52-B</ns0:v>
      </ns0:c>
      <ns0:c r="AB75" s="33" t="str">
        <ns0:v>Одиночный</ns0:v>
      </ns0:c>
      <ns0:c r="AC75" s="33" t="str">
        <ns0:v>K=C (manufacturer 1); A=A (manufacturer 2)</ns0:v>
      </ns0:c>
      <ns0:c r="AD75" s="33"/>
      <ns0:c r="AE75" s="33"/>
      <ns0:c r="AF75" s="33" t="n">
        <ns0:v>15</ns0:v>
      </ns0:c>
      <ns0:c r="AG75" s="33" t="n">
        <ns0:v>5</ns0:v>
      </ns0:c>
      <ns0:c r="AH75" s="33"/>
      <ns0:c r="AI75" s="33"/>
      <ns0:c r="AJ75" s="33" t="str">
        <ns0:v>350 мВт: стандартное посадочное место. 590 мВт: медь катода 1 см², TA≤25 °C; далее снижение мощности.</ns0:v>
      </ns0:c>
    </ns0:row>
    <ns0:row r="76" ht="60" customHeight="1">
      <ns0:c r="A76" s="33" t="str">
        <ns0:v>VD0075</ns0:v>
      </ns0:c>
      <ns0:c r="B76" s="33" t="str">
        <ns0:v>Стабилитрон</ns0:v>
      </ns0:c>
      <ns0:c r="C76" s="33" t="str">
        <ns0:v>BZT52-B16</ns0:v>
      </ns0:c>
      <ns0:c r="D76" s="34" t="str">
        <ns0:f>C76</ns0:f>
        <ns0:v>BZT52-B16</ns0:v>
      </ns0:c>
      <ns0:c r="E76" s="33" t="str">
        <ns0:v>±2%</ns0:v>
      </ns0:c>
      <ns0:c r="F76" s="33" t="str">
        <ns0:v>0,35 Вт</ns0:v>
      </ns0:c>
      <ns0:c r="G76" s="33" t="str">
        <ns0:v>16 В (Uст ном.)</ns0:v>
      </ns0:c>
      <ns0:c r="H76" s="35" t="str">
        <ns0:v>SOD-123</ns0:v>
      </ns0:c>
      <ns0:c r="I76" s="33" t="str">
        <ns0:v>Nexperia</ns0:v>
      </ns0:c>
      <ns0:c r="J76" s="33" t="str">
        <ns0:v>BZT52-B16</ns0:v>
      </ns0:c>
      <ns0:c r="K76" s="34" t="str">
        <ns0:f>B76&amp;" "&amp;J76</ns0:f>
        <ns0:v>Стабилитрон BZT52-B16</ns0:v>
      </ns0:c>
      <ns0:c r="L76" s="36" t="str">
        <ns0:v>Zener_AK</ns0:v>
      </ns0:c>
      <ns0:c r="M76" s="36" t="str">
        <ns0:v>Symbols\MY_LIB_Semiconductors.SchLib</ns0:v>
      </ns0:c>
      <ns0:c r="N76" s="36" t="str">
        <ns0:v>SOD123</ns0:v>
      </ns0:c>
      <ns0:c r="O76" s="36" t="str">
        <ns0:v>Footprints\PBL - SMD Packages.PcbLib</ns0:v>
      </ns0:c>
      <ns0:c r="P7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6" s="33"/>
      <ns0:c r="R76" s="34" t="str">
        <ns0:f>D76</ns0:f>
        <ns0:v>BZT52-B16</ns0:v>
      </ns0:c>
      <ns0:c r="S76" s="34" t="str">
        <ns0:f>K76</ns0:f>
        <ns0:v>Стабилитрон BZT52-B16</ns0:v>
      </ns0:c>
      <ns0:c r="T76" s="33" t="str">
        <ns0:v>C:\Users\Nomatin\Documents\Altium\MY_LIB\MY_LIB\Datasheets\Diodes\BZT52_B_Nexperia.pdf</ns0:v>
      </ns0:c>
      <ns0:c r="U76" s="33" t="str">
        <ns0:v>Rev. 2, 06-Feb-2024; B selection</ns0:v>
      </ns0:c>
      <ns0:c r="V76" s="33" t="str">
        <ns0:v>Даташит — локальный</ns0:v>
      </ns0:c>
      <ns0:c r="W76" s="33" t="str">
        <ns0:v>C:\Users\Nomatin\Documents\Altium\MY_LIB\MY_LIB\Datasheets\Diodes\BZT52_B_Nexperia.pdf</ns0:v>
      </ns0:c>
      <ns0:c r="X76" s="33" t="str">
        <ns0:v>Даташит — производитель</ns0:v>
      </ns0:c>
      <ns0:c r="Y76" s="33" t="str">
        <ns0:v>https://assets.nexperia.com/documents/data-sheet/BZT52_SER.pdf</ns0:v>
      </ns0:c>
      <ns0:c r="Z76" s="33" t="str">
        <ns0:v>C:\Users\Nomatin\Documents\Altium\MY_LIB\MY_LIB\Datasheets\Diodes\BZT52_B_Nexperia.pdf</ns0:v>
      </ns0:c>
      <ns0:c r="AA76" s="33" t="str">
        <ns0:v>BZT52-B</ns0:v>
      </ns0:c>
      <ns0:c r="AB76" s="33" t="str">
        <ns0:v>Одиночный</ns0:v>
      </ns0:c>
      <ns0:c r="AC76" s="33" t="str">
        <ns0:v>K=C (manufacturer 1); A=A (manufacturer 2)</ns0:v>
      </ns0:c>
      <ns0:c r="AD76" s="33"/>
      <ns0:c r="AE76" s="33"/>
      <ns0:c r="AF76" s="33" t="n">
        <ns0:v>16</ns0:v>
      </ns0:c>
      <ns0:c r="AG76" s="33" t="n">
        <ns0:v>5</ns0:v>
      </ns0:c>
      <ns0:c r="AH76" s="33"/>
      <ns0:c r="AI76" s="33"/>
      <ns0:c r="AJ76" s="33" t="str">
        <ns0:v>350 мВт: стандартное посадочное место. 590 мВт: медь катода 1 см², TA≤25 °C; далее снижение мощности.</ns0:v>
      </ns0:c>
    </ns0:row>
    <ns0:row r="77" ht="60" customHeight="1">
      <ns0:c r="A77" s="33" t="str">
        <ns0:v>VD0076</ns0:v>
      </ns0:c>
      <ns0:c r="B77" s="33" t="str">
        <ns0:v>Стабилитрон</ns0:v>
      </ns0:c>
      <ns0:c r="C77" s="33" t="str">
        <ns0:v>BZT52-B18</ns0:v>
      </ns0:c>
      <ns0:c r="D77" s="34" t="str">
        <ns0:f>C77</ns0:f>
        <ns0:v>BZT52-B18</ns0:v>
      </ns0:c>
      <ns0:c r="E77" s="33" t="str">
        <ns0:v>±2%</ns0:v>
      </ns0:c>
      <ns0:c r="F77" s="33" t="str">
        <ns0:v>0,35 Вт</ns0:v>
      </ns0:c>
      <ns0:c r="G77" s="33" t="str">
        <ns0:v>18 В (Uст ном.)</ns0:v>
      </ns0:c>
      <ns0:c r="H77" s="35" t="str">
        <ns0:v>SOD-123</ns0:v>
      </ns0:c>
      <ns0:c r="I77" s="33" t="str">
        <ns0:v>Nexperia</ns0:v>
      </ns0:c>
      <ns0:c r="J77" s="33" t="str">
        <ns0:v>BZT52-B18</ns0:v>
      </ns0:c>
      <ns0:c r="K77" s="34" t="str">
        <ns0:f>B77&amp;" "&amp;J77</ns0:f>
        <ns0:v>Стабилитрон BZT52-B18</ns0:v>
      </ns0:c>
      <ns0:c r="L77" s="36" t="str">
        <ns0:v>Zener_AK</ns0:v>
      </ns0:c>
      <ns0:c r="M77" s="36" t="str">
        <ns0:v>Symbols\MY_LIB_Semiconductors.SchLib</ns0:v>
      </ns0:c>
      <ns0:c r="N77" s="36" t="str">
        <ns0:v>SOD123</ns0:v>
      </ns0:c>
      <ns0:c r="O77" s="36" t="str">
        <ns0:v>Footprints\PBL - SMD Packages.PcbLib</ns0:v>
      </ns0:c>
      <ns0:c r="P7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7" s="33"/>
      <ns0:c r="R77" s="34" t="str">
        <ns0:f>D77</ns0:f>
        <ns0:v>BZT52-B18</ns0:v>
      </ns0:c>
      <ns0:c r="S77" s="34" t="str">
        <ns0:f>K77</ns0:f>
        <ns0:v>Стабилитрон BZT52-B18</ns0:v>
      </ns0:c>
      <ns0:c r="T77" s="33" t="str">
        <ns0:v>C:\Users\Nomatin\Documents\Altium\MY_LIB\MY_LIB\Datasheets\Diodes\BZT52_B_Nexperia.pdf</ns0:v>
      </ns0:c>
      <ns0:c r="U77" s="33" t="str">
        <ns0:v>Rev. 2, 06-Feb-2024; B selection</ns0:v>
      </ns0:c>
      <ns0:c r="V77" s="33" t="str">
        <ns0:v>Даташит — локальный</ns0:v>
      </ns0:c>
      <ns0:c r="W77" s="33" t="str">
        <ns0:v>C:\Users\Nomatin\Documents\Altium\MY_LIB\MY_LIB\Datasheets\Diodes\BZT52_B_Nexperia.pdf</ns0:v>
      </ns0:c>
      <ns0:c r="X77" s="33" t="str">
        <ns0:v>Даташит — производитель</ns0:v>
      </ns0:c>
      <ns0:c r="Y77" s="33" t="str">
        <ns0:v>https://assets.nexperia.com/documents/data-sheet/BZT52_SER.pdf</ns0:v>
      </ns0:c>
      <ns0:c r="Z77" s="33" t="str">
        <ns0:v>C:\Users\Nomatin\Documents\Altium\MY_LIB\MY_LIB\Datasheets\Diodes\BZT52_B_Nexperia.pdf</ns0:v>
      </ns0:c>
      <ns0:c r="AA77" s="33" t="str">
        <ns0:v>BZT52-B</ns0:v>
      </ns0:c>
      <ns0:c r="AB77" s="33" t="str">
        <ns0:v>Одиночный</ns0:v>
      </ns0:c>
      <ns0:c r="AC77" s="33" t="str">
        <ns0:v>K=C (manufacturer 1); A=A (manufacturer 2)</ns0:v>
      </ns0:c>
      <ns0:c r="AD77" s="33"/>
      <ns0:c r="AE77" s="33"/>
      <ns0:c r="AF77" s="33" t="n">
        <ns0:v>18</ns0:v>
      </ns0:c>
      <ns0:c r="AG77" s="33" t="n">
        <ns0:v>5</ns0:v>
      </ns0:c>
      <ns0:c r="AH77" s="33"/>
      <ns0:c r="AI77" s="33"/>
      <ns0:c r="AJ77" s="33" t="str">
        <ns0:v>350 мВт: стандартное посадочное место. 590 мВт: медь катода 1 см², TA≤25 °C; далее снижение мощности.</ns0:v>
      </ns0:c>
    </ns0:row>
    <ns0:row r="78" ht="60" customHeight="1">
      <ns0:c r="A78" s="33" t="str">
        <ns0:v>VD0077</ns0:v>
      </ns0:c>
      <ns0:c r="B78" s="33" t="str">
        <ns0:v>Стабилитрон</ns0:v>
      </ns0:c>
      <ns0:c r="C78" s="33" t="str">
        <ns0:v>BZT52-B20</ns0:v>
      </ns0:c>
      <ns0:c r="D78" s="34" t="str">
        <ns0:f>C78</ns0:f>
        <ns0:v>BZT52-B20</ns0:v>
      </ns0:c>
      <ns0:c r="E78" s="33" t="str">
        <ns0:v>±2%</ns0:v>
      </ns0:c>
      <ns0:c r="F78" s="33" t="str">
        <ns0:v>0,35 Вт</ns0:v>
      </ns0:c>
      <ns0:c r="G78" s="33" t="str">
        <ns0:v>20 В (Uст ном.)</ns0:v>
      </ns0:c>
      <ns0:c r="H78" s="35" t="str">
        <ns0:v>SOD-123</ns0:v>
      </ns0:c>
      <ns0:c r="I78" s="33" t="str">
        <ns0:v>Nexperia</ns0:v>
      </ns0:c>
      <ns0:c r="J78" s="33" t="str">
        <ns0:v>BZT52-B20</ns0:v>
      </ns0:c>
      <ns0:c r="K78" s="34" t="str">
        <ns0:f>B78&amp;" "&amp;J78</ns0:f>
        <ns0:v>Стабилитрон BZT52-B20</ns0:v>
      </ns0:c>
      <ns0:c r="L78" s="36" t="str">
        <ns0:v>Zener_AK</ns0:v>
      </ns0:c>
      <ns0:c r="M78" s="36" t="str">
        <ns0:v>Symbols\MY_LIB_Semiconductors.SchLib</ns0:v>
      </ns0:c>
      <ns0:c r="N78" s="36" t="str">
        <ns0:v>SOD123</ns0:v>
      </ns0:c>
      <ns0:c r="O78" s="36" t="str">
        <ns0:v>Footprints\PBL - SMD Packages.PcbLib</ns0:v>
      </ns0:c>
      <ns0:c r="P7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8" s="33"/>
      <ns0:c r="R78" s="34" t="str">
        <ns0:f>D78</ns0:f>
        <ns0:v>BZT52-B20</ns0:v>
      </ns0:c>
      <ns0:c r="S78" s="34" t="str">
        <ns0:f>K78</ns0:f>
        <ns0:v>Стабилитрон BZT52-B20</ns0:v>
      </ns0:c>
      <ns0:c r="T78" s="33" t="str">
        <ns0:v>C:\Users\Nomatin\Documents\Altium\MY_LIB\MY_LIB\Datasheets\Diodes\BZT52_B_Nexperia.pdf</ns0:v>
      </ns0:c>
      <ns0:c r="U78" s="33" t="str">
        <ns0:v>Rev. 2, 06-Feb-2024; B selection</ns0:v>
      </ns0:c>
      <ns0:c r="V78" s="33" t="str">
        <ns0:v>Даташит — локальный</ns0:v>
      </ns0:c>
      <ns0:c r="W78" s="33" t="str">
        <ns0:v>C:\Users\Nomatin\Documents\Altium\MY_LIB\MY_LIB\Datasheets\Diodes\BZT52_B_Nexperia.pdf</ns0:v>
      </ns0:c>
      <ns0:c r="X78" s="33" t="str">
        <ns0:v>Даташит — производитель</ns0:v>
      </ns0:c>
      <ns0:c r="Y78" s="33" t="str">
        <ns0:v>https://assets.nexperia.com/documents/data-sheet/BZT52_SER.pdf</ns0:v>
      </ns0:c>
      <ns0:c r="Z78" s="33" t="str">
        <ns0:v>C:\Users\Nomatin\Documents\Altium\MY_LIB\MY_LIB\Datasheets\Diodes\BZT52_B_Nexperia.pdf</ns0:v>
      </ns0:c>
      <ns0:c r="AA78" s="33" t="str">
        <ns0:v>BZT52-B</ns0:v>
      </ns0:c>
      <ns0:c r="AB78" s="33" t="str">
        <ns0:v>Одиночный</ns0:v>
      </ns0:c>
      <ns0:c r="AC78" s="33" t="str">
        <ns0:v>K=C (manufacturer 1); A=A (manufacturer 2)</ns0:v>
      </ns0:c>
      <ns0:c r="AD78" s="33"/>
      <ns0:c r="AE78" s="33"/>
      <ns0:c r="AF78" s="33" t="n">
        <ns0:v>20</ns0:v>
      </ns0:c>
      <ns0:c r="AG78" s="33" t="n">
        <ns0:v>5</ns0:v>
      </ns0:c>
      <ns0:c r="AH78" s="33"/>
      <ns0:c r="AI78" s="33"/>
      <ns0:c r="AJ78" s="33" t="str">
        <ns0:v>350 мВт: стандартное посадочное место. 590 мВт: медь катода 1 см², TA≤25 °C; далее снижение мощности.</ns0:v>
      </ns0:c>
    </ns0:row>
    <ns0:row r="79" ht="60" customHeight="1">
      <ns0:c r="A79" s="33" t="str">
        <ns0:v>VD0078</ns0:v>
      </ns0:c>
      <ns0:c r="B79" s="33" t="str">
        <ns0:v>Стабилитрон</ns0:v>
      </ns0:c>
      <ns0:c r="C79" s="33" t="str">
        <ns0:v>BZT52-B22</ns0:v>
      </ns0:c>
      <ns0:c r="D79" s="34" t="str">
        <ns0:f>C79</ns0:f>
        <ns0:v>BZT52-B22</ns0:v>
      </ns0:c>
      <ns0:c r="E79" s="33" t="str">
        <ns0:v>±2%</ns0:v>
      </ns0:c>
      <ns0:c r="F79" s="33" t="str">
        <ns0:v>0,35 Вт</ns0:v>
      </ns0:c>
      <ns0:c r="G79" s="33" t="str">
        <ns0:v>22 В (Uст ном.)</ns0:v>
      </ns0:c>
      <ns0:c r="H79" s="35" t="str">
        <ns0:v>SOD-123</ns0:v>
      </ns0:c>
      <ns0:c r="I79" s="33" t="str">
        <ns0:v>Nexperia</ns0:v>
      </ns0:c>
      <ns0:c r="J79" s="33" t="str">
        <ns0:v>BZT52-B22</ns0:v>
      </ns0:c>
      <ns0:c r="K79" s="34" t="str">
        <ns0:f>B79&amp;" "&amp;J79</ns0:f>
        <ns0:v>Стабилитрон BZT52-B22</ns0:v>
      </ns0:c>
      <ns0:c r="L79" s="36" t="str">
        <ns0:v>Zener_AK</ns0:v>
      </ns0:c>
      <ns0:c r="M79" s="36" t="str">
        <ns0:v>Symbols\MY_LIB_Semiconductors.SchLib</ns0:v>
      </ns0:c>
      <ns0:c r="N79" s="36" t="str">
        <ns0:v>SOD123</ns0:v>
      </ns0:c>
      <ns0:c r="O79" s="36" t="str">
        <ns0:v>Footprints\PBL - SMD Packages.PcbLib</ns0:v>
      </ns0:c>
      <ns0:c r="P7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79" s="33"/>
      <ns0:c r="R79" s="34" t="str">
        <ns0:f>D79</ns0:f>
        <ns0:v>BZT52-B22</ns0:v>
      </ns0:c>
      <ns0:c r="S79" s="34" t="str">
        <ns0:f>K79</ns0:f>
        <ns0:v>Стабилитрон BZT52-B22</ns0:v>
      </ns0:c>
      <ns0:c r="T79" s="33" t="str">
        <ns0:v>C:\Users\Nomatin\Documents\Altium\MY_LIB\MY_LIB\Datasheets\Diodes\BZT52_B_Nexperia.pdf</ns0:v>
      </ns0:c>
      <ns0:c r="U79" s="33" t="str">
        <ns0:v>Rev. 2, 06-Feb-2024; B selection</ns0:v>
      </ns0:c>
      <ns0:c r="V79" s="33" t="str">
        <ns0:v>Даташит — локальный</ns0:v>
      </ns0:c>
      <ns0:c r="W79" s="33" t="str">
        <ns0:v>C:\Users\Nomatin\Documents\Altium\MY_LIB\MY_LIB\Datasheets\Diodes\BZT52_B_Nexperia.pdf</ns0:v>
      </ns0:c>
      <ns0:c r="X79" s="33" t="str">
        <ns0:v>Даташит — производитель</ns0:v>
      </ns0:c>
      <ns0:c r="Y79" s="33" t="str">
        <ns0:v>https://assets.nexperia.com/documents/data-sheet/BZT52_SER.pdf</ns0:v>
      </ns0:c>
      <ns0:c r="Z79" s="33" t="str">
        <ns0:v>C:\Users\Nomatin\Documents\Altium\MY_LIB\MY_LIB\Datasheets\Diodes\BZT52_B_Nexperia.pdf</ns0:v>
      </ns0:c>
      <ns0:c r="AA79" s="33" t="str">
        <ns0:v>BZT52-B</ns0:v>
      </ns0:c>
      <ns0:c r="AB79" s="33" t="str">
        <ns0:v>Одиночный</ns0:v>
      </ns0:c>
      <ns0:c r="AC79" s="33" t="str">
        <ns0:v>K=C (manufacturer 1); A=A (manufacturer 2)</ns0:v>
      </ns0:c>
      <ns0:c r="AD79" s="33"/>
      <ns0:c r="AE79" s="33"/>
      <ns0:c r="AF79" s="33" t="n">
        <ns0:v>22</ns0:v>
      </ns0:c>
      <ns0:c r="AG79" s="33" t="n">
        <ns0:v>5</ns0:v>
      </ns0:c>
      <ns0:c r="AH79" s="33"/>
      <ns0:c r="AI79" s="33"/>
      <ns0:c r="AJ79" s="33" t="str">
        <ns0:v>350 мВт: стандартное посадочное место. 590 мВт: медь катода 1 см², TA≤25 °C; далее снижение мощности.</ns0:v>
      </ns0:c>
    </ns0:row>
    <ns0:row r="80" ht="60" customHeight="1">
      <ns0:c r="A80" s="33" t="str">
        <ns0:v>VD0079</ns0:v>
      </ns0:c>
      <ns0:c r="B80" s="33" t="str">
        <ns0:v>Стабилитрон</ns0:v>
      </ns0:c>
      <ns0:c r="C80" s="33" t="str">
        <ns0:v>BZT52-B24</ns0:v>
      </ns0:c>
      <ns0:c r="D80" s="34" t="str">
        <ns0:f>C80</ns0:f>
        <ns0:v>BZT52-B24</ns0:v>
      </ns0:c>
      <ns0:c r="E80" s="33" t="str">
        <ns0:v>±2%</ns0:v>
      </ns0:c>
      <ns0:c r="F80" s="33" t="str">
        <ns0:v>0,35 Вт</ns0:v>
      </ns0:c>
      <ns0:c r="G80" s="33" t="str">
        <ns0:v>24 В (Uст ном.)</ns0:v>
      </ns0:c>
      <ns0:c r="H80" s="35" t="str">
        <ns0:v>SOD-123</ns0:v>
      </ns0:c>
      <ns0:c r="I80" s="33" t="str">
        <ns0:v>Nexperia</ns0:v>
      </ns0:c>
      <ns0:c r="J80" s="33" t="str">
        <ns0:v>BZT52-B24</ns0:v>
      </ns0:c>
      <ns0:c r="K80" s="34" t="str">
        <ns0:f>B80&amp;" "&amp;J80</ns0:f>
        <ns0:v>Стабилитрон BZT52-B24</ns0:v>
      </ns0:c>
      <ns0:c r="L80" s="36" t="str">
        <ns0:v>Zener_AK</ns0:v>
      </ns0:c>
      <ns0:c r="M80" s="36" t="str">
        <ns0:v>Symbols\MY_LIB_Semiconductors.SchLib</ns0:v>
      </ns0:c>
      <ns0:c r="N80" s="36" t="str">
        <ns0:v>SOD123</ns0:v>
      </ns0:c>
      <ns0:c r="O80" s="36" t="str">
        <ns0:v>Footprints\PBL - SMD Packages.PcbLib</ns0:v>
      </ns0:c>
      <ns0:c r="P8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0" s="33"/>
      <ns0:c r="R80" s="34" t="str">
        <ns0:f>D80</ns0:f>
        <ns0:v>BZT52-B24</ns0:v>
      </ns0:c>
      <ns0:c r="S80" s="34" t="str">
        <ns0:f>K80</ns0:f>
        <ns0:v>Стабилитрон BZT52-B24</ns0:v>
      </ns0:c>
      <ns0:c r="T80" s="33" t="str">
        <ns0:v>C:\Users\Nomatin\Documents\Altium\MY_LIB\MY_LIB\Datasheets\Diodes\BZT52_B_Nexperia.pdf</ns0:v>
      </ns0:c>
      <ns0:c r="U80" s="33" t="str">
        <ns0:v>Rev. 2, 06-Feb-2024; B selection</ns0:v>
      </ns0:c>
      <ns0:c r="V80" s="33" t="str">
        <ns0:v>Даташит — локальный</ns0:v>
      </ns0:c>
      <ns0:c r="W80" s="33" t="str">
        <ns0:v>C:\Users\Nomatin\Documents\Altium\MY_LIB\MY_LIB\Datasheets\Diodes\BZT52_B_Nexperia.pdf</ns0:v>
      </ns0:c>
      <ns0:c r="X80" s="33" t="str">
        <ns0:v>Даташит — производитель</ns0:v>
      </ns0:c>
      <ns0:c r="Y80" s="33" t="str">
        <ns0:v>https://assets.nexperia.com/documents/data-sheet/BZT52_SER.pdf</ns0:v>
      </ns0:c>
      <ns0:c r="Z80" s="33" t="str">
        <ns0:v>C:\Users\Nomatin\Documents\Altium\MY_LIB\MY_LIB\Datasheets\Diodes\BZT52_B_Nexperia.pdf</ns0:v>
      </ns0:c>
      <ns0:c r="AA80" s="33" t="str">
        <ns0:v>BZT52-B</ns0:v>
      </ns0:c>
      <ns0:c r="AB80" s="33" t="str">
        <ns0:v>Одиночный</ns0:v>
      </ns0:c>
      <ns0:c r="AC80" s="33" t="str">
        <ns0:v>K=C (manufacturer 1); A=A (manufacturer 2)</ns0:v>
      </ns0:c>
      <ns0:c r="AD80" s="33"/>
      <ns0:c r="AE80" s="33"/>
      <ns0:c r="AF80" s="33" t="n">
        <ns0:v>24</ns0:v>
      </ns0:c>
      <ns0:c r="AG80" s="33" t="n">
        <ns0:v>5</ns0:v>
      </ns0:c>
      <ns0:c r="AH80" s="33"/>
      <ns0:c r="AI80" s="33"/>
      <ns0:c r="AJ80" s="33" t="str">
        <ns0:v>350 мВт: стандартное посадочное место. 590 мВт: медь катода 1 см², TA≤25 °C; далее снижение мощности.</ns0:v>
      </ns0:c>
    </ns0:row>
    <ns0:row r="81" ht="60" customHeight="1">
      <ns0:c r="A81" s="33" t="str">
        <ns0:v>VD0080</ns0:v>
      </ns0:c>
      <ns0:c r="B81" s="33" t="str">
        <ns0:v>Стабилитрон</ns0:v>
      </ns0:c>
      <ns0:c r="C81" s="33" t="str">
        <ns0:v>BZT52-B27</ns0:v>
      </ns0:c>
      <ns0:c r="D81" s="34" t="str">
        <ns0:f>C81</ns0:f>
        <ns0:v>BZT52-B27</ns0:v>
      </ns0:c>
      <ns0:c r="E81" s="33" t="str">
        <ns0:v>±2%</ns0:v>
      </ns0:c>
      <ns0:c r="F81" s="33" t="str">
        <ns0:v>0,35 Вт</ns0:v>
      </ns0:c>
      <ns0:c r="G81" s="33" t="str">
        <ns0:v>27 В (Uст ном.)</ns0:v>
      </ns0:c>
      <ns0:c r="H81" s="35" t="str">
        <ns0:v>SOD-123</ns0:v>
      </ns0:c>
      <ns0:c r="I81" s="33" t="str">
        <ns0:v>Nexperia</ns0:v>
      </ns0:c>
      <ns0:c r="J81" s="33" t="str">
        <ns0:v>BZT52-B27</ns0:v>
      </ns0:c>
      <ns0:c r="K81" s="34" t="str">
        <ns0:f>B81&amp;" "&amp;J81</ns0:f>
        <ns0:v>Стабилитрон BZT52-B27</ns0:v>
      </ns0:c>
      <ns0:c r="L81" s="36" t="str">
        <ns0:v>Zener_AK</ns0:v>
      </ns0:c>
      <ns0:c r="M81" s="36" t="str">
        <ns0:v>Symbols\MY_LIB_Semiconductors.SchLib</ns0:v>
      </ns0:c>
      <ns0:c r="N81" s="36" t="str">
        <ns0:v>SOD123</ns0:v>
      </ns0:c>
      <ns0:c r="O81" s="36" t="str">
        <ns0:v>Footprints\PBL - SMD Packages.PcbLib</ns0:v>
      </ns0:c>
      <ns0:c r="P8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1" s="33"/>
      <ns0:c r="R81" s="34" t="str">
        <ns0:f>D81</ns0:f>
        <ns0:v>BZT52-B27</ns0:v>
      </ns0:c>
      <ns0:c r="S81" s="34" t="str">
        <ns0:f>K81</ns0:f>
        <ns0:v>Стабилитрон BZT52-B27</ns0:v>
      </ns0:c>
      <ns0:c r="T81" s="33" t="str">
        <ns0:v>C:\Users\Nomatin\Documents\Altium\MY_LIB\MY_LIB\Datasheets\Diodes\BZT52_B_Nexperia.pdf</ns0:v>
      </ns0:c>
      <ns0:c r="U81" s="33" t="str">
        <ns0:v>Rev. 2, 06-Feb-2024; B selection</ns0:v>
      </ns0:c>
      <ns0:c r="V81" s="33" t="str">
        <ns0:v>Даташит — локальный</ns0:v>
      </ns0:c>
      <ns0:c r="W81" s="33" t="str">
        <ns0:v>C:\Users\Nomatin\Documents\Altium\MY_LIB\MY_LIB\Datasheets\Diodes\BZT52_B_Nexperia.pdf</ns0:v>
      </ns0:c>
      <ns0:c r="X81" s="33" t="str">
        <ns0:v>Даташит — производитель</ns0:v>
      </ns0:c>
      <ns0:c r="Y81" s="33" t="str">
        <ns0:v>https://assets.nexperia.com/documents/data-sheet/BZT52_SER.pdf</ns0:v>
      </ns0:c>
      <ns0:c r="Z81" s="33" t="str">
        <ns0:v>C:\Users\Nomatin\Documents\Altium\MY_LIB\MY_LIB\Datasheets\Diodes\BZT52_B_Nexperia.pdf</ns0:v>
      </ns0:c>
      <ns0:c r="AA81" s="33" t="str">
        <ns0:v>BZT52-B</ns0:v>
      </ns0:c>
      <ns0:c r="AB81" s="33" t="str">
        <ns0:v>Одиночный</ns0:v>
      </ns0:c>
      <ns0:c r="AC81" s="33" t="str">
        <ns0:v>K=C (manufacturer 1); A=A (manufacturer 2)</ns0:v>
      </ns0:c>
      <ns0:c r="AD81" s="33"/>
      <ns0:c r="AE81" s="33"/>
      <ns0:c r="AF81" s="33" t="n">
        <ns0:v>27</ns0:v>
      </ns0:c>
      <ns0:c r="AG81" s="33" t="n">
        <ns0:v>2</ns0:v>
      </ns0:c>
      <ns0:c r="AH81" s="33"/>
      <ns0:c r="AI81" s="33"/>
      <ns0:c r="AJ81" s="33" t="str">
        <ns0:v>350 мВт: стандартное посадочное место. 590 мВт: медь катода 1 см², TA≤25 °C; далее снижение мощности.</ns0:v>
      </ns0:c>
    </ns0:row>
    <ns0:row r="82" ht="60" customHeight="1">
      <ns0:c r="A82" s="33" t="str">
        <ns0:v>VD0081</ns0:v>
      </ns0:c>
      <ns0:c r="B82" s="33" t="str">
        <ns0:v>Стабилитрон</ns0:v>
      </ns0:c>
      <ns0:c r="C82" s="33" t="str">
        <ns0:v>BZT52-B30</ns0:v>
      </ns0:c>
      <ns0:c r="D82" s="34" t="str">
        <ns0:f>C82</ns0:f>
        <ns0:v>BZT52-B30</ns0:v>
      </ns0:c>
      <ns0:c r="E82" s="33" t="str">
        <ns0:v>±2%</ns0:v>
      </ns0:c>
      <ns0:c r="F82" s="33" t="str">
        <ns0:v>0,35 Вт</ns0:v>
      </ns0:c>
      <ns0:c r="G82" s="33" t="str">
        <ns0:v>30 В (Uст ном.)</ns0:v>
      </ns0:c>
      <ns0:c r="H82" s="35" t="str">
        <ns0:v>SOD-123</ns0:v>
      </ns0:c>
      <ns0:c r="I82" s="33" t="str">
        <ns0:v>Nexperia</ns0:v>
      </ns0:c>
      <ns0:c r="J82" s="33" t="str">
        <ns0:v>BZT52-B30</ns0:v>
      </ns0:c>
      <ns0:c r="K82" s="34" t="str">
        <ns0:f>B82&amp;" "&amp;J82</ns0:f>
        <ns0:v>Стабилитрон BZT52-B30</ns0:v>
      </ns0:c>
      <ns0:c r="L82" s="36" t="str">
        <ns0:v>Zener_AK</ns0:v>
      </ns0:c>
      <ns0:c r="M82" s="36" t="str">
        <ns0:v>Symbols\MY_LIB_Semiconductors.SchLib</ns0:v>
      </ns0:c>
      <ns0:c r="N82" s="36" t="str">
        <ns0:v>SOD123</ns0:v>
      </ns0:c>
      <ns0:c r="O82" s="36" t="str">
        <ns0:v>Footprints\PBL - SMD Packages.PcbLib</ns0:v>
      </ns0:c>
      <ns0:c r="P8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2" s="33"/>
      <ns0:c r="R82" s="34" t="str">
        <ns0:f>D82</ns0:f>
        <ns0:v>BZT52-B30</ns0:v>
      </ns0:c>
      <ns0:c r="S82" s="34" t="str">
        <ns0:f>K82</ns0:f>
        <ns0:v>Стабилитрон BZT52-B30</ns0:v>
      </ns0:c>
      <ns0:c r="T82" s="33" t="str">
        <ns0:v>C:\Users\Nomatin\Documents\Altium\MY_LIB\MY_LIB\Datasheets\Diodes\BZT52_B_Nexperia.pdf</ns0:v>
      </ns0:c>
      <ns0:c r="U82" s="33" t="str">
        <ns0:v>Rev. 2, 06-Feb-2024; B selection</ns0:v>
      </ns0:c>
      <ns0:c r="V82" s="33" t="str">
        <ns0:v>Даташит — локальный</ns0:v>
      </ns0:c>
      <ns0:c r="W82" s="33" t="str">
        <ns0:v>C:\Users\Nomatin\Documents\Altium\MY_LIB\MY_LIB\Datasheets\Diodes\BZT52_B_Nexperia.pdf</ns0:v>
      </ns0:c>
      <ns0:c r="X82" s="33" t="str">
        <ns0:v>Даташит — производитель</ns0:v>
      </ns0:c>
      <ns0:c r="Y82" s="33" t="str">
        <ns0:v>https://assets.nexperia.com/documents/data-sheet/BZT52_SER.pdf</ns0:v>
      </ns0:c>
      <ns0:c r="Z82" s="33" t="str">
        <ns0:v>C:\Users\Nomatin\Documents\Altium\MY_LIB\MY_LIB\Datasheets\Diodes\BZT52_B_Nexperia.pdf</ns0:v>
      </ns0:c>
      <ns0:c r="AA82" s="33" t="str">
        <ns0:v>BZT52-B</ns0:v>
      </ns0:c>
      <ns0:c r="AB82" s="33" t="str">
        <ns0:v>Одиночный</ns0:v>
      </ns0:c>
      <ns0:c r="AC82" s="33" t="str">
        <ns0:v>K=C (manufacturer 1); A=A (manufacturer 2)</ns0:v>
      </ns0:c>
      <ns0:c r="AD82" s="33"/>
      <ns0:c r="AE82" s="33"/>
      <ns0:c r="AF82" s="33" t="n">
        <ns0:v>30</ns0:v>
      </ns0:c>
      <ns0:c r="AG82" s="33" t="n">
        <ns0:v>2</ns0:v>
      </ns0:c>
      <ns0:c r="AH82" s="33"/>
      <ns0:c r="AI82" s="33"/>
      <ns0:c r="AJ82" s="33" t="str">
        <ns0:v>350 мВт: стандартное посадочное место. 590 мВт: медь катода 1 см², TA≤25 °C; далее снижение мощности.</ns0:v>
      </ns0:c>
    </ns0:row>
    <ns0:row r="83" ht="60" customHeight="1">
      <ns0:c r="A83" s="33" t="str">
        <ns0:v>VD0082</ns0:v>
      </ns0:c>
      <ns0:c r="B83" s="33" t="str">
        <ns0:v>Стабилитрон</ns0:v>
      </ns0:c>
      <ns0:c r="C83" s="33" t="str">
        <ns0:v>BZT52-B33</ns0:v>
      </ns0:c>
      <ns0:c r="D83" s="34" t="str">
        <ns0:f>C83</ns0:f>
        <ns0:v>BZT52-B33</ns0:v>
      </ns0:c>
      <ns0:c r="E83" s="33" t="str">
        <ns0:v>±2%</ns0:v>
      </ns0:c>
      <ns0:c r="F83" s="33" t="str">
        <ns0:v>0,35 Вт</ns0:v>
      </ns0:c>
      <ns0:c r="G83" s="33" t="str">
        <ns0:v>33 В (Uст ном.)</ns0:v>
      </ns0:c>
      <ns0:c r="H83" s="35" t="str">
        <ns0:v>SOD-123</ns0:v>
      </ns0:c>
      <ns0:c r="I83" s="33" t="str">
        <ns0:v>Nexperia</ns0:v>
      </ns0:c>
      <ns0:c r="J83" s="33" t="str">
        <ns0:v>BZT52-B33</ns0:v>
      </ns0:c>
      <ns0:c r="K83" s="34" t="str">
        <ns0:f>B83&amp;" "&amp;J83</ns0:f>
        <ns0:v>Стабилитрон BZT52-B33</ns0:v>
      </ns0:c>
      <ns0:c r="L83" s="36" t="str">
        <ns0:v>Zener_AK</ns0:v>
      </ns0:c>
      <ns0:c r="M83" s="36" t="str">
        <ns0:v>Symbols\MY_LIB_Semiconductors.SchLib</ns0:v>
      </ns0:c>
      <ns0:c r="N83" s="36" t="str">
        <ns0:v>SOD123</ns0:v>
      </ns0:c>
      <ns0:c r="O83" s="36" t="str">
        <ns0:v>Footprints\PBL - SMD Packages.PcbLib</ns0:v>
      </ns0:c>
      <ns0:c r="P8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3" s="33"/>
      <ns0:c r="R83" s="34" t="str">
        <ns0:f>D83</ns0:f>
        <ns0:v>BZT52-B33</ns0:v>
      </ns0:c>
      <ns0:c r="S83" s="34" t="str">
        <ns0:f>K83</ns0:f>
        <ns0:v>Стабилитрон BZT52-B33</ns0:v>
      </ns0:c>
      <ns0:c r="T83" s="33" t="str">
        <ns0:v>C:\Users\Nomatin\Documents\Altium\MY_LIB\MY_LIB\Datasheets\Diodes\BZT52_B_Nexperia.pdf</ns0:v>
      </ns0:c>
      <ns0:c r="U83" s="33" t="str">
        <ns0:v>Rev. 2, 06-Feb-2024; B selection</ns0:v>
      </ns0:c>
      <ns0:c r="V83" s="33" t="str">
        <ns0:v>Даташит — локальный</ns0:v>
      </ns0:c>
      <ns0:c r="W83" s="33" t="str">
        <ns0:v>C:\Users\Nomatin\Documents\Altium\MY_LIB\MY_LIB\Datasheets\Diodes\BZT52_B_Nexperia.pdf</ns0:v>
      </ns0:c>
      <ns0:c r="X83" s="33" t="str">
        <ns0:v>Даташит — производитель</ns0:v>
      </ns0:c>
      <ns0:c r="Y83" s="33" t="str">
        <ns0:v>https://assets.nexperia.com/documents/data-sheet/BZT52_SER.pdf</ns0:v>
      </ns0:c>
      <ns0:c r="Z83" s="33" t="str">
        <ns0:v>C:\Users\Nomatin\Documents\Altium\MY_LIB\MY_LIB\Datasheets\Diodes\BZT52_B_Nexperia.pdf</ns0:v>
      </ns0:c>
      <ns0:c r="AA83" s="33" t="str">
        <ns0:v>BZT52-B</ns0:v>
      </ns0:c>
      <ns0:c r="AB83" s="33" t="str">
        <ns0:v>Одиночный</ns0:v>
      </ns0:c>
      <ns0:c r="AC83" s="33" t="str">
        <ns0:v>K=C (manufacturer 1); A=A (manufacturer 2)</ns0:v>
      </ns0:c>
      <ns0:c r="AD83" s="33"/>
      <ns0:c r="AE83" s="33"/>
      <ns0:c r="AF83" s="33" t="n">
        <ns0:v>33</ns0:v>
      </ns0:c>
      <ns0:c r="AG83" s="33" t="n">
        <ns0:v>2</ns0:v>
      </ns0:c>
      <ns0:c r="AH83" s="33"/>
      <ns0:c r="AI83" s="33"/>
      <ns0:c r="AJ83" s="33" t="str">
        <ns0:v>350 мВт: стандартное посадочное место. 590 мВт: медь катода 1 см², TA≤25 °C; далее снижение мощности.</ns0:v>
      </ns0:c>
    </ns0:row>
    <ns0:row r="84" ht="60" customHeight="1">
      <ns0:c r="A84" s="33" t="str">
        <ns0:v>VD0083</ns0:v>
      </ns0:c>
      <ns0:c r="B84" s="33" t="str">
        <ns0:v>Стабилитрон</ns0:v>
      </ns0:c>
      <ns0:c r="C84" s="33" t="str">
        <ns0:v>BZT52-B36</ns0:v>
      </ns0:c>
      <ns0:c r="D84" s="34" t="str">
        <ns0:f>C84</ns0:f>
        <ns0:v>BZT52-B36</ns0:v>
      </ns0:c>
      <ns0:c r="E84" s="33" t="str">
        <ns0:v>±2%</ns0:v>
      </ns0:c>
      <ns0:c r="F84" s="33" t="str">
        <ns0:v>0,35 Вт</ns0:v>
      </ns0:c>
      <ns0:c r="G84" s="33" t="str">
        <ns0:v>36 В (Uст ном.)</ns0:v>
      </ns0:c>
      <ns0:c r="H84" s="35" t="str">
        <ns0:v>SOD-123</ns0:v>
      </ns0:c>
      <ns0:c r="I84" s="33" t="str">
        <ns0:v>Nexperia</ns0:v>
      </ns0:c>
      <ns0:c r="J84" s="33" t="str">
        <ns0:v>BZT52-B36</ns0:v>
      </ns0:c>
      <ns0:c r="K84" s="34" t="str">
        <ns0:f>B84&amp;" "&amp;J84</ns0:f>
        <ns0:v>Стабилитрон BZT52-B36</ns0:v>
      </ns0:c>
      <ns0:c r="L84" s="36" t="str">
        <ns0:v>Zener_AK</ns0:v>
      </ns0:c>
      <ns0:c r="M84" s="36" t="str">
        <ns0:v>Symbols\MY_LIB_Semiconductors.SchLib</ns0:v>
      </ns0:c>
      <ns0:c r="N84" s="36" t="str">
        <ns0:v>SOD123</ns0:v>
      </ns0:c>
      <ns0:c r="O84" s="36" t="str">
        <ns0:v>Footprints\PBL - SMD Packages.PcbLib</ns0:v>
      </ns0:c>
      <ns0:c r="P8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4" s="33"/>
      <ns0:c r="R84" s="34" t="str">
        <ns0:f>D84</ns0:f>
        <ns0:v>BZT52-B36</ns0:v>
      </ns0:c>
      <ns0:c r="S84" s="34" t="str">
        <ns0:f>K84</ns0:f>
        <ns0:v>Стабилитрон BZT52-B36</ns0:v>
      </ns0:c>
      <ns0:c r="T84" s="33" t="str">
        <ns0:v>C:\Users\Nomatin\Documents\Altium\MY_LIB\MY_LIB\Datasheets\Diodes\BZT52_B_Nexperia.pdf</ns0:v>
      </ns0:c>
      <ns0:c r="U84" s="33" t="str">
        <ns0:v>Rev. 2, 06-Feb-2024; B selection</ns0:v>
      </ns0:c>
      <ns0:c r="V84" s="33" t="str">
        <ns0:v>Даташит — локальный</ns0:v>
      </ns0:c>
      <ns0:c r="W84" s="33" t="str">
        <ns0:v>C:\Users\Nomatin\Documents\Altium\MY_LIB\MY_LIB\Datasheets\Diodes\BZT52_B_Nexperia.pdf</ns0:v>
      </ns0:c>
      <ns0:c r="X84" s="33" t="str">
        <ns0:v>Даташит — производитель</ns0:v>
      </ns0:c>
      <ns0:c r="Y84" s="33" t="str">
        <ns0:v>https://assets.nexperia.com/documents/data-sheet/BZT52_SER.pdf</ns0:v>
      </ns0:c>
      <ns0:c r="Z84" s="33" t="str">
        <ns0:v>C:\Users\Nomatin\Documents\Altium\MY_LIB\MY_LIB\Datasheets\Diodes\BZT52_B_Nexperia.pdf</ns0:v>
      </ns0:c>
      <ns0:c r="AA84" s="33" t="str">
        <ns0:v>BZT52-B</ns0:v>
      </ns0:c>
      <ns0:c r="AB84" s="33" t="str">
        <ns0:v>Одиночный</ns0:v>
      </ns0:c>
      <ns0:c r="AC84" s="33" t="str">
        <ns0:v>K=C (manufacturer 1); A=A (manufacturer 2)</ns0:v>
      </ns0:c>
      <ns0:c r="AD84" s="33"/>
      <ns0:c r="AE84" s="33"/>
      <ns0:c r="AF84" s="33" t="n">
        <ns0:v>36</ns0:v>
      </ns0:c>
      <ns0:c r="AG84" s="33" t="n">
        <ns0:v>2</ns0:v>
      </ns0:c>
      <ns0:c r="AH84" s="33"/>
      <ns0:c r="AI84" s="33"/>
      <ns0:c r="AJ84" s="33" t="str">
        <ns0:v>350 мВт: стандартное посадочное место. 590 мВт: медь катода 1 см², TA≤25 °C; далее снижение мощности.</ns0:v>
      </ns0:c>
    </ns0:row>
    <ns0:row r="85" ht="60" customHeight="1">
      <ns0:c r="A85" s="33" t="str">
        <ns0:v>VD0084</ns0:v>
      </ns0:c>
      <ns0:c r="B85" s="33" t="str">
        <ns0:v>Стабилитрон</ns0:v>
      </ns0:c>
      <ns0:c r="C85" s="33" t="str">
        <ns0:v>BZT52-B39</ns0:v>
      </ns0:c>
      <ns0:c r="D85" s="34" t="str">
        <ns0:f>C85</ns0:f>
        <ns0:v>BZT52-B39</ns0:v>
      </ns0:c>
      <ns0:c r="E85" s="33" t="str">
        <ns0:v>±2%</ns0:v>
      </ns0:c>
      <ns0:c r="F85" s="33" t="str">
        <ns0:v>0,35 Вт</ns0:v>
      </ns0:c>
      <ns0:c r="G85" s="33" t="str">
        <ns0:v>39 В (Uст ном.)</ns0:v>
      </ns0:c>
      <ns0:c r="H85" s="35" t="str">
        <ns0:v>SOD-123</ns0:v>
      </ns0:c>
      <ns0:c r="I85" s="33" t="str">
        <ns0:v>Nexperia</ns0:v>
      </ns0:c>
      <ns0:c r="J85" s="33" t="str">
        <ns0:v>BZT52-B39</ns0:v>
      </ns0:c>
      <ns0:c r="K85" s="34" t="str">
        <ns0:f>B85&amp;" "&amp;J85</ns0:f>
        <ns0:v>Стабилитрон BZT52-B39</ns0:v>
      </ns0:c>
      <ns0:c r="L85" s="36" t="str">
        <ns0:v>Zener_AK</ns0:v>
      </ns0:c>
      <ns0:c r="M85" s="36" t="str">
        <ns0:v>Symbols\MY_LIB_Semiconductors.SchLib</ns0:v>
      </ns0:c>
      <ns0:c r="N85" s="36" t="str">
        <ns0:v>SOD123</ns0:v>
      </ns0:c>
      <ns0:c r="O85" s="36" t="str">
        <ns0:v>Footprints\PBL - SMD Packages.PcbLib</ns0:v>
      </ns0:c>
      <ns0:c r="P8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5" s="33"/>
      <ns0:c r="R85" s="34" t="str">
        <ns0:f>D85</ns0:f>
        <ns0:v>BZT52-B39</ns0:v>
      </ns0:c>
      <ns0:c r="S85" s="34" t="str">
        <ns0:f>K85</ns0:f>
        <ns0:v>Стабилитрон BZT52-B39</ns0:v>
      </ns0:c>
      <ns0:c r="T85" s="33" t="str">
        <ns0:v>C:\Users\Nomatin\Documents\Altium\MY_LIB\MY_LIB\Datasheets\Diodes\BZT52_B_Nexperia.pdf</ns0:v>
      </ns0:c>
      <ns0:c r="U85" s="33" t="str">
        <ns0:v>Rev. 2, 06-Feb-2024; B selection</ns0:v>
      </ns0:c>
      <ns0:c r="V85" s="33" t="str">
        <ns0:v>Даташит — локальный</ns0:v>
      </ns0:c>
      <ns0:c r="W85" s="33" t="str">
        <ns0:v>C:\Users\Nomatin\Documents\Altium\MY_LIB\MY_LIB\Datasheets\Diodes\BZT52_B_Nexperia.pdf</ns0:v>
      </ns0:c>
      <ns0:c r="X85" s="33" t="str">
        <ns0:v>Даташит — производитель</ns0:v>
      </ns0:c>
      <ns0:c r="Y85" s="33" t="str">
        <ns0:v>https://assets.nexperia.com/documents/data-sheet/BZT52_SER.pdf</ns0:v>
      </ns0:c>
      <ns0:c r="Z85" s="33" t="str">
        <ns0:v>C:\Users\Nomatin\Documents\Altium\MY_LIB\MY_LIB\Datasheets\Diodes\BZT52_B_Nexperia.pdf</ns0:v>
      </ns0:c>
      <ns0:c r="AA85" s="33" t="str">
        <ns0:v>BZT52-B</ns0:v>
      </ns0:c>
      <ns0:c r="AB85" s="33" t="str">
        <ns0:v>Одиночный</ns0:v>
      </ns0:c>
      <ns0:c r="AC85" s="33" t="str">
        <ns0:v>K=C (manufacturer 1); A=A (manufacturer 2)</ns0:v>
      </ns0:c>
      <ns0:c r="AD85" s="33"/>
      <ns0:c r="AE85" s="33"/>
      <ns0:c r="AF85" s="33" t="n">
        <ns0:v>39</ns0:v>
      </ns0:c>
      <ns0:c r="AG85" s="33" t="n">
        <ns0:v>2</ns0:v>
      </ns0:c>
      <ns0:c r="AH85" s="33"/>
      <ns0:c r="AI85" s="33"/>
      <ns0:c r="AJ85" s="33" t="str">
        <ns0:v>350 мВт: стандартное посадочное место. 590 мВт: медь катода 1 см², TA≤25 °C; далее снижение мощности.</ns0:v>
      </ns0:c>
    </ns0:row>
    <ns0:row r="86" ht="60" customHeight="1">
      <ns0:c r="A86" s="33" t="str">
        <ns0:v>VD0085</ns0:v>
      </ns0:c>
      <ns0:c r="B86" s="33" t="str">
        <ns0:v>Стабилитрон</ns0:v>
      </ns0:c>
      <ns0:c r="C86" s="33" t="str">
        <ns0:v>BZT52-B43</ns0:v>
      </ns0:c>
      <ns0:c r="D86" s="34" t="str">
        <ns0:f>C86</ns0:f>
        <ns0:v>BZT52-B43</ns0:v>
      </ns0:c>
      <ns0:c r="E86" s="33" t="str">
        <ns0:v>±2%</ns0:v>
      </ns0:c>
      <ns0:c r="F86" s="33" t="str">
        <ns0:v>0,35 Вт</ns0:v>
      </ns0:c>
      <ns0:c r="G86" s="33" t="str">
        <ns0:v>43 В (Uст ном.)</ns0:v>
      </ns0:c>
      <ns0:c r="H86" s="35" t="str">
        <ns0:v>SOD-123</ns0:v>
      </ns0:c>
      <ns0:c r="I86" s="33" t="str">
        <ns0:v>Nexperia</ns0:v>
      </ns0:c>
      <ns0:c r="J86" s="33" t="str">
        <ns0:v>BZT52-B43</ns0:v>
      </ns0:c>
      <ns0:c r="K86" s="34" t="str">
        <ns0:f>B86&amp;" "&amp;J86</ns0:f>
        <ns0:v>Стабилитрон BZT52-B43</ns0:v>
      </ns0:c>
      <ns0:c r="L86" s="36" t="str">
        <ns0:v>Zener_AK</ns0:v>
      </ns0:c>
      <ns0:c r="M86" s="36" t="str">
        <ns0:v>Symbols\MY_LIB_Semiconductors.SchLib</ns0:v>
      </ns0:c>
      <ns0:c r="N86" s="36" t="str">
        <ns0:v>SOD123</ns0:v>
      </ns0:c>
      <ns0:c r="O86" s="36" t="str">
        <ns0:v>Footprints\PBL - SMD Packages.PcbLib</ns0:v>
      </ns0:c>
      <ns0:c r="P8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6" s="33"/>
      <ns0:c r="R86" s="34" t="str">
        <ns0:f>D86</ns0:f>
        <ns0:v>BZT52-B43</ns0:v>
      </ns0:c>
      <ns0:c r="S86" s="34" t="str">
        <ns0:f>K86</ns0:f>
        <ns0:v>Стабилитрон BZT52-B43</ns0:v>
      </ns0:c>
      <ns0:c r="T86" s="33" t="str">
        <ns0:v>C:\Users\Nomatin\Documents\Altium\MY_LIB\MY_LIB\Datasheets\Diodes\BZT52_B_Nexperia.pdf</ns0:v>
      </ns0:c>
      <ns0:c r="U86" s="33" t="str">
        <ns0:v>Rev. 2, 06-Feb-2024; B selection</ns0:v>
      </ns0:c>
      <ns0:c r="V86" s="33" t="str">
        <ns0:v>Даташит — локальный</ns0:v>
      </ns0:c>
      <ns0:c r="W86" s="33" t="str">
        <ns0:v>C:\Users\Nomatin\Documents\Altium\MY_LIB\MY_LIB\Datasheets\Diodes\BZT52_B_Nexperia.pdf</ns0:v>
      </ns0:c>
      <ns0:c r="X86" s="33" t="str">
        <ns0:v>Даташит — производитель</ns0:v>
      </ns0:c>
      <ns0:c r="Y86" s="33" t="str">
        <ns0:v>https://assets.nexperia.com/documents/data-sheet/BZT52_SER.pdf</ns0:v>
      </ns0:c>
      <ns0:c r="Z86" s="33" t="str">
        <ns0:v>C:\Users\Nomatin\Documents\Altium\MY_LIB\MY_LIB\Datasheets\Diodes\BZT52_B_Nexperia.pdf</ns0:v>
      </ns0:c>
      <ns0:c r="AA86" s="33" t="str">
        <ns0:v>BZT52-B</ns0:v>
      </ns0:c>
      <ns0:c r="AB86" s="33" t="str">
        <ns0:v>Одиночный</ns0:v>
      </ns0:c>
      <ns0:c r="AC86" s="33" t="str">
        <ns0:v>K=C (manufacturer 1); A=A (manufacturer 2)</ns0:v>
      </ns0:c>
      <ns0:c r="AD86" s="33"/>
      <ns0:c r="AE86" s="33"/>
      <ns0:c r="AF86" s="33" t="n">
        <ns0:v>43</ns0:v>
      </ns0:c>
      <ns0:c r="AG86" s="33" t="n">
        <ns0:v>2</ns0:v>
      </ns0:c>
      <ns0:c r="AH86" s="33"/>
      <ns0:c r="AI86" s="33"/>
      <ns0:c r="AJ86" s="33" t="str">
        <ns0:v>350 мВт: стандартное посадочное место. 590 мВт: медь катода 1 см², TA≤25 °C; далее снижение мощности.</ns0:v>
      </ns0:c>
    </ns0:row>
    <ns0:row r="87" ht="60" customHeight="1">
      <ns0:c r="A87" s="33" t="str">
        <ns0:v>VD0086</ns0:v>
      </ns0:c>
      <ns0:c r="B87" s="33" t="str">
        <ns0:v>Стабилитрон</ns0:v>
      </ns0:c>
      <ns0:c r="C87" s="33" t="str">
        <ns0:v>BZT52-B47</ns0:v>
      </ns0:c>
      <ns0:c r="D87" s="34" t="str">
        <ns0:f>C87</ns0:f>
        <ns0:v>BZT52-B47</ns0:v>
      </ns0:c>
      <ns0:c r="E87" s="33" t="str">
        <ns0:v>±2%</ns0:v>
      </ns0:c>
      <ns0:c r="F87" s="33" t="str">
        <ns0:v>0,35 Вт</ns0:v>
      </ns0:c>
      <ns0:c r="G87" s="33" t="str">
        <ns0:v>47 В (Uст ном.)</ns0:v>
      </ns0:c>
      <ns0:c r="H87" s="35" t="str">
        <ns0:v>SOD-123</ns0:v>
      </ns0:c>
      <ns0:c r="I87" s="33" t="str">
        <ns0:v>Nexperia</ns0:v>
      </ns0:c>
      <ns0:c r="J87" s="33" t="str">
        <ns0:v>BZT52-B47</ns0:v>
      </ns0:c>
      <ns0:c r="K87" s="34" t="str">
        <ns0:f>B87&amp;" "&amp;J87</ns0:f>
        <ns0:v>Стабилитрон BZT52-B47</ns0:v>
      </ns0:c>
      <ns0:c r="L87" s="36" t="str">
        <ns0:v>Zener_AK</ns0:v>
      </ns0:c>
      <ns0:c r="M87" s="36" t="str">
        <ns0:v>Symbols\MY_LIB_Semiconductors.SchLib</ns0:v>
      </ns0:c>
      <ns0:c r="N87" s="36" t="str">
        <ns0:v>SOD123</ns0:v>
      </ns0:c>
      <ns0:c r="O87" s="36" t="str">
        <ns0:v>Footprints\PBL - SMD Packages.PcbLib</ns0:v>
      </ns0:c>
      <ns0:c r="P8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7" s="33"/>
      <ns0:c r="R87" s="34" t="str">
        <ns0:f>D87</ns0:f>
        <ns0:v>BZT52-B47</ns0:v>
      </ns0:c>
      <ns0:c r="S87" s="34" t="str">
        <ns0:f>K87</ns0:f>
        <ns0:v>Стабилитрон BZT52-B47</ns0:v>
      </ns0:c>
      <ns0:c r="T87" s="33" t="str">
        <ns0:v>C:\Users\Nomatin\Documents\Altium\MY_LIB\MY_LIB\Datasheets\Diodes\BZT52_B_Nexperia.pdf</ns0:v>
      </ns0:c>
      <ns0:c r="U87" s="33" t="str">
        <ns0:v>Rev. 2, 06-Feb-2024; B selection</ns0:v>
      </ns0:c>
      <ns0:c r="V87" s="33" t="str">
        <ns0:v>Даташит — локальный</ns0:v>
      </ns0:c>
      <ns0:c r="W87" s="33" t="str">
        <ns0:v>C:\Users\Nomatin\Documents\Altium\MY_LIB\MY_LIB\Datasheets\Diodes\BZT52_B_Nexperia.pdf</ns0:v>
      </ns0:c>
      <ns0:c r="X87" s="33" t="str">
        <ns0:v>Даташит — производитель</ns0:v>
      </ns0:c>
      <ns0:c r="Y87" s="33" t="str">
        <ns0:v>https://assets.nexperia.com/documents/data-sheet/BZT52_SER.pdf</ns0:v>
      </ns0:c>
      <ns0:c r="Z87" s="33" t="str">
        <ns0:v>C:\Users\Nomatin\Documents\Altium\MY_LIB\MY_LIB\Datasheets\Diodes\BZT52_B_Nexperia.pdf</ns0:v>
      </ns0:c>
      <ns0:c r="AA87" s="33" t="str">
        <ns0:v>BZT52-B</ns0:v>
      </ns0:c>
      <ns0:c r="AB87" s="33" t="str">
        <ns0:v>Одиночный</ns0:v>
      </ns0:c>
      <ns0:c r="AC87" s="33" t="str">
        <ns0:v>K=C (manufacturer 1); A=A (manufacturer 2)</ns0:v>
      </ns0:c>
      <ns0:c r="AD87" s="33"/>
      <ns0:c r="AE87" s="33"/>
      <ns0:c r="AF87" s="33" t="n">
        <ns0:v>47</ns0:v>
      </ns0:c>
      <ns0:c r="AG87" s="33" t="n">
        <ns0:v>2</ns0:v>
      </ns0:c>
      <ns0:c r="AH87" s="33"/>
      <ns0:c r="AI87" s="33"/>
      <ns0:c r="AJ87" s="33" t="str">
        <ns0:v>350 мВт: стандартное посадочное место. 590 мВт: медь катода 1 см², TA≤25 °C; далее снижение мощности.</ns0:v>
      </ns0:c>
    </ns0:row>
    <ns0:row r="88" ht="60" customHeight="1">
      <ns0:c r="A88" s="33" t="str">
        <ns0:v>VD0087</ns0:v>
      </ns0:c>
      <ns0:c r="B88" s="33" t="str">
        <ns0:v>Стабилитрон</ns0:v>
      </ns0:c>
      <ns0:c r="C88" s="33" t="str">
        <ns0:v>BZT52-B51</ns0:v>
      </ns0:c>
      <ns0:c r="D88" s="34" t="str">
        <ns0:f>C88</ns0:f>
        <ns0:v>BZT52-B51</ns0:v>
      </ns0:c>
      <ns0:c r="E88" s="33" t="str">
        <ns0:v>±2%</ns0:v>
      </ns0:c>
      <ns0:c r="F88" s="33" t="str">
        <ns0:v>0,35 Вт</ns0:v>
      </ns0:c>
      <ns0:c r="G88" s="33" t="str">
        <ns0:v>51 В (Uст ном.)</ns0:v>
      </ns0:c>
      <ns0:c r="H88" s="35" t="str">
        <ns0:v>SOD-123</ns0:v>
      </ns0:c>
      <ns0:c r="I88" s="33" t="str">
        <ns0:v>Nexperia</ns0:v>
      </ns0:c>
      <ns0:c r="J88" s="33" t="str">
        <ns0:v>BZT52-B51</ns0:v>
      </ns0:c>
      <ns0:c r="K88" s="34" t="str">
        <ns0:f>B88&amp;" "&amp;J88</ns0:f>
        <ns0:v>Стабилитрон BZT52-B51</ns0:v>
      </ns0:c>
      <ns0:c r="L88" s="36" t="str">
        <ns0:v>Zener_AK</ns0:v>
      </ns0:c>
      <ns0:c r="M88" s="36" t="str">
        <ns0:v>Symbols\MY_LIB_Semiconductors.SchLib</ns0:v>
      </ns0:c>
      <ns0:c r="N88" s="36" t="str">
        <ns0:v>SOD123</ns0:v>
      </ns0:c>
      <ns0:c r="O88" s="36" t="str">
        <ns0:v>Footprints\PBL - SMD Packages.PcbLib</ns0:v>
      </ns0:c>
      <ns0:c r="P8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8" s="33"/>
      <ns0:c r="R88" s="34" t="str">
        <ns0:f>D88</ns0:f>
        <ns0:v>BZT52-B51</ns0:v>
      </ns0:c>
      <ns0:c r="S88" s="34" t="str">
        <ns0:f>K88</ns0:f>
        <ns0:v>Стабилитрон BZT52-B51</ns0:v>
      </ns0:c>
      <ns0:c r="T88" s="33" t="str">
        <ns0:v>C:\Users\Nomatin\Documents\Altium\MY_LIB\MY_LIB\Datasheets\Diodes\BZT52_B_Nexperia.pdf</ns0:v>
      </ns0:c>
      <ns0:c r="U88" s="33" t="str">
        <ns0:v>Rev. 2, 06-Feb-2024; B selection</ns0:v>
      </ns0:c>
      <ns0:c r="V88" s="33" t="str">
        <ns0:v>Даташит — локальный</ns0:v>
      </ns0:c>
      <ns0:c r="W88" s="33" t="str">
        <ns0:v>C:\Users\Nomatin\Documents\Altium\MY_LIB\MY_LIB\Datasheets\Diodes\BZT52_B_Nexperia.pdf</ns0:v>
      </ns0:c>
      <ns0:c r="X88" s="33" t="str">
        <ns0:v>Даташит — производитель</ns0:v>
      </ns0:c>
      <ns0:c r="Y88" s="33" t="str">
        <ns0:v>https://assets.nexperia.com/documents/data-sheet/BZT52_SER.pdf</ns0:v>
      </ns0:c>
      <ns0:c r="Z88" s="33" t="str">
        <ns0:v>C:\Users\Nomatin\Documents\Altium\MY_LIB\MY_LIB\Datasheets\Diodes\BZT52_B_Nexperia.pdf</ns0:v>
      </ns0:c>
      <ns0:c r="AA88" s="33" t="str">
        <ns0:v>BZT52-B</ns0:v>
      </ns0:c>
      <ns0:c r="AB88" s="33" t="str">
        <ns0:v>Одиночный</ns0:v>
      </ns0:c>
      <ns0:c r="AC88" s="33" t="str">
        <ns0:v>K=C (manufacturer 1); A=A (manufacturer 2)</ns0:v>
      </ns0:c>
      <ns0:c r="AD88" s="33"/>
      <ns0:c r="AE88" s="33"/>
      <ns0:c r="AF88" s="33" t="n">
        <ns0:v>51</ns0:v>
      </ns0:c>
      <ns0:c r="AG88" s="33" t="n">
        <ns0:v>2</ns0:v>
      </ns0:c>
      <ns0:c r="AH88" s="33"/>
      <ns0:c r="AI88" s="33"/>
      <ns0:c r="AJ88" s="33" t="str">
        <ns0:v>350 мВт: стандартное посадочное место. 590 мВт: медь катода 1 см², TA≤25 °C; далее снижение мощности.</ns0:v>
      </ns0:c>
    </ns0:row>
    <ns0:row r="89" ht="60" customHeight="1">
      <ns0:c r="A89" s="33" t="str">
        <ns0:v>VD0088</ns0:v>
      </ns0:c>
      <ns0:c r="B89" s="33" t="str">
        <ns0:v>Стабилитрон</ns0:v>
      </ns0:c>
      <ns0:c r="C89" s="33" t="str">
        <ns0:v>BZT52-B56</ns0:v>
      </ns0:c>
      <ns0:c r="D89" s="34" t="str">
        <ns0:f>C89</ns0:f>
        <ns0:v>BZT52-B56</ns0:v>
      </ns0:c>
      <ns0:c r="E89" s="33" t="str">
        <ns0:v>±2%</ns0:v>
      </ns0:c>
      <ns0:c r="F89" s="33" t="str">
        <ns0:v>0,35 Вт</ns0:v>
      </ns0:c>
      <ns0:c r="G89" s="33" t="str">
        <ns0:v>56 В (Uст ном.)</ns0:v>
      </ns0:c>
      <ns0:c r="H89" s="35" t="str">
        <ns0:v>SOD-123</ns0:v>
      </ns0:c>
      <ns0:c r="I89" s="33" t="str">
        <ns0:v>Nexperia</ns0:v>
      </ns0:c>
      <ns0:c r="J89" s="33" t="str">
        <ns0:v>BZT52-B56</ns0:v>
      </ns0:c>
      <ns0:c r="K89" s="34" t="str">
        <ns0:f>B89&amp;" "&amp;J89</ns0:f>
        <ns0:v>Стабилитрон BZT52-B56</ns0:v>
      </ns0:c>
      <ns0:c r="L89" s="36" t="str">
        <ns0:v>Zener_AK</ns0:v>
      </ns0:c>
      <ns0:c r="M89" s="36" t="str">
        <ns0:v>Symbols\MY_LIB_Semiconductors.SchLib</ns0:v>
      </ns0:c>
      <ns0:c r="N89" s="36" t="str">
        <ns0:v>SOD123</ns0:v>
      </ns0:c>
      <ns0:c r="O89" s="36" t="str">
        <ns0:v>Footprints\PBL - SMD Packages.PcbLib</ns0:v>
      </ns0:c>
      <ns0:c r="P8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89" s="33"/>
      <ns0:c r="R89" s="34" t="str">
        <ns0:f>D89</ns0:f>
        <ns0:v>BZT52-B56</ns0:v>
      </ns0:c>
      <ns0:c r="S89" s="34" t="str">
        <ns0:f>K89</ns0:f>
        <ns0:v>Стабилитрон BZT52-B56</ns0:v>
      </ns0:c>
      <ns0:c r="T89" s="33" t="str">
        <ns0:v>C:\Users\Nomatin\Documents\Altium\MY_LIB\MY_LIB\Datasheets\Diodes\BZT52_B_Nexperia.pdf</ns0:v>
      </ns0:c>
      <ns0:c r="U89" s="33" t="str">
        <ns0:v>Rev. 2, 06-Feb-2024; B selection</ns0:v>
      </ns0:c>
      <ns0:c r="V89" s="33" t="str">
        <ns0:v>Даташит — локальный</ns0:v>
      </ns0:c>
      <ns0:c r="W89" s="33" t="str">
        <ns0:v>C:\Users\Nomatin\Documents\Altium\MY_LIB\MY_LIB\Datasheets\Diodes\BZT52_B_Nexperia.pdf</ns0:v>
      </ns0:c>
      <ns0:c r="X89" s="33" t="str">
        <ns0:v>Даташит — производитель</ns0:v>
      </ns0:c>
      <ns0:c r="Y89" s="33" t="str">
        <ns0:v>https://assets.nexperia.com/documents/data-sheet/BZT52_SER.pdf</ns0:v>
      </ns0:c>
      <ns0:c r="Z89" s="33" t="str">
        <ns0:v>C:\Users\Nomatin\Documents\Altium\MY_LIB\MY_LIB\Datasheets\Diodes\BZT52_B_Nexperia.pdf</ns0:v>
      </ns0:c>
      <ns0:c r="AA89" s="33" t="str">
        <ns0:v>BZT52-B</ns0:v>
      </ns0:c>
      <ns0:c r="AB89" s="33" t="str">
        <ns0:v>Одиночный</ns0:v>
      </ns0:c>
      <ns0:c r="AC89" s="33" t="str">
        <ns0:v>K=C (manufacturer 1); A=A (manufacturer 2)</ns0:v>
      </ns0:c>
      <ns0:c r="AD89" s="33"/>
      <ns0:c r="AE89" s="33"/>
      <ns0:c r="AF89" s="33" t="n">
        <ns0:v>56</ns0:v>
      </ns0:c>
      <ns0:c r="AG89" s="33" t="n">
        <ns0:v>2</ns0:v>
      </ns0:c>
      <ns0:c r="AH89" s="33"/>
      <ns0:c r="AI89" s="33"/>
      <ns0:c r="AJ89" s="33" t="str">
        <ns0:v>350 мВт: стандартное посадочное место. 590 мВт: медь катода 1 см², TA≤25 °C; далее снижение мощности.</ns0:v>
      </ns0:c>
    </ns0:row>
    <ns0:row r="90" ht="60" customHeight="1">
      <ns0:c r="A90" s="33" t="str">
        <ns0:v>VD0089</ns0:v>
      </ns0:c>
      <ns0:c r="B90" s="33" t="str">
        <ns0:v>Стабилитрон</ns0:v>
      </ns0:c>
      <ns0:c r="C90" s="33" t="str">
        <ns0:v>BZT52-B62</ns0:v>
      </ns0:c>
      <ns0:c r="D90" s="34" t="str">
        <ns0:f>C90</ns0:f>
        <ns0:v>BZT52-B62</ns0:v>
      </ns0:c>
      <ns0:c r="E90" s="33" t="str">
        <ns0:v>±2%</ns0:v>
      </ns0:c>
      <ns0:c r="F90" s="33" t="str">
        <ns0:v>0,35 Вт</ns0:v>
      </ns0:c>
      <ns0:c r="G90" s="33" t="str">
        <ns0:v>62 В (Uст ном.)</ns0:v>
      </ns0:c>
      <ns0:c r="H90" s="35" t="str">
        <ns0:v>SOD-123</ns0:v>
      </ns0:c>
      <ns0:c r="I90" s="33" t="str">
        <ns0:v>Nexperia</ns0:v>
      </ns0:c>
      <ns0:c r="J90" s="33" t="str">
        <ns0:v>BZT52-B62</ns0:v>
      </ns0:c>
      <ns0:c r="K90" s="34" t="str">
        <ns0:f>B90&amp;" "&amp;J90</ns0:f>
        <ns0:v>Стабилитрон BZT52-B62</ns0:v>
      </ns0:c>
      <ns0:c r="L90" s="36" t="str">
        <ns0:v>Zener_AK</ns0:v>
      </ns0:c>
      <ns0:c r="M90" s="36" t="str">
        <ns0:v>Symbols\MY_LIB_Semiconductors.SchLib</ns0:v>
      </ns0:c>
      <ns0:c r="N90" s="36" t="str">
        <ns0:v>SOD123</ns0:v>
      </ns0:c>
      <ns0:c r="O90" s="36" t="str">
        <ns0:v>Footprints\PBL - SMD Packages.PcbLib</ns0:v>
      </ns0:c>
      <ns0:c r="P9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0" s="33"/>
      <ns0:c r="R90" s="34" t="str">
        <ns0:f>D90</ns0:f>
        <ns0:v>BZT52-B62</ns0:v>
      </ns0:c>
      <ns0:c r="S90" s="34" t="str">
        <ns0:f>K90</ns0:f>
        <ns0:v>Стабилитрон BZT52-B62</ns0:v>
      </ns0:c>
      <ns0:c r="T90" s="33" t="str">
        <ns0:v>C:\Users\Nomatin\Documents\Altium\MY_LIB\MY_LIB\Datasheets\Diodes\BZT52_B_Nexperia.pdf</ns0:v>
      </ns0:c>
      <ns0:c r="U90" s="33" t="str">
        <ns0:v>Rev. 2, 06-Feb-2024; B selection</ns0:v>
      </ns0:c>
      <ns0:c r="V90" s="33" t="str">
        <ns0:v>Даташит — локальный</ns0:v>
      </ns0:c>
      <ns0:c r="W90" s="33" t="str">
        <ns0:v>C:\Users\Nomatin\Documents\Altium\MY_LIB\MY_LIB\Datasheets\Diodes\BZT52_B_Nexperia.pdf</ns0:v>
      </ns0:c>
      <ns0:c r="X90" s="33" t="str">
        <ns0:v>Даташит — производитель</ns0:v>
      </ns0:c>
      <ns0:c r="Y90" s="33" t="str">
        <ns0:v>https://assets.nexperia.com/documents/data-sheet/BZT52_SER.pdf</ns0:v>
      </ns0:c>
      <ns0:c r="Z90" s="33" t="str">
        <ns0:v>C:\Users\Nomatin\Documents\Altium\MY_LIB\MY_LIB\Datasheets\Diodes\BZT52_B_Nexperia.pdf</ns0:v>
      </ns0:c>
      <ns0:c r="AA90" s="33" t="str">
        <ns0:v>BZT52-B</ns0:v>
      </ns0:c>
      <ns0:c r="AB90" s="33" t="str">
        <ns0:v>Одиночный</ns0:v>
      </ns0:c>
      <ns0:c r="AC90" s="33" t="str">
        <ns0:v>K=C (manufacturer 1); A=A (manufacturer 2)</ns0:v>
      </ns0:c>
      <ns0:c r="AD90" s="33"/>
      <ns0:c r="AE90" s="33"/>
      <ns0:c r="AF90" s="33" t="n">
        <ns0:v>62</ns0:v>
      </ns0:c>
      <ns0:c r="AG90" s="33" t="n">
        <ns0:v>2</ns0:v>
      </ns0:c>
      <ns0:c r="AH90" s="33"/>
      <ns0:c r="AI90" s="33"/>
      <ns0:c r="AJ90" s="33" t="str">
        <ns0:v>350 мВт: стандартное посадочное место. 590 мВт: медь катода 1 см², TA≤25 °C; далее снижение мощности.</ns0:v>
      </ns0:c>
    </ns0:row>
    <ns0:row r="91" ht="60" customHeight="1">
      <ns0:c r="A91" s="33" t="str">
        <ns0:v>VD0090</ns0:v>
      </ns0:c>
      <ns0:c r="B91" s="33" t="str">
        <ns0:v>Стабилитрон</ns0:v>
      </ns0:c>
      <ns0:c r="C91" s="33" t="str">
        <ns0:v>BZT52-B68</ns0:v>
      </ns0:c>
      <ns0:c r="D91" s="34" t="str">
        <ns0:f>C91</ns0:f>
        <ns0:v>BZT52-B68</ns0:v>
      </ns0:c>
      <ns0:c r="E91" s="33" t="str">
        <ns0:v>±2%</ns0:v>
      </ns0:c>
      <ns0:c r="F91" s="33" t="str">
        <ns0:v>0,35 Вт</ns0:v>
      </ns0:c>
      <ns0:c r="G91" s="33" t="str">
        <ns0:v>68 В (Uст ном.)</ns0:v>
      </ns0:c>
      <ns0:c r="H91" s="35" t="str">
        <ns0:v>SOD-123</ns0:v>
      </ns0:c>
      <ns0:c r="I91" s="33" t="str">
        <ns0:v>Nexperia</ns0:v>
      </ns0:c>
      <ns0:c r="J91" s="33" t="str">
        <ns0:v>BZT52-B68</ns0:v>
      </ns0:c>
      <ns0:c r="K91" s="34" t="str">
        <ns0:f>B91&amp;" "&amp;J91</ns0:f>
        <ns0:v>Стабилитрон BZT52-B68</ns0:v>
      </ns0:c>
      <ns0:c r="L91" s="36" t="str">
        <ns0:v>Zener_AK</ns0:v>
      </ns0:c>
      <ns0:c r="M91" s="36" t="str">
        <ns0:v>Symbols\MY_LIB_Semiconductors.SchLib</ns0:v>
      </ns0:c>
      <ns0:c r="N91" s="36" t="str">
        <ns0:v>SOD123</ns0:v>
      </ns0:c>
      <ns0:c r="O91" s="36" t="str">
        <ns0:v>Footprints\PBL - SMD Packages.PcbLib</ns0:v>
      </ns0:c>
      <ns0:c r="P9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1" s="33"/>
      <ns0:c r="R91" s="34" t="str">
        <ns0:f>D91</ns0:f>
        <ns0:v>BZT52-B68</ns0:v>
      </ns0:c>
      <ns0:c r="S91" s="34" t="str">
        <ns0:f>K91</ns0:f>
        <ns0:v>Стабилитрон BZT52-B68</ns0:v>
      </ns0:c>
      <ns0:c r="T91" s="33" t="str">
        <ns0:v>C:\Users\Nomatin\Documents\Altium\MY_LIB\MY_LIB\Datasheets\Diodes\BZT52_B_Nexperia.pdf</ns0:v>
      </ns0:c>
      <ns0:c r="U91" s="33" t="str">
        <ns0:v>Rev. 2, 06-Feb-2024; B selection</ns0:v>
      </ns0:c>
      <ns0:c r="V91" s="33" t="str">
        <ns0:v>Даташит — локальный</ns0:v>
      </ns0:c>
      <ns0:c r="W91" s="33" t="str">
        <ns0:v>C:\Users\Nomatin\Documents\Altium\MY_LIB\MY_LIB\Datasheets\Diodes\BZT52_B_Nexperia.pdf</ns0:v>
      </ns0:c>
      <ns0:c r="X91" s="33" t="str">
        <ns0:v>Даташит — производитель</ns0:v>
      </ns0:c>
      <ns0:c r="Y91" s="33" t="str">
        <ns0:v>https://assets.nexperia.com/documents/data-sheet/BZT52_SER.pdf</ns0:v>
      </ns0:c>
      <ns0:c r="Z91" s="33" t="str">
        <ns0:v>C:\Users\Nomatin\Documents\Altium\MY_LIB\MY_LIB\Datasheets\Diodes\BZT52_B_Nexperia.pdf</ns0:v>
      </ns0:c>
      <ns0:c r="AA91" s="33" t="str">
        <ns0:v>BZT52-B</ns0:v>
      </ns0:c>
      <ns0:c r="AB91" s="33" t="str">
        <ns0:v>Одиночный</ns0:v>
      </ns0:c>
      <ns0:c r="AC91" s="33" t="str">
        <ns0:v>K=C (manufacturer 1); A=A (manufacturer 2)</ns0:v>
      </ns0:c>
      <ns0:c r="AD91" s="33"/>
      <ns0:c r="AE91" s="33"/>
      <ns0:c r="AF91" s="33" t="n">
        <ns0:v>68</ns0:v>
      </ns0:c>
      <ns0:c r="AG91" s="33" t="n">
        <ns0:v>2</ns0:v>
      </ns0:c>
      <ns0:c r="AH91" s="33"/>
      <ns0:c r="AI91" s="33"/>
      <ns0:c r="AJ91" s="33" t="str">
        <ns0:v>350 мВт: стандартное посадочное место. 590 мВт: медь катода 1 см², TA≤25 °C; далее снижение мощности.</ns0:v>
      </ns0:c>
    </ns0:row>
    <ns0:row r="92" ht="60" customHeight="1">
      <ns0:c r="A92" s="33" t="str">
        <ns0:v>VD0091</ns0:v>
      </ns0:c>
      <ns0:c r="B92" s="33" t="str">
        <ns0:v>Стабилитрон</ns0:v>
      </ns0:c>
      <ns0:c r="C92" s="33" t="str">
        <ns0:v>BZT52-B75</ns0:v>
      </ns0:c>
      <ns0:c r="D92" s="34" t="str">
        <ns0:f>C92</ns0:f>
        <ns0:v>BZT52-B75</ns0:v>
      </ns0:c>
      <ns0:c r="E92" s="33" t="str">
        <ns0:v>±2%</ns0:v>
      </ns0:c>
      <ns0:c r="F92" s="33" t="str">
        <ns0:v>0,35 Вт</ns0:v>
      </ns0:c>
      <ns0:c r="G92" s="33" t="str">
        <ns0:v>75 В (Uст ном.)</ns0:v>
      </ns0:c>
      <ns0:c r="H92" s="35" t="str">
        <ns0:v>SOD-123</ns0:v>
      </ns0:c>
      <ns0:c r="I92" s="33" t="str">
        <ns0:v>Nexperia</ns0:v>
      </ns0:c>
      <ns0:c r="J92" s="33" t="str">
        <ns0:v>BZT52-B75</ns0:v>
      </ns0:c>
      <ns0:c r="K92" s="34" t="str">
        <ns0:f>B92&amp;" "&amp;J92</ns0:f>
        <ns0:v>Стабилитрон BZT52-B75</ns0:v>
      </ns0:c>
      <ns0:c r="L92" s="36" t="str">
        <ns0:v>Zener_AK</ns0:v>
      </ns0:c>
      <ns0:c r="M92" s="36" t="str">
        <ns0:v>Symbols\MY_LIB_Semiconductors.SchLib</ns0:v>
      </ns0:c>
      <ns0:c r="N92" s="36" t="str">
        <ns0:v>SOD123</ns0:v>
      </ns0:c>
      <ns0:c r="O92" s="36" t="str">
        <ns0:v>Footprints\PBL - SMD Packages.PcbLib</ns0:v>
      </ns0:c>
      <ns0:c r="P9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2" s="33"/>
      <ns0:c r="R92" s="34" t="str">
        <ns0:f>D92</ns0:f>
        <ns0:v>BZT52-B75</ns0:v>
      </ns0:c>
      <ns0:c r="S92" s="34" t="str">
        <ns0:f>K92</ns0:f>
        <ns0:v>Стабилитрон BZT52-B75</ns0:v>
      </ns0:c>
      <ns0:c r="T92" s="33" t="str">
        <ns0:v>C:\Users\Nomatin\Documents\Altium\MY_LIB\MY_LIB\Datasheets\Diodes\BZT52_B_Nexperia.pdf</ns0:v>
      </ns0:c>
      <ns0:c r="U92" s="33" t="str">
        <ns0:v>Rev. 2, 06-Feb-2024; B selection</ns0:v>
      </ns0:c>
      <ns0:c r="V92" s="33" t="str">
        <ns0:v>Даташит — локальный</ns0:v>
      </ns0:c>
      <ns0:c r="W92" s="33" t="str">
        <ns0:v>C:\Users\Nomatin\Documents\Altium\MY_LIB\MY_LIB\Datasheets\Diodes\BZT52_B_Nexperia.pdf</ns0:v>
      </ns0:c>
      <ns0:c r="X92" s="33" t="str">
        <ns0:v>Даташит — производитель</ns0:v>
      </ns0:c>
      <ns0:c r="Y92" s="33" t="str">
        <ns0:v>https://assets.nexperia.com/documents/data-sheet/BZT52_SER.pdf</ns0:v>
      </ns0:c>
      <ns0:c r="Z92" s="33" t="str">
        <ns0:v>C:\Users\Nomatin\Documents\Altium\MY_LIB\MY_LIB\Datasheets\Diodes\BZT52_B_Nexperia.pdf</ns0:v>
      </ns0:c>
      <ns0:c r="AA92" s="33" t="str">
        <ns0:v>BZT52-B</ns0:v>
      </ns0:c>
      <ns0:c r="AB92" s="33" t="str">
        <ns0:v>Одиночный</ns0:v>
      </ns0:c>
      <ns0:c r="AC92" s="33" t="str">
        <ns0:v>K=C (manufacturer 1); A=A (manufacturer 2)</ns0:v>
      </ns0:c>
      <ns0:c r="AD92" s="33"/>
      <ns0:c r="AE92" s="33"/>
      <ns0:c r="AF92" s="33" t="n">
        <ns0:v>75</ns0:v>
      </ns0:c>
      <ns0:c r="AG92" s="33" t="n">
        <ns0:v>2</ns0:v>
      </ns0:c>
      <ns0:c r="AH92" s="33"/>
      <ns0:c r="AI92" s="33"/>
      <ns0:c r="AJ92" s="33" t="str">
        <ns0:v>350 мВт: стандартное посадочное место. 590 мВт: медь катода 1 см², TA≤25 °C; далее снижение мощности.</ns0:v>
      </ns0:c>
    </ns0:row>
    <ns0:row r="93" ht="60" customHeight="1">
      <ns0:c r="A93" s="33" t="str">
        <ns0:v>VD0092</ns0:v>
      </ns0:c>
      <ns0:c r="B93" s="33" t="str">
        <ns0:v>Стабилитрон</ns0:v>
      </ns0:c>
      <ns0:c r="C93" s="33" t="str">
        <ns0:v>BZT52-C2V4</ns0:v>
      </ns0:c>
      <ns0:c r="D93" s="34" t="str">
        <ns0:f>C93</ns0:f>
        <ns0:v>BZT52-C2V4</ns0:v>
      </ns0:c>
      <ns0:c r="E93" s="33" t="str">
        <ns0:v>около ±5%</ns0:v>
      </ns0:c>
      <ns0:c r="F93" s="33" t="str">
        <ns0:v>0,35 Вт</ns0:v>
      </ns0:c>
      <ns0:c r="G93" s="33" t="str">
        <ns0:v>2.4 В (Uст ном.)</ns0:v>
      </ns0:c>
      <ns0:c r="H93" s="35" t="str">
        <ns0:v>SOD-123</ns0:v>
      </ns0:c>
      <ns0:c r="I93" s="33" t="str">
        <ns0:v>Nexperia</ns0:v>
      </ns0:c>
      <ns0:c r="J93" s="33" t="str">
        <ns0:v>BZT52-C2V4</ns0:v>
      </ns0:c>
      <ns0:c r="K93" s="34" t="str">
        <ns0:f>B93&amp;" "&amp;J93</ns0:f>
        <ns0:v>Стабилитрон BZT52-C2V4</ns0:v>
      </ns0:c>
      <ns0:c r="L93" s="36" t="str">
        <ns0:v>Zener_AK</ns0:v>
      </ns0:c>
      <ns0:c r="M93" s="36" t="str">
        <ns0:v>Symbols\MY_LIB_Semiconductors.SchLib</ns0:v>
      </ns0:c>
      <ns0:c r="N93" s="36" t="str">
        <ns0:v>SOD123</ns0:v>
      </ns0:c>
      <ns0:c r="O93" s="36" t="str">
        <ns0:v>Footprints\PBL - SMD Packages.PcbLib</ns0:v>
      </ns0:c>
      <ns0:c r="P9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3" s="33"/>
      <ns0:c r="R93" s="34" t="str">
        <ns0:f>D93</ns0:f>
        <ns0:v>BZT52-C2V4</ns0:v>
      </ns0:c>
      <ns0:c r="S93" s="34" t="str">
        <ns0:f>K93</ns0:f>
        <ns0:v>Стабилитрон BZT52-C2V4</ns0:v>
      </ns0:c>
      <ns0:c r="T93" s="33" t="str">
        <ns0:v>C:\Users\Nomatin\Documents\Altium\MY_LIB\MY_LIB\Datasheets\Diodes\BZT52_C_Nexperia.pdf</ns0:v>
      </ns0:c>
      <ns0:c r="U93" s="33" t="str">
        <ns0:v>Rev. 1, 16-Mar-2017; C selection</ns0:v>
      </ns0:c>
      <ns0:c r="V93" s="33" t="str">
        <ns0:v>Даташит — локальный</ns0:v>
      </ns0:c>
      <ns0:c r="W93" s="33" t="str">
        <ns0:v>C:\Users\Nomatin\Documents\Altium\MY_LIB\MY_LIB\Datasheets\Diodes\BZT52_C_Nexperia.pdf</ns0:v>
      </ns0:c>
      <ns0:c r="X93" s="33" t="str">
        <ns0:v>Даташит — производитель</ns0:v>
      </ns0:c>
      <ns0:c r="Y93" s="33" t="str">
        <ns0:v>https://assets.nexperia.com/documents/data-sheet/BZT52_SER.pdf</ns0:v>
      </ns0:c>
      <ns0:c r="Z93" s="33" t="str">
        <ns0:v>C:\Users\Nomatin\Documents\Altium\MY_LIB\MY_LIB\Datasheets\Diodes\BZT52_C_Nexperia.pdf</ns0:v>
      </ns0:c>
      <ns0:c r="AA93" s="33" t="str">
        <ns0:v>BZT52-C</ns0:v>
      </ns0:c>
      <ns0:c r="AB93" s="33" t="str">
        <ns0:v>Одиночный</ns0:v>
      </ns0:c>
      <ns0:c r="AC93" s="33" t="str">
        <ns0:v>K=C (manufacturer 1); A=A (manufacturer 2)</ns0:v>
      </ns0:c>
      <ns0:c r="AD93" s="33"/>
      <ns0:c r="AE93" s="33"/>
      <ns0:c r="AF93" s="33" t="n">
        <ns0:v>2.4</ns0:v>
      </ns0:c>
      <ns0:c r="AG93" s="33" t="n">
        <ns0:v>5</ns0:v>
      </ns0:c>
      <ns0:c r="AH93" s="33"/>
      <ns0:c r="AI93" s="33"/>
      <ns0:c r="AJ93" s="33" t="str">
        <ns0:v>350 мВт: стандартное посадочное место. 590 мВт: медь катода 1 см², TA≤25 °C; далее снижение мощности.</ns0:v>
      </ns0:c>
    </ns0:row>
    <ns0:row r="94" ht="60" customHeight="1">
      <ns0:c r="A94" s="33" t="str">
        <ns0:v>VD0093</ns0:v>
      </ns0:c>
      <ns0:c r="B94" s="33" t="str">
        <ns0:v>Стабилитрон</ns0:v>
      </ns0:c>
      <ns0:c r="C94" s="33" t="str">
        <ns0:v>BZT52-C2V7</ns0:v>
      </ns0:c>
      <ns0:c r="D94" s="34" t="str">
        <ns0:f>C94</ns0:f>
        <ns0:v>BZT52-C2V7</ns0:v>
      </ns0:c>
      <ns0:c r="E94" s="33" t="str">
        <ns0:v>около ±5%</ns0:v>
      </ns0:c>
      <ns0:c r="F94" s="33" t="str">
        <ns0:v>0,35 Вт</ns0:v>
      </ns0:c>
      <ns0:c r="G94" s="33" t="str">
        <ns0:v>2.7 В (Uст ном.)</ns0:v>
      </ns0:c>
      <ns0:c r="H94" s="35" t="str">
        <ns0:v>SOD-123</ns0:v>
      </ns0:c>
      <ns0:c r="I94" s="33" t="str">
        <ns0:v>Nexperia</ns0:v>
      </ns0:c>
      <ns0:c r="J94" s="33" t="str">
        <ns0:v>BZT52-C2V7</ns0:v>
      </ns0:c>
      <ns0:c r="K94" s="34" t="str">
        <ns0:f>B94&amp;" "&amp;J94</ns0:f>
        <ns0:v>Стабилитрон BZT52-C2V7</ns0:v>
      </ns0:c>
      <ns0:c r="L94" s="36" t="str">
        <ns0:v>Zener_AK</ns0:v>
      </ns0:c>
      <ns0:c r="M94" s="36" t="str">
        <ns0:v>Symbols\MY_LIB_Semiconductors.SchLib</ns0:v>
      </ns0:c>
      <ns0:c r="N94" s="36" t="str">
        <ns0:v>SOD123</ns0:v>
      </ns0:c>
      <ns0:c r="O94" s="36" t="str">
        <ns0:v>Footprints\PBL - SMD Packages.PcbLib</ns0:v>
      </ns0:c>
      <ns0:c r="P9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4" s="33"/>
      <ns0:c r="R94" s="34" t="str">
        <ns0:f>D94</ns0:f>
        <ns0:v>BZT52-C2V7</ns0:v>
      </ns0:c>
      <ns0:c r="S94" s="34" t="str">
        <ns0:f>K94</ns0:f>
        <ns0:v>Стабилитрон BZT52-C2V7</ns0:v>
      </ns0:c>
      <ns0:c r="T94" s="33" t="str">
        <ns0:v>C:\Users\Nomatin\Documents\Altium\MY_LIB\MY_LIB\Datasheets\Diodes\BZT52_C_Nexperia.pdf</ns0:v>
      </ns0:c>
      <ns0:c r="U94" s="33" t="str">
        <ns0:v>Rev. 1, 16-Mar-2017; C selection</ns0:v>
      </ns0:c>
      <ns0:c r="V94" s="33" t="str">
        <ns0:v>Даташит — локальный</ns0:v>
      </ns0:c>
      <ns0:c r="W94" s="33" t="str">
        <ns0:v>C:\Users\Nomatin\Documents\Altium\MY_LIB\MY_LIB\Datasheets\Diodes\BZT52_C_Nexperia.pdf</ns0:v>
      </ns0:c>
      <ns0:c r="X94" s="33" t="str">
        <ns0:v>Даташит — производитель</ns0:v>
      </ns0:c>
      <ns0:c r="Y94" s="33" t="str">
        <ns0:v>https://assets.nexperia.com/documents/data-sheet/BZT52_SER.pdf</ns0:v>
      </ns0:c>
      <ns0:c r="Z94" s="33" t="str">
        <ns0:v>C:\Users\Nomatin\Documents\Altium\MY_LIB\MY_LIB\Datasheets\Diodes\BZT52_C_Nexperia.pdf</ns0:v>
      </ns0:c>
      <ns0:c r="AA94" s="33" t="str">
        <ns0:v>BZT52-C</ns0:v>
      </ns0:c>
      <ns0:c r="AB94" s="33" t="str">
        <ns0:v>Одиночный</ns0:v>
      </ns0:c>
      <ns0:c r="AC94" s="33" t="str">
        <ns0:v>K=C (manufacturer 1); A=A (manufacturer 2)</ns0:v>
      </ns0:c>
      <ns0:c r="AD94" s="33"/>
      <ns0:c r="AE94" s="33"/>
      <ns0:c r="AF94" s="33" t="n">
        <ns0:v>2.7</ns0:v>
      </ns0:c>
      <ns0:c r="AG94" s="33" t="n">
        <ns0:v>5</ns0:v>
      </ns0:c>
      <ns0:c r="AH94" s="33"/>
      <ns0:c r="AI94" s="33"/>
      <ns0:c r="AJ94" s="33" t="str">
        <ns0:v>350 мВт: стандартное посадочное место. 590 мВт: медь катода 1 см², TA≤25 °C; далее снижение мощности.</ns0:v>
      </ns0:c>
    </ns0:row>
    <ns0:row r="95" ht="60" customHeight="1">
      <ns0:c r="A95" s="33" t="str">
        <ns0:v>VD0094</ns0:v>
      </ns0:c>
      <ns0:c r="B95" s="33" t="str">
        <ns0:v>Стабилитрон</ns0:v>
      </ns0:c>
      <ns0:c r="C95" s="33" t="str">
        <ns0:v>BZT52-C3V0</ns0:v>
      </ns0:c>
      <ns0:c r="D95" s="34" t="str">
        <ns0:f>C95</ns0:f>
        <ns0:v>BZT52-C3V0</ns0:v>
      </ns0:c>
      <ns0:c r="E95" s="33" t="str">
        <ns0:v>около ±5%</ns0:v>
      </ns0:c>
      <ns0:c r="F95" s="33" t="str">
        <ns0:v>0,35 Вт</ns0:v>
      </ns0:c>
      <ns0:c r="G95" s="33" t="str">
        <ns0:v>3 В (Uст ном.)</ns0:v>
      </ns0:c>
      <ns0:c r="H95" s="35" t="str">
        <ns0:v>SOD-123</ns0:v>
      </ns0:c>
      <ns0:c r="I95" s="33" t="str">
        <ns0:v>Nexperia</ns0:v>
      </ns0:c>
      <ns0:c r="J95" s="33" t="str">
        <ns0:v>BZT52-C3V0</ns0:v>
      </ns0:c>
      <ns0:c r="K95" s="34" t="str">
        <ns0:f>B95&amp;" "&amp;J95</ns0:f>
        <ns0:v>Стабилитрон BZT52-C3V0</ns0:v>
      </ns0:c>
      <ns0:c r="L95" s="36" t="str">
        <ns0:v>Zener_AK</ns0:v>
      </ns0:c>
      <ns0:c r="M95" s="36" t="str">
        <ns0:v>Symbols\MY_LIB_Semiconductors.SchLib</ns0:v>
      </ns0:c>
      <ns0:c r="N95" s="36" t="str">
        <ns0:v>SOD123</ns0:v>
      </ns0:c>
      <ns0:c r="O95" s="36" t="str">
        <ns0:v>Footprints\PBL - SMD Packages.PcbLib</ns0:v>
      </ns0:c>
      <ns0:c r="P9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5" s="33"/>
      <ns0:c r="R95" s="34" t="str">
        <ns0:f>D95</ns0:f>
        <ns0:v>BZT52-C3V0</ns0:v>
      </ns0:c>
      <ns0:c r="S95" s="34" t="str">
        <ns0:f>K95</ns0:f>
        <ns0:v>Стабилитрон BZT52-C3V0</ns0:v>
      </ns0:c>
      <ns0:c r="T95" s="33" t="str">
        <ns0:v>C:\Users\Nomatin\Documents\Altium\MY_LIB\MY_LIB\Datasheets\Diodes\BZT52_C_Nexperia.pdf</ns0:v>
      </ns0:c>
      <ns0:c r="U95" s="33" t="str">
        <ns0:v>Rev. 1, 16-Mar-2017; C selection</ns0:v>
      </ns0:c>
      <ns0:c r="V95" s="33" t="str">
        <ns0:v>Даташит — локальный</ns0:v>
      </ns0:c>
      <ns0:c r="W95" s="33" t="str">
        <ns0:v>C:\Users\Nomatin\Documents\Altium\MY_LIB\MY_LIB\Datasheets\Diodes\BZT52_C_Nexperia.pdf</ns0:v>
      </ns0:c>
      <ns0:c r="X95" s="33" t="str">
        <ns0:v>Даташит — производитель</ns0:v>
      </ns0:c>
      <ns0:c r="Y95" s="33" t="str">
        <ns0:v>https://assets.nexperia.com/documents/data-sheet/BZT52_SER.pdf</ns0:v>
      </ns0:c>
      <ns0:c r="Z95" s="33" t="str">
        <ns0:v>C:\Users\Nomatin\Documents\Altium\MY_LIB\MY_LIB\Datasheets\Diodes\BZT52_C_Nexperia.pdf</ns0:v>
      </ns0:c>
      <ns0:c r="AA95" s="33" t="str">
        <ns0:v>BZT52-C</ns0:v>
      </ns0:c>
      <ns0:c r="AB95" s="33" t="str">
        <ns0:v>Одиночный</ns0:v>
      </ns0:c>
      <ns0:c r="AC95" s="33" t="str">
        <ns0:v>K=C (manufacturer 1); A=A (manufacturer 2)</ns0:v>
      </ns0:c>
      <ns0:c r="AD95" s="33"/>
      <ns0:c r="AE95" s="33"/>
      <ns0:c r="AF95" s="33" t="n">
        <ns0:v>3</ns0:v>
      </ns0:c>
      <ns0:c r="AG95" s="33" t="n">
        <ns0:v>5</ns0:v>
      </ns0:c>
      <ns0:c r="AH95" s="33"/>
      <ns0:c r="AI95" s="33"/>
      <ns0:c r="AJ95" s="33" t="str">
        <ns0:v>350 мВт: стандартное посадочное место. 590 мВт: медь катода 1 см², TA≤25 °C; далее снижение мощности.</ns0:v>
      </ns0:c>
    </ns0:row>
    <ns0:row r="96" ht="60" customHeight="1">
      <ns0:c r="A96" s="33" t="str">
        <ns0:v>VD0095</ns0:v>
      </ns0:c>
      <ns0:c r="B96" s="33" t="str">
        <ns0:v>Стабилитрон</ns0:v>
      </ns0:c>
      <ns0:c r="C96" s="33" t="str">
        <ns0:v>BZT52-C3V3</ns0:v>
      </ns0:c>
      <ns0:c r="D96" s="34" t="str">
        <ns0:f>C96</ns0:f>
        <ns0:v>BZT52-C3V3</ns0:v>
      </ns0:c>
      <ns0:c r="E96" s="33" t="str">
        <ns0:v>около ±5%</ns0:v>
      </ns0:c>
      <ns0:c r="F96" s="33" t="str">
        <ns0:v>0,35 Вт</ns0:v>
      </ns0:c>
      <ns0:c r="G96" s="33" t="str">
        <ns0:v>3.3 В (Uст ном.)</ns0:v>
      </ns0:c>
      <ns0:c r="H96" s="35" t="str">
        <ns0:v>SOD-123</ns0:v>
      </ns0:c>
      <ns0:c r="I96" s="33" t="str">
        <ns0:v>Nexperia</ns0:v>
      </ns0:c>
      <ns0:c r="J96" s="33" t="str">
        <ns0:v>BZT52-C3V3</ns0:v>
      </ns0:c>
      <ns0:c r="K96" s="34" t="str">
        <ns0:f>B96&amp;" "&amp;J96</ns0:f>
        <ns0:v>Стабилитрон BZT52-C3V3</ns0:v>
      </ns0:c>
      <ns0:c r="L96" s="36" t="str">
        <ns0:v>Zener_AK</ns0:v>
      </ns0:c>
      <ns0:c r="M96" s="36" t="str">
        <ns0:v>Symbols\MY_LIB_Semiconductors.SchLib</ns0:v>
      </ns0:c>
      <ns0:c r="N96" s="36" t="str">
        <ns0:v>SOD123</ns0:v>
      </ns0:c>
      <ns0:c r="O96" s="36" t="str">
        <ns0:v>Footprints\PBL - SMD Packages.PcbLib</ns0:v>
      </ns0:c>
      <ns0:c r="P9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6" s="33"/>
      <ns0:c r="R96" s="34" t="str">
        <ns0:f>D96</ns0:f>
        <ns0:v>BZT52-C3V3</ns0:v>
      </ns0:c>
      <ns0:c r="S96" s="34" t="str">
        <ns0:f>K96</ns0:f>
        <ns0:v>Стабилитрон BZT52-C3V3</ns0:v>
      </ns0:c>
      <ns0:c r="T96" s="33" t="str">
        <ns0:v>C:\Users\Nomatin\Documents\Altium\MY_LIB\MY_LIB\Datasheets\Diodes\BZT52_C_Nexperia.pdf</ns0:v>
      </ns0:c>
      <ns0:c r="U96" s="33" t="str">
        <ns0:v>Rev. 1, 16-Mar-2017; C selection</ns0:v>
      </ns0:c>
      <ns0:c r="V96" s="33" t="str">
        <ns0:v>Даташит — локальный</ns0:v>
      </ns0:c>
      <ns0:c r="W96" s="33" t="str">
        <ns0:v>C:\Users\Nomatin\Documents\Altium\MY_LIB\MY_LIB\Datasheets\Diodes\BZT52_C_Nexperia.pdf</ns0:v>
      </ns0:c>
      <ns0:c r="X96" s="33" t="str">
        <ns0:v>Даташит — производитель</ns0:v>
      </ns0:c>
      <ns0:c r="Y96" s="33" t="str">
        <ns0:v>https://assets.nexperia.com/documents/data-sheet/BZT52_SER.pdf</ns0:v>
      </ns0:c>
      <ns0:c r="Z96" s="33" t="str">
        <ns0:v>C:\Users\Nomatin\Documents\Altium\MY_LIB\MY_LIB\Datasheets\Diodes\BZT52_C_Nexperia.pdf</ns0:v>
      </ns0:c>
      <ns0:c r="AA96" s="33" t="str">
        <ns0:v>BZT52-C</ns0:v>
      </ns0:c>
      <ns0:c r="AB96" s="33" t="str">
        <ns0:v>Одиночный</ns0:v>
      </ns0:c>
      <ns0:c r="AC96" s="33" t="str">
        <ns0:v>K=C (manufacturer 1); A=A (manufacturer 2)</ns0:v>
      </ns0:c>
      <ns0:c r="AD96" s="33"/>
      <ns0:c r="AE96" s="33"/>
      <ns0:c r="AF96" s="33" t="n">
        <ns0:v>3.3</ns0:v>
      </ns0:c>
      <ns0:c r="AG96" s="33" t="n">
        <ns0:v>5</ns0:v>
      </ns0:c>
      <ns0:c r="AH96" s="33"/>
      <ns0:c r="AI96" s="33"/>
      <ns0:c r="AJ96" s="33" t="str">
        <ns0:v>350 мВт: стандартное посадочное место. 590 мВт: медь катода 1 см², TA≤25 °C; далее снижение мощности.</ns0:v>
      </ns0:c>
    </ns0:row>
    <ns0:row r="97" ht="60" customHeight="1">
      <ns0:c r="A97" s="33" t="str">
        <ns0:v>VD0096</ns0:v>
      </ns0:c>
      <ns0:c r="B97" s="33" t="str">
        <ns0:v>Стабилитрон</ns0:v>
      </ns0:c>
      <ns0:c r="C97" s="33" t="str">
        <ns0:v>BZT52-C3V6</ns0:v>
      </ns0:c>
      <ns0:c r="D97" s="34" t="str">
        <ns0:f>C97</ns0:f>
        <ns0:v>BZT52-C3V6</ns0:v>
      </ns0:c>
      <ns0:c r="E97" s="33" t="str">
        <ns0:v>около ±5%</ns0:v>
      </ns0:c>
      <ns0:c r="F97" s="33" t="str">
        <ns0:v>0,35 Вт</ns0:v>
      </ns0:c>
      <ns0:c r="G97" s="33" t="str">
        <ns0:v>3.6 В (Uст ном.)</ns0:v>
      </ns0:c>
      <ns0:c r="H97" s="35" t="str">
        <ns0:v>SOD-123</ns0:v>
      </ns0:c>
      <ns0:c r="I97" s="33" t="str">
        <ns0:v>Nexperia</ns0:v>
      </ns0:c>
      <ns0:c r="J97" s="33" t="str">
        <ns0:v>BZT52-C3V6</ns0:v>
      </ns0:c>
      <ns0:c r="K97" s="34" t="str">
        <ns0:f>B97&amp;" "&amp;J97</ns0:f>
        <ns0:v>Стабилитрон BZT52-C3V6</ns0:v>
      </ns0:c>
      <ns0:c r="L97" s="36" t="str">
        <ns0:v>Zener_AK</ns0:v>
      </ns0:c>
      <ns0:c r="M97" s="36" t="str">
        <ns0:v>Symbols\MY_LIB_Semiconductors.SchLib</ns0:v>
      </ns0:c>
      <ns0:c r="N97" s="36" t="str">
        <ns0:v>SOD123</ns0:v>
      </ns0:c>
      <ns0:c r="O97" s="36" t="str">
        <ns0:v>Footprints\PBL - SMD Packages.PcbLib</ns0:v>
      </ns0:c>
      <ns0:c r="P9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7" s="33"/>
      <ns0:c r="R97" s="34" t="str">
        <ns0:f>D97</ns0:f>
        <ns0:v>BZT52-C3V6</ns0:v>
      </ns0:c>
      <ns0:c r="S97" s="34" t="str">
        <ns0:f>K97</ns0:f>
        <ns0:v>Стабилитрон BZT52-C3V6</ns0:v>
      </ns0:c>
      <ns0:c r="T97" s="33" t="str">
        <ns0:v>C:\Users\Nomatin\Documents\Altium\MY_LIB\MY_LIB\Datasheets\Diodes\BZT52_C_Nexperia.pdf</ns0:v>
      </ns0:c>
      <ns0:c r="U97" s="33" t="str">
        <ns0:v>Rev. 1, 16-Mar-2017; C selection</ns0:v>
      </ns0:c>
      <ns0:c r="V97" s="33" t="str">
        <ns0:v>Даташит — локальный</ns0:v>
      </ns0:c>
      <ns0:c r="W97" s="33" t="str">
        <ns0:v>C:\Users\Nomatin\Documents\Altium\MY_LIB\MY_LIB\Datasheets\Diodes\BZT52_C_Nexperia.pdf</ns0:v>
      </ns0:c>
      <ns0:c r="X97" s="33" t="str">
        <ns0:v>Даташит — производитель</ns0:v>
      </ns0:c>
      <ns0:c r="Y97" s="33" t="str">
        <ns0:v>https://assets.nexperia.com/documents/data-sheet/BZT52_SER.pdf</ns0:v>
      </ns0:c>
      <ns0:c r="Z97" s="33" t="str">
        <ns0:v>C:\Users\Nomatin\Documents\Altium\MY_LIB\MY_LIB\Datasheets\Diodes\BZT52_C_Nexperia.pdf</ns0:v>
      </ns0:c>
      <ns0:c r="AA97" s="33" t="str">
        <ns0:v>BZT52-C</ns0:v>
      </ns0:c>
      <ns0:c r="AB97" s="33" t="str">
        <ns0:v>Одиночный</ns0:v>
      </ns0:c>
      <ns0:c r="AC97" s="33" t="str">
        <ns0:v>K=C (manufacturer 1); A=A (manufacturer 2)</ns0:v>
      </ns0:c>
      <ns0:c r="AD97" s="33"/>
      <ns0:c r="AE97" s="33"/>
      <ns0:c r="AF97" s="33" t="n">
        <ns0:v>3.6</ns0:v>
      </ns0:c>
      <ns0:c r="AG97" s="33" t="n">
        <ns0:v>5</ns0:v>
      </ns0:c>
      <ns0:c r="AH97" s="33"/>
      <ns0:c r="AI97" s="33"/>
      <ns0:c r="AJ97" s="33" t="str">
        <ns0:v>350 мВт: стандартное посадочное место. 590 мВт: медь катода 1 см², TA≤25 °C; далее снижение мощности.</ns0:v>
      </ns0:c>
    </ns0:row>
    <ns0:row r="98" ht="60" customHeight="1">
      <ns0:c r="A98" s="33" t="str">
        <ns0:v>VD0097</ns0:v>
      </ns0:c>
      <ns0:c r="B98" s="33" t="str">
        <ns0:v>Стабилитрон</ns0:v>
      </ns0:c>
      <ns0:c r="C98" s="33" t="str">
        <ns0:v>BZT52-C3V9</ns0:v>
      </ns0:c>
      <ns0:c r="D98" s="34" t="str">
        <ns0:f>C98</ns0:f>
        <ns0:v>BZT52-C3V9</ns0:v>
      </ns0:c>
      <ns0:c r="E98" s="33" t="str">
        <ns0:v>около ±5%</ns0:v>
      </ns0:c>
      <ns0:c r="F98" s="33" t="str">
        <ns0:v>0,35 Вт</ns0:v>
      </ns0:c>
      <ns0:c r="G98" s="33" t="str">
        <ns0:v>3.9 В (Uст ном.)</ns0:v>
      </ns0:c>
      <ns0:c r="H98" s="35" t="str">
        <ns0:v>SOD-123</ns0:v>
      </ns0:c>
      <ns0:c r="I98" s="33" t="str">
        <ns0:v>Nexperia</ns0:v>
      </ns0:c>
      <ns0:c r="J98" s="33" t="str">
        <ns0:v>BZT52-C3V9</ns0:v>
      </ns0:c>
      <ns0:c r="K98" s="34" t="str">
        <ns0:f>B98&amp;" "&amp;J98</ns0:f>
        <ns0:v>Стабилитрон BZT52-C3V9</ns0:v>
      </ns0:c>
      <ns0:c r="L98" s="36" t="str">
        <ns0:v>Zener_AK</ns0:v>
      </ns0:c>
      <ns0:c r="M98" s="36" t="str">
        <ns0:v>Symbols\MY_LIB_Semiconductors.SchLib</ns0:v>
      </ns0:c>
      <ns0:c r="N98" s="36" t="str">
        <ns0:v>SOD123</ns0:v>
      </ns0:c>
      <ns0:c r="O98" s="36" t="str">
        <ns0:v>Footprints\PBL - SMD Packages.PcbLib</ns0:v>
      </ns0:c>
      <ns0:c r="P9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8" s="33"/>
      <ns0:c r="R98" s="34" t="str">
        <ns0:f>D98</ns0:f>
        <ns0:v>BZT52-C3V9</ns0:v>
      </ns0:c>
      <ns0:c r="S98" s="34" t="str">
        <ns0:f>K98</ns0:f>
        <ns0:v>Стабилитрон BZT52-C3V9</ns0:v>
      </ns0:c>
      <ns0:c r="T98" s="33" t="str">
        <ns0:v>C:\Users\Nomatin\Documents\Altium\MY_LIB\MY_LIB\Datasheets\Diodes\BZT52_C_Nexperia.pdf</ns0:v>
      </ns0:c>
      <ns0:c r="U98" s="33" t="str">
        <ns0:v>Rev. 1, 16-Mar-2017; C selection</ns0:v>
      </ns0:c>
      <ns0:c r="V98" s="33" t="str">
        <ns0:v>Даташит — локальный</ns0:v>
      </ns0:c>
      <ns0:c r="W98" s="33" t="str">
        <ns0:v>C:\Users\Nomatin\Documents\Altium\MY_LIB\MY_LIB\Datasheets\Diodes\BZT52_C_Nexperia.pdf</ns0:v>
      </ns0:c>
      <ns0:c r="X98" s="33" t="str">
        <ns0:v>Даташит — производитель</ns0:v>
      </ns0:c>
      <ns0:c r="Y98" s="33" t="str">
        <ns0:v>https://assets.nexperia.com/documents/data-sheet/BZT52_SER.pdf</ns0:v>
      </ns0:c>
      <ns0:c r="Z98" s="33" t="str">
        <ns0:v>C:\Users\Nomatin\Documents\Altium\MY_LIB\MY_LIB\Datasheets\Diodes\BZT52_C_Nexperia.pdf</ns0:v>
      </ns0:c>
      <ns0:c r="AA98" s="33" t="str">
        <ns0:v>BZT52-C</ns0:v>
      </ns0:c>
      <ns0:c r="AB98" s="33" t="str">
        <ns0:v>Одиночный</ns0:v>
      </ns0:c>
      <ns0:c r="AC98" s="33" t="str">
        <ns0:v>K=C (manufacturer 1); A=A (manufacturer 2)</ns0:v>
      </ns0:c>
      <ns0:c r="AD98" s="33"/>
      <ns0:c r="AE98" s="33"/>
      <ns0:c r="AF98" s="33" t="n">
        <ns0:v>3.9</ns0:v>
      </ns0:c>
      <ns0:c r="AG98" s="33" t="n">
        <ns0:v>5</ns0:v>
      </ns0:c>
      <ns0:c r="AH98" s="33"/>
      <ns0:c r="AI98" s="33"/>
      <ns0:c r="AJ98" s="33" t="str">
        <ns0:v>350 мВт: стандартное посадочное место. 590 мВт: медь катода 1 см², TA≤25 °C; далее снижение мощности.</ns0:v>
      </ns0:c>
    </ns0:row>
    <ns0:row r="99" ht="60" customHeight="1">
      <ns0:c r="A99" s="33" t="str">
        <ns0:v>VD0098</ns0:v>
      </ns0:c>
      <ns0:c r="B99" s="33" t="str">
        <ns0:v>Стабилитрон</ns0:v>
      </ns0:c>
      <ns0:c r="C99" s="33" t="str">
        <ns0:v>BZT52-C4V3</ns0:v>
      </ns0:c>
      <ns0:c r="D99" s="34" t="str">
        <ns0:f>C99</ns0:f>
        <ns0:v>BZT52-C4V3</ns0:v>
      </ns0:c>
      <ns0:c r="E99" s="33" t="str">
        <ns0:v>около ±5%</ns0:v>
      </ns0:c>
      <ns0:c r="F99" s="33" t="str">
        <ns0:v>0,35 Вт</ns0:v>
      </ns0:c>
      <ns0:c r="G99" s="33" t="str">
        <ns0:v>4.3 В (Uст ном.)</ns0:v>
      </ns0:c>
      <ns0:c r="H99" s="35" t="str">
        <ns0:v>SOD-123</ns0:v>
      </ns0:c>
      <ns0:c r="I99" s="33" t="str">
        <ns0:v>Nexperia</ns0:v>
      </ns0:c>
      <ns0:c r="J99" s="33" t="str">
        <ns0:v>BZT52-C4V3</ns0:v>
      </ns0:c>
      <ns0:c r="K99" s="34" t="str">
        <ns0:f>B99&amp;" "&amp;J99</ns0:f>
        <ns0:v>Стабилитрон BZT52-C4V3</ns0:v>
      </ns0:c>
      <ns0:c r="L99" s="36" t="str">
        <ns0:v>Zener_AK</ns0:v>
      </ns0:c>
      <ns0:c r="M99" s="36" t="str">
        <ns0:v>Symbols\MY_LIB_Semiconductors.SchLib</ns0:v>
      </ns0:c>
      <ns0:c r="N99" s="36" t="str">
        <ns0:v>SOD123</ns0:v>
      </ns0:c>
      <ns0:c r="O99" s="36" t="str">
        <ns0:v>Footprints\PBL - SMD Packages.PcbLib</ns0:v>
      </ns0:c>
      <ns0:c r="P9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99" s="33"/>
      <ns0:c r="R99" s="34" t="str">
        <ns0:f>D99</ns0:f>
        <ns0:v>BZT52-C4V3</ns0:v>
      </ns0:c>
      <ns0:c r="S99" s="34" t="str">
        <ns0:f>K99</ns0:f>
        <ns0:v>Стабилитрон BZT52-C4V3</ns0:v>
      </ns0:c>
      <ns0:c r="T99" s="33" t="str">
        <ns0:v>C:\Users\Nomatin\Documents\Altium\MY_LIB\MY_LIB\Datasheets\Diodes\BZT52_C_Nexperia.pdf</ns0:v>
      </ns0:c>
      <ns0:c r="U99" s="33" t="str">
        <ns0:v>Rev. 1, 16-Mar-2017; C selection</ns0:v>
      </ns0:c>
      <ns0:c r="V99" s="33" t="str">
        <ns0:v>Даташит — локальный</ns0:v>
      </ns0:c>
      <ns0:c r="W99" s="33" t="str">
        <ns0:v>C:\Users\Nomatin\Documents\Altium\MY_LIB\MY_LIB\Datasheets\Diodes\BZT52_C_Nexperia.pdf</ns0:v>
      </ns0:c>
      <ns0:c r="X99" s="33" t="str">
        <ns0:v>Даташит — производитель</ns0:v>
      </ns0:c>
      <ns0:c r="Y99" s="33" t="str">
        <ns0:v>https://assets.nexperia.com/documents/data-sheet/BZT52_SER.pdf</ns0:v>
      </ns0:c>
      <ns0:c r="Z99" s="33" t="str">
        <ns0:v>C:\Users\Nomatin\Documents\Altium\MY_LIB\MY_LIB\Datasheets\Diodes\BZT52_C_Nexperia.pdf</ns0:v>
      </ns0:c>
      <ns0:c r="AA99" s="33" t="str">
        <ns0:v>BZT52-C</ns0:v>
      </ns0:c>
      <ns0:c r="AB99" s="33" t="str">
        <ns0:v>Одиночный</ns0:v>
      </ns0:c>
      <ns0:c r="AC99" s="33" t="str">
        <ns0:v>K=C (manufacturer 1); A=A (manufacturer 2)</ns0:v>
      </ns0:c>
      <ns0:c r="AD99" s="33"/>
      <ns0:c r="AE99" s="33"/>
      <ns0:c r="AF99" s="33" t="n">
        <ns0:v>4.3</ns0:v>
      </ns0:c>
      <ns0:c r="AG99" s="33" t="n">
        <ns0:v>5</ns0:v>
      </ns0:c>
      <ns0:c r="AH99" s="33"/>
      <ns0:c r="AI99" s="33"/>
      <ns0:c r="AJ99" s="33" t="str">
        <ns0:v>350 мВт: стандартное посадочное место. 590 мВт: медь катода 1 см², TA≤25 °C; далее снижение мощности.</ns0:v>
      </ns0:c>
    </ns0:row>
    <ns0:row r="100" ht="60" customHeight="1">
      <ns0:c r="A100" s="33" t="str">
        <ns0:v>VD0099</ns0:v>
      </ns0:c>
      <ns0:c r="B100" s="33" t="str">
        <ns0:v>Стабилитрон</ns0:v>
      </ns0:c>
      <ns0:c r="C100" s="33" t="str">
        <ns0:v>BZT52-C4V7</ns0:v>
      </ns0:c>
      <ns0:c r="D100" s="34" t="str">
        <ns0:f>C100</ns0:f>
        <ns0:v>BZT52-C4V7</ns0:v>
      </ns0:c>
      <ns0:c r="E100" s="33" t="str">
        <ns0:v>около ±5%</ns0:v>
      </ns0:c>
      <ns0:c r="F100" s="33" t="str">
        <ns0:v>0,35 Вт</ns0:v>
      </ns0:c>
      <ns0:c r="G100" s="33" t="str">
        <ns0:v>4.7 В (Uст ном.)</ns0:v>
      </ns0:c>
      <ns0:c r="H100" s="35" t="str">
        <ns0:v>SOD-123</ns0:v>
      </ns0:c>
      <ns0:c r="I100" s="33" t="str">
        <ns0:v>Nexperia</ns0:v>
      </ns0:c>
      <ns0:c r="J100" s="33" t="str">
        <ns0:v>BZT52-C4V7</ns0:v>
      </ns0:c>
      <ns0:c r="K100" s="34" t="str">
        <ns0:f>B100&amp;" "&amp;J100</ns0:f>
        <ns0:v>Стабилитрон BZT52-C4V7</ns0:v>
      </ns0:c>
      <ns0:c r="L100" s="36" t="str">
        <ns0:v>Zener_AK</ns0:v>
      </ns0:c>
      <ns0:c r="M100" s="36" t="str">
        <ns0:v>Symbols\MY_LIB_Semiconductors.SchLib</ns0:v>
      </ns0:c>
      <ns0:c r="N100" s="36" t="str">
        <ns0:v>SOD123</ns0:v>
      </ns0:c>
      <ns0:c r="O100" s="36" t="str">
        <ns0:v>Footprints\PBL - SMD Packages.PcbLib</ns0:v>
      </ns0:c>
      <ns0:c r="P10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0" s="33"/>
      <ns0:c r="R100" s="34" t="str">
        <ns0:f>D100</ns0:f>
        <ns0:v>BZT52-C4V7</ns0:v>
      </ns0:c>
      <ns0:c r="S100" s="34" t="str">
        <ns0:f>K100</ns0:f>
        <ns0:v>Стабилитрон BZT52-C4V7</ns0:v>
      </ns0:c>
      <ns0:c r="T100" s="33" t="str">
        <ns0:v>C:\Users\Nomatin\Documents\Altium\MY_LIB\MY_LIB\Datasheets\Diodes\BZT52_C_Nexperia.pdf</ns0:v>
      </ns0:c>
      <ns0:c r="U100" s="33" t="str">
        <ns0:v>Rev. 1, 16-Mar-2017; C selection</ns0:v>
      </ns0:c>
      <ns0:c r="V100" s="33" t="str">
        <ns0:v>Даташит — локальный</ns0:v>
      </ns0:c>
      <ns0:c r="W100" s="33" t="str">
        <ns0:v>C:\Users\Nomatin\Documents\Altium\MY_LIB\MY_LIB\Datasheets\Diodes\BZT52_C_Nexperia.pdf</ns0:v>
      </ns0:c>
      <ns0:c r="X100" s="33" t="str">
        <ns0:v>Даташит — производитель</ns0:v>
      </ns0:c>
      <ns0:c r="Y100" s="33" t="str">
        <ns0:v>https://assets.nexperia.com/documents/data-sheet/BZT52_SER.pdf</ns0:v>
      </ns0:c>
      <ns0:c r="Z100" s="33" t="str">
        <ns0:v>C:\Users\Nomatin\Documents\Altium\MY_LIB\MY_LIB\Datasheets\Diodes\BZT52_C_Nexperia.pdf</ns0:v>
      </ns0:c>
      <ns0:c r="AA100" s="33" t="str">
        <ns0:v>BZT52-C</ns0:v>
      </ns0:c>
      <ns0:c r="AB100" s="33" t="str">
        <ns0:v>Одиночный</ns0:v>
      </ns0:c>
      <ns0:c r="AC100" s="33" t="str">
        <ns0:v>K=C (manufacturer 1); A=A (manufacturer 2)</ns0:v>
      </ns0:c>
      <ns0:c r="AD100" s="33"/>
      <ns0:c r="AE100" s="33"/>
      <ns0:c r="AF100" s="33" t="n">
        <ns0:v>4.7</ns0:v>
      </ns0:c>
      <ns0:c r="AG100" s="33" t="n">
        <ns0:v>5</ns0:v>
      </ns0:c>
      <ns0:c r="AH100" s="33"/>
      <ns0:c r="AI100" s="33"/>
      <ns0:c r="AJ100" s="33" t="str">
        <ns0:v>350 мВт: стандартное посадочное место. 590 мВт: медь катода 1 см², TA≤25 °C; далее снижение мощности.</ns0:v>
      </ns0:c>
    </ns0:row>
    <ns0:row r="101" ht="60" customHeight="1">
      <ns0:c r="A101" s="33" t="str">
        <ns0:v>VD0100</ns0:v>
      </ns0:c>
      <ns0:c r="B101" s="33" t="str">
        <ns0:v>Стабилитрон</ns0:v>
      </ns0:c>
      <ns0:c r="C101" s="33" t="str">
        <ns0:v>BZT52-C5V1</ns0:v>
      </ns0:c>
      <ns0:c r="D101" s="34" t="str">
        <ns0:f>C101</ns0:f>
        <ns0:v>BZT52-C5V1</ns0:v>
      </ns0:c>
      <ns0:c r="E101" s="33" t="str">
        <ns0:v>около ±5%</ns0:v>
      </ns0:c>
      <ns0:c r="F101" s="33" t="str">
        <ns0:v>0,35 Вт</ns0:v>
      </ns0:c>
      <ns0:c r="G101" s="33" t="str">
        <ns0:v>5.1 В (Uст ном.)</ns0:v>
      </ns0:c>
      <ns0:c r="H101" s="35" t="str">
        <ns0:v>SOD-123</ns0:v>
      </ns0:c>
      <ns0:c r="I101" s="33" t="str">
        <ns0:v>Nexperia</ns0:v>
      </ns0:c>
      <ns0:c r="J101" s="33" t="str">
        <ns0:v>BZT52-C5V1</ns0:v>
      </ns0:c>
      <ns0:c r="K101" s="34" t="str">
        <ns0:f>B101&amp;" "&amp;J101</ns0:f>
        <ns0:v>Стабилитрон BZT52-C5V1</ns0:v>
      </ns0:c>
      <ns0:c r="L101" s="36" t="str">
        <ns0:v>Zener_AK</ns0:v>
      </ns0:c>
      <ns0:c r="M101" s="36" t="str">
        <ns0:v>Symbols\MY_LIB_Semiconductors.SchLib</ns0:v>
      </ns0:c>
      <ns0:c r="N101" s="36" t="str">
        <ns0:v>SOD123</ns0:v>
      </ns0:c>
      <ns0:c r="O101" s="36" t="str">
        <ns0:v>Footprints\PBL - SMD Packages.PcbLib</ns0:v>
      </ns0:c>
      <ns0:c r="P10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1" s="33"/>
      <ns0:c r="R101" s="34" t="str">
        <ns0:f>D101</ns0:f>
        <ns0:v>BZT52-C5V1</ns0:v>
      </ns0:c>
      <ns0:c r="S101" s="34" t="str">
        <ns0:f>K101</ns0:f>
        <ns0:v>Стабилитрон BZT52-C5V1</ns0:v>
      </ns0:c>
      <ns0:c r="T101" s="33" t="str">
        <ns0:v>C:\Users\Nomatin\Documents\Altium\MY_LIB\MY_LIB\Datasheets\Diodes\BZT52_C_Nexperia.pdf</ns0:v>
      </ns0:c>
      <ns0:c r="U101" s="33" t="str">
        <ns0:v>Rev. 1, 16-Mar-2017; C selection</ns0:v>
      </ns0:c>
      <ns0:c r="V101" s="33" t="str">
        <ns0:v>Даташит — локальный</ns0:v>
      </ns0:c>
      <ns0:c r="W101" s="33" t="str">
        <ns0:v>C:\Users\Nomatin\Documents\Altium\MY_LIB\MY_LIB\Datasheets\Diodes\BZT52_C_Nexperia.pdf</ns0:v>
      </ns0:c>
      <ns0:c r="X101" s="33" t="str">
        <ns0:v>Даташит — производитель</ns0:v>
      </ns0:c>
      <ns0:c r="Y101" s="33" t="str">
        <ns0:v>https://assets.nexperia.com/documents/data-sheet/BZT52_SER.pdf</ns0:v>
      </ns0:c>
      <ns0:c r="Z101" s="33" t="str">
        <ns0:v>C:\Users\Nomatin\Documents\Altium\MY_LIB\MY_LIB\Datasheets\Diodes\BZT52_C_Nexperia.pdf</ns0:v>
      </ns0:c>
      <ns0:c r="AA101" s="33" t="str">
        <ns0:v>BZT52-C</ns0:v>
      </ns0:c>
      <ns0:c r="AB101" s="33" t="str">
        <ns0:v>Одиночный</ns0:v>
      </ns0:c>
      <ns0:c r="AC101" s="33" t="str">
        <ns0:v>K=C (manufacturer 1); A=A (manufacturer 2)</ns0:v>
      </ns0:c>
      <ns0:c r="AD101" s="33"/>
      <ns0:c r="AE101" s="33"/>
      <ns0:c r="AF101" s="33" t="n">
        <ns0:v>5.1</ns0:v>
      </ns0:c>
      <ns0:c r="AG101" s="33" t="n">
        <ns0:v>5</ns0:v>
      </ns0:c>
      <ns0:c r="AH101" s="33"/>
      <ns0:c r="AI101" s="33"/>
      <ns0:c r="AJ101" s="33" t="str">
        <ns0:v>350 мВт: стандартное посадочное место. 590 мВт: медь катода 1 см², TA≤25 °C; далее снижение мощности.</ns0:v>
      </ns0:c>
    </ns0:row>
    <ns0:row r="102" ht="60" customHeight="1">
      <ns0:c r="A102" s="33" t="str">
        <ns0:v>VD0101</ns0:v>
      </ns0:c>
      <ns0:c r="B102" s="33" t="str">
        <ns0:v>Стабилитрон</ns0:v>
      </ns0:c>
      <ns0:c r="C102" s="33" t="str">
        <ns0:v>BZT52-C5V6</ns0:v>
      </ns0:c>
      <ns0:c r="D102" s="34" t="str">
        <ns0:f>C102</ns0:f>
        <ns0:v>BZT52-C5V6</ns0:v>
      </ns0:c>
      <ns0:c r="E102" s="33" t="str">
        <ns0:v>около ±5%</ns0:v>
      </ns0:c>
      <ns0:c r="F102" s="33" t="str">
        <ns0:v>0,35 Вт</ns0:v>
      </ns0:c>
      <ns0:c r="G102" s="33" t="str">
        <ns0:v>5.6 В (Uст ном.)</ns0:v>
      </ns0:c>
      <ns0:c r="H102" s="35" t="str">
        <ns0:v>SOD-123</ns0:v>
      </ns0:c>
      <ns0:c r="I102" s="33" t="str">
        <ns0:v>Nexperia</ns0:v>
      </ns0:c>
      <ns0:c r="J102" s="33" t="str">
        <ns0:v>BZT52-C5V6</ns0:v>
      </ns0:c>
      <ns0:c r="K102" s="34" t="str">
        <ns0:f>B102&amp;" "&amp;J102</ns0:f>
        <ns0:v>Стабилитрон BZT52-C5V6</ns0:v>
      </ns0:c>
      <ns0:c r="L102" s="36" t="str">
        <ns0:v>Zener_AK</ns0:v>
      </ns0:c>
      <ns0:c r="M102" s="36" t="str">
        <ns0:v>Symbols\MY_LIB_Semiconductors.SchLib</ns0:v>
      </ns0:c>
      <ns0:c r="N102" s="36" t="str">
        <ns0:v>SOD123</ns0:v>
      </ns0:c>
      <ns0:c r="O102" s="36" t="str">
        <ns0:v>Footprints\PBL - SMD Packages.PcbLib</ns0:v>
      </ns0:c>
      <ns0:c r="P10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2" s="33"/>
      <ns0:c r="R102" s="34" t="str">
        <ns0:f>D102</ns0:f>
        <ns0:v>BZT52-C5V6</ns0:v>
      </ns0:c>
      <ns0:c r="S102" s="34" t="str">
        <ns0:f>K102</ns0:f>
        <ns0:v>Стабилитрон BZT52-C5V6</ns0:v>
      </ns0:c>
      <ns0:c r="T102" s="33" t="str">
        <ns0:v>C:\Users\Nomatin\Documents\Altium\MY_LIB\MY_LIB\Datasheets\Diodes\BZT52_C_Nexperia.pdf</ns0:v>
      </ns0:c>
      <ns0:c r="U102" s="33" t="str">
        <ns0:v>Rev. 1, 16-Mar-2017; C selection</ns0:v>
      </ns0:c>
      <ns0:c r="V102" s="33" t="str">
        <ns0:v>Даташит — локальный</ns0:v>
      </ns0:c>
      <ns0:c r="W102" s="33" t="str">
        <ns0:v>C:\Users\Nomatin\Documents\Altium\MY_LIB\MY_LIB\Datasheets\Diodes\BZT52_C_Nexperia.pdf</ns0:v>
      </ns0:c>
      <ns0:c r="X102" s="33" t="str">
        <ns0:v>Даташит — производитель</ns0:v>
      </ns0:c>
      <ns0:c r="Y102" s="33" t="str">
        <ns0:v>https://assets.nexperia.com/documents/data-sheet/BZT52_SER.pdf</ns0:v>
      </ns0:c>
      <ns0:c r="Z102" s="33" t="str">
        <ns0:v>C:\Users\Nomatin\Documents\Altium\MY_LIB\MY_LIB\Datasheets\Diodes\BZT52_C_Nexperia.pdf</ns0:v>
      </ns0:c>
      <ns0:c r="AA102" s="33" t="str">
        <ns0:v>BZT52-C</ns0:v>
      </ns0:c>
      <ns0:c r="AB102" s="33" t="str">
        <ns0:v>Одиночный</ns0:v>
      </ns0:c>
      <ns0:c r="AC102" s="33" t="str">
        <ns0:v>K=C (manufacturer 1); A=A (manufacturer 2)</ns0:v>
      </ns0:c>
      <ns0:c r="AD102" s="33"/>
      <ns0:c r="AE102" s="33"/>
      <ns0:c r="AF102" s="33" t="n">
        <ns0:v>5.6</ns0:v>
      </ns0:c>
      <ns0:c r="AG102" s="33" t="n">
        <ns0:v>5</ns0:v>
      </ns0:c>
      <ns0:c r="AH102" s="33"/>
      <ns0:c r="AI102" s="33"/>
      <ns0:c r="AJ102" s="33" t="str">
        <ns0:v>350 мВт: стандартное посадочное место. 590 мВт: медь катода 1 см², TA≤25 °C; далее снижение мощности.</ns0:v>
      </ns0:c>
    </ns0:row>
    <ns0:row r="103" ht="60" customHeight="1">
      <ns0:c r="A103" s="33" t="str">
        <ns0:v>VD0102</ns0:v>
      </ns0:c>
      <ns0:c r="B103" s="33" t="str">
        <ns0:v>Стабилитрон</ns0:v>
      </ns0:c>
      <ns0:c r="C103" s="33" t="str">
        <ns0:v>BZT52-C6V2</ns0:v>
      </ns0:c>
      <ns0:c r="D103" s="34" t="str">
        <ns0:f>C103</ns0:f>
        <ns0:v>BZT52-C6V2</ns0:v>
      </ns0:c>
      <ns0:c r="E103" s="33" t="str">
        <ns0:v>около ±5%</ns0:v>
      </ns0:c>
      <ns0:c r="F103" s="33" t="str">
        <ns0:v>0,35 Вт</ns0:v>
      </ns0:c>
      <ns0:c r="G103" s="33" t="str">
        <ns0:v>6.2 В (Uст ном.)</ns0:v>
      </ns0:c>
      <ns0:c r="H103" s="35" t="str">
        <ns0:v>SOD-123</ns0:v>
      </ns0:c>
      <ns0:c r="I103" s="33" t="str">
        <ns0:v>Nexperia</ns0:v>
      </ns0:c>
      <ns0:c r="J103" s="33" t="str">
        <ns0:v>BZT52-C6V2</ns0:v>
      </ns0:c>
      <ns0:c r="K103" s="34" t="str">
        <ns0:f>B103&amp;" "&amp;J103</ns0:f>
        <ns0:v>Стабилитрон BZT52-C6V2</ns0:v>
      </ns0:c>
      <ns0:c r="L103" s="36" t="str">
        <ns0:v>Zener_AK</ns0:v>
      </ns0:c>
      <ns0:c r="M103" s="36" t="str">
        <ns0:v>Symbols\MY_LIB_Semiconductors.SchLib</ns0:v>
      </ns0:c>
      <ns0:c r="N103" s="36" t="str">
        <ns0:v>SOD123</ns0:v>
      </ns0:c>
      <ns0:c r="O103" s="36" t="str">
        <ns0:v>Footprints\PBL - SMD Packages.PcbLib</ns0:v>
      </ns0:c>
      <ns0:c r="P10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3" s="33"/>
      <ns0:c r="R103" s="34" t="str">
        <ns0:f>D103</ns0:f>
        <ns0:v>BZT52-C6V2</ns0:v>
      </ns0:c>
      <ns0:c r="S103" s="34" t="str">
        <ns0:f>K103</ns0:f>
        <ns0:v>Стабилитрон BZT52-C6V2</ns0:v>
      </ns0:c>
      <ns0:c r="T103" s="33" t="str">
        <ns0:v>C:\Users\Nomatin\Documents\Altium\MY_LIB\MY_LIB\Datasheets\Diodes\BZT52_C_Nexperia.pdf</ns0:v>
      </ns0:c>
      <ns0:c r="U103" s="33" t="str">
        <ns0:v>Rev. 1, 16-Mar-2017; C selection</ns0:v>
      </ns0:c>
      <ns0:c r="V103" s="33" t="str">
        <ns0:v>Даташит — локальный</ns0:v>
      </ns0:c>
      <ns0:c r="W103" s="33" t="str">
        <ns0:v>C:\Users\Nomatin\Documents\Altium\MY_LIB\MY_LIB\Datasheets\Diodes\BZT52_C_Nexperia.pdf</ns0:v>
      </ns0:c>
      <ns0:c r="X103" s="33" t="str">
        <ns0:v>Даташит — производитель</ns0:v>
      </ns0:c>
      <ns0:c r="Y103" s="33" t="str">
        <ns0:v>https://assets.nexperia.com/documents/data-sheet/BZT52_SER.pdf</ns0:v>
      </ns0:c>
      <ns0:c r="Z103" s="33" t="str">
        <ns0:v>C:\Users\Nomatin\Documents\Altium\MY_LIB\MY_LIB\Datasheets\Diodes\BZT52_C_Nexperia.pdf</ns0:v>
      </ns0:c>
      <ns0:c r="AA103" s="33" t="str">
        <ns0:v>BZT52-C</ns0:v>
      </ns0:c>
      <ns0:c r="AB103" s="33" t="str">
        <ns0:v>Одиночный</ns0:v>
      </ns0:c>
      <ns0:c r="AC103" s="33" t="str">
        <ns0:v>K=C (manufacturer 1); A=A (manufacturer 2)</ns0:v>
      </ns0:c>
      <ns0:c r="AD103" s="33"/>
      <ns0:c r="AE103" s="33"/>
      <ns0:c r="AF103" s="33" t="n">
        <ns0:v>6.2</ns0:v>
      </ns0:c>
      <ns0:c r="AG103" s="33" t="n">
        <ns0:v>5</ns0:v>
      </ns0:c>
      <ns0:c r="AH103" s="33"/>
      <ns0:c r="AI103" s="33"/>
      <ns0:c r="AJ103" s="33" t="str">
        <ns0:v>350 мВт: стандартное посадочное место. 590 мВт: медь катода 1 см², TA≤25 °C; далее снижение мощности.</ns0:v>
      </ns0:c>
    </ns0:row>
    <ns0:row r="104" ht="60" customHeight="1">
      <ns0:c r="A104" s="33" t="str">
        <ns0:v>VD0103</ns0:v>
      </ns0:c>
      <ns0:c r="B104" s="33" t="str">
        <ns0:v>Стабилитрон</ns0:v>
      </ns0:c>
      <ns0:c r="C104" s="33" t="str">
        <ns0:v>BZT52-C6V8</ns0:v>
      </ns0:c>
      <ns0:c r="D104" s="34" t="str">
        <ns0:f>C104</ns0:f>
        <ns0:v>BZT52-C6V8</ns0:v>
      </ns0:c>
      <ns0:c r="E104" s="33" t="str">
        <ns0:v>около ±5%</ns0:v>
      </ns0:c>
      <ns0:c r="F104" s="33" t="str">
        <ns0:v>0,35 Вт</ns0:v>
      </ns0:c>
      <ns0:c r="G104" s="33" t="str">
        <ns0:v>6.8 В (Uст ном.)</ns0:v>
      </ns0:c>
      <ns0:c r="H104" s="35" t="str">
        <ns0:v>SOD-123</ns0:v>
      </ns0:c>
      <ns0:c r="I104" s="33" t="str">
        <ns0:v>Nexperia</ns0:v>
      </ns0:c>
      <ns0:c r="J104" s="33" t="str">
        <ns0:v>BZT52-C6V8</ns0:v>
      </ns0:c>
      <ns0:c r="K104" s="34" t="str">
        <ns0:f>B104&amp;" "&amp;J104</ns0:f>
        <ns0:v>Стабилитрон BZT52-C6V8</ns0:v>
      </ns0:c>
      <ns0:c r="L104" s="36" t="str">
        <ns0:v>Zener_AK</ns0:v>
      </ns0:c>
      <ns0:c r="M104" s="36" t="str">
        <ns0:v>Symbols\MY_LIB_Semiconductors.SchLib</ns0:v>
      </ns0:c>
      <ns0:c r="N104" s="36" t="str">
        <ns0:v>SOD123</ns0:v>
      </ns0:c>
      <ns0:c r="O104" s="36" t="str">
        <ns0:v>Footprints\PBL - SMD Packages.PcbLib</ns0:v>
      </ns0:c>
      <ns0:c r="P10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4" s="33"/>
      <ns0:c r="R104" s="34" t="str">
        <ns0:f>D104</ns0:f>
        <ns0:v>BZT52-C6V8</ns0:v>
      </ns0:c>
      <ns0:c r="S104" s="34" t="str">
        <ns0:f>K104</ns0:f>
        <ns0:v>Стабилитрон BZT52-C6V8</ns0:v>
      </ns0:c>
      <ns0:c r="T104" s="33" t="str">
        <ns0:v>C:\Users\Nomatin\Documents\Altium\MY_LIB\MY_LIB\Datasheets\Diodes\BZT52_C_Nexperia.pdf</ns0:v>
      </ns0:c>
      <ns0:c r="U104" s="33" t="str">
        <ns0:v>Rev. 1, 16-Mar-2017; C selection</ns0:v>
      </ns0:c>
      <ns0:c r="V104" s="33" t="str">
        <ns0:v>Даташит — локальный</ns0:v>
      </ns0:c>
      <ns0:c r="W104" s="33" t="str">
        <ns0:v>C:\Users\Nomatin\Documents\Altium\MY_LIB\MY_LIB\Datasheets\Diodes\BZT52_C_Nexperia.pdf</ns0:v>
      </ns0:c>
      <ns0:c r="X104" s="33" t="str">
        <ns0:v>Даташит — производитель</ns0:v>
      </ns0:c>
      <ns0:c r="Y104" s="33" t="str">
        <ns0:v>https://assets.nexperia.com/documents/data-sheet/BZT52_SER.pdf</ns0:v>
      </ns0:c>
      <ns0:c r="Z104" s="33" t="str">
        <ns0:v>C:\Users\Nomatin\Documents\Altium\MY_LIB\MY_LIB\Datasheets\Diodes\BZT52_C_Nexperia.pdf</ns0:v>
      </ns0:c>
      <ns0:c r="AA104" s="33" t="str">
        <ns0:v>BZT52-C</ns0:v>
      </ns0:c>
      <ns0:c r="AB104" s="33" t="str">
        <ns0:v>Одиночный</ns0:v>
      </ns0:c>
      <ns0:c r="AC104" s="33" t="str">
        <ns0:v>K=C (manufacturer 1); A=A (manufacturer 2)</ns0:v>
      </ns0:c>
      <ns0:c r="AD104" s="33"/>
      <ns0:c r="AE104" s="33"/>
      <ns0:c r="AF104" s="33" t="n">
        <ns0:v>6.8</ns0:v>
      </ns0:c>
      <ns0:c r="AG104" s="33" t="n">
        <ns0:v>5</ns0:v>
      </ns0:c>
      <ns0:c r="AH104" s="33"/>
      <ns0:c r="AI104" s="33"/>
      <ns0:c r="AJ104" s="33" t="str">
        <ns0:v>350 мВт: стандартное посадочное место. 590 мВт: медь катода 1 см², TA≤25 °C; далее снижение мощности.</ns0:v>
      </ns0:c>
    </ns0:row>
    <ns0:row r="105" ht="60" customHeight="1">
      <ns0:c r="A105" s="33" t="str">
        <ns0:v>VD0104</ns0:v>
      </ns0:c>
      <ns0:c r="B105" s="33" t="str">
        <ns0:v>Стабилитрон</ns0:v>
      </ns0:c>
      <ns0:c r="C105" s="33" t="str">
        <ns0:v>BZT52-C7V5</ns0:v>
      </ns0:c>
      <ns0:c r="D105" s="34" t="str">
        <ns0:f>C105</ns0:f>
        <ns0:v>BZT52-C7V5</ns0:v>
      </ns0:c>
      <ns0:c r="E105" s="33" t="str">
        <ns0:v>около ±5%</ns0:v>
      </ns0:c>
      <ns0:c r="F105" s="33" t="str">
        <ns0:v>0,35 Вт</ns0:v>
      </ns0:c>
      <ns0:c r="G105" s="33" t="str">
        <ns0:v>7.5 В (Uст ном.)</ns0:v>
      </ns0:c>
      <ns0:c r="H105" s="35" t="str">
        <ns0:v>SOD-123</ns0:v>
      </ns0:c>
      <ns0:c r="I105" s="33" t="str">
        <ns0:v>Nexperia</ns0:v>
      </ns0:c>
      <ns0:c r="J105" s="33" t="str">
        <ns0:v>BZT52-C7V5</ns0:v>
      </ns0:c>
      <ns0:c r="K105" s="34" t="str">
        <ns0:f>B105&amp;" "&amp;J105</ns0:f>
        <ns0:v>Стабилитрон BZT52-C7V5</ns0:v>
      </ns0:c>
      <ns0:c r="L105" s="36" t="str">
        <ns0:v>Zener_AK</ns0:v>
      </ns0:c>
      <ns0:c r="M105" s="36" t="str">
        <ns0:v>Symbols\MY_LIB_Semiconductors.SchLib</ns0:v>
      </ns0:c>
      <ns0:c r="N105" s="36" t="str">
        <ns0:v>SOD123</ns0:v>
      </ns0:c>
      <ns0:c r="O105" s="36" t="str">
        <ns0:v>Footprints\PBL - SMD Packages.PcbLib</ns0:v>
      </ns0:c>
      <ns0:c r="P10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5" s="33"/>
      <ns0:c r="R105" s="34" t="str">
        <ns0:f>D105</ns0:f>
        <ns0:v>BZT52-C7V5</ns0:v>
      </ns0:c>
      <ns0:c r="S105" s="34" t="str">
        <ns0:f>K105</ns0:f>
        <ns0:v>Стабилитрон BZT52-C7V5</ns0:v>
      </ns0:c>
      <ns0:c r="T105" s="33" t="str">
        <ns0:v>C:\Users\Nomatin\Documents\Altium\MY_LIB\MY_LIB\Datasheets\Diodes\BZT52_C_Nexperia.pdf</ns0:v>
      </ns0:c>
      <ns0:c r="U105" s="33" t="str">
        <ns0:v>Rev. 1, 16-Mar-2017; C selection</ns0:v>
      </ns0:c>
      <ns0:c r="V105" s="33" t="str">
        <ns0:v>Даташит — локальный</ns0:v>
      </ns0:c>
      <ns0:c r="W105" s="33" t="str">
        <ns0:v>C:\Users\Nomatin\Documents\Altium\MY_LIB\MY_LIB\Datasheets\Diodes\BZT52_C_Nexperia.pdf</ns0:v>
      </ns0:c>
      <ns0:c r="X105" s="33" t="str">
        <ns0:v>Даташит — производитель</ns0:v>
      </ns0:c>
      <ns0:c r="Y105" s="33" t="str">
        <ns0:v>https://assets.nexperia.com/documents/data-sheet/BZT52_SER.pdf</ns0:v>
      </ns0:c>
      <ns0:c r="Z105" s="33" t="str">
        <ns0:v>C:\Users\Nomatin\Documents\Altium\MY_LIB\MY_LIB\Datasheets\Diodes\BZT52_C_Nexperia.pdf</ns0:v>
      </ns0:c>
      <ns0:c r="AA105" s="33" t="str">
        <ns0:v>BZT52-C</ns0:v>
      </ns0:c>
      <ns0:c r="AB105" s="33" t="str">
        <ns0:v>Одиночный</ns0:v>
      </ns0:c>
      <ns0:c r="AC105" s="33" t="str">
        <ns0:v>K=C (manufacturer 1); A=A (manufacturer 2)</ns0:v>
      </ns0:c>
      <ns0:c r="AD105" s="33"/>
      <ns0:c r="AE105" s="33"/>
      <ns0:c r="AF105" s="33" t="n">
        <ns0:v>7.5</ns0:v>
      </ns0:c>
      <ns0:c r="AG105" s="33" t="n">
        <ns0:v>5</ns0:v>
      </ns0:c>
      <ns0:c r="AH105" s="33"/>
      <ns0:c r="AI105" s="33"/>
      <ns0:c r="AJ105" s="33" t="str">
        <ns0:v>350 мВт: стандартное посадочное место. 590 мВт: медь катода 1 см², TA≤25 °C; далее снижение мощности.</ns0:v>
      </ns0:c>
    </ns0:row>
    <ns0:row r="106" ht="60" customHeight="1">
      <ns0:c r="A106" s="33" t="str">
        <ns0:v>VD0105</ns0:v>
      </ns0:c>
      <ns0:c r="B106" s="33" t="str">
        <ns0:v>Стабилитрон</ns0:v>
      </ns0:c>
      <ns0:c r="C106" s="33" t="str">
        <ns0:v>BZT52-C8V2</ns0:v>
      </ns0:c>
      <ns0:c r="D106" s="34" t="str">
        <ns0:f>C106</ns0:f>
        <ns0:v>BZT52-C8V2</ns0:v>
      </ns0:c>
      <ns0:c r="E106" s="33" t="str">
        <ns0:v>около ±5%</ns0:v>
      </ns0:c>
      <ns0:c r="F106" s="33" t="str">
        <ns0:v>0,35 Вт</ns0:v>
      </ns0:c>
      <ns0:c r="G106" s="33" t="str">
        <ns0:v>8.2 В (Uст ном.)</ns0:v>
      </ns0:c>
      <ns0:c r="H106" s="35" t="str">
        <ns0:v>SOD-123</ns0:v>
      </ns0:c>
      <ns0:c r="I106" s="33" t="str">
        <ns0:v>Nexperia</ns0:v>
      </ns0:c>
      <ns0:c r="J106" s="33" t="str">
        <ns0:v>BZT52-C8V2</ns0:v>
      </ns0:c>
      <ns0:c r="K106" s="34" t="str">
        <ns0:f>B106&amp;" "&amp;J106</ns0:f>
        <ns0:v>Стабилитрон BZT52-C8V2</ns0:v>
      </ns0:c>
      <ns0:c r="L106" s="36" t="str">
        <ns0:v>Zener_AK</ns0:v>
      </ns0:c>
      <ns0:c r="M106" s="36" t="str">
        <ns0:v>Symbols\MY_LIB_Semiconductors.SchLib</ns0:v>
      </ns0:c>
      <ns0:c r="N106" s="36" t="str">
        <ns0:v>SOD123</ns0:v>
      </ns0:c>
      <ns0:c r="O106" s="36" t="str">
        <ns0:v>Footprints\PBL - SMD Packages.PcbLib</ns0:v>
      </ns0:c>
      <ns0:c r="P10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6" s="33"/>
      <ns0:c r="R106" s="34" t="str">
        <ns0:f>D106</ns0:f>
        <ns0:v>BZT52-C8V2</ns0:v>
      </ns0:c>
      <ns0:c r="S106" s="34" t="str">
        <ns0:f>K106</ns0:f>
        <ns0:v>Стабилитрон BZT52-C8V2</ns0:v>
      </ns0:c>
      <ns0:c r="T106" s="33" t="str">
        <ns0:v>C:\Users\Nomatin\Documents\Altium\MY_LIB\MY_LIB\Datasheets\Diodes\BZT52_C_Nexperia.pdf</ns0:v>
      </ns0:c>
      <ns0:c r="U106" s="33" t="str">
        <ns0:v>Rev. 1, 16-Mar-2017; C selection</ns0:v>
      </ns0:c>
      <ns0:c r="V106" s="33" t="str">
        <ns0:v>Даташит — локальный</ns0:v>
      </ns0:c>
      <ns0:c r="W106" s="33" t="str">
        <ns0:v>C:\Users\Nomatin\Documents\Altium\MY_LIB\MY_LIB\Datasheets\Diodes\BZT52_C_Nexperia.pdf</ns0:v>
      </ns0:c>
      <ns0:c r="X106" s="33" t="str">
        <ns0:v>Даташит — производитель</ns0:v>
      </ns0:c>
      <ns0:c r="Y106" s="33" t="str">
        <ns0:v>https://assets.nexperia.com/documents/data-sheet/BZT52_SER.pdf</ns0:v>
      </ns0:c>
      <ns0:c r="Z106" s="33" t="str">
        <ns0:v>C:\Users\Nomatin\Documents\Altium\MY_LIB\MY_LIB\Datasheets\Diodes\BZT52_C_Nexperia.pdf</ns0:v>
      </ns0:c>
      <ns0:c r="AA106" s="33" t="str">
        <ns0:v>BZT52-C</ns0:v>
      </ns0:c>
      <ns0:c r="AB106" s="33" t="str">
        <ns0:v>Одиночный</ns0:v>
      </ns0:c>
      <ns0:c r="AC106" s="33" t="str">
        <ns0:v>K=C (manufacturer 1); A=A (manufacturer 2)</ns0:v>
      </ns0:c>
      <ns0:c r="AD106" s="33"/>
      <ns0:c r="AE106" s="33"/>
      <ns0:c r="AF106" s="33" t="n">
        <ns0:v>8.2</ns0:v>
      </ns0:c>
      <ns0:c r="AG106" s="33" t="n">
        <ns0:v>5</ns0:v>
      </ns0:c>
      <ns0:c r="AH106" s="33"/>
      <ns0:c r="AI106" s="33"/>
      <ns0:c r="AJ106" s="33" t="str">
        <ns0:v>350 мВт: стандартное посадочное место. 590 мВт: медь катода 1 см², TA≤25 °C; далее снижение мощности.</ns0:v>
      </ns0:c>
    </ns0:row>
    <ns0:row r="107" ht="60" customHeight="1">
      <ns0:c r="A107" s="33" t="str">
        <ns0:v>VD0106</ns0:v>
      </ns0:c>
      <ns0:c r="B107" s="33" t="str">
        <ns0:v>Стабилитрон</ns0:v>
      </ns0:c>
      <ns0:c r="C107" s="33" t="str">
        <ns0:v>BZT52-C9V1</ns0:v>
      </ns0:c>
      <ns0:c r="D107" s="34" t="str">
        <ns0:f>C107</ns0:f>
        <ns0:v>BZT52-C9V1</ns0:v>
      </ns0:c>
      <ns0:c r="E107" s="33" t="str">
        <ns0:v>около ±5%</ns0:v>
      </ns0:c>
      <ns0:c r="F107" s="33" t="str">
        <ns0:v>0,35 Вт</ns0:v>
      </ns0:c>
      <ns0:c r="G107" s="33" t="str">
        <ns0:v>9.1 В (Uст ном.)</ns0:v>
      </ns0:c>
      <ns0:c r="H107" s="35" t="str">
        <ns0:v>SOD-123</ns0:v>
      </ns0:c>
      <ns0:c r="I107" s="33" t="str">
        <ns0:v>Nexperia</ns0:v>
      </ns0:c>
      <ns0:c r="J107" s="33" t="str">
        <ns0:v>BZT52-C9V1</ns0:v>
      </ns0:c>
      <ns0:c r="K107" s="34" t="str">
        <ns0:f>B107&amp;" "&amp;J107</ns0:f>
        <ns0:v>Стабилитрон BZT52-C9V1</ns0:v>
      </ns0:c>
      <ns0:c r="L107" s="36" t="str">
        <ns0:v>Zener_AK</ns0:v>
      </ns0:c>
      <ns0:c r="M107" s="36" t="str">
        <ns0:v>Symbols\MY_LIB_Semiconductors.SchLib</ns0:v>
      </ns0:c>
      <ns0:c r="N107" s="36" t="str">
        <ns0:v>SOD123</ns0:v>
      </ns0:c>
      <ns0:c r="O107" s="36" t="str">
        <ns0:v>Footprints\PBL - SMD Packages.PcbLib</ns0:v>
      </ns0:c>
      <ns0:c r="P10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7" s="33"/>
      <ns0:c r="R107" s="34" t="str">
        <ns0:f>D107</ns0:f>
        <ns0:v>BZT52-C9V1</ns0:v>
      </ns0:c>
      <ns0:c r="S107" s="34" t="str">
        <ns0:f>K107</ns0:f>
        <ns0:v>Стабилитрон BZT52-C9V1</ns0:v>
      </ns0:c>
      <ns0:c r="T107" s="33" t="str">
        <ns0:v>C:\Users\Nomatin\Documents\Altium\MY_LIB\MY_LIB\Datasheets\Diodes\BZT52_C_Nexperia.pdf</ns0:v>
      </ns0:c>
      <ns0:c r="U107" s="33" t="str">
        <ns0:v>Rev. 1, 16-Mar-2017; C selection</ns0:v>
      </ns0:c>
      <ns0:c r="V107" s="33" t="str">
        <ns0:v>Даташит — локальный</ns0:v>
      </ns0:c>
      <ns0:c r="W107" s="33" t="str">
        <ns0:v>C:\Users\Nomatin\Documents\Altium\MY_LIB\MY_LIB\Datasheets\Diodes\BZT52_C_Nexperia.pdf</ns0:v>
      </ns0:c>
      <ns0:c r="X107" s="33" t="str">
        <ns0:v>Даташит — производитель</ns0:v>
      </ns0:c>
      <ns0:c r="Y107" s="33" t="str">
        <ns0:v>https://assets.nexperia.com/documents/data-sheet/BZT52_SER.pdf</ns0:v>
      </ns0:c>
      <ns0:c r="Z107" s="33" t="str">
        <ns0:v>C:\Users\Nomatin\Documents\Altium\MY_LIB\MY_LIB\Datasheets\Diodes\BZT52_C_Nexperia.pdf</ns0:v>
      </ns0:c>
      <ns0:c r="AA107" s="33" t="str">
        <ns0:v>BZT52-C</ns0:v>
      </ns0:c>
      <ns0:c r="AB107" s="33" t="str">
        <ns0:v>Одиночный</ns0:v>
      </ns0:c>
      <ns0:c r="AC107" s="33" t="str">
        <ns0:v>K=C (manufacturer 1); A=A (manufacturer 2)</ns0:v>
      </ns0:c>
      <ns0:c r="AD107" s="33"/>
      <ns0:c r="AE107" s="33"/>
      <ns0:c r="AF107" s="33" t="n">
        <ns0:v>9.1</ns0:v>
      </ns0:c>
      <ns0:c r="AG107" s="33" t="n">
        <ns0:v>5</ns0:v>
      </ns0:c>
      <ns0:c r="AH107" s="33"/>
      <ns0:c r="AI107" s="33"/>
      <ns0:c r="AJ107" s="33" t="str">
        <ns0:v>350 мВт: стандартное посадочное место. 590 мВт: медь катода 1 см², TA≤25 °C; далее снижение мощности.</ns0:v>
      </ns0:c>
    </ns0:row>
    <ns0:row r="108" ht="60" customHeight="1">
      <ns0:c r="A108" s="33" t="str">
        <ns0:v>VD0107</ns0:v>
      </ns0:c>
      <ns0:c r="B108" s="33" t="str">
        <ns0:v>Стабилитрон</ns0:v>
      </ns0:c>
      <ns0:c r="C108" s="33" t="str">
        <ns0:v>BZT52-C10</ns0:v>
      </ns0:c>
      <ns0:c r="D108" s="34" t="str">
        <ns0:f>C108</ns0:f>
        <ns0:v>BZT52-C10</ns0:v>
      </ns0:c>
      <ns0:c r="E108" s="33" t="str">
        <ns0:v>около ±5%</ns0:v>
      </ns0:c>
      <ns0:c r="F108" s="33" t="str">
        <ns0:v>0,35 Вт</ns0:v>
      </ns0:c>
      <ns0:c r="G108" s="33" t="str">
        <ns0:v>10 В (Uст ном.)</ns0:v>
      </ns0:c>
      <ns0:c r="H108" s="35" t="str">
        <ns0:v>SOD-123</ns0:v>
      </ns0:c>
      <ns0:c r="I108" s="33" t="str">
        <ns0:v>Nexperia</ns0:v>
      </ns0:c>
      <ns0:c r="J108" s="33" t="str">
        <ns0:v>BZT52-C10</ns0:v>
      </ns0:c>
      <ns0:c r="K108" s="34" t="str">
        <ns0:f>B108&amp;" "&amp;J108</ns0:f>
        <ns0:v>Стабилитрон BZT52-C10</ns0:v>
      </ns0:c>
      <ns0:c r="L108" s="36" t="str">
        <ns0:v>Zener_AK</ns0:v>
      </ns0:c>
      <ns0:c r="M108" s="36" t="str">
        <ns0:v>Symbols\MY_LIB_Semiconductors.SchLib</ns0:v>
      </ns0:c>
      <ns0:c r="N108" s="36" t="str">
        <ns0:v>SOD123</ns0:v>
      </ns0:c>
      <ns0:c r="O108" s="36" t="str">
        <ns0:v>Footprints\PBL - SMD Packages.PcbLib</ns0:v>
      </ns0:c>
      <ns0:c r="P10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8" s="33"/>
      <ns0:c r="R108" s="34" t="str">
        <ns0:f>D108</ns0:f>
        <ns0:v>BZT52-C10</ns0:v>
      </ns0:c>
      <ns0:c r="S108" s="34" t="str">
        <ns0:f>K108</ns0:f>
        <ns0:v>Стабилитрон BZT52-C10</ns0:v>
      </ns0:c>
      <ns0:c r="T108" s="33" t="str">
        <ns0:v>C:\Users\Nomatin\Documents\Altium\MY_LIB\MY_LIB\Datasheets\Diodes\BZT52_C_Nexperia.pdf</ns0:v>
      </ns0:c>
      <ns0:c r="U108" s="33" t="str">
        <ns0:v>Rev. 1, 16-Mar-2017; C selection</ns0:v>
      </ns0:c>
      <ns0:c r="V108" s="33" t="str">
        <ns0:v>Даташит — локальный</ns0:v>
      </ns0:c>
      <ns0:c r="W108" s="33" t="str">
        <ns0:v>C:\Users\Nomatin\Documents\Altium\MY_LIB\MY_LIB\Datasheets\Diodes\BZT52_C_Nexperia.pdf</ns0:v>
      </ns0:c>
      <ns0:c r="X108" s="33" t="str">
        <ns0:v>Даташит — производитель</ns0:v>
      </ns0:c>
      <ns0:c r="Y108" s="33" t="str">
        <ns0:v>https://assets.nexperia.com/documents/data-sheet/BZT52_SER.pdf</ns0:v>
      </ns0:c>
      <ns0:c r="Z108" s="33" t="str">
        <ns0:v>C:\Users\Nomatin\Documents\Altium\MY_LIB\MY_LIB\Datasheets\Diodes\BZT52_C_Nexperia.pdf</ns0:v>
      </ns0:c>
      <ns0:c r="AA108" s="33" t="str">
        <ns0:v>BZT52-C</ns0:v>
      </ns0:c>
      <ns0:c r="AB108" s="33" t="str">
        <ns0:v>Одиночный</ns0:v>
      </ns0:c>
      <ns0:c r="AC108" s="33" t="str">
        <ns0:v>K=C (manufacturer 1); A=A (manufacturer 2)</ns0:v>
      </ns0:c>
      <ns0:c r="AD108" s="33"/>
      <ns0:c r="AE108" s="33"/>
      <ns0:c r="AF108" s="33" t="n">
        <ns0:v>10</ns0:v>
      </ns0:c>
      <ns0:c r="AG108" s="33" t="n">
        <ns0:v>5</ns0:v>
      </ns0:c>
      <ns0:c r="AH108" s="33"/>
      <ns0:c r="AI108" s="33"/>
      <ns0:c r="AJ108" s="33" t="str">
        <ns0:v>350 мВт: стандартное посадочное место. 590 мВт: медь катода 1 см², TA≤25 °C; далее снижение мощности.</ns0:v>
      </ns0:c>
    </ns0:row>
    <ns0:row r="109" ht="60" customHeight="1">
      <ns0:c r="A109" s="33" t="str">
        <ns0:v>VD0108</ns0:v>
      </ns0:c>
      <ns0:c r="B109" s="33" t="str">
        <ns0:v>Стабилитрон</ns0:v>
      </ns0:c>
      <ns0:c r="C109" s="33" t="str">
        <ns0:v>BZT52-C11</ns0:v>
      </ns0:c>
      <ns0:c r="D109" s="34" t="str">
        <ns0:f>C109</ns0:f>
        <ns0:v>BZT52-C11</ns0:v>
      </ns0:c>
      <ns0:c r="E109" s="33" t="str">
        <ns0:v>около ±5%</ns0:v>
      </ns0:c>
      <ns0:c r="F109" s="33" t="str">
        <ns0:v>0,35 Вт</ns0:v>
      </ns0:c>
      <ns0:c r="G109" s="33" t="str">
        <ns0:v>11 В (Uст ном.)</ns0:v>
      </ns0:c>
      <ns0:c r="H109" s="35" t="str">
        <ns0:v>SOD-123</ns0:v>
      </ns0:c>
      <ns0:c r="I109" s="33" t="str">
        <ns0:v>Nexperia</ns0:v>
      </ns0:c>
      <ns0:c r="J109" s="33" t="str">
        <ns0:v>BZT52-C11</ns0:v>
      </ns0:c>
      <ns0:c r="K109" s="34" t="str">
        <ns0:f>B109&amp;" "&amp;J109</ns0:f>
        <ns0:v>Стабилитрон BZT52-C11</ns0:v>
      </ns0:c>
      <ns0:c r="L109" s="36" t="str">
        <ns0:v>Zener_AK</ns0:v>
      </ns0:c>
      <ns0:c r="M109" s="36" t="str">
        <ns0:v>Symbols\MY_LIB_Semiconductors.SchLib</ns0:v>
      </ns0:c>
      <ns0:c r="N109" s="36" t="str">
        <ns0:v>SOD123</ns0:v>
      </ns0:c>
      <ns0:c r="O109" s="36" t="str">
        <ns0:v>Footprints\PBL - SMD Packages.PcbLib</ns0:v>
      </ns0:c>
      <ns0:c r="P10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09" s="33"/>
      <ns0:c r="R109" s="34" t="str">
        <ns0:f>D109</ns0:f>
        <ns0:v>BZT52-C11</ns0:v>
      </ns0:c>
      <ns0:c r="S109" s="34" t="str">
        <ns0:f>K109</ns0:f>
        <ns0:v>Стабилитрон BZT52-C11</ns0:v>
      </ns0:c>
      <ns0:c r="T109" s="33" t="str">
        <ns0:v>C:\Users\Nomatin\Documents\Altium\MY_LIB\MY_LIB\Datasheets\Diodes\BZT52_C_Nexperia.pdf</ns0:v>
      </ns0:c>
      <ns0:c r="U109" s="33" t="str">
        <ns0:v>Rev. 1, 16-Mar-2017; C selection</ns0:v>
      </ns0:c>
      <ns0:c r="V109" s="33" t="str">
        <ns0:v>Даташит — локальный</ns0:v>
      </ns0:c>
      <ns0:c r="W109" s="33" t="str">
        <ns0:v>C:\Users\Nomatin\Documents\Altium\MY_LIB\MY_LIB\Datasheets\Diodes\BZT52_C_Nexperia.pdf</ns0:v>
      </ns0:c>
      <ns0:c r="X109" s="33" t="str">
        <ns0:v>Даташит — производитель</ns0:v>
      </ns0:c>
      <ns0:c r="Y109" s="33" t="str">
        <ns0:v>https://assets.nexperia.com/documents/data-sheet/BZT52_SER.pdf</ns0:v>
      </ns0:c>
      <ns0:c r="Z109" s="33" t="str">
        <ns0:v>C:\Users\Nomatin\Documents\Altium\MY_LIB\MY_LIB\Datasheets\Diodes\BZT52_C_Nexperia.pdf</ns0:v>
      </ns0:c>
      <ns0:c r="AA109" s="33" t="str">
        <ns0:v>BZT52-C</ns0:v>
      </ns0:c>
      <ns0:c r="AB109" s="33" t="str">
        <ns0:v>Одиночный</ns0:v>
      </ns0:c>
      <ns0:c r="AC109" s="33" t="str">
        <ns0:v>K=C (manufacturer 1); A=A (manufacturer 2)</ns0:v>
      </ns0:c>
      <ns0:c r="AD109" s="33"/>
      <ns0:c r="AE109" s="33"/>
      <ns0:c r="AF109" s="33" t="n">
        <ns0:v>11</ns0:v>
      </ns0:c>
      <ns0:c r="AG109" s="33" t="n">
        <ns0:v>5</ns0:v>
      </ns0:c>
      <ns0:c r="AH109" s="33"/>
      <ns0:c r="AI109" s="33"/>
      <ns0:c r="AJ109" s="33" t="str">
        <ns0:v>350 мВт: стандартное посадочное место. 590 мВт: медь катода 1 см², TA≤25 °C; далее снижение мощности.</ns0:v>
      </ns0:c>
    </ns0:row>
    <ns0:row r="110" ht="60" customHeight="1">
      <ns0:c r="A110" s="33" t="str">
        <ns0:v>VD0109</ns0:v>
      </ns0:c>
      <ns0:c r="B110" s="33" t="str">
        <ns0:v>Стабилитрон</ns0:v>
      </ns0:c>
      <ns0:c r="C110" s="33" t="str">
        <ns0:v>BZT52-C12</ns0:v>
      </ns0:c>
      <ns0:c r="D110" s="34" t="str">
        <ns0:f>C110</ns0:f>
        <ns0:v>BZT52-C12</ns0:v>
      </ns0:c>
      <ns0:c r="E110" s="33" t="str">
        <ns0:v>около ±5%</ns0:v>
      </ns0:c>
      <ns0:c r="F110" s="33" t="str">
        <ns0:v>0,35 Вт</ns0:v>
      </ns0:c>
      <ns0:c r="G110" s="33" t="str">
        <ns0:v>12 В (Uст ном.)</ns0:v>
      </ns0:c>
      <ns0:c r="H110" s="35" t="str">
        <ns0:v>SOD-123</ns0:v>
      </ns0:c>
      <ns0:c r="I110" s="33" t="str">
        <ns0:v>Nexperia</ns0:v>
      </ns0:c>
      <ns0:c r="J110" s="33" t="str">
        <ns0:v>BZT52-C12</ns0:v>
      </ns0:c>
      <ns0:c r="K110" s="34" t="str">
        <ns0:f>B110&amp;" "&amp;J110</ns0:f>
        <ns0:v>Стабилитрон BZT52-C12</ns0:v>
      </ns0:c>
      <ns0:c r="L110" s="36" t="str">
        <ns0:v>Zener_AK</ns0:v>
      </ns0:c>
      <ns0:c r="M110" s="36" t="str">
        <ns0:v>Symbols\MY_LIB_Semiconductors.SchLib</ns0:v>
      </ns0:c>
      <ns0:c r="N110" s="36" t="str">
        <ns0:v>SOD123</ns0:v>
      </ns0:c>
      <ns0:c r="O110" s="36" t="str">
        <ns0:v>Footprints\PBL - SMD Packages.PcbLib</ns0:v>
      </ns0:c>
      <ns0:c r="P11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0" s="33"/>
      <ns0:c r="R110" s="34" t="str">
        <ns0:f>D110</ns0:f>
        <ns0:v>BZT52-C12</ns0:v>
      </ns0:c>
      <ns0:c r="S110" s="34" t="str">
        <ns0:f>K110</ns0:f>
        <ns0:v>Стабилитрон BZT52-C12</ns0:v>
      </ns0:c>
      <ns0:c r="T110" s="33" t="str">
        <ns0:v>C:\Users\Nomatin\Documents\Altium\MY_LIB\MY_LIB\Datasheets\Diodes\BZT52_C_Nexperia.pdf</ns0:v>
      </ns0:c>
      <ns0:c r="U110" s="33" t="str">
        <ns0:v>Rev. 1, 16-Mar-2017; C selection</ns0:v>
      </ns0:c>
      <ns0:c r="V110" s="33" t="str">
        <ns0:v>Даташит — локальный</ns0:v>
      </ns0:c>
      <ns0:c r="W110" s="33" t="str">
        <ns0:v>C:\Users\Nomatin\Documents\Altium\MY_LIB\MY_LIB\Datasheets\Diodes\BZT52_C_Nexperia.pdf</ns0:v>
      </ns0:c>
      <ns0:c r="X110" s="33" t="str">
        <ns0:v>Даташит — производитель</ns0:v>
      </ns0:c>
      <ns0:c r="Y110" s="33" t="str">
        <ns0:v>https://assets.nexperia.com/documents/data-sheet/BZT52_SER.pdf</ns0:v>
      </ns0:c>
      <ns0:c r="Z110" s="33" t="str">
        <ns0:v>C:\Users\Nomatin\Documents\Altium\MY_LIB\MY_LIB\Datasheets\Diodes\BZT52_C_Nexperia.pdf</ns0:v>
      </ns0:c>
      <ns0:c r="AA110" s="33" t="str">
        <ns0:v>BZT52-C</ns0:v>
      </ns0:c>
      <ns0:c r="AB110" s="33" t="str">
        <ns0:v>Одиночный</ns0:v>
      </ns0:c>
      <ns0:c r="AC110" s="33" t="str">
        <ns0:v>K=C (manufacturer 1); A=A (manufacturer 2)</ns0:v>
      </ns0:c>
      <ns0:c r="AD110" s="33"/>
      <ns0:c r="AE110" s="33"/>
      <ns0:c r="AF110" s="33" t="n">
        <ns0:v>12</ns0:v>
      </ns0:c>
      <ns0:c r="AG110" s="33" t="n">
        <ns0:v>5</ns0:v>
      </ns0:c>
      <ns0:c r="AH110" s="33"/>
      <ns0:c r="AI110" s="33"/>
      <ns0:c r="AJ110" s="33" t="str">
        <ns0:v>350 мВт: стандартное посадочное место. 590 мВт: медь катода 1 см², TA≤25 °C; далее снижение мощности.</ns0:v>
      </ns0:c>
    </ns0:row>
    <ns0:row r="111" ht="60" customHeight="1">
      <ns0:c r="A111" s="33" t="str">
        <ns0:v>VD0110</ns0:v>
      </ns0:c>
      <ns0:c r="B111" s="33" t="str">
        <ns0:v>Стабилитрон</ns0:v>
      </ns0:c>
      <ns0:c r="C111" s="33" t="str">
        <ns0:v>BZT52-C13</ns0:v>
      </ns0:c>
      <ns0:c r="D111" s="34" t="str">
        <ns0:f>C111</ns0:f>
        <ns0:v>BZT52-C13</ns0:v>
      </ns0:c>
      <ns0:c r="E111" s="33" t="str">
        <ns0:v>около ±5%</ns0:v>
      </ns0:c>
      <ns0:c r="F111" s="33" t="str">
        <ns0:v>0,35 Вт</ns0:v>
      </ns0:c>
      <ns0:c r="G111" s="33" t="str">
        <ns0:v>13 В (Uст ном.)</ns0:v>
      </ns0:c>
      <ns0:c r="H111" s="35" t="str">
        <ns0:v>SOD-123</ns0:v>
      </ns0:c>
      <ns0:c r="I111" s="33" t="str">
        <ns0:v>Nexperia</ns0:v>
      </ns0:c>
      <ns0:c r="J111" s="33" t="str">
        <ns0:v>BZT52-C13</ns0:v>
      </ns0:c>
      <ns0:c r="K111" s="34" t="str">
        <ns0:f>B111&amp;" "&amp;J111</ns0:f>
        <ns0:v>Стабилитрон BZT52-C13</ns0:v>
      </ns0:c>
      <ns0:c r="L111" s="36" t="str">
        <ns0:v>Zener_AK</ns0:v>
      </ns0:c>
      <ns0:c r="M111" s="36" t="str">
        <ns0:v>Symbols\MY_LIB_Semiconductors.SchLib</ns0:v>
      </ns0:c>
      <ns0:c r="N111" s="36" t="str">
        <ns0:v>SOD123</ns0:v>
      </ns0:c>
      <ns0:c r="O111" s="36" t="str">
        <ns0:v>Footprints\PBL - SMD Packages.PcbLib</ns0:v>
      </ns0:c>
      <ns0:c r="P11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1" s="33"/>
      <ns0:c r="R111" s="34" t="str">
        <ns0:f>D111</ns0:f>
        <ns0:v>BZT52-C13</ns0:v>
      </ns0:c>
      <ns0:c r="S111" s="34" t="str">
        <ns0:f>K111</ns0:f>
        <ns0:v>Стабилитрон BZT52-C13</ns0:v>
      </ns0:c>
      <ns0:c r="T111" s="33" t="str">
        <ns0:v>C:\Users\Nomatin\Documents\Altium\MY_LIB\MY_LIB\Datasheets\Diodes\BZT52_C_Nexperia.pdf</ns0:v>
      </ns0:c>
      <ns0:c r="U111" s="33" t="str">
        <ns0:v>Rev. 1, 16-Mar-2017; C selection</ns0:v>
      </ns0:c>
      <ns0:c r="V111" s="33" t="str">
        <ns0:v>Даташит — локальный</ns0:v>
      </ns0:c>
      <ns0:c r="W111" s="33" t="str">
        <ns0:v>C:\Users\Nomatin\Documents\Altium\MY_LIB\MY_LIB\Datasheets\Diodes\BZT52_C_Nexperia.pdf</ns0:v>
      </ns0:c>
      <ns0:c r="X111" s="33" t="str">
        <ns0:v>Даташит — производитель</ns0:v>
      </ns0:c>
      <ns0:c r="Y111" s="33" t="str">
        <ns0:v>https://assets.nexperia.com/documents/data-sheet/BZT52_SER.pdf</ns0:v>
      </ns0:c>
      <ns0:c r="Z111" s="33" t="str">
        <ns0:v>C:\Users\Nomatin\Documents\Altium\MY_LIB\MY_LIB\Datasheets\Diodes\BZT52_C_Nexperia.pdf</ns0:v>
      </ns0:c>
      <ns0:c r="AA111" s="33" t="str">
        <ns0:v>BZT52-C</ns0:v>
      </ns0:c>
      <ns0:c r="AB111" s="33" t="str">
        <ns0:v>Одиночный</ns0:v>
      </ns0:c>
      <ns0:c r="AC111" s="33" t="str">
        <ns0:v>K=C (manufacturer 1); A=A (manufacturer 2)</ns0:v>
      </ns0:c>
      <ns0:c r="AD111" s="33"/>
      <ns0:c r="AE111" s="33"/>
      <ns0:c r="AF111" s="33" t="n">
        <ns0:v>13</ns0:v>
      </ns0:c>
      <ns0:c r="AG111" s="33" t="n">
        <ns0:v>5</ns0:v>
      </ns0:c>
      <ns0:c r="AH111" s="33"/>
      <ns0:c r="AI111" s="33"/>
      <ns0:c r="AJ111" s="33" t="str">
        <ns0:v>350 мВт: стандартное посадочное место. 590 мВт: медь катода 1 см², TA≤25 °C; далее снижение мощности.</ns0:v>
      </ns0:c>
    </ns0:row>
    <ns0:row r="112" ht="60" customHeight="1">
      <ns0:c r="A112" s="33" t="str">
        <ns0:v>VD0111</ns0:v>
      </ns0:c>
      <ns0:c r="B112" s="33" t="str">
        <ns0:v>Стабилитрон</ns0:v>
      </ns0:c>
      <ns0:c r="C112" s="33" t="str">
        <ns0:v>BZT52-C15</ns0:v>
      </ns0:c>
      <ns0:c r="D112" s="34" t="str">
        <ns0:f>C112</ns0:f>
        <ns0:v>BZT52-C15</ns0:v>
      </ns0:c>
      <ns0:c r="E112" s="33" t="str">
        <ns0:v>около ±5%</ns0:v>
      </ns0:c>
      <ns0:c r="F112" s="33" t="str">
        <ns0:v>0,35 Вт</ns0:v>
      </ns0:c>
      <ns0:c r="G112" s="33" t="str">
        <ns0:v>15 В (Uст ном.)</ns0:v>
      </ns0:c>
      <ns0:c r="H112" s="35" t="str">
        <ns0:v>SOD-123</ns0:v>
      </ns0:c>
      <ns0:c r="I112" s="33" t="str">
        <ns0:v>Nexperia</ns0:v>
      </ns0:c>
      <ns0:c r="J112" s="33" t="str">
        <ns0:v>BZT52-C15</ns0:v>
      </ns0:c>
      <ns0:c r="K112" s="34" t="str">
        <ns0:f>B112&amp;" "&amp;J112</ns0:f>
        <ns0:v>Стабилитрон BZT52-C15</ns0:v>
      </ns0:c>
      <ns0:c r="L112" s="36" t="str">
        <ns0:v>Zener_AK</ns0:v>
      </ns0:c>
      <ns0:c r="M112" s="36" t="str">
        <ns0:v>Symbols\MY_LIB_Semiconductors.SchLib</ns0:v>
      </ns0:c>
      <ns0:c r="N112" s="36" t="str">
        <ns0:v>SOD123</ns0:v>
      </ns0:c>
      <ns0:c r="O112" s="36" t="str">
        <ns0:v>Footprints\PBL - SMD Packages.PcbLib</ns0:v>
      </ns0:c>
      <ns0:c r="P11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2" s="33"/>
      <ns0:c r="R112" s="34" t="str">
        <ns0:f>D112</ns0:f>
        <ns0:v>BZT52-C15</ns0:v>
      </ns0:c>
      <ns0:c r="S112" s="34" t="str">
        <ns0:f>K112</ns0:f>
        <ns0:v>Стабилитрон BZT52-C15</ns0:v>
      </ns0:c>
      <ns0:c r="T112" s="33" t="str">
        <ns0:v>C:\Users\Nomatin\Documents\Altium\MY_LIB\MY_LIB\Datasheets\Diodes\BZT52_C_Nexperia.pdf</ns0:v>
      </ns0:c>
      <ns0:c r="U112" s="33" t="str">
        <ns0:v>Rev. 1, 16-Mar-2017; C selection</ns0:v>
      </ns0:c>
      <ns0:c r="V112" s="33" t="str">
        <ns0:v>Даташит — локальный</ns0:v>
      </ns0:c>
      <ns0:c r="W112" s="33" t="str">
        <ns0:v>C:\Users\Nomatin\Documents\Altium\MY_LIB\MY_LIB\Datasheets\Diodes\BZT52_C_Nexperia.pdf</ns0:v>
      </ns0:c>
      <ns0:c r="X112" s="33" t="str">
        <ns0:v>Даташит — производитель</ns0:v>
      </ns0:c>
      <ns0:c r="Y112" s="33" t="str">
        <ns0:v>https://assets.nexperia.com/documents/data-sheet/BZT52_SER.pdf</ns0:v>
      </ns0:c>
      <ns0:c r="Z112" s="33" t="str">
        <ns0:v>C:\Users\Nomatin\Documents\Altium\MY_LIB\MY_LIB\Datasheets\Diodes\BZT52_C_Nexperia.pdf</ns0:v>
      </ns0:c>
      <ns0:c r="AA112" s="33" t="str">
        <ns0:v>BZT52-C</ns0:v>
      </ns0:c>
      <ns0:c r="AB112" s="33" t="str">
        <ns0:v>Одиночный</ns0:v>
      </ns0:c>
      <ns0:c r="AC112" s="33" t="str">
        <ns0:v>K=C (manufacturer 1); A=A (manufacturer 2)</ns0:v>
      </ns0:c>
      <ns0:c r="AD112" s="33"/>
      <ns0:c r="AE112" s="33"/>
      <ns0:c r="AF112" s="33" t="n">
        <ns0:v>15</ns0:v>
      </ns0:c>
      <ns0:c r="AG112" s="33" t="n">
        <ns0:v>5</ns0:v>
      </ns0:c>
      <ns0:c r="AH112" s="33"/>
      <ns0:c r="AI112" s="33"/>
      <ns0:c r="AJ112" s="33" t="str">
        <ns0:v>350 мВт: стандартное посадочное место. 590 мВт: медь катода 1 см², TA≤25 °C; далее снижение мощности.</ns0:v>
      </ns0:c>
    </ns0:row>
    <ns0:row r="113" ht="60" customHeight="1">
      <ns0:c r="A113" s="33" t="str">
        <ns0:v>VD0112</ns0:v>
      </ns0:c>
      <ns0:c r="B113" s="33" t="str">
        <ns0:v>Стабилитрон</ns0:v>
      </ns0:c>
      <ns0:c r="C113" s="33" t="str">
        <ns0:v>BZT52-C16</ns0:v>
      </ns0:c>
      <ns0:c r="D113" s="34" t="str">
        <ns0:f>C113</ns0:f>
        <ns0:v>BZT52-C16</ns0:v>
      </ns0:c>
      <ns0:c r="E113" s="33" t="str">
        <ns0:v>около ±5%</ns0:v>
      </ns0:c>
      <ns0:c r="F113" s="33" t="str">
        <ns0:v>0,35 Вт</ns0:v>
      </ns0:c>
      <ns0:c r="G113" s="33" t="str">
        <ns0:v>16 В (Uст ном.)</ns0:v>
      </ns0:c>
      <ns0:c r="H113" s="35" t="str">
        <ns0:v>SOD-123</ns0:v>
      </ns0:c>
      <ns0:c r="I113" s="33" t="str">
        <ns0:v>Nexperia</ns0:v>
      </ns0:c>
      <ns0:c r="J113" s="33" t="str">
        <ns0:v>BZT52-C16</ns0:v>
      </ns0:c>
      <ns0:c r="K113" s="34" t="str">
        <ns0:f>B113&amp;" "&amp;J113</ns0:f>
        <ns0:v>Стабилитрон BZT52-C16</ns0:v>
      </ns0:c>
      <ns0:c r="L113" s="36" t="str">
        <ns0:v>Zener_AK</ns0:v>
      </ns0:c>
      <ns0:c r="M113" s="36" t="str">
        <ns0:v>Symbols\MY_LIB_Semiconductors.SchLib</ns0:v>
      </ns0:c>
      <ns0:c r="N113" s="36" t="str">
        <ns0:v>SOD123</ns0:v>
      </ns0:c>
      <ns0:c r="O113" s="36" t="str">
        <ns0:v>Footprints\PBL - SMD Packages.PcbLib</ns0:v>
      </ns0:c>
      <ns0:c r="P11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3" s="33"/>
      <ns0:c r="R113" s="34" t="str">
        <ns0:f>D113</ns0:f>
        <ns0:v>BZT52-C16</ns0:v>
      </ns0:c>
      <ns0:c r="S113" s="34" t="str">
        <ns0:f>K113</ns0:f>
        <ns0:v>Стабилитрон BZT52-C16</ns0:v>
      </ns0:c>
      <ns0:c r="T113" s="33" t="str">
        <ns0:v>C:\Users\Nomatin\Documents\Altium\MY_LIB\MY_LIB\Datasheets\Diodes\BZT52_C_Nexperia.pdf</ns0:v>
      </ns0:c>
      <ns0:c r="U113" s="33" t="str">
        <ns0:v>Rev. 1, 16-Mar-2017; C selection</ns0:v>
      </ns0:c>
      <ns0:c r="V113" s="33" t="str">
        <ns0:v>Даташит — локальный</ns0:v>
      </ns0:c>
      <ns0:c r="W113" s="33" t="str">
        <ns0:v>C:\Users\Nomatin\Documents\Altium\MY_LIB\MY_LIB\Datasheets\Diodes\BZT52_C_Nexperia.pdf</ns0:v>
      </ns0:c>
      <ns0:c r="X113" s="33" t="str">
        <ns0:v>Даташит — производитель</ns0:v>
      </ns0:c>
      <ns0:c r="Y113" s="33" t="str">
        <ns0:v>https://assets.nexperia.com/documents/data-sheet/BZT52_SER.pdf</ns0:v>
      </ns0:c>
      <ns0:c r="Z113" s="33" t="str">
        <ns0:v>C:\Users\Nomatin\Documents\Altium\MY_LIB\MY_LIB\Datasheets\Diodes\BZT52_C_Nexperia.pdf</ns0:v>
      </ns0:c>
      <ns0:c r="AA113" s="33" t="str">
        <ns0:v>BZT52-C</ns0:v>
      </ns0:c>
      <ns0:c r="AB113" s="33" t="str">
        <ns0:v>Одиночный</ns0:v>
      </ns0:c>
      <ns0:c r="AC113" s="33" t="str">
        <ns0:v>K=C (manufacturer 1); A=A (manufacturer 2)</ns0:v>
      </ns0:c>
      <ns0:c r="AD113" s="33"/>
      <ns0:c r="AE113" s="33"/>
      <ns0:c r="AF113" s="33" t="n">
        <ns0:v>16</ns0:v>
      </ns0:c>
      <ns0:c r="AG113" s="33" t="n">
        <ns0:v>5</ns0:v>
      </ns0:c>
      <ns0:c r="AH113" s="33"/>
      <ns0:c r="AI113" s="33"/>
      <ns0:c r="AJ113" s="33" t="str">
        <ns0:v>350 мВт: стандартное посадочное место. 590 мВт: медь катода 1 см², TA≤25 °C; далее снижение мощности.</ns0:v>
      </ns0:c>
    </ns0:row>
    <ns0:row r="114" ht="60" customHeight="1">
      <ns0:c r="A114" s="33" t="str">
        <ns0:v>VD0113</ns0:v>
      </ns0:c>
      <ns0:c r="B114" s="33" t="str">
        <ns0:v>Стабилитрон</ns0:v>
      </ns0:c>
      <ns0:c r="C114" s="33" t="str">
        <ns0:v>BZT52-C18</ns0:v>
      </ns0:c>
      <ns0:c r="D114" s="34" t="str">
        <ns0:f>C114</ns0:f>
        <ns0:v>BZT52-C18</ns0:v>
      </ns0:c>
      <ns0:c r="E114" s="33" t="str">
        <ns0:v>около ±5%</ns0:v>
      </ns0:c>
      <ns0:c r="F114" s="33" t="str">
        <ns0:v>0,35 Вт</ns0:v>
      </ns0:c>
      <ns0:c r="G114" s="33" t="str">
        <ns0:v>18 В (Uст ном.)</ns0:v>
      </ns0:c>
      <ns0:c r="H114" s="35" t="str">
        <ns0:v>SOD-123</ns0:v>
      </ns0:c>
      <ns0:c r="I114" s="33" t="str">
        <ns0:v>Nexperia</ns0:v>
      </ns0:c>
      <ns0:c r="J114" s="33" t="str">
        <ns0:v>BZT52-C18</ns0:v>
      </ns0:c>
      <ns0:c r="K114" s="34" t="str">
        <ns0:f>B114&amp;" "&amp;J114</ns0:f>
        <ns0:v>Стабилитрон BZT52-C18</ns0:v>
      </ns0:c>
      <ns0:c r="L114" s="36" t="str">
        <ns0:v>Zener_AK</ns0:v>
      </ns0:c>
      <ns0:c r="M114" s="36" t="str">
        <ns0:v>Symbols\MY_LIB_Semiconductors.SchLib</ns0:v>
      </ns0:c>
      <ns0:c r="N114" s="36" t="str">
        <ns0:v>SOD123</ns0:v>
      </ns0:c>
      <ns0:c r="O114" s="36" t="str">
        <ns0:v>Footprints\PBL - SMD Packages.PcbLib</ns0:v>
      </ns0:c>
      <ns0:c r="P11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4" s="33"/>
      <ns0:c r="R114" s="34" t="str">
        <ns0:f>D114</ns0:f>
        <ns0:v>BZT52-C18</ns0:v>
      </ns0:c>
      <ns0:c r="S114" s="34" t="str">
        <ns0:f>K114</ns0:f>
        <ns0:v>Стабилитрон BZT52-C18</ns0:v>
      </ns0:c>
      <ns0:c r="T114" s="33" t="str">
        <ns0:v>C:\Users\Nomatin\Documents\Altium\MY_LIB\MY_LIB\Datasheets\Diodes\BZT52_C_Nexperia.pdf</ns0:v>
      </ns0:c>
      <ns0:c r="U114" s="33" t="str">
        <ns0:v>Rev. 1, 16-Mar-2017; C selection</ns0:v>
      </ns0:c>
      <ns0:c r="V114" s="33" t="str">
        <ns0:v>Даташит — локальный</ns0:v>
      </ns0:c>
      <ns0:c r="W114" s="33" t="str">
        <ns0:v>C:\Users\Nomatin\Documents\Altium\MY_LIB\MY_LIB\Datasheets\Diodes\BZT52_C_Nexperia.pdf</ns0:v>
      </ns0:c>
      <ns0:c r="X114" s="33" t="str">
        <ns0:v>Даташит — производитель</ns0:v>
      </ns0:c>
      <ns0:c r="Y114" s="33" t="str">
        <ns0:v>https://assets.nexperia.com/documents/data-sheet/BZT52_SER.pdf</ns0:v>
      </ns0:c>
      <ns0:c r="Z114" s="33" t="str">
        <ns0:v>C:\Users\Nomatin\Documents\Altium\MY_LIB\MY_LIB\Datasheets\Diodes\BZT52_C_Nexperia.pdf</ns0:v>
      </ns0:c>
      <ns0:c r="AA114" s="33" t="str">
        <ns0:v>BZT52-C</ns0:v>
      </ns0:c>
      <ns0:c r="AB114" s="33" t="str">
        <ns0:v>Одиночный</ns0:v>
      </ns0:c>
      <ns0:c r="AC114" s="33" t="str">
        <ns0:v>K=C (manufacturer 1); A=A (manufacturer 2)</ns0:v>
      </ns0:c>
      <ns0:c r="AD114" s="33"/>
      <ns0:c r="AE114" s="33"/>
      <ns0:c r="AF114" s="33" t="n">
        <ns0:v>18</ns0:v>
      </ns0:c>
      <ns0:c r="AG114" s="33" t="n">
        <ns0:v>5</ns0:v>
      </ns0:c>
      <ns0:c r="AH114" s="33"/>
      <ns0:c r="AI114" s="33"/>
      <ns0:c r="AJ114" s="33" t="str">
        <ns0:v>350 мВт: стандартное посадочное место. 590 мВт: медь катода 1 см², TA≤25 °C; далее снижение мощности.</ns0:v>
      </ns0:c>
    </ns0:row>
    <ns0:row r="115" ht="60" customHeight="1">
      <ns0:c r="A115" s="33" t="str">
        <ns0:v>VD0114</ns0:v>
      </ns0:c>
      <ns0:c r="B115" s="33" t="str">
        <ns0:v>Стабилитрон</ns0:v>
      </ns0:c>
      <ns0:c r="C115" s="33" t="str">
        <ns0:v>BZT52-C20</ns0:v>
      </ns0:c>
      <ns0:c r="D115" s="34" t="str">
        <ns0:f>C115</ns0:f>
        <ns0:v>BZT52-C20</ns0:v>
      </ns0:c>
      <ns0:c r="E115" s="33" t="str">
        <ns0:v>около ±5%</ns0:v>
      </ns0:c>
      <ns0:c r="F115" s="33" t="str">
        <ns0:v>0,35 Вт</ns0:v>
      </ns0:c>
      <ns0:c r="G115" s="33" t="str">
        <ns0:v>20 В (Uст ном.)</ns0:v>
      </ns0:c>
      <ns0:c r="H115" s="35" t="str">
        <ns0:v>SOD-123</ns0:v>
      </ns0:c>
      <ns0:c r="I115" s="33" t="str">
        <ns0:v>Nexperia</ns0:v>
      </ns0:c>
      <ns0:c r="J115" s="33" t="str">
        <ns0:v>BZT52-C20</ns0:v>
      </ns0:c>
      <ns0:c r="K115" s="34" t="str">
        <ns0:f>B115&amp;" "&amp;J115</ns0:f>
        <ns0:v>Стабилитрон BZT52-C20</ns0:v>
      </ns0:c>
      <ns0:c r="L115" s="36" t="str">
        <ns0:v>Zener_AK</ns0:v>
      </ns0:c>
      <ns0:c r="M115" s="36" t="str">
        <ns0:v>Symbols\MY_LIB_Semiconductors.SchLib</ns0:v>
      </ns0:c>
      <ns0:c r="N115" s="36" t="str">
        <ns0:v>SOD123</ns0:v>
      </ns0:c>
      <ns0:c r="O115" s="36" t="str">
        <ns0:v>Footprints\PBL - SMD Packages.PcbLib</ns0:v>
      </ns0:c>
      <ns0:c r="P11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5" s="33"/>
      <ns0:c r="R115" s="34" t="str">
        <ns0:f>D115</ns0:f>
        <ns0:v>BZT52-C20</ns0:v>
      </ns0:c>
      <ns0:c r="S115" s="34" t="str">
        <ns0:f>K115</ns0:f>
        <ns0:v>Стабилитрон BZT52-C20</ns0:v>
      </ns0:c>
      <ns0:c r="T115" s="33" t="str">
        <ns0:v>C:\Users\Nomatin\Documents\Altium\MY_LIB\MY_LIB\Datasheets\Diodes\BZT52_C_Nexperia.pdf</ns0:v>
      </ns0:c>
      <ns0:c r="U115" s="33" t="str">
        <ns0:v>Rev. 1, 16-Mar-2017; C selection</ns0:v>
      </ns0:c>
      <ns0:c r="V115" s="33" t="str">
        <ns0:v>Даташит — локальный</ns0:v>
      </ns0:c>
      <ns0:c r="W115" s="33" t="str">
        <ns0:v>C:\Users\Nomatin\Documents\Altium\MY_LIB\MY_LIB\Datasheets\Diodes\BZT52_C_Nexperia.pdf</ns0:v>
      </ns0:c>
      <ns0:c r="X115" s="33" t="str">
        <ns0:v>Даташит — производитель</ns0:v>
      </ns0:c>
      <ns0:c r="Y115" s="33" t="str">
        <ns0:v>https://assets.nexperia.com/documents/data-sheet/BZT52_SER.pdf</ns0:v>
      </ns0:c>
      <ns0:c r="Z115" s="33" t="str">
        <ns0:v>C:\Users\Nomatin\Documents\Altium\MY_LIB\MY_LIB\Datasheets\Diodes\BZT52_C_Nexperia.pdf</ns0:v>
      </ns0:c>
      <ns0:c r="AA115" s="33" t="str">
        <ns0:v>BZT52-C</ns0:v>
      </ns0:c>
      <ns0:c r="AB115" s="33" t="str">
        <ns0:v>Одиночный</ns0:v>
      </ns0:c>
      <ns0:c r="AC115" s="33" t="str">
        <ns0:v>K=C (manufacturer 1); A=A (manufacturer 2)</ns0:v>
      </ns0:c>
      <ns0:c r="AD115" s="33"/>
      <ns0:c r="AE115" s="33"/>
      <ns0:c r="AF115" s="33" t="n">
        <ns0:v>20</ns0:v>
      </ns0:c>
      <ns0:c r="AG115" s="33" t="n">
        <ns0:v>5</ns0:v>
      </ns0:c>
      <ns0:c r="AH115" s="33"/>
      <ns0:c r="AI115" s="33"/>
      <ns0:c r="AJ115" s="33" t="str">
        <ns0:v>350 мВт: стандартное посадочное место. 590 мВт: медь катода 1 см², TA≤25 °C; далее снижение мощности.</ns0:v>
      </ns0:c>
    </ns0:row>
    <ns0:row r="116" ht="60" customHeight="1">
      <ns0:c r="A116" s="33" t="str">
        <ns0:v>VD0115</ns0:v>
      </ns0:c>
      <ns0:c r="B116" s="33" t="str">
        <ns0:v>Стабилитрон</ns0:v>
      </ns0:c>
      <ns0:c r="C116" s="33" t="str">
        <ns0:v>BZT52-C22</ns0:v>
      </ns0:c>
      <ns0:c r="D116" s="34" t="str">
        <ns0:f>C116</ns0:f>
        <ns0:v>BZT52-C22</ns0:v>
      </ns0:c>
      <ns0:c r="E116" s="33" t="str">
        <ns0:v>около ±5%</ns0:v>
      </ns0:c>
      <ns0:c r="F116" s="33" t="str">
        <ns0:v>0,35 Вт</ns0:v>
      </ns0:c>
      <ns0:c r="G116" s="33" t="str">
        <ns0:v>22 В (Uст ном.)</ns0:v>
      </ns0:c>
      <ns0:c r="H116" s="35" t="str">
        <ns0:v>SOD-123</ns0:v>
      </ns0:c>
      <ns0:c r="I116" s="33" t="str">
        <ns0:v>Nexperia</ns0:v>
      </ns0:c>
      <ns0:c r="J116" s="33" t="str">
        <ns0:v>BZT52-C22</ns0:v>
      </ns0:c>
      <ns0:c r="K116" s="34" t="str">
        <ns0:f>B116&amp;" "&amp;J116</ns0:f>
        <ns0:v>Стабилитрон BZT52-C22</ns0:v>
      </ns0:c>
      <ns0:c r="L116" s="36" t="str">
        <ns0:v>Zener_AK</ns0:v>
      </ns0:c>
      <ns0:c r="M116" s="36" t="str">
        <ns0:v>Symbols\MY_LIB_Semiconductors.SchLib</ns0:v>
      </ns0:c>
      <ns0:c r="N116" s="36" t="str">
        <ns0:v>SOD123</ns0:v>
      </ns0:c>
      <ns0:c r="O116" s="36" t="str">
        <ns0:v>Footprints\PBL - SMD Packages.PcbLib</ns0:v>
      </ns0:c>
      <ns0:c r="P11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6" s="33"/>
      <ns0:c r="R116" s="34" t="str">
        <ns0:f>D116</ns0:f>
        <ns0:v>BZT52-C22</ns0:v>
      </ns0:c>
      <ns0:c r="S116" s="34" t="str">
        <ns0:f>K116</ns0:f>
        <ns0:v>Стабилитрон BZT52-C22</ns0:v>
      </ns0:c>
      <ns0:c r="T116" s="33" t="str">
        <ns0:v>C:\Users\Nomatin\Documents\Altium\MY_LIB\MY_LIB\Datasheets\Diodes\BZT52_C_Nexperia.pdf</ns0:v>
      </ns0:c>
      <ns0:c r="U116" s="33" t="str">
        <ns0:v>Rev. 1, 16-Mar-2017; C selection</ns0:v>
      </ns0:c>
      <ns0:c r="V116" s="33" t="str">
        <ns0:v>Даташит — локальный</ns0:v>
      </ns0:c>
      <ns0:c r="W116" s="33" t="str">
        <ns0:v>C:\Users\Nomatin\Documents\Altium\MY_LIB\MY_LIB\Datasheets\Diodes\BZT52_C_Nexperia.pdf</ns0:v>
      </ns0:c>
      <ns0:c r="X116" s="33" t="str">
        <ns0:v>Даташит — производитель</ns0:v>
      </ns0:c>
      <ns0:c r="Y116" s="33" t="str">
        <ns0:v>https://assets.nexperia.com/documents/data-sheet/BZT52_SER.pdf</ns0:v>
      </ns0:c>
      <ns0:c r="Z116" s="33" t="str">
        <ns0:v>C:\Users\Nomatin\Documents\Altium\MY_LIB\MY_LIB\Datasheets\Diodes\BZT52_C_Nexperia.pdf</ns0:v>
      </ns0:c>
      <ns0:c r="AA116" s="33" t="str">
        <ns0:v>BZT52-C</ns0:v>
      </ns0:c>
      <ns0:c r="AB116" s="33" t="str">
        <ns0:v>Одиночный</ns0:v>
      </ns0:c>
      <ns0:c r="AC116" s="33" t="str">
        <ns0:v>K=C (manufacturer 1); A=A (manufacturer 2)</ns0:v>
      </ns0:c>
      <ns0:c r="AD116" s="33"/>
      <ns0:c r="AE116" s="33"/>
      <ns0:c r="AF116" s="33" t="n">
        <ns0:v>22</ns0:v>
      </ns0:c>
      <ns0:c r="AG116" s="33" t="n">
        <ns0:v>5</ns0:v>
      </ns0:c>
      <ns0:c r="AH116" s="33"/>
      <ns0:c r="AI116" s="33"/>
      <ns0:c r="AJ116" s="33" t="str">
        <ns0:v>350 мВт: стандартное посадочное место. 590 мВт: медь катода 1 см², TA≤25 °C; далее снижение мощности.</ns0:v>
      </ns0:c>
    </ns0:row>
    <ns0:row r="117" ht="60" customHeight="1">
      <ns0:c r="A117" s="33" t="str">
        <ns0:v>VD0116</ns0:v>
      </ns0:c>
      <ns0:c r="B117" s="33" t="str">
        <ns0:v>Стабилитрон</ns0:v>
      </ns0:c>
      <ns0:c r="C117" s="33" t="str">
        <ns0:v>BZT52-C24</ns0:v>
      </ns0:c>
      <ns0:c r="D117" s="34" t="str">
        <ns0:f>C117</ns0:f>
        <ns0:v>BZT52-C24</ns0:v>
      </ns0:c>
      <ns0:c r="E117" s="33" t="str">
        <ns0:v>около ±5%</ns0:v>
      </ns0:c>
      <ns0:c r="F117" s="33" t="str">
        <ns0:v>0,35 Вт</ns0:v>
      </ns0:c>
      <ns0:c r="G117" s="33" t="str">
        <ns0:v>24 В (Uст ном.)</ns0:v>
      </ns0:c>
      <ns0:c r="H117" s="35" t="str">
        <ns0:v>SOD-123</ns0:v>
      </ns0:c>
      <ns0:c r="I117" s="33" t="str">
        <ns0:v>Nexperia</ns0:v>
      </ns0:c>
      <ns0:c r="J117" s="33" t="str">
        <ns0:v>BZT52-C24</ns0:v>
      </ns0:c>
      <ns0:c r="K117" s="34" t="str">
        <ns0:f>B117&amp;" "&amp;J117</ns0:f>
        <ns0:v>Стабилитрон BZT52-C24</ns0:v>
      </ns0:c>
      <ns0:c r="L117" s="36" t="str">
        <ns0:v>Zener_AK</ns0:v>
      </ns0:c>
      <ns0:c r="M117" s="36" t="str">
        <ns0:v>Symbols\MY_LIB_Semiconductors.SchLib</ns0:v>
      </ns0:c>
      <ns0:c r="N117" s="36" t="str">
        <ns0:v>SOD123</ns0:v>
      </ns0:c>
      <ns0:c r="O117" s="36" t="str">
        <ns0:v>Footprints\PBL - SMD Packages.PcbLib</ns0:v>
      </ns0:c>
      <ns0:c r="P11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7" s="33"/>
      <ns0:c r="R117" s="34" t="str">
        <ns0:f>D117</ns0:f>
        <ns0:v>BZT52-C24</ns0:v>
      </ns0:c>
      <ns0:c r="S117" s="34" t="str">
        <ns0:f>K117</ns0:f>
        <ns0:v>Стабилитрон BZT52-C24</ns0:v>
      </ns0:c>
      <ns0:c r="T117" s="33" t="str">
        <ns0:v>C:\Users\Nomatin\Documents\Altium\MY_LIB\MY_LIB\Datasheets\Diodes\BZT52_C_Nexperia.pdf</ns0:v>
      </ns0:c>
      <ns0:c r="U117" s="33" t="str">
        <ns0:v>Rev. 1, 16-Mar-2017; C selection</ns0:v>
      </ns0:c>
      <ns0:c r="V117" s="33" t="str">
        <ns0:v>Даташит — локальный</ns0:v>
      </ns0:c>
      <ns0:c r="W117" s="33" t="str">
        <ns0:v>C:\Users\Nomatin\Documents\Altium\MY_LIB\MY_LIB\Datasheets\Diodes\BZT52_C_Nexperia.pdf</ns0:v>
      </ns0:c>
      <ns0:c r="X117" s="33" t="str">
        <ns0:v>Даташит — производитель</ns0:v>
      </ns0:c>
      <ns0:c r="Y117" s="33" t="str">
        <ns0:v>https://assets.nexperia.com/documents/data-sheet/BZT52_SER.pdf</ns0:v>
      </ns0:c>
      <ns0:c r="Z117" s="33" t="str">
        <ns0:v>C:\Users\Nomatin\Documents\Altium\MY_LIB\MY_LIB\Datasheets\Diodes\BZT52_C_Nexperia.pdf</ns0:v>
      </ns0:c>
      <ns0:c r="AA117" s="33" t="str">
        <ns0:v>BZT52-C</ns0:v>
      </ns0:c>
      <ns0:c r="AB117" s="33" t="str">
        <ns0:v>Одиночный</ns0:v>
      </ns0:c>
      <ns0:c r="AC117" s="33" t="str">
        <ns0:v>K=C (manufacturer 1); A=A (manufacturer 2)</ns0:v>
      </ns0:c>
      <ns0:c r="AD117" s="33"/>
      <ns0:c r="AE117" s="33"/>
      <ns0:c r="AF117" s="33" t="n">
        <ns0:v>24</ns0:v>
      </ns0:c>
      <ns0:c r="AG117" s="33" t="n">
        <ns0:v>5</ns0:v>
      </ns0:c>
      <ns0:c r="AH117" s="33"/>
      <ns0:c r="AI117" s="33"/>
      <ns0:c r="AJ117" s="33" t="str">
        <ns0:v>350 мВт: стандартное посадочное место. 590 мВт: медь катода 1 см², TA≤25 °C; далее снижение мощности.</ns0:v>
      </ns0:c>
    </ns0:row>
    <ns0:row r="118" ht="60" customHeight="1">
      <ns0:c r="A118" s="33" t="str">
        <ns0:v>VD0117</ns0:v>
      </ns0:c>
      <ns0:c r="B118" s="33" t="str">
        <ns0:v>Стабилитрон</ns0:v>
      </ns0:c>
      <ns0:c r="C118" s="33" t="str">
        <ns0:v>BZT52-C27</ns0:v>
      </ns0:c>
      <ns0:c r="D118" s="34" t="str">
        <ns0:f>C118</ns0:f>
        <ns0:v>BZT52-C27</ns0:v>
      </ns0:c>
      <ns0:c r="E118" s="33" t="str">
        <ns0:v>около ±5%</ns0:v>
      </ns0:c>
      <ns0:c r="F118" s="33" t="str">
        <ns0:v>0,35 Вт</ns0:v>
      </ns0:c>
      <ns0:c r="G118" s="33" t="str">
        <ns0:v>27 В (Uст ном.)</ns0:v>
      </ns0:c>
      <ns0:c r="H118" s="35" t="str">
        <ns0:v>SOD-123</ns0:v>
      </ns0:c>
      <ns0:c r="I118" s="33" t="str">
        <ns0:v>Nexperia</ns0:v>
      </ns0:c>
      <ns0:c r="J118" s="33" t="str">
        <ns0:v>BZT52-C27</ns0:v>
      </ns0:c>
      <ns0:c r="K118" s="34" t="str">
        <ns0:f>B118&amp;" "&amp;J118</ns0:f>
        <ns0:v>Стабилитрон BZT52-C27</ns0:v>
      </ns0:c>
      <ns0:c r="L118" s="36" t="str">
        <ns0:v>Zener_AK</ns0:v>
      </ns0:c>
      <ns0:c r="M118" s="36" t="str">
        <ns0:v>Symbols\MY_LIB_Semiconductors.SchLib</ns0:v>
      </ns0:c>
      <ns0:c r="N118" s="36" t="str">
        <ns0:v>SOD123</ns0:v>
      </ns0:c>
      <ns0:c r="O118" s="36" t="str">
        <ns0:v>Footprints\PBL - SMD Packages.PcbLib</ns0:v>
      </ns0:c>
      <ns0:c r="P11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8" s="33"/>
      <ns0:c r="R118" s="34" t="str">
        <ns0:f>D118</ns0:f>
        <ns0:v>BZT52-C27</ns0:v>
      </ns0:c>
      <ns0:c r="S118" s="34" t="str">
        <ns0:f>K118</ns0:f>
        <ns0:v>Стабилитрон BZT52-C27</ns0:v>
      </ns0:c>
      <ns0:c r="T118" s="33" t="str">
        <ns0:v>C:\Users\Nomatin\Documents\Altium\MY_LIB\MY_LIB\Datasheets\Diodes\BZT52_C_Nexperia.pdf</ns0:v>
      </ns0:c>
      <ns0:c r="U118" s="33" t="str">
        <ns0:v>Rev. 1, 16-Mar-2017; C selection</ns0:v>
      </ns0:c>
      <ns0:c r="V118" s="33" t="str">
        <ns0:v>Даташит — локальный</ns0:v>
      </ns0:c>
      <ns0:c r="W118" s="33" t="str">
        <ns0:v>C:\Users\Nomatin\Documents\Altium\MY_LIB\MY_LIB\Datasheets\Diodes\BZT52_C_Nexperia.pdf</ns0:v>
      </ns0:c>
      <ns0:c r="X118" s="33" t="str">
        <ns0:v>Даташит — производитель</ns0:v>
      </ns0:c>
      <ns0:c r="Y118" s="33" t="str">
        <ns0:v>https://assets.nexperia.com/documents/data-sheet/BZT52_SER.pdf</ns0:v>
      </ns0:c>
      <ns0:c r="Z118" s="33" t="str">
        <ns0:v>C:\Users\Nomatin\Documents\Altium\MY_LIB\MY_LIB\Datasheets\Diodes\BZT52_C_Nexperia.pdf</ns0:v>
      </ns0:c>
      <ns0:c r="AA118" s="33" t="str">
        <ns0:v>BZT52-C</ns0:v>
      </ns0:c>
      <ns0:c r="AB118" s="33" t="str">
        <ns0:v>Одиночный</ns0:v>
      </ns0:c>
      <ns0:c r="AC118" s="33" t="str">
        <ns0:v>K=C (manufacturer 1); A=A (manufacturer 2)</ns0:v>
      </ns0:c>
      <ns0:c r="AD118" s="33"/>
      <ns0:c r="AE118" s="33"/>
      <ns0:c r="AF118" s="33" t="n">
        <ns0:v>27</ns0:v>
      </ns0:c>
      <ns0:c r="AG118" s="33" t="n">
        <ns0:v>2</ns0:v>
      </ns0:c>
      <ns0:c r="AH118" s="33"/>
      <ns0:c r="AI118" s="33"/>
      <ns0:c r="AJ118" s="33" t="str">
        <ns0:v>350 мВт: стандартное посадочное место. 590 мВт: медь катода 1 см², TA≤25 °C; далее снижение мощности.</ns0:v>
      </ns0:c>
    </ns0:row>
    <ns0:row r="119" ht="60" customHeight="1">
      <ns0:c r="A119" s="33" t="str">
        <ns0:v>VD0118</ns0:v>
      </ns0:c>
      <ns0:c r="B119" s="33" t="str">
        <ns0:v>Стабилитрон</ns0:v>
      </ns0:c>
      <ns0:c r="C119" s="33" t="str">
        <ns0:v>BZT52-C30</ns0:v>
      </ns0:c>
      <ns0:c r="D119" s="34" t="str">
        <ns0:f>C119</ns0:f>
        <ns0:v>BZT52-C30</ns0:v>
      </ns0:c>
      <ns0:c r="E119" s="33" t="str">
        <ns0:v>около ±5%</ns0:v>
      </ns0:c>
      <ns0:c r="F119" s="33" t="str">
        <ns0:v>0,35 Вт</ns0:v>
      </ns0:c>
      <ns0:c r="G119" s="33" t="str">
        <ns0:v>30 В (Uст ном.)</ns0:v>
      </ns0:c>
      <ns0:c r="H119" s="35" t="str">
        <ns0:v>SOD-123</ns0:v>
      </ns0:c>
      <ns0:c r="I119" s="33" t="str">
        <ns0:v>Nexperia</ns0:v>
      </ns0:c>
      <ns0:c r="J119" s="33" t="str">
        <ns0:v>BZT52-C30</ns0:v>
      </ns0:c>
      <ns0:c r="K119" s="34" t="str">
        <ns0:f>B119&amp;" "&amp;J119</ns0:f>
        <ns0:v>Стабилитрон BZT52-C30</ns0:v>
      </ns0:c>
      <ns0:c r="L119" s="36" t="str">
        <ns0:v>Zener_AK</ns0:v>
      </ns0:c>
      <ns0:c r="M119" s="36" t="str">
        <ns0:v>Symbols\MY_LIB_Semiconductors.SchLib</ns0:v>
      </ns0:c>
      <ns0:c r="N119" s="36" t="str">
        <ns0:v>SOD123</ns0:v>
      </ns0:c>
      <ns0:c r="O119" s="36" t="str">
        <ns0:v>Footprints\PBL - SMD Packages.PcbLib</ns0:v>
      </ns0:c>
      <ns0:c r="P11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19" s="33"/>
      <ns0:c r="R119" s="34" t="str">
        <ns0:f>D119</ns0:f>
        <ns0:v>BZT52-C30</ns0:v>
      </ns0:c>
      <ns0:c r="S119" s="34" t="str">
        <ns0:f>K119</ns0:f>
        <ns0:v>Стабилитрон BZT52-C30</ns0:v>
      </ns0:c>
      <ns0:c r="T119" s="33" t="str">
        <ns0:v>C:\Users\Nomatin\Documents\Altium\MY_LIB\MY_LIB\Datasheets\Diodes\BZT52_C_Nexperia.pdf</ns0:v>
      </ns0:c>
      <ns0:c r="U119" s="33" t="str">
        <ns0:v>Rev. 1, 16-Mar-2017; C selection</ns0:v>
      </ns0:c>
      <ns0:c r="V119" s="33" t="str">
        <ns0:v>Даташит — локальный</ns0:v>
      </ns0:c>
      <ns0:c r="W119" s="33" t="str">
        <ns0:v>C:\Users\Nomatin\Documents\Altium\MY_LIB\MY_LIB\Datasheets\Diodes\BZT52_C_Nexperia.pdf</ns0:v>
      </ns0:c>
      <ns0:c r="X119" s="33" t="str">
        <ns0:v>Даташит — производитель</ns0:v>
      </ns0:c>
      <ns0:c r="Y119" s="33" t="str">
        <ns0:v>https://assets.nexperia.com/documents/data-sheet/BZT52_SER.pdf</ns0:v>
      </ns0:c>
      <ns0:c r="Z119" s="33" t="str">
        <ns0:v>C:\Users\Nomatin\Documents\Altium\MY_LIB\MY_LIB\Datasheets\Diodes\BZT52_C_Nexperia.pdf</ns0:v>
      </ns0:c>
      <ns0:c r="AA119" s="33" t="str">
        <ns0:v>BZT52-C</ns0:v>
      </ns0:c>
      <ns0:c r="AB119" s="33" t="str">
        <ns0:v>Одиночный</ns0:v>
      </ns0:c>
      <ns0:c r="AC119" s="33" t="str">
        <ns0:v>K=C (manufacturer 1); A=A (manufacturer 2)</ns0:v>
      </ns0:c>
      <ns0:c r="AD119" s="33"/>
      <ns0:c r="AE119" s="33"/>
      <ns0:c r="AF119" s="33" t="n">
        <ns0:v>30</ns0:v>
      </ns0:c>
      <ns0:c r="AG119" s="33" t="n">
        <ns0:v>2</ns0:v>
      </ns0:c>
      <ns0:c r="AH119" s="33"/>
      <ns0:c r="AI119" s="33"/>
      <ns0:c r="AJ119" s="33" t="str">
        <ns0:v>350 мВт: стандартное посадочное место. 590 мВт: медь катода 1 см², TA≤25 °C; далее снижение мощности.</ns0:v>
      </ns0:c>
    </ns0:row>
    <ns0:row r="120" ht="60" customHeight="1">
      <ns0:c r="A120" s="33" t="str">
        <ns0:v>VD0119</ns0:v>
      </ns0:c>
      <ns0:c r="B120" s="33" t="str">
        <ns0:v>Стабилитрон</ns0:v>
      </ns0:c>
      <ns0:c r="C120" s="33" t="str">
        <ns0:v>BZT52-C33</ns0:v>
      </ns0:c>
      <ns0:c r="D120" s="34" t="str">
        <ns0:f>C120</ns0:f>
        <ns0:v>BZT52-C33</ns0:v>
      </ns0:c>
      <ns0:c r="E120" s="33" t="str">
        <ns0:v>около ±5%</ns0:v>
      </ns0:c>
      <ns0:c r="F120" s="33" t="str">
        <ns0:v>0,35 Вт</ns0:v>
      </ns0:c>
      <ns0:c r="G120" s="33" t="str">
        <ns0:v>33 В (Uст ном.)</ns0:v>
      </ns0:c>
      <ns0:c r="H120" s="35" t="str">
        <ns0:v>SOD-123</ns0:v>
      </ns0:c>
      <ns0:c r="I120" s="33" t="str">
        <ns0:v>Nexperia</ns0:v>
      </ns0:c>
      <ns0:c r="J120" s="33" t="str">
        <ns0:v>BZT52-C33</ns0:v>
      </ns0:c>
      <ns0:c r="K120" s="34" t="str">
        <ns0:f>B120&amp;" "&amp;J120</ns0:f>
        <ns0:v>Стабилитрон BZT52-C33</ns0:v>
      </ns0:c>
      <ns0:c r="L120" s="36" t="str">
        <ns0:v>Zener_AK</ns0:v>
      </ns0:c>
      <ns0:c r="M120" s="36" t="str">
        <ns0:v>Symbols\MY_LIB_Semiconductors.SchLib</ns0:v>
      </ns0:c>
      <ns0:c r="N120" s="36" t="str">
        <ns0:v>SOD123</ns0:v>
      </ns0:c>
      <ns0:c r="O120" s="36" t="str">
        <ns0:v>Footprints\PBL - SMD Packages.PcbLib</ns0:v>
      </ns0:c>
      <ns0:c r="P120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0" s="33"/>
      <ns0:c r="R120" s="34" t="str">
        <ns0:f>D120</ns0:f>
        <ns0:v>BZT52-C33</ns0:v>
      </ns0:c>
      <ns0:c r="S120" s="34" t="str">
        <ns0:f>K120</ns0:f>
        <ns0:v>Стабилитрон BZT52-C33</ns0:v>
      </ns0:c>
      <ns0:c r="T120" s="33" t="str">
        <ns0:v>C:\Users\Nomatin\Documents\Altium\MY_LIB\MY_LIB\Datasheets\Diodes\BZT52_C_Nexperia.pdf</ns0:v>
      </ns0:c>
      <ns0:c r="U120" s="33" t="str">
        <ns0:v>Rev. 1, 16-Mar-2017; C selection</ns0:v>
      </ns0:c>
      <ns0:c r="V120" s="33" t="str">
        <ns0:v>Даташит — локальный</ns0:v>
      </ns0:c>
      <ns0:c r="W120" s="33" t="str">
        <ns0:v>C:\Users\Nomatin\Documents\Altium\MY_LIB\MY_LIB\Datasheets\Diodes\BZT52_C_Nexperia.pdf</ns0:v>
      </ns0:c>
      <ns0:c r="X120" s="33" t="str">
        <ns0:v>Даташит — производитель</ns0:v>
      </ns0:c>
      <ns0:c r="Y120" s="33" t="str">
        <ns0:v>https://assets.nexperia.com/documents/data-sheet/BZT52_SER.pdf</ns0:v>
      </ns0:c>
      <ns0:c r="Z120" s="33" t="str">
        <ns0:v>C:\Users\Nomatin\Documents\Altium\MY_LIB\MY_LIB\Datasheets\Diodes\BZT52_C_Nexperia.pdf</ns0:v>
      </ns0:c>
      <ns0:c r="AA120" s="33" t="str">
        <ns0:v>BZT52-C</ns0:v>
      </ns0:c>
      <ns0:c r="AB120" s="33" t="str">
        <ns0:v>Одиночный</ns0:v>
      </ns0:c>
      <ns0:c r="AC120" s="33" t="str">
        <ns0:v>K=C (manufacturer 1); A=A (manufacturer 2)</ns0:v>
      </ns0:c>
      <ns0:c r="AD120" s="33"/>
      <ns0:c r="AE120" s="33"/>
      <ns0:c r="AF120" s="33" t="n">
        <ns0:v>33</ns0:v>
      </ns0:c>
      <ns0:c r="AG120" s="33" t="n">
        <ns0:v>2</ns0:v>
      </ns0:c>
      <ns0:c r="AH120" s="33"/>
      <ns0:c r="AI120" s="33"/>
      <ns0:c r="AJ120" s="33" t="str">
        <ns0:v>350 мВт: стандартное посадочное место. 590 мВт: медь катода 1 см², TA≤25 °C; далее снижение мощности.</ns0:v>
      </ns0:c>
    </ns0:row>
    <ns0:row r="121" ht="60" customHeight="1">
      <ns0:c r="A121" s="33" t="str">
        <ns0:v>VD0120</ns0:v>
      </ns0:c>
      <ns0:c r="B121" s="33" t="str">
        <ns0:v>Стабилитрон</ns0:v>
      </ns0:c>
      <ns0:c r="C121" s="33" t="str">
        <ns0:v>BZT52-C36</ns0:v>
      </ns0:c>
      <ns0:c r="D121" s="34" t="str">
        <ns0:f>C121</ns0:f>
        <ns0:v>BZT52-C36</ns0:v>
      </ns0:c>
      <ns0:c r="E121" s="33" t="str">
        <ns0:v>около ±5%</ns0:v>
      </ns0:c>
      <ns0:c r="F121" s="33" t="str">
        <ns0:v>0,35 Вт</ns0:v>
      </ns0:c>
      <ns0:c r="G121" s="33" t="str">
        <ns0:v>36 В (Uст ном.)</ns0:v>
      </ns0:c>
      <ns0:c r="H121" s="35" t="str">
        <ns0:v>SOD-123</ns0:v>
      </ns0:c>
      <ns0:c r="I121" s="33" t="str">
        <ns0:v>Nexperia</ns0:v>
      </ns0:c>
      <ns0:c r="J121" s="33" t="str">
        <ns0:v>BZT52-C36</ns0:v>
      </ns0:c>
      <ns0:c r="K121" s="34" t="str">
        <ns0:f>B121&amp;" "&amp;J121</ns0:f>
        <ns0:v>Стабилитрон BZT52-C36</ns0:v>
      </ns0:c>
      <ns0:c r="L121" s="36" t="str">
        <ns0:v>Zener_AK</ns0:v>
      </ns0:c>
      <ns0:c r="M121" s="36" t="str">
        <ns0:v>Symbols\MY_LIB_Semiconductors.SchLib</ns0:v>
      </ns0:c>
      <ns0:c r="N121" s="36" t="str">
        <ns0:v>SOD123</ns0:v>
      </ns0:c>
      <ns0:c r="O121" s="36" t="str">
        <ns0:v>Footprints\PBL - SMD Packages.PcbLib</ns0:v>
      </ns0:c>
      <ns0:c r="P121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1" s="33"/>
      <ns0:c r="R121" s="34" t="str">
        <ns0:f>D121</ns0:f>
        <ns0:v>BZT52-C36</ns0:v>
      </ns0:c>
      <ns0:c r="S121" s="34" t="str">
        <ns0:f>K121</ns0:f>
        <ns0:v>Стабилитрон BZT52-C36</ns0:v>
      </ns0:c>
      <ns0:c r="T121" s="33" t="str">
        <ns0:v>C:\Users\Nomatin\Documents\Altium\MY_LIB\MY_LIB\Datasheets\Diodes\BZT52_C_Nexperia.pdf</ns0:v>
      </ns0:c>
      <ns0:c r="U121" s="33" t="str">
        <ns0:v>Rev. 1, 16-Mar-2017; C selection</ns0:v>
      </ns0:c>
      <ns0:c r="V121" s="33" t="str">
        <ns0:v>Даташит — локальный</ns0:v>
      </ns0:c>
      <ns0:c r="W121" s="33" t="str">
        <ns0:v>C:\Users\Nomatin\Documents\Altium\MY_LIB\MY_LIB\Datasheets\Diodes\BZT52_C_Nexperia.pdf</ns0:v>
      </ns0:c>
      <ns0:c r="X121" s="33" t="str">
        <ns0:v>Даташит — производитель</ns0:v>
      </ns0:c>
      <ns0:c r="Y121" s="33" t="str">
        <ns0:v>https://assets.nexperia.com/documents/data-sheet/BZT52_SER.pdf</ns0:v>
      </ns0:c>
      <ns0:c r="Z121" s="33" t="str">
        <ns0:v>C:\Users\Nomatin\Documents\Altium\MY_LIB\MY_LIB\Datasheets\Diodes\BZT52_C_Nexperia.pdf</ns0:v>
      </ns0:c>
      <ns0:c r="AA121" s="33" t="str">
        <ns0:v>BZT52-C</ns0:v>
      </ns0:c>
      <ns0:c r="AB121" s="33" t="str">
        <ns0:v>Одиночный</ns0:v>
      </ns0:c>
      <ns0:c r="AC121" s="33" t="str">
        <ns0:v>K=C (manufacturer 1); A=A (manufacturer 2)</ns0:v>
      </ns0:c>
      <ns0:c r="AD121" s="33"/>
      <ns0:c r="AE121" s="33"/>
      <ns0:c r="AF121" s="33" t="n">
        <ns0:v>36</ns0:v>
      </ns0:c>
      <ns0:c r="AG121" s="33" t="n">
        <ns0:v>2</ns0:v>
      </ns0:c>
      <ns0:c r="AH121" s="33"/>
      <ns0:c r="AI121" s="33"/>
      <ns0:c r="AJ121" s="33" t="str">
        <ns0:v>350 мВт: стандартное посадочное место. 590 мВт: медь катода 1 см², TA≤25 °C; далее снижение мощности.</ns0:v>
      </ns0:c>
    </ns0:row>
    <ns0:row r="122" ht="60" customHeight="1">
      <ns0:c r="A122" s="33" t="str">
        <ns0:v>VD0121</ns0:v>
      </ns0:c>
      <ns0:c r="B122" s="33" t="str">
        <ns0:v>Стабилитрон</ns0:v>
      </ns0:c>
      <ns0:c r="C122" s="33" t="str">
        <ns0:v>BZT52-C39</ns0:v>
      </ns0:c>
      <ns0:c r="D122" s="34" t="str">
        <ns0:f>C122</ns0:f>
        <ns0:v>BZT52-C39</ns0:v>
      </ns0:c>
      <ns0:c r="E122" s="33" t="str">
        <ns0:v>около ±5%</ns0:v>
      </ns0:c>
      <ns0:c r="F122" s="33" t="str">
        <ns0:v>0,35 Вт</ns0:v>
      </ns0:c>
      <ns0:c r="G122" s="33" t="str">
        <ns0:v>39 В (Uст ном.)</ns0:v>
      </ns0:c>
      <ns0:c r="H122" s="35" t="str">
        <ns0:v>SOD-123</ns0:v>
      </ns0:c>
      <ns0:c r="I122" s="33" t="str">
        <ns0:v>Nexperia</ns0:v>
      </ns0:c>
      <ns0:c r="J122" s="33" t="str">
        <ns0:v>BZT52-C39</ns0:v>
      </ns0:c>
      <ns0:c r="K122" s="34" t="str">
        <ns0:f>B122&amp;" "&amp;J122</ns0:f>
        <ns0:v>Стабилитрон BZT52-C39</ns0:v>
      </ns0:c>
      <ns0:c r="L122" s="36" t="str">
        <ns0:v>Zener_AK</ns0:v>
      </ns0:c>
      <ns0:c r="M122" s="36" t="str">
        <ns0:v>Symbols\MY_LIB_Semiconductors.SchLib</ns0:v>
      </ns0:c>
      <ns0:c r="N122" s="36" t="str">
        <ns0:v>SOD123</ns0:v>
      </ns0:c>
      <ns0:c r="O122" s="36" t="str">
        <ns0:v>Footprints\PBL - SMD Packages.PcbLib</ns0:v>
      </ns0:c>
      <ns0:c r="P122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2" s="33"/>
      <ns0:c r="R122" s="34" t="str">
        <ns0:f>D122</ns0:f>
        <ns0:v>BZT52-C39</ns0:v>
      </ns0:c>
      <ns0:c r="S122" s="34" t="str">
        <ns0:f>K122</ns0:f>
        <ns0:v>Стабилитрон BZT52-C39</ns0:v>
      </ns0:c>
      <ns0:c r="T122" s="33" t="str">
        <ns0:v>C:\Users\Nomatin\Documents\Altium\MY_LIB\MY_LIB\Datasheets\Diodes\BZT52_C_Nexperia.pdf</ns0:v>
      </ns0:c>
      <ns0:c r="U122" s="33" t="str">
        <ns0:v>Rev. 1, 16-Mar-2017; C selection</ns0:v>
      </ns0:c>
      <ns0:c r="V122" s="33" t="str">
        <ns0:v>Даташит — локальный</ns0:v>
      </ns0:c>
      <ns0:c r="W122" s="33" t="str">
        <ns0:v>C:\Users\Nomatin\Documents\Altium\MY_LIB\MY_LIB\Datasheets\Diodes\BZT52_C_Nexperia.pdf</ns0:v>
      </ns0:c>
      <ns0:c r="X122" s="33" t="str">
        <ns0:v>Даташит — производитель</ns0:v>
      </ns0:c>
      <ns0:c r="Y122" s="33" t="str">
        <ns0:v>https://assets.nexperia.com/documents/data-sheet/BZT52_SER.pdf</ns0:v>
      </ns0:c>
      <ns0:c r="Z122" s="33" t="str">
        <ns0:v>C:\Users\Nomatin\Documents\Altium\MY_LIB\MY_LIB\Datasheets\Diodes\BZT52_C_Nexperia.pdf</ns0:v>
      </ns0:c>
      <ns0:c r="AA122" s="33" t="str">
        <ns0:v>BZT52-C</ns0:v>
      </ns0:c>
      <ns0:c r="AB122" s="33" t="str">
        <ns0:v>Одиночный</ns0:v>
      </ns0:c>
      <ns0:c r="AC122" s="33" t="str">
        <ns0:v>K=C (manufacturer 1); A=A (manufacturer 2)</ns0:v>
      </ns0:c>
      <ns0:c r="AD122" s="33"/>
      <ns0:c r="AE122" s="33"/>
      <ns0:c r="AF122" s="33" t="n">
        <ns0:v>39</ns0:v>
      </ns0:c>
      <ns0:c r="AG122" s="33" t="n">
        <ns0:v>2</ns0:v>
      </ns0:c>
      <ns0:c r="AH122" s="33"/>
      <ns0:c r="AI122" s="33"/>
      <ns0:c r="AJ122" s="33" t="str">
        <ns0:v>350 мВт: стандартное посадочное место. 590 мВт: медь катода 1 см², TA≤25 °C; далее снижение мощности.</ns0:v>
      </ns0:c>
    </ns0:row>
    <ns0:row r="123" ht="60" customHeight="1">
      <ns0:c r="A123" s="33" t="str">
        <ns0:v>VD0122</ns0:v>
      </ns0:c>
      <ns0:c r="B123" s="33" t="str">
        <ns0:v>Стабилитрон</ns0:v>
      </ns0:c>
      <ns0:c r="C123" s="33" t="str">
        <ns0:v>BZT52-C43</ns0:v>
      </ns0:c>
      <ns0:c r="D123" s="34" t="str">
        <ns0:f>C123</ns0:f>
        <ns0:v>BZT52-C43</ns0:v>
      </ns0:c>
      <ns0:c r="E123" s="33" t="str">
        <ns0:v>около ±5%</ns0:v>
      </ns0:c>
      <ns0:c r="F123" s="33" t="str">
        <ns0:v>0,35 Вт</ns0:v>
      </ns0:c>
      <ns0:c r="G123" s="33" t="str">
        <ns0:v>43 В (Uст ном.)</ns0:v>
      </ns0:c>
      <ns0:c r="H123" s="35" t="str">
        <ns0:v>SOD-123</ns0:v>
      </ns0:c>
      <ns0:c r="I123" s="33" t="str">
        <ns0:v>Nexperia</ns0:v>
      </ns0:c>
      <ns0:c r="J123" s="33" t="str">
        <ns0:v>BZT52-C43</ns0:v>
      </ns0:c>
      <ns0:c r="K123" s="34" t="str">
        <ns0:f>B123&amp;" "&amp;J123</ns0:f>
        <ns0:v>Стабилитрон BZT52-C43</ns0:v>
      </ns0:c>
      <ns0:c r="L123" s="36" t="str">
        <ns0:v>Zener_AK</ns0:v>
      </ns0:c>
      <ns0:c r="M123" s="36" t="str">
        <ns0:v>Symbols\MY_LIB_Semiconductors.SchLib</ns0:v>
      </ns0:c>
      <ns0:c r="N123" s="36" t="str">
        <ns0:v>SOD123</ns0:v>
      </ns0:c>
      <ns0:c r="O123" s="36" t="str">
        <ns0:v>Footprints\PBL - SMD Packages.PcbLib</ns0:v>
      </ns0:c>
      <ns0:c r="P123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3" s="33"/>
      <ns0:c r="R123" s="34" t="str">
        <ns0:f>D123</ns0:f>
        <ns0:v>BZT52-C43</ns0:v>
      </ns0:c>
      <ns0:c r="S123" s="34" t="str">
        <ns0:f>K123</ns0:f>
        <ns0:v>Стабилитрон BZT52-C43</ns0:v>
      </ns0:c>
      <ns0:c r="T123" s="33" t="str">
        <ns0:v>C:\Users\Nomatin\Documents\Altium\MY_LIB\MY_LIB\Datasheets\Diodes\BZT52_C_Nexperia.pdf</ns0:v>
      </ns0:c>
      <ns0:c r="U123" s="33" t="str">
        <ns0:v>Rev. 1, 16-Mar-2017; C selection</ns0:v>
      </ns0:c>
      <ns0:c r="V123" s="33" t="str">
        <ns0:v>Даташит — локальный</ns0:v>
      </ns0:c>
      <ns0:c r="W123" s="33" t="str">
        <ns0:v>C:\Users\Nomatin\Documents\Altium\MY_LIB\MY_LIB\Datasheets\Diodes\BZT52_C_Nexperia.pdf</ns0:v>
      </ns0:c>
      <ns0:c r="X123" s="33" t="str">
        <ns0:v>Даташит — производитель</ns0:v>
      </ns0:c>
      <ns0:c r="Y123" s="33" t="str">
        <ns0:v>https://assets.nexperia.com/documents/data-sheet/BZT52_SER.pdf</ns0:v>
      </ns0:c>
      <ns0:c r="Z123" s="33" t="str">
        <ns0:v>C:\Users\Nomatin\Documents\Altium\MY_LIB\MY_LIB\Datasheets\Diodes\BZT52_C_Nexperia.pdf</ns0:v>
      </ns0:c>
      <ns0:c r="AA123" s="33" t="str">
        <ns0:v>BZT52-C</ns0:v>
      </ns0:c>
      <ns0:c r="AB123" s="33" t="str">
        <ns0:v>Одиночный</ns0:v>
      </ns0:c>
      <ns0:c r="AC123" s="33" t="str">
        <ns0:v>K=C (manufacturer 1); A=A (manufacturer 2)</ns0:v>
      </ns0:c>
      <ns0:c r="AD123" s="33"/>
      <ns0:c r="AE123" s="33"/>
      <ns0:c r="AF123" s="33" t="n">
        <ns0:v>43</ns0:v>
      </ns0:c>
      <ns0:c r="AG123" s="33" t="n">
        <ns0:v>2</ns0:v>
      </ns0:c>
      <ns0:c r="AH123" s="33"/>
      <ns0:c r="AI123" s="33"/>
      <ns0:c r="AJ123" s="33" t="str">
        <ns0:v>350 мВт: стандартное посадочное место. 590 мВт: медь катода 1 см², TA≤25 °C; далее снижение мощности.</ns0:v>
      </ns0:c>
    </ns0:row>
    <ns0:row r="124" ht="60" customHeight="1">
      <ns0:c r="A124" s="33" t="str">
        <ns0:v>VD0123</ns0:v>
      </ns0:c>
      <ns0:c r="B124" s="33" t="str">
        <ns0:v>Стабилитрон</ns0:v>
      </ns0:c>
      <ns0:c r="C124" s="33" t="str">
        <ns0:v>BZT52-C47</ns0:v>
      </ns0:c>
      <ns0:c r="D124" s="34" t="str">
        <ns0:f>C124</ns0:f>
        <ns0:v>BZT52-C47</ns0:v>
      </ns0:c>
      <ns0:c r="E124" s="33" t="str">
        <ns0:v>около ±5%</ns0:v>
      </ns0:c>
      <ns0:c r="F124" s="33" t="str">
        <ns0:v>0,35 Вт</ns0:v>
      </ns0:c>
      <ns0:c r="G124" s="33" t="str">
        <ns0:v>47 В (Uст ном.)</ns0:v>
      </ns0:c>
      <ns0:c r="H124" s="35" t="str">
        <ns0:v>SOD-123</ns0:v>
      </ns0:c>
      <ns0:c r="I124" s="33" t="str">
        <ns0:v>Nexperia</ns0:v>
      </ns0:c>
      <ns0:c r="J124" s="33" t="str">
        <ns0:v>BZT52-C47</ns0:v>
      </ns0:c>
      <ns0:c r="K124" s="34" t="str">
        <ns0:f>B124&amp;" "&amp;J124</ns0:f>
        <ns0:v>Стабилитрон BZT52-C47</ns0:v>
      </ns0:c>
      <ns0:c r="L124" s="36" t="str">
        <ns0:v>Zener_AK</ns0:v>
      </ns0:c>
      <ns0:c r="M124" s="36" t="str">
        <ns0:v>Symbols\MY_LIB_Semiconductors.SchLib</ns0:v>
      </ns0:c>
      <ns0:c r="N124" s="36" t="str">
        <ns0:v>SOD123</ns0:v>
      </ns0:c>
      <ns0:c r="O124" s="36" t="str">
        <ns0:v>Footprints\PBL - SMD Packages.PcbLib</ns0:v>
      </ns0:c>
      <ns0:c r="P124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4" s="33"/>
      <ns0:c r="R124" s="34" t="str">
        <ns0:f>D124</ns0:f>
        <ns0:v>BZT52-C47</ns0:v>
      </ns0:c>
      <ns0:c r="S124" s="34" t="str">
        <ns0:f>K124</ns0:f>
        <ns0:v>Стабилитрон BZT52-C47</ns0:v>
      </ns0:c>
      <ns0:c r="T124" s="33" t="str">
        <ns0:v>C:\Users\Nomatin\Documents\Altium\MY_LIB\MY_LIB\Datasheets\Diodes\BZT52_C_Nexperia.pdf</ns0:v>
      </ns0:c>
      <ns0:c r="U124" s="33" t="str">
        <ns0:v>Rev. 1, 16-Mar-2017; C selection</ns0:v>
      </ns0:c>
      <ns0:c r="V124" s="33" t="str">
        <ns0:v>Даташит — локальный</ns0:v>
      </ns0:c>
      <ns0:c r="W124" s="33" t="str">
        <ns0:v>C:\Users\Nomatin\Documents\Altium\MY_LIB\MY_LIB\Datasheets\Diodes\BZT52_C_Nexperia.pdf</ns0:v>
      </ns0:c>
      <ns0:c r="X124" s="33" t="str">
        <ns0:v>Даташит — производитель</ns0:v>
      </ns0:c>
      <ns0:c r="Y124" s="33" t="str">
        <ns0:v>https://assets.nexperia.com/documents/data-sheet/BZT52_SER.pdf</ns0:v>
      </ns0:c>
      <ns0:c r="Z124" s="33" t="str">
        <ns0:v>C:\Users\Nomatin\Documents\Altium\MY_LIB\MY_LIB\Datasheets\Diodes\BZT52_C_Nexperia.pdf</ns0:v>
      </ns0:c>
      <ns0:c r="AA124" s="33" t="str">
        <ns0:v>BZT52-C</ns0:v>
      </ns0:c>
      <ns0:c r="AB124" s="33" t="str">
        <ns0:v>Одиночный</ns0:v>
      </ns0:c>
      <ns0:c r="AC124" s="33" t="str">
        <ns0:v>K=C (manufacturer 1); A=A (manufacturer 2)</ns0:v>
      </ns0:c>
      <ns0:c r="AD124" s="33"/>
      <ns0:c r="AE124" s="33"/>
      <ns0:c r="AF124" s="33" t="n">
        <ns0:v>47</ns0:v>
      </ns0:c>
      <ns0:c r="AG124" s="33" t="n">
        <ns0:v>2</ns0:v>
      </ns0:c>
      <ns0:c r="AH124" s="33"/>
      <ns0:c r="AI124" s="33"/>
      <ns0:c r="AJ124" s="33" t="str">
        <ns0:v>350 мВт: стандартное посадочное место. 590 мВт: медь катода 1 см², TA≤25 °C; далее снижение мощности.</ns0:v>
      </ns0:c>
    </ns0:row>
    <ns0:row r="125" ht="60" customHeight="1">
      <ns0:c r="A125" s="33" t="str">
        <ns0:v>VD0124</ns0:v>
      </ns0:c>
      <ns0:c r="B125" s="33" t="str">
        <ns0:v>Стабилитрон</ns0:v>
      </ns0:c>
      <ns0:c r="C125" s="33" t="str">
        <ns0:v>BZT52-C51</ns0:v>
      </ns0:c>
      <ns0:c r="D125" s="34" t="str">
        <ns0:f>C125</ns0:f>
        <ns0:v>BZT52-C51</ns0:v>
      </ns0:c>
      <ns0:c r="E125" s="33" t="str">
        <ns0:v>около ±5%</ns0:v>
      </ns0:c>
      <ns0:c r="F125" s="33" t="str">
        <ns0:v>0,35 Вт</ns0:v>
      </ns0:c>
      <ns0:c r="G125" s="33" t="str">
        <ns0:v>51 В (Uст ном.)</ns0:v>
      </ns0:c>
      <ns0:c r="H125" s="35" t="str">
        <ns0:v>SOD-123</ns0:v>
      </ns0:c>
      <ns0:c r="I125" s="33" t="str">
        <ns0:v>Nexperia</ns0:v>
      </ns0:c>
      <ns0:c r="J125" s="33" t="str">
        <ns0:v>BZT52-C51</ns0:v>
      </ns0:c>
      <ns0:c r="K125" s="34" t="str">
        <ns0:f>B125&amp;" "&amp;J125</ns0:f>
        <ns0:v>Стабилитрон BZT52-C51</ns0:v>
      </ns0:c>
      <ns0:c r="L125" s="36" t="str">
        <ns0:v>Zener_AK</ns0:v>
      </ns0:c>
      <ns0:c r="M125" s="36" t="str">
        <ns0:v>Symbols\MY_LIB_Semiconductors.SchLib</ns0:v>
      </ns0:c>
      <ns0:c r="N125" s="36" t="str">
        <ns0:v>SOD123</ns0:v>
      </ns0:c>
      <ns0:c r="O125" s="36" t="str">
        <ns0:v>Footprints\PBL - SMD Packages.PcbLib</ns0:v>
      </ns0:c>
      <ns0:c r="P125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5" s="33"/>
      <ns0:c r="R125" s="34" t="str">
        <ns0:f>D125</ns0:f>
        <ns0:v>BZT52-C51</ns0:v>
      </ns0:c>
      <ns0:c r="S125" s="34" t="str">
        <ns0:f>K125</ns0:f>
        <ns0:v>Стабилитрон BZT52-C51</ns0:v>
      </ns0:c>
      <ns0:c r="T125" s="33" t="str">
        <ns0:v>C:\Users\Nomatin\Documents\Altium\MY_LIB\MY_LIB\Datasheets\Diodes\BZT52_C_Nexperia.pdf</ns0:v>
      </ns0:c>
      <ns0:c r="U125" s="33" t="str">
        <ns0:v>Rev. 1, 16-Mar-2017; C selection</ns0:v>
      </ns0:c>
      <ns0:c r="V125" s="33" t="str">
        <ns0:v>Даташит — локальный</ns0:v>
      </ns0:c>
      <ns0:c r="W125" s="33" t="str">
        <ns0:v>C:\Users\Nomatin\Documents\Altium\MY_LIB\MY_LIB\Datasheets\Diodes\BZT52_C_Nexperia.pdf</ns0:v>
      </ns0:c>
      <ns0:c r="X125" s="33" t="str">
        <ns0:v>Даташит — производитель</ns0:v>
      </ns0:c>
      <ns0:c r="Y125" s="33" t="str">
        <ns0:v>https://assets.nexperia.com/documents/data-sheet/BZT52_SER.pdf</ns0:v>
      </ns0:c>
      <ns0:c r="Z125" s="33" t="str">
        <ns0:v>C:\Users\Nomatin\Documents\Altium\MY_LIB\MY_LIB\Datasheets\Diodes\BZT52_C_Nexperia.pdf</ns0:v>
      </ns0:c>
      <ns0:c r="AA125" s="33" t="str">
        <ns0:v>BZT52-C</ns0:v>
      </ns0:c>
      <ns0:c r="AB125" s="33" t="str">
        <ns0:v>Одиночный</ns0:v>
      </ns0:c>
      <ns0:c r="AC125" s="33" t="str">
        <ns0:v>K=C (manufacturer 1); A=A (manufacturer 2)</ns0:v>
      </ns0:c>
      <ns0:c r="AD125" s="33"/>
      <ns0:c r="AE125" s="33"/>
      <ns0:c r="AF125" s="33" t="n">
        <ns0:v>51</ns0:v>
      </ns0:c>
      <ns0:c r="AG125" s="33" t="n">
        <ns0:v>2</ns0:v>
      </ns0:c>
      <ns0:c r="AH125" s="33"/>
      <ns0:c r="AI125" s="33"/>
      <ns0:c r="AJ125" s="33" t="str">
        <ns0:v>350 мВт: стандартное посадочное место. 590 мВт: медь катода 1 см², TA≤25 °C; далее снижение мощности.</ns0:v>
      </ns0:c>
    </ns0:row>
    <ns0:row r="126" ht="60" customHeight="1">
      <ns0:c r="A126" s="33" t="str">
        <ns0:v>VD0125</ns0:v>
      </ns0:c>
      <ns0:c r="B126" s="33" t="str">
        <ns0:v>Стабилитрон</ns0:v>
      </ns0:c>
      <ns0:c r="C126" s="33" t="str">
        <ns0:v>BZT52-C56</ns0:v>
      </ns0:c>
      <ns0:c r="D126" s="34" t="str">
        <ns0:f>C126</ns0:f>
        <ns0:v>BZT52-C56</ns0:v>
      </ns0:c>
      <ns0:c r="E126" s="33" t="str">
        <ns0:v>около ±5%</ns0:v>
      </ns0:c>
      <ns0:c r="F126" s="33" t="str">
        <ns0:v>0,35 Вт</ns0:v>
      </ns0:c>
      <ns0:c r="G126" s="33" t="str">
        <ns0:v>56 В (Uст ном.)</ns0:v>
      </ns0:c>
      <ns0:c r="H126" s="35" t="str">
        <ns0:v>SOD-123</ns0:v>
      </ns0:c>
      <ns0:c r="I126" s="33" t="str">
        <ns0:v>Nexperia</ns0:v>
      </ns0:c>
      <ns0:c r="J126" s="33" t="str">
        <ns0:v>BZT52-C56</ns0:v>
      </ns0:c>
      <ns0:c r="K126" s="34" t="str">
        <ns0:f>B126&amp;" "&amp;J126</ns0:f>
        <ns0:v>Стабилитрон BZT52-C56</ns0:v>
      </ns0:c>
      <ns0:c r="L126" s="36" t="str">
        <ns0:v>Zener_AK</ns0:v>
      </ns0:c>
      <ns0:c r="M126" s="36" t="str">
        <ns0:v>Symbols\MY_LIB_Semiconductors.SchLib</ns0:v>
      </ns0:c>
      <ns0:c r="N126" s="36" t="str">
        <ns0:v>SOD123</ns0:v>
      </ns0:c>
      <ns0:c r="O126" s="36" t="str">
        <ns0:v>Footprints\PBL - SMD Packages.PcbLib</ns0:v>
      </ns0:c>
      <ns0:c r="P126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6" s="33"/>
      <ns0:c r="R126" s="34" t="str">
        <ns0:f>D126</ns0:f>
        <ns0:v>BZT52-C56</ns0:v>
      </ns0:c>
      <ns0:c r="S126" s="34" t="str">
        <ns0:f>K126</ns0:f>
        <ns0:v>Стабилитрон BZT52-C56</ns0:v>
      </ns0:c>
      <ns0:c r="T126" s="33" t="str">
        <ns0:v>C:\Users\Nomatin\Documents\Altium\MY_LIB\MY_LIB\Datasheets\Diodes\BZT52_C_Nexperia.pdf</ns0:v>
      </ns0:c>
      <ns0:c r="U126" s="33" t="str">
        <ns0:v>Rev. 1, 16-Mar-2017; C selection</ns0:v>
      </ns0:c>
      <ns0:c r="V126" s="33" t="str">
        <ns0:v>Даташит — локальный</ns0:v>
      </ns0:c>
      <ns0:c r="W126" s="33" t="str">
        <ns0:v>C:\Users\Nomatin\Documents\Altium\MY_LIB\MY_LIB\Datasheets\Diodes\BZT52_C_Nexperia.pdf</ns0:v>
      </ns0:c>
      <ns0:c r="X126" s="33" t="str">
        <ns0:v>Даташит — производитель</ns0:v>
      </ns0:c>
      <ns0:c r="Y126" s="33" t="str">
        <ns0:v>https://assets.nexperia.com/documents/data-sheet/BZT52_SER.pdf</ns0:v>
      </ns0:c>
      <ns0:c r="Z126" s="33" t="str">
        <ns0:v>C:\Users\Nomatin\Documents\Altium\MY_LIB\MY_LIB\Datasheets\Diodes\BZT52_C_Nexperia.pdf</ns0:v>
      </ns0:c>
      <ns0:c r="AA126" s="33" t="str">
        <ns0:v>BZT52-C</ns0:v>
      </ns0:c>
      <ns0:c r="AB126" s="33" t="str">
        <ns0:v>Одиночный</ns0:v>
      </ns0:c>
      <ns0:c r="AC126" s="33" t="str">
        <ns0:v>K=C (manufacturer 1); A=A (manufacturer 2)</ns0:v>
      </ns0:c>
      <ns0:c r="AD126" s="33"/>
      <ns0:c r="AE126" s="33"/>
      <ns0:c r="AF126" s="33" t="n">
        <ns0:v>56</ns0:v>
      </ns0:c>
      <ns0:c r="AG126" s="33" t="n">
        <ns0:v>2</ns0:v>
      </ns0:c>
      <ns0:c r="AH126" s="33"/>
      <ns0:c r="AI126" s="33"/>
      <ns0:c r="AJ126" s="33" t="str">
        <ns0:v>350 мВт: стандартное посадочное место. 590 мВт: медь катода 1 см², TA≤25 °C; далее снижение мощности.</ns0:v>
      </ns0:c>
    </ns0:row>
    <ns0:row r="127" ht="60" customHeight="1">
      <ns0:c r="A127" s="33" t="str">
        <ns0:v>VD0126</ns0:v>
      </ns0:c>
      <ns0:c r="B127" s="33" t="str">
        <ns0:v>Стабилитрон</ns0:v>
      </ns0:c>
      <ns0:c r="C127" s="33" t="str">
        <ns0:v>BZT52-C62</ns0:v>
      </ns0:c>
      <ns0:c r="D127" s="34" t="str">
        <ns0:f>C127</ns0:f>
        <ns0:v>BZT52-C62</ns0:v>
      </ns0:c>
      <ns0:c r="E127" s="33" t="str">
        <ns0:v>около ±5%</ns0:v>
      </ns0:c>
      <ns0:c r="F127" s="33" t="str">
        <ns0:v>0,35 Вт</ns0:v>
      </ns0:c>
      <ns0:c r="G127" s="33" t="str">
        <ns0:v>62 В (Uст ном.)</ns0:v>
      </ns0:c>
      <ns0:c r="H127" s="35" t="str">
        <ns0:v>SOD-123</ns0:v>
      </ns0:c>
      <ns0:c r="I127" s="33" t="str">
        <ns0:v>Nexperia</ns0:v>
      </ns0:c>
      <ns0:c r="J127" s="33" t="str">
        <ns0:v>BZT52-C62</ns0:v>
      </ns0:c>
      <ns0:c r="K127" s="34" t="str">
        <ns0:f>B127&amp;" "&amp;J127</ns0:f>
        <ns0:v>Стабилитрон BZT52-C62</ns0:v>
      </ns0:c>
      <ns0:c r="L127" s="36" t="str">
        <ns0:v>Zener_AK</ns0:v>
      </ns0:c>
      <ns0:c r="M127" s="36" t="str">
        <ns0:v>Symbols\MY_LIB_Semiconductors.SchLib</ns0:v>
      </ns0:c>
      <ns0:c r="N127" s="36" t="str">
        <ns0:v>SOD123</ns0:v>
      </ns0:c>
      <ns0:c r="O127" s="36" t="str">
        <ns0:v>Footprints\PBL - SMD Packages.PcbLib</ns0:v>
      </ns0:c>
      <ns0:c r="P127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7" s="33"/>
      <ns0:c r="R127" s="34" t="str">
        <ns0:f>D127</ns0:f>
        <ns0:v>BZT52-C62</ns0:v>
      </ns0:c>
      <ns0:c r="S127" s="34" t="str">
        <ns0:f>K127</ns0:f>
        <ns0:v>Стабилитрон BZT52-C62</ns0:v>
      </ns0:c>
      <ns0:c r="T127" s="33" t="str">
        <ns0:v>C:\Users\Nomatin\Documents\Altium\MY_LIB\MY_LIB\Datasheets\Diodes\BZT52_C_Nexperia.pdf</ns0:v>
      </ns0:c>
      <ns0:c r="U127" s="33" t="str">
        <ns0:v>Rev. 1, 16-Mar-2017; C selection</ns0:v>
      </ns0:c>
      <ns0:c r="V127" s="33" t="str">
        <ns0:v>Даташит — локальный</ns0:v>
      </ns0:c>
      <ns0:c r="W127" s="33" t="str">
        <ns0:v>C:\Users\Nomatin\Documents\Altium\MY_LIB\MY_LIB\Datasheets\Diodes\BZT52_C_Nexperia.pdf</ns0:v>
      </ns0:c>
      <ns0:c r="X127" s="33" t="str">
        <ns0:v>Даташит — производитель</ns0:v>
      </ns0:c>
      <ns0:c r="Y127" s="33" t="str">
        <ns0:v>https://assets.nexperia.com/documents/data-sheet/BZT52_SER.pdf</ns0:v>
      </ns0:c>
      <ns0:c r="Z127" s="33" t="str">
        <ns0:v>C:\Users\Nomatin\Documents\Altium\MY_LIB\MY_LIB\Datasheets\Diodes\BZT52_C_Nexperia.pdf</ns0:v>
      </ns0:c>
      <ns0:c r="AA127" s="33" t="str">
        <ns0:v>BZT52-C</ns0:v>
      </ns0:c>
      <ns0:c r="AB127" s="33" t="str">
        <ns0:v>Одиночный</ns0:v>
      </ns0:c>
      <ns0:c r="AC127" s="33" t="str">
        <ns0:v>K=C (manufacturer 1); A=A (manufacturer 2)</ns0:v>
      </ns0:c>
      <ns0:c r="AD127" s="33"/>
      <ns0:c r="AE127" s="33"/>
      <ns0:c r="AF127" s="33" t="n">
        <ns0:v>62</ns0:v>
      </ns0:c>
      <ns0:c r="AG127" s="33" t="n">
        <ns0:v>2</ns0:v>
      </ns0:c>
      <ns0:c r="AH127" s="33"/>
      <ns0:c r="AI127" s="33"/>
      <ns0:c r="AJ127" s="33" t="str">
        <ns0:v>350 мВт: стандартное посадочное место. 590 мВт: медь катода 1 см², TA≤25 °C; далее снижение мощности.</ns0:v>
      </ns0:c>
    </ns0:row>
    <ns0:row r="128" ht="60" customHeight="1">
      <ns0:c r="A128" s="33" t="str">
        <ns0:v>VD0127</ns0:v>
      </ns0:c>
      <ns0:c r="B128" s="33" t="str">
        <ns0:v>Стабилитрон</ns0:v>
      </ns0:c>
      <ns0:c r="C128" s="33" t="str">
        <ns0:v>BZT52-C68</ns0:v>
      </ns0:c>
      <ns0:c r="D128" s="34" t="str">
        <ns0:f>C128</ns0:f>
        <ns0:v>BZT52-C68</ns0:v>
      </ns0:c>
      <ns0:c r="E128" s="33" t="str">
        <ns0:v>около ±5%</ns0:v>
      </ns0:c>
      <ns0:c r="F128" s="33" t="str">
        <ns0:v>0,35 Вт</ns0:v>
      </ns0:c>
      <ns0:c r="G128" s="33" t="str">
        <ns0:v>68 В (Uст ном.)</ns0:v>
      </ns0:c>
      <ns0:c r="H128" s="35" t="str">
        <ns0:v>SOD-123</ns0:v>
      </ns0:c>
      <ns0:c r="I128" s="33" t="str">
        <ns0:v>Nexperia</ns0:v>
      </ns0:c>
      <ns0:c r="J128" s="33" t="str">
        <ns0:v>BZT52-C68</ns0:v>
      </ns0:c>
      <ns0:c r="K128" s="34" t="str">
        <ns0:f>B128&amp;" "&amp;J128</ns0:f>
        <ns0:v>Стабилитрон BZT52-C68</ns0:v>
      </ns0:c>
      <ns0:c r="L128" s="36" t="str">
        <ns0:v>Zener_AK</ns0:v>
      </ns0:c>
      <ns0:c r="M128" s="36" t="str">
        <ns0:v>Symbols\MY_LIB_Semiconductors.SchLib</ns0:v>
      </ns0:c>
      <ns0:c r="N128" s="36" t="str">
        <ns0:v>SOD123</ns0:v>
      </ns0:c>
      <ns0:c r="O128" s="36" t="str">
        <ns0:v>Footprints\PBL - SMD Packages.PcbLib</ns0:v>
      </ns0:c>
      <ns0:c r="P128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8" s="33"/>
      <ns0:c r="R128" s="34" t="str">
        <ns0:f>D128</ns0:f>
        <ns0:v>BZT52-C68</ns0:v>
      </ns0:c>
      <ns0:c r="S128" s="34" t="str">
        <ns0:f>K128</ns0:f>
        <ns0:v>Стабилитрон BZT52-C68</ns0:v>
      </ns0:c>
      <ns0:c r="T128" s="33" t="str">
        <ns0:v>C:\Users\Nomatin\Documents\Altium\MY_LIB\MY_LIB\Datasheets\Diodes\BZT52_C_Nexperia.pdf</ns0:v>
      </ns0:c>
      <ns0:c r="U128" s="33" t="str">
        <ns0:v>Rev. 1, 16-Mar-2017; C selection</ns0:v>
      </ns0:c>
      <ns0:c r="V128" s="33" t="str">
        <ns0:v>Даташит — локальный</ns0:v>
      </ns0:c>
      <ns0:c r="W128" s="33" t="str">
        <ns0:v>C:\Users\Nomatin\Documents\Altium\MY_LIB\MY_LIB\Datasheets\Diodes\BZT52_C_Nexperia.pdf</ns0:v>
      </ns0:c>
      <ns0:c r="X128" s="33" t="str">
        <ns0:v>Даташит — производитель</ns0:v>
      </ns0:c>
      <ns0:c r="Y128" s="33" t="str">
        <ns0:v>https://assets.nexperia.com/documents/data-sheet/BZT52_SER.pdf</ns0:v>
      </ns0:c>
      <ns0:c r="Z128" s="33" t="str">
        <ns0:v>C:\Users\Nomatin\Documents\Altium\MY_LIB\MY_LIB\Datasheets\Diodes\BZT52_C_Nexperia.pdf</ns0:v>
      </ns0:c>
      <ns0:c r="AA128" s="33" t="str">
        <ns0:v>BZT52-C</ns0:v>
      </ns0:c>
      <ns0:c r="AB128" s="33" t="str">
        <ns0:v>Одиночный</ns0:v>
      </ns0:c>
      <ns0:c r="AC128" s="33" t="str">
        <ns0:v>K=C (manufacturer 1); A=A (manufacturer 2)</ns0:v>
      </ns0:c>
      <ns0:c r="AD128" s="33"/>
      <ns0:c r="AE128" s="33"/>
      <ns0:c r="AF128" s="33" t="n">
        <ns0:v>68</ns0:v>
      </ns0:c>
      <ns0:c r="AG128" s="33" t="n">
        <ns0:v>2</ns0:v>
      </ns0:c>
      <ns0:c r="AH128" s="33"/>
      <ns0:c r="AI128" s="33"/>
      <ns0:c r="AJ128" s="33" t="str">
        <ns0:v>350 мВт: стандартное посадочное место. 590 мВт: медь катода 1 см², TA≤25 °C; далее снижение мощности.</ns0:v>
      </ns0:c>
    </ns0:row>
    <ns0:row r="129" ht="60" customHeight="1">
      <ns0:c r="A129" s="33" t="str">
        <ns0:v>VD0128</ns0:v>
      </ns0:c>
      <ns0:c r="B129" s="33" t="str">
        <ns0:v>Стабилитрон</ns0:v>
      </ns0:c>
      <ns0:c r="C129" s="33" t="str">
        <ns0:v>BZT52-C75</ns0:v>
      </ns0:c>
      <ns0:c r="D129" s="34" t="str">
        <ns0:f>C129</ns0:f>
        <ns0:v>BZT52-C75</ns0:v>
      </ns0:c>
      <ns0:c r="E129" s="33" t="str">
        <ns0:v>около ±5%</ns0:v>
      </ns0:c>
      <ns0:c r="F129" s="33" t="str">
        <ns0:v>0,35 Вт</ns0:v>
      </ns0:c>
      <ns0:c r="G129" s="33" t="str">
        <ns0:v>75 В (Uст ном.)</ns0:v>
      </ns0:c>
      <ns0:c r="H129" s="35" t="str">
        <ns0:v>SOD-123</ns0:v>
      </ns0:c>
      <ns0:c r="I129" s="33" t="str">
        <ns0:v>Nexperia</ns0:v>
      </ns0:c>
      <ns0:c r="J129" s="33" t="str">
        <ns0:v>BZT52-C75</ns0:v>
      </ns0:c>
      <ns0:c r="K129" s="34" t="str">
        <ns0:f>B129&amp;" "&amp;J129</ns0:f>
        <ns0:v>Стабилитрон BZT52-C75</ns0:v>
      </ns0:c>
      <ns0:c r="L129" s="36" t="str">
        <ns0:v>Zener_AK</ns0:v>
      </ns0:c>
      <ns0:c r="M129" s="36" t="str">
        <ns0:v>Symbols\MY_LIB_Semiconductors.SchLib</ns0:v>
      </ns0:c>
      <ns0:c r="N129" s="36" t="str">
        <ns0:v>SOD123</ns0:v>
      </ns0:c>
      <ns0:c r="O129" s="36" t="str">
        <ns0:v>Footprints\PBL - SMD Packages.PcbLib</ns0:v>
      </ns0:c>
      <ns0:c r="P129" s="33" t="str">
        <ns0:v>Номинал Uст при токе измерения из таблицы. Для C использовать фактические границы UZmin/UZmax, они не всегда симметричны. Базовое обозначение изделия; суффикс упаковки/покрытия уточняется при заказе. Существующий футпринт и типовая 3D-модель библиотеки; не точный рекомендованный land pattern производителя.</ns0:v>
      </ns0:c>
      <ns0:c r="Q129" s="33"/>
      <ns0:c r="R129" s="34" t="str">
        <ns0:f>D129</ns0:f>
        <ns0:v>BZT52-C75</ns0:v>
      </ns0:c>
      <ns0:c r="S129" s="34" t="str">
        <ns0:f>K129</ns0:f>
        <ns0:v>Стабилитрон BZT52-C75</ns0:v>
      </ns0:c>
      <ns0:c r="T129" s="33" t="str">
        <ns0:v>C:\Users\Nomatin\Documents\Altium\MY_LIB\MY_LIB\Datasheets\Diodes\BZT52_C_Nexperia.pdf</ns0:v>
      </ns0:c>
      <ns0:c r="U129" s="33" t="str">
        <ns0:v>Rev. 1, 16-Mar-2017; C selection</ns0:v>
      </ns0:c>
      <ns0:c r="V129" s="33" t="str">
        <ns0:v>Даташит — локальный</ns0:v>
      </ns0:c>
      <ns0:c r="W129" s="33" t="str">
        <ns0:v>C:\Users\Nomatin\Documents\Altium\MY_LIB\MY_LIB\Datasheets\Diodes\BZT52_C_Nexperia.pdf</ns0:v>
      </ns0:c>
      <ns0:c r="X129" s="33" t="str">
        <ns0:v>Даташит — производитель</ns0:v>
      </ns0:c>
      <ns0:c r="Y129" s="33" t="str">
        <ns0:v>https://assets.nexperia.com/documents/data-sheet/BZT52_SER.pdf</ns0:v>
      </ns0:c>
      <ns0:c r="Z129" s="33" t="str">
        <ns0:v>C:\Users\Nomatin\Documents\Altium\MY_LIB\MY_LIB\Datasheets\Diodes\BZT52_C_Nexperia.pdf</ns0:v>
      </ns0:c>
      <ns0:c r="AA129" s="33" t="str">
        <ns0:v>BZT52-C</ns0:v>
      </ns0:c>
      <ns0:c r="AB129" s="33" t="str">
        <ns0:v>Одиночный</ns0:v>
      </ns0:c>
      <ns0:c r="AC129" s="33" t="str">
        <ns0:v>K=C (manufacturer 1); A=A (manufacturer 2)</ns0:v>
      </ns0:c>
      <ns0:c r="AD129" s="33"/>
      <ns0:c r="AE129" s="33"/>
      <ns0:c r="AF129" s="33" t="n">
        <ns0:v>75</ns0:v>
      </ns0:c>
      <ns0:c r="AG129" s="33" t="n">
        <ns0:v>2</ns0:v>
      </ns0:c>
      <ns0:c r="AH129" s="33"/>
      <ns0:c r="AI129" s="33"/>
      <ns0:c r="AJ129" s="33" t="str">
        <ns0:v>350 мВт: стандартное посадочное место. 590 мВт: медь катода 1 см², TA≤25 °C; далее снижение мощности.</ns0:v>
      </ns0:c>
    </ns0:row>
    <ns0:row r="130" ht="60" customHeight="1">
      <ns0:c r="A130" s="33" t="str">
        <ns0:v>VD0129</ns0:v>
      </ns0:c>
      <ns0:c r="B130" s="33" t="str">
        <ns0:v>Стабилитрон</ns0:v>
      </ns0:c>
      <ns0:c r="C130" s="33" t="str">
        <ns0:v>BZX84-A2V4</ns0:v>
      </ns0:c>
      <ns0:c r="D130" s="34" t="str">
        <ns0:f>C130</ns0:f>
        <ns0:v>BZX84-A2V4</ns0:v>
      </ns0:c>
      <ns0:c r="E130" s="33" t="str">
        <ns0:v>±1%</ns0:v>
      </ns0:c>
      <ns0:c r="F130" s="33" t="str">
        <ns0:v>0,25 Вт</ns0:v>
      </ns0:c>
      <ns0:c r="G130" s="33" t="str">
        <ns0:v>2.4 В (Uст ном.)</ns0:v>
      </ns0:c>
      <ns0:c r="H130" s="35" t="str">
        <ns0:v>SOT-23</ns0:v>
      </ns0:c>
      <ns0:c r="I130" s="33" t="str">
        <ns0:v>Nexperia</ns0:v>
      </ns0:c>
      <ns0:c r="J130" s="33" t="str">
        <ns0:v>BZX84-A2V4</ns0:v>
      </ns0:c>
      <ns0:c r="K130" s="34" t="str">
        <ns0:f>B130&amp;" "&amp;J130</ns0:f>
        <ns0:v>Стабилитрон BZX84-A2V4</ns0:v>
      </ns0:c>
      <ns0:c r="L130" s="36" t="str">
        <ns0:v>Zener_1A3C</ns0:v>
      </ns0:c>
      <ns0:c r="M130" s="36" t="str">
        <ns0:v>Symbols\MY_LIB_Semiconductors.SchLib</ns0:v>
      </ns0:c>
      <ns0:c r="N130" s="36" t="str">
        <ns0:v>SOT23-3</ns0:v>
      </ns0:c>
      <ns0:c r="O130" s="36" t="str">
        <ns0:v>Footprints\PBL - SMD Packages.PcbLib</ns0:v>
      </ns0:c>
      <ns0:c r="P13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0" s="33"/>
      <ns0:c r="R130" s="34" t="str">
        <ns0:f>D130</ns0:f>
        <ns0:v>BZX84-A2V4</ns0:v>
      </ns0:c>
      <ns0:c r="S130" s="34" t="str">
        <ns0:f>K130</ns0:f>
        <ns0:v>Стабилитрон BZX84-A2V4</ns0:v>
      </ns0:c>
      <ns0:c r="T130" s="33" t="str">
        <ns0:v>C:\Users\Nomatin\Documents\Altium\MY_LIB\MY_LIB\Datasheets\Diodes\BZX84_Nexperia.pdf</ns0:v>
      </ns0:c>
      <ns0:c r="U130" s="33" t="str">
        <ns0:v>Rev. 7, 01-Jan-2023</ns0:v>
      </ns0:c>
      <ns0:c r="V130" s="33" t="str">
        <ns0:v>Даташит — локальный</ns0:v>
      </ns0:c>
      <ns0:c r="W130" s="33" t="str">
        <ns0:v>C:\Users\Nomatin\Documents\Altium\MY_LIB\MY_LIB\Datasheets\Diodes\BZX84_Nexperia.pdf</ns0:v>
      </ns0:c>
      <ns0:c r="X130" s="33" t="str">
        <ns0:v>Даташит — производитель</ns0:v>
      </ns0:c>
      <ns0:c r="Y130" s="33" t="str">
        <ns0:v>https://assets.nexperia.com/documents/data-sheet/BZX84_SER.pdf</ns0:v>
      </ns0:c>
      <ns0:c r="Z130" s="33" t="str">
        <ns0:v>C:\Users\Nomatin\Documents\Altium\MY_LIB\MY_LIB\Datasheets\Diodes\BZX84_Nexperia.pdf</ns0:v>
      </ns0:c>
      <ns0:c r="AA130" s="33" t="str">
        <ns0:v>BZX84-A</ns0:v>
      </ns0:c>
      <ns0:c r="AB130" s="33" t="str">
        <ns0:v>Одиночный</ns0:v>
      </ns0:c>
      <ns0:c r="AC130" s="33" t="str">
        <ns0:v>1=A; 2=NC; 3=K</ns0:v>
      </ns0:c>
      <ns0:c r="AD130" s="33"/>
      <ns0:c r="AE130" s="33"/>
      <ns0:c r="AF130" s="33" t="n">
        <ns0:v>2.4</ns0:v>
      </ns0:c>
      <ns0:c r="AG130" s="33" t="n">
        <ns0:v>5</ns0:v>
      </ns0:c>
      <ns0:c r="AH130" s="33"/>
      <ns0:c r="AI130" s="33"/>
      <ns0:c r="AJ130" s="33" t="str">
        <ns0:v>250 мВт при TA≤25 °C, стандартное посадочное место на FR4; далее снижение мощности.</ns0:v>
      </ns0:c>
    </ns0:row>
    <ns0:row r="131" ht="60" customHeight="1">
      <ns0:c r="A131" s="33" t="str">
        <ns0:v>VD0130</ns0:v>
      </ns0:c>
      <ns0:c r="B131" s="33" t="str">
        <ns0:v>Стабилитрон</ns0:v>
      </ns0:c>
      <ns0:c r="C131" s="33" t="str">
        <ns0:v>BZX84-A2V7</ns0:v>
      </ns0:c>
      <ns0:c r="D131" s="34" t="str">
        <ns0:f>C131</ns0:f>
        <ns0:v>BZX84-A2V7</ns0:v>
      </ns0:c>
      <ns0:c r="E131" s="33" t="str">
        <ns0:v>±1%</ns0:v>
      </ns0:c>
      <ns0:c r="F131" s="33" t="str">
        <ns0:v>0,25 Вт</ns0:v>
      </ns0:c>
      <ns0:c r="G131" s="33" t="str">
        <ns0:v>2.7 В (Uст ном.)</ns0:v>
      </ns0:c>
      <ns0:c r="H131" s="35" t="str">
        <ns0:v>SOT-23</ns0:v>
      </ns0:c>
      <ns0:c r="I131" s="33" t="str">
        <ns0:v>Nexperia</ns0:v>
      </ns0:c>
      <ns0:c r="J131" s="33" t="str">
        <ns0:v>BZX84-A2V7</ns0:v>
      </ns0:c>
      <ns0:c r="K131" s="34" t="str">
        <ns0:f>B131&amp;" "&amp;J131</ns0:f>
        <ns0:v>Стабилитрон BZX84-A2V7</ns0:v>
      </ns0:c>
      <ns0:c r="L131" s="36" t="str">
        <ns0:v>Zener_1A3C</ns0:v>
      </ns0:c>
      <ns0:c r="M131" s="36" t="str">
        <ns0:v>Symbols\MY_LIB_Semiconductors.SchLib</ns0:v>
      </ns0:c>
      <ns0:c r="N131" s="36" t="str">
        <ns0:v>SOT23-3</ns0:v>
      </ns0:c>
      <ns0:c r="O131" s="36" t="str">
        <ns0:v>Footprints\PBL - SMD Packages.PcbLib</ns0:v>
      </ns0:c>
      <ns0:c r="P13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1" s="33"/>
      <ns0:c r="R131" s="34" t="str">
        <ns0:f>D131</ns0:f>
        <ns0:v>BZX84-A2V7</ns0:v>
      </ns0:c>
      <ns0:c r="S131" s="34" t="str">
        <ns0:f>K131</ns0:f>
        <ns0:v>Стабилитрон BZX84-A2V7</ns0:v>
      </ns0:c>
      <ns0:c r="T131" s="33" t="str">
        <ns0:v>C:\Users\Nomatin\Documents\Altium\MY_LIB\MY_LIB\Datasheets\Diodes\BZX84_Nexperia.pdf</ns0:v>
      </ns0:c>
      <ns0:c r="U131" s="33" t="str">
        <ns0:v>Rev. 7, 01-Jan-2023</ns0:v>
      </ns0:c>
      <ns0:c r="V131" s="33" t="str">
        <ns0:v>Даташит — локальный</ns0:v>
      </ns0:c>
      <ns0:c r="W131" s="33" t="str">
        <ns0:v>C:\Users\Nomatin\Documents\Altium\MY_LIB\MY_LIB\Datasheets\Diodes\BZX84_Nexperia.pdf</ns0:v>
      </ns0:c>
      <ns0:c r="X131" s="33" t="str">
        <ns0:v>Даташит — производитель</ns0:v>
      </ns0:c>
      <ns0:c r="Y131" s="33" t="str">
        <ns0:v>https://assets.nexperia.com/documents/data-sheet/BZX84_SER.pdf</ns0:v>
      </ns0:c>
      <ns0:c r="Z131" s="33" t="str">
        <ns0:v>C:\Users\Nomatin\Documents\Altium\MY_LIB\MY_LIB\Datasheets\Diodes\BZX84_Nexperia.pdf</ns0:v>
      </ns0:c>
      <ns0:c r="AA131" s="33" t="str">
        <ns0:v>BZX84-A</ns0:v>
      </ns0:c>
      <ns0:c r="AB131" s="33" t="str">
        <ns0:v>Одиночный</ns0:v>
      </ns0:c>
      <ns0:c r="AC131" s="33" t="str">
        <ns0:v>1=A; 2=NC; 3=K</ns0:v>
      </ns0:c>
      <ns0:c r="AD131" s="33"/>
      <ns0:c r="AE131" s="33"/>
      <ns0:c r="AF131" s="33" t="n">
        <ns0:v>2.7</ns0:v>
      </ns0:c>
      <ns0:c r="AG131" s="33" t="n">
        <ns0:v>5</ns0:v>
      </ns0:c>
      <ns0:c r="AH131" s="33"/>
      <ns0:c r="AI131" s="33"/>
      <ns0:c r="AJ131" s="33" t="str">
        <ns0:v>250 мВт при TA≤25 °C, стандартное посадочное место на FR4; далее снижение мощности.</ns0:v>
      </ns0:c>
    </ns0:row>
    <ns0:row r="132" ht="60" customHeight="1">
      <ns0:c r="A132" s="33" t="str">
        <ns0:v>VD0131</ns0:v>
      </ns0:c>
      <ns0:c r="B132" s="33" t="str">
        <ns0:v>Стабилитрон</ns0:v>
      </ns0:c>
      <ns0:c r="C132" s="33" t="str">
        <ns0:v>BZX84-A3V0</ns0:v>
      </ns0:c>
      <ns0:c r="D132" s="34" t="str">
        <ns0:f>C132</ns0:f>
        <ns0:v>BZX84-A3V0</ns0:v>
      </ns0:c>
      <ns0:c r="E132" s="33" t="str">
        <ns0:v>±1%</ns0:v>
      </ns0:c>
      <ns0:c r="F132" s="33" t="str">
        <ns0:v>0,25 Вт</ns0:v>
      </ns0:c>
      <ns0:c r="G132" s="33" t="str">
        <ns0:v>3 В (Uст ном.)</ns0:v>
      </ns0:c>
      <ns0:c r="H132" s="35" t="str">
        <ns0:v>SOT-23</ns0:v>
      </ns0:c>
      <ns0:c r="I132" s="33" t="str">
        <ns0:v>Nexperia</ns0:v>
      </ns0:c>
      <ns0:c r="J132" s="33" t="str">
        <ns0:v>BZX84-A3V0</ns0:v>
      </ns0:c>
      <ns0:c r="K132" s="34" t="str">
        <ns0:f>B132&amp;" "&amp;J132</ns0:f>
        <ns0:v>Стабилитрон BZX84-A3V0</ns0:v>
      </ns0:c>
      <ns0:c r="L132" s="36" t="str">
        <ns0:v>Zener_1A3C</ns0:v>
      </ns0:c>
      <ns0:c r="M132" s="36" t="str">
        <ns0:v>Symbols\MY_LIB_Semiconductors.SchLib</ns0:v>
      </ns0:c>
      <ns0:c r="N132" s="36" t="str">
        <ns0:v>SOT23-3</ns0:v>
      </ns0:c>
      <ns0:c r="O132" s="36" t="str">
        <ns0:v>Footprints\PBL - SMD Packages.PcbLib</ns0:v>
      </ns0:c>
      <ns0:c r="P13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2" s="33"/>
      <ns0:c r="R132" s="34" t="str">
        <ns0:f>D132</ns0:f>
        <ns0:v>BZX84-A3V0</ns0:v>
      </ns0:c>
      <ns0:c r="S132" s="34" t="str">
        <ns0:f>K132</ns0:f>
        <ns0:v>Стабилитрон BZX84-A3V0</ns0:v>
      </ns0:c>
      <ns0:c r="T132" s="33" t="str">
        <ns0:v>C:\Users\Nomatin\Documents\Altium\MY_LIB\MY_LIB\Datasheets\Diodes\BZX84_Nexperia.pdf</ns0:v>
      </ns0:c>
      <ns0:c r="U132" s="33" t="str">
        <ns0:v>Rev. 7, 01-Jan-2023</ns0:v>
      </ns0:c>
      <ns0:c r="V132" s="33" t="str">
        <ns0:v>Даташит — локальный</ns0:v>
      </ns0:c>
      <ns0:c r="W132" s="33" t="str">
        <ns0:v>C:\Users\Nomatin\Documents\Altium\MY_LIB\MY_LIB\Datasheets\Diodes\BZX84_Nexperia.pdf</ns0:v>
      </ns0:c>
      <ns0:c r="X132" s="33" t="str">
        <ns0:v>Даташит — производитель</ns0:v>
      </ns0:c>
      <ns0:c r="Y132" s="33" t="str">
        <ns0:v>https://assets.nexperia.com/documents/data-sheet/BZX84_SER.pdf</ns0:v>
      </ns0:c>
      <ns0:c r="Z132" s="33" t="str">
        <ns0:v>C:\Users\Nomatin\Documents\Altium\MY_LIB\MY_LIB\Datasheets\Diodes\BZX84_Nexperia.pdf</ns0:v>
      </ns0:c>
      <ns0:c r="AA132" s="33" t="str">
        <ns0:v>BZX84-A</ns0:v>
      </ns0:c>
      <ns0:c r="AB132" s="33" t="str">
        <ns0:v>Одиночный</ns0:v>
      </ns0:c>
      <ns0:c r="AC132" s="33" t="str">
        <ns0:v>1=A; 2=NC; 3=K</ns0:v>
      </ns0:c>
      <ns0:c r="AD132" s="33"/>
      <ns0:c r="AE132" s="33"/>
      <ns0:c r="AF132" s="33" t="n">
        <ns0:v>3</ns0:v>
      </ns0:c>
      <ns0:c r="AG132" s="33" t="n">
        <ns0:v>5</ns0:v>
      </ns0:c>
      <ns0:c r="AH132" s="33"/>
      <ns0:c r="AI132" s="33"/>
      <ns0:c r="AJ132" s="33" t="str">
        <ns0:v>250 мВт при TA≤25 °C, стандартное посадочное место на FR4; далее снижение мощности.</ns0:v>
      </ns0:c>
    </ns0:row>
    <ns0:row r="133" ht="60" customHeight="1">
      <ns0:c r="A133" s="33" t="str">
        <ns0:v>VD0132</ns0:v>
      </ns0:c>
      <ns0:c r="B133" s="33" t="str">
        <ns0:v>Стабилитрон</ns0:v>
      </ns0:c>
      <ns0:c r="C133" s="33" t="str">
        <ns0:v>BZX84-A3V3</ns0:v>
      </ns0:c>
      <ns0:c r="D133" s="34" t="str">
        <ns0:f>C133</ns0:f>
        <ns0:v>BZX84-A3V3</ns0:v>
      </ns0:c>
      <ns0:c r="E133" s="33" t="str">
        <ns0:v>±1%</ns0:v>
      </ns0:c>
      <ns0:c r="F133" s="33" t="str">
        <ns0:v>0,25 Вт</ns0:v>
      </ns0:c>
      <ns0:c r="G133" s="33" t="str">
        <ns0:v>3.3 В (Uст ном.)</ns0:v>
      </ns0:c>
      <ns0:c r="H133" s="35" t="str">
        <ns0:v>SOT-23</ns0:v>
      </ns0:c>
      <ns0:c r="I133" s="33" t="str">
        <ns0:v>Nexperia</ns0:v>
      </ns0:c>
      <ns0:c r="J133" s="33" t="str">
        <ns0:v>BZX84-A3V3</ns0:v>
      </ns0:c>
      <ns0:c r="K133" s="34" t="str">
        <ns0:f>B133&amp;" "&amp;J133</ns0:f>
        <ns0:v>Стабилитрон BZX84-A3V3</ns0:v>
      </ns0:c>
      <ns0:c r="L133" s="36" t="str">
        <ns0:v>Zener_1A3C</ns0:v>
      </ns0:c>
      <ns0:c r="M133" s="36" t="str">
        <ns0:v>Symbols\MY_LIB_Semiconductors.SchLib</ns0:v>
      </ns0:c>
      <ns0:c r="N133" s="36" t="str">
        <ns0:v>SOT23-3</ns0:v>
      </ns0:c>
      <ns0:c r="O133" s="36" t="str">
        <ns0:v>Footprints\PBL - SMD Packages.PcbLib</ns0:v>
      </ns0:c>
      <ns0:c r="P13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3" s="33"/>
      <ns0:c r="R133" s="34" t="str">
        <ns0:f>D133</ns0:f>
        <ns0:v>BZX84-A3V3</ns0:v>
      </ns0:c>
      <ns0:c r="S133" s="34" t="str">
        <ns0:f>K133</ns0:f>
        <ns0:v>Стабилитрон BZX84-A3V3</ns0:v>
      </ns0:c>
      <ns0:c r="T133" s="33" t="str">
        <ns0:v>C:\Users\Nomatin\Documents\Altium\MY_LIB\MY_LIB\Datasheets\Diodes\BZX84_Nexperia.pdf</ns0:v>
      </ns0:c>
      <ns0:c r="U133" s="33" t="str">
        <ns0:v>Rev. 7, 01-Jan-2023</ns0:v>
      </ns0:c>
      <ns0:c r="V133" s="33" t="str">
        <ns0:v>Даташит — локальный</ns0:v>
      </ns0:c>
      <ns0:c r="W133" s="33" t="str">
        <ns0:v>C:\Users\Nomatin\Documents\Altium\MY_LIB\MY_LIB\Datasheets\Diodes\BZX84_Nexperia.pdf</ns0:v>
      </ns0:c>
      <ns0:c r="X133" s="33" t="str">
        <ns0:v>Даташит — производитель</ns0:v>
      </ns0:c>
      <ns0:c r="Y133" s="33" t="str">
        <ns0:v>https://assets.nexperia.com/documents/data-sheet/BZX84_SER.pdf</ns0:v>
      </ns0:c>
      <ns0:c r="Z133" s="33" t="str">
        <ns0:v>C:\Users\Nomatin\Documents\Altium\MY_LIB\MY_LIB\Datasheets\Diodes\BZX84_Nexperia.pdf</ns0:v>
      </ns0:c>
      <ns0:c r="AA133" s="33" t="str">
        <ns0:v>BZX84-A</ns0:v>
      </ns0:c>
      <ns0:c r="AB133" s="33" t="str">
        <ns0:v>Одиночный</ns0:v>
      </ns0:c>
      <ns0:c r="AC133" s="33" t="str">
        <ns0:v>1=A; 2=NC; 3=K</ns0:v>
      </ns0:c>
      <ns0:c r="AD133" s="33"/>
      <ns0:c r="AE133" s="33"/>
      <ns0:c r="AF133" s="33" t="n">
        <ns0:v>3.3</ns0:v>
      </ns0:c>
      <ns0:c r="AG133" s="33" t="n">
        <ns0:v>5</ns0:v>
      </ns0:c>
      <ns0:c r="AH133" s="33"/>
      <ns0:c r="AI133" s="33"/>
      <ns0:c r="AJ133" s="33" t="str">
        <ns0:v>250 мВт при TA≤25 °C, стандартное посадочное место на FR4; далее снижение мощности.</ns0:v>
      </ns0:c>
    </ns0:row>
    <ns0:row r="134" ht="60" customHeight="1">
      <ns0:c r="A134" s="33" t="str">
        <ns0:v>VD0133</ns0:v>
      </ns0:c>
      <ns0:c r="B134" s="33" t="str">
        <ns0:v>Стабилитрон</ns0:v>
      </ns0:c>
      <ns0:c r="C134" s="33" t="str">
        <ns0:v>BZX84-A3V6</ns0:v>
      </ns0:c>
      <ns0:c r="D134" s="34" t="str">
        <ns0:f>C134</ns0:f>
        <ns0:v>BZX84-A3V6</ns0:v>
      </ns0:c>
      <ns0:c r="E134" s="33" t="str">
        <ns0:v>±1%</ns0:v>
      </ns0:c>
      <ns0:c r="F134" s="33" t="str">
        <ns0:v>0,25 Вт</ns0:v>
      </ns0:c>
      <ns0:c r="G134" s="33" t="str">
        <ns0:v>3.6 В (Uст ном.)</ns0:v>
      </ns0:c>
      <ns0:c r="H134" s="35" t="str">
        <ns0:v>SOT-23</ns0:v>
      </ns0:c>
      <ns0:c r="I134" s="33" t="str">
        <ns0:v>Nexperia</ns0:v>
      </ns0:c>
      <ns0:c r="J134" s="33" t="str">
        <ns0:v>BZX84-A3V6</ns0:v>
      </ns0:c>
      <ns0:c r="K134" s="34" t="str">
        <ns0:f>B134&amp;" "&amp;J134</ns0:f>
        <ns0:v>Стабилитрон BZX84-A3V6</ns0:v>
      </ns0:c>
      <ns0:c r="L134" s="36" t="str">
        <ns0:v>Zener_1A3C</ns0:v>
      </ns0:c>
      <ns0:c r="M134" s="36" t="str">
        <ns0:v>Symbols\MY_LIB_Semiconductors.SchLib</ns0:v>
      </ns0:c>
      <ns0:c r="N134" s="36" t="str">
        <ns0:v>SOT23-3</ns0:v>
      </ns0:c>
      <ns0:c r="O134" s="36" t="str">
        <ns0:v>Footprints\PBL - SMD Packages.PcbLib</ns0:v>
      </ns0:c>
      <ns0:c r="P13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4" s="33"/>
      <ns0:c r="R134" s="34" t="str">
        <ns0:f>D134</ns0:f>
        <ns0:v>BZX84-A3V6</ns0:v>
      </ns0:c>
      <ns0:c r="S134" s="34" t="str">
        <ns0:f>K134</ns0:f>
        <ns0:v>Стабилитрон BZX84-A3V6</ns0:v>
      </ns0:c>
      <ns0:c r="T134" s="33" t="str">
        <ns0:v>C:\Users\Nomatin\Documents\Altium\MY_LIB\MY_LIB\Datasheets\Diodes\BZX84_Nexperia.pdf</ns0:v>
      </ns0:c>
      <ns0:c r="U134" s="33" t="str">
        <ns0:v>Rev. 7, 01-Jan-2023</ns0:v>
      </ns0:c>
      <ns0:c r="V134" s="33" t="str">
        <ns0:v>Даташит — локальный</ns0:v>
      </ns0:c>
      <ns0:c r="W134" s="33" t="str">
        <ns0:v>C:\Users\Nomatin\Documents\Altium\MY_LIB\MY_LIB\Datasheets\Diodes\BZX84_Nexperia.pdf</ns0:v>
      </ns0:c>
      <ns0:c r="X134" s="33" t="str">
        <ns0:v>Даташит — производитель</ns0:v>
      </ns0:c>
      <ns0:c r="Y134" s="33" t="str">
        <ns0:v>https://assets.nexperia.com/documents/data-sheet/BZX84_SER.pdf</ns0:v>
      </ns0:c>
      <ns0:c r="Z134" s="33" t="str">
        <ns0:v>C:\Users\Nomatin\Documents\Altium\MY_LIB\MY_LIB\Datasheets\Diodes\BZX84_Nexperia.pdf</ns0:v>
      </ns0:c>
      <ns0:c r="AA134" s="33" t="str">
        <ns0:v>BZX84-A</ns0:v>
      </ns0:c>
      <ns0:c r="AB134" s="33" t="str">
        <ns0:v>Одиночный</ns0:v>
      </ns0:c>
      <ns0:c r="AC134" s="33" t="str">
        <ns0:v>1=A; 2=NC; 3=K</ns0:v>
      </ns0:c>
      <ns0:c r="AD134" s="33"/>
      <ns0:c r="AE134" s="33"/>
      <ns0:c r="AF134" s="33" t="n">
        <ns0:v>3.6</ns0:v>
      </ns0:c>
      <ns0:c r="AG134" s="33" t="n">
        <ns0:v>5</ns0:v>
      </ns0:c>
      <ns0:c r="AH134" s="33"/>
      <ns0:c r="AI134" s="33"/>
      <ns0:c r="AJ134" s="33" t="str">
        <ns0:v>250 мВт при TA≤25 °C, стандартное посадочное место на FR4; далее снижение мощности.</ns0:v>
      </ns0:c>
    </ns0:row>
    <ns0:row r="135" ht="60" customHeight="1">
      <ns0:c r="A135" s="33" t="str">
        <ns0:v>VD0134</ns0:v>
      </ns0:c>
      <ns0:c r="B135" s="33" t="str">
        <ns0:v>Стабилитрон</ns0:v>
      </ns0:c>
      <ns0:c r="C135" s="33" t="str">
        <ns0:v>BZX84-A3V9</ns0:v>
      </ns0:c>
      <ns0:c r="D135" s="34" t="str">
        <ns0:f>C135</ns0:f>
        <ns0:v>BZX84-A3V9</ns0:v>
      </ns0:c>
      <ns0:c r="E135" s="33" t="str">
        <ns0:v>±1%</ns0:v>
      </ns0:c>
      <ns0:c r="F135" s="33" t="str">
        <ns0:v>0,25 Вт</ns0:v>
      </ns0:c>
      <ns0:c r="G135" s="33" t="str">
        <ns0:v>3.9 В (Uст ном.)</ns0:v>
      </ns0:c>
      <ns0:c r="H135" s="35" t="str">
        <ns0:v>SOT-23</ns0:v>
      </ns0:c>
      <ns0:c r="I135" s="33" t="str">
        <ns0:v>Nexperia</ns0:v>
      </ns0:c>
      <ns0:c r="J135" s="33" t="str">
        <ns0:v>BZX84-A3V9</ns0:v>
      </ns0:c>
      <ns0:c r="K135" s="34" t="str">
        <ns0:f>B135&amp;" "&amp;J135</ns0:f>
        <ns0:v>Стабилитрон BZX84-A3V9</ns0:v>
      </ns0:c>
      <ns0:c r="L135" s="36" t="str">
        <ns0:v>Zener_1A3C</ns0:v>
      </ns0:c>
      <ns0:c r="M135" s="36" t="str">
        <ns0:v>Symbols\MY_LIB_Semiconductors.SchLib</ns0:v>
      </ns0:c>
      <ns0:c r="N135" s="36" t="str">
        <ns0:v>SOT23-3</ns0:v>
      </ns0:c>
      <ns0:c r="O135" s="36" t="str">
        <ns0:v>Footprints\PBL - SMD Packages.PcbLib</ns0:v>
      </ns0:c>
      <ns0:c r="P13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5" s="33"/>
      <ns0:c r="R135" s="34" t="str">
        <ns0:f>D135</ns0:f>
        <ns0:v>BZX84-A3V9</ns0:v>
      </ns0:c>
      <ns0:c r="S135" s="34" t="str">
        <ns0:f>K135</ns0:f>
        <ns0:v>Стабилитрон BZX84-A3V9</ns0:v>
      </ns0:c>
      <ns0:c r="T135" s="33" t="str">
        <ns0:v>C:\Users\Nomatin\Documents\Altium\MY_LIB\MY_LIB\Datasheets\Diodes\BZX84_Nexperia.pdf</ns0:v>
      </ns0:c>
      <ns0:c r="U135" s="33" t="str">
        <ns0:v>Rev. 7, 01-Jan-2023</ns0:v>
      </ns0:c>
      <ns0:c r="V135" s="33" t="str">
        <ns0:v>Даташит — локальный</ns0:v>
      </ns0:c>
      <ns0:c r="W135" s="33" t="str">
        <ns0:v>C:\Users\Nomatin\Documents\Altium\MY_LIB\MY_LIB\Datasheets\Diodes\BZX84_Nexperia.pdf</ns0:v>
      </ns0:c>
      <ns0:c r="X135" s="33" t="str">
        <ns0:v>Даташит — производитель</ns0:v>
      </ns0:c>
      <ns0:c r="Y135" s="33" t="str">
        <ns0:v>https://assets.nexperia.com/documents/data-sheet/BZX84_SER.pdf</ns0:v>
      </ns0:c>
      <ns0:c r="Z135" s="33" t="str">
        <ns0:v>C:\Users\Nomatin\Documents\Altium\MY_LIB\MY_LIB\Datasheets\Diodes\BZX84_Nexperia.pdf</ns0:v>
      </ns0:c>
      <ns0:c r="AA135" s="33" t="str">
        <ns0:v>BZX84-A</ns0:v>
      </ns0:c>
      <ns0:c r="AB135" s="33" t="str">
        <ns0:v>Одиночный</ns0:v>
      </ns0:c>
      <ns0:c r="AC135" s="33" t="str">
        <ns0:v>1=A; 2=NC; 3=K</ns0:v>
      </ns0:c>
      <ns0:c r="AD135" s="33"/>
      <ns0:c r="AE135" s="33"/>
      <ns0:c r="AF135" s="33" t="n">
        <ns0:v>3.9</ns0:v>
      </ns0:c>
      <ns0:c r="AG135" s="33" t="n">
        <ns0:v>5</ns0:v>
      </ns0:c>
      <ns0:c r="AH135" s="33"/>
      <ns0:c r="AI135" s="33"/>
      <ns0:c r="AJ135" s="33" t="str">
        <ns0:v>250 мВт при TA≤25 °C, стандартное посадочное место на FR4; далее снижение мощности.</ns0:v>
      </ns0:c>
    </ns0:row>
    <ns0:row r="136" ht="60" customHeight="1">
      <ns0:c r="A136" s="33" t="str">
        <ns0:v>VD0135</ns0:v>
      </ns0:c>
      <ns0:c r="B136" s="33" t="str">
        <ns0:v>Стабилитрон</ns0:v>
      </ns0:c>
      <ns0:c r="C136" s="33" t="str">
        <ns0:v>BZX84-A4V3</ns0:v>
      </ns0:c>
      <ns0:c r="D136" s="34" t="str">
        <ns0:f>C136</ns0:f>
        <ns0:v>BZX84-A4V3</ns0:v>
      </ns0:c>
      <ns0:c r="E136" s="33" t="str">
        <ns0:v>±1%</ns0:v>
      </ns0:c>
      <ns0:c r="F136" s="33" t="str">
        <ns0:v>0,25 Вт</ns0:v>
      </ns0:c>
      <ns0:c r="G136" s="33" t="str">
        <ns0:v>4.3 В (Uст ном.)</ns0:v>
      </ns0:c>
      <ns0:c r="H136" s="35" t="str">
        <ns0:v>SOT-23</ns0:v>
      </ns0:c>
      <ns0:c r="I136" s="33" t="str">
        <ns0:v>Nexperia</ns0:v>
      </ns0:c>
      <ns0:c r="J136" s="33" t="str">
        <ns0:v>BZX84-A4V3</ns0:v>
      </ns0:c>
      <ns0:c r="K136" s="34" t="str">
        <ns0:f>B136&amp;" "&amp;J136</ns0:f>
        <ns0:v>Стабилитрон BZX84-A4V3</ns0:v>
      </ns0:c>
      <ns0:c r="L136" s="36" t="str">
        <ns0:v>Zener_1A3C</ns0:v>
      </ns0:c>
      <ns0:c r="M136" s="36" t="str">
        <ns0:v>Symbols\MY_LIB_Semiconductors.SchLib</ns0:v>
      </ns0:c>
      <ns0:c r="N136" s="36" t="str">
        <ns0:v>SOT23-3</ns0:v>
      </ns0:c>
      <ns0:c r="O136" s="36" t="str">
        <ns0:v>Footprints\PBL - SMD Packages.PcbLib</ns0:v>
      </ns0:c>
      <ns0:c r="P13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6" s="33"/>
      <ns0:c r="R136" s="34" t="str">
        <ns0:f>D136</ns0:f>
        <ns0:v>BZX84-A4V3</ns0:v>
      </ns0:c>
      <ns0:c r="S136" s="34" t="str">
        <ns0:f>K136</ns0:f>
        <ns0:v>Стабилитрон BZX84-A4V3</ns0:v>
      </ns0:c>
      <ns0:c r="T136" s="33" t="str">
        <ns0:v>C:\Users\Nomatin\Documents\Altium\MY_LIB\MY_LIB\Datasheets\Diodes\BZX84_Nexperia.pdf</ns0:v>
      </ns0:c>
      <ns0:c r="U136" s="33" t="str">
        <ns0:v>Rev. 7, 01-Jan-2023</ns0:v>
      </ns0:c>
      <ns0:c r="V136" s="33" t="str">
        <ns0:v>Даташит — локальный</ns0:v>
      </ns0:c>
      <ns0:c r="W136" s="33" t="str">
        <ns0:v>C:\Users\Nomatin\Documents\Altium\MY_LIB\MY_LIB\Datasheets\Diodes\BZX84_Nexperia.pdf</ns0:v>
      </ns0:c>
      <ns0:c r="X136" s="33" t="str">
        <ns0:v>Даташит — производитель</ns0:v>
      </ns0:c>
      <ns0:c r="Y136" s="33" t="str">
        <ns0:v>https://assets.nexperia.com/documents/data-sheet/BZX84_SER.pdf</ns0:v>
      </ns0:c>
      <ns0:c r="Z136" s="33" t="str">
        <ns0:v>C:\Users\Nomatin\Documents\Altium\MY_LIB\MY_LIB\Datasheets\Diodes\BZX84_Nexperia.pdf</ns0:v>
      </ns0:c>
      <ns0:c r="AA136" s="33" t="str">
        <ns0:v>BZX84-A</ns0:v>
      </ns0:c>
      <ns0:c r="AB136" s="33" t="str">
        <ns0:v>Одиночный</ns0:v>
      </ns0:c>
      <ns0:c r="AC136" s="33" t="str">
        <ns0:v>1=A; 2=NC; 3=K</ns0:v>
      </ns0:c>
      <ns0:c r="AD136" s="33"/>
      <ns0:c r="AE136" s="33"/>
      <ns0:c r="AF136" s="33" t="n">
        <ns0:v>4.3</ns0:v>
      </ns0:c>
      <ns0:c r="AG136" s="33" t="n">
        <ns0:v>5</ns0:v>
      </ns0:c>
      <ns0:c r="AH136" s="33"/>
      <ns0:c r="AI136" s="33"/>
      <ns0:c r="AJ136" s="33" t="str">
        <ns0:v>250 мВт при TA≤25 °C, стандартное посадочное место на FR4; далее снижение мощности.</ns0:v>
      </ns0:c>
    </ns0:row>
    <ns0:row r="137" ht="60" customHeight="1">
      <ns0:c r="A137" s="33" t="str">
        <ns0:v>VD0136</ns0:v>
      </ns0:c>
      <ns0:c r="B137" s="33" t="str">
        <ns0:v>Стабилитрон</ns0:v>
      </ns0:c>
      <ns0:c r="C137" s="33" t="str">
        <ns0:v>BZX84-A4V7</ns0:v>
      </ns0:c>
      <ns0:c r="D137" s="34" t="str">
        <ns0:f>C137</ns0:f>
        <ns0:v>BZX84-A4V7</ns0:v>
      </ns0:c>
      <ns0:c r="E137" s="33" t="str">
        <ns0:v>±1%</ns0:v>
      </ns0:c>
      <ns0:c r="F137" s="33" t="str">
        <ns0:v>0,25 Вт</ns0:v>
      </ns0:c>
      <ns0:c r="G137" s="33" t="str">
        <ns0:v>4.7 В (Uст ном.)</ns0:v>
      </ns0:c>
      <ns0:c r="H137" s="35" t="str">
        <ns0:v>SOT-23</ns0:v>
      </ns0:c>
      <ns0:c r="I137" s="33" t="str">
        <ns0:v>Nexperia</ns0:v>
      </ns0:c>
      <ns0:c r="J137" s="33" t="str">
        <ns0:v>BZX84-A4V7</ns0:v>
      </ns0:c>
      <ns0:c r="K137" s="34" t="str">
        <ns0:f>B137&amp;" "&amp;J137</ns0:f>
        <ns0:v>Стабилитрон BZX84-A4V7</ns0:v>
      </ns0:c>
      <ns0:c r="L137" s="36" t="str">
        <ns0:v>Zener_1A3C</ns0:v>
      </ns0:c>
      <ns0:c r="M137" s="36" t="str">
        <ns0:v>Symbols\MY_LIB_Semiconductors.SchLib</ns0:v>
      </ns0:c>
      <ns0:c r="N137" s="36" t="str">
        <ns0:v>SOT23-3</ns0:v>
      </ns0:c>
      <ns0:c r="O137" s="36" t="str">
        <ns0:v>Footprints\PBL - SMD Packages.PcbLib</ns0:v>
      </ns0:c>
      <ns0:c r="P13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7" s="33"/>
      <ns0:c r="R137" s="34" t="str">
        <ns0:f>D137</ns0:f>
        <ns0:v>BZX84-A4V7</ns0:v>
      </ns0:c>
      <ns0:c r="S137" s="34" t="str">
        <ns0:f>K137</ns0:f>
        <ns0:v>Стабилитрон BZX84-A4V7</ns0:v>
      </ns0:c>
      <ns0:c r="T137" s="33" t="str">
        <ns0:v>C:\Users\Nomatin\Documents\Altium\MY_LIB\MY_LIB\Datasheets\Diodes\BZX84_Nexperia.pdf</ns0:v>
      </ns0:c>
      <ns0:c r="U137" s="33" t="str">
        <ns0:v>Rev. 7, 01-Jan-2023</ns0:v>
      </ns0:c>
      <ns0:c r="V137" s="33" t="str">
        <ns0:v>Даташит — локальный</ns0:v>
      </ns0:c>
      <ns0:c r="W137" s="33" t="str">
        <ns0:v>C:\Users\Nomatin\Documents\Altium\MY_LIB\MY_LIB\Datasheets\Diodes\BZX84_Nexperia.pdf</ns0:v>
      </ns0:c>
      <ns0:c r="X137" s="33" t="str">
        <ns0:v>Даташит — производитель</ns0:v>
      </ns0:c>
      <ns0:c r="Y137" s="33" t="str">
        <ns0:v>https://assets.nexperia.com/documents/data-sheet/BZX84_SER.pdf</ns0:v>
      </ns0:c>
      <ns0:c r="Z137" s="33" t="str">
        <ns0:v>C:\Users\Nomatin\Documents\Altium\MY_LIB\MY_LIB\Datasheets\Diodes\BZX84_Nexperia.pdf</ns0:v>
      </ns0:c>
      <ns0:c r="AA137" s="33" t="str">
        <ns0:v>BZX84-A</ns0:v>
      </ns0:c>
      <ns0:c r="AB137" s="33" t="str">
        <ns0:v>Одиночный</ns0:v>
      </ns0:c>
      <ns0:c r="AC137" s="33" t="str">
        <ns0:v>1=A; 2=NC; 3=K</ns0:v>
      </ns0:c>
      <ns0:c r="AD137" s="33"/>
      <ns0:c r="AE137" s="33"/>
      <ns0:c r="AF137" s="33" t="n">
        <ns0:v>4.7</ns0:v>
      </ns0:c>
      <ns0:c r="AG137" s="33" t="n">
        <ns0:v>5</ns0:v>
      </ns0:c>
      <ns0:c r="AH137" s="33"/>
      <ns0:c r="AI137" s="33"/>
      <ns0:c r="AJ137" s="33" t="str">
        <ns0:v>250 мВт при TA≤25 °C, стандартное посадочное место на FR4; далее снижение мощности.</ns0:v>
      </ns0:c>
    </ns0:row>
    <ns0:row r="138" ht="60" customHeight="1">
      <ns0:c r="A138" s="33" t="str">
        <ns0:v>VD0137</ns0:v>
      </ns0:c>
      <ns0:c r="B138" s="33" t="str">
        <ns0:v>Стабилитрон</ns0:v>
      </ns0:c>
      <ns0:c r="C138" s="33" t="str">
        <ns0:v>BZX84-A5V1</ns0:v>
      </ns0:c>
      <ns0:c r="D138" s="34" t="str">
        <ns0:f>C138</ns0:f>
        <ns0:v>BZX84-A5V1</ns0:v>
      </ns0:c>
      <ns0:c r="E138" s="33" t="str">
        <ns0:v>±1%</ns0:v>
      </ns0:c>
      <ns0:c r="F138" s="33" t="str">
        <ns0:v>0,25 Вт</ns0:v>
      </ns0:c>
      <ns0:c r="G138" s="33" t="str">
        <ns0:v>5.1 В (Uст ном.)</ns0:v>
      </ns0:c>
      <ns0:c r="H138" s="35" t="str">
        <ns0:v>SOT-23</ns0:v>
      </ns0:c>
      <ns0:c r="I138" s="33" t="str">
        <ns0:v>Nexperia</ns0:v>
      </ns0:c>
      <ns0:c r="J138" s="33" t="str">
        <ns0:v>BZX84-A5V1</ns0:v>
      </ns0:c>
      <ns0:c r="K138" s="34" t="str">
        <ns0:f>B138&amp;" "&amp;J138</ns0:f>
        <ns0:v>Стабилитрон BZX84-A5V1</ns0:v>
      </ns0:c>
      <ns0:c r="L138" s="36" t="str">
        <ns0:v>Zener_1A3C</ns0:v>
      </ns0:c>
      <ns0:c r="M138" s="36" t="str">
        <ns0:v>Symbols\MY_LIB_Semiconductors.SchLib</ns0:v>
      </ns0:c>
      <ns0:c r="N138" s="36" t="str">
        <ns0:v>SOT23-3</ns0:v>
      </ns0:c>
      <ns0:c r="O138" s="36" t="str">
        <ns0:v>Footprints\PBL - SMD Packages.PcbLib</ns0:v>
      </ns0:c>
      <ns0:c r="P13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8" s="33"/>
      <ns0:c r="R138" s="34" t="str">
        <ns0:f>D138</ns0:f>
        <ns0:v>BZX84-A5V1</ns0:v>
      </ns0:c>
      <ns0:c r="S138" s="34" t="str">
        <ns0:f>K138</ns0:f>
        <ns0:v>Стабилитрон BZX84-A5V1</ns0:v>
      </ns0:c>
      <ns0:c r="T138" s="33" t="str">
        <ns0:v>C:\Users\Nomatin\Documents\Altium\MY_LIB\MY_LIB\Datasheets\Diodes\BZX84_Nexperia.pdf</ns0:v>
      </ns0:c>
      <ns0:c r="U138" s="33" t="str">
        <ns0:v>Rev. 7, 01-Jan-2023</ns0:v>
      </ns0:c>
      <ns0:c r="V138" s="33" t="str">
        <ns0:v>Даташит — локальный</ns0:v>
      </ns0:c>
      <ns0:c r="W138" s="33" t="str">
        <ns0:v>C:\Users\Nomatin\Documents\Altium\MY_LIB\MY_LIB\Datasheets\Diodes\BZX84_Nexperia.pdf</ns0:v>
      </ns0:c>
      <ns0:c r="X138" s="33" t="str">
        <ns0:v>Даташит — производитель</ns0:v>
      </ns0:c>
      <ns0:c r="Y138" s="33" t="str">
        <ns0:v>https://assets.nexperia.com/documents/data-sheet/BZX84_SER.pdf</ns0:v>
      </ns0:c>
      <ns0:c r="Z138" s="33" t="str">
        <ns0:v>C:\Users\Nomatin\Documents\Altium\MY_LIB\MY_LIB\Datasheets\Diodes\BZX84_Nexperia.pdf</ns0:v>
      </ns0:c>
      <ns0:c r="AA138" s="33" t="str">
        <ns0:v>BZX84-A</ns0:v>
      </ns0:c>
      <ns0:c r="AB138" s="33" t="str">
        <ns0:v>Одиночный</ns0:v>
      </ns0:c>
      <ns0:c r="AC138" s="33" t="str">
        <ns0:v>1=A; 2=NC; 3=K</ns0:v>
      </ns0:c>
      <ns0:c r="AD138" s="33"/>
      <ns0:c r="AE138" s="33"/>
      <ns0:c r="AF138" s="33" t="n">
        <ns0:v>5.1</ns0:v>
      </ns0:c>
      <ns0:c r="AG138" s="33" t="n">
        <ns0:v>5</ns0:v>
      </ns0:c>
      <ns0:c r="AH138" s="33"/>
      <ns0:c r="AI138" s="33"/>
      <ns0:c r="AJ138" s="33" t="str">
        <ns0:v>250 мВт при TA≤25 °C, стандартное посадочное место на FR4; далее снижение мощности.</ns0:v>
      </ns0:c>
    </ns0:row>
    <ns0:row r="139" ht="60" customHeight="1">
      <ns0:c r="A139" s="33" t="str">
        <ns0:v>VD0138</ns0:v>
      </ns0:c>
      <ns0:c r="B139" s="33" t="str">
        <ns0:v>Стабилитрон</ns0:v>
      </ns0:c>
      <ns0:c r="C139" s="33" t="str">
        <ns0:v>BZX84-A5V6</ns0:v>
      </ns0:c>
      <ns0:c r="D139" s="34" t="str">
        <ns0:f>C139</ns0:f>
        <ns0:v>BZX84-A5V6</ns0:v>
      </ns0:c>
      <ns0:c r="E139" s="33" t="str">
        <ns0:v>±1%</ns0:v>
      </ns0:c>
      <ns0:c r="F139" s="33" t="str">
        <ns0:v>0,25 Вт</ns0:v>
      </ns0:c>
      <ns0:c r="G139" s="33" t="str">
        <ns0:v>5.6 В (Uст ном.)</ns0:v>
      </ns0:c>
      <ns0:c r="H139" s="35" t="str">
        <ns0:v>SOT-23</ns0:v>
      </ns0:c>
      <ns0:c r="I139" s="33" t="str">
        <ns0:v>Nexperia</ns0:v>
      </ns0:c>
      <ns0:c r="J139" s="33" t="str">
        <ns0:v>BZX84-A5V6</ns0:v>
      </ns0:c>
      <ns0:c r="K139" s="34" t="str">
        <ns0:f>B139&amp;" "&amp;J139</ns0:f>
        <ns0:v>Стабилитрон BZX84-A5V6</ns0:v>
      </ns0:c>
      <ns0:c r="L139" s="36" t="str">
        <ns0:v>Zener_1A3C</ns0:v>
      </ns0:c>
      <ns0:c r="M139" s="36" t="str">
        <ns0:v>Symbols\MY_LIB_Semiconductors.SchLib</ns0:v>
      </ns0:c>
      <ns0:c r="N139" s="36" t="str">
        <ns0:v>SOT23-3</ns0:v>
      </ns0:c>
      <ns0:c r="O139" s="36" t="str">
        <ns0:v>Footprints\PBL - SMD Packages.PcbLib</ns0:v>
      </ns0:c>
      <ns0:c r="P13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39" s="33"/>
      <ns0:c r="R139" s="34" t="str">
        <ns0:f>D139</ns0:f>
        <ns0:v>BZX84-A5V6</ns0:v>
      </ns0:c>
      <ns0:c r="S139" s="34" t="str">
        <ns0:f>K139</ns0:f>
        <ns0:v>Стабилитрон BZX84-A5V6</ns0:v>
      </ns0:c>
      <ns0:c r="T139" s="33" t="str">
        <ns0:v>C:\Users\Nomatin\Documents\Altium\MY_LIB\MY_LIB\Datasheets\Diodes\BZX84_Nexperia.pdf</ns0:v>
      </ns0:c>
      <ns0:c r="U139" s="33" t="str">
        <ns0:v>Rev. 7, 01-Jan-2023</ns0:v>
      </ns0:c>
      <ns0:c r="V139" s="33" t="str">
        <ns0:v>Даташит — локальный</ns0:v>
      </ns0:c>
      <ns0:c r="W139" s="33" t="str">
        <ns0:v>C:\Users\Nomatin\Documents\Altium\MY_LIB\MY_LIB\Datasheets\Diodes\BZX84_Nexperia.pdf</ns0:v>
      </ns0:c>
      <ns0:c r="X139" s="33" t="str">
        <ns0:v>Даташит — производитель</ns0:v>
      </ns0:c>
      <ns0:c r="Y139" s="33" t="str">
        <ns0:v>https://assets.nexperia.com/documents/data-sheet/BZX84_SER.pdf</ns0:v>
      </ns0:c>
      <ns0:c r="Z139" s="33" t="str">
        <ns0:v>C:\Users\Nomatin\Documents\Altium\MY_LIB\MY_LIB\Datasheets\Diodes\BZX84_Nexperia.pdf</ns0:v>
      </ns0:c>
      <ns0:c r="AA139" s="33" t="str">
        <ns0:v>BZX84-A</ns0:v>
      </ns0:c>
      <ns0:c r="AB139" s="33" t="str">
        <ns0:v>Одиночный</ns0:v>
      </ns0:c>
      <ns0:c r="AC139" s="33" t="str">
        <ns0:v>1=A; 2=NC; 3=K</ns0:v>
      </ns0:c>
      <ns0:c r="AD139" s="33"/>
      <ns0:c r="AE139" s="33"/>
      <ns0:c r="AF139" s="33" t="n">
        <ns0:v>5.6</ns0:v>
      </ns0:c>
      <ns0:c r="AG139" s="33" t="n">
        <ns0:v>5</ns0:v>
      </ns0:c>
      <ns0:c r="AH139" s="33"/>
      <ns0:c r="AI139" s="33"/>
      <ns0:c r="AJ139" s="33" t="str">
        <ns0:v>250 мВт при TA≤25 °C, стандартное посадочное место на FR4; далее снижение мощности.</ns0:v>
      </ns0:c>
    </ns0:row>
    <ns0:row r="140" ht="60" customHeight="1">
      <ns0:c r="A140" s="33" t="str">
        <ns0:v>VD0139</ns0:v>
      </ns0:c>
      <ns0:c r="B140" s="33" t="str">
        <ns0:v>Стабилитрон</ns0:v>
      </ns0:c>
      <ns0:c r="C140" s="33" t="str">
        <ns0:v>BZX84-A6V2</ns0:v>
      </ns0:c>
      <ns0:c r="D140" s="34" t="str">
        <ns0:f>C140</ns0:f>
        <ns0:v>BZX84-A6V2</ns0:v>
      </ns0:c>
      <ns0:c r="E140" s="33" t="str">
        <ns0:v>±1%</ns0:v>
      </ns0:c>
      <ns0:c r="F140" s="33" t="str">
        <ns0:v>0,25 Вт</ns0:v>
      </ns0:c>
      <ns0:c r="G140" s="33" t="str">
        <ns0:v>6.2 В (Uст ном.)</ns0:v>
      </ns0:c>
      <ns0:c r="H140" s="35" t="str">
        <ns0:v>SOT-23</ns0:v>
      </ns0:c>
      <ns0:c r="I140" s="33" t="str">
        <ns0:v>Nexperia</ns0:v>
      </ns0:c>
      <ns0:c r="J140" s="33" t="str">
        <ns0:v>BZX84-A6V2</ns0:v>
      </ns0:c>
      <ns0:c r="K140" s="34" t="str">
        <ns0:f>B140&amp;" "&amp;J140</ns0:f>
        <ns0:v>Стабилитрон BZX84-A6V2</ns0:v>
      </ns0:c>
      <ns0:c r="L140" s="36" t="str">
        <ns0:v>Zener_1A3C</ns0:v>
      </ns0:c>
      <ns0:c r="M140" s="36" t="str">
        <ns0:v>Symbols\MY_LIB_Semiconductors.SchLib</ns0:v>
      </ns0:c>
      <ns0:c r="N140" s="36" t="str">
        <ns0:v>SOT23-3</ns0:v>
      </ns0:c>
      <ns0:c r="O140" s="36" t="str">
        <ns0:v>Footprints\PBL - SMD Packages.PcbLib</ns0:v>
      </ns0:c>
      <ns0:c r="P14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0" s="33"/>
      <ns0:c r="R140" s="34" t="str">
        <ns0:f>D140</ns0:f>
        <ns0:v>BZX84-A6V2</ns0:v>
      </ns0:c>
      <ns0:c r="S140" s="34" t="str">
        <ns0:f>K140</ns0:f>
        <ns0:v>Стабилитрон BZX84-A6V2</ns0:v>
      </ns0:c>
      <ns0:c r="T140" s="33" t="str">
        <ns0:v>C:\Users\Nomatin\Documents\Altium\MY_LIB\MY_LIB\Datasheets\Diodes\BZX84_Nexperia.pdf</ns0:v>
      </ns0:c>
      <ns0:c r="U140" s="33" t="str">
        <ns0:v>Rev. 7, 01-Jan-2023</ns0:v>
      </ns0:c>
      <ns0:c r="V140" s="33" t="str">
        <ns0:v>Даташит — локальный</ns0:v>
      </ns0:c>
      <ns0:c r="W140" s="33" t="str">
        <ns0:v>C:\Users\Nomatin\Documents\Altium\MY_LIB\MY_LIB\Datasheets\Diodes\BZX84_Nexperia.pdf</ns0:v>
      </ns0:c>
      <ns0:c r="X140" s="33" t="str">
        <ns0:v>Даташит — производитель</ns0:v>
      </ns0:c>
      <ns0:c r="Y140" s="33" t="str">
        <ns0:v>https://assets.nexperia.com/documents/data-sheet/BZX84_SER.pdf</ns0:v>
      </ns0:c>
      <ns0:c r="Z140" s="33" t="str">
        <ns0:v>C:\Users\Nomatin\Documents\Altium\MY_LIB\MY_LIB\Datasheets\Diodes\BZX84_Nexperia.pdf</ns0:v>
      </ns0:c>
      <ns0:c r="AA140" s="33" t="str">
        <ns0:v>BZX84-A</ns0:v>
      </ns0:c>
      <ns0:c r="AB140" s="33" t="str">
        <ns0:v>Одиночный</ns0:v>
      </ns0:c>
      <ns0:c r="AC140" s="33" t="str">
        <ns0:v>1=A; 2=NC; 3=K</ns0:v>
      </ns0:c>
      <ns0:c r="AD140" s="33"/>
      <ns0:c r="AE140" s="33"/>
      <ns0:c r="AF140" s="33" t="n">
        <ns0:v>6.2</ns0:v>
      </ns0:c>
      <ns0:c r="AG140" s="33" t="n">
        <ns0:v>5</ns0:v>
      </ns0:c>
      <ns0:c r="AH140" s="33"/>
      <ns0:c r="AI140" s="33"/>
      <ns0:c r="AJ140" s="33" t="str">
        <ns0:v>250 мВт при TA≤25 °C, стандартное посадочное место на FR4; далее снижение мощности.</ns0:v>
      </ns0:c>
    </ns0:row>
    <ns0:row r="141" ht="60" customHeight="1">
      <ns0:c r="A141" s="33" t="str">
        <ns0:v>VD0140</ns0:v>
      </ns0:c>
      <ns0:c r="B141" s="33" t="str">
        <ns0:v>Стабилитрон</ns0:v>
      </ns0:c>
      <ns0:c r="C141" s="33" t="str">
        <ns0:v>BZX84-A6V8</ns0:v>
      </ns0:c>
      <ns0:c r="D141" s="34" t="str">
        <ns0:f>C141</ns0:f>
        <ns0:v>BZX84-A6V8</ns0:v>
      </ns0:c>
      <ns0:c r="E141" s="33" t="str">
        <ns0:v>±1%</ns0:v>
      </ns0:c>
      <ns0:c r="F141" s="33" t="str">
        <ns0:v>0,25 Вт</ns0:v>
      </ns0:c>
      <ns0:c r="G141" s="33" t="str">
        <ns0:v>6.8 В (Uст ном.)</ns0:v>
      </ns0:c>
      <ns0:c r="H141" s="35" t="str">
        <ns0:v>SOT-23</ns0:v>
      </ns0:c>
      <ns0:c r="I141" s="33" t="str">
        <ns0:v>Nexperia</ns0:v>
      </ns0:c>
      <ns0:c r="J141" s="33" t="str">
        <ns0:v>BZX84-A6V8</ns0:v>
      </ns0:c>
      <ns0:c r="K141" s="34" t="str">
        <ns0:f>B141&amp;" "&amp;J141</ns0:f>
        <ns0:v>Стабилитрон BZX84-A6V8</ns0:v>
      </ns0:c>
      <ns0:c r="L141" s="36" t="str">
        <ns0:v>Zener_1A3C</ns0:v>
      </ns0:c>
      <ns0:c r="M141" s="36" t="str">
        <ns0:v>Symbols\MY_LIB_Semiconductors.SchLib</ns0:v>
      </ns0:c>
      <ns0:c r="N141" s="36" t="str">
        <ns0:v>SOT23-3</ns0:v>
      </ns0:c>
      <ns0:c r="O141" s="36" t="str">
        <ns0:v>Footprints\PBL - SMD Packages.PcbLib</ns0:v>
      </ns0:c>
      <ns0:c r="P14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1" s="33"/>
      <ns0:c r="R141" s="34" t="str">
        <ns0:f>D141</ns0:f>
        <ns0:v>BZX84-A6V8</ns0:v>
      </ns0:c>
      <ns0:c r="S141" s="34" t="str">
        <ns0:f>K141</ns0:f>
        <ns0:v>Стабилитрон BZX84-A6V8</ns0:v>
      </ns0:c>
      <ns0:c r="T141" s="33" t="str">
        <ns0:v>C:\Users\Nomatin\Documents\Altium\MY_LIB\MY_LIB\Datasheets\Diodes\BZX84_Nexperia.pdf</ns0:v>
      </ns0:c>
      <ns0:c r="U141" s="33" t="str">
        <ns0:v>Rev. 7, 01-Jan-2023</ns0:v>
      </ns0:c>
      <ns0:c r="V141" s="33" t="str">
        <ns0:v>Даташит — локальный</ns0:v>
      </ns0:c>
      <ns0:c r="W141" s="33" t="str">
        <ns0:v>C:\Users\Nomatin\Documents\Altium\MY_LIB\MY_LIB\Datasheets\Diodes\BZX84_Nexperia.pdf</ns0:v>
      </ns0:c>
      <ns0:c r="X141" s="33" t="str">
        <ns0:v>Даташит — производитель</ns0:v>
      </ns0:c>
      <ns0:c r="Y141" s="33" t="str">
        <ns0:v>https://assets.nexperia.com/documents/data-sheet/BZX84_SER.pdf</ns0:v>
      </ns0:c>
      <ns0:c r="Z141" s="33" t="str">
        <ns0:v>C:\Users\Nomatin\Documents\Altium\MY_LIB\MY_LIB\Datasheets\Diodes\BZX84_Nexperia.pdf</ns0:v>
      </ns0:c>
      <ns0:c r="AA141" s="33" t="str">
        <ns0:v>BZX84-A</ns0:v>
      </ns0:c>
      <ns0:c r="AB141" s="33" t="str">
        <ns0:v>Одиночный</ns0:v>
      </ns0:c>
      <ns0:c r="AC141" s="33" t="str">
        <ns0:v>1=A; 2=NC; 3=K</ns0:v>
      </ns0:c>
      <ns0:c r="AD141" s="33"/>
      <ns0:c r="AE141" s="33"/>
      <ns0:c r="AF141" s="33" t="n">
        <ns0:v>6.8</ns0:v>
      </ns0:c>
      <ns0:c r="AG141" s="33" t="n">
        <ns0:v>5</ns0:v>
      </ns0:c>
      <ns0:c r="AH141" s="33"/>
      <ns0:c r="AI141" s="33"/>
      <ns0:c r="AJ141" s="33" t="str">
        <ns0:v>250 мВт при TA≤25 °C, стандартное посадочное место на FR4; далее снижение мощности.</ns0:v>
      </ns0:c>
    </ns0:row>
    <ns0:row r="142" ht="60" customHeight="1">
      <ns0:c r="A142" s="33" t="str">
        <ns0:v>VD0141</ns0:v>
      </ns0:c>
      <ns0:c r="B142" s="33" t="str">
        <ns0:v>Стабилитрон</ns0:v>
      </ns0:c>
      <ns0:c r="C142" s="33" t="str">
        <ns0:v>BZX84-A7V5</ns0:v>
      </ns0:c>
      <ns0:c r="D142" s="34" t="str">
        <ns0:f>C142</ns0:f>
        <ns0:v>BZX84-A7V5</ns0:v>
      </ns0:c>
      <ns0:c r="E142" s="33" t="str">
        <ns0:v>±1%</ns0:v>
      </ns0:c>
      <ns0:c r="F142" s="33" t="str">
        <ns0:v>0,25 Вт</ns0:v>
      </ns0:c>
      <ns0:c r="G142" s="33" t="str">
        <ns0:v>7.5 В (Uст ном.)</ns0:v>
      </ns0:c>
      <ns0:c r="H142" s="35" t="str">
        <ns0:v>SOT-23</ns0:v>
      </ns0:c>
      <ns0:c r="I142" s="33" t="str">
        <ns0:v>Nexperia</ns0:v>
      </ns0:c>
      <ns0:c r="J142" s="33" t="str">
        <ns0:v>BZX84-A7V5</ns0:v>
      </ns0:c>
      <ns0:c r="K142" s="34" t="str">
        <ns0:f>B142&amp;" "&amp;J142</ns0:f>
        <ns0:v>Стабилитрон BZX84-A7V5</ns0:v>
      </ns0:c>
      <ns0:c r="L142" s="36" t="str">
        <ns0:v>Zener_1A3C</ns0:v>
      </ns0:c>
      <ns0:c r="M142" s="36" t="str">
        <ns0:v>Symbols\MY_LIB_Semiconductors.SchLib</ns0:v>
      </ns0:c>
      <ns0:c r="N142" s="36" t="str">
        <ns0:v>SOT23-3</ns0:v>
      </ns0:c>
      <ns0:c r="O142" s="36" t="str">
        <ns0:v>Footprints\PBL - SMD Packages.PcbLib</ns0:v>
      </ns0:c>
      <ns0:c r="P14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2" s="33"/>
      <ns0:c r="R142" s="34" t="str">
        <ns0:f>D142</ns0:f>
        <ns0:v>BZX84-A7V5</ns0:v>
      </ns0:c>
      <ns0:c r="S142" s="34" t="str">
        <ns0:f>K142</ns0:f>
        <ns0:v>Стабилитрон BZX84-A7V5</ns0:v>
      </ns0:c>
      <ns0:c r="T142" s="33" t="str">
        <ns0:v>C:\Users\Nomatin\Documents\Altium\MY_LIB\MY_LIB\Datasheets\Diodes\BZX84_Nexperia.pdf</ns0:v>
      </ns0:c>
      <ns0:c r="U142" s="33" t="str">
        <ns0:v>Rev. 7, 01-Jan-2023</ns0:v>
      </ns0:c>
      <ns0:c r="V142" s="33" t="str">
        <ns0:v>Даташит — локальный</ns0:v>
      </ns0:c>
      <ns0:c r="W142" s="33" t="str">
        <ns0:v>C:\Users\Nomatin\Documents\Altium\MY_LIB\MY_LIB\Datasheets\Diodes\BZX84_Nexperia.pdf</ns0:v>
      </ns0:c>
      <ns0:c r="X142" s="33" t="str">
        <ns0:v>Даташит — производитель</ns0:v>
      </ns0:c>
      <ns0:c r="Y142" s="33" t="str">
        <ns0:v>https://assets.nexperia.com/documents/data-sheet/BZX84_SER.pdf</ns0:v>
      </ns0:c>
      <ns0:c r="Z142" s="33" t="str">
        <ns0:v>C:\Users\Nomatin\Documents\Altium\MY_LIB\MY_LIB\Datasheets\Diodes\BZX84_Nexperia.pdf</ns0:v>
      </ns0:c>
      <ns0:c r="AA142" s="33" t="str">
        <ns0:v>BZX84-A</ns0:v>
      </ns0:c>
      <ns0:c r="AB142" s="33" t="str">
        <ns0:v>Одиночный</ns0:v>
      </ns0:c>
      <ns0:c r="AC142" s="33" t="str">
        <ns0:v>1=A; 2=NC; 3=K</ns0:v>
      </ns0:c>
      <ns0:c r="AD142" s="33"/>
      <ns0:c r="AE142" s="33"/>
      <ns0:c r="AF142" s="33" t="n">
        <ns0:v>7.5</ns0:v>
      </ns0:c>
      <ns0:c r="AG142" s="33" t="n">
        <ns0:v>5</ns0:v>
      </ns0:c>
      <ns0:c r="AH142" s="33"/>
      <ns0:c r="AI142" s="33"/>
      <ns0:c r="AJ142" s="33" t="str">
        <ns0:v>250 мВт при TA≤25 °C, стандартное посадочное место на FR4; далее снижение мощности.</ns0:v>
      </ns0:c>
    </ns0:row>
    <ns0:row r="143" ht="60" customHeight="1">
      <ns0:c r="A143" s="33" t="str">
        <ns0:v>VD0142</ns0:v>
      </ns0:c>
      <ns0:c r="B143" s="33" t="str">
        <ns0:v>Стабилитрон</ns0:v>
      </ns0:c>
      <ns0:c r="C143" s="33" t="str">
        <ns0:v>BZX84-A8V2</ns0:v>
      </ns0:c>
      <ns0:c r="D143" s="34" t="str">
        <ns0:f>C143</ns0:f>
        <ns0:v>BZX84-A8V2</ns0:v>
      </ns0:c>
      <ns0:c r="E143" s="33" t="str">
        <ns0:v>±1%</ns0:v>
      </ns0:c>
      <ns0:c r="F143" s="33" t="str">
        <ns0:v>0,25 Вт</ns0:v>
      </ns0:c>
      <ns0:c r="G143" s="33" t="str">
        <ns0:v>8.2 В (Uст ном.)</ns0:v>
      </ns0:c>
      <ns0:c r="H143" s="35" t="str">
        <ns0:v>SOT-23</ns0:v>
      </ns0:c>
      <ns0:c r="I143" s="33" t="str">
        <ns0:v>Nexperia</ns0:v>
      </ns0:c>
      <ns0:c r="J143" s="33" t="str">
        <ns0:v>BZX84-A8V2</ns0:v>
      </ns0:c>
      <ns0:c r="K143" s="34" t="str">
        <ns0:f>B143&amp;" "&amp;J143</ns0:f>
        <ns0:v>Стабилитрон BZX84-A8V2</ns0:v>
      </ns0:c>
      <ns0:c r="L143" s="36" t="str">
        <ns0:v>Zener_1A3C</ns0:v>
      </ns0:c>
      <ns0:c r="M143" s="36" t="str">
        <ns0:v>Symbols\MY_LIB_Semiconductors.SchLib</ns0:v>
      </ns0:c>
      <ns0:c r="N143" s="36" t="str">
        <ns0:v>SOT23-3</ns0:v>
      </ns0:c>
      <ns0:c r="O143" s="36" t="str">
        <ns0:v>Footprints\PBL - SMD Packages.PcbLib</ns0:v>
      </ns0:c>
      <ns0:c r="P14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3" s="33"/>
      <ns0:c r="R143" s="34" t="str">
        <ns0:f>D143</ns0:f>
        <ns0:v>BZX84-A8V2</ns0:v>
      </ns0:c>
      <ns0:c r="S143" s="34" t="str">
        <ns0:f>K143</ns0:f>
        <ns0:v>Стабилитрон BZX84-A8V2</ns0:v>
      </ns0:c>
      <ns0:c r="T143" s="33" t="str">
        <ns0:v>C:\Users\Nomatin\Documents\Altium\MY_LIB\MY_LIB\Datasheets\Diodes\BZX84_Nexperia.pdf</ns0:v>
      </ns0:c>
      <ns0:c r="U143" s="33" t="str">
        <ns0:v>Rev. 7, 01-Jan-2023</ns0:v>
      </ns0:c>
      <ns0:c r="V143" s="33" t="str">
        <ns0:v>Даташит — локальный</ns0:v>
      </ns0:c>
      <ns0:c r="W143" s="33" t="str">
        <ns0:v>C:\Users\Nomatin\Documents\Altium\MY_LIB\MY_LIB\Datasheets\Diodes\BZX84_Nexperia.pdf</ns0:v>
      </ns0:c>
      <ns0:c r="X143" s="33" t="str">
        <ns0:v>Даташит — производитель</ns0:v>
      </ns0:c>
      <ns0:c r="Y143" s="33" t="str">
        <ns0:v>https://assets.nexperia.com/documents/data-sheet/BZX84_SER.pdf</ns0:v>
      </ns0:c>
      <ns0:c r="Z143" s="33" t="str">
        <ns0:v>C:\Users\Nomatin\Documents\Altium\MY_LIB\MY_LIB\Datasheets\Diodes\BZX84_Nexperia.pdf</ns0:v>
      </ns0:c>
      <ns0:c r="AA143" s="33" t="str">
        <ns0:v>BZX84-A</ns0:v>
      </ns0:c>
      <ns0:c r="AB143" s="33" t="str">
        <ns0:v>Одиночный</ns0:v>
      </ns0:c>
      <ns0:c r="AC143" s="33" t="str">
        <ns0:v>1=A; 2=NC; 3=K</ns0:v>
      </ns0:c>
      <ns0:c r="AD143" s="33"/>
      <ns0:c r="AE143" s="33"/>
      <ns0:c r="AF143" s="33" t="n">
        <ns0:v>8.2</ns0:v>
      </ns0:c>
      <ns0:c r="AG143" s="33" t="n">
        <ns0:v>5</ns0:v>
      </ns0:c>
      <ns0:c r="AH143" s="33"/>
      <ns0:c r="AI143" s="33"/>
      <ns0:c r="AJ143" s="33" t="str">
        <ns0:v>250 мВт при TA≤25 °C, стандартное посадочное место на FR4; далее снижение мощности.</ns0:v>
      </ns0:c>
    </ns0:row>
    <ns0:row r="144" ht="60" customHeight="1">
      <ns0:c r="A144" s="33" t="str">
        <ns0:v>VD0143</ns0:v>
      </ns0:c>
      <ns0:c r="B144" s="33" t="str">
        <ns0:v>Стабилитрон</ns0:v>
      </ns0:c>
      <ns0:c r="C144" s="33" t="str">
        <ns0:v>BZX84-A9V1</ns0:v>
      </ns0:c>
      <ns0:c r="D144" s="34" t="str">
        <ns0:f>C144</ns0:f>
        <ns0:v>BZX84-A9V1</ns0:v>
      </ns0:c>
      <ns0:c r="E144" s="33" t="str">
        <ns0:v>±1%</ns0:v>
      </ns0:c>
      <ns0:c r="F144" s="33" t="str">
        <ns0:v>0,25 Вт</ns0:v>
      </ns0:c>
      <ns0:c r="G144" s="33" t="str">
        <ns0:v>9.1 В (Uст ном.)</ns0:v>
      </ns0:c>
      <ns0:c r="H144" s="35" t="str">
        <ns0:v>SOT-23</ns0:v>
      </ns0:c>
      <ns0:c r="I144" s="33" t="str">
        <ns0:v>Nexperia</ns0:v>
      </ns0:c>
      <ns0:c r="J144" s="33" t="str">
        <ns0:v>BZX84-A9V1</ns0:v>
      </ns0:c>
      <ns0:c r="K144" s="34" t="str">
        <ns0:f>B144&amp;" "&amp;J144</ns0:f>
        <ns0:v>Стабилитрон BZX84-A9V1</ns0:v>
      </ns0:c>
      <ns0:c r="L144" s="36" t="str">
        <ns0:v>Zener_1A3C</ns0:v>
      </ns0:c>
      <ns0:c r="M144" s="36" t="str">
        <ns0:v>Symbols\MY_LIB_Semiconductors.SchLib</ns0:v>
      </ns0:c>
      <ns0:c r="N144" s="36" t="str">
        <ns0:v>SOT23-3</ns0:v>
      </ns0:c>
      <ns0:c r="O144" s="36" t="str">
        <ns0:v>Footprints\PBL - SMD Packages.PcbLib</ns0:v>
      </ns0:c>
      <ns0:c r="P14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4" s="33"/>
      <ns0:c r="R144" s="34" t="str">
        <ns0:f>D144</ns0:f>
        <ns0:v>BZX84-A9V1</ns0:v>
      </ns0:c>
      <ns0:c r="S144" s="34" t="str">
        <ns0:f>K144</ns0:f>
        <ns0:v>Стабилитрон BZX84-A9V1</ns0:v>
      </ns0:c>
      <ns0:c r="T144" s="33" t="str">
        <ns0:v>C:\Users\Nomatin\Documents\Altium\MY_LIB\MY_LIB\Datasheets\Diodes\BZX84_Nexperia.pdf</ns0:v>
      </ns0:c>
      <ns0:c r="U144" s="33" t="str">
        <ns0:v>Rev. 7, 01-Jan-2023</ns0:v>
      </ns0:c>
      <ns0:c r="V144" s="33" t="str">
        <ns0:v>Даташит — локальный</ns0:v>
      </ns0:c>
      <ns0:c r="W144" s="33" t="str">
        <ns0:v>C:\Users\Nomatin\Documents\Altium\MY_LIB\MY_LIB\Datasheets\Diodes\BZX84_Nexperia.pdf</ns0:v>
      </ns0:c>
      <ns0:c r="X144" s="33" t="str">
        <ns0:v>Даташит — производитель</ns0:v>
      </ns0:c>
      <ns0:c r="Y144" s="33" t="str">
        <ns0:v>https://assets.nexperia.com/documents/data-sheet/BZX84_SER.pdf</ns0:v>
      </ns0:c>
      <ns0:c r="Z144" s="33" t="str">
        <ns0:v>C:\Users\Nomatin\Documents\Altium\MY_LIB\MY_LIB\Datasheets\Diodes\BZX84_Nexperia.pdf</ns0:v>
      </ns0:c>
      <ns0:c r="AA144" s="33" t="str">
        <ns0:v>BZX84-A</ns0:v>
      </ns0:c>
      <ns0:c r="AB144" s="33" t="str">
        <ns0:v>Одиночный</ns0:v>
      </ns0:c>
      <ns0:c r="AC144" s="33" t="str">
        <ns0:v>1=A; 2=NC; 3=K</ns0:v>
      </ns0:c>
      <ns0:c r="AD144" s="33"/>
      <ns0:c r="AE144" s="33"/>
      <ns0:c r="AF144" s="33" t="n">
        <ns0:v>9.1</ns0:v>
      </ns0:c>
      <ns0:c r="AG144" s="33" t="n">
        <ns0:v>5</ns0:v>
      </ns0:c>
      <ns0:c r="AH144" s="33"/>
      <ns0:c r="AI144" s="33"/>
      <ns0:c r="AJ144" s="33" t="str">
        <ns0:v>250 мВт при TA≤25 °C, стандартное посадочное место на FR4; далее снижение мощности.</ns0:v>
      </ns0:c>
    </ns0:row>
    <ns0:row r="145" ht="60" customHeight="1">
      <ns0:c r="A145" s="33" t="str">
        <ns0:v>VD0144</ns0:v>
      </ns0:c>
      <ns0:c r="B145" s="33" t="str">
        <ns0:v>Стабилитрон</ns0:v>
      </ns0:c>
      <ns0:c r="C145" s="33" t="str">
        <ns0:v>BZX84-A10</ns0:v>
      </ns0:c>
      <ns0:c r="D145" s="34" t="str">
        <ns0:f>C145</ns0:f>
        <ns0:v>BZX84-A10</ns0:v>
      </ns0:c>
      <ns0:c r="E145" s="33" t="str">
        <ns0:v>±1%</ns0:v>
      </ns0:c>
      <ns0:c r="F145" s="33" t="str">
        <ns0:v>0,25 Вт</ns0:v>
      </ns0:c>
      <ns0:c r="G145" s="33" t="str">
        <ns0:v>10 В (Uст ном.)</ns0:v>
      </ns0:c>
      <ns0:c r="H145" s="35" t="str">
        <ns0:v>SOT-23</ns0:v>
      </ns0:c>
      <ns0:c r="I145" s="33" t="str">
        <ns0:v>Nexperia</ns0:v>
      </ns0:c>
      <ns0:c r="J145" s="33" t="str">
        <ns0:v>BZX84-A10</ns0:v>
      </ns0:c>
      <ns0:c r="K145" s="34" t="str">
        <ns0:f>B145&amp;" "&amp;J145</ns0:f>
        <ns0:v>Стабилитрон BZX84-A10</ns0:v>
      </ns0:c>
      <ns0:c r="L145" s="36" t="str">
        <ns0:v>Zener_1A3C</ns0:v>
      </ns0:c>
      <ns0:c r="M145" s="36" t="str">
        <ns0:v>Symbols\MY_LIB_Semiconductors.SchLib</ns0:v>
      </ns0:c>
      <ns0:c r="N145" s="36" t="str">
        <ns0:v>SOT23-3</ns0:v>
      </ns0:c>
      <ns0:c r="O145" s="36" t="str">
        <ns0:v>Footprints\PBL - SMD Packages.PcbLib</ns0:v>
      </ns0:c>
      <ns0:c r="P14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5" s="33"/>
      <ns0:c r="R145" s="34" t="str">
        <ns0:f>D145</ns0:f>
        <ns0:v>BZX84-A10</ns0:v>
      </ns0:c>
      <ns0:c r="S145" s="34" t="str">
        <ns0:f>K145</ns0:f>
        <ns0:v>Стабилитрон BZX84-A10</ns0:v>
      </ns0:c>
      <ns0:c r="T145" s="33" t="str">
        <ns0:v>C:\Users\Nomatin\Documents\Altium\MY_LIB\MY_LIB\Datasheets\Diodes\BZX84_Nexperia.pdf</ns0:v>
      </ns0:c>
      <ns0:c r="U145" s="33" t="str">
        <ns0:v>Rev. 7, 01-Jan-2023</ns0:v>
      </ns0:c>
      <ns0:c r="V145" s="33" t="str">
        <ns0:v>Даташит — локальный</ns0:v>
      </ns0:c>
      <ns0:c r="W145" s="33" t="str">
        <ns0:v>C:\Users\Nomatin\Documents\Altium\MY_LIB\MY_LIB\Datasheets\Diodes\BZX84_Nexperia.pdf</ns0:v>
      </ns0:c>
      <ns0:c r="X145" s="33" t="str">
        <ns0:v>Даташит — производитель</ns0:v>
      </ns0:c>
      <ns0:c r="Y145" s="33" t="str">
        <ns0:v>https://assets.nexperia.com/documents/data-sheet/BZX84_SER.pdf</ns0:v>
      </ns0:c>
      <ns0:c r="Z145" s="33" t="str">
        <ns0:v>C:\Users\Nomatin\Documents\Altium\MY_LIB\MY_LIB\Datasheets\Diodes\BZX84_Nexperia.pdf</ns0:v>
      </ns0:c>
      <ns0:c r="AA145" s="33" t="str">
        <ns0:v>BZX84-A</ns0:v>
      </ns0:c>
      <ns0:c r="AB145" s="33" t="str">
        <ns0:v>Одиночный</ns0:v>
      </ns0:c>
      <ns0:c r="AC145" s="33" t="str">
        <ns0:v>1=A; 2=NC; 3=K</ns0:v>
      </ns0:c>
      <ns0:c r="AD145" s="33"/>
      <ns0:c r="AE145" s="33"/>
      <ns0:c r="AF145" s="33" t="n">
        <ns0:v>10</ns0:v>
      </ns0:c>
      <ns0:c r="AG145" s="33" t="n">
        <ns0:v>5</ns0:v>
      </ns0:c>
      <ns0:c r="AH145" s="33"/>
      <ns0:c r="AI145" s="33"/>
      <ns0:c r="AJ145" s="33" t="str">
        <ns0:v>250 мВт при TA≤25 °C, стандартное посадочное место на FR4; далее снижение мощности.</ns0:v>
      </ns0:c>
    </ns0:row>
    <ns0:row r="146" ht="60" customHeight="1">
      <ns0:c r="A146" s="33" t="str">
        <ns0:v>VD0145</ns0:v>
      </ns0:c>
      <ns0:c r="B146" s="33" t="str">
        <ns0:v>Стабилитрон</ns0:v>
      </ns0:c>
      <ns0:c r="C146" s="33" t="str">
        <ns0:v>BZX84-A11</ns0:v>
      </ns0:c>
      <ns0:c r="D146" s="34" t="str">
        <ns0:f>C146</ns0:f>
        <ns0:v>BZX84-A11</ns0:v>
      </ns0:c>
      <ns0:c r="E146" s="33" t="str">
        <ns0:v>±1%</ns0:v>
      </ns0:c>
      <ns0:c r="F146" s="33" t="str">
        <ns0:v>0,25 Вт</ns0:v>
      </ns0:c>
      <ns0:c r="G146" s="33" t="str">
        <ns0:v>11 В (Uст ном.)</ns0:v>
      </ns0:c>
      <ns0:c r="H146" s="35" t="str">
        <ns0:v>SOT-23</ns0:v>
      </ns0:c>
      <ns0:c r="I146" s="33" t="str">
        <ns0:v>Nexperia</ns0:v>
      </ns0:c>
      <ns0:c r="J146" s="33" t="str">
        <ns0:v>BZX84-A11</ns0:v>
      </ns0:c>
      <ns0:c r="K146" s="34" t="str">
        <ns0:f>B146&amp;" "&amp;J146</ns0:f>
        <ns0:v>Стабилитрон BZX84-A11</ns0:v>
      </ns0:c>
      <ns0:c r="L146" s="36" t="str">
        <ns0:v>Zener_1A3C</ns0:v>
      </ns0:c>
      <ns0:c r="M146" s="36" t="str">
        <ns0:v>Symbols\MY_LIB_Semiconductors.SchLib</ns0:v>
      </ns0:c>
      <ns0:c r="N146" s="36" t="str">
        <ns0:v>SOT23-3</ns0:v>
      </ns0:c>
      <ns0:c r="O146" s="36" t="str">
        <ns0:v>Footprints\PBL - SMD Packages.PcbLib</ns0:v>
      </ns0:c>
      <ns0:c r="P14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6" s="33"/>
      <ns0:c r="R146" s="34" t="str">
        <ns0:f>D146</ns0:f>
        <ns0:v>BZX84-A11</ns0:v>
      </ns0:c>
      <ns0:c r="S146" s="34" t="str">
        <ns0:f>K146</ns0:f>
        <ns0:v>Стабилитрон BZX84-A11</ns0:v>
      </ns0:c>
      <ns0:c r="T146" s="33" t="str">
        <ns0:v>C:\Users\Nomatin\Documents\Altium\MY_LIB\MY_LIB\Datasheets\Diodes\BZX84_Nexperia.pdf</ns0:v>
      </ns0:c>
      <ns0:c r="U146" s="33" t="str">
        <ns0:v>Rev. 7, 01-Jan-2023</ns0:v>
      </ns0:c>
      <ns0:c r="V146" s="33" t="str">
        <ns0:v>Даташит — локальный</ns0:v>
      </ns0:c>
      <ns0:c r="W146" s="33" t="str">
        <ns0:v>C:\Users\Nomatin\Documents\Altium\MY_LIB\MY_LIB\Datasheets\Diodes\BZX84_Nexperia.pdf</ns0:v>
      </ns0:c>
      <ns0:c r="X146" s="33" t="str">
        <ns0:v>Даташит — производитель</ns0:v>
      </ns0:c>
      <ns0:c r="Y146" s="33" t="str">
        <ns0:v>https://assets.nexperia.com/documents/data-sheet/BZX84_SER.pdf</ns0:v>
      </ns0:c>
      <ns0:c r="Z146" s="33" t="str">
        <ns0:v>C:\Users\Nomatin\Documents\Altium\MY_LIB\MY_LIB\Datasheets\Diodes\BZX84_Nexperia.pdf</ns0:v>
      </ns0:c>
      <ns0:c r="AA146" s="33" t="str">
        <ns0:v>BZX84-A</ns0:v>
      </ns0:c>
      <ns0:c r="AB146" s="33" t="str">
        <ns0:v>Одиночный</ns0:v>
      </ns0:c>
      <ns0:c r="AC146" s="33" t="str">
        <ns0:v>1=A; 2=NC; 3=K</ns0:v>
      </ns0:c>
      <ns0:c r="AD146" s="33"/>
      <ns0:c r="AE146" s="33"/>
      <ns0:c r="AF146" s="33" t="n">
        <ns0:v>11</ns0:v>
      </ns0:c>
      <ns0:c r="AG146" s="33" t="n">
        <ns0:v>5</ns0:v>
      </ns0:c>
      <ns0:c r="AH146" s="33"/>
      <ns0:c r="AI146" s="33"/>
      <ns0:c r="AJ146" s="33" t="str">
        <ns0:v>250 мВт при TA≤25 °C, стандартное посадочное место на FR4; далее снижение мощности.</ns0:v>
      </ns0:c>
    </ns0:row>
    <ns0:row r="147" ht="60" customHeight="1">
      <ns0:c r="A147" s="33" t="str">
        <ns0:v>VD0146</ns0:v>
      </ns0:c>
      <ns0:c r="B147" s="33" t="str">
        <ns0:v>Стабилитрон</ns0:v>
      </ns0:c>
      <ns0:c r="C147" s="33" t="str">
        <ns0:v>BZX84-A12</ns0:v>
      </ns0:c>
      <ns0:c r="D147" s="34" t="str">
        <ns0:f>C147</ns0:f>
        <ns0:v>BZX84-A12</ns0:v>
      </ns0:c>
      <ns0:c r="E147" s="33" t="str">
        <ns0:v>±1%</ns0:v>
      </ns0:c>
      <ns0:c r="F147" s="33" t="str">
        <ns0:v>0,25 Вт</ns0:v>
      </ns0:c>
      <ns0:c r="G147" s="33" t="str">
        <ns0:v>12 В (Uст ном.)</ns0:v>
      </ns0:c>
      <ns0:c r="H147" s="35" t="str">
        <ns0:v>SOT-23</ns0:v>
      </ns0:c>
      <ns0:c r="I147" s="33" t="str">
        <ns0:v>Nexperia</ns0:v>
      </ns0:c>
      <ns0:c r="J147" s="33" t="str">
        <ns0:v>BZX84-A12</ns0:v>
      </ns0:c>
      <ns0:c r="K147" s="34" t="str">
        <ns0:f>B147&amp;" "&amp;J147</ns0:f>
        <ns0:v>Стабилитрон BZX84-A12</ns0:v>
      </ns0:c>
      <ns0:c r="L147" s="36" t="str">
        <ns0:v>Zener_1A3C</ns0:v>
      </ns0:c>
      <ns0:c r="M147" s="36" t="str">
        <ns0:v>Symbols\MY_LIB_Semiconductors.SchLib</ns0:v>
      </ns0:c>
      <ns0:c r="N147" s="36" t="str">
        <ns0:v>SOT23-3</ns0:v>
      </ns0:c>
      <ns0:c r="O147" s="36" t="str">
        <ns0:v>Footprints\PBL - SMD Packages.PcbLib</ns0:v>
      </ns0:c>
      <ns0:c r="P14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7" s="33"/>
      <ns0:c r="R147" s="34" t="str">
        <ns0:f>D147</ns0:f>
        <ns0:v>BZX84-A12</ns0:v>
      </ns0:c>
      <ns0:c r="S147" s="34" t="str">
        <ns0:f>K147</ns0:f>
        <ns0:v>Стабилитрон BZX84-A12</ns0:v>
      </ns0:c>
      <ns0:c r="T147" s="33" t="str">
        <ns0:v>C:\Users\Nomatin\Documents\Altium\MY_LIB\MY_LIB\Datasheets\Diodes\BZX84_Nexperia.pdf</ns0:v>
      </ns0:c>
      <ns0:c r="U147" s="33" t="str">
        <ns0:v>Rev. 7, 01-Jan-2023</ns0:v>
      </ns0:c>
      <ns0:c r="V147" s="33" t="str">
        <ns0:v>Даташит — локальный</ns0:v>
      </ns0:c>
      <ns0:c r="W147" s="33" t="str">
        <ns0:v>C:\Users\Nomatin\Documents\Altium\MY_LIB\MY_LIB\Datasheets\Diodes\BZX84_Nexperia.pdf</ns0:v>
      </ns0:c>
      <ns0:c r="X147" s="33" t="str">
        <ns0:v>Даташит — производитель</ns0:v>
      </ns0:c>
      <ns0:c r="Y147" s="33" t="str">
        <ns0:v>https://assets.nexperia.com/documents/data-sheet/BZX84_SER.pdf</ns0:v>
      </ns0:c>
      <ns0:c r="Z147" s="33" t="str">
        <ns0:v>C:\Users\Nomatin\Documents\Altium\MY_LIB\MY_LIB\Datasheets\Diodes\BZX84_Nexperia.pdf</ns0:v>
      </ns0:c>
      <ns0:c r="AA147" s="33" t="str">
        <ns0:v>BZX84-A</ns0:v>
      </ns0:c>
      <ns0:c r="AB147" s="33" t="str">
        <ns0:v>Одиночный</ns0:v>
      </ns0:c>
      <ns0:c r="AC147" s="33" t="str">
        <ns0:v>1=A; 2=NC; 3=K</ns0:v>
      </ns0:c>
      <ns0:c r="AD147" s="33"/>
      <ns0:c r="AE147" s="33"/>
      <ns0:c r="AF147" s="33" t="n">
        <ns0:v>12</ns0:v>
      </ns0:c>
      <ns0:c r="AG147" s="33" t="n">
        <ns0:v>5</ns0:v>
      </ns0:c>
      <ns0:c r="AH147" s="33"/>
      <ns0:c r="AI147" s="33"/>
      <ns0:c r="AJ147" s="33" t="str">
        <ns0:v>250 мВт при TA≤25 °C, стандартное посадочное место на FR4; далее снижение мощности.</ns0:v>
      </ns0:c>
    </ns0:row>
    <ns0:row r="148" ht="60" customHeight="1">
      <ns0:c r="A148" s="33" t="str">
        <ns0:v>VD0147</ns0:v>
      </ns0:c>
      <ns0:c r="B148" s="33" t="str">
        <ns0:v>Стабилитрон</ns0:v>
      </ns0:c>
      <ns0:c r="C148" s="33" t="str">
        <ns0:v>BZX84-A13</ns0:v>
      </ns0:c>
      <ns0:c r="D148" s="34" t="str">
        <ns0:f>C148</ns0:f>
        <ns0:v>BZX84-A13</ns0:v>
      </ns0:c>
      <ns0:c r="E148" s="33" t="str">
        <ns0:v>±1%</ns0:v>
      </ns0:c>
      <ns0:c r="F148" s="33" t="str">
        <ns0:v>0,25 Вт</ns0:v>
      </ns0:c>
      <ns0:c r="G148" s="33" t="str">
        <ns0:v>13 В (Uст ном.)</ns0:v>
      </ns0:c>
      <ns0:c r="H148" s="35" t="str">
        <ns0:v>SOT-23</ns0:v>
      </ns0:c>
      <ns0:c r="I148" s="33" t="str">
        <ns0:v>Nexperia</ns0:v>
      </ns0:c>
      <ns0:c r="J148" s="33" t="str">
        <ns0:v>BZX84-A13</ns0:v>
      </ns0:c>
      <ns0:c r="K148" s="34" t="str">
        <ns0:f>B148&amp;" "&amp;J148</ns0:f>
        <ns0:v>Стабилитрон BZX84-A13</ns0:v>
      </ns0:c>
      <ns0:c r="L148" s="36" t="str">
        <ns0:v>Zener_1A3C</ns0:v>
      </ns0:c>
      <ns0:c r="M148" s="36" t="str">
        <ns0:v>Symbols\MY_LIB_Semiconductors.SchLib</ns0:v>
      </ns0:c>
      <ns0:c r="N148" s="36" t="str">
        <ns0:v>SOT23-3</ns0:v>
      </ns0:c>
      <ns0:c r="O148" s="36" t="str">
        <ns0:v>Footprints\PBL - SMD Packages.PcbLib</ns0:v>
      </ns0:c>
      <ns0:c r="P14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8" s="33"/>
      <ns0:c r="R148" s="34" t="str">
        <ns0:f>D148</ns0:f>
        <ns0:v>BZX84-A13</ns0:v>
      </ns0:c>
      <ns0:c r="S148" s="34" t="str">
        <ns0:f>K148</ns0:f>
        <ns0:v>Стабилитрон BZX84-A13</ns0:v>
      </ns0:c>
      <ns0:c r="T148" s="33" t="str">
        <ns0:v>C:\Users\Nomatin\Documents\Altium\MY_LIB\MY_LIB\Datasheets\Diodes\BZX84_Nexperia.pdf</ns0:v>
      </ns0:c>
      <ns0:c r="U148" s="33" t="str">
        <ns0:v>Rev. 7, 01-Jan-2023</ns0:v>
      </ns0:c>
      <ns0:c r="V148" s="33" t="str">
        <ns0:v>Даташит — локальный</ns0:v>
      </ns0:c>
      <ns0:c r="W148" s="33" t="str">
        <ns0:v>C:\Users\Nomatin\Documents\Altium\MY_LIB\MY_LIB\Datasheets\Diodes\BZX84_Nexperia.pdf</ns0:v>
      </ns0:c>
      <ns0:c r="X148" s="33" t="str">
        <ns0:v>Даташит — производитель</ns0:v>
      </ns0:c>
      <ns0:c r="Y148" s="33" t="str">
        <ns0:v>https://assets.nexperia.com/documents/data-sheet/BZX84_SER.pdf</ns0:v>
      </ns0:c>
      <ns0:c r="Z148" s="33" t="str">
        <ns0:v>C:\Users\Nomatin\Documents\Altium\MY_LIB\MY_LIB\Datasheets\Diodes\BZX84_Nexperia.pdf</ns0:v>
      </ns0:c>
      <ns0:c r="AA148" s="33" t="str">
        <ns0:v>BZX84-A</ns0:v>
      </ns0:c>
      <ns0:c r="AB148" s="33" t="str">
        <ns0:v>Одиночный</ns0:v>
      </ns0:c>
      <ns0:c r="AC148" s="33" t="str">
        <ns0:v>1=A; 2=NC; 3=K</ns0:v>
      </ns0:c>
      <ns0:c r="AD148" s="33"/>
      <ns0:c r="AE148" s="33"/>
      <ns0:c r="AF148" s="33" t="n">
        <ns0:v>13</ns0:v>
      </ns0:c>
      <ns0:c r="AG148" s="33" t="n">
        <ns0:v>5</ns0:v>
      </ns0:c>
      <ns0:c r="AH148" s="33"/>
      <ns0:c r="AI148" s="33"/>
      <ns0:c r="AJ148" s="33" t="str">
        <ns0:v>250 мВт при TA≤25 °C, стандартное посадочное место на FR4; далее снижение мощности.</ns0:v>
      </ns0:c>
    </ns0:row>
    <ns0:row r="149" ht="60" customHeight="1">
      <ns0:c r="A149" s="33" t="str">
        <ns0:v>VD0148</ns0:v>
      </ns0:c>
      <ns0:c r="B149" s="33" t="str">
        <ns0:v>Стабилитрон</ns0:v>
      </ns0:c>
      <ns0:c r="C149" s="33" t="str">
        <ns0:v>BZX84-A15</ns0:v>
      </ns0:c>
      <ns0:c r="D149" s="34" t="str">
        <ns0:f>C149</ns0:f>
        <ns0:v>BZX84-A15</ns0:v>
      </ns0:c>
      <ns0:c r="E149" s="33" t="str">
        <ns0:v>±1%</ns0:v>
      </ns0:c>
      <ns0:c r="F149" s="33" t="str">
        <ns0:v>0,25 Вт</ns0:v>
      </ns0:c>
      <ns0:c r="G149" s="33" t="str">
        <ns0:v>15 В (Uст ном.)</ns0:v>
      </ns0:c>
      <ns0:c r="H149" s="35" t="str">
        <ns0:v>SOT-23</ns0:v>
      </ns0:c>
      <ns0:c r="I149" s="33" t="str">
        <ns0:v>Nexperia</ns0:v>
      </ns0:c>
      <ns0:c r="J149" s="33" t="str">
        <ns0:v>BZX84-A15</ns0:v>
      </ns0:c>
      <ns0:c r="K149" s="34" t="str">
        <ns0:f>B149&amp;" "&amp;J149</ns0:f>
        <ns0:v>Стабилитрон BZX84-A15</ns0:v>
      </ns0:c>
      <ns0:c r="L149" s="36" t="str">
        <ns0:v>Zener_1A3C</ns0:v>
      </ns0:c>
      <ns0:c r="M149" s="36" t="str">
        <ns0:v>Symbols\MY_LIB_Semiconductors.SchLib</ns0:v>
      </ns0:c>
      <ns0:c r="N149" s="36" t="str">
        <ns0:v>SOT23-3</ns0:v>
      </ns0:c>
      <ns0:c r="O149" s="36" t="str">
        <ns0:v>Footprints\PBL - SMD Packages.PcbLib</ns0:v>
      </ns0:c>
      <ns0:c r="P14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49" s="33"/>
      <ns0:c r="R149" s="34" t="str">
        <ns0:f>D149</ns0:f>
        <ns0:v>BZX84-A15</ns0:v>
      </ns0:c>
      <ns0:c r="S149" s="34" t="str">
        <ns0:f>K149</ns0:f>
        <ns0:v>Стабилитрон BZX84-A15</ns0:v>
      </ns0:c>
      <ns0:c r="T149" s="33" t="str">
        <ns0:v>C:\Users\Nomatin\Documents\Altium\MY_LIB\MY_LIB\Datasheets\Diodes\BZX84_Nexperia.pdf</ns0:v>
      </ns0:c>
      <ns0:c r="U149" s="33" t="str">
        <ns0:v>Rev. 7, 01-Jan-2023</ns0:v>
      </ns0:c>
      <ns0:c r="V149" s="33" t="str">
        <ns0:v>Даташит — локальный</ns0:v>
      </ns0:c>
      <ns0:c r="W149" s="33" t="str">
        <ns0:v>C:\Users\Nomatin\Documents\Altium\MY_LIB\MY_LIB\Datasheets\Diodes\BZX84_Nexperia.pdf</ns0:v>
      </ns0:c>
      <ns0:c r="X149" s="33" t="str">
        <ns0:v>Даташит — производитель</ns0:v>
      </ns0:c>
      <ns0:c r="Y149" s="33" t="str">
        <ns0:v>https://assets.nexperia.com/documents/data-sheet/BZX84_SER.pdf</ns0:v>
      </ns0:c>
      <ns0:c r="Z149" s="33" t="str">
        <ns0:v>C:\Users\Nomatin\Documents\Altium\MY_LIB\MY_LIB\Datasheets\Diodes\BZX84_Nexperia.pdf</ns0:v>
      </ns0:c>
      <ns0:c r="AA149" s="33" t="str">
        <ns0:v>BZX84-A</ns0:v>
      </ns0:c>
      <ns0:c r="AB149" s="33" t="str">
        <ns0:v>Одиночный</ns0:v>
      </ns0:c>
      <ns0:c r="AC149" s="33" t="str">
        <ns0:v>1=A; 2=NC; 3=K</ns0:v>
      </ns0:c>
      <ns0:c r="AD149" s="33"/>
      <ns0:c r="AE149" s="33"/>
      <ns0:c r="AF149" s="33" t="n">
        <ns0:v>15</ns0:v>
      </ns0:c>
      <ns0:c r="AG149" s="33" t="n">
        <ns0:v>5</ns0:v>
      </ns0:c>
      <ns0:c r="AH149" s="33"/>
      <ns0:c r="AI149" s="33"/>
      <ns0:c r="AJ149" s="33" t="str">
        <ns0:v>250 мВт при TA≤25 °C, стандартное посадочное место на FR4; далее снижение мощности.</ns0:v>
      </ns0:c>
    </ns0:row>
    <ns0:row r="150" ht="60" customHeight="1">
      <ns0:c r="A150" s="33" t="str">
        <ns0:v>VD0149</ns0:v>
      </ns0:c>
      <ns0:c r="B150" s="33" t="str">
        <ns0:v>Стабилитрон</ns0:v>
      </ns0:c>
      <ns0:c r="C150" s="33" t="str">
        <ns0:v>BZX84-A16</ns0:v>
      </ns0:c>
      <ns0:c r="D150" s="34" t="str">
        <ns0:f>C150</ns0:f>
        <ns0:v>BZX84-A16</ns0:v>
      </ns0:c>
      <ns0:c r="E150" s="33" t="str">
        <ns0:v>±1%</ns0:v>
      </ns0:c>
      <ns0:c r="F150" s="33" t="str">
        <ns0:v>0,25 Вт</ns0:v>
      </ns0:c>
      <ns0:c r="G150" s="33" t="str">
        <ns0:v>16 В (Uст ном.)</ns0:v>
      </ns0:c>
      <ns0:c r="H150" s="35" t="str">
        <ns0:v>SOT-23</ns0:v>
      </ns0:c>
      <ns0:c r="I150" s="33" t="str">
        <ns0:v>Nexperia</ns0:v>
      </ns0:c>
      <ns0:c r="J150" s="33" t="str">
        <ns0:v>BZX84-A16</ns0:v>
      </ns0:c>
      <ns0:c r="K150" s="34" t="str">
        <ns0:f>B150&amp;" "&amp;J150</ns0:f>
        <ns0:v>Стабилитрон BZX84-A16</ns0:v>
      </ns0:c>
      <ns0:c r="L150" s="36" t="str">
        <ns0:v>Zener_1A3C</ns0:v>
      </ns0:c>
      <ns0:c r="M150" s="36" t="str">
        <ns0:v>Symbols\MY_LIB_Semiconductors.SchLib</ns0:v>
      </ns0:c>
      <ns0:c r="N150" s="36" t="str">
        <ns0:v>SOT23-3</ns0:v>
      </ns0:c>
      <ns0:c r="O150" s="36" t="str">
        <ns0:v>Footprints\PBL - SMD Packages.PcbLib</ns0:v>
      </ns0:c>
      <ns0:c r="P15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0" s="33"/>
      <ns0:c r="R150" s="34" t="str">
        <ns0:f>D150</ns0:f>
        <ns0:v>BZX84-A16</ns0:v>
      </ns0:c>
      <ns0:c r="S150" s="34" t="str">
        <ns0:f>K150</ns0:f>
        <ns0:v>Стабилитрон BZX84-A16</ns0:v>
      </ns0:c>
      <ns0:c r="T150" s="33" t="str">
        <ns0:v>C:\Users\Nomatin\Documents\Altium\MY_LIB\MY_LIB\Datasheets\Diodes\BZX84_Nexperia.pdf</ns0:v>
      </ns0:c>
      <ns0:c r="U150" s="33" t="str">
        <ns0:v>Rev. 7, 01-Jan-2023</ns0:v>
      </ns0:c>
      <ns0:c r="V150" s="33" t="str">
        <ns0:v>Даташит — локальный</ns0:v>
      </ns0:c>
      <ns0:c r="W150" s="33" t="str">
        <ns0:v>C:\Users\Nomatin\Documents\Altium\MY_LIB\MY_LIB\Datasheets\Diodes\BZX84_Nexperia.pdf</ns0:v>
      </ns0:c>
      <ns0:c r="X150" s="33" t="str">
        <ns0:v>Даташит — производитель</ns0:v>
      </ns0:c>
      <ns0:c r="Y150" s="33" t="str">
        <ns0:v>https://assets.nexperia.com/documents/data-sheet/BZX84_SER.pdf</ns0:v>
      </ns0:c>
      <ns0:c r="Z150" s="33" t="str">
        <ns0:v>C:\Users\Nomatin\Documents\Altium\MY_LIB\MY_LIB\Datasheets\Diodes\BZX84_Nexperia.pdf</ns0:v>
      </ns0:c>
      <ns0:c r="AA150" s="33" t="str">
        <ns0:v>BZX84-A</ns0:v>
      </ns0:c>
      <ns0:c r="AB150" s="33" t="str">
        <ns0:v>Одиночный</ns0:v>
      </ns0:c>
      <ns0:c r="AC150" s="33" t="str">
        <ns0:v>1=A; 2=NC; 3=K</ns0:v>
      </ns0:c>
      <ns0:c r="AD150" s="33"/>
      <ns0:c r="AE150" s="33"/>
      <ns0:c r="AF150" s="33" t="n">
        <ns0:v>16</ns0:v>
      </ns0:c>
      <ns0:c r="AG150" s="33" t="n">
        <ns0:v>5</ns0:v>
      </ns0:c>
      <ns0:c r="AH150" s="33"/>
      <ns0:c r="AI150" s="33"/>
      <ns0:c r="AJ150" s="33" t="str">
        <ns0:v>250 мВт при TA≤25 °C, стандартное посадочное место на FR4; далее снижение мощности.</ns0:v>
      </ns0:c>
    </ns0:row>
    <ns0:row r="151" ht="60" customHeight="1">
      <ns0:c r="A151" s="33" t="str">
        <ns0:v>VD0150</ns0:v>
      </ns0:c>
      <ns0:c r="B151" s="33" t="str">
        <ns0:v>Стабилитрон</ns0:v>
      </ns0:c>
      <ns0:c r="C151" s="33" t="str">
        <ns0:v>BZX84-A18</ns0:v>
      </ns0:c>
      <ns0:c r="D151" s="34" t="str">
        <ns0:f>C151</ns0:f>
        <ns0:v>BZX84-A18</ns0:v>
      </ns0:c>
      <ns0:c r="E151" s="33" t="str">
        <ns0:v>±1%</ns0:v>
      </ns0:c>
      <ns0:c r="F151" s="33" t="str">
        <ns0:v>0,25 Вт</ns0:v>
      </ns0:c>
      <ns0:c r="G151" s="33" t="str">
        <ns0:v>18 В (Uст ном.)</ns0:v>
      </ns0:c>
      <ns0:c r="H151" s="35" t="str">
        <ns0:v>SOT-23</ns0:v>
      </ns0:c>
      <ns0:c r="I151" s="33" t="str">
        <ns0:v>Nexperia</ns0:v>
      </ns0:c>
      <ns0:c r="J151" s="33" t="str">
        <ns0:v>BZX84-A18</ns0:v>
      </ns0:c>
      <ns0:c r="K151" s="34" t="str">
        <ns0:f>B151&amp;" "&amp;J151</ns0:f>
        <ns0:v>Стабилитрон BZX84-A18</ns0:v>
      </ns0:c>
      <ns0:c r="L151" s="36" t="str">
        <ns0:v>Zener_1A3C</ns0:v>
      </ns0:c>
      <ns0:c r="M151" s="36" t="str">
        <ns0:v>Symbols\MY_LIB_Semiconductors.SchLib</ns0:v>
      </ns0:c>
      <ns0:c r="N151" s="36" t="str">
        <ns0:v>SOT23-3</ns0:v>
      </ns0:c>
      <ns0:c r="O151" s="36" t="str">
        <ns0:v>Footprints\PBL - SMD Packages.PcbLib</ns0:v>
      </ns0:c>
      <ns0:c r="P15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1" s="33"/>
      <ns0:c r="R151" s="34" t="str">
        <ns0:f>D151</ns0:f>
        <ns0:v>BZX84-A18</ns0:v>
      </ns0:c>
      <ns0:c r="S151" s="34" t="str">
        <ns0:f>K151</ns0:f>
        <ns0:v>Стабилитрон BZX84-A18</ns0:v>
      </ns0:c>
      <ns0:c r="T151" s="33" t="str">
        <ns0:v>C:\Users\Nomatin\Documents\Altium\MY_LIB\MY_LIB\Datasheets\Diodes\BZX84_Nexperia.pdf</ns0:v>
      </ns0:c>
      <ns0:c r="U151" s="33" t="str">
        <ns0:v>Rev. 7, 01-Jan-2023</ns0:v>
      </ns0:c>
      <ns0:c r="V151" s="33" t="str">
        <ns0:v>Даташит — локальный</ns0:v>
      </ns0:c>
      <ns0:c r="W151" s="33" t="str">
        <ns0:v>C:\Users\Nomatin\Documents\Altium\MY_LIB\MY_LIB\Datasheets\Diodes\BZX84_Nexperia.pdf</ns0:v>
      </ns0:c>
      <ns0:c r="X151" s="33" t="str">
        <ns0:v>Даташит — производитель</ns0:v>
      </ns0:c>
      <ns0:c r="Y151" s="33" t="str">
        <ns0:v>https://assets.nexperia.com/documents/data-sheet/BZX84_SER.pdf</ns0:v>
      </ns0:c>
      <ns0:c r="Z151" s="33" t="str">
        <ns0:v>C:\Users\Nomatin\Documents\Altium\MY_LIB\MY_LIB\Datasheets\Diodes\BZX84_Nexperia.pdf</ns0:v>
      </ns0:c>
      <ns0:c r="AA151" s="33" t="str">
        <ns0:v>BZX84-A</ns0:v>
      </ns0:c>
      <ns0:c r="AB151" s="33" t="str">
        <ns0:v>Одиночный</ns0:v>
      </ns0:c>
      <ns0:c r="AC151" s="33" t="str">
        <ns0:v>1=A; 2=NC; 3=K</ns0:v>
      </ns0:c>
      <ns0:c r="AD151" s="33"/>
      <ns0:c r="AE151" s="33"/>
      <ns0:c r="AF151" s="33" t="n">
        <ns0:v>18</ns0:v>
      </ns0:c>
      <ns0:c r="AG151" s="33" t="n">
        <ns0:v>5</ns0:v>
      </ns0:c>
      <ns0:c r="AH151" s="33"/>
      <ns0:c r="AI151" s="33"/>
      <ns0:c r="AJ151" s="33" t="str">
        <ns0:v>250 мВт при TA≤25 °C, стандартное посадочное место на FR4; далее снижение мощности.</ns0:v>
      </ns0:c>
    </ns0:row>
    <ns0:row r="152" ht="60" customHeight="1">
      <ns0:c r="A152" s="33" t="str">
        <ns0:v>VD0151</ns0:v>
      </ns0:c>
      <ns0:c r="B152" s="33" t="str">
        <ns0:v>Стабилитрон</ns0:v>
      </ns0:c>
      <ns0:c r="C152" s="33" t="str">
        <ns0:v>BZX84-A20</ns0:v>
      </ns0:c>
      <ns0:c r="D152" s="34" t="str">
        <ns0:f>C152</ns0:f>
        <ns0:v>BZX84-A20</ns0:v>
      </ns0:c>
      <ns0:c r="E152" s="33" t="str">
        <ns0:v>±1%</ns0:v>
      </ns0:c>
      <ns0:c r="F152" s="33" t="str">
        <ns0:v>0,25 Вт</ns0:v>
      </ns0:c>
      <ns0:c r="G152" s="33" t="str">
        <ns0:v>20 В (Uст ном.)</ns0:v>
      </ns0:c>
      <ns0:c r="H152" s="35" t="str">
        <ns0:v>SOT-23</ns0:v>
      </ns0:c>
      <ns0:c r="I152" s="33" t="str">
        <ns0:v>Nexperia</ns0:v>
      </ns0:c>
      <ns0:c r="J152" s="33" t="str">
        <ns0:v>BZX84-A20</ns0:v>
      </ns0:c>
      <ns0:c r="K152" s="34" t="str">
        <ns0:f>B152&amp;" "&amp;J152</ns0:f>
        <ns0:v>Стабилитрон BZX84-A20</ns0:v>
      </ns0:c>
      <ns0:c r="L152" s="36" t="str">
        <ns0:v>Zener_1A3C</ns0:v>
      </ns0:c>
      <ns0:c r="M152" s="36" t="str">
        <ns0:v>Symbols\MY_LIB_Semiconductors.SchLib</ns0:v>
      </ns0:c>
      <ns0:c r="N152" s="36" t="str">
        <ns0:v>SOT23-3</ns0:v>
      </ns0:c>
      <ns0:c r="O152" s="36" t="str">
        <ns0:v>Footprints\PBL - SMD Packages.PcbLib</ns0:v>
      </ns0:c>
      <ns0:c r="P15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2" s="33"/>
      <ns0:c r="R152" s="34" t="str">
        <ns0:f>D152</ns0:f>
        <ns0:v>BZX84-A20</ns0:v>
      </ns0:c>
      <ns0:c r="S152" s="34" t="str">
        <ns0:f>K152</ns0:f>
        <ns0:v>Стабилитрон BZX84-A20</ns0:v>
      </ns0:c>
      <ns0:c r="T152" s="33" t="str">
        <ns0:v>C:\Users\Nomatin\Documents\Altium\MY_LIB\MY_LIB\Datasheets\Diodes\BZX84_Nexperia.pdf</ns0:v>
      </ns0:c>
      <ns0:c r="U152" s="33" t="str">
        <ns0:v>Rev. 7, 01-Jan-2023</ns0:v>
      </ns0:c>
      <ns0:c r="V152" s="33" t="str">
        <ns0:v>Даташит — локальный</ns0:v>
      </ns0:c>
      <ns0:c r="W152" s="33" t="str">
        <ns0:v>C:\Users\Nomatin\Documents\Altium\MY_LIB\MY_LIB\Datasheets\Diodes\BZX84_Nexperia.pdf</ns0:v>
      </ns0:c>
      <ns0:c r="X152" s="33" t="str">
        <ns0:v>Даташит — производитель</ns0:v>
      </ns0:c>
      <ns0:c r="Y152" s="33" t="str">
        <ns0:v>https://assets.nexperia.com/documents/data-sheet/BZX84_SER.pdf</ns0:v>
      </ns0:c>
      <ns0:c r="Z152" s="33" t="str">
        <ns0:v>C:\Users\Nomatin\Documents\Altium\MY_LIB\MY_LIB\Datasheets\Diodes\BZX84_Nexperia.pdf</ns0:v>
      </ns0:c>
      <ns0:c r="AA152" s="33" t="str">
        <ns0:v>BZX84-A</ns0:v>
      </ns0:c>
      <ns0:c r="AB152" s="33" t="str">
        <ns0:v>Одиночный</ns0:v>
      </ns0:c>
      <ns0:c r="AC152" s="33" t="str">
        <ns0:v>1=A; 2=NC; 3=K</ns0:v>
      </ns0:c>
      <ns0:c r="AD152" s="33"/>
      <ns0:c r="AE152" s="33"/>
      <ns0:c r="AF152" s="33" t="n">
        <ns0:v>20</ns0:v>
      </ns0:c>
      <ns0:c r="AG152" s="33" t="n">
        <ns0:v>5</ns0:v>
      </ns0:c>
      <ns0:c r="AH152" s="33"/>
      <ns0:c r="AI152" s="33"/>
      <ns0:c r="AJ152" s="33" t="str">
        <ns0:v>250 мВт при TA≤25 °C, стандартное посадочное место на FR4; далее снижение мощности.</ns0:v>
      </ns0:c>
    </ns0:row>
    <ns0:row r="153" ht="60" customHeight="1">
      <ns0:c r="A153" s="33" t="str">
        <ns0:v>VD0152</ns0:v>
      </ns0:c>
      <ns0:c r="B153" s="33" t="str">
        <ns0:v>Стабилитрон</ns0:v>
      </ns0:c>
      <ns0:c r="C153" s="33" t="str">
        <ns0:v>BZX84-A22</ns0:v>
      </ns0:c>
      <ns0:c r="D153" s="34" t="str">
        <ns0:f>C153</ns0:f>
        <ns0:v>BZX84-A22</ns0:v>
      </ns0:c>
      <ns0:c r="E153" s="33" t="str">
        <ns0:v>±1%</ns0:v>
      </ns0:c>
      <ns0:c r="F153" s="33" t="str">
        <ns0:v>0,25 Вт</ns0:v>
      </ns0:c>
      <ns0:c r="G153" s="33" t="str">
        <ns0:v>22 В (Uст ном.)</ns0:v>
      </ns0:c>
      <ns0:c r="H153" s="35" t="str">
        <ns0:v>SOT-23</ns0:v>
      </ns0:c>
      <ns0:c r="I153" s="33" t="str">
        <ns0:v>Nexperia</ns0:v>
      </ns0:c>
      <ns0:c r="J153" s="33" t="str">
        <ns0:v>BZX84-A22</ns0:v>
      </ns0:c>
      <ns0:c r="K153" s="34" t="str">
        <ns0:f>B153&amp;" "&amp;J153</ns0:f>
        <ns0:v>Стабилитрон BZX84-A22</ns0:v>
      </ns0:c>
      <ns0:c r="L153" s="36" t="str">
        <ns0:v>Zener_1A3C</ns0:v>
      </ns0:c>
      <ns0:c r="M153" s="36" t="str">
        <ns0:v>Symbols\MY_LIB_Semiconductors.SchLib</ns0:v>
      </ns0:c>
      <ns0:c r="N153" s="36" t="str">
        <ns0:v>SOT23-3</ns0:v>
      </ns0:c>
      <ns0:c r="O153" s="36" t="str">
        <ns0:v>Footprints\PBL - SMD Packages.PcbLib</ns0:v>
      </ns0:c>
      <ns0:c r="P15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3" s="33"/>
      <ns0:c r="R153" s="34" t="str">
        <ns0:f>D153</ns0:f>
        <ns0:v>BZX84-A22</ns0:v>
      </ns0:c>
      <ns0:c r="S153" s="34" t="str">
        <ns0:f>K153</ns0:f>
        <ns0:v>Стабилитрон BZX84-A22</ns0:v>
      </ns0:c>
      <ns0:c r="T153" s="33" t="str">
        <ns0:v>C:\Users\Nomatin\Documents\Altium\MY_LIB\MY_LIB\Datasheets\Diodes\BZX84_Nexperia.pdf</ns0:v>
      </ns0:c>
      <ns0:c r="U153" s="33" t="str">
        <ns0:v>Rev. 7, 01-Jan-2023</ns0:v>
      </ns0:c>
      <ns0:c r="V153" s="33" t="str">
        <ns0:v>Даташит — локальный</ns0:v>
      </ns0:c>
      <ns0:c r="W153" s="33" t="str">
        <ns0:v>C:\Users\Nomatin\Documents\Altium\MY_LIB\MY_LIB\Datasheets\Diodes\BZX84_Nexperia.pdf</ns0:v>
      </ns0:c>
      <ns0:c r="X153" s="33" t="str">
        <ns0:v>Даташит — производитель</ns0:v>
      </ns0:c>
      <ns0:c r="Y153" s="33" t="str">
        <ns0:v>https://assets.nexperia.com/documents/data-sheet/BZX84_SER.pdf</ns0:v>
      </ns0:c>
      <ns0:c r="Z153" s="33" t="str">
        <ns0:v>C:\Users\Nomatin\Documents\Altium\MY_LIB\MY_LIB\Datasheets\Diodes\BZX84_Nexperia.pdf</ns0:v>
      </ns0:c>
      <ns0:c r="AA153" s="33" t="str">
        <ns0:v>BZX84-A</ns0:v>
      </ns0:c>
      <ns0:c r="AB153" s="33" t="str">
        <ns0:v>Одиночный</ns0:v>
      </ns0:c>
      <ns0:c r="AC153" s="33" t="str">
        <ns0:v>1=A; 2=NC; 3=K</ns0:v>
      </ns0:c>
      <ns0:c r="AD153" s="33"/>
      <ns0:c r="AE153" s="33"/>
      <ns0:c r="AF153" s="33" t="n">
        <ns0:v>22</ns0:v>
      </ns0:c>
      <ns0:c r="AG153" s="33" t="n">
        <ns0:v>5</ns0:v>
      </ns0:c>
      <ns0:c r="AH153" s="33"/>
      <ns0:c r="AI153" s="33"/>
      <ns0:c r="AJ153" s="33" t="str">
        <ns0:v>250 мВт при TA≤25 °C, стандартное посадочное место на FR4; далее снижение мощности.</ns0:v>
      </ns0:c>
    </ns0:row>
    <ns0:row r="154" ht="60" customHeight="1">
      <ns0:c r="A154" s="33" t="str">
        <ns0:v>VD0153</ns0:v>
      </ns0:c>
      <ns0:c r="B154" s="33" t="str">
        <ns0:v>Стабилитрон</ns0:v>
      </ns0:c>
      <ns0:c r="C154" s="33" t="str">
        <ns0:v>BZX84-A24</ns0:v>
      </ns0:c>
      <ns0:c r="D154" s="34" t="str">
        <ns0:f>C154</ns0:f>
        <ns0:v>BZX84-A24</ns0:v>
      </ns0:c>
      <ns0:c r="E154" s="33" t="str">
        <ns0:v>±1%</ns0:v>
      </ns0:c>
      <ns0:c r="F154" s="33" t="str">
        <ns0:v>0,25 Вт</ns0:v>
      </ns0:c>
      <ns0:c r="G154" s="33" t="str">
        <ns0:v>24 В (Uст ном.)</ns0:v>
      </ns0:c>
      <ns0:c r="H154" s="35" t="str">
        <ns0:v>SOT-23</ns0:v>
      </ns0:c>
      <ns0:c r="I154" s="33" t="str">
        <ns0:v>Nexperia</ns0:v>
      </ns0:c>
      <ns0:c r="J154" s="33" t="str">
        <ns0:v>BZX84-A24</ns0:v>
      </ns0:c>
      <ns0:c r="K154" s="34" t="str">
        <ns0:f>B154&amp;" "&amp;J154</ns0:f>
        <ns0:v>Стабилитрон BZX84-A24</ns0:v>
      </ns0:c>
      <ns0:c r="L154" s="36" t="str">
        <ns0:v>Zener_1A3C</ns0:v>
      </ns0:c>
      <ns0:c r="M154" s="36" t="str">
        <ns0:v>Symbols\MY_LIB_Semiconductors.SchLib</ns0:v>
      </ns0:c>
      <ns0:c r="N154" s="36" t="str">
        <ns0:v>SOT23-3</ns0:v>
      </ns0:c>
      <ns0:c r="O154" s="36" t="str">
        <ns0:v>Footprints\PBL - SMD Packages.PcbLib</ns0:v>
      </ns0:c>
      <ns0:c r="P15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4" s="33"/>
      <ns0:c r="R154" s="34" t="str">
        <ns0:f>D154</ns0:f>
        <ns0:v>BZX84-A24</ns0:v>
      </ns0:c>
      <ns0:c r="S154" s="34" t="str">
        <ns0:f>K154</ns0:f>
        <ns0:v>Стабилитрон BZX84-A24</ns0:v>
      </ns0:c>
      <ns0:c r="T154" s="33" t="str">
        <ns0:v>C:\Users\Nomatin\Documents\Altium\MY_LIB\MY_LIB\Datasheets\Diodes\BZX84_Nexperia.pdf</ns0:v>
      </ns0:c>
      <ns0:c r="U154" s="33" t="str">
        <ns0:v>Rev. 7, 01-Jan-2023</ns0:v>
      </ns0:c>
      <ns0:c r="V154" s="33" t="str">
        <ns0:v>Даташит — локальный</ns0:v>
      </ns0:c>
      <ns0:c r="W154" s="33" t="str">
        <ns0:v>C:\Users\Nomatin\Documents\Altium\MY_LIB\MY_LIB\Datasheets\Diodes\BZX84_Nexperia.pdf</ns0:v>
      </ns0:c>
      <ns0:c r="X154" s="33" t="str">
        <ns0:v>Даташит — производитель</ns0:v>
      </ns0:c>
      <ns0:c r="Y154" s="33" t="str">
        <ns0:v>https://assets.nexperia.com/documents/data-sheet/BZX84_SER.pdf</ns0:v>
      </ns0:c>
      <ns0:c r="Z154" s="33" t="str">
        <ns0:v>C:\Users\Nomatin\Documents\Altium\MY_LIB\MY_LIB\Datasheets\Diodes\BZX84_Nexperia.pdf</ns0:v>
      </ns0:c>
      <ns0:c r="AA154" s="33" t="str">
        <ns0:v>BZX84-A</ns0:v>
      </ns0:c>
      <ns0:c r="AB154" s="33" t="str">
        <ns0:v>Одиночный</ns0:v>
      </ns0:c>
      <ns0:c r="AC154" s="33" t="str">
        <ns0:v>1=A; 2=NC; 3=K</ns0:v>
      </ns0:c>
      <ns0:c r="AD154" s="33"/>
      <ns0:c r="AE154" s="33"/>
      <ns0:c r="AF154" s="33" t="n">
        <ns0:v>24</ns0:v>
      </ns0:c>
      <ns0:c r="AG154" s="33" t="n">
        <ns0:v>5</ns0:v>
      </ns0:c>
      <ns0:c r="AH154" s="33"/>
      <ns0:c r="AI154" s="33"/>
      <ns0:c r="AJ154" s="33" t="str">
        <ns0:v>250 мВт при TA≤25 °C, стандартное посадочное место на FR4; далее снижение мощности.</ns0:v>
      </ns0:c>
    </ns0:row>
    <ns0:row r="155" ht="60" customHeight="1">
      <ns0:c r="A155" s="33" t="str">
        <ns0:v>VD0154</ns0:v>
      </ns0:c>
      <ns0:c r="B155" s="33" t="str">
        <ns0:v>Стабилитрон</ns0:v>
      </ns0:c>
      <ns0:c r="C155" s="33" t="str">
        <ns0:v>BZX84-A27</ns0:v>
      </ns0:c>
      <ns0:c r="D155" s="34" t="str">
        <ns0:f>C155</ns0:f>
        <ns0:v>BZX84-A27</ns0:v>
      </ns0:c>
      <ns0:c r="E155" s="33" t="str">
        <ns0:v>±1%</ns0:v>
      </ns0:c>
      <ns0:c r="F155" s="33" t="str">
        <ns0:v>0,25 Вт</ns0:v>
      </ns0:c>
      <ns0:c r="G155" s="33" t="str">
        <ns0:v>27 В (Uст ном.)</ns0:v>
      </ns0:c>
      <ns0:c r="H155" s="35" t="str">
        <ns0:v>SOT-23</ns0:v>
      </ns0:c>
      <ns0:c r="I155" s="33" t="str">
        <ns0:v>Nexperia</ns0:v>
      </ns0:c>
      <ns0:c r="J155" s="33" t="str">
        <ns0:v>BZX84-A27</ns0:v>
      </ns0:c>
      <ns0:c r="K155" s="34" t="str">
        <ns0:f>B155&amp;" "&amp;J155</ns0:f>
        <ns0:v>Стабилитрон BZX84-A27</ns0:v>
      </ns0:c>
      <ns0:c r="L155" s="36" t="str">
        <ns0:v>Zener_1A3C</ns0:v>
      </ns0:c>
      <ns0:c r="M155" s="36" t="str">
        <ns0:v>Symbols\MY_LIB_Semiconductors.SchLib</ns0:v>
      </ns0:c>
      <ns0:c r="N155" s="36" t="str">
        <ns0:v>SOT23-3</ns0:v>
      </ns0:c>
      <ns0:c r="O155" s="36" t="str">
        <ns0:v>Footprints\PBL - SMD Packages.PcbLib</ns0:v>
      </ns0:c>
      <ns0:c r="P15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5" s="33"/>
      <ns0:c r="R155" s="34" t="str">
        <ns0:f>D155</ns0:f>
        <ns0:v>BZX84-A27</ns0:v>
      </ns0:c>
      <ns0:c r="S155" s="34" t="str">
        <ns0:f>K155</ns0:f>
        <ns0:v>Стабилитрон BZX84-A27</ns0:v>
      </ns0:c>
      <ns0:c r="T155" s="33" t="str">
        <ns0:v>C:\Users\Nomatin\Documents\Altium\MY_LIB\MY_LIB\Datasheets\Diodes\BZX84_Nexperia.pdf</ns0:v>
      </ns0:c>
      <ns0:c r="U155" s="33" t="str">
        <ns0:v>Rev. 7, 01-Jan-2023</ns0:v>
      </ns0:c>
      <ns0:c r="V155" s="33" t="str">
        <ns0:v>Даташит — локальный</ns0:v>
      </ns0:c>
      <ns0:c r="W155" s="33" t="str">
        <ns0:v>C:\Users\Nomatin\Documents\Altium\MY_LIB\MY_LIB\Datasheets\Diodes\BZX84_Nexperia.pdf</ns0:v>
      </ns0:c>
      <ns0:c r="X155" s="33" t="str">
        <ns0:v>Даташит — производитель</ns0:v>
      </ns0:c>
      <ns0:c r="Y155" s="33" t="str">
        <ns0:v>https://assets.nexperia.com/documents/data-sheet/BZX84_SER.pdf</ns0:v>
      </ns0:c>
      <ns0:c r="Z155" s="33" t="str">
        <ns0:v>C:\Users\Nomatin\Documents\Altium\MY_LIB\MY_LIB\Datasheets\Diodes\BZX84_Nexperia.pdf</ns0:v>
      </ns0:c>
      <ns0:c r="AA155" s="33" t="str">
        <ns0:v>BZX84-A</ns0:v>
      </ns0:c>
      <ns0:c r="AB155" s="33" t="str">
        <ns0:v>Одиночный</ns0:v>
      </ns0:c>
      <ns0:c r="AC155" s="33" t="str">
        <ns0:v>1=A; 2=NC; 3=K</ns0:v>
      </ns0:c>
      <ns0:c r="AD155" s="33"/>
      <ns0:c r="AE155" s="33"/>
      <ns0:c r="AF155" s="33" t="n">
        <ns0:v>27</ns0:v>
      </ns0:c>
      <ns0:c r="AG155" s="33" t="n">
        <ns0:v>2</ns0:v>
      </ns0:c>
      <ns0:c r="AH155" s="33"/>
      <ns0:c r="AI155" s="33"/>
      <ns0:c r="AJ155" s="33" t="str">
        <ns0:v>250 мВт при TA≤25 °C, стандартное посадочное место на FR4; далее снижение мощности.</ns0:v>
      </ns0:c>
    </ns0:row>
    <ns0:row r="156" ht="60" customHeight="1">
      <ns0:c r="A156" s="33" t="str">
        <ns0:v>VD0155</ns0:v>
      </ns0:c>
      <ns0:c r="B156" s="33" t="str">
        <ns0:v>Стабилитрон</ns0:v>
      </ns0:c>
      <ns0:c r="C156" s="33" t="str">
        <ns0:v>BZX84-A30</ns0:v>
      </ns0:c>
      <ns0:c r="D156" s="34" t="str">
        <ns0:f>C156</ns0:f>
        <ns0:v>BZX84-A30</ns0:v>
      </ns0:c>
      <ns0:c r="E156" s="33" t="str">
        <ns0:v>±1%</ns0:v>
      </ns0:c>
      <ns0:c r="F156" s="33" t="str">
        <ns0:v>0,25 Вт</ns0:v>
      </ns0:c>
      <ns0:c r="G156" s="33" t="str">
        <ns0:v>30 В (Uст ном.)</ns0:v>
      </ns0:c>
      <ns0:c r="H156" s="35" t="str">
        <ns0:v>SOT-23</ns0:v>
      </ns0:c>
      <ns0:c r="I156" s="33" t="str">
        <ns0:v>Nexperia</ns0:v>
      </ns0:c>
      <ns0:c r="J156" s="33" t="str">
        <ns0:v>BZX84-A30</ns0:v>
      </ns0:c>
      <ns0:c r="K156" s="34" t="str">
        <ns0:f>B156&amp;" "&amp;J156</ns0:f>
        <ns0:v>Стабилитрон BZX84-A30</ns0:v>
      </ns0:c>
      <ns0:c r="L156" s="36" t="str">
        <ns0:v>Zener_1A3C</ns0:v>
      </ns0:c>
      <ns0:c r="M156" s="36" t="str">
        <ns0:v>Symbols\MY_LIB_Semiconductors.SchLib</ns0:v>
      </ns0:c>
      <ns0:c r="N156" s="36" t="str">
        <ns0:v>SOT23-3</ns0:v>
      </ns0:c>
      <ns0:c r="O156" s="36" t="str">
        <ns0:v>Footprints\PBL - SMD Packages.PcbLib</ns0:v>
      </ns0:c>
      <ns0:c r="P15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6" s="33"/>
      <ns0:c r="R156" s="34" t="str">
        <ns0:f>D156</ns0:f>
        <ns0:v>BZX84-A30</ns0:v>
      </ns0:c>
      <ns0:c r="S156" s="34" t="str">
        <ns0:f>K156</ns0:f>
        <ns0:v>Стабилитрон BZX84-A30</ns0:v>
      </ns0:c>
      <ns0:c r="T156" s="33" t="str">
        <ns0:v>C:\Users\Nomatin\Documents\Altium\MY_LIB\MY_LIB\Datasheets\Diodes\BZX84_Nexperia.pdf</ns0:v>
      </ns0:c>
      <ns0:c r="U156" s="33" t="str">
        <ns0:v>Rev. 7, 01-Jan-2023</ns0:v>
      </ns0:c>
      <ns0:c r="V156" s="33" t="str">
        <ns0:v>Даташит — локальный</ns0:v>
      </ns0:c>
      <ns0:c r="W156" s="33" t="str">
        <ns0:v>C:\Users\Nomatin\Documents\Altium\MY_LIB\MY_LIB\Datasheets\Diodes\BZX84_Nexperia.pdf</ns0:v>
      </ns0:c>
      <ns0:c r="X156" s="33" t="str">
        <ns0:v>Даташит — производитель</ns0:v>
      </ns0:c>
      <ns0:c r="Y156" s="33" t="str">
        <ns0:v>https://assets.nexperia.com/documents/data-sheet/BZX84_SER.pdf</ns0:v>
      </ns0:c>
      <ns0:c r="Z156" s="33" t="str">
        <ns0:v>C:\Users\Nomatin\Documents\Altium\MY_LIB\MY_LIB\Datasheets\Diodes\BZX84_Nexperia.pdf</ns0:v>
      </ns0:c>
      <ns0:c r="AA156" s="33" t="str">
        <ns0:v>BZX84-A</ns0:v>
      </ns0:c>
      <ns0:c r="AB156" s="33" t="str">
        <ns0:v>Одиночный</ns0:v>
      </ns0:c>
      <ns0:c r="AC156" s="33" t="str">
        <ns0:v>1=A; 2=NC; 3=K</ns0:v>
      </ns0:c>
      <ns0:c r="AD156" s="33"/>
      <ns0:c r="AE156" s="33"/>
      <ns0:c r="AF156" s="33" t="n">
        <ns0:v>30</ns0:v>
      </ns0:c>
      <ns0:c r="AG156" s="33" t="n">
        <ns0:v>2</ns0:v>
      </ns0:c>
      <ns0:c r="AH156" s="33"/>
      <ns0:c r="AI156" s="33"/>
      <ns0:c r="AJ156" s="33" t="str">
        <ns0:v>250 мВт при TA≤25 °C, стандартное посадочное место на FR4; далее снижение мощности.</ns0:v>
      </ns0:c>
    </ns0:row>
    <ns0:row r="157" ht="60" customHeight="1">
      <ns0:c r="A157" s="33" t="str">
        <ns0:v>VD0156</ns0:v>
      </ns0:c>
      <ns0:c r="B157" s="33" t="str">
        <ns0:v>Стабилитрон</ns0:v>
      </ns0:c>
      <ns0:c r="C157" s="33" t="str">
        <ns0:v>BZX84-A33</ns0:v>
      </ns0:c>
      <ns0:c r="D157" s="34" t="str">
        <ns0:f>C157</ns0:f>
        <ns0:v>BZX84-A33</ns0:v>
      </ns0:c>
      <ns0:c r="E157" s="33" t="str">
        <ns0:v>±1%</ns0:v>
      </ns0:c>
      <ns0:c r="F157" s="33" t="str">
        <ns0:v>0,25 Вт</ns0:v>
      </ns0:c>
      <ns0:c r="G157" s="33" t="str">
        <ns0:v>33 В (Uст ном.)</ns0:v>
      </ns0:c>
      <ns0:c r="H157" s="35" t="str">
        <ns0:v>SOT-23</ns0:v>
      </ns0:c>
      <ns0:c r="I157" s="33" t="str">
        <ns0:v>Nexperia</ns0:v>
      </ns0:c>
      <ns0:c r="J157" s="33" t="str">
        <ns0:v>BZX84-A33</ns0:v>
      </ns0:c>
      <ns0:c r="K157" s="34" t="str">
        <ns0:f>B157&amp;" "&amp;J157</ns0:f>
        <ns0:v>Стабилитрон BZX84-A33</ns0:v>
      </ns0:c>
      <ns0:c r="L157" s="36" t="str">
        <ns0:v>Zener_1A3C</ns0:v>
      </ns0:c>
      <ns0:c r="M157" s="36" t="str">
        <ns0:v>Symbols\MY_LIB_Semiconductors.SchLib</ns0:v>
      </ns0:c>
      <ns0:c r="N157" s="36" t="str">
        <ns0:v>SOT23-3</ns0:v>
      </ns0:c>
      <ns0:c r="O157" s="36" t="str">
        <ns0:v>Footprints\PBL - SMD Packages.PcbLib</ns0:v>
      </ns0:c>
      <ns0:c r="P15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7" s="33"/>
      <ns0:c r="R157" s="34" t="str">
        <ns0:f>D157</ns0:f>
        <ns0:v>BZX84-A33</ns0:v>
      </ns0:c>
      <ns0:c r="S157" s="34" t="str">
        <ns0:f>K157</ns0:f>
        <ns0:v>Стабилитрон BZX84-A33</ns0:v>
      </ns0:c>
      <ns0:c r="T157" s="33" t="str">
        <ns0:v>C:\Users\Nomatin\Documents\Altium\MY_LIB\MY_LIB\Datasheets\Diodes\BZX84_Nexperia.pdf</ns0:v>
      </ns0:c>
      <ns0:c r="U157" s="33" t="str">
        <ns0:v>Rev. 7, 01-Jan-2023</ns0:v>
      </ns0:c>
      <ns0:c r="V157" s="33" t="str">
        <ns0:v>Даташит — локальный</ns0:v>
      </ns0:c>
      <ns0:c r="W157" s="33" t="str">
        <ns0:v>C:\Users\Nomatin\Documents\Altium\MY_LIB\MY_LIB\Datasheets\Diodes\BZX84_Nexperia.pdf</ns0:v>
      </ns0:c>
      <ns0:c r="X157" s="33" t="str">
        <ns0:v>Даташит — производитель</ns0:v>
      </ns0:c>
      <ns0:c r="Y157" s="33" t="str">
        <ns0:v>https://assets.nexperia.com/documents/data-sheet/BZX84_SER.pdf</ns0:v>
      </ns0:c>
      <ns0:c r="Z157" s="33" t="str">
        <ns0:v>C:\Users\Nomatin\Documents\Altium\MY_LIB\MY_LIB\Datasheets\Diodes\BZX84_Nexperia.pdf</ns0:v>
      </ns0:c>
      <ns0:c r="AA157" s="33" t="str">
        <ns0:v>BZX84-A</ns0:v>
      </ns0:c>
      <ns0:c r="AB157" s="33" t="str">
        <ns0:v>Одиночный</ns0:v>
      </ns0:c>
      <ns0:c r="AC157" s="33" t="str">
        <ns0:v>1=A; 2=NC; 3=K</ns0:v>
      </ns0:c>
      <ns0:c r="AD157" s="33"/>
      <ns0:c r="AE157" s="33"/>
      <ns0:c r="AF157" s="33" t="n">
        <ns0:v>33</ns0:v>
      </ns0:c>
      <ns0:c r="AG157" s="33" t="n">
        <ns0:v>2</ns0:v>
      </ns0:c>
      <ns0:c r="AH157" s="33"/>
      <ns0:c r="AI157" s="33"/>
      <ns0:c r="AJ157" s="33" t="str">
        <ns0:v>250 мВт при TA≤25 °C, стандартное посадочное место на FR4; далее снижение мощности.</ns0:v>
      </ns0:c>
    </ns0:row>
    <ns0:row r="158" ht="60" customHeight="1">
      <ns0:c r="A158" s="33" t="str">
        <ns0:v>VD0157</ns0:v>
      </ns0:c>
      <ns0:c r="B158" s="33" t="str">
        <ns0:v>Стабилитрон</ns0:v>
      </ns0:c>
      <ns0:c r="C158" s="33" t="str">
        <ns0:v>BZX84-A36</ns0:v>
      </ns0:c>
      <ns0:c r="D158" s="34" t="str">
        <ns0:f>C158</ns0:f>
        <ns0:v>BZX84-A36</ns0:v>
      </ns0:c>
      <ns0:c r="E158" s="33" t="str">
        <ns0:v>±1%</ns0:v>
      </ns0:c>
      <ns0:c r="F158" s="33" t="str">
        <ns0:v>0,25 Вт</ns0:v>
      </ns0:c>
      <ns0:c r="G158" s="33" t="str">
        <ns0:v>36 В (Uст ном.)</ns0:v>
      </ns0:c>
      <ns0:c r="H158" s="35" t="str">
        <ns0:v>SOT-23</ns0:v>
      </ns0:c>
      <ns0:c r="I158" s="33" t="str">
        <ns0:v>Nexperia</ns0:v>
      </ns0:c>
      <ns0:c r="J158" s="33" t="str">
        <ns0:v>BZX84-A36</ns0:v>
      </ns0:c>
      <ns0:c r="K158" s="34" t="str">
        <ns0:f>B158&amp;" "&amp;J158</ns0:f>
        <ns0:v>Стабилитрон BZX84-A36</ns0:v>
      </ns0:c>
      <ns0:c r="L158" s="36" t="str">
        <ns0:v>Zener_1A3C</ns0:v>
      </ns0:c>
      <ns0:c r="M158" s="36" t="str">
        <ns0:v>Symbols\MY_LIB_Semiconductors.SchLib</ns0:v>
      </ns0:c>
      <ns0:c r="N158" s="36" t="str">
        <ns0:v>SOT23-3</ns0:v>
      </ns0:c>
      <ns0:c r="O158" s="36" t="str">
        <ns0:v>Footprints\PBL - SMD Packages.PcbLib</ns0:v>
      </ns0:c>
      <ns0:c r="P15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8" s="33"/>
      <ns0:c r="R158" s="34" t="str">
        <ns0:f>D158</ns0:f>
        <ns0:v>BZX84-A36</ns0:v>
      </ns0:c>
      <ns0:c r="S158" s="34" t="str">
        <ns0:f>K158</ns0:f>
        <ns0:v>Стабилитрон BZX84-A36</ns0:v>
      </ns0:c>
      <ns0:c r="T158" s="33" t="str">
        <ns0:v>C:\Users\Nomatin\Documents\Altium\MY_LIB\MY_LIB\Datasheets\Diodes\BZX84_Nexperia.pdf</ns0:v>
      </ns0:c>
      <ns0:c r="U158" s="33" t="str">
        <ns0:v>Rev. 7, 01-Jan-2023</ns0:v>
      </ns0:c>
      <ns0:c r="V158" s="33" t="str">
        <ns0:v>Даташит — локальный</ns0:v>
      </ns0:c>
      <ns0:c r="W158" s="33" t="str">
        <ns0:v>C:\Users\Nomatin\Documents\Altium\MY_LIB\MY_LIB\Datasheets\Diodes\BZX84_Nexperia.pdf</ns0:v>
      </ns0:c>
      <ns0:c r="X158" s="33" t="str">
        <ns0:v>Даташит — производитель</ns0:v>
      </ns0:c>
      <ns0:c r="Y158" s="33" t="str">
        <ns0:v>https://assets.nexperia.com/documents/data-sheet/BZX84_SER.pdf</ns0:v>
      </ns0:c>
      <ns0:c r="Z158" s="33" t="str">
        <ns0:v>C:\Users\Nomatin\Documents\Altium\MY_LIB\MY_LIB\Datasheets\Diodes\BZX84_Nexperia.pdf</ns0:v>
      </ns0:c>
      <ns0:c r="AA158" s="33" t="str">
        <ns0:v>BZX84-A</ns0:v>
      </ns0:c>
      <ns0:c r="AB158" s="33" t="str">
        <ns0:v>Одиночный</ns0:v>
      </ns0:c>
      <ns0:c r="AC158" s="33" t="str">
        <ns0:v>1=A; 2=NC; 3=K</ns0:v>
      </ns0:c>
      <ns0:c r="AD158" s="33"/>
      <ns0:c r="AE158" s="33"/>
      <ns0:c r="AF158" s="33" t="n">
        <ns0:v>36</ns0:v>
      </ns0:c>
      <ns0:c r="AG158" s="33" t="n">
        <ns0:v>2</ns0:v>
      </ns0:c>
      <ns0:c r="AH158" s="33"/>
      <ns0:c r="AI158" s="33"/>
      <ns0:c r="AJ158" s="33" t="str">
        <ns0:v>250 мВт при TA≤25 °C, стандартное посадочное место на FR4; далее снижение мощности.</ns0:v>
      </ns0:c>
    </ns0:row>
    <ns0:row r="159" ht="60" customHeight="1">
      <ns0:c r="A159" s="33" t="str">
        <ns0:v>VD0158</ns0:v>
      </ns0:c>
      <ns0:c r="B159" s="33" t="str">
        <ns0:v>Стабилитрон</ns0:v>
      </ns0:c>
      <ns0:c r="C159" s="33" t="str">
        <ns0:v>BZX84-A39</ns0:v>
      </ns0:c>
      <ns0:c r="D159" s="34" t="str">
        <ns0:f>C159</ns0:f>
        <ns0:v>BZX84-A39</ns0:v>
      </ns0:c>
      <ns0:c r="E159" s="33" t="str">
        <ns0:v>±1%</ns0:v>
      </ns0:c>
      <ns0:c r="F159" s="33" t="str">
        <ns0:v>0,25 Вт</ns0:v>
      </ns0:c>
      <ns0:c r="G159" s="33" t="str">
        <ns0:v>39 В (Uст ном.)</ns0:v>
      </ns0:c>
      <ns0:c r="H159" s="35" t="str">
        <ns0:v>SOT-23</ns0:v>
      </ns0:c>
      <ns0:c r="I159" s="33" t="str">
        <ns0:v>Nexperia</ns0:v>
      </ns0:c>
      <ns0:c r="J159" s="33" t="str">
        <ns0:v>BZX84-A39</ns0:v>
      </ns0:c>
      <ns0:c r="K159" s="34" t="str">
        <ns0:f>B159&amp;" "&amp;J159</ns0:f>
        <ns0:v>Стабилитрон BZX84-A39</ns0:v>
      </ns0:c>
      <ns0:c r="L159" s="36" t="str">
        <ns0:v>Zener_1A3C</ns0:v>
      </ns0:c>
      <ns0:c r="M159" s="36" t="str">
        <ns0:v>Symbols\MY_LIB_Semiconductors.SchLib</ns0:v>
      </ns0:c>
      <ns0:c r="N159" s="36" t="str">
        <ns0:v>SOT23-3</ns0:v>
      </ns0:c>
      <ns0:c r="O159" s="36" t="str">
        <ns0:v>Footprints\PBL - SMD Packages.PcbLib</ns0:v>
      </ns0:c>
      <ns0:c r="P15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59" s="33"/>
      <ns0:c r="R159" s="34" t="str">
        <ns0:f>D159</ns0:f>
        <ns0:v>BZX84-A39</ns0:v>
      </ns0:c>
      <ns0:c r="S159" s="34" t="str">
        <ns0:f>K159</ns0:f>
        <ns0:v>Стабилитрон BZX84-A39</ns0:v>
      </ns0:c>
      <ns0:c r="T159" s="33" t="str">
        <ns0:v>C:\Users\Nomatin\Documents\Altium\MY_LIB\MY_LIB\Datasheets\Diodes\BZX84_Nexperia.pdf</ns0:v>
      </ns0:c>
      <ns0:c r="U159" s="33" t="str">
        <ns0:v>Rev. 7, 01-Jan-2023</ns0:v>
      </ns0:c>
      <ns0:c r="V159" s="33" t="str">
        <ns0:v>Даташит — локальный</ns0:v>
      </ns0:c>
      <ns0:c r="W159" s="33" t="str">
        <ns0:v>C:\Users\Nomatin\Documents\Altium\MY_LIB\MY_LIB\Datasheets\Diodes\BZX84_Nexperia.pdf</ns0:v>
      </ns0:c>
      <ns0:c r="X159" s="33" t="str">
        <ns0:v>Даташит — производитель</ns0:v>
      </ns0:c>
      <ns0:c r="Y159" s="33" t="str">
        <ns0:v>https://assets.nexperia.com/documents/data-sheet/BZX84_SER.pdf</ns0:v>
      </ns0:c>
      <ns0:c r="Z159" s="33" t="str">
        <ns0:v>C:\Users\Nomatin\Documents\Altium\MY_LIB\MY_LIB\Datasheets\Diodes\BZX84_Nexperia.pdf</ns0:v>
      </ns0:c>
      <ns0:c r="AA159" s="33" t="str">
        <ns0:v>BZX84-A</ns0:v>
      </ns0:c>
      <ns0:c r="AB159" s="33" t="str">
        <ns0:v>Одиночный</ns0:v>
      </ns0:c>
      <ns0:c r="AC159" s="33" t="str">
        <ns0:v>1=A; 2=NC; 3=K</ns0:v>
      </ns0:c>
      <ns0:c r="AD159" s="33"/>
      <ns0:c r="AE159" s="33"/>
      <ns0:c r="AF159" s="33" t="n">
        <ns0:v>39</ns0:v>
      </ns0:c>
      <ns0:c r="AG159" s="33" t="n">
        <ns0:v>2</ns0:v>
      </ns0:c>
      <ns0:c r="AH159" s="33"/>
      <ns0:c r="AI159" s="33"/>
      <ns0:c r="AJ159" s="33" t="str">
        <ns0:v>250 мВт при TA≤25 °C, стандартное посадочное место на FR4; далее снижение мощности.</ns0:v>
      </ns0:c>
    </ns0:row>
    <ns0:row r="160" ht="60" customHeight="1">
      <ns0:c r="A160" s="33" t="str">
        <ns0:v>VD0159</ns0:v>
      </ns0:c>
      <ns0:c r="B160" s="33" t="str">
        <ns0:v>Стабилитрон</ns0:v>
      </ns0:c>
      <ns0:c r="C160" s="33" t="str">
        <ns0:v>BZX84-A43</ns0:v>
      </ns0:c>
      <ns0:c r="D160" s="34" t="str">
        <ns0:f>C160</ns0:f>
        <ns0:v>BZX84-A43</ns0:v>
      </ns0:c>
      <ns0:c r="E160" s="33" t="str">
        <ns0:v>±1%</ns0:v>
      </ns0:c>
      <ns0:c r="F160" s="33" t="str">
        <ns0:v>0,25 Вт</ns0:v>
      </ns0:c>
      <ns0:c r="G160" s="33" t="str">
        <ns0:v>43 В (Uст ном.)</ns0:v>
      </ns0:c>
      <ns0:c r="H160" s="35" t="str">
        <ns0:v>SOT-23</ns0:v>
      </ns0:c>
      <ns0:c r="I160" s="33" t="str">
        <ns0:v>Nexperia</ns0:v>
      </ns0:c>
      <ns0:c r="J160" s="33" t="str">
        <ns0:v>BZX84-A43</ns0:v>
      </ns0:c>
      <ns0:c r="K160" s="34" t="str">
        <ns0:f>B160&amp;" "&amp;J160</ns0:f>
        <ns0:v>Стабилитрон BZX84-A43</ns0:v>
      </ns0:c>
      <ns0:c r="L160" s="36" t="str">
        <ns0:v>Zener_1A3C</ns0:v>
      </ns0:c>
      <ns0:c r="M160" s="36" t="str">
        <ns0:v>Symbols\MY_LIB_Semiconductors.SchLib</ns0:v>
      </ns0:c>
      <ns0:c r="N160" s="36" t="str">
        <ns0:v>SOT23-3</ns0:v>
      </ns0:c>
      <ns0:c r="O160" s="36" t="str">
        <ns0:v>Footprints\PBL - SMD Packages.PcbLib</ns0:v>
      </ns0:c>
      <ns0:c r="P16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0" s="33"/>
      <ns0:c r="R160" s="34" t="str">
        <ns0:f>D160</ns0:f>
        <ns0:v>BZX84-A43</ns0:v>
      </ns0:c>
      <ns0:c r="S160" s="34" t="str">
        <ns0:f>K160</ns0:f>
        <ns0:v>Стабилитрон BZX84-A43</ns0:v>
      </ns0:c>
      <ns0:c r="T160" s="33" t="str">
        <ns0:v>C:\Users\Nomatin\Documents\Altium\MY_LIB\MY_LIB\Datasheets\Diodes\BZX84_Nexperia.pdf</ns0:v>
      </ns0:c>
      <ns0:c r="U160" s="33" t="str">
        <ns0:v>Rev. 7, 01-Jan-2023</ns0:v>
      </ns0:c>
      <ns0:c r="V160" s="33" t="str">
        <ns0:v>Даташит — локальный</ns0:v>
      </ns0:c>
      <ns0:c r="W160" s="33" t="str">
        <ns0:v>C:\Users\Nomatin\Documents\Altium\MY_LIB\MY_LIB\Datasheets\Diodes\BZX84_Nexperia.pdf</ns0:v>
      </ns0:c>
      <ns0:c r="X160" s="33" t="str">
        <ns0:v>Даташит — производитель</ns0:v>
      </ns0:c>
      <ns0:c r="Y160" s="33" t="str">
        <ns0:v>https://assets.nexperia.com/documents/data-sheet/BZX84_SER.pdf</ns0:v>
      </ns0:c>
      <ns0:c r="Z160" s="33" t="str">
        <ns0:v>C:\Users\Nomatin\Documents\Altium\MY_LIB\MY_LIB\Datasheets\Diodes\BZX84_Nexperia.pdf</ns0:v>
      </ns0:c>
      <ns0:c r="AA160" s="33" t="str">
        <ns0:v>BZX84-A</ns0:v>
      </ns0:c>
      <ns0:c r="AB160" s="33" t="str">
        <ns0:v>Одиночный</ns0:v>
      </ns0:c>
      <ns0:c r="AC160" s="33" t="str">
        <ns0:v>1=A; 2=NC; 3=K</ns0:v>
      </ns0:c>
      <ns0:c r="AD160" s="33"/>
      <ns0:c r="AE160" s="33"/>
      <ns0:c r="AF160" s="33" t="n">
        <ns0:v>43</ns0:v>
      </ns0:c>
      <ns0:c r="AG160" s="33" t="n">
        <ns0:v>2</ns0:v>
      </ns0:c>
      <ns0:c r="AH160" s="33"/>
      <ns0:c r="AI160" s="33"/>
      <ns0:c r="AJ160" s="33" t="str">
        <ns0:v>250 мВт при TA≤25 °C, стандартное посадочное место на FR4; далее снижение мощности.</ns0:v>
      </ns0:c>
    </ns0:row>
    <ns0:row r="161" ht="60" customHeight="1">
      <ns0:c r="A161" s="33" t="str">
        <ns0:v>VD0160</ns0:v>
      </ns0:c>
      <ns0:c r="B161" s="33" t="str">
        <ns0:v>Стабилитрон</ns0:v>
      </ns0:c>
      <ns0:c r="C161" s="33" t="str">
        <ns0:v>BZX84-A51</ns0:v>
      </ns0:c>
      <ns0:c r="D161" s="34" t="str">
        <ns0:f>C161</ns0:f>
        <ns0:v>BZX84-A51</ns0:v>
      </ns0:c>
      <ns0:c r="E161" s="33" t="str">
        <ns0:v>±1%</ns0:v>
      </ns0:c>
      <ns0:c r="F161" s="33" t="str">
        <ns0:v>0,25 Вт</ns0:v>
      </ns0:c>
      <ns0:c r="G161" s="33" t="str">
        <ns0:v>51 В (Uст ном.)</ns0:v>
      </ns0:c>
      <ns0:c r="H161" s="35" t="str">
        <ns0:v>SOT-23</ns0:v>
      </ns0:c>
      <ns0:c r="I161" s="33" t="str">
        <ns0:v>Nexperia</ns0:v>
      </ns0:c>
      <ns0:c r="J161" s="33" t="str">
        <ns0:v>BZX84-A51</ns0:v>
      </ns0:c>
      <ns0:c r="K161" s="34" t="str">
        <ns0:f>B161&amp;" "&amp;J161</ns0:f>
        <ns0:v>Стабилитрон BZX84-A51</ns0:v>
      </ns0:c>
      <ns0:c r="L161" s="36" t="str">
        <ns0:v>Zener_1A3C</ns0:v>
      </ns0:c>
      <ns0:c r="M161" s="36" t="str">
        <ns0:v>Symbols\MY_LIB_Semiconductors.SchLib</ns0:v>
      </ns0:c>
      <ns0:c r="N161" s="36" t="str">
        <ns0:v>SOT23-3</ns0:v>
      </ns0:c>
      <ns0:c r="O161" s="36" t="str">
        <ns0:v>Footprints\PBL - SMD Packages.PcbLib</ns0:v>
      </ns0:c>
      <ns0:c r="P16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1" s="33"/>
      <ns0:c r="R161" s="34" t="str">
        <ns0:f>D161</ns0:f>
        <ns0:v>BZX84-A51</ns0:v>
      </ns0:c>
      <ns0:c r="S161" s="34" t="str">
        <ns0:f>K161</ns0:f>
        <ns0:v>Стабилитрон BZX84-A51</ns0:v>
      </ns0:c>
      <ns0:c r="T161" s="33" t="str">
        <ns0:v>C:\Users\Nomatin\Documents\Altium\MY_LIB\MY_LIB\Datasheets\Diodes\BZX84_Nexperia.pdf</ns0:v>
      </ns0:c>
      <ns0:c r="U161" s="33" t="str">
        <ns0:v>Rev. 7, 01-Jan-2023</ns0:v>
      </ns0:c>
      <ns0:c r="V161" s="33" t="str">
        <ns0:v>Даташит — локальный</ns0:v>
      </ns0:c>
      <ns0:c r="W161" s="33" t="str">
        <ns0:v>C:\Users\Nomatin\Documents\Altium\MY_LIB\MY_LIB\Datasheets\Diodes\BZX84_Nexperia.pdf</ns0:v>
      </ns0:c>
      <ns0:c r="X161" s="33" t="str">
        <ns0:v>Даташит — производитель</ns0:v>
      </ns0:c>
      <ns0:c r="Y161" s="33" t="str">
        <ns0:v>https://assets.nexperia.com/documents/data-sheet/BZX84_SER.pdf</ns0:v>
      </ns0:c>
      <ns0:c r="Z161" s="33" t="str">
        <ns0:v>C:\Users\Nomatin\Documents\Altium\MY_LIB\MY_LIB\Datasheets\Diodes\BZX84_Nexperia.pdf</ns0:v>
      </ns0:c>
      <ns0:c r="AA161" s="33" t="str">
        <ns0:v>BZX84-A</ns0:v>
      </ns0:c>
      <ns0:c r="AB161" s="33" t="str">
        <ns0:v>Одиночный</ns0:v>
      </ns0:c>
      <ns0:c r="AC161" s="33" t="str">
        <ns0:v>1=A; 2=NC; 3=K</ns0:v>
      </ns0:c>
      <ns0:c r="AD161" s="33"/>
      <ns0:c r="AE161" s="33"/>
      <ns0:c r="AF161" s="33" t="n">
        <ns0:v>51</ns0:v>
      </ns0:c>
      <ns0:c r="AG161" s="33" t="n">
        <ns0:v>2</ns0:v>
      </ns0:c>
      <ns0:c r="AH161" s="33"/>
      <ns0:c r="AI161" s="33"/>
      <ns0:c r="AJ161" s="33" t="str">
        <ns0:v>250 мВт при TA≤25 °C, стандартное посадочное место на FR4; далее снижение мощности.</ns0:v>
      </ns0:c>
    </ns0:row>
    <ns0:row r="162" ht="60" customHeight="1">
      <ns0:c r="A162" s="33" t="str">
        <ns0:v>VD0161</ns0:v>
      </ns0:c>
      <ns0:c r="B162" s="33" t="str">
        <ns0:v>Стабилитрон</ns0:v>
      </ns0:c>
      <ns0:c r="C162" s="33" t="str">
        <ns0:v>BZX84-A75</ns0:v>
      </ns0:c>
      <ns0:c r="D162" s="34" t="str">
        <ns0:f>C162</ns0:f>
        <ns0:v>BZX84-A75</ns0:v>
      </ns0:c>
      <ns0:c r="E162" s="33" t="str">
        <ns0:v>±1%</ns0:v>
      </ns0:c>
      <ns0:c r="F162" s="33" t="str">
        <ns0:v>0,25 Вт</ns0:v>
      </ns0:c>
      <ns0:c r="G162" s="33" t="str">
        <ns0:v>75 В (Uст ном.)</ns0:v>
      </ns0:c>
      <ns0:c r="H162" s="35" t="str">
        <ns0:v>SOT-23</ns0:v>
      </ns0:c>
      <ns0:c r="I162" s="33" t="str">
        <ns0:v>Nexperia</ns0:v>
      </ns0:c>
      <ns0:c r="J162" s="33" t="str">
        <ns0:v>BZX84-A75</ns0:v>
      </ns0:c>
      <ns0:c r="K162" s="34" t="str">
        <ns0:f>B162&amp;" "&amp;J162</ns0:f>
        <ns0:v>Стабилитрон BZX84-A75</ns0:v>
      </ns0:c>
      <ns0:c r="L162" s="36" t="str">
        <ns0:v>Zener_1A3C</ns0:v>
      </ns0:c>
      <ns0:c r="M162" s="36" t="str">
        <ns0:v>Symbols\MY_LIB_Semiconductors.SchLib</ns0:v>
      </ns0:c>
      <ns0:c r="N162" s="36" t="str">
        <ns0:v>SOT23-3</ns0:v>
      </ns0:c>
      <ns0:c r="O162" s="36" t="str">
        <ns0:v>Footprints\PBL - SMD Packages.PcbLib</ns0:v>
      </ns0:c>
      <ns0:c r="P16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2" s="33"/>
      <ns0:c r="R162" s="34" t="str">
        <ns0:f>D162</ns0:f>
        <ns0:v>BZX84-A75</ns0:v>
      </ns0:c>
      <ns0:c r="S162" s="34" t="str">
        <ns0:f>K162</ns0:f>
        <ns0:v>Стабилитрон BZX84-A75</ns0:v>
      </ns0:c>
      <ns0:c r="T162" s="33" t="str">
        <ns0:v>C:\Users\Nomatin\Documents\Altium\MY_LIB\MY_LIB\Datasheets\Diodes\BZX84_Nexperia.pdf</ns0:v>
      </ns0:c>
      <ns0:c r="U162" s="33" t="str">
        <ns0:v>Rev. 7, 01-Jan-2023</ns0:v>
      </ns0:c>
      <ns0:c r="V162" s="33" t="str">
        <ns0:v>Даташит — локальный</ns0:v>
      </ns0:c>
      <ns0:c r="W162" s="33" t="str">
        <ns0:v>C:\Users\Nomatin\Documents\Altium\MY_LIB\MY_LIB\Datasheets\Diodes\BZX84_Nexperia.pdf</ns0:v>
      </ns0:c>
      <ns0:c r="X162" s="33" t="str">
        <ns0:v>Даташит — производитель</ns0:v>
      </ns0:c>
      <ns0:c r="Y162" s="33" t="str">
        <ns0:v>https://assets.nexperia.com/documents/data-sheet/BZX84_SER.pdf</ns0:v>
      </ns0:c>
      <ns0:c r="Z162" s="33" t="str">
        <ns0:v>C:\Users\Nomatin\Documents\Altium\MY_LIB\MY_LIB\Datasheets\Diodes\BZX84_Nexperia.pdf</ns0:v>
      </ns0:c>
      <ns0:c r="AA162" s="33" t="str">
        <ns0:v>BZX84-A</ns0:v>
      </ns0:c>
      <ns0:c r="AB162" s="33" t="str">
        <ns0:v>Одиночный</ns0:v>
      </ns0:c>
      <ns0:c r="AC162" s="33" t="str">
        <ns0:v>1=A; 2=NC; 3=K</ns0:v>
      </ns0:c>
      <ns0:c r="AD162" s="33"/>
      <ns0:c r="AE162" s="33"/>
      <ns0:c r="AF162" s="33" t="n">
        <ns0:v>75</ns0:v>
      </ns0:c>
      <ns0:c r="AG162" s="33" t="n">
        <ns0:v>2</ns0:v>
      </ns0:c>
      <ns0:c r="AH162" s="33"/>
      <ns0:c r="AI162" s="33"/>
      <ns0:c r="AJ162" s="33" t="str">
        <ns0:v>250 мВт при TA≤25 °C, стандартное посадочное место на FR4; далее снижение мощности.</ns0:v>
      </ns0:c>
    </ns0:row>
    <ns0:row r="163" ht="60" customHeight="1">
      <ns0:c r="A163" s="33" t="str">
        <ns0:v>VD0162</ns0:v>
      </ns0:c>
      <ns0:c r="B163" s="33" t="str">
        <ns0:v>Стабилитрон</ns0:v>
      </ns0:c>
      <ns0:c r="C163" s="33" t="str">
        <ns0:v>BZX84-B2V4</ns0:v>
      </ns0:c>
      <ns0:c r="D163" s="34" t="str">
        <ns0:f>C163</ns0:f>
        <ns0:v>BZX84-B2V4</ns0:v>
      </ns0:c>
      <ns0:c r="E163" s="33" t="str">
        <ns0:v>±2%</ns0:v>
      </ns0:c>
      <ns0:c r="F163" s="33" t="str">
        <ns0:v>0,25 Вт</ns0:v>
      </ns0:c>
      <ns0:c r="G163" s="33" t="str">
        <ns0:v>2.4 В (Uст ном.)</ns0:v>
      </ns0:c>
      <ns0:c r="H163" s="35" t="str">
        <ns0:v>SOT-23</ns0:v>
      </ns0:c>
      <ns0:c r="I163" s="33" t="str">
        <ns0:v>Nexperia</ns0:v>
      </ns0:c>
      <ns0:c r="J163" s="33" t="str">
        <ns0:v>BZX84-B2V4</ns0:v>
      </ns0:c>
      <ns0:c r="K163" s="34" t="str">
        <ns0:f>B163&amp;" "&amp;J163</ns0:f>
        <ns0:v>Стабилитрон BZX84-B2V4</ns0:v>
      </ns0:c>
      <ns0:c r="L163" s="36" t="str">
        <ns0:v>Zener_1A3C</ns0:v>
      </ns0:c>
      <ns0:c r="M163" s="36" t="str">
        <ns0:v>Symbols\MY_LIB_Semiconductors.SchLib</ns0:v>
      </ns0:c>
      <ns0:c r="N163" s="36" t="str">
        <ns0:v>SOT23-3</ns0:v>
      </ns0:c>
      <ns0:c r="O163" s="36" t="str">
        <ns0:v>Footprints\PBL - SMD Packages.PcbLib</ns0:v>
      </ns0:c>
      <ns0:c r="P16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3" s="33"/>
      <ns0:c r="R163" s="34" t="str">
        <ns0:f>D163</ns0:f>
        <ns0:v>BZX84-B2V4</ns0:v>
      </ns0:c>
      <ns0:c r="S163" s="34" t="str">
        <ns0:f>K163</ns0:f>
        <ns0:v>Стабилитрон BZX84-B2V4</ns0:v>
      </ns0:c>
      <ns0:c r="T163" s="33" t="str">
        <ns0:v>C:\Users\Nomatin\Documents\Altium\MY_LIB\MY_LIB\Datasheets\Diodes\BZX84_Nexperia.pdf</ns0:v>
      </ns0:c>
      <ns0:c r="U163" s="33" t="str">
        <ns0:v>Rev. 7, 01-Jan-2023</ns0:v>
      </ns0:c>
      <ns0:c r="V163" s="33" t="str">
        <ns0:v>Даташит — локальный</ns0:v>
      </ns0:c>
      <ns0:c r="W163" s="33" t="str">
        <ns0:v>C:\Users\Nomatin\Documents\Altium\MY_LIB\MY_LIB\Datasheets\Diodes\BZX84_Nexperia.pdf</ns0:v>
      </ns0:c>
      <ns0:c r="X163" s="33" t="str">
        <ns0:v>Даташит — производитель</ns0:v>
      </ns0:c>
      <ns0:c r="Y163" s="33" t="str">
        <ns0:v>https://assets.nexperia.com/documents/data-sheet/BZX84_SER.pdf</ns0:v>
      </ns0:c>
      <ns0:c r="Z163" s="33" t="str">
        <ns0:v>C:\Users\Nomatin\Documents\Altium\MY_LIB\MY_LIB\Datasheets\Diodes\BZX84_Nexperia.pdf</ns0:v>
      </ns0:c>
      <ns0:c r="AA163" s="33" t="str">
        <ns0:v>BZX84-B</ns0:v>
      </ns0:c>
      <ns0:c r="AB163" s="33" t="str">
        <ns0:v>Одиночный</ns0:v>
      </ns0:c>
      <ns0:c r="AC163" s="33" t="str">
        <ns0:v>1=A; 2=NC; 3=K</ns0:v>
      </ns0:c>
      <ns0:c r="AD163" s="33"/>
      <ns0:c r="AE163" s="33"/>
      <ns0:c r="AF163" s="33" t="n">
        <ns0:v>2.4</ns0:v>
      </ns0:c>
      <ns0:c r="AG163" s="33" t="n">
        <ns0:v>5</ns0:v>
      </ns0:c>
      <ns0:c r="AH163" s="33"/>
      <ns0:c r="AI163" s="33"/>
      <ns0:c r="AJ163" s="33" t="str">
        <ns0:v>250 мВт при TA≤25 °C, стандартное посадочное место на FR4; далее снижение мощности.</ns0:v>
      </ns0:c>
    </ns0:row>
    <ns0:row r="164" ht="60" customHeight="1">
      <ns0:c r="A164" s="33" t="str">
        <ns0:v>VD0163</ns0:v>
      </ns0:c>
      <ns0:c r="B164" s="33" t="str">
        <ns0:v>Стабилитрон</ns0:v>
      </ns0:c>
      <ns0:c r="C164" s="33" t="str">
        <ns0:v>BZX84-B2V7</ns0:v>
      </ns0:c>
      <ns0:c r="D164" s="34" t="str">
        <ns0:f>C164</ns0:f>
        <ns0:v>BZX84-B2V7</ns0:v>
      </ns0:c>
      <ns0:c r="E164" s="33" t="str">
        <ns0:v>±2%</ns0:v>
      </ns0:c>
      <ns0:c r="F164" s="33" t="str">
        <ns0:v>0,25 Вт</ns0:v>
      </ns0:c>
      <ns0:c r="G164" s="33" t="str">
        <ns0:v>2.7 В (Uст ном.)</ns0:v>
      </ns0:c>
      <ns0:c r="H164" s="35" t="str">
        <ns0:v>SOT-23</ns0:v>
      </ns0:c>
      <ns0:c r="I164" s="33" t="str">
        <ns0:v>Nexperia</ns0:v>
      </ns0:c>
      <ns0:c r="J164" s="33" t="str">
        <ns0:v>BZX84-B2V7</ns0:v>
      </ns0:c>
      <ns0:c r="K164" s="34" t="str">
        <ns0:f>B164&amp;" "&amp;J164</ns0:f>
        <ns0:v>Стабилитрон BZX84-B2V7</ns0:v>
      </ns0:c>
      <ns0:c r="L164" s="36" t="str">
        <ns0:v>Zener_1A3C</ns0:v>
      </ns0:c>
      <ns0:c r="M164" s="36" t="str">
        <ns0:v>Symbols\MY_LIB_Semiconductors.SchLib</ns0:v>
      </ns0:c>
      <ns0:c r="N164" s="36" t="str">
        <ns0:v>SOT23-3</ns0:v>
      </ns0:c>
      <ns0:c r="O164" s="36" t="str">
        <ns0:v>Footprints\PBL - SMD Packages.PcbLib</ns0:v>
      </ns0:c>
      <ns0:c r="P16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4" s="33"/>
      <ns0:c r="R164" s="34" t="str">
        <ns0:f>D164</ns0:f>
        <ns0:v>BZX84-B2V7</ns0:v>
      </ns0:c>
      <ns0:c r="S164" s="34" t="str">
        <ns0:f>K164</ns0:f>
        <ns0:v>Стабилитрон BZX84-B2V7</ns0:v>
      </ns0:c>
      <ns0:c r="T164" s="33" t="str">
        <ns0:v>C:\Users\Nomatin\Documents\Altium\MY_LIB\MY_LIB\Datasheets\Diodes\BZX84_Nexperia.pdf</ns0:v>
      </ns0:c>
      <ns0:c r="U164" s="33" t="str">
        <ns0:v>Rev. 7, 01-Jan-2023</ns0:v>
      </ns0:c>
      <ns0:c r="V164" s="33" t="str">
        <ns0:v>Даташит — локальный</ns0:v>
      </ns0:c>
      <ns0:c r="W164" s="33" t="str">
        <ns0:v>C:\Users\Nomatin\Documents\Altium\MY_LIB\MY_LIB\Datasheets\Diodes\BZX84_Nexperia.pdf</ns0:v>
      </ns0:c>
      <ns0:c r="X164" s="33" t="str">
        <ns0:v>Даташит — производитель</ns0:v>
      </ns0:c>
      <ns0:c r="Y164" s="33" t="str">
        <ns0:v>https://assets.nexperia.com/documents/data-sheet/BZX84_SER.pdf</ns0:v>
      </ns0:c>
      <ns0:c r="Z164" s="33" t="str">
        <ns0:v>C:\Users\Nomatin\Documents\Altium\MY_LIB\MY_LIB\Datasheets\Diodes\BZX84_Nexperia.pdf</ns0:v>
      </ns0:c>
      <ns0:c r="AA164" s="33" t="str">
        <ns0:v>BZX84-B</ns0:v>
      </ns0:c>
      <ns0:c r="AB164" s="33" t="str">
        <ns0:v>Одиночный</ns0:v>
      </ns0:c>
      <ns0:c r="AC164" s="33" t="str">
        <ns0:v>1=A; 2=NC; 3=K</ns0:v>
      </ns0:c>
      <ns0:c r="AD164" s="33"/>
      <ns0:c r="AE164" s="33"/>
      <ns0:c r="AF164" s="33" t="n">
        <ns0:v>2.7</ns0:v>
      </ns0:c>
      <ns0:c r="AG164" s="33" t="n">
        <ns0:v>5</ns0:v>
      </ns0:c>
      <ns0:c r="AH164" s="33"/>
      <ns0:c r="AI164" s="33"/>
      <ns0:c r="AJ164" s="33" t="str">
        <ns0:v>250 мВт при TA≤25 °C, стандартное посадочное место на FR4; далее снижение мощности.</ns0:v>
      </ns0:c>
    </ns0:row>
    <ns0:row r="165" ht="60" customHeight="1">
      <ns0:c r="A165" s="33" t="str">
        <ns0:v>VD0164</ns0:v>
      </ns0:c>
      <ns0:c r="B165" s="33" t="str">
        <ns0:v>Стабилитрон</ns0:v>
      </ns0:c>
      <ns0:c r="C165" s="33" t="str">
        <ns0:v>BZX84-B3V0</ns0:v>
      </ns0:c>
      <ns0:c r="D165" s="34" t="str">
        <ns0:f>C165</ns0:f>
        <ns0:v>BZX84-B3V0</ns0:v>
      </ns0:c>
      <ns0:c r="E165" s="33" t="str">
        <ns0:v>±2%</ns0:v>
      </ns0:c>
      <ns0:c r="F165" s="33" t="str">
        <ns0:v>0,25 Вт</ns0:v>
      </ns0:c>
      <ns0:c r="G165" s="33" t="str">
        <ns0:v>3 В (Uст ном.)</ns0:v>
      </ns0:c>
      <ns0:c r="H165" s="35" t="str">
        <ns0:v>SOT-23</ns0:v>
      </ns0:c>
      <ns0:c r="I165" s="33" t="str">
        <ns0:v>Nexperia</ns0:v>
      </ns0:c>
      <ns0:c r="J165" s="33" t="str">
        <ns0:v>BZX84-B3V0</ns0:v>
      </ns0:c>
      <ns0:c r="K165" s="34" t="str">
        <ns0:f>B165&amp;" "&amp;J165</ns0:f>
        <ns0:v>Стабилитрон BZX84-B3V0</ns0:v>
      </ns0:c>
      <ns0:c r="L165" s="36" t="str">
        <ns0:v>Zener_1A3C</ns0:v>
      </ns0:c>
      <ns0:c r="M165" s="36" t="str">
        <ns0:v>Symbols\MY_LIB_Semiconductors.SchLib</ns0:v>
      </ns0:c>
      <ns0:c r="N165" s="36" t="str">
        <ns0:v>SOT23-3</ns0:v>
      </ns0:c>
      <ns0:c r="O165" s="36" t="str">
        <ns0:v>Footprints\PBL - SMD Packages.PcbLib</ns0:v>
      </ns0:c>
      <ns0:c r="P16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5" s="33"/>
      <ns0:c r="R165" s="34" t="str">
        <ns0:f>D165</ns0:f>
        <ns0:v>BZX84-B3V0</ns0:v>
      </ns0:c>
      <ns0:c r="S165" s="34" t="str">
        <ns0:f>K165</ns0:f>
        <ns0:v>Стабилитрон BZX84-B3V0</ns0:v>
      </ns0:c>
      <ns0:c r="T165" s="33" t="str">
        <ns0:v>C:\Users\Nomatin\Documents\Altium\MY_LIB\MY_LIB\Datasheets\Diodes\BZX84_Nexperia.pdf</ns0:v>
      </ns0:c>
      <ns0:c r="U165" s="33" t="str">
        <ns0:v>Rev. 7, 01-Jan-2023</ns0:v>
      </ns0:c>
      <ns0:c r="V165" s="33" t="str">
        <ns0:v>Даташит — локальный</ns0:v>
      </ns0:c>
      <ns0:c r="W165" s="33" t="str">
        <ns0:v>C:\Users\Nomatin\Documents\Altium\MY_LIB\MY_LIB\Datasheets\Diodes\BZX84_Nexperia.pdf</ns0:v>
      </ns0:c>
      <ns0:c r="X165" s="33" t="str">
        <ns0:v>Даташит — производитель</ns0:v>
      </ns0:c>
      <ns0:c r="Y165" s="33" t="str">
        <ns0:v>https://assets.nexperia.com/documents/data-sheet/BZX84_SER.pdf</ns0:v>
      </ns0:c>
      <ns0:c r="Z165" s="33" t="str">
        <ns0:v>C:\Users\Nomatin\Documents\Altium\MY_LIB\MY_LIB\Datasheets\Diodes\BZX84_Nexperia.pdf</ns0:v>
      </ns0:c>
      <ns0:c r="AA165" s="33" t="str">
        <ns0:v>BZX84-B</ns0:v>
      </ns0:c>
      <ns0:c r="AB165" s="33" t="str">
        <ns0:v>Одиночный</ns0:v>
      </ns0:c>
      <ns0:c r="AC165" s="33" t="str">
        <ns0:v>1=A; 2=NC; 3=K</ns0:v>
      </ns0:c>
      <ns0:c r="AD165" s="33"/>
      <ns0:c r="AE165" s="33"/>
      <ns0:c r="AF165" s="33" t="n">
        <ns0:v>3</ns0:v>
      </ns0:c>
      <ns0:c r="AG165" s="33" t="n">
        <ns0:v>5</ns0:v>
      </ns0:c>
      <ns0:c r="AH165" s="33"/>
      <ns0:c r="AI165" s="33"/>
      <ns0:c r="AJ165" s="33" t="str">
        <ns0:v>250 мВт при TA≤25 °C, стандартное посадочное место на FR4; далее снижение мощности.</ns0:v>
      </ns0:c>
    </ns0:row>
    <ns0:row r="166" ht="60" customHeight="1">
      <ns0:c r="A166" s="33" t="str">
        <ns0:v>VD0165</ns0:v>
      </ns0:c>
      <ns0:c r="B166" s="33" t="str">
        <ns0:v>Стабилитрон</ns0:v>
      </ns0:c>
      <ns0:c r="C166" s="33" t="str">
        <ns0:v>BZX84-B3V3</ns0:v>
      </ns0:c>
      <ns0:c r="D166" s="34" t="str">
        <ns0:f>C166</ns0:f>
        <ns0:v>BZX84-B3V3</ns0:v>
      </ns0:c>
      <ns0:c r="E166" s="33" t="str">
        <ns0:v>±2%</ns0:v>
      </ns0:c>
      <ns0:c r="F166" s="33" t="str">
        <ns0:v>0,25 Вт</ns0:v>
      </ns0:c>
      <ns0:c r="G166" s="33" t="str">
        <ns0:v>3.3 В (Uст ном.)</ns0:v>
      </ns0:c>
      <ns0:c r="H166" s="35" t="str">
        <ns0:v>SOT-23</ns0:v>
      </ns0:c>
      <ns0:c r="I166" s="33" t="str">
        <ns0:v>Nexperia</ns0:v>
      </ns0:c>
      <ns0:c r="J166" s="33" t="str">
        <ns0:v>BZX84-B3V3</ns0:v>
      </ns0:c>
      <ns0:c r="K166" s="34" t="str">
        <ns0:f>B166&amp;" "&amp;J166</ns0:f>
        <ns0:v>Стабилитрон BZX84-B3V3</ns0:v>
      </ns0:c>
      <ns0:c r="L166" s="36" t="str">
        <ns0:v>Zener_1A3C</ns0:v>
      </ns0:c>
      <ns0:c r="M166" s="36" t="str">
        <ns0:v>Symbols\MY_LIB_Semiconductors.SchLib</ns0:v>
      </ns0:c>
      <ns0:c r="N166" s="36" t="str">
        <ns0:v>SOT23-3</ns0:v>
      </ns0:c>
      <ns0:c r="O166" s="36" t="str">
        <ns0:v>Footprints\PBL - SMD Packages.PcbLib</ns0:v>
      </ns0:c>
      <ns0:c r="P16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6" s="33"/>
      <ns0:c r="R166" s="34" t="str">
        <ns0:f>D166</ns0:f>
        <ns0:v>BZX84-B3V3</ns0:v>
      </ns0:c>
      <ns0:c r="S166" s="34" t="str">
        <ns0:f>K166</ns0:f>
        <ns0:v>Стабилитрон BZX84-B3V3</ns0:v>
      </ns0:c>
      <ns0:c r="T166" s="33" t="str">
        <ns0:v>C:\Users\Nomatin\Documents\Altium\MY_LIB\MY_LIB\Datasheets\Diodes\BZX84_Nexperia.pdf</ns0:v>
      </ns0:c>
      <ns0:c r="U166" s="33" t="str">
        <ns0:v>Rev. 7, 01-Jan-2023</ns0:v>
      </ns0:c>
      <ns0:c r="V166" s="33" t="str">
        <ns0:v>Даташит — локальный</ns0:v>
      </ns0:c>
      <ns0:c r="W166" s="33" t="str">
        <ns0:v>C:\Users\Nomatin\Documents\Altium\MY_LIB\MY_LIB\Datasheets\Diodes\BZX84_Nexperia.pdf</ns0:v>
      </ns0:c>
      <ns0:c r="X166" s="33" t="str">
        <ns0:v>Даташит — производитель</ns0:v>
      </ns0:c>
      <ns0:c r="Y166" s="33" t="str">
        <ns0:v>https://assets.nexperia.com/documents/data-sheet/BZX84_SER.pdf</ns0:v>
      </ns0:c>
      <ns0:c r="Z166" s="33" t="str">
        <ns0:v>C:\Users\Nomatin\Documents\Altium\MY_LIB\MY_LIB\Datasheets\Diodes\BZX84_Nexperia.pdf</ns0:v>
      </ns0:c>
      <ns0:c r="AA166" s="33" t="str">
        <ns0:v>BZX84-B</ns0:v>
      </ns0:c>
      <ns0:c r="AB166" s="33" t="str">
        <ns0:v>Одиночный</ns0:v>
      </ns0:c>
      <ns0:c r="AC166" s="33" t="str">
        <ns0:v>1=A; 2=NC; 3=K</ns0:v>
      </ns0:c>
      <ns0:c r="AD166" s="33"/>
      <ns0:c r="AE166" s="33"/>
      <ns0:c r="AF166" s="33" t="n">
        <ns0:v>3.3</ns0:v>
      </ns0:c>
      <ns0:c r="AG166" s="33" t="n">
        <ns0:v>5</ns0:v>
      </ns0:c>
      <ns0:c r="AH166" s="33"/>
      <ns0:c r="AI166" s="33"/>
      <ns0:c r="AJ166" s="33" t="str">
        <ns0:v>250 мВт при TA≤25 °C, стандартное посадочное место на FR4; далее снижение мощности.</ns0:v>
      </ns0:c>
    </ns0:row>
    <ns0:row r="167" ht="60" customHeight="1">
      <ns0:c r="A167" s="33" t="str">
        <ns0:v>VD0166</ns0:v>
      </ns0:c>
      <ns0:c r="B167" s="33" t="str">
        <ns0:v>Стабилитрон</ns0:v>
      </ns0:c>
      <ns0:c r="C167" s="33" t="str">
        <ns0:v>BZX84-B3V6</ns0:v>
      </ns0:c>
      <ns0:c r="D167" s="34" t="str">
        <ns0:f>C167</ns0:f>
        <ns0:v>BZX84-B3V6</ns0:v>
      </ns0:c>
      <ns0:c r="E167" s="33" t="str">
        <ns0:v>±2%</ns0:v>
      </ns0:c>
      <ns0:c r="F167" s="33" t="str">
        <ns0:v>0,25 Вт</ns0:v>
      </ns0:c>
      <ns0:c r="G167" s="33" t="str">
        <ns0:v>3.6 В (Uст ном.)</ns0:v>
      </ns0:c>
      <ns0:c r="H167" s="35" t="str">
        <ns0:v>SOT-23</ns0:v>
      </ns0:c>
      <ns0:c r="I167" s="33" t="str">
        <ns0:v>Nexperia</ns0:v>
      </ns0:c>
      <ns0:c r="J167" s="33" t="str">
        <ns0:v>BZX84-B3V6</ns0:v>
      </ns0:c>
      <ns0:c r="K167" s="34" t="str">
        <ns0:f>B167&amp;" "&amp;J167</ns0:f>
        <ns0:v>Стабилитрон BZX84-B3V6</ns0:v>
      </ns0:c>
      <ns0:c r="L167" s="36" t="str">
        <ns0:v>Zener_1A3C</ns0:v>
      </ns0:c>
      <ns0:c r="M167" s="36" t="str">
        <ns0:v>Symbols\MY_LIB_Semiconductors.SchLib</ns0:v>
      </ns0:c>
      <ns0:c r="N167" s="36" t="str">
        <ns0:v>SOT23-3</ns0:v>
      </ns0:c>
      <ns0:c r="O167" s="36" t="str">
        <ns0:v>Footprints\PBL - SMD Packages.PcbLib</ns0:v>
      </ns0:c>
      <ns0:c r="P16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7" s="33"/>
      <ns0:c r="R167" s="34" t="str">
        <ns0:f>D167</ns0:f>
        <ns0:v>BZX84-B3V6</ns0:v>
      </ns0:c>
      <ns0:c r="S167" s="34" t="str">
        <ns0:f>K167</ns0:f>
        <ns0:v>Стабилитрон BZX84-B3V6</ns0:v>
      </ns0:c>
      <ns0:c r="T167" s="33" t="str">
        <ns0:v>C:\Users\Nomatin\Documents\Altium\MY_LIB\MY_LIB\Datasheets\Diodes\BZX84_Nexperia.pdf</ns0:v>
      </ns0:c>
      <ns0:c r="U167" s="33" t="str">
        <ns0:v>Rev. 7, 01-Jan-2023</ns0:v>
      </ns0:c>
      <ns0:c r="V167" s="33" t="str">
        <ns0:v>Даташит — локальный</ns0:v>
      </ns0:c>
      <ns0:c r="W167" s="33" t="str">
        <ns0:v>C:\Users\Nomatin\Documents\Altium\MY_LIB\MY_LIB\Datasheets\Diodes\BZX84_Nexperia.pdf</ns0:v>
      </ns0:c>
      <ns0:c r="X167" s="33" t="str">
        <ns0:v>Даташит — производитель</ns0:v>
      </ns0:c>
      <ns0:c r="Y167" s="33" t="str">
        <ns0:v>https://assets.nexperia.com/documents/data-sheet/BZX84_SER.pdf</ns0:v>
      </ns0:c>
      <ns0:c r="Z167" s="33" t="str">
        <ns0:v>C:\Users\Nomatin\Documents\Altium\MY_LIB\MY_LIB\Datasheets\Diodes\BZX84_Nexperia.pdf</ns0:v>
      </ns0:c>
      <ns0:c r="AA167" s="33" t="str">
        <ns0:v>BZX84-B</ns0:v>
      </ns0:c>
      <ns0:c r="AB167" s="33" t="str">
        <ns0:v>Одиночный</ns0:v>
      </ns0:c>
      <ns0:c r="AC167" s="33" t="str">
        <ns0:v>1=A; 2=NC; 3=K</ns0:v>
      </ns0:c>
      <ns0:c r="AD167" s="33"/>
      <ns0:c r="AE167" s="33"/>
      <ns0:c r="AF167" s="33" t="n">
        <ns0:v>3.6</ns0:v>
      </ns0:c>
      <ns0:c r="AG167" s="33" t="n">
        <ns0:v>5</ns0:v>
      </ns0:c>
      <ns0:c r="AH167" s="33"/>
      <ns0:c r="AI167" s="33"/>
      <ns0:c r="AJ167" s="33" t="str">
        <ns0:v>250 мВт при TA≤25 °C, стандартное посадочное место на FR4; далее снижение мощности.</ns0:v>
      </ns0:c>
    </ns0:row>
    <ns0:row r="168" ht="60" customHeight="1">
      <ns0:c r="A168" s="33" t="str">
        <ns0:v>VD0167</ns0:v>
      </ns0:c>
      <ns0:c r="B168" s="33" t="str">
        <ns0:v>Стабилитрон</ns0:v>
      </ns0:c>
      <ns0:c r="C168" s="33" t="str">
        <ns0:v>BZX84-B3V9</ns0:v>
      </ns0:c>
      <ns0:c r="D168" s="34" t="str">
        <ns0:f>C168</ns0:f>
        <ns0:v>BZX84-B3V9</ns0:v>
      </ns0:c>
      <ns0:c r="E168" s="33" t="str">
        <ns0:v>±2%</ns0:v>
      </ns0:c>
      <ns0:c r="F168" s="33" t="str">
        <ns0:v>0,25 Вт</ns0:v>
      </ns0:c>
      <ns0:c r="G168" s="33" t="str">
        <ns0:v>3.9 В (Uст ном.)</ns0:v>
      </ns0:c>
      <ns0:c r="H168" s="35" t="str">
        <ns0:v>SOT-23</ns0:v>
      </ns0:c>
      <ns0:c r="I168" s="33" t="str">
        <ns0:v>Nexperia</ns0:v>
      </ns0:c>
      <ns0:c r="J168" s="33" t="str">
        <ns0:v>BZX84-B3V9</ns0:v>
      </ns0:c>
      <ns0:c r="K168" s="34" t="str">
        <ns0:f>B168&amp;" "&amp;J168</ns0:f>
        <ns0:v>Стабилитрон BZX84-B3V9</ns0:v>
      </ns0:c>
      <ns0:c r="L168" s="36" t="str">
        <ns0:v>Zener_1A3C</ns0:v>
      </ns0:c>
      <ns0:c r="M168" s="36" t="str">
        <ns0:v>Symbols\MY_LIB_Semiconductors.SchLib</ns0:v>
      </ns0:c>
      <ns0:c r="N168" s="36" t="str">
        <ns0:v>SOT23-3</ns0:v>
      </ns0:c>
      <ns0:c r="O168" s="36" t="str">
        <ns0:v>Footprints\PBL - SMD Packages.PcbLib</ns0:v>
      </ns0:c>
      <ns0:c r="P16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8" s="33"/>
      <ns0:c r="R168" s="34" t="str">
        <ns0:f>D168</ns0:f>
        <ns0:v>BZX84-B3V9</ns0:v>
      </ns0:c>
      <ns0:c r="S168" s="34" t="str">
        <ns0:f>K168</ns0:f>
        <ns0:v>Стабилитрон BZX84-B3V9</ns0:v>
      </ns0:c>
      <ns0:c r="T168" s="33" t="str">
        <ns0:v>C:\Users\Nomatin\Documents\Altium\MY_LIB\MY_LIB\Datasheets\Diodes\BZX84_Nexperia.pdf</ns0:v>
      </ns0:c>
      <ns0:c r="U168" s="33" t="str">
        <ns0:v>Rev. 7, 01-Jan-2023</ns0:v>
      </ns0:c>
      <ns0:c r="V168" s="33" t="str">
        <ns0:v>Даташит — локальный</ns0:v>
      </ns0:c>
      <ns0:c r="W168" s="33" t="str">
        <ns0:v>C:\Users\Nomatin\Documents\Altium\MY_LIB\MY_LIB\Datasheets\Diodes\BZX84_Nexperia.pdf</ns0:v>
      </ns0:c>
      <ns0:c r="X168" s="33" t="str">
        <ns0:v>Даташит — производитель</ns0:v>
      </ns0:c>
      <ns0:c r="Y168" s="33" t="str">
        <ns0:v>https://assets.nexperia.com/documents/data-sheet/BZX84_SER.pdf</ns0:v>
      </ns0:c>
      <ns0:c r="Z168" s="33" t="str">
        <ns0:v>C:\Users\Nomatin\Documents\Altium\MY_LIB\MY_LIB\Datasheets\Diodes\BZX84_Nexperia.pdf</ns0:v>
      </ns0:c>
      <ns0:c r="AA168" s="33" t="str">
        <ns0:v>BZX84-B</ns0:v>
      </ns0:c>
      <ns0:c r="AB168" s="33" t="str">
        <ns0:v>Одиночный</ns0:v>
      </ns0:c>
      <ns0:c r="AC168" s="33" t="str">
        <ns0:v>1=A; 2=NC; 3=K</ns0:v>
      </ns0:c>
      <ns0:c r="AD168" s="33"/>
      <ns0:c r="AE168" s="33"/>
      <ns0:c r="AF168" s="33" t="n">
        <ns0:v>3.9</ns0:v>
      </ns0:c>
      <ns0:c r="AG168" s="33" t="n">
        <ns0:v>5</ns0:v>
      </ns0:c>
      <ns0:c r="AH168" s="33"/>
      <ns0:c r="AI168" s="33"/>
      <ns0:c r="AJ168" s="33" t="str">
        <ns0:v>250 мВт при TA≤25 °C, стандартное посадочное место на FR4; далее снижение мощности.</ns0:v>
      </ns0:c>
    </ns0:row>
    <ns0:row r="169" ht="60" customHeight="1">
      <ns0:c r="A169" s="33" t="str">
        <ns0:v>VD0168</ns0:v>
      </ns0:c>
      <ns0:c r="B169" s="33" t="str">
        <ns0:v>Стабилитрон</ns0:v>
      </ns0:c>
      <ns0:c r="C169" s="33" t="str">
        <ns0:v>BZX84-B4V3</ns0:v>
      </ns0:c>
      <ns0:c r="D169" s="34" t="str">
        <ns0:f>C169</ns0:f>
        <ns0:v>BZX84-B4V3</ns0:v>
      </ns0:c>
      <ns0:c r="E169" s="33" t="str">
        <ns0:v>±2%</ns0:v>
      </ns0:c>
      <ns0:c r="F169" s="33" t="str">
        <ns0:v>0,25 Вт</ns0:v>
      </ns0:c>
      <ns0:c r="G169" s="33" t="str">
        <ns0:v>4.3 В (Uст ном.)</ns0:v>
      </ns0:c>
      <ns0:c r="H169" s="35" t="str">
        <ns0:v>SOT-23</ns0:v>
      </ns0:c>
      <ns0:c r="I169" s="33" t="str">
        <ns0:v>Nexperia</ns0:v>
      </ns0:c>
      <ns0:c r="J169" s="33" t="str">
        <ns0:v>BZX84-B4V3</ns0:v>
      </ns0:c>
      <ns0:c r="K169" s="34" t="str">
        <ns0:f>B169&amp;" "&amp;J169</ns0:f>
        <ns0:v>Стабилитрон BZX84-B4V3</ns0:v>
      </ns0:c>
      <ns0:c r="L169" s="36" t="str">
        <ns0:v>Zener_1A3C</ns0:v>
      </ns0:c>
      <ns0:c r="M169" s="36" t="str">
        <ns0:v>Symbols\MY_LIB_Semiconductors.SchLib</ns0:v>
      </ns0:c>
      <ns0:c r="N169" s="36" t="str">
        <ns0:v>SOT23-3</ns0:v>
      </ns0:c>
      <ns0:c r="O169" s="36" t="str">
        <ns0:v>Footprints\PBL - SMD Packages.PcbLib</ns0:v>
      </ns0:c>
      <ns0:c r="P16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69" s="33"/>
      <ns0:c r="R169" s="34" t="str">
        <ns0:f>D169</ns0:f>
        <ns0:v>BZX84-B4V3</ns0:v>
      </ns0:c>
      <ns0:c r="S169" s="34" t="str">
        <ns0:f>K169</ns0:f>
        <ns0:v>Стабилитрон BZX84-B4V3</ns0:v>
      </ns0:c>
      <ns0:c r="T169" s="33" t="str">
        <ns0:v>C:\Users\Nomatin\Documents\Altium\MY_LIB\MY_LIB\Datasheets\Diodes\BZX84_Nexperia.pdf</ns0:v>
      </ns0:c>
      <ns0:c r="U169" s="33" t="str">
        <ns0:v>Rev. 7, 01-Jan-2023</ns0:v>
      </ns0:c>
      <ns0:c r="V169" s="33" t="str">
        <ns0:v>Даташит — локальный</ns0:v>
      </ns0:c>
      <ns0:c r="W169" s="33" t="str">
        <ns0:v>C:\Users\Nomatin\Documents\Altium\MY_LIB\MY_LIB\Datasheets\Diodes\BZX84_Nexperia.pdf</ns0:v>
      </ns0:c>
      <ns0:c r="X169" s="33" t="str">
        <ns0:v>Даташит — производитель</ns0:v>
      </ns0:c>
      <ns0:c r="Y169" s="33" t="str">
        <ns0:v>https://assets.nexperia.com/documents/data-sheet/BZX84_SER.pdf</ns0:v>
      </ns0:c>
      <ns0:c r="Z169" s="33" t="str">
        <ns0:v>C:\Users\Nomatin\Documents\Altium\MY_LIB\MY_LIB\Datasheets\Diodes\BZX84_Nexperia.pdf</ns0:v>
      </ns0:c>
      <ns0:c r="AA169" s="33" t="str">
        <ns0:v>BZX84-B</ns0:v>
      </ns0:c>
      <ns0:c r="AB169" s="33" t="str">
        <ns0:v>Одиночный</ns0:v>
      </ns0:c>
      <ns0:c r="AC169" s="33" t="str">
        <ns0:v>1=A; 2=NC; 3=K</ns0:v>
      </ns0:c>
      <ns0:c r="AD169" s="33"/>
      <ns0:c r="AE169" s="33"/>
      <ns0:c r="AF169" s="33" t="n">
        <ns0:v>4.3</ns0:v>
      </ns0:c>
      <ns0:c r="AG169" s="33" t="n">
        <ns0:v>5</ns0:v>
      </ns0:c>
      <ns0:c r="AH169" s="33"/>
      <ns0:c r="AI169" s="33"/>
      <ns0:c r="AJ169" s="33" t="str">
        <ns0:v>250 мВт при TA≤25 °C, стандартное посадочное место на FR4; далее снижение мощности.</ns0:v>
      </ns0:c>
    </ns0:row>
    <ns0:row r="170" ht="60" customHeight="1">
      <ns0:c r="A170" s="33" t="str">
        <ns0:v>VD0169</ns0:v>
      </ns0:c>
      <ns0:c r="B170" s="33" t="str">
        <ns0:v>Стабилитрон</ns0:v>
      </ns0:c>
      <ns0:c r="C170" s="33" t="str">
        <ns0:v>BZX84-B4V7</ns0:v>
      </ns0:c>
      <ns0:c r="D170" s="34" t="str">
        <ns0:f>C170</ns0:f>
        <ns0:v>BZX84-B4V7</ns0:v>
      </ns0:c>
      <ns0:c r="E170" s="33" t="str">
        <ns0:v>±2%</ns0:v>
      </ns0:c>
      <ns0:c r="F170" s="33" t="str">
        <ns0:v>0,25 Вт</ns0:v>
      </ns0:c>
      <ns0:c r="G170" s="33" t="str">
        <ns0:v>4.7 В (Uст ном.)</ns0:v>
      </ns0:c>
      <ns0:c r="H170" s="35" t="str">
        <ns0:v>SOT-23</ns0:v>
      </ns0:c>
      <ns0:c r="I170" s="33" t="str">
        <ns0:v>Nexperia</ns0:v>
      </ns0:c>
      <ns0:c r="J170" s="33" t="str">
        <ns0:v>BZX84-B4V7</ns0:v>
      </ns0:c>
      <ns0:c r="K170" s="34" t="str">
        <ns0:f>B170&amp;" "&amp;J170</ns0:f>
        <ns0:v>Стабилитрон BZX84-B4V7</ns0:v>
      </ns0:c>
      <ns0:c r="L170" s="36" t="str">
        <ns0:v>Zener_1A3C</ns0:v>
      </ns0:c>
      <ns0:c r="M170" s="36" t="str">
        <ns0:v>Symbols\MY_LIB_Semiconductors.SchLib</ns0:v>
      </ns0:c>
      <ns0:c r="N170" s="36" t="str">
        <ns0:v>SOT23-3</ns0:v>
      </ns0:c>
      <ns0:c r="O170" s="36" t="str">
        <ns0:v>Footprints\PBL - SMD Packages.PcbLib</ns0:v>
      </ns0:c>
      <ns0:c r="P17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0" s="33"/>
      <ns0:c r="R170" s="34" t="str">
        <ns0:f>D170</ns0:f>
        <ns0:v>BZX84-B4V7</ns0:v>
      </ns0:c>
      <ns0:c r="S170" s="34" t="str">
        <ns0:f>K170</ns0:f>
        <ns0:v>Стабилитрон BZX84-B4V7</ns0:v>
      </ns0:c>
      <ns0:c r="T170" s="33" t="str">
        <ns0:v>C:\Users\Nomatin\Documents\Altium\MY_LIB\MY_LIB\Datasheets\Diodes\BZX84_Nexperia.pdf</ns0:v>
      </ns0:c>
      <ns0:c r="U170" s="33" t="str">
        <ns0:v>Rev. 7, 01-Jan-2023</ns0:v>
      </ns0:c>
      <ns0:c r="V170" s="33" t="str">
        <ns0:v>Даташит — локальный</ns0:v>
      </ns0:c>
      <ns0:c r="W170" s="33" t="str">
        <ns0:v>C:\Users\Nomatin\Documents\Altium\MY_LIB\MY_LIB\Datasheets\Diodes\BZX84_Nexperia.pdf</ns0:v>
      </ns0:c>
      <ns0:c r="X170" s="33" t="str">
        <ns0:v>Даташит — производитель</ns0:v>
      </ns0:c>
      <ns0:c r="Y170" s="33" t="str">
        <ns0:v>https://assets.nexperia.com/documents/data-sheet/BZX84_SER.pdf</ns0:v>
      </ns0:c>
      <ns0:c r="Z170" s="33" t="str">
        <ns0:v>C:\Users\Nomatin\Documents\Altium\MY_LIB\MY_LIB\Datasheets\Diodes\BZX84_Nexperia.pdf</ns0:v>
      </ns0:c>
      <ns0:c r="AA170" s="33" t="str">
        <ns0:v>BZX84-B</ns0:v>
      </ns0:c>
      <ns0:c r="AB170" s="33" t="str">
        <ns0:v>Одиночный</ns0:v>
      </ns0:c>
      <ns0:c r="AC170" s="33" t="str">
        <ns0:v>1=A; 2=NC; 3=K</ns0:v>
      </ns0:c>
      <ns0:c r="AD170" s="33"/>
      <ns0:c r="AE170" s="33"/>
      <ns0:c r="AF170" s="33" t="n">
        <ns0:v>4.7</ns0:v>
      </ns0:c>
      <ns0:c r="AG170" s="33" t="n">
        <ns0:v>5</ns0:v>
      </ns0:c>
      <ns0:c r="AH170" s="33"/>
      <ns0:c r="AI170" s="33"/>
      <ns0:c r="AJ170" s="33" t="str">
        <ns0:v>250 мВт при TA≤25 °C, стандартное посадочное место на FR4; далее снижение мощности.</ns0:v>
      </ns0:c>
    </ns0:row>
    <ns0:row r="171" ht="60" customHeight="1">
      <ns0:c r="A171" s="33" t="str">
        <ns0:v>VD0170</ns0:v>
      </ns0:c>
      <ns0:c r="B171" s="33" t="str">
        <ns0:v>Стабилитрон</ns0:v>
      </ns0:c>
      <ns0:c r="C171" s="33" t="str">
        <ns0:v>BZX84-B5V1</ns0:v>
      </ns0:c>
      <ns0:c r="D171" s="34" t="str">
        <ns0:f>C171</ns0:f>
        <ns0:v>BZX84-B5V1</ns0:v>
      </ns0:c>
      <ns0:c r="E171" s="33" t="str">
        <ns0:v>±2%</ns0:v>
      </ns0:c>
      <ns0:c r="F171" s="33" t="str">
        <ns0:v>0,25 Вт</ns0:v>
      </ns0:c>
      <ns0:c r="G171" s="33" t="str">
        <ns0:v>5.1 В (Uст ном.)</ns0:v>
      </ns0:c>
      <ns0:c r="H171" s="35" t="str">
        <ns0:v>SOT-23</ns0:v>
      </ns0:c>
      <ns0:c r="I171" s="33" t="str">
        <ns0:v>Nexperia</ns0:v>
      </ns0:c>
      <ns0:c r="J171" s="33" t="str">
        <ns0:v>BZX84-B5V1</ns0:v>
      </ns0:c>
      <ns0:c r="K171" s="34" t="str">
        <ns0:f>B171&amp;" "&amp;J171</ns0:f>
        <ns0:v>Стабилитрон BZX84-B5V1</ns0:v>
      </ns0:c>
      <ns0:c r="L171" s="36" t="str">
        <ns0:v>Zener_1A3C</ns0:v>
      </ns0:c>
      <ns0:c r="M171" s="36" t="str">
        <ns0:v>Symbols\MY_LIB_Semiconductors.SchLib</ns0:v>
      </ns0:c>
      <ns0:c r="N171" s="36" t="str">
        <ns0:v>SOT23-3</ns0:v>
      </ns0:c>
      <ns0:c r="O171" s="36" t="str">
        <ns0:v>Footprints\PBL - SMD Packages.PcbLib</ns0:v>
      </ns0:c>
      <ns0:c r="P17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1" s="33"/>
      <ns0:c r="R171" s="34" t="str">
        <ns0:f>D171</ns0:f>
        <ns0:v>BZX84-B5V1</ns0:v>
      </ns0:c>
      <ns0:c r="S171" s="34" t="str">
        <ns0:f>K171</ns0:f>
        <ns0:v>Стабилитрон BZX84-B5V1</ns0:v>
      </ns0:c>
      <ns0:c r="T171" s="33" t="str">
        <ns0:v>C:\Users\Nomatin\Documents\Altium\MY_LIB\MY_LIB\Datasheets\Diodes\BZX84_Nexperia.pdf</ns0:v>
      </ns0:c>
      <ns0:c r="U171" s="33" t="str">
        <ns0:v>Rev. 7, 01-Jan-2023</ns0:v>
      </ns0:c>
      <ns0:c r="V171" s="33" t="str">
        <ns0:v>Даташит — локальный</ns0:v>
      </ns0:c>
      <ns0:c r="W171" s="33" t="str">
        <ns0:v>C:\Users\Nomatin\Documents\Altium\MY_LIB\MY_LIB\Datasheets\Diodes\BZX84_Nexperia.pdf</ns0:v>
      </ns0:c>
      <ns0:c r="X171" s="33" t="str">
        <ns0:v>Даташит — производитель</ns0:v>
      </ns0:c>
      <ns0:c r="Y171" s="33" t="str">
        <ns0:v>https://assets.nexperia.com/documents/data-sheet/BZX84_SER.pdf</ns0:v>
      </ns0:c>
      <ns0:c r="Z171" s="33" t="str">
        <ns0:v>C:\Users\Nomatin\Documents\Altium\MY_LIB\MY_LIB\Datasheets\Diodes\BZX84_Nexperia.pdf</ns0:v>
      </ns0:c>
      <ns0:c r="AA171" s="33" t="str">
        <ns0:v>BZX84-B</ns0:v>
      </ns0:c>
      <ns0:c r="AB171" s="33" t="str">
        <ns0:v>Одиночный</ns0:v>
      </ns0:c>
      <ns0:c r="AC171" s="33" t="str">
        <ns0:v>1=A; 2=NC; 3=K</ns0:v>
      </ns0:c>
      <ns0:c r="AD171" s="33"/>
      <ns0:c r="AE171" s="33"/>
      <ns0:c r="AF171" s="33" t="n">
        <ns0:v>5.1</ns0:v>
      </ns0:c>
      <ns0:c r="AG171" s="33" t="n">
        <ns0:v>5</ns0:v>
      </ns0:c>
      <ns0:c r="AH171" s="33"/>
      <ns0:c r="AI171" s="33"/>
      <ns0:c r="AJ171" s="33" t="str">
        <ns0:v>250 мВт при TA≤25 °C, стандартное посадочное место на FR4; далее снижение мощности.</ns0:v>
      </ns0:c>
    </ns0:row>
    <ns0:row r="172" ht="60" customHeight="1">
      <ns0:c r="A172" s="33" t="str">
        <ns0:v>VD0171</ns0:v>
      </ns0:c>
      <ns0:c r="B172" s="33" t="str">
        <ns0:v>Стабилитрон</ns0:v>
      </ns0:c>
      <ns0:c r="C172" s="33" t="str">
        <ns0:v>BZX84-B5V6</ns0:v>
      </ns0:c>
      <ns0:c r="D172" s="34" t="str">
        <ns0:f>C172</ns0:f>
        <ns0:v>BZX84-B5V6</ns0:v>
      </ns0:c>
      <ns0:c r="E172" s="33" t="str">
        <ns0:v>±2%</ns0:v>
      </ns0:c>
      <ns0:c r="F172" s="33" t="str">
        <ns0:v>0,25 Вт</ns0:v>
      </ns0:c>
      <ns0:c r="G172" s="33" t="str">
        <ns0:v>5.6 В (Uст ном.)</ns0:v>
      </ns0:c>
      <ns0:c r="H172" s="35" t="str">
        <ns0:v>SOT-23</ns0:v>
      </ns0:c>
      <ns0:c r="I172" s="33" t="str">
        <ns0:v>Nexperia</ns0:v>
      </ns0:c>
      <ns0:c r="J172" s="33" t="str">
        <ns0:v>BZX84-B5V6</ns0:v>
      </ns0:c>
      <ns0:c r="K172" s="34" t="str">
        <ns0:f>B172&amp;" "&amp;J172</ns0:f>
        <ns0:v>Стабилитрон BZX84-B5V6</ns0:v>
      </ns0:c>
      <ns0:c r="L172" s="36" t="str">
        <ns0:v>Zener_1A3C</ns0:v>
      </ns0:c>
      <ns0:c r="M172" s="36" t="str">
        <ns0:v>Symbols\MY_LIB_Semiconductors.SchLib</ns0:v>
      </ns0:c>
      <ns0:c r="N172" s="36" t="str">
        <ns0:v>SOT23-3</ns0:v>
      </ns0:c>
      <ns0:c r="O172" s="36" t="str">
        <ns0:v>Footprints\PBL - SMD Packages.PcbLib</ns0:v>
      </ns0:c>
      <ns0:c r="P17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2" s="33"/>
      <ns0:c r="R172" s="34" t="str">
        <ns0:f>D172</ns0:f>
        <ns0:v>BZX84-B5V6</ns0:v>
      </ns0:c>
      <ns0:c r="S172" s="34" t="str">
        <ns0:f>K172</ns0:f>
        <ns0:v>Стабилитрон BZX84-B5V6</ns0:v>
      </ns0:c>
      <ns0:c r="T172" s="33" t="str">
        <ns0:v>C:\Users\Nomatin\Documents\Altium\MY_LIB\MY_LIB\Datasheets\Diodes\BZX84_Nexperia.pdf</ns0:v>
      </ns0:c>
      <ns0:c r="U172" s="33" t="str">
        <ns0:v>Rev. 7, 01-Jan-2023</ns0:v>
      </ns0:c>
      <ns0:c r="V172" s="33" t="str">
        <ns0:v>Даташит — локальный</ns0:v>
      </ns0:c>
      <ns0:c r="W172" s="33" t="str">
        <ns0:v>C:\Users\Nomatin\Documents\Altium\MY_LIB\MY_LIB\Datasheets\Diodes\BZX84_Nexperia.pdf</ns0:v>
      </ns0:c>
      <ns0:c r="X172" s="33" t="str">
        <ns0:v>Даташит — производитель</ns0:v>
      </ns0:c>
      <ns0:c r="Y172" s="33" t="str">
        <ns0:v>https://assets.nexperia.com/documents/data-sheet/BZX84_SER.pdf</ns0:v>
      </ns0:c>
      <ns0:c r="Z172" s="33" t="str">
        <ns0:v>C:\Users\Nomatin\Documents\Altium\MY_LIB\MY_LIB\Datasheets\Diodes\BZX84_Nexperia.pdf</ns0:v>
      </ns0:c>
      <ns0:c r="AA172" s="33" t="str">
        <ns0:v>BZX84-B</ns0:v>
      </ns0:c>
      <ns0:c r="AB172" s="33" t="str">
        <ns0:v>Одиночный</ns0:v>
      </ns0:c>
      <ns0:c r="AC172" s="33" t="str">
        <ns0:v>1=A; 2=NC; 3=K</ns0:v>
      </ns0:c>
      <ns0:c r="AD172" s="33"/>
      <ns0:c r="AE172" s="33"/>
      <ns0:c r="AF172" s="33" t="n">
        <ns0:v>5.6</ns0:v>
      </ns0:c>
      <ns0:c r="AG172" s="33" t="n">
        <ns0:v>5</ns0:v>
      </ns0:c>
      <ns0:c r="AH172" s="33"/>
      <ns0:c r="AI172" s="33"/>
      <ns0:c r="AJ172" s="33" t="str">
        <ns0:v>250 мВт при TA≤25 °C, стандартное посадочное место на FR4; далее снижение мощности.</ns0:v>
      </ns0:c>
    </ns0:row>
    <ns0:row r="173" ht="60" customHeight="1">
      <ns0:c r="A173" s="33" t="str">
        <ns0:v>VD0172</ns0:v>
      </ns0:c>
      <ns0:c r="B173" s="33" t="str">
        <ns0:v>Стабилитрон</ns0:v>
      </ns0:c>
      <ns0:c r="C173" s="33" t="str">
        <ns0:v>BZX84-B6V2</ns0:v>
      </ns0:c>
      <ns0:c r="D173" s="34" t="str">
        <ns0:f>C173</ns0:f>
        <ns0:v>BZX84-B6V2</ns0:v>
      </ns0:c>
      <ns0:c r="E173" s="33" t="str">
        <ns0:v>±2%</ns0:v>
      </ns0:c>
      <ns0:c r="F173" s="33" t="str">
        <ns0:v>0,25 Вт</ns0:v>
      </ns0:c>
      <ns0:c r="G173" s="33" t="str">
        <ns0:v>6.2 В (Uст ном.)</ns0:v>
      </ns0:c>
      <ns0:c r="H173" s="35" t="str">
        <ns0:v>SOT-23</ns0:v>
      </ns0:c>
      <ns0:c r="I173" s="33" t="str">
        <ns0:v>Nexperia</ns0:v>
      </ns0:c>
      <ns0:c r="J173" s="33" t="str">
        <ns0:v>BZX84-B6V2</ns0:v>
      </ns0:c>
      <ns0:c r="K173" s="34" t="str">
        <ns0:f>B173&amp;" "&amp;J173</ns0:f>
        <ns0:v>Стабилитрон BZX84-B6V2</ns0:v>
      </ns0:c>
      <ns0:c r="L173" s="36" t="str">
        <ns0:v>Zener_1A3C</ns0:v>
      </ns0:c>
      <ns0:c r="M173" s="36" t="str">
        <ns0:v>Symbols\MY_LIB_Semiconductors.SchLib</ns0:v>
      </ns0:c>
      <ns0:c r="N173" s="36" t="str">
        <ns0:v>SOT23-3</ns0:v>
      </ns0:c>
      <ns0:c r="O173" s="36" t="str">
        <ns0:v>Footprints\PBL - SMD Packages.PcbLib</ns0:v>
      </ns0:c>
      <ns0:c r="P17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3" s="33"/>
      <ns0:c r="R173" s="34" t="str">
        <ns0:f>D173</ns0:f>
        <ns0:v>BZX84-B6V2</ns0:v>
      </ns0:c>
      <ns0:c r="S173" s="34" t="str">
        <ns0:f>K173</ns0:f>
        <ns0:v>Стабилитрон BZX84-B6V2</ns0:v>
      </ns0:c>
      <ns0:c r="T173" s="33" t="str">
        <ns0:v>C:\Users\Nomatin\Documents\Altium\MY_LIB\MY_LIB\Datasheets\Diodes\BZX84_Nexperia.pdf</ns0:v>
      </ns0:c>
      <ns0:c r="U173" s="33" t="str">
        <ns0:v>Rev. 7, 01-Jan-2023</ns0:v>
      </ns0:c>
      <ns0:c r="V173" s="33" t="str">
        <ns0:v>Даташит — локальный</ns0:v>
      </ns0:c>
      <ns0:c r="W173" s="33" t="str">
        <ns0:v>C:\Users\Nomatin\Documents\Altium\MY_LIB\MY_LIB\Datasheets\Diodes\BZX84_Nexperia.pdf</ns0:v>
      </ns0:c>
      <ns0:c r="X173" s="33" t="str">
        <ns0:v>Даташит — производитель</ns0:v>
      </ns0:c>
      <ns0:c r="Y173" s="33" t="str">
        <ns0:v>https://assets.nexperia.com/documents/data-sheet/BZX84_SER.pdf</ns0:v>
      </ns0:c>
      <ns0:c r="Z173" s="33" t="str">
        <ns0:v>C:\Users\Nomatin\Documents\Altium\MY_LIB\MY_LIB\Datasheets\Diodes\BZX84_Nexperia.pdf</ns0:v>
      </ns0:c>
      <ns0:c r="AA173" s="33" t="str">
        <ns0:v>BZX84-B</ns0:v>
      </ns0:c>
      <ns0:c r="AB173" s="33" t="str">
        <ns0:v>Одиночный</ns0:v>
      </ns0:c>
      <ns0:c r="AC173" s="33" t="str">
        <ns0:v>1=A; 2=NC; 3=K</ns0:v>
      </ns0:c>
      <ns0:c r="AD173" s="33"/>
      <ns0:c r="AE173" s="33"/>
      <ns0:c r="AF173" s="33" t="n">
        <ns0:v>6.2</ns0:v>
      </ns0:c>
      <ns0:c r="AG173" s="33" t="n">
        <ns0:v>5</ns0:v>
      </ns0:c>
      <ns0:c r="AH173" s="33"/>
      <ns0:c r="AI173" s="33"/>
      <ns0:c r="AJ173" s="33" t="str">
        <ns0:v>250 мВт при TA≤25 °C, стандартное посадочное место на FR4; далее снижение мощности.</ns0:v>
      </ns0:c>
    </ns0:row>
    <ns0:row r="174" ht="60" customHeight="1">
      <ns0:c r="A174" s="33" t="str">
        <ns0:v>VD0173</ns0:v>
      </ns0:c>
      <ns0:c r="B174" s="33" t="str">
        <ns0:v>Стабилитрон</ns0:v>
      </ns0:c>
      <ns0:c r="C174" s="33" t="str">
        <ns0:v>BZX84-B6V8</ns0:v>
      </ns0:c>
      <ns0:c r="D174" s="34" t="str">
        <ns0:f>C174</ns0:f>
        <ns0:v>BZX84-B6V8</ns0:v>
      </ns0:c>
      <ns0:c r="E174" s="33" t="str">
        <ns0:v>±2%</ns0:v>
      </ns0:c>
      <ns0:c r="F174" s="33" t="str">
        <ns0:v>0,25 Вт</ns0:v>
      </ns0:c>
      <ns0:c r="G174" s="33" t="str">
        <ns0:v>6.8 В (Uст ном.)</ns0:v>
      </ns0:c>
      <ns0:c r="H174" s="35" t="str">
        <ns0:v>SOT-23</ns0:v>
      </ns0:c>
      <ns0:c r="I174" s="33" t="str">
        <ns0:v>Nexperia</ns0:v>
      </ns0:c>
      <ns0:c r="J174" s="33" t="str">
        <ns0:v>BZX84-B6V8</ns0:v>
      </ns0:c>
      <ns0:c r="K174" s="34" t="str">
        <ns0:f>B174&amp;" "&amp;J174</ns0:f>
        <ns0:v>Стабилитрон BZX84-B6V8</ns0:v>
      </ns0:c>
      <ns0:c r="L174" s="36" t="str">
        <ns0:v>Zener_1A3C</ns0:v>
      </ns0:c>
      <ns0:c r="M174" s="36" t="str">
        <ns0:v>Symbols\MY_LIB_Semiconductors.SchLib</ns0:v>
      </ns0:c>
      <ns0:c r="N174" s="36" t="str">
        <ns0:v>SOT23-3</ns0:v>
      </ns0:c>
      <ns0:c r="O174" s="36" t="str">
        <ns0:v>Footprints\PBL - SMD Packages.PcbLib</ns0:v>
      </ns0:c>
      <ns0:c r="P17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4" s="33"/>
      <ns0:c r="R174" s="34" t="str">
        <ns0:f>D174</ns0:f>
        <ns0:v>BZX84-B6V8</ns0:v>
      </ns0:c>
      <ns0:c r="S174" s="34" t="str">
        <ns0:f>K174</ns0:f>
        <ns0:v>Стабилитрон BZX84-B6V8</ns0:v>
      </ns0:c>
      <ns0:c r="T174" s="33" t="str">
        <ns0:v>C:\Users\Nomatin\Documents\Altium\MY_LIB\MY_LIB\Datasheets\Diodes\BZX84_Nexperia.pdf</ns0:v>
      </ns0:c>
      <ns0:c r="U174" s="33" t="str">
        <ns0:v>Rev. 7, 01-Jan-2023</ns0:v>
      </ns0:c>
      <ns0:c r="V174" s="33" t="str">
        <ns0:v>Даташит — локальный</ns0:v>
      </ns0:c>
      <ns0:c r="W174" s="33" t="str">
        <ns0:v>C:\Users\Nomatin\Documents\Altium\MY_LIB\MY_LIB\Datasheets\Diodes\BZX84_Nexperia.pdf</ns0:v>
      </ns0:c>
      <ns0:c r="X174" s="33" t="str">
        <ns0:v>Даташит — производитель</ns0:v>
      </ns0:c>
      <ns0:c r="Y174" s="33" t="str">
        <ns0:v>https://assets.nexperia.com/documents/data-sheet/BZX84_SER.pdf</ns0:v>
      </ns0:c>
      <ns0:c r="Z174" s="33" t="str">
        <ns0:v>C:\Users\Nomatin\Documents\Altium\MY_LIB\MY_LIB\Datasheets\Diodes\BZX84_Nexperia.pdf</ns0:v>
      </ns0:c>
      <ns0:c r="AA174" s="33" t="str">
        <ns0:v>BZX84-B</ns0:v>
      </ns0:c>
      <ns0:c r="AB174" s="33" t="str">
        <ns0:v>Одиночный</ns0:v>
      </ns0:c>
      <ns0:c r="AC174" s="33" t="str">
        <ns0:v>1=A; 2=NC; 3=K</ns0:v>
      </ns0:c>
      <ns0:c r="AD174" s="33"/>
      <ns0:c r="AE174" s="33"/>
      <ns0:c r="AF174" s="33" t="n">
        <ns0:v>6.8</ns0:v>
      </ns0:c>
      <ns0:c r="AG174" s="33" t="n">
        <ns0:v>5</ns0:v>
      </ns0:c>
      <ns0:c r="AH174" s="33"/>
      <ns0:c r="AI174" s="33"/>
      <ns0:c r="AJ174" s="33" t="str">
        <ns0:v>250 мВт при TA≤25 °C, стандартное посадочное место на FR4; далее снижение мощности.</ns0:v>
      </ns0:c>
    </ns0:row>
    <ns0:row r="175" ht="60" customHeight="1">
      <ns0:c r="A175" s="33" t="str">
        <ns0:v>VD0174</ns0:v>
      </ns0:c>
      <ns0:c r="B175" s="33" t="str">
        <ns0:v>Стабилитрон</ns0:v>
      </ns0:c>
      <ns0:c r="C175" s="33" t="str">
        <ns0:v>BZX84-B7V5</ns0:v>
      </ns0:c>
      <ns0:c r="D175" s="34" t="str">
        <ns0:f>C175</ns0:f>
        <ns0:v>BZX84-B7V5</ns0:v>
      </ns0:c>
      <ns0:c r="E175" s="33" t="str">
        <ns0:v>±2%</ns0:v>
      </ns0:c>
      <ns0:c r="F175" s="33" t="str">
        <ns0:v>0,25 Вт</ns0:v>
      </ns0:c>
      <ns0:c r="G175" s="33" t="str">
        <ns0:v>7.5 В (Uст ном.)</ns0:v>
      </ns0:c>
      <ns0:c r="H175" s="35" t="str">
        <ns0:v>SOT-23</ns0:v>
      </ns0:c>
      <ns0:c r="I175" s="33" t="str">
        <ns0:v>Nexperia</ns0:v>
      </ns0:c>
      <ns0:c r="J175" s="33" t="str">
        <ns0:v>BZX84-B7V5</ns0:v>
      </ns0:c>
      <ns0:c r="K175" s="34" t="str">
        <ns0:f>B175&amp;" "&amp;J175</ns0:f>
        <ns0:v>Стабилитрон BZX84-B7V5</ns0:v>
      </ns0:c>
      <ns0:c r="L175" s="36" t="str">
        <ns0:v>Zener_1A3C</ns0:v>
      </ns0:c>
      <ns0:c r="M175" s="36" t="str">
        <ns0:v>Symbols\MY_LIB_Semiconductors.SchLib</ns0:v>
      </ns0:c>
      <ns0:c r="N175" s="36" t="str">
        <ns0:v>SOT23-3</ns0:v>
      </ns0:c>
      <ns0:c r="O175" s="36" t="str">
        <ns0:v>Footprints\PBL - SMD Packages.PcbLib</ns0:v>
      </ns0:c>
      <ns0:c r="P17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5" s="33"/>
      <ns0:c r="R175" s="34" t="str">
        <ns0:f>D175</ns0:f>
        <ns0:v>BZX84-B7V5</ns0:v>
      </ns0:c>
      <ns0:c r="S175" s="34" t="str">
        <ns0:f>K175</ns0:f>
        <ns0:v>Стабилитрон BZX84-B7V5</ns0:v>
      </ns0:c>
      <ns0:c r="T175" s="33" t="str">
        <ns0:v>C:\Users\Nomatin\Documents\Altium\MY_LIB\MY_LIB\Datasheets\Diodes\BZX84_Nexperia.pdf</ns0:v>
      </ns0:c>
      <ns0:c r="U175" s="33" t="str">
        <ns0:v>Rev. 7, 01-Jan-2023</ns0:v>
      </ns0:c>
      <ns0:c r="V175" s="33" t="str">
        <ns0:v>Даташит — локальный</ns0:v>
      </ns0:c>
      <ns0:c r="W175" s="33" t="str">
        <ns0:v>C:\Users\Nomatin\Documents\Altium\MY_LIB\MY_LIB\Datasheets\Diodes\BZX84_Nexperia.pdf</ns0:v>
      </ns0:c>
      <ns0:c r="X175" s="33" t="str">
        <ns0:v>Даташит — производитель</ns0:v>
      </ns0:c>
      <ns0:c r="Y175" s="33" t="str">
        <ns0:v>https://assets.nexperia.com/documents/data-sheet/BZX84_SER.pdf</ns0:v>
      </ns0:c>
      <ns0:c r="Z175" s="33" t="str">
        <ns0:v>C:\Users\Nomatin\Documents\Altium\MY_LIB\MY_LIB\Datasheets\Diodes\BZX84_Nexperia.pdf</ns0:v>
      </ns0:c>
      <ns0:c r="AA175" s="33" t="str">
        <ns0:v>BZX84-B</ns0:v>
      </ns0:c>
      <ns0:c r="AB175" s="33" t="str">
        <ns0:v>Одиночный</ns0:v>
      </ns0:c>
      <ns0:c r="AC175" s="33" t="str">
        <ns0:v>1=A; 2=NC; 3=K</ns0:v>
      </ns0:c>
      <ns0:c r="AD175" s="33"/>
      <ns0:c r="AE175" s="33"/>
      <ns0:c r="AF175" s="33" t="n">
        <ns0:v>7.5</ns0:v>
      </ns0:c>
      <ns0:c r="AG175" s="33" t="n">
        <ns0:v>5</ns0:v>
      </ns0:c>
      <ns0:c r="AH175" s="33"/>
      <ns0:c r="AI175" s="33"/>
      <ns0:c r="AJ175" s="33" t="str">
        <ns0:v>250 мВт при TA≤25 °C, стандартное посадочное место на FR4; далее снижение мощности.</ns0:v>
      </ns0:c>
    </ns0:row>
    <ns0:row r="176" ht="60" customHeight="1">
      <ns0:c r="A176" s="33" t="str">
        <ns0:v>VD0175</ns0:v>
      </ns0:c>
      <ns0:c r="B176" s="33" t="str">
        <ns0:v>Стабилитрон</ns0:v>
      </ns0:c>
      <ns0:c r="C176" s="33" t="str">
        <ns0:v>BZX84-B8V2</ns0:v>
      </ns0:c>
      <ns0:c r="D176" s="34" t="str">
        <ns0:f>C176</ns0:f>
        <ns0:v>BZX84-B8V2</ns0:v>
      </ns0:c>
      <ns0:c r="E176" s="33" t="str">
        <ns0:v>±2%</ns0:v>
      </ns0:c>
      <ns0:c r="F176" s="33" t="str">
        <ns0:v>0,25 Вт</ns0:v>
      </ns0:c>
      <ns0:c r="G176" s="33" t="str">
        <ns0:v>8.2 В (Uст ном.)</ns0:v>
      </ns0:c>
      <ns0:c r="H176" s="35" t="str">
        <ns0:v>SOT-23</ns0:v>
      </ns0:c>
      <ns0:c r="I176" s="33" t="str">
        <ns0:v>Nexperia</ns0:v>
      </ns0:c>
      <ns0:c r="J176" s="33" t="str">
        <ns0:v>BZX84-B8V2</ns0:v>
      </ns0:c>
      <ns0:c r="K176" s="34" t="str">
        <ns0:f>B176&amp;" "&amp;J176</ns0:f>
        <ns0:v>Стабилитрон BZX84-B8V2</ns0:v>
      </ns0:c>
      <ns0:c r="L176" s="36" t="str">
        <ns0:v>Zener_1A3C</ns0:v>
      </ns0:c>
      <ns0:c r="M176" s="36" t="str">
        <ns0:v>Symbols\MY_LIB_Semiconductors.SchLib</ns0:v>
      </ns0:c>
      <ns0:c r="N176" s="36" t="str">
        <ns0:v>SOT23-3</ns0:v>
      </ns0:c>
      <ns0:c r="O176" s="36" t="str">
        <ns0:v>Footprints\PBL - SMD Packages.PcbLib</ns0:v>
      </ns0:c>
      <ns0:c r="P17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6" s="33"/>
      <ns0:c r="R176" s="34" t="str">
        <ns0:f>D176</ns0:f>
        <ns0:v>BZX84-B8V2</ns0:v>
      </ns0:c>
      <ns0:c r="S176" s="34" t="str">
        <ns0:f>K176</ns0:f>
        <ns0:v>Стабилитрон BZX84-B8V2</ns0:v>
      </ns0:c>
      <ns0:c r="T176" s="33" t="str">
        <ns0:v>C:\Users\Nomatin\Documents\Altium\MY_LIB\MY_LIB\Datasheets\Diodes\BZX84_Nexperia.pdf</ns0:v>
      </ns0:c>
      <ns0:c r="U176" s="33" t="str">
        <ns0:v>Rev. 7, 01-Jan-2023</ns0:v>
      </ns0:c>
      <ns0:c r="V176" s="33" t="str">
        <ns0:v>Даташит — локальный</ns0:v>
      </ns0:c>
      <ns0:c r="W176" s="33" t="str">
        <ns0:v>C:\Users\Nomatin\Documents\Altium\MY_LIB\MY_LIB\Datasheets\Diodes\BZX84_Nexperia.pdf</ns0:v>
      </ns0:c>
      <ns0:c r="X176" s="33" t="str">
        <ns0:v>Даташит — производитель</ns0:v>
      </ns0:c>
      <ns0:c r="Y176" s="33" t="str">
        <ns0:v>https://assets.nexperia.com/documents/data-sheet/BZX84_SER.pdf</ns0:v>
      </ns0:c>
      <ns0:c r="Z176" s="33" t="str">
        <ns0:v>C:\Users\Nomatin\Documents\Altium\MY_LIB\MY_LIB\Datasheets\Diodes\BZX84_Nexperia.pdf</ns0:v>
      </ns0:c>
      <ns0:c r="AA176" s="33" t="str">
        <ns0:v>BZX84-B</ns0:v>
      </ns0:c>
      <ns0:c r="AB176" s="33" t="str">
        <ns0:v>Одиночный</ns0:v>
      </ns0:c>
      <ns0:c r="AC176" s="33" t="str">
        <ns0:v>1=A; 2=NC; 3=K</ns0:v>
      </ns0:c>
      <ns0:c r="AD176" s="33"/>
      <ns0:c r="AE176" s="33"/>
      <ns0:c r="AF176" s="33" t="n">
        <ns0:v>8.2</ns0:v>
      </ns0:c>
      <ns0:c r="AG176" s="33" t="n">
        <ns0:v>5</ns0:v>
      </ns0:c>
      <ns0:c r="AH176" s="33"/>
      <ns0:c r="AI176" s="33"/>
      <ns0:c r="AJ176" s="33" t="str">
        <ns0:v>250 мВт при TA≤25 °C, стандартное посадочное место на FR4; далее снижение мощности.</ns0:v>
      </ns0:c>
    </ns0:row>
    <ns0:row r="177" ht="60" customHeight="1">
      <ns0:c r="A177" s="33" t="str">
        <ns0:v>VD0176</ns0:v>
      </ns0:c>
      <ns0:c r="B177" s="33" t="str">
        <ns0:v>Стабилитрон</ns0:v>
      </ns0:c>
      <ns0:c r="C177" s="33" t="str">
        <ns0:v>BZX84-B9V1</ns0:v>
      </ns0:c>
      <ns0:c r="D177" s="34" t="str">
        <ns0:f>C177</ns0:f>
        <ns0:v>BZX84-B9V1</ns0:v>
      </ns0:c>
      <ns0:c r="E177" s="33" t="str">
        <ns0:v>±2%</ns0:v>
      </ns0:c>
      <ns0:c r="F177" s="33" t="str">
        <ns0:v>0,25 Вт</ns0:v>
      </ns0:c>
      <ns0:c r="G177" s="33" t="str">
        <ns0:v>9.1 В (Uст ном.)</ns0:v>
      </ns0:c>
      <ns0:c r="H177" s="35" t="str">
        <ns0:v>SOT-23</ns0:v>
      </ns0:c>
      <ns0:c r="I177" s="33" t="str">
        <ns0:v>Nexperia</ns0:v>
      </ns0:c>
      <ns0:c r="J177" s="33" t="str">
        <ns0:v>BZX84-B9V1</ns0:v>
      </ns0:c>
      <ns0:c r="K177" s="34" t="str">
        <ns0:f>B177&amp;" "&amp;J177</ns0:f>
        <ns0:v>Стабилитрон BZX84-B9V1</ns0:v>
      </ns0:c>
      <ns0:c r="L177" s="36" t="str">
        <ns0:v>Zener_1A3C</ns0:v>
      </ns0:c>
      <ns0:c r="M177" s="36" t="str">
        <ns0:v>Symbols\MY_LIB_Semiconductors.SchLib</ns0:v>
      </ns0:c>
      <ns0:c r="N177" s="36" t="str">
        <ns0:v>SOT23-3</ns0:v>
      </ns0:c>
      <ns0:c r="O177" s="36" t="str">
        <ns0:v>Footprints\PBL - SMD Packages.PcbLib</ns0:v>
      </ns0:c>
      <ns0:c r="P17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7" s="33"/>
      <ns0:c r="R177" s="34" t="str">
        <ns0:f>D177</ns0:f>
        <ns0:v>BZX84-B9V1</ns0:v>
      </ns0:c>
      <ns0:c r="S177" s="34" t="str">
        <ns0:f>K177</ns0:f>
        <ns0:v>Стабилитрон BZX84-B9V1</ns0:v>
      </ns0:c>
      <ns0:c r="T177" s="33" t="str">
        <ns0:v>C:\Users\Nomatin\Documents\Altium\MY_LIB\MY_LIB\Datasheets\Diodes\BZX84_Nexperia.pdf</ns0:v>
      </ns0:c>
      <ns0:c r="U177" s="33" t="str">
        <ns0:v>Rev. 7, 01-Jan-2023</ns0:v>
      </ns0:c>
      <ns0:c r="V177" s="33" t="str">
        <ns0:v>Даташит — локальный</ns0:v>
      </ns0:c>
      <ns0:c r="W177" s="33" t="str">
        <ns0:v>C:\Users\Nomatin\Documents\Altium\MY_LIB\MY_LIB\Datasheets\Diodes\BZX84_Nexperia.pdf</ns0:v>
      </ns0:c>
      <ns0:c r="X177" s="33" t="str">
        <ns0:v>Даташит — производитель</ns0:v>
      </ns0:c>
      <ns0:c r="Y177" s="33" t="str">
        <ns0:v>https://assets.nexperia.com/documents/data-sheet/BZX84_SER.pdf</ns0:v>
      </ns0:c>
      <ns0:c r="Z177" s="33" t="str">
        <ns0:v>C:\Users\Nomatin\Documents\Altium\MY_LIB\MY_LIB\Datasheets\Diodes\BZX84_Nexperia.pdf</ns0:v>
      </ns0:c>
      <ns0:c r="AA177" s="33" t="str">
        <ns0:v>BZX84-B</ns0:v>
      </ns0:c>
      <ns0:c r="AB177" s="33" t="str">
        <ns0:v>Одиночный</ns0:v>
      </ns0:c>
      <ns0:c r="AC177" s="33" t="str">
        <ns0:v>1=A; 2=NC; 3=K</ns0:v>
      </ns0:c>
      <ns0:c r="AD177" s="33"/>
      <ns0:c r="AE177" s="33"/>
      <ns0:c r="AF177" s="33" t="n">
        <ns0:v>9.1</ns0:v>
      </ns0:c>
      <ns0:c r="AG177" s="33" t="n">
        <ns0:v>5</ns0:v>
      </ns0:c>
      <ns0:c r="AH177" s="33"/>
      <ns0:c r="AI177" s="33"/>
      <ns0:c r="AJ177" s="33" t="str">
        <ns0:v>250 мВт при TA≤25 °C, стандартное посадочное место на FR4; далее снижение мощности.</ns0:v>
      </ns0:c>
    </ns0:row>
    <ns0:row r="178" ht="60" customHeight="1">
      <ns0:c r="A178" s="33" t="str">
        <ns0:v>VD0177</ns0:v>
      </ns0:c>
      <ns0:c r="B178" s="33" t="str">
        <ns0:v>Стабилитрон</ns0:v>
      </ns0:c>
      <ns0:c r="C178" s="33" t="str">
        <ns0:v>BZX84-B10</ns0:v>
      </ns0:c>
      <ns0:c r="D178" s="34" t="str">
        <ns0:f>C178</ns0:f>
        <ns0:v>BZX84-B10</ns0:v>
      </ns0:c>
      <ns0:c r="E178" s="33" t="str">
        <ns0:v>±2%</ns0:v>
      </ns0:c>
      <ns0:c r="F178" s="33" t="str">
        <ns0:v>0,25 Вт</ns0:v>
      </ns0:c>
      <ns0:c r="G178" s="33" t="str">
        <ns0:v>10 В (Uст ном.)</ns0:v>
      </ns0:c>
      <ns0:c r="H178" s="35" t="str">
        <ns0:v>SOT-23</ns0:v>
      </ns0:c>
      <ns0:c r="I178" s="33" t="str">
        <ns0:v>Nexperia</ns0:v>
      </ns0:c>
      <ns0:c r="J178" s="33" t="str">
        <ns0:v>BZX84-B10</ns0:v>
      </ns0:c>
      <ns0:c r="K178" s="34" t="str">
        <ns0:f>B178&amp;" "&amp;J178</ns0:f>
        <ns0:v>Стабилитрон BZX84-B10</ns0:v>
      </ns0:c>
      <ns0:c r="L178" s="36" t="str">
        <ns0:v>Zener_1A3C</ns0:v>
      </ns0:c>
      <ns0:c r="M178" s="36" t="str">
        <ns0:v>Symbols\MY_LIB_Semiconductors.SchLib</ns0:v>
      </ns0:c>
      <ns0:c r="N178" s="36" t="str">
        <ns0:v>SOT23-3</ns0:v>
      </ns0:c>
      <ns0:c r="O178" s="36" t="str">
        <ns0:v>Footprints\PBL - SMD Packages.PcbLib</ns0:v>
      </ns0:c>
      <ns0:c r="P17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8" s="33"/>
      <ns0:c r="R178" s="34" t="str">
        <ns0:f>D178</ns0:f>
        <ns0:v>BZX84-B10</ns0:v>
      </ns0:c>
      <ns0:c r="S178" s="34" t="str">
        <ns0:f>K178</ns0:f>
        <ns0:v>Стабилитрон BZX84-B10</ns0:v>
      </ns0:c>
      <ns0:c r="T178" s="33" t="str">
        <ns0:v>C:\Users\Nomatin\Documents\Altium\MY_LIB\MY_LIB\Datasheets\Diodes\BZX84_Nexperia.pdf</ns0:v>
      </ns0:c>
      <ns0:c r="U178" s="33" t="str">
        <ns0:v>Rev. 7, 01-Jan-2023</ns0:v>
      </ns0:c>
      <ns0:c r="V178" s="33" t="str">
        <ns0:v>Даташит — локальный</ns0:v>
      </ns0:c>
      <ns0:c r="W178" s="33" t="str">
        <ns0:v>C:\Users\Nomatin\Documents\Altium\MY_LIB\MY_LIB\Datasheets\Diodes\BZX84_Nexperia.pdf</ns0:v>
      </ns0:c>
      <ns0:c r="X178" s="33" t="str">
        <ns0:v>Даташит — производитель</ns0:v>
      </ns0:c>
      <ns0:c r="Y178" s="33" t="str">
        <ns0:v>https://assets.nexperia.com/documents/data-sheet/BZX84_SER.pdf</ns0:v>
      </ns0:c>
      <ns0:c r="Z178" s="33" t="str">
        <ns0:v>C:\Users\Nomatin\Documents\Altium\MY_LIB\MY_LIB\Datasheets\Diodes\BZX84_Nexperia.pdf</ns0:v>
      </ns0:c>
      <ns0:c r="AA178" s="33" t="str">
        <ns0:v>BZX84-B</ns0:v>
      </ns0:c>
      <ns0:c r="AB178" s="33" t="str">
        <ns0:v>Одиночный</ns0:v>
      </ns0:c>
      <ns0:c r="AC178" s="33" t="str">
        <ns0:v>1=A; 2=NC; 3=K</ns0:v>
      </ns0:c>
      <ns0:c r="AD178" s="33"/>
      <ns0:c r="AE178" s="33"/>
      <ns0:c r="AF178" s="33" t="n">
        <ns0:v>10</ns0:v>
      </ns0:c>
      <ns0:c r="AG178" s="33" t="n">
        <ns0:v>5</ns0:v>
      </ns0:c>
      <ns0:c r="AH178" s="33"/>
      <ns0:c r="AI178" s="33"/>
      <ns0:c r="AJ178" s="33" t="str">
        <ns0:v>250 мВт при TA≤25 °C, стандартное посадочное место на FR4; далее снижение мощности.</ns0:v>
      </ns0:c>
    </ns0:row>
    <ns0:row r="179" ht="60" customHeight="1">
      <ns0:c r="A179" s="33" t="str">
        <ns0:v>VD0178</ns0:v>
      </ns0:c>
      <ns0:c r="B179" s="33" t="str">
        <ns0:v>Стабилитрон</ns0:v>
      </ns0:c>
      <ns0:c r="C179" s="33" t="str">
        <ns0:v>BZX84-B11</ns0:v>
      </ns0:c>
      <ns0:c r="D179" s="34" t="str">
        <ns0:f>C179</ns0:f>
        <ns0:v>BZX84-B11</ns0:v>
      </ns0:c>
      <ns0:c r="E179" s="33" t="str">
        <ns0:v>±2%</ns0:v>
      </ns0:c>
      <ns0:c r="F179" s="33" t="str">
        <ns0:v>0,25 Вт</ns0:v>
      </ns0:c>
      <ns0:c r="G179" s="33" t="str">
        <ns0:v>11 В (Uст ном.)</ns0:v>
      </ns0:c>
      <ns0:c r="H179" s="35" t="str">
        <ns0:v>SOT-23</ns0:v>
      </ns0:c>
      <ns0:c r="I179" s="33" t="str">
        <ns0:v>Nexperia</ns0:v>
      </ns0:c>
      <ns0:c r="J179" s="33" t="str">
        <ns0:v>BZX84-B11</ns0:v>
      </ns0:c>
      <ns0:c r="K179" s="34" t="str">
        <ns0:f>B179&amp;" "&amp;J179</ns0:f>
        <ns0:v>Стабилитрон BZX84-B11</ns0:v>
      </ns0:c>
      <ns0:c r="L179" s="36" t="str">
        <ns0:v>Zener_1A3C</ns0:v>
      </ns0:c>
      <ns0:c r="M179" s="36" t="str">
        <ns0:v>Symbols\MY_LIB_Semiconductors.SchLib</ns0:v>
      </ns0:c>
      <ns0:c r="N179" s="36" t="str">
        <ns0:v>SOT23-3</ns0:v>
      </ns0:c>
      <ns0:c r="O179" s="36" t="str">
        <ns0:v>Footprints\PBL - SMD Packages.PcbLib</ns0:v>
      </ns0:c>
      <ns0:c r="P17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79" s="33"/>
      <ns0:c r="R179" s="34" t="str">
        <ns0:f>D179</ns0:f>
        <ns0:v>BZX84-B11</ns0:v>
      </ns0:c>
      <ns0:c r="S179" s="34" t="str">
        <ns0:f>K179</ns0:f>
        <ns0:v>Стабилитрон BZX84-B11</ns0:v>
      </ns0:c>
      <ns0:c r="T179" s="33" t="str">
        <ns0:v>C:\Users\Nomatin\Documents\Altium\MY_LIB\MY_LIB\Datasheets\Diodes\BZX84_Nexperia.pdf</ns0:v>
      </ns0:c>
      <ns0:c r="U179" s="33" t="str">
        <ns0:v>Rev. 7, 01-Jan-2023</ns0:v>
      </ns0:c>
      <ns0:c r="V179" s="33" t="str">
        <ns0:v>Даташит — локальный</ns0:v>
      </ns0:c>
      <ns0:c r="W179" s="33" t="str">
        <ns0:v>C:\Users\Nomatin\Documents\Altium\MY_LIB\MY_LIB\Datasheets\Diodes\BZX84_Nexperia.pdf</ns0:v>
      </ns0:c>
      <ns0:c r="X179" s="33" t="str">
        <ns0:v>Даташит — производитель</ns0:v>
      </ns0:c>
      <ns0:c r="Y179" s="33" t="str">
        <ns0:v>https://assets.nexperia.com/documents/data-sheet/BZX84_SER.pdf</ns0:v>
      </ns0:c>
      <ns0:c r="Z179" s="33" t="str">
        <ns0:v>C:\Users\Nomatin\Documents\Altium\MY_LIB\MY_LIB\Datasheets\Diodes\BZX84_Nexperia.pdf</ns0:v>
      </ns0:c>
      <ns0:c r="AA179" s="33" t="str">
        <ns0:v>BZX84-B</ns0:v>
      </ns0:c>
      <ns0:c r="AB179" s="33" t="str">
        <ns0:v>Одиночный</ns0:v>
      </ns0:c>
      <ns0:c r="AC179" s="33" t="str">
        <ns0:v>1=A; 2=NC; 3=K</ns0:v>
      </ns0:c>
      <ns0:c r="AD179" s="33"/>
      <ns0:c r="AE179" s="33"/>
      <ns0:c r="AF179" s="33" t="n">
        <ns0:v>11</ns0:v>
      </ns0:c>
      <ns0:c r="AG179" s="33" t="n">
        <ns0:v>5</ns0:v>
      </ns0:c>
      <ns0:c r="AH179" s="33"/>
      <ns0:c r="AI179" s="33"/>
      <ns0:c r="AJ179" s="33" t="str">
        <ns0:v>250 мВт при TA≤25 °C, стандартное посадочное место на FR4; далее снижение мощности.</ns0:v>
      </ns0:c>
    </ns0:row>
    <ns0:row r="180" ht="60" customHeight="1">
      <ns0:c r="A180" s="33" t="str">
        <ns0:v>VD0179</ns0:v>
      </ns0:c>
      <ns0:c r="B180" s="33" t="str">
        <ns0:v>Стабилитрон</ns0:v>
      </ns0:c>
      <ns0:c r="C180" s="33" t="str">
        <ns0:v>BZX84-B12</ns0:v>
      </ns0:c>
      <ns0:c r="D180" s="34" t="str">
        <ns0:f>C180</ns0:f>
        <ns0:v>BZX84-B12</ns0:v>
      </ns0:c>
      <ns0:c r="E180" s="33" t="str">
        <ns0:v>±2%</ns0:v>
      </ns0:c>
      <ns0:c r="F180" s="33" t="str">
        <ns0:v>0,25 Вт</ns0:v>
      </ns0:c>
      <ns0:c r="G180" s="33" t="str">
        <ns0:v>12 В (Uст ном.)</ns0:v>
      </ns0:c>
      <ns0:c r="H180" s="35" t="str">
        <ns0:v>SOT-23</ns0:v>
      </ns0:c>
      <ns0:c r="I180" s="33" t="str">
        <ns0:v>Nexperia</ns0:v>
      </ns0:c>
      <ns0:c r="J180" s="33" t="str">
        <ns0:v>BZX84-B12</ns0:v>
      </ns0:c>
      <ns0:c r="K180" s="34" t="str">
        <ns0:f>B180&amp;" "&amp;J180</ns0:f>
        <ns0:v>Стабилитрон BZX84-B12</ns0:v>
      </ns0:c>
      <ns0:c r="L180" s="36" t="str">
        <ns0:v>Zener_1A3C</ns0:v>
      </ns0:c>
      <ns0:c r="M180" s="36" t="str">
        <ns0:v>Symbols\MY_LIB_Semiconductors.SchLib</ns0:v>
      </ns0:c>
      <ns0:c r="N180" s="36" t="str">
        <ns0:v>SOT23-3</ns0:v>
      </ns0:c>
      <ns0:c r="O180" s="36" t="str">
        <ns0:v>Footprints\PBL - SMD Packages.PcbLib</ns0:v>
      </ns0:c>
      <ns0:c r="P18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0" s="33"/>
      <ns0:c r="R180" s="34" t="str">
        <ns0:f>D180</ns0:f>
        <ns0:v>BZX84-B12</ns0:v>
      </ns0:c>
      <ns0:c r="S180" s="34" t="str">
        <ns0:f>K180</ns0:f>
        <ns0:v>Стабилитрон BZX84-B12</ns0:v>
      </ns0:c>
      <ns0:c r="T180" s="33" t="str">
        <ns0:v>C:\Users\Nomatin\Documents\Altium\MY_LIB\MY_LIB\Datasheets\Diodes\BZX84_Nexperia.pdf</ns0:v>
      </ns0:c>
      <ns0:c r="U180" s="33" t="str">
        <ns0:v>Rev. 7, 01-Jan-2023</ns0:v>
      </ns0:c>
      <ns0:c r="V180" s="33" t="str">
        <ns0:v>Даташит — локальный</ns0:v>
      </ns0:c>
      <ns0:c r="W180" s="33" t="str">
        <ns0:v>C:\Users\Nomatin\Documents\Altium\MY_LIB\MY_LIB\Datasheets\Diodes\BZX84_Nexperia.pdf</ns0:v>
      </ns0:c>
      <ns0:c r="X180" s="33" t="str">
        <ns0:v>Даташит — производитель</ns0:v>
      </ns0:c>
      <ns0:c r="Y180" s="33" t="str">
        <ns0:v>https://assets.nexperia.com/documents/data-sheet/BZX84_SER.pdf</ns0:v>
      </ns0:c>
      <ns0:c r="Z180" s="33" t="str">
        <ns0:v>C:\Users\Nomatin\Documents\Altium\MY_LIB\MY_LIB\Datasheets\Diodes\BZX84_Nexperia.pdf</ns0:v>
      </ns0:c>
      <ns0:c r="AA180" s="33" t="str">
        <ns0:v>BZX84-B</ns0:v>
      </ns0:c>
      <ns0:c r="AB180" s="33" t="str">
        <ns0:v>Одиночный</ns0:v>
      </ns0:c>
      <ns0:c r="AC180" s="33" t="str">
        <ns0:v>1=A; 2=NC; 3=K</ns0:v>
      </ns0:c>
      <ns0:c r="AD180" s="33"/>
      <ns0:c r="AE180" s="33"/>
      <ns0:c r="AF180" s="33" t="n">
        <ns0:v>12</ns0:v>
      </ns0:c>
      <ns0:c r="AG180" s="33" t="n">
        <ns0:v>5</ns0:v>
      </ns0:c>
      <ns0:c r="AH180" s="33"/>
      <ns0:c r="AI180" s="33"/>
      <ns0:c r="AJ180" s="33" t="str">
        <ns0:v>250 мВт при TA≤25 °C, стандартное посадочное место на FR4; далее снижение мощности.</ns0:v>
      </ns0:c>
    </ns0:row>
    <ns0:row r="181" ht="60" customHeight="1">
      <ns0:c r="A181" s="33" t="str">
        <ns0:v>VD0180</ns0:v>
      </ns0:c>
      <ns0:c r="B181" s="33" t="str">
        <ns0:v>Стабилитрон</ns0:v>
      </ns0:c>
      <ns0:c r="C181" s="33" t="str">
        <ns0:v>BZX84-B13</ns0:v>
      </ns0:c>
      <ns0:c r="D181" s="34" t="str">
        <ns0:f>C181</ns0:f>
        <ns0:v>BZX84-B13</ns0:v>
      </ns0:c>
      <ns0:c r="E181" s="33" t="str">
        <ns0:v>±2%</ns0:v>
      </ns0:c>
      <ns0:c r="F181" s="33" t="str">
        <ns0:v>0,25 Вт</ns0:v>
      </ns0:c>
      <ns0:c r="G181" s="33" t="str">
        <ns0:v>13 В (Uст ном.)</ns0:v>
      </ns0:c>
      <ns0:c r="H181" s="35" t="str">
        <ns0:v>SOT-23</ns0:v>
      </ns0:c>
      <ns0:c r="I181" s="33" t="str">
        <ns0:v>Nexperia</ns0:v>
      </ns0:c>
      <ns0:c r="J181" s="33" t="str">
        <ns0:v>BZX84-B13</ns0:v>
      </ns0:c>
      <ns0:c r="K181" s="34" t="str">
        <ns0:f>B181&amp;" "&amp;J181</ns0:f>
        <ns0:v>Стабилитрон BZX84-B13</ns0:v>
      </ns0:c>
      <ns0:c r="L181" s="36" t="str">
        <ns0:v>Zener_1A3C</ns0:v>
      </ns0:c>
      <ns0:c r="M181" s="36" t="str">
        <ns0:v>Symbols\MY_LIB_Semiconductors.SchLib</ns0:v>
      </ns0:c>
      <ns0:c r="N181" s="36" t="str">
        <ns0:v>SOT23-3</ns0:v>
      </ns0:c>
      <ns0:c r="O181" s="36" t="str">
        <ns0:v>Footprints\PBL - SMD Packages.PcbLib</ns0:v>
      </ns0:c>
      <ns0:c r="P18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1" s="33"/>
      <ns0:c r="R181" s="34" t="str">
        <ns0:f>D181</ns0:f>
        <ns0:v>BZX84-B13</ns0:v>
      </ns0:c>
      <ns0:c r="S181" s="34" t="str">
        <ns0:f>K181</ns0:f>
        <ns0:v>Стабилитрон BZX84-B13</ns0:v>
      </ns0:c>
      <ns0:c r="T181" s="33" t="str">
        <ns0:v>C:\Users\Nomatin\Documents\Altium\MY_LIB\MY_LIB\Datasheets\Diodes\BZX84_Nexperia.pdf</ns0:v>
      </ns0:c>
      <ns0:c r="U181" s="33" t="str">
        <ns0:v>Rev. 7, 01-Jan-2023</ns0:v>
      </ns0:c>
      <ns0:c r="V181" s="33" t="str">
        <ns0:v>Даташит — локальный</ns0:v>
      </ns0:c>
      <ns0:c r="W181" s="33" t="str">
        <ns0:v>C:\Users\Nomatin\Documents\Altium\MY_LIB\MY_LIB\Datasheets\Diodes\BZX84_Nexperia.pdf</ns0:v>
      </ns0:c>
      <ns0:c r="X181" s="33" t="str">
        <ns0:v>Даташит — производитель</ns0:v>
      </ns0:c>
      <ns0:c r="Y181" s="33" t="str">
        <ns0:v>https://assets.nexperia.com/documents/data-sheet/BZX84_SER.pdf</ns0:v>
      </ns0:c>
      <ns0:c r="Z181" s="33" t="str">
        <ns0:v>C:\Users\Nomatin\Documents\Altium\MY_LIB\MY_LIB\Datasheets\Diodes\BZX84_Nexperia.pdf</ns0:v>
      </ns0:c>
      <ns0:c r="AA181" s="33" t="str">
        <ns0:v>BZX84-B</ns0:v>
      </ns0:c>
      <ns0:c r="AB181" s="33" t="str">
        <ns0:v>Одиночный</ns0:v>
      </ns0:c>
      <ns0:c r="AC181" s="33" t="str">
        <ns0:v>1=A; 2=NC; 3=K</ns0:v>
      </ns0:c>
      <ns0:c r="AD181" s="33"/>
      <ns0:c r="AE181" s="33"/>
      <ns0:c r="AF181" s="33" t="n">
        <ns0:v>13</ns0:v>
      </ns0:c>
      <ns0:c r="AG181" s="33" t="n">
        <ns0:v>5</ns0:v>
      </ns0:c>
      <ns0:c r="AH181" s="33"/>
      <ns0:c r="AI181" s="33"/>
      <ns0:c r="AJ181" s="33" t="str">
        <ns0:v>250 мВт при TA≤25 °C, стандартное посадочное место на FR4; далее снижение мощности.</ns0:v>
      </ns0:c>
    </ns0:row>
    <ns0:row r="182" ht="60" customHeight="1">
      <ns0:c r="A182" s="33" t="str">
        <ns0:v>VD0181</ns0:v>
      </ns0:c>
      <ns0:c r="B182" s="33" t="str">
        <ns0:v>Стабилитрон</ns0:v>
      </ns0:c>
      <ns0:c r="C182" s="33" t="str">
        <ns0:v>BZX84-B15</ns0:v>
      </ns0:c>
      <ns0:c r="D182" s="34" t="str">
        <ns0:f>C182</ns0:f>
        <ns0:v>BZX84-B15</ns0:v>
      </ns0:c>
      <ns0:c r="E182" s="33" t="str">
        <ns0:v>±2%</ns0:v>
      </ns0:c>
      <ns0:c r="F182" s="33" t="str">
        <ns0:v>0,25 Вт</ns0:v>
      </ns0:c>
      <ns0:c r="G182" s="33" t="str">
        <ns0:v>15 В (Uст ном.)</ns0:v>
      </ns0:c>
      <ns0:c r="H182" s="35" t="str">
        <ns0:v>SOT-23</ns0:v>
      </ns0:c>
      <ns0:c r="I182" s="33" t="str">
        <ns0:v>Nexperia</ns0:v>
      </ns0:c>
      <ns0:c r="J182" s="33" t="str">
        <ns0:v>BZX84-B15</ns0:v>
      </ns0:c>
      <ns0:c r="K182" s="34" t="str">
        <ns0:f>B182&amp;" "&amp;J182</ns0:f>
        <ns0:v>Стабилитрон BZX84-B15</ns0:v>
      </ns0:c>
      <ns0:c r="L182" s="36" t="str">
        <ns0:v>Zener_1A3C</ns0:v>
      </ns0:c>
      <ns0:c r="M182" s="36" t="str">
        <ns0:v>Symbols\MY_LIB_Semiconductors.SchLib</ns0:v>
      </ns0:c>
      <ns0:c r="N182" s="36" t="str">
        <ns0:v>SOT23-3</ns0:v>
      </ns0:c>
      <ns0:c r="O182" s="36" t="str">
        <ns0:v>Footprints\PBL - SMD Packages.PcbLib</ns0:v>
      </ns0:c>
      <ns0:c r="P18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2" s="33"/>
      <ns0:c r="R182" s="34" t="str">
        <ns0:f>D182</ns0:f>
        <ns0:v>BZX84-B15</ns0:v>
      </ns0:c>
      <ns0:c r="S182" s="34" t="str">
        <ns0:f>K182</ns0:f>
        <ns0:v>Стабилитрон BZX84-B15</ns0:v>
      </ns0:c>
      <ns0:c r="T182" s="33" t="str">
        <ns0:v>C:\Users\Nomatin\Documents\Altium\MY_LIB\MY_LIB\Datasheets\Diodes\BZX84_Nexperia.pdf</ns0:v>
      </ns0:c>
      <ns0:c r="U182" s="33" t="str">
        <ns0:v>Rev. 7, 01-Jan-2023</ns0:v>
      </ns0:c>
      <ns0:c r="V182" s="33" t="str">
        <ns0:v>Даташит — локальный</ns0:v>
      </ns0:c>
      <ns0:c r="W182" s="33" t="str">
        <ns0:v>C:\Users\Nomatin\Documents\Altium\MY_LIB\MY_LIB\Datasheets\Diodes\BZX84_Nexperia.pdf</ns0:v>
      </ns0:c>
      <ns0:c r="X182" s="33" t="str">
        <ns0:v>Даташит — производитель</ns0:v>
      </ns0:c>
      <ns0:c r="Y182" s="33" t="str">
        <ns0:v>https://assets.nexperia.com/documents/data-sheet/BZX84_SER.pdf</ns0:v>
      </ns0:c>
      <ns0:c r="Z182" s="33" t="str">
        <ns0:v>C:\Users\Nomatin\Documents\Altium\MY_LIB\MY_LIB\Datasheets\Diodes\BZX84_Nexperia.pdf</ns0:v>
      </ns0:c>
      <ns0:c r="AA182" s="33" t="str">
        <ns0:v>BZX84-B</ns0:v>
      </ns0:c>
      <ns0:c r="AB182" s="33" t="str">
        <ns0:v>Одиночный</ns0:v>
      </ns0:c>
      <ns0:c r="AC182" s="33" t="str">
        <ns0:v>1=A; 2=NC; 3=K</ns0:v>
      </ns0:c>
      <ns0:c r="AD182" s="33"/>
      <ns0:c r="AE182" s="33"/>
      <ns0:c r="AF182" s="33" t="n">
        <ns0:v>15</ns0:v>
      </ns0:c>
      <ns0:c r="AG182" s="33" t="n">
        <ns0:v>5</ns0:v>
      </ns0:c>
      <ns0:c r="AH182" s="33"/>
      <ns0:c r="AI182" s="33"/>
      <ns0:c r="AJ182" s="33" t="str">
        <ns0:v>250 мВт при TA≤25 °C, стандартное посадочное место на FR4; далее снижение мощности.</ns0:v>
      </ns0:c>
    </ns0:row>
    <ns0:row r="183" ht="60" customHeight="1">
      <ns0:c r="A183" s="33" t="str">
        <ns0:v>VD0182</ns0:v>
      </ns0:c>
      <ns0:c r="B183" s="33" t="str">
        <ns0:v>Стабилитрон</ns0:v>
      </ns0:c>
      <ns0:c r="C183" s="33" t="str">
        <ns0:v>BZX84-B16</ns0:v>
      </ns0:c>
      <ns0:c r="D183" s="34" t="str">
        <ns0:f>C183</ns0:f>
        <ns0:v>BZX84-B16</ns0:v>
      </ns0:c>
      <ns0:c r="E183" s="33" t="str">
        <ns0:v>±2%</ns0:v>
      </ns0:c>
      <ns0:c r="F183" s="33" t="str">
        <ns0:v>0,25 Вт</ns0:v>
      </ns0:c>
      <ns0:c r="G183" s="33" t="str">
        <ns0:v>16 В (Uст ном.)</ns0:v>
      </ns0:c>
      <ns0:c r="H183" s="35" t="str">
        <ns0:v>SOT-23</ns0:v>
      </ns0:c>
      <ns0:c r="I183" s="33" t="str">
        <ns0:v>Nexperia</ns0:v>
      </ns0:c>
      <ns0:c r="J183" s="33" t="str">
        <ns0:v>BZX84-B16</ns0:v>
      </ns0:c>
      <ns0:c r="K183" s="34" t="str">
        <ns0:f>B183&amp;" "&amp;J183</ns0:f>
        <ns0:v>Стабилитрон BZX84-B16</ns0:v>
      </ns0:c>
      <ns0:c r="L183" s="36" t="str">
        <ns0:v>Zener_1A3C</ns0:v>
      </ns0:c>
      <ns0:c r="M183" s="36" t="str">
        <ns0:v>Symbols\MY_LIB_Semiconductors.SchLib</ns0:v>
      </ns0:c>
      <ns0:c r="N183" s="36" t="str">
        <ns0:v>SOT23-3</ns0:v>
      </ns0:c>
      <ns0:c r="O183" s="36" t="str">
        <ns0:v>Footprints\PBL - SMD Packages.PcbLib</ns0:v>
      </ns0:c>
      <ns0:c r="P18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3" s="33"/>
      <ns0:c r="R183" s="34" t="str">
        <ns0:f>D183</ns0:f>
        <ns0:v>BZX84-B16</ns0:v>
      </ns0:c>
      <ns0:c r="S183" s="34" t="str">
        <ns0:f>K183</ns0:f>
        <ns0:v>Стабилитрон BZX84-B16</ns0:v>
      </ns0:c>
      <ns0:c r="T183" s="33" t="str">
        <ns0:v>C:\Users\Nomatin\Documents\Altium\MY_LIB\MY_LIB\Datasheets\Diodes\BZX84_Nexperia.pdf</ns0:v>
      </ns0:c>
      <ns0:c r="U183" s="33" t="str">
        <ns0:v>Rev. 7, 01-Jan-2023</ns0:v>
      </ns0:c>
      <ns0:c r="V183" s="33" t="str">
        <ns0:v>Даташит — локальный</ns0:v>
      </ns0:c>
      <ns0:c r="W183" s="33" t="str">
        <ns0:v>C:\Users\Nomatin\Documents\Altium\MY_LIB\MY_LIB\Datasheets\Diodes\BZX84_Nexperia.pdf</ns0:v>
      </ns0:c>
      <ns0:c r="X183" s="33" t="str">
        <ns0:v>Даташит — производитель</ns0:v>
      </ns0:c>
      <ns0:c r="Y183" s="33" t="str">
        <ns0:v>https://assets.nexperia.com/documents/data-sheet/BZX84_SER.pdf</ns0:v>
      </ns0:c>
      <ns0:c r="Z183" s="33" t="str">
        <ns0:v>C:\Users\Nomatin\Documents\Altium\MY_LIB\MY_LIB\Datasheets\Diodes\BZX84_Nexperia.pdf</ns0:v>
      </ns0:c>
      <ns0:c r="AA183" s="33" t="str">
        <ns0:v>BZX84-B</ns0:v>
      </ns0:c>
      <ns0:c r="AB183" s="33" t="str">
        <ns0:v>Одиночный</ns0:v>
      </ns0:c>
      <ns0:c r="AC183" s="33" t="str">
        <ns0:v>1=A; 2=NC; 3=K</ns0:v>
      </ns0:c>
      <ns0:c r="AD183" s="33"/>
      <ns0:c r="AE183" s="33"/>
      <ns0:c r="AF183" s="33" t="n">
        <ns0:v>16</ns0:v>
      </ns0:c>
      <ns0:c r="AG183" s="33" t="n">
        <ns0:v>5</ns0:v>
      </ns0:c>
      <ns0:c r="AH183" s="33"/>
      <ns0:c r="AI183" s="33"/>
      <ns0:c r="AJ183" s="33" t="str">
        <ns0:v>250 мВт при TA≤25 °C, стандартное посадочное место на FR4; далее снижение мощности.</ns0:v>
      </ns0:c>
    </ns0:row>
    <ns0:row r="184" ht="60" customHeight="1">
      <ns0:c r="A184" s="33" t="str">
        <ns0:v>VD0183</ns0:v>
      </ns0:c>
      <ns0:c r="B184" s="33" t="str">
        <ns0:v>Стабилитрон</ns0:v>
      </ns0:c>
      <ns0:c r="C184" s="33" t="str">
        <ns0:v>BZX84-B18</ns0:v>
      </ns0:c>
      <ns0:c r="D184" s="34" t="str">
        <ns0:f>C184</ns0:f>
        <ns0:v>BZX84-B18</ns0:v>
      </ns0:c>
      <ns0:c r="E184" s="33" t="str">
        <ns0:v>±2%</ns0:v>
      </ns0:c>
      <ns0:c r="F184" s="33" t="str">
        <ns0:v>0,25 Вт</ns0:v>
      </ns0:c>
      <ns0:c r="G184" s="33" t="str">
        <ns0:v>18 В (Uст ном.)</ns0:v>
      </ns0:c>
      <ns0:c r="H184" s="35" t="str">
        <ns0:v>SOT-23</ns0:v>
      </ns0:c>
      <ns0:c r="I184" s="33" t="str">
        <ns0:v>Nexperia</ns0:v>
      </ns0:c>
      <ns0:c r="J184" s="33" t="str">
        <ns0:v>BZX84-B18</ns0:v>
      </ns0:c>
      <ns0:c r="K184" s="34" t="str">
        <ns0:f>B184&amp;" "&amp;J184</ns0:f>
        <ns0:v>Стабилитрон BZX84-B18</ns0:v>
      </ns0:c>
      <ns0:c r="L184" s="36" t="str">
        <ns0:v>Zener_1A3C</ns0:v>
      </ns0:c>
      <ns0:c r="M184" s="36" t="str">
        <ns0:v>Symbols\MY_LIB_Semiconductors.SchLib</ns0:v>
      </ns0:c>
      <ns0:c r="N184" s="36" t="str">
        <ns0:v>SOT23-3</ns0:v>
      </ns0:c>
      <ns0:c r="O184" s="36" t="str">
        <ns0:v>Footprints\PBL - SMD Packages.PcbLib</ns0:v>
      </ns0:c>
      <ns0:c r="P18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4" s="33"/>
      <ns0:c r="R184" s="34" t="str">
        <ns0:f>D184</ns0:f>
        <ns0:v>BZX84-B18</ns0:v>
      </ns0:c>
      <ns0:c r="S184" s="34" t="str">
        <ns0:f>K184</ns0:f>
        <ns0:v>Стабилитрон BZX84-B18</ns0:v>
      </ns0:c>
      <ns0:c r="T184" s="33" t="str">
        <ns0:v>C:\Users\Nomatin\Documents\Altium\MY_LIB\MY_LIB\Datasheets\Diodes\BZX84_Nexperia.pdf</ns0:v>
      </ns0:c>
      <ns0:c r="U184" s="33" t="str">
        <ns0:v>Rev. 7, 01-Jan-2023</ns0:v>
      </ns0:c>
      <ns0:c r="V184" s="33" t="str">
        <ns0:v>Даташит — локальный</ns0:v>
      </ns0:c>
      <ns0:c r="W184" s="33" t="str">
        <ns0:v>C:\Users\Nomatin\Documents\Altium\MY_LIB\MY_LIB\Datasheets\Diodes\BZX84_Nexperia.pdf</ns0:v>
      </ns0:c>
      <ns0:c r="X184" s="33" t="str">
        <ns0:v>Даташит — производитель</ns0:v>
      </ns0:c>
      <ns0:c r="Y184" s="33" t="str">
        <ns0:v>https://assets.nexperia.com/documents/data-sheet/BZX84_SER.pdf</ns0:v>
      </ns0:c>
      <ns0:c r="Z184" s="33" t="str">
        <ns0:v>C:\Users\Nomatin\Documents\Altium\MY_LIB\MY_LIB\Datasheets\Diodes\BZX84_Nexperia.pdf</ns0:v>
      </ns0:c>
      <ns0:c r="AA184" s="33" t="str">
        <ns0:v>BZX84-B</ns0:v>
      </ns0:c>
      <ns0:c r="AB184" s="33" t="str">
        <ns0:v>Одиночный</ns0:v>
      </ns0:c>
      <ns0:c r="AC184" s="33" t="str">
        <ns0:v>1=A; 2=NC; 3=K</ns0:v>
      </ns0:c>
      <ns0:c r="AD184" s="33"/>
      <ns0:c r="AE184" s="33"/>
      <ns0:c r="AF184" s="33" t="n">
        <ns0:v>18</ns0:v>
      </ns0:c>
      <ns0:c r="AG184" s="33" t="n">
        <ns0:v>5</ns0:v>
      </ns0:c>
      <ns0:c r="AH184" s="33"/>
      <ns0:c r="AI184" s="33"/>
      <ns0:c r="AJ184" s="33" t="str">
        <ns0:v>250 мВт при TA≤25 °C, стандартное посадочное место на FR4; далее снижение мощности.</ns0:v>
      </ns0:c>
    </ns0:row>
    <ns0:row r="185" ht="60" customHeight="1">
      <ns0:c r="A185" s="33" t="str">
        <ns0:v>VD0184</ns0:v>
      </ns0:c>
      <ns0:c r="B185" s="33" t="str">
        <ns0:v>Стабилитрон</ns0:v>
      </ns0:c>
      <ns0:c r="C185" s="33" t="str">
        <ns0:v>BZX84-B20</ns0:v>
      </ns0:c>
      <ns0:c r="D185" s="34" t="str">
        <ns0:f>C185</ns0:f>
        <ns0:v>BZX84-B20</ns0:v>
      </ns0:c>
      <ns0:c r="E185" s="33" t="str">
        <ns0:v>±2%</ns0:v>
      </ns0:c>
      <ns0:c r="F185" s="33" t="str">
        <ns0:v>0,25 Вт</ns0:v>
      </ns0:c>
      <ns0:c r="G185" s="33" t="str">
        <ns0:v>20 В (Uст ном.)</ns0:v>
      </ns0:c>
      <ns0:c r="H185" s="35" t="str">
        <ns0:v>SOT-23</ns0:v>
      </ns0:c>
      <ns0:c r="I185" s="33" t="str">
        <ns0:v>Nexperia</ns0:v>
      </ns0:c>
      <ns0:c r="J185" s="33" t="str">
        <ns0:v>BZX84-B20</ns0:v>
      </ns0:c>
      <ns0:c r="K185" s="34" t="str">
        <ns0:f>B185&amp;" "&amp;J185</ns0:f>
        <ns0:v>Стабилитрон BZX84-B20</ns0:v>
      </ns0:c>
      <ns0:c r="L185" s="36" t="str">
        <ns0:v>Zener_1A3C</ns0:v>
      </ns0:c>
      <ns0:c r="M185" s="36" t="str">
        <ns0:v>Symbols\MY_LIB_Semiconductors.SchLib</ns0:v>
      </ns0:c>
      <ns0:c r="N185" s="36" t="str">
        <ns0:v>SOT23-3</ns0:v>
      </ns0:c>
      <ns0:c r="O185" s="36" t="str">
        <ns0:v>Footprints\PBL - SMD Packages.PcbLib</ns0:v>
      </ns0:c>
      <ns0:c r="P18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5" s="33"/>
      <ns0:c r="R185" s="34" t="str">
        <ns0:f>D185</ns0:f>
        <ns0:v>BZX84-B20</ns0:v>
      </ns0:c>
      <ns0:c r="S185" s="34" t="str">
        <ns0:f>K185</ns0:f>
        <ns0:v>Стабилитрон BZX84-B20</ns0:v>
      </ns0:c>
      <ns0:c r="T185" s="33" t="str">
        <ns0:v>C:\Users\Nomatin\Documents\Altium\MY_LIB\MY_LIB\Datasheets\Diodes\BZX84_Nexperia.pdf</ns0:v>
      </ns0:c>
      <ns0:c r="U185" s="33" t="str">
        <ns0:v>Rev. 7, 01-Jan-2023</ns0:v>
      </ns0:c>
      <ns0:c r="V185" s="33" t="str">
        <ns0:v>Даташит — локальный</ns0:v>
      </ns0:c>
      <ns0:c r="W185" s="33" t="str">
        <ns0:v>C:\Users\Nomatin\Documents\Altium\MY_LIB\MY_LIB\Datasheets\Diodes\BZX84_Nexperia.pdf</ns0:v>
      </ns0:c>
      <ns0:c r="X185" s="33" t="str">
        <ns0:v>Даташит — производитель</ns0:v>
      </ns0:c>
      <ns0:c r="Y185" s="33" t="str">
        <ns0:v>https://assets.nexperia.com/documents/data-sheet/BZX84_SER.pdf</ns0:v>
      </ns0:c>
      <ns0:c r="Z185" s="33" t="str">
        <ns0:v>C:\Users\Nomatin\Documents\Altium\MY_LIB\MY_LIB\Datasheets\Diodes\BZX84_Nexperia.pdf</ns0:v>
      </ns0:c>
      <ns0:c r="AA185" s="33" t="str">
        <ns0:v>BZX84-B</ns0:v>
      </ns0:c>
      <ns0:c r="AB185" s="33" t="str">
        <ns0:v>Одиночный</ns0:v>
      </ns0:c>
      <ns0:c r="AC185" s="33" t="str">
        <ns0:v>1=A; 2=NC; 3=K</ns0:v>
      </ns0:c>
      <ns0:c r="AD185" s="33"/>
      <ns0:c r="AE185" s="33"/>
      <ns0:c r="AF185" s="33" t="n">
        <ns0:v>20</ns0:v>
      </ns0:c>
      <ns0:c r="AG185" s="33" t="n">
        <ns0:v>5</ns0:v>
      </ns0:c>
      <ns0:c r="AH185" s="33"/>
      <ns0:c r="AI185" s="33"/>
      <ns0:c r="AJ185" s="33" t="str">
        <ns0:v>250 мВт при TA≤25 °C, стандартное посадочное место на FR4; далее снижение мощности.</ns0:v>
      </ns0:c>
    </ns0:row>
    <ns0:row r="186" ht="60" customHeight="1">
      <ns0:c r="A186" s="33" t="str">
        <ns0:v>VD0185</ns0:v>
      </ns0:c>
      <ns0:c r="B186" s="33" t="str">
        <ns0:v>Стабилитрон</ns0:v>
      </ns0:c>
      <ns0:c r="C186" s="33" t="str">
        <ns0:v>BZX84-B22</ns0:v>
      </ns0:c>
      <ns0:c r="D186" s="34" t="str">
        <ns0:f>C186</ns0:f>
        <ns0:v>BZX84-B22</ns0:v>
      </ns0:c>
      <ns0:c r="E186" s="33" t="str">
        <ns0:v>±2%</ns0:v>
      </ns0:c>
      <ns0:c r="F186" s="33" t="str">
        <ns0:v>0,25 Вт</ns0:v>
      </ns0:c>
      <ns0:c r="G186" s="33" t="str">
        <ns0:v>22 В (Uст ном.)</ns0:v>
      </ns0:c>
      <ns0:c r="H186" s="35" t="str">
        <ns0:v>SOT-23</ns0:v>
      </ns0:c>
      <ns0:c r="I186" s="33" t="str">
        <ns0:v>Nexperia</ns0:v>
      </ns0:c>
      <ns0:c r="J186" s="33" t="str">
        <ns0:v>BZX84-B22</ns0:v>
      </ns0:c>
      <ns0:c r="K186" s="34" t="str">
        <ns0:f>B186&amp;" "&amp;J186</ns0:f>
        <ns0:v>Стабилитрон BZX84-B22</ns0:v>
      </ns0:c>
      <ns0:c r="L186" s="36" t="str">
        <ns0:v>Zener_1A3C</ns0:v>
      </ns0:c>
      <ns0:c r="M186" s="36" t="str">
        <ns0:v>Symbols\MY_LIB_Semiconductors.SchLib</ns0:v>
      </ns0:c>
      <ns0:c r="N186" s="36" t="str">
        <ns0:v>SOT23-3</ns0:v>
      </ns0:c>
      <ns0:c r="O186" s="36" t="str">
        <ns0:v>Footprints\PBL - SMD Packages.PcbLib</ns0:v>
      </ns0:c>
      <ns0:c r="P18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6" s="33"/>
      <ns0:c r="R186" s="34" t="str">
        <ns0:f>D186</ns0:f>
        <ns0:v>BZX84-B22</ns0:v>
      </ns0:c>
      <ns0:c r="S186" s="34" t="str">
        <ns0:f>K186</ns0:f>
        <ns0:v>Стабилитрон BZX84-B22</ns0:v>
      </ns0:c>
      <ns0:c r="T186" s="33" t="str">
        <ns0:v>C:\Users\Nomatin\Documents\Altium\MY_LIB\MY_LIB\Datasheets\Diodes\BZX84_Nexperia.pdf</ns0:v>
      </ns0:c>
      <ns0:c r="U186" s="33" t="str">
        <ns0:v>Rev. 7, 01-Jan-2023</ns0:v>
      </ns0:c>
      <ns0:c r="V186" s="33" t="str">
        <ns0:v>Даташит — локальный</ns0:v>
      </ns0:c>
      <ns0:c r="W186" s="33" t="str">
        <ns0:v>C:\Users\Nomatin\Documents\Altium\MY_LIB\MY_LIB\Datasheets\Diodes\BZX84_Nexperia.pdf</ns0:v>
      </ns0:c>
      <ns0:c r="X186" s="33" t="str">
        <ns0:v>Даташит — производитель</ns0:v>
      </ns0:c>
      <ns0:c r="Y186" s="33" t="str">
        <ns0:v>https://assets.nexperia.com/documents/data-sheet/BZX84_SER.pdf</ns0:v>
      </ns0:c>
      <ns0:c r="Z186" s="33" t="str">
        <ns0:v>C:\Users\Nomatin\Documents\Altium\MY_LIB\MY_LIB\Datasheets\Diodes\BZX84_Nexperia.pdf</ns0:v>
      </ns0:c>
      <ns0:c r="AA186" s="33" t="str">
        <ns0:v>BZX84-B</ns0:v>
      </ns0:c>
      <ns0:c r="AB186" s="33" t="str">
        <ns0:v>Одиночный</ns0:v>
      </ns0:c>
      <ns0:c r="AC186" s="33" t="str">
        <ns0:v>1=A; 2=NC; 3=K</ns0:v>
      </ns0:c>
      <ns0:c r="AD186" s="33"/>
      <ns0:c r="AE186" s="33"/>
      <ns0:c r="AF186" s="33" t="n">
        <ns0:v>22</ns0:v>
      </ns0:c>
      <ns0:c r="AG186" s="33" t="n">
        <ns0:v>5</ns0:v>
      </ns0:c>
      <ns0:c r="AH186" s="33"/>
      <ns0:c r="AI186" s="33"/>
      <ns0:c r="AJ186" s="33" t="str">
        <ns0:v>250 мВт при TA≤25 °C, стандартное посадочное место на FR4; далее снижение мощности.</ns0:v>
      </ns0:c>
    </ns0:row>
    <ns0:row r="187" ht="60" customHeight="1">
      <ns0:c r="A187" s="33" t="str">
        <ns0:v>VD0186</ns0:v>
      </ns0:c>
      <ns0:c r="B187" s="33" t="str">
        <ns0:v>Стабилитрон</ns0:v>
      </ns0:c>
      <ns0:c r="C187" s="33" t="str">
        <ns0:v>BZX84-B24</ns0:v>
      </ns0:c>
      <ns0:c r="D187" s="34" t="str">
        <ns0:f>C187</ns0:f>
        <ns0:v>BZX84-B24</ns0:v>
      </ns0:c>
      <ns0:c r="E187" s="33" t="str">
        <ns0:v>±2%</ns0:v>
      </ns0:c>
      <ns0:c r="F187" s="33" t="str">
        <ns0:v>0,25 Вт</ns0:v>
      </ns0:c>
      <ns0:c r="G187" s="33" t="str">
        <ns0:v>24 В (Uст ном.)</ns0:v>
      </ns0:c>
      <ns0:c r="H187" s="35" t="str">
        <ns0:v>SOT-23</ns0:v>
      </ns0:c>
      <ns0:c r="I187" s="33" t="str">
        <ns0:v>Nexperia</ns0:v>
      </ns0:c>
      <ns0:c r="J187" s="33" t="str">
        <ns0:v>BZX84-B24</ns0:v>
      </ns0:c>
      <ns0:c r="K187" s="34" t="str">
        <ns0:f>B187&amp;" "&amp;J187</ns0:f>
        <ns0:v>Стабилитрон BZX84-B24</ns0:v>
      </ns0:c>
      <ns0:c r="L187" s="36" t="str">
        <ns0:v>Zener_1A3C</ns0:v>
      </ns0:c>
      <ns0:c r="M187" s="36" t="str">
        <ns0:v>Symbols\MY_LIB_Semiconductors.SchLib</ns0:v>
      </ns0:c>
      <ns0:c r="N187" s="36" t="str">
        <ns0:v>SOT23-3</ns0:v>
      </ns0:c>
      <ns0:c r="O187" s="36" t="str">
        <ns0:v>Footprints\PBL - SMD Packages.PcbLib</ns0:v>
      </ns0:c>
      <ns0:c r="P18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7" s="33"/>
      <ns0:c r="R187" s="34" t="str">
        <ns0:f>D187</ns0:f>
        <ns0:v>BZX84-B24</ns0:v>
      </ns0:c>
      <ns0:c r="S187" s="34" t="str">
        <ns0:f>K187</ns0:f>
        <ns0:v>Стабилитрон BZX84-B24</ns0:v>
      </ns0:c>
      <ns0:c r="T187" s="33" t="str">
        <ns0:v>C:\Users\Nomatin\Documents\Altium\MY_LIB\MY_LIB\Datasheets\Diodes\BZX84_Nexperia.pdf</ns0:v>
      </ns0:c>
      <ns0:c r="U187" s="33" t="str">
        <ns0:v>Rev. 7, 01-Jan-2023</ns0:v>
      </ns0:c>
      <ns0:c r="V187" s="33" t="str">
        <ns0:v>Даташит — локальный</ns0:v>
      </ns0:c>
      <ns0:c r="W187" s="33" t="str">
        <ns0:v>C:\Users\Nomatin\Documents\Altium\MY_LIB\MY_LIB\Datasheets\Diodes\BZX84_Nexperia.pdf</ns0:v>
      </ns0:c>
      <ns0:c r="X187" s="33" t="str">
        <ns0:v>Даташит — производитель</ns0:v>
      </ns0:c>
      <ns0:c r="Y187" s="33" t="str">
        <ns0:v>https://assets.nexperia.com/documents/data-sheet/BZX84_SER.pdf</ns0:v>
      </ns0:c>
      <ns0:c r="Z187" s="33" t="str">
        <ns0:v>C:\Users\Nomatin\Documents\Altium\MY_LIB\MY_LIB\Datasheets\Diodes\BZX84_Nexperia.pdf</ns0:v>
      </ns0:c>
      <ns0:c r="AA187" s="33" t="str">
        <ns0:v>BZX84-B</ns0:v>
      </ns0:c>
      <ns0:c r="AB187" s="33" t="str">
        <ns0:v>Одиночный</ns0:v>
      </ns0:c>
      <ns0:c r="AC187" s="33" t="str">
        <ns0:v>1=A; 2=NC; 3=K</ns0:v>
      </ns0:c>
      <ns0:c r="AD187" s="33"/>
      <ns0:c r="AE187" s="33"/>
      <ns0:c r="AF187" s="33" t="n">
        <ns0:v>24</ns0:v>
      </ns0:c>
      <ns0:c r="AG187" s="33" t="n">
        <ns0:v>5</ns0:v>
      </ns0:c>
      <ns0:c r="AH187" s="33"/>
      <ns0:c r="AI187" s="33"/>
      <ns0:c r="AJ187" s="33" t="str">
        <ns0:v>250 мВт при TA≤25 °C, стандартное посадочное место на FR4; далее снижение мощности.</ns0:v>
      </ns0:c>
    </ns0:row>
    <ns0:row r="188" ht="60" customHeight="1">
      <ns0:c r="A188" s="33" t="str">
        <ns0:v>VD0187</ns0:v>
      </ns0:c>
      <ns0:c r="B188" s="33" t="str">
        <ns0:v>Стабилитрон</ns0:v>
      </ns0:c>
      <ns0:c r="C188" s="33" t="str">
        <ns0:v>BZX84-B27</ns0:v>
      </ns0:c>
      <ns0:c r="D188" s="34" t="str">
        <ns0:f>C188</ns0:f>
        <ns0:v>BZX84-B27</ns0:v>
      </ns0:c>
      <ns0:c r="E188" s="33" t="str">
        <ns0:v>±2%</ns0:v>
      </ns0:c>
      <ns0:c r="F188" s="33" t="str">
        <ns0:v>0,25 Вт</ns0:v>
      </ns0:c>
      <ns0:c r="G188" s="33" t="str">
        <ns0:v>27 В (Uст ном.)</ns0:v>
      </ns0:c>
      <ns0:c r="H188" s="35" t="str">
        <ns0:v>SOT-23</ns0:v>
      </ns0:c>
      <ns0:c r="I188" s="33" t="str">
        <ns0:v>Nexperia</ns0:v>
      </ns0:c>
      <ns0:c r="J188" s="33" t="str">
        <ns0:v>BZX84-B27</ns0:v>
      </ns0:c>
      <ns0:c r="K188" s="34" t="str">
        <ns0:f>B188&amp;" "&amp;J188</ns0:f>
        <ns0:v>Стабилитрон BZX84-B27</ns0:v>
      </ns0:c>
      <ns0:c r="L188" s="36" t="str">
        <ns0:v>Zener_1A3C</ns0:v>
      </ns0:c>
      <ns0:c r="M188" s="36" t="str">
        <ns0:v>Symbols\MY_LIB_Semiconductors.SchLib</ns0:v>
      </ns0:c>
      <ns0:c r="N188" s="36" t="str">
        <ns0:v>SOT23-3</ns0:v>
      </ns0:c>
      <ns0:c r="O188" s="36" t="str">
        <ns0:v>Footprints\PBL - SMD Packages.PcbLib</ns0:v>
      </ns0:c>
      <ns0:c r="P18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8" s="33"/>
      <ns0:c r="R188" s="34" t="str">
        <ns0:f>D188</ns0:f>
        <ns0:v>BZX84-B27</ns0:v>
      </ns0:c>
      <ns0:c r="S188" s="34" t="str">
        <ns0:f>K188</ns0:f>
        <ns0:v>Стабилитрон BZX84-B27</ns0:v>
      </ns0:c>
      <ns0:c r="T188" s="33" t="str">
        <ns0:v>C:\Users\Nomatin\Documents\Altium\MY_LIB\MY_LIB\Datasheets\Diodes\BZX84_Nexperia.pdf</ns0:v>
      </ns0:c>
      <ns0:c r="U188" s="33" t="str">
        <ns0:v>Rev. 7, 01-Jan-2023</ns0:v>
      </ns0:c>
      <ns0:c r="V188" s="33" t="str">
        <ns0:v>Даташит — локальный</ns0:v>
      </ns0:c>
      <ns0:c r="W188" s="33" t="str">
        <ns0:v>C:\Users\Nomatin\Documents\Altium\MY_LIB\MY_LIB\Datasheets\Diodes\BZX84_Nexperia.pdf</ns0:v>
      </ns0:c>
      <ns0:c r="X188" s="33" t="str">
        <ns0:v>Даташит — производитель</ns0:v>
      </ns0:c>
      <ns0:c r="Y188" s="33" t="str">
        <ns0:v>https://assets.nexperia.com/documents/data-sheet/BZX84_SER.pdf</ns0:v>
      </ns0:c>
      <ns0:c r="Z188" s="33" t="str">
        <ns0:v>C:\Users\Nomatin\Documents\Altium\MY_LIB\MY_LIB\Datasheets\Diodes\BZX84_Nexperia.pdf</ns0:v>
      </ns0:c>
      <ns0:c r="AA188" s="33" t="str">
        <ns0:v>BZX84-B</ns0:v>
      </ns0:c>
      <ns0:c r="AB188" s="33" t="str">
        <ns0:v>Одиночный</ns0:v>
      </ns0:c>
      <ns0:c r="AC188" s="33" t="str">
        <ns0:v>1=A; 2=NC; 3=K</ns0:v>
      </ns0:c>
      <ns0:c r="AD188" s="33"/>
      <ns0:c r="AE188" s="33"/>
      <ns0:c r="AF188" s="33" t="n">
        <ns0:v>27</ns0:v>
      </ns0:c>
      <ns0:c r="AG188" s="33" t="n">
        <ns0:v>2</ns0:v>
      </ns0:c>
      <ns0:c r="AH188" s="33"/>
      <ns0:c r="AI188" s="33"/>
      <ns0:c r="AJ188" s="33" t="str">
        <ns0:v>250 мВт при TA≤25 °C, стандартное посадочное место на FR4; далее снижение мощности.</ns0:v>
      </ns0:c>
    </ns0:row>
    <ns0:row r="189" ht="60" customHeight="1">
      <ns0:c r="A189" s="33" t="str">
        <ns0:v>VD0188</ns0:v>
      </ns0:c>
      <ns0:c r="B189" s="33" t="str">
        <ns0:v>Стабилитрон</ns0:v>
      </ns0:c>
      <ns0:c r="C189" s="33" t="str">
        <ns0:v>BZX84-B30</ns0:v>
      </ns0:c>
      <ns0:c r="D189" s="34" t="str">
        <ns0:f>C189</ns0:f>
        <ns0:v>BZX84-B30</ns0:v>
      </ns0:c>
      <ns0:c r="E189" s="33" t="str">
        <ns0:v>±2%</ns0:v>
      </ns0:c>
      <ns0:c r="F189" s="33" t="str">
        <ns0:v>0,25 Вт</ns0:v>
      </ns0:c>
      <ns0:c r="G189" s="33" t="str">
        <ns0:v>30 В (Uст ном.)</ns0:v>
      </ns0:c>
      <ns0:c r="H189" s="35" t="str">
        <ns0:v>SOT-23</ns0:v>
      </ns0:c>
      <ns0:c r="I189" s="33" t="str">
        <ns0:v>Nexperia</ns0:v>
      </ns0:c>
      <ns0:c r="J189" s="33" t="str">
        <ns0:v>BZX84-B30</ns0:v>
      </ns0:c>
      <ns0:c r="K189" s="34" t="str">
        <ns0:f>B189&amp;" "&amp;J189</ns0:f>
        <ns0:v>Стабилитрон BZX84-B30</ns0:v>
      </ns0:c>
      <ns0:c r="L189" s="36" t="str">
        <ns0:v>Zener_1A3C</ns0:v>
      </ns0:c>
      <ns0:c r="M189" s="36" t="str">
        <ns0:v>Symbols\MY_LIB_Semiconductors.SchLib</ns0:v>
      </ns0:c>
      <ns0:c r="N189" s="36" t="str">
        <ns0:v>SOT23-3</ns0:v>
      </ns0:c>
      <ns0:c r="O189" s="36" t="str">
        <ns0:v>Footprints\PBL - SMD Packages.PcbLib</ns0:v>
      </ns0:c>
      <ns0:c r="P18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89" s="33"/>
      <ns0:c r="R189" s="34" t="str">
        <ns0:f>D189</ns0:f>
        <ns0:v>BZX84-B30</ns0:v>
      </ns0:c>
      <ns0:c r="S189" s="34" t="str">
        <ns0:f>K189</ns0:f>
        <ns0:v>Стабилитрон BZX84-B30</ns0:v>
      </ns0:c>
      <ns0:c r="T189" s="33" t="str">
        <ns0:v>C:\Users\Nomatin\Documents\Altium\MY_LIB\MY_LIB\Datasheets\Diodes\BZX84_Nexperia.pdf</ns0:v>
      </ns0:c>
      <ns0:c r="U189" s="33" t="str">
        <ns0:v>Rev. 7, 01-Jan-2023</ns0:v>
      </ns0:c>
      <ns0:c r="V189" s="33" t="str">
        <ns0:v>Даташит — локальный</ns0:v>
      </ns0:c>
      <ns0:c r="W189" s="33" t="str">
        <ns0:v>C:\Users\Nomatin\Documents\Altium\MY_LIB\MY_LIB\Datasheets\Diodes\BZX84_Nexperia.pdf</ns0:v>
      </ns0:c>
      <ns0:c r="X189" s="33" t="str">
        <ns0:v>Даташит — производитель</ns0:v>
      </ns0:c>
      <ns0:c r="Y189" s="33" t="str">
        <ns0:v>https://assets.nexperia.com/documents/data-sheet/BZX84_SER.pdf</ns0:v>
      </ns0:c>
      <ns0:c r="Z189" s="33" t="str">
        <ns0:v>C:\Users\Nomatin\Documents\Altium\MY_LIB\MY_LIB\Datasheets\Diodes\BZX84_Nexperia.pdf</ns0:v>
      </ns0:c>
      <ns0:c r="AA189" s="33" t="str">
        <ns0:v>BZX84-B</ns0:v>
      </ns0:c>
      <ns0:c r="AB189" s="33" t="str">
        <ns0:v>Одиночный</ns0:v>
      </ns0:c>
      <ns0:c r="AC189" s="33" t="str">
        <ns0:v>1=A; 2=NC; 3=K</ns0:v>
      </ns0:c>
      <ns0:c r="AD189" s="33"/>
      <ns0:c r="AE189" s="33"/>
      <ns0:c r="AF189" s="33" t="n">
        <ns0:v>30</ns0:v>
      </ns0:c>
      <ns0:c r="AG189" s="33" t="n">
        <ns0:v>2</ns0:v>
      </ns0:c>
      <ns0:c r="AH189" s="33"/>
      <ns0:c r="AI189" s="33"/>
      <ns0:c r="AJ189" s="33" t="str">
        <ns0:v>250 мВт при TA≤25 °C, стандартное посадочное место на FR4; далее снижение мощности.</ns0:v>
      </ns0:c>
    </ns0:row>
    <ns0:row r="190" ht="60" customHeight="1">
      <ns0:c r="A190" s="33" t="str">
        <ns0:v>VD0189</ns0:v>
      </ns0:c>
      <ns0:c r="B190" s="33" t="str">
        <ns0:v>Стабилитрон</ns0:v>
      </ns0:c>
      <ns0:c r="C190" s="33" t="str">
        <ns0:v>BZX84-B33</ns0:v>
      </ns0:c>
      <ns0:c r="D190" s="34" t="str">
        <ns0:f>C190</ns0:f>
        <ns0:v>BZX84-B33</ns0:v>
      </ns0:c>
      <ns0:c r="E190" s="33" t="str">
        <ns0:v>±2%</ns0:v>
      </ns0:c>
      <ns0:c r="F190" s="33" t="str">
        <ns0:v>0,25 Вт</ns0:v>
      </ns0:c>
      <ns0:c r="G190" s="33" t="str">
        <ns0:v>33 В (Uст ном.)</ns0:v>
      </ns0:c>
      <ns0:c r="H190" s="35" t="str">
        <ns0:v>SOT-23</ns0:v>
      </ns0:c>
      <ns0:c r="I190" s="33" t="str">
        <ns0:v>Nexperia</ns0:v>
      </ns0:c>
      <ns0:c r="J190" s="33" t="str">
        <ns0:v>BZX84-B33</ns0:v>
      </ns0:c>
      <ns0:c r="K190" s="34" t="str">
        <ns0:f>B190&amp;" "&amp;J190</ns0:f>
        <ns0:v>Стабилитрон BZX84-B33</ns0:v>
      </ns0:c>
      <ns0:c r="L190" s="36" t="str">
        <ns0:v>Zener_1A3C</ns0:v>
      </ns0:c>
      <ns0:c r="M190" s="36" t="str">
        <ns0:v>Symbols\MY_LIB_Semiconductors.SchLib</ns0:v>
      </ns0:c>
      <ns0:c r="N190" s="36" t="str">
        <ns0:v>SOT23-3</ns0:v>
      </ns0:c>
      <ns0:c r="O190" s="36" t="str">
        <ns0:v>Footprints\PBL - SMD Packages.PcbLib</ns0:v>
      </ns0:c>
      <ns0:c r="P19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0" s="33"/>
      <ns0:c r="R190" s="34" t="str">
        <ns0:f>D190</ns0:f>
        <ns0:v>BZX84-B33</ns0:v>
      </ns0:c>
      <ns0:c r="S190" s="34" t="str">
        <ns0:f>K190</ns0:f>
        <ns0:v>Стабилитрон BZX84-B33</ns0:v>
      </ns0:c>
      <ns0:c r="T190" s="33" t="str">
        <ns0:v>C:\Users\Nomatin\Documents\Altium\MY_LIB\MY_LIB\Datasheets\Diodes\BZX84_Nexperia.pdf</ns0:v>
      </ns0:c>
      <ns0:c r="U190" s="33" t="str">
        <ns0:v>Rev. 7, 01-Jan-2023</ns0:v>
      </ns0:c>
      <ns0:c r="V190" s="33" t="str">
        <ns0:v>Даташит — локальный</ns0:v>
      </ns0:c>
      <ns0:c r="W190" s="33" t="str">
        <ns0:v>C:\Users\Nomatin\Documents\Altium\MY_LIB\MY_LIB\Datasheets\Diodes\BZX84_Nexperia.pdf</ns0:v>
      </ns0:c>
      <ns0:c r="X190" s="33" t="str">
        <ns0:v>Даташит — производитель</ns0:v>
      </ns0:c>
      <ns0:c r="Y190" s="33" t="str">
        <ns0:v>https://assets.nexperia.com/documents/data-sheet/BZX84_SER.pdf</ns0:v>
      </ns0:c>
      <ns0:c r="Z190" s="33" t="str">
        <ns0:v>C:\Users\Nomatin\Documents\Altium\MY_LIB\MY_LIB\Datasheets\Diodes\BZX84_Nexperia.pdf</ns0:v>
      </ns0:c>
      <ns0:c r="AA190" s="33" t="str">
        <ns0:v>BZX84-B</ns0:v>
      </ns0:c>
      <ns0:c r="AB190" s="33" t="str">
        <ns0:v>Одиночный</ns0:v>
      </ns0:c>
      <ns0:c r="AC190" s="33" t="str">
        <ns0:v>1=A; 2=NC; 3=K</ns0:v>
      </ns0:c>
      <ns0:c r="AD190" s="33"/>
      <ns0:c r="AE190" s="33"/>
      <ns0:c r="AF190" s="33" t="n">
        <ns0:v>33</ns0:v>
      </ns0:c>
      <ns0:c r="AG190" s="33" t="n">
        <ns0:v>2</ns0:v>
      </ns0:c>
      <ns0:c r="AH190" s="33"/>
      <ns0:c r="AI190" s="33"/>
      <ns0:c r="AJ190" s="33" t="str">
        <ns0:v>250 мВт при TA≤25 °C, стандартное посадочное место на FR4; далее снижение мощности.</ns0:v>
      </ns0:c>
    </ns0:row>
    <ns0:row r="191" ht="60" customHeight="1">
      <ns0:c r="A191" s="33" t="str">
        <ns0:v>VD0190</ns0:v>
      </ns0:c>
      <ns0:c r="B191" s="33" t="str">
        <ns0:v>Стабилитрон</ns0:v>
      </ns0:c>
      <ns0:c r="C191" s="33" t="str">
        <ns0:v>BZX84-B36</ns0:v>
      </ns0:c>
      <ns0:c r="D191" s="34" t="str">
        <ns0:f>C191</ns0:f>
        <ns0:v>BZX84-B36</ns0:v>
      </ns0:c>
      <ns0:c r="E191" s="33" t="str">
        <ns0:v>±2%</ns0:v>
      </ns0:c>
      <ns0:c r="F191" s="33" t="str">
        <ns0:v>0,25 Вт</ns0:v>
      </ns0:c>
      <ns0:c r="G191" s="33" t="str">
        <ns0:v>36 В (Uст ном.)</ns0:v>
      </ns0:c>
      <ns0:c r="H191" s="35" t="str">
        <ns0:v>SOT-23</ns0:v>
      </ns0:c>
      <ns0:c r="I191" s="33" t="str">
        <ns0:v>Nexperia</ns0:v>
      </ns0:c>
      <ns0:c r="J191" s="33" t="str">
        <ns0:v>BZX84-B36</ns0:v>
      </ns0:c>
      <ns0:c r="K191" s="34" t="str">
        <ns0:f>B191&amp;" "&amp;J191</ns0:f>
        <ns0:v>Стабилитрон BZX84-B36</ns0:v>
      </ns0:c>
      <ns0:c r="L191" s="36" t="str">
        <ns0:v>Zener_1A3C</ns0:v>
      </ns0:c>
      <ns0:c r="M191" s="36" t="str">
        <ns0:v>Symbols\MY_LIB_Semiconductors.SchLib</ns0:v>
      </ns0:c>
      <ns0:c r="N191" s="36" t="str">
        <ns0:v>SOT23-3</ns0:v>
      </ns0:c>
      <ns0:c r="O191" s="36" t="str">
        <ns0:v>Footprints\PBL - SMD Packages.PcbLib</ns0:v>
      </ns0:c>
      <ns0:c r="P19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1" s="33"/>
      <ns0:c r="R191" s="34" t="str">
        <ns0:f>D191</ns0:f>
        <ns0:v>BZX84-B36</ns0:v>
      </ns0:c>
      <ns0:c r="S191" s="34" t="str">
        <ns0:f>K191</ns0:f>
        <ns0:v>Стабилитрон BZX84-B36</ns0:v>
      </ns0:c>
      <ns0:c r="T191" s="33" t="str">
        <ns0:v>C:\Users\Nomatin\Documents\Altium\MY_LIB\MY_LIB\Datasheets\Diodes\BZX84_Nexperia.pdf</ns0:v>
      </ns0:c>
      <ns0:c r="U191" s="33" t="str">
        <ns0:v>Rev. 7, 01-Jan-2023</ns0:v>
      </ns0:c>
      <ns0:c r="V191" s="33" t="str">
        <ns0:v>Даташит — локальный</ns0:v>
      </ns0:c>
      <ns0:c r="W191" s="33" t="str">
        <ns0:v>C:\Users\Nomatin\Documents\Altium\MY_LIB\MY_LIB\Datasheets\Diodes\BZX84_Nexperia.pdf</ns0:v>
      </ns0:c>
      <ns0:c r="X191" s="33" t="str">
        <ns0:v>Даташит — производитель</ns0:v>
      </ns0:c>
      <ns0:c r="Y191" s="33" t="str">
        <ns0:v>https://assets.nexperia.com/documents/data-sheet/BZX84_SER.pdf</ns0:v>
      </ns0:c>
      <ns0:c r="Z191" s="33" t="str">
        <ns0:v>C:\Users\Nomatin\Documents\Altium\MY_LIB\MY_LIB\Datasheets\Diodes\BZX84_Nexperia.pdf</ns0:v>
      </ns0:c>
      <ns0:c r="AA191" s="33" t="str">
        <ns0:v>BZX84-B</ns0:v>
      </ns0:c>
      <ns0:c r="AB191" s="33" t="str">
        <ns0:v>Одиночный</ns0:v>
      </ns0:c>
      <ns0:c r="AC191" s="33" t="str">
        <ns0:v>1=A; 2=NC; 3=K</ns0:v>
      </ns0:c>
      <ns0:c r="AD191" s="33"/>
      <ns0:c r="AE191" s="33"/>
      <ns0:c r="AF191" s="33" t="n">
        <ns0:v>36</ns0:v>
      </ns0:c>
      <ns0:c r="AG191" s="33" t="n">
        <ns0:v>2</ns0:v>
      </ns0:c>
      <ns0:c r="AH191" s="33"/>
      <ns0:c r="AI191" s="33"/>
      <ns0:c r="AJ191" s="33" t="str">
        <ns0:v>250 мВт при TA≤25 °C, стандартное посадочное место на FR4; далее снижение мощности.</ns0:v>
      </ns0:c>
    </ns0:row>
    <ns0:row r="192" ht="60" customHeight="1">
      <ns0:c r="A192" s="33" t="str">
        <ns0:v>VD0191</ns0:v>
      </ns0:c>
      <ns0:c r="B192" s="33" t="str">
        <ns0:v>Стабилитрон</ns0:v>
      </ns0:c>
      <ns0:c r="C192" s="33" t="str">
        <ns0:v>BZX84-B39</ns0:v>
      </ns0:c>
      <ns0:c r="D192" s="34" t="str">
        <ns0:f>C192</ns0:f>
        <ns0:v>BZX84-B39</ns0:v>
      </ns0:c>
      <ns0:c r="E192" s="33" t="str">
        <ns0:v>±2%</ns0:v>
      </ns0:c>
      <ns0:c r="F192" s="33" t="str">
        <ns0:v>0,25 Вт</ns0:v>
      </ns0:c>
      <ns0:c r="G192" s="33" t="str">
        <ns0:v>39 В (Uст ном.)</ns0:v>
      </ns0:c>
      <ns0:c r="H192" s="35" t="str">
        <ns0:v>SOT-23</ns0:v>
      </ns0:c>
      <ns0:c r="I192" s="33" t="str">
        <ns0:v>Nexperia</ns0:v>
      </ns0:c>
      <ns0:c r="J192" s="33" t="str">
        <ns0:v>BZX84-B39</ns0:v>
      </ns0:c>
      <ns0:c r="K192" s="34" t="str">
        <ns0:f>B192&amp;" "&amp;J192</ns0:f>
        <ns0:v>Стабилитрон BZX84-B39</ns0:v>
      </ns0:c>
      <ns0:c r="L192" s="36" t="str">
        <ns0:v>Zener_1A3C</ns0:v>
      </ns0:c>
      <ns0:c r="M192" s="36" t="str">
        <ns0:v>Symbols\MY_LIB_Semiconductors.SchLib</ns0:v>
      </ns0:c>
      <ns0:c r="N192" s="36" t="str">
        <ns0:v>SOT23-3</ns0:v>
      </ns0:c>
      <ns0:c r="O192" s="36" t="str">
        <ns0:v>Footprints\PBL - SMD Packages.PcbLib</ns0:v>
      </ns0:c>
      <ns0:c r="P19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2" s="33"/>
      <ns0:c r="R192" s="34" t="str">
        <ns0:f>D192</ns0:f>
        <ns0:v>BZX84-B39</ns0:v>
      </ns0:c>
      <ns0:c r="S192" s="34" t="str">
        <ns0:f>K192</ns0:f>
        <ns0:v>Стабилитрон BZX84-B39</ns0:v>
      </ns0:c>
      <ns0:c r="T192" s="33" t="str">
        <ns0:v>C:\Users\Nomatin\Documents\Altium\MY_LIB\MY_LIB\Datasheets\Diodes\BZX84_Nexperia.pdf</ns0:v>
      </ns0:c>
      <ns0:c r="U192" s="33" t="str">
        <ns0:v>Rev. 7, 01-Jan-2023</ns0:v>
      </ns0:c>
      <ns0:c r="V192" s="33" t="str">
        <ns0:v>Даташит — локальный</ns0:v>
      </ns0:c>
      <ns0:c r="W192" s="33" t="str">
        <ns0:v>C:\Users\Nomatin\Documents\Altium\MY_LIB\MY_LIB\Datasheets\Diodes\BZX84_Nexperia.pdf</ns0:v>
      </ns0:c>
      <ns0:c r="X192" s="33" t="str">
        <ns0:v>Даташит — производитель</ns0:v>
      </ns0:c>
      <ns0:c r="Y192" s="33" t="str">
        <ns0:v>https://assets.nexperia.com/documents/data-sheet/BZX84_SER.pdf</ns0:v>
      </ns0:c>
      <ns0:c r="Z192" s="33" t="str">
        <ns0:v>C:\Users\Nomatin\Documents\Altium\MY_LIB\MY_LIB\Datasheets\Diodes\BZX84_Nexperia.pdf</ns0:v>
      </ns0:c>
      <ns0:c r="AA192" s="33" t="str">
        <ns0:v>BZX84-B</ns0:v>
      </ns0:c>
      <ns0:c r="AB192" s="33" t="str">
        <ns0:v>Одиночный</ns0:v>
      </ns0:c>
      <ns0:c r="AC192" s="33" t="str">
        <ns0:v>1=A; 2=NC; 3=K</ns0:v>
      </ns0:c>
      <ns0:c r="AD192" s="33"/>
      <ns0:c r="AE192" s="33"/>
      <ns0:c r="AF192" s="33" t="n">
        <ns0:v>39</ns0:v>
      </ns0:c>
      <ns0:c r="AG192" s="33" t="n">
        <ns0:v>2</ns0:v>
      </ns0:c>
      <ns0:c r="AH192" s="33"/>
      <ns0:c r="AI192" s="33"/>
      <ns0:c r="AJ192" s="33" t="str">
        <ns0:v>250 мВт при TA≤25 °C, стандартное посадочное место на FR4; далее снижение мощности.</ns0:v>
      </ns0:c>
    </ns0:row>
    <ns0:row r="193" ht="60" customHeight="1">
      <ns0:c r="A193" s="33" t="str">
        <ns0:v>VD0192</ns0:v>
      </ns0:c>
      <ns0:c r="B193" s="33" t="str">
        <ns0:v>Стабилитрон</ns0:v>
      </ns0:c>
      <ns0:c r="C193" s="33" t="str">
        <ns0:v>BZX84-B43</ns0:v>
      </ns0:c>
      <ns0:c r="D193" s="34" t="str">
        <ns0:f>C193</ns0:f>
        <ns0:v>BZX84-B43</ns0:v>
      </ns0:c>
      <ns0:c r="E193" s="33" t="str">
        <ns0:v>±2%</ns0:v>
      </ns0:c>
      <ns0:c r="F193" s="33" t="str">
        <ns0:v>0,25 Вт</ns0:v>
      </ns0:c>
      <ns0:c r="G193" s="33" t="str">
        <ns0:v>43 В (Uст ном.)</ns0:v>
      </ns0:c>
      <ns0:c r="H193" s="35" t="str">
        <ns0:v>SOT-23</ns0:v>
      </ns0:c>
      <ns0:c r="I193" s="33" t="str">
        <ns0:v>Nexperia</ns0:v>
      </ns0:c>
      <ns0:c r="J193" s="33" t="str">
        <ns0:v>BZX84-B43</ns0:v>
      </ns0:c>
      <ns0:c r="K193" s="34" t="str">
        <ns0:f>B193&amp;" "&amp;J193</ns0:f>
        <ns0:v>Стабилитрон BZX84-B43</ns0:v>
      </ns0:c>
      <ns0:c r="L193" s="36" t="str">
        <ns0:v>Zener_1A3C</ns0:v>
      </ns0:c>
      <ns0:c r="M193" s="36" t="str">
        <ns0:v>Symbols\MY_LIB_Semiconductors.SchLib</ns0:v>
      </ns0:c>
      <ns0:c r="N193" s="36" t="str">
        <ns0:v>SOT23-3</ns0:v>
      </ns0:c>
      <ns0:c r="O193" s="36" t="str">
        <ns0:v>Footprints\PBL - SMD Packages.PcbLib</ns0:v>
      </ns0:c>
      <ns0:c r="P19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3" s="33"/>
      <ns0:c r="R193" s="34" t="str">
        <ns0:f>D193</ns0:f>
        <ns0:v>BZX84-B43</ns0:v>
      </ns0:c>
      <ns0:c r="S193" s="34" t="str">
        <ns0:f>K193</ns0:f>
        <ns0:v>Стабилитрон BZX84-B43</ns0:v>
      </ns0:c>
      <ns0:c r="T193" s="33" t="str">
        <ns0:v>C:\Users\Nomatin\Documents\Altium\MY_LIB\MY_LIB\Datasheets\Diodes\BZX84_Nexperia.pdf</ns0:v>
      </ns0:c>
      <ns0:c r="U193" s="33" t="str">
        <ns0:v>Rev. 7, 01-Jan-2023</ns0:v>
      </ns0:c>
      <ns0:c r="V193" s="33" t="str">
        <ns0:v>Даташит — локальный</ns0:v>
      </ns0:c>
      <ns0:c r="W193" s="33" t="str">
        <ns0:v>C:\Users\Nomatin\Documents\Altium\MY_LIB\MY_LIB\Datasheets\Diodes\BZX84_Nexperia.pdf</ns0:v>
      </ns0:c>
      <ns0:c r="X193" s="33" t="str">
        <ns0:v>Даташит — производитель</ns0:v>
      </ns0:c>
      <ns0:c r="Y193" s="33" t="str">
        <ns0:v>https://assets.nexperia.com/documents/data-sheet/BZX84_SER.pdf</ns0:v>
      </ns0:c>
      <ns0:c r="Z193" s="33" t="str">
        <ns0:v>C:\Users\Nomatin\Documents\Altium\MY_LIB\MY_LIB\Datasheets\Diodes\BZX84_Nexperia.pdf</ns0:v>
      </ns0:c>
      <ns0:c r="AA193" s="33" t="str">
        <ns0:v>BZX84-B</ns0:v>
      </ns0:c>
      <ns0:c r="AB193" s="33" t="str">
        <ns0:v>Одиночный</ns0:v>
      </ns0:c>
      <ns0:c r="AC193" s="33" t="str">
        <ns0:v>1=A; 2=NC; 3=K</ns0:v>
      </ns0:c>
      <ns0:c r="AD193" s="33"/>
      <ns0:c r="AE193" s="33"/>
      <ns0:c r="AF193" s="33" t="n">
        <ns0:v>43</ns0:v>
      </ns0:c>
      <ns0:c r="AG193" s="33" t="n">
        <ns0:v>2</ns0:v>
      </ns0:c>
      <ns0:c r="AH193" s="33"/>
      <ns0:c r="AI193" s="33"/>
      <ns0:c r="AJ193" s="33" t="str">
        <ns0:v>250 мВт при TA≤25 °C, стандартное посадочное место на FR4; далее снижение мощности.</ns0:v>
      </ns0:c>
    </ns0:row>
    <ns0:row r="194" ht="60" customHeight="1">
      <ns0:c r="A194" s="33" t="str">
        <ns0:v>VD0193</ns0:v>
      </ns0:c>
      <ns0:c r="B194" s="33" t="str">
        <ns0:v>Стабилитрон</ns0:v>
      </ns0:c>
      <ns0:c r="C194" s="33" t="str">
        <ns0:v>BZX84-B47</ns0:v>
      </ns0:c>
      <ns0:c r="D194" s="34" t="str">
        <ns0:f>C194</ns0:f>
        <ns0:v>BZX84-B47</ns0:v>
      </ns0:c>
      <ns0:c r="E194" s="33" t="str">
        <ns0:v>±2%</ns0:v>
      </ns0:c>
      <ns0:c r="F194" s="33" t="str">
        <ns0:v>0,25 Вт</ns0:v>
      </ns0:c>
      <ns0:c r="G194" s="33" t="str">
        <ns0:v>47 В (Uст ном.)</ns0:v>
      </ns0:c>
      <ns0:c r="H194" s="35" t="str">
        <ns0:v>SOT-23</ns0:v>
      </ns0:c>
      <ns0:c r="I194" s="33" t="str">
        <ns0:v>Nexperia</ns0:v>
      </ns0:c>
      <ns0:c r="J194" s="33" t="str">
        <ns0:v>BZX84-B47</ns0:v>
      </ns0:c>
      <ns0:c r="K194" s="34" t="str">
        <ns0:f>B194&amp;" "&amp;J194</ns0:f>
        <ns0:v>Стабилитрон BZX84-B47</ns0:v>
      </ns0:c>
      <ns0:c r="L194" s="36" t="str">
        <ns0:v>Zener_1A3C</ns0:v>
      </ns0:c>
      <ns0:c r="M194" s="36" t="str">
        <ns0:v>Symbols\MY_LIB_Semiconductors.SchLib</ns0:v>
      </ns0:c>
      <ns0:c r="N194" s="36" t="str">
        <ns0:v>SOT23-3</ns0:v>
      </ns0:c>
      <ns0:c r="O194" s="36" t="str">
        <ns0:v>Footprints\PBL - SMD Packages.PcbLib</ns0:v>
      </ns0:c>
      <ns0:c r="P19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4" s="33"/>
      <ns0:c r="R194" s="34" t="str">
        <ns0:f>D194</ns0:f>
        <ns0:v>BZX84-B47</ns0:v>
      </ns0:c>
      <ns0:c r="S194" s="34" t="str">
        <ns0:f>K194</ns0:f>
        <ns0:v>Стабилитрон BZX84-B47</ns0:v>
      </ns0:c>
      <ns0:c r="T194" s="33" t="str">
        <ns0:v>C:\Users\Nomatin\Documents\Altium\MY_LIB\MY_LIB\Datasheets\Diodes\BZX84_Nexperia.pdf</ns0:v>
      </ns0:c>
      <ns0:c r="U194" s="33" t="str">
        <ns0:v>Rev. 7, 01-Jan-2023</ns0:v>
      </ns0:c>
      <ns0:c r="V194" s="33" t="str">
        <ns0:v>Даташит — локальный</ns0:v>
      </ns0:c>
      <ns0:c r="W194" s="33" t="str">
        <ns0:v>C:\Users\Nomatin\Documents\Altium\MY_LIB\MY_LIB\Datasheets\Diodes\BZX84_Nexperia.pdf</ns0:v>
      </ns0:c>
      <ns0:c r="X194" s="33" t="str">
        <ns0:v>Даташит — производитель</ns0:v>
      </ns0:c>
      <ns0:c r="Y194" s="33" t="str">
        <ns0:v>https://assets.nexperia.com/documents/data-sheet/BZX84_SER.pdf</ns0:v>
      </ns0:c>
      <ns0:c r="Z194" s="33" t="str">
        <ns0:v>C:\Users\Nomatin\Documents\Altium\MY_LIB\MY_LIB\Datasheets\Diodes\BZX84_Nexperia.pdf</ns0:v>
      </ns0:c>
      <ns0:c r="AA194" s="33" t="str">
        <ns0:v>BZX84-B</ns0:v>
      </ns0:c>
      <ns0:c r="AB194" s="33" t="str">
        <ns0:v>Одиночный</ns0:v>
      </ns0:c>
      <ns0:c r="AC194" s="33" t="str">
        <ns0:v>1=A; 2=NC; 3=K</ns0:v>
      </ns0:c>
      <ns0:c r="AD194" s="33"/>
      <ns0:c r="AE194" s="33"/>
      <ns0:c r="AF194" s="33" t="n">
        <ns0:v>47</ns0:v>
      </ns0:c>
      <ns0:c r="AG194" s="33" t="n">
        <ns0:v>2</ns0:v>
      </ns0:c>
      <ns0:c r="AH194" s="33"/>
      <ns0:c r="AI194" s="33"/>
      <ns0:c r="AJ194" s="33" t="str">
        <ns0:v>250 мВт при TA≤25 °C, стандартное посадочное место на FR4; далее снижение мощности.</ns0:v>
      </ns0:c>
    </ns0:row>
    <ns0:row r="195" ht="60" customHeight="1">
      <ns0:c r="A195" s="33" t="str">
        <ns0:v>VD0194</ns0:v>
      </ns0:c>
      <ns0:c r="B195" s="33" t="str">
        <ns0:v>Стабилитрон</ns0:v>
      </ns0:c>
      <ns0:c r="C195" s="33" t="str">
        <ns0:v>BZX84-B51</ns0:v>
      </ns0:c>
      <ns0:c r="D195" s="34" t="str">
        <ns0:f>C195</ns0:f>
        <ns0:v>BZX84-B51</ns0:v>
      </ns0:c>
      <ns0:c r="E195" s="33" t="str">
        <ns0:v>±2%</ns0:v>
      </ns0:c>
      <ns0:c r="F195" s="33" t="str">
        <ns0:v>0,25 Вт</ns0:v>
      </ns0:c>
      <ns0:c r="G195" s="33" t="str">
        <ns0:v>51 В (Uст ном.)</ns0:v>
      </ns0:c>
      <ns0:c r="H195" s="35" t="str">
        <ns0:v>SOT-23</ns0:v>
      </ns0:c>
      <ns0:c r="I195" s="33" t="str">
        <ns0:v>Nexperia</ns0:v>
      </ns0:c>
      <ns0:c r="J195" s="33" t="str">
        <ns0:v>BZX84-B51</ns0:v>
      </ns0:c>
      <ns0:c r="K195" s="34" t="str">
        <ns0:f>B195&amp;" "&amp;J195</ns0:f>
        <ns0:v>Стабилитрон BZX84-B51</ns0:v>
      </ns0:c>
      <ns0:c r="L195" s="36" t="str">
        <ns0:v>Zener_1A3C</ns0:v>
      </ns0:c>
      <ns0:c r="M195" s="36" t="str">
        <ns0:v>Symbols\MY_LIB_Semiconductors.SchLib</ns0:v>
      </ns0:c>
      <ns0:c r="N195" s="36" t="str">
        <ns0:v>SOT23-3</ns0:v>
      </ns0:c>
      <ns0:c r="O195" s="36" t="str">
        <ns0:v>Footprints\PBL - SMD Packages.PcbLib</ns0:v>
      </ns0:c>
      <ns0:c r="P19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5" s="33"/>
      <ns0:c r="R195" s="34" t="str">
        <ns0:f>D195</ns0:f>
        <ns0:v>BZX84-B51</ns0:v>
      </ns0:c>
      <ns0:c r="S195" s="34" t="str">
        <ns0:f>K195</ns0:f>
        <ns0:v>Стабилитрон BZX84-B51</ns0:v>
      </ns0:c>
      <ns0:c r="T195" s="33" t="str">
        <ns0:v>C:\Users\Nomatin\Documents\Altium\MY_LIB\MY_LIB\Datasheets\Diodes\BZX84_Nexperia.pdf</ns0:v>
      </ns0:c>
      <ns0:c r="U195" s="33" t="str">
        <ns0:v>Rev. 7, 01-Jan-2023</ns0:v>
      </ns0:c>
      <ns0:c r="V195" s="33" t="str">
        <ns0:v>Даташит — локальный</ns0:v>
      </ns0:c>
      <ns0:c r="W195" s="33" t="str">
        <ns0:v>C:\Users\Nomatin\Documents\Altium\MY_LIB\MY_LIB\Datasheets\Diodes\BZX84_Nexperia.pdf</ns0:v>
      </ns0:c>
      <ns0:c r="X195" s="33" t="str">
        <ns0:v>Даташит — производитель</ns0:v>
      </ns0:c>
      <ns0:c r="Y195" s="33" t="str">
        <ns0:v>https://assets.nexperia.com/documents/data-sheet/BZX84_SER.pdf</ns0:v>
      </ns0:c>
      <ns0:c r="Z195" s="33" t="str">
        <ns0:v>C:\Users\Nomatin\Documents\Altium\MY_LIB\MY_LIB\Datasheets\Diodes\BZX84_Nexperia.pdf</ns0:v>
      </ns0:c>
      <ns0:c r="AA195" s="33" t="str">
        <ns0:v>BZX84-B</ns0:v>
      </ns0:c>
      <ns0:c r="AB195" s="33" t="str">
        <ns0:v>Одиночный</ns0:v>
      </ns0:c>
      <ns0:c r="AC195" s="33" t="str">
        <ns0:v>1=A; 2=NC; 3=K</ns0:v>
      </ns0:c>
      <ns0:c r="AD195" s="33"/>
      <ns0:c r="AE195" s="33"/>
      <ns0:c r="AF195" s="33" t="n">
        <ns0:v>51</ns0:v>
      </ns0:c>
      <ns0:c r="AG195" s="33" t="n">
        <ns0:v>2</ns0:v>
      </ns0:c>
      <ns0:c r="AH195" s="33"/>
      <ns0:c r="AI195" s="33"/>
      <ns0:c r="AJ195" s="33" t="str">
        <ns0:v>250 мВт при TA≤25 °C, стандартное посадочное место на FR4; далее снижение мощности.</ns0:v>
      </ns0:c>
    </ns0:row>
    <ns0:row r="196" ht="60" customHeight="1">
      <ns0:c r="A196" s="33" t="str">
        <ns0:v>VD0195</ns0:v>
      </ns0:c>
      <ns0:c r="B196" s="33" t="str">
        <ns0:v>Стабилитрон</ns0:v>
      </ns0:c>
      <ns0:c r="C196" s="33" t="str">
        <ns0:v>BZX84-B56</ns0:v>
      </ns0:c>
      <ns0:c r="D196" s="34" t="str">
        <ns0:f>C196</ns0:f>
        <ns0:v>BZX84-B56</ns0:v>
      </ns0:c>
      <ns0:c r="E196" s="33" t="str">
        <ns0:v>±2%</ns0:v>
      </ns0:c>
      <ns0:c r="F196" s="33" t="str">
        <ns0:v>0,25 Вт</ns0:v>
      </ns0:c>
      <ns0:c r="G196" s="33" t="str">
        <ns0:v>56 В (Uст ном.)</ns0:v>
      </ns0:c>
      <ns0:c r="H196" s="35" t="str">
        <ns0:v>SOT-23</ns0:v>
      </ns0:c>
      <ns0:c r="I196" s="33" t="str">
        <ns0:v>Nexperia</ns0:v>
      </ns0:c>
      <ns0:c r="J196" s="33" t="str">
        <ns0:v>BZX84-B56</ns0:v>
      </ns0:c>
      <ns0:c r="K196" s="34" t="str">
        <ns0:f>B196&amp;" "&amp;J196</ns0:f>
        <ns0:v>Стабилитрон BZX84-B56</ns0:v>
      </ns0:c>
      <ns0:c r="L196" s="36" t="str">
        <ns0:v>Zener_1A3C</ns0:v>
      </ns0:c>
      <ns0:c r="M196" s="36" t="str">
        <ns0:v>Symbols\MY_LIB_Semiconductors.SchLib</ns0:v>
      </ns0:c>
      <ns0:c r="N196" s="36" t="str">
        <ns0:v>SOT23-3</ns0:v>
      </ns0:c>
      <ns0:c r="O196" s="36" t="str">
        <ns0:v>Footprints\PBL - SMD Packages.PcbLib</ns0:v>
      </ns0:c>
      <ns0:c r="P19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6" s="33"/>
      <ns0:c r="R196" s="34" t="str">
        <ns0:f>D196</ns0:f>
        <ns0:v>BZX84-B56</ns0:v>
      </ns0:c>
      <ns0:c r="S196" s="34" t="str">
        <ns0:f>K196</ns0:f>
        <ns0:v>Стабилитрон BZX84-B56</ns0:v>
      </ns0:c>
      <ns0:c r="T196" s="33" t="str">
        <ns0:v>C:\Users\Nomatin\Documents\Altium\MY_LIB\MY_LIB\Datasheets\Diodes\BZX84_Nexperia.pdf</ns0:v>
      </ns0:c>
      <ns0:c r="U196" s="33" t="str">
        <ns0:v>Rev. 7, 01-Jan-2023</ns0:v>
      </ns0:c>
      <ns0:c r="V196" s="33" t="str">
        <ns0:v>Даташит — локальный</ns0:v>
      </ns0:c>
      <ns0:c r="W196" s="33" t="str">
        <ns0:v>C:\Users\Nomatin\Documents\Altium\MY_LIB\MY_LIB\Datasheets\Diodes\BZX84_Nexperia.pdf</ns0:v>
      </ns0:c>
      <ns0:c r="X196" s="33" t="str">
        <ns0:v>Даташит — производитель</ns0:v>
      </ns0:c>
      <ns0:c r="Y196" s="33" t="str">
        <ns0:v>https://assets.nexperia.com/documents/data-sheet/BZX84_SER.pdf</ns0:v>
      </ns0:c>
      <ns0:c r="Z196" s="33" t="str">
        <ns0:v>C:\Users\Nomatin\Documents\Altium\MY_LIB\MY_LIB\Datasheets\Diodes\BZX84_Nexperia.pdf</ns0:v>
      </ns0:c>
      <ns0:c r="AA196" s="33" t="str">
        <ns0:v>BZX84-B</ns0:v>
      </ns0:c>
      <ns0:c r="AB196" s="33" t="str">
        <ns0:v>Одиночный</ns0:v>
      </ns0:c>
      <ns0:c r="AC196" s="33" t="str">
        <ns0:v>1=A; 2=NC; 3=K</ns0:v>
      </ns0:c>
      <ns0:c r="AD196" s="33"/>
      <ns0:c r="AE196" s="33"/>
      <ns0:c r="AF196" s="33" t="n">
        <ns0:v>56</ns0:v>
      </ns0:c>
      <ns0:c r="AG196" s="33" t="n">
        <ns0:v>2</ns0:v>
      </ns0:c>
      <ns0:c r="AH196" s="33"/>
      <ns0:c r="AI196" s="33"/>
      <ns0:c r="AJ196" s="33" t="str">
        <ns0:v>250 мВт при TA≤25 °C, стандартное посадочное место на FR4; далее снижение мощности.</ns0:v>
      </ns0:c>
    </ns0:row>
    <ns0:row r="197" ht="60" customHeight="1">
      <ns0:c r="A197" s="33" t="str">
        <ns0:v>VD0196</ns0:v>
      </ns0:c>
      <ns0:c r="B197" s="33" t="str">
        <ns0:v>Стабилитрон</ns0:v>
      </ns0:c>
      <ns0:c r="C197" s="33" t="str">
        <ns0:v>BZX84-B62</ns0:v>
      </ns0:c>
      <ns0:c r="D197" s="34" t="str">
        <ns0:f>C197</ns0:f>
        <ns0:v>BZX84-B62</ns0:v>
      </ns0:c>
      <ns0:c r="E197" s="33" t="str">
        <ns0:v>±2%</ns0:v>
      </ns0:c>
      <ns0:c r="F197" s="33" t="str">
        <ns0:v>0,25 Вт</ns0:v>
      </ns0:c>
      <ns0:c r="G197" s="33" t="str">
        <ns0:v>62 В (Uст ном.)</ns0:v>
      </ns0:c>
      <ns0:c r="H197" s="35" t="str">
        <ns0:v>SOT-23</ns0:v>
      </ns0:c>
      <ns0:c r="I197" s="33" t="str">
        <ns0:v>Nexperia</ns0:v>
      </ns0:c>
      <ns0:c r="J197" s="33" t="str">
        <ns0:v>BZX84-B62</ns0:v>
      </ns0:c>
      <ns0:c r="K197" s="34" t="str">
        <ns0:f>B197&amp;" "&amp;J197</ns0:f>
        <ns0:v>Стабилитрон BZX84-B62</ns0:v>
      </ns0:c>
      <ns0:c r="L197" s="36" t="str">
        <ns0:v>Zener_1A3C</ns0:v>
      </ns0:c>
      <ns0:c r="M197" s="36" t="str">
        <ns0:v>Symbols\MY_LIB_Semiconductors.SchLib</ns0:v>
      </ns0:c>
      <ns0:c r="N197" s="36" t="str">
        <ns0:v>SOT23-3</ns0:v>
      </ns0:c>
      <ns0:c r="O197" s="36" t="str">
        <ns0:v>Footprints\PBL - SMD Packages.PcbLib</ns0:v>
      </ns0:c>
      <ns0:c r="P19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7" s="33"/>
      <ns0:c r="R197" s="34" t="str">
        <ns0:f>D197</ns0:f>
        <ns0:v>BZX84-B62</ns0:v>
      </ns0:c>
      <ns0:c r="S197" s="34" t="str">
        <ns0:f>K197</ns0:f>
        <ns0:v>Стабилитрон BZX84-B62</ns0:v>
      </ns0:c>
      <ns0:c r="T197" s="33" t="str">
        <ns0:v>C:\Users\Nomatin\Documents\Altium\MY_LIB\MY_LIB\Datasheets\Diodes\BZX84_Nexperia.pdf</ns0:v>
      </ns0:c>
      <ns0:c r="U197" s="33" t="str">
        <ns0:v>Rev. 7, 01-Jan-2023</ns0:v>
      </ns0:c>
      <ns0:c r="V197" s="33" t="str">
        <ns0:v>Даташит — локальный</ns0:v>
      </ns0:c>
      <ns0:c r="W197" s="33" t="str">
        <ns0:v>C:\Users\Nomatin\Documents\Altium\MY_LIB\MY_LIB\Datasheets\Diodes\BZX84_Nexperia.pdf</ns0:v>
      </ns0:c>
      <ns0:c r="X197" s="33" t="str">
        <ns0:v>Даташит — производитель</ns0:v>
      </ns0:c>
      <ns0:c r="Y197" s="33" t="str">
        <ns0:v>https://assets.nexperia.com/documents/data-sheet/BZX84_SER.pdf</ns0:v>
      </ns0:c>
      <ns0:c r="Z197" s="33" t="str">
        <ns0:v>C:\Users\Nomatin\Documents\Altium\MY_LIB\MY_LIB\Datasheets\Diodes\BZX84_Nexperia.pdf</ns0:v>
      </ns0:c>
      <ns0:c r="AA197" s="33" t="str">
        <ns0:v>BZX84-B</ns0:v>
      </ns0:c>
      <ns0:c r="AB197" s="33" t="str">
        <ns0:v>Одиночный</ns0:v>
      </ns0:c>
      <ns0:c r="AC197" s="33" t="str">
        <ns0:v>1=A; 2=NC; 3=K</ns0:v>
      </ns0:c>
      <ns0:c r="AD197" s="33"/>
      <ns0:c r="AE197" s="33"/>
      <ns0:c r="AF197" s="33" t="n">
        <ns0:v>62</ns0:v>
      </ns0:c>
      <ns0:c r="AG197" s="33" t="n">
        <ns0:v>2</ns0:v>
      </ns0:c>
      <ns0:c r="AH197" s="33"/>
      <ns0:c r="AI197" s="33"/>
      <ns0:c r="AJ197" s="33" t="str">
        <ns0:v>250 мВт при TA≤25 °C, стандартное посадочное место на FR4; далее снижение мощности.</ns0:v>
      </ns0:c>
    </ns0:row>
    <ns0:row r="198" ht="60" customHeight="1">
      <ns0:c r="A198" s="33" t="str">
        <ns0:v>VD0197</ns0:v>
      </ns0:c>
      <ns0:c r="B198" s="33" t="str">
        <ns0:v>Стабилитрон</ns0:v>
      </ns0:c>
      <ns0:c r="C198" s="33" t="str">
        <ns0:v>BZX84-B68</ns0:v>
      </ns0:c>
      <ns0:c r="D198" s="34" t="str">
        <ns0:f>C198</ns0:f>
        <ns0:v>BZX84-B68</ns0:v>
      </ns0:c>
      <ns0:c r="E198" s="33" t="str">
        <ns0:v>±2%</ns0:v>
      </ns0:c>
      <ns0:c r="F198" s="33" t="str">
        <ns0:v>0,25 Вт</ns0:v>
      </ns0:c>
      <ns0:c r="G198" s="33" t="str">
        <ns0:v>68 В (Uст ном.)</ns0:v>
      </ns0:c>
      <ns0:c r="H198" s="35" t="str">
        <ns0:v>SOT-23</ns0:v>
      </ns0:c>
      <ns0:c r="I198" s="33" t="str">
        <ns0:v>Nexperia</ns0:v>
      </ns0:c>
      <ns0:c r="J198" s="33" t="str">
        <ns0:v>BZX84-B68</ns0:v>
      </ns0:c>
      <ns0:c r="K198" s="34" t="str">
        <ns0:f>B198&amp;" "&amp;J198</ns0:f>
        <ns0:v>Стабилитрон BZX84-B68</ns0:v>
      </ns0:c>
      <ns0:c r="L198" s="36" t="str">
        <ns0:v>Zener_1A3C</ns0:v>
      </ns0:c>
      <ns0:c r="M198" s="36" t="str">
        <ns0:v>Symbols\MY_LIB_Semiconductors.SchLib</ns0:v>
      </ns0:c>
      <ns0:c r="N198" s="36" t="str">
        <ns0:v>SOT23-3</ns0:v>
      </ns0:c>
      <ns0:c r="O198" s="36" t="str">
        <ns0:v>Footprints\PBL - SMD Packages.PcbLib</ns0:v>
      </ns0:c>
      <ns0:c r="P19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8" s="33"/>
      <ns0:c r="R198" s="34" t="str">
        <ns0:f>D198</ns0:f>
        <ns0:v>BZX84-B68</ns0:v>
      </ns0:c>
      <ns0:c r="S198" s="34" t="str">
        <ns0:f>K198</ns0:f>
        <ns0:v>Стабилитрон BZX84-B68</ns0:v>
      </ns0:c>
      <ns0:c r="T198" s="33" t="str">
        <ns0:v>C:\Users\Nomatin\Documents\Altium\MY_LIB\MY_LIB\Datasheets\Diodes\BZX84_Nexperia.pdf</ns0:v>
      </ns0:c>
      <ns0:c r="U198" s="33" t="str">
        <ns0:v>Rev. 7, 01-Jan-2023</ns0:v>
      </ns0:c>
      <ns0:c r="V198" s="33" t="str">
        <ns0:v>Даташит — локальный</ns0:v>
      </ns0:c>
      <ns0:c r="W198" s="33" t="str">
        <ns0:v>C:\Users\Nomatin\Documents\Altium\MY_LIB\MY_LIB\Datasheets\Diodes\BZX84_Nexperia.pdf</ns0:v>
      </ns0:c>
      <ns0:c r="X198" s="33" t="str">
        <ns0:v>Даташит — производитель</ns0:v>
      </ns0:c>
      <ns0:c r="Y198" s="33" t="str">
        <ns0:v>https://assets.nexperia.com/documents/data-sheet/BZX84_SER.pdf</ns0:v>
      </ns0:c>
      <ns0:c r="Z198" s="33" t="str">
        <ns0:v>C:\Users\Nomatin\Documents\Altium\MY_LIB\MY_LIB\Datasheets\Diodes\BZX84_Nexperia.pdf</ns0:v>
      </ns0:c>
      <ns0:c r="AA198" s="33" t="str">
        <ns0:v>BZX84-B</ns0:v>
      </ns0:c>
      <ns0:c r="AB198" s="33" t="str">
        <ns0:v>Одиночный</ns0:v>
      </ns0:c>
      <ns0:c r="AC198" s="33" t="str">
        <ns0:v>1=A; 2=NC; 3=K</ns0:v>
      </ns0:c>
      <ns0:c r="AD198" s="33"/>
      <ns0:c r="AE198" s="33"/>
      <ns0:c r="AF198" s="33" t="n">
        <ns0:v>68</ns0:v>
      </ns0:c>
      <ns0:c r="AG198" s="33" t="n">
        <ns0:v>2</ns0:v>
      </ns0:c>
      <ns0:c r="AH198" s="33"/>
      <ns0:c r="AI198" s="33"/>
      <ns0:c r="AJ198" s="33" t="str">
        <ns0:v>250 мВт при TA≤25 °C, стандартное посадочное место на FR4; далее снижение мощности.</ns0:v>
      </ns0:c>
    </ns0:row>
    <ns0:row r="199" ht="60" customHeight="1">
      <ns0:c r="A199" s="33" t="str">
        <ns0:v>VD0198</ns0:v>
      </ns0:c>
      <ns0:c r="B199" s="33" t="str">
        <ns0:v>Стабилитрон</ns0:v>
      </ns0:c>
      <ns0:c r="C199" s="33" t="str">
        <ns0:v>BZX84-B75</ns0:v>
      </ns0:c>
      <ns0:c r="D199" s="34" t="str">
        <ns0:f>C199</ns0:f>
        <ns0:v>BZX84-B75</ns0:v>
      </ns0:c>
      <ns0:c r="E199" s="33" t="str">
        <ns0:v>±2%</ns0:v>
      </ns0:c>
      <ns0:c r="F199" s="33" t="str">
        <ns0:v>0,25 Вт</ns0:v>
      </ns0:c>
      <ns0:c r="G199" s="33" t="str">
        <ns0:v>75 В (Uст ном.)</ns0:v>
      </ns0:c>
      <ns0:c r="H199" s="35" t="str">
        <ns0:v>SOT-23</ns0:v>
      </ns0:c>
      <ns0:c r="I199" s="33" t="str">
        <ns0:v>Nexperia</ns0:v>
      </ns0:c>
      <ns0:c r="J199" s="33" t="str">
        <ns0:v>BZX84-B75</ns0:v>
      </ns0:c>
      <ns0:c r="K199" s="34" t="str">
        <ns0:f>B199&amp;" "&amp;J199</ns0:f>
        <ns0:v>Стабилитрон BZX84-B75</ns0:v>
      </ns0:c>
      <ns0:c r="L199" s="36" t="str">
        <ns0:v>Zener_1A3C</ns0:v>
      </ns0:c>
      <ns0:c r="M199" s="36" t="str">
        <ns0:v>Symbols\MY_LIB_Semiconductors.SchLib</ns0:v>
      </ns0:c>
      <ns0:c r="N199" s="36" t="str">
        <ns0:v>SOT23-3</ns0:v>
      </ns0:c>
      <ns0:c r="O199" s="36" t="str">
        <ns0:v>Footprints\PBL - SMD Packages.PcbLib</ns0:v>
      </ns0:c>
      <ns0:c r="P19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199" s="33"/>
      <ns0:c r="R199" s="34" t="str">
        <ns0:f>D199</ns0:f>
        <ns0:v>BZX84-B75</ns0:v>
      </ns0:c>
      <ns0:c r="S199" s="34" t="str">
        <ns0:f>K199</ns0:f>
        <ns0:v>Стабилитрон BZX84-B75</ns0:v>
      </ns0:c>
      <ns0:c r="T199" s="33" t="str">
        <ns0:v>C:\Users\Nomatin\Documents\Altium\MY_LIB\MY_LIB\Datasheets\Diodes\BZX84_Nexperia.pdf</ns0:v>
      </ns0:c>
      <ns0:c r="U199" s="33" t="str">
        <ns0:v>Rev. 7, 01-Jan-2023</ns0:v>
      </ns0:c>
      <ns0:c r="V199" s="33" t="str">
        <ns0:v>Даташит — локальный</ns0:v>
      </ns0:c>
      <ns0:c r="W199" s="33" t="str">
        <ns0:v>C:\Users\Nomatin\Documents\Altium\MY_LIB\MY_LIB\Datasheets\Diodes\BZX84_Nexperia.pdf</ns0:v>
      </ns0:c>
      <ns0:c r="X199" s="33" t="str">
        <ns0:v>Даташит — производитель</ns0:v>
      </ns0:c>
      <ns0:c r="Y199" s="33" t="str">
        <ns0:v>https://assets.nexperia.com/documents/data-sheet/BZX84_SER.pdf</ns0:v>
      </ns0:c>
      <ns0:c r="Z199" s="33" t="str">
        <ns0:v>C:\Users\Nomatin\Documents\Altium\MY_LIB\MY_LIB\Datasheets\Diodes\BZX84_Nexperia.pdf</ns0:v>
      </ns0:c>
      <ns0:c r="AA199" s="33" t="str">
        <ns0:v>BZX84-B</ns0:v>
      </ns0:c>
      <ns0:c r="AB199" s="33" t="str">
        <ns0:v>Одиночный</ns0:v>
      </ns0:c>
      <ns0:c r="AC199" s="33" t="str">
        <ns0:v>1=A; 2=NC; 3=K</ns0:v>
      </ns0:c>
      <ns0:c r="AD199" s="33"/>
      <ns0:c r="AE199" s="33"/>
      <ns0:c r="AF199" s="33" t="n">
        <ns0:v>75</ns0:v>
      </ns0:c>
      <ns0:c r="AG199" s="33" t="n">
        <ns0:v>2</ns0:v>
      </ns0:c>
      <ns0:c r="AH199" s="33"/>
      <ns0:c r="AI199" s="33"/>
      <ns0:c r="AJ199" s="33" t="str">
        <ns0:v>250 мВт при TA≤25 °C, стандартное посадочное место на FR4; далее снижение мощности.</ns0:v>
      </ns0:c>
    </ns0:row>
    <ns0:row r="200" ht="60" customHeight="1">
      <ns0:c r="A200" s="33" t="str">
        <ns0:v>VD0199</ns0:v>
      </ns0:c>
      <ns0:c r="B200" s="33" t="str">
        <ns0:v>Стабилитрон</ns0:v>
      </ns0:c>
      <ns0:c r="C200" s="33" t="str">
        <ns0:v>BZX84-C2V4</ns0:v>
      </ns0:c>
      <ns0:c r="D200" s="34" t="str">
        <ns0:f>C200</ns0:f>
        <ns0:v>BZX84-C2V4</ns0:v>
      </ns0:c>
      <ns0:c r="E200" s="33" t="str">
        <ns0:v>около ±5%</ns0:v>
      </ns0:c>
      <ns0:c r="F200" s="33" t="str">
        <ns0:v>0,25 Вт</ns0:v>
      </ns0:c>
      <ns0:c r="G200" s="33" t="str">
        <ns0:v>2.4 В (Uст ном.)</ns0:v>
      </ns0:c>
      <ns0:c r="H200" s="35" t="str">
        <ns0:v>SOT-23</ns0:v>
      </ns0:c>
      <ns0:c r="I200" s="33" t="str">
        <ns0:v>Nexperia</ns0:v>
      </ns0:c>
      <ns0:c r="J200" s="33" t="str">
        <ns0:v>BZX84-C2V4</ns0:v>
      </ns0:c>
      <ns0:c r="K200" s="34" t="str">
        <ns0:f>B200&amp;" "&amp;J200</ns0:f>
        <ns0:v>Стабилитрон BZX84-C2V4</ns0:v>
      </ns0:c>
      <ns0:c r="L200" s="36" t="str">
        <ns0:v>Zener_1A3C</ns0:v>
      </ns0:c>
      <ns0:c r="M200" s="36" t="str">
        <ns0:v>Symbols\MY_LIB_Semiconductors.SchLib</ns0:v>
      </ns0:c>
      <ns0:c r="N200" s="36" t="str">
        <ns0:v>SOT23-3</ns0:v>
      </ns0:c>
      <ns0:c r="O200" s="36" t="str">
        <ns0:v>Footprints\PBL - SMD Packages.PcbLib</ns0:v>
      </ns0:c>
      <ns0:c r="P20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0" s="33"/>
      <ns0:c r="R200" s="34" t="str">
        <ns0:f>D200</ns0:f>
        <ns0:v>BZX84-C2V4</ns0:v>
      </ns0:c>
      <ns0:c r="S200" s="34" t="str">
        <ns0:f>K200</ns0:f>
        <ns0:v>Стабилитрон BZX84-C2V4</ns0:v>
      </ns0:c>
      <ns0:c r="T200" s="33" t="str">
        <ns0:v>C:\Users\Nomatin\Documents\Altium\MY_LIB\MY_LIB\Datasheets\Diodes\BZX84_Nexperia.pdf</ns0:v>
      </ns0:c>
      <ns0:c r="U200" s="33" t="str">
        <ns0:v>Rev. 7, 01-Jan-2023</ns0:v>
      </ns0:c>
      <ns0:c r="V200" s="33" t="str">
        <ns0:v>Даташит — локальный</ns0:v>
      </ns0:c>
      <ns0:c r="W200" s="33" t="str">
        <ns0:v>C:\Users\Nomatin\Documents\Altium\MY_LIB\MY_LIB\Datasheets\Diodes\BZX84_Nexperia.pdf</ns0:v>
      </ns0:c>
      <ns0:c r="X200" s="33" t="str">
        <ns0:v>Даташит — производитель</ns0:v>
      </ns0:c>
      <ns0:c r="Y200" s="33" t="str">
        <ns0:v>https://assets.nexperia.com/documents/data-sheet/BZX84_SER.pdf</ns0:v>
      </ns0:c>
      <ns0:c r="Z200" s="33" t="str">
        <ns0:v>C:\Users\Nomatin\Documents\Altium\MY_LIB\MY_LIB\Datasheets\Diodes\BZX84_Nexperia.pdf</ns0:v>
      </ns0:c>
      <ns0:c r="AA200" s="33" t="str">
        <ns0:v>BZX84-C</ns0:v>
      </ns0:c>
      <ns0:c r="AB200" s="33" t="str">
        <ns0:v>Одиночный</ns0:v>
      </ns0:c>
      <ns0:c r="AC200" s="33" t="str">
        <ns0:v>1=A; 2=NC; 3=K</ns0:v>
      </ns0:c>
      <ns0:c r="AD200" s="33"/>
      <ns0:c r="AE200" s="33"/>
      <ns0:c r="AF200" s="33" t="n">
        <ns0:v>2.4</ns0:v>
      </ns0:c>
      <ns0:c r="AG200" s="33" t="n">
        <ns0:v>5</ns0:v>
      </ns0:c>
      <ns0:c r="AH200" s="33"/>
      <ns0:c r="AI200" s="33"/>
      <ns0:c r="AJ200" s="33" t="str">
        <ns0:v>250 мВт при TA≤25 °C, стандартное посадочное место на FR4; далее снижение мощности.</ns0:v>
      </ns0:c>
    </ns0:row>
    <ns0:row r="201" ht="60" customHeight="1">
      <ns0:c r="A201" s="33" t="str">
        <ns0:v>VD0200</ns0:v>
      </ns0:c>
      <ns0:c r="B201" s="33" t="str">
        <ns0:v>Стабилитрон</ns0:v>
      </ns0:c>
      <ns0:c r="C201" s="33" t="str">
        <ns0:v>BZX84-C2V7</ns0:v>
      </ns0:c>
      <ns0:c r="D201" s="34" t="str">
        <ns0:f>C201</ns0:f>
        <ns0:v>BZX84-C2V7</ns0:v>
      </ns0:c>
      <ns0:c r="E201" s="33" t="str">
        <ns0:v>около ±5%</ns0:v>
      </ns0:c>
      <ns0:c r="F201" s="33" t="str">
        <ns0:v>0,25 Вт</ns0:v>
      </ns0:c>
      <ns0:c r="G201" s="33" t="str">
        <ns0:v>2.7 В (Uст ном.)</ns0:v>
      </ns0:c>
      <ns0:c r="H201" s="35" t="str">
        <ns0:v>SOT-23</ns0:v>
      </ns0:c>
      <ns0:c r="I201" s="33" t="str">
        <ns0:v>Nexperia</ns0:v>
      </ns0:c>
      <ns0:c r="J201" s="33" t="str">
        <ns0:v>BZX84-C2V7</ns0:v>
      </ns0:c>
      <ns0:c r="K201" s="34" t="str">
        <ns0:f>B201&amp;" "&amp;J201</ns0:f>
        <ns0:v>Стабилитрон BZX84-C2V7</ns0:v>
      </ns0:c>
      <ns0:c r="L201" s="36" t="str">
        <ns0:v>Zener_1A3C</ns0:v>
      </ns0:c>
      <ns0:c r="M201" s="36" t="str">
        <ns0:v>Symbols\MY_LIB_Semiconductors.SchLib</ns0:v>
      </ns0:c>
      <ns0:c r="N201" s="36" t="str">
        <ns0:v>SOT23-3</ns0:v>
      </ns0:c>
      <ns0:c r="O201" s="36" t="str">
        <ns0:v>Footprints\PBL - SMD Packages.PcbLib</ns0:v>
      </ns0:c>
      <ns0:c r="P20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1" s="33"/>
      <ns0:c r="R201" s="34" t="str">
        <ns0:f>D201</ns0:f>
        <ns0:v>BZX84-C2V7</ns0:v>
      </ns0:c>
      <ns0:c r="S201" s="34" t="str">
        <ns0:f>K201</ns0:f>
        <ns0:v>Стабилитрон BZX84-C2V7</ns0:v>
      </ns0:c>
      <ns0:c r="T201" s="33" t="str">
        <ns0:v>C:\Users\Nomatin\Documents\Altium\MY_LIB\MY_LIB\Datasheets\Diodes\BZX84_Nexperia.pdf</ns0:v>
      </ns0:c>
      <ns0:c r="U201" s="33" t="str">
        <ns0:v>Rev. 7, 01-Jan-2023</ns0:v>
      </ns0:c>
      <ns0:c r="V201" s="33" t="str">
        <ns0:v>Даташит — локальный</ns0:v>
      </ns0:c>
      <ns0:c r="W201" s="33" t="str">
        <ns0:v>C:\Users\Nomatin\Documents\Altium\MY_LIB\MY_LIB\Datasheets\Diodes\BZX84_Nexperia.pdf</ns0:v>
      </ns0:c>
      <ns0:c r="X201" s="33" t="str">
        <ns0:v>Даташит — производитель</ns0:v>
      </ns0:c>
      <ns0:c r="Y201" s="33" t="str">
        <ns0:v>https://assets.nexperia.com/documents/data-sheet/BZX84_SER.pdf</ns0:v>
      </ns0:c>
      <ns0:c r="Z201" s="33" t="str">
        <ns0:v>C:\Users\Nomatin\Documents\Altium\MY_LIB\MY_LIB\Datasheets\Diodes\BZX84_Nexperia.pdf</ns0:v>
      </ns0:c>
      <ns0:c r="AA201" s="33" t="str">
        <ns0:v>BZX84-C</ns0:v>
      </ns0:c>
      <ns0:c r="AB201" s="33" t="str">
        <ns0:v>Одиночный</ns0:v>
      </ns0:c>
      <ns0:c r="AC201" s="33" t="str">
        <ns0:v>1=A; 2=NC; 3=K</ns0:v>
      </ns0:c>
      <ns0:c r="AD201" s="33"/>
      <ns0:c r="AE201" s="33"/>
      <ns0:c r="AF201" s="33" t="n">
        <ns0:v>2.7</ns0:v>
      </ns0:c>
      <ns0:c r="AG201" s="33" t="n">
        <ns0:v>5</ns0:v>
      </ns0:c>
      <ns0:c r="AH201" s="33"/>
      <ns0:c r="AI201" s="33"/>
      <ns0:c r="AJ201" s="33" t="str">
        <ns0:v>250 мВт при TA≤25 °C, стандартное посадочное место на FR4; далее снижение мощности.</ns0:v>
      </ns0:c>
    </ns0:row>
    <ns0:row r="202" ht="60" customHeight="1">
      <ns0:c r="A202" s="33" t="str">
        <ns0:v>VD0201</ns0:v>
      </ns0:c>
      <ns0:c r="B202" s="33" t="str">
        <ns0:v>Стабилитрон</ns0:v>
      </ns0:c>
      <ns0:c r="C202" s="33" t="str">
        <ns0:v>BZX84-C3V0</ns0:v>
      </ns0:c>
      <ns0:c r="D202" s="34" t="str">
        <ns0:f>C202</ns0:f>
        <ns0:v>BZX84-C3V0</ns0:v>
      </ns0:c>
      <ns0:c r="E202" s="33" t="str">
        <ns0:v>около ±5%</ns0:v>
      </ns0:c>
      <ns0:c r="F202" s="33" t="str">
        <ns0:v>0,25 Вт</ns0:v>
      </ns0:c>
      <ns0:c r="G202" s="33" t="str">
        <ns0:v>3 В (Uст ном.)</ns0:v>
      </ns0:c>
      <ns0:c r="H202" s="35" t="str">
        <ns0:v>SOT-23</ns0:v>
      </ns0:c>
      <ns0:c r="I202" s="33" t="str">
        <ns0:v>Nexperia</ns0:v>
      </ns0:c>
      <ns0:c r="J202" s="33" t="str">
        <ns0:v>BZX84-C3V0</ns0:v>
      </ns0:c>
      <ns0:c r="K202" s="34" t="str">
        <ns0:f>B202&amp;" "&amp;J202</ns0:f>
        <ns0:v>Стабилитрон BZX84-C3V0</ns0:v>
      </ns0:c>
      <ns0:c r="L202" s="36" t="str">
        <ns0:v>Zener_1A3C</ns0:v>
      </ns0:c>
      <ns0:c r="M202" s="36" t="str">
        <ns0:v>Symbols\MY_LIB_Semiconductors.SchLib</ns0:v>
      </ns0:c>
      <ns0:c r="N202" s="36" t="str">
        <ns0:v>SOT23-3</ns0:v>
      </ns0:c>
      <ns0:c r="O202" s="36" t="str">
        <ns0:v>Footprints\PBL - SMD Packages.PcbLib</ns0:v>
      </ns0:c>
      <ns0:c r="P20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2" s="33"/>
      <ns0:c r="R202" s="34" t="str">
        <ns0:f>D202</ns0:f>
        <ns0:v>BZX84-C3V0</ns0:v>
      </ns0:c>
      <ns0:c r="S202" s="34" t="str">
        <ns0:f>K202</ns0:f>
        <ns0:v>Стабилитрон BZX84-C3V0</ns0:v>
      </ns0:c>
      <ns0:c r="T202" s="33" t="str">
        <ns0:v>C:\Users\Nomatin\Documents\Altium\MY_LIB\MY_LIB\Datasheets\Diodes\BZX84_Nexperia.pdf</ns0:v>
      </ns0:c>
      <ns0:c r="U202" s="33" t="str">
        <ns0:v>Rev. 7, 01-Jan-2023</ns0:v>
      </ns0:c>
      <ns0:c r="V202" s="33" t="str">
        <ns0:v>Даташит — локальный</ns0:v>
      </ns0:c>
      <ns0:c r="W202" s="33" t="str">
        <ns0:v>C:\Users\Nomatin\Documents\Altium\MY_LIB\MY_LIB\Datasheets\Diodes\BZX84_Nexperia.pdf</ns0:v>
      </ns0:c>
      <ns0:c r="X202" s="33" t="str">
        <ns0:v>Даташит — производитель</ns0:v>
      </ns0:c>
      <ns0:c r="Y202" s="33" t="str">
        <ns0:v>https://assets.nexperia.com/documents/data-sheet/BZX84_SER.pdf</ns0:v>
      </ns0:c>
      <ns0:c r="Z202" s="33" t="str">
        <ns0:v>C:\Users\Nomatin\Documents\Altium\MY_LIB\MY_LIB\Datasheets\Diodes\BZX84_Nexperia.pdf</ns0:v>
      </ns0:c>
      <ns0:c r="AA202" s="33" t="str">
        <ns0:v>BZX84-C</ns0:v>
      </ns0:c>
      <ns0:c r="AB202" s="33" t="str">
        <ns0:v>Одиночный</ns0:v>
      </ns0:c>
      <ns0:c r="AC202" s="33" t="str">
        <ns0:v>1=A; 2=NC; 3=K</ns0:v>
      </ns0:c>
      <ns0:c r="AD202" s="33"/>
      <ns0:c r="AE202" s="33"/>
      <ns0:c r="AF202" s="33" t="n">
        <ns0:v>3</ns0:v>
      </ns0:c>
      <ns0:c r="AG202" s="33" t="n">
        <ns0:v>5</ns0:v>
      </ns0:c>
      <ns0:c r="AH202" s="33"/>
      <ns0:c r="AI202" s="33"/>
      <ns0:c r="AJ202" s="33" t="str">
        <ns0:v>250 мВт при TA≤25 °C, стандартное посадочное место на FR4; далее снижение мощности.</ns0:v>
      </ns0:c>
    </ns0:row>
    <ns0:row r="203" ht="60" customHeight="1">
      <ns0:c r="A203" s="33" t="str">
        <ns0:v>VD0202</ns0:v>
      </ns0:c>
      <ns0:c r="B203" s="33" t="str">
        <ns0:v>Стабилитрон</ns0:v>
      </ns0:c>
      <ns0:c r="C203" s="33" t="str">
        <ns0:v>BZX84-C3V3</ns0:v>
      </ns0:c>
      <ns0:c r="D203" s="34" t="str">
        <ns0:f>C203</ns0:f>
        <ns0:v>BZX84-C3V3</ns0:v>
      </ns0:c>
      <ns0:c r="E203" s="33" t="str">
        <ns0:v>около ±5%</ns0:v>
      </ns0:c>
      <ns0:c r="F203" s="33" t="str">
        <ns0:v>0,25 Вт</ns0:v>
      </ns0:c>
      <ns0:c r="G203" s="33" t="str">
        <ns0:v>3.3 В (Uст ном.)</ns0:v>
      </ns0:c>
      <ns0:c r="H203" s="35" t="str">
        <ns0:v>SOT-23</ns0:v>
      </ns0:c>
      <ns0:c r="I203" s="33" t="str">
        <ns0:v>Nexperia</ns0:v>
      </ns0:c>
      <ns0:c r="J203" s="33" t="str">
        <ns0:v>BZX84-C3V3</ns0:v>
      </ns0:c>
      <ns0:c r="K203" s="34" t="str">
        <ns0:f>B203&amp;" "&amp;J203</ns0:f>
        <ns0:v>Стабилитрон BZX84-C3V3</ns0:v>
      </ns0:c>
      <ns0:c r="L203" s="36" t="str">
        <ns0:v>Zener_1A3C</ns0:v>
      </ns0:c>
      <ns0:c r="M203" s="36" t="str">
        <ns0:v>Symbols\MY_LIB_Semiconductors.SchLib</ns0:v>
      </ns0:c>
      <ns0:c r="N203" s="36" t="str">
        <ns0:v>SOT23-3</ns0:v>
      </ns0:c>
      <ns0:c r="O203" s="36" t="str">
        <ns0:v>Footprints\PBL - SMD Packages.PcbLib</ns0:v>
      </ns0:c>
      <ns0:c r="P20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3" s="33"/>
      <ns0:c r="R203" s="34" t="str">
        <ns0:f>D203</ns0:f>
        <ns0:v>BZX84-C3V3</ns0:v>
      </ns0:c>
      <ns0:c r="S203" s="34" t="str">
        <ns0:f>K203</ns0:f>
        <ns0:v>Стабилитрон BZX84-C3V3</ns0:v>
      </ns0:c>
      <ns0:c r="T203" s="33" t="str">
        <ns0:v>C:\Users\Nomatin\Documents\Altium\MY_LIB\MY_LIB\Datasheets\Diodes\BZX84_Nexperia.pdf</ns0:v>
      </ns0:c>
      <ns0:c r="U203" s="33" t="str">
        <ns0:v>Rev. 7, 01-Jan-2023</ns0:v>
      </ns0:c>
      <ns0:c r="V203" s="33" t="str">
        <ns0:v>Даташит — локальный</ns0:v>
      </ns0:c>
      <ns0:c r="W203" s="33" t="str">
        <ns0:v>C:\Users\Nomatin\Documents\Altium\MY_LIB\MY_LIB\Datasheets\Diodes\BZX84_Nexperia.pdf</ns0:v>
      </ns0:c>
      <ns0:c r="X203" s="33" t="str">
        <ns0:v>Даташит — производитель</ns0:v>
      </ns0:c>
      <ns0:c r="Y203" s="33" t="str">
        <ns0:v>https://assets.nexperia.com/documents/data-sheet/BZX84_SER.pdf</ns0:v>
      </ns0:c>
      <ns0:c r="Z203" s="33" t="str">
        <ns0:v>C:\Users\Nomatin\Documents\Altium\MY_LIB\MY_LIB\Datasheets\Diodes\BZX84_Nexperia.pdf</ns0:v>
      </ns0:c>
      <ns0:c r="AA203" s="33" t="str">
        <ns0:v>BZX84-C</ns0:v>
      </ns0:c>
      <ns0:c r="AB203" s="33" t="str">
        <ns0:v>Одиночный</ns0:v>
      </ns0:c>
      <ns0:c r="AC203" s="33" t="str">
        <ns0:v>1=A; 2=NC; 3=K</ns0:v>
      </ns0:c>
      <ns0:c r="AD203" s="33"/>
      <ns0:c r="AE203" s="33"/>
      <ns0:c r="AF203" s="33" t="n">
        <ns0:v>3.3</ns0:v>
      </ns0:c>
      <ns0:c r="AG203" s="33" t="n">
        <ns0:v>5</ns0:v>
      </ns0:c>
      <ns0:c r="AH203" s="33"/>
      <ns0:c r="AI203" s="33"/>
      <ns0:c r="AJ203" s="33" t="str">
        <ns0:v>250 мВт при TA≤25 °C, стандартное посадочное место на FR4; далее снижение мощности.</ns0:v>
      </ns0:c>
    </ns0:row>
    <ns0:row r="204" ht="60" customHeight="1">
      <ns0:c r="A204" s="33" t="str">
        <ns0:v>VD0203</ns0:v>
      </ns0:c>
      <ns0:c r="B204" s="33" t="str">
        <ns0:v>Стабилитрон</ns0:v>
      </ns0:c>
      <ns0:c r="C204" s="33" t="str">
        <ns0:v>BZX84-C3V6</ns0:v>
      </ns0:c>
      <ns0:c r="D204" s="34" t="str">
        <ns0:f>C204</ns0:f>
        <ns0:v>BZX84-C3V6</ns0:v>
      </ns0:c>
      <ns0:c r="E204" s="33" t="str">
        <ns0:v>около ±5%</ns0:v>
      </ns0:c>
      <ns0:c r="F204" s="33" t="str">
        <ns0:v>0,25 Вт</ns0:v>
      </ns0:c>
      <ns0:c r="G204" s="33" t="str">
        <ns0:v>3.6 В (Uст ном.)</ns0:v>
      </ns0:c>
      <ns0:c r="H204" s="35" t="str">
        <ns0:v>SOT-23</ns0:v>
      </ns0:c>
      <ns0:c r="I204" s="33" t="str">
        <ns0:v>Nexperia</ns0:v>
      </ns0:c>
      <ns0:c r="J204" s="33" t="str">
        <ns0:v>BZX84-C3V6</ns0:v>
      </ns0:c>
      <ns0:c r="K204" s="34" t="str">
        <ns0:f>B204&amp;" "&amp;J204</ns0:f>
        <ns0:v>Стабилитрон BZX84-C3V6</ns0:v>
      </ns0:c>
      <ns0:c r="L204" s="36" t="str">
        <ns0:v>Zener_1A3C</ns0:v>
      </ns0:c>
      <ns0:c r="M204" s="36" t="str">
        <ns0:v>Symbols\MY_LIB_Semiconductors.SchLib</ns0:v>
      </ns0:c>
      <ns0:c r="N204" s="36" t="str">
        <ns0:v>SOT23-3</ns0:v>
      </ns0:c>
      <ns0:c r="O204" s="36" t="str">
        <ns0:v>Footprints\PBL - SMD Packages.PcbLib</ns0:v>
      </ns0:c>
      <ns0:c r="P20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4" s="33"/>
      <ns0:c r="R204" s="34" t="str">
        <ns0:f>D204</ns0:f>
        <ns0:v>BZX84-C3V6</ns0:v>
      </ns0:c>
      <ns0:c r="S204" s="34" t="str">
        <ns0:f>K204</ns0:f>
        <ns0:v>Стабилитрон BZX84-C3V6</ns0:v>
      </ns0:c>
      <ns0:c r="T204" s="33" t="str">
        <ns0:v>C:\Users\Nomatin\Documents\Altium\MY_LIB\MY_LIB\Datasheets\Diodes\BZX84_Nexperia.pdf</ns0:v>
      </ns0:c>
      <ns0:c r="U204" s="33" t="str">
        <ns0:v>Rev. 7, 01-Jan-2023</ns0:v>
      </ns0:c>
      <ns0:c r="V204" s="33" t="str">
        <ns0:v>Даташит — локальный</ns0:v>
      </ns0:c>
      <ns0:c r="W204" s="33" t="str">
        <ns0:v>C:\Users\Nomatin\Documents\Altium\MY_LIB\MY_LIB\Datasheets\Diodes\BZX84_Nexperia.pdf</ns0:v>
      </ns0:c>
      <ns0:c r="X204" s="33" t="str">
        <ns0:v>Даташит — производитель</ns0:v>
      </ns0:c>
      <ns0:c r="Y204" s="33" t="str">
        <ns0:v>https://assets.nexperia.com/documents/data-sheet/BZX84_SER.pdf</ns0:v>
      </ns0:c>
      <ns0:c r="Z204" s="33" t="str">
        <ns0:v>C:\Users\Nomatin\Documents\Altium\MY_LIB\MY_LIB\Datasheets\Diodes\BZX84_Nexperia.pdf</ns0:v>
      </ns0:c>
      <ns0:c r="AA204" s="33" t="str">
        <ns0:v>BZX84-C</ns0:v>
      </ns0:c>
      <ns0:c r="AB204" s="33" t="str">
        <ns0:v>Одиночный</ns0:v>
      </ns0:c>
      <ns0:c r="AC204" s="33" t="str">
        <ns0:v>1=A; 2=NC; 3=K</ns0:v>
      </ns0:c>
      <ns0:c r="AD204" s="33"/>
      <ns0:c r="AE204" s="33"/>
      <ns0:c r="AF204" s="33" t="n">
        <ns0:v>3.6</ns0:v>
      </ns0:c>
      <ns0:c r="AG204" s="33" t="n">
        <ns0:v>5</ns0:v>
      </ns0:c>
      <ns0:c r="AH204" s="33"/>
      <ns0:c r="AI204" s="33"/>
      <ns0:c r="AJ204" s="33" t="str">
        <ns0:v>250 мВт при TA≤25 °C, стандартное посадочное место на FR4; далее снижение мощности.</ns0:v>
      </ns0:c>
    </ns0:row>
    <ns0:row r="205" ht="60" customHeight="1">
      <ns0:c r="A205" s="33" t="str">
        <ns0:v>VD0204</ns0:v>
      </ns0:c>
      <ns0:c r="B205" s="33" t="str">
        <ns0:v>Стабилитрон</ns0:v>
      </ns0:c>
      <ns0:c r="C205" s="33" t="str">
        <ns0:v>BZX84-C3V9</ns0:v>
      </ns0:c>
      <ns0:c r="D205" s="34" t="str">
        <ns0:f>C205</ns0:f>
        <ns0:v>BZX84-C3V9</ns0:v>
      </ns0:c>
      <ns0:c r="E205" s="33" t="str">
        <ns0:v>около ±5%</ns0:v>
      </ns0:c>
      <ns0:c r="F205" s="33" t="str">
        <ns0:v>0,25 Вт</ns0:v>
      </ns0:c>
      <ns0:c r="G205" s="33" t="str">
        <ns0:v>3.9 В (Uст ном.)</ns0:v>
      </ns0:c>
      <ns0:c r="H205" s="35" t="str">
        <ns0:v>SOT-23</ns0:v>
      </ns0:c>
      <ns0:c r="I205" s="33" t="str">
        <ns0:v>Nexperia</ns0:v>
      </ns0:c>
      <ns0:c r="J205" s="33" t="str">
        <ns0:v>BZX84-C3V9</ns0:v>
      </ns0:c>
      <ns0:c r="K205" s="34" t="str">
        <ns0:f>B205&amp;" "&amp;J205</ns0:f>
        <ns0:v>Стабилитрон BZX84-C3V9</ns0:v>
      </ns0:c>
      <ns0:c r="L205" s="36" t="str">
        <ns0:v>Zener_1A3C</ns0:v>
      </ns0:c>
      <ns0:c r="M205" s="36" t="str">
        <ns0:v>Symbols\MY_LIB_Semiconductors.SchLib</ns0:v>
      </ns0:c>
      <ns0:c r="N205" s="36" t="str">
        <ns0:v>SOT23-3</ns0:v>
      </ns0:c>
      <ns0:c r="O205" s="36" t="str">
        <ns0:v>Footprints\PBL - SMD Packages.PcbLib</ns0:v>
      </ns0:c>
      <ns0:c r="P20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5" s="33"/>
      <ns0:c r="R205" s="34" t="str">
        <ns0:f>D205</ns0:f>
        <ns0:v>BZX84-C3V9</ns0:v>
      </ns0:c>
      <ns0:c r="S205" s="34" t="str">
        <ns0:f>K205</ns0:f>
        <ns0:v>Стабилитрон BZX84-C3V9</ns0:v>
      </ns0:c>
      <ns0:c r="T205" s="33" t="str">
        <ns0:v>C:\Users\Nomatin\Documents\Altium\MY_LIB\MY_LIB\Datasheets\Diodes\BZX84_Nexperia.pdf</ns0:v>
      </ns0:c>
      <ns0:c r="U205" s="33" t="str">
        <ns0:v>Rev. 7, 01-Jan-2023</ns0:v>
      </ns0:c>
      <ns0:c r="V205" s="33" t="str">
        <ns0:v>Даташит — локальный</ns0:v>
      </ns0:c>
      <ns0:c r="W205" s="33" t="str">
        <ns0:v>C:\Users\Nomatin\Documents\Altium\MY_LIB\MY_LIB\Datasheets\Diodes\BZX84_Nexperia.pdf</ns0:v>
      </ns0:c>
      <ns0:c r="X205" s="33" t="str">
        <ns0:v>Даташит — производитель</ns0:v>
      </ns0:c>
      <ns0:c r="Y205" s="33" t="str">
        <ns0:v>https://assets.nexperia.com/documents/data-sheet/BZX84_SER.pdf</ns0:v>
      </ns0:c>
      <ns0:c r="Z205" s="33" t="str">
        <ns0:v>C:\Users\Nomatin\Documents\Altium\MY_LIB\MY_LIB\Datasheets\Diodes\BZX84_Nexperia.pdf</ns0:v>
      </ns0:c>
      <ns0:c r="AA205" s="33" t="str">
        <ns0:v>BZX84-C</ns0:v>
      </ns0:c>
      <ns0:c r="AB205" s="33" t="str">
        <ns0:v>Одиночный</ns0:v>
      </ns0:c>
      <ns0:c r="AC205" s="33" t="str">
        <ns0:v>1=A; 2=NC; 3=K</ns0:v>
      </ns0:c>
      <ns0:c r="AD205" s="33"/>
      <ns0:c r="AE205" s="33"/>
      <ns0:c r="AF205" s="33" t="n">
        <ns0:v>3.9</ns0:v>
      </ns0:c>
      <ns0:c r="AG205" s="33" t="n">
        <ns0:v>5</ns0:v>
      </ns0:c>
      <ns0:c r="AH205" s="33"/>
      <ns0:c r="AI205" s="33"/>
      <ns0:c r="AJ205" s="33" t="str">
        <ns0:v>250 мВт при TA≤25 °C, стандартное посадочное место на FR4; далее снижение мощности.</ns0:v>
      </ns0:c>
    </ns0:row>
    <ns0:row r="206" ht="60" customHeight="1">
      <ns0:c r="A206" s="33" t="str">
        <ns0:v>VD0205</ns0:v>
      </ns0:c>
      <ns0:c r="B206" s="33" t="str">
        <ns0:v>Стабилитрон</ns0:v>
      </ns0:c>
      <ns0:c r="C206" s="33" t="str">
        <ns0:v>BZX84-C4V3</ns0:v>
      </ns0:c>
      <ns0:c r="D206" s="34" t="str">
        <ns0:f>C206</ns0:f>
        <ns0:v>BZX84-C4V3</ns0:v>
      </ns0:c>
      <ns0:c r="E206" s="33" t="str">
        <ns0:v>около ±5%</ns0:v>
      </ns0:c>
      <ns0:c r="F206" s="33" t="str">
        <ns0:v>0,25 Вт</ns0:v>
      </ns0:c>
      <ns0:c r="G206" s="33" t="str">
        <ns0:v>4.3 В (Uст ном.)</ns0:v>
      </ns0:c>
      <ns0:c r="H206" s="35" t="str">
        <ns0:v>SOT-23</ns0:v>
      </ns0:c>
      <ns0:c r="I206" s="33" t="str">
        <ns0:v>Nexperia</ns0:v>
      </ns0:c>
      <ns0:c r="J206" s="33" t="str">
        <ns0:v>BZX84-C4V3</ns0:v>
      </ns0:c>
      <ns0:c r="K206" s="34" t="str">
        <ns0:f>B206&amp;" "&amp;J206</ns0:f>
        <ns0:v>Стабилитрон BZX84-C4V3</ns0:v>
      </ns0:c>
      <ns0:c r="L206" s="36" t="str">
        <ns0:v>Zener_1A3C</ns0:v>
      </ns0:c>
      <ns0:c r="M206" s="36" t="str">
        <ns0:v>Symbols\MY_LIB_Semiconductors.SchLib</ns0:v>
      </ns0:c>
      <ns0:c r="N206" s="36" t="str">
        <ns0:v>SOT23-3</ns0:v>
      </ns0:c>
      <ns0:c r="O206" s="36" t="str">
        <ns0:v>Footprints\PBL - SMD Packages.PcbLib</ns0:v>
      </ns0:c>
      <ns0:c r="P20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6" s="33"/>
      <ns0:c r="R206" s="34" t="str">
        <ns0:f>D206</ns0:f>
        <ns0:v>BZX84-C4V3</ns0:v>
      </ns0:c>
      <ns0:c r="S206" s="34" t="str">
        <ns0:f>K206</ns0:f>
        <ns0:v>Стабилитрон BZX84-C4V3</ns0:v>
      </ns0:c>
      <ns0:c r="T206" s="33" t="str">
        <ns0:v>C:\Users\Nomatin\Documents\Altium\MY_LIB\MY_LIB\Datasheets\Diodes\BZX84_Nexperia.pdf</ns0:v>
      </ns0:c>
      <ns0:c r="U206" s="33" t="str">
        <ns0:v>Rev. 7, 01-Jan-2023</ns0:v>
      </ns0:c>
      <ns0:c r="V206" s="33" t="str">
        <ns0:v>Даташит — локальный</ns0:v>
      </ns0:c>
      <ns0:c r="W206" s="33" t="str">
        <ns0:v>C:\Users\Nomatin\Documents\Altium\MY_LIB\MY_LIB\Datasheets\Diodes\BZX84_Nexperia.pdf</ns0:v>
      </ns0:c>
      <ns0:c r="X206" s="33" t="str">
        <ns0:v>Даташит — производитель</ns0:v>
      </ns0:c>
      <ns0:c r="Y206" s="33" t="str">
        <ns0:v>https://assets.nexperia.com/documents/data-sheet/BZX84_SER.pdf</ns0:v>
      </ns0:c>
      <ns0:c r="Z206" s="33" t="str">
        <ns0:v>C:\Users\Nomatin\Documents\Altium\MY_LIB\MY_LIB\Datasheets\Diodes\BZX84_Nexperia.pdf</ns0:v>
      </ns0:c>
      <ns0:c r="AA206" s="33" t="str">
        <ns0:v>BZX84-C</ns0:v>
      </ns0:c>
      <ns0:c r="AB206" s="33" t="str">
        <ns0:v>Одиночный</ns0:v>
      </ns0:c>
      <ns0:c r="AC206" s="33" t="str">
        <ns0:v>1=A; 2=NC; 3=K</ns0:v>
      </ns0:c>
      <ns0:c r="AD206" s="33"/>
      <ns0:c r="AE206" s="33"/>
      <ns0:c r="AF206" s="33" t="n">
        <ns0:v>4.3</ns0:v>
      </ns0:c>
      <ns0:c r="AG206" s="33" t="n">
        <ns0:v>5</ns0:v>
      </ns0:c>
      <ns0:c r="AH206" s="33"/>
      <ns0:c r="AI206" s="33"/>
      <ns0:c r="AJ206" s="33" t="str">
        <ns0:v>250 мВт при TA≤25 °C, стандартное посадочное место на FR4; далее снижение мощности.</ns0:v>
      </ns0:c>
    </ns0:row>
    <ns0:row r="207" ht="60" customHeight="1">
      <ns0:c r="A207" s="33" t="str">
        <ns0:v>VD0206</ns0:v>
      </ns0:c>
      <ns0:c r="B207" s="33" t="str">
        <ns0:v>Стабилитрон</ns0:v>
      </ns0:c>
      <ns0:c r="C207" s="33" t="str">
        <ns0:v>BZX84-C4V7</ns0:v>
      </ns0:c>
      <ns0:c r="D207" s="34" t="str">
        <ns0:f>C207</ns0:f>
        <ns0:v>BZX84-C4V7</ns0:v>
      </ns0:c>
      <ns0:c r="E207" s="33" t="str">
        <ns0:v>около ±5%</ns0:v>
      </ns0:c>
      <ns0:c r="F207" s="33" t="str">
        <ns0:v>0,25 Вт</ns0:v>
      </ns0:c>
      <ns0:c r="G207" s="33" t="str">
        <ns0:v>4.7 В (Uст ном.)</ns0:v>
      </ns0:c>
      <ns0:c r="H207" s="35" t="str">
        <ns0:v>SOT-23</ns0:v>
      </ns0:c>
      <ns0:c r="I207" s="33" t="str">
        <ns0:v>Nexperia</ns0:v>
      </ns0:c>
      <ns0:c r="J207" s="33" t="str">
        <ns0:v>BZX84-C4V7</ns0:v>
      </ns0:c>
      <ns0:c r="K207" s="34" t="str">
        <ns0:f>B207&amp;" "&amp;J207</ns0:f>
        <ns0:v>Стабилитрон BZX84-C4V7</ns0:v>
      </ns0:c>
      <ns0:c r="L207" s="36" t="str">
        <ns0:v>Zener_1A3C</ns0:v>
      </ns0:c>
      <ns0:c r="M207" s="36" t="str">
        <ns0:v>Symbols\MY_LIB_Semiconductors.SchLib</ns0:v>
      </ns0:c>
      <ns0:c r="N207" s="36" t="str">
        <ns0:v>SOT23-3</ns0:v>
      </ns0:c>
      <ns0:c r="O207" s="36" t="str">
        <ns0:v>Footprints\PBL - SMD Packages.PcbLib</ns0:v>
      </ns0:c>
      <ns0:c r="P20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7" s="33"/>
      <ns0:c r="R207" s="34" t="str">
        <ns0:f>D207</ns0:f>
        <ns0:v>BZX84-C4V7</ns0:v>
      </ns0:c>
      <ns0:c r="S207" s="34" t="str">
        <ns0:f>K207</ns0:f>
        <ns0:v>Стабилитрон BZX84-C4V7</ns0:v>
      </ns0:c>
      <ns0:c r="T207" s="33" t="str">
        <ns0:v>C:\Users\Nomatin\Documents\Altium\MY_LIB\MY_LIB\Datasheets\Diodes\BZX84_Nexperia.pdf</ns0:v>
      </ns0:c>
      <ns0:c r="U207" s="33" t="str">
        <ns0:v>Rev. 7, 01-Jan-2023</ns0:v>
      </ns0:c>
      <ns0:c r="V207" s="33" t="str">
        <ns0:v>Даташит — локальный</ns0:v>
      </ns0:c>
      <ns0:c r="W207" s="33" t="str">
        <ns0:v>C:\Users\Nomatin\Documents\Altium\MY_LIB\MY_LIB\Datasheets\Diodes\BZX84_Nexperia.pdf</ns0:v>
      </ns0:c>
      <ns0:c r="X207" s="33" t="str">
        <ns0:v>Даташит — производитель</ns0:v>
      </ns0:c>
      <ns0:c r="Y207" s="33" t="str">
        <ns0:v>https://assets.nexperia.com/documents/data-sheet/BZX84_SER.pdf</ns0:v>
      </ns0:c>
      <ns0:c r="Z207" s="33" t="str">
        <ns0:v>C:\Users\Nomatin\Documents\Altium\MY_LIB\MY_LIB\Datasheets\Diodes\BZX84_Nexperia.pdf</ns0:v>
      </ns0:c>
      <ns0:c r="AA207" s="33" t="str">
        <ns0:v>BZX84-C</ns0:v>
      </ns0:c>
      <ns0:c r="AB207" s="33" t="str">
        <ns0:v>Одиночный</ns0:v>
      </ns0:c>
      <ns0:c r="AC207" s="33" t="str">
        <ns0:v>1=A; 2=NC; 3=K</ns0:v>
      </ns0:c>
      <ns0:c r="AD207" s="33"/>
      <ns0:c r="AE207" s="33"/>
      <ns0:c r="AF207" s="33" t="n">
        <ns0:v>4.7</ns0:v>
      </ns0:c>
      <ns0:c r="AG207" s="33" t="n">
        <ns0:v>5</ns0:v>
      </ns0:c>
      <ns0:c r="AH207" s="33"/>
      <ns0:c r="AI207" s="33"/>
      <ns0:c r="AJ207" s="33" t="str">
        <ns0:v>250 мВт при TA≤25 °C, стандартное посадочное место на FR4; далее снижение мощности.</ns0:v>
      </ns0:c>
    </ns0:row>
    <ns0:row r="208" ht="60" customHeight="1">
      <ns0:c r="A208" s="33" t="str">
        <ns0:v>VD0207</ns0:v>
      </ns0:c>
      <ns0:c r="B208" s="33" t="str">
        <ns0:v>Стабилитрон</ns0:v>
      </ns0:c>
      <ns0:c r="C208" s="33" t="str">
        <ns0:v>BZX84-C5V1</ns0:v>
      </ns0:c>
      <ns0:c r="D208" s="34" t="str">
        <ns0:f>C208</ns0:f>
        <ns0:v>BZX84-C5V1</ns0:v>
      </ns0:c>
      <ns0:c r="E208" s="33" t="str">
        <ns0:v>около ±5%</ns0:v>
      </ns0:c>
      <ns0:c r="F208" s="33" t="str">
        <ns0:v>0,25 Вт</ns0:v>
      </ns0:c>
      <ns0:c r="G208" s="33" t="str">
        <ns0:v>5.1 В (Uст ном.)</ns0:v>
      </ns0:c>
      <ns0:c r="H208" s="35" t="str">
        <ns0:v>SOT-23</ns0:v>
      </ns0:c>
      <ns0:c r="I208" s="33" t="str">
        <ns0:v>Nexperia</ns0:v>
      </ns0:c>
      <ns0:c r="J208" s="33" t="str">
        <ns0:v>BZX84-C5V1</ns0:v>
      </ns0:c>
      <ns0:c r="K208" s="34" t="str">
        <ns0:f>B208&amp;" "&amp;J208</ns0:f>
        <ns0:v>Стабилитрон BZX84-C5V1</ns0:v>
      </ns0:c>
      <ns0:c r="L208" s="36" t="str">
        <ns0:v>Zener_1A3C</ns0:v>
      </ns0:c>
      <ns0:c r="M208" s="36" t="str">
        <ns0:v>Symbols\MY_LIB_Semiconductors.SchLib</ns0:v>
      </ns0:c>
      <ns0:c r="N208" s="36" t="str">
        <ns0:v>SOT23-3</ns0:v>
      </ns0:c>
      <ns0:c r="O208" s="36" t="str">
        <ns0:v>Footprints\PBL - SMD Packages.PcbLib</ns0:v>
      </ns0:c>
      <ns0:c r="P20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8" s="33"/>
      <ns0:c r="R208" s="34" t="str">
        <ns0:f>D208</ns0:f>
        <ns0:v>BZX84-C5V1</ns0:v>
      </ns0:c>
      <ns0:c r="S208" s="34" t="str">
        <ns0:f>K208</ns0:f>
        <ns0:v>Стабилитрон BZX84-C5V1</ns0:v>
      </ns0:c>
      <ns0:c r="T208" s="33" t="str">
        <ns0:v>C:\Users\Nomatin\Documents\Altium\MY_LIB\MY_LIB\Datasheets\Diodes\BZX84_Nexperia.pdf</ns0:v>
      </ns0:c>
      <ns0:c r="U208" s="33" t="str">
        <ns0:v>Rev. 7, 01-Jan-2023</ns0:v>
      </ns0:c>
      <ns0:c r="V208" s="33" t="str">
        <ns0:v>Даташит — локальный</ns0:v>
      </ns0:c>
      <ns0:c r="W208" s="33" t="str">
        <ns0:v>C:\Users\Nomatin\Documents\Altium\MY_LIB\MY_LIB\Datasheets\Diodes\BZX84_Nexperia.pdf</ns0:v>
      </ns0:c>
      <ns0:c r="X208" s="33" t="str">
        <ns0:v>Даташит — производитель</ns0:v>
      </ns0:c>
      <ns0:c r="Y208" s="33" t="str">
        <ns0:v>https://assets.nexperia.com/documents/data-sheet/BZX84_SER.pdf</ns0:v>
      </ns0:c>
      <ns0:c r="Z208" s="33" t="str">
        <ns0:v>C:\Users\Nomatin\Documents\Altium\MY_LIB\MY_LIB\Datasheets\Diodes\BZX84_Nexperia.pdf</ns0:v>
      </ns0:c>
      <ns0:c r="AA208" s="33" t="str">
        <ns0:v>BZX84-C</ns0:v>
      </ns0:c>
      <ns0:c r="AB208" s="33" t="str">
        <ns0:v>Одиночный</ns0:v>
      </ns0:c>
      <ns0:c r="AC208" s="33" t="str">
        <ns0:v>1=A; 2=NC; 3=K</ns0:v>
      </ns0:c>
      <ns0:c r="AD208" s="33"/>
      <ns0:c r="AE208" s="33"/>
      <ns0:c r="AF208" s="33" t="n">
        <ns0:v>5.1</ns0:v>
      </ns0:c>
      <ns0:c r="AG208" s="33" t="n">
        <ns0:v>5</ns0:v>
      </ns0:c>
      <ns0:c r="AH208" s="33"/>
      <ns0:c r="AI208" s="33"/>
      <ns0:c r="AJ208" s="33" t="str">
        <ns0:v>250 мВт при TA≤25 °C, стандартное посадочное место на FR4; далее снижение мощности.</ns0:v>
      </ns0:c>
    </ns0:row>
    <ns0:row r="209" ht="60" customHeight="1">
      <ns0:c r="A209" s="33" t="str">
        <ns0:v>VD0208</ns0:v>
      </ns0:c>
      <ns0:c r="B209" s="33" t="str">
        <ns0:v>Стабилитрон</ns0:v>
      </ns0:c>
      <ns0:c r="C209" s="33" t="str">
        <ns0:v>BZX84-C5V6</ns0:v>
      </ns0:c>
      <ns0:c r="D209" s="34" t="str">
        <ns0:f>C209</ns0:f>
        <ns0:v>BZX84-C5V6</ns0:v>
      </ns0:c>
      <ns0:c r="E209" s="33" t="str">
        <ns0:v>около ±5%</ns0:v>
      </ns0:c>
      <ns0:c r="F209" s="33" t="str">
        <ns0:v>0,25 Вт</ns0:v>
      </ns0:c>
      <ns0:c r="G209" s="33" t="str">
        <ns0:v>5.6 В (Uст ном.)</ns0:v>
      </ns0:c>
      <ns0:c r="H209" s="35" t="str">
        <ns0:v>SOT-23</ns0:v>
      </ns0:c>
      <ns0:c r="I209" s="33" t="str">
        <ns0:v>Nexperia</ns0:v>
      </ns0:c>
      <ns0:c r="J209" s="33" t="str">
        <ns0:v>BZX84-C5V6</ns0:v>
      </ns0:c>
      <ns0:c r="K209" s="34" t="str">
        <ns0:f>B209&amp;" "&amp;J209</ns0:f>
        <ns0:v>Стабилитрон BZX84-C5V6</ns0:v>
      </ns0:c>
      <ns0:c r="L209" s="36" t="str">
        <ns0:v>Zener_1A3C</ns0:v>
      </ns0:c>
      <ns0:c r="M209" s="36" t="str">
        <ns0:v>Symbols\MY_LIB_Semiconductors.SchLib</ns0:v>
      </ns0:c>
      <ns0:c r="N209" s="36" t="str">
        <ns0:v>SOT23-3</ns0:v>
      </ns0:c>
      <ns0:c r="O209" s="36" t="str">
        <ns0:v>Footprints\PBL - SMD Packages.PcbLib</ns0:v>
      </ns0:c>
      <ns0:c r="P20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09" s="33"/>
      <ns0:c r="R209" s="34" t="str">
        <ns0:f>D209</ns0:f>
        <ns0:v>BZX84-C5V6</ns0:v>
      </ns0:c>
      <ns0:c r="S209" s="34" t="str">
        <ns0:f>K209</ns0:f>
        <ns0:v>Стабилитрон BZX84-C5V6</ns0:v>
      </ns0:c>
      <ns0:c r="T209" s="33" t="str">
        <ns0:v>C:\Users\Nomatin\Documents\Altium\MY_LIB\MY_LIB\Datasheets\Diodes\BZX84_Nexperia.pdf</ns0:v>
      </ns0:c>
      <ns0:c r="U209" s="33" t="str">
        <ns0:v>Rev. 7, 01-Jan-2023</ns0:v>
      </ns0:c>
      <ns0:c r="V209" s="33" t="str">
        <ns0:v>Даташит — локальный</ns0:v>
      </ns0:c>
      <ns0:c r="W209" s="33" t="str">
        <ns0:v>C:\Users\Nomatin\Documents\Altium\MY_LIB\MY_LIB\Datasheets\Diodes\BZX84_Nexperia.pdf</ns0:v>
      </ns0:c>
      <ns0:c r="X209" s="33" t="str">
        <ns0:v>Даташит — производитель</ns0:v>
      </ns0:c>
      <ns0:c r="Y209" s="33" t="str">
        <ns0:v>https://assets.nexperia.com/documents/data-sheet/BZX84_SER.pdf</ns0:v>
      </ns0:c>
      <ns0:c r="Z209" s="33" t="str">
        <ns0:v>C:\Users\Nomatin\Documents\Altium\MY_LIB\MY_LIB\Datasheets\Diodes\BZX84_Nexperia.pdf</ns0:v>
      </ns0:c>
      <ns0:c r="AA209" s="33" t="str">
        <ns0:v>BZX84-C</ns0:v>
      </ns0:c>
      <ns0:c r="AB209" s="33" t="str">
        <ns0:v>Одиночный</ns0:v>
      </ns0:c>
      <ns0:c r="AC209" s="33" t="str">
        <ns0:v>1=A; 2=NC; 3=K</ns0:v>
      </ns0:c>
      <ns0:c r="AD209" s="33"/>
      <ns0:c r="AE209" s="33"/>
      <ns0:c r="AF209" s="33" t="n">
        <ns0:v>5.6</ns0:v>
      </ns0:c>
      <ns0:c r="AG209" s="33" t="n">
        <ns0:v>5</ns0:v>
      </ns0:c>
      <ns0:c r="AH209" s="33"/>
      <ns0:c r="AI209" s="33"/>
      <ns0:c r="AJ209" s="33" t="str">
        <ns0:v>250 мВт при TA≤25 °C, стандартное посадочное место на FR4; далее снижение мощности.</ns0:v>
      </ns0:c>
    </ns0:row>
    <ns0:row r="210" ht="60" customHeight="1">
      <ns0:c r="A210" s="33" t="str">
        <ns0:v>VD0209</ns0:v>
      </ns0:c>
      <ns0:c r="B210" s="33" t="str">
        <ns0:v>Стабилитрон</ns0:v>
      </ns0:c>
      <ns0:c r="C210" s="33" t="str">
        <ns0:v>BZX84-C6V2</ns0:v>
      </ns0:c>
      <ns0:c r="D210" s="34" t="str">
        <ns0:f>C210</ns0:f>
        <ns0:v>BZX84-C6V2</ns0:v>
      </ns0:c>
      <ns0:c r="E210" s="33" t="str">
        <ns0:v>около ±5%</ns0:v>
      </ns0:c>
      <ns0:c r="F210" s="33" t="str">
        <ns0:v>0,25 Вт</ns0:v>
      </ns0:c>
      <ns0:c r="G210" s="33" t="str">
        <ns0:v>6.2 В (Uст ном.)</ns0:v>
      </ns0:c>
      <ns0:c r="H210" s="35" t="str">
        <ns0:v>SOT-23</ns0:v>
      </ns0:c>
      <ns0:c r="I210" s="33" t="str">
        <ns0:v>Nexperia</ns0:v>
      </ns0:c>
      <ns0:c r="J210" s="33" t="str">
        <ns0:v>BZX84-C6V2</ns0:v>
      </ns0:c>
      <ns0:c r="K210" s="34" t="str">
        <ns0:f>B210&amp;" "&amp;J210</ns0:f>
        <ns0:v>Стабилитрон BZX84-C6V2</ns0:v>
      </ns0:c>
      <ns0:c r="L210" s="36" t="str">
        <ns0:v>Zener_1A3C</ns0:v>
      </ns0:c>
      <ns0:c r="M210" s="36" t="str">
        <ns0:v>Symbols\MY_LIB_Semiconductors.SchLib</ns0:v>
      </ns0:c>
      <ns0:c r="N210" s="36" t="str">
        <ns0:v>SOT23-3</ns0:v>
      </ns0:c>
      <ns0:c r="O210" s="36" t="str">
        <ns0:v>Footprints\PBL - SMD Packages.PcbLib</ns0:v>
      </ns0:c>
      <ns0:c r="P21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0" s="33"/>
      <ns0:c r="R210" s="34" t="str">
        <ns0:f>D210</ns0:f>
        <ns0:v>BZX84-C6V2</ns0:v>
      </ns0:c>
      <ns0:c r="S210" s="34" t="str">
        <ns0:f>K210</ns0:f>
        <ns0:v>Стабилитрон BZX84-C6V2</ns0:v>
      </ns0:c>
      <ns0:c r="T210" s="33" t="str">
        <ns0:v>C:\Users\Nomatin\Documents\Altium\MY_LIB\MY_LIB\Datasheets\Diodes\BZX84_Nexperia.pdf</ns0:v>
      </ns0:c>
      <ns0:c r="U210" s="33" t="str">
        <ns0:v>Rev. 7, 01-Jan-2023</ns0:v>
      </ns0:c>
      <ns0:c r="V210" s="33" t="str">
        <ns0:v>Даташит — локальный</ns0:v>
      </ns0:c>
      <ns0:c r="W210" s="33" t="str">
        <ns0:v>C:\Users\Nomatin\Documents\Altium\MY_LIB\MY_LIB\Datasheets\Diodes\BZX84_Nexperia.pdf</ns0:v>
      </ns0:c>
      <ns0:c r="X210" s="33" t="str">
        <ns0:v>Даташит — производитель</ns0:v>
      </ns0:c>
      <ns0:c r="Y210" s="33" t="str">
        <ns0:v>https://assets.nexperia.com/documents/data-sheet/BZX84_SER.pdf</ns0:v>
      </ns0:c>
      <ns0:c r="Z210" s="33" t="str">
        <ns0:v>C:\Users\Nomatin\Documents\Altium\MY_LIB\MY_LIB\Datasheets\Diodes\BZX84_Nexperia.pdf</ns0:v>
      </ns0:c>
      <ns0:c r="AA210" s="33" t="str">
        <ns0:v>BZX84-C</ns0:v>
      </ns0:c>
      <ns0:c r="AB210" s="33" t="str">
        <ns0:v>Одиночный</ns0:v>
      </ns0:c>
      <ns0:c r="AC210" s="33" t="str">
        <ns0:v>1=A; 2=NC; 3=K</ns0:v>
      </ns0:c>
      <ns0:c r="AD210" s="33"/>
      <ns0:c r="AE210" s="33"/>
      <ns0:c r="AF210" s="33" t="n">
        <ns0:v>6.2</ns0:v>
      </ns0:c>
      <ns0:c r="AG210" s="33" t="n">
        <ns0:v>5</ns0:v>
      </ns0:c>
      <ns0:c r="AH210" s="33"/>
      <ns0:c r="AI210" s="33"/>
      <ns0:c r="AJ210" s="33" t="str">
        <ns0:v>250 мВт при TA≤25 °C, стандартное посадочное место на FR4; далее снижение мощности.</ns0:v>
      </ns0:c>
    </ns0:row>
    <ns0:row r="211" ht="60" customHeight="1">
      <ns0:c r="A211" s="33" t="str">
        <ns0:v>VD0210</ns0:v>
      </ns0:c>
      <ns0:c r="B211" s="33" t="str">
        <ns0:v>Стабилитрон</ns0:v>
      </ns0:c>
      <ns0:c r="C211" s="33" t="str">
        <ns0:v>BZX84-C6V8</ns0:v>
      </ns0:c>
      <ns0:c r="D211" s="34" t="str">
        <ns0:f>C211</ns0:f>
        <ns0:v>BZX84-C6V8</ns0:v>
      </ns0:c>
      <ns0:c r="E211" s="33" t="str">
        <ns0:v>около ±5%</ns0:v>
      </ns0:c>
      <ns0:c r="F211" s="33" t="str">
        <ns0:v>0,25 Вт</ns0:v>
      </ns0:c>
      <ns0:c r="G211" s="33" t="str">
        <ns0:v>6.8 В (Uст ном.)</ns0:v>
      </ns0:c>
      <ns0:c r="H211" s="35" t="str">
        <ns0:v>SOT-23</ns0:v>
      </ns0:c>
      <ns0:c r="I211" s="33" t="str">
        <ns0:v>Nexperia</ns0:v>
      </ns0:c>
      <ns0:c r="J211" s="33" t="str">
        <ns0:v>BZX84-C6V8</ns0:v>
      </ns0:c>
      <ns0:c r="K211" s="34" t="str">
        <ns0:f>B211&amp;" "&amp;J211</ns0:f>
        <ns0:v>Стабилитрон BZX84-C6V8</ns0:v>
      </ns0:c>
      <ns0:c r="L211" s="36" t="str">
        <ns0:v>Zener_1A3C</ns0:v>
      </ns0:c>
      <ns0:c r="M211" s="36" t="str">
        <ns0:v>Symbols\MY_LIB_Semiconductors.SchLib</ns0:v>
      </ns0:c>
      <ns0:c r="N211" s="36" t="str">
        <ns0:v>SOT23-3</ns0:v>
      </ns0:c>
      <ns0:c r="O211" s="36" t="str">
        <ns0:v>Footprints\PBL - SMD Packages.PcbLib</ns0:v>
      </ns0:c>
      <ns0:c r="P21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1" s="33"/>
      <ns0:c r="R211" s="34" t="str">
        <ns0:f>D211</ns0:f>
        <ns0:v>BZX84-C6V8</ns0:v>
      </ns0:c>
      <ns0:c r="S211" s="34" t="str">
        <ns0:f>K211</ns0:f>
        <ns0:v>Стабилитрон BZX84-C6V8</ns0:v>
      </ns0:c>
      <ns0:c r="T211" s="33" t="str">
        <ns0:v>C:\Users\Nomatin\Documents\Altium\MY_LIB\MY_LIB\Datasheets\Diodes\BZX84_Nexperia.pdf</ns0:v>
      </ns0:c>
      <ns0:c r="U211" s="33" t="str">
        <ns0:v>Rev. 7, 01-Jan-2023</ns0:v>
      </ns0:c>
      <ns0:c r="V211" s="33" t="str">
        <ns0:v>Даташит — локальный</ns0:v>
      </ns0:c>
      <ns0:c r="W211" s="33" t="str">
        <ns0:v>C:\Users\Nomatin\Documents\Altium\MY_LIB\MY_LIB\Datasheets\Diodes\BZX84_Nexperia.pdf</ns0:v>
      </ns0:c>
      <ns0:c r="X211" s="33" t="str">
        <ns0:v>Даташит — производитель</ns0:v>
      </ns0:c>
      <ns0:c r="Y211" s="33" t="str">
        <ns0:v>https://assets.nexperia.com/documents/data-sheet/BZX84_SER.pdf</ns0:v>
      </ns0:c>
      <ns0:c r="Z211" s="33" t="str">
        <ns0:v>C:\Users\Nomatin\Documents\Altium\MY_LIB\MY_LIB\Datasheets\Diodes\BZX84_Nexperia.pdf</ns0:v>
      </ns0:c>
      <ns0:c r="AA211" s="33" t="str">
        <ns0:v>BZX84-C</ns0:v>
      </ns0:c>
      <ns0:c r="AB211" s="33" t="str">
        <ns0:v>Одиночный</ns0:v>
      </ns0:c>
      <ns0:c r="AC211" s="33" t="str">
        <ns0:v>1=A; 2=NC; 3=K</ns0:v>
      </ns0:c>
      <ns0:c r="AD211" s="33"/>
      <ns0:c r="AE211" s="33"/>
      <ns0:c r="AF211" s="33" t="n">
        <ns0:v>6.8</ns0:v>
      </ns0:c>
      <ns0:c r="AG211" s="33" t="n">
        <ns0:v>5</ns0:v>
      </ns0:c>
      <ns0:c r="AH211" s="33"/>
      <ns0:c r="AI211" s="33"/>
      <ns0:c r="AJ211" s="33" t="str">
        <ns0:v>250 мВт при TA≤25 °C, стандартное посадочное место на FR4; далее снижение мощности.</ns0:v>
      </ns0:c>
    </ns0:row>
    <ns0:row r="212" ht="60" customHeight="1">
      <ns0:c r="A212" s="33" t="str">
        <ns0:v>VD0211</ns0:v>
      </ns0:c>
      <ns0:c r="B212" s="33" t="str">
        <ns0:v>Стабилитрон</ns0:v>
      </ns0:c>
      <ns0:c r="C212" s="33" t="str">
        <ns0:v>BZX84-C7V5</ns0:v>
      </ns0:c>
      <ns0:c r="D212" s="34" t="str">
        <ns0:f>C212</ns0:f>
        <ns0:v>BZX84-C7V5</ns0:v>
      </ns0:c>
      <ns0:c r="E212" s="33" t="str">
        <ns0:v>около ±5%</ns0:v>
      </ns0:c>
      <ns0:c r="F212" s="33" t="str">
        <ns0:v>0,25 Вт</ns0:v>
      </ns0:c>
      <ns0:c r="G212" s="33" t="str">
        <ns0:v>7.5 В (Uст ном.)</ns0:v>
      </ns0:c>
      <ns0:c r="H212" s="35" t="str">
        <ns0:v>SOT-23</ns0:v>
      </ns0:c>
      <ns0:c r="I212" s="33" t="str">
        <ns0:v>Nexperia</ns0:v>
      </ns0:c>
      <ns0:c r="J212" s="33" t="str">
        <ns0:v>BZX84-C7V5</ns0:v>
      </ns0:c>
      <ns0:c r="K212" s="34" t="str">
        <ns0:f>B212&amp;" "&amp;J212</ns0:f>
        <ns0:v>Стабилитрон BZX84-C7V5</ns0:v>
      </ns0:c>
      <ns0:c r="L212" s="36" t="str">
        <ns0:v>Zener_1A3C</ns0:v>
      </ns0:c>
      <ns0:c r="M212" s="36" t="str">
        <ns0:v>Symbols\MY_LIB_Semiconductors.SchLib</ns0:v>
      </ns0:c>
      <ns0:c r="N212" s="36" t="str">
        <ns0:v>SOT23-3</ns0:v>
      </ns0:c>
      <ns0:c r="O212" s="36" t="str">
        <ns0:v>Footprints\PBL - SMD Packages.PcbLib</ns0:v>
      </ns0:c>
      <ns0:c r="P21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2" s="33"/>
      <ns0:c r="R212" s="34" t="str">
        <ns0:f>D212</ns0:f>
        <ns0:v>BZX84-C7V5</ns0:v>
      </ns0:c>
      <ns0:c r="S212" s="34" t="str">
        <ns0:f>K212</ns0:f>
        <ns0:v>Стабилитрон BZX84-C7V5</ns0:v>
      </ns0:c>
      <ns0:c r="T212" s="33" t="str">
        <ns0:v>C:\Users\Nomatin\Documents\Altium\MY_LIB\MY_LIB\Datasheets\Diodes\BZX84_Nexperia.pdf</ns0:v>
      </ns0:c>
      <ns0:c r="U212" s="33" t="str">
        <ns0:v>Rev. 7, 01-Jan-2023</ns0:v>
      </ns0:c>
      <ns0:c r="V212" s="33" t="str">
        <ns0:v>Даташит — локальный</ns0:v>
      </ns0:c>
      <ns0:c r="W212" s="33" t="str">
        <ns0:v>C:\Users\Nomatin\Documents\Altium\MY_LIB\MY_LIB\Datasheets\Diodes\BZX84_Nexperia.pdf</ns0:v>
      </ns0:c>
      <ns0:c r="X212" s="33" t="str">
        <ns0:v>Даташит — производитель</ns0:v>
      </ns0:c>
      <ns0:c r="Y212" s="33" t="str">
        <ns0:v>https://assets.nexperia.com/documents/data-sheet/BZX84_SER.pdf</ns0:v>
      </ns0:c>
      <ns0:c r="Z212" s="33" t="str">
        <ns0:v>C:\Users\Nomatin\Documents\Altium\MY_LIB\MY_LIB\Datasheets\Diodes\BZX84_Nexperia.pdf</ns0:v>
      </ns0:c>
      <ns0:c r="AA212" s="33" t="str">
        <ns0:v>BZX84-C</ns0:v>
      </ns0:c>
      <ns0:c r="AB212" s="33" t="str">
        <ns0:v>Одиночный</ns0:v>
      </ns0:c>
      <ns0:c r="AC212" s="33" t="str">
        <ns0:v>1=A; 2=NC; 3=K</ns0:v>
      </ns0:c>
      <ns0:c r="AD212" s="33"/>
      <ns0:c r="AE212" s="33"/>
      <ns0:c r="AF212" s="33" t="n">
        <ns0:v>7.5</ns0:v>
      </ns0:c>
      <ns0:c r="AG212" s="33" t="n">
        <ns0:v>5</ns0:v>
      </ns0:c>
      <ns0:c r="AH212" s="33"/>
      <ns0:c r="AI212" s="33"/>
      <ns0:c r="AJ212" s="33" t="str">
        <ns0:v>250 мВт при TA≤25 °C, стандартное посадочное место на FR4; далее снижение мощности.</ns0:v>
      </ns0:c>
    </ns0:row>
    <ns0:row r="213" ht="60" customHeight="1">
      <ns0:c r="A213" s="33" t="str">
        <ns0:v>VD0212</ns0:v>
      </ns0:c>
      <ns0:c r="B213" s="33" t="str">
        <ns0:v>Стабилитрон</ns0:v>
      </ns0:c>
      <ns0:c r="C213" s="33" t="str">
        <ns0:v>BZX84-C8V2</ns0:v>
      </ns0:c>
      <ns0:c r="D213" s="34" t="str">
        <ns0:f>C213</ns0:f>
        <ns0:v>BZX84-C8V2</ns0:v>
      </ns0:c>
      <ns0:c r="E213" s="33" t="str">
        <ns0:v>около ±5%</ns0:v>
      </ns0:c>
      <ns0:c r="F213" s="33" t="str">
        <ns0:v>0,25 Вт</ns0:v>
      </ns0:c>
      <ns0:c r="G213" s="33" t="str">
        <ns0:v>8.2 В (Uст ном.)</ns0:v>
      </ns0:c>
      <ns0:c r="H213" s="35" t="str">
        <ns0:v>SOT-23</ns0:v>
      </ns0:c>
      <ns0:c r="I213" s="33" t="str">
        <ns0:v>Nexperia</ns0:v>
      </ns0:c>
      <ns0:c r="J213" s="33" t="str">
        <ns0:v>BZX84-C8V2</ns0:v>
      </ns0:c>
      <ns0:c r="K213" s="34" t="str">
        <ns0:f>B213&amp;" "&amp;J213</ns0:f>
        <ns0:v>Стабилитрон BZX84-C8V2</ns0:v>
      </ns0:c>
      <ns0:c r="L213" s="36" t="str">
        <ns0:v>Zener_1A3C</ns0:v>
      </ns0:c>
      <ns0:c r="M213" s="36" t="str">
        <ns0:v>Symbols\MY_LIB_Semiconductors.SchLib</ns0:v>
      </ns0:c>
      <ns0:c r="N213" s="36" t="str">
        <ns0:v>SOT23-3</ns0:v>
      </ns0:c>
      <ns0:c r="O213" s="36" t="str">
        <ns0:v>Footprints\PBL - SMD Packages.PcbLib</ns0:v>
      </ns0:c>
      <ns0:c r="P21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3" s="33"/>
      <ns0:c r="R213" s="34" t="str">
        <ns0:f>D213</ns0:f>
        <ns0:v>BZX84-C8V2</ns0:v>
      </ns0:c>
      <ns0:c r="S213" s="34" t="str">
        <ns0:f>K213</ns0:f>
        <ns0:v>Стабилитрон BZX84-C8V2</ns0:v>
      </ns0:c>
      <ns0:c r="T213" s="33" t="str">
        <ns0:v>C:\Users\Nomatin\Documents\Altium\MY_LIB\MY_LIB\Datasheets\Diodes\BZX84_Nexperia.pdf</ns0:v>
      </ns0:c>
      <ns0:c r="U213" s="33" t="str">
        <ns0:v>Rev. 7, 01-Jan-2023</ns0:v>
      </ns0:c>
      <ns0:c r="V213" s="33" t="str">
        <ns0:v>Даташит — локальный</ns0:v>
      </ns0:c>
      <ns0:c r="W213" s="33" t="str">
        <ns0:v>C:\Users\Nomatin\Documents\Altium\MY_LIB\MY_LIB\Datasheets\Diodes\BZX84_Nexperia.pdf</ns0:v>
      </ns0:c>
      <ns0:c r="X213" s="33" t="str">
        <ns0:v>Даташит — производитель</ns0:v>
      </ns0:c>
      <ns0:c r="Y213" s="33" t="str">
        <ns0:v>https://assets.nexperia.com/documents/data-sheet/BZX84_SER.pdf</ns0:v>
      </ns0:c>
      <ns0:c r="Z213" s="33" t="str">
        <ns0:v>C:\Users\Nomatin\Documents\Altium\MY_LIB\MY_LIB\Datasheets\Diodes\BZX84_Nexperia.pdf</ns0:v>
      </ns0:c>
      <ns0:c r="AA213" s="33" t="str">
        <ns0:v>BZX84-C</ns0:v>
      </ns0:c>
      <ns0:c r="AB213" s="33" t="str">
        <ns0:v>Одиночный</ns0:v>
      </ns0:c>
      <ns0:c r="AC213" s="33" t="str">
        <ns0:v>1=A; 2=NC; 3=K</ns0:v>
      </ns0:c>
      <ns0:c r="AD213" s="33"/>
      <ns0:c r="AE213" s="33"/>
      <ns0:c r="AF213" s="33" t="n">
        <ns0:v>8.2</ns0:v>
      </ns0:c>
      <ns0:c r="AG213" s="33" t="n">
        <ns0:v>5</ns0:v>
      </ns0:c>
      <ns0:c r="AH213" s="33"/>
      <ns0:c r="AI213" s="33"/>
      <ns0:c r="AJ213" s="33" t="str">
        <ns0:v>250 мВт при TA≤25 °C, стандартное посадочное место на FR4; далее снижение мощности.</ns0:v>
      </ns0:c>
    </ns0:row>
    <ns0:row r="214" ht="60" customHeight="1">
      <ns0:c r="A214" s="33" t="str">
        <ns0:v>VD0213</ns0:v>
      </ns0:c>
      <ns0:c r="B214" s="33" t="str">
        <ns0:v>Стабилитрон</ns0:v>
      </ns0:c>
      <ns0:c r="C214" s="33" t="str">
        <ns0:v>BZX84-C9V1</ns0:v>
      </ns0:c>
      <ns0:c r="D214" s="34" t="str">
        <ns0:f>C214</ns0:f>
        <ns0:v>BZX84-C9V1</ns0:v>
      </ns0:c>
      <ns0:c r="E214" s="33" t="str">
        <ns0:v>около ±5%</ns0:v>
      </ns0:c>
      <ns0:c r="F214" s="33" t="str">
        <ns0:v>0,25 Вт</ns0:v>
      </ns0:c>
      <ns0:c r="G214" s="33" t="str">
        <ns0:v>9.1 В (Uст ном.)</ns0:v>
      </ns0:c>
      <ns0:c r="H214" s="35" t="str">
        <ns0:v>SOT-23</ns0:v>
      </ns0:c>
      <ns0:c r="I214" s="33" t="str">
        <ns0:v>Nexperia</ns0:v>
      </ns0:c>
      <ns0:c r="J214" s="33" t="str">
        <ns0:v>BZX84-C9V1</ns0:v>
      </ns0:c>
      <ns0:c r="K214" s="34" t="str">
        <ns0:f>B214&amp;" "&amp;J214</ns0:f>
        <ns0:v>Стабилитрон BZX84-C9V1</ns0:v>
      </ns0:c>
      <ns0:c r="L214" s="36" t="str">
        <ns0:v>Zener_1A3C</ns0:v>
      </ns0:c>
      <ns0:c r="M214" s="36" t="str">
        <ns0:v>Symbols\MY_LIB_Semiconductors.SchLib</ns0:v>
      </ns0:c>
      <ns0:c r="N214" s="36" t="str">
        <ns0:v>SOT23-3</ns0:v>
      </ns0:c>
      <ns0:c r="O214" s="36" t="str">
        <ns0:v>Footprints\PBL - SMD Packages.PcbLib</ns0:v>
      </ns0:c>
      <ns0:c r="P21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4" s="33"/>
      <ns0:c r="R214" s="34" t="str">
        <ns0:f>D214</ns0:f>
        <ns0:v>BZX84-C9V1</ns0:v>
      </ns0:c>
      <ns0:c r="S214" s="34" t="str">
        <ns0:f>K214</ns0:f>
        <ns0:v>Стабилитрон BZX84-C9V1</ns0:v>
      </ns0:c>
      <ns0:c r="T214" s="33" t="str">
        <ns0:v>C:\Users\Nomatin\Documents\Altium\MY_LIB\MY_LIB\Datasheets\Diodes\BZX84_Nexperia.pdf</ns0:v>
      </ns0:c>
      <ns0:c r="U214" s="33" t="str">
        <ns0:v>Rev. 7, 01-Jan-2023</ns0:v>
      </ns0:c>
      <ns0:c r="V214" s="33" t="str">
        <ns0:v>Даташит — локальный</ns0:v>
      </ns0:c>
      <ns0:c r="W214" s="33" t="str">
        <ns0:v>C:\Users\Nomatin\Documents\Altium\MY_LIB\MY_LIB\Datasheets\Diodes\BZX84_Nexperia.pdf</ns0:v>
      </ns0:c>
      <ns0:c r="X214" s="33" t="str">
        <ns0:v>Даташит — производитель</ns0:v>
      </ns0:c>
      <ns0:c r="Y214" s="33" t="str">
        <ns0:v>https://assets.nexperia.com/documents/data-sheet/BZX84_SER.pdf</ns0:v>
      </ns0:c>
      <ns0:c r="Z214" s="33" t="str">
        <ns0:v>C:\Users\Nomatin\Documents\Altium\MY_LIB\MY_LIB\Datasheets\Diodes\BZX84_Nexperia.pdf</ns0:v>
      </ns0:c>
      <ns0:c r="AA214" s="33" t="str">
        <ns0:v>BZX84-C</ns0:v>
      </ns0:c>
      <ns0:c r="AB214" s="33" t="str">
        <ns0:v>Одиночный</ns0:v>
      </ns0:c>
      <ns0:c r="AC214" s="33" t="str">
        <ns0:v>1=A; 2=NC; 3=K</ns0:v>
      </ns0:c>
      <ns0:c r="AD214" s="33"/>
      <ns0:c r="AE214" s="33"/>
      <ns0:c r="AF214" s="33" t="n">
        <ns0:v>9.1</ns0:v>
      </ns0:c>
      <ns0:c r="AG214" s="33" t="n">
        <ns0:v>5</ns0:v>
      </ns0:c>
      <ns0:c r="AH214" s="33"/>
      <ns0:c r="AI214" s="33"/>
      <ns0:c r="AJ214" s="33" t="str">
        <ns0:v>250 мВт при TA≤25 °C, стандартное посадочное место на FR4; далее снижение мощности.</ns0:v>
      </ns0:c>
    </ns0:row>
    <ns0:row r="215" ht="60" customHeight="1">
      <ns0:c r="A215" s="33" t="str">
        <ns0:v>VD0214</ns0:v>
      </ns0:c>
      <ns0:c r="B215" s="33" t="str">
        <ns0:v>Стабилитрон</ns0:v>
      </ns0:c>
      <ns0:c r="C215" s="33" t="str">
        <ns0:v>BZX84-C10</ns0:v>
      </ns0:c>
      <ns0:c r="D215" s="34" t="str">
        <ns0:f>C215</ns0:f>
        <ns0:v>BZX84-C10</ns0:v>
      </ns0:c>
      <ns0:c r="E215" s="33" t="str">
        <ns0:v>около ±5%</ns0:v>
      </ns0:c>
      <ns0:c r="F215" s="33" t="str">
        <ns0:v>0,25 Вт</ns0:v>
      </ns0:c>
      <ns0:c r="G215" s="33" t="str">
        <ns0:v>10 В (Uст ном.)</ns0:v>
      </ns0:c>
      <ns0:c r="H215" s="35" t="str">
        <ns0:v>SOT-23</ns0:v>
      </ns0:c>
      <ns0:c r="I215" s="33" t="str">
        <ns0:v>Nexperia</ns0:v>
      </ns0:c>
      <ns0:c r="J215" s="33" t="str">
        <ns0:v>BZX84-C10</ns0:v>
      </ns0:c>
      <ns0:c r="K215" s="34" t="str">
        <ns0:f>B215&amp;" "&amp;J215</ns0:f>
        <ns0:v>Стабилитрон BZX84-C10</ns0:v>
      </ns0:c>
      <ns0:c r="L215" s="36" t="str">
        <ns0:v>Zener_1A3C</ns0:v>
      </ns0:c>
      <ns0:c r="M215" s="36" t="str">
        <ns0:v>Symbols\MY_LIB_Semiconductors.SchLib</ns0:v>
      </ns0:c>
      <ns0:c r="N215" s="36" t="str">
        <ns0:v>SOT23-3</ns0:v>
      </ns0:c>
      <ns0:c r="O215" s="36" t="str">
        <ns0:v>Footprints\PBL - SMD Packages.PcbLib</ns0:v>
      </ns0:c>
      <ns0:c r="P21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5" s="33"/>
      <ns0:c r="R215" s="34" t="str">
        <ns0:f>D215</ns0:f>
        <ns0:v>BZX84-C10</ns0:v>
      </ns0:c>
      <ns0:c r="S215" s="34" t="str">
        <ns0:f>K215</ns0:f>
        <ns0:v>Стабилитрон BZX84-C10</ns0:v>
      </ns0:c>
      <ns0:c r="T215" s="33" t="str">
        <ns0:v>C:\Users\Nomatin\Documents\Altium\MY_LIB\MY_LIB\Datasheets\Diodes\BZX84_Nexperia.pdf</ns0:v>
      </ns0:c>
      <ns0:c r="U215" s="33" t="str">
        <ns0:v>Rev. 7, 01-Jan-2023</ns0:v>
      </ns0:c>
      <ns0:c r="V215" s="33" t="str">
        <ns0:v>Даташит — локальный</ns0:v>
      </ns0:c>
      <ns0:c r="W215" s="33" t="str">
        <ns0:v>C:\Users\Nomatin\Documents\Altium\MY_LIB\MY_LIB\Datasheets\Diodes\BZX84_Nexperia.pdf</ns0:v>
      </ns0:c>
      <ns0:c r="X215" s="33" t="str">
        <ns0:v>Даташит — производитель</ns0:v>
      </ns0:c>
      <ns0:c r="Y215" s="33" t="str">
        <ns0:v>https://assets.nexperia.com/documents/data-sheet/BZX84_SER.pdf</ns0:v>
      </ns0:c>
      <ns0:c r="Z215" s="33" t="str">
        <ns0:v>C:\Users\Nomatin\Documents\Altium\MY_LIB\MY_LIB\Datasheets\Diodes\BZX84_Nexperia.pdf</ns0:v>
      </ns0:c>
      <ns0:c r="AA215" s="33" t="str">
        <ns0:v>BZX84-C</ns0:v>
      </ns0:c>
      <ns0:c r="AB215" s="33" t="str">
        <ns0:v>Одиночный</ns0:v>
      </ns0:c>
      <ns0:c r="AC215" s="33" t="str">
        <ns0:v>1=A; 2=NC; 3=K</ns0:v>
      </ns0:c>
      <ns0:c r="AD215" s="33"/>
      <ns0:c r="AE215" s="33"/>
      <ns0:c r="AF215" s="33" t="n">
        <ns0:v>10</ns0:v>
      </ns0:c>
      <ns0:c r="AG215" s="33" t="n">
        <ns0:v>5</ns0:v>
      </ns0:c>
      <ns0:c r="AH215" s="33"/>
      <ns0:c r="AI215" s="33"/>
      <ns0:c r="AJ215" s="33" t="str">
        <ns0:v>250 мВт при TA≤25 °C, стандартное посадочное место на FR4; далее снижение мощности.</ns0:v>
      </ns0:c>
    </ns0:row>
    <ns0:row r="216" ht="60" customHeight="1">
      <ns0:c r="A216" s="33" t="str">
        <ns0:v>VD0215</ns0:v>
      </ns0:c>
      <ns0:c r="B216" s="33" t="str">
        <ns0:v>Стабилитрон</ns0:v>
      </ns0:c>
      <ns0:c r="C216" s="33" t="str">
        <ns0:v>BZX84-C11</ns0:v>
      </ns0:c>
      <ns0:c r="D216" s="34" t="str">
        <ns0:f>C216</ns0:f>
        <ns0:v>BZX84-C11</ns0:v>
      </ns0:c>
      <ns0:c r="E216" s="33" t="str">
        <ns0:v>около ±5%</ns0:v>
      </ns0:c>
      <ns0:c r="F216" s="33" t="str">
        <ns0:v>0,25 Вт</ns0:v>
      </ns0:c>
      <ns0:c r="G216" s="33" t="str">
        <ns0:v>11 В (Uст ном.)</ns0:v>
      </ns0:c>
      <ns0:c r="H216" s="35" t="str">
        <ns0:v>SOT-23</ns0:v>
      </ns0:c>
      <ns0:c r="I216" s="33" t="str">
        <ns0:v>Nexperia</ns0:v>
      </ns0:c>
      <ns0:c r="J216" s="33" t="str">
        <ns0:v>BZX84-C11</ns0:v>
      </ns0:c>
      <ns0:c r="K216" s="34" t="str">
        <ns0:f>B216&amp;" "&amp;J216</ns0:f>
        <ns0:v>Стабилитрон BZX84-C11</ns0:v>
      </ns0:c>
      <ns0:c r="L216" s="36" t="str">
        <ns0:v>Zener_1A3C</ns0:v>
      </ns0:c>
      <ns0:c r="M216" s="36" t="str">
        <ns0:v>Symbols\MY_LIB_Semiconductors.SchLib</ns0:v>
      </ns0:c>
      <ns0:c r="N216" s="36" t="str">
        <ns0:v>SOT23-3</ns0:v>
      </ns0:c>
      <ns0:c r="O216" s="36" t="str">
        <ns0:v>Footprints\PBL - SMD Packages.PcbLib</ns0:v>
      </ns0:c>
      <ns0:c r="P21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6" s="33"/>
      <ns0:c r="R216" s="34" t="str">
        <ns0:f>D216</ns0:f>
        <ns0:v>BZX84-C11</ns0:v>
      </ns0:c>
      <ns0:c r="S216" s="34" t="str">
        <ns0:f>K216</ns0:f>
        <ns0:v>Стабилитрон BZX84-C11</ns0:v>
      </ns0:c>
      <ns0:c r="T216" s="33" t="str">
        <ns0:v>C:\Users\Nomatin\Documents\Altium\MY_LIB\MY_LIB\Datasheets\Diodes\BZX84_Nexperia.pdf</ns0:v>
      </ns0:c>
      <ns0:c r="U216" s="33" t="str">
        <ns0:v>Rev. 7, 01-Jan-2023</ns0:v>
      </ns0:c>
      <ns0:c r="V216" s="33" t="str">
        <ns0:v>Даташит — локальный</ns0:v>
      </ns0:c>
      <ns0:c r="W216" s="33" t="str">
        <ns0:v>C:\Users\Nomatin\Documents\Altium\MY_LIB\MY_LIB\Datasheets\Diodes\BZX84_Nexperia.pdf</ns0:v>
      </ns0:c>
      <ns0:c r="X216" s="33" t="str">
        <ns0:v>Даташит — производитель</ns0:v>
      </ns0:c>
      <ns0:c r="Y216" s="33" t="str">
        <ns0:v>https://assets.nexperia.com/documents/data-sheet/BZX84_SER.pdf</ns0:v>
      </ns0:c>
      <ns0:c r="Z216" s="33" t="str">
        <ns0:v>C:\Users\Nomatin\Documents\Altium\MY_LIB\MY_LIB\Datasheets\Diodes\BZX84_Nexperia.pdf</ns0:v>
      </ns0:c>
      <ns0:c r="AA216" s="33" t="str">
        <ns0:v>BZX84-C</ns0:v>
      </ns0:c>
      <ns0:c r="AB216" s="33" t="str">
        <ns0:v>Одиночный</ns0:v>
      </ns0:c>
      <ns0:c r="AC216" s="33" t="str">
        <ns0:v>1=A; 2=NC; 3=K</ns0:v>
      </ns0:c>
      <ns0:c r="AD216" s="33"/>
      <ns0:c r="AE216" s="33"/>
      <ns0:c r="AF216" s="33" t="n">
        <ns0:v>11</ns0:v>
      </ns0:c>
      <ns0:c r="AG216" s="33" t="n">
        <ns0:v>5</ns0:v>
      </ns0:c>
      <ns0:c r="AH216" s="33"/>
      <ns0:c r="AI216" s="33"/>
      <ns0:c r="AJ216" s="33" t="str">
        <ns0:v>250 мВт при TA≤25 °C, стандартное посадочное место на FR4; далее снижение мощности.</ns0:v>
      </ns0:c>
    </ns0:row>
    <ns0:row r="217" ht="60" customHeight="1">
      <ns0:c r="A217" s="33" t="str">
        <ns0:v>VD0216</ns0:v>
      </ns0:c>
      <ns0:c r="B217" s="33" t="str">
        <ns0:v>Стабилитрон</ns0:v>
      </ns0:c>
      <ns0:c r="C217" s="33" t="str">
        <ns0:v>BZX84-C12</ns0:v>
      </ns0:c>
      <ns0:c r="D217" s="34" t="str">
        <ns0:f>C217</ns0:f>
        <ns0:v>BZX84-C12</ns0:v>
      </ns0:c>
      <ns0:c r="E217" s="33" t="str">
        <ns0:v>около ±5%</ns0:v>
      </ns0:c>
      <ns0:c r="F217" s="33" t="str">
        <ns0:v>0,25 Вт</ns0:v>
      </ns0:c>
      <ns0:c r="G217" s="33" t="str">
        <ns0:v>12 В (Uст ном.)</ns0:v>
      </ns0:c>
      <ns0:c r="H217" s="35" t="str">
        <ns0:v>SOT-23</ns0:v>
      </ns0:c>
      <ns0:c r="I217" s="33" t="str">
        <ns0:v>Nexperia</ns0:v>
      </ns0:c>
      <ns0:c r="J217" s="33" t="str">
        <ns0:v>BZX84-C12</ns0:v>
      </ns0:c>
      <ns0:c r="K217" s="34" t="str">
        <ns0:f>B217&amp;" "&amp;J217</ns0:f>
        <ns0:v>Стабилитрон BZX84-C12</ns0:v>
      </ns0:c>
      <ns0:c r="L217" s="36" t="str">
        <ns0:v>Zener_1A3C</ns0:v>
      </ns0:c>
      <ns0:c r="M217" s="36" t="str">
        <ns0:v>Symbols\MY_LIB_Semiconductors.SchLib</ns0:v>
      </ns0:c>
      <ns0:c r="N217" s="36" t="str">
        <ns0:v>SOT23-3</ns0:v>
      </ns0:c>
      <ns0:c r="O217" s="36" t="str">
        <ns0:v>Footprints\PBL - SMD Packages.PcbLib</ns0:v>
      </ns0:c>
      <ns0:c r="P21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7" s="33"/>
      <ns0:c r="R217" s="34" t="str">
        <ns0:f>D217</ns0:f>
        <ns0:v>BZX84-C12</ns0:v>
      </ns0:c>
      <ns0:c r="S217" s="34" t="str">
        <ns0:f>K217</ns0:f>
        <ns0:v>Стабилитрон BZX84-C12</ns0:v>
      </ns0:c>
      <ns0:c r="T217" s="33" t="str">
        <ns0:v>C:\Users\Nomatin\Documents\Altium\MY_LIB\MY_LIB\Datasheets\Diodes\BZX84_Nexperia.pdf</ns0:v>
      </ns0:c>
      <ns0:c r="U217" s="33" t="str">
        <ns0:v>Rev. 7, 01-Jan-2023</ns0:v>
      </ns0:c>
      <ns0:c r="V217" s="33" t="str">
        <ns0:v>Даташит — локальный</ns0:v>
      </ns0:c>
      <ns0:c r="W217" s="33" t="str">
        <ns0:v>C:\Users\Nomatin\Documents\Altium\MY_LIB\MY_LIB\Datasheets\Diodes\BZX84_Nexperia.pdf</ns0:v>
      </ns0:c>
      <ns0:c r="X217" s="33" t="str">
        <ns0:v>Даташит — производитель</ns0:v>
      </ns0:c>
      <ns0:c r="Y217" s="33" t="str">
        <ns0:v>https://assets.nexperia.com/documents/data-sheet/BZX84_SER.pdf</ns0:v>
      </ns0:c>
      <ns0:c r="Z217" s="33" t="str">
        <ns0:v>C:\Users\Nomatin\Documents\Altium\MY_LIB\MY_LIB\Datasheets\Diodes\BZX84_Nexperia.pdf</ns0:v>
      </ns0:c>
      <ns0:c r="AA217" s="33" t="str">
        <ns0:v>BZX84-C</ns0:v>
      </ns0:c>
      <ns0:c r="AB217" s="33" t="str">
        <ns0:v>Одиночный</ns0:v>
      </ns0:c>
      <ns0:c r="AC217" s="33" t="str">
        <ns0:v>1=A; 2=NC; 3=K</ns0:v>
      </ns0:c>
      <ns0:c r="AD217" s="33"/>
      <ns0:c r="AE217" s="33"/>
      <ns0:c r="AF217" s="33" t="n">
        <ns0:v>12</ns0:v>
      </ns0:c>
      <ns0:c r="AG217" s="33" t="n">
        <ns0:v>5</ns0:v>
      </ns0:c>
      <ns0:c r="AH217" s="33"/>
      <ns0:c r="AI217" s="33"/>
      <ns0:c r="AJ217" s="33" t="str">
        <ns0:v>250 мВт при TA≤25 °C, стандартное посадочное место на FR4; далее снижение мощности.</ns0:v>
      </ns0:c>
    </ns0:row>
    <ns0:row r="218" ht="60" customHeight="1">
      <ns0:c r="A218" s="33" t="str">
        <ns0:v>VD0217</ns0:v>
      </ns0:c>
      <ns0:c r="B218" s="33" t="str">
        <ns0:v>Стабилитрон</ns0:v>
      </ns0:c>
      <ns0:c r="C218" s="33" t="str">
        <ns0:v>BZX84-C13</ns0:v>
      </ns0:c>
      <ns0:c r="D218" s="34" t="str">
        <ns0:f>C218</ns0:f>
        <ns0:v>BZX84-C13</ns0:v>
      </ns0:c>
      <ns0:c r="E218" s="33" t="str">
        <ns0:v>около ±5%</ns0:v>
      </ns0:c>
      <ns0:c r="F218" s="33" t="str">
        <ns0:v>0,25 Вт</ns0:v>
      </ns0:c>
      <ns0:c r="G218" s="33" t="str">
        <ns0:v>13 В (Uст ном.)</ns0:v>
      </ns0:c>
      <ns0:c r="H218" s="35" t="str">
        <ns0:v>SOT-23</ns0:v>
      </ns0:c>
      <ns0:c r="I218" s="33" t="str">
        <ns0:v>Nexperia</ns0:v>
      </ns0:c>
      <ns0:c r="J218" s="33" t="str">
        <ns0:v>BZX84-C13</ns0:v>
      </ns0:c>
      <ns0:c r="K218" s="34" t="str">
        <ns0:f>B218&amp;" "&amp;J218</ns0:f>
        <ns0:v>Стабилитрон BZX84-C13</ns0:v>
      </ns0:c>
      <ns0:c r="L218" s="36" t="str">
        <ns0:v>Zener_1A3C</ns0:v>
      </ns0:c>
      <ns0:c r="M218" s="36" t="str">
        <ns0:v>Symbols\MY_LIB_Semiconductors.SchLib</ns0:v>
      </ns0:c>
      <ns0:c r="N218" s="36" t="str">
        <ns0:v>SOT23-3</ns0:v>
      </ns0:c>
      <ns0:c r="O218" s="36" t="str">
        <ns0:v>Footprints\PBL - SMD Packages.PcbLib</ns0:v>
      </ns0:c>
      <ns0:c r="P21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8" s="33"/>
      <ns0:c r="R218" s="34" t="str">
        <ns0:f>D218</ns0:f>
        <ns0:v>BZX84-C13</ns0:v>
      </ns0:c>
      <ns0:c r="S218" s="34" t="str">
        <ns0:f>K218</ns0:f>
        <ns0:v>Стабилитрон BZX84-C13</ns0:v>
      </ns0:c>
      <ns0:c r="T218" s="33" t="str">
        <ns0:v>C:\Users\Nomatin\Documents\Altium\MY_LIB\MY_LIB\Datasheets\Diodes\BZX84_Nexperia.pdf</ns0:v>
      </ns0:c>
      <ns0:c r="U218" s="33" t="str">
        <ns0:v>Rev. 7, 01-Jan-2023</ns0:v>
      </ns0:c>
      <ns0:c r="V218" s="33" t="str">
        <ns0:v>Даташит — локальный</ns0:v>
      </ns0:c>
      <ns0:c r="W218" s="33" t="str">
        <ns0:v>C:\Users\Nomatin\Documents\Altium\MY_LIB\MY_LIB\Datasheets\Diodes\BZX84_Nexperia.pdf</ns0:v>
      </ns0:c>
      <ns0:c r="X218" s="33" t="str">
        <ns0:v>Даташит — производитель</ns0:v>
      </ns0:c>
      <ns0:c r="Y218" s="33" t="str">
        <ns0:v>https://assets.nexperia.com/documents/data-sheet/BZX84_SER.pdf</ns0:v>
      </ns0:c>
      <ns0:c r="Z218" s="33" t="str">
        <ns0:v>C:\Users\Nomatin\Documents\Altium\MY_LIB\MY_LIB\Datasheets\Diodes\BZX84_Nexperia.pdf</ns0:v>
      </ns0:c>
      <ns0:c r="AA218" s="33" t="str">
        <ns0:v>BZX84-C</ns0:v>
      </ns0:c>
      <ns0:c r="AB218" s="33" t="str">
        <ns0:v>Одиночный</ns0:v>
      </ns0:c>
      <ns0:c r="AC218" s="33" t="str">
        <ns0:v>1=A; 2=NC; 3=K</ns0:v>
      </ns0:c>
      <ns0:c r="AD218" s="33"/>
      <ns0:c r="AE218" s="33"/>
      <ns0:c r="AF218" s="33" t="n">
        <ns0:v>13</ns0:v>
      </ns0:c>
      <ns0:c r="AG218" s="33" t="n">
        <ns0:v>5</ns0:v>
      </ns0:c>
      <ns0:c r="AH218" s="33"/>
      <ns0:c r="AI218" s="33"/>
      <ns0:c r="AJ218" s="33" t="str">
        <ns0:v>250 мВт при TA≤25 °C, стандартное посадочное место на FR4; далее снижение мощности.</ns0:v>
      </ns0:c>
    </ns0:row>
    <ns0:row r="219" ht="60" customHeight="1">
      <ns0:c r="A219" s="33" t="str">
        <ns0:v>VD0218</ns0:v>
      </ns0:c>
      <ns0:c r="B219" s="33" t="str">
        <ns0:v>Стабилитрон</ns0:v>
      </ns0:c>
      <ns0:c r="C219" s="33" t="str">
        <ns0:v>BZX84-C15</ns0:v>
      </ns0:c>
      <ns0:c r="D219" s="34" t="str">
        <ns0:f>C219</ns0:f>
        <ns0:v>BZX84-C15</ns0:v>
      </ns0:c>
      <ns0:c r="E219" s="33" t="str">
        <ns0:v>около ±5%</ns0:v>
      </ns0:c>
      <ns0:c r="F219" s="33" t="str">
        <ns0:v>0,25 Вт</ns0:v>
      </ns0:c>
      <ns0:c r="G219" s="33" t="str">
        <ns0:v>15 В (Uст ном.)</ns0:v>
      </ns0:c>
      <ns0:c r="H219" s="35" t="str">
        <ns0:v>SOT-23</ns0:v>
      </ns0:c>
      <ns0:c r="I219" s="33" t="str">
        <ns0:v>Nexperia</ns0:v>
      </ns0:c>
      <ns0:c r="J219" s="33" t="str">
        <ns0:v>BZX84-C15</ns0:v>
      </ns0:c>
      <ns0:c r="K219" s="34" t="str">
        <ns0:f>B219&amp;" "&amp;J219</ns0:f>
        <ns0:v>Стабилитрон BZX84-C15</ns0:v>
      </ns0:c>
      <ns0:c r="L219" s="36" t="str">
        <ns0:v>Zener_1A3C</ns0:v>
      </ns0:c>
      <ns0:c r="M219" s="36" t="str">
        <ns0:v>Symbols\MY_LIB_Semiconductors.SchLib</ns0:v>
      </ns0:c>
      <ns0:c r="N219" s="36" t="str">
        <ns0:v>SOT23-3</ns0:v>
      </ns0:c>
      <ns0:c r="O219" s="36" t="str">
        <ns0:v>Footprints\PBL - SMD Packages.PcbLib</ns0:v>
      </ns0:c>
      <ns0:c r="P21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19" s="33"/>
      <ns0:c r="R219" s="34" t="str">
        <ns0:f>D219</ns0:f>
        <ns0:v>BZX84-C15</ns0:v>
      </ns0:c>
      <ns0:c r="S219" s="34" t="str">
        <ns0:f>K219</ns0:f>
        <ns0:v>Стабилитрон BZX84-C15</ns0:v>
      </ns0:c>
      <ns0:c r="T219" s="33" t="str">
        <ns0:v>C:\Users\Nomatin\Documents\Altium\MY_LIB\MY_LIB\Datasheets\Diodes\BZX84_Nexperia.pdf</ns0:v>
      </ns0:c>
      <ns0:c r="U219" s="33" t="str">
        <ns0:v>Rev. 7, 01-Jan-2023</ns0:v>
      </ns0:c>
      <ns0:c r="V219" s="33" t="str">
        <ns0:v>Даташит — локальный</ns0:v>
      </ns0:c>
      <ns0:c r="W219" s="33" t="str">
        <ns0:v>C:\Users\Nomatin\Documents\Altium\MY_LIB\MY_LIB\Datasheets\Diodes\BZX84_Nexperia.pdf</ns0:v>
      </ns0:c>
      <ns0:c r="X219" s="33" t="str">
        <ns0:v>Даташит — производитель</ns0:v>
      </ns0:c>
      <ns0:c r="Y219" s="33" t="str">
        <ns0:v>https://assets.nexperia.com/documents/data-sheet/BZX84_SER.pdf</ns0:v>
      </ns0:c>
      <ns0:c r="Z219" s="33" t="str">
        <ns0:v>C:\Users\Nomatin\Documents\Altium\MY_LIB\MY_LIB\Datasheets\Diodes\BZX84_Nexperia.pdf</ns0:v>
      </ns0:c>
      <ns0:c r="AA219" s="33" t="str">
        <ns0:v>BZX84-C</ns0:v>
      </ns0:c>
      <ns0:c r="AB219" s="33" t="str">
        <ns0:v>Одиночный</ns0:v>
      </ns0:c>
      <ns0:c r="AC219" s="33" t="str">
        <ns0:v>1=A; 2=NC; 3=K</ns0:v>
      </ns0:c>
      <ns0:c r="AD219" s="33"/>
      <ns0:c r="AE219" s="33"/>
      <ns0:c r="AF219" s="33" t="n">
        <ns0:v>15</ns0:v>
      </ns0:c>
      <ns0:c r="AG219" s="33" t="n">
        <ns0:v>5</ns0:v>
      </ns0:c>
      <ns0:c r="AH219" s="33"/>
      <ns0:c r="AI219" s="33"/>
      <ns0:c r="AJ219" s="33" t="str">
        <ns0:v>250 мВт при TA≤25 °C, стандартное посадочное место на FR4; далее снижение мощности.</ns0:v>
      </ns0:c>
    </ns0:row>
    <ns0:row r="220" ht="60" customHeight="1">
      <ns0:c r="A220" s="33" t="str">
        <ns0:v>VD0219</ns0:v>
      </ns0:c>
      <ns0:c r="B220" s="33" t="str">
        <ns0:v>Стабилитрон</ns0:v>
      </ns0:c>
      <ns0:c r="C220" s="33" t="str">
        <ns0:v>BZX84-C16</ns0:v>
      </ns0:c>
      <ns0:c r="D220" s="34" t="str">
        <ns0:f>C220</ns0:f>
        <ns0:v>BZX84-C16</ns0:v>
      </ns0:c>
      <ns0:c r="E220" s="33" t="str">
        <ns0:v>около ±5%</ns0:v>
      </ns0:c>
      <ns0:c r="F220" s="33" t="str">
        <ns0:v>0,25 Вт</ns0:v>
      </ns0:c>
      <ns0:c r="G220" s="33" t="str">
        <ns0:v>16 В (Uст ном.)</ns0:v>
      </ns0:c>
      <ns0:c r="H220" s="35" t="str">
        <ns0:v>SOT-23</ns0:v>
      </ns0:c>
      <ns0:c r="I220" s="33" t="str">
        <ns0:v>Nexperia</ns0:v>
      </ns0:c>
      <ns0:c r="J220" s="33" t="str">
        <ns0:v>BZX84-C16</ns0:v>
      </ns0:c>
      <ns0:c r="K220" s="34" t="str">
        <ns0:f>B220&amp;" "&amp;J220</ns0:f>
        <ns0:v>Стабилитрон BZX84-C16</ns0:v>
      </ns0:c>
      <ns0:c r="L220" s="36" t="str">
        <ns0:v>Zener_1A3C</ns0:v>
      </ns0:c>
      <ns0:c r="M220" s="36" t="str">
        <ns0:v>Symbols\MY_LIB_Semiconductors.SchLib</ns0:v>
      </ns0:c>
      <ns0:c r="N220" s="36" t="str">
        <ns0:v>SOT23-3</ns0:v>
      </ns0:c>
      <ns0:c r="O220" s="36" t="str">
        <ns0:v>Footprints\PBL - SMD Packages.PcbLib</ns0:v>
      </ns0:c>
      <ns0:c r="P22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0" s="33"/>
      <ns0:c r="R220" s="34" t="str">
        <ns0:f>D220</ns0:f>
        <ns0:v>BZX84-C16</ns0:v>
      </ns0:c>
      <ns0:c r="S220" s="34" t="str">
        <ns0:f>K220</ns0:f>
        <ns0:v>Стабилитрон BZX84-C16</ns0:v>
      </ns0:c>
      <ns0:c r="T220" s="33" t="str">
        <ns0:v>C:\Users\Nomatin\Documents\Altium\MY_LIB\MY_LIB\Datasheets\Diodes\BZX84_Nexperia.pdf</ns0:v>
      </ns0:c>
      <ns0:c r="U220" s="33" t="str">
        <ns0:v>Rev. 7, 01-Jan-2023</ns0:v>
      </ns0:c>
      <ns0:c r="V220" s="33" t="str">
        <ns0:v>Даташит — локальный</ns0:v>
      </ns0:c>
      <ns0:c r="W220" s="33" t="str">
        <ns0:v>C:\Users\Nomatin\Documents\Altium\MY_LIB\MY_LIB\Datasheets\Diodes\BZX84_Nexperia.pdf</ns0:v>
      </ns0:c>
      <ns0:c r="X220" s="33" t="str">
        <ns0:v>Даташит — производитель</ns0:v>
      </ns0:c>
      <ns0:c r="Y220" s="33" t="str">
        <ns0:v>https://assets.nexperia.com/documents/data-sheet/BZX84_SER.pdf</ns0:v>
      </ns0:c>
      <ns0:c r="Z220" s="33" t="str">
        <ns0:v>C:\Users\Nomatin\Documents\Altium\MY_LIB\MY_LIB\Datasheets\Diodes\BZX84_Nexperia.pdf</ns0:v>
      </ns0:c>
      <ns0:c r="AA220" s="33" t="str">
        <ns0:v>BZX84-C</ns0:v>
      </ns0:c>
      <ns0:c r="AB220" s="33" t="str">
        <ns0:v>Одиночный</ns0:v>
      </ns0:c>
      <ns0:c r="AC220" s="33" t="str">
        <ns0:v>1=A; 2=NC; 3=K</ns0:v>
      </ns0:c>
      <ns0:c r="AD220" s="33"/>
      <ns0:c r="AE220" s="33"/>
      <ns0:c r="AF220" s="33" t="n">
        <ns0:v>16</ns0:v>
      </ns0:c>
      <ns0:c r="AG220" s="33" t="n">
        <ns0:v>5</ns0:v>
      </ns0:c>
      <ns0:c r="AH220" s="33"/>
      <ns0:c r="AI220" s="33"/>
      <ns0:c r="AJ220" s="33" t="str">
        <ns0:v>250 мВт при TA≤25 °C, стандартное посадочное место на FR4; далее снижение мощности.</ns0:v>
      </ns0:c>
    </ns0:row>
    <ns0:row r="221" ht="60" customHeight="1">
      <ns0:c r="A221" s="33" t="str">
        <ns0:v>VD0220</ns0:v>
      </ns0:c>
      <ns0:c r="B221" s="33" t="str">
        <ns0:v>Стабилитрон</ns0:v>
      </ns0:c>
      <ns0:c r="C221" s="33" t="str">
        <ns0:v>BZX84-C18</ns0:v>
      </ns0:c>
      <ns0:c r="D221" s="34" t="str">
        <ns0:f>C221</ns0:f>
        <ns0:v>BZX84-C18</ns0:v>
      </ns0:c>
      <ns0:c r="E221" s="33" t="str">
        <ns0:v>около ±5%</ns0:v>
      </ns0:c>
      <ns0:c r="F221" s="33" t="str">
        <ns0:v>0,25 Вт</ns0:v>
      </ns0:c>
      <ns0:c r="G221" s="33" t="str">
        <ns0:v>18 В (Uст ном.)</ns0:v>
      </ns0:c>
      <ns0:c r="H221" s="35" t="str">
        <ns0:v>SOT-23</ns0:v>
      </ns0:c>
      <ns0:c r="I221" s="33" t="str">
        <ns0:v>Nexperia</ns0:v>
      </ns0:c>
      <ns0:c r="J221" s="33" t="str">
        <ns0:v>BZX84-C18</ns0:v>
      </ns0:c>
      <ns0:c r="K221" s="34" t="str">
        <ns0:f>B221&amp;" "&amp;J221</ns0:f>
        <ns0:v>Стабилитрон BZX84-C18</ns0:v>
      </ns0:c>
      <ns0:c r="L221" s="36" t="str">
        <ns0:v>Zener_1A3C</ns0:v>
      </ns0:c>
      <ns0:c r="M221" s="36" t="str">
        <ns0:v>Symbols\MY_LIB_Semiconductors.SchLib</ns0:v>
      </ns0:c>
      <ns0:c r="N221" s="36" t="str">
        <ns0:v>SOT23-3</ns0:v>
      </ns0:c>
      <ns0:c r="O221" s="36" t="str">
        <ns0:v>Footprints\PBL - SMD Packages.PcbLib</ns0:v>
      </ns0:c>
      <ns0:c r="P22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1" s="33"/>
      <ns0:c r="R221" s="34" t="str">
        <ns0:f>D221</ns0:f>
        <ns0:v>BZX84-C18</ns0:v>
      </ns0:c>
      <ns0:c r="S221" s="34" t="str">
        <ns0:f>K221</ns0:f>
        <ns0:v>Стабилитрон BZX84-C18</ns0:v>
      </ns0:c>
      <ns0:c r="T221" s="33" t="str">
        <ns0:v>C:\Users\Nomatin\Documents\Altium\MY_LIB\MY_LIB\Datasheets\Diodes\BZX84_Nexperia.pdf</ns0:v>
      </ns0:c>
      <ns0:c r="U221" s="33" t="str">
        <ns0:v>Rev. 7, 01-Jan-2023</ns0:v>
      </ns0:c>
      <ns0:c r="V221" s="33" t="str">
        <ns0:v>Даташит — локальный</ns0:v>
      </ns0:c>
      <ns0:c r="W221" s="33" t="str">
        <ns0:v>C:\Users\Nomatin\Documents\Altium\MY_LIB\MY_LIB\Datasheets\Diodes\BZX84_Nexperia.pdf</ns0:v>
      </ns0:c>
      <ns0:c r="X221" s="33" t="str">
        <ns0:v>Даташит — производитель</ns0:v>
      </ns0:c>
      <ns0:c r="Y221" s="33" t="str">
        <ns0:v>https://assets.nexperia.com/documents/data-sheet/BZX84_SER.pdf</ns0:v>
      </ns0:c>
      <ns0:c r="Z221" s="33" t="str">
        <ns0:v>C:\Users\Nomatin\Documents\Altium\MY_LIB\MY_LIB\Datasheets\Diodes\BZX84_Nexperia.pdf</ns0:v>
      </ns0:c>
      <ns0:c r="AA221" s="33" t="str">
        <ns0:v>BZX84-C</ns0:v>
      </ns0:c>
      <ns0:c r="AB221" s="33" t="str">
        <ns0:v>Одиночный</ns0:v>
      </ns0:c>
      <ns0:c r="AC221" s="33" t="str">
        <ns0:v>1=A; 2=NC; 3=K</ns0:v>
      </ns0:c>
      <ns0:c r="AD221" s="33"/>
      <ns0:c r="AE221" s="33"/>
      <ns0:c r="AF221" s="33" t="n">
        <ns0:v>18</ns0:v>
      </ns0:c>
      <ns0:c r="AG221" s="33" t="n">
        <ns0:v>5</ns0:v>
      </ns0:c>
      <ns0:c r="AH221" s="33"/>
      <ns0:c r="AI221" s="33"/>
      <ns0:c r="AJ221" s="33" t="str">
        <ns0:v>250 мВт при TA≤25 °C, стандартное посадочное место на FR4; далее снижение мощности.</ns0:v>
      </ns0:c>
    </ns0:row>
    <ns0:row r="222" ht="60" customHeight="1">
      <ns0:c r="A222" s="33" t="str">
        <ns0:v>VD0221</ns0:v>
      </ns0:c>
      <ns0:c r="B222" s="33" t="str">
        <ns0:v>Стабилитрон</ns0:v>
      </ns0:c>
      <ns0:c r="C222" s="33" t="str">
        <ns0:v>BZX84-C20</ns0:v>
      </ns0:c>
      <ns0:c r="D222" s="34" t="str">
        <ns0:f>C222</ns0:f>
        <ns0:v>BZX84-C20</ns0:v>
      </ns0:c>
      <ns0:c r="E222" s="33" t="str">
        <ns0:v>около ±5%</ns0:v>
      </ns0:c>
      <ns0:c r="F222" s="33" t="str">
        <ns0:v>0,25 Вт</ns0:v>
      </ns0:c>
      <ns0:c r="G222" s="33" t="str">
        <ns0:v>20 В (Uст ном.)</ns0:v>
      </ns0:c>
      <ns0:c r="H222" s="35" t="str">
        <ns0:v>SOT-23</ns0:v>
      </ns0:c>
      <ns0:c r="I222" s="33" t="str">
        <ns0:v>Nexperia</ns0:v>
      </ns0:c>
      <ns0:c r="J222" s="33" t="str">
        <ns0:v>BZX84-C20</ns0:v>
      </ns0:c>
      <ns0:c r="K222" s="34" t="str">
        <ns0:f>B222&amp;" "&amp;J222</ns0:f>
        <ns0:v>Стабилитрон BZX84-C20</ns0:v>
      </ns0:c>
      <ns0:c r="L222" s="36" t="str">
        <ns0:v>Zener_1A3C</ns0:v>
      </ns0:c>
      <ns0:c r="M222" s="36" t="str">
        <ns0:v>Symbols\MY_LIB_Semiconductors.SchLib</ns0:v>
      </ns0:c>
      <ns0:c r="N222" s="36" t="str">
        <ns0:v>SOT23-3</ns0:v>
      </ns0:c>
      <ns0:c r="O222" s="36" t="str">
        <ns0:v>Footprints\PBL - SMD Packages.PcbLib</ns0:v>
      </ns0:c>
      <ns0:c r="P22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2" s="33"/>
      <ns0:c r="R222" s="34" t="str">
        <ns0:f>D222</ns0:f>
        <ns0:v>BZX84-C20</ns0:v>
      </ns0:c>
      <ns0:c r="S222" s="34" t="str">
        <ns0:f>K222</ns0:f>
        <ns0:v>Стабилитрон BZX84-C20</ns0:v>
      </ns0:c>
      <ns0:c r="T222" s="33" t="str">
        <ns0:v>C:\Users\Nomatin\Documents\Altium\MY_LIB\MY_LIB\Datasheets\Diodes\BZX84_Nexperia.pdf</ns0:v>
      </ns0:c>
      <ns0:c r="U222" s="33" t="str">
        <ns0:v>Rev. 7, 01-Jan-2023</ns0:v>
      </ns0:c>
      <ns0:c r="V222" s="33" t="str">
        <ns0:v>Даташит — локальный</ns0:v>
      </ns0:c>
      <ns0:c r="W222" s="33" t="str">
        <ns0:v>C:\Users\Nomatin\Documents\Altium\MY_LIB\MY_LIB\Datasheets\Diodes\BZX84_Nexperia.pdf</ns0:v>
      </ns0:c>
      <ns0:c r="X222" s="33" t="str">
        <ns0:v>Даташит — производитель</ns0:v>
      </ns0:c>
      <ns0:c r="Y222" s="33" t="str">
        <ns0:v>https://assets.nexperia.com/documents/data-sheet/BZX84_SER.pdf</ns0:v>
      </ns0:c>
      <ns0:c r="Z222" s="33" t="str">
        <ns0:v>C:\Users\Nomatin\Documents\Altium\MY_LIB\MY_LIB\Datasheets\Diodes\BZX84_Nexperia.pdf</ns0:v>
      </ns0:c>
      <ns0:c r="AA222" s="33" t="str">
        <ns0:v>BZX84-C</ns0:v>
      </ns0:c>
      <ns0:c r="AB222" s="33" t="str">
        <ns0:v>Одиночный</ns0:v>
      </ns0:c>
      <ns0:c r="AC222" s="33" t="str">
        <ns0:v>1=A; 2=NC; 3=K</ns0:v>
      </ns0:c>
      <ns0:c r="AD222" s="33"/>
      <ns0:c r="AE222" s="33"/>
      <ns0:c r="AF222" s="33" t="n">
        <ns0:v>20</ns0:v>
      </ns0:c>
      <ns0:c r="AG222" s="33" t="n">
        <ns0:v>5</ns0:v>
      </ns0:c>
      <ns0:c r="AH222" s="33"/>
      <ns0:c r="AI222" s="33"/>
      <ns0:c r="AJ222" s="33" t="str">
        <ns0:v>250 мВт при TA≤25 °C, стандартное посадочное место на FR4; далее снижение мощности.</ns0:v>
      </ns0:c>
    </ns0:row>
    <ns0:row r="223" ht="60" customHeight="1">
      <ns0:c r="A223" s="33" t="str">
        <ns0:v>VD0222</ns0:v>
      </ns0:c>
      <ns0:c r="B223" s="33" t="str">
        <ns0:v>Стабилитрон</ns0:v>
      </ns0:c>
      <ns0:c r="C223" s="33" t="str">
        <ns0:v>BZX84-C22</ns0:v>
      </ns0:c>
      <ns0:c r="D223" s="34" t="str">
        <ns0:f>C223</ns0:f>
        <ns0:v>BZX84-C22</ns0:v>
      </ns0:c>
      <ns0:c r="E223" s="33" t="str">
        <ns0:v>около ±5%</ns0:v>
      </ns0:c>
      <ns0:c r="F223" s="33" t="str">
        <ns0:v>0,25 Вт</ns0:v>
      </ns0:c>
      <ns0:c r="G223" s="33" t="str">
        <ns0:v>22 В (Uст ном.)</ns0:v>
      </ns0:c>
      <ns0:c r="H223" s="35" t="str">
        <ns0:v>SOT-23</ns0:v>
      </ns0:c>
      <ns0:c r="I223" s="33" t="str">
        <ns0:v>Nexperia</ns0:v>
      </ns0:c>
      <ns0:c r="J223" s="33" t="str">
        <ns0:v>BZX84-C22</ns0:v>
      </ns0:c>
      <ns0:c r="K223" s="34" t="str">
        <ns0:f>B223&amp;" "&amp;J223</ns0:f>
        <ns0:v>Стабилитрон BZX84-C22</ns0:v>
      </ns0:c>
      <ns0:c r="L223" s="36" t="str">
        <ns0:v>Zener_1A3C</ns0:v>
      </ns0:c>
      <ns0:c r="M223" s="36" t="str">
        <ns0:v>Symbols\MY_LIB_Semiconductors.SchLib</ns0:v>
      </ns0:c>
      <ns0:c r="N223" s="36" t="str">
        <ns0:v>SOT23-3</ns0:v>
      </ns0:c>
      <ns0:c r="O223" s="36" t="str">
        <ns0:v>Footprints\PBL - SMD Packages.PcbLib</ns0:v>
      </ns0:c>
      <ns0:c r="P22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3" s="33"/>
      <ns0:c r="R223" s="34" t="str">
        <ns0:f>D223</ns0:f>
        <ns0:v>BZX84-C22</ns0:v>
      </ns0:c>
      <ns0:c r="S223" s="34" t="str">
        <ns0:f>K223</ns0:f>
        <ns0:v>Стабилитрон BZX84-C22</ns0:v>
      </ns0:c>
      <ns0:c r="T223" s="33" t="str">
        <ns0:v>C:\Users\Nomatin\Documents\Altium\MY_LIB\MY_LIB\Datasheets\Diodes\BZX84_Nexperia.pdf</ns0:v>
      </ns0:c>
      <ns0:c r="U223" s="33" t="str">
        <ns0:v>Rev. 7, 01-Jan-2023</ns0:v>
      </ns0:c>
      <ns0:c r="V223" s="33" t="str">
        <ns0:v>Даташит — локальный</ns0:v>
      </ns0:c>
      <ns0:c r="W223" s="33" t="str">
        <ns0:v>C:\Users\Nomatin\Documents\Altium\MY_LIB\MY_LIB\Datasheets\Diodes\BZX84_Nexperia.pdf</ns0:v>
      </ns0:c>
      <ns0:c r="X223" s="33" t="str">
        <ns0:v>Даташит — производитель</ns0:v>
      </ns0:c>
      <ns0:c r="Y223" s="33" t="str">
        <ns0:v>https://assets.nexperia.com/documents/data-sheet/BZX84_SER.pdf</ns0:v>
      </ns0:c>
      <ns0:c r="Z223" s="33" t="str">
        <ns0:v>C:\Users\Nomatin\Documents\Altium\MY_LIB\MY_LIB\Datasheets\Diodes\BZX84_Nexperia.pdf</ns0:v>
      </ns0:c>
      <ns0:c r="AA223" s="33" t="str">
        <ns0:v>BZX84-C</ns0:v>
      </ns0:c>
      <ns0:c r="AB223" s="33" t="str">
        <ns0:v>Одиночный</ns0:v>
      </ns0:c>
      <ns0:c r="AC223" s="33" t="str">
        <ns0:v>1=A; 2=NC; 3=K</ns0:v>
      </ns0:c>
      <ns0:c r="AD223" s="33"/>
      <ns0:c r="AE223" s="33"/>
      <ns0:c r="AF223" s="33" t="n">
        <ns0:v>22</ns0:v>
      </ns0:c>
      <ns0:c r="AG223" s="33" t="n">
        <ns0:v>5</ns0:v>
      </ns0:c>
      <ns0:c r="AH223" s="33"/>
      <ns0:c r="AI223" s="33"/>
      <ns0:c r="AJ223" s="33" t="str">
        <ns0:v>250 мВт при TA≤25 °C, стандартное посадочное место на FR4; далее снижение мощности.</ns0:v>
      </ns0:c>
    </ns0:row>
    <ns0:row r="224" ht="60" customHeight="1">
      <ns0:c r="A224" s="33" t="str">
        <ns0:v>VD0223</ns0:v>
      </ns0:c>
      <ns0:c r="B224" s="33" t="str">
        <ns0:v>Стабилитрон</ns0:v>
      </ns0:c>
      <ns0:c r="C224" s="33" t="str">
        <ns0:v>BZX84-C24</ns0:v>
      </ns0:c>
      <ns0:c r="D224" s="34" t="str">
        <ns0:f>C224</ns0:f>
        <ns0:v>BZX84-C24</ns0:v>
      </ns0:c>
      <ns0:c r="E224" s="33" t="str">
        <ns0:v>около ±5%</ns0:v>
      </ns0:c>
      <ns0:c r="F224" s="33" t="str">
        <ns0:v>0,25 Вт</ns0:v>
      </ns0:c>
      <ns0:c r="G224" s="33" t="str">
        <ns0:v>24 В (Uст ном.)</ns0:v>
      </ns0:c>
      <ns0:c r="H224" s="35" t="str">
        <ns0:v>SOT-23</ns0:v>
      </ns0:c>
      <ns0:c r="I224" s="33" t="str">
        <ns0:v>Nexperia</ns0:v>
      </ns0:c>
      <ns0:c r="J224" s="33" t="str">
        <ns0:v>BZX84-C24</ns0:v>
      </ns0:c>
      <ns0:c r="K224" s="34" t="str">
        <ns0:f>B224&amp;" "&amp;J224</ns0:f>
        <ns0:v>Стабилитрон BZX84-C24</ns0:v>
      </ns0:c>
      <ns0:c r="L224" s="36" t="str">
        <ns0:v>Zener_1A3C</ns0:v>
      </ns0:c>
      <ns0:c r="M224" s="36" t="str">
        <ns0:v>Symbols\MY_LIB_Semiconductors.SchLib</ns0:v>
      </ns0:c>
      <ns0:c r="N224" s="36" t="str">
        <ns0:v>SOT23-3</ns0:v>
      </ns0:c>
      <ns0:c r="O224" s="36" t="str">
        <ns0:v>Footprints\PBL - SMD Packages.PcbLib</ns0:v>
      </ns0:c>
      <ns0:c r="P22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4" s="33"/>
      <ns0:c r="R224" s="34" t="str">
        <ns0:f>D224</ns0:f>
        <ns0:v>BZX84-C24</ns0:v>
      </ns0:c>
      <ns0:c r="S224" s="34" t="str">
        <ns0:f>K224</ns0:f>
        <ns0:v>Стабилитрон BZX84-C24</ns0:v>
      </ns0:c>
      <ns0:c r="T224" s="33" t="str">
        <ns0:v>C:\Users\Nomatin\Documents\Altium\MY_LIB\MY_LIB\Datasheets\Diodes\BZX84_Nexperia.pdf</ns0:v>
      </ns0:c>
      <ns0:c r="U224" s="33" t="str">
        <ns0:v>Rev. 7, 01-Jan-2023</ns0:v>
      </ns0:c>
      <ns0:c r="V224" s="33" t="str">
        <ns0:v>Даташит — локальный</ns0:v>
      </ns0:c>
      <ns0:c r="W224" s="33" t="str">
        <ns0:v>C:\Users\Nomatin\Documents\Altium\MY_LIB\MY_LIB\Datasheets\Diodes\BZX84_Nexperia.pdf</ns0:v>
      </ns0:c>
      <ns0:c r="X224" s="33" t="str">
        <ns0:v>Даташит — производитель</ns0:v>
      </ns0:c>
      <ns0:c r="Y224" s="33" t="str">
        <ns0:v>https://assets.nexperia.com/documents/data-sheet/BZX84_SER.pdf</ns0:v>
      </ns0:c>
      <ns0:c r="Z224" s="33" t="str">
        <ns0:v>C:\Users\Nomatin\Documents\Altium\MY_LIB\MY_LIB\Datasheets\Diodes\BZX84_Nexperia.pdf</ns0:v>
      </ns0:c>
      <ns0:c r="AA224" s="33" t="str">
        <ns0:v>BZX84-C</ns0:v>
      </ns0:c>
      <ns0:c r="AB224" s="33" t="str">
        <ns0:v>Одиночный</ns0:v>
      </ns0:c>
      <ns0:c r="AC224" s="33" t="str">
        <ns0:v>1=A; 2=NC; 3=K</ns0:v>
      </ns0:c>
      <ns0:c r="AD224" s="33"/>
      <ns0:c r="AE224" s="33"/>
      <ns0:c r="AF224" s="33" t="n">
        <ns0:v>24</ns0:v>
      </ns0:c>
      <ns0:c r="AG224" s="33" t="n">
        <ns0:v>5</ns0:v>
      </ns0:c>
      <ns0:c r="AH224" s="33"/>
      <ns0:c r="AI224" s="33"/>
      <ns0:c r="AJ224" s="33" t="str">
        <ns0:v>250 мВт при TA≤25 °C, стандартное посадочное место на FR4; далее снижение мощности.</ns0:v>
      </ns0:c>
    </ns0:row>
    <ns0:row r="225" ht="60" customHeight="1">
      <ns0:c r="A225" s="33" t="str">
        <ns0:v>VD0224</ns0:v>
      </ns0:c>
      <ns0:c r="B225" s="33" t="str">
        <ns0:v>Стабилитрон</ns0:v>
      </ns0:c>
      <ns0:c r="C225" s="33" t="str">
        <ns0:v>BZX84-C27</ns0:v>
      </ns0:c>
      <ns0:c r="D225" s="34" t="str">
        <ns0:f>C225</ns0:f>
        <ns0:v>BZX84-C27</ns0:v>
      </ns0:c>
      <ns0:c r="E225" s="33" t="str">
        <ns0:v>около ±5%</ns0:v>
      </ns0:c>
      <ns0:c r="F225" s="33" t="str">
        <ns0:v>0,25 Вт</ns0:v>
      </ns0:c>
      <ns0:c r="G225" s="33" t="str">
        <ns0:v>27 В (Uст ном.)</ns0:v>
      </ns0:c>
      <ns0:c r="H225" s="35" t="str">
        <ns0:v>SOT-23</ns0:v>
      </ns0:c>
      <ns0:c r="I225" s="33" t="str">
        <ns0:v>Nexperia</ns0:v>
      </ns0:c>
      <ns0:c r="J225" s="33" t="str">
        <ns0:v>BZX84-C27</ns0:v>
      </ns0:c>
      <ns0:c r="K225" s="34" t="str">
        <ns0:f>B225&amp;" "&amp;J225</ns0:f>
        <ns0:v>Стабилитрон BZX84-C27</ns0:v>
      </ns0:c>
      <ns0:c r="L225" s="36" t="str">
        <ns0:v>Zener_1A3C</ns0:v>
      </ns0:c>
      <ns0:c r="M225" s="36" t="str">
        <ns0:v>Symbols\MY_LIB_Semiconductors.SchLib</ns0:v>
      </ns0:c>
      <ns0:c r="N225" s="36" t="str">
        <ns0:v>SOT23-3</ns0:v>
      </ns0:c>
      <ns0:c r="O225" s="36" t="str">
        <ns0:v>Footprints\PBL - SMD Packages.PcbLib</ns0:v>
      </ns0:c>
      <ns0:c r="P22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5" s="33"/>
      <ns0:c r="R225" s="34" t="str">
        <ns0:f>D225</ns0:f>
        <ns0:v>BZX84-C27</ns0:v>
      </ns0:c>
      <ns0:c r="S225" s="34" t="str">
        <ns0:f>K225</ns0:f>
        <ns0:v>Стабилитрон BZX84-C27</ns0:v>
      </ns0:c>
      <ns0:c r="T225" s="33" t="str">
        <ns0:v>C:\Users\Nomatin\Documents\Altium\MY_LIB\MY_LIB\Datasheets\Diodes\BZX84_Nexperia.pdf</ns0:v>
      </ns0:c>
      <ns0:c r="U225" s="33" t="str">
        <ns0:v>Rev. 7, 01-Jan-2023</ns0:v>
      </ns0:c>
      <ns0:c r="V225" s="33" t="str">
        <ns0:v>Даташит — локальный</ns0:v>
      </ns0:c>
      <ns0:c r="W225" s="33" t="str">
        <ns0:v>C:\Users\Nomatin\Documents\Altium\MY_LIB\MY_LIB\Datasheets\Diodes\BZX84_Nexperia.pdf</ns0:v>
      </ns0:c>
      <ns0:c r="X225" s="33" t="str">
        <ns0:v>Даташит — производитель</ns0:v>
      </ns0:c>
      <ns0:c r="Y225" s="33" t="str">
        <ns0:v>https://assets.nexperia.com/documents/data-sheet/BZX84_SER.pdf</ns0:v>
      </ns0:c>
      <ns0:c r="Z225" s="33" t="str">
        <ns0:v>C:\Users\Nomatin\Documents\Altium\MY_LIB\MY_LIB\Datasheets\Diodes\BZX84_Nexperia.pdf</ns0:v>
      </ns0:c>
      <ns0:c r="AA225" s="33" t="str">
        <ns0:v>BZX84-C</ns0:v>
      </ns0:c>
      <ns0:c r="AB225" s="33" t="str">
        <ns0:v>Одиночный</ns0:v>
      </ns0:c>
      <ns0:c r="AC225" s="33" t="str">
        <ns0:v>1=A; 2=NC; 3=K</ns0:v>
      </ns0:c>
      <ns0:c r="AD225" s="33"/>
      <ns0:c r="AE225" s="33"/>
      <ns0:c r="AF225" s="33" t="n">
        <ns0:v>27</ns0:v>
      </ns0:c>
      <ns0:c r="AG225" s="33" t="n">
        <ns0:v>2</ns0:v>
      </ns0:c>
      <ns0:c r="AH225" s="33"/>
      <ns0:c r="AI225" s="33"/>
      <ns0:c r="AJ225" s="33" t="str">
        <ns0:v>250 мВт при TA≤25 °C, стандартное посадочное место на FR4; далее снижение мощности.</ns0:v>
      </ns0:c>
    </ns0:row>
    <ns0:row r="226" ht="60" customHeight="1">
      <ns0:c r="A226" s="33" t="str">
        <ns0:v>VD0225</ns0:v>
      </ns0:c>
      <ns0:c r="B226" s="33" t="str">
        <ns0:v>Стабилитрон</ns0:v>
      </ns0:c>
      <ns0:c r="C226" s="33" t="str">
        <ns0:v>BZX84-C30</ns0:v>
      </ns0:c>
      <ns0:c r="D226" s="34" t="str">
        <ns0:f>C226</ns0:f>
        <ns0:v>BZX84-C30</ns0:v>
      </ns0:c>
      <ns0:c r="E226" s="33" t="str">
        <ns0:v>около ±5%</ns0:v>
      </ns0:c>
      <ns0:c r="F226" s="33" t="str">
        <ns0:v>0,25 Вт</ns0:v>
      </ns0:c>
      <ns0:c r="G226" s="33" t="str">
        <ns0:v>30 В (Uст ном.)</ns0:v>
      </ns0:c>
      <ns0:c r="H226" s="35" t="str">
        <ns0:v>SOT-23</ns0:v>
      </ns0:c>
      <ns0:c r="I226" s="33" t="str">
        <ns0:v>Nexperia</ns0:v>
      </ns0:c>
      <ns0:c r="J226" s="33" t="str">
        <ns0:v>BZX84-C30</ns0:v>
      </ns0:c>
      <ns0:c r="K226" s="34" t="str">
        <ns0:f>B226&amp;" "&amp;J226</ns0:f>
        <ns0:v>Стабилитрон BZX84-C30</ns0:v>
      </ns0:c>
      <ns0:c r="L226" s="36" t="str">
        <ns0:v>Zener_1A3C</ns0:v>
      </ns0:c>
      <ns0:c r="M226" s="36" t="str">
        <ns0:v>Symbols\MY_LIB_Semiconductors.SchLib</ns0:v>
      </ns0:c>
      <ns0:c r="N226" s="36" t="str">
        <ns0:v>SOT23-3</ns0:v>
      </ns0:c>
      <ns0:c r="O226" s="36" t="str">
        <ns0:v>Footprints\PBL - SMD Packages.PcbLib</ns0:v>
      </ns0:c>
      <ns0:c r="P22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6" s="33"/>
      <ns0:c r="R226" s="34" t="str">
        <ns0:f>D226</ns0:f>
        <ns0:v>BZX84-C30</ns0:v>
      </ns0:c>
      <ns0:c r="S226" s="34" t="str">
        <ns0:f>K226</ns0:f>
        <ns0:v>Стабилитрон BZX84-C30</ns0:v>
      </ns0:c>
      <ns0:c r="T226" s="33" t="str">
        <ns0:v>C:\Users\Nomatin\Documents\Altium\MY_LIB\MY_LIB\Datasheets\Diodes\BZX84_Nexperia.pdf</ns0:v>
      </ns0:c>
      <ns0:c r="U226" s="33" t="str">
        <ns0:v>Rev. 7, 01-Jan-2023</ns0:v>
      </ns0:c>
      <ns0:c r="V226" s="33" t="str">
        <ns0:v>Даташит — локальный</ns0:v>
      </ns0:c>
      <ns0:c r="W226" s="33" t="str">
        <ns0:v>C:\Users\Nomatin\Documents\Altium\MY_LIB\MY_LIB\Datasheets\Diodes\BZX84_Nexperia.pdf</ns0:v>
      </ns0:c>
      <ns0:c r="X226" s="33" t="str">
        <ns0:v>Даташит — производитель</ns0:v>
      </ns0:c>
      <ns0:c r="Y226" s="33" t="str">
        <ns0:v>https://assets.nexperia.com/documents/data-sheet/BZX84_SER.pdf</ns0:v>
      </ns0:c>
      <ns0:c r="Z226" s="33" t="str">
        <ns0:v>C:\Users\Nomatin\Documents\Altium\MY_LIB\MY_LIB\Datasheets\Diodes\BZX84_Nexperia.pdf</ns0:v>
      </ns0:c>
      <ns0:c r="AA226" s="33" t="str">
        <ns0:v>BZX84-C</ns0:v>
      </ns0:c>
      <ns0:c r="AB226" s="33" t="str">
        <ns0:v>Одиночный</ns0:v>
      </ns0:c>
      <ns0:c r="AC226" s="33" t="str">
        <ns0:v>1=A; 2=NC; 3=K</ns0:v>
      </ns0:c>
      <ns0:c r="AD226" s="33"/>
      <ns0:c r="AE226" s="33"/>
      <ns0:c r="AF226" s="33" t="n">
        <ns0:v>30</ns0:v>
      </ns0:c>
      <ns0:c r="AG226" s="33" t="n">
        <ns0:v>2</ns0:v>
      </ns0:c>
      <ns0:c r="AH226" s="33"/>
      <ns0:c r="AI226" s="33"/>
      <ns0:c r="AJ226" s="33" t="str">
        <ns0:v>250 мВт при TA≤25 °C, стандартное посадочное место на FR4; далее снижение мощности.</ns0:v>
      </ns0:c>
    </ns0:row>
    <ns0:row r="227" ht="60" customHeight="1">
      <ns0:c r="A227" s="33" t="str">
        <ns0:v>VD0226</ns0:v>
      </ns0:c>
      <ns0:c r="B227" s="33" t="str">
        <ns0:v>Стабилитрон</ns0:v>
      </ns0:c>
      <ns0:c r="C227" s="33" t="str">
        <ns0:v>BZX84-C33</ns0:v>
      </ns0:c>
      <ns0:c r="D227" s="34" t="str">
        <ns0:f>C227</ns0:f>
        <ns0:v>BZX84-C33</ns0:v>
      </ns0:c>
      <ns0:c r="E227" s="33" t="str">
        <ns0:v>около ±5%</ns0:v>
      </ns0:c>
      <ns0:c r="F227" s="33" t="str">
        <ns0:v>0,25 Вт</ns0:v>
      </ns0:c>
      <ns0:c r="G227" s="33" t="str">
        <ns0:v>33 В (Uст ном.)</ns0:v>
      </ns0:c>
      <ns0:c r="H227" s="35" t="str">
        <ns0:v>SOT-23</ns0:v>
      </ns0:c>
      <ns0:c r="I227" s="33" t="str">
        <ns0:v>Nexperia</ns0:v>
      </ns0:c>
      <ns0:c r="J227" s="33" t="str">
        <ns0:v>BZX84-C33</ns0:v>
      </ns0:c>
      <ns0:c r="K227" s="34" t="str">
        <ns0:f>B227&amp;" "&amp;J227</ns0:f>
        <ns0:v>Стабилитрон BZX84-C33</ns0:v>
      </ns0:c>
      <ns0:c r="L227" s="36" t="str">
        <ns0:v>Zener_1A3C</ns0:v>
      </ns0:c>
      <ns0:c r="M227" s="36" t="str">
        <ns0:v>Symbols\MY_LIB_Semiconductors.SchLib</ns0:v>
      </ns0:c>
      <ns0:c r="N227" s="36" t="str">
        <ns0:v>SOT23-3</ns0:v>
      </ns0:c>
      <ns0:c r="O227" s="36" t="str">
        <ns0:v>Footprints\PBL - SMD Packages.PcbLib</ns0:v>
      </ns0:c>
      <ns0:c r="P227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7" s="33"/>
      <ns0:c r="R227" s="34" t="str">
        <ns0:f>D227</ns0:f>
        <ns0:v>BZX84-C33</ns0:v>
      </ns0:c>
      <ns0:c r="S227" s="34" t="str">
        <ns0:f>K227</ns0:f>
        <ns0:v>Стабилитрон BZX84-C33</ns0:v>
      </ns0:c>
      <ns0:c r="T227" s="33" t="str">
        <ns0:v>C:\Users\Nomatin\Documents\Altium\MY_LIB\MY_LIB\Datasheets\Diodes\BZX84_Nexperia.pdf</ns0:v>
      </ns0:c>
      <ns0:c r="U227" s="33" t="str">
        <ns0:v>Rev. 7, 01-Jan-2023</ns0:v>
      </ns0:c>
      <ns0:c r="V227" s="33" t="str">
        <ns0:v>Даташит — локальный</ns0:v>
      </ns0:c>
      <ns0:c r="W227" s="33" t="str">
        <ns0:v>C:\Users\Nomatin\Documents\Altium\MY_LIB\MY_LIB\Datasheets\Diodes\BZX84_Nexperia.pdf</ns0:v>
      </ns0:c>
      <ns0:c r="X227" s="33" t="str">
        <ns0:v>Даташит — производитель</ns0:v>
      </ns0:c>
      <ns0:c r="Y227" s="33" t="str">
        <ns0:v>https://assets.nexperia.com/documents/data-sheet/BZX84_SER.pdf</ns0:v>
      </ns0:c>
      <ns0:c r="Z227" s="33" t="str">
        <ns0:v>C:\Users\Nomatin\Documents\Altium\MY_LIB\MY_LIB\Datasheets\Diodes\BZX84_Nexperia.pdf</ns0:v>
      </ns0:c>
      <ns0:c r="AA227" s="33" t="str">
        <ns0:v>BZX84-C</ns0:v>
      </ns0:c>
      <ns0:c r="AB227" s="33" t="str">
        <ns0:v>Одиночный</ns0:v>
      </ns0:c>
      <ns0:c r="AC227" s="33" t="str">
        <ns0:v>1=A; 2=NC; 3=K</ns0:v>
      </ns0:c>
      <ns0:c r="AD227" s="33"/>
      <ns0:c r="AE227" s="33"/>
      <ns0:c r="AF227" s="33" t="n">
        <ns0:v>33</ns0:v>
      </ns0:c>
      <ns0:c r="AG227" s="33" t="n">
        <ns0:v>2</ns0:v>
      </ns0:c>
      <ns0:c r="AH227" s="33"/>
      <ns0:c r="AI227" s="33"/>
      <ns0:c r="AJ227" s="33" t="str">
        <ns0:v>250 мВт при TA≤25 °C, стандартное посадочное место на FR4; далее снижение мощности.</ns0:v>
      </ns0:c>
    </ns0:row>
    <ns0:row r="228" ht="60" customHeight="1">
      <ns0:c r="A228" s="33" t="str">
        <ns0:v>VD0227</ns0:v>
      </ns0:c>
      <ns0:c r="B228" s="33" t="str">
        <ns0:v>Стабилитрон</ns0:v>
      </ns0:c>
      <ns0:c r="C228" s="33" t="str">
        <ns0:v>BZX84-C36</ns0:v>
      </ns0:c>
      <ns0:c r="D228" s="34" t="str">
        <ns0:f>C228</ns0:f>
        <ns0:v>BZX84-C36</ns0:v>
      </ns0:c>
      <ns0:c r="E228" s="33" t="str">
        <ns0:v>около ±5%</ns0:v>
      </ns0:c>
      <ns0:c r="F228" s="33" t="str">
        <ns0:v>0,25 Вт</ns0:v>
      </ns0:c>
      <ns0:c r="G228" s="33" t="str">
        <ns0:v>36 В (Uст ном.)</ns0:v>
      </ns0:c>
      <ns0:c r="H228" s="35" t="str">
        <ns0:v>SOT-23</ns0:v>
      </ns0:c>
      <ns0:c r="I228" s="33" t="str">
        <ns0:v>Nexperia</ns0:v>
      </ns0:c>
      <ns0:c r="J228" s="33" t="str">
        <ns0:v>BZX84-C36</ns0:v>
      </ns0:c>
      <ns0:c r="K228" s="34" t="str">
        <ns0:f>B228&amp;" "&amp;J228</ns0:f>
        <ns0:v>Стабилитрон BZX84-C36</ns0:v>
      </ns0:c>
      <ns0:c r="L228" s="36" t="str">
        <ns0:v>Zener_1A3C</ns0:v>
      </ns0:c>
      <ns0:c r="M228" s="36" t="str">
        <ns0:v>Symbols\MY_LIB_Semiconductors.SchLib</ns0:v>
      </ns0:c>
      <ns0:c r="N228" s="36" t="str">
        <ns0:v>SOT23-3</ns0:v>
      </ns0:c>
      <ns0:c r="O228" s="36" t="str">
        <ns0:v>Footprints\PBL - SMD Packages.PcbLib</ns0:v>
      </ns0:c>
      <ns0:c r="P228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8" s="33"/>
      <ns0:c r="R228" s="34" t="str">
        <ns0:f>D228</ns0:f>
        <ns0:v>BZX84-C36</ns0:v>
      </ns0:c>
      <ns0:c r="S228" s="34" t="str">
        <ns0:f>K228</ns0:f>
        <ns0:v>Стабилитрон BZX84-C36</ns0:v>
      </ns0:c>
      <ns0:c r="T228" s="33" t="str">
        <ns0:v>C:\Users\Nomatin\Documents\Altium\MY_LIB\MY_LIB\Datasheets\Diodes\BZX84_Nexperia.pdf</ns0:v>
      </ns0:c>
      <ns0:c r="U228" s="33" t="str">
        <ns0:v>Rev. 7, 01-Jan-2023</ns0:v>
      </ns0:c>
      <ns0:c r="V228" s="33" t="str">
        <ns0:v>Даташит — локальный</ns0:v>
      </ns0:c>
      <ns0:c r="W228" s="33" t="str">
        <ns0:v>C:\Users\Nomatin\Documents\Altium\MY_LIB\MY_LIB\Datasheets\Diodes\BZX84_Nexperia.pdf</ns0:v>
      </ns0:c>
      <ns0:c r="X228" s="33" t="str">
        <ns0:v>Даташит — производитель</ns0:v>
      </ns0:c>
      <ns0:c r="Y228" s="33" t="str">
        <ns0:v>https://assets.nexperia.com/documents/data-sheet/BZX84_SER.pdf</ns0:v>
      </ns0:c>
      <ns0:c r="Z228" s="33" t="str">
        <ns0:v>C:\Users\Nomatin\Documents\Altium\MY_LIB\MY_LIB\Datasheets\Diodes\BZX84_Nexperia.pdf</ns0:v>
      </ns0:c>
      <ns0:c r="AA228" s="33" t="str">
        <ns0:v>BZX84-C</ns0:v>
      </ns0:c>
      <ns0:c r="AB228" s="33" t="str">
        <ns0:v>Одиночный</ns0:v>
      </ns0:c>
      <ns0:c r="AC228" s="33" t="str">
        <ns0:v>1=A; 2=NC; 3=K</ns0:v>
      </ns0:c>
      <ns0:c r="AD228" s="33"/>
      <ns0:c r="AE228" s="33"/>
      <ns0:c r="AF228" s="33" t="n">
        <ns0:v>36</ns0:v>
      </ns0:c>
      <ns0:c r="AG228" s="33" t="n">
        <ns0:v>2</ns0:v>
      </ns0:c>
      <ns0:c r="AH228" s="33"/>
      <ns0:c r="AI228" s="33"/>
      <ns0:c r="AJ228" s="33" t="str">
        <ns0:v>250 мВт при TA≤25 °C, стандартное посадочное место на FR4; далее снижение мощности.</ns0:v>
      </ns0:c>
    </ns0:row>
    <ns0:row r="229" ht="60" customHeight="1">
      <ns0:c r="A229" s="33" t="str">
        <ns0:v>VD0228</ns0:v>
      </ns0:c>
      <ns0:c r="B229" s="33" t="str">
        <ns0:v>Стабилитрон</ns0:v>
      </ns0:c>
      <ns0:c r="C229" s="33" t="str">
        <ns0:v>BZX84-C39</ns0:v>
      </ns0:c>
      <ns0:c r="D229" s="34" t="str">
        <ns0:f>C229</ns0:f>
        <ns0:v>BZX84-C39</ns0:v>
      </ns0:c>
      <ns0:c r="E229" s="33" t="str">
        <ns0:v>около ±5%</ns0:v>
      </ns0:c>
      <ns0:c r="F229" s="33" t="str">
        <ns0:v>0,25 Вт</ns0:v>
      </ns0:c>
      <ns0:c r="G229" s="33" t="str">
        <ns0:v>39 В (Uст ном.)</ns0:v>
      </ns0:c>
      <ns0:c r="H229" s="35" t="str">
        <ns0:v>SOT-23</ns0:v>
      </ns0:c>
      <ns0:c r="I229" s="33" t="str">
        <ns0:v>Nexperia</ns0:v>
      </ns0:c>
      <ns0:c r="J229" s="33" t="str">
        <ns0:v>BZX84-C39</ns0:v>
      </ns0:c>
      <ns0:c r="K229" s="34" t="str">
        <ns0:f>B229&amp;" "&amp;J229</ns0:f>
        <ns0:v>Стабилитрон BZX84-C39</ns0:v>
      </ns0:c>
      <ns0:c r="L229" s="36" t="str">
        <ns0:v>Zener_1A3C</ns0:v>
      </ns0:c>
      <ns0:c r="M229" s="36" t="str">
        <ns0:v>Symbols\MY_LIB_Semiconductors.SchLib</ns0:v>
      </ns0:c>
      <ns0:c r="N229" s="36" t="str">
        <ns0:v>SOT23-3</ns0:v>
      </ns0:c>
      <ns0:c r="O229" s="36" t="str">
        <ns0:v>Footprints\PBL - SMD Packages.PcbLib</ns0:v>
      </ns0:c>
      <ns0:c r="P229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29" s="33"/>
      <ns0:c r="R229" s="34" t="str">
        <ns0:f>D229</ns0:f>
        <ns0:v>BZX84-C39</ns0:v>
      </ns0:c>
      <ns0:c r="S229" s="34" t="str">
        <ns0:f>K229</ns0:f>
        <ns0:v>Стабилитрон BZX84-C39</ns0:v>
      </ns0:c>
      <ns0:c r="T229" s="33" t="str">
        <ns0:v>C:\Users\Nomatin\Documents\Altium\MY_LIB\MY_LIB\Datasheets\Diodes\BZX84_Nexperia.pdf</ns0:v>
      </ns0:c>
      <ns0:c r="U229" s="33" t="str">
        <ns0:v>Rev. 7, 01-Jan-2023</ns0:v>
      </ns0:c>
      <ns0:c r="V229" s="33" t="str">
        <ns0:v>Даташит — локальный</ns0:v>
      </ns0:c>
      <ns0:c r="W229" s="33" t="str">
        <ns0:v>C:\Users\Nomatin\Documents\Altium\MY_LIB\MY_LIB\Datasheets\Diodes\BZX84_Nexperia.pdf</ns0:v>
      </ns0:c>
      <ns0:c r="X229" s="33" t="str">
        <ns0:v>Даташит — производитель</ns0:v>
      </ns0:c>
      <ns0:c r="Y229" s="33" t="str">
        <ns0:v>https://assets.nexperia.com/documents/data-sheet/BZX84_SER.pdf</ns0:v>
      </ns0:c>
      <ns0:c r="Z229" s="33" t="str">
        <ns0:v>C:\Users\Nomatin\Documents\Altium\MY_LIB\MY_LIB\Datasheets\Diodes\BZX84_Nexperia.pdf</ns0:v>
      </ns0:c>
      <ns0:c r="AA229" s="33" t="str">
        <ns0:v>BZX84-C</ns0:v>
      </ns0:c>
      <ns0:c r="AB229" s="33" t="str">
        <ns0:v>Одиночный</ns0:v>
      </ns0:c>
      <ns0:c r="AC229" s="33" t="str">
        <ns0:v>1=A; 2=NC; 3=K</ns0:v>
      </ns0:c>
      <ns0:c r="AD229" s="33"/>
      <ns0:c r="AE229" s="33"/>
      <ns0:c r="AF229" s="33" t="n">
        <ns0:v>39</ns0:v>
      </ns0:c>
      <ns0:c r="AG229" s="33" t="n">
        <ns0:v>2</ns0:v>
      </ns0:c>
      <ns0:c r="AH229" s="33"/>
      <ns0:c r="AI229" s="33"/>
      <ns0:c r="AJ229" s="33" t="str">
        <ns0:v>250 мВт при TA≤25 °C, стандартное посадочное место на FR4; далее снижение мощности.</ns0:v>
      </ns0:c>
    </ns0:row>
    <ns0:row r="230" ht="60" customHeight="1">
      <ns0:c r="A230" s="33" t="str">
        <ns0:v>VD0229</ns0:v>
      </ns0:c>
      <ns0:c r="B230" s="33" t="str">
        <ns0:v>Стабилитрон</ns0:v>
      </ns0:c>
      <ns0:c r="C230" s="33" t="str">
        <ns0:v>BZX84-C43</ns0:v>
      </ns0:c>
      <ns0:c r="D230" s="34" t="str">
        <ns0:f>C230</ns0:f>
        <ns0:v>BZX84-C43</ns0:v>
      </ns0:c>
      <ns0:c r="E230" s="33" t="str">
        <ns0:v>около ±5%</ns0:v>
      </ns0:c>
      <ns0:c r="F230" s="33" t="str">
        <ns0:v>0,25 Вт</ns0:v>
      </ns0:c>
      <ns0:c r="G230" s="33" t="str">
        <ns0:v>43 В (Uст ном.)</ns0:v>
      </ns0:c>
      <ns0:c r="H230" s="35" t="str">
        <ns0:v>SOT-23</ns0:v>
      </ns0:c>
      <ns0:c r="I230" s="33" t="str">
        <ns0:v>Nexperia</ns0:v>
      </ns0:c>
      <ns0:c r="J230" s="33" t="str">
        <ns0:v>BZX84-C43</ns0:v>
      </ns0:c>
      <ns0:c r="K230" s="34" t="str">
        <ns0:f>B230&amp;" "&amp;J230</ns0:f>
        <ns0:v>Стабилитрон BZX84-C43</ns0:v>
      </ns0:c>
      <ns0:c r="L230" s="36" t="str">
        <ns0:v>Zener_1A3C</ns0:v>
      </ns0:c>
      <ns0:c r="M230" s="36" t="str">
        <ns0:v>Symbols\MY_LIB_Semiconductors.SchLib</ns0:v>
      </ns0:c>
      <ns0:c r="N230" s="36" t="str">
        <ns0:v>SOT23-3</ns0:v>
      </ns0:c>
      <ns0:c r="O230" s="36" t="str">
        <ns0:v>Footprints\PBL - SMD Packages.PcbLib</ns0:v>
      </ns0:c>
      <ns0:c r="P230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0" s="33"/>
      <ns0:c r="R230" s="34" t="str">
        <ns0:f>D230</ns0:f>
        <ns0:v>BZX84-C43</ns0:v>
      </ns0:c>
      <ns0:c r="S230" s="34" t="str">
        <ns0:f>K230</ns0:f>
        <ns0:v>Стабилитрон BZX84-C43</ns0:v>
      </ns0:c>
      <ns0:c r="T230" s="33" t="str">
        <ns0:v>C:\Users\Nomatin\Documents\Altium\MY_LIB\MY_LIB\Datasheets\Diodes\BZX84_Nexperia.pdf</ns0:v>
      </ns0:c>
      <ns0:c r="U230" s="33" t="str">
        <ns0:v>Rev. 7, 01-Jan-2023</ns0:v>
      </ns0:c>
      <ns0:c r="V230" s="33" t="str">
        <ns0:v>Даташит — локальный</ns0:v>
      </ns0:c>
      <ns0:c r="W230" s="33" t="str">
        <ns0:v>C:\Users\Nomatin\Documents\Altium\MY_LIB\MY_LIB\Datasheets\Diodes\BZX84_Nexperia.pdf</ns0:v>
      </ns0:c>
      <ns0:c r="X230" s="33" t="str">
        <ns0:v>Даташит — производитель</ns0:v>
      </ns0:c>
      <ns0:c r="Y230" s="33" t="str">
        <ns0:v>https://assets.nexperia.com/documents/data-sheet/BZX84_SER.pdf</ns0:v>
      </ns0:c>
      <ns0:c r="Z230" s="33" t="str">
        <ns0:v>C:\Users\Nomatin\Documents\Altium\MY_LIB\MY_LIB\Datasheets\Diodes\BZX84_Nexperia.pdf</ns0:v>
      </ns0:c>
      <ns0:c r="AA230" s="33" t="str">
        <ns0:v>BZX84-C</ns0:v>
      </ns0:c>
      <ns0:c r="AB230" s="33" t="str">
        <ns0:v>Одиночный</ns0:v>
      </ns0:c>
      <ns0:c r="AC230" s="33" t="str">
        <ns0:v>1=A; 2=NC; 3=K</ns0:v>
      </ns0:c>
      <ns0:c r="AD230" s="33"/>
      <ns0:c r="AE230" s="33"/>
      <ns0:c r="AF230" s="33" t="n">
        <ns0:v>43</ns0:v>
      </ns0:c>
      <ns0:c r="AG230" s="33" t="n">
        <ns0:v>2</ns0:v>
      </ns0:c>
      <ns0:c r="AH230" s="33"/>
      <ns0:c r="AI230" s="33"/>
      <ns0:c r="AJ230" s="33" t="str">
        <ns0:v>250 мВт при TA≤25 °C, стандартное посадочное место на FR4; далее снижение мощности.</ns0:v>
      </ns0:c>
    </ns0:row>
    <ns0:row r="231" ht="60" customHeight="1">
      <ns0:c r="A231" s="33" t="str">
        <ns0:v>VD0230</ns0:v>
      </ns0:c>
      <ns0:c r="B231" s="33" t="str">
        <ns0:v>Стабилитрон</ns0:v>
      </ns0:c>
      <ns0:c r="C231" s="33" t="str">
        <ns0:v>BZX84-C47</ns0:v>
      </ns0:c>
      <ns0:c r="D231" s="34" t="str">
        <ns0:f>C231</ns0:f>
        <ns0:v>BZX84-C47</ns0:v>
      </ns0:c>
      <ns0:c r="E231" s="33" t="str">
        <ns0:v>около ±5%</ns0:v>
      </ns0:c>
      <ns0:c r="F231" s="33" t="str">
        <ns0:v>0,25 Вт</ns0:v>
      </ns0:c>
      <ns0:c r="G231" s="33" t="str">
        <ns0:v>47 В (Uст ном.)</ns0:v>
      </ns0:c>
      <ns0:c r="H231" s="35" t="str">
        <ns0:v>SOT-23</ns0:v>
      </ns0:c>
      <ns0:c r="I231" s="33" t="str">
        <ns0:v>Nexperia</ns0:v>
      </ns0:c>
      <ns0:c r="J231" s="33" t="str">
        <ns0:v>BZX84-C47</ns0:v>
      </ns0:c>
      <ns0:c r="K231" s="34" t="str">
        <ns0:f>B231&amp;" "&amp;J231</ns0:f>
        <ns0:v>Стабилитрон BZX84-C47</ns0:v>
      </ns0:c>
      <ns0:c r="L231" s="36" t="str">
        <ns0:v>Zener_1A3C</ns0:v>
      </ns0:c>
      <ns0:c r="M231" s="36" t="str">
        <ns0:v>Symbols\MY_LIB_Semiconductors.SchLib</ns0:v>
      </ns0:c>
      <ns0:c r="N231" s="36" t="str">
        <ns0:v>SOT23-3</ns0:v>
      </ns0:c>
      <ns0:c r="O231" s="36" t="str">
        <ns0:v>Footprints\PBL - SMD Packages.PcbLib</ns0:v>
      </ns0:c>
      <ns0:c r="P231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1" s="33"/>
      <ns0:c r="R231" s="34" t="str">
        <ns0:f>D231</ns0:f>
        <ns0:v>BZX84-C47</ns0:v>
      </ns0:c>
      <ns0:c r="S231" s="34" t="str">
        <ns0:f>K231</ns0:f>
        <ns0:v>Стабилитрон BZX84-C47</ns0:v>
      </ns0:c>
      <ns0:c r="T231" s="33" t="str">
        <ns0:v>C:\Users\Nomatin\Documents\Altium\MY_LIB\MY_LIB\Datasheets\Diodes\BZX84_Nexperia.pdf</ns0:v>
      </ns0:c>
      <ns0:c r="U231" s="33" t="str">
        <ns0:v>Rev. 7, 01-Jan-2023</ns0:v>
      </ns0:c>
      <ns0:c r="V231" s="33" t="str">
        <ns0:v>Даташит — локальный</ns0:v>
      </ns0:c>
      <ns0:c r="W231" s="33" t="str">
        <ns0:v>C:\Users\Nomatin\Documents\Altium\MY_LIB\MY_LIB\Datasheets\Diodes\BZX84_Nexperia.pdf</ns0:v>
      </ns0:c>
      <ns0:c r="X231" s="33" t="str">
        <ns0:v>Даташит — производитель</ns0:v>
      </ns0:c>
      <ns0:c r="Y231" s="33" t="str">
        <ns0:v>https://assets.nexperia.com/documents/data-sheet/BZX84_SER.pdf</ns0:v>
      </ns0:c>
      <ns0:c r="Z231" s="33" t="str">
        <ns0:v>C:\Users\Nomatin\Documents\Altium\MY_LIB\MY_LIB\Datasheets\Diodes\BZX84_Nexperia.pdf</ns0:v>
      </ns0:c>
      <ns0:c r="AA231" s="33" t="str">
        <ns0:v>BZX84-C</ns0:v>
      </ns0:c>
      <ns0:c r="AB231" s="33" t="str">
        <ns0:v>Одиночный</ns0:v>
      </ns0:c>
      <ns0:c r="AC231" s="33" t="str">
        <ns0:v>1=A; 2=NC; 3=K</ns0:v>
      </ns0:c>
      <ns0:c r="AD231" s="33"/>
      <ns0:c r="AE231" s="33"/>
      <ns0:c r="AF231" s="33" t="n">
        <ns0:v>47</ns0:v>
      </ns0:c>
      <ns0:c r="AG231" s="33" t="n">
        <ns0:v>2</ns0:v>
      </ns0:c>
      <ns0:c r="AH231" s="33"/>
      <ns0:c r="AI231" s="33"/>
      <ns0:c r="AJ231" s="33" t="str">
        <ns0:v>250 мВт при TA≤25 °C, стандартное посадочное место на FR4; далее снижение мощности.</ns0:v>
      </ns0:c>
    </ns0:row>
    <ns0:row r="232" ht="60" customHeight="1">
      <ns0:c r="A232" s="33" t="str">
        <ns0:v>VD0231</ns0:v>
      </ns0:c>
      <ns0:c r="B232" s="33" t="str">
        <ns0:v>Стабилитрон</ns0:v>
      </ns0:c>
      <ns0:c r="C232" s="33" t="str">
        <ns0:v>BZX84-C51</ns0:v>
      </ns0:c>
      <ns0:c r="D232" s="34" t="str">
        <ns0:f>C232</ns0:f>
        <ns0:v>BZX84-C51</ns0:v>
      </ns0:c>
      <ns0:c r="E232" s="33" t="str">
        <ns0:v>около ±5%</ns0:v>
      </ns0:c>
      <ns0:c r="F232" s="33" t="str">
        <ns0:v>0,25 Вт</ns0:v>
      </ns0:c>
      <ns0:c r="G232" s="33" t="str">
        <ns0:v>51 В (Uст ном.)</ns0:v>
      </ns0:c>
      <ns0:c r="H232" s="35" t="str">
        <ns0:v>SOT-23</ns0:v>
      </ns0:c>
      <ns0:c r="I232" s="33" t="str">
        <ns0:v>Nexperia</ns0:v>
      </ns0:c>
      <ns0:c r="J232" s="33" t="str">
        <ns0:v>BZX84-C51</ns0:v>
      </ns0:c>
      <ns0:c r="K232" s="34" t="str">
        <ns0:f>B232&amp;" "&amp;J232</ns0:f>
        <ns0:v>Стабилитрон BZX84-C51</ns0:v>
      </ns0:c>
      <ns0:c r="L232" s="36" t="str">
        <ns0:v>Zener_1A3C</ns0:v>
      </ns0:c>
      <ns0:c r="M232" s="36" t="str">
        <ns0:v>Symbols\MY_LIB_Semiconductors.SchLib</ns0:v>
      </ns0:c>
      <ns0:c r="N232" s="36" t="str">
        <ns0:v>SOT23-3</ns0:v>
      </ns0:c>
      <ns0:c r="O232" s="36" t="str">
        <ns0:v>Footprints\PBL - SMD Packages.PcbLib</ns0:v>
      </ns0:c>
      <ns0:c r="P232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2" s="33"/>
      <ns0:c r="R232" s="34" t="str">
        <ns0:f>D232</ns0:f>
        <ns0:v>BZX84-C51</ns0:v>
      </ns0:c>
      <ns0:c r="S232" s="34" t="str">
        <ns0:f>K232</ns0:f>
        <ns0:v>Стабилитрон BZX84-C51</ns0:v>
      </ns0:c>
      <ns0:c r="T232" s="33" t="str">
        <ns0:v>C:\Users\Nomatin\Documents\Altium\MY_LIB\MY_LIB\Datasheets\Diodes\BZX84_Nexperia.pdf</ns0:v>
      </ns0:c>
      <ns0:c r="U232" s="33" t="str">
        <ns0:v>Rev. 7, 01-Jan-2023</ns0:v>
      </ns0:c>
      <ns0:c r="V232" s="33" t="str">
        <ns0:v>Даташит — локальный</ns0:v>
      </ns0:c>
      <ns0:c r="W232" s="33" t="str">
        <ns0:v>C:\Users\Nomatin\Documents\Altium\MY_LIB\MY_LIB\Datasheets\Diodes\BZX84_Nexperia.pdf</ns0:v>
      </ns0:c>
      <ns0:c r="X232" s="33" t="str">
        <ns0:v>Даташит — производитель</ns0:v>
      </ns0:c>
      <ns0:c r="Y232" s="33" t="str">
        <ns0:v>https://assets.nexperia.com/documents/data-sheet/BZX84_SER.pdf</ns0:v>
      </ns0:c>
      <ns0:c r="Z232" s="33" t="str">
        <ns0:v>C:\Users\Nomatin\Documents\Altium\MY_LIB\MY_LIB\Datasheets\Diodes\BZX84_Nexperia.pdf</ns0:v>
      </ns0:c>
      <ns0:c r="AA232" s="33" t="str">
        <ns0:v>BZX84-C</ns0:v>
      </ns0:c>
      <ns0:c r="AB232" s="33" t="str">
        <ns0:v>Одиночный</ns0:v>
      </ns0:c>
      <ns0:c r="AC232" s="33" t="str">
        <ns0:v>1=A; 2=NC; 3=K</ns0:v>
      </ns0:c>
      <ns0:c r="AD232" s="33"/>
      <ns0:c r="AE232" s="33"/>
      <ns0:c r="AF232" s="33" t="n">
        <ns0:v>51</ns0:v>
      </ns0:c>
      <ns0:c r="AG232" s="33" t="n">
        <ns0:v>2</ns0:v>
      </ns0:c>
      <ns0:c r="AH232" s="33"/>
      <ns0:c r="AI232" s="33"/>
      <ns0:c r="AJ232" s="33" t="str">
        <ns0:v>250 мВт при TA≤25 °C, стандартное посадочное место на FR4; далее снижение мощности.</ns0:v>
      </ns0:c>
    </ns0:row>
    <ns0:row r="233" ht="60" customHeight="1">
      <ns0:c r="A233" s="33" t="str">
        <ns0:v>VD0232</ns0:v>
      </ns0:c>
      <ns0:c r="B233" s="33" t="str">
        <ns0:v>Стабилитрон</ns0:v>
      </ns0:c>
      <ns0:c r="C233" s="33" t="str">
        <ns0:v>BZX84-C56</ns0:v>
      </ns0:c>
      <ns0:c r="D233" s="34" t="str">
        <ns0:f>C233</ns0:f>
        <ns0:v>BZX84-C56</ns0:v>
      </ns0:c>
      <ns0:c r="E233" s="33" t="str">
        <ns0:v>около ±5%</ns0:v>
      </ns0:c>
      <ns0:c r="F233" s="33" t="str">
        <ns0:v>0,25 Вт</ns0:v>
      </ns0:c>
      <ns0:c r="G233" s="33" t="str">
        <ns0:v>56 В (Uст ном.)</ns0:v>
      </ns0:c>
      <ns0:c r="H233" s="35" t="str">
        <ns0:v>SOT-23</ns0:v>
      </ns0:c>
      <ns0:c r="I233" s="33" t="str">
        <ns0:v>Nexperia</ns0:v>
      </ns0:c>
      <ns0:c r="J233" s="33" t="str">
        <ns0:v>BZX84-C56</ns0:v>
      </ns0:c>
      <ns0:c r="K233" s="34" t="str">
        <ns0:f>B233&amp;" "&amp;J233</ns0:f>
        <ns0:v>Стабилитрон BZX84-C56</ns0:v>
      </ns0:c>
      <ns0:c r="L233" s="36" t="str">
        <ns0:v>Zener_1A3C</ns0:v>
      </ns0:c>
      <ns0:c r="M233" s="36" t="str">
        <ns0:v>Symbols\MY_LIB_Semiconductors.SchLib</ns0:v>
      </ns0:c>
      <ns0:c r="N233" s="36" t="str">
        <ns0:v>SOT23-3</ns0:v>
      </ns0:c>
      <ns0:c r="O233" s="36" t="str">
        <ns0:v>Footprints\PBL - SMD Packages.PcbLib</ns0:v>
      </ns0:c>
      <ns0:c r="P233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3" s="33"/>
      <ns0:c r="R233" s="34" t="str">
        <ns0:f>D233</ns0:f>
        <ns0:v>BZX84-C56</ns0:v>
      </ns0:c>
      <ns0:c r="S233" s="34" t="str">
        <ns0:f>K233</ns0:f>
        <ns0:v>Стабилитрон BZX84-C56</ns0:v>
      </ns0:c>
      <ns0:c r="T233" s="33" t="str">
        <ns0:v>C:\Users\Nomatin\Documents\Altium\MY_LIB\MY_LIB\Datasheets\Diodes\BZX84_Nexperia.pdf</ns0:v>
      </ns0:c>
      <ns0:c r="U233" s="33" t="str">
        <ns0:v>Rev. 7, 01-Jan-2023</ns0:v>
      </ns0:c>
      <ns0:c r="V233" s="33" t="str">
        <ns0:v>Даташит — локальный</ns0:v>
      </ns0:c>
      <ns0:c r="W233" s="33" t="str">
        <ns0:v>C:\Users\Nomatin\Documents\Altium\MY_LIB\MY_LIB\Datasheets\Diodes\BZX84_Nexperia.pdf</ns0:v>
      </ns0:c>
      <ns0:c r="X233" s="33" t="str">
        <ns0:v>Даташит — производитель</ns0:v>
      </ns0:c>
      <ns0:c r="Y233" s="33" t="str">
        <ns0:v>https://assets.nexperia.com/documents/data-sheet/BZX84_SER.pdf</ns0:v>
      </ns0:c>
      <ns0:c r="Z233" s="33" t="str">
        <ns0:v>C:\Users\Nomatin\Documents\Altium\MY_LIB\MY_LIB\Datasheets\Diodes\BZX84_Nexperia.pdf</ns0:v>
      </ns0:c>
      <ns0:c r="AA233" s="33" t="str">
        <ns0:v>BZX84-C</ns0:v>
      </ns0:c>
      <ns0:c r="AB233" s="33" t="str">
        <ns0:v>Одиночный</ns0:v>
      </ns0:c>
      <ns0:c r="AC233" s="33" t="str">
        <ns0:v>1=A; 2=NC; 3=K</ns0:v>
      </ns0:c>
      <ns0:c r="AD233" s="33"/>
      <ns0:c r="AE233" s="33"/>
      <ns0:c r="AF233" s="33" t="n">
        <ns0:v>56</ns0:v>
      </ns0:c>
      <ns0:c r="AG233" s="33" t="n">
        <ns0:v>2</ns0:v>
      </ns0:c>
      <ns0:c r="AH233" s="33"/>
      <ns0:c r="AI233" s="33"/>
      <ns0:c r="AJ233" s="33" t="str">
        <ns0:v>250 мВт при TA≤25 °C, стандартное посадочное место на FR4; далее снижение мощности.</ns0:v>
      </ns0:c>
    </ns0:row>
    <ns0:row r="234" ht="60" customHeight="1">
      <ns0:c r="A234" s="33" t="str">
        <ns0:v>VD0233</ns0:v>
      </ns0:c>
      <ns0:c r="B234" s="33" t="str">
        <ns0:v>Стабилитрон</ns0:v>
      </ns0:c>
      <ns0:c r="C234" s="33" t="str">
        <ns0:v>BZX84-C62</ns0:v>
      </ns0:c>
      <ns0:c r="D234" s="34" t="str">
        <ns0:f>C234</ns0:f>
        <ns0:v>BZX84-C62</ns0:v>
      </ns0:c>
      <ns0:c r="E234" s="33" t="str">
        <ns0:v>около ±5%</ns0:v>
      </ns0:c>
      <ns0:c r="F234" s="33" t="str">
        <ns0:v>0,25 Вт</ns0:v>
      </ns0:c>
      <ns0:c r="G234" s="33" t="str">
        <ns0:v>62 В (Uст ном.)</ns0:v>
      </ns0:c>
      <ns0:c r="H234" s="35" t="str">
        <ns0:v>SOT-23</ns0:v>
      </ns0:c>
      <ns0:c r="I234" s="33" t="str">
        <ns0:v>Nexperia</ns0:v>
      </ns0:c>
      <ns0:c r="J234" s="33" t="str">
        <ns0:v>BZX84-C62</ns0:v>
      </ns0:c>
      <ns0:c r="K234" s="34" t="str">
        <ns0:f>B234&amp;" "&amp;J234</ns0:f>
        <ns0:v>Стабилитрон BZX84-C62</ns0:v>
      </ns0:c>
      <ns0:c r="L234" s="36" t="str">
        <ns0:v>Zener_1A3C</ns0:v>
      </ns0:c>
      <ns0:c r="M234" s="36" t="str">
        <ns0:v>Symbols\MY_LIB_Semiconductors.SchLib</ns0:v>
      </ns0:c>
      <ns0:c r="N234" s="36" t="str">
        <ns0:v>SOT23-3</ns0:v>
      </ns0:c>
      <ns0:c r="O234" s="36" t="str">
        <ns0:v>Footprints\PBL - SMD Packages.PcbLib</ns0:v>
      </ns0:c>
      <ns0:c r="P234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4" s="33"/>
      <ns0:c r="R234" s="34" t="str">
        <ns0:f>D234</ns0:f>
        <ns0:v>BZX84-C62</ns0:v>
      </ns0:c>
      <ns0:c r="S234" s="34" t="str">
        <ns0:f>K234</ns0:f>
        <ns0:v>Стабилитрон BZX84-C62</ns0:v>
      </ns0:c>
      <ns0:c r="T234" s="33" t="str">
        <ns0:v>C:\Users\Nomatin\Documents\Altium\MY_LIB\MY_LIB\Datasheets\Diodes\BZX84_Nexperia.pdf</ns0:v>
      </ns0:c>
      <ns0:c r="U234" s="33" t="str">
        <ns0:v>Rev. 7, 01-Jan-2023</ns0:v>
      </ns0:c>
      <ns0:c r="V234" s="33" t="str">
        <ns0:v>Даташит — локальный</ns0:v>
      </ns0:c>
      <ns0:c r="W234" s="33" t="str">
        <ns0:v>C:\Users\Nomatin\Documents\Altium\MY_LIB\MY_LIB\Datasheets\Diodes\BZX84_Nexperia.pdf</ns0:v>
      </ns0:c>
      <ns0:c r="X234" s="33" t="str">
        <ns0:v>Даташит — производитель</ns0:v>
      </ns0:c>
      <ns0:c r="Y234" s="33" t="str">
        <ns0:v>https://assets.nexperia.com/documents/data-sheet/BZX84_SER.pdf</ns0:v>
      </ns0:c>
      <ns0:c r="Z234" s="33" t="str">
        <ns0:v>C:\Users\Nomatin\Documents\Altium\MY_LIB\MY_LIB\Datasheets\Diodes\BZX84_Nexperia.pdf</ns0:v>
      </ns0:c>
      <ns0:c r="AA234" s="33" t="str">
        <ns0:v>BZX84-C</ns0:v>
      </ns0:c>
      <ns0:c r="AB234" s="33" t="str">
        <ns0:v>Одиночный</ns0:v>
      </ns0:c>
      <ns0:c r="AC234" s="33" t="str">
        <ns0:v>1=A; 2=NC; 3=K</ns0:v>
      </ns0:c>
      <ns0:c r="AD234" s="33"/>
      <ns0:c r="AE234" s="33"/>
      <ns0:c r="AF234" s="33" t="n">
        <ns0:v>62</ns0:v>
      </ns0:c>
      <ns0:c r="AG234" s="33" t="n">
        <ns0:v>2</ns0:v>
      </ns0:c>
      <ns0:c r="AH234" s="33"/>
      <ns0:c r="AI234" s="33"/>
      <ns0:c r="AJ234" s="33" t="str">
        <ns0:v>250 мВт при TA≤25 °C, стандартное посадочное место на FR4; далее снижение мощности.</ns0:v>
      </ns0:c>
    </ns0:row>
    <ns0:row r="235" ht="60" customHeight="1">
      <ns0:c r="A235" s="33" t="str">
        <ns0:v>VD0234</ns0:v>
      </ns0:c>
      <ns0:c r="B235" s="33" t="str">
        <ns0:v>Стабилитрон</ns0:v>
      </ns0:c>
      <ns0:c r="C235" s="33" t="str">
        <ns0:v>BZX84-C68</ns0:v>
      </ns0:c>
      <ns0:c r="D235" s="34" t="str">
        <ns0:f>C235</ns0:f>
        <ns0:v>BZX84-C68</ns0:v>
      </ns0:c>
      <ns0:c r="E235" s="33" t="str">
        <ns0:v>около ±5%</ns0:v>
      </ns0:c>
      <ns0:c r="F235" s="33" t="str">
        <ns0:v>0,25 Вт</ns0:v>
      </ns0:c>
      <ns0:c r="G235" s="33" t="str">
        <ns0:v>68 В (Uст ном.)</ns0:v>
      </ns0:c>
      <ns0:c r="H235" s="35" t="str">
        <ns0:v>SOT-23</ns0:v>
      </ns0:c>
      <ns0:c r="I235" s="33" t="str">
        <ns0:v>Nexperia</ns0:v>
      </ns0:c>
      <ns0:c r="J235" s="33" t="str">
        <ns0:v>BZX84-C68</ns0:v>
      </ns0:c>
      <ns0:c r="K235" s="34" t="str">
        <ns0:f>B235&amp;" "&amp;J235</ns0:f>
        <ns0:v>Стабилитрон BZX84-C68</ns0:v>
      </ns0:c>
      <ns0:c r="L235" s="36" t="str">
        <ns0:v>Zener_1A3C</ns0:v>
      </ns0:c>
      <ns0:c r="M235" s="36" t="str">
        <ns0:v>Symbols\MY_LIB_Semiconductors.SchLib</ns0:v>
      </ns0:c>
      <ns0:c r="N235" s="36" t="str">
        <ns0:v>SOT23-3</ns0:v>
      </ns0:c>
      <ns0:c r="O235" s="36" t="str">
        <ns0:v>Footprints\PBL - SMD Packages.PcbLib</ns0:v>
      </ns0:c>
      <ns0:c r="P235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5" s="33"/>
      <ns0:c r="R235" s="34" t="str">
        <ns0:f>D235</ns0:f>
        <ns0:v>BZX84-C68</ns0:v>
      </ns0:c>
      <ns0:c r="S235" s="34" t="str">
        <ns0:f>K235</ns0:f>
        <ns0:v>Стабилитрон BZX84-C68</ns0:v>
      </ns0:c>
      <ns0:c r="T235" s="33" t="str">
        <ns0:v>C:\Users\Nomatin\Documents\Altium\MY_LIB\MY_LIB\Datasheets\Diodes\BZX84_Nexperia.pdf</ns0:v>
      </ns0:c>
      <ns0:c r="U235" s="33" t="str">
        <ns0:v>Rev. 7, 01-Jan-2023</ns0:v>
      </ns0:c>
      <ns0:c r="V235" s="33" t="str">
        <ns0:v>Даташит — локальный</ns0:v>
      </ns0:c>
      <ns0:c r="W235" s="33" t="str">
        <ns0:v>C:\Users\Nomatin\Documents\Altium\MY_LIB\MY_LIB\Datasheets\Diodes\BZX84_Nexperia.pdf</ns0:v>
      </ns0:c>
      <ns0:c r="X235" s="33" t="str">
        <ns0:v>Даташит — производитель</ns0:v>
      </ns0:c>
      <ns0:c r="Y235" s="33" t="str">
        <ns0:v>https://assets.nexperia.com/documents/data-sheet/BZX84_SER.pdf</ns0:v>
      </ns0:c>
      <ns0:c r="Z235" s="33" t="str">
        <ns0:v>C:\Users\Nomatin\Documents\Altium\MY_LIB\MY_LIB\Datasheets\Diodes\BZX84_Nexperia.pdf</ns0:v>
      </ns0:c>
      <ns0:c r="AA235" s="33" t="str">
        <ns0:v>BZX84-C</ns0:v>
      </ns0:c>
      <ns0:c r="AB235" s="33" t="str">
        <ns0:v>Одиночный</ns0:v>
      </ns0:c>
      <ns0:c r="AC235" s="33" t="str">
        <ns0:v>1=A; 2=NC; 3=K</ns0:v>
      </ns0:c>
      <ns0:c r="AD235" s="33"/>
      <ns0:c r="AE235" s="33"/>
      <ns0:c r="AF235" s="33" t="n">
        <ns0:v>68</ns0:v>
      </ns0:c>
      <ns0:c r="AG235" s="33" t="n">
        <ns0:v>2</ns0:v>
      </ns0:c>
      <ns0:c r="AH235" s="33"/>
      <ns0:c r="AI235" s="33"/>
      <ns0:c r="AJ235" s="33" t="str">
        <ns0:v>250 мВт при TA≤25 °C, стандартное посадочное место на FR4; далее снижение мощности.</ns0:v>
      </ns0:c>
    </ns0:row>
    <ns0:row r="236" ht="60" customHeight="1">
      <ns0:c r="A236" s="33" t="str">
        <ns0:v>VD0235</ns0:v>
      </ns0:c>
      <ns0:c r="B236" s="33" t="str">
        <ns0:v>Стабилитрон</ns0:v>
      </ns0:c>
      <ns0:c r="C236" s="33" t="str">
        <ns0:v>BZX84-C75</ns0:v>
      </ns0:c>
      <ns0:c r="D236" s="34" t="str">
        <ns0:f>C236</ns0:f>
        <ns0:v>BZX84-C75</ns0:v>
      </ns0:c>
      <ns0:c r="E236" s="33" t="str">
        <ns0:v>около ±5%</ns0:v>
      </ns0:c>
      <ns0:c r="F236" s="33" t="str">
        <ns0:v>0,25 Вт</ns0:v>
      </ns0:c>
      <ns0:c r="G236" s="33" t="str">
        <ns0:v>75 В (Uст ном.)</ns0:v>
      </ns0:c>
      <ns0:c r="H236" s="35" t="str">
        <ns0:v>SOT-23</ns0:v>
      </ns0:c>
      <ns0:c r="I236" s="33" t="str">
        <ns0:v>Nexperia</ns0:v>
      </ns0:c>
      <ns0:c r="J236" s="33" t="str">
        <ns0:v>BZX84-C75</ns0:v>
      </ns0:c>
      <ns0:c r="K236" s="34" t="str">
        <ns0:f>B236&amp;" "&amp;J236</ns0:f>
        <ns0:v>Стабилитрон BZX84-C75</ns0:v>
      </ns0:c>
      <ns0:c r="L236" s="36" t="str">
        <ns0:v>Zener_1A3C</ns0:v>
      </ns0:c>
      <ns0:c r="M236" s="36" t="str">
        <ns0:v>Symbols\MY_LIB_Semiconductors.SchLib</ns0:v>
      </ns0:c>
      <ns0:c r="N236" s="36" t="str">
        <ns0:v>SOT23-3</ns0:v>
      </ns0:c>
      <ns0:c r="O236" s="36" t="str">
        <ns0:v>Footprints\PBL - SMD Packages.PcbLib</ns0:v>
      </ns0:c>
      <ns0:c r="P236" s="33" t="str">
        <ns0:v>Номинал Uст при токе измерения из таблицы. Фактические границы UZmin/UZmax — по даташиту. Базовое обозначение изделия; суффикс упаковки/покрытия уточняется при заказе. Физическая площадка 2 — NC, на двухвыводном УГО не показана. Существующий футпринт и типовая 3D-модель библиотеки; не точный рекомендованный land pattern производителя.</ns0:v>
      </ns0:c>
      <ns0:c r="Q236" s="33"/>
      <ns0:c r="R236" s="34" t="str">
        <ns0:f>D236</ns0:f>
        <ns0:v>BZX84-C75</ns0:v>
      </ns0:c>
      <ns0:c r="S236" s="34" t="str">
        <ns0:f>K236</ns0:f>
        <ns0:v>Стабилитрон BZX84-C75</ns0:v>
      </ns0:c>
      <ns0:c r="T236" s="33" t="str">
        <ns0:v>C:\Users\Nomatin\Documents\Altium\MY_LIB\MY_LIB\Datasheets\Diodes\BZX84_Nexperia.pdf</ns0:v>
      </ns0:c>
      <ns0:c r="U236" s="33" t="str">
        <ns0:v>Rev. 7, 01-Jan-2023</ns0:v>
      </ns0:c>
      <ns0:c r="V236" s="33" t="str">
        <ns0:v>Даташит — локальный</ns0:v>
      </ns0:c>
      <ns0:c r="W236" s="33" t="str">
        <ns0:v>C:\Users\Nomatin\Documents\Altium\MY_LIB\MY_LIB\Datasheets\Diodes\BZX84_Nexperia.pdf</ns0:v>
      </ns0:c>
      <ns0:c r="X236" s="33" t="str">
        <ns0:v>Даташит — производитель</ns0:v>
      </ns0:c>
      <ns0:c r="Y236" s="33" t="str">
        <ns0:v>https://assets.nexperia.com/documents/data-sheet/BZX84_SER.pdf</ns0:v>
      </ns0:c>
      <ns0:c r="Z236" s="33" t="str">
        <ns0:v>C:\Users\Nomatin\Documents\Altium\MY_LIB\MY_LIB\Datasheets\Diodes\BZX84_Nexperia.pdf</ns0:v>
      </ns0:c>
      <ns0:c r="AA236" s="33" t="str">
        <ns0:v>BZX84-C</ns0:v>
      </ns0:c>
      <ns0:c r="AB236" s="33" t="str">
        <ns0:v>Одиночный</ns0:v>
      </ns0:c>
      <ns0:c r="AC236" s="33" t="str">
        <ns0:v>1=A; 2=NC; 3=K</ns0:v>
      </ns0:c>
      <ns0:c r="AD236" s="33"/>
      <ns0:c r="AE236" s="33"/>
      <ns0:c r="AF236" s="33" t="n">
        <ns0:v>75</ns0:v>
      </ns0:c>
      <ns0:c r="AG236" s="33" t="n">
        <ns0:v>2</ns0:v>
      </ns0:c>
      <ns0:c r="AH236" s="33"/>
      <ns0:c r="AI236" s="33"/>
      <ns0:c r="AJ236" s="33" t="str">
        <ns0:v>250 мВт при TA≤25 °C, стандартное посадочное место на FR4; далее снижение мощности.</ns0:v>
      </ns0:c>
    </ns0:row>
  </ns0:sheetData>
  <ns0:pageMargins left="0.7" right="0.7" top="0.75" bottom="0.75" header="0.3" footer="0.3"/>
  <ns0:tableParts count="1">
    <ns0:tablePart ns1:id="R56b1b29232b64877"/>
  </ns0:tableParts>
</ns0:worksheet>
</file>