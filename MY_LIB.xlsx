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078cf55871d4f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Резисторы" sheetId="1" r:id="R0430ce75210c49ce"/>
    <x:sheet xmlns:r="http://schemas.openxmlformats.org/officeDocument/2006/relationships" name="Конденсаторы" sheetId="2" r:id="Rbba3e315b5494708"/>
    <x:sheet xmlns:r="http://schemas.openxmlformats.org/officeDocument/2006/relationships" name="Микросхемы" sheetId="3" r:id="Re4eec79500f64e79"/>
    <x:sheet xmlns:r="http://schemas.openxmlformats.org/officeDocument/2006/relationships" name="Разъёмы" sheetId="4" r:id="Rd8a3ce608cf14b6f"/>
    <x:sheet xmlns:r="http://schemas.openxmlformats.org/officeDocument/2006/relationships" name="Переключатели" sheetId="5" r:id="R9a1c01c2f7b84d4e"/>
    <x:sheet xmlns:r="http://schemas.openxmlformats.org/officeDocument/2006/relationships" name="Светодиоды" sheetId="6" r:id="rId_LED_20261023"/>
    <x:sheet xmlns:r="http://schemas.openxmlformats.org/officeDocument/2006/relationships" name="Тестовые точки" sheetId="7" r:id="rId_TestPoints_20261023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<x:sst xmlns:x="http://schemas.openxmlformats.org/spreadsheetml/2006/main">
  <x:si>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</x:si>
  <x:si>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Type</x:t>
  </x:si>
  <x:si>
    <x:t xml:space="preserve">Value</x:t>
  </x:si>
  <x:si>
    <x:t xml:space="preserve">ESKD_value</x:t>
  </x:si>
  <x:si>
    <x:t xml:space="preserve">Tolerance</x:t>
  </x:si>
  <x:si>
    <x:t xml:space="preserve">Power</x:t>
  </x:si>
  <x:si>
    <x:t xml:space="preserve">Voltage</x:t>
  </x:si>
  <x:si>
    <x:t xml:space="preserve">Package</x:t>
  </x:si>
  <x:si>
    <x:t xml:space="preserve">Manufacturer</x:t>
  </x:si>
  <x:si>
    <x:t xml:space="preserve">MPN</x:t>
  </x:si>
  <x:si>
    <x:t xml:space="preserve">CommentBase</x:t>
  </x:si>
  <x:si>
    <x:t xml:space="preserve">Library Ref</x:t>
  </x:si>
  <x:si>
    <x:t xml:space="preserve">Library Path</x:t>
  </x:si>
  <x:si>
    <x:t xml:space="preserve">Footprint Ref</x:t>
  </x:si>
  <x:si>
    <x:t xml:space="preserve">Footprint Path</x:t>
  </x:si>
  <x:si>
    <x:t xml:space="preserve">Notes</x:t>
  </x:si>
  <x:si>
    <x:t xml:space="preserve">Dielectric</x:t>
  </x:si>
  <x:si>
    <x:t xml:space="preserve">R0001</x:t>
  </x:si>
  <x:si>
    <x:t xml:space="preserve">Резистор</x:t>
  </x:si>
  <x:si>
    <x:t xml:space="preserve">10k</x:t>
  </x:si>
  <x:si>
    <x:t xml:space="preserve">±1%</x:t>
  </x:si>
  <x:si>
    <x:t xml:space="preserve">0,125 Вт</x:t>
  </x:si>
  <x:si>
    <x:t xml:space="preserve">0805</x:t>
  </x:si>
  <x:si>
    <x:t xml:space="preserve">Базовый пример</x:t>
  </x:si>
  <x:si>
    <x:t xml:space="preserve">R0002</x:t>
  </x:si>
  <x:si>
    <x:t xml:space="preserve">4.7k</x:t>
  </x:si>
  <x:si>
    <x:t xml:space="preserve">4,7 кОм</x:t>
  </x:si>
  <x:si>
    <x:t xml:space="preserve">0,1 Вт</x:t>
  </x:si>
  <x:si>
    <x:t xml:space="preserve">0603</x:t>
  </x:si>
  <x:si>
    <x:t xml:space="preserve">R0003</x:t>
  </x:si>
  <x:si>
    <x:t xml:space="preserve">100R</x:t>
  </x:si>
  <x:si>
    <x:t xml:space="preserve">100 Ом</x:t>
  </x:si>
  <x:si>
    <x:t xml:space="preserve">R0004</x:t>
  </x:si>
  <x:si>
    <x:t xml:space="preserve">1k</x:t>
  </x:si>
  <x:si>
    <x:t xml:space="preserve">1 кОм</x:t>
  </x:si>
  <x:si>
    <x:t xml:space="preserve">±5%</x:t>
  </x:si>
  <x:si>
    <x:t xml:space="preserve">0,25 Вт</x:t>
  </x:si>
  <x:si>
    <x:t xml:space="preserve">1206</x:t>
  </x:si>
  <x:si>
    <x:t xml:space="preserve">R0005</x:t>
  </x:si>
  <x:si>
    <x:t xml:space="preserve">0R</x:t>
  </x:si>
  <x:si>
    <x:t xml:space="preserve">0 Ом</x:t>
  </x:si>
  <x:si>
    <x:t xml:space="preserve">Перемычка: формула без допуска</x:t>
  </x:si>
  <x:si>
    <x:t xml:space="preserve">R0006</x:t>
  </x:si>
  <x:si>
    <x:t xml:space="preserve">1meg</x:t>
  </x:si>
  <x:si>
    <x:t xml:space="preserve">1 МОм</x:t>
  </x:si>
  <x:si>
    <x:t xml:space="preserve">R0007</x:t>
  </x:si>
  <x:si>
    <x:t xml:space="preserve">0.1R</x:t>
  </x:si>
  <x:si>
    <x:t xml:space="preserve">0,1 Ом</x:t>
  </x:si>
  <x:si>
    <x:t xml:space="preserve">Мощность и корпус — отдельные требования</x:t>
  </x:si>
  <x:si>
    <x:t xml:space="preserve">R0008</x:t>
  </x:si>
  <x:si>
    <x:t xml:space="preserve">2.2meg</x:t>
  </x:si>
  <x:si>
    <x:t xml:space="preserve">2,2 МОм</x:t>
  </x:si>
  <x:si>
    <x:t xml:space="preserve">C0001</x:t>
  </x:si>
  <x:si>
    <x:t xml:space="preserve">Конденсатор</x:t>
  </x:si>
  <x:si>
    <x:t xml:space="preserve">100n</x:t>
  </x:si>
  <x:si>
    <x:t xml:space="preserve">±10%</x:t>
  </x:si>
  <x:si>
    <x:t xml:space="preserve">50 В</x:t>
  </x:si>
  <x:si>
    <x:t xml:space="preserve">X7R</x:t>
  </x:si>
  <x:si>
    <x:t xml:space="preserve">Пример: диэлектрик уточнить перед выбором</x:t>
  </x:si>
  <x:si>
    <x:t xml:space="preserve">C0002</x:t>
  </x:si>
  <x:si>
    <x:t xml:space="preserve">4.7u</x:t>
  </x:si>
  <x:si>
    <x:t xml:space="preserve">25 В</x:t>
  </x:si>
</x:sst>
</file>

<file path=xl/styles.xml><?xml version="1.0" encoding="utf-8"?>
<x:styleSheet xmlns:x="http://schemas.openxmlformats.org/spreadsheetml/2006/main">
  <x:numFmts count="2">
    <x:numFmt numFmtId="164" formatCode="0000"/>
    <x:numFmt numFmtId="200" formatCode="0"/>
  </x:numFmts>
  <x:fonts count="5">
    <x:font>
      <x:sz val="11"/>
      <x:name val="Carlito"/>
    </x:font>
    <x:font>
      <x:sz val="11"/>
      <x:color rgb="FF203040"/>
      <x:name val="Arial"/>
    </x:font>
    <x:font>
      <x:b/>
      <x:sz val="11"/>
      <x:color rgb="FFFFFFFF"/>
      <x:name val="Arial"/>
    </x:font>
    <x:font>
      <x:sz val="11"/>
      <x:name val="Carlito"/>
    </x:font>
    <x:font>
      <x:u val="single"/>
      <x:sz val="11"/>
      <x:color rgb="FF0563C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1F5F9"/>
      </x:patternFill>
    </x:fill>
    <x:fill>
      <x:patternFill patternType="solid">
        <x:fgColor rgb="FFFFFFFF"/>
      </x:patternFill>
    </x:fill>
    <x:fill>
      <x:patternFill patternType="solid">
        <x:fgColor rgb="FFE6F2E9"/>
      </x:patternFill>
    </x:fill>
    <x:fill>
      <x:patternFill patternType="solid">
        <x:fgColor rgb="FFFFF0CF"/>
      </x:patternFill>
    </x:fill>
    <x:fill>
      <x:patternFill patternType="solid">
        <x:fgColor rgb="FFFFF6E2"/>
      </x:patternFill>
    </x:fill>
    <x:fill>
      <x:patternFill patternType="solid">
        <x:fgColor rgb="FF24435B"/>
      </x:patternFill>
    </x:fill>
  </x:fills>
  <x:borders count="1">
    <x:border>
      <x:left/>
      <x:right/>
      <x:top/>
      <x:bottom/>
      <x:diagonal/>
    </x:border>
  </x:borders>
  <x:cellStyleXfs count="3">
    <x:xf numFmtId="0" fontId="3" fillId="0" borderId="0"/>
    <x:xf numFmtId="0" fontId="3" fillId="0" borderId="0"/>
    <x:xf numFmtId="0" fontId="0" fillId="0" borderId="0"/>
  </x:cellStyleXfs>
  <x:cellXfs count="49">
    <x:xf numFmtId="0" fontId="0" fillId="0" borderId="0" xfId="0"/>
    <x:xf numFmtId="49" fontId="1" fillId="2" borderId="0" xfId="1" applyAlignment="1">
      <x:alignment horizontal="left" vertical="center"/>
    </x:xf>
    <x:xf numFmtId="164" fontId="1" fillId="2" borderId="0" xfId="1" applyAlignment="1">
      <x:alignment horizontal="left" vertical="center"/>
    </x:xf>
    <x:xf numFmtId="49" fontId="1" fillId="3" borderId="0" xfId="1" applyAlignment="1">
      <x:alignment horizontal="left" vertical="center"/>
    </x:xf>
    <x:xf numFmtId="164" fontId="1" fillId="3" borderId="0" xfId="1" applyAlignment="1">
      <x:alignment horizontal="left" vertical="center"/>
    </x:xf>
    <x:xf numFmtId="0" fontId="1" fillId="4" borderId="0" xfId="1" applyAlignment="1">
      <x:alignment horizontal="left" vertical="center"/>
    </x:xf>
    <x:xf numFmtId="0" fontId="1" fillId="5" borderId="0" xfId="1" applyAlignment="1">
      <x:alignment horizontal="left" vertical="center"/>
    </x:xf>
    <x:xf numFmtId="49" fontId="1" fillId="6" borderId="0" xfId="1" applyAlignment="1">
      <x:alignment horizontal="left" vertical="center"/>
    </x:xf>
    <x:xf numFmtId="49" fontId="2" fillId="7" borderId="0" xfId="1" applyAlignment="1">
      <x:alignment horizontal="center" vertical="center"/>
    </x:xf>
    <x:xf numFmtId="49" fontId="2" fillId="7" borderId="0" xfId="0" applyAlignment="1">
      <x:alignment horizontal="center" vertical="center"/>
    </x:xf>
    <x:xf numFmtId="49" fontId="1" fillId="2" borderId="0" xfId="0" applyAlignment="1">
      <x:alignment horizontal="left" vertical="center"/>
    </x:xf>
    <x:xf numFmtId="0" fontId="1" fillId="4" borderId="0" xfId="0" applyAlignment="1">
      <x:alignment horizontal="left" vertical="center"/>
    </x:xf>
    <x:xf numFmtId="164" fontId="1" fillId="2" borderId="0" xfId="0" applyAlignment="1">
      <x:alignment horizontal="left" vertical="center"/>
    </x:xf>
    <x:xf numFmtId="49" fontId="1" fillId="6" borderId="0" xfId="0" applyAlignment="1">
      <x:alignment horizontal="left" vertical="center"/>
    </x:xf>
    <x:xf numFmtId="49" fontId="1" fillId="3" borderId="0" xfId="0" applyAlignment="1">
      <x:alignment horizontal="left" vertical="center"/>
    </x:xf>
    <x:xf numFmtId="164" fontId="1" fillId="3" borderId="0" xfId="0" applyAlignment="1">
      <x:alignment horizontal="left" vertical="center"/>
    </x:xf>
    <x:xf numFmtId="0" fontId="1" fillId="5" borderId="0" xfId="0" applyAlignment="1">
      <x:alignment horizontal="left" vertical="center"/>
    </x:xf>
    <x:xf numFmtId="49" fontId="2" fillId="7" borderId="0" xfId="1" applyAlignment="1">
      <x:alignment horizontal="center" vertical="center" wrapText="1"/>
    </x:xf>
    <x:xf numFmtId="49" fontId="1" fillId="2" borderId="0" xfId="1" applyAlignment="1">
      <x:alignment vertical="top" wrapText="1"/>
    </x:xf>
    <x:xf numFmtId="0" fontId="1" fillId="4" borderId="0" xfId="1" applyAlignment="1">
      <x:alignment vertical="top" wrapText="1"/>
    </x:xf>
    <x:xf numFmtId="164" fontId="1" fillId="2" borderId="0" xfId="1" applyAlignment="1">
      <x:alignment vertical="top" wrapText="1"/>
    </x:xf>
    <x:xf numFmtId="0" fontId="1" fillId="5" borderId="0" xfId="1" applyAlignment="1">
      <x:alignment vertical="top" wrapText="1"/>
    </x:xf>
    <x:xf numFmtId="49" fontId="1" fillId="6" borderId="0" xfId="1" applyAlignment="1">
      <x:alignment vertical="top" wrapText="1"/>
    </x:xf>
    <x:xf numFmtId="0" fontId="1" fillId="4" borderId="0" xfId="0" applyAlignment="1">
      <x:alignment vertical="top" wrapText="1"/>
    </x:xf>
    <x:xf numFmtId="0" fontId="1" fillId="5" borderId="0" xfId="0" applyAlignment="1">
      <x:alignment vertical="top" wrapText="1"/>
    </x:xf>
    <x:xf numFmtId="1" fontId="1" fillId="5" borderId="0" xfId="0" applyAlignment="1">
      <x:alignment vertical="top" wrapText="1"/>
    </x:xf>
    <x:xf numFmtId="0" fontId="4" fillId="5" borderId="0" xfId="0" applyAlignment="1">
      <x:alignment vertical="top" wrapText="1"/>
    </x:xf>
    <x:xf numFmtId="49" fontId="2" fillId="7" borderId="0" xfId="2" applyAlignment="1">
      <x:alignment horizontal="center" vertical="center"/>
    </x:xf>
    <x:xf numFmtId="49" fontId="1" fillId="2" borderId="0" xfId="2" applyAlignment="1">
      <x:alignment horizontal="left" vertical="center"/>
    </x:xf>
    <x:xf numFmtId="0" fontId="1" fillId="4" borderId="0" xfId="2" applyAlignment="1">
      <x:alignment horizontal="left" vertical="center"/>
    </x:xf>
    <x:xf numFmtId="164" fontId="1" fillId="2" borderId="0" xfId="2" applyAlignment="1">
      <x:alignment horizontal="left" vertical="center"/>
    </x:xf>
    <x:xf numFmtId="49" fontId="1" fillId="6" borderId="0" xfId="2" applyAlignment="1">
      <x:alignment horizontal="left" vertical="center"/>
    </x:xf>
    <x:xf numFmtId="49" fontId="2" fillId="7" borderId="0" xfId="0" applyNumberFormat="1" applyFont="1" applyFill="1" applyBorder="1" applyAlignment="1">
      <x:alignment horizontal="center" vertical="center" wrapText="1"/>
    </x:xf>
    <x:xf numFmtId="49" fontId="1" fillId="2" borderId="0" xfId="0" applyNumberFormat="1" applyFont="1" applyFill="1" applyBorder="1" applyAlignment="1">
      <x:alignment horizontal="left" vertical="center" wrapText="1"/>
    </x:xf>
    <x:xf numFmtId="0" fontId="1" fillId="4" borderId="0" xfId="0" applyNumberFormat="1" applyFont="1" applyFill="1" applyBorder="1" applyAlignment="1">
      <x:alignment horizontal="left" vertical="center" wrapText="1"/>
    </x:xf>
    <x:xf numFmtId="164" fontId="1" fillId="2" borderId="0" xfId="0" applyNumberFormat="1" applyFont="1" applyFill="1" applyBorder="1" applyAlignment="1">
      <x:alignment horizontal="left" vertical="center" wrapText="1"/>
    </x:xf>
    <x:xf numFmtId="49" fontId="1" fillId="6" borderId="0" xfId="0" applyNumberFormat="1" applyFont="1" applyFill="1" applyBorder="1" applyAlignment="1">
      <x:alignment horizontal="left" vertical="center" wrapText="1"/>
    </x:xf>
    <x:xf numFmtId="49" fontId="1" fillId="2" borderId="0" xfId="2" applyAlignment="1">
      <x:alignment vertical="top" wrapText="1"/>
    </x:xf>
    <x:xf numFmtId="0" fontId="1" fillId="4" borderId="0" xfId="2" applyAlignment="1">
      <x:alignment vertical="top" wrapText="1"/>
    </x:xf>
    <x:xf numFmtId="164" fontId="1" fillId="2" borderId="0" xfId="2" applyAlignment="1">
      <x:alignment vertical="top" wrapText="1"/>
    </x:xf>
    <x:xf numFmtId="0" fontId="1" fillId="5" borderId="0" xfId="2" applyAlignment="1">
      <x:alignment vertical="top" wrapText="1"/>
    </x:xf>
    <x:xf numFmtId="49" fontId="1" fillId="6" borderId="0" xfId="2" applyAlignment="1">
      <x:alignment vertical="top" wrapText="1"/>
    </x:xf>
    <x:xf numFmtId="1" fontId="1" fillId="5" borderId="0" xfId="2" applyAlignment="1">
      <x:alignment vertical="top" wrapText="1"/>
    </x:xf>
    <x:xf numFmtId="49" fontId="2" fillId="7" borderId="0" xfId="2" applyNumberFormat="1" applyFont="1" applyFill="1" applyBorder="1" applyAlignment="1">
      <x:alignment horizontal="center" vertical="center" wrapText="1"/>
    </x:xf>
    <x:xf numFmtId="49" fontId="1" fillId="2" borderId="0" xfId="2" applyNumberFormat="1" applyFont="1" applyFill="1" applyBorder="1" applyAlignment="1">
      <x:alignment horizontal="left" vertical="center" wrapText="1"/>
    </x:xf>
    <x:xf numFmtId="0" fontId="1" fillId="4" borderId="0" xfId="2" applyNumberFormat="1" applyFont="1" applyFill="1" applyBorder="1" applyAlignment="1">
      <x:alignment horizontal="left" vertical="center" wrapText="1"/>
    </x:xf>
    <x:xf numFmtId="164" fontId="1" fillId="2" borderId="0" xfId="2" applyNumberFormat="1" applyFont="1" applyFill="1" applyBorder="1" applyAlignment="1">
      <x:alignment horizontal="left" vertical="center" wrapText="1"/>
    </x:xf>
    <x:xf numFmtId="49" fontId="1" fillId="6" borderId="0" xfId="2" applyNumberFormat="1" applyFont="1" applyFill="1" applyBorder="1" applyAlignment="1">
      <x:alignment horizontal="left" vertical="center" wrapText="1"/>
    </x:xf>
    <x:xf numFmtId="200" fontId="1" fillId="2" borderId="0" xfId="0" applyNumberFormat="1" applyFont="1" applyFill="1" applyBorder="1" applyAlignment="1">
      <x:alignment horizontal="left" vertical="center" wrapText="1"/>
    </x:xf>
  </x:cellXfs>
  <x:cellStyles count="2">
    <x:cellStyle name="Обычный" xfId="0"/>
    <x:cellStyle name="Normal" xfId="1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a028ff79fcd41d1" /><Relationship Type="http://schemas.openxmlformats.org/officeDocument/2006/relationships/theme" Target="/xl/theme/theme1.xml" Id="Rd01b636bbb4d4e59" /><Relationship Type="http://schemas.openxmlformats.org/officeDocument/2006/relationships/sharedStrings" Target="/xl/sharedStrings.xml" Id="Rf3e9e13aa62d4701" /><Relationship Type="http://schemas.openxmlformats.org/officeDocument/2006/relationships/worksheet" Target="/xl/worksheets/sheet1.xml" Id="R0430ce75210c49ce" /><Relationship Type="http://schemas.openxmlformats.org/officeDocument/2006/relationships/worksheet" Target="/xl/worksheets/sheet2.xml" Id="Rbba3e315b5494708" /><Relationship Type="http://schemas.openxmlformats.org/officeDocument/2006/relationships/worksheet" Target="/xl/worksheets/sheet3.xml" Id="Re4eec79500f64e79" /><Relationship Type="http://schemas.openxmlformats.org/officeDocument/2006/relationships/worksheet" Target="/xl/worksheets/sheet4.xml" Id="Rd8a3ce608cf14b6f" /><Relationship Type="http://schemas.openxmlformats.org/officeDocument/2006/relationships/worksheet" Target="/xl/worksheets/sheet5.xml" Id="R9a1c01c2f7b84d4e" /><Relationship Id="rId_LED_20261023" Type="http://schemas.openxmlformats.org/officeDocument/2006/relationships/worksheet" Target="worksheets/sheet6.xml"/><Relationship Id="rId_TestPoints_20261023" Type="http://schemas.openxmlformats.org/officeDocument/2006/relationships/worksheet" Target="worksheets/sheet7.xml"/></Relationships>
</file>

<file path=xl/tables/table1.xml><?xml version="1.0" encoding="utf-8"?>
<x:table xmlns:x="http://schemas.openxmlformats.org/spreadsheetml/2006/main" id="8" name="MY_LIB_Resistors" displayName="MY_LIB_Resistors" ref="A1:Y583" headerRowCount="1" totalsRowCount="0" totalsRowShown="0">
  <x:autoFilter ref="A1:Y583"/>
  <x:tableColumns count="25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ComponentLink1Description"/>
    <x:tableColumn id="22" name="ComponentLink1URL"/>
    <x:tableColumn id="23" name="ComponentLink2Description"/>
    <x:tableColumn id="24" name="ComponentLink2URL"/>
    <x:tableColumn id="25" name="HelpURL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9" name="MY_LIB_Capacitors" displayName="MY_LIB_Capacitors" ref="A1:Y277" headerRowCount="1" totalsRowCount="0" totalsRowShown="0">
  <x:autoFilter ref="A1:Y277"/>
  <x:tableColumns count="25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Dielectric"/>
    <x:tableColumn id="9" name="Package"/>
    <x:tableColumn id="10" name="Manufacturer"/>
    <x:tableColumn id="11" name="MPN"/>
    <x:tableColumn id="12" name="CommentBase"/>
    <x:tableColumn id="13" name="Library Ref"/>
    <x:tableColumn id="14" name="Library Path"/>
    <x:tableColumn id="15" name="Footprint Ref"/>
    <x:tableColumn id="16" name="Footprint Path"/>
    <x:tableColumn id="17" name="Notes"/>
    <x:tableColumn id="18" name="Comment"/>
    <x:tableColumn id="19" name="Description"/>
    <x:tableColumn id="20" name="Datasheet"/>
    <x:tableColumn id="21" name="ComponentLink1Description"/>
    <x:tableColumn id="22" name="ComponentLink1URL"/>
    <x:tableColumn id="23" name="ComponentLink2Description"/>
    <x:tableColumn id="24" name="ComponentLink2URL"/>
    <x:tableColumn id="25" name="HelpURL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Y_LIB_ICs" displayName="MY_LIB_ICs" ref="A1:AG5" headerRowCount="1" totalsRowCount="0" totalsRowShown="0">
  <x:autoFilter ref="A1:AG5"/>
  <x:tableColumns count="33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OperatingTemperatureMin"/>
    <x:tableColumn id="21" name="OperatingTemperatureMax"/>
    <x:tableColumn id="22" name="TemperatureReference"/>
    <x:tableColumn id="23" name="StorageTemperatureMin"/>
    <x:tableColumn id="24" name="StorageTemperatureMax"/>
    <x:tableColumn id="25" name="JunctionTemperatureMin"/>
    <x:tableColumn id="26" name="JunctionTemperatureMax"/>
    <x:tableColumn id="27" name="Datasheet"/>
    <x:tableColumn id="28" name="DatasheetRevision"/>
    <x:tableColumn id="29" name="ComponentLink1Description"/>
    <x:tableColumn id="30" name="ComponentLink1URL"/>
    <x:tableColumn id="31" name="ComponentLink2Description"/>
    <x:tableColumn id="32" name="ComponentLink2URL"/>
    <x:tableColumn id="33" name="Help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0" name="MY_LIB_Connectors" displayName="MY_LIB_Connectors" ref="A1:Z3" headerRowCount="1" totalsRowCount="0" totalsRowShown="0">
  <x:tableColumns count="26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omponentLink2Description"/>
    <x:tableColumn id="25" name="ComponentLink2URL"/>
    <x:tableColumn id="26" name="Help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1" name="MY_LIB_Switches" displayName="MY_LIB_Switches" ref="A1:AF2" headerRowCount="1" totalsRowCount="0" totalsRowShown="0">
  <x:tableColumns count="32">
    <x:tableColumn id="1" name="ID"/>
    <x:tableColumn id="2" name="Type"/>
    <x:tableColumn id="3" name="Value"/>
    <x:tableColumn id="4" name="ESKD_value"/>
    <x:tableColumn id="5" name="Tolerance"/>
    <x:tableColumn id="6" name="Power"/>
    <x:tableColumn id="7" name="Voltage"/>
    <x:tableColumn id="8" name="Package"/>
    <x:tableColumn id="9" name="Manufacturer"/>
    <x:tableColumn id="10" name="MPN"/>
    <x:tableColumn id="11" name="CommentBase"/>
    <x:tableColumn id="12" name="Library Ref"/>
    <x:tableColumn id="13" name="Library Path"/>
    <x:tableColumn id="14" name="Footprint Ref"/>
    <x:tableColumn id="15" name="Footprint Path"/>
    <x:tableColumn id="16" name="Notes"/>
    <x:tableColumn id="17" name="Dielectric"/>
    <x:tableColumn id="18" name="Comment"/>
    <x:tableColumn id="19" name="Description"/>
    <x:tableColumn id="20" name="Datasheet"/>
    <x:tableColumn id="21" name="DatasheetRevision"/>
    <x:tableColumn id="22" name="ComponentLink1Description"/>
    <x:tableColumn id="23" name="ComponentLink1URL"/>
    <x:tableColumn id="24" name="CurrentRating"/>
    <x:tableColumn id="25" name="OperatingTemperatureMin"/>
    <x:tableColumn id="26" name="OperatingTemperatureMax"/>
    <x:tableColumn id="27" name="TemperatureReference"/>
    <x:tableColumn id="28" name="ContactForm"/>
    <x:tableColumn id="29" name="Positions"/>
    <x:tableColumn id="30" name="ComponentLink2Description"/>
    <x:tableColumn id="31" name="ComponentLink2URL"/>
    <x:tableColumn id="32" name="HelpURL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MY_LIB_LEDs" displayName="MY_LIB_LEDs" ref="A1:AK15" headerRowCount="1" totalsRowCount="0" totalsRowShown="0">
  <ns0:tableColumns count="37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Color"/>
    <ns0:tableColumn id="25" name="WavelengthNm"/>
    <ns0:tableColumn id="26" name="ForwardVoltageTypicalV"/>
    <ns0:tableColumn id="27" name="ForwardVoltageMaxV"/>
    <ns0:tableColumn id="28" name="TestCurrentMa"/>
    <ns0:tableColumn id="29" name="ViewingAngleDeg"/>
    <ns0:tableColumn id="30" name="IntensityMinMcd"/>
    <ns0:tableColumn id="31" name="IntensityTypicalMcd"/>
    <ns0:tableColumn id="32" name="PinMapping"/>
    <ns0:tableColumn id="33" name="ChipMaterial"/>
    <ns0:tableColumn id="34" name="Family"/>
    <ns0:tableColumn id="35" name="ComponentLink2Description"/>
    <ns0:tableColumn id="36" name="ComponentLink2URL"/>
    <ns0:tableColumn id="37" name="HelpURL"/>
  </ns0:tableColumns>
  <ns0:tableStyleInfo name="TableStyleMedium2" showFirstColumn="0" showLastColumn="0" showRowStripes="1" showColumnStripes="0"/>
</ns0:table>
</file>

<file path=xl/tables/table7.xml><?xml version="1.0" encoding="utf-8"?>
<ns0:table xmlns:ns0="http://schemas.openxmlformats.org/spreadsheetml/2006/main" id="7" name="MY_LIB_TestPoints" displayName="MY_LIB_TestPoints" ref="A1:Y4" headerRowCount="1" totalsRowCount="0" totalsRowShown="0">
  <ns0:tableColumns count="25">
    <ns0:tableColumn id="1" name="ID"/>
    <ns0:tableColumn id="2" name="Type"/>
    <ns0:tableColumn id="3" name="Value"/>
    <ns0:tableColumn id="4" name="ESKD_value"/>
    <ns0:tableColumn id="5" name="Tolerance"/>
    <ns0:tableColumn id="6" name="Power"/>
    <ns0:tableColumn id="7" name="Voltage"/>
    <ns0:tableColumn id="8" name="Package"/>
    <ns0:tableColumn id="9" name="Manufacturer"/>
    <ns0:tableColumn id="10" name="MPN"/>
    <ns0:tableColumn id="11" name="CommentBase"/>
    <ns0:tableColumn id="12" name="Library Ref"/>
    <ns0:tableColumn id="13" name="Library Path"/>
    <ns0:tableColumn id="14" name="Footprint Ref"/>
    <ns0:tableColumn id="15" name="Footprint Path"/>
    <ns0:tableColumn id="16" name="Notes"/>
    <ns0:tableColumn id="17" name="Dielectric"/>
    <ns0:tableColumn id="18" name="Comment"/>
    <ns0:tableColumn id="19" name="Description"/>
    <ns0:tableColumn id="20" name="Datasheet"/>
    <ns0:tableColumn id="21" name="DatasheetRevision"/>
    <ns0:tableColumn id="22" name="ComponentLink1Description"/>
    <ns0:tableColumn id="23" name="ComponentLink1URL"/>
    <ns0:tableColumn id="24" name="DiameterMm"/>
    <ns0:tableColumn id="25" name="ComponentType"/>
  </ns0:tableColumns>
  <ns0:tableStyleInfo name="TableStyleMedium2" showFirstColumn="0" showLastColumn="0" showRowStripes="1" showColumnStripes="0"/>
</ns0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85285ebd89b4ff3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3f0e18cae8f44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silabs.com/documents/public/data-sheets/cp2102n-datasheet.pdf" TargetMode="External" Id="R1c4bca6533874f2f" /><Relationship Type="http://schemas.openxmlformats.org/officeDocument/2006/relationships/hyperlink" Target="https://www.silabs.com/documents/public/data-sheets/cp2102n-datasheet.pdf" TargetMode="External" Id="R9095a22ed94f4365" /><Relationship Type="http://schemas.openxmlformats.org/officeDocument/2006/relationships/hyperlink" Target="https://www.st.com/resource/en/datasheet/usblc6-2.pdf" TargetMode="External" Id="Rdb1e5dea436940a3" /><Relationship Type="http://schemas.openxmlformats.org/officeDocument/2006/relationships/hyperlink" Target="https://www.st.com/resource/en/datasheet/usblc6-2.pdf" TargetMode="External" Id="Rcf817795add64a6d" /><Relationship Type="http://schemas.openxmlformats.org/officeDocument/2006/relationships/table" Target="/xl/tables/table3.xml" Id="Rad05b27715d349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a027cb023ce7403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d681b1c0d9423d" /></Relationships>
</file>

<file path=xl/worksheets/_rels/sheet6.xml.rels><?xml version='1.0' encoding='utf-8'?>
<ns0:Relationships xmlns:ns0="http://schemas.openxmlformats.org/package/2006/relationships"><ns0:Relationship Type="http://schemas.openxmlformats.org/officeDocument/2006/relationships/table" Target="../tables/table6.xml" Id="R2bee39e30b9d406e" /></ns0:Relationships>
</file>

<file path=xl/worksheets/_rels/sheet7.xml.rels><?xml version='1.0' encoding='utf-8'?>
<ns0:Relationships xmlns:ns0="http://schemas.openxmlformats.org/package/2006/relationships"><ns0:Relationship Type="http://schemas.openxmlformats.org/officeDocument/2006/relationships/table" Target="../tables/table7.xml" Id="Rbd9ae99f35be42d0" /></ns0:Relationships>
</file>

<file path=xl/worksheets/sheet1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8" width="14" customWidth="1"/>
    <x:col min="9" max="9" width="24" customWidth="1"/>
    <x:col min="10" max="10" width="22" customWidth="1"/>
    <x:col min="11" max="11" width="61" customWidth="1"/>
    <x:col min="12" max="12" width="22" customWidth="1"/>
    <x:col min="13" max="13" width="34" hidden="0" customWidth="1"/>
    <x:col min="14" max="14" width="22" customWidth="1"/>
    <x:col min="15" max="15" width="43" hidden="0" customWidth="1"/>
    <x:col min="16" max="16" width="62" customWidth="1"/>
    <x:col min="17" max="17" width="18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8">
        <ns0:is>
          <ns0:t>ID</ns0:t>
        </ns0:is>
      </ns0:c>
      <ns0:c r="B1" t="inlineStr" s="8">
        <ns0:is>
          <ns0:t>Type</ns0:t>
        </ns0:is>
      </ns0:c>
      <ns0:c r="C1" t="inlineStr" s="8">
        <ns0:is>
          <ns0:t>Value</ns0:t>
        </ns0:is>
      </ns0:c>
      <ns0:c r="D1" t="inlineStr" s="8">
        <ns0:is>
          <ns0:t>ESKD_value</ns0:t>
        </ns0:is>
      </ns0:c>
      <ns0:c r="E1" t="inlineStr" s="8">
        <ns0:is>
          <ns0:t>Tolerance</ns0:t>
        </ns0:is>
      </ns0:c>
      <ns0:c r="F1" t="inlineStr" s="8">
        <ns0:is>
          <ns0:t>Power</ns0:t>
        </ns0:is>
      </ns0:c>
      <ns0:c r="G1" t="inlineStr" s="8">
        <ns0:is>
          <ns0:t>Voltage</ns0:t>
        </ns0:is>
      </ns0:c>
      <ns0:c r="H1" t="inlineStr" s="8">
        <ns0:is>
          <ns0:t>Package</ns0:t>
        </ns0:is>
      </ns0:c>
      <ns0:c r="I1" t="inlineStr" s="8">
        <ns0:is>
          <ns0:t>Manufacturer</ns0:t>
        </ns0:is>
      </ns0:c>
      <ns0:c r="J1" t="inlineStr" s="8">
        <ns0:is>
          <ns0:t>MPN</ns0:t>
        </ns0:is>
      </ns0:c>
      <ns0:c r="K1" t="inlineStr" s="8">
        <ns0:is>
          <ns0:t>CommentBase</ns0:t>
        </ns0:is>
      </ns0:c>
      <ns0:c r="L1" t="inlineStr" s="8">
        <ns0:is>
          <ns0:t>Library Ref</ns0:t>
        </ns0:is>
      </ns0:c>
      <ns0:c r="M1" t="inlineStr" s="8">
        <ns0:is>
          <ns0:t>Library Path</ns0:t>
        </ns0:is>
      </ns0:c>
      <ns0:c r="N1" t="inlineStr" s="8">
        <ns0:is>
          <ns0:t>Footprint Ref</ns0:t>
        </ns0:is>
      </ns0:c>
      <ns0:c r="O1" t="inlineStr" s="8">
        <ns0:is>
          <ns0:t>Footprint Path</ns0:t>
        </ns0:is>
      </ns0:c>
      <ns0:c r="P1" t="inlineStr" s="8">
        <ns0:is>
          <ns0:t>Notes</ns0:t>
        </ns0:is>
      </ns0:c>
      <ns0:c r="Q1" t="inlineStr" s="8">
        <ns0:is>
          <ns0:t>Dielectric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</ns0:row>
    <ns0:row r="2" ht="30" customHeight="1">
      <ns0:c r="A2" t="str" s="1">
        <ns0:v>R0005</ns0:v>
      </ns0:c>
      <ns0:c r="B2" t="str" s="1">
        <ns0:v>Резистор</ns0:v>
      </ns0:c>
      <ns0:c r="C2" t="str" s="1">
        <ns0:v>0R</ns0:v>
      </ns0:c>
      <ns0:c r="D2" t="str" s="5">
        <ns0:f>SUBSTITUTE(SUBSTITUTE(SUBSTITUTE(SUBSTITUTE(C2,"meg"," МОм"),"k"," кОм"),"R"," Ом"),".",",")</ns0:f>
        <ns0:v>0 Ом</ns0:v>
      </ns0:c>
      <ns0:c r="E2" s="1"/>
      <ns0:c r="F2" t="str" s="1">
        <ns0:v>0,125 Вт</ns0:v>
      </ns0:c>
      <ns0:c r="G2" s="1"/>
      <ns0:c r="H2" t="str" s="2">
        <ns0:v>0805</ns0:v>
      </ns0:c>
      <ns0:c r="I2" t="str" s="1">
        <ns0:v>YAGEO</ns0:v>
      </ns0:c>
      <ns0:c r="J2" t="str" s="1">
        <ns0:v>RC0805JR-070RL</ns0:v>
      </ns0:c>
      <ns0:c r="K2" t="str" s="6">
        <ns0:f>B2&amp;" "&amp;D2&amp;" "&amp;H2</ns0:f>
        <ns0:v>Резистор 0 Ом 0805</ns0:v>
      </ns0:c>
      <ns0:c r="L2" t="str" s="7">
        <ns0:v>R</ns0:v>
      </ns0:c>
      <ns0:c r="M2" t="str" s="7">
        <ns0:v>Symbols\MY_LIB_Resistors.SchLib</ns0:v>
      </ns0:c>
      <ns0:c r="N2" t="str" s="7">
        <ns0:v>RESC2012X70N</ns0:v>
      </ns0:c>
      <ns0:c r="O2" t="str" s="7">
        <ns0:v>Footprints\PBL - SMD Packages.PcbLib</ns0:v>
      </ns0:c>
      <ns0:c r="P2" t="str" s="1">
        <ns0:v>Перемычка RC_L; R &lt; 50 мОм; номинальный ток 2 А; J — код заказа перемычки, процентный допуск не применяется. Источник: https://www.yageogroup.com/content/datasheet/asset/file/PYU-RC_GROUP_51_ROHS_L</ns0:v>
      </ns0:c>
      <ns0:c r="Q2" s="1"/>
      <ns0:c r="R2" t="str" s="11">
        <ns0:f>D2</ns0:f>
        <ns0:v>0 Ом</ns0:v>
      </ns0:c>
      <ns0:c r="S2" t="str" s="16">
        <ns0:f>K2</ns0:f>
        <ns0:v>Резистор 0 Ом 0805</ns0:v>
      </ns0:c>
      <x:c xmlns:x="http://schemas.openxmlformats.org/spreadsheetml/2006/main" r="T2" t="str" s="16">
        <x:v>C:\Users\Nomatin\Documents\Altium\MY_LIB\MY_LIB\Datasheets\YAGEO_RC_L.pdf</x:v>
      </x:c>
      <x:c xmlns:x="http://schemas.openxmlformats.org/spreadsheetml/2006/main" r="U2" t="str" s="16">
        <x:v>Даташит — локальный</x:v>
      </x:c>
      <x:c xmlns:x="http://schemas.openxmlformats.org/spreadsheetml/2006/main" r="V2" t="str" s="16">
        <x:v>C:\Users\Nomatin\Documents\Altium\MY_LIB\MY_LIB\Datasheets\YAGEO_RC_L.pdf</x:v>
      </x:c>
      <x:c xmlns:x="http://schemas.openxmlformats.org/spreadsheetml/2006/main" r="W2" t="str" s="16">
        <x:v>Даташит — производитель</x:v>
      </x:c>
      <x:c xmlns:x="http://schemas.openxmlformats.org/spreadsheetml/2006/main" r="X2" t="str" s="16">
        <x:v>https://yageogroup.com/content/datasheet/asset/file/PYU-RC_GROUP_51_ROHS_L</x:v>
      </x:c>
      <x:c xmlns:x="http://schemas.openxmlformats.org/spreadsheetml/2006/main" r="Y2" t="str" s="16">
        <x:v>C:\Users\Nomatin\Documents\Altium\MY_LIB\MY_LIB\Datasheets\YAGEO_RC_L.pdf</x:v>
      </x:c>
    </ns0:row>
    <ns0:row r="3" ht="30" customHeight="1">
      <ns0:c r="A3" t="str" s="10">
        <ns0:v>R0009</ns0:v>
      </ns0:c>
      <ns0:c r="B3" t="str" s="10">
        <ns0:v>Резистор</ns0:v>
      </ns0:c>
      <ns0:c r="C3" t="str" s="10">
        <ns0:v>1R</ns0:v>
      </ns0:c>
      <ns0:c r="D3" t="str" s="11">
        <ns0:f>SUBSTITUTE(SUBSTITUTE(SUBSTITUTE(SUBSTITUTE(C3,"meg"," МОм"),"k"," кОм"),"R"," Ом"),".",",")</ns0:f>
        <ns0:v>1 Ом</ns0:v>
      </ns0:c>
      <ns0:c r="E3" t="str" s="10">
        <ns0:v>±5%</ns0:v>
      </ns0:c>
      <ns0:c r="F3" t="str" s="10">
        <ns0:v>0,1 Вт</ns0:v>
      </ns0:c>
      <ns0:c r="G3" t="str" s="10">
        <ns0:v>75 В макс.</ns0:v>
      </ns0:c>
      <ns0:c r="H3" t="str" s="12">
        <ns0:v>0603</ns0:v>
      </ns0:c>
      <ns0:c r="I3" t="str" s="10">
        <ns0:v>YAGEO</ns0:v>
      </ns0:c>
      <ns0:c r="J3" t="str" s="10">
        <ns0:v>RC0603JR-071RL</ns0:v>
      </ns0:c>
      <ns0:c r="K3" t="str" s="11">
        <ns0:f>B3&amp;" "&amp;D3&amp;" "&amp;E3&amp;" "&amp;H3</ns0:f>
        <ns0:v>Резистор 1 Ом ±5% 0603</ns0:v>
      </ns0:c>
      <ns0:c r="L3" t="str" s="13">
        <ns0:v>R</ns0:v>
      </ns0:c>
      <ns0:c r="M3" t="str" s="13">
        <ns0:v>Symbols\MY_LIB_Resistors.SchLib</ns0:v>
      </ns0:c>
      <ns0:c r="N3" t="str" s="13">
        <ns0:v>RESC1608X55N</ns0:v>
      </ns0:c>
      <ns0:c r="O3" t="str" s="13">
        <ns0:v>Footprints\PBL - SMD Packages.PcbLib</ns0:v>
      </ns0:c>
      <ns0:c r="P3" t="str" s="10">
        <ns0:v>RC_L; E24; P при 70 °C</ns0:v>
      </ns0:c>
      <ns0:c r="Q3" s="10"/>
      <ns0:c r="R3" t="str" s="11">
        <ns0:f>D3</ns0:f>
        <ns0:v>1 Ом</ns0:v>
      </ns0:c>
      <ns0:c r="S3" t="str" s="11">
        <ns0:f>K3</ns0:f>
        <ns0:v>Резистор 1 Ом ±5% 0603</ns0:v>
      </ns0:c>
      <x:c xmlns:x="http://schemas.openxmlformats.org/spreadsheetml/2006/main" r="T3" t="str" s="11">
        <x:v>C:\Users\Nomatin\Documents\Altium\MY_LIB\MY_LIB\Datasheets\YAGEO_RC_L.pdf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C:\Users\Nomatin\Documents\Altium\MY_LIB\MY_LIB\Datasheets\YAGEO_RC_L.pdf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https://yageogroup.com/content/datasheet/asset/file/PYU-RC_GROUP_51_ROHS_L</x:v>
      </x:c>
      <x:c xmlns:x="http://schemas.openxmlformats.org/spreadsheetml/2006/main" r="Y3" t="str" s="11">
        <x:v>C:\Users\Nomatin\Documents\Altium\MY_LIB\MY_LIB\Datasheets\YAGEO_RC_L.pdf</x:v>
      </x:c>
    </ns0:row>
    <ns0:row r="4" ht="30" customHeight="1">
      <ns0:c r="A4" t="str" s="10">
        <ns0:v>R0010</ns0:v>
      </ns0:c>
      <ns0:c r="B4" t="str" s="10">
        <ns0:v>Резистор</ns0:v>
      </ns0:c>
      <ns0:c r="C4" t="str" s="10">
        <ns0:v>1.1R</ns0:v>
      </ns0:c>
      <ns0:c r="D4" t="str" s="11">
        <ns0:f>SUBSTITUTE(SUBSTITUTE(SUBSTITUTE(SUBSTITUTE(C4,"meg"," МОм"),"k"," кОм"),"R"," Ом"),".",",")</ns0:f>
        <ns0:v>1,1 Ом</ns0:v>
      </ns0:c>
      <ns0:c r="E4" t="str" s="10">
        <ns0:v>±5%</ns0:v>
      </ns0:c>
      <ns0:c r="F4" t="str" s="10">
        <ns0:v>0,1 Вт</ns0:v>
      </ns0:c>
      <ns0:c r="G4" t="str" s="10">
        <ns0:v>75 В макс.</ns0:v>
      </ns0:c>
      <ns0:c r="H4" t="str" s="12">
        <ns0:v>0603</ns0:v>
      </ns0:c>
      <ns0:c r="I4" t="str" s="10">
        <ns0:v>YAGEO</ns0:v>
      </ns0:c>
      <ns0:c r="J4" t="str" s="10">
        <ns0:v>RC0603JR-071R1L</ns0:v>
      </ns0:c>
      <ns0:c r="K4" t="str" s="11">
        <ns0:f>B4&amp;" "&amp;D4&amp;" "&amp;E4&amp;" "&amp;H4</ns0:f>
        <ns0:v>Резистор 1,1 Ом ±5% 0603</ns0:v>
      </ns0:c>
      <ns0:c r="L4" t="str" s="13">
        <ns0:v>R</ns0:v>
      </ns0:c>
      <ns0:c r="M4" t="str" s="13">
        <ns0:v>Symbols\MY_LIB_Resistors.SchLib</ns0:v>
      </ns0:c>
      <ns0:c r="N4" t="str" s="13">
        <ns0:v>RESC1608X55N</ns0:v>
      </ns0:c>
      <ns0:c r="O4" t="str" s="13">
        <ns0:v>Footprints\PBL - SMD Packages.PcbLib</ns0:v>
      </ns0:c>
      <ns0:c r="P4" t="str" s="10">
        <ns0:v>RC_L; E24; P при 70 °C</ns0:v>
      </ns0:c>
      <ns0:c r="Q4" s="10"/>
      <ns0:c r="R4" t="str" s="11">
        <ns0:f>D4</ns0:f>
        <ns0:v>1,1 Ом</ns0:v>
      </ns0:c>
      <ns0:c r="S4" t="str" s="11">
        <ns0:f>K4</ns0:f>
        <ns0:v>Резистор 1,1 Ом ±5% 0603</ns0:v>
      </ns0:c>
      <x:c xmlns:x="http://schemas.openxmlformats.org/spreadsheetml/2006/main" r="T4" t="str" s="11">
        <x:v>C:\Users\Nomatin\Documents\Altium\MY_LIB\MY_LIB\Datasheets\YAGEO_RC_L.pdf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C:\Users\Nomatin\Documents\Altium\MY_LIB\MY_LIB\Datasheets\YAGEO_RC_L.pdf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https://yageogroup.com/content/datasheet/asset/file/PYU-RC_GROUP_51_ROHS_L</x:v>
      </x:c>
      <x:c xmlns:x="http://schemas.openxmlformats.org/spreadsheetml/2006/main" r="Y4" t="str" s="11">
        <x:v>C:\Users\Nomatin\Documents\Altium\MY_LIB\MY_LIB\Datasheets\YAGEO_RC_L.pdf</x:v>
      </x:c>
    </ns0:row>
    <ns0:row r="5" ht="30" customHeight="1">
      <ns0:c r="A5" t="str" s="10">
        <ns0:v>R0011</ns0:v>
      </ns0:c>
      <ns0:c r="B5" t="str" s="10">
        <ns0:v>Резистор</ns0:v>
      </ns0:c>
      <ns0:c r="C5" t="str" s="10">
        <ns0:v>1.2R</ns0:v>
      </ns0:c>
      <ns0:c r="D5" t="str" s="11">
        <ns0:f>SUBSTITUTE(SUBSTITUTE(SUBSTITUTE(SUBSTITUTE(C5,"meg"," МОм"),"k"," кОм"),"R"," Ом"),".",",")</ns0:f>
        <ns0:v>1,2 Ом</ns0:v>
      </ns0:c>
      <ns0:c r="E5" t="str" s="10">
        <ns0:v>±5%</ns0:v>
      </ns0:c>
      <ns0:c r="F5" t="str" s="10">
        <ns0:v>0,1 Вт</ns0:v>
      </ns0:c>
      <ns0:c r="G5" t="str" s="10">
        <ns0:v>75 В макс.</ns0:v>
      </ns0:c>
      <ns0:c r="H5" t="str" s="12">
        <ns0:v>0603</ns0:v>
      </ns0:c>
      <ns0:c r="I5" t="str" s="10">
        <ns0:v>YAGEO</ns0:v>
      </ns0:c>
      <ns0:c r="J5" t="str" s="10">
        <ns0:v>RC0603JR-071R2L</ns0:v>
      </ns0:c>
      <ns0:c r="K5" t="str" s="11">
        <ns0:f>B5&amp;" "&amp;D5&amp;" "&amp;E5&amp;" "&amp;H5</ns0:f>
        <ns0:v>Резистор 1,2 Ом ±5% 0603</ns0:v>
      </ns0:c>
      <ns0:c r="L5" t="str" s="13">
        <ns0:v>R</ns0:v>
      </ns0:c>
      <ns0:c r="M5" t="str" s="13">
        <ns0:v>Symbols\MY_LIB_Resistors.SchLib</ns0:v>
      </ns0:c>
      <ns0:c r="N5" t="str" s="13">
        <ns0:v>RESC1608X55N</ns0:v>
      </ns0:c>
      <ns0:c r="O5" t="str" s="13">
        <ns0:v>Footprints\PBL - SMD Packages.PcbLib</ns0:v>
      </ns0:c>
      <ns0:c r="P5" t="str" s="10">
        <ns0:v>RC_L; E24; P при 70 °C</ns0:v>
      </ns0:c>
      <ns0:c r="Q5" s="10"/>
      <ns0:c r="R5" t="str" s="11">
        <ns0:f>D5</ns0:f>
        <ns0:v>1,2 Ом</ns0:v>
      </ns0:c>
      <ns0:c r="S5" t="str" s="11">
        <ns0:f>K5</ns0:f>
        <ns0:v>Резистор 1,2 Ом ±5% 0603</ns0:v>
      </ns0:c>
      <x:c xmlns:x="http://schemas.openxmlformats.org/spreadsheetml/2006/main" r="T5" t="str" s="11">
        <x:v>C:\Users\Nomatin\Documents\Altium\MY_LIB\MY_LIB\Datasheets\YAGEO_RC_L.pdf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C:\Users\Nomatin\Documents\Altium\MY_LIB\MY_LIB\Datasheets\YAGEO_RC_L.pdf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https://yageogroup.com/content/datasheet/asset/file/PYU-RC_GROUP_51_ROHS_L</x:v>
      </x:c>
      <x:c xmlns:x="http://schemas.openxmlformats.org/spreadsheetml/2006/main" r="Y5" t="str" s="11">
        <x:v>C:\Users\Nomatin\Documents\Altium\MY_LIB\MY_LIB\Datasheets\YAGEO_RC_L.pdf</x:v>
      </x:c>
    </ns0:row>
    <ns0:row r="6" ht="30" customHeight="1">
      <ns0:c r="A6" t="str" s="10">
        <ns0:v>R0012</ns0:v>
      </ns0:c>
      <ns0:c r="B6" t="str" s="10">
        <ns0:v>Резистор</ns0:v>
      </ns0:c>
      <ns0:c r="C6" t="str" s="10">
        <ns0:v>1.3R</ns0:v>
      </ns0:c>
      <ns0:c r="D6" t="str" s="11">
        <ns0:f>SUBSTITUTE(SUBSTITUTE(SUBSTITUTE(SUBSTITUTE(C6,"meg"," МОм"),"k"," кОм"),"R"," Ом"),".",",")</ns0:f>
        <ns0:v>1,3 Ом</ns0:v>
      </ns0:c>
      <ns0:c r="E6" t="str" s="10">
        <ns0:v>±5%</ns0:v>
      </ns0:c>
      <ns0:c r="F6" t="str" s="10">
        <ns0:v>0,1 Вт</ns0:v>
      </ns0:c>
      <ns0:c r="G6" t="str" s="10">
        <ns0:v>75 В макс.</ns0:v>
      </ns0:c>
      <ns0:c r="H6" t="str" s="12">
        <ns0:v>0603</ns0:v>
      </ns0:c>
      <ns0:c r="I6" t="str" s="10">
        <ns0:v>YAGEO</ns0:v>
      </ns0:c>
      <ns0:c r="J6" t="str" s="10">
        <ns0:v>RC0603JR-071R3L</ns0:v>
      </ns0:c>
      <ns0:c r="K6" t="str" s="11">
        <ns0:f>B6&amp;" "&amp;D6&amp;" "&amp;E6&amp;" "&amp;H6</ns0:f>
        <ns0:v>Резистор 1,3 Ом ±5% 0603</ns0:v>
      </ns0:c>
      <ns0:c r="L6" t="str" s="13">
        <ns0:v>R</ns0:v>
      </ns0:c>
      <ns0:c r="M6" t="str" s="13">
        <ns0:v>Symbols\MY_LIB_Resistors.SchLib</ns0:v>
      </ns0:c>
      <ns0:c r="N6" t="str" s="13">
        <ns0:v>RESC1608X55N</ns0:v>
      </ns0:c>
      <ns0:c r="O6" t="str" s="13">
        <ns0:v>Footprints\PBL - SMD Packages.PcbLib</ns0:v>
      </ns0:c>
      <ns0:c r="P6" t="str" s="10">
        <ns0:v>RC_L; E24; P при 70 °C</ns0:v>
      </ns0:c>
      <ns0:c r="Q6" s="10"/>
      <ns0:c r="R6" t="str" s="11">
        <ns0:f>D6</ns0:f>
        <ns0:v>1,3 Ом</ns0:v>
      </ns0:c>
      <ns0:c r="S6" t="str" s="11">
        <ns0:f>K6</ns0:f>
        <ns0:v>Резистор 1,3 Ом ±5% 0603</ns0:v>
      </ns0:c>
      <x:c xmlns:x="http://schemas.openxmlformats.org/spreadsheetml/2006/main" r="T6" t="str" s="11">
        <x:v>C:\Users\Nomatin\Documents\Altium\MY_LIB\MY_LIB\Datasheets\YAGEO_RC_L.pdf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C:\Users\Nomatin\Documents\Altium\MY_LIB\MY_LIB\Datasheets\YAGEO_RC_L.pdf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https://yageogroup.com/content/datasheet/asset/file/PYU-RC_GROUP_51_ROHS_L</x:v>
      </x:c>
      <x:c xmlns:x="http://schemas.openxmlformats.org/spreadsheetml/2006/main" r="Y6" t="str" s="11">
        <x:v>C:\Users\Nomatin\Documents\Altium\MY_LIB\MY_LIB\Datasheets\YAGEO_RC_L.pdf</x:v>
      </x:c>
    </ns0:row>
    <ns0:row r="7" ht="30" customHeight="1">
      <ns0:c r="A7" t="str" s="10">
        <ns0:v>R0013</ns0:v>
      </ns0:c>
      <ns0:c r="B7" t="str" s="10">
        <ns0:v>Резистор</ns0:v>
      </ns0:c>
      <ns0:c r="C7" t="str" s="10">
        <ns0:v>1.5R</ns0:v>
      </ns0:c>
      <ns0:c r="D7" t="str" s="11">
        <ns0:f>SUBSTITUTE(SUBSTITUTE(SUBSTITUTE(SUBSTITUTE(C7,"meg"," МОм"),"k"," кОм"),"R"," Ом"),".",",")</ns0:f>
        <ns0:v>1,5 Ом</ns0:v>
      </ns0:c>
      <ns0:c r="E7" t="str" s="10">
        <ns0:v>±5%</ns0:v>
      </ns0:c>
      <ns0:c r="F7" t="str" s="10">
        <ns0:v>0,1 Вт</ns0:v>
      </ns0:c>
      <ns0:c r="G7" t="str" s="10">
        <ns0:v>75 В макс.</ns0:v>
      </ns0:c>
      <ns0:c r="H7" t="str" s="12">
        <ns0:v>0603</ns0:v>
      </ns0:c>
      <ns0:c r="I7" t="str" s="10">
        <ns0:v>YAGEO</ns0:v>
      </ns0:c>
      <ns0:c r="J7" t="str" s="10">
        <ns0:v>RC0603JR-071R5L</ns0:v>
      </ns0:c>
      <ns0:c r="K7" t="str" s="11">
        <ns0:f>B7&amp;" "&amp;D7&amp;" "&amp;E7&amp;" "&amp;H7</ns0:f>
        <ns0:v>Резистор 1,5 Ом ±5% 0603</ns0:v>
      </ns0:c>
      <ns0:c r="L7" t="str" s="13">
        <ns0:v>R</ns0:v>
      </ns0:c>
      <ns0:c r="M7" t="str" s="13">
        <ns0:v>Symbols\MY_LIB_Resistors.SchLib</ns0:v>
      </ns0:c>
      <ns0:c r="N7" t="str" s="13">
        <ns0:v>RESC1608X55N</ns0:v>
      </ns0:c>
      <ns0:c r="O7" t="str" s="13">
        <ns0:v>Footprints\PBL - SMD Packages.PcbLib</ns0:v>
      </ns0:c>
      <ns0:c r="P7" t="str" s="10">
        <ns0:v>RC_L; E24; P при 70 °C</ns0:v>
      </ns0:c>
      <ns0:c r="Q7" s="10"/>
      <ns0:c r="R7" t="str" s="11">
        <ns0:f>D7</ns0:f>
        <ns0:v>1,5 Ом</ns0:v>
      </ns0:c>
      <ns0:c r="S7" t="str" s="11">
        <ns0:f>K7</ns0:f>
        <ns0:v>Резистор 1,5 Ом ±5% 0603</ns0:v>
      </ns0:c>
      <x:c xmlns:x="http://schemas.openxmlformats.org/spreadsheetml/2006/main" r="T7" t="str" s="11">
        <x:v>C:\Users\Nomatin\Documents\Altium\MY_LIB\MY_LIB\Datasheets\YAGEO_RC_L.pdf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C:\Users\Nomatin\Documents\Altium\MY_LIB\MY_LIB\Datasheets\YAGEO_RC_L.pdf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https://yageogroup.com/content/datasheet/asset/file/PYU-RC_GROUP_51_ROHS_L</x:v>
      </x:c>
      <x:c xmlns:x="http://schemas.openxmlformats.org/spreadsheetml/2006/main" r="Y7" t="str" s="11">
        <x:v>C:\Users\Nomatin\Documents\Altium\MY_LIB\MY_LIB\Datasheets\YAGEO_RC_L.pdf</x:v>
      </x:c>
    </ns0:row>
    <ns0:row r="8" ht="30" customHeight="1">
      <ns0:c r="A8" t="str" s="10">
        <ns0:v>R0014</ns0:v>
      </ns0:c>
      <ns0:c r="B8" t="str" s="10">
        <ns0:v>Резистор</ns0:v>
      </ns0:c>
      <ns0:c r="C8" t="str" s="10">
        <ns0:v>1.6R</ns0:v>
      </ns0:c>
      <ns0:c r="D8" t="str" s="11">
        <ns0:f>SUBSTITUTE(SUBSTITUTE(SUBSTITUTE(SUBSTITUTE(C8,"meg"," МОм"),"k"," кОм"),"R"," Ом"),".",",")</ns0:f>
        <ns0:v>1,6 Ом</ns0:v>
      </ns0:c>
      <ns0:c r="E8" t="str" s="10">
        <ns0:v>±5%</ns0:v>
      </ns0:c>
      <ns0:c r="F8" t="str" s="10">
        <ns0:v>0,1 Вт</ns0:v>
      </ns0:c>
      <ns0:c r="G8" t="str" s="10">
        <ns0:v>75 В макс.</ns0:v>
      </ns0:c>
      <ns0:c r="H8" t="str" s="12">
        <ns0:v>0603</ns0:v>
      </ns0:c>
      <ns0:c r="I8" t="str" s="10">
        <ns0:v>YAGEO</ns0:v>
      </ns0:c>
      <ns0:c r="J8" t="str" s="10">
        <ns0:v>RC0603JR-071R6L</ns0:v>
      </ns0:c>
      <ns0:c r="K8" t="str" s="11">
        <ns0:f>B8&amp;" "&amp;D8&amp;" "&amp;E8&amp;" "&amp;H8</ns0:f>
        <ns0:v>Резистор 1,6 Ом ±5% 0603</ns0:v>
      </ns0:c>
      <ns0:c r="L8" t="str" s="13">
        <ns0:v>R</ns0:v>
      </ns0:c>
      <ns0:c r="M8" t="str" s="13">
        <ns0:v>Symbols\MY_LIB_Resistors.SchLib</ns0:v>
      </ns0:c>
      <ns0:c r="N8" t="str" s="13">
        <ns0:v>RESC1608X55N</ns0:v>
      </ns0:c>
      <ns0:c r="O8" t="str" s="13">
        <ns0:v>Footprints\PBL - SMD Packages.PcbLib</ns0:v>
      </ns0:c>
      <ns0:c r="P8" t="str" s="10">
        <ns0:v>RC_L; E24; P при 70 °C</ns0:v>
      </ns0:c>
      <ns0:c r="Q8" s="10"/>
      <ns0:c r="R8" t="str" s="11">
        <ns0:f>D8</ns0:f>
        <ns0:v>1,6 Ом</ns0:v>
      </ns0:c>
      <ns0:c r="S8" t="str" s="11">
        <ns0:f>K8</ns0:f>
        <ns0:v>Резистор 1,6 Ом ±5% 0603</ns0:v>
      </ns0:c>
      <x:c xmlns:x="http://schemas.openxmlformats.org/spreadsheetml/2006/main" r="T8" t="str" s="11">
        <x:v>C:\Users\Nomatin\Documents\Altium\MY_LIB\MY_LIB\Datasheets\YAGEO_RC_L.pdf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C:\Users\Nomatin\Documents\Altium\MY_LIB\MY_LIB\Datasheets\YAGEO_RC_L.pdf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https://yageogroup.com/content/datasheet/asset/file/PYU-RC_GROUP_51_ROHS_L</x:v>
      </x:c>
      <x:c xmlns:x="http://schemas.openxmlformats.org/spreadsheetml/2006/main" r="Y8" t="str" s="11">
        <x:v>C:\Users\Nomatin\Documents\Altium\MY_LIB\MY_LIB\Datasheets\YAGEO_RC_L.pdf</x:v>
      </x:c>
    </ns0:row>
    <ns0:row r="9" ht="30" customHeight="1">
      <ns0:c r="A9" t="str" s="10">
        <ns0:v>R0015</ns0:v>
      </ns0:c>
      <ns0:c r="B9" t="str" s="10">
        <ns0:v>Резистор</ns0:v>
      </ns0:c>
      <ns0:c r="C9" t="str" s="10">
        <ns0:v>1.8R</ns0:v>
      </ns0:c>
      <ns0:c r="D9" t="str" s="11">
        <ns0:f>SUBSTITUTE(SUBSTITUTE(SUBSTITUTE(SUBSTITUTE(C9,"meg"," МОм"),"k"," кОм"),"R"," Ом"),".",",")</ns0:f>
        <ns0:v>1,8 Ом</ns0:v>
      </ns0:c>
      <ns0:c r="E9" t="str" s="10">
        <ns0:v>±5%</ns0:v>
      </ns0:c>
      <ns0:c r="F9" t="str" s="10">
        <ns0:v>0,1 Вт</ns0:v>
      </ns0:c>
      <ns0:c r="G9" t="str" s="10">
        <ns0:v>75 В макс.</ns0:v>
      </ns0:c>
      <ns0:c r="H9" t="str" s="12">
        <ns0:v>0603</ns0:v>
      </ns0:c>
      <ns0:c r="I9" t="str" s="10">
        <ns0:v>YAGEO</ns0:v>
      </ns0:c>
      <ns0:c r="J9" t="str" s="10">
        <ns0:v>RC0603JR-071R8L</ns0:v>
      </ns0:c>
      <ns0:c r="K9" t="str" s="11">
        <ns0:f>B9&amp;" "&amp;D9&amp;" "&amp;E9&amp;" "&amp;H9</ns0:f>
        <ns0:v>Резистор 1,8 Ом ±5% 0603</ns0:v>
      </ns0:c>
      <ns0:c r="L9" t="str" s="13">
        <ns0:v>R</ns0:v>
      </ns0:c>
      <ns0:c r="M9" t="str" s="13">
        <ns0:v>Symbols\MY_LIB_Resistors.SchLib</ns0:v>
      </ns0:c>
      <ns0:c r="N9" t="str" s="13">
        <ns0:v>RESC1608X55N</ns0:v>
      </ns0:c>
      <ns0:c r="O9" t="str" s="13">
        <ns0:v>Footprints\PBL - SMD Packages.PcbLib</ns0:v>
      </ns0:c>
      <ns0:c r="P9" t="str" s="10">
        <ns0:v>RC_L; E24; P при 70 °C</ns0:v>
      </ns0:c>
      <ns0:c r="Q9" s="10"/>
      <ns0:c r="R9" t="str" s="11">
        <ns0:f>D9</ns0:f>
        <ns0:v>1,8 Ом</ns0:v>
      </ns0:c>
      <ns0:c r="S9" t="str" s="11">
        <ns0:f>K9</ns0:f>
        <ns0:v>Резистор 1,8 Ом ±5% 0603</ns0:v>
      </ns0:c>
      <x:c xmlns:x="http://schemas.openxmlformats.org/spreadsheetml/2006/main" r="T9" t="str" s="11">
        <x:v>C:\Users\Nomatin\Documents\Altium\MY_LIB\MY_LIB\Datasheets\YAGEO_RC_L.pdf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C:\Users\Nomatin\Documents\Altium\MY_LIB\MY_LIB\Datasheets\YAGEO_RC_L.pdf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https://yageogroup.com/content/datasheet/asset/file/PYU-RC_GROUP_51_ROHS_L</x:v>
      </x:c>
      <x:c xmlns:x="http://schemas.openxmlformats.org/spreadsheetml/2006/main" r="Y9" t="str" s="11">
        <x:v>C:\Users\Nomatin\Documents\Altium\MY_LIB\MY_LIB\Datasheets\YAGEO_RC_L.pdf</x:v>
      </x:c>
    </ns0:row>
    <ns0:row r="10" ht="30" customHeight="1">
      <ns0:c r="A10" t="str" s="10">
        <ns0:v>R0016</ns0:v>
      </ns0:c>
      <ns0:c r="B10" t="str" s="10">
        <ns0:v>Резистор</ns0:v>
      </ns0:c>
      <ns0:c r="C10" t="str" s="10">
        <ns0:v>2R</ns0:v>
      </ns0:c>
      <ns0:c r="D10" t="str" s="11">
        <ns0:f>SUBSTITUTE(SUBSTITUTE(SUBSTITUTE(SUBSTITUTE(C10,"meg"," МОм"),"k"," кОм"),"R"," Ом"),".",",")</ns0:f>
        <ns0:v>2 Ом</ns0:v>
      </ns0:c>
      <ns0:c r="E10" t="str" s="10">
        <ns0:v>±5%</ns0:v>
      </ns0:c>
      <ns0:c r="F10" t="str" s="10">
        <ns0:v>0,1 Вт</ns0:v>
      </ns0:c>
      <ns0:c r="G10" t="str" s="10">
        <ns0:v>75 В макс.</ns0:v>
      </ns0:c>
      <ns0:c r="H10" t="str" s="12">
        <ns0:v>0603</ns0:v>
      </ns0:c>
      <ns0:c r="I10" t="str" s="10">
        <ns0:v>YAGEO</ns0:v>
      </ns0:c>
      <ns0:c r="J10" t="str" s="10">
        <ns0:v>RC0603JR-072RL</ns0:v>
      </ns0:c>
      <ns0:c r="K10" t="str" s="11">
        <ns0:f>B10&amp;" "&amp;D10&amp;" "&amp;E10&amp;" "&amp;H10</ns0:f>
        <ns0:v>Резистор 2 Ом ±5% 0603</ns0:v>
      </ns0:c>
      <ns0:c r="L10" t="str" s="13">
        <ns0:v>R</ns0:v>
      </ns0:c>
      <ns0:c r="M10" t="str" s="13">
        <ns0:v>Symbols\MY_LIB_Resistors.SchLib</ns0:v>
      </ns0:c>
      <ns0:c r="N10" t="str" s="13">
        <ns0:v>RESC1608X55N</ns0:v>
      </ns0:c>
      <ns0:c r="O10" t="str" s="13">
        <ns0:v>Footprints\PBL - SMD Packages.PcbLib</ns0:v>
      </ns0:c>
      <ns0:c r="P10" t="str" s="10">
        <ns0:v>RC_L; E24; P при 70 °C</ns0:v>
      </ns0:c>
      <ns0:c r="Q10" s="10"/>
      <ns0:c r="R10" t="str" s="11">
        <ns0:f>D10</ns0:f>
        <ns0:v>2 Ом</ns0:v>
      </ns0:c>
      <ns0:c r="S10" t="str" s="11">
        <ns0:f>K10</ns0:f>
        <ns0:v>Резистор 2 Ом ±5% 0603</ns0:v>
      </ns0:c>
      <x:c xmlns:x="http://schemas.openxmlformats.org/spreadsheetml/2006/main" r="T10" t="str" s="11">
        <x:v>C:\Users\Nomatin\Documents\Altium\MY_LIB\MY_LIB\Datasheets\YAGEO_RC_L.pdf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C:\Users\Nomatin\Documents\Altium\MY_LIB\MY_LIB\Datasheets\YAGEO_RC_L.pdf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https://yageogroup.com/content/datasheet/asset/file/PYU-RC_GROUP_51_ROHS_L</x:v>
      </x:c>
      <x:c xmlns:x="http://schemas.openxmlformats.org/spreadsheetml/2006/main" r="Y10" t="str" s="11">
        <x:v>C:\Users\Nomatin\Documents\Altium\MY_LIB\MY_LIB\Datasheets\YAGEO_RC_L.pdf</x:v>
      </x:c>
    </ns0:row>
    <ns0:row r="11" ht="30" customHeight="1">
      <ns0:c r="A11" t="str" s="10">
        <ns0:v>R0017</ns0:v>
      </ns0:c>
      <ns0:c r="B11" t="str" s="10">
        <ns0:v>Резистор</ns0:v>
      </ns0:c>
      <ns0:c r="C11" t="str" s="10">
        <ns0:v>2.2R</ns0:v>
      </ns0:c>
      <ns0:c r="D11" t="str" s="11">
        <ns0:f>SUBSTITUTE(SUBSTITUTE(SUBSTITUTE(SUBSTITUTE(C11,"meg"," МОм"),"k"," кОм"),"R"," Ом"),".",",")</ns0:f>
        <ns0:v>2,2 Ом</ns0:v>
      </ns0:c>
      <ns0:c r="E11" t="str" s="10">
        <ns0:v>±5%</ns0:v>
      </ns0:c>
      <ns0:c r="F11" t="str" s="10">
        <ns0:v>0,1 Вт</ns0:v>
      </ns0:c>
      <ns0:c r="G11" t="str" s="10">
        <ns0:v>75 В макс.</ns0:v>
      </ns0:c>
      <ns0:c r="H11" t="str" s="12">
        <ns0:v>0603</ns0:v>
      </ns0:c>
      <ns0:c r="I11" t="str" s="10">
        <ns0:v>YAGEO</ns0:v>
      </ns0:c>
      <ns0:c r="J11" t="str" s="10">
        <ns0:v>RC0603JR-072R2L</ns0:v>
      </ns0:c>
      <ns0:c r="K11" t="str" s="11">
        <ns0:f>B11&amp;" "&amp;D11&amp;" "&amp;E11&amp;" "&amp;H11</ns0:f>
        <ns0:v>Резистор 2,2 Ом ±5% 0603</ns0:v>
      </ns0:c>
      <ns0:c r="L11" t="str" s="13">
        <ns0:v>R</ns0:v>
      </ns0:c>
      <ns0:c r="M11" t="str" s="13">
        <ns0:v>Symbols\MY_LIB_Resistors.SchLib</ns0:v>
      </ns0:c>
      <ns0:c r="N11" t="str" s="13">
        <ns0:v>RESC1608X55N</ns0:v>
      </ns0:c>
      <ns0:c r="O11" t="str" s="13">
        <ns0:v>Footprints\PBL - SMD Packages.PcbLib</ns0:v>
      </ns0:c>
      <ns0:c r="P11" t="str" s="10">
        <ns0:v>RC_L; E24; P при 70 °C</ns0:v>
      </ns0:c>
      <ns0:c r="Q11" s="10"/>
      <ns0:c r="R11" t="str" s="11">
        <ns0:f>D11</ns0:f>
        <ns0:v>2,2 Ом</ns0:v>
      </ns0:c>
      <ns0:c r="S11" t="str" s="11">
        <ns0:f>K11</ns0:f>
        <ns0:v>Резистор 2,2 Ом ±5% 0603</ns0:v>
      </ns0:c>
      <x:c xmlns:x="http://schemas.openxmlformats.org/spreadsheetml/2006/main" r="T11" t="str" s="11">
        <x:v>C:\Users\Nomatin\Documents\Altium\MY_LIB\MY_LIB\Datasheets\YAGEO_RC_L.pdf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C:\Users\Nomatin\Documents\Altium\MY_LIB\MY_LIB\Datasheets\YAGEO_RC_L.pdf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https://yageogroup.com/content/datasheet/asset/file/PYU-RC_GROUP_51_ROHS_L</x:v>
      </x:c>
      <x:c xmlns:x="http://schemas.openxmlformats.org/spreadsheetml/2006/main" r="Y11" t="str" s="11">
        <x:v>C:\Users\Nomatin\Documents\Altium\MY_LIB\MY_LIB\Datasheets\YAGEO_RC_L.pdf</x:v>
      </x:c>
    </ns0:row>
    <ns0:row r="12" ht="30" customHeight="1">
      <ns0:c r="A12" t="str" s="10">
        <ns0:v>R0018</ns0:v>
      </ns0:c>
      <ns0:c r="B12" t="str" s="10">
        <ns0:v>Резистор</ns0:v>
      </ns0:c>
      <ns0:c r="C12" t="str" s="10">
        <ns0:v>2.4R</ns0:v>
      </ns0:c>
      <ns0:c r="D12" t="str" s="11">
        <ns0:f>SUBSTITUTE(SUBSTITUTE(SUBSTITUTE(SUBSTITUTE(C12,"meg"," МОм"),"k"," кОм"),"R"," Ом"),".",",")</ns0:f>
        <ns0:v>2,4 Ом</ns0:v>
      </ns0:c>
      <ns0:c r="E12" t="str" s="10">
        <ns0:v>±5%</ns0:v>
      </ns0:c>
      <ns0:c r="F12" t="str" s="10">
        <ns0:v>0,1 Вт</ns0:v>
      </ns0:c>
      <ns0:c r="G12" t="str" s="10">
        <ns0:v>75 В макс.</ns0:v>
      </ns0:c>
      <ns0:c r="H12" t="str" s="12">
        <ns0:v>0603</ns0:v>
      </ns0:c>
      <ns0:c r="I12" t="str" s="10">
        <ns0:v>YAGEO</ns0:v>
      </ns0:c>
      <ns0:c r="J12" t="str" s="10">
        <ns0:v>RC0603JR-072R4L</ns0:v>
      </ns0:c>
      <ns0:c r="K12" t="str" s="11">
        <ns0:f>B12&amp;" "&amp;D12&amp;" "&amp;E12&amp;" "&amp;H12</ns0:f>
        <ns0:v>Резистор 2,4 Ом ±5% 0603</ns0:v>
      </ns0:c>
      <ns0:c r="L12" t="str" s="13">
        <ns0:v>R</ns0:v>
      </ns0:c>
      <ns0:c r="M12" t="str" s="13">
        <ns0:v>Symbols\MY_LIB_Resistors.SchLib</ns0:v>
      </ns0:c>
      <ns0:c r="N12" t="str" s="13">
        <ns0:v>RESC1608X55N</ns0:v>
      </ns0:c>
      <ns0:c r="O12" t="str" s="13">
        <ns0:v>Footprints\PBL - SMD Packages.PcbLib</ns0:v>
      </ns0:c>
      <ns0:c r="P12" t="str" s="10">
        <ns0:v>RC_L; E24; P при 70 °C</ns0:v>
      </ns0:c>
      <ns0:c r="Q12" s="10"/>
      <ns0:c r="R12" t="str" s="11">
        <ns0:f>D12</ns0:f>
        <ns0:v>2,4 Ом</ns0:v>
      </ns0:c>
      <ns0:c r="S12" t="str" s="11">
        <ns0:f>K12</ns0:f>
        <ns0:v>Резистор 2,4 Ом ±5% 0603</ns0:v>
      </ns0:c>
      <x:c xmlns:x="http://schemas.openxmlformats.org/spreadsheetml/2006/main" r="T12" t="str" s="11">
        <x:v>C:\Users\Nomatin\Documents\Altium\MY_LIB\MY_LIB\Datasheets\YAGEO_RC_L.pdf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C:\Users\Nomatin\Documents\Altium\MY_LIB\MY_LIB\Datasheets\YAGEO_RC_L.pdf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https://yageogroup.com/content/datasheet/asset/file/PYU-RC_GROUP_51_ROHS_L</x:v>
      </x:c>
      <x:c xmlns:x="http://schemas.openxmlformats.org/spreadsheetml/2006/main" r="Y12" t="str" s="11">
        <x:v>C:\Users\Nomatin\Documents\Altium\MY_LIB\MY_LIB\Datasheets\YAGEO_RC_L.pdf</x:v>
      </x:c>
    </ns0:row>
    <ns0:row r="13" ht="30" customHeight="1">
      <ns0:c r="A13" t="str" s="10">
        <ns0:v>R0019</ns0:v>
      </ns0:c>
      <ns0:c r="B13" t="str" s="10">
        <ns0:v>Резистор</ns0:v>
      </ns0:c>
      <ns0:c r="C13" t="str" s="10">
        <ns0:v>2.7R</ns0:v>
      </ns0:c>
      <ns0:c r="D13" t="str" s="11">
        <ns0:f>SUBSTITUTE(SUBSTITUTE(SUBSTITUTE(SUBSTITUTE(C13,"meg"," МОм"),"k"," кОм"),"R"," Ом"),".",",")</ns0:f>
        <ns0:v>2,7 Ом</ns0:v>
      </ns0:c>
      <ns0:c r="E13" t="str" s="10">
        <ns0:v>±5%</ns0:v>
      </ns0:c>
      <ns0:c r="F13" t="str" s="10">
        <ns0:v>0,1 Вт</ns0:v>
      </ns0:c>
      <ns0:c r="G13" t="str" s="10">
        <ns0:v>75 В макс.</ns0:v>
      </ns0:c>
      <ns0:c r="H13" t="str" s="12">
        <ns0:v>0603</ns0:v>
      </ns0:c>
      <ns0:c r="I13" t="str" s="10">
        <ns0:v>YAGEO</ns0:v>
      </ns0:c>
      <ns0:c r="J13" t="str" s="10">
        <ns0:v>RC0603JR-072R7L</ns0:v>
      </ns0:c>
      <ns0:c r="K13" t="str" s="11">
        <ns0:f>B13&amp;" "&amp;D13&amp;" "&amp;E13&amp;" "&amp;H13</ns0:f>
        <ns0:v>Резистор 2,7 Ом ±5% 0603</ns0:v>
      </ns0:c>
      <ns0:c r="L13" t="str" s="13">
        <ns0:v>R</ns0:v>
      </ns0:c>
      <ns0:c r="M13" t="str" s="13">
        <ns0:v>Symbols\MY_LIB_Resistors.SchLib</ns0:v>
      </ns0:c>
      <ns0:c r="N13" t="str" s="13">
        <ns0:v>RESC1608X55N</ns0:v>
      </ns0:c>
      <ns0:c r="O13" t="str" s="13">
        <ns0:v>Footprints\PBL - SMD Packages.PcbLib</ns0:v>
      </ns0:c>
      <ns0:c r="P13" t="str" s="10">
        <ns0:v>RC_L; E24; P при 70 °C</ns0:v>
      </ns0:c>
      <ns0:c r="Q13" s="10"/>
      <ns0:c r="R13" t="str" s="11">
        <ns0:f>D13</ns0:f>
        <ns0:v>2,7 Ом</ns0:v>
      </ns0:c>
      <ns0:c r="S13" t="str" s="11">
        <ns0:f>K13</ns0:f>
        <ns0:v>Резистор 2,7 Ом ±5% 0603</ns0:v>
      </ns0:c>
      <x:c xmlns:x="http://schemas.openxmlformats.org/spreadsheetml/2006/main" r="T13" t="str" s="11">
        <x:v>C:\Users\Nomatin\Documents\Altium\MY_LIB\MY_LIB\Datasheets\YAGEO_RC_L.pdf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C:\Users\Nomatin\Documents\Altium\MY_LIB\MY_LIB\Datasheets\YAGEO_RC_L.pdf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https://yageogroup.com/content/datasheet/asset/file/PYU-RC_GROUP_51_ROHS_L</x:v>
      </x:c>
      <x:c xmlns:x="http://schemas.openxmlformats.org/spreadsheetml/2006/main" r="Y13" t="str" s="11">
        <x:v>C:\Users\Nomatin\Documents\Altium\MY_LIB\MY_LIB\Datasheets\YAGEO_RC_L.pdf</x:v>
      </x:c>
    </ns0:row>
    <ns0:row r="14" ht="30" customHeight="1">
      <ns0:c r="A14" t="str" s="10">
        <ns0:v>R0020</ns0:v>
      </ns0:c>
      <ns0:c r="B14" t="str" s="10">
        <ns0:v>Резистор</ns0:v>
      </ns0:c>
      <ns0:c r="C14" t="str" s="10">
        <ns0:v>3R</ns0:v>
      </ns0:c>
      <ns0:c r="D14" t="str" s="11">
        <ns0:f>SUBSTITUTE(SUBSTITUTE(SUBSTITUTE(SUBSTITUTE(C14,"meg"," МОм"),"k"," кОм"),"R"," Ом"),".",",")</ns0:f>
        <ns0:v>3 Ом</ns0:v>
      </ns0:c>
      <ns0:c r="E14" t="str" s="10">
        <ns0:v>±5%</ns0:v>
      </ns0:c>
      <ns0:c r="F14" t="str" s="10">
        <ns0:v>0,1 Вт</ns0:v>
      </ns0:c>
      <ns0:c r="G14" t="str" s="10">
        <ns0:v>75 В макс.</ns0:v>
      </ns0:c>
      <ns0:c r="H14" t="str" s="12">
        <ns0:v>0603</ns0:v>
      </ns0:c>
      <ns0:c r="I14" t="str" s="10">
        <ns0:v>YAGEO</ns0:v>
      </ns0:c>
      <ns0:c r="J14" t="str" s="10">
        <ns0:v>RC0603JR-073RL</ns0:v>
      </ns0:c>
      <ns0:c r="K14" t="str" s="11">
        <ns0:f>B14&amp;" "&amp;D14&amp;" "&amp;E14&amp;" "&amp;H14</ns0:f>
        <ns0:v>Резистор 3 Ом ±5% 0603</ns0:v>
      </ns0:c>
      <ns0:c r="L14" t="str" s="13">
        <ns0:v>R</ns0:v>
      </ns0:c>
      <ns0:c r="M14" t="str" s="13">
        <ns0:v>Symbols\MY_LIB_Resistors.SchLib</ns0:v>
      </ns0:c>
      <ns0:c r="N14" t="str" s="13">
        <ns0:v>RESC1608X55N</ns0:v>
      </ns0:c>
      <ns0:c r="O14" t="str" s="13">
        <ns0:v>Footprints\PBL - SMD Packages.PcbLib</ns0:v>
      </ns0:c>
      <ns0:c r="P14" t="str" s="10">
        <ns0:v>RC_L; E24; P при 70 °C</ns0:v>
      </ns0:c>
      <ns0:c r="Q14" s="10"/>
      <ns0:c r="R14" t="str" s="11">
        <ns0:f>D14</ns0:f>
        <ns0:v>3 Ом</ns0:v>
      </ns0:c>
      <ns0:c r="S14" t="str" s="11">
        <ns0:f>K14</ns0:f>
        <ns0:v>Резистор 3 Ом ±5% 0603</ns0:v>
      </ns0:c>
      <x:c xmlns:x="http://schemas.openxmlformats.org/spreadsheetml/2006/main" r="T14" t="str" s="11">
        <x:v>C:\Users\Nomatin\Documents\Altium\MY_LIB\MY_LIB\Datasheets\YAGEO_RC_L.pdf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C:\Users\Nomatin\Documents\Altium\MY_LIB\MY_LIB\Datasheets\YAGEO_RC_L.pdf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https://yageogroup.com/content/datasheet/asset/file/PYU-RC_GROUP_51_ROHS_L</x:v>
      </x:c>
      <x:c xmlns:x="http://schemas.openxmlformats.org/spreadsheetml/2006/main" r="Y14" t="str" s="11">
        <x:v>C:\Users\Nomatin\Documents\Altium\MY_LIB\MY_LIB\Datasheets\YAGEO_RC_L.pdf</x:v>
      </x:c>
    </ns0:row>
    <ns0:row r="15" ht="30" customHeight="1">
      <ns0:c r="A15" t="str" s="10">
        <ns0:v>R0021</ns0:v>
      </ns0:c>
      <ns0:c r="B15" t="str" s="10">
        <ns0:v>Резистор</ns0:v>
      </ns0:c>
      <ns0:c r="C15" t="str" s="10">
        <ns0:v>3.3R</ns0:v>
      </ns0:c>
      <ns0:c r="D15" t="str" s="11">
        <ns0:f>SUBSTITUTE(SUBSTITUTE(SUBSTITUTE(SUBSTITUTE(C15,"meg"," МОм"),"k"," кОм"),"R"," Ом"),".",",")</ns0:f>
        <ns0:v>3,3 Ом</ns0:v>
      </ns0:c>
      <ns0:c r="E15" t="str" s="10">
        <ns0:v>±5%</ns0:v>
      </ns0:c>
      <ns0:c r="F15" t="str" s="10">
        <ns0:v>0,1 Вт</ns0:v>
      </ns0:c>
      <ns0:c r="G15" t="str" s="10">
        <ns0:v>75 В макс.</ns0:v>
      </ns0:c>
      <ns0:c r="H15" t="str" s="12">
        <ns0:v>0603</ns0:v>
      </ns0:c>
      <ns0:c r="I15" t="str" s="10">
        <ns0:v>YAGEO</ns0:v>
      </ns0:c>
      <ns0:c r="J15" t="str" s="10">
        <ns0:v>RC0603JR-073R3L</ns0:v>
      </ns0:c>
      <ns0:c r="K15" t="str" s="11">
        <ns0:f>B15&amp;" "&amp;D15&amp;" "&amp;E15&amp;" "&amp;H15</ns0:f>
        <ns0:v>Резистор 3,3 Ом ±5% 0603</ns0:v>
      </ns0:c>
      <ns0:c r="L15" t="str" s="13">
        <ns0:v>R</ns0:v>
      </ns0:c>
      <ns0:c r="M15" t="str" s="13">
        <ns0:v>Symbols\MY_LIB_Resistors.SchLib</ns0:v>
      </ns0:c>
      <ns0:c r="N15" t="str" s="13">
        <ns0:v>RESC1608X55N</ns0:v>
      </ns0:c>
      <ns0:c r="O15" t="str" s="13">
        <ns0:v>Footprints\PBL - SMD Packages.PcbLib</ns0:v>
      </ns0:c>
      <ns0:c r="P15" t="str" s="10">
        <ns0:v>RC_L; E24; P при 70 °C</ns0:v>
      </ns0:c>
      <ns0:c r="Q15" s="10"/>
      <ns0:c r="R15" t="str" s="11">
        <ns0:f>D15</ns0:f>
        <ns0:v>3,3 Ом</ns0:v>
      </ns0:c>
      <ns0:c r="S15" t="str" s="11">
        <ns0:f>K15</ns0:f>
        <ns0:v>Резистор 3,3 Ом ±5% 0603</ns0:v>
      </ns0:c>
      <x:c xmlns:x="http://schemas.openxmlformats.org/spreadsheetml/2006/main" r="T15" t="str" s="11">
        <x:v>C:\Users\Nomatin\Documents\Altium\MY_LIB\MY_LIB\Datasheets\YAGEO_RC_L.pdf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C:\Users\Nomatin\Documents\Altium\MY_LIB\MY_LIB\Datasheets\YAGEO_RC_L.pdf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https://yageogroup.com/content/datasheet/asset/file/PYU-RC_GROUP_51_ROHS_L</x:v>
      </x:c>
      <x:c xmlns:x="http://schemas.openxmlformats.org/spreadsheetml/2006/main" r="Y15" t="str" s="11">
        <x:v>C:\Users\Nomatin\Documents\Altium\MY_LIB\MY_LIB\Datasheets\YAGEO_RC_L.pdf</x:v>
      </x:c>
    </ns0:row>
    <ns0:row r="16" ht="30" customHeight="1">
      <ns0:c r="A16" t="str" s="10">
        <ns0:v>R0022</ns0:v>
      </ns0:c>
      <ns0:c r="B16" t="str" s="10">
        <ns0:v>Резистор</ns0:v>
      </ns0:c>
      <ns0:c r="C16" t="str" s="10">
        <ns0:v>3.6R</ns0:v>
      </ns0:c>
      <ns0:c r="D16" t="str" s="11">
        <ns0:f>SUBSTITUTE(SUBSTITUTE(SUBSTITUTE(SUBSTITUTE(C16,"meg"," МОм"),"k"," кОм"),"R"," Ом"),".",",")</ns0:f>
        <ns0:v>3,6 Ом</ns0:v>
      </ns0:c>
      <ns0:c r="E16" t="str" s="10">
        <ns0:v>±5%</ns0:v>
      </ns0:c>
      <ns0:c r="F16" t="str" s="10">
        <ns0:v>0,1 Вт</ns0:v>
      </ns0:c>
      <ns0:c r="G16" t="str" s="10">
        <ns0:v>75 В макс.</ns0:v>
      </ns0:c>
      <ns0:c r="H16" t="str" s="12">
        <ns0:v>0603</ns0:v>
      </ns0:c>
      <ns0:c r="I16" t="str" s="10">
        <ns0:v>YAGEO</ns0:v>
      </ns0:c>
      <ns0:c r="J16" t="str" s="10">
        <ns0:v>RC0603JR-073R6L</ns0:v>
      </ns0:c>
      <ns0:c r="K16" t="str" s="11">
        <ns0:f>B16&amp;" "&amp;D16&amp;" "&amp;E16&amp;" "&amp;H16</ns0:f>
        <ns0:v>Резистор 3,6 Ом ±5% 0603</ns0:v>
      </ns0:c>
      <ns0:c r="L16" t="str" s="13">
        <ns0:v>R</ns0:v>
      </ns0:c>
      <ns0:c r="M16" t="str" s="13">
        <ns0:v>Symbols\MY_LIB_Resistors.SchLib</ns0:v>
      </ns0:c>
      <ns0:c r="N16" t="str" s="13">
        <ns0:v>RESC1608X55N</ns0:v>
      </ns0:c>
      <ns0:c r="O16" t="str" s="13">
        <ns0:v>Footprints\PBL - SMD Packages.PcbLib</ns0:v>
      </ns0:c>
      <ns0:c r="P16" t="str" s="10">
        <ns0:v>RC_L; E24; P при 70 °C</ns0:v>
      </ns0:c>
      <ns0:c r="Q16" s="10"/>
      <ns0:c r="R16" t="str" s="11">
        <ns0:f>D16</ns0:f>
        <ns0:v>3,6 Ом</ns0:v>
      </ns0:c>
      <ns0:c r="S16" t="str" s="11">
        <ns0:f>K16</ns0:f>
        <ns0:v>Резистор 3,6 Ом ±5% 0603</ns0:v>
      </ns0:c>
      <x:c xmlns:x="http://schemas.openxmlformats.org/spreadsheetml/2006/main" r="T16" t="str" s="11">
        <x:v>C:\Users\Nomatin\Documents\Altium\MY_LIB\MY_LIB\Datasheets\YAGEO_RC_L.pdf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C:\Users\Nomatin\Documents\Altium\MY_LIB\MY_LIB\Datasheets\YAGEO_RC_L.pdf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https://yageogroup.com/content/datasheet/asset/file/PYU-RC_GROUP_51_ROHS_L</x:v>
      </x:c>
      <x:c xmlns:x="http://schemas.openxmlformats.org/spreadsheetml/2006/main" r="Y16" t="str" s="11">
        <x:v>C:\Users\Nomatin\Documents\Altium\MY_LIB\MY_LIB\Datasheets\YAGEO_RC_L.pdf</x:v>
      </x:c>
    </ns0:row>
    <ns0:row r="17" ht="30" customHeight="1">
      <ns0:c r="A17" t="str" s="10">
        <ns0:v>R0023</ns0:v>
      </ns0:c>
      <ns0:c r="B17" t="str" s="10">
        <ns0:v>Резистор</ns0:v>
      </ns0:c>
      <ns0:c r="C17" t="str" s="10">
        <ns0:v>3.9R</ns0:v>
      </ns0:c>
      <ns0:c r="D17" t="str" s="11">
        <ns0:f>SUBSTITUTE(SUBSTITUTE(SUBSTITUTE(SUBSTITUTE(C17,"meg"," МОм"),"k"," кОм"),"R"," Ом"),".",",")</ns0:f>
        <ns0:v>3,9 Ом</ns0:v>
      </ns0:c>
      <ns0:c r="E17" t="str" s="10">
        <ns0:v>±5%</ns0:v>
      </ns0:c>
      <ns0:c r="F17" t="str" s="10">
        <ns0:v>0,1 Вт</ns0:v>
      </ns0:c>
      <ns0:c r="G17" t="str" s="10">
        <ns0:v>75 В макс.</ns0:v>
      </ns0:c>
      <ns0:c r="H17" t="str" s="12">
        <ns0:v>0603</ns0:v>
      </ns0:c>
      <ns0:c r="I17" t="str" s="10">
        <ns0:v>YAGEO</ns0:v>
      </ns0:c>
      <ns0:c r="J17" t="str" s="10">
        <ns0:v>RC0603JR-073R9L</ns0:v>
      </ns0:c>
      <ns0:c r="K17" t="str" s="11">
        <ns0:f>B17&amp;" "&amp;D17&amp;" "&amp;E17&amp;" "&amp;H17</ns0:f>
        <ns0:v>Резистор 3,9 Ом ±5% 0603</ns0:v>
      </ns0:c>
      <ns0:c r="L17" t="str" s="13">
        <ns0:v>R</ns0:v>
      </ns0:c>
      <ns0:c r="M17" t="str" s="13">
        <ns0:v>Symbols\MY_LIB_Resistors.SchLib</ns0:v>
      </ns0:c>
      <ns0:c r="N17" t="str" s="13">
        <ns0:v>RESC1608X55N</ns0:v>
      </ns0:c>
      <ns0:c r="O17" t="str" s="13">
        <ns0:v>Footprints\PBL - SMD Packages.PcbLib</ns0:v>
      </ns0:c>
      <ns0:c r="P17" t="str" s="10">
        <ns0:v>RC_L; E24; P при 70 °C</ns0:v>
      </ns0:c>
      <ns0:c r="Q17" s="10"/>
      <ns0:c r="R17" t="str" s="11">
        <ns0:f>D17</ns0:f>
        <ns0:v>3,9 Ом</ns0:v>
      </ns0:c>
      <ns0:c r="S17" t="str" s="11">
        <ns0:f>K17</ns0:f>
        <ns0:v>Резистор 3,9 Ом ±5% 0603</ns0:v>
      </ns0:c>
      <x:c xmlns:x="http://schemas.openxmlformats.org/spreadsheetml/2006/main" r="T17" t="str" s="11">
        <x:v>C:\Users\Nomatin\Documents\Altium\MY_LIB\MY_LIB\Datasheets\YAGEO_RC_L.pdf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C:\Users\Nomatin\Documents\Altium\MY_LIB\MY_LIB\Datasheets\YAGEO_RC_L.pdf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https://yageogroup.com/content/datasheet/asset/file/PYU-RC_GROUP_51_ROHS_L</x:v>
      </x:c>
      <x:c xmlns:x="http://schemas.openxmlformats.org/spreadsheetml/2006/main" r="Y17" t="str" s="11">
        <x:v>C:\Users\Nomatin\Documents\Altium\MY_LIB\MY_LIB\Datasheets\YAGEO_RC_L.pdf</x:v>
      </x:c>
    </ns0:row>
    <ns0:row r="18" ht="30" customHeight="1">
      <ns0:c r="A18" t="str" s="10">
        <ns0:v>R0024</ns0:v>
      </ns0:c>
      <ns0:c r="B18" t="str" s="10">
        <ns0:v>Резистор</ns0:v>
      </ns0:c>
      <ns0:c r="C18" t="str" s="10">
        <ns0:v>4.3R</ns0:v>
      </ns0:c>
      <ns0:c r="D18" t="str" s="11">
        <ns0:f>SUBSTITUTE(SUBSTITUTE(SUBSTITUTE(SUBSTITUTE(C18,"meg"," МОм"),"k"," кОм"),"R"," Ом"),".",",")</ns0:f>
        <ns0:v>4,3 Ом</ns0:v>
      </ns0:c>
      <ns0:c r="E18" t="str" s="10">
        <ns0:v>±5%</ns0:v>
      </ns0:c>
      <ns0:c r="F18" t="str" s="10">
        <ns0:v>0,1 Вт</ns0:v>
      </ns0:c>
      <ns0:c r="G18" t="str" s="10">
        <ns0:v>75 В макс.</ns0:v>
      </ns0:c>
      <ns0:c r="H18" t="str" s="12">
        <ns0:v>0603</ns0:v>
      </ns0:c>
      <ns0:c r="I18" t="str" s="10">
        <ns0:v>YAGEO</ns0:v>
      </ns0:c>
      <ns0:c r="J18" t="str" s="10">
        <ns0:v>RC0603JR-074R3L</ns0:v>
      </ns0:c>
      <ns0:c r="K18" t="str" s="11">
        <ns0:f>B18&amp;" "&amp;D18&amp;" "&amp;E18&amp;" "&amp;H18</ns0:f>
        <ns0:v>Резистор 4,3 Ом ±5% 0603</ns0:v>
      </ns0:c>
      <ns0:c r="L18" t="str" s="13">
        <ns0:v>R</ns0:v>
      </ns0:c>
      <ns0:c r="M18" t="str" s="13">
        <ns0:v>Symbols\MY_LIB_Resistors.SchLib</ns0:v>
      </ns0:c>
      <ns0:c r="N18" t="str" s="13">
        <ns0:v>RESC1608X55N</ns0:v>
      </ns0:c>
      <ns0:c r="O18" t="str" s="13">
        <ns0:v>Footprints\PBL - SMD Packages.PcbLib</ns0:v>
      </ns0:c>
      <ns0:c r="P18" t="str" s="10">
        <ns0:v>RC_L; E24; P при 70 °C</ns0:v>
      </ns0:c>
      <ns0:c r="Q18" s="10"/>
      <ns0:c r="R18" t="str" s="11">
        <ns0:f>D18</ns0:f>
        <ns0:v>4,3 Ом</ns0:v>
      </ns0:c>
      <ns0:c r="S18" t="str" s="11">
        <ns0:f>K18</ns0:f>
        <ns0:v>Резистор 4,3 Ом ±5% 0603</ns0:v>
      </ns0:c>
      <x:c xmlns:x="http://schemas.openxmlformats.org/spreadsheetml/2006/main" r="T18" t="str" s="11">
        <x:v>C:\Users\Nomatin\Documents\Altium\MY_LIB\MY_LIB\Datasheets\YAGEO_RC_L.pdf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C:\Users\Nomatin\Documents\Altium\MY_LIB\MY_LIB\Datasheets\YAGEO_RC_L.pdf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https://yageogroup.com/content/datasheet/asset/file/PYU-RC_GROUP_51_ROHS_L</x:v>
      </x:c>
      <x:c xmlns:x="http://schemas.openxmlformats.org/spreadsheetml/2006/main" r="Y18" t="str" s="11">
        <x:v>C:\Users\Nomatin\Documents\Altium\MY_LIB\MY_LIB\Datasheets\YAGEO_RC_L.pdf</x:v>
      </x:c>
    </ns0:row>
    <ns0:row r="19" ht="30" customHeight="1">
      <ns0:c r="A19" t="str" s="10">
        <ns0:v>R0025</ns0:v>
      </ns0:c>
      <ns0:c r="B19" t="str" s="10">
        <ns0:v>Резистор</ns0:v>
      </ns0:c>
      <ns0:c r="C19" t="str" s="10">
        <ns0:v>4.7R</ns0:v>
      </ns0:c>
      <ns0:c r="D19" t="str" s="11">
        <ns0:f>SUBSTITUTE(SUBSTITUTE(SUBSTITUTE(SUBSTITUTE(C19,"meg"," МОм"),"k"," кОм"),"R"," Ом"),".",",")</ns0:f>
        <ns0:v>4,7 Ом</ns0:v>
      </ns0:c>
      <ns0:c r="E19" t="str" s="10">
        <ns0:v>±5%</ns0:v>
      </ns0:c>
      <ns0:c r="F19" t="str" s="10">
        <ns0:v>0,1 Вт</ns0:v>
      </ns0:c>
      <ns0:c r="G19" t="str" s="10">
        <ns0:v>75 В макс.</ns0:v>
      </ns0:c>
      <ns0:c r="H19" t="str" s="12">
        <ns0:v>0603</ns0:v>
      </ns0:c>
      <ns0:c r="I19" t="str" s="10">
        <ns0:v>YAGEO</ns0:v>
      </ns0:c>
      <ns0:c r="J19" t="str" s="10">
        <ns0:v>RC0603JR-074R7L</ns0:v>
      </ns0:c>
      <ns0:c r="K19" t="str" s="11">
        <ns0:f>B19&amp;" "&amp;D19&amp;" "&amp;E19&amp;" "&amp;H19</ns0:f>
        <ns0:v>Резистор 4,7 Ом ±5% 0603</ns0:v>
      </ns0:c>
      <ns0:c r="L19" t="str" s="13">
        <ns0:v>R</ns0:v>
      </ns0:c>
      <ns0:c r="M19" t="str" s="13">
        <ns0:v>Symbols\MY_LIB_Resistors.SchLib</ns0:v>
      </ns0:c>
      <ns0:c r="N19" t="str" s="13">
        <ns0:v>RESC1608X55N</ns0:v>
      </ns0:c>
      <ns0:c r="O19" t="str" s="13">
        <ns0:v>Footprints\PBL - SMD Packages.PcbLib</ns0:v>
      </ns0:c>
      <ns0:c r="P19" t="str" s="10">
        <ns0:v>RC_L; E24; P при 70 °C</ns0:v>
      </ns0:c>
      <ns0:c r="Q19" s="10"/>
      <ns0:c r="R19" t="str" s="11">
        <ns0:f>D19</ns0:f>
        <ns0:v>4,7 Ом</ns0:v>
      </ns0:c>
      <ns0:c r="S19" t="str" s="11">
        <ns0:f>K19</ns0:f>
        <ns0:v>Резистор 4,7 Ом ±5% 0603</ns0:v>
      </ns0:c>
      <x:c xmlns:x="http://schemas.openxmlformats.org/spreadsheetml/2006/main" r="T19" t="str" s="11">
        <x:v>C:\Users\Nomatin\Documents\Altium\MY_LIB\MY_LIB\Datasheets\YAGEO_RC_L.pdf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C:\Users\Nomatin\Documents\Altium\MY_LIB\MY_LIB\Datasheets\YAGEO_RC_L.pdf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https://yageogroup.com/content/datasheet/asset/file/PYU-RC_GROUP_51_ROHS_L</x:v>
      </x:c>
      <x:c xmlns:x="http://schemas.openxmlformats.org/spreadsheetml/2006/main" r="Y19" t="str" s="11">
        <x:v>C:\Users\Nomatin\Documents\Altium\MY_LIB\MY_LIB\Datasheets\YAGEO_RC_L.pdf</x:v>
      </x:c>
    </ns0:row>
    <ns0:row r="20" ht="30" customHeight="1">
      <ns0:c r="A20" t="str" s="10">
        <ns0:v>R0026</ns0:v>
      </ns0:c>
      <ns0:c r="B20" t="str" s="10">
        <ns0:v>Резистор</ns0:v>
      </ns0:c>
      <ns0:c r="C20" t="str" s="10">
        <ns0:v>5.1R</ns0:v>
      </ns0:c>
      <ns0:c r="D20" t="str" s="11">
        <ns0:f>SUBSTITUTE(SUBSTITUTE(SUBSTITUTE(SUBSTITUTE(C20,"meg"," МОм"),"k"," кОм"),"R"," Ом"),".",",")</ns0:f>
        <ns0:v>5,1 Ом</ns0:v>
      </ns0:c>
      <ns0:c r="E20" t="str" s="10">
        <ns0:v>±5%</ns0:v>
      </ns0:c>
      <ns0:c r="F20" t="str" s="10">
        <ns0:v>0,1 Вт</ns0:v>
      </ns0:c>
      <ns0:c r="G20" t="str" s="10">
        <ns0:v>75 В макс.</ns0:v>
      </ns0:c>
      <ns0:c r="H20" t="str" s="12">
        <ns0:v>0603</ns0:v>
      </ns0:c>
      <ns0:c r="I20" t="str" s="10">
        <ns0:v>YAGEO</ns0:v>
      </ns0:c>
      <ns0:c r="J20" t="str" s="10">
        <ns0:v>RC0603JR-075R1L</ns0:v>
      </ns0:c>
      <ns0:c r="K20" t="str" s="11">
        <ns0:f>B20&amp;" "&amp;D20&amp;" "&amp;E20&amp;" "&amp;H20</ns0:f>
        <ns0:v>Резистор 5,1 Ом ±5% 0603</ns0:v>
      </ns0:c>
      <ns0:c r="L20" t="str" s="13">
        <ns0:v>R</ns0:v>
      </ns0:c>
      <ns0:c r="M20" t="str" s="13">
        <ns0:v>Symbols\MY_LIB_Resistors.SchLib</ns0:v>
      </ns0:c>
      <ns0:c r="N20" t="str" s="13">
        <ns0:v>RESC1608X55N</ns0:v>
      </ns0:c>
      <ns0:c r="O20" t="str" s="13">
        <ns0:v>Footprints\PBL - SMD Packages.PcbLib</ns0:v>
      </ns0:c>
      <ns0:c r="P20" t="str" s="10">
        <ns0:v>RC_L; E24; P при 70 °C</ns0:v>
      </ns0:c>
      <ns0:c r="Q20" s="10"/>
      <ns0:c r="R20" t="str" s="11">
        <ns0:f>D20</ns0:f>
        <ns0:v>5,1 Ом</ns0:v>
      </ns0:c>
      <ns0:c r="S20" t="str" s="11">
        <ns0:f>K20</ns0:f>
        <ns0:v>Резистор 5,1 Ом ±5% 0603</ns0:v>
      </ns0:c>
      <x:c xmlns:x="http://schemas.openxmlformats.org/spreadsheetml/2006/main" r="T20" t="str" s="11">
        <x:v>C:\Users\Nomatin\Documents\Altium\MY_LIB\MY_LIB\Datasheets\YAGEO_RC_L.pdf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C:\Users\Nomatin\Documents\Altium\MY_LIB\MY_LIB\Datasheets\YAGEO_RC_L.pdf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https://yageogroup.com/content/datasheet/asset/file/PYU-RC_GROUP_51_ROHS_L</x:v>
      </x:c>
      <x:c xmlns:x="http://schemas.openxmlformats.org/spreadsheetml/2006/main" r="Y20" t="str" s="11">
        <x:v>C:\Users\Nomatin\Documents\Altium\MY_LIB\MY_LIB\Datasheets\YAGEO_RC_L.pdf</x:v>
      </x:c>
    </ns0:row>
    <ns0:row r="21" ht="30" customHeight="1">
      <ns0:c r="A21" t="str" s="10">
        <ns0:v>R0027</ns0:v>
      </ns0:c>
      <ns0:c r="B21" t="str" s="10">
        <ns0:v>Резистор</ns0:v>
      </ns0:c>
      <ns0:c r="C21" t="str" s="10">
        <ns0:v>5.6R</ns0:v>
      </ns0:c>
      <ns0:c r="D21" t="str" s="11">
        <ns0:f>SUBSTITUTE(SUBSTITUTE(SUBSTITUTE(SUBSTITUTE(C21,"meg"," МОм"),"k"," кОм"),"R"," Ом"),".",",")</ns0:f>
        <ns0:v>5,6 Ом</ns0:v>
      </ns0:c>
      <ns0:c r="E21" t="str" s="10">
        <ns0:v>±5%</ns0:v>
      </ns0:c>
      <ns0:c r="F21" t="str" s="10">
        <ns0:v>0,1 Вт</ns0:v>
      </ns0:c>
      <ns0:c r="G21" t="str" s="10">
        <ns0:v>75 В макс.</ns0:v>
      </ns0:c>
      <ns0:c r="H21" t="str" s="12">
        <ns0:v>0603</ns0:v>
      </ns0:c>
      <ns0:c r="I21" t="str" s="10">
        <ns0:v>YAGEO</ns0:v>
      </ns0:c>
      <ns0:c r="J21" t="str" s="10">
        <ns0:v>RC0603JR-075R6L</ns0:v>
      </ns0:c>
      <ns0:c r="K21" t="str" s="11">
        <ns0:f>B21&amp;" "&amp;D21&amp;" "&amp;E21&amp;" "&amp;H21</ns0:f>
        <ns0:v>Резистор 5,6 Ом ±5% 0603</ns0:v>
      </ns0:c>
      <ns0:c r="L21" t="str" s="13">
        <ns0:v>R</ns0:v>
      </ns0:c>
      <ns0:c r="M21" t="str" s="13">
        <ns0:v>Symbols\MY_LIB_Resistors.SchLib</ns0:v>
      </ns0:c>
      <ns0:c r="N21" t="str" s="13">
        <ns0:v>RESC1608X55N</ns0:v>
      </ns0:c>
      <ns0:c r="O21" t="str" s="13">
        <ns0:v>Footprints\PBL - SMD Packages.PcbLib</ns0:v>
      </ns0:c>
      <ns0:c r="P21" t="str" s="10">
        <ns0:v>RC_L; E24; P при 70 °C</ns0:v>
      </ns0:c>
      <ns0:c r="Q21" s="10"/>
      <ns0:c r="R21" t="str" s="11">
        <ns0:f>D21</ns0:f>
        <ns0:v>5,6 Ом</ns0:v>
      </ns0:c>
      <ns0:c r="S21" t="str" s="11">
        <ns0:f>K21</ns0:f>
        <ns0:v>Резистор 5,6 Ом ±5% 0603</ns0:v>
      </ns0:c>
      <x:c xmlns:x="http://schemas.openxmlformats.org/spreadsheetml/2006/main" r="T21" t="str" s="11">
        <x:v>C:\Users\Nomatin\Documents\Altium\MY_LIB\MY_LIB\Datasheets\YAGEO_RC_L.pdf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C:\Users\Nomatin\Documents\Altium\MY_LIB\MY_LIB\Datasheets\YAGEO_RC_L.pdf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https://yageogroup.com/content/datasheet/asset/file/PYU-RC_GROUP_51_ROHS_L</x:v>
      </x:c>
      <x:c xmlns:x="http://schemas.openxmlformats.org/spreadsheetml/2006/main" r="Y21" t="str" s="11">
        <x:v>C:\Users\Nomatin\Documents\Altium\MY_LIB\MY_LIB\Datasheets\YAGEO_RC_L.pdf</x:v>
      </x:c>
    </ns0:row>
    <ns0:row r="22" ht="30" customHeight="1">
      <ns0:c r="A22" t="str" s="10">
        <ns0:v>R0028</ns0:v>
      </ns0:c>
      <ns0:c r="B22" t="str" s="10">
        <ns0:v>Резистор</ns0:v>
      </ns0:c>
      <ns0:c r="C22" t="str" s="10">
        <ns0:v>6.2R</ns0:v>
      </ns0:c>
      <ns0:c r="D22" t="str" s="11">
        <ns0:f>SUBSTITUTE(SUBSTITUTE(SUBSTITUTE(SUBSTITUTE(C22,"meg"," МОм"),"k"," кОм"),"R"," Ом"),".",",")</ns0:f>
        <ns0:v>6,2 Ом</ns0:v>
      </ns0:c>
      <ns0:c r="E22" t="str" s="10">
        <ns0:v>±5%</ns0:v>
      </ns0:c>
      <ns0:c r="F22" t="str" s="10">
        <ns0:v>0,1 Вт</ns0:v>
      </ns0:c>
      <ns0:c r="G22" t="str" s="10">
        <ns0:v>75 В макс.</ns0:v>
      </ns0:c>
      <ns0:c r="H22" t="str" s="12">
        <ns0:v>0603</ns0:v>
      </ns0:c>
      <ns0:c r="I22" t="str" s="10">
        <ns0:v>YAGEO</ns0:v>
      </ns0:c>
      <ns0:c r="J22" t="str" s="10">
        <ns0:v>RC0603JR-076R2L</ns0:v>
      </ns0:c>
      <ns0:c r="K22" t="str" s="11">
        <ns0:f>B22&amp;" "&amp;D22&amp;" "&amp;E22&amp;" "&amp;H22</ns0:f>
        <ns0:v>Резистор 6,2 Ом ±5% 0603</ns0:v>
      </ns0:c>
      <ns0:c r="L22" t="str" s="13">
        <ns0:v>R</ns0:v>
      </ns0:c>
      <ns0:c r="M22" t="str" s="13">
        <ns0:v>Symbols\MY_LIB_Resistors.SchLib</ns0:v>
      </ns0:c>
      <ns0:c r="N22" t="str" s="13">
        <ns0:v>RESC1608X55N</ns0:v>
      </ns0:c>
      <ns0:c r="O22" t="str" s="13">
        <ns0:v>Footprints\PBL - SMD Packages.PcbLib</ns0:v>
      </ns0:c>
      <ns0:c r="P22" t="str" s="10">
        <ns0:v>RC_L; E24; P при 70 °C</ns0:v>
      </ns0:c>
      <ns0:c r="Q22" s="10"/>
      <ns0:c r="R22" t="str" s="11">
        <ns0:f>D22</ns0:f>
        <ns0:v>6,2 Ом</ns0:v>
      </ns0:c>
      <ns0:c r="S22" t="str" s="11">
        <ns0:f>K22</ns0:f>
        <ns0:v>Резистор 6,2 Ом ±5% 0603</ns0:v>
      </ns0:c>
      <x:c xmlns:x="http://schemas.openxmlformats.org/spreadsheetml/2006/main" r="T22" t="str" s="11">
        <x:v>C:\Users\Nomatin\Documents\Altium\MY_LIB\MY_LIB\Datasheets\YAGEO_RC_L.pdf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C:\Users\Nomatin\Documents\Altium\MY_LIB\MY_LIB\Datasheets\YAGEO_RC_L.pdf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https://yageogroup.com/content/datasheet/asset/file/PYU-RC_GROUP_51_ROHS_L</x:v>
      </x:c>
      <x:c xmlns:x="http://schemas.openxmlformats.org/spreadsheetml/2006/main" r="Y22" t="str" s="11">
        <x:v>C:\Users\Nomatin\Documents\Altium\MY_LIB\MY_LIB\Datasheets\YAGEO_RC_L.pdf</x:v>
      </x:c>
    </ns0:row>
    <ns0:row r="23" ht="30" customHeight="1">
      <ns0:c r="A23" t="str" s="10">
        <ns0:v>R0029</ns0:v>
      </ns0:c>
      <ns0:c r="B23" t="str" s="10">
        <ns0:v>Резистор</ns0:v>
      </ns0:c>
      <ns0:c r="C23" t="str" s="10">
        <ns0:v>6.8R</ns0:v>
      </ns0:c>
      <ns0:c r="D23" t="str" s="11">
        <ns0:f>SUBSTITUTE(SUBSTITUTE(SUBSTITUTE(SUBSTITUTE(C23,"meg"," МОм"),"k"," кОм"),"R"," Ом"),".",",")</ns0:f>
        <ns0:v>6,8 Ом</ns0:v>
      </ns0:c>
      <ns0:c r="E23" t="str" s="10">
        <ns0:v>±5%</ns0:v>
      </ns0:c>
      <ns0:c r="F23" t="str" s="10">
        <ns0:v>0,1 Вт</ns0:v>
      </ns0:c>
      <ns0:c r="G23" t="str" s="10">
        <ns0:v>75 В макс.</ns0:v>
      </ns0:c>
      <ns0:c r="H23" t="str" s="12">
        <ns0:v>0603</ns0:v>
      </ns0:c>
      <ns0:c r="I23" t="str" s="10">
        <ns0:v>YAGEO</ns0:v>
      </ns0:c>
      <ns0:c r="J23" t="str" s="10">
        <ns0:v>RC0603JR-076R8L</ns0:v>
      </ns0:c>
      <ns0:c r="K23" t="str" s="11">
        <ns0:f>B23&amp;" "&amp;D23&amp;" "&amp;E23&amp;" "&amp;H23</ns0:f>
        <ns0:v>Резистор 6,8 Ом ±5% 0603</ns0:v>
      </ns0:c>
      <ns0:c r="L23" t="str" s="13">
        <ns0:v>R</ns0:v>
      </ns0:c>
      <ns0:c r="M23" t="str" s="13">
        <ns0:v>Symbols\MY_LIB_Resistors.SchLib</ns0:v>
      </ns0:c>
      <ns0:c r="N23" t="str" s="13">
        <ns0:v>RESC1608X55N</ns0:v>
      </ns0:c>
      <ns0:c r="O23" t="str" s="13">
        <ns0:v>Footprints\PBL - SMD Packages.PcbLib</ns0:v>
      </ns0:c>
      <ns0:c r="P23" t="str" s="10">
        <ns0:v>RC_L; E24; P при 70 °C</ns0:v>
      </ns0:c>
      <ns0:c r="Q23" s="10"/>
      <ns0:c r="R23" t="str" s="11">
        <ns0:f>D23</ns0:f>
        <ns0:v>6,8 Ом</ns0:v>
      </ns0:c>
      <ns0:c r="S23" t="str" s="11">
        <ns0:f>K23</ns0:f>
        <ns0:v>Резистор 6,8 Ом ±5% 0603</ns0:v>
      </ns0:c>
      <x:c xmlns:x="http://schemas.openxmlformats.org/spreadsheetml/2006/main" r="T23" t="str" s="11">
        <x:v>C:\Users\Nomatin\Documents\Altium\MY_LIB\MY_LIB\Datasheets\YAGEO_RC_L.pdf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C:\Users\Nomatin\Documents\Altium\MY_LIB\MY_LIB\Datasheets\YAGEO_RC_L.pdf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https://yageogroup.com/content/datasheet/asset/file/PYU-RC_GROUP_51_ROHS_L</x:v>
      </x:c>
      <x:c xmlns:x="http://schemas.openxmlformats.org/spreadsheetml/2006/main" r="Y23" t="str" s="11">
        <x:v>C:\Users\Nomatin\Documents\Altium\MY_LIB\MY_LIB\Datasheets\YAGEO_RC_L.pdf</x:v>
      </x:c>
    </ns0:row>
    <ns0:row r="24" ht="30" customHeight="1">
      <ns0:c r="A24" t="str" s="10">
        <ns0:v>R0030</ns0:v>
      </ns0:c>
      <ns0:c r="B24" t="str" s="10">
        <ns0:v>Резистор</ns0:v>
      </ns0:c>
      <ns0:c r="C24" t="str" s="10">
        <ns0:v>7.5R</ns0:v>
      </ns0:c>
      <ns0:c r="D24" t="str" s="11">
        <ns0:f>SUBSTITUTE(SUBSTITUTE(SUBSTITUTE(SUBSTITUTE(C24,"meg"," МОм"),"k"," кОм"),"R"," Ом"),".",",")</ns0:f>
        <ns0:v>7,5 Ом</ns0:v>
      </ns0:c>
      <ns0:c r="E24" t="str" s="10">
        <ns0:v>±5%</ns0:v>
      </ns0:c>
      <ns0:c r="F24" t="str" s="10">
        <ns0:v>0,1 Вт</ns0:v>
      </ns0:c>
      <ns0:c r="G24" t="str" s="10">
        <ns0:v>75 В макс.</ns0:v>
      </ns0:c>
      <ns0:c r="H24" t="str" s="12">
        <ns0:v>0603</ns0:v>
      </ns0:c>
      <ns0:c r="I24" t="str" s="10">
        <ns0:v>YAGEO</ns0:v>
      </ns0:c>
      <ns0:c r="J24" t="str" s="10">
        <ns0:v>RC0603JR-077R5L</ns0:v>
      </ns0:c>
      <ns0:c r="K24" t="str" s="11">
        <ns0:f>B24&amp;" "&amp;D24&amp;" "&amp;E24&amp;" "&amp;H24</ns0:f>
        <ns0:v>Резистор 7,5 Ом ±5% 0603</ns0:v>
      </ns0:c>
      <ns0:c r="L24" t="str" s="13">
        <ns0:v>R</ns0:v>
      </ns0:c>
      <ns0:c r="M24" t="str" s="13">
        <ns0:v>Symbols\MY_LIB_Resistors.SchLib</ns0:v>
      </ns0:c>
      <ns0:c r="N24" t="str" s="13">
        <ns0:v>RESC1608X55N</ns0:v>
      </ns0:c>
      <ns0:c r="O24" t="str" s="13">
        <ns0:v>Footprints\PBL - SMD Packages.PcbLib</ns0:v>
      </ns0:c>
      <ns0:c r="P24" t="str" s="10">
        <ns0:v>RC_L; E24; P при 70 °C</ns0:v>
      </ns0:c>
      <ns0:c r="Q24" s="10"/>
      <ns0:c r="R24" t="str" s="11">
        <ns0:f>D24</ns0:f>
        <ns0:v>7,5 Ом</ns0:v>
      </ns0:c>
      <ns0:c r="S24" t="str" s="11">
        <ns0:f>K24</ns0:f>
        <ns0:v>Резистор 7,5 Ом ±5% 0603</ns0:v>
      </ns0:c>
      <x:c xmlns:x="http://schemas.openxmlformats.org/spreadsheetml/2006/main" r="T24" t="str" s="11">
        <x:v>C:\Users\Nomatin\Documents\Altium\MY_LIB\MY_LIB\Datasheets\YAGEO_RC_L.pdf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C:\Users\Nomatin\Documents\Altium\MY_LIB\MY_LIB\Datasheets\YAGEO_RC_L.pdf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https://yageogroup.com/content/datasheet/asset/file/PYU-RC_GROUP_51_ROHS_L</x:v>
      </x:c>
      <x:c xmlns:x="http://schemas.openxmlformats.org/spreadsheetml/2006/main" r="Y24" t="str" s="11">
        <x:v>C:\Users\Nomatin\Documents\Altium\MY_LIB\MY_LIB\Datasheets\YAGEO_RC_L.pdf</x:v>
      </x:c>
    </ns0:row>
    <ns0:row r="25" ht="30" customHeight="1">
      <ns0:c r="A25" t="str" s="10">
        <ns0:v>R0031</ns0:v>
      </ns0:c>
      <ns0:c r="B25" t="str" s="10">
        <ns0:v>Резистор</ns0:v>
      </ns0:c>
      <ns0:c r="C25" t="str" s="10">
        <ns0:v>8.2R</ns0:v>
      </ns0:c>
      <ns0:c r="D25" t="str" s="11">
        <ns0:f>SUBSTITUTE(SUBSTITUTE(SUBSTITUTE(SUBSTITUTE(C25,"meg"," МОм"),"k"," кОм"),"R"," Ом"),".",",")</ns0:f>
        <ns0:v>8,2 Ом</ns0:v>
      </ns0:c>
      <ns0:c r="E25" t="str" s="10">
        <ns0:v>±5%</ns0:v>
      </ns0:c>
      <ns0:c r="F25" t="str" s="10">
        <ns0:v>0,1 Вт</ns0:v>
      </ns0:c>
      <ns0:c r="G25" t="str" s="10">
        <ns0:v>75 В макс.</ns0:v>
      </ns0:c>
      <ns0:c r="H25" t="str" s="12">
        <ns0:v>0603</ns0:v>
      </ns0:c>
      <ns0:c r="I25" t="str" s="10">
        <ns0:v>YAGEO</ns0:v>
      </ns0:c>
      <ns0:c r="J25" t="str" s="10">
        <ns0:v>RC0603JR-078R2L</ns0:v>
      </ns0:c>
      <ns0:c r="K25" t="str" s="11">
        <ns0:f>B25&amp;" "&amp;D25&amp;" "&amp;E25&amp;" "&amp;H25</ns0:f>
        <ns0:v>Резистор 8,2 Ом ±5% 0603</ns0:v>
      </ns0:c>
      <ns0:c r="L25" t="str" s="13">
        <ns0:v>R</ns0:v>
      </ns0:c>
      <ns0:c r="M25" t="str" s="13">
        <ns0:v>Symbols\MY_LIB_Resistors.SchLib</ns0:v>
      </ns0:c>
      <ns0:c r="N25" t="str" s="13">
        <ns0:v>RESC1608X55N</ns0:v>
      </ns0:c>
      <ns0:c r="O25" t="str" s="13">
        <ns0:v>Footprints\PBL - SMD Packages.PcbLib</ns0:v>
      </ns0:c>
      <ns0:c r="P25" t="str" s="10">
        <ns0:v>RC_L; E24; P при 70 °C</ns0:v>
      </ns0:c>
      <ns0:c r="Q25" s="10"/>
      <ns0:c r="R25" t="str" s="11">
        <ns0:f>D25</ns0:f>
        <ns0:v>8,2 Ом</ns0:v>
      </ns0:c>
      <ns0:c r="S25" t="str" s="11">
        <ns0:f>K25</ns0:f>
        <ns0:v>Резистор 8,2 Ом ±5% 0603</ns0:v>
      </ns0:c>
      <x:c xmlns:x="http://schemas.openxmlformats.org/spreadsheetml/2006/main" r="T25" t="str" s="11">
        <x:v>C:\Users\Nomatin\Documents\Altium\MY_LIB\MY_LIB\Datasheets\YAGEO_RC_L.pdf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C:\Users\Nomatin\Documents\Altium\MY_LIB\MY_LIB\Datasheets\YAGEO_RC_L.pdf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https://yageogroup.com/content/datasheet/asset/file/PYU-RC_GROUP_51_ROHS_L</x:v>
      </x:c>
      <x:c xmlns:x="http://schemas.openxmlformats.org/spreadsheetml/2006/main" r="Y25" t="str" s="11">
        <x:v>C:\Users\Nomatin\Documents\Altium\MY_LIB\MY_LIB\Datasheets\YAGEO_RC_L.pdf</x:v>
      </x:c>
    </ns0:row>
    <ns0:row r="26" ht="30" customHeight="1">
      <ns0:c r="A26" t="str" s="10">
        <ns0:v>R0032</ns0:v>
      </ns0:c>
      <ns0:c r="B26" t="str" s="10">
        <ns0:v>Резистор</ns0:v>
      </ns0:c>
      <ns0:c r="C26" t="str" s="10">
        <ns0:v>9.1R</ns0:v>
      </ns0:c>
      <ns0:c r="D26" t="str" s="11">
        <ns0:f>SUBSTITUTE(SUBSTITUTE(SUBSTITUTE(SUBSTITUTE(C26,"meg"," МОм"),"k"," кОм"),"R"," Ом"),".",",")</ns0:f>
        <ns0:v>9,1 Ом</ns0:v>
      </ns0:c>
      <ns0:c r="E26" t="str" s="10">
        <ns0:v>±5%</ns0:v>
      </ns0:c>
      <ns0:c r="F26" t="str" s="10">
        <ns0:v>0,1 Вт</ns0:v>
      </ns0:c>
      <ns0:c r="G26" t="str" s="10">
        <ns0:v>75 В макс.</ns0:v>
      </ns0:c>
      <ns0:c r="H26" t="str" s="12">
        <ns0:v>0603</ns0:v>
      </ns0:c>
      <ns0:c r="I26" t="str" s="10">
        <ns0:v>YAGEO</ns0:v>
      </ns0:c>
      <ns0:c r="J26" t="str" s="10">
        <ns0:v>RC0603JR-079R1L</ns0:v>
      </ns0:c>
      <ns0:c r="K26" t="str" s="11">
        <ns0:f>B26&amp;" "&amp;D26&amp;" "&amp;E26&amp;" "&amp;H26</ns0:f>
        <ns0:v>Резистор 9,1 Ом ±5% 0603</ns0:v>
      </ns0:c>
      <ns0:c r="L26" t="str" s="13">
        <ns0:v>R</ns0:v>
      </ns0:c>
      <ns0:c r="M26" t="str" s="13">
        <ns0:v>Symbols\MY_LIB_Resistors.SchLib</ns0:v>
      </ns0:c>
      <ns0:c r="N26" t="str" s="13">
        <ns0:v>RESC1608X55N</ns0:v>
      </ns0:c>
      <ns0:c r="O26" t="str" s="13">
        <ns0:v>Footprints\PBL - SMD Packages.PcbLib</ns0:v>
      </ns0:c>
      <ns0:c r="P26" t="str" s="10">
        <ns0:v>RC_L; E24; P при 70 °C</ns0:v>
      </ns0:c>
      <ns0:c r="Q26" s="10"/>
      <ns0:c r="R26" t="str" s="11">
        <ns0:f>D26</ns0:f>
        <ns0:v>9,1 Ом</ns0:v>
      </ns0:c>
      <ns0:c r="S26" t="str" s="11">
        <ns0:f>K26</ns0:f>
        <ns0:v>Резистор 9,1 Ом ±5% 0603</ns0:v>
      </ns0:c>
      <x:c xmlns:x="http://schemas.openxmlformats.org/spreadsheetml/2006/main" r="T26" t="str" s="11">
        <x:v>C:\Users\Nomatin\Documents\Altium\MY_LIB\MY_LIB\Datasheets\YAGEO_RC_L.pdf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C:\Users\Nomatin\Documents\Altium\MY_LIB\MY_LIB\Datasheets\YAGEO_RC_L.pdf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https://yageogroup.com/content/datasheet/asset/file/PYU-RC_GROUP_51_ROHS_L</x:v>
      </x:c>
      <x:c xmlns:x="http://schemas.openxmlformats.org/spreadsheetml/2006/main" r="Y26" t="str" s="11">
        <x:v>C:\Users\Nomatin\Documents\Altium\MY_LIB\MY_LIB\Datasheets\YAGEO_RC_L.pdf</x:v>
      </x:c>
    </ns0:row>
    <ns0:row r="27" ht="30" customHeight="1">
      <ns0:c r="A27" t="str" s="10">
        <ns0:v>R0033</ns0:v>
      </ns0:c>
      <ns0:c r="B27" t="str" s="10">
        <ns0:v>Резистор</ns0:v>
      </ns0:c>
      <ns0:c r="C27" t="str" s="10">
        <ns0:v>10R</ns0:v>
      </ns0:c>
      <ns0:c r="D27" t="str" s="11">
        <ns0:f>SUBSTITUTE(SUBSTITUTE(SUBSTITUTE(SUBSTITUTE(C27,"meg"," МОм"),"k"," кОм"),"R"," Ом"),".",",")</ns0:f>
        <ns0:v>10 Ом</ns0:v>
      </ns0:c>
      <ns0:c r="E27" t="str" s="10">
        <ns0:v>±5%</ns0:v>
      </ns0:c>
      <ns0:c r="F27" t="str" s="10">
        <ns0:v>0,1 Вт</ns0:v>
      </ns0:c>
      <ns0:c r="G27" t="str" s="10">
        <ns0:v>75 В макс.</ns0:v>
      </ns0:c>
      <ns0:c r="H27" t="str" s="12">
        <ns0:v>0603</ns0:v>
      </ns0:c>
      <ns0:c r="I27" t="str" s="10">
        <ns0:v>YAGEO</ns0:v>
      </ns0:c>
      <ns0:c r="J27" t="str" s="10">
        <ns0:v>RC0603JR-0710RL</ns0:v>
      </ns0:c>
      <ns0:c r="K27" t="str" s="11">
        <ns0:f>B27&amp;" "&amp;D27&amp;" "&amp;E27&amp;" "&amp;H27</ns0:f>
        <ns0:v>Резистор 10 Ом ±5% 0603</ns0:v>
      </ns0:c>
      <ns0:c r="L27" t="str" s="13">
        <ns0:v>R</ns0:v>
      </ns0:c>
      <ns0:c r="M27" t="str" s="13">
        <ns0:v>Symbols\MY_LIB_Resistors.SchLib</ns0:v>
      </ns0:c>
      <ns0:c r="N27" t="str" s="13">
        <ns0:v>RESC1608X55N</ns0:v>
      </ns0:c>
      <ns0:c r="O27" t="str" s="13">
        <ns0:v>Footprints\PBL - SMD Packages.PcbLib</ns0:v>
      </ns0:c>
      <ns0:c r="P27" t="str" s="10">
        <ns0:v>RC_L; E24; P при 70 °C</ns0:v>
      </ns0:c>
      <ns0:c r="Q27" s="10"/>
      <ns0:c r="R27" t="str" s="11">
        <ns0:f>D27</ns0:f>
        <ns0:v>10 Ом</ns0:v>
      </ns0:c>
      <ns0:c r="S27" t="str" s="11">
        <ns0:f>K27</ns0:f>
        <ns0:v>Резистор 10 Ом ±5% 0603</ns0:v>
      </ns0:c>
      <x:c xmlns:x="http://schemas.openxmlformats.org/spreadsheetml/2006/main" r="T27" t="str" s="11">
        <x:v>C:\Users\Nomatin\Documents\Altium\MY_LIB\MY_LIB\Datasheets\YAGEO_RC_L.pdf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C:\Users\Nomatin\Documents\Altium\MY_LIB\MY_LIB\Datasheets\YAGEO_RC_L.pdf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https://yageogroup.com/content/datasheet/asset/file/PYU-RC_GROUP_51_ROHS_L</x:v>
      </x:c>
      <x:c xmlns:x="http://schemas.openxmlformats.org/spreadsheetml/2006/main" r="Y27" t="str" s="11">
        <x:v>C:\Users\Nomatin\Documents\Altium\MY_LIB\MY_LIB\Datasheets\YAGEO_RC_L.pdf</x:v>
      </x:c>
    </ns0:row>
    <ns0:row r="28" ht="30" customHeight="1">
      <ns0:c r="A28" t="str" s="10">
        <ns0:v>R0034</ns0:v>
      </ns0:c>
      <ns0:c r="B28" t="str" s="10">
        <ns0:v>Резистор</ns0:v>
      </ns0:c>
      <ns0:c r="C28" t="str" s="10">
        <ns0:v>11R</ns0:v>
      </ns0:c>
      <ns0:c r="D28" t="str" s="11">
        <ns0:f>SUBSTITUTE(SUBSTITUTE(SUBSTITUTE(SUBSTITUTE(C28,"meg"," МОм"),"k"," кОм"),"R"," Ом"),".",",")</ns0:f>
        <ns0:v>11 Ом</ns0:v>
      </ns0:c>
      <ns0:c r="E28" t="str" s="10">
        <ns0:v>±5%</ns0:v>
      </ns0:c>
      <ns0:c r="F28" t="str" s="10">
        <ns0:v>0,1 Вт</ns0:v>
      </ns0:c>
      <ns0:c r="G28" t="str" s="10">
        <ns0:v>75 В макс.</ns0:v>
      </ns0:c>
      <ns0:c r="H28" t="str" s="12">
        <ns0:v>0603</ns0:v>
      </ns0:c>
      <ns0:c r="I28" t="str" s="10">
        <ns0:v>YAGEO</ns0:v>
      </ns0:c>
      <ns0:c r="J28" t="str" s="10">
        <ns0:v>RC0603JR-0711RL</ns0:v>
      </ns0:c>
      <ns0:c r="K28" t="str" s="11">
        <ns0:f>B28&amp;" "&amp;D28&amp;" "&amp;E28&amp;" "&amp;H28</ns0:f>
        <ns0:v>Резистор 11 Ом ±5% 0603</ns0:v>
      </ns0:c>
      <ns0:c r="L28" t="str" s="13">
        <ns0:v>R</ns0:v>
      </ns0:c>
      <ns0:c r="M28" t="str" s="13">
        <ns0:v>Symbols\MY_LIB_Resistors.SchLib</ns0:v>
      </ns0:c>
      <ns0:c r="N28" t="str" s="13">
        <ns0:v>RESC1608X55N</ns0:v>
      </ns0:c>
      <ns0:c r="O28" t="str" s="13">
        <ns0:v>Footprints\PBL - SMD Packages.PcbLib</ns0:v>
      </ns0:c>
      <ns0:c r="P28" t="str" s="10">
        <ns0:v>RC_L; E24; P при 70 °C</ns0:v>
      </ns0:c>
      <ns0:c r="Q28" s="10"/>
      <ns0:c r="R28" t="str" s="11">
        <ns0:f>D28</ns0:f>
        <ns0:v>11 Ом</ns0:v>
      </ns0:c>
      <ns0:c r="S28" t="str" s="11">
        <ns0:f>K28</ns0:f>
        <ns0:v>Резистор 11 Ом ±5% 0603</ns0:v>
      </ns0:c>
      <x:c xmlns:x="http://schemas.openxmlformats.org/spreadsheetml/2006/main" r="T28" t="str" s="11">
        <x:v>C:\Users\Nomatin\Documents\Altium\MY_LIB\MY_LIB\Datasheets\YAGEO_RC_L.pdf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C:\Users\Nomatin\Documents\Altium\MY_LIB\MY_LIB\Datasheets\YAGEO_RC_L.pdf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https://yageogroup.com/content/datasheet/asset/file/PYU-RC_GROUP_51_ROHS_L</x:v>
      </x:c>
      <x:c xmlns:x="http://schemas.openxmlformats.org/spreadsheetml/2006/main" r="Y28" t="str" s="11">
        <x:v>C:\Users\Nomatin\Documents\Altium\MY_LIB\MY_LIB\Datasheets\YAGEO_RC_L.pdf</x:v>
      </x:c>
    </ns0:row>
    <ns0:row r="29" ht="30" customHeight="1">
      <ns0:c r="A29" t="str" s="10">
        <ns0:v>R0035</ns0:v>
      </ns0:c>
      <ns0:c r="B29" t="str" s="10">
        <ns0:v>Резистор</ns0:v>
      </ns0:c>
      <ns0:c r="C29" t="str" s="10">
        <ns0:v>12R</ns0:v>
      </ns0:c>
      <ns0:c r="D29" t="str" s="11">
        <ns0:f>SUBSTITUTE(SUBSTITUTE(SUBSTITUTE(SUBSTITUTE(C29,"meg"," МОм"),"k"," кОм"),"R"," Ом"),".",",")</ns0:f>
        <ns0:v>12 Ом</ns0:v>
      </ns0:c>
      <ns0:c r="E29" t="str" s="10">
        <ns0:v>±5%</ns0:v>
      </ns0:c>
      <ns0:c r="F29" t="str" s="10">
        <ns0:v>0,1 Вт</ns0:v>
      </ns0:c>
      <ns0:c r="G29" t="str" s="10">
        <ns0:v>75 В макс.</ns0:v>
      </ns0:c>
      <ns0:c r="H29" t="str" s="12">
        <ns0:v>0603</ns0:v>
      </ns0:c>
      <ns0:c r="I29" t="str" s="10">
        <ns0:v>YAGEO</ns0:v>
      </ns0:c>
      <ns0:c r="J29" t="str" s="10">
        <ns0:v>RC0603JR-0712RL</ns0:v>
      </ns0:c>
      <ns0:c r="K29" t="str" s="11">
        <ns0:f>B29&amp;" "&amp;D29&amp;" "&amp;E29&amp;" "&amp;H29</ns0:f>
        <ns0:v>Резистор 12 Ом ±5% 0603</ns0:v>
      </ns0:c>
      <ns0:c r="L29" t="str" s="13">
        <ns0:v>R</ns0:v>
      </ns0:c>
      <ns0:c r="M29" t="str" s="13">
        <ns0:v>Symbols\MY_LIB_Resistors.SchLib</ns0:v>
      </ns0:c>
      <ns0:c r="N29" t="str" s="13">
        <ns0:v>RESC1608X55N</ns0:v>
      </ns0:c>
      <ns0:c r="O29" t="str" s="13">
        <ns0:v>Footprints\PBL - SMD Packages.PcbLib</ns0:v>
      </ns0:c>
      <ns0:c r="P29" t="str" s="10">
        <ns0:v>RC_L; E24; P при 70 °C</ns0:v>
      </ns0:c>
      <ns0:c r="Q29" s="10"/>
      <ns0:c r="R29" t="str" s="11">
        <ns0:f>D29</ns0:f>
        <ns0:v>12 Ом</ns0:v>
      </ns0:c>
      <ns0:c r="S29" t="str" s="11">
        <ns0:f>K29</ns0:f>
        <ns0:v>Резистор 12 Ом ±5% 0603</ns0:v>
      </ns0:c>
      <x:c xmlns:x="http://schemas.openxmlformats.org/spreadsheetml/2006/main" r="T29" t="str" s="11">
        <x:v>C:\Users\Nomatin\Documents\Altium\MY_LIB\MY_LIB\Datasheets\YAGEO_RC_L.pdf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C:\Users\Nomatin\Documents\Altium\MY_LIB\MY_LIB\Datasheets\YAGEO_RC_L.pdf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https://yageogroup.com/content/datasheet/asset/file/PYU-RC_GROUP_51_ROHS_L</x:v>
      </x:c>
      <x:c xmlns:x="http://schemas.openxmlformats.org/spreadsheetml/2006/main" r="Y29" t="str" s="11">
        <x:v>C:\Users\Nomatin\Documents\Altium\MY_LIB\MY_LIB\Datasheets\YAGEO_RC_L.pdf</x:v>
      </x:c>
    </ns0:row>
    <ns0:row r="30" ht="30" customHeight="1">
      <ns0:c r="A30" t="str" s="10">
        <ns0:v>R0036</ns0:v>
      </ns0:c>
      <ns0:c r="B30" t="str" s="10">
        <ns0:v>Резистор</ns0:v>
      </ns0:c>
      <ns0:c r="C30" t="str" s="10">
        <ns0:v>13R</ns0:v>
      </ns0:c>
      <ns0:c r="D30" t="str" s="11">
        <ns0:f>SUBSTITUTE(SUBSTITUTE(SUBSTITUTE(SUBSTITUTE(C30,"meg"," МОм"),"k"," кОм"),"R"," Ом"),".",",")</ns0:f>
        <ns0:v>13 Ом</ns0:v>
      </ns0:c>
      <ns0:c r="E30" t="str" s="10">
        <ns0:v>±5%</ns0:v>
      </ns0:c>
      <ns0:c r="F30" t="str" s="10">
        <ns0:v>0,1 Вт</ns0:v>
      </ns0:c>
      <ns0:c r="G30" t="str" s="10">
        <ns0:v>75 В макс.</ns0:v>
      </ns0:c>
      <ns0:c r="H30" t="str" s="12">
        <ns0:v>0603</ns0:v>
      </ns0:c>
      <ns0:c r="I30" t="str" s="10">
        <ns0:v>YAGEO</ns0:v>
      </ns0:c>
      <ns0:c r="J30" t="str" s="10">
        <ns0:v>RC0603JR-0713RL</ns0:v>
      </ns0:c>
      <ns0:c r="K30" t="str" s="11">
        <ns0:f>B30&amp;" "&amp;D30&amp;" "&amp;E30&amp;" "&amp;H30</ns0:f>
        <ns0:v>Резистор 13 Ом ±5% 0603</ns0:v>
      </ns0:c>
      <ns0:c r="L30" t="str" s="13">
        <ns0:v>R</ns0:v>
      </ns0:c>
      <ns0:c r="M30" t="str" s="13">
        <ns0:v>Symbols\MY_LIB_Resistors.SchLib</ns0:v>
      </ns0:c>
      <ns0:c r="N30" t="str" s="13">
        <ns0:v>RESC1608X55N</ns0:v>
      </ns0:c>
      <ns0:c r="O30" t="str" s="13">
        <ns0:v>Footprints\PBL - SMD Packages.PcbLib</ns0:v>
      </ns0:c>
      <ns0:c r="P30" t="str" s="10">
        <ns0:v>RC_L; E24; P при 70 °C</ns0:v>
      </ns0:c>
      <ns0:c r="Q30" s="10"/>
      <ns0:c r="R30" t="str" s="11">
        <ns0:f>D30</ns0:f>
        <ns0:v>13 Ом</ns0:v>
      </ns0:c>
      <ns0:c r="S30" t="str" s="11">
        <ns0:f>K30</ns0:f>
        <ns0:v>Резистор 13 Ом ±5% 0603</ns0:v>
      </ns0:c>
      <x:c xmlns:x="http://schemas.openxmlformats.org/spreadsheetml/2006/main" r="T30" t="str" s="11">
        <x:v>C:\Users\Nomatin\Documents\Altium\MY_LIB\MY_LIB\Datasheets\YAGEO_RC_L.pdf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C:\Users\Nomatin\Documents\Altium\MY_LIB\MY_LIB\Datasheets\YAGEO_RC_L.pdf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https://yageogroup.com/content/datasheet/asset/file/PYU-RC_GROUP_51_ROHS_L</x:v>
      </x:c>
      <x:c xmlns:x="http://schemas.openxmlformats.org/spreadsheetml/2006/main" r="Y30" t="str" s="11">
        <x:v>C:\Users\Nomatin\Documents\Altium\MY_LIB\MY_LIB\Datasheets\YAGEO_RC_L.pdf</x:v>
      </x:c>
    </ns0:row>
    <ns0:row r="31" ht="30" customHeight="1">
      <ns0:c r="A31" t="str" s="10">
        <ns0:v>R0037</ns0:v>
      </ns0:c>
      <ns0:c r="B31" t="str" s="10">
        <ns0:v>Резистор</ns0:v>
      </ns0:c>
      <ns0:c r="C31" t="str" s="10">
        <ns0:v>15R</ns0:v>
      </ns0:c>
      <ns0:c r="D31" t="str" s="11">
        <ns0:f>SUBSTITUTE(SUBSTITUTE(SUBSTITUTE(SUBSTITUTE(C31,"meg"," МОм"),"k"," кОм"),"R"," Ом"),".",",")</ns0:f>
        <ns0:v>15 Ом</ns0:v>
      </ns0:c>
      <ns0:c r="E31" t="str" s="10">
        <ns0:v>±5%</ns0:v>
      </ns0:c>
      <ns0:c r="F31" t="str" s="10">
        <ns0:v>0,1 Вт</ns0:v>
      </ns0:c>
      <ns0:c r="G31" t="str" s="10">
        <ns0:v>75 В макс.</ns0:v>
      </ns0:c>
      <ns0:c r="H31" t="str" s="12">
        <ns0:v>0603</ns0:v>
      </ns0:c>
      <ns0:c r="I31" t="str" s="10">
        <ns0:v>YAGEO</ns0:v>
      </ns0:c>
      <ns0:c r="J31" t="str" s="10">
        <ns0:v>RC0603JR-0715RL</ns0:v>
      </ns0:c>
      <ns0:c r="K31" t="str" s="11">
        <ns0:f>B31&amp;" "&amp;D31&amp;" "&amp;E31&amp;" "&amp;H31</ns0:f>
        <ns0:v>Резистор 15 Ом ±5% 0603</ns0:v>
      </ns0:c>
      <ns0:c r="L31" t="str" s="13">
        <ns0:v>R</ns0:v>
      </ns0:c>
      <ns0:c r="M31" t="str" s="13">
        <ns0:v>Symbols\MY_LIB_Resistors.SchLib</ns0:v>
      </ns0:c>
      <ns0:c r="N31" t="str" s="13">
        <ns0:v>RESC1608X55N</ns0:v>
      </ns0:c>
      <ns0:c r="O31" t="str" s="13">
        <ns0:v>Footprints\PBL - SMD Packages.PcbLib</ns0:v>
      </ns0:c>
      <ns0:c r="P31" t="str" s="10">
        <ns0:v>RC_L; E24; P при 70 °C</ns0:v>
      </ns0:c>
      <ns0:c r="Q31" s="10"/>
      <ns0:c r="R31" t="str" s="11">
        <ns0:f>D31</ns0:f>
        <ns0:v>15 Ом</ns0:v>
      </ns0:c>
      <ns0:c r="S31" t="str" s="11">
        <ns0:f>K31</ns0:f>
        <ns0:v>Резистор 15 Ом ±5% 0603</ns0:v>
      </ns0:c>
      <x:c xmlns:x="http://schemas.openxmlformats.org/spreadsheetml/2006/main" r="T31" t="str" s="11">
        <x:v>C:\Users\Nomatin\Documents\Altium\MY_LIB\MY_LIB\Datasheets\YAGEO_RC_L.pdf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C:\Users\Nomatin\Documents\Altium\MY_LIB\MY_LIB\Datasheets\YAGEO_RC_L.pdf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https://yageogroup.com/content/datasheet/asset/file/PYU-RC_GROUP_51_ROHS_L</x:v>
      </x:c>
      <x:c xmlns:x="http://schemas.openxmlformats.org/spreadsheetml/2006/main" r="Y31" t="str" s="11">
        <x:v>C:\Users\Nomatin\Documents\Altium\MY_LIB\MY_LIB\Datasheets\YAGEO_RC_L.pdf</x:v>
      </x:c>
    </ns0:row>
    <ns0:row r="32" ht="30" customHeight="1">
      <ns0:c r="A32" t="str" s="10">
        <ns0:v>R0038</ns0:v>
      </ns0:c>
      <ns0:c r="B32" t="str" s="10">
        <ns0:v>Резистор</ns0:v>
      </ns0:c>
      <ns0:c r="C32" t="str" s="10">
        <ns0:v>16R</ns0:v>
      </ns0:c>
      <ns0:c r="D32" t="str" s="11">
        <ns0:f>SUBSTITUTE(SUBSTITUTE(SUBSTITUTE(SUBSTITUTE(C32,"meg"," МОм"),"k"," кОм"),"R"," Ом"),".",",")</ns0:f>
        <ns0:v>16 Ом</ns0:v>
      </ns0:c>
      <ns0:c r="E32" t="str" s="10">
        <ns0:v>±5%</ns0:v>
      </ns0:c>
      <ns0:c r="F32" t="str" s="10">
        <ns0:v>0,1 Вт</ns0:v>
      </ns0:c>
      <ns0:c r="G32" t="str" s="10">
        <ns0:v>75 В макс.</ns0:v>
      </ns0:c>
      <ns0:c r="H32" t="str" s="12">
        <ns0:v>0603</ns0:v>
      </ns0:c>
      <ns0:c r="I32" t="str" s="10">
        <ns0:v>YAGEO</ns0:v>
      </ns0:c>
      <ns0:c r="J32" t="str" s="10">
        <ns0:v>RC0603JR-0716RL</ns0:v>
      </ns0:c>
      <ns0:c r="K32" t="str" s="11">
        <ns0:f>B32&amp;" "&amp;D32&amp;" "&amp;E32&amp;" "&amp;H32</ns0:f>
        <ns0:v>Резистор 16 Ом ±5% 0603</ns0:v>
      </ns0:c>
      <ns0:c r="L32" t="str" s="13">
        <ns0:v>R</ns0:v>
      </ns0:c>
      <ns0:c r="M32" t="str" s="13">
        <ns0:v>Symbols\MY_LIB_Resistors.SchLib</ns0:v>
      </ns0:c>
      <ns0:c r="N32" t="str" s="13">
        <ns0:v>RESC1608X55N</ns0:v>
      </ns0:c>
      <ns0:c r="O32" t="str" s="13">
        <ns0:v>Footprints\PBL - SMD Packages.PcbLib</ns0:v>
      </ns0:c>
      <ns0:c r="P32" t="str" s="10">
        <ns0:v>RC_L; E24; P при 70 °C</ns0:v>
      </ns0:c>
      <ns0:c r="Q32" s="10"/>
      <ns0:c r="R32" t="str" s="11">
        <ns0:f>D32</ns0:f>
        <ns0:v>16 Ом</ns0:v>
      </ns0:c>
      <ns0:c r="S32" t="str" s="11">
        <ns0:f>K32</ns0:f>
        <ns0:v>Резистор 16 Ом ±5% 0603</ns0:v>
      </ns0:c>
      <x:c xmlns:x="http://schemas.openxmlformats.org/spreadsheetml/2006/main" r="T32" t="str" s="11">
        <x:v>C:\Users\Nomatin\Documents\Altium\MY_LIB\MY_LIB\Datasheets\YAGEO_RC_L.pdf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C:\Users\Nomatin\Documents\Altium\MY_LIB\MY_LIB\Datasheets\YAGEO_RC_L.pdf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https://yageogroup.com/content/datasheet/asset/file/PYU-RC_GROUP_51_ROHS_L</x:v>
      </x:c>
      <x:c xmlns:x="http://schemas.openxmlformats.org/spreadsheetml/2006/main" r="Y32" t="str" s="11">
        <x:v>C:\Users\Nomatin\Documents\Altium\MY_LIB\MY_LIB\Datasheets\YAGEO_RC_L.pdf</x:v>
      </x:c>
    </ns0:row>
    <ns0:row r="33" ht="30" customHeight="1">
      <ns0:c r="A33" t="str" s="10">
        <ns0:v>R0039</ns0:v>
      </ns0:c>
      <ns0:c r="B33" t="str" s="10">
        <ns0:v>Резистор</ns0:v>
      </ns0:c>
      <ns0:c r="C33" t="str" s="10">
        <ns0:v>18R</ns0:v>
      </ns0:c>
      <ns0:c r="D33" t="str" s="11">
        <ns0:f>SUBSTITUTE(SUBSTITUTE(SUBSTITUTE(SUBSTITUTE(C33,"meg"," МОм"),"k"," кОм"),"R"," Ом"),".",",")</ns0:f>
        <ns0:v>18 Ом</ns0:v>
      </ns0:c>
      <ns0:c r="E33" t="str" s="10">
        <ns0:v>±5%</ns0:v>
      </ns0:c>
      <ns0:c r="F33" t="str" s="10">
        <ns0:v>0,1 Вт</ns0:v>
      </ns0:c>
      <ns0:c r="G33" t="str" s="10">
        <ns0:v>75 В макс.</ns0:v>
      </ns0:c>
      <ns0:c r="H33" t="str" s="12">
        <ns0:v>0603</ns0:v>
      </ns0:c>
      <ns0:c r="I33" t="str" s="10">
        <ns0:v>YAGEO</ns0:v>
      </ns0:c>
      <ns0:c r="J33" t="str" s="10">
        <ns0:v>RC0603JR-0718RL</ns0:v>
      </ns0:c>
      <ns0:c r="K33" t="str" s="11">
        <ns0:f>B33&amp;" "&amp;D33&amp;" "&amp;E33&amp;" "&amp;H33</ns0:f>
        <ns0:v>Резистор 18 Ом ±5% 0603</ns0:v>
      </ns0:c>
      <ns0:c r="L33" t="str" s="13">
        <ns0:v>R</ns0:v>
      </ns0:c>
      <ns0:c r="M33" t="str" s="13">
        <ns0:v>Symbols\MY_LIB_Resistors.SchLib</ns0:v>
      </ns0:c>
      <ns0:c r="N33" t="str" s="13">
        <ns0:v>RESC1608X55N</ns0:v>
      </ns0:c>
      <ns0:c r="O33" t="str" s="13">
        <ns0:v>Footprints\PBL - SMD Packages.PcbLib</ns0:v>
      </ns0:c>
      <ns0:c r="P33" t="str" s="10">
        <ns0:v>RC_L; E24; P при 70 °C</ns0:v>
      </ns0:c>
      <ns0:c r="Q33" s="10"/>
      <ns0:c r="R33" t="str" s="11">
        <ns0:f>D33</ns0:f>
        <ns0:v>18 Ом</ns0:v>
      </ns0:c>
      <ns0:c r="S33" t="str" s="11">
        <ns0:f>K33</ns0:f>
        <ns0:v>Резистор 18 Ом ±5% 0603</ns0:v>
      </ns0:c>
      <x:c xmlns:x="http://schemas.openxmlformats.org/spreadsheetml/2006/main" r="T33" t="str" s="11">
        <x:v>C:\Users\Nomatin\Documents\Altium\MY_LIB\MY_LIB\Datasheets\YAGEO_RC_L.pdf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C:\Users\Nomatin\Documents\Altium\MY_LIB\MY_LIB\Datasheets\YAGEO_RC_L.pdf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https://yageogroup.com/content/datasheet/asset/file/PYU-RC_GROUP_51_ROHS_L</x:v>
      </x:c>
      <x:c xmlns:x="http://schemas.openxmlformats.org/spreadsheetml/2006/main" r="Y33" t="str" s="11">
        <x:v>C:\Users\Nomatin\Documents\Altium\MY_LIB\MY_LIB\Datasheets\YAGEO_RC_L.pdf</x:v>
      </x:c>
    </ns0:row>
    <ns0:row r="34" ht="30" customHeight="1">
      <ns0:c r="A34" t="str" s="10">
        <ns0:v>R0040</ns0:v>
      </ns0:c>
      <ns0:c r="B34" t="str" s="10">
        <ns0:v>Резистор</ns0:v>
      </ns0:c>
      <ns0:c r="C34" t="str" s="10">
        <ns0:v>20R</ns0:v>
      </ns0:c>
      <ns0:c r="D34" t="str" s="11">
        <ns0:f>SUBSTITUTE(SUBSTITUTE(SUBSTITUTE(SUBSTITUTE(C34,"meg"," МОм"),"k"," кОм"),"R"," Ом"),".",",")</ns0:f>
        <ns0:v>20 Ом</ns0:v>
      </ns0:c>
      <ns0:c r="E34" t="str" s="10">
        <ns0:v>±5%</ns0:v>
      </ns0:c>
      <ns0:c r="F34" t="str" s="10">
        <ns0:v>0,1 Вт</ns0:v>
      </ns0:c>
      <ns0:c r="G34" t="str" s="10">
        <ns0:v>75 В макс.</ns0:v>
      </ns0:c>
      <ns0:c r="H34" t="str" s="12">
        <ns0:v>0603</ns0:v>
      </ns0:c>
      <ns0:c r="I34" t="str" s="10">
        <ns0:v>YAGEO</ns0:v>
      </ns0:c>
      <ns0:c r="J34" t="str" s="10">
        <ns0:v>RC0603JR-0720RL</ns0:v>
      </ns0:c>
      <ns0:c r="K34" t="str" s="11">
        <ns0:f>B34&amp;" "&amp;D34&amp;" "&amp;E34&amp;" "&amp;H34</ns0:f>
        <ns0:v>Резистор 20 Ом ±5% 0603</ns0:v>
      </ns0:c>
      <ns0:c r="L34" t="str" s="13">
        <ns0:v>R</ns0:v>
      </ns0:c>
      <ns0:c r="M34" t="str" s="13">
        <ns0:v>Symbols\MY_LIB_Resistors.SchLib</ns0:v>
      </ns0:c>
      <ns0:c r="N34" t="str" s="13">
        <ns0:v>RESC1608X55N</ns0:v>
      </ns0:c>
      <ns0:c r="O34" t="str" s="13">
        <ns0:v>Footprints\PBL - SMD Packages.PcbLib</ns0:v>
      </ns0:c>
      <ns0:c r="P34" t="str" s="10">
        <ns0:v>RC_L; E24; P при 70 °C</ns0:v>
      </ns0:c>
      <ns0:c r="Q34" s="10"/>
      <ns0:c r="R34" t="str" s="11">
        <ns0:f>D34</ns0:f>
        <ns0:v>20 Ом</ns0:v>
      </ns0:c>
      <ns0:c r="S34" t="str" s="11">
        <ns0:f>K34</ns0:f>
        <ns0:v>Резистор 20 Ом ±5% 0603</ns0:v>
      </ns0:c>
      <x:c xmlns:x="http://schemas.openxmlformats.org/spreadsheetml/2006/main" r="T34" t="str" s="11">
        <x:v>C:\Users\Nomatin\Documents\Altium\MY_LIB\MY_LIB\Datasheets\YAGEO_RC_L.pdf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C:\Users\Nomatin\Documents\Altium\MY_LIB\MY_LIB\Datasheets\YAGEO_RC_L.pdf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https://yageogroup.com/content/datasheet/asset/file/PYU-RC_GROUP_51_ROHS_L</x:v>
      </x:c>
      <x:c xmlns:x="http://schemas.openxmlformats.org/spreadsheetml/2006/main" r="Y34" t="str" s="11">
        <x:v>C:\Users\Nomatin\Documents\Altium\MY_LIB\MY_LIB\Datasheets\YAGEO_RC_L.pdf</x:v>
      </x:c>
    </ns0:row>
    <ns0:row r="35" ht="30" customHeight="1">
      <ns0:c r="A35" t="str" s="10">
        <ns0:v>R0041</ns0:v>
      </ns0:c>
      <ns0:c r="B35" t="str" s="10">
        <ns0:v>Резистор</ns0:v>
      </ns0:c>
      <ns0:c r="C35" t="str" s="10">
        <ns0:v>22R</ns0:v>
      </ns0:c>
      <ns0:c r="D35" t="str" s="11">
        <ns0:f>SUBSTITUTE(SUBSTITUTE(SUBSTITUTE(SUBSTITUTE(C35,"meg"," МОм"),"k"," кОм"),"R"," Ом"),".",",")</ns0:f>
        <ns0:v>22 Ом</ns0:v>
      </ns0:c>
      <ns0:c r="E35" t="str" s="10">
        <ns0:v>±5%</ns0:v>
      </ns0:c>
      <ns0:c r="F35" t="str" s="10">
        <ns0:v>0,1 Вт</ns0:v>
      </ns0:c>
      <ns0:c r="G35" t="str" s="10">
        <ns0:v>75 В макс.</ns0:v>
      </ns0:c>
      <ns0:c r="H35" t="str" s="12">
        <ns0:v>0603</ns0:v>
      </ns0:c>
      <ns0:c r="I35" t="str" s="10">
        <ns0:v>YAGEO</ns0:v>
      </ns0:c>
      <ns0:c r="J35" t="str" s="10">
        <ns0:v>RC0603JR-0722RL</ns0:v>
      </ns0:c>
      <ns0:c r="K35" t="str" s="11">
        <ns0:f>B35&amp;" "&amp;D35&amp;" "&amp;E35&amp;" "&amp;H35</ns0:f>
        <ns0:v>Резистор 22 Ом ±5% 0603</ns0:v>
      </ns0:c>
      <ns0:c r="L35" t="str" s="13">
        <ns0:v>R</ns0:v>
      </ns0:c>
      <ns0:c r="M35" t="str" s="13">
        <ns0:v>Symbols\MY_LIB_Resistors.SchLib</ns0:v>
      </ns0:c>
      <ns0:c r="N35" t="str" s="13">
        <ns0:v>RESC1608X55N</ns0:v>
      </ns0:c>
      <ns0:c r="O35" t="str" s="13">
        <ns0:v>Footprints\PBL - SMD Packages.PcbLib</ns0:v>
      </ns0:c>
      <ns0:c r="P35" t="str" s="10">
        <ns0:v>RC_L; E24; P при 70 °C</ns0:v>
      </ns0:c>
      <ns0:c r="Q35" s="10"/>
      <ns0:c r="R35" t="str" s="11">
        <ns0:f>D35</ns0:f>
        <ns0:v>22 Ом</ns0:v>
      </ns0:c>
      <ns0:c r="S35" t="str" s="11">
        <ns0:f>K35</ns0:f>
        <ns0:v>Резистор 22 Ом ±5% 0603</ns0:v>
      </ns0:c>
      <x:c xmlns:x="http://schemas.openxmlformats.org/spreadsheetml/2006/main" r="T35" t="str" s="11">
        <x:v>C:\Users\Nomatin\Documents\Altium\MY_LIB\MY_LIB\Datasheets\YAGEO_RC_L.pdf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C:\Users\Nomatin\Documents\Altium\MY_LIB\MY_LIB\Datasheets\YAGEO_RC_L.pdf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https://yageogroup.com/content/datasheet/asset/file/PYU-RC_GROUP_51_ROHS_L</x:v>
      </x:c>
      <x:c xmlns:x="http://schemas.openxmlformats.org/spreadsheetml/2006/main" r="Y35" t="str" s="11">
        <x:v>C:\Users\Nomatin\Documents\Altium\MY_LIB\MY_LIB\Datasheets\YAGEO_RC_L.pdf</x:v>
      </x:c>
    </ns0:row>
    <ns0:row r="36" ht="30" customHeight="1">
      <ns0:c r="A36" t="str" s="10">
        <ns0:v>R0042</ns0:v>
      </ns0:c>
      <ns0:c r="B36" t="str" s="10">
        <ns0:v>Резистор</ns0:v>
      </ns0:c>
      <ns0:c r="C36" t="str" s="10">
        <ns0:v>24R</ns0:v>
      </ns0:c>
      <ns0:c r="D36" t="str" s="11">
        <ns0:f>SUBSTITUTE(SUBSTITUTE(SUBSTITUTE(SUBSTITUTE(C36,"meg"," МОм"),"k"," кОм"),"R"," Ом"),".",",")</ns0:f>
        <ns0:v>24 Ом</ns0:v>
      </ns0:c>
      <ns0:c r="E36" t="str" s="10">
        <ns0:v>±5%</ns0:v>
      </ns0:c>
      <ns0:c r="F36" t="str" s="10">
        <ns0:v>0,1 Вт</ns0:v>
      </ns0:c>
      <ns0:c r="G36" t="str" s="10">
        <ns0:v>75 В макс.</ns0:v>
      </ns0:c>
      <ns0:c r="H36" t="str" s="12">
        <ns0:v>0603</ns0:v>
      </ns0:c>
      <ns0:c r="I36" t="str" s="10">
        <ns0:v>YAGEO</ns0:v>
      </ns0:c>
      <ns0:c r="J36" t="str" s="10">
        <ns0:v>RC0603JR-0724RL</ns0:v>
      </ns0:c>
      <ns0:c r="K36" t="str" s="11">
        <ns0:f>B36&amp;" "&amp;D36&amp;" "&amp;E36&amp;" "&amp;H36</ns0:f>
        <ns0:v>Резистор 24 Ом ±5% 0603</ns0:v>
      </ns0:c>
      <ns0:c r="L36" t="str" s="13">
        <ns0:v>R</ns0:v>
      </ns0:c>
      <ns0:c r="M36" t="str" s="13">
        <ns0:v>Symbols\MY_LIB_Resistors.SchLib</ns0:v>
      </ns0:c>
      <ns0:c r="N36" t="str" s="13">
        <ns0:v>RESC1608X55N</ns0:v>
      </ns0:c>
      <ns0:c r="O36" t="str" s="13">
        <ns0:v>Footprints\PBL - SMD Packages.PcbLib</ns0:v>
      </ns0:c>
      <ns0:c r="P36" t="str" s="10">
        <ns0:v>RC_L; E24; P при 70 °C</ns0:v>
      </ns0:c>
      <ns0:c r="Q36" s="10"/>
      <ns0:c r="R36" t="str" s="11">
        <ns0:f>D36</ns0:f>
        <ns0:v>24 Ом</ns0:v>
      </ns0:c>
      <ns0:c r="S36" t="str" s="11">
        <ns0:f>K36</ns0:f>
        <ns0:v>Резистор 24 Ом ±5% 0603</ns0:v>
      </ns0:c>
      <x:c xmlns:x="http://schemas.openxmlformats.org/spreadsheetml/2006/main" r="T36" t="str" s="11">
        <x:v>C:\Users\Nomatin\Documents\Altium\MY_LIB\MY_LIB\Datasheets\YAGEO_RC_L.pdf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C:\Users\Nomatin\Documents\Altium\MY_LIB\MY_LIB\Datasheets\YAGEO_RC_L.pdf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https://yageogroup.com/content/datasheet/asset/file/PYU-RC_GROUP_51_ROHS_L</x:v>
      </x:c>
      <x:c xmlns:x="http://schemas.openxmlformats.org/spreadsheetml/2006/main" r="Y36" t="str" s="11">
        <x:v>C:\Users\Nomatin\Documents\Altium\MY_LIB\MY_LIB\Datasheets\YAGEO_RC_L.pdf</x:v>
      </x:c>
    </ns0:row>
    <ns0:row r="37" ht="30" customHeight="1">
      <ns0:c r="A37" t="str" s="10">
        <ns0:v>R0043</ns0:v>
      </ns0:c>
      <ns0:c r="B37" t="str" s="10">
        <ns0:v>Резистор</ns0:v>
      </ns0:c>
      <ns0:c r="C37" t="str" s="10">
        <ns0:v>27R</ns0:v>
      </ns0:c>
      <ns0:c r="D37" t="str" s="11">
        <ns0:f>SUBSTITUTE(SUBSTITUTE(SUBSTITUTE(SUBSTITUTE(C37,"meg"," МОм"),"k"," кОм"),"R"," Ом"),".",",")</ns0:f>
        <ns0:v>27 Ом</ns0:v>
      </ns0:c>
      <ns0:c r="E37" t="str" s="10">
        <ns0:v>±5%</ns0:v>
      </ns0:c>
      <ns0:c r="F37" t="str" s="10">
        <ns0:v>0,1 Вт</ns0:v>
      </ns0:c>
      <ns0:c r="G37" t="str" s="10">
        <ns0:v>75 В макс.</ns0:v>
      </ns0:c>
      <ns0:c r="H37" t="str" s="12">
        <ns0:v>0603</ns0:v>
      </ns0:c>
      <ns0:c r="I37" t="str" s="10">
        <ns0:v>YAGEO</ns0:v>
      </ns0:c>
      <ns0:c r="J37" t="str" s="10">
        <ns0:v>RC0603JR-0727RL</ns0:v>
      </ns0:c>
      <ns0:c r="K37" t="str" s="11">
        <ns0:f>B37&amp;" "&amp;D37&amp;" "&amp;E37&amp;" "&amp;H37</ns0:f>
        <ns0:v>Резистор 27 Ом ±5% 0603</ns0:v>
      </ns0:c>
      <ns0:c r="L37" t="str" s="13">
        <ns0:v>R</ns0:v>
      </ns0:c>
      <ns0:c r="M37" t="str" s="13">
        <ns0:v>Symbols\MY_LIB_Resistors.SchLib</ns0:v>
      </ns0:c>
      <ns0:c r="N37" t="str" s="13">
        <ns0:v>RESC1608X55N</ns0:v>
      </ns0:c>
      <ns0:c r="O37" t="str" s="13">
        <ns0:v>Footprints\PBL - SMD Packages.PcbLib</ns0:v>
      </ns0:c>
      <ns0:c r="P37" t="str" s="10">
        <ns0:v>RC_L; E24; P при 70 °C</ns0:v>
      </ns0:c>
      <ns0:c r="Q37" s="10"/>
      <ns0:c r="R37" t="str" s="11">
        <ns0:f>D37</ns0:f>
        <ns0:v>27 Ом</ns0:v>
      </ns0:c>
      <ns0:c r="S37" t="str" s="11">
        <ns0:f>K37</ns0:f>
        <ns0:v>Резистор 27 Ом ±5% 0603</ns0:v>
      </ns0:c>
      <x:c xmlns:x="http://schemas.openxmlformats.org/spreadsheetml/2006/main" r="T37" t="str" s="11">
        <x:v>C:\Users\Nomatin\Documents\Altium\MY_LIB\MY_LIB\Datasheets\YAGEO_RC_L.pdf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C:\Users\Nomatin\Documents\Altium\MY_LIB\MY_LIB\Datasheets\YAGEO_RC_L.pdf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https://yageogroup.com/content/datasheet/asset/file/PYU-RC_GROUP_51_ROHS_L</x:v>
      </x:c>
      <x:c xmlns:x="http://schemas.openxmlformats.org/spreadsheetml/2006/main" r="Y37" t="str" s="11">
        <x:v>C:\Users\Nomatin\Documents\Altium\MY_LIB\MY_LIB\Datasheets\YAGEO_RC_L.pdf</x:v>
      </x:c>
    </ns0:row>
    <ns0:row r="38" ht="30" customHeight="1">
      <ns0:c r="A38" t="str" s="10">
        <ns0:v>R0044</ns0:v>
      </ns0:c>
      <ns0:c r="B38" t="str" s="10">
        <ns0:v>Резистор</ns0:v>
      </ns0:c>
      <ns0:c r="C38" t="str" s="10">
        <ns0:v>30R</ns0:v>
      </ns0:c>
      <ns0:c r="D38" t="str" s="11">
        <ns0:f>SUBSTITUTE(SUBSTITUTE(SUBSTITUTE(SUBSTITUTE(C38,"meg"," МОм"),"k"," кОм"),"R"," Ом"),".",",")</ns0:f>
        <ns0:v>30 Ом</ns0:v>
      </ns0:c>
      <ns0:c r="E38" t="str" s="10">
        <ns0:v>±5%</ns0:v>
      </ns0:c>
      <ns0:c r="F38" t="str" s="10">
        <ns0:v>0,1 Вт</ns0:v>
      </ns0:c>
      <ns0:c r="G38" t="str" s="10">
        <ns0:v>75 В макс.</ns0:v>
      </ns0:c>
      <ns0:c r="H38" t="str" s="12">
        <ns0:v>0603</ns0:v>
      </ns0:c>
      <ns0:c r="I38" t="str" s="10">
        <ns0:v>YAGEO</ns0:v>
      </ns0:c>
      <ns0:c r="J38" t="str" s="10">
        <ns0:v>RC0603JR-0730RL</ns0:v>
      </ns0:c>
      <ns0:c r="K38" t="str" s="11">
        <ns0:f>B38&amp;" "&amp;D38&amp;" "&amp;E38&amp;" "&amp;H38</ns0:f>
        <ns0:v>Резистор 30 Ом ±5% 0603</ns0:v>
      </ns0:c>
      <ns0:c r="L38" t="str" s="13">
        <ns0:v>R</ns0:v>
      </ns0:c>
      <ns0:c r="M38" t="str" s="13">
        <ns0:v>Symbols\MY_LIB_Resistors.SchLib</ns0:v>
      </ns0:c>
      <ns0:c r="N38" t="str" s="13">
        <ns0:v>RESC1608X55N</ns0:v>
      </ns0:c>
      <ns0:c r="O38" t="str" s="13">
        <ns0:v>Footprints\PBL - SMD Packages.PcbLib</ns0:v>
      </ns0:c>
      <ns0:c r="P38" t="str" s="10">
        <ns0:v>RC_L; E24; P при 70 °C</ns0:v>
      </ns0:c>
      <ns0:c r="Q38" s="10"/>
      <ns0:c r="R38" t="str" s="11">
        <ns0:f>D38</ns0:f>
        <ns0:v>30 Ом</ns0:v>
      </ns0:c>
      <ns0:c r="S38" t="str" s="11">
        <ns0:f>K38</ns0:f>
        <ns0:v>Резистор 30 Ом ±5% 0603</ns0:v>
      </ns0:c>
      <x:c xmlns:x="http://schemas.openxmlformats.org/spreadsheetml/2006/main" r="T38" t="str" s="11">
        <x:v>C:\Users\Nomatin\Documents\Altium\MY_LIB\MY_LIB\Datasheets\YAGEO_RC_L.pdf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C:\Users\Nomatin\Documents\Altium\MY_LIB\MY_LIB\Datasheets\YAGEO_RC_L.pdf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https://yageogroup.com/content/datasheet/asset/file/PYU-RC_GROUP_51_ROHS_L</x:v>
      </x:c>
      <x:c xmlns:x="http://schemas.openxmlformats.org/spreadsheetml/2006/main" r="Y38" t="str" s="11">
        <x:v>C:\Users\Nomatin\Documents\Altium\MY_LIB\MY_LIB\Datasheets\YAGEO_RC_L.pdf</x:v>
      </x:c>
    </ns0:row>
    <ns0:row r="39" ht="30" customHeight="1">
      <ns0:c r="A39" t="str" s="10">
        <ns0:v>R0045</ns0:v>
      </ns0:c>
      <ns0:c r="B39" t="str" s="10">
        <ns0:v>Резистор</ns0:v>
      </ns0:c>
      <ns0:c r="C39" t="str" s="10">
        <ns0:v>33R</ns0:v>
      </ns0:c>
      <ns0:c r="D39" t="str" s="11">
        <ns0:f>SUBSTITUTE(SUBSTITUTE(SUBSTITUTE(SUBSTITUTE(C39,"meg"," МОм"),"k"," кОм"),"R"," Ом"),".",",")</ns0:f>
        <ns0:v>33 Ом</ns0:v>
      </ns0:c>
      <ns0:c r="E39" t="str" s="10">
        <ns0:v>±5%</ns0:v>
      </ns0:c>
      <ns0:c r="F39" t="str" s="10">
        <ns0:v>0,1 Вт</ns0:v>
      </ns0:c>
      <ns0:c r="G39" t="str" s="10">
        <ns0:v>75 В макс.</ns0:v>
      </ns0:c>
      <ns0:c r="H39" t="str" s="12">
        <ns0:v>0603</ns0:v>
      </ns0:c>
      <ns0:c r="I39" t="str" s="10">
        <ns0:v>YAGEO</ns0:v>
      </ns0:c>
      <ns0:c r="J39" t="str" s="10">
        <ns0:v>RC0603JR-0733RL</ns0:v>
      </ns0:c>
      <ns0:c r="K39" t="str" s="11">
        <ns0:f>B39&amp;" "&amp;D39&amp;" "&amp;E39&amp;" "&amp;H39</ns0:f>
        <ns0:v>Резистор 33 Ом ±5% 0603</ns0:v>
      </ns0:c>
      <ns0:c r="L39" t="str" s="13">
        <ns0:v>R</ns0:v>
      </ns0:c>
      <ns0:c r="M39" t="str" s="13">
        <ns0:v>Symbols\MY_LIB_Resistors.SchLib</ns0:v>
      </ns0:c>
      <ns0:c r="N39" t="str" s="13">
        <ns0:v>RESC1608X55N</ns0:v>
      </ns0:c>
      <ns0:c r="O39" t="str" s="13">
        <ns0:v>Footprints\PBL - SMD Packages.PcbLib</ns0:v>
      </ns0:c>
      <ns0:c r="P39" t="str" s="10">
        <ns0:v>RC_L; E24; P при 70 °C</ns0:v>
      </ns0:c>
      <ns0:c r="Q39" s="10"/>
      <ns0:c r="R39" t="str" s="11">
        <ns0:f>D39</ns0:f>
        <ns0:v>33 Ом</ns0:v>
      </ns0:c>
      <ns0:c r="S39" t="str" s="11">
        <ns0:f>K39</ns0:f>
        <ns0:v>Резистор 33 Ом ±5% 0603</ns0:v>
      </ns0:c>
      <x:c xmlns:x="http://schemas.openxmlformats.org/spreadsheetml/2006/main" r="T39" t="str" s="11">
        <x:v>C:\Users\Nomatin\Documents\Altium\MY_LIB\MY_LIB\Datasheets\YAGEO_RC_L.pdf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C:\Users\Nomatin\Documents\Altium\MY_LIB\MY_LIB\Datasheets\YAGEO_RC_L.pdf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https://yageogroup.com/content/datasheet/asset/file/PYU-RC_GROUP_51_ROHS_L</x:v>
      </x:c>
      <x:c xmlns:x="http://schemas.openxmlformats.org/spreadsheetml/2006/main" r="Y39" t="str" s="11">
        <x:v>C:\Users\Nomatin\Documents\Altium\MY_LIB\MY_LIB\Datasheets\YAGEO_RC_L.pdf</x:v>
      </x:c>
    </ns0:row>
    <ns0:row r="40" ht="30" customHeight="1">
      <ns0:c r="A40" t="str" s="10">
        <ns0:v>R0046</ns0:v>
      </ns0:c>
      <ns0:c r="B40" t="str" s="10">
        <ns0:v>Резистор</ns0:v>
      </ns0:c>
      <ns0:c r="C40" t="str" s="10">
        <ns0:v>36R</ns0:v>
      </ns0:c>
      <ns0:c r="D40" t="str" s="11">
        <ns0:f>SUBSTITUTE(SUBSTITUTE(SUBSTITUTE(SUBSTITUTE(C40,"meg"," МОм"),"k"," кОм"),"R"," Ом"),".",",")</ns0:f>
        <ns0:v>36 Ом</ns0:v>
      </ns0:c>
      <ns0:c r="E40" t="str" s="10">
        <ns0:v>±5%</ns0:v>
      </ns0:c>
      <ns0:c r="F40" t="str" s="10">
        <ns0:v>0,1 Вт</ns0:v>
      </ns0:c>
      <ns0:c r="G40" t="str" s="10">
        <ns0:v>75 В макс.</ns0:v>
      </ns0:c>
      <ns0:c r="H40" t="str" s="12">
        <ns0:v>0603</ns0:v>
      </ns0:c>
      <ns0:c r="I40" t="str" s="10">
        <ns0:v>YAGEO</ns0:v>
      </ns0:c>
      <ns0:c r="J40" t="str" s="10">
        <ns0:v>RC0603JR-0736RL</ns0:v>
      </ns0:c>
      <ns0:c r="K40" t="str" s="11">
        <ns0:f>B40&amp;" "&amp;D40&amp;" "&amp;E40&amp;" "&amp;H40</ns0:f>
        <ns0:v>Резистор 36 Ом ±5% 0603</ns0:v>
      </ns0:c>
      <ns0:c r="L40" t="str" s="13">
        <ns0:v>R</ns0:v>
      </ns0:c>
      <ns0:c r="M40" t="str" s="13">
        <ns0:v>Symbols\MY_LIB_Resistors.SchLib</ns0:v>
      </ns0:c>
      <ns0:c r="N40" t="str" s="13">
        <ns0:v>RESC1608X55N</ns0:v>
      </ns0:c>
      <ns0:c r="O40" t="str" s="13">
        <ns0:v>Footprints\PBL - SMD Packages.PcbLib</ns0:v>
      </ns0:c>
      <ns0:c r="P40" t="str" s="10">
        <ns0:v>RC_L; E24; P при 70 °C</ns0:v>
      </ns0:c>
      <ns0:c r="Q40" s="10"/>
      <ns0:c r="R40" t="str" s="11">
        <ns0:f>D40</ns0:f>
        <ns0:v>36 Ом</ns0:v>
      </ns0:c>
      <ns0:c r="S40" t="str" s="11">
        <ns0:f>K40</ns0:f>
        <ns0:v>Резистор 36 Ом ±5% 0603</ns0:v>
      </ns0:c>
      <x:c xmlns:x="http://schemas.openxmlformats.org/spreadsheetml/2006/main" r="T40" t="str" s="11">
        <x:v>C:\Users\Nomatin\Documents\Altium\MY_LIB\MY_LIB\Datasheets\YAGEO_RC_L.pdf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C:\Users\Nomatin\Documents\Altium\MY_LIB\MY_LIB\Datasheets\YAGEO_RC_L.pdf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https://yageogroup.com/content/datasheet/asset/file/PYU-RC_GROUP_51_ROHS_L</x:v>
      </x:c>
      <x:c xmlns:x="http://schemas.openxmlformats.org/spreadsheetml/2006/main" r="Y40" t="str" s="11">
        <x:v>C:\Users\Nomatin\Documents\Altium\MY_LIB\MY_LIB\Datasheets\YAGEO_RC_L.pdf</x:v>
      </x:c>
    </ns0:row>
    <ns0:row r="41" ht="30" customHeight="1">
      <ns0:c r="A41" t="str" s="10">
        <ns0:v>R0047</ns0:v>
      </ns0:c>
      <ns0:c r="B41" t="str" s="10">
        <ns0:v>Резистор</ns0:v>
      </ns0:c>
      <ns0:c r="C41" t="str" s="10">
        <ns0:v>39R</ns0:v>
      </ns0:c>
      <ns0:c r="D41" t="str" s="11">
        <ns0:f>SUBSTITUTE(SUBSTITUTE(SUBSTITUTE(SUBSTITUTE(C41,"meg"," МОм"),"k"," кОм"),"R"," Ом"),".",",")</ns0:f>
        <ns0:v>39 Ом</ns0:v>
      </ns0:c>
      <ns0:c r="E41" t="str" s="10">
        <ns0:v>±5%</ns0:v>
      </ns0:c>
      <ns0:c r="F41" t="str" s="10">
        <ns0:v>0,1 Вт</ns0:v>
      </ns0:c>
      <ns0:c r="G41" t="str" s="10">
        <ns0:v>75 В макс.</ns0:v>
      </ns0:c>
      <ns0:c r="H41" t="str" s="12">
        <ns0:v>0603</ns0:v>
      </ns0:c>
      <ns0:c r="I41" t="str" s="10">
        <ns0:v>YAGEO</ns0:v>
      </ns0:c>
      <ns0:c r="J41" t="str" s="10">
        <ns0:v>RC0603JR-0739RL</ns0:v>
      </ns0:c>
      <ns0:c r="K41" t="str" s="11">
        <ns0:f>B41&amp;" "&amp;D41&amp;" "&amp;E41&amp;" "&amp;H41</ns0:f>
        <ns0:v>Резистор 39 Ом ±5% 0603</ns0:v>
      </ns0:c>
      <ns0:c r="L41" t="str" s="13">
        <ns0:v>R</ns0:v>
      </ns0:c>
      <ns0:c r="M41" t="str" s="13">
        <ns0:v>Symbols\MY_LIB_Resistors.SchLib</ns0:v>
      </ns0:c>
      <ns0:c r="N41" t="str" s="13">
        <ns0:v>RESC1608X55N</ns0:v>
      </ns0:c>
      <ns0:c r="O41" t="str" s="13">
        <ns0:v>Footprints\PBL - SMD Packages.PcbLib</ns0:v>
      </ns0:c>
      <ns0:c r="P41" t="str" s="10">
        <ns0:v>RC_L; E24; P при 70 °C</ns0:v>
      </ns0:c>
      <ns0:c r="Q41" s="10"/>
      <ns0:c r="R41" t="str" s="11">
        <ns0:f>D41</ns0:f>
        <ns0:v>39 Ом</ns0:v>
      </ns0:c>
      <ns0:c r="S41" t="str" s="11">
        <ns0:f>K41</ns0:f>
        <ns0:v>Резистор 39 Ом ±5% 0603</ns0:v>
      </ns0:c>
      <x:c xmlns:x="http://schemas.openxmlformats.org/spreadsheetml/2006/main" r="T41" t="str" s="11">
        <x:v>C:\Users\Nomatin\Documents\Altium\MY_LIB\MY_LIB\Datasheets\YAGEO_RC_L.pdf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C:\Users\Nomatin\Documents\Altium\MY_LIB\MY_LIB\Datasheets\YAGEO_RC_L.pdf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https://yageogroup.com/content/datasheet/asset/file/PYU-RC_GROUP_51_ROHS_L</x:v>
      </x:c>
      <x:c xmlns:x="http://schemas.openxmlformats.org/spreadsheetml/2006/main" r="Y41" t="str" s="11">
        <x:v>C:\Users\Nomatin\Documents\Altium\MY_LIB\MY_LIB\Datasheets\YAGEO_RC_L.pdf</x:v>
      </x:c>
    </ns0:row>
    <ns0:row r="42" ht="30" customHeight="1">
      <ns0:c r="A42" t="str" s="10">
        <ns0:v>R0048</ns0:v>
      </ns0:c>
      <ns0:c r="B42" t="str" s="10">
        <ns0:v>Резистор</ns0:v>
      </ns0:c>
      <ns0:c r="C42" t="str" s="10">
        <ns0:v>43R</ns0:v>
      </ns0:c>
      <ns0:c r="D42" t="str" s="11">
        <ns0:f>SUBSTITUTE(SUBSTITUTE(SUBSTITUTE(SUBSTITUTE(C42,"meg"," МОм"),"k"," кОм"),"R"," Ом"),".",",")</ns0:f>
        <ns0:v>43 Ом</ns0:v>
      </ns0:c>
      <ns0:c r="E42" t="str" s="10">
        <ns0:v>±5%</ns0:v>
      </ns0:c>
      <ns0:c r="F42" t="str" s="10">
        <ns0:v>0,1 Вт</ns0:v>
      </ns0:c>
      <ns0:c r="G42" t="str" s="10">
        <ns0:v>75 В макс.</ns0:v>
      </ns0:c>
      <ns0:c r="H42" t="str" s="12">
        <ns0:v>0603</ns0:v>
      </ns0:c>
      <ns0:c r="I42" t="str" s="10">
        <ns0:v>YAGEO</ns0:v>
      </ns0:c>
      <ns0:c r="J42" t="str" s="10">
        <ns0:v>RC0603JR-0743RL</ns0:v>
      </ns0:c>
      <ns0:c r="K42" t="str" s="11">
        <ns0:f>B42&amp;" "&amp;D42&amp;" "&amp;E42&amp;" "&amp;H42</ns0:f>
        <ns0:v>Резистор 43 Ом ±5% 0603</ns0:v>
      </ns0:c>
      <ns0:c r="L42" t="str" s="13">
        <ns0:v>R</ns0:v>
      </ns0:c>
      <ns0:c r="M42" t="str" s="13">
        <ns0:v>Symbols\MY_LIB_Resistors.SchLib</ns0:v>
      </ns0:c>
      <ns0:c r="N42" t="str" s="13">
        <ns0:v>RESC1608X55N</ns0:v>
      </ns0:c>
      <ns0:c r="O42" t="str" s="13">
        <ns0:v>Footprints\PBL - SMD Packages.PcbLib</ns0:v>
      </ns0:c>
      <ns0:c r="P42" t="str" s="10">
        <ns0:v>RC_L; E24; P при 70 °C</ns0:v>
      </ns0:c>
      <ns0:c r="Q42" s="10"/>
      <ns0:c r="R42" t="str" s="11">
        <ns0:f>D42</ns0:f>
        <ns0:v>43 Ом</ns0:v>
      </ns0:c>
      <ns0:c r="S42" t="str" s="11">
        <ns0:f>K42</ns0:f>
        <ns0:v>Резистор 43 Ом ±5% 0603</ns0:v>
      </ns0:c>
      <x:c xmlns:x="http://schemas.openxmlformats.org/spreadsheetml/2006/main" r="T42" t="str" s="11">
        <x:v>C:\Users\Nomatin\Documents\Altium\MY_LIB\MY_LIB\Datasheets\YAGEO_RC_L.pdf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C:\Users\Nomatin\Documents\Altium\MY_LIB\MY_LIB\Datasheets\YAGEO_RC_L.pdf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https://yageogroup.com/content/datasheet/asset/file/PYU-RC_GROUP_51_ROHS_L</x:v>
      </x:c>
      <x:c xmlns:x="http://schemas.openxmlformats.org/spreadsheetml/2006/main" r="Y42" t="str" s="11">
        <x:v>C:\Users\Nomatin\Documents\Altium\MY_LIB\MY_LIB\Datasheets\YAGEO_RC_L.pdf</x:v>
      </x:c>
    </ns0:row>
    <ns0:row r="43" ht="30" customHeight="1">
      <ns0:c r="A43" t="str" s="10">
        <ns0:v>R0049</ns0:v>
      </ns0:c>
      <ns0:c r="B43" t="str" s="10">
        <ns0:v>Резистор</ns0:v>
      </ns0:c>
      <ns0:c r="C43" t="str" s="10">
        <ns0:v>47R</ns0:v>
      </ns0:c>
      <ns0:c r="D43" t="str" s="11">
        <ns0:f>SUBSTITUTE(SUBSTITUTE(SUBSTITUTE(SUBSTITUTE(C43,"meg"," МОм"),"k"," кОм"),"R"," Ом"),".",",")</ns0:f>
        <ns0:v>47 Ом</ns0:v>
      </ns0:c>
      <ns0:c r="E43" t="str" s="10">
        <ns0:v>±5%</ns0:v>
      </ns0:c>
      <ns0:c r="F43" t="str" s="10">
        <ns0:v>0,1 Вт</ns0:v>
      </ns0:c>
      <ns0:c r="G43" t="str" s="10">
        <ns0:v>75 В макс.</ns0:v>
      </ns0:c>
      <ns0:c r="H43" t="str" s="12">
        <ns0:v>0603</ns0:v>
      </ns0:c>
      <ns0:c r="I43" t="str" s="10">
        <ns0:v>YAGEO</ns0:v>
      </ns0:c>
      <ns0:c r="J43" t="str" s="10">
        <ns0:v>RC0603JR-0747RL</ns0:v>
      </ns0:c>
      <ns0:c r="K43" t="str" s="11">
        <ns0:f>B43&amp;" "&amp;D43&amp;" "&amp;E43&amp;" "&amp;H43</ns0:f>
        <ns0:v>Резистор 47 Ом ±5% 0603</ns0:v>
      </ns0:c>
      <ns0:c r="L43" t="str" s="13">
        <ns0:v>R</ns0:v>
      </ns0:c>
      <ns0:c r="M43" t="str" s="13">
        <ns0:v>Symbols\MY_LIB_Resistors.SchLib</ns0:v>
      </ns0:c>
      <ns0:c r="N43" t="str" s="13">
        <ns0:v>RESC1608X55N</ns0:v>
      </ns0:c>
      <ns0:c r="O43" t="str" s="13">
        <ns0:v>Footprints\PBL - SMD Packages.PcbLib</ns0:v>
      </ns0:c>
      <ns0:c r="P43" t="str" s="10">
        <ns0:v>RC_L; E24; P при 70 °C</ns0:v>
      </ns0:c>
      <ns0:c r="Q43" s="10"/>
      <ns0:c r="R43" t="str" s="11">
        <ns0:f>D43</ns0:f>
        <ns0:v>47 Ом</ns0:v>
      </ns0:c>
      <ns0:c r="S43" t="str" s="11">
        <ns0:f>K43</ns0:f>
        <ns0:v>Резистор 47 Ом ±5% 0603</ns0:v>
      </ns0:c>
      <x:c xmlns:x="http://schemas.openxmlformats.org/spreadsheetml/2006/main" r="T43" t="str" s="11">
        <x:v>C:\Users\Nomatin\Documents\Altium\MY_LIB\MY_LIB\Datasheets\YAGEO_RC_L.pdf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C:\Users\Nomatin\Documents\Altium\MY_LIB\MY_LIB\Datasheets\YAGEO_RC_L.pdf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https://yageogroup.com/content/datasheet/asset/file/PYU-RC_GROUP_51_ROHS_L</x:v>
      </x:c>
      <x:c xmlns:x="http://schemas.openxmlformats.org/spreadsheetml/2006/main" r="Y43" t="str" s="11">
        <x:v>C:\Users\Nomatin\Documents\Altium\MY_LIB\MY_LIB\Datasheets\YAGEO_RC_L.pdf</x:v>
      </x:c>
    </ns0:row>
    <ns0:row r="44" ht="30" customHeight="1">
      <ns0:c r="A44" t="str" s="10">
        <ns0:v>R0050</ns0:v>
      </ns0:c>
      <ns0:c r="B44" t="str" s="10">
        <ns0:v>Резистор</ns0:v>
      </ns0:c>
      <ns0:c r="C44" t="str" s="10">
        <ns0:v>51R</ns0:v>
      </ns0:c>
      <ns0:c r="D44" t="str" s="11">
        <ns0:f>SUBSTITUTE(SUBSTITUTE(SUBSTITUTE(SUBSTITUTE(C44,"meg"," МОм"),"k"," кОм"),"R"," Ом"),".",",")</ns0:f>
        <ns0:v>51 Ом</ns0:v>
      </ns0:c>
      <ns0:c r="E44" t="str" s="10">
        <ns0:v>±5%</ns0:v>
      </ns0:c>
      <ns0:c r="F44" t="str" s="10">
        <ns0:v>0,1 Вт</ns0:v>
      </ns0:c>
      <ns0:c r="G44" t="str" s="10">
        <ns0:v>75 В макс.</ns0:v>
      </ns0:c>
      <ns0:c r="H44" t="str" s="12">
        <ns0:v>0603</ns0:v>
      </ns0:c>
      <ns0:c r="I44" t="str" s="10">
        <ns0:v>YAGEO</ns0:v>
      </ns0:c>
      <ns0:c r="J44" t="str" s="10">
        <ns0:v>RC0603JR-0751RL</ns0:v>
      </ns0:c>
      <ns0:c r="K44" t="str" s="11">
        <ns0:f>B44&amp;" "&amp;D44&amp;" "&amp;E44&amp;" "&amp;H44</ns0:f>
        <ns0:v>Резистор 51 Ом ±5% 0603</ns0:v>
      </ns0:c>
      <ns0:c r="L44" t="str" s="13">
        <ns0:v>R</ns0:v>
      </ns0:c>
      <ns0:c r="M44" t="str" s="13">
        <ns0:v>Symbols\MY_LIB_Resistors.SchLib</ns0:v>
      </ns0:c>
      <ns0:c r="N44" t="str" s="13">
        <ns0:v>RESC1608X55N</ns0:v>
      </ns0:c>
      <ns0:c r="O44" t="str" s="13">
        <ns0:v>Footprints\PBL - SMD Packages.PcbLib</ns0:v>
      </ns0:c>
      <ns0:c r="P44" t="str" s="10">
        <ns0:v>RC_L; E24; P при 70 °C</ns0:v>
      </ns0:c>
      <ns0:c r="Q44" s="10"/>
      <ns0:c r="R44" t="str" s="11">
        <ns0:f>D44</ns0:f>
        <ns0:v>51 Ом</ns0:v>
      </ns0:c>
      <ns0:c r="S44" t="str" s="11">
        <ns0:f>K44</ns0:f>
        <ns0:v>Резистор 51 Ом ±5% 0603</ns0:v>
      </ns0:c>
      <x:c xmlns:x="http://schemas.openxmlformats.org/spreadsheetml/2006/main" r="T44" t="str" s="11">
        <x:v>C:\Users\Nomatin\Documents\Altium\MY_LIB\MY_LIB\Datasheets\YAGEO_RC_L.pdf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C:\Users\Nomatin\Documents\Altium\MY_LIB\MY_LIB\Datasheets\YAGEO_RC_L.pdf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https://yageogroup.com/content/datasheet/asset/file/PYU-RC_GROUP_51_ROHS_L</x:v>
      </x:c>
      <x:c xmlns:x="http://schemas.openxmlformats.org/spreadsheetml/2006/main" r="Y44" t="str" s="11">
        <x:v>C:\Users\Nomatin\Documents\Altium\MY_LIB\MY_LIB\Datasheets\YAGEO_RC_L.pdf</x:v>
      </x:c>
    </ns0:row>
    <ns0:row r="45" ht="30" customHeight="1">
      <ns0:c r="A45" t="str" s="10">
        <ns0:v>R0051</ns0:v>
      </ns0:c>
      <ns0:c r="B45" t="str" s="10">
        <ns0:v>Резистор</ns0:v>
      </ns0:c>
      <ns0:c r="C45" t="str" s="10">
        <ns0:v>56R</ns0:v>
      </ns0:c>
      <ns0:c r="D45" t="str" s="11">
        <ns0:f>SUBSTITUTE(SUBSTITUTE(SUBSTITUTE(SUBSTITUTE(C45,"meg"," МОм"),"k"," кОм"),"R"," Ом"),".",",")</ns0:f>
        <ns0:v>56 Ом</ns0:v>
      </ns0:c>
      <ns0:c r="E45" t="str" s="10">
        <ns0:v>±5%</ns0:v>
      </ns0:c>
      <ns0:c r="F45" t="str" s="10">
        <ns0:v>0,1 Вт</ns0:v>
      </ns0:c>
      <ns0:c r="G45" t="str" s="10">
        <ns0:v>75 В макс.</ns0:v>
      </ns0:c>
      <ns0:c r="H45" t="str" s="12">
        <ns0:v>0603</ns0:v>
      </ns0:c>
      <ns0:c r="I45" t="str" s="10">
        <ns0:v>YAGEO</ns0:v>
      </ns0:c>
      <ns0:c r="J45" t="str" s="10">
        <ns0:v>RC0603JR-0756RL</ns0:v>
      </ns0:c>
      <ns0:c r="K45" t="str" s="11">
        <ns0:f>B45&amp;" "&amp;D45&amp;" "&amp;E45&amp;" "&amp;H45</ns0:f>
        <ns0:v>Резистор 56 Ом ±5% 0603</ns0:v>
      </ns0:c>
      <ns0:c r="L45" t="str" s="13">
        <ns0:v>R</ns0:v>
      </ns0:c>
      <ns0:c r="M45" t="str" s="13">
        <ns0:v>Symbols\MY_LIB_Resistors.SchLib</ns0:v>
      </ns0:c>
      <ns0:c r="N45" t="str" s="13">
        <ns0:v>RESC1608X55N</ns0:v>
      </ns0:c>
      <ns0:c r="O45" t="str" s="13">
        <ns0:v>Footprints\PBL - SMD Packages.PcbLib</ns0:v>
      </ns0:c>
      <ns0:c r="P45" t="str" s="10">
        <ns0:v>RC_L; E24; P при 70 °C</ns0:v>
      </ns0:c>
      <ns0:c r="Q45" s="10"/>
      <ns0:c r="R45" t="str" s="11">
        <ns0:f>D45</ns0:f>
        <ns0:v>56 Ом</ns0:v>
      </ns0:c>
      <ns0:c r="S45" t="str" s="11">
        <ns0:f>K45</ns0:f>
        <ns0:v>Резистор 56 Ом ±5% 0603</ns0:v>
      </ns0:c>
      <x:c xmlns:x="http://schemas.openxmlformats.org/spreadsheetml/2006/main" r="T45" t="str" s="11">
        <x:v>C:\Users\Nomatin\Documents\Altium\MY_LIB\MY_LIB\Datasheets\YAGEO_RC_L.pdf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C:\Users\Nomatin\Documents\Altium\MY_LIB\MY_LIB\Datasheets\YAGEO_RC_L.pdf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https://yageogroup.com/content/datasheet/asset/file/PYU-RC_GROUP_51_ROHS_L</x:v>
      </x:c>
      <x:c xmlns:x="http://schemas.openxmlformats.org/spreadsheetml/2006/main" r="Y45" t="str" s="11">
        <x:v>C:\Users\Nomatin\Documents\Altium\MY_LIB\MY_LIB\Datasheets\YAGEO_RC_L.pdf</x:v>
      </x:c>
    </ns0:row>
    <ns0:row r="46" ht="30" customHeight="1">
      <ns0:c r="A46" t="str" s="10">
        <ns0:v>R0052</ns0:v>
      </ns0:c>
      <ns0:c r="B46" t="str" s="10">
        <ns0:v>Резистор</ns0:v>
      </ns0:c>
      <ns0:c r="C46" t="str" s="10">
        <ns0:v>62R</ns0:v>
      </ns0:c>
      <ns0:c r="D46" t="str" s="11">
        <ns0:f>SUBSTITUTE(SUBSTITUTE(SUBSTITUTE(SUBSTITUTE(C46,"meg"," МОм"),"k"," кОм"),"R"," Ом"),".",",")</ns0:f>
        <ns0:v>62 Ом</ns0:v>
      </ns0:c>
      <ns0:c r="E46" t="str" s="10">
        <ns0:v>±5%</ns0:v>
      </ns0:c>
      <ns0:c r="F46" t="str" s="10">
        <ns0:v>0,1 Вт</ns0:v>
      </ns0:c>
      <ns0:c r="G46" t="str" s="10">
        <ns0:v>75 В макс.</ns0:v>
      </ns0:c>
      <ns0:c r="H46" t="str" s="12">
        <ns0:v>0603</ns0:v>
      </ns0:c>
      <ns0:c r="I46" t="str" s="10">
        <ns0:v>YAGEO</ns0:v>
      </ns0:c>
      <ns0:c r="J46" t="str" s="10">
        <ns0:v>RC0603JR-0762RL</ns0:v>
      </ns0:c>
      <ns0:c r="K46" t="str" s="11">
        <ns0:f>B46&amp;" "&amp;D46&amp;" "&amp;E46&amp;" "&amp;H46</ns0:f>
        <ns0:v>Резистор 62 Ом ±5% 0603</ns0:v>
      </ns0:c>
      <ns0:c r="L46" t="str" s="13">
        <ns0:v>R</ns0:v>
      </ns0:c>
      <ns0:c r="M46" t="str" s="13">
        <ns0:v>Symbols\MY_LIB_Resistors.SchLib</ns0:v>
      </ns0:c>
      <ns0:c r="N46" t="str" s="13">
        <ns0:v>RESC1608X55N</ns0:v>
      </ns0:c>
      <ns0:c r="O46" t="str" s="13">
        <ns0:v>Footprints\PBL - SMD Packages.PcbLib</ns0:v>
      </ns0:c>
      <ns0:c r="P46" t="str" s="10">
        <ns0:v>RC_L; E24; P при 70 °C</ns0:v>
      </ns0:c>
      <ns0:c r="Q46" s="10"/>
      <ns0:c r="R46" t="str" s="11">
        <ns0:f>D46</ns0:f>
        <ns0:v>62 Ом</ns0:v>
      </ns0:c>
      <ns0:c r="S46" t="str" s="11">
        <ns0:f>K46</ns0:f>
        <ns0:v>Резистор 62 Ом ±5% 0603</ns0:v>
      </ns0:c>
      <x:c xmlns:x="http://schemas.openxmlformats.org/spreadsheetml/2006/main" r="T46" t="str" s="11">
        <x:v>C:\Users\Nomatin\Documents\Altium\MY_LIB\MY_LIB\Datasheets\YAGEO_RC_L.pdf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C:\Users\Nomatin\Documents\Altium\MY_LIB\MY_LIB\Datasheets\YAGEO_RC_L.pdf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https://yageogroup.com/content/datasheet/asset/file/PYU-RC_GROUP_51_ROHS_L</x:v>
      </x:c>
      <x:c xmlns:x="http://schemas.openxmlformats.org/spreadsheetml/2006/main" r="Y46" t="str" s="11">
        <x:v>C:\Users\Nomatin\Documents\Altium\MY_LIB\MY_LIB\Datasheets\YAGEO_RC_L.pdf</x:v>
      </x:c>
    </ns0:row>
    <ns0:row r="47" ht="30" customHeight="1">
      <ns0:c r="A47" t="str" s="10">
        <ns0:v>R0053</ns0:v>
      </ns0:c>
      <ns0:c r="B47" t="str" s="10">
        <ns0:v>Резистор</ns0:v>
      </ns0:c>
      <ns0:c r="C47" t="str" s="10">
        <ns0:v>68R</ns0:v>
      </ns0:c>
      <ns0:c r="D47" t="str" s="11">
        <ns0:f>SUBSTITUTE(SUBSTITUTE(SUBSTITUTE(SUBSTITUTE(C47,"meg"," МОм"),"k"," кОм"),"R"," Ом"),".",",")</ns0:f>
        <ns0:v>68 Ом</ns0:v>
      </ns0:c>
      <ns0:c r="E47" t="str" s="10">
        <ns0:v>±5%</ns0:v>
      </ns0:c>
      <ns0:c r="F47" t="str" s="10">
        <ns0:v>0,1 Вт</ns0:v>
      </ns0:c>
      <ns0:c r="G47" t="str" s="10">
        <ns0:v>75 В макс.</ns0:v>
      </ns0:c>
      <ns0:c r="H47" t="str" s="12">
        <ns0:v>0603</ns0:v>
      </ns0:c>
      <ns0:c r="I47" t="str" s="10">
        <ns0:v>YAGEO</ns0:v>
      </ns0:c>
      <ns0:c r="J47" t="str" s="10">
        <ns0:v>RC0603JR-0768RL</ns0:v>
      </ns0:c>
      <ns0:c r="K47" t="str" s="11">
        <ns0:f>B47&amp;" "&amp;D47&amp;" "&amp;E47&amp;" "&amp;H47</ns0:f>
        <ns0:v>Резистор 68 Ом ±5% 0603</ns0:v>
      </ns0:c>
      <ns0:c r="L47" t="str" s="13">
        <ns0:v>R</ns0:v>
      </ns0:c>
      <ns0:c r="M47" t="str" s="13">
        <ns0:v>Symbols\MY_LIB_Resistors.SchLib</ns0:v>
      </ns0:c>
      <ns0:c r="N47" t="str" s="13">
        <ns0:v>RESC1608X55N</ns0:v>
      </ns0:c>
      <ns0:c r="O47" t="str" s="13">
        <ns0:v>Footprints\PBL - SMD Packages.PcbLib</ns0:v>
      </ns0:c>
      <ns0:c r="P47" t="str" s="10">
        <ns0:v>RC_L; E24; P при 70 °C</ns0:v>
      </ns0:c>
      <ns0:c r="Q47" s="10"/>
      <ns0:c r="R47" t="str" s="11">
        <ns0:f>D47</ns0:f>
        <ns0:v>68 Ом</ns0:v>
      </ns0:c>
      <ns0:c r="S47" t="str" s="11">
        <ns0:f>K47</ns0:f>
        <ns0:v>Резистор 68 Ом ±5% 0603</ns0:v>
      </ns0:c>
      <x:c xmlns:x="http://schemas.openxmlformats.org/spreadsheetml/2006/main" r="T47" t="str" s="11">
        <x:v>C:\Users\Nomatin\Documents\Altium\MY_LIB\MY_LIB\Datasheets\YAGEO_RC_L.pdf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C:\Users\Nomatin\Documents\Altium\MY_LIB\MY_LIB\Datasheets\YAGEO_RC_L.pdf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https://yageogroup.com/content/datasheet/asset/file/PYU-RC_GROUP_51_ROHS_L</x:v>
      </x:c>
      <x:c xmlns:x="http://schemas.openxmlformats.org/spreadsheetml/2006/main" r="Y47" t="str" s="11">
        <x:v>C:\Users\Nomatin\Documents\Altium\MY_LIB\MY_LIB\Datasheets\YAGEO_RC_L.pdf</x:v>
      </x:c>
    </ns0:row>
    <ns0:row r="48" ht="30" customHeight="1">
      <ns0:c r="A48" t="str" s="10">
        <ns0:v>R0054</ns0:v>
      </ns0:c>
      <ns0:c r="B48" t="str" s="10">
        <ns0:v>Резистор</ns0:v>
      </ns0:c>
      <ns0:c r="C48" t="str" s="10">
        <ns0:v>75R</ns0:v>
      </ns0:c>
      <ns0:c r="D48" t="str" s="11">
        <ns0:f>SUBSTITUTE(SUBSTITUTE(SUBSTITUTE(SUBSTITUTE(C48,"meg"," МОм"),"k"," кОм"),"R"," Ом"),".",",")</ns0:f>
        <ns0:v>75 Ом</ns0:v>
      </ns0:c>
      <ns0:c r="E48" t="str" s="10">
        <ns0:v>±5%</ns0:v>
      </ns0:c>
      <ns0:c r="F48" t="str" s="10">
        <ns0:v>0,1 Вт</ns0:v>
      </ns0:c>
      <ns0:c r="G48" t="str" s="10">
        <ns0:v>75 В макс.</ns0:v>
      </ns0:c>
      <ns0:c r="H48" t="str" s="12">
        <ns0:v>0603</ns0:v>
      </ns0:c>
      <ns0:c r="I48" t="str" s="10">
        <ns0:v>YAGEO</ns0:v>
      </ns0:c>
      <ns0:c r="J48" t="str" s="10">
        <ns0:v>RC0603JR-0775RL</ns0:v>
      </ns0:c>
      <ns0:c r="K48" t="str" s="11">
        <ns0:f>B48&amp;" "&amp;D48&amp;" "&amp;E48&amp;" "&amp;H48</ns0:f>
        <ns0:v>Резистор 75 Ом ±5% 0603</ns0:v>
      </ns0:c>
      <ns0:c r="L48" t="str" s="13">
        <ns0:v>R</ns0:v>
      </ns0:c>
      <ns0:c r="M48" t="str" s="13">
        <ns0:v>Symbols\MY_LIB_Resistors.SchLib</ns0:v>
      </ns0:c>
      <ns0:c r="N48" t="str" s="13">
        <ns0:v>RESC1608X55N</ns0:v>
      </ns0:c>
      <ns0:c r="O48" t="str" s="13">
        <ns0:v>Footprints\PBL - SMD Packages.PcbLib</ns0:v>
      </ns0:c>
      <ns0:c r="P48" t="str" s="10">
        <ns0:v>RC_L; E24; P при 70 °C</ns0:v>
      </ns0:c>
      <ns0:c r="Q48" s="10"/>
      <ns0:c r="R48" t="str" s="11">
        <ns0:f>D48</ns0:f>
        <ns0:v>75 Ом</ns0:v>
      </ns0:c>
      <ns0:c r="S48" t="str" s="11">
        <ns0:f>K48</ns0:f>
        <ns0:v>Резистор 75 Ом ±5% 0603</ns0:v>
      </ns0:c>
      <x:c xmlns:x="http://schemas.openxmlformats.org/spreadsheetml/2006/main" r="T48" t="str" s="11">
        <x:v>C:\Users\Nomatin\Documents\Altium\MY_LIB\MY_LIB\Datasheets\YAGEO_RC_L.pdf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C:\Users\Nomatin\Documents\Altium\MY_LIB\MY_LIB\Datasheets\YAGEO_RC_L.pdf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https://yageogroup.com/content/datasheet/asset/file/PYU-RC_GROUP_51_ROHS_L</x:v>
      </x:c>
      <x:c xmlns:x="http://schemas.openxmlformats.org/spreadsheetml/2006/main" r="Y48" t="str" s="11">
        <x:v>C:\Users\Nomatin\Documents\Altium\MY_LIB\MY_LIB\Datasheets\YAGEO_RC_L.pdf</x:v>
      </x:c>
    </ns0:row>
    <ns0:row r="49" ht="30" customHeight="1">
      <ns0:c r="A49" t="str" s="10">
        <ns0:v>R0055</ns0:v>
      </ns0:c>
      <ns0:c r="B49" t="str" s="10">
        <ns0:v>Резистор</ns0:v>
      </ns0:c>
      <ns0:c r="C49" t="str" s="10">
        <ns0:v>82R</ns0:v>
      </ns0:c>
      <ns0:c r="D49" t="str" s="11">
        <ns0:f>SUBSTITUTE(SUBSTITUTE(SUBSTITUTE(SUBSTITUTE(C49,"meg"," МОм"),"k"," кОм"),"R"," Ом"),".",",")</ns0:f>
        <ns0:v>82 Ом</ns0:v>
      </ns0:c>
      <ns0:c r="E49" t="str" s="10">
        <ns0:v>±5%</ns0:v>
      </ns0:c>
      <ns0:c r="F49" t="str" s="10">
        <ns0:v>0,1 Вт</ns0:v>
      </ns0:c>
      <ns0:c r="G49" t="str" s="10">
        <ns0:v>75 В макс.</ns0:v>
      </ns0:c>
      <ns0:c r="H49" t="str" s="12">
        <ns0:v>0603</ns0:v>
      </ns0:c>
      <ns0:c r="I49" t="str" s="10">
        <ns0:v>YAGEO</ns0:v>
      </ns0:c>
      <ns0:c r="J49" t="str" s="10">
        <ns0:v>RC0603JR-0782RL</ns0:v>
      </ns0:c>
      <ns0:c r="K49" t="str" s="11">
        <ns0:f>B49&amp;" "&amp;D49&amp;" "&amp;E49&amp;" "&amp;H49</ns0:f>
        <ns0:v>Резистор 82 Ом ±5% 0603</ns0:v>
      </ns0:c>
      <ns0:c r="L49" t="str" s="13">
        <ns0:v>R</ns0:v>
      </ns0:c>
      <ns0:c r="M49" t="str" s="13">
        <ns0:v>Symbols\MY_LIB_Resistors.SchLib</ns0:v>
      </ns0:c>
      <ns0:c r="N49" t="str" s="13">
        <ns0:v>RESC1608X55N</ns0:v>
      </ns0:c>
      <ns0:c r="O49" t="str" s="13">
        <ns0:v>Footprints\PBL - SMD Packages.PcbLib</ns0:v>
      </ns0:c>
      <ns0:c r="P49" t="str" s="10">
        <ns0:v>RC_L; E24; P при 70 °C</ns0:v>
      </ns0:c>
      <ns0:c r="Q49" s="10"/>
      <ns0:c r="R49" t="str" s="11">
        <ns0:f>D49</ns0:f>
        <ns0:v>82 Ом</ns0:v>
      </ns0:c>
      <ns0:c r="S49" t="str" s="11">
        <ns0:f>K49</ns0:f>
        <ns0:v>Резистор 82 Ом ±5% 0603</ns0:v>
      </ns0:c>
      <x:c xmlns:x="http://schemas.openxmlformats.org/spreadsheetml/2006/main" r="T49" t="str" s="11">
        <x:v>C:\Users\Nomatin\Documents\Altium\MY_LIB\MY_LIB\Datasheets\YAGEO_RC_L.pdf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C:\Users\Nomatin\Documents\Altium\MY_LIB\MY_LIB\Datasheets\YAGEO_RC_L.pdf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https://yageogroup.com/content/datasheet/asset/file/PYU-RC_GROUP_51_ROHS_L</x:v>
      </x:c>
      <x:c xmlns:x="http://schemas.openxmlformats.org/spreadsheetml/2006/main" r="Y49" t="str" s="11">
        <x:v>C:\Users\Nomatin\Documents\Altium\MY_LIB\MY_LIB\Datasheets\YAGEO_RC_L.pdf</x:v>
      </x:c>
    </ns0:row>
    <ns0:row r="50" ht="30" customHeight="1">
      <ns0:c r="A50" t="str" s="10">
        <ns0:v>R0056</ns0:v>
      </ns0:c>
      <ns0:c r="B50" t="str" s="10">
        <ns0:v>Резистор</ns0:v>
      </ns0:c>
      <ns0:c r="C50" t="str" s="10">
        <ns0:v>91R</ns0:v>
      </ns0:c>
      <ns0:c r="D50" t="str" s="11">
        <ns0:f>SUBSTITUTE(SUBSTITUTE(SUBSTITUTE(SUBSTITUTE(C50,"meg"," МОм"),"k"," кОм"),"R"," Ом"),".",",")</ns0:f>
        <ns0:v>91 Ом</ns0:v>
      </ns0:c>
      <ns0:c r="E50" t="str" s="10">
        <ns0:v>±5%</ns0:v>
      </ns0:c>
      <ns0:c r="F50" t="str" s="10">
        <ns0:v>0,1 Вт</ns0:v>
      </ns0:c>
      <ns0:c r="G50" t="str" s="10">
        <ns0:v>75 В макс.</ns0:v>
      </ns0:c>
      <ns0:c r="H50" t="str" s="12">
        <ns0:v>0603</ns0:v>
      </ns0:c>
      <ns0:c r="I50" t="str" s="10">
        <ns0:v>YAGEO</ns0:v>
      </ns0:c>
      <ns0:c r="J50" t="str" s="10">
        <ns0:v>RC0603JR-0791RL</ns0:v>
      </ns0:c>
      <ns0:c r="K50" t="str" s="11">
        <ns0:f>B50&amp;" "&amp;D50&amp;" "&amp;E50&amp;" "&amp;H50</ns0:f>
        <ns0:v>Резистор 91 Ом ±5% 0603</ns0:v>
      </ns0:c>
      <ns0:c r="L50" t="str" s="13">
        <ns0:v>R</ns0:v>
      </ns0:c>
      <ns0:c r="M50" t="str" s="13">
        <ns0:v>Symbols\MY_LIB_Resistors.SchLib</ns0:v>
      </ns0:c>
      <ns0:c r="N50" t="str" s="13">
        <ns0:v>RESC1608X55N</ns0:v>
      </ns0:c>
      <ns0:c r="O50" t="str" s="13">
        <ns0:v>Footprints\PBL - SMD Packages.PcbLib</ns0:v>
      </ns0:c>
      <ns0:c r="P50" t="str" s="10">
        <ns0:v>RC_L; E24; P при 70 °C</ns0:v>
      </ns0:c>
      <ns0:c r="Q50" s="10"/>
      <ns0:c r="R50" t="str" s="11">
        <ns0:f>D50</ns0:f>
        <ns0:v>91 Ом</ns0:v>
      </ns0:c>
      <ns0:c r="S50" t="str" s="11">
        <ns0:f>K50</ns0:f>
        <ns0:v>Резистор 91 Ом ±5% 0603</ns0:v>
      </ns0:c>
      <x:c xmlns:x="http://schemas.openxmlformats.org/spreadsheetml/2006/main" r="T50" t="str" s="11">
        <x:v>C:\Users\Nomatin\Documents\Altium\MY_LIB\MY_LIB\Datasheets\YAGEO_RC_L.pdf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C:\Users\Nomatin\Documents\Altium\MY_LIB\MY_LIB\Datasheets\YAGEO_RC_L.pdf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https://yageogroup.com/content/datasheet/asset/file/PYU-RC_GROUP_51_ROHS_L</x:v>
      </x:c>
      <x:c xmlns:x="http://schemas.openxmlformats.org/spreadsheetml/2006/main" r="Y50" t="str" s="11">
        <x:v>C:\Users\Nomatin\Documents\Altium\MY_LIB\MY_LIB\Datasheets\YAGEO_RC_L.pdf</x:v>
      </x:c>
    </ns0:row>
    <ns0:row r="51" ht="30" customHeight="1">
      <ns0:c r="A51" t="str" s="10">
        <ns0:v>R0057</ns0:v>
      </ns0:c>
      <ns0:c r="B51" t="str" s="10">
        <ns0:v>Резистор</ns0:v>
      </ns0:c>
      <ns0:c r="C51" t="str" s="10">
        <ns0:v>100R</ns0:v>
      </ns0:c>
      <ns0:c r="D51" t="str" s="11">
        <ns0:f>SUBSTITUTE(SUBSTITUTE(SUBSTITUTE(SUBSTITUTE(C51,"meg"," МОм"),"k"," кОм"),"R"," Ом"),".",",")</ns0:f>
        <ns0:v>100 Ом</ns0:v>
      </ns0:c>
      <ns0:c r="E51" t="str" s="10">
        <ns0:v>±5%</ns0:v>
      </ns0:c>
      <ns0:c r="F51" t="str" s="10">
        <ns0:v>0,1 Вт</ns0:v>
      </ns0:c>
      <ns0:c r="G51" t="str" s="10">
        <ns0:v>75 В макс.</ns0:v>
      </ns0:c>
      <ns0:c r="H51" t="str" s="12">
        <ns0:v>0603</ns0:v>
      </ns0:c>
      <ns0:c r="I51" t="str" s="10">
        <ns0:v>YAGEO</ns0:v>
      </ns0:c>
      <ns0:c r="J51" t="str" s="10">
        <ns0:v>RC0603JR-07100RL</ns0:v>
      </ns0:c>
      <ns0:c r="K51" t="str" s="11">
        <ns0:f>B51&amp;" "&amp;D51&amp;" "&amp;E51&amp;" "&amp;H51</ns0:f>
        <ns0:v>Резистор 100 Ом ±5% 0603</ns0:v>
      </ns0:c>
      <ns0:c r="L51" t="str" s="13">
        <ns0:v>R</ns0:v>
      </ns0:c>
      <ns0:c r="M51" t="str" s="13">
        <ns0:v>Symbols\MY_LIB_Resistors.SchLib</ns0:v>
      </ns0:c>
      <ns0:c r="N51" t="str" s="13">
        <ns0:v>RESC1608X55N</ns0:v>
      </ns0:c>
      <ns0:c r="O51" t="str" s="13">
        <ns0:v>Footprints\PBL - SMD Packages.PcbLib</ns0:v>
      </ns0:c>
      <ns0:c r="P51" t="str" s="10">
        <ns0:v>RC_L; E24; P при 70 °C</ns0:v>
      </ns0:c>
      <ns0:c r="Q51" s="10"/>
      <ns0:c r="R51" t="str" s="11">
        <ns0:f>D51</ns0:f>
        <ns0:v>100 Ом</ns0:v>
      </ns0:c>
      <ns0:c r="S51" t="str" s="11">
        <ns0:f>K51</ns0:f>
        <ns0:v>Резистор 100 Ом ±5% 0603</ns0:v>
      </ns0:c>
      <x:c xmlns:x="http://schemas.openxmlformats.org/spreadsheetml/2006/main" r="T51" t="str" s="11">
        <x:v>C:\Users\Nomatin\Documents\Altium\MY_LIB\MY_LIB\Datasheets\YAGEO_RC_L.pdf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C:\Users\Nomatin\Documents\Altium\MY_LIB\MY_LIB\Datasheets\YAGEO_RC_L.pdf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https://yageogroup.com/content/datasheet/asset/file/PYU-RC_GROUP_51_ROHS_L</x:v>
      </x:c>
      <x:c xmlns:x="http://schemas.openxmlformats.org/spreadsheetml/2006/main" r="Y51" t="str" s="11">
        <x:v>C:\Users\Nomatin\Documents\Altium\MY_LIB\MY_LIB\Datasheets\YAGEO_RC_L.pdf</x:v>
      </x:c>
    </ns0:row>
    <ns0:row r="52" ht="30" customHeight="1">
      <ns0:c r="A52" t="str" s="10">
        <ns0:v>R0058</ns0:v>
      </ns0:c>
      <ns0:c r="B52" t="str" s="10">
        <ns0:v>Резистор</ns0:v>
      </ns0:c>
      <ns0:c r="C52" t="str" s="10">
        <ns0:v>110R</ns0:v>
      </ns0:c>
      <ns0:c r="D52" t="str" s="11">
        <ns0:f>SUBSTITUTE(SUBSTITUTE(SUBSTITUTE(SUBSTITUTE(C52,"meg"," МОм"),"k"," кОм"),"R"," Ом"),".",",")</ns0:f>
        <ns0:v>110 Ом</ns0:v>
      </ns0:c>
      <ns0:c r="E52" t="str" s="10">
        <ns0:v>±5%</ns0:v>
      </ns0:c>
      <ns0:c r="F52" t="str" s="10">
        <ns0:v>0,1 Вт</ns0:v>
      </ns0:c>
      <ns0:c r="G52" t="str" s="10">
        <ns0:v>75 В макс.</ns0:v>
      </ns0:c>
      <ns0:c r="H52" t="str" s="12">
        <ns0:v>0603</ns0:v>
      </ns0:c>
      <ns0:c r="I52" t="str" s="10">
        <ns0:v>YAGEO</ns0:v>
      </ns0:c>
      <ns0:c r="J52" t="str" s="10">
        <ns0:v>RC0603JR-07110RL</ns0:v>
      </ns0:c>
      <ns0:c r="K52" t="str" s="11">
        <ns0:f>B52&amp;" "&amp;D52&amp;" "&amp;E52&amp;" "&amp;H52</ns0:f>
        <ns0:v>Резистор 110 Ом ±5% 0603</ns0:v>
      </ns0:c>
      <ns0:c r="L52" t="str" s="13">
        <ns0:v>R</ns0:v>
      </ns0:c>
      <ns0:c r="M52" t="str" s="13">
        <ns0:v>Symbols\MY_LIB_Resistors.SchLib</ns0:v>
      </ns0:c>
      <ns0:c r="N52" t="str" s="13">
        <ns0:v>RESC1608X55N</ns0:v>
      </ns0:c>
      <ns0:c r="O52" t="str" s="13">
        <ns0:v>Footprints\PBL - SMD Packages.PcbLib</ns0:v>
      </ns0:c>
      <ns0:c r="P52" t="str" s="10">
        <ns0:v>RC_L; E24; P при 70 °C</ns0:v>
      </ns0:c>
      <ns0:c r="Q52" s="10"/>
      <ns0:c r="R52" t="str" s="11">
        <ns0:f>D52</ns0:f>
        <ns0:v>110 Ом</ns0:v>
      </ns0:c>
      <ns0:c r="S52" t="str" s="11">
        <ns0:f>K52</ns0:f>
        <ns0:v>Резистор 110 Ом ±5% 0603</ns0:v>
      </ns0:c>
      <x:c xmlns:x="http://schemas.openxmlformats.org/spreadsheetml/2006/main" r="T52" t="str" s="11">
        <x:v>C:\Users\Nomatin\Documents\Altium\MY_LIB\MY_LIB\Datasheets\YAGEO_RC_L.pdf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C:\Users\Nomatin\Documents\Altium\MY_LIB\MY_LIB\Datasheets\YAGEO_RC_L.pdf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https://yageogroup.com/content/datasheet/asset/file/PYU-RC_GROUP_51_ROHS_L</x:v>
      </x:c>
      <x:c xmlns:x="http://schemas.openxmlformats.org/spreadsheetml/2006/main" r="Y52" t="str" s="11">
        <x:v>C:\Users\Nomatin\Documents\Altium\MY_LIB\MY_LIB\Datasheets\YAGEO_RC_L.pdf</x:v>
      </x:c>
    </ns0:row>
    <ns0:row r="53" ht="30" customHeight="1">
      <ns0:c r="A53" t="str" s="10">
        <ns0:v>R0059</ns0:v>
      </ns0:c>
      <ns0:c r="B53" t="str" s="10">
        <ns0:v>Резистор</ns0:v>
      </ns0:c>
      <ns0:c r="C53" t="str" s="10">
        <ns0:v>120R</ns0:v>
      </ns0:c>
      <ns0:c r="D53" t="str" s="11">
        <ns0:f>SUBSTITUTE(SUBSTITUTE(SUBSTITUTE(SUBSTITUTE(C53,"meg"," МОм"),"k"," кОм"),"R"," Ом"),".",",")</ns0:f>
        <ns0:v>120 Ом</ns0:v>
      </ns0:c>
      <ns0:c r="E53" t="str" s="10">
        <ns0:v>±5%</ns0:v>
      </ns0:c>
      <ns0:c r="F53" t="str" s="10">
        <ns0:v>0,1 Вт</ns0:v>
      </ns0:c>
      <ns0:c r="G53" t="str" s="10">
        <ns0:v>75 В макс.</ns0:v>
      </ns0:c>
      <ns0:c r="H53" t="str" s="12">
        <ns0:v>0603</ns0:v>
      </ns0:c>
      <ns0:c r="I53" t="str" s="10">
        <ns0:v>YAGEO</ns0:v>
      </ns0:c>
      <ns0:c r="J53" t="str" s="10">
        <ns0:v>RC0603JR-07120RL</ns0:v>
      </ns0:c>
      <ns0:c r="K53" t="str" s="11">
        <ns0:f>B53&amp;" "&amp;D53&amp;" "&amp;E53&amp;" "&amp;H53</ns0:f>
        <ns0:v>Резистор 120 Ом ±5% 0603</ns0:v>
      </ns0:c>
      <ns0:c r="L53" t="str" s="13">
        <ns0:v>R</ns0:v>
      </ns0:c>
      <ns0:c r="M53" t="str" s="13">
        <ns0:v>Symbols\MY_LIB_Resistors.SchLib</ns0:v>
      </ns0:c>
      <ns0:c r="N53" t="str" s="13">
        <ns0:v>RESC1608X55N</ns0:v>
      </ns0:c>
      <ns0:c r="O53" t="str" s="13">
        <ns0:v>Footprints\PBL - SMD Packages.PcbLib</ns0:v>
      </ns0:c>
      <ns0:c r="P53" t="str" s="10">
        <ns0:v>RC_L; E24; P при 70 °C</ns0:v>
      </ns0:c>
      <ns0:c r="Q53" s="10"/>
      <ns0:c r="R53" t="str" s="11">
        <ns0:f>D53</ns0:f>
        <ns0:v>120 Ом</ns0:v>
      </ns0:c>
      <ns0:c r="S53" t="str" s="11">
        <ns0:f>K53</ns0:f>
        <ns0:v>Резистор 120 Ом ±5% 0603</ns0:v>
      </ns0:c>
      <x:c xmlns:x="http://schemas.openxmlformats.org/spreadsheetml/2006/main" r="T53" t="str" s="11">
        <x:v>C:\Users\Nomatin\Documents\Altium\MY_LIB\MY_LIB\Datasheets\YAGEO_RC_L.pdf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C:\Users\Nomatin\Documents\Altium\MY_LIB\MY_LIB\Datasheets\YAGEO_RC_L.pdf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https://yageogroup.com/content/datasheet/asset/file/PYU-RC_GROUP_51_ROHS_L</x:v>
      </x:c>
      <x:c xmlns:x="http://schemas.openxmlformats.org/spreadsheetml/2006/main" r="Y53" t="str" s="11">
        <x:v>C:\Users\Nomatin\Documents\Altium\MY_LIB\MY_LIB\Datasheets\YAGEO_RC_L.pdf</x:v>
      </x:c>
    </ns0:row>
    <ns0:row r="54" ht="30" customHeight="1">
      <ns0:c r="A54" t="str" s="10">
        <ns0:v>R0060</ns0:v>
      </ns0:c>
      <ns0:c r="B54" t="str" s="10">
        <ns0:v>Резистор</ns0:v>
      </ns0:c>
      <ns0:c r="C54" t="str" s="10">
        <ns0:v>130R</ns0:v>
      </ns0:c>
      <ns0:c r="D54" t="str" s="11">
        <ns0:f>SUBSTITUTE(SUBSTITUTE(SUBSTITUTE(SUBSTITUTE(C54,"meg"," МОм"),"k"," кОм"),"R"," Ом"),".",",")</ns0:f>
        <ns0:v>130 Ом</ns0:v>
      </ns0:c>
      <ns0:c r="E54" t="str" s="10">
        <ns0:v>±5%</ns0:v>
      </ns0:c>
      <ns0:c r="F54" t="str" s="10">
        <ns0:v>0,1 Вт</ns0:v>
      </ns0:c>
      <ns0:c r="G54" t="str" s="10">
        <ns0:v>75 В макс.</ns0:v>
      </ns0:c>
      <ns0:c r="H54" t="str" s="12">
        <ns0:v>0603</ns0:v>
      </ns0:c>
      <ns0:c r="I54" t="str" s="10">
        <ns0:v>YAGEO</ns0:v>
      </ns0:c>
      <ns0:c r="J54" t="str" s="10">
        <ns0:v>RC0603JR-07130RL</ns0:v>
      </ns0:c>
      <ns0:c r="K54" t="str" s="11">
        <ns0:f>B54&amp;" "&amp;D54&amp;" "&amp;E54&amp;" "&amp;H54</ns0:f>
        <ns0:v>Резистор 130 Ом ±5% 0603</ns0:v>
      </ns0:c>
      <ns0:c r="L54" t="str" s="13">
        <ns0:v>R</ns0:v>
      </ns0:c>
      <ns0:c r="M54" t="str" s="13">
        <ns0:v>Symbols\MY_LIB_Resistors.SchLib</ns0:v>
      </ns0:c>
      <ns0:c r="N54" t="str" s="13">
        <ns0:v>RESC1608X55N</ns0:v>
      </ns0:c>
      <ns0:c r="O54" t="str" s="13">
        <ns0:v>Footprints\PBL - SMD Packages.PcbLib</ns0:v>
      </ns0:c>
      <ns0:c r="P54" t="str" s="10">
        <ns0:v>RC_L; E24; P при 70 °C</ns0:v>
      </ns0:c>
      <ns0:c r="Q54" s="10"/>
      <ns0:c r="R54" t="str" s="11">
        <ns0:f>D54</ns0:f>
        <ns0:v>130 Ом</ns0:v>
      </ns0:c>
      <ns0:c r="S54" t="str" s="11">
        <ns0:f>K54</ns0:f>
        <ns0:v>Резистор 130 Ом ±5% 0603</ns0:v>
      </ns0:c>
      <x:c xmlns:x="http://schemas.openxmlformats.org/spreadsheetml/2006/main" r="T54" t="str" s="11">
        <x:v>C:\Users\Nomatin\Documents\Altium\MY_LIB\MY_LIB\Datasheets\YAGEO_RC_L.pdf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C:\Users\Nomatin\Documents\Altium\MY_LIB\MY_LIB\Datasheets\YAGEO_RC_L.pdf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https://yageogroup.com/content/datasheet/asset/file/PYU-RC_GROUP_51_ROHS_L</x:v>
      </x:c>
      <x:c xmlns:x="http://schemas.openxmlformats.org/spreadsheetml/2006/main" r="Y54" t="str" s="11">
        <x:v>C:\Users\Nomatin\Documents\Altium\MY_LIB\MY_LIB\Datasheets\YAGEO_RC_L.pdf</x:v>
      </x:c>
    </ns0:row>
    <ns0:row r="55" ht="30" customHeight="1">
      <ns0:c r="A55" t="str" s="10">
        <ns0:v>R0061</ns0:v>
      </ns0:c>
      <ns0:c r="B55" t="str" s="10">
        <ns0:v>Резистор</ns0:v>
      </ns0:c>
      <ns0:c r="C55" t="str" s="10">
        <ns0:v>150R</ns0:v>
      </ns0:c>
      <ns0:c r="D55" t="str" s="11">
        <ns0:f>SUBSTITUTE(SUBSTITUTE(SUBSTITUTE(SUBSTITUTE(C55,"meg"," МОм"),"k"," кОм"),"R"," Ом"),".",",")</ns0:f>
        <ns0:v>150 Ом</ns0:v>
      </ns0:c>
      <ns0:c r="E55" t="str" s="10">
        <ns0:v>±5%</ns0:v>
      </ns0:c>
      <ns0:c r="F55" t="str" s="10">
        <ns0:v>0,1 Вт</ns0:v>
      </ns0:c>
      <ns0:c r="G55" t="str" s="10">
        <ns0:v>75 В макс.</ns0:v>
      </ns0:c>
      <ns0:c r="H55" t="str" s="12">
        <ns0:v>0603</ns0:v>
      </ns0:c>
      <ns0:c r="I55" t="str" s="10">
        <ns0:v>YAGEO</ns0:v>
      </ns0:c>
      <ns0:c r="J55" t="str" s="10">
        <ns0:v>RC0603JR-07150RL</ns0:v>
      </ns0:c>
      <ns0:c r="K55" t="str" s="11">
        <ns0:f>B55&amp;" "&amp;D55&amp;" "&amp;E55&amp;" "&amp;H55</ns0:f>
        <ns0:v>Резистор 150 Ом ±5% 0603</ns0:v>
      </ns0:c>
      <ns0:c r="L55" t="str" s="13">
        <ns0:v>R</ns0:v>
      </ns0:c>
      <ns0:c r="M55" t="str" s="13">
        <ns0:v>Symbols\MY_LIB_Resistors.SchLib</ns0:v>
      </ns0:c>
      <ns0:c r="N55" t="str" s="13">
        <ns0:v>RESC1608X55N</ns0:v>
      </ns0:c>
      <ns0:c r="O55" t="str" s="13">
        <ns0:v>Footprints\PBL - SMD Packages.PcbLib</ns0:v>
      </ns0:c>
      <ns0:c r="P55" t="str" s="10">
        <ns0:v>RC_L; E24; P при 70 °C</ns0:v>
      </ns0:c>
      <ns0:c r="Q55" s="10"/>
      <ns0:c r="R55" t="str" s="11">
        <ns0:f>D55</ns0:f>
        <ns0:v>150 Ом</ns0:v>
      </ns0:c>
      <ns0:c r="S55" t="str" s="11">
        <ns0:f>K55</ns0:f>
        <ns0:v>Резистор 150 Ом ±5% 0603</ns0:v>
      </ns0:c>
      <x:c xmlns:x="http://schemas.openxmlformats.org/spreadsheetml/2006/main" r="T55" t="str" s="11">
        <x:v>C:\Users\Nomatin\Documents\Altium\MY_LIB\MY_LIB\Datasheets\YAGEO_RC_L.pdf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C:\Users\Nomatin\Documents\Altium\MY_LIB\MY_LIB\Datasheets\YAGEO_RC_L.pdf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https://yageogroup.com/content/datasheet/asset/file/PYU-RC_GROUP_51_ROHS_L</x:v>
      </x:c>
      <x:c xmlns:x="http://schemas.openxmlformats.org/spreadsheetml/2006/main" r="Y55" t="str" s="11">
        <x:v>C:\Users\Nomatin\Documents\Altium\MY_LIB\MY_LIB\Datasheets\YAGEO_RC_L.pdf</x:v>
      </x:c>
    </ns0:row>
    <ns0:row r="56" ht="30" customHeight="1">
      <ns0:c r="A56" t="str" s="10">
        <ns0:v>R0062</ns0:v>
      </ns0:c>
      <ns0:c r="B56" t="str" s="10">
        <ns0:v>Резистор</ns0:v>
      </ns0:c>
      <ns0:c r="C56" t="str" s="10">
        <ns0:v>160R</ns0:v>
      </ns0:c>
      <ns0:c r="D56" t="str" s="11">
        <ns0:f>SUBSTITUTE(SUBSTITUTE(SUBSTITUTE(SUBSTITUTE(C56,"meg"," МОм"),"k"," кОм"),"R"," Ом"),".",",")</ns0:f>
        <ns0:v>160 Ом</ns0:v>
      </ns0:c>
      <ns0:c r="E56" t="str" s="10">
        <ns0:v>±5%</ns0:v>
      </ns0:c>
      <ns0:c r="F56" t="str" s="10">
        <ns0:v>0,1 Вт</ns0:v>
      </ns0:c>
      <ns0:c r="G56" t="str" s="10">
        <ns0:v>75 В макс.</ns0:v>
      </ns0:c>
      <ns0:c r="H56" t="str" s="12">
        <ns0:v>0603</ns0:v>
      </ns0:c>
      <ns0:c r="I56" t="str" s="10">
        <ns0:v>YAGEO</ns0:v>
      </ns0:c>
      <ns0:c r="J56" t="str" s="10">
        <ns0:v>RC0603JR-07160RL</ns0:v>
      </ns0:c>
      <ns0:c r="K56" t="str" s="11">
        <ns0:f>B56&amp;" "&amp;D56&amp;" "&amp;E56&amp;" "&amp;H56</ns0:f>
        <ns0:v>Резистор 160 Ом ±5% 0603</ns0:v>
      </ns0:c>
      <ns0:c r="L56" t="str" s="13">
        <ns0:v>R</ns0:v>
      </ns0:c>
      <ns0:c r="M56" t="str" s="13">
        <ns0:v>Symbols\MY_LIB_Resistors.SchLib</ns0:v>
      </ns0:c>
      <ns0:c r="N56" t="str" s="13">
        <ns0:v>RESC1608X55N</ns0:v>
      </ns0:c>
      <ns0:c r="O56" t="str" s="13">
        <ns0:v>Footprints\PBL - SMD Packages.PcbLib</ns0:v>
      </ns0:c>
      <ns0:c r="P56" t="str" s="10">
        <ns0:v>RC_L; E24; P при 70 °C</ns0:v>
      </ns0:c>
      <ns0:c r="Q56" s="10"/>
      <ns0:c r="R56" t="str" s="11">
        <ns0:f>D56</ns0:f>
        <ns0:v>160 Ом</ns0:v>
      </ns0:c>
      <ns0:c r="S56" t="str" s="11">
        <ns0:f>K56</ns0:f>
        <ns0:v>Резистор 160 Ом ±5% 0603</ns0:v>
      </ns0:c>
      <x:c xmlns:x="http://schemas.openxmlformats.org/spreadsheetml/2006/main" r="T56" t="str" s="11">
        <x:v>C:\Users\Nomatin\Documents\Altium\MY_LIB\MY_LIB\Datasheets\YAGEO_RC_L.pdf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C:\Users\Nomatin\Documents\Altium\MY_LIB\MY_LIB\Datasheets\YAGEO_RC_L.pdf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https://yageogroup.com/content/datasheet/asset/file/PYU-RC_GROUP_51_ROHS_L</x:v>
      </x:c>
      <x:c xmlns:x="http://schemas.openxmlformats.org/spreadsheetml/2006/main" r="Y56" t="str" s="11">
        <x:v>C:\Users\Nomatin\Documents\Altium\MY_LIB\MY_LIB\Datasheets\YAGEO_RC_L.pdf</x:v>
      </x:c>
    </ns0:row>
    <ns0:row r="57" ht="30" customHeight="1">
      <ns0:c r="A57" t="str" s="10">
        <ns0:v>R0063</ns0:v>
      </ns0:c>
      <ns0:c r="B57" t="str" s="10">
        <ns0:v>Резистор</ns0:v>
      </ns0:c>
      <ns0:c r="C57" t="str" s="10">
        <ns0:v>180R</ns0:v>
      </ns0:c>
      <ns0:c r="D57" t="str" s="11">
        <ns0:f>SUBSTITUTE(SUBSTITUTE(SUBSTITUTE(SUBSTITUTE(C57,"meg"," МОм"),"k"," кОм"),"R"," Ом"),".",",")</ns0:f>
        <ns0:v>180 Ом</ns0:v>
      </ns0:c>
      <ns0:c r="E57" t="str" s="10">
        <ns0:v>±5%</ns0:v>
      </ns0:c>
      <ns0:c r="F57" t="str" s="10">
        <ns0:v>0,1 Вт</ns0:v>
      </ns0:c>
      <ns0:c r="G57" t="str" s="10">
        <ns0:v>75 В макс.</ns0:v>
      </ns0:c>
      <ns0:c r="H57" t="str" s="12">
        <ns0:v>0603</ns0:v>
      </ns0:c>
      <ns0:c r="I57" t="str" s="10">
        <ns0:v>YAGEO</ns0:v>
      </ns0:c>
      <ns0:c r="J57" t="str" s="10">
        <ns0:v>RC0603JR-07180RL</ns0:v>
      </ns0:c>
      <ns0:c r="K57" t="str" s="11">
        <ns0:f>B57&amp;" "&amp;D57&amp;" "&amp;E57&amp;" "&amp;H57</ns0:f>
        <ns0:v>Резистор 180 Ом ±5% 0603</ns0:v>
      </ns0:c>
      <ns0:c r="L57" t="str" s="13">
        <ns0:v>R</ns0:v>
      </ns0:c>
      <ns0:c r="M57" t="str" s="13">
        <ns0:v>Symbols\MY_LIB_Resistors.SchLib</ns0:v>
      </ns0:c>
      <ns0:c r="N57" t="str" s="13">
        <ns0:v>RESC1608X55N</ns0:v>
      </ns0:c>
      <ns0:c r="O57" t="str" s="13">
        <ns0:v>Footprints\PBL - SMD Packages.PcbLib</ns0:v>
      </ns0:c>
      <ns0:c r="P57" t="str" s="10">
        <ns0:v>RC_L; E24; P при 70 °C</ns0:v>
      </ns0:c>
      <ns0:c r="Q57" s="10"/>
      <ns0:c r="R57" t="str" s="11">
        <ns0:f>D57</ns0:f>
        <ns0:v>180 Ом</ns0:v>
      </ns0:c>
      <ns0:c r="S57" t="str" s="11">
        <ns0:f>K57</ns0:f>
        <ns0:v>Резистор 180 Ом ±5% 0603</ns0:v>
      </ns0:c>
      <x:c xmlns:x="http://schemas.openxmlformats.org/spreadsheetml/2006/main" r="T57" t="str" s="11">
        <x:v>C:\Users\Nomatin\Documents\Altium\MY_LIB\MY_LIB\Datasheets\YAGEO_RC_L.pdf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C:\Users\Nomatin\Documents\Altium\MY_LIB\MY_LIB\Datasheets\YAGEO_RC_L.pdf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https://yageogroup.com/content/datasheet/asset/file/PYU-RC_GROUP_51_ROHS_L</x:v>
      </x:c>
      <x:c xmlns:x="http://schemas.openxmlformats.org/spreadsheetml/2006/main" r="Y57" t="str" s="11">
        <x:v>C:\Users\Nomatin\Documents\Altium\MY_LIB\MY_LIB\Datasheets\YAGEO_RC_L.pdf</x:v>
      </x:c>
    </ns0:row>
    <ns0:row r="58" ht="30" customHeight="1">
      <ns0:c r="A58" t="str" s="10">
        <ns0:v>R0064</ns0:v>
      </ns0:c>
      <ns0:c r="B58" t="str" s="10">
        <ns0:v>Резистор</ns0:v>
      </ns0:c>
      <ns0:c r="C58" t="str" s="10">
        <ns0:v>200R</ns0:v>
      </ns0:c>
      <ns0:c r="D58" t="str" s="11">
        <ns0:f>SUBSTITUTE(SUBSTITUTE(SUBSTITUTE(SUBSTITUTE(C58,"meg"," МОм"),"k"," кОм"),"R"," Ом"),".",",")</ns0:f>
        <ns0:v>200 Ом</ns0:v>
      </ns0:c>
      <ns0:c r="E58" t="str" s="10">
        <ns0:v>±5%</ns0:v>
      </ns0:c>
      <ns0:c r="F58" t="str" s="10">
        <ns0:v>0,1 Вт</ns0:v>
      </ns0:c>
      <ns0:c r="G58" t="str" s="10">
        <ns0:v>75 В макс.</ns0:v>
      </ns0:c>
      <ns0:c r="H58" t="str" s="12">
        <ns0:v>0603</ns0:v>
      </ns0:c>
      <ns0:c r="I58" t="str" s="10">
        <ns0:v>YAGEO</ns0:v>
      </ns0:c>
      <ns0:c r="J58" t="str" s="10">
        <ns0:v>RC0603JR-07200RL</ns0:v>
      </ns0:c>
      <ns0:c r="K58" t="str" s="11">
        <ns0:f>B58&amp;" "&amp;D58&amp;" "&amp;E58&amp;" "&amp;H58</ns0:f>
        <ns0:v>Резистор 200 Ом ±5% 0603</ns0:v>
      </ns0:c>
      <ns0:c r="L58" t="str" s="13">
        <ns0:v>R</ns0:v>
      </ns0:c>
      <ns0:c r="M58" t="str" s="13">
        <ns0:v>Symbols\MY_LIB_Resistors.SchLib</ns0:v>
      </ns0:c>
      <ns0:c r="N58" t="str" s="13">
        <ns0:v>RESC1608X55N</ns0:v>
      </ns0:c>
      <ns0:c r="O58" t="str" s="13">
        <ns0:v>Footprints\PBL - SMD Packages.PcbLib</ns0:v>
      </ns0:c>
      <ns0:c r="P58" t="str" s="10">
        <ns0:v>RC_L; E24; P при 70 °C</ns0:v>
      </ns0:c>
      <ns0:c r="Q58" s="10"/>
      <ns0:c r="R58" t="str" s="11">
        <ns0:f>D58</ns0:f>
        <ns0:v>200 Ом</ns0:v>
      </ns0:c>
      <ns0:c r="S58" t="str" s="11">
        <ns0:f>K58</ns0:f>
        <ns0:v>Резистор 200 Ом ±5% 0603</ns0:v>
      </ns0:c>
      <x:c xmlns:x="http://schemas.openxmlformats.org/spreadsheetml/2006/main" r="T58" t="str" s="11">
        <x:v>C:\Users\Nomatin\Documents\Altium\MY_LIB\MY_LIB\Datasheets\YAGEO_RC_L.pdf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C:\Users\Nomatin\Documents\Altium\MY_LIB\MY_LIB\Datasheets\YAGEO_RC_L.pdf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https://yageogroup.com/content/datasheet/asset/file/PYU-RC_GROUP_51_ROHS_L</x:v>
      </x:c>
      <x:c xmlns:x="http://schemas.openxmlformats.org/spreadsheetml/2006/main" r="Y58" t="str" s="11">
        <x:v>C:\Users\Nomatin\Documents\Altium\MY_LIB\MY_LIB\Datasheets\YAGEO_RC_L.pdf</x:v>
      </x:c>
    </ns0:row>
    <ns0:row r="59" ht="30" customHeight="1">
      <ns0:c r="A59" t="str" s="10">
        <ns0:v>R0065</ns0:v>
      </ns0:c>
      <ns0:c r="B59" t="str" s="10">
        <ns0:v>Резистор</ns0:v>
      </ns0:c>
      <ns0:c r="C59" t="str" s="10">
        <ns0:v>220R</ns0:v>
      </ns0:c>
      <ns0:c r="D59" t="str" s="11">
        <ns0:f>SUBSTITUTE(SUBSTITUTE(SUBSTITUTE(SUBSTITUTE(C59,"meg"," МОм"),"k"," кОм"),"R"," Ом"),".",",")</ns0:f>
        <ns0:v>220 Ом</ns0:v>
      </ns0:c>
      <ns0:c r="E59" t="str" s="10">
        <ns0:v>±5%</ns0:v>
      </ns0:c>
      <ns0:c r="F59" t="str" s="10">
        <ns0:v>0,1 Вт</ns0:v>
      </ns0:c>
      <ns0:c r="G59" t="str" s="10">
        <ns0:v>75 В макс.</ns0:v>
      </ns0:c>
      <ns0:c r="H59" t="str" s="12">
        <ns0:v>0603</ns0:v>
      </ns0:c>
      <ns0:c r="I59" t="str" s="10">
        <ns0:v>YAGEO</ns0:v>
      </ns0:c>
      <ns0:c r="J59" t="str" s="10">
        <ns0:v>RC0603JR-07220RL</ns0:v>
      </ns0:c>
      <ns0:c r="K59" t="str" s="11">
        <ns0:f>B59&amp;" "&amp;D59&amp;" "&amp;E59&amp;" "&amp;H59</ns0:f>
        <ns0:v>Резистор 220 Ом ±5% 0603</ns0:v>
      </ns0:c>
      <ns0:c r="L59" t="str" s="13">
        <ns0:v>R</ns0:v>
      </ns0:c>
      <ns0:c r="M59" t="str" s="13">
        <ns0:v>Symbols\MY_LIB_Resistors.SchLib</ns0:v>
      </ns0:c>
      <ns0:c r="N59" t="str" s="13">
        <ns0:v>RESC1608X55N</ns0:v>
      </ns0:c>
      <ns0:c r="O59" t="str" s="13">
        <ns0:v>Footprints\PBL - SMD Packages.PcbLib</ns0:v>
      </ns0:c>
      <ns0:c r="P59" t="str" s="10">
        <ns0:v>RC_L; E24; P при 70 °C</ns0:v>
      </ns0:c>
      <ns0:c r="Q59" s="10"/>
      <ns0:c r="R59" t="str" s="11">
        <ns0:f>D59</ns0:f>
        <ns0:v>220 Ом</ns0:v>
      </ns0:c>
      <ns0:c r="S59" t="str" s="11">
        <ns0:f>K59</ns0:f>
        <ns0:v>Резистор 220 Ом ±5% 0603</ns0:v>
      </ns0:c>
      <x:c xmlns:x="http://schemas.openxmlformats.org/spreadsheetml/2006/main" r="T59" t="str" s="11">
        <x:v>C:\Users\Nomatin\Documents\Altium\MY_LIB\MY_LIB\Datasheets\YAGEO_RC_L.pdf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C:\Users\Nomatin\Documents\Altium\MY_LIB\MY_LIB\Datasheets\YAGEO_RC_L.pdf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https://yageogroup.com/content/datasheet/asset/file/PYU-RC_GROUP_51_ROHS_L</x:v>
      </x:c>
      <x:c xmlns:x="http://schemas.openxmlformats.org/spreadsheetml/2006/main" r="Y59" t="str" s="11">
        <x:v>C:\Users\Nomatin\Documents\Altium\MY_LIB\MY_LIB\Datasheets\YAGEO_RC_L.pdf</x:v>
      </x:c>
    </ns0:row>
    <ns0:row r="60" ht="30" customHeight="1">
      <ns0:c r="A60" t="str" s="10">
        <ns0:v>R0066</ns0:v>
      </ns0:c>
      <ns0:c r="B60" t="str" s="10">
        <ns0:v>Резистор</ns0:v>
      </ns0:c>
      <ns0:c r="C60" t="str" s="10">
        <ns0:v>240R</ns0:v>
      </ns0:c>
      <ns0:c r="D60" t="str" s="11">
        <ns0:f>SUBSTITUTE(SUBSTITUTE(SUBSTITUTE(SUBSTITUTE(C60,"meg"," МОм"),"k"," кОм"),"R"," Ом"),".",",")</ns0:f>
        <ns0:v>240 Ом</ns0:v>
      </ns0:c>
      <ns0:c r="E60" t="str" s="10">
        <ns0:v>±5%</ns0:v>
      </ns0:c>
      <ns0:c r="F60" t="str" s="10">
        <ns0:v>0,1 Вт</ns0:v>
      </ns0:c>
      <ns0:c r="G60" t="str" s="10">
        <ns0:v>75 В макс.</ns0:v>
      </ns0:c>
      <ns0:c r="H60" t="str" s="12">
        <ns0:v>0603</ns0:v>
      </ns0:c>
      <ns0:c r="I60" t="str" s="10">
        <ns0:v>YAGEO</ns0:v>
      </ns0:c>
      <ns0:c r="J60" t="str" s="10">
        <ns0:v>RC0603JR-07240RL</ns0:v>
      </ns0:c>
      <ns0:c r="K60" t="str" s="11">
        <ns0:f>B60&amp;" "&amp;D60&amp;" "&amp;E60&amp;" "&amp;H60</ns0:f>
        <ns0:v>Резистор 240 Ом ±5% 0603</ns0:v>
      </ns0:c>
      <ns0:c r="L60" t="str" s="13">
        <ns0:v>R</ns0:v>
      </ns0:c>
      <ns0:c r="M60" t="str" s="13">
        <ns0:v>Symbols\MY_LIB_Resistors.SchLib</ns0:v>
      </ns0:c>
      <ns0:c r="N60" t="str" s="13">
        <ns0:v>RESC1608X55N</ns0:v>
      </ns0:c>
      <ns0:c r="O60" t="str" s="13">
        <ns0:v>Footprints\PBL - SMD Packages.PcbLib</ns0:v>
      </ns0:c>
      <ns0:c r="P60" t="str" s="10">
        <ns0:v>RC_L; E24; P при 70 °C</ns0:v>
      </ns0:c>
      <ns0:c r="Q60" s="10"/>
      <ns0:c r="R60" t="str" s="11">
        <ns0:f>D60</ns0:f>
        <ns0:v>240 Ом</ns0:v>
      </ns0:c>
      <ns0:c r="S60" t="str" s="11">
        <ns0:f>K60</ns0:f>
        <ns0:v>Резистор 240 Ом ±5% 0603</ns0:v>
      </ns0:c>
      <x:c xmlns:x="http://schemas.openxmlformats.org/spreadsheetml/2006/main" r="T60" t="str" s="11">
        <x:v>C:\Users\Nomatin\Documents\Altium\MY_LIB\MY_LIB\Datasheets\YAGEO_RC_L.pdf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C:\Users\Nomatin\Documents\Altium\MY_LIB\MY_LIB\Datasheets\YAGEO_RC_L.pdf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https://yageogroup.com/content/datasheet/asset/file/PYU-RC_GROUP_51_ROHS_L</x:v>
      </x:c>
      <x:c xmlns:x="http://schemas.openxmlformats.org/spreadsheetml/2006/main" r="Y60" t="str" s="11">
        <x:v>C:\Users\Nomatin\Documents\Altium\MY_LIB\MY_LIB\Datasheets\YAGEO_RC_L.pdf</x:v>
      </x:c>
    </ns0:row>
    <ns0:row r="61" ht="30" customHeight="1">
      <ns0:c r="A61" t="str" s="10">
        <ns0:v>R0067</ns0:v>
      </ns0:c>
      <ns0:c r="B61" t="str" s="10">
        <ns0:v>Резистор</ns0:v>
      </ns0:c>
      <ns0:c r="C61" t="str" s="10">
        <ns0:v>270R</ns0:v>
      </ns0:c>
      <ns0:c r="D61" t="str" s="11">
        <ns0:f>SUBSTITUTE(SUBSTITUTE(SUBSTITUTE(SUBSTITUTE(C61,"meg"," МОм"),"k"," кОм"),"R"," Ом"),".",",")</ns0:f>
        <ns0:v>270 Ом</ns0:v>
      </ns0:c>
      <ns0:c r="E61" t="str" s="10">
        <ns0:v>±5%</ns0:v>
      </ns0:c>
      <ns0:c r="F61" t="str" s="10">
        <ns0:v>0,1 Вт</ns0:v>
      </ns0:c>
      <ns0:c r="G61" t="str" s="10">
        <ns0:v>75 В макс.</ns0:v>
      </ns0:c>
      <ns0:c r="H61" t="str" s="12">
        <ns0:v>0603</ns0:v>
      </ns0:c>
      <ns0:c r="I61" t="str" s="10">
        <ns0:v>YAGEO</ns0:v>
      </ns0:c>
      <ns0:c r="J61" t="str" s="10">
        <ns0:v>RC0603JR-07270RL</ns0:v>
      </ns0:c>
      <ns0:c r="K61" t="str" s="11">
        <ns0:f>B61&amp;" "&amp;D61&amp;" "&amp;E61&amp;" "&amp;H61</ns0:f>
        <ns0:v>Резистор 270 Ом ±5% 0603</ns0:v>
      </ns0:c>
      <ns0:c r="L61" t="str" s="13">
        <ns0:v>R</ns0:v>
      </ns0:c>
      <ns0:c r="M61" t="str" s="13">
        <ns0:v>Symbols\MY_LIB_Resistors.SchLib</ns0:v>
      </ns0:c>
      <ns0:c r="N61" t="str" s="13">
        <ns0:v>RESC1608X55N</ns0:v>
      </ns0:c>
      <ns0:c r="O61" t="str" s="13">
        <ns0:v>Footprints\PBL - SMD Packages.PcbLib</ns0:v>
      </ns0:c>
      <ns0:c r="P61" t="str" s="10">
        <ns0:v>RC_L; E24; P при 70 °C</ns0:v>
      </ns0:c>
      <ns0:c r="Q61" s="10"/>
      <ns0:c r="R61" t="str" s="11">
        <ns0:f>D61</ns0:f>
        <ns0:v>270 Ом</ns0:v>
      </ns0:c>
      <ns0:c r="S61" t="str" s="11">
        <ns0:f>K61</ns0:f>
        <ns0:v>Резистор 270 Ом ±5% 0603</ns0:v>
      </ns0:c>
      <x:c xmlns:x="http://schemas.openxmlformats.org/spreadsheetml/2006/main" r="T61" t="str" s="11">
        <x:v>C:\Users\Nomatin\Documents\Altium\MY_LIB\MY_LIB\Datasheets\YAGEO_RC_L.pdf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C:\Users\Nomatin\Documents\Altium\MY_LIB\MY_LIB\Datasheets\YAGEO_RC_L.pdf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https://yageogroup.com/content/datasheet/asset/file/PYU-RC_GROUP_51_ROHS_L</x:v>
      </x:c>
      <x:c xmlns:x="http://schemas.openxmlformats.org/spreadsheetml/2006/main" r="Y61" t="str" s="11">
        <x:v>C:\Users\Nomatin\Documents\Altium\MY_LIB\MY_LIB\Datasheets\YAGEO_RC_L.pdf</x:v>
      </x:c>
    </ns0:row>
    <ns0:row r="62" ht="30" customHeight="1">
      <ns0:c r="A62" t="str" s="10">
        <ns0:v>R0068</ns0:v>
      </ns0:c>
      <ns0:c r="B62" t="str" s="10">
        <ns0:v>Резистор</ns0:v>
      </ns0:c>
      <ns0:c r="C62" t="str" s="10">
        <ns0:v>300R</ns0:v>
      </ns0:c>
      <ns0:c r="D62" t="str" s="11">
        <ns0:f>SUBSTITUTE(SUBSTITUTE(SUBSTITUTE(SUBSTITUTE(C62,"meg"," МОм"),"k"," кОм"),"R"," Ом"),".",",")</ns0:f>
        <ns0:v>300 Ом</ns0:v>
      </ns0:c>
      <ns0:c r="E62" t="str" s="10">
        <ns0:v>±5%</ns0:v>
      </ns0:c>
      <ns0:c r="F62" t="str" s="10">
        <ns0:v>0,1 Вт</ns0:v>
      </ns0:c>
      <ns0:c r="G62" t="str" s="10">
        <ns0:v>75 В макс.</ns0:v>
      </ns0:c>
      <ns0:c r="H62" t="str" s="12">
        <ns0:v>0603</ns0:v>
      </ns0:c>
      <ns0:c r="I62" t="str" s="10">
        <ns0:v>YAGEO</ns0:v>
      </ns0:c>
      <ns0:c r="J62" t="str" s="10">
        <ns0:v>RC0603JR-07300RL</ns0:v>
      </ns0:c>
      <ns0:c r="K62" t="str" s="11">
        <ns0:f>B62&amp;" "&amp;D62&amp;" "&amp;E62&amp;" "&amp;H62</ns0:f>
        <ns0:v>Резистор 300 Ом ±5% 0603</ns0:v>
      </ns0:c>
      <ns0:c r="L62" t="str" s="13">
        <ns0:v>R</ns0:v>
      </ns0:c>
      <ns0:c r="M62" t="str" s="13">
        <ns0:v>Symbols\MY_LIB_Resistors.SchLib</ns0:v>
      </ns0:c>
      <ns0:c r="N62" t="str" s="13">
        <ns0:v>RESC1608X55N</ns0:v>
      </ns0:c>
      <ns0:c r="O62" t="str" s="13">
        <ns0:v>Footprints\PBL - SMD Packages.PcbLib</ns0:v>
      </ns0:c>
      <ns0:c r="P62" t="str" s="10">
        <ns0:v>RC_L; E24; P при 70 °C</ns0:v>
      </ns0:c>
      <ns0:c r="Q62" s="10"/>
      <ns0:c r="R62" t="str" s="11">
        <ns0:f>D62</ns0:f>
        <ns0:v>300 Ом</ns0:v>
      </ns0:c>
      <ns0:c r="S62" t="str" s="11">
        <ns0:f>K62</ns0:f>
        <ns0:v>Резистор 300 Ом ±5% 0603</ns0:v>
      </ns0:c>
      <x:c xmlns:x="http://schemas.openxmlformats.org/spreadsheetml/2006/main" r="T62" t="str" s="11">
        <x:v>C:\Users\Nomatin\Documents\Altium\MY_LIB\MY_LIB\Datasheets\YAGEO_RC_L.pdf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C:\Users\Nomatin\Documents\Altium\MY_LIB\MY_LIB\Datasheets\YAGEO_RC_L.pdf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https://yageogroup.com/content/datasheet/asset/file/PYU-RC_GROUP_51_ROHS_L</x:v>
      </x:c>
      <x:c xmlns:x="http://schemas.openxmlformats.org/spreadsheetml/2006/main" r="Y62" t="str" s="11">
        <x:v>C:\Users\Nomatin\Documents\Altium\MY_LIB\MY_LIB\Datasheets\YAGEO_RC_L.pdf</x:v>
      </x:c>
    </ns0:row>
    <ns0:row r="63" ht="30" customHeight="1">
      <ns0:c r="A63" t="str" s="10">
        <ns0:v>R0069</ns0:v>
      </ns0:c>
      <ns0:c r="B63" t="str" s="10">
        <ns0:v>Резистор</ns0:v>
      </ns0:c>
      <ns0:c r="C63" t="str" s="10">
        <ns0:v>330R</ns0:v>
      </ns0:c>
      <ns0:c r="D63" t="str" s="11">
        <ns0:f>SUBSTITUTE(SUBSTITUTE(SUBSTITUTE(SUBSTITUTE(C63,"meg"," МОм"),"k"," кОм"),"R"," Ом"),".",",")</ns0:f>
        <ns0:v>330 Ом</ns0:v>
      </ns0:c>
      <ns0:c r="E63" t="str" s="10">
        <ns0:v>±5%</ns0:v>
      </ns0:c>
      <ns0:c r="F63" t="str" s="10">
        <ns0:v>0,1 Вт</ns0:v>
      </ns0:c>
      <ns0:c r="G63" t="str" s="10">
        <ns0:v>75 В макс.</ns0:v>
      </ns0:c>
      <ns0:c r="H63" t="str" s="12">
        <ns0:v>0603</ns0:v>
      </ns0:c>
      <ns0:c r="I63" t="str" s="10">
        <ns0:v>YAGEO</ns0:v>
      </ns0:c>
      <ns0:c r="J63" t="str" s="10">
        <ns0:v>RC0603JR-07330RL</ns0:v>
      </ns0:c>
      <ns0:c r="K63" t="str" s="11">
        <ns0:f>B63&amp;" "&amp;D63&amp;" "&amp;E63&amp;" "&amp;H63</ns0:f>
        <ns0:v>Резистор 330 Ом ±5% 0603</ns0:v>
      </ns0:c>
      <ns0:c r="L63" t="str" s="13">
        <ns0:v>R</ns0:v>
      </ns0:c>
      <ns0:c r="M63" t="str" s="13">
        <ns0:v>Symbols\MY_LIB_Resistors.SchLib</ns0:v>
      </ns0:c>
      <ns0:c r="N63" t="str" s="13">
        <ns0:v>RESC1608X55N</ns0:v>
      </ns0:c>
      <ns0:c r="O63" t="str" s="13">
        <ns0:v>Footprints\PBL - SMD Packages.PcbLib</ns0:v>
      </ns0:c>
      <ns0:c r="P63" t="str" s="10">
        <ns0:v>RC_L; E24; P при 70 °C</ns0:v>
      </ns0:c>
      <ns0:c r="Q63" s="10"/>
      <ns0:c r="R63" t="str" s="11">
        <ns0:f>D63</ns0:f>
        <ns0:v>330 Ом</ns0:v>
      </ns0:c>
      <ns0:c r="S63" t="str" s="11">
        <ns0:f>K63</ns0:f>
        <ns0:v>Резистор 330 Ом ±5% 0603</ns0:v>
      </ns0:c>
      <x:c xmlns:x="http://schemas.openxmlformats.org/spreadsheetml/2006/main" r="T63" t="str" s="11">
        <x:v>C:\Users\Nomatin\Documents\Altium\MY_LIB\MY_LIB\Datasheets\YAGEO_RC_L.pdf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C:\Users\Nomatin\Documents\Altium\MY_LIB\MY_LIB\Datasheets\YAGEO_RC_L.pdf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https://yageogroup.com/content/datasheet/asset/file/PYU-RC_GROUP_51_ROHS_L</x:v>
      </x:c>
      <x:c xmlns:x="http://schemas.openxmlformats.org/spreadsheetml/2006/main" r="Y63" t="str" s="11">
        <x:v>C:\Users\Nomatin\Documents\Altium\MY_LIB\MY_LIB\Datasheets\YAGEO_RC_L.pdf</x:v>
      </x:c>
    </ns0:row>
    <ns0:row r="64" ht="30" customHeight="1">
      <ns0:c r="A64" t="str" s="10">
        <ns0:v>R0070</ns0:v>
      </ns0:c>
      <ns0:c r="B64" t="str" s="10">
        <ns0:v>Резистор</ns0:v>
      </ns0:c>
      <ns0:c r="C64" t="str" s="10">
        <ns0:v>360R</ns0:v>
      </ns0:c>
      <ns0:c r="D64" t="str" s="11">
        <ns0:f>SUBSTITUTE(SUBSTITUTE(SUBSTITUTE(SUBSTITUTE(C64,"meg"," МОм"),"k"," кОм"),"R"," Ом"),".",",")</ns0:f>
        <ns0:v>360 Ом</ns0:v>
      </ns0:c>
      <ns0:c r="E64" t="str" s="10">
        <ns0:v>±5%</ns0:v>
      </ns0:c>
      <ns0:c r="F64" t="str" s="10">
        <ns0:v>0,1 Вт</ns0:v>
      </ns0:c>
      <ns0:c r="G64" t="str" s="10">
        <ns0:v>75 В макс.</ns0:v>
      </ns0:c>
      <ns0:c r="H64" t="str" s="12">
        <ns0:v>0603</ns0:v>
      </ns0:c>
      <ns0:c r="I64" t="str" s="10">
        <ns0:v>YAGEO</ns0:v>
      </ns0:c>
      <ns0:c r="J64" t="str" s="10">
        <ns0:v>RC0603JR-07360RL</ns0:v>
      </ns0:c>
      <ns0:c r="K64" t="str" s="11">
        <ns0:f>B64&amp;" "&amp;D64&amp;" "&amp;E64&amp;" "&amp;H64</ns0:f>
        <ns0:v>Резистор 360 Ом ±5% 0603</ns0:v>
      </ns0:c>
      <ns0:c r="L64" t="str" s="13">
        <ns0:v>R</ns0:v>
      </ns0:c>
      <ns0:c r="M64" t="str" s="13">
        <ns0:v>Symbols\MY_LIB_Resistors.SchLib</ns0:v>
      </ns0:c>
      <ns0:c r="N64" t="str" s="13">
        <ns0:v>RESC1608X55N</ns0:v>
      </ns0:c>
      <ns0:c r="O64" t="str" s="13">
        <ns0:v>Footprints\PBL - SMD Packages.PcbLib</ns0:v>
      </ns0:c>
      <ns0:c r="P64" t="str" s="10">
        <ns0:v>RC_L; E24; P при 70 °C</ns0:v>
      </ns0:c>
      <ns0:c r="Q64" s="10"/>
      <ns0:c r="R64" t="str" s="11">
        <ns0:f>D64</ns0:f>
        <ns0:v>360 Ом</ns0:v>
      </ns0:c>
      <ns0:c r="S64" t="str" s="11">
        <ns0:f>K64</ns0:f>
        <ns0:v>Резистор 360 Ом ±5% 0603</ns0:v>
      </ns0:c>
      <x:c xmlns:x="http://schemas.openxmlformats.org/spreadsheetml/2006/main" r="T64" t="str" s="11">
        <x:v>C:\Users\Nomatin\Documents\Altium\MY_LIB\MY_LIB\Datasheets\YAGEO_RC_L.pdf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C:\Users\Nomatin\Documents\Altium\MY_LIB\MY_LIB\Datasheets\YAGEO_RC_L.pdf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https://yageogroup.com/content/datasheet/asset/file/PYU-RC_GROUP_51_ROHS_L</x:v>
      </x:c>
      <x:c xmlns:x="http://schemas.openxmlformats.org/spreadsheetml/2006/main" r="Y64" t="str" s="11">
        <x:v>C:\Users\Nomatin\Documents\Altium\MY_LIB\MY_LIB\Datasheets\YAGEO_RC_L.pdf</x:v>
      </x:c>
    </ns0:row>
    <ns0:row r="65" ht="30" customHeight="1">
      <ns0:c r="A65" t="str" s="10">
        <ns0:v>R0071</ns0:v>
      </ns0:c>
      <ns0:c r="B65" t="str" s="10">
        <ns0:v>Резистор</ns0:v>
      </ns0:c>
      <ns0:c r="C65" t="str" s="10">
        <ns0:v>390R</ns0:v>
      </ns0:c>
      <ns0:c r="D65" t="str" s="11">
        <ns0:f>SUBSTITUTE(SUBSTITUTE(SUBSTITUTE(SUBSTITUTE(C65,"meg"," МОм"),"k"," кОм"),"R"," Ом"),".",",")</ns0:f>
        <ns0:v>390 Ом</ns0:v>
      </ns0:c>
      <ns0:c r="E65" t="str" s="10">
        <ns0:v>±5%</ns0:v>
      </ns0:c>
      <ns0:c r="F65" t="str" s="10">
        <ns0:v>0,1 Вт</ns0:v>
      </ns0:c>
      <ns0:c r="G65" t="str" s="10">
        <ns0:v>75 В макс.</ns0:v>
      </ns0:c>
      <ns0:c r="H65" t="str" s="12">
        <ns0:v>0603</ns0:v>
      </ns0:c>
      <ns0:c r="I65" t="str" s="10">
        <ns0:v>YAGEO</ns0:v>
      </ns0:c>
      <ns0:c r="J65" t="str" s="10">
        <ns0:v>RC0603JR-07390RL</ns0:v>
      </ns0:c>
      <ns0:c r="K65" t="str" s="11">
        <ns0:f>B65&amp;" "&amp;D65&amp;" "&amp;E65&amp;" "&amp;H65</ns0:f>
        <ns0:v>Резистор 390 Ом ±5% 0603</ns0:v>
      </ns0:c>
      <ns0:c r="L65" t="str" s="13">
        <ns0:v>R</ns0:v>
      </ns0:c>
      <ns0:c r="M65" t="str" s="13">
        <ns0:v>Symbols\MY_LIB_Resistors.SchLib</ns0:v>
      </ns0:c>
      <ns0:c r="N65" t="str" s="13">
        <ns0:v>RESC1608X55N</ns0:v>
      </ns0:c>
      <ns0:c r="O65" t="str" s="13">
        <ns0:v>Footprints\PBL - SMD Packages.PcbLib</ns0:v>
      </ns0:c>
      <ns0:c r="P65" t="str" s="10">
        <ns0:v>RC_L; E24; P при 70 °C</ns0:v>
      </ns0:c>
      <ns0:c r="Q65" s="10"/>
      <ns0:c r="R65" t="str" s="11">
        <ns0:f>D65</ns0:f>
        <ns0:v>390 Ом</ns0:v>
      </ns0:c>
      <ns0:c r="S65" t="str" s="11">
        <ns0:f>K65</ns0:f>
        <ns0:v>Резистор 390 Ом ±5% 0603</ns0:v>
      </ns0:c>
      <x:c xmlns:x="http://schemas.openxmlformats.org/spreadsheetml/2006/main" r="T65" t="str" s="11">
        <x:v>C:\Users\Nomatin\Documents\Altium\MY_LIB\MY_LIB\Datasheets\YAGEO_RC_L.pdf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C:\Users\Nomatin\Documents\Altium\MY_LIB\MY_LIB\Datasheets\YAGEO_RC_L.pdf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https://yageogroup.com/content/datasheet/asset/file/PYU-RC_GROUP_51_ROHS_L</x:v>
      </x:c>
      <x:c xmlns:x="http://schemas.openxmlformats.org/spreadsheetml/2006/main" r="Y65" t="str" s="11">
        <x:v>C:\Users\Nomatin\Documents\Altium\MY_LIB\MY_LIB\Datasheets\YAGEO_RC_L.pdf</x:v>
      </x:c>
    </ns0:row>
    <ns0:row r="66" ht="30" customHeight="1">
      <ns0:c r="A66" t="str" s="10">
        <ns0:v>R0072</ns0:v>
      </ns0:c>
      <ns0:c r="B66" t="str" s="10">
        <ns0:v>Резистор</ns0:v>
      </ns0:c>
      <ns0:c r="C66" t="str" s="10">
        <ns0:v>430R</ns0:v>
      </ns0:c>
      <ns0:c r="D66" t="str" s="11">
        <ns0:f>SUBSTITUTE(SUBSTITUTE(SUBSTITUTE(SUBSTITUTE(C66,"meg"," МОм"),"k"," кОм"),"R"," Ом"),".",",")</ns0:f>
        <ns0:v>430 Ом</ns0:v>
      </ns0:c>
      <ns0:c r="E66" t="str" s="10">
        <ns0:v>±5%</ns0:v>
      </ns0:c>
      <ns0:c r="F66" t="str" s="10">
        <ns0:v>0,1 Вт</ns0:v>
      </ns0:c>
      <ns0:c r="G66" t="str" s="10">
        <ns0:v>75 В макс.</ns0:v>
      </ns0:c>
      <ns0:c r="H66" t="str" s="12">
        <ns0:v>0603</ns0:v>
      </ns0:c>
      <ns0:c r="I66" t="str" s="10">
        <ns0:v>YAGEO</ns0:v>
      </ns0:c>
      <ns0:c r="J66" t="str" s="10">
        <ns0:v>RC0603JR-07430RL</ns0:v>
      </ns0:c>
      <ns0:c r="K66" t="str" s="11">
        <ns0:f>B66&amp;" "&amp;D66&amp;" "&amp;E66&amp;" "&amp;H66</ns0:f>
        <ns0:v>Резистор 430 Ом ±5% 0603</ns0:v>
      </ns0:c>
      <ns0:c r="L66" t="str" s="13">
        <ns0:v>R</ns0:v>
      </ns0:c>
      <ns0:c r="M66" t="str" s="13">
        <ns0:v>Symbols\MY_LIB_Resistors.SchLib</ns0:v>
      </ns0:c>
      <ns0:c r="N66" t="str" s="13">
        <ns0:v>RESC1608X55N</ns0:v>
      </ns0:c>
      <ns0:c r="O66" t="str" s="13">
        <ns0:v>Footprints\PBL - SMD Packages.PcbLib</ns0:v>
      </ns0:c>
      <ns0:c r="P66" t="str" s="10">
        <ns0:v>RC_L; E24; P при 70 °C</ns0:v>
      </ns0:c>
      <ns0:c r="Q66" s="10"/>
      <ns0:c r="R66" t="str" s="11">
        <ns0:f>D66</ns0:f>
        <ns0:v>430 Ом</ns0:v>
      </ns0:c>
      <ns0:c r="S66" t="str" s="11">
        <ns0:f>K66</ns0:f>
        <ns0:v>Резистор 430 Ом ±5% 0603</ns0:v>
      </ns0:c>
      <x:c xmlns:x="http://schemas.openxmlformats.org/spreadsheetml/2006/main" r="T66" t="str" s="11">
        <x:v>C:\Users\Nomatin\Documents\Altium\MY_LIB\MY_LIB\Datasheets\YAGEO_RC_L.pdf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C:\Users\Nomatin\Documents\Altium\MY_LIB\MY_LIB\Datasheets\YAGEO_RC_L.pdf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https://yageogroup.com/content/datasheet/asset/file/PYU-RC_GROUP_51_ROHS_L</x:v>
      </x:c>
      <x:c xmlns:x="http://schemas.openxmlformats.org/spreadsheetml/2006/main" r="Y66" t="str" s="11">
        <x:v>C:\Users\Nomatin\Documents\Altium\MY_LIB\MY_LIB\Datasheets\YAGEO_RC_L.pdf</x:v>
      </x:c>
    </ns0:row>
    <ns0:row r="67" ht="30" customHeight="1">
      <ns0:c r="A67" t="str" s="10">
        <ns0:v>R0073</ns0:v>
      </ns0:c>
      <ns0:c r="B67" t="str" s="10">
        <ns0:v>Резистор</ns0:v>
      </ns0:c>
      <ns0:c r="C67" t="str" s="10">
        <ns0:v>470R</ns0:v>
      </ns0:c>
      <ns0:c r="D67" t="str" s="11">
        <ns0:f>SUBSTITUTE(SUBSTITUTE(SUBSTITUTE(SUBSTITUTE(C67,"meg"," МОм"),"k"," кОм"),"R"," Ом"),".",",")</ns0:f>
        <ns0:v>470 Ом</ns0:v>
      </ns0:c>
      <ns0:c r="E67" t="str" s="10">
        <ns0:v>±5%</ns0:v>
      </ns0:c>
      <ns0:c r="F67" t="str" s="10">
        <ns0:v>0,1 Вт</ns0:v>
      </ns0:c>
      <ns0:c r="G67" t="str" s="10">
        <ns0:v>75 В макс.</ns0:v>
      </ns0:c>
      <ns0:c r="H67" t="str" s="12">
        <ns0:v>0603</ns0:v>
      </ns0:c>
      <ns0:c r="I67" t="str" s="10">
        <ns0:v>YAGEO</ns0:v>
      </ns0:c>
      <ns0:c r="J67" t="str" s="10">
        <ns0:v>RC0603JR-07470RL</ns0:v>
      </ns0:c>
      <ns0:c r="K67" t="str" s="11">
        <ns0:f>B67&amp;" "&amp;D67&amp;" "&amp;E67&amp;" "&amp;H67</ns0:f>
        <ns0:v>Резистор 470 Ом ±5% 0603</ns0:v>
      </ns0:c>
      <ns0:c r="L67" t="str" s="13">
        <ns0:v>R</ns0:v>
      </ns0:c>
      <ns0:c r="M67" t="str" s="13">
        <ns0:v>Symbols\MY_LIB_Resistors.SchLib</ns0:v>
      </ns0:c>
      <ns0:c r="N67" t="str" s="13">
        <ns0:v>RESC1608X55N</ns0:v>
      </ns0:c>
      <ns0:c r="O67" t="str" s="13">
        <ns0:v>Footprints\PBL - SMD Packages.PcbLib</ns0:v>
      </ns0:c>
      <ns0:c r="P67" t="str" s="10">
        <ns0:v>RC_L; E24; P при 70 °C</ns0:v>
      </ns0:c>
      <ns0:c r="Q67" s="10"/>
      <ns0:c r="R67" t="str" s="11">
        <ns0:f>D67</ns0:f>
        <ns0:v>470 Ом</ns0:v>
      </ns0:c>
      <ns0:c r="S67" t="str" s="11">
        <ns0:f>K67</ns0:f>
        <ns0:v>Резистор 470 Ом ±5% 0603</ns0:v>
      </ns0:c>
      <x:c xmlns:x="http://schemas.openxmlformats.org/spreadsheetml/2006/main" r="T67" t="str" s="11">
        <x:v>C:\Users\Nomatin\Documents\Altium\MY_LIB\MY_LIB\Datasheets\YAGEO_RC_L.pdf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C:\Users\Nomatin\Documents\Altium\MY_LIB\MY_LIB\Datasheets\YAGEO_RC_L.pdf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https://yageogroup.com/content/datasheet/asset/file/PYU-RC_GROUP_51_ROHS_L</x:v>
      </x:c>
      <x:c xmlns:x="http://schemas.openxmlformats.org/spreadsheetml/2006/main" r="Y67" t="str" s="11">
        <x:v>C:\Users\Nomatin\Documents\Altium\MY_LIB\MY_LIB\Datasheets\YAGEO_RC_L.pdf</x:v>
      </x:c>
    </ns0:row>
    <ns0:row r="68" ht="30" customHeight="1">
      <ns0:c r="A68" t="str" s="10">
        <ns0:v>R0074</ns0:v>
      </ns0:c>
      <ns0:c r="B68" t="str" s="10">
        <ns0:v>Резистор</ns0:v>
      </ns0:c>
      <ns0:c r="C68" t="str" s="10">
        <ns0:v>510R</ns0:v>
      </ns0:c>
      <ns0:c r="D68" t="str" s="11">
        <ns0:f>SUBSTITUTE(SUBSTITUTE(SUBSTITUTE(SUBSTITUTE(C68,"meg"," МОм"),"k"," кОм"),"R"," Ом"),".",",")</ns0:f>
        <ns0:v>510 Ом</ns0:v>
      </ns0:c>
      <ns0:c r="E68" t="str" s="10">
        <ns0:v>±5%</ns0:v>
      </ns0:c>
      <ns0:c r="F68" t="str" s="10">
        <ns0:v>0,1 Вт</ns0:v>
      </ns0:c>
      <ns0:c r="G68" t="str" s="10">
        <ns0:v>75 В макс.</ns0:v>
      </ns0:c>
      <ns0:c r="H68" t="str" s="12">
        <ns0:v>0603</ns0:v>
      </ns0:c>
      <ns0:c r="I68" t="str" s="10">
        <ns0:v>YAGEO</ns0:v>
      </ns0:c>
      <ns0:c r="J68" t="str" s="10">
        <ns0:v>RC0603JR-07510RL</ns0:v>
      </ns0:c>
      <ns0:c r="K68" t="str" s="11">
        <ns0:f>B68&amp;" "&amp;D68&amp;" "&amp;E68&amp;" "&amp;H68</ns0:f>
        <ns0:v>Резистор 510 Ом ±5% 0603</ns0:v>
      </ns0:c>
      <ns0:c r="L68" t="str" s="13">
        <ns0:v>R</ns0:v>
      </ns0:c>
      <ns0:c r="M68" t="str" s="13">
        <ns0:v>Symbols\MY_LIB_Resistors.SchLib</ns0:v>
      </ns0:c>
      <ns0:c r="N68" t="str" s="13">
        <ns0:v>RESC1608X55N</ns0:v>
      </ns0:c>
      <ns0:c r="O68" t="str" s="13">
        <ns0:v>Footprints\PBL - SMD Packages.PcbLib</ns0:v>
      </ns0:c>
      <ns0:c r="P68" t="str" s="10">
        <ns0:v>RC_L; E24; P при 70 °C</ns0:v>
      </ns0:c>
      <ns0:c r="Q68" s="10"/>
      <ns0:c r="R68" t="str" s="11">
        <ns0:f>D68</ns0:f>
        <ns0:v>510 Ом</ns0:v>
      </ns0:c>
      <ns0:c r="S68" t="str" s="11">
        <ns0:f>K68</ns0:f>
        <ns0:v>Резистор 510 Ом ±5% 0603</ns0:v>
      </ns0:c>
      <x:c xmlns:x="http://schemas.openxmlformats.org/spreadsheetml/2006/main" r="T68" t="str" s="11">
        <x:v>C:\Users\Nomatin\Documents\Altium\MY_LIB\MY_LIB\Datasheets\YAGEO_RC_L.pdf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C:\Users\Nomatin\Documents\Altium\MY_LIB\MY_LIB\Datasheets\YAGEO_RC_L.pdf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https://yageogroup.com/content/datasheet/asset/file/PYU-RC_GROUP_51_ROHS_L</x:v>
      </x:c>
      <x:c xmlns:x="http://schemas.openxmlformats.org/spreadsheetml/2006/main" r="Y68" t="str" s="11">
        <x:v>C:\Users\Nomatin\Documents\Altium\MY_LIB\MY_LIB\Datasheets\YAGEO_RC_L.pdf</x:v>
      </x:c>
    </ns0:row>
    <ns0:row r="69" ht="30" customHeight="1">
      <ns0:c r="A69" t="str" s="10">
        <ns0:v>R0075</ns0:v>
      </ns0:c>
      <ns0:c r="B69" t="str" s="10">
        <ns0:v>Резистор</ns0:v>
      </ns0:c>
      <ns0:c r="C69" t="str" s="10">
        <ns0:v>560R</ns0:v>
      </ns0:c>
      <ns0:c r="D69" t="str" s="11">
        <ns0:f>SUBSTITUTE(SUBSTITUTE(SUBSTITUTE(SUBSTITUTE(C69,"meg"," МОм"),"k"," кОм"),"R"," Ом"),".",",")</ns0:f>
        <ns0:v>560 Ом</ns0:v>
      </ns0:c>
      <ns0:c r="E69" t="str" s="10">
        <ns0:v>±5%</ns0:v>
      </ns0:c>
      <ns0:c r="F69" t="str" s="10">
        <ns0:v>0,1 Вт</ns0:v>
      </ns0:c>
      <ns0:c r="G69" t="str" s="10">
        <ns0:v>75 В макс.</ns0:v>
      </ns0:c>
      <ns0:c r="H69" t="str" s="12">
        <ns0:v>0603</ns0:v>
      </ns0:c>
      <ns0:c r="I69" t="str" s="10">
        <ns0:v>YAGEO</ns0:v>
      </ns0:c>
      <ns0:c r="J69" t="str" s="10">
        <ns0:v>RC0603JR-07560RL</ns0:v>
      </ns0:c>
      <ns0:c r="K69" t="str" s="11">
        <ns0:f>B69&amp;" "&amp;D69&amp;" "&amp;E69&amp;" "&amp;H69</ns0:f>
        <ns0:v>Резистор 560 Ом ±5% 0603</ns0:v>
      </ns0:c>
      <ns0:c r="L69" t="str" s="13">
        <ns0:v>R</ns0:v>
      </ns0:c>
      <ns0:c r="M69" t="str" s="13">
        <ns0:v>Symbols\MY_LIB_Resistors.SchLib</ns0:v>
      </ns0:c>
      <ns0:c r="N69" t="str" s="13">
        <ns0:v>RESC1608X55N</ns0:v>
      </ns0:c>
      <ns0:c r="O69" t="str" s="13">
        <ns0:v>Footprints\PBL - SMD Packages.PcbLib</ns0:v>
      </ns0:c>
      <ns0:c r="P69" t="str" s="10">
        <ns0:v>RC_L; E24; P при 70 °C</ns0:v>
      </ns0:c>
      <ns0:c r="Q69" s="10"/>
      <ns0:c r="R69" t="str" s="11">
        <ns0:f>D69</ns0:f>
        <ns0:v>560 Ом</ns0:v>
      </ns0:c>
      <ns0:c r="S69" t="str" s="11">
        <ns0:f>K69</ns0:f>
        <ns0:v>Резистор 560 Ом ±5% 0603</ns0:v>
      </ns0:c>
      <x:c xmlns:x="http://schemas.openxmlformats.org/spreadsheetml/2006/main" r="T69" t="str" s="11">
        <x:v>C:\Users\Nomatin\Documents\Altium\MY_LIB\MY_LIB\Datasheets\YAGEO_RC_L.pdf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C:\Users\Nomatin\Documents\Altium\MY_LIB\MY_LIB\Datasheets\YAGEO_RC_L.pdf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https://yageogroup.com/content/datasheet/asset/file/PYU-RC_GROUP_51_ROHS_L</x:v>
      </x:c>
      <x:c xmlns:x="http://schemas.openxmlformats.org/spreadsheetml/2006/main" r="Y69" t="str" s="11">
        <x:v>C:\Users\Nomatin\Documents\Altium\MY_LIB\MY_LIB\Datasheets\YAGEO_RC_L.pdf</x:v>
      </x:c>
    </ns0:row>
    <ns0:row r="70" ht="30" customHeight="1">
      <ns0:c r="A70" t="str" s="10">
        <ns0:v>R0076</ns0:v>
      </ns0:c>
      <ns0:c r="B70" t="str" s="10">
        <ns0:v>Резистор</ns0:v>
      </ns0:c>
      <ns0:c r="C70" t="str" s="10">
        <ns0:v>620R</ns0:v>
      </ns0:c>
      <ns0:c r="D70" t="str" s="11">
        <ns0:f>SUBSTITUTE(SUBSTITUTE(SUBSTITUTE(SUBSTITUTE(C70,"meg"," МОм"),"k"," кОм"),"R"," Ом"),".",",")</ns0:f>
        <ns0:v>620 Ом</ns0:v>
      </ns0:c>
      <ns0:c r="E70" t="str" s="10">
        <ns0:v>±5%</ns0:v>
      </ns0:c>
      <ns0:c r="F70" t="str" s="10">
        <ns0:v>0,1 Вт</ns0:v>
      </ns0:c>
      <ns0:c r="G70" t="str" s="10">
        <ns0:v>75 В макс.</ns0:v>
      </ns0:c>
      <ns0:c r="H70" t="str" s="12">
        <ns0:v>0603</ns0:v>
      </ns0:c>
      <ns0:c r="I70" t="str" s="10">
        <ns0:v>YAGEO</ns0:v>
      </ns0:c>
      <ns0:c r="J70" t="str" s="10">
        <ns0:v>RC0603JR-07620RL</ns0:v>
      </ns0:c>
      <ns0:c r="K70" t="str" s="11">
        <ns0:f>B70&amp;" "&amp;D70&amp;" "&amp;E70&amp;" "&amp;H70</ns0:f>
        <ns0:v>Резистор 620 Ом ±5% 0603</ns0:v>
      </ns0:c>
      <ns0:c r="L70" t="str" s="13">
        <ns0:v>R</ns0:v>
      </ns0:c>
      <ns0:c r="M70" t="str" s="13">
        <ns0:v>Symbols\MY_LIB_Resistors.SchLib</ns0:v>
      </ns0:c>
      <ns0:c r="N70" t="str" s="13">
        <ns0:v>RESC1608X55N</ns0:v>
      </ns0:c>
      <ns0:c r="O70" t="str" s="13">
        <ns0:v>Footprints\PBL - SMD Packages.PcbLib</ns0:v>
      </ns0:c>
      <ns0:c r="P70" t="str" s="10">
        <ns0:v>RC_L; E24; P при 70 °C</ns0:v>
      </ns0:c>
      <ns0:c r="Q70" s="10"/>
      <ns0:c r="R70" t="str" s="11">
        <ns0:f>D70</ns0:f>
        <ns0:v>620 Ом</ns0:v>
      </ns0:c>
      <ns0:c r="S70" t="str" s="11">
        <ns0:f>K70</ns0:f>
        <ns0:v>Резистор 620 Ом ±5% 0603</ns0:v>
      </ns0:c>
      <x:c xmlns:x="http://schemas.openxmlformats.org/spreadsheetml/2006/main" r="T70" t="str" s="11">
        <x:v>C:\Users\Nomatin\Documents\Altium\MY_LIB\MY_LIB\Datasheets\YAGEO_RC_L.pdf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C:\Users\Nomatin\Documents\Altium\MY_LIB\MY_LIB\Datasheets\YAGEO_RC_L.pdf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https://yageogroup.com/content/datasheet/asset/file/PYU-RC_GROUP_51_ROHS_L</x:v>
      </x:c>
      <x:c xmlns:x="http://schemas.openxmlformats.org/spreadsheetml/2006/main" r="Y70" t="str" s="11">
        <x:v>C:\Users\Nomatin\Documents\Altium\MY_LIB\MY_LIB\Datasheets\YAGEO_RC_L.pdf</x:v>
      </x:c>
    </ns0:row>
    <ns0:row r="71" ht="30" customHeight="1">
      <ns0:c r="A71" t="str" s="10">
        <ns0:v>R0077</ns0:v>
      </ns0:c>
      <ns0:c r="B71" t="str" s="10">
        <ns0:v>Резистор</ns0:v>
      </ns0:c>
      <ns0:c r="C71" t="str" s="10">
        <ns0:v>680R</ns0:v>
      </ns0:c>
      <ns0:c r="D71" t="str" s="11">
        <ns0:f>SUBSTITUTE(SUBSTITUTE(SUBSTITUTE(SUBSTITUTE(C71,"meg"," МОм"),"k"," кОм"),"R"," Ом"),".",",")</ns0:f>
        <ns0:v>680 Ом</ns0:v>
      </ns0:c>
      <ns0:c r="E71" t="str" s="10">
        <ns0:v>±5%</ns0:v>
      </ns0:c>
      <ns0:c r="F71" t="str" s="10">
        <ns0:v>0,1 Вт</ns0:v>
      </ns0:c>
      <ns0:c r="G71" t="str" s="10">
        <ns0:v>75 В макс.</ns0:v>
      </ns0:c>
      <ns0:c r="H71" t="str" s="12">
        <ns0:v>0603</ns0:v>
      </ns0:c>
      <ns0:c r="I71" t="str" s="10">
        <ns0:v>YAGEO</ns0:v>
      </ns0:c>
      <ns0:c r="J71" t="str" s="10">
        <ns0:v>RC0603JR-07680RL</ns0:v>
      </ns0:c>
      <ns0:c r="K71" t="str" s="11">
        <ns0:f>B71&amp;" "&amp;D71&amp;" "&amp;E71&amp;" "&amp;H71</ns0:f>
        <ns0:v>Резистор 680 Ом ±5% 0603</ns0:v>
      </ns0:c>
      <ns0:c r="L71" t="str" s="13">
        <ns0:v>R</ns0:v>
      </ns0:c>
      <ns0:c r="M71" t="str" s="13">
        <ns0:v>Symbols\MY_LIB_Resistors.SchLib</ns0:v>
      </ns0:c>
      <ns0:c r="N71" t="str" s="13">
        <ns0:v>RESC1608X55N</ns0:v>
      </ns0:c>
      <ns0:c r="O71" t="str" s="13">
        <ns0:v>Footprints\PBL - SMD Packages.PcbLib</ns0:v>
      </ns0:c>
      <ns0:c r="P71" t="str" s="10">
        <ns0:v>RC_L; E24; P при 70 °C</ns0:v>
      </ns0:c>
      <ns0:c r="Q71" s="10"/>
      <ns0:c r="R71" t="str" s="11">
        <ns0:f>D71</ns0:f>
        <ns0:v>680 Ом</ns0:v>
      </ns0:c>
      <ns0:c r="S71" t="str" s="11">
        <ns0:f>K71</ns0:f>
        <ns0:v>Резистор 680 Ом ±5% 0603</ns0:v>
      </ns0:c>
      <x:c xmlns:x="http://schemas.openxmlformats.org/spreadsheetml/2006/main" r="T71" t="str" s="11">
        <x:v>C:\Users\Nomatin\Documents\Altium\MY_LIB\MY_LIB\Datasheets\YAGEO_RC_L.pdf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C:\Users\Nomatin\Documents\Altium\MY_LIB\MY_LIB\Datasheets\YAGEO_RC_L.pdf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https://yageogroup.com/content/datasheet/asset/file/PYU-RC_GROUP_51_ROHS_L</x:v>
      </x:c>
      <x:c xmlns:x="http://schemas.openxmlformats.org/spreadsheetml/2006/main" r="Y71" t="str" s="11">
        <x:v>C:\Users\Nomatin\Documents\Altium\MY_LIB\MY_LIB\Datasheets\YAGEO_RC_L.pdf</x:v>
      </x:c>
    </ns0:row>
    <ns0:row r="72" ht="30" customHeight="1">
      <ns0:c r="A72" t="str" s="10">
        <ns0:v>R0078</ns0:v>
      </ns0:c>
      <ns0:c r="B72" t="str" s="10">
        <ns0:v>Резистор</ns0:v>
      </ns0:c>
      <ns0:c r="C72" t="str" s="10">
        <ns0:v>750R</ns0:v>
      </ns0:c>
      <ns0:c r="D72" t="str" s="11">
        <ns0:f>SUBSTITUTE(SUBSTITUTE(SUBSTITUTE(SUBSTITUTE(C72,"meg"," МОм"),"k"," кОм"),"R"," Ом"),".",",")</ns0:f>
        <ns0:v>750 Ом</ns0:v>
      </ns0:c>
      <ns0:c r="E72" t="str" s="10">
        <ns0:v>±5%</ns0:v>
      </ns0:c>
      <ns0:c r="F72" t="str" s="10">
        <ns0:v>0,1 Вт</ns0:v>
      </ns0:c>
      <ns0:c r="G72" t="str" s="10">
        <ns0:v>75 В макс.</ns0:v>
      </ns0:c>
      <ns0:c r="H72" t="str" s="12">
        <ns0:v>0603</ns0:v>
      </ns0:c>
      <ns0:c r="I72" t="str" s="10">
        <ns0:v>YAGEO</ns0:v>
      </ns0:c>
      <ns0:c r="J72" t="str" s="10">
        <ns0:v>RC0603JR-07750RL</ns0:v>
      </ns0:c>
      <ns0:c r="K72" t="str" s="11">
        <ns0:f>B72&amp;" "&amp;D72&amp;" "&amp;E72&amp;" "&amp;H72</ns0:f>
        <ns0:v>Резистор 750 Ом ±5% 0603</ns0:v>
      </ns0:c>
      <ns0:c r="L72" t="str" s="13">
        <ns0:v>R</ns0:v>
      </ns0:c>
      <ns0:c r="M72" t="str" s="13">
        <ns0:v>Symbols\MY_LIB_Resistors.SchLib</ns0:v>
      </ns0:c>
      <ns0:c r="N72" t="str" s="13">
        <ns0:v>RESC1608X55N</ns0:v>
      </ns0:c>
      <ns0:c r="O72" t="str" s="13">
        <ns0:v>Footprints\PBL - SMD Packages.PcbLib</ns0:v>
      </ns0:c>
      <ns0:c r="P72" t="str" s="10">
        <ns0:v>RC_L; E24; P при 70 °C</ns0:v>
      </ns0:c>
      <ns0:c r="Q72" s="10"/>
      <ns0:c r="R72" t="str" s="11">
        <ns0:f>D72</ns0:f>
        <ns0:v>750 Ом</ns0:v>
      </ns0:c>
      <ns0:c r="S72" t="str" s="11">
        <ns0:f>K72</ns0:f>
        <ns0:v>Резистор 750 Ом ±5% 0603</ns0:v>
      </ns0:c>
      <x:c xmlns:x="http://schemas.openxmlformats.org/spreadsheetml/2006/main" r="T72" t="str" s="11">
        <x:v>C:\Users\Nomatin\Documents\Altium\MY_LIB\MY_LIB\Datasheets\YAGEO_RC_L.pdf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C:\Users\Nomatin\Documents\Altium\MY_LIB\MY_LIB\Datasheets\YAGEO_RC_L.pdf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https://yageogroup.com/content/datasheet/asset/file/PYU-RC_GROUP_51_ROHS_L</x:v>
      </x:c>
      <x:c xmlns:x="http://schemas.openxmlformats.org/spreadsheetml/2006/main" r="Y72" t="str" s="11">
        <x:v>C:\Users\Nomatin\Documents\Altium\MY_LIB\MY_LIB\Datasheets\YAGEO_RC_L.pdf</x:v>
      </x:c>
    </ns0:row>
    <ns0:row r="73" ht="30" customHeight="1">
      <ns0:c r="A73" t="str" s="10">
        <ns0:v>R0079</ns0:v>
      </ns0:c>
      <ns0:c r="B73" t="str" s="10">
        <ns0:v>Резистор</ns0:v>
      </ns0:c>
      <ns0:c r="C73" t="str" s="10">
        <ns0:v>820R</ns0:v>
      </ns0:c>
      <ns0:c r="D73" t="str" s="11">
        <ns0:f>SUBSTITUTE(SUBSTITUTE(SUBSTITUTE(SUBSTITUTE(C73,"meg"," МОм"),"k"," кОм"),"R"," Ом"),".",",")</ns0:f>
        <ns0:v>820 Ом</ns0:v>
      </ns0:c>
      <ns0:c r="E73" t="str" s="10">
        <ns0:v>±5%</ns0:v>
      </ns0:c>
      <ns0:c r="F73" t="str" s="10">
        <ns0:v>0,1 Вт</ns0:v>
      </ns0:c>
      <ns0:c r="G73" t="str" s="10">
        <ns0:v>75 В макс.</ns0:v>
      </ns0:c>
      <ns0:c r="H73" t="str" s="12">
        <ns0:v>0603</ns0:v>
      </ns0:c>
      <ns0:c r="I73" t="str" s="10">
        <ns0:v>YAGEO</ns0:v>
      </ns0:c>
      <ns0:c r="J73" t="str" s="10">
        <ns0:v>RC0603JR-07820RL</ns0:v>
      </ns0:c>
      <ns0:c r="K73" t="str" s="11">
        <ns0:f>B73&amp;" "&amp;D73&amp;" "&amp;E73&amp;" "&amp;H73</ns0:f>
        <ns0:v>Резистор 820 Ом ±5% 0603</ns0:v>
      </ns0:c>
      <ns0:c r="L73" t="str" s="13">
        <ns0:v>R</ns0:v>
      </ns0:c>
      <ns0:c r="M73" t="str" s="13">
        <ns0:v>Symbols\MY_LIB_Resistors.SchLib</ns0:v>
      </ns0:c>
      <ns0:c r="N73" t="str" s="13">
        <ns0:v>RESC1608X55N</ns0:v>
      </ns0:c>
      <ns0:c r="O73" t="str" s="13">
        <ns0:v>Footprints\PBL - SMD Packages.PcbLib</ns0:v>
      </ns0:c>
      <ns0:c r="P73" t="str" s="10">
        <ns0:v>RC_L; E24; P при 70 °C</ns0:v>
      </ns0:c>
      <ns0:c r="Q73" s="10"/>
      <ns0:c r="R73" t="str" s="11">
        <ns0:f>D73</ns0:f>
        <ns0:v>820 Ом</ns0:v>
      </ns0:c>
      <ns0:c r="S73" t="str" s="11">
        <ns0:f>K73</ns0:f>
        <ns0:v>Резистор 820 Ом ±5% 0603</ns0:v>
      </ns0:c>
      <x:c xmlns:x="http://schemas.openxmlformats.org/spreadsheetml/2006/main" r="T73" t="str" s="11">
        <x:v>C:\Users\Nomatin\Documents\Altium\MY_LIB\MY_LIB\Datasheets\YAGEO_RC_L.pdf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C:\Users\Nomatin\Documents\Altium\MY_LIB\MY_LIB\Datasheets\YAGEO_RC_L.pdf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https://yageogroup.com/content/datasheet/asset/file/PYU-RC_GROUP_51_ROHS_L</x:v>
      </x:c>
      <x:c xmlns:x="http://schemas.openxmlformats.org/spreadsheetml/2006/main" r="Y73" t="str" s="11">
        <x:v>C:\Users\Nomatin\Documents\Altium\MY_LIB\MY_LIB\Datasheets\YAGEO_RC_L.pdf</x:v>
      </x:c>
    </ns0:row>
    <ns0:row r="74" ht="30" customHeight="1">
      <ns0:c r="A74" t="str" s="10">
        <ns0:v>R0080</ns0:v>
      </ns0:c>
      <ns0:c r="B74" t="str" s="10">
        <ns0:v>Резистор</ns0:v>
      </ns0:c>
      <ns0:c r="C74" t="str" s="10">
        <ns0:v>910R</ns0:v>
      </ns0:c>
      <ns0:c r="D74" t="str" s="11">
        <ns0:f>SUBSTITUTE(SUBSTITUTE(SUBSTITUTE(SUBSTITUTE(C74,"meg"," МОм"),"k"," кОм"),"R"," Ом"),".",",")</ns0:f>
        <ns0:v>910 Ом</ns0:v>
      </ns0:c>
      <ns0:c r="E74" t="str" s="10">
        <ns0:v>±5%</ns0:v>
      </ns0:c>
      <ns0:c r="F74" t="str" s="10">
        <ns0:v>0,1 Вт</ns0:v>
      </ns0:c>
      <ns0:c r="G74" t="str" s="10">
        <ns0:v>75 В макс.</ns0:v>
      </ns0:c>
      <ns0:c r="H74" t="str" s="12">
        <ns0:v>0603</ns0:v>
      </ns0:c>
      <ns0:c r="I74" t="str" s="10">
        <ns0:v>YAGEO</ns0:v>
      </ns0:c>
      <ns0:c r="J74" t="str" s="10">
        <ns0:v>RC0603JR-07910RL</ns0:v>
      </ns0:c>
      <ns0:c r="K74" t="str" s="11">
        <ns0:f>B74&amp;" "&amp;D74&amp;" "&amp;E74&amp;" "&amp;H74</ns0:f>
        <ns0:v>Резистор 910 Ом ±5% 0603</ns0:v>
      </ns0:c>
      <ns0:c r="L74" t="str" s="13">
        <ns0:v>R</ns0:v>
      </ns0:c>
      <ns0:c r="M74" t="str" s="13">
        <ns0:v>Symbols\MY_LIB_Resistors.SchLib</ns0:v>
      </ns0:c>
      <ns0:c r="N74" t="str" s="13">
        <ns0:v>RESC1608X55N</ns0:v>
      </ns0:c>
      <ns0:c r="O74" t="str" s="13">
        <ns0:v>Footprints\PBL - SMD Packages.PcbLib</ns0:v>
      </ns0:c>
      <ns0:c r="P74" t="str" s="10">
        <ns0:v>RC_L; E24; P при 70 °C</ns0:v>
      </ns0:c>
      <ns0:c r="Q74" s="10"/>
      <ns0:c r="R74" t="str" s="11">
        <ns0:f>D74</ns0:f>
        <ns0:v>910 Ом</ns0:v>
      </ns0:c>
      <ns0:c r="S74" t="str" s="11">
        <ns0:f>K74</ns0:f>
        <ns0:v>Резистор 910 Ом ±5% 0603</ns0:v>
      </ns0:c>
      <x:c xmlns:x="http://schemas.openxmlformats.org/spreadsheetml/2006/main" r="T74" t="str" s="11">
        <x:v>C:\Users\Nomatin\Documents\Altium\MY_LIB\MY_LIB\Datasheets\YAGEO_RC_L.pdf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C:\Users\Nomatin\Documents\Altium\MY_LIB\MY_LIB\Datasheets\YAGEO_RC_L.pdf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https://yageogroup.com/content/datasheet/asset/file/PYU-RC_GROUP_51_ROHS_L</x:v>
      </x:c>
      <x:c xmlns:x="http://schemas.openxmlformats.org/spreadsheetml/2006/main" r="Y74" t="str" s="11">
        <x:v>C:\Users\Nomatin\Documents\Altium\MY_LIB\MY_LIB\Datasheets\YAGEO_RC_L.pdf</x:v>
      </x:c>
    </ns0:row>
    <ns0:row r="75" ht="30" customHeight="1">
      <ns0:c r="A75" t="str" s="10">
        <ns0:v>R0081</ns0:v>
      </ns0:c>
      <ns0:c r="B75" t="str" s="10">
        <ns0:v>Резистор</ns0:v>
      </ns0:c>
      <ns0:c r="C75" t="str" s="10">
        <ns0:v>1k</ns0:v>
      </ns0:c>
      <ns0:c r="D75" t="str" s="11">
        <ns0:f>SUBSTITUTE(SUBSTITUTE(SUBSTITUTE(SUBSTITUTE(C75,"meg"," МОм"),"k"," кОм"),"R"," Ом"),".",",")</ns0:f>
        <ns0:v>1 кОм</ns0:v>
      </ns0:c>
      <ns0:c r="E75" t="str" s="10">
        <ns0:v>±5%</ns0:v>
      </ns0:c>
      <ns0:c r="F75" t="str" s="10">
        <ns0:v>0,1 Вт</ns0:v>
      </ns0:c>
      <ns0:c r="G75" t="str" s="10">
        <ns0:v>75 В макс.</ns0:v>
      </ns0:c>
      <ns0:c r="H75" t="str" s="12">
        <ns0:v>0603</ns0:v>
      </ns0:c>
      <ns0:c r="I75" t="str" s="10">
        <ns0:v>YAGEO</ns0:v>
      </ns0:c>
      <ns0:c r="J75" t="str" s="10">
        <ns0:v>RC0603JR-071KL</ns0:v>
      </ns0:c>
      <ns0:c r="K75" t="str" s="11">
        <ns0:f>B75&amp;" "&amp;D75&amp;" "&amp;E75&amp;" "&amp;H75</ns0:f>
        <ns0:v>Резистор 1 кОм ±5% 0603</ns0:v>
      </ns0:c>
      <ns0:c r="L75" t="str" s="13">
        <ns0:v>R</ns0:v>
      </ns0:c>
      <ns0:c r="M75" t="str" s="13">
        <ns0:v>Symbols\MY_LIB_Resistors.SchLib</ns0:v>
      </ns0:c>
      <ns0:c r="N75" t="str" s="13">
        <ns0:v>RESC1608X55N</ns0:v>
      </ns0:c>
      <ns0:c r="O75" t="str" s="13">
        <ns0:v>Footprints\PBL - SMD Packages.PcbLib</ns0:v>
      </ns0:c>
      <ns0:c r="P75" t="str" s="10">
        <ns0:v>RC_L; E24; P при 70 °C</ns0:v>
      </ns0:c>
      <ns0:c r="Q75" s="10"/>
      <ns0:c r="R75" t="str" s="11">
        <ns0:f>D75</ns0:f>
        <ns0:v>1 кОм</ns0:v>
      </ns0:c>
      <ns0:c r="S75" t="str" s="11">
        <ns0:f>K75</ns0:f>
        <ns0:v>Резистор 1 кОм ±5% 0603</ns0:v>
      </ns0:c>
      <x:c xmlns:x="http://schemas.openxmlformats.org/spreadsheetml/2006/main" r="T75" t="str" s="11">
        <x:v>C:\Users\Nomatin\Documents\Altium\MY_LIB\MY_LIB\Datasheets\YAGEO_RC_L.pdf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C:\Users\Nomatin\Documents\Altium\MY_LIB\MY_LIB\Datasheets\YAGEO_RC_L.pdf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https://yageogroup.com/content/datasheet/asset/file/PYU-RC_GROUP_51_ROHS_L</x:v>
      </x:c>
      <x:c xmlns:x="http://schemas.openxmlformats.org/spreadsheetml/2006/main" r="Y75" t="str" s="11">
        <x:v>C:\Users\Nomatin\Documents\Altium\MY_LIB\MY_LIB\Datasheets\YAGEO_RC_L.pdf</x:v>
      </x:c>
    </ns0:row>
    <ns0:row r="76" ht="30" customHeight="1">
      <ns0:c r="A76" t="str" s="10">
        <ns0:v>R0082</ns0:v>
      </ns0:c>
      <ns0:c r="B76" t="str" s="10">
        <ns0:v>Резистор</ns0:v>
      </ns0:c>
      <ns0:c r="C76" t="str" s="10">
        <ns0:v>1.1k</ns0:v>
      </ns0:c>
      <ns0:c r="D76" t="str" s="11">
        <ns0:f>SUBSTITUTE(SUBSTITUTE(SUBSTITUTE(SUBSTITUTE(C76,"meg"," МОм"),"k"," кОм"),"R"," Ом"),".",",")</ns0:f>
        <ns0:v>1,1 кОм</ns0:v>
      </ns0:c>
      <ns0:c r="E76" t="str" s="10">
        <ns0:v>±5%</ns0:v>
      </ns0:c>
      <ns0:c r="F76" t="str" s="10">
        <ns0:v>0,1 Вт</ns0:v>
      </ns0:c>
      <ns0:c r="G76" t="str" s="10">
        <ns0:v>75 В макс.</ns0:v>
      </ns0:c>
      <ns0:c r="H76" t="str" s="12">
        <ns0:v>0603</ns0:v>
      </ns0:c>
      <ns0:c r="I76" t="str" s="10">
        <ns0:v>YAGEO</ns0:v>
      </ns0:c>
      <ns0:c r="J76" t="str" s="10">
        <ns0:v>RC0603JR-071K1L</ns0:v>
      </ns0:c>
      <ns0:c r="K76" t="str" s="11">
        <ns0:f>B76&amp;" "&amp;D76&amp;" "&amp;E76&amp;" "&amp;H76</ns0:f>
        <ns0:v>Резистор 1,1 кОм ±5% 0603</ns0:v>
      </ns0:c>
      <ns0:c r="L76" t="str" s="13">
        <ns0:v>R</ns0:v>
      </ns0:c>
      <ns0:c r="M76" t="str" s="13">
        <ns0:v>Symbols\MY_LIB_Resistors.SchLib</ns0:v>
      </ns0:c>
      <ns0:c r="N76" t="str" s="13">
        <ns0:v>RESC1608X55N</ns0:v>
      </ns0:c>
      <ns0:c r="O76" t="str" s="13">
        <ns0:v>Footprints\PBL - SMD Packages.PcbLib</ns0:v>
      </ns0:c>
      <ns0:c r="P76" t="str" s="10">
        <ns0:v>RC_L; E24; P при 70 °C</ns0:v>
      </ns0:c>
      <ns0:c r="Q76" s="10"/>
      <ns0:c r="R76" t="str" s="11">
        <ns0:f>D76</ns0:f>
        <ns0:v>1,1 кОм</ns0:v>
      </ns0:c>
      <ns0:c r="S76" t="str" s="11">
        <ns0:f>K76</ns0:f>
        <ns0:v>Резистор 1,1 кОм ±5% 0603</ns0:v>
      </ns0:c>
      <x:c xmlns:x="http://schemas.openxmlformats.org/spreadsheetml/2006/main" r="T76" t="str" s="11">
        <x:v>C:\Users\Nomatin\Documents\Altium\MY_LIB\MY_LIB\Datasheets\YAGEO_RC_L.pdf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C:\Users\Nomatin\Documents\Altium\MY_LIB\MY_LIB\Datasheets\YAGEO_RC_L.pdf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https://yageogroup.com/content/datasheet/asset/file/PYU-RC_GROUP_51_ROHS_L</x:v>
      </x:c>
      <x:c xmlns:x="http://schemas.openxmlformats.org/spreadsheetml/2006/main" r="Y76" t="str" s="11">
        <x:v>C:\Users\Nomatin\Documents\Altium\MY_LIB\MY_LIB\Datasheets\YAGEO_RC_L.pdf</x:v>
      </x:c>
    </ns0:row>
    <ns0:row r="77" ht="30" customHeight="1">
      <ns0:c r="A77" t="str" s="10">
        <ns0:v>R0083</ns0:v>
      </ns0:c>
      <ns0:c r="B77" t="str" s="10">
        <ns0:v>Резистор</ns0:v>
      </ns0:c>
      <ns0:c r="C77" t="str" s="10">
        <ns0:v>1.2k</ns0:v>
      </ns0:c>
      <ns0:c r="D77" t="str" s="11">
        <ns0:f>SUBSTITUTE(SUBSTITUTE(SUBSTITUTE(SUBSTITUTE(C77,"meg"," МОм"),"k"," кОм"),"R"," Ом"),".",",")</ns0:f>
        <ns0:v>1,2 кОм</ns0:v>
      </ns0:c>
      <ns0:c r="E77" t="str" s="10">
        <ns0:v>±5%</ns0:v>
      </ns0:c>
      <ns0:c r="F77" t="str" s="10">
        <ns0:v>0,1 Вт</ns0:v>
      </ns0:c>
      <ns0:c r="G77" t="str" s="10">
        <ns0:v>75 В макс.</ns0:v>
      </ns0:c>
      <ns0:c r="H77" t="str" s="12">
        <ns0:v>0603</ns0:v>
      </ns0:c>
      <ns0:c r="I77" t="str" s="10">
        <ns0:v>YAGEO</ns0:v>
      </ns0:c>
      <ns0:c r="J77" t="str" s="10">
        <ns0:v>RC0603JR-071K2L</ns0:v>
      </ns0:c>
      <ns0:c r="K77" t="str" s="11">
        <ns0:f>B77&amp;" "&amp;D77&amp;" "&amp;E77&amp;" "&amp;H77</ns0:f>
        <ns0:v>Резистор 1,2 кОм ±5% 0603</ns0:v>
      </ns0:c>
      <ns0:c r="L77" t="str" s="13">
        <ns0:v>R</ns0:v>
      </ns0:c>
      <ns0:c r="M77" t="str" s="13">
        <ns0:v>Symbols\MY_LIB_Resistors.SchLib</ns0:v>
      </ns0:c>
      <ns0:c r="N77" t="str" s="13">
        <ns0:v>RESC1608X55N</ns0:v>
      </ns0:c>
      <ns0:c r="O77" t="str" s="13">
        <ns0:v>Footprints\PBL - SMD Packages.PcbLib</ns0:v>
      </ns0:c>
      <ns0:c r="P77" t="str" s="10">
        <ns0:v>RC_L; E24; P при 70 °C</ns0:v>
      </ns0:c>
      <ns0:c r="Q77" s="10"/>
      <ns0:c r="R77" t="str" s="11">
        <ns0:f>D77</ns0:f>
        <ns0:v>1,2 кОм</ns0:v>
      </ns0:c>
      <ns0:c r="S77" t="str" s="11">
        <ns0:f>K77</ns0:f>
        <ns0:v>Резистор 1,2 кОм ±5% 0603</ns0:v>
      </ns0:c>
      <x:c xmlns:x="http://schemas.openxmlformats.org/spreadsheetml/2006/main" r="T77" t="str" s="11">
        <x:v>C:\Users\Nomatin\Documents\Altium\MY_LIB\MY_LIB\Datasheets\YAGEO_RC_L.pdf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C:\Users\Nomatin\Documents\Altium\MY_LIB\MY_LIB\Datasheets\YAGEO_RC_L.pdf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https://yageogroup.com/content/datasheet/asset/file/PYU-RC_GROUP_51_ROHS_L</x:v>
      </x:c>
      <x:c xmlns:x="http://schemas.openxmlformats.org/spreadsheetml/2006/main" r="Y77" t="str" s="11">
        <x:v>C:\Users\Nomatin\Documents\Altium\MY_LIB\MY_LIB\Datasheets\YAGEO_RC_L.pdf</x:v>
      </x:c>
    </ns0:row>
    <ns0:row r="78" ht="30" customHeight="1">
      <ns0:c r="A78" t="str" s="10">
        <ns0:v>R0084</ns0:v>
      </ns0:c>
      <ns0:c r="B78" t="str" s="10">
        <ns0:v>Резистор</ns0:v>
      </ns0:c>
      <ns0:c r="C78" t="str" s="10">
        <ns0:v>1.3k</ns0:v>
      </ns0:c>
      <ns0:c r="D78" t="str" s="11">
        <ns0:f>SUBSTITUTE(SUBSTITUTE(SUBSTITUTE(SUBSTITUTE(C78,"meg"," МОм"),"k"," кОм"),"R"," Ом"),".",",")</ns0:f>
        <ns0:v>1,3 кОм</ns0:v>
      </ns0:c>
      <ns0:c r="E78" t="str" s="10">
        <ns0:v>±5%</ns0:v>
      </ns0:c>
      <ns0:c r="F78" t="str" s="10">
        <ns0:v>0,1 Вт</ns0:v>
      </ns0:c>
      <ns0:c r="G78" t="str" s="10">
        <ns0:v>75 В макс.</ns0:v>
      </ns0:c>
      <ns0:c r="H78" t="str" s="12">
        <ns0:v>0603</ns0:v>
      </ns0:c>
      <ns0:c r="I78" t="str" s="10">
        <ns0:v>YAGEO</ns0:v>
      </ns0:c>
      <ns0:c r="J78" t="str" s="10">
        <ns0:v>RC0603JR-071K3L</ns0:v>
      </ns0:c>
      <ns0:c r="K78" t="str" s="11">
        <ns0:f>B78&amp;" "&amp;D78&amp;" "&amp;E78&amp;" "&amp;H78</ns0:f>
        <ns0:v>Резистор 1,3 кОм ±5% 0603</ns0:v>
      </ns0:c>
      <ns0:c r="L78" t="str" s="13">
        <ns0:v>R</ns0:v>
      </ns0:c>
      <ns0:c r="M78" t="str" s="13">
        <ns0:v>Symbols\MY_LIB_Resistors.SchLib</ns0:v>
      </ns0:c>
      <ns0:c r="N78" t="str" s="13">
        <ns0:v>RESC1608X55N</ns0:v>
      </ns0:c>
      <ns0:c r="O78" t="str" s="13">
        <ns0:v>Footprints\PBL - SMD Packages.PcbLib</ns0:v>
      </ns0:c>
      <ns0:c r="P78" t="str" s="10">
        <ns0:v>RC_L; E24; P при 70 °C</ns0:v>
      </ns0:c>
      <ns0:c r="Q78" s="10"/>
      <ns0:c r="R78" t="str" s="11">
        <ns0:f>D78</ns0:f>
        <ns0:v>1,3 кОм</ns0:v>
      </ns0:c>
      <ns0:c r="S78" t="str" s="11">
        <ns0:f>K78</ns0:f>
        <ns0:v>Резистор 1,3 кОм ±5% 0603</ns0:v>
      </ns0:c>
      <x:c xmlns:x="http://schemas.openxmlformats.org/spreadsheetml/2006/main" r="T78" t="str" s="11">
        <x:v>C:\Users\Nomatin\Documents\Altium\MY_LIB\MY_LIB\Datasheets\YAGEO_RC_L.pdf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C:\Users\Nomatin\Documents\Altium\MY_LIB\MY_LIB\Datasheets\YAGEO_RC_L.pdf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https://yageogroup.com/content/datasheet/asset/file/PYU-RC_GROUP_51_ROHS_L</x:v>
      </x:c>
      <x:c xmlns:x="http://schemas.openxmlformats.org/spreadsheetml/2006/main" r="Y78" t="str" s="11">
        <x:v>C:\Users\Nomatin\Documents\Altium\MY_LIB\MY_LIB\Datasheets\YAGEO_RC_L.pdf</x:v>
      </x:c>
    </ns0:row>
    <ns0:row r="79" ht="30" customHeight="1">
      <ns0:c r="A79" t="str" s="10">
        <ns0:v>R0085</ns0:v>
      </ns0:c>
      <ns0:c r="B79" t="str" s="10">
        <ns0:v>Резистор</ns0:v>
      </ns0:c>
      <ns0:c r="C79" t="str" s="10">
        <ns0:v>1.5k</ns0:v>
      </ns0:c>
      <ns0:c r="D79" t="str" s="11">
        <ns0:f>SUBSTITUTE(SUBSTITUTE(SUBSTITUTE(SUBSTITUTE(C79,"meg"," МОм"),"k"," кОм"),"R"," Ом"),".",",")</ns0:f>
        <ns0:v>1,5 кОм</ns0:v>
      </ns0:c>
      <ns0:c r="E79" t="str" s="10">
        <ns0:v>±5%</ns0:v>
      </ns0:c>
      <ns0:c r="F79" t="str" s="10">
        <ns0:v>0,1 Вт</ns0:v>
      </ns0:c>
      <ns0:c r="G79" t="str" s="10">
        <ns0:v>75 В макс.</ns0:v>
      </ns0:c>
      <ns0:c r="H79" t="str" s="12">
        <ns0:v>0603</ns0:v>
      </ns0:c>
      <ns0:c r="I79" t="str" s="10">
        <ns0:v>YAGEO</ns0:v>
      </ns0:c>
      <ns0:c r="J79" t="str" s="10">
        <ns0:v>RC0603JR-071K5L</ns0:v>
      </ns0:c>
      <ns0:c r="K79" t="str" s="11">
        <ns0:f>B79&amp;" "&amp;D79&amp;" "&amp;E79&amp;" "&amp;H79</ns0:f>
        <ns0:v>Резистор 1,5 кОм ±5% 0603</ns0:v>
      </ns0:c>
      <ns0:c r="L79" t="str" s="13">
        <ns0:v>R</ns0:v>
      </ns0:c>
      <ns0:c r="M79" t="str" s="13">
        <ns0:v>Symbols\MY_LIB_Resistors.SchLib</ns0:v>
      </ns0:c>
      <ns0:c r="N79" t="str" s="13">
        <ns0:v>RESC1608X55N</ns0:v>
      </ns0:c>
      <ns0:c r="O79" t="str" s="13">
        <ns0:v>Footprints\PBL - SMD Packages.PcbLib</ns0:v>
      </ns0:c>
      <ns0:c r="P79" t="str" s="10">
        <ns0:v>RC_L; E24; P при 70 °C</ns0:v>
      </ns0:c>
      <ns0:c r="Q79" s="10"/>
      <ns0:c r="R79" t="str" s="11">
        <ns0:f>D79</ns0:f>
        <ns0:v>1,5 кОм</ns0:v>
      </ns0:c>
      <ns0:c r="S79" t="str" s="11">
        <ns0:f>K79</ns0:f>
        <ns0:v>Резистор 1,5 кОм ±5% 0603</ns0:v>
      </ns0:c>
      <x:c xmlns:x="http://schemas.openxmlformats.org/spreadsheetml/2006/main" r="T79" t="str" s="11">
        <x:v>C:\Users\Nomatin\Documents\Altium\MY_LIB\MY_LIB\Datasheets\YAGEO_RC_L.pdf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C:\Users\Nomatin\Documents\Altium\MY_LIB\MY_LIB\Datasheets\YAGEO_RC_L.pdf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https://yageogroup.com/content/datasheet/asset/file/PYU-RC_GROUP_51_ROHS_L</x:v>
      </x:c>
      <x:c xmlns:x="http://schemas.openxmlformats.org/spreadsheetml/2006/main" r="Y79" t="str" s="11">
        <x:v>C:\Users\Nomatin\Documents\Altium\MY_LIB\MY_LIB\Datasheets\YAGEO_RC_L.pdf</x:v>
      </x:c>
    </ns0:row>
    <ns0:row r="80" ht="30" customHeight="1">
      <ns0:c r="A80" t="str" s="10">
        <ns0:v>R0086</ns0:v>
      </ns0:c>
      <ns0:c r="B80" t="str" s="10">
        <ns0:v>Резистор</ns0:v>
      </ns0:c>
      <ns0:c r="C80" t="str" s="10">
        <ns0:v>1.6k</ns0:v>
      </ns0:c>
      <ns0:c r="D80" t="str" s="11">
        <ns0:f>SUBSTITUTE(SUBSTITUTE(SUBSTITUTE(SUBSTITUTE(C80,"meg"," МОм"),"k"," кОм"),"R"," Ом"),".",",")</ns0:f>
        <ns0:v>1,6 кОм</ns0:v>
      </ns0:c>
      <ns0:c r="E80" t="str" s="10">
        <ns0:v>±5%</ns0:v>
      </ns0:c>
      <ns0:c r="F80" t="str" s="10">
        <ns0:v>0,1 Вт</ns0:v>
      </ns0:c>
      <ns0:c r="G80" t="str" s="10">
        <ns0:v>75 В макс.</ns0:v>
      </ns0:c>
      <ns0:c r="H80" t="str" s="12">
        <ns0:v>0603</ns0:v>
      </ns0:c>
      <ns0:c r="I80" t="str" s="10">
        <ns0:v>YAGEO</ns0:v>
      </ns0:c>
      <ns0:c r="J80" t="str" s="10">
        <ns0:v>RC0603JR-071K6L</ns0:v>
      </ns0:c>
      <ns0:c r="K80" t="str" s="11">
        <ns0:f>B80&amp;" "&amp;D80&amp;" "&amp;E80&amp;" "&amp;H80</ns0:f>
        <ns0:v>Резистор 1,6 кОм ±5% 0603</ns0:v>
      </ns0:c>
      <ns0:c r="L80" t="str" s="13">
        <ns0:v>R</ns0:v>
      </ns0:c>
      <ns0:c r="M80" t="str" s="13">
        <ns0:v>Symbols\MY_LIB_Resistors.SchLib</ns0:v>
      </ns0:c>
      <ns0:c r="N80" t="str" s="13">
        <ns0:v>RESC1608X55N</ns0:v>
      </ns0:c>
      <ns0:c r="O80" t="str" s="13">
        <ns0:v>Footprints\PBL - SMD Packages.PcbLib</ns0:v>
      </ns0:c>
      <ns0:c r="P80" t="str" s="10">
        <ns0:v>RC_L; E24; P при 70 °C</ns0:v>
      </ns0:c>
      <ns0:c r="Q80" s="10"/>
      <ns0:c r="R80" t="str" s="11">
        <ns0:f>D80</ns0:f>
        <ns0:v>1,6 кОм</ns0:v>
      </ns0:c>
      <ns0:c r="S80" t="str" s="11">
        <ns0:f>K80</ns0:f>
        <ns0:v>Резистор 1,6 кОм ±5% 0603</ns0:v>
      </ns0:c>
      <x:c xmlns:x="http://schemas.openxmlformats.org/spreadsheetml/2006/main" r="T80" t="str" s="11">
        <x:v>C:\Users\Nomatin\Documents\Altium\MY_LIB\MY_LIB\Datasheets\YAGEO_RC_L.pdf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C:\Users\Nomatin\Documents\Altium\MY_LIB\MY_LIB\Datasheets\YAGEO_RC_L.pdf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https://yageogroup.com/content/datasheet/asset/file/PYU-RC_GROUP_51_ROHS_L</x:v>
      </x:c>
      <x:c xmlns:x="http://schemas.openxmlformats.org/spreadsheetml/2006/main" r="Y80" t="str" s="11">
        <x:v>C:\Users\Nomatin\Documents\Altium\MY_LIB\MY_LIB\Datasheets\YAGEO_RC_L.pdf</x:v>
      </x:c>
    </ns0:row>
    <ns0:row r="81" ht="30" customHeight="1">
      <ns0:c r="A81" t="str" s="10">
        <ns0:v>R0087</ns0:v>
      </ns0:c>
      <ns0:c r="B81" t="str" s="10">
        <ns0:v>Резистор</ns0:v>
      </ns0:c>
      <ns0:c r="C81" t="str" s="10">
        <ns0:v>1.8k</ns0:v>
      </ns0:c>
      <ns0:c r="D81" t="str" s="11">
        <ns0:f>SUBSTITUTE(SUBSTITUTE(SUBSTITUTE(SUBSTITUTE(C81,"meg"," МОм"),"k"," кОм"),"R"," Ом"),".",",")</ns0:f>
        <ns0:v>1,8 кОм</ns0:v>
      </ns0:c>
      <ns0:c r="E81" t="str" s="10">
        <ns0:v>±5%</ns0:v>
      </ns0:c>
      <ns0:c r="F81" t="str" s="10">
        <ns0:v>0,1 Вт</ns0:v>
      </ns0:c>
      <ns0:c r="G81" t="str" s="10">
        <ns0:v>75 В макс.</ns0:v>
      </ns0:c>
      <ns0:c r="H81" t="str" s="12">
        <ns0:v>0603</ns0:v>
      </ns0:c>
      <ns0:c r="I81" t="str" s="10">
        <ns0:v>YAGEO</ns0:v>
      </ns0:c>
      <ns0:c r="J81" t="str" s="10">
        <ns0:v>RC0603JR-071K8L</ns0:v>
      </ns0:c>
      <ns0:c r="K81" t="str" s="11">
        <ns0:f>B81&amp;" "&amp;D81&amp;" "&amp;E81&amp;" "&amp;H81</ns0:f>
        <ns0:v>Резистор 1,8 кОм ±5% 0603</ns0:v>
      </ns0:c>
      <ns0:c r="L81" t="str" s="13">
        <ns0:v>R</ns0:v>
      </ns0:c>
      <ns0:c r="M81" t="str" s="13">
        <ns0:v>Symbols\MY_LIB_Resistors.SchLib</ns0:v>
      </ns0:c>
      <ns0:c r="N81" t="str" s="13">
        <ns0:v>RESC1608X55N</ns0:v>
      </ns0:c>
      <ns0:c r="O81" t="str" s="13">
        <ns0:v>Footprints\PBL - SMD Packages.PcbLib</ns0:v>
      </ns0:c>
      <ns0:c r="P81" t="str" s="10">
        <ns0:v>RC_L; E24; P при 70 °C</ns0:v>
      </ns0:c>
      <ns0:c r="Q81" s="10"/>
      <ns0:c r="R81" t="str" s="11">
        <ns0:f>D81</ns0:f>
        <ns0:v>1,8 кОм</ns0:v>
      </ns0:c>
      <ns0:c r="S81" t="str" s="11">
        <ns0:f>K81</ns0:f>
        <ns0:v>Резистор 1,8 кОм ±5% 0603</ns0:v>
      </ns0:c>
      <x:c xmlns:x="http://schemas.openxmlformats.org/spreadsheetml/2006/main" r="T81" t="str" s="11">
        <x:v>C:\Users\Nomatin\Documents\Altium\MY_LIB\MY_LIB\Datasheets\YAGEO_RC_L.pdf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C:\Users\Nomatin\Documents\Altium\MY_LIB\MY_LIB\Datasheets\YAGEO_RC_L.pdf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https://yageogroup.com/content/datasheet/asset/file/PYU-RC_GROUP_51_ROHS_L</x:v>
      </x:c>
      <x:c xmlns:x="http://schemas.openxmlformats.org/spreadsheetml/2006/main" r="Y81" t="str" s="11">
        <x:v>C:\Users\Nomatin\Documents\Altium\MY_LIB\MY_LIB\Datasheets\YAGEO_RC_L.pdf</x:v>
      </x:c>
    </ns0:row>
    <ns0:row r="82" ht="30" customHeight="1">
      <ns0:c r="A82" t="str" s="10">
        <ns0:v>R0088</ns0:v>
      </ns0:c>
      <ns0:c r="B82" t="str" s="10">
        <ns0:v>Резистор</ns0:v>
      </ns0:c>
      <ns0:c r="C82" t="str" s="10">
        <ns0:v>2k</ns0:v>
      </ns0:c>
      <ns0:c r="D82" t="str" s="11">
        <ns0:f>SUBSTITUTE(SUBSTITUTE(SUBSTITUTE(SUBSTITUTE(C82,"meg"," МОм"),"k"," кОм"),"R"," Ом"),".",",")</ns0:f>
        <ns0:v>2 кОм</ns0:v>
      </ns0:c>
      <ns0:c r="E82" t="str" s="10">
        <ns0:v>±5%</ns0:v>
      </ns0:c>
      <ns0:c r="F82" t="str" s="10">
        <ns0:v>0,1 Вт</ns0:v>
      </ns0:c>
      <ns0:c r="G82" t="str" s="10">
        <ns0:v>75 В макс.</ns0:v>
      </ns0:c>
      <ns0:c r="H82" t="str" s="12">
        <ns0:v>0603</ns0:v>
      </ns0:c>
      <ns0:c r="I82" t="str" s="10">
        <ns0:v>YAGEO</ns0:v>
      </ns0:c>
      <ns0:c r="J82" t="str" s="10">
        <ns0:v>RC0603JR-072KL</ns0:v>
      </ns0:c>
      <ns0:c r="K82" t="str" s="11">
        <ns0:f>B82&amp;" "&amp;D82&amp;" "&amp;E82&amp;" "&amp;H82</ns0:f>
        <ns0:v>Резистор 2 кОм ±5% 0603</ns0:v>
      </ns0:c>
      <ns0:c r="L82" t="str" s="13">
        <ns0:v>R</ns0:v>
      </ns0:c>
      <ns0:c r="M82" t="str" s="13">
        <ns0:v>Symbols\MY_LIB_Resistors.SchLib</ns0:v>
      </ns0:c>
      <ns0:c r="N82" t="str" s="13">
        <ns0:v>RESC1608X55N</ns0:v>
      </ns0:c>
      <ns0:c r="O82" t="str" s="13">
        <ns0:v>Footprints\PBL - SMD Packages.PcbLib</ns0:v>
      </ns0:c>
      <ns0:c r="P82" t="str" s="10">
        <ns0:v>RC_L; E24; P при 70 °C</ns0:v>
      </ns0:c>
      <ns0:c r="Q82" s="10"/>
      <ns0:c r="R82" t="str" s="11">
        <ns0:f>D82</ns0:f>
        <ns0:v>2 кОм</ns0:v>
      </ns0:c>
      <ns0:c r="S82" t="str" s="11">
        <ns0:f>K82</ns0:f>
        <ns0:v>Резистор 2 кОм ±5% 0603</ns0:v>
      </ns0:c>
      <x:c xmlns:x="http://schemas.openxmlformats.org/spreadsheetml/2006/main" r="T82" t="str" s="11">
        <x:v>C:\Users\Nomatin\Documents\Altium\MY_LIB\MY_LIB\Datasheets\YAGEO_RC_L.pdf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C:\Users\Nomatin\Documents\Altium\MY_LIB\MY_LIB\Datasheets\YAGEO_RC_L.pdf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https://yageogroup.com/content/datasheet/asset/file/PYU-RC_GROUP_51_ROHS_L</x:v>
      </x:c>
      <x:c xmlns:x="http://schemas.openxmlformats.org/spreadsheetml/2006/main" r="Y82" t="str" s="11">
        <x:v>C:\Users\Nomatin\Documents\Altium\MY_LIB\MY_LIB\Datasheets\YAGEO_RC_L.pdf</x:v>
      </x:c>
    </ns0:row>
    <ns0:row r="83" ht="30" customHeight="1">
      <ns0:c r="A83" t="str" s="10">
        <ns0:v>R0089</ns0:v>
      </ns0:c>
      <ns0:c r="B83" t="str" s="10">
        <ns0:v>Резистор</ns0:v>
      </ns0:c>
      <ns0:c r="C83" t="str" s="10">
        <ns0:v>2.2k</ns0:v>
      </ns0:c>
      <ns0:c r="D83" t="str" s="11">
        <ns0:f>SUBSTITUTE(SUBSTITUTE(SUBSTITUTE(SUBSTITUTE(C83,"meg"," МОм"),"k"," кОм"),"R"," Ом"),".",",")</ns0:f>
        <ns0:v>2,2 кОм</ns0:v>
      </ns0:c>
      <ns0:c r="E83" t="str" s="10">
        <ns0:v>±5%</ns0:v>
      </ns0:c>
      <ns0:c r="F83" t="str" s="10">
        <ns0:v>0,1 Вт</ns0:v>
      </ns0:c>
      <ns0:c r="G83" t="str" s="10">
        <ns0:v>75 В макс.</ns0:v>
      </ns0:c>
      <ns0:c r="H83" t="str" s="12">
        <ns0:v>0603</ns0:v>
      </ns0:c>
      <ns0:c r="I83" t="str" s="10">
        <ns0:v>YAGEO</ns0:v>
      </ns0:c>
      <ns0:c r="J83" t="str" s="10">
        <ns0:v>RC0603JR-072K2L</ns0:v>
      </ns0:c>
      <ns0:c r="K83" t="str" s="11">
        <ns0:f>B83&amp;" "&amp;D83&amp;" "&amp;E83&amp;" "&amp;H83</ns0:f>
        <ns0:v>Резистор 2,2 кОм ±5% 0603</ns0:v>
      </ns0:c>
      <ns0:c r="L83" t="str" s="13">
        <ns0:v>R</ns0:v>
      </ns0:c>
      <ns0:c r="M83" t="str" s="13">
        <ns0:v>Symbols\MY_LIB_Resistors.SchLib</ns0:v>
      </ns0:c>
      <ns0:c r="N83" t="str" s="13">
        <ns0:v>RESC1608X55N</ns0:v>
      </ns0:c>
      <ns0:c r="O83" t="str" s="13">
        <ns0:v>Footprints\PBL - SMD Packages.PcbLib</ns0:v>
      </ns0:c>
      <ns0:c r="P83" t="str" s="10">
        <ns0:v>RC_L; E24; P при 70 °C</ns0:v>
      </ns0:c>
      <ns0:c r="Q83" s="10"/>
      <ns0:c r="R83" t="str" s="11">
        <ns0:f>D83</ns0:f>
        <ns0:v>2,2 кОм</ns0:v>
      </ns0:c>
      <ns0:c r="S83" t="str" s="11">
        <ns0:f>K83</ns0:f>
        <ns0:v>Резистор 2,2 кОм ±5% 0603</ns0:v>
      </ns0:c>
      <x:c xmlns:x="http://schemas.openxmlformats.org/spreadsheetml/2006/main" r="T83" t="str" s="11">
        <x:v>C:\Users\Nomatin\Documents\Altium\MY_LIB\MY_LIB\Datasheets\YAGEO_RC_L.pdf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C:\Users\Nomatin\Documents\Altium\MY_LIB\MY_LIB\Datasheets\YAGEO_RC_L.pdf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https://yageogroup.com/content/datasheet/asset/file/PYU-RC_GROUP_51_ROHS_L</x:v>
      </x:c>
      <x:c xmlns:x="http://schemas.openxmlformats.org/spreadsheetml/2006/main" r="Y83" t="str" s="11">
        <x:v>C:\Users\Nomatin\Documents\Altium\MY_LIB\MY_LIB\Datasheets\YAGEO_RC_L.pdf</x:v>
      </x:c>
    </ns0:row>
    <ns0:row r="84" ht="30" customHeight="1">
      <ns0:c r="A84" t="str" s="10">
        <ns0:v>R0090</ns0:v>
      </ns0:c>
      <ns0:c r="B84" t="str" s="10">
        <ns0:v>Резистор</ns0:v>
      </ns0:c>
      <ns0:c r="C84" t="str" s="10">
        <ns0:v>2.4k</ns0:v>
      </ns0:c>
      <ns0:c r="D84" t="str" s="11">
        <ns0:f>SUBSTITUTE(SUBSTITUTE(SUBSTITUTE(SUBSTITUTE(C84,"meg"," МОм"),"k"," кОм"),"R"," Ом"),".",",")</ns0:f>
        <ns0:v>2,4 кОм</ns0:v>
      </ns0:c>
      <ns0:c r="E84" t="str" s="10">
        <ns0:v>±5%</ns0:v>
      </ns0:c>
      <ns0:c r="F84" t="str" s="10">
        <ns0:v>0,1 Вт</ns0:v>
      </ns0:c>
      <ns0:c r="G84" t="str" s="10">
        <ns0:v>75 В макс.</ns0:v>
      </ns0:c>
      <ns0:c r="H84" t="str" s="12">
        <ns0:v>0603</ns0:v>
      </ns0:c>
      <ns0:c r="I84" t="str" s="10">
        <ns0:v>YAGEO</ns0:v>
      </ns0:c>
      <ns0:c r="J84" t="str" s="10">
        <ns0:v>RC0603JR-072K4L</ns0:v>
      </ns0:c>
      <ns0:c r="K84" t="str" s="11">
        <ns0:f>B84&amp;" "&amp;D84&amp;" "&amp;E84&amp;" "&amp;H84</ns0:f>
        <ns0:v>Резистор 2,4 кОм ±5% 0603</ns0:v>
      </ns0:c>
      <ns0:c r="L84" t="str" s="13">
        <ns0:v>R</ns0:v>
      </ns0:c>
      <ns0:c r="M84" t="str" s="13">
        <ns0:v>Symbols\MY_LIB_Resistors.SchLib</ns0:v>
      </ns0:c>
      <ns0:c r="N84" t="str" s="13">
        <ns0:v>RESC1608X55N</ns0:v>
      </ns0:c>
      <ns0:c r="O84" t="str" s="13">
        <ns0:v>Footprints\PBL - SMD Packages.PcbLib</ns0:v>
      </ns0:c>
      <ns0:c r="P84" t="str" s="10">
        <ns0:v>RC_L; E24; P при 70 °C</ns0:v>
      </ns0:c>
      <ns0:c r="Q84" s="10"/>
      <ns0:c r="R84" t="str" s="11">
        <ns0:f>D84</ns0:f>
        <ns0:v>2,4 кОм</ns0:v>
      </ns0:c>
      <ns0:c r="S84" t="str" s="11">
        <ns0:f>K84</ns0:f>
        <ns0:v>Резистор 2,4 кОм ±5% 0603</ns0:v>
      </ns0:c>
      <x:c xmlns:x="http://schemas.openxmlformats.org/spreadsheetml/2006/main" r="T84" t="str" s="11">
        <x:v>C:\Users\Nomatin\Documents\Altium\MY_LIB\MY_LIB\Datasheets\YAGEO_RC_L.pdf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C:\Users\Nomatin\Documents\Altium\MY_LIB\MY_LIB\Datasheets\YAGEO_RC_L.pdf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https://yageogroup.com/content/datasheet/asset/file/PYU-RC_GROUP_51_ROHS_L</x:v>
      </x:c>
      <x:c xmlns:x="http://schemas.openxmlformats.org/spreadsheetml/2006/main" r="Y84" t="str" s="11">
        <x:v>C:\Users\Nomatin\Documents\Altium\MY_LIB\MY_LIB\Datasheets\YAGEO_RC_L.pdf</x:v>
      </x:c>
    </ns0:row>
    <ns0:row r="85" ht="30" customHeight="1">
      <ns0:c r="A85" t="str" s="10">
        <ns0:v>R0091</ns0:v>
      </ns0:c>
      <ns0:c r="B85" t="str" s="10">
        <ns0:v>Резистор</ns0:v>
      </ns0:c>
      <ns0:c r="C85" t="str" s="10">
        <ns0:v>2.7k</ns0:v>
      </ns0:c>
      <ns0:c r="D85" t="str" s="11">
        <ns0:f>SUBSTITUTE(SUBSTITUTE(SUBSTITUTE(SUBSTITUTE(C85,"meg"," МОм"),"k"," кОм"),"R"," Ом"),".",",")</ns0:f>
        <ns0:v>2,7 кОм</ns0:v>
      </ns0:c>
      <ns0:c r="E85" t="str" s="10">
        <ns0:v>±5%</ns0:v>
      </ns0:c>
      <ns0:c r="F85" t="str" s="10">
        <ns0:v>0,1 Вт</ns0:v>
      </ns0:c>
      <ns0:c r="G85" t="str" s="10">
        <ns0:v>75 В макс.</ns0:v>
      </ns0:c>
      <ns0:c r="H85" t="str" s="12">
        <ns0:v>0603</ns0:v>
      </ns0:c>
      <ns0:c r="I85" t="str" s="10">
        <ns0:v>YAGEO</ns0:v>
      </ns0:c>
      <ns0:c r="J85" t="str" s="10">
        <ns0:v>RC0603JR-072K7L</ns0:v>
      </ns0:c>
      <ns0:c r="K85" t="str" s="11">
        <ns0:f>B85&amp;" "&amp;D85&amp;" "&amp;E85&amp;" "&amp;H85</ns0:f>
        <ns0:v>Резистор 2,7 кОм ±5% 0603</ns0:v>
      </ns0:c>
      <ns0:c r="L85" t="str" s="13">
        <ns0:v>R</ns0:v>
      </ns0:c>
      <ns0:c r="M85" t="str" s="13">
        <ns0:v>Symbols\MY_LIB_Resistors.SchLib</ns0:v>
      </ns0:c>
      <ns0:c r="N85" t="str" s="13">
        <ns0:v>RESC1608X55N</ns0:v>
      </ns0:c>
      <ns0:c r="O85" t="str" s="13">
        <ns0:v>Footprints\PBL - SMD Packages.PcbLib</ns0:v>
      </ns0:c>
      <ns0:c r="P85" t="str" s="10">
        <ns0:v>RC_L; E24; P при 70 °C</ns0:v>
      </ns0:c>
      <ns0:c r="Q85" s="10"/>
      <ns0:c r="R85" t="str" s="11">
        <ns0:f>D85</ns0:f>
        <ns0:v>2,7 кОм</ns0:v>
      </ns0:c>
      <ns0:c r="S85" t="str" s="11">
        <ns0:f>K85</ns0:f>
        <ns0:v>Резистор 2,7 кОм ±5% 0603</ns0:v>
      </ns0:c>
      <x:c xmlns:x="http://schemas.openxmlformats.org/spreadsheetml/2006/main" r="T85" t="str" s="11">
        <x:v>C:\Users\Nomatin\Documents\Altium\MY_LIB\MY_LIB\Datasheets\YAGEO_RC_L.pdf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C:\Users\Nomatin\Documents\Altium\MY_LIB\MY_LIB\Datasheets\YAGEO_RC_L.pdf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https://yageogroup.com/content/datasheet/asset/file/PYU-RC_GROUP_51_ROHS_L</x:v>
      </x:c>
      <x:c xmlns:x="http://schemas.openxmlformats.org/spreadsheetml/2006/main" r="Y85" t="str" s="11">
        <x:v>C:\Users\Nomatin\Documents\Altium\MY_LIB\MY_LIB\Datasheets\YAGEO_RC_L.pdf</x:v>
      </x:c>
    </ns0:row>
    <ns0:row r="86" ht="30" customHeight="1">
      <ns0:c r="A86" t="str" s="10">
        <ns0:v>R0092</ns0:v>
      </ns0:c>
      <ns0:c r="B86" t="str" s="10">
        <ns0:v>Резистор</ns0:v>
      </ns0:c>
      <ns0:c r="C86" t="str" s="10">
        <ns0:v>3k</ns0:v>
      </ns0:c>
      <ns0:c r="D86" t="str" s="11">
        <ns0:f>SUBSTITUTE(SUBSTITUTE(SUBSTITUTE(SUBSTITUTE(C86,"meg"," МОм"),"k"," кОм"),"R"," Ом"),".",",")</ns0:f>
        <ns0:v>3 кОм</ns0:v>
      </ns0:c>
      <ns0:c r="E86" t="str" s="10">
        <ns0:v>±5%</ns0:v>
      </ns0:c>
      <ns0:c r="F86" t="str" s="10">
        <ns0:v>0,1 Вт</ns0:v>
      </ns0:c>
      <ns0:c r="G86" t="str" s="10">
        <ns0:v>75 В макс.</ns0:v>
      </ns0:c>
      <ns0:c r="H86" t="str" s="12">
        <ns0:v>0603</ns0:v>
      </ns0:c>
      <ns0:c r="I86" t="str" s="10">
        <ns0:v>YAGEO</ns0:v>
      </ns0:c>
      <ns0:c r="J86" t="str" s="10">
        <ns0:v>RC0603JR-073KL</ns0:v>
      </ns0:c>
      <ns0:c r="K86" t="str" s="11">
        <ns0:f>B86&amp;" "&amp;D86&amp;" "&amp;E86&amp;" "&amp;H86</ns0:f>
        <ns0:v>Резистор 3 кОм ±5% 0603</ns0:v>
      </ns0:c>
      <ns0:c r="L86" t="str" s="13">
        <ns0:v>R</ns0:v>
      </ns0:c>
      <ns0:c r="M86" t="str" s="13">
        <ns0:v>Symbols\MY_LIB_Resistors.SchLib</ns0:v>
      </ns0:c>
      <ns0:c r="N86" t="str" s="13">
        <ns0:v>RESC1608X55N</ns0:v>
      </ns0:c>
      <ns0:c r="O86" t="str" s="13">
        <ns0:v>Footprints\PBL - SMD Packages.PcbLib</ns0:v>
      </ns0:c>
      <ns0:c r="P86" t="str" s="10">
        <ns0:v>RC_L; E24; P при 70 °C</ns0:v>
      </ns0:c>
      <ns0:c r="Q86" s="10"/>
      <ns0:c r="R86" t="str" s="11">
        <ns0:f>D86</ns0:f>
        <ns0:v>3 кОм</ns0:v>
      </ns0:c>
      <ns0:c r="S86" t="str" s="11">
        <ns0:f>K86</ns0:f>
        <ns0:v>Резистор 3 кОм ±5% 0603</ns0:v>
      </ns0:c>
      <x:c xmlns:x="http://schemas.openxmlformats.org/spreadsheetml/2006/main" r="T86" t="str" s="11">
        <x:v>C:\Users\Nomatin\Documents\Altium\MY_LIB\MY_LIB\Datasheets\YAGEO_RC_L.pdf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C:\Users\Nomatin\Documents\Altium\MY_LIB\MY_LIB\Datasheets\YAGEO_RC_L.pdf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https://yageogroup.com/content/datasheet/asset/file/PYU-RC_GROUP_51_ROHS_L</x:v>
      </x:c>
      <x:c xmlns:x="http://schemas.openxmlformats.org/spreadsheetml/2006/main" r="Y86" t="str" s="11">
        <x:v>C:\Users\Nomatin\Documents\Altium\MY_LIB\MY_LIB\Datasheets\YAGEO_RC_L.pdf</x:v>
      </x:c>
    </ns0:row>
    <ns0:row r="87" ht="30" customHeight="1">
      <ns0:c r="A87" t="str" s="10">
        <ns0:v>R0093</ns0:v>
      </ns0:c>
      <ns0:c r="B87" t="str" s="10">
        <ns0:v>Резистор</ns0:v>
      </ns0:c>
      <ns0:c r="C87" t="str" s="10">
        <ns0:v>3.3k</ns0:v>
      </ns0:c>
      <ns0:c r="D87" t="str" s="11">
        <ns0:f>SUBSTITUTE(SUBSTITUTE(SUBSTITUTE(SUBSTITUTE(C87,"meg"," МОм"),"k"," кОм"),"R"," Ом"),".",",")</ns0:f>
        <ns0:v>3,3 кОм</ns0:v>
      </ns0:c>
      <ns0:c r="E87" t="str" s="10">
        <ns0:v>±5%</ns0:v>
      </ns0:c>
      <ns0:c r="F87" t="str" s="10">
        <ns0:v>0,1 Вт</ns0:v>
      </ns0:c>
      <ns0:c r="G87" t="str" s="10">
        <ns0:v>75 В макс.</ns0:v>
      </ns0:c>
      <ns0:c r="H87" t="str" s="12">
        <ns0:v>0603</ns0:v>
      </ns0:c>
      <ns0:c r="I87" t="str" s="10">
        <ns0:v>YAGEO</ns0:v>
      </ns0:c>
      <ns0:c r="J87" t="str" s="10">
        <ns0:v>RC0603JR-073K3L</ns0:v>
      </ns0:c>
      <ns0:c r="K87" t="str" s="11">
        <ns0:f>B87&amp;" "&amp;D87&amp;" "&amp;E87&amp;" "&amp;H87</ns0:f>
        <ns0:v>Резистор 3,3 кОм ±5% 0603</ns0:v>
      </ns0:c>
      <ns0:c r="L87" t="str" s="13">
        <ns0:v>R</ns0:v>
      </ns0:c>
      <ns0:c r="M87" t="str" s="13">
        <ns0:v>Symbols\MY_LIB_Resistors.SchLib</ns0:v>
      </ns0:c>
      <ns0:c r="N87" t="str" s="13">
        <ns0:v>RESC1608X55N</ns0:v>
      </ns0:c>
      <ns0:c r="O87" t="str" s="13">
        <ns0:v>Footprints\PBL - SMD Packages.PcbLib</ns0:v>
      </ns0:c>
      <ns0:c r="P87" t="str" s="10">
        <ns0:v>RC_L; E24; P при 70 °C</ns0:v>
      </ns0:c>
      <ns0:c r="Q87" s="10"/>
      <ns0:c r="R87" t="str" s="11">
        <ns0:f>D87</ns0:f>
        <ns0:v>3,3 кОм</ns0:v>
      </ns0:c>
      <ns0:c r="S87" t="str" s="11">
        <ns0:f>K87</ns0:f>
        <ns0:v>Резистор 3,3 кОм ±5% 0603</ns0:v>
      </ns0:c>
      <x:c xmlns:x="http://schemas.openxmlformats.org/spreadsheetml/2006/main" r="T87" t="str" s="11">
        <x:v>C:\Users\Nomatin\Documents\Altium\MY_LIB\MY_LIB\Datasheets\YAGEO_RC_L.pdf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C:\Users\Nomatin\Documents\Altium\MY_LIB\MY_LIB\Datasheets\YAGEO_RC_L.pdf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https://yageogroup.com/content/datasheet/asset/file/PYU-RC_GROUP_51_ROHS_L</x:v>
      </x:c>
      <x:c xmlns:x="http://schemas.openxmlformats.org/spreadsheetml/2006/main" r="Y87" t="str" s="11">
        <x:v>C:\Users\Nomatin\Documents\Altium\MY_LIB\MY_LIB\Datasheets\YAGEO_RC_L.pdf</x:v>
      </x:c>
    </ns0:row>
    <ns0:row r="88" ht="30" customHeight="1">
      <ns0:c r="A88" t="str" s="10">
        <ns0:v>R0094</ns0:v>
      </ns0:c>
      <ns0:c r="B88" t="str" s="10">
        <ns0:v>Резистор</ns0:v>
      </ns0:c>
      <ns0:c r="C88" t="str" s="10">
        <ns0:v>3.6k</ns0:v>
      </ns0:c>
      <ns0:c r="D88" t="str" s="11">
        <ns0:f>SUBSTITUTE(SUBSTITUTE(SUBSTITUTE(SUBSTITUTE(C88,"meg"," МОм"),"k"," кОм"),"R"," Ом"),".",",")</ns0:f>
        <ns0:v>3,6 кОм</ns0:v>
      </ns0:c>
      <ns0:c r="E88" t="str" s="10">
        <ns0:v>±5%</ns0:v>
      </ns0:c>
      <ns0:c r="F88" t="str" s="10">
        <ns0:v>0,1 Вт</ns0:v>
      </ns0:c>
      <ns0:c r="G88" t="str" s="10">
        <ns0:v>75 В макс.</ns0:v>
      </ns0:c>
      <ns0:c r="H88" t="str" s="12">
        <ns0:v>0603</ns0:v>
      </ns0:c>
      <ns0:c r="I88" t="str" s="10">
        <ns0:v>YAGEO</ns0:v>
      </ns0:c>
      <ns0:c r="J88" t="str" s="10">
        <ns0:v>RC0603JR-073K6L</ns0:v>
      </ns0:c>
      <ns0:c r="K88" t="str" s="11">
        <ns0:f>B88&amp;" "&amp;D88&amp;" "&amp;E88&amp;" "&amp;H88</ns0:f>
        <ns0:v>Резистор 3,6 кОм ±5% 0603</ns0:v>
      </ns0:c>
      <ns0:c r="L88" t="str" s="13">
        <ns0:v>R</ns0:v>
      </ns0:c>
      <ns0:c r="M88" t="str" s="13">
        <ns0:v>Symbols\MY_LIB_Resistors.SchLib</ns0:v>
      </ns0:c>
      <ns0:c r="N88" t="str" s="13">
        <ns0:v>RESC1608X55N</ns0:v>
      </ns0:c>
      <ns0:c r="O88" t="str" s="13">
        <ns0:v>Footprints\PBL - SMD Packages.PcbLib</ns0:v>
      </ns0:c>
      <ns0:c r="P88" t="str" s="10">
        <ns0:v>RC_L; E24; P при 70 °C</ns0:v>
      </ns0:c>
      <ns0:c r="Q88" s="10"/>
      <ns0:c r="R88" t="str" s="11">
        <ns0:f>D88</ns0:f>
        <ns0:v>3,6 кОм</ns0:v>
      </ns0:c>
      <ns0:c r="S88" t="str" s="11">
        <ns0:f>K88</ns0:f>
        <ns0:v>Резистор 3,6 кОм ±5% 0603</ns0:v>
      </ns0:c>
      <x:c xmlns:x="http://schemas.openxmlformats.org/spreadsheetml/2006/main" r="T88" t="str" s="11">
        <x:v>C:\Users\Nomatin\Documents\Altium\MY_LIB\MY_LIB\Datasheets\YAGEO_RC_L.pdf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C:\Users\Nomatin\Documents\Altium\MY_LIB\MY_LIB\Datasheets\YAGEO_RC_L.pdf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https://yageogroup.com/content/datasheet/asset/file/PYU-RC_GROUP_51_ROHS_L</x:v>
      </x:c>
      <x:c xmlns:x="http://schemas.openxmlformats.org/spreadsheetml/2006/main" r="Y88" t="str" s="11">
        <x:v>C:\Users\Nomatin\Documents\Altium\MY_LIB\MY_LIB\Datasheets\YAGEO_RC_L.pdf</x:v>
      </x:c>
    </ns0:row>
    <ns0:row r="89" ht="30" customHeight="1">
      <ns0:c r="A89" t="str" s="10">
        <ns0:v>R0095</ns0:v>
      </ns0:c>
      <ns0:c r="B89" t="str" s="10">
        <ns0:v>Резистор</ns0:v>
      </ns0:c>
      <ns0:c r="C89" t="str" s="10">
        <ns0:v>3.9k</ns0:v>
      </ns0:c>
      <ns0:c r="D89" t="str" s="11">
        <ns0:f>SUBSTITUTE(SUBSTITUTE(SUBSTITUTE(SUBSTITUTE(C89,"meg"," МОм"),"k"," кОм"),"R"," Ом"),".",",")</ns0:f>
        <ns0:v>3,9 кОм</ns0:v>
      </ns0:c>
      <ns0:c r="E89" t="str" s="10">
        <ns0:v>±5%</ns0:v>
      </ns0:c>
      <ns0:c r="F89" t="str" s="10">
        <ns0:v>0,1 Вт</ns0:v>
      </ns0:c>
      <ns0:c r="G89" t="str" s="10">
        <ns0:v>75 В макс.</ns0:v>
      </ns0:c>
      <ns0:c r="H89" t="str" s="12">
        <ns0:v>0603</ns0:v>
      </ns0:c>
      <ns0:c r="I89" t="str" s="10">
        <ns0:v>YAGEO</ns0:v>
      </ns0:c>
      <ns0:c r="J89" t="str" s="10">
        <ns0:v>RC0603JR-073K9L</ns0:v>
      </ns0:c>
      <ns0:c r="K89" t="str" s="11">
        <ns0:f>B89&amp;" "&amp;D89&amp;" "&amp;E89&amp;" "&amp;H89</ns0:f>
        <ns0:v>Резистор 3,9 кОм ±5% 0603</ns0:v>
      </ns0:c>
      <ns0:c r="L89" t="str" s="13">
        <ns0:v>R</ns0:v>
      </ns0:c>
      <ns0:c r="M89" t="str" s="13">
        <ns0:v>Symbols\MY_LIB_Resistors.SchLib</ns0:v>
      </ns0:c>
      <ns0:c r="N89" t="str" s="13">
        <ns0:v>RESC1608X55N</ns0:v>
      </ns0:c>
      <ns0:c r="O89" t="str" s="13">
        <ns0:v>Footprints\PBL - SMD Packages.PcbLib</ns0:v>
      </ns0:c>
      <ns0:c r="P89" t="str" s="10">
        <ns0:v>RC_L; E24; P при 70 °C</ns0:v>
      </ns0:c>
      <ns0:c r="Q89" s="10"/>
      <ns0:c r="R89" t="str" s="11">
        <ns0:f>D89</ns0:f>
        <ns0:v>3,9 кОм</ns0:v>
      </ns0:c>
      <ns0:c r="S89" t="str" s="11">
        <ns0:f>K89</ns0:f>
        <ns0:v>Резистор 3,9 кОм ±5% 0603</ns0:v>
      </ns0:c>
      <x:c xmlns:x="http://schemas.openxmlformats.org/spreadsheetml/2006/main" r="T89" t="str" s="11">
        <x:v>C:\Users\Nomatin\Documents\Altium\MY_LIB\MY_LIB\Datasheets\YAGEO_RC_L.pdf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C:\Users\Nomatin\Documents\Altium\MY_LIB\MY_LIB\Datasheets\YAGEO_RC_L.pdf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https://yageogroup.com/content/datasheet/asset/file/PYU-RC_GROUP_51_ROHS_L</x:v>
      </x:c>
      <x:c xmlns:x="http://schemas.openxmlformats.org/spreadsheetml/2006/main" r="Y89" t="str" s="11">
        <x:v>C:\Users\Nomatin\Documents\Altium\MY_LIB\MY_LIB\Datasheets\YAGEO_RC_L.pdf</x:v>
      </x:c>
    </ns0:row>
    <ns0:row r="90" ht="30" customHeight="1">
      <ns0:c r="A90" t="str" s="10">
        <ns0:v>R0096</ns0:v>
      </ns0:c>
      <ns0:c r="B90" t="str" s="10">
        <ns0:v>Резистор</ns0:v>
      </ns0:c>
      <ns0:c r="C90" t="str" s="10">
        <ns0:v>4.3k</ns0:v>
      </ns0:c>
      <ns0:c r="D90" t="str" s="11">
        <ns0:f>SUBSTITUTE(SUBSTITUTE(SUBSTITUTE(SUBSTITUTE(C90,"meg"," МОм"),"k"," кОм"),"R"," Ом"),".",",")</ns0:f>
        <ns0:v>4,3 кОм</ns0:v>
      </ns0:c>
      <ns0:c r="E90" t="str" s="10">
        <ns0:v>±5%</ns0:v>
      </ns0:c>
      <ns0:c r="F90" t="str" s="10">
        <ns0:v>0,1 Вт</ns0:v>
      </ns0:c>
      <ns0:c r="G90" t="str" s="10">
        <ns0:v>75 В макс.</ns0:v>
      </ns0:c>
      <ns0:c r="H90" t="str" s="12">
        <ns0:v>0603</ns0:v>
      </ns0:c>
      <ns0:c r="I90" t="str" s="10">
        <ns0:v>YAGEO</ns0:v>
      </ns0:c>
      <ns0:c r="J90" t="str" s="10">
        <ns0:v>RC0603JR-074K3L</ns0:v>
      </ns0:c>
      <ns0:c r="K90" t="str" s="11">
        <ns0:f>B90&amp;" "&amp;D90&amp;" "&amp;E90&amp;" "&amp;H90</ns0:f>
        <ns0:v>Резистор 4,3 кОм ±5% 0603</ns0:v>
      </ns0:c>
      <ns0:c r="L90" t="str" s="13">
        <ns0:v>R</ns0:v>
      </ns0:c>
      <ns0:c r="M90" t="str" s="13">
        <ns0:v>Symbols\MY_LIB_Resistors.SchLib</ns0:v>
      </ns0:c>
      <ns0:c r="N90" t="str" s="13">
        <ns0:v>RESC1608X55N</ns0:v>
      </ns0:c>
      <ns0:c r="O90" t="str" s="13">
        <ns0:v>Footprints\PBL - SMD Packages.PcbLib</ns0:v>
      </ns0:c>
      <ns0:c r="P90" t="str" s="10">
        <ns0:v>RC_L; E24; P при 70 °C</ns0:v>
      </ns0:c>
      <ns0:c r="Q90" s="10"/>
      <ns0:c r="R90" t="str" s="11">
        <ns0:f>D90</ns0:f>
        <ns0:v>4,3 кОм</ns0:v>
      </ns0:c>
      <ns0:c r="S90" t="str" s="11">
        <ns0:f>K90</ns0:f>
        <ns0:v>Резистор 4,3 кОм ±5% 0603</ns0:v>
      </ns0:c>
      <x:c xmlns:x="http://schemas.openxmlformats.org/spreadsheetml/2006/main" r="T90" t="str" s="11">
        <x:v>C:\Users\Nomatin\Documents\Altium\MY_LIB\MY_LIB\Datasheets\YAGEO_RC_L.pdf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C:\Users\Nomatin\Documents\Altium\MY_LIB\MY_LIB\Datasheets\YAGEO_RC_L.pdf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https://yageogroup.com/content/datasheet/asset/file/PYU-RC_GROUP_51_ROHS_L</x:v>
      </x:c>
      <x:c xmlns:x="http://schemas.openxmlformats.org/spreadsheetml/2006/main" r="Y90" t="str" s="11">
        <x:v>C:\Users\Nomatin\Documents\Altium\MY_LIB\MY_LIB\Datasheets\YAGEO_RC_L.pdf</x:v>
      </x:c>
    </ns0:row>
    <ns0:row r="91" ht="30" customHeight="1">
      <ns0:c r="A91" t="str" s="10">
        <ns0:v>R0097</ns0:v>
      </ns0:c>
      <ns0:c r="B91" t="str" s="10">
        <ns0:v>Резистор</ns0:v>
      </ns0:c>
      <ns0:c r="C91" t="str" s="10">
        <ns0:v>4.7k</ns0:v>
      </ns0:c>
      <ns0:c r="D91" t="str" s="11">
        <ns0:f>SUBSTITUTE(SUBSTITUTE(SUBSTITUTE(SUBSTITUTE(C91,"meg"," МОм"),"k"," кОм"),"R"," Ом"),".",",")</ns0:f>
        <ns0:v>4,7 кОм</ns0:v>
      </ns0:c>
      <ns0:c r="E91" t="str" s="10">
        <ns0:v>±5%</ns0:v>
      </ns0:c>
      <ns0:c r="F91" t="str" s="10">
        <ns0:v>0,1 Вт</ns0:v>
      </ns0:c>
      <ns0:c r="G91" t="str" s="10">
        <ns0:v>75 В макс.</ns0:v>
      </ns0:c>
      <ns0:c r="H91" t="str" s="12">
        <ns0:v>0603</ns0:v>
      </ns0:c>
      <ns0:c r="I91" t="str" s="10">
        <ns0:v>YAGEO</ns0:v>
      </ns0:c>
      <ns0:c r="J91" t="str" s="10">
        <ns0:v>RC0603JR-074K7L</ns0:v>
      </ns0:c>
      <ns0:c r="K91" t="str" s="11">
        <ns0:f>B91&amp;" "&amp;D91&amp;" "&amp;E91&amp;" "&amp;H91</ns0:f>
        <ns0:v>Резистор 4,7 кОм ±5% 0603</ns0:v>
      </ns0:c>
      <ns0:c r="L91" t="str" s="13">
        <ns0:v>R</ns0:v>
      </ns0:c>
      <ns0:c r="M91" t="str" s="13">
        <ns0:v>Symbols\MY_LIB_Resistors.SchLib</ns0:v>
      </ns0:c>
      <ns0:c r="N91" t="str" s="13">
        <ns0:v>RESC1608X55N</ns0:v>
      </ns0:c>
      <ns0:c r="O91" t="str" s="13">
        <ns0:v>Footprints\PBL - SMD Packages.PcbLib</ns0:v>
      </ns0:c>
      <ns0:c r="P91" t="str" s="10">
        <ns0:v>RC_L; E24; P при 70 °C</ns0:v>
      </ns0:c>
      <ns0:c r="Q91" s="10"/>
      <ns0:c r="R91" t="str" s="11">
        <ns0:f>D91</ns0:f>
        <ns0:v>4,7 кОм</ns0:v>
      </ns0:c>
      <ns0:c r="S91" t="str" s="11">
        <ns0:f>K91</ns0:f>
        <ns0:v>Резистор 4,7 кОм ±5% 0603</ns0:v>
      </ns0:c>
      <x:c xmlns:x="http://schemas.openxmlformats.org/spreadsheetml/2006/main" r="T91" t="str" s="11">
        <x:v>C:\Users\Nomatin\Documents\Altium\MY_LIB\MY_LIB\Datasheets\YAGEO_RC_L.pdf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C:\Users\Nomatin\Documents\Altium\MY_LIB\MY_LIB\Datasheets\YAGEO_RC_L.pdf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https://yageogroup.com/content/datasheet/asset/file/PYU-RC_GROUP_51_ROHS_L</x:v>
      </x:c>
      <x:c xmlns:x="http://schemas.openxmlformats.org/spreadsheetml/2006/main" r="Y91" t="str" s="11">
        <x:v>C:\Users\Nomatin\Documents\Altium\MY_LIB\MY_LIB\Datasheets\YAGEO_RC_L.pdf</x:v>
      </x:c>
    </ns0:row>
    <ns0:row r="92" ht="30" customHeight="1">
      <ns0:c r="A92" t="str" s="10">
        <ns0:v>R0098</ns0:v>
      </ns0:c>
      <ns0:c r="B92" t="str" s="10">
        <ns0:v>Резистор</ns0:v>
      </ns0:c>
      <ns0:c r="C92" t="str" s="10">
        <ns0:v>5.1k</ns0:v>
      </ns0:c>
      <ns0:c r="D92" t="str" s="11">
        <ns0:f>SUBSTITUTE(SUBSTITUTE(SUBSTITUTE(SUBSTITUTE(C92,"meg"," МОм"),"k"," кОм"),"R"," Ом"),".",",")</ns0:f>
        <ns0:v>5,1 кОм</ns0:v>
      </ns0:c>
      <ns0:c r="E92" t="str" s="10">
        <ns0:v>±5%</ns0:v>
      </ns0:c>
      <ns0:c r="F92" t="str" s="10">
        <ns0:v>0,1 Вт</ns0:v>
      </ns0:c>
      <ns0:c r="G92" t="str" s="10">
        <ns0:v>75 В макс.</ns0:v>
      </ns0:c>
      <ns0:c r="H92" t="str" s="12">
        <ns0:v>0603</ns0:v>
      </ns0:c>
      <ns0:c r="I92" t="str" s="10">
        <ns0:v>YAGEO</ns0:v>
      </ns0:c>
      <ns0:c r="J92" t="str" s="10">
        <ns0:v>RC0603JR-075K1L</ns0:v>
      </ns0:c>
      <ns0:c r="K92" t="str" s="11">
        <ns0:f>B92&amp;" "&amp;D92&amp;" "&amp;E92&amp;" "&amp;H92</ns0:f>
        <ns0:v>Резистор 5,1 кОм ±5% 0603</ns0:v>
      </ns0:c>
      <ns0:c r="L92" t="str" s="13">
        <ns0:v>R</ns0:v>
      </ns0:c>
      <ns0:c r="M92" t="str" s="13">
        <ns0:v>Symbols\MY_LIB_Resistors.SchLib</ns0:v>
      </ns0:c>
      <ns0:c r="N92" t="str" s="13">
        <ns0:v>RESC1608X55N</ns0:v>
      </ns0:c>
      <ns0:c r="O92" t="str" s="13">
        <ns0:v>Footprints\PBL - SMD Packages.PcbLib</ns0:v>
      </ns0:c>
      <ns0:c r="P92" t="str" s="10">
        <ns0:v>RC_L; E24; P при 70 °C</ns0:v>
      </ns0:c>
      <ns0:c r="Q92" s="10"/>
      <ns0:c r="R92" t="str" s="11">
        <ns0:f>D92</ns0:f>
        <ns0:v>5,1 кОм</ns0:v>
      </ns0:c>
      <ns0:c r="S92" t="str" s="11">
        <ns0:f>K92</ns0:f>
        <ns0:v>Резистор 5,1 кОм ±5% 0603</ns0:v>
      </ns0:c>
      <x:c xmlns:x="http://schemas.openxmlformats.org/spreadsheetml/2006/main" r="T92" t="str" s="11">
        <x:v>C:\Users\Nomatin\Documents\Altium\MY_LIB\MY_LIB\Datasheets\YAGEO_RC_L.pdf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C:\Users\Nomatin\Documents\Altium\MY_LIB\MY_LIB\Datasheets\YAGEO_RC_L.pdf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https://yageogroup.com/content/datasheet/asset/file/PYU-RC_GROUP_51_ROHS_L</x:v>
      </x:c>
      <x:c xmlns:x="http://schemas.openxmlformats.org/spreadsheetml/2006/main" r="Y92" t="str" s="11">
        <x:v>C:\Users\Nomatin\Documents\Altium\MY_LIB\MY_LIB\Datasheets\YAGEO_RC_L.pdf</x:v>
      </x:c>
    </ns0:row>
    <ns0:row r="93" ht="30" customHeight="1">
      <ns0:c r="A93" t="str" s="10">
        <ns0:v>R0099</ns0:v>
      </ns0:c>
      <ns0:c r="B93" t="str" s="10">
        <ns0:v>Резистор</ns0:v>
      </ns0:c>
      <ns0:c r="C93" t="str" s="10">
        <ns0:v>5.6k</ns0:v>
      </ns0:c>
      <ns0:c r="D93" t="str" s="11">
        <ns0:f>SUBSTITUTE(SUBSTITUTE(SUBSTITUTE(SUBSTITUTE(C93,"meg"," МОм"),"k"," кОм"),"R"," Ом"),".",",")</ns0:f>
        <ns0:v>5,6 кОм</ns0:v>
      </ns0:c>
      <ns0:c r="E93" t="str" s="10">
        <ns0:v>±5%</ns0:v>
      </ns0:c>
      <ns0:c r="F93" t="str" s="10">
        <ns0:v>0,1 Вт</ns0:v>
      </ns0:c>
      <ns0:c r="G93" t="str" s="10">
        <ns0:v>75 В макс.</ns0:v>
      </ns0:c>
      <ns0:c r="H93" t="str" s="12">
        <ns0:v>0603</ns0:v>
      </ns0:c>
      <ns0:c r="I93" t="str" s="10">
        <ns0:v>YAGEO</ns0:v>
      </ns0:c>
      <ns0:c r="J93" t="str" s="10">
        <ns0:v>RC0603JR-075K6L</ns0:v>
      </ns0:c>
      <ns0:c r="K93" t="str" s="11">
        <ns0:f>B93&amp;" "&amp;D93&amp;" "&amp;E93&amp;" "&amp;H93</ns0:f>
        <ns0:v>Резистор 5,6 кОм ±5% 0603</ns0:v>
      </ns0:c>
      <ns0:c r="L93" t="str" s="13">
        <ns0:v>R</ns0:v>
      </ns0:c>
      <ns0:c r="M93" t="str" s="13">
        <ns0:v>Symbols\MY_LIB_Resistors.SchLib</ns0:v>
      </ns0:c>
      <ns0:c r="N93" t="str" s="13">
        <ns0:v>RESC1608X55N</ns0:v>
      </ns0:c>
      <ns0:c r="O93" t="str" s="13">
        <ns0:v>Footprints\PBL - SMD Packages.PcbLib</ns0:v>
      </ns0:c>
      <ns0:c r="P93" t="str" s="10">
        <ns0:v>RC_L; E24; P при 70 °C</ns0:v>
      </ns0:c>
      <ns0:c r="Q93" s="10"/>
      <ns0:c r="R93" t="str" s="11">
        <ns0:f>D93</ns0:f>
        <ns0:v>5,6 кОм</ns0:v>
      </ns0:c>
      <ns0:c r="S93" t="str" s="11">
        <ns0:f>K93</ns0:f>
        <ns0:v>Резистор 5,6 кОм ±5% 0603</ns0:v>
      </ns0:c>
      <x:c xmlns:x="http://schemas.openxmlformats.org/spreadsheetml/2006/main" r="T93" t="str" s="11">
        <x:v>C:\Users\Nomatin\Documents\Altium\MY_LIB\MY_LIB\Datasheets\YAGEO_RC_L.pdf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C:\Users\Nomatin\Documents\Altium\MY_LIB\MY_LIB\Datasheets\YAGEO_RC_L.pdf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https://yageogroup.com/content/datasheet/asset/file/PYU-RC_GROUP_51_ROHS_L</x:v>
      </x:c>
      <x:c xmlns:x="http://schemas.openxmlformats.org/spreadsheetml/2006/main" r="Y93" t="str" s="11">
        <x:v>C:\Users\Nomatin\Documents\Altium\MY_LIB\MY_LIB\Datasheets\YAGEO_RC_L.pdf</x:v>
      </x:c>
    </ns0:row>
    <ns0:row r="94" ht="30" customHeight="1">
      <ns0:c r="A94" t="str" s="10">
        <ns0:v>R0100</ns0:v>
      </ns0:c>
      <ns0:c r="B94" t="str" s="10">
        <ns0:v>Резистор</ns0:v>
      </ns0:c>
      <ns0:c r="C94" t="str" s="10">
        <ns0:v>6.2k</ns0:v>
      </ns0:c>
      <ns0:c r="D94" t="str" s="11">
        <ns0:f>SUBSTITUTE(SUBSTITUTE(SUBSTITUTE(SUBSTITUTE(C94,"meg"," МОм"),"k"," кОм"),"R"," Ом"),".",",")</ns0:f>
        <ns0:v>6,2 кОм</ns0:v>
      </ns0:c>
      <ns0:c r="E94" t="str" s="10">
        <ns0:v>±5%</ns0:v>
      </ns0:c>
      <ns0:c r="F94" t="str" s="10">
        <ns0:v>0,1 Вт</ns0:v>
      </ns0:c>
      <ns0:c r="G94" t="str" s="10">
        <ns0:v>75 В макс.</ns0:v>
      </ns0:c>
      <ns0:c r="H94" t="str" s="12">
        <ns0:v>0603</ns0:v>
      </ns0:c>
      <ns0:c r="I94" t="str" s="10">
        <ns0:v>YAGEO</ns0:v>
      </ns0:c>
      <ns0:c r="J94" t="str" s="10">
        <ns0:v>RC0603JR-076K2L</ns0:v>
      </ns0:c>
      <ns0:c r="K94" t="str" s="11">
        <ns0:f>B94&amp;" "&amp;D94&amp;" "&amp;E94&amp;" "&amp;H94</ns0:f>
        <ns0:v>Резистор 6,2 кОм ±5% 0603</ns0:v>
      </ns0:c>
      <ns0:c r="L94" t="str" s="13">
        <ns0:v>R</ns0:v>
      </ns0:c>
      <ns0:c r="M94" t="str" s="13">
        <ns0:v>Symbols\MY_LIB_Resistors.SchLib</ns0:v>
      </ns0:c>
      <ns0:c r="N94" t="str" s="13">
        <ns0:v>RESC1608X55N</ns0:v>
      </ns0:c>
      <ns0:c r="O94" t="str" s="13">
        <ns0:v>Footprints\PBL - SMD Packages.PcbLib</ns0:v>
      </ns0:c>
      <ns0:c r="P94" t="str" s="10">
        <ns0:v>RC_L; E24; P при 70 °C</ns0:v>
      </ns0:c>
      <ns0:c r="Q94" s="10"/>
      <ns0:c r="R94" t="str" s="11">
        <ns0:f>D94</ns0:f>
        <ns0:v>6,2 кОм</ns0:v>
      </ns0:c>
      <ns0:c r="S94" t="str" s="11">
        <ns0:f>K94</ns0:f>
        <ns0:v>Резистор 6,2 кОм ±5% 0603</ns0:v>
      </ns0:c>
      <x:c xmlns:x="http://schemas.openxmlformats.org/spreadsheetml/2006/main" r="T94" t="str" s="11">
        <x:v>C:\Users\Nomatin\Documents\Altium\MY_LIB\MY_LIB\Datasheets\YAGEO_RC_L.pdf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C:\Users\Nomatin\Documents\Altium\MY_LIB\MY_LIB\Datasheets\YAGEO_RC_L.pdf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https://yageogroup.com/content/datasheet/asset/file/PYU-RC_GROUP_51_ROHS_L</x:v>
      </x:c>
      <x:c xmlns:x="http://schemas.openxmlformats.org/spreadsheetml/2006/main" r="Y94" t="str" s="11">
        <x:v>C:\Users\Nomatin\Documents\Altium\MY_LIB\MY_LIB\Datasheets\YAGEO_RC_L.pdf</x:v>
      </x:c>
    </ns0:row>
    <ns0:row r="95" ht="30" customHeight="1">
      <ns0:c r="A95" t="str" s="10">
        <ns0:v>R0101</ns0:v>
      </ns0:c>
      <ns0:c r="B95" t="str" s="10">
        <ns0:v>Резистор</ns0:v>
      </ns0:c>
      <ns0:c r="C95" t="str" s="10">
        <ns0:v>6.8k</ns0:v>
      </ns0:c>
      <ns0:c r="D95" t="str" s="11">
        <ns0:f>SUBSTITUTE(SUBSTITUTE(SUBSTITUTE(SUBSTITUTE(C95,"meg"," МОм"),"k"," кОм"),"R"," Ом"),".",",")</ns0:f>
        <ns0:v>6,8 кОм</ns0:v>
      </ns0:c>
      <ns0:c r="E95" t="str" s="10">
        <ns0:v>±5%</ns0:v>
      </ns0:c>
      <ns0:c r="F95" t="str" s="10">
        <ns0:v>0,1 Вт</ns0:v>
      </ns0:c>
      <ns0:c r="G95" t="str" s="10">
        <ns0:v>75 В макс.</ns0:v>
      </ns0:c>
      <ns0:c r="H95" t="str" s="12">
        <ns0:v>0603</ns0:v>
      </ns0:c>
      <ns0:c r="I95" t="str" s="10">
        <ns0:v>YAGEO</ns0:v>
      </ns0:c>
      <ns0:c r="J95" t="str" s="10">
        <ns0:v>RC0603JR-076K8L</ns0:v>
      </ns0:c>
      <ns0:c r="K95" t="str" s="11">
        <ns0:f>B95&amp;" "&amp;D95&amp;" "&amp;E95&amp;" "&amp;H95</ns0:f>
        <ns0:v>Резистор 6,8 кОм ±5% 0603</ns0:v>
      </ns0:c>
      <ns0:c r="L95" t="str" s="13">
        <ns0:v>R</ns0:v>
      </ns0:c>
      <ns0:c r="M95" t="str" s="13">
        <ns0:v>Symbols\MY_LIB_Resistors.SchLib</ns0:v>
      </ns0:c>
      <ns0:c r="N95" t="str" s="13">
        <ns0:v>RESC1608X55N</ns0:v>
      </ns0:c>
      <ns0:c r="O95" t="str" s="13">
        <ns0:v>Footprints\PBL - SMD Packages.PcbLib</ns0:v>
      </ns0:c>
      <ns0:c r="P95" t="str" s="10">
        <ns0:v>RC_L; E24; P при 70 °C</ns0:v>
      </ns0:c>
      <ns0:c r="Q95" s="10"/>
      <ns0:c r="R95" t="str" s="11">
        <ns0:f>D95</ns0:f>
        <ns0:v>6,8 кОм</ns0:v>
      </ns0:c>
      <ns0:c r="S95" t="str" s="11">
        <ns0:f>K95</ns0:f>
        <ns0:v>Резистор 6,8 кОм ±5% 0603</ns0:v>
      </ns0:c>
      <x:c xmlns:x="http://schemas.openxmlformats.org/spreadsheetml/2006/main" r="T95" t="str" s="11">
        <x:v>C:\Users\Nomatin\Documents\Altium\MY_LIB\MY_LIB\Datasheets\YAGEO_RC_L.pdf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C:\Users\Nomatin\Documents\Altium\MY_LIB\MY_LIB\Datasheets\YAGEO_RC_L.pdf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https://yageogroup.com/content/datasheet/asset/file/PYU-RC_GROUP_51_ROHS_L</x:v>
      </x:c>
      <x:c xmlns:x="http://schemas.openxmlformats.org/spreadsheetml/2006/main" r="Y95" t="str" s="11">
        <x:v>C:\Users\Nomatin\Documents\Altium\MY_LIB\MY_LIB\Datasheets\YAGEO_RC_L.pdf</x:v>
      </x:c>
    </ns0:row>
    <ns0:row r="96" ht="30" customHeight="1">
      <ns0:c r="A96" t="str" s="10">
        <ns0:v>R0102</ns0:v>
      </ns0:c>
      <ns0:c r="B96" t="str" s="10">
        <ns0:v>Резистор</ns0:v>
      </ns0:c>
      <ns0:c r="C96" t="str" s="10">
        <ns0:v>7.5k</ns0:v>
      </ns0:c>
      <ns0:c r="D96" t="str" s="11">
        <ns0:f>SUBSTITUTE(SUBSTITUTE(SUBSTITUTE(SUBSTITUTE(C96,"meg"," МОм"),"k"," кОм"),"R"," Ом"),".",",")</ns0:f>
        <ns0:v>7,5 кОм</ns0:v>
      </ns0:c>
      <ns0:c r="E96" t="str" s="10">
        <ns0:v>±5%</ns0:v>
      </ns0:c>
      <ns0:c r="F96" t="str" s="10">
        <ns0:v>0,1 Вт</ns0:v>
      </ns0:c>
      <ns0:c r="G96" t="str" s="10">
        <ns0:v>75 В макс.</ns0:v>
      </ns0:c>
      <ns0:c r="H96" t="str" s="12">
        <ns0:v>0603</ns0:v>
      </ns0:c>
      <ns0:c r="I96" t="str" s="10">
        <ns0:v>YAGEO</ns0:v>
      </ns0:c>
      <ns0:c r="J96" t="str" s="10">
        <ns0:v>RC0603JR-077K5L</ns0:v>
      </ns0:c>
      <ns0:c r="K96" t="str" s="11">
        <ns0:f>B96&amp;" "&amp;D96&amp;" "&amp;E96&amp;" "&amp;H96</ns0:f>
        <ns0:v>Резистор 7,5 кОм ±5% 0603</ns0:v>
      </ns0:c>
      <ns0:c r="L96" t="str" s="13">
        <ns0:v>R</ns0:v>
      </ns0:c>
      <ns0:c r="M96" t="str" s="13">
        <ns0:v>Symbols\MY_LIB_Resistors.SchLib</ns0:v>
      </ns0:c>
      <ns0:c r="N96" t="str" s="13">
        <ns0:v>RESC1608X55N</ns0:v>
      </ns0:c>
      <ns0:c r="O96" t="str" s="13">
        <ns0:v>Footprints\PBL - SMD Packages.PcbLib</ns0:v>
      </ns0:c>
      <ns0:c r="P96" t="str" s="10">
        <ns0:v>RC_L; E24; P при 70 °C</ns0:v>
      </ns0:c>
      <ns0:c r="Q96" s="10"/>
      <ns0:c r="R96" t="str" s="11">
        <ns0:f>D96</ns0:f>
        <ns0:v>7,5 кОм</ns0:v>
      </ns0:c>
      <ns0:c r="S96" t="str" s="11">
        <ns0:f>K96</ns0:f>
        <ns0:v>Резистор 7,5 кОм ±5% 0603</ns0:v>
      </ns0:c>
      <x:c xmlns:x="http://schemas.openxmlformats.org/spreadsheetml/2006/main" r="T96" t="str" s="11">
        <x:v>C:\Users\Nomatin\Documents\Altium\MY_LIB\MY_LIB\Datasheets\YAGEO_RC_L.pdf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C:\Users\Nomatin\Documents\Altium\MY_LIB\MY_LIB\Datasheets\YAGEO_RC_L.pdf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https://yageogroup.com/content/datasheet/asset/file/PYU-RC_GROUP_51_ROHS_L</x:v>
      </x:c>
      <x:c xmlns:x="http://schemas.openxmlformats.org/spreadsheetml/2006/main" r="Y96" t="str" s="11">
        <x:v>C:\Users\Nomatin\Documents\Altium\MY_LIB\MY_LIB\Datasheets\YAGEO_RC_L.pdf</x:v>
      </x:c>
    </ns0:row>
    <ns0:row r="97" ht="30" customHeight="1">
      <ns0:c r="A97" t="str" s="10">
        <ns0:v>R0103</ns0:v>
      </ns0:c>
      <ns0:c r="B97" t="str" s="10">
        <ns0:v>Резистор</ns0:v>
      </ns0:c>
      <ns0:c r="C97" t="str" s="10">
        <ns0:v>8.2k</ns0:v>
      </ns0:c>
      <ns0:c r="D97" t="str" s="11">
        <ns0:f>SUBSTITUTE(SUBSTITUTE(SUBSTITUTE(SUBSTITUTE(C97,"meg"," МОм"),"k"," кОм"),"R"," Ом"),".",",")</ns0:f>
        <ns0:v>8,2 кОм</ns0:v>
      </ns0:c>
      <ns0:c r="E97" t="str" s="10">
        <ns0:v>±5%</ns0:v>
      </ns0:c>
      <ns0:c r="F97" t="str" s="10">
        <ns0:v>0,1 Вт</ns0:v>
      </ns0:c>
      <ns0:c r="G97" t="str" s="10">
        <ns0:v>75 В макс.</ns0:v>
      </ns0:c>
      <ns0:c r="H97" t="str" s="12">
        <ns0:v>0603</ns0:v>
      </ns0:c>
      <ns0:c r="I97" t="str" s="10">
        <ns0:v>YAGEO</ns0:v>
      </ns0:c>
      <ns0:c r="J97" t="str" s="10">
        <ns0:v>RC0603JR-078K2L</ns0:v>
      </ns0:c>
      <ns0:c r="K97" t="str" s="11">
        <ns0:f>B97&amp;" "&amp;D97&amp;" "&amp;E97&amp;" "&amp;H97</ns0:f>
        <ns0:v>Резистор 8,2 кОм ±5% 0603</ns0:v>
      </ns0:c>
      <ns0:c r="L97" t="str" s="13">
        <ns0:v>R</ns0:v>
      </ns0:c>
      <ns0:c r="M97" t="str" s="13">
        <ns0:v>Symbols\MY_LIB_Resistors.SchLib</ns0:v>
      </ns0:c>
      <ns0:c r="N97" t="str" s="13">
        <ns0:v>RESC1608X55N</ns0:v>
      </ns0:c>
      <ns0:c r="O97" t="str" s="13">
        <ns0:v>Footprints\PBL - SMD Packages.PcbLib</ns0:v>
      </ns0:c>
      <ns0:c r="P97" t="str" s="10">
        <ns0:v>RC_L; E24; P при 70 °C</ns0:v>
      </ns0:c>
      <ns0:c r="Q97" s="10"/>
      <ns0:c r="R97" t="str" s="11">
        <ns0:f>D97</ns0:f>
        <ns0:v>8,2 кОм</ns0:v>
      </ns0:c>
      <ns0:c r="S97" t="str" s="11">
        <ns0:f>K97</ns0:f>
        <ns0:v>Резистор 8,2 кОм ±5% 0603</ns0:v>
      </ns0:c>
      <x:c xmlns:x="http://schemas.openxmlformats.org/spreadsheetml/2006/main" r="T97" t="str" s="11">
        <x:v>C:\Users\Nomatin\Documents\Altium\MY_LIB\MY_LIB\Datasheets\YAGEO_RC_L.pdf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C:\Users\Nomatin\Documents\Altium\MY_LIB\MY_LIB\Datasheets\YAGEO_RC_L.pdf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https://yageogroup.com/content/datasheet/asset/file/PYU-RC_GROUP_51_ROHS_L</x:v>
      </x:c>
      <x:c xmlns:x="http://schemas.openxmlformats.org/spreadsheetml/2006/main" r="Y97" t="str" s="11">
        <x:v>C:\Users\Nomatin\Documents\Altium\MY_LIB\MY_LIB\Datasheets\YAGEO_RC_L.pdf</x:v>
      </x:c>
    </ns0:row>
    <ns0:row r="98" ht="30" customHeight="1">
      <ns0:c r="A98" t="str" s="10">
        <ns0:v>R0104</ns0:v>
      </ns0:c>
      <ns0:c r="B98" t="str" s="10">
        <ns0:v>Резистор</ns0:v>
      </ns0:c>
      <ns0:c r="C98" t="str" s="10">
        <ns0:v>9.1k</ns0:v>
      </ns0:c>
      <ns0:c r="D98" t="str" s="11">
        <ns0:f>SUBSTITUTE(SUBSTITUTE(SUBSTITUTE(SUBSTITUTE(C98,"meg"," МОм"),"k"," кОм"),"R"," Ом"),".",",")</ns0:f>
        <ns0:v>9,1 кОм</ns0:v>
      </ns0:c>
      <ns0:c r="E98" t="str" s="10">
        <ns0:v>±5%</ns0:v>
      </ns0:c>
      <ns0:c r="F98" t="str" s="10">
        <ns0:v>0,1 Вт</ns0:v>
      </ns0:c>
      <ns0:c r="G98" t="str" s="10">
        <ns0:v>75 В макс.</ns0:v>
      </ns0:c>
      <ns0:c r="H98" t="str" s="12">
        <ns0:v>0603</ns0:v>
      </ns0:c>
      <ns0:c r="I98" t="str" s="10">
        <ns0:v>YAGEO</ns0:v>
      </ns0:c>
      <ns0:c r="J98" t="str" s="10">
        <ns0:v>RC0603JR-079K1L</ns0:v>
      </ns0:c>
      <ns0:c r="K98" t="str" s="11">
        <ns0:f>B98&amp;" "&amp;D98&amp;" "&amp;E98&amp;" "&amp;H98</ns0:f>
        <ns0:v>Резистор 9,1 кОм ±5% 0603</ns0:v>
      </ns0:c>
      <ns0:c r="L98" t="str" s="13">
        <ns0:v>R</ns0:v>
      </ns0:c>
      <ns0:c r="M98" t="str" s="13">
        <ns0:v>Symbols\MY_LIB_Resistors.SchLib</ns0:v>
      </ns0:c>
      <ns0:c r="N98" t="str" s="13">
        <ns0:v>RESC1608X55N</ns0:v>
      </ns0:c>
      <ns0:c r="O98" t="str" s="13">
        <ns0:v>Footprints\PBL - SMD Packages.PcbLib</ns0:v>
      </ns0:c>
      <ns0:c r="P98" t="str" s="10">
        <ns0:v>RC_L; E24; P при 70 °C</ns0:v>
      </ns0:c>
      <ns0:c r="Q98" s="10"/>
      <ns0:c r="R98" t="str" s="11">
        <ns0:f>D98</ns0:f>
        <ns0:v>9,1 кОм</ns0:v>
      </ns0:c>
      <ns0:c r="S98" t="str" s="11">
        <ns0:f>K98</ns0:f>
        <ns0:v>Резистор 9,1 кОм ±5% 0603</ns0:v>
      </ns0:c>
      <x:c xmlns:x="http://schemas.openxmlformats.org/spreadsheetml/2006/main" r="T98" t="str" s="11">
        <x:v>C:\Users\Nomatin\Documents\Altium\MY_LIB\MY_LIB\Datasheets\YAGEO_RC_L.pdf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C:\Users\Nomatin\Documents\Altium\MY_LIB\MY_LIB\Datasheets\YAGEO_RC_L.pdf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https://yageogroup.com/content/datasheet/asset/file/PYU-RC_GROUP_51_ROHS_L</x:v>
      </x:c>
      <x:c xmlns:x="http://schemas.openxmlformats.org/spreadsheetml/2006/main" r="Y98" t="str" s="11">
        <x:v>C:\Users\Nomatin\Documents\Altium\MY_LIB\MY_LIB\Datasheets\YAGEO_RC_L.pdf</x:v>
      </x:c>
    </ns0:row>
    <ns0:row r="99" ht="30" customHeight="1">
      <ns0:c r="A99" t="str" s="10">
        <ns0:v>R0105</ns0:v>
      </ns0:c>
      <ns0:c r="B99" t="str" s="10">
        <ns0:v>Резистор</ns0:v>
      </ns0:c>
      <ns0:c r="C99" t="str" s="10">
        <ns0:v>10k</ns0:v>
      </ns0:c>
      <ns0:c r="D99" t="str" s="11">
        <ns0:f>SUBSTITUTE(SUBSTITUTE(SUBSTITUTE(SUBSTITUTE(C99,"meg"," МОм"),"k"," кОм"),"R"," Ом"),".",",")</ns0:f>
        <ns0:v>10 кОм</ns0:v>
      </ns0:c>
      <ns0:c r="E99" t="str" s="10">
        <ns0:v>±5%</ns0:v>
      </ns0:c>
      <ns0:c r="F99" t="str" s="10">
        <ns0:v>0,1 Вт</ns0:v>
      </ns0:c>
      <ns0:c r="G99" t="str" s="10">
        <ns0:v>75 В макс.</ns0:v>
      </ns0:c>
      <ns0:c r="H99" t="str" s="12">
        <ns0:v>0603</ns0:v>
      </ns0:c>
      <ns0:c r="I99" t="str" s="10">
        <ns0:v>YAGEO</ns0:v>
      </ns0:c>
      <ns0:c r="J99" t="str" s="10">
        <ns0:v>RC0603JR-0710KL</ns0:v>
      </ns0:c>
      <ns0:c r="K99" t="str" s="11">
        <ns0:f>B99&amp;" "&amp;D99&amp;" "&amp;E99&amp;" "&amp;H99</ns0:f>
        <ns0:v>Резистор 10 кОм ±5% 0603</ns0:v>
      </ns0:c>
      <ns0:c r="L99" t="str" s="13">
        <ns0:v>R</ns0:v>
      </ns0:c>
      <ns0:c r="M99" t="str" s="13">
        <ns0:v>Symbols\MY_LIB_Resistors.SchLib</ns0:v>
      </ns0:c>
      <ns0:c r="N99" t="str" s="13">
        <ns0:v>RESC1608X55N</ns0:v>
      </ns0:c>
      <ns0:c r="O99" t="str" s="13">
        <ns0:v>Footprints\PBL - SMD Packages.PcbLib</ns0:v>
      </ns0:c>
      <ns0:c r="P99" t="str" s="10">
        <ns0:v>RC_L; E24; P при 70 °C</ns0:v>
      </ns0:c>
      <ns0:c r="Q99" s="10"/>
      <ns0:c r="R99" t="str" s="11">
        <ns0:f>D99</ns0:f>
        <ns0:v>10 кОм</ns0:v>
      </ns0:c>
      <ns0:c r="S99" t="str" s="11">
        <ns0:f>K99</ns0:f>
        <ns0:v>Резистор 10 кОм ±5% 0603</ns0:v>
      </ns0:c>
      <x:c xmlns:x="http://schemas.openxmlformats.org/spreadsheetml/2006/main" r="T99" t="str" s="11">
        <x:v>C:\Users\Nomatin\Documents\Altium\MY_LIB\MY_LIB\Datasheets\YAGEO_RC_L.pdf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C:\Users\Nomatin\Documents\Altium\MY_LIB\MY_LIB\Datasheets\YAGEO_RC_L.pdf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https://yageogroup.com/content/datasheet/asset/file/PYU-RC_GROUP_51_ROHS_L</x:v>
      </x:c>
      <x:c xmlns:x="http://schemas.openxmlformats.org/spreadsheetml/2006/main" r="Y99" t="str" s="11">
        <x:v>C:\Users\Nomatin\Documents\Altium\MY_LIB\MY_LIB\Datasheets\YAGEO_RC_L.pdf</x:v>
      </x:c>
    </ns0:row>
    <ns0:row r="100" ht="30" customHeight="1">
      <ns0:c r="A100" t="str" s="10">
        <ns0:v>R0106</ns0:v>
      </ns0:c>
      <ns0:c r="B100" t="str" s="10">
        <ns0:v>Резистор</ns0:v>
      </ns0:c>
      <ns0:c r="C100" t="str" s="10">
        <ns0:v>11k</ns0:v>
      </ns0:c>
      <ns0:c r="D100" t="str" s="11">
        <ns0:f>SUBSTITUTE(SUBSTITUTE(SUBSTITUTE(SUBSTITUTE(C100,"meg"," МОм"),"k"," кОм"),"R"," Ом"),".",",")</ns0:f>
        <ns0:v>11 кОм</ns0:v>
      </ns0:c>
      <ns0:c r="E100" t="str" s="10">
        <ns0:v>±5%</ns0:v>
      </ns0:c>
      <ns0:c r="F100" t="str" s="10">
        <ns0:v>0,1 Вт</ns0:v>
      </ns0:c>
      <ns0:c r="G100" t="str" s="10">
        <ns0:v>75 В макс.</ns0:v>
      </ns0:c>
      <ns0:c r="H100" t="str" s="12">
        <ns0:v>0603</ns0:v>
      </ns0:c>
      <ns0:c r="I100" t="str" s="10">
        <ns0:v>YAGEO</ns0:v>
      </ns0:c>
      <ns0:c r="J100" t="str" s="10">
        <ns0:v>RC0603JR-0711KL</ns0:v>
      </ns0:c>
      <ns0:c r="K100" t="str" s="11">
        <ns0:f>B100&amp;" "&amp;D100&amp;" "&amp;E100&amp;" "&amp;H100</ns0:f>
        <ns0:v>Резистор 11 кОм ±5% 0603</ns0:v>
      </ns0:c>
      <ns0:c r="L100" t="str" s="13">
        <ns0:v>R</ns0:v>
      </ns0:c>
      <ns0:c r="M100" t="str" s="13">
        <ns0:v>Symbols\MY_LIB_Resistors.SchLib</ns0:v>
      </ns0:c>
      <ns0:c r="N100" t="str" s="13">
        <ns0:v>RESC1608X55N</ns0:v>
      </ns0:c>
      <ns0:c r="O100" t="str" s="13">
        <ns0:v>Footprints\PBL - SMD Packages.PcbLib</ns0:v>
      </ns0:c>
      <ns0:c r="P100" t="str" s="10">
        <ns0:v>RC_L; E24; P при 70 °C</ns0:v>
      </ns0:c>
      <ns0:c r="Q100" s="10"/>
      <ns0:c r="R100" t="str" s="11">
        <ns0:f>D100</ns0:f>
        <ns0:v>11 кОм</ns0:v>
      </ns0:c>
      <ns0:c r="S100" t="str" s="11">
        <ns0:f>K100</ns0:f>
        <ns0:v>Резистор 11 кОм ±5% 0603</ns0:v>
      </ns0:c>
      <x:c xmlns:x="http://schemas.openxmlformats.org/spreadsheetml/2006/main" r="T100" t="str" s="11">
        <x:v>C:\Users\Nomatin\Documents\Altium\MY_LIB\MY_LIB\Datasheets\YAGEO_RC_L.pdf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C:\Users\Nomatin\Documents\Altium\MY_LIB\MY_LIB\Datasheets\YAGEO_RC_L.pdf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https://yageogroup.com/content/datasheet/asset/file/PYU-RC_GROUP_51_ROHS_L</x:v>
      </x:c>
      <x:c xmlns:x="http://schemas.openxmlformats.org/spreadsheetml/2006/main" r="Y100" t="str" s="11">
        <x:v>C:\Users\Nomatin\Documents\Altium\MY_LIB\MY_LIB\Datasheets\YAGEO_RC_L.pdf</x:v>
      </x:c>
    </ns0:row>
    <ns0:row r="101" ht="30" customHeight="1">
      <ns0:c r="A101" t="str" s="10">
        <ns0:v>R0107</ns0:v>
      </ns0:c>
      <ns0:c r="B101" t="str" s="10">
        <ns0:v>Резистор</ns0:v>
      </ns0:c>
      <ns0:c r="C101" t="str" s="10">
        <ns0:v>12k</ns0:v>
      </ns0:c>
      <ns0:c r="D101" t="str" s="11">
        <ns0:f>SUBSTITUTE(SUBSTITUTE(SUBSTITUTE(SUBSTITUTE(C101,"meg"," МОм"),"k"," кОм"),"R"," Ом"),".",",")</ns0:f>
        <ns0:v>12 кОм</ns0:v>
      </ns0:c>
      <ns0:c r="E101" t="str" s="10">
        <ns0:v>±5%</ns0:v>
      </ns0:c>
      <ns0:c r="F101" t="str" s="10">
        <ns0:v>0,1 Вт</ns0:v>
      </ns0:c>
      <ns0:c r="G101" t="str" s="10">
        <ns0:v>75 В макс.</ns0:v>
      </ns0:c>
      <ns0:c r="H101" t="str" s="12">
        <ns0:v>0603</ns0:v>
      </ns0:c>
      <ns0:c r="I101" t="str" s="10">
        <ns0:v>YAGEO</ns0:v>
      </ns0:c>
      <ns0:c r="J101" t="str" s="10">
        <ns0:v>RC0603JR-0712KL</ns0:v>
      </ns0:c>
      <ns0:c r="K101" t="str" s="11">
        <ns0:f>B101&amp;" "&amp;D101&amp;" "&amp;E101&amp;" "&amp;H101</ns0:f>
        <ns0:v>Резистор 12 кОм ±5% 0603</ns0:v>
      </ns0:c>
      <ns0:c r="L101" t="str" s="13">
        <ns0:v>R</ns0:v>
      </ns0:c>
      <ns0:c r="M101" t="str" s="13">
        <ns0:v>Symbols\MY_LIB_Resistors.SchLib</ns0:v>
      </ns0:c>
      <ns0:c r="N101" t="str" s="13">
        <ns0:v>RESC1608X55N</ns0:v>
      </ns0:c>
      <ns0:c r="O101" t="str" s="13">
        <ns0:v>Footprints\PBL - SMD Packages.PcbLib</ns0:v>
      </ns0:c>
      <ns0:c r="P101" t="str" s="10">
        <ns0:v>RC_L; E24; P при 70 °C</ns0:v>
      </ns0:c>
      <ns0:c r="Q101" s="10"/>
      <ns0:c r="R101" t="str" s="11">
        <ns0:f>D101</ns0:f>
        <ns0:v>12 кОм</ns0:v>
      </ns0:c>
      <ns0:c r="S101" t="str" s="11">
        <ns0:f>K101</ns0:f>
        <ns0:v>Резистор 12 кОм ±5% 0603</ns0:v>
      </ns0:c>
      <x:c xmlns:x="http://schemas.openxmlformats.org/spreadsheetml/2006/main" r="T101" t="str" s="11">
        <x:v>C:\Users\Nomatin\Documents\Altium\MY_LIB\MY_LIB\Datasheets\YAGEO_RC_L.pdf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C:\Users\Nomatin\Documents\Altium\MY_LIB\MY_LIB\Datasheets\YAGEO_RC_L.pdf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https://yageogroup.com/content/datasheet/asset/file/PYU-RC_GROUP_51_ROHS_L</x:v>
      </x:c>
      <x:c xmlns:x="http://schemas.openxmlformats.org/spreadsheetml/2006/main" r="Y101" t="str" s="11">
        <x:v>C:\Users\Nomatin\Documents\Altium\MY_LIB\MY_LIB\Datasheets\YAGEO_RC_L.pdf</x:v>
      </x:c>
    </ns0:row>
    <ns0:row r="102" ht="30" customHeight="1">
      <ns0:c r="A102" t="str" s="10">
        <ns0:v>R0108</ns0:v>
      </ns0:c>
      <ns0:c r="B102" t="str" s="10">
        <ns0:v>Резистор</ns0:v>
      </ns0:c>
      <ns0:c r="C102" t="str" s="10">
        <ns0:v>13k</ns0:v>
      </ns0:c>
      <ns0:c r="D102" t="str" s="11">
        <ns0:f>SUBSTITUTE(SUBSTITUTE(SUBSTITUTE(SUBSTITUTE(C102,"meg"," МОм"),"k"," кОм"),"R"," Ом"),".",",")</ns0:f>
        <ns0:v>13 кОм</ns0:v>
      </ns0:c>
      <ns0:c r="E102" t="str" s="10">
        <ns0:v>±5%</ns0:v>
      </ns0:c>
      <ns0:c r="F102" t="str" s="10">
        <ns0:v>0,1 Вт</ns0:v>
      </ns0:c>
      <ns0:c r="G102" t="str" s="10">
        <ns0:v>75 В макс.</ns0:v>
      </ns0:c>
      <ns0:c r="H102" t="str" s="12">
        <ns0:v>0603</ns0:v>
      </ns0:c>
      <ns0:c r="I102" t="str" s="10">
        <ns0:v>YAGEO</ns0:v>
      </ns0:c>
      <ns0:c r="J102" t="str" s="10">
        <ns0:v>RC0603JR-0713KL</ns0:v>
      </ns0:c>
      <ns0:c r="K102" t="str" s="11">
        <ns0:f>B102&amp;" "&amp;D102&amp;" "&amp;E102&amp;" "&amp;H102</ns0:f>
        <ns0:v>Резистор 13 кОм ±5% 0603</ns0:v>
      </ns0:c>
      <ns0:c r="L102" t="str" s="13">
        <ns0:v>R</ns0:v>
      </ns0:c>
      <ns0:c r="M102" t="str" s="13">
        <ns0:v>Symbols\MY_LIB_Resistors.SchLib</ns0:v>
      </ns0:c>
      <ns0:c r="N102" t="str" s="13">
        <ns0:v>RESC1608X55N</ns0:v>
      </ns0:c>
      <ns0:c r="O102" t="str" s="13">
        <ns0:v>Footprints\PBL - SMD Packages.PcbLib</ns0:v>
      </ns0:c>
      <ns0:c r="P102" t="str" s="10">
        <ns0:v>RC_L; E24; P при 70 °C</ns0:v>
      </ns0:c>
      <ns0:c r="Q102" s="10"/>
      <ns0:c r="R102" t="str" s="11">
        <ns0:f>D102</ns0:f>
        <ns0:v>13 кОм</ns0:v>
      </ns0:c>
      <ns0:c r="S102" t="str" s="11">
        <ns0:f>K102</ns0:f>
        <ns0:v>Резистор 13 кОм ±5% 0603</ns0:v>
      </ns0:c>
      <x:c xmlns:x="http://schemas.openxmlformats.org/spreadsheetml/2006/main" r="T102" t="str" s="11">
        <x:v>C:\Users\Nomatin\Documents\Altium\MY_LIB\MY_LIB\Datasheets\YAGEO_RC_L.pdf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C:\Users\Nomatin\Documents\Altium\MY_LIB\MY_LIB\Datasheets\YAGEO_RC_L.pdf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https://yageogroup.com/content/datasheet/asset/file/PYU-RC_GROUP_51_ROHS_L</x:v>
      </x:c>
      <x:c xmlns:x="http://schemas.openxmlformats.org/spreadsheetml/2006/main" r="Y102" t="str" s="11">
        <x:v>C:\Users\Nomatin\Documents\Altium\MY_LIB\MY_LIB\Datasheets\YAGEO_RC_L.pdf</x:v>
      </x:c>
    </ns0:row>
    <ns0:row r="103" ht="30" customHeight="1">
      <ns0:c r="A103" t="str" s="10">
        <ns0:v>R0109</ns0:v>
      </ns0:c>
      <ns0:c r="B103" t="str" s="10">
        <ns0:v>Резистор</ns0:v>
      </ns0:c>
      <ns0:c r="C103" t="str" s="10">
        <ns0:v>15k</ns0:v>
      </ns0:c>
      <ns0:c r="D103" t="str" s="11">
        <ns0:f>SUBSTITUTE(SUBSTITUTE(SUBSTITUTE(SUBSTITUTE(C103,"meg"," МОм"),"k"," кОм"),"R"," Ом"),".",",")</ns0:f>
        <ns0:v>15 кОм</ns0:v>
      </ns0:c>
      <ns0:c r="E103" t="str" s="10">
        <ns0:v>±5%</ns0:v>
      </ns0:c>
      <ns0:c r="F103" t="str" s="10">
        <ns0:v>0,1 Вт</ns0:v>
      </ns0:c>
      <ns0:c r="G103" t="str" s="10">
        <ns0:v>75 В макс.</ns0:v>
      </ns0:c>
      <ns0:c r="H103" t="str" s="12">
        <ns0:v>0603</ns0:v>
      </ns0:c>
      <ns0:c r="I103" t="str" s="10">
        <ns0:v>YAGEO</ns0:v>
      </ns0:c>
      <ns0:c r="J103" t="str" s="10">
        <ns0:v>RC0603JR-0715KL</ns0:v>
      </ns0:c>
      <ns0:c r="K103" t="str" s="11">
        <ns0:f>B103&amp;" "&amp;D103&amp;" "&amp;E103&amp;" "&amp;H103</ns0:f>
        <ns0:v>Резистор 15 кОм ±5% 0603</ns0:v>
      </ns0:c>
      <ns0:c r="L103" t="str" s="13">
        <ns0:v>R</ns0:v>
      </ns0:c>
      <ns0:c r="M103" t="str" s="13">
        <ns0:v>Symbols\MY_LIB_Resistors.SchLib</ns0:v>
      </ns0:c>
      <ns0:c r="N103" t="str" s="13">
        <ns0:v>RESC1608X55N</ns0:v>
      </ns0:c>
      <ns0:c r="O103" t="str" s="13">
        <ns0:v>Footprints\PBL - SMD Packages.PcbLib</ns0:v>
      </ns0:c>
      <ns0:c r="P103" t="str" s="10">
        <ns0:v>RC_L; E24; P при 70 °C</ns0:v>
      </ns0:c>
      <ns0:c r="Q103" s="10"/>
      <ns0:c r="R103" t="str" s="11">
        <ns0:f>D103</ns0:f>
        <ns0:v>15 кОм</ns0:v>
      </ns0:c>
      <ns0:c r="S103" t="str" s="11">
        <ns0:f>K103</ns0:f>
        <ns0:v>Резистор 15 кОм ±5% 0603</ns0:v>
      </ns0:c>
      <x:c xmlns:x="http://schemas.openxmlformats.org/spreadsheetml/2006/main" r="T103" t="str" s="11">
        <x:v>C:\Users\Nomatin\Documents\Altium\MY_LIB\MY_LIB\Datasheets\YAGEO_RC_L.pdf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C:\Users\Nomatin\Documents\Altium\MY_LIB\MY_LIB\Datasheets\YAGEO_RC_L.pdf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https://yageogroup.com/content/datasheet/asset/file/PYU-RC_GROUP_51_ROHS_L</x:v>
      </x:c>
      <x:c xmlns:x="http://schemas.openxmlformats.org/spreadsheetml/2006/main" r="Y103" t="str" s="11">
        <x:v>C:\Users\Nomatin\Documents\Altium\MY_LIB\MY_LIB\Datasheets\YAGEO_RC_L.pdf</x:v>
      </x:c>
    </ns0:row>
    <ns0:row r="104" ht="30" customHeight="1">
      <ns0:c r="A104" t="str" s="10">
        <ns0:v>R0110</ns0:v>
      </ns0:c>
      <ns0:c r="B104" t="str" s="10">
        <ns0:v>Резистор</ns0:v>
      </ns0:c>
      <ns0:c r="C104" t="str" s="10">
        <ns0:v>16k</ns0:v>
      </ns0:c>
      <ns0:c r="D104" t="str" s="11">
        <ns0:f>SUBSTITUTE(SUBSTITUTE(SUBSTITUTE(SUBSTITUTE(C104,"meg"," МОм"),"k"," кОм"),"R"," Ом"),".",",")</ns0:f>
        <ns0:v>16 кОм</ns0:v>
      </ns0:c>
      <ns0:c r="E104" t="str" s="10">
        <ns0:v>±5%</ns0:v>
      </ns0:c>
      <ns0:c r="F104" t="str" s="10">
        <ns0:v>0,1 Вт</ns0:v>
      </ns0:c>
      <ns0:c r="G104" t="str" s="10">
        <ns0:v>75 В макс.</ns0:v>
      </ns0:c>
      <ns0:c r="H104" t="str" s="12">
        <ns0:v>0603</ns0:v>
      </ns0:c>
      <ns0:c r="I104" t="str" s="10">
        <ns0:v>YAGEO</ns0:v>
      </ns0:c>
      <ns0:c r="J104" t="str" s="10">
        <ns0:v>RC0603JR-0716KL</ns0:v>
      </ns0:c>
      <ns0:c r="K104" t="str" s="11">
        <ns0:f>B104&amp;" "&amp;D104&amp;" "&amp;E104&amp;" "&amp;H104</ns0:f>
        <ns0:v>Резистор 16 кОм ±5% 0603</ns0:v>
      </ns0:c>
      <ns0:c r="L104" t="str" s="13">
        <ns0:v>R</ns0:v>
      </ns0:c>
      <ns0:c r="M104" t="str" s="13">
        <ns0:v>Symbols\MY_LIB_Resistors.SchLib</ns0:v>
      </ns0:c>
      <ns0:c r="N104" t="str" s="13">
        <ns0:v>RESC1608X55N</ns0:v>
      </ns0:c>
      <ns0:c r="O104" t="str" s="13">
        <ns0:v>Footprints\PBL - SMD Packages.PcbLib</ns0:v>
      </ns0:c>
      <ns0:c r="P104" t="str" s="10">
        <ns0:v>RC_L; E24; P при 70 °C</ns0:v>
      </ns0:c>
      <ns0:c r="Q104" s="10"/>
      <ns0:c r="R104" t="str" s="11">
        <ns0:f>D104</ns0:f>
        <ns0:v>16 кОм</ns0:v>
      </ns0:c>
      <ns0:c r="S104" t="str" s="11">
        <ns0:f>K104</ns0:f>
        <ns0:v>Резистор 16 кОм ±5% 0603</ns0:v>
      </ns0:c>
      <x:c xmlns:x="http://schemas.openxmlformats.org/spreadsheetml/2006/main" r="T104" t="str" s="11">
        <x:v>C:\Users\Nomatin\Documents\Altium\MY_LIB\MY_LIB\Datasheets\YAGEO_RC_L.pdf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C:\Users\Nomatin\Documents\Altium\MY_LIB\MY_LIB\Datasheets\YAGEO_RC_L.pdf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https://yageogroup.com/content/datasheet/asset/file/PYU-RC_GROUP_51_ROHS_L</x:v>
      </x:c>
      <x:c xmlns:x="http://schemas.openxmlformats.org/spreadsheetml/2006/main" r="Y104" t="str" s="11">
        <x:v>C:\Users\Nomatin\Documents\Altium\MY_LIB\MY_LIB\Datasheets\YAGEO_RC_L.pdf</x:v>
      </x:c>
    </ns0:row>
    <ns0:row r="105" ht="30" customHeight="1">
      <ns0:c r="A105" t="str" s="10">
        <ns0:v>R0111</ns0:v>
      </ns0:c>
      <ns0:c r="B105" t="str" s="10">
        <ns0:v>Резистор</ns0:v>
      </ns0:c>
      <ns0:c r="C105" t="str" s="10">
        <ns0:v>18k</ns0:v>
      </ns0:c>
      <ns0:c r="D105" t="str" s="11">
        <ns0:f>SUBSTITUTE(SUBSTITUTE(SUBSTITUTE(SUBSTITUTE(C105,"meg"," МОм"),"k"," кОм"),"R"," Ом"),".",",")</ns0:f>
        <ns0:v>18 кОм</ns0:v>
      </ns0:c>
      <ns0:c r="E105" t="str" s="10">
        <ns0:v>±5%</ns0:v>
      </ns0:c>
      <ns0:c r="F105" t="str" s="10">
        <ns0:v>0,1 Вт</ns0:v>
      </ns0:c>
      <ns0:c r="G105" t="str" s="10">
        <ns0:v>75 В макс.</ns0:v>
      </ns0:c>
      <ns0:c r="H105" t="str" s="12">
        <ns0:v>0603</ns0:v>
      </ns0:c>
      <ns0:c r="I105" t="str" s="10">
        <ns0:v>YAGEO</ns0:v>
      </ns0:c>
      <ns0:c r="J105" t="str" s="10">
        <ns0:v>RC0603JR-0718KL</ns0:v>
      </ns0:c>
      <ns0:c r="K105" t="str" s="11">
        <ns0:f>B105&amp;" "&amp;D105&amp;" "&amp;E105&amp;" "&amp;H105</ns0:f>
        <ns0:v>Резистор 18 кОм ±5% 0603</ns0:v>
      </ns0:c>
      <ns0:c r="L105" t="str" s="13">
        <ns0:v>R</ns0:v>
      </ns0:c>
      <ns0:c r="M105" t="str" s="13">
        <ns0:v>Symbols\MY_LIB_Resistors.SchLib</ns0:v>
      </ns0:c>
      <ns0:c r="N105" t="str" s="13">
        <ns0:v>RESC1608X55N</ns0:v>
      </ns0:c>
      <ns0:c r="O105" t="str" s="13">
        <ns0:v>Footprints\PBL - SMD Packages.PcbLib</ns0:v>
      </ns0:c>
      <ns0:c r="P105" t="str" s="10">
        <ns0:v>RC_L; E24; P при 70 °C</ns0:v>
      </ns0:c>
      <ns0:c r="Q105" s="10"/>
      <ns0:c r="R105" t="str" s="11">
        <ns0:f>D105</ns0:f>
        <ns0:v>18 кОм</ns0:v>
      </ns0:c>
      <ns0:c r="S105" t="str" s="11">
        <ns0:f>K105</ns0:f>
        <ns0:v>Резистор 18 кОм ±5% 0603</ns0:v>
      </ns0:c>
      <x:c xmlns:x="http://schemas.openxmlformats.org/spreadsheetml/2006/main" r="T105" t="str" s="11">
        <x:v>C:\Users\Nomatin\Documents\Altium\MY_LIB\MY_LIB\Datasheets\YAGEO_RC_L.pdf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C:\Users\Nomatin\Documents\Altium\MY_LIB\MY_LIB\Datasheets\YAGEO_RC_L.pdf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https://yageogroup.com/content/datasheet/asset/file/PYU-RC_GROUP_51_ROHS_L</x:v>
      </x:c>
      <x:c xmlns:x="http://schemas.openxmlformats.org/spreadsheetml/2006/main" r="Y105" t="str" s="11">
        <x:v>C:\Users\Nomatin\Documents\Altium\MY_LIB\MY_LIB\Datasheets\YAGEO_RC_L.pdf</x:v>
      </x:c>
    </ns0:row>
    <ns0:row r="106" ht="30" customHeight="1">
      <ns0:c r="A106" t="str" s="10">
        <ns0:v>R0112</ns0:v>
      </ns0:c>
      <ns0:c r="B106" t="str" s="10">
        <ns0:v>Резистор</ns0:v>
      </ns0:c>
      <ns0:c r="C106" t="str" s="10">
        <ns0:v>20k</ns0:v>
      </ns0:c>
      <ns0:c r="D106" t="str" s="11">
        <ns0:f>SUBSTITUTE(SUBSTITUTE(SUBSTITUTE(SUBSTITUTE(C106,"meg"," МОм"),"k"," кОм"),"R"," Ом"),".",",")</ns0:f>
        <ns0:v>20 кОм</ns0:v>
      </ns0:c>
      <ns0:c r="E106" t="str" s="10">
        <ns0:v>±5%</ns0:v>
      </ns0:c>
      <ns0:c r="F106" t="str" s="10">
        <ns0:v>0,1 Вт</ns0:v>
      </ns0:c>
      <ns0:c r="G106" t="str" s="10">
        <ns0:v>75 В макс.</ns0:v>
      </ns0:c>
      <ns0:c r="H106" t="str" s="12">
        <ns0:v>0603</ns0:v>
      </ns0:c>
      <ns0:c r="I106" t="str" s="10">
        <ns0:v>YAGEO</ns0:v>
      </ns0:c>
      <ns0:c r="J106" t="str" s="10">
        <ns0:v>RC0603JR-0720KL</ns0:v>
      </ns0:c>
      <ns0:c r="K106" t="str" s="11">
        <ns0:f>B106&amp;" "&amp;D106&amp;" "&amp;E106&amp;" "&amp;H106</ns0:f>
        <ns0:v>Резистор 20 кОм ±5% 0603</ns0:v>
      </ns0:c>
      <ns0:c r="L106" t="str" s="13">
        <ns0:v>R</ns0:v>
      </ns0:c>
      <ns0:c r="M106" t="str" s="13">
        <ns0:v>Symbols\MY_LIB_Resistors.SchLib</ns0:v>
      </ns0:c>
      <ns0:c r="N106" t="str" s="13">
        <ns0:v>RESC1608X55N</ns0:v>
      </ns0:c>
      <ns0:c r="O106" t="str" s="13">
        <ns0:v>Footprints\PBL - SMD Packages.PcbLib</ns0:v>
      </ns0:c>
      <ns0:c r="P106" t="str" s="10">
        <ns0:v>RC_L; E24; P при 70 °C</ns0:v>
      </ns0:c>
      <ns0:c r="Q106" s="10"/>
      <ns0:c r="R106" t="str" s="11">
        <ns0:f>D106</ns0:f>
        <ns0:v>20 кОм</ns0:v>
      </ns0:c>
      <ns0:c r="S106" t="str" s="11">
        <ns0:f>K106</ns0:f>
        <ns0:v>Резистор 20 кОм ±5% 0603</ns0:v>
      </ns0:c>
      <x:c xmlns:x="http://schemas.openxmlformats.org/spreadsheetml/2006/main" r="T106" t="str" s="11">
        <x:v>C:\Users\Nomatin\Documents\Altium\MY_LIB\MY_LIB\Datasheets\YAGEO_RC_L.pdf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C:\Users\Nomatin\Documents\Altium\MY_LIB\MY_LIB\Datasheets\YAGEO_RC_L.pdf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https://yageogroup.com/content/datasheet/asset/file/PYU-RC_GROUP_51_ROHS_L</x:v>
      </x:c>
      <x:c xmlns:x="http://schemas.openxmlformats.org/spreadsheetml/2006/main" r="Y106" t="str" s="11">
        <x:v>C:\Users\Nomatin\Documents\Altium\MY_LIB\MY_LIB\Datasheets\YAGEO_RC_L.pdf</x:v>
      </x:c>
    </ns0:row>
    <ns0:row r="107" ht="30" customHeight="1">
      <ns0:c r="A107" t="str" s="10">
        <ns0:v>R0113</ns0:v>
      </ns0:c>
      <ns0:c r="B107" t="str" s="10">
        <ns0:v>Резистор</ns0:v>
      </ns0:c>
      <ns0:c r="C107" t="str" s="10">
        <ns0:v>22k</ns0:v>
      </ns0:c>
      <ns0:c r="D107" t="str" s="11">
        <ns0:f>SUBSTITUTE(SUBSTITUTE(SUBSTITUTE(SUBSTITUTE(C107,"meg"," МОм"),"k"," кОм"),"R"," Ом"),".",",")</ns0:f>
        <ns0:v>22 кОм</ns0:v>
      </ns0:c>
      <ns0:c r="E107" t="str" s="10">
        <ns0:v>±5%</ns0:v>
      </ns0:c>
      <ns0:c r="F107" t="str" s="10">
        <ns0:v>0,1 Вт</ns0:v>
      </ns0:c>
      <ns0:c r="G107" t="str" s="10">
        <ns0:v>75 В макс.</ns0:v>
      </ns0:c>
      <ns0:c r="H107" t="str" s="12">
        <ns0:v>0603</ns0:v>
      </ns0:c>
      <ns0:c r="I107" t="str" s="10">
        <ns0:v>YAGEO</ns0:v>
      </ns0:c>
      <ns0:c r="J107" t="str" s="10">
        <ns0:v>RC0603JR-0722KL</ns0:v>
      </ns0:c>
      <ns0:c r="K107" t="str" s="11">
        <ns0:f>B107&amp;" "&amp;D107&amp;" "&amp;E107&amp;" "&amp;H107</ns0:f>
        <ns0:v>Резистор 22 кОм ±5% 0603</ns0:v>
      </ns0:c>
      <ns0:c r="L107" t="str" s="13">
        <ns0:v>R</ns0:v>
      </ns0:c>
      <ns0:c r="M107" t="str" s="13">
        <ns0:v>Symbols\MY_LIB_Resistors.SchLib</ns0:v>
      </ns0:c>
      <ns0:c r="N107" t="str" s="13">
        <ns0:v>RESC1608X55N</ns0:v>
      </ns0:c>
      <ns0:c r="O107" t="str" s="13">
        <ns0:v>Footprints\PBL - SMD Packages.PcbLib</ns0:v>
      </ns0:c>
      <ns0:c r="P107" t="str" s="10">
        <ns0:v>RC_L; E24; P при 70 °C</ns0:v>
      </ns0:c>
      <ns0:c r="Q107" s="10"/>
      <ns0:c r="R107" t="str" s="11">
        <ns0:f>D107</ns0:f>
        <ns0:v>22 кОм</ns0:v>
      </ns0:c>
      <ns0:c r="S107" t="str" s="11">
        <ns0:f>K107</ns0:f>
        <ns0:v>Резистор 22 кОм ±5% 0603</ns0:v>
      </ns0:c>
      <x:c xmlns:x="http://schemas.openxmlformats.org/spreadsheetml/2006/main" r="T107" t="str" s="11">
        <x:v>C:\Users\Nomatin\Documents\Altium\MY_LIB\MY_LIB\Datasheets\YAGEO_RC_L.pdf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C:\Users\Nomatin\Documents\Altium\MY_LIB\MY_LIB\Datasheets\YAGEO_RC_L.pdf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https://yageogroup.com/content/datasheet/asset/file/PYU-RC_GROUP_51_ROHS_L</x:v>
      </x:c>
      <x:c xmlns:x="http://schemas.openxmlformats.org/spreadsheetml/2006/main" r="Y107" t="str" s="11">
        <x:v>C:\Users\Nomatin\Documents\Altium\MY_LIB\MY_LIB\Datasheets\YAGEO_RC_L.pdf</x:v>
      </x:c>
    </ns0:row>
    <ns0:row r="108" ht="30" customHeight="1">
      <ns0:c r="A108" t="str" s="10">
        <ns0:v>R0114</ns0:v>
      </ns0:c>
      <ns0:c r="B108" t="str" s="10">
        <ns0:v>Резистор</ns0:v>
      </ns0:c>
      <ns0:c r="C108" t="str" s="10">
        <ns0:v>24k</ns0:v>
      </ns0:c>
      <ns0:c r="D108" t="str" s="11">
        <ns0:f>SUBSTITUTE(SUBSTITUTE(SUBSTITUTE(SUBSTITUTE(C108,"meg"," МОм"),"k"," кОм"),"R"," Ом"),".",",")</ns0:f>
        <ns0:v>24 кОм</ns0:v>
      </ns0:c>
      <ns0:c r="E108" t="str" s="10">
        <ns0:v>±5%</ns0:v>
      </ns0:c>
      <ns0:c r="F108" t="str" s="10">
        <ns0:v>0,1 Вт</ns0:v>
      </ns0:c>
      <ns0:c r="G108" t="str" s="10">
        <ns0:v>75 В макс.</ns0:v>
      </ns0:c>
      <ns0:c r="H108" t="str" s="12">
        <ns0:v>0603</ns0:v>
      </ns0:c>
      <ns0:c r="I108" t="str" s="10">
        <ns0:v>YAGEO</ns0:v>
      </ns0:c>
      <ns0:c r="J108" t="str" s="10">
        <ns0:v>RC0603JR-0724KL</ns0:v>
      </ns0:c>
      <ns0:c r="K108" t="str" s="11">
        <ns0:f>B108&amp;" "&amp;D108&amp;" "&amp;E108&amp;" "&amp;H108</ns0:f>
        <ns0:v>Резистор 24 кОм ±5% 0603</ns0:v>
      </ns0:c>
      <ns0:c r="L108" t="str" s="13">
        <ns0:v>R</ns0:v>
      </ns0:c>
      <ns0:c r="M108" t="str" s="13">
        <ns0:v>Symbols\MY_LIB_Resistors.SchLib</ns0:v>
      </ns0:c>
      <ns0:c r="N108" t="str" s="13">
        <ns0:v>RESC1608X55N</ns0:v>
      </ns0:c>
      <ns0:c r="O108" t="str" s="13">
        <ns0:v>Footprints\PBL - SMD Packages.PcbLib</ns0:v>
      </ns0:c>
      <ns0:c r="P108" t="str" s="10">
        <ns0:v>RC_L; E24; P при 70 °C</ns0:v>
      </ns0:c>
      <ns0:c r="Q108" s="10"/>
      <ns0:c r="R108" t="str" s="11">
        <ns0:f>D108</ns0:f>
        <ns0:v>24 кОм</ns0:v>
      </ns0:c>
      <ns0:c r="S108" t="str" s="11">
        <ns0:f>K108</ns0:f>
        <ns0:v>Резистор 24 кОм ±5% 0603</ns0:v>
      </ns0:c>
      <x:c xmlns:x="http://schemas.openxmlformats.org/spreadsheetml/2006/main" r="T108" t="str" s="11">
        <x:v>C:\Users\Nomatin\Documents\Altium\MY_LIB\MY_LIB\Datasheets\YAGEO_RC_L.pdf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C:\Users\Nomatin\Documents\Altium\MY_LIB\MY_LIB\Datasheets\YAGEO_RC_L.pdf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https://yageogroup.com/content/datasheet/asset/file/PYU-RC_GROUP_51_ROHS_L</x:v>
      </x:c>
      <x:c xmlns:x="http://schemas.openxmlformats.org/spreadsheetml/2006/main" r="Y108" t="str" s="11">
        <x:v>C:\Users\Nomatin\Documents\Altium\MY_LIB\MY_LIB\Datasheets\YAGEO_RC_L.pdf</x:v>
      </x:c>
    </ns0:row>
    <ns0:row r="109" ht="30" customHeight="1">
      <ns0:c r="A109" t="str" s="10">
        <ns0:v>R0115</ns0:v>
      </ns0:c>
      <ns0:c r="B109" t="str" s="10">
        <ns0:v>Резистор</ns0:v>
      </ns0:c>
      <ns0:c r="C109" t="str" s="10">
        <ns0:v>27k</ns0:v>
      </ns0:c>
      <ns0:c r="D109" t="str" s="11">
        <ns0:f>SUBSTITUTE(SUBSTITUTE(SUBSTITUTE(SUBSTITUTE(C109,"meg"," МОм"),"k"," кОм"),"R"," Ом"),".",",")</ns0:f>
        <ns0:v>27 кОм</ns0:v>
      </ns0:c>
      <ns0:c r="E109" t="str" s="10">
        <ns0:v>±5%</ns0:v>
      </ns0:c>
      <ns0:c r="F109" t="str" s="10">
        <ns0:v>0,1 Вт</ns0:v>
      </ns0:c>
      <ns0:c r="G109" t="str" s="10">
        <ns0:v>75 В макс.</ns0:v>
      </ns0:c>
      <ns0:c r="H109" t="str" s="12">
        <ns0:v>0603</ns0:v>
      </ns0:c>
      <ns0:c r="I109" t="str" s="10">
        <ns0:v>YAGEO</ns0:v>
      </ns0:c>
      <ns0:c r="J109" t="str" s="10">
        <ns0:v>RC0603JR-0727KL</ns0:v>
      </ns0:c>
      <ns0:c r="K109" t="str" s="11">
        <ns0:f>B109&amp;" "&amp;D109&amp;" "&amp;E109&amp;" "&amp;H109</ns0:f>
        <ns0:v>Резистор 27 кОм ±5% 0603</ns0:v>
      </ns0:c>
      <ns0:c r="L109" t="str" s="13">
        <ns0:v>R</ns0:v>
      </ns0:c>
      <ns0:c r="M109" t="str" s="13">
        <ns0:v>Symbols\MY_LIB_Resistors.SchLib</ns0:v>
      </ns0:c>
      <ns0:c r="N109" t="str" s="13">
        <ns0:v>RESC1608X55N</ns0:v>
      </ns0:c>
      <ns0:c r="O109" t="str" s="13">
        <ns0:v>Footprints\PBL - SMD Packages.PcbLib</ns0:v>
      </ns0:c>
      <ns0:c r="P109" t="str" s="10">
        <ns0:v>RC_L; E24; P при 70 °C</ns0:v>
      </ns0:c>
      <ns0:c r="Q109" s="10"/>
      <ns0:c r="R109" t="str" s="11">
        <ns0:f>D109</ns0:f>
        <ns0:v>27 кОм</ns0:v>
      </ns0:c>
      <ns0:c r="S109" t="str" s="11">
        <ns0:f>K109</ns0:f>
        <ns0:v>Резистор 27 кОм ±5% 0603</ns0:v>
      </ns0:c>
      <x:c xmlns:x="http://schemas.openxmlformats.org/spreadsheetml/2006/main" r="T109" t="str" s="11">
        <x:v>C:\Users\Nomatin\Documents\Altium\MY_LIB\MY_LIB\Datasheets\YAGEO_RC_L.pdf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C:\Users\Nomatin\Documents\Altium\MY_LIB\MY_LIB\Datasheets\YAGEO_RC_L.pdf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https://yageogroup.com/content/datasheet/asset/file/PYU-RC_GROUP_51_ROHS_L</x:v>
      </x:c>
      <x:c xmlns:x="http://schemas.openxmlformats.org/spreadsheetml/2006/main" r="Y109" t="str" s="11">
        <x:v>C:\Users\Nomatin\Documents\Altium\MY_LIB\MY_LIB\Datasheets\YAGEO_RC_L.pdf</x:v>
      </x:c>
    </ns0:row>
    <ns0:row r="110" ht="30" customHeight="1">
      <ns0:c r="A110" t="str" s="10">
        <ns0:v>R0116</ns0:v>
      </ns0:c>
      <ns0:c r="B110" t="str" s="10">
        <ns0:v>Резистор</ns0:v>
      </ns0:c>
      <ns0:c r="C110" t="str" s="10">
        <ns0:v>30k</ns0:v>
      </ns0:c>
      <ns0:c r="D110" t="str" s="11">
        <ns0:f>SUBSTITUTE(SUBSTITUTE(SUBSTITUTE(SUBSTITUTE(C110,"meg"," МОм"),"k"," кОм"),"R"," Ом"),".",",")</ns0:f>
        <ns0:v>30 кОм</ns0:v>
      </ns0:c>
      <ns0:c r="E110" t="str" s="10">
        <ns0:v>±5%</ns0:v>
      </ns0:c>
      <ns0:c r="F110" t="str" s="10">
        <ns0:v>0,1 Вт</ns0:v>
      </ns0:c>
      <ns0:c r="G110" t="str" s="10">
        <ns0:v>75 В макс.</ns0:v>
      </ns0:c>
      <ns0:c r="H110" t="str" s="12">
        <ns0:v>0603</ns0:v>
      </ns0:c>
      <ns0:c r="I110" t="str" s="10">
        <ns0:v>YAGEO</ns0:v>
      </ns0:c>
      <ns0:c r="J110" t="str" s="10">
        <ns0:v>RC0603JR-0730KL</ns0:v>
      </ns0:c>
      <ns0:c r="K110" t="str" s="11">
        <ns0:f>B110&amp;" "&amp;D110&amp;" "&amp;E110&amp;" "&amp;H110</ns0:f>
        <ns0:v>Резистор 30 кОм ±5% 0603</ns0:v>
      </ns0:c>
      <ns0:c r="L110" t="str" s="13">
        <ns0:v>R</ns0:v>
      </ns0:c>
      <ns0:c r="M110" t="str" s="13">
        <ns0:v>Symbols\MY_LIB_Resistors.SchLib</ns0:v>
      </ns0:c>
      <ns0:c r="N110" t="str" s="13">
        <ns0:v>RESC1608X55N</ns0:v>
      </ns0:c>
      <ns0:c r="O110" t="str" s="13">
        <ns0:v>Footprints\PBL - SMD Packages.PcbLib</ns0:v>
      </ns0:c>
      <ns0:c r="P110" t="str" s="10">
        <ns0:v>RC_L; E24; P при 70 °C</ns0:v>
      </ns0:c>
      <ns0:c r="Q110" s="10"/>
      <ns0:c r="R110" t="str" s="11">
        <ns0:f>D110</ns0:f>
        <ns0:v>30 кОм</ns0:v>
      </ns0:c>
      <ns0:c r="S110" t="str" s="11">
        <ns0:f>K110</ns0:f>
        <ns0:v>Резистор 30 кОм ±5% 0603</ns0:v>
      </ns0:c>
      <x:c xmlns:x="http://schemas.openxmlformats.org/spreadsheetml/2006/main" r="T110" t="str" s="11">
        <x:v>C:\Users\Nomatin\Documents\Altium\MY_LIB\MY_LIB\Datasheets\YAGEO_RC_L.pdf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C:\Users\Nomatin\Documents\Altium\MY_LIB\MY_LIB\Datasheets\YAGEO_RC_L.pdf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https://yageogroup.com/content/datasheet/asset/file/PYU-RC_GROUP_51_ROHS_L</x:v>
      </x:c>
      <x:c xmlns:x="http://schemas.openxmlformats.org/spreadsheetml/2006/main" r="Y110" t="str" s="11">
        <x:v>C:\Users\Nomatin\Documents\Altium\MY_LIB\MY_LIB\Datasheets\YAGEO_RC_L.pdf</x:v>
      </x:c>
    </ns0:row>
    <ns0:row r="111" ht="30" customHeight="1">
      <ns0:c r="A111" t="str" s="10">
        <ns0:v>R0117</ns0:v>
      </ns0:c>
      <ns0:c r="B111" t="str" s="10">
        <ns0:v>Резистор</ns0:v>
      </ns0:c>
      <ns0:c r="C111" t="str" s="10">
        <ns0:v>33k</ns0:v>
      </ns0:c>
      <ns0:c r="D111" t="str" s="11">
        <ns0:f>SUBSTITUTE(SUBSTITUTE(SUBSTITUTE(SUBSTITUTE(C111,"meg"," МОм"),"k"," кОм"),"R"," Ом"),".",",")</ns0:f>
        <ns0:v>33 кОм</ns0:v>
      </ns0:c>
      <ns0:c r="E111" t="str" s="10">
        <ns0:v>±5%</ns0:v>
      </ns0:c>
      <ns0:c r="F111" t="str" s="10">
        <ns0:v>0,1 Вт</ns0:v>
      </ns0:c>
      <ns0:c r="G111" t="str" s="10">
        <ns0:v>75 В макс.</ns0:v>
      </ns0:c>
      <ns0:c r="H111" t="str" s="12">
        <ns0:v>0603</ns0:v>
      </ns0:c>
      <ns0:c r="I111" t="str" s="10">
        <ns0:v>YAGEO</ns0:v>
      </ns0:c>
      <ns0:c r="J111" t="str" s="10">
        <ns0:v>RC0603JR-0733KL</ns0:v>
      </ns0:c>
      <ns0:c r="K111" t="str" s="11">
        <ns0:f>B111&amp;" "&amp;D111&amp;" "&amp;E111&amp;" "&amp;H111</ns0:f>
        <ns0:v>Резистор 33 кОм ±5% 0603</ns0:v>
      </ns0:c>
      <ns0:c r="L111" t="str" s="13">
        <ns0:v>R</ns0:v>
      </ns0:c>
      <ns0:c r="M111" t="str" s="13">
        <ns0:v>Symbols\MY_LIB_Resistors.SchLib</ns0:v>
      </ns0:c>
      <ns0:c r="N111" t="str" s="13">
        <ns0:v>RESC1608X55N</ns0:v>
      </ns0:c>
      <ns0:c r="O111" t="str" s="13">
        <ns0:v>Footprints\PBL - SMD Packages.PcbLib</ns0:v>
      </ns0:c>
      <ns0:c r="P111" t="str" s="10">
        <ns0:v>RC_L; E24; P при 70 °C</ns0:v>
      </ns0:c>
      <ns0:c r="Q111" s="10"/>
      <ns0:c r="R111" t="str" s="11">
        <ns0:f>D111</ns0:f>
        <ns0:v>33 кОм</ns0:v>
      </ns0:c>
      <ns0:c r="S111" t="str" s="11">
        <ns0:f>K111</ns0:f>
        <ns0:v>Резистор 33 кОм ±5% 0603</ns0:v>
      </ns0:c>
      <x:c xmlns:x="http://schemas.openxmlformats.org/spreadsheetml/2006/main" r="T111" t="str" s="11">
        <x:v>C:\Users\Nomatin\Documents\Altium\MY_LIB\MY_LIB\Datasheets\YAGEO_RC_L.pdf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C:\Users\Nomatin\Documents\Altium\MY_LIB\MY_LIB\Datasheets\YAGEO_RC_L.pdf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https://yageogroup.com/content/datasheet/asset/file/PYU-RC_GROUP_51_ROHS_L</x:v>
      </x:c>
      <x:c xmlns:x="http://schemas.openxmlformats.org/spreadsheetml/2006/main" r="Y111" t="str" s="11">
        <x:v>C:\Users\Nomatin\Documents\Altium\MY_LIB\MY_LIB\Datasheets\YAGEO_RC_L.pdf</x:v>
      </x:c>
    </ns0:row>
    <ns0:row r="112" ht="30" customHeight="1">
      <ns0:c r="A112" t="str" s="10">
        <ns0:v>R0118</ns0:v>
      </ns0:c>
      <ns0:c r="B112" t="str" s="10">
        <ns0:v>Резистор</ns0:v>
      </ns0:c>
      <ns0:c r="C112" t="str" s="10">
        <ns0:v>36k</ns0:v>
      </ns0:c>
      <ns0:c r="D112" t="str" s="11">
        <ns0:f>SUBSTITUTE(SUBSTITUTE(SUBSTITUTE(SUBSTITUTE(C112,"meg"," МОм"),"k"," кОм"),"R"," Ом"),".",",")</ns0:f>
        <ns0:v>36 кОм</ns0:v>
      </ns0:c>
      <ns0:c r="E112" t="str" s="10">
        <ns0:v>±5%</ns0:v>
      </ns0:c>
      <ns0:c r="F112" t="str" s="10">
        <ns0:v>0,1 Вт</ns0:v>
      </ns0:c>
      <ns0:c r="G112" t="str" s="10">
        <ns0:v>75 В макс.</ns0:v>
      </ns0:c>
      <ns0:c r="H112" t="str" s="12">
        <ns0:v>0603</ns0:v>
      </ns0:c>
      <ns0:c r="I112" t="str" s="10">
        <ns0:v>YAGEO</ns0:v>
      </ns0:c>
      <ns0:c r="J112" t="str" s="10">
        <ns0:v>RC0603JR-0736KL</ns0:v>
      </ns0:c>
      <ns0:c r="K112" t="str" s="11">
        <ns0:f>B112&amp;" "&amp;D112&amp;" "&amp;E112&amp;" "&amp;H112</ns0:f>
        <ns0:v>Резистор 36 кОм ±5% 0603</ns0:v>
      </ns0:c>
      <ns0:c r="L112" t="str" s="13">
        <ns0:v>R</ns0:v>
      </ns0:c>
      <ns0:c r="M112" t="str" s="13">
        <ns0:v>Symbols\MY_LIB_Resistors.SchLib</ns0:v>
      </ns0:c>
      <ns0:c r="N112" t="str" s="13">
        <ns0:v>RESC1608X55N</ns0:v>
      </ns0:c>
      <ns0:c r="O112" t="str" s="13">
        <ns0:v>Footprints\PBL - SMD Packages.PcbLib</ns0:v>
      </ns0:c>
      <ns0:c r="P112" t="str" s="10">
        <ns0:v>RC_L; E24; P при 70 °C</ns0:v>
      </ns0:c>
      <ns0:c r="Q112" s="10"/>
      <ns0:c r="R112" t="str" s="11">
        <ns0:f>D112</ns0:f>
        <ns0:v>36 кОм</ns0:v>
      </ns0:c>
      <ns0:c r="S112" t="str" s="11">
        <ns0:f>K112</ns0:f>
        <ns0:v>Резистор 36 кОм ±5% 0603</ns0:v>
      </ns0:c>
      <x:c xmlns:x="http://schemas.openxmlformats.org/spreadsheetml/2006/main" r="T112" t="str" s="11">
        <x:v>C:\Users\Nomatin\Documents\Altium\MY_LIB\MY_LIB\Datasheets\YAGEO_RC_L.pdf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C:\Users\Nomatin\Documents\Altium\MY_LIB\MY_LIB\Datasheets\YAGEO_RC_L.pdf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https://yageogroup.com/content/datasheet/asset/file/PYU-RC_GROUP_51_ROHS_L</x:v>
      </x:c>
      <x:c xmlns:x="http://schemas.openxmlformats.org/spreadsheetml/2006/main" r="Y112" t="str" s="11">
        <x:v>C:\Users\Nomatin\Documents\Altium\MY_LIB\MY_LIB\Datasheets\YAGEO_RC_L.pdf</x:v>
      </x:c>
    </ns0:row>
    <ns0:row r="113" ht="30" customHeight="1">
      <ns0:c r="A113" t="str" s="10">
        <ns0:v>R0119</ns0:v>
      </ns0:c>
      <ns0:c r="B113" t="str" s="10">
        <ns0:v>Резистор</ns0:v>
      </ns0:c>
      <ns0:c r="C113" t="str" s="10">
        <ns0:v>39k</ns0:v>
      </ns0:c>
      <ns0:c r="D113" t="str" s="11">
        <ns0:f>SUBSTITUTE(SUBSTITUTE(SUBSTITUTE(SUBSTITUTE(C113,"meg"," МОм"),"k"," кОм"),"R"," Ом"),".",",")</ns0:f>
        <ns0:v>39 кОм</ns0:v>
      </ns0:c>
      <ns0:c r="E113" t="str" s="10">
        <ns0:v>±5%</ns0:v>
      </ns0:c>
      <ns0:c r="F113" t="str" s="10">
        <ns0:v>0,1 Вт</ns0:v>
      </ns0:c>
      <ns0:c r="G113" t="str" s="10">
        <ns0:v>75 В макс.</ns0:v>
      </ns0:c>
      <ns0:c r="H113" t="str" s="12">
        <ns0:v>0603</ns0:v>
      </ns0:c>
      <ns0:c r="I113" t="str" s="10">
        <ns0:v>YAGEO</ns0:v>
      </ns0:c>
      <ns0:c r="J113" t="str" s="10">
        <ns0:v>RC0603JR-0739KL</ns0:v>
      </ns0:c>
      <ns0:c r="K113" t="str" s="11">
        <ns0:f>B113&amp;" "&amp;D113&amp;" "&amp;E113&amp;" "&amp;H113</ns0:f>
        <ns0:v>Резистор 39 кОм ±5% 0603</ns0:v>
      </ns0:c>
      <ns0:c r="L113" t="str" s="13">
        <ns0:v>R</ns0:v>
      </ns0:c>
      <ns0:c r="M113" t="str" s="13">
        <ns0:v>Symbols\MY_LIB_Resistors.SchLib</ns0:v>
      </ns0:c>
      <ns0:c r="N113" t="str" s="13">
        <ns0:v>RESC1608X55N</ns0:v>
      </ns0:c>
      <ns0:c r="O113" t="str" s="13">
        <ns0:v>Footprints\PBL - SMD Packages.PcbLib</ns0:v>
      </ns0:c>
      <ns0:c r="P113" t="str" s="10">
        <ns0:v>RC_L; E24; P при 70 °C</ns0:v>
      </ns0:c>
      <ns0:c r="Q113" s="10"/>
      <ns0:c r="R113" t="str" s="11">
        <ns0:f>D113</ns0:f>
        <ns0:v>39 кОм</ns0:v>
      </ns0:c>
      <ns0:c r="S113" t="str" s="11">
        <ns0:f>K113</ns0:f>
        <ns0:v>Резистор 39 кОм ±5% 0603</ns0:v>
      </ns0:c>
      <x:c xmlns:x="http://schemas.openxmlformats.org/spreadsheetml/2006/main" r="T113" t="str" s="11">
        <x:v>C:\Users\Nomatin\Documents\Altium\MY_LIB\MY_LIB\Datasheets\YAGEO_RC_L.pdf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C:\Users\Nomatin\Documents\Altium\MY_LIB\MY_LIB\Datasheets\YAGEO_RC_L.pdf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https://yageogroup.com/content/datasheet/asset/file/PYU-RC_GROUP_51_ROHS_L</x:v>
      </x:c>
      <x:c xmlns:x="http://schemas.openxmlformats.org/spreadsheetml/2006/main" r="Y113" t="str" s="11">
        <x:v>C:\Users\Nomatin\Documents\Altium\MY_LIB\MY_LIB\Datasheets\YAGEO_RC_L.pdf</x:v>
      </x:c>
    </ns0:row>
    <ns0:row r="114" ht="30" customHeight="1">
      <ns0:c r="A114" t="str" s="10">
        <ns0:v>R0120</ns0:v>
      </ns0:c>
      <ns0:c r="B114" t="str" s="10">
        <ns0:v>Резистор</ns0:v>
      </ns0:c>
      <ns0:c r="C114" t="str" s="10">
        <ns0:v>43k</ns0:v>
      </ns0:c>
      <ns0:c r="D114" t="str" s="11">
        <ns0:f>SUBSTITUTE(SUBSTITUTE(SUBSTITUTE(SUBSTITUTE(C114,"meg"," МОм"),"k"," кОм"),"R"," Ом"),".",",")</ns0:f>
        <ns0:v>43 кОм</ns0:v>
      </ns0:c>
      <ns0:c r="E114" t="str" s="10">
        <ns0:v>±5%</ns0:v>
      </ns0:c>
      <ns0:c r="F114" t="str" s="10">
        <ns0:v>0,1 Вт</ns0:v>
      </ns0:c>
      <ns0:c r="G114" t="str" s="10">
        <ns0:v>75 В макс.</ns0:v>
      </ns0:c>
      <ns0:c r="H114" t="str" s="12">
        <ns0:v>0603</ns0:v>
      </ns0:c>
      <ns0:c r="I114" t="str" s="10">
        <ns0:v>YAGEO</ns0:v>
      </ns0:c>
      <ns0:c r="J114" t="str" s="10">
        <ns0:v>RC0603JR-0743KL</ns0:v>
      </ns0:c>
      <ns0:c r="K114" t="str" s="11">
        <ns0:f>B114&amp;" "&amp;D114&amp;" "&amp;E114&amp;" "&amp;H114</ns0:f>
        <ns0:v>Резистор 43 кОм ±5% 0603</ns0:v>
      </ns0:c>
      <ns0:c r="L114" t="str" s="13">
        <ns0:v>R</ns0:v>
      </ns0:c>
      <ns0:c r="M114" t="str" s="13">
        <ns0:v>Symbols\MY_LIB_Resistors.SchLib</ns0:v>
      </ns0:c>
      <ns0:c r="N114" t="str" s="13">
        <ns0:v>RESC1608X55N</ns0:v>
      </ns0:c>
      <ns0:c r="O114" t="str" s="13">
        <ns0:v>Footprints\PBL - SMD Packages.PcbLib</ns0:v>
      </ns0:c>
      <ns0:c r="P114" t="str" s="10">
        <ns0:v>RC_L; E24; P при 70 °C</ns0:v>
      </ns0:c>
      <ns0:c r="Q114" s="10"/>
      <ns0:c r="R114" t="str" s="11">
        <ns0:f>D114</ns0:f>
        <ns0:v>43 кОм</ns0:v>
      </ns0:c>
      <ns0:c r="S114" t="str" s="11">
        <ns0:f>K114</ns0:f>
        <ns0:v>Резистор 43 кОм ±5% 0603</ns0:v>
      </ns0:c>
      <x:c xmlns:x="http://schemas.openxmlformats.org/spreadsheetml/2006/main" r="T114" t="str" s="11">
        <x:v>C:\Users\Nomatin\Documents\Altium\MY_LIB\MY_LIB\Datasheets\YAGEO_RC_L.pdf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C:\Users\Nomatin\Documents\Altium\MY_LIB\MY_LIB\Datasheets\YAGEO_RC_L.pdf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https://yageogroup.com/content/datasheet/asset/file/PYU-RC_GROUP_51_ROHS_L</x:v>
      </x:c>
      <x:c xmlns:x="http://schemas.openxmlformats.org/spreadsheetml/2006/main" r="Y114" t="str" s="11">
        <x:v>C:\Users\Nomatin\Documents\Altium\MY_LIB\MY_LIB\Datasheets\YAGEO_RC_L.pdf</x:v>
      </x:c>
    </ns0:row>
    <ns0:row r="115" ht="30" customHeight="1">
      <ns0:c r="A115" t="str" s="10">
        <ns0:v>R0121</ns0:v>
      </ns0:c>
      <ns0:c r="B115" t="str" s="10">
        <ns0:v>Резистор</ns0:v>
      </ns0:c>
      <ns0:c r="C115" t="str" s="10">
        <ns0:v>47k</ns0:v>
      </ns0:c>
      <ns0:c r="D115" t="str" s="11">
        <ns0:f>SUBSTITUTE(SUBSTITUTE(SUBSTITUTE(SUBSTITUTE(C115,"meg"," МОм"),"k"," кОм"),"R"," Ом"),".",",")</ns0:f>
        <ns0:v>47 кОм</ns0:v>
      </ns0:c>
      <ns0:c r="E115" t="str" s="10">
        <ns0:v>±5%</ns0:v>
      </ns0:c>
      <ns0:c r="F115" t="str" s="10">
        <ns0:v>0,1 Вт</ns0:v>
      </ns0:c>
      <ns0:c r="G115" t="str" s="10">
        <ns0:v>75 В макс.</ns0:v>
      </ns0:c>
      <ns0:c r="H115" t="str" s="12">
        <ns0:v>0603</ns0:v>
      </ns0:c>
      <ns0:c r="I115" t="str" s="10">
        <ns0:v>YAGEO</ns0:v>
      </ns0:c>
      <ns0:c r="J115" t="str" s="10">
        <ns0:v>RC0603JR-0747KL</ns0:v>
      </ns0:c>
      <ns0:c r="K115" t="str" s="11">
        <ns0:f>B115&amp;" "&amp;D115&amp;" "&amp;E115&amp;" "&amp;H115</ns0:f>
        <ns0:v>Резистор 47 кОм ±5% 0603</ns0:v>
      </ns0:c>
      <ns0:c r="L115" t="str" s="13">
        <ns0:v>R</ns0:v>
      </ns0:c>
      <ns0:c r="M115" t="str" s="13">
        <ns0:v>Symbols\MY_LIB_Resistors.SchLib</ns0:v>
      </ns0:c>
      <ns0:c r="N115" t="str" s="13">
        <ns0:v>RESC1608X55N</ns0:v>
      </ns0:c>
      <ns0:c r="O115" t="str" s="13">
        <ns0:v>Footprints\PBL - SMD Packages.PcbLib</ns0:v>
      </ns0:c>
      <ns0:c r="P115" t="str" s="10">
        <ns0:v>RC_L; E24; P при 70 °C</ns0:v>
      </ns0:c>
      <ns0:c r="Q115" s="10"/>
      <ns0:c r="R115" t="str" s="11">
        <ns0:f>D115</ns0:f>
        <ns0:v>47 кОм</ns0:v>
      </ns0:c>
      <ns0:c r="S115" t="str" s="11">
        <ns0:f>K115</ns0:f>
        <ns0:v>Резистор 47 кОм ±5% 0603</ns0:v>
      </ns0:c>
      <x:c xmlns:x="http://schemas.openxmlformats.org/spreadsheetml/2006/main" r="T115" t="str" s="11">
        <x:v>C:\Users\Nomatin\Documents\Altium\MY_LIB\MY_LIB\Datasheets\YAGEO_RC_L.pdf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C:\Users\Nomatin\Documents\Altium\MY_LIB\MY_LIB\Datasheets\YAGEO_RC_L.pdf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https://yageogroup.com/content/datasheet/asset/file/PYU-RC_GROUP_51_ROHS_L</x:v>
      </x:c>
      <x:c xmlns:x="http://schemas.openxmlformats.org/spreadsheetml/2006/main" r="Y115" t="str" s="11">
        <x:v>C:\Users\Nomatin\Documents\Altium\MY_LIB\MY_LIB\Datasheets\YAGEO_RC_L.pdf</x:v>
      </x:c>
    </ns0:row>
    <ns0:row r="116" ht="30" customHeight="1">
      <ns0:c r="A116" t="str" s="10">
        <ns0:v>R0122</ns0:v>
      </ns0:c>
      <ns0:c r="B116" t="str" s="10">
        <ns0:v>Резистор</ns0:v>
      </ns0:c>
      <ns0:c r="C116" t="str" s="10">
        <ns0:v>51k</ns0:v>
      </ns0:c>
      <ns0:c r="D116" t="str" s="11">
        <ns0:f>SUBSTITUTE(SUBSTITUTE(SUBSTITUTE(SUBSTITUTE(C116,"meg"," МОм"),"k"," кОм"),"R"," Ом"),".",",")</ns0:f>
        <ns0:v>51 кОм</ns0:v>
      </ns0:c>
      <ns0:c r="E116" t="str" s="10">
        <ns0:v>±5%</ns0:v>
      </ns0:c>
      <ns0:c r="F116" t="str" s="10">
        <ns0:v>0,1 Вт</ns0:v>
      </ns0:c>
      <ns0:c r="G116" t="str" s="10">
        <ns0:v>75 В макс.</ns0:v>
      </ns0:c>
      <ns0:c r="H116" t="str" s="12">
        <ns0:v>0603</ns0:v>
      </ns0:c>
      <ns0:c r="I116" t="str" s="10">
        <ns0:v>YAGEO</ns0:v>
      </ns0:c>
      <ns0:c r="J116" t="str" s="10">
        <ns0:v>RC0603JR-0751KL</ns0:v>
      </ns0:c>
      <ns0:c r="K116" t="str" s="11">
        <ns0:f>B116&amp;" "&amp;D116&amp;" "&amp;E116&amp;" "&amp;H116</ns0:f>
        <ns0:v>Резистор 51 кОм ±5% 0603</ns0:v>
      </ns0:c>
      <ns0:c r="L116" t="str" s="13">
        <ns0:v>R</ns0:v>
      </ns0:c>
      <ns0:c r="M116" t="str" s="13">
        <ns0:v>Symbols\MY_LIB_Resistors.SchLib</ns0:v>
      </ns0:c>
      <ns0:c r="N116" t="str" s="13">
        <ns0:v>RESC1608X55N</ns0:v>
      </ns0:c>
      <ns0:c r="O116" t="str" s="13">
        <ns0:v>Footprints\PBL - SMD Packages.PcbLib</ns0:v>
      </ns0:c>
      <ns0:c r="P116" t="str" s="10">
        <ns0:v>RC_L; E24; P при 70 °C</ns0:v>
      </ns0:c>
      <ns0:c r="Q116" s="10"/>
      <ns0:c r="R116" t="str" s="11">
        <ns0:f>D116</ns0:f>
        <ns0:v>51 кОм</ns0:v>
      </ns0:c>
      <ns0:c r="S116" t="str" s="11">
        <ns0:f>K116</ns0:f>
        <ns0:v>Резистор 51 кОм ±5% 0603</ns0:v>
      </ns0:c>
      <x:c xmlns:x="http://schemas.openxmlformats.org/spreadsheetml/2006/main" r="T116" t="str" s="11">
        <x:v>C:\Users\Nomatin\Documents\Altium\MY_LIB\MY_LIB\Datasheets\YAGEO_RC_L.pdf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C:\Users\Nomatin\Documents\Altium\MY_LIB\MY_LIB\Datasheets\YAGEO_RC_L.pdf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https://yageogroup.com/content/datasheet/asset/file/PYU-RC_GROUP_51_ROHS_L</x:v>
      </x:c>
      <x:c xmlns:x="http://schemas.openxmlformats.org/spreadsheetml/2006/main" r="Y116" t="str" s="11">
        <x:v>C:\Users\Nomatin\Documents\Altium\MY_LIB\MY_LIB\Datasheets\YAGEO_RC_L.pdf</x:v>
      </x:c>
    </ns0:row>
    <ns0:row r="117" ht="30" customHeight="1">
      <ns0:c r="A117" t="str" s="10">
        <ns0:v>R0123</ns0:v>
      </ns0:c>
      <ns0:c r="B117" t="str" s="10">
        <ns0:v>Резистор</ns0:v>
      </ns0:c>
      <ns0:c r="C117" t="str" s="10">
        <ns0:v>56k</ns0:v>
      </ns0:c>
      <ns0:c r="D117" t="str" s="11">
        <ns0:f>SUBSTITUTE(SUBSTITUTE(SUBSTITUTE(SUBSTITUTE(C117,"meg"," МОм"),"k"," кОм"),"R"," Ом"),".",",")</ns0:f>
        <ns0:v>56 кОм</ns0:v>
      </ns0:c>
      <ns0:c r="E117" t="str" s="10">
        <ns0:v>±5%</ns0:v>
      </ns0:c>
      <ns0:c r="F117" t="str" s="10">
        <ns0:v>0,1 Вт</ns0:v>
      </ns0:c>
      <ns0:c r="G117" t="str" s="10">
        <ns0:v>75 В макс.</ns0:v>
      </ns0:c>
      <ns0:c r="H117" t="str" s="12">
        <ns0:v>0603</ns0:v>
      </ns0:c>
      <ns0:c r="I117" t="str" s="10">
        <ns0:v>YAGEO</ns0:v>
      </ns0:c>
      <ns0:c r="J117" t="str" s="10">
        <ns0:v>RC0603JR-0756KL</ns0:v>
      </ns0:c>
      <ns0:c r="K117" t="str" s="11">
        <ns0:f>B117&amp;" "&amp;D117&amp;" "&amp;E117&amp;" "&amp;H117</ns0:f>
        <ns0:v>Резистор 56 кОм ±5% 0603</ns0:v>
      </ns0:c>
      <ns0:c r="L117" t="str" s="13">
        <ns0:v>R</ns0:v>
      </ns0:c>
      <ns0:c r="M117" t="str" s="13">
        <ns0:v>Symbols\MY_LIB_Resistors.SchLib</ns0:v>
      </ns0:c>
      <ns0:c r="N117" t="str" s="13">
        <ns0:v>RESC1608X55N</ns0:v>
      </ns0:c>
      <ns0:c r="O117" t="str" s="13">
        <ns0:v>Footprints\PBL - SMD Packages.PcbLib</ns0:v>
      </ns0:c>
      <ns0:c r="P117" t="str" s="10">
        <ns0:v>RC_L; E24; P при 70 °C</ns0:v>
      </ns0:c>
      <ns0:c r="Q117" s="10"/>
      <ns0:c r="R117" t="str" s="11">
        <ns0:f>D117</ns0:f>
        <ns0:v>56 кОм</ns0:v>
      </ns0:c>
      <ns0:c r="S117" t="str" s="11">
        <ns0:f>K117</ns0:f>
        <ns0:v>Резистор 56 кОм ±5% 0603</ns0:v>
      </ns0:c>
      <x:c xmlns:x="http://schemas.openxmlformats.org/spreadsheetml/2006/main" r="T117" t="str" s="11">
        <x:v>C:\Users\Nomatin\Documents\Altium\MY_LIB\MY_LIB\Datasheets\YAGEO_RC_L.pdf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C:\Users\Nomatin\Documents\Altium\MY_LIB\MY_LIB\Datasheets\YAGEO_RC_L.pdf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https://yageogroup.com/content/datasheet/asset/file/PYU-RC_GROUP_51_ROHS_L</x:v>
      </x:c>
      <x:c xmlns:x="http://schemas.openxmlformats.org/spreadsheetml/2006/main" r="Y117" t="str" s="11">
        <x:v>C:\Users\Nomatin\Documents\Altium\MY_LIB\MY_LIB\Datasheets\YAGEO_RC_L.pdf</x:v>
      </x:c>
    </ns0:row>
    <ns0:row r="118" ht="30" customHeight="1">
      <ns0:c r="A118" t="str" s="10">
        <ns0:v>R0124</ns0:v>
      </ns0:c>
      <ns0:c r="B118" t="str" s="10">
        <ns0:v>Резистор</ns0:v>
      </ns0:c>
      <ns0:c r="C118" t="str" s="10">
        <ns0:v>62k</ns0:v>
      </ns0:c>
      <ns0:c r="D118" t="str" s="11">
        <ns0:f>SUBSTITUTE(SUBSTITUTE(SUBSTITUTE(SUBSTITUTE(C118,"meg"," МОм"),"k"," кОм"),"R"," Ом"),".",",")</ns0:f>
        <ns0:v>62 кОм</ns0:v>
      </ns0:c>
      <ns0:c r="E118" t="str" s="10">
        <ns0:v>±5%</ns0:v>
      </ns0:c>
      <ns0:c r="F118" t="str" s="10">
        <ns0:v>0,1 Вт</ns0:v>
      </ns0:c>
      <ns0:c r="G118" t="str" s="10">
        <ns0:v>75 В макс.</ns0:v>
      </ns0:c>
      <ns0:c r="H118" t="str" s="12">
        <ns0:v>0603</ns0:v>
      </ns0:c>
      <ns0:c r="I118" t="str" s="10">
        <ns0:v>YAGEO</ns0:v>
      </ns0:c>
      <ns0:c r="J118" t="str" s="10">
        <ns0:v>RC0603JR-0762KL</ns0:v>
      </ns0:c>
      <ns0:c r="K118" t="str" s="11">
        <ns0:f>B118&amp;" "&amp;D118&amp;" "&amp;E118&amp;" "&amp;H118</ns0:f>
        <ns0:v>Резистор 62 кОм ±5% 0603</ns0:v>
      </ns0:c>
      <ns0:c r="L118" t="str" s="13">
        <ns0:v>R</ns0:v>
      </ns0:c>
      <ns0:c r="M118" t="str" s="13">
        <ns0:v>Symbols\MY_LIB_Resistors.SchLib</ns0:v>
      </ns0:c>
      <ns0:c r="N118" t="str" s="13">
        <ns0:v>RESC1608X55N</ns0:v>
      </ns0:c>
      <ns0:c r="O118" t="str" s="13">
        <ns0:v>Footprints\PBL - SMD Packages.PcbLib</ns0:v>
      </ns0:c>
      <ns0:c r="P118" t="str" s="10">
        <ns0:v>RC_L; E24; P при 70 °C</ns0:v>
      </ns0:c>
      <ns0:c r="Q118" s="10"/>
      <ns0:c r="R118" t="str" s="11">
        <ns0:f>D118</ns0:f>
        <ns0:v>62 кОм</ns0:v>
      </ns0:c>
      <ns0:c r="S118" t="str" s="11">
        <ns0:f>K118</ns0:f>
        <ns0:v>Резистор 62 кОм ±5% 0603</ns0:v>
      </ns0:c>
      <x:c xmlns:x="http://schemas.openxmlformats.org/spreadsheetml/2006/main" r="T118" t="str" s="11">
        <x:v>C:\Users\Nomatin\Documents\Altium\MY_LIB\MY_LIB\Datasheets\YAGEO_RC_L.pdf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C:\Users\Nomatin\Documents\Altium\MY_LIB\MY_LIB\Datasheets\YAGEO_RC_L.pdf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https://yageogroup.com/content/datasheet/asset/file/PYU-RC_GROUP_51_ROHS_L</x:v>
      </x:c>
      <x:c xmlns:x="http://schemas.openxmlformats.org/spreadsheetml/2006/main" r="Y118" t="str" s="11">
        <x:v>C:\Users\Nomatin\Documents\Altium\MY_LIB\MY_LIB\Datasheets\YAGEO_RC_L.pdf</x:v>
      </x:c>
    </ns0:row>
    <ns0:row r="119" ht="30" customHeight="1">
      <ns0:c r="A119" t="str" s="10">
        <ns0:v>R0125</ns0:v>
      </ns0:c>
      <ns0:c r="B119" t="str" s="10">
        <ns0:v>Резистор</ns0:v>
      </ns0:c>
      <ns0:c r="C119" t="str" s="10">
        <ns0:v>68k</ns0:v>
      </ns0:c>
      <ns0:c r="D119" t="str" s="11">
        <ns0:f>SUBSTITUTE(SUBSTITUTE(SUBSTITUTE(SUBSTITUTE(C119,"meg"," МОм"),"k"," кОм"),"R"," Ом"),".",",")</ns0:f>
        <ns0:v>68 кОм</ns0:v>
      </ns0:c>
      <ns0:c r="E119" t="str" s="10">
        <ns0:v>±5%</ns0:v>
      </ns0:c>
      <ns0:c r="F119" t="str" s="10">
        <ns0:v>0,1 Вт</ns0:v>
      </ns0:c>
      <ns0:c r="G119" t="str" s="10">
        <ns0:v>75 В макс.</ns0:v>
      </ns0:c>
      <ns0:c r="H119" t="str" s="12">
        <ns0:v>0603</ns0:v>
      </ns0:c>
      <ns0:c r="I119" t="str" s="10">
        <ns0:v>YAGEO</ns0:v>
      </ns0:c>
      <ns0:c r="J119" t="str" s="10">
        <ns0:v>RC0603JR-0768KL</ns0:v>
      </ns0:c>
      <ns0:c r="K119" t="str" s="11">
        <ns0:f>B119&amp;" "&amp;D119&amp;" "&amp;E119&amp;" "&amp;H119</ns0:f>
        <ns0:v>Резистор 68 кОм ±5% 0603</ns0:v>
      </ns0:c>
      <ns0:c r="L119" t="str" s="13">
        <ns0:v>R</ns0:v>
      </ns0:c>
      <ns0:c r="M119" t="str" s="13">
        <ns0:v>Symbols\MY_LIB_Resistors.SchLib</ns0:v>
      </ns0:c>
      <ns0:c r="N119" t="str" s="13">
        <ns0:v>RESC1608X55N</ns0:v>
      </ns0:c>
      <ns0:c r="O119" t="str" s="13">
        <ns0:v>Footprints\PBL - SMD Packages.PcbLib</ns0:v>
      </ns0:c>
      <ns0:c r="P119" t="str" s="10">
        <ns0:v>RC_L; E24; P при 70 °C</ns0:v>
      </ns0:c>
      <ns0:c r="Q119" s="10"/>
      <ns0:c r="R119" t="str" s="11">
        <ns0:f>D119</ns0:f>
        <ns0:v>68 кОм</ns0:v>
      </ns0:c>
      <ns0:c r="S119" t="str" s="11">
        <ns0:f>K119</ns0:f>
        <ns0:v>Резистор 68 кОм ±5% 0603</ns0:v>
      </ns0:c>
      <x:c xmlns:x="http://schemas.openxmlformats.org/spreadsheetml/2006/main" r="T119" t="str" s="11">
        <x:v>C:\Users\Nomatin\Documents\Altium\MY_LIB\MY_LIB\Datasheets\YAGEO_RC_L.pdf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C:\Users\Nomatin\Documents\Altium\MY_LIB\MY_LIB\Datasheets\YAGEO_RC_L.pdf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https://yageogroup.com/content/datasheet/asset/file/PYU-RC_GROUP_51_ROHS_L</x:v>
      </x:c>
      <x:c xmlns:x="http://schemas.openxmlformats.org/spreadsheetml/2006/main" r="Y119" t="str" s="11">
        <x:v>C:\Users\Nomatin\Documents\Altium\MY_LIB\MY_LIB\Datasheets\YAGEO_RC_L.pdf</x:v>
      </x:c>
    </ns0:row>
    <ns0:row r="120" ht="30" customHeight="1">
      <ns0:c r="A120" t="str" s="10">
        <ns0:v>R0126</ns0:v>
      </ns0:c>
      <ns0:c r="B120" t="str" s="10">
        <ns0:v>Резистор</ns0:v>
      </ns0:c>
      <ns0:c r="C120" t="str" s="10">
        <ns0:v>75k</ns0:v>
      </ns0:c>
      <ns0:c r="D120" t="str" s="11">
        <ns0:f>SUBSTITUTE(SUBSTITUTE(SUBSTITUTE(SUBSTITUTE(C120,"meg"," МОм"),"k"," кОм"),"R"," Ом"),".",",")</ns0:f>
        <ns0:v>75 кОм</ns0:v>
      </ns0:c>
      <ns0:c r="E120" t="str" s="10">
        <ns0:v>±5%</ns0:v>
      </ns0:c>
      <ns0:c r="F120" t="str" s="10">
        <ns0:v>0,1 Вт</ns0:v>
      </ns0:c>
      <ns0:c r="G120" t="str" s="10">
        <ns0:v>75 В макс.</ns0:v>
      </ns0:c>
      <ns0:c r="H120" t="str" s="12">
        <ns0:v>0603</ns0:v>
      </ns0:c>
      <ns0:c r="I120" t="str" s="10">
        <ns0:v>YAGEO</ns0:v>
      </ns0:c>
      <ns0:c r="J120" t="str" s="10">
        <ns0:v>RC0603JR-0775KL</ns0:v>
      </ns0:c>
      <ns0:c r="K120" t="str" s="11">
        <ns0:f>B120&amp;" "&amp;D120&amp;" "&amp;E120&amp;" "&amp;H120</ns0:f>
        <ns0:v>Резистор 75 кОм ±5% 0603</ns0:v>
      </ns0:c>
      <ns0:c r="L120" t="str" s="13">
        <ns0:v>R</ns0:v>
      </ns0:c>
      <ns0:c r="M120" t="str" s="13">
        <ns0:v>Symbols\MY_LIB_Resistors.SchLib</ns0:v>
      </ns0:c>
      <ns0:c r="N120" t="str" s="13">
        <ns0:v>RESC1608X55N</ns0:v>
      </ns0:c>
      <ns0:c r="O120" t="str" s="13">
        <ns0:v>Footprints\PBL - SMD Packages.PcbLib</ns0:v>
      </ns0:c>
      <ns0:c r="P120" t="str" s="10">
        <ns0:v>RC_L; E24; P при 70 °C</ns0:v>
      </ns0:c>
      <ns0:c r="Q120" s="10"/>
      <ns0:c r="R120" t="str" s="11">
        <ns0:f>D120</ns0:f>
        <ns0:v>75 кОм</ns0:v>
      </ns0:c>
      <ns0:c r="S120" t="str" s="11">
        <ns0:f>K120</ns0:f>
        <ns0:v>Резистор 75 кОм ±5% 0603</ns0:v>
      </ns0:c>
      <x:c xmlns:x="http://schemas.openxmlformats.org/spreadsheetml/2006/main" r="T120" t="str" s="11">
        <x:v>C:\Users\Nomatin\Documents\Altium\MY_LIB\MY_LIB\Datasheets\YAGEO_RC_L.pdf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C:\Users\Nomatin\Documents\Altium\MY_LIB\MY_LIB\Datasheets\YAGEO_RC_L.pdf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https://yageogroup.com/content/datasheet/asset/file/PYU-RC_GROUP_51_ROHS_L</x:v>
      </x:c>
      <x:c xmlns:x="http://schemas.openxmlformats.org/spreadsheetml/2006/main" r="Y120" t="str" s="11">
        <x:v>C:\Users\Nomatin\Documents\Altium\MY_LIB\MY_LIB\Datasheets\YAGEO_RC_L.pdf</x:v>
      </x:c>
    </ns0:row>
    <ns0:row r="121" ht="30" customHeight="1">
      <ns0:c r="A121" t="str" s="10">
        <ns0:v>R0127</ns0:v>
      </ns0:c>
      <ns0:c r="B121" t="str" s="10">
        <ns0:v>Резистор</ns0:v>
      </ns0:c>
      <ns0:c r="C121" t="str" s="10">
        <ns0:v>82k</ns0:v>
      </ns0:c>
      <ns0:c r="D121" t="str" s="11">
        <ns0:f>SUBSTITUTE(SUBSTITUTE(SUBSTITUTE(SUBSTITUTE(C121,"meg"," МОм"),"k"," кОм"),"R"," Ом"),".",",")</ns0:f>
        <ns0:v>82 кОм</ns0:v>
      </ns0:c>
      <ns0:c r="E121" t="str" s="10">
        <ns0:v>±5%</ns0:v>
      </ns0:c>
      <ns0:c r="F121" t="str" s="10">
        <ns0:v>0,1 Вт</ns0:v>
      </ns0:c>
      <ns0:c r="G121" t="str" s="10">
        <ns0:v>75 В макс.</ns0:v>
      </ns0:c>
      <ns0:c r="H121" t="str" s="12">
        <ns0:v>0603</ns0:v>
      </ns0:c>
      <ns0:c r="I121" t="str" s="10">
        <ns0:v>YAGEO</ns0:v>
      </ns0:c>
      <ns0:c r="J121" t="str" s="10">
        <ns0:v>RC0603JR-0782KL</ns0:v>
      </ns0:c>
      <ns0:c r="K121" t="str" s="11">
        <ns0:f>B121&amp;" "&amp;D121&amp;" "&amp;E121&amp;" "&amp;H121</ns0:f>
        <ns0:v>Резистор 82 кОм ±5% 0603</ns0:v>
      </ns0:c>
      <ns0:c r="L121" t="str" s="13">
        <ns0:v>R</ns0:v>
      </ns0:c>
      <ns0:c r="M121" t="str" s="13">
        <ns0:v>Symbols\MY_LIB_Resistors.SchLib</ns0:v>
      </ns0:c>
      <ns0:c r="N121" t="str" s="13">
        <ns0:v>RESC1608X55N</ns0:v>
      </ns0:c>
      <ns0:c r="O121" t="str" s="13">
        <ns0:v>Footprints\PBL - SMD Packages.PcbLib</ns0:v>
      </ns0:c>
      <ns0:c r="P121" t="str" s="10">
        <ns0:v>RC_L; E24; P при 70 °C</ns0:v>
      </ns0:c>
      <ns0:c r="Q121" s="10"/>
      <ns0:c r="R121" t="str" s="11">
        <ns0:f>D121</ns0:f>
        <ns0:v>82 кОм</ns0:v>
      </ns0:c>
      <ns0:c r="S121" t="str" s="11">
        <ns0:f>K121</ns0:f>
        <ns0:v>Резистор 82 кОм ±5% 0603</ns0:v>
      </ns0:c>
      <x:c xmlns:x="http://schemas.openxmlformats.org/spreadsheetml/2006/main" r="T121" t="str" s="11">
        <x:v>C:\Users\Nomatin\Documents\Altium\MY_LIB\MY_LIB\Datasheets\YAGEO_RC_L.pdf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C:\Users\Nomatin\Documents\Altium\MY_LIB\MY_LIB\Datasheets\YAGEO_RC_L.pdf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https://yageogroup.com/content/datasheet/asset/file/PYU-RC_GROUP_51_ROHS_L</x:v>
      </x:c>
      <x:c xmlns:x="http://schemas.openxmlformats.org/spreadsheetml/2006/main" r="Y121" t="str" s="11">
        <x:v>C:\Users\Nomatin\Documents\Altium\MY_LIB\MY_LIB\Datasheets\YAGEO_RC_L.pdf</x:v>
      </x:c>
    </ns0:row>
    <ns0:row r="122" ht="30" customHeight="1">
      <ns0:c r="A122" t="str" s="10">
        <ns0:v>R0128</ns0:v>
      </ns0:c>
      <ns0:c r="B122" t="str" s="10">
        <ns0:v>Резистор</ns0:v>
      </ns0:c>
      <ns0:c r="C122" t="str" s="10">
        <ns0:v>91k</ns0:v>
      </ns0:c>
      <ns0:c r="D122" t="str" s="11">
        <ns0:f>SUBSTITUTE(SUBSTITUTE(SUBSTITUTE(SUBSTITUTE(C122,"meg"," МОм"),"k"," кОм"),"R"," Ом"),".",",")</ns0:f>
        <ns0:v>91 кОм</ns0:v>
      </ns0:c>
      <ns0:c r="E122" t="str" s="10">
        <ns0:v>±5%</ns0:v>
      </ns0:c>
      <ns0:c r="F122" t="str" s="10">
        <ns0:v>0,1 Вт</ns0:v>
      </ns0:c>
      <ns0:c r="G122" t="str" s="10">
        <ns0:v>75 В макс.</ns0:v>
      </ns0:c>
      <ns0:c r="H122" t="str" s="12">
        <ns0:v>0603</ns0:v>
      </ns0:c>
      <ns0:c r="I122" t="str" s="10">
        <ns0:v>YAGEO</ns0:v>
      </ns0:c>
      <ns0:c r="J122" t="str" s="10">
        <ns0:v>RC0603JR-0791KL</ns0:v>
      </ns0:c>
      <ns0:c r="K122" t="str" s="11">
        <ns0:f>B122&amp;" "&amp;D122&amp;" "&amp;E122&amp;" "&amp;H122</ns0:f>
        <ns0:v>Резистор 91 кОм ±5% 0603</ns0:v>
      </ns0:c>
      <ns0:c r="L122" t="str" s="13">
        <ns0:v>R</ns0:v>
      </ns0:c>
      <ns0:c r="M122" t="str" s="13">
        <ns0:v>Symbols\MY_LIB_Resistors.SchLib</ns0:v>
      </ns0:c>
      <ns0:c r="N122" t="str" s="13">
        <ns0:v>RESC1608X55N</ns0:v>
      </ns0:c>
      <ns0:c r="O122" t="str" s="13">
        <ns0:v>Footprints\PBL - SMD Packages.PcbLib</ns0:v>
      </ns0:c>
      <ns0:c r="P122" t="str" s="10">
        <ns0:v>RC_L; E24; P при 70 °C</ns0:v>
      </ns0:c>
      <ns0:c r="Q122" s="10"/>
      <ns0:c r="R122" t="str" s="11">
        <ns0:f>D122</ns0:f>
        <ns0:v>91 кОм</ns0:v>
      </ns0:c>
      <ns0:c r="S122" t="str" s="11">
        <ns0:f>K122</ns0:f>
        <ns0:v>Резистор 91 кОм ±5% 0603</ns0:v>
      </ns0:c>
      <x:c xmlns:x="http://schemas.openxmlformats.org/spreadsheetml/2006/main" r="T122" t="str" s="11">
        <x:v>C:\Users\Nomatin\Documents\Altium\MY_LIB\MY_LIB\Datasheets\YAGEO_RC_L.pdf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C:\Users\Nomatin\Documents\Altium\MY_LIB\MY_LIB\Datasheets\YAGEO_RC_L.pdf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https://yageogroup.com/content/datasheet/asset/file/PYU-RC_GROUP_51_ROHS_L</x:v>
      </x:c>
      <x:c xmlns:x="http://schemas.openxmlformats.org/spreadsheetml/2006/main" r="Y122" t="str" s="11">
        <x:v>C:\Users\Nomatin\Documents\Altium\MY_LIB\MY_LIB\Datasheets\YAGEO_RC_L.pdf</x:v>
      </x:c>
    </ns0:row>
    <ns0:row r="123" ht="30" customHeight="1">
      <ns0:c r="A123" t="str" s="10">
        <ns0:v>R0129</ns0:v>
      </ns0:c>
      <ns0:c r="B123" t="str" s="10">
        <ns0:v>Резистор</ns0:v>
      </ns0:c>
      <ns0:c r="C123" t="str" s="10">
        <ns0:v>100k</ns0:v>
      </ns0:c>
      <ns0:c r="D123" t="str" s="11">
        <ns0:f>SUBSTITUTE(SUBSTITUTE(SUBSTITUTE(SUBSTITUTE(C123,"meg"," МОм"),"k"," кОм"),"R"," Ом"),".",",")</ns0:f>
        <ns0:v>100 кОм</ns0:v>
      </ns0:c>
      <ns0:c r="E123" t="str" s="10">
        <ns0:v>±5%</ns0:v>
      </ns0:c>
      <ns0:c r="F123" t="str" s="10">
        <ns0:v>0,1 Вт</ns0:v>
      </ns0:c>
      <ns0:c r="G123" t="str" s="10">
        <ns0:v>75 В макс.</ns0:v>
      </ns0:c>
      <ns0:c r="H123" t="str" s="12">
        <ns0:v>0603</ns0:v>
      </ns0:c>
      <ns0:c r="I123" t="str" s="10">
        <ns0:v>YAGEO</ns0:v>
      </ns0:c>
      <ns0:c r="J123" t="str" s="10">
        <ns0:v>RC0603JR-07100KL</ns0:v>
      </ns0:c>
      <ns0:c r="K123" t="str" s="11">
        <ns0:f>B123&amp;" "&amp;D123&amp;" "&amp;E123&amp;" "&amp;H123</ns0:f>
        <ns0:v>Резистор 100 кОм ±5% 0603</ns0:v>
      </ns0:c>
      <ns0:c r="L123" t="str" s="13">
        <ns0:v>R</ns0:v>
      </ns0:c>
      <ns0:c r="M123" t="str" s="13">
        <ns0:v>Symbols\MY_LIB_Resistors.SchLib</ns0:v>
      </ns0:c>
      <ns0:c r="N123" t="str" s="13">
        <ns0:v>RESC1608X55N</ns0:v>
      </ns0:c>
      <ns0:c r="O123" t="str" s="13">
        <ns0:v>Footprints\PBL - SMD Packages.PcbLib</ns0:v>
      </ns0:c>
      <ns0:c r="P123" t="str" s="10">
        <ns0:v>RC_L; E24; P при 70 °C</ns0:v>
      </ns0:c>
      <ns0:c r="Q123" s="10"/>
      <ns0:c r="R123" t="str" s="11">
        <ns0:f>D123</ns0:f>
        <ns0:v>100 кОм</ns0:v>
      </ns0:c>
      <ns0:c r="S123" t="str" s="11">
        <ns0:f>K123</ns0:f>
        <ns0:v>Резистор 100 кОм ±5% 0603</ns0:v>
      </ns0:c>
      <x:c xmlns:x="http://schemas.openxmlformats.org/spreadsheetml/2006/main" r="T123" t="str" s="11">
        <x:v>C:\Users\Nomatin\Documents\Altium\MY_LIB\MY_LIB\Datasheets\YAGEO_RC_L.pdf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C:\Users\Nomatin\Documents\Altium\MY_LIB\MY_LIB\Datasheets\YAGEO_RC_L.pdf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https://yageogroup.com/content/datasheet/asset/file/PYU-RC_GROUP_51_ROHS_L</x:v>
      </x:c>
      <x:c xmlns:x="http://schemas.openxmlformats.org/spreadsheetml/2006/main" r="Y123" t="str" s="11">
        <x:v>C:\Users\Nomatin\Documents\Altium\MY_LIB\MY_LIB\Datasheets\YAGEO_RC_L.pdf</x:v>
      </x:c>
    </ns0:row>
    <ns0:row r="124" ht="30" customHeight="1">
      <ns0:c r="A124" t="str" s="10">
        <ns0:v>R0130</ns0:v>
      </ns0:c>
      <ns0:c r="B124" t="str" s="10">
        <ns0:v>Резистор</ns0:v>
      </ns0:c>
      <ns0:c r="C124" t="str" s="10">
        <ns0:v>110k</ns0:v>
      </ns0:c>
      <ns0:c r="D124" t="str" s="11">
        <ns0:f>SUBSTITUTE(SUBSTITUTE(SUBSTITUTE(SUBSTITUTE(C124,"meg"," МОм"),"k"," кОм"),"R"," Ом"),".",",")</ns0:f>
        <ns0:v>110 кОм</ns0:v>
      </ns0:c>
      <ns0:c r="E124" t="str" s="10">
        <ns0:v>±5%</ns0:v>
      </ns0:c>
      <ns0:c r="F124" t="str" s="10">
        <ns0:v>0,1 Вт</ns0:v>
      </ns0:c>
      <ns0:c r="G124" t="str" s="10">
        <ns0:v>75 В макс.</ns0:v>
      </ns0:c>
      <ns0:c r="H124" t="str" s="12">
        <ns0:v>0603</ns0:v>
      </ns0:c>
      <ns0:c r="I124" t="str" s="10">
        <ns0:v>YAGEO</ns0:v>
      </ns0:c>
      <ns0:c r="J124" t="str" s="10">
        <ns0:v>RC0603JR-07110KL</ns0:v>
      </ns0:c>
      <ns0:c r="K124" t="str" s="11">
        <ns0:f>B124&amp;" "&amp;D124&amp;" "&amp;E124&amp;" "&amp;H124</ns0:f>
        <ns0:v>Резистор 110 кОм ±5% 0603</ns0:v>
      </ns0:c>
      <ns0:c r="L124" t="str" s="13">
        <ns0:v>R</ns0:v>
      </ns0:c>
      <ns0:c r="M124" t="str" s="13">
        <ns0:v>Symbols\MY_LIB_Resistors.SchLib</ns0:v>
      </ns0:c>
      <ns0:c r="N124" t="str" s="13">
        <ns0:v>RESC1608X55N</ns0:v>
      </ns0:c>
      <ns0:c r="O124" t="str" s="13">
        <ns0:v>Footprints\PBL - SMD Packages.PcbLib</ns0:v>
      </ns0:c>
      <ns0:c r="P124" t="str" s="10">
        <ns0:v>RC_L; E24; P при 70 °C</ns0:v>
      </ns0:c>
      <ns0:c r="Q124" s="10"/>
      <ns0:c r="R124" t="str" s="11">
        <ns0:f>D124</ns0:f>
        <ns0:v>110 кОм</ns0:v>
      </ns0:c>
      <ns0:c r="S124" t="str" s="11">
        <ns0:f>K124</ns0:f>
        <ns0:v>Резистор 110 кОм ±5% 0603</ns0:v>
      </ns0:c>
      <x:c xmlns:x="http://schemas.openxmlformats.org/spreadsheetml/2006/main" r="T124" t="str" s="11">
        <x:v>C:\Users\Nomatin\Documents\Altium\MY_LIB\MY_LIB\Datasheets\YAGEO_RC_L.pdf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C:\Users\Nomatin\Documents\Altium\MY_LIB\MY_LIB\Datasheets\YAGEO_RC_L.pdf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https://yageogroup.com/content/datasheet/asset/file/PYU-RC_GROUP_51_ROHS_L</x:v>
      </x:c>
      <x:c xmlns:x="http://schemas.openxmlformats.org/spreadsheetml/2006/main" r="Y124" t="str" s="11">
        <x:v>C:\Users\Nomatin\Documents\Altium\MY_LIB\MY_LIB\Datasheets\YAGEO_RC_L.pdf</x:v>
      </x:c>
    </ns0:row>
    <ns0:row r="125" ht="30" customHeight="1">
      <ns0:c r="A125" t="str" s="10">
        <ns0:v>R0131</ns0:v>
      </ns0:c>
      <ns0:c r="B125" t="str" s="10">
        <ns0:v>Резистор</ns0:v>
      </ns0:c>
      <ns0:c r="C125" t="str" s="10">
        <ns0:v>120k</ns0:v>
      </ns0:c>
      <ns0:c r="D125" t="str" s="11">
        <ns0:f>SUBSTITUTE(SUBSTITUTE(SUBSTITUTE(SUBSTITUTE(C125,"meg"," МОм"),"k"," кОм"),"R"," Ом"),".",",")</ns0:f>
        <ns0:v>120 кОм</ns0:v>
      </ns0:c>
      <ns0:c r="E125" t="str" s="10">
        <ns0:v>±5%</ns0:v>
      </ns0:c>
      <ns0:c r="F125" t="str" s="10">
        <ns0:v>0,1 Вт</ns0:v>
      </ns0:c>
      <ns0:c r="G125" t="str" s="10">
        <ns0:v>75 В макс.</ns0:v>
      </ns0:c>
      <ns0:c r="H125" t="str" s="12">
        <ns0:v>0603</ns0:v>
      </ns0:c>
      <ns0:c r="I125" t="str" s="10">
        <ns0:v>YAGEO</ns0:v>
      </ns0:c>
      <ns0:c r="J125" t="str" s="10">
        <ns0:v>RC0603JR-07120KL</ns0:v>
      </ns0:c>
      <ns0:c r="K125" t="str" s="11">
        <ns0:f>B125&amp;" "&amp;D125&amp;" "&amp;E125&amp;" "&amp;H125</ns0:f>
        <ns0:v>Резистор 120 кОм ±5% 0603</ns0:v>
      </ns0:c>
      <ns0:c r="L125" t="str" s="13">
        <ns0:v>R</ns0:v>
      </ns0:c>
      <ns0:c r="M125" t="str" s="13">
        <ns0:v>Symbols\MY_LIB_Resistors.SchLib</ns0:v>
      </ns0:c>
      <ns0:c r="N125" t="str" s="13">
        <ns0:v>RESC1608X55N</ns0:v>
      </ns0:c>
      <ns0:c r="O125" t="str" s="13">
        <ns0:v>Footprints\PBL - SMD Packages.PcbLib</ns0:v>
      </ns0:c>
      <ns0:c r="P125" t="str" s="10">
        <ns0:v>RC_L; E24; P при 70 °C</ns0:v>
      </ns0:c>
      <ns0:c r="Q125" s="10"/>
      <ns0:c r="R125" t="str" s="11">
        <ns0:f>D125</ns0:f>
        <ns0:v>120 кОм</ns0:v>
      </ns0:c>
      <ns0:c r="S125" t="str" s="11">
        <ns0:f>K125</ns0:f>
        <ns0:v>Резистор 120 кОм ±5% 0603</ns0:v>
      </ns0:c>
      <x:c xmlns:x="http://schemas.openxmlformats.org/spreadsheetml/2006/main" r="T125" t="str" s="11">
        <x:v>C:\Users\Nomatin\Documents\Altium\MY_LIB\MY_LIB\Datasheets\YAGEO_RC_L.pdf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C:\Users\Nomatin\Documents\Altium\MY_LIB\MY_LIB\Datasheets\YAGEO_RC_L.pdf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https://yageogroup.com/content/datasheet/asset/file/PYU-RC_GROUP_51_ROHS_L</x:v>
      </x:c>
      <x:c xmlns:x="http://schemas.openxmlformats.org/spreadsheetml/2006/main" r="Y125" t="str" s="11">
        <x:v>C:\Users\Nomatin\Documents\Altium\MY_LIB\MY_LIB\Datasheets\YAGEO_RC_L.pdf</x:v>
      </x:c>
    </ns0:row>
    <ns0:row r="126" ht="30" customHeight="1">
      <ns0:c r="A126" t="str" s="10">
        <ns0:v>R0132</ns0:v>
      </ns0:c>
      <ns0:c r="B126" t="str" s="10">
        <ns0:v>Резистор</ns0:v>
      </ns0:c>
      <ns0:c r="C126" t="str" s="10">
        <ns0:v>130k</ns0:v>
      </ns0:c>
      <ns0:c r="D126" t="str" s="11">
        <ns0:f>SUBSTITUTE(SUBSTITUTE(SUBSTITUTE(SUBSTITUTE(C126,"meg"," МОм"),"k"," кОм"),"R"," Ом"),".",",")</ns0:f>
        <ns0:v>130 кОм</ns0:v>
      </ns0:c>
      <ns0:c r="E126" t="str" s="10">
        <ns0:v>±5%</ns0:v>
      </ns0:c>
      <ns0:c r="F126" t="str" s="10">
        <ns0:v>0,1 Вт</ns0:v>
      </ns0:c>
      <ns0:c r="G126" t="str" s="10">
        <ns0:v>75 В макс.</ns0:v>
      </ns0:c>
      <ns0:c r="H126" t="str" s="12">
        <ns0:v>0603</ns0:v>
      </ns0:c>
      <ns0:c r="I126" t="str" s="10">
        <ns0:v>YAGEO</ns0:v>
      </ns0:c>
      <ns0:c r="J126" t="str" s="10">
        <ns0:v>RC0603JR-07130KL</ns0:v>
      </ns0:c>
      <ns0:c r="K126" t="str" s="11">
        <ns0:f>B126&amp;" "&amp;D126&amp;" "&amp;E126&amp;" "&amp;H126</ns0:f>
        <ns0:v>Резистор 130 кОм ±5% 0603</ns0:v>
      </ns0:c>
      <ns0:c r="L126" t="str" s="13">
        <ns0:v>R</ns0:v>
      </ns0:c>
      <ns0:c r="M126" t="str" s="13">
        <ns0:v>Symbols\MY_LIB_Resistors.SchLib</ns0:v>
      </ns0:c>
      <ns0:c r="N126" t="str" s="13">
        <ns0:v>RESC1608X55N</ns0:v>
      </ns0:c>
      <ns0:c r="O126" t="str" s="13">
        <ns0:v>Footprints\PBL - SMD Packages.PcbLib</ns0:v>
      </ns0:c>
      <ns0:c r="P126" t="str" s="10">
        <ns0:v>RC_L; E24; P при 70 °C</ns0:v>
      </ns0:c>
      <ns0:c r="Q126" s="10"/>
      <ns0:c r="R126" t="str" s="11">
        <ns0:f>D126</ns0:f>
        <ns0:v>130 кОм</ns0:v>
      </ns0:c>
      <ns0:c r="S126" t="str" s="11">
        <ns0:f>K126</ns0:f>
        <ns0:v>Резистор 130 кОм ±5% 0603</ns0:v>
      </ns0:c>
      <x:c xmlns:x="http://schemas.openxmlformats.org/spreadsheetml/2006/main" r="T126" t="str" s="11">
        <x:v>C:\Users\Nomatin\Documents\Altium\MY_LIB\MY_LIB\Datasheets\YAGEO_RC_L.pdf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C:\Users\Nomatin\Documents\Altium\MY_LIB\MY_LIB\Datasheets\YAGEO_RC_L.pdf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https://yageogroup.com/content/datasheet/asset/file/PYU-RC_GROUP_51_ROHS_L</x:v>
      </x:c>
      <x:c xmlns:x="http://schemas.openxmlformats.org/spreadsheetml/2006/main" r="Y126" t="str" s="11">
        <x:v>C:\Users\Nomatin\Documents\Altium\MY_LIB\MY_LIB\Datasheets\YAGEO_RC_L.pdf</x:v>
      </x:c>
    </ns0:row>
    <ns0:row r="127" ht="30" customHeight="1">
      <ns0:c r="A127" t="str" s="10">
        <ns0:v>R0133</ns0:v>
      </ns0:c>
      <ns0:c r="B127" t="str" s="10">
        <ns0:v>Резистор</ns0:v>
      </ns0:c>
      <ns0:c r="C127" t="str" s="10">
        <ns0:v>150k</ns0:v>
      </ns0:c>
      <ns0:c r="D127" t="str" s="11">
        <ns0:f>SUBSTITUTE(SUBSTITUTE(SUBSTITUTE(SUBSTITUTE(C127,"meg"," МОм"),"k"," кОм"),"R"," Ом"),".",",")</ns0:f>
        <ns0:v>150 кОм</ns0:v>
      </ns0:c>
      <ns0:c r="E127" t="str" s="10">
        <ns0:v>±5%</ns0:v>
      </ns0:c>
      <ns0:c r="F127" t="str" s="10">
        <ns0:v>0,1 Вт</ns0:v>
      </ns0:c>
      <ns0:c r="G127" t="str" s="10">
        <ns0:v>75 В макс.</ns0:v>
      </ns0:c>
      <ns0:c r="H127" t="str" s="12">
        <ns0:v>0603</ns0:v>
      </ns0:c>
      <ns0:c r="I127" t="str" s="10">
        <ns0:v>YAGEO</ns0:v>
      </ns0:c>
      <ns0:c r="J127" t="str" s="10">
        <ns0:v>RC0603JR-07150KL</ns0:v>
      </ns0:c>
      <ns0:c r="K127" t="str" s="11">
        <ns0:f>B127&amp;" "&amp;D127&amp;" "&amp;E127&amp;" "&amp;H127</ns0:f>
        <ns0:v>Резистор 150 кОм ±5% 0603</ns0:v>
      </ns0:c>
      <ns0:c r="L127" t="str" s="13">
        <ns0:v>R</ns0:v>
      </ns0:c>
      <ns0:c r="M127" t="str" s="13">
        <ns0:v>Symbols\MY_LIB_Resistors.SchLib</ns0:v>
      </ns0:c>
      <ns0:c r="N127" t="str" s="13">
        <ns0:v>RESC1608X55N</ns0:v>
      </ns0:c>
      <ns0:c r="O127" t="str" s="13">
        <ns0:v>Footprints\PBL - SMD Packages.PcbLib</ns0:v>
      </ns0:c>
      <ns0:c r="P127" t="str" s="10">
        <ns0:v>RC_L; E24; P при 70 °C</ns0:v>
      </ns0:c>
      <ns0:c r="Q127" s="10"/>
      <ns0:c r="R127" t="str" s="11">
        <ns0:f>D127</ns0:f>
        <ns0:v>150 кОм</ns0:v>
      </ns0:c>
      <ns0:c r="S127" t="str" s="11">
        <ns0:f>K127</ns0:f>
        <ns0:v>Резистор 150 кОм ±5% 0603</ns0:v>
      </ns0:c>
      <x:c xmlns:x="http://schemas.openxmlformats.org/spreadsheetml/2006/main" r="T127" t="str" s="11">
        <x:v>C:\Users\Nomatin\Documents\Altium\MY_LIB\MY_LIB\Datasheets\YAGEO_RC_L.pdf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C:\Users\Nomatin\Documents\Altium\MY_LIB\MY_LIB\Datasheets\YAGEO_RC_L.pdf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https://yageogroup.com/content/datasheet/asset/file/PYU-RC_GROUP_51_ROHS_L</x:v>
      </x:c>
      <x:c xmlns:x="http://schemas.openxmlformats.org/spreadsheetml/2006/main" r="Y127" t="str" s="11">
        <x:v>C:\Users\Nomatin\Documents\Altium\MY_LIB\MY_LIB\Datasheets\YAGEO_RC_L.pdf</x:v>
      </x:c>
    </ns0:row>
    <ns0:row r="128" ht="30" customHeight="1">
      <ns0:c r="A128" t="str" s="10">
        <ns0:v>R0134</ns0:v>
      </ns0:c>
      <ns0:c r="B128" t="str" s="10">
        <ns0:v>Резистор</ns0:v>
      </ns0:c>
      <ns0:c r="C128" t="str" s="10">
        <ns0:v>160k</ns0:v>
      </ns0:c>
      <ns0:c r="D128" t="str" s="11">
        <ns0:f>SUBSTITUTE(SUBSTITUTE(SUBSTITUTE(SUBSTITUTE(C128,"meg"," МОм"),"k"," кОм"),"R"," Ом"),".",",")</ns0:f>
        <ns0:v>160 кОм</ns0:v>
      </ns0:c>
      <ns0:c r="E128" t="str" s="10">
        <ns0:v>±5%</ns0:v>
      </ns0:c>
      <ns0:c r="F128" t="str" s="10">
        <ns0:v>0,1 Вт</ns0:v>
      </ns0:c>
      <ns0:c r="G128" t="str" s="10">
        <ns0:v>75 В макс.</ns0:v>
      </ns0:c>
      <ns0:c r="H128" t="str" s="12">
        <ns0:v>0603</ns0:v>
      </ns0:c>
      <ns0:c r="I128" t="str" s="10">
        <ns0:v>YAGEO</ns0:v>
      </ns0:c>
      <ns0:c r="J128" t="str" s="10">
        <ns0:v>RC0603JR-07160KL</ns0:v>
      </ns0:c>
      <ns0:c r="K128" t="str" s="11">
        <ns0:f>B128&amp;" "&amp;D128&amp;" "&amp;E128&amp;" "&amp;H128</ns0:f>
        <ns0:v>Резистор 160 кОм ±5% 0603</ns0:v>
      </ns0:c>
      <ns0:c r="L128" t="str" s="13">
        <ns0:v>R</ns0:v>
      </ns0:c>
      <ns0:c r="M128" t="str" s="13">
        <ns0:v>Symbols\MY_LIB_Resistors.SchLib</ns0:v>
      </ns0:c>
      <ns0:c r="N128" t="str" s="13">
        <ns0:v>RESC1608X55N</ns0:v>
      </ns0:c>
      <ns0:c r="O128" t="str" s="13">
        <ns0:v>Footprints\PBL - SMD Packages.PcbLib</ns0:v>
      </ns0:c>
      <ns0:c r="P128" t="str" s="10">
        <ns0:v>RC_L; E24; P при 70 °C</ns0:v>
      </ns0:c>
      <ns0:c r="Q128" s="10"/>
      <ns0:c r="R128" t="str" s="11">
        <ns0:f>D128</ns0:f>
        <ns0:v>160 кОм</ns0:v>
      </ns0:c>
      <ns0:c r="S128" t="str" s="11">
        <ns0:f>K128</ns0:f>
        <ns0:v>Резистор 160 кОм ±5% 0603</ns0:v>
      </ns0:c>
      <x:c xmlns:x="http://schemas.openxmlformats.org/spreadsheetml/2006/main" r="T128" t="str" s="11">
        <x:v>C:\Users\Nomatin\Documents\Altium\MY_LIB\MY_LIB\Datasheets\YAGEO_RC_L.pdf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C:\Users\Nomatin\Documents\Altium\MY_LIB\MY_LIB\Datasheets\YAGEO_RC_L.pdf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https://yageogroup.com/content/datasheet/asset/file/PYU-RC_GROUP_51_ROHS_L</x:v>
      </x:c>
      <x:c xmlns:x="http://schemas.openxmlformats.org/spreadsheetml/2006/main" r="Y128" t="str" s="11">
        <x:v>C:\Users\Nomatin\Documents\Altium\MY_LIB\MY_LIB\Datasheets\YAGEO_RC_L.pdf</x:v>
      </x:c>
    </ns0:row>
    <ns0:row r="129" ht="30" customHeight="1">
      <ns0:c r="A129" t="str" s="10">
        <ns0:v>R0135</ns0:v>
      </ns0:c>
      <ns0:c r="B129" t="str" s="10">
        <ns0:v>Резистор</ns0:v>
      </ns0:c>
      <ns0:c r="C129" t="str" s="10">
        <ns0:v>180k</ns0:v>
      </ns0:c>
      <ns0:c r="D129" t="str" s="11">
        <ns0:f>SUBSTITUTE(SUBSTITUTE(SUBSTITUTE(SUBSTITUTE(C129,"meg"," МОм"),"k"," кОм"),"R"," Ом"),".",",")</ns0:f>
        <ns0:v>180 кОм</ns0:v>
      </ns0:c>
      <ns0:c r="E129" t="str" s="10">
        <ns0:v>±5%</ns0:v>
      </ns0:c>
      <ns0:c r="F129" t="str" s="10">
        <ns0:v>0,1 Вт</ns0:v>
      </ns0:c>
      <ns0:c r="G129" t="str" s="10">
        <ns0:v>75 В макс.</ns0:v>
      </ns0:c>
      <ns0:c r="H129" t="str" s="12">
        <ns0:v>0603</ns0:v>
      </ns0:c>
      <ns0:c r="I129" t="str" s="10">
        <ns0:v>YAGEO</ns0:v>
      </ns0:c>
      <ns0:c r="J129" t="str" s="10">
        <ns0:v>RC0603JR-07180KL</ns0:v>
      </ns0:c>
      <ns0:c r="K129" t="str" s="11">
        <ns0:f>B129&amp;" "&amp;D129&amp;" "&amp;E129&amp;" "&amp;H129</ns0:f>
        <ns0:v>Резистор 180 кОм ±5% 0603</ns0:v>
      </ns0:c>
      <ns0:c r="L129" t="str" s="13">
        <ns0:v>R</ns0:v>
      </ns0:c>
      <ns0:c r="M129" t="str" s="13">
        <ns0:v>Symbols\MY_LIB_Resistors.SchLib</ns0:v>
      </ns0:c>
      <ns0:c r="N129" t="str" s="13">
        <ns0:v>RESC1608X55N</ns0:v>
      </ns0:c>
      <ns0:c r="O129" t="str" s="13">
        <ns0:v>Footprints\PBL - SMD Packages.PcbLib</ns0:v>
      </ns0:c>
      <ns0:c r="P129" t="str" s="10">
        <ns0:v>RC_L; E24; P при 70 °C</ns0:v>
      </ns0:c>
      <ns0:c r="Q129" s="10"/>
      <ns0:c r="R129" t="str" s="11">
        <ns0:f>D129</ns0:f>
        <ns0:v>180 кОм</ns0:v>
      </ns0:c>
      <ns0:c r="S129" t="str" s="11">
        <ns0:f>K129</ns0:f>
        <ns0:v>Резистор 180 кОм ±5% 0603</ns0:v>
      </ns0:c>
      <x:c xmlns:x="http://schemas.openxmlformats.org/spreadsheetml/2006/main" r="T129" t="str" s="11">
        <x:v>C:\Users\Nomatin\Documents\Altium\MY_LIB\MY_LIB\Datasheets\YAGEO_RC_L.pdf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C:\Users\Nomatin\Documents\Altium\MY_LIB\MY_LIB\Datasheets\YAGEO_RC_L.pdf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https://yageogroup.com/content/datasheet/asset/file/PYU-RC_GROUP_51_ROHS_L</x:v>
      </x:c>
      <x:c xmlns:x="http://schemas.openxmlformats.org/spreadsheetml/2006/main" r="Y129" t="str" s="11">
        <x:v>C:\Users\Nomatin\Documents\Altium\MY_LIB\MY_LIB\Datasheets\YAGEO_RC_L.pdf</x:v>
      </x:c>
    </ns0:row>
    <ns0:row r="130" ht="30" customHeight="1">
      <ns0:c r="A130" t="str" s="10">
        <ns0:v>R0136</ns0:v>
      </ns0:c>
      <ns0:c r="B130" t="str" s="10">
        <ns0:v>Резистор</ns0:v>
      </ns0:c>
      <ns0:c r="C130" t="str" s="10">
        <ns0:v>200k</ns0:v>
      </ns0:c>
      <ns0:c r="D130" t="str" s="11">
        <ns0:f>SUBSTITUTE(SUBSTITUTE(SUBSTITUTE(SUBSTITUTE(C130,"meg"," МОм"),"k"," кОм"),"R"," Ом"),".",",")</ns0:f>
        <ns0:v>200 кОм</ns0:v>
      </ns0:c>
      <ns0:c r="E130" t="str" s="10">
        <ns0:v>±5%</ns0:v>
      </ns0:c>
      <ns0:c r="F130" t="str" s="10">
        <ns0:v>0,1 Вт</ns0:v>
      </ns0:c>
      <ns0:c r="G130" t="str" s="10">
        <ns0:v>75 В макс.</ns0:v>
      </ns0:c>
      <ns0:c r="H130" t="str" s="12">
        <ns0:v>0603</ns0:v>
      </ns0:c>
      <ns0:c r="I130" t="str" s="10">
        <ns0:v>YAGEO</ns0:v>
      </ns0:c>
      <ns0:c r="J130" t="str" s="10">
        <ns0:v>RC0603JR-07200KL</ns0:v>
      </ns0:c>
      <ns0:c r="K130" t="str" s="11">
        <ns0:f>B130&amp;" "&amp;D130&amp;" "&amp;E130&amp;" "&amp;H130</ns0:f>
        <ns0:v>Резистор 200 кОм ±5% 0603</ns0:v>
      </ns0:c>
      <ns0:c r="L130" t="str" s="13">
        <ns0:v>R</ns0:v>
      </ns0:c>
      <ns0:c r="M130" t="str" s="13">
        <ns0:v>Symbols\MY_LIB_Resistors.SchLib</ns0:v>
      </ns0:c>
      <ns0:c r="N130" t="str" s="13">
        <ns0:v>RESC1608X55N</ns0:v>
      </ns0:c>
      <ns0:c r="O130" t="str" s="13">
        <ns0:v>Footprints\PBL - SMD Packages.PcbLib</ns0:v>
      </ns0:c>
      <ns0:c r="P130" t="str" s="10">
        <ns0:v>RC_L; E24; P при 70 °C</ns0:v>
      </ns0:c>
      <ns0:c r="Q130" s="10"/>
      <ns0:c r="R130" t="str" s="11">
        <ns0:f>D130</ns0:f>
        <ns0:v>200 кОм</ns0:v>
      </ns0:c>
      <ns0:c r="S130" t="str" s="11">
        <ns0:f>K130</ns0:f>
        <ns0:v>Резистор 200 кОм ±5% 0603</ns0:v>
      </ns0:c>
      <x:c xmlns:x="http://schemas.openxmlformats.org/spreadsheetml/2006/main" r="T130" t="str" s="11">
        <x:v>C:\Users\Nomatin\Documents\Altium\MY_LIB\MY_LIB\Datasheets\YAGEO_RC_L.pdf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C:\Users\Nomatin\Documents\Altium\MY_LIB\MY_LIB\Datasheets\YAGEO_RC_L.pdf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https://yageogroup.com/content/datasheet/asset/file/PYU-RC_GROUP_51_ROHS_L</x:v>
      </x:c>
      <x:c xmlns:x="http://schemas.openxmlformats.org/spreadsheetml/2006/main" r="Y130" t="str" s="11">
        <x:v>C:\Users\Nomatin\Documents\Altium\MY_LIB\MY_LIB\Datasheets\YAGEO_RC_L.pdf</x:v>
      </x:c>
    </ns0:row>
    <ns0:row r="131" ht="30" customHeight="1">
      <ns0:c r="A131" t="str" s="10">
        <ns0:v>R0137</ns0:v>
      </ns0:c>
      <ns0:c r="B131" t="str" s="10">
        <ns0:v>Резистор</ns0:v>
      </ns0:c>
      <ns0:c r="C131" t="str" s="10">
        <ns0:v>220k</ns0:v>
      </ns0:c>
      <ns0:c r="D131" t="str" s="11">
        <ns0:f>SUBSTITUTE(SUBSTITUTE(SUBSTITUTE(SUBSTITUTE(C131,"meg"," МОм"),"k"," кОм"),"R"," Ом"),".",",")</ns0:f>
        <ns0:v>220 кОм</ns0:v>
      </ns0:c>
      <ns0:c r="E131" t="str" s="10">
        <ns0:v>±5%</ns0:v>
      </ns0:c>
      <ns0:c r="F131" t="str" s="10">
        <ns0:v>0,1 Вт</ns0:v>
      </ns0:c>
      <ns0:c r="G131" t="str" s="10">
        <ns0:v>75 В макс.</ns0:v>
      </ns0:c>
      <ns0:c r="H131" t="str" s="12">
        <ns0:v>0603</ns0:v>
      </ns0:c>
      <ns0:c r="I131" t="str" s="10">
        <ns0:v>YAGEO</ns0:v>
      </ns0:c>
      <ns0:c r="J131" t="str" s="10">
        <ns0:v>RC0603JR-07220KL</ns0:v>
      </ns0:c>
      <ns0:c r="K131" t="str" s="11">
        <ns0:f>B131&amp;" "&amp;D131&amp;" "&amp;E131&amp;" "&amp;H131</ns0:f>
        <ns0:v>Резистор 220 кОм ±5% 0603</ns0:v>
      </ns0:c>
      <ns0:c r="L131" t="str" s="13">
        <ns0:v>R</ns0:v>
      </ns0:c>
      <ns0:c r="M131" t="str" s="13">
        <ns0:v>Symbols\MY_LIB_Resistors.SchLib</ns0:v>
      </ns0:c>
      <ns0:c r="N131" t="str" s="13">
        <ns0:v>RESC1608X55N</ns0:v>
      </ns0:c>
      <ns0:c r="O131" t="str" s="13">
        <ns0:v>Footprints\PBL - SMD Packages.PcbLib</ns0:v>
      </ns0:c>
      <ns0:c r="P131" t="str" s="10">
        <ns0:v>RC_L; E24; P при 70 °C</ns0:v>
      </ns0:c>
      <ns0:c r="Q131" s="10"/>
      <ns0:c r="R131" t="str" s="11">
        <ns0:f>D131</ns0:f>
        <ns0:v>220 кОм</ns0:v>
      </ns0:c>
      <ns0:c r="S131" t="str" s="11">
        <ns0:f>K131</ns0:f>
        <ns0:v>Резистор 220 кОм ±5% 0603</ns0:v>
      </ns0:c>
      <x:c xmlns:x="http://schemas.openxmlformats.org/spreadsheetml/2006/main" r="T131" t="str" s="11">
        <x:v>C:\Users\Nomatin\Documents\Altium\MY_LIB\MY_LIB\Datasheets\YAGEO_RC_L.pdf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C:\Users\Nomatin\Documents\Altium\MY_LIB\MY_LIB\Datasheets\YAGEO_RC_L.pdf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https://yageogroup.com/content/datasheet/asset/file/PYU-RC_GROUP_51_ROHS_L</x:v>
      </x:c>
      <x:c xmlns:x="http://schemas.openxmlformats.org/spreadsheetml/2006/main" r="Y131" t="str" s="11">
        <x:v>C:\Users\Nomatin\Documents\Altium\MY_LIB\MY_LIB\Datasheets\YAGEO_RC_L.pdf</x:v>
      </x:c>
    </ns0:row>
    <ns0:row r="132" ht="30" customHeight="1">
      <ns0:c r="A132" t="str" s="10">
        <ns0:v>R0138</ns0:v>
      </ns0:c>
      <ns0:c r="B132" t="str" s="10">
        <ns0:v>Резистор</ns0:v>
      </ns0:c>
      <ns0:c r="C132" t="str" s="10">
        <ns0:v>240k</ns0:v>
      </ns0:c>
      <ns0:c r="D132" t="str" s="11">
        <ns0:f>SUBSTITUTE(SUBSTITUTE(SUBSTITUTE(SUBSTITUTE(C132,"meg"," МОм"),"k"," кОм"),"R"," Ом"),".",",")</ns0:f>
        <ns0:v>240 кОм</ns0:v>
      </ns0:c>
      <ns0:c r="E132" t="str" s="10">
        <ns0:v>±5%</ns0:v>
      </ns0:c>
      <ns0:c r="F132" t="str" s="10">
        <ns0:v>0,1 Вт</ns0:v>
      </ns0:c>
      <ns0:c r="G132" t="str" s="10">
        <ns0:v>75 В макс.</ns0:v>
      </ns0:c>
      <ns0:c r="H132" t="str" s="12">
        <ns0:v>0603</ns0:v>
      </ns0:c>
      <ns0:c r="I132" t="str" s="10">
        <ns0:v>YAGEO</ns0:v>
      </ns0:c>
      <ns0:c r="J132" t="str" s="10">
        <ns0:v>RC0603JR-07240KL</ns0:v>
      </ns0:c>
      <ns0:c r="K132" t="str" s="11">
        <ns0:f>B132&amp;" "&amp;D132&amp;" "&amp;E132&amp;" "&amp;H132</ns0:f>
        <ns0:v>Резистор 240 кОм ±5% 0603</ns0:v>
      </ns0:c>
      <ns0:c r="L132" t="str" s="13">
        <ns0:v>R</ns0:v>
      </ns0:c>
      <ns0:c r="M132" t="str" s="13">
        <ns0:v>Symbols\MY_LIB_Resistors.SchLib</ns0:v>
      </ns0:c>
      <ns0:c r="N132" t="str" s="13">
        <ns0:v>RESC1608X55N</ns0:v>
      </ns0:c>
      <ns0:c r="O132" t="str" s="13">
        <ns0:v>Footprints\PBL - SMD Packages.PcbLib</ns0:v>
      </ns0:c>
      <ns0:c r="P132" t="str" s="10">
        <ns0:v>RC_L; E24; P при 70 °C</ns0:v>
      </ns0:c>
      <ns0:c r="Q132" s="10"/>
      <ns0:c r="R132" t="str" s="11">
        <ns0:f>D132</ns0:f>
        <ns0:v>240 кОм</ns0:v>
      </ns0:c>
      <ns0:c r="S132" t="str" s="11">
        <ns0:f>K132</ns0:f>
        <ns0:v>Резистор 240 кОм ±5% 0603</ns0:v>
      </ns0:c>
      <x:c xmlns:x="http://schemas.openxmlformats.org/spreadsheetml/2006/main" r="T132" t="str" s="11">
        <x:v>C:\Users\Nomatin\Documents\Altium\MY_LIB\MY_LIB\Datasheets\YAGEO_RC_L.pdf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C:\Users\Nomatin\Documents\Altium\MY_LIB\MY_LIB\Datasheets\YAGEO_RC_L.pdf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https://yageogroup.com/content/datasheet/asset/file/PYU-RC_GROUP_51_ROHS_L</x:v>
      </x:c>
      <x:c xmlns:x="http://schemas.openxmlformats.org/spreadsheetml/2006/main" r="Y132" t="str" s="11">
        <x:v>C:\Users\Nomatin\Documents\Altium\MY_LIB\MY_LIB\Datasheets\YAGEO_RC_L.pdf</x:v>
      </x:c>
    </ns0:row>
    <ns0:row r="133" ht="30" customHeight="1">
      <ns0:c r="A133" t="str" s="10">
        <ns0:v>R0139</ns0:v>
      </ns0:c>
      <ns0:c r="B133" t="str" s="10">
        <ns0:v>Резистор</ns0:v>
      </ns0:c>
      <ns0:c r="C133" t="str" s="10">
        <ns0:v>270k</ns0:v>
      </ns0:c>
      <ns0:c r="D133" t="str" s="11">
        <ns0:f>SUBSTITUTE(SUBSTITUTE(SUBSTITUTE(SUBSTITUTE(C133,"meg"," МОм"),"k"," кОм"),"R"," Ом"),".",",")</ns0:f>
        <ns0:v>270 кОм</ns0:v>
      </ns0:c>
      <ns0:c r="E133" t="str" s="10">
        <ns0:v>±5%</ns0:v>
      </ns0:c>
      <ns0:c r="F133" t="str" s="10">
        <ns0:v>0,1 Вт</ns0:v>
      </ns0:c>
      <ns0:c r="G133" t="str" s="10">
        <ns0:v>75 В макс.</ns0:v>
      </ns0:c>
      <ns0:c r="H133" t="str" s="12">
        <ns0:v>0603</ns0:v>
      </ns0:c>
      <ns0:c r="I133" t="str" s="10">
        <ns0:v>YAGEO</ns0:v>
      </ns0:c>
      <ns0:c r="J133" t="str" s="10">
        <ns0:v>RC0603JR-07270KL</ns0:v>
      </ns0:c>
      <ns0:c r="K133" t="str" s="11">
        <ns0:f>B133&amp;" "&amp;D133&amp;" "&amp;E133&amp;" "&amp;H133</ns0:f>
        <ns0:v>Резистор 270 кОм ±5% 0603</ns0:v>
      </ns0:c>
      <ns0:c r="L133" t="str" s="13">
        <ns0:v>R</ns0:v>
      </ns0:c>
      <ns0:c r="M133" t="str" s="13">
        <ns0:v>Symbols\MY_LIB_Resistors.SchLib</ns0:v>
      </ns0:c>
      <ns0:c r="N133" t="str" s="13">
        <ns0:v>RESC1608X55N</ns0:v>
      </ns0:c>
      <ns0:c r="O133" t="str" s="13">
        <ns0:v>Footprints\PBL - SMD Packages.PcbLib</ns0:v>
      </ns0:c>
      <ns0:c r="P133" t="str" s="10">
        <ns0:v>RC_L; E24; P при 70 °C</ns0:v>
      </ns0:c>
      <ns0:c r="Q133" s="10"/>
      <ns0:c r="R133" t="str" s="11">
        <ns0:f>D133</ns0:f>
        <ns0:v>270 кОм</ns0:v>
      </ns0:c>
      <ns0:c r="S133" t="str" s="11">
        <ns0:f>K133</ns0:f>
        <ns0:v>Резистор 270 кОм ±5% 0603</ns0:v>
      </ns0:c>
      <x:c xmlns:x="http://schemas.openxmlformats.org/spreadsheetml/2006/main" r="T133" t="str" s="11">
        <x:v>C:\Users\Nomatin\Documents\Altium\MY_LIB\MY_LIB\Datasheets\YAGEO_RC_L.pdf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C:\Users\Nomatin\Documents\Altium\MY_LIB\MY_LIB\Datasheets\YAGEO_RC_L.pdf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https://yageogroup.com/content/datasheet/asset/file/PYU-RC_GROUP_51_ROHS_L</x:v>
      </x:c>
      <x:c xmlns:x="http://schemas.openxmlformats.org/spreadsheetml/2006/main" r="Y133" t="str" s="11">
        <x:v>C:\Users\Nomatin\Documents\Altium\MY_LIB\MY_LIB\Datasheets\YAGEO_RC_L.pdf</x:v>
      </x:c>
    </ns0:row>
    <ns0:row r="134" ht="30" customHeight="1">
      <ns0:c r="A134" t="str" s="10">
        <ns0:v>R0140</ns0:v>
      </ns0:c>
      <ns0:c r="B134" t="str" s="10">
        <ns0:v>Резистор</ns0:v>
      </ns0:c>
      <ns0:c r="C134" t="str" s="10">
        <ns0:v>300k</ns0:v>
      </ns0:c>
      <ns0:c r="D134" t="str" s="11">
        <ns0:f>SUBSTITUTE(SUBSTITUTE(SUBSTITUTE(SUBSTITUTE(C134,"meg"," МОм"),"k"," кОм"),"R"," Ом"),".",",")</ns0:f>
        <ns0:v>300 кОм</ns0:v>
      </ns0:c>
      <ns0:c r="E134" t="str" s="10">
        <ns0:v>±5%</ns0:v>
      </ns0:c>
      <ns0:c r="F134" t="str" s="10">
        <ns0:v>0,1 Вт</ns0:v>
      </ns0:c>
      <ns0:c r="G134" t="str" s="10">
        <ns0:v>75 В макс.</ns0:v>
      </ns0:c>
      <ns0:c r="H134" t="str" s="12">
        <ns0:v>0603</ns0:v>
      </ns0:c>
      <ns0:c r="I134" t="str" s="10">
        <ns0:v>YAGEO</ns0:v>
      </ns0:c>
      <ns0:c r="J134" t="str" s="10">
        <ns0:v>RC0603JR-07300KL</ns0:v>
      </ns0:c>
      <ns0:c r="K134" t="str" s="11">
        <ns0:f>B134&amp;" "&amp;D134&amp;" "&amp;E134&amp;" "&amp;H134</ns0:f>
        <ns0:v>Резистор 300 кОм ±5% 0603</ns0:v>
      </ns0:c>
      <ns0:c r="L134" t="str" s="13">
        <ns0:v>R</ns0:v>
      </ns0:c>
      <ns0:c r="M134" t="str" s="13">
        <ns0:v>Symbols\MY_LIB_Resistors.SchLib</ns0:v>
      </ns0:c>
      <ns0:c r="N134" t="str" s="13">
        <ns0:v>RESC1608X55N</ns0:v>
      </ns0:c>
      <ns0:c r="O134" t="str" s="13">
        <ns0:v>Footprints\PBL - SMD Packages.PcbLib</ns0:v>
      </ns0:c>
      <ns0:c r="P134" t="str" s="10">
        <ns0:v>RC_L; E24; P при 70 °C</ns0:v>
      </ns0:c>
      <ns0:c r="Q134" s="10"/>
      <ns0:c r="R134" t="str" s="11">
        <ns0:f>D134</ns0:f>
        <ns0:v>300 кОм</ns0:v>
      </ns0:c>
      <ns0:c r="S134" t="str" s="11">
        <ns0:f>K134</ns0:f>
        <ns0:v>Резистор 300 кОм ±5% 0603</ns0:v>
      </ns0:c>
      <x:c xmlns:x="http://schemas.openxmlformats.org/spreadsheetml/2006/main" r="T134" t="str" s="11">
        <x:v>C:\Users\Nomatin\Documents\Altium\MY_LIB\MY_LIB\Datasheets\YAGEO_RC_L.pdf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C:\Users\Nomatin\Documents\Altium\MY_LIB\MY_LIB\Datasheets\YAGEO_RC_L.pdf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https://yageogroup.com/content/datasheet/asset/file/PYU-RC_GROUP_51_ROHS_L</x:v>
      </x:c>
      <x:c xmlns:x="http://schemas.openxmlformats.org/spreadsheetml/2006/main" r="Y134" t="str" s="11">
        <x:v>C:\Users\Nomatin\Documents\Altium\MY_LIB\MY_LIB\Datasheets\YAGEO_RC_L.pdf</x:v>
      </x:c>
    </ns0:row>
    <ns0:row r="135" ht="30" customHeight="1">
      <ns0:c r="A135" t="str" s="10">
        <ns0:v>R0141</ns0:v>
      </ns0:c>
      <ns0:c r="B135" t="str" s="10">
        <ns0:v>Резистор</ns0:v>
      </ns0:c>
      <ns0:c r="C135" t="str" s="10">
        <ns0:v>330k</ns0:v>
      </ns0:c>
      <ns0:c r="D135" t="str" s="11">
        <ns0:f>SUBSTITUTE(SUBSTITUTE(SUBSTITUTE(SUBSTITUTE(C135,"meg"," МОм"),"k"," кОм"),"R"," Ом"),".",",")</ns0:f>
        <ns0:v>330 кОм</ns0:v>
      </ns0:c>
      <ns0:c r="E135" t="str" s="10">
        <ns0:v>±5%</ns0:v>
      </ns0:c>
      <ns0:c r="F135" t="str" s="10">
        <ns0:v>0,1 Вт</ns0:v>
      </ns0:c>
      <ns0:c r="G135" t="str" s="10">
        <ns0:v>75 В макс.</ns0:v>
      </ns0:c>
      <ns0:c r="H135" t="str" s="12">
        <ns0:v>0603</ns0:v>
      </ns0:c>
      <ns0:c r="I135" t="str" s="10">
        <ns0:v>YAGEO</ns0:v>
      </ns0:c>
      <ns0:c r="J135" t="str" s="10">
        <ns0:v>RC0603JR-07330KL</ns0:v>
      </ns0:c>
      <ns0:c r="K135" t="str" s="11">
        <ns0:f>B135&amp;" "&amp;D135&amp;" "&amp;E135&amp;" "&amp;H135</ns0:f>
        <ns0:v>Резистор 330 кОм ±5% 0603</ns0:v>
      </ns0:c>
      <ns0:c r="L135" t="str" s="13">
        <ns0:v>R</ns0:v>
      </ns0:c>
      <ns0:c r="M135" t="str" s="13">
        <ns0:v>Symbols\MY_LIB_Resistors.SchLib</ns0:v>
      </ns0:c>
      <ns0:c r="N135" t="str" s="13">
        <ns0:v>RESC1608X55N</ns0:v>
      </ns0:c>
      <ns0:c r="O135" t="str" s="13">
        <ns0:v>Footprints\PBL - SMD Packages.PcbLib</ns0:v>
      </ns0:c>
      <ns0:c r="P135" t="str" s="10">
        <ns0:v>RC_L; E24; P при 70 °C</ns0:v>
      </ns0:c>
      <ns0:c r="Q135" s="10"/>
      <ns0:c r="R135" t="str" s="11">
        <ns0:f>D135</ns0:f>
        <ns0:v>330 кОм</ns0:v>
      </ns0:c>
      <ns0:c r="S135" t="str" s="11">
        <ns0:f>K135</ns0:f>
        <ns0:v>Резистор 330 кОм ±5% 0603</ns0:v>
      </ns0:c>
      <x:c xmlns:x="http://schemas.openxmlformats.org/spreadsheetml/2006/main" r="T135" t="str" s="11">
        <x:v>C:\Users\Nomatin\Documents\Altium\MY_LIB\MY_LIB\Datasheets\YAGEO_RC_L.pdf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C:\Users\Nomatin\Documents\Altium\MY_LIB\MY_LIB\Datasheets\YAGEO_RC_L.pdf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https://yageogroup.com/content/datasheet/asset/file/PYU-RC_GROUP_51_ROHS_L</x:v>
      </x:c>
      <x:c xmlns:x="http://schemas.openxmlformats.org/spreadsheetml/2006/main" r="Y135" t="str" s="11">
        <x:v>C:\Users\Nomatin\Documents\Altium\MY_LIB\MY_LIB\Datasheets\YAGEO_RC_L.pdf</x:v>
      </x:c>
    </ns0:row>
    <ns0:row r="136" ht="30" customHeight="1">
      <ns0:c r="A136" t="str" s="10">
        <ns0:v>R0142</ns0:v>
      </ns0:c>
      <ns0:c r="B136" t="str" s="10">
        <ns0:v>Резистор</ns0:v>
      </ns0:c>
      <ns0:c r="C136" t="str" s="10">
        <ns0:v>360k</ns0:v>
      </ns0:c>
      <ns0:c r="D136" t="str" s="11">
        <ns0:f>SUBSTITUTE(SUBSTITUTE(SUBSTITUTE(SUBSTITUTE(C136,"meg"," МОм"),"k"," кОм"),"R"," Ом"),".",",")</ns0:f>
        <ns0:v>360 кОм</ns0:v>
      </ns0:c>
      <ns0:c r="E136" t="str" s="10">
        <ns0:v>±5%</ns0:v>
      </ns0:c>
      <ns0:c r="F136" t="str" s="10">
        <ns0:v>0,1 Вт</ns0:v>
      </ns0:c>
      <ns0:c r="G136" t="str" s="10">
        <ns0:v>75 В макс.</ns0:v>
      </ns0:c>
      <ns0:c r="H136" t="str" s="12">
        <ns0:v>0603</ns0:v>
      </ns0:c>
      <ns0:c r="I136" t="str" s="10">
        <ns0:v>YAGEO</ns0:v>
      </ns0:c>
      <ns0:c r="J136" t="str" s="10">
        <ns0:v>RC0603JR-07360KL</ns0:v>
      </ns0:c>
      <ns0:c r="K136" t="str" s="11">
        <ns0:f>B136&amp;" "&amp;D136&amp;" "&amp;E136&amp;" "&amp;H136</ns0:f>
        <ns0:v>Резистор 360 кОм ±5% 0603</ns0:v>
      </ns0:c>
      <ns0:c r="L136" t="str" s="13">
        <ns0:v>R</ns0:v>
      </ns0:c>
      <ns0:c r="M136" t="str" s="13">
        <ns0:v>Symbols\MY_LIB_Resistors.SchLib</ns0:v>
      </ns0:c>
      <ns0:c r="N136" t="str" s="13">
        <ns0:v>RESC1608X55N</ns0:v>
      </ns0:c>
      <ns0:c r="O136" t="str" s="13">
        <ns0:v>Footprints\PBL - SMD Packages.PcbLib</ns0:v>
      </ns0:c>
      <ns0:c r="P136" t="str" s="10">
        <ns0:v>RC_L; E24; P при 70 °C</ns0:v>
      </ns0:c>
      <ns0:c r="Q136" s="10"/>
      <ns0:c r="R136" t="str" s="11">
        <ns0:f>D136</ns0:f>
        <ns0:v>360 кОм</ns0:v>
      </ns0:c>
      <ns0:c r="S136" t="str" s="11">
        <ns0:f>K136</ns0:f>
        <ns0:v>Резистор 360 кОм ±5% 0603</ns0:v>
      </ns0:c>
      <x:c xmlns:x="http://schemas.openxmlformats.org/spreadsheetml/2006/main" r="T136" t="str" s="11">
        <x:v>C:\Users\Nomatin\Documents\Altium\MY_LIB\MY_LIB\Datasheets\YAGEO_RC_L.pdf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C:\Users\Nomatin\Documents\Altium\MY_LIB\MY_LIB\Datasheets\YAGEO_RC_L.pdf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https://yageogroup.com/content/datasheet/asset/file/PYU-RC_GROUP_51_ROHS_L</x:v>
      </x:c>
      <x:c xmlns:x="http://schemas.openxmlformats.org/spreadsheetml/2006/main" r="Y136" t="str" s="11">
        <x:v>C:\Users\Nomatin\Documents\Altium\MY_LIB\MY_LIB\Datasheets\YAGEO_RC_L.pdf</x:v>
      </x:c>
    </ns0:row>
    <ns0:row r="137" ht="30" customHeight="1">
      <ns0:c r="A137" t="str" s="10">
        <ns0:v>R0143</ns0:v>
      </ns0:c>
      <ns0:c r="B137" t="str" s="10">
        <ns0:v>Резистор</ns0:v>
      </ns0:c>
      <ns0:c r="C137" t="str" s="10">
        <ns0:v>390k</ns0:v>
      </ns0:c>
      <ns0:c r="D137" t="str" s="11">
        <ns0:f>SUBSTITUTE(SUBSTITUTE(SUBSTITUTE(SUBSTITUTE(C137,"meg"," МОм"),"k"," кОм"),"R"," Ом"),".",",")</ns0:f>
        <ns0:v>390 кОм</ns0:v>
      </ns0:c>
      <ns0:c r="E137" t="str" s="10">
        <ns0:v>±5%</ns0:v>
      </ns0:c>
      <ns0:c r="F137" t="str" s="10">
        <ns0:v>0,1 Вт</ns0:v>
      </ns0:c>
      <ns0:c r="G137" t="str" s="10">
        <ns0:v>75 В макс.</ns0:v>
      </ns0:c>
      <ns0:c r="H137" t="str" s="12">
        <ns0:v>0603</ns0:v>
      </ns0:c>
      <ns0:c r="I137" t="str" s="10">
        <ns0:v>YAGEO</ns0:v>
      </ns0:c>
      <ns0:c r="J137" t="str" s="10">
        <ns0:v>RC0603JR-07390KL</ns0:v>
      </ns0:c>
      <ns0:c r="K137" t="str" s="11">
        <ns0:f>B137&amp;" "&amp;D137&amp;" "&amp;E137&amp;" "&amp;H137</ns0:f>
        <ns0:v>Резистор 390 кОм ±5% 0603</ns0:v>
      </ns0:c>
      <ns0:c r="L137" t="str" s="13">
        <ns0:v>R</ns0:v>
      </ns0:c>
      <ns0:c r="M137" t="str" s="13">
        <ns0:v>Symbols\MY_LIB_Resistors.SchLib</ns0:v>
      </ns0:c>
      <ns0:c r="N137" t="str" s="13">
        <ns0:v>RESC1608X55N</ns0:v>
      </ns0:c>
      <ns0:c r="O137" t="str" s="13">
        <ns0:v>Footprints\PBL - SMD Packages.PcbLib</ns0:v>
      </ns0:c>
      <ns0:c r="P137" t="str" s="10">
        <ns0:v>RC_L; E24; P при 70 °C</ns0:v>
      </ns0:c>
      <ns0:c r="Q137" s="10"/>
      <ns0:c r="R137" t="str" s="11">
        <ns0:f>D137</ns0:f>
        <ns0:v>390 кОм</ns0:v>
      </ns0:c>
      <ns0:c r="S137" t="str" s="11">
        <ns0:f>K137</ns0:f>
        <ns0:v>Резистор 390 кОм ±5% 0603</ns0:v>
      </ns0:c>
      <x:c xmlns:x="http://schemas.openxmlformats.org/spreadsheetml/2006/main" r="T137" t="str" s="11">
        <x:v>C:\Users\Nomatin\Documents\Altium\MY_LIB\MY_LIB\Datasheets\YAGEO_RC_L.pdf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C:\Users\Nomatin\Documents\Altium\MY_LIB\MY_LIB\Datasheets\YAGEO_RC_L.pdf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https://yageogroup.com/content/datasheet/asset/file/PYU-RC_GROUP_51_ROHS_L</x:v>
      </x:c>
      <x:c xmlns:x="http://schemas.openxmlformats.org/spreadsheetml/2006/main" r="Y137" t="str" s="11">
        <x:v>C:\Users\Nomatin\Documents\Altium\MY_LIB\MY_LIB\Datasheets\YAGEO_RC_L.pdf</x:v>
      </x:c>
    </ns0:row>
    <ns0:row r="138" ht="30" customHeight="1">
      <ns0:c r="A138" t="str" s="10">
        <ns0:v>R0144</ns0:v>
      </ns0:c>
      <ns0:c r="B138" t="str" s="10">
        <ns0:v>Резистор</ns0:v>
      </ns0:c>
      <ns0:c r="C138" t="str" s="10">
        <ns0:v>430k</ns0:v>
      </ns0:c>
      <ns0:c r="D138" t="str" s="11">
        <ns0:f>SUBSTITUTE(SUBSTITUTE(SUBSTITUTE(SUBSTITUTE(C138,"meg"," МОм"),"k"," кОм"),"R"," Ом"),".",",")</ns0:f>
        <ns0:v>430 кОм</ns0:v>
      </ns0:c>
      <ns0:c r="E138" t="str" s="10">
        <ns0:v>±5%</ns0:v>
      </ns0:c>
      <ns0:c r="F138" t="str" s="10">
        <ns0:v>0,1 Вт</ns0:v>
      </ns0:c>
      <ns0:c r="G138" t="str" s="10">
        <ns0:v>75 В макс.</ns0:v>
      </ns0:c>
      <ns0:c r="H138" t="str" s="12">
        <ns0:v>0603</ns0:v>
      </ns0:c>
      <ns0:c r="I138" t="str" s="10">
        <ns0:v>YAGEO</ns0:v>
      </ns0:c>
      <ns0:c r="J138" t="str" s="10">
        <ns0:v>RC0603JR-07430KL</ns0:v>
      </ns0:c>
      <ns0:c r="K138" t="str" s="11">
        <ns0:f>B138&amp;" "&amp;D138&amp;" "&amp;E138&amp;" "&amp;H138</ns0:f>
        <ns0:v>Резистор 430 кОм ±5% 0603</ns0:v>
      </ns0:c>
      <ns0:c r="L138" t="str" s="13">
        <ns0:v>R</ns0:v>
      </ns0:c>
      <ns0:c r="M138" t="str" s="13">
        <ns0:v>Symbols\MY_LIB_Resistors.SchLib</ns0:v>
      </ns0:c>
      <ns0:c r="N138" t="str" s="13">
        <ns0:v>RESC1608X55N</ns0:v>
      </ns0:c>
      <ns0:c r="O138" t="str" s="13">
        <ns0:v>Footprints\PBL - SMD Packages.PcbLib</ns0:v>
      </ns0:c>
      <ns0:c r="P138" t="str" s="10">
        <ns0:v>RC_L; E24; P при 70 °C</ns0:v>
      </ns0:c>
      <ns0:c r="Q138" s="10"/>
      <ns0:c r="R138" t="str" s="11">
        <ns0:f>D138</ns0:f>
        <ns0:v>430 кОм</ns0:v>
      </ns0:c>
      <ns0:c r="S138" t="str" s="11">
        <ns0:f>K138</ns0:f>
        <ns0:v>Резистор 430 кОм ±5% 0603</ns0:v>
      </ns0:c>
      <x:c xmlns:x="http://schemas.openxmlformats.org/spreadsheetml/2006/main" r="T138" t="str" s="11">
        <x:v>C:\Users\Nomatin\Documents\Altium\MY_LIB\MY_LIB\Datasheets\YAGEO_RC_L.pdf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C:\Users\Nomatin\Documents\Altium\MY_LIB\MY_LIB\Datasheets\YAGEO_RC_L.pdf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https://yageogroup.com/content/datasheet/asset/file/PYU-RC_GROUP_51_ROHS_L</x:v>
      </x:c>
      <x:c xmlns:x="http://schemas.openxmlformats.org/spreadsheetml/2006/main" r="Y138" t="str" s="11">
        <x:v>C:\Users\Nomatin\Documents\Altium\MY_LIB\MY_LIB\Datasheets\YAGEO_RC_L.pdf</x:v>
      </x:c>
    </ns0:row>
    <ns0:row r="139" ht="30" customHeight="1">
      <ns0:c r="A139" t="str" s="10">
        <ns0:v>R0145</ns0:v>
      </ns0:c>
      <ns0:c r="B139" t="str" s="10">
        <ns0:v>Резистор</ns0:v>
      </ns0:c>
      <ns0:c r="C139" t="str" s="10">
        <ns0:v>470k</ns0:v>
      </ns0:c>
      <ns0:c r="D139" t="str" s="11">
        <ns0:f>SUBSTITUTE(SUBSTITUTE(SUBSTITUTE(SUBSTITUTE(C139,"meg"," МОм"),"k"," кОм"),"R"," Ом"),".",",")</ns0:f>
        <ns0:v>470 кОм</ns0:v>
      </ns0:c>
      <ns0:c r="E139" t="str" s="10">
        <ns0:v>±5%</ns0:v>
      </ns0:c>
      <ns0:c r="F139" t="str" s="10">
        <ns0:v>0,1 Вт</ns0:v>
      </ns0:c>
      <ns0:c r="G139" t="str" s="10">
        <ns0:v>75 В макс.</ns0:v>
      </ns0:c>
      <ns0:c r="H139" t="str" s="12">
        <ns0:v>0603</ns0:v>
      </ns0:c>
      <ns0:c r="I139" t="str" s="10">
        <ns0:v>YAGEO</ns0:v>
      </ns0:c>
      <ns0:c r="J139" t="str" s="10">
        <ns0:v>RC0603JR-07470KL</ns0:v>
      </ns0:c>
      <ns0:c r="K139" t="str" s="11">
        <ns0:f>B139&amp;" "&amp;D139&amp;" "&amp;E139&amp;" "&amp;H139</ns0:f>
        <ns0:v>Резистор 470 кОм ±5% 0603</ns0:v>
      </ns0:c>
      <ns0:c r="L139" t="str" s="13">
        <ns0:v>R</ns0:v>
      </ns0:c>
      <ns0:c r="M139" t="str" s="13">
        <ns0:v>Symbols\MY_LIB_Resistors.SchLib</ns0:v>
      </ns0:c>
      <ns0:c r="N139" t="str" s="13">
        <ns0:v>RESC1608X55N</ns0:v>
      </ns0:c>
      <ns0:c r="O139" t="str" s="13">
        <ns0:v>Footprints\PBL - SMD Packages.PcbLib</ns0:v>
      </ns0:c>
      <ns0:c r="P139" t="str" s="10">
        <ns0:v>RC_L; E24; P при 70 °C</ns0:v>
      </ns0:c>
      <ns0:c r="Q139" s="10"/>
      <ns0:c r="R139" t="str" s="11">
        <ns0:f>D139</ns0:f>
        <ns0:v>470 кОм</ns0:v>
      </ns0:c>
      <ns0:c r="S139" t="str" s="11">
        <ns0:f>K139</ns0:f>
        <ns0:v>Резистор 470 кОм ±5% 0603</ns0:v>
      </ns0:c>
      <x:c xmlns:x="http://schemas.openxmlformats.org/spreadsheetml/2006/main" r="T139" t="str" s="11">
        <x:v>C:\Users\Nomatin\Documents\Altium\MY_LIB\MY_LIB\Datasheets\YAGEO_RC_L.pdf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C:\Users\Nomatin\Documents\Altium\MY_LIB\MY_LIB\Datasheets\YAGEO_RC_L.pdf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https://yageogroup.com/content/datasheet/asset/file/PYU-RC_GROUP_51_ROHS_L</x:v>
      </x:c>
      <x:c xmlns:x="http://schemas.openxmlformats.org/spreadsheetml/2006/main" r="Y139" t="str" s="11">
        <x:v>C:\Users\Nomatin\Documents\Altium\MY_LIB\MY_LIB\Datasheets\YAGEO_RC_L.pdf</x:v>
      </x:c>
    </ns0:row>
    <ns0:row r="140" ht="30" customHeight="1">
      <ns0:c r="A140" t="str" s="10">
        <ns0:v>R0146</ns0:v>
      </ns0:c>
      <ns0:c r="B140" t="str" s="10">
        <ns0:v>Резистор</ns0:v>
      </ns0:c>
      <ns0:c r="C140" t="str" s="10">
        <ns0:v>510k</ns0:v>
      </ns0:c>
      <ns0:c r="D140" t="str" s="11">
        <ns0:f>SUBSTITUTE(SUBSTITUTE(SUBSTITUTE(SUBSTITUTE(C140,"meg"," МОм"),"k"," кОм"),"R"," Ом"),".",",")</ns0:f>
        <ns0:v>510 кОм</ns0:v>
      </ns0:c>
      <ns0:c r="E140" t="str" s="10">
        <ns0:v>±5%</ns0:v>
      </ns0:c>
      <ns0:c r="F140" t="str" s="10">
        <ns0:v>0,1 Вт</ns0:v>
      </ns0:c>
      <ns0:c r="G140" t="str" s="10">
        <ns0:v>75 В макс.</ns0:v>
      </ns0:c>
      <ns0:c r="H140" t="str" s="12">
        <ns0:v>0603</ns0:v>
      </ns0:c>
      <ns0:c r="I140" t="str" s="10">
        <ns0:v>YAGEO</ns0:v>
      </ns0:c>
      <ns0:c r="J140" t="str" s="10">
        <ns0:v>RC0603JR-07510KL</ns0:v>
      </ns0:c>
      <ns0:c r="K140" t="str" s="11">
        <ns0:f>B140&amp;" "&amp;D140&amp;" "&amp;E140&amp;" "&amp;H140</ns0:f>
        <ns0:v>Резистор 510 кОм ±5% 0603</ns0:v>
      </ns0:c>
      <ns0:c r="L140" t="str" s="13">
        <ns0:v>R</ns0:v>
      </ns0:c>
      <ns0:c r="M140" t="str" s="13">
        <ns0:v>Symbols\MY_LIB_Resistors.SchLib</ns0:v>
      </ns0:c>
      <ns0:c r="N140" t="str" s="13">
        <ns0:v>RESC1608X55N</ns0:v>
      </ns0:c>
      <ns0:c r="O140" t="str" s="13">
        <ns0:v>Footprints\PBL - SMD Packages.PcbLib</ns0:v>
      </ns0:c>
      <ns0:c r="P140" t="str" s="10">
        <ns0:v>RC_L; E24; P при 70 °C</ns0:v>
      </ns0:c>
      <ns0:c r="Q140" s="10"/>
      <ns0:c r="R140" t="str" s="11">
        <ns0:f>D140</ns0:f>
        <ns0:v>510 кОм</ns0:v>
      </ns0:c>
      <ns0:c r="S140" t="str" s="11">
        <ns0:f>K140</ns0:f>
        <ns0:v>Резистор 510 кОм ±5% 0603</ns0:v>
      </ns0:c>
      <x:c xmlns:x="http://schemas.openxmlformats.org/spreadsheetml/2006/main" r="T140" t="str" s="11">
        <x:v>C:\Users\Nomatin\Documents\Altium\MY_LIB\MY_LIB\Datasheets\YAGEO_RC_L.pdf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C:\Users\Nomatin\Documents\Altium\MY_LIB\MY_LIB\Datasheets\YAGEO_RC_L.pdf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https://yageogroup.com/content/datasheet/asset/file/PYU-RC_GROUP_51_ROHS_L</x:v>
      </x:c>
      <x:c xmlns:x="http://schemas.openxmlformats.org/spreadsheetml/2006/main" r="Y140" t="str" s="11">
        <x:v>C:\Users\Nomatin\Documents\Altium\MY_LIB\MY_LIB\Datasheets\YAGEO_RC_L.pdf</x:v>
      </x:c>
    </ns0:row>
    <ns0:row r="141" ht="30" customHeight="1">
      <ns0:c r="A141" t="str" s="10">
        <ns0:v>R0147</ns0:v>
      </ns0:c>
      <ns0:c r="B141" t="str" s="10">
        <ns0:v>Резистор</ns0:v>
      </ns0:c>
      <ns0:c r="C141" t="str" s="10">
        <ns0:v>560k</ns0:v>
      </ns0:c>
      <ns0:c r="D141" t="str" s="11">
        <ns0:f>SUBSTITUTE(SUBSTITUTE(SUBSTITUTE(SUBSTITUTE(C141,"meg"," МОм"),"k"," кОм"),"R"," Ом"),".",",")</ns0:f>
        <ns0:v>560 кОм</ns0:v>
      </ns0:c>
      <ns0:c r="E141" t="str" s="10">
        <ns0:v>±5%</ns0:v>
      </ns0:c>
      <ns0:c r="F141" t="str" s="10">
        <ns0:v>0,1 Вт</ns0:v>
      </ns0:c>
      <ns0:c r="G141" t="str" s="10">
        <ns0:v>75 В макс.</ns0:v>
      </ns0:c>
      <ns0:c r="H141" t="str" s="12">
        <ns0:v>0603</ns0:v>
      </ns0:c>
      <ns0:c r="I141" t="str" s="10">
        <ns0:v>YAGEO</ns0:v>
      </ns0:c>
      <ns0:c r="J141" t="str" s="10">
        <ns0:v>RC0603JR-07560KL</ns0:v>
      </ns0:c>
      <ns0:c r="K141" t="str" s="11">
        <ns0:f>B141&amp;" "&amp;D141&amp;" "&amp;E141&amp;" "&amp;H141</ns0:f>
        <ns0:v>Резистор 560 кОм ±5% 0603</ns0:v>
      </ns0:c>
      <ns0:c r="L141" t="str" s="13">
        <ns0:v>R</ns0:v>
      </ns0:c>
      <ns0:c r="M141" t="str" s="13">
        <ns0:v>Symbols\MY_LIB_Resistors.SchLib</ns0:v>
      </ns0:c>
      <ns0:c r="N141" t="str" s="13">
        <ns0:v>RESC1608X55N</ns0:v>
      </ns0:c>
      <ns0:c r="O141" t="str" s="13">
        <ns0:v>Footprints\PBL - SMD Packages.PcbLib</ns0:v>
      </ns0:c>
      <ns0:c r="P141" t="str" s="10">
        <ns0:v>RC_L; E24; P при 70 °C</ns0:v>
      </ns0:c>
      <ns0:c r="Q141" s="10"/>
      <ns0:c r="R141" t="str" s="11">
        <ns0:f>D141</ns0:f>
        <ns0:v>560 кОм</ns0:v>
      </ns0:c>
      <ns0:c r="S141" t="str" s="11">
        <ns0:f>K141</ns0:f>
        <ns0:v>Резистор 560 кОм ±5% 0603</ns0:v>
      </ns0:c>
      <x:c xmlns:x="http://schemas.openxmlformats.org/spreadsheetml/2006/main" r="T141" t="str" s="11">
        <x:v>C:\Users\Nomatin\Documents\Altium\MY_LIB\MY_LIB\Datasheets\YAGEO_RC_L.pdf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C:\Users\Nomatin\Documents\Altium\MY_LIB\MY_LIB\Datasheets\YAGEO_RC_L.pdf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https://yageogroup.com/content/datasheet/asset/file/PYU-RC_GROUP_51_ROHS_L</x:v>
      </x:c>
      <x:c xmlns:x="http://schemas.openxmlformats.org/spreadsheetml/2006/main" r="Y141" t="str" s="11">
        <x:v>C:\Users\Nomatin\Documents\Altium\MY_LIB\MY_LIB\Datasheets\YAGEO_RC_L.pdf</x:v>
      </x:c>
    </ns0:row>
    <ns0:row r="142" ht="30" customHeight="1">
      <ns0:c r="A142" t="str" s="10">
        <ns0:v>R0148</ns0:v>
      </ns0:c>
      <ns0:c r="B142" t="str" s="10">
        <ns0:v>Резистор</ns0:v>
      </ns0:c>
      <ns0:c r="C142" t="str" s="10">
        <ns0:v>620k</ns0:v>
      </ns0:c>
      <ns0:c r="D142" t="str" s="11">
        <ns0:f>SUBSTITUTE(SUBSTITUTE(SUBSTITUTE(SUBSTITUTE(C142,"meg"," МОм"),"k"," кОм"),"R"," Ом"),".",",")</ns0:f>
        <ns0:v>620 кОм</ns0:v>
      </ns0:c>
      <ns0:c r="E142" t="str" s="10">
        <ns0:v>±5%</ns0:v>
      </ns0:c>
      <ns0:c r="F142" t="str" s="10">
        <ns0:v>0,1 Вт</ns0:v>
      </ns0:c>
      <ns0:c r="G142" t="str" s="10">
        <ns0:v>75 В макс.</ns0:v>
      </ns0:c>
      <ns0:c r="H142" t="str" s="12">
        <ns0:v>0603</ns0:v>
      </ns0:c>
      <ns0:c r="I142" t="str" s="10">
        <ns0:v>YAGEO</ns0:v>
      </ns0:c>
      <ns0:c r="J142" t="str" s="10">
        <ns0:v>RC0603JR-07620KL</ns0:v>
      </ns0:c>
      <ns0:c r="K142" t="str" s="11">
        <ns0:f>B142&amp;" "&amp;D142&amp;" "&amp;E142&amp;" "&amp;H142</ns0:f>
        <ns0:v>Резистор 620 кОм ±5% 0603</ns0:v>
      </ns0:c>
      <ns0:c r="L142" t="str" s="13">
        <ns0:v>R</ns0:v>
      </ns0:c>
      <ns0:c r="M142" t="str" s="13">
        <ns0:v>Symbols\MY_LIB_Resistors.SchLib</ns0:v>
      </ns0:c>
      <ns0:c r="N142" t="str" s="13">
        <ns0:v>RESC1608X55N</ns0:v>
      </ns0:c>
      <ns0:c r="O142" t="str" s="13">
        <ns0:v>Footprints\PBL - SMD Packages.PcbLib</ns0:v>
      </ns0:c>
      <ns0:c r="P142" t="str" s="10">
        <ns0:v>RC_L; E24; P при 70 °C</ns0:v>
      </ns0:c>
      <ns0:c r="Q142" s="10"/>
      <ns0:c r="R142" t="str" s="11">
        <ns0:f>D142</ns0:f>
        <ns0:v>620 кОм</ns0:v>
      </ns0:c>
      <ns0:c r="S142" t="str" s="11">
        <ns0:f>K142</ns0:f>
        <ns0:v>Резистор 620 кОм ±5% 0603</ns0:v>
      </ns0:c>
      <x:c xmlns:x="http://schemas.openxmlformats.org/spreadsheetml/2006/main" r="T142" t="str" s="11">
        <x:v>C:\Users\Nomatin\Documents\Altium\MY_LIB\MY_LIB\Datasheets\YAGEO_RC_L.pdf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C:\Users\Nomatin\Documents\Altium\MY_LIB\MY_LIB\Datasheets\YAGEO_RC_L.pdf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https://yageogroup.com/content/datasheet/asset/file/PYU-RC_GROUP_51_ROHS_L</x:v>
      </x:c>
      <x:c xmlns:x="http://schemas.openxmlformats.org/spreadsheetml/2006/main" r="Y142" t="str" s="11">
        <x:v>C:\Users\Nomatin\Documents\Altium\MY_LIB\MY_LIB\Datasheets\YAGEO_RC_L.pdf</x:v>
      </x:c>
    </ns0:row>
    <ns0:row r="143" ht="30" customHeight="1">
      <ns0:c r="A143" t="str" s="10">
        <ns0:v>R0149</ns0:v>
      </ns0:c>
      <ns0:c r="B143" t="str" s="10">
        <ns0:v>Резистор</ns0:v>
      </ns0:c>
      <ns0:c r="C143" t="str" s="10">
        <ns0:v>680k</ns0:v>
      </ns0:c>
      <ns0:c r="D143" t="str" s="11">
        <ns0:f>SUBSTITUTE(SUBSTITUTE(SUBSTITUTE(SUBSTITUTE(C143,"meg"," МОм"),"k"," кОм"),"R"," Ом"),".",",")</ns0:f>
        <ns0:v>680 кОм</ns0:v>
      </ns0:c>
      <ns0:c r="E143" t="str" s="10">
        <ns0:v>±5%</ns0:v>
      </ns0:c>
      <ns0:c r="F143" t="str" s="10">
        <ns0:v>0,1 Вт</ns0:v>
      </ns0:c>
      <ns0:c r="G143" t="str" s="10">
        <ns0:v>75 В макс.</ns0:v>
      </ns0:c>
      <ns0:c r="H143" t="str" s="12">
        <ns0:v>0603</ns0:v>
      </ns0:c>
      <ns0:c r="I143" t="str" s="10">
        <ns0:v>YAGEO</ns0:v>
      </ns0:c>
      <ns0:c r="J143" t="str" s="10">
        <ns0:v>RC0603JR-07680KL</ns0:v>
      </ns0:c>
      <ns0:c r="K143" t="str" s="11">
        <ns0:f>B143&amp;" "&amp;D143&amp;" "&amp;E143&amp;" "&amp;H143</ns0:f>
        <ns0:v>Резистор 680 кОм ±5% 0603</ns0:v>
      </ns0:c>
      <ns0:c r="L143" t="str" s="13">
        <ns0:v>R</ns0:v>
      </ns0:c>
      <ns0:c r="M143" t="str" s="13">
        <ns0:v>Symbols\MY_LIB_Resistors.SchLib</ns0:v>
      </ns0:c>
      <ns0:c r="N143" t="str" s="13">
        <ns0:v>RESC1608X55N</ns0:v>
      </ns0:c>
      <ns0:c r="O143" t="str" s="13">
        <ns0:v>Footprints\PBL - SMD Packages.PcbLib</ns0:v>
      </ns0:c>
      <ns0:c r="P143" t="str" s="10">
        <ns0:v>RC_L; E24; P при 70 °C</ns0:v>
      </ns0:c>
      <ns0:c r="Q143" s="10"/>
      <ns0:c r="R143" t="str" s="11">
        <ns0:f>D143</ns0:f>
        <ns0:v>680 кОм</ns0:v>
      </ns0:c>
      <ns0:c r="S143" t="str" s="11">
        <ns0:f>K143</ns0:f>
        <ns0:v>Резистор 680 кОм ±5% 0603</ns0:v>
      </ns0:c>
      <x:c xmlns:x="http://schemas.openxmlformats.org/spreadsheetml/2006/main" r="T143" t="str" s="11">
        <x:v>C:\Users\Nomatin\Documents\Altium\MY_LIB\MY_LIB\Datasheets\YAGEO_RC_L.pdf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C:\Users\Nomatin\Documents\Altium\MY_LIB\MY_LIB\Datasheets\YAGEO_RC_L.pdf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https://yageogroup.com/content/datasheet/asset/file/PYU-RC_GROUP_51_ROHS_L</x:v>
      </x:c>
      <x:c xmlns:x="http://schemas.openxmlformats.org/spreadsheetml/2006/main" r="Y143" t="str" s="11">
        <x:v>C:\Users\Nomatin\Documents\Altium\MY_LIB\MY_LIB\Datasheets\YAGEO_RC_L.pdf</x:v>
      </x:c>
    </ns0:row>
    <ns0:row r="144" ht="30" customHeight="1">
      <ns0:c r="A144" t="str" s="10">
        <ns0:v>R0150</ns0:v>
      </ns0:c>
      <ns0:c r="B144" t="str" s="10">
        <ns0:v>Резистор</ns0:v>
      </ns0:c>
      <ns0:c r="C144" t="str" s="10">
        <ns0:v>750k</ns0:v>
      </ns0:c>
      <ns0:c r="D144" t="str" s="11">
        <ns0:f>SUBSTITUTE(SUBSTITUTE(SUBSTITUTE(SUBSTITUTE(C144,"meg"," МОм"),"k"," кОм"),"R"," Ом"),".",",")</ns0:f>
        <ns0:v>750 кОм</ns0:v>
      </ns0:c>
      <ns0:c r="E144" t="str" s="10">
        <ns0:v>±5%</ns0:v>
      </ns0:c>
      <ns0:c r="F144" t="str" s="10">
        <ns0:v>0,1 Вт</ns0:v>
      </ns0:c>
      <ns0:c r="G144" t="str" s="10">
        <ns0:v>75 В макс.</ns0:v>
      </ns0:c>
      <ns0:c r="H144" t="str" s="12">
        <ns0:v>0603</ns0:v>
      </ns0:c>
      <ns0:c r="I144" t="str" s="10">
        <ns0:v>YAGEO</ns0:v>
      </ns0:c>
      <ns0:c r="J144" t="str" s="10">
        <ns0:v>RC0603JR-07750KL</ns0:v>
      </ns0:c>
      <ns0:c r="K144" t="str" s="11">
        <ns0:f>B144&amp;" "&amp;D144&amp;" "&amp;E144&amp;" "&amp;H144</ns0:f>
        <ns0:v>Резистор 750 кОм ±5% 0603</ns0:v>
      </ns0:c>
      <ns0:c r="L144" t="str" s="13">
        <ns0:v>R</ns0:v>
      </ns0:c>
      <ns0:c r="M144" t="str" s="13">
        <ns0:v>Symbols\MY_LIB_Resistors.SchLib</ns0:v>
      </ns0:c>
      <ns0:c r="N144" t="str" s="13">
        <ns0:v>RESC1608X55N</ns0:v>
      </ns0:c>
      <ns0:c r="O144" t="str" s="13">
        <ns0:v>Footprints\PBL - SMD Packages.PcbLib</ns0:v>
      </ns0:c>
      <ns0:c r="P144" t="str" s="10">
        <ns0:v>RC_L; E24; P при 70 °C</ns0:v>
      </ns0:c>
      <ns0:c r="Q144" s="10"/>
      <ns0:c r="R144" t="str" s="11">
        <ns0:f>D144</ns0:f>
        <ns0:v>750 кОм</ns0:v>
      </ns0:c>
      <ns0:c r="S144" t="str" s="11">
        <ns0:f>K144</ns0:f>
        <ns0:v>Резистор 750 кОм ±5% 0603</ns0:v>
      </ns0:c>
      <x:c xmlns:x="http://schemas.openxmlformats.org/spreadsheetml/2006/main" r="T144" t="str" s="11">
        <x:v>C:\Users\Nomatin\Documents\Altium\MY_LIB\MY_LIB\Datasheets\YAGEO_RC_L.pdf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C:\Users\Nomatin\Documents\Altium\MY_LIB\MY_LIB\Datasheets\YAGEO_RC_L.pdf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https://yageogroup.com/content/datasheet/asset/file/PYU-RC_GROUP_51_ROHS_L</x:v>
      </x:c>
      <x:c xmlns:x="http://schemas.openxmlformats.org/spreadsheetml/2006/main" r="Y144" t="str" s="11">
        <x:v>C:\Users\Nomatin\Documents\Altium\MY_LIB\MY_LIB\Datasheets\YAGEO_RC_L.pdf</x:v>
      </x:c>
    </ns0:row>
    <ns0:row r="145" ht="30" customHeight="1">
      <ns0:c r="A145" t="str" s="10">
        <ns0:v>R0151</ns0:v>
      </ns0:c>
      <ns0:c r="B145" t="str" s="10">
        <ns0:v>Резистор</ns0:v>
      </ns0:c>
      <ns0:c r="C145" t="str" s="10">
        <ns0:v>820k</ns0:v>
      </ns0:c>
      <ns0:c r="D145" t="str" s="11">
        <ns0:f>SUBSTITUTE(SUBSTITUTE(SUBSTITUTE(SUBSTITUTE(C145,"meg"," МОм"),"k"," кОм"),"R"," Ом"),".",",")</ns0:f>
        <ns0:v>820 кОм</ns0:v>
      </ns0:c>
      <ns0:c r="E145" t="str" s="10">
        <ns0:v>±5%</ns0:v>
      </ns0:c>
      <ns0:c r="F145" t="str" s="10">
        <ns0:v>0,1 Вт</ns0:v>
      </ns0:c>
      <ns0:c r="G145" t="str" s="10">
        <ns0:v>75 В макс.</ns0:v>
      </ns0:c>
      <ns0:c r="H145" t="str" s="12">
        <ns0:v>0603</ns0:v>
      </ns0:c>
      <ns0:c r="I145" t="str" s="10">
        <ns0:v>YAGEO</ns0:v>
      </ns0:c>
      <ns0:c r="J145" t="str" s="10">
        <ns0:v>RC0603JR-07820KL</ns0:v>
      </ns0:c>
      <ns0:c r="K145" t="str" s="11">
        <ns0:f>B145&amp;" "&amp;D145&amp;" "&amp;E145&amp;" "&amp;H145</ns0:f>
        <ns0:v>Резистор 820 кОм ±5% 0603</ns0:v>
      </ns0:c>
      <ns0:c r="L145" t="str" s="13">
        <ns0:v>R</ns0:v>
      </ns0:c>
      <ns0:c r="M145" t="str" s="13">
        <ns0:v>Symbols\MY_LIB_Resistors.SchLib</ns0:v>
      </ns0:c>
      <ns0:c r="N145" t="str" s="13">
        <ns0:v>RESC1608X55N</ns0:v>
      </ns0:c>
      <ns0:c r="O145" t="str" s="13">
        <ns0:v>Footprints\PBL - SMD Packages.PcbLib</ns0:v>
      </ns0:c>
      <ns0:c r="P145" t="str" s="10">
        <ns0:v>RC_L; E24; P при 70 °C</ns0:v>
      </ns0:c>
      <ns0:c r="Q145" s="10"/>
      <ns0:c r="R145" t="str" s="11">
        <ns0:f>D145</ns0:f>
        <ns0:v>820 кОм</ns0:v>
      </ns0:c>
      <ns0:c r="S145" t="str" s="11">
        <ns0:f>K145</ns0:f>
        <ns0:v>Резистор 820 кОм ±5% 0603</ns0:v>
      </ns0:c>
      <x:c xmlns:x="http://schemas.openxmlformats.org/spreadsheetml/2006/main" r="T145" t="str" s="11">
        <x:v>C:\Users\Nomatin\Documents\Altium\MY_LIB\MY_LIB\Datasheets\YAGEO_RC_L.pdf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C:\Users\Nomatin\Documents\Altium\MY_LIB\MY_LIB\Datasheets\YAGEO_RC_L.pdf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https://yageogroup.com/content/datasheet/asset/file/PYU-RC_GROUP_51_ROHS_L</x:v>
      </x:c>
      <x:c xmlns:x="http://schemas.openxmlformats.org/spreadsheetml/2006/main" r="Y145" t="str" s="11">
        <x:v>C:\Users\Nomatin\Documents\Altium\MY_LIB\MY_LIB\Datasheets\YAGEO_RC_L.pdf</x:v>
      </x:c>
    </ns0:row>
    <ns0:row r="146" ht="30" customHeight="1">
      <ns0:c r="A146" t="str" s="10">
        <ns0:v>R0152</ns0:v>
      </ns0:c>
      <ns0:c r="B146" t="str" s="10">
        <ns0:v>Резистор</ns0:v>
      </ns0:c>
      <ns0:c r="C146" t="str" s="10">
        <ns0:v>910k</ns0:v>
      </ns0:c>
      <ns0:c r="D146" t="str" s="11">
        <ns0:f>SUBSTITUTE(SUBSTITUTE(SUBSTITUTE(SUBSTITUTE(C146,"meg"," МОм"),"k"," кОм"),"R"," Ом"),".",",")</ns0:f>
        <ns0:v>910 кОм</ns0:v>
      </ns0:c>
      <ns0:c r="E146" t="str" s="10">
        <ns0:v>±5%</ns0:v>
      </ns0:c>
      <ns0:c r="F146" t="str" s="10">
        <ns0:v>0,1 Вт</ns0:v>
      </ns0:c>
      <ns0:c r="G146" t="str" s="10">
        <ns0:v>75 В макс.</ns0:v>
      </ns0:c>
      <ns0:c r="H146" t="str" s="12">
        <ns0:v>0603</ns0:v>
      </ns0:c>
      <ns0:c r="I146" t="str" s="10">
        <ns0:v>YAGEO</ns0:v>
      </ns0:c>
      <ns0:c r="J146" t="str" s="10">
        <ns0:v>RC0603JR-07910KL</ns0:v>
      </ns0:c>
      <ns0:c r="K146" t="str" s="11">
        <ns0:f>B146&amp;" "&amp;D146&amp;" "&amp;E146&amp;" "&amp;H146</ns0:f>
        <ns0:v>Резистор 910 кОм ±5% 0603</ns0:v>
      </ns0:c>
      <ns0:c r="L146" t="str" s="13">
        <ns0:v>R</ns0:v>
      </ns0:c>
      <ns0:c r="M146" t="str" s="13">
        <ns0:v>Symbols\MY_LIB_Resistors.SchLib</ns0:v>
      </ns0:c>
      <ns0:c r="N146" t="str" s="13">
        <ns0:v>RESC1608X55N</ns0:v>
      </ns0:c>
      <ns0:c r="O146" t="str" s="13">
        <ns0:v>Footprints\PBL - SMD Packages.PcbLib</ns0:v>
      </ns0:c>
      <ns0:c r="P146" t="str" s="10">
        <ns0:v>RC_L; E24; P при 70 °C</ns0:v>
      </ns0:c>
      <ns0:c r="Q146" s="10"/>
      <ns0:c r="R146" t="str" s="11">
        <ns0:f>D146</ns0:f>
        <ns0:v>910 кОм</ns0:v>
      </ns0:c>
      <ns0:c r="S146" t="str" s="11">
        <ns0:f>K146</ns0:f>
        <ns0:v>Резистор 910 кОм ±5% 0603</ns0:v>
      </ns0:c>
      <x:c xmlns:x="http://schemas.openxmlformats.org/spreadsheetml/2006/main" r="T146" t="str" s="11">
        <x:v>C:\Users\Nomatin\Documents\Altium\MY_LIB\MY_LIB\Datasheets\YAGEO_RC_L.pdf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C:\Users\Nomatin\Documents\Altium\MY_LIB\MY_LIB\Datasheets\YAGEO_RC_L.pdf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https://yageogroup.com/content/datasheet/asset/file/PYU-RC_GROUP_51_ROHS_L</x:v>
      </x:c>
      <x:c xmlns:x="http://schemas.openxmlformats.org/spreadsheetml/2006/main" r="Y146" t="str" s="11">
        <x:v>C:\Users\Nomatin\Documents\Altium\MY_LIB\MY_LIB\Datasheets\YAGEO_RC_L.pdf</x:v>
      </x:c>
    </ns0:row>
    <ns0:row r="147" ht="30" customHeight="1">
      <ns0:c r="A147" t="str" s="10">
        <ns0:v>R0153</ns0:v>
      </ns0:c>
      <ns0:c r="B147" t="str" s="10">
        <ns0:v>Резистор</ns0:v>
      </ns0:c>
      <ns0:c r="C147" t="str" s="10">
        <ns0:v>1meg</ns0:v>
      </ns0:c>
      <ns0:c r="D147" t="str" s="11">
        <ns0:f>SUBSTITUTE(SUBSTITUTE(SUBSTITUTE(SUBSTITUTE(C147,"meg"," МОм"),"k"," кОм"),"R"," Ом"),".",",")</ns0:f>
        <ns0:v>1 МОм</ns0:v>
      </ns0:c>
      <ns0:c r="E147" t="str" s="10">
        <ns0:v>±5%</ns0:v>
      </ns0:c>
      <ns0:c r="F147" t="str" s="10">
        <ns0:v>0,1 Вт</ns0:v>
      </ns0:c>
      <ns0:c r="G147" t="str" s="10">
        <ns0:v>75 В макс.</ns0:v>
      </ns0:c>
      <ns0:c r="H147" t="str" s="12">
        <ns0:v>0603</ns0:v>
      </ns0:c>
      <ns0:c r="I147" t="str" s="10">
        <ns0:v>YAGEO</ns0:v>
      </ns0:c>
      <ns0:c r="J147" t="str" s="10">
        <ns0:v>RC0603JR-071ML</ns0:v>
      </ns0:c>
      <ns0:c r="K147" t="str" s="11">
        <ns0:f>B147&amp;" "&amp;D147&amp;" "&amp;E147&amp;" "&amp;H147</ns0:f>
        <ns0:v>Резистор 1 МОм ±5% 0603</ns0:v>
      </ns0:c>
      <ns0:c r="L147" t="str" s="13">
        <ns0:v>R</ns0:v>
      </ns0:c>
      <ns0:c r="M147" t="str" s="13">
        <ns0:v>Symbols\MY_LIB_Resistors.SchLib</ns0:v>
      </ns0:c>
      <ns0:c r="N147" t="str" s="13">
        <ns0:v>RESC1608X55N</ns0:v>
      </ns0:c>
      <ns0:c r="O147" t="str" s="13">
        <ns0:v>Footprints\PBL - SMD Packages.PcbLib</ns0:v>
      </ns0:c>
      <ns0:c r="P147" t="str" s="10">
        <ns0:v>RC_L; E24; P при 70 °C</ns0:v>
      </ns0:c>
      <ns0:c r="Q147" s="10"/>
      <ns0:c r="R147" t="str" s="11">
        <ns0:f>D147</ns0:f>
        <ns0:v>1 МОм</ns0:v>
      </ns0:c>
      <ns0:c r="S147" t="str" s="11">
        <ns0:f>K147</ns0:f>
        <ns0:v>Резистор 1 МОм ±5% 0603</ns0:v>
      </ns0:c>
      <x:c xmlns:x="http://schemas.openxmlformats.org/spreadsheetml/2006/main" r="T147" t="str" s="11">
        <x:v>C:\Users\Nomatin\Documents\Altium\MY_LIB\MY_LIB\Datasheets\YAGEO_RC_L.pdf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C:\Users\Nomatin\Documents\Altium\MY_LIB\MY_LIB\Datasheets\YAGEO_RC_L.pdf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https://yageogroup.com/content/datasheet/asset/file/PYU-RC_GROUP_51_ROHS_L</x:v>
      </x:c>
      <x:c xmlns:x="http://schemas.openxmlformats.org/spreadsheetml/2006/main" r="Y147" t="str" s="11">
        <x:v>C:\Users\Nomatin\Documents\Altium\MY_LIB\MY_LIB\Datasheets\YAGEO_RC_L.pdf</x:v>
      </x:c>
    </ns0:row>
    <ns0:row r="148" ht="30" customHeight="1">
      <ns0:c r="A148" t="str" s="10">
        <ns0:v>R0154</ns0:v>
      </ns0:c>
      <ns0:c r="B148" t="str" s="10">
        <ns0:v>Резистор</ns0:v>
      </ns0:c>
      <ns0:c r="C148" t="str" s="10">
        <ns0:v>1R</ns0:v>
      </ns0:c>
      <ns0:c r="D148" t="str" s="11">
        <ns0:f>SUBSTITUTE(SUBSTITUTE(SUBSTITUTE(SUBSTITUTE(C148,"meg"," МОм"),"k"," кОм"),"R"," Ом"),".",",")</ns0:f>
        <ns0:v>1 Ом</ns0:v>
      </ns0:c>
      <ns0:c r="E148" t="str" s="10">
        <ns0:v>±5%</ns0:v>
      </ns0:c>
      <ns0:c r="F148" t="str" s="10">
        <ns0:v>0,125 Вт</ns0:v>
      </ns0:c>
      <ns0:c r="G148" t="str" s="10">
        <ns0:v>150 В макс.</ns0:v>
      </ns0:c>
      <ns0:c r="H148" t="str" s="12">
        <ns0:v>0805</ns0:v>
      </ns0:c>
      <ns0:c r="I148" t="str" s="10">
        <ns0:v>YAGEO</ns0:v>
      </ns0:c>
      <ns0:c r="J148" t="str" s="10">
        <ns0:v>RC0805JR-071RL</ns0:v>
      </ns0:c>
      <ns0:c r="K148" t="str" s="11">
        <ns0:f>B148&amp;" "&amp;D148&amp;" "&amp;E148&amp;" "&amp;H148</ns0:f>
        <ns0:v>Резистор 1 Ом ±5% 0805</ns0:v>
      </ns0:c>
      <ns0:c r="L148" t="str" s="13">
        <ns0:v>R</ns0:v>
      </ns0:c>
      <ns0:c r="M148" t="str" s="13">
        <ns0:v>Symbols\MY_LIB_Resistors.SchLib</ns0:v>
      </ns0:c>
      <ns0:c r="N148" t="str" s="13">
        <ns0:v>RESC2012X70N</ns0:v>
      </ns0:c>
      <ns0:c r="O148" t="str" s="13">
        <ns0:v>Footprints\PBL - SMD Packages.PcbLib</ns0:v>
      </ns0:c>
      <ns0:c r="P148" t="str" s="10">
        <ns0:v>RC_L; E24; P при 70 °C</ns0:v>
      </ns0:c>
      <ns0:c r="Q148" s="10"/>
      <ns0:c r="R148" t="str" s="11">
        <ns0:f>D148</ns0:f>
        <ns0:v>1 Ом</ns0:v>
      </ns0:c>
      <ns0:c r="S148" t="str" s="11">
        <ns0:f>K148</ns0:f>
        <ns0:v>Резистор 1 Ом ±5% 0805</ns0:v>
      </ns0:c>
      <x:c xmlns:x="http://schemas.openxmlformats.org/spreadsheetml/2006/main" r="T148" t="str" s="11">
        <x:v>C:\Users\Nomatin\Documents\Altium\MY_LIB\MY_LIB\Datasheets\YAGEO_RC_L.pdf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C:\Users\Nomatin\Documents\Altium\MY_LIB\MY_LIB\Datasheets\YAGEO_RC_L.pdf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https://yageogroup.com/content/datasheet/asset/file/PYU-RC_GROUP_51_ROHS_L</x:v>
      </x:c>
      <x:c xmlns:x="http://schemas.openxmlformats.org/spreadsheetml/2006/main" r="Y148" t="str" s="11">
        <x:v>C:\Users\Nomatin\Documents\Altium\MY_LIB\MY_LIB\Datasheets\YAGEO_RC_L.pdf</x:v>
      </x:c>
    </ns0:row>
    <ns0:row r="149" ht="30" customHeight="1">
      <ns0:c r="A149" t="str" s="10">
        <ns0:v>R0155</ns0:v>
      </ns0:c>
      <ns0:c r="B149" t="str" s="10">
        <ns0:v>Резистор</ns0:v>
      </ns0:c>
      <ns0:c r="C149" t="str" s="10">
        <ns0:v>1.1R</ns0:v>
      </ns0:c>
      <ns0:c r="D149" t="str" s="11">
        <ns0:f>SUBSTITUTE(SUBSTITUTE(SUBSTITUTE(SUBSTITUTE(C149,"meg"," МОм"),"k"," кОм"),"R"," Ом"),".",",")</ns0:f>
        <ns0:v>1,1 Ом</ns0:v>
      </ns0:c>
      <ns0:c r="E149" t="str" s="10">
        <ns0:v>±5%</ns0:v>
      </ns0:c>
      <ns0:c r="F149" t="str" s="10">
        <ns0:v>0,125 Вт</ns0:v>
      </ns0:c>
      <ns0:c r="G149" t="str" s="10">
        <ns0:v>150 В макс.</ns0:v>
      </ns0:c>
      <ns0:c r="H149" t="str" s="12">
        <ns0:v>0805</ns0:v>
      </ns0:c>
      <ns0:c r="I149" t="str" s="10">
        <ns0:v>YAGEO</ns0:v>
      </ns0:c>
      <ns0:c r="J149" t="str" s="10">
        <ns0:v>RC0805JR-071R1L</ns0:v>
      </ns0:c>
      <ns0:c r="K149" t="str" s="11">
        <ns0:f>B149&amp;" "&amp;D149&amp;" "&amp;E149&amp;" "&amp;H149</ns0:f>
        <ns0:v>Резистор 1,1 Ом ±5% 0805</ns0:v>
      </ns0:c>
      <ns0:c r="L149" t="str" s="13">
        <ns0:v>R</ns0:v>
      </ns0:c>
      <ns0:c r="M149" t="str" s="13">
        <ns0:v>Symbols\MY_LIB_Resistors.SchLib</ns0:v>
      </ns0:c>
      <ns0:c r="N149" t="str" s="13">
        <ns0:v>RESC2012X70N</ns0:v>
      </ns0:c>
      <ns0:c r="O149" t="str" s="13">
        <ns0:v>Footprints\PBL - SMD Packages.PcbLib</ns0:v>
      </ns0:c>
      <ns0:c r="P149" t="str" s="10">
        <ns0:v>RC_L; E24; P при 70 °C</ns0:v>
      </ns0:c>
      <ns0:c r="Q149" s="10"/>
      <ns0:c r="R149" t="str" s="11">
        <ns0:f>D149</ns0:f>
        <ns0:v>1,1 Ом</ns0:v>
      </ns0:c>
      <ns0:c r="S149" t="str" s="11">
        <ns0:f>K149</ns0:f>
        <ns0:v>Резистор 1,1 Ом ±5% 0805</ns0:v>
      </ns0:c>
      <x:c xmlns:x="http://schemas.openxmlformats.org/spreadsheetml/2006/main" r="T149" t="str" s="11">
        <x:v>C:\Users\Nomatin\Documents\Altium\MY_LIB\MY_LIB\Datasheets\YAGEO_RC_L.pdf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C:\Users\Nomatin\Documents\Altium\MY_LIB\MY_LIB\Datasheets\YAGEO_RC_L.pdf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https://yageogroup.com/content/datasheet/asset/file/PYU-RC_GROUP_51_ROHS_L</x:v>
      </x:c>
      <x:c xmlns:x="http://schemas.openxmlformats.org/spreadsheetml/2006/main" r="Y149" t="str" s="11">
        <x:v>C:\Users\Nomatin\Documents\Altium\MY_LIB\MY_LIB\Datasheets\YAGEO_RC_L.pdf</x:v>
      </x:c>
    </ns0:row>
    <ns0:row r="150" ht="30" customHeight="1">
      <ns0:c r="A150" t="str" s="10">
        <ns0:v>R0156</ns0:v>
      </ns0:c>
      <ns0:c r="B150" t="str" s="10">
        <ns0:v>Резистор</ns0:v>
      </ns0:c>
      <ns0:c r="C150" t="str" s="10">
        <ns0:v>1.2R</ns0:v>
      </ns0:c>
      <ns0:c r="D150" t="str" s="11">
        <ns0:f>SUBSTITUTE(SUBSTITUTE(SUBSTITUTE(SUBSTITUTE(C150,"meg"," МОм"),"k"," кОм"),"R"," Ом"),".",",")</ns0:f>
        <ns0:v>1,2 Ом</ns0:v>
      </ns0:c>
      <ns0:c r="E150" t="str" s="10">
        <ns0:v>±5%</ns0:v>
      </ns0:c>
      <ns0:c r="F150" t="str" s="10">
        <ns0:v>0,125 Вт</ns0:v>
      </ns0:c>
      <ns0:c r="G150" t="str" s="10">
        <ns0:v>150 В макс.</ns0:v>
      </ns0:c>
      <ns0:c r="H150" t="str" s="12">
        <ns0:v>0805</ns0:v>
      </ns0:c>
      <ns0:c r="I150" t="str" s="10">
        <ns0:v>YAGEO</ns0:v>
      </ns0:c>
      <ns0:c r="J150" t="str" s="10">
        <ns0:v>RC0805JR-071R2L</ns0:v>
      </ns0:c>
      <ns0:c r="K150" t="str" s="11">
        <ns0:f>B150&amp;" "&amp;D150&amp;" "&amp;E150&amp;" "&amp;H150</ns0:f>
        <ns0:v>Резистор 1,2 Ом ±5% 0805</ns0:v>
      </ns0:c>
      <ns0:c r="L150" t="str" s="13">
        <ns0:v>R</ns0:v>
      </ns0:c>
      <ns0:c r="M150" t="str" s="13">
        <ns0:v>Symbols\MY_LIB_Resistors.SchLib</ns0:v>
      </ns0:c>
      <ns0:c r="N150" t="str" s="13">
        <ns0:v>RESC2012X70N</ns0:v>
      </ns0:c>
      <ns0:c r="O150" t="str" s="13">
        <ns0:v>Footprints\PBL - SMD Packages.PcbLib</ns0:v>
      </ns0:c>
      <ns0:c r="P150" t="str" s="10">
        <ns0:v>RC_L; E24; P при 70 °C</ns0:v>
      </ns0:c>
      <ns0:c r="Q150" s="10"/>
      <ns0:c r="R150" t="str" s="11">
        <ns0:f>D150</ns0:f>
        <ns0:v>1,2 Ом</ns0:v>
      </ns0:c>
      <ns0:c r="S150" t="str" s="11">
        <ns0:f>K150</ns0:f>
        <ns0:v>Резистор 1,2 Ом ±5% 0805</ns0:v>
      </ns0:c>
      <x:c xmlns:x="http://schemas.openxmlformats.org/spreadsheetml/2006/main" r="T150" t="str" s="11">
        <x:v>C:\Users\Nomatin\Documents\Altium\MY_LIB\MY_LIB\Datasheets\YAGEO_RC_L.pdf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C:\Users\Nomatin\Documents\Altium\MY_LIB\MY_LIB\Datasheets\YAGEO_RC_L.pdf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https://yageogroup.com/content/datasheet/asset/file/PYU-RC_GROUP_51_ROHS_L</x:v>
      </x:c>
      <x:c xmlns:x="http://schemas.openxmlformats.org/spreadsheetml/2006/main" r="Y150" t="str" s="11">
        <x:v>C:\Users\Nomatin\Documents\Altium\MY_LIB\MY_LIB\Datasheets\YAGEO_RC_L.pdf</x:v>
      </x:c>
    </ns0:row>
    <ns0:row r="151" ht="30" customHeight="1">
      <ns0:c r="A151" t="str" s="10">
        <ns0:v>R0157</ns0:v>
      </ns0:c>
      <ns0:c r="B151" t="str" s="10">
        <ns0:v>Резистор</ns0:v>
      </ns0:c>
      <ns0:c r="C151" t="str" s="10">
        <ns0:v>1.3R</ns0:v>
      </ns0:c>
      <ns0:c r="D151" t="str" s="11">
        <ns0:f>SUBSTITUTE(SUBSTITUTE(SUBSTITUTE(SUBSTITUTE(C151,"meg"," МОм"),"k"," кОм"),"R"," Ом"),".",",")</ns0:f>
        <ns0:v>1,3 Ом</ns0:v>
      </ns0:c>
      <ns0:c r="E151" t="str" s="10">
        <ns0:v>±5%</ns0:v>
      </ns0:c>
      <ns0:c r="F151" t="str" s="10">
        <ns0:v>0,125 Вт</ns0:v>
      </ns0:c>
      <ns0:c r="G151" t="str" s="10">
        <ns0:v>150 В макс.</ns0:v>
      </ns0:c>
      <ns0:c r="H151" t="str" s="12">
        <ns0:v>0805</ns0:v>
      </ns0:c>
      <ns0:c r="I151" t="str" s="10">
        <ns0:v>YAGEO</ns0:v>
      </ns0:c>
      <ns0:c r="J151" t="str" s="10">
        <ns0:v>RC0805JR-071R3L</ns0:v>
      </ns0:c>
      <ns0:c r="K151" t="str" s="11">
        <ns0:f>B151&amp;" "&amp;D151&amp;" "&amp;E151&amp;" "&amp;H151</ns0:f>
        <ns0:v>Резистор 1,3 Ом ±5% 0805</ns0:v>
      </ns0:c>
      <ns0:c r="L151" t="str" s="13">
        <ns0:v>R</ns0:v>
      </ns0:c>
      <ns0:c r="M151" t="str" s="13">
        <ns0:v>Symbols\MY_LIB_Resistors.SchLib</ns0:v>
      </ns0:c>
      <ns0:c r="N151" t="str" s="13">
        <ns0:v>RESC2012X70N</ns0:v>
      </ns0:c>
      <ns0:c r="O151" t="str" s="13">
        <ns0:v>Footprints\PBL - SMD Packages.PcbLib</ns0:v>
      </ns0:c>
      <ns0:c r="P151" t="str" s="10">
        <ns0:v>RC_L; E24; P при 70 °C</ns0:v>
      </ns0:c>
      <ns0:c r="Q151" s="10"/>
      <ns0:c r="R151" t="str" s="11">
        <ns0:f>D151</ns0:f>
        <ns0:v>1,3 Ом</ns0:v>
      </ns0:c>
      <ns0:c r="S151" t="str" s="11">
        <ns0:f>K151</ns0:f>
        <ns0:v>Резистор 1,3 Ом ±5% 0805</ns0:v>
      </ns0:c>
      <x:c xmlns:x="http://schemas.openxmlformats.org/spreadsheetml/2006/main" r="T151" t="str" s="11">
        <x:v>C:\Users\Nomatin\Documents\Altium\MY_LIB\MY_LIB\Datasheets\YAGEO_RC_L.pdf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C:\Users\Nomatin\Documents\Altium\MY_LIB\MY_LIB\Datasheets\YAGEO_RC_L.pdf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https://yageogroup.com/content/datasheet/asset/file/PYU-RC_GROUP_51_ROHS_L</x:v>
      </x:c>
      <x:c xmlns:x="http://schemas.openxmlformats.org/spreadsheetml/2006/main" r="Y151" t="str" s="11">
        <x:v>C:\Users\Nomatin\Documents\Altium\MY_LIB\MY_LIB\Datasheets\YAGEO_RC_L.pdf</x:v>
      </x:c>
    </ns0:row>
    <ns0:row r="152" ht="30" customHeight="1">
      <ns0:c r="A152" t="str" s="10">
        <ns0:v>R0158</ns0:v>
      </ns0:c>
      <ns0:c r="B152" t="str" s="10">
        <ns0:v>Резистор</ns0:v>
      </ns0:c>
      <ns0:c r="C152" t="str" s="10">
        <ns0:v>1.5R</ns0:v>
      </ns0:c>
      <ns0:c r="D152" t="str" s="11">
        <ns0:f>SUBSTITUTE(SUBSTITUTE(SUBSTITUTE(SUBSTITUTE(C152,"meg"," МОм"),"k"," кОм"),"R"," Ом"),".",",")</ns0:f>
        <ns0:v>1,5 Ом</ns0:v>
      </ns0:c>
      <ns0:c r="E152" t="str" s="10">
        <ns0:v>±5%</ns0:v>
      </ns0:c>
      <ns0:c r="F152" t="str" s="10">
        <ns0:v>0,125 Вт</ns0:v>
      </ns0:c>
      <ns0:c r="G152" t="str" s="10">
        <ns0:v>150 В макс.</ns0:v>
      </ns0:c>
      <ns0:c r="H152" t="str" s="12">
        <ns0:v>0805</ns0:v>
      </ns0:c>
      <ns0:c r="I152" t="str" s="10">
        <ns0:v>YAGEO</ns0:v>
      </ns0:c>
      <ns0:c r="J152" t="str" s="10">
        <ns0:v>RC0805JR-071R5L</ns0:v>
      </ns0:c>
      <ns0:c r="K152" t="str" s="11">
        <ns0:f>B152&amp;" "&amp;D152&amp;" "&amp;E152&amp;" "&amp;H152</ns0:f>
        <ns0:v>Резистор 1,5 Ом ±5% 0805</ns0:v>
      </ns0:c>
      <ns0:c r="L152" t="str" s="13">
        <ns0:v>R</ns0:v>
      </ns0:c>
      <ns0:c r="M152" t="str" s="13">
        <ns0:v>Symbols\MY_LIB_Resistors.SchLib</ns0:v>
      </ns0:c>
      <ns0:c r="N152" t="str" s="13">
        <ns0:v>RESC2012X70N</ns0:v>
      </ns0:c>
      <ns0:c r="O152" t="str" s="13">
        <ns0:v>Footprints\PBL - SMD Packages.PcbLib</ns0:v>
      </ns0:c>
      <ns0:c r="P152" t="str" s="10">
        <ns0:v>RC_L; E24; P при 70 °C</ns0:v>
      </ns0:c>
      <ns0:c r="Q152" s="10"/>
      <ns0:c r="R152" t="str" s="11">
        <ns0:f>D152</ns0:f>
        <ns0:v>1,5 Ом</ns0:v>
      </ns0:c>
      <ns0:c r="S152" t="str" s="11">
        <ns0:f>K152</ns0:f>
        <ns0:v>Резистор 1,5 Ом ±5% 0805</ns0:v>
      </ns0:c>
      <x:c xmlns:x="http://schemas.openxmlformats.org/spreadsheetml/2006/main" r="T152" t="str" s="11">
        <x:v>C:\Users\Nomatin\Documents\Altium\MY_LIB\MY_LIB\Datasheets\YAGEO_RC_L.pdf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C:\Users\Nomatin\Documents\Altium\MY_LIB\MY_LIB\Datasheets\YAGEO_RC_L.pdf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https://yageogroup.com/content/datasheet/asset/file/PYU-RC_GROUP_51_ROHS_L</x:v>
      </x:c>
      <x:c xmlns:x="http://schemas.openxmlformats.org/spreadsheetml/2006/main" r="Y152" t="str" s="11">
        <x:v>C:\Users\Nomatin\Documents\Altium\MY_LIB\MY_LIB\Datasheets\YAGEO_RC_L.pdf</x:v>
      </x:c>
    </ns0:row>
    <ns0:row r="153" ht="30" customHeight="1">
      <ns0:c r="A153" t="str" s="10">
        <ns0:v>R0159</ns0:v>
      </ns0:c>
      <ns0:c r="B153" t="str" s="10">
        <ns0:v>Резистор</ns0:v>
      </ns0:c>
      <ns0:c r="C153" t="str" s="10">
        <ns0:v>1.6R</ns0:v>
      </ns0:c>
      <ns0:c r="D153" t="str" s="11">
        <ns0:f>SUBSTITUTE(SUBSTITUTE(SUBSTITUTE(SUBSTITUTE(C153,"meg"," МОм"),"k"," кОм"),"R"," Ом"),".",",")</ns0:f>
        <ns0:v>1,6 Ом</ns0:v>
      </ns0:c>
      <ns0:c r="E153" t="str" s="10">
        <ns0:v>±5%</ns0:v>
      </ns0:c>
      <ns0:c r="F153" t="str" s="10">
        <ns0:v>0,125 Вт</ns0:v>
      </ns0:c>
      <ns0:c r="G153" t="str" s="10">
        <ns0:v>150 В макс.</ns0:v>
      </ns0:c>
      <ns0:c r="H153" t="str" s="12">
        <ns0:v>0805</ns0:v>
      </ns0:c>
      <ns0:c r="I153" t="str" s="10">
        <ns0:v>YAGEO</ns0:v>
      </ns0:c>
      <ns0:c r="J153" t="str" s="10">
        <ns0:v>RC0805JR-071R6L</ns0:v>
      </ns0:c>
      <ns0:c r="K153" t="str" s="11">
        <ns0:f>B153&amp;" "&amp;D153&amp;" "&amp;E153&amp;" "&amp;H153</ns0:f>
        <ns0:v>Резистор 1,6 Ом ±5% 0805</ns0:v>
      </ns0:c>
      <ns0:c r="L153" t="str" s="13">
        <ns0:v>R</ns0:v>
      </ns0:c>
      <ns0:c r="M153" t="str" s="13">
        <ns0:v>Symbols\MY_LIB_Resistors.SchLib</ns0:v>
      </ns0:c>
      <ns0:c r="N153" t="str" s="13">
        <ns0:v>RESC2012X70N</ns0:v>
      </ns0:c>
      <ns0:c r="O153" t="str" s="13">
        <ns0:v>Footprints\PBL - SMD Packages.PcbLib</ns0:v>
      </ns0:c>
      <ns0:c r="P153" t="str" s="10">
        <ns0:v>RC_L; E24; P при 70 °C</ns0:v>
      </ns0:c>
      <ns0:c r="Q153" s="10"/>
      <ns0:c r="R153" t="str" s="11">
        <ns0:f>D153</ns0:f>
        <ns0:v>1,6 Ом</ns0:v>
      </ns0:c>
      <ns0:c r="S153" t="str" s="11">
        <ns0:f>K153</ns0:f>
        <ns0:v>Резистор 1,6 Ом ±5% 0805</ns0:v>
      </ns0:c>
      <x:c xmlns:x="http://schemas.openxmlformats.org/spreadsheetml/2006/main" r="T153" t="str" s="11">
        <x:v>C:\Users\Nomatin\Documents\Altium\MY_LIB\MY_LIB\Datasheets\YAGEO_RC_L.pdf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C:\Users\Nomatin\Documents\Altium\MY_LIB\MY_LIB\Datasheets\YAGEO_RC_L.pdf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https://yageogroup.com/content/datasheet/asset/file/PYU-RC_GROUP_51_ROHS_L</x:v>
      </x:c>
      <x:c xmlns:x="http://schemas.openxmlformats.org/spreadsheetml/2006/main" r="Y153" t="str" s="11">
        <x:v>C:\Users\Nomatin\Documents\Altium\MY_LIB\MY_LIB\Datasheets\YAGEO_RC_L.pdf</x:v>
      </x:c>
    </ns0:row>
    <ns0:row r="154" ht="30" customHeight="1">
      <ns0:c r="A154" t="str" s="10">
        <ns0:v>R0160</ns0:v>
      </ns0:c>
      <ns0:c r="B154" t="str" s="10">
        <ns0:v>Резистор</ns0:v>
      </ns0:c>
      <ns0:c r="C154" t="str" s="10">
        <ns0:v>1.8R</ns0:v>
      </ns0:c>
      <ns0:c r="D154" t="str" s="11">
        <ns0:f>SUBSTITUTE(SUBSTITUTE(SUBSTITUTE(SUBSTITUTE(C154,"meg"," МОм"),"k"," кОм"),"R"," Ом"),".",",")</ns0:f>
        <ns0:v>1,8 Ом</ns0:v>
      </ns0:c>
      <ns0:c r="E154" t="str" s="10">
        <ns0:v>±5%</ns0:v>
      </ns0:c>
      <ns0:c r="F154" t="str" s="10">
        <ns0:v>0,125 Вт</ns0:v>
      </ns0:c>
      <ns0:c r="G154" t="str" s="10">
        <ns0:v>150 В макс.</ns0:v>
      </ns0:c>
      <ns0:c r="H154" t="str" s="12">
        <ns0:v>0805</ns0:v>
      </ns0:c>
      <ns0:c r="I154" t="str" s="10">
        <ns0:v>YAGEO</ns0:v>
      </ns0:c>
      <ns0:c r="J154" t="str" s="10">
        <ns0:v>RC0805JR-071R8L</ns0:v>
      </ns0:c>
      <ns0:c r="K154" t="str" s="11">
        <ns0:f>B154&amp;" "&amp;D154&amp;" "&amp;E154&amp;" "&amp;H154</ns0:f>
        <ns0:v>Резистор 1,8 Ом ±5% 0805</ns0:v>
      </ns0:c>
      <ns0:c r="L154" t="str" s="13">
        <ns0:v>R</ns0:v>
      </ns0:c>
      <ns0:c r="M154" t="str" s="13">
        <ns0:v>Symbols\MY_LIB_Resistors.SchLib</ns0:v>
      </ns0:c>
      <ns0:c r="N154" t="str" s="13">
        <ns0:v>RESC2012X70N</ns0:v>
      </ns0:c>
      <ns0:c r="O154" t="str" s="13">
        <ns0:v>Footprints\PBL - SMD Packages.PcbLib</ns0:v>
      </ns0:c>
      <ns0:c r="P154" t="str" s="10">
        <ns0:v>RC_L; E24; P при 70 °C</ns0:v>
      </ns0:c>
      <ns0:c r="Q154" s="10"/>
      <ns0:c r="R154" t="str" s="11">
        <ns0:f>D154</ns0:f>
        <ns0:v>1,8 Ом</ns0:v>
      </ns0:c>
      <ns0:c r="S154" t="str" s="11">
        <ns0:f>K154</ns0:f>
        <ns0:v>Резистор 1,8 Ом ±5% 0805</ns0:v>
      </ns0:c>
      <x:c xmlns:x="http://schemas.openxmlformats.org/spreadsheetml/2006/main" r="T154" t="str" s="11">
        <x:v>C:\Users\Nomatin\Documents\Altium\MY_LIB\MY_LIB\Datasheets\YAGEO_RC_L.pdf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C:\Users\Nomatin\Documents\Altium\MY_LIB\MY_LIB\Datasheets\YAGEO_RC_L.pdf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https://yageogroup.com/content/datasheet/asset/file/PYU-RC_GROUP_51_ROHS_L</x:v>
      </x:c>
      <x:c xmlns:x="http://schemas.openxmlformats.org/spreadsheetml/2006/main" r="Y154" t="str" s="11">
        <x:v>C:\Users\Nomatin\Documents\Altium\MY_LIB\MY_LIB\Datasheets\YAGEO_RC_L.pdf</x:v>
      </x:c>
    </ns0:row>
    <ns0:row r="155" ht="30" customHeight="1">
      <ns0:c r="A155" t="str" s="10">
        <ns0:v>R0161</ns0:v>
      </ns0:c>
      <ns0:c r="B155" t="str" s="10">
        <ns0:v>Резистор</ns0:v>
      </ns0:c>
      <ns0:c r="C155" t="str" s="10">
        <ns0:v>2R</ns0:v>
      </ns0:c>
      <ns0:c r="D155" t="str" s="11">
        <ns0:f>SUBSTITUTE(SUBSTITUTE(SUBSTITUTE(SUBSTITUTE(C155,"meg"," МОм"),"k"," кОм"),"R"," Ом"),".",",")</ns0:f>
        <ns0:v>2 Ом</ns0:v>
      </ns0:c>
      <ns0:c r="E155" t="str" s="10">
        <ns0:v>±5%</ns0:v>
      </ns0:c>
      <ns0:c r="F155" t="str" s="10">
        <ns0:v>0,125 Вт</ns0:v>
      </ns0:c>
      <ns0:c r="G155" t="str" s="10">
        <ns0:v>150 В макс.</ns0:v>
      </ns0:c>
      <ns0:c r="H155" t="str" s="12">
        <ns0:v>0805</ns0:v>
      </ns0:c>
      <ns0:c r="I155" t="str" s="10">
        <ns0:v>YAGEO</ns0:v>
      </ns0:c>
      <ns0:c r="J155" t="str" s="10">
        <ns0:v>RC0805JR-072RL</ns0:v>
      </ns0:c>
      <ns0:c r="K155" t="str" s="11">
        <ns0:f>B155&amp;" "&amp;D155&amp;" "&amp;E155&amp;" "&amp;H155</ns0:f>
        <ns0:v>Резистор 2 Ом ±5% 0805</ns0:v>
      </ns0:c>
      <ns0:c r="L155" t="str" s="13">
        <ns0:v>R</ns0:v>
      </ns0:c>
      <ns0:c r="M155" t="str" s="13">
        <ns0:v>Symbols\MY_LIB_Resistors.SchLib</ns0:v>
      </ns0:c>
      <ns0:c r="N155" t="str" s="13">
        <ns0:v>RESC2012X70N</ns0:v>
      </ns0:c>
      <ns0:c r="O155" t="str" s="13">
        <ns0:v>Footprints\PBL - SMD Packages.PcbLib</ns0:v>
      </ns0:c>
      <ns0:c r="P155" t="str" s="10">
        <ns0:v>RC_L; E24; P при 70 °C</ns0:v>
      </ns0:c>
      <ns0:c r="Q155" s="10"/>
      <ns0:c r="R155" t="str" s="11">
        <ns0:f>D155</ns0:f>
        <ns0:v>2 Ом</ns0:v>
      </ns0:c>
      <ns0:c r="S155" t="str" s="11">
        <ns0:f>K155</ns0:f>
        <ns0:v>Резистор 2 Ом ±5% 0805</ns0:v>
      </ns0:c>
      <x:c xmlns:x="http://schemas.openxmlformats.org/spreadsheetml/2006/main" r="T155" t="str" s="11">
        <x:v>C:\Users\Nomatin\Documents\Altium\MY_LIB\MY_LIB\Datasheets\YAGEO_RC_L.pdf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C:\Users\Nomatin\Documents\Altium\MY_LIB\MY_LIB\Datasheets\YAGEO_RC_L.pdf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https://yageogroup.com/content/datasheet/asset/file/PYU-RC_GROUP_51_ROHS_L</x:v>
      </x:c>
      <x:c xmlns:x="http://schemas.openxmlformats.org/spreadsheetml/2006/main" r="Y155" t="str" s="11">
        <x:v>C:\Users\Nomatin\Documents\Altium\MY_LIB\MY_LIB\Datasheets\YAGEO_RC_L.pdf</x:v>
      </x:c>
    </ns0:row>
    <ns0:row r="156" ht="30" customHeight="1">
      <ns0:c r="A156" t="str" s="10">
        <ns0:v>R0162</ns0:v>
      </ns0:c>
      <ns0:c r="B156" t="str" s="10">
        <ns0:v>Резистор</ns0:v>
      </ns0:c>
      <ns0:c r="C156" t="str" s="10">
        <ns0:v>2.2R</ns0:v>
      </ns0:c>
      <ns0:c r="D156" t="str" s="11">
        <ns0:f>SUBSTITUTE(SUBSTITUTE(SUBSTITUTE(SUBSTITUTE(C156,"meg"," МОм"),"k"," кОм"),"R"," Ом"),".",",")</ns0:f>
        <ns0:v>2,2 Ом</ns0:v>
      </ns0:c>
      <ns0:c r="E156" t="str" s="10">
        <ns0:v>±5%</ns0:v>
      </ns0:c>
      <ns0:c r="F156" t="str" s="10">
        <ns0:v>0,125 Вт</ns0:v>
      </ns0:c>
      <ns0:c r="G156" t="str" s="10">
        <ns0:v>150 В макс.</ns0:v>
      </ns0:c>
      <ns0:c r="H156" t="str" s="12">
        <ns0:v>0805</ns0:v>
      </ns0:c>
      <ns0:c r="I156" t="str" s="10">
        <ns0:v>YAGEO</ns0:v>
      </ns0:c>
      <ns0:c r="J156" t="str" s="10">
        <ns0:v>RC0805JR-072R2L</ns0:v>
      </ns0:c>
      <ns0:c r="K156" t="str" s="11">
        <ns0:f>B156&amp;" "&amp;D156&amp;" "&amp;E156&amp;" "&amp;H156</ns0:f>
        <ns0:v>Резистор 2,2 Ом ±5% 0805</ns0:v>
      </ns0:c>
      <ns0:c r="L156" t="str" s="13">
        <ns0:v>R</ns0:v>
      </ns0:c>
      <ns0:c r="M156" t="str" s="13">
        <ns0:v>Symbols\MY_LIB_Resistors.SchLib</ns0:v>
      </ns0:c>
      <ns0:c r="N156" t="str" s="13">
        <ns0:v>RESC2012X70N</ns0:v>
      </ns0:c>
      <ns0:c r="O156" t="str" s="13">
        <ns0:v>Footprints\PBL - SMD Packages.PcbLib</ns0:v>
      </ns0:c>
      <ns0:c r="P156" t="str" s="10">
        <ns0:v>RC_L; E24; P при 70 °C</ns0:v>
      </ns0:c>
      <ns0:c r="Q156" s="10"/>
      <ns0:c r="R156" t="str" s="11">
        <ns0:f>D156</ns0:f>
        <ns0:v>2,2 Ом</ns0:v>
      </ns0:c>
      <ns0:c r="S156" t="str" s="11">
        <ns0:f>K156</ns0:f>
        <ns0:v>Резистор 2,2 Ом ±5% 0805</ns0:v>
      </ns0:c>
      <x:c xmlns:x="http://schemas.openxmlformats.org/spreadsheetml/2006/main" r="T156" t="str" s="11">
        <x:v>C:\Users\Nomatin\Documents\Altium\MY_LIB\MY_LIB\Datasheets\YAGEO_RC_L.pdf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C:\Users\Nomatin\Documents\Altium\MY_LIB\MY_LIB\Datasheets\YAGEO_RC_L.pdf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https://yageogroup.com/content/datasheet/asset/file/PYU-RC_GROUP_51_ROHS_L</x:v>
      </x:c>
      <x:c xmlns:x="http://schemas.openxmlformats.org/spreadsheetml/2006/main" r="Y156" t="str" s="11">
        <x:v>C:\Users\Nomatin\Documents\Altium\MY_LIB\MY_LIB\Datasheets\YAGEO_RC_L.pdf</x:v>
      </x:c>
    </ns0:row>
    <ns0:row r="157" ht="30" customHeight="1">
      <ns0:c r="A157" t="str" s="10">
        <ns0:v>R0163</ns0:v>
      </ns0:c>
      <ns0:c r="B157" t="str" s="10">
        <ns0:v>Резистор</ns0:v>
      </ns0:c>
      <ns0:c r="C157" t="str" s="10">
        <ns0:v>2.4R</ns0:v>
      </ns0:c>
      <ns0:c r="D157" t="str" s="11">
        <ns0:f>SUBSTITUTE(SUBSTITUTE(SUBSTITUTE(SUBSTITUTE(C157,"meg"," МОм"),"k"," кОм"),"R"," Ом"),".",",")</ns0:f>
        <ns0:v>2,4 Ом</ns0:v>
      </ns0:c>
      <ns0:c r="E157" t="str" s="10">
        <ns0:v>±5%</ns0:v>
      </ns0:c>
      <ns0:c r="F157" t="str" s="10">
        <ns0:v>0,125 Вт</ns0:v>
      </ns0:c>
      <ns0:c r="G157" t="str" s="10">
        <ns0:v>150 В макс.</ns0:v>
      </ns0:c>
      <ns0:c r="H157" t="str" s="12">
        <ns0:v>0805</ns0:v>
      </ns0:c>
      <ns0:c r="I157" t="str" s="10">
        <ns0:v>YAGEO</ns0:v>
      </ns0:c>
      <ns0:c r="J157" t="str" s="10">
        <ns0:v>RC0805JR-072R4L</ns0:v>
      </ns0:c>
      <ns0:c r="K157" t="str" s="11">
        <ns0:f>B157&amp;" "&amp;D157&amp;" "&amp;E157&amp;" "&amp;H157</ns0:f>
        <ns0:v>Резистор 2,4 Ом ±5% 0805</ns0:v>
      </ns0:c>
      <ns0:c r="L157" t="str" s="13">
        <ns0:v>R</ns0:v>
      </ns0:c>
      <ns0:c r="M157" t="str" s="13">
        <ns0:v>Symbols\MY_LIB_Resistors.SchLib</ns0:v>
      </ns0:c>
      <ns0:c r="N157" t="str" s="13">
        <ns0:v>RESC2012X70N</ns0:v>
      </ns0:c>
      <ns0:c r="O157" t="str" s="13">
        <ns0:v>Footprints\PBL - SMD Packages.PcbLib</ns0:v>
      </ns0:c>
      <ns0:c r="P157" t="str" s="10">
        <ns0:v>RC_L; E24; P при 70 °C</ns0:v>
      </ns0:c>
      <ns0:c r="Q157" s="10"/>
      <ns0:c r="R157" t="str" s="11">
        <ns0:f>D157</ns0:f>
        <ns0:v>2,4 Ом</ns0:v>
      </ns0:c>
      <ns0:c r="S157" t="str" s="11">
        <ns0:f>K157</ns0:f>
        <ns0:v>Резистор 2,4 Ом ±5% 0805</ns0:v>
      </ns0:c>
      <x:c xmlns:x="http://schemas.openxmlformats.org/spreadsheetml/2006/main" r="T157" t="str" s="11">
        <x:v>C:\Users\Nomatin\Documents\Altium\MY_LIB\MY_LIB\Datasheets\YAGEO_RC_L.pdf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C:\Users\Nomatin\Documents\Altium\MY_LIB\MY_LIB\Datasheets\YAGEO_RC_L.pdf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https://yageogroup.com/content/datasheet/asset/file/PYU-RC_GROUP_51_ROHS_L</x:v>
      </x:c>
      <x:c xmlns:x="http://schemas.openxmlformats.org/spreadsheetml/2006/main" r="Y157" t="str" s="11">
        <x:v>C:\Users\Nomatin\Documents\Altium\MY_LIB\MY_LIB\Datasheets\YAGEO_RC_L.pdf</x:v>
      </x:c>
    </ns0:row>
    <ns0:row r="158" ht="30" customHeight="1">
      <ns0:c r="A158" t="str" s="10">
        <ns0:v>R0164</ns0:v>
      </ns0:c>
      <ns0:c r="B158" t="str" s="10">
        <ns0:v>Резистор</ns0:v>
      </ns0:c>
      <ns0:c r="C158" t="str" s="10">
        <ns0:v>2.7R</ns0:v>
      </ns0:c>
      <ns0:c r="D158" t="str" s="11">
        <ns0:f>SUBSTITUTE(SUBSTITUTE(SUBSTITUTE(SUBSTITUTE(C158,"meg"," МОм"),"k"," кОм"),"R"," Ом"),".",",")</ns0:f>
        <ns0:v>2,7 Ом</ns0:v>
      </ns0:c>
      <ns0:c r="E158" t="str" s="10">
        <ns0:v>±5%</ns0:v>
      </ns0:c>
      <ns0:c r="F158" t="str" s="10">
        <ns0:v>0,125 Вт</ns0:v>
      </ns0:c>
      <ns0:c r="G158" t="str" s="10">
        <ns0:v>150 В макс.</ns0:v>
      </ns0:c>
      <ns0:c r="H158" t="str" s="12">
        <ns0:v>0805</ns0:v>
      </ns0:c>
      <ns0:c r="I158" t="str" s="10">
        <ns0:v>YAGEO</ns0:v>
      </ns0:c>
      <ns0:c r="J158" t="str" s="10">
        <ns0:v>RC0805JR-072R7L</ns0:v>
      </ns0:c>
      <ns0:c r="K158" t="str" s="11">
        <ns0:f>B158&amp;" "&amp;D158&amp;" "&amp;E158&amp;" "&amp;H158</ns0:f>
        <ns0:v>Резистор 2,7 Ом ±5% 0805</ns0:v>
      </ns0:c>
      <ns0:c r="L158" t="str" s="13">
        <ns0:v>R</ns0:v>
      </ns0:c>
      <ns0:c r="M158" t="str" s="13">
        <ns0:v>Symbols\MY_LIB_Resistors.SchLib</ns0:v>
      </ns0:c>
      <ns0:c r="N158" t="str" s="13">
        <ns0:v>RESC2012X70N</ns0:v>
      </ns0:c>
      <ns0:c r="O158" t="str" s="13">
        <ns0:v>Footprints\PBL - SMD Packages.PcbLib</ns0:v>
      </ns0:c>
      <ns0:c r="P158" t="str" s="10">
        <ns0:v>RC_L; E24; P при 70 °C</ns0:v>
      </ns0:c>
      <ns0:c r="Q158" s="10"/>
      <ns0:c r="R158" t="str" s="11">
        <ns0:f>D158</ns0:f>
        <ns0:v>2,7 Ом</ns0:v>
      </ns0:c>
      <ns0:c r="S158" t="str" s="11">
        <ns0:f>K158</ns0:f>
        <ns0:v>Резистор 2,7 Ом ±5% 0805</ns0:v>
      </ns0:c>
      <x:c xmlns:x="http://schemas.openxmlformats.org/spreadsheetml/2006/main" r="T158" t="str" s="11">
        <x:v>C:\Users\Nomatin\Documents\Altium\MY_LIB\MY_LIB\Datasheets\YAGEO_RC_L.pdf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C:\Users\Nomatin\Documents\Altium\MY_LIB\MY_LIB\Datasheets\YAGEO_RC_L.pdf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https://yageogroup.com/content/datasheet/asset/file/PYU-RC_GROUP_51_ROHS_L</x:v>
      </x:c>
      <x:c xmlns:x="http://schemas.openxmlformats.org/spreadsheetml/2006/main" r="Y158" t="str" s="11">
        <x:v>C:\Users\Nomatin\Documents\Altium\MY_LIB\MY_LIB\Datasheets\YAGEO_RC_L.pdf</x:v>
      </x:c>
    </ns0:row>
    <ns0:row r="159" ht="30" customHeight="1">
      <ns0:c r="A159" t="str" s="10">
        <ns0:v>R0165</ns0:v>
      </ns0:c>
      <ns0:c r="B159" t="str" s="10">
        <ns0:v>Резистор</ns0:v>
      </ns0:c>
      <ns0:c r="C159" t="str" s="10">
        <ns0:v>3R</ns0:v>
      </ns0:c>
      <ns0:c r="D159" t="str" s="11">
        <ns0:f>SUBSTITUTE(SUBSTITUTE(SUBSTITUTE(SUBSTITUTE(C159,"meg"," МОм"),"k"," кОм"),"R"," Ом"),".",",")</ns0:f>
        <ns0:v>3 Ом</ns0:v>
      </ns0:c>
      <ns0:c r="E159" t="str" s="10">
        <ns0:v>±5%</ns0:v>
      </ns0:c>
      <ns0:c r="F159" t="str" s="10">
        <ns0:v>0,125 Вт</ns0:v>
      </ns0:c>
      <ns0:c r="G159" t="str" s="10">
        <ns0:v>150 В макс.</ns0:v>
      </ns0:c>
      <ns0:c r="H159" t="str" s="12">
        <ns0:v>0805</ns0:v>
      </ns0:c>
      <ns0:c r="I159" t="str" s="10">
        <ns0:v>YAGEO</ns0:v>
      </ns0:c>
      <ns0:c r="J159" t="str" s="10">
        <ns0:v>RC0805JR-073RL</ns0:v>
      </ns0:c>
      <ns0:c r="K159" t="str" s="11">
        <ns0:f>B159&amp;" "&amp;D159&amp;" "&amp;E159&amp;" "&amp;H159</ns0:f>
        <ns0:v>Резистор 3 Ом ±5% 0805</ns0:v>
      </ns0:c>
      <ns0:c r="L159" t="str" s="13">
        <ns0:v>R</ns0:v>
      </ns0:c>
      <ns0:c r="M159" t="str" s="13">
        <ns0:v>Symbols\MY_LIB_Resistors.SchLib</ns0:v>
      </ns0:c>
      <ns0:c r="N159" t="str" s="13">
        <ns0:v>RESC2012X70N</ns0:v>
      </ns0:c>
      <ns0:c r="O159" t="str" s="13">
        <ns0:v>Footprints\PBL - SMD Packages.PcbLib</ns0:v>
      </ns0:c>
      <ns0:c r="P159" t="str" s="10">
        <ns0:v>RC_L; E24; P при 70 °C</ns0:v>
      </ns0:c>
      <ns0:c r="Q159" s="10"/>
      <ns0:c r="R159" t="str" s="11">
        <ns0:f>D159</ns0:f>
        <ns0:v>3 Ом</ns0:v>
      </ns0:c>
      <ns0:c r="S159" t="str" s="11">
        <ns0:f>K159</ns0:f>
        <ns0:v>Резистор 3 Ом ±5% 0805</ns0:v>
      </ns0:c>
      <x:c xmlns:x="http://schemas.openxmlformats.org/spreadsheetml/2006/main" r="T159" t="str" s="11">
        <x:v>C:\Users\Nomatin\Documents\Altium\MY_LIB\MY_LIB\Datasheets\YAGEO_RC_L.pdf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C:\Users\Nomatin\Documents\Altium\MY_LIB\MY_LIB\Datasheets\YAGEO_RC_L.pdf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https://yageogroup.com/content/datasheet/asset/file/PYU-RC_GROUP_51_ROHS_L</x:v>
      </x:c>
      <x:c xmlns:x="http://schemas.openxmlformats.org/spreadsheetml/2006/main" r="Y159" t="str" s="11">
        <x:v>C:\Users\Nomatin\Documents\Altium\MY_LIB\MY_LIB\Datasheets\YAGEO_RC_L.pdf</x:v>
      </x:c>
    </ns0:row>
    <ns0:row r="160" ht="30" customHeight="1">
      <ns0:c r="A160" t="str" s="10">
        <ns0:v>R0166</ns0:v>
      </ns0:c>
      <ns0:c r="B160" t="str" s="10">
        <ns0:v>Резистор</ns0:v>
      </ns0:c>
      <ns0:c r="C160" t="str" s="10">
        <ns0:v>3.3R</ns0:v>
      </ns0:c>
      <ns0:c r="D160" t="str" s="11">
        <ns0:f>SUBSTITUTE(SUBSTITUTE(SUBSTITUTE(SUBSTITUTE(C160,"meg"," МОм"),"k"," кОм"),"R"," Ом"),".",",")</ns0:f>
        <ns0:v>3,3 Ом</ns0:v>
      </ns0:c>
      <ns0:c r="E160" t="str" s="10">
        <ns0:v>±5%</ns0:v>
      </ns0:c>
      <ns0:c r="F160" t="str" s="10">
        <ns0:v>0,125 Вт</ns0:v>
      </ns0:c>
      <ns0:c r="G160" t="str" s="10">
        <ns0:v>150 В макс.</ns0:v>
      </ns0:c>
      <ns0:c r="H160" t="str" s="12">
        <ns0:v>0805</ns0:v>
      </ns0:c>
      <ns0:c r="I160" t="str" s="10">
        <ns0:v>YAGEO</ns0:v>
      </ns0:c>
      <ns0:c r="J160" t="str" s="10">
        <ns0:v>RC0805JR-073R3L</ns0:v>
      </ns0:c>
      <ns0:c r="K160" t="str" s="11">
        <ns0:f>B160&amp;" "&amp;D160&amp;" "&amp;E160&amp;" "&amp;H160</ns0:f>
        <ns0:v>Резистор 3,3 Ом ±5% 0805</ns0:v>
      </ns0:c>
      <ns0:c r="L160" t="str" s="13">
        <ns0:v>R</ns0:v>
      </ns0:c>
      <ns0:c r="M160" t="str" s="13">
        <ns0:v>Symbols\MY_LIB_Resistors.SchLib</ns0:v>
      </ns0:c>
      <ns0:c r="N160" t="str" s="13">
        <ns0:v>RESC2012X70N</ns0:v>
      </ns0:c>
      <ns0:c r="O160" t="str" s="13">
        <ns0:v>Footprints\PBL - SMD Packages.PcbLib</ns0:v>
      </ns0:c>
      <ns0:c r="P160" t="str" s="10">
        <ns0:v>RC_L; E24; P при 70 °C</ns0:v>
      </ns0:c>
      <ns0:c r="Q160" s="10"/>
      <ns0:c r="R160" t="str" s="11">
        <ns0:f>D160</ns0:f>
        <ns0:v>3,3 Ом</ns0:v>
      </ns0:c>
      <ns0:c r="S160" t="str" s="11">
        <ns0:f>K160</ns0:f>
        <ns0:v>Резистор 3,3 Ом ±5% 0805</ns0:v>
      </ns0:c>
      <x:c xmlns:x="http://schemas.openxmlformats.org/spreadsheetml/2006/main" r="T160" t="str" s="11">
        <x:v>C:\Users\Nomatin\Documents\Altium\MY_LIB\MY_LIB\Datasheets\YAGEO_RC_L.pdf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C:\Users\Nomatin\Documents\Altium\MY_LIB\MY_LIB\Datasheets\YAGEO_RC_L.pdf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https://yageogroup.com/content/datasheet/asset/file/PYU-RC_GROUP_51_ROHS_L</x:v>
      </x:c>
      <x:c xmlns:x="http://schemas.openxmlformats.org/spreadsheetml/2006/main" r="Y160" t="str" s="11">
        <x:v>C:\Users\Nomatin\Documents\Altium\MY_LIB\MY_LIB\Datasheets\YAGEO_RC_L.pdf</x:v>
      </x:c>
    </ns0:row>
    <ns0:row r="161" ht="30" customHeight="1">
      <ns0:c r="A161" t="str" s="10">
        <ns0:v>R0167</ns0:v>
      </ns0:c>
      <ns0:c r="B161" t="str" s="10">
        <ns0:v>Резистор</ns0:v>
      </ns0:c>
      <ns0:c r="C161" t="str" s="10">
        <ns0:v>3.6R</ns0:v>
      </ns0:c>
      <ns0:c r="D161" t="str" s="11">
        <ns0:f>SUBSTITUTE(SUBSTITUTE(SUBSTITUTE(SUBSTITUTE(C161,"meg"," МОм"),"k"," кОм"),"R"," Ом"),".",",")</ns0:f>
        <ns0:v>3,6 Ом</ns0:v>
      </ns0:c>
      <ns0:c r="E161" t="str" s="10">
        <ns0:v>±5%</ns0:v>
      </ns0:c>
      <ns0:c r="F161" t="str" s="10">
        <ns0:v>0,125 Вт</ns0:v>
      </ns0:c>
      <ns0:c r="G161" t="str" s="10">
        <ns0:v>150 В макс.</ns0:v>
      </ns0:c>
      <ns0:c r="H161" t="str" s="12">
        <ns0:v>0805</ns0:v>
      </ns0:c>
      <ns0:c r="I161" t="str" s="10">
        <ns0:v>YAGEO</ns0:v>
      </ns0:c>
      <ns0:c r="J161" t="str" s="10">
        <ns0:v>RC0805JR-073R6L</ns0:v>
      </ns0:c>
      <ns0:c r="K161" t="str" s="11">
        <ns0:f>B161&amp;" "&amp;D161&amp;" "&amp;E161&amp;" "&amp;H161</ns0:f>
        <ns0:v>Резистор 3,6 Ом ±5% 0805</ns0:v>
      </ns0:c>
      <ns0:c r="L161" t="str" s="13">
        <ns0:v>R</ns0:v>
      </ns0:c>
      <ns0:c r="M161" t="str" s="13">
        <ns0:v>Symbols\MY_LIB_Resistors.SchLib</ns0:v>
      </ns0:c>
      <ns0:c r="N161" t="str" s="13">
        <ns0:v>RESC2012X70N</ns0:v>
      </ns0:c>
      <ns0:c r="O161" t="str" s="13">
        <ns0:v>Footprints\PBL - SMD Packages.PcbLib</ns0:v>
      </ns0:c>
      <ns0:c r="P161" t="str" s="10">
        <ns0:v>RC_L; E24; P при 70 °C</ns0:v>
      </ns0:c>
      <ns0:c r="Q161" s="10"/>
      <ns0:c r="R161" t="str" s="11">
        <ns0:f>D161</ns0:f>
        <ns0:v>3,6 Ом</ns0:v>
      </ns0:c>
      <ns0:c r="S161" t="str" s="11">
        <ns0:f>K161</ns0:f>
        <ns0:v>Резистор 3,6 Ом ±5% 0805</ns0:v>
      </ns0:c>
      <x:c xmlns:x="http://schemas.openxmlformats.org/spreadsheetml/2006/main" r="T161" t="str" s="11">
        <x:v>C:\Users\Nomatin\Documents\Altium\MY_LIB\MY_LIB\Datasheets\YAGEO_RC_L.pdf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C:\Users\Nomatin\Documents\Altium\MY_LIB\MY_LIB\Datasheets\YAGEO_RC_L.pdf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https://yageogroup.com/content/datasheet/asset/file/PYU-RC_GROUP_51_ROHS_L</x:v>
      </x:c>
      <x:c xmlns:x="http://schemas.openxmlformats.org/spreadsheetml/2006/main" r="Y161" t="str" s="11">
        <x:v>C:\Users\Nomatin\Documents\Altium\MY_LIB\MY_LIB\Datasheets\YAGEO_RC_L.pdf</x:v>
      </x:c>
    </ns0:row>
    <ns0:row r="162" ht="30" customHeight="1">
      <ns0:c r="A162" t="str" s="10">
        <ns0:v>R0168</ns0:v>
      </ns0:c>
      <ns0:c r="B162" t="str" s="10">
        <ns0:v>Резистор</ns0:v>
      </ns0:c>
      <ns0:c r="C162" t="str" s="10">
        <ns0:v>3.9R</ns0:v>
      </ns0:c>
      <ns0:c r="D162" t="str" s="11">
        <ns0:f>SUBSTITUTE(SUBSTITUTE(SUBSTITUTE(SUBSTITUTE(C162,"meg"," МОм"),"k"," кОм"),"R"," Ом"),".",",")</ns0:f>
        <ns0:v>3,9 Ом</ns0:v>
      </ns0:c>
      <ns0:c r="E162" t="str" s="10">
        <ns0:v>±5%</ns0:v>
      </ns0:c>
      <ns0:c r="F162" t="str" s="10">
        <ns0:v>0,125 Вт</ns0:v>
      </ns0:c>
      <ns0:c r="G162" t="str" s="10">
        <ns0:v>150 В макс.</ns0:v>
      </ns0:c>
      <ns0:c r="H162" t="str" s="12">
        <ns0:v>0805</ns0:v>
      </ns0:c>
      <ns0:c r="I162" t="str" s="10">
        <ns0:v>YAGEO</ns0:v>
      </ns0:c>
      <ns0:c r="J162" t="str" s="10">
        <ns0:v>RC0805JR-073R9L</ns0:v>
      </ns0:c>
      <ns0:c r="K162" t="str" s="11">
        <ns0:f>B162&amp;" "&amp;D162&amp;" "&amp;E162&amp;" "&amp;H162</ns0:f>
        <ns0:v>Резистор 3,9 Ом ±5% 0805</ns0:v>
      </ns0:c>
      <ns0:c r="L162" t="str" s="13">
        <ns0:v>R</ns0:v>
      </ns0:c>
      <ns0:c r="M162" t="str" s="13">
        <ns0:v>Symbols\MY_LIB_Resistors.SchLib</ns0:v>
      </ns0:c>
      <ns0:c r="N162" t="str" s="13">
        <ns0:v>RESC2012X70N</ns0:v>
      </ns0:c>
      <ns0:c r="O162" t="str" s="13">
        <ns0:v>Footprints\PBL - SMD Packages.PcbLib</ns0:v>
      </ns0:c>
      <ns0:c r="P162" t="str" s="10">
        <ns0:v>RC_L; E24; P при 70 °C</ns0:v>
      </ns0:c>
      <ns0:c r="Q162" s="10"/>
      <ns0:c r="R162" t="str" s="11">
        <ns0:f>D162</ns0:f>
        <ns0:v>3,9 Ом</ns0:v>
      </ns0:c>
      <ns0:c r="S162" t="str" s="11">
        <ns0:f>K162</ns0:f>
        <ns0:v>Резистор 3,9 Ом ±5% 0805</ns0:v>
      </ns0:c>
      <x:c xmlns:x="http://schemas.openxmlformats.org/spreadsheetml/2006/main" r="T162" t="str" s="11">
        <x:v>C:\Users\Nomatin\Documents\Altium\MY_LIB\MY_LIB\Datasheets\YAGEO_RC_L.pdf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C:\Users\Nomatin\Documents\Altium\MY_LIB\MY_LIB\Datasheets\YAGEO_RC_L.pdf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https://yageogroup.com/content/datasheet/asset/file/PYU-RC_GROUP_51_ROHS_L</x:v>
      </x:c>
      <x:c xmlns:x="http://schemas.openxmlformats.org/spreadsheetml/2006/main" r="Y162" t="str" s="11">
        <x:v>C:\Users\Nomatin\Documents\Altium\MY_LIB\MY_LIB\Datasheets\YAGEO_RC_L.pdf</x:v>
      </x:c>
    </ns0:row>
    <ns0:row r="163" ht="30" customHeight="1">
      <ns0:c r="A163" t="str" s="10">
        <ns0:v>R0169</ns0:v>
      </ns0:c>
      <ns0:c r="B163" t="str" s="10">
        <ns0:v>Резистор</ns0:v>
      </ns0:c>
      <ns0:c r="C163" t="str" s="10">
        <ns0:v>4.3R</ns0:v>
      </ns0:c>
      <ns0:c r="D163" t="str" s="11">
        <ns0:f>SUBSTITUTE(SUBSTITUTE(SUBSTITUTE(SUBSTITUTE(C163,"meg"," МОм"),"k"," кОм"),"R"," Ом"),".",",")</ns0:f>
        <ns0:v>4,3 Ом</ns0:v>
      </ns0:c>
      <ns0:c r="E163" t="str" s="10">
        <ns0:v>±5%</ns0:v>
      </ns0:c>
      <ns0:c r="F163" t="str" s="10">
        <ns0:v>0,125 Вт</ns0:v>
      </ns0:c>
      <ns0:c r="G163" t="str" s="10">
        <ns0:v>150 В макс.</ns0:v>
      </ns0:c>
      <ns0:c r="H163" t="str" s="12">
        <ns0:v>0805</ns0:v>
      </ns0:c>
      <ns0:c r="I163" t="str" s="10">
        <ns0:v>YAGEO</ns0:v>
      </ns0:c>
      <ns0:c r="J163" t="str" s="10">
        <ns0:v>RC0805JR-074R3L</ns0:v>
      </ns0:c>
      <ns0:c r="K163" t="str" s="11">
        <ns0:f>B163&amp;" "&amp;D163&amp;" "&amp;E163&amp;" "&amp;H163</ns0:f>
        <ns0:v>Резистор 4,3 Ом ±5% 0805</ns0:v>
      </ns0:c>
      <ns0:c r="L163" t="str" s="13">
        <ns0:v>R</ns0:v>
      </ns0:c>
      <ns0:c r="M163" t="str" s="13">
        <ns0:v>Symbols\MY_LIB_Resistors.SchLib</ns0:v>
      </ns0:c>
      <ns0:c r="N163" t="str" s="13">
        <ns0:v>RESC2012X70N</ns0:v>
      </ns0:c>
      <ns0:c r="O163" t="str" s="13">
        <ns0:v>Footprints\PBL - SMD Packages.PcbLib</ns0:v>
      </ns0:c>
      <ns0:c r="P163" t="str" s="10">
        <ns0:v>RC_L; E24; P при 70 °C</ns0:v>
      </ns0:c>
      <ns0:c r="Q163" s="10"/>
      <ns0:c r="R163" t="str" s="11">
        <ns0:f>D163</ns0:f>
        <ns0:v>4,3 Ом</ns0:v>
      </ns0:c>
      <ns0:c r="S163" t="str" s="11">
        <ns0:f>K163</ns0:f>
        <ns0:v>Резистор 4,3 Ом ±5% 0805</ns0:v>
      </ns0:c>
      <x:c xmlns:x="http://schemas.openxmlformats.org/spreadsheetml/2006/main" r="T163" t="str" s="11">
        <x:v>C:\Users\Nomatin\Documents\Altium\MY_LIB\MY_LIB\Datasheets\YAGEO_RC_L.pdf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C:\Users\Nomatin\Documents\Altium\MY_LIB\MY_LIB\Datasheets\YAGEO_RC_L.pdf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https://yageogroup.com/content/datasheet/asset/file/PYU-RC_GROUP_51_ROHS_L</x:v>
      </x:c>
      <x:c xmlns:x="http://schemas.openxmlformats.org/spreadsheetml/2006/main" r="Y163" t="str" s="11">
        <x:v>C:\Users\Nomatin\Documents\Altium\MY_LIB\MY_LIB\Datasheets\YAGEO_RC_L.pdf</x:v>
      </x:c>
    </ns0:row>
    <ns0:row r="164" ht="30" customHeight="1">
      <ns0:c r="A164" t="str" s="10">
        <ns0:v>R0170</ns0:v>
      </ns0:c>
      <ns0:c r="B164" t="str" s="10">
        <ns0:v>Резистор</ns0:v>
      </ns0:c>
      <ns0:c r="C164" t="str" s="10">
        <ns0:v>4.7R</ns0:v>
      </ns0:c>
      <ns0:c r="D164" t="str" s="11">
        <ns0:f>SUBSTITUTE(SUBSTITUTE(SUBSTITUTE(SUBSTITUTE(C164,"meg"," МОм"),"k"," кОм"),"R"," Ом"),".",",")</ns0:f>
        <ns0:v>4,7 Ом</ns0:v>
      </ns0:c>
      <ns0:c r="E164" t="str" s="10">
        <ns0:v>±5%</ns0:v>
      </ns0:c>
      <ns0:c r="F164" t="str" s="10">
        <ns0:v>0,125 Вт</ns0:v>
      </ns0:c>
      <ns0:c r="G164" t="str" s="10">
        <ns0:v>150 В макс.</ns0:v>
      </ns0:c>
      <ns0:c r="H164" t="str" s="12">
        <ns0:v>0805</ns0:v>
      </ns0:c>
      <ns0:c r="I164" t="str" s="10">
        <ns0:v>YAGEO</ns0:v>
      </ns0:c>
      <ns0:c r="J164" t="str" s="10">
        <ns0:v>RC0805JR-074R7L</ns0:v>
      </ns0:c>
      <ns0:c r="K164" t="str" s="11">
        <ns0:f>B164&amp;" "&amp;D164&amp;" "&amp;E164&amp;" "&amp;H164</ns0:f>
        <ns0:v>Резистор 4,7 Ом ±5% 0805</ns0:v>
      </ns0:c>
      <ns0:c r="L164" t="str" s="13">
        <ns0:v>R</ns0:v>
      </ns0:c>
      <ns0:c r="M164" t="str" s="13">
        <ns0:v>Symbols\MY_LIB_Resistors.SchLib</ns0:v>
      </ns0:c>
      <ns0:c r="N164" t="str" s="13">
        <ns0:v>RESC2012X70N</ns0:v>
      </ns0:c>
      <ns0:c r="O164" t="str" s="13">
        <ns0:v>Footprints\PBL - SMD Packages.PcbLib</ns0:v>
      </ns0:c>
      <ns0:c r="P164" t="str" s="10">
        <ns0:v>RC_L; E24; P при 70 °C</ns0:v>
      </ns0:c>
      <ns0:c r="Q164" s="10"/>
      <ns0:c r="R164" t="str" s="11">
        <ns0:f>D164</ns0:f>
        <ns0:v>4,7 Ом</ns0:v>
      </ns0:c>
      <ns0:c r="S164" t="str" s="11">
        <ns0:f>K164</ns0:f>
        <ns0:v>Резистор 4,7 Ом ±5% 0805</ns0:v>
      </ns0:c>
      <x:c xmlns:x="http://schemas.openxmlformats.org/spreadsheetml/2006/main" r="T164" t="str" s="11">
        <x:v>C:\Users\Nomatin\Documents\Altium\MY_LIB\MY_LIB\Datasheets\YAGEO_RC_L.pdf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C:\Users\Nomatin\Documents\Altium\MY_LIB\MY_LIB\Datasheets\YAGEO_RC_L.pdf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https://yageogroup.com/content/datasheet/asset/file/PYU-RC_GROUP_51_ROHS_L</x:v>
      </x:c>
      <x:c xmlns:x="http://schemas.openxmlformats.org/spreadsheetml/2006/main" r="Y164" t="str" s="11">
        <x:v>C:\Users\Nomatin\Documents\Altium\MY_LIB\MY_LIB\Datasheets\YAGEO_RC_L.pdf</x:v>
      </x:c>
    </ns0:row>
    <ns0:row r="165" ht="30" customHeight="1">
      <ns0:c r="A165" t="str" s="10">
        <ns0:v>R0171</ns0:v>
      </ns0:c>
      <ns0:c r="B165" t="str" s="10">
        <ns0:v>Резистор</ns0:v>
      </ns0:c>
      <ns0:c r="C165" t="str" s="10">
        <ns0:v>5.1R</ns0:v>
      </ns0:c>
      <ns0:c r="D165" t="str" s="11">
        <ns0:f>SUBSTITUTE(SUBSTITUTE(SUBSTITUTE(SUBSTITUTE(C165,"meg"," МОм"),"k"," кОм"),"R"," Ом"),".",",")</ns0:f>
        <ns0:v>5,1 Ом</ns0:v>
      </ns0:c>
      <ns0:c r="E165" t="str" s="10">
        <ns0:v>±5%</ns0:v>
      </ns0:c>
      <ns0:c r="F165" t="str" s="10">
        <ns0:v>0,125 Вт</ns0:v>
      </ns0:c>
      <ns0:c r="G165" t="str" s="10">
        <ns0:v>150 В макс.</ns0:v>
      </ns0:c>
      <ns0:c r="H165" t="str" s="12">
        <ns0:v>0805</ns0:v>
      </ns0:c>
      <ns0:c r="I165" t="str" s="10">
        <ns0:v>YAGEO</ns0:v>
      </ns0:c>
      <ns0:c r="J165" t="str" s="10">
        <ns0:v>RC0805JR-075R1L</ns0:v>
      </ns0:c>
      <ns0:c r="K165" t="str" s="11">
        <ns0:f>B165&amp;" "&amp;D165&amp;" "&amp;E165&amp;" "&amp;H165</ns0:f>
        <ns0:v>Резистор 5,1 Ом ±5% 0805</ns0:v>
      </ns0:c>
      <ns0:c r="L165" t="str" s="13">
        <ns0:v>R</ns0:v>
      </ns0:c>
      <ns0:c r="M165" t="str" s="13">
        <ns0:v>Symbols\MY_LIB_Resistors.SchLib</ns0:v>
      </ns0:c>
      <ns0:c r="N165" t="str" s="13">
        <ns0:v>RESC2012X70N</ns0:v>
      </ns0:c>
      <ns0:c r="O165" t="str" s="13">
        <ns0:v>Footprints\PBL - SMD Packages.PcbLib</ns0:v>
      </ns0:c>
      <ns0:c r="P165" t="str" s="10">
        <ns0:v>RC_L; E24; P при 70 °C</ns0:v>
      </ns0:c>
      <ns0:c r="Q165" s="10"/>
      <ns0:c r="R165" t="str" s="11">
        <ns0:f>D165</ns0:f>
        <ns0:v>5,1 Ом</ns0:v>
      </ns0:c>
      <ns0:c r="S165" t="str" s="11">
        <ns0:f>K165</ns0:f>
        <ns0:v>Резистор 5,1 Ом ±5% 0805</ns0:v>
      </ns0:c>
      <x:c xmlns:x="http://schemas.openxmlformats.org/spreadsheetml/2006/main" r="T165" t="str" s="11">
        <x:v>C:\Users\Nomatin\Documents\Altium\MY_LIB\MY_LIB\Datasheets\YAGEO_RC_L.pdf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C:\Users\Nomatin\Documents\Altium\MY_LIB\MY_LIB\Datasheets\YAGEO_RC_L.pdf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https://yageogroup.com/content/datasheet/asset/file/PYU-RC_GROUP_51_ROHS_L</x:v>
      </x:c>
      <x:c xmlns:x="http://schemas.openxmlformats.org/spreadsheetml/2006/main" r="Y165" t="str" s="11">
        <x:v>C:\Users\Nomatin\Documents\Altium\MY_LIB\MY_LIB\Datasheets\YAGEO_RC_L.pdf</x:v>
      </x:c>
    </ns0:row>
    <ns0:row r="166" ht="30" customHeight="1">
      <ns0:c r="A166" t="str" s="10">
        <ns0:v>R0172</ns0:v>
      </ns0:c>
      <ns0:c r="B166" t="str" s="10">
        <ns0:v>Резистор</ns0:v>
      </ns0:c>
      <ns0:c r="C166" t="str" s="10">
        <ns0:v>5.6R</ns0:v>
      </ns0:c>
      <ns0:c r="D166" t="str" s="11">
        <ns0:f>SUBSTITUTE(SUBSTITUTE(SUBSTITUTE(SUBSTITUTE(C166,"meg"," МОм"),"k"," кОм"),"R"," Ом"),".",",")</ns0:f>
        <ns0:v>5,6 Ом</ns0:v>
      </ns0:c>
      <ns0:c r="E166" t="str" s="10">
        <ns0:v>±5%</ns0:v>
      </ns0:c>
      <ns0:c r="F166" t="str" s="10">
        <ns0:v>0,125 Вт</ns0:v>
      </ns0:c>
      <ns0:c r="G166" t="str" s="10">
        <ns0:v>150 В макс.</ns0:v>
      </ns0:c>
      <ns0:c r="H166" t="str" s="12">
        <ns0:v>0805</ns0:v>
      </ns0:c>
      <ns0:c r="I166" t="str" s="10">
        <ns0:v>YAGEO</ns0:v>
      </ns0:c>
      <ns0:c r="J166" t="str" s="10">
        <ns0:v>RC0805JR-075R6L</ns0:v>
      </ns0:c>
      <ns0:c r="K166" t="str" s="11">
        <ns0:f>B166&amp;" "&amp;D166&amp;" "&amp;E166&amp;" "&amp;H166</ns0:f>
        <ns0:v>Резистор 5,6 Ом ±5% 0805</ns0:v>
      </ns0:c>
      <ns0:c r="L166" t="str" s="13">
        <ns0:v>R</ns0:v>
      </ns0:c>
      <ns0:c r="M166" t="str" s="13">
        <ns0:v>Symbols\MY_LIB_Resistors.SchLib</ns0:v>
      </ns0:c>
      <ns0:c r="N166" t="str" s="13">
        <ns0:v>RESC2012X70N</ns0:v>
      </ns0:c>
      <ns0:c r="O166" t="str" s="13">
        <ns0:v>Footprints\PBL - SMD Packages.PcbLib</ns0:v>
      </ns0:c>
      <ns0:c r="P166" t="str" s="10">
        <ns0:v>RC_L; E24; P при 70 °C</ns0:v>
      </ns0:c>
      <ns0:c r="Q166" s="10"/>
      <ns0:c r="R166" t="str" s="11">
        <ns0:f>D166</ns0:f>
        <ns0:v>5,6 Ом</ns0:v>
      </ns0:c>
      <ns0:c r="S166" t="str" s="11">
        <ns0:f>K166</ns0:f>
        <ns0:v>Резистор 5,6 Ом ±5% 0805</ns0:v>
      </ns0:c>
      <x:c xmlns:x="http://schemas.openxmlformats.org/spreadsheetml/2006/main" r="T166" t="str" s="11">
        <x:v>C:\Users\Nomatin\Documents\Altium\MY_LIB\MY_LIB\Datasheets\YAGEO_RC_L.pdf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C:\Users\Nomatin\Documents\Altium\MY_LIB\MY_LIB\Datasheets\YAGEO_RC_L.pdf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https://yageogroup.com/content/datasheet/asset/file/PYU-RC_GROUP_51_ROHS_L</x:v>
      </x:c>
      <x:c xmlns:x="http://schemas.openxmlformats.org/spreadsheetml/2006/main" r="Y166" t="str" s="11">
        <x:v>C:\Users\Nomatin\Documents\Altium\MY_LIB\MY_LIB\Datasheets\YAGEO_RC_L.pdf</x:v>
      </x:c>
    </ns0:row>
    <ns0:row r="167" ht="30" customHeight="1">
      <ns0:c r="A167" t="str" s="10">
        <ns0:v>R0173</ns0:v>
      </ns0:c>
      <ns0:c r="B167" t="str" s="10">
        <ns0:v>Резистор</ns0:v>
      </ns0:c>
      <ns0:c r="C167" t="str" s="10">
        <ns0:v>6.2R</ns0:v>
      </ns0:c>
      <ns0:c r="D167" t="str" s="11">
        <ns0:f>SUBSTITUTE(SUBSTITUTE(SUBSTITUTE(SUBSTITUTE(C167,"meg"," МОм"),"k"," кОм"),"R"," Ом"),".",",")</ns0:f>
        <ns0:v>6,2 Ом</ns0:v>
      </ns0:c>
      <ns0:c r="E167" t="str" s="10">
        <ns0:v>±5%</ns0:v>
      </ns0:c>
      <ns0:c r="F167" t="str" s="10">
        <ns0:v>0,125 Вт</ns0:v>
      </ns0:c>
      <ns0:c r="G167" t="str" s="10">
        <ns0:v>150 В макс.</ns0:v>
      </ns0:c>
      <ns0:c r="H167" t="str" s="12">
        <ns0:v>0805</ns0:v>
      </ns0:c>
      <ns0:c r="I167" t="str" s="10">
        <ns0:v>YAGEO</ns0:v>
      </ns0:c>
      <ns0:c r="J167" t="str" s="10">
        <ns0:v>RC0805JR-076R2L</ns0:v>
      </ns0:c>
      <ns0:c r="K167" t="str" s="11">
        <ns0:f>B167&amp;" "&amp;D167&amp;" "&amp;E167&amp;" "&amp;H167</ns0:f>
        <ns0:v>Резистор 6,2 Ом ±5% 0805</ns0:v>
      </ns0:c>
      <ns0:c r="L167" t="str" s="13">
        <ns0:v>R</ns0:v>
      </ns0:c>
      <ns0:c r="M167" t="str" s="13">
        <ns0:v>Symbols\MY_LIB_Resistors.SchLib</ns0:v>
      </ns0:c>
      <ns0:c r="N167" t="str" s="13">
        <ns0:v>RESC2012X70N</ns0:v>
      </ns0:c>
      <ns0:c r="O167" t="str" s="13">
        <ns0:v>Footprints\PBL - SMD Packages.PcbLib</ns0:v>
      </ns0:c>
      <ns0:c r="P167" t="str" s="10">
        <ns0:v>RC_L; E24; P при 70 °C</ns0:v>
      </ns0:c>
      <ns0:c r="Q167" s="10"/>
      <ns0:c r="R167" t="str" s="11">
        <ns0:f>D167</ns0:f>
        <ns0:v>6,2 Ом</ns0:v>
      </ns0:c>
      <ns0:c r="S167" t="str" s="11">
        <ns0:f>K167</ns0:f>
        <ns0:v>Резистор 6,2 Ом ±5% 0805</ns0:v>
      </ns0:c>
      <x:c xmlns:x="http://schemas.openxmlformats.org/spreadsheetml/2006/main" r="T167" t="str" s="11">
        <x:v>C:\Users\Nomatin\Documents\Altium\MY_LIB\MY_LIB\Datasheets\YAGEO_RC_L.pdf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C:\Users\Nomatin\Documents\Altium\MY_LIB\MY_LIB\Datasheets\YAGEO_RC_L.pdf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https://yageogroup.com/content/datasheet/asset/file/PYU-RC_GROUP_51_ROHS_L</x:v>
      </x:c>
      <x:c xmlns:x="http://schemas.openxmlformats.org/spreadsheetml/2006/main" r="Y167" t="str" s="11">
        <x:v>C:\Users\Nomatin\Documents\Altium\MY_LIB\MY_LIB\Datasheets\YAGEO_RC_L.pdf</x:v>
      </x:c>
    </ns0:row>
    <ns0:row r="168" ht="30" customHeight="1">
      <ns0:c r="A168" t="str" s="10">
        <ns0:v>R0174</ns0:v>
      </ns0:c>
      <ns0:c r="B168" t="str" s="10">
        <ns0:v>Резистор</ns0:v>
      </ns0:c>
      <ns0:c r="C168" t="str" s="10">
        <ns0:v>6.8R</ns0:v>
      </ns0:c>
      <ns0:c r="D168" t="str" s="11">
        <ns0:f>SUBSTITUTE(SUBSTITUTE(SUBSTITUTE(SUBSTITUTE(C168,"meg"," МОм"),"k"," кОм"),"R"," Ом"),".",",")</ns0:f>
        <ns0:v>6,8 Ом</ns0:v>
      </ns0:c>
      <ns0:c r="E168" t="str" s="10">
        <ns0:v>±5%</ns0:v>
      </ns0:c>
      <ns0:c r="F168" t="str" s="10">
        <ns0:v>0,125 Вт</ns0:v>
      </ns0:c>
      <ns0:c r="G168" t="str" s="10">
        <ns0:v>150 В макс.</ns0:v>
      </ns0:c>
      <ns0:c r="H168" t="str" s="12">
        <ns0:v>0805</ns0:v>
      </ns0:c>
      <ns0:c r="I168" t="str" s="10">
        <ns0:v>YAGEO</ns0:v>
      </ns0:c>
      <ns0:c r="J168" t="str" s="10">
        <ns0:v>RC0805JR-076R8L</ns0:v>
      </ns0:c>
      <ns0:c r="K168" t="str" s="11">
        <ns0:f>B168&amp;" "&amp;D168&amp;" "&amp;E168&amp;" "&amp;H168</ns0:f>
        <ns0:v>Резистор 6,8 Ом ±5% 0805</ns0:v>
      </ns0:c>
      <ns0:c r="L168" t="str" s="13">
        <ns0:v>R</ns0:v>
      </ns0:c>
      <ns0:c r="M168" t="str" s="13">
        <ns0:v>Symbols\MY_LIB_Resistors.SchLib</ns0:v>
      </ns0:c>
      <ns0:c r="N168" t="str" s="13">
        <ns0:v>RESC2012X70N</ns0:v>
      </ns0:c>
      <ns0:c r="O168" t="str" s="13">
        <ns0:v>Footprints\PBL - SMD Packages.PcbLib</ns0:v>
      </ns0:c>
      <ns0:c r="P168" t="str" s="10">
        <ns0:v>RC_L; E24; P при 70 °C</ns0:v>
      </ns0:c>
      <ns0:c r="Q168" s="10"/>
      <ns0:c r="R168" t="str" s="11">
        <ns0:f>D168</ns0:f>
        <ns0:v>6,8 Ом</ns0:v>
      </ns0:c>
      <ns0:c r="S168" t="str" s="11">
        <ns0:f>K168</ns0:f>
        <ns0:v>Резистор 6,8 Ом ±5% 0805</ns0:v>
      </ns0:c>
      <x:c xmlns:x="http://schemas.openxmlformats.org/spreadsheetml/2006/main" r="T168" t="str" s="11">
        <x:v>C:\Users\Nomatin\Documents\Altium\MY_LIB\MY_LIB\Datasheets\YAGEO_RC_L.pdf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C:\Users\Nomatin\Documents\Altium\MY_LIB\MY_LIB\Datasheets\YAGEO_RC_L.pdf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https://yageogroup.com/content/datasheet/asset/file/PYU-RC_GROUP_51_ROHS_L</x:v>
      </x:c>
      <x:c xmlns:x="http://schemas.openxmlformats.org/spreadsheetml/2006/main" r="Y168" t="str" s="11">
        <x:v>C:\Users\Nomatin\Documents\Altium\MY_LIB\MY_LIB\Datasheets\YAGEO_RC_L.pdf</x:v>
      </x:c>
    </ns0:row>
    <ns0:row r="169" ht="30" customHeight="1">
      <ns0:c r="A169" t="str" s="10">
        <ns0:v>R0175</ns0:v>
      </ns0:c>
      <ns0:c r="B169" t="str" s="10">
        <ns0:v>Резистор</ns0:v>
      </ns0:c>
      <ns0:c r="C169" t="str" s="10">
        <ns0:v>7.5R</ns0:v>
      </ns0:c>
      <ns0:c r="D169" t="str" s="11">
        <ns0:f>SUBSTITUTE(SUBSTITUTE(SUBSTITUTE(SUBSTITUTE(C169,"meg"," МОм"),"k"," кОм"),"R"," Ом"),".",",")</ns0:f>
        <ns0:v>7,5 Ом</ns0:v>
      </ns0:c>
      <ns0:c r="E169" t="str" s="10">
        <ns0:v>±5%</ns0:v>
      </ns0:c>
      <ns0:c r="F169" t="str" s="10">
        <ns0:v>0,125 Вт</ns0:v>
      </ns0:c>
      <ns0:c r="G169" t="str" s="10">
        <ns0:v>150 В макс.</ns0:v>
      </ns0:c>
      <ns0:c r="H169" t="str" s="12">
        <ns0:v>0805</ns0:v>
      </ns0:c>
      <ns0:c r="I169" t="str" s="10">
        <ns0:v>YAGEO</ns0:v>
      </ns0:c>
      <ns0:c r="J169" t="str" s="10">
        <ns0:v>RC0805JR-077R5L</ns0:v>
      </ns0:c>
      <ns0:c r="K169" t="str" s="11">
        <ns0:f>B169&amp;" "&amp;D169&amp;" "&amp;E169&amp;" "&amp;H169</ns0:f>
        <ns0:v>Резистор 7,5 Ом ±5% 0805</ns0:v>
      </ns0:c>
      <ns0:c r="L169" t="str" s="13">
        <ns0:v>R</ns0:v>
      </ns0:c>
      <ns0:c r="M169" t="str" s="13">
        <ns0:v>Symbols\MY_LIB_Resistors.SchLib</ns0:v>
      </ns0:c>
      <ns0:c r="N169" t="str" s="13">
        <ns0:v>RESC2012X70N</ns0:v>
      </ns0:c>
      <ns0:c r="O169" t="str" s="13">
        <ns0:v>Footprints\PBL - SMD Packages.PcbLib</ns0:v>
      </ns0:c>
      <ns0:c r="P169" t="str" s="10">
        <ns0:v>RC_L; E24; P при 70 °C</ns0:v>
      </ns0:c>
      <ns0:c r="Q169" s="10"/>
      <ns0:c r="R169" t="str" s="11">
        <ns0:f>D169</ns0:f>
        <ns0:v>7,5 Ом</ns0:v>
      </ns0:c>
      <ns0:c r="S169" t="str" s="11">
        <ns0:f>K169</ns0:f>
        <ns0:v>Резистор 7,5 Ом ±5% 0805</ns0:v>
      </ns0:c>
      <x:c xmlns:x="http://schemas.openxmlformats.org/spreadsheetml/2006/main" r="T169" t="str" s="11">
        <x:v>C:\Users\Nomatin\Documents\Altium\MY_LIB\MY_LIB\Datasheets\YAGEO_RC_L.pdf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C:\Users\Nomatin\Documents\Altium\MY_LIB\MY_LIB\Datasheets\YAGEO_RC_L.pdf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https://yageogroup.com/content/datasheet/asset/file/PYU-RC_GROUP_51_ROHS_L</x:v>
      </x:c>
      <x:c xmlns:x="http://schemas.openxmlformats.org/spreadsheetml/2006/main" r="Y169" t="str" s="11">
        <x:v>C:\Users\Nomatin\Documents\Altium\MY_LIB\MY_LIB\Datasheets\YAGEO_RC_L.pdf</x:v>
      </x:c>
    </ns0:row>
    <ns0:row r="170" ht="30" customHeight="1">
      <ns0:c r="A170" t="str" s="10">
        <ns0:v>R0176</ns0:v>
      </ns0:c>
      <ns0:c r="B170" t="str" s="10">
        <ns0:v>Резистор</ns0:v>
      </ns0:c>
      <ns0:c r="C170" t="str" s="10">
        <ns0:v>8.2R</ns0:v>
      </ns0:c>
      <ns0:c r="D170" t="str" s="11">
        <ns0:f>SUBSTITUTE(SUBSTITUTE(SUBSTITUTE(SUBSTITUTE(C170,"meg"," МОм"),"k"," кОм"),"R"," Ом"),".",",")</ns0:f>
        <ns0:v>8,2 Ом</ns0:v>
      </ns0:c>
      <ns0:c r="E170" t="str" s="10">
        <ns0:v>±5%</ns0:v>
      </ns0:c>
      <ns0:c r="F170" t="str" s="10">
        <ns0:v>0,125 Вт</ns0:v>
      </ns0:c>
      <ns0:c r="G170" t="str" s="10">
        <ns0:v>150 В макс.</ns0:v>
      </ns0:c>
      <ns0:c r="H170" t="str" s="12">
        <ns0:v>0805</ns0:v>
      </ns0:c>
      <ns0:c r="I170" t="str" s="10">
        <ns0:v>YAGEO</ns0:v>
      </ns0:c>
      <ns0:c r="J170" t="str" s="10">
        <ns0:v>RC0805JR-078R2L</ns0:v>
      </ns0:c>
      <ns0:c r="K170" t="str" s="11">
        <ns0:f>B170&amp;" "&amp;D170&amp;" "&amp;E170&amp;" "&amp;H170</ns0:f>
        <ns0:v>Резистор 8,2 Ом ±5% 0805</ns0:v>
      </ns0:c>
      <ns0:c r="L170" t="str" s="13">
        <ns0:v>R</ns0:v>
      </ns0:c>
      <ns0:c r="M170" t="str" s="13">
        <ns0:v>Symbols\MY_LIB_Resistors.SchLib</ns0:v>
      </ns0:c>
      <ns0:c r="N170" t="str" s="13">
        <ns0:v>RESC2012X70N</ns0:v>
      </ns0:c>
      <ns0:c r="O170" t="str" s="13">
        <ns0:v>Footprints\PBL - SMD Packages.PcbLib</ns0:v>
      </ns0:c>
      <ns0:c r="P170" t="str" s="10">
        <ns0:v>RC_L; E24; P при 70 °C</ns0:v>
      </ns0:c>
      <ns0:c r="Q170" s="10"/>
      <ns0:c r="R170" t="str" s="11">
        <ns0:f>D170</ns0:f>
        <ns0:v>8,2 Ом</ns0:v>
      </ns0:c>
      <ns0:c r="S170" t="str" s="11">
        <ns0:f>K170</ns0:f>
        <ns0:v>Резистор 8,2 Ом ±5% 0805</ns0:v>
      </ns0:c>
      <x:c xmlns:x="http://schemas.openxmlformats.org/spreadsheetml/2006/main" r="T170" t="str" s="11">
        <x:v>C:\Users\Nomatin\Documents\Altium\MY_LIB\MY_LIB\Datasheets\YAGEO_RC_L.pdf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C:\Users\Nomatin\Documents\Altium\MY_LIB\MY_LIB\Datasheets\YAGEO_RC_L.pdf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https://yageogroup.com/content/datasheet/asset/file/PYU-RC_GROUP_51_ROHS_L</x:v>
      </x:c>
      <x:c xmlns:x="http://schemas.openxmlformats.org/spreadsheetml/2006/main" r="Y170" t="str" s="11">
        <x:v>C:\Users\Nomatin\Documents\Altium\MY_LIB\MY_LIB\Datasheets\YAGEO_RC_L.pdf</x:v>
      </x:c>
    </ns0:row>
    <ns0:row r="171" ht="30" customHeight="1">
      <ns0:c r="A171" t="str" s="10">
        <ns0:v>R0177</ns0:v>
      </ns0:c>
      <ns0:c r="B171" t="str" s="10">
        <ns0:v>Резистор</ns0:v>
      </ns0:c>
      <ns0:c r="C171" t="str" s="10">
        <ns0:v>9.1R</ns0:v>
      </ns0:c>
      <ns0:c r="D171" t="str" s="11">
        <ns0:f>SUBSTITUTE(SUBSTITUTE(SUBSTITUTE(SUBSTITUTE(C171,"meg"," МОм"),"k"," кОм"),"R"," Ом"),".",",")</ns0:f>
        <ns0:v>9,1 Ом</ns0:v>
      </ns0:c>
      <ns0:c r="E171" t="str" s="10">
        <ns0:v>±5%</ns0:v>
      </ns0:c>
      <ns0:c r="F171" t="str" s="10">
        <ns0:v>0,125 Вт</ns0:v>
      </ns0:c>
      <ns0:c r="G171" t="str" s="10">
        <ns0:v>150 В макс.</ns0:v>
      </ns0:c>
      <ns0:c r="H171" t="str" s="12">
        <ns0:v>0805</ns0:v>
      </ns0:c>
      <ns0:c r="I171" t="str" s="10">
        <ns0:v>YAGEO</ns0:v>
      </ns0:c>
      <ns0:c r="J171" t="str" s="10">
        <ns0:v>RC0805JR-079R1L</ns0:v>
      </ns0:c>
      <ns0:c r="K171" t="str" s="11">
        <ns0:f>B171&amp;" "&amp;D171&amp;" "&amp;E171&amp;" "&amp;H171</ns0:f>
        <ns0:v>Резистор 9,1 Ом ±5% 0805</ns0:v>
      </ns0:c>
      <ns0:c r="L171" t="str" s="13">
        <ns0:v>R</ns0:v>
      </ns0:c>
      <ns0:c r="M171" t="str" s="13">
        <ns0:v>Symbols\MY_LIB_Resistors.SchLib</ns0:v>
      </ns0:c>
      <ns0:c r="N171" t="str" s="13">
        <ns0:v>RESC2012X70N</ns0:v>
      </ns0:c>
      <ns0:c r="O171" t="str" s="13">
        <ns0:v>Footprints\PBL - SMD Packages.PcbLib</ns0:v>
      </ns0:c>
      <ns0:c r="P171" t="str" s="10">
        <ns0:v>RC_L; E24; P при 70 °C</ns0:v>
      </ns0:c>
      <ns0:c r="Q171" s="10"/>
      <ns0:c r="R171" t="str" s="11">
        <ns0:f>D171</ns0:f>
        <ns0:v>9,1 Ом</ns0:v>
      </ns0:c>
      <ns0:c r="S171" t="str" s="11">
        <ns0:f>K171</ns0:f>
        <ns0:v>Резистор 9,1 Ом ±5% 0805</ns0:v>
      </ns0:c>
      <x:c xmlns:x="http://schemas.openxmlformats.org/spreadsheetml/2006/main" r="T171" t="str" s="11">
        <x:v>C:\Users\Nomatin\Documents\Altium\MY_LIB\MY_LIB\Datasheets\YAGEO_RC_L.pdf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C:\Users\Nomatin\Documents\Altium\MY_LIB\MY_LIB\Datasheets\YAGEO_RC_L.pdf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https://yageogroup.com/content/datasheet/asset/file/PYU-RC_GROUP_51_ROHS_L</x:v>
      </x:c>
      <x:c xmlns:x="http://schemas.openxmlformats.org/spreadsheetml/2006/main" r="Y171" t="str" s="11">
        <x:v>C:\Users\Nomatin\Documents\Altium\MY_LIB\MY_LIB\Datasheets\YAGEO_RC_L.pdf</x:v>
      </x:c>
    </ns0:row>
    <ns0:row r="172" ht="30" customHeight="1">
      <ns0:c r="A172" t="str" s="10">
        <ns0:v>R0178</ns0:v>
      </ns0:c>
      <ns0:c r="B172" t="str" s="10">
        <ns0:v>Резистор</ns0:v>
      </ns0:c>
      <ns0:c r="C172" t="str" s="10">
        <ns0:v>10R</ns0:v>
      </ns0:c>
      <ns0:c r="D172" t="str" s="11">
        <ns0:f>SUBSTITUTE(SUBSTITUTE(SUBSTITUTE(SUBSTITUTE(C172,"meg"," МОм"),"k"," кОм"),"R"," Ом"),".",",")</ns0:f>
        <ns0:v>10 Ом</ns0:v>
      </ns0:c>
      <ns0:c r="E172" t="str" s="10">
        <ns0:v>±5%</ns0:v>
      </ns0:c>
      <ns0:c r="F172" t="str" s="10">
        <ns0:v>0,125 Вт</ns0:v>
      </ns0:c>
      <ns0:c r="G172" t="str" s="10">
        <ns0:v>150 В макс.</ns0:v>
      </ns0:c>
      <ns0:c r="H172" t="str" s="12">
        <ns0:v>0805</ns0:v>
      </ns0:c>
      <ns0:c r="I172" t="str" s="10">
        <ns0:v>YAGEO</ns0:v>
      </ns0:c>
      <ns0:c r="J172" t="str" s="10">
        <ns0:v>RC0805JR-0710RL</ns0:v>
      </ns0:c>
      <ns0:c r="K172" t="str" s="11">
        <ns0:f>B172&amp;" "&amp;D172&amp;" "&amp;E172&amp;" "&amp;H172</ns0:f>
        <ns0:v>Резистор 10 Ом ±5% 0805</ns0:v>
      </ns0:c>
      <ns0:c r="L172" t="str" s="13">
        <ns0:v>R</ns0:v>
      </ns0:c>
      <ns0:c r="M172" t="str" s="13">
        <ns0:v>Symbols\MY_LIB_Resistors.SchLib</ns0:v>
      </ns0:c>
      <ns0:c r="N172" t="str" s="13">
        <ns0:v>RESC2012X70N</ns0:v>
      </ns0:c>
      <ns0:c r="O172" t="str" s="13">
        <ns0:v>Footprints\PBL - SMD Packages.PcbLib</ns0:v>
      </ns0:c>
      <ns0:c r="P172" t="str" s="10">
        <ns0:v>RC_L; E24; P при 70 °C</ns0:v>
      </ns0:c>
      <ns0:c r="Q172" s="10"/>
      <ns0:c r="R172" t="str" s="11">
        <ns0:f>D172</ns0:f>
        <ns0:v>10 Ом</ns0:v>
      </ns0:c>
      <ns0:c r="S172" t="str" s="11">
        <ns0:f>K172</ns0:f>
        <ns0:v>Резистор 10 Ом ±5% 0805</ns0:v>
      </ns0:c>
      <x:c xmlns:x="http://schemas.openxmlformats.org/spreadsheetml/2006/main" r="T172" t="str" s="11">
        <x:v>C:\Users\Nomatin\Documents\Altium\MY_LIB\MY_LIB\Datasheets\YAGEO_RC_L.pdf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C:\Users\Nomatin\Documents\Altium\MY_LIB\MY_LIB\Datasheets\YAGEO_RC_L.pdf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https://yageogroup.com/content/datasheet/asset/file/PYU-RC_GROUP_51_ROHS_L</x:v>
      </x:c>
      <x:c xmlns:x="http://schemas.openxmlformats.org/spreadsheetml/2006/main" r="Y172" t="str" s="11">
        <x:v>C:\Users\Nomatin\Documents\Altium\MY_LIB\MY_LIB\Datasheets\YAGEO_RC_L.pdf</x:v>
      </x:c>
    </ns0:row>
    <ns0:row r="173" ht="30" customHeight="1">
      <ns0:c r="A173" t="str" s="10">
        <ns0:v>R0179</ns0:v>
      </ns0:c>
      <ns0:c r="B173" t="str" s="10">
        <ns0:v>Резистор</ns0:v>
      </ns0:c>
      <ns0:c r="C173" t="str" s="10">
        <ns0:v>11R</ns0:v>
      </ns0:c>
      <ns0:c r="D173" t="str" s="11">
        <ns0:f>SUBSTITUTE(SUBSTITUTE(SUBSTITUTE(SUBSTITUTE(C173,"meg"," МОм"),"k"," кОм"),"R"," Ом"),".",",")</ns0:f>
        <ns0:v>11 Ом</ns0:v>
      </ns0:c>
      <ns0:c r="E173" t="str" s="10">
        <ns0:v>±5%</ns0:v>
      </ns0:c>
      <ns0:c r="F173" t="str" s="10">
        <ns0:v>0,125 Вт</ns0:v>
      </ns0:c>
      <ns0:c r="G173" t="str" s="10">
        <ns0:v>150 В макс.</ns0:v>
      </ns0:c>
      <ns0:c r="H173" t="str" s="12">
        <ns0:v>0805</ns0:v>
      </ns0:c>
      <ns0:c r="I173" t="str" s="10">
        <ns0:v>YAGEO</ns0:v>
      </ns0:c>
      <ns0:c r="J173" t="str" s="10">
        <ns0:v>RC0805JR-0711RL</ns0:v>
      </ns0:c>
      <ns0:c r="K173" t="str" s="11">
        <ns0:f>B173&amp;" "&amp;D173&amp;" "&amp;E173&amp;" "&amp;H173</ns0:f>
        <ns0:v>Резистор 11 Ом ±5% 0805</ns0:v>
      </ns0:c>
      <ns0:c r="L173" t="str" s="13">
        <ns0:v>R</ns0:v>
      </ns0:c>
      <ns0:c r="M173" t="str" s="13">
        <ns0:v>Symbols\MY_LIB_Resistors.SchLib</ns0:v>
      </ns0:c>
      <ns0:c r="N173" t="str" s="13">
        <ns0:v>RESC2012X70N</ns0:v>
      </ns0:c>
      <ns0:c r="O173" t="str" s="13">
        <ns0:v>Footprints\PBL - SMD Packages.PcbLib</ns0:v>
      </ns0:c>
      <ns0:c r="P173" t="str" s="10">
        <ns0:v>RC_L; E24; P при 70 °C</ns0:v>
      </ns0:c>
      <ns0:c r="Q173" s="10"/>
      <ns0:c r="R173" t="str" s="11">
        <ns0:f>D173</ns0:f>
        <ns0:v>11 Ом</ns0:v>
      </ns0:c>
      <ns0:c r="S173" t="str" s="11">
        <ns0:f>K173</ns0:f>
        <ns0:v>Резистор 11 Ом ±5% 0805</ns0:v>
      </ns0:c>
      <x:c xmlns:x="http://schemas.openxmlformats.org/spreadsheetml/2006/main" r="T173" t="str" s="11">
        <x:v>C:\Users\Nomatin\Documents\Altium\MY_LIB\MY_LIB\Datasheets\YAGEO_RC_L.pdf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C:\Users\Nomatin\Documents\Altium\MY_LIB\MY_LIB\Datasheets\YAGEO_RC_L.pdf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https://yageogroup.com/content/datasheet/asset/file/PYU-RC_GROUP_51_ROHS_L</x:v>
      </x:c>
      <x:c xmlns:x="http://schemas.openxmlformats.org/spreadsheetml/2006/main" r="Y173" t="str" s="11">
        <x:v>C:\Users\Nomatin\Documents\Altium\MY_LIB\MY_LIB\Datasheets\YAGEO_RC_L.pdf</x:v>
      </x:c>
    </ns0:row>
    <ns0:row r="174" ht="30" customHeight="1">
      <ns0:c r="A174" t="str" s="10">
        <ns0:v>R0180</ns0:v>
      </ns0:c>
      <ns0:c r="B174" t="str" s="10">
        <ns0:v>Резистор</ns0:v>
      </ns0:c>
      <ns0:c r="C174" t="str" s="10">
        <ns0:v>12R</ns0:v>
      </ns0:c>
      <ns0:c r="D174" t="str" s="11">
        <ns0:f>SUBSTITUTE(SUBSTITUTE(SUBSTITUTE(SUBSTITUTE(C174,"meg"," МОм"),"k"," кОм"),"R"," Ом"),".",",")</ns0:f>
        <ns0:v>12 Ом</ns0:v>
      </ns0:c>
      <ns0:c r="E174" t="str" s="10">
        <ns0:v>±5%</ns0:v>
      </ns0:c>
      <ns0:c r="F174" t="str" s="10">
        <ns0:v>0,125 Вт</ns0:v>
      </ns0:c>
      <ns0:c r="G174" t="str" s="10">
        <ns0:v>150 В макс.</ns0:v>
      </ns0:c>
      <ns0:c r="H174" t="str" s="12">
        <ns0:v>0805</ns0:v>
      </ns0:c>
      <ns0:c r="I174" t="str" s="10">
        <ns0:v>YAGEO</ns0:v>
      </ns0:c>
      <ns0:c r="J174" t="str" s="10">
        <ns0:v>RC0805JR-0712RL</ns0:v>
      </ns0:c>
      <ns0:c r="K174" t="str" s="11">
        <ns0:f>B174&amp;" "&amp;D174&amp;" "&amp;E174&amp;" "&amp;H174</ns0:f>
        <ns0:v>Резистор 12 Ом ±5% 0805</ns0:v>
      </ns0:c>
      <ns0:c r="L174" t="str" s="13">
        <ns0:v>R</ns0:v>
      </ns0:c>
      <ns0:c r="M174" t="str" s="13">
        <ns0:v>Symbols\MY_LIB_Resistors.SchLib</ns0:v>
      </ns0:c>
      <ns0:c r="N174" t="str" s="13">
        <ns0:v>RESC2012X70N</ns0:v>
      </ns0:c>
      <ns0:c r="O174" t="str" s="13">
        <ns0:v>Footprints\PBL - SMD Packages.PcbLib</ns0:v>
      </ns0:c>
      <ns0:c r="P174" t="str" s="10">
        <ns0:v>RC_L; E24; P при 70 °C</ns0:v>
      </ns0:c>
      <ns0:c r="Q174" s="10"/>
      <ns0:c r="R174" t="str" s="11">
        <ns0:f>D174</ns0:f>
        <ns0:v>12 Ом</ns0:v>
      </ns0:c>
      <ns0:c r="S174" t="str" s="11">
        <ns0:f>K174</ns0:f>
        <ns0:v>Резистор 12 Ом ±5% 0805</ns0:v>
      </ns0:c>
      <x:c xmlns:x="http://schemas.openxmlformats.org/spreadsheetml/2006/main" r="T174" t="str" s="11">
        <x:v>C:\Users\Nomatin\Documents\Altium\MY_LIB\MY_LIB\Datasheets\YAGEO_RC_L.pdf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C:\Users\Nomatin\Documents\Altium\MY_LIB\MY_LIB\Datasheets\YAGEO_RC_L.pdf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https://yageogroup.com/content/datasheet/asset/file/PYU-RC_GROUP_51_ROHS_L</x:v>
      </x:c>
      <x:c xmlns:x="http://schemas.openxmlformats.org/spreadsheetml/2006/main" r="Y174" t="str" s="11">
        <x:v>C:\Users\Nomatin\Documents\Altium\MY_LIB\MY_LIB\Datasheets\YAGEO_RC_L.pdf</x:v>
      </x:c>
    </ns0:row>
    <ns0:row r="175" ht="30" customHeight="1">
      <ns0:c r="A175" t="str" s="10">
        <ns0:v>R0181</ns0:v>
      </ns0:c>
      <ns0:c r="B175" t="str" s="10">
        <ns0:v>Резистор</ns0:v>
      </ns0:c>
      <ns0:c r="C175" t="str" s="10">
        <ns0:v>13R</ns0:v>
      </ns0:c>
      <ns0:c r="D175" t="str" s="11">
        <ns0:f>SUBSTITUTE(SUBSTITUTE(SUBSTITUTE(SUBSTITUTE(C175,"meg"," МОм"),"k"," кОм"),"R"," Ом"),".",",")</ns0:f>
        <ns0:v>13 Ом</ns0:v>
      </ns0:c>
      <ns0:c r="E175" t="str" s="10">
        <ns0:v>±5%</ns0:v>
      </ns0:c>
      <ns0:c r="F175" t="str" s="10">
        <ns0:v>0,125 Вт</ns0:v>
      </ns0:c>
      <ns0:c r="G175" t="str" s="10">
        <ns0:v>150 В макс.</ns0:v>
      </ns0:c>
      <ns0:c r="H175" t="str" s="12">
        <ns0:v>0805</ns0:v>
      </ns0:c>
      <ns0:c r="I175" t="str" s="10">
        <ns0:v>YAGEO</ns0:v>
      </ns0:c>
      <ns0:c r="J175" t="str" s="10">
        <ns0:v>RC0805JR-0713RL</ns0:v>
      </ns0:c>
      <ns0:c r="K175" t="str" s="11">
        <ns0:f>B175&amp;" "&amp;D175&amp;" "&amp;E175&amp;" "&amp;H175</ns0:f>
        <ns0:v>Резистор 13 Ом ±5% 0805</ns0:v>
      </ns0:c>
      <ns0:c r="L175" t="str" s="13">
        <ns0:v>R</ns0:v>
      </ns0:c>
      <ns0:c r="M175" t="str" s="13">
        <ns0:v>Symbols\MY_LIB_Resistors.SchLib</ns0:v>
      </ns0:c>
      <ns0:c r="N175" t="str" s="13">
        <ns0:v>RESC2012X70N</ns0:v>
      </ns0:c>
      <ns0:c r="O175" t="str" s="13">
        <ns0:v>Footprints\PBL - SMD Packages.PcbLib</ns0:v>
      </ns0:c>
      <ns0:c r="P175" t="str" s="10">
        <ns0:v>RC_L; E24; P при 70 °C</ns0:v>
      </ns0:c>
      <ns0:c r="Q175" s="10"/>
      <ns0:c r="R175" t="str" s="11">
        <ns0:f>D175</ns0:f>
        <ns0:v>13 Ом</ns0:v>
      </ns0:c>
      <ns0:c r="S175" t="str" s="11">
        <ns0:f>K175</ns0:f>
        <ns0:v>Резистор 13 Ом ±5% 0805</ns0:v>
      </ns0:c>
      <x:c xmlns:x="http://schemas.openxmlformats.org/spreadsheetml/2006/main" r="T175" t="str" s="11">
        <x:v>C:\Users\Nomatin\Documents\Altium\MY_LIB\MY_LIB\Datasheets\YAGEO_RC_L.pdf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C:\Users\Nomatin\Documents\Altium\MY_LIB\MY_LIB\Datasheets\YAGEO_RC_L.pdf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https://yageogroup.com/content/datasheet/asset/file/PYU-RC_GROUP_51_ROHS_L</x:v>
      </x:c>
      <x:c xmlns:x="http://schemas.openxmlformats.org/spreadsheetml/2006/main" r="Y175" t="str" s="11">
        <x:v>C:\Users\Nomatin\Documents\Altium\MY_LIB\MY_LIB\Datasheets\YAGEO_RC_L.pdf</x:v>
      </x:c>
    </ns0:row>
    <ns0:row r="176" ht="30" customHeight="1">
      <ns0:c r="A176" t="str" s="10">
        <ns0:v>R0182</ns0:v>
      </ns0:c>
      <ns0:c r="B176" t="str" s="10">
        <ns0:v>Резистор</ns0:v>
      </ns0:c>
      <ns0:c r="C176" t="str" s="10">
        <ns0:v>15R</ns0:v>
      </ns0:c>
      <ns0:c r="D176" t="str" s="11">
        <ns0:f>SUBSTITUTE(SUBSTITUTE(SUBSTITUTE(SUBSTITUTE(C176,"meg"," МОм"),"k"," кОм"),"R"," Ом"),".",",")</ns0:f>
        <ns0:v>15 Ом</ns0:v>
      </ns0:c>
      <ns0:c r="E176" t="str" s="10">
        <ns0:v>±5%</ns0:v>
      </ns0:c>
      <ns0:c r="F176" t="str" s="10">
        <ns0:v>0,125 Вт</ns0:v>
      </ns0:c>
      <ns0:c r="G176" t="str" s="10">
        <ns0:v>150 В макс.</ns0:v>
      </ns0:c>
      <ns0:c r="H176" t="str" s="12">
        <ns0:v>0805</ns0:v>
      </ns0:c>
      <ns0:c r="I176" t="str" s="10">
        <ns0:v>YAGEO</ns0:v>
      </ns0:c>
      <ns0:c r="J176" t="str" s="10">
        <ns0:v>RC0805JR-0715RL</ns0:v>
      </ns0:c>
      <ns0:c r="K176" t="str" s="11">
        <ns0:f>B176&amp;" "&amp;D176&amp;" "&amp;E176&amp;" "&amp;H176</ns0:f>
        <ns0:v>Резистор 15 Ом ±5% 0805</ns0:v>
      </ns0:c>
      <ns0:c r="L176" t="str" s="13">
        <ns0:v>R</ns0:v>
      </ns0:c>
      <ns0:c r="M176" t="str" s="13">
        <ns0:v>Symbols\MY_LIB_Resistors.SchLib</ns0:v>
      </ns0:c>
      <ns0:c r="N176" t="str" s="13">
        <ns0:v>RESC2012X70N</ns0:v>
      </ns0:c>
      <ns0:c r="O176" t="str" s="13">
        <ns0:v>Footprints\PBL - SMD Packages.PcbLib</ns0:v>
      </ns0:c>
      <ns0:c r="P176" t="str" s="10">
        <ns0:v>RC_L; E24; P при 70 °C</ns0:v>
      </ns0:c>
      <ns0:c r="Q176" s="10"/>
      <ns0:c r="R176" t="str" s="11">
        <ns0:f>D176</ns0:f>
        <ns0:v>15 Ом</ns0:v>
      </ns0:c>
      <ns0:c r="S176" t="str" s="11">
        <ns0:f>K176</ns0:f>
        <ns0:v>Резистор 15 Ом ±5% 0805</ns0:v>
      </ns0:c>
      <x:c xmlns:x="http://schemas.openxmlformats.org/spreadsheetml/2006/main" r="T176" t="str" s="11">
        <x:v>C:\Users\Nomatin\Documents\Altium\MY_LIB\MY_LIB\Datasheets\YAGEO_RC_L.pdf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C:\Users\Nomatin\Documents\Altium\MY_LIB\MY_LIB\Datasheets\YAGEO_RC_L.pdf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https://yageogroup.com/content/datasheet/asset/file/PYU-RC_GROUP_51_ROHS_L</x:v>
      </x:c>
      <x:c xmlns:x="http://schemas.openxmlformats.org/spreadsheetml/2006/main" r="Y176" t="str" s="11">
        <x:v>C:\Users\Nomatin\Documents\Altium\MY_LIB\MY_LIB\Datasheets\YAGEO_RC_L.pdf</x:v>
      </x:c>
    </ns0:row>
    <ns0:row r="177" ht="30" customHeight="1">
      <ns0:c r="A177" t="str" s="10">
        <ns0:v>R0183</ns0:v>
      </ns0:c>
      <ns0:c r="B177" t="str" s="10">
        <ns0:v>Резистор</ns0:v>
      </ns0:c>
      <ns0:c r="C177" t="str" s="10">
        <ns0:v>16R</ns0:v>
      </ns0:c>
      <ns0:c r="D177" t="str" s="11">
        <ns0:f>SUBSTITUTE(SUBSTITUTE(SUBSTITUTE(SUBSTITUTE(C177,"meg"," МОм"),"k"," кОм"),"R"," Ом"),".",",")</ns0:f>
        <ns0:v>16 Ом</ns0:v>
      </ns0:c>
      <ns0:c r="E177" t="str" s="10">
        <ns0:v>±5%</ns0:v>
      </ns0:c>
      <ns0:c r="F177" t="str" s="10">
        <ns0:v>0,125 Вт</ns0:v>
      </ns0:c>
      <ns0:c r="G177" t="str" s="10">
        <ns0:v>150 В макс.</ns0:v>
      </ns0:c>
      <ns0:c r="H177" t="str" s="12">
        <ns0:v>0805</ns0:v>
      </ns0:c>
      <ns0:c r="I177" t="str" s="10">
        <ns0:v>YAGEO</ns0:v>
      </ns0:c>
      <ns0:c r="J177" t="str" s="10">
        <ns0:v>RC0805JR-0716RL</ns0:v>
      </ns0:c>
      <ns0:c r="K177" t="str" s="11">
        <ns0:f>B177&amp;" "&amp;D177&amp;" "&amp;E177&amp;" "&amp;H177</ns0:f>
        <ns0:v>Резистор 16 Ом ±5% 0805</ns0:v>
      </ns0:c>
      <ns0:c r="L177" t="str" s="13">
        <ns0:v>R</ns0:v>
      </ns0:c>
      <ns0:c r="M177" t="str" s="13">
        <ns0:v>Symbols\MY_LIB_Resistors.SchLib</ns0:v>
      </ns0:c>
      <ns0:c r="N177" t="str" s="13">
        <ns0:v>RESC2012X70N</ns0:v>
      </ns0:c>
      <ns0:c r="O177" t="str" s="13">
        <ns0:v>Footprints\PBL - SMD Packages.PcbLib</ns0:v>
      </ns0:c>
      <ns0:c r="P177" t="str" s="10">
        <ns0:v>RC_L; E24; P при 70 °C</ns0:v>
      </ns0:c>
      <ns0:c r="Q177" s="10"/>
      <ns0:c r="R177" t="str" s="11">
        <ns0:f>D177</ns0:f>
        <ns0:v>16 Ом</ns0:v>
      </ns0:c>
      <ns0:c r="S177" t="str" s="11">
        <ns0:f>K177</ns0:f>
        <ns0:v>Резистор 16 Ом ±5% 0805</ns0:v>
      </ns0:c>
      <x:c xmlns:x="http://schemas.openxmlformats.org/spreadsheetml/2006/main" r="T177" t="str" s="11">
        <x:v>C:\Users\Nomatin\Documents\Altium\MY_LIB\MY_LIB\Datasheets\YAGEO_RC_L.pdf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C:\Users\Nomatin\Documents\Altium\MY_LIB\MY_LIB\Datasheets\YAGEO_RC_L.pdf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https://yageogroup.com/content/datasheet/asset/file/PYU-RC_GROUP_51_ROHS_L</x:v>
      </x:c>
      <x:c xmlns:x="http://schemas.openxmlformats.org/spreadsheetml/2006/main" r="Y177" t="str" s="11">
        <x:v>C:\Users\Nomatin\Documents\Altium\MY_LIB\MY_LIB\Datasheets\YAGEO_RC_L.pdf</x:v>
      </x:c>
    </ns0:row>
    <ns0:row r="178" ht="30" customHeight="1">
      <ns0:c r="A178" t="str" s="10">
        <ns0:v>R0184</ns0:v>
      </ns0:c>
      <ns0:c r="B178" t="str" s="10">
        <ns0:v>Резистор</ns0:v>
      </ns0:c>
      <ns0:c r="C178" t="str" s="10">
        <ns0:v>18R</ns0:v>
      </ns0:c>
      <ns0:c r="D178" t="str" s="11">
        <ns0:f>SUBSTITUTE(SUBSTITUTE(SUBSTITUTE(SUBSTITUTE(C178,"meg"," МОм"),"k"," кОм"),"R"," Ом"),".",",")</ns0:f>
        <ns0:v>18 Ом</ns0:v>
      </ns0:c>
      <ns0:c r="E178" t="str" s="10">
        <ns0:v>±5%</ns0:v>
      </ns0:c>
      <ns0:c r="F178" t="str" s="10">
        <ns0:v>0,125 Вт</ns0:v>
      </ns0:c>
      <ns0:c r="G178" t="str" s="10">
        <ns0:v>150 В макс.</ns0:v>
      </ns0:c>
      <ns0:c r="H178" t="str" s="12">
        <ns0:v>0805</ns0:v>
      </ns0:c>
      <ns0:c r="I178" t="str" s="10">
        <ns0:v>YAGEO</ns0:v>
      </ns0:c>
      <ns0:c r="J178" t="str" s="10">
        <ns0:v>RC0805JR-0718RL</ns0:v>
      </ns0:c>
      <ns0:c r="K178" t="str" s="11">
        <ns0:f>B178&amp;" "&amp;D178&amp;" "&amp;E178&amp;" "&amp;H178</ns0:f>
        <ns0:v>Резистор 18 Ом ±5% 0805</ns0:v>
      </ns0:c>
      <ns0:c r="L178" t="str" s="13">
        <ns0:v>R</ns0:v>
      </ns0:c>
      <ns0:c r="M178" t="str" s="13">
        <ns0:v>Symbols\MY_LIB_Resistors.SchLib</ns0:v>
      </ns0:c>
      <ns0:c r="N178" t="str" s="13">
        <ns0:v>RESC2012X70N</ns0:v>
      </ns0:c>
      <ns0:c r="O178" t="str" s="13">
        <ns0:v>Footprints\PBL - SMD Packages.PcbLib</ns0:v>
      </ns0:c>
      <ns0:c r="P178" t="str" s="10">
        <ns0:v>RC_L; E24; P при 70 °C</ns0:v>
      </ns0:c>
      <ns0:c r="Q178" s="10"/>
      <ns0:c r="R178" t="str" s="11">
        <ns0:f>D178</ns0:f>
        <ns0:v>18 Ом</ns0:v>
      </ns0:c>
      <ns0:c r="S178" t="str" s="11">
        <ns0:f>K178</ns0:f>
        <ns0:v>Резистор 18 Ом ±5% 0805</ns0:v>
      </ns0:c>
      <x:c xmlns:x="http://schemas.openxmlformats.org/spreadsheetml/2006/main" r="T178" t="str" s="11">
        <x:v>C:\Users\Nomatin\Documents\Altium\MY_LIB\MY_LIB\Datasheets\YAGEO_RC_L.pdf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C:\Users\Nomatin\Documents\Altium\MY_LIB\MY_LIB\Datasheets\YAGEO_RC_L.pdf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https://yageogroup.com/content/datasheet/asset/file/PYU-RC_GROUP_51_ROHS_L</x:v>
      </x:c>
      <x:c xmlns:x="http://schemas.openxmlformats.org/spreadsheetml/2006/main" r="Y178" t="str" s="11">
        <x:v>C:\Users\Nomatin\Documents\Altium\MY_LIB\MY_LIB\Datasheets\YAGEO_RC_L.pdf</x:v>
      </x:c>
    </ns0:row>
    <ns0:row r="179" ht="30" customHeight="1">
      <ns0:c r="A179" t="str" s="10">
        <ns0:v>R0185</ns0:v>
      </ns0:c>
      <ns0:c r="B179" t="str" s="10">
        <ns0:v>Резистор</ns0:v>
      </ns0:c>
      <ns0:c r="C179" t="str" s="10">
        <ns0:v>20R</ns0:v>
      </ns0:c>
      <ns0:c r="D179" t="str" s="11">
        <ns0:f>SUBSTITUTE(SUBSTITUTE(SUBSTITUTE(SUBSTITUTE(C179,"meg"," МОм"),"k"," кОм"),"R"," Ом"),".",",")</ns0:f>
        <ns0:v>20 Ом</ns0:v>
      </ns0:c>
      <ns0:c r="E179" t="str" s="10">
        <ns0:v>±5%</ns0:v>
      </ns0:c>
      <ns0:c r="F179" t="str" s="10">
        <ns0:v>0,125 Вт</ns0:v>
      </ns0:c>
      <ns0:c r="G179" t="str" s="10">
        <ns0:v>150 В макс.</ns0:v>
      </ns0:c>
      <ns0:c r="H179" t="str" s="12">
        <ns0:v>0805</ns0:v>
      </ns0:c>
      <ns0:c r="I179" t="str" s="10">
        <ns0:v>YAGEO</ns0:v>
      </ns0:c>
      <ns0:c r="J179" t="str" s="10">
        <ns0:v>RC0805JR-0720RL</ns0:v>
      </ns0:c>
      <ns0:c r="K179" t="str" s="11">
        <ns0:f>B179&amp;" "&amp;D179&amp;" "&amp;E179&amp;" "&amp;H179</ns0:f>
        <ns0:v>Резистор 20 Ом ±5% 0805</ns0:v>
      </ns0:c>
      <ns0:c r="L179" t="str" s="13">
        <ns0:v>R</ns0:v>
      </ns0:c>
      <ns0:c r="M179" t="str" s="13">
        <ns0:v>Symbols\MY_LIB_Resistors.SchLib</ns0:v>
      </ns0:c>
      <ns0:c r="N179" t="str" s="13">
        <ns0:v>RESC2012X70N</ns0:v>
      </ns0:c>
      <ns0:c r="O179" t="str" s="13">
        <ns0:v>Footprints\PBL - SMD Packages.PcbLib</ns0:v>
      </ns0:c>
      <ns0:c r="P179" t="str" s="10">
        <ns0:v>RC_L; E24; P при 70 °C</ns0:v>
      </ns0:c>
      <ns0:c r="Q179" s="10"/>
      <ns0:c r="R179" t="str" s="11">
        <ns0:f>D179</ns0:f>
        <ns0:v>20 Ом</ns0:v>
      </ns0:c>
      <ns0:c r="S179" t="str" s="11">
        <ns0:f>K179</ns0:f>
        <ns0:v>Резистор 20 Ом ±5% 0805</ns0:v>
      </ns0:c>
      <x:c xmlns:x="http://schemas.openxmlformats.org/spreadsheetml/2006/main" r="T179" t="str" s="11">
        <x:v>C:\Users\Nomatin\Documents\Altium\MY_LIB\MY_LIB\Datasheets\YAGEO_RC_L.pdf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C:\Users\Nomatin\Documents\Altium\MY_LIB\MY_LIB\Datasheets\YAGEO_RC_L.pdf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https://yageogroup.com/content/datasheet/asset/file/PYU-RC_GROUP_51_ROHS_L</x:v>
      </x:c>
      <x:c xmlns:x="http://schemas.openxmlformats.org/spreadsheetml/2006/main" r="Y179" t="str" s="11">
        <x:v>C:\Users\Nomatin\Documents\Altium\MY_LIB\MY_LIB\Datasheets\YAGEO_RC_L.pdf</x:v>
      </x:c>
    </ns0:row>
    <ns0:row r="180" ht="30" customHeight="1">
      <ns0:c r="A180" t="str" s="10">
        <ns0:v>R0186</ns0:v>
      </ns0:c>
      <ns0:c r="B180" t="str" s="10">
        <ns0:v>Резистор</ns0:v>
      </ns0:c>
      <ns0:c r="C180" t="str" s="10">
        <ns0:v>22R</ns0:v>
      </ns0:c>
      <ns0:c r="D180" t="str" s="11">
        <ns0:f>SUBSTITUTE(SUBSTITUTE(SUBSTITUTE(SUBSTITUTE(C180,"meg"," МОм"),"k"," кОм"),"R"," Ом"),".",",")</ns0:f>
        <ns0:v>22 Ом</ns0:v>
      </ns0:c>
      <ns0:c r="E180" t="str" s="10">
        <ns0:v>±5%</ns0:v>
      </ns0:c>
      <ns0:c r="F180" t="str" s="10">
        <ns0:v>0,125 Вт</ns0:v>
      </ns0:c>
      <ns0:c r="G180" t="str" s="10">
        <ns0:v>150 В макс.</ns0:v>
      </ns0:c>
      <ns0:c r="H180" t="str" s="12">
        <ns0:v>0805</ns0:v>
      </ns0:c>
      <ns0:c r="I180" t="str" s="10">
        <ns0:v>YAGEO</ns0:v>
      </ns0:c>
      <ns0:c r="J180" t="str" s="10">
        <ns0:v>RC0805JR-0722RL</ns0:v>
      </ns0:c>
      <ns0:c r="K180" t="str" s="11">
        <ns0:f>B180&amp;" "&amp;D180&amp;" "&amp;E180&amp;" "&amp;H180</ns0:f>
        <ns0:v>Резистор 22 Ом ±5% 0805</ns0:v>
      </ns0:c>
      <ns0:c r="L180" t="str" s="13">
        <ns0:v>R</ns0:v>
      </ns0:c>
      <ns0:c r="M180" t="str" s="13">
        <ns0:v>Symbols\MY_LIB_Resistors.SchLib</ns0:v>
      </ns0:c>
      <ns0:c r="N180" t="str" s="13">
        <ns0:v>RESC2012X70N</ns0:v>
      </ns0:c>
      <ns0:c r="O180" t="str" s="13">
        <ns0:v>Footprints\PBL - SMD Packages.PcbLib</ns0:v>
      </ns0:c>
      <ns0:c r="P180" t="str" s="10">
        <ns0:v>RC_L; E24; P при 70 °C</ns0:v>
      </ns0:c>
      <ns0:c r="Q180" s="10"/>
      <ns0:c r="R180" t="str" s="11">
        <ns0:f>D180</ns0:f>
        <ns0:v>22 Ом</ns0:v>
      </ns0:c>
      <ns0:c r="S180" t="str" s="11">
        <ns0:f>K180</ns0:f>
        <ns0:v>Резистор 22 Ом ±5% 0805</ns0:v>
      </ns0:c>
      <x:c xmlns:x="http://schemas.openxmlformats.org/spreadsheetml/2006/main" r="T180" t="str" s="11">
        <x:v>C:\Users\Nomatin\Documents\Altium\MY_LIB\MY_LIB\Datasheets\YAGEO_RC_L.pdf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C:\Users\Nomatin\Documents\Altium\MY_LIB\MY_LIB\Datasheets\YAGEO_RC_L.pdf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https://yageogroup.com/content/datasheet/asset/file/PYU-RC_GROUP_51_ROHS_L</x:v>
      </x:c>
      <x:c xmlns:x="http://schemas.openxmlformats.org/spreadsheetml/2006/main" r="Y180" t="str" s="11">
        <x:v>C:\Users\Nomatin\Documents\Altium\MY_LIB\MY_LIB\Datasheets\YAGEO_RC_L.pdf</x:v>
      </x:c>
    </ns0:row>
    <ns0:row r="181" ht="30" customHeight="1">
      <ns0:c r="A181" t="str" s="10">
        <ns0:v>R0187</ns0:v>
      </ns0:c>
      <ns0:c r="B181" t="str" s="10">
        <ns0:v>Резистор</ns0:v>
      </ns0:c>
      <ns0:c r="C181" t="str" s="10">
        <ns0:v>24R</ns0:v>
      </ns0:c>
      <ns0:c r="D181" t="str" s="11">
        <ns0:f>SUBSTITUTE(SUBSTITUTE(SUBSTITUTE(SUBSTITUTE(C181,"meg"," МОм"),"k"," кОм"),"R"," Ом"),".",",")</ns0:f>
        <ns0:v>24 Ом</ns0:v>
      </ns0:c>
      <ns0:c r="E181" t="str" s="10">
        <ns0:v>±5%</ns0:v>
      </ns0:c>
      <ns0:c r="F181" t="str" s="10">
        <ns0:v>0,125 Вт</ns0:v>
      </ns0:c>
      <ns0:c r="G181" t="str" s="10">
        <ns0:v>150 В макс.</ns0:v>
      </ns0:c>
      <ns0:c r="H181" t="str" s="12">
        <ns0:v>0805</ns0:v>
      </ns0:c>
      <ns0:c r="I181" t="str" s="10">
        <ns0:v>YAGEO</ns0:v>
      </ns0:c>
      <ns0:c r="J181" t="str" s="10">
        <ns0:v>RC0805JR-0724RL</ns0:v>
      </ns0:c>
      <ns0:c r="K181" t="str" s="11">
        <ns0:f>B181&amp;" "&amp;D181&amp;" "&amp;E181&amp;" "&amp;H181</ns0:f>
        <ns0:v>Резистор 24 Ом ±5% 0805</ns0:v>
      </ns0:c>
      <ns0:c r="L181" t="str" s="13">
        <ns0:v>R</ns0:v>
      </ns0:c>
      <ns0:c r="M181" t="str" s="13">
        <ns0:v>Symbols\MY_LIB_Resistors.SchLib</ns0:v>
      </ns0:c>
      <ns0:c r="N181" t="str" s="13">
        <ns0:v>RESC2012X70N</ns0:v>
      </ns0:c>
      <ns0:c r="O181" t="str" s="13">
        <ns0:v>Footprints\PBL - SMD Packages.PcbLib</ns0:v>
      </ns0:c>
      <ns0:c r="P181" t="str" s="10">
        <ns0:v>RC_L; E24; P при 70 °C</ns0:v>
      </ns0:c>
      <ns0:c r="Q181" s="10"/>
      <ns0:c r="R181" t="str" s="11">
        <ns0:f>D181</ns0:f>
        <ns0:v>24 Ом</ns0:v>
      </ns0:c>
      <ns0:c r="S181" t="str" s="11">
        <ns0:f>K181</ns0:f>
        <ns0:v>Резистор 24 Ом ±5% 0805</ns0:v>
      </ns0:c>
      <x:c xmlns:x="http://schemas.openxmlformats.org/spreadsheetml/2006/main" r="T181" t="str" s="11">
        <x:v>C:\Users\Nomatin\Documents\Altium\MY_LIB\MY_LIB\Datasheets\YAGEO_RC_L.pdf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C:\Users\Nomatin\Documents\Altium\MY_LIB\MY_LIB\Datasheets\YAGEO_RC_L.pdf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https://yageogroup.com/content/datasheet/asset/file/PYU-RC_GROUP_51_ROHS_L</x:v>
      </x:c>
      <x:c xmlns:x="http://schemas.openxmlformats.org/spreadsheetml/2006/main" r="Y181" t="str" s="11">
        <x:v>C:\Users\Nomatin\Documents\Altium\MY_LIB\MY_LIB\Datasheets\YAGEO_RC_L.pdf</x:v>
      </x:c>
    </ns0:row>
    <ns0:row r="182" ht="30" customHeight="1">
      <ns0:c r="A182" t="str" s="10">
        <ns0:v>R0188</ns0:v>
      </ns0:c>
      <ns0:c r="B182" t="str" s="10">
        <ns0:v>Резистор</ns0:v>
      </ns0:c>
      <ns0:c r="C182" t="str" s="10">
        <ns0:v>27R</ns0:v>
      </ns0:c>
      <ns0:c r="D182" t="str" s="11">
        <ns0:f>SUBSTITUTE(SUBSTITUTE(SUBSTITUTE(SUBSTITUTE(C182,"meg"," МОм"),"k"," кОм"),"R"," Ом"),".",",")</ns0:f>
        <ns0:v>27 Ом</ns0:v>
      </ns0:c>
      <ns0:c r="E182" t="str" s="10">
        <ns0:v>±5%</ns0:v>
      </ns0:c>
      <ns0:c r="F182" t="str" s="10">
        <ns0:v>0,125 Вт</ns0:v>
      </ns0:c>
      <ns0:c r="G182" t="str" s="10">
        <ns0:v>150 В макс.</ns0:v>
      </ns0:c>
      <ns0:c r="H182" t="str" s="12">
        <ns0:v>0805</ns0:v>
      </ns0:c>
      <ns0:c r="I182" t="str" s="10">
        <ns0:v>YAGEO</ns0:v>
      </ns0:c>
      <ns0:c r="J182" t="str" s="10">
        <ns0:v>RC0805JR-0727RL</ns0:v>
      </ns0:c>
      <ns0:c r="K182" t="str" s="11">
        <ns0:f>B182&amp;" "&amp;D182&amp;" "&amp;E182&amp;" "&amp;H182</ns0:f>
        <ns0:v>Резистор 27 Ом ±5% 0805</ns0:v>
      </ns0:c>
      <ns0:c r="L182" t="str" s="13">
        <ns0:v>R</ns0:v>
      </ns0:c>
      <ns0:c r="M182" t="str" s="13">
        <ns0:v>Symbols\MY_LIB_Resistors.SchLib</ns0:v>
      </ns0:c>
      <ns0:c r="N182" t="str" s="13">
        <ns0:v>RESC2012X70N</ns0:v>
      </ns0:c>
      <ns0:c r="O182" t="str" s="13">
        <ns0:v>Footprints\PBL - SMD Packages.PcbLib</ns0:v>
      </ns0:c>
      <ns0:c r="P182" t="str" s="10">
        <ns0:v>RC_L; E24; P при 70 °C</ns0:v>
      </ns0:c>
      <ns0:c r="Q182" s="10"/>
      <ns0:c r="R182" t="str" s="11">
        <ns0:f>D182</ns0:f>
        <ns0:v>27 Ом</ns0:v>
      </ns0:c>
      <ns0:c r="S182" t="str" s="11">
        <ns0:f>K182</ns0:f>
        <ns0:v>Резистор 27 Ом ±5% 0805</ns0:v>
      </ns0:c>
      <x:c xmlns:x="http://schemas.openxmlformats.org/spreadsheetml/2006/main" r="T182" t="str" s="11">
        <x:v>C:\Users\Nomatin\Documents\Altium\MY_LIB\MY_LIB\Datasheets\YAGEO_RC_L.pdf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C:\Users\Nomatin\Documents\Altium\MY_LIB\MY_LIB\Datasheets\YAGEO_RC_L.pdf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https://yageogroup.com/content/datasheet/asset/file/PYU-RC_GROUP_51_ROHS_L</x:v>
      </x:c>
      <x:c xmlns:x="http://schemas.openxmlformats.org/spreadsheetml/2006/main" r="Y182" t="str" s="11">
        <x:v>C:\Users\Nomatin\Documents\Altium\MY_LIB\MY_LIB\Datasheets\YAGEO_RC_L.pdf</x:v>
      </x:c>
    </ns0:row>
    <ns0:row r="183" ht="30" customHeight="1">
      <ns0:c r="A183" t="str" s="10">
        <ns0:v>R0189</ns0:v>
      </ns0:c>
      <ns0:c r="B183" t="str" s="10">
        <ns0:v>Резистор</ns0:v>
      </ns0:c>
      <ns0:c r="C183" t="str" s="10">
        <ns0:v>30R</ns0:v>
      </ns0:c>
      <ns0:c r="D183" t="str" s="11">
        <ns0:f>SUBSTITUTE(SUBSTITUTE(SUBSTITUTE(SUBSTITUTE(C183,"meg"," МОм"),"k"," кОм"),"R"," Ом"),".",",")</ns0:f>
        <ns0:v>30 Ом</ns0:v>
      </ns0:c>
      <ns0:c r="E183" t="str" s="10">
        <ns0:v>±5%</ns0:v>
      </ns0:c>
      <ns0:c r="F183" t="str" s="10">
        <ns0:v>0,125 Вт</ns0:v>
      </ns0:c>
      <ns0:c r="G183" t="str" s="10">
        <ns0:v>150 В макс.</ns0:v>
      </ns0:c>
      <ns0:c r="H183" t="str" s="12">
        <ns0:v>0805</ns0:v>
      </ns0:c>
      <ns0:c r="I183" t="str" s="10">
        <ns0:v>YAGEO</ns0:v>
      </ns0:c>
      <ns0:c r="J183" t="str" s="10">
        <ns0:v>RC0805JR-0730RL</ns0:v>
      </ns0:c>
      <ns0:c r="K183" t="str" s="11">
        <ns0:f>B183&amp;" "&amp;D183&amp;" "&amp;E183&amp;" "&amp;H183</ns0:f>
        <ns0:v>Резистор 30 Ом ±5% 0805</ns0:v>
      </ns0:c>
      <ns0:c r="L183" t="str" s="13">
        <ns0:v>R</ns0:v>
      </ns0:c>
      <ns0:c r="M183" t="str" s="13">
        <ns0:v>Symbols\MY_LIB_Resistors.SchLib</ns0:v>
      </ns0:c>
      <ns0:c r="N183" t="str" s="13">
        <ns0:v>RESC2012X70N</ns0:v>
      </ns0:c>
      <ns0:c r="O183" t="str" s="13">
        <ns0:v>Footprints\PBL - SMD Packages.PcbLib</ns0:v>
      </ns0:c>
      <ns0:c r="P183" t="str" s="10">
        <ns0:v>RC_L; E24; P при 70 °C</ns0:v>
      </ns0:c>
      <ns0:c r="Q183" s="10"/>
      <ns0:c r="R183" t="str" s="11">
        <ns0:f>D183</ns0:f>
        <ns0:v>30 Ом</ns0:v>
      </ns0:c>
      <ns0:c r="S183" t="str" s="11">
        <ns0:f>K183</ns0:f>
        <ns0:v>Резистор 30 Ом ±5% 0805</ns0:v>
      </ns0:c>
      <x:c xmlns:x="http://schemas.openxmlformats.org/spreadsheetml/2006/main" r="T183" t="str" s="11">
        <x:v>C:\Users\Nomatin\Documents\Altium\MY_LIB\MY_LIB\Datasheets\YAGEO_RC_L.pdf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C:\Users\Nomatin\Documents\Altium\MY_LIB\MY_LIB\Datasheets\YAGEO_RC_L.pdf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https://yageogroup.com/content/datasheet/asset/file/PYU-RC_GROUP_51_ROHS_L</x:v>
      </x:c>
      <x:c xmlns:x="http://schemas.openxmlformats.org/spreadsheetml/2006/main" r="Y183" t="str" s="11">
        <x:v>C:\Users\Nomatin\Documents\Altium\MY_LIB\MY_LIB\Datasheets\YAGEO_RC_L.pdf</x:v>
      </x:c>
    </ns0:row>
    <ns0:row r="184" ht="30" customHeight="1">
      <ns0:c r="A184" t="str" s="10">
        <ns0:v>R0190</ns0:v>
      </ns0:c>
      <ns0:c r="B184" t="str" s="10">
        <ns0:v>Резистор</ns0:v>
      </ns0:c>
      <ns0:c r="C184" t="str" s="10">
        <ns0:v>33R</ns0:v>
      </ns0:c>
      <ns0:c r="D184" t="str" s="11">
        <ns0:f>SUBSTITUTE(SUBSTITUTE(SUBSTITUTE(SUBSTITUTE(C184,"meg"," МОм"),"k"," кОм"),"R"," Ом"),".",",")</ns0:f>
        <ns0:v>33 Ом</ns0:v>
      </ns0:c>
      <ns0:c r="E184" t="str" s="10">
        <ns0:v>±5%</ns0:v>
      </ns0:c>
      <ns0:c r="F184" t="str" s="10">
        <ns0:v>0,125 Вт</ns0:v>
      </ns0:c>
      <ns0:c r="G184" t="str" s="10">
        <ns0:v>150 В макс.</ns0:v>
      </ns0:c>
      <ns0:c r="H184" t="str" s="12">
        <ns0:v>0805</ns0:v>
      </ns0:c>
      <ns0:c r="I184" t="str" s="10">
        <ns0:v>YAGEO</ns0:v>
      </ns0:c>
      <ns0:c r="J184" t="str" s="10">
        <ns0:v>RC0805JR-0733RL</ns0:v>
      </ns0:c>
      <ns0:c r="K184" t="str" s="11">
        <ns0:f>B184&amp;" "&amp;D184&amp;" "&amp;E184&amp;" "&amp;H184</ns0:f>
        <ns0:v>Резистор 33 Ом ±5% 0805</ns0:v>
      </ns0:c>
      <ns0:c r="L184" t="str" s="13">
        <ns0:v>R</ns0:v>
      </ns0:c>
      <ns0:c r="M184" t="str" s="13">
        <ns0:v>Symbols\MY_LIB_Resistors.SchLib</ns0:v>
      </ns0:c>
      <ns0:c r="N184" t="str" s="13">
        <ns0:v>RESC2012X70N</ns0:v>
      </ns0:c>
      <ns0:c r="O184" t="str" s="13">
        <ns0:v>Footprints\PBL - SMD Packages.PcbLib</ns0:v>
      </ns0:c>
      <ns0:c r="P184" t="str" s="10">
        <ns0:v>RC_L; E24; P при 70 °C</ns0:v>
      </ns0:c>
      <ns0:c r="Q184" s="10"/>
      <ns0:c r="R184" t="str" s="11">
        <ns0:f>D184</ns0:f>
        <ns0:v>33 Ом</ns0:v>
      </ns0:c>
      <ns0:c r="S184" t="str" s="11">
        <ns0:f>K184</ns0:f>
        <ns0:v>Резистор 33 Ом ±5% 0805</ns0:v>
      </ns0:c>
      <x:c xmlns:x="http://schemas.openxmlformats.org/spreadsheetml/2006/main" r="T184" t="str" s="11">
        <x:v>C:\Users\Nomatin\Documents\Altium\MY_LIB\MY_LIB\Datasheets\YAGEO_RC_L.pdf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C:\Users\Nomatin\Documents\Altium\MY_LIB\MY_LIB\Datasheets\YAGEO_RC_L.pdf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https://yageogroup.com/content/datasheet/asset/file/PYU-RC_GROUP_51_ROHS_L</x:v>
      </x:c>
      <x:c xmlns:x="http://schemas.openxmlformats.org/spreadsheetml/2006/main" r="Y184" t="str" s="11">
        <x:v>C:\Users\Nomatin\Documents\Altium\MY_LIB\MY_LIB\Datasheets\YAGEO_RC_L.pdf</x:v>
      </x:c>
    </ns0:row>
    <ns0:row r="185" ht="30" customHeight="1">
      <ns0:c r="A185" t="str" s="10">
        <ns0:v>R0191</ns0:v>
      </ns0:c>
      <ns0:c r="B185" t="str" s="10">
        <ns0:v>Резистор</ns0:v>
      </ns0:c>
      <ns0:c r="C185" t="str" s="10">
        <ns0:v>36R</ns0:v>
      </ns0:c>
      <ns0:c r="D185" t="str" s="11">
        <ns0:f>SUBSTITUTE(SUBSTITUTE(SUBSTITUTE(SUBSTITUTE(C185,"meg"," МОм"),"k"," кОм"),"R"," Ом"),".",",")</ns0:f>
        <ns0:v>36 Ом</ns0:v>
      </ns0:c>
      <ns0:c r="E185" t="str" s="10">
        <ns0:v>±5%</ns0:v>
      </ns0:c>
      <ns0:c r="F185" t="str" s="10">
        <ns0:v>0,125 Вт</ns0:v>
      </ns0:c>
      <ns0:c r="G185" t="str" s="10">
        <ns0:v>150 В макс.</ns0:v>
      </ns0:c>
      <ns0:c r="H185" t="str" s="12">
        <ns0:v>0805</ns0:v>
      </ns0:c>
      <ns0:c r="I185" t="str" s="10">
        <ns0:v>YAGEO</ns0:v>
      </ns0:c>
      <ns0:c r="J185" t="str" s="10">
        <ns0:v>RC0805JR-0736RL</ns0:v>
      </ns0:c>
      <ns0:c r="K185" t="str" s="11">
        <ns0:f>B185&amp;" "&amp;D185&amp;" "&amp;E185&amp;" "&amp;H185</ns0:f>
        <ns0:v>Резистор 36 Ом ±5% 0805</ns0:v>
      </ns0:c>
      <ns0:c r="L185" t="str" s="13">
        <ns0:v>R</ns0:v>
      </ns0:c>
      <ns0:c r="M185" t="str" s="13">
        <ns0:v>Symbols\MY_LIB_Resistors.SchLib</ns0:v>
      </ns0:c>
      <ns0:c r="N185" t="str" s="13">
        <ns0:v>RESC2012X70N</ns0:v>
      </ns0:c>
      <ns0:c r="O185" t="str" s="13">
        <ns0:v>Footprints\PBL - SMD Packages.PcbLib</ns0:v>
      </ns0:c>
      <ns0:c r="P185" t="str" s="10">
        <ns0:v>RC_L; E24; P при 70 °C</ns0:v>
      </ns0:c>
      <ns0:c r="Q185" s="10"/>
      <ns0:c r="R185" t="str" s="11">
        <ns0:f>D185</ns0:f>
        <ns0:v>36 Ом</ns0:v>
      </ns0:c>
      <ns0:c r="S185" t="str" s="11">
        <ns0:f>K185</ns0:f>
        <ns0:v>Резистор 36 Ом ±5% 0805</ns0:v>
      </ns0:c>
      <x:c xmlns:x="http://schemas.openxmlformats.org/spreadsheetml/2006/main" r="T185" t="str" s="11">
        <x:v>C:\Users\Nomatin\Documents\Altium\MY_LIB\MY_LIB\Datasheets\YAGEO_RC_L.pdf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C:\Users\Nomatin\Documents\Altium\MY_LIB\MY_LIB\Datasheets\YAGEO_RC_L.pdf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https://yageogroup.com/content/datasheet/asset/file/PYU-RC_GROUP_51_ROHS_L</x:v>
      </x:c>
      <x:c xmlns:x="http://schemas.openxmlformats.org/spreadsheetml/2006/main" r="Y185" t="str" s="11">
        <x:v>C:\Users\Nomatin\Documents\Altium\MY_LIB\MY_LIB\Datasheets\YAGEO_RC_L.pdf</x:v>
      </x:c>
    </ns0:row>
    <ns0:row r="186" ht="30" customHeight="1">
      <ns0:c r="A186" t="str" s="10">
        <ns0:v>R0192</ns0:v>
      </ns0:c>
      <ns0:c r="B186" t="str" s="10">
        <ns0:v>Резистор</ns0:v>
      </ns0:c>
      <ns0:c r="C186" t="str" s="10">
        <ns0:v>39R</ns0:v>
      </ns0:c>
      <ns0:c r="D186" t="str" s="11">
        <ns0:f>SUBSTITUTE(SUBSTITUTE(SUBSTITUTE(SUBSTITUTE(C186,"meg"," МОм"),"k"," кОм"),"R"," Ом"),".",",")</ns0:f>
        <ns0:v>39 Ом</ns0:v>
      </ns0:c>
      <ns0:c r="E186" t="str" s="10">
        <ns0:v>±5%</ns0:v>
      </ns0:c>
      <ns0:c r="F186" t="str" s="10">
        <ns0:v>0,125 Вт</ns0:v>
      </ns0:c>
      <ns0:c r="G186" t="str" s="10">
        <ns0:v>150 В макс.</ns0:v>
      </ns0:c>
      <ns0:c r="H186" t="str" s="12">
        <ns0:v>0805</ns0:v>
      </ns0:c>
      <ns0:c r="I186" t="str" s="10">
        <ns0:v>YAGEO</ns0:v>
      </ns0:c>
      <ns0:c r="J186" t="str" s="10">
        <ns0:v>RC0805JR-0739RL</ns0:v>
      </ns0:c>
      <ns0:c r="K186" t="str" s="11">
        <ns0:f>B186&amp;" "&amp;D186&amp;" "&amp;E186&amp;" "&amp;H186</ns0:f>
        <ns0:v>Резистор 39 Ом ±5% 0805</ns0:v>
      </ns0:c>
      <ns0:c r="L186" t="str" s="13">
        <ns0:v>R</ns0:v>
      </ns0:c>
      <ns0:c r="M186" t="str" s="13">
        <ns0:v>Symbols\MY_LIB_Resistors.SchLib</ns0:v>
      </ns0:c>
      <ns0:c r="N186" t="str" s="13">
        <ns0:v>RESC2012X70N</ns0:v>
      </ns0:c>
      <ns0:c r="O186" t="str" s="13">
        <ns0:v>Footprints\PBL - SMD Packages.PcbLib</ns0:v>
      </ns0:c>
      <ns0:c r="P186" t="str" s="10">
        <ns0:v>RC_L; E24; P при 70 °C</ns0:v>
      </ns0:c>
      <ns0:c r="Q186" s="10"/>
      <ns0:c r="R186" t="str" s="11">
        <ns0:f>D186</ns0:f>
        <ns0:v>39 Ом</ns0:v>
      </ns0:c>
      <ns0:c r="S186" t="str" s="11">
        <ns0:f>K186</ns0:f>
        <ns0:v>Резистор 39 Ом ±5% 0805</ns0:v>
      </ns0:c>
      <x:c xmlns:x="http://schemas.openxmlformats.org/spreadsheetml/2006/main" r="T186" t="str" s="11">
        <x:v>C:\Users\Nomatin\Documents\Altium\MY_LIB\MY_LIB\Datasheets\YAGEO_RC_L.pdf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C:\Users\Nomatin\Documents\Altium\MY_LIB\MY_LIB\Datasheets\YAGEO_RC_L.pdf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https://yageogroup.com/content/datasheet/asset/file/PYU-RC_GROUP_51_ROHS_L</x:v>
      </x:c>
      <x:c xmlns:x="http://schemas.openxmlformats.org/spreadsheetml/2006/main" r="Y186" t="str" s="11">
        <x:v>C:\Users\Nomatin\Documents\Altium\MY_LIB\MY_LIB\Datasheets\YAGEO_RC_L.pdf</x:v>
      </x:c>
    </ns0:row>
    <ns0:row r="187" ht="30" customHeight="1">
      <ns0:c r="A187" t="str" s="10">
        <ns0:v>R0193</ns0:v>
      </ns0:c>
      <ns0:c r="B187" t="str" s="10">
        <ns0:v>Резистор</ns0:v>
      </ns0:c>
      <ns0:c r="C187" t="str" s="10">
        <ns0:v>43R</ns0:v>
      </ns0:c>
      <ns0:c r="D187" t="str" s="11">
        <ns0:f>SUBSTITUTE(SUBSTITUTE(SUBSTITUTE(SUBSTITUTE(C187,"meg"," МОм"),"k"," кОм"),"R"," Ом"),".",",")</ns0:f>
        <ns0:v>43 Ом</ns0:v>
      </ns0:c>
      <ns0:c r="E187" t="str" s="10">
        <ns0:v>±5%</ns0:v>
      </ns0:c>
      <ns0:c r="F187" t="str" s="10">
        <ns0:v>0,125 Вт</ns0:v>
      </ns0:c>
      <ns0:c r="G187" t="str" s="10">
        <ns0:v>150 В макс.</ns0:v>
      </ns0:c>
      <ns0:c r="H187" t="str" s="12">
        <ns0:v>0805</ns0:v>
      </ns0:c>
      <ns0:c r="I187" t="str" s="10">
        <ns0:v>YAGEO</ns0:v>
      </ns0:c>
      <ns0:c r="J187" t="str" s="10">
        <ns0:v>RC0805JR-0743RL</ns0:v>
      </ns0:c>
      <ns0:c r="K187" t="str" s="11">
        <ns0:f>B187&amp;" "&amp;D187&amp;" "&amp;E187&amp;" "&amp;H187</ns0:f>
        <ns0:v>Резистор 43 Ом ±5% 0805</ns0:v>
      </ns0:c>
      <ns0:c r="L187" t="str" s="13">
        <ns0:v>R</ns0:v>
      </ns0:c>
      <ns0:c r="M187" t="str" s="13">
        <ns0:v>Symbols\MY_LIB_Resistors.SchLib</ns0:v>
      </ns0:c>
      <ns0:c r="N187" t="str" s="13">
        <ns0:v>RESC2012X70N</ns0:v>
      </ns0:c>
      <ns0:c r="O187" t="str" s="13">
        <ns0:v>Footprints\PBL - SMD Packages.PcbLib</ns0:v>
      </ns0:c>
      <ns0:c r="P187" t="str" s="10">
        <ns0:v>RC_L; E24; P при 70 °C</ns0:v>
      </ns0:c>
      <ns0:c r="Q187" s="10"/>
      <ns0:c r="R187" t="str" s="11">
        <ns0:f>D187</ns0:f>
        <ns0:v>43 Ом</ns0:v>
      </ns0:c>
      <ns0:c r="S187" t="str" s="11">
        <ns0:f>K187</ns0:f>
        <ns0:v>Резистор 43 Ом ±5% 0805</ns0:v>
      </ns0:c>
      <x:c xmlns:x="http://schemas.openxmlformats.org/spreadsheetml/2006/main" r="T187" t="str" s="11">
        <x:v>C:\Users\Nomatin\Documents\Altium\MY_LIB\MY_LIB\Datasheets\YAGEO_RC_L.pdf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C:\Users\Nomatin\Documents\Altium\MY_LIB\MY_LIB\Datasheets\YAGEO_RC_L.pdf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https://yageogroup.com/content/datasheet/asset/file/PYU-RC_GROUP_51_ROHS_L</x:v>
      </x:c>
      <x:c xmlns:x="http://schemas.openxmlformats.org/spreadsheetml/2006/main" r="Y187" t="str" s="11">
        <x:v>C:\Users\Nomatin\Documents\Altium\MY_LIB\MY_LIB\Datasheets\YAGEO_RC_L.pdf</x:v>
      </x:c>
    </ns0:row>
    <ns0:row r="188" ht="30" customHeight="1">
      <ns0:c r="A188" t="str" s="10">
        <ns0:v>R0194</ns0:v>
      </ns0:c>
      <ns0:c r="B188" t="str" s="10">
        <ns0:v>Резистор</ns0:v>
      </ns0:c>
      <ns0:c r="C188" t="str" s="10">
        <ns0:v>47R</ns0:v>
      </ns0:c>
      <ns0:c r="D188" t="str" s="11">
        <ns0:f>SUBSTITUTE(SUBSTITUTE(SUBSTITUTE(SUBSTITUTE(C188,"meg"," МОм"),"k"," кОм"),"R"," Ом"),".",",")</ns0:f>
        <ns0:v>47 Ом</ns0:v>
      </ns0:c>
      <ns0:c r="E188" t="str" s="10">
        <ns0:v>±5%</ns0:v>
      </ns0:c>
      <ns0:c r="F188" t="str" s="10">
        <ns0:v>0,125 Вт</ns0:v>
      </ns0:c>
      <ns0:c r="G188" t="str" s="10">
        <ns0:v>150 В макс.</ns0:v>
      </ns0:c>
      <ns0:c r="H188" t="str" s="12">
        <ns0:v>0805</ns0:v>
      </ns0:c>
      <ns0:c r="I188" t="str" s="10">
        <ns0:v>YAGEO</ns0:v>
      </ns0:c>
      <ns0:c r="J188" t="str" s="10">
        <ns0:v>RC0805JR-0747RL</ns0:v>
      </ns0:c>
      <ns0:c r="K188" t="str" s="11">
        <ns0:f>B188&amp;" "&amp;D188&amp;" "&amp;E188&amp;" "&amp;H188</ns0:f>
        <ns0:v>Резистор 47 Ом ±5% 0805</ns0:v>
      </ns0:c>
      <ns0:c r="L188" t="str" s="13">
        <ns0:v>R</ns0:v>
      </ns0:c>
      <ns0:c r="M188" t="str" s="13">
        <ns0:v>Symbols\MY_LIB_Resistors.SchLib</ns0:v>
      </ns0:c>
      <ns0:c r="N188" t="str" s="13">
        <ns0:v>RESC2012X70N</ns0:v>
      </ns0:c>
      <ns0:c r="O188" t="str" s="13">
        <ns0:v>Footprints\PBL - SMD Packages.PcbLib</ns0:v>
      </ns0:c>
      <ns0:c r="P188" t="str" s="10">
        <ns0:v>RC_L; E24; P при 70 °C</ns0:v>
      </ns0:c>
      <ns0:c r="Q188" s="10"/>
      <ns0:c r="R188" t="str" s="11">
        <ns0:f>D188</ns0:f>
        <ns0:v>47 Ом</ns0:v>
      </ns0:c>
      <ns0:c r="S188" t="str" s="11">
        <ns0:f>K188</ns0:f>
        <ns0:v>Резистор 47 Ом ±5% 0805</ns0:v>
      </ns0:c>
      <x:c xmlns:x="http://schemas.openxmlformats.org/spreadsheetml/2006/main" r="T188" t="str" s="11">
        <x:v>C:\Users\Nomatin\Documents\Altium\MY_LIB\MY_LIB\Datasheets\YAGEO_RC_L.pdf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C:\Users\Nomatin\Documents\Altium\MY_LIB\MY_LIB\Datasheets\YAGEO_RC_L.pdf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https://yageogroup.com/content/datasheet/asset/file/PYU-RC_GROUP_51_ROHS_L</x:v>
      </x:c>
      <x:c xmlns:x="http://schemas.openxmlformats.org/spreadsheetml/2006/main" r="Y188" t="str" s="11">
        <x:v>C:\Users\Nomatin\Documents\Altium\MY_LIB\MY_LIB\Datasheets\YAGEO_RC_L.pdf</x:v>
      </x:c>
    </ns0:row>
    <ns0:row r="189" ht="30" customHeight="1">
      <ns0:c r="A189" t="str" s="10">
        <ns0:v>R0195</ns0:v>
      </ns0:c>
      <ns0:c r="B189" t="str" s="10">
        <ns0:v>Резистор</ns0:v>
      </ns0:c>
      <ns0:c r="C189" t="str" s="10">
        <ns0:v>51R</ns0:v>
      </ns0:c>
      <ns0:c r="D189" t="str" s="11">
        <ns0:f>SUBSTITUTE(SUBSTITUTE(SUBSTITUTE(SUBSTITUTE(C189,"meg"," МОм"),"k"," кОм"),"R"," Ом"),".",",")</ns0:f>
        <ns0:v>51 Ом</ns0:v>
      </ns0:c>
      <ns0:c r="E189" t="str" s="10">
        <ns0:v>±5%</ns0:v>
      </ns0:c>
      <ns0:c r="F189" t="str" s="10">
        <ns0:v>0,125 Вт</ns0:v>
      </ns0:c>
      <ns0:c r="G189" t="str" s="10">
        <ns0:v>150 В макс.</ns0:v>
      </ns0:c>
      <ns0:c r="H189" t="str" s="12">
        <ns0:v>0805</ns0:v>
      </ns0:c>
      <ns0:c r="I189" t="str" s="10">
        <ns0:v>YAGEO</ns0:v>
      </ns0:c>
      <ns0:c r="J189" t="str" s="10">
        <ns0:v>RC0805JR-0751RL</ns0:v>
      </ns0:c>
      <ns0:c r="K189" t="str" s="11">
        <ns0:f>B189&amp;" "&amp;D189&amp;" "&amp;E189&amp;" "&amp;H189</ns0:f>
        <ns0:v>Резистор 51 Ом ±5% 0805</ns0:v>
      </ns0:c>
      <ns0:c r="L189" t="str" s="13">
        <ns0:v>R</ns0:v>
      </ns0:c>
      <ns0:c r="M189" t="str" s="13">
        <ns0:v>Symbols\MY_LIB_Resistors.SchLib</ns0:v>
      </ns0:c>
      <ns0:c r="N189" t="str" s="13">
        <ns0:v>RESC2012X70N</ns0:v>
      </ns0:c>
      <ns0:c r="O189" t="str" s="13">
        <ns0:v>Footprints\PBL - SMD Packages.PcbLib</ns0:v>
      </ns0:c>
      <ns0:c r="P189" t="str" s="10">
        <ns0:v>RC_L; E24; P при 70 °C</ns0:v>
      </ns0:c>
      <ns0:c r="Q189" s="10"/>
      <ns0:c r="R189" t="str" s="11">
        <ns0:f>D189</ns0:f>
        <ns0:v>51 Ом</ns0:v>
      </ns0:c>
      <ns0:c r="S189" t="str" s="11">
        <ns0:f>K189</ns0:f>
        <ns0:v>Резистор 51 Ом ±5% 0805</ns0:v>
      </ns0:c>
      <x:c xmlns:x="http://schemas.openxmlformats.org/spreadsheetml/2006/main" r="T189" t="str" s="11">
        <x:v>C:\Users\Nomatin\Documents\Altium\MY_LIB\MY_LIB\Datasheets\YAGEO_RC_L.pdf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C:\Users\Nomatin\Documents\Altium\MY_LIB\MY_LIB\Datasheets\YAGEO_RC_L.pdf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https://yageogroup.com/content/datasheet/asset/file/PYU-RC_GROUP_51_ROHS_L</x:v>
      </x:c>
      <x:c xmlns:x="http://schemas.openxmlformats.org/spreadsheetml/2006/main" r="Y189" t="str" s="11">
        <x:v>C:\Users\Nomatin\Documents\Altium\MY_LIB\MY_LIB\Datasheets\YAGEO_RC_L.pdf</x:v>
      </x:c>
    </ns0:row>
    <ns0:row r="190" ht="30" customHeight="1">
      <ns0:c r="A190" t="str" s="10">
        <ns0:v>R0196</ns0:v>
      </ns0:c>
      <ns0:c r="B190" t="str" s="10">
        <ns0:v>Резистор</ns0:v>
      </ns0:c>
      <ns0:c r="C190" t="str" s="10">
        <ns0:v>56R</ns0:v>
      </ns0:c>
      <ns0:c r="D190" t="str" s="11">
        <ns0:f>SUBSTITUTE(SUBSTITUTE(SUBSTITUTE(SUBSTITUTE(C190,"meg"," МОм"),"k"," кОм"),"R"," Ом"),".",",")</ns0:f>
        <ns0:v>56 Ом</ns0:v>
      </ns0:c>
      <ns0:c r="E190" t="str" s="10">
        <ns0:v>±5%</ns0:v>
      </ns0:c>
      <ns0:c r="F190" t="str" s="10">
        <ns0:v>0,125 Вт</ns0:v>
      </ns0:c>
      <ns0:c r="G190" t="str" s="10">
        <ns0:v>150 В макс.</ns0:v>
      </ns0:c>
      <ns0:c r="H190" t="str" s="12">
        <ns0:v>0805</ns0:v>
      </ns0:c>
      <ns0:c r="I190" t="str" s="10">
        <ns0:v>YAGEO</ns0:v>
      </ns0:c>
      <ns0:c r="J190" t="str" s="10">
        <ns0:v>RC0805JR-0756RL</ns0:v>
      </ns0:c>
      <ns0:c r="K190" t="str" s="11">
        <ns0:f>B190&amp;" "&amp;D190&amp;" "&amp;E190&amp;" "&amp;H190</ns0:f>
        <ns0:v>Резистор 56 Ом ±5% 0805</ns0:v>
      </ns0:c>
      <ns0:c r="L190" t="str" s="13">
        <ns0:v>R</ns0:v>
      </ns0:c>
      <ns0:c r="M190" t="str" s="13">
        <ns0:v>Symbols\MY_LIB_Resistors.SchLib</ns0:v>
      </ns0:c>
      <ns0:c r="N190" t="str" s="13">
        <ns0:v>RESC2012X70N</ns0:v>
      </ns0:c>
      <ns0:c r="O190" t="str" s="13">
        <ns0:v>Footprints\PBL - SMD Packages.PcbLib</ns0:v>
      </ns0:c>
      <ns0:c r="P190" t="str" s="10">
        <ns0:v>RC_L; E24; P при 70 °C</ns0:v>
      </ns0:c>
      <ns0:c r="Q190" s="10"/>
      <ns0:c r="R190" t="str" s="11">
        <ns0:f>D190</ns0:f>
        <ns0:v>56 Ом</ns0:v>
      </ns0:c>
      <ns0:c r="S190" t="str" s="11">
        <ns0:f>K190</ns0:f>
        <ns0:v>Резистор 56 Ом ±5% 0805</ns0:v>
      </ns0:c>
      <x:c xmlns:x="http://schemas.openxmlformats.org/spreadsheetml/2006/main" r="T190" t="str" s="11">
        <x:v>C:\Users\Nomatin\Documents\Altium\MY_LIB\MY_LIB\Datasheets\YAGEO_RC_L.pdf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C:\Users\Nomatin\Documents\Altium\MY_LIB\MY_LIB\Datasheets\YAGEO_RC_L.pdf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https://yageogroup.com/content/datasheet/asset/file/PYU-RC_GROUP_51_ROHS_L</x:v>
      </x:c>
      <x:c xmlns:x="http://schemas.openxmlformats.org/spreadsheetml/2006/main" r="Y190" t="str" s="11">
        <x:v>C:\Users\Nomatin\Documents\Altium\MY_LIB\MY_LIB\Datasheets\YAGEO_RC_L.pdf</x:v>
      </x:c>
    </ns0:row>
    <ns0:row r="191" ht="30" customHeight="1">
      <ns0:c r="A191" t="str" s="10">
        <ns0:v>R0197</ns0:v>
      </ns0:c>
      <ns0:c r="B191" t="str" s="10">
        <ns0:v>Резистор</ns0:v>
      </ns0:c>
      <ns0:c r="C191" t="str" s="10">
        <ns0:v>62R</ns0:v>
      </ns0:c>
      <ns0:c r="D191" t="str" s="11">
        <ns0:f>SUBSTITUTE(SUBSTITUTE(SUBSTITUTE(SUBSTITUTE(C191,"meg"," МОм"),"k"," кОм"),"R"," Ом"),".",",")</ns0:f>
        <ns0:v>62 Ом</ns0:v>
      </ns0:c>
      <ns0:c r="E191" t="str" s="10">
        <ns0:v>±5%</ns0:v>
      </ns0:c>
      <ns0:c r="F191" t="str" s="10">
        <ns0:v>0,125 Вт</ns0:v>
      </ns0:c>
      <ns0:c r="G191" t="str" s="10">
        <ns0:v>150 В макс.</ns0:v>
      </ns0:c>
      <ns0:c r="H191" t="str" s="12">
        <ns0:v>0805</ns0:v>
      </ns0:c>
      <ns0:c r="I191" t="str" s="10">
        <ns0:v>YAGEO</ns0:v>
      </ns0:c>
      <ns0:c r="J191" t="str" s="10">
        <ns0:v>RC0805JR-0762RL</ns0:v>
      </ns0:c>
      <ns0:c r="K191" t="str" s="11">
        <ns0:f>B191&amp;" "&amp;D191&amp;" "&amp;E191&amp;" "&amp;H191</ns0:f>
        <ns0:v>Резистор 62 Ом ±5% 0805</ns0:v>
      </ns0:c>
      <ns0:c r="L191" t="str" s="13">
        <ns0:v>R</ns0:v>
      </ns0:c>
      <ns0:c r="M191" t="str" s="13">
        <ns0:v>Symbols\MY_LIB_Resistors.SchLib</ns0:v>
      </ns0:c>
      <ns0:c r="N191" t="str" s="13">
        <ns0:v>RESC2012X70N</ns0:v>
      </ns0:c>
      <ns0:c r="O191" t="str" s="13">
        <ns0:v>Footprints\PBL - SMD Packages.PcbLib</ns0:v>
      </ns0:c>
      <ns0:c r="P191" t="str" s="10">
        <ns0:v>RC_L; E24; P при 70 °C</ns0:v>
      </ns0:c>
      <ns0:c r="Q191" s="10"/>
      <ns0:c r="R191" t="str" s="11">
        <ns0:f>D191</ns0:f>
        <ns0:v>62 Ом</ns0:v>
      </ns0:c>
      <ns0:c r="S191" t="str" s="11">
        <ns0:f>K191</ns0:f>
        <ns0:v>Резистор 62 Ом ±5% 0805</ns0:v>
      </ns0:c>
      <x:c xmlns:x="http://schemas.openxmlformats.org/spreadsheetml/2006/main" r="T191" t="str" s="11">
        <x:v>C:\Users\Nomatin\Documents\Altium\MY_LIB\MY_LIB\Datasheets\YAGEO_RC_L.pdf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C:\Users\Nomatin\Documents\Altium\MY_LIB\MY_LIB\Datasheets\YAGEO_RC_L.pdf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https://yageogroup.com/content/datasheet/asset/file/PYU-RC_GROUP_51_ROHS_L</x:v>
      </x:c>
      <x:c xmlns:x="http://schemas.openxmlformats.org/spreadsheetml/2006/main" r="Y191" t="str" s="11">
        <x:v>C:\Users\Nomatin\Documents\Altium\MY_LIB\MY_LIB\Datasheets\YAGEO_RC_L.pdf</x:v>
      </x:c>
    </ns0:row>
    <ns0:row r="192" ht="30" customHeight="1">
      <ns0:c r="A192" t="str" s="10">
        <ns0:v>R0198</ns0:v>
      </ns0:c>
      <ns0:c r="B192" t="str" s="10">
        <ns0:v>Резистор</ns0:v>
      </ns0:c>
      <ns0:c r="C192" t="str" s="10">
        <ns0:v>68R</ns0:v>
      </ns0:c>
      <ns0:c r="D192" t="str" s="11">
        <ns0:f>SUBSTITUTE(SUBSTITUTE(SUBSTITUTE(SUBSTITUTE(C192,"meg"," МОм"),"k"," кОм"),"R"," Ом"),".",",")</ns0:f>
        <ns0:v>68 Ом</ns0:v>
      </ns0:c>
      <ns0:c r="E192" t="str" s="10">
        <ns0:v>±5%</ns0:v>
      </ns0:c>
      <ns0:c r="F192" t="str" s="10">
        <ns0:v>0,125 Вт</ns0:v>
      </ns0:c>
      <ns0:c r="G192" t="str" s="10">
        <ns0:v>150 В макс.</ns0:v>
      </ns0:c>
      <ns0:c r="H192" t="str" s="12">
        <ns0:v>0805</ns0:v>
      </ns0:c>
      <ns0:c r="I192" t="str" s="10">
        <ns0:v>YAGEO</ns0:v>
      </ns0:c>
      <ns0:c r="J192" t="str" s="10">
        <ns0:v>RC0805JR-0768RL</ns0:v>
      </ns0:c>
      <ns0:c r="K192" t="str" s="11">
        <ns0:f>B192&amp;" "&amp;D192&amp;" "&amp;E192&amp;" "&amp;H192</ns0:f>
        <ns0:v>Резистор 68 Ом ±5% 0805</ns0:v>
      </ns0:c>
      <ns0:c r="L192" t="str" s="13">
        <ns0:v>R</ns0:v>
      </ns0:c>
      <ns0:c r="M192" t="str" s="13">
        <ns0:v>Symbols\MY_LIB_Resistors.SchLib</ns0:v>
      </ns0:c>
      <ns0:c r="N192" t="str" s="13">
        <ns0:v>RESC2012X70N</ns0:v>
      </ns0:c>
      <ns0:c r="O192" t="str" s="13">
        <ns0:v>Footprints\PBL - SMD Packages.PcbLib</ns0:v>
      </ns0:c>
      <ns0:c r="P192" t="str" s="10">
        <ns0:v>RC_L; E24; P при 70 °C</ns0:v>
      </ns0:c>
      <ns0:c r="Q192" s="10"/>
      <ns0:c r="R192" t="str" s="11">
        <ns0:f>D192</ns0:f>
        <ns0:v>68 Ом</ns0:v>
      </ns0:c>
      <ns0:c r="S192" t="str" s="11">
        <ns0:f>K192</ns0:f>
        <ns0:v>Резистор 68 Ом ±5% 0805</ns0:v>
      </ns0:c>
      <x:c xmlns:x="http://schemas.openxmlformats.org/spreadsheetml/2006/main" r="T192" t="str" s="11">
        <x:v>C:\Users\Nomatin\Documents\Altium\MY_LIB\MY_LIB\Datasheets\YAGEO_RC_L.pdf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C:\Users\Nomatin\Documents\Altium\MY_LIB\MY_LIB\Datasheets\YAGEO_RC_L.pdf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https://yageogroup.com/content/datasheet/asset/file/PYU-RC_GROUP_51_ROHS_L</x:v>
      </x:c>
      <x:c xmlns:x="http://schemas.openxmlformats.org/spreadsheetml/2006/main" r="Y192" t="str" s="11">
        <x:v>C:\Users\Nomatin\Documents\Altium\MY_LIB\MY_LIB\Datasheets\YAGEO_RC_L.pdf</x:v>
      </x:c>
    </ns0:row>
    <ns0:row r="193" ht="30" customHeight="1">
      <ns0:c r="A193" t="str" s="10">
        <ns0:v>R0199</ns0:v>
      </ns0:c>
      <ns0:c r="B193" t="str" s="10">
        <ns0:v>Резистор</ns0:v>
      </ns0:c>
      <ns0:c r="C193" t="str" s="10">
        <ns0:v>75R</ns0:v>
      </ns0:c>
      <ns0:c r="D193" t="str" s="11">
        <ns0:f>SUBSTITUTE(SUBSTITUTE(SUBSTITUTE(SUBSTITUTE(C193,"meg"," МОм"),"k"," кОм"),"R"," Ом"),".",",")</ns0:f>
        <ns0:v>75 Ом</ns0:v>
      </ns0:c>
      <ns0:c r="E193" t="str" s="10">
        <ns0:v>±5%</ns0:v>
      </ns0:c>
      <ns0:c r="F193" t="str" s="10">
        <ns0:v>0,125 Вт</ns0:v>
      </ns0:c>
      <ns0:c r="G193" t="str" s="10">
        <ns0:v>150 В макс.</ns0:v>
      </ns0:c>
      <ns0:c r="H193" t="str" s="12">
        <ns0:v>0805</ns0:v>
      </ns0:c>
      <ns0:c r="I193" t="str" s="10">
        <ns0:v>YAGEO</ns0:v>
      </ns0:c>
      <ns0:c r="J193" t="str" s="10">
        <ns0:v>RC0805JR-0775RL</ns0:v>
      </ns0:c>
      <ns0:c r="K193" t="str" s="11">
        <ns0:f>B193&amp;" "&amp;D193&amp;" "&amp;E193&amp;" "&amp;H193</ns0:f>
        <ns0:v>Резистор 75 Ом ±5% 0805</ns0:v>
      </ns0:c>
      <ns0:c r="L193" t="str" s="13">
        <ns0:v>R</ns0:v>
      </ns0:c>
      <ns0:c r="M193" t="str" s="13">
        <ns0:v>Symbols\MY_LIB_Resistors.SchLib</ns0:v>
      </ns0:c>
      <ns0:c r="N193" t="str" s="13">
        <ns0:v>RESC2012X70N</ns0:v>
      </ns0:c>
      <ns0:c r="O193" t="str" s="13">
        <ns0:v>Footprints\PBL - SMD Packages.PcbLib</ns0:v>
      </ns0:c>
      <ns0:c r="P193" t="str" s="10">
        <ns0:v>RC_L; E24; P при 70 °C</ns0:v>
      </ns0:c>
      <ns0:c r="Q193" s="10"/>
      <ns0:c r="R193" t="str" s="11">
        <ns0:f>D193</ns0:f>
        <ns0:v>75 Ом</ns0:v>
      </ns0:c>
      <ns0:c r="S193" t="str" s="11">
        <ns0:f>K193</ns0:f>
        <ns0:v>Резистор 75 Ом ±5% 0805</ns0:v>
      </ns0:c>
      <x:c xmlns:x="http://schemas.openxmlformats.org/spreadsheetml/2006/main" r="T193" t="str" s="11">
        <x:v>C:\Users\Nomatin\Documents\Altium\MY_LIB\MY_LIB\Datasheets\YAGEO_RC_L.pdf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C:\Users\Nomatin\Documents\Altium\MY_LIB\MY_LIB\Datasheets\YAGEO_RC_L.pdf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https://yageogroup.com/content/datasheet/asset/file/PYU-RC_GROUP_51_ROHS_L</x:v>
      </x:c>
      <x:c xmlns:x="http://schemas.openxmlformats.org/spreadsheetml/2006/main" r="Y193" t="str" s="11">
        <x:v>C:\Users\Nomatin\Documents\Altium\MY_LIB\MY_LIB\Datasheets\YAGEO_RC_L.pdf</x:v>
      </x:c>
    </ns0:row>
    <ns0:row r="194" ht="30" customHeight="1">
      <ns0:c r="A194" t="str" s="10">
        <ns0:v>R0200</ns0:v>
      </ns0:c>
      <ns0:c r="B194" t="str" s="10">
        <ns0:v>Резистор</ns0:v>
      </ns0:c>
      <ns0:c r="C194" t="str" s="10">
        <ns0:v>82R</ns0:v>
      </ns0:c>
      <ns0:c r="D194" t="str" s="11">
        <ns0:f>SUBSTITUTE(SUBSTITUTE(SUBSTITUTE(SUBSTITUTE(C194,"meg"," МОм"),"k"," кОм"),"R"," Ом"),".",",")</ns0:f>
        <ns0:v>82 Ом</ns0:v>
      </ns0:c>
      <ns0:c r="E194" t="str" s="10">
        <ns0:v>±5%</ns0:v>
      </ns0:c>
      <ns0:c r="F194" t="str" s="10">
        <ns0:v>0,125 Вт</ns0:v>
      </ns0:c>
      <ns0:c r="G194" t="str" s="10">
        <ns0:v>150 В макс.</ns0:v>
      </ns0:c>
      <ns0:c r="H194" t="str" s="12">
        <ns0:v>0805</ns0:v>
      </ns0:c>
      <ns0:c r="I194" t="str" s="10">
        <ns0:v>YAGEO</ns0:v>
      </ns0:c>
      <ns0:c r="J194" t="str" s="10">
        <ns0:v>RC0805JR-0782RL</ns0:v>
      </ns0:c>
      <ns0:c r="K194" t="str" s="11">
        <ns0:f>B194&amp;" "&amp;D194&amp;" "&amp;E194&amp;" "&amp;H194</ns0:f>
        <ns0:v>Резистор 82 Ом ±5% 0805</ns0:v>
      </ns0:c>
      <ns0:c r="L194" t="str" s="13">
        <ns0:v>R</ns0:v>
      </ns0:c>
      <ns0:c r="M194" t="str" s="13">
        <ns0:v>Symbols\MY_LIB_Resistors.SchLib</ns0:v>
      </ns0:c>
      <ns0:c r="N194" t="str" s="13">
        <ns0:v>RESC2012X70N</ns0:v>
      </ns0:c>
      <ns0:c r="O194" t="str" s="13">
        <ns0:v>Footprints\PBL - SMD Packages.PcbLib</ns0:v>
      </ns0:c>
      <ns0:c r="P194" t="str" s="10">
        <ns0:v>RC_L; E24; P при 70 °C</ns0:v>
      </ns0:c>
      <ns0:c r="Q194" s="10"/>
      <ns0:c r="R194" t="str" s="11">
        <ns0:f>D194</ns0:f>
        <ns0:v>82 Ом</ns0:v>
      </ns0:c>
      <ns0:c r="S194" t="str" s="11">
        <ns0:f>K194</ns0:f>
        <ns0:v>Резистор 82 Ом ±5% 0805</ns0:v>
      </ns0:c>
      <x:c xmlns:x="http://schemas.openxmlformats.org/spreadsheetml/2006/main" r="T194" t="str" s="11">
        <x:v>C:\Users\Nomatin\Documents\Altium\MY_LIB\MY_LIB\Datasheets\YAGEO_RC_L.pdf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C:\Users\Nomatin\Documents\Altium\MY_LIB\MY_LIB\Datasheets\YAGEO_RC_L.pdf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https://yageogroup.com/content/datasheet/asset/file/PYU-RC_GROUP_51_ROHS_L</x:v>
      </x:c>
      <x:c xmlns:x="http://schemas.openxmlformats.org/spreadsheetml/2006/main" r="Y194" t="str" s="11">
        <x:v>C:\Users\Nomatin\Documents\Altium\MY_LIB\MY_LIB\Datasheets\YAGEO_RC_L.pdf</x:v>
      </x:c>
    </ns0:row>
    <ns0:row r="195" ht="30" customHeight="1">
      <ns0:c r="A195" t="str" s="10">
        <ns0:v>R0201</ns0:v>
      </ns0:c>
      <ns0:c r="B195" t="str" s="10">
        <ns0:v>Резистор</ns0:v>
      </ns0:c>
      <ns0:c r="C195" t="str" s="10">
        <ns0:v>91R</ns0:v>
      </ns0:c>
      <ns0:c r="D195" t="str" s="11">
        <ns0:f>SUBSTITUTE(SUBSTITUTE(SUBSTITUTE(SUBSTITUTE(C195,"meg"," МОм"),"k"," кОм"),"R"," Ом"),".",",")</ns0:f>
        <ns0:v>91 Ом</ns0:v>
      </ns0:c>
      <ns0:c r="E195" t="str" s="10">
        <ns0:v>±5%</ns0:v>
      </ns0:c>
      <ns0:c r="F195" t="str" s="10">
        <ns0:v>0,125 Вт</ns0:v>
      </ns0:c>
      <ns0:c r="G195" t="str" s="10">
        <ns0:v>150 В макс.</ns0:v>
      </ns0:c>
      <ns0:c r="H195" t="str" s="12">
        <ns0:v>0805</ns0:v>
      </ns0:c>
      <ns0:c r="I195" t="str" s="10">
        <ns0:v>YAGEO</ns0:v>
      </ns0:c>
      <ns0:c r="J195" t="str" s="10">
        <ns0:v>RC0805JR-0791RL</ns0:v>
      </ns0:c>
      <ns0:c r="K195" t="str" s="11">
        <ns0:f>B195&amp;" "&amp;D195&amp;" "&amp;E195&amp;" "&amp;H195</ns0:f>
        <ns0:v>Резистор 91 Ом ±5% 0805</ns0:v>
      </ns0:c>
      <ns0:c r="L195" t="str" s="13">
        <ns0:v>R</ns0:v>
      </ns0:c>
      <ns0:c r="M195" t="str" s="13">
        <ns0:v>Symbols\MY_LIB_Resistors.SchLib</ns0:v>
      </ns0:c>
      <ns0:c r="N195" t="str" s="13">
        <ns0:v>RESC2012X70N</ns0:v>
      </ns0:c>
      <ns0:c r="O195" t="str" s="13">
        <ns0:v>Footprints\PBL - SMD Packages.PcbLib</ns0:v>
      </ns0:c>
      <ns0:c r="P195" t="str" s="10">
        <ns0:v>RC_L; E24; P при 70 °C</ns0:v>
      </ns0:c>
      <ns0:c r="Q195" s="10"/>
      <ns0:c r="R195" t="str" s="11">
        <ns0:f>D195</ns0:f>
        <ns0:v>91 Ом</ns0:v>
      </ns0:c>
      <ns0:c r="S195" t="str" s="11">
        <ns0:f>K195</ns0:f>
        <ns0:v>Резистор 91 Ом ±5% 0805</ns0:v>
      </ns0:c>
      <x:c xmlns:x="http://schemas.openxmlformats.org/spreadsheetml/2006/main" r="T195" t="str" s="11">
        <x:v>C:\Users\Nomatin\Documents\Altium\MY_LIB\MY_LIB\Datasheets\YAGEO_RC_L.pdf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C:\Users\Nomatin\Documents\Altium\MY_LIB\MY_LIB\Datasheets\YAGEO_RC_L.pdf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https://yageogroup.com/content/datasheet/asset/file/PYU-RC_GROUP_51_ROHS_L</x:v>
      </x:c>
      <x:c xmlns:x="http://schemas.openxmlformats.org/spreadsheetml/2006/main" r="Y195" t="str" s="11">
        <x:v>C:\Users\Nomatin\Documents\Altium\MY_LIB\MY_LIB\Datasheets\YAGEO_RC_L.pdf</x:v>
      </x:c>
    </ns0:row>
    <ns0:row r="196" ht="30" customHeight="1">
      <ns0:c r="A196" t="str" s="10">
        <ns0:v>R0202</ns0:v>
      </ns0:c>
      <ns0:c r="B196" t="str" s="10">
        <ns0:v>Резистор</ns0:v>
      </ns0:c>
      <ns0:c r="C196" t="str" s="10">
        <ns0:v>100R</ns0:v>
      </ns0:c>
      <ns0:c r="D196" t="str" s="11">
        <ns0:f>SUBSTITUTE(SUBSTITUTE(SUBSTITUTE(SUBSTITUTE(C196,"meg"," МОм"),"k"," кОм"),"R"," Ом"),".",",")</ns0:f>
        <ns0:v>100 Ом</ns0:v>
      </ns0:c>
      <ns0:c r="E196" t="str" s="10">
        <ns0:v>±5%</ns0:v>
      </ns0:c>
      <ns0:c r="F196" t="str" s="10">
        <ns0:v>0,125 Вт</ns0:v>
      </ns0:c>
      <ns0:c r="G196" t="str" s="10">
        <ns0:v>150 В макс.</ns0:v>
      </ns0:c>
      <ns0:c r="H196" t="str" s="12">
        <ns0:v>0805</ns0:v>
      </ns0:c>
      <ns0:c r="I196" t="str" s="10">
        <ns0:v>YAGEO</ns0:v>
      </ns0:c>
      <ns0:c r="J196" t="str" s="10">
        <ns0:v>RC0805JR-07100RL</ns0:v>
      </ns0:c>
      <ns0:c r="K196" t="str" s="11">
        <ns0:f>B196&amp;" "&amp;D196&amp;" "&amp;E196&amp;" "&amp;H196</ns0:f>
        <ns0:v>Резистор 100 Ом ±5% 0805</ns0:v>
      </ns0:c>
      <ns0:c r="L196" t="str" s="13">
        <ns0:v>R</ns0:v>
      </ns0:c>
      <ns0:c r="M196" t="str" s="13">
        <ns0:v>Symbols\MY_LIB_Resistors.SchLib</ns0:v>
      </ns0:c>
      <ns0:c r="N196" t="str" s="13">
        <ns0:v>RESC2012X70N</ns0:v>
      </ns0:c>
      <ns0:c r="O196" t="str" s="13">
        <ns0:v>Footprints\PBL - SMD Packages.PcbLib</ns0:v>
      </ns0:c>
      <ns0:c r="P196" t="str" s="10">
        <ns0:v>RC_L; E24; P при 70 °C</ns0:v>
      </ns0:c>
      <ns0:c r="Q196" s="10"/>
      <ns0:c r="R196" t="str" s="11">
        <ns0:f>D196</ns0:f>
        <ns0:v>100 Ом</ns0:v>
      </ns0:c>
      <ns0:c r="S196" t="str" s="11">
        <ns0:f>K196</ns0:f>
        <ns0:v>Резистор 100 Ом ±5% 0805</ns0:v>
      </ns0:c>
      <x:c xmlns:x="http://schemas.openxmlformats.org/spreadsheetml/2006/main" r="T196" t="str" s="11">
        <x:v>C:\Users\Nomatin\Documents\Altium\MY_LIB\MY_LIB\Datasheets\YAGEO_RC_L.pdf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C:\Users\Nomatin\Documents\Altium\MY_LIB\MY_LIB\Datasheets\YAGEO_RC_L.pdf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https://yageogroup.com/content/datasheet/asset/file/PYU-RC_GROUP_51_ROHS_L</x:v>
      </x:c>
      <x:c xmlns:x="http://schemas.openxmlformats.org/spreadsheetml/2006/main" r="Y196" t="str" s="11">
        <x:v>C:\Users\Nomatin\Documents\Altium\MY_LIB\MY_LIB\Datasheets\YAGEO_RC_L.pdf</x:v>
      </x:c>
    </ns0:row>
    <ns0:row r="197" ht="30" customHeight="1">
      <ns0:c r="A197" t="str" s="10">
        <ns0:v>R0203</ns0:v>
      </ns0:c>
      <ns0:c r="B197" t="str" s="10">
        <ns0:v>Резистор</ns0:v>
      </ns0:c>
      <ns0:c r="C197" t="str" s="10">
        <ns0:v>110R</ns0:v>
      </ns0:c>
      <ns0:c r="D197" t="str" s="11">
        <ns0:f>SUBSTITUTE(SUBSTITUTE(SUBSTITUTE(SUBSTITUTE(C197,"meg"," МОм"),"k"," кОм"),"R"," Ом"),".",",")</ns0:f>
        <ns0:v>110 Ом</ns0:v>
      </ns0:c>
      <ns0:c r="E197" t="str" s="10">
        <ns0:v>±5%</ns0:v>
      </ns0:c>
      <ns0:c r="F197" t="str" s="10">
        <ns0:v>0,125 Вт</ns0:v>
      </ns0:c>
      <ns0:c r="G197" t="str" s="10">
        <ns0:v>150 В макс.</ns0:v>
      </ns0:c>
      <ns0:c r="H197" t="str" s="12">
        <ns0:v>0805</ns0:v>
      </ns0:c>
      <ns0:c r="I197" t="str" s="10">
        <ns0:v>YAGEO</ns0:v>
      </ns0:c>
      <ns0:c r="J197" t="str" s="10">
        <ns0:v>RC0805JR-07110RL</ns0:v>
      </ns0:c>
      <ns0:c r="K197" t="str" s="11">
        <ns0:f>B197&amp;" "&amp;D197&amp;" "&amp;E197&amp;" "&amp;H197</ns0:f>
        <ns0:v>Резистор 110 Ом ±5% 0805</ns0:v>
      </ns0:c>
      <ns0:c r="L197" t="str" s="13">
        <ns0:v>R</ns0:v>
      </ns0:c>
      <ns0:c r="M197" t="str" s="13">
        <ns0:v>Symbols\MY_LIB_Resistors.SchLib</ns0:v>
      </ns0:c>
      <ns0:c r="N197" t="str" s="13">
        <ns0:v>RESC2012X70N</ns0:v>
      </ns0:c>
      <ns0:c r="O197" t="str" s="13">
        <ns0:v>Footprints\PBL - SMD Packages.PcbLib</ns0:v>
      </ns0:c>
      <ns0:c r="P197" t="str" s="10">
        <ns0:v>RC_L; E24; P при 70 °C</ns0:v>
      </ns0:c>
      <ns0:c r="Q197" s="10"/>
      <ns0:c r="R197" t="str" s="11">
        <ns0:f>D197</ns0:f>
        <ns0:v>110 Ом</ns0:v>
      </ns0:c>
      <ns0:c r="S197" t="str" s="11">
        <ns0:f>K197</ns0:f>
        <ns0:v>Резистор 110 Ом ±5% 0805</ns0:v>
      </ns0:c>
      <x:c xmlns:x="http://schemas.openxmlformats.org/spreadsheetml/2006/main" r="T197" t="str" s="11">
        <x:v>C:\Users\Nomatin\Documents\Altium\MY_LIB\MY_LIB\Datasheets\YAGEO_RC_L.pdf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C:\Users\Nomatin\Documents\Altium\MY_LIB\MY_LIB\Datasheets\YAGEO_RC_L.pdf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https://yageogroup.com/content/datasheet/asset/file/PYU-RC_GROUP_51_ROHS_L</x:v>
      </x:c>
      <x:c xmlns:x="http://schemas.openxmlformats.org/spreadsheetml/2006/main" r="Y197" t="str" s="11">
        <x:v>C:\Users\Nomatin\Documents\Altium\MY_LIB\MY_LIB\Datasheets\YAGEO_RC_L.pdf</x:v>
      </x:c>
    </ns0:row>
    <ns0:row r="198" ht="30" customHeight="1">
      <ns0:c r="A198" t="str" s="10">
        <ns0:v>R0204</ns0:v>
      </ns0:c>
      <ns0:c r="B198" t="str" s="10">
        <ns0:v>Резистор</ns0:v>
      </ns0:c>
      <ns0:c r="C198" t="str" s="10">
        <ns0:v>120R</ns0:v>
      </ns0:c>
      <ns0:c r="D198" t="str" s="11">
        <ns0:f>SUBSTITUTE(SUBSTITUTE(SUBSTITUTE(SUBSTITUTE(C198,"meg"," МОм"),"k"," кОм"),"R"," Ом"),".",",")</ns0:f>
        <ns0:v>120 Ом</ns0:v>
      </ns0:c>
      <ns0:c r="E198" t="str" s="10">
        <ns0:v>±5%</ns0:v>
      </ns0:c>
      <ns0:c r="F198" t="str" s="10">
        <ns0:v>0,125 Вт</ns0:v>
      </ns0:c>
      <ns0:c r="G198" t="str" s="10">
        <ns0:v>150 В макс.</ns0:v>
      </ns0:c>
      <ns0:c r="H198" t="str" s="12">
        <ns0:v>0805</ns0:v>
      </ns0:c>
      <ns0:c r="I198" t="str" s="10">
        <ns0:v>YAGEO</ns0:v>
      </ns0:c>
      <ns0:c r="J198" t="str" s="10">
        <ns0:v>RC0805JR-07120RL</ns0:v>
      </ns0:c>
      <ns0:c r="K198" t="str" s="11">
        <ns0:f>B198&amp;" "&amp;D198&amp;" "&amp;E198&amp;" "&amp;H198</ns0:f>
        <ns0:v>Резистор 120 Ом ±5% 0805</ns0:v>
      </ns0:c>
      <ns0:c r="L198" t="str" s="13">
        <ns0:v>R</ns0:v>
      </ns0:c>
      <ns0:c r="M198" t="str" s="13">
        <ns0:v>Symbols\MY_LIB_Resistors.SchLib</ns0:v>
      </ns0:c>
      <ns0:c r="N198" t="str" s="13">
        <ns0:v>RESC2012X70N</ns0:v>
      </ns0:c>
      <ns0:c r="O198" t="str" s="13">
        <ns0:v>Footprints\PBL - SMD Packages.PcbLib</ns0:v>
      </ns0:c>
      <ns0:c r="P198" t="str" s="10">
        <ns0:v>RC_L; E24; P при 70 °C</ns0:v>
      </ns0:c>
      <ns0:c r="Q198" s="10"/>
      <ns0:c r="R198" t="str" s="11">
        <ns0:f>D198</ns0:f>
        <ns0:v>120 Ом</ns0:v>
      </ns0:c>
      <ns0:c r="S198" t="str" s="11">
        <ns0:f>K198</ns0:f>
        <ns0:v>Резистор 120 Ом ±5% 0805</ns0:v>
      </ns0:c>
      <x:c xmlns:x="http://schemas.openxmlformats.org/spreadsheetml/2006/main" r="T198" t="str" s="11">
        <x:v>C:\Users\Nomatin\Documents\Altium\MY_LIB\MY_LIB\Datasheets\YAGEO_RC_L.pdf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C:\Users\Nomatin\Documents\Altium\MY_LIB\MY_LIB\Datasheets\YAGEO_RC_L.pdf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https://yageogroup.com/content/datasheet/asset/file/PYU-RC_GROUP_51_ROHS_L</x:v>
      </x:c>
      <x:c xmlns:x="http://schemas.openxmlformats.org/spreadsheetml/2006/main" r="Y198" t="str" s="11">
        <x:v>C:\Users\Nomatin\Documents\Altium\MY_LIB\MY_LIB\Datasheets\YAGEO_RC_L.pdf</x:v>
      </x:c>
    </ns0:row>
    <ns0:row r="199" ht="30" customHeight="1">
      <ns0:c r="A199" t="str" s="10">
        <ns0:v>R0205</ns0:v>
      </ns0:c>
      <ns0:c r="B199" t="str" s="10">
        <ns0:v>Резистор</ns0:v>
      </ns0:c>
      <ns0:c r="C199" t="str" s="10">
        <ns0:v>130R</ns0:v>
      </ns0:c>
      <ns0:c r="D199" t="str" s="11">
        <ns0:f>SUBSTITUTE(SUBSTITUTE(SUBSTITUTE(SUBSTITUTE(C199,"meg"," МОм"),"k"," кОм"),"R"," Ом"),".",",")</ns0:f>
        <ns0:v>130 Ом</ns0:v>
      </ns0:c>
      <ns0:c r="E199" t="str" s="10">
        <ns0:v>±5%</ns0:v>
      </ns0:c>
      <ns0:c r="F199" t="str" s="10">
        <ns0:v>0,125 Вт</ns0:v>
      </ns0:c>
      <ns0:c r="G199" t="str" s="10">
        <ns0:v>150 В макс.</ns0:v>
      </ns0:c>
      <ns0:c r="H199" t="str" s="12">
        <ns0:v>0805</ns0:v>
      </ns0:c>
      <ns0:c r="I199" t="str" s="10">
        <ns0:v>YAGEO</ns0:v>
      </ns0:c>
      <ns0:c r="J199" t="str" s="10">
        <ns0:v>RC0805JR-07130RL</ns0:v>
      </ns0:c>
      <ns0:c r="K199" t="str" s="11">
        <ns0:f>B199&amp;" "&amp;D199&amp;" "&amp;E199&amp;" "&amp;H199</ns0:f>
        <ns0:v>Резистор 130 Ом ±5% 0805</ns0:v>
      </ns0:c>
      <ns0:c r="L199" t="str" s="13">
        <ns0:v>R</ns0:v>
      </ns0:c>
      <ns0:c r="M199" t="str" s="13">
        <ns0:v>Symbols\MY_LIB_Resistors.SchLib</ns0:v>
      </ns0:c>
      <ns0:c r="N199" t="str" s="13">
        <ns0:v>RESC2012X70N</ns0:v>
      </ns0:c>
      <ns0:c r="O199" t="str" s="13">
        <ns0:v>Footprints\PBL - SMD Packages.PcbLib</ns0:v>
      </ns0:c>
      <ns0:c r="P199" t="str" s="10">
        <ns0:v>RC_L; E24; P при 70 °C</ns0:v>
      </ns0:c>
      <ns0:c r="Q199" s="10"/>
      <ns0:c r="R199" t="str" s="11">
        <ns0:f>D199</ns0:f>
        <ns0:v>130 Ом</ns0:v>
      </ns0:c>
      <ns0:c r="S199" t="str" s="11">
        <ns0:f>K199</ns0:f>
        <ns0:v>Резистор 130 Ом ±5% 0805</ns0:v>
      </ns0:c>
      <x:c xmlns:x="http://schemas.openxmlformats.org/spreadsheetml/2006/main" r="T199" t="str" s="11">
        <x:v>C:\Users\Nomatin\Documents\Altium\MY_LIB\MY_LIB\Datasheets\YAGEO_RC_L.pdf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C:\Users\Nomatin\Documents\Altium\MY_LIB\MY_LIB\Datasheets\YAGEO_RC_L.pdf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https://yageogroup.com/content/datasheet/asset/file/PYU-RC_GROUP_51_ROHS_L</x:v>
      </x:c>
      <x:c xmlns:x="http://schemas.openxmlformats.org/spreadsheetml/2006/main" r="Y199" t="str" s="11">
        <x:v>C:\Users\Nomatin\Documents\Altium\MY_LIB\MY_LIB\Datasheets\YAGEO_RC_L.pdf</x:v>
      </x:c>
    </ns0:row>
    <ns0:row r="200" ht="30" customHeight="1">
      <ns0:c r="A200" t="str" s="10">
        <ns0:v>R0206</ns0:v>
      </ns0:c>
      <ns0:c r="B200" t="str" s="10">
        <ns0:v>Резистор</ns0:v>
      </ns0:c>
      <ns0:c r="C200" t="str" s="10">
        <ns0:v>150R</ns0:v>
      </ns0:c>
      <ns0:c r="D200" t="str" s="11">
        <ns0:f>SUBSTITUTE(SUBSTITUTE(SUBSTITUTE(SUBSTITUTE(C200,"meg"," МОм"),"k"," кОм"),"R"," Ом"),".",",")</ns0:f>
        <ns0:v>150 Ом</ns0:v>
      </ns0:c>
      <ns0:c r="E200" t="str" s="10">
        <ns0:v>±5%</ns0:v>
      </ns0:c>
      <ns0:c r="F200" t="str" s="10">
        <ns0:v>0,125 Вт</ns0:v>
      </ns0:c>
      <ns0:c r="G200" t="str" s="10">
        <ns0:v>150 В макс.</ns0:v>
      </ns0:c>
      <ns0:c r="H200" t="str" s="12">
        <ns0:v>0805</ns0:v>
      </ns0:c>
      <ns0:c r="I200" t="str" s="10">
        <ns0:v>YAGEO</ns0:v>
      </ns0:c>
      <ns0:c r="J200" t="str" s="10">
        <ns0:v>RC0805JR-07150RL</ns0:v>
      </ns0:c>
      <ns0:c r="K200" t="str" s="11">
        <ns0:f>B200&amp;" "&amp;D200&amp;" "&amp;E200&amp;" "&amp;H200</ns0:f>
        <ns0:v>Резистор 150 Ом ±5% 0805</ns0:v>
      </ns0:c>
      <ns0:c r="L200" t="str" s="13">
        <ns0:v>R</ns0:v>
      </ns0:c>
      <ns0:c r="M200" t="str" s="13">
        <ns0:v>Symbols\MY_LIB_Resistors.SchLib</ns0:v>
      </ns0:c>
      <ns0:c r="N200" t="str" s="13">
        <ns0:v>RESC2012X70N</ns0:v>
      </ns0:c>
      <ns0:c r="O200" t="str" s="13">
        <ns0:v>Footprints\PBL - SMD Packages.PcbLib</ns0:v>
      </ns0:c>
      <ns0:c r="P200" t="str" s="10">
        <ns0:v>RC_L; E24; P при 70 °C</ns0:v>
      </ns0:c>
      <ns0:c r="Q200" s="10"/>
      <ns0:c r="R200" t="str" s="11">
        <ns0:f>D200</ns0:f>
        <ns0:v>150 Ом</ns0:v>
      </ns0:c>
      <ns0:c r="S200" t="str" s="11">
        <ns0:f>K200</ns0:f>
        <ns0:v>Резистор 150 Ом ±5% 0805</ns0:v>
      </ns0:c>
      <x:c xmlns:x="http://schemas.openxmlformats.org/spreadsheetml/2006/main" r="T200" t="str" s="11">
        <x:v>C:\Users\Nomatin\Documents\Altium\MY_LIB\MY_LIB\Datasheets\YAGEO_RC_L.pdf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C:\Users\Nomatin\Documents\Altium\MY_LIB\MY_LIB\Datasheets\YAGEO_RC_L.pdf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https://yageogroup.com/content/datasheet/asset/file/PYU-RC_GROUP_51_ROHS_L</x:v>
      </x:c>
      <x:c xmlns:x="http://schemas.openxmlformats.org/spreadsheetml/2006/main" r="Y200" t="str" s="11">
        <x:v>C:\Users\Nomatin\Documents\Altium\MY_LIB\MY_LIB\Datasheets\YAGEO_RC_L.pdf</x:v>
      </x:c>
    </ns0:row>
    <ns0:row r="201" ht="30" customHeight="1">
      <ns0:c r="A201" t="str" s="10">
        <ns0:v>R0207</ns0:v>
      </ns0:c>
      <ns0:c r="B201" t="str" s="10">
        <ns0:v>Резистор</ns0:v>
      </ns0:c>
      <ns0:c r="C201" t="str" s="10">
        <ns0:v>160R</ns0:v>
      </ns0:c>
      <ns0:c r="D201" t="str" s="11">
        <ns0:f>SUBSTITUTE(SUBSTITUTE(SUBSTITUTE(SUBSTITUTE(C201,"meg"," МОм"),"k"," кОм"),"R"," Ом"),".",",")</ns0:f>
        <ns0:v>160 Ом</ns0:v>
      </ns0:c>
      <ns0:c r="E201" t="str" s="10">
        <ns0:v>±5%</ns0:v>
      </ns0:c>
      <ns0:c r="F201" t="str" s="10">
        <ns0:v>0,125 Вт</ns0:v>
      </ns0:c>
      <ns0:c r="G201" t="str" s="10">
        <ns0:v>150 В макс.</ns0:v>
      </ns0:c>
      <ns0:c r="H201" t="str" s="12">
        <ns0:v>0805</ns0:v>
      </ns0:c>
      <ns0:c r="I201" t="str" s="10">
        <ns0:v>YAGEO</ns0:v>
      </ns0:c>
      <ns0:c r="J201" t="str" s="10">
        <ns0:v>RC0805JR-07160RL</ns0:v>
      </ns0:c>
      <ns0:c r="K201" t="str" s="11">
        <ns0:f>B201&amp;" "&amp;D201&amp;" "&amp;E201&amp;" "&amp;H201</ns0:f>
        <ns0:v>Резистор 160 Ом ±5% 0805</ns0:v>
      </ns0:c>
      <ns0:c r="L201" t="str" s="13">
        <ns0:v>R</ns0:v>
      </ns0:c>
      <ns0:c r="M201" t="str" s="13">
        <ns0:v>Symbols\MY_LIB_Resistors.SchLib</ns0:v>
      </ns0:c>
      <ns0:c r="N201" t="str" s="13">
        <ns0:v>RESC2012X70N</ns0:v>
      </ns0:c>
      <ns0:c r="O201" t="str" s="13">
        <ns0:v>Footprints\PBL - SMD Packages.PcbLib</ns0:v>
      </ns0:c>
      <ns0:c r="P201" t="str" s="10">
        <ns0:v>RC_L; E24; P при 70 °C</ns0:v>
      </ns0:c>
      <ns0:c r="Q201" s="10"/>
      <ns0:c r="R201" t="str" s="11">
        <ns0:f>D201</ns0:f>
        <ns0:v>160 Ом</ns0:v>
      </ns0:c>
      <ns0:c r="S201" t="str" s="11">
        <ns0:f>K201</ns0:f>
        <ns0:v>Резистор 160 Ом ±5% 0805</ns0:v>
      </ns0:c>
      <x:c xmlns:x="http://schemas.openxmlformats.org/spreadsheetml/2006/main" r="T201" t="str" s="11">
        <x:v>C:\Users\Nomatin\Documents\Altium\MY_LIB\MY_LIB\Datasheets\YAGEO_RC_L.pdf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C:\Users\Nomatin\Documents\Altium\MY_LIB\MY_LIB\Datasheets\YAGEO_RC_L.pdf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https://yageogroup.com/content/datasheet/asset/file/PYU-RC_GROUP_51_ROHS_L</x:v>
      </x:c>
      <x:c xmlns:x="http://schemas.openxmlformats.org/spreadsheetml/2006/main" r="Y201" t="str" s="11">
        <x:v>C:\Users\Nomatin\Documents\Altium\MY_LIB\MY_LIB\Datasheets\YAGEO_RC_L.pdf</x:v>
      </x:c>
    </ns0:row>
    <ns0:row r="202" ht="30" customHeight="1">
      <ns0:c r="A202" t="str" s="10">
        <ns0:v>R0208</ns0:v>
      </ns0:c>
      <ns0:c r="B202" t="str" s="10">
        <ns0:v>Резистор</ns0:v>
      </ns0:c>
      <ns0:c r="C202" t="str" s="10">
        <ns0:v>180R</ns0:v>
      </ns0:c>
      <ns0:c r="D202" t="str" s="11">
        <ns0:f>SUBSTITUTE(SUBSTITUTE(SUBSTITUTE(SUBSTITUTE(C202,"meg"," МОм"),"k"," кОм"),"R"," Ом"),".",",")</ns0:f>
        <ns0:v>180 Ом</ns0:v>
      </ns0:c>
      <ns0:c r="E202" t="str" s="10">
        <ns0:v>±5%</ns0:v>
      </ns0:c>
      <ns0:c r="F202" t="str" s="10">
        <ns0:v>0,125 Вт</ns0:v>
      </ns0:c>
      <ns0:c r="G202" t="str" s="10">
        <ns0:v>150 В макс.</ns0:v>
      </ns0:c>
      <ns0:c r="H202" t="str" s="12">
        <ns0:v>0805</ns0:v>
      </ns0:c>
      <ns0:c r="I202" t="str" s="10">
        <ns0:v>YAGEO</ns0:v>
      </ns0:c>
      <ns0:c r="J202" t="str" s="10">
        <ns0:v>RC0805JR-07180RL</ns0:v>
      </ns0:c>
      <ns0:c r="K202" t="str" s="11">
        <ns0:f>B202&amp;" "&amp;D202&amp;" "&amp;E202&amp;" "&amp;H202</ns0:f>
        <ns0:v>Резистор 180 Ом ±5% 0805</ns0:v>
      </ns0:c>
      <ns0:c r="L202" t="str" s="13">
        <ns0:v>R</ns0:v>
      </ns0:c>
      <ns0:c r="M202" t="str" s="13">
        <ns0:v>Symbols\MY_LIB_Resistors.SchLib</ns0:v>
      </ns0:c>
      <ns0:c r="N202" t="str" s="13">
        <ns0:v>RESC2012X70N</ns0:v>
      </ns0:c>
      <ns0:c r="O202" t="str" s="13">
        <ns0:v>Footprints\PBL - SMD Packages.PcbLib</ns0:v>
      </ns0:c>
      <ns0:c r="P202" t="str" s="10">
        <ns0:v>RC_L; E24; P при 70 °C</ns0:v>
      </ns0:c>
      <ns0:c r="Q202" s="10"/>
      <ns0:c r="R202" t="str" s="11">
        <ns0:f>D202</ns0:f>
        <ns0:v>180 Ом</ns0:v>
      </ns0:c>
      <ns0:c r="S202" t="str" s="11">
        <ns0:f>K202</ns0:f>
        <ns0:v>Резистор 180 Ом ±5% 0805</ns0:v>
      </ns0:c>
      <x:c xmlns:x="http://schemas.openxmlformats.org/spreadsheetml/2006/main" r="T202" t="str" s="11">
        <x:v>C:\Users\Nomatin\Documents\Altium\MY_LIB\MY_LIB\Datasheets\YAGEO_RC_L.pdf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C:\Users\Nomatin\Documents\Altium\MY_LIB\MY_LIB\Datasheets\YAGEO_RC_L.pdf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https://yageogroup.com/content/datasheet/asset/file/PYU-RC_GROUP_51_ROHS_L</x:v>
      </x:c>
      <x:c xmlns:x="http://schemas.openxmlformats.org/spreadsheetml/2006/main" r="Y202" t="str" s="11">
        <x:v>C:\Users\Nomatin\Documents\Altium\MY_LIB\MY_LIB\Datasheets\YAGEO_RC_L.pdf</x:v>
      </x:c>
    </ns0:row>
    <ns0:row r="203" ht="30" customHeight="1">
      <ns0:c r="A203" t="str" s="10">
        <ns0:v>R0209</ns0:v>
      </ns0:c>
      <ns0:c r="B203" t="str" s="10">
        <ns0:v>Резистор</ns0:v>
      </ns0:c>
      <ns0:c r="C203" t="str" s="10">
        <ns0:v>200R</ns0:v>
      </ns0:c>
      <ns0:c r="D203" t="str" s="11">
        <ns0:f>SUBSTITUTE(SUBSTITUTE(SUBSTITUTE(SUBSTITUTE(C203,"meg"," МОм"),"k"," кОм"),"R"," Ом"),".",",")</ns0:f>
        <ns0:v>200 Ом</ns0:v>
      </ns0:c>
      <ns0:c r="E203" t="str" s="10">
        <ns0:v>±5%</ns0:v>
      </ns0:c>
      <ns0:c r="F203" t="str" s="10">
        <ns0:v>0,125 Вт</ns0:v>
      </ns0:c>
      <ns0:c r="G203" t="str" s="10">
        <ns0:v>150 В макс.</ns0:v>
      </ns0:c>
      <ns0:c r="H203" t="str" s="12">
        <ns0:v>0805</ns0:v>
      </ns0:c>
      <ns0:c r="I203" t="str" s="10">
        <ns0:v>YAGEO</ns0:v>
      </ns0:c>
      <ns0:c r="J203" t="str" s="10">
        <ns0:v>RC0805JR-07200RL</ns0:v>
      </ns0:c>
      <ns0:c r="K203" t="str" s="11">
        <ns0:f>B203&amp;" "&amp;D203&amp;" "&amp;E203&amp;" "&amp;H203</ns0:f>
        <ns0:v>Резистор 200 Ом ±5% 0805</ns0:v>
      </ns0:c>
      <ns0:c r="L203" t="str" s="13">
        <ns0:v>R</ns0:v>
      </ns0:c>
      <ns0:c r="M203" t="str" s="13">
        <ns0:v>Symbols\MY_LIB_Resistors.SchLib</ns0:v>
      </ns0:c>
      <ns0:c r="N203" t="str" s="13">
        <ns0:v>RESC2012X70N</ns0:v>
      </ns0:c>
      <ns0:c r="O203" t="str" s="13">
        <ns0:v>Footprints\PBL - SMD Packages.PcbLib</ns0:v>
      </ns0:c>
      <ns0:c r="P203" t="str" s="10">
        <ns0:v>RC_L; E24; P при 70 °C</ns0:v>
      </ns0:c>
      <ns0:c r="Q203" s="10"/>
      <ns0:c r="R203" t="str" s="11">
        <ns0:f>D203</ns0:f>
        <ns0:v>200 Ом</ns0:v>
      </ns0:c>
      <ns0:c r="S203" t="str" s="11">
        <ns0:f>K203</ns0:f>
        <ns0:v>Резистор 200 Ом ±5% 0805</ns0:v>
      </ns0:c>
      <x:c xmlns:x="http://schemas.openxmlformats.org/spreadsheetml/2006/main" r="T203" t="str" s="11">
        <x:v>C:\Users\Nomatin\Documents\Altium\MY_LIB\MY_LIB\Datasheets\YAGEO_RC_L.pdf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C:\Users\Nomatin\Documents\Altium\MY_LIB\MY_LIB\Datasheets\YAGEO_RC_L.pdf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https://yageogroup.com/content/datasheet/asset/file/PYU-RC_GROUP_51_ROHS_L</x:v>
      </x:c>
      <x:c xmlns:x="http://schemas.openxmlformats.org/spreadsheetml/2006/main" r="Y203" t="str" s="11">
        <x:v>C:\Users\Nomatin\Documents\Altium\MY_LIB\MY_LIB\Datasheets\YAGEO_RC_L.pdf</x:v>
      </x:c>
    </ns0:row>
    <ns0:row r="204" ht="30" customHeight="1">
      <ns0:c r="A204" t="str" s="10">
        <ns0:v>R0210</ns0:v>
      </ns0:c>
      <ns0:c r="B204" t="str" s="10">
        <ns0:v>Резистор</ns0:v>
      </ns0:c>
      <ns0:c r="C204" t="str" s="10">
        <ns0:v>220R</ns0:v>
      </ns0:c>
      <ns0:c r="D204" t="str" s="11">
        <ns0:f>SUBSTITUTE(SUBSTITUTE(SUBSTITUTE(SUBSTITUTE(C204,"meg"," МОм"),"k"," кОм"),"R"," Ом"),".",",")</ns0:f>
        <ns0:v>220 Ом</ns0:v>
      </ns0:c>
      <ns0:c r="E204" t="str" s="10">
        <ns0:v>±5%</ns0:v>
      </ns0:c>
      <ns0:c r="F204" t="str" s="10">
        <ns0:v>0,125 Вт</ns0:v>
      </ns0:c>
      <ns0:c r="G204" t="str" s="10">
        <ns0:v>150 В макс.</ns0:v>
      </ns0:c>
      <ns0:c r="H204" t="str" s="12">
        <ns0:v>0805</ns0:v>
      </ns0:c>
      <ns0:c r="I204" t="str" s="10">
        <ns0:v>YAGEO</ns0:v>
      </ns0:c>
      <ns0:c r="J204" t="str" s="10">
        <ns0:v>RC0805JR-07220RL</ns0:v>
      </ns0:c>
      <ns0:c r="K204" t="str" s="11">
        <ns0:f>B204&amp;" "&amp;D204&amp;" "&amp;E204&amp;" "&amp;H204</ns0:f>
        <ns0:v>Резистор 220 Ом ±5% 0805</ns0:v>
      </ns0:c>
      <ns0:c r="L204" t="str" s="13">
        <ns0:v>R</ns0:v>
      </ns0:c>
      <ns0:c r="M204" t="str" s="13">
        <ns0:v>Symbols\MY_LIB_Resistors.SchLib</ns0:v>
      </ns0:c>
      <ns0:c r="N204" t="str" s="13">
        <ns0:v>RESC2012X70N</ns0:v>
      </ns0:c>
      <ns0:c r="O204" t="str" s="13">
        <ns0:v>Footprints\PBL - SMD Packages.PcbLib</ns0:v>
      </ns0:c>
      <ns0:c r="P204" t="str" s="10">
        <ns0:v>RC_L; E24; P при 70 °C</ns0:v>
      </ns0:c>
      <ns0:c r="Q204" s="10"/>
      <ns0:c r="R204" t="str" s="11">
        <ns0:f>D204</ns0:f>
        <ns0:v>220 Ом</ns0:v>
      </ns0:c>
      <ns0:c r="S204" t="str" s="11">
        <ns0:f>K204</ns0:f>
        <ns0:v>Резистор 220 Ом ±5% 0805</ns0:v>
      </ns0:c>
      <x:c xmlns:x="http://schemas.openxmlformats.org/spreadsheetml/2006/main" r="T204" t="str" s="11">
        <x:v>C:\Users\Nomatin\Documents\Altium\MY_LIB\MY_LIB\Datasheets\YAGEO_RC_L.pdf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C:\Users\Nomatin\Documents\Altium\MY_LIB\MY_LIB\Datasheets\YAGEO_RC_L.pdf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https://yageogroup.com/content/datasheet/asset/file/PYU-RC_GROUP_51_ROHS_L</x:v>
      </x:c>
      <x:c xmlns:x="http://schemas.openxmlformats.org/spreadsheetml/2006/main" r="Y204" t="str" s="11">
        <x:v>C:\Users\Nomatin\Documents\Altium\MY_LIB\MY_LIB\Datasheets\YAGEO_RC_L.pdf</x:v>
      </x:c>
    </ns0:row>
    <ns0:row r="205" ht="30" customHeight="1">
      <ns0:c r="A205" t="str" s="10">
        <ns0:v>R0211</ns0:v>
      </ns0:c>
      <ns0:c r="B205" t="str" s="10">
        <ns0:v>Резистор</ns0:v>
      </ns0:c>
      <ns0:c r="C205" t="str" s="10">
        <ns0:v>240R</ns0:v>
      </ns0:c>
      <ns0:c r="D205" t="str" s="11">
        <ns0:f>SUBSTITUTE(SUBSTITUTE(SUBSTITUTE(SUBSTITUTE(C205,"meg"," МОм"),"k"," кОм"),"R"," Ом"),".",",")</ns0:f>
        <ns0:v>240 Ом</ns0:v>
      </ns0:c>
      <ns0:c r="E205" t="str" s="10">
        <ns0:v>±5%</ns0:v>
      </ns0:c>
      <ns0:c r="F205" t="str" s="10">
        <ns0:v>0,125 Вт</ns0:v>
      </ns0:c>
      <ns0:c r="G205" t="str" s="10">
        <ns0:v>150 В макс.</ns0:v>
      </ns0:c>
      <ns0:c r="H205" t="str" s="12">
        <ns0:v>0805</ns0:v>
      </ns0:c>
      <ns0:c r="I205" t="str" s="10">
        <ns0:v>YAGEO</ns0:v>
      </ns0:c>
      <ns0:c r="J205" t="str" s="10">
        <ns0:v>RC0805JR-07240RL</ns0:v>
      </ns0:c>
      <ns0:c r="K205" t="str" s="11">
        <ns0:f>B205&amp;" "&amp;D205&amp;" "&amp;E205&amp;" "&amp;H205</ns0:f>
        <ns0:v>Резистор 240 Ом ±5% 0805</ns0:v>
      </ns0:c>
      <ns0:c r="L205" t="str" s="13">
        <ns0:v>R</ns0:v>
      </ns0:c>
      <ns0:c r="M205" t="str" s="13">
        <ns0:v>Symbols\MY_LIB_Resistors.SchLib</ns0:v>
      </ns0:c>
      <ns0:c r="N205" t="str" s="13">
        <ns0:v>RESC2012X70N</ns0:v>
      </ns0:c>
      <ns0:c r="O205" t="str" s="13">
        <ns0:v>Footprints\PBL - SMD Packages.PcbLib</ns0:v>
      </ns0:c>
      <ns0:c r="P205" t="str" s="10">
        <ns0:v>RC_L; E24; P при 70 °C</ns0:v>
      </ns0:c>
      <ns0:c r="Q205" s="10"/>
      <ns0:c r="R205" t="str" s="11">
        <ns0:f>D205</ns0:f>
        <ns0:v>240 Ом</ns0:v>
      </ns0:c>
      <ns0:c r="S205" t="str" s="11">
        <ns0:f>K205</ns0:f>
        <ns0:v>Резистор 240 Ом ±5% 0805</ns0:v>
      </ns0:c>
      <x:c xmlns:x="http://schemas.openxmlformats.org/spreadsheetml/2006/main" r="T205" t="str" s="11">
        <x:v>C:\Users\Nomatin\Documents\Altium\MY_LIB\MY_LIB\Datasheets\YAGEO_RC_L.pdf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C:\Users\Nomatin\Documents\Altium\MY_LIB\MY_LIB\Datasheets\YAGEO_RC_L.pdf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https://yageogroup.com/content/datasheet/asset/file/PYU-RC_GROUP_51_ROHS_L</x:v>
      </x:c>
      <x:c xmlns:x="http://schemas.openxmlformats.org/spreadsheetml/2006/main" r="Y205" t="str" s="11">
        <x:v>C:\Users\Nomatin\Documents\Altium\MY_LIB\MY_LIB\Datasheets\YAGEO_RC_L.pdf</x:v>
      </x:c>
    </ns0:row>
    <ns0:row r="206" ht="30" customHeight="1">
      <ns0:c r="A206" t="str" s="10">
        <ns0:v>R0212</ns0:v>
      </ns0:c>
      <ns0:c r="B206" t="str" s="10">
        <ns0:v>Резистор</ns0:v>
      </ns0:c>
      <ns0:c r="C206" t="str" s="10">
        <ns0:v>270R</ns0:v>
      </ns0:c>
      <ns0:c r="D206" t="str" s="11">
        <ns0:f>SUBSTITUTE(SUBSTITUTE(SUBSTITUTE(SUBSTITUTE(C206,"meg"," МОм"),"k"," кОм"),"R"," Ом"),".",",")</ns0:f>
        <ns0:v>270 Ом</ns0:v>
      </ns0:c>
      <ns0:c r="E206" t="str" s="10">
        <ns0:v>±5%</ns0:v>
      </ns0:c>
      <ns0:c r="F206" t="str" s="10">
        <ns0:v>0,125 Вт</ns0:v>
      </ns0:c>
      <ns0:c r="G206" t="str" s="10">
        <ns0:v>150 В макс.</ns0:v>
      </ns0:c>
      <ns0:c r="H206" t="str" s="12">
        <ns0:v>0805</ns0:v>
      </ns0:c>
      <ns0:c r="I206" t="str" s="10">
        <ns0:v>YAGEO</ns0:v>
      </ns0:c>
      <ns0:c r="J206" t="str" s="10">
        <ns0:v>RC0805JR-07270RL</ns0:v>
      </ns0:c>
      <ns0:c r="K206" t="str" s="11">
        <ns0:f>B206&amp;" "&amp;D206&amp;" "&amp;E206&amp;" "&amp;H206</ns0:f>
        <ns0:v>Резистор 270 Ом ±5% 0805</ns0:v>
      </ns0:c>
      <ns0:c r="L206" t="str" s="13">
        <ns0:v>R</ns0:v>
      </ns0:c>
      <ns0:c r="M206" t="str" s="13">
        <ns0:v>Symbols\MY_LIB_Resistors.SchLib</ns0:v>
      </ns0:c>
      <ns0:c r="N206" t="str" s="13">
        <ns0:v>RESC2012X70N</ns0:v>
      </ns0:c>
      <ns0:c r="O206" t="str" s="13">
        <ns0:v>Footprints\PBL - SMD Packages.PcbLib</ns0:v>
      </ns0:c>
      <ns0:c r="P206" t="str" s="10">
        <ns0:v>RC_L; E24; P при 70 °C</ns0:v>
      </ns0:c>
      <ns0:c r="Q206" s="10"/>
      <ns0:c r="R206" t="str" s="11">
        <ns0:f>D206</ns0:f>
        <ns0:v>270 Ом</ns0:v>
      </ns0:c>
      <ns0:c r="S206" t="str" s="11">
        <ns0:f>K206</ns0:f>
        <ns0:v>Резистор 270 Ом ±5% 0805</ns0:v>
      </ns0:c>
      <x:c xmlns:x="http://schemas.openxmlformats.org/spreadsheetml/2006/main" r="T206" t="str" s="11">
        <x:v>C:\Users\Nomatin\Documents\Altium\MY_LIB\MY_LIB\Datasheets\YAGEO_RC_L.pdf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C:\Users\Nomatin\Documents\Altium\MY_LIB\MY_LIB\Datasheets\YAGEO_RC_L.pdf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https://yageogroup.com/content/datasheet/asset/file/PYU-RC_GROUP_51_ROHS_L</x:v>
      </x:c>
      <x:c xmlns:x="http://schemas.openxmlformats.org/spreadsheetml/2006/main" r="Y206" t="str" s="11">
        <x:v>C:\Users\Nomatin\Documents\Altium\MY_LIB\MY_LIB\Datasheets\YAGEO_RC_L.pdf</x:v>
      </x:c>
    </ns0:row>
    <ns0:row r="207" ht="30" customHeight="1">
      <ns0:c r="A207" t="str" s="10">
        <ns0:v>R0213</ns0:v>
      </ns0:c>
      <ns0:c r="B207" t="str" s="10">
        <ns0:v>Резистор</ns0:v>
      </ns0:c>
      <ns0:c r="C207" t="str" s="10">
        <ns0:v>300R</ns0:v>
      </ns0:c>
      <ns0:c r="D207" t="str" s="11">
        <ns0:f>SUBSTITUTE(SUBSTITUTE(SUBSTITUTE(SUBSTITUTE(C207,"meg"," МОм"),"k"," кОм"),"R"," Ом"),".",",")</ns0:f>
        <ns0:v>300 Ом</ns0:v>
      </ns0:c>
      <ns0:c r="E207" t="str" s="10">
        <ns0:v>±5%</ns0:v>
      </ns0:c>
      <ns0:c r="F207" t="str" s="10">
        <ns0:v>0,125 Вт</ns0:v>
      </ns0:c>
      <ns0:c r="G207" t="str" s="10">
        <ns0:v>150 В макс.</ns0:v>
      </ns0:c>
      <ns0:c r="H207" t="str" s="12">
        <ns0:v>0805</ns0:v>
      </ns0:c>
      <ns0:c r="I207" t="str" s="10">
        <ns0:v>YAGEO</ns0:v>
      </ns0:c>
      <ns0:c r="J207" t="str" s="10">
        <ns0:v>RC0805JR-07300RL</ns0:v>
      </ns0:c>
      <ns0:c r="K207" t="str" s="11">
        <ns0:f>B207&amp;" "&amp;D207&amp;" "&amp;E207&amp;" "&amp;H207</ns0:f>
        <ns0:v>Резистор 300 Ом ±5% 0805</ns0:v>
      </ns0:c>
      <ns0:c r="L207" t="str" s="13">
        <ns0:v>R</ns0:v>
      </ns0:c>
      <ns0:c r="M207" t="str" s="13">
        <ns0:v>Symbols\MY_LIB_Resistors.SchLib</ns0:v>
      </ns0:c>
      <ns0:c r="N207" t="str" s="13">
        <ns0:v>RESC2012X70N</ns0:v>
      </ns0:c>
      <ns0:c r="O207" t="str" s="13">
        <ns0:v>Footprints\PBL - SMD Packages.PcbLib</ns0:v>
      </ns0:c>
      <ns0:c r="P207" t="str" s="10">
        <ns0:v>RC_L; E24; P при 70 °C</ns0:v>
      </ns0:c>
      <ns0:c r="Q207" s="10"/>
      <ns0:c r="R207" t="str" s="11">
        <ns0:f>D207</ns0:f>
        <ns0:v>300 Ом</ns0:v>
      </ns0:c>
      <ns0:c r="S207" t="str" s="11">
        <ns0:f>K207</ns0:f>
        <ns0:v>Резистор 300 Ом ±5% 0805</ns0:v>
      </ns0:c>
      <x:c xmlns:x="http://schemas.openxmlformats.org/spreadsheetml/2006/main" r="T207" t="str" s="11">
        <x:v>C:\Users\Nomatin\Documents\Altium\MY_LIB\MY_LIB\Datasheets\YAGEO_RC_L.pdf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C:\Users\Nomatin\Documents\Altium\MY_LIB\MY_LIB\Datasheets\YAGEO_RC_L.pdf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https://yageogroup.com/content/datasheet/asset/file/PYU-RC_GROUP_51_ROHS_L</x:v>
      </x:c>
      <x:c xmlns:x="http://schemas.openxmlformats.org/spreadsheetml/2006/main" r="Y207" t="str" s="11">
        <x:v>C:\Users\Nomatin\Documents\Altium\MY_LIB\MY_LIB\Datasheets\YAGEO_RC_L.pdf</x:v>
      </x:c>
    </ns0:row>
    <ns0:row r="208" ht="30" customHeight="1">
      <ns0:c r="A208" t="str" s="10">
        <ns0:v>R0214</ns0:v>
      </ns0:c>
      <ns0:c r="B208" t="str" s="10">
        <ns0:v>Резистор</ns0:v>
      </ns0:c>
      <ns0:c r="C208" t="str" s="10">
        <ns0:v>330R</ns0:v>
      </ns0:c>
      <ns0:c r="D208" t="str" s="11">
        <ns0:f>SUBSTITUTE(SUBSTITUTE(SUBSTITUTE(SUBSTITUTE(C208,"meg"," МОм"),"k"," кОм"),"R"," Ом"),".",",")</ns0:f>
        <ns0:v>330 Ом</ns0:v>
      </ns0:c>
      <ns0:c r="E208" t="str" s="10">
        <ns0:v>±5%</ns0:v>
      </ns0:c>
      <ns0:c r="F208" t="str" s="10">
        <ns0:v>0,125 Вт</ns0:v>
      </ns0:c>
      <ns0:c r="G208" t="str" s="10">
        <ns0:v>150 В макс.</ns0:v>
      </ns0:c>
      <ns0:c r="H208" t="str" s="12">
        <ns0:v>0805</ns0:v>
      </ns0:c>
      <ns0:c r="I208" t="str" s="10">
        <ns0:v>YAGEO</ns0:v>
      </ns0:c>
      <ns0:c r="J208" t="str" s="10">
        <ns0:v>RC0805JR-07330RL</ns0:v>
      </ns0:c>
      <ns0:c r="K208" t="str" s="11">
        <ns0:f>B208&amp;" "&amp;D208&amp;" "&amp;E208&amp;" "&amp;H208</ns0:f>
        <ns0:v>Резистор 330 Ом ±5% 0805</ns0:v>
      </ns0:c>
      <ns0:c r="L208" t="str" s="13">
        <ns0:v>R</ns0:v>
      </ns0:c>
      <ns0:c r="M208" t="str" s="13">
        <ns0:v>Symbols\MY_LIB_Resistors.SchLib</ns0:v>
      </ns0:c>
      <ns0:c r="N208" t="str" s="13">
        <ns0:v>RESC2012X70N</ns0:v>
      </ns0:c>
      <ns0:c r="O208" t="str" s="13">
        <ns0:v>Footprints\PBL - SMD Packages.PcbLib</ns0:v>
      </ns0:c>
      <ns0:c r="P208" t="str" s="10">
        <ns0:v>RC_L; E24; P при 70 °C</ns0:v>
      </ns0:c>
      <ns0:c r="Q208" s="10"/>
      <ns0:c r="R208" t="str" s="11">
        <ns0:f>D208</ns0:f>
        <ns0:v>330 Ом</ns0:v>
      </ns0:c>
      <ns0:c r="S208" t="str" s="11">
        <ns0:f>K208</ns0:f>
        <ns0:v>Резистор 330 Ом ±5% 0805</ns0:v>
      </ns0:c>
      <x:c xmlns:x="http://schemas.openxmlformats.org/spreadsheetml/2006/main" r="T208" t="str" s="11">
        <x:v>C:\Users\Nomatin\Documents\Altium\MY_LIB\MY_LIB\Datasheets\YAGEO_RC_L.pdf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C:\Users\Nomatin\Documents\Altium\MY_LIB\MY_LIB\Datasheets\YAGEO_RC_L.pdf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https://yageogroup.com/content/datasheet/asset/file/PYU-RC_GROUP_51_ROHS_L</x:v>
      </x:c>
      <x:c xmlns:x="http://schemas.openxmlformats.org/spreadsheetml/2006/main" r="Y208" t="str" s="11">
        <x:v>C:\Users\Nomatin\Documents\Altium\MY_LIB\MY_LIB\Datasheets\YAGEO_RC_L.pdf</x:v>
      </x:c>
    </ns0:row>
    <ns0:row r="209" ht="30" customHeight="1">
      <ns0:c r="A209" t="str" s="10">
        <ns0:v>R0215</ns0:v>
      </ns0:c>
      <ns0:c r="B209" t="str" s="10">
        <ns0:v>Резистор</ns0:v>
      </ns0:c>
      <ns0:c r="C209" t="str" s="10">
        <ns0:v>360R</ns0:v>
      </ns0:c>
      <ns0:c r="D209" t="str" s="11">
        <ns0:f>SUBSTITUTE(SUBSTITUTE(SUBSTITUTE(SUBSTITUTE(C209,"meg"," МОм"),"k"," кОм"),"R"," Ом"),".",",")</ns0:f>
        <ns0:v>360 Ом</ns0:v>
      </ns0:c>
      <ns0:c r="E209" t="str" s="10">
        <ns0:v>±5%</ns0:v>
      </ns0:c>
      <ns0:c r="F209" t="str" s="10">
        <ns0:v>0,125 Вт</ns0:v>
      </ns0:c>
      <ns0:c r="G209" t="str" s="10">
        <ns0:v>150 В макс.</ns0:v>
      </ns0:c>
      <ns0:c r="H209" t="str" s="12">
        <ns0:v>0805</ns0:v>
      </ns0:c>
      <ns0:c r="I209" t="str" s="10">
        <ns0:v>YAGEO</ns0:v>
      </ns0:c>
      <ns0:c r="J209" t="str" s="10">
        <ns0:v>RC0805JR-07360RL</ns0:v>
      </ns0:c>
      <ns0:c r="K209" t="str" s="11">
        <ns0:f>B209&amp;" "&amp;D209&amp;" "&amp;E209&amp;" "&amp;H209</ns0:f>
        <ns0:v>Резистор 360 Ом ±5% 0805</ns0:v>
      </ns0:c>
      <ns0:c r="L209" t="str" s="13">
        <ns0:v>R</ns0:v>
      </ns0:c>
      <ns0:c r="M209" t="str" s="13">
        <ns0:v>Symbols\MY_LIB_Resistors.SchLib</ns0:v>
      </ns0:c>
      <ns0:c r="N209" t="str" s="13">
        <ns0:v>RESC2012X70N</ns0:v>
      </ns0:c>
      <ns0:c r="O209" t="str" s="13">
        <ns0:v>Footprints\PBL - SMD Packages.PcbLib</ns0:v>
      </ns0:c>
      <ns0:c r="P209" t="str" s="10">
        <ns0:v>RC_L; E24; P при 70 °C</ns0:v>
      </ns0:c>
      <ns0:c r="Q209" s="10"/>
      <ns0:c r="R209" t="str" s="11">
        <ns0:f>D209</ns0:f>
        <ns0:v>360 Ом</ns0:v>
      </ns0:c>
      <ns0:c r="S209" t="str" s="11">
        <ns0:f>K209</ns0:f>
        <ns0:v>Резистор 360 Ом ±5% 0805</ns0:v>
      </ns0:c>
      <x:c xmlns:x="http://schemas.openxmlformats.org/spreadsheetml/2006/main" r="T209" t="str" s="11">
        <x:v>C:\Users\Nomatin\Documents\Altium\MY_LIB\MY_LIB\Datasheets\YAGEO_RC_L.pdf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C:\Users\Nomatin\Documents\Altium\MY_LIB\MY_LIB\Datasheets\YAGEO_RC_L.pdf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https://yageogroup.com/content/datasheet/asset/file/PYU-RC_GROUP_51_ROHS_L</x:v>
      </x:c>
      <x:c xmlns:x="http://schemas.openxmlformats.org/spreadsheetml/2006/main" r="Y209" t="str" s="11">
        <x:v>C:\Users\Nomatin\Documents\Altium\MY_LIB\MY_LIB\Datasheets\YAGEO_RC_L.pdf</x:v>
      </x:c>
    </ns0:row>
    <ns0:row r="210" ht="30" customHeight="1">
      <ns0:c r="A210" t="str" s="10">
        <ns0:v>R0216</ns0:v>
      </ns0:c>
      <ns0:c r="B210" t="str" s="10">
        <ns0:v>Резистор</ns0:v>
      </ns0:c>
      <ns0:c r="C210" t="str" s="10">
        <ns0:v>390R</ns0:v>
      </ns0:c>
      <ns0:c r="D210" t="str" s="11">
        <ns0:f>SUBSTITUTE(SUBSTITUTE(SUBSTITUTE(SUBSTITUTE(C210,"meg"," МОм"),"k"," кОм"),"R"," Ом"),".",",")</ns0:f>
        <ns0:v>390 Ом</ns0:v>
      </ns0:c>
      <ns0:c r="E210" t="str" s="10">
        <ns0:v>±5%</ns0:v>
      </ns0:c>
      <ns0:c r="F210" t="str" s="10">
        <ns0:v>0,125 Вт</ns0:v>
      </ns0:c>
      <ns0:c r="G210" t="str" s="10">
        <ns0:v>150 В макс.</ns0:v>
      </ns0:c>
      <ns0:c r="H210" t="str" s="12">
        <ns0:v>0805</ns0:v>
      </ns0:c>
      <ns0:c r="I210" t="str" s="10">
        <ns0:v>YAGEO</ns0:v>
      </ns0:c>
      <ns0:c r="J210" t="str" s="10">
        <ns0:v>RC0805JR-07390RL</ns0:v>
      </ns0:c>
      <ns0:c r="K210" t="str" s="11">
        <ns0:f>B210&amp;" "&amp;D210&amp;" "&amp;E210&amp;" "&amp;H210</ns0:f>
        <ns0:v>Резистор 390 Ом ±5% 0805</ns0:v>
      </ns0:c>
      <ns0:c r="L210" t="str" s="13">
        <ns0:v>R</ns0:v>
      </ns0:c>
      <ns0:c r="M210" t="str" s="13">
        <ns0:v>Symbols\MY_LIB_Resistors.SchLib</ns0:v>
      </ns0:c>
      <ns0:c r="N210" t="str" s="13">
        <ns0:v>RESC2012X70N</ns0:v>
      </ns0:c>
      <ns0:c r="O210" t="str" s="13">
        <ns0:v>Footprints\PBL - SMD Packages.PcbLib</ns0:v>
      </ns0:c>
      <ns0:c r="P210" t="str" s="10">
        <ns0:v>RC_L; E24; P при 70 °C</ns0:v>
      </ns0:c>
      <ns0:c r="Q210" s="10"/>
      <ns0:c r="R210" t="str" s="11">
        <ns0:f>D210</ns0:f>
        <ns0:v>390 Ом</ns0:v>
      </ns0:c>
      <ns0:c r="S210" t="str" s="11">
        <ns0:f>K210</ns0:f>
        <ns0:v>Резистор 390 Ом ±5% 0805</ns0:v>
      </ns0:c>
      <x:c xmlns:x="http://schemas.openxmlformats.org/spreadsheetml/2006/main" r="T210" t="str" s="11">
        <x:v>C:\Users\Nomatin\Documents\Altium\MY_LIB\MY_LIB\Datasheets\YAGEO_RC_L.pdf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C:\Users\Nomatin\Documents\Altium\MY_LIB\MY_LIB\Datasheets\YAGEO_RC_L.pdf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https://yageogroup.com/content/datasheet/asset/file/PYU-RC_GROUP_51_ROHS_L</x:v>
      </x:c>
      <x:c xmlns:x="http://schemas.openxmlformats.org/spreadsheetml/2006/main" r="Y210" t="str" s="11">
        <x:v>C:\Users\Nomatin\Documents\Altium\MY_LIB\MY_LIB\Datasheets\YAGEO_RC_L.pdf</x:v>
      </x:c>
    </ns0:row>
    <ns0:row r="211" ht="30" customHeight="1">
      <ns0:c r="A211" t="str" s="10">
        <ns0:v>R0217</ns0:v>
      </ns0:c>
      <ns0:c r="B211" t="str" s="10">
        <ns0:v>Резистор</ns0:v>
      </ns0:c>
      <ns0:c r="C211" t="str" s="10">
        <ns0:v>430R</ns0:v>
      </ns0:c>
      <ns0:c r="D211" t="str" s="11">
        <ns0:f>SUBSTITUTE(SUBSTITUTE(SUBSTITUTE(SUBSTITUTE(C211,"meg"," МОм"),"k"," кОм"),"R"," Ом"),".",",")</ns0:f>
        <ns0:v>430 Ом</ns0:v>
      </ns0:c>
      <ns0:c r="E211" t="str" s="10">
        <ns0:v>±5%</ns0:v>
      </ns0:c>
      <ns0:c r="F211" t="str" s="10">
        <ns0:v>0,125 Вт</ns0:v>
      </ns0:c>
      <ns0:c r="G211" t="str" s="10">
        <ns0:v>150 В макс.</ns0:v>
      </ns0:c>
      <ns0:c r="H211" t="str" s="12">
        <ns0:v>0805</ns0:v>
      </ns0:c>
      <ns0:c r="I211" t="str" s="10">
        <ns0:v>YAGEO</ns0:v>
      </ns0:c>
      <ns0:c r="J211" t="str" s="10">
        <ns0:v>RC0805JR-07430RL</ns0:v>
      </ns0:c>
      <ns0:c r="K211" t="str" s="11">
        <ns0:f>B211&amp;" "&amp;D211&amp;" "&amp;E211&amp;" "&amp;H211</ns0:f>
        <ns0:v>Резистор 430 Ом ±5% 0805</ns0:v>
      </ns0:c>
      <ns0:c r="L211" t="str" s="13">
        <ns0:v>R</ns0:v>
      </ns0:c>
      <ns0:c r="M211" t="str" s="13">
        <ns0:v>Symbols\MY_LIB_Resistors.SchLib</ns0:v>
      </ns0:c>
      <ns0:c r="N211" t="str" s="13">
        <ns0:v>RESC2012X70N</ns0:v>
      </ns0:c>
      <ns0:c r="O211" t="str" s="13">
        <ns0:v>Footprints\PBL - SMD Packages.PcbLib</ns0:v>
      </ns0:c>
      <ns0:c r="P211" t="str" s="10">
        <ns0:v>RC_L; E24; P при 70 °C</ns0:v>
      </ns0:c>
      <ns0:c r="Q211" s="10"/>
      <ns0:c r="R211" t="str" s="11">
        <ns0:f>D211</ns0:f>
        <ns0:v>430 Ом</ns0:v>
      </ns0:c>
      <ns0:c r="S211" t="str" s="11">
        <ns0:f>K211</ns0:f>
        <ns0:v>Резистор 430 Ом ±5% 0805</ns0:v>
      </ns0:c>
      <x:c xmlns:x="http://schemas.openxmlformats.org/spreadsheetml/2006/main" r="T211" t="str" s="11">
        <x:v>C:\Users\Nomatin\Documents\Altium\MY_LIB\MY_LIB\Datasheets\YAGEO_RC_L.pdf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C:\Users\Nomatin\Documents\Altium\MY_LIB\MY_LIB\Datasheets\YAGEO_RC_L.pdf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https://yageogroup.com/content/datasheet/asset/file/PYU-RC_GROUP_51_ROHS_L</x:v>
      </x:c>
      <x:c xmlns:x="http://schemas.openxmlformats.org/spreadsheetml/2006/main" r="Y211" t="str" s="11">
        <x:v>C:\Users\Nomatin\Documents\Altium\MY_LIB\MY_LIB\Datasheets\YAGEO_RC_L.pdf</x:v>
      </x:c>
    </ns0:row>
    <ns0:row r="212" ht="30" customHeight="1">
      <ns0:c r="A212" t="str" s="10">
        <ns0:v>R0218</ns0:v>
      </ns0:c>
      <ns0:c r="B212" t="str" s="10">
        <ns0:v>Резистор</ns0:v>
      </ns0:c>
      <ns0:c r="C212" t="str" s="10">
        <ns0:v>470R</ns0:v>
      </ns0:c>
      <ns0:c r="D212" t="str" s="11">
        <ns0:f>SUBSTITUTE(SUBSTITUTE(SUBSTITUTE(SUBSTITUTE(C212,"meg"," МОм"),"k"," кОм"),"R"," Ом"),".",",")</ns0:f>
        <ns0:v>470 Ом</ns0:v>
      </ns0:c>
      <ns0:c r="E212" t="str" s="10">
        <ns0:v>±5%</ns0:v>
      </ns0:c>
      <ns0:c r="F212" t="str" s="10">
        <ns0:v>0,125 Вт</ns0:v>
      </ns0:c>
      <ns0:c r="G212" t="str" s="10">
        <ns0:v>150 В макс.</ns0:v>
      </ns0:c>
      <ns0:c r="H212" t="str" s="12">
        <ns0:v>0805</ns0:v>
      </ns0:c>
      <ns0:c r="I212" t="str" s="10">
        <ns0:v>YAGEO</ns0:v>
      </ns0:c>
      <ns0:c r="J212" t="str" s="10">
        <ns0:v>RC0805JR-07470RL</ns0:v>
      </ns0:c>
      <ns0:c r="K212" t="str" s="11">
        <ns0:f>B212&amp;" "&amp;D212&amp;" "&amp;E212&amp;" "&amp;H212</ns0:f>
        <ns0:v>Резистор 470 Ом ±5% 0805</ns0:v>
      </ns0:c>
      <ns0:c r="L212" t="str" s="13">
        <ns0:v>R</ns0:v>
      </ns0:c>
      <ns0:c r="M212" t="str" s="13">
        <ns0:v>Symbols\MY_LIB_Resistors.SchLib</ns0:v>
      </ns0:c>
      <ns0:c r="N212" t="str" s="13">
        <ns0:v>RESC2012X70N</ns0:v>
      </ns0:c>
      <ns0:c r="O212" t="str" s="13">
        <ns0:v>Footprints\PBL - SMD Packages.PcbLib</ns0:v>
      </ns0:c>
      <ns0:c r="P212" t="str" s="10">
        <ns0:v>RC_L; E24; P при 70 °C</ns0:v>
      </ns0:c>
      <ns0:c r="Q212" s="10"/>
      <ns0:c r="R212" t="str" s="11">
        <ns0:f>D212</ns0:f>
        <ns0:v>470 Ом</ns0:v>
      </ns0:c>
      <ns0:c r="S212" t="str" s="11">
        <ns0:f>K212</ns0:f>
        <ns0:v>Резистор 470 Ом ±5% 0805</ns0:v>
      </ns0:c>
      <x:c xmlns:x="http://schemas.openxmlformats.org/spreadsheetml/2006/main" r="T212" t="str" s="11">
        <x:v>C:\Users\Nomatin\Documents\Altium\MY_LIB\MY_LIB\Datasheets\YAGEO_RC_L.pdf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C:\Users\Nomatin\Documents\Altium\MY_LIB\MY_LIB\Datasheets\YAGEO_RC_L.pdf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https://yageogroup.com/content/datasheet/asset/file/PYU-RC_GROUP_51_ROHS_L</x:v>
      </x:c>
      <x:c xmlns:x="http://schemas.openxmlformats.org/spreadsheetml/2006/main" r="Y212" t="str" s="11">
        <x:v>C:\Users\Nomatin\Documents\Altium\MY_LIB\MY_LIB\Datasheets\YAGEO_RC_L.pdf</x:v>
      </x:c>
    </ns0:row>
    <ns0:row r="213" ht="30" customHeight="1">
      <ns0:c r="A213" t="str" s="10">
        <ns0:v>R0219</ns0:v>
      </ns0:c>
      <ns0:c r="B213" t="str" s="10">
        <ns0:v>Резистор</ns0:v>
      </ns0:c>
      <ns0:c r="C213" t="str" s="10">
        <ns0:v>510R</ns0:v>
      </ns0:c>
      <ns0:c r="D213" t="str" s="11">
        <ns0:f>SUBSTITUTE(SUBSTITUTE(SUBSTITUTE(SUBSTITUTE(C213,"meg"," МОм"),"k"," кОм"),"R"," Ом"),".",",")</ns0:f>
        <ns0:v>510 Ом</ns0:v>
      </ns0:c>
      <ns0:c r="E213" t="str" s="10">
        <ns0:v>±5%</ns0:v>
      </ns0:c>
      <ns0:c r="F213" t="str" s="10">
        <ns0:v>0,125 Вт</ns0:v>
      </ns0:c>
      <ns0:c r="G213" t="str" s="10">
        <ns0:v>150 В макс.</ns0:v>
      </ns0:c>
      <ns0:c r="H213" t="str" s="12">
        <ns0:v>0805</ns0:v>
      </ns0:c>
      <ns0:c r="I213" t="str" s="10">
        <ns0:v>YAGEO</ns0:v>
      </ns0:c>
      <ns0:c r="J213" t="str" s="10">
        <ns0:v>RC0805JR-07510RL</ns0:v>
      </ns0:c>
      <ns0:c r="K213" t="str" s="11">
        <ns0:f>B213&amp;" "&amp;D213&amp;" "&amp;E213&amp;" "&amp;H213</ns0:f>
        <ns0:v>Резистор 510 Ом ±5% 0805</ns0:v>
      </ns0:c>
      <ns0:c r="L213" t="str" s="13">
        <ns0:v>R</ns0:v>
      </ns0:c>
      <ns0:c r="M213" t="str" s="13">
        <ns0:v>Symbols\MY_LIB_Resistors.SchLib</ns0:v>
      </ns0:c>
      <ns0:c r="N213" t="str" s="13">
        <ns0:v>RESC2012X70N</ns0:v>
      </ns0:c>
      <ns0:c r="O213" t="str" s="13">
        <ns0:v>Footprints\PBL - SMD Packages.PcbLib</ns0:v>
      </ns0:c>
      <ns0:c r="P213" t="str" s="10">
        <ns0:v>RC_L; E24; P при 70 °C</ns0:v>
      </ns0:c>
      <ns0:c r="Q213" s="10"/>
      <ns0:c r="R213" t="str" s="11">
        <ns0:f>D213</ns0:f>
        <ns0:v>510 Ом</ns0:v>
      </ns0:c>
      <ns0:c r="S213" t="str" s="11">
        <ns0:f>K213</ns0:f>
        <ns0:v>Резистор 510 Ом ±5% 0805</ns0:v>
      </ns0:c>
      <x:c xmlns:x="http://schemas.openxmlformats.org/spreadsheetml/2006/main" r="T213" t="str" s="11">
        <x:v>C:\Users\Nomatin\Documents\Altium\MY_LIB\MY_LIB\Datasheets\YAGEO_RC_L.pdf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C:\Users\Nomatin\Documents\Altium\MY_LIB\MY_LIB\Datasheets\YAGEO_RC_L.pdf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https://yageogroup.com/content/datasheet/asset/file/PYU-RC_GROUP_51_ROHS_L</x:v>
      </x:c>
      <x:c xmlns:x="http://schemas.openxmlformats.org/spreadsheetml/2006/main" r="Y213" t="str" s="11">
        <x:v>C:\Users\Nomatin\Documents\Altium\MY_LIB\MY_LIB\Datasheets\YAGEO_RC_L.pdf</x:v>
      </x:c>
    </ns0:row>
    <ns0:row r="214" ht="30" customHeight="1">
      <ns0:c r="A214" t="str" s="10">
        <ns0:v>R0220</ns0:v>
      </ns0:c>
      <ns0:c r="B214" t="str" s="10">
        <ns0:v>Резистор</ns0:v>
      </ns0:c>
      <ns0:c r="C214" t="str" s="10">
        <ns0:v>560R</ns0:v>
      </ns0:c>
      <ns0:c r="D214" t="str" s="11">
        <ns0:f>SUBSTITUTE(SUBSTITUTE(SUBSTITUTE(SUBSTITUTE(C214,"meg"," МОм"),"k"," кОм"),"R"," Ом"),".",",")</ns0:f>
        <ns0:v>560 Ом</ns0:v>
      </ns0:c>
      <ns0:c r="E214" t="str" s="10">
        <ns0:v>±5%</ns0:v>
      </ns0:c>
      <ns0:c r="F214" t="str" s="10">
        <ns0:v>0,125 Вт</ns0:v>
      </ns0:c>
      <ns0:c r="G214" t="str" s="10">
        <ns0:v>150 В макс.</ns0:v>
      </ns0:c>
      <ns0:c r="H214" t="str" s="12">
        <ns0:v>0805</ns0:v>
      </ns0:c>
      <ns0:c r="I214" t="str" s="10">
        <ns0:v>YAGEO</ns0:v>
      </ns0:c>
      <ns0:c r="J214" t="str" s="10">
        <ns0:v>RC0805JR-07560RL</ns0:v>
      </ns0:c>
      <ns0:c r="K214" t="str" s="11">
        <ns0:f>B214&amp;" "&amp;D214&amp;" "&amp;E214&amp;" "&amp;H214</ns0:f>
        <ns0:v>Резистор 560 Ом ±5% 0805</ns0:v>
      </ns0:c>
      <ns0:c r="L214" t="str" s="13">
        <ns0:v>R</ns0:v>
      </ns0:c>
      <ns0:c r="M214" t="str" s="13">
        <ns0:v>Symbols\MY_LIB_Resistors.SchLib</ns0:v>
      </ns0:c>
      <ns0:c r="N214" t="str" s="13">
        <ns0:v>RESC2012X70N</ns0:v>
      </ns0:c>
      <ns0:c r="O214" t="str" s="13">
        <ns0:v>Footprints\PBL - SMD Packages.PcbLib</ns0:v>
      </ns0:c>
      <ns0:c r="P214" t="str" s="10">
        <ns0:v>RC_L; E24; P при 70 °C</ns0:v>
      </ns0:c>
      <ns0:c r="Q214" s="10"/>
      <ns0:c r="R214" t="str" s="11">
        <ns0:f>D214</ns0:f>
        <ns0:v>560 Ом</ns0:v>
      </ns0:c>
      <ns0:c r="S214" t="str" s="11">
        <ns0:f>K214</ns0:f>
        <ns0:v>Резистор 560 Ом ±5% 0805</ns0:v>
      </ns0:c>
      <x:c xmlns:x="http://schemas.openxmlformats.org/spreadsheetml/2006/main" r="T214" t="str" s="11">
        <x:v>C:\Users\Nomatin\Documents\Altium\MY_LIB\MY_LIB\Datasheets\YAGEO_RC_L.pdf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C:\Users\Nomatin\Documents\Altium\MY_LIB\MY_LIB\Datasheets\YAGEO_RC_L.pdf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https://yageogroup.com/content/datasheet/asset/file/PYU-RC_GROUP_51_ROHS_L</x:v>
      </x:c>
      <x:c xmlns:x="http://schemas.openxmlformats.org/spreadsheetml/2006/main" r="Y214" t="str" s="11">
        <x:v>C:\Users\Nomatin\Documents\Altium\MY_LIB\MY_LIB\Datasheets\YAGEO_RC_L.pdf</x:v>
      </x:c>
    </ns0:row>
    <ns0:row r="215" ht="30" customHeight="1">
      <ns0:c r="A215" t="str" s="10">
        <ns0:v>R0221</ns0:v>
      </ns0:c>
      <ns0:c r="B215" t="str" s="10">
        <ns0:v>Резистор</ns0:v>
      </ns0:c>
      <ns0:c r="C215" t="str" s="10">
        <ns0:v>620R</ns0:v>
      </ns0:c>
      <ns0:c r="D215" t="str" s="11">
        <ns0:f>SUBSTITUTE(SUBSTITUTE(SUBSTITUTE(SUBSTITUTE(C215,"meg"," МОм"),"k"," кОм"),"R"," Ом"),".",",")</ns0:f>
        <ns0:v>620 Ом</ns0:v>
      </ns0:c>
      <ns0:c r="E215" t="str" s="10">
        <ns0:v>±5%</ns0:v>
      </ns0:c>
      <ns0:c r="F215" t="str" s="10">
        <ns0:v>0,125 Вт</ns0:v>
      </ns0:c>
      <ns0:c r="G215" t="str" s="10">
        <ns0:v>150 В макс.</ns0:v>
      </ns0:c>
      <ns0:c r="H215" t="str" s="12">
        <ns0:v>0805</ns0:v>
      </ns0:c>
      <ns0:c r="I215" t="str" s="10">
        <ns0:v>YAGEO</ns0:v>
      </ns0:c>
      <ns0:c r="J215" t="str" s="10">
        <ns0:v>RC0805JR-07620RL</ns0:v>
      </ns0:c>
      <ns0:c r="K215" t="str" s="11">
        <ns0:f>B215&amp;" "&amp;D215&amp;" "&amp;E215&amp;" "&amp;H215</ns0:f>
        <ns0:v>Резистор 620 Ом ±5% 0805</ns0:v>
      </ns0:c>
      <ns0:c r="L215" t="str" s="13">
        <ns0:v>R</ns0:v>
      </ns0:c>
      <ns0:c r="M215" t="str" s="13">
        <ns0:v>Symbols\MY_LIB_Resistors.SchLib</ns0:v>
      </ns0:c>
      <ns0:c r="N215" t="str" s="13">
        <ns0:v>RESC2012X70N</ns0:v>
      </ns0:c>
      <ns0:c r="O215" t="str" s="13">
        <ns0:v>Footprints\PBL - SMD Packages.PcbLib</ns0:v>
      </ns0:c>
      <ns0:c r="P215" t="str" s="10">
        <ns0:v>RC_L; E24; P при 70 °C</ns0:v>
      </ns0:c>
      <ns0:c r="Q215" s="10"/>
      <ns0:c r="R215" t="str" s="11">
        <ns0:f>D215</ns0:f>
        <ns0:v>620 Ом</ns0:v>
      </ns0:c>
      <ns0:c r="S215" t="str" s="11">
        <ns0:f>K215</ns0:f>
        <ns0:v>Резистор 620 Ом ±5% 0805</ns0:v>
      </ns0:c>
      <x:c xmlns:x="http://schemas.openxmlformats.org/spreadsheetml/2006/main" r="T215" t="str" s="11">
        <x:v>C:\Users\Nomatin\Documents\Altium\MY_LIB\MY_LIB\Datasheets\YAGEO_RC_L.pdf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C:\Users\Nomatin\Documents\Altium\MY_LIB\MY_LIB\Datasheets\YAGEO_RC_L.pdf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https://yageogroup.com/content/datasheet/asset/file/PYU-RC_GROUP_51_ROHS_L</x:v>
      </x:c>
      <x:c xmlns:x="http://schemas.openxmlformats.org/spreadsheetml/2006/main" r="Y215" t="str" s="11">
        <x:v>C:\Users\Nomatin\Documents\Altium\MY_LIB\MY_LIB\Datasheets\YAGEO_RC_L.pdf</x:v>
      </x:c>
    </ns0:row>
    <ns0:row r="216" ht="30" customHeight="1">
      <ns0:c r="A216" t="str" s="10">
        <ns0:v>R0222</ns0:v>
      </ns0:c>
      <ns0:c r="B216" t="str" s="10">
        <ns0:v>Резистор</ns0:v>
      </ns0:c>
      <ns0:c r="C216" t="str" s="10">
        <ns0:v>680R</ns0:v>
      </ns0:c>
      <ns0:c r="D216" t="str" s="11">
        <ns0:f>SUBSTITUTE(SUBSTITUTE(SUBSTITUTE(SUBSTITUTE(C216,"meg"," МОм"),"k"," кОм"),"R"," Ом"),".",",")</ns0:f>
        <ns0:v>680 Ом</ns0:v>
      </ns0:c>
      <ns0:c r="E216" t="str" s="10">
        <ns0:v>±5%</ns0:v>
      </ns0:c>
      <ns0:c r="F216" t="str" s="10">
        <ns0:v>0,125 Вт</ns0:v>
      </ns0:c>
      <ns0:c r="G216" t="str" s="10">
        <ns0:v>150 В макс.</ns0:v>
      </ns0:c>
      <ns0:c r="H216" t="str" s="12">
        <ns0:v>0805</ns0:v>
      </ns0:c>
      <ns0:c r="I216" t="str" s="10">
        <ns0:v>YAGEO</ns0:v>
      </ns0:c>
      <ns0:c r="J216" t="str" s="10">
        <ns0:v>RC0805JR-07680RL</ns0:v>
      </ns0:c>
      <ns0:c r="K216" t="str" s="11">
        <ns0:f>B216&amp;" "&amp;D216&amp;" "&amp;E216&amp;" "&amp;H216</ns0:f>
        <ns0:v>Резистор 680 Ом ±5% 0805</ns0:v>
      </ns0:c>
      <ns0:c r="L216" t="str" s="13">
        <ns0:v>R</ns0:v>
      </ns0:c>
      <ns0:c r="M216" t="str" s="13">
        <ns0:v>Symbols\MY_LIB_Resistors.SchLib</ns0:v>
      </ns0:c>
      <ns0:c r="N216" t="str" s="13">
        <ns0:v>RESC2012X70N</ns0:v>
      </ns0:c>
      <ns0:c r="O216" t="str" s="13">
        <ns0:v>Footprints\PBL - SMD Packages.PcbLib</ns0:v>
      </ns0:c>
      <ns0:c r="P216" t="str" s="10">
        <ns0:v>RC_L; E24; P при 70 °C</ns0:v>
      </ns0:c>
      <ns0:c r="Q216" s="10"/>
      <ns0:c r="R216" t="str" s="11">
        <ns0:f>D216</ns0:f>
        <ns0:v>680 Ом</ns0:v>
      </ns0:c>
      <ns0:c r="S216" t="str" s="11">
        <ns0:f>K216</ns0:f>
        <ns0:v>Резистор 680 Ом ±5% 0805</ns0:v>
      </ns0:c>
      <x:c xmlns:x="http://schemas.openxmlformats.org/spreadsheetml/2006/main" r="T216" t="str" s="11">
        <x:v>C:\Users\Nomatin\Documents\Altium\MY_LIB\MY_LIB\Datasheets\YAGEO_RC_L.pdf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C:\Users\Nomatin\Documents\Altium\MY_LIB\MY_LIB\Datasheets\YAGEO_RC_L.pdf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https://yageogroup.com/content/datasheet/asset/file/PYU-RC_GROUP_51_ROHS_L</x:v>
      </x:c>
      <x:c xmlns:x="http://schemas.openxmlformats.org/spreadsheetml/2006/main" r="Y216" t="str" s="11">
        <x:v>C:\Users\Nomatin\Documents\Altium\MY_LIB\MY_LIB\Datasheets\YAGEO_RC_L.pdf</x:v>
      </x:c>
    </ns0:row>
    <ns0:row r="217" ht="30" customHeight="1">
      <ns0:c r="A217" t="str" s="10">
        <ns0:v>R0223</ns0:v>
      </ns0:c>
      <ns0:c r="B217" t="str" s="10">
        <ns0:v>Резистор</ns0:v>
      </ns0:c>
      <ns0:c r="C217" t="str" s="10">
        <ns0:v>750R</ns0:v>
      </ns0:c>
      <ns0:c r="D217" t="str" s="11">
        <ns0:f>SUBSTITUTE(SUBSTITUTE(SUBSTITUTE(SUBSTITUTE(C217,"meg"," МОм"),"k"," кОм"),"R"," Ом"),".",",")</ns0:f>
        <ns0:v>750 Ом</ns0:v>
      </ns0:c>
      <ns0:c r="E217" t="str" s="10">
        <ns0:v>±5%</ns0:v>
      </ns0:c>
      <ns0:c r="F217" t="str" s="10">
        <ns0:v>0,125 Вт</ns0:v>
      </ns0:c>
      <ns0:c r="G217" t="str" s="10">
        <ns0:v>150 В макс.</ns0:v>
      </ns0:c>
      <ns0:c r="H217" t="str" s="12">
        <ns0:v>0805</ns0:v>
      </ns0:c>
      <ns0:c r="I217" t="str" s="10">
        <ns0:v>YAGEO</ns0:v>
      </ns0:c>
      <ns0:c r="J217" t="str" s="10">
        <ns0:v>RC0805JR-07750RL</ns0:v>
      </ns0:c>
      <ns0:c r="K217" t="str" s="11">
        <ns0:f>B217&amp;" "&amp;D217&amp;" "&amp;E217&amp;" "&amp;H217</ns0:f>
        <ns0:v>Резистор 750 Ом ±5% 0805</ns0:v>
      </ns0:c>
      <ns0:c r="L217" t="str" s="13">
        <ns0:v>R</ns0:v>
      </ns0:c>
      <ns0:c r="M217" t="str" s="13">
        <ns0:v>Symbols\MY_LIB_Resistors.SchLib</ns0:v>
      </ns0:c>
      <ns0:c r="N217" t="str" s="13">
        <ns0:v>RESC2012X70N</ns0:v>
      </ns0:c>
      <ns0:c r="O217" t="str" s="13">
        <ns0:v>Footprints\PBL - SMD Packages.PcbLib</ns0:v>
      </ns0:c>
      <ns0:c r="P217" t="str" s="10">
        <ns0:v>RC_L; E24; P при 70 °C</ns0:v>
      </ns0:c>
      <ns0:c r="Q217" s="10"/>
      <ns0:c r="R217" t="str" s="11">
        <ns0:f>D217</ns0:f>
        <ns0:v>750 Ом</ns0:v>
      </ns0:c>
      <ns0:c r="S217" t="str" s="11">
        <ns0:f>K217</ns0:f>
        <ns0:v>Резистор 750 Ом ±5% 0805</ns0:v>
      </ns0:c>
      <x:c xmlns:x="http://schemas.openxmlformats.org/spreadsheetml/2006/main" r="T217" t="str" s="11">
        <x:v>C:\Users\Nomatin\Documents\Altium\MY_LIB\MY_LIB\Datasheets\YAGEO_RC_L.pdf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C:\Users\Nomatin\Documents\Altium\MY_LIB\MY_LIB\Datasheets\YAGEO_RC_L.pdf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https://yageogroup.com/content/datasheet/asset/file/PYU-RC_GROUP_51_ROHS_L</x:v>
      </x:c>
      <x:c xmlns:x="http://schemas.openxmlformats.org/spreadsheetml/2006/main" r="Y217" t="str" s="11">
        <x:v>C:\Users\Nomatin\Documents\Altium\MY_LIB\MY_LIB\Datasheets\YAGEO_RC_L.pdf</x:v>
      </x:c>
    </ns0:row>
    <ns0:row r="218" ht="30" customHeight="1">
      <ns0:c r="A218" t="str" s="10">
        <ns0:v>R0224</ns0:v>
      </ns0:c>
      <ns0:c r="B218" t="str" s="10">
        <ns0:v>Резистор</ns0:v>
      </ns0:c>
      <ns0:c r="C218" t="str" s="10">
        <ns0:v>820R</ns0:v>
      </ns0:c>
      <ns0:c r="D218" t="str" s="11">
        <ns0:f>SUBSTITUTE(SUBSTITUTE(SUBSTITUTE(SUBSTITUTE(C218,"meg"," МОм"),"k"," кОм"),"R"," Ом"),".",",")</ns0:f>
        <ns0:v>820 Ом</ns0:v>
      </ns0:c>
      <ns0:c r="E218" t="str" s="10">
        <ns0:v>±5%</ns0:v>
      </ns0:c>
      <ns0:c r="F218" t="str" s="10">
        <ns0:v>0,125 Вт</ns0:v>
      </ns0:c>
      <ns0:c r="G218" t="str" s="10">
        <ns0:v>150 В макс.</ns0:v>
      </ns0:c>
      <ns0:c r="H218" t="str" s="12">
        <ns0:v>0805</ns0:v>
      </ns0:c>
      <ns0:c r="I218" t="str" s="10">
        <ns0:v>YAGEO</ns0:v>
      </ns0:c>
      <ns0:c r="J218" t="str" s="10">
        <ns0:v>RC0805JR-07820RL</ns0:v>
      </ns0:c>
      <ns0:c r="K218" t="str" s="11">
        <ns0:f>B218&amp;" "&amp;D218&amp;" "&amp;E218&amp;" "&amp;H218</ns0:f>
        <ns0:v>Резистор 820 Ом ±5% 0805</ns0:v>
      </ns0:c>
      <ns0:c r="L218" t="str" s="13">
        <ns0:v>R</ns0:v>
      </ns0:c>
      <ns0:c r="M218" t="str" s="13">
        <ns0:v>Symbols\MY_LIB_Resistors.SchLib</ns0:v>
      </ns0:c>
      <ns0:c r="N218" t="str" s="13">
        <ns0:v>RESC2012X70N</ns0:v>
      </ns0:c>
      <ns0:c r="O218" t="str" s="13">
        <ns0:v>Footprints\PBL - SMD Packages.PcbLib</ns0:v>
      </ns0:c>
      <ns0:c r="P218" t="str" s="10">
        <ns0:v>RC_L; E24; P при 70 °C</ns0:v>
      </ns0:c>
      <ns0:c r="Q218" s="10"/>
      <ns0:c r="R218" t="str" s="11">
        <ns0:f>D218</ns0:f>
        <ns0:v>820 Ом</ns0:v>
      </ns0:c>
      <ns0:c r="S218" t="str" s="11">
        <ns0:f>K218</ns0:f>
        <ns0:v>Резистор 820 Ом ±5% 0805</ns0:v>
      </ns0:c>
      <x:c xmlns:x="http://schemas.openxmlformats.org/spreadsheetml/2006/main" r="T218" t="str" s="11">
        <x:v>C:\Users\Nomatin\Documents\Altium\MY_LIB\MY_LIB\Datasheets\YAGEO_RC_L.pdf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C:\Users\Nomatin\Documents\Altium\MY_LIB\MY_LIB\Datasheets\YAGEO_RC_L.pdf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https://yageogroup.com/content/datasheet/asset/file/PYU-RC_GROUP_51_ROHS_L</x:v>
      </x:c>
      <x:c xmlns:x="http://schemas.openxmlformats.org/spreadsheetml/2006/main" r="Y218" t="str" s="11">
        <x:v>C:\Users\Nomatin\Documents\Altium\MY_LIB\MY_LIB\Datasheets\YAGEO_RC_L.pdf</x:v>
      </x:c>
    </ns0:row>
    <ns0:row r="219" ht="30" customHeight="1">
      <ns0:c r="A219" t="str" s="10">
        <ns0:v>R0225</ns0:v>
      </ns0:c>
      <ns0:c r="B219" t="str" s="10">
        <ns0:v>Резистор</ns0:v>
      </ns0:c>
      <ns0:c r="C219" t="str" s="10">
        <ns0:v>910R</ns0:v>
      </ns0:c>
      <ns0:c r="D219" t="str" s="11">
        <ns0:f>SUBSTITUTE(SUBSTITUTE(SUBSTITUTE(SUBSTITUTE(C219,"meg"," МОм"),"k"," кОм"),"R"," Ом"),".",",")</ns0:f>
        <ns0:v>910 Ом</ns0:v>
      </ns0:c>
      <ns0:c r="E219" t="str" s="10">
        <ns0:v>±5%</ns0:v>
      </ns0:c>
      <ns0:c r="F219" t="str" s="10">
        <ns0:v>0,125 Вт</ns0:v>
      </ns0:c>
      <ns0:c r="G219" t="str" s="10">
        <ns0:v>150 В макс.</ns0:v>
      </ns0:c>
      <ns0:c r="H219" t="str" s="12">
        <ns0:v>0805</ns0:v>
      </ns0:c>
      <ns0:c r="I219" t="str" s="10">
        <ns0:v>YAGEO</ns0:v>
      </ns0:c>
      <ns0:c r="J219" t="str" s="10">
        <ns0:v>RC0805JR-07910RL</ns0:v>
      </ns0:c>
      <ns0:c r="K219" t="str" s="11">
        <ns0:f>B219&amp;" "&amp;D219&amp;" "&amp;E219&amp;" "&amp;H219</ns0:f>
        <ns0:v>Резистор 910 Ом ±5% 0805</ns0:v>
      </ns0:c>
      <ns0:c r="L219" t="str" s="13">
        <ns0:v>R</ns0:v>
      </ns0:c>
      <ns0:c r="M219" t="str" s="13">
        <ns0:v>Symbols\MY_LIB_Resistors.SchLib</ns0:v>
      </ns0:c>
      <ns0:c r="N219" t="str" s="13">
        <ns0:v>RESC2012X70N</ns0:v>
      </ns0:c>
      <ns0:c r="O219" t="str" s="13">
        <ns0:v>Footprints\PBL - SMD Packages.PcbLib</ns0:v>
      </ns0:c>
      <ns0:c r="P219" t="str" s="10">
        <ns0:v>RC_L; E24; P при 70 °C</ns0:v>
      </ns0:c>
      <ns0:c r="Q219" s="10"/>
      <ns0:c r="R219" t="str" s="11">
        <ns0:f>D219</ns0:f>
        <ns0:v>910 Ом</ns0:v>
      </ns0:c>
      <ns0:c r="S219" t="str" s="11">
        <ns0:f>K219</ns0:f>
        <ns0:v>Резистор 910 Ом ±5% 0805</ns0:v>
      </ns0:c>
      <x:c xmlns:x="http://schemas.openxmlformats.org/spreadsheetml/2006/main" r="T219" t="str" s="11">
        <x:v>C:\Users\Nomatin\Documents\Altium\MY_LIB\MY_LIB\Datasheets\YAGEO_RC_L.pdf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C:\Users\Nomatin\Documents\Altium\MY_LIB\MY_LIB\Datasheets\YAGEO_RC_L.pdf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https://yageogroup.com/content/datasheet/asset/file/PYU-RC_GROUP_51_ROHS_L</x:v>
      </x:c>
      <x:c xmlns:x="http://schemas.openxmlformats.org/spreadsheetml/2006/main" r="Y219" t="str" s="11">
        <x:v>C:\Users\Nomatin\Documents\Altium\MY_LIB\MY_LIB\Datasheets\YAGEO_RC_L.pdf</x:v>
      </x:c>
    </ns0:row>
    <ns0:row r="220" ht="30" customHeight="1">
      <ns0:c r="A220" t="str" s="10">
        <ns0:v>R0226</ns0:v>
      </ns0:c>
      <ns0:c r="B220" t="str" s="10">
        <ns0:v>Резистор</ns0:v>
      </ns0:c>
      <ns0:c r="C220" t="str" s="10">
        <ns0:v>1k</ns0:v>
      </ns0:c>
      <ns0:c r="D220" t="str" s="11">
        <ns0:f>SUBSTITUTE(SUBSTITUTE(SUBSTITUTE(SUBSTITUTE(C220,"meg"," МОм"),"k"," кОм"),"R"," Ом"),".",",")</ns0:f>
        <ns0:v>1 кОм</ns0:v>
      </ns0:c>
      <ns0:c r="E220" t="str" s="10">
        <ns0:v>±5%</ns0:v>
      </ns0:c>
      <ns0:c r="F220" t="str" s="10">
        <ns0:v>0,125 Вт</ns0:v>
      </ns0:c>
      <ns0:c r="G220" t="str" s="10">
        <ns0:v>150 В макс.</ns0:v>
      </ns0:c>
      <ns0:c r="H220" t="str" s="12">
        <ns0:v>0805</ns0:v>
      </ns0:c>
      <ns0:c r="I220" t="str" s="10">
        <ns0:v>YAGEO</ns0:v>
      </ns0:c>
      <ns0:c r="J220" t="str" s="10">
        <ns0:v>RC0805JR-071KL</ns0:v>
      </ns0:c>
      <ns0:c r="K220" t="str" s="11">
        <ns0:f>B220&amp;" "&amp;D220&amp;" "&amp;E220&amp;" "&amp;H220</ns0:f>
        <ns0:v>Резистор 1 кОм ±5% 0805</ns0:v>
      </ns0:c>
      <ns0:c r="L220" t="str" s="13">
        <ns0:v>R</ns0:v>
      </ns0:c>
      <ns0:c r="M220" t="str" s="13">
        <ns0:v>Symbols\MY_LIB_Resistors.SchLib</ns0:v>
      </ns0:c>
      <ns0:c r="N220" t="str" s="13">
        <ns0:v>RESC2012X70N</ns0:v>
      </ns0:c>
      <ns0:c r="O220" t="str" s="13">
        <ns0:v>Footprints\PBL - SMD Packages.PcbLib</ns0:v>
      </ns0:c>
      <ns0:c r="P220" t="str" s="10">
        <ns0:v>RC_L; E24; P при 70 °C</ns0:v>
      </ns0:c>
      <ns0:c r="Q220" s="10"/>
      <ns0:c r="R220" t="str" s="11">
        <ns0:f>D220</ns0:f>
        <ns0:v>1 кОм</ns0:v>
      </ns0:c>
      <ns0:c r="S220" t="str" s="11">
        <ns0:f>K220</ns0:f>
        <ns0:v>Резистор 1 кОм ±5% 0805</ns0:v>
      </ns0:c>
      <x:c xmlns:x="http://schemas.openxmlformats.org/spreadsheetml/2006/main" r="T220" t="str" s="11">
        <x:v>C:\Users\Nomatin\Documents\Altium\MY_LIB\MY_LIB\Datasheets\YAGEO_RC_L.pdf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C:\Users\Nomatin\Documents\Altium\MY_LIB\MY_LIB\Datasheets\YAGEO_RC_L.pdf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https://yageogroup.com/content/datasheet/asset/file/PYU-RC_GROUP_51_ROHS_L</x:v>
      </x:c>
      <x:c xmlns:x="http://schemas.openxmlformats.org/spreadsheetml/2006/main" r="Y220" t="str" s="11">
        <x:v>C:\Users\Nomatin\Documents\Altium\MY_LIB\MY_LIB\Datasheets\YAGEO_RC_L.pdf</x:v>
      </x:c>
    </ns0:row>
    <ns0:row r="221" ht="30" customHeight="1">
      <ns0:c r="A221" t="str" s="10">
        <ns0:v>R0227</ns0:v>
      </ns0:c>
      <ns0:c r="B221" t="str" s="10">
        <ns0:v>Резистор</ns0:v>
      </ns0:c>
      <ns0:c r="C221" t="str" s="10">
        <ns0:v>1.1k</ns0:v>
      </ns0:c>
      <ns0:c r="D221" t="str" s="11">
        <ns0:f>SUBSTITUTE(SUBSTITUTE(SUBSTITUTE(SUBSTITUTE(C221,"meg"," МОм"),"k"," кОм"),"R"," Ом"),".",",")</ns0:f>
        <ns0:v>1,1 кОм</ns0:v>
      </ns0:c>
      <ns0:c r="E221" t="str" s="10">
        <ns0:v>±5%</ns0:v>
      </ns0:c>
      <ns0:c r="F221" t="str" s="10">
        <ns0:v>0,125 Вт</ns0:v>
      </ns0:c>
      <ns0:c r="G221" t="str" s="10">
        <ns0:v>150 В макс.</ns0:v>
      </ns0:c>
      <ns0:c r="H221" t="str" s="12">
        <ns0:v>0805</ns0:v>
      </ns0:c>
      <ns0:c r="I221" t="str" s="10">
        <ns0:v>YAGEO</ns0:v>
      </ns0:c>
      <ns0:c r="J221" t="str" s="10">
        <ns0:v>RC0805JR-071K1L</ns0:v>
      </ns0:c>
      <ns0:c r="K221" t="str" s="11">
        <ns0:f>B221&amp;" "&amp;D221&amp;" "&amp;E221&amp;" "&amp;H221</ns0:f>
        <ns0:v>Резистор 1,1 кОм ±5% 0805</ns0:v>
      </ns0:c>
      <ns0:c r="L221" t="str" s="13">
        <ns0:v>R</ns0:v>
      </ns0:c>
      <ns0:c r="M221" t="str" s="13">
        <ns0:v>Symbols\MY_LIB_Resistors.SchLib</ns0:v>
      </ns0:c>
      <ns0:c r="N221" t="str" s="13">
        <ns0:v>RESC2012X70N</ns0:v>
      </ns0:c>
      <ns0:c r="O221" t="str" s="13">
        <ns0:v>Footprints\PBL - SMD Packages.PcbLib</ns0:v>
      </ns0:c>
      <ns0:c r="P221" t="str" s="10">
        <ns0:v>RC_L; E24; P при 70 °C</ns0:v>
      </ns0:c>
      <ns0:c r="Q221" s="10"/>
      <ns0:c r="R221" t="str" s="11">
        <ns0:f>D221</ns0:f>
        <ns0:v>1,1 кОм</ns0:v>
      </ns0:c>
      <ns0:c r="S221" t="str" s="11">
        <ns0:f>K221</ns0:f>
        <ns0:v>Резистор 1,1 кОм ±5% 0805</ns0:v>
      </ns0:c>
      <x:c xmlns:x="http://schemas.openxmlformats.org/spreadsheetml/2006/main" r="T221" t="str" s="11">
        <x:v>C:\Users\Nomatin\Documents\Altium\MY_LIB\MY_LIB\Datasheets\YAGEO_RC_L.pdf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C:\Users\Nomatin\Documents\Altium\MY_LIB\MY_LIB\Datasheets\YAGEO_RC_L.pdf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https://yageogroup.com/content/datasheet/asset/file/PYU-RC_GROUP_51_ROHS_L</x:v>
      </x:c>
      <x:c xmlns:x="http://schemas.openxmlformats.org/spreadsheetml/2006/main" r="Y221" t="str" s="11">
        <x:v>C:\Users\Nomatin\Documents\Altium\MY_LIB\MY_LIB\Datasheets\YAGEO_RC_L.pdf</x:v>
      </x:c>
    </ns0:row>
    <ns0:row r="222" ht="30" customHeight="1">
      <ns0:c r="A222" t="str" s="10">
        <ns0:v>R0228</ns0:v>
      </ns0:c>
      <ns0:c r="B222" t="str" s="10">
        <ns0:v>Резистор</ns0:v>
      </ns0:c>
      <ns0:c r="C222" t="str" s="10">
        <ns0:v>1.2k</ns0:v>
      </ns0:c>
      <ns0:c r="D222" t="str" s="11">
        <ns0:f>SUBSTITUTE(SUBSTITUTE(SUBSTITUTE(SUBSTITUTE(C222,"meg"," МОм"),"k"," кОм"),"R"," Ом"),".",",")</ns0:f>
        <ns0:v>1,2 кОм</ns0:v>
      </ns0:c>
      <ns0:c r="E222" t="str" s="10">
        <ns0:v>±5%</ns0:v>
      </ns0:c>
      <ns0:c r="F222" t="str" s="10">
        <ns0:v>0,125 Вт</ns0:v>
      </ns0:c>
      <ns0:c r="G222" t="str" s="10">
        <ns0:v>150 В макс.</ns0:v>
      </ns0:c>
      <ns0:c r="H222" t="str" s="12">
        <ns0:v>0805</ns0:v>
      </ns0:c>
      <ns0:c r="I222" t="str" s="10">
        <ns0:v>YAGEO</ns0:v>
      </ns0:c>
      <ns0:c r="J222" t="str" s="10">
        <ns0:v>RC0805JR-071K2L</ns0:v>
      </ns0:c>
      <ns0:c r="K222" t="str" s="11">
        <ns0:f>B222&amp;" "&amp;D222&amp;" "&amp;E222&amp;" "&amp;H222</ns0:f>
        <ns0:v>Резистор 1,2 кОм ±5% 0805</ns0:v>
      </ns0:c>
      <ns0:c r="L222" t="str" s="13">
        <ns0:v>R</ns0:v>
      </ns0:c>
      <ns0:c r="M222" t="str" s="13">
        <ns0:v>Symbols\MY_LIB_Resistors.SchLib</ns0:v>
      </ns0:c>
      <ns0:c r="N222" t="str" s="13">
        <ns0:v>RESC2012X70N</ns0:v>
      </ns0:c>
      <ns0:c r="O222" t="str" s="13">
        <ns0:v>Footprints\PBL - SMD Packages.PcbLib</ns0:v>
      </ns0:c>
      <ns0:c r="P222" t="str" s="10">
        <ns0:v>RC_L; E24; P при 70 °C</ns0:v>
      </ns0:c>
      <ns0:c r="Q222" s="10"/>
      <ns0:c r="R222" t="str" s="11">
        <ns0:f>D222</ns0:f>
        <ns0:v>1,2 кОм</ns0:v>
      </ns0:c>
      <ns0:c r="S222" t="str" s="11">
        <ns0:f>K222</ns0:f>
        <ns0:v>Резистор 1,2 кОм ±5% 0805</ns0:v>
      </ns0:c>
      <x:c xmlns:x="http://schemas.openxmlformats.org/spreadsheetml/2006/main" r="T222" t="str" s="11">
        <x:v>C:\Users\Nomatin\Documents\Altium\MY_LIB\MY_LIB\Datasheets\YAGEO_RC_L.pdf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C:\Users\Nomatin\Documents\Altium\MY_LIB\MY_LIB\Datasheets\YAGEO_RC_L.pdf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https://yageogroup.com/content/datasheet/asset/file/PYU-RC_GROUP_51_ROHS_L</x:v>
      </x:c>
      <x:c xmlns:x="http://schemas.openxmlformats.org/spreadsheetml/2006/main" r="Y222" t="str" s="11">
        <x:v>C:\Users\Nomatin\Documents\Altium\MY_LIB\MY_LIB\Datasheets\YAGEO_RC_L.pdf</x:v>
      </x:c>
    </ns0:row>
    <ns0:row r="223" ht="30" customHeight="1">
      <ns0:c r="A223" t="str" s="10">
        <ns0:v>R0229</ns0:v>
      </ns0:c>
      <ns0:c r="B223" t="str" s="10">
        <ns0:v>Резистор</ns0:v>
      </ns0:c>
      <ns0:c r="C223" t="str" s="10">
        <ns0:v>1.3k</ns0:v>
      </ns0:c>
      <ns0:c r="D223" t="str" s="11">
        <ns0:f>SUBSTITUTE(SUBSTITUTE(SUBSTITUTE(SUBSTITUTE(C223,"meg"," МОм"),"k"," кОм"),"R"," Ом"),".",",")</ns0:f>
        <ns0:v>1,3 кОм</ns0:v>
      </ns0:c>
      <ns0:c r="E223" t="str" s="10">
        <ns0:v>±5%</ns0:v>
      </ns0:c>
      <ns0:c r="F223" t="str" s="10">
        <ns0:v>0,125 Вт</ns0:v>
      </ns0:c>
      <ns0:c r="G223" t="str" s="10">
        <ns0:v>150 В макс.</ns0:v>
      </ns0:c>
      <ns0:c r="H223" t="str" s="12">
        <ns0:v>0805</ns0:v>
      </ns0:c>
      <ns0:c r="I223" t="str" s="10">
        <ns0:v>YAGEO</ns0:v>
      </ns0:c>
      <ns0:c r="J223" t="str" s="10">
        <ns0:v>RC0805JR-071K3L</ns0:v>
      </ns0:c>
      <ns0:c r="K223" t="str" s="11">
        <ns0:f>B223&amp;" "&amp;D223&amp;" "&amp;E223&amp;" "&amp;H223</ns0:f>
        <ns0:v>Резистор 1,3 кОм ±5% 0805</ns0:v>
      </ns0:c>
      <ns0:c r="L223" t="str" s="13">
        <ns0:v>R</ns0:v>
      </ns0:c>
      <ns0:c r="M223" t="str" s="13">
        <ns0:v>Symbols\MY_LIB_Resistors.SchLib</ns0:v>
      </ns0:c>
      <ns0:c r="N223" t="str" s="13">
        <ns0:v>RESC2012X70N</ns0:v>
      </ns0:c>
      <ns0:c r="O223" t="str" s="13">
        <ns0:v>Footprints\PBL - SMD Packages.PcbLib</ns0:v>
      </ns0:c>
      <ns0:c r="P223" t="str" s="10">
        <ns0:v>RC_L; E24; P при 70 °C</ns0:v>
      </ns0:c>
      <ns0:c r="Q223" s="10"/>
      <ns0:c r="R223" t="str" s="11">
        <ns0:f>D223</ns0:f>
        <ns0:v>1,3 кОм</ns0:v>
      </ns0:c>
      <ns0:c r="S223" t="str" s="11">
        <ns0:f>K223</ns0:f>
        <ns0:v>Резистор 1,3 кОм ±5% 0805</ns0:v>
      </ns0:c>
      <x:c xmlns:x="http://schemas.openxmlformats.org/spreadsheetml/2006/main" r="T223" t="str" s="11">
        <x:v>C:\Users\Nomatin\Documents\Altium\MY_LIB\MY_LIB\Datasheets\YAGEO_RC_L.pdf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C:\Users\Nomatin\Documents\Altium\MY_LIB\MY_LIB\Datasheets\YAGEO_RC_L.pdf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https://yageogroup.com/content/datasheet/asset/file/PYU-RC_GROUP_51_ROHS_L</x:v>
      </x:c>
      <x:c xmlns:x="http://schemas.openxmlformats.org/spreadsheetml/2006/main" r="Y223" t="str" s="11">
        <x:v>C:\Users\Nomatin\Documents\Altium\MY_LIB\MY_LIB\Datasheets\YAGEO_RC_L.pdf</x:v>
      </x:c>
    </ns0:row>
    <ns0:row r="224" ht="30" customHeight="1">
      <ns0:c r="A224" t="str" s="10">
        <ns0:v>R0230</ns0:v>
      </ns0:c>
      <ns0:c r="B224" t="str" s="10">
        <ns0:v>Резистор</ns0:v>
      </ns0:c>
      <ns0:c r="C224" t="str" s="10">
        <ns0:v>1.5k</ns0:v>
      </ns0:c>
      <ns0:c r="D224" t="str" s="11">
        <ns0:f>SUBSTITUTE(SUBSTITUTE(SUBSTITUTE(SUBSTITUTE(C224,"meg"," МОм"),"k"," кОм"),"R"," Ом"),".",",")</ns0:f>
        <ns0:v>1,5 кОм</ns0:v>
      </ns0:c>
      <ns0:c r="E224" t="str" s="10">
        <ns0:v>±5%</ns0:v>
      </ns0:c>
      <ns0:c r="F224" t="str" s="10">
        <ns0:v>0,125 Вт</ns0:v>
      </ns0:c>
      <ns0:c r="G224" t="str" s="10">
        <ns0:v>150 В макс.</ns0:v>
      </ns0:c>
      <ns0:c r="H224" t="str" s="12">
        <ns0:v>0805</ns0:v>
      </ns0:c>
      <ns0:c r="I224" t="str" s="10">
        <ns0:v>YAGEO</ns0:v>
      </ns0:c>
      <ns0:c r="J224" t="str" s="10">
        <ns0:v>RC0805JR-071K5L</ns0:v>
      </ns0:c>
      <ns0:c r="K224" t="str" s="11">
        <ns0:f>B224&amp;" "&amp;D224&amp;" "&amp;E224&amp;" "&amp;H224</ns0:f>
        <ns0:v>Резистор 1,5 кОм ±5% 0805</ns0:v>
      </ns0:c>
      <ns0:c r="L224" t="str" s="13">
        <ns0:v>R</ns0:v>
      </ns0:c>
      <ns0:c r="M224" t="str" s="13">
        <ns0:v>Symbols\MY_LIB_Resistors.SchLib</ns0:v>
      </ns0:c>
      <ns0:c r="N224" t="str" s="13">
        <ns0:v>RESC2012X70N</ns0:v>
      </ns0:c>
      <ns0:c r="O224" t="str" s="13">
        <ns0:v>Footprints\PBL - SMD Packages.PcbLib</ns0:v>
      </ns0:c>
      <ns0:c r="P224" t="str" s="10">
        <ns0:v>RC_L; E24; P при 70 °C</ns0:v>
      </ns0:c>
      <ns0:c r="Q224" s="10"/>
      <ns0:c r="R224" t="str" s="11">
        <ns0:f>D224</ns0:f>
        <ns0:v>1,5 кОм</ns0:v>
      </ns0:c>
      <ns0:c r="S224" t="str" s="11">
        <ns0:f>K224</ns0:f>
        <ns0:v>Резистор 1,5 кОм ±5% 0805</ns0:v>
      </ns0:c>
      <x:c xmlns:x="http://schemas.openxmlformats.org/spreadsheetml/2006/main" r="T224" t="str" s="11">
        <x:v>C:\Users\Nomatin\Documents\Altium\MY_LIB\MY_LIB\Datasheets\YAGEO_RC_L.pdf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C:\Users\Nomatin\Documents\Altium\MY_LIB\MY_LIB\Datasheets\YAGEO_RC_L.pdf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https://yageogroup.com/content/datasheet/asset/file/PYU-RC_GROUP_51_ROHS_L</x:v>
      </x:c>
      <x:c xmlns:x="http://schemas.openxmlformats.org/spreadsheetml/2006/main" r="Y224" t="str" s="11">
        <x:v>C:\Users\Nomatin\Documents\Altium\MY_LIB\MY_LIB\Datasheets\YAGEO_RC_L.pdf</x:v>
      </x:c>
    </ns0:row>
    <ns0:row r="225" ht="30" customHeight="1">
      <ns0:c r="A225" t="str" s="10">
        <ns0:v>R0231</ns0:v>
      </ns0:c>
      <ns0:c r="B225" t="str" s="10">
        <ns0:v>Резистор</ns0:v>
      </ns0:c>
      <ns0:c r="C225" t="str" s="10">
        <ns0:v>1.6k</ns0:v>
      </ns0:c>
      <ns0:c r="D225" t="str" s="11">
        <ns0:f>SUBSTITUTE(SUBSTITUTE(SUBSTITUTE(SUBSTITUTE(C225,"meg"," МОм"),"k"," кОм"),"R"," Ом"),".",",")</ns0:f>
        <ns0:v>1,6 кОм</ns0:v>
      </ns0:c>
      <ns0:c r="E225" t="str" s="10">
        <ns0:v>±5%</ns0:v>
      </ns0:c>
      <ns0:c r="F225" t="str" s="10">
        <ns0:v>0,125 Вт</ns0:v>
      </ns0:c>
      <ns0:c r="G225" t="str" s="10">
        <ns0:v>150 В макс.</ns0:v>
      </ns0:c>
      <ns0:c r="H225" t="str" s="12">
        <ns0:v>0805</ns0:v>
      </ns0:c>
      <ns0:c r="I225" t="str" s="10">
        <ns0:v>YAGEO</ns0:v>
      </ns0:c>
      <ns0:c r="J225" t="str" s="10">
        <ns0:v>RC0805JR-071K6L</ns0:v>
      </ns0:c>
      <ns0:c r="K225" t="str" s="11">
        <ns0:f>B225&amp;" "&amp;D225&amp;" "&amp;E225&amp;" "&amp;H225</ns0:f>
        <ns0:v>Резистор 1,6 кОм ±5% 0805</ns0:v>
      </ns0:c>
      <ns0:c r="L225" t="str" s="13">
        <ns0:v>R</ns0:v>
      </ns0:c>
      <ns0:c r="M225" t="str" s="13">
        <ns0:v>Symbols\MY_LIB_Resistors.SchLib</ns0:v>
      </ns0:c>
      <ns0:c r="N225" t="str" s="13">
        <ns0:v>RESC2012X70N</ns0:v>
      </ns0:c>
      <ns0:c r="O225" t="str" s="13">
        <ns0:v>Footprints\PBL - SMD Packages.PcbLib</ns0:v>
      </ns0:c>
      <ns0:c r="P225" t="str" s="10">
        <ns0:v>RC_L; E24; P при 70 °C</ns0:v>
      </ns0:c>
      <ns0:c r="Q225" s="10"/>
      <ns0:c r="R225" t="str" s="11">
        <ns0:f>D225</ns0:f>
        <ns0:v>1,6 кОм</ns0:v>
      </ns0:c>
      <ns0:c r="S225" t="str" s="11">
        <ns0:f>K225</ns0:f>
        <ns0:v>Резистор 1,6 кОм ±5% 0805</ns0:v>
      </ns0:c>
      <x:c xmlns:x="http://schemas.openxmlformats.org/spreadsheetml/2006/main" r="T225" t="str" s="11">
        <x:v>C:\Users\Nomatin\Documents\Altium\MY_LIB\MY_LIB\Datasheets\YAGEO_RC_L.pdf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C:\Users\Nomatin\Documents\Altium\MY_LIB\MY_LIB\Datasheets\YAGEO_RC_L.pdf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https://yageogroup.com/content/datasheet/asset/file/PYU-RC_GROUP_51_ROHS_L</x:v>
      </x:c>
      <x:c xmlns:x="http://schemas.openxmlformats.org/spreadsheetml/2006/main" r="Y225" t="str" s="11">
        <x:v>C:\Users\Nomatin\Documents\Altium\MY_LIB\MY_LIB\Datasheets\YAGEO_RC_L.pdf</x:v>
      </x:c>
    </ns0:row>
    <ns0:row r="226" ht="30" customHeight="1">
      <ns0:c r="A226" t="str" s="10">
        <ns0:v>R0232</ns0:v>
      </ns0:c>
      <ns0:c r="B226" t="str" s="10">
        <ns0:v>Резистор</ns0:v>
      </ns0:c>
      <ns0:c r="C226" t="str" s="10">
        <ns0:v>1.8k</ns0:v>
      </ns0:c>
      <ns0:c r="D226" t="str" s="11">
        <ns0:f>SUBSTITUTE(SUBSTITUTE(SUBSTITUTE(SUBSTITUTE(C226,"meg"," МОм"),"k"," кОм"),"R"," Ом"),".",",")</ns0:f>
        <ns0:v>1,8 кОм</ns0:v>
      </ns0:c>
      <ns0:c r="E226" t="str" s="10">
        <ns0:v>±5%</ns0:v>
      </ns0:c>
      <ns0:c r="F226" t="str" s="10">
        <ns0:v>0,125 Вт</ns0:v>
      </ns0:c>
      <ns0:c r="G226" t="str" s="10">
        <ns0:v>150 В макс.</ns0:v>
      </ns0:c>
      <ns0:c r="H226" t="str" s="12">
        <ns0:v>0805</ns0:v>
      </ns0:c>
      <ns0:c r="I226" t="str" s="10">
        <ns0:v>YAGEO</ns0:v>
      </ns0:c>
      <ns0:c r="J226" t="str" s="10">
        <ns0:v>RC0805JR-071K8L</ns0:v>
      </ns0:c>
      <ns0:c r="K226" t="str" s="11">
        <ns0:f>B226&amp;" "&amp;D226&amp;" "&amp;E226&amp;" "&amp;H226</ns0:f>
        <ns0:v>Резистор 1,8 кОм ±5% 0805</ns0:v>
      </ns0:c>
      <ns0:c r="L226" t="str" s="13">
        <ns0:v>R</ns0:v>
      </ns0:c>
      <ns0:c r="M226" t="str" s="13">
        <ns0:v>Symbols\MY_LIB_Resistors.SchLib</ns0:v>
      </ns0:c>
      <ns0:c r="N226" t="str" s="13">
        <ns0:v>RESC2012X70N</ns0:v>
      </ns0:c>
      <ns0:c r="O226" t="str" s="13">
        <ns0:v>Footprints\PBL - SMD Packages.PcbLib</ns0:v>
      </ns0:c>
      <ns0:c r="P226" t="str" s="10">
        <ns0:v>RC_L; E24; P при 70 °C</ns0:v>
      </ns0:c>
      <ns0:c r="Q226" s="10"/>
      <ns0:c r="R226" t="str" s="11">
        <ns0:f>D226</ns0:f>
        <ns0:v>1,8 кОм</ns0:v>
      </ns0:c>
      <ns0:c r="S226" t="str" s="11">
        <ns0:f>K226</ns0:f>
        <ns0:v>Резистор 1,8 кОм ±5% 0805</ns0:v>
      </ns0:c>
      <x:c xmlns:x="http://schemas.openxmlformats.org/spreadsheetml/2006/main" r="T226" t="str" s="11">
        <x:v>C:\Users\Nomatin\Documents\Altium\MY_LIB\MY_LIB\Datasheets\YAGEO_RC_L.pdf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C:\Users\Nomatin\Documents\Altium\MY_LIB\MY_LIB\Datasheets\YAGEO_RC_L.pdf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https://yageogroup.com/content/datasheet/asset/file/PYU-RC_GROUP_51_ROHS_L</x:v>
      </x:c>
      <x:c xmlns:x="http://schemas.openxmlformats.org/spreadsheetml/2006/main" r="Y226" t="str" s="11">
        <x:v>C:\Users\Nomatin\Documents\Altium\MY_LIB\MY_LIB\Datasheets\YAGEO_RC_L.pdf</x:v>
      </x:c>
    </ns0:row>
    <ns0:row r="227" ht="30" customHeight="1">
      <ns0:c r="A227" t="str" s="10">
        <ns0:v>R0233</ns0:v>
      </ns0:c>
      <ns0:c r="B227" t="str" s="10">
        <ns0:v>Резистор</ns0:v>
      </ns0:c>
      <ns0:c r="C227" t="str" s="10">
        <ns0:v>2k</ns0:v>
      </ns0:c>
      <ns0:c r="D227" t="str" s="11">
        <ns0:f>SUBSTITUTE(SUBSTITUTE(SUBSTITUTE(SUBSTITUTE(C227,"meg"," МОм"),"k"," кОм"),"R"," Ом"),".",",")</ns0:f>
        <ns0:v>2 кОм</ns0:v>
      </ns0:c>
      <ns0:c r="E227" t="str" s="10">
        <ns0:v>±5%</ns0:v>
      </ns0:c>
      <ns0:c r="F227" t="str" s="10">
        <ns0:v>0,125 Вт</ns0:v>
      </ns0:c>
      <ns0:c r="G227" t="str" s="10">
        <ns0:v>150 В макс.</ns0:v>
      </ns0:c>
      <ns0:c r="H227" t="str" s="12">
        <ns0:v>0805</ns0:v>
      </ns0:c>
      <ns0:c r="I227" t="str" s="10">
        <ns0:v>YAGEO</ns0:v>
      </ns0:c>
      <ns0:c r="J227" t="str" s="10">
        <ns0:v>RC0805JR-072KL</ns0:v>
      </ns0:c>
      <ns0:c r="K227" t="str" s="11">
        <ns0:f>B227&amp;" "&amp;D227&amp;" "&amp;E227&amp;" "&amp;H227</ns0:f>
        <ns0:v>Резистор 2 кОм ±5% 0805</ns0:v>
      </ns0:c>
      <ns0:c r="L227" t="str" s="13">
        <ns0:v>R</ns0:v>
      </ns0:c>
      <ns0:c r="M227" t="str" s="13">
        <ns0:v>Symbols\MY_LIB_Resistors.SchLib</ns0:v>
      </ns0:c>
      <ns0:c r="N227" t="str" s="13">
        <ns0:v>RESC2012X70N</ns0:v>
      </ns0:c>
      <ns0:c r="O227" t="str" s="13">
        <ns0:v>Footprints\PBL - SMD Packages.PcbLib</ns0:v>
      </ns0:c>
      <ns0:c r="P227" t="str" s="10">
        <ns0:v>RC_L; E24; P при 70 °C</ns0:v>
      </ns0:c>
      <ns0:c r="Q227" s="10"/>
      <ns0:c r="R227" t="str" s="11">
        <ns0:f>D227</ns0:f>
        <ns0:v>2 кОм</ns0:v>
      </ns0:c>
      <ns0:c r="S227" t="str" s="11">
        <ns0:f>K227</ns0:f>
        <ns0:v>Резистор 2 кОм ±5% 0805</ns0:v>
      </ns0:c>
      <x:c xmlns:x="http://schemas.openxmlformats.org/spreadsheetml/2006/main" r="T227" t="str" s="11">
        <x:v>C:\Users\Nomatin\Documents\Altium\MY_LIB\MY_LIB\Datasheets\YAGEO_RC_L.pdf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C:\Users\Nomatin\Documents\Altium\MY_LIB\MY_LIB\Datasheets\YAGEO_RC_L.pdf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https://yageogroup.com/content/datasheet/asset/file/PYU-RC_GROUP_51_ROHS_L</x:v>
      </x:c>
      <x:c xmlns:x="http://schemas.openxmlformats.org/spreadsheetml/2006/main" r="Y227" t="str" s="11">
        <x:v>C:\Users\Nomatin\Documents\Altium\MY_LIB\MY_LIB\Datasheets\YAGEO_RC_L.pdf</x:v>
      </x:c>
    </ns0:row>
    <ns0:row r="228" ht="30" customHeight="1">
      <ns0:c r="A228" t="str" s="10">
        <ns0:v>R0234</ns0:v>
      </ns0:c>
      <ns0:c r="B228" t="str" s="10">
        <ns0:v>Резистор</ns0:v>
      </ns0:c>
      <ns0:c r="C228" t="str" s="10">
        <ns0:v>2.2k</ns0:v>
      </ns0:c>
      <ns0:c r="D228" t="str" s="11">
        <ns0:f>SUBSTITUTE(SUBSTITUTE(SUBSTITUTE(SUBSTITUTE(C228,"meg"," МОм"),"k"," кОм"),"R"," Ом"),".",",")</ns0:f>
        <ns0:v>2,2 кОм</ns0:v>
      </ns0:c>
      <ns0:c r="E228" t="str" s="10">
        <ns0:v>±5%</ns0:v>
      </ns0:c>
      <ns0:c r="F228" t="str" s="10">
        <ns0:v>0,125 Вт</ns0:v>
      </ns0:c>
      <ns0:c r="G228" t="str" s="10">
        <ns0:v>150 В макс.</ns0:v>
      </ns0:c>
      <ns0:c r="H228" t="str" s="12">
        <ns0:v>0805</ns0:v>
      </ns0:c>
      <ns0:c r="I228" t="str" s="10">
        <ns0:v>YAGEO</ns0:v>
      </ns0:c>
      <ns0:c r="J228" t="str" s="10">
        <ns0:v>RC0805JR-072K2L</ns0:v>
      </ns0:c>
      <ns0:c r="K228" t="str" s="11">
        <ns0:f>B228&amp;" "&amp;D228&amp;" "&amp;E228&amp;" "&amp;H228</ns0:f>
        <ns0:v>Резистор 2,2 кОм ±5% 0805</ns0:v>
      </ns0:c>
      <ns0:c r="L228" t="str" s="13">
        <ns0:v>R</ns0:v>
      </ns0:c>
      <ns0:c r="M228" t="str" s="13">
        <ns0:v>Symbols\MY_LIB_Resistors.SchLib</ns0:v>
      </ns0:c>
      <ns0:c r="N228" t="str" s="13">
        <ns0:v>RESC2012X70N</ns0:v>
      </ns0:c>
      <ns0:c r="O228" t="str" s="13">
        <ns0:v>Footprints\PBL - SMD Packages.PcbLib</ns0:v>
      </ns0:c>
      <ns0:c r="P228" t="str" s="10">
        <ns0:v>RC_L; E24; P при 70 °C</ns0:v>
      </ns0:c>
      <ns0:c r="Q228" s="10"/>
      <ns0:c r="R228" t="str" s="11">
        <ns0:f>D228</ns0:f>
        <ns0:v>2,2 кОм</ns0:v>
      </ns0:c>
      <ns0:c r="S228" t="str" s="11">
        <ns0:f>K228</ns0:f>
        <ns0:v>Резистор 2,2 кОм ±5% 0805</ns0:v>
      </ns0:c>
      <x:c xmlns:x="http://schemas.openxmlformats.org/spreadsheetml/2006/main" r="T228" t="str" s="11">
        <x:v>C:\Users\Nomatin\Documents\Altium\MY_LIB\MY_LIB\Datasheets\YAGEO_RC_L.pdf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C:\Users\Nomatin\Documents\Altium\MY_LIB\MY_LIB\Datasheets\YAGEO_RC_L.pdf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https://yageogroup.com/content/datasheet/asset/file/PYU-RC_GROUP_51_ROHS_L</x:v>
      </x:c>
      <x:c xmlns:x="http://schemas.openxmlformats.org/spreadsheetml/2006/main" r="Y228" t="str" s="11">
        <x:v>C:\Users\Nomatin\Documents\Altium\MY_LIB\MY_LIB\Datasheets\YAGEO_RC_L.pdf</x:v>
      </x:c>
    </ns0:row>
    <ns0:row r="229" ht="30" customHeight="1">
      <ns0:c r="A229" t="str" s="10">
        <ns0:v>R0235</ns0:v>
      </ns0:c>
      <ns0:c r="B229" t="str" s="10">
        <ns0:v>Резистор</ns0:v>
      </ns0:c>
      <ns0:c r="C229" t="str" s="10">
        <ns0:v>2.4k</ns0:v>
      </ns0:c>
      <ns0:c r="D229" t="str" s="11">
        <ns0:f>SUBSTITUTE(SUBSTITUTE(SUBSTITUTE(SUBSTITUTE(C229,"meg"," МОм"),"k"," кОм"),"R"," Ом"),".",",")</ns0:f>
        <ns0:v>2,4 кОм</ns0:v>
      </ns0:c>
      <ns0:c r="E229" t="str" s="10">
        <ns0:v>±5%</ns0:v>
      </ns0:c>
      <ns0:c r="F229" t="str" s="10">
        <ns0:v>0,125 Вт</ns0:v>
      </ns0:c>
      <ns0:c r="G229" t="str" s="10">
        <ns0:v>150 В макс.</ns0:v>
      </ns0:c>
      <ns0:c r="H229" t="str" s="12">
        <ns0:v>0805</ns0:v>
      </ns0:c>
      <ns0:c r="I229" t="str" s="10">
        <ns0:v>YAGEO</ns0:v>
      </ns0:c>
      <ns0:c r="J229" t="str" s="10">
        <ns0:v>RC0805JR-072K4L</ns0:v>
      </ns0:c>
      <ns0:c r="K229" t="str" s="11">
        <ns0:f>B229&amp;" "&amp;D229&amp;" "&amp;E229&amp;" "&amp;H229</ns0:f>
        <ns0:v>Резистор 2,4 кОм ±5% 0805</ns0:v>
      </ns0:c>
      <ns0:c r="L229" t="str" s="13">
        <ns0:v>R</ns0:v>
      </ns0:c>
      <ns0:c r="M229" t="str" s="13">
        <ns0:v>Symbols\MY_LIB_Resistors.SchLib</ns0:v>
      </ns0:c>
      <ns0:c r="N229" t="str" s="13">
        <ns0:v>RESC2012X70N</ns0:v>
      </ns0:c>
      <ns0:c r="O229" t="str" s="13">
        <ns0:v>Footprints\PBL - SMD Packages.PcbLib</ns0:v>
      </ns0:c>
      <ns0:c r="P229" t="str" s="10">
        <ns0:v>RC_L; E24; P при 70 °C</ns0:v>
      </ns0:c>
      <ns0:c r="Q229" s="10"/>
      <ns0:c r="R229" t="str" s="11">
        <ns0:f>D229</ns0:f>
        <ns0:v>2,4 кОм</ns0:v>
      </ns0:c>
      <ns0:c r="S229" t="str" s="11">
        <ns0:f>K229</ns0:f>
        <ns0:v>Резистор 2,4 кОм ±5% 0805</ns0:v>
      </ns0:c>
      <x:c xmlns:x="http://schemas.openxmlformats.org/spreadsheetml/2006/main" r="T229" t="str" s="11">
        <x:v>C:\Users\Nomatin\Documents\Altium\MY_LIB\MY_LIB\Datasheets\YAGEO_RC_L.pdf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C:\Users\Nomatin\Documents\Altium\MY_LIB\MY_LIB\Datasheets\YAGEO_RC_L.pdf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https://yageogroup.com/content/datasheet/asset/file/PYU-RC_GROUP_51_ROHS_L</x:v>
      </x:c>
      <x:c xmlns:x="http://schemas.openxmlformats.org/spreadsheetml/2006/main" r="Y229" t="str" s="11">
        <x:v>C:\Users\Nomatin\Documents\Altium\MY_LIB\MY_LIB\Datasheets\YAGEO_RC_L.pdf</x:v>
      </x:c>
    </ns0:row>
    <ns0:row r="230" ht="30" customHeight="1">
      <ns0:c r="A230" t="str" s="10">
        <ns0:v>R0236</ns0:v>
      </ns0:c>
      <ns0:c r="B230" t="str" s="10">
        <ns0:v>Резистор</ns0:v>
      </ns0:c>
      <ns0:c r="C230" t="str" s="10">
        <ns0:v>2.7k</ns0:v>
      </ns0:c>
      <ns0:c r="D230" t="str" s="11">
        <ns0:f>SUBSTITUTE(SUBSTITUTE(SUBSTITUTE(SUBSTITUTE(C230,"meg"," МОм"),"k"," кОм"),"R"," Ом"),".",",")</ns0:f>
        <ns0:v>2,7 кОм</ns0:v>
      </ns0:c>
      <ns0:c r="E230" t="str" s="10">
        <ns0:v>±5%</ns0:v>
      </ns0:c>
      <ns0:c r="F230" t="str" s="10">
        <ns0:v>0,125 Вт</ns0:v>
      </ns0:c>
      <ns0:c r="G230" t="str" s="10">
        <ns0:v>150 В макс.</ns0:v>
      </ns0:c>
      <ns0:c r="H230" t="str" s="12">
        <ns0:v>0805</ns0:v>
      </ns0:c>
      <ns0:c r="I230" t="str" s="10">
        <ns0:v>YAGEO</ns0:v>
      </ns0:c>
      <ns0:c r="J230" t="str" s="10">
        <ns0:v>RC0805JR-072K7L</ns0:v>
      </ns0:c>
      <ns0:c r="K230" t="str" s="11">
        <ns0:f>B230&amp;" "&amp;D230&amp;" "&amp;E230&amp;" "&amp;H230</ns0:f>
        <ns0:v>Резистор 2,7 кОм ±5% 0805</ns0:v>
      </ns0:c>
      <ns0:c r="L230" t="str" s="13">
        <ns0:v>R</ns0:v>
      </ns0:c>
      <ns0:c r="M230" t="str" s="13">
        <ns0:v>Symbols\MY_LIB_Resistors.SchLib</ns0:v>
      </ns0:c>
      <ns0:c r="N230" t="str" s="13">
        <ns0:v>RESC2012X70N</ns0:v>
      </ns0:c>
      <ns0:c r="O230" t="str" s="13">
        <ns0:v>Footprints\PBL - SMD Packages.PcbLib</ns0:v>
      </ns0:c>
      <ns0:c r="P230" t="str" s="10">
        <ns0:v>RC_L; E24; P при 70 °C</ns0:v>
      </ns0:c>
      <ns0:c r="Q230" s="10"/>
      <ns0:c r="R230" t="str" s="11">
        <ns0:f>D230</ns0:f>
        <ns0:v>2,7 кОм</ns0:v>
      </ns0:c>
      <ns0:c r="S230" t="str" s="11">
        <ns0:f>K230</ns0:f>
        <ns0:v>Резистор 2,7 кОм ±5% 0805</ns0:v>
      </ns0:c>
      <x:c xmlns:x="http://schemas.openxmlformats.org/spreadsheetml/2006/main" r="T230" t="str" s="11">
        <x:v>C:\Users\Nomatin\Documents\Altium\MY_LIB\MY_LIB\Datasheets\YAGEO_RC_L.pdf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C:\Users\Nomatin\Documents\Altium\MY_LIB\MY_LIB\Datasheets\YAGEO_RC_L.pdf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https://yageogroup.com/content/datasheet/asset/file/PYU-RC_GROUP_51_ROHS_L</x:v>
      </x:c>
      <x:c xmlns:x="http://schemas.openxmlformats.org/spreadsheetml/2006/main" r="Y230" t="str" s="11">
        <x:v>C:\Users\Nomatin\Documents\Altium\MY_LIB\MY_LIB\Datasheets\YAGEO_RC_L.pdf</x:v>
      </x:c>
    </ns0:row>
    <ns0:row r="231" ht="30" customHeight="1">
      <ns0:c r="A231" t="str" s="10">
        <ns0:v>R0237</ns0:v>
      </ns0:c>
      <ns0:c r="B231" t="str" s="10">
        <ns0:v>Резистор</ns0:v>
      </ns0:c>
      <ns0:c r="C231" t="str" s="10">
        <ns0:v>3k</ns0:v>
      </ns0:c>
      <ns0:c r="D231" t="str" s="11">
        <ns0:f>SUBSTITUTE(SUBSTITUTE(SUBSTITUTE(SUBSTITUTE(C231,"meg"," МОм"),"k"," кОм"),"R"," Ом"),".",",")</ns0:f>
        <ns0:v>3 кОм</ns0:v>
      </ns0:c>
      <ns0:c r="E231" t="str" s="10">
        <ns0:v>±5%</ns0:v>
      </ns0:c>
      <ns0:c r="F231" t="str" s="10">
        <ns0:v>0,125 Вт</ns0:v>
      </ns0:c>
      <ns0:c r="G231" t="str" s="10">
        <ns0:v>150 В макс.</ns0:v>
      </ns0:c>
      <ns0:c r="H231" t="str" s="12">
        <ns0:v>0805</ns0:v>
      </ns0:c>
      <ns0:c r="I231" t="str" s="10">
        <ns0:v>YAGEO</ns0:v>
      </ns0:c>
      <ns0:c r="J231" t="str" s="10">
        <ns0:v>RC0805JR-073KL</ns0:v>
      </ns0:c>
      <ns0:c r="K231" t="str" s="11">
        <ns0:f>B231&amp;" "&amp;D231&amp;" "&amp;E231&amp;" "&amp;H231</ns0:f>
        <ns0:v>Резистор 3 кОм ±5% 0805</ns0:v>
      </ns0:c>
      <ns0:c r="L231" t="str" s="13">
        <ns0:v>R</ns0:v>
      </ns0:c>
      <ns0:c r="M231" t="str" s="13">
        <ns0:v>Symbols\MY_LIB_Resistors.SchLib</ns0:v>
      </ns0:c>
      <ns0:c r="N231" t="str" s="13">
        <ns0:v>RESC2012X70N</ns0:v>
      </ns0:c>
      <ns0:c r="O231" t="str" s="13">
        <ns0:v>Footprints\PBL - SMD Packages.PcbLib</ns0:v>
      </ns0:c>
      <ns0:c r="P231" t="str" s="10">
        <ns0:v>RC_L; E24; P при 70 °C</ns0:v>
      </ns0:c>
      <ns0:c r="Q231" s="10"/>
      <ns0:c r="R231" t="str" s="11">
        <ns0:f>D231</ns0:f>
        <ns0:v>3 кОм</ns0:v>
      </ns0:c>
      <ns0:c r="S231" t="str" s="11">
        <ns0:f>K231</ns0:f>
        <ns0:v>Резистор 3 кОм ±5% 0805</ns0:v>
      </ns0:c>
      <x:c xmlns:x="http://schemas.openxmlformats.org/spreadsheetml/2006/main" r="T231" t="str" s="11">
        <x:v>C:\Users\Nomatin\Documents\Altium\MY_LIB\MY_LIB\Datasheets\YAGEO_RC_L.pdf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C:\Users\Nomatin\Documents\Altium\MY_LIB\MY_LIB\Datasheets\YAGEO_RC_L.pdf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https://yageogroup.com/content/datasheet/asset/file/PYU-RC_GROUP_51_ROHS_L</x:v>
      </x:c>
      <x:c xmlns:x="http://schemas.openxmlformats.org/spreadsheetml/2006/main" r="Y231" t="str" s="11">
        <x:v>C:\Users\Nomatin\Documents\Altium\MY_LIB\MY_LIB\Datasheets\YAGEO_RC_L.pdf</x:v>
      </x:c>
    </ns0:row>
    <ns0:row r="232" ht="30" customHeight="1">
      <ns0:c r="A232" t="str" s="10">
        <ns0:v>R0238</ns0:v>
      </ns0:c>
      <ns0:c r="B232" t="str" s="10">
        <ns0:v>Резистор</ns0:v>
      </ns0:c>
      <ns0:c r="C232" t="str" s="10">
        <ns0:v>3.3k</ns0:v>
      </ns0:c>
      <ns0:c r="D232" t="str" s="11">
        <ns0:f>SUBSTITUTE(SUBSTITUTE(SUBSTITUTE(SUBSTITUTE(C232,"meg"," МОм"),"k"," кОм"),"R"," Ом"),".",",")</ns0:f>
        <ns0:v>3,3 кОм</ns0:v>
      </ns0:c>
      <ns0:c r="E232" t="str" s="10">
        <ns0:v>±5%</ns0:v>
      </ns0:c>
      <ns0:c r="F232" t="str" s="10">
        <ns0:v>0,125 Вт</ns0:v>
      </ns0:c>
      <ns0:c r="G232" t="str" s="10">
        <ns0:v>150 В макс.</ns0:v>
      </ns0:c>
      <ns0:c r="H232" t="str" s="12">
        <ns0:v>0805</ns0:v>
      </ns0:c>
      <ns0:c r="I232" t="str" s="10">
        <ns0:v>YAGEO</ns0:v>
      </ns0:c>
      <ns0:c r="J232" t="str" s="10">
        <ns0:v>RC0805JR-073K3L</ns0:v>
      </ns0:c>
      <ns0:c r="K232" t="str" s="11">
        <ns0:f>B232&amp;" "&amp;D232&amp;" "&amp;E232&amp;" "&amp;H232</ns0:f>
        <ns0:v>Резистор 3,3 кОм ±5% 0805</ns0:v>
      </ns0:c>
      <ns0:c r="L232" t="str" s="13">
        <ns0:v>R</ns0:v>
      </ns0:c>
      <ns0:c r="M232" t="str" s="13">
        <ns0:v>Symbols\MY_LIB_Resistors.SchLib</ns0:v>
      </ns0:c>
      <ns0:c r="N232" t="str" s="13">
        <ns0:v>RESC2012X70N</ns0:v>
      </ns0:c>
      <ns0:c r="O232" t="str" s="13">
        <ns0:v>Footprints\PBL - SMD Packages.PcbLib</ns0:v>
      </ns0:c>
      <ns0:c r="P232" t="str" s="10">
        <ns0:v>RC_L; E24; P при 70 °C</ns0:v>
      </ns0:c>
      <ns0:c r="Q232" s="10"/>
      <ns0:c r="R232" t="str" s="11">
        <ns0:f>D232</ns0:f>
        <ns0:v>3,3 кОм</ns0:v>
      </ns0:c>
      <ns0:c r="S232" t="str" s="11">
        <ns0:f>K232</ns0:f>
        <ns0:v>Резистор 3,3 кОм ±5% 0805</ns0:v>
      </ns0:c>
      <x:c xmlns:x="http://schemas.openxmlformats.org/spreadsheetml/2006/main" r="T232" t="str" s="11">
        <x:v>C:\Users\Nomatin\Documents\Altium\MY_LIB\MY_LIB\Datasheets\YAGEO_RC_L.pdf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C:\Users\Nomatin\Documents\Altium\MY_LIB\MY_LIB\Datasheets\YAGEO_RC_L.pdf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https://yageogroup.com/content/datasheet/asset/file/PYU-RC_GROUP_51_ROHS_L</x:v>
      </x:c>
      <x:c xmlns:x="http://schemas.openxmlformats.org/spreadsheetml/2006/main" r="Y232" t="str" s="11">
        <x:v>C:\Users\Nomatin\Documents\Altium\MY_LIB\MY_LIB\Datasheets\YAGEO_RC_L.pdf</x:v>
      </x:c>
    </ns0:row>
    <ns0:row r="233" ht="30" customHeight="1">
      <ns0:c r="A233" t="str" s="10">
        <ns0:v>R0239</ns0:v>
      </ns0:c>
      <ns0:c r="B233" t="str" s="10">
        <ns0:v>Резистор</ns0:v>
      </ns0:c>
      <ns0:c r="C233" t="str" s="10">
        <ns0:v>3.6k</ns0:v>
      </ns0:c>
      <ns0:c r="D233" t="str" s="11">
        <ns0:f>SUBSTITUTE(SUBSTITUTE(SUBSTITUTE(SUBSTITUTE(C233,"meg"," МОм"),"k"," кОм"),"R"," Ом"),".",",")</ns0:f>
        <ns0:v>3,6 кОм</ns0:v>
      </ns0:c>
      <ns0:c r="E233" t="str" s="10">
        <ns0:v>±5%</ns0:v>
      </ns0:c>
      <ns0:c r="F233" t="str" s="10">
        <ns0:v>0,125 Вт</ns0:v>
      </ns0:c>
      <ns0:c r="G233" t="str" s="10">
        <ns0:v>150 В макс.</ns0:v>
      </ns0:c>
      <ns0:c r="H233" t="str" s="12">
        <ns0:v>0805</ns0:v>
      </ns0:c>
      <ns0:c r="I233" t="str" s="10">
        <ns0:v>YAGEO</ns0:v>
      </ns0:c>
      <ns0:c r="J233" t="str" s="10">
        <ns0:v>RC0805JR-073K6L</ns0:v>
      </ns0:c>
      <ns0:c r="K233" t="str" s="11">
        <ns0:f>B233&amp;" "&amp;D233&amp;" "&amp;E233&amp;" "&amp;H233</ns0:f>
        <ns0:v>Резистор 3,6 кОм ±5% 0805</ns0:v>
      </ns0:c>
      <ns0:c r="L233" t="str" s="13">
        <ns0:v>R</ns0:v>
      </ns0:c>
      <ns0:c r="M233" t="str" s="13">
        <ns0:v>Symbols\MY_LIB_Resistors.SchLib</ns0:v>
      </ns0:c>
      <ns0:c r="N233" t="str" s="13">
        <ns0:v>RESC2012X70N</ns0:v>
      </ns0:c>
      <ns0:c r="O233" t="str" s="13">
        <ns0:v>Footprints\PBL - SMD Packages.PcbLib</ns0:v>
      </ns0:c>
      <ns0:c r="P233" t="str" s="10">
        <ns0:v>RC_L; E24; P при 70 °C</ns0:v>
      </ns0:c>
      <ns0:c r="Q233" s="10"/>
      <ns0:c r="R233" t="str" s="11">
        <ns0:f>D233</ns0:f>
        <ns0:v>3,6 кОм</ns0:v>
      </ns0:c>
      <ns0:c r="S233" t="str" s="11">
        <ns0:f>K233</ns0:f>
        <ns0:v>Резистор 3,6 кОм ±5% 0805</ns0:v>
      </ns0:c>
      <x:c xmlns:x="http://schemas.openxmlformats.org/spreadsheetml/2006/main" r="T233" t="str" s="11">
        <x:v>C:\Users\Nomatin\Documents\Altium\MY_LIB\MY_LIB\Datasheets\YAGEO_RC_L.pdf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C:\Users\Nomatin\Documents\Altium\MY_LIB\MY_LIB\Datasheets\YAGEO_RC_L.pdf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https://yageogroup.com/content/datasheet/asset/file/PYU-RC_GROUP_51_ROHS_L</x:v>
      </x:c>
      <x:c xmlns:x="http://schemas.openxmlformats.org/spreadsheetml/2006/main" r="Y233" t="str" s="11">
        <x:v>C:\Users\Nomatin\Documents\Altium\MY_LIB\MY_LIB\Datasheets\YAGEO_RC_L.pdf</x:v>
      </x:c>
    </ns0:row>
    <ns0:row r="234" ht="30" customHeight="1">
      <ns0:c r="A234" t="str" s="10">
        <ns0:v>R0240</ns0:v>
      </ns0:c>
      <ns0:c r="B234" t="str" s="10">
        <ns0:v>Резистор</ns0:v>
      </ns0:c>
      <ns0:c r="C234" t="str" s="10">
        <ns0:v>3.9k</ns0:v>
      </ns0:c>
      <ns0:c r="D234" t="str" s="11">
        <ns0:f>SUBSTITUTE(SUBSTITUTE(SUBSTITUTE(SUBSTITUTE(C234,"meg"," МОм"),"k"," кОм"),"R"," Ом"),".",",")</ns0:f>
        <ns0:v>3,9 кОм</ns0:v>
      </ns0:c>
      <ns0:c r="E234" t="str" s="10">
        <ns0:v>±5%</ns0:v>
      </ns0:c>
      <ns0:c r="F234" t="str" s="10">
        <ns0:v>0,125 Вт</ns0:v>
      </ns0:c>
      <ns0:c r="G234" t="str" s="10">
        <ns0:v>150 В макс.</ns0:v>
      </ns0:c>
      <ns0:c r="H234" t="str" s="12">
        <ns0:v>0805</ns0:v>
      </ns0:c>
      <ns0:c r="I234" t="str" s="10">
        <ns0:v>YAGEO</ns0:v>
      </ns0:c>
      <ns0:c r="J234" t="str" s="10">
        <ns0:v>RC0805JR-073K9L</ns0:v>
      </ns0:c>
      <ns0:c r="K234" t="str" s="11">
        <ns0:f>B234&amp;" "&amp;D234&amp;" "&amp;E234&amp;" "&amp;H234</ns0:f>
        <ns0:v>Резистор 3,9 кОм ±5% 0805</ns0:v>
      </ns0:c>
      <ns0:c r="L234" t="str" s="13">
        <ns0:v>R</ns0:v>
      </ns0:c>
      <ns0:c r="M234" t="str" s="13">
        <ns0:v>Symbols\MY_LIB_Resistors.SchLib</ns0:v>
      </ns0:c>
      <ns0:c r="N234" t="str" s="13">
        <ns0:v>RESC2012X70N</ns0:v>
      </ns0:c>
      <ns0:c r="O234" t="str" s="13">
        <ns0:v>Footprints\PBL - SMD Packages.PcbLib</ns0:v>
      </ns0:c>
      <ns0:c r="P234" t="str" s="10">
        <ns0:v>RC_L; E24; P при 70 °C</ns0:v>
      </ns0:c>
      <ns0:c r="Q234" s="10"/>
      <ns0:c r="R234" t="str" s="11">
        <ns0:f>D234</ns0:f>
        <ns0:v>3,9 кОм</ns0:v>
      </ns0:c>
      <ns0:c r="S234" t="str" s="11">
        <ns0:f>K234</ns0:f>
        <ns0:v>Резистор 3,9 кОм ±5% 0805</ns0:v>
      </ns0:c>
      <x:c xmlns:x="http://schemas.openxmlformats.org/spreadsheetml/2006/main" r="T234" t="str" s="11">
        <x:v>C:\Users\Nomatin\Documents\Altium\MY_LIB\MY_LIB\Datasheets\YAGEO_RC_L.pdf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C:\Users\Nomatin\Documents\Altium\MY_LIB\MY_LIB\Datasheets\YAGEO_RC_L.pdf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https://yageogroup.com/content/datasheet/asset/file/PYU-RC_GROUP_51_ROHS_L</x:v>
      </x:c>
      <x:c xmlns:x="http://schemas.openxmlformats.org/spreadsheetml/2006/main" r="Y234" t="str" s="11">
        <x:v>C:\Users\Nomatin\Documents\Altium\MY_LIB\MY_LIB\Datasheets\YAGEO_RC_L.pdf</x:v>
      </x:c>
    </ns0:row>
    <ns0:row r="235" ht="30" customHeight="1">
      <ns0:c r="A235" t="str" s="10">
        <ns0:v>R0241</ns0:v>
      </ns0:c>
      <ns0:c r="B235" t="str" s="10">
        <ns0:v>Резистор</ns0:v>
      </ns0:c>
      <ns0:c r="C235" t="str" s="10">
        <ns0:v>4.3k</ns0:v>
      </ns0:c>
      <ns0:c r="D235" t="str" s="11">
        <ns0:f>SUBSTITUTE(SUBSTITUTE(SUBSTITUTE(SUBSTITUTE(C235,"meg"," МОм"),"k"," кОм"),"R"," Ом"),".",",")</ns0:f>
        <ns0:v>4,3 кОм</ns0:v>
      </ns0:c>
      <ns0:c r="E235" t="str" s="10">
        <ns0:v>±5%</ns0:v>
      </ns0:c>
      <ns0:c r="F235" t="str" s="10">
        <ns0:v>0,125 Вт</ns0:v>
      </ns0:c>
      <ns0:c r="G235" t="str" s="10">
        <ns0:v>150 В макс.</ns0:v>
      </ns0:c>
      <ns0:c r="H235" t="str" s="12">
        <ns0:v>0805</ns0:v>
      </ns0:c>
      <ns0:c r="I235" t="str" s="10">
        <ns0:v>YAGEO</ns0:v>
      </ns0:c>
      <ns0:c r="J235" t="str" s="10">
        <ns0:v>RC0805JR-074K3L</ns0:v>
      </ns0:c>
      <ns0:c r="K235" t="str" s="11">
        <ns0:f>B235&amp;" "&amp;D235&amp;" "&amp;E235&amp;" "&amp;H235</ns0:f>
        <ns0:v>Резистор 4,3 кОм ±5% 0805</ns0:v>
      </ns0:c>
      <ns0:c r="L235" t="str" s="13">
        <ns0:v>R</ns0:v>
      </ns0:c>
      <ns0:c r="M235" t="str" s="13">
        <ns0:v>Symbols\MY_LIB_Resistors.SchLib</ns0:v>
      </ns0:c>
      <ns0:c r="N235" t="str" s="13">
        <ns0:v>RESC2012X70N</ns0:v>
      </ns0:c>
      <ns0:c r="O235" t="str" s="13">
        <ns0:v>Footprints\PBL - SMD Packages.PcbLib</ns0:v>
      </ns0:c>
      <ns0:c r="P235" t="str" s="10">
        <ns0:v>RC_L; E24; P при 70 °C</ns0:v>
      </ns0:c>
      <ns0:c r="Q235" s="10"/>
      <ns0:c r="R235" t="str" s="11">
        <ns0:f>D235</ns0:f>
        <ns0:v>4,3 кОм</ns0:v>
      </ns0:c>
      <ns0:c r="S235" t="str" s="11">
        <ns0:f>K235</ns0:f>
        <ns0:v>Резистор 4,3 кОм ±5% 0805</ns0:v>
      </ns0:c>
      <x:c xmlns:x="http://schemas.openxmlformats.org/spreadsheetml/2006/main" r="T235" t="str" s="11">
        <x:v>C:\Users\Nomatin\Documents\Altium\MY_LIB\MY_LIB\Datasheets\YAGEO_RC_L.pdf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C:\Users\Nomatin\Documents\Altium\MY_LIB\MY_LIB\Datasheets\YAGEO_RC_L.pdf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https://yageogroup.com/content/datasheet/asset/file/PYU-RC_GROUP_51_ROHS_L</x:v>
      </x:c>
      <x:c xmlns:x="http://schemas.openxmlformats.org/spreadsheetml/2006/main" r="Y235" t="str" s="11">
        <x:v>C:\Users\Nomatin\Documents\Altium\MY_LIB\MY_LIB\Datasheets\YAGEO_RC_L.pdf</x:v>
      </x:c>
    </ns0:row>
    <ns0:row r="236" ht="30" customHeight="1">
      <ns0:c r="A236" t="str" s="10">
        <ns0:v>R0242</ns0:v>
      </ns0:c>
      <ns0:c r="B236" t="str" s="10">
        <ns0:v>Резистор</ns0:v>
      </ns0:c>
      <ns0:c r="C236" t="str" s="10">
        <ns0:v>4.7k</ns0:v>
      </ns0:c>
      <ns0:c r="D236" t="str" s="11">
        <ns0:f>SUBSTITUTE(SUBSTITUTE(SUBSTITUTE(SUBSTITUTE(C236,"meg"," МОм"),"k"," кОм"),"R"," Ом"),".",",")</ns0:f>
        <ns0:v>4,7 кОм</ns0:v>
      </ns0:c>
      <ns0:c r="E236" t="str" s="10">
        <ns0:v>±5%</ns0:v>
      </ns0:c>
      <ns0:c r="F236" t="str" s="10">
        <ns0:v>0,125 Вт</ns0:v>
      </ns0:c>
      <ns0:c r="G236" t="str" s="10">
        <ns0:v>150 В макс.</ns0:v>
      </ns0:c>
      <ns0:c r="H236" t="str" s="12">
        <ns0:v>0805</ns0:v>
      </ns0:c>
      <ns0:c r="I236" t="str" s="10">
        <ns0:v>YAGEO</ns0:v>
      </ns0:c>
      <ns0:c r="J236" t="str" s="10">
        <ns0:v>RC0805JR-074K7L</ns0:v>
      </ns0:c>
      <ns0:c r="K236" t="str" s="11">
        <ns0:f>B236&amp;" "&amp;D236&amp;" "&amp;E236&amp;" "&amp;H236</ns0:f>
        <ns0:v>Резистор 4,7 кОм ±5% 0805</ns0:v>
      </ns0:c>
      <ns0:c r="L236" t="str" s="13">
        <ns0:v>R</ns0:v>
      </ns0:c>
      <ns0:c r="M236" t="str" s="13">
        <ns0:v>Symbols\MY_LIB_Resistors.SchLib</ns0:v>
      </ns0:c>
      <ns0:c r="N236" t="str" s="13">
        <ns0:v>RESC2012X70N</ns0:v>
      </ns0:c>
      <ns0:c r="O236" t="str" s="13">
        <ns0:v>Footprints\PBL - SMD Packages.PcbLib</ns0:v>
      </ns0:c>
      <ns0:c r="P236" t="str" s="10">
        <ns0:v>RC_L; E24; P при 70 °C</ns0:v>
      </ns0:c>
      <ns0:c r="Q236" s="10"/>
      <ns0:c r="R236" t="str" s="11">
        <ns0:f>D236</ns0:f>
        <ns0:v>4,7 кОм</ns0:v>
      </ns0:c>
      <ns0:c r="S236" t="str" s="11">
        <ns0:f>K236</ns0:f>
        <ns0:v>Резистор 4,7 кОм ±5% 0805</ns0:v>
      </ns0:c>
      <x:c xmlns:x="http://schemas.openxmlformats.org/spreadsheetml/2006/main" r="T236" t="str" s="11">
        <x:v>C:\Users\Nomatin\Documents\Altium\MY_LIB\MY_LIB\Datasheets\YAGEO_RC_L.pdf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C:\Users\Nomatin\Documents\Altium\MY_LIB\MY_LIB\Datasheets\YAGEO_RC_L.pdf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https://yageogroup.com/content/datasheet/asset/file/PYU-RC_GROUP_51_ROHS_L</x:v>
      </x:c>
      <x:c xmlns:x="http://schemas.openxmlformats.org/spreadsheetml/2006/main" r="Y236" t="str" s="11">
        <x:v>C:\Users\Nomatin\Documents\Altium\MY_LIB\MY_LIB\Datasheets\YAGEO_RC_L.pdf</x:v>
      </x:c>
    </ns0:row>
    <ns0:row r="237" ht="30" customHeight="1">
      <ns0:c r="A237" t="str" s="10">
        <ns0:v>R0243</ns0:v>
      </ns0:c>
      <ns0:c r="B237" t="str" s="10">
        <ns0:v>Резистор</ns0:v>
      </ns0:c>
      <ns0:c r="C237" t="str" s="10">
        <ns0:v>5.1k</ns0:v>
      </ns0:c>
      <ns0:c r="D237" t="str" s="11">
        <ns0:f>SUBSTITUTE(SUBSTITUTE(SUBSTITUTE(SUBSTITUTE(C237,"meg"," МОм"),"k"," кОм"),"R"," Ом"),".",",")</ns0:f>
        <ns0:v>5,1 кОм</ns0:v>
      </ns0:c>
      <ns0:c r="E237" t="str" s="10">
        <ns0:v>±5%</ns0:v>
      </ns0:c>
      <ns0:c r="F237" t="str" s="10">
        <ns0:v>0,125 Вт</ns0:v>
      </ns0:c>
      <ns0:c r="G237" t="str" s="10">
        <ns0:v>150 В макс.</ns0:v>
      </ns0:c>
      <ns0:c r="H237" t="str" s="12">
        <ns0:v>0805</ns0:v>
      </ns0:c>
      <ns0:c r="I237" t="str" s="10">
        <ns0:v>YAGEO</ns0:v>
      </ns0:c>
      <ns0:c r="J237" t="str" s="10">
        <ns0:v>RC0805JR-075K1L</ns0:v>
      </ns0:c>
      <ns0:c r="K237" t="str" s="11">
        <ns0:f>B237&amp;" "&amp;D237&amp;" "&amp;E237&amp;" "&amp;H237</ns0:f>
        <ns0:v>Резистор 5,1 кОм ±5% 0805</ns0:v>
      </ns0:c>
      <ns0:c r="L237" t="str" s="13">
        <ns0:v>R</ns0:v>
      </ns0:c>
      <ns0:c r="M237" t="str" s="13">
        <ns0:v>Symbols\MY_LIB_Resistors.SchLib</ns0:v>
      </ns0:c>
      <ns0:c r="N237" t="str" s="13">
        <ns0:v>RESC2012X70N</ns0:v>
      </ns0:c>
      <ns0:c r="O237" t="str" s="13">
        <ns0:v>Footprints\PBL - SMD Packages.PcbLib</ns0:v>
      </ns0:c>
      <ns0:c r="P237" t="str" s="10">
        <ns0:v>RC_L; E24; P при 70 °C</ns0:v>
      </ns0:c>
      <ns0:c r="Q237" s="10"/>
      <ns0:c r="R237" t="str" s="11">
        <ns0:f>D237</ns0:f>
        <ns0:v>5,1 кОм</ns0:v>
      </ns0:c>
      <ns0:c r="S237" t="str" s="11">
        <ns0:f>K237</ns0:f>
        <ns0:v>Резистор 5,1 кОм ±5% 0805</ns0:v>
      </ns0:c>
      <x:c xmlns:x="http://schemas.openxmlformats.org/spreadsheetml/2006/main" r="T237" t="str" s="11">
        <x:v>C:\Users\Nomatin\Documents\Altium\MY_LIB\MY_LIB\Datasheets\YAGEO_RC_L.pdf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C:\Users\Nomatin\Documents\Altium\MY_LIB\MY_LIB\Datasheets\YAGEO_RC_L.pdf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https://yageogroup.com/content/datasheet/asset/file/PYU-RC_GROUP_51_ROHS_L</x:v>
      </x:c>
      <x:c xmlns:x="http://schemas.openxmlformats.org/spreadsheetml/2006/main" r="Y237" t="str" s="11">
        <x:v>C:\Users\Nomatin\Documents\Altium\MY_LIB\MY_LIB\Datasheets\YAGEO_RC_L.pdf</x:v>
      </x:c>
    </ns0:row>
    <ns0:row r="238" ht="30" customHeight="1">
      <ns0:c r="A238" t="str" s="10">
        <ns0:v>R0244</ns0:v>
      </ns0:c>
      <ns0:c r="B238" t="str" s="10">
        <ns0:v>Резистор</ns0:v>
      </ns0:c>
      <ns0:c r="C238" t="str" s="10">
        <ns0:v>5.6k</ns0:v>
      </ns0:c>
      <ns0:c r="D238" t="str" s="11">
        <ns0:f>SUBSTITUTE(SUBSTITUTE(SUBSTITUTE(SUBSTITUTE(C238,"meg"," МОм"),"k"," кОм"),"R"," Ом"),".",",")</ns0:f>
        <ns0:v>5,6 кОм</ns0:v>
      </ns0:c>
      <ns0:c r="E238" t="str" s="10">
        <ns0:v>±5%</ns0:v>
      </ns0:c>
      <ns0:c r="F238" t="str" s="10">
        <ns0:v>0,125 Вт</ns0:v>
      </ns0:c>
      <ns0:c r="G238" t="str" s="10">
        <ns0:v>150 В макс.</ns0:v>
      </ns0:c>
      <ns0:c r="H238" t="str" s="12">
        <ns0:v>0805</ns0:v>
      </ns0:c>
      <ns0:c r="I238" t="str" s="10">
        <ns0:v>YAGEO</ns0:v>
      </ns0:c>
      <ns0:c r="J238" t="str" s="10">
        <ns0:v>RC0805JR-075K6L</ns0:v>
      </ns0:c>
      <ns0:c r="K238" t="str" s="11">
        <ns0:f>B238&amp;" "&amp;D238&amp;" "&amp;E238&amp;" "&amp;H238</ns0:f>
        <ns0:v>Резистор 5,6 кОм ±5% 0805</ns0:v>
      </ns0:c>
      <ns0:c r="L238" t="str" s="13">
        <ns0:v>R</ns0:v>
      </ns0:c>
      <ns0:c r="M238" t="str" s="13">
        <ns0:v>Symbols\MY_LIB_Resistors.SchLib</ns0:v>
      </ns0:c>
      <ns0:c r="N238" t="str" s="13">
        <ns0:v>RESC2012X70N</ns0:v>
      </ns0:c>
      <ns0:c r="O238" t="str" s="13">
        <ns0:v>Footprints\PBL - SMD Packages.PcbLib</ns0:v>
      </ns0:c>
      <ns0:c r="P238" t="str" s="10">
        <ns0:v>RC_L; E24; P при 70 °C</ns0:v>
      </ns0:c>
      <ns0:c r="Q238" s="10"/>
      <ns0:c r="R238" t="str" s="11">
        <ns0:f>D238</ns0:f>
        <ns0:v>5,6 кОм</ns0:v>
      </ns0:c>
      <ns0:c r="S238" t="str" s="11">
        <ns0:f>K238</ns0:f>
        <ns0:v>Резистор 5,6 кОм ±5% 0805</ns0:v>
      </ns0:c>
      <x:c xmlns:x="http://schemas.openxmlformats.org/spreadsheetml/2006/main" r="T238" t="str" s="11">
        <x:v>C:\Users\Nomatin\Documents\Altium\MY_LIB\MY_LIB\Datasheets\YAGEO_RC_L.pdf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C:\Users\Nomatin\Documents\Altium\MY_LIB\MY_LIB\Datasheets\YAGEO_RC_L.pdf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https://yageogroup.com/content/datasheet/asset/file/PYU-RC_GROUP_51_ROHS_L</x:v>
      </x:c>
      <x:c xmlns:x="http://schemas.openxmlformats.org/spreadsheetml/2006/main" r="Y238" t="str" s="11">
        <x:v>C:\Users\Nomatin\Documents\Altium\MY_LIB\MY_LIB\Datasheets\YAGEO_RC_L.pdf</x:v>
      </x:c>
    </ns0:row>
    <ns0:row r="239" ht="30" customHeight="1">
      <ns0:c r="A239" t="str" s="10">
        <ns0:v>R0245</ns0:v>
      </ns0:c>
      <ns0:c r="B239" t="str" s="10">
        <ns0:v>Резистор</ns0:v>
      </ns0:c>
      <ns0:c r="C239" t="str" s="10">
        <ns0:v>6.2k</ns0:v>
      </ns0:c>
      <ns0:c r="D239" t="str" s="11">
        <ns0:f>SUBSTITUTE(SUBSTITUTE(SUBSTITUTE(SUBSTITUTE(C239,"meg"," МОм"),"k"," кОм"),"R"," Ом"),".",",")</ns0:f>
        <ns0:v>6,2 кОм</ns0:v>
      </ns0:c>
      <ns0:c r="E239" t="str" s="10">
        <ns0:v>±5%</ns0:v>
      </ns0:c>
      <ns0:c r="F239" t="str" s="10">
        <ns0:v>0,125 Вт</ns0:v>
      </ns0:c>
      <ns0:c r="G239" t="str" s="10">
        <ns0:v>150 В макс.</ns0:v>
      </ns0:c>
      <ns0:c r="H239" t="str" s="12">
        <ns0:v>0805</ns0:v>
      </ns0:c>
      <ns0:c r="I239" t="str" s="10">
        <ns0:v>YAGEO</ns0:v>
      </ns0:c>
      <ns0:c r="J239" t="str" s="10">
        <ns0:v>RC0805JR-076K2L</ns0:v>
      </ns0:c>
      <ns0:c r="K239" t="str" s="11">
        <ns0:f>B239&amp;" "&amp;D239&amp;" "&amp;E239&amp;" "&amp;H239</ns0:f>
        <ns0:v>Резистор 6,2 кОм ±5% 0805</ns0:v>
      </ns0:c>
      <ns0:c r="L239" t="str" s="13">
        <ns0:v>R</ns0:v>
      </ns0:c>
      <ns0:c r="M239" t="str" s="13">
        <ns0:v>Symbols\MY_LIB_Resistors.SchLib</ns0:v>
      </ns0:c>
      <ns0:c r="N239" t="str" s="13">
        <ns0:v>RESC2012X70N</ns0:v>
      </ns0:c>
      <ns0:c r="O239" t="str" s="13">
        <ns0:v>Footprints\PBL - SMD Packages.PcbLib</ns0:v>
      </ns0:c>
      <ns0:c r="P239" t="str" s="10">
        <ns0:v>RC_L; E24; P при 70 °C</ns0:v>
      </ns0:c>
      <ns0:c r="Q239" s="10"/>
      <ns0:c r="R239" t="str" s="11">
        <ns0:f>D239</ns0:f>
        <ns0:v>6,2 кОм</ns0:v>
      </ns0:c>
      <ns0:c r="S239" t="str" s="11">
        <ns0:f>K239</ns0:f>
        <ns0:v>Резистор 6,2 кОм ±5% 0805</ns0:v>
      </ns0:c>
      <x:c xmlns:x="http://schemas.openxmlformats.org/spreadsheetml/2006/main" r="T239" t="str" s="11">
        <x:v>C:\Users\Nomatin\Documents\Altium\MY_LIB\MY_LIB\Datasheets\YAGEO_RC_L.pdf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C:\Users\Nomatin\Documents\Altium\MY_LIB\MY_LIB\Datasheets\YAGEO_RC_L.pdf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https://yageogroup.com/content/datasheet/asset/file/PYU-RC_GROUP_51_ROHS_L</x:v>
      </x:c>
      <x:c xmlns:x="http://schemas.openxmlformats.org/spreadsheetml/2006/main" r="Y239" t="str" s="11">
        <x:v>C:\Users\Nomatin\Documents\Altium\MY_LIB\MY_LIB\Datasheets\YAGEO_RC_L.pdf</x:v>
      </x:c>
    </ns0:row>
    <ns0:row r="240" ht="30" customHeight="1">
      <ns0:c r="A240" t="str" s="10">
        <ns0:v>R0246</ns0:v>
      </ns0:c>
      <ns0:c r="B240" t="str" s="10">
        <ns0:v>Резистор</ns0:v>
      </ns0:c>
      <ns0:c r="C240" t="str" s="10">
        <ns0:v>6.8k</ns0:v>
      </ns0:c>
      <ns0:c r="D240" t="str" s="11">
        <ns0:f>SUBSTITUTE(SUBSTITUTE(SUBSTITUTE(SUBSTITUTE(C240,"meg"," МОм"),"k"," кОм"),"R"," Ом"),".",",")</ns0:f>
        <ns0:v>6,8 кОм</ns0:v>
      </ns0:c>
      <ns0:c r="E240" t="str" s="10">
        <ns0:v>±5%</ns0:v>
      </ns0:c>
      <ns0:c r="F240" t="str" s="10">
        <ns0:v>0,125 Вт</ns0:v>
      </ns0:c>
      <ns0:c r="G240" t="str" s="10">
        <ns0:v>150 В макс.</ns0:v>
      </ns0:c>
      <ns0:c r="H240" t="str" s="12">
        <ns0:v>0805</ns0:v>
      </ns0:c>
      <ns0:c r="I240" t="str" s="10">
        <ns0:v>YAGEO</ns0:v>
      </ns0:c>
      <ns0:c r="J240" t="str" s="10">
        <ns0:v>RC0805JR-076K8L</ns0:v>
      </ns0:c>
      <ns0:c r="K240" t="str" s="11">
        <ns0:f>B240&amp;" "&amp;D240&amp;" "&amp;E240&amp;" "&amp;H240</ns0:f>
        <ns0:v>Резистор 6,8 кОм ±5% 0805</ns0:v>
      </ns0:c>
      <ns0:c r="L240" t="str" s="13">
        <ns0:v>R</ns0:v>
      </ns0:c>
      <ns0:c r="M240" t="str" s="13">
        <ns0:v>Symbols\MY_LIB_Resistors.SchLib</ns0:v>
      </ns0:c>
      <ns0:c r="N240" t="str" s="13">
        <ns0:v>RESC2012X70N</ns0:v>
      </ns0:c>
      <ns0:c r="O240" t="str" s="13">
        <ns0:v>Footprints\PBL - SMD Packages.PcbLib</ns0:v>
      </ns0:c>
      <ns0:c r="P240" t="str" s="10">
        <ns0:v>RC_L; E24; P при 70 °C</ns0:v>
      </ns0:c>
      <ns0:c r="Q240" s="10"/>
      <ns0:c r="R240" t="str" s="11">
        <ns0:f>D240</ns0:f>
        <ns0:v>6,8 кОм</ns0:v>
      </ns0:c>
      <ns0:c r="S240" t="str" s="11">
        <ns0:f>K240</ns0:f>
        <ns0:v>Резистор 6,8 кОм ±5% 0805</ns0:v>
      </ns0:c>
      <x:c xmlns:x="http://schemas.openxmlformats.org/spreadsheetml/2006/main" r="T240" t="str" s="11">
        <x:v>C:\Users\Nomatin\Documents\Altium\MY_LIB\MY_LIB\Datasheets\YAGEO_RC_L.pdf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C:\Users\Nomatin\Documents\Altium\MY_LIB\MY_LIB\Datasheets\YAGEO_RC_L.pdf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https://yageogroup.com/content/datasheet/asset/file/PYU-RC_GROUP_51_ROHS_L</x:v>
      </x:c>
      <x:c xmlns:x="http://schemas.openxmlformats.org/spreadsheetml/2006/main" r="Y240" t="str" s="11">
        <x:v>C:\Users\Nomatin\Documents\Altium\MY_LIB\MY_LIB\Datasheets\YAGEO_RC_L.pdf</x:v>
      </x:c>
    </ns0:row>
    <ns0:row r="241" ht="30" customHeight="1">
      <ns0:c r="A241" t="str" s="10">
        <ns0:v>R0247</ns0:v>
      </ns0:c>
      <ns0:c r="B241" t="str" s="10">
        <ns0:v>Резистор</ns0:v>
      </ns0:c>
      <ns0:c r="C241" t="str" s="10">
        <ns0:v>7.5k</ns0:v>
      </ns0:c>
      <ns0:c r="D241" t="str" s="11">
        <ns0:f>SUBSTITUTE(SUBSTITUTE(SUBSTITUTE(SUBSTITUTE(C241,"meg"," МОм"),"k"," кОм"),"R"," Ом"),".",",")</ns0:f>
        <ns0:v>7,5 кОм</ns0:v>
      </ns0:c>
      <ns0:c r="E241" t="str" s="10">
        <ns0:v>±5%</ns0:v>
      </ns0:c>
      <ns0:c r="F241" t="str" s="10">
        <ns0:v>0,125 Вт</ns0:v>
      </ns0:c>
      <ns0:c r="G241" t="str" s="10">
        <ns0:v>150 В макс.</ns0:v>
      </ns0:c>
      <ns0:c r="H241" t="str" s="12">
        <ns0:v>0805</ns0:v>
      </ns0:c>
      <ns0:c r="I241" t="str" s="10">
        <ns0:v>YAGEO</ns0:v>
      </ns0:c>
      <ns0:c r="J241" t="str" s="10">
        <ns0:v>RC0805JR-077K5L</ns0:v>
      </ns0:c>
      <ns0:c r="K241" t="str" s="11">
        <ns0:f>B241&amp;" "&amp;D241&amp;" "&amp;E241&amp;" "&amp;H241</ns0:f>
        <ns0:v>Резистор 7,5 кОм ±5% 0805</ns0:v>
      </ns0:c>
      <ns0:c r="L241" t="str" s="13">
        <ns0:v>R</ns0:v>
      </ns0:c>
      <ns0:c r="M241" t="str" s="13">
        <ns0:v>Symbols\MY_LIB_Resistors.SchLib</ns0:v>
      </ns0:c>
      <ns0:c r="N241" t="str" s="13">
        <ns0:v>RESC2012X70N</ns0:v>
      </ns0:c>
      <ns0:c r="O241" t="str" s="13">
        <ns0:v>Footprints\PBL - SMD Packages.PcbLib</ns0:v>
      </ns0:c>
      <ns0:c r="P241" t="str" s="10">
        <ns0:v>RC_L; E24; P при 70 °C</ns0:v>
      </ns0:c>
      <ns0:c r="Q241" s="10"/>
      <ns0:c r="R241" t="str" s="11">
        <ns0:f>D241</ns0:f>
        <ns0:v>7,5 кОм</ns0:v>
      </ns0:c>
      <ns0:c r="S241" t="str" s="11">
        <ns0:f>K241</ns0:f>
        <ns0:v>Резистор 7,5 кОм ±5% 0805</ns0:v>
      </ns0:c>
      <x:c xmlns:x="http://schemas.openxmlformats.org/spreadsheetml/2006/main" r="T241" t="str" s="11">
        <x:v>C:\Users\Nomatin\Documents\Altium\MY_LIB\MY_LIB\Datasheets\YAGEO_RC_L.pdf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C:\Users\Nomatin\Documents\Altium\MY_LIB\MY_LIB\Datasheets\YAGEO_RC_L.pdf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https://yageogroup.com/content/datasheet/asset/file/PYU-RC_GROUP_51_ROHS_L</x:v>
      </x:c>
      <x:c xmlns:x="http://schemas.openxmlformats.org/spreadsheetml/2006/main" r="Y241" t="str" s="11">
        <x:v>C:\Users\Nomatin\Documents\Altium\MY_LIB\MY_LIB\Datasheets\YAGEO_RC_L.pdf</x:v>
      </x:c>
    </ns0:row>
    <ns0:row r="242" ht="30" customHeight="1">
      <ns0:c r="A242" t="str" s="10">
        <ns0:v>R0248</ns0:v>
      </ns0:c>
      <ns0:c r="B242" t="str" s="10">
        <ns0:v>Резистор</ns0:v>
      </ns0:c>
      <ns0:c r="C242" t="str" s="10">
        <ns0:v>8.2k</ns0:v>
      </ns0:c>
      <ns0:c r="D242" t="str" s="11">
        <ns0:f>SUBSTITUTE(SUBSTITUTE(SUBSTITUTE(SUBSTITUTE(C242,"meg"," МОм"),"k"," кОм"),"R"," Ом"),".",",")</ns0:f>
        <ns0:v>8,2 кОм</ns0:v>
      </ns0:c>
      <ns0:c r="E242" t="str" s="10">
        <ns0:v>±5%</ns0:v>
      </ns0:c>
      <ns0:c r="F242" t="str" s="10">
        <ns0:v>0,125 Вт</ns0:v>
      </ns0:c>
      <ns0:c r="G242" t="str" s="10">
        <ns0:v>150 В макс.</ns0:v>
      </ns0:c>
      <ns0:c r="H242" t="str" s="12">
        <ns0:v>0805</ns0:v>
      </ns0:c>
      <ns0:c r="I242" t="str" s="10">
        <ns0:v>YAGEO</ns0:v>
      </ns0:c>
      <ns0:c r="J242" t="str" s="10">
        <ns0:v>RC0805JR-078K2L</ns0:v>
      </ns0:c>
      <ns0:c r="K242" t="str" s="11">
        <ns0:f>B242&amp;" "&amp;D242&amp;" "&amp;E242&amp;" "&amp;H242</ns0:f>
        <ns0:v>Резистор 8,2 кОм ±5% 0805</ns0:v>
      </ns0:c>
      <ns0:c r="L242" t="str" s="13">
        <ns0:v>R</ns0:v>
      </ns0:c>
      <ns0:c r="M242" t="str" s="13">
        <ns0:v>Symbols\MY_LIB_Resistors.SchLib</ns0:v>
      </ns0:c>
      <ns0:c r="N242" t="str" s="13">
        <ns0:v>RESC2012X70N</ns0:v>
      </ns0:c>
      <ns0:c r="O242" t="str" s="13">
        <ns0:v>Footprints\PBL - SMD Packages.PcbLib</ns0:v>
      </ns0:c>
      <ns0:c r="P242" t="str" s="10">
        <ns0:v>RC_L; E24; P при 70 °C</ns0:v>
      </ns0:c>
      <ns0:c r="Q242" s="10"/>
      <ns0:c r="R242" t="str" s="11">
        <ns0:f>D242</ns0:f>
        <ns0:v>8,2 кОм</ns0:v>
      </ns0:c>
      <ns0:c r="S242" t="str" s="11">
        <ns0:f>K242</ns0:f>
        <ns0:v>Резистор 8,2 кОм ±5% 0805</ns0:v>
      </ns0:c>
      <x:c xmlns:x="http://schemas.openxmlformats.org/spreadsheetml/2006/main" r="T242" t="str" s="11">
        <x:v>C:\Users\Nomatin\Documents\Altium\MY_LIB\MY_LIB\Datasheets\YAGEO_RC_L.pdf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C:\Users\Nomatin\Documents\Altium\MY_LIB\MY_LIB\Datasheets\YAGEO_RC_L.pdf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https://yageogroup.com/content/datasheet/asset/file/PYU-RC_GROUP_51_ROHS_L</x:v>
      </x:c>
      <x:c xmlns:x="http://schemas.openxmlformats.org/spreadsheetml/2006/main" r="Y242" t="str" s="11">
        <x:v>C:\Users\Nomatin\Documents\Altium\MY_LIB\MY_LIB\Datasheets\YAGEO_RC_L.pdf</x:v>
      </x:c>
    </ns0:row>
    <ns0:row r="243" ht="30" customHeight="1">
      <ns0:c r="A243" t="str" s="10">
        <ns0:v>R0249</ns0:v>
      </ns0:c>
      <ns0:c r="B243" t="str" s="10">
        <ns0:v>Резистор</ns0:v>
      </ns0:c>
      <ns0:c r="C243" t="str" s="10">
        <ns0:v>9.1k</ns0:v>
      </ns0:c>
      <ns0:c r="D243" t="str" s="11">
        <ns0:f>SUBSTITUTE(SUBSTITUTE(SUBSTITUTE(SUBSTITUTE(C243,"meg"," МОм"),"k"," кОм"),"R"," Ом"),".",",")</ns0:f>
        <ns0:v>9,1 кОм</ns0:v>
      </ns0:c>
      <ns0:c r="E243" t="str" s="10">
        <ns0:v>±5%</ns0:v>
      </ns0:c>
      <ns0:c r="F243" t="str" s="10">
        <ns0:v>0,125 Вт</ns0:v>
      </ns0:c>
      <ns0:c r="G243" t="str" s="10">
        <ns0:v>150 В макс.</ns0:v>
      </ns0:c>
      <ns0:c r="H243" t="str" s="12">
        <ns0:v>0805</ns0:v>
      </ns0:c>
      <ns0:c r="I243" t="str" s="10">
        <ns0:v>YAGEO</ns0:v>
      </ns0:c>
      <ns0:c r="J243" t="str" s="10">
        <ns0:v>RC0805JR-079K1L</ns0:v>
      </ns0:c>
      <ns0:c r="K243" t="str" s="11">
        <ns0:f>B243&amp;" "&amp;D243&amp;" "&amp;E243&amp;" "&amp;H243</ns0:f>
        <ns0:v>Резистор 9,1 кОм ±5% 0805</ns0:v>
      </ns0:c>
      <ns0:c r="L243" t="str" s="13">
        <ns0:v>R</ns0:v>
      </ns0:c>
      <ns0:c r="M243" t="str" s="13">
        <ns0:v>Symbols\MY_LIB_Resistors.SchLib</ns0:v>
      </ns0:c>
      <ns0:c r="N243" t="str" s="13">
        <ns0:v>RESC2012X70N</ns0:v>
      </ns0:c>
      <ns0:c r="O243" t="str" s="13">
        <ns0:v>Footprints\PBL - SMD Packages.PcbLib</ns0:v>
      </ns0:c>
      <ns0:c r="P243" t="str" s="10">
        <ns0:v>RC_L; E24; P при 70 °C</ns0:v>
      </ns0:c>
      <ns0:c r="Q243" s="10"/>
      <ns0:c r="R243" t="str" s="11">
        <ns0:f>D243</ns0:f>
        <ns0:v>9,1 кОм</ns0:v>
      </ns0:c>
      <ns0:c r="S243" t="str" s="11">
        <ns0:f>K243</ns0:f>
        <ns0:v>Резистор 9,1 кОм ±5% 0805</ns0:v>
      </ns0:c>
      <x:c xmlns:x="http://schemas.openxmlformats.org/spreadsheetml/2006/main" r="T243" t="str" s="11">
        <x:v>C:\Users\Nomatin\Documents\Altium\MY_LIB\MY_LIB\Datasheets\YAGEO_RC_L.pdf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C:\Users\Nomatin\Documents\Altium\MY_LIB\MY_LIB\Datasheets\YAGEO_RC_L.pdf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https://yageogroup.com/content/datasheet/asset/file/PYU-RC_GROUP_51_ROHS_L</x:v>
      </x:c>
      <x:c xmlns:x="http://schemas.openxmlformats.org/spreadsheetml/2006/main" r="Y243" t="str" s="11">
        <x:v>C:\Users\Nomatin\Documents\Altium\MY_LIB\MY_LIB\Datasheets\YAGEO_RC_L.pdf</x:v>
      </x:c>
    </ns0:row>
    <ns0:row r="244" ht="30" customHeight="1">
      <ns0:c r="A244" t="str" s="10">
        <ns0:v>R0250</ns0:v>
      </ns0:c>
      <ns0:c r="B244" t="str" s="10">
        <ns0:v>Резистор</ns0:v>
      </ns0:c>
      <ns0:c r="C244" t="str" s="10">
        <ns0:v>10k</ns0:v>
      </ns0:c>
      <ns0:c r="D244" t="str" s="11">
        <ns0:f>SUBSTITUTE(SUBSTITUTE(SUBSTITUTE(SUBSTITUTE(C244,"meg"," МОм"),"k"," кОм"),"R"," Ом"),".",",")</ns0:f>
        <ns0:v>10 кОм</ns0:v>
      </ns0:c>
      <ns0:c r="E244" t="str" s="10">
        <ns0:v>±5%</ns0:v>
      </ns0:c>
      <ns0:c r="F244" t="str" s="10">
        <ns0:v>0,125 Вт</ns0:v>
      </ns0:c>
      <ns0:c r="G244" t="str" s="10">
        <ns0:v>150 В макс.</ns0:v>
      </ns0:c>
      <ns0:c r="H244" t="str" s="12">
        <ns0:v>0805</ns0:v>
      </ns0:c>
      <ns0:c r="I244" t="str" s="10">
        <ns0:v>YAGEO</ns0:v>
      </ns0:c>
      <ns0:c r="J244" t="str" s="10">
        <ns0:v>RC0805JR-0710KL</ns0:v>
      </ns0:c>
      <ns0:c r="K244" t="str" s="11">
        <ns0:f>B244&amp;" "&amp;D244&amp;" "&amp;E244&amp;" "&amp;H244</ns0:f>
        <ns0:v>Резистор 10 кОм ±5% 0805</ns0:v>
      </ns0:c>
      <ns0:c r="L244" t="str" s="13">
        <ns0:v>R</ns0:v>
      </ns0:c>
      <ns0:c r="M244" t="str" s="13">
        <ns0:v>Symbols\MY_LIB_Resistors.SchLib</ns0:v>
      </ns0:c>
      <ns0:c r="N244" t="str" s="13">
        <ns0:v>RESC2012X70N</ns0:v>
      </ns0:c>
      <ns0:c r="O244" t="str" s="13">
        <ns0:v>Footprints\PBL - SMD Packages.PcbLib</ns0:v>
      </ns0:c>
      <ns0:c r="P244" t="str" s="10">
        <ns0:v>RC_L; E24; P при 70 °C</ns0:v>
      </ns0:c>
      <ns0:c r="Q244" s="10"/>
      <ns0:c r="R244" t="str" s="11">
        <ns0:f>D244</ns0:f>
        <ns0:v>10 кОм</ns0:v>
      </ns0:c>
      <ns0:c r="S244" t="str" s="11">
        <ns0:f>K244</ns0:f>
        <ns0:v>Резистор 10 кОм ±5% 0805</ns0:v>
      </ns0:c>
      <x:c xmlns:x="http://schemas.openxmlformats.org/spreadsheetml/2006/main" r="T244" t="str" s="11">
        <x:v>C:\Users\Nomatin\Documents\Altium\MY_LIB\MY_LIB\Datasheets\YAGEO_RC_L.pdf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C:\Users\Nomatin\Documents\Altium\MY_LIB\MY_LIB\Datasheets\YAGEO_RC_L.pdf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https://yageogroup.com/content/datasheet/asset/file/PYU-RC_GROUP_51_ROHS_L</x:v>
      </x:c>
      <x:c xmlns:x="http://schemas.openxmlformats.org/spreadsheetml/2006/main" r="Y244" t="str" s="11">
        <x:v>C:\Users\Nomatin\Documents\Altium\MY_LIB\MY_LIB\Datasheets\YAGEO_RC_L.pdf</x:v>
      </x:c>
    </ns0:row>
    <ns0:row r="245" ht="30" customHeight="1">
      <ns0:c r="A245" t="str" s="10">
        <ns0:v>R0251</ns0:v>
      </ns0:c>
      <ns0:c r="B245" t="str" s="10">
        <ns0:v>Резистор</ns0:v>
      </ns0:c>
      <ns0:c r="C245" t="str" s="10">
        <ns0:v>11k</ns0:v>
      </ns0:c>
      <ns0:c r="D245" t="str" s="11">
        <ns0:f>SUBSTITUTE(SUBSTITUTE(SUBSTITUTE(SUBSTITUTE(C245,"meg"," МОм"),"k"," кОм"),"R"," Ом"),".",",")</ns0:f>
        <ns0:v>11 кОм</ns0:v>
      </ns0:c>
      <ns0:c r="E245" t="str" s="10">
        <ns0:v>±5%</ns0:v>
      </ns0:c>
      <ns0:c r="F245" t="str" s="10">
        <ns0:v>0,125 Вт</ns0:v>
      </ns0:c>
      <ns0:c r="G245" t="str" s="10">
        <ns0:v>150 В макс.</ns0:v>
      </ns0:c>
      <ns0:c r="H245" t="str" s="12">
        <ns0:v>0805</ns0:v>
      </ns0:c>
      <ns0:c r="I245" t="str" s="10">
        <ns0:v>YAGEO</ns0:v>
      </ns0:c>
      <ns0:c r="J245" t="str" s="10">
        <ns0:v>RC0805JR-0711KL</ns0:v>
      </ns0:c>
      <ns0:c r="K245" t="str" s="11">
        <ns0:f>B245&amp;" "&amp;D245&amp;" "&amp;E245&amp;" "&amp;H245</ns0:f>
        <ns0:v>Резистор 11 кОм ±5% 0805</ns0:v>
      </ns0:c>
      <ns0:c r="L245" t="str" s="13">
        <ns0:v>R</ns0:v>
      </ns0:c>
      <ns0:c r="M245" t="str" s="13">
        <ns0:v>Symbols\MY_LIB_Resistors.SchLib</ns0:v>
      </ns0:c>
      <ns0:c r="N245" t="str" s="13">
        <ns0:v>RESC2012X70N</ns0:v>
      </ns0:c>
      <ns0:c r="O245" t="str" s="13">
        <ns0:v>Footprints\PBL - SMD Packages.PcbLib</ns0:v>
      </ns0:c>
      <ns0:c r="P245" t="str" s="10">
        <ns0:v>RC_L; E24; P при 70 °C</ns0:v>
      </ns0:c>
      <ns0:c r="Q245" s="10"/>
      <ns0:c r="R245" t="str" s="11">
        <ns0:f>D245</ns0:f>
        <ns0:v>11 кОм</ns0:v>
      </ns0:c>
      <ns0:c r="S245" t="str" s="11">
        <ns0:f>K245</ns0:f>
        <ns0:v>Резистор 11 кОм ±5% 0805</ns0:v>
      </ns0:c>
      <x:c xmlns:x="http://schemas.openxmlformats.org/spreadsheetml/2006/main" r="T245" t="str" s="11">
        <x:v>C:\Users\Nomatin\Documents\Altium\MY_LIB\MY_LIB\Datasheets\YAGEO_RC_L.pdf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C:\Users\Nomatin\Documents\Altium\MY_LIB\MY_LIB\Datasheets\YAGEO_RC_L.pdf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https://yageogroup.com/content/datasheet/asset/file/PYU-RC_GROUP_51_ROHS_L</x:v>
      </x:c>
      <x:c xmlns:x="http://schemas.openxmlformats.org/spreadsheetml/2006/main" r="Y245" t="str" s="11">
        <x:v>C:\Users\Nomatin\Documents\Altium\MY_LIB\MY_LIB\Datasheets\YAGEO_RC_L.pdf</x:v>
      </x:c>
    </ns0:row>
    <ns0:row r="246" ht="30" customHeight="1">
      <ns0:c r="A246" t="str" s="10">
        <ns0:v>R0252</ns0:v>
      </ns0:c>
      <ns0:c r="B246" t="str" s="10">
        <ns0:v>Резистор</ns0:v>
      </ns0:c>
      <ns0:c r="C246" t="str" s="10">
        <ns0:v>12k</ns0:v>
      </ns0:c>
      <ns0:c r="D246" t="str" s="11">
        <ns0:f>SUBSTITUTE(SUBSTITUTE(SUBSTITUTE(SUBSTITUTE(C246,"meg"," МОм"),"k"," кОм"),"R"," Ом"),".",",")</ns0:f>
        <ns0:v>12 кОм</ns0:v>
      </ns0:c>
      <ns0:c r="E246" t="str" s="10">
        <ns0:v>±5%</ns0:v>
      </ns0:c>
      <ns0:c r="F246" t="str" s="10">
        <ns0:v>0,125 Вт</ns0:v>
      </ns0:c>
      <ns0:c r="G246" t="str" s="10">
        <ns0:v>150 В макс.</ns0:v>
      </ns0:c>
      <ns0:c r="H246" t="str" s="12">
        <ns0:v>0805</ns0:v>
      </ns0:c>
      <ns0:c r="I246" t="str" s="10">
        <ns0:v>YAGEO</ns0:v>
      </ns0:c>
      <ns0:c r="J246" t="str" s="10">
        <ns0:v>RC0805JR-0712KL</ns0:v>
      </ns0:c>
      <ns0:c r="K246" t="str" s="11">
        <ns0:f>B246&amp;" "&amp;D246&amp;" "&amp;E246&amp;" "&amp;H246</ns0:f>
        <ns0:v>Резистор 12 кОм ±5% 0805</ns0:v>
      </ns0:c>
      <ns0:c r="L246" t="str" s="13">
        <ns0:v>R</ns0:v>
      </ns0:c>
      <ns0:c r="M246" t="str" s="13">
        <ns0:v>Symbols\MY_LIB_Resistors.SchLib</ns0:v>
      </ns0:c>
      <ns0:c r="N246" t="str" s="13">
        <ns0:v>RESC2012X70N</ns0:v>
      </ns0:c>
      <ns0:c r="O246" t="str" s="13">
        <ns0:v>Footprints\PBL - SMD Packages.PcbLib</ns0:v>
      </ns0:c>
      <ns0:c r="P246" t="str" s="10">
        <ns0:v>RC_L; E24; P при 70 °C</ns0:v>
      </ns0:c>
      <ns0:c r="Q246" s="10"/>
      <ns0:c r="R246" t="str" s="11">
        <ns0:f>D246</ns0:f>
        <ns0:v>12 кОм</ns0:v>
      </ns0:c>
      <ns0:c r="S246" t="str" s="11">
        <ns0:f>K246</ns0:f>
        <ns0:v>Резистор 12 кОм ±5% 0805</ns0:v>
      </ns0:c>
      <x:c xmlns:x="http://schemas.openxmlformats.org/spreadsheetml/2006/main" r="T246" t="str" s="11">
        <x:v>C:\Users\Nomatin\Documents\Altium\MY_LIB\MY_LIB\Datasheets\YAGEO_RC_L.pdf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C:\Users\Nomatin\Documents\Altium\MY_LIB\MY_LIB\Datasheets\YAGEO_RC_L.pdf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https://yageogroup.com/content/datasheet/asset/file/PYU-RC_GROUP_51_ROHS_L</x:v>
      </x:c>
      <x:c xmlns:x="http://schemas.openxmlformats.org/spreadsheetml/2006/main" r="Y246" t="str" s="11">
        <x:v>C:\Users\Nomatin\Documents\Altium\MY_LIB\MY_LIB\Datasheets\YAGEO_RC_L.pdf</x:v>
      </x:c>
    </ns0:row>
    <ns0:row r="247" ht="30" customHeight="1">
      <ns0:c r="A247" t="str" s="10">
        <ns0:v>R0253</ns0:v>
      </ns0:c>
      <ns0:c r="B247" t="str" s="10">
        <ns0:v>Резистор</ns0:v>
      </ns0:c>
      <ns0:c r="C247" t="str" s="10">
        <ns0:v>13k</ns0:v>
      </ns0:c>
      <ns0:c r="D247" t="str" s="11">
        <ns0:f>SUBSTITUTE(SUBSTITUTE(SUBSTITUTE(SUBSTITUTE(C247,"meg"," МОм"),"k"," кОм"),"R"," Ом"),".",",")</ns0:f>
        <ns0:v>13 кОм</ns0:v>
      </ns0:c>
      <ns0:c r="E247" t="str" s="10">
        <ns0:v>±5%</ns0:v>
      </ns0:c>
      <ns0:c r="F247" t="str" s="10">
        <ns0:v>0,125 Вт</ns0:v>
      </ns0:c>
      <ns0:c r="G247" t="str" s="10">
        <ns0:v>150 В макс.</ns0:v>
      </ns0:c>
      <ns0:c r="H247" t="str" s="12">
        <ns0:v>0805</ns0:v>
      </ns0:c>
      <ns0:c r="I247" t="str" s="10">
        <ns0:v>YAGEO</ns0:v>
      </ns0:c>
      <ns0:c r="J247" t="str" s="10">
        <ns0:v>RC0805JR-0713KL</ns0:v>
      </ns0:c>
      <ns0:c r="K247" t="str" s="11">
        <ns0:f>B247&amp;" "&amp;D247&amp;" "&amp;E247&amp;" "&amp;H247</ns0:f>
        <ns0:v>Резистор 13 кОм ±5% 0805</ns0:v>
      </ns0:c>
      <ns0:c r="L247" t="str" s="13">
        <ns0:v>R</ns0:v>
      </ns0:c>
      <ns0:c r="M247" t="str" s="13">
        <ns0:v>Symbols\MY_LIB_Resistors.SchLib</ns0:v>
      </ns0:c>
      <ns0:c r="N247" t="str" s="13">
        <ns0:v>RESC2012X70N</ns0:v>
      </ns0:c>
      <ns0:c r="O247" t="str" s="13">
        <ns0:v>Footprints\PBL - SMD Packages.PcbLib</ns0:v>
      </ns0:c>
      <ns0:c r="P247" t="str" s="10">
        <ns0:v>RC_L; E24; P при 70 °C</ns0:v>
      </ns0:c>
      <ns0:c r="Q247" s="10"/>
      <ns0:c r="R247" t="str" s="11">
        <ns0:f>D247</ns0:f>
        <ns0:v>13 кОм</ns0:v>
      </ns0:c>
      <ns0:c r="S247" t="str" s="11">
        <ns0:f>K247</ns0:f>
        <ns0:v>Резистор 13 кОм ±5% 0805</ns0:v>
      </ns0:c>
      <x:c xmlns:x="http://schemas.openxmlformats.org/spreadsheetml/2006/main" r="T247" t="str" s="11">
        <x:v>C:\Users\Nomatin\Documents\Altium\MY_LIB\MY_LIB\Datasheets\YAGEO_RC_L.pdf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C:\Users\Nomatin\Documents\Altium\MY_LIB\MY_LIB\Datasheets\YAGEO_RC_L.pdf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https://yageogroup.com/content/datasheet/asset/file/PYU-RC_GROUP_51_ROHS_L</x:v>
      </x:c>
      <x:c xmlns:x="http://schemas.openxmlformats.org/spreadsheetml/2006/main" r="Y247" t="str" s="11">
        <x:v>C:\Users\Nomatin\Documents\Altium\MY_LIB\MY_LIB\Datasheets\YAGEO_RC_L.pdf</x:v>
      </x:c>
    </ns0:row>
    <ns0:row r="248" ht="30" customHeight="1">
      <ns0:c r="A248" t="str" s="10">
        <ns0:v>R0254</ns0:v>
      </ns0:c>
      <ns0:c r="B248" t="str" s="10">
        <ns0:v>Резистор</ns0:v>
      </ns0:c>
      <ns0:c r="C248" t="str" s="10">
        <ns0:v>15k</ns0:v>
      </ns0:c>
      <ns0:c r="D248" t="str" s="11">
        <ns0:f>SUBSTITUTE(SUBSTITUTE(SUBSTITUTE(SUBSTITUTE(C248,"meg"," МОм"),"k"," кОм"),"R"," Ом"),".",",")</ns0:f>
        <ns0:v>15 кОм</ns0:v>
      </ns0:c>
      <ns0:c r="E248" t="str" s="10">
        <ns0:v>±5%</ns0:v>
      </ns0:c>
      <ns0:c r="F248" t="str" s="10">
        <ns0:v>0,125 Вт</ns0:v>
      </ns0:c>
      <ns0:c r="G248" t="str" s="10">
        <ns0:v>150 В макс.</ns0:v>
      </ns0:c>
      <ns0:c r="H248" t="str" s="12">
        <ns0:v>0805</ns0:v>
      </ns0:c>
      <ns0:c r="I248" t="str" s="10">
        <ns0:v>YAGEO</ns0:v>
      </ns0:c>
      <ns0:c r="J248" t="str" s="10">
        <ns0:v>RC0805JR-0715KL</ns0:v>
      </ns0:c>
      <ns0:c r="K248" t="str" s="11">
        <ns0:f>B248&amp;" "&amp;D248&amp;" "&amp;E248&amp;" "&amp;H248</ns0:f>
        <ns0:v>Резистор 15 кОм ±5% 0805</ns0:v>
      </ns0:c>
      <ns0:c r="L248" t="str" s="13">
        <ns0:v>R</ns0:v>
      </ns0:c>
      <ns0:c r="M248" t="str" s="13">
        <ns0:v>Symbols\MY_LIB_Resistors.SchLib</ns0:v>
      </ns0:c>
      <ns0:c r="N248" t="str" s="13">
        <ns0:v>RESC2012X70N</ns0:v>
      </ns0:c>
      <ns0:c r="O248" t="str" s="13">
        <ns0:v>Footprints\PBL - SMD Packages.PcbLib</ns0:v>
      </ns0:c>
      <ns0:c r="P248" t="str" s="10">
        <ns0:v>RC_L; E24; P при 70 °C</ns0:v>
      </ns0:c>
      <ns0:c r="Q248" s="10"/>
      <ns0:c r="R248" t="str" s="11">
        <ns0:f>D248</ns0:f>
        <ns0:v>15 кОм</ns0:v>
      </ns0:c>
      <ns0:c r="S248" t="str" s="11">
        <ns0:f>K248</ns0:f>
        <ns0:v>Резистор 15 кОм ±5% 0805</ns0:v>
      </ns0:c>
      <x:c xmlns:x="http://schemas.openxmlformats.org/spreadsheetml/2006/main" r="T248" t="str" s="11">
        <x:v>C:\Users\Nomatin\Documents\Altium\MY_LIB\MY_LIB\Datasheets\YAGEO_RC_L.pdf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C:\Users\Nomatin\Documents\Altium\MY_LIB\MY_LIB\Datasheets\YAGEO_RC_L.pdf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https://yageogroup.com/content/datasheet/asset/file/PYU-RC_GROUP_51_ROHS_L</x:v>
      </x:c>
      <x:c xmlns:x="http://schemas.openxmlformats.org/spreadsheetml/2006/main" r="Y248" t="str" s="11">
        <x:v>C:\Users\Nomatin\Documents\Altium\MY_LIB\MY_LIB\Datasheets\YAGEO_RC_L.pdf</x:v>
      </x:c>
    </ns0:row>
    <ns0:row r="249" ht="30" customHeight="1">
      <ns0:c r="A249" t="str" s="10">
        <ns0:v>R0255</ns0:v>
      </ns0:c>
      <ns0:c r="B249" t="str" s="10">
        <ns0:v>Резистор</ns0:v>
      </ns0:c>
      <ns0:c r="C249" t="str" s="10">
        <ns0:v>16k</ns0:v>
      </ns0:c>
      <ns0:c r="D249" t="str" s="11">
        <ns0:f>SUBSTITUTE(SUBSTITUTE(SUBSTITUTE(SUBSTITUTE(C249,"meg"," МОм"),"k"," кОм"),"R"," Ом"),".",",")</ns0:f>
        <ns0:v>16 кОм</ns0:v>
      </ns0:c>
      <ns0:c r="E249" t="str" s="10">
        <ns0:v>±5%</ns0:v>
      </ns0:c>
      <ns0:c r="F249" t="str" s="10">
        <ns0:v>0,125 Вт</ns0:v>
      </ns0:c>
      <ns0:c r="G249" t="str" s="10">
        <ns0:v>150 В макс.</ns0:v>
      </ns0:c>
      <ns0:c r="H249" t="str" s="12">
        <ns0:v>0805</ns0:v>
      </ns0:c>
      <ns0:c r="I249" t="str" s="10">
        <ns0:v>YAGEO</ns0:v>
      </ns0:c>
      <ns0:c r="J249" t="str" s="10">
        <ns0:v>RC0805JR-0716KL</ns0:v>
      </ns0:c>
      <ns0:c r="K249" t="str" s="11">
        <ns0:f>B249&amp;" "&amp;D249&amp;" "&amp;E249&amp;" "&amp;H249</ns0:f>
        <ns0:v>Резистор 16 кОм ±5% 0805</ns0:v>
      </ns0:c>
      <ns0:c r="L249" t="str" s="13">
        <ns0:v>R</ns0:v>
      </ns0:c>
      <ns0:c r="M249" t="str" s="13">
        <ns0:v>Symbols\MY_LIB_Resistors.SchLib</ns0:v>
      </ns0:c>
      <ns0:c r="N249" t="str" s="13">
        <ns0:v>RESC2012X70N</ns0:v>
      </ns0:c>
      <ns0:c r="O249" t="str" s="13">
        <ns0:v>Footprints\PBL - SMD Packages.PcbLib</ns0:v>
      </ns0:c>
      <ns0:c r="P249" t="str" s="10">
        <ns0:v>RC_L; E24; P при 70 °C</ns0:v>
      </ns0:c>
      <ns0:c r="Q249" s="10"/>
      <ns0:c r="R249" t="str" s="11">
        <ns0:f>D249</ns0:f>
        <ns0:v>16 кОм</ns0:v>
      </ns0:c>
      <ns0:c r="S249" t="str" s="11">
        <ns0:f>K249</ns0:f>
        <ns0:v>Резистор 16 кОм ±5% 0805</ns0:v>
      </ns0:c>
      <x:c xmlns:x="http://schemas.openxmlformats.org/spreadsheetml/2006/main" r="T249" t="str" s="11">
        <x:v>C:\Users\Nomatin\Documents\Altium\MY_LIB\MY_LIB\Datasheets\YAGEO_RC_L.pdf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C:\Users\Nomatin\Documents\Altium\MY_LIB\MY_LIB\Datasheets\YAGEO_RC_L.pdf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https://yageogroup.com/content/datasheet/asset/file/PYU-RC_GROUP_51_ROHS_L</x:v>
      </x:c>
      <x:c xmlns:x="http://schemas.openxmlformats.org/spreadsheetml/2006/main" r="Y249" t="str" s="11">
        <x:v>C:\Users\Nomatin\Documents\Altium\MY_LIB\MY_LIB\Datasheets\YAGEO_RC_L.pdf</x:v>
      </x:c>
    </ns0:row>
    <ns0:row r="250" ht="30" customHeight="1">
      <ns0:c r="A250" t="str" s="10">
        <ns0:v>R0256</ns0:v>
      </ns0:c>
      <ns0:c r="B250" t="str" s="10">
        <ns0:v>Резистор</ns0:v>
      </ns0:c>
      <ns0:c r="C250" t="str" s="10">
        <ns0:v>18k</ns0:v>
      </ns0:c>
      <ns0:c r="D250" t="str" s="11">
        <ns0:f>SUBSTITUTE(SUBSTITUTE(SUBSTITUTE(SUBSTITUTE(C250,"meg"," МОм"),"k"," кОм"),"R"," Ом"),".",",")</ns0:f>
        <ns0:v>18 кОм</ns0:v>
      </ns0:c>
      <ns0:c r="E250" t="str" s="10">
        <ns0:v>±5%</ns0:v>
      </ns0:c>
      <ns0:c r="F250" t="str" s="10">
        <ns0:v>0,125 Вт</ns0:v>
      </ns0:c>
      <ns0:c r="G250" t="str" s="10">
        <ns0:v>150 В макс.</ns0:v>
      </ns0:c>
      <ns0:c r="H250" t="str" s="12">
        <ns0:v>0805</ns0:v>
      </ns0:c>
      <ns0:c r="I250" t="str" s="10">
        <ns0:v>YAGEO</ns0:v>
      </ns0:c>
      <ns0:c r="J250" t="str" s="10">
        <ns0:v>RC0805JR-0718KL</ns0:v>
      </ns0:c>
      <ns0:c r="K250" t="str" s="11">
        <ns0:f>B250&amp;" "&amp;D250&amp;" "&amp;E250&amp;" "&amp;H250</ns0:f>
        <ns0:v>Резистор 18 кОм ±5% 0805</ns0:v>
      </ns0:c>
      <ns0:c r="L250" t="str" s="13">
        <ns0:v>R</ns0:v>
      </ns0:c>
      <ns0:c r="M250" t="str" s="13">
        <ns0:v>Symbols\MY_LIB_Resistors.SchLib</ns0:v>
      </ns0:c>
      <ns0:c r="N250" t="str" s="13">
        <ns0:v>RESC2012X70N</ns0:v>
      </ns0:c>
      <ns0:c r="O250" t="str" s="13">
        <ns0:v>Footprints\PBL - SMD Packages.PcbLib</ns0:v>
      </ns0:c>
      <ns0:c r="P250" t="str" s="10">
        <ns0:v>RC_L; E24; P при 70 °C</ns0:v>
      </ns0:c>
      <ns0:c r="Q250" s="10"/>
      <ns0:c r="R250" t="str" s="11">
        <ns0:f>D250</ns0:f>
        <ns0:v>18 кОм</ns0:v>
      </ns0:c>
      <ns0:c r="S250" t="str" s="11">
        <ns0:f>K250</ns0:f>
        <ns0:v>Резистор 18 кОм ±5% 0805</ns0:v>
      </ns0:c>
      <x:c xmlns:x="http://schemas.openxmlformats.org/spreadsheetml/2006/main" r="T250" t="str" s="11">
        <x:v>C:\Users\Nomatin\Documents\Altium\MY_LIB\MY_LIB\Datasheets\YAGEO_RC_L.pdf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C:\Users\Nomatin\Documents\Altium\MY_LIB\MY_LIB\Datasheets\YAGEO_RC_L.pdf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https://yageogroup.com/content/datasheet/asset/file/PYU-RC_GROUP_51_ROHS_L</x:v>
      </x:c>
      <x:c xmlns:x="http://schemas.openxmlformats.org/spreadsheetml/2006/main" r="Y250" t="str" s="11">
        <x:v>C:\Users\Nomatin\Documents\Altium\MY_LIB\MY_LIB\Datasheets\YAGEO_RC_L.pdf</x:v>
      </x:c>
    </ns0:row>
    <ns0:row r="251" ht="30" customHeight="1">
      <ns0:c r="A251" t="str" s="10">
        <ns0:v>R0257</ns0:v>
      </ns0:c>
      <ns0:c r="B251" t="str" s="10">
        <ns0:v>Резистор</ns0:v>
      </ns0:c>
      <ns0:c r="C251" t="str" s="10">
        <ns0:v>20k</ns0:v>
      </ns0:c>
      <ns0:c r="D251" t="str" s="11">
        <ns0:f>SUBSTITUTE(SUBSTITUTE(SUBSTITUTE(SUBSTITUTE(C251,"meg"," МОм"),"k"," кОм"),"R"," Ом"),".",",")</ns0:f>
        <ns0:v>20 кОм</ns0:v>
      </ns0:c>
      <ns0:c r="E251" t="str" s="10">
        <ns0:v>±5%</ns0:v>
      </ns0:c>
      <ns0:c r="F251" t="str" s="10">
        <ns0:v>0,125 Вт</ns0:v>
      </ns0:c>
      <ns0:c r="G251" t="str" s="10">
        <ns0:v>150 В макс.</ns0:v>
      </ns0:c>
      <ns0:c r="H251" t="str" s="12">
        <ns0:v>0805</ns0:v>
      </ns0:c>
      <ns0:c r="I251" t="str" s="10">
        <ns0:v>YAGEO</ns0:v>
      </ns0:c>
      <ns0:c r="J251" t="str" s="10">
        <ns0:v>RC0805JR-0720KL</ns0:v>
      </ns0:c>
      <ns0:c r="K251" t="str" s="11">
        <ns0:f>B251&amp;" "&amp;D251&amp;" "&amp;E251&amp;" "&amp;H251</ns0:f>
        <ns0:v>Резистор 20 кОм ±5% 0805</ns0:v>
      </ns0:c>
      <ns0:c r="L251" t="str" s="13">
        <ns0:v>R</ns0:v>
      </ns0:c>
      <ns0:c r="M251" t="str" s="13">
        <ns0:v>Symbols\MY_LIB_Resistors.SchLib</ns0:v>
      </ns0:c>
      <ns0:c r="N251" t="str" s="13">
        <ns0:v>RESC2012X70N</ns0:v>
      </ns0:c>
      <ns0:c r="O251" t="str" s="13">
        <ns0:v>Footprints\PBL - SMD Packages.PcbLib</ns0:v>
      </ns0:c>
      <ns0:c r="P251" t="str" s="10">
        <ns0:v>RC_L; E24; P при 70 °C</ns0:v>
      </ns0:c>
      <ns0:c r="Q251" s="10"/>
      <ns0:c r="R251" t="str" s="11">
        <ns0:f>D251</ns0:f>
        <ns0:v>20 кОм</ns0:v>
      </ns0:c>
      <ns0:c r="S251" t="str" s="11">
        <ns0:f>K251</ns0:f>
        <ns0:v>Резистор 20 кОм ±5% 0805</ns0:v>
      </ns0:c>
      <x:c xmlns:x="http://schemas.openxmlformats.org/spreadsheetml/2006/main" r="T251" t="str" s="11">
        <x:v>C:\Users\Nomatin\Documents\Altium\MY_LIB\MY_LIB\Datasheets\YAGEO_RC_L.pdf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C:\Users\Nomatin\Documents\Altium\MY_LIB\MY_LIB\Datasheets\YAGEO_RC_L.pdf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https://yageogroup.com/content/datasheet/asset/file/PYU-RC_GROUP_51_ROHS_L</x:v>
      </x:c>
      <x:c xmlns:x="http://schemas.openxmlformats.org/spreadsheetml/2006/main" r="Y251" t="str" s="11">
        <x:v>C:\Users\Nomatin\Documents\Altium\MY_LIB\MY_LIB\Datasheets\YAGEO_RC_L.pdf</x:v>
      </x:c>
    </ns0:row>
    <ns0:row r="252" ht="30" customHeight="1">
      <ns0:c r="A252" t="str" s="10">
        <ns0:v>R0258</ns0:v>
      </ns0:c>
      <ns0:c r="B252" t="str" s="10">
        <ns0:v>Резистор</ns0:v>
      </ns0:c>
      <ns0:c r="C252" t="str" s="10">
        <ns0:v>22k</ns0:v>
      </ns0:c>
      <ns0:c r="D252" t="str" s="11">
        <ns0:f>SUBSTITUTE(SUBSTITUTE(SUBSTITUTE(SUBSTITUTE(C252,"meg"," МОм"),"k"," кОм"),"R"," Ом"),".",",")</ns0:f>
        <ns0:v>22 кОм</ns0:v>
      </ns0:c>
      <ns0:c r="E252" t="str" s="10">
        <ns0:v>±5%</ns0:v>
      </ns0:c>
      <ns0:c r="F252" t="str" s="10">
        <ns0:v>0,125 Вт</ns0:v>
      </ns0:c>
      <ns0:c r="G252" t="str" s="10">
        <ns0:v>150 В макс.</ns0:v>
      </ns0:c>
      <ns0:c r="H252" t="str" s="12">
        <ns0:v>0805</ns0:v>
      </ns0:c>
      <ns0:c r="I252" t="str" s="10">
        <ns0:v>YAGEO</ns0:v>
      </ns0:c>
      <ns0:c r="J252" t="str" s="10">
        <ns0:v>RC0805JR-0722KL</ns0:v>
      </ns0:c>
      <ns0:c r="K252" t="str" s="11">
        <ns0:f>B252&amp;" "&amp;D252&amp;" "&amp;E252&amp;" "&amp;H252</ns0:f>
        <ns0:v>Резистор 22 кОм ±5% 0805</ns0:v>
      </ns0:c>
      <ns0:c r="L252" t="str" s="13">
        <ns0:v>R</ns0:v>
      </ns0:c>
      <ns0:c r="M252" t="str" s="13">
        <ns0:v>Symbols\MY_LIB_Resistors.SchLib</ns0:v>
      </ns0:c>
      <ns0:c r="N252" t="str" s="13">
        <ns0:v>RESC2012X70N</ns0:v>
      </ns0:c>
      <ns0:c r="O252" t="str" s="13">
        <ns0:v>Footprints\PBL - SMD Packages.PcbLib</ns0:v>
      </ns0:c>
      <ns0:c r="P252" t="str" s="10">
        <ns0:v>RC_L; E24; P при 70 °C</ns0:v>
      </ns0:c>
      <ns0:c r="Q252" s="10"/>
      <ns0:c r="R252" t="str" s="11">
        <ns0:f>D252</ns0:f>
        <ns0:v>22 кОм</ns0:v>
      </ns0:c>
      <ns0:c r="S252" t="str" s="11">
        <ns0:f>K252</ns0:f>
        <ns0:v>Резистор 22 кОм ±5% 0805</ns0:v>
      </ns0:c>
      <x:c xmlns:x="http://schemas.openxmlformats.org/spreadsheetml/2006/main" r="T252" t="str" s="11">
        <x:v>C:\Users\Nomatin\Documents\Altium\MY_LIB\MY_LIB\Datasheets\YAGEO_RC_L.pdf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C:\Users\Nomatin\Documents\Altium\MY_LIB\MY_LIB\Datasheets\YAGEO_RC_L.pdf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https://yageogroup.com/content/datasheet/asset/file/PYU-RC_GROUP_51_ROHS_L</x:v>
      </x:c>
      <x:c xmlns:x="http://schemas.openxmlformats.org/spreadsheetml/2006/main" r="Y252" t="str" s="11">
        <x:v>C:\Users\Nomatin\Documents\Altium\MY_LIB\MY_LIB\Datasheets\YAGEO_RC_L.pdf</x:v>
      </x:c>
    </ns0:row>
    <ns0:row r="253" ht="30" customHeight="1">
      <ns0:c r="A253" t="str" s="10">
        <ns0:v>R0259</ns0:v>
      </ns0:c>
      <ns0:c r="B253" t="str" s="10">
        <ns0:v>Резистор</ns0:v>
      </ns0:c>
      <ns0:c r="C253" t="str" s="10">
        <ns0:v>24k</ns0:v>
      </ns0:c>
      <ns0:c r="D253" t="str" s="11">
        <ns0:f>SUBSTITUTE(SUBSTITUTE(SUBSTITUTE(SUBSTITUTE(C253,"meg"," МОм"),"k"," кОм"),"R"," Ом"),".",",")</ns0:f>
        <ns0:v>24 кОм</ns0:v>
      </ns0:c>
      <ns0:c r="E253" t="str" s="10">
        <ns0:v>±5%</ns0:v>
      </ns0:c>
      <ns0:c r="F253" t="str" s="10">
        <ns0:v>0,125 Вт</ns0:v>
      </ns0:c>
      <ns0:c r="G253" t="str" s="10">
        <ns0:v>150 В макс.</ns0:v>
      </ns0:c>
      <ns0:c r="H253" t="str" s="12">
        <ns0:v>0805</ns0:v>
      </ns0:c>
      <ns0:c r="I253" t="str" s="10">
        <ns0:v>YAGEO</ns0:v>
      </ns0:c>
      <ns0:c r="J253" t="str" s="10">
        <ns0:v>RC0805JR-0724KL</ns0:v>
      </ns0:c>
      <ns0:c r="K253" t="str" s="11">
        <ns0:f>B253&amp;" "&amp;D253&amp;" "&amp;E253&amp;" "&amp;H253</ns0:f>
        <ns0:v>Резистор 24 кОм ±5% 0805</ns0:v>
      </ns0:c>
      <ns0:c r="L253" t="str" s="13">
        <ns0:v>R</ns0:v>
      </ns0:c>
      <ns0:c r="M253" t="str" s="13">
        <ns0:v>Symbols\MY_LIB_Resistors.SchLib</ns0:v>
      </ns0:c>
      <ns0:c r="N253" t="str" s="13">
        <ns0:v>RESC2012X70N</ns0:v>
      </ns0:c>
      <ns0:c r="O253" t="str" s="13">
        <ns0:v>Footprints\PBL - SMD Packages.PcbLib</ns0:v>
      </ns0:c>
      <ns0:c r="P253" t="str" s="10">
        <ns0:v>RC_L; E24; P при 70 °C</ns0:v>
      </ns0:c>
      <ns0:c r="Q253" s="10"/>
      <ns0:c r="R253" t="str" s="11">
        <ns0:f>D253</ns0:f>
        <ns0:v>24 кОм</ns0:v>
      </ns0:c>
      <ns0:c r="S253" t="str" s="11">
        <ns0:f>K253</ns0:f>
        <ns0:v>Резистор 24 кОм ±5% 0805</ns0:v>
      </ns0:c>
      <x:c xmlns:x="http://schemas.openxmlformats.org/spreadsheetml/2006/main" r="T253" t="str" s="11">
        <x:v>C:\Users\Nomatin\Documents\Altium\MY_LIB\MY_LIB\Datasheets\YAGEO_RC_L.pdf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C:\Users\Nomatin\Documents\Altium\MY_LIB\MY_LIB\Datasheets\YAGEO_RC_L.pdf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https://yageogroup.com/content/datasheet/asset/file/PYU-RC_GROUP_51_ROHS_L</x:v>
      </x:c>
      <x:c xmlns:x="http://schemas.openxmlformats.org/spreadsheetml/2006/main" r="Y253" t="str" s="11">
        <x:v>C:\Users\Nomatin\Documents\Altium\MY_LIB\MY_LIB\Datasheets\YAGEO_RC_L.pdf</x:v>
      </x:c>
    </ns0:row>
    <ns0:row r="254" ht="30" customHeight="1">
      <ns0:c r="A254" t="str" s="10">
        <ns0:v>R0260</ns0:v>
      </ns0:c>
      <ns0:c r="B254" t="str" s="10">
        <ns0:v>Резистор</ns0:v>
      </ns0:c>
      <ns0:c r="C254" t="str" s="10">
        <ns0:v>27k</ns0:v>
      </ns0:c>
      <ns0:c r="D254" t="str" s="11">
        <ns0:f>SUBSTITUTE(SUBSTITUTE(SUBSTITUTE(SUBSTITUTE(C254,"meg"," МОм"),"k"," кОм"),"R"," Ом"),".",",")</ns0:f>
        <ns0:v>27 кОм</ns0:v>
      </ns0:c>
      <ns0:c r="E254" t="str" s="10">
        <ns0:v>±5%</ns0:v>
      </ns0:c>
      <ns0:c r="F254" t="str" s="10">
        <ns0:v>0,125 Вт</ns0:v>
      </ns0:c>
      <ns0:c r="G254" t="str" s="10">
        <ns0:v>150 В макс.</ns0:v>
      </ns0:c>
      <ns0:c r="H254" t="str" s="12">
        <ns0:v>0805</ns0:v>
      </ns0:c>
      <ns0:c r="I254" t="str" s="10">
        <ns0:v>YAGEO</ns0:v>
      </ns0:c>
      <ns0:c r="J254" t="str" s="10">
        <ns0:v>RC0805JR-0727KL</ns0:v>
      </ns0:c>
      <ns0:c r="K254" t="str" s="11">
        <ns0:f>B254&amp;" "&amp;D254&amp;" "&amp;E254&amp;" "&amp;H254</ns0:f>
        <ns0:v>Резистор 27 кОм ±5% 0805</ns0:v>
      </ns0:c>
      <ns0:c r="L254" t="str" s="13">
        <ns0:v>R</ns0:v>
      </ns0:c>
      <ns0:c r="M254" t="str" s="13">
        <ns0:v>Symbols\MY_LIB_Resistors.SchLib</ns0:v>
      </ns0:c>
      <ns0:c r="N254" t="str" s="13">
        <ns0:v>RESC2012X70N</ns0:v>
      </ns0:c>
      <ns0:c r="O254" t="str" s="13">
        <ns0:v>Footprints\PBL - SMD Packages.PcbLib</ns0:v>
      </ns0:c>
      <ns0:c r="P254" t="str" s="10">
        <ns0:v>RC_L; E24; P при 70 °C</ns0:v>
      </ns0:c>
      <ns0:c r="Q254" s="10"/>
      <ns0:c r="R254" t="str" s="11">
        <ns0:f>D254</ns0:f>
        <ns0:v>27 кОм</ns0:v>
      </ns0:c>
      <ns0:c r="S254" t="str" s="11">
        <ns0:f>K254</ns0:f>
        <ns0:v>Резистор 27 кОм ±5% 0805</ns0:v>
      </ns0:c>
      <x:c xmlns:x="http://schemas.openxmlformats.org/spreadsheetml/2006/main" r="T254" t="str" s="11">
        <x:v>C:\Users\Nomatin\Documents\Altium\MY_LIB\MY_LIB\Datasheets\YAGEO_RC_L.pdf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C:\Users\Nomatin\Documents\Altium\MY_LIB\MY_LIB\Datasheets\YAGEO_RC_L.pdf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https://yageogroup.com/content/datasheet/asset/file/PYU-RC_GROUP_51_ROHS_L</x:v>
      </x:c>
      <x:c xmlns:x="http://schemas.openxmlformats.org/spreadsheetml/2006/main" r="Y254" t="str" s="11">
        <x:v>C:\Users\Nomatin\Documents\Altium\MY_LIB\MY_LIB\Datasheets\YAGEO_RC_L.pdf</x:v>
      </x:c>
    </ns0:row>
    <ns0:row r="255" ht="30" customHeight="1">
      <ns0:c r="A255" t="str" s="10">
        <ns0:v>R0261</ns0:v>
      </ns0:c>
      <ns0:c r="B255" t="str" s="10">
        <ns0:v>Резистор</ns0:v>
      </ns0:c>
      <ns0:c r="C255" t="str" s="10">
        <ns0:v>30k</ns0:v>
      </ns0:c>
      <ns0:c r="D255" t="str" s="11">
        <ns0:f>SUBSTITUTE(SUBSTITUTE(SUBSTITUTE(SUBSTITUTE(C255,"meg"," МОм"),"k"," кОм"),"R"," Ом"),".",",")</ns0:f>
        <ns0:v>30 кОм</ns0:v>
      </ns0:c>
      <ns0:c r="E255" t="str" s="10">
        <ns0:v>±5%</ns0:v>
      </ns0:c>
      <ns0:c r="F255" t="str" s="10">
        <ns0:v>0,125 Вт</ns0:v>
      </ns0:c>
      <ns0:c r="G255" t="str" s="10">
        <ns0:v>150 В макс.</ns0:v>
      </ns0:c>
      <ns0:c r="H255" t="str" s="12">
        <ns0:v>0805</ns0:v>
      </ns0:c>
      <ns0:c r="I255" t="str" s="10">
        <ns0:v>YAGEO</ns0:v>
      </ns0:c>
      <ns0:c r="J255" t="str" s="10">
        <ns0:v>RC0805JR-0730KL</ns0:v>
      </ns0:c>
      <ns0:c r="K255" t="str" s="11">
        <ns0:f>B255&amp;" "&amp;D255&amp;" "&amp;E255&amp;" "&amp;H255</ns0:f>
        <ns0:v>Резистор 30 кОм ±5% 0805</ns0:v>
      </ns0:c>
      <ns0:c r="L255" t="str" s="13">
        <ns0:v>R</ns0:v>
      </ns0:c>
      <ns0:c r="M255" t="str" s="13">
        <ns0:v>Symbols\MY_LIB_Resistors.SchLib</ns0:v>
      </ns0:c>
      <ns0:c r="N255" t="str" s="13">
        <ns0:v>RESC2012X70N</ns0:v>
      </ns0:c>
      <ns0:c r="O255" t="str" s="13">
        <ns0:v>Footprints\PBL - SMD Packages.PcbLib</ns0:v>
      </ns0:c>
      <ns0:c r="P255" t="str" s="10">
        <ns0:v>RC_L; E24; P при 70 °C</ns0:v>
      </ns0:c>
      <ns0:c r="Q255" s="10"/>
      <ns0:c r="R255" t="str" s="11">
        <ns0:f>D255</ns0:f>
        <ns0:v>30 кОм</ns0:v>
      </ns0:c>
      <ns0:c r="S255" t="str" s="11">
        <ns0:f>K255</ns0:f>
        <ns0:v>Резистор 30 кОм ±5% 0805</ns0:v>
      </ns0:c>
      <x:c xmlns:x="http://schemas.openxmlformats.org/spreadsheetml/2006/main" r="T255" t="str" s="11">
        <x:v>C:\Users\Nomatin\Documents\Altium\MY_LIB\MY_LIB\Datasheets\YAGEO_RC_L.pdf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C:\Users\Nomatin\Documents\Altium\MY_LIB\MY_LIB\Datasheets\YAGEO_RC_L.pdf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https://yageogroup.com/content/datasheet/asset/file/PYU-RC_GROUP_51_ROHS_L</x:v>
      </x:c>
      <x:c xmlns:x="http://schemas.openxmlformats.org/spreadsheetml/2006/main" r="Y255" t="str" s="11">
        <x:v>C:\Users\Nomatin\Documents\Altium\MY_LIB\MY_LIB\Datasheets\YAGEO_RC_L.pdf</x:v>
      </x:c>
    </ns0:row>
    <ns0:row r="256" ht="30" customHeight="1">
      <ns0:c r="A256" t="str" s="10">
        <ns0:v>R0262</ns0:v>
      </ns0:c>
      <ns0:c r="B256" t="str" s="10">
        <ns0:v>Резистор</ns0:v>
      </ns0:c>
      <ns0:c r="C256" t="str" s="10">
        <ns0:v>33k</ns0:v>
      </ns0:c>
      <ns0:c r="D256" t="str" s="11">
        <ns0:f>SUBSTITUTE(SUBSTITUTE(SUBSTITUTE(SUBSTITUTE(C256,"meg"," МОм"),"k"," кОм"),"R"," Ом"),".",",")</ns0:f>
        <ns0:v>33 кОм</ns0:v>
      </ns0:c>
      <ns0:c r="E256" t="str" s="10">
        <ns0:v>±5%</ns0:v>
      </ns0:c>
      <ns0:c r="F256" t="str" s="10">
        <ns0:v>0,125 Вт</ns0:v>
      </ns0:c>
      <ns0:c r="G256" t="str" s="10">
        <ns0:v>150 В макс.</ns0:v>
      </ns0:c>
      <ns0:c r="H256" t="str" s="12">
        <ns0:v>0805</ns0:v>
      </ns0:c>
      <ns0:c r="I256" t="str" s="10">
        <ns0:v>YAGEO</ns0:v>
      </ns0:c>
      <ns0:c r="J256" t="str" s="10">
        <ns0:v>RC0805JR-0733KL</ns0:v>
      </ns0:c>
      <ns0:c r="K256" t="str" s="11">
        <ns0:f>B256&amp;" "&amp;D256&amp;" "&amp;E256&amp;" "&amp;H256</ns0:f>
        <ns0:v>Резистор 33 кОм ±5% 0805</ns0:v>
      </ns0:c>
      <ns0:c r="L256" t="str" s="13">
        <ns0:v>R</ns0:v>
      </ns0:c>
      <ns0:c r="M256" t="str" s="13">
        <ns0:v>Symbols\MY_LIB_Resistors.SchLib</ns0:v>
      </ns0:c>
      <ns0:c r="N256" t="str" s="13">
        <ns0:v>RESC2012X70N</ns0:v>
      </ns0:c>
      <ns0:c r="O256" t="str" s="13">
        <ns0:v>Footprints\PBL - SMD Packages.PcbLib</ns0:v>
      </ns0:c>
      <ns0:c r="P256" t="str" s="10">
        <ns0:v>RC_L; E24; P при 70 °C</ns0:v>
      </ns0:c>
      <ns0:c r="Q256" s="10"/>
      <ns0:c r="R256" t="str" s="11">
        <ns0:f>D256</ns0:f>
        <ns0:v>33 кОм</ns0:v>
      </ns0:c>
      <ns0:c r="S256" t="str" s="11">
        <ns0:f>K256</ns0:f>
        <ns0:v>Резистор 33 кОм ±5% 0805</ns0:v>
      </ns0:c>
      <x:c xmlns:x="http://schemas.openxmlformats.org/spreadsheetml/2006/main" r="T256" t="str" s="11">
        <x:v>C:\Users\Nomatin\Documents\Altium\MY_LIB\MY_LIB\Datasheets\YAGEO_RC_L.pdf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C:\Users\Nomatin\Documents\Altium\MY_LIB\MY_LIB\Datasheets\YAGEO_RC_L.pdf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https://yageogroup.com/content/datasheet/asset/file/PYU-RC_GROUP_51_ROHS_L</x:v>
      </x:c>
      <x:c xmlns:x="http://schemas.openxmlformats.org/spreadsheetml/2006/main" r="Y256" t="str" s="11">
        <x:v>C:\Users\Nomatin\Documents\Altium\MY_LIB\MY_LIB\Datasheets\YAGEO_RC_L.pdf</x:v>
      </x:c>
    </ns0:row>
    <ns0:row r="257" ht="30" customHeight="1">
      <ns0:c r="A257" t="str" s="10">
        <ns0:v>R0263</ns0:v>
      </ns0:c>
      <ns0:c r="B257" t="str" s="10">
        <ns0:v>Резистор</ns0:v>
      </ns0:c>
      <ns0:c r="C257" t="str" s="10">
        <ns0:v>36k</ns0:v>
      </ns0:c>
      <ns0:c r="D257" t="str" s="11">
        <ns0:f>SUBSTITUTE(SUBSTITUTE(SUBSTITUTE(SUBSTITUTE(C257,"meg"," МОм"),"k"," кОм"),"R"," Ом"),".",",")</ns0:f>
        <ns0:v>36 кОм</ns0:v>
      </ns0:c>
      <ns0:c r="E257" t="str" s="10">
        <ns0:v>±5%</ns0:v>
      </ns0:c>
      <ns0:c r="F257" t="str" s="10">
        <ns0:v>0,125 Вт</ns0:v>
      </ns0:c>
      <ns0:c r="G257" t="str" s="10">
        <ns0:v>150 В макс.</ns0:v>
      </ns0:c>
      <ns0:c r="H257" t="str" s="12">
        <ns0:v>0805</ns0:v>
      </ns0:c>
      <ns0:c r="I257" t="str" s="10">
        <ns0:v>YAGEO</ns0:v>
      </ns0:c>
      <ns0:c r="J257" t="str" s="10">
        <ns0:v>RC0805JR-0736KL</ns0:v>
      </ns0:c>
      <ns0:c r="K257" t="str" s="11">
        <ns0:f>B257&amp;" "&amp;D257&amp;" "&amp;E257&amp;" "&amp;H257</ns0:f>
        <ns0:v>Резистор 36 кОм ±5% 0805</ns0:v>
      </ns0:c>
      <ns0:c r="L257" t="str" s="13">
        <ns0:v>R</ns0:v>
      </ns0:c>
      <ns0:c r="M257" t="str" s="13">
        <ns0:v>Symbols\MY_LIB_Resistors.SchLib</ns0:v>
      </ns0:c>
      <ns0:c r="N257" t="str" s="13">
        <ns0:v>RESC2012X70N</ns0:v>
      </ns0:c>
      <ns0:c r="O257" t="str" s="13">
        <ns0:v>Footprints\PBL - SMD Packages.PcbLib</ns0:v>
      </ns0:c>
      <ns0:c r="P257" t="str" s="10">
        <ns0:v>RC_L; E24; P при 70 °C</ns0:v>
      </ns0:c>
      <ns0:c r="Q257" s="10"/>
      <ns0:c r="R257" t="str" s="11">
        <ns0:f>D257</ns0:f>
        <ns0:v>36 кОм</ns0:v>
      </ns0:c>
      <ns0:c r="S257" t="str" s="11">
        <ns0:f>K257</ns0:f>
        <ns0:v>Резистор 36 кОм ±5% 0805</ns0:v>
      </ns0:c>
      <x:c xmlns:x="http://schemas.openxmlformats.org/spreadsheetml/2006/main" r="T257" t="str" s="11">
        <x:v>C:\Users\Nomatin\Documents\Altium\MY_LIB\MY_LIB\Datasheets\YAGEO_RC_L.pdf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C:\Users\Nomatin\Documents\Altium\MY_LIB\MY_LIB\Datasheets\YAGEO_RC_L.pdf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https://yageogroup.com/content/datasheet/asset/file/PYU-RC_GROUP_51_ROHS_L</x:v>
      </x:c>
      <x:c xmlns:x="http://schemas.openxmlformats.org/spreadsheetml/2006/main" r="Y257" t="str" s="11">
        <x:v>C:\Users\Nomatin\Documents\Altium\MY_LIB\MY_LIB\Datasheets\YAGEO_RC_L.pdf</x:v>
      </x:c>
    </ns0:row>
    <ns0:row r="258" ht="30" customHeight="1">
      <ns0:c r="A258" t="str" s="10">
        <ns0:v>R0264</ns0:v>
      </ns0:c>
      <ns0:c r="B258" t="str" s="10">
        <ns0:v>Резистор</ns0:v>
      </ns0:c>
      <ns0:c r="C258" t="str" s="10">
        <ns0:v>39k</ns0:v>
      </ns0:c>
      <ns0:c r="D258" t="str" s="11">
        <ns0:f>SUBSTITUTE(SUBSTITUTE(SUBSTITUTE(SUBSTITUTE(C258,"meg"," МОм"),"k"," кОм"),"R"," Ом"),".",",")</ns0:f>
        <ns0:v>39 кОм</ns0:v>
      </ns0:c>
      <ns0:c r="E258" t="str" s="10">
        <ns0:v>±5%</ns0:v>
      </ns0:c>
      <ns0:c r="F258" t="str" s="10">
        <ns0:v>0,125 Вт</ns0:v>
      </ns0:c>
      <ns0:c r="G258" t="str" s="10">
        <ns0:v>150 В макс.</ns0:v>
      </ns0:c>
      <ns0:c r="H258" t="str" s="12">
        <ns0:v>0805</ns0:v>
      </ns0:c>
      <ns0:c r="I258" t="str" s="10">
        <ns0:v>YAGEO</ns0:v>
      </ns0:c>
      <ns0:c r="J258" t="str" s="10">
        <ns0:v>RC0805JR-0739KL</ns0:v>
      </ns0:c>
      <ns0:c r="K258" t="str" s="11">
        <ns0:f>B258&amp;" "&amp;D258&amp;" "&amp;E258&amp;" "&amp;H258</ns0:f>
        <ns0:v>Резистор 39 кОм ±5% 0805</ns0:v>
      </ns0:c>
      <ns0:c r="L258" t="str" s="13">
        <ns0:v>R</ns0:v>
      </ns0:c>
      <ns0:c r="M258" t="str" s="13">
        <ns0:v>Symbols\MY_LIB_Resistors.SchLib</ns0:v>
      </ns0:c>
      <ns0:c r="N258" t="str" s="13">
        <ns0:v>RESC2012X70N</ns0:v>
      </ns0:c>
      <ns0:c r="O258" t="str" s="13">
        <ns0:v>Footprints\PBL - SMD Packages.PcbLib</ns0:v>
      </ns0:c>
      <ns0:c r="P258" t="str" s="10">
        <ns0:v>RC_L; E24; P при 70 °C</ns0:v>
      </ns0:c>
      <ns0:c r="Q258" s="10"/>
      <ns0:c r="R258" t="str" s="11">
        <ns0:f>D258</ns0:f>
        <ns0:v>39 кОм</ns0:v>
      </ns0:c>
      <ns0:c r="S258" t="str" s="11">
        <ns0:f>K258</ns0:f>
        <ns0:v>Резистор 39 кОм ±5% 0805</ns0:v>
      </ns0:c>
      <x:c xmlns:x="http://schemas.openxmlformats.org/spreadsheetml/2006/main" r="T258" t="str" s="11">
        <x:v>C:\Users\Nomatin\Documents\Altium\MY_LIB\MY_LIB\Datasheets\YAGEO_RC_L.pdf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C:\Users\Nomatin\Documents\Altium\MY_LIB\MY_LIB\Datasheets\YAGEO_RC_L.pdf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https://yageogroup.com/content/datasheet/asset/file/PYU-RC_GROUP_51_ROHS_L</x:v>
      </x:c>
      <x:c xmlns:x="http://schemas.openxmlformats.org/spreadsheetml/2006/main" r="Y258" t="str" s="11">
        <x:v>C:\Users\Nomatin\Documents\Altium\MY_LIB\MY_LIB\Datasheets\YAGEO_RC_L.pdf</x:v>
      </x:c>
    </ns0:row>
    <ns0:row r="259" ht="30" customHeight="1">
      <ns0:c r="A259" t="str" s="10">
        <ns0:v>R0265</ns0:v>
      </ns0:c>
      <ns0:c r="B259" t="str" s="10">
        <ns0:v>Резистор</ns0:v>
      </ns0:c>
      <ns0:c r="C259" t="str" s="10">
        <ns0:v>43k</ns0:v>
      </ns0:c>
      <ns0:c r="D259" t="str" s="11">
        <ns0:f>SUBSTITUTE(SUBSTITUTE(SUBSTITUTE(SUBSTITUTE(C259,"meg"," МОм"),"k"," кОм"),"R"," Ом"),".",",")</ns0:f>
        <ns0:v>43 кОм</ns0:v>
      </ns0:c>
      <ns0:c r="E259" t="str" s="10">
        <ns0:v>±5%</ns0:v>
      </ns0:c>
      <ns0:c r="F259" t="str" s="10">
        <ns0:v>0,125 Вт</ns0:v>
      </ns0:c>
      <ns0:c r="G259" t="str" s="10">
        <ns0:v>150 В макс.</ns0:v>
      </ns0:c>
      <ns0:c r="H259" t="str" s="12">
        <ns0:v>0805</ns0:v>
      </ns0:c>
      <ns0:c r="I259" t="str" s="10">
        <ns0:v>YAGEO</ns0:v>
      </ns0:c>
      <ns0:c r="J259" t="str" s="10">
        <ns0:v>RC0805JR-0743KL</ns0:v>
      </ns0:c>
      <ns0:c r="K259" t="str" s="11">
        <ns0:f>B259&amp;" "&amp;D259&amp;" "&amp;E259&amp;" "&amp;H259</ns0:f>
        <ns0:v>Резистор 43 кОм ±5% 0805</ns0:v>
      </ns0:c>
      <ns0:c r="L259" t="str" s="13">
        <ns0:v>R</ns0:v>
      </ns0:c>
      <ns0:c r="M259" t="str" s="13">
        <ns0:v>Symbols\MY_LIB_Resistors.SchLib</ns0:v>
      </ns0:c>
      <ns0:c r="N259" t="str" s="13">
        <ns0:v>RESC2012X70N</ns0:v>
      </ns0:c>
      <ns0:c r="O259" t="str" s="13">
        <ns0:v>Footprints\PBL - SMD Packages.PcbLib</ns0:v>
      </ns0:c>
      <ns0:c r="P259" t="str" s="10">
        <ns0:v>RC_L; E24; P при 70 °C</ns0:v>
      </ns0:c>
      <ns0:c r="Q259" s="10"/>
      <ns0:c r="R259" t="str" s="11">
        <ns0:f>D259</ns0:f>
        <ns0:v>43 кОм</ns0:v>
      </ns0:c>
      <ns0:c r="S259" t="str" s="11">
        <ns0:f>K259</ns0:f>
        <ns0:v>Резистор 43 кОм ±5% 0805</ns0:v>
      </ns0:c>
      <x:c xmlns:x="http://schemas.openxmlformats.org/spreadsheetml/2006/main" r="T259" t="str" s="11">
        <x:v>C:\Users\Nomatin\Documents\Altium\MY_LIB\MY_LIB\Datasheets\YAGEO_RC_L.pdf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C:\Users\Nomatin\Documents\Altium\MY_LIB\MY_LIB\Datasheets\YAGEO_RC_L.pdf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https://yageogroup.com/content/datasheet/asset/file/PYU-RC_GROUP_51_ROHS_L</x:v>
      </x:c>
      <x:c xmlns:x="http://schemas.openxmlformats.org/spreadsheetml/2006/main" r="Y259" t="str" s="11">
        <x:v>C:\Users\Nomatin\Documents\Altium\MY_LIB\MY_LIB\Datasheets\YAGEO_RC_L.pdf</x:v>
      </x:c>
    </ns0:row>
    <ns0:row r="260" ht="30" customHeight="1">
      <ns0:c r="A260" t="str" s="10">
        <ns0:v>R0266</ns0:v>
      </ns0:c>
      <ns0:c r="B260" t="str" s="10">
        <ns0:v>Резистор</ns0:v>
      </ns0:c>
      <ns0:c r="C260" t="str" s="10">
        <ns0:v>47k</ns0:v>
      </ns0:c>
      <ns0:c r="D260" t="str" s="11">
        <ns0:f>SUBSTITUTE(SUBSTITUTE(SUBSTITUTE(SUBSTITUTE(C260,"meg"," МОм"),"k"," кОм"),"R"," Ом"),".",",")</ns0:f>
        <ns0:v>47 кОм</ns0:v>
      </ns0:c>
      <ns0:c r="E260" t="str" s="10">
        <ns0:v>±5%</ns0:v>
      </ns0:c>
      <ns0:c r="F260" t="str" s="10">
        <ns0:v>0,125 Вт</ns0:v>
      </ns0:c>
      <ns0:c r="G260" t="str" s="10">
        <ns0:v>150 В макс.</ns0:v>
      </ns0:c>
      <ns0:c r="H260" t="str" s="12">
        <ns0:v>0805</ns0:v>
      </ns0:c>
      <ns0:c r="I260" t="str" s="10">
        <ns0:v>YAGEO</ns0:v>
      </ns0:c>
      <ns0:c r="J260" t="str" s="10">
        <ns0:v>RC0805JR-0747KL</ns0:v>
      </ns0:c>
      <ns0:c r="K260" t="str" s="11">
        <ns0:f>B260&amp;" "&amp;D260&amp;" "&amp;E260&amp;" "&amp;H260</ns0:f>
        <ns0:v>Резистор 47 кОм ±5% 0805</ns0:v>
      </ns0:c>
      <ns0:c r="L260" t="str" s="13">
        <ns0:v>R</ns0:v>
      </ns0:c>
      <ns0:c r="M260" t="str" s="13">
        <ns0:v>Symbols\MY_LIB_Resistors.SchLib</ns0:v>
      </ns0:c>
      <ns0:c r="N260" t="str" s="13">
        <ns0:v>RESC2012X70N</ns0:v>
      </ns0:c>
      <ns0:c r="O260" t="str" s="13">
        <ns0:v>Footprints\PBL - SMD Packages.PcbLib</ns0:v>
      </ns0:c>
      <ns0:c r="P260" t="str" s="10">
        <ns0:v>RC_L; E24; P при 70 °C</ns0:v>
      </ns0:c>
      <ns0:c r="Q260" s="10"/>
      <ns0:c r="R260" t="str" s="11">
        <ns0:f>D260</ns0:f>
        <ns0:v>47 кОм</ns0:v>
      </ns0:c>
      <ns0:c r="S260" t="str" s="11">
        <ns0:f>K260</ns0:f>
        <ns0:v>Резистор 47 кОм ±5% 0805</ns0:v>
      </ns0:c>
      <x:c xmlns:x="http://schemas.openxmlformats.org/spreadsheetml/2006/main" r="T260" t="str" s="11">
        <x:v>C:\Users\Nomatin\Documents\Altium\MY_LIB\MY_LIB\Datasheets\YAGEO_RC_L.pdf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C:\Users\Nomatin\Documents\Altium\MY_LIB\MY_LIB\Datasheets\YAGEO_RC_L.pdf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https://yageogroup.com/content/datasheet/asset/file/PYU-RC_GROUP_51_ROHS_L</x:v>
      </x:c>
      <x:c xmlns:x="http://schemas.openxmlformats.org/spreadsheetml/2006/main" r="Y260" t="str" s="11">
        <x:v>C:\Users\Nomatin\Documents\Altium\MY_LIB\MY_LIB\Datasheets\YAGEO_RC_L.pdf</x:v>
      </x:c>
    </ns0:row>
    <ns0:row r="261" ht="30" customHeight="1">
      <ns0:c r="A261" t="str" s="10">
        <ns0:v>R0267</ns0:v>
      </ns0:c>
      <ns0:c r="B261" t="str" s="10">
        <ns0:v>Резистор</ns0:v>
      </ns0:c>
      <ns0:c r="C261" t="str" s="10">
        <ns0:v>51k</ns0:v>
      </ns0:c>
      <ns0:c r="D261" t="str" s="11">
        <ns0:f>SUBSTITUTE(SUBSTITUTE(SUBSTITUTE(SUBSTITUTE(C261,"meg"," МОм"),"k"," кОм"),"R"," Ом"),".",",")</ns0:f>
        <ns0:v>51 кОм</ns0:v>
      </ns0:c>
      <ns0:c r="E261" t="str" s="10">
        <ns0:v>±5%</ns0:v>
      </ns0:c>
      <ns0:c r="F261" t="str" s="10">
        <ns0:v>0,125 Вт</ns0:v>
      </ns0:c>
      <ns0:c r="G261" t="str" s="10">
        <ns0:v>150 В макс.</ns0:v>
      </ns0:c>
      <ns0:c r="H261" t="str" s="12">
        <ns0:v>0805</ns0:v>
      </ns0:c>
      <ns0:c r="I261" t="str" s="10">
        <ns0:v>YAGEO</ns0:v>
      </ns0:c>
      <ns0:c r="J261" t="str" s="10">
        <ns0:v>RC0805JR-0751KL</ns0:v>
      </ns0:c>
      <ns0:c r="K261" t="str" s="11">
        <ns0:f>B261&amp;" "&amp;D261&amp;" "&amp;E261&amp;" "&amp;H261</ns0:f>
        <ns0:v>Резистор 51 кОм ±5% 0805</ns0:v>
      </ns0:c>
      <ns0:c r="L261" t="str" s="13">
        <ns0:v>R</ns0:v>
      </ns0:c>
      <ns0:c r="M261" t="str" s="13">
        <ns0:v>Symbols\MY_LIB_Resistors.SchLib</ns0:v>
      </ns0:c>
      <ns0:c r="N261" t="str" s="13">
        <ns0:v>RESC2012X70N</ns0:v>
      </ns0:c>
      <ns0:c r="O261" t="str" s="13">
        <ns0:v>Footprints\PBL - SMD Packages.PcbLib</ns0:v>
      </ns0:c>
      <ns0:c r="P261" t="str" s="10">
        <ns0:v>RC_L; E24; P при 70 °C</ns0:v>
      </ns0:c>
      <ns0:c r="Q261" s="10"/>
      <ns0:c r="R261" t="str" s="11">
        <ns0:f>D261</ns0:f>
        <ns0:v>51 кОм</ns0:v>
      </ns0:c>
      <ns0:c r="S261" t="str" s="11">
        <ns0:f>K261</ns0:f>
        <ns0:v>Резистор 51 кОм ±5% 0805</ns0:v>
      </ns0:c>
      <x:c xmlns:x="http://schemas.openxmlformats.org/spreadsheetml/2006/main" r="T261" t="str" s="11">
        <x:v>C:\Users\Nomatin\Documents\Altium\MY_LIB\MY_LIB\Datasheets\YAGEO_RC_L.pdf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C:\Users\Nomatin\Documents\Altium\MY_LIB\MY_LIB\Datasheets\YAGEO_RC_L.pdf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https://yageogroup.com/content/datasheet/asset/file/PYU-RC_GROUP_51_ROHS_L</x:v>
      </x:c>
      <x:c xmlns:x="http://schemas.openxmlformats.org/spreadsheetml/2006/main" r="Y261" t="str" s="11">
        <x:v>C:\Users\Nomatin\Documents\Altium\MY_LIB\MY_LIB\Datasheets\YAGEO_RC_L.pdf</x:v>
      </x:c>
    </ns0:row>
    <ns0:row r="262" ht="30" customHeight="1">
      <ns0:c r="A262" t="str" s="10">
        <ns0:v>R0268</ns0:v>
      </ns0:c>
      <ns0:c r="B262" t="str" s="10">
        <ns0:v>Резистор</ns0:v>
      </ns0:c>
      <ns0:c r="C262" t="str" s="10">
        <ns0:v>56k</ns0:v>
      </ns0:c>
      <ns0:c r="D262" t="str" s="11">
        <ns0:f>SUBSTITUTE(SUBSTITUTE(SUBSTITUTE(SUBSTITUTE(C262,"meg"," МОм"),"k"," кОм"),"R"," Ом"),".",",")</ns0:f>
        <ns0:v>56 кОм</ns0:v>
      </ns0:c>
      <ns0:c r="E262" t="str" s="10">
        <ns0:v>±5%</ns0:v>
      </ns0:c>
      <ns0:c r="F262" t="str" s="10">
        <ns0:v>0,125 Вт</ns0:v>
      </ns0:c>
      <ns0:c r="G262" t="str" s="10">
        <ns0:v>150 В макс.</ns0:v>
      </ns0:c>
      <ns0:c r="H262" t="str" s="12">
        <ns0:v>0805</ns0:v>
      </ns0:c>
      <ns0:c r="I262" t="str" s="10">
        <ns0:v>YAGEO</ns0:v>
      </ns0:c>
      <ns0:c r="J262" t="str" s="10">
        <ns0:v>RC0805JR-0756KL</ns0:v>
      </ns0:c>
      <ns0:c r="K262" t="str" s="11">
        <ns0:f>B262&amp;" "&amp;D262&amp;" "&amp;E262&amp;" "&amp;H262</ns0:f>
        <ns0:v>Резистор 56 кОм ±5% 0805</ns0:v>
      </ns0:c>
      <ns0:c r="L262" t="str" s="13">
        <ns0:v>R</ns0:v>
      </ns0:c>
      <ns0:c r="M262" t="str" s="13">
        <ns0:v>Symbols\MY_LIB_Resistors.SchLib</ns0:v>
      </ns0:c>
      <ns0:c r="N262" t="str" s="13">
        <ns0:v>RESC2012X70N</ns0:v>
      </ns0:c>
      <ns0:c r="O262" t="str" s="13">
        <ns0:v>Footprints\PBL - SMD Packages.PcbLib</ns0:v>
      </ns0:c>
      <ns0:c r="P262" t="str" s="10">
        <ns0:v>RC_L; E24; P при 70 °C</ns0:v>
      </ns0:c>
      <ns0:c r="Q262" s="10"/>
      <ns0:c r="R262" t="str" s="11">
        <ns0:f>D262</ns0:f>
        <ns0:v>56 кОм</ns0:v>
      </ns0:c>
      <ns0:c r="S262" t="str" s="11">
        <ns0:f>K262</ns0:f>
        <ns0:v>Резистор 56 кОм ±5% 0805</ns0:v>
      </ns0:c>
      <x:c xmlns:x="http://schemas.openxmlformats.org/spreadsheetml/2006/main" r="T262" t="str" s="11">
        <x:v>C:\Users\Nomatin\Documents\Altium\MY_LIB\MY_LIB\Datasheets\YAGEO_RC_L.pdf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C:\Users\Nomatin\Documents\Altium\MY_LIB\MY_LIB\Datasheets\YAGEO_RC_L.pdf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https://yageogroup.com/content/datasheet/asset/file/PYU-RC_GROUP_51_ROHS_L</x:v>
      </x:c>
      <x:c xmlns:x="http://schemas.openxmlformats.org/spreadsheetml/2006/main" r="Y262" t="str" s="11">
        <x:v>C:\Users\Nomatin\Documents\Altium\MY_LIB\MY_LIB\Datasheets\YAGEO_RC_L.pdf</x:v>
      </x:c>
    </ns0:row>
    <ns0:row r="263" ht="30" customHeight="1">
      <ns0:c r="A263" t="str" s="10">
        <ns0:v>R0269</ns0:v>
      </ns0:c>
      <ns0:c r="B263" t="str" s="10">
        <ns0:v>Резистор</ns0:v>
      </ns0:c>
      <ns0:c r="C263" t="str" s="10">
        <ns0:v>62k</ns0:v>
      </ns0:c>
      <ns0:c r="D263" t="str" s="11">
        <ns0:f>SUBSTITUTE(SUBSTITUTE(SUBSTITUTE(SUBSTITUTE(C263,"meg"," МОм"),"k"," кОм"),"R"," Ом"),".",",")</ns0:f>
        <ns0:v>62 кОм</ns0:v>
      </ns0:c>
      <ns0:c r="E263" t="str" s="10">
        <ns0:v>±5%</ns0:v>
      </ns0:c>
      <ns0:c r="F263" t="str" s="10">
        <ns0:v>0,125 Вт</ns0:v>
      </ns0:c>
      <ns0:c r="G263" t="str" s="10">
        <ns0:v>150 В макс.</ns0:v>
      </ns0:c>
      <ns0:c r="H263" t="str" s="12">
        <ns0:v>0805</ns0:v>
      </ns0:c>
      <ns0:c r="I263" t="str" s="10">
        <ns0:v>YAGEO</ns0:v>
      </ns0:c>
      <ns0:c r="J263" t="str" s="10">
        <ns0:v>RC0805JR-0762KL</ns0:v>
      </ns0:c>
      <ns0:c r="K263" t="str" s="11">
        <ns0:f>B263&amp;" "&amp;D263&amp;" "&amp;E263&amp;" "&amp;H263</ns0:f>
        <ns0:v>Резистор 62 кОм ±5% 0805</ns0:v>
      </ns0:c>
      <ns0:c r="L263" t="str" s="13">
        <ns0:v>R</ns0:v>
      </ns0:c>
      <ns0:c r="M263" t="str" s="13">
        <ns0:v>Symbols\MY_LIB_Resistors.SchLib</ns0:v>
      </ns0:c>
      <ns0:c r="N263" t="str" s="13">
        <ns0:v>RESC2012X70N</ns0:v>
      </ns0:c>
      <ns0:c r="O263" t="str" s="13">
        <ns0:v>Footprints\PBL - SMD Packages.PcbLib</ns0:v>
      </ns0:c>
      <ns0:c r="P263" t="str" s="10">
        <ns0:v>RC_L; E24; P при 70 °C</ns0:v>
      </ns0:c>
      <ns0:c r="Q263" s="10"/>
      <ns0:c r="R263" t="str" s="11">
        <ns0:f>D263</ns0:f>
        <ns0:v>62 кОм</ns0:v>
      </ns0:c>
      <ns0:c r="S263" t="str" s="11">
        <ns0:f>K263</ns0:f>
        <ns0:v>Резистор 62 кОм ±5% 0805</ns0:v>
      </ns0:c>
      <x:c xmlns:x="http://schemas.openxmlformats.org/spreadsheetml/2006/main" r="T263" t="str" s="11">
        <x:v>C:\Users\Nomatin\Documents\Altium\MY_LIB\MY_LIB\Datasheets\YAGEO_RC_L.pdf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C:\Users\Nomatin\Documents\Altium\MY_LIB\MY_LIB\Datasheets\YAGEO_RC_L.pdf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https://yageogroup.com/content/datasheet/asset/file/PYU-RC_GROUP_51_ROHS_L</x:v>
      </x:c>
      <x:c xmlns:x="http://schemas.openxmlformats.org/spreadsheetml/2006/main" r="Y263" t="str" s="11">
        <x:v>C:\Users\Nomatin\Documents\Altium\MY_LIB\MY_LIB\Datasheets\YAGEO_RC_L.pdf</x:v>
      </x:c>
    </ns0:row>
    <ns0:row r="264" ht="30" customHeight="1">
      <ns0:c r="A264" t="str" s="10">
        <ns0:v>R0270</ns0:v>
      </ns0:c>
      <ns0:c r="B264" t="str" s="10">
        <ns0:v>Резистор</ns0:v>
      </ns0:c>
      <ns0:c r="C264" t="str" s="10">
        <ns0:v>68k</ns0:v>
      </ns0:c>
      <ns0:c r="D264" t="str" s="11">
        <ns0:f>SUBSTITUTE(SUBSTITUTE(SUBSTITUTE(SUBSTITUTE(C264,"meg"," МОм"),"k"," кОм"),"R"," Ом"),".",",")</ns0:f>
        <ns0:v>68 кОм</ns0:v>
      </ns0:c>
      <ns0:c r="E264" t="str" s="10">
        <ns0:v>±5%</ns0:v>
      </ns0:c>
      <ns0:c r="F264" t="str" s="10">
        <ns0:v>0,125 Вт</ns0:v>
      </ns0:c>
      <ns0:c r="G264" t="str" s="10">
        <ns0:v>150 В макс.</ns0:v>
      </ns0:c>
      <ns0:c r="H264" t="str" s="12">
        <ns0:v>0805</ns0:v>
      </ns0:c>
      <ns0:c r="I264" t="str" s="10">
        <ns0:v>YAGEO</ns0:v>
      </ns0:c>
      <ns0:c r="J264" t="str" s="10">
        <ns0:v>RC0805JR-0768KL</ns0:v>
      </ns0:c>
      <ns0:c r="K264" t="str" s="11">
        <ns0:f>B264&amp;" "&amp;D264&amp;" "&amp;E264&amp;" "&amp;H264</ns0:f>
        <ns0:v>Резистор 68 кОм ±5% 0805</ns0:v>
      </ns0:c>
      <ns0:c r="L264" t="str" s="13">
        <ns0:v>R</ns0:v>
      </ns0:c>
      <ns0:c r="M264" t="str" s="13">
        <ns0:v>Symbols\MY_LIB_Resistors.SchLib</ns0:v>
      </ns0:c>
      <ns0:c r="N264" t="str" s="13">
        <ns0:v>RESC2012X70N</ns0:v>
      </ns0:c>
      <ns0:c r="O264" t="str" s="13">
        <ns0:v>Footprints\PBL - SMD Packages.PcbLib</ns0:v>
      </ns0:c>
      <ns0:c r="P264" t="str" s="10">
        <ns0:v>RC_L; E24; P при 70 °C</ns0:v>
      </ns0:c>
      <ns0:c r="Q264" s="10"/>
      <ns0:c r="R264" t="str" s="11">
        <ns0:f>D264</ns0:f>
        <ns0:v>68 кОм</ns0:v>
      </ns0:c>
      <ns0:c r="S264" t="str" s="11">
        <ns0:f>K264</ns0:f>
        <ns0:v>Резистор 68 кОм ±5% 0805</ns0:v>
      </ns0:c>
      <x:c xmlns:x="http://schemas.openxmlformats.org/spreadsheetml/2006/main" r="T264" t="str" s="11">
        <x:v>C:\Users\Nomatin\Documents\Altium\MY_LIB\MY_LIB\Datasheets\YAGEO_RC_L.pdf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C:\Users\Nomatin\Documents\Altium\MY_LIB\MY_LIB\Datasheets\YAGEO_RC_L.pdf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https://yageogroup.com/content/datasheet/asset/file/PYU-RC_GROUP_51_ROHS_L</x:v>
      </x:c>
      <x:c xmlns:x="http://schemas.openxmlformats.org/spreadsheetml/2006/main" r="Y264" t="str" s="11">
        <x:v>C:\Users\Nomatin\Documents\Altium\MY_LIB\MY_LIB\Datasheets\YAGEO_RC_L.pdf</x:v>
      </x:c>
    </ns0:row>
    <ns0:row r="265" ht="30" customHeight="1">
      <ns0:c r="A265" t="str" s="10">
        <ns0:v>R0271</ns0:v>
      </ns0:c>
      <ns0:c r="B265" t="str" s="10">
        <ns0:v>Резистор</ns0:v>
      </ns0:c>
      <ns0:c r="C265" t="str" s="10">
        <ns0:v>75k</ns0:v>
      </ns0:c>
      <ns0:c r="D265" t="str" s="11">
        <ns0:f>SUBSTITUTE(SUBSTITUTE(SUBSTITUTE(SUBSTITUTE(C265,"meg"," МОм"),"k"," кОм"),"R"," Ом"),".",",")</ns0:f>
        <ns0:v>75 кОм</ns0:v>
      </ns0:c>
      <ns0:c r="E265" t="str" s="10">
        <ns0:v>±5%</ns0:v>
      </ns0:c>
      <ns0:c r="F265" t="str" s="10">
        <ns0:v>0,125 Вт</ns0:v>
      </ns0:c>
      <ns0:c r="G265" t="str" s="10">
        <ns0:v>150 В макс.</ns0:v>
      </ns0:c>
      <ns0:c r="H265" t="str" s="12">
        <ns0:v>0805</ns0:v>
      </ns0:c>
      <ns0:c r="I265" t="str" s="10">
        <ns0:v>YAGEO</ns0:v>
      </ns0:c>
      <ns0:c r="J265" t="str" s="10">
        <ns0:v>RC0805JR-0775KL</ns0:v>
      </ns0:c>
      <ns0:c r="K265" t="str" s="11">
        <ns0:f>B265&amp;" "&amp;D265&amp;" "&amp;E265&amp;" "&amp;H265</ns0:f>
        <ns0:v>Резистор 75 кОм ±5% 0805</ns0:v>
      </ns0:c>
      <ns0:c r="L265" t="str" s="13">
        <ns0:v>R</ns0:v>
      </ns0:c>
      <ns0:c r="M265" t="str" s="13">
        <ns0:v>Symbols\MY_LIB_Resistors.SchLib</ns0:v>
      </ns0:c>
      <ns0:c r="N265" t="str" s="13">
        <ns0:v>RESC2012X70N</ns0:v>
      </ns0:c>
      <ns0:c r="O265" t="str" s="13">
        <ns0:v>Footprints\PBL - SMD Packages.PcbLib</ns0:v>
      </ns0:c>
      <ns0:c r="P265" t="str" s="10">
        <ns0:v>RC_L; E24; P при 70 °C</ns0:v>
      </ns0:c>
      <ns0:c r="Q265" s="10"/>
      <ns0:c r="R265" t="str" s="11">
        <ns0:f>D265</ns0:f>
        <ns0:v>75 кОм</ns0:v>
      </ns0:c>
      <ns0:c r="S265" t="str" s="11">
        <ns0:f>K265</ns0:f>
        <ns0:v>Резистор 75 кОм ±5% 0805</ns0:v>
      </ns0:c>
      <x:c xmlns:x="http://schemas.openxmlformats.org/spreadsheetml/2006/main" r="T265" t="str" s="11">
        <x:v>C:\Users\Nomatin\Documents\Altium\MY_LIB\MY_LIB\Datasheets\YAGEO_RC_L.pdf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C:\Users\Nomatin\Documents\Altium\MY_LIB\MY_LIB\Datasheets\YAGEO_RC_L.pdf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https://yageogroup.com/content/datasheet/asset/file/PYU-RC_GROUP_51_ROHS_L</x:v>
      </x:c>
      <x:c xmlns:x="http://schemas.openxmlformats.org/spreadsheetml/2006/main" r="Y265" t="str" s="11">
        <x:v>C:\Users\Nomatin\Documents\Altium\MY_LIB\MY_LIB\Datasheets\YAGEO_RC_L.pdf</x:v>
      </x:c>
    </ns0:row>
    <ns0:row r="266" ht="30" customHeight="1">
      <ns0:c r="A266" t="str" s="10">
        <ns0:v>R0272</ns0:v>
      </ns0:c>
      <ns0:c r="B266" t="str" s="10">
        <ns0:v>Резистор</ns0:v>
      </ns0:c>
      <ns0:c r="C266" t="str" s="10">
        <ns0:v>82k</ns0:v>
      </ns0:c>
      <ns0:c r="D266" t="str" s="11">
        <ns0:f>SUBSTITUTE(SUBSTITUTE(SUBSTITUTE(SUBSTITUTE(C266,"meg"," МОм"),"k"," кОм"),"R"," Ом"),".",",")</ns0:f>
        <ns0:v>82 кОм</ns0:v>
      </ns0:c>
      <ns0:c r="E266" t="str" s="10">
        <ns0:v>±5%</ns0:v>
      </ns0:c>
      <ns0:c r="F266" t="str" s="10">
        <ns0:v>0,125 Вт</ns0:v>
      </ns0:c>
      <ns0:c r="G266" t="str" s="10">
        <ns0:v>150 В макс.</ns0:v>
      </ns0:c>
      <ns0:c r="H266" t="str" s="12">
        <ns0:v>0805</ns0:v>
      </ns0:c>
      <ns0:c r="I266" t="str" s="10">
        <ns0:v>YAGEO</ns0:v>
      </ns0:c>
      <ns0:c r="J266" t="str" s="10">
        <ns0:v>RC0805JR-0782KL</ns0:v>
      </ns0:c>
      <ns0:c r="K266" t="str" s="11">
        <ns0:f>B266&amp;" "&amp;D266&amp;" "&amp;E266&amp;" "&amp;H266</ns0:f>
        <ns0:v>Резистор 82 кОм ±5% 0805</ns0:v>
      </ns0:c>
      <ns0:c r="L266" t="str" s="13">
        <ns0:v>R</ns0:v>
      </ns0:c>
      <ns0:c r="M266" t="str" s="13">
        <ns0:v>Symbols\MY_LIB_Resistors.SchLib</ns0:v>
      </ns0:c>
      <ns0:c r="N266" t="str" s="13">
        <ns0:v>RESC2012X70N</ns0:v>
      </ns0:c>
      <ns0:c r="O266" t="str" s="13">
        <ns0:v>Footprints\PBL - SMD Packages.PcbLib</ns0:v>
      </ns0:c>
      <ns0:c r="P266" t="str" s="10">
        <ns0:v>RC_L; E24; P при 70 °C</ns0:v>
      </ns0:c>
      <ns0:c r="Q266" s="10"/>
      <ns0:c r="R266" t="str" s="11">
        <ns0:f>D266</ns0:f>
        <ns0:v>82 кОм</ns0:v>
      </ns0:c>
      <ns0:c r="S266" t="str" s="11">
        <ns0:f>K266</ns0:f>
        <ns0:v>Резистор 82 кОм ±5% 0805</ns0:v>
      </ns0:c>
      <x:c xmlns:x="http://schemas.openxmlformats.org/spreadsheetml/2006/main" r="T266" t="str" s="11">
        <x:v>C:\Users\Nomatin\Documents\Altium\MY_LIB\MY_LIB\Datasheets\YAGEO_RC_L.pdf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C:\Users\Nomatin\Documents\Altium\MY_LIB\MY_LIB\Datasheets\YAGEO_RC_L.pdf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https://yageogroup.com/content/datasheet/asset/file/PYU-RC_GROUP_51_ROHS_L</x:v>
      </x:c>
      <x:c xmlns:x="http://schemas.openxmlformats.org/spreadsheetml/2006/main" r="Y266" t="str" s="11">
        <x:v>C:\Users\Nomatin\Documents\Altium\MY_LIB\MY_LIB\Datasheets\YAGEO_RC_L.pdf</x:v>
      </x:c>
    </ns0:row>
    <ns0:row r="267" ht="30" customHeight="1">
      <ns0:c r="A267" t="str" s="10">
        <ns0:v>R0273</ns0:v>
      </ns0:c>
      <ns0:c r="B267" t="str" s="10">
        <ns0:v>Резистор</ns0:v>
      </ns0:c>
      <ns0:c r="C267" t="str" s="10">
        <ns0:v>91k</ns0:v>
      </ns0:c>
      <ns0:c r="D267" t="str" s="11">
        <ns0:f>SUBSTITUTE(SUBSTITUTE(SUBSTITUTE(SUBSTITUTE(C267,"meg"," МОм"),"k"," кОм"),"R"," Ом"),".",",")</ns0:f>
        <ns0:v>91 кОм</ns0:v>
      </ns0:c>
      <ns0:c r="E267" t="str" s="10">
        <ns0:v>±5%</ns0:v>
      </ns0:c>
      <ns0:c r="F267" t="str" s="10">
        <ns0:v>0,125 Вт</ns0:v>
      </ns0:c>
      <ns0:c r="G267" t="str" s="10">
        <ns0:v>150 В макс.</ns0:v>
      </ns0:c>
      <ns0:c r="H267" t="str" s="12">
        <ns0:v>0805</ns0:v>
      </ns0:c>
      <ns0:c r="I267" t="str" s="10">
        <ns0:v>YAGEO</ns0:v>
      </ns0:c>
      <ns0:c r="J267" t="str" s="10">
        <ns0:v>RC0805JR-0791KL</ns0:v>
      </ns0:c>
      <ns0:c r="K267" t="str" s="11">
        <ns0:f>B267&amp;" "&amp;D267&amp;" "&amp;E267&amp;" "&amp;H267</ns0:f>
        <ns0:v>Резистор 91 кОм ±5% 0805</ns0:v>
      </ns0:c>
      <ns0:c r="L267" t="str" s="13">
        <ns0:v>R</ns0:v>
      </ns0:c>
      <ns0:c r="M267" t="str" s="13">
        <ns0:v>Symbols\MY_LIB_Resistors.SchLib</ns0:v>
      </ns0:c>
      <ns0:c r="N267" t="str" s="13">
        <ns0:v>RESC2012X70N</ns0:v>
      </ns0:c>
      <ns0:c r="O267" t="str" s="13">
        <ns0:v>Footprints\PBL - SMD Packages.PcbLib</ns0:v>
      </ns0:c>
      <ns0:c r="P267" t="str" s="10">
        <ns0:v>RC_L; E24; P при 70 °C</ns0:v>
      </ns0:c>
      <ns0:c r="Q267" s="10"/>
      <ns0:c r="R267" t="str" s="11">
        <ns0:f>D267</ns0:f>
        <ns0:v>91 кОм</ns0:v>
      </ns0:c>
      <ns0:c r="S267" t="str" s="11">
        <ns0:f>K267</ns0:f>
        <ns0:v>Резистор 91 кОм ±5% 0805</ns0:v>
      </ns0:c>
      <x:c xmlns:x="http://schemas.openxmlformats.org/spreadsheetml/2006/main" r="T267" t="str" s="11">
        <x:v>C:\Users\Nomatin\Documents\Altium\MY_LIB\MY_LIB\Datasheets\YAGEO_RC_L.pdf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C:\Users\Nomatin\Documents\Altium\MY_LIB\MY_LIB\Datasheets\YAGEO_RC_L.pdf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https://yageogroup.com/content/datasheet/asset/file/PYU-RC_GROUP_51_ROHS_L</x:v>
      </x:c>
      <x:c xmlns:x="http://schemas.openxmlformats.org/spreadsheetml/2006/main" r="Y267" t="str" s="11">
        <x:v>C:\Users\Nomatin\Documents\Altium\MY_LIB\MY_LIB\Datasheets\YAGEO_RC_L.pdf</x:v>
      </x:c>
    </ns0:row>
    <ns0:row r="268" ht="30" customHeight="1">
      <ns0:c r="A268" t="str" s="10">
        <ns0:v>R0274</ns0:v>
      </ns0:c>
      <ns0:c r="B268" t="str" s="10">
        <ns0:v>Резистор</ns0:v>
      </ns0:c>
      <ns0:c r="C268" t="str" s="10">
        <ns0:v>100k</ns0:v>
      </ns0:c>
      <ns0:c r="D268" t="str" s="11">
        <ns0:f>SUBSTITUTE(SUBSTITUTE(SUBSTITUTE(SUBSTITUTE(C268,"meg"," МОм"),"k"," кОм"),"R"," Ом"),".",",")</ns0:f>
        <ns0:v>100 кОм</ns0:v>
      </ns0:c>
      <ns0:c r="E268" t="str" s="10">
        <ns0:v>±5%</ns0:v>
      </ns0:c>
      <ns0:c r="F268" t="str" s="10">
        <ns0:v>0,125 Вт</ns0:v>
      </ns0:c>
      <ns0:c r="G268" t="str" s="10">
        <ns0:v>150 В макс.</ns0:v>
      </ns0:c>
      <ns0:c r="H268" t="str" s="12">
        <ns0:v>0805</ns0:v>
      </ns0:c>
      <ns0:c r="I268" t="str" s="10">
        <ns0:v>YAGEO</ns0:v>
      </ns0:c>
      <ns0:c r="J268" t="str" s="10">
        <ns0:v>RC0805JR-07100KL</ns0:v>
      </ns0:c>
      <ns0:c r="K268" t="str" s="11">
        <ns0:f>B268&amp;" "&amp;D268&amp;" "&amp;E268&amp;" "&amp;H268</ns0:f>
        <ns0:v>Резистор 100 кОм ±5% 0805</ns0:v>
      </ns0:c>
      <ns0:c r="L268" t="str" s="13">
        <ns0:v>R</ns0:v>
      </ns0:c>
      <ns0:c r="M268" t="str" s="13">
        <ns0:v>Symbols\MY_LIB_Resistors.SchLib</ns0:v>
      </ns0:c>
      <ns0:c r="N268" t="str" s="13">
        <ns0:v>RESC2012X70N</ns0:v>
      </ns0:c>
      <ns0:c r="O268" t="str" s="13">
        <ns0:v>Footprints\PBL - SMD Packages.PcbLib</ns0:v>
      </ns0:c>
      <ns0:c r="P268" t="str" s="10">
        <ns0:v>RC_L; E24; P при 70 °C</ns0:v>
      </ns0:c>
      <ns0:c r="Q268" s="10"/>
      <ns0:c r="R268" t="str" s="11">
        <ns0:f>D268</ns0:f>
        <ns0:v>100 кОм</ns0:v>
      </ns0:c>
      <ns0:c r="S268" t="str" s="11">
        <ns0:f>K268</ns0:f>
        <ns0:v>Резистор 100 кОм ±5% 0805</ns0:v>
      </ns0:c>
      <x:c xmlns:x="http://schemas.openxmlformats.org/spreadsheetml/2006/main" r="T268" t="str" s="11">
        <x:v>C:\Users\Nomatin\Documents\Altium\MY_LIB\MY_LIB\Datasheets\YAGEO_RC_L.pdf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C:\Users\Nomatin\Documents\Altium\MY_LIB\MY_LIB\Datasheets\YAGEO_RC_L.pdf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https://yageogroup.com/content/datasheet/asset/file/PYU-RC_GROUP_51_ROHS_L</x:v>
      </x:c>
      <x:c xmlns:x="http://schemas.openxmlformats.org/spreadsheetml/2006/main" r="Y268" t="str" s="11">
        <x:v>C:\Users\Nomatin\Documents\Altium\MY_LIB\MY_LIB\Datasheets\YAGEO_RC_L.pdf</x:v>
      </x:c>
    </ns0:row>
    <ns0:row r="269" ht="30" customHeight="1">
      <ns0:c r="A269" t="str" s="10">
        <ns0:v>R0275</ns0:v>
      </ns0:c>
      <ns0:c r="B269" t="str" s="10">
        <ns0:v>Резистор</ns0:v>
      </ns0:c>
      <ns0:c r="C269" t="str" s="10">
        <ns0:v>110k</ns0:v>
      </ns0:c>
      <ns0:c r="D269" t="str" s="11">
        <ns0:f>SUBSTITUTE(SUBSTITUTE(SUBSTITUTE(SUBSTITUTE(C269,"meg"," МОм"),"k"," кОм"),"R"," Ом"),".",",")</ns0:f>
        <ns0:v>110 кОм</ns0:v>
      </ns0:c>
      <ns0:c r="E269" t="str" s="10">
        <ns0:v>±5%</ns0:v>
      </ns0:c>
      <ns0:c r="F269" t="str" s="10">
        <ns0:v>0,125 Вт</ns0:v>
      </ns0:c>
      <ns0:c r="G269" t="str" s="10">
        <ns0:v>150 В макс.</ns0:v>
      </ns0:c>
      <ns0:c r="H269" t="str" s="12">
        <ns0:v>0805</ns0:v>
      </ns0:c>
      <ns0:c r="I269" t="str" s="10">
        <ns0:v>YAGEO</ns0:v>
      </ns0:c>
      <ns0:c r="J269" t="str" s="10">
        <ns0:v>RC0805JR-07110KL</ns0:v>
      </ns0:c>
      <ns0:c r="K269" t="str" s="11">
        <ns0:f>B269&amp;" "&amp;D269&amp;" "&amp;E269&amp;" "&amp;H269</ns0:f>
        <ns0:v>Резистор 110 кОм ±5% 0805</ns0:v>
      </ns0:c>
      <ns0:c r="L269" t="str" s="13">
        <ns0:v>R</ns0:v>
      </ns0:c>
      <ns0:c r="M269" t="str" s="13">
        <ns0:v>Symbols\MY_LIB_Resistors.SchLib</ns0:v>
      </ns0:c>
      <ns0:c r="N269" t="str" s="13">
        <ns0:v>RESC2012X70N</ns0:v>
      </ns0:c>
      <ns0:c r="O269" t="str" s="13">
        <ns0:v>Footprints\PBL - SMD Packages.PcbLib</ns0:v>
      </ns0:c>
      <ns0:c r="P269" t="str" s="10">
        <ns0:v>RC_L; E24; P при 70 °C</ns0:v>
      </ns0:c>
      <ns0:c r="Q269" s="10"/>
      <ns0:c r="R269" t="str" s="11">
        <ns0:f>D269</ns0:f>
        <ns0:v>110 кОм</ns0:v>
      </ns0:c>
      <ns0:c r="S269" t="str" s="11">
        <ns0:f>K269</ns0:f>
        <ns0:v>Резистор 110 кОм ±5% 0805</ns0:v>
      </ns0:c>
      <x:c xmlns:x="http://schemas.openxmlformats.org/spreadsheetml/2006/main" r="T269" t="str" s="11">
        <x:v>C:\Users\Nomatin\Documents\Altium\MY_LIB\MY_LIB\Datasheets\YAGEO_RC_L.pdf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C:\Users\Nomatin\Documents\Altium\MY_LIB\MY_LIB\Datasheets\YAGEO_RC_L.pdf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https://yageogroup.com/content/datasheet/asset/file/PYU-RC_GROUP_51_ROHS_L</x:v>
      </x:c>
      <x:c xmlns:x="http://schemas.openxmlformats.org/spreadsheetml/2006/main" r="Y269" t="str" s="11">
        <x:v>C:\Users\Nomatin\Documents\Altium\MY_LIB\MY_LIB\Datasheets\YAGEO_RC_L.pdf</x:v>
      </x:c>
    </ns0:row>
    <ns0:row r="270" ht="30" customHeight="1">
      <ns0:c r="A270" t="str" s="10">
        <ns0:v>R0276</ns0:v>
      </ns0:c>
      <ns0:c r="B270" t="str" s="10">
        <ns0:v>Резистор</ns0:v>
      </ns0:c>
      <ns0:c r="C270" t="str" s="10">
        <ns0:v>120k</ns0:v>
      </ns0:c>
      <ns0:c r="D270" t="str" s="11">
        <ns0:f>SUBSTITUTE(SUBSTITUTE(SUBSTITUTE(SUBSTITUTE(C270,"meg"," МОм"),"k"," кОм"),"R"," Ом"),".",",")</ns0:f>
        <ns0:v>120 кОм</ns0:v>
      </ns0:c>
      <ns0:c r="E270" t="str" s="10">
        <ns0:v>±5%</ns0:v>
      </ns0:c>
      <ns0:c r="F270" t="str" s="10">
        <ns0:v>0,125 Вт</ns0:v>
      </ns0:c>
      <ns0:c r="G270" t="str" s="10">
        <ns0:v>150 В макс.</ns0:v>
      </ns0:c>
      <ns0:c r="H270" t="str" s="12">
        <ns0:v>0805</ns0:v>
      </ns0:c>
      <ns0:c r="I270" t="str" s="10">
        <ns0:v>YAGEO</ns0:v>
      </ns0:c>
      <ns0:c r="J270" t="str" s="10">
        <ns0:v>RC0805JR-07120KL</ns0:v>
      </ns0:c>
      <ns0:c r="K270" t="str" s="11">
        <ns0:f>B270&amp;" "&amp;D270&amp;" "&amp;E270&amp;" "&amp;H270</ns0:f>
        <ns0:v>Резистор 120 кОм ±5% 0805</ns0:v>
      </ns0:c>
      <ns0:c r="L270" t="str" s="13">
        <ns0:v>R</ns0:v>
      </ns0:c>
      <ns0:c r="M270" t="str" s="13">
        <ns0:v>Symbols\MY_LIB_Resistors.SchLib</ns0:v>
      </ns0:c>
      <ns0:c r="N270" t="str" s="13">
        <ns0:v>RESC2012X70N</ns0:v>
      </ns0:c>
      <ns0:c r="O270" t="str" s="13">
        <ns0:v>Footprints\PBL - SMD Packages.PcbLib</ns0:v>
      </ns0:c>
      <ns0:c r="P270" t="str" s="10">
        <ns0:v>RC_L; E24; P при 70 °C</ns0:v>
      </ns0:c>
      <ns0:c r="Q270" s="10"/>
      <ns0:c r="R270" t="str" s="11">
        <ns0:f>D270</ns0:f>
        <ns0:v>120 кОм</ns0:v>
      </ns0:c>
      <ns0:c r="S270" t="str" s="11">
        <ns0:f>K270</ns0:f>
        <ns0:v>Резистор 120 кОм ±5% 0805</ns0:v>
      </ns0:c>
      <x:c xmlns:x="http://schemas.openxmlformats.org/spreadsheetml/2006/main" r="T270" t="str" s="11">
        <x:v>C:\Users\Nomatin\Documents\Altium\MY_LIB\MY_LIB\Datasheets\YAGEO_RC_L.pdf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C:\Users\Nomatin\Documents\Altium\MY_LIB\MY_LIB\Datasheets\YAGEO_RC_L.pdf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https://yageogroup.com/content/datasheet/asset/file/PYU-RC_GROUP_51_ROHS_L</x:v>
      </x:c>
      <x:c xmlns:x="http://schemas.openxmlformats.org/spreadsheetml/2006/main" r="Y270" t="str" s="11">
        <x:v>C:\Users\Nomatin\Documents\Altium\MY_LIB\MY_LIB\Datasheets\YAGEO_RC_L.pdf</x:v>
      </x:c>
    </ns0:row>
    <ns0:row r="271" ht="30" customHeight="1">
      <ns0:c r="A271" t="str" s="10">
        <ns0:v>R0277</ns0:v>
      </ns0:c>
      <ns0:c r="B271" t="str" s="10">
        <ns0:v>Резистор</ns0:v>
      </ns0:c>
      <ns0:c r="C271" t="str" s="10">
        <ns0:v>130k</ns0:v>
      </ns0:c>
      <ns0:c r="D271" t="str" s="11">
        <ns0:f>SUBSTITUTE(SUBSTITUTE(SUBSTITUTE(SUBSTITUTE(C271,"meg"," МОм"),"k"," кОм"),"R"," Ом"),".",",")</ns0:f>
        <ns0:v>130 кОм</ns0:v>
      </ns0:c>
      <ns0:c r="E271" t="str" s="10">
        <ns0:v>±5%</ns0:v>
      </ns0:c>
      <ns0:c r="F271" t="str" s="10">
        <ns0:v>0,125 Вт</ns0:v>
      </ns0:c>
      <ns0:c r="G271" t="str" s="10">
        <ns0:v>150 В макс.</ns0:v>
      </ns0:c>
      <ns0:c r="H271" t="str" s="12">
        <ns0:v>0805</ns0:v>
      </ns0:c>
      <ns0:c r="I271" t="str" s="10">
        <ns0:v>YAGEO</ns0:v>
      </ns0:c>
      <ns0:c r="J271" t="str" s="10">
        <ns0:v>RC0805JR-07130KL</ns0:v>
      </ns0:c>
      <ns0:c r="K271" t="str" s="11">
        <ns0:f>B271&amp;" "&amp;D271&amp;" "&amp;E271&amp;" "&amp;H271</ns0:f>
        <ns0:v>Резистор 130 кОм ±5% 0805</ns0:v>
      </ns0:c>
      <ns0:c r="L271" t="str" s="13">
        <ns0:v>R</ns0:v>
      </ns0:c>
      <ns0:c r="M271" t="str" s="13">
        <ns0:v>Symbols\MY_LIB_Resistors.SchLib</ns0:v>
      </ns0:c>
      <ns0:c r="N271" t="str" s="13">
        <ns0:v>RESC2012X70N</ns0:v>
      </ns0:c>
      <ns0:c r="O271" t="str" s="13">
        <ns0:v>Footprints\PBL - SMD Packages.PcbLib</ns0:v>
      </ns0:c>
      <ns0:c r="P271" t="str" s="10">
        <ns0:v>RC_L; E24; P при 70 °C</ns0:v>
      </ns0:c>
      <ns0:c r="Q271" s="10"/>
      <ns0:c r="R271" t="str" s="11">
        <ns0:f>D271</ns0:f>
        <ns0:v>130 кОм</ns0:v>
      </ns0:c>
      <ns0:c r="S271" t="str" s="11">
        <ns0:f>K271</ns0:f>
        <ns0:v>Резистор 130 кОм ±5% 0805</ns0:v>
      </ns0:c>
      <x:c xmlns:x="http://schemas.openxmlformats.org/spreadsheetml/2006/main" r="T271" t="str" s="11">
        <x:v>C:\Users\Nomatin\Documents\Altium\MY_LIB\MY_LIB\Datasheets\YAGEO_RC_L.pdf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C:\Users\Nomatin\Documents\Altium\MY_LIB\MY_LIB\Datasheets\YAGEO_RC_L.pdf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https://yageogroup.com/content/datasheet/asset/file/PYU-RC_GROUP_51_ROHS_L</x:v>
      </x:c>
      <x:c xmlns:x="http://schemas.openxmlformats.org/spreadsheetml/2006/main" r="Y271" t="str" s="11">
        <x:v>C:\Users\Nomatin\Documents\Altium\MY_LIB\MY_LIB\Datasheets\YAGEO_RC_L.pdf</x:v>
      </x:c>
    </ns0:row>
    <ns0:row r="272" ht="30" customHeight="1">
      <ns0:c r="A272" t="str" s="10">
        <ns0:v>R0278</ns0:v>
      </ns0:c>
      <ns0:c r="B272" t="str" s="10">
        <ns0:v>Резистор</ns0:v>
      </ns0:c>
      <ns0:c r="C272" t="str" s="10">
        <ns0:v>150k</ns0:v>
      </ns0:c>
      <ns0:c r="D272" t="str" s="11">
        <ns0:f>SUBSTITUTE(SUBSTITUTE(SUBSTITUTE(SUBSTITUTE(C272,"meg"," МОм"),"k"," кОм"),"R"," Ом"),".",",")</ns0:f>
        <ns0:v>150 кОм</ns0:v>
      </ns0:c>
      <ns0:c r="E272" t="str" s="10">
        <ns0:v>±5%</ns0:v>
      </ns0:c>
      <ns0:c r="F272" t="str" s="10">
        <ns0:v>0,125 Вт</ns0:v>
      </ns0:c>
      <ns0:c r="G272" t="str" s="10">
        <ns0:v>150 В макс.</ns0:v>
      </ns0:c>
      <ns0:c r="H272" t="str" s="12">
        <ns0:v>0805</ns0:v>
      </ns0:c>
      <ns0:c r="I272" t="str" s="10">
        <ns0:v>YAGEO</ns0:v>
      </ns0:c>
      <ns0:c r="J272" t="str" s="10">
        <ns0:v>RC0805JR-07150KL</ns0:v>
      </ns0:c>
      <ns0:c r="K272" t="str" s="11">
        <ns0:f>B272&amp;" "&amp;D272&amp;" "&amp;E272&amp;" "&amp;H272</ns0:f>
        <ns0:v>Резистор 150 кОм ±5% 0805</ns0:v>
      </ns0:c>
      <ns0:c r="L272" t="str" s="13">
        <ns0:v>R</ns0:v>
      </ns0:c>
      <ns0:c r="M272" t="str" s="13">
        <ns0:v>Symbols\MY_LIB_Resistors.SchLib</ns0:v>
      </ns0:c>
      <ns0:c r="N272" t="str" s="13">
        <ns0:v>RESC2012X70N</ns0:v>
      </ns0:c>
      <ns0:c r="O272" t="str" s="13">
        <ns0:v>Footprints\PBL - SMD Packages.PcbLib</ns0:v>
      </ns0:c>
      <ns0:c r="P272" t="str" s="10">
        <ns0:v>RC_L; E24; P при 70 °C</ns0:v>
      </ns0:c>
      <ns0:c r="Q272" s="10"/>
      <ns0:c r="R272" t="str" s="11">
        <ns0:f>D272</ns0:f>
        <ns0:v>150 кОм</ns0:v>
      </ns0:c>
      <ns0:c r="S272" t="str" s="11">
        <ns0:f>K272</ns0:f>
        <ns0:v>Резистор 150 кОм ±5% 0805</ns0:v>
      </ns0:c>
      <x:c xmlns:x="http://schemas.openxmlformats.org/spreadsheetml/2006/main" r="T272" t="str" s="11">
        <x:v>C:\Users\Nomatin\Documents\Altium\MY_LIB\MY_LIB\Datasheets\YAGEO_RC_L.pdf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C:\Users\Nomatin\Documents\Altium\MY_LIB\MY_LIB\Datasheets\YAGEO_RC_L.pdf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https://yageogroup.com/content/datasheet/asset/file/PYU-RC_GROUP_51_ROHS_L</x:v>
      </x:c>
      <x:c xmlns:x="http://schemas.openxmlformats.org/spreadsheetml/2006/main" r="Y272" t="str" s="11">
        <x:v>C:\Users\Nomatin\Documents\Altium\MY_LIB\MY_LIB\Datasheets\YAGEO_RC_L.pdf</x:v>
      </x:c>
    </ns0:row>
    <ns0:row r="273" ht="30" customHeight="1">
      <ns0:c r="A273" t="str" s="10">
        <ns0:v>R0279</ns0:v>
      </ns0:c>
      <ns0:c r="B273" t="str" s="10">
        <ns0:v>Резистор</ns0:v>
      </ns0:c>
      <ns0:c r="C273" t="str" s="10">
        <ns0:v>160k</ns0:v>
      </ns0:c>
      <ns0:c r="D273" t="str" s="11">
        <ns0:f>SUBSTITUTE(SUBSTITUTE(SUBSTITUTE(SUBSTITUTE(C273,"meg"," МОм"),"k"," кОм"),"R"," Ом"),".",",")</ns0:f>
        <ns0:v>160 кОм</ns0:v>
      </ns0:c>
      <ns0:c r="E273" t="str" s="10">
        <ns0:v>±5%</ns0:v>
      </ns0:c>
      <ns0:c r="F273" t="str" s="10">
        <ns0:v>0,125 Вт</ns0:v>
      </ns0:c>
      <ns0:c r="G273" t="str" s="10">
        <ns0:v>150 В макс.</ns0:v>
      </ns0:c>
      <ns0:c r="H273" t="str" s="12">
        <ns0:v>0805</ns0:v>
      </ns0:c>
      <ns0:c r="I273" t="str" s="10">
        <ns0:v>YAGEO</ns0:v>
      </ns0:c>
      <ns0:c r="J273" t="str" s="10">
        <ns0:v>RC0805JR-07160KL</ns0:v>
      </ns0:c>
      <ns0:c r="K273" t="str" s="11">
        <ns0:f>B273&amp;" "&amp;D273&amp;" "&amp;E273&amp;" "&amp;H273</ns0:f>
        <ns0:v>Резистор 160 кОм ±5% 0805</ns0:v>
      </ns0:c>
      <ns0:c r="L273" t="str" s="13">
        <ns0:v>R</ns0:v>
      </ns0:c>
      <ns0:c r="M273" t="str" s="13">
        <ns0:v>Symbols\MY_LIB_Resistors.SchLib</ns0:v>
      </ns0:c>
      <ns0:c r="N273" t="str" s="13">
        <ns0:v>RESC2012X70N</ns0:v>
      </ns0:c>
      <ns0:c r="O273" t="str" s="13">
        <ns0:v>Footprints\PBL - SMD Packages.PcbLib</ns0:v>
      </ns0:c>
      <ns0:c r="P273" t="str" s="10">
        <ns0:v>RC_L; E24; P при 70 °C</ns0:v>
      </ns0:c>
      <ns0:c r="Q273" s="10"/>
      <ns0:c r="R273" t="str" s="11">
        <ns0:f>D273</ns0:f>
        <ns0:v>160 кОм</ns0:v>
      </ns0:c>
      <ns0:c r="S273" t="str" s="11">
        <ns0:f>K273</ns0:f>
        <ns0:v>Резистор 160 кОм ±5% 0805</ns0:v>
      </ns0:c>
      <x:c xmlns:x="http://schemas.openxmlformats.org/spreadsheetml/2006/main" r="T273" t="str" s="11">
        <x:v>C:\Users\Nomatin\Documents\Altium\MY_LIB\MY_LIB\Datasheets\YAGEO_RC_L.pdf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C:\Users\Nomatin\Documents\Altium\MY_LIB\MY_LIB\Datasheets\YAGEO_RC_L.pdf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https://yageogroup.com/content/datasheet/asset/file/PYU-RC_GROUP_51_ROHS_L</x:v>
      </x:c>
      <x:c xmlns:x="http://schemas.openxmlformats.org/spreadsheetml/2006/main" r="Y273" t="str" s="11">
        <x:v>C:\Users\Nomatin\Documents\Altium\MY_LIB\MY_LIB\Datasheets\YAGEO_RC_L.pdf</x:v>
      </x:c>
    </ns0:row>
    <ns0:row r="274" ht="30" customHeight="1">
      <ns0:c r="A274" t="str" s="10">
        <ns0:v>R0280</ns0:v>
      </ns0:c>
      <ns0:c r="B274" t="str" s="10">
        <ns0:v>Резистор</ns0:v>
      </ns0:c>
      <ns0:c r="C274" t="str" s="10">
        <ns0:v>180k</ns0:v>
      </ns0:c>
      <ns0:c r="D274" t="str" s="11">
        <ns0:f>SUBSTITUTE(SUBSTITUTE(SUBSTITUTE(SUBSTITUTE(C274,"meg"," МОм"),"k"," кОм"),"R"," Ом"),".",",")</ns0:f>
        <ns0:v>180 кОм</ns0:v>
      </ns0:c>
      <ns0:c r="E274" t="str" s="10">
        <ns0:v>±5%</ns0:v>
      </ns0:c>
      <ns0:c r="F274" t="str" s="10">
        <ns0:v>0,125 Вт</ns0:v>
      </ns0:c>
      <ns0:c r="G274" t="str" s="10">
        <ns0:v>150 В макс.</ns0:v>
      </ns0:c>
      <ns0:c r="H274" t="str" s="12">
        <ns0:v>0805</ns0:v>
      </ns0:c>
      <ns0:c r="I274" t="str" s="10">
        <ns0:v>YAGEO</ns0:v>
      </ns0:c>
      <ns0:c r="J274" t="str" s="10">
        <ns0:v>RC0805JR-07180KL</ns0:v>
      </ns0:c>
      <ns0:c r="K274" t="str" s="11">
        <ns0:f>B274&amp;" "&amp;D274&amp;" "&amp;E274&amp;" "&amp;H274</ns0:f>
        <ns0:v>Резистор 180 кОм ±5% 0805</ns0:v>
      </ns0:c>
      <ns0:c r="L274" t="str" s="13">
        <ns0:v>R</ns0:v>
      </ns0:c>
      <ns0:c r="M274" t="str" s="13">
        <ns0:v>Symbols\MY_LIB_Resistors.SchLib</ns0:v>
      </ns0:c>
      <ns0:c r="N274" t="str" s="13">
        <ns0:v>RESC2012X70N</ns0:v>
      </ns0:c>
      <ns0:c r="O274" t="str" s="13">
        <ns0:v>Footprints\PBL - SMD Packages.PcbLib</ns0:v>
      </ns0:c>
      <ns0:c r="P274" t="str" s="10">
        <ns0:v>RC_L; E24; P при 70 °C</ns0:v>
      </ns0:c>
      <ns0:c r="Q274" s="10"/>
      <ns0:c r="R274" t="str" s="11">
        <ns0:f>D274</ns0:f>
        <ns0:v>180 кОм</ns0:v>
      </ns0:c>
      <ns0:c r="S274" t="str" s="11">
        <ns0:f>K274</ns0:f>
        <ns0:v>Резистор 180 кОм ±5% 0805</ns0:v>
      </ns0:c>
      <x:c xmlns:x="http://schemas.openxmlformats.org/spreadsheetml/2006/main" r="T274" t="str" s="11">
        <x:v>C:\Users\Nomatin\Documents\Altium\MY_LIB\MY_LIB\Datasheets\YAGEO_RC_L.pdf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C:\Users\Nomatin\Documents\Altium\MY_LIB\MY_LIB\Datasheets\YAGEO_RC_L.pdf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https://yageogroup.com/content/datasheet/asset/file/PYU-RC_GROUP_51_ROHS_L</x:v>
      </x:c>
      <x:c xmlns:x="http://schemas.openxmlformats.org/spreadsheetml/2006/main" r="Y274" t="str" s="11">
        <x:v>C:\Users\Nomatin\Documents\Altium\MY_LIB\MY_LIB\Datasheets\YAGEO_RC_L.pdf</x:v>
      </x:c>
    </ns0:row>
    <ns0:row r="275" ht="30" customHeight="1">
      <ns0:c r="A275" t="str" s="10">
        <ns0:v>R0281</ns0:v>
      </ns0:c>
      <ns0:c r="B275" t="str" s="10">
        <ns0:v>Резистор</ns0:v>
      </ns0:c>
      <ns0:c r="C275" t="str" s="10">
        <ns0:v>200k</ns0:v>
      </ns0:c>
      <ns0:c r="D275" t="str" s="11">
        <ns0:f>SUBSTITUTE(SUBSTITUTE(SUBSTITUTE(SUBSTITUTE(C275,"meg"," МОм"),"k"," кОм"),"R"," Ом"),".",",")</ns0:f>
        <ns0:v>200 кОм</ns0:v>
      </ns0:c>
      <ns0:c r="E275" t="str" s="10">
        <ns0:v>±5%</ns0:v>
      </ns0:c>
      <ns0:c r="F275" t="str" s="10">
        <ns0:v>0,125 Вт</ns0:v>
      </ns0:c>
      <ns0:c r="G275" t="str" s="10">
        <ns0:v>150 В макс.</ns0:v>
      </ns0:c>
      <ns0:c r="H275" t="str" s="12">
        <ns0:v>0805</ns0:v>
      </ns0:c>
      <ns0:c r="I275" t="str" s="10">
        <ns0:v>YAGEO</ns0:v>
      </ns0:c>
      <ns0:c r="J275" t="str" s="10">
        <ns0:v>RC0805JR-07200KL</ns0:v>
      </ns0:c>
      <ns0:c r="K275" t="str" s="11">
        <ns0:f>B275&amp;" "&amp;D275&amp;" "&amp;E275&amp;" "&amp;H275</ns0:f>
        <ns0:v>Резистор 200 кОм ±5% 0805</ns0:v>
      </ns0:c>
      <ns0:c r="L275" t="str" s="13">
        <ns0:v>R</ns0:v>
      </ns0:c>
      <ns0:c r="M275" t="str" s="13">
        <ns0:v>Symbols\MY_LIB_Resistors.SchLib</ns0:v>
      </ns0:c>
      <ns0:c r="N275" t="str" s="13">
        <ns0:v>RESC2012X70N</ns0:v>
      </ns0:c>
      <ns0:c r="O275" t="str" s="13">
        <ns0:v>Footprints\PBL - SMD Packages.PcbLib</ns0:v>
      </ns0:c>
      <ns0:c r="P275" t="str" s="10">
        <ns0:v>RC_L; E24; P при 70 °C</ns0:v>
      </ns0:c>
      <ns0:c r="Q275" s="10"/>
      <ns0:c r="R275" t="str" s="11">
        <ns0:f>D275</ns0:f>
        <ns0:v>200 кОм</ns0:v>
      </ns0:c>
      <ns0:c r="S275" t="str" s="11">
        <ns0:f>K275</ns0:f>
        <ns0:v>Резистор 200 кОм ±5% 0805</ns0:v>
      </ns0:c>
      <x:c xmlns:x="http://schemas.openxmlformats.org/spreadsheetml/2006/main" r="T275" t="str" s="11">
        <x:v>C:\Users\Nomatin\Documents\Altium\MY_LIB\MY_LIB\Datasheets\YAGEO_RC_L.pdf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C:\Users\Nomatin\Documents\Altium\MY_LIB\MY_LIB\Datasheets\YAGEO_RC_L.pdf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https://yageogroup.com/content/datasheet/asset/file/PYU-RC_GROUP_51_ROHS_L</x:v>
      </x:c>
      <x:c xmlns:x="http://schemas.openxmlformats.org/spreadsheetml/2006/main" r="Y275" t="str" s="11">
        <x:v>C:\Users\Nomatin\Documents\Altium\MY_LIB\MY_LIB\Datasheets\YAGEO_RC_L.pdf</x:v>
      </x:c>
    </ns0:row>
    <ns0:row r="276" ht="30" customHeight="1">
      <ns0:c r="A276" t="str" s="10">
        <ns0:v>R0282</ns0:v>
      </ns0:c>
      <ns0:c r="B276" t="str" s="10">
        <ns0:v>Резистор</ns0:v>
      </ns0:c>
      <ns0:c r="C276" t="str" s="10">
        <ns0:v>220k</ns0:v>
      </ns0:c>
      <ns0:c r="D276" t="str" s="11">
        <ns0:f>SUBSTITUTE(SUBSTITUTE(SUBSTITUTE(SUBSTITUTE(C276,"meg"," МОм"),"k"," кОм"),"R"," Ом"),".",",")</ns0:f>
        <ns0:v>220 кОм</ns0:v>
      </ns0:c>
      <ns0:c r="E276" t="str" s="10">
        <ns0:v>±5%</ns0:v>
      </ns0:c>
      <ns0:c r="F276" t="str" s="10">
        <ns0:v>0,125 Вт</ns0:v>
      </ns0:c>
      <ns0:c r="G276" t="str" s="10">
        <ns0:v>150 В макс.</ns0:v>
      </ns0:c>
      <ns0:c r="H276" t="str" s="12">
        <ns0:v>0805</ns0:v>
      </ns0:c>
      <ns0:c r="I276" t="str" s="10">
        <ns0:v>YAGEO</ns0:v>
      </ns0:c>
      <ns0:c r="J276" t="str" s="10">
        <ns0:v>RC0805JR-07220KL</ns0:v>
      </ns0:c>
      <ns0:c r="K276" t="str" s="11">
        <ns0:f>B276&amp;" "&amp;D276&amp;" "&amp;E276&amp;" "&amp;H276</ns0:f>
        <ns0:v>Резистор 220 кОм ±5% 0805</ns0:v>
      </ns0:c>
      <ns0:c r="L276" t="str" s="13">
        <ns0:v>R</ns0:v>
      </ns0:c>
      <ns0:c r="M276" t="str" s="13">
        <ns0:v>Symbols\MY_LIB_Resistors.SchLib</ns0:v>
      </ns0:c>
      <ns0:c r="N276" t="str" s="13">
        <ns0:v>RESC2012X70N</ns0:v>
      </ns0:c>
      <ns0:c r="O276" t="str" s="13">
        <ns0:v>Footprints\PBL - SMD Packages.PcbLib</ns0:v>
      </ns0:c>
      <ns0:c r="P276" t="str" s="10">
        <ns0:v>RC_L; E24; P при 70 °C</ns0:v>
      </ns0:c>
      <ns0:c r="Q276" s="10"/>
      <ns0:c r="R276" t="str" s="11">
        <ns0:f>D276</ns0:f>
        <ns0:v>220 кОм</ns0:v>
      </ns0:c>
      <ns0:c r="S276" t="str" s="11">
        <ns0:f>K276</ns0:f>
        <ns0:v>Резистор 220 кОм ±5% 0805</ns0:v>
      </ns0:c>
      <x:c xmlns:x="http://schemas.openxmlformats.org/spreadsheetml/2006/main" r="T276" t="str" s="11">
        <x:v>C:\Users\Nomatin\Documents\Altium\MY_LIB\MY_LIB\Datasheets\YAGEO_RC_L.pdf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C:\Users\Nomatin\Documents\Altium\MY_LIB\MY_LIB\Datasheets\YAGEO_RC_L.pdf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https://yageogroup.com/content/datasheet/asset/file/PYU-RC_GROUP_51_ROHS_L</x:v>
      </x:c>
      <x:c xmlns:x="http://schemas.openxmlformats.org/spreadsheetml/2006/main" r="Y276" t="str" s="11">
        <x:v>C:\Users\Nomatin\Documents\Altium\MY_LIB\MY_LIB\Datasheets\YAGEO_RC_L.pdf</x:v>
      </x:c>
    </ns0:row>
    <ns0:row r="277" ht="30" customHeight="1">
      <ns0:c r="A277" t="str" s="10">
        <ns0:v>R0283</ns0:v>
      </ns0:c>
      <ns0:c r="B277" t="str" s="10">
        <ns0:v>Резистор</ns0:v>
      </ns0:c>
      <ns0:c r="C277" t="str" s="10">
        <ns0:v>240k</ns0:v>
      </ns0:c>
      <ns0:c r="D277" t="str" s="11">
        <ns0:f>SUBSTITUTE(SUBSTITUTE(SUBSTITUTE(SUBSTITUTE(C277,"meg"," МОм"),"k"," кОм"),"R"," Ом"),".",",")</ns0:f>
        <ns0:v>240 кОм</ns0:v>
      </ns0:c>
      <ns0:c r="E277" t="str" s="10">
        <ns0:v>±5%</ns0:v>
      </ns0:c>
      <ns0:c r="F277" t="str" s="10">
        <ns0:v>0,125 Вт</ns0:v>
      </ns0:c>
      <ns0:c r="G277" t="str" s="10">
        <ns0:v>150 В макс.</ns0:v>
      </ns0:c>
      <ns0:c r="H277" t="str" s="12">
        <ns0:v>0805</ns0:v>
      </ns0:c>
      <ns0:c r="I277" t="str" s="10">
        <ns0:v>YAGEO</ns0:v>
      </ns0:c>
      <ns0:c r="J277" t="str" s="10">
        <ns0:v>RC0805JR-07240KL</ns0:v>
      </ns0:c>
      <ns0:c r="K277" t="str" s="11">
        <ns0:f>B277&amp;" "&amp;D277&amp;" "&amp;E277&amp;" "&amp;H277</ns0:f>
        <ns0:v>Резистор 240 кОм ±5% 0805</ns0:v>
      </ns0:c>
      <ns0:c r="L277" t="str" s="13">
        <ns0:v>R</ns0:v>
      </ns0:c>
      <ns0:c r="M277" t="str" s="13">
        <ns0:v>Symbols\MY_LIB_Resistors.SchLib</ns0:v>
      </ns0:c>
      <ns0:c r="N277" t="str" s="13">
        <ns0:v>RESC2012X70N</ns0:v>
      </ns0:c>
      <ns0:c r="O277" t="str" s="13">
        <ns0:v>Footprints\PBL - SMD Packages.PcbLib</ns0:v>
      </ns0:c>
      <ns0:c r="P277" t="str" s="10">
        <ns0:v>RC_L; E24; P при 70 °C</ns0:v>
      </ns0:c>
      <ns0:c r="Q277" s="10"/>
      <ns0:c r="R277" t="str" s="11">
        <ns0:f>D277</ns0:f>
        <ns0:v>240 кОм</ns0:v>
      </ns0:c>
      <ns0:c r="S277" t="str" s="11">
        <ns0:f>K277</ns0:f>
        <ns0:v>Резистор 240 кОм ±5% 0805</ns0:v>
      </ns0:c>
      <x:c xmlns:x="http://schemas.openxmlformats.org/spreadsheetml/2006/main" r="T277" t="str" s="11">
        <x:v>C:\Users\Nomatin\Documents\Altium\MY_LIB\MY_LIB\Datasheets\YAGEO_RC_L.pdf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C:\Users\Nomatin\Documents\Altium\MY_LIB\MY_LIB\Datasheets\YAGEO_RC_L.pdf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https://yageogroup.com/content/datasheet/asset/file/PYU-RC_GROUP_51_ROHS_L</x:v>
      </x:c>
      <x:c xmlns:x="http://schemas.openxmlformats.org/spreadsheetml/2006/main" r="Y277" t="str" s="11">
        <x:v>C:\Users\Nomatin\Documents\Altium\MY_LIB\MY_LIB\Datasheets\YAGEO_RC_L.pdf</x:v>
      </x:c>
    </ns0:row>
    <ns0:row r="278" ht="30" customHeight="1">
      <ns0:c r="A278" t="str" s="10">
        <ns0:v>R0284</ns0:v>
      </ns0:c>
      <ns0:c r="B278" t="str" s="10">
        <ns0:v>Резистор</ns0:v>
      </ns0:c>
      <ns0:c r="C278" t="str" s="10">
        <ns0:v>270k</ns0:v>
      </ns0:c>
      <ns0:c r="D278" t="str" s="11">
        <ns0:f>SUBSTITUTE(SUBSTITUTE(SUBSTITUTE(SUBSTITUTE(C278,"meg"," МОм"),"k"," кОм"),"R"," Ом"),".",",")</ns0:f>
        <ns0:v>270 кОм</ns0:v>
      </ns0:c>
      <ns0:c r="E278" t="str" s="10">
        <ns0:v>±5%</ns0:v>
      </ns0:c>
      <ns0:c r="F278" t="str" s="10">
        <ns0:v>0,125 Вт</ns0:v>
      </ns0:c>
      <ns0:c r="G278" t="str" s="10">
        <ns0:v>150 В макс.</ns0:v>
      </ns0:c>
      <ns0:c r="H278" t="str" s="12">
        <ns0:v>0805</ns0:v>
      </ns0:c>
      <ns0:c r="I278" t="str" s="10">
        <ns0:v>YAGEO</ns0:v>
      </ns0:c>
      <ns0:c r="J278" t="str" s="10">
        <ns0:v>RC0805JR-07270KL</ns0:v>
      </ns0:c>
      <ns0:c r="K278" t="str" s="11">
        <ns0:f>B278&amp;" "&amp;D278&amp;" "&amp;E278&amp;" "&amp;H278</ns0:f>
        <ns0:v>Резистор 270 кОм ±5% 0805</ns0:v>
      </ns0:c>
      <ns0:c r="L278" t="str" s="13">
        <ns0:v>R</ns0:v>
      </ns0:c>
      <ns0:c r="M278" t="str" s="13">
        <ns0:v>Symbols\MY_LIB_Resistors.SchLib</ns0:v>
      </ns0:c>
      <ns0:c r="N278" t="str" s="13">
        <ns0:v>RESC2012X70N</ns0:v>
      </ns0:c>
      <ns0:c r="O278" t="str" s="13">
        <ns0:v>Footprints\PBL - SMD Packages.PcbLib</ns0:v>
      </ns0:c>
      <ns0:c r="P278" t="str" s="10">
        <ns0:v>RC_L; E24; P при 70 °C</ns0:v>
      </ns0:c>
      <ns0:c r="Q278" s="10"/>
      <ns0:c r="R278" t="str" s="11">
        <ns0:f>D278</ns0:f>
        <ns0:v>270 кОм</ns0:v>
      </ns0:c>
      <ns0:c r="S278" t="str" s="11">
        <ns0:f>K278</ns0:f>
        <ns0:v>Резистор 270 кОм ±5% 0805</ns0:v>
      </ns0:c>
      <x:c xmlns:x="http://schemas.openxmlformats.org/spreadsheetml/2006/main" r="T278" t="str" s="11">
        <x:v>C:\Users\Nomatin\Documents\Altium\MY_LIB\MY_LIB\Datasheets\YAGEO_RC_L.pdf</x:v>
      </x:c>
      <x:c xmlns:x="http://schemas.openxmlformats.org/spreadsheetml/2006/main" r="U278" t="str" s="11">
        <x:v>Даташит — локальный</x:v>
      </x:c>
      <x:c xmlns:x="http://schemas.openxmlformats.org/spreadsheetml/2006/main" r="V278" t="str" s="11">
        <x:v>C:\Users\Nomatin\Documents\Altium\MY_LIB\MY_LIB\Datasheets\YAGEO_RC_L.pdf</x:v>
      </x:c>
      <x:c xmlns:x="http://schemas.openxmlformats.org/spreadsheetml/2006/main" r="W278" t="str" s="11">
        <x:v>Даташит — производитель</x:v>
      </x:c>
      <x:c xmlns:x="http://schemas.openxmlformats.org/spreadsheetml/2006/main" r="X278" t="str" s="11">
        <x:v>https://yageogroup.com/content/datasheet/asset/file/PYU-RC_GROUP_51_ROHS_L</x:v>
      </x:c>
      <x:c xmlns:x="http://schemas.openxmlformats.org/spreadsheetml/2006/main" r="Y278" t="str" s="11">
        <x:v>C:\Users\Nomatin\Documents\Altium\MY_LIB\MY_LIB\Datasheets\YAGEO_RC_L.pdf</x:v>
      </x:c>
    </ns0:row>
    <ns0:row r="279" ht="30" customHeight="1">
      <ns0:c r="A279" t="str" s="10">
        <ns0:v>R0285</ns0:v>
      </ns0:c>
      <ns0:c r="B279" t="str" s="10">
        <ns0:v>Резистор</ns0:v>
      </ns0:c>
      <ns0:c r="C279" t="str" s="10">
        <ns0:v>300k</ns0:v>
      </ns0:c>
      <ns0:c r="D279" t="str" s="11">
        <ns0:f>SUBSTITUTE(SUBSTITUTE(SUBSTITUTE(SUBSTITUTE(C279,"meg"," МОм"),"k"," кОм"),"R"," Ом"),".",",")</ns0:f>
        <ns0:v>300 кОм</ns0:v>
      </ns0:c>
      <ns0:c r="E279" t="str" s="10">
        <ns0:v>±5%</ns0:v>
      </ns0:c>
      <ns0:c r="F279" t="str" s="10">
        <ns0:v>0,125 Вт</ns0:v>
      </ns0:c>
      <ns0:c r="G279" t="str" s="10">
        <ns0:v>150 В макс.</ns0:v>
      </ns0:c>
      <ns0:c r="H279" t="str" s="12">
        <ns0:v>0805</ns0:v>
      </ns0:c>
      <ns0:c r="I279" t="str" s="10">
        <ns0:v>YAGEO</ns0:v>
      </ns0:c>
      <ns0:c r="J279" t="str" s="10">
        <ns0:v>RC0805JR-07300KL</ns0:v>
      </ns0:c>
      <ns0:c r="K279" t="str" s="11">
        <ns0:f>B279&amp;" "&amp;D279&amp;" "&amp;E279&amp;" "&amp;H279</ns0:f>
        <ns0:v>Резистор 300 кОм ±5% 0805</ns0:v>
      </ns0:c>
      <ns0:c r="L279" t="str" s="13">
        <ns0:v>R</ns0:v>
      </ns0:c>
      <ns0:c r="M279" t="str" s="13">
        <ns0:v>Symbols\MY_LIB_Resistors.SchLib</ns0:v>
      </ns0:c>
      <ns0:c r="N279" t="str" s="13">
        <ns0:v>RESC2012X70N</ns0:v>
      </ns0:c>
      <ns0:c r="O279" t="str" s="13">
        <ns0:v>Footprints\PBL - SMD Packages.PcbLib</ns0:v>
      </ns0:c>
      <ns0:c r="P279" t="str" s="10">
        <ns0:v>RC_L; E24; P при 70 °C</ns0:v>
      </ns0:c>
      <ns0:c r="Q279" s="10"/>
      <ns0:c r="R279" t="str" s="11">
        <ns0:f>D279</ns0:f>
        <ns0:v>300 кОм</ns0:v>
      </ns0:c>
      <ns0:c r="S279" t="str" s="11">
        <ns0:f>K279</ns0:f>
        <ns0:v>Резистор 300 кОм ±5% 0805</ns0:v>
      </ns0:c>
      <x:c xmlns:x="http://schemas.openxmlformats.org/spreadsheetml/2006/main" r="T279" t="str" s="11">
        <x:v>C:\Users\Nomatin\Documents\Altium\MY_LIB\MY_LIB\Datasheets\YAGEO_RC_L.pdf</x:v>
      </x:c>
      <x:c xmlns:x="http://schemas.openxmlformats.org/spreadsheetml/2006/main" r="U279" t="str" s="11">
        <x:v>Даташит — локальный</x:v>
      </x:c>
      <x:c xmlns:x="http://schemas.openxmlformats.org/spreadsheetml/2006/main" r="V279" t="str" s="11">
        <x:v>C:\Users\Nomatin\Documents\Altium\MY_LIB\MY_LIB\Datasheets\YAGEO_RC_L.pdf</x:v>
      </x:c>
      <x:c xmlns:x="http://schemas.openxmlformats.org/spreadsheetml/2006/main" r="W279" t="str" s="11">
        <x:v>Даташит — производитель</x:v>
      </x:c>
      <x:c xmlns:x="http://schemas.openxmlformats.org/spreadsheetml/2006/main" r="X279" t="str" s="11">
        <x:v>https://yageogroup.com/content/datasheet/asset/file/PYU-RC_GROUP_51_ROHS_L</x:v>
      </x:c>
      <x:c xmlns:x="http://schemas.openxmlformats.org/spreadsheetml/2006/main" r="Y279" t="str" s="11">
        <x:v>C:\Users\Nomatin\Documents\Altium\MY_LIB\MY_LIB\Datasheets\YAGEO_RC_L.pdf</x:v>
      </x:c>
    </ns0:row>
    <ns0:row r="280" ht="30" customHeight="1">
      <ns0:c r="A280" t="str" s="10">
        <ns0:v>R0286</ns0:v>
      </ns0:c>
      <ns0:c r="B280" t="str" s="10">
        <ns0:v>Резистор</ns0:v>
      </ns0:c>
      <ns0:c r="C280" t="str" s="10">
        <ns0:v>330k</ns0:v>
      </ns0:c>
      <ns0:c r="D280" t="str" s="11">
        <ns0:f>SUBSTITUTE(SUBSTITUTE(SUBSTITUTE(SUBSTITUTE(C280,"meg"," МОм"),"k"," кОм"),"R"," Ом"),".",",")</ns0:f>
        <ns0:v>330 кОм</ns0:v>
      </ns0:c>
      <ns0:c r="E280" t="str" s="10">
        <ns0:v>±5%</ns0:v>
      </ns0:c>
      <ns0:c r="F280" t="str" s="10">
        <ns0:v>0,125 Вт</ns0:v>
      </ns0:c>
      <ns0:c r="G280" t="str" s="10">
        <ns0:v>150 В макс.</ns0:v>
      </ns0:c>
      <ns0:c r="H280" t="str" s="12">
        <ns0:v>0805</ns0:v>
      </ns0:c>
      <ns0:c r="I280" t="str" s="10">
        <ns0:v>YAGEO</ns0:v>
      </ns0:c>
      <ns0:c r="J280" t="str" s="10">
        <ns0:v>RC0805JR-07330KL</ns0:v>
      </ns0:c>
      <ns0:c r="K280" t="str" s="11">
        <ns0:f>B280&amp;" "&amp;D280&amp;" "&amp;E280&amp;" "&amp;H280</ns0:f>
        <ns0:v>Резистор 330 кОм ±5% 0805</ns0:v>
      </ns0:c>
      <ns0:c r="L280" t="str" s="13">
        <ns0:v>R</ns0:v>
      </ns0:c>
      <ns0:c r="M280" t="str" s="13">
        <ns0:v>Symbols\MY_LIB_Resistors.SchLib</ns0:v>
      </ns0:c>
      <ns0:c r="N280" t="str" s="13">
        <ns0:v>RESC2012X70N</ns0:v>
      </ns0:c>
      <ns0:c r="O280" t="str" s="13">
        <ns0:v>Footprints\PBL - SMD Packages.PcbLib</ns0:v>
      </ns0:c>
      <ns0:c r="P280" t="str" s="10">
        <ns0:v>RC_L; E24; P при 70 °C</ns0:v>
      </ns0:c>
      <ns0:c r="Q280" s="10"/>
      <ns0:c r="R280" t="str" s="11">
        <ns0:f>D280</ns0:f>
        <ns0:v>330 кОм</ns0:v>
      </ns0:c>
      <ns0:c r="S280" t="str" s="11">
        <ns0:f>K280</ns0:f>
        <ns0:v>Резистор 330 кОм ±5% 0805</ns0:v>
      </ns0:c>
      <x:c xmlns:x="http://schemas.openxmlformats.org/spreadsheetml/2006/main" r="T280" t="str" s="11">
        <x:v>C:\Users\Nomatin\Documents\Altium\MY_LIB\MY_LIB\Datasheets\YAGEO_RC_L.pdf</x:v>
      </x:c>
      <x:c xmlns:x="http://schemas.openxmlformats.org/spreadsheetml/2006/main" r="U280" t="str" s="11">
        <x:v>Даташит — локальный</x:v>
      </x:c>
      <x:c xmlns:x="http://schemas.openxmlformats.org/spreadsheetml/2006/main" r="V280" t="str" s="11">
        <x:v>C:\Users\Nomatin\Documents\Altium\MY_LIB\MY_LIB\Datasheets\YAGEO_RC_L.pdf</x:v>
      </x:c>
      <x:c xmlns:x="http://schemas.openxmlformats.org/spreadsheetml/2006/main" r="W280" t="str" s="11">
        <x:v>Даташит — производитель</x:v>
      </x:c>
      <x:c xmlns:x="http://schemas.openxmlformats.org/spreadsheetml/2006/main" r="X280" t="str" s="11">
        <x:v>https://yageogroup.com/content/datasheet/asset/file/PYU-RC_GROUP_51_ROHS_L</x:v>
      </x:c>
      <x:c xmlns:x="http://schemas.openxmlformats.org/spreadsheetml/2006/main" r="Y280" t="str" s="11">
        <x:v>C:\Users\Nomatin\Documents\Altium\MY_LIB\MY_LIB\Datasheets\YAGEO_RC_L.pdf</x:v>
      </x:c>
    </ns0:row>
    <ns0:row r="281" ht="30" customHeight="1">
      <ns0:c r="A281" t="str" s="10">
        <ns0:v>R0287</ns0:v>
      </ns0:c>
      <ns0:c r="B281" t="str" s="10">
        <ns0:v>Резистор</ns0:v>
      </ns0:c>
      <ns0:c r="C281" t="str" s="10">
        <ns0:v>360k</ns0:v>
      </ns0:c>
      <ns0:c r="D281" t="str" s="11">
        <ns0:f>SUBSTITUTE(SUBSTITUTE(SUBSTITUTE(SUBSTITUTE(C281,"meg"," МОм"),"k"," кОм"),"R"," Ом"),".",",")</ns0:f>
        <ns0:v>360 кОм</ns0:v>
      </ns0:c>
      <ns0:c r="E281" t="str" s="10">
        <ns0:v>±5%</ns0:v>
      </ns0:c>
      <ns0:c r="F281" t="str" s="10">
        <ns0:v>0,125 Вт</ns0:v>
      </ns0:c>
      <ns0:c r="G281" t="str" s="10">
        <ns0:v>150 В макс.</ns0:v>
      </ns0:c>
      <ns0:c r="H281" t="str" s="12">
        <ns0:v>0805</ns0:v>
      </ns0:c>
      <ns0:c r="I281" t="str" s="10">
        <ns0:v>YAGEO</ns0:v>
      </ns0:c>
      <ns0:c r="J281" t="str" s="10">
        <ns0:v>RC0805JR-07360KL</ns0:v>
      </ns0:c>
      <ns0:c r="K281" t="str" s="11">
        <ns0:f>B281&amp;" "&amp;D281&amp;" "&amp;E281&amp;" "&amp;H281</ns0:f>
        <ns0:v>Резистор 360 кОм ±5% 0805</ns0:v>
      </ns0:c>
      <ns0:c r="L281" t="str" s="13">
        <ns0:v>R</ns0:v>
      </ns0:c>
      <ns0:c r="M281" t="str" s="13">
        <ns0:v>Symbols\MY_LIB_Resistors.SchLib</ns0:v>
      </ns0:c>
      <ns0:c r="N281" t="str" s="13">
        <ns0:v>RESC2012X70N</ns0:v>
      </ns0:c>
      <ns0:c r="O281" t="str" s="13">
        <ns0:v>Footprints\PBL - SMD Packages.PcbLib</ns0:v>
      </ns0:c>
      <ns0:c r="P281" t="str" s="10">
        <ns0:v>RC_L; E24; P при 70 °C</ns0:v>
      </ns0:c>
      <ns0:c r="Q281" s="10"/>
      <ns0:c r="R281" t="str" s="11">
        <ns0:f>D281</ns0:f>
        <ns0:v>360 кОм</ns0:v>
      </ns0:c>
      <ns0:c r="S281" t="str" s="11">
        <ns0:f>K281</ns0:f>
        <ns0:v>Резистор 360 кОм ±5% 0805</ns0:v>
      </ns0:c>
      <x:c xmlns:x="http://schemas.openxmlformats.org/spreadsheetml/2006/main" r="T281" t="str" s="11">
        <x:v>C:\Users\Nomatin\Documents\Altium\MY_LIB\MY_LIB\Datasheets\YAGEO_RC_L.pdf</x:v>
      </x:c>
      <x:c xmlns:x="http://schemas.openxmlformats.org/spreadsheetml/2006/main" r="U281" t="str" s="11">
        <x:v>Даташит — локальный</x:v>
      </x:c>
      <x:c xmlns:x="http://schemas.openxmlformats.org/spreadsheetml/2006/main" r="V281" t="str" s="11">
        <x:v>C:\Users\Nomatin\Documents\Altium\MY_LIB\MY_LIB\Datasheets\YAGEO_RC_L.pdf</x:v>
      </x:c>
      <x:c xmlns:x="http://schemas.openxmlformats.org/spreadsheetml/2006/main" r="W281" t="str" s="11">
        <x:v>Даташит — производитель</x:v>
      </x:c>
      <x:c xmlns:x="http://schemas.openxmlformats.org/spreadsheetml/2006/main" r="X281" t="str" s="11">
        <x:v>https://yageogroup.com/content/datasheet/asset/file/PYU-RC_GROUP_51_ROHS_L</x:v>
      </x:c>
      <x:c xmlns:x="http://schemas.openxmlformats.org/spreadsheetml/2006/main" r="Y281" t="str" s="11">
        <x:v>C:\Users\Nomatin\Documents\Altium\MY_LIB\MY_LIB\Datasheets\YAGEO_RC_L.pdf</x:v>
      </x:c>
    </ns0:row>
    <ns0:row r="282" ht="30" customHeight="1">
      <ns0:c r="A282" t="str" s="10">
        <ns0:v>R0288</ns0:v>
      </ns0:c>
      <ns0:c r="B282" t="str" s="10">
        <ns0:v>Резистор</ns0:v>
      </ns0:c>
      <ns0:c r="C282" t="str" s="10">
        <ns0:v>390k</ns0:v>
      </ns0:c>
      <ns0:c r="D282" t="str" s="11">
        <ns0:f>SUBSTITUTE(SUBSTITUTE(SUBSTITUTE(SUBSTITUTE(C282,"meg"," МОм"),"k"," кОм"),"R"," Ом"),".",",")</ns0:f>
        <ns0:v>390 кОм</ns0:v>
      </ns0:c>
      <ns0:c r="E282" t="str" s="10">
        <ns0:v>±5%</ns0:v>
      </ns0:c>
      <ns0:c r="F282" t="str" s="10">
        <ns0:v>0,125 Вт</ns0:v>
      </ns0:c>
      <ns0:c r="G282" t="str" s="10">
        <ns0:v>150 В макс.</ns0:v>
      </ns0:c>
      <ns0:c r="H282" t="str" s="12">
        <ns0:v>0805</ns0:v>
      </ns0:c>
      <ns0:c r="I282" t="str" s="10">
        <ns0:v>YAGEO</ns0:v>
      </ns0:c>
      <ns0:c r="J282" t="str" s="10">
        <ns0:v>RC0805JR-07390KL</ns0:v>
      </ns0:c>
      <ns0:c r="K282" t="str" s="11">
        <ns0:f>B282&amp;" "&amp;D282&amp;" "&amp;E282&amp;" "&amp;H282</ns0:f>
        <ns0:v>Резистор 390 кОм ±5% 0805</ns0:v>
      </ns0:c>
      <ns0:c r="L282" t="str" s="13">
        <ns0:v>R</ns0:v>
      </ns0:c>
      <ns0:c r="M282" t="str" s="13">
        <ns0:v>Symbols\MY_LIB_Resistors.SchLib</ns0:v>
      </ns0:c>
      <ns0:c r="N282" t="str" s="13">
        <ns0:v>RESC2012X70N</ns0:v>
      </ns0:c>
      <ns0:c r="O282" t="str" s="13">
        <ns0:v>Footprints\PBL - SMD Packages.PcbLib</ns0:v>
      </ns0:c>
      <ns0:c r="P282" t="str" s="10">
        <ns0:v>RC_L; E24; P при 70 °C</ns0:v>
      </ns0:c>
      <ns0:c r="Q282" s="10"/>
      <ns0:c r="R282" t="str" s="11">
        <ns0:f>D282</ns0:f>
        <ns0:v>390 кОм</ns0:v>
      </ns0:c>
      <ns0:c r="S282" t="str" s="11">
        <ns0:f>K282</ns0:f>
        <ns0:v>Резистор 390 кОм ±5% 0805</ns0:v>
      </ns0:c>
      <x:c xmlns:x="http://schemas.openxmlformats.org/spreadsheetml/2006/main" r="T282" t="str" s="11">
        <x:v>C:\Users\Nomatin\Documents\Altium\MY_LIB\MY_LIB\Datasheets\YAGEO_RC_L.pdf</x:v>
      </x:c>
      <x:c xmlns:x="http://schemas.openxmlformats.org/spreadsheetml/2006/main" r="U282" t="str" s="11">
        <x:v>Даташит — локальный</x:v>
      </x:c>
      <x:c xmlns:x="http://schemas.openxmlformats.org/spreadsheetml/2006/main" r="V282" t="str" s="11">
        <x:v>C:\Users\Nomatin\Documents\Altium\MY_LIB\MY_LIB\Datasheets\YAGEO_RC_L.pdf</x:v>
      </x:c>
      <x:c xmlns:x="http://schemas.openxmlformats.org/spreadsheetml/2006/main" r="W282" t="str" s="11">
        <x:v>Даташит — производитель</x:v>
      </x:c>
      <x:c xmlns:x="http://schemas.openxmlformats.org/spreadsheetml/2006/main" r="X282" t="str" s="11">
        <x:v>https://yageogroup.com/content/datasheet/asset/file/PYU-RC_GROUP_51_ROHS_L</x:v>
      </x:c>
      <x:c xmlns:x="http://schemas.openxmlformats.org/spreadsheetml/2006/main" r="Y282" t="str" s="11">
        <x:v>C:\Users\Nomatin\Documents\Altium\MY_LIB\MY_LIB\Datasheets\YAGEO_RC_L.pdf</x:v>
      </x:c>
    </ns0:row>
    <ns0:row r="283" ht="30" customHeight="1">
      <ns0:c r="A283" t="str" s="10">
        <ns0:v>R0289</ns0:v>
      </ns0:c>
      <ns0:c r="B283" t="str" s="10">
        <ns0:v>Резистор</ns0:v>
      </ns0:c>
      <ns0:c r="C283" t="str" s="10">
        <ns0:v>430k</ns0:v>
      </ns0:c>
      <ns0:c r="D283" t="str" s="11">
        <ns0:f>SUBSTITUTE(SUBSTITUTE(SUBSTITUTE(SUBSTITUTE(C283,"meg"," МОм"),"k"," кОм"),"R"," Ом"),".",",")</ns0:f>
        <ns0:v>430 кОм</ns0:v>
      </ns0:c>
      <ns0:c r="E283" t="str" s="10">
        <ns0:v>±5%</ns0:v>
      </ns0:c>
      <ns0:c r="F283" t="str" s="10">
        <ns0:v>0,125 Вт</ns0:v>
      </ns0:c>
      <ns0:c r="G283" t="str" s="10">
        <ns0:v>150 В макс.</ns0:v>
      </ns0:c>
      <ns0:c r="H283" t="str" s="12">
        <ns0:v>0805</ns0:v>
      </ns0:c>
      <ns0:c r="I283" t="str" s="10">
        <ns0:v>YAGEO</ns0:v>
      </ns0:c>
      <ns0:c r="J283" t="str" s="10">
        <ns0:v>RC0805JR-07430KL</ns0:v>
      </ns0:c>
      <ns0:c r="K283" t="str" s="11">
        <ns0:f>B283&amp;" "&amp;D283&amp;" "&amp;E283&amp;" "&amp;H283</ns0:f>
        <ns0:v>Резистор 430 кОм ±5% 0805</ns0:v>
      </ns0:c>
      <ns0:c r="L283" t="str" s="13">
        <ns0:v>R</ns0:v>
      </ns0:c>
      <ns0:c r="M283" t="str" s="13">
        <ns0:v>Symbols\MY_LIB_Resistors.SchLib</ns0:v>
      </ns0:c>
      <ns0:c r="N283" t="str" s="13">
        <ns0:v>RESC2012X70N</ns0:v>
      </ns0:c>
      <ns0:c r="O283" t="str" s="13">
        <ns0:v>Footprints\PBL - SMD Packages.PcbLib</ns0:v>
      </ns0:c>
      <ns0:c r="P283" t="str" s="10">
        <ns0:v>RC_L; E24; P при 70 °C</ns0:v>
      </ns0:c>
      <ns0:c r="Q283" s="10"/>
      <ns0:c r="R283" t="str" s="11">
        <ns0:f>D283</ns0:f>
        <ns0:v>430 кОм</ns0:v>
      </ns0:c>
      <ns0:c r="S283" t="str" s="11">
        <ns0:f>K283</ns0:f>
        <ns0:v>Резистор 430 кОм ±5% 0805</ns0:v>
      </ns0:c>
      <x:c xmlns:x="http://schemas.openxmlformats.org/spreadsheetml/2006/main" r="T283" t="str" s="11">
        <x:v>C:\Users\Nomatin\Documents\Altium\MY_LIB\MY_LIB\Datasheets\YAGEO_RC_L.pdf</x:v>
      </x:c>
      <x:c xmlns:x="http://schemas.openxmlformats.org/spreadsheetml/2006/main" r="U283" t="str" s="11">
        <x:v>Даташит — локальный</x:v>
      </x:c>
      <x:c xmlns:x="http://schemas.openxmlformats.org/spreadsheetml/2006/main" r="V283" t="str" s="11">
        <x:v>C:\Users\Nomatin\Documents\Altium\MY_LIB\MY_LIB\Datasheets\YAGEO_RC_L.pdf</x:v>
      </x:c>
      <x:c xmlns:x="http://schemas.openxmlformats.org/spreadsheetml/2006/main" r="W283" t="str" s="11">
        <x:v>Даташит — производитель</x:v>
      </x:c>
      <x:c xmlns:x="http://schemas.openxmlformats.org/spreadsheetml/2006/main" r="X283" t="str" s="11">
        <x:v>https://yageogroup.com/content/datasheet/asset/file/PYU-RC_GROUP_51_ROHS_L</x:v>
      </x:c>
      <x:c xmlns:x="http://schemas.openxmlformats.org/spreadsheetml/2006/main" r="Y283" t="str" s="11">
        <x:v>C:\Users\Nomatin\Documents\Altium\MY_LIB\MY_LIB\Datasheets\YAGEO_RC_L.pdf</x:v>
      </x:c>
    </ns0:row>
    <ns0:row r="284" ht="30" customHeight="1">
      <ns0:c r="A284" t="str" s="10">
        <ns0:v>R0290</ns0:v>
      </ns0:c>
      <ns0:c r="B284" t="str" s="10">
        <ns0:v>Резистор</ns0:v>
      </ns0:c>
      <ns0:c r="C284" t="str" s="10">
        <ns0:v>470k</ns0:v>
      </ns0:c>
      <ns0:c r="D284" t="str" s="11">
        <ns0:f>SUBSTITUTE(SUBSTITUTE(SUBSTITUTE(SUBSTITUTE(C284,"meg"," МОм"),"k"," кОм"),"R"," Ом"),".",",")</ns0:f>
        <ns0:v>470 кОм</ns0:v>
      </ns0:c>
      <ns0:c r="E284" t="str" s="10">
        <ns0:v>±5%</ns0:v>
      </ns0:c>
      <ns0:c r="F284" t="str" s="10">
        <ns0:v>0,125 Вт</ns0:v>
      </ns0:c>
      <ns0:c r="G284" t="str" s="10">
        <ns0:v>150 В макс.</ns0:v>
      </ns0:c>
      <ns0:c r="H284" t="str" s="12">
        <ns0:v>0805</ns0:v>
      </ns0:c>
      <ns0:c r="I284" t="str" s="10">
        <ns0:v>YAGEO</ns0:v>
      </ns0:c>
      <ns0:c r="J284" t="str" s="10">
        <ns0:v>RC0805JR-07470KL</ns0:v>
      </ns0:c>
      <ns0:c r="K284" t="str" s="11">
        <ns0:f>B284&amp;" "&amp;D284&amp;" "&amp;E284&amp;" "&amp;H284</ns0:f>
        <ns0:v>Резистор 470 кОм ±5% 0805</ns0:v>
      </ns0:c>
      <ns0:c r="L284" t="str" s="13">
        <ns0:v>R</ns0:v>
      </ns0:c>
      <ns0:c r="M284" t="str" s="13">
        <ns0:v>Symbols\MY_LIB_Resistors.SchLib</ns0:v>
      </ns0:c>
      <ns0:c r="N284" t="str" s="13">
        <ns0:v>RESC2012X70N</ns0:v>
      </ns0:c>
      <ns0:c r="O284" t="str" s="13">
        <ns0:v>Footprints\PBL - SMD Packages.PcbLib</ns0:v>
      </ns0:c>
      <ns0:c r="P284" t="str" s="10">
        <ns0:v>RC_L; E24; P при 70 °C</ns0:v>
      </ns0:c>
      <ns0:c r="Q284" s="10"/>
      <ns0:c r="R284" t="str" s="11">
        <ns0:f>D284</ns0:f>
        <ns0:v>470 кОм</ns0:v>
      </ns0:c>
      <ns0:c r="S284" t="str" s="11">
        <ns0:f>K284</ns0:f>
        <ns0:v>Резистор 470 кОм ±5% 0805</ns0:v>
      </ns0:c>
      <x:c xmlns:x="http://schemas.openxmlformats.org/spreadsheetml/2006/main" r="T284" t="str" s="11">
        <x:v>C:\Users\Nomatin\Documents\Altium\MY_LIB\MY_LIB\Datasheets\YAGEO_RC_L.pdf</x:v>
      </x:c>
      <x:c xmlns:x="http://schemas.openxmlformats.org/spreadsheetml/2006/main" r="U284" t="str" s="11">
        <x:v>Даташит — локальный</x:v>
      </x:c>
      <x:c xmlns:x="http://schemas.openxmlformats.org/spreadsheetml/2006/main" r="V284" t="str" s="11">
        <x:v>C:\Users\Nomatin\Documents\Altium\MY_LIB\MY_LIB\Datasheets\YAGEO_RC_L.pdf</x:v>
      </x:c>
      <x:c xmlns:x="http://schemas.openxmlformats.org/spreadsheetml/2006/main" r="W284" t="str" s="11">
        <x:v>Даташит — производитель</x:v>
      </x:c>
      <x:c xmlns:x="http://schemas.openxmlformats.org/spreadsheetml/2006/main" r="X284" t="str" s="11">
        <x:v>https://yageogroup.com/content/datasheet/asset/file/PYU-RC_GROUP_51_ROHS_L</x:v>
      </x:c>
      <x:c xmlns:x="http://schemas.openxmlformats.org/spreadsheetml/2006/main" r="Y284" t="str" s="11">
        <x:v>C:\Users\Nomatin\Documents\Altium\MY_LIB\MY_LIB\Datasheets\YAGEO_RC_L.pdf</x:v>
      </x:c>
    </ns0:row>
    <ns0:row r="285" ht="30" customHeight="1">
      <ns0:c r="A285" t="str" s="10">
        <ns0:v>R0291</ns0:v>
      </ns0:c>
      <ns0:c r="B285" t="str" s="10">
        <ns0:v>Резистор</ns0:v>
      </ns0:c>
      <ns0:c r="C285" t="str" s="10">
        <ns0:v>510k</ns0:v>
      </ns0:c>
      <ns0:c r="D285" t="str" s="11">
        <ns0:f>SUBSTITUTE(SUBSTITUTE(SUBSTITUTE(SUBSTITUTE(C285,"meg"," МОм"),"k"," кОм"),"R"," Ом"),".",",")</ns0:f>
        <ns0:v>510 кОм</ns0:v>
      </ns0:c>
      <ns0:c r="E285" t="str" s="10">
        <ns0:v>±5%</ns0:v>
      </ns0:c>
      <ns0:c r="F285" t="str" s="10">
        <ns0:v>0,125 Вт</ns0:v>
      </ns0:c>
      <ns0:c r="G285" t="str" s="10">
        <ns0:v>150 В макс.</ns0:v>
      </ns0:c>
      <ns0:c r="H285" t="str" s="12">
        <ns0:v>0805</ns0:v>
      </ns0:c>
      <ns0:c r="I285" t="str" s="10">
        <ns0:v>YAGEO</ns0:v>
      </ns0:c>
      <ns0:c r="J285" t="str" s="10">
        <ns0:v>RC0805JR-07510KL</ns0:v>
      </ns0:c>
      <ns0:c r="K285" t="str" s="11">
        <ns0:f>B285&amp;" "&amp;D285&amp;" "&amp;E285&amp;" "&amp;H285</ns0:f>
        <ns0:v>Резистор 510 кОм ±5% 0805</ns0:v>
      </ns0:c>
      <ns0:c r="L285" t="str" s="13">
        <ns0:v>R</ns0:v>
      </ns0:c>
      <ns0:c r="M285" t="str" s="13">
        <ns0:v>Symbols\MY_LIB_Resistors.SchLib</ns0:v>
      </ns0:c>
      <ns0:c r="N285" t="str" s="13">
        <ns0:v>RESC2012X70N</ns0:v>
      </ns0:c>
      <ns0:c r="O285" t="str" s="13">
        <ns0:v>Footprints\PBL - SMD Packages.PcbLib</ns0:v>
      </ns0:c>
      <ns0:c r="P285" t="str" s="10">
        <ns0:v>RC_L; E24; P при 70 °C</ns0:v>
      </ns0:c>
      <ns0:c r="Q285" s="10"/>
      <ns0:c r="R285" t="str" s="11">
        <ns0:f>D285</ns0:f>
        <ns0:v>510 кОм</ns0:v>
      </ns0:c>
      <ns0:c r="S285" t="str" s="11">
        <ns0:f>K285</ns0:f>
        <ns0:v>Резистор 510 кОм ±5% 0805</ns0:v>
      </ns0:c>
      <x:c xmlns:x="http://schemas.openxmlformats.org/spreadsheetml/2006/main" r="T285" t="str" s="11">
        <x:v>C:\Users\Nomatin\Documents\Altium\MY_LIB\MY_LIB\Datasheets\YAGEO_RC_L.pdf</x:v>
      </x:c>
      <x:c xmlns:x="http://schemas.openxmlformats.org/spreadsheetml/2006/main" r="U285" t="str" s="11">
        <x:v>Даташит — локальный</x:v>
      </x:c>
      <x:c xmlns:x="http://schemas.openxmlformats.org/spreadsheetml/2006/main" r="V285" t="str" s="11">
        <x:v>C:\Users\Nomatin\Documents\Altium\MY_LIB\MY_LIB\Datasheets\YAGEO_RC_L.pdf</x:v>
      </x:c>
      <x:c xmlns:x="http://schemas.openxmlformats.org/spreadsheetml/2006/main" r="W285" t="str" s="11">
        <x:v>Даташит — производитель</x:v>
      </x:c>
      <x:c xmlns:x="http://schemas.openxmlformats.org/spreadsheetml/2006/main" r="X285" t="str" s="11">
        <x:v>https://yageogroup.com/content/datasheet/asset/file/PYU-RC_GROUP_51_ROHS_L</x:v>
      </x:c>
      <x:c xmlns:x="http://schemas.openxmlformats.org/spreadsheetml/2006/main" r="Y285" t="str" s="11">
        <x:v>C:\Users\Nomatin\Documents\Altium\MY_LIB\MY_LIB\Datasheets\YAGEO_RC_L.pdf</x:v>
      </x:c>
    </ns0:row>
    <ns0:row r="286" ht="30" customHeight="1">
      <ns0:c r="A286" t="str" s="10">
        <ns0:v>R0292</ns0:v>
      </ns0:c>
      <ns0:c r="B286" t="str" s="10">
        <ns0:v>Резистор</ns0:v>
      </ns0:c>
      <ns0:c r="C286" t="str" s="10">
        <ns0:v>560k</ns0:v>
      </ns0:c>
      <ns0:c r="D286" t="str" s="11">
        <ns0:f>SUBSTITUTE(SUBSTITUTE(SUBSTITUTE(SUBSTITUTE(C286,"meg"," МОм"),"k"," кОм"),"R"," Ом"),".",",")</ns0:f>
        <ns0:v>560 кОм</ns0:v>
      </ns0:c>
      <ns0:c r="E286" t="str" s="10">
        <ns0:v>±5%</ns0:v>
      </ns0:c>
      <ns0:c r="F286" t="str" s="10">
        <ns0:v>0,125 Вт</ns0:v>
      </ns0:c>
      <ns0:c r="G286" t="str" s="10">
        <ns0:v>150 В макс.</ns0:v>
      </ns0:c>
      <ns0:c r="H286" t="str" s="12">
        <ns0:v>0805</ns0:v>
      </ns0:c>
      <ns0:c r="I286" t="str" s="10">
        <ns0:v>YAGEO</ns0:v>
      </ns0:c>
      <ns0:c r="J286" t="str" s="10">
        <ns0:v>RC0805JR-07560KL</ns0:v>
      </ns0:c>
      <ns0:c r="K286" t="str" s="11">
        <ns0:f>B286&amp;" "&amp;D286&amp;" "&amp;E286&amp;" "&amp;H286</ns0:f>
        <ns0:v>Резистор 560 кОм ±5% 0805</ns0:v>
      </ns0:c>
      <ns0:c r="L286" t="str" s="13">
        <ns0:v>R</ns0:v>
      </ns0:c>
      <ns0:c r="M286" t="str" s="13">
        <ns0:v>Symbols\MY_LIB_Resistors.SchLib</ns0:v>
      </ns0:c>
      <ns0:c r="N286" t="str" s="13">
        <ns0:v>RESC2012X70N</ns0:v>
      </ns0:c>
      <ns0:c r="O286" t="str" s="13">
        <ns0:v>Footprints\PBL - SMD Packages.PcbLib</ns0:v>
      </ns0:c>
      <ns0:c r="P286" t="str" s="10">
        <ns0:v>RC_L; E24; P при 70 °C</ns0:v>
      </ns0:c>
      <ns0:c r="Q286" s="10"/>
      <ns0:c r="R286" t="str" s="11">
        <ns0:f>D286</ns0:f>
        <ns0:v>560 кОм</ns0:v>
      </ns0:c>
      <ns0:c r="S286" t="str" s="11">
        <ns0:f>K286</ns0:f>
        <ns0:v>Резистор 560 кОм ±5% 0805</ns0:v>
      </ns0:c>
      <x:c xmlns:x="http://schemas.openxmlformats.org/spreadsheetml/2006/main" r="T286" t="str" s="11">
        <x:v>C:\Users\Nomatin\Documents\Altium\MY_LIB\MY_LIB\Datasheets\YAGEO_RC_L.pdf</x:v>
      </x:c>
      <x:c xmlns:x="http://schemas.openxmlformats.org/spreadsheetml/2006/main" r="U286" t="str" s="11">
        <x:v>Даташит — локальный</x:v>
      </x:c>
      <x:c xmlns:x="http://schemas.openxmlformats.org/spreadsheetml/2006/main" r="V286" t="str" s="11">
        <x:v>C:\Users\Nomatin\Documents\Altium\MY_LIB\MY_LIB\Datasheets\YAGEO_RC_L.pdf</x:v>
      </x:c>
      <x:c xmlns:x="http://schemas.openxmlformats.org/spreadsheetml/2006/main" r="W286" t="str" s="11">
        <x:v>Даташит — производитель</x:v>
      </x:c>
      <x:c xmlns:x="http://schemas.openxmlformats.org/spreadsheetml/2006/main" r="X286" t="str" s="11">
        <x:v>https://yageogroup.com/content/datasheet/asset/file/PYU-RC_GROUP_51_ROHS_L</x:v>
      </x:c>
      <x:c xmlns:x="http://schemas.openxmlformats.org/spreadsheetml/2006/main" r="Y286" t="str" s="11">
        <x:v>C:\Users\Nomatin\Documents\Altium\MY_LIB\MY_LIB\Datasheets\YAGEO_RC_L.pdf</x:v>
      </x:c>
    </ns0:row>
    <ns0:row r="287" ht="30" customHeight="1">
      <ns0:c r="A287" t="str" s="10">
        <ns0:v>R0293</ns0:v>
      </ns0:c>
      <ns0:c r="B287" t="str" s="10">
        <ns0:v>Резистор</ns0:v>
      </ns0:c>
      <ns0:c r="C287" t="str" s="10">
        <ns0:v>620k</ns0:v>
      </ns0:c>
      <ns0:c r="D287" t="str" s="11">
        <ns0:f>SUBSTITUTE(SUBSTITUTE(SUBSTITUTE(SUBSTITUTE(C287,"meg"," МОм"),"k"," кОм"),"R"," Ом"),".",",")</ns0:f>
        <ns0:v>620 кОм</ns0:v>
      </ns0:c>
      <ns0:c r="E287" t="str" s="10">
        <ns0:v>±5%</ns0:v>
      </ns0:c>
      <ns0:c r="F287" t="str" s="10">
        <ns0:v>0,125 Вт</ns0:v>
      </ns0:c>
      <ns0:c r="G287" t="str" s="10">
        <ns0:v>150 В макс.</ns0:v>
      </ns0:c>
      <ns0:c r="H287" t="str" s="12">
        <ns0:v>0805</ns0:v>
      </ns0:c>
      <ns0:c r="I287" t="str" s="10">
        <ns0:v>YAGEO</ns0:v>
      </ns0:c>
      <ns0:c r="J287" t="str" s="10">
        <ns0:v>RC0805JR-07620KL</ns0:v>
      </ns0:c>
      <ns0:c r="K287" t="str" s="11">
        <ns0:f>B287&amp;" "&amp;D287&amp;" "&amp;E287&amp;" "&amp;H287</ns0:f>
        <ns0:v>Резистор 620 кОм ±5% 0805</ns0:v>
      </ns0:c>
      <ns0:c r="L287" t="str" s="13">
        <ns0:v>R</ns0:v>
      </ns0:c>
      <ns0:c r="M287" t="str" s="13">
        <ns0:v>Symbols\MY_LIB_Resistors.SchLib</ns0:v>
      </ns0:c>
      <ns0:c r="N287" t="str" s="13">
        <ns0:v>RESC2012X70N</ns0:v>
      </ns0:c>
      <ns0:c r="O287" t="str" s="13">
        <ns0:v>Footprints\PBL - SMD Packages.PcbLib</ns0:v>
      </ns0:c>
      <ns0:c r="P287" t="str" s="10">
        <ns0:v>RC_L; E24; P при 70 °C</ns0:v>
      </ns0:c>
      <ns0:c r="Q287" s="10"/>
      <ns0:c r="R287" t="str" s="11">
        <ns0:f>D287</ns0:f>
        <ns0:v>620 кОм</ns0:v>
      </ns0:c>
      <ns0:c r="S287" t="str" s="11">
        <ns0:f>K287</ns0:f>
        <ns0:v>Резистор 620 кОм ±5% 0805</ns0:v>
      </ns0:c>
      <x:c xmlns:x="http://schemas.openxmlformats.org/spreadsheetml/2006/main" r="T287" t="str" s="11">
        <x:v>C:\Users\Nomatin\Documents\Altium\MY_LIB\MY_LIB\Datasheets\YAGEO_RC_L.pdf</x:v>
      </x:c>
      <x:c xmlns:x="http://schemas.openxmlformats.org/spreadsheetml/2006/main" r="U287" t="str" s="11">
        <x:v>Даташит — локальный</x:v>
      </x:c>
      <x:c xmlns:x="http://schemas.openxmlformats.org/spreadsheetml/2006/main" r="V287" t="str" s="11">
        <x:v>C:\Users\Nomatin\Documents\Altium\MY_LIB\MY_LIB\Datasheets\YAGEO_RC_L.pdf</x:v>
      </x:c>
      <x:c xmlns:x="http://schemas.openxmlformats.org/spreadsheetml/2006/main" r="W287" t="str" s="11">
        <x:v>Даташит — производитель</x:v>
      </x:c>
      <x:c xmlns:x="http://schemas.openxmlformats.org/spreadsheetml/2006/main" r="X287" t="str" s="11">
        <x:v>https://yageogroup.com/content/datasheet/asset/file/PYU-RC_GROUP_51_ROHS_L</x:v>
      </x:c>
      <x:c xmlns:x="http://schemas.openxmlformats.org/spreadsheetml/2006/main" r="Y287" t="str" s="11">
        <x:v>C:\Users\Nomatin\Documents\Altium\MY_LIB\MY_LIB\Datasheets\YAGEO_RC_L.pdf</x:v>
      </x:c>
    </ns0:row>
    <ns0:row r="288" ht="30" customHeight="1">
      <ns0:c r="A288" t="str" s="10">
        <ns0:v>R0294</ns0:v>
      </ns0:c>
      <ns0:c r="B288" t="str" s="10">
        <ns0:v>Резистор</ns0:v>
      </ns0:c>
      <ns0:c r="C288" t="str" s="10">
        <ns0:v>680k</ns0:v>
      </ns0:c>
      <ns0:c r="D288" t="str" s="11">
        <ns0:f>SUBSTITUTE(SUBSTITUTE(SUBSTITUTE(SUBSTITUTE(C288,"meg"," МОм"),"k"," кОм"),"R"," Ом"),".",",")</ns0:f>
        <ns0:v>680 кОм</ns0:v>
      </ns0:c>
      <ns0:c r="E288" t="str" s="10">
        <ns0:v>±5%</ns0:v>
      </ns0:c>
      <ns0:c r="F288" t="str" s="10">
        <ns0:v>0,125 Вт</ns0:v>
      </ns0:c>
      <ns0:c r="G288" t="str" s="10">
        <ns0:v>150 В макс.</ns0:v>
      </ns0:c>
      <ns0:c r="H288" t="str" s="12">
        <ns0:v>0805</ns0:v>
      </ns0:c>
      <ns0:c r="I288" t="str" s="10">
        <ns0:v>YAGEO</ns0:v>
      </ns0:c>
      <ns0:c r="J288" t="str" s="10">
        <ns0:v>RC0805JR-07680KL</ns0:v>
      </ns0:c>
      <ns0:c r="K288" t="str" s="11">
        <ns0:f>B288&amp;" "&amp;D288&amp;" "&amp;E288&amp;" "&amp;H288</ns0:f>
        <ns0:v>Резистор 680 кОм ±5% 0805</ns0:v>
      </ns0:c>
      <ns0:c r="L288" t="str" s="13">
        <ns0:v>R</ns0:v>
      </ns0:c>
      <ns0:c r="M288" t="str" s="13">
        <ns0:v>Symbols\MY_LIB_Resistors.SchLib</ns0:v>
      </ns0:c>
      <ns0:c r="N288" t="str" s="13">
        <ns0:v>RESC2012X70N</ns0:v>
      </ns0:c>
      <ns0:c r="O288" t="str" s="13">
        <ns0:v>Footprints\PBL - SMD Packages.PcbLib</ns0:v>
      </ns0:c>
      <ns0:c r="P288" t="str" s="10">
        <ns0:v>RC_L; E24; P при 70 °C</ns0:v>
      </ns0:c>
      <ns0:c r="Q288" s="10"/>
      <ns0:c r="R288" t="str" s="11">
        <ns0:f>D288</ns0:f>
        <ns0:v>680 кОм</ns0:v>
      </ns0:c>
      <ns0:c r="S288" t="str" s="11">
        <ns0:f>K288</ns0:f>
        <ns0:v>Резистор 680 кОм ±5% 0805</ns0:v>
      </ns0:c>
      <x:c xmlns:x="http://schemas.openxmlformats.org/spreadsheetml/2006/main" r="T288" t="str" s="11">
        <x:v>C:\Users\Nomatin\Documents\Altium\MY_LIB\MY_LIB\Datasheets\YAGEO_RC_L.pdf</x:v>
      </x:c>
      <x:c xmlns:x="http://schemas.openxmlformats.org/spreadsheetml/2006/main" r="U288" t="str" s="11">
        <x:v>Даташит — локальный</x:v>
      </x:c>
      <x:c xmlns:x="http://schemas.openxmlformats.org/spreadsheetml/2006/main" r="V288" t="str" s="11">
        <x:v>C:\Users\Nomatin\Documents\Altium\MY_LIB\MY_LIB\Datasheets\YAGEO_RC_L.pdf</x:v>
      </x:c>
      <x:c xmlns:x="http://schemas.openxmlformats.org/spreadsheetml/2006/main" r="W288" t="str" s="11">
        <x:v>Даташит — производитель</x:v>
      </x:c>
      <x:c xmlns:x="http://schemas.openxmlformats.org/spreadsheetml/2006/main" r="X288" t="str" s="11">
        <x:v>https://yageogroup.com/content/datasheet/asset/file/PYU-RC_GROUP_51_ROHS_L</x:v>
      </x:c>
      <x:c xmlns:x="http://schemas.openxmlformats.org/spreadsheetml/2006/main" r="Y288" t="str" s="11">
        <x:v>C:\Users\Nomatin\Documents\Altium\MY_LIB\MY_LIB\Datasheets\YAGEO_RC_L.pdf</x:v>
      </x:c>
    </ns0:row>
    <ns0:row r="289" ht="30" customHeight="1">
      <ns0:c r="A289" t="str" s="10">
        <ns0:v>R0295</ns0:v>
      </ns0:c>
      <ns0:c r="B289" t="str" s="10">
        <ns0:v>Резистор</ns0:v>
      </ns0:c>
      <ns0:c r="C289" t="str" s="10">
        <ns0:v>750k</ns0:v>
      </ns0:c>
      <ns0:c r="D289" t="str" s="11">
        <ns0:f>SUBSTITUTE(SUBSTITUTE(SUBSTITUTE(SUBSTITUTE(C289,"meg"," МОм"),"k"," кОм"),"R"," Ом"),".",",")</ns0:f>
        <ns0:v>750 кОм</ns0:v>
      </ns0:c>
      <ns0:c r="E289" t="str" s="10">
        <ns0:v>±5%</ns0:v>
      </ns0:c>
      <ns0:c r="F289" t="str" s="10">
        <ns0:v>0,125 Вт</ns0:v>
      </ns0:c>
      <ns0:c r="G289" t="str" s="10">
        <ns0:v>150 В макс.</ns0:v>
      </ns0:c>
      <ns0:c r="H289" t="str" s="12">
        <ns0:v>0805</ns0:v>
      </ns0:c>
      <ns0:c r="I289" t="str" s="10">
        <ns0:v>YAGEO</ns0:v>
      </ns0:c>
      <ns0:c r="J289" t="str" s="10">
        <ns0:v>RC0805JR-07750KL</ns0:v>
      </ns0:c>
      <ns0:c r="K289" t="str" s="11">
        <ns0:f>B289&amp;" "&amp;D289&amp;" "&amp;E289&amp;" "&amp;H289</ns0:f>
        <ns0:v>Резистор 750 кОм ±5% 0805</ns0:v>
      </ns0:c>
      <ns0:c r="L289" t="str" s="13">
        <ns0:v>R</ns0:v>
      </ns0:c>
      <ns0:c r="M289" t="str" s="13">
        <ns0:v>Symbols\MY_LIB_Resistors.SchLib</ns0:v>
      </ns0:c>
      <ns0:c r="N289" t="str" s="13">
        <ns0:v>RESC2012X70N</ns0:v>
      </ns0:c>
      <ns0:c r="O289" t="str" s="13">
        <ns0:v>Footprints\PBL - SMD Packages.PcbLib</ns0:v>
      </ns0:c>
      <ns0:c r="P289" t="str" s="10">
        <ns0:v>RC_L; E24; P при 70 °C</ns0:v>
      </ns0:c>
      <ns0:c r="Q289" s="10"/>
      <ns0:c r="R289" t="str" s="11">
        <ns0:f>D289</ns0:f>
        <ns0:v>750 кОм</ns0:v>
      </ns0:c>
      <ns0:c r="S289" t="str" s="11">
        <ns0:f>K289</ns0:f>
        <ns0:v>Резистор 750 кОм ±5% 0805</ns0:v>
      </ns0:c>
      <x:c xmlns:x="http://schemas.openxmlformats.org/spreadsheetml/2006/main" r="T289" t="str" s="11">
        <x:v>C:\Users\Nomatin\Documents\Altium\MY_LIB\MY_LIB\Datasheets\YAGEO_RC_L.pdf</x:v>
      </x:c>
      <x:c xmlns:x="http://schemas.openxmlformats.org/spreadsheetml/2006/main" r="U289" t="str" s="11">
        <x:v>Даташит — локальный</x:v>
      </x:c>
      <x:c xmlns:x="http://schemas.openxmlformats.org/spreadsheetml/2006/main" r="V289" t="str" s="11">
        <x:v>C:\Users\Nomatin\Documents\Altium\MY_LIB\MY_LIB\Datasheets\YAGEO_RC_L.pdf</x:v>
      </x:c>
      <x:c xmlns:x="http://schemas.openxmlformats.org/spreadsheetml/2006/main" r="W289" t="str" s="11">
        <x:v>Даташит — производитель</x:v>
      </x:c>
      <x:c xmlns:x="http://schemas.openxmlformats.org/spreadsheetml/2006/main" r="X289" t="str" s="11">
        <x:v>https://yageogroup.com/content/datasheet/asset/file/PYU-RC_GROUP_51_ROHS_L</x:v>
      </x:c>
      <x:c xmlns:x="http://schemas.openxmlformats.org/spreadsheetml/2006/main" r="Y289" t="str" s="11">
        <x:v>C:\Users\Nomatin\Documents\Altium\MY_LIB\MY_LIB\Datasheets\YAGEO_RC_L.pdf</x:v>
      </x:c>
    </ns0:row>
    <ns0:row r="290" ht="30" customHeight="1">
      <ns0:c r="A290" t="str" s="10">
        <ns0:v>R0296</ns0:v>
      </ns0:c>
      <ns0:c r="B290" t="str" s="10">
        <ns0:v>Резистор</ns0:v>
      </ns0:c>
      <ns0:c r="C290" t="str" s="10">
        <ns0:v>820k</ns0:v>
      </ns0:c>
      <ns0:c r="D290" t="str" s="11">
        <ns0:f>SUBSTITUTE(SUBSTITUTE(SUBSTITUTE(SUBSTITUTE(C290,"meg"," МОм"),"k"," кОм"),"R"," Ом"),".",",")</ns0:f>
        <ns0:v>820 кОм</ns0:v>
      </ns0:c>
      <ns0:c r="E290" t="str" s="10">
        <ns0:v>±5%</ns0:v>
      </ns0:c>
      <ns0:c r="F290" t="str" s="10">
        <ns0:v>0,125 Вт</ns0:v>
      </ns0:c>
      <ns0:c r="G290" t="str" s="10">
        <ns0:v>150 В макс.</ns0:v>
      </ns0:c>
      <ns0:c r="H290" t="str" s="12">
        <ns0:v>0805</ns0:v>
      </ns0:c>
      <ns0:c r="I290" t="str" s="10">
        <ns0:v>YAGEO</ns0:v>
      </ns0:c>
      <ns0:c r="J290" t="str" s="10">
        <ns0:v>RC0805JR-07820KL</ns0:v>
      </ns0:c>
      <ns0:c r="K290" t="str" s="11">
        <ns0:f>B290&amp;" "&amp;D290&amp;" "&amp;E290&amp;" "&amp;H290</ns0:f>
        <ns0:v>Резистор 820 кОм ±5% 0805</ns0:v>
      </ns0:c>
      <ns0:c r="L290" t="str" s="13">
        <ns0:v>R</ns0:v>
      </ns0:c>
      <ns0:c r="M290" t="str" s="13">
        <ns0:v>Symbols\MY_LIB_Resistors.SchLib</ns0:v>
      </ns0:c>
      <ns0:c r="N290" t="str" s="13">
        <ns0:v>RESC2012X70N</ns0:v>
      </ns0:c>
      <ns0:c r="O290" t="str" s="13">
        <ns0:v>Footprints\PBL - SMD Packages.PcbLib</ns0:v>
      </ns0:c>
      <ns0:c r="P290" t="str" s="10">
        <ns0:v>RC_L; E24; P при 70 °C</ns0:v>
      </ns0:c>
      <ns0:c r="Q290" s="10"/>
      <ns0:c r="R290" t="str" s="11">
        <ns0:f>D290</ns0:f>
        <ns0:v>820 кОм</ns0:v>
      </ns0:c>
      <ns0:c r="S290" t="str" s="11">
        <ns0:f>K290</ns0:f>
        <ns0:v>Резистор 820 кОм ±5% 0805</ns0:v>
      </ns0:c>
      <x:c xmlns:x="http://schemas.openxmlformats.org/spreadsheetml/2006/main" r="T290" t="str" s="11">
        <x:v>C:\Users\Nomatin\Documents\Altium\MY_LIB\MY_LIB\Datasheets\YAGEO_RC_L.pdf</x:v>
      </x:c>
      <x:c xmlns:x="http://schemas.openxmlformats.org/spreadsheetml/2006/main" r="U290" t="str" s="11">
        <x:v>Даташит — локальный</x:v>
      </x:c>
      <x:c xmlns:x="http://schemas.openxmlformats.org/spreadsheetml/2006/main" r="V290" t="str" s="11">
        <x:v>C:\Users\Nomatin\Documents\Altium\MY_LIB\MY_LIB\Datasheets\YAGEO_RC_L.pdf</x:v>
      </x:c>
      <x:c xmlns:x="http://schemas.openxmlformats.org/spreadsheetml/2006/main" r="W290" t="str" s="11">
        <x:v>Даташит — производитель</x:v>
      </x:c>
      <x:c xmlns:x="http://schemas.openxmlformats.org/spreadsheetml/2006/main" r="X290" t="str" s="11">
        <x:v>https://yageogroup.com/content/datasheet/asset/file/PYU-RC_GROUP_51_ROHS_L</x:v>
      </x:c>
      <x:c xmlns:x="http://schemas.openxmlformats.org/spreadsheetml/2006/main" r="Y290" t="str" s="11">
        <x:v>C:\Users\Nomatin\Documents\Altium\MY_LIB\MY_LIB\Datasheets\YAGEO_RC_L.pdf</x:v>
      </x:c>
    </ns0:row>
    <ns0:row r="291" ht="30" customHeight="1">
      <ns0:c r="A291" t="str" s="10">
        <ns0:v>R0297</ns0:v>
      </ns0:c>
      <ns0:c r="B291" t="str" s="10">
        <ns0:v>Резистор</ns0:v>
      </ns0:c>
      <ns0:c r="C291" t="str" s="10">
        <ns0:v>910k</ns0:v>
      </ns0:c>
      <ns0:c r="D291" t="str" s="11">
        <ns0:f>SUBSTITUTE(SUBSTITUTE(SUBSTITUTE(SUBSTITUTE(C291,"meg"," МОм"),"k"," кОм"),"R"," Ом"),".",",")</ns0:f>
        <ns0:v>910 кОм</ns0:v>
      </ns0:c>
      <ns0:c r="E291" t="str" s="10">
        <ns0:v>±5%</ns0:v>
      </ns0:c>
      <ns0:c r="F291" t="str" s="10">
        <ns0:v>0,125 Вт</ns0:v>
      </ns0:c>
      <ns0:c r="G291" t="str" s="10">
        <ns0:v>150 В макс.</ns0:v>
      </ns0:c>
      <ns0:c r="H291" t="str" s="12">
        <ns0:v>0805</ns0:v>
      </ns0:c>
      <ns0:c r="I291" t="str" s="10">
        <ns0:v>YAGEO</ns0:v>
      </ns0:c>
      <ns0:c r="J291" t="str" s="10">
        <ns0:v>RC0805JR-07910KL</ns0:v>
      </ns0:c>
      <ns0:c r="K291" t="str" s="11">
        <ns0:f>B291&amp;" "&amp;D291&amp;" "&amp;E291&amp;" "&amp;H291</ns0:f>
        <ns0:v>Резистор 910 кОм ±5% 0805</ns0:v>
      </ns0:c>
      <ns0:c r="L291" t="str" s="13">
        <ns0:v>R</ns0:v>
      </ns0:c>
      <ns0:c r="M291" t="str" s="13">
        <ns0:v>Symbols\MY_LIB_Resistors.SchLib</ns0:v>
      </ns0:c>
      <ns0:c r="N291" t="str" s="13">
        <ns0:v>RESC2012X70N</ns0:v>
      </ns0:c>
      <ns0:c r="O291" t="str" s="13">
        <ns0:v>Footprints\PBL - SMD Packages.PcbLib</ns0:v>
      </ns0:c>
      <ns0:c r="P291" t="str" s="10">
        <ns0:v>RC_L; E24; P при 70 °C</ns0:v>
      </ns0:c>
      <ns0:c r="Q291" s="10"/>
      <ns0:c r="R291" t="str" s="11">
        <ns0:f>D291</ns0:f>
        <ns0:v>910 кОм</ns0:v>
      </ns0:c>
      <ns0:c r="S291" t="str" s="11">
        <ns0:f>K291</ns0:f>
        <ns0:v>Резистор 910 кОм ±5% 0805</ns0:v>
      </ns0:c>
      <x:c xmlns:x="http://schemas.openxmlformats.org/spreadsheetml/2006/main" r="T291" t="str" s="11">
        <x:v>C:\Users\Nomatin\Documents\Altium\MY_LIB\MY_LIB\Datasheets\YAGEO_RC_L.pdf</x:v>
      </x:c>
      <x:c xmlns:x="http://schemas.openxmlformats.org/spreadsheetml/2006/main" r="U291" t="str" s="11">
        <x:v>Даташит — локальный</x:v>
      </x:c>
      <x:c xmlns:x="http://schemas.openxmlformats.org/spreadsheetml/2006/main" r="V291" t="str" s="11">
        <x:v>C:\Users\Nomatin\Documents\Altium\MY_LIB\MY_LIB\Datasheets\YAGEO_RC_L.pdf</x:v>
      </x:c>
      <x:c xmlns:x="http://schemas.openxmlformats.org/spreadsheetml/2006/main" r="W291" t="str" s="11">
        <x:v>Даташит — производитель</x:v>
      </x:c>
      <x:c xmlns:x="http://schemas.openxmlformats.org/spreadsheetml/2006/main" r="X291" t="str" s="11">
        <x:v>https://yageogroup.com/content/datasheet/asset/file/PYU-RC_GROUP_51_ROHS_L</x:v>
      </x:c>
      <x:c xmlns:x="http://schemas.openxmlformats.org/spreadsheetml/2006/main" r="Y291" t="str" s="11">
        <x:v>C:\Users\Nomatin\Documents\Altium\MY_LIB\MY_LIB\Datasheets\YAGEO_RC_L.pdf</x:v>
      </x:c>
    </ns0:row>
    <ns0:row r="292" ht="30" customHeight="1">
      <ns0:c r="A292" t="str" s="10">
        <ns0:v>R0298</ns0:v>
      </ns0:c>
      <ns0:c r="B292" t="str" s="10">
        <ns0:v>Резистор</ns0:v>
      </ns0:c>
      <ns0:c r="C292" t="str" s="10">
        <ns0:v>1meg</ns0:v>
      </ns0:c>
      <ns0:c r="D292" t="str" s="11">
        <ns0:f>SUBSTITUTE(SUBSTITUTE(SUBSTITUTE(SUBSTITUTE(C292,"meg"," МОм"),"k"," кОм"),"R"," Ом"),".",",")</ns0:f>
        <ns0:v>1 МОм</ns0:v>
      </ns0:c>
      <ns0:c r="E292" t="str" s="10">
        <ns0:v>±5%</ns0:v>
      </ns0:c>
      <ns0:c r="F292" t="str" s="10">
        <ns0:v>0,125 Вт</ns0:v>
      </ns0:c>
      <ns0:c r="G292" t="str" s="10">
        <ns0:v>150 В макс.</ns0:v>
      </ns0:c>
      <ns0:c r="H292" t="str" s="12">
        <ns0:v>0805</ns0:v>
      </ns0:c>
      <ns0:c r="I292" t="str" s="10">
        <ns0:v>YAGEO</ns0:v>
      </ns0:c>
      <ns0:c r="J292" t="str" s="10">
        <ns0:v>RC0805JR-071ML</ns0:v>
      </ns0:c>
      <ns0:c r="K292" t="str" s="11">
        <ns0:f>B292&amp;" "&amp;D292&amp;" "&amp;E292&amp;" "&amp;H292</ns0:f>
        <ns0:v>Резистор 1 МОм ±5% 0805</ns0:v>
      </ns0:c>
      <ns0:c r="L292" t="str" s="13">
        <ns0:v>R</ns0:v>
      </ns0:c>
      <ns0:c r="M292" t="str" s="13">
        <ns0:v>Symbols\MY_LIB_Resistors.SchLib</ns0:v>
      </ns0:c>
      <ns0:c r="N292" t="str" s="13">
        <ns0:v>RESC2012X70N</ns0:v>
      </ns0:c>
      <ns0:c r="O292" t="str" s="13">
        <ns0:v>Footprints\PBL - SMD Packages.PcbLib</ns0:v>
      </ns0:c>
      <ns0:c r="P292" t="str" s="10">
        <ns0:v>RC_L; E24; P при 70 °C</ns0:v>
      </ns0:c>
      <ns0:c r="Q292" s="10"/>
      <ns0:c r="R292" t="str" s="11">
        <ns0:f>D292</ns0:f>
        <ns0:v>1 МОм</ns0:v>
      </ns0:c>
      <ns0:c r="S292" t="str" s="11">
        <ns0:f>K292</ns0:f>
        <ns0:v>Резистор 1 МОм ±5% 0805</ns0:v>
      </ns0:c>
      <x:c xmlns:x="http://schemas.openxmlformats.org/spreadsheetml/2006/main" r="T292" t="str" s="11">
        <x:v>C:\Users\Nomatin\Documents\Altium\MY_LIB\MY_LIB\Datasheets\YAGEO_RC_L.pdf</x:v>
      </x:c>
      <x:c xmlns:x="http://schemas.openxmlformats.org/spreadsheetml/2006/main" r="U292" t="str" s="11">
        <x:v>Даташит — локальный</x:v>
      </x:c>
      <x:c xmlns:x="http://schemas.openxmlformats.org/spreadsheetml/2006/main" r="V292" t="str" s="11">
        <x:v>C:\Users\Nomatin\Documents\Altium\MY_LIB\MY_LIB\Datasheets\YAGEO_RC_L.pdf</x:v>
      </x:c>
      <x:c xmlns:x="http://schemas.openxmlformats.org/spreadsheetml/2006/main" r="W292" t="str" s="11">
        <x:v>Даташит — производитель</x:v>
      </x:c>
      <x:c xmlns:x="http://schemas.openxmlformats.org/spreadsheetml/2006/main" r="X292" t="str" s="11">
        <x:v>https://yageogroup.com/content/datasheet/asset/file/PYU-RC_GROUP_51_ROHS_L</x:v>
      </x:c>
      <x:c xmlns:x="http://schemas.openxmlformats.org/spreadsheetml/2006/main" r="Y292" t="str" s="11">
        <x:v>C:\Users\Nomatin\Documents\Altium\MY_LIB\MY_LIB\Datasheets\YAGEO_RC_L.pdf</x:v>
      </x:c>
    </ns0:row>
    <ns0:row r="293" ht="30" customHeight="1">
      <ns0:c r="A293" t="str" s="1">
        <ns0:v>R0299</ns0:v>
      </ns0:c>
      <ns0:c r="B293" t="str" s="1">
        <ns0:v>Резистор</ns0:v>
      </ns0:c>
      <ns0:c r="C293" t="str" s="1">
        <ns0:v>0R</ns0:v>
      </ns0:c>
      <ns0:c r="D293" t="str" s="5">
        <ns0:f>SUBSTITUTE(SUBSTITUTE(SUBSTITUTE(SUBSTITUTE(C293,"meg"," МОм"),"k"," кОм"),"R"," Ом"),".",",")</ns0:f>
        <ns0:v>0 Ом</ns0:v>
      </ns0:c>
      <ns0:c r="E293" s="1"/>
      <ns0:c r="F293" t="str" s="1">
        <ns0:v>0,1 Вт</ns0:v>
      </ns0:c>
      <ns0:c r="G293" s="1"/>
      <ns0:c r="H293" t="str" s="2">
        <ns0:v>0603</ns0:v>
      </ns0:c>
      <ns0:c r="I293" t="str" s="1">
        <ns0:v>YAGEO</ns0:v>
      </ns0:c>
      <ns0:c r="J293" t="str" s="1">
        <ns0:v>RC0603JR-070RL</ns0:v>
      </ns0:c>
      <ns0:c r="K293" t="str" s="6">
        <ns0:f>B293&amp;" "&amp;D293&amp;" "&amp;H293</ns0:f>
        <ns0:v>Резистор 0 Ом 0603</ns0:v>
      </ns0:c>
      <ns0:c r="L293" t="str" s="7">
        <ns0:v>R</ns0:v>
      </ns0:c>
      <ns0:c r="M293" t="str" s="7">
        <ns0:v>Symbols\MY_LIB_Resistors.SchLib</ns0:v>
      </ns0:c>
      <ns0:c r="N293" t="str" s="7">
        <ns0:v>RESC1608X55N</ns0:v>
      </ns0:c>
      <ns0:c r="O293" t="str" s="7">
        <ns0:v>Footprints\PBL - SMD Packages.PcbLib</ns0:v>
      </ns0:c>
      <ns0:c r="P293" t="str" s="1">
        <ns0:v>Перемычка RC_L; R &lt; 50 мОм; номинальный ток 1 А; J — код заказа перемычки, процентный допуск не применяется. Источник: https://www.yageogroup.com/content/datasheet/asset/file/PYU-RC_GROUP_51_ROHS_L</ns0:v>
      </ns0:c>
      <ns0:c r="Q293" s="1"/>
      <ns0:c r="R293" t="str" s="11">
        <ns0:f>D293</ns0:f>
        <ns0:v>0 Ом</ns0:v>
      </ns0:c>
      <ns0:c r="S293" t="str" s="16">
        <ns0:f>K293</ns0:f>
        <ns0:v>Резистор 0 Ом 0603</ns0:v>
      </ns0:c>
      <x:c xmlns:x="http://schemas.openxmlformats.org/spreadsheetml/2006/main" r="T293" t="str" s="16">
        <x:v>C:\Users\Nomatin\Documents\Altium\MY_LIB\MY_LIB\Datasheets\YAGEO_RC_L.pdf</x:v>
      </x:c>
      <x:c xmlns:x="http://schemas.openxmlformats.org/spreadsheetml/2006/main" r="U293" t="str" s="16">
        <x:v>Даташит — локальный</x:v>
      </x:c>
      <x:c xmlns:x="http://schemas.openxmlformats.org/spreadsheetml/2006/main" r="V293" t="str" s="16">
        <x:v>C:\Users\Nomatin\Documents\Altium\MY_LIB\MY_LIB\Datasheets\YAGEO_RC_L.pdf</x:v>
      </x:c>
      <x:c xmlns:x="http://schemas.openxmlformats.org/spreadsheetml/2006/main" r="W293" t="str" s="16">
        <x:v>Даташит — производитель</x:v>
      </x:c>
      <x:c xmlns:x="http://schemas.openxmlformats.org/spreadsheetml/2006/main" r="X293" t="str" s="16">
        <x:v>https://yageogroup.com/content/datasheet/asset/file/PYU-RC_GROUP_51_ROHS_L</x:v>
      </x:c>
      <x:c xmlns:x="http://schemas.openxmlformats.org/spreadsheetml/2006/main" r="Y293" t="str" s="16">
        <x:v>C:\Users\Nomatin\Documents\Altium\MY_LIB\MY_LIB\Datasheets\YAGEO_RC_L.pdf</x:v>
      </x:c>
    </ns0:row>
    <ns0:row xmlns:ns0="http://schemas.openxmlformats.org/spreadsheetml/2006/main" r="294" ht="30" customHeight="1">
      <ns0:c r="A294" t="str" s="10">
        <ns0:v>R0300</ns0:v>
      </ns0:c>
      <ns0:c r="B294" t="str" s="10">
        <ns0:v>Резистор</ns0:v>
      </ns0:c>
      <ns0:c r="C294" t="str" s="10">
        <ns0:v>1R</ns0:v>
      </ns0:c>
      <ns0:c r="D294" t="str" s="11">
        <ns0:f>SUBSTITUTE(SUBSTITUTE(SUBSTITUTE(SUBSTITUTE(C294,"meg"," МОм"),"k"," кОм"),"R"," Ом"),".",",")</ns0:f>
        <ns0:v>1 Ом</ns0:v>
      </ns0:c>
      <ns0:c r="E294" t="str" s="10">
        <ns0:v>±1%</ns0:v>
      </ns0:c>
      <ns0:c r="F294" t="str" s="10">
        <ns0:v>0,1 Вт</ns0:v>
      </ns0:c>
      <ns0:c r="G294" t="str" s="10">
        <ns0:v>75 В макс.</ns0:v>
      </ns0:c>
      <ns0:c r="H294" t="str" s="12">
        <ns0:v>0603</ns0:v>
      </ns0:c>
      <ns0:c r="I294" t="str" s="10">
        <ns0:v>YAGEO</ns0:v>
      </ns0:c>
      <ns0:c r="J294" t="str" s="10">
        <ns0:v>RC0603FR-071RL</ns0:v>
      </ns0:c>
      <ns0:c r="K294" t="str" s="11">
        <ns0:f>B294&amp;" "&amp;D294&amp;" "&amp;E294&amp;" "&amp;H294</ns0:f>
        <ns0:v>Резистор 1 Ом ±1% 0603</ns0:v>
      </ns0:c>
      <ns0:c r="L294" t="str" s="13">
        <ns0:v>R</ns0:v>
      </ns0:c>
      <ns0:c r="M294" t="str" s="13">
        <ns0:v>Symbols\MY_LIB_Resistors.SchLib</ns0:v>
      </ns0:c>
      <ns0:c r="N294" t="str" s="13">
        <ns0:v>RESC1608X55N</ns0:v>
      </ns0:c>
      <ns0:c r="O294" t="str" s="13">
        <ns0:v>Footprints\PBL - SMD Packages.PcbLib</ns0:v>
      </ns0:c>
      <ns0:c r="P294" t="str" s="10">
        <ns0:v>RC_L; E24; P при 70 °C; U ≤ min(√(P·R), Umax)</ns0:v>
      </ns0:c>
      <ns0:c r="Q294" s="10"/>
      <ns0:c r="R294" t="str" s="11">
        <ns0:f>D294</ns0:f>
        <ns0:v>1 Ом</ns0:v>
      </ns0:c>
      <ns0:c r="S294" t="str" s="11">
        <ns0:f>K294</ns0:f>
        <ns0:v>Резистор 1 Ом ±1% 0603</ns0:v>
      </ns0:c>
      <x:c xmlns:x="http://schemas.openxmlformats.org/spreadsheetml/2006/main" r="T294" t="str" s="11">
        <x:v>C:\Users\Nomatin\Documents\Altium\MY_LIB\MY_LIB\Datasheets\YAGEO_RC_L.pdf</x:v>
      </x:c>
      <x:c xmlns:x="http://schemas.openxmlformats.org/spreadsheetml/2006/main" r="U294" t="str" s="11">
        <x:v>Даташит — локальный</x:v>
      </x:c>
      <x:c xmlns:x="http://schemas.openxmlformats.org/spreadsheetml/2006/main" r="V294" t="str" s="11">
        <x:v>C:\Users\Nomatin\Documents\Altium\MY_LIB\MY_LIB\Datasheets\YAGEO_RC_L.pdf</x:v>
      </x:c>
      <x:c xmlns:x="http://schemas.openxmlformats.org/spreadsheetml/2006/main" r="W294" t="str" s="11">
        <x:v>Даташит — производитель</x:v>
      </x:c>
      <x:c xmlns:x="http://schemas.openxmlformats.org/spreadsheetml/2006/main" r="X294" t="str" s="11">
        <x:v>https://yageogroup.com/content/datasheet/asset/file/PYU-RC_GROUP_51_ROHS_L</x:v>
      </x:c>
      <x:c xmlns:x="http://schemas.openxmlformats.org/spreadsheetml/2006/main" r="Y294" t="str" s="11">
        <x:v>C:\Users\Nomatin\Documents\Altium\MY_LIB\MY_LIB\Datasheets\YAGEO_RC_L.pdf</x:v>
      </x:c>
    </ns0:row>
    <ns0:row xmlns:ns0="http://schemas.openxmlformats.org/spreadsheetml/2006/main" r="295" ht="30" customHeight="1">
      <ns0:c r="A295" t="str" s="10">
        <ns0:v>R0301</ns0:v>
      </ns0:c>
      <ns0:c r="B295" t="str" s="10">
        <ns0:v>Резистор</ns0:v>
      </ns0:c>
      <ns0:c r="C295" t="str" s="10">
        <ns0:v>1.1R</ns0:v>
      </ns0:c>
      <ns0:c r="D295" t="str" s="11">
        <ns0:f>SUBSTITUTE(SUBSTITUTE(SUBSTITUTE(SUBSTITUTE(C295,"meg"," МОм"),"k"," кОм"),"R"," Ом"),".",",")</ns0:f>
        <ns0:v>1,1 Ом</ns0:v>
      </ns0:c>
      <ns0:c r="E295" t="str" s="10">
        <ns0:v>±1%</ns0:v>
      </ns0:c>
      <ns0:c r="F295" t="str" s="10">
        <ns0:v>0,1 Вт</ns0:v>
      </ns0:c>
      <ns0:c r="G295" t="str" s="10">
        <ns0:v>75 В макс.</ns0:v>
      </ns0:c>
      <ns0:c r="H295" t="str" s="12">
        <ns0:v>0603</ns0:v>
      </ns0:c>
      <ns0:c r="I295" t="str" s="10">
        <ns0:v>YAGEO</ns0:v>
      </ns0:c>
      <ns0:c r="J295" t="str" s="10">
        <ns0:v>RC0603FR-071R1L</ns0:v>
      </ns0:c>
      <ns0:c r="K295" t="str" s="11">
        <ns0:f>B295&amp;" "&amp;D295&amp;" "&amp;E295&amp;" "&amp;H295</ns0:f>
        <ns0:v>Резистор 1,1 Ом ±1% 0603</ns0:v>
      </ns0:c>
      <ns0:c r="L295" t="str" s="13">
        <ns0:v>R</ns0:v>
      </ns0:c>
      <ns0:c r="M295" t="str" s="13">
        <ns0:v>Symbols\MY_LIB_Resistors.SchLib</ns0:v>
      </ns0:c>
      <ns0:c r="N295" t="str" s="13">
        <ns0:v>RESC1608X55N</ns0:v>
      </ns0:c>
      <ns0:c r="O295" t="str" s="13">
        <ns0:v>Footprints\PBL - SMD Packages.PcbLib</ns0:v>
      </ns0:c>
      <ns0:c r="P295" t="str" s="10">
        <ns0:v>RC_L; E24; P при 70 °C; U ≤ min(√(P·R), Umax)</ns0:v>
      </ns0:c>
      <ns0:c r="Q295" s="10"/>
      <ns0:c r="R295" t="str" s="11">
        <ns0:f>D295</ns0:f>
        <ns0:v>1,1 Ом</ns0:v>
      </ns0:c>
      <ns0:c r="S295" t="str" s="11">
        <ns0:f>K295</ns0:f>
        <ns0:v>Резистор 1,1 Ом ±1% 0603</ns0:v>
      </ns0:c>
      <x:c xmlns:x="http://schemas.openxmlformats.org/spreadsheetml/2006/main" r="T295" t="str" s="11">
        <x:v>C:\Users\Nomatin\Documents\Altium\MY_LIB\MY_LIB\Datasheets\YAGEO_RC_L.pdf</x:v>
      </x:c>
      <x:c xmlns:x="http://schemas.openxmlformats.org/spreadsheetml/2006/main" r="U295" t="str" s="11">
        <x:v>Даташит — локальный</x:v>
      </x:c>
      <x:c xmlns:x="http://schemas.openxmlformats.org/spreadsheetml/2006/main" r="V295" t="str" s="11">
        <x:v>C:\Users\Nomatin\Documents\Altium\MY_LIB\MY_LIB\Datasheets\YAGEO_RC_L.pdf</x:v>
      </x:c>
      <x:c xmlns:x="http://schemas.openxmlformats.org/spreadsheetml/2006/main" r="W295" t="str" s="11">
        <x:v>Даташит — производитель</x:v>
      </x:c>
      <x:c xmlns:x="http://schemas.openxmlformats.org/spreadsheetml/2006/main" r="X295" t="str" s="11">
        <x:v>https://yageogroup.com/content/datasheet/asset/file/PYU-RC_GROUP_51_ROHS_L</x:v>
      </x:c>
      <x:c xmlns:x="http://schemas.openxmlformats.org/spreadsheetml/2006/main" r="Y295" t="str" s="11">
        <x:v>C:\Users\Nomatin\Documents\Altium\MY_LIB\MY_LIB\Datasheets\YAGEO_RC_L.pdf</x:v>
      </x:c>
    </ns0:row>
    <ns0:row xmlns:ns0="http://schemas.openxmlformats.org/spreadsheetml/2006/main" r="296" ht="30" customHeight="1">
      <ns0:c r="A296" t="str" s="10">
        <ns0:v>R0302</ns0:v>
      </ns0:c>
      <ns0:c r="B296" t="str" s="10">
        <ns0:v>Резистор</ns0:v>
      </ns0:c>
      <ns0:c r="C296" t="str" s="10">
        <ns0:v>1.2R</ns0:v>
      </ns0:c>
      <ns0:c r="D296" t="str" s="11">
        <ns0:f>SUBSTITUTE(SUBSTITUTE(SUBSTITUTE(SUBSTITUTE(C296,"meg"," МОм"),"k"," кОм"),"R"," Ом"),".",",")</ns0:f>
        <ns0:v>1,2 Ом</ns0:v>
      </ns0:c>
      <ns0:c r="E296" t="str" s="10">
        <ns0:v>±1%</ns0:v>
      </ns0:c>
      <ns0:c r="F296" t="str" s="10">
        <ns0:v>0,1 Вт</ns0:v>
      </ns0:c>
      <ns0:c r="G296" t="str" s="10">
        <ns0:v>75 В макс.</ns0:v>
      </ns0:c>
      <ns0:c r="H296" t="str" s="12">
        <ns0:v>0603</ns0:v>
      </ns0:c>
      <ns0:c r="I296" t="str" s="10">
        <ns0:v>YAGEO</ns0:v>
      </ns0:c>
      <ns0:c r="J296" t="str" s="10">
        <ns0:v>RC0603FR-071R2L</ns0:v>
      </ns0:c>
      <ns0:c r="K296" t="str" s="11">
        <ns0:f>B296&amp;" "&amp;D296&amp;" "&amp;E296&amp;" "&amp;H296</ns0:f>
        <ns0:v>Резистор 1,2 Ом ±1% 0603</ns0:v>
      </ns0:c>
      <ns0:c r="L296" t="str" s="13">
        <ns0:v>R</ns0:v>
      </ns0:c>
      <ns0:c r="M296" t="str" s="13">
        <ns0:v>Symbols\MY_LIB_Resistors.SchLib</ns0:v>
      </ns0:c>
      <ns0:c r="N296" t="str" s="13">
        <ns0:v>RESC1608X55N</ns0:v>
      </ns0:c>
      <ns0:c r="O296" t="str" s="13">
        <ns0:v>Footprints\PBL - SMD Packages.PcbLib</ns0:v>
      </ns0:c>
      <ns0:c r="P296" t="str" s="10">
        <ns0:v>RC_L; E24; P при 70 °C; U ≤ min(√(P·R), Umax)</ns0:v>
      </ns0:c>
      <ns0:c r="Q296" s="10"/>
      <ns0:c r="R296" t="str" s="11">
        <ns0:f>D296</ns0:f>
        <ns0:v>1,2 Ом</ns0:v>
      </ns0:c>
      <ns0:c r="S296" t="str" s="11">
        <ns0:f>K296</ns0:f>
        <ns0:v>Резистор 1,2 Ом ±1% 0603</ns0:v>
      </ns0:c>
      <x:c xmlns:x="http://schemas.openxmlformats.org/spreadsheetml/2006/main" r="T296" t="str" s="11">
        <x:v>C:\Users\Nomatin\Documents\Altium\MY_LIB\MY_LIB\Datasheets\YAGEO_RC_L.pdf</x:v>
      </x:c>
      <x:c xmlns:x="http://schemas.openxmlformats.org/spreadsheetml/2006/main" r="U296" t="str" s="11">
        <x:v>Даташит — локальный</x:v>
      </x:c>
      <x:c xmlns:x="http://schemas.openxmlformats.org/spreadsheetml/2006/main" r="V296" t="str" s="11">
        <x:v>C:\Users\Nomatin\Documents\Altium\MY_LIB\MY_LIB\Datasheets\YAGEO_RC_L.pdf</x:v>
      </x:c>
      <x:c xmlns:x="http://schemas.openxmlformats.org/spreadsheetml/2006/main" r="W296" t="str" s="11">
        <x:v>Даташит — производитель</x:v>
      </x:c>
      <x:c xmlns:x="http://schemas.openxmlformats.org/spreadsheetml/2006/main" r="X296" t="str" s="11">
        <x:v>https://yageogroup.com/content/datasheet/asset/file/PYU-RC_GROUP_51_ROHS_L</x:v>
      </x:c>
      <x:c xmlns:x="http://schemas.openxmlformats.org/spreadsheetml/2006/main" r="Y296" t="str" s="11">
        <x:v>C:\Users\Nomatin\Documents\Altium\MY_LIB\MY_LIB\Datasheets\YAGEO_RC_L.pdf</x:v>
      </x:c>
    </ns0:row>
    <ns0:row xmlns:ns0="http://schemas.openxmlformats.org/spreadsheetml/2006/main" r="297" ht="30" customHeight="1">
      <ns0:c r="A297" t="str" s="10">
        <ns0:v>R0303</ns0:v>
      </ns0:c>
      <ns0:c r="B297" t="str" s="10">
        <ns0:v>Резистор</ns0:v>
      </ns0:c>
      <ns0:c r="C297" t="str" s="10">
        <ns0:v>1.3R</ns0:v>
      </ns0:c>
      <ns0:c r="D297" t="str" s="11">
        <ns0:f>SUBSTITUTE(SUBSTITUTE(SUBSTITUTE(SUBSTITUTE(C297,"meg"," МОм"),"k"," кОм"),"R"," Ом"),".",",")</ns0:f>
        <ns0:v>1,3 Ом</ns0:v>
      </ns0:c>
      <ns0:c r="E297" t="str" s="10">
        <ns0:v>±1%</ns0:v>
      </ns0:c>
      <ns0:c r="F297" t="str" s="10">
        <ns0:v>0,1 Вт</ns0:v>
      </ns0:c>
      <ns0:c r="G297" t="str" s="10">
        <ns0:v>75 В макс.</ns0:v>
      </ns0:c>
      <ns0:c r="H297" t="str" s="12">
        <ns0:v>0603</ns0:v>
      </ns0:c>
      <ns0:c r="I297" t="str" s="10">
        <ns0:v>YAGEO</ns0:v>
      </ns0:c>
      <ns0:c r="J297" t="str" s="10">
        <ns0:v>RC0603FR-071R3L</ns0:v>
      </ns0:c>
      <ns0:c r="K297" t="str" s="11">
        <ns0:f>B297&amp;" "&amp;D297&amp;" "&amp;E297&amp;" "&amp;H297</ns0:f>
        <ns0:v>Резистор 1,3 Ом ±1% 0603</ns0:v>
      </ns0:c>
      <ns0:c r="L297" t="str" s="13">
        <ns0:v>R</ns0:v>
      </ns0:c>
      <ns0:c r="M297" t="str" s="13">
        <ns0:v>Symbols\MY_LIB_Resistors.SchLib</ns0:v>
      </ns0:c>
      <ns0:c r="N297" t="str" s="13">
        <ns0:v>RESC1608X55N</ns0:v>
      </ns0:c>
      <ns0:c r="O297" t="str" s="13">
        <ns0:v>Footprints\PBL - SMD Packages.PcbLib</ns0:v>
      </ns0:c>
      <ns0:c r="P297" t="str" s="10">
        <ns0:v>RC_L; E24; P при 70 °C; U ≤ min(√(P·R), Umax)</ns0:v>
      </ns0:c>
      <ns0:c r="Q297" s="10"/>
      <ns0:c r="R297" t="str" s="11">
        <ns0:f>D297</ns0:f>
        <ns0:v>1,3 Ом</ns0:v>
      </ns0:c>
      <ns0:c r="S297" t="str" s="11">
        <ns0:f>K297</ns0:f>
        <ns0:v>Резистор 1,3 Ом ±1% 0603</ns0:v>
      </ns0:c>
      <x:c xmlns:x="http://schemas.openxmlformats.org/spreadsheetml/2006/main" r="T297" t="str" s="11">
        <x:v>C:\Users\Nomatin\Documents\Altium\MY_LIB\MY_LIB\Datasheets\YAGEO_RC_L.pdf</x:v>
      </x:c>
      <x:c xmlns:x="http://schemas.openxmlformats.org/spreadsheetml/2006/main" r="U297" t="str" s="11">
        <x:v>Даташит — локальный</x:v>
      </x:c>
      <x:c xmlns:x="http://schemas.openxmlformats.org/spreadsheetml/2006/main" r="V297" t="str" s="11">
        <x:v>C:\Users\Nomatin\Documents\Altium\MY_LIB\MY_LIB\Datasheets\YAGEO_RC_L.pdf</x:v>
      </x:c>
      <x:c xmlns:x="http://schemas.openxmlformats.org/spreadsheetml/2006/main" r="W297" t="str" s="11">
        <x:v>Даташит — производитель</x:v>
      </x:c>
      <x:c xmlns:x="http://schemas.openxmlformats.org/spreadsheetml/2006/main" r="X297" t="str" s="11">
        <x:v>https://yageogroup.com/content/datasheet/asset/file/PYU-RC_GROUP_51_ROHS_L</x:v>
      </x:c>
      <x:c xmlns:x="http://schemas.openxmlformats.org/spreadsheetml/2006/main" r="Y297" t="str" s="11">
        <x:v>C:\Users\Nomatin\Documents\Altium\MY_LIB\MY_LIB\Datasheets\YAGEO_RC_L.pdf</x:v>
      </x:c>
    </ns0:row>
    <ns0:row xmlns:ns0="http://schemas.openxmlformats.org/spreadsheetml/2006/main" r="298" ht="30" customHeight="1">
      <ns0:c r="A298" t="str" s="10">
        <ns0:v>R0304</ns0:v>
      </ns0:c>
      <ns0:c r="B298" t="str" s="10">
        <ns0:v>Резистор</ns0:v>
      </ns0:c>
      <ns0:c r="C298" t="str" s="10">
        <ns0:v>1.5R</ns0:v>
      </ns0:c>
      <ns0:c r="D298" t="str" s="11">
        <ns0:f>SUBSTITUTE(SUBSTITUTE(SUBSTITUTE(SUBSTITUTE(C298,"meg"," МОм"),"k"," кОм"),"R"," Ом"),".",",")</ns0:f>
        <ns0:v>1,5 Ом</ns0:v>
      </ns0:c>
      <ns0:c r="E298" t="str" s="10">
        <ns0:v>±1%</ns0:v>
      </ns0:c>
      <ns0:c r="F298" t="str" s="10">
        <ns0:v>0,1 Вт</ns0:v>
      </ns0:c>
      <ns0:c r="G298" t="str" s="10">
        <ns0:v>75 В макс.</ns0:v>
      </ns0:c>
      <ns0:c r="H298" t="str" s="12">
        <ns0:v>0603</ns0:v>
      </ns0:c>
      <ns0:c r="I298" t="str" s="10">
        <ns0:v>YAGEO</ns0:v>
      </ns0:c>
      <ns0:c r="J298" t="str" s="10">
        <ns0:v>RC0603FR-071R5L</ns0:v>
      </ns0:c>
      <ns0:c r="K298" t="str" s="11">
        <ns0:f>B298&amp;" "&amp;D298&amp;" "&amp;E298&amp;" "&amp;H298</ns0:f>
        <ns0:v>Резистор 1,5 Ом ±1% 0603</ns0:v>
      </ns0:c>
      <ns0:c r="L298" t="str" s="13">
        <ns0:v>R</ns0:v>
      </ns0:c>
      <ns0:c r="M298" t="str" s="13">
        <ns0:v>Symbols\MY_LIB_Resistors.SchLib</ns0:v>
      </ns0:c>
      <ns0:c r="N298" t="str" s="13">
        <ns0:v>RESC1608X55N</ns0:v>
      </ns0:c>
      <ns0:c r="O298" t="str" s="13">
        <ns0:v>Footprints\PBL - SMD Packages.PcbLib</ns0:v>
      </ns0:c>
      <ns0:c r="P298" t="str" s="10">
        <ns0:v>RC_L; E24; P при 70 °C; U ≤ min(√(P·R), Umax)</ns0:v>
      </ns0:c>
      <ns0:c r="Q298" s="10"/>
      <ns0:c r="R298" t="str" s="11">
        <ns0:f>D298</ns0:f>
        <ns0:v>1,5 Ом</ns0:v>
      </ns0:c>
      <ns0:c r="S298" t="str" s="11">
        <ns0:f>K298</ns0:f>
        <ns0:v>Резистор 1,5 Ом ±1% 0603</ns0:v>
      </ns0:c>
      <x:c xmlns:x="http://schemas.openxmlformats.org/spreadsheetml/2006/main" r="T298" t="str" s="11">
        <x:v>C:\Users\Nomatin\Documents\Altium\MY_LIB\MY_LIB\Datasheets\YAGEO_RC_L.pdf</x:v>
      </x:c>
      <x:c xmlns:x="http://schemas.openxmlformats.org/spreadsheetml/2006/main" r="U298" t="str" s="11">
        <x:v>Даташит — локальный</x:v>
      </x:c>
      <x:c xmlns:x="http://schemas.openxmlformats.org/spreadsheetml/2006/main" r="V298" t="str" s="11">
        <x:v>C:\Users\Nomatin\Documents\Altium\MY_LIB\MY_LIB\Datasheets\YAGEO_RC_L.pdf</x:v>
      </x:c>
      <x:c xmlns:x="http://schemas.openxmlformats.org/spreadsheetml/2006/main" r="W298" t="str" s="11">
        <x:v>Даташит — производитель</x:v>
      </x:c>
      <x:c xmlns:x="http://schemas.openxmlformats.org/spreadsheetml/2006/main" r="X298" t="str" s="11">
        <x:v>https://yageogroup.com/content/datasheet/asset/file/PYU-RC_GROUP_51_ROHS_L</x:v>
      </x:c>
      <x:c xmlns:x="http://schemas.openxmlformats.org/spreadsheetml/2006/main" r="Y298" t="str" s="11">
        <x:v>C:\Users\Nomatin\Documents\Altium\MY_LIB\MY_LIB\Datasheets\YAGEO_RC_L.pdf</x:v>
      </x:c>
    </ns0:row>
    <ns0:row xmlns:ns0="http://schemas.openxmlformats.org/spreadsheetml/2006/main" r="299" ht="30" customHeight="1">
      <ns0:c r="A299" t="str" s="10">
        <ns0:v>R0305</ns0:v>
      </ns0:c>
      <ns0:c r="B299" t="str" s="10">
        <ns0:v>Резистор</ns0:v>
      </ns0:c>
      <ns0:c r="C299" t="str" s="10">
        <ns0:v>1.6R</ns0:v>
      </ns0:c>
      <ns0:c r="D299" t="str" s="11">
        <ns0:f>SUBSTITUTE(SUBSTITUTE(SUBSTITUTE(SUBSTITUTE(C299,"meg"," МОм"),"k"," кОм"),"R"," Ом"),".",",")</ns0:f>
        <ns0:v>1,6 Ом</ns0:v>
      </ns0:c>
      <ns0:c r="E299" t="str" s="10">
        <ns0:v>±1%</ns0:v>
      </ns0:c>
      <ns0:c r="F299" t="str" s="10">
        <ns0:v>0,1 Вт</ns0:v>
      </ns0:c>
      <ns0:c r="G299" t="str" s="10">
        <ns0:v>75 В макс.</ns0:v>
      </ns0:c>
      <ns0:c r="H299" t="str" s="12">
        <ns0:v>0603</ns0:v>
      </ns0:c>
      <ns0:c r="I299" t="str" s="10">
        <ns0:v>YAGEO</ns0:v>
      </ns0:c>
      <ns0:c r="J299" t="str" s="10">
        <ns0:v>RC0603FR-071R6L</ns0:v>
      </ns0:c>
      <ns0:c r="K299" t="str" s="11">
        <ns0:f>B299&amp;" "&amp;D299&amp;" "&amp;E299&amp;" "&amp;H299</ns0:f>
        <ns0:v>Резистор 1,6 Ом ±1% 0603</ns0:v>
      </ns0:c>
      <ns0:c r="L299" t="str" s="13">
        <ns0:v>R</ns0:v>
      </ns0:c>
      <ns0:c r="M299" t="str" s="13">
        <ns0:v>Symbols\MY_LIB_Resistors.SchLib</ns0:v>
      </ns0:c>
      <ns0:c r="N299" t="str" s="13">
        <ns0:v>RESC1608X55N</ns0:v>
      </ns0:c>
      <ns0:c r="O299" t="str" s="13">
        <ns0:v>Footprints\PBL - SMD Packages.PcbLib</ns0:v>
      </ns0:c>
      <ns0:c r="P299" t="str" s="10">
        <ns0:v>RC_L; E24; P при 70 °C; U ≤ min(√(P·R), Umax)</ns0:v>
      </ns0:c>
      <ns0:c r="Q299" s="10"/>
      <ns0:c r="R299" t="str" s="11">
        <ns0:f>D299</ns0:f>
        <ns0:v>1,6 Ом</ns0:v>
      </ns0:c>
      <ns0:c r="S299" t="str" s="11">
        <ns0:f>K299</ns0:f>
        <ns0:v>Резистор 1,6 Ом ±1% 0603</ns0:v>
      </ns0:c>
      <x:c xmlns:x="http://schemas.openxmlformats.org/spreadsheetml/2006/main" r="T299" t="str" s="11">
        <x:v>C:\Users\Nomatin\Documents\Altium\MY_LIB\MY_LIB\Datasheets\YAGEO_RC_L.pdf</x:v>
      </x:c>
      <x:c xmlns:x="http://schemas.openxmlformats.org/spreadsheetml/2006/main" r="U299" t="str" s="11">
        <x:v>Даташит — локальный</x:v>
      </x:c>
      <x:c xmlns:x="http://schemas.openxmlformats.org/spreadsheetml/2006/main" r="V299" t="str" s="11">
        <x:v>C:\Users\Nomatin\Documents\Altium\MY_LIB\MY_LIB\Datasheets\YAGEO_RC_L.pdf</x:v>
      </x:c>
      <x:c xmlns:x="http://schemas.openxmlformats.org/spreadsheetml/2006/main" r="W299" t="str" s="11">
        <x:v>Даташит — производитель</x:v>
      </x:c>
      <x:c xmlns:x="http://schemas.openxmlformats.org/spreadsheetml/2006/main" r="X299" t="str" s="11">
        <x:v>https://yageogroup.com/content/datasheet/asset/file/PYU-RC_GROUP_51_ROHS_L</x:v>
      </x:c>
      <x:c xmlns:x="http://schemas.openxmlformats.org/spreadsheetml/2006/main" r="Y299" t="str" s="11">
        <x:v>C:\Users\Nomatin\Documents\Altium\MY_LIB\MY_LIB\Datasheets\YAGEO_RC_L.pdf</x:v>
      </x:c>
    </ns0:row>
    <ns0:row xmlns:ns0="http://schemas.openxmlformats.org/spreadsheetml/2006/main" r="300" ht="30" customHeight="1">
      <ns0:c r="A300" t="str" s="10">
        <ns0:v>R0306</ns0:v>
      </ns0:c>
      <ns0:c r="B300" t="str" s="10">
        <ns0:v>Резистор</ns0:v>
      </ns0:c>
      <ns0:c r="C300" t="str" s="10">
        <ns0:v>1.8R</ns0:v>
      </ns0:c>
      <ns0:c r="D300" t="str" s="11">
        <ns0:f>SUBSTITUTE(SUBSTITUTE(SUBSTITUTE(SUBSTITUTE(C300,"meg"," МОм"),"k"," кОм"),"R"," Ом"),".",",")</ns0:f>
        <ns0:v>1,8 Ом</ns0:v>
      </ns0:c>
      <ns0:c r="E300" t="str" s="10">
        <ns0:v>±1%</ns0:v>
      </ns0:c>
      <ns0:c r="F300" t="str" s="10">
        <ns0:v>0,1 Вт</ns0:v>
      </ns0:c>
      <ns0:c r="G300" t="str" s="10">
        <ns0:v>75 В макс.</ns0:v>
      </ns0:c>
      <ns0:c r="H300" t="str" s="12">
        <ns0:v>0603</ns0:v>
      </ns0:c>
      <ns0:c r="I300" t="str" s="10">
        <ns0:v>YAGEO</ns0:v>
      </ns0:c>
      <ns0:c r="J300" t="str" s="10">
        <ns0:v>RC0603FR-071R8L</ns0:v>
      </ns0:c>
      <ns0:c r="K300" t="str" s="11">
        <ns0:f>B300&amp;" "&amp;D300&amp;" "&amp;E300&amp;" "&amp;H300</ns0:f>
        <ns0:v>Резистор 1,8 Ом ±1% 0603</ns0:v>
      </ns0:c>
      <ns0:c r="L300" t="str" s="13">
        <ns0:v>R</ns0:v>
      </ns0:c>
      <ns0:c r="M300" t="str" s="13">
        <ns0:v>Symbols\MY_LIB_Resistors.SchLib</ns0:v>
      </ns0:c>
      <ns0:c r="N300" t="str" s="13">
        <ns0:v>RESC1608X55N</ns0:v>
      </ns0:c>
      <ns0:c r="O300" t="str" s="13">
        <ns0:v>Footprints\PBL - SMD Packages.PcbLib</ns0:v>
      </ns0:c>
      <ns0:c r="P300" t="str" s="10">
        <ns0:v>RC_L; E24; P при 70 °C; U ≤ min(√(P·R), Umax)</ns0:v>
      </ns0:c>
      <ns0:c r="Q300" s="10"/>
      <ns0:c r="R300" t="str" s="11">
        <ns0:f>D300</ns0:f>
        <ns0:v>1,8 Ом</ns0:v>
      </ns0:c>
      <ns0:c r="S300" t="str" s="11">
        <ns0:f>K300</ns0:f>
        <ns0:v>Резистор 1,8 Ом ±1% 0603</ns0:v>
      </ns0:c>
      <x:c xmlns:x="http://schemas.openxmlformats.org/spreadsheetml/2006/main" r="T300" t="str" s="11">
        <x:v>C:\Users\Nomatin\Documents\Altium\MY_LIB\MY_LIB\Datasheets\YAGEO_RC_L.pdf</x:v>
      </x:c>
      <x:c xmlns:x="http://schemas.openxmlformats.org/spreadsheetml/2006/main" r="U300" t="str" s="11">
        <x:v>Даташит — локальный</x:v>
      </x:c>
      <x:c xmlns:x="http://schemas.openxmlformats.org/spreadsheetml/2006/main" r="V300" t="str" s="11">
        <x:v>C:\Users\Nomatin\Documents\Altium\MY_LIB\MY_LIB\Datasheets\YAGEO_RC_L.pdf</x:v>
      </x:c>
      <x:c xmlns:x="http://schemas.openxmlformats.org/spreadsheetml/2006/main" r="W300" t="str" s="11">
        <x:v>Даташит — производитель</x:v>
      </x:c>
      <x:c xmlns:x="http://schemas.openxmlformats.org/spreadsheetml/2006/main" r="X300" t="str" s="11">
        <x:v>https://yageogroup.com/content/datasheet/asset/file/PYU-RC_GROUP_51_ROHS_L</x:v>
      </x:c>
      <x:c xmlns:x="http://schemas.openxmlformats.org/spreadsheetml/2006/main" r="Y300" t="str" s="11">
        <x:v>C:\Users\Nomatin\Documents\Altium\MY_LIB\MY_LIB\Datasheets\YAGEO_RC_L.pdf</x:v>
      </x:c>
    </ns0:row>
    <ns0:row xmlns:ns0="http://schemas.openxmlformats.org/spreadsheetml/2006/main" r="301" ht="30" customHeight="1">
      <ns0:c r="A301" t="str" s="10">
        <ns0:v>R0307</ns0:v>
      </ns0:c>
      <ns0:c r="B301" t="str" s="10">
        <ns0:v>Резистор</ns0:v>
      </ns0:c>
      <ns0:c r="C301" t="str" s="10">
        <ns0:v>2R</ns0:v>
      </ns0:c>
      <ns0:c r="D301" t="str" s="11">
        <ns0:f>SUBSTITUTE(SUBSTITUTE(SUBSTITUTE(SUBSTITUTE(C301,"meg"," МОм"),"k"," кОм"),"R"," Ом"),".",",")</ns0:f>
        <ns0:v>2 Ом</ns0:v>
      </ns0:c>
      <ns0:c r="E301" t="str" s="10">
        <ns0:v>±1%</ns0:v>
      </ns0:c>
      <ns0:c r="F301" t="str" s="10">
        <ns0:v>0,1 Вт</ns0:v>
      </ns0:c>
      <ns0:c r="G301" t="str" s="10">
        <ns0:v>75 В макс.</ns0:v>
      </ns0:c>
      <ns0:c r="H301" t="str" s="12">
        <ns0:v>0603</ns0:v>
      </ns0:c>
      <ns0:c r="I301" t="str" s="10">
        <ns0:v>YAGEO</ns0:v>
      </ns0:c>
      <ns0:c r="J301" t="str" s="10">
        <ns0:v>RC0603FR-072RL</ns0:v>
      </ns0:c>
      <ns0:c r="K301" t="str" s="11">
        <ns0:f>B301&amp;" "&amp;D301&amp;" "&amp;E301&amp;" "&amp;H301</ns0:f>
        <ns0:v>Резистор 2 Ом ±1% 0603</ns0:v>
      </ns0:c>
      <ns0:c r="L301" t="str" s="13">
        <ns0:v>R</ns0:v>
      </ns0:c>
      <ns0:c r="M301" t="str" s="13">
        <ns0:v>Symbols\MY_LIB_Resistors.SchLib</ns0:v>
      </ns0:c>
      <ns0:c r="N301" t="str" s="13">
        <ns0:v>RESC1608X55N</ns0:v>
      </ns0:c>
      <ns0:c r="O301" t="str" s="13">
        <ns0:v>Footprints\PBL - SMD Packages.PcbLib</ns0:v>
      </ns0:c>
      <ns0:c r="P301" t="str" s="10">
        <ns0:v>RC_L; E24; P при 70 °C; U ≤ min(√(P·R), Umax)</ns0:v>
      </ns0:c>
      <ns0:c r="Q301" s="10"/>
      <ns0:c r="R301" t="str" s="11">
        <ns0:f>D301</ns0:f>
        <ns0:v>2 Ом</ns0:v>
      </ns0:c>
      <ns0:c r="S301" t="str" s="11">
        <ns0:f>K301</ns0:f>
        <ns0:v>Резистор 2 Ом ±1% 0603</ns0:v>
      </ns0:c>
      <x:c xmlns:x="http://schemas.openxmlformats.org/spreadsheetml/2006/main" r="T301" t="str" s="11">
        <x:v>C:\Users\Nomatin\Documents\Altium\MY_LIB\MY_LIB\Datasheets\YAGEO_RC_L.pdf</x:v>
      </x:c>
      <x:c xmlns:x="http://schemas.openxmlformats.org/spreadsheetml/2006/main" r="U301" t="str" s="11">
        <x:v>Даташит — локальный</x:v>
      </x:c>
      <x:c xmlns:x="http://schemas.openxmlformats.org/spreadsheetml/2006/main" r="V301" t="str" s="11">
        <x:v>C:\Users\Nomatin\Documents\Altium\MY_LIB\MY_LIB\Datasheets\YAGEO_RC_L.pdf</x:v>
      </x:c>
      <x:c xmlns:x="http://schemas.openxmlformats.org/spreadsheetml/2006/main" r="W301" t="str" s="11">
        <x:v>Даташит — производитель</x:v>
      </x:c>
      <x:c xmlns:x="http://schemas.openxmlformats.org/spreadsheetml/2006/main" r="X301" t="str" s="11">
        <x:v>https://yageogroup.com/content/datasheet/asset/file/PYU-RC_GROUP_51_ROHS_L</x:v>
      </x:c>
      <x:c xmlns:x="http://schemas.openxmlformats.org/spreadsheetml/2006/main" r="Y301" t="str" s="11">
        <x:v>C:\Users\Nomatin\Documents\Altium\MY_LIB\MY_LIB\Datasheets\YAGEO_RC_L.pdf</x:v>
      </x:c>
    </ns0:row>
    <ns0:row xmlns:ns0="http://schemas.openxmlformats.org/spreadsheetml/2006/main" r="302" ht="30" customHeight="1">
      <ns0:c r="A302" t="str" s="10">
        <ns0:v>R0308</ns0:v>
      </ns0:c>
      <ns0:c r="B302" t="str" s="10">
        <ns0:v>Резистор</ns0:v>
      </ns0:c>
      <ns0:c r="C302" t="str" s="10">
        <ns0:v>2.2R</ns0:v>
      </ns0:c>
      <ns0:c r="D302" t="str" s="11">
        <ns0:f>SUBSTITUTE(SUBSTITUTE(SUBSTITUTE(SUBSTITUTE(C302,"meg"," МОм"),"k"," кОм"),"R"," Ом"),".",",")</ns0:f>
        <ns0:v>2,2 Ом</ns0:v>
      </ns0:c>
      <ns0:c r="E302" t="str" s="10">
        <ns0:v>±1%</ns0:v>
      </ns0:c>
      <ns0:c r="F302" t="str" s="10">
        <ns0:v>0,1 Вт</ns0:v>
      </ns0:c>
      <ns0:c r="G302" t="str" s="10">
        <ns0:v>75 В макс.</ns0:v>
      </ns0:c>
      <ns0:c r="H302" t="str" s="12">
        <ns0:v>0603</ns0:v>
      </ns0:c>
      <ns0:c r="I302" t="str" s="10">
        <ns0:v>YAGEO</ns0:v>
      </ns0:c>
      <ns0:c r="J302" t="str" s="10">
        <ns0:v>RC0603FR-072R2L</ns0:v>
      </ns0:c>
      <ns0:c r="K302" t="str" s="11">
        <ns0:f>B302&amp;" "&amp;D302&amp;" "&amp;E302&amp;" "&amp;H302</ns0:f>
        <ns0:v>Резистор 2,2 Ом ±1% 0603</ns0:v>
      </ns0:c>
      <ns0:c r="L302" t="str" s="13">
        <ns0:v>R</ns0:v>
      </ns0:c>
      <ns0:c r="M302" t="str" s="13">
        <ns0:v>Symbols\MY_LIB_Resistors.SchLib</ns0:v>
      </ns0:c>
      <ns0:c r="N302" t="str" s="13">
        <ns0:v>RESC1608X55N</ns0:v>
      </ns0:c>
      <ns0:c r="O302" t="str" s="13">
        <ns0:v>Footprints\PBL - SMD Packages.PcbLib</ns0:v>
      </ns0:c>
      <ns0:c r="P302" t="str" s="10">
        <ns0:v>RC_L; E24; P при 70 °C; U ≤ min(√(P·R), Umax)</ns0:v>
      </ns0:c>
      <ns0:c r="Q302" s="10"/>
      <ns0:c r="R302" t="str" s="11">
        <ns0:f>D302</ns0:f>
        <ns0:v>2,2 Ом</ns0:v>
      </ns0:c>
      <ns0:c r="S302" t="str" s="11">
        <ns0:f>K302</ns0:f>
        <ns0:v>Резистор 2,2 Ом ±1% 0603</ns0:v>
      </ns0:c>
      <x:c xmlns:x="http://schemas.openxmlformats.org/spreadsheetml/2006/main" r="T302" t="str" s="11">
        <x:v>C:\Users\Nomatin\Documents\Altium\MY_LIB\MY_LIB\Datasheets\YAGEO_RC_L.pdf</x:v>
      </x:c>
      <x:c xmlns:x="http://schemas.openxmlformats.org/spreadsheetml/2006/main" r="U302" t="str" s="11">
        <x:v>Даташит — локальный</x:v>
      </x:c>
      <x:c xmlns:x="http://schemas.openxmlformats.org/spreadsheetml/2006/main" r="V302" t="str" s="11">
        <x:v>C:\Users\Nomatin\Documents\Altium\MY_LIB\MY_LIB\Datasheets\YAGEO_RC_L.pdf</x:v>
      </x:c>
      <x:c xmlns:x="http://schemas.openxmlformats.org/spreadsheetml/2006/main" r="W302" t="str" s="11">
        <x:v>Даташит — производитель</x:v>
      </x:c>
      <x:c xmlns:x="http://schemas.openxmlformats.org/spreadsheetml/2006/main" r="X302" t="str" s="11">
        <x:v>https://yageogroup.com/content/datasheet/asset/file/PYU-RC_GROUP_51_ROHS_L</x:v>
      </x:c>
      <x:c xmlns:x="http://schemas.openxmlformats.org/spreadsheetml/2006/main" r="Y302" t="str" s="11">
        <x:v>C:\Users\Nomatin\Documents\Altium\MY_LIB\MY_LIB\Datasheets\YAGEO_RC_L.pdf</x:v>
      </x:c>
    </ns0:row>
    <ns0:row xmlns:ns0="http://schemas.openxmlformats.org/spreadsheetml/2006/main" r="303" ht="30" customHeight="1">
      <ns0:c r="A303" t="str" s="10">
        <ns0:v>R0309</ns0:v>
      </ns0:c>
      <ns0:c r="B303" t="str" s="10">
        <ns0:v>Резистор</ns0:v>
      </ns0:c>
      <ns0:c r="C303" t="str" s="10">
        <ns0:v>2.4R</ns0:v>
      </ns0:c>
      <ns0:c r="D303" t="str" s="11">
        <ns0:f>SUBSTITUTE(SUBSTITUTE(SUBSTITUTE(SUBSTITUTE(C303,"meg"," МОм"),"k"," кОм"),"R"," Ом"),".",",")</ns0:f>
        <ns0:v>2,4 Ом</ns0:v>
      </ns0:c>
      <ns0:c r="E303" t="str" s="10">
        <ns0:v>±1%</ns0:v>
      </ns0:c>
      <ns0:c r="F303" t="str" s="10">
        <ns0:v>0,1 Вт</ns0:v>
      </ns0:c>
      <ns0:c r="G303" t="str" s="10">
        <ns0:v>75 В макс.</ns0:v>
      </ns0:c>
      <ns0:c r="H303" t="str" s="12">
        <ns0:v>0603</ns0:v>
      </ns0:c>
      <ns0:c r="I303" t="str" s="10">
        <ns0:v>YAGEO</ns0:v>
      </ns0:c>
      <ns0:c r="J303" t="str" s="10">
        <ns0:v>RC0603FR-072R4L</ns0:v>
      </ns0:c>
      <ns0:c r="K303" t="str" s="11">
        <ns0:f>B303&amp;" "&amp;D303&amp;" "&amp;E303&amp;" "&amp;H303</ns0:f>
        <ns0:v>Резистор 2,4 Ом ±1% 0603</ns0:v>
      </ns0:c>
      <ns0:c r="L303" t="str" s="13">
        <ns0:v>R</ns0:v>
      </ns0:c>
      <ns0:c r="M303" t="str" s="13">
        <ns0:v>Symbols\MY_LIB_Resistors.SchLib</ns0:v>
      </ns0:c>
      <ns0:c r="N303" t="str" s="13">
        <ns0:v>RESC1608X55N</ns0:v>
      </ns0:c>
      <ns0:c r="O303" t="str" s="13">
        <ns0:v>Footprints\PBL - SMD Packages.PcbLib</ns0:v>
      </ns0:c>
      <ns0:c r="P303" t="str" s="10">
        <ns0:v>RC_L; E24; P при 70 °C; U ≤ min(√(P·R), Umax)</ns0:v>
      </ns0:c>
      <ns0:c r="Q303" s="10"/>
      <ns0:c r="R303" t="str" s="11">
        <ns0:f>D303</ns0:f>
        <ns0:v>2,4 Ом</ns0:v>
      </ns0:c>
      <ns0:c r="S303" t="str" s="11">
        <ns0:f>K303</ns0:f>
        <ns0:v>Резистор 2,4 Ом ±1% 0603</ns0:v>
      </ns0:c>
      <x:c xmlns:x="http://schemas.openxmlformats.org/spreadsheetml/2006/main" r="T303" t="str" s="11">
        <x:v>C:\Users\Nomatin\Documents\Altium\MY_LIB\MY_LIB\Datasheets\YAGEO_RC_L.pdf</x:v>
      </x:c>
      <x:c xmlns:x="http://schemas.openxmlformats.org/spreadsheetml/2006/main" r="U303" t="str" s="11">
        <x:v>Даташит — локальный</x:v>
      </x:c>
      <x:c xmlns:x="http://schemas.openxmlformats.org/spreadsheetml/2006/main" r="V303" t="str" s="11">
        <x:v>C:\Users\Nomatin\Documents\Altium\MY_LIB\MY_LIB\Datasheets\YAGEO_RC_L.pdf</x:v>
      </x:c>
      <x:c xmlns:x="http://schemas.openxmlformats.org/spreadsheetml/2006/main" r="W303" t="str" s="11">
        <x:v>Даташит — производитель</x:v>
      </x:c>
      <x:c xmlns:x="http://schemas.openxmlformats.org/spreadsheetml/2006/main" r="X303" t="str" s="11">
        <x:v>https://yageogroup.com/content/datasheet/asset/file/PYU-RC_GROUP_51_ROHS_L</x:v>
      </x:c>
      <x:c xmlns:x="http://schemas.openxmlformats.org/spreadsheetml/2006/main" r="Y303" t="str" s="11">
        <x:v>C:\Users\Nomatin\Documents\Altium\MY_LIB\MY_LIB\Datasheets\YAGEO_RC_L.pdf</x:v>
      </x:c>
    </ns0:row>
    <ns0:row xmlns:ns0="http://schemas.openxmlformats.org/spreadsheetml/2006/main" r="304" ht="30" customHeight="1">
      <ns0:c r="A304" t="str" s="10">
        <ns0:v>R0310</ns0:v>
      </ns0:c>
      <ns0:c r="B304" t="str" s="10">
        <ns0:v>Резистор</ns0:v>
      </ns0:c>
      <ns0:c r="C304" t="str" s="10">
        <ns0:v>2.7R</ns0:v>
      </ns0:c>
      <ns0:c r="D304" t="str" s="11">
        <ns0:f>SUBSTITUTE(SUBSTITUTE(SUBSTITUTE(SUBSTITUTE(C304,"meg"," МОм"),"k"," кОм"),"R"," Ом"),".",",")</ns0:f>
        <ns0:v>2,7 Ом</ns0:v>
      </ns0:c>
      <ns0:c r="E304" t="str" s="10">
        <ns0:v>±1%</ns0:v>
      </ns0:c>
      <ns0:c r="F304" t="str" s="10">
        <ns0:v>0,1 Вт</ns0:v>
      </ns0:c>
      <ns0:c r="G304" t="str" s="10">
        <ns0:v>75 В макс.</ns0:v>
      </ns0:c>
      <ns0:c r="H304" t="str" s="12">
        <ns0:v>0603</ns0:v>
      </ns0:c>
      <ns0:c r="I304" t="str" s="10">
        <ns0:v>YAGEO</ns0:v>
      </ns0:c>
      <ns0:c r="J304" t="str" s="10">
        <ns0:v>RC0603FR-072R7L</ns0:v>
      </ns0:c>
      <ns0:c r="K304" t="str" s="11">
        <ns0:f>B304&amp;" "&amp;D304&amp;" "&amp;E304&amp;" "&amp;H304</ns0:f>
        <ns0:v>Резистор 2,7 Ом ±1% 0603</ns0:v>
      </ns0:c>
      <ns0:c r="L304" t="str" s="13">
        <ns0:v>R</ns0:v>
      </ns0:c>
      <ns0:c r="M304" t="str" s="13">
        <ns0:v>Symbols\MY_LIB_Resistors.SchLib</ns0:v>
      </ns0:c>
      <ns0:c r="N304" t="str" s="13">
        <ns0:v>RESC1608X55N</ns0:v>
      </ns0:c>
      <ns0:c r="O304" t="str" s="13">
        <ns0:v>Footprints\PBL - SMD Packages.PcbLib</ns0:v>
      </ns0:c>
      <ns0:c r="P304" t="str" s="10">
        <ns0:v>RC_L; E24; P при 70 °C; U ≤ min(√(P·R), Umax)</ns0:v>
      </ns0:c>
      <ns0:c r="Q304" s="10"/>
      <ns0:c r="R304" t="str" s="11">
        <ns0:f>D304</ns0:f>
        <ns0:v>2,7 Ом</ns0:v>
      </ns0:c>
      <ns0:c r="S304" t="str" s="11">
        <ns0:f>K304</ns0:f>
        <ns0:v>Резистор 2,7 Ом ±1% 0603</ns0:v>
      </ns0:c>
      <x:c xmlns:x="http://schemas.openxmlformats.org/spreadsheetml/2006/main" r="T304" t="str" s="11">
        <x:v>C:\Users\Nomatin\Documents\Altium\MY_LIB\MY_LIB\Datasheets\YAGEO_RC_L.pdf</x:v>
      </x:c>
      <x:c xmlns:x="http://schemas.openxmlformats.org/spreadsheetml/2006/main" r="U304" t="str" s="11">
        <x:v>Даташит — локальный</x:v>
      </x:c>
      <x:c xmlns:x="http://schemas.openxmlformats.org/spreadsheetml/2006/main" r="V304" t="str" s="11">
        <x:v>C:\Users\Nomatin\Documents\Altium\MY_LIB\MY_LIB\Datasheets\YAGEO_RC_L.pdf</x:v>
      </x:c>
      <x:c xmlns:x="http://schemas.openxmlformats.org/spreadsheetml/2006/main" r="W304" t="str" s="11">
        <x:v>Даташит — производитель</x:v>
      </x:c>
      <x:c xmlns:x="http://schemas.openxmlformats.org/spreadsheetml/2006/main" r="X304" t="str" s="11">
        <x:v>https://yageogroup.com/content/datasheet/asset/file/PYU-RC_GROUP_51_ROHS_L</x:v>
      </x:c>
      <x:c xmlns:x="http://schemas.openxmlformats.org/spreadsheetml/2006/main" r="Y304" t="str" s="11">
        <x:v>C:\Users\Nomatin\Documents\Altium\MY_LIB\MY_LIB\Datasheets\YAGEO_RC_L.pdf</x:v>
      </x:c>
    </ns0:row>
    <ns0:row xmlns:ns0="http://schemas.openxmlformats.org/spreadsheetml/2006/main" r="305" ht="30" customHeight="1">
      <ns0:c r="A305" t="str" s="10">
        <ns0:v>R0311</ns0:v>
      </ns0:c>
      <ns0:c r="B305" t="str" s="10">
        <ns0:v>Резистор</ns0:v>
      </ns0:c>
      <ns0:c r="C305" t="str" s="10">
        <ns0:v>3R</ns0:v>
      </ns0:c>
      <ns0:c r="D305" t="str" s="11">
        <ns0:f>SUBSTITUTE(SUBSTITUTE(SUBSTITUTE(SUBSTITUTE(C305,"meg"," МОм"),"k"," кОм"),"R"," Ом"),".",",")</ns0:f>
        <ns0:v>3 Ом</ns0:v>
      </ns0:c>
      <ns0:c r="E305" t="str" s="10">
        <ns0:v>±1%</ns0:v>
      </ns0:c>
      <ns0:c r="F305" t="str" s="10">
        <ns0:v>0,1 Вт</ns0:v>
      </ns0:c>
      <ns0:c r="G305" t="str" s="10">
        <ns0:v>75 В макс.</ns0:v>
      </ns0:c>
      <ns0:c r="H305" t="str" s="12">
        <ns0:v>0603</ns0:v>
      </ns0:c>
      <ns0:c r="I305" t="str" s="10">
        <ns0:v>YAGEO</ns0:v>
      </ns0:c>
      <ns0:c r="J305" t="str" s="10">
        <ns0:v>RC0603FR-073RL</ns0:v>
      </ns0:c>
      <ns0:c r="K305" t="str" s="11">
        <ns0:f>B305&amp;" "&amp;D305&amp;" "&amp;E305&amp;" "&amp;H305</ns0:f>
        <ns0:v>Резистор 3 Ом ±1% 0603</ns0:v>
      </ns0:c>
      <ns0:c r="L305" t="str" s="13">
        <ns0:v>R</ns0:v>
      </ns0:c>
      <ns0:c r="M305" t="str" s="13">
        <ns0:v>Symbols\MY_LIB_Resistors.SchLib</ns0:v>
      </ns0:c>
      <ns0:c r="N305" t="str" s="13">
        <ns0:v>RESC1608X55N</ns0:v>
      </ns0:c>
      <ns0:c r="O305" t="str" s="13">
        <ns0:v>Footprints\PBL - SMD Packages.PcbLib</ns0:v>
      </ns0:c>
      <ns0:c r="P305" t="str" s="10">
        <ns0:v>RC_L; E24; P при 70 °C; U ≤ min(√(P·R), Umax)</ns0:v>
      </ns0:c>
      <ns0:c r="Q305" s="10"/>
      <ns0:c r="R305" t="str" s="11">
        <ns0:f>D305</ns0:f>
        <ns0:v>3 Ом</ns0:v>
      </ns0:c>
      <ns0:c r="S305" t="str" s="11">
        <ns0:f>K305</ns0:f>
        <ns0:v>Резистор 3 Ом ±1% 0603</ns0:v>
      </ns0:c>
      <x:c xmlns:x="http://schemas.openxmlformats.org/spreadsheetml/2006/main" r="T305" t="str" s="11">
        <x:v>C:\Users\Nomatin\Documents\Altium\MY_LIB\MY_LIB\Datasheets\YAGEO_RC_L.pdf</x:v>
      </x:c>
      <x:c xmlns:x="http://schemas.openxmlformats.org/spreadsheetml/2006/main" r="U305" t="str" s="11">
        <x:v>Даташит — локальный</x:v>
      </x:c>
      <x:c xmlns:x="http://schemas.openxmlformats.org/spreadsheetml/2006/main" r="V305" t="str" s="11">
        <x:v>C:\Users\Nomatin\Documents\Altium\MY_LIB\MY_LIB\Datasheets\YAGEO_RC_L.pdf</x:v>
      </x:c>
      <x:c xmlns:x="http://schemas.openxmlformats.org/spreadsheetml/2006/main" r="W305" t="str" s="11">
        <x:v>Даташит — производитель</x:v>
      </x:c>
      <x:c xmlns:x="http://schemas.openxmlformats.org/spreadsheetml/2006/main" r="X305" t="str" s="11">
        <x:v>https://yageogroup.com/content/datasheet/asset/file/PYU-RC_GROUP_51_ROHS_L</x:v>
      </x:c>
      <x:c xmlns:x="http://schemas.openxmlformats.org/spreadsheetml/2006/main" r="Y305" t="str" s="11">
        <x:v>C:\Users\Nomatin\Documents\Altium\MY_LIB\MY_LIB\Datasheets\YAGEO_RC_L.pdf</x:v>
      </x:c>
    </ns0:row>
    <ns0:row xmlns:ns0="http://schemas.openxmlformats.org/spreadsheetml/2006/main" r="306" ht="30" customHeight="1">
      <ns0:c r="A306" t="str" s="10">
        <ns0:v>R0312</ns0:v>
      </ns0:c>
      <ns0:c r="B306" t="str" s="10">
        <ns0:v>Резистор</ns0:v>
      </ns0:c>
      <ns0:c r="C306" t="str" s="10">
        <ns0:v>3.3R</ns0:v>
      </ns0:c>
      <ns0:c r="D306" t="str" s="11">
        <ns0:f>SUBSTITUTE(SUBSTITUTE(SUBSTITUTE(SUBSTITUTE(C306,"meg"," МОм"),"k"," кОм"),"R"," Ом"),".",",")</ns0:f>
        <ns0:v>3,3 Ом</ns0:v>
      </ns0:c>
      <ns0:c r="E306" t="str" s="10">
        <ns0:v>±1%</ns0:v>
      </ns0:c>
      <ns0:c r="F306" t="str" s="10">
        <ns0:v>0,1 Вт</ns0:v>
      </ns0:c>
      <ns0:c r="G306" t="str" s="10">
        <ns0:v>75 В макс.</ns0:v>
      </ns0:c>
      <ns0:c r="H306" t="str" s="12">
        <ns0:v>0603</ns0:v>
      </ns0:c>
      <ns0:c r="I306" t="str" s="10">
        <ns0:v>YAGEO</ns0:v>
      </ns0:c>
      <ns0:c r="J306" t="str" s="10">
        <ns0:v>RC0603FR-073R3L</ns0:v>
      </ns0:c>
      <ns0:c r="K306" t="str" s="11">
        <ns0:f>B306&amp;" "&amp;D306&amp;" "&amp;E306&amp;" "&amp;H306</ns0:f>
        <ns0:v>Резистор 3,3 Ом ±1% 0603</ns0:v>
      </ns0:c>
      <ns0:c r="L306" t="str" s="13">
        <ns0:v>R</ns0:v>
      </ns0:c>
      <ns0:c r="M306" t="str" s="13">
        <ns0:v>Symbols\MY_LIB_Resistors.SchLib</ns0:v>
      </ns0:c>
      <ns0:c r="N306" t="str" s="13">
        <ns0:v>RESC1608X55N</ns0:v>
      </ns0:c>
      <ns0:c r="O306" t="str" s="13">
        <ns0:v>Footprints\PBL - SMD Packages.PcbLib</ns0:v>
      </ns0:c>
      <ns0:c r="P306" t="str" s="10">
        <ns0:v>RC_L; E24; P при 70 °C; U ≤ min(√(P·R), Umax)</ns0:v>
      </ns0:c>
      <ns0:c r="Q306" s="10"/>
      <ns0:c r="R306" t="str" s="11">
        <ns0:f>D306</ns0:f>
        <ns0:v>3,3 Ом</ns0:v>
      </ns0:c>
      <ns0:c r="S306" t="str" s="11">
        <ns0:f>K306</ns0:f>
        <ns0:v>Резистор 3,3 Ом ±1% 0603</ns0:v>
      </ns0:c>
      <x:c xmlns:x="http://schemas.openxmlformats.org/spreadsheetml/2006/main" r="T306" t="str" s="11">
        <x:v>C:\Users\Nomatin\Documents\Altium\MY_LIB\MY_LIB\Datasheets\YAGEO_RC_L.pdf</x:v>
      </x:c>
      <x:c xmlns:x="http://schemas.openxmlformats.org/spreadsheetml/2006/main" r="U306" t="str" s="11">
        <x:v>Даташит — локальный</x:v>
      </x:c>
      <x:c xmlns:x="http://schemas.openxmlformats.org/spreadsheetml/2006/main" r="V306" t="str" s="11">
        <x:v>C:\Users\Nomatin\Documents\Altium\MY_LIB\MY_LIB\Datasheets\YAGEO_RC_L.pdf</x:v>
      </x:c>
      <x:c xmlns:x="http://schemas.openxmlformats.org/spreadsheetml/2006/main" r="W306" t="str" s="11">
        <x:v>Даташит — производитель</x:v>
      </x:c>
      <x:c xmlns:x="http://schemas.openxmlformats.org/spreadsheetml/2006/main" r="X306" t="str" s="11">
        <x:v>https://yageogroup.com/content/datasheet/asset/file/PYU-RC_GROUP_51_ROHS_L</x:v>
      </x:c>
      <x:c xmlns:x="http://schemas.openxmlformats.org/spreadsheetml/2006/main" r="Y306" t="str" s="11">
        <x:v>C:\Users\Nomatin\Documents\Altium\MY_LIB\MY_LIB\Datasheets\YAGEO_RC_L.pdf</x:v>
      </x:c>
    </ns0:row>
    <ns0:row xmlns:ns0="http://schemas.openxmlformats.org/spreadsheetml/2006/main" r="307" ht="30" customHeight="1">
      <ns0:c r="A307" t="str" s="10">
        <ns0:v>R0313</ns0:v>
      </ns0:c>
      <ns0:c r="B307" t="str" s="10">
        <ns0:v>Резистор</ns0:v>
      </ns0:c>
      <ns0:c r="C307" t="str" s="10">
        <ns0:v>3.6R</ns0:v>
      </ns0:c>
      <ns0:c r="D307" t="str" s="11">
        <ns0:f>SUBSTITUTE(SUBSTITUTE(SUBSTITUTE(SUBSTITUTE(C307,"meg"," МОм"),"k"," кОм"),"R"," Ом"),".",",")</ns0:f>
        <ns0:v>3,6 Ом</ns0:v>
      </ns0:c>
      <ns0:c r="E307" t="str" s="10">
        <ns0:v>±1%</ns0:v>
      </ns0:c>
      <ns0:c r="F307" t="str" s="10">
        <ns0:v>0,1 Вт</ns0:v>
      </ns0:c>
      <ns0:c r="G307" t="str" s="10">
        <ns0:v>75 В макс.</ns0:v>
      </ns0:c>
      <ns0:c r="H307" t="str" s="12">
        <ns0:v>0603</ns0:v>
      </ns0:c>
      <ns0:c r="I307" t="str" s="10">
        <ns0:v>YAGEO</ns0:v>
      </ns0:c>
      <ns0:c r="J307" t="str" s="10">
        <ns0:v>RC0603FR-073R6L</ns0:v>
      </ns0:c>
      <ns0:c r="K307" t="str" s="11">
        <ns0:f>B307&amp;" "&amp;D307&amp;" "&amp;E307&amp;" "&amp;H307</ns0:f>
        <ns0:v>Резистор 3,6 Ом ±1% 0603</ns0:v>
      </ns0:c>
      <ns0:c r="L307" t="str" s="13">
        <ns0:v>R</ns0:v>
      </ns0:c>
      <ns0:c r="M307" t="str" s="13">
        <ns0:v>Symbols\MY_LIB_Resistors.SchLib</ns0:v>
      </ns0:c>
      <ns0:c r="N307" t="str" s="13">
        <ns0:v>RESC1608X55N</ns0:v>
      </ns0:c>
      <ns0:c r="O307" t="str" s="13">
        <ns0:v>Footprints\PBL - SMD Packages.PcbLib</ns0:v>
      </ns0:c>
      <ns0:c r="P307" t="str" s="10">
        <ns0:v>RC_L; E24; P при 70 °C; U ≤ min(√(P·R), Umax)</ns0:v>
      </ns0:c>
      <ns0:c r="Q307" s="10"/>
      <ns0:c r="R307" t="str" s="11">
        <ns0:f>D307</ns0:f>
        <ns0:v>3,6 Ом</ns0:v>
      </ns0:c>
      <ns0:c r="S307" t="str" s="11">
        <ns0:f>K307</ns0:f>
        <ns0:v>Резистор 3,6 Ом ±1% 0603</ns0:v>
      </ns0:c>
      <x:c xmlns:x="http://schemas.openxmlformats.org/spreadsheetml/2006/main" r="T307" t="str" s="11">
        <x:v>C:\Users\Nomatin\Documents\Altium\MY_LIB\MY_LIB\Datasheets\YAGEO_RC_L.pdf</x:v>
      </x:c>
      <x:c xmlns:x="http://schemas.openxmlformats.org/spreadsheetml/2006/main" r="U307" t="str" s="11">
        <x:v>Даташит — локальный</x:v>
      </x:c>
      <x:c xmlns:x="http://schemas.openxmlformats.org/spreadsheetml/2006/main" r="V307" t="str" s="11">
        <x:v>C:\Users\Nomatin\Documents\Altium\MY_LIB\MY_LIB\Datasheets\YAGEO_RC_L.pdf</x:v>
      </x:c>
      <x:c xmlns:x="http://schemas.openxmlformats.org/spreadsheetml/2006/main" r="W307" t="str" s="11">
        <x:v>Даташит — производитель</x:v>
      </x:c>
      <x:c xmlns:x="http://schemas.openxmlformats.org/spreadsheetml/2006/main" r="X307" t="str" s="11">
        <x:v>https://yageogroup.com/content/datasheet/asset/file/PYU-RC_GROUP_51_ROHS_L</x:v>
      </x:c>
      <x:c xmlns:x="http://schemas.openxmlformats.org/spreadsheetml/2006/main" r="Y307" t="str" s="11">
        <x:v>C:\Users\Nomatin\Documents\Altium\MY_LIB\MY_LIB\Datasheets\YAGEO_RC_L.pdf</x:v>
      </x:c>
    </ns0:row>
    <ns0:row xmlns:ns0="http://schemas.openxmlformats.org/spreadsheetml/2006/main" r="308" ht="30" customHeight="1">
      <ns0:c r="A308" t="str" s="10">
        <ns0:v>R0314</ns0:v>
      </ns0:c>
      <ns0:c r="B308" t="str" s="10">
        <ns0:v>Резистор</ns0:v>
      </ns0:c>
      <ns0:c r="C308" t="str" s="10">
        <ns0:v>3.9R</ns0:v>
      </ns0:c>
      <ns0:c r="D308" t="str" s="11">
        <ns0:f>SUBSTITUTE(SUBSTITUTE(SUBSTITUTE(SUBSTITUTE(C308,"meg"," МОм"),"k"," кОм"),"R"," Ом"),".",",")</ns0:f>
        <ns0:v>3,9 Ом</ns0:v>
      </ns0:c>
      <ns0:c r="E308" t="str" s="10">
        <ns0:v>±1%</ns0:v>
      </ns0:c>
      <ns0:c r="F308" t="str" s="10">
        <ns0:v>0,1 Вт</ns0:v>
      </ns0:c>
      <ns0:c r="G308" t="str" s="10">
        <ns0:v>75 В макс.</ns0:v>
      </ns0:c>
      <ns0:c r="H308" t="str" s="12">
        <ns0:v>0603</ns0:v>
      </ns0:c>
      <ns0:c r="I308" t="str" s="10">
        <ns0:v>YAGEO</ns0:v>
      </ns0:c>
      <ns0:c r="J308" t="str" s="10">
        <ns0:v>RC0603FR-073R9L</ns0:v>
      </ns0:c>
      <ns0:c r="K308" t="str" s="11">
        <ns0:f>B308&amp;" "&amp;D308&amp;" "&amp;E308&amp;" "&amp;H308</ns0:f>
        <ns0:v>Резистор 3,9 Ом ±1% 0603</ns0:v>
      </ns0:c>
      <ns0:c r="L308" t="str" s="13">
        <ns0:v>R</ns0:v>
      </ns0:c>
      <ns0:c r="M308" t="str" s="13">
        <ns0:v>Symbols\MY_LIB_Resistors.SchLib</ns0:v>
      </ns0:c>
      <ns0:c r="N308" t="str" s="13">
        <ns0:v>RESC1608X55N</ns0:v>
      </ns0:c>
      <ns0:c r="O308" t="str" s="13">
        <ns0:v>Footprints\PBL - SMD Packages.PcbLib</ns0:v>
      </ns0:c>
      <ns0:c r="P308" t="str" s="10">
        <ns0:v>RC_L; E24; P при 70 °C; U ≤ min(√(P·R), Umax)</ns0:v>
      </ns0:c>
      <ns0:c r="Q308" s="10"/>
      <ns0:c r="R308" t="str" s="11">
        <ns0:f>D308</ns0:f>
        <ns0:v>3,9 Ом</ns0:v>
      </ns0:c>
      <ns0:c r="S308" t="str" s="11">
        <ns0:f>K308</ns0:f>
        <ns0:v>Резистор 3,9 Ом ±1% 0603</ns0:v>
      </ns0:c>
      <x:c xmlns:x="http://schemas.openxmlformats.org/spreadsheetml/2006/main" r="T308" t="str" s="11">
        <x:v>C:\Users\Nomatin\Documents\Altium\MY_LIB\MY_LIB\Datasheets\YAGEO_RC_L.pdf</x:v>
      </x:c>
      <x:c xmlns:x="http://schemas.openxmlformats.org/spreadsheetml/2006/main" r="U308" t="str" s="11">
        <x:v>Даташит — локальный</x:v>
      </x:c>
      <x:c xmlns:x="http://schemas.openxmlformats.org/spreadsheetml/2006/main" r="V308" t="str" s="11">
        <x:v>C:\Users\Nomatin\Documents\Altium\MY_LIB\MY_LIB\Datasheets\YAGEO_RC_L.pdf</x:v>
      </x:c>
      <x:c xmlns:x="http://schemas.openxmlformats.org/spreadsheetml/2006/main" r="W308" t="str" s="11">
        <x:v>Даташит — производитель</x:v>
      </x:c>
      <x:c xmlns:x="http://schemas.openxmlformats.org/spreadsheetml/2006/main" r="X308" t="str" s="11">
        <x:v>https://yageogroup.com/content/datasheet/asset/file/PYU-RC_GROUP_51_ROHS_L</x:v>
      </x:c>
      <x:c xmlns:x="http://schemas.openxmlformats.org/spreadsheetml/2006/main" r="Y308" t="str" s="11">
        <x:v>C:\Users\Nomatin\Documents\Altium\MY_LIB\MY_LIB\Datasheets\YAGEO_RC_L.pdf</x:v>
      </x:c>
    </ns0:row>
    <ns0:row xmlns:ns0="http://schemas.openxmlformats.org/spreadsheetml/2006/main" r="309" ht="30" customHeight="1">
      <ns0:c r="A309" t="str" s="10">
        <ns0:v>R0315</ns0:v>
      </ns0:c>
      <ns0:c r="B309" t="str" s="10">
        <ns0:v>Резистор</ns0:v>
      </ns0:c>
      <ns0:c r="C309" t="str" s="10">
        <ns0:v>4.3R</ns0:v>
      </ns0:c>
      <ns0:c r="D309" t="str" s="11">
        <ns0:f>SUBSTITUTE(SUBSTITUTE(SUBSTITUTE(SUBSTITUTE(C309,"meg"," МОм"),"k"," кОм"),"R"," Ом"),".",",")</ns0:f>
        <ns0:v>4,3 Ом</ns0:v>
      </ns0:c>
      <ns0:c r="E309" t="str" s="10">
        <ns0:v>±1%</ns0:v>
      </ns0:c>
      <ns0:c r="F309" t="str" s="10">
        <ns0:v>0,1 Вт</ns0:v>
      </ns0:c>
      <ns0:c r="G309" t="str" s="10">
        <ns0:v>75 В макс.</ns0:v>
      </ns0:c>
      <ns0:c r="H309" t="str" s="12">
        <ns0:v>0603</ns0:v>
      </ns0:c>
      <ns0:c r="I309" t="str" s="10">
        <ns0:v>YAGEO</ns0:v>
      </ns0:c>
      <ns0:c r="J309" t="str" s="10">
        <ns0:v>RC0603FR-074R3L</ns0:v>
      </ns0:c>
      <ns0:c r="K309" t="str" s="11">
        <ns0:f>B309&amp;" "&amp;D309&amp;" "&amp;E309&amp;" "&amp;H309</ns0:f>
        <ns0:v>Резистор 4,3 Ом ±1% 0603</ns0:v>
      </ns0:c>
      <ns0:c r="L309" t="str" s="13">
        <ns0:v>R</ns0:v>
      </ns0:c>
      <ns0:c r="M309" t="str" s="13">
        <ns0:v>Symbols\MY_LIB_Resistors.SchLib</ns0:v>
      </ns0:c>
      <ns0:c r="N309" t="str" s="13">
        <ns0:v>RESC1608X55N</ns0:v>
      </ns0:c>
      <ns0:c r="O309" t="str" s="13">
        <ns0:v>Footprints\PBL - SMD Packages.PcbLib</ns0:v>
      </ns0:c>
      <ns0:c r="P309" t="str" s="10">
        <ns0:v>RC_L; E24; P при 70 °C; U ≤ min(√(P·R), Umax)</ns0:v>
      </ns0:c>
      <ns0:c r="Q309" s="10"/>
      <ns0:c r="R309" t="str" s="11">
        <ns0:f>D309</ns0:f>
        <ns0:v>4,3 Ом</ns0:v>
      </ns0:c>
      <ns0:c r="S309" t="str" s="11">
        <ns0:f>K309</ns0:f>
        <ns0:v>Резистор 4,3 Ом ±1% 0603</ns0:v>
      </ns0:c>
      <x:c xmlns:x="http://schemas.openxmlformats.org/spreadsheetml/2006/main" r="T309" t="str" s="11">
        <x:v>C:\Users\Nomatin\Documents\Altium\MY_LIB\MY_LIB\Datasheets\YAGEO_RC_L.pdf</x:v>
      </x:c>
      <x:c xmlns:x="http://schemas.openxmlformats.org/spreadsheetml/2006/main" r="U309" t="str" s="11">
        <x:v>Даташит — локальный</x:v>
      </x:c>
      <x:c xmlns:x="http://schemas.openxmlformats.org/spreadsheetml/2006/main" r="V309" t="str" s="11">
        <x:v>C:\Users\Nomatin\Documents\Altium\MY_LIB\MY_LIB\Datasheets\YAGEO_RC_L.pdf</x:v>
      </x:c>
      <x:c xmlns:x="http://schemas.openxmlformats.org/spreadsheetml/2006/main" r="W309" t="str" s="11">
        <x:v>Даташит — производитель</x:v>
      </x:c>
      <x:c xmlns:x="http://schemas.openxmlformats.org/spreadsheetml/2006/main" r="X309" t="str" s="11">
        <x:v>https://yageogroup.com/content/datasheet/asset/file/PYU-RC_GROUP_51_ROHS_L</x:v>
      </x:c>
      <x:c xmlns:x="http://schemas.openxmlformats.org/spreadsheetml/2006/main" r="Y309" t="str" s="11">
        <x:v>C:\Users\Nomatin\Documents\Altium\MY_LIB\MY_LIB\Datasheets\YAGEO_RC_L.pdf</x:v>
      </x:c>
    </ns0:row>
    <ns0:row xmlns:ns0="http://schemas.openxmlformats.org/spreadsheetml/2006/main" r="310" ht="30" customHeight="1">
      <ns0:c r="A310" t="str" s="10">
        <ns0:v>R0316</ns0:v>
      </ns0:c>
      <ns0:c r="B310" t="str" s="10">
        <ns0:v>Резистор</ns0:v>
      </ns0:c>
      <ns0:c r="C310" t="str" s="10">
        <ns0:v>4.7R</ns0:v>
      </ns0:c>
      <ns0:c r="D310" t="str" s="11">
        <ns0:f>SUBSTITUTE(SUBSTITUTE(SUBSTITUTE(SUBSTITUTE(C310,"meg"," МОм"),"k"," кОм"),"R"," Ом"),".",",")</ns0:f>
        <ns0:v>4,7 Ом</ns0:v>
      </ns0:c>
      <ns0:c r="E310" t="str" s="10">
        <ns0:v>±1%</ns0:v>
      </ns0:c>
      <ns0:c r="F310" t="str" s="10">
        <ns0:v>0,1 Вт</ns0:v>
      </ns0:c>
      <ns0:c r="G310" t="str" s="10">
        <ns0:v>75 В макс.</ns0:v>
      </ns0:c>
      <ns0:c r="H310" t="str" s="12">
        <ns0:v>0603</ns0:v>
      </ns0:c>
      <ns0:c r="I310" t="str" s="10">
        <ns0:v>YAGEO</ns0:v>
      </ns0:c>
      <ns0:c r="J310" t="str" s="10">
        <ns0:v>RC0603FR-074R7L</ns0:v>
      </ns0:c>
      <ns0:c r="K310" t="str" s="11">
        <ns0:f>B310&amp;" "&amp;D310&amp;" "&amp;E310&amp;" "&amp;H310</ns0:f>
        <ns0:v>Резистор 4,7 Ом ±1% 0603</ns0:v>
      </ns0:c>
      <ns0:c r="L310" t="str" s="13">
        <ns0:v>R</ns0:v>
      </ns0:c>
      <ns0:c r="M310" t="str" s="13">
        <ns0:v>Symbols\MY_LIB_Resistors.SchLib</ns0:v>
      </ns0:c>
      <ns0:c r="N310" t="str" s="13">
        <ns0:v>RESC1608X55N</ns0:v>
      </ns0:c>
      <ns0:c r="O310" t="str" s="13">
        <ns0:v>Footprints\PBL - SMD Packages.PcbLib</ns0:v>
      </ns0:c>
      <ns0:c r="P310" t="str" s="10">
        <ns0:v>RC_L; E24; P при 70 °C; U ≤ min(√(P·R), Umax)</ns0:v>
      </ns0:c>
      <ns0:c r="Q310" s="10"/>
      <ns0:c r="R310" t="str" s="11">
        <ns0:f>D310</ns0:f>
        <ns0:v>4,7 Ом</ns0:v>
      </ns0:c>
      <ns0:c r="S310" t="str" s="11">
        <ns0:f>K310</ns0:f>
        <ns0:v>Резистор 4,7 Ом ±1% 0603</ns0:v>
      </ns0:c>
      <x:c xmlns:x="http://schemas.openxmlformats.org/spreadsheetml/2006/main" r="T310" t="str" s="11">
        <x:v>C:\Users\Nomatin\Documents\Altium\MY_LIB\MY_LIB\Datasheets\YAGEO_RC_L.pdf</x:v>
      </x:c>
      <x:c xmlns:x="http://schemas.openxmlformats.org/spreadsheetml/2006/main" r="U310" t="str" s="11">
        <x:v>Даташит — локальный</x:v>
      </x:c>
      <x:c xmlns:x="http://schemas.openxmlformats.org/spreadsheetml/2006/main" r="V310" t="str" s="11">
        <x:v>C:\Users\Nomatin\Documents\Altium\MY_LIB\MY_LIB\Datasheets\YAGEO_RC_L.pdf</x:v>
      </x:c>
      <x:c xmlns:x="http://schemas.openxmlformats.org/spreadsheetml/2006/main" r="W310" t="str" s="11">
        <x:v>Даташит — производитель</x:v>
      </x:c>
      <x:c xmlns:x="http://schemas.openxmlformats.org/spreadsheetml/2006/main" r="X310" t="str" s="11">
        <x:v>https://yageogroup.com/content/datasheet/asset/file/PYU-RC_GROUP_51_ROHS_L</x:v>
      </x:c>
      <x:c xmlns:x="http://schemas.openxmlformats.org/spreadsheetml/2006/main" r="Y310" t="str" s="11">
        <x:v>C:\Users\Nomatin\Documents\Altium\MY_LIB\MY_LIB\Datasheets\YAGEO_RC_L.pdf</x:v>
      </x:c>
    </ns0:row>
    <ns0:row xmlns:ns0="http://schemas.openxmlformats.org/spreadsheetml/2006/main" r="311" ht="30" customHeight="1">
      <ns0:c r="A311" t="str" s="10">
        <ns0:v>R0317</ns0:v>
      </ns0:c>
      <ns0:c r="B311" t="str" s="10">
        <ns0:v>Резистор</ns0:v>
      </ns0:c>
      <ns0:c r="C311" t="str" s="10">
        <ns0:v>5.1R</ns0:v>
      </ns0:c>
      <ns0:c r="D311" t="str" s="11">
        <ns0:f>SUBSTITUTE(SUBSTITUTE(SUBSTITUTE(SUBSTITUTE(C311,"meg"," МОм"),"k"," кОм"),"R"," Ом"),".",",")</ns0:f>
        <ns0:v>5,1 Ом</ns0:v>
      </ns0:c>
      <ns0:c r="E311" t="str" s="10">
        <ns0:v>±1%</ns0:v>
      </ns0:c>
      <ns0:c r="F311" t="str" s="10">
        <ns0:v>0,1 Вт</ns0:v>
      </ns0:c>
      <ns0:c r="G311" t="str" s="10">
        <ns0:v>75 В макс.</ns0:v>
      </ns0:c>
      <ns0:c r="H311" t="str" s="12">
        <ns0:v>0603</ns0:v>
      </ns0:c>
      <ns0:c r="I311" t="str" s="10">
        <ns0:v>YAGEO</ns0:v>
      </ns0:c>
      <ns0:c r="J311" t="str" s="10">
        <ns0:v>RC0603FR-075R1L</ns0:v>
      </ns0:c>
      <ns0:c r="K311" t="str" s="11">
        <ns0:f>B311&amp;" "&amp;D311&amp;" "&amp;E311&amp;" "&amp;H311</ns0:f>
        <ns0:v>Резистор 5,1 Ом ±1% 0603</ns0:v>
      </ns0:c>
      <ns0:c r="L311" t="str" s="13">
        <ns0:v>R</ns0:v>
      </ns0:c>
      <ns0:c r="M311" t="str" s="13">
        <ns0:v>Symbols\MY_LIB_Resistors.SchLib</ns0:v>
      </ns0:c>
      <ns0:c r="N311" t="str" s="13">
        <ns0:v>RESC1608X55N</ns0:v>
      </ns0:c>
      <ns0:c r="O311" t="str" s="13">
        <ns0:v>Footprints\PBL - SMD Packages.PcbLib</ns0:v>
      </ns0:c>
      <ns0:c r="P311" t="str" s="10">
        <ns0:v>RC_L; E24; P при 70 °C; U ≤ min(√(P·R), Umax)</ns0:v>
      </ns0:c>
      <ns0:c r="Q311" s="10"/>
      <ns0:c r="R311" t="str" s="11">
        <ns0:f>D311</ns0:f>
        <ns0:v>5,1 Ом</ns0:v>
      </ns0:c>
      <ns0:c r="S311" t="str" s="11">
        <ns0:f>K311</ns0:f>
        <ns0:v>Резистор 5,1 Ом ±1% 0603</ns0:v>
      </ns0:c>
      <x:c xmlns:x="http://schemas.openxmlformats.org/spreadsheetml/2006/main" r="T311" t="str" s="11">
        <x:v>C:\Users\Nomatin\Documents\Altium\MY_LIB\MY_LIB\Datasheets\YAGEO_RC_L.pdf</x:v>
      </x:c>
      <x:c xmlns:x="http://schemas.openxmlformats.org/spreadsheetml/2006/main" r="U311" t="str" s="11">
        <x:v>Даташит — локальный</x:v>
      </x:c>
      <x:c xmlns:x="http://schemas.openxmlformats.org/spreadsheetml/2006/main" r="V311" t="str" s="11">
        <x:v>C:\Users\Nomatin\Documents\Altium\MY_LIB\MY_LIB\Datasheets\YAGEO_RC_L.pdf</x:v>
      </x:c>
      <x:c xmlns:x="http://schemas.openxmlformats.org/spreadsheetml/2006/main" r="W311" t="str" s="11">
        <x:v>Даташит — производитель</x:v>
      </x:c>
      <x:c xmlns:x="http://schemas.openxmlformats.org/spreadsheetml/2006/main" r="X311" t="str" s="11">
        <x:v>https://yageogroup.com/content/datasheet/asset/file/PYU-RC_GROUP_51_ROHS_L</x:v>
      </x:c>
      <x:c xmlns:x="http://schemas.openxmlformats.org/spreadsheetml/2006/main" r="Y311" t="str" s="11">
        <x:v>C:\Users\Nomatin\Documents\Altium\MY_LIB\MY_LIB\Datasheets\YAGEO_RC_L.pdf</x:v>
      </x:c>
    </ns0:row>
    <ns0:row xmlns:ns0="http://schemas.openxmlformats.org/spreadsheetml/2006/main" r="312" ht="30" customHeight="1">
      <ns0:c r="A312" t="str" s="10">
        <ns0:v>R0318</ns0:v>
      </ns0:c>
      <ns0:c r="B312" t="str" s="10">
        <ns0:v>Резистор</ns0:v>
      </ns0:c>
      <ns0:c r="C312" t="str" s="10">
        <ns0:v>5.6R</ns0:v>
      </ns0:c>
      <ns0:c r="D312" t="str" s="11">
        <ns0:f>SUBSTITUTE(SUBSTITUTE(SUBSTITUTE(SUBSTITUTE(C312,"meg"," МОм"),"k"," кОм"),"R"," Ом"),".",",")</ns0:f>
        <ns0:v>5,6 Ом</ns0:v>
      </ns0:c>
      <ns0:c r="E312" t="str" s="10">
        <ns0:v>±1%</ns0:v>
      </ns0:c>
      <ns0:c r="F312" t="str" s="10">
        <ns0:v>0,1 Вт</ns0:v>
      </ns0:c>
      <ns0:c r="G312" t="str" s="10">
        <ns0:v>75 В макс.</ns0:v>
      </ns0:c>
      <ns0:c r="H312" t="str" s="12">
        <ns0:v>0603</ns0:v>
      </ns0:c>
      <ns0:c r="I312" t="str" s="10">
        <ns0:v>YAGEO</ns0:v>
      </ns0:c>
      <ns0:c r="J312" t="str" s="10">
        <ns0:v>RC0603FR-075R6L</ns0:v>
      </ns0:c>
      <ns0:c r="K312" t="str" s="11">
        <ns0:f>B312&amp;" "&amp;D312&amp;" "&amp;E312&amp;" "&amp;H312</ns0:f>
        <ns0:v>Резистор 5,6 Ом ±1% 0603</ns0:v>
      </ns0:c>
      <ns0:c r="L312" t="str" s="13">
        <ns0:v>R</ns0:v>
      </ns0:c>
      <ns0:c r="M312" t="str" s="13">
        <ns0:v>Symbols\MY_LIB_Resistors.SchLib</ns0:v>
      </ns0:c>
      <ns0:c r="N312" t="str" s="13">
        <ns0:v>RESC1608X55N</ns0:v>
      </ns0:c>
      <ns0:c r="O312" t="str" s="13">
        <ns0:v>Footprints\PBL - SMD Packages.PcbLib</ns0:v>
      </ns0:c>
      <ns0:c r="P312" t="str" s="10">
        <ns0:v>RC_L; E24; P при 70 °C; U ≤ min(√(P·R), Umax)</ns0:v>
      </ns0:c>
      <ns0:c r="Q312" s="10"/>
      <ns0:c r="R312" t="str" s="11">
        <ns0:f>D312</ns0:f>
        <ns0:v>5,6 Ом</ns0:v>
      </ns0:c>
      <ns0:c r="S312" t="str" s="11">
        <ns0:f>K312</ns0:f>
        <ns0:v>Резистор 5,6 Ом ±1% 0603</ns0:v>
      </ns0:c>
      <x:c xmlns:x="http://schemas.openxmlformats.org/spreadsheetml/2006/main" r="T312" t="str" s="11">
        <x:v>C:\Users\Nomatin\Documents\Altium\MY_LIB\MY_LIB\Datasheets\YAGEO_RC_L.pdf</x:v>
      </x:c>
      <x:c xmlns:x="http://schemas.openxmlformats.org/spreadsheetml/2006/main" r="U312" t="str" s="11">
        <x:v>Даташит — локальный</x:v>
      </x:c>
      <x:c xmlns:x="http://schemas.openxmlformats.org/spreadsheetml/2006/main" r="V312" t="str" s="11">
        <x:v>C:\Users\Nomatin\Documents\Altium\MY_LIB\MY_LIB\Datasheets\YAGEO_RC_L.pdf</x:v>
      </x:c>
      <x:c xmlns:x="http://schemas.openxmlformats.org/spreadsheetml/2006/main" r="W312" t="str" s="11">
        <x:v>Даташит — производитель</x:v>
      </x:c>
      <x:c xmlns:x="http://schemas.openxmlformats.org/spreadsheetml/2006/main" r="X312" t="str" s="11">
        <x:v>https://yageogroup.com/content/datasheet/asset/file/PYU-RC_GROUP_51_ROHS_L</x:v>
      </x:c>
      <x:c xmlns:x="http://schemas.openxmlformats.org/spreadsheetml/2006/main" r="Y312" t="str" s="11">
        <x:v>C:\Users\Nomatin\Documents\Altium\MY_LIB\MY_LIB\Datasheets\YAGEO_RC_L.pdf</x:v>
      </x:c>
    </ns0:row>
    <ns0:row xmlns:ns0="http://schemas.openxmlformats.org/spreadsheetml/2006/main" r="313" ht="30" customHeight="1">
      <ns0:c r="A313" t="str" s="10">
        <ns0:v>R0319</ns0:v>
      </ns0:c>
      <ns0:c r="B313" t="str" s="10">
        <ns0:v>Резистор</ns0:v>
      </ns0:c>
      <ns0:c r="C313" t="str" s="10">
        <ns0:v>6.2R</ns0:v>
      </ns0:c>
      <ns0:c r="D313" t="str" s="11">
        <ns0:f>SUBSTITUTE(SUBSTITUTE(SUBSTITUTE(SUBSTITUTE(C313,"meg"," МОм"),"k"," кОм"),"R"," Ом"),".",",")</ns0:f>
        <ns0:v>6,2 Ом</ns0:v>
      </ns0:c>
      <ns0:c r="E313" t="str" s="10">
        <ns0:v>±1%</ns0:v>
      </ns0:c>
      <ns0:c r="F313" t="str" s="10">
        <ns0:v>0,1 Вт</ns0:v>
      </ns0:c>
      <ns0:c r="G313" t="str" s="10">
        <ns0:v>75 В макс.</ns0:v>
      </ns0:c>
      <ns0:c r="H313" t="str" s="12">
        <ns0:v>0603</ns0:v>
      </ns0:c>
      <ns0:c r="I313" t="str" s="10">
        <ns0:v>YAGEO</ns0:v>
      </ns0:c>
      <ns0:c r="J313" t="str" s="10">
        <ns0:v>RC0603FR-076R2L</ns0:v>
      </ns0:c>
      <ns0:c r="K313" t="str" s="11">
        <ns0:f>B313&amp;" "&amp;D313&amp;" "&amp;E313&amp;" "&amp;H313</ns0:f>
        <ns0:v>Резистор 6,2 Ом ±1% 0603</ns0:v>
      </ns0:c>
      <ns0:c r="L313" t="str" s="13">
        <ns0:v>R</ns0:v>
      </ns0:c>
      <ns0:c r="M313" t="str" s="13">
        <ns0:v>Symbols\MY_LIB_Resistors.SchLib</ns0:v>
      </ns0:c>
      <ns0:c r="N313" t="str" s="13">
        <ns0:v>RESC1608X55N</ns0:v>
      </ns0:c>
      <ns0:c r="O313" t="str" s="13">
        <ns0:v>Footprints\PBL - SMD Packages.PcbLib</ns0:v>
      </ns0:c>
      <ns0:c r="P313" t="str" s="10">
        <ns0:v>RC_L; E24; P при 70 °C; U ≤ min(√(P·R), Umax)</ns0:v>
      </ns0:c>
      <ns0:c r="Q313" s="10"/>
      <ns0:c r="R313" t="str" s="11">
        <ns0:f>D313</ns0:f>
        <ns0:v>6,2 Ом</ns0:v>
      </ns0:c>
      <ns0:c r="S313" t="str" s="11">
        <ns0:f>K313</ns0:f>
        <ns0:v>Резистор 6,2 Ом ±1% 0603</ns0:v>
      </ns0:c>
      <x:c xmlns:x="http://schemas.openxmlformats.org/spreadsheetml/2006/main" r="T313" t="str" s="11">
        <x:v>C:\Users\Nomatin\Documents\Altium\MY_LIB\MY_LIB\Datasheets\YAGEO_RC_L.pdf</x:v>
      </x:c>
      <x:c xmlns:x="http://schemas.openxmlformats.org/spreadsheetml/2006/main" r="U313" t="str" s="11">
        <x:v>Даташит — локальный</x:v>
      </x:c>
      <x:c xmlns:x="http://schemas.openxmlformats.org/spreadsheetml/2006/main" r="V313" t="str" s="11">
        <x:v>C:\Users\Nomatin\Documents\Altium\MY_LIB\MY_LIB\Datasheets\YAGEO_RC_L.pdf</x:v>
      </x:c>
      <x:c xmlns:x="http://schemas.openxmlformats.org/spreadsheetml/2006/main" r="W313" t="str" s="11">
        <x:v>Даташит — производитель</x:v>
      </x:c>
      <x:c xmlns:x="http://schemas.openxmlformats.org/spreadsheetml/2006/main" r="X313" t="str" s="11">
        <x:v>https://yageogroup.com/content/datasheet/asset/file/PYU-RC_GROUP_51_ROHS_L</x:v>
      </x:c>
      <x:c xmlns:x="http://schemas.openxmlformats.org/spreadsheetml/2006/main" r="Y313" t="str" s="11">
        <x:v>C:\Users\Nomatin\Documents\Altium\MY_LIB\MY_LIB\Datasheets\YAGEO_RC_L.pdf</x:v>
      </x:c>
    </ns0:row>
    <ns0:row xmlns:ns0="http://schemas.openxmlformats.org/spreadsheetml/2006/main" r="314" ht="30" customHeight="1">
      <ns0:c r="A314" t="str" s="10">
        <ns0:v>R0320</ns0:v>
      </ns0:c>
      <ns0:c r="B314" t="str" s="10">
        <ns0:v>Резистор</ns0:v>
      </ns0:c>
      <ns0:c r="C314" t="str" s="10">
        <ns0:v>6.8R</ns0:v>
      </ns0:c>
      <ns0:c r="D314" t="str" s="11">
        <ns0:f>SUBSTITUTE(SUBSTITUTE(SUBSTITUTE(SUBSTITUTE(C314,"meg"," МОм"),"k"," кОм"),"R"," Ом"),".",",")</ns0:f>
        <ns0:v>6,8 Ом</ns0:v>
      </ns0:c>
      <ns0:c r="E314" t="str" s="10">
        <ns0:v>±1%</ns0:v>
      </ns0:c>
      <ns0:c r="F314" t="str" s="10">
        <ns0:v>0,1 Вт</ns0:v>
      </ns0:c>
      <ns0:c r="G314" t="str" s="10">
        <ns0:v>75 В макс.</ns0:v>
      </ns0:c>
      <ns0:c r="H314" t="str" s="12">
        <ns0:v>0603</ns0:v>
      </ns0:c>
      <ns0:c r="I314" t="str" s="10">
        <ns0:v>YAGEO</ns0:v>
      </ns0:c>
      <ns0:c r="J314" t="str" s="10">
        <ns0:v>RC0603FR-076R8L</ns0:v>
      </ns0:c>
      <ns0:c r="K314" t="str" s="11">
        <ns0:f>B314&amp;" "&amp;D314&amp;" "&amp;E314&amp;" "&amp;H314</ns0:f>
        <ns0:v>Резистор 6,8 Ом ±1% 0603</ns0:v>
      </ns0:c>
      <ns0:c r="L314" t="str" s="13">
        <ns0:v>R</ns0:v>
      </ns0:c>
      <ns0:c r="M314" t="str" s="13">
        <ns0:v>Symbols\MY_LIB_Resistors.SchLib</ns0:v>
      </ns0:c>
      <ns0:c r="N314" t="str" s="13">
        <ns0:v>RESC1608X55N</ns0:v>
      </ns0:c>
      <ns0:c r="O314" t="str" s="13">
        <ns0:v>Footprints\PBL - SMD Packages.PcbLib</ns0:v>
      </ns0:c>
      <ns0:c r="P314" t="str" s="10">
        <ns0:v>RC_L; E24; P при 70 °C; U ≤ min(√(P·R), Umax)</ns0:v>
      </ns0:c>
      <ns0:c r="Q314" s="10"/>
      <ns0:c r="R314" t="str" s="11">
        <ns0:f>D314</ns0:f>
        <ns0:v>6,8 Ом</ns0:v>
      </ns0:c>
      <ns0:c r="S314" t="str" s="11">
        <ns0:f>K314</ns0:f>
        <ns0:v>Резистор 6,8 Ом ±1% 0603</ns0:v>
      </ns0:c>
      <x:c xmlns:x="http://schemas.openxmlformats.org/spreadsheetml/2006/main" r="T314" t="str" s="11">
        <x:v>C:\Users\Nomatin\Documents\Altium\MY_LIB\MY_LIB\Datasheets\YAGEO_RC_L.pdf</x:v>
      </x:c>
      <x:c xmlns:x="http://schemas.openxmlformats.org/spreadsheetml/2006/main" r="U314" t="str" s="11">
        <x:v>Даташит — локальный</x:v>
      </x:c>
      <x:c xmlns:x="http://schemas.openxmlformats.org/spreadsheetml/2006/main" r="V314" t="str" s="11">
        <x:v>C:\Users\Nomatin\Documents\Altium\MY_LIB\MY_LIB\Datasheets\YAGEO_RC_L.pdf</x:v>
      </x:c>
      <x:c xmlns:x="http://schemas.openxmlformats.org/spreadsheetml/2006/main" r="W314" t="str" s="11">
        <x:v>Даташит — производитель</x:v>
      </x:c>
      <x:c xmlns:x="http://schemas.openxmlformats.org/spreadsheetml/2006/main" r="X314" t="str" s="11">
        <x:v>https://yageogroup.com/content/datasheet/asset/file/PYU-RC_GROUP_51_ROHS_L</x:v>
      </x:c>
      <x:c xmlns:x="http://schemas.openxmlformats.org/spreadsheetml/2006/main" r="Y314" t="str" s="11">
        <x:v>C:\Users\Nomatin\Documents\Altium\MY_LIB\MY_LIB\Datasheets\YAGEO_RC_L.pdf</x:v>
      </x:c>
    </ns0:row>
    <ns0:row xmlns:ns0="http://schemas.openxmlformats.org/spreadsheetml/2006/main" r="315" ht="30" customHeight="1">
      <ns0:c r="A315" t="str" s="10">
        <ns0:v>R0321</ns0:v>
      </ns0:c>
      <ns0:c r="B315" t="str" s="10">
        <ns0:v>Резистор</ns0:v>
      </ns0:c>
      <ns0:c r="C315" t="str" s="10">
        <ns0:v>7.5R</ns0:v>
      </ns0:c>
      <ns0:c r="D315" t="str" s="11">
        <ns0:f>SUBSTITUTE(SUBSTITUTE(SUBSTITUTE(SUBSTITUTE(C315,"meg"," МОм"),"k"," кОм"),"R"," Ом"),".",",")</ns0:f>
        <ns0:v>7,5 Ом</ns0:v>
      </ns0:c>
      <ns0:c r="E315" t="str" s="10">
        <ns0:v>±1%</ns0:v>
      </ns0:c>
      <ns0:c r="F315" t="str" s="10">
        <ns0:v>0,1 Вт</ns0:v>
      </ns0:c>
      <ns0:c r="G315" t="str" s="10">
        <ns0:v>75 В макс.</ns0:v>
      </ns0:c>
      <ns0:c r="H315" t="str" s="12">
        <ns0:v>0603</ns0:v>
      </ns0:c>
      <ns0:c r="I315" t="str" s="10">
        <ns0:v>YAGEO</ns0:v>
      </ns0:c>
      <ns0:c r="J315" t="str" s="10">
        <ns0:v>RC0603FR-077R5L</ns0:v>
      </ns0:c>
      <ns0:c r="K315" t="str" s="11">
        <ns0:f>B315&amp;" "&amp;D315&amp;" "&amp;E315&amp;" "&amp;H315</ns0:f>
        <ns0:v>Резистор 7,5 Ом ±1% 0603</ns0:v>
      </ns0:c>
      <ns0:c r="L315" t="str" s="13">
        <ns0:v>R</ns0:v>
      </ns0:c>
      <ns0:c r="M315" t="str" s="13">
        <ns0:v>Symbols\MY_LIB_Resistors.SchLib</ns0:v>
      </ns0:c>
      <ns0:c r="N315" t="str" s="13">
        <ns0:v>RESC1608X55N</ns0:v>
      </ns0:c>
      <ns0:c r="O315" t="str" s="13">
        <ns0:v>Footprints\PBL - SMD Packages.PcbLib</ns0:v>
      </ns0:c>
      <ns0:c r="P315" t="str" s="10">
        <ns0:v>RC_L; E24; P при 70 °C; U ≤ min(√(P·R), Umax)</ns0:v>
      </ns0:c>
      <ns0:c r="Q315" s="10"/>
      <ns0:c r="R315" t="str" s="11">
        <ns0:f>D315</ns0:f>
        <ns0:v>7,5 Ом</ns0:v>
      </ns0:c>
      <ns0:c r="S315" t="str" s="11">
        <ns0:f>K315</ns0:f>
        <ns0:v>Резистор 7,5 Ом ±1% 0603</ns0:v>
      </ns0:c>
      <x:c xmlns:x="http://schemas.openxmlformats.org/spreadsheetml/2006/main" r="T315" t="str" s="11">
        <x:v>C:\Users\Nomatin\Documents\Altium\MY_LIB\MY_LIB\Datasheets\YAGEO_RC_L.pdf</x:v>
      </x:c>
      <x:c xmlns:x="http://schemas.openxmlformats.org/spreadsheetml/2006/main" r="U315" t="str" s="11">
        <x:v>Даташит — локальный</x:v>
      </x:c>
      <x:c xmlns:x="http://schemas.openxmlformats.org/spreadsheetml/2006/main" r="V315" t="str" s="11">
        <x:v>C:\Users\Nomatin\Documents\Altium\MY_LIB\MY_LIB\Datasheets\YAGEO_RC_L.pdf</x:v>
      </x:c>
      <x:c xmlns:x="http://schemas.openxmlformats.org/spreadsheetml/2006/main" r="W315" t="str" s="11">
        <x:v>Даташит — производитель</x:v>
      </x:c>
      <x:c xmlns:x="http://schemas.openxmlformats.org/spreadsheetml/2006/main" r="X315" t="str" s="11">
        <x:v>https://yageogroup.com/content/datasheet/asset/file/PYU-RC_GROUP_51_ROHS_L</x:v>
      </x:c>
      <x:c xmlns:x="http://schemas.openxmlformats.org/spreadsheetml/2006/main" r="Y315" t="str" s="11">
        <x:v>C:\Users\Nomatin\Documents\Altium\MY_LIB\MY_LIB\Datasheets\YAGEO_RC_L.pdf</x:v>
      </x:c>
    </ns0:row>
    <ns0:row xmlns:ns0="http://schemas.openxmlformats.org/spreadsheetml/2006/main" r="316" ht="30" customHeight="1">
      <ns0:c r="A316" t="str" s="10">
        <ns0:v>R0322</ns0:v>
      </ns0:c>
      <ns0:c r="B316" t="str" s="10">
        <ns0:v>Резистор</ns0:v>
      </ns0:c>
      <ns0:c r="C316" t="str" s="10">
        <ns0:v>8.2R</ns0:v>
      </ns0:c>
      <ns0:c r="D316" t="str" s="11">
        <ns0:f>SUBSTITUTE(SUBSTITUTE(SUBSTITUTE(SUBSTITUTE(C316,"meg"," МОм"),"k"," кОм"),"R"," Ом"),".",",")</ns0:f>
        <ns0:v>8,2 Ом</ns0:v>
      </ns0:c>
      <ns0:c r="E316" t="str" s="10">
        <ns0:v>±1%</ns0:v>
      </ns0:c>
      <ns0:c r="F316" t="str" s="10">
        <ns0:v>0,1 Вт</ns0:v>
      </ns0:c>
      <ns0:c r="G316" t="str" s="10">
        <ns0:v>75 В макс.</ns0:v>
      </ns0:c>
      <ns0:c r="H316" t="str" s="12">
        <ns0:v>0603</ns0:v>
      </ns0:c>
      <ns0:c r="I316" t="str" s="10">
        <ns0:v>YAGEO</ns0:v>
      </ns0:c>
      <ns0:c r="J316" t="str" s="10">
        <ns0:v>RC0603FR-078R2L</ns0:v>
      </ns0:c>
      <ns0:c r="K316" t="str" s="11">
        <ns0:f>B316&amp;" "&amp;D316&amp;" "&amp;E316&amp;" "&amp;H316</ns0:f>
        <ns0:v>Резистор 8,2 Ом ±1% 0603</ns0:v>
      </ns0:c>
      <ns0:c r="L316" t="str" s="13">
        <ns0:v>R</ns0:v>
      </ns0:c>
      <ns0:c r="M316" t="str" s="13">
        <ns0:v>Symbols\MY_LIB_Resistors.SchLib</ns0:v>
      </ns0:c>
      <ns0:c r="N316" t="str" s="13">
        <ns0:v>RESC1608X55N</ns0:v>
      </ns0:c>
      <ns0:c r="O316" t="str" s="13">
        <ns0:v>Footprints\PBL - SMD Packages.PcbLib</ns0:v>
      </ns0:c>
      <ns0:c r="P316" t="str" s="10">
        <ns0:v>RC_L; E24; P при 70 °C; U ≤ min(√(P·R), Umax)</ns0:v>
      </ns0:c>
      <ns0:c r="Q316" s="10"/>
      <ns0:c r="R316" t="str" s="11">
        <ns0:f>D316</ns0:f>
        <ns0:v>8,2 Ом</ns0:v>
      </ns0:c>
      <ns0:c r="S316" t="str" s="11">
        <ns0:f>K316</ns0:f>
        <ns0:v>Резистор 8,2 Ом ±1% 0603</ns0:v>
      </ns0:c>
      <x:c xmlns:x="http://schemas.openxmlformats.org/spreadsheetml/2006/main" r="T316" t="str" s="11">
        <x:v>C:\Users\Nomatin\Documents\Altium\MY_LIB\MY_LIB\Datasheets\YAGEO_RC_L.pdf</x:v>
      </x:c>
      <x:c xmlns:x="http://schemas.openxmlformats.org/spreadsheetml/2006/main" r="U316" t="str" s="11">
        <x:v>Даташит — локальный</x:v>
      </x:c>
      <x:c xmlns:x="http://schemas.openxmlformats.org/spreadsheetml/2006/main" r="V316" t="str" s="11">
        <x:v>C:\Users\Nomatin\Documents\Altium\MY_LIB\MY_LIB\Datasheets\YAGEO_RC_L.pdf</x:v>
      </x:c>
      <x:c xmlns:x="http://schemas.openxmlformats.org/spreadsheetml/2006/main" r="W316" t="str" s="11">
        <x:v>Даташит — производитель</x:v>
      </x:c>
      <x:c xmlns:x="http://schemas.openxmlformats.org/spreadsheetml/2006/main" r="X316" t="str" s="11">
        <x:v>https://yageogroup.com/content/datasheet/asset/file/PYU-RC_GROUP_51_ROHS_L</x:v>
      </x:c>
      <x:c xmlns:x="http://schemas.openxmlformats.org/spreadsheetml/2006/main" r="Y316" t="str" s="11">
        <x:v>C:\Users\Nomatin\Documents\Altium\MY_LIB\MY_LIB\Datasheets\YAGEO_RC_L.pdf</x:v>
      </x:c>
    </ns0:row>
    <ns0:row xmlns:ns0="http://schemas.openxmlformats.org/spreadsheetml/2006/main" r="317" ht="30" customHeight="1">
      <ns0:c r="A317" t="str" s="10">
        <ns0:v>R0323</ns0:v>
      </ns0:c>
      <ns0:c r="B317" t="str" s="10">
        <ns0:v>Резистор</ns0:v>
      </ns0:c>
      <ns0:c r="C317" t="str" s="10">
        <ns0:v>9.1R</ns0:v>
      </ns0:c>
      <ns0:c r="D317" t="str" s="11">
        <ns0:f>SUBSTITUTE(SUBSTITUTE(SUBSTITUTE(SUBSTITUTE(C317,"meg"," МОм"),"k"," кОм"),"R"," Ом"),".",",")</ns0:f>
        <ns0:v>9,1 Ом</ns0:v>
      </ns0:c>
      <ns0:c r="E317" t="str" s="10">
        <ns0:v>±1%</ns0:v>
      </ns0:c>
      <ns0:c r="F317" t="str" s="10">
        <ns0:v>0,1 Вт</ns0:v>
      </ns0:c>
      <ns0:c r="G317" t="str" s="10">
        <ns0:v>75 В макс.</ns0:v>
      </ns0:c>
      <ns0:c r="H317" t="str" s="12">
        <ns0:v>0603</ns0:v>
      </ns0:c>
      <ns0:c r="I317" t="str" s="10">
        <ns0:v>YAGEO</ns0:v>
      </ns0:c>
      <ns0:c r="J317" t="str" s="10">
        <ns0:v>RC0603FR-079R1L</ns0:v>
      </ns0:c>
      <ns0:c r="K317" t="str" s="11">
        <ns0:f>B317&amp;" "&amp;D317&amp;" "&amp;E317&amp;" "&amp;H317</ns0:f>
        <ns0:v>Резистор 9,1 Ом ±1% 0603</ns0:v>
      </ns0:c>
      <ns0:c r="L317" t="str" s="13">
        <ns0:v>R</ns0:v>
      </ns0:c>
      <ns0:c r="M317" t="str" s="13">
        <ns0:v>Symbols\MY_LIB_Resistors.SchLib</ns0:v>
      </ns0:c>
      <ns0:c r="N317" t="str" s="13">
        <ns0:v>RESC1608X55N</ns0:v>
      </ns0:c>
      <ns0:c r="O317" t="str" s="13">
        <ns0:v>Footprints\PBL - SMD Packages.PcbLib</ns0:v>
      </ns0:c>
      <ns0:c r="P317" t="str" s="10">
        <ns0:v>RC_L; E24; P при 70 °C; U ≤ min(√(P·R), Umax)</ns0:v>
      </ns0:c>
      <ns0:c r="Q317" s="10"/>
      <ns0:c r="R317" t="str" s="11">
        <ns0:f>D317</ns0:f>
        <ns0:v>9,1 Ом</ns0:v>
      </ns0:c>
      <ns0:c r="S317" t="str" s="11">
        <ns0:f>K317</ns0:f>
        <ns0:v>Резистор 9,1 Ом ±1% 0603</ns0:v>
      </ns0:c>
      <x:c xmlns:x="http://schemas.openxmlformats.org/spreadsheetml/2006/main" r="T317" t="str" s="11">
        <x:v>C:\Users\Nomatin\Documents\Altium\MY_LIB\MY_LIB\Datasheets\YAGEO_RC_L.pdf</x:v>
      </x:c>
      <x:c xmlns:x="http://schemas.openxmlformats.org/spreadsheetml/2006/main" r="U317" t="str" s="11">
        <x:v>Даташит — локальный</x:v>
      </x:c>
      <x:c xmlns:x="http://schemas.openxmlformats.org/spreadsheetml/2006/main" r="V317" t="str" s="11">
        <x:v>C:\Users\Nomatin\Documents\Altium\MY_LIB\MY_LIB\Datasheets\YAGEO_RC_L.pdf</x:v>
      </x:c>
      <x:c xmlns:x="http://schemas.openxmlformats.org/spreadsheetml/2006/main" r="W317" t="str" s="11">
        <x:v>Даташит — производитель</x:v>
      </x:c>
      <x:c xmlns:x="http://schemas.openxmlformats.org/spreadsheetml/2006/main" r="X317" t="str" s="11">
        <x:v>https://yageogroup.com/content/datasheet/asset/file/PYU-RC_GROUP_51_ROHS_L</x:v>
      </x:c>
      <x:c xmlns:x="http://schemas.openxmlformats.org/spreadsheetml/2006/main" r="Y317" t="str" s="11">
        <x:v>C:\Users\Nomatin\Documents\Altium\MY_LIB\MY_LIB\Datasheets\YAGEO_RC_L.pdf</x:v>
      </x:c>
    </ns0:row>
    <ns0:row xmlns:ns0="http://schemas.openxmlformats.org/spreadsheetml/2006/main" r="318" ht="30" customHeight="1">
      <ns0:c r="A318" t="str" s="10">
        <ns0:v>R0324</ns0:v>
      </ns0:c>
      <ns0:c r="B318" t="str" s="10">
        <ns0:v>Резистор</ns0:v>
      </ns0:c>
      <ns0:c r="C318" t="str" s="10">
        <ns0:v>10R</ns0:v>
      </ns0:c>
      <ns0:c r="D318" t="str" s="11">
        <ns0:f>SUBSTITUTE(SUBSTITUTE(SUBSTITUTE(SUBSTITUTE(C318,"meg"," МОм"),"k"," кОм"),"R"," Ом"),".",",")</ns0:f>
        <ns0:v>10 Ом</ns0:v>
      </ns0:c>
      <ns0:c r="E318" t="str" s="10">
        <ns0:v>±1%</ns0:v>
      </ns0:c>
      <ns0:c r="F318" t="str" s="10">
        <ns0:v>0,1 Вт</ns0:v>
      </ns0:c>
      <ns0:c r="G318" t="str" s="10">
        <ns0:v>75 В макс.</ns0:v>
      </ns0:c>
      <ns0:c r="H318" t="str" s="12">
        <ns0:v>0603</ns0:v>
      </ns0:c>
      <ns0:c r="I318" t="str" s="10">
        <ns0:v>YAGEO</ns0:v>
      </ns0:c>
      <ns0:c r="J318" t="str" s="10">
        <ns0:v>RC0603FR-0710RL</ns0:v>
      </ns0:c>
      <ns0:c r="K318" t="str" s="11">
        <ns0:f>B318&amp;" "&amp;D318&amp;" "&amp;E318&amp;" "&amp;H318</ns0:f>
        <ns0:v>Резистор 10 Ом ±1% 0603</ns0:v>
      </ns0:c>
      <ns0:c r="L318" t="str" s="13">
        <ns0:v>R</ns0:v>
      </ns0:c>
      <ns0:c r="M318" t="str" s="13">
        <ns0:v>Symbols\MY_LIB_Resistors.SchLib</ns0:v>
      </ns0:c>
      <ns0:c r="N318" t="str" s="13">
        <ns0:v>RESC1608X55N</ns0:v>
      </ns0:c>
      <ns0:c r="O318" t="str" s="13">
        <ns0:v>Footprints\PBL - SMD Packages.PcbLib</ns0:v>
      </ns0:c>
      <ns0:c r="P318" t="str" s="10">
        <ns0:v>RC_L; E24; P при 70 °C; U ≤ min(√(P·R), Umax)</ns0:v>
      </ns0:c>
      <ns0:c r="Q318" s="10"/>
      <ns0:c r="R318" t="str" s="11">
        <ns0:f>D318</ns0:f>
        <ns0:v>10 Ом</ns0:v>
      </ns0:c>
      <ns0:c r="S318" t="str" s="11">
        <ns0:f>K318</ns0:f>
        <ns0:v>Резистор 10 Ом ±1% 0603</ns0:v>
      </ns0:c>
      <x:c xmlns:x="http://schemas.openxmlformats.org/spreadsheetml/2006/main" r="T318" t="str" s="11">
        <x:v>C:\Users\Nomatin\Documents\Altium\MY_LIB\MY_LIB\Datasheets\YAGEO_RC_L.pdf</x:v>
      </x:c>
      <x:c xmlns:x="http://schemas.openxmlformats.org/spreadsheetml/2006/main" r="U318" t="str" s="11">
        <x:v>Даташит — локальный</x:v>
      </x:c>
      <x:c xmlns:x="http://schemas.openxmlformats.org/spreadsheetml/2006/main" r="V318" t="str" s="11">
        <x:v>C:\Users\Nomatin\Documents\Altium\MY_LIB\MY_LIB\Datasheets\YAGEO_RC_L.pdf</x:v>
      </x:c>
      <x:c xmlns:x="http://schemas.openxmlformats.org/spreadsheetml/2006/main" r="W318" t="str" s="11">
        <x:v>Даташит — производитель</x:v>
      </x:c>
      <x:c xmlns:x="http://schemas.openxmlformats.org/spreadsheetml/2006/main" r="X318" t="str" s="11">
        <x:v>https://yageogroup.com/content/datasheet/asset/file/PYU-RC_GROUP_51_ROHS_L</x:v>
      </x:c>
      <x:c xmlns:x="http://schemas.openxmlformats.org/spreadsheetml/2006/main" r="Y318" t="str" s="11">
        <x:v>C:\Users\Nomatin\Documents\Altium\MY_LIB\MY_LIB\Datasheets\YAGEO_RC_L.pdf</x:v>
      </x:c>
    </ns0:row>
    <ns0:row xmlns:ns0="http://schemas.openxmlformats.org/spreadsheetml/2006/main" r="319" ht="30" customHeight="1">
      <ns0:c r="A319" t="str" s="10">
        <ns0:v>R0325</ns0:v>
      </ns0:c>
      <ns0:c r="B319" t="str" s="10">
        <ns0:v>Резистор</ns0:v>
      </ns0:c>
      <ns0:c r="C319" t="str" s="10">
        <ns0:v>11R</ns0:v>
      </ns0:c>
      <ns0:c r="D319" t="str" s="11">
        <ns0:f>SUBSTITUTE(SUBSTITUTE(SUBSTITUTE(SUBSTITUTE(C319,"meg"," МОм"),"k"," кОм"),"R"," Ом"),".",",")</ns0:f>
        <ns0:v>11 Ом</ns0:v>
      </ns0:c>
      <ns0:c r="E319" t="str" s="10">
        <ns0:v>±1%</ns0:v>
      </ns0:c>
      <ns0:c r="F319" t="str" s="10">
        <ns0:v>0,1 Вт</ns0:v>
      </ns0:c>
      <ns0:c r="G319" t="str" s="10">
        <ns0:v>75 В макс.</ns0:v>
      </ns0:c>
      <ns0:c r="H319" t="str" s="12">
        <ns0:v>0603</ns0:v>
      </ns0:c>
      <ns0:c r="I319" t="str" s="10">
        <ns0:v>YAGEO</ns0:v>
      </ns0:c>
      <ns0:c r="J319" t="str" s="10">
        <ns0:v>RC0603FR-0711RL</ns0:v>
      </ns0:c>
      <ns0:c r="K319" t="str" s="11">
        <ns0:f>B319&amp;" "&amp;D319&amp;" "&amp;E319&amp;" "&amp;H319</ns0:f>
        <ns0:v>Резистор 11 Ом ±1% 0603</ns0:v>
      </ns0:c>
      <ns0:c r="L319" t="str" s="13">
        <ns0:v>R</ns0:v>
      </ns0:c>
      <ns0:c r="M319" t="str" s="13">
        <ns0:v>Symbols\MY_LIB_Resistors.SchLib</ns0:v>
      </ns0:c>
      <ns0:c r="N319" t="str" s="13">
        <ns0:v>RESC1608X55N</ns0:v>
      </ns0:c>
      <ns0:c r="O319" t="str" s="13">
        <ns0:v>Footprints\PBL - SMD Packages.PcbLib</ns0:v>
      </ns0:c>
      <ns0:c r="P319" t="str" s="10">
        <ns0:v>RC_L; E24; P при 70 °C; U ≤ min(√(P·R), Umax)</ns0:v>
      </ns0:c>
      <ns0:c r="Q319" s="10"/>
      <ns0:c r="R319" t="str" s="11">
        <ns0:f>D319</ns0:f>
        <ns0:v>11 Ом</ns0:v>
      </ns0:c>
      <ns0:c r="S319" t="str" s="11">
        <ns0:f>K319</ns0:f>
        <ns0:v>Резистор 11 Ом ±1% 0603</ns0:v>
      </ns0:c>
      <x:c xmlns:x="http://schemas.openxmlformats.org/spreadsheetml/2006/main" r="T319" t="str" s="11">
        <x:v>C:\Users\Nomatin\Documents\Altium\MY_LIB\MY_LIB\Datasheets\YAGEO_RC_L.pdf</x:v>
      </x:c>
      <x:c xmlns:x="http://schemas.openxmlformats.org/spreadsheetml/2006/main" r="U319" t="str" s="11">
        <x:v>Даташит — локальный</x:v>
      </x:c>
      <x:c xmlns:x="http://schemas.openxmlformats.org/spreadsheetml/2006/main" r="V319" t="str" s="11">
        <x:v>C:\Users\Nomatin\Documents\Altium\MY_LIB\MY_LIB\Datasheets\YAGEO_RC_L.pdf</x:v>
      </x:c>
      <x:c xmlns:x="http://schemas.openxmlformats.org/spreadsheetml/2006/main" r="W319" t="str" s="11">
        <x:v>Даташит — производитель</x:v>
      </x:c>
      <x:c xmlns:x="http://schemas.openxmlformats.org/spreadsheetml/2006/main" r="X319" t="str" s="11">
        <x:v>https://yageogroup.com/content/datasheet/asset/file/PYU-RC_GROUP_51_ROHS_L</x:v>
      </x:c>
      <x:c xmlns:x="http://schemas.openxmlformats.org/spreadsheetml/2006/main" r="Y319" t="str" s="11">
        <x:v>C:\Users\Nomatin\Documents\Altium\MY_LIB\MY_LIB\Datasheets\YAGEO_RC_L.pdf</x:v>
      </x:c>
    </ns0:row>
    <ns0:row xmlns:ns0="http://schemas.openxmlformats.org/spreadsheetml/2006/main" r="320" ht="30" customHeight="1">
      <ns0:c r="A320" t="str" s="10">
        <ns0:v>R0326</ns0:v>
      </ns0:c>
      <ns0:c r="B320" t="str" s="10">
        <ns0:v>Резистор</ns0:v>
      </ns0:c>
      <ns0:c r="C320" t="str" s="10">
        <ns0:v>12R</ns0:v>
      </ns0:c>
      <ns0:c r="D320" t="str" s="11">
        <ns0:f>SUBSTITUTE(SUBSTITUTE(SUBSTITUTE(SUBSTITUTE(C320,"meg"," МОм"),"k"," кОм"),"R"," Ом"),".",",")</ns0:f>
        <ns0:v>12 Ом</ns0:v>
      </ns0:c>
      <ns0:c r="E320" t="str" s="10">
        <ns0:v>±1%</ns0:v>
      </ns0:c>
      <ns0:c r="F320" t="str" s="10">
        <ns0:v>0,1 Вт</ns0:v>
      </ns0:c>
      <ns0:c r="G320" t="str" s="10">
        <ns0:v>75 В макс.</ns0:v>
      </ns0:c>
      <ns0:c r="H320" t="str" s="12">
        <ns0:v>0603</ns0:v>
      </ns0:c>
      <ns0:c r="I320" t="str" s="10">
        <ns0:v>YAGEO</ns0:v>
      </ns0:c>
      <ns0:c r="J320" t="str" s="10">
        <ns0:v>RC0603FR-0712RL</ns0:v>
      </ns0:c>
      <ns0:c r="K320" t="str" s="11">
        <ns0:f>B320&amp;" "&amp;D320&amp;" "&amp;E320&amp;" "&amp;H320</ns0:f>
        <ns0:v>Резистор 12 Ом ±1% 0603</ns0:v>
      </ns0:c>
      <ns0:c r="L320" t="str" s="13">
        <ns0:v>R</ns0:v>
      </ns0:c>
      <ns0:c r="M320" t="str" s="13">
        <ns0:v>Symbols\MY_LIB_Resistors.SchLib</ns0:v>
      </ns0:c>
      <ns0:c r="N320" t="str" s="13">
        <ns0:v>RESC1608X55N</ns0:v>
      </ns0:c>
      <ns0:c r="O320" t="str" s="13">
        <ns0:v>Footprints\PBL - SMD Packages.PcbLib</ns0:v>
      </ns0:c>
      <ns0:c r="P320" t="str" s="10">
        <ns0:v>RC_L; E24; P при 70 °C; U ≤ min(√(P·R), Umax)</ns0:v>
      </ns0:c>
      <ns0:c r="Q320" s="10"/>
      <ns0:c r="R320" t="str" s="11">
        <ns0:f>D320</ns0:f>
        <ns0:v>12 Ом</ns0:v>
      </ns0:c>
      <ns0:c r="S320" t="str" s="11">
        <ns0:f>K320</ns0:f>
        <ns0:v>Резистор 12 Ом ±1% 0603</ns0:v>
      </ns0:c>
      <x:c xmlns:x="http://schemas.openxmlformats.org/spreadsheetml/2006/main" r="T320" t="str" s="11">
        <x:v>C:\Users\Nomatin\Documents\Altium\MY_LIB\MY_LIB\Datasheets\YAGEO_RC_L.pdf</x:v>
      </x:c>
      <x:c xmlns:x="http://schemas.openxmlformats.org/spreadsheetml/2006/main" r="U320" t="str" s="11">
        <x:v>Даташит — локальный</x:v>
      </x:c>
      <x:c xmlns:x="http://schemas.openxmlformats.org/spreadsheetml/2006/main" r="V320" t="str" s="11">
        <x:v>C:\Users\Nomatin\Documents\Altium\MY_LIB\MY_LIB\Datasheets\YAGEO_RC_L.pdf</x:v>
      </x:c>
      <x:c xmlns:x="http://schemas.openxmlformats.org/spreadsheetml/2006/main" r="W320" t="str" s="11">
        <x:v>Даташит — производитель</x:v>
      </x:c>
      <x:c xmlns:x="http://schemas.openxmlformats.org/spreadsheetml/2006/main" r="X320" t="str" s="11">
        <x:v>https://yageogroup.com/content/datasheet/asset/file/PYU-RC_GROUP_51_ROHS_L</x:v>
      </x:c>
      <x:c xmlns:x="http://schemas.openxmlformats.org/spreadsheetml/2006/main" r="Y320" t="str" s="11">
        <x:v>C:\Users\Nomatin\Documents\Altium\MY_LIB\MY_LIB\Datasheets\YAGEO_RC_L.pdf</x:v>
      </x:c>
    </ns0:row>
    <ns0:row xmlns:ns0="http://schemas.openxmlformats.org/spreadsheetml/2006/main" r="321" ht="30" customHeight="1">
      <ns0:c r="A321" t="str" s="10">
        <ns0:v>R0327</ns0:v>
      </ns0:c>
      <ns0:c r="B321" t="str" s="10">
        <ns0:v>Резистор</ns0:v>
      </ns0:c>
      <ns0:c r="C321" t="str" s="10">
        <ns0:v>13R</ns0:v>
      </ns0:c>
      <ns0:c r="D321" t="str" s="11">
        <ns0:f>SUBSTITUTE(SUBSTITUTE(SUBSTITUTE(SUBSTITUTE(C321,"meg"," МОм"),"k"," кОм"),"R"," Ом"),".",",")</ns0:f>
        <ns0:v>13 Ом</ns0:v>
      </ns0:c>
      <ns0:c r="E321" t="str" s="10">
        <ns0:v>±1%</ns0:v>
      </ns0:c>
      <ns0:c r="F321" t="str" s="10">
        <ns0:v>0,1 Вт</ns0:v>
      </ns0:c>
      <ns0:c r="G321" t="str" s="10">
        <ns0:v>75 В макс.</ns0:v>
      </ns0:c>
      <ns0:c r="H321" t="str" s="12">
        <ns0:v>0603</ns0:v>
      </ns0:c>
      <ns0:c r="I321" t="str" s="10">
        <ns0:v>YAGEO</ns0:v>
      </ns0:c>
      <ns0:c r="J321" t="str" s="10">
        <ns0:v>RC0603FR-0713RL</ns0:v>
      </ns0:c>
      <ns0:c r="K321" t="str" s="11">
        <ns0:f>B321&amp;" "&amp;D321&amp;" "&amp;E321&amp;" "&amp;H321</ns0:f>
        <ns0:v>Резистор 13 Ом ±1% 0603</ns0:v>
      </ns0:c>
      <ns0:c r="L321" t="str" s="13">
        <ns0:v>R</ns0:v>
      </ns0:c>
      <ns0:c r="M321" t="str" s="13">
        <ns0:v>Symbols\MY_LIB_Resistors.SchLib</ns0:v>
      </ns0:c>
      <ns0:c r="N321" t="str" s="13">
        <ns0:v>RESC1608X55N</ns0:v>
      </ns0:c>
      <ns0:c r="O321" t="str" s="13">
        <ns0:v>Footprints\PBL - SMD Packages.PcbLib</ns0:v>
      </ns0:c>
      <ns0:c r="P321" t="str" s="10">
        <ns0:v>RC_L; E24; P при 70 °C; U ≤ min(√(P·R), Umax)</ns0:v>
      </ns0:c>
      <ns0:c r="Q321" s="10"/>
      <ns0:c r="R321" t="str" s="11">
        <ns0:f>D321</ns0:f>
        <ns0:v>13 Ом</ns0:v>
      </ns0:c>
      <ns0:c r="S321" t="str" s="11">
        <ns0:f>K321</ns0:f>
        <ns0:v>Резистор 13 Ом ±1% 0603</ns0:v>
      </ns0:c>
      <x:c xmlns:x="http://schemas.openxmlformats.org/spreadsheetml/2006/main" r="T321" t="str" s="11">
        <x:v>C:\Users\Nomatin\Documents\Altium\MY_LIB\MY_LIB\Datasheets\YAGEO_RC_L.pdf</x:v>
      </x:c>
      <x:c xmlns:x="http://schemas.openxmlformats.org/spreadsheetml/2006/main" r="U321" t="str" s="11">
        <x:v>Даташит — локальный</x:v>
      </x:c>
      <x:c xmlns:x="http://schemas.openxmlformats.org/spreadsheetml/2006/main" r="V321" t="str" s="11">
        <x:v>C:\Users\Nomatin\Documents\Altium\MY_LIB\MY_LIB\Datasheets\YAGEO_RC_L.pdf</x:v>
      </x:c>
      <x:c xmlns:x="http://schemas.openxmlformats.org/spreadsheetml/2006/main" r="W321" t="str" s="11">
        <x:v>Даташит — производитель</x:v>
      </x:c>
      <x:c xmlns:x="http://schemas.openxmlformats.org/spreadsheetml/2006/main" r="X321" t="str" s="11">
        <x:v>https://yageogroup.com/content/datasheet/asset/file/PYU-RC_GROUP_51_ROHS_L</x:v>
      </x:c>
      <x:c xmlns:x="http://schemas.openxmlformats.org/spreadsheetml/2006/main" r="Y321" t="str" s="11">
        <x:v>C:\Users\Nomatin\Documents\Altium\MY_LIB\MY_LIB\Datasheets\YAGEO_RC_L.pdf</x:v>
      </x:c>
    </ns0:row>
    <ns0:row xmlns:ns0="http://schemas.openxmlformats.org/spreadsheetml/2006/main" r="322" ht="30" customHeight="1">
      <ns0:c r="A322" t="str" s="10">
        <ns0:v>R0328</ns0:v>
      </ns0:c>
      <ns0:c r="B322" t="str" s="10">
        <ns0:v>Резистор</ns0:v>
      </ns0:c>
      <ns0:c r="C322" t="str" s="10">
        <ns0:v>15R</ns0:v>
      </ns0:c>
      <ns0:c r="D322" t="str" s="11">
        <ns0:f>SUBSTITUTE(SUBSTITUTE(SUBSTITUTE(SUBSTITUTE(C322,"meg"," МОм"),"k"," кОм"),"R"," Ом"),".",",")</ns0:f>
        <ns0:v>15 Ом</ns0:v>
      </ns0:c>
      <ns0:c r="E322" t="str" s="10">
        <ns0:v>±1%</ns0:v>
      </ns0:c>
      <ns0:c r="F322" t="str" s="10">
        <ns0:v>0,1 Вт</ns0:v>
      </ns0:c>
      <ns0:c r="G322" t="str" s="10">
        <ns0:v>75 В макс.</ns0:v>
      </ns0:c>
      <ns0:c r="H322" t="str" s="12">
        <ns0:v>0603</ns0:v>
      </ns0:c>
      <ns0:c r="I322" t="str" s="10">
        <ns0:v>YAGEO</ns0:v>
      </ns0:c>
      <ns0:c r="J322" t="str" s="10">
        <ns0:v>RC0603FR-0715RL</ns0:v>
      </ns0:c>
      <ns0:c r="K322" t="str" s="11">
        <ns0:f>B322&amp;" "&amp;D322&amp;" "&amp;E322&amp;" "&amp;H322</ns0:f>
        <ns0:v>Резистор 15 Ом ±1% 0603</ns0:v>
      </ns0:c>
      <ns0:c r="L322" t="str" s="13">
        <ns0:v>R</ns0:v>
      </ns0:c>
      <ns0:c r="M322" t="str" s="13">
        <ns0:v>Symbols\MY_LIB_Resistors.SchLib</ns0:v>
      </ns0:c>
      <ns0:c r="N322" t="str" s="13">
        <ns0:v>RESC1608X55N</ns0:v>
      </ns0:c>
      <ns0:c r="O322" t="str" s="13">
        <ns0:v>Footprints\PBL - SMD Packages.PcbLib</ns0:v>
      </ns0:c>
      <ns0:c r="P322" t="str" s="10">
        <ns0:v>RC_L; E24; P при 70 °C; U ≤ min(√(P·R), Umax)</ns0:v>
      </ns0:c>
      <ns0:c r="Q322" s="10"/>
      <ns0:c r="R322" t="str" s="11">
        <ns0:f>D322</ns0:f>
        <ns0:v>15 Ом</ns0:v>
      </ns0:c>
      <ns0:c r="S322" t="str" s="11">
        <ns0:f>K322</ns0:f>
        <ns0:v>Резистор 15 Ом ±1% 0603</ns0:v>
      </ns0:c>
      <x:c xmlns:x="http://schemas.openxmlformats.org/spreadsheetml/2006/main" r="T322" t="str" s="11">
        <x:v>C:\Users\Nomatin\Documents\Altium\MY_LIB\MY_LIB\Datasheets\YAGEO_RC_L.pdf</x:v>
      </x:c>
      <x:c xmlns:x="http://schemas.openxmlformats.org/spreadsheetml/2006/main" r="U322" t="str" s="11">
        <x:v>Даташит — локальный</x:v>
      </x:c>
      <x:c xmlns:x="http://schemas.openxmlformats.org/spreadsheetml/2006/main" r="V322" t="str" s="11">
        <x:v>C:\Users\Nomatin\Documents\Altium\MY_LIB\MY_LIB\Datasheets\YAGEO_RC_L.pdf</x:v>
      </x:c>
      <x:c xmlns:x="http://schemas.openxmlformats.org/spreadsheetml/2006/main" r="W322" t="str" s="11">
        <x:v>Даташит — производитель</x:v>
      </x:c>
      <x:c xmlns:x="http://schemas.openxmlformats.org/spreadsheetml/2006/main" r="X322" t="str" s="11">
        <x:v>https://yageogroup.com/content/datasheet/asset/file/PYU-RC_GROUP_51_ROHS_L</x:v>
      </x:c>
      <x:c xmlns:x="http://schemas.openxmlformats.org/spreadsheetml/2006/main" r="Y322" t="str" s="11">
        <x:v>C:\Users\Nomatin\Documents\Altium\MY_LIB\MY_LIB\Datasheets\YAGEO_RC_L.pdf</x:v>
      </x:c>
    </ns0:row>
    <ns0:row xmlns:ns0="http://schemas.openxmlformats.org/spreadsheetml/2006/main" r="323" ht="30" customHeight="1">
      <ns0:c r="A323" t="str" s="10">
        <ns0:v>R0329</ns0:v>
      </ns0:c>
      <ns0:c r="B323" t="str" s="10">
        <ns0:v>Резистор</ns0:v>
      </ns0:c>
      <ns0:c r="C323" t="str" s="10">
        <ns0:v>16R</ns0:v>
      </ns0:c>
      <ns0:c r="D323" t="str" s="11">
        <ns0:f>SUBSTITUTE(SUBSTITUTE(SUBSTITUTE(SUBSTITUTE(C323,"meg"," МОм"),"k"," кОм"),"R"," Ом"),".",",")</ns0:f>
        <ns0:v>16 Ом</ns0:v>
      </ns0:c>
      <ns0:c r="E323" t="str" s="10">
        <ns0:v>±1%</ns0:v>
      </ns0:c>
      <ns0:c r="F323" t="str" s="10">
        <ns0:v>0,1 Вт</ns0:v>
      </ns0:c>
      <ns0:c r="G323" t="str" s="10">
        <ns0:v>75 В макс.</ns0:v>
      </ns0:c>
      <ns0:c r="H323" t="str" s="12">
        <ns0:v>0603</ns0:v>
      </ns0:c>
      <ns0:c r="I323" t="str" s="10">
        <ns0:v>YAGEO</ns0:v>
      </ns0:c>
      <ns0:c r="J323" t="str" s="10">
        <ns0:v>RC0603FR-0716RL</ns0:v>
      </ns0:c>
      <ns0:c r="K323" t="str" s="11">
        <ns0:f>B323&amp;" "&amp;D323&amp;" "&amp;E323&amp;" "&amp;H323</ns0:f>
        <ns0:v>Резистор 16 Ом ±1% 0603</ns0:v>
      </ns0:c>
      <ns0:c r="L323" t="str" s="13">
        <ns0:v>R</ns0:v>
      </ns0:c>
      <ns0:c r="M323" t="str" s="13">
        <ns0:v>Symbols\MY_LIB_Resistors.SchLib</ns0:v>
      </ns0:c>
      <ns0:c r="N323" t="str" s="13">
        <ns0:v>RESC1608X55N</ns0:v>
      </ns0:c>
      <ns0:c r="O323" t="str" s="13">
        <ns0:v>Footprints\PBL - SMD Packages.PcbLib</ns0:v>
      </ns0:c>
      <ns0:c r="P323" t="str" s="10">
        <ns0:v>RC_L; E24; P при 70 °C; U ≤ min(√(P·R), Umax)</ns0:v>
      </ns0:c>
      <ns0:c r="Q323" s="10"/>
      <ns0:c r="R323" t="str" s="11">
        <ns0:f>D323</ns0:f>
        <ns0:v>16 Ом</ns0:v>
      </ns0:c>
      <ns0:c r="S323" t="str" s="11">
        <ns0:f>K323</ns0:f>
        <ns0:v>Резистор 16 Ом ±1% 0603</ns0:v>
      </ns0:c>
      <x:c xmlns:x="http://schemas.openxmlformats.org/spreadsheetml/2006/main" r="T323" t="str" s="11">
        <x:v>C:\Users\Nomatin\Documents\Altium\MY_LIB\MY_LIB\Datasheets\YAGEO_RC_L.pdf</x:v>
      </x:c>
      <x:c xmlns:x="http://schemas.openxmlformats.org/spreadsheetml/2006/main" r="U323" t="str" s="11">
        <x:v>Даташит — локальный</x:v>
      </x:c>
      <x:c xmlns:x="http://schemas.openxmlformats.org/spreadsheetml/2006/main" r="V323" t="str" s="11">
        <x:v>C:\Users\Nomatin\Documents\Altium\MY_LIB\MY_LIB\Datasheets\YAGEO_RC_L.pdf</x:v>
      </x:c>
      <x:c xmlns:x="http://schemas.openxmlformats.org/spreadsheetml/2006/main" r="W323" t="str" s="11">
        <x:v>Даташит — производитель</x:v>
      </x:c>
      <x:c xmlns:x="http://schemas.openxmlformats.org/spreadsheetml/2006/main" r="X323" t="str" s="11">
        <x:v>https://yageogroup.com/content/datasheet/asset/file/PYU-RC_GROUP_51_ROHS_L</x:v>
      </x:c>
      <x:c xmlns:x="http://schemas.openxmlformats.org/spreadsheetml/2006/main" r="Y323" t="str" s="11">
        <x:v>C:\Users\Nomatin\Documents\Altium\MY_LIB\MY_LIB\Datasheets\YAGEO_RC_L.pdf</x:v>
      </x:c>
    </ns0:row>
    <ns0:row xmlns:ns0="http://schemas.openxmlformats.org/spreadsheetml/2006/main" r="324" ht="30" customHeight="1">
      <ns0:c r="A324" t="str" s="10">
        <ns0:v>R0330</ns0:v>
      </ns0:c>
      <ns0:c r="B324" t="str" s="10">
        <ns0:v>Резистор</ns0:v>
      </ns0:c>
      <ns0:c r="C324" t="str" s="10">
        <ns0:v>18R</ns0:v>
      </ns0:c>
      <ns0:c r="D324" t="str" s="11">
        <ns0:f>SUBSTITUTE(SUBSTITUTE(SUBSTITUTE(SUBSTITUTE(C324,"meg"," МОм"),"k"," кОм"),"R"," Ом"),".",",")</ns0:f>
        <ns0:v>18 Ом</ns0:v>
      </ns0:c>
      <ns0:c r="E324" t="str" s="10">
        <ns0:v>±1%</ns0:v>
      </ns0:c>
      <ns0:c r="F324" t="str" s="10">
        <ns0:v>0,1 Вт</ns0:v>
      </ns0:c>
      <ns0:c r="G324" t="str" s="10">
        <ns0:v>75 В макс.</ns0:v>
      </ns0:c>
      <ns0:c r="H324" t="str" s="12">
        <ns0:v>0603</ns0:v>
      </ns0:c>
      <ns0:c r="I324" t="str" s="10">
        <ns0:v>YAGEO</ns0:v>
      </ns0:c>
      <ns0:c r="J324" t="str" s="10">
        <ns0:v>RC0603FR-0718RL</ns0:v>
      </ns0:c>
      <ns0:c r="K324" t="str" s="11">
        <ns0:f>B324&amp;" "&amp;D324&amp;" "&amp;E324&amp;" "&amp;H324</ns0:f>
        <ns0:v>Резистор 18 Ом ±1% 0603</ns0:v>
      </ns0:c>
      <ns0:c r="L324" t="str" s="13">
        <ns0:v>R</ns0:v>
      </ns0:c>
      <ns0:c r="M324" t="str" s="13">
        <ns0:v>Symbols\MY_LIB_Resistors.SchLib</ns0:v>
      </ns0:c>
      <ns0:c r="N324" t="str" s="13">
        <ns0:v>RESC1608X55N</ns0:v>
      </ns0:c>
      <ns0:c r="O324" t="str" s="13">
        <ns0:v>Footprints\PBL - SMD Packages.PcbLib</ns0:v>
      </ns0:c>
      <ns0:c r="P324" t="str" s="10">
        <ns0:v>RC_L; E24; P при 70 °C; U ≤ min(√(P·R), Umax)</ns0:v>
      </ns0:c>
      <ns0:c r="Q324" s="10"/>
      <ns0:c r="R324" t="str" s="11">
        <ns0:f>D324</ns0:f>
        <ns0:v>18 Ом</ns0:v>
      </ns0:c>
      <ns0:c r="S324" t="str" s="11">
        <ns0:f>K324</ns0:f>
        <ns0:v>Резистор 18 Ом ±1% 0603</ns0:v>
      </ns0:c>
      <x:c xmlns:x="http://schemas.openxmlformats.org/spreadsheetml/2006/main" r="T324" t="str" s="11">
        <x:v>C:\Users\Nomatin\Documents\Altium\MY_LIB\MY_LIB\Datasheets\YAGEO_RC_L.pdf</x:v>
      </x:c>
      <x:c xmlns:x="http://schemas.openxmlformats.org/spreadsheetml/2006/main" r="U324" t="str" s="11">
        <x:v>Даташит — локальный</x:v>
      </x:c>
      <x:c xmlns:x="http://schemas.openxmlformats.org/spreadsheetml/2006/main" r="V324" t="str" s="11">
        <x:v>C:\Users\Nomatin\Documents\Altium\MY_LIB\MY_LIB\Datasheets\YAGEO_RC_L.pdf</x:v>
      </x:c>
      <x:c xmlns:x="http://schemas.openxmlformats.org/spreadsheetml/2006/main" r="W324" t="str" s="11">
        <x:v>Даташит — производитель</x:v>
      </x:c>
      <x:c xmlns:x="http://schemas.openxmlformats.org/spreadsheetml/2006/main" r="X324" t="str" s="11">
        <x:v>https://yageogroup.com/content/datasheet/asset/file/PYU-RC_GROUP_51_ROHS_L</x:v>
      </x:c>
      <x:c xmlns:x="http://schemas.openxmlformats.org/spreadsheetml/2006/main" r="Y324" t="str" s="11">
        <x:v>C:\Users\Nomatin\Documents\Altium\MY_LIB\MY_LIB\Datasheets\YAGEO_RC_L.pdf</x:v>
      </x:c>
    </ns0:row>
    <ns0:row xmlns:ns0="http://schemas.openxmlformats.org/spreadsheetml/2006/main" r="325" ht="30" customHeight="1">
      <ns0:c r="A325" t="str" s="10">
        <ns0:v>R0331</ns0:v>
      </ns0:c>
      <ns0:c r="B325" t="str" s="10">
        <ns0:v>Резистор</ns0:v>
      </ns0:c>
      <ns0:c r="C325" t="str" s="10">
        <ns0:v>20R</ns0:v>
      </ns0:c>
      <ns0:c r="D325" t="str" s="11">
        <ns0:f>SUBSTITUTE(SUBSTITUTE(SUBSTITUTE(SUBSTITUTE(C325,"meg"," МОм"),"k"," кОм"),"R"," Ом"),".",",")</ns0:f>
        <ns0:v>20 Ом</ns0:v>
      </ns0:c>
      <ns0:c r="E325" t="str" s="10">
        <ns0:v>±1%</ns0:v>
      </ns0:c>
      <ns0:c r="F325" t="str" s="10">
        <ns0:v>0,1 Вт</ns0:v>
      </ns0:c>
      <ns0:c r="G325" t="str" s="10">
        <ns0:v>75 В макс.</ns0:v>
      </ns0:c>
      <ns0:c r="H325" t="str" s="12">
        <ns0:v>0603</ns0:v>
      </ns0:c>
      <ns0:c r="I325" t="str" s="10">
        <ns0:v>YAGEO</ns0:v>
      </ns0:c>
      <ns0:c r="J325" t="str" s="10">
        <ns0:v>RC0603FR-0720RL</ns0:v>
      </ns0:c>
      <ns0:c r="K325" t="str" s="11">
        <ns0:f>B325&amp;" "&amp;D325&amp;" "&amp;E325&amp;" "&amp;H325</ns0:f>
        <ns0:v>Резистор 20 Ом ±1% 0603</ns0:v>
      </ns0:c>
      <ns0:c r="L325" t="str" s="13">
        <ns0:v>R</ns0:v>
      </ns0:c>
      <ns0:c r="M325" t="str" s="13">
        <ns0:v>Symbols\MY_LIB_Resistors.SchLib</ns0:v>
      </ns0:c>
      <ns0:c r="N325" t="str" s="13">
        <ns0:v>RESC1608X55N</ns0:v>
      </ns0:c>
      <ns0:c r="O325" t="str" s="13">
        <ns0:v>Footprints\PBL - SMD Packages.PcbLib</ns0:v>
      </ns0:c>
      <ns0:c r="P325" t="str" s="10">
        <ns0:v>RC_L; E24; P при 70 °C; U ≤ min(√(P·R), Umax)</ns0:v>
      </ns0:c>
      <ns0:c r="Q325" s="10"/>
      <ns0:c r="R325" t="str" s="11">
        <ns0:f>D325</ns0:f>
        <ns0:v>20 Ом</ns0:v>
      </ns0:c>
      <ns0:c r="S325" t="str" s="11">
        <ns0:f>K325</ns0:f>
        <ns0:v>Резистор 20 Ом ±1% 0603</ns0:v>
      </ns0:c>
      <x:c xmlns:x="http://schemas.openxmlformats.org/spreadsheetml/2006/main" r="T325" t="str" s="11">
        <x:v>C:\Users\Nomatin\Documents\Altium\MY_LIB\MY_LIB\Datasheets\YAGEO_RC_L.pdf</x:v>
      </x:c>
      <x:c xmlns:x="http://schemas.openxmlformats.org/spreadsheetml/2006/main" r="U325" t="str" s="11">
        <x:v>Даташит — локальный</x:v>
      </x:c>
      <x:c xmlns:x="http://schemas.openxmlformats.org/spreadsheetml/2006/main" r="V325" t="str" s="11">
        <x:v>C:\Users\Nomatin\Documents\Altium\MY_LIB\MY_LIB\Datasheets\YAGEO_RC_L.pdf</x:v>
      </x:c>
      <x:c xmlns:x="http://schemas.openxmlformats.org/spreadsheetml/2006/main" r="W325" t="str" s="11">
        <x:v>Даташит — производитель</x:v>
      </x:c>
      <x:c xmlns:x="http://schemas.openxmlformats.org/spreadsheetml/2006/main" r="X325" t="str" s="11">
        <x:v>https://yageogroup.com/content/datasheet/asset/file/PYU-RC_GROUP_51_ROHS_L</x:v>
      </x:c>
      <x:c xmlns:x="http://schemas.openxmlformats.org/spreadsheetml/2006/main" r="Y325" t="str" s="11">
        <x:v>C:\Users\Nomatin\Documents\Altium\MY_LIB\MY_LIB\Datasheets\YAGEO_RC_L.pdf</x:v>
      </x:c>
    </ns0:row>
    <ns0:row xmlns:ns0="http://schemas.openxmlformats.org/spreadsheetml/2006/main" r="326" ht="30" customHeight="1">
      <ns0:c r="A326" t="str" s="10">
        <ns0:v>R0332</ns0:v>
      </ns0:c>
      <ns0:c r="B326" t="str" s="10">
        <ns0:v>Резистор</ns0:v>
      </ns0:c>
      <ns0:c r="C326" t="str" s="10">
        <ns0:v>22R</ns0:v>
      </ns0:c>
      <ns0:c r="D326" t="str" s="11">
        <ns0:f>SUBSTITUTE(SUBSTITUTE(SUBSTITUTE(SUBSTITUTE(C326,"meg"," МОм"),"k"," кОм"),"R"," Ом"),".",",")</ns0:f>
        <ns0:v>22 Ом</ns0:v>
      </ns0:c>
      <ns0:c r="E326" t="str" s="10">
        <ns0:v>±1%</ns0:v>
      </ns0:c>
      <ns0:c r="F326" t="str" s="10">
        <ns0:v>0,1 Вт</ns0:v>
      </ns0:c>
      <ns0:c r="G326" t="str" s="10">
        <ns0:v>75 В макс.</ns0:v>
      </ns0:c>
      <ns0:c r="H326" t="str" s="12">
        <ns0:v>0603</ns0:v>
      </ns0:c>
      <ns0:c r="I326" t="str" s="10">
        <ns0:v>YAGEO</ns0:v>
      </ns0:c>
      <ns0:c r="J326" t="str" s="10">
        <ns0:v>RC0603FR-0722RL</ns0:v>
      </ns0:c>
      <ns0:c r="K326" t="str" s="11">
        <ns0:f>B326&amp;" "&amp;D326&amp;" "&amp;E326&amp;" "&amp;H326</ns0:f>
        <ns0:v>Резистор 22 Ом ±1% 0603</ns0:v>
      </ns0:c>
      <ns0:c r="L326" t="str" s="13">
        <ns0:v>R</ns0:v>
      </ns0:c>
      <ns0:c r="M326" t="str" s="13">
        <ns0:v>Symbols\MY_LIB_Resistors.SchLib</ns0:v>
      </ns0:c>
      <ns0:c r="N326" t="str" s="13">
        <ns0:v>RESC1608X55N</ns0:v>
      </ns0:c>
      <ns0:c r="O326" t="str" s="13">
        <ns0:v>Footprints\PBL - SMD Packages.PcbLib</ns0:v>
      </ns0:c>
      <ns0:c r="P326" t="str" s="10">
        <ns0:v>RC_L; E24; P при 70 °C; U ≤ min(√(P·R), Umax)</ns0:v>
      </ns0:c>
      <ns0:c r="Q326" s="10"/>
      <ns0:c r="R326" t="str" s="11">
        <ns0:f>D326</ns0:f>
        <ns0:v>22 Ом</ns0:v>
      </ns0:c>
      <ns0:c r="S326" t="str" s="11">
        <ns0:f>K326</ns0:f>
        <ns0:v>Резистор 22 Ом ±1% 0603</ns0:v>
      </ns0:c>
      <x:c xmlns:x="http://schemas.openxmlformats.org/spreadsheetml/2006/main" r="T326" t="str" s="11">
        <x:v>C:\Users\Nomatin\Documents\Altium\MY_LIB\MY_LIB\Datasheets\YAGEO_RC_L.pdf</x:v>
      </x:c>
      <x:c xmlns:x="http://schemas.openxmlformats.org/spreadsheetml/2006/main" r="U326" t="str" s="11">
        <x:v>Даташит — локальный</x:v>
      </x:c>
      <x:c xmlns:x="http://schemas.openxmlformats.org/spreadsheetml/2006/main" r="V326" t="str" s="11">
        <x:v>C:\Users\Nomatin\Documents\Altium\MY_LIB\MY_LIB\Datasheets\YAGEO_RC_L.pdf</x:v>
      </x:c>
      <x:c xmlns:x="http://schemas.openxmlformats.org/spreadsheetml/2006/main" r="W326" t="str" s="11">
        <x:v>Даташит — производитель</x:v>
      </x:c>
      <x:c xmlns:x="http://schemas.openxmlformats.org/spreadsheetml/2006/main" r="X326" t="str" s="11">
        <x:v>https://yageogroup.com/content/datasheet/asset/file/PYU-RC_GROUP_51_ROHS_L</x:v>
      </x:c>
      <x:c xmlns:x="http://schemas.openxmlformats.org/spreadsheetml/2006/main" r="Y326" t="str" s="11">
        <x:v>C:\Users\Nomatin\Documents\Altium\MY_LIB\MY_LIB\Datasheets\YAGEO_RC_L.pdf</x:v>
      </x:c>
    </ns0:row>
    <ns0:row xmlns:ns0="http://schemas.openxmlformats.org/spreadsheetml/2006/main" r="327" ht="30" customHeight="1">
      <ns0:c r="A327" t="str" s="10">
        <ns0:v>R0333</ns0:v>
      </ns0:c>
      <ns0:c r="B327" t="str" s="10">
        <ns0:v>Резистор</ns0:v>
      </ns0:c>
      <ns0:c r="C327" t="str" s="10">
        <ns0:v>24R</ns0:v>
      </ns0:c>
      <ns0:c r="D327" t="str" s="11">
        <ns0:f>SUBSTITUTE(SUBSTITUTE(SUBSTITUTE(SUBSTITUTE(C327,"meg"," МОм"),"k"," кОм"),"R"," Ом"),".",",")</ns0:f>
        <ns0:v>24 Ом</ns0:v>
      </ns0:c>
      <ns0:c r="E327" t="str" s="10">
        <ns0:v>±1%</ns0:v>
      </ns0:c>
      <ns0:c r="F327" t="str" s="10">
        <ns0:v>0,1 Вт</ns0:v>
      </ns0:c>
      <ns0:c r="G327" t="str" s="10">
        <ns0:v>75 В макс.</ns0:v>
      </ns0:c>
      <ns0:c r="H327" t="str" s="12">
        <ns0:v>0603</ns0:v>
      </ns0:c>
      <ns0:c r="I327" t="str" s="10">
        <ns0:v>YAGEO</ns0:v>
      </ns0:c>
      <ns0:c r="J327" t="str" s="10">
        <ns0:v>RC0603FR-0724RL</ns0:v>
      </ns0:c>
      <ns0:c r="K327" t="str" s="11">
        <ns0:f>B327&amp;" "&amp;D327&amp;" "&amp;E327&amp;" "&amp;H327</ns0:f>
        <ns0:v>Резистор 24 Ом ±1% 0603</ns0:v>
      </ns0:c>
      <ns0:c r="L327" t="str" s="13">
        <ns0:v>R</ns0:v>
      </ns0:c>
      <ns0:c r="M327" t="str" s="13">
        <ns0:v>Symbols\MY_LIB_Resistors.SchLib</ns0:v>
      </ns0:c>
      <ns0:c r="N327" t="str" s="13">
        <ns0:v>RESC1608X55N</ns0:v>
      </ns0:c>
      <ns0:c r="O327" t="str" s="13">
        <ns0:v>Footprints\PBL - SMD Packages.PcbLib</ns0:v>
      </ns0:c>
      <ns0:c r="P327" t="str" s="10">
        <ns0:v>RC_L; E24; P при 70 °C; U ≤ min(√(P·R), Umax)</ns0:v>
      </ns0:c>
      <ns0:c r="Q327" s="10"/>
      <ns0:c r="R327" t="str" s="11">
        <ns0:f>D327</ns0:f>
        <ns0:v>24 Ом</ns0:v>
      </ns0:c>
      <ns0:c r="S327" t="str" s="11">
        <ns0:f>K327</ns0:f>
        <ns0:v>Резистор 24 Ом ±1% 0603</ns0:v>
      </ns0:c>
      <x:c xmlns:x="http://schemas.openxmlformats.org/spreadsheetml/2006/main" r="T327" t="str" s="11">
        <x:v>C:\Users\Nomatin\Documents\Altium\MY_LIB\MY_LIB\Datasheets\YAGEO_RC_L.pdf</x:v>
      </x:c>
      <x:c xmlns:x="http://schemas.openxmlformats.org/spreadsheetml/2006/main" r="U327" t="str" s="11">
        <x:v>Даташит — локальный</x:v>
      </x:c>
      <x:c xmlns:x="http://schemas.openxmlformats.org/spreadsheetml/2006/main" r="V327" t="str" s="11">
        <x:v>C:\Users\Nomatin\Documents\Altium\MY_LIB\MY_LIB\Datasheets\YAGEO_RC_L.pdf</x:v>
      </x:c>
      <x:c xmlns:x="http://schemas.openxmlformats.org/spreadsheetml/2006/main" r="W327" t="str" s="11">
        <x:v>Даташит — производитель</x:v>
      </x:c>
      <x:c xmlns:x="http://schemas.openxmlformats.org/spreadsheetml/2006/main" r="X327" t="str" s="11">
        <x:v>https://yageogroup.com/content/datasheet/asset/file/PYU-RC_GROUP_51_ROHS_L</x:v>
      </x:c>
      <x:c xmlns:x="http://schemas.openxmlformats.org/spreadsheetml/2006/main" r="Y327" t="str" s="11">
        <x:v>C:\Users\Nomatin\Documents\Altium\MY_LIB\MY_LIB\Datasheets\YAGEO_RC_L.pdf</x:v>
      </x:c>
    </ns0:row>
    <ns0:row xmlns:ns0="http://schemas.openxmlformats.org/spreadsheetml/2006/main" r="328" ht="30" customHeight="1">
      <ns0:c r="A328" t="str" s="10">
        <ns0:v>R0334</ns0:v>
      </ns0:c>
      <ns0:c r="B328" t="str" s="10">
        <ns0:v>Резистор</ns0:v>
      </ns0:c>
      <ns0:c r="C328" t="str" s="10">
        <ns0:v>27R</ns0:v>
      </ns0:c>
      <ns0:c r="D328" t="str" s="11">
        <ns0:f>SUBSTITUTE(SUBSTITUTE(SUBSTITUTE(SUBSTITUTE(C328,"meg"," МОм"),"k"," кОм"),"R"," Ом"),".",",")</ns0:f>
        <ns0:v>27 Ом</ns0:v>
      </ns0:c>
      <ns0:c r="E328" t="str" s="10">
        <ns0:v>±1%</ns0:v>
      </ns0:c>
      <ns0:c r="F328" t="str" s="10">
        <ns0:v>0,1 Вт</ns0:v>
      </ns0:c>
      <ns0:c r="G328" t="str" s="10">
        <ns0:v>75 В макс.</ns0:v>
      </ns0:c>
      <ns0:c r="H328" t="str" s="12">
        <ns0:v>0603</ns0:v>
      </ns0:c>
      <ns0:c r="I328" t="str" s="10">
        <ns0:v>YAGEO</ns0:v>
      </ns0:c>
      <ns0:c r="J328" t="str" s="10">
        <ns0:v>RC0603FR-0727RL</ns0:v>
      </ns0:c>
      <ns0:c r="K328" t="str" s="11">
        <ns0:f>B328&amp;" "&amp;D328&amp;" "&amp;E328&amp;" "&amp;H328</ns0:f>
        <ns0:v>Резистор 27 Ом ±1% 0603</ns0:v>
      </ns0:c>
      <ns0:c r="L328" t="str" s="13">
        <ns0:v>R</ns0:v>
      </ns0:c>
      <ns0:c r="M328" t="str" s="13">
        <ns0:v>Symbols\MY_LIB_Resistors.SchLib</ns0:v>
      </ns0:c>
      <ns0:c r="N328" t="str" s="13">
        <ns0:v>RESC1608X55N</ns0:v>
      </ns0:c>
      <ns0:c r="O328" t="str" s="13">
        <ns0:v>Footprints\PBL - SMD Packages.PcbLib</ns0:v>
      </ns0:c>
      <ns0:c r="P328" t="str" s="10">
        <ns0:v>RC_L; E24; P при 70 °C; U ≤ min(√(P·R), Umax)</ns0:v>
      </ns0:c>
      <ns0:c r="Q328" s="10"/>
      <ns0:c r="R328" t="str" s="11">
        <ns0:f>D328</ns0:f>
        <ns0:v>27 Ом</ns0:v>
      </ns0:c>
      <ns0:c r="S328" t="str" s="11">
        <ns0:f>K328</ns0:f>
        <ns0:v>Резистор 27 Ом ±1% 0603</ns0:v>
      </ns0:c>
      <x:c xmlns:x="http://schemas.openxmlformats.org/spreadsheetml/2006/main" r="T328" t="str" s="11">
        <x:v>C:\Users\Nomatin\Documents\Altium\MY_LIB\MY_LIB\Datasheets\YAGEO_RC_L.pdf</x:v>
      </x:c>
      <x:c xmlns:x="http://schemas.openxmlformats.org/spreadsheetml/2006/main" r="U328" t="str" s="11">
        <x:v>Даташит — локальный</x:v>
      </x:c>
      <x:c xmlns:x="http://schemas.openxmlformats.org/spreadsheetml/2006/main" r="V328" t="str" s="11">
        <x:v>C:\Users\Nomatin\Documents\Altium\MY_LIB\MY_LIB\Datasheets\YAGEO_RC_L.pdf</x:v>
      </x:c>
      <x:c xmlns:x="http://schemas.openxmlformats.org/spreadsheetml/2006/main" r="W328" t="str" s="11">
        <x:v>Даташит — производитель</x:v>
      </x:c>
      <x:c xmlns:x="http://schemas.openxmlformats.org/spreadsheetml/2006/main" r="X328" t="str" s="11">
        <x:v>https://yageogroup.com/content/datasheet/asset/file/PYU-RC_GROUP_51_ROHS_L</x:v>
      </x:c>
      <x:c xmlns:x="http://schemas.openxmlformats.org/spreadsheetml/2006/main" r="Y328" t="str" s="11">
        <x:v>C:\Users\Nomatin\Documents\Altium\MY_LIB\MY_LIB\Datasheets\YAGEO_RC_L.pdf</x:v>
      </x:c>
    </ns0:row>
    <ns0:row xmlns:ns0="http://schemas.openxmlformats.org/spreadsheetml/2006/main" r="329" ht="30" customHeight="1">
      <ns0:c r="A329" t="str" s="10">
        <ns0:v>R0335</ns0:v>
      </ns0:c>
      <ns0:c r="B329" t="str" s="10">
        <ns0:v>Резистор</ns0:v>
      </ns0:c>
      <ns0:c r="C329" t="str" s="10">
        <ns0:v>30R</ns0:v>
      </ns0:c>
      <ns0:c r="D329" t="str" s="11">
        <ns0:f>SUBSTITUTE(SUBSTITUTE(SUBSTITUTE(SUBSTITUTE(C329,"meg"," МОм"),"k"," кОм"),"R"," Ом"),".",",")</ns0:f>
        <ns0:v>30 Ом</ns0:v>
      </ns0:c>
      <ns0:c r="E329" t="str" s="10">
        <ns0:v>±1%</ns0:v>
      </ns0:c>
      <ns0:c r="F329" t="str" s="10">
        <ns0:v>0,1 Вт</ns0:v>
      </ns0:c>
      <ns0:c r="G329" t="str" s="10">
        <ns0:v>75 В макс.</ns0:v>
      </ns0:c>
      <ns0:c r="H329" t="str" s="12">
        <ns0:v>0603</ns0:v>
      </ns0:c>
      <ns0:c r="I329" t="str" s="10">
        <ns0:v>YAGEO</ns0:v>
      </ns0:c>
      <ns0:c r="J329" t="str" s="10">
        <ns0:v>RC0603FR-0730RL</ns0:v>
      </ns0:c>
      <ns0:c r="K329" t="str" s="11">
        <ns0:f>B329&amp;" "&amp;D329&amp;" "&amp;E329&amp;" "&amp;H329</ns0:f>
        <ns0:v>Резистор 30 Ом ±1% 0603</ns0:v>
      </ns0:c>
      <ns0:c r="L329" t="str" s="13">
        <ns0:v>R</ns0:v>
      </ns0:c>
      <ns0:c r="M329" t="str" s="13">
        <ns0:v>Symbols\MY_LIB_Resistors.SchLib</ns0:v>
      </ns0:c>
      <ns0:c r="N329" t="str" s="13">
        <ns0:v>RESC1608X55N</ns0:v>
      </ns0:c>
      <ns0:c r="O329" t="str" s="13">
        <ns0:v>Footprints\PBL - SMD Packages.PcbLib</ns0:v>
      </ns0:c>
      <ns0:c r="P329" t="str" s="10">
        <ns0:v>RC_L; E24; P при 70 °C; U ≤ min(√(P·R), Umax)</ns0:v>
      </ns0:c>
      <ns0:c r="Q329" s="10"/>
      <ns0:c r="R329" t="str" s="11">
        <ns0:f>D329</ns0:f>
        <ns0:v>30 Ом</ns0:v>
      </ns0:c>
      <ns0:c r="S329" t="str" s="11">
        <ns0:f>K329</ns0:f>
        <ns0:v>Резистор 30 Ом ±1% 0603</ns0:v>
      </ns0:c>
      <x:c xmlns:x="http://schemas.openxmlformats.org/spreadsheetml/2006/main" r="T329" t="str" s="11">
        <x:v>C:\Users\Nomatin\Documents\Altium\MY_LIB\MY_LIB\Datasheets\YAGEO_RC_L.pdf</x:v>
      </x:c>
      <x:c xmlns:x="http://schemas.openxmlformats.org/spreadsheetml/2006/main" r="U329" t="str" s="11">
        <x:v>Даташит — локальный</x:v>
      </x:c>
      <x:c xmlns:x="http://schemas.openxmlformats.org/spreadsheetml/2006/main" r="V329" t="str" s="11">
        <x:v>C:\Users\Nomatin\Documents\Altium\MY_LIB\MY_LIB\Datasheets\YAGEO_RC_L.pdf</x:v>
      </x:c>
      <x:c xmlns:x="http://schemas.openxmlformats.org/spreadsheetml/2006/main" r="W329" t="str" s="11">
        <x:v>Даташит — производитель</x:v>
      </x:c>
      <x:c xmlns:x="http://schemas.openxmlformats.org/spreadsheetml/2006/main" r="X329" t="str" s="11">
        <x:v>https://yageogroup.com/content/datasheet/asset/file/PYU-RC_GROUP_51_ROHS_L</x:v>
      </x:c>
      <x:c xmlns:x="http://schemas.openxmlformats.org/spreadsheetml/2006/main" r="Y329" t="str" s="11">
        <x:v>C:\Users\Nomatin\Documents\Altium\MY_LIB\MY_LIB\Datasheets\YAGEO_RC_L.pdf</x:v>
      </x:c>
    </ns0:row>
    <ns0:row xmlns:ns0="http://schemas.openxmlformats.org/spreadsheetml/2006/main" r="330" ht="30" customHeight="1">
      <ns0:c r="A330" t="str" s="10">
        <ns0:v>R0336</ns0:v>
      </ns0:c>
      <ns0:c r="B330" t="str" s="10">
        <ns0:v>Резистор</ns0:v>
      </ns0:c>
      <ns0:c r="C330" t="str" s="10">
        <ns0:v>33R</ns0:v>
      </ns0:c>
      <ns0:c r="D330" t="str" s="11">
        <ns0:f>SUBSTITUTE(SUBSTITUTE(SUBSTITUTE(SUBSTITUTE(C330,"meg"," МОм"),"k"," кОм"),"R"," Ом"),".",",")</ns0:f>
        <ns0:v>33 Ом</ns0:v>
      </ns0:c>
      <ns0:c r="E330" t="str" s="10">
        <ns0:v>±1%</ns0:v>
      </ns0:c>
      <ns0:c r="F330" t="str" s="10">
        <ns0:v>0,1 Вт</ns0:v>
      </ns0:c>
      <ns0:c r="G330" t="str" s="10">
        <ns0:v>75 В макс.</ns0:v>
      </ns0:c>
      <ns0:c r="H330" t="str" s="12">
        <ns0:v>0603</ns0:v>
      </ns0:c>
      <ns0:c r="I330" t="str" s="10">
        <ns0:v>YAGEO</ns0:v>
      </ns0:c>
      <ns0:c r="J330" t="str" s="10">
        <ns0:v>RC0603FR-0733RL</ns0:v>
      </ns0:c>
      <ns0:c r="K330" t="str" s="11">
        <ns0:f>B330&amp;" "&amp;D330&amp;" "&amp;E330&amp;" "&amp;H330</ns0:f>
        <ns0:v>Резистор 33 Ом ±1% 0603</ns0:v>
      </ns0:c>
      <ns0:c r="L330" t="str" s="13">
        <ns0:v>R</ns0:v>
      </ns0:c>
      <ns0:c r="M330" t="str" s="13">
        <ns0:v>Symbols\MY_LIB_Resistors.SchLib</ns0:v>
      </ns0:c>
      <ns0:c r="N330" t="str" s="13">
        <ns0:v>RESC1608X55N</ns0:v>
      </ns0:c>
      <ns0:c r="O330" t="str" s="13">
        <ns0:v>Footprints\PBL - SMD Packages.PcbLib</ns0:v>
      </ns0:c>
      <ns0:c r="P330" t="str" s="10">
        <ns0:v>RC_L; E24; P при 70 °C; U ≤ min(√(P·R), Umax)</ns0:v>
      </ns0:c>
      <ns0:c r="Q330" s="10"/>
      <ns0:c r="R330" t="str" s="11">
        <ns0:f>D330</ns0:f>
        <ns0:v>33 Ом</ns0:v>
      </ns0:c>
      <ns0:c r="S330" t="str" s="11">
        <ns0:f>K330</ns0:f>
        <ns0:v>Резистор 33 Ом ±1% 0603</ns0:v>
      </ns0:c>
      <x:c xmlns:x="http://schemas.openxmlformats.org/spreadsheetml/2006/main" r="T330" t="str" s="11">
        <x:v>C:\Users\Nomatin\Documents\Altium\MY_LIB\MY_LIB\Datasheets\YAGEO_RC_L.pdf</x:v>
      </x:c>
      <x:c xmlns:x="http://schemas.openxmlformats.org/spreadsheetml/2006/main" r="U330" t="str" s="11">
        <x:v>Даташит — локальный</x:v>
      </x:c>
      <x:c xmlns:x="http://schemas.openxmlformats.org/spreadsheetml/2006/main" r="V330" t="str" s="11">
        <x:v>C:\Users\Nomatin\Documents\Altium\MY_LIB\MY_LIB\Datasheets\YAGEO_RC_L.pdf</x:v>
      </x:c>
      <x:c xmlns:x="http://schemas.openxmlformats.org/spreadsheetml/2006/main" r="W330" t="str" s="11">
        <x:v>Даташит — производитель</x:v>
      </x:c>
      <x:c xmlns:x="http://schemas.openxmlformats.org/spreadsheetml/2006/main" r="X330" t="str" s="11">
        <x:v>https://yageogroup.com/content/datasheet/asset/file/PYU-RC_GROUP_51_ROHS_L</x:v>
      </x:c>
      <x:c xmlns:x="http://schemas.openxmlformats.org/spreadsheetml/2006/main" r="Y330" t="str" s="11">
        <x:v>C:\Users\Nomatin\Documents\Altium\MY_LIB\MY_LIB\Datasheets\YAGEO_RC_L.pdf</x:v>
      </x:c>
    </ns0:row>
    <ns0:row xmlns:ns0="http://schemas.openxmlformats.org/spreadsheetml/2006/main" r="331" ht="30" customHeight="1">
      <ns0:c r="A331" t="str" s="10">
        <ns0:v>R0337</ns0:v>
      </ns0:c>
      <ns0:c r="B331" t="str" s="10">
        <ns0:v>Резистор</ns0:v>
      </ns0:c>
      <ns0:c r="C331" t="str" s="10">
        <ns0:v>36R</ns0:v>
      </ns0:c>
      <ns0:c r="D331" t="str" s="11">
        <ns0:f>SUBSTITUTE(SUBSTITUTE(SUBSTITUTE(SUBSTITUTE(C331,"meg"," МОм"),"k"," кОм"),"R"," Ом"),".",",")</ns0:f>
        <ns0:v>36 Ом</ns0:v>
      </ns0:c>
      <ns0:c r="E331" t="str" s="10">
        <ns0:v>±1%</ns0:v>
      </ns0:c>
      <ns0:c r="F331" t="str" s="10">
        <ns0:v>0,1 Вт</ns0:v>
      </ns0:c>
      <ns0:c r="G331" t="str" s="10">
        <ns0:v>75 В макс.</ns0:v>
      </ns0:c>
      <ns0:c r="H331" t="str" s="12">
        <ns0:v>0603</ns0:v>
      </ns0:c>
      <ns0:c r="I331" t="str" s="10">
        <ns0:v>YAGEO</ns0:v>
      </ns0:c>
      <ns0:c r="J331" t="str" s="10">
        <ns0:v>RC0603FR-0736RL</ns0:v>
      </ns0:c>
      <ns0:c r="K331" t="str" s="11">
        <ns0:f>B331&amp;" "&amp;D331&amp;" "&amp;E331&amp;" "&amp;H331</ns0:f>
        <ns0:v>Резистор 36 Ом ±1% 0603</ns0:v>
      </ns0:c>
      <ns0:c r="L331" t="str" s="13">
        <ns0:v>R</ns0:v>
      </ns0:c>
      <ns0:c r="M331" t="str" s="13">
        <ns0:v>Symbols\MY_LIB_Resistors.SchLib</ns0:v>
      </ns0:c>
      <ns0:c r="N331" t="str" s="13">
        <ns0:v>RESC1608X55N</ns0:v>
      </ns0:c>
      <ns0:c r="O331" t="str" s="13">
        <ns0:v>Footprints\PBL - SMD Packages.PcbLib</ns0:v>
      </ns0:c>
      <ns0:c r="P331" t="str" s="10">
        <ns0:v>RC_L; E24; P при 70 °C; U ≤ min(√(P·R), Umax)</ns0:v>
      </ns0:c>
      <ns0:c r="Q331" s="10"/>
      <ns0:c r="R331" t="str" s="11">
        <ns0:f>D331</ns0:f>
        <ns0:v>36 Ом</ns0:v>
      </ns0:c>
      <ns0:c r="S331" t="str" s="11">
        <ns0:f>K331</ns0:f>
        <ns0:v>Резистор 36 Ом ±1% 0603</ns0:v>
      </ns0:c>
      <x:c xmlns:x="http://schemas.openxmlformats.org/spreadsheetml/2006/main" r="T331" t="str" s="11">
        <x:v>C:\Users\Nomatin\Documents\Altium\MY_LIB\MY_LIB\Datasheets\YAGEO_RC_L.pdf</x:v>
      </x:c>
      <x:c xmlns:x="http://schemas.openxmlformats.org/spreadsheetml/2006/main" r="U331" t="str" s="11">
        <x:v>Даташит — локальный</x:v>
      </x:c>
      <x:c xmlns:x="http://schemas.openxmlformats.org/spreadsheetml/2006/main" r="V331" t="str" s="11">
        <x:v>C:\Users\Nomatin\Documents\Altium\MY_LIB\MY_LIB\Datasheets\YAGEO_RC_L.pdf</x:v>
      </x:c>
      <x:c xmlns:x="http://schemas.openxmlformats.org/spreadsheetml/2006/main" r="W331" t="str" s="11">
        <x:v>Даташит — производитель</x:v>
      </x:c>
      <x:c xmlns:x="http://schemas.openxmlformats.org/spreadsheetml/2006/main" r="X331" t="str" s="11">
        <x:v>https://yageogroup.com/content/datasheet/asset/file/PYU-RC_GROUP_51_ROHS_L</x:v>
      </x:c>
      <x:c xmlns:x="http://schemas.openxmlformats.org/spreadsheetml/2006/main" r="Y331" t="str" s="11">
        <x:v>C:\Users\Nomatin\Documents\Altium\MY_LIB\MY_LIB\Datasheets\YAGEO_RC_L.pdf</x:v>
      </x:c>
    </ns0:row>
    <ns0:row xmlns:ns0="http://schemas.openxmlformats.org/spreadsheetml/2006/main" r="332" ht="30" customHeight="1">
      <ns0:c r="A332" t="str" s="10">
        <ns0:v>R0338</ns0:v>
      </ns0:c>
      <ns0:c r="B332" t="str" s="10">
        <ns0:v>Резистор</ns0:v>
      </ns0:c>
      <ns0:c r="C332" t="str" s="10">
        <ns0:v>39R</ns0:v>
      </ns0:c>
      <ns0:c r="D332" t="str" s="11">
        <ns0:f>SUBSTITUTE(SUBSTITUTE(SUBSTITUTE(SUBSTITUTE(C332,"meg"," МОм"),"k"," кОм"),"R"," Ом"),".",",")</ns0:f>
        <ns0:v>39 Ом</ns0:v>
      </ns0:c>
      <ns0:c r="E332" t="str" s="10">
        <ns0:v>±1%</ns0:v>
      </ns0:c>
      <ns0:c r="F332" t="str" s="10">
        <ns0:v>0,1 Вт</ns0:v>
      </ns0:c>
      <ns0:c r="G332" t="str" s="10">
        <ns0:v>75 В макс.</ns0:v>
      </ns0:c>
      <ns0:c r="H332" t="str" s="12">
        <ns0:v>0603</ns0:v>
      </ns0:c>
      <ns0:c r="I332" t="str" s="10">
        <ns0:v>YAGEO</ns0:v>
      </ns0:c>
      <ns0:c r="J332" t="str" s="10">
        <ns0:v>RC0603FR-0739RL</ns0:v>
      </ns0:c>
      <ns0:c r="K332" t="str" s="11">
        <ns0:f>B332&amp;" "&amp;D332&amp;" "&amp;E332&amp;" "&amp;H332</ns0:f>
        <ns0:v>Резистор 39 Ом ±1% 0603</ns0:v>
      </ns0:c>
      <ns0:c r="L332" t="str" s="13">
        <ns0:v>R</ns0:v>
      </ns0:c>
      <ns0:c r="M332" t="str" s="13">
        <ns0:v>Symbols\MY_LIB_Resistors.SchLib</ns0:v>
      </ns0:c>
      <ns0:c r="N332" t="str" s="13">
        <ns0:v>RESC1608X55N</ns0:v>
      </ns0:c>
      <ns0:c r="O332" t="str" s="13">
        <ns0:v>Footprints\PBL - SMD Packages.PcbLib</ns0:v>
      </ns0:c>
      <ns0:c r="P332" t="str" s="10">
        <ns0:v>RC_L; E24; P при 70 °C; U ≤ min(√(P·R), Umax)</ns0:v>
      </ns0:c>
      <ns0:c r="Q332" s="10"/>
      <ns0:c r="R332" t="str" s="11">
        <ns0:f>D332</ns0:f>
        <ns0:v>39 Ом</ns0:v>
      </ns0:c>
      <ns0:c r="S332" t="str" s="11">
        <ns0:f>K332</ns0:f>
        <ns0:v>Резистор 39 Ом ±1% 0603</ns0:v>
      </ns0:c>
      <x:c xmlns:x="http://schemas.openxmlformats.org/spreadsheetml/2006/main" r="T332" t="str" s="11">
        <x:v>C:\Users\Nomatin\Documents\Altium\MY_LIB\MY_LIB\Datasheets\YAGEO_RC_L.pdf</x:v>
      </x:c>
      <x:c xmlns:x="http://schemas.openxmlformats.org/spreadsheetml/2006/main" r="U332" t="str" s="11">
        <x:v>Даташит — локальный</x:v>
      </x:c>
      <x:c xmlns:x="http://schemas.openxmlformats.org/spreadsheetml/2006/main" r="V332" t="str" s="11">
        <x:v>C:\Users\Nomatin\Documents\Altium\MY_LIB\MY_LIB\Datasheets\YAGEO_RC_L.pdf</x:v>
      </x:c>
      <x:c xmlns:x="http://schemas.openxmlformats.org/spreadsheetml/2006/main" r="W332" t="str" s="11">
        <x:v>Даташит — производитель</x:v>
      </x:c>
      <x:c xmlns:x="http://schemas.openxmlformats.org/spreadsheetml/2006/main" r="X332" t="str" s="11">
        <x:v>https://yageogroup.com/content/datasheet/asset/file/PYU-RC_GROUP_51_ROHS_L</x:v>
      </x:c>
      <x:c xmlns:x="http://schemas.openxmlformats.org/spreadsheetml/2006/main" r="Y332" t="str" s="11">
        <x:v>C:\Users\Nomatin\Documents\Altium\MY_LIB\MY_LIB\Datasheets\YAGEO_RC_L.pdf</x:v>
      </x:c>
    </ns0:row>
    <ns0:row xmlns:ns0="http://schemas.openxmlformats.org/spreadsheetml/2006/main" r="333" ht="30" customHeight="1">
      <ns0:c r="A333" t="str" s="10">
        <ns0:v>R0339</ns0:v>
      </ns0:c>
      <ns0:c r="B333" t="str" s="10">
        <ns0:v>Резистор</ns0:v>
      </ns0:c>
      <ns0:c r="C333" t="str" s="10">
        <ns0:v>43R</ns0:v>
      </ns0:c>
      <ns0:c r="D333" t="str" s="11">
        <ns0:f>SUBSTITUTE(SUBSTITUTE(SUBSTITUTE(SUBSTITUTE(C333,"meg"," МОм"),"k"," кОм"),"R"," Ом"),".",",")</ns0:f>
        <ns0:v>43 Ом</ns0:v>
      </ns0:c>
      <ns0:c r="E333" t="str" s="10">
        <ns0:v>±1%</ns0:v>
      </ns0:c>
      <ns0:c r="F333" t="str" s="10">
        <ns0:v>0,1 Вт</ns0:v>
      </ns0:c>
      <ns0:c r="G333" t="str" s="10">
        <ns0:v>75 В макс.</ns0:v>
      </ns0:c>
      <ns0:c r="H333" t="str" s="12">
        <ns0:v>0603</ns0:v>
      </ns0:c>
      <ns0:c r="I333" t="str" s="10">
        <ns0:v>YAGEO</ns0:v>
      </ns0:c>
      <ns0:c r="J333" t="str" s="10">
        <ns0:v>RC0603FR-0743RL</ns0:v>
      </ns0:c>
      <ns0:c r="K333" t="str" s="11">
        <ns0:f>B333&amp;" "&amp;D333&amp;" "&amp;E333&amp;" "&amp;H333</ns0:f>
        <ns0:v>Резистор 43 Ом ±1% 0603</ns0:v>
      </ns0:c>
      <ns0:c r="L333" t="str" s="13">
        <ns0:v>R</ns0:v>
      </ns0:c>
      <ns0:c r="M333" t="str" s="13">
        <ns0:v>Symbols\MY_LIB_Resistors.SchLib</ns0:v>
      </ns0:c>
      <ns0:c r="N333" t="str" s="13">
        <ns0:v>RESC1608X55N</ns0:v>
      </ns0:c>
      <ns0:c r="O333" t="str" s="13">
        <ns0:v>Footprints\PBL - SMD Packages.PcbLib</ns0:v>
      </ns0:c>
      <ns0:c r="P333" t="str" s="10">
        <ns0:v>RC_L; E24; P при 70 °C; U ≤ min(√(P·R), Umax)</ns0:v>
      </ns0:c>
      <ns0:c r="Q333" s="10"/>
      <ns0:c r="R333" t="str" s="11">
        <ns0:f>D333</ns0:f>
        <ns0:v>43 Ом</ns0:v>
      </ns0:c>
      <ns0:c r="S333" t="str" s="11">
        <ns0:f>K333</ns0:f>
        <ns0:v>Резистор 43 Ом ±1% 0603</ns0:v>
      </ns0:c>
      <x:c xmlns:x="http://schemas.openxmlformats.org/spreadsheetml/2006/main" r="T333" t="str" s="11">
        <x:v>C:\Users\Nomatin\Documents\Altium\MY_LIB\MY_LIB\Datasheets\YAGEO_RC_L.pdf</x:v>
      </x:c>
      <x:c xmlns:x="http://schemas.openxmlformats.org/spreadsheetml/2006/main" r="U333" t="str" s="11">
        <x:v>Даташит — локальный</x:v>
      </x:c>
      <x:c xmlns:x="http://schemas.openxmlformats.org/spreadsheetml/2006/main" r="V333" t="str" s="11">
        <x:v>C:\Users\Nomatin\Documents\Altium\MY_LIB\MY_LIB\Datasheets\YAGEO_RC_L.pdf</x:v>
      </x:c>
      <x:c xmlns:x="http://schemas.openxmlformats.org/spreadsheetml/2006/main" r="W333" t="str" s="11">
        <x:v>Даташит — производитель</x:v>
      </x:c>
      <x:c xmlns:x="http://schemas.openxmlformats.org/spreadsheetml/2006/main" r="X333" t="str" s="11">
        <x:v>https://yageogroup.com/content/datasheet/asset/file/PYU-RC_GROUP_51_ROHS_L</x:v>
      </x:c>
      <x:c xmlns:x="http://schemas.openxmlformats.org/spreadsheetml/2006/main" r="Y333" t="str" s="11">
        <x:v>C:\Users\Nomatin\Documents\Altium\MY_LIB\MY_LIB\Datasheets\YAGEO_RC_L.pdf</x:v>
      </x:c>
    </ns0:row>
    <ns0:row xmlns:ns0="http://schemas.openxmlformats.org/spreadsheetml/2006/main" r="334" ht="30" customHeight="1">
      <ns0:c r="A334" t="str" s="10">
        <ns0:v>R0340</ns0:v>
      </ns0:c>
      <ns0:c r="B334" t="str" s="10">
        <ns0:v>Резистор</ns0:v>
      </ns0:c>
      <ns0:c r="C334" t="str" s="10">
        <ns0:v>47R</ns0:v>
      </ns0:c>
      <ns0:c r="D334" t="str" s="11">
        <ns0:f>SUBSTITUTE(SUBSTITUTE(SUBSTITUTE(SUBSTITUTE(C334,"meg"," МОм"),"k"," кОм"),"R"," Ом"),".",",")</ns0:f>
        <ns0:v>47 Ом</ns0:v>
      </ns0:c>
      <ns0:c r="E334" t="str" s="10">
        <ns0:v>±1%</ns0:v>
      </ns0:c>
      <ns0:c r="F334" t="str" s="10">
        <ns0:v>0,1 Вт</ns0:v>
      </ns0:c>
      <ns0:c r="G334" t="str" s="10">
        <ns0:v>75 В макс.</ns0:v>
      </ns0:c>
      <ns0:c r="H334" t="str" s="12">
        <ns0:v>0603</ns0:v>
      </ns0:c>
      <ns0:c r="I334" t="str" s="10">
        <ns0:v>YAGEO</ns0:v>
      </ns0:c>
      <ns0:c r="J334" t="str" s="10">
        <ns0:v>RC0603FR-0747RL</ns0:v>
      </ns0:c>
      <ns0:c r="K334" t="str" s="11">
        <ns0:f>B334&amp;" "&amp;D334&amp;" "&amp;E334&amp;" "&amp;H334</ns0:f>
        <ns0:v>Резистор 47 Ом ±1% 0603</ns0:v>
      </ns0:c>
      <ns0:c r="L334" t="str" s="13">
        <ns0:v>R</ns0:v>
      </ns0:c>
      <ns0:c r="M334" t="str" s="13">
        <ns0:v>Symbols\MY_LIB_Resistors.SchLib</ns0:v>
      </ns0:c>
      <ns0:c r="N334" t="str" s="13">
        <ns0:v>RESC1608X55N</ns0:v>
      </ns0:c>
      <ns0:c r="O334" t="str" s="13">
        <ns0:v>Footprints\PBL - SMD Packages.PcbLib</ns0:v>
      </ns0:c>
      <ns0:c r="P334" t="str" s="10">
        <ns0:v>RC_L; E24; P при 70 °C; U ≤ min(√(P·R), Umax)</ns0:v>
      </ns0:c>
      <ns0:c r="Q334" s="10"/>
      <ns0:c r="R334" t="str" s="11">
        <ns0:f>D334</ns0:f>
        <ns0:v>47 Ом</ns0:v>
      </ns0:c>
      <ns0:c r="S334" t="str" s="11">
        <ns0:f>K334</ns0:f>
        <ns0:v>Резистор 47 Ом ±1% 0603</ns0:v>
      </ns0:c>
      <x:c xmlns:x="http://schemas.openxmlformats.org/spreadsheetml/2006/main" r="T334" t="str" s="11">
        <x:v>C:\Users\Nomatin\Documents\Altium\MY_LIB\MY_LIB\Datasheets\YAGEO_RC_L.pdf</x:v>
      </x:c>
      <x:c xmlns:x="http://schemas.openxmlformats.org/spreadsheetml/2006/main" r="U334" t="str" s="11">
        <x:v>Даташит — локальный</x:v>
      </x:c>
      <x:c xmlns:x="http://schemas.openxmlformats.org/spreadsheetml/2006/main" r="V334" t="str" s="11">
        <x:v>C:\Users\Nomatin\Documents\Altium\MY_LIB\MY_LIB\Datasheets\YAGEO_RC_L.pdf</x:v>
      </x:c>
      <x:c xmlns:x="http://schemas.openxmlformats.org/spreadsheetml/2006/main" r="W334" t="str" s="11">
        <x:v>Даташит — производитель</x:v>
      </x:c>
      <x:c xmlns:x="http://schemas.openxmlformats.org/spreadsheetml/2006/main" r="X334" t="str" s="11">
        <x:v>https://yageogroup.com/content/datasheet/asset/file/PYU-RC_GROUP_51_ROHS_L</x:v>
      </x:c>
      <x:c xmlns:x="http://schemas.openxmlformats.org/spreadsheetml/2006/main" r="Y334" t="str" s="11">
        <x:v>C:\Users\Nomatin\Documents\Altium\MY_LIB\MY_LIB\Datasheets\YAGEO_RC_L.pdf</x:v>
      </x:c>
    </ns0:row>
    <ns0:row xmlns:ns0="http://schemas.openxmlformats.org/spreadsheetml/2006/main" r="335" ht="30" customHeight="1">
      <ns0:c r="A335" t="str" s="10">
        <ns0:v>R0341</ns0:v>
      </ns0:c>
      <ns0:c r="B335" t="str" s="10">
        <ns0:v>Резистор</ns0:v>
      </ns0:c>
      <ns0:c r="C335" t="str" s="10">
        <ns0:v>51R</ns0:v>
      </ns0:c>
      <ns0:c r="D335" t="str" s="11">
        <ns0:f>SUBSTITUTE(SUBSTITUTE(SUBSTITUTE(SUBSTITUTE(C335,"meg"," МОм"),"k"," кОм"),"R"," Ом"),".",",")</ns0:f>
        <ns0:v>51 Ом</ns0:v>
      </ns0:c>
      <ns0:c r="E335" t="str" s="10">
        <ns0:v>±1%</ns0:v>
      </ns0:c>
      <ns0:c r="F335" t="str" s="10">
        <ns0:v>0,1 Вт</ns0:v>
      </ns0:c>
      <ns0:c r="G335" t="str" s="10">
        <ns0:v>75 В макс.</ns0:v>
      </ns0:c>
      <ns0:c r="H335" t="str" s="12">
        <ns0:v>0603</ns0:v>
      </ns0:c>
      <ns0:c r="I335" t="str" s="10">
        <ns0:v>YAGEO</ns0:v>
      </ns0:c>
      <ns0:c r="J335" t="str" s="10">
        <ns0:v>RC0603FR-0751RL</ns0:v>
      </ns0:c>
      <ns0:c r="K335" t="str" s="11">
        <ns0:f>B335&amp;" "&amp;D335&amp;" "&amp;E335&amp;" "&amp;H335</ns0:f>
        <ns0:v>Резистор 51 Ом ±1% 0603</ns0:v>
      </ns0:c>
      <ns0:c r="L335" t="str" s="13">
        <ns0:v>R</ns0:v>
      </ns0:c>
      <ns0:c r="M335" t="str" s="13">
        <ns0:v>Symbols\MY_LIB_Resistors.SchLib</ns0:v>
      </ns0:c>
      <ns0:c r="N335" t="str" s="13">
        <ns0:v>RESC1608X55N</ns0:v>
      </ns0:c>
      <ns0:c r="O335" t="str" s="13">
        <ns0:v>Footprints\PBL - SMD Packages.PcbLib</ns0:v>
      </ns0:c>
      <ns0:c r="P335" t="str" s="10">
        <ns0:v>RC_L; E24; P при 70 °C; U ≤ min(√(P·R), Umax)</ns0:v>
      </ns0:c>
      <ns0:c r="Q335" s="10"/>
      <ns0:c r="R335" t="str" s="11">
        <ns0:f>D335</ns0:f>
        <ns0:v>51 Ом</ns0:v>
      </ns0:c>
      <ns0:c r="S335" t="str" s="11">
        <ns0:f>K335</ns0:f>
        <ns0:v>Резистор 51 Ом ±1% 0603</ns0:v>
      </ns0:c>
      <x:c xmlns:x="http://schemas.openxmlformats.org/spreadsheetml/2006/main" r="T335" t="str" s="11">
        <x:v>C:\Users\Nomatin\Documents\Altium\MY_LIB\MY_LIB\Datasheets\YAGEO_RC_L.pdf</x:v>
      </x:c>
      <x:c xmlns:x="http://schemas.openxmlformats.org/spreadsheetml/2006/main" r="U335" t="str" s="11">
        <x:v>Даташит — локальный</x:v>
      </x:c>
      <x:c xmlns:x="http://schemas.openxmlformats.org/spreadsheetml/2006/main" r="V335" t="str" s="11">
        <x:v>C:\Users\Nomatin\Documents\Altium\MY_LIB\MY_LIB\Datasheets\YAGEO_RC_L.pdf</x:v>
      </x:c>
      <x:c xmlns:x="http://schemas.openxmlformats.org/spreadsheetml/2006/main" r="W335" t="str" s="11">
        <x:v>Даташит — производитель</x:v>
      </x:c>
      <x:c xmlns:x="http://schemas.openxmlformats.org/spreadsheetml/2006/main" r="X335" t="str" s="11">
        <x:v>https://yageogroup.com/content/datasheet/asset/file/PYU-RC_GROUP_51_ROHS_L</x:v>
      </x:c>
      <x:c xmlns:x="http://schemas.openxmlformats.org/spreadsheetml/2006/main" r="Y335" t="str" s="11">
        <x:v>C:\Users\Nomatin\Documents\Altium\MY_LIB\MY_LIB\Datasheets\YAGEO_RC_L.pdf</x:v>
      </x:c>
    </ns0:row>
    <ns0:row xmlns:ns0="http://schemas.openxmlformats.org/spreadsheetml/2006/main" r="336" ht="30" customHeight="1">
      <ns0:c r="A336" t="str" s="10">
        <ns0:v>R0342</ns0:v>
      </ns0:c>
      <ns0:c r="B336" t="str" s="10">
        <ns0:v>Резистор</ns0:v>
      </ns0:c>
      <ns0:c r="C336" t="str" s="10">
        <ns0:v>56R</ns0:v>
      </ns0:c>
      <ns0:c r="D336" t="str" s="11">
        <ns0:f>SUBSTITUTE(SUBSTITUTE(SUBSTITUTE(SUBSTITUTE(C336,"meg"," МОм"),"k"," кОм"),"R"," Ом"),".",",")</ns0:f>
        <ns0:v>56 Ом</ns0:v>
      </ns0:c>
      <ns0:c r="E336" t="str" s="10">
        <ns0:v>±1%</ns0:v>
      </ns0:c>
      <ns0:c r="F336" t="str" s="10">
        <ns0:v>0,1 Вт</ns0:v>
      </ns0:c>
      <ns0:c r="G336" t="str" s="10">
        <ns0:v>75 В макс.</ns0:v>
      </ns0:c>
      <ns0:c r="H336" t="str" s="12">
        <ns0:v>0603</ns0:v>
      </ns0:c>
      <ns0:c r="I336" t="str" s="10">
        <ns0:v>YAGEO</ns0:v>
      </ns0:c>
      <ns0:c r="J336" t="str" s="10">
        <ns0:v>RC0603FR-0756RL</ns0:v>
      </ns0:c>
      <ns0:c r="K336" t="str" s="11">
        <ns0:f>B336&amp;" "&amp;D336&amp;" "&amp;E336&amp;" "&amp;H336</ns0:f>
        <ns0:v>Резистор 56 Ом ±1% 0603</ns0:v>
      </ns0:c>
      <ns0:c r="L336" t="str" s="13">
        <ns0:v>R</ns0:v>
      </ns0:c>
      <ns0:c r="M336" t="str" s="13">
        <ns0:v>Symbols\MY_LIB_Resistors.SchLib</ns0:v>
      </ns0:c>
      <ns0:c r="N336" t="str" s="13">
        <ns0:v>RESC1608X55N</ns0:v>
      </ns0:c>
      <ns0:c r="O336" t="str" s="13">
        <ns0:v>Footprints\PBL - SMD Packages.PcbLib</ns0:v>
      </ns0:c>
      <ns0:c r="P336" t="str" s="10">
        <ns0:v>RC_L; E24; P при 70 °C; U ≤ min(√(P·R), Umax)</ns0:v>
      </ns0:c>
      <ns0:c r="Q336" s="10"/>
      <ns0:c r="R336" t="str" s="11">
        <ns0:f>D336</ns0:f>
        <ns0:v>56 Ом</ns0:v>
      </ns0:c>
      <ns0:c r="S336" t="str" s="11">
        <ns0:f>K336</ns0:f>
        <ns0:v>Резистор 56 Ом ±1% 0603</ns0:v>
      </ns0:c>
      <x:c xmlns:x="http://schemas.openxmlformats.org/spreadsheetml/2006/main" r="T336" t="str" s="11">
        <x:v>C:\Users\Nomatin\Documents\Altium\MY_LIB\MY_LIB\Datasheets\YAGEO_RC_L.pdf</x:v>
      </x:c>
      <x:c xmlns:x="http://schemas.openxmlformats.org/spreadsheetml/2006/main" r="U336" t="str" s="11">
        <x:v>Даташит — локальный</x:v>
      </x:c>
      <x:c xmlns:x="http://schemas.openxmlformats.org/spreadsheetml/2006/main" r="V336" t="str" s="11">
        <x:v>C:\Users\Nomatin\Documents\Altium\MY_LIB\MY_LIB\Datasheets\YAGEO_RC_L.pdf</x:v>
      </x:c>
      <x:c xmlns:x="http://schemas.openxmlformats.org/spreadsheetml/2006/main" r="W336" t="str" s="11">
        <x:v>Даташит — производитель</x:v>
      </x:c>
      <x:c xmlns:x="http://schemas.openxmlformats.org/spreadsheetml/2006/main" r="X336" t="str" s="11">
        <x:v>https://yageogroup.com/content/datasheet/asset/file/PYU-RC_GROUP_51_ROHS_L</x:v>
      </x:c>
      <x:c xmlns:x="http://schemas.openxmlformats.org/spreadsheetml/2006/main" r="Y336" t="str" s="11">
        <x:v>C:\Users\Nomatin\Documents\Altium\MY_LIB\MY_LIB\Datasheets\YAGEO_RC_L.pdf</x:v>
      </x:c>
    </ns0:row>
    <ns0:row xmlns:ns0="http://schemas.openxmlformats.org/spreadsheetml/2006/main" r="337" ht="30" customHeight="1">
      <ns0:c r="A337" t="str" s="10">
        <ns0:v>R0343</ns0:v>
      </ns0:c>
      <ns0:c r="B337" t="str" s="10">
        <ns0:v>Резистор</ns0:v>
      </ns0:c>
      <ns0:c r="C337" t="str" s="10">
        <ns0:v>62R</ns0:v>
      </ns0:c>
      <ns0:c r="D337" t="str" s="11">
        <ns0:f>SUBSTITUTE(SUBSTITUTE(SUBSTITUTE(SUBSTITUTE(C337,"meg"," МОм"),"k"," кОм"),"R"," Ом"),".",",")</ns0:f>
        <ns0:v>62 Ом</ns0:v>
      </ns0:c>
      <ns0:c r="E337" t="str" s="10">
        <ns0:v>±1%</ns0:v>
      </ns0:c>
      <ns0:c r="F337" t="str" s="10">
        <ns0:v>0,1 Вт</ns0:v>
      </ns0:c>
      <ns0:c r="G337" t="str" s="10">
        <ns0:v>75 В макс.</ns0:v>
      </ns0:c>
      <ns0:c r="H337" t="str" s="12">
        <ns0:v>0603</ns0:v>
      </ns0:c>
      <ns0:c r="I337" t="str" s="10">
        <ns0:v>YAGEO</ns0:v>
      </ns0:c>
      <ns0:c r="J337" t="str" s="10">
        <ns0:v>RC0603FR-0762RL</ns0:v>
      </ns0:c>
      <ns0:c r="K337" t="str" s="11">
        <ns0:f>B337&amp;" "&amp;D337&amp;" "&amp;E337&amp;" "&amp;H337</ns0:f>
        <ns0:v>Резистор 62 Ом ±1% 0603</ns0:v>
      </ns0:c>
      <ns0:c r="L337" t="str" s="13">
        <ns0:v>R</ns0:v>
      </ns0:c>
      <ns0:c r="M337" t="str" s="13">
        <ns0:v>Symbols\MY_LIB_Resistors.SchLib</ns0:v>
      </ns0:c>
      <ns0:c r="N337" t="str" s="13">
        <ns0:v>RESC1608X55N</ns0:v>
      </ns0:c>
      <ns0:c r="O337" t="str" s="13">
        <ns0:v>Footprints\PBL - SMD Packages.PcbLib</ns0:v>
      </ns0:c>
      <ns0:c r="P337" t="str" s="10">
        <ns0:v>RC_L; E24; P при 70 °C; U ≤ min(√(P·R), Umax)</ns0:v>
      </ns0:c>
      <ns0:c r="Q337" s="10"/>
      <ns0:c r="R337" t="str" s="11">
        <ns0:f>D337</ns0:f>
        <ns0:v>62 Ом</ns0:v>
      </ns0:c>
      <ns0:c r="S337" t="str" s="11">
        <ns0:f>K337</ns0:f>
        <ns0:v>Резистор 62 Ом ±1% 0603</ns0:v>
      </ns0:c>
      <x:c xmlns:x="http://schemas.openxmlformats.org/spreadsheetml/2006/main" r="T337" t="str" s="11">
        <x:v>C:\Users\Nomatin\Documents\Altium\MY_LIB\MY_LIB\Datasheets\YAGEO_RC_L.pdf</x:v>
      </x:c>
      <x:c xmlns:x="http://schemas.openxmlformats.org/spreadsheetml/2006/main" r="U337" t="str" s="11">
        <x:v>Даташит — локальный</x:v>
      </x:c>
      <x:c xmlns:x="http://schemas.openxmlformats.org/spreadsheetml/2006/main" r="V337" t="str" s="11">
        <x:v>C:\Users\Nomatin\Documents\Altium\MY_LIB\MY_LIB\Datasheets\YAGEO_RC_L.pdf</x:v>
      </x:c>
      <x:c xmlns:x="http://schemas.openxmlformats.org/spreadsheetml/2006/main" r="W337" t="str" s="11">
        <x:v>Даташит — производитель</x:v>
      </x:c>
      <x:c xmlns:x="http://schemas.openxmlformats.org/spreadsheetml/2006/main" r="X337" t="str" s="11">
        <x:v>https://yageogroup.com/content/datasheet/asset/file/PYU-RC_GROUP_51_ROHS_L</x:v>
      </x:c>
      <x:c xmlns:x="http://schemas.openxmlformats.org/spreadsheetml/2006/main" r="Y337" t="str" s="11">
        <x:v>C:\Users\Nomatin\Documents\Altium\MY_LIB\MY_LIB\Datasheets\YAGEO_RC_L.pdf</x:v>
      </x:c>
    </ns0:row>
    <ns0:row xmlns:ns0="http://schemas.openxmlformats.org/spreadsheetml/2006/main" r="338" ht="30" customHeight="1">
      <ns0:c r="A338" t="str" s="10">
        <ns0:v>R0344</ns0:v>
      </ns0:c>
      <ns0:c r="B338" t="str" s="10">
        <ns0:v>Резистор</ns0:v>
      </ns0:c>
      <ns0:c r="C338" t="str" s="10">
        <ns0:v>68R</ns0:v>
      </ns0:c>
      <ns0:c r="D338" t="str" s="11">
        <ns0:f>SUBSTITUTE(SUBSTITUTE(SUBSTITUTE(SUBSTITUTE(C338,"meg"," МОм"),"k"," кОм"),"R"," Ом"),".",",")</ns0:f>
        <ns0:v>68 Ом</ns0:v>
      </ns0:c>
      <ns0:c r="E338" t="str" s="10">
        <ns0:v>±1%</ns0:v>
      </ns0:c>
      <ns0:c r="F338" t="str" s="10">
        <ns0:v>0,1 Вт</ns0:v>
      </ns0:c>
      <ns0:c r="G338" t="str" s="10">
        <ns0:v>75 В макс.</ns0:v>
      </ns0:c>
      <ns0:c r="H338" t="str" s="12">
        <ns0:v>0603</ns0:v>
      </ns0:c>
      <ns0:c r="I338" t="str" s="10">
        <ns0:v>YAGEO</ns0:v>
      </ns0:c>
      <ns0:c r="J338" t="str" s="10">
        <ns0:v>RC0603FR-0768RL</ns0:v>
      </ns0:c>
      <ns0:c r="K338" t="str" s="11">
        <ns0:f>B338&amp;" "&amp;D338&amp;" "&amp;E338&amp;" "&amp;H338</ns0:f>
        <ns0:v>Резистор 68 Ом ±1% 0603</ns0:v>
      </ns0:c>
      <ns0:c r="L338" t="str" s="13">
        <ns0:v>R</ns0:v>
      </ns0:c>
      <ns0:c r="M338" t="str" s="13">
        <ns0:v>Symbols\MY_LIB_Resistors.SchLib</ns0:v>
      </ns0:c>
      <ns0:c r="N338" t="str" s="13">
        <ns0:v>RESC1608X55N</ns0:v>
      </ns0:c>
      <ns0:c r="O338" t="str" s="13">
        <ns0:v>Footprints\PBL - SMD Packages.PcbLib</ns0:v>
      </ns0:c>
      <ns0:c r="P338" t="str" s="10">
        <ns0:v>RC_L; E24; P при 70 °C; U ≤ min(√(P·R), Umax)</ns0:v>
      </ns0:c>
      <ns0:c r="Q338" s="10"/>
      <ns0:c r="R338" t="str" s="11">
        <ns0:f>D338</ns0:f>
        <ns0:v>68 Ом</ns0:v>
      </ns0:c>
      <ns0:c r="S338" t="str" s="11">
        <ns0:f>K338</ns0:f>
        <ns0:v>Резистор 68 Ом ±1% 0603</ns0:v>
      </ns0:c>
      <x:c xmlns:x="http://schemas.openxmlformats.org/spreadsheetml/2006/main" r="T338" t="str" s="11">
        <x:v>C:\Users\Nomatin\Documents\Altium\MY_LIB\MY_LIB\Datasheets\YAGEO_RC_L.pdf</x:v>
      </x:c>
      <x:c xmlns:x="http://schemas.openxmlformats.org/spreadsheetml/2006/main" r="U338" t="str" s="11">
        <x:v>Даташит — локальный</x:v>
      </x:c>
      <x:c xmlns:x="http://schemas.openxmlformats.org/spreadsheetml/2006/main" r="V338" t="str" s="11">
        <x:v>C:\Users\Nomatin\Documents\Altium\MY_LIB\MY_LIB\Datasheets\YAGEO_RC_L.pdf</x:v>
      </x:c>
      <x:c xmlns:x="http://schemas.openxmlformats.org/spreadsheetml/2006/main" r="W338" t="str" s="11">
        <x:v>Даташит — производитель</x:v>
      </x:c>
      <x:c xmlns:x="http://schemas.openxmlformats.org/spreadsheetml/2006/main" r="X338" t="str" s="11">
        <x:v>https://yageogroup.com/content/datasheet/asset/file/PYU-RC_GROUP_51_ROHS_L</x:v>
      </x:c>
      <x:c xmlns:x="http://schemas.openxmlformats.org/spreadsheetml/2006/main" r="Y338" t="str" s="11">
        <x:v>C:\Users\Nomatin\Documents\Altium\MY_LIB\MY_LIB\Datasheets\YAGEO_RC_L.pdf</x:v>
      </x:c>
    </ns0:row>
    <ns0:row xmlns:ns0="http://schemas.openxmlformats.org/spreadsheetml/2006/main" r="339" ht="30" customHeight="1">
      <ns0:c r="A339" t="str" s="10">
        <ns0:v>R0345</ns0:v>
      </ns0:c>
      <ns0:c r="B339" t="str" s="10">
        <ns0:v>Резистор</ns0:v>
      </ns0:c>
      <ns0:c r="C339" t="str" s="10">
        <ns0:v>75R</ns0:v>
      </ns0:c>
      <ns0:c r="D339" t="str" s="11">
        <ns0:f>SUBSTITUTE(SUBSTITUTE(SUBSTITUTE(SUBSTITUTE(C339,"meg"," МОм"),"k"," кОм"),"R"," Ом"),".",",")</ns0:f>
        <ns0:v>75 Ом</ns0:v>
      </ns0:c>
      <ns0:c r="E339" t="str" s="10">
        <ns0:v>±1%</ns0:v>
      </ns0:c>
      <ns0:c r="F339" t="str" s="10">
        <ns0:v>0,1 Вт</ns0:v>
      </ns0:c>
      <ns0:c r="G339" t="str" s="10">
        <ns0:v>75 В макс.</ns0:v>
      </ns0:c>
      <ns0:c r="H339" t="str" s="12">
        <ns0:v>0603</ns0:v>
      </ns0:c>
      <ns0:c r="I339" t="str" s="10">
        <ns0:v>YAGEO</ns0:v>
      </ns0:c>
      <ns0:c r="J339" t="str" s="10">
        <ns0:v>RC0603FR-0775RL</ns0:v>
      </ns0:c>
      <ns0:c r="K339" t="str" s="11">
        <ns0:f>B339&amp;" "&amp;D339&amp;" "&amp;E339&amp;" "&amp;H339</ns0:f>
        <ns0:v>Резистор 75 Ом ±1% 0603</ns0:v>
      </ns0:c>
      <ns0:c r="L339" t="str" s="13">
        <ns0:v>R</ns0:v>
      </ns0:c>
      <ns0:c r="M339" t="str" s="13">
        <ns0:v>Symbols\MY_LIB_Resistors.SchLib</ns0:v>
      </ns0:c>
      <ns0:c r="N339" t="str" s="13">
        <ns0:v>RESC1608X55N</ns0:v>
      </ns0:c>
      <ns0:c r="O339" t="str" s="13">
        <ns0:v>Footprints\PBL - SMD Packages.PcbLib</ns0:v>
      </ns0:c>
      <ns0:c r="P339" t="str" s="10">
        <ns0:v>RC_L; E24; P при 70 °C; U ≤ min(√(P·R), Umax)</ns0:v>
      </ns0:c>
      <ns0:c r="Q339" s="10"/>
      <ns0:c r="R339" t="str" s="11">
        <ns0:f>D339</ns0:f>
        <ns0:v>75 Ом</ns0:v>
      </ns0:c>
      <ns0:c r="S339" t="str" s="11">
        <ns0:f>K339</ns0:f>
        <ns0:v>Резистор 75 Ом ±1% 0603</ns0:v>
      </ns0:c>
      <x:c xmlns:x="http://schemas.openxmlformats.org/spreadsheetml/2006/main" r="T339" t="str" s="11">
        <x:v>C:\Users\Nomatin\Documents\Altium\MY_LIB\MY_LIB\Datasheets\YAGEO_RC_L.pdf</x:v>
      </x:c>
      <x:c xmlns:x="http://schemas.openxmlformats.org/spreadsheetml/2006/main" r="U339" t="str" s="11">
        <x:v>Даташит — локальный</x:v>
      </x:c>
      <x:c xmlns:x="http://schemas.openxmlformats.org/spreadsheetml/2006/main" r="V339" t="str" s="11">
        <x:v>C:\Users\Nomatin\Documents\Altium\MY_LIB\MY_LIB\Datasheets\YAGEO_RC_L.pdf</x:v>
      </x:c>
      <x:c xmlns:x="http://schemas.openxmlformats.org/spreadsheetml/2006/main" r="W339" t="str" s="11">
        <x:v>Даташит — производитель</x:v>
      </x:c>
      <x:c xmlns:x="http://schemas.openxmlformats.org/spreadsheetml/2006/main" r="X339" t="str" s="11">
        <x:v>https://yageogroup.com/content/datasheet/asset/file/PYU-RC_GROUP_51_ROHS_L</x:v>
      </x:c>
      <x:c xmlns:x="http://schemas.openxmlformats.org/spreadsheetml/2006/main" r="Y339" t="str" s="11">
        <x:v>C:\Users\Nomatin\Documents\Altium\MY_LIB\MY_LIB\Datasheets\YAGEO_RC_L.pdf</x:v>
      </x:c>
    </ns0:row>
    <ns0:row xmlns:ns0="http://schemas.openxmlformats.org/spreadsheetml/2006/main" r="340" ht="30" customHeight="1">
      <ns0:c r="A340" t="str" s="10">
        <ns0:v>R0346</ns0:v>
      </ns0:c>
      <ns0:c r="B340" t="str" s="10">
        <ns0:v>Резистор</ns0:v>
      </ns0:c>
      <ns0:c r="C340" t="str" s="10">
        <ns0:v>82R</ns0:v>
      </ns0:c>
      <ns0:c r="D340" t="str" s="11">
        <ns0:f>SUBSTITUTE(SUBSTITUTE(SUBSTITUTE(SUBSTITUTE(C340,"meg"," МОм"),"k"," кОм"),"R"," Ом"),".",",")</ns0:f>
        <ns0:v>82 Ом</ns0:v>
      </ns0:c>
      <ns0:c r="E340" t="str" s="10">
        <ns0:v>±1%</ns0:v>
      </ns0:c>
      <ns0:c r="F340" t="str" s="10">
        <ns0:v>0,1 Вт</ns0:v>
      </ns0:c>
      <ns0:c r="G340" t="str" s="10">
        <ns0:v>75 В макс.</ns0:v>
      </ns0:c>
      <ns0:c r="H340" t="str" s="12">
        <ns0:v>0603</ns0:v>
      </ns0:c>
      <ns0:c r="I340" t="str" s="10">
        <ns0:v>YAGEO</ns0:v>
      </ns0:c>
      <ns0:c r="J340" t="str" s="10">
        <ns0:v>RC0603FR-0782RL</ns0:v>
      </ns0:c>
      <ns0:c r="K340" t="str" s="11">
        <ns0:f>B340&amp;" "&amp;D340&amp;" "&amp;E340&amp;" "&amp;H340</ns0:f>
        <ns0:v>Резистор 82 Ом ±1% 0603</ns0:v>
      </ns0:c>
      <ns0:c r="L340" t="str" s="13">
        <ns0:v>R</ns0:v>
      </ns0:c>
      <ns0:c r="M340" t="str" s="13">
        <ns0:v>Symbols\MY_LIB_Resistors.SchLib</ns0:v>
      </ns0:c>
      <ns0:c r="N340" t="str" s="13">
        <ns0:v>RESC1608X55N</ns0:v>
      </ns0:c>
      <ns0:c r="O340" t="str" s="13">
        <ns0:v>Footprints\PBL - SMD Packages.PcbLib</ns0:v>
      </ns0:c>
      <ns0:c r="P340" t="str" s="10">
        <ns0:v>RC_L; E24; P при 70 °C; U ≤ min(√(P·R), Umax)</ns0:v>
      </ns0:c>
      <ns0:c r="Q340" s="10"/>
      <ns0:c r="R340" t="str" s="11">
        <ns0:f>D340</ns0:f>
        <ns0:v>82 Ом</ns0:v>
      </ns0:c>
      <ns0:c r="S340" t="str" s="11">
        <ns0:f>K340</ns0:f>
        <ns0:v>Резистор 82 Ом ±1% 0603</ns0:v>
      </ns0:c>
      <x:c xmlns:x="http://schemas.openxmlformats.org/spreadsheetml/2006/main" r="T340" t="str" s="11">
        <x:v>C:\Users\Nomatin\Documents\Altium\MY_LIB\MY_LIB\Datasheets\YAGEO_RC_L.pdf</x:v>
      </x:c>
      <x:c xmlns:x="http://schemas.openxmlformats.org/spreadsheetml/2006/main" r="U340" t="str" s="11">
        <x:v>Даташит — локальный</x:v>
      </x:c>
      <x:c xmlns:x="http://schemas.openxmlformats.org/spreadsheetml/2006/main" r="V340" t="str" s="11">
        <x:v>C:\Users\Nomatin\Documents\Altium\MY_LIB\MY_LIB\Datasheets\YAGEO_RC_L.pdf</x:v>
      </x:c>
      <x:c xmlns:x="http://schemas.openxmlformats.org/spreadsheetml/2006/main" r="W340" t="str" s="11">
        <x:v>Даташит — производитель</x:v>
      </x:c>
      <x:c xmlns:x="http://schemas.openxmlformats.org/spreadsheetml/2006/main" r="X340" t="str" s="11">
        <x:v>https://yageogroup.com/content/datasheet/asset/file/PYU-RC_GROUP_51_ROHS_L</x:v>
      </x:c>
      <x:c xmlns:x="http://schemas.openxmlformats.org/spreadsheetml/2006/main" r="Y340" t="str" s="11">
        <x:v>C:\Users\Nomatin\Documents\Altium\MY_LIB\MY_LIB\Datasheets\YAGEO_RC_L.pdf</x:v>
      </x:c>
    </ns0:row>
    <ns0:row xmlns:ns0="http://schemas.openxmlformats.org/spreadsheetml/2006/main" r="341" ht="30" customHeight="1">
      <ns0:c r="A341" t="str" s="10">
        <ns0:v>R0347</ns0:v>
      </ns0:c>
      <ns0:c r="B341" t="str" s="10">
        <ns0:v>Резистор</ns0:v>
      </ns0:c>
      <ns0:c r="C341" t="str" s="10">
        <ns0:v>91R</ns0:v>
      </ns0:c>
      <ns0:c r="D341" t="str" s="11">
        <ns0:f>SUBSTITUTE(SUBSTITUTE(SUBSTITUTE(SUBSTITUTE(C341,"meg"," МОм"),"k"," кОм"),"R"," Ом"),".",",")</ns0:f>
        <ns0:v>91 Ом</ns0:v>
      </ns0:c>
      <ns0:c r="E341" t="str" s="10">
        <ns0:v>±1%</ns0:v>
      </ns0:c>
      <ns0:c r="F341" t="str" s="10">
        <ns0:v>0,1 Вт</ns0:v>
      </ns0:c>
      <ns0:c r="G341" t="str" s="10">
        <ns0:v>75 В макс.</ns0:v>
      </ns0:c>
      <ns0:c r="H341" t="str" s="12">
        <ns0:v>0603</ns0:v>
      </ns0:c>
      <ns0:c r="I341" t="str" s="10">
        <ns0:v>YAGEO</ns0:v>
      </ns0:c>
      <ns0:c r="J341" t="str" s="10">
        <ns0:v>RC0603FR-0791RL</ns0:v>
      </ns0:c>
      <ns0:c r="K341" t="str" s="11">
        <ns0:f>B341&amp;" "&amp;D341&amp;" "&amp;E341&amp;" "&amp;H341</ns0:f>
        <ns0:v>Резистор 91 Ом ±1% 0603</ns0:v>
      </ns0:c>
      <ns0:c r="L341" t="str" s="13">
        <ns0:v>R</ns0:v>
      </ns0:c>
      <ns0:c r="M341" t="str" s="13">
        <ns0:v>Symbols\MY_LIB_Resistors.SchLib</ns0:v>
      </ns0:c>
      <ns0:c r="N341" t="str" s="13">
        <ns0:v>RESC1608X55N</ns0:v>
      </ns0:c>
      <ns0:c r="O341" t="str" s="13">
        <ns0:v>Footprints\PBL - SMD Packages.PcbLib</ns0:v>
      </ns0:c>
      <ns0:c r="P341" t="str" s="10">
        <ns0:v>RC_L; E24; P при 70 °C; U ≤ min(√(P·R), Umax)</ns0:v>
      </ns0:c>
      <ns0:c r="Q341" s="10"/>
      <ns0:c r="R341" t="str" s="11">
        <ns0:f>D341</ns0:f>
        <ns0:v>91 Ом</ns0:v>
      </ns0:c>
      <ns0:c r="S341" t="str" s="11">
        <ns0:f>K341</ns0:f>
        <ns0:v>Резистор 91 Ом ±1% 0603</ns0:v>
      </ns0:c>
      <x:c xmlns:x="http://schemas.openxmlformats.org/spreadsheetml/2006/main" r="T341" t="str" s="11">
        <x:v>C:\Users\Nomatin\Documents\Altium\MY_LIB\MY_LIB\Datasheets\YAGEO_RC_L.pdf</x:v>
      </x:c>
      <x:c xmlns:x="http://schemas.openxmlformats.org/spreadsheetml/2006/main" r="U341" t="str" s="11">
        <x:v>Даташит — локальный</x:v>
      </x:c>
      <x:c xmlns:x="http://schemas.openxmlformats.org/spreadsheetml/2006/main" r="V341" t="str" s="11">
        <x:v>C:\Users\Nomatin\Documents\Altium\MY_LIB\MY_LIB\Datasheets\YAGEO_RC_L.pdf</x:v>
      </x:c>
      <x:c xmlns:x="http://schemas.openxmlformats.org/spreadsheetml/2006/main" r="W341" t="str" s="11">
        <x:v>Даташит — производитель</x:v>
      </x:c>
      <x:c xmlns:x="http://schemas.openxmlformats.org/spreadsheetml/2006/main" r="X341" t="str" s="11">
        <x:v>https://yageogroup.com/content/datasheet/asset/file/PYU-RC_GROUP_51_ROHS_L</x:v>
      </x:c>
      <x:c xmlns:x="http://schemas.openxmlformats.org/spreadsheetml/2006/main" r="Y341" t="str" s="11">
        <x:v>C:\Users\Nomatin\Documents\Altium\MY_LIB\MY_LIB\Datasheets\YAGEO_RC_L.pdf</x:v>
      </x:c>
    </ns0:row>
    <ns0:row xmlns:ns0="http://schemas.openxmlformats.org/spreadsheetml/2006/main" r="342" ht="30" customHeight="1">
      <ns0:c r="A342" t="str" s="10">
        <ns0:v>R0348</ns0:v>
      </ns0:c>
      <ns0:c r="B342" t="str" s="10">
        <ns0:v>Резистор</ns0:v>
      </ns0:c>
      <ns0:c r="C342" t="str" s="10">
        <ns0:v>100R</ns0:v>
      </ns0:c>
      <ns0:c r="D342" t="str" s="11">
        <ns0:f>SUBSTITUTE(SUBSTITUTE(SUBSTITUTE(SUBSTITUTE(C342,"meg"," МОм"),"k"," кОм"),"R"," Ом"),".",",")</ns0:f>
        <ns0:v>100 Ом</ns0:v>
      </ns0:c>
      <ns0:c r="E342" t="str" s="10">
        <ns0:v>±1%</ns0:v>
      </ns0:c>
      <ns0:c r="F342" t="str" s="10">
        <ns0:v>0,1 Вт</ns0:v>
      </ns0:c>
      <ns0:c r="G342" t="str" s="10">
        <ns0:v>75 В макс.</ns0:v>
      </ns0:c>
      <ns0:c r="H342" t="str" s="12">
        <ns0:v>0603</ns0:v>
      </ns0:c>
      <ns0:c r="I342" t="str" s="10">
        <ns0:v>YAGEO</ns0:v>
      </ns0:c>
      <ns0:c r="J342" t="str" s="10">
        <ns0:v>RC0603FR-07100RL</ns0:v>
      </ns0:c>
      <ns0:c r="K342" t="str" s="11">
        <ns0:f>B342&amp;" "&amp;D342&amp;" "&amp;E342&amp;" "&amp;H342</ns0:f>
        <ns0:v>Резистор 100 Ом ±1% 0603</ns0:v>
      </ns0:c>
      <ns0:c r="L342" t="str" s="13">
        <ns0:v>R</ns0:v>
      </ns0:c>
      <ns0:c r="M342" t="str" s="13">
        <ns0:v>Symbols\MY_LIB_Resistors.SchLib</ns0:v>
      </ns0:c>
      <ns0:c r="N342" t="str" s="13">
        <ns0:v>RESC1608X55N</ns0:v>
      </ns0:c>
      <ns0:c r="O342" t="str" s="13">
        <ns0:v>Footprints\PBL - SMD Packages.PcbLib</ns0:v>
      </ns0:c>
      <ns0:c r="P342" t="str" s="10">
        <ns0:v>RC_L; E24; P при 70 °C; U ≤ min(√(P·R), Umax)</ns0:v>
      </ns0:c>
      <ns0:c r="Q342" s="10"/>
      <ns0:c r="R342" t="str" s="11">
        <ns0:f>D342</ns0:f>
        <ns0:v>100 Ом</ns0:v>
      </ns0:c>
      <ns0:c r="S342" t="str" s="11">
        <ns0:f>K342</ns0:f>
        <ns0:v>Резистор 100 Ом ±1% 0603</ns0:v>
      </ns0:c>
      <x:c xmlns:x="http://schemas.openxmlformats.org/spreadsheetml/2006/main" r="T342" t="str" s="11">
        <x:v>C:\Users\Nomatin\Documents\Altium\MY_LIB\MY_LIB\Datasheets\YAGEO_RC_L.pdf</x:v>
      </x:c>
      <x:c xmlns:x="http://schemas.openxmlformats.org/spreadsheetml/2006/main" r="U342" t="str" s="11">
        <x:v>Даташит — локальный</x:v>
      </x:c>
      <x:c xmlns:x="http://schemas.openxmlformats.org/spreadsheetml/2006/main" r="V342" t="str" s="11">
        <x:v>C:\Users\Nomatin\Documents\Altium\MY_LIB\MY_LIB\Datasheets\YAGEO_RC_L.pdf</x:v>
      </x:c>
      <x:c xmlns:x="http://schemas.openxmlformats.org/spreadsheetml/2006/main" r="W342" t="str" s="11">
        <x:v>Даташит — производитель</x:v>
      </x:c>
      <x:c xmlns:x="http://schemas.openxmlformats.org/spreadsheetml/2006/main" r="X342" t="str" s="11">
        <x:v>https://yageogroup.com/content/datasheet/asset/file/PYU-RC_GROUP_51_ROHS_L</x:v>
      </x:c>
      <x:c xmlns:x="http://schemas.openxmlformats.org/spreadsheetml/2006/main" r="Y342" t="str" s="11">
        <x:v>C:\Users\Nomatin\Documents\Altium\MY_LIB\MY_LIB\Datasheets\YAGEO_RC_L.pdf</x:v>
      </x:c>
    </ns0:row>
    <ns0:row xmlns:ns0="http://schemas.openxmlformats.org/spreadsheetml/2006/main" r="343" ht="30" customHeight="1">
      <ns0:c r="A343" t="str" s="10">
        <ns0:v>R0349</ns0:v>
      </ns0:c>
      <ns0:c r="B343" t="str" s="10">
        <ns0:v>Резистор</ns0:v>
      </ns0:c>
      <ns0:c r="C343" t="str" s="10">
        <ns0:v>110R</ns0:v>
      </ns0:c>
      <ns0:c r="D343" t="str" s="11">
        <ns0:f>SUBSTITUTE(SUBSTITUTE(SUBSTITUTE(SUBSTITUTE(C343,"meg"," МОм"),"k"," кОм"),"R"," Ом"),".",",")</ns0:f>
        <ns0:v>110 Ом</ns0:v>
      </ns0:c>
      <ns0:c r="E343" t="str" s="10">
        <ns0:v>±1%</ns0:v>
      </ns0:c>
      <ns0:c r="F343" t="str" s="10">
        <ns0:v>0,1 Вт</ns0:v>
      </ns0:c>
      <ns0:c r="G343" t="str" s="10">
        <ns0:v>75 В макс.</ns0:v>
      </ns0:c>
      <ns0:c r="H343" t="str" s="12">
        <ns0:v>0603</ns0:v>
      </ns0:c>
      <ns0:c r="I343" t="str" s="10">
        <ns0:v>YAGEO</ns0:v>
      </ns0:c>
      <ns0:c r="J343" t="str" s="10">
        <ns0:v>RC0603FR-07110RL</ns0:v>
      </ns0:c>
      <ns0:c r="K343" t="str" s="11">
        <ns0:f>B343&amp;" "&amp;D343&amp;" "&amp;E343&amp;" "&amp;H343</ns0:f>
        <ns0:v>Резистор 110 Ом ±1% 0603</ns0:v>
      </ns0:c>
      <ns0:c r="L343" t="str" s="13">
        <ns0:v>R</ns0:v>
      </ns0:c>
      <ns0:c r="M343" t="str" s="13">
        <ns0:v>Symbols\MY_LIB_Resistors.SchLib</ns0:v>
      </ns0:c>
      <ns0:c r="N343" t="str" s="13">
        <ns0:v>RESC1608X55N</ns0:v>
      </ns0:c>
      <ns0:c r="O343" t="str" s="13">
        <ns0:v>Footprints\PBL - SMD Packages.PcbLib</ns0:v>
      </ns0:c>
      <ns0:c r="P343" t="str" s="10">
        <ns0:v>RC_L; E24; P при 70 °C; U ≤ min(√(P·R), Umax)</ns0:v>
      </ns0:c>
      <ns0:c r="Q343" s="10"/>
      <ns0:c r="R343" t="str" s="11">
        <ns0:f>D343</ns0:f>
        <ns0:v>110 Ом</ns0:v>
      </ns0:c>
      <ns0:c r="S343" t="str" s="11">
        <ns0:f>K343</ns0:f>
        <ns0:v>Резистор 110 Ом ±1% 0603</ns0:v>
      </ns0:c>
      <x:c xmlns:x="http://schemas.openxmlformats.org/spreadsheetml/2006/main" r="T343" t="str" s="11">
        <x:v>C:\Users\Nomatin\Documents\Altium\MY_LIB\MY_LIB\Datasheets\YAGEO_RC_L.pdf</x:v>
      </x:c>
      <x:c xmlns:x="http://schemas.openxmlformats.org/spreadsheetml/2006/main" r="U343" t="str" s="11">
        <x:v>Даташит — локальный</x:v>
      </x:c>
      <x:c xmlns:x="http://schemas.openxmlformats.org/spreadsheetml/2006/main" r="V343" t="str" s="11">
        <x:v>C:\Users\Nomatin\Documents\Altium\MY_LIB\MY_LIB\Datasheets\YAGEO_RC_L.pdf</x:v>
      </x:c>
      <x:c xmlns:x="http://schemas.openxmlformats.org/spreadsheetml/2006/main" r="W343" t="str" s="11">
        <x:v>Даташит — производитель</x:v>
      </x:c>
      <x:c xmlns:x="http://schemas.openxmlformats.org/spreadsheetml/2006/main" r="X343" t="str" s="11">
        <x:v>https://yageogroup.com/content/datasheet/asset/file/PYU-RC_GROUP_51_ROHS_L</x:v>
      </x:c>
      <x:c xmlns:x="http://schemas.openxmlformats.org/spreadsheetml/2006/main" r="Y343" t="str" s="11">
        <x:v>C:\Users\Nomatin\Documents\Altium\MY_LIB\MY_LIB\Datasheets\YAGEO_RC_L.pdf</x:v>
      </x:c>
    </ns0:row>
    <ns0:row xmlns:ns0="http://schemas.openxmlformats.org/spreadsheetml/2006/main" r="344" ht="30" customHeight="1">
      <ns0:c r="A344" t="str" s="10">
        <ns0:v>R0350</ns0:v>
      </ns0:c>
      <ns0:c r="B344" t="str" s="10">
        <ns0:v>Резистор</ns0:v>
      </ns0:c>
      <ns0:c r="C344" t="str" s="10">
        <ns0:v>120R</ns0:v>
      </ns0:c>
      <ns0:c r="D344" t="str" s="11">
        <ns0:f>SUBSTITUTE(SUBSTITUTE(SUBSTITUTE(SUBSTITUTE(C344,"meg"," МОм"),"k"," кОм"),"R"," Ом"),".",",")</ns0:f>
        <ns0:v>120 Ом</ns0:v>
      </ns0:c>
      <ns0:c r="E344" t="str" s="10">
        <ns0:v>±1%</ns0:v>
      </ns0:c>
      <ns0:c r="F344" t="str" s="10">
        <ns0:v>0,1 Вт</ns0:v>
      </ns0:c>
      <ns0:c r="G344" t="str" s="10">
        <ns0:v>75 В макс.</ns0:v>
      </ns0:c>
      <ns0:c r="H344" t="str" s="12">
        <ns0:v>0603</ns0:v>
      </ns0:c>
      <ns0:c r="I344" t="str" s="10">
        <ns0:v>YAGEO</ns0:v>
      </ns0:c>
      <ns0:c r="J344" t="str" s="10">
        <ns0:v>RC0603FR-07120RL</ns0:v>
      </ns0:c>
      <ns0:c r="K344" t="str" s="11">
        <ns0:f>B344&amp;" "&amp;D344&amp;" "&amp;E344&amp;" "&amp;H344</ns0:f>
        <ns0:v>Резистор 120 Ом ±1% 0603</ns0:v>
      </ns0:c>
      <ns0:c r="L344" t="str" s="13">
        <ns0:v>R</ns0:v>
      </ns0:c>
      <ns0:c r="M344" t="str" s="13">
        <ns0:v>Symbols\MY_LIB_Resistors.SchLib</ns0:v>
      </ns0:c>
      <ns0:c r="N344" t="str" s="13">
        <ns0:v>RESC1608X55N</ns0:v>
      </ns0:c>
      <ns0:c r="O344" t="str" s="13">
        <ns0:v>Footprints\PBL - SMD Packages.PcbLib</ns0:v>
      </ns0:c>
      <ns0:c r="P344" t="str" s="10">
        <ns0:v>RC_L; E24; P при 70 °C; U ≤ min(√(P·R), Umax)</ns0:v>
      </ns0:c>
      <ns0:c r="Q344" s="10"/>
      <ns0:c r="R344" t="str" s="11">
        <ns0:f>D344</ns0:f>
        <ns0:v>120 Ом</ns0:v>
      </ns0:c>
      <ns0:c r="S344" t="str" s="11">
        <ns0:f>K344</ns0:f>
        <ns0:v>Резистор 120 Ом ±1% 0603</ns0:v>
      </ns0:c>
      <x:c xmlns:x="http://schemas.openxmlformats.org/spreadsheetml/2006/main" r="T344" t="str" s="11">
        <x:v>C:\Users\Nomatin\Documents\Altium\MY_LIB\MY_LIB\Datasheets\YAGEO_RC_L.pdf</x:v>
      </x:c>
      <x:c xmlns:x="http://schemas.openxmlformats.org/spreadsheetml/2006/main" r="U344" t="str" s="11">
        <x:v>Даташит — локальный</x:v>
      </x:c>
      <x:c xmlns:x="http://schemas.openxmlformats.org/spreadsheetml/2006/main" r="V344" t="str" s="11">
        <x:v>C:\Users\Nomatin\Documents\Altium\MY_LIB\MY_LIB\Datasheets\YAGEO_RC_L.pdf</x:v>
      </x:c>
      <x:c xmlns:x="http://schemas.openxmlformats.org/spreadsheetml/2006/main" r="W344" t="str" s="11">
        <x:v>Даташит — производитель</x:v>
      </x:c>
      <x:c xmlns:x="http://schemas.openxmlformats.org/spreadsheetml/2006/main" r="X344" t="str" s="11">
        <x:v>https://yageogroup.com/content/datasheet/asset/file/PYU-RC_GROUP_51_ROHS_L</x:v>
      </x:c>
      <x:c xmlns:x="http://schemas.openxmlformats.org/spreadsheetml/2006/main" r="Y344" t="str" s="11">
        <x:v>C:\Users\Nomatin\Documents\Altium\MY_LIB\MY_LIB\Datasheets\YAGEO_RC_L.pdf</x:v>
      </x:c>
    </ns0:row>
    <ns0:row xmlns:ns0="http://schemas.openxmlformats.org/spreadsheetml/2006/main" r="345" ht="30" customHeight="1">
      <ns0:c r="A345" t="str" s="10">
        <ns0:v>R0351</ns0:v>
      </ns0:c>
      <ns0:c r="B345" t="str" s="10">
        <ns0:v>Резистор</ns0:v>
      </ns0:c>
      <ns0:c r="C345" t="str" s="10">
        <ns0:v>130R</ns0:v>
      </ns0:c>
      <ns0:c r="D345" t="str" s="11">
        <ns0:f>SUBSTITUTE(SUBSTITUTE(SUBSTITUTE(SUBSTITUTE(C345,"meg"," МОм"),"k"," кОм"),"R"," Ом"),".",",")</ns0:f>
        <ns0:v>130 Ом</ns0:v>
      </ns0:c>
      <ns0:c r="E345" t="str" s="10">
        <ns0:v>±1%</ns0:v>
      </ns0:c>
      <ns0:c r="F345" t="str" s="10">
        <ns0:v>0,1 Вт</ns0:v>
      </ns0:c>
      <ns0:c r="G345" t="str" s="10">
        <ns0:v>75 В макс.</ns0:v>
      </ns0:c>
      <ns0:c r="H345" t="str" s="12">
        <ns0:v>0603</ns0:v>
      </ns0:c>
      <ns0:c r="I345" t="str" s="10">
        <ns0:v>YAGEO</ns0:v>
      </ns0:c>
      <ns0:c r="J345" t="str" s="10">
        <ns0:v>RC0603FR-07130RL</ns0:v>
      </ns0:c>
      <ns0:c r="K345" t="str" s="11">
        <ns0:f>B345&amp;" "&amp;D345&amp;" "&amp;E345&amp;" "&amp;H345</ns0:f>
        <ns0:v>Резистор 130 Ом ±1% 0603</ns0:v>
      </ns0:c>
      <ns0:c r="L345" t="str" s="13">
        <ns0:v>R</ns0:v>
      </ns0:c>
      <ns0:c r="M345" t="str" s="13">
        <ns0:v>Symbols\MY_LIB_Resistors.SchLib</ns0:v>
      </ns0:c>
      <ns0:c r="N345" t="str" s="13">
        <ns0:v>RESC1608X55N</ns0:v>
      </ns0:c>
      <ns0:c r="O345" t="str" s="13">
        <ns0:v>Footprints\PBL - SMD Packages.PcbLib</ns0:v>
      </ns0:c>
      <ns0:c r="P345" t="str" s="10">
        <ns0:v>RC_L; E24; P при 70 °C; U ≤ min(√(P·R), Umax)</ns0:v>
      </ns0:c>
      <ns0:c r="Q345" s="10"/>
      <ns0:c r="R345" t="str" s="11">
        <ns0:f>D345</ns0:f>
        <ns0:v>130 Ом</ns0:v>
      </ns0:c>
      <ns0:c r="S345" t="str" s="11">
        <ns0:f>K345</ns0:f>
        <ns0:v>Резистор 130 Ом ±1% 0603</ns0:v>
      </ns0:c>
      <x:c xmlns:x="http://schemas.openxmlformats.org/spreadsheetml/2006/main" r="T345" t="str" s="11">
        <x:v>C:\Users\Nomatin\Documents\Altium\MY_LIB\MY_LIB\Datasheets\YAGEO_RC_L.pdf</x:v>
      </x:c>
      <x:c xmlns:x="http://schemas.openxmlformats.org/spreadsheetml/2006/main" r="U345" t="str" s="11">
        <x:v>Даташит — локальный</x:v>
      </x:c>
      <x:c xmlns:x="http://schemas.openxmlformats.org/spreadsheetml/2006/main" r="V345" t="str" s="11">
        <x:v>C:\Users\Nomatin\Documents\Altium\MY_LIB\MY_LIB\Datasheets\YAGEO_RC_L.pdf</x:v>
      </x:c>
      <x:c xmlns:x="http://schemas.openxmlformats.org/spreadsheetml/2006/main" r="W345" t="str" s="11">
        <x:v>Даташит — производитель</x:v>
      </x:c>
      <x:c xmlns:x="http://schemas.openxmlformats.org/spreadsheetml/2006/main" r="X345" t="str" s="11">
        <x:v>https://yageogroup.com/content/datasheet/asset/file/PYU-RC_GROUP_51_ROHS_L</x:v>
      </x:c>
      <x:c xmlns:x="http://schemas.openxmlformats.org/spreadsheetml/2006/main" r="Y345" t="str" s="11">
        <x:v>C:\Users\Nomatin\Documents\Altium\MY_LIB\MY_LIB\Datasheets\YAGEO_RC_L.pdf</x:v>
      </x:c>
    </ns0:row>
    <ns0:row xmlns:ns0="http://schemas.openxmlformats.org/spreadsheetml/2006/main" r="346" ht="30" customHeight="1">
      <ns0:c r="A346" t="str" s="10">
        <ns0:v>R0352</ns0:v>
      </ns0:c>
      <ns0:c r="B346" t="str" s="10">
        <ns0:v>Резистор</ns0:v>
      </ns0:c>
      <ns0:c r="C346" t="str" s="10">
        <ns0:v>150R</ns0:v>
      </ns0:c>
      <ns0:c r="D346" t="str" s="11">
        <ns0:f>SUBSTITUTE(SUBSTITUTE(SUBSTITUTE(SUBSTITUTE(C346,"meg"," МОм"),"k"," кОм"),"R"," Ом"),".",",")</ns0:f>
        <ns0:v>150 Ом</ns0:v>
      </ns0:c>
      <ns0:c r="E346" t="str" s="10">
        <ns0:v>±1%</ns0:v>
      </ns0:c>
      <ns0:c r="F346" t="str" s="10">
        <ns0:v>0,1 Вт</ns0:v>
      </ns0:c>
      <ns0:c r="G346" t="str" s="10">
        <ns0:v>75 В макс.</ns0:v>
      </ns0:c>
      <ns0:c r="H346" t="str" s="12">
        <ns0:v>0603</ns0:v>
      </ns0:c>
      <ns0:c r="I346" t="str" s="10">
        <ns0:v>YAGEO</ns0:v>
      </ns0:c>
      <ns0:c r="J346" t="str" s="10">
        <ns0:v>RC0603FR-07150RL</ns0:v>
      </ns0:c>
      <ns0:c r="K346" t="str" s="11">
        <ns0:f>B346&amp;" "&amp;D346&amp;" "&amp;E346&amp;" "&amp;H346</ns0:f>
        <ns0:v>Резистор 150 Ом ±1% 0603</ns0:v>
      </ns0:c>
      <ns0:c r="L346" t="str" s="13">
        <ns0:v>R</ns0:v>
      </ns0:c>
      <ns0:c r="M346" t="str" s="13">
        <ns0:v>Symbols\MY_LIB_Resistors.SchLib</ns0:v>
      </ns0:c>
      <ns0:c r="N346" t="str" s="13">
        <ns0:v>RESC1608X55N</ns0:v>
      </ns0:c>
      <ns0:c r="O346" t="str" s="13">
        <ns0:v>Footprints\PBL - SMD Packages.PcbLib</ns0:v>
      </ns0:c>
      <ns0:c r="P346" t="str" s="10">
        <ns0:v>RC_L; E24; P при 70 °C; U ≤ min(√(P·R), Umax)</ns0:v>
      </ns0:c>
      <ns0:c r="Q346" s="10"/>
      <ns0:c r="R346" t="str" s="11">
        <ns0:f>D346</ns0:f>
        <ns0:v>150 Ом</ns0:v>
      </ns0:c>
      <ns0:c r="S346" t="str" s="11">
        <ns0:f>K346</ns0:f>
        <ns0:v>Резистор 150 Ом ±1% 0603</ns0:v>
      </ns0:c>
      <x:c xmlns:x="http://schemas.openxmlformats.org/spreadsheetml/2006/main" r="T346" t="str" s="11">
        <x:v>C:\Users\Nomatin\Documents\Altium\MY_LIB\MY_LIB\Datasheets\YAGEO_RC_L.pdf</x:v>
      </x:c>
      <x:c xmlns:x="http://schemas.openxmlformats.org/spreadsheetml/2006/main" r="U346" t="str" s="11">
        <x:v>Даташит — локальный</x:v>
      </x:c>
      <x:c xmlns:x="http://schemas.openxmlformats.org/spreadsheetml/2006/main" r="V346" t="str" s="11">
        <x:v>C:\Users\Nomatin\Documents\Altium\MY_LIB\MY_LIB\Datasheets\YAGEO_RC_L.pdf</x:v>
      </x:c>
      <x:c xmlns:x="http://schemas.openxmlformats.org/spreadsheetml/2006/main" r="W346" t="str" s="11">
        <x:v>Даташит — производитель</x:v>
      </x:c>
      <x:c xmlns:x="http://schemas.openxmlformats.org/spreadsheetml/2006/main" r="X346" t="str" s="11">
        <x:v>https://yageogroup.com/content/datasheet/asset/file/PYU-RC_GROUP_51_ROHS_L</x:v>
      </x:c>
      <x:c xmlns:x="http://schemas.openxmlformats.org/spreadsheetml/2006/main" r="Y346" t="str" s="11">
        <x:v>C:\Users\Nomatin\Documents\Altium\MY_LIB\MY_LIB\Datasheets\YAGEO_RC_L.pdf</x:v>
      </x:c>
    </ns0:row>
    <ns0:row xmlns:ns0="http://schemas.openxmlformats.org/spreadsheetml/2006/main" r="347" ht="30" customHeight="1">
      <ns0:c r="A347" t="str" s="10">
        <ns0:v>R0353</ns0:v>
      </ns0:c>
      <ns0:c r="B347" t="str" s="10">
        <ns0:v>Резистор</ns0:v>
      </ns0:c>
      <ns0:c r="C347" t="str" s="10">
        <ns0:v>160R</ns0:v>
      </ns0:c>
      <ns0:c r="D347" t="str" s="11">
        <ns0:f>SUBSTITUTE(SUBSTITUTE(SUBSTITUTE(SUBSTITUTE(C347,"meg"," МОм"),"k"," кОм"),"R"," Ом"),".",",")</ns0:f>
        <ns0:v>160 Ом</ns0:v>
      </ns0:c>
      <ns0:c r="E347" t="str" s="10">
        <ns0:v>±1%</ns0:v>
      </ns0:c>
      <ns0:c r="F347" t="str" s="10">
        <ns0:v>0,1 Вт</ns0:v>
      </ns0:c>
      <ns0:c r="G347" t="str" s="10">
        <ns0:v>75 В макс.</ns0:v>
      </ns0:c>
      <ns0:c r="H347" t="str" s="12">
        <ns0:v>0603</ns0:v>
      </ns0:c>
      <ns0:c r="I347" t="str" s="10">
        <ns0:v>YAGEO</ns0:v>
      </ns0:c>
      <ns0:c r="J347" t="str" s="10">
        <ns0:v>RC0603FR-07160RL</ns0:v>
      </ns0:c>
      <ns0:c r="K347" t="str" s="11">
        <ns0:f>B347&amp;" "&amp;D347&amp;" "&amp;E347&amp;" "&amp;H347</ns0:f>
        <ns0:v>Резистор 160 Ом ±1% 0603</ns0:v>
      </ns0:c>
      <ns0:c r="L347" t="str" s="13">
        <ns0:v>R</ns0:v>
      </ns0:c>
      <ns0:c r="M347" t="str" s="13">
        <ns0:v>Symbols\MY_LIB_Resistors.SchLib</ns0:v>
      </ns0:c>
      <ns0:c r="N347" t="str" s="13">
        <ns0:v>RESC1608X55N</ns0:v>
      </ns0:c>
      <ns0:c r="O347" t="str" s="13">
        <ns0:v>Footprints\PBL - SMD Packages.PcbLib</ns0:v>
      </ns0:c>
      <ns0:c r="P347" t="str" s="10">
        <ns0:v>RC_L; E24; P при 70 °C; U ≤ min(√(P·R), Umax)</ns0:v>
      </ns0:c>
      <ns0:c r="Q347" s="10"/>
      <ns0:c r="R347" t="str" s="11">
        <ns0:f>D347</ns0:f>
        <ns0:v>160 Ом</ns0:v>
      </ns0:c>
      <ns0:c r="S347" t="str" s="11">
        <ns0:f>K347</ns0:f>
        <ns0:v>Резистор 160 Ом ±1% 0603</ns0:v>
      </ns0:c>
      <x:c xmlns:x="http://schemas.openxmlformats.org/spreadsheetml/2006/main" r="T347" t="str" s="11">
        <x:v>C:\Users\Nomatin\Documents\Altium\MY_LIB\MY_LIB\Datasheets\YAGEO_RC_L.pdf</x:v>
      </x:c>
      <x:c xmlns:x="http://schemas.openxmlformats.org/spreadsheetml/2006/main" r="U347" t="str" s="11">
        <x:v>Даташит — локальный</x:v>
      </x:c>
      <x:c xmlns:x="http://schemas.openxmlformats.org/spreadsheetml/2006/main" r="V347" t="str" s="11">
        <x:v>C:\Users\Nomatin\Documents\Altium\MY_LIB\MY_LIB\Datasheets\YAGEO_RC_L.pdf</x:v>
      </x:c>
      <x:c xmlns:x="http://schemas.openxmlformats.org/spreadsheetml/2006/main" r="W347" t="str" s="11">
        <x:v>Даташит — производитель</x:v>
      </x:c>
      <x:c xmlns:x="http://schemas.openxmlformats.org/spreadsheetml/2006/main" r="X347" t="str" s="11">
        <x:v>https://yageogroup.com/content/datasheet/asset/file/PYU-RC_GROUP_51_ROHS_L</x:v>
      </x:c>
      <x:c xmlns:x="http://schemas.openxmlformats.org/spreadsheetml/2006/main" r="Y347" t="str" s="11">
        <x:v>C:\Users\Nomatin\Documents\Altium\MY_LIB\MY_LIB\Datasheets\YAGEO_RC_L.pdf</x:v>
      </x:c>
    </ns0:row>
    <ns0:row xmlns:ns0="http://schemas.openxmlformats.org/spreadsheetml/2006/main" r="348" ht="30" customHeight="1">
      <ns0:c r="A348" t="str" s="10">
        <ns0:v>R0354</ns0:v>
      </ns0:c>
      <ns0:c r="B348" t="str" s="10">
        <ns0:v>Резистор</ns0:v>
      </ns0:c>
      <ns0:c r="C348" t="str" s="10">
        <ns0:v>180R</ns0:v>
      </ns0:c>
      <ns0:c r="D348" t="str" s="11">
        <ns0:f>SUBSTITUTE(SUBSTITUTE(SUBSTITUTE(SUBSTITUTE(C348,"meg"," МОм"),"k"," кОм"),"R"," Ом"),".",",")</ns0:f>
        <ns0:v>180 Ом</ns0:v>
      </ns0:c>
      <ns0:c r="E348" t="str" s="10">
        <ns0:v>±1%</ns0:v>
      </ns0:c>
      <ns0:c r="F348" t="str" s="10">
        <ns0:v>0,1 Вт</ns0:v>
      </ns0:c>
      <ns0:c r="G348" t="str" s="10">
        <ns0:v>75 В макс.</ns0:v>
      </ns0:c>
      <ns0:c r="H348" t="str" s="12">
        <ns0:v>0603</ns0:v>
      </ns0:c>
      <ns0:c r="I348" t="str" s="10">
        <ns0:v>YAGEO</ns0:v>
      </ns0:c>
      <ns0:c r="J348" t="str" s="10">
        <ns0:v>RC0603FR-07180RL</ns0:v>
      </ns0:c>
      <ns0:c r="K348" t="str" s="11">
        <ns0:f>B348&amp;" "&amp;D348&amp;" "&amp;E348&amp;" "&amp;H348</ns0:f>
        <ns0:v>Резистор 180 Ом ±1% 0603</ns0:v>
      </ns0:c>
      <ns0:c r="L348" t="str" s="13">
        <ns0:v>R</ns0:v>
      </ns0:c>
      <ns0:c r="M348" t="str" s="13">
        <ns0:v>Symbols\MY_LIB_Resistors.SchLib</ns0:v>
      </ns0:c>
      <ns0:c r="N348" t="str" s="13">
        <ns0:v>RESC1608X55N</ns0:v>
      </ns0:c>
      <ns0:c r="O348" t="str" s="13">
        <ns0:v>Footprints\PBL - SMD Packages.PcbLib</ns0:v>
      </ns0:c>
      <ns0:c r="P348" t="str" s="10">
        <ns0:v>RC_L; E24; P при 70 °C; U ≤ min(√(P·R), Umax)</ns0:v>
      </ns0:c>
      <ns0:c r="Q348" s="10"/>
      <ns0:c r="R348" t="str" s="11">
        <ns0:f>D348</ns0:f>
        <ns0:v>180 Ом</ns0:v>
      </ns0:c>
      <ns0:c r="S348" t="str" s="11">
        <ns0:f>K348</ns0:f>
        <ns0:v>Резистор 180 Ом ±1% 0603</ns0:v>
      </ns0:c>
      <x:c xmlns:x="http://schemas.openxmlformats.org/spreadsheetml/2006/main" r="T348" t="str" s="11">
        <x:v>C:\Users\Nomatin\Documents\Altium\MY_LIB\MY_LIB\Datasheets\YAGEO_RC_L.pdf</x:v>
      </x:c>
      <x:c xmlns:x="http://schemas.openxmlformats.org/spreadsheetml/2006/main" r="U348" t="str" s="11">
        <x:v>Даташит — локальный</x:v>
      </x:c>
      <x:c xmlns:x="http://schemas.openxmlformats.org/spreadsheetml/2006/main" r="V348" t="str" s="11">
        <x:v>C:\Users\Nomatin\Documents\Altium\MY_LIB\MY_LIB\Datasheets\YAGEO_RC_L.pdf</x:v>
      </x:c>
      <x:c xmlns:x="http://schemas.openxmlformats.org/spreadsheetml/2006/main" r="W348" t="str" s="11">
        <x:v>Даташит — производитель</x:v>
      </x:c>
      <x:c xmlns:x="http://schemas.openxmlformats.org/spreadsheetml/2006/main" r="X348" t="str" s="11">
        <x:v>https://yageogroup.com/content/datasheet/asset/file/PYU-RC_GROUP_51_ROHS_L</x:v>
      </x:c>
      <x:c xmlns:x="http://schemas.openxmlformats.org/spreadsheetml/2006/main" r="Y348" t="str" s="11">
        <x:v>C:\Users\Nomatin\Documents\Altium\MY_LIB\MY_LIB\Datasheets\YAGEO_RC_L.pdf</x:v>
      </x:c>
    </ns0:row>
    <ns0:row xmlns:ns0="http://schemas.openxmlformats.org/spreadsheetml/2006/main" r="349" ht="30" customHeight="1">
      <ns0:c r="A349" t="str" s="10">
        <ns0:v>R0355</ns0:v>
      </ns0:c>
      <ns0:c r="B349" t="str" s="10">
        <ns0:v>Резистор</ns0:v>
      </ns0:c>
      <ns0:c r="C349" t="str" s="10">
        <ns0:v>200R</ns0:v>
      </ns0:c>
      <ns0:c r="D349" t="str" s="11">
        <ns0:f>SUBSTITUTE(SUBSTITUTE(SUBSTITUTE(SUBSTITUTE(C349,"meg"," МОм"),"k"," кОм"),"R"," Ом"),".",",")</ns0:f>
        <ns0:v>200 Ом</ns0:v>
      </ns0:c>
      <ns0:c r="E349" t="str" s="10">
        <ns0:v>±1%</ns0:v>
      </ns0:c>
      <ns0:c r="F349" t="str" s="10">
        <ns0:v>0,1 Вт</ns0:v>
      </ns0:c>
      <ns0:c r="G349" t="str" s="10">
        <ns0:v>75 В макс.</ns0:v>
      </ns0:c>
      <ns0:c r="H349" t="str" s="12">
        <ns0:v>0603</ns0:v>
      </ns0:c>
      <ns0:c r="I349" t="str" s="10">
        <ns0:v>YAGEO</ns0:v>
      </ns0:c>
      <ns0:c r="J349" t="str" s="10">
        <ns0:v>RC0603FR-07200RL</ns0:v>
      </ns0:c>
      <ns0:c r="K349" t="str" s="11">
        <ns0:f>B349&amp;" "&amp;D349&amp;" "&amp;E349&amp;" "&amp;H349</ns0:f>
        <ns0:v>Резистор 200 Ом ±1% 0603</ns0:v>
      </ns0:c>
      <ns0:c r="L349" t="str" s="13">
        <ns0:v>R</ns0:v>
      </ns0:c>
      <ns0:c r="M349" t="str" s="13">
        <ns0:v>Symbols\MY_LIB_Resistors.SchLib</ns0:v>
      </ns0:c>
      <ns0:c r="N349" t="str" s="13">
        <ns0:v>RESC1608X55N</ns0:v>
      </ns0:c>
      <ns0:c r="O349" t="str" s="13">
        <ns0:v>Footprints\PBL - SMD Packages.PcbLib</ns0:v>
      </ns0:c>
      <ns0:c r="P349" t="str" s="10">
        <ns0:v>RC_L; E24; P при 70 °C; U ≤ min(√(P·R), Umax)</ns0:v>
      </ns0:c>
      <ns0:c r="Q349" s="10"/>
      <ns0:c r="R349" t="str" s="11">
        <ns0:f>D349</ns0:f>
        <ns0:v>200 Ом</ns0:v>
      </ns0:c>
      <ns0:c r="S349" t="str" s="11">
        <ns0:f>K349</ns0:f>
        <ns0:v>Резистор 200 Ом ±1% 0603</ns0:v>
      </ns0:c>
      <x:c xmlns:x="http://schemas.openxmlformats.org/spreadsheetml/2006/main" r="T349" t="str" s="11">
        <x:v>C:\Users\Nomatin\Documents\Altium\MY_LIB\MY_LIB\Datasheets\YAGEO_RC_L.pdf</x:v>
      </x:c>
      <x:c xmlns:x="http://schemas.openxmlformats.org/spreadsheetml/2006/main" r="U349" t="str" s="11">
        <x:v>Даташит — локальный</x:v>
      </x:c>
      <x:c xmlns:x="http://schemas.openxmlformats.org/spreadsheetml/2006/main" r="V349" t="str" s="11">
        <x:v>C:\Users\Nomatin\Documents\Altium\MY_LIB\MY_LIB\Datasheets\YAGEO_RC_L.pdf</x:v>
      </x:c>
      <x:c xmlns:x="http://schemas.openxmlformats.org/spreadsheetml/2006/main" r="W349" t="str" s="11">
        <x:v>Даташит — производитель</x:v>
      </x:c>
      <x:c xmlns:x="http://schemas.openxmlformats.org/spreadsheetml/2006/main" r="X349" t="str" s="11">
        <x:v>https://yageogroup.com/content/datasheet/asset/file/PYU-RC_GROUP_51_ROHS_L</x:v>
      </x:c>
      <x:c xmlns:x="http://schemas.openxmlformats.org/spreadsheetml/2006/main" r="Y349" t="str" s="11">
        <x:v>C:\Users\Nomatin\Documents\Altium\MY_LIB\MY_LIB\Datasheets\YAGEO_RC_L.pdf</x:v>
      </x:c>
    </ns0:row>
    <ns0:row xmlns:ns0="http://schemas.openxmlformats.org/spreadsheetml/2006/main" r="350" ht="30" customHeight="1">
      <ns0:c r="A350" t="str" s="10">
        <ns0:v>R0356</ns0:v>
      </ns0:c>
      <ns0:c r="B350" t="str" s="10">
        <ns0:v>Резистор</ns0:v>
      </ns0:c>
      <ns0:c r="C350" t="str" s="10">
        <ns0:v>220R</ns0:v>
      </ns0:c>
      <ns0:c r="D350" t="str" s="11">
        <ns0:f>SUBSTITUTE(SUBSTITUTE(SUBSTITUTE(SUBSTITUTE(C350,"meg"," МОм"),"k"," кОм"),"R"," Ом"),".",",")</ns0:f>
        <ns0:v>220 Ом</ns0:v>
      </ns0:c>
      <ns0:c r="E350" t="str" s="10">
        <ns0:v>±1%</ns0:v>
      </ns0:c>
      <ns0:c r="F350" t="str" s="10">
        <ns0:v>0,1 Вт</ns0:v>
      </ns0:c>
      <ns0:c r="G350" t="str" s="10">
        <ns0:v>75 В макс.</ns0:v>
      </ns0:c>
      <ns0:c r="H350" t="str" s="12">
        <ns0:v>0603</ns0:v>
      </ns0:c>
      <ns0:c r="I350" t="str" s="10">
        <ns0:v>YAGEO</ns0:v>
      </ns0:c>
      <ns0:c r="J350" t="str" s="10">
        <ns0:v>RC0603FR-07220RL</ns0:v>
      </ns0:c>
      <ns0:c r="K350" t="str" s="11">
        <ns0:f>B350&amp;" "&amp;D350&amp;" "&amp;E350&amp;" "&amp;H350</ns0:f>
        <ns0:v>Резистор 220 Ом ±1% 0603</ns0:v>
      </ns0:c>
      <ns0:c r="L350" t="str" s="13">
        <ns0:v>R</ns0:v>
      </ns0:c>
      <ns0:c r="M350" t="str" s="13">
        <ns0:v>Symbols\MY_LIB_Resistors.SchLib</ns0:v>
      </ns0:c>
      <ns0:c r="N350" t="str" s="13">
        <ns0:v>RESC1608X55N</ns0:v>
      </ns0:c>
      <ns0:c r="O350" t="str" s="13">
        <ns0:v>Footprints\PBL - SMD Packages.PcbLib</ns0:v>
      </ns0:c>
      <ns0:c r="P350" t="str" s="10">
        <ns0:v>RC_L; E24; P при 70 °C; U ≤ min(√(P·R), Umax)</ns0:v>
      </ns0:c>
      <ns0:c r="Q350" s="10"/>
      <ns0:c r="R350" t="str" s="11">
        <ns0:f>D350</ns0:f>
        <ns0:v>220 Ом</ns0:v>
      </ns0:c>
      <ns0:c r="S350" t="str" s="11">
        <ns0:f>K350</ns0:f>
        <ns0:v>Резистор 220 Ом ±1% 0603</ns0:v>
      </ns0:c>
      <x:c xmlns:x="http://schemas.openxmlformats.org/spreadsheetml/2006/main" r="T350" t="str" s="11">
        <x:v>C:\Users\Nomatin\Documents\Altium\MY_LIB\MY_LIB\Datasheets\YAGEO_RC_L.pdf</x:v>
      </x:c>
      <x:c xmlns:x="http://schemas.openxmlformats.org/spreadsheetml/2006/main" r="U350" t="str" s="11">
        <x:v>Даташит — локальный</x:v>
      </x:c>
      <x:c xmlns:x="http://schemas.openxmlformats.org/spreadsheetml/2006/main" r="V350" t="str" s="11">
        <x:v>C:\Users\Nomatin\Documents\Altium\MY_LIB\MY_LIB\Datasheets\YAGEO_RC_L.pdf</x:v>
      </x:c>
      <x:c xmlns:x="http://schemas.openxmlformats.org/spreadsheetml/2006/main" r="W350" t="str" s="11">
        <x:v>Даташит — производитель</x:v>
      </x:c>
      <x:c xmlns:x="http://schemas.openxmlformats.org/spreadsheetml/2006/main" r="X350" t="str" s="11">
        <x:v>https://yageogroup.com/content/datasheet/asset/file/PYU-RC_GROUP_51_ROHS_L</x:v>
      </x:c>
      <x:c xmlns:x="http://schemas.openxmlformats.org/spreadsheetml/2006/main" r="Y350" t="str" s="11">
        <x:v>C:\Users\Nomatin\Documents\Altium\MY_LIB\MY_LIB\Datasheets\YAGEO_RC_L.pdf</x:v>
      </x:c>
    </ns0:row>
    <ns0:row xmlns:ns0="http://schemas.openxmlformats.org/spreadsheetml/2006/main" r="351" ht="30" customHeight="1">
      <ns0:c r="A351" t="str" s="10">
        <ns0:v>R0357</ns0:v>
      </ns0:c>
      <ns0:c r="B351" t="str" s="10">
        <ns0:v>Резистор</ns0:v>
      </ns0:c>
      <ns0:c r="C351" t="str" s="10">
        <ns0:v>240R</ns0:v>
      </ns0:c>
      <ns0:c r="D351" t="str" s="11">
        <ns0:f>SUBSTITUTE(SUBSTITUTE(SUBSTITUTE(SUBSTITUTE(C351,"meg"," МОм"),"k"," кОм"),"R"," Ом"),".",",")</ns0:f>
        <ns0:v>240 Ом</ns0:v>
      </ns0:c>
      <ns0:c r="E351" t="str" s="10">
        <ns0:v>±1%</ns0:v>
      </ns0:c>
      <ns0:c r="F351" t="str" s="10">
        <ns0:v>0,1 Вт</ns0:v>
      </ns0:c>
      <ns0:c r="G351" t="str" s="10">
        <ns0:v>75 В макс.</ns0:v>
      </ns0:c>
      <ns0:c r="H351" t="str" s="12">
        <ns0:v>0603</ns0:v>
      </ns0:c>
      <ns0:c r="I351" t="str" s="10">
        <ns0:v>YAGEO</ns0:v>
      </ns0:c>
      <ns0:c r="J351" t="str" s="10">
        <ns0:v>RC0603FR-07240RL</ns0:v>
      </ns0:c>
      <ns0:c r="K351" t="str" s="11">
        <ns0:f>B351&amp;" "&amp;D351&amp;" "&amp;E351&amp;" "&amp;H351</ns0:f>
        <ns0:v>Резистор 240 Ом ±1% 0603</ns0:v>
      </ns0:c>
      <ns0:c r="L351" t="str" s="13">
        <ns0:v>R</ns0:v>
      </ns0:c>
      <ns0:c r="M351" t="str" s="13">
        <ns0:v>Symbols\MY_LIB_Resistors.SchLib</ns0:v>
      </ns0:c>
      <ns0:c r="N351" t="str" s="13">
        <ns0:v>RESC1608X55N</ns0:v>
      </ns0:c>
      <ns0:c r="O351" t="str" s="13">
        <ns0:v>Footprints\PBL - SMD Packages.PcbLib</ns0:v>
      </ns0:c>
      <ns0:c r="P351" t="str" s="10">
        <ns0:v>RC_L; E24; P при 70 °C; U ≤ min(√(P·R), Umax)</ns0:v>
      </ns0:c>
      <ns0:c r="Q351" s="10"/>
      <ns0:c r="R351" t="str" s="11">
        <ns0:f>D351</ns0:f>
        <ns0:v>240 Ом</ns0:v>
      </ns0:c>
      <ns0:c r="S351" t="str" s="11">
        <ns0:f>K351</ns0:f>
        <ns0:v>Резистор 240 Ом ±1% 0603</ns0:v>
      </ns0:c>
      <x:c xmlns:x="http://schemas.openxmlformats.org/spreadsheetml/2006/main" r="T351" t="str" s="11">
        <x:v>C:\Users\Nomatin\Documents\Altium\MY_LIB\MY_LIB\Datasheets\YAGEO_RC_L.pdf</x:v>
      </x:c>
      <x:c xmlns:x="http://schemas.openxmlformats.org/spreadsheetml/2006/main" r="U351" t="str" s="11">
        <x:v>Даташит — локальный</x:v>
      </x:c>
      <x:c xmlns:x="http://schemas.openxmlformats.org/spreadsheetml/2006/main" r="V351" t="str" s="11">
        <x:v>C:\Users\Nomatin\Documents\Altium\MY_LIB\MY_LIB\Datasheets\YAGEO_RC_L.pdf</x:v>
      </x:c>
      <x:c xmlns:x="http://schemas.openxmlformats.org/spreadsheetml/2006/main" r="W351" t="str" s="11">
        <x:v>Даташит — производитель</x:v>
      </x:c>
      <x:c xmlns:x="http://schemas.openxmlformats.org/spreadsheetml/2006/main" r="X351" t="str" s="11">
        <x:v>https://yageogroup.com/content/datasheet/asset/file/PYU-RC_GROUP_51_ROHS_L</x:v>
      </x:c>
      <x:c xmlns:x="http://schemas.openxmlformats.org/spreadsheetml/2006/main" r="Y351" t="str" s="11">
        <x:v>C:\Users\Nomatin\Documents\Altium\MY_LIB\MY_LIB\Datasheets\YAGEO_RC_L.pdf</x:v>
      </x:c>
    </ns0:row>
    <ns0:row xmlns:ns0="http://schemas.openxmlformats.org/spreadsheetml/2006/main" r="352" ht="30" customHeight="1">
      <ns0:c r="A352" t="str" s="10">
        <ns0:v>R0358</ns0:v>
      </ns0:c>
      <ns0:c r="B352" t="str" s="10">
        <ns0:v>Резистор</ns0:v>
      </ns0:c>
      <ns0:c r="C352" t="str" s="10">
        <ns0:v>270R</ns0:v>
      </ns0:c>
      <ns0:c r="D352" t="str" s="11">
        <ns0:f>SUBSTITUTE(SUBSTITUTE(SUBSTITUTE(SUBSTITUTE(C352,"meg"," МОм"),"k"," кОм"),"R"," Ом"),".",",")</ns0:f>
        <ns0:v>270 Ом</ns0:v>
      </ns0:c>
      <ns0:c r="E352" t="str" s="10">
        <ns0:v>±1%</ns0:v>
      </ns0:c>
      <ns0:c r="F352" t="str" s="10">
        <ns0:v>0,1 Вт</ns0:v>
      </ns0:c>
      <ns0:c r="G352" t="str" s="10">
        <ns0:v>75 В макс.</ns0:v>
      </ns0:c>
      <ns0:c r="H352" t="str" s="12">
        <ns0:v>0603</ns0:v>
      </ns0:c>
      <ns0:c r="I352" t="str" s="10">
        <ns0:v>YAGEO</ns0:v>
      </ns0:c>
      <ns0:c r="J352" t="str" s="10">
        <ns0:v>RC0603FR-07270RL</ns0:v>
      </ns0:c>
      <ns0:c r="K352" t="str" s="11">
        <ns0:f>B352&amp;" "&amp;D352&amp;" "&amp;E352&amp;" "&amp;H352</ns0:f>
        <ns0:v>Резистор 270 Ом ±1% 0603</ns0:v>
      </ns0:c>
      <ns0:c r="L352" t="str" s="13">
        <ns0:v>R</ns0:v>
      </ns0:c>
      <ns0:c r="M352" t="str" s="13">
        <ns0:v>Symbols\MY_LIB_Resistors.SchLib</ns0:v>
      </ns0:c>
      <ns0:c r="N352" t="str" s="13">
        <ns0:v>RESC1608X55N</ns0:v>
      </ns0:c>
      <ns0:c r="O352" t="str" s="13">
        <ns0:v>Footprints\PBL - SMD Packages.PcbLib</ns0:v>
      </ns0:c>
      <ns0:c r="P352" t="str" s="10">
        <ns0:v>RC_L; E24; P при 70 °C; U ≤ min(√(P·R), Umax)</ns0:v>
      </ns0:c>
      <ns0:c r="Q352" s="10"/>
      <ns0:c r="R352" t="str" s="11">
        <ns0:f>D352</ns0:f>
        <ns0:v>270 Ом</ns0:v>
      </ns0:c>
      <ns0:c r="S352" t="str" s="11">
        <ns0:f>K352</ns0:f>
        <ns0:v>Резистор 270 Ом ±1% 0603</ns0:v>
      </ns0:c>
      <x:c xmlns:x="http://schemas.openxmlformats.org/spreadsheetml/2006/main" r="T352" t="str" s="11">
        <x:v>C:\Users\Nomatin\Documents\Altium\MY_LIB\MY_LIB\Datasheets\YAGEO_RC_L.pdf</x:v>
      </x:c>
      <x:c xmlns:x="http://schemas.openxmlformats.org/spreadsheetml/2006/main" r="U352" t="str" s="11">
        <x:v>Даташит — локальный</x:v>
      </x:c>
      <x:c xmlns:x="http://schemas.openxmlformats.org/spreadsheetml/2006/main" r="V352" t="str" s="11">
        <x:v>C:\Users\Nomatin\Documents\Altium\MY_LIB\MY_LIB\Datasheets\YAGEO_RC_L.pdf</x:v>
      </x:c>
      <x:c xmlns:x="http://schemas.openxmlformats.org/spreadsheetml/2006/main" r="W352" t="str" s="11">
        <x:v>Даташит — производитель</x:v>
      </x:c>
      <x:c xmlns:x="http://schemas.openxmlformats.org/spreadsheetml/2006/main" r="X352" t="str" s="11">
        <x:v>https://yageogroup.com/content/datasheet/asset/file/PYU-RC_GROUP_51_ROHS_L</x:v>
      </x:c>
      <x:c xmlns:x="http://schemas.openxmlformats.org/spreadsheetml/2006/main" r="Y352" t="str" s="11">
        <x:v>C:\Users\Nomatin\Documents\Altium\MY_LIB\MY_LIB\Datasheets\YAGEO_RC_L.pdf</x:v>
      </x:c>
    </ns0:row>
    <ns0:row xmlns:ns0="http://schemas.openxmlformats.org/spreadsheetml/2006/main" r="353" ht="30" customHeight="1">
      <ns0:c r="A353" t="str" s="10">
        <ns0:v>R0359</ns0:v>
      </ns0:c>
      <ns0:c r="B353" t="str" s="10">
        <ns0:v>Резистор</ns0:v>
      </ns0:c>
      <ns0:c r="C353" t="str" s="10">
        <ns0:v>300R</ns0:v>
      </ns0:c>
      <ns0:c r="D353" t="str" s="11">
        <ns0:f>SUBSTITUTE(SUBSTITUTE(SUBSTITUTE(SUBSTITUTE(C353,"meg"," МОм"),"k"," кОм"),"R"," Ом"),".",",")</ns0:f>
        <ns0:v>300 Ом</ns0:v>
      </ns0:c>
      <ns0:c r="E353" t="str" s="10">
        <ns0:v>±1%</ns0:v>
      </ns0:c>
      <ns0:c r="F353" t="str" s="10">
        <ns0:v>0,1 Вт</ns0:v>
      </ns0:c>
      <ns0:c r="G353" t="str" s="10">
        <ns0:v>75 В макс.</ns0:v>
      </ns0:c>
      <ns0:c r="H353" t="str" s="12">
        <ns0:v>0603</ns0:v>
      </ns0:c>
      <ns0:c r="I353" t="str" s="10">
        <ns0:v>YAGEO</ns0:v>
      </ns0:c>
      <ns0:c r="J353" t="str" s="10">
        <ns0:v>RC0603FR-07300RL</ns0:v>
      </ns0:c>
      <ns0:c r="K353" t="str" s="11">
        <ns0:f>B353&amp;" "&amp;D353&amp;" "&amp;E353&amp;" "&amp;H353</ns0:f>
        <ns0:v>Резистор 300 Ом ±1% 0603</ns0:v>
      </ns0:c>
      <ns0:c r="L353" t="str" s="13">
        <ns0:v>R</ns0:v>
      </ns0:c>
      <ns0:c r="M353" t="str" s="13">
        <ns0:v>Symbols\MY_LIB_Resistors.SchLib</ns0:v>
      </ns0:c>
      <ns0:c r="N353" t="str" s="13">
        <ns0:v>RESC1608X55N</ns0:v>
      </ns0:c>
      <ns0:c r="O353" t="str" s="13">
        <ns0:v>Footprints\PBL - SMD Packages.PcbLib</ns0:v>
      </ns0:c>
      <ns0:c r="P353" t="str" s="10">
        <ns0:v>RC_L; E24; P при 70 °C; U ≤ min(√(P·R), Umax)</ns0:v>
      </ns0:c>
      <ns0:c r="Q353" s="10"/>
      <ns0:c r="R353" t="str" s="11">
        <ns0:f>D353</ns0:f>
        <ns0:v>300 Ом</ns0:v>
      </ns0:c>
      <ns0:c r="S353" t="str" s="11">
        <ns0:f>K353</ns0:f>
        <ns0:v>Резистор 300 Ом ±1% 0603</ns0:v>
      </ns0:c>
      <x:c xmlns:x="http://schemas.openxmlformats.org/spreadsheetml/2006/main" r="T353" t="str" s="11">
        <x:v>C:\Users\Nomatin\Documents\Altium\MY_LIB\MY_LIB\Datasheets\YAGEO_RC_L.pdf</x:v>
      </x:c>
      <x:c xmlns:x="http://schemas.openxmlformats.org/spreadsheetml/2006/main" r="U353" t="str" s="11">
        <x:v>Даташит — локальный</x:v>
      </x:c>
      <x:c xmlns:x="http://schemas.openxmlformats.org/spreadsheetml/2006/main" r="V353" t="str" s="11">
        <x:v>C:\Users\Nomatin\Documents\Altium\MY_LIB\MY_LIB\Datasheets\YAGEO_RC_L.pdf</x:v>
      </x:c>
      <x:c xmlns:x="http://schemas.openxmlformats.org/spreadsheetml/2006/main" r="W353" t="str" s="11">
        <x:v>Даташит — производитель</x:v>
      </x:c>
      <x:c xmlns:x="http://schemas.openxmlformats.org/spreadsheetml/2006/main" r="X353" t="str" s="11">
        <x:v>https://yageogroup.com/content/datasheet/asset/file/PYU-RC_GROUP_51_ROHS_L</x:v>
      </x:c>
      <x:c xmlns:x="http://schemas.openxmlformats.org/spreadsheetml/2006/main" r="Y353" t="str" s="11">
        <x:v>C:\Users\Nomatin\Documents\Altium\MY_LIB\MY_LIB\Datasheets\YAGEO_RC_L.pdf</x:v>
      </x:c>
    </ns0:row>
    <ns0:row xmlns:ns0="http://schemas.openxmlformats.org/spreadsheetml/2006/main" r="354" ht="30" customHeight="1">
      <ns0:c r="A354" t="str" s="10">
        <ns0:v>R0360</ns0:v>
      </ns0:c>
      <ns0:c r="B354" t="str" s="10">
        <ns0:v>Резистор</ns0:v>
      </ns0:c>
      <ns0:c r="C354" t="str" s="10">
        <ns0:v>330R</ns0:v>
      </ns0:c>
      <ns0:c r="D354" t="str" s="11">
        <ns0:f>SUBSTITUTE(SUBSTITUTE(SUBSTITUTE(SUBSTITUTE(C354,"meg"," МОм"),"k"," кОм"),"R"," Ом"),".",",")</ns0:f>
        <ns0:v>330 Ом</ns0:v>
      </ns0:c>
      <ns0:c r="E354" t="str" s="10">
        <ns0:v>±1%</ns0:v>
      </ns0:c>
      <ns0:c r="F354" t="str" s="10">
        <ns0:v>0,1 Вт</ns0:v>
      </ns0:c>
      <ns0:c r="G354" t="str" s="10">
        <ns0:v>75 В макс.</ns0:v>
      </ns0:c>
      <ns0:c r="H354" t="str" s="12">
        <ns0:v>0603</ns0:v>
      </ns0:c>
      <ns0:c r="I354" t="str" s="10">
        <ns0:v>YAGEO</ns0:v>
      </ns0:c>
      <ns0:c r="J354" t="str" s="10">
        <ns0:v>RC0603FR-07330RL</ns0:v>
      </ns0:c>
      <ns0:c r="K354" t="str" s="11">
        <ns0:f>B354&amp;" "&amp;D354&amp;" "&amp;E354&amp;" "&amp;H354</ns0:f>
        <ns0:v>Резистор 330 Ом ±1% 0603</ns0:v>
      </ns0:c>
      <ns0:c r="L354" t="str" s="13">
        <ns0:v>R</ns0:v>
      </ns0:c>
      <ns0:c r="M354" t="str" s="13">
        <ns0:v>Symbols\MY_LIB_Resistors.SchLib</ns0:v>
      </ns0:c>
      <ns0:c r="N354" t="str" s="13">
        <ns0:v>RESC1608X55N</ns0:v>
      </ns0:c>
      <ns0:c r="O354" t="str" s="13">
        <ns0:v>Footprints\PBL - SMD Packages.PcbLib</ns0:v>
      </ns0:c>
      <ns0:c r="P354" t="str" s="10">
        <ns0:v>RC_L; E24; P при 70 °C; U ≤ min(√(P·R), Umax)</ns0:v>
      </ns0:c>
      <ns0:c r="Q354" s="10"/>
      <ns0:c r="R354" t="str" s="11">
        <ns0:f>D354</ns0:f>
        <ns0:v>330 Ом</ns0:v>
      </ns0:c>
      <ns0:c r="S354" t="str" s="11">
        <ns0:f>K354</ns0:f>
        <ns0:v>Резистор 330 Ом ±1% 0603</ns0:v>
      </ns0:c>
      <x:c xmlns:x="http://schemas.openxmlformats.org/spreadsheetml/2006/main" r="T354" t="str" s="11">
        <x:v>C:\Users\Nomatin\Documents\Altium\MY_LIB\MY_LIB\Datasheets\YAGEO_RC_L.pdf</x:v>
      </x:c>
      <x:c xmlns:x="http://schemas.openxmlformats.org/spreadsheetml/2006/main" r="U354" t="str" s="11">
        <x:v>Даташит — локальный</x:v>
      </x:c>
      <x:c xmlns:x="http://schemas.openxmlformats.org/spreadsheetml/2006/main" r="V354" t="str" s="11">
        <x:v>C:\Users\Nomatin\Documents\Altium\MY_LIB\MY_LIB\Datasheets\YAGEO_RC_L.pdf</x:v>
      </x:c>
      <x:c xmlns:x="http://schemas.openxmlformats.org/spreadsheetml/2006/main" r="W354" t="str" s="11">
        <x:v>Даташит — производитель</x:v>
      </x:c>
      <x:c xmlns:x="http://schemas.openxmlformats.org/spreadsheetml/2006/main" r="X354" t="str" s="11">
        <x:v>https://yageogroup.com/content/datasheet/asset/file/PYU-RC_GROUP_51_ROHS_L</x:v>
      </x:c>
      <x:c xmlns:x="http://schemas.openxmlformats.org/spreadsheetml/2006/main" r="Y354" t="str" s="11">
        <x:v>C:\Users\Nomatin\Documents\Altium\MY_LIB\MY_LIB\Datasheets\YAGEO_RC_L.pdf</x:v>
      </x:c>
    </ns0:row>
    <ns0:row xmlns:ns0="http://schemas.openxmlformats.org/spreadsheetml/2006/main" r="355" ht="30" customHeight="1">
      <ns0:c r="A355" t="str" s="10">
        <ns0:v>R0361</ns0:v>
      </ns0:c>
      <ns0:c r="B355" t="str" s="10">
        <ns0:v>Резистор</ns0:v>
      </ns0:c>
      <ns0:c r="C355" t="str" s="10">
        <ns0:v>360R</ns0:v>
      </ns0:c>
      <ns0:c r="D355" t="str" s="11">
        <ns0:f>SUBSTITUTE(SUBSTITUTE(SUBSTITUTE(SUBSTITUTE(C355,"meg"," МОм"),"k"," кОм"),"R"," Ом"),".",",")</ns0:f>
        <ns0:v>360 Ом</ns0:v>
      </ns0:c>
      <ns0:c r="E355" t="str" s="10">
        <ns0:v>±1%</ns0:v>
      </ns0:c>
      <ns0:c r="F355" t="str" s="10">
        <ns0:v>0,1 Вт</ns0:v>
      </ns0:c>
      <ns0:c r="G355" t="str" s="10">
        <ns0:v>75 В макс.</ns0:v>
      </ns0:c>
      <ns0:c r="H355" t="str" s="12">
        <ns0:v>0603</ns0:v>
      </ns0:c>
      <ns0:c r="I355" t="str" s="10">
        <ns0:v>YAGEO</ns0:v>
      </ns0:c>
      <ns0:c r="J355" t="str" s="10">
        <ns0:v>RC0603FR-07360RL</ns0:v>
      </ns0:c>
      <ns0:c r="K355" t="str" s="11">
        <ns0:f>B355&amp;" "&amp;D355&amp;" "&amp;E355&amp;" "&amp;H355</ns0:f>
        <ns0:v>Резистор 360 Ом ±1% 0603</ns0:v>
      </ns0:c>
      <ns0:c r="L355" t="str" s="13">
        <ns0:v>R</ns0:v>
      </ns0:c>
      <ns0:c r="M355" t="str" s="13">
        <ns0:v>Symbols\MY_LIB_Resistors.SchLib</ns0:v>
      </ns0:c>
      <ns0:c r="N355" t="str" s="13">
        <ns0:v>RESC1608X55N</ns0:v>
      </ns0:c>
      <ns0:c r="O355" t="str" s="13">
        <ns0:v>Footprints\PBL - SMD Packages.PcbLib</ns0:v>
      </ns0:c>
      <ns0:c r="P355" t="str" s="10">
        <ns0:v>RC_L; E24; P при 70 °C; U ≤ min(√(P·R), Umax)</ns0:v>
      </ns0:c>
      <ns0:c r="Q355" s="10"/>
      <ns0:c r="R355" t="str" s="11">
        <ns0:f>D355</ns0:f>
        <ns0:v>360 Ом</ns0:v>
      </ns0:c>
      <ns0:c r="S355" t="str" s="11">
        <ns0:f>K355</ns0:f>
        <ns0:v>Резистор 360 Ом ±1% 0603</ns0:v>
      </ns0:c>
      <x:c xmlns:x="http://schemas.openxmlformats.org/spreadsheetml/2006/main" r="T355" t="str" s="11">
        <x:v>C:\Users\Nomatin\Documents\Altium\MY_LIB\MY_LIB\Datasheets\YAGEO_RC_L.pdf</x:v>
      </x:c>
      <x:c xmlns:x="http://schemas.openxmlformats.org/spreadsheetml/2006/main" r="U355" t="str" s="11">
        <x:v>Даташит — локальный</x:v>
      </x:c>
      <x:c xmlns:x="http://schemas.openxmlformats.org/spreadsheetml/2006/main" r="V355" t="str" s="11">
        <x:v>C:\Users\Nomatin\Documents\Altium\MY_LIB\MY_LIB\Datasheets\YAGEO_RC_L.pdf</x:v>
      </x:c>
      <x:c xmlns:x="http://schemas.openxmlformats.org/spreadsheetml/2006/main" r="W355" t="str" s="11">
        <x:v>Даташит — производитель</x:v>
      </x:c>
      <x:c xmlns:x="http://schemas.openxmlformats.org/spreadsheetml/2006/main" r="X355" t="str" s="11">
        <x:v>https://yageogroup.com/content/datasheet/asset/file/PYU-RC_GROUP_51_ROHS_L</x:v>
      </x:c>
      <x:c xmlns:x="http://schemas.openxmlformats.org/spreadsheetml/2006/main" r="Y355" t="str" s="11">
        <x:v>C:\Users\Nomatin\Documents\Altium\MY_LIB\MY_LIB\Datasheets\YAGEO_RC_L.pdf</x:v>
      </x:c>
    </ns0:row>
    <ns0:row xmlns:ns0="http://schemas.openxmlformats.org/spreadsheetml/2006/main" r="356" ht="30" customHeight="1">
      <ns0:c r="A356" t="str" s="10">
        <ns0:v>R0362</ns0:v>
      </ns0:c>
      <ns0:c r="B356" t="str" s="10">
        <ns0:v>Резистор</ns0:v>
      </ns0:c>
      <ns0:c r="C356" t="str" s="10">
        <ns0:v>390R</ns0:v>
      </ns0:c>
      <ns0:c r="D356" t="str" s="11">
        <ns0:f>SUBSTITUTE(SUBSTITUTE(SUBSTITUTE(SUBSTITUTE(C356,"meg"," МОм"),"k"," кОм"),"R"," Ом"),".",",")</ns0:f>
        <ns0:v>390 Ом</ns0:v>
      </ns0:c>
      <ns0:c r="E356" t="str" s="10">
        <ns0:v>±1%</ns0:v>
      </ns0:c>
      <ns0:c r="F356" t="str" s="10">
        <ns0:v>0,1 Вт</ns0:v>
      </ns0:c>
      <ns0:c r="G356" t="str" s="10">
        <ns0:v>75 В макс.</ns0:v>
      </ns0:c>
      <ns0:c r="H356" t="str" s="12">
        <ns0:v>0603</ns0:v>
      </ns0:c>
      <ns0:c r="I356" t="str" s="10">
        <ns0:v>YAGEO</ns0:v>
      </ns0:c>
      <ns0:c r="J356" t="str" s="10">
        <ns0:v>RC0603FR-07390RL</ns0:v>
      </ns0:c>
      <ns0:c r="K356" t="str" s="11">
        <ns0:f>B356&amp;" "&amp;D356&amp;" "&amp;E356&amp;" "&amp;H356</ns0:f>
        <ns0:v>Резистор 390 Ом ±1% 0603</ns0:v>
      </ns0:c>
      <ns0:c r="L356" t="str" s="13">
        <ns0:v>R</ns0:v>
      </ns0:c>
      <ns0:c r="M356" t="str" s="13">
        <ns0:v>Symbols\MY_LIB_Resistors.SchLib</ns0:v>
      </ns0:c>
      <ns0:c r="N356" t="str" s="13">
        <ns0:v>RESC1608X55N</ns0:v>
      </ns0:c>
      <ns0:c r="O356" t="str" s="13">
        <ns0:v>Footprints\PBL - SMD Packages.PcbLib</ns0:v>
      </ns0:c>
      <ns0:c r="P356" t="str" s="10">
        <ns0:v>RC_L; E24; P при 70 °C; U ≤ min(√(P·R), Umax)</ns0:v>
      </ns0:c>
      <ns0:c r="Q356" s="10"/>
      <ns0:c r="R356" t="str" s="11">
        <ns0:f>D356</ns0:f>
        <ns0:v>390 Ом</ns0:v>
      </ns0:c>
      <ns0:c r="S356" t="str" s="11">
        <ns0:f>K356</ns0:f>
        <ns0:v>Резистор 390 Ом ±1% 0603</ns0:v>
      </ns0:c>
      <x:c xmlns:x="http://schemas.openxmlformats.org/spreadsheetml/2006/main" r="T356" t="str" s="11">
        <x:v>C:\Users\Nomatin\Documents\Altium\MY_LIB\MY_LIB\Datasheets\YAGEO_RC_L.pdf</x:v>
      </x:c>
      <x:c xmlns:x="http://schemas.openxmlformats.org/spreadsheetml/2006/main" r="U356" t="str" s="11">
        <x:v>Даташит — локальный</x:v>
      </x:c>
      <x:c xmlns:x="http://schemas.openxmlformats.org/spreadsheetml/2006/main" r="V356" t="str" s="11">
        <x:v>C:\Users\Nomatin\Documents\Altium\MY_LIB\MY_LIB\Datasheets\YAGEO_RC_L.pdf</x:v>
      </x:c>
      <x:c xmlns:x="http://schemas.openxmlformats.org/spreadsheetml/2006/main" r="W356" t="str" s="11">
        <x:v>Даташит — производитель</x:v>
      </x:c>
      <x:c xmlns:x="http://schemas.openxmlformats.org/spreadsheetml/2006/main" r="X356" t="str" s="11">
        <x:v>https://yageogroup.com/content/datasheet/asset/file/PYU-RC_GROUP_51_ROHS_L</x:v>
      </x:c>
      <x:c xmlns:x="http://schemas.openxmlformats.org/spreadsheetml/2006/main" r="Y356" t="str" s="11">
        <x:v>C:\Users\Nomatin\Documents\Altium\MY_LIB\MY_LIB\Datasheets\YAGEO_RC_L.pdf</x:v>
      </x:c>
    </ns0:row>
    <ns0:row xmlns:ns0="http://schemas.openxmlformats.org/spreadsheetml/2006/main" r="357" ht="30" customHeight="1">
      <ns0:c r="A357" t="str" s="10">
        <ns0:v>R0363</ns0:v>
      </ns0:c>
      <ns0:c r="B357" t="str" s="10">
        <ns0:v>Резистор</ns0:v>
      </ns0:c>
      <ns0:c r="C357" t="str" s="10">
        <ns0:v>430R</ns0:v>
      </ns0:c>
      <ns0:c r="D357" t="str" s="11">
        <ns0:f>SUBSTITUTE(SUBSTITUTE(SUBSTITUTE(SUBSTITUTE(C357,"meg"," МОм"),"k"," кОм"),"R"," Ом"),".",",")</ns0:f>
        <ns0:v>430 Ом</ns0:v>
      </ns0:c>
      <ns0:c r="E357" t="str" s="10">
        <ns0:v>±1%</ns0:v>
      </ns0:c>
      <ns0:c r="F357" t="str" s="10">
        <ns0:v>0,1 Вт</ns0:v>
      </ns0:c>
      <ns0:c r="G357" t="str" s="10">
        <ns0:v>75 В макс.</ns0:v>
      </ns0:c>
      <ns0:c r="H357" t="str" s="12">
        <ns0:v>0603</ns0:v>
      </ns0:c>
      <ns0:c r="I357" t="str" s="10">
        <ns0:v>YAGEO</ns0:v>
      </ns0:c>
      <ns0:c r="J357" t="str" s="10">
        <ns0:v>RC0603FR-07430RL</ns0:v>
      </ns0:c>
      <ns0:c r="K357" t="str" s="11">
        <ns0:f>B357&amp;" "&amp;D357&amp;" "&amp;E357&amp;" "&amp;H357</ns0:f>
        <ns0:v>Резистор 430 Ом ±1% 0603</ns0:v>
      </ns0:c>
      <ns0:c r="L357" t="str" s="13">
        <ns0:v>R</ns0:v>
      </ns0:c>
      <ns0:c r="M357" t="str" s="13">
        <ns0:v>Symbols\MY_LIB_Resistors.SchLib</ns0:v>
      </ns0:c>
      <ns0:c r="N357" t="str" s="13">
        <ns0:v>RESC1608X55N</ns0:v>
      </ns0:c>
      <ns0:c r="O357" t="str" s="13">
        <ns0:v>Footprints\PBL - SMD Packages.PcbLib</ns0:v>
      </ns0:c>
      <ns0:c r="P357" t="str" s="10">
        <ns0:v>RC_L; E24; P при 70 °C; U ≤ min(√(P·R), Umax)</ns0:v>
      </ns0:c>
      <ns0:c r="Q357" s="10"/>
      <ns0:c r="R357" t="str" s="11">
        <ns0:f>D357</ns0:f>
        <ns0:v>430 Ом</ns0:v>
      </ns0:c>
      <ns0:c r="S357" t="str" s="11">
        <ns0:f>K357</ns0:f>
        <ns0:v>Резистор 430 Ом ±1% 0603</ns0:v>
      </ns0:c>
      <x:c xmlns:x="http://schemas.openxmlformats.org/spreadsheetml/2006/main" r="T357" t="str" s="11">
        <x:v>C:\Users\Nomatin\Documents\Altium\MY_LIB\MY_LIB\Datasheets\YAGEO_RC_L.pdf</x:v>
      </x:c>
      <x:c xmlns:x="http://schemas.openxmlformats.org/spreadsheetml/2006/main" r="U357" t="str" s="11">
        <x:v>Даташит — локальный</x:v>
      </x:c>
      <x:c xmlns:x="http://schemas.openxmlformats.org/spreadsheetml/2006/main" r="V357" t="str" s="11">
        <x:v>C:\Users\Nomatin\Documents\Altium\MY_LIB\MY_LIB\Datasheets\YAGEO_RC_L.pdf</x:v>
      </x:c>
      <x:c xmlns:x="http://schemas.openxmlformats.org/spreadsheetml/2006/main" r="W357" t="str" s="11">
        <x:v>Даташит — производитель</x:v>
      </x:c>
      <x:c xmlns:x="http://schemas.openxmlformats.org/spreadsheetml/2006/main" r="X357" t="str" s="11">
        <x:v>https://yageogroup.com/content/datasheet/asset/file/PYU-RC_GROUP_51_ROHS_L</x:v>
      </x:c>
      <x:c xmlns:x="http://schemas.openxmlformats.org/spreadsheetml/2006/main" r="Y357" t="str" s="11">
        <x:v>C:\Users\Nomatin\Documents\Altium\MY_LIB\MY_LIB\Datasheets\YAGEO_RC_L.pdf</x:v>
      </x:c>
    </ns0:row>
    <ns0:row xmlns:ns0="http://schemas.openxmlformats.org/spreadsheetml/2006/main" r="358" ht="30" customHeight="1">
      <ns0:c r="A358" t="str" s="10">
        <ns0:v>R0364</ns0:v>
      </ns0:c>
      <ns0:c r="B358" t="str" s="10">
        <ns0:v>Резистор</ns0:v>
      </ns0:c>
      <ns0:c r="C358" t="str" s="10">
        <ns0:v>470R</ns0:v>
      </ns0:c>
      <ns0:c r="D358" t="str" s="11">
        <ns0:f>SUBSTITUTE(SUBSTITUTE(SUBSTITUTE(SUBSTITUTE(C358,"meg"," МОм"),"k"," кОм"),"R"," Ом"),".",",")</ns0:f>
        <ns0:v>470 Ом</ns0:v>
      </ns0:c>
      <ns0:c r="E358" t="str" s="10">
        <ns0:v>±1%</ns0:v>
      </ns0:c>
      <ns0:c r="F358" t="str" s="10">
        <ns0:v>0,1 Вт</ns0:v>
      </ns0:c>
      <ns0:c r="G358" t="str" s="10">
        <ns0:v>75 В макс.</ns0:v>
      </ns0:c>
      <ns0:c r="H358" t="str" s="12">
        <ns0:v>0603</ns0:v>
      </ns0:c>
      <ns0:c r="I358" t="str" s="10">
        <ns0:v>YAGEO</ns0:v>
      </ns0:c>
      <ns0:c r="J358" t="str" s="10">
        <ns0:v>RC0603FR-07470RL</ns0:v>
      </ns0:c>
      <ns0:c r="K358" t="str" s="11">
        <ns0:f>B358&amp;" "&amp;D358&amp;" "&amp;E358&amp;" "&amp;H358</ns0:f>
        <ns0:v>Резистор 470 Ом ±1% 0603</ns0:v>
      </ns0:c>
      <ns0:c r="L358" t="str" s="13">
        <ns0:v>R</ns0:v>
      </ns0:c>
      <ns0:c r="M358" t="str" s="13">
        <ns0:v>Symbols\MY_LIB_Resistors.SchLib</ns0:v>
      </ns0:c>
      <ns0:c r="N358" t="str" s="13">
        <ns0:v>RESC1608X55N</ns0:v>
      </ns0:c>
      <ns0:c r="O358" t="str" s="13">
        <ns0:v>Footprints\PBL - SMD Packages.PcbLib</ns0:v>
      </ns0:c>
      <ns0:c r="P358" t="str" s="10">
        <ns0:v>RC_L; E24; P при 70 °C; U ≤ min(√(P·R), Umax)</ns0:v>
      </ns0:c>
      <ns0:c r="Q358" s="10"/>
      <ns0:c r="R358" t="str" s="11">
        <ns0:f>D358</ns0:f>
        <ns0:v>470 Ом</ns0:v>
      </ns0:c>
      <ns0:c r="S358" t="str" s="11">
        <ns0:f>K358</ns0:f>
        <ns0:v>Резистор 470 Ом ±1% 0603</ns0:v>
      </ns0:c>
      <x:c xmlns:x="http://schemas.openxmlformats.org/spreadsheetml/2006/main" r="T358" t="str" s="11">
        <x:v>C:\Users\Nomatin\Documents\Altium\MY_LIB\MY_LIB\Datasheets\YAGEO_RC_L.pdf</x:v>
      </x:c>
      <x:c xmlns:x="http://schemas.openxmlformats.org/spreadsheetml/2006/main" r="U358" t="str" s="11">
        <x:v>Даташит — локальный</x:v>
      </x:c>
      <x:c xmlns:x="http://schemas.openxmlformats.org/spreadsheetml/2006/main" r="V358" t="str" s="11">
        <x:v>C:\Users\Nomatin\Documents\Altium\MY_LIB\MY_LIB\Datasheets\YAGEO_RC_L.pdf</x:v>
      </x:c>
      <x:c xmlns:x="http://schemas.openxmlformats.org/spreadsheetml/2006/main" r="W358" t="str" s="11">
        <x:v>Даташит — производитель</x:v>
      </x:c>
      <x:c xmlns:x="http://schemas.openxmlformats.org/spreadsheetml/2006/main" r="X358" t="str" s="11">
        <x:v>https://yageogroup.com/content/datasheet/asset/file/PYU-RC_GROUP_51_ROHS_L</x:v>
      </x:c>
      <x:c xmlns:x="http://schemas.openxmlformats.org/spreadsheetml/2006/main" r="Y358" t="str" s="11">
        <x:v>C:\Users\Nomatin\Documents\Altium\MY_LIB\MY_LIB\Datasheets\YAGEO_RC_L.pdf</x:v>
      </x:c>
    </ns0:row>
    <ns0:row xmlns:ns0="http://schemas.openxmlformats.org/spreadsheetml/2006/main" r="359" ht="30" customHeight="1">
      <ns0:c r="A359" t="str" s="10">
        <ns0:v>R0365</ns0:v>
      </ns0:c>
      <ns0:c r="B359" t="str" s="10">
        <ns0:v>Резистор</ns0:v>
      </ns0:c>
      <ns0:c r="C359" t="str" s="10">
        <ns0:v>510R</ns0:v>
      </ns0:c>
      <ns0:c r="D359" t="str" s="11">
        <ns0:f>SUBSTITUTE(SUBSTITUTE(SUBSTITUTE(SUBSTITUTE(C359,"meg"," МОм"),"k"," кОм"),"R"," Ом"),".",",")</ns0:f>
        <ns0:v>510 Ом</ns0:v>
      </ns0:c>
      <ns0:c r="E359" t="str" s="10">
        <ns0:v>±1%</ns0:v>
      </ns0:c>
      <ns0:c r="F359" t="str" s="10">
        <ns0:v>0,1 Вт</ns0:v>
      </ns0:c>
      <ns0:c r="G359" t="str" s="10">
        <ns0:v>75 В макс.</ns0:v>
      </ns0:c>
      <ns0:c r="H359" t="str" s="12">
        <ns0:v>0603</ns0:v>
      </ns0:c>
      <ns0:c r="I359" t="str" s="10">
        <ns0:v>YAGEO</ns0:v>
      </ns0:c>
      <ns0:c r="J359" t="str" s="10">
        <ns0:v>RC0603FR-07510RL</ns0:v>
      </ns0:c>
      <ns0:c r="K359" t="str" s="11">
        <ns0:f>B359&amp;" "&amp;D359&amp;" "&amp;E359&amp;" "&amp;H359</ns0:f>
        <ns0:v>Резистор 510 Ом ±1% 0603</ns0:v>
      </ns0:c>
      <ns0:c r="L359" t="str" s="13">
        <ns0:v>R</ns0:v>
      </ns0:c>
      <ns0:c r="M359" t="str" s="13">
        <ns0:v>Symbols\MY_LIB_Resistors.SchLib</ns0:v>
      </ns0:c>
      <ns0:c r="N359" t="str" s="13">
        <ns0:v>RESC1608X55N</ns0:v>
      </ns0:c>
      <ns0:c r="O359" t="str" s="13">
        <ns0:v>Footprints\PBL - SMD Packages.PcbLib</ns0:v>
      </ns0:c>
      <ns0:c r="P359" t="str" s="10">
        <ns0:v>RC_L; E24; P при 70 °C; U ≤ min(√(P·R), Umax)</ns0:v>
      </ns0:c>
      <ns0:c r="Q359" s="10"/>
      <ns0:c r="R359" t="str" s="11">
        <ns0:f>D359</ns0:f>
        <ns0:v>510 Ом</ns0:v>
      </ns0:c>
      <ns0:c r="S359" t="str" s="11">
        <ns0:f>K359</ns0:f>
        <ns0:v>Резистор 510 Ом ±1% 0603</ns0:v>
      </ns0:c>
      <x:c xmlns:x="http://schemas.openxmlformats.org/spreadsheetml/2006/main" r="T359" t="str" s="11">
        <x:v>C:\Users\Nomatin\Documents\Altium\MY_LIB\MY_LIB\Datasheets\YAGEO_RC_L.pdf</x:v>
      </x:c>
      <x:c xmlns:x="http://schemas.openxmlformats.org/spreadsheetml/2006/main" r="U359" t="str" s="11">
        <x:v>Даташит — локальный</x:v>
      </x:c>
      <x:c xmlns:x="http://schemas.openxmlformats.org/spreadsheetml/2006/main" r="V359" t="str" s="11">
        <x:v>C:\Users\Nomatin\Documents\Altium\MY_LIB\MY_LIB\Datasheets\YAGEO_RC_L.pdf</x:v>
      </x:c>
      <x:c xmlns:x="http://schemas.openxmlformats.org/spreadsheetml/2006/main" r="W359" t="str" s="11">
        <x:v>Даташит — производитель</x:v>
      </x:c>
      <x:c xmlns:x="http://schemas.openxmlformats.org/spreadsheetml/2006/main" r="X359" t="str" s="11">
        <x:v>https://yageogroup.com/content/datasheet/asset/file/PYU-RC_GROUP_51_ROHS_L</x:v>
      </x:c>
      <x:c xmlns:x="http://schemas.openxmlformats.org/spreadsheetml/2006/main" r="Y359" t="str" s="11">
        <x:v>C:\Users\Nomatin\Documents\Altium\MY_LIB\MY_LIB\Datasheets\YAGEO_RC_L.pdf</x:v>
      </x:c>
    </ns0:row>
    <ns0:row xmlns:ns0="http://schemas.openxmlformats.org/spreadsheetml/2006/main" r="360" ht="30" customHeight="1">
      <ns0:c r="A360" t="str" s="10">
        <ns0:v>R0366</ns0:v>
      </ns0:c>
      <ns0:c r="B360" t="str" s="10">
        <ns0:v>Резистор</ns0:v>
      </ns0:c>
      <ns0:c r="C360" t="str" s="10">
        <ns0:v>560R</ns0:v>
      </ns0:c>
      <ns0:c r="D360" t="str" s="11">
        <ns0:f>SUBSTITUTE(SUBSTITUTE(SUBSTITUTE(SUBSTITUTE(C360,"meg"," МОм"),"k"," кОм"),"R"," Ом"),".",",")</ns0:f>
        <ns0:v>560 Ом</ns0:v>
      </ns0:c>
      <ns0:c r="E360" t="str" s="10">
        <ns0:v>±1%</ns0:v>
      </ns0:c>
      <ns0:c r="F360" t="str" s="10">
        <ns0:v>0,1 Вт</ns0:v>
      </ns0:c>
      <ns0:c r="G360" t="str" s="10">
        <ns0:v>75 В макс.</ns0:v>
      </ns0:c>
      <ns0:c r="H360" t="str" s="12">
        <ns0:v>0603</ns0:v>
      </ns0:c>
      <ns0:c r="I360" t="str" s="10">
        <ns0:v>YAGEO</ns0:v>
      </ns0:c>
      <ns0:c r="J360" t="str" s="10">
        <ns0:v>RC0603FR-07560RL</ns0:v>
      </ns0:c>
      <ns0:c r="K360" t="str" s="11">
        <ns0:f>B360&amp;" "&amp;D360&amp;" "&amp;E360&amp;" "&amp;H360</ns0:f>
        <ns0:v>Резистор 560 Ом ±1% 0603</ns0:v>
      </ns0:c>
      <ns0:c r="L360" t="str" s="13">
        <ns0:v>R</ns0:v>
      </ns0:c>
      <ns0:c r="M360" t="str" s="13">
        <ns0:v>Symbols\MY_LIB_Resistors.SchLib</ns0:v>
      </ns0:c>
      <ns0:c r="N360" t="str" s="13">
        <ns0:v>RESC1608X55N</ns0:v>
      </ns0:c>
      <ns0:c r="O360" t="str" s="13">
        <ns0:v>Footprints\PBL - SMD Packages.PcbLib</ns0:v>
      </ns0:c>
      <ns0:c r="P360" t="str" s="10">
        <ns0:v>RC_L; E24; P при 70 °C; U ≤ min(√(P·R), Umax)</ns0:v>
      </ns0:c>
      <ns0:c r="Q360" s="10"/>
      <ns0:c r="R360" t="str" s="11">
        <ns0:f>D360</ns0:f>
        <ns0:v>560 Ом</ns0:v>
      </ns0:c>
      <ns0:c r="S360" t="str" s="11">
        <ns0:f>K360</ns0:f>
        <ns0:v>Резистор 560 Ом ±1% 0603</ns0:v>
      </ns0:c>
      <x:c xmlns:x="http://schemas.openxmlformats.org/spreadsheetml/2006/main" r="T360" t="str" s="11">
        <x:v>C:\Users\Nomatin\Documents\Altium\MY_LIB\MY_LIB\Datasheets\YAGEO_RC_L.pdf</x:v>
      </x:c>
      <x:c xmlns:x="http://schemas.openxmlformats.org/spreadsheetml/2006/main" r="U360" t="str" s="11">
        <x:v>Даташит — локальный</x:v>
      </x:c>
      <x:c xmlns:x="http://schemas.openxmlformats.org/spreadsheetml/2006/main" r="V360" t="str" s="11">
        <x:v>C:\Users\Nomatin\Documents\Altium\MY_LIB\MY_LIB\Datasheets\YAGEO_RC_L.pdf</x:v>
      </x:c>
      <x:c xmlns:x="http://schemas.openxmlformats.org/spreadsheetml/2006/main" r="W360" t="str" s="11">
        <x:v>Даташит — производитель</x:v>
      </x:c>
      <x:c xmlns:x="http://schemas.openxmlformats.org/spreadsheetml/2006/main" r="X360" t="str" s="11">
        <x:v>https://yageogroup.com/content/datasheet/asset/file/PYU-RC_GROUP_51_ROHS_L</x:v>
      </x:c>
      <x:c xmlns:x="http://schemas.openxmlformats.org/spreadsheetml/2006/main" r="Y360" t="str" s="11">
        <x:v>C:\Users\Nomatin\Documents\Altium\MY_LIB\MY_LIB\Datasheets\YAGEO_RC_L.pdf</x:v>
      </x:c>
    </ns0:row>
    <ns0:row xmlns:ns0="http://schemas.openxmlformats.org/spreadsheetml/2006/main" r="361" ht="30" customHeight="1">
      <ns0:c r="A361" t="str" s="10">
        <ns0:v>R0367</ns0:v>
      </ns0:c>
      <ns0:c r="B361" t="str" s="10">
        <ns0:v>Резистор</ns0:v>
      </ns0:c>
      <ns0:c r="C361" t="str" s="10">
        <ns0:v>620R</ns0:v>
      </ns0:c>
      <ns0:c r="D361" t="str" s="11">
        <ns0:f>SUBSTITUTE(SUBSTITUTE(SUBSTITUTE(SUBSTITUTE(C361,"meg"," МОм"),"k"," кОм"),"R"," Ом"),".",",")</ns0:f>
        <ns0:v>620 Ом</ns0:v>
      </ns0:c>
      <ns0:c r="E361" t="str" s="10">
        <ns0:v>±1%</ns0:v>
      </ns0:c>
      <ns0:c r="F361" t="str" s="10">
        <ns0:v>0,1 Вт</ns0:v>
      </ns0:c>
      <ns0:c r="G361" t="str" s="10">
        <ns0:v>75 В макс.</ns0:v>
      </ns0:c>
      <ns0:c r="H361" t="str" s="12">
        <ns0:v>0603</ns0:v>
      </ns0:c>
      <ns0:c r="I361" t="str" s="10">
        <ns0:v>YAGEO</ns0:v>
      </ns0:c>
      <ns0:c r="J361" t="str" s="10">
        <ns0:v>RC0603FR-07620RL</ns0:v>
      </ns0:c>
      <ns0:c r="K361" t="str" s="11">
        <ns0:f>B361&amp;" "&amp;D361&amp;" "&amp;E361&amp;" "&amp;H361</ns0:f>
        <ns0:v>Резистор 620 Ом ±1% 0603</ns0:v>
      </ns0:c>
      <ns0:c r="L361" t="str" s="13">
        <ns0:v>R</ns0:v>
      </ns0:c>
      <ns0:c r="M361" t="str" s="13">
        <ns0:v>Symbols\MY_LIB_Resistors.SchLib</ns0:v>
      </ns0:c>
      <ns0:c r="N361" t="str" s="13">
        <ns0:v>RESC1608X55N</ns0:v>
      </ns0:c>
      <ns0:c r="O361" t="str" s="13">
        <ns0:v>Footprints\PBL - SMD Packages.PcbLib</ns0:v>
      </ns0:c>
      <ns0:c r="P361" t="str" s="10">
        <ns0:v>RC_L; E24; P при 70 °C; U ≤ min(√(P·R), Umax)</ns0:v>
      </ns0:c>
      <ns0:c r="Q361" s="10"/>
      <ns0:c r="R361" t="str" s="11">
        <ns0:f>D361</ns0:f>
        <ns0:v>620 Ом</ns0:v>
      </ns0:c>
      <ns0:c r="S361" t="str" s="11">
        <ns0:f>K361</ns0:f>
        <ns0:v>Резистор 620 Ом ±1% 0603</ns0:v>
      </ns0:c>
      <x:c xmlns:x="http://schemas.openxmlformats.org/spreadsheetml/2006/main" r="T361" t="str" s="11">
        <x:v>C:\Users\Nomatin\Documents\Altium\MY_LIB\MY_LIB\Datasheets\YAGEO_RC_L.pdf</x:v>
      </x:c>
      <x:c xmlns:x="http://schemas.openxmlformats.org/spreadsheetml/2006/main" r="U361" t="str" s="11">
        <x:v>Даташит — локальный</x:v>
      </x:c>
      <x:c xmlns:x="http://schemas.openxmlformats.org/spreadsheetml/2006/main" r="V361" t="str" s="11">
        <x:v>C:\Users\Nomatin\Documents\Altium\MY_LIB\MY_LIB\Datasheets\YAGEO_RC_L.pdf</x:v>
      </x:c>
      <x:c xmlns:x="http://schemas.openxmlformats.org/spreadsheetml/2006/main" r="W361" t="str" s="11">
        <x:v>Даташит — производитель</x:v>
      </x:c>
      <x:c xmlns:x="http://schemas.openxmlformats.org/spreadsheetml/2006/main" r="X361" t="str" s="11">
        <x:v>https://yageogroup.com/content/datasheet/asset/file/PYU-RC_GROUP_51_ROHS_L</x:v>
      </x:c>
      <x:c xmlns:x="http://schemas.openxmlformats.org/spreadsheetml/2006/main" r="Y361" t="str" s="11">
        <x:v>C:\Users\Nomatin\Documents\Altium\MY_LIB\MY_LIB\Datasheets\YAGEO_RC_L.pdf</x:v>
      </x:c>
    </ns0:row>
    <ns0:row xmlns:ns0="http://schemas.openxmlformats.org/spreadsheetml/2006/main" r="362" ht="30" customHeight="1">
      <ns0:c r="A362" t="str" s="10">
        <ns0:v>R0368</ns0:v>
      </ns0:c>
      <ns0:c r="B362" t="str" s="10">
        <ns0:v>Резистор</ns0:v>
      </ns0:c>
      <ns0:c r="C362" t="str" s="10">
        <ns0:v>680R</ns0:v>
      </ns0:c>
      <ns0:c r="D362" t="str" s="11">
        <ns0:f>SUBSTITUTE(SUBSTITUTE(SUBSTITUTE(SUBSTITUTE(C362,"meg"," МОм"),"k"," кОм"),"R"," Ом"),".",",")</ns0:f>
        <ns0:v>680 Ом</ns0:v>
      </ns0:c>
      <ns0:c r="E362" t="str" s="10">
        <ns0:v>±1%</ns0:v>
      </ns0:c>
      <ns0:c r="F362" t="str" s="10">
        <ns0:v>0,1 Вт</ns0:v>
      </ns0:c>
      <ns0:c r="G362" t="str" s="10">
        <ns0:v>75 В макс.</ns0:v>
      </ns0:c>
      <ns0:c r="H362" t="str" s="12">
        <ns0:v>0603</ns0:v>
      </ns0:c>
      <ns0:c r="I362" t="str" s="10">
        <ns0:v>YAGEO</ns0:v>
      </ns0:c>
      <ns0:c r="J362" t="str" s="10">
        <ns0:v>RC0603FR-07680RL</ns0:v>
      </ns0:c>
      <ns0:c r="K362" t="str" s="11">
        <ns0:f>B362&amp;" "&amp;D362&amp;" "&amp;E362&amp;" "&amp;H362</ns0:f>
        <ns0:v>Резистор 680 Ом ±1% 0603</ns0:v>
      </ns0:c>
      <ns0:c r="L362" t="str" s="13">
        <ns0:v>R</ns0:v>
      </ns0:c>
      <ns0:c r="M362" t="str" s="13">
        <ns0:v>Symbols\MY_LIB_Resistors.SchLib</ns0:v>
      </ns0:c>
      <ns0:c r="N362" t="str" s="13">
        <ns0:v>RESC1608X55N</ns0:v>
      </ns0:c>
      <ns0:c r="O362" t="str" s="13">
        <ns0:v>Footprints\PBL - SMD Packages.PcbLib</ns0:v>
      </ns0:c>
      <ns0:c r="P362" t="str" s="10">
        <ns0:v>RC_L; E24; P при 70 °C; U ≤ min(√(P·R), Umax)</ns0:v>
      </ns0:c>
      <ns0:c r="Q362" s="10"/>
      <ns0:c r="R362" t="str" s="11">
        <ns0:f>D362</ns0:f>
        <ns0:v>680 Ом</ns0:v>
      </ns0:c>
      <ns0:c r="S362" t="str" s="11">
        <ns0:f>K362</ns0:f>
        <ns0:v>Резистор 680 Ом ±1% 0603</ns0:v>
      </ns0:c>
      <x:c xmlns:x="http://schemas.openxmlformats.org/spreadsheetml/2006/main" r="T362" t="str" s="11">
        <x:v>C:\Users\Nomatin\Documents\Altium\MY_LIB\MY_LIB\Datasheets\YAGEO_RC_L.pdf</x:v>
      </x:c>
      <x:c xmlns:x="http://schemas.openxmlformats.org/spreadsheetml/2006/main" r="U362" t="str" s="11">
        <x:v>Даташит — локальный</x:v>
      </x:c>
      <x:c xmlns:x="http://schemas.openxmlformats.org/spreadsheetml/2006/main" r="V362" t="str" s="11">
        <x:v>C:\Users\Nomatin\Documents\Altium\MY_LIB\MY_LIB\Datasheets\YAGEO_RC_L.pdf</x:v>
      </x:c>
      <x:c xmlns:x="http://schemas.openxmlformats.org/spreadsheetml/2006/main" r="W362" t="str" s="11">
        <x:v>Даташит — производитель</x:v>
      </x:c>
      <x:c xmlns:x="http://schemas.openxmlformats.org/spreadsheetml/2006/main" r="X362" t="str" s="11">
        <x:v>https://yageogroup.com/content/datasheet/asset/file/PYU-RC_GROUP_51_ROHS_L</x:v>
      </x:c>
      <x:c xmlns:x="http://schemas.openxmlformats.org/spreadsheetml/2006/main" r="Y362" t="str" s="11">
        <x:v>C:\Users\Nomatin\Documents\Altium\MY_LIB\MY_LIB\Datasheets\YAGEO_RC_L.pdf</x:v>
      </x:c>
    </ns0:row>
    <ns0:row xmlns:ns0="http://schemas.openxmlformats.org/spreadsheetml/2006/main" r="363" ht="30" customHeight="1">
      <ns0:c r="A363" t="str" s="10">
        <ns0:v>R0369</ns0:v>
      </ns0:c>
      <ns0:c r="B363" t="str" s="10">
        <ns0:v>Резистор</ns0:v>
      </ns0:c>
      <ns0:c r="C363" t="str" s="10">
        <ns0:v>750R</ns0:v>
      </ns0:c>
      <ns0:c r="D363" t="str" s="11">
        <ns0:f>SUBSTITUTE(SUBSTITUTE(SUBSTITUTE(SUBSTITUTE(C363,"meg"," МОм"),"k"," кОм"),"R"," Ом"),".",",")</ns0:f>
        <ns0:v>750 Ом</ns0:v>
      </ns0:c>
      <ns0:c r="E363" t="str" s="10">
        <ns0:v>±1%</ns0:v>
      </ns0:c>
      <ns0:c r="F363" t="str" s="10">
        <ns0:v>0,1 Вт</ns0:v>
      </ns0:c>
      <ns0:c r="G363" t="str" s="10">
        <ns0:v>75 В макс.</ns0:v>
      </ns0:c>
      <ns0:c r="H363" t="str" s="12">
        <ns0:v>0603</ns0:v>
      </ns0:c>
      <ns0:c r="I363" t="str" s="10">
        <ns0:v>YAGEO</ns0:v>
      </ns0:c>
      <ns0:c r="J363" t="str" s="10">
        <ns0:v>RC0603FR-07750RL</ns0:v>
      </ns0:c>
      <ns0:c r="K363" t="str" s="11">
        <ns0:f>B363&amp;" "&amp;D363&amp;" "&amp;E363&amp;" "&amp;H363</ns0:f>
        <ns0:v>Резистор 750 Ом ±1% 0603</ns0:v>
      </ns0:c>
      <ns0:c r="L363" t="str" s="13">
        <ns0:v>R</ns0:v>
      </ns0:c>
      <ns0:c r="M363" t="str" s="13">
        <ns0:v>Symbols\MY_LIB_Resistors.SchLib</ns0:v>
      </ns0:c>
      <ns0:c r="N363" t="str" s="13">
        <ns0:v>RESC1608X55N</ns0:v>
      </ns0:c>
      <ns0:c r="O363" t="str" s="13">
        <ns0:v>Footprints\PBL - SMD Packages.PcbLib</ns0:v>
      </ns0:c>
      <ns0:c r="P363" t="str" s="10">
        <ns0:v>RC_L; E24; P при 70 °C; U ≤ min(√(P·R), Umax)</ns0:v>
      </ns0:c>
      <ns0:c r="Q363" s="10"/>
      <ns0:c r="R363" t="str" s="11">
        <ns0:f>D363</ns0:f>
        <ns0:v>750 Ом</ns0:v>
      </ns0:c>
      <ns0:c r="S363" t="str" s="11">
        <ns0:f>K363</ns0:f>
        <ns0:v>Резистор 750 Ом ±1% 0603</ns0:v>
      </ns0:c>
      <x:c xmlns:x="http://schemas.openxmlformats.org/spreadsheetml/2006/main" r="T363" t="str" s="11">
        <x:v>C:\Users\Nomatin\Documents\Altium\MY_LIB\MY_LIB\Datasheets\YAGEO_RC_L.pdf</x:v>
      </x:c>
      <x:c xmlns:x="http://schemas.openxmlformats.org/spreadsheetml/2006/main" r="U363" t="str" s="11">
        <x:v>Даташит — локальный</x:v>
      </x:c>
      <x:c xmlns:x="http://schemas.openxmlformats.org/spreadsheetml/2006/main" r="V363" t="str" s="11">
        <x:v>C:\Users\Nomatin\Documents\Altium\MY_LIB\MY_LIB\Datasheets\YAGEO_RC_L.pdf</x:v>
      </x:c>
      <x:c xmlns:x="http://schemas.openxmlformats.org/spreadsheetml/2006/main" r="W363" t="str" s="11">
        <x:v>Даташит — производитель</x:v>
      </x:c>
      <x:c xmlns:x="http://schemas.openxmlformats.org/spreadsheetml/2006/main" r="X363" t="str" s="11">
        <x:v>https://yageogroup.com/content/datasheet/asset/file/PYU-RC_GROUP_51_ROHS_L</x:v>
      </x:c>
      <x:c xmlns:x="http://schemas.openxmlformats.org/spreadsheetml/2006/main" r="Y363" t="str" s="11">
        <x:v>C:\Users\Nomatin\Documents\Altium\MY_LIB\MY_LIB\Datasheets\YAGEO_RC_L.pdf</x:v>
      </x:c>
    </ns0:row>
    <ns0:row xmlns:ns0="http://schemas.openxmlformats.org/spreadsheetml/2006/main" r="364" ht="30" customHeight="1">
      <ns0:c r="A364" t="str" s="10">
        <ns0:v>R0370</ns0:v>
      </ns0:c>
      <ns0:c r="B364" t="str" s="10">
        <ns0:v>Резистор</ns0:v>
      </ns0:c>
      <ns0:c r="C364" t="str" s="10">
        <ns0:v>820R</ns0:v>
      </ns0:c>
      <ns0:c r="D364" t="str" s="11">
        <ns0:f>SUBSTITUTE(SUBSTITUTE(SUBSTITUTE(SUBSTITUTE(C364,"meg"," МОм"),"k"," кОм"),"R"," Ом"),".",",")</ns0:f>
        <ns0:v>820 Ом</ns0:v>
      </ns0:c>
      <ns0:c r="E364" t="str" s="10">
        <ns0:v>±1%</ns0:v>
      </ns0:c>
      <ns0:c r="F364" t="str" s="10">
        <ns0:v>0,1 Вт</ns0:v>
      </ns0:c>
      <ns0:c r="G364" t="str" s="10">
        <ns0:v>75 В макс.</ns0:v>
      </ns0:c>
      <ns0:c r="H364" t="str" s="12">
        <ns0:v>0603</ns0:v>
      </ns0:c>
      <ns0:c r="I364" t="str" s="10">
        <ns0:v>YAGEO</ns0:v>
      </ns0:c>
      <ns0:c r="J364" t="str" s="10">
        <ns0:v>RC0603FR-07820RL</ns0:v>
      </ns0:c>
      <ns0:c r="K364" t="str" s="11">
        <ns0:f>B364&amp;" "&amp;D364&amp;" "&amp;E364&amp;" "&amp;H364</ns0:f>
        <ns0:v>Резистор 820 Ом ±1% 0603</ns0:v>
      </ns0:c>
      <ns0:c r="L364" t="str" s="13">
        <ns0:v>R</ns0:v>
      </ns0:c>
      <ns0:c r="M364" t="str" s="13">
        <ns0:v>Symbols\MY_LIB_Resistors.SchLib</ns0:v>
      </ns0:c>
      <ns0:c r="N364" t="str" s="13">
        <ns0:v>RESC1608X55N</ns0:v>
      </ns0:c>
      <ns0:c r="O364" t="str" s="13">
        <ns0:v>Footprints\PBL - SMD Packages.PcbLib</ns0:v>
      </ns0:c>
      <ns0:c r="P364" t="str" s="10">
        <ns0:v>RC_L; E24; P при 70 °C; U ≤ min(√(P·R), Umax)</ns0:v>
      </ns0:c>
      <ns0:c r="Q364" s="10"/>
      <ns0:c r="R364" t="str" s="11">
        <ns0:f>D364</ns0:f>
        <ns0:v>820 Ом</ns0:v>
      </ns0:c>
      <ns0:c r="S364" t="str" s="11">
        <ns0:f>K364</ns0:f>
        <ns0:v>Резистор 820 Ом ±1% 0603</ns0:v>
      </ns0:c>
      <x:c xmlns:x="http://schemas.openxmlformats.org/spreadsheetml/2006/main" r="T364" t="str" s="11">
        <x:v>C:\Users\Nomatin\Documents\Altium\MY_LIB\MY_LIB\Datasheets\YAGEO_RC_L.pdf</x:v>
      </x:c>
      <x:c xmlns:x="http://schemas.openxmlformats.org/spreadsheetml/2006/main" r="U364" t="str" s="11">
        <x:v>Даташит — локальный</x:v>
      </x:c>
      <x:c xmlns:x="http://schemas.openxmlformats.org/spreadsheetml/2006/main" r="V364" t="str" s="11">
        <x:v>C:\Users\Nomatin\Documents\Altium\MY_LIB\MY_LIB\Datasheets\YAGEO_RC_L.pdf</x:v>
      </x:c>
      <x:c xmlns:x="http://schemas.openxmlformats.org/spreadsheetml/2006/main" r="W364" t="str" s="11">
        <x:v>Даташит — производитель</x:v>
      </x:c>
      <x:c xmlns:x="http://schemas.openxmlformats.org/spreadsheetml/2006/main" r="X364" t="str" s="11">
        <x:v>https://yageogroup.com/content/datasheet/asset/file/PYU-RC_GROUP_51_ROHS_L</x:v>
      </x:c>
      <x:c xmlns:x="http://schemas.openxmlformats.org/spreadsheetml/2006/main" r="Y364" t="str" s="11">
        <x:v>C:\Users\Nomatin\Documents\Altium\MY_LIB\MY_LIB\Datasheets\YAGEO_RC_L.pdf</x:v>
      </x:c>
    </ns0:row>
    <ns0:row xmlns:ns0="http://schemas.openxmlformats.org/spreadsheetml/2006/main" r="365" ht="30" customHeight="1">
      <ns0:c r="A365" t="str" s="10">
        <ns0:v>R0371</ns0:v>
      </ns0:c>
      <ns0:c r="B365" t="str" s="10">
        <ns0:v>Резистор</ns0:v>
      </ns0:c>
      <ns0:c r="C365" t="str" s="10">
        <ns0:v>910R</ns0:v>
      </ns0:c>
      <ns0:c r="D365" t="str" s="11">
        <ns0:f>SUBSTITUTE(SUBSTITUTE(SUBSTITUTE(SUBSTITUTE(C365,"meg"," МОм"),"k"," кОм"),"R"," Ом"),".",",")</ns0:f>
        <ns0:v>910 Ом</ns0:v>
      </ns0:c>
      <ns0:c r="E365" t="str" s="10">
        <ns0:v>±1%</ns0:v>
      </ns0:c>
      <ns0:c r="F365" t="str" s="10">
        <ns0:v>0,1 Вт</ns0:v>
      </ns0:c>
      <ns0:c r="G365" t="str" s="10">
        <ns0:v>75 В макс.</ns0:v>
      </ns0:c>
      <ns0:c r="H365" t="str" s="12">
        <ns0:v>0603</ns0:v>
      </ns0:c>
      <ns0:c r="I365" t="str" s="10">
        <ns0:v>YAGEO</ns0:v>
      </ns0:c>
      <ns0:c r="J365" t="str" s="10">
        <ns0:v>RC0603FR-07910RL</ns0:v>
      </ns0:c>
      <ns0:c r="K365" t="str" s="11">
        <ns0:f>B365&amp;" "&amp;D365&amp;" "&amp;E365&amp;" "&amp;H365</ns0:f>
        <ns0:v>Резистор 910 Ом ±1% 0603</ns0:v>
      </ns0:c>
      <ns0:c r="L365" t="str" s="13">
        <ns0:v>R</ns0:v>
      </ns0:c>
      <ns0:c r="M365" t="str" s="13">
        <ns0:v>Symbols\MY_LIB_Resistors.SchLib</ns0:v>
      </ns0:c>
      <ns0:c r="N365" t="str" s="13">
        <ns0:v>RESC1608X55N</ns0:v>
      </ns0:c>
      <ns0:c r="O365" t="str" s="13">
        <ns0:v>Footprints\PBL - SMD Packages.PcbLib</ns0:v>
      </ns0:c>
      <ns0:c r="P365" t="str" s="10">
        <ns0:v>RC_L; E24; P при 70 °C; U ≤ min(√(P·R), Umax)</ns0:v>
      </ns0:c>
      <ns0:c r="Q365" s="10"/>
      <ns0:c r="R365" t="str" s="11">
        <ns0:f>D365</ns0:f>
        <ns0:v>910 Ом</ns0:v>
      </ns0:c>
      <ns0:c r="S365" t="str" s="11">
        <ns0:f>K365</ns0:f>
        <ns0:v>Резистор 910 Ом ±1% 0603</ns0:v>
      </ns0:c>
      <x:c xmlns:x="http://schemas.openxmlformats.org/spreadsheetml/2006/main" r="T365" t="str" s="11">
        <x:v>C:\Users\Nomatin\Documents\Altium\MY_LIB\MY_LIB\Datasheets\YAGEO_RC_L.pdf</x:v>
      </x:c>
      <x:c xmlns:x="http://schemas.openxmlformats.org/spreadsheetml/2006/main" r="U365" t="str" s="11">
        <x:v>Даташит — локальный</x:v>
      </x:c>
      <x:c xmlns:x="http://schemas.openxmlformats.org/spreadsheetml/2006/main" r="V365" t="str" s="11">
        <x:v>C:\Users\Nomatin\Documents\Altium\MY_LIB\MY_LIB\Datasheets\YAGEO_RC_L.pdf</x:v>
      </x:c>
      <x:c xmlns:x="http://schemas.openxmlformats.org/spreadsheetml/2006/main" r="W365" t="str" s="11">
        <x:v>Даташит — производитель</x:v>
      </x:c>
      <x:c xmlns:x="http://schemas.openxmlformats.org/spreadsheetml/2006/main" r="X365" t="str" s="11">
        <x:v>https://yageogroup.com/content/datasheet/asset/file/PYU-RC_GROUP_51_ROHS_L</x:v>
      </x:c>
      <x:c xmlns:x="http://schemas.openxmlformats.org/spreadsheetml/2006/main" r="Y365" t="str" s="11">
        <x:v>C:\Users\Nomatin\Documents\Altium\MY_LIB\MY_LIB\Datasheets\YAGEO_RC_L.pdf</x:v>
      </x:c>
    </ns0:row>
    <ns0:row xmlns:ns0="http://schemas.openxmlformats.org/spreadsheetml/2006/main" r="366" ht="30" customHeight="1">
      <ns0:c r="A366" t="str" s="10">
        <ns0:v>R0372</ns0:v>
      </ns0:c>
      <ns0:c r="B366" t="str" s="10">
        <ns0:v>Резистор</ns0:v>
      </ns0:c>
      <ns0:c r="C366" t="str" s="10">
        <ns0:v>1k</ns0:v>
      </ns0:c>
      <ns0:c r="D366" t="str" s="11">
        <ns0:f>SUBSTITUTE(SUBSTITUTE(SUBSTITUTE(SUBSTITUTE(C366,"meg"," МОм"),"k"," кОм"),"R"," Ом"),".",",")</ns0:f>
        <ns0:v>1 кОм</ns0:v>
      </ns0:c>
      <ns0:c r="E366" t="str" s="10">
        <ns0:v>±1%</ns0:v>
      </ns0:c>
      <ns0:c r="F366" t="str" s="10">
        <ns0:v>0,1 Вт</ns0:v>
      </ns0:c>
      <ns0:c r="G366" t="str" s="10">
        <ns0:v>75 В макс.</ns0:v>
      </ns0:c>
      <ns0:c r="H366" t="str" s="12">
        <ns0:v>0603</ns0:v>
      </ns0:c>
      <ns0:c r="I366" t="str" s="10">
        <ns0:v>YAGEO</ns0:v>
      </ns0:c>
      <ns0:c r="J366" t="str" s="10">
        <ns0:v>RC0603FR-071KL</ns0:v>
      </ns0:c>
      <ns0:c r="K366" t="str" s="11">
        <ns0:f>B366&amp;" "&amp;D366&amp;" "&amp;E366&amp;" "&amp;H366</ns0:f>
        <ns0:v>Резистор 1 кОм ±1% 0603</ns0:v>
      </ns0:c>
      <ns0:c r="L366" t="str" s="13">
        <ns0:v>R</ns0:v>
      </ns0:c>
      <ns0:c r="M366" t="str" s="13">
        <ns0:v>Symbols\MY_LIB_Resistors.SchLib</ns0:v>
      </ns0:c>
      <ns0:c r="N366" t="str" s="13">
        <ns0:v>RESC1608X55N</ns0:v>
      </ns0:c>
      <ns0:c r="O366" t="str" s="13">
        <ns0:v>Footprints\PBL - SMD Packages.PcbLib</ns0:v>
      </ns0:c>
      <ns0:c r="P366" t="str" s="10">
        <ns0:v>RC_L; E24; P при 70 °C; U ≤ min(√(P·R), Umax)</ns0:v>
      </ns0:c>
      <ns0:c r="Q366" s="10"/>
      <ns0:c r="R366" t="str" s="11">
        <ns0:f>D366</ns0:f>
        <ns0:v>1 кОм</ns0:v>
      </ns0:c>
      <ns0:c r="S366" t="str" s="11">
        <ns0:f>K366</ns0:f>
        <ns0:v>Резистор 1 кОм ±1% 0603</ns0:v>
      </ns0:c>
      <x:c xmlns:x="http://schemas.openxmlformats.org/spreadsheetml/2006/main" r="T366" t="str" s="11">
        <x:v>C:\Users\Nomatin\Documents\Altium\MY_LIB\MY_LIB\Datasheets\YAGEO_RC_L.pdf</x:v>
      </x:c>
      <x:c xmlns:x="http://schemas.openxmlformats.org/spreadsheetml/2006/main" r="U366" t="str" s="11">
        <x:v>Даташит — локальный</x:v>
      </x:c>
      <x:c xmlns:x="http://schemas.openxmlformats.org/spreadsheetml/2006/main" r="V366" t="str" s="11">
        <x:v>C:\Users\Nomatin\Documents\Altium\MY_LIB\MY_LIB\Datasheets\YAGEO_RC_L.pdf</x:v>
      </x:c>
      <x:c xmlns:x="http://schemas.openxmlformats.org/spreadsheetml/2006/main" r="W366" t="str" s="11">
        <x:v>Даташит — производитель</x:v>
      </x:c>
      <x:c xmlns:x="http://schemas.openxmlformats.org/spreadsheetml/2006/main" r="X366" t="str" s="11">
        <x:v>https://yageogroup.com/content/datasheet/asset/file/PYU-RC_GROUP_51_ROHS_L</x:v>
      </x:c>
      <x:c xmlns:x="http://schemas.openxmlformats.org/spreadsheetml/2006/main" r="Y366" t="str" s="11">
        <x:v>C:\Users\Nomatin\Documents\Altium\MY_LIB\MY_LIB\Datasheets\YAGEO_RC_L.pdf</x:v>
      </x:c>
    </ns0:row>
    <ns0:row xmlns:ns0="http://schemas.openxmlformats.org/spreadsheetml/2006/main" r="367" ht="30" customHeight="1">
      <ns0:c r="A367" t="str" s="10">
        <ns0:v>R0373</ns0:v>
      </ns0:c>
      <ns0:c r="B367" t="str" s="10">
        <ns0:v>Резистор</ns0:v>
      </ns0:c>
      <ns0:c r="C367" t="str" s="10">
        <ns0:v>1.1k</ns0:v>
      </ns0:c>
      <ns0:c r="D367" t="str" s="11">
        <ns0:f>SUBSTITUTE(SUBSTITUTE(SUBSTITUTE(SUBSTITUTE(C367,"meg"," МОм"),"k"," кОм"),"R"," Ом"),".",",")</ns0:f>
        <ns0:v>1,1 кОм</ns0:v>
      </ns0:c>
      <ns0:c r="E367" t="str" s="10">
        <ns0:v>±1%</ns0:v>
      </ns0:c>
      <ns0:c r="F367" t="str" s="10">
        <ns0:v>0,1 Вт</ns0:v>
      </ns0:c>
      <ns0:c r="G367" t="str" s="10">
        <ns0:v>75 В макс.</ns0:v>
      </ns0:c>
      <ns0:c r="H367" t="str" s="12">
        <ns0:v>0603</ns0:v>
      </ns0:c>
      <ns0:c r="I367" t="str" s="10">
        <ns0:v>YAGEO</ns0:v>
      </ns0:c>
      <ns0:c r="J367" t="str" s="10">
        <ns0:v>RC0603FR-071K1L</ns0:v>
      </ns0:c>
      <ns0:c r="K367" t="str" s="11">
        <ns0:f>B367&amp;" "&amp;D367&amp;" "&amp;E367&amp;" "&amp;H367</ns0:f>
        <ns0:v>Резистор 1,1 кОм ±1% 0603</ns0:v>
      </ns0:c>
      <ns0:c r="L367" t="str" s="13">
        <ns0:v>R</ns0:v>
      </ns0:c>
      <ns0:c r="M367" t="str" s="13">
        <ns0:v>Symbols\MY_LIB_Resistors.SchLib</ns0:v>
      </ns0:c>
      <ns0:c r="N367" t="str" s="13">
        <ns0:v>RESC1608X55N</ns0:v>
      </ns0:c>
      <ns0:c r="O367" t="str" s="13">
        <ns0:v>Footprints\PBL - SMD Packages.PcbLib</ns0:v>
      </ns0:c>
      <ns0:c r="P367" t="str" s="10">
        <ns0:v>RC_L; E24; P при 70 °C; U ≤ min(√(P·R), Umax)</ns0:v>
      </ns0:c>
      <ns0:c r="Q367" s="10"/>
      <ns0:c r="R367" t="str" s="11">
        <ns0:f>D367</ns0:f>
        <ns0:v>1,1 кОм</ns0:v>
      </ns0:c>
      <ns0:c r="S367" t="str" s="11">
        <ns0:f>K367</ns0:f>
        <ns0:v>Резистор 1,1 кОм ±1% 0603</ns0:v>
      </ns0:c>
      <x:c xmlns:x="http://schemas.openxmlformats.org/spreadsheetml/2006/main" r="T367" t="str" s="11">
        <x:v>C:\Users\Nomatin\Documents\Altium\MY_LIB\MY_LIB\Datasheets\YAGEO_RC_L.pdf</x:v>
      </x:c>
      <x:c xmlns:x="http://schemas.openxmlformats.org/spreadsheetml/2006/main" r="U367" t="str" s="11">
        <x:v>Даташит — локальный</x:v>
      </x:c>
      <x:c xmlns:x="http://schemas.openxmlformats.org/spreadsheetml/2006/main" r="V367" t="str" s="11">
        <x:v>C:\Users\Nomatin\Documents\Altium\MY_LIB\MY_LIB\Datasheets\YAGEO_RC_L.pdf</x:v>
      </x:c>
      <x:c xmlns:x="http://schemas.openxmlformats.org/spreadsheetml/2006/main" r="W367" t="str" s="11">
        <x:v>Даташит — производитель</x:v>
      </x:c>
      <x:c xmlns:x="http://schemas.openxmlformats.org/spreadsheetml/2006/main" r="X367" t="str" s="11">
        <x:v>https://yageogroup.com/content/datasheet/asset/file/PYU-RC_GROUP_51_ROHS_L</x:v>
      </x:c>
      <x:c xmlns:x="http://schemas.openxmlformats.org/spreadsheetml/2006/main" r="Y367" t="str" s="11">
        <x:v>C:\Users\Nomatin\Documents\Altium\MY_LIB\MY_LIB\Datasheets\YAGEO_RC_L.pdf</x:v>
      </x:c>
    </ns0:row>
    <ns0:row xmlns:ns0="http://schemas.openxmlformats.org/spreadsheetml/2006/main" r="368" ht="30" customHeight="1">
      <ns0:c r="A368" t="str" s="10">
        <ns0:v>R0374</ns0:v>
      </ns0:c>
      <ns0:c r="B368" t="str" s="10">
        <ns0:v>Резистор</ns0:v>
      </ns0:c>
      <ns0:c r="C368" t="str" s="10">
        <ns0:v>1.2k</ns0:v>
      </ns0:c>
      <ns0:c r="D368" t="str" s="11">
        <ns0:f>SUBSTITUTE(SUBSTITUTE(SUBSTITUTE(SUBSTITUTE(C368,"meg"," МОм"),"k"," кОм"),"R"," Ом"),".",",")</ns0:f>
        <ns0:v>1,2 кОм</ns0:v>
      </ns0:c>
      <ns0:c r="E368" t="str" s="10">
        <ns0:v>±1%</ns0:v>
      </ns0:c>
      <ns0:c r="F368" t="str" s="10">
        <ns0:v>0,1 Вт</ns0:v>
      </ns0:c>
      <ns0:c r="G368" t="str" s="10">
        <ns0:v>75 В макс.</ns0:v>
      </ns0:c>
      <ns0:c r="H368" t="str" s="12">
        <ns0:v>0603</ns0:v>
      </ns0:c>
      <ns0:c r="I368" t="str" s="10">
        <ns0:v>YAGEO</ns0:v>
      </ns0:c>
      <ns0:c r="J368" t="str" s="10">
        <ns0:v>RC0603FR-071K2L</ns0:v>
      </ns0:c>
      <ns0:c r="K368" t="str" s="11">
        <ns0:f>B368&amp;" "&amp;D368&amp;" "&amp;E368&amp;" "&amp;H368</ns0:f>
        <ns0:v>Резистор 1,2 кОм ±1% 0603</ns0:v>
      </ns0:c>
      <ns0:c r="L368" t="str" s="13">
        <ns0:v>R</ns0:v>
      </ns0:c>
      <ns0:c r="M368" t="str" s="13">
        <ns0:v>Symbols\MY_LIB_Resistors.SchLib</ns0:v>
      </ns0:c>
      <ns0:c r="N368" t="str" s="13">
        <ns0:v>RESC1608X55N</ns0:v>
      </ns0:c>
      <ns0:c r="O368" t="str" s="13">
        <ns0:v>Footprints\PBL - SMD Packages.PcbLib</ns0:v>
      </ns0:c>
      <ns0:c r="P368" t="str" s="10">
        <ns0:v>RC_L; E24; P при 70 °C; U ≤ min(√(P·R), Umax)</ns0:v>
      </ns0:c>
      <ns0:c r="Q368" s="10"/>
      <ns0:c r="R368" t="str" s="11">
        <ns0:f>D368</ns0:f>
        <ns0:v>1,2 кОм</ns0:v>
      </ns0:c>
      <ns0:c r="S368" t="str" s="11">
        <ns0:f>K368</ns0:f>
        <ns0:v>Резистор 1,2 кОм ±1% 0603</ns0:v>
      </ns0:c>
      <x:c xmlns:x="http://schemas.openxmlformats.org/spreadsheetml/2006/main" r="T368" t="str" s="11">
        <x:v>C:\Users\Nomatin\Documents\Altium\MY_LIB\MY_LIB\Datasheets\YAGEO_RC_L.pdf</x:v>
      </x:c>
      <x:c xmlns:x="http://schemas.openxmlformats.org/spreadsheetml/2006/main" r="U368" t="str" s="11">
        <x:v>Даташит — локальный</x:v>
      </x:c>
      <x:c xmlns:x="http://schemas.openxmlformats.org/spreadsheetml/2006/main" r="V368" t="str" s="11">
        <x:v>C:\Users\Nomatin\Documents\Altium\MY_LIB\MY_LIB\Datasheets\YAGEO_RC_L.pdf</x:v>
      </x:c>
      <x:c xmlns:x="http://schemas.openxmlformats.org/spreadsheetml/2006/main" r="W368" t="str" s="11">
        <x:v>Даташит — производитель</x:v>
      </x:c>
      <x:c xmlns:x="http://schemas.openxmlformats.org/spreadsheetml/2006/main" r="X368" t="str" s="11">
        <x:v>https://yageogroup.com/content/datasheet/asset/file/PYU-RC_GROUP_51_ROHS_L</x:v>
      </x:c>
      <x:c xmlns:x="http://schemas.openxmlformats.org/spreadsheetml/2006/main" r="Y368" t="str" s="11">
        <x:v>C:\Users\Nomatin\Documents\Altium\MY_LIB\MY_LIB\Datasheets\YAGEO_RC_L.pdf</x:v>
      </x:c>
    </ns0:row>
    <ns0:row xmlns:ns0="http://schemas.openxmlformats.org/spreadsheetml/2006/main" r="369" ht="30" customHeight="1">
      <ns0:c r="A369" t="str" s="10">
        <ns0:v>R0375</ns0:v>
      </ns0:c>
      <ns0:c r="B369" t="str" s="10">
        <ns0:v>Резистор</ns0:v>
      </ns0:c>
      <ns0:c r="C369" t="str" s="10">
        <ns0:v>1.3k</ns0:v>
      </ns0:c>
      <ns0:c r="D369" t="str" s="11">
        <ns0:f>SUBSTITUTE(SUBSTITUTE(SUBSTITUTE(SUBSTITUTE(C369,"meg"," МОм"),"k"," кОм"),"R"," Ом"),".",",")</ns0:f>
        <ns0:v>1,3 кОм</ns0:v>
      </ns0:c>
      <ns0:c r="E369" t="str" s="10">
        <ns0:v>±1%</ns0:v>
      </ns0:c>
      <ns0:c r="F369" t="str" s="10">
        <ns0:v>0,1 Вт</ns0:v>
      </ns0:c>
      <ns0:c r="G369" t="str" s="10">
        <ns0:v>75 В макс.</ns0:v>
      </ns0:c>
      <ns0:c r="H369" t="str" s="12">
        <ns0:v>0603</ns0:v>
      </ns0:c>
      <ns0:c r="I369" t="str" s="10">
        <ns0:v>YAGEO</ns0:v>
      </ns0:c>
      <ns0:c r="J369" t="str" s="10">
        <ns0:v>RC0603FR-071K3L</ns0:v>
      </ns0:c>
      <ns0:c r="K369" t="str" s="11">
        <ns0:f>B369&amp;" "&amp;D369&amp;" "&amp;E369&amp;" "&amp;H369</ns0:f>
        <ns0:v>Резистор 1,3 кОм ±1% 0603</ns0:v>
      </ns0:c>
      <ns0:c r="L369" t="str" s="13">
        <ns0:v>R</ns0:v>
      </ns0:c>
      <ns0:c r="M369" t="str" s="13">
        <ns0:v>Symbols\MY_LIB_Resistors.SchLib</ns0:v>
      </ns0:c>
      <ns0:c r="N369" t="str" s="13">
        <ns0:v>RESC1608X55N</ns0:v>
      </ns0:c>
      <ns0:c r="O369" t="str" s="13">
        <ns0:v>Footprints\PBL - SMD Packages.PcbLib</ns0:v>
      </ns0:c>
      <ns0:c r="P369" t="str" s="10">
        <ns0:v>RC_L; E24; P при 70 °C; U ≤ min(√(P·R), Umax)</ns0:v>
      </ns0:c>
      <ns0:c r="Q369" s="10"/>
      <ns0:c r="R369" t="str" s="11">
        <ns0:f>D369</ns0:f>
        <ns0:v>1,3 кОм</ns0:v>
      </ns0:c>
      <ns0:c r="S369" t="str" s="11">
        <ns0:f>K369</ns0:f>
        <ns0:v>Резистор 1,3 кОм ±1% 0603</ns0:v>
      </ns0:c>
      <x:c xmlns:x="http://schemas.openxmlformats.org/spreadsheetml/2006/main" r="T369" t="str" s="11">
        <x:v>C:\Users\Nomatin\Documents\Altium\MY_LIB\MY_LIB\Datasheets\YAGEO_RC_L.pdf</x:v>
      </x:c>
      <x:c xmlns:x="http://schemas.openxmlformats.org/spreadsheetml/2006/main" r="U369" t="str" s="11">
        <x:v>Даташит — локальный</x:v>
      </x:c>
      <x:c xmlns:x="http://schemas.openxmlformats.org/spreadsheetml/2006/main" r="V369" t="str" s="11">
        <x:v>C:\Users\Nomatin\Documents\Altium\MY_LIB\MY_LIB\Datasheets\YAGEO_RC_L.pdf</x:v>
      </x:c>
      <x:c xmlns:x="http://schemas.openxmlformats.org/spreadsheetml/2006/main" r="W369" t="str" s="11">
        <x:v>Даташит — производитель</x:v>
      </x:c>
      <x:c xmlns:x="http://schemas.openxmlformats.org/spreadsheetml/2006/main" r="X369" t="str" s="11">
        <x:v>https://yageogroup.com/content/datasheet/asset/file/PYU-RC_GROUP_51_ROHS_L</x:v>
      </x:c>
      <x:c xmlns:x="http://schemas.openxmlformats.org/spreadsheetml/2006/main" r="Y369" t="str" s="11">
        <x:v>C:\Users\Nomatin\Documents\Altium\MY_LIB\MY_LIB\Datasheets\YAGEO_RC_L.pdf</x:v>
      </x:c>
    </ns0:row>
    <ns0:row xmlns:ns0="http://schemas.openxmlformats.org/spreadsheetml/2006/main" r="370" ht="30" customHeight="1">
      <ns0:c r="A370" t="str" s="10">
        <ns0:v>R0376</ns0:v>
      </ns0:c>
      <ns0:c r="B370" t="str" s="10">
        <ns0:v>Резистор</ns0:v>
      </ns0:c>
      <ns0:c r="C370" t="str" s="10">
        <ns0:v>1.5k</ns0:v>
      </ns0:c>
      <ns0:c r="D370" t="str" s="11">
        <ns0:f>SUBSTITUTE(SUBSTITUTE(SUBSTITUTE(SUBSTITUTE(C370,"meg"," МОм"),"k"," кОм"),"R"," Ом"),".",",")</ns0:f>
        <ns0:v>1,5 кОм</ns0:v>
      </ns0:c>
      <ns0:c r="E370" t="str" s="10">
        <ns0:v>±1%</ns0:v>
      </ns0:c>
      <ns0:c r="F370" t="str" s="10">
        <ns0:v>0,1 Вт</ns0:v>
      </ns0:c>
      <ns0:c r="G370" t="str" s="10">
        <ns0:v>75 В макс.</ns0:v>
      </ns0:c>
      <ns0:c r="H370" t="str" s="12">
        <ns0:v>0603</ns0:v>
      </ns0:c>
      <ns0:c r="I370" t="str" s="10">
        <ns0:v>YAGEO</ns0:v>
      </ns0:c>
      <ns0:c r="J370" t="str" s="10">
        <ns0:v>RC0603FR-071K5L</ns0:v>
      </ns0:c>
      <ns0:c r="K370" t="str" s="11">
        <ns0:f>B370&amp;" "&amp;D370&amp;" "&amp;E370&amp;" "&amp;H370</ns0:f>
        <ns0:v>Резистор 1,5 кОм ±1% 0603</ns0:v>
      </ns0:c>
      <ns0:c r="L370" t="str" s="13">
        <ns0:v>R</ns0:v>
      </ns0:c>
      <ns0:c r="M370" t="str" s="13">
        <ns0:v>Symbols\MY_LIB_Resistors.SchLib</ns0:v>
      </ns0:c>
      <ns0:c r="N370" t="str" s="13">
        <ns0:v>RESC1608X55N</ns0:v>
      </ns0:c>
      <ns0:c r="O370" t="str" s="13">
        <ns0:v>Footprints\PBL - SMD Packages.PcbLib</ns0:v>
      </ns0:c>
      <ns0:c r="P370" t="str" s="10">
        <ns0:v>RC_L; E24; P при 70 °C; U ≤ min(√(P·R), Umax)</ns0:v>
      </ns0:c>
      <ns0:c r="Q370" s="10"/>
      <ns0:c r="R370" t="str" s="11">
        <ns0:f>D370</ns0:f>
        <ns0:v>1,5 кОм</ns0:v>
      </ns0:c>
      <ns0:c r="S370" t="str" s="11">
        <ns0:f>K370</ns0:f>
        <ns0:v>Резистор 1,5 кОм ±1% 0603</ns0:v>
      </ns0:c>
      <x:c xmlns:x="http://schemas.openxmlformats.org/spreadsheetml/2006/main" r="T370" t="str" s="11">
        <x:v>C:\Users\Nomatin\Documents\Altium\MY_LIB\MY_LIB\Datasheets\YAGEO_RC_L.pdf</x:v>
      </x:c>
      <x:c xmlns:x="http://schemas.openxmlformats.org/spreadsheetml/2006/main" r="U370" t="str" s="11">
        <x:v>Даташит — локальный</x:v>
      </x:c>
      <x:c xmlns:x="http://schemas.openxmlformats.org/spreadsheetml/2006/main" r="V370" t="str" s="11">
        <x:v>C:\Users\Nomatin\Documents\Altium\MY_LIB\MY_LIB\Datasheets\YAGEO_RC_L.pdf</x:v>
      </x:c>
      <x:c xmlns:x="http://schemas.openxmlformats.org/spreadsheetml/2006/main" r="W370" t="str" s="11">
        <x:v>Даташит — производитель</x:v>
      </x:c>
      <x:c xmlns:x="http://schemas.openxmlformats.org/spreadsheetml/2006/main" r="X370" t="str" s="11">
        <x:v>https://yageogroup.com/content/datasheet/asset/file/PYU-RC_GROUP_51_ROHS_L</x:v>
      </x:c>
      <x:c xmlns:x="http://schemas.openxmlformats.org/spreadsheetml/2006/main" r="Y370" t="str" s="11">
        <x:v>C:\Users\Nomatin\Documents\Altium\MY_LIB\MY_LIB\Datasheets\YAGEO_RC_L.pdf</x:v>
      </x:c>
    </ns0:row>
    <ns0:row xmlns:ns0="http://schemas.openxmlformats.org/spreadsheetml/2006/main" r="371" ht="30" customHeight="1">
      <ns0:c r="A371" t="str" s="10">
        <ns0:v>R0377</ns0:v>
      </ns0:c>
      <ns0:c r="B371" t="str" s="10">
        <ns0:v>Резистор</ns0:v>
      </ns0:c>
      <ns0:c r="C371" t="str" s="10">
        <ns0:v>1.6k</ns0:v>
      </ns0:c>
      <ns0:c r="D371" t="str" s="11">
        <ns0:f>SUBSTITUTE(SUBSTITUTE(SUBSTITUTE(SUBSTITUTE(C371,"meg"," МОм"),"k"," кОм"),"R"," Ом"),".",",")</ns0:f>
        <ns0:v>1,6 кОм</ns0:v>
      </ns0:c>
      <ns0:c r="E371" t="str" s="10">
        <ns0:v>±1%</ns0:v>
      </ns0:c>
      <ns0:c r="F371" t="str" s="10">
        <ns0:v>0,1 Вт</ns0:v>
      </ns0:c>
      <ns0:c r="G371" t="str" s="10">
        <ns0:v>75 В макс.</ns0:v>
      </ns0:c>
      <ns0:c r="H371" t="str" s="12">
        <ns0:v>0603</ns0:v>
      </ns0:c>
      <ns0:c r="I371" t="str" s="10">
        <ns0:v>YAGEO</ns0:v>
      </ns0:c>
      <ns0:c r="J371" t="str" s="10">
        <ns0:v>RC0603FR-071K6L</ns0:v>
      </ns0:c>
      <ns0:c r="K371" t="str" s="11">
        <ns0:f>B371&amp;" "&amp;D371&amp;" "&amp;E371&amp;" "&amp;H371</ns0:f>
        <ns0:v>Резистор 1,6 кОм ±1% 0603</ns0:v>
      </ns0:c>
      <ns0:c r="L371" t="str" s="13">
        <ns0:v>R</ns0:v>
      </ns0:c>
      <ns0:c r="M371" t="str" s="13">
        <ns0:v>Symbols\MY_LIB_Resistors.SchLib</ns0:v>
      </ns0:c>
      <ns0:c r="N371" t="str" s="13">
        <ns0:v>RESC1608X55N</ns0:v>
      </ns0:c>
      <ns0:c r="O371" t="str" s="13">
        <ns0:v>Footprints\PBL - SMD Packages.PcbLib</ns0:v>
      </ns0:c>
      <ns0:c r="P371" t="str" s="10">
        <ns0:v>RC_L; E24; P при 70 °C; U ≤ min(√(P·R), Umax)</ns0:v>
      </ns0:c>
      <ns0:c r="Q371" s="10"/>
      <ns0:c r="R371" t="str" s="11">
        <ns0:f>D371</ns0:f>
        <ns0:v>1,6 кОм</ns0:v>
      </ns0:c>
      <ns0:c r="S371" t="str" s="11">
        <ns0:f>K371</ns0:f>
        <ns0:v>Резистор 1,6 кОм ±1% 0603</ns0:v>
      </ns0:c>
      <x:c xmlns:x="http://schemas.openxmlformats.org/spreadsheetml/2006/main" r="T371" t="str" s="11">
        <x:v>C:\Users\Nomatin\Documents\Altium\MY_LIB\MY_LIB\Datasheets\YAGEO_RC_L.pdf</x:v>
      </x:c>
      <x:c xmlns:x="http://schemas.openxmlformats.org/spreadsheetml/2006/main" r="U371" t="str" s="11">
        <x:v>Даташит — локальный</x:v>
      </x:c>
      <x:c xmlns:x="http://schemas.openxmlformats.org/spreadsheetml/2006/main" r="V371" t="str" s="11">
        <x:v>C:\Users\Nomatin\Documents\Altium\MY_LIB\MY_LIB\Datasheets\YAGEO_RC_L.pdf</x:v>
      </x:c>
      <x:c xmlns:x="http://schemas.openxmlformats.org/spreadsheetml/2006/main" r="W371" t="str" s="11">
        <x:v>Даташит — производитель</x:v>
      </x:c>
      <x:c xmlns:x="http://schemas.openxmlformats.org/spreadsheetml/2006/main" r="X371" t="str" s="11">
        <x:v>https://yageogroup.com/content/datasheet/asset/file/PYU-RC_GROUP_51_ROHS_L</x:v>
      </x:c>
      <x:c xmlns:x="http://schemas.openxmlformats.org/spreadsheetml/2006/main" r="Y371" t="str" s="11">
        <x:v>C:\Users\Nomatin\Documents\Altium\MY_LIB\MY_LIB\Datasheets\YAGEO_RC_L.pdf</x:v>
      </x:c>
    </ns0:row>
    <ns0:row xmlns:ns0="http://schemas.openxmlformats.org/spreadsheetml/2006/main" r="372" ht="30" customHeight="1">
      <ns0:c r="A372" t="str" s="10">
        <ns0:v>R0378</ns0:v>
      </ns0:c>
      <ns0:c r="B372" t="str" s="10">
        <ns0:v>Резистор</ns0:v>
      </ns0:c>
      <ns0:c r="C372" t="str" s="10">
        <ns0:v>1.8k</ns0:v>
      </ns0:c>
      <ns0:c r="D372" t="str" s="11">
        <ns0:f>SUBSTITUTE(SUBSTITUTE(SUBSTITUTE(SUBSTITUTE(C372,"meg"," МОм"),"k"," кОм"),"R"," Ом"),".",",")</ns0:f>
        <ns0:v>1,8 кОм</ns0:v>
      </ns0:c>
      <ns0:c r="E372" t="str" s="10">
        <ns0:v>±1%</ns0:v>
      </ns0:c>
      <ns0:c r="F372" t="str" s="10">
        <ns0:v>0,1 Вт</ns0:v>
      </ns0:c>
      <ns0:c r="G372" t="str" s="10">
        <ns0:v>75 В макс.</ns0:v>
      </ns0:c>
      <ns0:c r="H372" t="str" s="12">
        <ns0:v>0603</ns0:v>
      </ns0:c>
      <ns0:c r="I372" t="str" s="10">
        <ns0:v>YAGEO</ns0:v>
      </ns0:c>
      <ns0:c r="J372" t="str" s="10">
        <ns0:v>RC0603FR-071K8L</ns0:v>
      </ns0:c>
      <ns0:c r="K372" t="str" s="11">
        <ns0:f>B372&amp;" "&amp;D372&amp;" "&amp;E372&amp;" "&amp;H372</ns0:f>
        <ns0:v>Резистор 1,8 кОм ±1% 0603</ns0:v>
      </ns0:c>
      <ns0:c r="L372" t="str" s="13">
        <ns0:v>R</ns0:v>
      </ns0:c>
      <ns0:c r="M372" t="str" s="13">
        <ns0:v>Symbols\MY_LIB_Resistors.SchLib</ns0:v>
      </ns0:c>
      <ns0:c r="N372" t="str" s="13">
        <ns0:v>RESC1608X55N</ns0:v>
      </ns0:c>
      <ns0:c r="O372" t="str" s="13">
        <ns0:v>Footprints\PBL - SMD Packages.PcbLib</ns0:v>
      </ns0:c>
      <ns0:c r="P372" t="str" s="10">
        <ns0:v>RC_L; E24; P при 70 °C; U ≤ min(√(P·R), Umax)</ns0:v>
      </ns0:c>
      <ns0:c r="Q372" s="10"/>
      <ns0:c r="R372" t="str" s="11">
        <ns0:f>D372</ns0:f>
        <ns0:v>1,8 кОм</ns0:v>
      </ns0:c>
      <ns0:c r="S372" t="str" s="11">
        <ns0:f>K372</ns0:f>
        <ns0:v>Резистор 1,8 кОм ±1% 0603</ns0:v>
      </ns0:c>
      <x:c xmlns:x="http://schemas.openxmlformats.org/spreadsheetml/2006/main" r="T372" t="str" s="11">
        <x:v>C:\Users\Nomatin\Documents\Altium\MY_LIB\MY_LIB\Datasheets\YAGEO_RC_L.pdf</x:v>
      </x:c>
      <x:c xmlns:x="http://schemas.openxmlformats.org/spreadsheetml/2006/main" r="U372" t="str" s="11">
        <x:v>Даташит — локальный</x:v>
      </x:c>
      <x:c xmlns:x="http://schemas.openxmlformats.org/spreadsheetml/2006/main" r="V372" t="str" s="11">
        <x:v>C:\Users\Nomatin\Documents\Altium\MY_LIB\MY_LIB\Datasheets\YAGEO_RC_L.pdf</x:v>
      </x:c>
      <x:c xmlns:x="http://schemas.openxmlformats.org/spreadsheetml/2006/main" r="W372" t="str" s="11">
        <x:v>Даташит — производитель</x:v>
      </x:c>
      <x:c xmlns:x="http://schemas.openxmlformats.org/spreadsheetml/2006/main" r="X372" t="str" s="11">
        <x:v>https://yageogroup.com/content/datasheet/asset/file/PYU-RC_GROUP_51_ROHS_L</x:v>
      </x:c>
      <x:c xmlns:x="http://schemas.openxmlformats.org/spreadsheetml/2006/main" r="Y372" t="str" s="11">
        <x:v>C:\Users\Nomatin\Documents\Altium\MY_LIB\MY_LIB\Datasheets\YAGEO_RC_L.pdf</x:v>
      </x:c>
    </ns0:row>
    <ns0:row xmlns:ns0="http://schemas.openxmlformats.org/spreadsheetml/2006/main" r="373" ht="30" customHeight="1">
      <ns0:c r="A373" t="str" s="10">
        <ns0:v>R0379</ns0:v>
      </ns0:c>
      <ns0:c r="B373" t="str" s="10">
        <ns0:v>Резистор</ns0:v>
      </ns0:c>
      <ns0:c r="C373" t="str" s="10">
        <ns0:v>2k</ns0:v>
      </ns0:c>
      <ns0:c r="D373" t="str" s="11">
        <ns0:f>SUBSTITUTE(SUBSTITUTE(SUBSTITUTE(SUBSTITUTE(C373,"meg"," МОм"),"k"," кОм"),"R"," Ом"),".",",")</ns0:f>
        <ns0:v>2 кОм</ns0:v>
      </ns0:c>
      <ns0:c r="E373" t="str" s="10">
        <ns0:v>±1%</ns0:v>
      </ns0:c>
      <ns0:c r="F373" t="str" s="10">
        <ns0:v>0,1 Вт</ns0:v>
      </ns0:c>
      <ns0:c r="G373" t="str" s="10">
        <ns0:v>75 В макс.</ns0:v>
      </ns0:c>
      <ns0:c r="H373" t="str" s="12">
        <ns0:v>0603</ns0:v>
      </ns0:c>
      <ns0:c r="I373" t="str" s="10">
        <ns0:v>YAGEO</ns0:v>
      </ns0:c>
      <ns0:c r="J373" t="str" s="10">
        <ns0:v>RC0603FR-072KL</ns0:v>
      </ns0:c>
      <ns0:c r="K373" t="str" s="11">
        <ns0:f>B373&amp;" "&amp;D373&amp;" "&amp;E373&amp;" "&amp;H373</ns0:f>
        <ns0:v>Резистор 2 кОм ±1% 0603</ns0:v>
      </ns0:c>
      <ns0:c r="L373" t="str" s="13">
        <ns0:v>R</ns0:v>
      </ns0:c>
      <ns0:c r="M373" t="str" s="13">
        <ns0:v>Symbols\MY_LIB_Resistors.SchLib</ns0:v>
      </ns0:c>
      <ns0:c r="N373" t="str" s="13">
        <ns0:v>RESC1608X55N</ns0:v>
      </ns0:c>
      <ns0:c r="O373" t="str" s="13">
        <ns0:v>Footprints\PBL - SMD Packages.PcbLib</ns0:v>
      </ns0:c>
      <ns0:c r="P373" t="str" s="10">
        <ns0:v>RC_L; E24; P при 70 °C; U ≤ min(√(P·R), Umax)</ns0:v>
      </ns0:c>
      <ns0:c r="Q373" s="10"/>
      <ns0:c r="R373" t="str" s="11">
        <ns0:f>D373</ns0:f>
        <ns0:v>2 кОм</ns0:v>
      </ns0:c>
      <ns0:c r="S373" t="str" s="11">
        <ns0:f>K373</ns0:f>
        <ns0:v>Резистор 2 кОм ±1% 0603</ns0:v>
      </ns0:c>
      <x:c xmlns:x="http://schemas.openxmlformats.org/spreadsheetml/2006/main" r="T373" t="str" s="11">
        <x:v>C:\Users\Nomatin\Documents\Altium\MY_LIB\MY_LIB\Datasheets\YAGEO_RC_L.pdf</x:v>
      </x:c>
      <x:c xmlns:x="http://schemas.openxmlformats.org/spreadsheetml/2006/main" r="U373" t="str" s="11">
        <x:v>Даташит — локальный</x:v>
      </x:c>
      <x:c xmlns:x="http://schemas.openxmlformats.org/spreadsheetml/2006/main" r="V373" t="str" s="11">
        <x:v>C:\Users\Nomatin\Documents\Altium\MY_LIB\MY_LIB\Datasheets\YAGEO_RC_L.pdf</x:v>
      </x:c>
      <x:c xmlns:x="http://schemas.openxmlformats.org/spreadsheetml/2006/main" r="W373" t="str" s="11">
        <x:v>Даташит — производитель</x:v>
      </x:c>
      <x:c xmlns:x="http://schemas.openxmlformats.org/spreadsheetml/2006/main" r="X373" t="str" s="11">
        <x:v>https://yageogroup.com/content/datasheet/asset/file/PYU-RC_GROUP_51_ROHS_L</x:v>
      </x:c>
      <x:c xmlns:x="http://schemas.openxmlformats.org/spreadsheetml/2006/main" r="Y373" t="str" s="11">
        <x:v>C:\Users\Nomatin\Documents\Altium\MY_LIB\MY_LIB\Datasheets\YAGEO_RC_L.pdf</x:v>
      </x:c>
    </ns0:row>
    <ns0:row xmlns:ns0="http://schemas.openxmlformats.org/spreadsheetml/2006/main" r="374" ht="30" customHeight="1">
      <ns0:c r="A374" t="str" s="10">
        <ns0:v>R0380</ns0:v>
      </ns0:c>
      <ns0:c r="B374" t="str" s="10">
        <ns0:v>Резистор</ns0:v>
      </ns0:c>
      <ns0:c r="C374" t="str" s="10">
        <ns0:v>2.2k</ns0:v>
      </ns0:c>
      <ns0:c r="D374" t="str" s="11">
        <ns0:f>SUBSTITUTE(SUBSTITUTE(SUBSTITUTE(SUBSTITUTE(C374,"meg"," МОм"),"k"," кОм"),"R"," Ом"),".",",")</ns0:f>
        <ns0:v>2,2 кОм</ns0:v>
      </ns0:c>
      <ns0:c r="E374" t="str" s="10">
        <ns0:v>±1%</ns0:v>
      </ns0:c>
      <ns0:c r="F374" t="str" s="10">
        <ns0:v>0,1 Вт</ns0:v>
      </ns0:c>
      <ns0:c r="G374" t="str" s="10">
        <ns0:v>75 В макс.</ns0:v>
      </ns0:c>
      <ns0:c r="H374" t="str" s="12">
        <ns0:v>0603</ns0:v>
      </ns0:c>
      <ns0:c r="I374" t="str" s="10">
        <ns0:v>YAGEO</ns0:v>
      </ns0:c>
      <ns0:c r="J374" t="str" s="10">
        <ns0:v>RC0603FR-072K2L</ns0:v>
      </ns0:c>
      <ns0:c r="K374" t="str" s="11">
        <ns0:f>B374&amp;" "&amp;D374&amp;" "&amp;E374&amp;" "&amp;H374</ns0:f>
        <ns0:v>Резистор 2,2 кОм ±1% 0603</ns0:v>
      </ns0:c>
      <ns0:c r="L374" t="str" s="13">
        <ns0:v>R</ns0:v>
      </ns0:c>
      <ns0:c r="M374" t="str" s="13">
        <ns0:v>Symbols\MY_LIB_Resistors.SchLib</ns0:v>
      </ns0:c>
      <ns0:c r="N374" t="str" s="13">
        <ns0:v>RESC1608X55N</ns0:v>
      </ns0:c>
      <ns0:c r="O374" t="str" s="13">
        <ns0:v>Footprints\PBL - SMD Packages.PcbLib</ns0:v>
      </ns0:c>
      <ns0:c r="P374" t="str" s="10">
        <ns0:v>RC_L; E24; P при 70 °C; U ≤ min(√(P·R), Umax)</ns0:v>
      </ns0:c>
      <ns0:c r="Q374" s="10"/>
      <ns0:c r="R374" t="str" s="11">
        <ns0:f>D374</ns0:f>
        <ns0:v>2,2 кОм</ns0:v>
      </ns0:c>
      <ns0:c r="S374" t="str" s="11">
        <ns0:f>K374</ns0:f>
        <ns0:v>Резистор 2,2 кОм ±1% 0603</ns0:v>
      </ns0:c>
      <x:c xmlns:x="http://schemas.openxmlformats.org/spreadsheetml/2006/main" r="T374" t="str" s="11">
        <x:v>C:\Users\Nomatin\Documents\Altium\MY_LIB\MY_LIB\Datasheets\YAGEO_RC_L.pdf</x:v>
      </x:c>
      <x:c xmlns:x="http://schemas.openxmlformats.org/spreadsheetml/2006/main" r="U374" t="str" s="11">
        <x:v>Даташит — локальный</x:v>
      </x:c>
      <x:c xmlns:x="http://schemas.openxmlformats.org/spreadsheetml/2006/main" r="V374" t="str" s="11">
        <x:v>C:\Users\Nomatin\Documents\Altium\MY_LIB\MY_LIB\Datasheets\YAGEO_RC_L.pdf</x:v>
      </x:c>
      <x:c xmlns:x="http://schemas.openxmlformats.org/spreadsheetml/2006/main" r="W374" t="str" s="11">
        <x:v>Даташит — производитель</x:v>
      </x:c>
      <x:c xmlns:x="http://schemas.openxmlformats.org/spreadsheetml/2006/main" r="X374" t="str" s="11">
        <x:v>https://yageogroup.com/content/datasheet/asset/file/PYU-RC_GROUP_51_ROHS_L</x:v>
      </x:c>
      <x:c xmlns:x="http://schemas.openxmlformats.org/spreadsheetml/2006/main" r="Y374" t="str" s="11">
        <x:v>C:\Users\Nomatin\Documents\Altium\MY_LIB\MY_LIB\Datasheets\YAGEO_RC_L.pdf</x:v>
      </x:c>
    </ns0:row>
    <ns0:row xmlns:ns0="http://schemas.openxmlformats.org/spreadsheetml/2006/main" r="375" ht="30" customHeight="1">
      <ns0:c r="A375" t="str" s="10">
        <ns0:v>R0381</ns0:v>
      </ns0:c>
      <ns0:c r="B375" t="str" s="10">
        <ns0:v>Резистор</ns0:v>
      </ns0:c>
      <ns0:c r="C375" t="str" s="10">
        <ns0:v>2.4k</ns0:v>
      </ns0:c>
      <ns0:c r="D375" t="str" s="11">
        <ns0:f>SUBSTITUTE(SUBSTITUTE(SUBSTITUTE(SUBSTITUTE(C375,"meg"," МОм"),"k"," кОм"),"R"," Ом"),".",",")</ns0:f>
        <ns0:v>2,4 кОм</ns0:v>
      </ns0:c>
      <ns0:c r="E375" t="str" s="10">
        <ns0:v>±1%</ns0:v>
      </ns0:c>
      <ns0:c r="F375" t="str" s="10">
        <ns0:v>0,1 Вт</ns0:v>
      </ns0:c>
      <ns0:c r="G375" t="str" s="10">
        <ns0:v>75 В макс.</ns0:v>
      </ns0:c>
      <ns0:c r="H375" t="str" s="12">
        <ns0:v>0603</ns0:v>
      </ns0:c>
      <ns0:c r="I375" t="str" s="10">
        <ns0:v>YAGEO</ns0:v>
      </ns0:c>
      <ns0:c r="J375" t="str" s="10">
        <ns0:v>RC0603FR-072K4L</ns0:v>
      </ns0:c>
      <ns0:c r="K375" t="str" s="11">
        <ns0:f>B375&amp;" "&amp;D375&amp;" "&amp;E375&amp;" "&amp;H375</ns0:f>
        <ns0:v>Резистор 2,4 кОм ±1% 0603</ns0:v>
      </ns0:c>
      <ns0:c r="L375" t="str" s="13">
        <ns0:v>R</ns0:v>
      </ns0:c>
      <ns0:c r="M375" t="str" s="13">
        <ns0:v>Symbols\MY_LIB_Resistors.SchLib</ns0:v>
      </ns0:c>
      <ns0:c r="N375" t="str" s="13">
        <ns0:v>RESC1608X55N</ns0:v>
      </ns0:c>
      <ns0:c r="O375" t="str" s="13">
        <ns0:v>Footprints\PBL - SMD Packages.PcbLib</ns0:v>
      </ns0:c>
      <ns0:c r="P375" t="str" s="10">
        <ns0:v>RC_L; E24; P при 70 °C; U ≤ min(√(P·R), Umax)</ns0:v>
      </ns0:c>
      <ns0:c r="Q375" s="10"/>
      <ns0:c r="R375" t="str" s="11">
        <ns0:f>D375</ns0:f>
        <ns0:v>2,4 кОм</ns0:v>
      </ns0:c>
      <ns0:c r="S375" t="str" s="11">
        <ns0:f>K375</ns0:f>
        <ns0:v>Резистор 2,4 кОм ±1% 0603</ns0:v>
      </ns0:c>
      <x:c xmlns:x="http://schemas.openxmlformats.org/spreadsheetml/2006/main" r="T375" t="str" s="11">
        <x:v>C:\Users\Nomatin\Documents\Altium\MY_LIB\MY_LIB\Datasheets\YAGEO_RC_L.pdf</x:v>
      </x:c>
      <x:c xmlns:x="http://schemas.openxmlformats.org/spreadsheetml/2006/main" r="U375" t="str" s="11">
        <x:v>Даташит — локальный</x:v>
      </x:c>
      <x:c xmlns:x="http://schemas.openxmlformats.org/spreadsheetml/2006/main" r="V375" t="str" s="11">
        <x:v>C:\Users\Nomatin\Documents\Altium\MY_LIB\MY_LIB\Datasheets\YAGEO_RC_L.pdf</x:v>
      </x:c>
      <x:c xmlns:x="http://schemas.openxmlformats.org/spreadsheetml/2006/main" r="W375" t="str" s="11">
        <x:v>Даташит — производитель</x:v>
      </x:c>
      <x:c xmlns:x="http://schemas.openxmlformats.org/spreadsheetml/2006/main" r="X375" t="str" s="11">
        <x:v>https://yageogroup.com/content/datasheet/asset/file/PYU-RC_GROUP_51_ROHS_L</x:v>
      </x:c>
      <x:c xmlns:x="http://schemas.openxmlformats.org/spreadsheetml/2006/main" r="Y375" t="str" s="11">
        <x:v>C:\Users\Nomatin\Documents\Altium\MY_LIB\MY_LIB\Datasheets\YAGEO_RC_L.pdf</x:v>
      </x:c>
    </ns0:row>
    <ns0:row xmlns:ns0="http://schemas.openxmlformats.org/spreadsheetml/2006/main" r="376" ht="30" customHeight="1">
      <ns0:c r="A376" t="str" s="10">
        <ns0:v>R0382</ns0:v>
      </ns0:c>
      <ns0:c r="B376" t="str" s="10">
        <ns0:v>Резистор</ns0:v>
      </ns0:c>
      <ns0:c r="C376" t="str" s="10">
        <ns0:v>2.7k</ns0:v>
      </ns0:c>
      <ns0:c r="D376" t="str" s="11">
        <ns0:f>SUBSTITUTE(SUBSTITUTE(SUBSTITUTE(SUBSTITUTE(C376,"meg"," МОм"),"k"," кОм"),"R"," Ом"),".",",")</ns0:f>
        <ns0:v>2,7 кОм</ns0:v>
      </ns0:c>
      <ns0:c r="E376" t="str" s="10">
        <ns0:v>±1%</ns0:v>
      </ns0:c>
      <ns0:c r="F376" t="str" s="10">
        <ns0:v>0,1 Вт</ns0:v>
      </ns0:c>
      <ns0:c r="G376" t="str" s="10">
        <ns0:v>75 В макс.</ns0:v>
      </ns0:c>
      <ns0:c r="H376" t="str" s="12">
        <ns0:v>0603</ns0:v>
      </ns0:c>
      <ns0:c r="I376" t="str" s="10">
        <ns0:v>YAGEO</ns0:v>
      </ns0:c>
      <ns0:c r="J376" t="str" s="10">
        <ns0:v>RC0603FR-072K7L</ns0:v>
      </ns0:c>
      <ns0:c r="K376" t="str" s="11">
        <ns0:f>B376&amp;" "&amp;D376&amp;" "&amp;E376&amp;" "&amp;H376</ns0:f>
        <ns0:v>Резистор 2,7 кОм ±1% 0603</ns0:v>
      </ns0:c>
      <ns0:c r="L376" t="str" s="13">
        <ns0:v>R</ns0:v>
      </ns0:c>
      <ns0:c r="M376" t="str" s="13">
        <ns0:v>Symbols\MY_LIB_Resistors.SchLib</ns0:v>
      </ns0:c>
      <ns0:c r="N376" t="str" s="13">
        <ns0:v>RESC1608X55N</ns0:v>
      </ns0:c>
      <ns0:c r="O376" t="str" s="13">
        <ns0:v>Footprints\PBL - SMD Packages.PcbLib</ns0:v>
      </ns0:c>
      <ns0:c r="P376" t="str" s="10">
        <ns0:v>RC_L; E24; P при 70 °C; U ≤ min(√(P·R), Umax)</ns0:v>
      </ns0:c>
      <ns0:c r="Q376" s="10"/>
      <ns0:c r="R376" t="str" s="11">
        <ns0:f>D376</ns0:f>
        <ns0:v>2,7 кОм</ns0:v>
      </ns0:c>
      <ns0:c r="S376" t="str" s="11">
        <ns0:f>K376</ns0:f>
        <ns0:v>Резистор 2,7 кОм ±1% 0603</ns0:v>
      </ns0:c>
      <x:c xmlns:x="http://schemas.openxmlformats.org/spreadsheetml/2006/main" r="T376" t="str" s="11">
        <x:v>C:\Users\Nomatin\Documents\Altium\MY_LIB\MY_LIB\Datasheets\YAGEO_RC_L.pdf</x:v>
      </x:c>
      <x:c xmlns:x="http://schemas.openxmlformats.org/spreadsheetml/2006/main" r="U376" t="str" s="11">
        <x:v>Даташит — локальный</x:v>
      </x:c>
      <x:c xmlns:x="http://schemas.openxmlformats.org/spreadsheetml/2006/main" r="V376" t="str" s="11">
        <x:v>C:\Users\Nomatin\Documents\Altium\MY_LIB\MY_LIB\Datasheets\YAGEO_RC_L.pdf</x:v>
      </x:c>
      <x:c xmlns:x="http://schemas.openxmlformats.org/spreadsheetml/2006/main" r="W376" t="str" s="11">
        <x:v>Даташит — производитель</x:v>
      </x:c>
      <x:c xmlns:x="http://schemas.openxmlformats.org/spreadsheetml/2006/main" r="X376" t="str" s="11">
        <x:v>https://yageogroup.com/content/datasheet/asset/file/PYU-RC_GROUP_51_ROHS_L</x:v>
      </x:c>
      <x:c xmlns:x="http://schemas.openxmlformats.org/spreadsheetml/2006/main" r="Y376" t="str" s="11">
        <x:v>C:\Users\Nomatin\Documents\Altium\MY_LIB\MY_LIB\Datasheets\YAGEO_RC_L.pdf</x:v>
      </x:c>
    </ns0:row>
    <ns0:row xmlns:ns0="http://schemas.openxmlformats.org/spreadsheetml/2006/main" r="377" ht="30" customHeight="1">
      <ns0:c r="A377" t="str" s="10">
        <ns0:v>R0383</ns0:v>
      </ns0:c>
      <ns0:c r="B377" t="str" s="10">
        <ns0:v>Резистор</ns0:v>
      </ns0:c>
      <ns0:c r="C377" t="str" s="10">
        <ns0:v>3k</ns0:v>
      </ns0:c>
      <ns0:c r="D377" t="str" s="11">
        <ns0:f>SUBSTITUTE(SUBSTITUTE(SUBSTITUTE(SUBSTITUTE(C377,"meg"," МОм"),"k"," кОм"),"R"," Ом"),".",",")</ns0:f>
        <ns0:v>3 кОм</ns0:v>
      </ns0:c>
      <ns0:c r="E377" t="str" s="10">
        <ns0:v>±1%</ns0:v>
      </ns0:c>
      <ns0:c r="F377" t="str" s="10">
        <ns0:v>0,1 Вт</ns0:v>
      </ns0:c>
      <ns0:c r="G377" t="str" s="10">
        <ns0:v>75 В макс.</ns0:v>
      </ns0:c>
      <ns0:c r="H377" t="str" s="12">
        <ns0:v>0603</ns0:v>
      </ns0:c>
      <ns0:c r="I377" t="str" s="10">
        <ns0:v>YAGEO</ns0:v>
      </ns0:c>
      <ns0:c r="J377" t="str" s="10">
        <ns0:v>RC0603FR-073KL</ns0:v>
      </ns0:c>
      <ns0:c r="K377" t="str" s="11">
        <ns0:f>B377&amp;" "&amp;D377&amp;" "&amp;E377&amp;" "&amp;H377</ns0:f>
        <ns0:v>Резистор 3 кОм ±1% 0603</ns0:v>
      </ns0:c>
      <ns0:c r="L377" t="str" s="13">
        <ns0:v>R</ns0:v>
      </ns0:c>
      <ns0:c r="M377" t="str" s="13">
        <ns0:v>Symbols\MY_LIB_Resistors.SchLib</ns0:v>
      </ns0:c>
      <ns0:c r="N377" t="str" s="13">
        <ns0:v>RESC1608X55N</ns0:v>
      </ns0:c>
      <ns0:c r="O377" t="str" s="13">
        <ns0:v>Footprints\PBL - SMD Packages.PcbLib</ns0:v>
      </ns0:c>
      <ns0:c r="P377" t="str" s="10">
        <ns0:v>RC_L; E24; P при 70 °C; U ≤ min(√(P·R), Umax)</ns0:v>
      </ns0:c>
      <ns0:c r="Q377" s="10"/>
      <ns0:c r="R377" t="str" s="11">
        <ns0:f>D377</ns0:f>
        <ns0:v>3 кОм</ns0:v>
      </ns0:c>
      <ns0:c r="S377" t="str" s="11">
        <ns0:f>K377</ns0:f>
        <ns0:v>Резистор 3 кОм ±1% 0603</ns0:v>
      </ns0:c>
      <x:c xmlns:x="http://schemas.openxmlformats.org/spreadsheetml/2006/main" r="T377" t="str" s="11">
        <x:v>C:\Users\Nomatin\Documents\Altium\MY_LIB\MY_LIB\Datasheets\YAGEO_RC_L.pdf</x:v>
      </x:c>
      <x:c xmlns:x="http://schemas.openxmlformats.org/spreadsheetml/2006/main" r="U377" t="str" s="11">
        <x:v>Даташит — локальный</x:v>
      </x:c>
      <x:c xmlns:x="http://schemas.openxmlformats.org/spreadsheetml/2006/main" r="V377" t="str" s="11">
        <x:v>C:\Users\Nomatin\Documents\Altium\MY_LIB\MY_LIB\Datasheets\YAGEO_RC_L.pdf</x:v>
      </x:c>
      <x:c xmlns:x="http://schemas.openxmlformats.org/spreadsheetml/2006/main" r="W377" t="str" s="11">
        <x:v>Даташит — производитель</x:v>
      </x:c>
      <x:c xmlns:x="http://schemas.openxmlformats.org/spreadsheetml/2006/main" r="X377" t="str" s="11">
        <x:v>https://yageogroup.com/content/datasheet/asset/file/PYU-RC_GROUP_51_ROHS_L</x:v>
      </x:c>
      <x:c xmlns:x="http://schemas.openxmlformats.org/spreadsheetml/2006/main" r="Y377" t="str" s="11">
        <x:v>C:\Users\Nomatin\Documents\Altium\MY_LIB\MY_LIB\Datasheets\YAGEO_RC_L.pdf</x:v>
      </x:c>
    </ns0:row>
    <ns0:row xmlns:ns0="http://schemas.openxmlformats.org/spreadsheetml/2006/main" r="378" ht="30" customHeight="1">
      <ns0:c r="A378" t="str" s="10">
        <ns0:v>R0384</ns0:v>
      </ns0:c>
      <ns0:c r="B378" t="str" s="10">
        <ns0:v>Резистор</ns0:v>
      </ns0:c>
      <ns0:c r="C378" t="str" s="10">
        <ns0:v>3.3k</ns0:v>
      </ns0:c>
      <ns0:c r="D378" t="str" s="11">
        <ns0:f>SUBSTITUTE(SUBSTITUTE(SUBSTITUTE(SUBSTITUTE(C378,"meg"," МОм"),"k"," кОм"),"R"," Ом"),".",",")</ns0:f>
        <ns0:v>3,3 кОм</ns0:v>
      </ns0:c>
      <ns0:c r="E378" t="str" s="10">
        <ns0:v>±1%</ns0:v>
      </ns0:c>
      <ns0:c r="F378" t="str" s="10">
        <ns0:v>0,1 Вт</ns0:v>
      </ns0:c>
      <ns0:c r="G378" t="str" s="10">
        <ns0:v>75 В макс.</ns0:v>
      </ns0:c>
      <ns0:c r="H378" t="str" s="12">
        <ns0:v>0603</ns0:v>
      </ns0:c>
      <ns0:c r="I378" t="str" s="10">
        <ns0:v>YAGEO</ns0:v>
      </ns0:c>
      <ns0:c r="J378" t="str" s="10">
        <ns0:v>RC0603FR-073K3L</ns0:v>
      </ns0:c>
      <ns0:c r="K378" t="str" s="11">
        <ns0:f>B378&amp;" "&amp;D378&amp;" "&amp;E378&amp;" "&amp;H378</ns0:f>
        <ns0:v>Резистор 3,3 кОм ±1% 0603</ns0:v>
      </ns0:c>
      <ns0:c r="L378" t="str" s="13">
        <ns0:v>R</ns0:v>
      </ns0:c>
      <ns0:c r="M378" t="str" s="13">
        <ns0:v>Symbols\MY_LIB_Resistors.SchLib</ns0:v>
      </ns0:c>
      <ns0:c r="N378" t="str" s="13">
        <ns0:v>RESC1608X55N</ns0:v>
      </ns0:c>
      <ns0:c r="O378" t="str" s="13">
        <ns0:v>Footprints\PBL - SMD Packages.PcbLib</ns0:v>
      </ns0:c>
      <ns0:c r="P378" t="str" s="10">
        <ns0:v>RC_L; E24; P при 70 °C; U ≤ min(√(P·R), Umax)</ns0:v>
      </ns0:c>
      <ns0:c r="Q378" s="10"/>
      <ns0:c r="R378" t="str" s="11">
        <ns0:f>D378</ns0:f>
        <ns0:v>3,3 кОм</ns0:v>
      </ns0:c>
      <ns0:c r="S378" t="str" s="11">
        <ns0:f>K378</ns0:f>
        <ns0:v>Резистор 3,3 кОм ±1% 0603</ns0:v>
      </ns0:c>
      <x:c xmlns:x="http://schemas.openxmlformats.org/spreadsheetml/2006/main" r="T378" t="str" s="11">
        <x:v>C:\Users\Nomatin\Documents\Altium\MY_LIB\MY_LIB\Datasheets\YAGEO_RC_L.pdf</x:v>
      </x:c>
      <x:c xmlns:x="http://schemas.openxmlformats.org/spreadsheetml/2006/main" r="U378" t="str" s="11">
        <x:v>Даташит — локальный</x:v>
      </x:c>
      <x:c xmlns:x="http://schemas.openxmlformats.org/spreadsheetml/2006/main" r="V378" t="str" s="11">
        <x:v>C:\Users\Nomatin\Documents\Altium\MY_LIB\MY_LIB\Datasheets\YAGEO_RC_L.pdf</x:v>
      </x:c>
      <x:c xmlns:x="http://schemas.openxmlformats.org/spreadsheetml/2006/main" r="W378" t="str" s="11">
        <x:v>Даташит — производитель</x:v>
      </x:c>
      <x:c xmlns:x="http://schemas.openxmlformats.org/spreadsheetml/2006/main" r="X378" t="str" s="11">
        <x:v>https://yageogroup.com/content/datasheet/asset/file/PYU-RC_GROUP_51_ROHS_L</x:v>
      </x:c>
      <x:c xmlns:x="http://schemas.openxmlformats.org/spreadsheetml/2006/main" r="Y378" t="str" s="11">
        <x:v>C:\Users\Nomatin\Documents\Altium\MY_LIB\MY_LIB\Datasheets\YAGEO_RC_L.pdf</x:v>
      </x:c>
    </ns0:row>
    <ns0:row xmlns:ns0="http://schemas.openxmlformats.org/spreadsheetml/2006/main" r="379" ht="30" customHeight="1">
      <ns0:c r="A379" t="str" s="10">
        <ns0:v>R0385</ns0:v>
      </ns0:c>
      <ns0:c r="B379" t="str" s="10">
        <ns0:v>Резистор</ns0:v>
      </ns0:c>
      <ns0:c r="C379" t="str" s="10">
        <ns0:v>3.6k</ns0:v>
      </ns0:c>
      <ns0:c r="D379" t="str" s="11">
        <ns0:f>SUBSTITUTE(SUBSTITUTE(SUBSTITUTE(SUBSTITUTE(C379,"meg"," МОм"),"k"," кОм"),"R"," Ом"),".",",")</ns0:f>
        <ns0:v>3,6 кОм</ns0:v>
      </ns0:c>
      <ns0:c r="E379" t="str" s="10">
        <ns0:v>±1%</ns0:v>
      </ns0:c>
      <ns0:c r="F379" t="str" s="10">
        <ns0:v>0,1 Вт</ns0:v>
      </ns0:c>
      <ns0:c r="G379" t="str" s="10">
        <ns0:v>75 В макс.</ns0:v>
      </ns0:c>
      <ns0:c r="H379" t="str" s="12">
        <ns0:v>0603</ns0:v>
      </ns0:c>
      <ns0:c r="I379" t="str" s="10">
        <ns0:v>YAGEO</ns0:v>
      </ns0:c>
      <ns0:c r="J379" t="str" s="10">
        <ns0:v>RC0603FR-073K6L</ns0:v>
      </ns0:c>
      <ns0:c r="K379" t="str" s="11">
        <ns0:f>B379&amp;" "&amp;D379&amp;" "&amp;E379&amp;" "&amp;H379</ns0:f>
        <ns0:v>Резистор 3,6 кОм ±1% 0603</ns0:v>
      </ns0:c>
      <ns0:c r="L379" t="str" s="13">
        <ns0:v>R</ns0:v>
      </ns0:c>
      <ns0:c r="M379" t="str" s="13">
        <ns0:v>Symbols\MY_LIB_Resistors.SchLib</ns0:v>
      </ns0:c>
      <ns0:c r="N379" t="str" s="13">
        <ns0:v>RESC1608X55N</ns0:v>
      </ns0:c>
      <ns0:c r="O379" t="str" s="13">
        <ns0:v>Footprints\PBL - SMD Packages.PcbLib</ns0:v>
      </ns0:c>
      <ns0:c r="P379" t="str" s="10">
        <ns0:v>RC_L; E24; P при 70 °C; U ≤ min(√(P·R), Umax)</ns0:v>
      </ns0:c>
      <ns0:c r="Q379" s="10"/>
      <ns0:c r="R379" t="str" s="11">
        <ns0:f>D379</ns0:f>
        <ns0:v>3,6 кОм</ns0:v>
      </ns0:c>
      <ns0:c r="S379" t="str" s="11">
        <ns0:f>K379</ns0:f>
        <ns0:v>Резистор 3,6 кОм ±1% 0603</ns0:v>
      </ns0:c>
      <x:c xmlns:x="http://schemas.openxmlformats.org/spreadsheetml/2006/main" r="T379" t="str" s="11">
        <x:v>C:\Users\Nomatin\Documents\Altium\MY_LIB\MY_LIB\Datasheets\YAGEO_RC_L.pdf</x:v>
      </x:c>
      <x:c xmlns:x="http://schemas.openxmlformats.org/spreadsheetml/2006/main" r="U379" t="str" s="11">
        <x:v>Даташит — локальный</x:v>
      </x:c>
      <x:c xmlns:x="http://schemas.openxmlformats.org/spreadsheetml/2006/main" r="V379" t="str" s="11">
        <x:v>C:\Users\Nomatin\Documents\Altium\MY_LIB\MY_LIB\Datasheets\YAGEO_RC_L.pdf</x:v>
      </x:c>
      <x:c xmlns:x="http://schemas.openxmlformats.org/spreadsheetml/2006/main" r="W379" t="str" s="11">
        <x:v>Даташит — производитель</x:v>
      </x:c>
      <x:c xmlns:x="http://schemas.openxmlformats.org/spreadsheetml/2006/main" r="X379" t="str" s="11">
        <x:v>https://yageogroup.com/content/datasheet/asset/file/PYU-RC_GROUP_51_ROHS_L</x:v>
      </x:c>
      <x:c xmlns:x="http://schemas.openxmlformats.org/spreadsheetml/2006/main" r="Y379" t="str" s="11">
        <x:v>C:\Users\Nomatin\Documents\Altium\MY_LIB\MY_LIB\Datasheets\YAGEO_RC_L.pdf</x:v>
      </x:c>
    </ns0:row>
    <ns0:row xmlns:ns0="http://schemas.openxmlformats.org/spreadsheetml/2006/main" r="380" ht="30" customHeight="1">
      <ns0:c r="A380" t="str" s="10">
        <ns0:v>R0386</ns0:v>
      </ns0:c>
      <ns0:c r="B380" t="str" s="10">
        <ns0:v>Резистор</ns0:v>
      </ns0:c>
      <ns0:c r="C380" t="str" s="10">
        <ns0:v>3.9k</ns0:v>
      </ns0:c>
      <ns0:c r="D380" t="str" s="11">
        <ns0:f>SUBSTITUTE(SUBSTITUTE(SUBSTITUTE(SUBSTITUTE(C380,"meg"," МОм"),"k"," кОм"),"R"," Ом"),".",",")</ns0:f>
        <ns0:v>3,9 кОм</ns0:v>
      </ns0:c>
      <ns0:c r="E380" t="str" s="10">
        <ns0:v>±1%</ns0:v>
      </ns0:c>
      <ns0:c r="F380" t="str" s="10">
        <ns0:v>0,1 Вт</ns0:v>
      </ns0:c>
      <ns0:c r="G380" t="str" s="10">
        <ns0:v>75 В макс.</ns0:v>
      </ns0:c>
      <ns0:c r="H380" t="str" s="12">
        <ns0:v>0603</ns0:v>
      </ns0:c>
      <ns0:c r="I380" t="str" s="10">
        <ns0:v>YAGEO</ns0:v>
      </ns0:c>
      <ns0:c r="J380" t="str" s="10">
        <ns0:v>RC0603FR-073K9L</ns0:v>
      </ns0:c>
      <ns0:c r="K380" t="str" s="11">
        <ns0:f>B380&amp;" "&amp;D380&amp;" "&amp;E380&amp;" "&amp;H380</ns0:f>
        <ns0:v>Резистор 3,9 кОм ±1% 0603</ns0:v>
      </ns0:c>
      <ns0:c r="L380" t="str" s="13">
        <ns0:v>R</ns0:v>
      </ns0:c>
      <ns0:c r="M380" t="str" s="13">
        <ns0:v>Symbols\MY_LIB_Resistors.SchLib</ns0:v>
      </ns0:c>
      <ns0:c r="N380" t="str" s="13">
        <ns0:v>RESC1608X55N</ns0:v>
      </ns0:c>
      <ns0:c r="O380" t="str" s="13">
        <ns0:v>Footprints\PBL - SMD Packages.PcbLib</ns0:v>
      </ns0:c>
      <ns0:c r="P380" t="str" s="10">
        <ns0:v>RC_L; E24; P при 70 °C; U ≤ min(√(P·R), Umax)</ns0:v>
      </ns0:c>
      <ns0:c r="Q380" s="10"/>
      <ns0:c r="R380" t="str" s="11">
        <ns0:f>D380</ns0:f>
        <ns0:v>3,9 кОм</ns0:v>
      </ns0:c>
      <ns0:c r="S380" t="str" s="11">
        <ns0:f>K380</ns0:f>
        <ns0:v>Резистор 3,9 кОм ±1% 0603</ns0:v>
      </ns0:c>
      <x:c xmlns:x="http://schemas.openxmlformats.org/spreadsheetml/2006/main" r="T380" t="str" s="11">
        <x:v>C:\Users\Nomatin\Documents\Altium\MY_LIB\MY_LIB\Datasheets\YAGEO_RC_L.pdf</x:v>
      </x:c>
      <x:c xmlns:x="http://schemas.openxmlformats.org/spreadsheetml/2006/main" r="U380" t="str" s="11">
        <x:v>Даташит — локальный</x:v>
      </x:c>
      <x:c xmlns:x="http://schemas.openxmlformats.org/spreadsheetml/2006/main" r="V380" t="str" s="11">
        <x:v>C:\Users\Nomatin\Documents\Altium\MY_LIB\MY_LIB\Datasheets\YAGEO_RC_L.pdf</x:v>
      </x:c>
      <x:c xmlns:x="http://schemas.openxmlformats.org/spreadsheetml/2006/main" r="W380" t="str" s="11">
        <x:v>Даташит — производитель</x:v>
      </x:c>
      <x:c xmlns:x="http://schemas.openxmlformats.org/spreadsheetml/2006/main" r="X380" t="str" s="11">
        <x:v>https://yageogroup.com/content/datasheet/asset/file/PYU-RC_GROUP_51_ROHS_L</x:v>
      </x:c>
      <x:c xmlns:x="http://schemas.openxmlformats.org/spreadsheetml/2006/main" r="Y380" t="str" s="11">
        <x:v>C:\Users\Nomatin\Documents\Altium\MY_LIB\MY_LIB\Datasheets\YAGEO_RC_L.pdf</x:v>
      </x:c>
    </ns0:row>
    <ns0:row xmlns:ns0="http://schemas.openxmlformats.org/spreadsheetml/2006/main" r="381" ht="30" customHeight="1">
      <ns0:c r="A381" t="str" s="10">
        <ns0:v>R0387</ns0:v>
      </ns0:c>
      <ns0:c r="B381" t="str" s="10">
        <ns0:v>Резистор</ns0:v>
      </ns0:c>
      <ns0:c r="C381" t="str" s="10">
        <ns0:v>4.3k</ns0:v>
      </ns0:c>
      <ns0:c r="D381" t="str" s="11">
        <ns0:f>SUBSTITUTE(SUBSTITUTE(SUBSTITUTE(SUBSTITUTE(C381,"meg"," МОм"),"k"," кОм"),"R"," Ом"),".",",")</ns0:f>
        <ns0:v>4,3 кОм</ns0:v>
      </ns0:c>
      <ns0:c r="E381" t="str" s="10">
        <ns0:v>±1%</ns0:v>
      </ns0:c>
      <ns0:c r="F381" t="str" s="10">
        <ns0:v>0,1 Вт</ns0:v>
      </ns0:c>
      <ns0:c r="G381" t="str" s="10">
        <ns0:v>75 В макс.</ns0:v>
      </ns0:c>
      <ns0:c r="H381" t="str" s="12">
        <ns0:v>0603</ns0:v>
      </ns0:c>
      <ns0:c r="I381" t="str" s="10">
        <ns0:v>YAGEO</ns0:v>
      </ns0:c>
      <ns0:c r="J381" t="str" s="10">
        <ns0:v>RC0603FR-074K3L</ns0:v>
      </ns0:c>
      <ns0:c r="K381" t="str" s="11">
        <ns0:f>B381&amp;" "&amp;D381&amp;" "&amp;E381&amp;" "&amp;H381</ns0:f>
        <ns0:v>Резистор 4,3 кОм ±1% 0603</ns0:v>
      </ns0:c>
      <ns0:c r="L381" t="str" s="13">
        <ns0:v>R</ns0:v>
      </ns0:c>
      <ns0:c r="M381" t="str" s="13">
        <ns0:v>Symbols\MY_LIB_Resistors.SchLib</ns0:v>
      </ns0:c>
      <ns0:c r="N381" t="str" s="13">
        <ns0:v>RESC1608X55N</ns0:v>
      </ns0:c>
      <ns0:c r="O381" t="str" s="13">
        <ns0:v>Footprints\PBL - SMD Packages.PcbLib</ns0:v>
      </ns0:c>
      <ns0:c r="P381" t="str" s="10">
        <ns0:v>RC_L; E24; P при 70 °C; U ≤ min(√(P·R), Umax)</ns0:v>
      </ns0:c>
      <ns0:c r="Q381" s="10"/>
      <ns0:c r="R381" t="str" s="11">
        <ns0:f>D381</ns0:f>
        <ns0:v>4,3 кОм</ns0:v>
      </ns0:c>
      <ns0:c r="S381" t="str" s="11">
        <ns0:f>K381</ns0:f>
        <ns0:v>Резистор 4,3 кОм ±1% 0603</ns0:v>
      </ns0:c>
      <x:c xmlns:x="http://schemas.openxmlformats.org/spreadsheetml/2006/main" r="T381" t="str" s="11">
        <x:v>C:\Users\Nomatin\Documents\Altium\MY_LIB\MY_LIB\Datasheets\YAGEO_RC_L.pdf</x:v>
      </x:c>
      <x:c xmlns:x="http://schemas.openxmlformats.org/spreadsheetml/2006/main" r="U381" t="str" s="11">
        <x:v>Даташит — локальный</x:v>
      </x:c>
      <x:c xmlns:x="http://schemas.openxmlformats.org/spreadsheetml/2006/main" r="V381" t="str" s="11">
        <x:v>C:\Users\Nomatin\Documents\Altium\MY_LIB\MY_LIB\Datasheets\YAGEO_RC_L.pdf</x:v>
      </x:c>
      <x:c xmlns:x="http://schemas.openxmlformats.org/spreadsheetml/2006/main" r="W381" t="str" s="11">
        <x:v>Даташит — производитель</x:v>
      </x:c>
      <x:c xmlns:x="http://schemas.openxmlformats.org/spreadsheetml/2006/main" r="X381" t="str" s="11">
        <x:v>https://yageogroup.com/content/datasheet/asset/file/PYU-RC_GROUP_51_ROHS_L</x:v>
      </x:c>
      <x:c xmlns:x="http://schemas.openxmlformats.org/spreadsheetml/2006/main" r="Y381" t="str" s="11">
        <x:v>C:\Users\Nomatin\Documents\Altium\MY_LIB\MY_LIB\Datasheets\YAGEO_RC_L.pdf</x:v>
      </x:c>
    </ns0:row>
    <ns0:row xmlns:ns0="http://schemas.openxmlformats.org/spreadsheetml/2006/main" r="382" ht="30" customHeight="1">
      <ns0:c r="A382" t="str" s="10">
        <ns0:v>R0388</ns0:v>
      </ns0:c>
      <ns0:c r="B382" t="str" s="10">
        <ns0:v>Резистор</ns0:v>
      </ns0:c>
      <ns0:c r="C382" t="str" s="10">
        <ns0:v>4.7k</ns0:v>
      </ns0:c>
      <ns0:c r="D382" t="str" s="11">
        <ns0:f>SUBSTITUTE(SUBSTITUTE(SUBSTITUTE(SUBSTITUTE(C382,"meg"," МОм"),"k"," кОм"),"R"," Ом"),".",",")</ns0:f>
        <ns0:v>4,7 кОм</ns0:v>
      </ns0:c>
      <ns0:c r="E382" t="str" s="10">
        <ns0:v>±1%</ns0:v>
      </ns0:c>
      <ns0:c r="F382" t="str" s="10">
        <ns0:v>0,1 Вт</ns0:v>
      </ns0:c>
      <ns0:c r="G382" t="str" s="10">
        <ns0:v>75 В макс.</ns0:v>
      </ns0:c>
      <ns0:c r="H382" t="str" s="12">
        <ns0:v>0603</ns0:v>
      </ns0:c>
      <ns0:c r="I382" t="str" s="10">
        <ns0:v>YAGEO</ns0:v>
      </ns0:c>
      <ns0:c r="J382" t="str" s="10">
        <ns0:v>RC0603FR-074K7L</ns0:v>
      </ns0:c>
      <ns0:c r="K382" t="str" s="11">
        <ns0:f>B382&amp;" "&amp;D382&amp;" "&amp;E382&amp;" "&amp;H382</ns0:f>
        <ns0:v>Резистор 4,7 кОм ±1% 0603</ns0:v>
      </ns0:c>
      <ns0:c r="L382" t="str" s="13">
        <ns0:v>R</ns0:v>
      </ns0:c>
      <ns0:c r="M382" t="str" s="13">
        <ns0:v>Symbols\MY_LIB_Resistors.SchLib</ns0:v>
      </ns0:c>
      <ns0:c r="N382" t="str" s="13">
        <ns0:v>RESC1608X55N</ns0:v>
      </ns0:c>
      <ns0:c r="O382" t="str" s="13">
        <ns0:v>Footprints\PBL - SMD Packages.PcbLib</ns0:v>
      </ns0:c>
      <ns0:c r="P382" t="str" s="10">
        <ns0:v>RC_L; E24; P при 70 °C; U ≤ min(√(P·R), Umax)</ns0:v>
      </ns0:c>
      <ns0:c r="Q382" s="10"/>
      <ns0:c r="R382" t="str" s="11">
        <ns0:f>D382</ns0:f>
        <ns0:v>4,7 кОм</ns0:v>
      </ns0:c>
      <ns0:c r="S382" t="str" s="11">
        <ns0:f>K382</ns0:f>
        <ns0:v>Резистор 4,7 кОм ±1% 0603</ns0:v>
      </ns0:c>
      <x:c xmlns:x="http://schemas.openxmlformats.org/spreadsheetml/2006/main" r="T382" t="str" s="11">
        <x:v>C:\Users\Nomatin\Documents\Altium\MY_LIB\MY_LIB\Datasheets\YAGEO_RC_L.pdf</x:v>
      </x:c>
      <x:c xmlns:x="http://schemas.openxmlformats.org/spreadsheetml/2006/main" r="U382" t="str" s="11">
        <x:v>Даташит — локальный</x:v>
      </x:c>
      <x:c xmlns:x="http://schemas.openxmlformats.org/spreadsheetml/2006/main" r="V382" t="str" s="11">
        <x:v>C:\Users\Nomatin\Documents\Altium\MY_LIB\MY_LIB\Datasheets\YAGEO_RC_L.pdf</x:v>
      </x:c>
      <x:c xmlns:x="http://schemas.openxmlformats.org/spreadsheetml/2006/main" r="W382" t="str" s="11">
        <x:v>Даташит — производитель</x:v>
      </x:c>
      <x:c xmlns:x="http://schemas.openxmlformats.org/spreadsheetml/2006/main" r="X382" t="str" s="11">
        <x:v>https://yageogroup.com/content/datasheet/asset/file/PYU-RC_GROUP_51_ROHS_L</x:v>
      </x:c>
      <x:c xmlns:x="http://schemas.openxmlformats.org/spreadsheetml/2006/main" r="Y382" t="str" s="11">
        <x:v>C:\Users\Nomatin\Documents\Altium\MY_LIB\MY_LIB\Datasheets\YAGEO_RC_L.pdf</x:v>
      </x:c>
    </ns0:row>
    <ns0:row xmlns:ns0="http://schemas.openxmlformats.org/spreadsheetml/2006/main" r="383" ht="30" customHeight="1">
      <ns0:c r="A383" t="str" s="10">
        <ns0:v>R0389</ns0:v>
      </ns0:c>
      <ns0:c r="B383" t="str" s="10">
        <ns0:v>Резистор</ns0:v>
      </ns0:c>
      <ns0:c r="C383" t="str" s="10">
        <ns0:v>5.1k</ns0:v>
      </ns0:c>
      <ns0:c r="D383" t="str" s="11">
        <ns0:f>SUBSTITUTE(SUBSTITUTE(SUBSTITUTE(SUBSTITUTE(C383,"meg"," МОм"),"k"," кОм"),"R"," Ом"),".",",")</ns0:f>
        <ns0:v>5,1 кОм</ns0:v>
      </ns0:c>
      <ns0:c r="E383" t="str" s="10">
        <ns0:v>±1%</ns0:v>
      </ns0:c>
      <ns0:c r="F383" t="str" s="10">
        <ns0:v>0,1 Вт</ns0:v>
      </ns0:c>
      <ns0:c r="G383" t="str" s="10">
        <ns0:v>75 В макс.</ns0:v>
      </ns0:c>
      <ns0:c r="H383" t="str" s="12">
        <ns0:v>0603</ns0:v>
      </ns0:c>
      <ns0:c r="I383" t="str" s="10">
        <ns0:v>YAGEO</ns0:v>
      </ns0:c>
      <ns0:c r="J383" t="str" s="10">
        <ns0:v>RC0603FR-075K1L</ns0:v>
      </ns0:c>
      <ns0:c r="K383" t="str" s="11">
        <ns0:f>B383&amp;" "&amp;D383&amp;" "&amp;E383&amp;" "&amp;H383</ns0:f>
        <ns0:v>Резистор 5,1 кОм ±1% 0603</ns0:v>
      </ns0:c>
      <ns0:c r="L383" t="str" s="13">
        <ns0:v>R</ns0:v>
      </ns0:c>
      <ns0:c r="M383" t="str" s="13">
        <ns0:v>Symbols\MY_LIB_Resistors.SchLib</ns0:v>
      </ns0:c>
      <ns0:c r="N383" t="str" s="13">
        <ns0:v>RESC1608X55N</ns0:v>
      </ns0:c>
      <ns0:c r="O383" t="str" s="13">
        <ns0:v>Footprints\PBL - SMD Packages.PcbLib</ns0:v>
      </ns0:c>
      <ns0:c r="P383" t="str" s="10">
        <ns0:v>RC_L; E24; P при 70 °C; U ≤ min(√(P·R), Umax)</ns0:v>
      </ns0:c>
      <ns0:c r="Q383" s="10"/>
      <ns0:c r="R383" t="str" s="11">
        <ns0:f>D383</ns0:f>
        <ns0:v>5,1 кОм</ns0:v>
      </ns0:c>
      <ns0:c r="S383" t="str" s="11">
        <ns0:f>K383</ns0:f>
        <ns0:v>Резистор 5,1 кОм ±1% 0603</ns0:v>
      </ns0:c>
      <x:c xmlns:x="http://schemas.openxmlformats.org/spreadsheetml/2006/main" r="T383" t="str" s="11">
        <x:v>C:\Users\Nomatin\Documents\Altium\MY_LIB\MY_LIB\Datasheets\YAGEO_RC_L.pdf</x:v>
      </x:c>
      <x:c xmlns:x="http://schemas.openxmlformats.org/spreadsheetml/2006/main" r="U383" t="str" s="11">
        <x:v>Даташит — локальный</x:v>
      </x:c>
      <x:c xmlns:x="http://schemas.openxmlformats.org/spreadsheetml/2006/main" r="V383" t="str" s="11">
        <x:v>C:\Users\Nomatin\Documents\Altium\MY_LIB\MY_LIB\Datasheets\YAGEO_RC_L.pdf</x:v>
      </x:c>
      <x:c xmlns:x="http://schemas.openxmlformats.org/spreadsheetml/2006/main" r="W383" t="str" s="11">
        <x:v>Даташит — производитель</x:v>
      </x:c>
      <x:c xmlns:x="http://schemas.openxmlformats.org/spreadsheetml/2006/main" r="X383" t="str" s="11">
        <x:v>https://yageogroup.com/content/datasheet/asset/file/PYU-RC_GROUP_51_ROHS_L</x:v>
      </x:c>
      <x:c xmlns:x="http://schemas.openxmlformats.org/spreadsheetml/2006/main" r="Y383" t="str" s="11">
        <x:v>C:\Users\Nomatin\Documents\Altium\MY_LIB\MY_LIB\Datasheets\YAGEO_RC_L.pdf</x:v>
      </x:c>
    </ns0:row>
    <ns0:row xmlns:ns0="http://schemas.openxmlformats.org/spreadsheetml/2006/main" r="384" ht="30" customHeight="1">
      <ns0:c r="A384" t="str" s="10">
        <ns0:v>R0390</ns0:v>
      </ns0:c>
      <ns0:c r="B384" t="str" s="10">
        <ns0:v>Резистор</ns0:v>
      </ns0:c>
      <ns0:c r="C384" t="str" s="10">
        <ns0:v>5.6k</ns0:v>
      </ns0:c>
      <ns0:c r="D384" t="str" s="11">
        <ns0:f>SUBSTITUTE(SUBSTITUTE(SUBSTITUTE(SUBSTITUTE(C384,"meg"," МОм"),"k"," кОм"),"R"," Ом"),".",",")</ns0:f>
        <ns0:v>5,6 кОм</ns0:v>
      </ns0:c>
      <ns0:c r="E384" t="str" s="10">
        <ns0:v>±1%</ns0:v>
      </ns0:c>
      <ns0:c r="F384" t="str" s="10">
        <ns0:v>0,1 Вт</ns0:v>
      </ns0:c>
      <ns0:c r="G384" t="str" s="10">
        <ns0:v>75 В макс.</ns0:v>
      </ns0:c>
      <ns0:c r="H384" t="str" s="12">
        <ns0:v>0603</ns0:v>
      </ns0:c>
      <ns0:c r="I384" t="str" s="10">
        <ns0:v>YAGEO</ns0:v>
      </ns0:c>
      <ns0:c r="J384" t="str" s="10">
        <ns0:v>RC0603FR-075K6L</ns0:v>
      </ns0:c>
      <ns0:c r="K384" t="str" s="11">
        <ns0:f>B384&amp;" "&amp;D384&amp;" "&amp;E384&amp;" "&amp;H384</ns0:f>
        <ns0:v>Резистор 5,6 кОм ±1% 0603</ns0:v>
      </ns0:c>
      <ns0:c r="L384" t="str" s="13">
        <ns0:v>R</ns0:v>
      </ns0:c>
      <ns0:c r="M384" t="str" s="13">
        <ns0:v>Symbols\MY_LIB_Resistors.SchLib</ns0:v>
      </ns0:c>
      <ns0:c r="N384" t="str" s="13">
        <ns0:v>RESC1608X55N</ns0:v>
      </ns0:c>
      <ns0:c r="O384" t="str" s="13">
        <ns0:v>Footprints\PBL - SMD Packages.PcbLib</ns0:v>
      </ns0:c>
      <ns0:c r="P384" t="str" s="10">
        <ns0:v>RC_L; E24; P при 70 °C; U ≤ min(√(P·R), Umax)</ns0:v>
      </ns0:c>
      <ns0:c r="Q384" s="10"/>
      <ns0:c r="R384" t="str" s="11">
        <ns0:f>D384</ns0:f>
        <ns0:v>5,6 кОм</ns0:v>
      </ns0:c>
      <ns0:c r="S384" t="str" s="11">
        <ns0:f>K384</ns0:f>
        <ns0:v>Резистор 5,6 кОм ±1% 0603</ns0:v>
      </ns0:c>
      <x:c xmlns:x="http://schemas.openxmlformats.org/spreadsheetml/2006/main" r="T384" t="str" s="11">
        <x:v>C:\Users\Nomatin\Documents\Altium\MY_LIB\MY_LIB\Datasheets\YAGEO_RC_L.pdf</x:v>
      </x:c>
      <x:c xmlns:x="http://schemas.openxmlformats.org/spreadsheetml/2006/main" r="U384" t="str" s="11">
        <x:v>Даташит — локальный</x:v>
      </x:c>
      <x:c xmlns:x="http://schemas.openxmlformats.org/spreadsheetml/2006/main" r="V384" t="str" s="11">
        <x:v>C:\Users\Nomatin\Documents\Altium\MY_LIB\MY_LIB\Datasheets\YAGEO_RC_L.pdf</x:v>
      </x:c>
      <x:c xmlns:x="http://schemas.openxmlformats.org/spreadsheetml/2006/main" r="W384" t="str" s="11">
        <x:v>Даташит — производитель</x:v>
      </x:c>
      <x:c xmlns:x="http://schemas.openxmlformats.org/spreadsheetml/2006/main" r="X384" t="str" s="11">
        <x:v>https://yageogroup.com/content/datasheet/asset/file/PYU-RC_GROUP_51_ROHS_L</x:v>
      </x:c>
      <x:c xmlns:x="http://schemas.openxmlformats.org/spreadsheetml/2006/main" r="Y384" t="str" s="11">
        <x:v>C:\Users\Nomatin\Documents\Altium\MY_LIB\MY_LIB\Datasheets\YAGEO_RC_L.pdf</x:v>
      </x:c>
    </ns0:row>
    <ns0:row xmlns:ns0="http://schemas.openxmlformats.org/spreadsheetml/2006/main" r="385" ht="30" customHeight="1">
      <ns0:c r="A385" t="str" s="10">
        <ns0:v>R0391</ns0:v>
      </ns0:c>
      <ns0:c r="B385" t="str" s="10">
        <ns0:v>Резистор</ns0:v>
      </ns0:c>
      <ns0:c r="C385" t="str" s="10">
        <ns0:v>6.2k</ns0:v>
      </ns0:c>
      <ns0:c r="D385" t="str" s="11">
        <ns0:f>SUBSTITUTE(SUBSTITUTE(SUBSTITUTE(SUBSTITUTE(C385,"meg"," МОм"),"k"," кОм"),"R"," Ом"),".",",")</ns0:f>
        <ns0:v>6,2 кОм</ns0:v>
      </ns0:c>
      <ns0:c r="E385" t="str" s="10">
        <ns0:v>±1%</ns0:v>
      </ns0:c>
      <ns0:c r="F385" t="str" s="10">
        <ns0:v>0,1 Вт</ns0:v>
      </ns0:c>
      <ns0:c r="G385" t="str" s="10">
        <ns0:v>75 В макс.</ns0:v>
      </ns0:c>
      <ns0:c r="H385" t="str" s="12">
        <ns0:v>0603</ns0:v>
      </ns0:c>
      <ns0:c r="I385" t="str" s="10">
        <ns0:v>YAGEO</ns0:v>
      </ns0:c>
      <ns0:c r="J385" t="str" s="10">
        <ns0:v>RC0603FR-076K2L</ns0:v>
      </ns0:c>
      <ns0:c r="K385" t="str" s="11">
        <ns0:f>B385&amp;" "&amp;D385&amp;" "&amp;E385&amp;" "&amp;H385</ns0:f>
        <ns0:v>Резистор 6,2 кОм ±1% 0603</ns0:v>
      </ns0:c>
      <ns0:c r="L385" t="str" s="13">
        <ns0:v>R</ns0:v>
      </ns0:c>
      <ns0:c r="M385" t="str" s="13">
        <ns0:v>Symbols\MY_LIB_Resistors.SchLib</ns0:v>
      </ns0:c>
      <ns0:c r="N385" t="str" s="13">
        <ns0:v>RESC1608X55N</ns0:v>
      </ns0:c>
      <ns0:c r="O385" t="str" s="13">
        <ns0:v>Footprints\PBL - SMD Packages.PcbLib</ns0:v>
      </ns0:c>
      <ns0:c r="P385" t="str" s="10">
        <ns0:v>RC_L; E24; P при 70 °C; U ≤ min(√(P·R), Umax)</ns0:v>
      </ns0:c>
      <ns0:c r="Q385" s="10"/>
      <ns0:c r="R385" t="str" s="11">
        <ns0:f>D385</ns0:f>
        <ns0:v>6,2 кОм</ns0:v>
      </ns0:c>
      <ns0:c r="S385" t="str" s="11">
        <ns0:f>K385</ns0:f>
        <ns0:v>Резистор 6,2 кОм ±1% 0603</ns0:v>
      </ns0:c>
      <x:c xmlns:x="http://schemas.openxmlformats.org/spreadsheetml/2006/main" r="T385" t="str" s="11">
        <x:v>C:\Users\Nomatin\Documents\Altium\MY_LIB\MY_LIB\Datasheets\YAGEO_RC_L.pdf</x:v>
      </x:c>
      <x:c xmlns:x="http://schemas.openxmlformats.org/spreadsheetml/2006/main" r="U385" t="str" s="11">
        <x:v>Даташит — локальный</x:v>
      </x:c>
      <x:c xmlns:x="http://schemas.openxmlformats.org/spreadsheetml/2006/main" r="V385" t="str" s="11">
        <x:v>C:\Users\Nomatin\Documents\Altium\MY_LIB\MY_LIB\Datasheets\YAGEO_RC_L.pdf</x:v>
      </x:c>
      <x:c xmlns:x="http://schemas.openxmlformats.org/spreadsheetml/2006/main" r="W385" t="str" s="11">
        <x:v>Даташит — производитель</x:v>
      </x:c>
      <x:c xmlns:x="http://schemas.openxmlformats.org/spreadsheetml/2006/main" r="X385" t="str" s="11">
        <x:v>https://yageogroup.com/content/datasheet/asset/file/PYU-RC_GROUP_51_ROHS_L</x:v>
      </x:c>
      <x:c xmlns:x="http://schemas.openxmlformats.org/spreadsheetml/2006/main" r="Y385" t="str" s="11">
        <x:v>C:\Users\Nomatin\Documents\Altium\MY_LIB\MY_LIB\Datasheets\YAGEO_RC_L.pdf</x:v>
      </x:c>
    </ns0:row>
    <ns0:row xmlns:ns0="http://schemas.openxmlformats.org/spreadsheetml/2006/main" r="386" ht="30" customHeight="1">
      <ns0:c r="A386" t="str" s="10">
        <ns0:v>R0392</ns0:v>
      </ns0:c>
      <ns0:c r="B386" t="str" s="10">
        <ns0:v>Резистор</ns0:v>
      </ns0:c>
      <ns0:c r="C386" t="str" s="10">
        <ns0:v>6.8k</ns0:v>
      </ns0:c>
      <ns0:c r="D386" t="str" s="11">
        <ns0:f>SUBSTITUTE(SUBSTITUTE(SUBSTITUTE(SUBSTITUTE(C386,"meg"," МОм"),"k"," кОм"),"R"," Ом"),".",",")</ns0:f>
        <ns0:v>6,8 кОм</ns0:v>
      </ns0:c>
      <ns0:c r="E386" t="str" s="10">
        <ns0:v>±1%</ns0:v>
      </ns0:c>
      <ns0:c r="F386" t="str" s="10">
        <ns0:v>0,1 Вт</ns0:v>
      </ns0:c>
      <ns0:c r="G386" t="str" s="10">
        <ns0:v>75 В макс.</ns0:v>
      </ns0:c>
      <ns0:c r="H386" t="str" s="12">
        <ns0:v>0603</ns0:v>
      </ns0:c>
      <ns0:c r="I386" t="str" s="10">
        <ns0:v>YAGEO</ns0:v>
      </ns0:c>
      <ns0:c r="J386" t="str" s="10">
        <ns0:v>RC0603FR-076K8L</ns0:v>
      </ns0:c>
      <ns0:c r="K386" t="str" s="11">
        <ns0:f>B386&amp;" "&amp;D386&amp;" "&amp;E386&amp;" "&amp;H386</ns0:f>
        <ns0:v>Резистор 6,8 кОм ±1% 0603</ns0:v>
      </ns0:c>
      <ns0:c r="L386" t="str" s="13">
        <ns0:v>R</ns0:v>
      </ns0:c>
      <ns0:c r="M386" t="str" s="13">
        <ns0:v>Symbols\MY_LIB_Resistors.SchLib</ns0:v>
      </ns0:c>
      <ns0:c r="N386" t="str" s="13">
        <ns0:v>RESC1608X55N</ns0:v>
      </ns0:c>
      <ns0:c r="O386" t="str" s="13">
        <ns0:v>Footprints\PBL - SMD Packages.PcbLib</ns0:v>
      </ns0:c>
      <ns0:c r="P386" t="str" s="10">
        <ns0:v>RC_L; E24; P при 70 °C; U ≤ min(√(P·R), Umax)</ns0:v>
      </ns0:c>
      <ns0:c r="Q386" s="10"/>
      <ns0:c r="R386" t="str" s="11">
        <ns0:f>D386</ns0:f>
        <ns0:v>6,8 кОм</ns0:v>
      </ns0:c>
      <ns0:c r="S386" t="str" s="11">
        <ns0:f>K386</ns0:f>
        <ns0:v>Резистор 6,8 кОм ±1% 0603</ns0:v>
      </ns0:c>
      <x:c xmlns:x="http://schemas.openxmlformats.org/spreadsheetml/2006/main" r="T386" t="str" s="11">
        <x:v>C:\Users\Nomatin\Documents\Altium\MY_LIB\MY_LIB\Datasheets\YAGEO_RC_L.pdf</x:v>
      </x:c>
      <x:c xmlns:x="http://schemas.openxmlformats.org/spreadsheetml/2006/main" r="U386" t="str" s="11">
        <x:v>Даташит — локальный</x:v>
      </x:c>
      <x:c xmlns:x="http://schemas.openxmlformats.org/spreadsheetml/2006/main" r="V386" t="str" s="11">
        <x:v>C:\Users\Nomatin\Documents\Altium\MY_LIB\MY_LIB\Datasheets\YAGEO_RC_L.pdf</x:v>
      </x:c>
      <x:c xmlns:x="http://schemas.openxmlformats.org/spreadsheetml/2006/main" r="W386" t="str" s="11">
        <x:v>Даташит — производитель</x:v>
      </x:c>
      <x:c xmlns:x="http://schemas.openxmlformats.org/spreadsheetml/2006/main" r="X386" t="str" s="11">
        <x:v>https://yageogroup.com/content/datasheet/asset/file/PYU-RC_GROUP_51_ROHS_L</x:v>
      </x:c>
      <x:c xmlns:x="http://schemas.openxmlformats.org/spreadsheetml/2006/main" r="Y386" t="str" s="11">
        <x:v>C:\Users\Nomatin\Documents\Altium\MY_LIB\MY_LIB\Datasheets\YAGEO_RC_L.pdf</x:v>
      </x:c>
    </ns0:row>
    <ns0:row xmlns:ns0="http://schemas.openxmlformats.org/spreadsheetml/2006/main" r="387" ht="30" customHeight="1">
      <ns0:c r="A387" t="str" s="10">
        <ns0:v>R0393</ns0:v>
      </ns0:c>
      <ns0:c r="B387" t="str" s="10">
        <ns0:v>Резистор</ns0:v>
      </ns0:c>
      <ns0:c r="C387" t="str" s="10">
        <ns0:v>7.5k</ns0:v>
      </ns0:c>
      <ns0:c r="D387" t="str" s="11">
        <ns0:f>SUBSTITUTE(SUBSTITUTE(SUBSTITUTE(SUBSTITUTE(C387,"meg"," МОм"),"k"," кОм"),"R"," Ом"),".",",")</ns0:f>
        <ns0:v>7,5 кОм</ns0:v>
      </ns0:c>
      <ns0:c r="E387" t="str" s="10">
        <ns0:v>±1%</ns0:v>
      </ns0:c>
      <ns0:c r="F387" t="str" s="10">
        <ns0:v>0,1 Вт</ns0:v>
      </ns0:c>
      <ns0:c r="G387" t="str" s="10">
        <ns0:v>75 В макс.</ns0:v>
      </ns0:c>
      <ns0:c r="H387" t="str" s="12">
        <ns0:v>0603</ns0:v>
      </ns0:c>
      <ns0:c r="I387" t="str" s="10">
        <ns0:v>YAGEO</ns0:v>
      </ns0:c>
      <ns0:c r="J387" t="str" s="10">
        <ns0:v>RC0603FR-077K5L</ns0:v>
      </ns0:c>
      <ns0:c r="K387" t="str" s="11">
        <ns0:f>B387&amp;" "&amp;D387&amp;" "&amp;E387&amp;" "&amp;H387</ns0:f>
        <ns0:v>Резистор 7,5 кОм ±1% 0603</ns0:v>
      </ns0:c>
      <ns0:c r="L387" t="str" s="13">
        <ns0:v>R</ns0:v>
      </ns0:c>
      <ns0:c r="M387" t="str" s="13">
        <ns0:v>Symbols\MY_LIB_Resistors.SchLib</ns0:v>
      </ns0:c>
      <ns0:c r="N387" t="str" s="13">
        <ns0:v>RESC1608X55N</ns0:v>
      </ns0:c>
      <ns0:c r="O387" t="str" s="13">
        <ns0:v>Footprints\PBL - SMD Packages.PcbLib</ns0:v>
      </ns0:c>
      <ns0:c r="P387" t="str" s="10">
        <ns0:v>RC_L; E24; P при 70 °C; U ≤ min(√(P·R), Umax)</ns0:v>
      </ns0:c>
      <ns0:c r="Q387" s="10"/>
      <ns0:c r="R387" t="str" s="11">
        <ns0:f>D387</ns0:f>
        <ns0:v>7,5 кОм</ns0:v>
      </ns0:c>
      <ns0:c r="S387" t="str" s="11">
        <ns0:f>K387</ns0:f>
        <ns0:v>Резистор 7,5 кОм ±1% 0603</ns0:v>
      </ns0:c>
      <x:c xmlns:x="http://schemas.openxmlformats.org/spreadsheetml/2006/main" r="T387" t="str" s="11">
        <x:v>C:\Users\Nomatin\Documents\Altium\MY_LIB\MY_LIB\Datasheets\YAGEO_RC_L.pdf</x:v>
      </x:c>
      <x:c xmlns:x="http://schemas.openxmlformats.org/spreadsheetml/2006/main" r="U387" t="str" s="11">
        <x:v>Даташит — локальный</x:v>
      </x:c>
      <x:c xmlns:x="http://schemas.openxmlformats.org/spreadsheetml/2006/main" r="V387" t="str" s="11">
        <x:v>C:\Users\Nomatin\Documents\Altium\MY_LIB\MY_LIB\Datasheets\YAGEO_RC_L.pdf</x:v>
      </x:c>
      <x:c xmlns:x="http://schemas.openxmlformats.org/spreadsheetml/2006/main" r="W387" t="str" s="11">
        <x:v>Даташит — производитель</x:v>
      </x:c>
      <x:c xmlns:x="http://schemas.openxmlformats.org/spreadsheetml/2006/main" r="X387" t="str" s="11">
        <x:v>https://yageogroup.com/content/datasheet/asset/file/PYU-RC_GROUP_51_ROHS_L</x:v>
      </x:c>
      <x:c xmlns:x="http://schemas.openxmlformats.org/spreadsheetml/2006/main" r="Y387" t="str" s="11">
        <x:v>C:\Users\Nomatin\Documents\Altium\MY_LIB\MY_LIB\Datasheets\YAGEO_RC_L.pdf</x:v>
      </x:c>
    </ns0:row>
    <ns0:row xmlns:ns0="http://schemas.openxmlformats.org/spreadsheetml/2006/main" r="388" ht="30" customHeight="1">
      <ns0:c r="A388" t="str" s="10">
        <ns0:v>R0394</ns0:v>
      </ns0:c>
      <ns0:c r="B388" t="str" s="10">
        <ns0:v>Резистор</ns0:v>
      </ns0:c>
      <ns0:c r="C388" t="str" s="10">
        <ns0:v>8.2k</ns0:v>
      </ns0:c>
      <ns0:c r="D388" t="str" s="11">
        <ns0:f>SUBSTITUTE(SUBSTITUTE(SUBSTITUTE(SUBSTITUTE(C388,"meg"," МОм"),"k"," кОм"),"R"," Ом"),".",",")</ns0:f>
        <ns0:v>8,2 кОм</ns0:v>
      </ns0:c>
      <ns0:c r="E388" t="str" s="10">
        <ns0:v>±1%</ns0:v>
      </ns0:c>
      <ns0:c r="F388" t="str" s="10">
        <ns0:v>0,1 Вт</ns0:v>
      </ns0:c>
      <ns0:c r="G388" t="str" s="10">
        <ns0:v>75 В макс.</ns0:v>
      </ns0:c>
      <ns0:c r="H388" t="str" s="12">
        <ns0:v>0603</ns0:v>
      </ns0:c>
      <ns0:c r="I388" t="str" s="10">
        <ns0:v>YAGEO</ns0:v>
      </ns0:c>
      <ns0:c r="J388" t="str" s="10">
        <ns0:v>RC0603FR-078K2L</ns0:v>
      </ns0:c>
      <ns0:c r="K388" t="str" s="11">
        <ns0:f>B388&amp;" "&amp;D388&amp;" "&amp;E388&amp;" "&amp;H388</ns0:f>
        <ns0:v>Резистор 8,2 кОм ±1% 0603</ns0:v>
      </ns0:c>
      <ns0:c r="L388" t="str" s="13">
        <ns0:v>R</ns0:v>
      </ns0:c>
      <ns0:c r="M388" t="str" s="13">
        <ns0:v>Symbols\MY_LIB_Resistors.SchLib</ns0:v>
      </ns0:c>
      <ns0:c r="N388" t="str" s="13">
        <ns0:v>RESC1608X55N</ns0:v>
      </ns0:c>
      <ns0:c r="O388" t="str" s="13">
        <ns0:v>Footprints\PBL - SMD Packages.PcbLib</ns0:v>
      </ns0:c>
      <ns0:c r="P388" t="str" s="10">
        <ns0:v>RC_L; E24; P при 70 °C; U ≤ min(√(P·R), Umax)</ns0:v>
      </ns0:c>
      <ns0:c r="Q388" s="10"/>
      <ns0:c r="R388" t="str" s="11">
        <ns0:f>D388</ns0:f>
        <ns0:v>8,2 кОм</ns0:v>
      </ns0:c>
      <ns0:c r="S388" t="str" s="11">
        <ns0:f>K388</ns0:f>
        <ns0:v>Резистор 8,2 кОм ±1% 0603</ns0:v>
      </ns0:c>
      <x:c xmlns:x="http://schemas.openxmlformats.org/spreadsheetml/2006/main" r="T388" t="str" s="11">
        <x:v>C:\Users\Nomatin\Documents\Altium\MY_LIB\MY_LIB\Datasheets\YAGEO_RC_L.pdf</x:v>
      </x:c>
      <x:c xmlns:x="http://schemas.openxmlformats.org/spreadsheetml/2006/main" r="U388" t="str" s="11">
        <x:v>Даташит — локальный</x:v>
      </x:c>
      <x:c xmlns:x="http://schemas.openxmlformats.org/spreadsheetml/2006/main" r="V388" t="str" s="11">
        <x:v>C:\Users\Nomatin\Documents\Altium\MY_LIB\MY_LIB\Datasheets\YAGEO_RC_L.pdf</x:v>
      </x:c>
      <x:c xmlns:x="http://schemas.openxmlformats.org/spreadsheetml/2006/main" r="W388" t="str" s="11">
        <x:v>Даташит — производитель</x:v>
      </x:c>
      <x:c xmlns:x="http://schemas.openxmlformats.org/spreadsheetml/2006/main" r="X388" t="str" s="11">
        <x:v>https://yageogroup.com/content/datasheet/asset/file/PYU-RC_GROUP_51_ROHS_L</x:v>
      </x:c>
      <x:c xmlns:x="http://schemas.openxmlformats.org/spreadsheetml/2006/main" r="Y388" t="str" s="11">
        <x:v>C:\Users\Nomatin\Documents\Altium\MY_LIB\MY_LIB\Datasheets\YAGEO_RC_L.pdf</x:v>
      </x:c>
    </ns0:row>
    <ns0:row xmlns:ns0="http://schemas.openxmlformats.org/spreadsheetml/2006/main" r="389" ht="30" customHeight="1">
      <ns0:c r="A389" t="str" s="10">
        <ns0:v>R0395</ns0:v>
      </ns0:c>
      <ns0:c r="B389" t="str" s="10">
        <ns0:v>Резистор</ns0:v>
      </ns0:c>
      <ns0:c r="C389" t="str" s="10">
        <ns0:v>9.1k</ns0:v>
      </ns0:c>
      <ns0:c r="D389" t="str" s="11">
        <ns0:f>SUBSTITUTE(SUBSTITUTE(SUBSTITUTE(SUBSTITUTE(C389,"meg"," МОм"),"k"," кОм"),"R"," Ом"),".",",")</ns0:f>
        <ns0:v>9,1 кОм</ns0:v>
      </ns0:c>
      <ns0:c r="E389" t="str" s="10">
        <ns0:v>±1%</ns0:v>
      </ns0:c>
      <ns0:c r="F389" t="str" s="10">
        <ns0:v>0,1 Вт</ns0:v>
      </ns0:c>
      <ns0:c r="G389" t="str" s="10">
        <ns0:v>75 В макс.</ns0:v>
      </ns0:c>
      <ns0:c r="H389" t="str" s="12">
        <ns0:v>0603</ns0:v>
      </ns0:c>
      <ns0:c r="I389" t="str" s="10">
        <ns0:v>YAGEO</ns0:v>
      </ns0:c>
      <ns0:c r="J389" t="str" s="10">
        <ns0:v>RC0603FR-079K1L</ns0:v>
      </ns0:c>
      <ns0:c r="K389" t="str" s="11">
        <ns0:f>B389&amp;" "&amp;D389&amp;" "&amp;E389&amp;" "&amp;H389</ns0:f>
        <ns0:v>Резистор 9,1 кОм ±1% 0603</ns0:v>
      </ns0:c>
      <ns0:c r="L389" t="str" s="13">
        <ns0:v>R</ns0:v>
      </ns0:c>
      <ns0:c r="M389" t="str" s="13">
        <ns0:v>Symbols\MY_LIB_Resistors.SchLib</ns0:v>
      </ns0:c>
      <ns0:c r="N389" t="str" s="13">
        <ns0:v>RESC1608X55N</ns0:v>
      </ns0:c>
      <ns0:c r="O389" t="str" s="13">
        <ns0:v>Footprints\PBL - SMD Packages.PcbLib</ns0:v>
      </ns0:c>
      <ns0:c r="P389" t="str" s="10">
        <ns0:v>RC_L; E24; P при 70 °C; U ≤ min(√(P·R), Umax)</ns0:v>
      </ns0:c>
      <ns0:c r="Q389" s="10"/>
      <ns0:c r="R389" t="str" s="11">
        <ns0:f>D389</ns0:f>
        <ns0:v>9,1 кОм</ns0:v>
      </ns0:c>
      <ns0:c r="S389" t="str" s="11">
        <ns0:f>K389</ns0:f>
        <ns0:v>Резистор 9,1 кОм ±1% 0603</ns0:v>
      </ns0:c>
      <x:c xmlns:x="http://schemas.openxmlformats.org/spreadsheetml/2006/main" r="T389" t="str" s="11">
        <x:v>C:\Users\Nomatin\Documents\Altium\MY_LIB\MY_LIB\Datasheets\YAGEO_RC_L.pdf</x:v>
      </x:c>
      <x:c xmlns:x="http://schemas.openxmlformats.org/spreadsheetml/2006/main" r="U389" t="str" s="11">
        <x:v>Даташит — локальный</x:v>
      </x:c>
      <x:c xmlns:x="http://schemas.openxmlformats.org/spreadsheetml/2006/main" r="V389" t="str" s="11">
        <x:v>C:\Users\Nomatin\Documents\Altium\MY_LIB\MY_LIB\Datasheets\YAGEO_RC_L.pdf</x:v>
      </x:c>
      <x:c xmlns:x="http://schemas.openxmlformats.org/spreadsheetml/2006/main" r="W389" t="str" s="11">
        <x:v>Даташит — производитель</x:v>
      </x:c>
      <x:c xmlns:x="http://schemas.openxmlformats.org/spreadsheetml/2006/main" r="X389" t="str" s="11">
        <x:v>https://yageogroup.com/content/datasheet/asset/file/PYU-RC_GROUP_51_ROHS_L</x:v>
      </x:c>
      <x:c xmlns:x="http://schemas.openxmlformats.org/spreadsheetml/2006/main" r="Y389" t="str" s="11">
        <x:v>C:\Users\Nomatin\Documents\Altium\MY_LIB\MY_LIB\Datasheets\YAGEO_RC_L.pdf</x:v>
      </x:c>
    </ns0:row>
    <ns0:row xmlns:ns0="http://schemas.openxmlformats.org/spreadsheetml/2006/main" r="390" ht="30" customHeight="1">
      <ns0:c r="A390" t="str" s="10">
        <ns0:v>R0396</ns0:v>
      </ns0:c>
      <ns0:c r="B390" t="str" s="10">
        <ns0:v>Резистор</ns0:v>
      </ns0:c>
      <ns0:c r="C390" t="str" s="10">
        <ns0:v>10k</ns0:v>
      </ns0:c>
      <ns0:c r="D390" t="str" s="11">
        <ns0:f>SUBSTITUTE(SUBSTITUTE(SUBSTITUTE(SUBSTITUTE(C390,"meg"," МОм"),"k"," кОм"),"R"," Ом"),".",",")</ns0:f>
        <ns0:v>10 кОм</ns0:v>
      </ns0:c>
      <ns0:c r="E390" t="str" s="10">
        <ns0:v>±1%</ns0:v>
      </ns0:c>
      <ns0:c r="F390" t="str" s="10">
        <ns0:v>0,1 Вт</ns0:v>
      </ns0:c>
      <ns0:c r="G390" t="str" s="10">
        <ns0:v>75 В макс.</ns0:v>
      </ns0:c>
      <ns0:c r="H390" t="str" s="12">
        <ns0:v>0603</ns0:v>
      </ns0:c>
      <ns0:c r="I390" t="str" s="10">
        <ns0:v>YAGEO</ns0:v>
      </ns0:c>
      <ns0:c r="J390" t="str" s="10">
        <ns0:v>RC0603FR-0710KL</ns0:v>
      </ns0:c>
      <ns0:c r="K390" t="str" s="11">
        <ns0:f>B390&amp;" "&amp;D390&amp;" "&amp;E390&amp;" "&amp;H390</ns0:f>
        <ns0:v>Резистор 10 кОм ±1% 0603</ns0:v>
      </ns0:c>
      <ns0:c r="L390" t="str" s="13">
        <ns0:v>R</ns0:v>
      </ns0:c>
      <ns0:c r="M390" t="str" s="13">
        <ns0:v>Symbols\MY_LIB_Resistors.SchLib</ns0:v>
      </ns0:c>
      <ns0:c r="N390" t="str" s="13">
        <ns0:v>RESC1608X55N</ns0:v>
      </ns0:c>
      <ns0:c r="O390" t="str" s="13">
        <ns0:v>Footprints\PBL - SMD Packages.PcbLib</ns0:v>
      </ns0:c>
      <ns0:c r="P390" t="str" s="10">
        <ns0:v>RC_L; E24; P при 70 °C; U ≤ min(√(P·R), Umax)</ns0:v>
      </ns0:c>
      <ns0:c r="Q390" s="10"/>
      <ns0:c r="R390" t="str" s="11">
        <ns0:f>D390</ns0:f>
        <ns0:v>10 кОм</ns0:v>
      </ns0:c>
      <ns0:c r="S390" t="str" s="11">
        <ns0:f>K390</ns0:f>
        <ns0:v>Резистор 10 кОм ±1% 0603</ns0:v>
      </ns0:c>
      <x:c xmlns:x="http://schemas.openxmlformats.org/spreadsheetml/2006/main" r="T390" t="str" s="11">
        <x:v>C:\Users\Nomatin\Documents\Altium\MY_LIB\MY_LIB\Datasheets\YAGEO_RC_L.pdf</x:v>
      </x:c>
      <x:c xmlns:x="http://schemas.openxmlformats.org/spreadsheetml/2006/main" r="U390" t="str" s="11">
        <x:v>Даташит — локальный</x:v>
      </x:c>
      <x:c xmlns:x="http://schemas.openxmlformats.org/spreadsheetml/2006/main" r="V390" t="str" s="11">
        <x:v>C:\Users\Nomatin\Documents\Altium\MY_LIB\MY_LIB\Datasheets\YAGEO_RC_L.pdf</x:v>
      </x:c>
      <x:c xmlns:x="http://schemas.openxmlformats.org/spreadsheetml/2006/main" r="W390" t="str" s="11">
        <x:v>Даташит — производитель</x:v>
      </x:c>
      <x:c xmlns:x="http://schemas.openxmlformats.org/spreadsheetml/2006/main" r="X390" t="str" s="11">
        <x:v>https://yageogroup.com/content/datasheet/asset/file/PYU-RC_GROUP_51_ROHS_L</x:v>
      </x:c>
      <x:c xmlns:x="http://schemas.openxmlformats.org/spreadsheetml/2006/main" r="Y390" t="str" s="11">
        <x:v>C:\Users\Nomatin\Documents\Altium\MY_LIB\MY_LIB\Datasheets\YAGEO_RC_L.pdf</x:v>
      </x:c>
    </ns0:row>
    <ns0:row xmlns:ns0="http://schemas.openxmlformats.org/spreadsheetml/2006/main" r="391" ht="30" customHeight="1">
      <ns0:c r="A391" t="str" s="10">
        <ns0:v>R0397</ns0:v>
      </ns0:c>
      <ns0:c r="B391" t="str" s="10">
        <ns0:v>Резистор</ns0:v>
      </ns0:c>
      <ns0:c r="C391" t="str" s="10">
        <ns0:v>11k</ns0:v>
      </ns0:c>
      <ns0:c r="D391" t="str" s="11">
        <ns0:f>SUBSTITUTE(SUBSTITUTE(SUBSTITUTE(SUBSTITUTE(C391,"meg"," МОм"),"k"," кОм"),"R"," Ом"),".",",")</ns0:f>
        <ns0:v>11 кОм</ns0:v>
      </ns0:c>
      <ns0:c r="E391" t="str" s="10">
        <ns0:v>±1%</ns0:v>
      </ns0:c>
      <ns0:c r="F391" t="str" s="10">
        <ns0:v>0,1 Вт</ns0:v>
      </ns0:c>
      <ns0:c r="G391" t="str" s="10">
        <ns0:v>75 В макс.</ns0:v>
      </ns0:c>
      <ns0:c r="H391" t="str" s="12">
        <ns0:v>0603</ns0:v>
      </ns0:c>
      <ns0:c r="I391" t="str" s="10">
        <ns0:v>YAGEO</ns0:v>
      </ns0:c>
      <ns0:c r="J391" t="str" s="10">
        <ns0:v>RC0603FR-0711KL</ns0:v>
      </ns0:c>
      <ns0:c r="K391" t="str" s="11">
        <ns0:f>B391&amp;" "&amp;D391&amp;" "&amp;E391&amp;" "&amp;H391</ns0:f>
        <ns0:v>Резистор 11 кОм ±1% 0603</ns0:v>
      </ns0:c>
      <ns0:c r="L391" t="str" s="13">
        <ns0:v>R</ns0:v>
      </ns0:c>
      <ns0:c r="M391" t="str" s="13">
        <ns0:v>Symbols\MY_LIB_Resistors.SchLib</ns0:v>
      </ns0:c>
      <ns0:c r="N391" t="str" s="13">
        <ns0:v>RESC1608X55N</ns0:v>
      </ns0:c>
      <ns0:c r="O391" t="str" s="13">
        <ns0:v>Footprints\PBL - SMD Packages.PcbLib</ns0:v>
      </ns0:c>
      <ns0:c r="P391" t="str" s="10">
        <ns0:v>RC_L; E24; P при 70 °C; U ≤ min(√(P·R), Umax)</ns0:v>
      </ns0:c>
      <ns0:c r="Q391" s="10"/>
      <ns0:c r="R391" t="str" s="11">
        <ns0:f>D391</ns0:f>
        <ns0:v>11 кОм</ns0:v>
      </ns0:c>
      <ns0:c r="S391" t="str" s="11">
        <ns0:f>K391</ns0:f>
        <ns0:v>Резистор 11 кОм ±1% 0603</ns0:v>
      </ns0:c>
      <x:c xmlns:x="http://schemas.openxmlformats.org/spreadsheetml/2006/main" r="T391" t="str" s="11">
        <x:v>C:\Users\Nomatin\Documents\Altium\MY_LIB\MY_LIB\Datasheets\YAGEO_RC_L.pdf</x:v>
      </x:c>
      <x:c xmlns:x="http://schemas.openxmlformats.org/spreadsheetml/2006/main" r="U391" t="str" s="11">
        <x:v>Даташит — локальный</x:v>
      </x:c>
      <x:c xmlns:x="http://schemas.openxmlformats.org/spreadsheetml/2006/main" r="V391" t="str" s="11">
        <x:v>C:\Users\Nomatin\Documents\Altium\MY_LIB\MY_LIB\Datasheets\YAGEO_RC_L.pdf</x:v>
      </x:c>
      <x:c xmlns:x="http://schemas.openxmlformats.org/spreadsheetml/2006/main" r="W391" t="str" s="11">
        <x:v>Даташит — производитель</x:v>
      </x:c>
      <x:c xmlns:x="http://schemas.openxmlformats.org/spreadsheetml/2006/main" r="X391" t="str" s="11">
        <x:v>https://yageogroup.com/content/datasheet/asset/file/PYU-RC_GROUP_51_ROHS_L</x:v>
      </x:c>
      <x:c xmlns:x="http://schemas.openxmlformats.org/spreadsheetml/2006/main" r="Y391" t="str" s="11">
        <x:v>C:\Users\Nomatin\Documents\Altium\MY_LIB\MY_LIB\Datasheets\YAGEO_RC_L.pdf</x:v>
      </x:c>
    </ns0:row>
    <ns0:row xmlns:ns0="http://schemas.openxmlformats.org/spreadsheetml/2006/main" r="392" ht="30" customHeight="1">
      <ns0:c r="A392" t="str" s="10">
        <ns0:v>R0398</ns0:v>
      </ns0:c>
      <ns0:c r="B392" t="str" s="10">
        <ns0:v>Резистор</ns0:v>
      </ns0:c>
      <ns0:c r="C392" t="str" s="10">
        <ns0:v>12k</ns0:v>
      </ns0:c>
      <ns0:c r="D392" t="str" s="11">
        <ns0:f>SUBSTITUTE(SUBSTITUTE(SUBSTITUTE(SUBSTITUTE(C392,"meg"," МОм"),"k"," кОм"),"R"," Ом"),".",",")</ns0:f>
        <ns0:v>12 кОм</ns0:v>
      </ns0:c>
      <ns0:c r="E392" t="str" s="10">
        <ns0:v>±1%</ns0:v>
      </ns0:c>
      <ns0:c r="F392" t="str" s="10">
        <ns0:v>0,1 Вт</ns0:v>
      </ns0:c>
      <ns0:c r="G392" t="str" s="10">
        <ns0:v>75 В макс.</ns0:v>
      </ns0:c>
      <ns0:c r="H392" t="str" s="12">
        <ns0:v>0603</ns0:v>
      </ns0:c>
      <ns0:c r="I392" t="str" s="10">
        <ns0:v>YAGEO</ns0:v>
      </ns0:c>
      <ns0:c r="J392" t="str" s="10">
        <ns0:v>RC0603FR-0712KL</ns0:v>
      </ns0:c>
      <ns0:c r="K392" t="str" s="11">
        <ns0:f>B392&amp;" "&amp;D392&amp;" "&amp;E392&amp;" "&amp;H392</ns0:f>
        <ns0:v>Резистор 12 кОм ±1% 0603</ns0:v>
      </ns0:c>
      <ns0:c r="L392" t="str" s="13">
        <ns0:v>R</ns0:v>
      </ns0:c>
      <ns0:c r="M392" t="str" s="13">
        <ns0:v>Symbols\MY_LIB_Resistors.SchLib</ns0:v>
      </ns0:c>
      <ns0:c r="N392" t="str" s="13">
        <ns0:v>RESC1608X55N</ns0:v>
      </ns0:c>
      <ns0:c r="O392" t="str" s="13">
        <ns0:v>Footprints\PBL - SMD Packages.PcbLib</ns0:v>
      </ns0:c>
      <ns0:c r="P392" t="str" s="10">
        <ns0:v>RC_L; E24; P при 70 °C; U ≤ min(√(P·R), Umax)</ns0:v>
      </ns0:c>
      <ns0:c r="Q392" s="10"/>
      <ns0:c r="R392" t="str" s="11">
        <ns0:f>D392</ns0:f>
        <ns0:v>12 кОм</ns0:v>
      </ns0:c>
      <ns0:c r="S392" t="str" s="11">
        <ns0:f>K392</ns0:f>
        <ns0:v>Резистор 12 кОм ±1% 0603</ns0:v>
      </ns0:c>
      <x:c xmlns:x="http://schemas.openxmlformats.org/spreadsheetml/2006/main" r="T392" t="str" s="11">
        <x:v>C:\Users\Nomatin\Documents\Altium\MY_LIB\MY_LIB\Datasheets\YAGEO_RC_L.pdf</x:v>
      </x:c>
      <x:c xmlns:x="http://schemas.openxmlformats.org/spreadsheetml/2006/main" r="U392" t="str" s="11">
        <x:v>Даташит — локальный</x:v>
      </x:c>
      <x:c xmlns:x="http://schemas.openxmlformats.org/spreadsheetml/2006/main" r="V392" t="str" s="11">
        <x:v>C:\Users\Nomatin\Documents\Altium\MY_LIB\MY_LIB\Datasheets\YAGEO_RC_L.pdf</x:v>
      </x:c>
      <x:c xmlns:x="http://schemas.openxmlformats.org/spreadsheetml/2006/main" r="W392" t="str" s="11">
        <x:v>Даташит — производитель</x:v>
      </x:c>
      <x:c xmlns:x="http://schemas.openxmlformats.org/spreadsheetml/2006/main" r="X392" t="str" s="11">
        <x:v>https://yageogroup.com/content/datasheet/asset/file/PYU-RC_GROUP_51_ROHS_L</x:v>
      </x:c>
      <x:c xmlns:x="http://schemas.openxmlformats.org/spreadsheetml/2006/main" r="Y392" t="str" s="11">
        <x:v>C:\Users\Nomatin\Documents\Altium\MY_LIB\MY_LIB\Datasheets\YAGEO_RC_L.pdf</x:v>
      </x:c>
    </ns0:row>
    <ns0:row xmlns:ns0="http://schemas.openxmlformats.org/spreadsheetml/2006/main" r="393" ht="30" customHeight="1">
      <ns0:c r="A393" t="str" s="10">
        <ns0:v>R0399</ns0:v>
      </ns0:c>
      <ns0:c r="B393" t="str" s="10">
        <ns0:v>Резистор</ns0:v>
      </ns0:c>
      <ns0:c r="C393" t="str" s="10">
        <ns0:v>13k</ns0:v>
      </ns0:c>
      <ns0:c r="D393" t="str" s="11">
        <ns0:f>SUBSTITUTE(SUBSTITUTE(SUBSTITUTE(SUBSTITUTE(C393,"meg"," МОм"),"k"," кОм"),"R"," Ом"),".",",")</ns0:f>
        <ns0:v>13 кОм</ns0:v>
      </ns0:c>
      <ns0:c r="E393" t="str" s="10">
        <ns0:v>±1%</ns0:v>
      </ns0:c>
      <ns0:c r="F393" t="str" s="10">
        <ns0:v>0,1 Вт</ns0:v>
      </ns0:c>
      <ns0:c r="G393" t="str" s="10">
        <ns0:v>75 В макс.</ns0:v>
      </ns0:c>
      <ns0:c r="H393" t="str" s="12">
        <ns0:v>0603</ns0:v>
      </ns0:c>
      <ns0:c r="I393" t="str" s="10">
        <ns0:v>YAGEO</ns0:v>
      </ns0:c>
      <ns0:c r="J393" t="str" s="10">
        <ns0:v>RC0603FR-0713KL</ns0:v>
      </ns0:c>
      <ns0:c r="K393" t="str" s="11">
        <ns0:f>B393&amp;" "&amp;D393&amp;" "&amp;E393&amp;" "&amp;H393</ns0:f>
        <ns0:v>Резистор 13 кОм ±1% 0603</ns0:v>
      </ns0:c>
      <ns0:c r="L393" t="str" s="13">
        <ns0:v>R</ns0:v>
      </ns0:c>
      <ns0:c r="M393" t="str" s="13">
        <ns0:v>Symbols\MY_LIB_Resistors.SchLib</ns0:v>
      </ns0:c>
      <ns0:c r="N393" t="str" s="13">
        <ns0:v>RESC1608X55N</ns0:v>
      </ns0:c>
      <ns0:c r="O393" t="str" s="13">
        <ns0:v>Footprints\PBL - SMD Packages.PcbLib</ns0:v>
      </ns0:c>
      <ns0:c r="P393" t="str" s="10">
        <ns0:v>RC_L; E24; P при 70 °C; U ≤ min(√(P·R), Umax)</ns0:v>
      </ns0:c>
      <ns0:c r="Q393" s="10"/>
      <ns0:c r="R393" t="str" s="11">
        <ns0:f>D393</ns0:f>
        <ns0:v>13 кОм</ns0:v>
      </ns0:c>
      <ns0:c r="S393" t="str" s="11">
        <ns0:f>K393</ns0:f>
        <ns0:v>Резистор 13 кОм ±1% 0603</ns0:v>
      </ns0:c>
      <x:c xmlns:x="http://schemas.openxmlformats.org/spreadsheetml/2006/main" r="T393" t="str" s="11">
        <x:v>C:\Users\Nomatin\Documents\Altium\MY_LIB\MY_LIB\Datasheets\YAGEO_RC_L.pdf</x:v>
      </x:c>
      <x:c xmlns:x="http://schemas.openxmlformats.org/spreadsheetml/2006/main" r="U393" t="str" s="11">
        <x:v>Даташит — локальный</x:v>
      </x:c>
      <x:c xmlns:x="http://schemas.openxmlformats.org/spreadsheetml/2006/main" r="V393" t="str" s="11">
        <x:v>C:\Users\Nomatin\Documents\Altium\MY_LIB\MY_LIB\Datasheets\YAGEO_RC_L.pdf</x:v>
      </x:c>
      <x:c xmlns:x="http://schemas.openxmlformats.org/spreadsheetml/2006/main" r="W393" t="str" s="11">
        <x:v>Даташит — производитель</x:v>
      </x:c>
      <x:c xmlns:x="http://schemas.openxmlformats.org/spreadsheetml/2006/main" r="X393" t="str" s="11">
        <x:v>https://yageogroup.com/content/datasheet/asset/file/PYU-RC_GROUP_51_ROHS_L</x:v>
      </x:c>
      <x:c xmlns:x="http://schemas.openxmlformats.org/spreadsheetml/2006/main" r="Y393" t="str" s="11">
        <x:v>C:\Users\Nomatin\Documents\Altium\MY_LIB\MY_LIB\Datasheets\YAGEO_RC_L.pdf</x:v>
      </x:c>
    </ns0:row>
    <ns0:row xmlns:ns0="http://schemas.openxmlformats.org/spreadsheetml/2006/main" r="394" ht="30" customHeight="1">
      <ns0:c r="A394" t="str" s="10">
        <ns0:v>R0400</ns0:v>
      </ns0:c>
      <ns0:c r="B394" t="str" s="10">
        <ns0:v>Резистор</ns0:v>
      </ns0:c>
      <ns0:c r="C394" t="str" s="10">
        <ns0:v>15k</ns0:v>
      </ns0:c>
      <ns0:c r="D394" t="str" s="11">
        <ns0:f>SUBSTITUTE(SUBSTITUTE(SUBSTITUTE(SUBSTITUTE(C394,"meg"," МОм"),"k"," кОм"),"R"," Ом"),".",",")</ns0:f>
        <ns0:v>15 кОм</ns0:v>
      </ns0:c>
      <ns0:c r="E394" t="str" s="10">
        <ns0:v>±1%</ns0:v>
      </ns0:c>
      <ns0:c r="F394" t="str" s="10">
        <ns0:v>0,1 Вт</ns0:v>
      </ns0:c>
      <ns0:c r="G394" t="str" s="10">
        <ns0:v>75 В макс.</ns0:v>
      </ns0:c>
      <ns0:c r="H394" t="str" s="12">
        <ns0:v>0603</ns0:v>
      </ns0:c>
      <ns0:c r="I394" t="str" s="10">
        <ns0:v>YAGEO</ns0:v>
      </ns0:c>
      <ns0:c r="J394" t="str" s="10">
        <ns0:v>RC0603FR-0715KL</ns0:v>
      </ns0:c>
      <ns0:c r="K394" t="str" s="11">
        <ns0:f>B394&amp;" "&amp;D394&amp;" "&amp;E394&amp;" "&amp;H394</ns0:f>
        <ns0:v>Резистор 15 кОм ±1% 0603</ns0:v>
      </ns0:c>
      <ns0:c r="L394" t="str" s="13">
        <ns0:v>R</ns0:v>
      </ns0:c>
      <ns0:c r="M394" t="str" s="13">
        <ns0:v>Symbols\MY_LIB_Resistors.SchLib</ns0:v>
      </ns0:c>
      <ns0:c r="N394" t="str" s="13">
        <ns0:v>RESC1608X55N</ns0:v>
      </ns0:c>
      <ns0:c r="O394" t="str" s="13">
        <ns0:v>Footprints\PBL - SMD Packages.PcbLib</ns0:v>
      </ns0:c>
      <ns0:c r="P394" t="str" s="10">
        <ns0:v>RC_L; E24; P при 70 °C; U ≤ min(√(P·R), Umax)</ns0:v>
      </ns0:c>
      <ns0:c r="Q394" s="10"/>
      <ns0:c r="R394" t="str" s="11">
        <ns0:f>D394</ns0:f>
        <ns0:v>15 кОм</ns0:v>
      </ns0:c>
      <ns0:c r="S394" t="str" s="11">
        <ns0:f>K394</ns0:f>
        <ns0:v>Резистор 15 кОм ±1% 0603</ns0:v>
      </ns0:c>
      <x:c xmlns:x="http://schemas.openxmlformats.org/spreadsheetml/2006/main" r="T394" t="str" s="11">
        <x:v>C:\Users\Nomatin\Documents\Altium\MY_LIB\MY_LIB\Datasheets\YAGEO_RC_L.pdf</x:v>
      </x:c>
      <x:c xmlns:x="http://schemas.openxmlformats.org/spreadsheetml/2006/main" r="U394" t="str" s="11">
        <x:v>Даташит — локальный</x:v>
      </x:c>
      <x:c xmlns:x="http://schemas.openxmlformats.org/spreadsheetml/2006/main" r="V394" t="str" s="11">
        <x:v>C:\Users\Nomatin\Documents\Altium\MY_LIB\MY_LIB\Datasheets\YAGEO_RC_L.pdf</x:v>
      </x:c>
      <x:c xmlns:x="http://schemas.openxmlformats.org/spreadsheetml/2006/main" r="W394" t="str" s="11">
        <x:v>Даташит — производитель</x:v>
      </x:c>
      <x:c xmlns:x="http://schemas.openxmlformats.org/spreadsheetml/2006/main" r="X394" t="str" s="11">
        <x:v>https://yageogroup.com/content/datasheet/asset/file/PYU-RC_GROUP_51_ROHS_L</x:v>
      </x:c>
      <x:c xmlns:x="http://schemas.openxmlformats.org/spreadsheetml/2006/main" r="Y394" t="str" s="11">
        <x:v>C:\Users\Nomatin\Documents\Altium\MY_LIB\MY_LIB\Datasheets\YAGEO_RC_L.pdf</x:v>
      </x:c>
    </ns0:row>
    <ns0:row xmlns:ns0="http://schemas.openxmlformats.org/spreadsheetml/2006/main" r="395" ht="30" customHeight="1">
      <ns0:c r="A395" t="str" s="10">
        <ns0:v>R0401</ns0:v>
      </ns0:c>
      <ns0:c r="B395" t="str" s="10">
        <ns0:v>Резистор</ns0:v>
      </ns0:c>
      <ns0:c r="C395" t="str" s="10">
        <ns0:v>16k</ns0:v>
      </ns0:c>
      <ns0:c r="D395" t="str" s="11">
        <ns0:f>SUBSTITUTE(SUBSTITUTE(SUBSTITUTE(SUBSTITUTE(C395,"meg"," МОм"),"k"," кОм"),"R"," Ом"),".",",")</ns0:f>
        <ns0:v>16 кОм</ns0:v>
      </ns0:c>
      <ns0:c r="E395" t="str" s="10">
        <ns0:v>±1%</ns0:v>
      </ns0:c>
      <ns0:c r="F395" t="str" s="10">
        <ns0:v>0,1 Вт</ns0:v>
      </ns0:c>
      <ns0:c r="G395" t="str" s="10">
        <ns0:v>75 В макс.</ns0:v>
      </ns0:c>
      <ns0:c r="H395" t="str" s="12">
        <ns0:v>0603</ns0:v>
      </ns0:c>
      <ns0:c r="I395" t="str" s="10">
        <ns0:v>YAGEO</ns0:v>
      </ns0:c>
      <ns0:c r="J395" t="str" s="10">
        <ns0:v>RC0603FR-0716KL</ns0:v>
      </ns0:c>
      <ns0:c r="K395" t="str" s="11">
        <ns0:f>B395&amp;" "&amp;D395&amp;" "&amp;E395&amp;" "&amp;H395</ns0:f>
        <ns0:v>Резистор 16 кОм ±1% 0603</ns0:v>
      </ns0:c>
      <ns0:c r="L395" t="str" s="13">
        <ns0:v>R</ns0:v>
      </ns0:c>
      <ns0:c r="M395" t="str" s="13">
        <ns0:v>Symbols\MY_LIB_Resistors.SchLib</ns0:v>
      </ns0:c>
      <ns0:c r="N395" t="str" s="13">
        <ns0:v>RESC1608X55N</ns0:v>
      </ns0:c>
      <ns0:c r="O395" t="str" s="13">
        <ns0:v>Footprints\PBL - SMD Packages.PcbLib</ns0:v>
      </ns0:c>
      <ns0:c r="P395" t="str" s="10">
        <ns0:v>RC_L; E24; P при 70 °C; U ≤ min(√(P·R), Umax)</ns0:v>
      </ns0:c>
      <ns0:c r="Q395" s="10"/>
      <ns0:c r="R395" t="str" s="11">
        <ns0:f>D395</ns0:f>
        <ns0:v>16 кОм</ns0:v>
      </ns0:c>
      <ns0:c r="S395" t="str" s="11">
        <ns0:f>K395</ns0:f>
        <ns0:v>Резистор 16 кОм ±1% 0603</ns0:v>
      </ns0:c>
      <x:c xmlns:x="http://schemas.openxmlformats.org/spreadsheetml/2006/main" r="T395" t="str" s="11">
        <x:v>C:\Users\Nomatin\Documents\Altium\MY_LIB\MY_LIB\Datasheets\YAGEO_RC_L.pdf</x:v>
      </x:c>
      <x:c xmlns:x="http://schemas.openxmlformats.org/spreadsheetml/2006/main" r="U395" t="str" s="11">
        <x:v>Даташит — локальный</x:v>
      </x:c>
      <x:c xmlns:x="http://schemas.openxmlformats.org/spreadsheetml/2006/main" r="V395" t="str" s="11">
        <x:v>C:\Users\Nomatin\Documents\Altium\MY_LIB\MY_LIB\Datasheets\YAGEO_RC_L.pdf</x:v>
      </x:c>
      <x:c xmlns:x="http://schemas.openxmlformats.org/spreadsheetml/2006/main" r="W395" t="str" s="11">
        <x:v>Даташит — производитель</x:v>
      </x:c>
      <x:c xmlns:x="http://schemas.openxmlformats.org/spreadsheetml/2006/main" r="X395" t="str" s="11">
        <x:v>https://yageogroup.com/content/datasheet/asset/file/PYU-RC_GROUP_51_ROHS_L</x:v>
      </x:c>
      <x:c xmlns:x="http://schemas.openxmlformats.org/spreadsheetml/2006/main" r="Y395" t="str" s="11">
        <x:v>C:\Users\Nomatin\Documents\Altium\MY_LIB\MY_LIB\Datasheets\YAGEO_RC_L.pdf</x:v>
      </x:c>
    </ns0:row>
    <ns0:row xmlns:ns0="http://schemas.openxmlformats.org/spreadsheetml/2006/main" r="396" ht="30" customHeight="1">
      <ns0:c r="A396" t="str" s="10">
        <ns0:v>R0402</ns0:v>
      </ns0:c>
      <ns0:c r="B396" t="str" s="10">
        <ns0:v>Резистор</ns0:v>
      </ns0:c>
      <ns0:c r="C396" t="str" s="10">
        <ns0:v>18k</ns0:v>
      </ns0:c>
      <ns0:c r="D396" t="str" s="11">
        <ns0:f>SUBSTITUTE(SUBSTITUTE(SUBSTITUTE(SUBSTITUTE(C396,"meg"," МОм"),"k"," кОм"),"R"," Ом"),".",",")</ns0:f>
        <ns0:v>18 кОм</ns0:v>
      </ns0:c>
      <ns0:c r="E396" t="str" s="10">
        <ns0:v>±1%</ns0:v>
      </ns0:c>
      <ns0:c r="F396" t="str" s="10">
        <ns0:v>0,1 Вт</ns0:v>
      </ns0:c>
      <ns0:c r="G396" t="str" s="10">
        <ns0:v>75 В макс.</ns0:v>
      </ns0:c>
      <ns0:c r="H396" t="str" s="12">
        <ns0:v>0603</ns0:v>
      </ns0:c>
      <ns0:c r="I396" t="str" s="10">
        <ns0:v>YAGEO</ns0:v>
      </ns0:c>
      <ns0:c r="J396" t="str" s="10">
        <ns0:v>RC0603FR-0718KL</ns0:v>
      </ns0:c>
      <ns0:c r="K396" t="str" s="11">
        <ns0:f>B396&amp;" "&amp;D396&amp;" "&amp;E396&amp;" "&amp;H396</ns0:f>
        <ns0:v>Резистор 18 кОм ±1% 0603</ns0:v>
      </ns0:c>
      <ns0:c r="L396" t="str" s="13">
        <ns0:v>R</ns0:v>
      </ns0:c>
      <ns0:c r="M396" t="str" s="13">
        <ns0:v>Symbols\MY_LIB_Resistors.SchLib</ns0:v>
      </ns0:c>
      <ns0:c r="N396" t="str" s="13">
        <ns0:v>RESC1608X55N</ns0:v>
      </ns0:c>
      <ns0:c r="O396" t="str" s="13">
        <ns0:v>Footprints\PBL - SMD Packages.PcbLib</ns0:v>
      </ns0:c>
      <ns0:c r="P396" t="str" s="10">
        <ns0:v>RC_L; E24; P при 70 °C; U ≤ min(√(P·R), Umax)</ns0:v>
      </ns0:c>
      <ns0:c r="Q396" s="10"/>
      <ns0:c r="R396" t="str" s="11">
        <ns0:f>D396</ns0:f>
        <ns0:v>18 кОм</ns0:v>
      </ns0:c>
      <ns0:c r="S396" t="str" s="11">
        <ns0:f>K396</ns0:f>
        <ns0:v>Резистор 18 кОм ±1% 0603</ns0:v>
      </ns0:c>
      <x:c xmlns:x="http://schemas.openxmlformats.org/spreadsheetml/2006/main" r="T396" t="str" s="11">
        <x:v>C:\Users\Nomatin\Documents\Altium\MY_LIB\MY_LIB\Datasheets\YAGEO_RC_L.pdf</x:v>
      </x:c>
      <x:c xmlns:x="http://schemas.openxmlformats.org/spreadsheetml/2006/main" r="U396" t="str" s="11">
        <x:v>Даташит — локальный</x:v>
      </x:c>
      <x:c xmlns:x="http://schemas.openxmlformats.org/spreadsheetml/2006/main" r="V396" t="str" s="11">
        <x:v>C:\Users\Nomatin\Documents\Altium\MY_LIB\MY_LIB\Datasheets\YAGEO_RC_L.pdf</x:v>
      </x:c>
      <x:c xmlns:x="http://schemas.openxmlformats.org/spreadsheetml/2006/main" r="W396" t="str" s="11">
        <x:v>Даташит — производитель</x:v>
      </x:c>
      <x:c xmlns:x="http://schemas.openxmlformats.org/spreadsheetml/2006/main" r="X396" t="str" s="11">
        <x:v>https://yageogroup.com/content/datasheet/asset/file/PYU-RC_GROUP_51_ROHS_L</x:v>
      </x:c>
      <x:c xmlns:x="http://schemas.openxmlformats.org/spreadsheetml/2006/main" r="Y396" t="str" s="11">
        <x:v>C:\Users\Nomatin\Documents\Altium\MY_LIB\MY_LIB\Datasheets\YAGEO_RC_L.pdf</x:v>
      </x:c>
    </ns0:row>
    <ns0:row xmlns:ns0="http://schemas.openxmlformats.org/spreadsheetml/2006/main" r="397" ht="30" customHeight="1">
      <ns0:c r="A397" t="str" s="10">
        <ns0:v>R0403</ns0:v>
      </ns0:c>
      <ns0:c r="B397" t="str" s="10">
        <ns0:v>Резистор</ns0:v>
      </ns0:c>
      <ns0:c r="C397" t="str" s="10">
        <ns0:v>20k</ns0:v>
      </ns0:c>
      <ns0:c r="D397" t="str" s="11">
        <ns0:f>SUBSTITUTE(SUBSTITUTE(SUBSTITUTE(SUBSTITUTE(C397,"meg"," МОм"),"k"," кОм"),"R"," Ом"),".",",")</ns0:f>
        <ns0:v>20 кОм</ns0:v>
      </ns0:c>
      <ns0:c r="E397" t="str" s="10">
        <ns0:v>±1%</ns0:v>
      </ns0:c>
      <ns0:c r="F397" t="str" s="10">
        <ns0:v>0,1 Вт</ns0:v>
      </ns0:c>
      <ns0:c r="G397" t="str" s="10">
        <ns0:v>75 В макс.</ns0:v>
      </ns0:c>
      <ns0:c r="H397" t="str" s="12">
        <ns0:v>0603</ns0:v>
      </ns0:c>
      <ns0:c r="I397" t="str" s="10">
        <ns0:v>YAGEO</ns0:v>
      </ns0:c>
      <ns0:c r="J397" t="str" s="10">
        <ns0:v>RC0603FR-0720KL</ns0:v>
      </ns0:c>
      <ns0:c r="K397" t="str" s="11">
        <ns0:f>B397&amp;" "&amp;D397&amp;" "&amp;E397&amp;" "&amp;H397</ns0:f>
        <ns0:v>Резистор 20 кОм ±1% 0603</ns0:v>
      </ns0:c>
      <ns0:c r="L397" t="str" s="13">
        <ns0:v>R</ns0:v>
      </ns0:c>
      <ns0:c r="M397" t="str" s="13">
        <ns0:v>Symbols\MY_LIB_Resistors.SchLib</ns0:v>
      </ns0:c>
      <ns0:c r="N397" t="str" s="13">
        <ns0:v>RESC1608X55N</ns0:v>
      </ns0:c>
      <ns0:c r="O397" t="str" s="13">
        <ns0:v>Footprints\PBL - SMD Packages.PcbLib</ns0:v>
      </ns0:c>
      <ns0:c r="P397" t="str" s="10">
        <ns0:v>RC_L; E24; P при 70 °C; U ≤ min(√(P·R), Umax)</ns0:v>
      </ns0:c>
      <ns0:c r="Q397" s="10"/>
      <ns0:c r="R397" t="str" s="11">
        <ns0:f>D397</ns0:f>
        <ns0:v>20 кОм</ns0:v>
      </ns0:c>
      <ns0:c r="S397" t="str" s="11">
        <ns0:f>K397</ns0:f>
        <ns0:v>Резистор 20 кОм ±1% 0603</ns0:v>
      </ns0:c>
      <x:c xmlns:x="http://schemas.openxmlformats.org/spreadsheetml/2006/main" r="T397" t="str" s="11">
        <x:v>C:\Users\Nomatin\Documents\Altium\MY_LIB\MY_LIB\Datasheets\YAGEO_RC_L.pdf</x:v>
      </x:c>
      <x:c xmlns:x="http://schemas.openxmlformats.org/spreadsheetml/2006/main" r="U397" t="str" s="11">
        <x:v>Даташит — локальный</x:v>
      </x:c>
      <x:c xmlns:x="http://schemas.openxmlformats.org/spreadsheetml/2006/main" r="V397" t="str" s="11">
        <x:v>C:\Users\Nomatin\Documents\Altium\MY_LIB\MY_LIB\Datasheets\YAGEO_RC_L.pdf</x:v>
      </x:c>
      <x:c xmlns:x="http://schemas.openxmlformats.org/spreadsheetml/2006/main" r="W397" t="str" s="11">
        <x:v>Даташит — производитель</x:v>
      </x:c>
      <x:c xmlns:x="http://schemas.openxmlformats.org/spreadsheetml/2006/main" r="X397" t="str" s="11">
        <x:v>https://yageogroup.com/content/datasheet/asset/file/PYU-RC_GROUP_51_ROHS_L</x:v>
      </x:c>
      <x:c xmlns:x="http://schemas.openxmlformats.org/spreadsheetml/2006/main" r="Y397" t="str" s="11">
        <x:v>C:\Users\Nomatin\Documents\Altium\MY_LIB\MY_LIB\Datasheets\YAGEO_RC_L.pdf</x:v>
      </x:c>
    </ns0:row>
    <ns0:row xmlns:ns0="http://schemas.openxmlformats.org/spreadsheetml/2006/main" r="398" ht="30" customHeight="1">
      <ns0:c r="A398" t="str" s="10">
        <ns0:v>R0404</ns0:v>
      </ns0:c>
      <ns0:c r="B398" t="str" s="10">
        <ns0:v>Резистор</ns0:v>
      </ns0:c>
      <ns0:c r="C398" t="str" s="10">
        <ns0:v>22k</ns0:v>
      </ns0:c>
      <ns0:c r="D398" t="str" s="11">
        <ns0:f>SUBSTITUTE(SUBSTITUTE(SUBSTITUTE(SUBSTITUTE(C398,"meg"," МОм"),"k"," кОм"),"R"," Ом"),".",",")</ns0:f>
        <ns0:v>22 кОм</ns0:v>
      </ns0:c>
      <ns0:c r="E398" t="str" s="10">
        <ns0:v>±1%</ns0:v>
      </ns0:c>
      <ns0:c r="F398" t="str" s="10">
        <ns0:v>0,1 Вт</ns0:v>
      </ns0:c>
      <ns0:c r="G398" t="str" s="10">
        <ns0:v>75 В макс.</ns0:v>
      </ns0:c>
      <ns0:c r="H398" t="str" s="12">
        <ns0:v>0603</ns0:v>
      </ns0:c>
      <ns0:c r="I398" t="str" s="10">
        <ns0:v>YAGEO</ns0:v>
      </ns0:c>
      <ns0:c r="J398" t="str" s="10">
        <ns0:v>RC0603FR-0722KL</ns0:v>
      </ns0:c>
      <ns0:c r="K398" t="str" s="11">
        <ns0:f>B398&amp;" "&amp;D398&amp;" "&amp;E398&amp;" "&amp;H398</ns0:f>
        <ns0:v>Резистор 22 кОм ±1% 0603</ns0:v>
      </ns0:c>
      <ns0:c r="L398" t="str" s="13">
        <ns0:v>R</ns0:v>
      </ns0:c>
      <ns0:c r="M398" t="str" s="13">
        <ns0:v>Symbols\MY_LIB_Resistors.SchLib</ns0:v>
      </ns0:c>
      <ns0:c r="N398" t="str" s="13">
        <ns0:v>RESC1608X55N</ns0:v>
      </ns0:c>
      <ns0:c r="O398" t="str" s="13">
        <ns0:v>Footprints\PBL - SMD Packages.PcbLib</ns0:v>
      </ns0:c>
      <ns0:c r="P398" t="str" s="10">
        <ns0:v>RC_L; E24; P при 70 °C; U ≤ min(√(P·R), Umax)</ns0:v>
      </ns0:c>
      <ns0:c r="Q398" s="10"/>
      <ns0:c r="R398" t="str" s="11">
        <ns0:f>D398</ns0:f>
        <ns0:v>22 кОм</ns0:v>
      </ns0:c>
      <ns0:c r="S398" t="str" s="11">
        <ns0:f>K398</ns0:f>
        <ns0:v>Резистор 22 кОм ±1% 0603</ns0:v>
      </ns0:c>
      <x:c xmlns:x="http://schemas.openxmlformats.org/spreadsheetml/2006/main" r="T398" t="str" s="11">
        <x:v>C:\Users\Nomatin\Documents\Altium\MY_LIB\MY_LIB\Datasheets\YAGEO_RC_L.pdf</x:v>
      </x:c>
      <x:c xmlns:x="http://schemas.openxmlformats.org/spreadsheetml/2006/main" r="U398" t="str" s="11">
        <x:v>Даташит — локальный</x:v>
      </x:c>
      <x:c xmlns:x="http://schemas.openxmlformats.org/spreadsheetml/2006/main" r="V398" t="str" s="11">
        <x:v>C:\Users\Nomatin\Documents\Altium\MY_LIB\MY_LIB\Datasheets\YAGEO_RC_L.pdf</x:v>
      </x:c>
      <x:c xmlns:x="http://schemas.openxmlformats.org/spreadsheetml/2006/main" r="W398" t="str" s="11">
        <x:v>Даташит — производитель</x:v>
      </x:c>
      <x:c xmlns:x="http://schemas.openxmlformats.org/spreadsheetml/2006/main" r="X398" t="str" s="11">
        <x:v>https://yageogroup.com/content/datasheet/asset/file/PYU-RC_GROUP_51_ROHS_L</x:v>
      </x:c>
      <x:c xmlns:x="http://schemas.openxmlformats.org/spreadsheetml/2006/main" r="Y398" t="str" s="11">
        <x:v>C:\Users\Nomatin\Documents\Altium\MY_LIB\MY_LIB\Datasheets\YAGEO_RC_L.pdf</x:v>
      </x:c>
    </ns0:row>
    <ns0:row xmlns:ns0="http://schemas.openxmlformats.org/spreadsheetml/2006/main" r="399" ht="30" customHeight="1">
      <ns0:c r="A399" t="str" s="10">
        <ns0:v>R0405</ns0:v>
      </ns0:c>
      <ns0:c r="B399" t="str" s="10">
        <ns0:v>Резистор</ns0:v>
      </ns0:c>
      <ns0:c r="C399" t="str" s="10">
        <ns0:v>24k</ns0:v>
      </ns0:c>
      <ns0:c r="D399" t="str" s="11">
        <ns0:f>SUBSTITUTE(SUBSTITUTE(SUBSTITUTE(SUBSTITUTE(C399,"meg"," МОм"),"k"," кОм"),"R"," Ом"),".",",")</ns0:f>
        <ns0:v>24 кОм</ns0:v>
      </ns0:c>
      <ns0:c r="E399" t="str" s="10">
        <ns0:v>±1%</ns0:v>
      </ns0:c>
      <ns0:c r="F399" t="str" s="10">
        <ns0:v>0,1 Вт</ns0:v>
      </ns0:c>
      <ns0:c r="G399" t="str" s="10">
        <ns0:v>75 В макс.</ns0:v>
      </ns0:c>
      <ns0:c r="H399" t="str" s="12">
        <ns0:v>0603</ns0:v>
      </ns0:c>
      <ns0:c r="I399" t="str" s="10">
        <ns0:v>YAGEO</ns0:v>
      </ns0:c>
      <ns0:c r="J399" t="str" s="10">
        <ns0:v>RC0603FR-0724KL</ns0:v>
      </ns0:c>
      <ns0:c r="K399" t="str" s="11">
        <ns0:f>B399&amp;" "&amp;D399&amp;" "&amp;E399&amp;" "&amp;H399</ns0:f>
        <ns0:v>Резистор 24 кОм ±1% 0603</ns0:v>
      </ns0:c>
      <ns0:c r="L399" t="str" s="13">
        <ns0:v>R</ns0:v>
      </ns0:c>
      <ns0:c r="M399" t="str" s="13">
        <ns0:v>Symbols\MY_LIB_Resistors.SchLib</ns0:v>
      </ns0:c>
      <ns0:c r="N399" t="str" s="13">
        <ns0:v>RESC1608X55N</ns0:v>
      </ns0:c>
      <ns0:c r="O399" t="str" s="13">
        <ns0:v>Footprints\PBL - SMD Packages.PcbLib</ns0:v>
      </ns0:c>
      <ns0:c r="P399" t="str" s="10">
        <ns0:v>RC_L; E24; P при 70 °C; U ≤ min(√(P·R), Umax)</ns0:v>
      </ns0:c>
      <ns0:c r="Q399" s="10"/>
      <ns0:c r="R399" t="str" s="11">
        <ns0:f>D399</ns0:f>
        <ns0:v>24 кОм</ns0:v>
      </ns0:c>
      <ns0:c r="S399" t="str" s="11">
        <ns0:f>K399</ns0:f>
        <ns0:v>Резистор 24 кОм ±1% 0603</ns0:v>
      </ns0:c>
      <x:c xmlns:x="http://schemas.openxmlformats.org/spreadsheetml/2006/main" r="T399" t="str" s="11">
        <x:v>C:\Users\Nomatin\Documents\Altium\MY_LIB\MY_LIB\Datasheets\YAGEO_RC_L.pdf</x:v>
      </x:c>
      <x:c xmlns:x="http://schemas.openxmlformats.org/spreadsheetml/2006/main" r="U399" t="str" s="11">
        <x:v>Даташит — локальный</x:v>
      </x:c>
      <x:c xmlns:x="http://schemas.openxmlformats.org/spreadsheetml/2006/main" r="V399" t="str" s="11">
        <x:v>C:\Users\Nomatin\Documents\Altium\MY_LIB\MY_LIB\Datasheets\YAGEO_RC_L.pdf</x:v>
      </x:c>
      <x:c xmlns:x="http://schemas.openxmlformats.org/spreadsheetml/2006/main" r="W399" t="str" s="11">
        <x:v>Даташит — производитель</x:v>
      </x:c>
      <x:c xmlns:x="http://schemas.openxmlformats.org/spreadsheetml/2006/main" r="X399" t="str" s="11">
        <x:v>https://yageogroup.com/content/datasheet/asset/file/PYU-RC_GROUP_51_ROHS_L</x:v>
      </x:c>
      <x:c xmlns:x="http://schemas.openxmlformats.org/spreadsheetml/2006/main" r="Y399" t="str" s="11">
        <x:v>C:\Users\Nomatin\Documents\Altium\MY_LIB\MY_LIB\Datasheets\YAGEO_RC_L.pdf</x:v>
      </x:c>
    </ns0:row>
    <ns0:row xmlns:ns0="http://schemas.openxmlformats.org/spreadsheetml/2006/main" r="400" ht="30" customHeight="1">
      <ns0:c r="A400" t="str" s="10">
        <ns0:v>R0406</ns0:v>
      </ns0:c>
      <ns0:c r="B400" t="str" s="10">
        <ns0:v>Резистор</ns0:v>
      </ns0:c>
      <ns0:c r="C400" t="str" s="10">
        <ns0:v>27k</ns0:v>
      </ns0:c>
      <ns0:c r="D400" t="str" s="11">
        <ns0:f>SUBSTITUTE(SUBSTITUTE(SUBSTITUTE(SUBSTITUTE(C400,"meg"," МОм"),"k"," кОм"),"R"," Ом"),".",",")</ns0:f>
        <ns0:v>27 кОм</ns0:v>
      </ns0:c>
      <ns0:c r="E400" t="str" s="10">
        <ns0:v>±1%</ns0:v>
      </ns0:c>
      <ns0:c r="F400" t="str" s="10">
        <ns0:v>0,1 Вт</ns0:v>
      </ns0:c>
      <ns0:c r="G400" t="str" s="10">
        <ns0:v>75 В макс.</ns0:v>
      </ns0:c>
      <ns0:c r="H400" t="str" s="12">
        <ns0:v>0603</ns0:v>
      </ns0:c>
      <ns0:c r="I400" t="str" s="10">
        <ns0:v>YAGEO</ns0:v>
      </ns0:c>
      <ns0:c r="J400" t="str" s="10">
        <ns0:v>RC0603FR-0727KL</ns0:v>
      </ns0:c>
      <ns0:c r="K400" t="str" s="11">
        <ns0:f>B400&amp;" "&amp;D400&amp;" "&amp;E400&amp;" "&amp;H400</ns0:f>
        <ns0:v>Резистор 27 кОм ±1% 0603</ns0:v>
      </ns0:c>
      <ns0:c r="L400" t="str" s="13">
        <ns0:v>R</ns0:v>
      </ns0:c>
      <ns0:c r="M400" t="str" s="13">
        <ns0:v>Symbols\MY_LIB_Resistors.SchLib</ns0:v>
      </ns0:c>
      <ns0:c r="N400" t="str" s="13">
        <ns0:v>RESC1608X55N</ns0:v>
      </ns0:c>
      <ns0:c r="O400" t="str" s="13">
        <ns0:v>Footprints\PBL - SMD Packages.PcbLib</ns0:v>
      </ns0:c>
      <ns0:c r="P400" t="str" s="10">
        <ns0:v>RC_L; E24; P при 70 °C; U ≤ min(√(P·R), Umax)</ns0:v>
      </ns0:c>
      <ns0:c r="Q400" s="10"/>
      <ns0:c r="R400" t="str" s="11">
        <ns0:f>D400</ns0:f>
        <ns0:v>27 кОм</ns0:v>
      </ns0:c>
      <ns0:c r="S400" t="str" s="11">
        <ns0:f>K400</ns0:f>
        <ns0:v>Резистор 27 кОм ±1% 0603</ns0:v>
      </ns0:c>
      <x:c xmlns:x="http://schemas.openxmlformats.org/spreadsheetml/2006/main" r="T400" t="str" s="11">
        <x:v>C:\Users\Nomatin\Documents\Altium\MY_LIB\MY_LIB\Datasheets\YAGEO_RC_L.pdf</x:v>
      </x:c>
      <x:c xmlns:x="http://schemas.openxmlformats.org/spreadsheetml/2006/main" r="U400" t="str" s="11">
        <x:v>Даташит — локальный</x:v>
      </x:c>
      <x:c xmlns:x="http://schemas.openxmlformats.org/spreadsheetml/2006/main" r="V400" t="str" s="11">
        <x:v>C:\Users\Nomatin\Documents\Altium\MY_LIB\MY_LIB\Datasheets\YAGEO_RC_L.pdf</x:v>
      </x:c>
      <x:c xmlns:x="http://schemas.openxmlformats.org/spreadsheetml/2006/main" r="W400" t="str" s="11">
        <x:v>Даташит — производитель</x:v>
      </x:c>
      <x:c xmlns:x="http://schemas.openxmlformats.org/spreadsheetml/2006/main" r="X400" t="str" s="11">
        <x:v>https://yageogroup.com/content/datasheet/asset/file/PYU-RC_GROUP_51_ROHS_L</x:v>
      </x:c>
      <x:c xmlns:x="http://schemas.openxmlformats.org/spreadsheetml/2006/main" r="Y400" t="str" s="11">
        <x:v>C:\Users\Nomatin\Documents\Altium\MY_LIB\MY_LIB\Datasheets\YAGEO_RC_L.pdf</x:v>
      </x:c>
    </ns0:row>
    <ns0:row xmlns:ns0="http://schemas.openxmlformats.org/spreadsheetml/2006/main" r="401" ht="30" customHeight="1">
      <ns0:c r="A401" t="str" s="10">
        <ns0:v>R0407</ns0:v>
      </ns0:c>
      <ns0:c r="B401" t="str" s="10">
        <ns0:v>Резистор</ns0:v>
      </ns0:c>
      <ns0:c r="C401" t="str" s="10">
        <ns0:v>30k</ns0:v>
      </ns0:c>
      <ns0:c r="D401" t="str" s="11">
        <ns0:f>SUBSTITUTE(SUBSTITUTE(SUBSTITUTE(SUBSTITUTE(C401,"meg"," МОм"),"k"," кОм"),"R"," Ом"),".",",")</ns0:f>
        <ns0:v>30 кОм</ns0:v>
      </ns0:c>
      <ns0:c r="E401" t="str" s="10">
        <ns0:v>±1%</ns0:v>
      </ns0:c>
      <ns0:c r="F401" t="str" s="10">
        <ns0:v>0,1 Вт</ns0:v>
      </ns0:c>
      <ns0:c r="G401" t="str" s="10">
        <ns0:v>75 В макс.</ns0:v>
      </ns0:c>
      <ns0:c r="H401" t="str" s="12">
        <ns0:v>0603</ns0:v>
      </ns0:c>
      <ns0:c r="I401" t="str" s="10">
        <ns0:v>YAGEO</ns0:v>
      </ns0:c>
      <ns0:c r="J401" t="str" s="10">
        <ns0:v>RC0603FR-0730KL</ns0:v>
      </ns0:c>
      <ns0:c r="K401" t="str" s="11">
        <ns0:f>B401&amp;" "&amp;D401&amp;" "&amp;E401&amp;" "&amp;H401</ns0:f>
        <ns0:v>Резистор 30 кОм ±1% 0603</ns0:v>
      </ns0:c>
      <ns0:c r="L401" t="str" s="13">
        <ns0:v>R</ns0:v>
      </ns0:c>
      <ns0:c r="M401" t="str" s="13">
        <ns0:v>Symbols\MY_LIB_Resistors.SchLib</ns0:v>
      </ns0:c>
      <ns0:c r="N401" t="str" s="13">
        <ns0:v>RESC1608X55N</ns0:v>
      </ns0:c>
      <ns0:c r="O401" t="str" s="13">
        <ns0:v>Footprints\PBL - SMD Packages.PcbLib</ns0:v>
      </ns0:c>
      <ns0:c r="P401" t="str" s="10">
        <ns0:v>RC_L; E24; P при 70 °C; U ≤ min(√(P·R), Umax)</ns0:v>
      </ns0:c>
      <ns0:c r="Q401" s="10"/>
      <ns0:c r="R401" t="str" s="11">
        <ns0:f>D401</ns0:f>
        <ns0:v>30 кОм</ns0:v>
      </ns0:c>
      <ns0:c r="S401" t="str" s="11">
        <ns0:f>K401</ns0:f>
        <ns0:v>Резистор 30 кОм ±1% 0603</ns0:v>
      </ns0:c>
      <x:c xmlns:x="http://schemas.openxmlformats.org/spreadsheetml/2006/main" r="T401" t="str" s="11">
        <x:v>C:\Users\Nomatin\Documents\Altium\MY_LIB\MY_LIB\Datasheets\YAGEO_RC_L.pdf</x:v>
      </x:c>
      <x:c xmlns:x="http://schemas.openxmlformats.org/spreadsheetml/2006/main" r="U401" t="str" s="11">
        <x:v>Даташит — локальный</x:v>
      </x:c>
      <x:c xmlns:x="http://schemas.openxmlformats.org/spreadsheetml/2006/main" r="V401" t="str" s="11">
        <x:v>C:\Users\Nomatin\Documents\Altium\MY_LIB\MY_LIB\Datasheets\YAGEO_RC_L.pdf</x:v>
      </x:c>
      <x:c xmlns:x="http://schemas.openxmlformats.org/spreadsheetml/2006/main" r="W401" t="str" s="11">
        <x:v>Даташит — производитель</x:v>
      </x:c>
      <x:c xmlns:x="http://schemas.openxmlformats.org/spreadsheetml/2006/main" r="X401" t="str" s="11">
        <x:v>https://yageogroup.com/content/datasheet/asset/file/PYU-RC_GROUP_51_ROHS_L</x:v>
      </x:c>
      <x:c xmlns:x="http://schemas.openxmlformats.org/spreadsheetml/2006/main" r="Y401" t="str" s="11">
        <x:v>C:\Users\Nomatin\Documents\Altium\MY_LIB\MY_LIB\Datasheets\YAGEO_RC_L.pdf</x:v>
      </x:c>
    </ns0:row>
    <ns0:row xmlns:ns0="http://schemas.openxmlformats.org/spreadsheetml/2006/main" r="402" ht="30" customHeight="1">
      <ns0:c r="A402" t="str" s="10">
        <ns0:v>R0408</ns0:v>
      </ns0:c>
      <ns0:c r="B402" t="str" s="10">
        <ns0:v>Резистор</ns0:v>
      </ns0:c>
      <ns0:c r="C402" t="str" s="10">
        <ns0:v>33k</ns0:v>
      </ns0:c>
      <ns0:c r="D402" t="str" s="11">
        <ns0:f>SUBSTITUTE(SUBSTITUTE(SUBSTITUTE(SUBSTITUTE(C402,"meg"," МОм"),"k"," кОм"),"R"," Ом"),".",",")</ns0:f>
        <ns0:v>33 кОм</ns0:v>
      </ns0:c>
      <ns0:c r="E402" t="str" s="10">
        <ns0:v>±1%</ns0:v>
      </ns0:c>
      <ns0:c r="F402" t="str" s="10">
        <ns0:v>0,1 Вт</ns0:v>
      </ns0:c>
      <ns0:c r="G402" t="str" s="10">
        <ns0:v>75 В макс.</ns0:v>
      </ns0:c>
      <ns0:c r="H402" t="str" s="12">
        <ns0:v>0603</ns0:v>
      </ns0:c>
      <ns0:c r="I402" t="str" s="10">
        <ns0:v>YAGEO</ns0:v>
      </ns0:c>
      <ns0:c r="J402" t="str" s="10">
        <ns0:v>RC0603FR-0733KL</ns0:v>
      </ns0:c>
      <ns0:c r="K402" t="str" s="11">
        <ns0:f>B402&amp;" "&amp;D402&amp;" "&amp;E402&amp;" "&amp;H402</ns0:f>
        <ns0:v>Резистор 33 кОм ±1% 0603</ns0:v>
      </ns0:c>
      <ns0:c r="L402" t="str" s="13">
        <ns0:v>R</ns0:v>
      </ns0:c>
      <ns0:c r="M402" t="str" s="13">
        <ns0:v>Symbols\MY_LIB_Resistors.SchLib</ns0:v>
      </ns0:c>
      <ns0:c r="N402" t="str" s="13">
        <ns0:v>RESC1608X55N</ns0:v>
      </ns0:c>
      <ns0:c r="O402" t="str" s="13">
        <ns0:v>Footprints\PBL - SMD Packages.PcbLib</ns0:v>
      </ns0:c>
      <ns0:c r="P402" t="str" s="10">
        <ns0:v>RC_L; E24; P при 70 °C; U ≤ min(√(P·R), Umax)</ns0:v>
      </ns0:c>
      <ns0:c r="Q402" s="10"/>
      <ns0:c r="R402" t="str" s="11">
        <ns0:f>D402</ns0:f>
        <ns0:v>33 кОм</ns0:v>
      </ns0:c>
      <ns0:c r="S402" t="str" s="11">
        <ns0:f>K402</ns0:f>
        <ns0:v>Резистор 33 кОм ±1% 0603</ns0:v>
      </ns0:c>
      <x:c xmlns:x="http://schemas.openxmlformats.org/spreadsheetml/2006/main" r="T402" t="str" s="11">
        <x:v>C:\Users\Nomatin\Documents\Altium\MY_LIB\MY_LIB\Datasheets\YAGEO_RC_L.pdf</x:v>
      </x:c>
      <x:c xmlns:x="http://schemas.openxmlformats.org/spreadsheetml/2006/main" r="U402" t="str" s="11">
        <x:v>Даташит — локальный</x:v>
      </x:c>
      <x:c xmlns:x="http://schemas.openxmlformats.org/spreadsheetml/2006/main" r="V402" t="str" s="11">
        <x:v>C:\Users\Nomatin\Documents\Altium\MY_LIB\MY_LIB\Datasheets\YAGEO_RC_L.pdf</x:v>
      </x:c>
      <x:c xmlns:x="http://schemas.openxmlformats.org/spreadsheetml/2006/main" r="W402" t="str" s="11">
        <x:v>Даташит — производитель</x:v>
      </x:c>
      <x:c xmlns:x="http://schemas.openxmlformats.org/spreadsheetml/2006/main" r="X402" t="str" s="11">
        <x:v>https://yageogroup.com/content/datasheet/asset/file/PYU-RC_GROUP_51_ROHS_L</x:v>
      </x:c>
      <x:c xmlns:x="http://schemas.openxmlformats.org/spreadsheetml/2006/main" r="Y402" t="str" s="11">
        <x:v>C:\Users\Nomatin\Documents\Altium\MY_LIB\MY_LIB\Datasheets\YAGEO_RC_L.pdf</x:v>
      </x:c>
    </ns0:row>
    <ns0:row xmlns:ns0="http://schemas.openxmlformats.org/spreadsheetml/2006/main" r="403" ht="30" customHeight="1">
      <ns0:c r="A403" t="str" s="10">
        <ns0:v>R0409</ns0:v>
      </ns0:c>
      <ns0:c r="B403" t="str" s="10">
        <ns0:v>Резистор</ns0:v>
      </ns0:c>
      <ns0:c r="C403" t="str" s="10">
        <ns0:v>36k</ns0:v>
      </ns0:c>
      <ns0:c r="D403" t="str" s="11">
        <ns0:f>SUBSTITUTE(SUBSTITUTE(SUBSTITUTE(SUBSTITUTE(C403,"meg"," МОм"),"k"," кОм"),"R"," Ом"),".",",")</ns0:f>
        <ns0:v>36 кОм</ns0:v>
      </ns0:c>
      <ns0:c r="E403" t="str" s="10">
        <ns0:v>±1%</ns0:v>
      </ns0:c>
      <ns0:c r="F403" t="str" s="10">
        <ns0:v>0,1 Вт</ns0:v>
      </ns0:c>
      <ns0:c r="G403" t="str" s="10">
        <ns0:v>75 В макс.</ns0:v>
      </ns0:c>
      <ns0:c r="H403" t="str" s="12">
        <ns0:v>0603</ns0:v>
      </ns0:c>
      <ns0:c r="I403" t="str" s="10">
        <ns0:v>YAGEO</ns0:v>
      </ns0:c>
      <ns0:c r="J403" t="str" s="10">
        <ns0:v>RC0603FR-0736KL</ns0:v>
      </ns0:c>
      <ns0:c r="K403" t="str" s="11">
        <ns0:f>B403&amp;" "&amp;D403&amp;" "&amp;E403&amp;" "&amp;H403</ns0:f>
        <ns0:v>Резистор 36 кОм ±1% 0603</ns0:v>
      </ns0:c>
      <ns0:c r="L403" t="str" s="13">
        <ns0:v>R</ns0:v>
      </ns0:c>
      <ns0:c r="M403" t="str" s="13">
        <ns0:v>Symbols\MY_LIB_Resistors.SchLib</ns0:v>
      </ns0:c>
      <ns0:c r="N403" t="str" s="13">
        <ns0:v>RESC1608X55N</ns0:v>
      </ns0:c>
      <ns0:c r="O403" t="str" s="13">
        <ns0:v>Footprints\PBL - SMD Packages.PcbLib</ns0:v>
      </ns0:c>
      <ns0:c r="P403" t="str" s="10">
        <ns0:v>RC_L; E24; P при 70 °C; U ≤ min(√(P·R), Umax)</ns0:v>
      </ns0:c>
      <ns0:c r="Q403" s="10"/>
      <ns0:c r="R403" t="str" s="11">
        <ns0:f>D403</ns0:f>
        <ns0:v>36 кОм</ns0:v>
      </ns0:c>
      <ns0:c r="S403" t="str" s="11">
        <ns0:f>K403</ns0:f>
        <ns0:v>Резистор 36 кОм ±1% 0603</ns0:v>
      </ns0:c>
      <x:c xmlns:x="http://schemas.openxmlformats.org/spreadsheetml/2006/main" r="T403" t="str" s="11">
        <x:v>C:\Users\Nomatin\Documents\Altium\MY_LIB\MY_LIB\Datasheets\YAGEO_RC_L.pdf</x:v>
      </x:c>
      <x:c xmlns:x="http://schemas.openxmlformats.org/spreadsheetml/2006/main" r="U403" t="str" s="11">
        <x:v>Даташит — локальный</x:v>
      </x:c>
      <x:c xmlns:x="http://schemas.openxmlformats.org/spreadsheetml/2006/main" r="V403" t="str" s="11">
        <x:v>C:\Users\Nomatin\Documents\Altium\MY_LIB\MY_LIB\Datasheets\YAGEO_RC_L.pdf</x:v>
      </x:c>
      <x:c xmlns:x="http://schemas.openxmlformats.org/spreadsheetml/2006/main" r="W403" t="str" s="11">
        <x:v>Даташит — производитель</x:v>
      </x:c>
      <x:c xmlns:x="http://schemas.openxmlformats.org/spreadsheetml/2006/main" r="X403" t="str" s="11">
        <x:v>https://yageogroup.com/content/datasheet/asset/file/PYU-RC_GROUP_51_ROHS_L</x:v>
      </x:c>
      <x:c xmlns:x="http://schemas.openxmlformats.org/spreadsheetml/2006/main" r="Y403" t="str" s="11">
        <x:v>C:\Users\Nomatin\Documents\Altium\MY_LIB\MY_LIB\Datasheets\YAGEO_RC_L.pdf</x:v>
      </x:c>
    </ns0:row>
    <ns0:row xmlns:ns0="http://schemas.openxmlformats.org/spreadsheetml/2006/main" r="404" ht="30" customHeight="1">
      <ns0:c r="A404" t="str" s="10">
        <ns0:v>R0410</ns0:v>
      </ns0:c>
      <ns0:c r="B404" t="str" s="10">
        <ns0:v>Резистор</ns0:v>
      </ns0:c>
      <ns0:c r="C404" t="str" s="10">
        <ns0:v>39k</ns0:v>
      </ns0:c>
      <ns0:c r="D404" t="str" s="11">
        <ns0:f>SUBSTITUTE(SUBSTITUTE(SUBSTITUTE(SUBSTITUTE(C404,"meg"," МОм"),"k"," кОм"),"R"," Ом"),".",",")</ns0:f>
        <ns0:v>39 кОм</ns0:v>
      </ns0:c>
      <ns0:c r="E404" t="str" s="10">
        <ns0:v>±1%</ns0:v>
      </ns0:c>
      <ns0:c r="F404" t="str" s="10">
        <ns0:v>0,1 Вт</ns0:v>
      </ns0:c>
      <ns0:c r="G404" t="str" s="10">
        <ns0:v>75 В макс.</ns0:v>
      </ns0:c>
      <ns0:c r="H404" t="str" s="12">
        <ns0:v>0603</ns0:v>
      </ns0:c>
      <ns0:c r="I404" t="str" s="10">
        <ns0:v>YAGEO</ns0:v>
      </ns0:c>
      <ns0:c r="J404" t="str" s="10">
        <ns0:v>RC0603FR-0739KL</ns0:v>
      </ns0:c>
      <ns0:c r="K404" t="str" s="11">
        <ns0:f>B404&amp;" "&amp;D404&amp;" "&amp;E404&amp;" "&amp;H404</ns0:f>
        <ns0:v>Резистор 39 кОм ±1% 0603</ns0:v>
      </ns0:c>
      <ns0:c r="L404" t="str" s="13">
        <ns0:v>R</ns0:v>
      </ns0:c>
      <ns0:c r="M404" t="str" s="13">
        <ns0:v>Symbols\MY_LIB_Resistors.SchLib</ns0:v>
      </ns0:c>
      <ns0:c r="N404" t="str" s="13">
        <ns0:v>RESC1608X55N</ns0:v>
      </ns0:c>
      <ns0:c r="O404" t="str" s="13">
        <ns0:v>Footprints\PBL - SMD Packages.PcbLib</ns0:v>
      </ns0:c>
      <ns0:c r="P404" t="str" s="10">
        <ns0:v>RC_L; E24; P при 70 °C; U ≤ min(√(P·R), Umax)</ns0:v>
      </ns0:c>
      <ns0:c r="Q404" s="10"/>
      <ns0:c r="R404" t="str" s="11">
        <ns0:f>D404</ns0:f>
        <ns0:v>39 кОм</ns0:v>
      </ns0:c>
      <ns0:c r="S404" t="str" s="11">
        <ns0:f>K404</ns0:f>
        <ns0:v>Резистор 39 кОм ±1% 0603</ns0:v>
      </ns0:c>
      <x:c xmlns:x="http://schemas.openxmlformats.org/spreadsheetml/2006/main" r="T404" t="str" s="11">
        <x:v>C:\Users\Nomatin\Documents\Altium\MY_LIB\MY_LIB\Datasheets\YAGEO_RC_L.pdf</x:v>
      </x:c>
      <x:c xmlns:x="http://schemas.openxmlformats.org/spreadsheetml/2006/main" r="U404" t="str" s="11">
        <x:v>Даташит — локальный</x:v>
      </x:c>
      <x:c xmlns:x="http://schemas.openxmlformats.org/spreadsheetml/2006/main" r="V404" t="str" s="11">
        <x:v>C:\Users\Nomatin\Documents\Altium\MY_LIB\MY_LIB\Datasheets\YAGEO_RC_L.pdf</x:v>
      </x:c>
      <x:c xmlns:x="http://schemas.openxmlformats.org/spreadsheetml/2006/main" r="W404" t="str" s="11">
        <x:v>Даташит — производитель</x:v>
      </x:c>
      <x:c xmlns:x="http://schemas.openxmlformats.org/spreadsheetml/2006/main" r="X404" t="str" s="11">
        <x:v>https://yageogroup.com/content/datasheet/asset/file/PYU-RC_GROUP_51_ROHS_L</x:v>
      </x:c>
      <x:c xmlns:x="http://schemas.openxmlformats.org/spreadsheetml/2006/main" r="Y404" t="str" s="11">
        <x:v>C:\Users\Nomatin\Documents\Altium\MY_LIB\MY_LIB\Datasheets\YAGEO_RC_L.pdf</x:v>
      </x:c>
    </ns0:row>
    <ns0:row xmlns:ns0="http://schemas.openxmlformats.org/spreadsheetml/2006/main" r="405" ht="30" customHeight="1">
      <ns0:c r="A405" t="str" s="10">
        <ns0:v>R0411</ns0:v>
      </ns0:c>
      <ns0:c r="B405" t="str" s="10">
        <ns0:v>Резистор</ns0:v>
      </ns0:c>
      <ns0:c r="C405" t="str" s="10">
        <ns0:v>43k</ns0:v>
      </ns0:c>
      <ns0:c r="D405" t="str" s="11">
        <ns0:f>SUBSTITUTE(SUBSTITUTE(SUBSTITUTE(SUBSTITUTE(C405,"meg"," МОм"),"k"," кОм"),"R"," Ом"),".",",")</ns0:f>
        <ns0:v>43 кОм</ns0:v>
      </ns0:c>
      <ns0:c r="E405" t="str" s="10">
        <ns0:v>±1%</ns0:v>
      </ns0:c>
      <ns0:c r="F405" t="str" s="10">
        <ns0:v>0,1 Вт</ns0:v>
      </ns0:c>
      <ns0:c r="G405" t="str" s="10">
        <ns0:v>75 В макс.</ns0:v>
      </ns0:c>
      <ns0:c r="H405" t="str" s="12">
        <ns0:v>0603</ns0:v>
      </ns0:c>
      <ns0:c r="I405" t="str" s="10">
        <ns0:v>YAGEO</ns0:v>
      </ns0:c>
      <ns0:c r="J405" t="str" s="10">
        <ns0:v>RC0603FR-0743KL</ns0:v>
      </ns0:c>
      <ns0:c r="K405" t="str" s="11">
        <ns0:f>B405&amp;" "&amp;D405&amp;" "&amp;E405&amp;" "&amp;H405</ns0:f>
        <ns0:v>Резистор 43 кОм ±1% 0603</ns0:v>
      </ns0:c>
      <ns0:c r="L405" t="str" s="13">
        <ns0:v>R</ns0:v>
      </ns0:c>
      <ns0:c r="M405" t="str" s="13">
        <ns0:v>Symbols\MY_LIB_Resistors.SchLib</ns0:v>
      </ns0:c>
      <ns0:c r="N405" t="str" s="13">
        <ns0:v>RESC1608X55N</ns0:v>
      </ns0:c>
      <ns0:c r="O405" t="str" s="13">
        <ns0:v>Footprints\PBL - SMD Packages.PcbLib</ns0:v>
      </ns0:c>
      <ns0:c r="P405" t="str" s="10">
        <ns0:v>RC_L; E24; P при 70 °C; U ≤ min(√(P·R), Umax)</ns0:v>
      </ns0:c>
      <ns0:c r="Q405" s="10"/>
      <ns0:c r="R405" t="str" s="11">
        <ns0:f>D405</ns0:f>
        <ns0:v>43 кОм</ns0:v>
      </ns0:c>
      <ns0:c r="S405" t="str" s="11">
        <ns0:f>K405</ns0:f>
        <ns0:v>Резистор 43 кОм ±1% 0603</ns0:v>
      </ns0:c>
      <x:c xmlns:x="http://schemas.openxmlformats.org/spreadsheetml/2006/main" r="T405" t="str" s="11">
        <x:v>C:\Users\Nomatin\Documents\Altium\MY_LIB\MY_LIB\Datasheets\YAGEO_RC_L.pdf</x:v>
      </x:c>
      <x:c xmlns:x="http://schemas.openxmlformats.org/spreadsheetml/2006/main" r="U405" t="str" s="11">
        <x:v>Даташит — локальный</x:v>
      </x:c>
      <x:c xmlns:x="http://schemas.openxmlformats.org/spreadsheetml/2006/main" r="V405" t="str" s="11">
        <x:v>C:\Users\Nomatin\Documents\Altium\MY_LIB\MY_LIB\Datasheets\YAGEO_RC_L.pdf</x:v>
      </x:c>
      <x:c xmlns:x="http://schemas.openxmlformats.org/spreadsheetml/2006/main" r="W405" t="str" s="11">
        <x:v>Даташит — производитель</x:v>
      </x:c>
      <x:c xmlns:x="http://schemas.openxmlformats.org/spreadsheetml/2006/main" r="X405" t="str" s="11">
        <x:v>https://yageogroup.com/content/datasheet/asset/file/PYU-RC_GROUP_51_ROHS_L</x:v>
      </x:c>
      <x:c xmlns:x="http://schemas.openxmlformats.org/spreadsheetml/2006/main" r="Y405" t="str" s="11">
        <x:v>C:\Users\Nomatin\Documents\Altium\MY_LIB\MY_LIB\Datasheets\YAGEO_RC_L.pdf</x:v>
      </x:c>
    </ns0:row>
    <ns0:row xmlns:ns0="http://schemas.openxmlformats.org/spreadsheetml/2006/main" r="406" ht="30" customHeight="1">
      <ns0:c r="A406" t="str" s="10">
        <ns0:v>R0412</ns0:v>
      </ns0:c>
      <ns0:c r="B406" t="str" s="10">
        <ns0:v>Резистор</ns0:v>
      </ns0:c>
      <ns0:c r="C406" t="str" s="10">
        <ns0:v>47k</ns0:v>
      </ns0:c>
      <ns0:c r="D406" t="str" s="11">
        <ns0:f>SUBSTITUTE(SUBSTITUTE(SUBSTITUTE(SUBSTITUTE(C406,"meg"," МОм"),"k"," кОм"),"R"," Ом"),".",",")</ns0:f>
        <ns0:v>47 кОм</ns0:v>
      </ns0:c>
      <ns0:c r="E406" t="str" s="10">
        <ns0:v>±1%</ns0:v>
      </ns0:c>
      <ns0:c r="F406" t="str" s="10">
        <ns0:v>0,1 Вт</ns0:v>
      </ns0:c>
      <ns0:c r="G406" t="str" s="10">
        <ns0:v>75 В макс.</ns0:v>
      </ns0:c>
      <ns0:c r="H406" t="str" s="12">
        <ns0:v>0603</ns0:v>
      </ns0:c>
      <ns0:c r="I406" t="str" s="10">
        <ns0:v>YAGEO</ns0:v>
      </ns0:c>
      <ns0:c r="J406" t="str" s="10">
        <ns0:v>RC0603FR-0747KL</ns0:v>
      </ns0:c>
      <ns0:c r="K406" t="str" s="11">
        <ns0:f>B406&amp;" "&amp;D406&amp;" "&amp;E406&amp;" "&amp;H406</ns0:f>
        <ns0:v>Резистор 47 кОм ±1% 0603</ns0:v>
      </ns0:c>
      <ns0:c r="L406" t="str" s="13">
        <ns0:v>R</ns0:v>
      </ns0:c>
      <ns0:c r="M406" t="str" s="13">
        <ns0:v>Symbols\MY_LIB_Resistors.SchLib</ns0:v>
      </ns0:c>
      <ns0:c r="N406" t="str" s="13">
        <ns0:v>RESC1608X55N</ns0:v>
      </ns0:c>
      <ns0:c r="O406" t="str" s="13">
        <ns0:v>Footprints\PBL - SMD Packages.PcbLib</ns0:v>
      </ns0:c>
      <ns0:c r="P406" t="str" s="10">
        <ns0:v>RC_L; E24; P при 70 °C; U ≤ min(√(P·R), Umax)</ns0:v>
      </ns0:c>
      <ns0:c r="Q406" s="10"/>
      <ns0:c r="R406" t="str" s="11">
        <ns0:f>D406</ns0:f>
        <ns0:v>47 кОм</ns0:v>
      </ns0:c>
      <ns0:c r="S406" t="str" s="11">
        <ns0:f>K406</ns0:f>
        <ns0:v>Резистор 47 кОм ±1% 0603</ns0:v>
      </ns0:c>
      <x:c xmlns:x="http://schemas.openxmlformats.org/spreadsheetml/2006/main" r="T406" t="str" s="11">
        <x:v>C:\Users\Nomatin\Documents\Altium\MY_LIB\MY_LIB\Datasheets\YAGEO_RC_L.pdf</x:v>
      </x:c>
      <x:c xmlns:x="http://schemas.openxmlformats.org/spreadsheetml/2006/main" r="U406" t="str" s="11">
        <x:v>Даташит — локальный</x:v>
      </x:c>
      <x:c xmlns:x="http://schemas.openxmlformats.org/spreadsheetml/2006/main" r="V406" t="str" s="11">
        <x:v>C:\Users\Nomatin\Documents\Altium\MY_LIB\MY_LIB\Datasheets\YAGEO_RC_L.pdf</x:v>
      </x:c>
      <x:c xmlns:x="http://schemas.openxmlformats.org/spreadsheetml/2006/main" r="W406" t="str" s="11">
        <x:v>Даташит — производитель</x:v>
      </x:c>
      <x:c xmlns:x="http://schemas.openxmlformats.org/spreadsheetml/2006/main" r="X406" t="str" s="11">
        <x:v>https://yageogroup.com/content/datasheet/asset/file/PYU-RC_GROUP_51_ROHS_L</x:v>
      </x:c>
      <x:c xmlns:x="http://schemas.openxmlformats.org/spreadsheetml/2006/main" r="Y406" t="str" s="11">
        <x:v>C:\Users\Nomatin\Documents\Altium\MY_LIB\MY_LIB\Datasheets\YAGEO_RC_L.pdf</x:v>
      </x:c>
    </ns0:row>
    <ns0:row xmlns:ns0="http://schemas.openxmlformats.org/spreadsheetml/2006/main" r="407" ht="30" customHeight="1">
      <ns0:c r="A407" t="str" s="10">
        <ns0:v>R0413</ns0:v>
      </ns0:c>
      <ns0:c r="B407" t="str" s="10">
        <ns0:v>Резистор</ns0:v>
      </ns0:c>
      <ns0:c r="C407" t="str" s="10">
        <ns0:v>51k</ns0:v>
      </ns0:c>
      <ns0:c r="D407" t="str" s="11">
        <ns0:f>SUBSTITUTE(SUBSTITUTE(SUBSTITUTE(SUBSTITUTE(C407,"meg"," МОм"),"k"," кОм"),"R"," Ом"),".",",")</ns0:f>
        <ns0:v>51 кОм</ns0:v>
      </ns0:c>
      <ns0:c r="E407" t="str" s="10">
        <ns0:v>±1%</ns0:v>
      </ns0:c>
      <ns0:c r="F407" t="str" s="10">
        <ns0:v>0,1 Вт</ns0:v>
      </ns0:c>
      <ns0:c r="G407" t="str" s="10">
        <ns0:v>75 В макс.</ns0:v>
      </ns0:c>
      <ns0:c r="H407" t="str" s="12">
        <ns0:v>0603</ns0:v>
      </ns0:c>
      <ns0:c r="I407" t="str" s="10">
        <ns0:v>YAGEO</ns0:v>
      </ns0:c>
      <ns0:c r="J407" t="str" s="10">
        <ns0:v>RC0603FR-0751KL</ns0:v>
      </ns0:c>
      <ns0:c r="K407" t="str" s="11">
        <ns0:f>B407&amp;" "&amp;D407&amp;" "&amp;E407&amp;" "&amp;H407</ns0:f>
        <ns0:v>Резистор 51 кОм ±1% 0603</ns0:v>
      </ns0:c>
      <ns0:c r="L407" t="str" s="13">
        <ns0:v>R</ns0:v>
      </ns0:c>
      <ns0:c r="M407" t="str" s="13">
        <ns0:v>Symbols\MY_LIB_Resistors.SchLib</ns0:v>
      </ns0:c>
      <ns0:c r="N407" t="str" s="13">
        <ns0:v>RESC1608X55N</ns0:v>
      </ns0:c>
      <ns0:c r="O407" t="str" s="13">
        <ns0:v>Footprints\PBL - SMD Packages.PcbLib</ns0:v>
      </ns0:c>
      <ns0:c r="P407" t="str" s="10">
        <ns0:v>RC_L; E24; P при 70 °C; U ≤ min(√(P·R), Umax)</ns0:v>
      </ns0:c>
      <ns0:c r="Q407" s="10"/>
      <ns0:c r="R407" t="str" s="11">
        <ns0:f>D407</ns0:f>
        <ns0:v>51 кОм</ns0:v>
      </ns0:c>
      <ns0:c r="S407" t="str" s="11">
        <ns0:f>K407</ns0:f>
        <ns0:v>Резистор 51 кОм ±1% 0603</ns0:v>
      </ns0:c>
      <x:c xmlns:x="http://schemas.openxmlformats.org/spreadsheetml/2006/main" r="T407" t="str" s="11">
        <x:v>C:\Users\Nomatin\Documents\Altium\MY_LIB\MY_LIB\Datasheets\YAGEO_RC_L.pdf</x:v>
      </x:c>
      <x:c xmlns:x="http://schemas.openxmlformats.org/spreadsheetml/2006/main" r="U407" t="str" s="11">
        <x:v>Даташит — локальный</x:v>
      </x:c>
      <x:c xmlns:x="http://schemas.openxmlformats.org/spreadsheetml/2006/main" r="V407" t="str" s="11">
        <x:v>C:\Users\Nomatin\Documents\Altium\MY_LIB\MY_LIB\Datasheets\YAGEO_RC_L.pdf</x:v>
      </x:c>
      <x:c xmlns:x="http://schemas.openxmlformats.org/spreadsheetml/2006/main" r="W407" t="str" s="11">
        <x:v>Даташит — производитель</x:v>
      </x:c>
      <x:c xmlns:x="http://schemas.openxmlformats.org/spreadsheetml/2006/main" r="X407" t="str" s="11">
        <x:v>https://yageogroup.com/content/datasheet/asset/file/PYU-RC_GROUP_51_ROHS_L</x:v>
      </x:c>
      <x:c xmlns:x="http://schemas.openxmlformats.org/spreadsheetml/2006/main" r="Y407" t="str" s="11">
        <x:v>C:\Users\Nomatin\Documents\Altium\MY_LIB\MY_LIB\Datasheets\YAGEO_RC_L.pdf</x:v>
      </x:c>
    </ns0:row>
    <ns0:row xmlns:ns0="http://schemas.openxmlformats.org/spreadsheetml/2006/main" r="408" ht="30" customHeight="1">
      <ns0:c r="A408" t="str" s="10">
        <ns0:v>R0414</ns0:v>
      </ns0:c>
      <ns0:c r="B408" t="str" s="10">
        <ns0:v>Резистор</ns0:v>
      </ns0:c>
      <ns0:c r="C408" t="str" s="10">
        <ns0:v>56k</ns0:v>
      </ns0:c>
      <ns0:c r="D408" t="str" s="11">
        <ns0:f>SUBSTITUTE(SUBSTITUTE(SUBSTITUTE(SUBSTITUTE(C408,"meg"," МОм"),"k"," кОм"),"R"," Ом"),".",",")</ns0:f>
        <ns0:v>56 кОм</ns0:v>
      </ns0:c>
      <ns0:c r="E408" t="str" s="10">
        <ns0:v>±1%</ns0:v>
      </ns0:c>
      <ns0:c r="F408" t="str" s="10">
        <ns0:v>0,1 Вт</ns0:v>
      </ns0:c>
      <ns0:c r="G408" t="str" s="10">
        <ns0:v>75 В макс.</ns0:v>
      </ns0:c>
      <ns0:c r="H408" t="str" s="12">
        <ns0:v>0603</ns0:v>
      </ns0:c>
      <ns0:c r="I408" t="str" s="10">
        <ns0:v>YAGEO</ns0:v>
      </ns0:c>
      <ns0:c r="J408" t="str" s="10">
        <ns0:v>RC0603FR-0756KL</ns0:v>
      </ns0:c>
      <ns0:c r="K408" t="str" s="11">
        <ns0:f>B408&amp;" "&amp;D408&amp;" "&amp;E408&amp;" "&amp;H408</ns0:f>
        <ns0:v>Резистор 56 кОм ±1% 0603</ns0:v>
      </ns0:c>
      <ns0:c r="L408" t="str" s="13">
        <ns0:v>R</ns0:v>
      </ns0:c>
      <ns0:c r="M408" t="str" s="13">
        <ns0:v>Symbols\MY_LIB_Resistors.SchLib</ns0:v>
      </ns0:c>
      <ns0:c r="N408" t="str" s="13">
        <ns0:v>RESC1608X55N</ns0:v>
      </ns0:c>
      <ns0:c r="O408" t="str" s="13">
        <ns0:v>Footprints\PBL - SMD Packages.PcbLib</ns0:v>
      </ns0:c>
      <ns0:c r="P408" t="str" s="10">
        <ns0:v>RC_L; E24; P при 70 °C; U ≤ min(√(P·R), Umax)</ns0:v>
      </ns0:c>
      <ns0:c r="Q408" s="10"/>
      <ns0:c r="R408" t="str" s="11">
        <ns0:f>D408</ns0:f>
        <ns0:v>56 кОм</ns0:v>
      </ns0:c>
      <ns0:c r="S408" t="str" s="11">
        <ns0:f>K408</ns0:f>
        <ns0:v>Резистор 56 кОм ±1% 0603</ns0:v>
      </ns0:c>
      <x:c xmlns:x="http://schemas.openxmlformats.org/spreadsheetml/2006/main" r="T408" t="str" s="11">
        <x:v>C:\Users\Nomatin\Documents\Altium\MY_LIB\MY_LIB\Datasheets\YAGEO_RC_L.pdf</x:v>
      </x:c>
      <x:c xmlns:x="http://schemas.openxmlformats.org/spreadsheetml/2006/main" r="U408" t="str" s="11">
        <x:v>Даташит — локальный</x:v>
      </x:c>
      <x:c xmlns:x="http://schemas.openxmlformats.org/spreadsheetml/2006/main" r="V408" t="str" s="11">
        <x:v>C:\Users\Nomatin\Documents\Altium\MY_LIB\MY_LIB\Datasheets\YAGEO_RC_L.pdf</x:v>
      </x:c>
      <x:c xmlns:x="http://schemas.openxmlformats.org/spreadsheetml/2006/main" r="W408" t="str" s="11">
        <x:v>Даташит — производитель</x:v>
      </x:c>
      <x:c xmlns:x="http://schemas.openxmlformats.org/spreadsheetml/2006/main" r="X408" t="str" s="11">
        <x:v>https://yageogroup.com/content/datasheet/asset/file/PYU-RC_GROUP_51_ROHS_L</x:v>
      </x:c>
      <x:c xmlns:x="http://schemas.openxmlformats.org/spreadsheetml/2006/main" r="Y408" t="str" s="11">
        <x:v>C:\Users\Nomatin\Documents\Altium\MY_LIB\MY_LIB\Datasheets\YAGEO_RC_L.pdf</x:v>
      </x:c>
    </ns0:row>
    <ns0:row xmlns:ns0="http://schemas.openxmlformats.org/spreadsheetml/2006/main" r="409" ht="30" customHeight="1">
      <ns0:c r="A409" t="str" s="10">
        <ns0:v>R0415</ns0:v>
      </ns0:c>
      <ns0:c r="B409" t="str" s="10">
        <ns0:v>Резистор</ns0:v>
      </ns0:c>
      <ns0:c r="C409" t="str" s="10">
        <ns0:v>62k</ns0:v>
      </ns0:c>
      <ns0:c r="D409" t="str" s="11">
        <ns0:f>SUBSTITUTE(SUBSTITUTE(SUBSTITUTE(SUBSTITUTE(C409,"meg"," МОм"),"k"," кОм"),"R"," Ом"),".",",")</ns0:f>
        <ns0:v>62 кОм</ns0:v>
      </ns0:c>
      <ns0:c r="E409" t="str" s="10">
        <ns0:v>±1%</ns0:v>
      </ns0:c>
      <ns0:c r="F409" t="str" s="10">
        <ns0:v>0,1 Вт</ns0:v>
      </ns0:c>
      <ns0:c r="G409" t="str" s="10">
        <ns0:v>75 В макс.</ns0:v>
      </ns0:c>
      <ns0:c r="H409" t="str" s="12">
        <ns0:v>0603</ns0:v>
      </ns0:c>
      <ns0:c r="I409" t="str" s="10">
        <ns0:v>YAGEO</ns0:v>
      </ns0:c>
      <ns0:c r="J409" t="str" s="10">
        <ns0:v>RC0603FR-0762KL</ns0:v>
      </ns0:c>
      <ns0:c r="K409" t="str" s="11">
        <ns0:f>B409&amp;" "&amp;D409&amp;" "&amp;E409&amp;" "&amp;H409</ns0:f>
        <ns0:v>Резистор 62 кОм ±1% 0603</ns0:v>
      </ns0:c>
      <ns0:c r="L409" t="str" s="13">
        <ns0:v>R</ns0:v>
      </ns0:c>
      <ns0:c r="M409" t="str" s="13">
        <ns0:v>Symbols\MY_LIB_Resistors.SchLib</ns0:v>
      </ns0:c>
      <ns0:c r="N409" t="str" s="13">
        <ns0:v>RESC1608X55N</ns0:v>
      </ns0:c>
      <ns0:c r="O409" t="str" s="13">
        <ns0:v>Footprints\PBL - SMD Packages.PcbLib</ns0:v>
      </ns0:c>
      <ns0:c r="P409" t="str" s="10">
        <ns0:v>RC_L; E24; P при 70 °C; U ≤ min(√(P·R), Umax)</ns0:v>
      </ns0:c>
      <ns0:c r="Q409" s="10"/>
      <ns0:c r="R409" t="str" s="11">
        <ns0:f>D409</ns0:f>
        <ns0:v>62 кОм</ns0:v>
      </ns0:c>
      <ns0:c r="S409" t="str" s="11">
        <ns0:f>K409</ns0:f>
        <ns0:v>Резистор 62 кОм ±1% 0603</ns0:v>
      </ns0:c>
      <x:c xmlns:x="http://schemas.openxmlformats.org/spreadsheetml/2006/main" r="T409" t="str" s="11">
        <x:v>C:\Users\Nomatin\Documents\Altium\MY_LIB\MY_LIB\Datasheets\YAGEO_RC_L.pdf</x:v>
      </x:c>
      <x:c xmlns:x="http://schemas.openxmlformats.org/spreadsheetml/2006/main" r="U409" t="str" s="11">
        <x:v>Даташит — локальный</x:v>
      </x:c>
      <x:c xmlns:x="http://schemas.openxmlformats.org/spreadsheetml/2006/main" r="V409" t="str" s="11">
        <x:v>C:\Users\Nomatin\Documents\Altium\MY_LIB\MY_LIB\Datasheets\YAGEO_RC_L.pdf</x:v>
      </x:c>
      <x:c xmlns:x="http://schemas.openxmlformats.org/spreadsheetml/2006/main" r="W409" t="str" s="11">
        <x:v>Даташит — производитель</x:v>
      </x:c>
      <x:c xmlns:x="http://schemas.openxmlformats.org/spreadsheetml/2006/main" r="X409" t="str" s="11">
        <x:v>https://yageogroup.com/content/datasheet/asset/file/PYU-RC_GROUP_51_ROHS_L</x:v>
      </x:c>
      <x:c xmlns:x="http://schemas.openxmlformats.org/spreadsheetml/2006/main" r="Y409" t="str" s="11">
        <x:v>C:\Users\Nomatin\Documents\Altium\MY_LIB\MY_LIB\Datasheets\YAGEO_RC_L.pdf</x:v>
      </x:c>
    </ns0:row>
    <ns0:row xmlns:ns0="http://schemas.openxmlformats.org/spreadsheetml/2006/main" r="410" ht="30" customHeight="1">
      <ns0:c r="A410" t="str" s="10">
        <ns0:v>R0416</ns0:v>
      </ns0:c>
      <ns0:c r="B410" t="str" s="10">
        <ns0:v>Резистор</ns0:v>
      </ns0:c>
      <ns0:c r="C410" t="str" s="10">
        <ns0:v>68k</ns0:v>
      </ns0:c>
      <ns0:c r="D410" t="str" s="11">
        <ns0:f>SUBSTITUTE(SUBSTITUTE(SUBSTITUTE(SUBSTITUTE(C410,"meg"," МОм"),"k"," кОм"),"R"," Ом"),".",",")</ns0:f>
        <ns0:v>68 кОм</ns0:v>
      </ns0:c>
      <ns0:c r="E410" t="str" s="10">
        <ns0:v>±1%</ns0:v>
      </ns0:c>
      <ns0:c r="F410" t="str" s="10">
        <ns0:v>0,1 Вт</ns0:v>
      </ns0:c>
      <ns0:c r="G410" t="str" s="10">
        <ns0:v>75 В макс.</ns0:v>
      </ns0:c>
      <ns0:c r="H410" t="str" s="12">
        <ns0:v>0603</ns0:v>
      </ns0:c>
      <ns0:c r="I410" t="str" s="10">
        <ns0:v>YAGEO</ns0:v>
      </ns0:c>
      <ns0:c r="J410" t="str" s="10">
        <ns0:v>RC0603FR-0768KL</ns0:v>
      </ns0:c>
      <ns0:c r="K410" t="str" s="11">
        <ns0:f>B410&amp;" "&amp;D410&amp;" "&amp;E410&amp;" "&amp;H410</ns0:f>
        <ns0:v>Резистор 68 кОм ±1% 0603</ns0:v>
      </ns0:c>
      <ns0:c r="L410" t="str" s="13">
        <ns0:v>R</ns0:v>
      </ns0:c>
      <ns0:c r="M410" t="str" s="13">
        <ns0:v>Symbols\MY_LIB_Resistors.SchLib</ns0:v>
      </ns0:c>
      <ns0:c r="N410" t="str" s="13">
        <ns0:v>RESC1608X55N</ns0:v>
      </ns0:c>
      <ns0:c r="O410" t="str" s="13">
        <ns0:v>Footprints\PBL - SMD Packages.PcbLib</ns0:v>
      </ns0:c>
      <ns0:c r="P410" t="str" s="10">
        <ns0:v>RC_L; E24; P при 70 °C; U ≤ min(√(P·R), Umax)</ns0:v>
      </ns0:c>
      <ns0:c r="Q410" s="10"/>
      <ns0:c r="R410" t="str" s="11">
        <ns0:f>D410</ns0:f>
        <ns0:v>68 кОм</ns0:v>
      </ns0:c>
      <ns0:c r="S410" t="str" s="11">
        <ns0:f>K410</ns0:f>
        <ns0:v>Резистор 68 кОм ±1% 0603</ns0:v>
      </ns0:c>
      <x:c xmlns:x="http://schemas.openxmlformats.org/spreadsheetml/2006/main" r="T410" t="str" s="11">
        <x:v>C:\Users\Nomatin\Documents\Altium\MY_LIB\MY_LIB\Datasheets\YAGEO_RC_L.pdf</x:v>
      </x:c>
      <x:c xmlns:x="http://schemas.openxmlformats.org/spreadsheetml/2006/main" r="U410" t="str" s="11">
        <x:v>Даташит — локальный</x:v>
      </x:c>
      <x:c xmlns:x="http://schemas.openxmlformats.org/spreadsheetml/2006/main" r="V410" t="str" s="11">
        <x:v>C:\Users\Nomatin\Documents\Altium\MY_LIB\MY_LIB\Datasheets\YAGEO_RC_L.pdf</x:v>
      </x:c>
      <x:c xmlns:x="http://schemas.openxmlformats.org/spreadsheetml/2006/main" r="W410" t="str" s="11">
        <x:v>Даташит — производитель</x:v>
      </x:c>
      <x:c xmlns:x="http://schemas.openxmlformats.org/spreadsheetml/2006/main" r="X410" t="str" s="11">
        <x:v>https://yageogroup.com/content/datasheet/asset/file/PYU-RC_GROUP_51_ROHS_L</x:v>
      </x:c>
      <x:c xmlns:x="http://schemas.openxmlformats.org/spreadsheetml/2006/main" r="Y410" t="str" s="11">
        <x:v>C:\Users\Nomatin\Documents\Altium\MY_LIB\MY_LIB\Datasheets\YAGEO_RC_L.pdf</x:v>
      </x:c>
    </ns0:row>
    <ns0:row xmlns:ns0="http://schemas.openxmlformats.org/spreadsheetml/2006/main" r="411" ht="30" customHeight="1">
      <ns0:c r="A411" t="str" s="10">
        <ns0:v>R0417</ns0:v>
      </ns0:c>
      <ns0:c r="B411" t="str" s="10">
        <ns0:v>Резистор</ns0:v>
      </ns0:c>
      <ns0:c r="C411" t="str" s="10">
        <ns0:v>75k</ns0:v>
      </ns0:c>
      <ns0:c r="D411" t="str" s="11">
        <ns0:f>SUBSTITUTE(SUBSTITUTE(SUBSTITUTE(SUBSTITUTE(C411,"meg"," МОм"),"k"," кОм"),"R"," Ом"),".",",")</ns0:f>
        <ns0:v>75 кОм</ns0:v>
      </ns0:c>
      <ns0:c r="E411" t="str" s="10">
        <ns0:v>±1%</ns0:v>
      </ns0:c>
      <ns0:c r="F411" t="str" s="10">
        <ns0:v>0,1 Вт</ns0:v>
      </ns0:c>
      <ns0:c r="G411" t="str" s="10">
        <ns0:v>75 В макс.</ns0:v>
      </ns0:c>
      <ns0:c r="H411" t="str" s="12">
        <ns0:v>0603</ns0:v>
      </ns0:c>
      <ns0:c r="I411" t="str" s="10">
        <ns0:v>YAGEO</ns0:v>
      </ns0:c>
      <ns0:c r="J411" t="str" s="10">
        <ns0:v>RC0603FR-0775KL</ns0:v>
      </ns0:c>
      <ns0:c r="K411" t="str" s="11">
        <ns0:f>B411&amp;" "&amp;D411&amp;" "&amp;E411&amp;" "&amp;H411</ns0:f>
        <ns0:v>Резистор 75 кОм ±1% 0603</ns0:v>
      </ns0:c>
      <ns0:c r="L411" t="str" s="13">
        <ns0:v>R</ns0:v>
      </ns0:c>
      <ns0:c r="M411" t="str" s="13">
        <ns0:v>Symbols\MY_LIB_Resistors.SchLib</ns0:v>
      </ns0:c>
      <ns0:c r="N411" t="str" s="13">
        <ns0:v>RESC1608X55N</ns0:v>
      </ns0:c>
      <ns0:c r="O411" t="str" s="13">
        <ns0:v>Footprints\PBL - SMD Packages.PcbLib</ns0:v>
      </ns0:c>
      <ns0:c r="P411" t="str" s="10">
        <ns0:v>RC_L; E24; P при 70 °C; U ≤ min(√(P·R), Umax)</ns0:v>
      </ns0:c>
      <ns0:c r="Q411" s="10"/>
      <ns0:c r="R411" t="str" s="11">
        <ns0:f>D411</ns0:f>
        <ns0:v>75 кОм</ns0:v>
      </ns0:c>
      <ns0:c r="S411" t="str" s="11">
        <ns0:f>K411</ns0:f>
        <ns0:v>Резистор 75 кОм ±1% 0603</ns0:v>
      </ns0:c>
      <x:c xmlns:x="http://schemas.openxmlformats.org/spreadsheetml/2006/main" r="T411" t="str" s="11">
        <x:v>C:\Users\Nomatin\Documents\Altium\MY_LIB\MY_LIB\Datasheets\YAGEO_RC_L.pdf</x:v>
      </x:c>
      <x:c xmlns:x="http://schemas.openxmlformats.org/spreadsheetml/2006/main" r="U411" t="str" s="11">
        <x:v>Даташит — локальный</x:v>
      </x:c>
      <x:c xmlns:x="http://schemas.openxmlformats.org/spreadsheetml/2006/main" r="V411" t="str" s="11">
        <x:v>C:\Users\Nomatin\Documents\Altium\MY_LIB\MY_LIB\Datasheets\YAGEO_RC_L.pdf</x:v>
      </x:c>
      <x:c xmlns:x="http://schemas.openxmlformats.org/spreadsheetml/2006/main" r="W411" t="str" s="11">
        <x:v>Даташит — производитель</x:v>
      </x:c>
      <x:c xmlns:x="http://schemas.openxmlformats.org/spreadsheetml/2006/main" r="X411" t="str" s="11">
        <x:v>https://yageogroup.com/content/datasheet/asset/file/PYU-RC_GROUP_51_ROHS_L</x:v>
      </x:c>
      <x:c xmlns:x="http://schemas.openxmlformats.org/spreadsheetml/2006/main" r="Y411" t="str" s="11">
        <x:v>C:\Users\Nomatin\Documents\Altium\MY_LIB\MY_LIB\Datasheets\YAGEO_RC_L.pdf</x:v>
      </x:c>
    </ns0:row>
    <ns0:row xmlns:ns0="http://schemas.openxmlformats.org/spreadsheetml/2006/main" r="412" ht="30" customHeight="1">
      <ns0:c r="A412" t="str" s="10">
        <ns0:v>R0418</ns0:v>
      </ns0:c>
      <ns0:c r="B412" t="str" s="10">
        <ns0:v>Резистор</ns0:v>
      </ns0:c>
      <ns0:c r="C412" t="str" s="10">
        <ns0:v>82k</ns0:v>
      </ns0:c>
      <ns0:c r="D412" t="str" s="11">
        <ns0:f>SUBSTITUTE(SUBSTITUTE(SUBSTITUTE(SUBSTITUTE(C412,"meg"," МОм"),"k"," кОм"),"R"," Ом"),".",",")</ns0:f>
        <ns0:v>82 кОм</ns0:v>
      </ns0:c>
      <ns0:c r="E412" t="str" s="10">
        <ns0:v>±1%</ns0:v>
      </ns0:c>
      <ns0:c r="F412" t="str" s="10">
        <ns0:v>0,1 Вт</ns0:v>
      </ns0:c>
      <ns0:c r="G412" t="str" s="10">
        <ns0:v>75 В макс.</ns0:v>
      </ns0:c>
      <ns0:c r="H412" t="str" s="12">
        <ns0:v>0603</ns0:v>
      </ns0:c>
      <ns0:c r="I412" t="str" s="10">
        <ns0:v>YAGEO</ns0:v>
      </ns0:c>
      <ns0:c r="J412" t="str" s="10">
        <ns0:v>RC0603FR-0782KL</ns0:v>
      </ns0:c>
      <ns0:c r="K412" t="str" s="11">
        <ns0:f>B412&amp;" "&amp;D412&amp;" "&amp;E412&amp;" "&amp;H412</ns0:f>
        <ns0:v>Резистор 82 кОм ±1% 0603</ns0:v>
      </ns0:c>
      <ns0:c r="L412" t="str" s="13">
        <ns0:v>R</ns0:v>
      </ns0:c>
      <ns0:c r="M412" t="str" s="13">
        <ns0:v>Symbols\MY_LIB_Resistors.SchLib</ns0:v>
      </ns0:c>
      <ns0:c r="N412" t="str" s="13">
        <ns0:v>RESC1608X55N</ns0:v>
      </ns0:c>
      <ns0:c r="O412" t="str" s="13">
        <ns0:v>Footprints\PBL - SMD Packages.PcbLib</ns0:v>
      </ns0:c>
      <ns0:c r="P412" t="str" s="10">
        <ns0:v>RC_L; E24; P при 70 °C; U ≤ min(√(P·R), Umax)</ns0:v>
      </ns0:c>
      <ns0:c r="Q412" s="10"/>
      <ns0:c r="R412" t="str" s="11">
        <ns0:f>D412</ns0:f>
        <ns0:v>82 кОм</ns0:v>
      </ns0:c>
      <ns0:c r="S412" t="str" s="11">
        <ns0:f>K412</ns0:f>
        <ns0:v>Резистор 82 кОм ±1% 0603</ns0:v>
      </ns0:c>
      <x:c xmlns:x="http://schemas.openxmlformats.org/spreadsheetml/2006/main" r="T412" t="str" s="11">
        <x:v>C:\Users\Nomatin\Documents\Altium\MY_LIB\MY_LIB\Datasheets\YAGEO_RC_L.pdf</x:v>
      </x:c>
      <x:c xmlns:x="http://schemas.openxmlformats.org/spreadsheetml/2006/main" r="U412" t="str" s="11">
        <x:v>Даташит — локальный</x:v>
      </x:c>
      <x:c xmlns:x="http://schemas.openxmlformats.org/spreadsheetml/2006/main" r="V412" t="str" s="11">
        <x:v>C:\Users\Nomatin\Documents\Altium\MY_LIB\MY_LIB\Datasheets\YAGEO_RC_L.pdf</x:v>
      </x:c>
      <x:c xmlns:x="http://schemas.openxmlformats.org/spreadsheetml/2006/main" r="W412" t="str" s="11">
        <x:v>Даташит — производитель</x:v>
      </x:c>
      <x:c xmlns:x="http://schemas.openxmlformats.org/spreadsheetml/2006/main" r="X412" t="str" s="11">
        <x:v>https://yageogroup.com/content/datasheet/asset/file/PYU-RC_GROUP_51_ROHS_L</x:v>
      </x:c>
      <x:c xmlns:x="http://schemas.openxmlformats.org/spreadsheetml/2006/main" r="Y412" t="str" s="11">
        <x:v>C:\Users\Nomatin\Documents\Altium\MY_LIB\MY_LIB\Datasheets\YAGEO_RC_L.pdf</x:v>
      </x:c>
    </ns0:row>
    <ns0:row xmlns:ns0="http://schemas.openxmlformats.org/spreadsheetml/2006/main" r="413" ht="30" customHeight="1">
      <ns0:c r="A413" t="str" s="10">
        <ns0:v>R0419</ns0:v>
      </ns0:c>
      <ns0:c r="B413" t="str" s="10">
        <ns0:v>Резистор</ns0:v>
      </ns0:c>
      <ns0:c r="C413" t="str" s="10">
        <ns0:v>91k</ns0:v>
      </ns0:c>
      <ns0:c r="D413" t="str" s="11">
        <ns0:f>SUBSTITUTE(SUBSTITUTE(SUBSTITUTE(SUBSTITUTE(C413,"meg"," МОм"),"k"," кОм"),"R"," Ом"),".",",")</ns0:f>
        <ns0:v>91 кОм</ns0:v>
      </ns0:c>
      <ns0:c r="E413" t="str" s="10">
        <ns0:v>±1%</ns0:v>
      </ns0:c>
      <ns0:c r="F413" t="str" s="10">
        <ns0:v>0,1 Вт</ns0:v>
      </ns0:c>
      <ns0:c r="G413" t="str" s="10">
        <ns0:v>75 В макс.</ns0:v>
      </ns0:c>
      <ns0:c r="H413" t="str" s="12">
        <ns0:v>0603</ns0:v>
      </ns0:c>
      <ns0:c r="I413" t="str" s="10">
        <ns0:v>YAGEO</ns0:v>
      </ns0:c>
      <ns0:c r="J413" t="str" s="10">
        <ns0:v>RC0603FR-0791KL</ns0:v>
      </ns0:c>
      <ns0:c r="K413" t="str" s="11">
        <ns0:f>B413&amp;" "&amp;D413&amp;" "&amp;E413&amp;" "&amp;H413</ns0:f>
        <ns0:v>Резистор 91 кОм ±1% 0603</ns0:v>
      </ns0:c>
      <ns0:c r="L413" t="str" s="13">
        <ns0:v>R</ns0:v>
      </ns0:c>
      <ns0:c r="M413" t="str" s="13">
        <ns0:v>Symbols\MY_LIB_Resistors.SchLib</ns0:v>
      </ns0:c>
      <ns0:c r="N413" t="str" s="13">
        <ns0:v>RESC1608X55N</ns0:v>
      </ns0:c>
      <ns0:c r="O413" t="str" s="13">
        <ns0:v>Footprints\PBL - SMD Packages.PcbLib</ns0:v>
      </ns0:c>
      <ns0:c r="P413" t="str" s="10">
        <ns0:v>RC_L; E24; P при 70 °C; U ≤ min(√(P·R), Umax)</ns0:v>
      </ns0:c>
      <ns0:c r="Q413" s="10"/>
      <ns0:c r="R413" t="str" s="11">
        <ns0:f>D413</ns0:f>
        <ns0:v>91 кОм</ns0:v>
      </ns0:c>
      <ns0:c r="S413" t="str" s="11">
        <ns0:f>K413</ns0:f>
        <ns0:v>Резистор 91 кОм ±1% 0603</ns0:v>
      </ns0:c>
      <x:c xmlns:x="http://schemas.openxmlformats.org/spreadsheetml/2006/main" r="T413" t="str" s="11">
        <x:v>C:\Users\Nomatin\Documents\Altium\MY_LIB\MY_LIB\Datasheets\YAGEO_RC_L.pdf</x:v>
      </x:c>
      <x:c xmlns:x="http://schemas.openxmlformats.org/spreadsheetml/2006/main" r="U413" t="str" s="11">
        <x:v>Даташит — локальный</x:v>
      </x:c>
      <x:c xmlns:x="http://schemas.openxmlformats.org/spreadsheetml/2006/main" r="V413" t="str" s="11">
        <x:v>C:\Users\Nomatin\Documents\Altium\MY_LIB\MY_LIB\Datasheets\YAGEO_RC_L.pdf</x:v>
      </x:c>
      <x:c xmlns:x="http://schemas.openxmlformats.org/spreadsheetml/2006/main" r="W413" t="str" s="11">
        <x:v>Даташит — производитель</x:v>
      </x:c>
      <x:c xmlns:x="http://schemas.openxmlformats.org/spreadsheetml/2006/main" r="X413" t="str" s="11">
        <x:v>https://yageogroup.com/content/datasheet/asset/file/PYU-RC_GROUP_51_ROHS_L</x:v>
      </x:c>
      <x:c xmlns:x="http://schemas.openxmlformats.org/spreadsheetml/2006/main" r="Y413" t="str" s="11">
        <x:v>C:\Users\Nomatin\Documents\Altium\MY_LIB\MY_LIB\Datasheets\YAGEO_RC_L.pdf</x:v>
      </x:c>
    </ns0:row>
    <ns0:row xmlns:ns0="http://schemas.openxmlformats.org/spreadsheetml/2006/main" r="414" ht="30" customHeight="1">
      <ns0:c r="A414" t="str" s="10">
        <ns0:v>R0420</ns0:v>
      </ns0:c>
      <ns0:c r="B414" t="str" s="10">
        <ns0:v>Резистор</ns0:v>
      </ns0:c>
      <ns0:c r="C414" t="str" s="10">
        <ns0:v>100k</ns0:v>
      </ns0:c>
      <ns0:c r="D414" t="str" s="11">
        <ns0:f>SUBSTITUTE(SUBSTITUTE(SUBSTITUTE(SUBSTITUTE(C414,"meg"," МОм"),"k"," кОм"),"R"," Ом"),".",",")</ns0:f>
        <ns0:v>100 кОм</ns0:v>
      </ns0:c>
      <ns0:c r="E414" t="str" s="10">
        <ns0:v>±1%</ns0:v>
      </ns0:c>
      <ns0:c r="F414" t="str" s="10">
        <ns0:v>0,1 Вт</ns0:v>
      </ns0:c>
      <ns0:c r="G414" t="str" s="10">
        <ns0:v>75 В макс.</ns0:v>
      </ns0:c>
      <ns0:c r="H414" t="str" s="12">
        <ns0:v>0603</ns0:v>
      </ns0:c>
      <ns0:c r="I414" t="str" s="10">
        <ns0:v>YAGEO</ns0:v>
      </ns0:c>
      <ns0:c r="J414" t="str" s="10">
        <ns0:v>RC0603FR-07100KL</ns0:v>
      </ns0:c>
      <ns0:c r="K414" t="str" s="11">
        <ns0:f>B414&amp;" "&amp;D414&amp;" "&amp;E414&amp;" "&amp;H414</ns0:f>
        <ns0:v>Резистор 100 кОм ±1% 0603</ns0:v>
      </ns0:c>
      <ns0:c r="L414" t="str" s="13">
        <ns0:v>R</ns0:v>
      </ns0:c>
      <ns0:c r="M414" t="str" s="13">
        <ns0:v>Symbols\MY_LIB_Resistors.SchLib</ns0:v>
      </ns0:c>
      <ns0:c r="N414" t="str" s="13">
        <ns0:v>RESC1608X55N</ns0:v>
      </ns0:c>
      <ns0:c r="O414" t="str" s="13">
        <ns0:v>Footprints\PBL - SMD Packages.PcbLib</ns0:v>
      </ns0:c>
      <ns0:c r="P414" t="str" s="10">
        <ns0:v>RC_L; E24; P при 70 °C; U ≤ min(√(P·R), Umax)</ns0:v>
      </ns0:c>
      <ns0:c r="Q414" s="10"/>
      <ns0:c r="R414" t="str" s="11">
        <ns0:f>D414</ns0:f>
        <ns0:v>100 кОм</ns0:v>
      </ns0:c>
      <ns0:c r="S414" t="str" s="11">
        <ns0:f>K414</ns0:f>
        <ns0:v>Резистор 100 кОм ±1% 0603</ns0:v>
      </ns0:c>
      <x:c xmlns:x="http://schemas.openxmlformats.org/spreadsheetml/2006/main" r="T414" t="str" s="11">
        <x:v>C:\Users\Nomatin\Documents\Altium\MY_LIB\MY_LIB\Datasheets\YAGEO_RC_L.pdf</x:v>
      </x:c>
      <x:c xmlns:x="http://schemas.openxmlformats.org/spreadsheetml/2006/main" r="U414" t="str" s="11">
        <x:v>Даташит — локальный</x:v>
      </x:c>
      <x:c xmlns:x="http://schemas.openxmlformats.org/spreadsheetml/2006/main" r="V414" t="str" s="11">
        <x:v>C:\Users\Nomatin\Documents\Altium\MY_LIB\MY_LIB\Datasheets\YAGEO_RC_L.pdf</x:v>
      </x:c>
      <x:c xmlns:x="http://schemas.openxmlformats.org/spreadsheetml/2006/main" r="W414" t="str" s="11">
        <x:v>Даташит — производитель</x:v>
      </x:c>
      <x:c xmlns:x="http://schemas.openxmlformats.org/spreadsheetml/2006/main" r="X414" t="str" s="11">
        <x:v>https://yageogroup.com/content/datasheet/asset/file/PYU-RC_GROUP_51_ROHS_L</x:v>
      </x:c>
      <x:c xmlns:x="http://schemas.openxmlformats.org/spreadsheetml/2006/main" r="Y414" t="str" s="11">
        <x:v>C:\Users\Nomatin\Documents\Altium\MY_LIB\MY_LIB\Datasheets\YAGEO_RC_L.pdf</x:v>
      </x:c>
    </ns0:row>
    <ns0:row xmlns:ns0="http://schemas.openxmlformats.org/spreadsheetml/2006/main" r="415" ht="30" customHeight="1">
      <ns0:c r="A415" t="str" s="10">
        <ns0:v>R0421</ns0:v>
      </ns0:c>
      <ns0:c r="B415" t="str" s="10">
        <ns0:v>Резистор</ns0:v>
      </ns0:c>
      <ns0:c r="C415" t="str" s="10">
        <ns0:v>110k</ns0:v>
      </ns0:c>
      <ns0:c r="D415" t="str" s="11">
        <ns0:f>SUBSTITUTE(SUBSTITUTE(SUBSTITUTE(SUBSTITUTE(C415,"meg"," МОм"),"k"," кОм"),"R"," Ом"),".",",")</ns0:f>
        <ns0:v>110 кОм</ns0:v>
      </ns0:c>
      <ns0:c r="E415" t="str" s="10">
        <ns0:v>±1%</ns0:v>
      </ns0:c>
      <ns0:c r="F415" t="str" s="10">
        <ns0:v>0,1 Вт</ns0:v>
      </ns0:c>
      <ns0:c r="G415" t="str" s="10">
        <ns0:v>75 В макс.</ns0:v>
      </ns0:c>
      <ns0:c r="H415" t="str" s="12">
        <ns0:v>0603</ns0:v>
      </ns0:c>
      <ns0:c r="I415" t="str" s="10">
        <ns0:v>YAGEO</ns0:v>
      </ns0:c>
      <ns0:c r="J415" t="str" s="10">
        <ns0:v>RC0603FR-07110KL</ns0:v>
      </ns0:c>
      <ns0:c r="K415" t="str" s="11">
        <ns0:f>B415&amp;" "&amp;D415&amp;" "&amp;E415&amp;" "&amp;H415</ns0:f>
        <ns0:v>Резистор 110 кОм ±1% 0603</ns0:v>
      </ns0:c>
      <ns0:c r="L415" t="str" s="13">
        <ns0:v>R</ns0:v>
      </ns0:c>
      <ns0:c r="M415" t="str" s="13">
        <ns0:v>Symbols\MY_LIB_Resistors.SchLib</ns0:v>
      </ns0:c>
      <ns0:c r="N415" t="str" s="13">
        <ns0:v>RESC1608X55N</ns0:v>
      </ns0:c>
      <ns0:c r="O415" t="str" s="13">
        <ns0:v>Footprints\PBL - SMD Packages.PcbLib</ns0:v>
      </ns0:c>
      <ns0:c r="P415" t="str" s="10">
        <ns0:v>RC_L; E24; P при 70 °C; U ≤ min(√(P·R), Umax)</ns0:v>
      </ns0:c>
      <ns0:c r="Q415" s="10"/>
      <ns0:c r="R415" t="str" s="11">
        <ns0:f>D415</ns0:f>
        <ns0:v>110 кОм</ns0:v>
      </ns0:c>
      <ns0:c r="S415" t="str" s="11">
        <ns0:f>K415</ns0:f>
        <ns0:v>Резистор 110 кОм ±1% 0603</ns0:v>
      </ns0:c>
      <x:c xmlns:x="http://schemas.openxmlformats.org/spreadsheetml/2006/main" r="T415" t="str" s="11">
        <x:v>C:\Users\Nomatin\Documents\Altium\MY_LIB\MY_LIB\Datasheets\YAGEO_RC_L.pdf</x:v>
      </x:c>
      <x:c xmlns:x="http://schemas.openxmlformats.org/spreadsheetml/2006/main" r="U415" t="str" s="11">
        <x:v>Даташит — локальный</x:v>
      </x:c>
      <x:c xmlns:x="http://schemas.openxmlformats.org/spreadsheetml/2006/main" r="V415" t="str" s="11">
        <x:v>C:\Users\Nomatin\Documents\Altium\MY_LIB\MY_LIB\Datasheets\YAGEO_RC_L.pdf</x:v>
      </x:c>
      <x:c xmlns:x="http://schemas.openxmlformats.org/spreadsheetml/2006/main" r="W415" t="str" s="11">
        <x:v>Даташит — производитель</x:v>
      </x:c>
      <x:c xmlns:x="http://schemas.openxmlformats.org/spreadsheetml/2006/main" r="X415" t="str" s="11">
        <x:v>https://yageogroup.com/content/datasheet/asset/file/PYU-RC_GROUP_51_ROHS_L</x:v>
      </x:c>
      <x:c xmlns:x="http://schemas.openxmlformats.org/spreadsheetml/2006/main" r="Y415" t="str" s="11">
        <x:v>C:\Users\Nomatin\Documents\Altium\MY_LIB\MY_LIB\Datasheets\YAGEO_RC_L.pdf</x:v>
      </x:c>
    </ns0:row>
    <ns0:row xmlns:ns0="http://schemas.openxmlformats.org/spreadsheetml/2006/main" r="416" ht="30" customHeight="1">
      <ns0:c r="A416" t="str" s="10">
        <ns0:v>R0422</ns0:v>
      </ns0:c>
      <ns0:c r="B416" t="str" s="10">
        <ns0:v>Резистор</ns0:v>
      </ns0:c>
      <ns0:c r="C416" t="str" s="10">
        <ns0:v>120k</ns0:v>
      </ns0:c>
      <ns0:c r="D416" t="str" s="11">
        <ns0:f>SUBSTITUTE(SUBSTITUTE(SUBSTITUTE(SUBSTITUTE(C416,"meg"," МОм"),"k"," кОм"),"R"," Ом"),".",",")</ns0:f>
        <ns0:v>120 кОм</ns0:v>
      </ns0:c>
      <ns0:c r="E416" t="str" s="10">
        <ns0:v>±1%</ns0:v>
      </ns0:c>
      <ns0:c r="F416" t="str" s="10">
        <ns0:v>0,1 Вт</ns0:v>
      </ns0:c>
      <ns0:c r="G416" t="str" s="10">
        <ns0:v>75 В макс.</ns0:v>
      </ns0:c>
      <ns0:c r="H416" t="str" s="12">
        <ns0:v>0603</ns0:v>
      </ns0:c>
      <ns0:c r="I416" t="str" s="10">
        <ns0:v>YAGEO</ns0:v>
      </ns0:c>
      <ns0:c r="J416" t="str" s="10">
        <ns0:v>RC0603FR-07120KL</ns0:v>
      </ns0:c>
      <ns0:c r="K416" t="str" s="11">
        <ns0:f>B416&amp;" "&amp;D416&amp;" "&amp;E416&amp;" "&amp;H416</ns0:f>
        <ns0:v>Резистор 120 кОм ±1% 0603</ns0:v>
      </ns0:c>
      <ns0:c r="L416" t="str" s="13">
        <ns0:v>R</ns0:v>
      </ns0:c>
      <ns0:c r="M416" t="str" s="13">
        <ns0:v>Symbols\MY_LIB_Resistors.SchLib</ns0:v>
      </ns0:c>
      <ns0:c r="N416" t="str" s="13">
        <ns0:v>RESC1608X55N</ns0:v>
      </ns0:c>
      <ns0:c r="O416" t="str" s="13">
        <ns0:v>Footprints\PBL - SMD Packages.PcbLib</ns0:v>
      </ns0:c>
      <ns0:c r="P416" t="str" s="10">
        <ns0:v>RC_L; E24; P при 70 °C; U ≤ min(√(P·R), Umax)</ns0:v>
      </ns0:c>
      <ns0:c r="Q416" s="10"/>
      <ns0:c r="R416" t="str" s="11">
        <ns0:f>D416</ns0:f>
        <ns0:v>120 кОм</ns0:v>
      </ns0:c>
      <ns0:c r="S416" t="str" s="11">
        <ns0:f>K416</ns0:f>
        <ns0:v>Резистор 120 кОм ±1% 0603</ns0:v>
      </ns0:c>
      <x:c xmlns:x="http://schemas.openxmlformats.org/spreadsheetml/2006/main" r="T416" t="str" s="11">
        <x:v>C:\Users\Nomatin\Documents\Altium\MY_LIB\MY_LIB\Datasheets\YAGEO_RC_L.pdf</x:v>
      </x:c>
      <x:c xmlns:x="http://schemas.openxmlformats.org/spreadsheetml/2006/main" r="U416" t="str" s="11">
        <x:v>Даташит — локальный</x:v>
      </x:c>
      <x:c xmlns:x="http://schemas.openxmlformats.org/spreadsheetml/2006/main" r="V416" t="str" s="11">
        <x:v>C:\Users\Nomatin\Documents\Altium\MY_LIB\MY_LIB\Datasheets\YAGEO_RC_L.pdf</x:v>
      </x:c>
      <x:c xmlns:x="http://schemas.openxmlformats.org/spreadsheetml/2006/main" r="W416" t="str" s="11">
        <x:v>Даташит — производитель</x:v>
      </x:c>
      <x:c xmlns:x="http://schemas.openxmlformats.org/spreadsheetml/2006/main" r="X416" t="str" s="11">
        <x:v>https://yageogroup.com/content/datasheet/asset/file/PYU-RC_GROUP_51_ROHS_L</x:v>
      </x:c>
      <x:c xmlns:x="http://schemas.openxmlformats.org/spreadsheetml/2006/main" r="Y416" t="str" s="11">
        <x:v>C:\Users\Nomatin\Documents\Altium\MY_LIB\MY_LIB\Datasheets\YAGEO_RC_L.pdf</x:v>
      </x:c>
    </ns0:row>
    <ns0:row xmlns:ns0="http://schemas.openxmlformats.org/spreadsheetml/2006/main" r="417" ht="30" customHeight="1">
      <ns0:c r="A417" t="str" s="10">
        <ns0:v>R0423</ns0:v>
      </ns0:c>
      <ns0:c r="B417" t="str" s="10">
        <ns0:v>Резистор</ns0:v>
      </ns0:c>
      <ns0:c r="C417" t="str" s="10">
        <ns0:v>130k</ns0:v>
      </ns0:c>
      <ns0:c r="D417" t="str" s="11">
        <ns0:f>SUBSTITUTE(SUBSTITUTE(SUBSTITUTE(SUBSTITUTE(C417,"meg"," МОм"),"k"," кОм"),"R"," Ом"),".",",")</ns0:f>
        <ns0:v>130 кОм</ns0:v>
      </ns0:c>
      <ns0:c r="E417" t="str" s="10">
        <ns0:v>±1%</ns0:v>
      </ns0:c>
      <ns0:c r="F417" t="str" s="10">
        <ns0:v>0,1 Вт</ns0:v>
      </ns0:c>
      <ns0:c r="G417" t="str" s="10">
        <ns0:v>75 В макс.</ns0:v>
      </ns0:c>
      <ns0:c r="H417" t="str" s="12">
        <ns0:v>0603</ns0:v>
      </ns0:c>
      <ns0:c r="I417" t="str" s="10">
        <ns0:v>YAGEO</ns0:v>
      </ns0:c>
      <ns0:c r="J417" t="str" s="10">
        <ns0:v>RC0603FR-07130KL</ns0:v>
      </ns0:c>
      <ns0:c r="K417" t="str" s="11">
        <ns0:f>B417&amp;" "&amp;D417&amp;" "&amp;E417&amp;" "&amp;H417</ns0:f>
        <ns0:v>Резистор 130 кОм ±1% 0603</ns0:v>
      </ns0:c>
      <ns0:c r="L417" t="str" s="13">
        <ns0:v>R</ns0:v>
      </ns0:c>
      <ns0:c r="M417" t="str" s="13">
        <ns0:v>Symbols\MY_LIB_Resistors.SchLib</ns0:v>
      </ns0:c>
      <ns0:c r="N417" t="str" s="13">
        <ns0:v>RESC1608X55N</ns0:v>
      </ns0:c>
      <ns0:c r="O417" t="str" s="13">
        <ns0:v>Footprints\PBL - SMD Packages.PcbLib</ns0:v>
      </ns0:c>
      <ns0:c r="P417" t="str" s="10">
        <ns0:v>RC_L; E24; P при 70 °C; U ≤ min(√(P·R), Umax)</ns0:v>
      </ns0:c>
      <ns0:c r="Q417" s="10"/>
      <ns0:c r="R417" t="str" s="11">
        <ns0:f>D417</ns0:f>
        <ns0:v>130 кОм</ns0:v>
      </ns0:c>
      <ns0:c r="S417" t="str" s="11">
        <ns0:f>K417</ns0:f>
        <ns0:v>Резистор 130 кОм ±1% 0603</ns0:v>
      </ns0:c>
      <x:c xmlns:x="http://schemas.openxmlformats.org/spreadsheetml/2006/main" r="T417" t="str" s="11">
        <x:v>C:\Users\Nomatin\Documents\Altium\MY_LIB\MY_LIB\Datasheets\YAGEO_RC_L.pdf</x:v>
      </x:c>
      <x:c xmlns:x="http://schemas.openxmlformats.org/spreadsheetml/2006/main" r="U417" t="str" s="11">
        <x:v>Даташит — локальный</x:v>
      </x:c>
      <x:c xmlns:x="http://schemas.openxmlformats.org/spreadsheetml/2006/main" r="V417" t="str" s="11">
        <x:v>C:\Users\Nomatin\Documents\Altium\MY_LIB\MY_LIB\Datasheets\YAGEO_RC_L.pdf</x:v>
      </x:c>
      <x:c xmlns:x="http://schemas.openxmlformats.org/spreadsheetml/2006/main" r="W417" t="str" s="11">
        <x:v>Даташит — производитель</x:v>
      </x:c>
      <x:c xmlns:x="http://schemas.openxmlformats.org/spreadsheetml/2006/main" r="X417" t="str" s="11">
        <x:v>https://yageogroup.com/content/datasheet/asset/file/PYU-RC_GROUP_51_ROHS_L</x:v>
      </x:c>
      <x:c xmlns:x="http://schemas.openxmlformats.org/spreadsheetml/2006/main" r="Y417" t="str" s="11">
        <x:v>C:\Users\Nomatin\Documents\Altium\MY_LIB\MY_LIB\Datasheets\YAGEO_RC_L.pdf</x:v>
      </x:c>
    </ns0:row>
    <ns0:row xmlns:ns0="http://schemas.openxmlformats.org/spreadsheetml/2006/main" r="418" ht="30" customHeight="1">
      <ns0:c r="A418" t="str" s="10">
        <ns0:v>R0424</ns0:v>
      </ns0:c>
      <ns0:c r="B418" t="str" s="10">
        <ns0:v>Резистор</ns0:v>
      </ns0:c>
      <ns0:c r="C418" t="str" s="10">
        <ns0:v>150k</ns0:v>
      </ns0:c>
      <ns0:c r="D418" t="str" s="11">
        <ns0:f>SUBSTITUTE(SUBSTITUTE(SUBSTITUTE(SUBSTITUTE(C418,"meg"," МОм"),"k"," кОм"),"R"," Ом"),".",",")</ns0:f>
        <ns0:v>150 кОм</ns0:v>
      </ns0:c>
      <ns0:c r="E418" t="str" s="10">
        <ns0:v>±1%</ns0:v>
      </ns0:c>
      <ns0:c r="F418" t="str" s="10">
        <ns0:v>0,1 Вт</ns0:v>
      </ns0:c>
      <ns0:c r="G418" t="str" s="10">
        <ns0:v>75 В макс.</ns0:v>
      </ns0:c>
      <ns0:c r="H418" t="str" s="12">
        <ns0:v>0603</ns0:v>
      </ns0:c>
      <ns0:c r="I418" t="str" s="10">
        <ns0:v>YAGEO</ns0:v>
      </ns0:c>
      <ns0:c r="J418" t="str" s="10">
        <ns0:v>RC0603FR-07150KL</ns0:v>
      </ns0:c>
      <ns0:c r="K418" t="str" s="11">
        <ns0:f>B418&amp;" "&amp;D418&amp;" "&amp;E418&amp;" "&amp;H418</ns0:f>
        <ns0:v>Резистор 150 кОм ±1% 0603</ns0:v>
      </ns0:c>
      <ns0:c r="L418" t="str" s="13">
        <ns0:v>R</ns0:v>
      </ns0:c>
      <ns0:c r="M418" t="str" s="13">
        <ns0:v>Symbols\MY_LIB_Resistors.SchLib</ns0:v>
      </ns0:c>
      <ns0:c r="N418" t="str" s="13">
        <ns0:v>RESC1608X55N</ns0:v>
      </ns0:c>
      <ns0:c r="O418" t="str" s="13">
        <ns0:v>Footprints\PBL - SMD Packages.PcbLib</ns0:v>
      </ns0:c>
      <ns0:c r="P418" t="str" s="10">
        <ns0:v>RC_L; E24; P при 70 °C; U ≤ min(√(P·R), Umax)</ns0:v>
      </ns0:c>
      <ns0:c r="Q418" s="10"/>
      <ns0:c r="R418" t="str" s="11">
        <ns0:f>D418</ns0:f>
        <ns0:v>150 кОм</ns0:v>
      </ns0:c>
      <ns0:c r="S418" t="str" s="11">
        <ns0:f>K418</ns0:f>
        <ns0:v>Резистор 150 кОм ±1% 0603</ns0:v>
      </ns0:c>
      <x:c xmlns:x="http://schemas.openxmlformats.org/spreadsheetml/2006/main" r="T418" t="str" s="11">
        <x:v>C:\Users\Nomatin\Documents\Altium\MY_LIB\MY_LIB\Datasheets\YAGEO_RC_L.pdf</x:v>
      </x:c>
      <x:c xmlns:x="http://schemas.openxmlformats.org/spreadsheetml/2006/main" r="U418" t="str" s="11">
        <x:v>Даташит — локальный</x:v>
      </x:c>
      <x:c xmlns:x="http://schemas.openxmlformats.org/spreadsheetml/2006/main" r="V418" t="str" s="11">
        <x:v>C:\Users\Nomatin\Documents\Altium\MY_LIB\MY_LIB\Datasheets\YAGEO_RC_L.pdf</x:v>
      </x:c>
      <x:c xmlns:x="http://schemas.openxmlformats.org/spreadsheetml/2006/main" r="W418" t="str" s="11">
        <x:v>Даташит — производитель</x:v>
      </x:c>
      <x:c xmlns:x="http://schemas.openxmlformats.org/spreadsheetml/2006/main" r="X418" t="str" s="11">
        <x:v>https://yageogroup.com/content/datasheet/asset/file/PYU-RC_GROUP_51_ROHS_L</x:v>
      </x:c>
      <x:c xmlns:x="http://schemas.openxmlformats.org/spreadsheetml/2006/main" r="Y418" t="str" s="11">
        <x:v>C:\Users\Nomatin\Documents\Altium\MY_LIB\MY_LIB\Datasheets\YAGEO_RC_L.pdf</x:v>
      </x:c>
    </ns0:row>
    <ns0:row xmlns:ns0="http://schemas.openxmlformats.org/spreadsheetml/2006/main" r="419" ht="30" customHeight="1">
      <ns0:c r="A419" t="str" s="10">
        <ns0:v>R0425</ns0:v>
      </ns0:c>
      <ns0:c r="B419" t="str" s="10">
        <ns0:v>Резистор</ns0:v>
      </ns0:c>
      <ns0:c r="C419" t="str" s="10">
        <ns0:v>160k</ns0:v>
      </ns0:c>
      <ns0:c r="D419" t="str" s="11">
        <ns0:f>SUBSTITUTE(SUBSTITUTE(SUBSTITUTE(SUBSTITUTE(C419,"meg"," МОм"),"k"," кОм"),"R"," Ом"),".",",")</ns0:f>
        <ns0:v>160 кОм</ns0:v>
      </ns0:c>
      <ns0:c r="E419" t="str" s="10">
        <ns0:v>±1%</ns0:v>
      </ns0:c>
      <ns0:c r="F419" t="str" s="10">
        <ns0:v>0,1 Вт</ns0:v>
      </ns0:c>
      <ns0:c r="G419" t="str" s="10">
        <ns0:v>75 В макс.</ns0:v>
      </ns0:c>
      <ns0:c r="H419" t="str" s="12">
        <ns0:v>0603</ns0:v>
      </ns0:c>
      <ns0:c r="I419" t="str" s="10">
        <ns0:v>YAGEO</ns0:v>
      </ns0:c>
      <ns0:c r="J419" t="str" s="10">
        <ns0:v>RC0603FR-07160KL</ns0:v>
      </ns0:c>
      <ns0:c r="K419" t="str" s="11">
        <ns0:f>B419&amp;" "&amp;D419&amp;" "&amp;E419&amp;" "&amp;H419</ns0:f>
        <ns0:v>Резистор 160 кОм ±1% 0603</ns0:v>
      </ns0:c>
      <ns0:c r="L419" t="str" s="13">
        <ns0:v>R</ns0:v>
      </ns0:c>
      <ns0:c r="M419" t="str" s="13">
        <ns0:v>Symbols\MY_LIB_Resistors.SchLib</ns0:v>
      </ns0:c>
      <ns0:c r="N419" t="str" s="13">
        <ns0:v>RESC1608X55N</ns0:v>
      </ns0:c>
      <ns0:c r="O419" t="str" s="13">
        <ns0:v>Footprints\PBL - SMD Packages.PcbLib</ns0:v>
      </ns0:c>
      <ns0:c r="P419" t="str" s="10">
        <ns0:v>RC_L; E24; P при 70 °C; U ≤ min(√(P·R), Umax)</ns0:v>
      </ns0:c>
      <ns0:c r="Q419" s="10"/>
      <ns0:c r="R419" t="str" s="11">
        <ns0:f>D419</ns0:f>
        <ns0:v>160 кОм</ns0:v>
      </ns0:c>
      <ns0:c r="S419" t="str" s="11">
        <ns0:f>K419</ns0:f>
        <ns0:v>Резистор 160 кОм ±1% 0603</ns0:v>
      </ns0:c>
      <x:c xmlns:x="http://schemas.openxmlformats.org/spreadsheetml/2006/main" r="T419" t="str" s="11">
        <x:v>C:\Users\Nomatin\Documents\Altium\MY_LIB\MY_LIB\Datasheets\YAGEO_RC_L.pdf</x:v>
      </x:c>
      <x:c xmlns:x="http://schemas.openxmlformats.org/spreadsheetml/2006/main" r="U419" t="str" s="11">
        <x:v>Даташит — локальный</x:v>
      </x:c>
      <x:c xmlns:x="http://schemas.openxmlformats.org/spreadsheetml/2006/main" r="V419" t="str" s="11">
        <x:v>C:\Users\Nomatin\Documents\Altium\MY_LIB\MY_LIB\Datasheets\YAGEO_RC_L.pdf</x:v>
      </x:c>
      <x:c xmlns:x="http://schemas.openxmlformats.org/spreadsheetml/2006/main" r="W419" t="str" s="11">
        <x:v>Даташит — производитель</x:v>
      </x:c>
      <x:c xmlns:x="http://schemas.openxmlformats.org/spreadsheetml/2006/main" r="X419" t="str" s="11">
        <x:v>https://yageogroup.com/content/datasheet/asset/file/PYU-RC_GROUP_51_ROHS_L</x:v>
      </x:c>
      <x:c xmlns:x="http://schemas.openxmlformats.org/spreadsheetml/2006/main" r="Y419" t="str" s="11">
        <x:v>C:\Users\Nomatin\Documents\Altium\MY_LIB\MY_LIB\Datasheets\YAGEO_RC_L.pdf</x:v>
      </x:c>
    </ns0:row>
    <ns0:row xmlns:ns0="http://schemas.openxmlformats.org/spreadsheetml/2006/main" r="420" ht="30" customHeight="1">
      <ns0:c r="A420" t="str" s="10">
        <ns0:v>R0426</ns0:v>
      </ns0:c>
      <ns0:c r="B420" t="str" s="10">
        <ns0:v>Резистор</ns0:v>
      </ns0:c>
      <ns0:c r="C420" t="str" s="10">
        <ns0:v>180k</ns0:v>
      </ns0:c>
      <ns0:c r="D420" t="str" s="11">
        <ns0:f>SUBSTITUTE(SUBSTITUTE(SUBSTITUTE(SUBSTITUTE(C420,"meg"," МОм"),"k"," кОм"),"R"," Ом"),".",",")</ns0:f>
        <ns0:v>180 кОм</ns0:v>
      </ns0:c>
      <ns0:c r="E420" t="str" s="10">
        <ns0:v>±1%</ns0:v>
      </ns0:c>
      <ns0:c r="F420" t="str" s="10">
        <ns0:v>0,1 Вт</ns0:v>
      </ns0:c>
      <ns0:c r="G420" t="str" s="10">
        <ns0:v>75 В макс.</ns0:v>
      </ns0:c>
      <ns0:c r="H420" t="str" s="12">
        <ns0:v>0603</ns0:v>
      </ns0:c>
      <ns0:c r="I420" t="str" s="10">
        <ns0:v>YAGEO</ns0:v>
      </ns0:c>
      <ns0:c r="J420" t="str" s="10">
        <ns0:v>RC0603FR-07180KL</ns0:v>
      </ns0:c>
      <ns0:c r="K420" t="str" s="11">
        <ns0:f>B420&amp;" "&amp;D420&amp;" "&amp;E420&amp;" "&amp;H420</ns0:f>
        <ns0:v>Резистор 180 кОм ±1% 0603</ns0:v>
      </ns0:c>
      <ns0:c r="L420" t="str" s="13">
        <ns0:v>R</ns0:v>
      </ns0:c>
      <ns0:c r="M420" t="str" s="13">
        <ns0:v>Symbols\MY_LIB_Resistors.SchLib</ns0:v>
      </ns0:c>
      <ns0:c r="N420" t="str" s="13">
        <ns0:v>RESC1608X55N</ns0:v>
      </ns0:c>
      <ns0:c r="O420" t="str" s="13">
        <ns0:v>Footprints\PBL - SMD Packages.PcbLib</ns0:v>
      </ns0:c>
      <ns0:c r="P420" t="str" s="10">
        <ns0:v>RC_L; E24; P при 70 °C; U ≤ min(√(P·R), Umax)</ns0:v>
      </ns0:c>
      <ns0:c r="Q420" s="10"/>
      <ns0:c r="R420" t="str" s="11">
        <ns0:f>D420</ns0:f>
        <ns0:v>180 кОм</ns0:v>
      </ns0:c>
      <ns0:c r="S420" t="str" s="11">
        <ns0:f>K420</ns0:f>
        <ns0:v>Резистор 180 кОм ±1% 0603</ns0:v>
      </ns0:c>
      <x:c xmlns:x="http://schemas.openxmlformats.org/spreadsheetml/2006/main" r="T420" t="str" s="11">
        <x:v>C:\Users\Nomatin\Documents\Altium\MY_LIB\MY_LIB\Datasheets\YAGEO_RC_L.pdf</x:v>
      </x:c>
      <x:c xmlns:x="http://schemas.openxmlformats.org/spreadsheetml/2006/main" r="U420" t="str" s="11">
        <x:v>Даташит — локальный</x:v>
      </x:c>
      <x:c xmlns:x="http://schemas.openxmlformats.org/spreadsheetml/2006/main" r="V420" t="str" s="11">
        <x:v>C:\Users\Nomatin\Documents\Altium\MY_LIB\MY_LIB\Datasheets\YAGEO_RC_L.pdf</x:v>
      </x:c>
      <x:c xmlns:x="http://schemas.openxmlformats.org/spreadsheetml/2006/main" r="W420" t="str" s="11">
        <x:v>Даташит — производитель</x:v>
      </x:c>
      <x:c xmlns:x="http://schemas.openxmlformats.org/spreadsheetml/2006/main" r="X420" t="str" s="11">
        <x:v>https://yageogroup.com/content/datasheet/asset/file/PYU-RC_GROUP_51_ROHS_L</x:v>
      </x:c>
      <x:c xmlns:x="http://schemas.openxmlformats.org/spreadsheetml/2006/main" r="Y420" t="str" s="11">
        <x:v>C:\Users\Nomatin\Documents\Altium\MY_LIB\MY_LIB\Datasheets\YAGEO_RC_L.pdf</x:v>
      </x:c>
    </ns0:row>
    <ns0:row xmlns:ns0="http://schemas.openxmlformats.org/spreadsheetml/2006/main" r="421" ht="30" customHeight="1">
      <ns0:c r="A421" t="str" s="10">
        <ns0:v>R0427</ns0:v>
      </ns0:c>
      <ns0:c r="B421" t="str" s="10">
        <ns0:v>Резистор</ns0:v>
      </ns0:c>
      <ns0:c r="C421" t="str" s="10">
        <ns0:v>200k</ns0:v>
      </ns0:c>
      <ns0:c r="D421" t="str" s="11">
        <ns0:f>SUBSTITUTE(SUBSTITUTE(SUBSTITUTE(SUBSTITUTE(C421,"meg"," МОм"),"k"," кОм"),"R"," Ом"),".",",")</ns0:f>
        <ns0:v>200 кОм</ns0:v>
      </ns0:c>
      <ns0:c r="E421" t="str" s="10">
        <ns0:v>±1%</ns0:v>
      </ns0:c>
      <ns0:c r="F421" t="str" s="10">
        <ns0:v>0,1 Вт</ns0:v>
      </ns0:c>
      <ns0:c r="G421" t="str" s="10">
        <ns0:v>75 В макс.</ns0:v>
      </ns0:c>
      <ns0:c r="H421" t="str" s="12">
        <ns0:v>0603</ns0:v>
      </ns0:c>
      <ns0:c r="I421" t="str" s="10">
        <ns0:v>YAGEO</ns0:v>
      </ns0:c>
      <ns0:c r="J421" t="str" s="10">
        <ns0:v>RC0603FR-07200KL</ns0:v>
      </ns0:c>
      <ns0:c r="K421" t="str" s="11">
        <ns0:f>B421&amp;" "&amp;D421&amp;" "&amp;E421&amp;" "&amp;H421</ns0:f>
        <ns0:v>Резистор 200 кОм ±1% 0603</ns0:v>
      </ns0:c>
      <ns0:c r="L421" t="str" s="13">
        <ns0:v>R</ns0:v>
      </ns0:c>
      <ns0:c r="M421" t="str" s="13">
        <ns0:v>Symbols\MY_LIB_Resistors.SchLib</ns0:v>
      </ns0:c>
      <ns0:c r="N421" t="str" s="13">
        <ns0:v>RESC1608X55N</ns0:v>
      </ns0:c>
      <ns0:c r="O421" t="str" s="13">
        <ns0:v>Footprints\PBL - SMD Packages.PcbLib</ns0:v>
      </ns0:c>
      <ns0:c r="P421" t="str" s="10">
        <ns0:v>RC_L; E24; P при 70 °C; U ≤ min(√(P·R), Umax)</ns0:v>
      </ns0:c>
      <ns0:c r="Q421" s="10"/>
      <ns0:c r="R421" t="str" s="11">
        <ns0:f>D421</ns0:f>
        <ns0:v>200 кОм</ns0:v>
      </ns0:c>
      <ns0:c r="S421" t="str" s="11">
        <ns0:f>K421</ns0:f>
        <ns0:v>Резистор 200 кОм ±1% 0603</ns0:v>
      </ns0:c>
      <x:c xmlns:x="http://schemas.openxmlformats.org/spreadsheetml/2006/main" r="T421" t="str" s="11">
        <x:v>C:\Users\Nomatin\Documents\Altium\MY_LIB\MY_LIB\Datasheets\YAGEO_RC_L.pdf</x:v>
      </x:c>
      <x:c xmlns:x="http://schemas.openxmlformats.org/spreadsheetml/2006/main" r="U421" t="str" s="11">
        <x:v>Даташит — локальный</x:v>
      </x:c>
      <x:c xmlns:x="http://schemas.openxmlformats.org/spreadsheetml/2006/main" r="V421" t="str" s="11">
        <x:v>C:\Users\Nomatin\Documents\Altium\MY_LIB\MY_LIB\Datasheets\YAGEO_RC_L.pdf</x:v>
      </x:c>
      <x:c xmlns:x="http://schemas.openxmlformats.org/spreadsheetml/2006/main" r="W421" t="str" s="11">
        <x:v>Даташит — производитель</x:v>
      </x:c>
      <x:c xmlns:x="http://schemas.openxmlformats.org/spreadsheetml/2006/main" r="X421" t="str" s="11">
        <x:v>https://yageogroup.com/content/datasheet/asset/file/PYU-RC_GROUP_51_ROHS_L</x:v>
      </x:c>
      <x:c xmlns:x="http://schemas.openxmlformats.org/spreadsheetml/2006/main" r="Y421" t="str" s="11">
        <x:v>C:\Users\Nomatin\Documents\Altium\MY_LIB\MY_LIB\Datasheets\YAGEO_RC_L.pdf</x:v>
      </x:c>
    </ns0:row>
    <ns0:row xmlns:ns0="http://schemas.openxmlformats.org/spreadsheetml/2006/main" r="422" ht="30" customHeight="1">
      <ns0:c r="A422" t="str" s="10">
        <ns0:v>R0428</ns0:v>
      </ns0:c>
      <ns0:c r="B422" t="str" s="10">
        <ns0:v>Резистор</ns0:v>
      </ns0:c>
      <ns0:c r="C422" t="str" s="10">
        <ns0:v>220k</ns0:v>
      </ns0:c>
      <ns0:c r="D422" t="str" s="11">
        <ns0:f>SUBSTITUTE(SUBSTITUTE(SUBSTITUTE(SUBSTITUTE(C422,"meg"," МОм"),"k"," кОм"),"R"," Ом"),".",",")</ns0:f>
        <ns0:v>220 кОм</ns0:v>
      </ns0:c>
      <ns0:c r="E422" t="str" s="10">
        <ns0:v>±1%</ns0:v>
      </ns0:c>
      <ns0:c r="F422" t="str" s="10">
        <ns0:v>0,1 Вт</ns0:v>
      </ns0:c>
      <ns0:c r="G422" t="str" s="10">
        <ns0:v>75 В макс.</ns0:v>
      </ns0:c>
      <ns0:c r="H422" t="str" s="12">
        <ns0:v>0603</ns0:v>
      </ns0:c>
      <ns0:c r="I422" t="str" s="10">
        <ns0:v>YAGEO</ns0:v>
      </ns0:c>
      <ns0:c r="J422" t="str" s="10">
        <ns0:v>RC0603FR-07220KL</ns0:v>
      </ns0:c>
      <ns0:c r="K422" t="str" s="11">
        <ns0:f>B422&amp;" "&amp;D422&amp;" "&amp;E422&amp;" "&amp;H422</ns0:f>
        <ns0:v>Резистор 220 кОм ±1% 0603</ns0:v>
      </ns0:c>
      <ns0:c r="L422" t="str" s="13">
        <ns0:v>R</ns0:v>
      </ns0:c>
      <ns0:c r="M422" t="str" s="13">
        <ns0:v>Symbols\MY_LIB_Resistors.SchLib</ns0:v>
      </ns0:c>
      <ns0:c r="N422" t="str" s="13">
        <ns0:v>RESC1608X55N</ns0:v>
      </ns0:c>
      <ns0:c r="O422" t="str" s="13">
        <ns0:v>Footprints\PBL - SMD Packages.PcbLib</ns0:v>
      </ns0:c>
      <ns0:c r="P422" t="str" s="10">
        <ns0:v>RC_L; E24; P при 70 °C; U ≤ min(√(P·R), Umax)</ns0:v>
      </ns0:c>
      <ns0:c r="Q422" s="10"/>
      <ns0:c r="R422" t="str" s="11">
        <ns0:f>D422</ns0:f>
        <ns0:v>220 кОм</ns0:v>
      </ns0:c>
      <ns0:c r="S422" t="str" s="11">
        <ns0:f>K422</ns0:f>
        <ns0:v>Резистор 220 кОм ±1% 0603</ns0:v>
      </ns0:c>
      <x:c xmlns:x="http://schemas.openxmlformats.org/spreadsheetml/2006/main" r="T422" t="str" s="11">
        <x:v>C:\Users\Nomatin\Documents\Altium\MY_LIB\MY_LIB\Datasheets\YAGEO_RC_L.pdf</x:v>
      </x:c>
      <x:c xmlns:x="http://schemas.openxmlformats.org/spreadsheetml/2006/main" r="U422" t="str" s="11">
        <x:v>Даташит — локальный</x:v>
      </x:c>
      <x:c xmlns:x="http://schemas.openxmlformats.org/spreadsheetml/2006/main" r="V422" t="str" s="11">
        <x:v>C:\Users\Nomatin\Documents\Altium\MY_LIB\MY_LIB\Datasheets\YAGEO_RC_L.pdf</x:v>
      </x:c>
      <x:c xmlns:x="http://schemas.openxmlformats.org/spreadsheetml/2006/main" r="W422" t="str" s="11">
        <x:v>Даташит — производитель</x:v>
      </x:c>
      <x:c xmlns:x="http://schemas.openxmlformats.org/spreadsheetml/2006/main" r="X422" t="str" s="11">
        <x:v>https://yageogroup.com/content/datasheet/asset/file/PYU-RC_GROUP_51_ROHS_L</x:v>
      </x:c>
      <x:c xmlns:x="http://schemas.openxmlformats.org/spreadsheetml/2006/main" r="Y422" t="str" s="11">
        <x:v>C:\Users\Nomatin\Documents\Altium\MY_LIB\MY_LIB\Datasheets\YAGEO_RC_L.pdf</x:v>
      </x:c>
    </ns0:row>
    <ns0:row xmlns:ns0="http://schemas.openxmlformats.org/spreadsheetml/2006/main" r="423" ht="30" customHeight="1">
      <ns0:c r="A423" t="str" s="10">
        <ns0:v>R0429</ns0:v>
      </ns0:c>
      <ns0:c r="B423" t="str" s="10">
        <ns0:v>Резистор</ns0:v>
      </ns0:c>
      <ns0:c r="C423" t="str" s="10">
        <ns0:v>240k</ns0:v>
      </ns0:c>
      <ns0:c r="D423" t="str" s="11">
        <ns0:f>SUBSTITUTE(SUBSTITUTE(SUBSTITUTE(SUBSTITUTE(C423,"meg"," МОм"),"k"," кОм"),"R"," Ом"),".",",")</ns0:f>
        <ns0:v>240 кОм</ns0:v>
      </ns0:c>
      <ns0:c r="E423" t="str" s="10">
        <ns0:v>±1%</ns0:v>
      </ns0:c>
      <ns0:c r="F423" t="str" s="10">
        <ns0:v>0,1 Вт</ns0:v>
      </ns0:c>
      <ns0:c r="G423" t="str" s="10">
        <ns0:v>75 В макс.</ns0:v>
      </ns0:c>
      <ns0:c r="H423" t="str" s="12">
        <ns0:v>0603</ns0:v>
      </ns0:c>
      <ns0:c r="I423" t="str" s="10">
        <ns0:v>YAGEO</ns0:v>
      </ns0:c>
      <ns0:c r="J423" t="str" s="10">
        <ns0:v>RC0603FR-07240KL</ns0:v>
      </ns0:c>
      <ns0:c r="K423" t="str" s="11">
        <ns0:f>B423&amp;" "&amp;D423&amp;" "&amp;E423&amp;" "&amp;H423</ns0:f>
        <ns0:v>Резистор 240 кОм ±1% 0603</ns0:v>
      </ns0:c>
      <ns0:c r="L423" t="str" s="13">
        <ns0:v>R</ns0:v>
      </ns0:c>
      <ns0:c r="M423" t="str" s="13">
        <ns0:v>Symbols\MY_LIB_Resistors.SchLib</ns0:v>
      </ns0:c>
      <ns0:c r="N423" t="str" s="13">
        <ns0:v>RESC1608X55N</ns0:v>
      </ns0:c>
      <ns0:c r="O423" t="str" s="13">
        <ns0:v>Footprints\PBL - SMD Packages.PcbLib</ns0:v>
      </ns0:c>
      <ns0:c r="P423" t="str" s="10">
        <ns0:v>RC_L; E24; P при 70 °C; U ≤ min(√(P·R), Umax)</ns0:v>
      </ns0:c>
      <ns0:c r="Q423" s="10"/>
      <ns0:c r="R423" t="str" s="11">
        <ns0:f>D423</ns0:f>
        <ns0:v>240 кОм</ns0:v>
      </ns0:c>
      <ns0:c r="S423" t="str" s="11">
        <ns0:f>K423</ns0:f>
        <ns0:v>Резистор 240 кОм ±1% 0603</ns0:v>
      </ns0:c>
      <x:c xmlns:x="http://schemas.openxmlformats.org/spreadsheetml/2006/main" r="T423" t="str" s="11">
        <x:v>C:\Users\Nomatin\Documents\Altium\MY_LIB\MY_LIB\Datasheets\YAGEO_RC_L.pdf</x:v>
      </x:c>
      <x:c xmlns:x="http://schemas.openxmlformats.org/spreadsheetml/2006/main" r="U423" t="str" s="11">
        <x:v>Даташит — локальный</x:v>
      </x:c>
      <x:c xmlns:x="http://schemas.openxmlformats.org/spreadsheetml/2006/main" r="V423" t="str" s="11">
        <x:v>C:\Users\Nomatin\Documents\Altium\MY_LIB\MY_LIB\Datasheets\YAGEO_RC_L.pdf</x:v>
      </x:c>
      <x:c xmlns:x="http://schemas.openxmlformats.org/spreadsheetml/2006/main" r="W423" t="str" s="11">
        <x:v>Даташит — производитель</x:v>
      </x:c>
      <x:c xmlns:x="http://schemas.openxmlformats.org/spreadsheetml/2006/main" r="X423" t="str" s="11">
        <x:v>https://yageogroup.com/content/datasheet/asset/file/PYU-RC_GROUP_51_ROHS_L</x:v>
      </x:c>
      <x:c xmlns:x="http://schemas.openxmlformats.org/spreadsheetml/2006/main" r="Y423" t="str" s="11">
        <x:v>C:\Users\Nomatin\Documents\Altium\MY_LIB\MY_LIB\Datasheets\YAGEO_RC_L.pdf</x:v>
      </x:c>
    </ns0:row>
    <ns0:row xmlns:ns0="http://schemas.openxmlformats.org/spreadsheetml/2006/main" r="424" ht="30" customHeight="1">
      <ns0:c r="A424" t="str" s="10">
        <ns0:v>R0430</ns0:v>
      </ns0:c>
      <ns0:c r="B424" t="str" s="10">
        <ns0:v>Резистор</ns0:v>
      </ns0:c>
      <ns0:c r="C424" t="str" s="10">
        <ns0:v>270k</ns0:v>
      </ns0:c>
      <ns0:c r="D424" t="str" s="11">
        <ns0:f>SUBSTITUTE(SUBSTITUTE(SUBSTITUTE(SUBSTITUTE(C424,"meg"," МОм"),"k"," кОм"),"R"," Ом"),".",",")</ns0:f>
        <ns0:v>270 кОм</ns0:v>
      </ns0:c>
      <ns0:c r="E424" t="str" s="10">
        <ns0:v>±1%</ns0:v>
      </ns0:c>
      <ns0:c r="F424" t="str" s="10">
        <ns0:v>0,1 Вт</ns0:v>
      </ns0:c>
      <ns0:c r="G424" t="str" s="10">
        <ns0:v>75 В макс.</ns0:v>
      </ns0:c>
      <ns0:c r="H424" t="str" s="12">
        <ns0:v>0603</ns0:v>
      </ns0:c>
      <ns0:c r="I424" t="str" s="10">
        <ns0:v>YAGEO</ns0:v>
      </ns0:c>
      <ns0:c r="J424" t="str" s="10">
        <ns0:v>RC0603FR-07270KL</ns0:v>
      </ns0:c>
      <ns0:c r="K424" t="str" s="11">
        <ns0:f>B424&amp;" "&amp;D424&amp;" "&amp;E424&amp;" "&amp;H424</ns0:f>
        <ns0:v>Резистор 270 кОм ±1% 0603</ns0:v>
      </ns0:c>
      <ns0:c r="L424" t="str" s="13">
        <ns0:v>R</ns0:v>
      </ns0:c>
      <ns0:c r="M424" t="str" s="13">
        <ns0:v>Symbols\MY_LIB_Resistors.SchLib</ns0:v>
      </ns0:c>
      <ns0:c r="N424" t="str" s="13">
        <ns0:v>RESC1608X55N</ns0:v>
      </ns0:c>
      <ns0:c r="O424" t="str" s="13">
        <ns0:v>Footprints\PBL - SMD Packages.PcbLib</ns0:v>
      </ns0:c>
      <ns0:c r="P424" t="str" s="10">
        <ns0:v>RC_L; E24; P при 70 °C; U ≤ min(√(P·R), Umax)</ns0:v>
      </ns0:c>
      <ns0:c r="Q424" s="10"/>
      <ns0:c r="R424" t="str" s="11">
        <ns0:f>D424</ns0:f>
        <ns0:v>270 кОм</ns0:v>
      </ns0:c>
      <ns0:c r="S424" t="str" s="11">
        <ns0:f>K424</ns0:f>
        <ns0:v>Резистор 270 кОм ±1% 0603</ns0:v>
      </ns0:c>
      <x:c xmlns:x="http://schemas.openxmlformats.org/spreadsheetml/2006/main" r="T424" t="str" s="11">
        <x:v>C:\Users\Nomatin\Documents\Altium\MY_LIB\MY_LIB\Datasheets\YAGEO_RC_L.pdf</x:v>
      </x:c>
      <x:c xmlns:x="http://schemas.openxmlformats.org/spreadsheetml/2006/main" r="U424" t="str" s="11">
        <x:v>Даташит — локальный</x:v>
      </x:c>
      <x:c xmlns:x="http://schemas.openxmlformats.org/spreadsheetml/2006/main" r="V424" t="str" s="11">
        <x:v>C:\Users\Nomatin\Documents\Altium\MY_LIB\MY_LIB\Datasheets\YAGEO_RC_L.pdf</x:v>
      </x:c>
      <x:c xmlns:x="http://schemas.openxmlformats.org/spreadsheetml/2006/main" r="W424" t="str" s="11">
        <x:v>Даташит — производитель</x:v>
      </x:c>
      <x:c xmlns:x="http://schemas.openxmlformats.org/spreadsheetml/2006/main" r="X424" t="str" s="11">
        <x:v>https://yageogroup.com/content/datasheet/asset/file/PYU-RC_GROUP_51_ROHS_L</x:v>
      </x:c>
      <x:c xmlns:x="http://schemas.openxmlformats.org/spreadsheetml/2006/main" r="Y424" t="str" s="11">
        <x:v>C:\Users\Nomatin\Documents\Altium\MY_LIB\MY_LIB\Datasheets\YAGEO_RC_L.pdf</x:v>
      </x:c>
    </ns0:row>
    <ns0:row xmlns:ns0="http://schemas.openxmlformats.org/spreadsheetml/2006/main" r="425" ht="30" customHeight="1">
      <ns0:c r="A425" t="str" s="10">
        <ns0:v>R0431</ns0:v>
      </ns0:c>
      <ns0:c r="B425" t="str" s="10">
        <ns0:v>Резистор</ns0:v>
      </ns0:c>
      <ns0:c r="C425" t="str" s="10">
        <ns0:v>300k</ns0:v>
      </ns0:c>
      <ns0:c r="D425" t="str" s="11">
        <ns0:f>SUBSTITUTE(SUBSTITUTE(SUBSTITUTE(SUBSTITUTE(C425,"meg"," МОм"),"k"," кОм"),"R"," Ом"),".",",")</ns0:f>
        <ns0:v>300 кОм</ns0:v>
      </ns0:c>
      <ns0:c r="E425" t="str" s="10">
        <ns0:v>±1%</ns0:v>
      </ns0:c>
      <ns0:c r="F425" t="str" s="10">
        <ns0:v>0,1 Вт</ns0:v>
      </ns0:c>
      <ns0:c r="G425" t="str" s="10">
        <ns0:v>75 В макс.</ns0:v>
      </ns0:c>
      <ns0:c r="H425" t="str" s="12">
        <ns0:v>0603</ns0:v>
      </ns0:c>
      <ns0:c r="I425" t="str" s="10">
        <ns0:v>YAGEO</ns0:v>
      </ns0:c>
      <ns0:c r="J425" t="str" s="10">
        <ns0:v>RC0603FR-07300KL</ns0:v>
      </ns0:c>
      <ns0:c r="K425" t="str" s="11">
        <ns0:f>B425&amp;" "&amp;D425&amp;" "&amp;E425&amp;" "&amp;H425</ns0:f>
        <ns0:v>Резистор 300 кОм ±1% 0603</ns0:v>
      </ns0:c>
      <ns0:c r="L425" t="str" s="13">
        <ns0:v>R</ns0:v>
      </ns0:c>
      <ns0:c r="M425" t="str" s="13">
        <ns0:v>Symbols\MY_LIB_Resistors.SchLib</ns0:v>
      </ns0:c>
      <ns0:c r="N425" t="str" s="13">
        <ns0:v>RESC1608X55N</ns0:v>
      </ns0:c>
      <ns0:c r="O425" t="str" s="13">
        <ns0:v>Footprints\PBL - SMD Packages.PcbLib</ns0:v>
      </ns0:c>
      <ns0:c r="P425" t="str" s="10">
        <ns0:v>RC_L; E24; P при 70 °C; U ≤ min(√(P·R), Umax)</ns0:v>
      </ns0:c>
      <ns0:c r="Q425" s="10"/>
      <ns0:c r="R425" t="str" s="11">
        <ns0:f>D425</ns0:f>
        <ns0:v>300 кОм</ns0:v>
      </ns0:c>
      <ns0:c r="S425" t="str" s="11">
        <ns0:f>K425</ns0:f>
        <ns0:v>Резистор 300 кОм ±1% 0603</ns0:v>
      </ns0:c>
      <x:c xmlns:x="http://schemas.openxmlformats.org/spreadsheetml/2006/main" r="T425" t="str" s="11">
        <x:v>C:\Users\Nomatin\Documents\Altium\MY_LIB\MY_LIB\Datasheets\YAGEO_RC_L.pdf</x:v>
      </x:c>
      <x:c xmlns:x="http://schemas.openxmlformats.org/spreadsheetml/2006/main" r="U425" t="str" s="11">
        <x:v>Даташит — локальный</x:v>
      </x:c>
      <x:c xmlns:x="http://schemas.openxmlformats.org/spreadsheetml/2006/main" r="V425" t="str" s="11">
        <x:v>C:\Users\Nomatin\Documents\Altium\MY_LIB\MY_LIB\Datasheets\YAGEO_RC_L.pdf</x:v>
      </x:c>
      <x:c xmlns:x="http://schemas.openxmlformats.org/spreadsheetml/2006/main" r="W425" t="str" s="11">
        <x:v>Даташит — производитель</x:v>
      </x:c>
      <x:c xmlns:x="http://schemas.openxmlformats.org/spreadsheetml/2006/main" r="X425" t="str" s="11">
        <x:v>https://yageogroup.com/content/datasheet/asset/file/PYU-RC_GROUP_51_ROHS_L</x:v>
      </x:c>
      <x:c xmlns:x="http://schemas.openxmlformats.org/spreadsheetml/2006/main" r="Y425" t="str" s="11">
        <x:v>C:\Users\Nomatin\Documents\Altium\MY_LIB\MY_LIB\Datasheets\YAGEO_RC_L.pdf</x:v>
      </x:c>
    </ns0:row>
    <ns0:row xmlns:ns0="http://schemas.openxmlformats.org/spreadsheetml/2006/main" r="426" ht="30" customHeight="1">
      <ns0:c r="A426" t="str" s="10">
        <ns0:v>R0432</ns0:v>
      </ns0:c>
      <ns0:c r="B426" t="str" s="10">
        <ns0:v>Резистор</ns0:v>
      </ns0:c>
      <ns0:c r="C426" t="str" s="10">
        <ns0:v>330k</ns0:v>
      </ns0:c>
      <ns0:c r="D426" t="str" s="11">
        <ns0:f>SUBSTITUTE(SUBSTITUTE(SUBSTITUTE(SUBSTITUTE(C426,"meg"," МОм"),"k"," кОм"),"R"," Ом"),".",",")</ns0:f>
        <ns0:v>330 кОм</ns0:v>
      </ns0:c>
      <ns0:c r="E426" t="str" s="10">
        <ns0:v>±1%</ns0:v>
      </ns0:c>
      <ns0:c r="F426" t="str" s="10">
        <ns0:v>0,1 Вт</ns0:v>
      </ns0:c>
      <ns0:c r="G426" t="str" s="10">
        <ns0:v>75 В макс.</ns0:v>
      </ns0:c>
      <ns0:c r="H426" t="str" s="12">
        <ns0:v>0603</ns0:v>
      </ns0:c>
      <ns0:c r="I426" t="str" s="10">
        <ns0:v>YAGEO</ns0:v>
      </ns0:c>
      <ns0:c r="J426" t="str" s="10">
        <ns0:v>RC0603FR-07330KL</ns0:v>
      </ns0:c>
      <ns0:c r="K426" t="str" s="11">
        <ns0:f>B426&amp;" "&amp;D426&amp;" "&amp;E426&amp;" "&amp;H426</ns0:f>
        <ns0:v>Резистор 330 кОм ±1% 0603</ns0:v>
      </ns0:c>
      <ns0:c r="L426" t="str" s="13">
        <ns0:v>R</ns0:v>
      </ns0:c>
      <ns0:c r="M426" t="str" s="13">
        <ns0:v>Symbols\MY_LIB_Resistors.SchLib</ns0:v>
      </ns0:c>
      <ns0:c r="N426" t="str" s="13">
        <ns0:v>RESC1608X55N</ns0:v>
      </ns0:c>
      <ns0:c r="O426" t="str" s="13">
        <ns0:v>Footprints\PBL - SMD Packages.PcbLib</ns0:v>
      </ns0:c>
      <ns0:c r="P426" t="str" s="10">
        <ns0:v>RC_L; E24; P при 70 °C; U ≤ min(√(P·R), Umax)</ns0:v>
      </ns0:c>
      <ns0:c r="Q426" s="10"/>
      <ns0:c r="R426" t="str" s="11">
        <ns0:f>D426</ns0:f>
        <ns0:v>330 кОм</ns0:v>
      </ns0:c>
      <ns0:c r="S426" t="str" s="11">
        <ns0:f>K426</ns0:f>
        <ns0:v>Резистор 330 кОм ±1% 0603</ns0:v>
      </ns0:c>
      <x:c xmlns:x="http://schemas.openxmlformats.org/spreadsheetml/2006/main" r="T426" t="str" s="11">
        <x:v>C:\Users\Nomatin\Documents\Altium\MY_LIB\MY_LIB\Datasheets\YAGEO_RC_L.pdf</x:v>
      </x:c>
      <x:c xmlns:x="http://schemas.openxmlformats.org/spreadsheetml/2006/main" r="U426" t="str" s="11">
        <x:v>Даташит — локальный</x:v>
      </x:c>
      <x:c xmlns:x="http://schemas.openxmlformats.org/spreadsheetml/2006/main" r="V426" t="str" s="11">
        <x:v>C:\Users\Nomatin\Documents\Altium\MY_LIB\MY_LIB\Datasheets\YAGEO_RC_L.pdf</x:v>
      </x:c>
      <x:c xmlns:x="http://schemas.openxmlformats.org/spreadsheetml/2006/main" r="W426" t="str" s="11">
        <x:v>Даташит — производитель</x:v>
      </x:c>
      <x:c xmlns:x="http://schemas.openxmlformats.org/spreadsheetml/2006/main" r="X426" t="str" s="11">
        <x:v>https://yageogroup.com/content/datasheet/asset/file/PYU-RC_GROUP_51_ROHS_L</x:v>
      </x:c>
      <x:c xmlns:x="http://schemas.openxmlformats.org/spreadsheetml/2006/main" r="Y426" t="str" s="11">
        <x:v>C:\Users\Nomatin\Documents\Altium\MY_LIB\MY_LIB\Datasheets\YAGEO_RC_L.pdf</x:v>
      </x:c>
    </ns0:row>
    <ns0:row xmlns:ns0="http://schemas.openxmlformats.org/spreadsheetml/2006/main" r="427" ht="30" customHeight="1">
      <ns0:c r="A427" t="str" s="10">
        <ns0:v>R0433</ns0:v>
      </ns0:c>
      <ns0:c r="B427" t="str" s="10">
        <ns0:v>Резистор</ns0:v>
      </ns0:c>
      <ns0:c r="C427" t="str" s="10">
        <ns0:v>360k</ns0:v>
      </ns0:c>
      <ns0:c r="D427" t="str" s="11">
        <ns0:f>SUBSTITUTE(SUBSTITUTE(SUBSTITUTE(SUBSTITUTE(C427,"meg"," МОм"),"k"," кОм"),"R"," Ом"),".",",")</ns0:f>
        <ns0:v>360 кОм</ns0:v>
      </ns0:c>
      <ns0:c r="E427" t="str" s="10">
        <ns0:v>±1%</ns0:v>
      </ns0:c>
      <ns0:c r="F427" t="str" s="10">
        <ns0:v>0,1 Вт</ns0:v>
      </ns0:c>
      <ns0:c r="G427" t="str" s="10">
        <ns0:v>75 В макс.</ns0:v>
      </ns0:c>
      <ns0:c r="H427" t="str" s="12">
        <ns0:v>0603</ns0:v>
      </ns0:c>
      <ns0:c r="I427" t="str" s="10">
        <ns0:v>YAGEO</ns0:v>
      </ns0:c>
      <ns0:c r="J427" t="str" s="10">
        <ns0:v>RC0603FR-07360KL</ns0:v>
      </ns0:c>
      <ns0:c r="K427" t="str" s="11">
        <ns0:f>B427&amp;" "&amp;D427&amp;" "&amp;E427&amp;" "&amp;H427</ns0:f>
        <ns0:v>Резистор 360 кОм ±1% 0603</ns0:v>
      </ns0:c>
      <ns0:c r="L427" t="str" s="13">
        <ns0:v>R</ns0:v>
      </ns0:c>
      <ns0:c r="M427" t="str" s="13">
        <ns0:v>Symbols\MY_LIB_Resistors.SchLib</ns0:v>
      </ns0:c>
      <ns0:c r="N427" t="str" s="13">
        <ns0:v>RESC1608X55N</ns0:v>
      </ns0:c>
      <ns0:c r="O427" t="str" s="13">
        <ns0:v>Footprints\PBL - SMD Packages.PcbLib</ns0:v>
      </ns0:c>
      <ns0:c r="P427" t="str" s="10">
        <ns0:v>RC_L; E24; P при 70 °C; U ≤ min(√(P·R), Umax)</ns0:v>
      </ns0:c>
      <ns0:c r="Q427" s="10"/>
      <ns0:c r="R427" t="str" s="11">
        <ns0:f>D427</ns0:f>
        <ns0:v>360 кОм</ns0:v>
      </ns0:c>
      <ns0:c r="S427" t="str" s="11">
        <ns0:f>K427</ns0:f>
        <ns0:v>Резистор 360 кОм ±1% 0603</ns0:v>
      </ns0:c>
      <x:c xmlns:x="http://schemas.openxmlformats.org/spreadsheetml/2006/main" r="T427" t="str" s="11">
        <x:v>C:\Users\Nomatin\Documents\Altium\MY_LIB\MY_LIB\Datasheets\YAGEO_RC_L.pdf</x:v>
      </x:c>
      <x:c xmlns:x="http://schemas.openxmlformats.org/spreadsheetml/2006/main" r="U427" t="str" s="11">
        <x:v>Даташит — локальный</x:v>
      </x:c>
      <x:c xmlns:x="http://schemas.openxmlformats.org/spreadsheetml/2006/main" r="V427" t="str" s="11">
        <x:v>C:\Users\Nomatin\Documents\Altium\MY_LIB\MY_LIB\Datasheets\YAGEO_RC_L.pdf</x:v>
      </x:c>
      <x:c xmlns:x="http://schemas.openxmlformats.org/spreadsheetml/2006/main" r="W427" t="str" s="11">
        <x:v>Даташит — производитель</x:v>
      </x:c>
      <x:c xmlns:x="http://schemas.openxmlformats.org/spreadsheetml/2006/main" r="X427" t="str" s="11">
        <x:v>https://yageogroup.com/content/datasheet/asset/file/PYU-RC_GROUP_51_ROHS_L</x:v>
      </x:c>
      <x:c xmlns:x="http://schemas.openxmlformats.org/spreadsheetml/2006/main" r="Y427" t="str" s="11">
        <x:v>C:\Users\Nomatin\Documents\Altium\MY_LIB\MY_LIB\Datasheets\YAGEO_RC_L.pdf</x:v>
      </x:c>
    </ns0:row>
    <ns0:row xmlns:ns0="http://schemas.openxmlformats.org/spreadsheetml/2006/main" r="428" ht="30" customHeight="1">
      <ns0:c r="A428" t="str" s="10">
        <ns0:v>R0434</ns0:v>
      </ns0:c>
      <ns0:c r="B428" t="str" s="10">
        <ns0:v>Резистор</ns0:v>
      </ns0:c>
      <ns0:c r="C428" t="str" s="10">
        <ns0:v>390k</ns0:v>
      </ns0:c>
      <ns0:c r="D428" t="str" s="11">
        <ns0:f>SUBSTITUTE(SUBSTITUTE(SUBSTITUTE(SUBSTITUTE(C428,"meg"," МОм"),"k"," кОм"),"R"," Ом"),".",",")</ns0:f>
        <ns0:v>390 кОм</ns0:v>
      </ns0:c>
      <ns0:c r="E428" t="str" s="10">
        <ns0:v>±1%</ns0:v>
      </ns0:c>
      <ns0:c r="F428" t="str" s="10">
        <ns0:v>0,1 Вт</ns0:v>
      </ns0:c>
      <ns0:c r="G428" t="str" s="10">
        <ns0:v>75 В макс.</ns0:v>
      </ns0:c>
      <ns0:c r="H428" t="str" s="12">
        <ns0:v>0603</ns0:v>
      </ns0:c>
      <ns0:c r="I428" t="str" s="10">
        <ns0:v>YAGEO</ns0:v>
      </ns0:c>
      <ns0:c r="J428" t="str" s="10">
        <ns0:v>RC0603FR-07390KL</ns0:v>
      </ns0:c>
      <ns0:c r="K428" t="str" s="11">
        <ns0:f>B428&amp;" "&amp;D428&amp;" "&amp;E428&amp;" "&amp;H428</ns0:f>
        <ns0:v>Резистор 390 кОм ±1% 0603</ns0:v>
      </ns0:c>
      <ns0:c r="L428" t="str" s="13">
        <ns0:v>R</ns0:v>
      </ns0:c>
      <ns0:c r="M428" t="str" s="13">
        <ns0:v>Symbols\MY_LIB_Resistors.SchLib</ns0:v>
      </ns0:c>
      <ns0:c r="N428" t="str" s="13">
        <ns0:v>RESC1608X55N</ns0:v>
      </ns0:c>
      <ns0:c r="O428" t="str" s="13">
        <ns0:v>Footprints\PBL - SMD Packages.PcbLib</ns0:v>
      </ns0:c>
      <ns0:c r="P428" t="str" s="10">
        <ns0:v>RC_L; E24; P при 70 °C; U ≤ min(√(P·R), Umax)</ns0:v>
      </ns0:c>
      <ns0:c r="Q428" s="10"/>
      <ns0:c r="R428" t="str" s="11">
        <ns0:f>D428</ns0:f>
        <ns0:v>390 кОм</ns0:v>
      </ns0:c>
      <ns0:c r="S428" t="str" s="11">
        <ns0:f>K428</ns0:f>
        <ns0:v>Резистор 390 кОм ±1% 0603</ns0:v>
      </ns0:c>
      <x:c xmlns:x="http://schemas.openxmlformats.org/spreadsheetml/2006/main" r="T428" t="str" s="11">
        <x:v>C:\Users\Nomatin\Documents\Altium\MY_LIB\MY_LIB\Datasheets\YAGEO_RC_L.pdf</x:v>
      </x:c>
      <x:c xmlns:x="http://schemas.openxmlformats.org/spreadsheetml/2006/main" r="U428" t="str" s="11">
        <x:v>Даташит — локальный</x:v>
      </x:c>
      <x:c xmlns:x="http://schemas.openxmlformats.org/spreadsheetml/2006/main" r="V428" t="str" s="11">
        <x:v>C:\Users\Nomatin\Documents\Altium\MY_LIB\MY_LIB\Datasheets\YAGEO_RC_L.pdf</x:v>
      </x:c>
      <x:c xmlns:x="http://schemas.openxmlformats.org/spreadsheetml/2006/main" r="W428" t="str" s="11">
        <x:v>Даташит — производитель</x:v>
      </x:c>
      <x:c xmlns:x="http://schemas.openxmlformats.org/spreadsheetml/2006/main" r="X428" t="str" s="11">
        <x:v>https://yageogroup.com/content/datasheet/asset/file/PYU-RC_GROUP_51_ROHS_L</x:v>
      </x:c>
      <x:c xmlns:x="http://schemas.openxmlformats.org/spreadsheetml/2006/main" r="Y428" t="str" s="11">
        <x:v>C:\Users\Nomatin\Documents\Altium\MY_LIB\MY_LIB\Datasheets\YAGEO_RC_L.pdf</x:v>
      </x:c>
    </ns0:row>
    <ns0:row xmlns:ns0="http://schemas.openxmlformats.org/spreadsheetml/2006/main" r="429" ht="30" customHeight="1">
      <ns0:c r="A429" t="str" s="10">
        <ns0:v>R0435</ns0:v>
      </ns0:c>
      <ns0:c r="B429" t="str" s="10">
        <ns0:v>Резистор</ns0:v>
      </ns0:c>
      <ns0:c r="C429" t="str" s="10">
        <ns0:v>430k</ns0:v>
      </ns0:c>
      <ns0:c r="D429" t="str" s="11">
        <ns0:f>SUBSTITUTE(SUBSTITUTE(SUBSTITUTE(SUBSTITUTE(C429,"meg"," МОм"),"k"," кОм"),"R"," Ом"),".",",")</ns0:f>
        <ns0:v>430 кОм</ns0:v>
      </ns0:c>
      <ns0:c r="E429" t="str" s="10">
        <ns0:v>±1%</ns0:v>
      </ns0:c>
      <ns0:c r="F429" t="str" s="10">
        <ns0:v>0,1 Вт</ns0:v>
      </ns0:c>
      <ns0:c r="G429" t="str" s="10">
        <ns0:v>75 В макс.</ns0:v>
      </ns0:c>
      <ns0:c r="H429" t="str" s="12">
        <ns0:v>0603</ns0:v>
      </ns0:c>
      <ns0:c r="I429" t="str" s="10">
        <ns0:v>YAGEO</ns0:v>
      </ns0:c>
      <ns0:c r="J429" t="str" s="10">
        <ns0:v>RC0603FR-07430KL</ns0:v>
      </ns0:c>
      <ns0:c r="K429" t="str" s="11">
        <ns0:f>B429&amp;" "&amp;D429&amp;" "&amp;E429&amp;" "&amp;H429</ns0:f>
        <ns0:v>Резистор 430 кОм ±1% 0603</ns0:v>
      </ns0:c>
      <ns0:c r="L429" t="str" s="13">
        <ns0:v>R</ns0:v>
      </ns0:c>
      <ns0:c r="M429" t="str" s="13">
        <ns0:v>Symbols\MY_LIB_Resistors.SchLib</ns0:v>
      </ns0:c>
      <ns0:c r="N429" t="str" s="13">
        <ns0:v>RESC1608X55N</ns0:v>
      </ns0:c>
      <ns0:c r="O429" t="str" s="13">
        <ns0:v>Footprints\PBL - SMD Packages.PcbLib</ns0:v>
      </ns0:c>
      <ns0:c r="P429" t="str" s="10">
        <ns0:v>RC_L; E24; P при 70 °C; U ≤ min(√(P·R), Umax)</ns0:v>
      </ns0:c>
      <ns0:c r="Q429" s="10"/>
      <ns0:c r="R429" t="str" s="11">
        <ns0:f>D429</ns0:f>
        <ns0:v>430 кОм</ns0:v>
      </ns0:c>
      <ns0:c r="S429" t="str" s="11">
        <ns0:f>K429</ns0:f>
        <ns0:v>Резистор 430 кОм ±1% 0603</ns0:v>
      </ns0:c>
      <x:c xmlns:x="http://schemas.openxmlformats.org/spreadsheetml/2006/main" r="T429" t="str" s="11">
        <x:v>C:\Users\Nomatin\Documents\Altium\MY_LIB\MY_LIB\Datasheets\YAGEO_RC_L.pdf</x:v>
      </x:c>
      <x:c xmlns:x="http://schemas.openxmlformats.org/spreadsheetml/2006/main" r="U429" t="str" s="11">
        <x:v>Даташит — локальный</x:v>
      </x:c>
      <x:c xmlns:x="http://schemas.openxmlformats.org/spreadsheetml/2006/main" r="V429" t="str" s="11">
        <x:v>C:\Users\Nomatin\Documents\Altium\MY_LIB\MY_LIB\Datasheets\YAGEO_RC_L.pdf</x:v>
      </x:c>
      <x:c xmlns:x="http://schemas.openxmlformats.org/spreadsheetml/2006/main" r="W429" t="str" s="11">
        <x:v>Даташит — производитель</x:v>
      </x:c>
      <x:c xmlns:x="http://schemas.openxmlformats.org/spreadsheetml/2006/main" r="X429" t="str" s="11">
        <x:v>https://yageogroup.com/content/datasheet/asset/file/PYU-RC_GROUP_51_ROHS_L</x:v>
      </x:c>
      <x:c xmlns:x="http://schemas.openxmlformats.org/spreadsheetml/2006/main" r="Y429" t="str" s="11">
        <x:v>C:\Users\Nomatin\Documents\Altium\MY_LIB\MY_LIB\Datasheets\YAGEO_RC_L.pdf</x:v>
      </x:c>
    </ns0:row>
    <ns0:row xmlns:ns0="http://schemas.openxmlformats.org/spreadsheetml/2006/main" r="430" ht="30" customHeight="1">
      <ns0:c r="A430" t="str" s="10">
        <ns0:v>R0436</ns0:v>
      </ns0:c>
      <ns0:c r="B430" t="str" s="10">
        <ns0:v>Резистор</ns0:v>
      </ns0:c>
      <ns0:c r="C430" t="str" s="10">
        <ns0:v>470k</ns0:v>
      </ns0:c>
      <ns0:c r="D430" t="str" s="11">
        <ns0:f>SUBSTITUTE(SUBSTITUTE(SUBSTITUTE(SUBSTITUTE(C430,"meg"," МОм"),"k"," кОм"),"R"," Ом"),".",",")</ns0:f>
        <ns0:v>470 кОм</ns0:v>
      </ns0:c>
      <ns0:c r="E430" t="str" s="10">
        <ns0:v>±1%</ns0:v>
      </ns0:c>
      <ns0:c r="F430" t="str" s="10">
        <ns0:v>0,1 Вт</ns0:v>
      </ns0:c>
      <ns0:c r="G430" t="str" s="10">
        <ns0:v>75 В макс.</ns0:v>
      </ns0:c>
      <ns0:c r="H430" t="str" s="12">
        <ns0:v>0603</ns0:v>
      </ns0:c>
      <ns0:c r="I430" t="str" s="10">
        <ns0:v>YAGEO</ns0:v>
      </ns0:c>
      <ns0:c r="J430" t="str" s="10">
        <ns0:v>RC0603FR-07470KL</ns0:v>
      </ns0:c>
      <ns0:c r="K430" t="str" s="11">
        <ns0:f>B430&amp;" "&amp;D430&amp;" "&amp;E430&amp;" "&amp;H430</ns0:f>
        <ns0:v>Резистор 470 кОм ±1% 0603</ns0:v>
      </ns0:c>
      <ns0:c r="L430" t="str" s="13">
        <ns0:v>R</ns0:v>
      </ns0:c>
      <ns0:c r="M430" t="str" s="13">
        <ns0:v>Symbols\MY_LIB_Resistors.SchLib</ns0:v>
      </ns0:c>
      <ns0:c r="N430" t="str" s="13">
        <ns0:v>RESC1608X55N</ns0:v>
      </ns0:c>
      <ns0:c r="O430" t="str" s="13">
        <ns0:v>Footprints\PBL - SMD Packages.PcbLib</ns0:v>
      </ns0:c>
      <ns0:c r="P430" t="str" s="10">
        <ns0:v>RC_L; E24; P при 70 °C; U ≤ min(√(P·R), Umax)</ns0:v>
      </ns0:c>
      <ns0:c r="Q430" s="10"/>
      <ns0:c r="R430" t="str" s="11">
        <ns0:f>D430</ns0:f>
        <ns0:v>470 кОм</ns0:v>
      </ns0:c>
      <ns0:c r="S430" t="str" s="11">
        <ns0:f>K430</ns0:f>
        <ns0:v>Резистор 470 кОм ±1% 0603</ns0:v>
      </ns0:c>
      <x:c xmlns:x="http://schemas.openxmlformats.org/spreadsheetml/2006/main" r="T430" t="str" s="11">
        <x:v>C:\Users\Nomatin\Documents\Altium\MY_LIB\MY_LIB\Datasheets\YAGEO_RC_L.pdf</x:v>
      </x:c>
      <x:c xmlns:x="http://schemas.openxmlformats.org/spreadsheetml/2006/main" r="U430" t="str" s="11">
        <x:v>Даташит — локальный</x:v>
      </x:c>
      <x:c xmlns:x="http://schemas.openxmlformats.org/spreadsheetml/2006/main" r="V430" t="str" s="11">
        <x:v>C:\Users\Nomatin\Documents\Altium\MY_LIB\MY_LIB\Datasheets\YAGEO_RC_L.pdf</x:v>
      </x:c>
      <x:c xmlns:x="http://schemas.openxmlformats.org/spreadsheetml/2006/main" r="W430" t="str" s="11">
        <x:v>Даташит — производитель</x:v>
      </x:c>
      <x:c xmlns:x="http://schemas.openxmlformats.org/spreadsheetml/2006/main" r="X430" t="str" s="11">
        <x:v>https://yageogroup.com/content/datasheet/asset/file/PYU-RC_GROUP_51_ROHS_L</x:v>
      </x:c>
      <x:c xmlns:x="http://schemas.openxmlformats.org/spreadsheetml/2006/main" r="Y430" t="str" s="11">
        <x:v>C:\Users\Nomatin\Documents\Altium\MY_LIB\MY_LIB\Datasheets\YAGEO_RC_L.pdf</x:v>
      </x:c>
    </ns0:row>
    <ns0:row xmlns:ns0="http://schemas.openxmlformats.org/spreadsheetml/2006/main" r="431" ht="30" customHeight="1">
      <ns0:c r="A431" t="str" s="10">
        <ns0:v>R0437</ns0:v>
      </ns0:c>
      <ns0:c r="B431" t="str" s="10">
        <ns0:v>Резистор</ns0:v>
      </ns0:c>
      <ns0:c r="C431" t="str" s="10">
        <ns0:v>510k</ns0:v>
      </ns0:c>
      <ns0:c r="D431" t="str" s="11">
        <ns0:f>SUBSTITUTE(SUBSTITUTE(SUBSTITUTE(SUBSTITUTE(C431,"meg"," МОм"),"k"," кОм"),"R"," Ом"),".",",")</ns0:f>
        <ns0:v>510 кОм</ns0:v>
      </ns0:c>
      <ns0:c r="E431" t="str" s="10">
        <ns0:v>±1%</ns0:v>
      </ns0:c>
      <ns0:c r="F431" t="str" s="10">
        <ns0:v>0,1 Вт</ns0:v>
      </ns0:c>
      <ns0:c r="G431" t="str" s="10">
        <ns0:v>75 В макс.</ns0:v>
      </ns0:c>
      <ns0:c r="H431" t="str" s="12">
        <ns0:v>0603</ns0:v>
      </ns0:c>
      <ns0:c r="I431" t="str" s="10">
        <ns0:v>YAGEO</ns0:v>
      </ns0:c>
      <ns0:c r="J431" t="str" s="10">
        <ns0:v>RC0603FR-07510KL</ns0:v>
      </ns0:c>
      <ns0:c r="K431" t="str" s="11">
        <ns0:f>B431&amp;" "&amp;D431&amp;" "&amp;E431&amp;" "&amp;H431</ns0:f>
        <ns0:v>Резистор 510 кОм ±1% 0603</ns0:v>
      </ns0:c>
      <ns0:c r="L431" t="str" s="13">
        <ns0:v>R</ns0:v>
      </ns0:c>
      <ns0:c r="M431" t="str" s="13">
        <ns0:v>Symbols\MY_LIB_Resistors.SchLib</ns0:v>
      </ns0:c>
      <ns0:c r="N431" t="str" s="13">
        <ns0:v>RESC1608X55N</ns0:v>
      </ns0:c>
      <ns0:c r="O431" t="str" s="13">
        <ns0:v>Footprints\PBL - SMD Packages.PcbLib</ns0:v>
      </ns0:c>
      <ns0:c r="P431" t="str" s="10">
        <ns0:v>RC_L; E24; P при 70 °C; U ≤ min(√(P·R), Umax)</ns0:v>
      </ns0:c>
      <ns0:c r="Q431" s="10"/>
      <ns0:c r="R431" t="str" s="11">
        <ns0:f>D431</ns0:f>
        <ns0:v>510 кОм</ns0:v>
      </ns0:c>
      <ns0:c r="S431" t="str" s="11">
        <ns0:f>K431</ns0:f>
        <ns0:v>Резистор 510 кОм ±1% 0603</ns0:v>
      </ns0:c>
      <x:c xmlns:x="http://schemas.openxmlformats.org/spreadsheetml/2006/main" r="T431" t="str" s="11">
        <x:v>C:\Users\Nomatin\Documents\Altium\MY_LIB\MY_LIB\Datasheets\YAGEO_RC_L.pdf</x:v>
      </x:c>
      <x:c xmlns:x="http://schemas.openxmlformats.org/spreadsheetml/2006/main" r="U431" t="str" s="11">
        <x:v>Даташит — локальный</x:v>
      </x:c>
      <x:c xmlns:x="http://schemas.openxmlformats.org/spreadsheetml/2006/main" r="V431" t="str" s="11">
        <x:v>C:\Users\Nomatin\Documents\Altium\MY_LIB\MY_LIB\Datasheets\YAGEO_RC_L.pdf</x:v>
      </x:c>
      <x:c xmlns:x="http://schemas.openxmlformats.org/spreadsheetml/2006/main" r="W431" t="str" s="11">
        <x:v>Даташит — производитель</x:v>
      </x:c>
      <x:c xmlns:x="http://schemas.openxmlformats.org/spreadsheetml/2006/main" r="X431" t="str" s="11">
        <x:v>https://yageogroup.com/content/datasheet/asset/file/PYU-RC_GROUP_51_ROHS_L</x:v>
      </x:c>
      <x:c xmlns:x="http://schemas.openxmlformats.org/spreadsheetml/2006/main" r="Y431" t="str" s="11">
        <x:v>C:\Users\Nomatin\Documents\Altium\MY_LIB\MY_LIB\Datasheets\YAGEO_RC_L.pdf</x:v>
      </x:c>
    </ns0:row>
    <ns0:row xmlns:ns0="http://schemas.openxmlformats.org/spreadsheetml/2006/main" r="432" ht="30" customHeight="1">
      <ns0:c r="A432" t="str" s="10">
        <ns0:v>R0438</ns0:v>
      </ns0:c>
      <ns0:c r="B432" t="str" s="10">
        <ns0:v>Резистор</ns0:v>
      </ns0:c>
      <ns0:c r="C432" t="str" s="10">
        <ns0:v>560k</ns0:v>
      </ns0:c>
      <ns0:c r="D432" t="str" s="11">
        <ns0:f>SUBSTITUTE(SUBSTITUTE(SUBSTITUTE(SUBSTITUTE(C432,"meg"," МОм"),"k"," кОм"),"R"," Ом"),".",",")</ns0:f>
        <ns0:v>560 кОм</ns0:v>
      </ns0:c>
      <ns0:c r="E432" t="str" s="10">
        <ns0:v>±1%</ns0:v>
      </ns0:c>
      <ns0:c r="F432" t="str" s="10">
        <ns0:v>0,1 Вт</ns0:v>
      </ns0:c>
      <ns0:c r="G432" t="str" s="10">
        <ns0:v>75 В макс.</ns0:v>
      </ns0:c>
      <ns0:c r="H432" t="str" s="12">
        <ns0:v>0603</ns0:v>
      </ns0:c>
      <ns0:c r="I432" t="str" s="10">
        <ns0:v>YAGEO</ns0:v>
      </ns0:c>
      <ns0:c r="J432" t="str" s="10">
        <ns0:v>RC0603FR-07560KL</ns0:v>
      </ns0:c>
      <ns0:c r="K432" t="str" s="11">
        <ns0:f>B432&amp;" "&amp;D432&amp;" "&amp;E432&amp;" "&amp;H432</ns0:f>
        <ns0:v>Резистор 560 кОм ±1% 0603</ns0:v>
      </ns0:c>
      <ns0:c r="L432" t="str" s="13">
        <ns0:v>R</ns0:v>
      </ns0:c>
      <ns0:c r="M432" t="str" s="13">
        <ns0:v>Symbols\MY_LIB_Resistors.SchLib</ns0:v>
      </ns0:c>
      <ns0:c r="N432" t="str" s="13">
        <ns0:v>RESC1608X55N</ns0:v>
      </ns0:c>
      <ns0:c r="O432" t="str" s="13">
        <ns0:v>Footprints\PBL - SMD Packages.PcbLib</ns0:v>
      </ns0:c>
      <ns0:c r="P432" t="str" s="10">
        <ns0:v>RC_L; E24; P при 70 °C; U ≤ min(√(P·R), Umax)</ns0:v>
      </ns0:c>
      <ns0:c r="Q432" s="10"/>
      <ns0:c r="R432" t="str" s="11">
        <ns0:f>D432</ns0:f>
        <ns0:v>560 кОм</ns0:v>
      </ns0:c>
      <ns0:c r="S432" t="str" s="11">
        <ns0:f>K432</ns0:f>
        <ns0:v>Резистор 560 кОм ±1% 0603</ns0:v>
      </ns0:c>
      <x:c xmlns:x="http://schemas.openxmlformats.org/spreadsheetml/2006/main" r="T432" t="str" s="11">
        <x:v>C:\Users\Nomatin\Documents\Altium\MY_LIB\MY_LIB\Datasheets\YAGEO_RC_L.pdf</x:v>
      </x:c>
      <x:c xmlns:x="http://schemas.openxmlformats.org/spreadsheetml/2006/main" r="U432" t="str" s="11">
        <x:v>Даташит — локальный</x:v>
      </x:c>
      <x:c xmlns:x="http://schemas.openxmlformats.org/spreadsheetml/2006/main" r="V432" t="str" s="11">
        <x:v>C:\Users\Nomatin\Documents\Altium\MY_LIB\MY_LIB\Datasheets\YAGEO_RC_L.pdf</x:v>
      </x:c>
      <x:c xmlns:x="http://schemas.openxmlformats.org/spreadsheetml/2006/main" r="W432" t="str" s="11">
        <x:v>Даташит — производитель</x:v>
      </x:c>
      <x:c xmlns:x="http://schemas.openxmlformats.org/spreadsheetml/2006/main" r="X432" t="str" s="11">
        <x:v>https://yageogroup.com/content/datasheet/asset/file/PYU-RC_GROUP_51_ROHS_L</x:v>
      </x:c>
      <x:c xmlns:x="http://schemas.openxmlformats.org/spreadsheetml/2006/main" r="Y432" t="str" s="11">
        <x:v>C:\Users\Nomatin\Documents\Altium\MY_LIB\MY_LIB\Datasheets\YAGEO_RC_L.pdf</x:v>
      </x:c>
    </ns0:row>
    <ns0:row xmlns:ns0="http://schemas.openxmlformats.org/spreadsheetml/2006/main" r="433" ht="30" customHeight="1">
      <ns0:c r="A433" t="str" s="10">
        <ns0:v>R0439</ns0:v>
      </ns0:c>
      <ns0:c r="B433" t="str" s="10">
        <ns0:v>Резистор</ns0:v>
      </ns0:c>
      <ns0:c r="C433" t="str" s="10">
        <ns0:v>620k</ns0:v>
      </ns0:c>
      <ns0:c r="D433" t="str" s="11">
        <ns0:f>SUBSTITUTE(SUBSTITUTE(SUBSTITUTE(SUBSTITUTE(C433,"meg"," МОм"),"k"," кОм"),"R"," Ом"),".",",")</ns0:f>
        <ns0:v>620 кОм</ns0:v>
      </ns0:c>
      <ns0:c r="E433" t="str" s="10">
        <ns0:v>±1%</ns0:v>
      </ns0:c>
      <ns0:c r="F433" t="str" s="10">
        <ns0:v>0,1 Вт</ns0:v>
      </ns0:c>
      <ns0:c r="G433" t="str" s="10">
        <ns0:v>75 В макс.</ns0:v>
      </ns0:c>
      <ns0:c r="H433" t="str" s="12">
        <ns0:v>0603</ns0:v>
      </ns0:c>
      <ns0:c r="I433" t="str" s="10">
        <ns0:v>YAGEO</ns0:v>
      </ns0:c>
      <ns0:c r="J433" t="str" s="10">
        <ns0:v>RC0603FR-07620KL</ns0:v>
      </ns0:c>
      <ns0:c r="K433" t="str" s="11">
        <ns0:f>B433&amp;" "&amp;D433&amp;" "&amp;E433&amp;" "&amp;H433</ns0:f>
        <ns0:v>Резистор 620 кОм ±1% 0603</ns0:v>
      </ns0:c>
      <ns0:c r="L433" t="str" s="13">
        <ns0:v>R</ns0:v>
      </ns0:c>
      <ns0:c r="M433" t="str" s="13">
        <ns0:v>Symbols\MY_LIB_Resistors.SchLib</ns0:v>
      </ns0:c>
      <ns0:c r="N433" t="str" s="13">
        <ns0:v>RESC1608X55N</ns0:v>
      </ns0:c>
      <ns0:c r="O433" t="str" s="13">
        <ns0:v>Footprints\PBL - SMD Packages.PcbLib</ns0:v>
      </ns0:c>
      <ns0:c r="P433" t="str" s="10">
        <ns0:v>RC_L; E24; P при 70 °C; U ≤ min(√(P·R), Umax)</ns0:v>
      </ns0:c>
      <ns0:c r="Q433" s="10"/>
      <ns0:c r="R433" t="str" s="11">
        <ns0:f>D433</ns0:f>
        <ns0:v>620 кОм</ns0:v>
      </ns0:c>
      <ns0:c r="S433" t="str" s="11">
        <ns0:f>K433</ns0:f>
        <ns0:v>Резистор 620 кОм ±1% 0603</ns0:v>
      </ns0:c>
      <x:c xmlns:x="http://schemas.openxmlformats.org/spreadsheetml/2006/main" r="T433" t="str" s="11">
        <x:v>C:\Users\Nomatin\Documents\Altium\MY_LIB\MY_LIB\Datasheets\YAGEO_RC_L.pdf</x:v>
      </x:c>
      <x:c xmlns:x="http://schemas.openxmlformats.org/spreadsheetml/2006/main" r="U433" t="str" s="11">
        <x:v>Даташит — локальный</x:v>
      </x:c>
      <x:c xmlns:x="http://schemas.openxmlformats.org/spreadsheetml/2006/main" r="V433" t="str" s="11">
        <x:v>C:\Users\Nomatin\Documents\Altium\MY_LIB\MY_LIB\Datasheets\YAGEO_RC_L.pdf</x:v>
      </x:c>
      <x:c xmlns:x="http://schemas.openxmlformats.org/spreadsheetml/2006/main" r="W433" t="str" s="11">
        <x:v>Даташит — производитель</x:v>
      </x:c>
      <x:c xmlns:x="http://schemas.openxmlformats.org/spreadsheetml/2006/main" r="X433" t="str" s="11">
        <x:v>https://yageogroup.com/content/datasheet/asset/file/PYU-RC_GROUP_51_ROHS_L</x:v>
      </x:c>
      <x:c xmlns:x="http://schemas.openxmlformats.org/spreadsheetml/2006/main" r="Y433" t="str" s="11">
        <x:v>C:\Users\Nomatin\Documents\Altium\MY_LIB\MY_LIB\Datasheets\YAGEO_RC_L.pdf</x:v>
      </x:c>
    </ns0:row>
    <ns0:row xmlns:ns0="http://schemas.openxmlformats.org/spreadsheetml/2006/main" r="434" ht="30" customHeight="1">
      <ns0:c r="A434" t="str" s="10">
        <ns0:v>R0440</ns0:v>
      </ns0:c>
      <ns0:c r="B434" t="str" s="10">
        <ns0:v>Резистор</ns0:v>
      </ns0:c>
      <ns0:c r="C434" t="str" s="10">
        <ns0:v>680k</ns0:v>
      </ns0:c>
      <ns0:c r="D434" t="str" s="11">
        <ns0:f>SUBSTITUTE(SUBSTITUTE(SUBSTITUTE(SUBSTITUTE(C434,"meg"," МОм"),"k"," кОм"),"R"," Ом"),".",",")</ns0:f>
        <ns0:v>680 кОм</ns0:v>
      </ns0:c>
      <ns0:c r="E434" t="str" s="10">
        <ns0:v>±1%</ns0:v>
      </ns0:c>
      <ns0:c r="F434" t="str" s="10">
        <ns0:v>0,1 Вт</ns0:v>
      </ns0:c>
      <ns0:c r="G434" t="str" s="10">
        <ns0:v>75 В макс.</ns0:v>
      </ns0:c>
      <ns0:c r="H434" t="str" s="12">
        <ns0:v>0603</ns0:v>
      </ns0:c>
      <ns0:c r="I434" t="str" s="10">
        <ns0:v>YAGEO</ns0:v>
      </ns0:c>
      <ns0:c r="J434" t="str" s="10">
        <ns0:v>RC0603FR-07680KL</ns0:v>
      </ns0:c>
      <ns0:c r="K434" t="str" s="11">
        <ns0:f>B434&amp;" "&amp;D434&amp;" "&amp;E434&amp;" "&amp;H434</ns0:f>
        <ns0:v>Резистор 680 кОм ±1% 0603</ns0:v>
      </ns0:c>
      <ns0:c r="L434" t="str" s="13">
        <ns0:v>R</ns0:v>
      </ns0:c>
      <ns0:c r="M434" t="str" s="13">
        <ns0:v>Symbols\MY_LIB_Resistors.SchLib</ns0:v>
      </ns0:c>
      <ns0:c r="N434" t="str" s="13">
        <ns0:v>RESC1608X55N</ns0:v>
      </ns0:c>
      <ns0:c r="O434" t="str" s="13">
        <ns0:v>Footprints\PBL - SMD Packages.PcbLib</ns0:v>
      </ns0:c>
      <ns0:c r="P434" t="str" s="10">
        <ns0:v>RC_L; E24; P при 70 °C; U ≤ min(√(P·R), Umax)</ns0:v>
      </ns0:c>
      <ns0:c r="Q434" s="10"/>
      <ns0:c r="R434" t="str" s="11">
        <ns0:f>D434</ns0:f>
        <ns0:v>680 кОм</ns0:v>
      </ns0:c>
      <ns0:c r="S434" t="str" s="11">
        <ns0:f>K434</ns0:f>
        <ns0:v>Резистор 680 кОм ±1% 0603</ns0:v>
      </ns0:c>
      <x:c xmlns:x="http://schemas.openxmlformats.org/spreadsheetml/2006/main" r="T434" t="str" s="11">
        <x:v>C:\Users\Nomatin\Documents\Altium\MY_LIB\MY_LIB\Datasheets\YAGEO_RC_L.pdf</x:v>
      </x:c>
      <x:c xmlns:x="http://schemas.openxmlformats.org/spreadsheetml/2006/main" r="U434" t="str" s="11">
        <x:v>Даташит — локальный</x:v>
      </x:c>
      <x:c xmlns:x="http://schemas.openxmlformats.org/spreadsheetml/2006/main" r="V434" t="str" s="11">
        <x:v>C:\Users\Nomatin\Documents\Altium\MY_LIB\MY_LIB\Datasheets\YAGEO_RC_L.pdf</x:v>
      </x:c>
      <x:c xmlns:x="http://schemas.openxmlformats.org/spreadsheetml/2006/main" r="W434" t="str" s="11">
        <x:v>Даташит — производитель</x:v>
      </x:c>
      <x:c xmlns:x="http://schemas.openxmlformats.org/spreadsheetml/2006/main" r="X434" t="str" s="11">
        <x:v>https://yageogroup.com/content/datasheet/asset/file/PYU-RC_GROUP_51_ROHS_L</x:v>
      </x:c>
      <x:c xmlns:x="http://schemas.openxmlformats.org/spreadsheetml/2006/main" r="Y434" t="str" s="11">
        <x:v>C:\Users\Nomatin\Documents\Altium\MY_LIB\MY_LIB\Datasheets\YAGEO_RC_L.pdf</x:v>
      </x:c>
    </ns0:row>
    <ns0:row xmlns:ns0="http://schemas.openxmlformats.org/spreadsheetml/2006/main" r="435" ht="30" customHeight="1">
      <ns0:c r="A435" t="str" s="10">
        <ns0:v>R0441</ns0:v>
      </ns0:c>
      <ns0:c r="B435" t="str" s="10">
        <ns0:v>Резистор</ns0:v>
      </ns0:c>
      <ns0:c r="C435" t="str" s="10">
        <ns0:v>750k</ns0:v>
      </ns0:c>
      <ns0:c r="D435" t="str" s="11">
        <ns0:f>SUBSTITUTE(SUBSTITUTE(SUBSTITUTE(SUBSTITUTE(C435,"meg"," МОм"),"k"," кОм"),"R"," Ом"),".",",")</ns0:f>
        <ns0:v>750 кОм</ns0:v>
      </ns0:c>
      <ns0:c r="E435" t="str" s="10">
        <ns0:v>±1%</ns0:v>
      </ns0:c>
      <ns0:c r="F435" t="str" s="10">
        <ns0:v>0,1 Вт</ns0:v>
      </ns0:c>
      <ns0:c r="G435" t="str" s="10">
        <ns0:v>75 В макс.</ns0:v>
      </ns0:c>
      <ns0:c r="H435" t="str" s="12">
        <ns0:v>0603</ns0:v>
      </ns0:c>
      <ns0:c r="I435" t="str" s="10">
        <ns0:v>YAGEO</ns0:v>
      </ns0:c>
      <ns0:c r="J435" t="str" s="10">
        <ns0:v>RC0603FR-07750KL</ns0:v>
      </ns0:c>
      <ns0:c r="K435" t="str" s="11">
        <ns0:f>B435&amp;" "&amp;D435&amp;" "&amp;E435&amp;" "&amp;H435</ns0:f>
        <ns0:v>Резистор 750 кОм ±1% 0603</ns0:v>
      </ns0:c>
      <ns0:c r="L435" t="str" s="13">
        <ns0:v>R</ns0:v>
      </ns0:c>
      <ns0:c r="M435" t="str" s="13">
        <ns0:v>Symbols\MY_LIB_Resistors.SchLib</ns0:v>
      </ns0:c>
      <ns0:c r="N435" t="str" s="13">
        <ns0:v>RESC1608X55N</ns0:v>
      </ns0:c>
      <ns0:c r="O435" t="str" s="13">
        <ns0:v>Footprints\PBL - SMD Packages.PcbLib</ns0:v>
      </ns0:c>
      <ns0:c r="P435" t="str" s="10">
        <ns0:v>RC_L; E24; P при 70 °C; U ≤ min(√(P·R), Umax)</ns0:v>
      </ns0:c>
      <ns0:c r="Q435" s="10"/>
      <ns0:c r="R435" t="str" s="11">
        <ns0:f>D435</ns0:f>
        <ns0:v>750 кОм</ns0:v>
      </ns0:c>
      <ns0:c r="S435" t="str" s="11">
        <ns0:f>K435</ns0:f>
        <ns0:v>Резистор 750 кОм ±1% 0603</ns0:v>
      </ns0:c>
      <x:c xmlns:x="http://schemas.openxmlformats.org/spreadsheetml/2006/main" r="T435" t="str" s="11">
        <x:v>C:\Users\Nomatin\Documents\Altium\MY_LIB\MY_LIB\Datasheets\YAGEO_RC_L.pdf</x:v>
      </x:c>
      <x:c xmlns:x="http://schemas.openxmlformats.org/spreadsheetml/2006/main" r="U435" t="str" s="11">
        <x:v>Даташит — локальный</x:v>
      </x:c>
      <x:c xmlns:x="http://schemas.openxmlformats.org/spreadsheetml/2006/main" r="V435" t="str" s="11">
        <x:v>C:\Users\Nomatin\Documents\Altium\MY_LIB\MY_LIB\Datasheets\YAGEO_RC_L.pdf</x:v>
      </x:c>
      <x:c xmlns:x="http://schemas.openxmlformats.org/spreadsheetml/2006/main" r="W435" t="str" s="11">
        <x:v>Даташит — производитель</x:v>
      </x:c>
      <x:c xmlns:x="http://schemas.openxmlformats.org/spreadsheetml/2006/main" r="X435" t="str" s="11">
        <x:v>https://yageogroup.com/content/datasheet/asset/file/PYU-RC_GROUP_51_ROHS_L</x:v>
      </x:c>
      <x:c xmlns:x="http://schemas.openxmlformats.org/spreadsheetml/2006/main" r="Y435" t="str" s="11">
        <x:v>C:\Users\Nomatin\Documents\Altium\MY_LIB\MY_LIB\Datasheets\YAGEO_RC_L.pdf</x:v>
      </x:c>
    </ns0:row>
    <ns0:row xmlns:ns0="http://schemas.openxmlformats.org/spreadsheetml/2006/main" r="436" ht="30" customHeight="1">
      <ns0:c r="A436" t="str" s="10">
        <ns0:v>R0442</ns0:v>
      </ns0:c>
      <ns0:c r="B436" t="str" s="10">
        <ns0:v>Резистор</ns0:v>
      </ns0:c>
      <ns0:c r="C436" t="str" s="10">
        <ns0:v>820k</ns0:v>
      </ns0:c>
      <ns0:c r="D436" t="str" s="11">
        <ns0:f>SUBSTITUTE(SUBSTITUTE(SUBSTITUTE(SUBSTITUTE(C436,"meg"," МОм"),"k"," кОм"),"R"," Ом"),".",",")</ns0:f>
        <ns0:v>820 кОм</ns0:v>
      </ns0:c>
      <ns0:c r="E436" t="str" s="10">
        <ns0:v>±1%</ns0:v>
      </ns0:c>
      <ns0:c r="F436" t="str" s="10">
        <ns0:v>0,1 Вт</ns0:v>
      </ns0:c>
      <ns0:c r="G436" t="str" s="10">
        <ns0:v>75 В макс.</ns0:v>
      </ns0:c>
      <ns0:c r="H436" t="str" s="12">
        <ns0:v>0603</ns0:v>
      </ns0:c>
      <ns0:c r="I436" t="str" s="10">
        <ns0:v>YAGEO</ns0:v>
      </ns0:c>
      <ns0:c r="J436" t="str" s="10">
        <ns0:v>RC0603FR-07820KL</ns0:v>
      </ns0:c>
      <ns0:c r="K436" t="str" s="11">
        <ns0:f>B436&amp;" "&amp;D436&amp;" "&amp;E436&amp;" "&amp;H436</ns0:f>
        <ns0:v>Резистор 820 кОм ±1% 0603</ns0:v>
      </ns0:c>
      <ns0:c r="L436" t="str" s="13">
        <ns0:v>R</ns0:v>
      </ns0:c>
      <ns0:c r="M436" t="str" s="13">
        <ns0:v>Symbols\MY_LIB_Resistors.SchLib</ns0:v>
      </ns0:c>
      <ns0:c r="N436" t="str" s="13">
        <ns0:v>RESC1608X55N</ns0:v>
      </ns0:c>
      <ns0:c r="O436" t="str" s="13">
        <ns0:v>Footprints\PBL - SMD Packages.PcbLib</ns0:v>
      </ns0:c>
      <ns0:c r="P436" t="str" s="10">
        <ns0:v>RC_L; E24; P при 70 °C; U ≤ min(√(P·R), Umax)</ns0:v>
      </ns0:c>
      <ns0:c r="Q436" s="10"/>
      <ns0:c r="R436" t="str" s="11">
        <ns0:f>D436</ns0:f>
        <ns0:v>820 кОм</ns0:v>
      </ns0:c>
      <ns0:c r="S436" t="str" s="11">
        <ns0:f>K436</ns0:f>
        <ns0:v>Резистор 820 кОм ±1% 0603</ns0:v>
      </ns0:c>
      <x:c xmlns:x="http://schemas.openxmlformats.org/spreadsheetml/2006/main" r="T436" t="str" s="11">
        <x:v>C:\Users\Nomatin\Documents\Altium\MY_LIB\MY_LIB\Datasheets\YAGEO_RC_L.pdf</x:v>
      </x:c>
      <x:c xmlns:x="http://schemas.openxmlformats.org/spreadsheetml/2006/main" r="U436" t="str" s="11">
        <x:v>Даташит — локальный</x:v>
      </x:c>
      <x:c xmlns:x="http://schemas.openxmlformats.org/spreadsheetml/2006/main" r="V436" t="str" s="11">
        <x:v>C:\Users\Nomatin\Documents\Altium\MY_LIB\MY_LIB\Datasheets\YAGEO_RC_L.pdf</x:v>
      </x:c>
      <x:c xmlns:x="http://schemas.openxmlformats.org/spreadsheetml/2006/main" r="W436" t="str" s="11">
        <x:v>Даташит — производитель</x:v>
      </x:c>
      <x:c xmlns:x="http://schemas.openxmlformats.org/spreadsheetml/2006/main" r="X436" t="str" s="11">
        <x:v>https://yageogroup.com/content/datasheet/asset/file/PYU-RC_GROUP_51_ROHS_L</x:v>
      </x:c>
      <x:c xmlns:x="http://schemas.openxmlformats.org/spreadsheetml/2006/main" r="Y436" t="str" s="11">
        <x:v>C:\Users\Nomatin\Documents\Altium\MY_LIB\MY_LIB\Datasheets\YAGEO_RC_L.pdf</x:v>
      </x:c>
    </ns0:row>
    <ns0:row xmlns:ns0="http://schemas.openxmlformats.org/spreadsheetml/2006/main" r="437" ht="30" customHeight="1">
      <ns0:c r="A437" t="str" s="10">
        <ns0:v>R0443</ns0:v>
      </ns0:c>
      <ns0:c r="B437" t="str" s="10">
        <ns0:v>Резистор</ns0:v>
      </ns0:c>
      <ns0:c r="C437" t="str" s="10">
        <ns0:v>910k</ns0:v>
      </ns0:c>
      <ns0:c r="D437" t="str" s="11">
        <ns0:f>SUBSTITUTE(SUBSTITUTE(SUBSTITUTE(SUBSTITUTE(C437,"meg"," МОм"),"k"," кОм"),"R"," Ом"),".",",")</ns0:f>
        <ns0:v>910 кОм</ns0:v>
      </ns0:c>
      <ns0:c r="E437" t="str" s="10">
        <ns0:v>±1%</ns0:v>
      </ns0:c>
      <ns0:c r="F437" t="str" s="10">
        <ns0:v>0,1 Вт</ns0:v>
      </ns0:c>
      <ns0:c r="G437" t="str" s="10">
        <ns0:v>75 В макс.</ns0:v>
      </ns0:c>
      <ns0:c r="H437" t="str" s="12">
        <ns0:v>0603</ns0:v>
      </ns0:c>
      <ns0:c r="I437" t="str" s="10">
        <ns0:v>YAGEO</ns0:v>
      </ns0:c>
      <ns0:c r="J437" t="str" s="10">
        <ns0:v>RC0603FR-07910KL</ns0:v>
      </ns0:c>
      <ns0:c r="K437" t="str" s="11">
        <ns0:f>B437&amp;" "&amp;D437&amp;" "&amp;E437&amp;" "&amp;H437</ns0:f>
        <ns0:v>Резистор 910 кОм ±1% 0603</ns0:v>
      </ns0:c>
      <ns0:c r="L437" t="str" s="13">
        <ns0:v>R</ns0:v>
      </ns0:c>
      <ns0:c r="M437" t="str" s="13">
        <ns0:v>Symbols\MY_LIB_Resistors.SchLib</ns0:v>
      </ns0:c>
      <ns0:c r="N437" t="str" s="13">
        <ns0:v>RESC1608X55N</ns0:v>
      </ns0:c>
      <ns0:c r="O437" t="str" s="13">
        <ns0:v>Footprints\PBL - SMD Packages.PcbLib</ns0:v>
      </ns0:c>
      <ns0:c r="P437" t="str" s="10">
        <ns0:v>RC_L; E24; P при 70 °C; U ≤ min(√(P·R), Umax)</ns0:v>
      </ns0:c>
      <ns0:c r="Q437" s="10"/>
      <ns0:c r="R437" t="str" s="11">
        <ns0:f>D437</ns0:f>
        <ns0:v>910 кОм</ns0:v>
      </ns0:c>
      <ns0:c r="S437" t="str" s="11">
        <ns0:f>K437</ns0:f>
        <ns0:v>Резистор 910 кОм ±1% 0603</ns0:v>
      </ns0:c>
      <x:c xmlns:x="http://schemas.openxmlformats.org/spreadsheetml/2006/main" r="T437" t="str" s="11">
        <x:v>C:\Users\Nomatin\Documents\Altium\MY_LIB\MY_LIB\Datasheets\YAGEO_RC_L.pdf</x:v>
      </x:c>
      <x:c xmlns:x="http://schemas.openxmlformats.org/spreadsheetml/2006/main" r="U437" t="str" s="11">
        <x:v>Даташит — локальный</x:v>
      </x:c>
      <x:c xmlns:x="http://schemas.openxmlformats.org/spreadsheetml/2006/main" r="V437" t="str" s="11">
        <x:v>C:\Users\Nomatin\Documents\Altium\MY_LIB\MY_LIB\Datasheets\YAGEO_RC_L.pdf</x:v>
      </x:c>
      <x:c xmlns:x="http://schemas.openxmlformats.org/spreadsheetml/2006/main" r="W437" t="str" s="11">
        <x:v>Даташит — производитель</x:v>
      </x:c>
      <x:c xmlns:x="http://schemas.openxmlformats.org/spreadsheetml/2006/main" r="X437" t="str" s="11">
        <x:v>https://yageogroup.com/content/datasheet/asset/file/PYU-RC_GROUP_51_ROHS_L</x:v>
      </x:c>
      <x:c xmlns:x="http://schemas.openxmlformats.org/spreadsheetml/2006/main" r="Y437" t="str" s="11">
        <x:v>C:\Users\Nomatin\Documents\Altium\MY_LIB\MY_LIB\Datasheets\YAGEO_RC_L.pdf</x:v>
      </x:c>
    </ns0:row>
    <ns0:row xmlns:ns0="http://schemas.openxmlformats.org/spreadsheetml/2006/main" r="438" ht="30" customHeight="1">
      <ns0:c r="A438" t="str" s="10">
        <ns0:v>R0444</ns0:v>
      </ns0:c>
      <ns0:c r="B438" t="str" s="10">
        <ns0:v>Резистор</ns0:v>
      </ns0:c>
      <ns0:c r="C438" t="str" s="10">
        <ns0:v>1meg</ns0:v>
      </ns0:c>
      <ns0:c r="D438" t="str" s="11">
        <ns0:f>SUBSTITUTE(SUBSTITUTE(SUBSTITUTE(SUBSTITUTE(C438,"meg"," МОм"),"k"," кОм"),"R"," Ом"),".",",")</ns0:f>
        <ns0:v>1 МОм</ns0:v>
      </ns0:c>
      <ns0:c r="E438" t="str" s="10">
        <ns0:v>±1%</ns0:v>
      </ns0:c>
      <ns0:c r="F438" t="str" s="10">
        <ns0:v>0,1 Вт</ns0:v>
      </ns0:c>
      <ns0:c r="G438" t="str" s="10">
        <ns0:v>75 В макс.</ns0:v>
      </ns0:c>
      <ns0:c r="H438" t="str" s="12">
        <ns0:v>0603</ns0:v>
      </ns0:c>
      <ns0:c r="I438" t="str" s="10">
        <ns0:v>YAGEO</ns0:v>
      </ns0:c>
      <ns0:c r="J438" t="str" s="10">
        <ns0:v>RC0603FR-071ML</ns0:v>
      </ns0:c>
      <ns0:c r="K438" t="str" s="11">
        <ns0:f>B438&amp;" "&amp;D438&amp;" "&amp;E438&amp;" "&amp;H438</ns0:f>
        <ns0:v>Резистор 1 МОм ±1% 0603</ns0:v>
      </ns0:c>
      <ns0:c r="L438" t="str" s="13">
        <ns0:v>R</ns0:v>
      </ns0:c>
      <ns0:c r="M438" t="str" s="13">
        <ns0:v>Symbols\MY_LIB_Resistors.SchLib</ns0:v>
      </ns0:c>
      <ns0:c r="N438" t="str" s="13">
        <ns0:v>RESC1608X55N</ns0:v>
      </ns0:c>
      <ns0:c r="O438" t="str" s="13">
        <ns0:v>Footprints\PBL - SMD Packages.PcbLib</ns0:v>
      </ns0:c>
      <ns0:c r="P438" t="str" s="10">
        <ns0:v>RC_L; E24; P при 70 °C; U ≤ min(√(P·R), Umax)</ns0:v>
      </ns0:c>
      <ns0:c r="Q438" s="10"/>
      <ns0:c r="R438" t="str" s="11">
        <ns0:f>D438</ns0:f>
        <ns0:v>1 МОм</ns0:v>
      </ns0:c>
      <ns0:c r="S438" t="str" s="11">
        <ns0:f>K438</ns0:f>
        <ns0:v>Резистор 1 МОм ±1% 0603</ns0:v>
      </ns0:c>
      <x:c xmlns:x="http://schemas.openxmlformats.org/spreadsheetml/2006/main" r="T438" t="str" s="11">
        <x:v>C:\Users\Nomatin\Documents\Altium\MY_LIB\MY_LIB\Datasheets\YAGEO_RC_L.pdf</x:v>
      </x:c>
      <x:c xmlns:x="http://schemas.openxmlformats.org/spreadsheetml/2006/main" r="U438" t="str" s="11">
        <x:v>Даташит — локальный</x:v>
      </x:c>
      <x:c xmlns:x="http://schemas.openxmlformats.org/spreadsheetml/2006/main" r="V438" t="str" s="11">
        <x:v>C:\Users\Nomatin\Documents\Altium\MY_LIB\MY_LIB\Datasheets\YAGEO_RC_L.pdf</x:v>
      </x:c>
      <x:c xmlns:x="http://schemas.openxmlformats.org/spreadsheetml/2006/main" r="W438" t="str" s="11">
        <x:v>Даташит — производитель</x:v>
      </x:c>
      <x:c xmlns:x="http://schemas.openxmlformats.org/spreadsheetml/2006/main" r="X438" t="str" s="11">
        <x:v>https://yageogroup.com/content/datasheet/asset/file/PYU-RC_GROUP_51_ROHS_L</x:v>
      </x:c>
      <x:c xmlns:x="http://schemas.openxmlformats.org/spreadsheetml/2006/main" r="Y438" t="str" s="11">
        <x:v>C:\Users\Nomatin\Documents\Altium\MY_LIB\MY_LIB\Datasheets\YAGEO_RC_L.pdf</x:v>
      </x:c>
    </ns0:row>
    <ns0:row xmlns:ns0="http://schemas.openxmlformats.org/spreadsheetml/2006/main" r="439" ht="30" customHeight="1">
      <ns0:c r="A439" t="str" s="10">
        <ns0:v>R0445</ns0:v>
      </ns0:c>
      <ns0:c r="B439" t="str" s="10">
        <ns0:v>Резистор</ns0:v>
      </ns0:c>
      <ns0:c r="C439" t="str" s="10">
        <ns0:v>1R</ns0:v>
      </ns0:c>
      <ns0:c r="D439" t="str" s="11">
        <ns0:f>SUBSTITUTE(SUBSTITUTE(SUBSTITUTE(SUBSTITUTE(C439,"meg"," МОм"),"k"," кОм"),"R"," Ом"),".",",")</ns0:f>
        <ns0:v>1 Ом</ns0:v>
      </ns0:c>
      <ns0:c r="E439" t="str" s="10">
        <ns0:v>±1%</ns0:v>
      </ns0:c>
      <ns0:c r="F439" t="str" s="10">
        <ns0:v>0,125 Вт</ns0:v>
      </ns0:c>
      <ns0:c r="G439" t="str" s="10">
        <ns0:v>150 В макс.</ns0:v>
      </ns0:c>
      <ns0:c r="H439" t="str" s="12">
        <ns0:v>0805</ns0:v>
      </ns0:c>
      <ns0:c r="I439" t="str" s="10">
        <ns0:v>YAGEO</ns0:v>
      </ns0:c>
      <ns0:c r="J439" t="str" s="10">
        <ns0:v>RC0805FR-071RL</ns0:v>
      </ns0:c>
      <ns0:c r="K439" t="str" s="11">
        <ns0:f>B439&amp;" "&amp;D439&amp;" "&amp;E439&amp;" "&amp;H439</ns0:f>
        <ns0:v>Резистор 1 Ом ±1% 0805</ns0:v>
      </ns0:c>
      <ns0:c r="L439" t="str" s="13">
        <ns0:v>R</ns0:v>
      </ns0:c>
      <ns0:c r="M439" t="str" s="13">
        <ns0:v>Symbols\MY_LIB_Resistors.SchLib</ns0:v>
      </ns0:c>
      <ns0:c r="N439" t="str" s="13">
        <ns0:v>RESC2012X70N</ns0:v>
      </ns0:c>
      <ns0:c r="O439" t="str" s="13">
        <ns0:v>Footprints\PBL - SMD Packages.PcbLib</ns0:v>
      </ns0:c>
      <ns0:c r="P439" t="str" s="10">
        <ns0:v>RC_L; E24; P при 70 °C; U ≤ min(√(P·R), Umax)</ns0:v>
      </ns0:c>
      <ns0:c r="Q439" s="10"/>
      <ns0:c r="R439" t="str" s="11">
        <ns0:f>D439</ns0:f>
        <ns0:v>1 Ом</ns0:v>
      </ns0:c>
      <ns0:c r="S439" t="str" s="11">
        <ns0:f>K439</ns0:f>
        <ns0:v>Резистор 1 Ом ±1% 0805</ns0:v>
      </ns0:c>
      <x:c xmlns:x="http://schemas.openxmlformats.org/spreadsheetml/2006/main" r="T439" t="str" s="11">
        <x:v>C:\Users\Nomatin\Documents\Altium\MY_LIB\MY_LIB\Datasheets\YAGEO_RC_L.pdf</x:v>
      </x:c>
      <x:c xmlns:x="http://schemas.openxmlformats.org/spreadsheetml/2006/main" r="U439" t="str" s="11">
        <x:v>Даташит — локальный</x:v>
      </x:c>
      <x:c xmlns:x="http://schemas.openxmlformats.org/spreadsheetml/2006/main" r="V439" t="str" s="11">
        <x:v>C:\Users\Nomatin\Documents\Altium\MY_LIB\MY_LIB\Datasheets\YAGEO_RC_L.pdf</x:v>
      </x:c>
      <x:c xmlns:x="http://schemas.openxmlformats.org/spreadsheetml/2006/main" r="W439" t="str" s="11">
        <x:v>Даташит — производитель</x:v>
      </x:c>
      <x:c xmlns:x="http://schemas.openxmlformats.org/spreadsheetml/2006/main" r="X439" t="str" s="11">
        <x:v>https://yageogroup.com/content/datasheet/asset/file/PYU-RC_GROUP_51_ROHS_L</x:v>
      </x:c>
      <x:c xmlns:x="http://schemas.openxmlformats.org/spreadsheetml/2006/main" r="Y439" t="str" s="11">
        <x:v>C:\Users\Nomatin\Documents\Altium\MY_LIB\MY_LIB\Datasheets\YAGEO_RC_L.pdf</x:v>
      </x:c>
    </ns0:row>
    <ns0:row xmlns:ns0="http://schemas.openxmlformats.org/spreadsheetml/2006/main" r="440" ht="30" customHeight="1">
      <ns0:c r="A440" t="str" s="10">
        <ns0:v>R0446</ns0:v>
      </ns0:c>
      <ns0:c r="B440" t="str" s="10">
        <ns0:v>Резистор</ns0:v>
      </ns0:c>
      <ns0:c r="C440" t="str" s="10">
        <ns0:v>1.1R</ns0:v>
      </ns0:c>
      <ns0:c r="D440" t="str" s="11">
        <ns0:f>SUBSTITUTE(SUBSTITUTE(SUBSTITUTE(SUBSTITUTE(C440,"meg"," МОм"),"k"," кОм"),"R"," Ом"),".",",")</ns0:f>
        <ns0:v>1,1 Ом</ns0:v>
      </ns0:c>
      <ns0:c r="E440" t="str" s="10">
        <ns0:v>±1%</ns0:v>
      </ns0:c>
      <ns0:c r="F440" t="str" s="10">
        <ns0:v>0,125 Вт</ns0:v>
      </ns0:c>
      <ns0:c r="G440" t="str" s="10">
        <ns0:v>150 В макс.</ns0:v>
      </ns0:c>
      <ns0:c r="H440" t="str" s="12">
        <ns0:v>0805</ns0:v>
      </ns0:c>
      <ns0:c r="I440" t="str" s="10">
        <ns0:v>YAGEO</ns0:v>
      </ns0:c>
      <ns0:c r="J440" t="str" s="10">
        <ns0:v>RC0805FR-071R1L</ns0:v>
      </ns0:c>
      <ns0:c r="K440" t="str" s="11">
        <ns0:f>B440&amp;" "&amp;D440&amp;" "&amp;E440&amp;" "&amp;H440</ns0:f>
        <ns0:v>Резистор 1,1 Ом ±1% 0805</ns0:v>
      </ns0:c>
      <ns0:c r="L440" t="str" s="13">
        <ns0:v>R</ns0:v>
      </ns0:c>
      <ns0:c r="M440" t="str" s="13">
        <ns0:v>Symbols\MY_LIB_Resistors.SchLib</ns0:v>
      </ns0:c>
      <ns0:c r="N440" t="str" s="13">
        <ns0:v>RESC2012X70N</ns0:v>
      </ns0:c>
      <ns0:c r="O440" t="str" s="13">
        <ns0:v>Footprints\PBL - SMD Packages.PcbLib</ns0:v>
      </ns0:c>
      <ns0:c r="P440" t="str" s="10">
        <ns0:v>RC_L; E24; P при 70 °C; U ≤ min(√(P·R), Umax)</ns0:v>
      </ns0:c>
      <ns0:c r="Q440" s="10"/>
      <ns0:c r="R440" t="str" s="11">
        <ns0:f>D440</ns0:f>
        <ns0:v>1,1 Ом</ns0:v>
      </ns0:c>
      <ns0:c r="S440" t="str" s="11">
        <ns0:f>K440</ns0:f>
        <ns0:v>Резистор 1,1 Ом ±1% 0805</ns0:v>
      </ns0:c>
      <x:c xmlns:x="http://schemas.openxmlformats.org/spreadsheetml/2006/main" r="T440" t="str" s="11">
        <x:v>C:\Users\Nomatin\Documents\Altium\MY_LIB\MY_LIB\Datasheets\YAGEO_RC_L.pdf</x:v>
      </x:c>
      <x:c xmlns:x="http://schemas.openxmlformats.org/spreadsheetml/2006/main" r="U440" t="str" s="11">
        <x:v>Даташит — локальный</x:v>
      </x:c>
      <x:c xmlns:x="http://schemas.openxmlformats.org/spreadsheetml/2006/main" r="V440" t="str" s="11">
        <x:v>C:\Users\Nomatin\Documents\Altium\MY_LIB\MY_LIB\Datasheets\YAGEO_RC_L.pdf</x:v>
      </x:c>
      <x:c xmlns:x="http://schemas.openxmlformats.org/spreadsheetml/2006/main" r="W440" t="str" s="11">
        <x:v>Даташит — производитель</x:v>
      </x:c>
      <x:c xmlns:x="http://schemas.openxmlformats.org/spreadsheetml/2006/main" r="X440" t="str" s="11">
        <x:v>https://yageogroup.com/content/datasheet/asset/file/PYU-RC_GROUP_51_ROHS_L</x:v>
      </x:c>
      <x:c xmlns:x="http://schemas.openxmlformats.org/spreadsheetml/2006/main" r="Y440" t="str" s="11">
        <x:v>C:\Users\Nomatin\Documents\Altium\MY_LIB\MY_LIB\Datasheets\YAGEO_RC_L.pdf</x:v>
      </x:c>
    </ns0:row>
    <ns0:row xmlns:ns0="http://schemas.openxmlformats.org/spreadsheetml/2006/main" r="441" ht="30" customHeight="1">
      <ns0:c r="A441" t="str" s="10">
        <ns0:v>R0447</ns0:v>
      </ns0:c>
      <ns0:c r="B441" t="str" s="10">
        <ns0:v>Резистор</ns0:v>
      </ns0:c>
      <ns0:c r="C441" t="str" s="10">
        <ns0:v>1.2R</ns0:v>
      </ns0:c>
      <ns0:c r="D441" t="str" s="11">
        <ns0:f>SUBSTITUTE(SUBSTITUTE(SUBSTITUTE(SUBSTITUTE(C441,"meg"," МОм"),"k"," кОм"),"R"," Ом"),".",",")</ns0:f>
        <ns0:v>1,2 Ом</ns0:v>
      </ns0:c>
      <ns0:c r="E441" t="str" s="10">
        <ns0:v>±1%</ns0:v>
      </ns0:c>
      <ns0:c r="F441" t="str" s="10">
        <ns0:v>0,125 Вт</ns0:v>
      </ns0:c>
      <ns0:c r="G441" t="str" s="10">
        <ns0:v>150 В макс.</ns0:v>
      </ns0:c>
      <ns0:c r="H441" t="str" s="12">
        <ns0:v>0805</ns0:v>
      </ns0:c>
      <ns0:c r="I441" t="str" s="10">
        <ns0:v>YAGEO</ns0:v>
      </ns0:c>
      <ns0:c r="J441" t="str" s="10">
        <ns0:v>RC0805FR-071R2L</ns0:v>
      </ns0:c>
      <ns0:c r="K441" t="str" s="11">
        <ns0:f>B441&amp;" "&amp;D441&amp;" "&amp;E441&amp;" "&amp;H441</ns0:f>
        <ns0:v>Резистор 1,2 Ом ±1% 0805</ns0:v>
      </ns0:c>
      <ns0:c r="L441" t="str" s="13">
        <ns0:v>R</ns0:v>
      </ns0:c>
      <ns0:c r="M441" t="str" s="13">
        <ns0:v>Symbols\MY_LIB_Resistors.SchLib</ns0:v>
      </ns0:c>
      <ns0:c r="N441" t="str" s="13">
        <ns0:v>RESC2012X70N</ns0:v>
      </ns0:c>
      <ns0:c r="O441" t="str" s="13">
        <ns0:v>Footprints\PBL - SMD Packages.PcbLib</ns0:v>
      </ns0:c>
      <ns0:c r="P441" t="str" s="10">
        <ns0:v>RC_L; E24; P при 70 °C; U ≤ min(√(P·R), Umax)</ns0:v>
      </ns0:c>
      <ns0:c r="Q441" s="10"/>
      <ns0:c r="R441" t="str" s="11">
        <ns0:f>D441</ns0:f>
        <ns0:v>1,2 Ом</ns0:v>
      </ns0:c>
      <ns0:c r="S441" t="str" s="11">
        <ns0:f>K441</ns0:f>
        <ns0:v>Резистор 1,2 Ом ±1% 0805</ns0:v>
      </ns0:c>
      <x:c xmlns:x="http://schemas.openxmlformats.org/spreadsheetml/2006/main" r="T441" t="str" s="11">
        <x:v>C:\Users\Nomatin\Documents\Altium\MY_LIB\MY_LIB\Datasheets\YAGEO_RC_L.pdf</x:v>
      </x:c>
      <x:c xmlns:x="http://schemas.openxmlformats.org/spreadsheetml/2006/main" r="U441" t="str" s="11">
        <x:v>Даташит — локальный</x:v>
      </x:c>
      <x:c xmlns:x="http://schemas.openxmlformats.org/spreadsheetml/2006/main" r="V441" t="str" s="11">
        <x:v>C:\Users\Nomatin\Documents\Altium\MY_LIB\MY_LIB\Datasheets\YAGEO_RC_L.pdf</x:v>
      </x:c>
      <x:c xmlns:x="http://schemas.openxmlformats.org/spreadsheetml/2006/main" r="W441" t="str" s="11">
        <x:v>Даташит — производитель</x:v>
      </x:c>
      <x:c xmlns:x="http://schemas.openxmlformats.org/spreadsheetml/2006/main" r="X441" t="str" s="11">
        <x:v>https://yageogroup.com/content/datasheet/asset/file/PYU-RC_GROUP_51_ROHS_L</x:v>
      </x:c>
      <x:c xmlns:x="http://schemas.openxmlformats.org/spreadsheetml/2006/main" r="Y441" t="str" s="11">
        <x:v>C:\Users\Nomatin\Documents\Altium\MY_LIB\MY_LIB\Datasheets\YAGEO_RC_L.pdf</x:v>
      </x:c>
    </ns0:row>
    <ns0:row xmlns:ns0="http://schemas.openxmlformats.org/spreadsheetml/2006/main" r="442" ht="30" customHeight="1">
      <ns0:c r="A442" t="str" s="10">
        <ns0:v>R0448</ns0:v>
      </ns0:c>
      <ns0:c r="B442" t="str" s="10">
        <ns0:v>Резистор</ns0:v>
      </ns0:c>
      <ns0:c r="C442" t="str" s="10">
        <ns0:v>1.3R</ns0:v>
      </ns0:c>
      <ns0:c r="D442" t="str" s="11">
        <ns0:f>SUBSTITUTE(SUBSTITUTE(SUBSTITUTE(SUBSTITUTE(C442,"meg"," МОм"),"k"," кОм"),"R"," Ом"),".",",")</ns0:f>
        <ns0:v>1,3 Ом</ns0:v>
      </ns0:c>
      <ns0:c r="E442" t="str" s="10">
        <ns0:v>±1%</ns0:v>
      </ns0:c>
      <ns0:c r="F442" t="str" s="10">
        <ns0:v>0,125 Вт</ns0:v>
      </ns0:c>
      <ns0:c r="G442" t="str" s="10">
        <ns0:v>150 В макс.</ns0:v>
      </ns0:c>
      <ns0:c r="H442" t="str" s="12">
        <ns0:v>0805</ns0:v>
      </ns0:c>
      <ns0:c r="I442" t="str" s="10">
        <ns0:v>YAGEO</ns0:v>
      </ns0:c>
      <ns0:c r="J442" t="str" s="10">
        <ns0:v>RC0805FR-071R3L</ns0:v>
      </ns0:c>
      <ns0:c r="K442" t="str" s="11">
        <ns0:f>B442&amp;" "&amp;D442&amp;" "&amp;E442&amp;" "&amp;H442</ns0:f>
        <ns0:v>Резистор 1,3 Ом ±1% 0805</ns0:v>
      </ns0:c>
      <ns0:c r="L442" t="str" s="13">
        <ns0:v>R</ns0:v>
      </ns0:c>
      <ns0:c r="M442" t="str" s="13">
        <ns0:v>Symbols\MY_LIB_Resistors.SchLib</ns0:v>
      </ns0:c>
      <ns0:c r="N442" t="str" s="13">
        <ns0:v>RESC2012X70N</ns0:v>
      </ns0:c>
      <ns0:c r="O442" t="str" s="13">
        <ns0:v>Footprints\PBL - SMD Packages.PcbLib</ns0:v>
      </ns0:c>
      <ns0:c r="P442" t="str" s="10">
        <ns0:v>RC_L; E24; P при 70 °C; U ≤ min(√(P·R), Umax)</ns0:v>
      </ns0:c>
      <ns0:c r="Q442" s="10"/>
      <ns0:c r="R442" t="str" s="11">
        <ns0:f>D442</ns0:f>
        <ns0:v>1,3 Ом</ns0:v>
      </ns0:c>
      <ns0:c r="S442" t="str" s="11">
        <ns0:f>K442</ns0:f>
        <ns0:v>Резистор 1,3 Ом ±1% 0805</ns0:v>
      </ns0:c>
      <x:c xmlns:x="http://schemas.openxmlformats.org/spreadsheetml/2006/main" r="T442" t="str" s="11">
        <x:v>C:\Users\Nomatin\Documents\Altium\MY_LIB\MY_LIB\Datasheets\YAGEO_RC_L.pdf</x:v>
      </x:c>
      <x:c xmlns:x="http://schemas.openxmlformats.org/spreadsheetml/2006/main" r="U442" t="str" s="11">
        <x:v>Даташит — локальный</x:v>
      </x:c>
      <x:c xmlns:x="http://schemas.openxmlformats.org/spreadsheetml/2006/main" r="V442" t="str" s="11">
        <x:v>C:\Users\Nomatin\Documents\Altium\MY_LIB\MY_LIB\Datasheets\YAGEO_RC_L.pdf</x:v>
      </x:c>
      <x:c xmlns:x="http://schemas.openxmlformats.org/spreadsheetml/2006/main" r="W442" t="str" s="11">
        <x:v>Даташит — производитель</x:v>
      </x:c>
      <x:c xmlns:x="http://schemas.openxmlformats.org/spreadsheetml/2006/main" r="X442" t="str" s="11">
        <x:v>https://yageogroup.com/content/datasheet/asset/file/PYU-RC_GROUP_51_ROHS_L</x:v>
      </x:c>
      <x:c xmlns:x="http://schemas.openxmlformats.org/spreadsheetml/2006/main" r="Y442" t="str" s="11">
        <x:v>C:\Users\Nomatin\Documents\Altium\MY_LIB\MY_LIB\Datasheets\YAGEO_RC_L.pdf</x:v>
      </x:c>
    </ns0:row>
    <ns0:row xmlns:ns0="http://schemas.openxmlformats.org/spreadsheetml/2006/main" r="443" ht="30" customHeight="1">
      <ns0:c r="A443" t="str" s="10">
        <ns0:v>R0449</ns0:v>
      </ns0:c>
      <ns0:c r="B443" t="str" s="10">
        <ns0:v>Резистор</ns0:v>
      </ns0:c>
      <ns0:c r="C443" t="str" s="10">
        <ns0:v>1.5R</ns0:v>
      </ns0:c>
      <ns0:c r="D443" t="str" s="11">
        <ns0:f>SUBSTITUTE(SUBSTITUTE(SUBSTITUTE(SUBSTITUTE(C443,"meg"," МОм"),"k"," кОм"),"R"," Ом"),".",",")</ns0:f>
        <ns0:v>1,5 Ом</ns0:v>
      </ns0:c>
      <ns0:c r="E443" t="str" s="10">
        <ns0:v>±1%</ns0:v>
      </ns0:c>
      <ns0:c r="F443" t="str" s="10">
        <ns0:v>0,125 Вт</ns0:v>
      </ns0:c>
      <ns0:c r="G443" t="str" s="10">
        <ns0:v>150 В макс.</ns0:v>
      </ns0:c>
      <ns0:c r="H443" t="str" s="12">
        <ns0:v>0805</ns0:v>
      </ns0:c>
      <ns0:c r="I443" t="str" s="10">
        <ns0:v>YAGEO</ns0:v>
      </ns0:c>
      <ns0:c r="J443" t="str" s="10">
        <ns0:v>RC0805FR-071R5L</ns0:v>
      </ns0:c>
      <ns0:c r="K443" t="str" s="11">
        <ns0:f>B443&amp;" "&amp;D443&amp;" "&amp;E443&amp;" "&amp;H443</ns0:f>
        <ns0:v>Резистор 1,5 Ом ±1% 0805</ns0:v>
      </ns0:c>
      <ns0:c r="L443" t="str" s="13">
        <ns0:v>R</ns0:v>
      </ns0:c>
      <ns0:c r="M443" t="str" s="13">
        <ns0:v>Symbols\MY_LIB_Resistors.SchLib</ns0:v>
      </ns0:c>
      <ns0:c r="N443" t="str" s="13">
        <ns0:v>RESC2012X70N</ns0:v>
      </ns0:c>
      <ns0:c r="O443" t="str" s="13">
        <ns0:v>Footprints\PBL - SMD Packages.PcbLib</ns0:v>
      </ns0:c>
      <ns0:c r="P443" t="str" s="10">
        <ns0:v>RC_L; E24; P при 70 °C; U ≤ min(√(P·R), Umax)</ns0:v>
      </ns0:c>
      <ns0:c r="Q443" s="10"/>
      <ns0:c r="R443" t="str" s="11">
        <ns0:f>D443</ns0:f>
        <ns0:v>1,5 Ом</ns0:v>
      </ns0:c>
      <ns0:c r="S443" t="str" s="11">
        <ns0:f>K443</ns0:f>
        <ns0:v>Резистор 1,5 Ом ±1% 0805</ns0:v>
      </ns0:c>
      <x:c xmlns:x="http://schemas.openxmlformats.org/spreadsheetml/2006/main" r="T443" t="str" s="11">
        <x:v>C:\Users\Nomatin\Documents\Altium\MY_LIB\MY_LIB\Datasheets\YAGEO_RC_L.pdf</x:v>
      </x:c>
      <x:c xmlns:x="http://schemas.openxmlformats.org/spreadsheetml/2006/main" r="U443" t="str" s="11">
        <x:v>Даташит — локальный</x:v>
      </x:c>
      <x:c xmlns:x="http://schemas.openxmlformats.org/spreadsheetml/2006/main" r="V443" t="str" s="11">
        <x:v>C:\Users\Nomatin\Documents\Altium\MY_LIB\MY_LIB\Datasheets\YAGEO_RC_L.pdf</x:v>
      </x:c>
      <x:c xmlns:x="http://schemas.openxmlformats.org/spreadsheetml/2006/main" r="W443" t="str" s="11">
        <x:v>Даташит — производитель</x:v>
      </x:c>
      <x:c xmlns:x="http://schemas.openxmlformats.org/spreadsheetml/2006/main" r="X443" t="str" s="11">
        <x:v>https://yageogroup.com/content/datasheet/asset/file/PYU-RC_GROUP_51_ROHS_L</x:v>
      </x:c>
      <x:c xmlns:x="http://schemas.openxmlformats.org/spreadsheetml/2006/main" r="Y443" t="str" s="11">
        <x:v>C:\Users\Nomatin\Documents\Altium\MY_LIB\MY_LIB\Datasheets\YAGEO_RC_L.pdf</x:v>
      </x:c>
    </ns0:row>
    <ns0:row xmlns:ns0="http://schemas.openxmlformats.org/spreadsheetml/2006/main" r="444" ht="30" customHeight="1">
      <ns0:c r="A444" t="str" s="10">
        <ns0:v>R0450</ns0:v>
      </ns0:c>
      <ns0:c r="B444" t="str" s="10">
        <ns0:v>Резистор</ns0:v>
      </ns0:c>
      <ns0:c r="C444" t="str" s="10">
        <ns0:v>1.6R</ns0:v>
      </ns0:c>
      <ns0:c r="D444" t="str" s="11">
        <ns0:f>SUBSTITUTE(SUBSTITUTE(SUBSTITUTE(SUBSTITUTE(C444,"meg"," МОм"),"k"," кОм"),"R"," Ом"),".",",")</ns0:f>
        <ns0:v>1,6 Ом</ns0:v>
      </ns0:c>
      <ns0:c r="E444" t="str" s="10">
        <ns0:v>±1%</ns0:v>
      </ns0:c>
      <ns0:c r="F444" t="str" s="10">
        <ns0:v>0,125 Вт</ns0:v>
      </ns0:c>
      <ns0:c r="G444" t="str" s="10">
        <ns0:v>150 В макс.</ns0:v>
      </ns0:c>
      <ns0:c r="H444" t="str" s="12">
        <ns0:v>0805</ns0:v>
      </ns0:c>
      <ns0:c r="I444" t="str" s="10">
        <ns0:v>YAGEO</ns0:v>
      </ns0:c>
      <ns0:c r="J444" t="str" s="10">
        <ns0:v>RC0805FR-071R6L</ns0:v>
      </ns0:c>
      <ns0:c r="K444" t="str" s="11">
        <ns0:f>B444&amp;" "&amp;D444&amp;" "&amp;E444&amp;" "&amp;H444</ns0:f>
        <ns0:v>Резистор 1,6 Ом ±1% 0805</ns0:v>
      </ns0:c>
      <ns0:c r="L444" t="str" s="13">
        <ns0:v>R</ns0:v>
      </ns0:c>
      <ns0:c r="M444" t="str" s="13">
        <ns0:v>Symbols\MY_LIB_Resistors.SchLib</ns0:v>
      </ns0:c>
      <ns0:c r="N444" t="str" s="13">
        <ns0:v>RESC2012X70N</ns0:v>
      </ns0:c>
      <ns0:c r="O444" t="str" s="13">
        <ns0:v>Footprints\PBL - SMD Packages.PcbLib</ns0:v>
      </ns0:c>
      <ns0:c r="P444" t="str" s="10">
        <ns0:v>RC_L; E24; P при 70 °C; U ≤ min(√(P·R), Umax)</ns0:v>
      </ns0:c>
      <ns0:c r="Q444" s="10"/>
      <ns0:c r="R444" t="str" s="11">
        <ns0:f>D444</ns0:f>
        <ns0:v>1,6 Ом</ns0:v>
      </ns0:c>
      <ns0:c r="S444" t="str" s="11">
        <ns0:f>K444</ns0:f>
        <ns0:v>Резистор 1,6 Ом ±1% 0805</ns0:v>
      </ns0:c>
      <x:c xmlns:x="http://schemas.openxmlformats.org/spreadsheetml/2006/main" r="T444" t="str" s="11">
        <x:v>C:\Users\Nomatin\Documents\Altium\MY_LIB\MY_LIB\Datasheets\YAGEO_RC_L.pdf</x:v>
      </x:c>
      <x:c xmlns:x="http://schemas.openxmlformats.org/spreadsheetml/2006/main" r="U444" t="str" s="11">
        <x:v>Даташит — локальный</x:v>
      </x:c>
      <x:c xmlns:x="http://schemas.openxmlformats.org/spreadsheetml/2006/main" r="V444" t="str" s="11">
        <x:v>C:\Users\Nomatin\Documents\Altium\MY_LIB\MY_LIB\Datasheets\YAGEO_RC_L.pdf</x:v>
      </x:c>
      <x:c xmlns:x="http://schemas.openxmlformats.org/spreadsheetml/2006/main" r="W444" t="str" s="11">
        <x:v>Даташит — производитель</x:v>
      </x:c>
      <x:c xmlns:x="http://schemas.openxmlformats.org/spreadsheetml/2006/main" r="X444" t="str" s="11">
        <x:v>https://yageogroup.com/content/datasheet/asset/file/PYU-RC_GROUP_51_ROHS_L</x:v>
      </x:c>
      <x:c xmlns:x="http://schemas.openxmlformats.org/spreadsheetml/2006/main" r="Y444" t="str" s="11">
        <x:v>C:\Users\Nomatin\Documents\Altium\MY_LIB\MY_LIB\Datasheets\YAGEO_RC_L.pdf</x:v>
      </x:c>
    </ns0:row>
    <ns0:row xmlns:ns0="http://schemas.openxmlformats.org/spreadsheetml/2006/main" r="445" ht="30" customHeight="1">
      <ns0:c r="A445" t="str" s="10">
        <ns0:v>R0451</ns0:v>
      </ns0:c>
      <ns0:c r="B445" t="str" s="10">
        <ns0:v>Резистор</ns0:v>
      </ns0:c>
      <ns0:c r="C445" t="str" s="10">
        <ns0:v>1.8R</ns0:v>
      </ns0:c>
      <ns0:c r="D445" t="str" s="11">
        <ns0:f>SUBSTITUTE(SUBSTITUTE(SUBSTITUTE(SUBSTITUTE(C445,"meg"," МОм"),"k"," кОм"),"R"," Ом"),".",",")</ns0:f>
        <ns0:v>1,8 Ом</ns0:v>
      </ns0:c>
      <ns0:c r="E445" t="str" s="10">
        <ns0:v>±1%</ns0:v>
      </ns0:c>
      <ns0:c r="F445" t="str" s="10">
        <ns0:v>0,125 Вт</ns0:v>
      </ns0:c>
      <ns0:c r="G445" t="str" s="10">
        <ns0:v>150 В макс.</ns0:v>
      </ns0:c>
      <ns0:c r="H445" t="str" s="12">
        <ns0:v>0805</ns0:v>
      </ns0:c>
      <ns0:c r="I445" t="str" s="10">
        <ns0:v>YAGEO</ns0:v>
      </ns0:c>
      <ns0:c r="J445" t="str" s="10">
        <ns0:v>RC0805FR-071R8L</ns0:v>
      </ns0:c>
      <ns0:c r="K445" t="str" s="11">
        <ns0:f>B445&amp;" "&amp;D445&amp;" "&amp;E445&amp;" "&amp;H445</ns0:f>
        <ns0:v>Резистор 1,8 Ом ±1% 0805</ns0:v>
      </ns0:c>
      <ns0:c r="L445" t="str" s="13">
        <ns0:v>R</ns0:v>
      </ns0:c>
      <ns0:c r="M445" t="str" s="13">
        <ns0:v>Symbols\MY_LIB_Resistors.SchLib</ns0:v>
      </ns0:c>
      <ns0:c r="N445" t="str" s="13">
        <ns0:v>RESC2012X70N</ns0:v>
      </ns0:c>
      <ns0:c r="O445" t="str" s="13">
        <ns0:v>Footprints\PBL - SMD Packages.PcbLib</ns0:v>
      </ns0:c>
      <ns0:c r="P445" t="str" s="10">
        <ns0:v>RC_L; E24; P при 70 °C; U ≤ min(√(P·R), Umax)</ns0:v>
      </ns0:c>
      <ns0:c r="Q445" s="10"/>
      <ns0:c r="R445" t="str" s="11">
        <ns0:f>D445</ns0:f>
        <ns0:v>1,8 Ом</ns0:v>
      </ns0:c>
      <ns0:c r="S445" t="str" s="11">
        <ns0:f>K445</ns0:f>
        <ns0:v>Резистор 1,8 Ом ±1% 0805</ns0:v>
      </ns0:c>
      <x:c xmlns:x="http://schemas.openxmlformats.org/spreadsheetml/2006/main" r="T445" t="str" s="11">
        <x:v>C:\Users\Nomatin\Documents\Altium\MY_LIB\MY_LIB\Datasheets\YAGEO_RC_L.pdf</x:v>
      </x:c>
      <x:c xmlns:x="http://schemas.openxmlformats.org/spreadsheetml/2006/main" r="U445" t="str" s="11">
        <x:v>Даташит — локальный</x:v>
      </x:c>
      <x:c xmlns:x="http://schemas.openxmlformats.org/spreadsheetml/2006/main" r="V445" t="str" s="11">
        <x:v>C:\Users\Nomatin\Documents\Altium\MY_LIB\MY_LIB\Datasheets\YAGEO_RC_L.pdf</x:v>
      </x:c>
      <x:c xmlns:x="http://schemas.openxmlformats.org/spreadsheetml/2006/main" r="W445" t="str" s="11">
        <x:v>Даташит — производитель</x:v>
      </x:c>
      <x:c xmlns:x="http://schemas.openxmlformats.org/spreadsheetml/2006/main" r="X445" t="str" s="11">
        <x:v>https://yageogroup.com/content/datasheet/asset/file/PYU-RC_GROUP_51_ROHS_L</x:v>
      </x:c>
      <x:c xmlns:x="http://schemas.openxmlformats.org/spreadsheetml/2006/main" r="Y445" t="str" s="11">
        <x:v>C:\Users\Nomatin\Documents\Altium\MY_LIB\MY_LIB\Datasheets\YAGEO_RC_L.pdf</x:v>
      </x:c>
    </ns0:row>
    <ns0:row xmlns:ns0="http://schemas.openxmlformats.org/spreadsheetml/2006/main" r="446" ht="30" customHeight="1">
      <ns0:c r="A446" t="str" s="10">
        <ns0:v>R0452</ns0:v>
      </ns0:c>
      <ns0:c r="B446" t="str" s="10">
        <ns0:v>Резистор</ns0:v>
      </ns0:c>
      <ns0:c r="C446" t="str" s="10">
        <ns0:v>2R</ns0:v>
      </ns0:c>
      <ns0:c r="D446" t="str" s="11">
        <ns0:f>SUBSTITUTE(SUBSTITUTE(SUBSTITUTE(SUBSTITUTE(C446,"meg"," МОм"),"k"," кОм"),"R"," Ом"),".",",")</ns0:f>
        <ns0:v>2 Ом</ns0:v>
      </ns0:c>
      <ns0:c r="E446" t="str" s="10">
        <ns0:v>±1%</ns0:v>
      </ns0:c>
      <ns0:c r="F446" t="str" s="10">
        <ns0:v>0,125 Вт</ns0:v>
      </ns0:c>
      <ns0:c r="G446" t="str" s="10">
        <ns0:v>150 В макс.</ns0:v>
      </ns0:c>
      <ns0:c r="H446" t="str" s="12">
        <ns0:v>0805</ns0:v>
      </ns0:c>
      <ns0:c r="I446" t="str" s="10">
        <ns0:v>YAGEO</ns0:v>
      </ns0:c>
      <ns0:c r="J446" t="str" s="10">
        <ns0:v>RC0805FR-072RL</ns0:v>
      </ns0:c>
      <ns0:c r="K446" t="str" s="11">
        <ns0:f>B446&amp;" "&amp;D446&amp;" "&amp;E446&amp;" "&amp;H446</ns0:f>
        <ns0:v>Резистор 2 Ом ±1% 0805</ns0:v>
      </ns0:c>
      <ns0:c r="L446" t="str" s="13">
        <ns0:v>R</ns0:v>
      </ns0:c>
      <ns0:c r="M446" t="str" s="13">
        <ns0:v>Symbols\MY_LIB_Resistors.SchLib</ns0:v>
      </ns0:c>
      <ns0:c r="N446" t="str" s="13">
        <ns0:v>RESC2012X70N</ns0:v>
      </ns0:c>
      <ns0:c r="O446" t="str" s="13">
        <ns0:v>Footprints\PBL - SMD Packages.PcbLib</ns0:v>
      </ns0:c>
      <ns0:c r="P446" t="str" s="10">
        <ns0:v>RC_L; E24; P при 70 °C; U ≤ min(√(P·R), Umax)</ns0:v>
      </ns0:c>
      <ns0:c r="Q446" s="10"/>
      <ns0:c r="R446" t="str" s="11">
        <ns0:f>D446</ns0:f>
        <ns0:v>2 Ом</ns0:v>
      </ns0:c>
      <ns0:c r="S446" t="str" s="11">
        <ns0:f>K446</ns0:f>
        <ns0:v>Резистор 2 Ом ±1% 0805</ns0:v>
      </ns0:c>
      <x:c xmlns:x="http://schemas.openxmlformats.org/spreadsheetml/2006/main" r="T446" t="str" s="11">
        <x:v>C:\Users\Nomatin\Documents\Altium\MY_LIB\MY_LIB\Datasheets\YAGEO_RC_L.pdf</x:v>
      </x:c>
      <x:c xmlns:x="http://schemas.openxmlformats.org/spreadsheetml/2006/main" r="U446" t="str" s="11">
        <x:v>Даташит — локальный</x:v>
      </x:c>
      <x:c xmlns:x="http://schemas.openxmlformats.org/spreadsheetml/2006/main" r="V446" t="str" s="11">
        <x:v>C:\Users\Nomatin\Documents\Altium\MY_LIB\MY_LIB\Datasheets\YAGEO_RC_L.pdf</x:v>
      </x:c>
      <x:c xmlns:x="http://schemas.openxmlformats.org/spreadsheetml/2006/main" r="W446" t="str" s="11">
        <x:v>Даташит — производитель</x:v>
      </x:c>
      <x:c xmlns:x="http://schemas.openxmlformats.org/spreadsheetml/2006/main" r="X446" t="str" s="11">
        <x:v>https://yageogroup.com/content/datasheet/asset/file/PYU-RC_GROUP_51_ROHS_L</x:v>
      </x:c>
      <x:c xmlns:x="http://schemas.openxmlformats.org/spreadsheetml/2006/main" r="Y446" t="str" s="11">
        <x:v>C:\Users\Nomatin\Documents\Altium\MY_LIB\MY_LIB\Datasheets\YAGEO_RC_L.pdf</x:v>
      </x:c>
    </ns0:row>
    <ns0:row xmlns:ns0="http://schemas.openxmlformats.org/spreadsheetml/2006/main" r="447" ht="30" customHeight="1">
      <ns0:c r="A447" t="str" s="10">
        <ns0:v>R0453</ns0:v>
      </ns0:c>
      <ns0:c r="B447" t="str" s="10">
        <ns0:v>Резистор</ns0:v>
      </ns0:c>
      <ns0:c r="C447" t="str" s="10">
        <ns0:v>2.2R</ns0:v>
      </ns0:c>
      <ns0:c r="D447" t="str" s="11">
        <ns0:f>SUBSTITUTE(SUBSTITUTE(SUBSTITUTE(SUBSTITUTE(C447,"meg"," МОм"),"k"," кОм"),"R"," Ом"),".",",")</ns0:f>
        <ns0:v>2,2 Ом</ns0:v>
      </ns0:c>
      <ns0:c r="E447" t="str" s="10">
        <ns0:v>±1%</ns0:v>
      </ns0:c>
      <ns0:c r="F447" t="str" s="10">
        <ns0:v>0,125 Вт</ns0:v>
      </ns0:c>
      <ns0:c r="G447" t="str" s="10">
        <ns0:v>150 В макс.</ns0:v>
      </ns0:c>
      <ns0:c r="H447" t="str" s="12">
        <ns0:v>0805</ns0:v>
      </ns0:c>
      <ns0:c r="I447" t="str" s="10">
        <ns0:v>YAGEO</ns0:v>
      </ns0:c>
      <ns0:c r="J447" t="str" s="10">
        <ns0:v>RC0805FR-072R2L</ns0:v>
      </ns0:c>
      <ns0:c r="K447" t="str" s="11">
        <ns0:f>B447&amp;" "&amp;D447&amp;" "&amp;E447&amp;" "&amp;H447</ns0:f>
        <ns0:v>Резистор 2,2 Ом ±1% 0805</ns0:v>
      </ns0:c>
      <ns0:c r="L447" t="str" s="13">
        <ns0:v>R</ns0:v>
      </ns0:c>
      <ns0:c r="M447" t="str" s="13">
        <ns0:v>Symbols\MY_LIB_Resistors.SchLib</ns0:v>
      </ns0:c>
      <ns0:c r="N447" t="str" s="13">
        <ns0:v>RESC2012X70N</ns0:v>
      </ns0:c>
      <ns0:c r="O447" t="str" s="13">
        <ns0:v>Footprints\PBL - SMD Packages.PcbLib</ns0:v>
      </ns0:c>
      <ns0:c r="P447" t="str" s="10">
        <ns0:v>RC_L; E24; P при 70 °C; U ≤ min(√(P·R), Umax)</ns0:v>
      </ns0:c>
      <ns0:c r="Q447" s="10"/>
      <ns0:c r="R447" t="str" s="11">
        <ns0:f>D447</ns0:f>
        <ns0:v>2,2 Ом</ns0:v>
      </ns0:c>
      <ns0:c r="S447" t="str" s="11">
        <ns0:f>K447</ns0:f>
        <ns0:v>Резистор 2,2 Ом ±1% 0805</ns0:v>
      </ns0:c>
      <x:c xmlns:x="http://schemas.openxmlformats.org/spreadsheetml/2006/main" r="T447" t="str" s="11">
        <x:v>C:\Users\Nomatin\Documents\Altium\MY_LIB\MY_LIB\Datasheets\YAGEO_RC_L.pdf</x:v>
      </x:c>
      <x:c xmlns:x="http://schemas.openxmlformats.org/spreadsheetml/2006/main" r="U447" t="str" s="11">
        <x:v>Даташит — локальный</x:v>
      </x:c>
      <x:c xmlns:x="http://schemas.openxmlformats.org/spreadsheetml/2006/main" r="V447" t="str" s="11">
        <x:v>C:\Users\Nomatin\Documents\Altium\MY_LIB\MY_LIB\Datasheets\YAGEO_RC_L.pdf</x:v>
      </x:c>
      <x:c xmlns:x="http://schemas.openxmlformats.org/spreadsheetml/2006/main" r="W447" t="str" s="11">
        <x:v>Даташит — производитель</x:v>
      </x:c>
      <x:c xmlns:x="http://schemas.openxmlformats.org/spreadsheetml/2006/main" r="X447" t="str" s="11">
        <x:v>https://yageogroup.com/content/datasheet/asset/file/PYU-RC_GROUP_51_ROHS_L</x:v>
      </x:c>
      <x:c xmlns:x="http://schemas.openxmlformats.org/spreadsheetml/2006/main" r="Y447" t="str" s="11">
        <x:v>C:\Users\Nomatin\Documents\Altium\MY_LIB\MY_LIB\Datasheets\YAGEO_RC_L.pdf</x:v>
      </x:c>
    </ns0:row>
    <ns0:row xmlns:ns0="http://schemas.openxmlformats.org/spreadsheetml/2006/main" r="448" ht="30" customHeight="1">
      <ns0:c r="A448" t="str" s="10">
        <ns0:v>R0454</ns0:v>
      </ns0:c>
      <ns0:c r="B448" t="str" s="10">
        <ns0:v>Резистор</ns0:v>
      </ns0:c>
      <ns0:c r="C448" t="str" s="10">
        <ns0:v>2.4R</ns0:v>
      </ns0:c>
      <ns0:c r="D448" t="str" s="11">
        <ns0:f>SUBSTITUTE(SUBSTITUTE(SUBSTITUTE(SUBSTITUTE(C448,"meg"," МОм"),"k"," кОм"),"R"," Ом"),".",",")</ns0:f>
        <ns0:v>2,4 Ом</ns0:v>
      </ns0:c>
      <ns0:c r="E448" t="str" s="10">
        <ns0:v>±1%</ns0:v>
      </ns0:c>
      <ns0:c r="F448" t="str" s="10">
        <ns0:v>0,125 Вт</ns0:v>
      </ns0:c>
      <ns0:c r="G448" t="str" s="10">
        <ns0:v>150 В макс.</ns0:v>
      </ns0:c>
      <ns0:c r="H448" t="str" s="12">
        <ns0:v>0805</ns0:v>
      </ns0:c>
      <ns0:c r="I448" t="str" s="10">
        <ns0:v>YAGEO</ns0:v>
      </ns0:c>
      <ns0:c r="J448" t="str" s="10">
        <ns0:v>RC0805FR-072R4L</ns0:v>
      </ns0:c>
      <ns0:c r="K448" t="str" s="11">
        <ns0:f>B448&amp;" "&amp;D448&amp;" "&amp;E448&amp;" "&amp;H448</ns0:f>
        <ns0:v>Резистор 2,4 Ом ±1% 0805</ns0:v>
      </ns0:c>
      <ns0:c r="L448" t="str" s="13">
        <ns0:v>R</ns0:v>
      </ns0:c>
      <ns0:c r="M448" t="str" s="13">
        <ns0:v>Symbols\MY_LIB_Resistors.SchLib</ns0:v>
      </ns0:c>
      <ns0:c r="N448" t="str" s="13">
        <ns0:v>RESC2012X70N</ns0:v>
      </ns0:c>
      <ns0:c r="O448" t="str" s="13">
        <ns0:v>Footprints\PBL - SMD Packages.PcbLib</ns0:v>
      </ns0:c>
      <ns0:c r="P448" t="str" s="10">
        <ns0:v>RC_L; E24; P при 70 °C; U ≤ min(√(P·R), Umax)</ns0:v>
      </ns0:c>
      <ns0:c r="Q448" s="10"/>
      <ns0:c r="R448" t="str" s="11">
        <ns0:f>D448</ns0:f>
        <ns0:v>2,4 Ом</ns0:v>
      </ns0:c>
      <ns0:c r="S448" t="str" s="11">
        <ns0:f>K448</ns0:f>
        <ns0:v>Резистор 2,4 Ом ±1% 0805</ns0:v>
      </ns0:c>
      <x:c xmlns:x="http://schemas.openxmlformats.org/spreadsheetml/2006/main" r="T448" t="str" s="11">
        <x:v>C:\Users\Nomatin\Documents\Altium\MY_LIB\MY_LIB\Datasheets\YAGEO_RC_L.pdf</x:v>
      </x:c>
      <x:c xmlns:x="http://schemas.openxmlformats.org/spreadsheetml/2006/main" r="U448" t="str" s="11">
        <x:v>Даташит — локальный</x:v>
      </x:c>
      <x:c xmlns:x="http://schemas.openxmlformats.org/spreadsheetml/2006/main" r="V448" t="str" s="11">
        <x:v>C:\Users\Nomatin\Documents\Altium\MY_LIB\MY_LIB\Datasheets\YAGEO_RC_L.pdf</x:v>
      </x:c>
      <x:c xmlns:x="http://schemas.openxmlformats.org/spreadsheetml/2006/main" r="W448" t="str" s="11">
        <x:v>Даташит — производитель</x:v>
      </x:c>
      <x:c xmlns:x="http://schemas.openxmlformats.org/spreadsheetml/2006/main" r="X448" t="str" s="11">
        <x:v>https://yageogroup.com/content/datasheet/asset/file/PYU-RC_GROUP_51_ROHS_L</x:v>
      </x:c>
      <x:c xmlns:x="http://schemas.openxmlformats.org/spreadsheetml/2006/main" r="Y448" t="str" s="11">
        <x:v>C:\Users\Nomatin\Documents\Altium\MY_LIB\MY_LIB\Datasheets\YAGEO_RC_L.pdf</x:v>
      </x:c>
    </ns0:row>
    <ns0:row xmlns:ns0="http://schemas.openxmlformats.org/spreadsheetml/2006/main" r="449" ht="30" customHeight="1">
      <ns0:c r="A449" t="str" s="10">
        <ns0:v>R0455</ns0:v>
      </ns0:c>
      <ns0:c r="B449" t="str" s="10">
        <ns0:v>Резистор</ns0:v>
      </ns0:c>
      <ns0:c r="C449" t="str" s="10">
        <ns0:v>2.7R</ns0:v>
      </ns0:c>
      <ns0:c r="D449" t="str" s="11">
        <ns0:f>SUBSTITUTE(SUBSTITUTE(SUBSTITUTE(SUBSTITUTE(C449,"meg"," МОм"),"k"," кОм"),"R"," Ом"),".",",")</ns0:f>
        <ns0:v>2,7 Ом</ns0:v>
      </ns0:c>
      <ns0:c r="E449" t="str" s="10">
        <ns0:v>±1%</ns0:v>
      </ns0:c>
      <ns0:c r="F449" t="str" s="10">
        <ns0:v>0,125 Вт</ns0:v>
      </ns0:c>
      <ns0:c r="G449" t="str" s="10">
        <ns0:v>150 В макс.</ns0:v>
      </ns0:c>
      <ns0:c r="H449" t="str" s="12">
        <ns0:v>0805</ns0:v>
      </ns0:c>
      <ns0:c r="I449" t="str" s="10">
        <ns0:v>YAGEO</ns0:v>
      </ns0:c>
      <ns0:c r="J449" t="str" s="10">
        <ns0:v>RC0805FR-072R7L</ns0:v>
      </ns0:c>
      <ns0:c r="K449" t="str" s="11">
        <ns0:f>B449&amp;" "&amp;D449&amp;" "&amp;E449&amp;" "&amp;H449</ns0:f>
        <ns0:v>Резистор 2,7 Ом ±1% 0805</ns0:v>
      </ns0:c>
      <ns0:c r="L449" t="str" s="13">
        <ns0:v>R</ns0:v>
      </ns0:c>
      <ns0:c r="M449" t="str" s="13">
        <ns0:v>Symbols\MY_LIB_Resistors.SchLib</ns0:v>
      </ns0:c>
      <ns0:c r="N449" t="str" s="13">
        <ns0:v>RESC2012X70N</ns0:v>
      </ns0:c>
      <ns0:c r="O449" t="str" s="13">
        <ns0:v>Footprints\PBL - SMD Packages.PcbLib</ns0:v>
      </ns0:c>
      <ns0:c r="P449" t="str" s="10">
        <ns0:v>RC_L; E24; P при 70 °C; U ≤ min(√(P·R), Umax)</ns0:v>
      </ns0:c>
      <ns0:c r="Q449" s="10"/>
      <ns0:c r="R449" t="str" s="11">
        <ns0:f>D449</ns0:f>
        <ns0:v>2,7 Ом</ns0:v>
      </ns0:c>
      <ns0:c r="S449" t="str" s="11">
        <ns0:f>K449</ns0:f>
        <ns0:v>Резистор 2,7 Ом ±1% 0805</ns0:v>
      </ns0:c>
      <x:c xmlns:x="http://schemas.openxmlformats.org/spreadsheetml/2006/main" r="T449" t="str" s="11">
        <x:v>C:\Users\Nomatin\Documents\Altium\MY_LIB\MY_LIB\Datasheets\YAGEO_RC_L.pdf</x:v>
      </x:c>
      <x:c xmlns:x="http://schemas.openxmlformats.org/spreadsheetml/2006/main" r="U449" t="str" s="11">
        <x:v>Даташит — локальный</x:v>
      </x:c>
      <x:c xmlns:x="http://schemas.openxmlformats.org/spreadsheetml/2006/main" r="V449" t="str" s="11">
        <x:v>C:\Users\Nomatin\Documents\Altium\MY_LIB\MY_LIB\Datasheets\YAGEO_RC_L.pdf</x:v>
      </x:c>
      <x:c xmlns:x="http://schemas.openxmlformats.org/spreadsheetml/2006/main" r="W449" t="str" s="11">
        <x:v>Даташит — производитель</x:v>
      </x:c>
      <x:c xmlns:x="http://schemas.openxmlformats.org/spreadsheetml/2006/main" r="X449" t="str" s="11">
        <x:v>https://yageogroup.com/content/datasheet/asset/file/PYU-RC_GROUP_51_ROHS_L</x:v>
      </x:c>
      <x:c xmlns:x="http://schemas.openxmlformats.org/spreadsheetml/2006/main" r="Y449" t="str" s="11">
        <x:v>C:\Users\Nomatin\Documents\Altium\MY_LIB\MY_LIB\Datasheets\YAGEO_RC_L.pdf</x:v>
      </x:c>
    </ns0:row>
    <ns0:row xmlns:ns0="http://schemas.openxmlformats.org/spreadsheetml/2006/main" r="450" ht="30" customHeight="1">
      <ns0:c r="A450" t="str" s="10">
        <ns0:v>R0456</ns0:v>
      </ns0:c>
      <ns0:c r="B450" t="str" s="10">
        <ns0:v>Резистор</ns0:v>
      </ns0:c>
      <ns0:c r="C450" t="str" s="10">
        <ns0:v>3R</ns0:v>
      </ns0:c>
      <ns0:c r="D450" t="str" s="11">
        <ns0:f>SUBSTITUTE(SUBSTITUTE(SUBSTITUTE(SUBSTITUTE(C450,"meg"," МОм"),"k"," кОм"),"R"," Ом"),".",",")</ns0:f>
        <ns0:v>3 Ом</ns0:v>
      </ns0:c>
      <ns0:c r="E450" t="str" s="10">
        <ns0:v>±1%</ns0:v>
      </ns0:c>
      <ns0:c r="F450" t="str" s="10">
        <ns0:v>0,125 Вт</ns0:v>
      </ns0:c>
      <ns0:c r="G450" t="str" s="10">
        <ns0:v>150 В макс.</ns0:v>
      </ns0:c>
      <ns0:c r="H450" t="str" s="12">
        <ns0:v>0805</ns0:v>
      </ns0:c>
      <ns0:c r="I450" t="str" s="10">
        <ns0:v>YAGEO</ns0:v>
      </ns0:c>
      <ns0:c r="J450" t="str" s="10">
        <ns0:v>RC0805FR-073RL</ns0:v>
      </ns0:c>
      <ns0:c r="K450" t="str" s="11">
        <ns0:f>B450&amp;" "&amp;D450&amp;" "&amp;E450&amp;" "&amp;H450</ns0:f>
        <ns0:v>Резистор 3 Ом ±1% 0805</ns0:v>
      </ns0:c>
      <ns0:c r="L450" t="str" s="13">
        <ns0:v>R</ns0:v>
      </ns0:c>
      <ns0:c r="M450" t="str" s="13">
        <ns0:v>Symbols\MY_LIB_Resistors.SchLib</ns0:v>
      </ns0:c>
      <ns0:c r="N450" t="str" s="13">
        <ns0:v>RESC2012X70N</ns0:v>
      </ns0:c>
      <ns0:c r="O450" t="str" s="13">
        <ns0:v>Footprints\PBL - SMD Packages.PcbLib</ns0:v>
      </ns0:c>
      <ns0:c r="P450" t="str" s="10">
        <ns0:v>RC_L; E24; P при 70 °C; U ≤ min(√(P·R), Umax)</ns0:v>
      </ns0:c>
      <ns0:c r="Q450" s="10"/>
      <ns0:c r="R450" t="str" s="11">
        <ns0:f>D450</ns0:f>
        <ns0:v>3 Ом</ns0:v>
      </ns0:c>
      <ns0:c r="S450" t="str" s="11">
        <ns0:f>K450</ns0:f>
        <ns0:v>Резистор 3 Ом ±1% 0805</ns0:v>
      </ns0:c>
      <x:c xmlns:x="http://schemas.openxmlformats.org/spreadsheetml/2006/main" r="T450" t="str" s="11">
        <x:v>C:\Users\Nomatin\Documents\Altium\MY_LIB\MY_LIB\Datasheets\YAGEO_RC_L.pdf</x:v>
      </x:c>
      <x:c xmlns:x="http://schemas.openxmlformats.org/spreadsheetml/2006/main" r="U450" t="str" s="11">
        <x:v>Даташит — локальный</x:v>
      </x:c>
      <x:c xmlns:x="http://schemas.openxmlformats.org/spreadsheetml/2006/main" r="V450" t="str" s="11">
        <x:v>C:\Users\Nomatin\Documents\Altium\MY_LIB\MY_LIB\Datasheets\YAGEO_RC_L.pdf</x:v>
      </x:c>
      <x:c xmlns:x="http://schemas.openxmlformats.org/spreadsheetml/2006/main" r="W450" t="str" s="11">
        <x:v>Даташит — производитель</x:v>
      </x:c>
      <x:c xmlns:x="http://schemas.openxmlformats.org/spreadsheetml/2006/main" r="X450" t="str" s="11">
        <x:v>https://yageogroup.com/content/datasheet/asset/file/PYU-RC_GROUP_51_ROHS_L</x:v>
      </x:c>
      <x:c xmlns:x="http://schemas.openxmlformats.org/spreadsheetml/2006/main" r="Y450" t="str" s="11">
        <x:v>C:\Users\Nomatin\Documents\Altium\MY_LIB\MY_LIB\Datasheets\YAGEO_RC_L.pdf</x:v>
      </x:c>
    </ns0:row>
    <ns0:row xmlns:ns0="http://schemas.openxmlformats.org/spreadsheetml/2006/main" r="451" ht="30" customHeight="1">
      <ns0:c r="A451" t="str" s="10">
        <ns0:v>R0457</ns0:v>
      </ns0:c>
      <ns0:c r="B451" t="str" s="10">
        <ns0:v>Резистор</ns0:v>
      </ns0:c>
      <ns0:c r="C451" t="str" s="10">
        <ns0:v>3.3R</ns0:v>
      </ns0:c>
      <ns0:c r="D451" t="str" s="11">
        <ns0:f>SUBSTITUTE(SUBSTITUTE(SUBSTITUTE(SUBSTITUTE(C451,"meg"," МОм"),"k"," кОм"),"R"," Ом"),".",",")</ns0:f>
        <ns0:v>3,3 Ом</ns0:v>
      </ns0:c>
      <ns0:c r="E451" t="str" s="10">
        <ns0:v>±1%</ns0:v>
      </ns0:c>
      <ns0:c r="F451" t="str" s="10">
        <ns0:v>0,125 Вт</ns0:v>
      </ns0:c>
      <ns0:c r="G451" t="str" s="10">
        <ns0:v>150 В макс.</ns0:v>
      </ns0:c>
      <ns0:c r="H451" t="str" s="12">
        <ns0:v>0805</ns0:v>
      </ns0:c>
      <ns0:c r="I451" t="str" s="10">
        <ns0:v>YAGEO</ns0:v>
      </ns0:c>
      <ns0:c r="J451" t="str" s="10">
        <ns0:v>RC0805FR-073R3L</ns0:v>
      </ns0:c>
      <ns0:c r="K451" t="str" s="11">
        <ns0:f>B451&amp;" "&amp;D451&amp;" "&amp;E451&amp;" "&amp;H451</ns0:f>
        <ns0:v>Резистор 3,3 Ом ±1% 0805</ns0:v>
      </ns0:c>
      <ns0:c r="L451" t="str" s="13">
        <ns0:v>R</ns0:v>
      </ns0:c>
      <ns0:c r="M451" t="str" s="13">
        <ns0:v>Symbols\MY_LIB_Resistors.SchLib</ns0:v>
      </ns0:c>
      <ns0:c r="N451" t="str" s="13">
        <ns0:v>RESC2012X70N</ns0:v>
      </ns0:c>
      <ns0:c r="O451" t="str" s="13">
        <ns0:v>Footprints\PBL - SMD Packages.PcbLib</ns0:v>
      </ns0:c>
      <ns0:c r="P451" t="str" s="10">
        <ns0:v>RC_L; E24; P при 70 °C; U ≤ min(√(P·R), Umax)</ns0:v>
      </ns0:c>
      <ns0:c r="Q451" s="10"/>
      <ns0:c r="R451" t="str" s="11">
        <ns0:f>D451</ns0:f>
        <ns0:v>3,3 Ом</ns0:v>
      </ns0:c>
      <ns0:c r="S451" t="str" s="11">
        <ns0:f>K451</ns0:f>
        <ns0:v>Резистор 3,3 Ом ±1% 0805</ns0:v>
      </ns0:c>
      <x:c xmlns:x="http://schemas.openxmlformats.org/spreadsheetml/2006/main" r="T451" t="str" s="11">
        <x:v>C:\Users\Nomatin\Documents\Altium\MY_LIB\MY_LIB\Datasheets\YAGEO_RC_L.pdf</x:v>
      </x:c>
      <x:c xmlns:x="http://schemas.openxmlformats.org/spreadsheetml/2006/main" r="U451" t="str" s="11">
        <x:v>Даташит — локальный</x:v>
      </x:c>
      <x:c xmlns:x="http://schemas.openxmlformats.org/spreadsheetml/2006/main" r="V451" t="str" s="11">
        <x:v>C:\Users\Nomatin\Documents\Altium\MY_LIB\MY_LIB\Datasheets\YAGEO_RC_L.pdf</x:v>
      </x:c>
      <x:c xmlns:x="http://schemas.openxmlformats.org/spreadsheetml/2006/main" r="W451" t="str" s="11">
        <x:v>Даташит — производитель</x:v>
      </x:c>
      <x:c xmlns:x="http://schemas.openxmlformats.org/spreadsheetml/2006/main" r="X451" t="str" s="11">
        <x:v>https://yageogroup.com/content/datasheet/asset/file/PYU-RC_GROUP_51_ROHS_L</x:v>
      </x:c>
      <x:c xmlns:x="http://schemas.openxmlformats.org/spreadsheetml/2006/main" r="Y451" t="str" s="11">
        <x:v>C:\Users\Nomatin\Documents\Altium\MY_LIB\MY_LIB\Datasheets\YAGEO_RC_L.pdf</x:v>
      </x:c>
    </ns0:row>
    <ns0:row xmlns:ns0="http://schemas.openxmlformats.org/spreadsheetml/2006/main" r="452" ht="30" customHeight="1">
      <ns0:c r="A452" t="str" s="10">
        <ns0:v>R0458</ns0:v>
      </ns0:c>
      <ns0:c r="B452" t="str" s="10">
        <ns0:v>Резистор</ns0:v>
      </ns0:c>
      <ns0:c r="C452" t="str" s="10">
        <ns0:v>3.6R</ns0:v>
      </ns0:c>
      <ns0:c r="D452" t="str" s="11">
        <ns0:f>SUBSTITUTE(SUBSTITUTE(SUBSTITUTE(SUBSTITUTE(C452,"meg"," МОм"),"k"," кОм"),"R"," Ом"),".",",")</ns0:f>
        <ns0:v>3,6 Ом</ns0:v>
      </ns0:c>
      <ns0:c r="E452" t="str" s="10">
        <ns0:v>±1%</ns0:v>
      </ns0:c>
      <ns0:c r="F452" t="str" s="10">
        <ns0:v>0,125 Вт</ns0:v>
      </ns0:c>
      <ns0:c r="G452" t="str" s="10">
        <ns0:v>150 В макс.</ns0:v>
      </ns0:c>
      <ns0:c r="H452" t="str" s="12">
        <ns0:v>0805</ns0:v>
      </ns0:c>
      <ns0:c r="I452" t="str" s="10">
        <ns0:v>YAGEO</ns0:v>
      </ns0:c>
      <ns0:c r="J452" t="str" s="10">
        <ns0:v>RC0805FR-073R6L</ns0:v>
      </ns0:c>
      <ns0:c r="K452" t="str" s="11">
        <ns0:f>B452&amp;" "&amp;D452&amp;" "&amp;E452&amp;" "&amp;H452</ns0:f>
        <ns0:v>Резистор 3,6 Ом ±1% 0805</ns0:v>
      </ns0:c>
      <ns0:c r="L452" t="str" s="13">
        <ns0:v>R</ns0:v>
      </ns0:c>
      <ns0:c r="M452" t="str" s="13">
        <ns0:v>Symbols\MY_LIB_Resistors.SchLib</ns0:v>
      </ns0:c>
      <ns0:c r="N452" t="str" s="13">
        <ns0:v>RESC2012X70N</ns0:v>
      </ns0:c>
      <ns0:c r="O452" t="str" s="13">
        <ns0:v>Footprints\PBL - SMD Packages.PcbLib</ns0:v>
      </ns0:c>
      <ns0:c r="P452" t="str" s="10">
        <ns0:v>RC_L; E24; P при 70 °C; U ≤ min(√(P·R), Umax)</ns0:v>
      </ns0:c>
      <ns0:c r="Q452" s="10"/>
      <ns0:c r="R452" t="str" s="11">
        <ns0:f>D452</ns0:f>
        <ns0:v>3,6 Ом</ns0:v>
      </ns0:c>
      <ns0:c r="S452" t="str" s="11">
        <ns0:f>K452</ns0:f>
        <ns0:v>Резистор 3,6 Ом ±1% 0805</ns0:v>
      </ns0:c>
      <x:c xmlns:x="http://schemas.openxmlformats.org/spreadsheetml/2006/main" r="T452" t="str" s="11">
        <x:v>C:\Users\Nomatin\Documents\Altium\MY_LIB\MY_LIB\Datasheets\YAGEO_RC_L.pdf</x:v>
      </x:c>
      <x:c xmlns:x="http://schemas.openxmlformats.org/spreadsheetml/2006/main" r="U452" t="str" s="11">
        <x:v>Даташит — локальный</x:v>
      </x:c>
      <x:c xmlns:x="http://schemas.openxmlformats.org/spreadsheetml/2006/main" r="V452" t="str" s="11">
        <x:v>C:\Users\Nomatin\Documents\Altium\MY_LIB\MY_LIB\Datasheets\YAGEO_RC_L.pdf</x:v>
      </x:c>
      <x:c xmlns:x="http://schemas.openxmlformats.org/spreadsheetml/2006/main" r="W452" t="str" s="11">
        <x:v>Даташит — производитель</x:v>
      </x:c>
      <x:c xmlns:x="http://schemas.openxmlformats.org/spreadsheetml/2006/main" r="X452" t="str" s="11">
        <x:v>https://yageogroup.com/content/datasheet/asset/file/PYU-RC_GROUP_51_ROHS_L</x:v>
      </x:c>
      <x:c xmlns:x="http://schemas.openxmlformats.org/spreadsheetml/2006/main" r="Y452" t="str" s="11">
        <x:v>C:\Users\Nomatin\Documents\Altium\MY_LIB\MY_LIB\Datasheets\YAGEO_RC_L.pdf</x:v>
      </x:c>
    </ns0:row>
    <ns0:row xmlns:ns0="http://schemas.openxmlformats.org/spreadsheetml/2006/main" r="453" ht="30" customHeight="1">
      <ns0:c r="A453" t="str" s="10">
        <ns0:v>R0459</ns0:v>
      </ns0:c>
      <ns0:c r="B453" t="str" s="10">
        <ns0:v>Резистор</ns0:v>
      </ns0:c>
      <ns0:c r="C453" t="str" s="10">
        <ns0:v>3.9R</ns0:v>
      </ns0:c>
      <ns0:c r="D453" t="str" s="11">
        <ns0:f>SUBSTITUTE(SUBSTITUTE(SUBSTITUTE(SUBSTITUTE(C453,"meg"," МОм"),"k"," кОм"),"R"," Ом"),".",",")</ns0:f>
        <ns0:v>3,9 Ом</ns0:v>
      </ns0:c>
      <ns0:c r="E453" t="str" s="10">
        <ns0:v>±1%</ns0:v>
      </ns0:c>
      <ns0:c r="F453" t="str" s="10">
        <ns0:v>0,125 Вт</ns0:v>
      </ns0:c>
      <ns0:c r="G453" t="str" s="10">
        <ns0:v>150 В макс.</ns0:v>
      </ns0:c>
      <ns0:c r="H453" t="str" s="12">
        <ns0:v>0805</ns0:v>
      </ns0:c>
      <ns0:c r="I453" t="str" s="10">
        <ns0:v>YAGEO</ns0:v>
      </ns0:c>
      <ns0:c r="J453" t="str" s="10">
        <ns0:v>RC0805FR-073R9L</ns0:v>
      </ns0:c>
      <ns0:c r="K453" t="str" s="11">
        <ns0:f>B453&amp;" "&amp;D453&amp;" "&amp;E453&amp;" "&amp;H453</ns0:f>
        <ns0:v>Резистор 3,9 Ом ±1% 0805</ns0:v>
      </ns0:c>
      <ns0:c r="L453" t="str" s="13">
        <ns0:v>R</ns0:v>
      </ns0:c>
      <ns0:c r="M453" t="str" s="13">
        <ns0:v>Symbols\MY_LIB_Resistors.SchLib</ns0:v>
      </ns0:c>
      <ns0:c r="N453" t="str" s="13">
        <ns0:v>RESC2012X70N</ns0:v>
      </ns0:c>
      <ns0:c r="O453" t="str" s="13">
        <ns0:v>Footprints\PBL - SMD Packages.PcbLib</ns0:v>
      </ns0:c>
      <ns0:c r="P453" t="str" s="10">
        <ns0:v>RC_L; E24; P при 70 °C; U ≤ min(√(P·R), Umax)</ns0:v>
      </ns0:c>
      <ns0:c r="Q453" s="10"/>
      <ns0:c r="R453" t="str" s="11">
        <ns0:f>D453</ns0:f>
        <ns0:v>3,9 Ом</ns0:v>
      </ns0:c>
      <ns0:c r="S453" t="str" s="11">
        <ns0:f>K453</ns0:f>
        <ns0:v>Резистор 3,9 Ом ±1% 0805</ns0:v>
      </ns0:c>
      <x:c xmlns:x="http://schemas.openxmlformats.org/spreadsheetml/2006/main" r="T453" t="str" s="11">
        <x:v>C:\Users\Nomatin\Documents\Altium\MY_LIB\MY_LIB\Datasheets\YAGEO_RC_L.pdf</x:v>
      </x:c>
      <x:c xmlns:x="http://schemas.openxmlformats.org/spreadsheetml/2006/main" r="U453" t="str" s="11">
        <x:v>Даташит — локальный</x:v>
      </x:c>
      <x:c xmlns:x="http://schemas.openxmlformats.org/spreadsheetml/2006/main" r="V453" t="str" s="11">
        <x:v>C:\Users\Nomatin\Documents\Altium\MY_LIB\MY_LIB\Datasheets\YAGEO_RC_L.pdf</x:v>
      </x:c>
      <x:c xmlns:x="http://schemas.openxmlformats.org/spreadsheetml/2006/main" r="W453" t="str" s="11">
        <x:v>Даташит — производитель</x:v>
      </x:c>
      <x:c xmlns:x="http://schemas.openxmlformats.org/spreadsheetml/2006/main" r="X453" t="str" s="11">
        <x:v>https://yageogroup.com/content/datasheet/asset/file/PYU-RC_GROUP_51_ROHS_L</x:v>
      </x:c>
      <x:c xmlns:x="http://schemas.openxmlformats.org/spreadsheetml/2006/main" r="Y453" t="str" s="11">
        <x:v>C:\Users\Nomatin\Documents\Altium\MY_LIB\MY_LIB\Datasheets\YAGEO_RC_L.pdf</x:v>
      </x:c>
    </ns0:row>
    <ns0:row xmlns:ns0="http://schemas.openxmlformats.org/spreadsheetml/2006/main" r="454" ht="30" customHeight="1">
      <ns0:c r="A454" t="str" s="10">
        <ns0:v>R0460</ns0:v>
      </ns0:c>
      <ns0:c r="B454" t="str" s="10">
        <ns0:v>Резистор</ns0:v>
      </ns0:c>
      <ns0:c r="C454" t="str" s="10">
        <ns0:v>4.3R</ns0:v>
      </ns0:c>
      <ns0:c r="D454" t="str" s="11">
        <ns0:f>SUBSTITUTE(SUBSTITUTE(SUBSTITUTE(SUBSTITUTE(C454,"meg"," МОм"),"k"," кОм"),"R"," Ом"),".",",")</ns0:f>
        <ns0:v>4,3 Ом</ns0:v>
      </ns0:c>
      <ns0:c r="E454" t="str" s="10">
        <ns0:v>±1%</ns0:v>
      </ns0:c>
      <ns0:c r="F454" t="str" s="10">
        <ns0:v>0,125 Вт</ns0:v>
      </ns0:c>
      <ns0:c r="G454" t="str" s="10">
        <ns0:v>150 В макс.</ns0:v>
      </ns0:c>
      <ns0:c r="H454" t="str" s="12">
        <ns0:v>0805</ns0:v>
      </ns0:c>
      <ns0:c r="I454" t="str" s="10">
        <ns0:v>YAGEO</ns0:v>
      </ns0:c>
      <ns0:c r="J454" t="str" s="10">
        <ns0:v>RC0805FR-074R3L</ns0:v>
      </ns0:c>
      <ns0:c r="K454" t="str" s="11">
        <ns0:f>B454&amp;" "&amp;D454&amp;" "&amp;E454&amp;" "&amp;H454</ns0:f>
        <ns0:v>Резистор 4,3 Ом ±1% 0805</ns0:v>
      </ns0:c>
      <ns0:c r="L454" t="str" s="13">
        <ns0:v>R</ns0:v>
      </ns0:c>
      <ns0:c r="M454" t="str" s="13">
        <ns0:v>Symbols\MY_LIB_Resistors.SchLib</ns0:v>
      </ns0:c>
      <ns0:c r="N454" t="str" s="13">
        <ns0:v>RESC2012X70N</ns0:v>
      </ns0:c>
      <ns0:c r="O454" t="str" s="13">
        <ns0:v>Footprints\PBL - SMD Packages.PcbLib</ns0:v>
      </ns0:c>
      <ns0:c r="P454" t="str" s="10">
        <ns0:v>RC_L; E24; P при 70 °C; U ≤ min(√(P·R), Umax)</ns0:v>
      </ns0:c>
      <ns0:c r="Q454" s="10"/>
      <ns0:c r="R454" t="str" s="11">
        <ns0:f>D454</ns0:f>
        <ns0:v>4,3 Ом</ns0:v>
      </ns0:c>
      <ns0:c r="S454" t="str" s="11">
        <ns0:f>K454</ns0:f>
        <ns0:v>Резистор 4,3 Ом ±1% 0805</ns0:v>
      </ns0:c>
      <x:c xmlns:x="http://schemas.openxmlformats.org/spreadsheetml/2006/main" r="T454" t="str" s="11">
        <x:v>C:\Users\Nomatin\Documents\Altium\MY_LIB\MY_LIB\Datasheets\YAGEO_RC_L.pdf</x:v>
      </x:c>
      <x:c xmlns:x="http://schemas.openxmlformats.org/spreadsheetml/2006/main" r="U454" t="str" s="11">
        <x:v>Даташит — локальный</x:v>
      </x:c>
      <x:c xmlns:x="http://schemas.openxmlformats.org/spreadsheetml/2006/main" r="V454" t="str" s="11">
        <x:v>C:\Users\Nomatin\Documents\Altium\MY_LIB\MY_LIB\Datasheets\YAGEO_RC_L.pdf</x:v>
      </x:c>
      <x:c xmlns:x="http://schemas.openxmlformats.org/spreadsheetml/2006/main" r="W454" t="str" s="11">
        <x:v>Даташит — производитель</x:v>
      </x:c>
      <x:c xmlns:x="http://schemas.openxmlformats.org/spreadsheetml/2006/main" r="X454" t="str" s="11">
        <x:v>https://yageogroup.com/content/datasheet/asset/file/PYU-RC_GROUP_51_ROHS_L</x:v>
      </x:c>
      <x:c xmlns:x="http://schemas.openxmlformats.org/spreadsheetml/2006/main" r="Y454" t="str" s="11">
        <x:v>C:\Users\Nomatin\Documents\Altium\MY_LIB\MY_LIB\Datasheets\YAGEO_RC_L.pdf</x:v>
      </x:c>
    </ns0:row>
    <ns0:row xmlns:ns0="http://schemas.openxmlformats.org/spreadsheetml/2006/main" r="455" ht="30" customHeight="1">
      <ns0:c r="A455" t="str" s="10">
        <ns0:v>R0461</ns0:v>
      </ns0:c>
      <ns0:c r="B455" t="str" s="10">
        <ns0:v>Резистор</ns0:v>
      </ns0:c>
      <ns0:c r="C455" t="str" s="10">
        <ns0:v>4.7R</ns0:v>
      </ns0:c>
      <ns0:c r="D455" t="str" s="11">
        <ns0:f>SUBSTITUTE(SUBSTITUTE(SUBSTITUTE(SUBSTITUTE(C455,"meg"," МОм"),"k"," кОм"),"R"," Ом"),".",",")</ns0:f>
        <ns0:v>4,7 Ом</ns0:v>
      </ns0:c>
      <ns0:c r="E455" t="str" s="10">
        <ns0:v>±1%</ns0:v>
      </ns0:c>
      <ns0:c r="F455" t="str" s="10">
        <ns0:v>0,125 Вт</ns0:v>
      </ns0:c>
      <ns0:c r="G455" t="str" s="10">
        <ns0:v>150 В макс.</ns0:v>
      </ns0:c>
      <ns0:c r="H455" t="str" s="12">
        <ns0:v>0805</ns0:v>
      </ns0:c>
      <ns0:c r="I455" t="str" s="10">
        <ns0:v>YAGEO</ns0:v>
      </ns0:c>
      <ns0:c r="J455" t="str" s="10">
        <ns0:v>RC0805FR-074R7L</ns0:v>
      </ns0:c>
      <ns0:c r="K455" t="str" s="11">
        <ns0:f>B455&amp;" "&amp;D455&amp;" "&amp;E455&amp;" "&amp;H455</ns0:f>
        <ns0:v>Резистор 4,7 Ом ±1% 0805</ns0:v>
      </ns0:c>
      <ns0:c r="L455" t="str" s="13">
        <ns0:v>R</ns0:v>
      </ns0:c>
      <ns0:c r="M455" t="str" s="13">
        <ns0:v>Symbols\MY_LIB_Resistors.SchLib</ns0:v>
      </ns0:c>
      <ns0:c r="N455" t="str" s="13">
        <ns0:v>RESC2012X70N</ns0:v>
      </ns0:c>
      <ns0:c r="O455" t="str" s="13">
        <ns0:v>Footprints\PBL - SMD Packages.PcbLib</ns0:v>
      </ns0:c>
      <ns0:c r="P455" t="str" s="10">
        <ns0:v>RC_L; E24; P при 70 °C; U ≤ min(√(P·R), Umax)</ns0:v>
      </ns0:c>
      <ns0:c r="Q455" s="10"/>
      <ns0:c r="R455" t="str" s="11">
        <ns0:f>D455</ns0:f>
        <ns0:v>4,7 Ом</ns0:v>
      </ns0:c>
      <ns0:c r="S455" t="str" s="11">
        <ns0:f>K455</ns0:f>
        <ns0:v>Резистор 4,7 Ом ±1% 0805</ns0:v>
      </ns0:c>
      <x:c xmlns:x="http://schemas.openxmlformats.org/spreadsheetml/2006/main" r="T455" t="str" s="11">
        <x:v>C:\Users\Nomatin\Documents\Altium\MY_LIB\MY_LIB\Datasheets\YAGEO_RC_L.pdf</x:v>
      </x:c>
      <x:c xmlns:x="http://schemas.openxmlformats.org/spreadsheetml/2006/main" r="U455" t="str" s="11">
        <x:v>Даташит — локальный</x:v>
      </x:c>
      <x:c xmlns:x="http://schemas.openxmlformats.org/spreadsheetml/2006/main" r="V455" t="str" s="11">
        <x:v>C:\Users\Nomatin\Documents\Altium\MY_LIB\MY_LIB\Datasheets\YAGEO_RC_L.pdf</x:v>
      </x:c>
      <x:c xmlns:x="http://schemas.openxmlformats.org/spreadsheetml/2006/main" r="W455" t="str" s="11">
        <x:v>Даташит — производитель</x:v>
      </x:c>
      <x:c xmlns:x="http://schemas.openxmlformats.org/spreadsheetml/2006/main" r="X455" t="str" s="11">
        <x:v>https://yageogroup.com/content/datasheet/asset/file/PYU-RC_GROUP_51_ROHS_L</x:v>
      </x:c>
      <x:c xmlns:x="http://schemas.openxmlformats.org/spreadsheetml/2006/main" r="Y455" t="str" s="11">
        <x:v>C:\Users\Nomatin\Documents\Altium\MY_LIB\MY_LIB\Datasheets\YAGEO_RC_L.pdf</x:v>
      </x:c>
    </ns0:row>
    <ns0:row xmlns:ns0="http://schemas.openxmlformats.org/spreadsheetml/2006/main" r="456" ht="30" customHeight="1">
      <ns0:c r="A456" t="str" s="10">
        <ns0:v>R0462</ns0:v>
      </ns0:c>
      <ns0:c r="B456" t="str" s="10">
        <ns0:v>Резистор</ns0:v>
      </ns0:c>
      <ns0:c r="C456" t="str" s="10">
        <ns0:v>5.1R</ns0:v>
      </ns0:c>
      <ns0:c r="D456" t="str" s="11">
        <ns0:f>SUBSTITUTE(SUBSTITUTE(SUBSTITUTE(SUBSTITUTE(C456,"meg"," МОм"),"k"," кОм"),"R"," Ом"),".",",")</ns0:f>
        <ns0:v>5,1 Ом</ns0:v>
      </ns0:c>
      <ns0:c r="E456" t="str" s="10">
        <ns0:v>±1%</ns0:v>
      </ns0:c>
      <ns0:c r="F456" t="str" s="10">
        <ns0:v>0,125 Вт</ns0:v>
      </ns0:c>
      <ns0:c r="G456" t="str" s="10">
        <ns0:v>150 В макс.</ns0:v>
      </ns0:c>
      <ns0:c r="H456" t="str" s="12">
        <ns0:v>0805</ns0:v>
      </ns0:c>
      <ns0:c r="I456" t="str" s="10">
        <ns0:v>YAGEO</ns0:v>
      </ns0:c>
      <ns0:c r="J456" t="str" s="10">
        <ns0:v>RC0805FR-075R1L</ns0:v>
      </ns0:c>
      <ns0:c r="K456" t="str" s="11">
        <ns0:f>B456&amp;" "&amp;D456&amp;" "&amp;E456&amp;" "&amp;H456</ns0:f>
        <ns0:v>Резистор 5,1 Ом ±1% 0805</ns0:v>
      </ns0:c>
      <ns0:c r="L456" t="str" s="13">
        <ns0:v>R</ns0:v>
      </ns0:c>
      <ns0:c r="M456" t="str" s="13">
        <ns0:v>Symbols\MY_LIB_Resistors.SchLib</ns0:v>
      </ns0:c>
      <ns0:c r="N456" t="str" s="13">
        <ns0:v>RESC2012X70N</ns0:v>
      </ns0:c>
      <ns0:c r="O456" t="str" s="13">
        <ns0:v>Footprints\PBL - SMD Packages.PcbLib</ns0:v>
      </ns0:c>
      <ns0:c r="P456" t="str" s="10">
        <ns0:v>RC_L; E24; P при 70 °C; U ≤ min(√(P·R), Umax)</ns0:v>
      </ns0:c>
      <ns0:c r="Q456" s="10"/>
      <ns0:c r="R456" t="str" s="11">
        <ns0:f>D456</ns0:f>
        <ns0:v>5,1 Ом</ns0:v>
      </ns0:c>
      <ns0:c r="S456" t="str" s="11">
        <ns0:f>K456</ns0:f>
        <ns0:v>Резистор 5,1 Ом ±1% 0805</ns0:v>
      </ns0:c>
      <x:c xmlns:x="http://schemas.openxmlformats.org/spreadsheetml/2006/main" r="T456" t="str" s="11">
        <x:v>C:\Users\Nomatin\Documents\Altium\MY_LIB\MY_LIB\Datasheets\YAGEO_RC_L.pdf</x:v>
      </x:c>
      <x:c xmlns:x="http://schemas.openxmlformats.org/spreadsheetml/2006/main" r="U456" t="str" s="11">
        <x:v>Даташит — локальный</x:v>
      </x:c>
      <x:c xmlns:x="http://schemas.openxmlformats.org/spreadsheetml/2006/main" r="V456" t="str" s="11">
        <x:v>C:\Users\Nomatin\Documents\Altium\MY_LIB\MY_LIB\Datasheets\YAGEO_RC_L.pdf</x:v>
      </x:c>
      <x:c xmlns:x="http://schemas.openxmlformats.org/spreadsheetml/2006/main" r="W456" t="str" s="11">
        <x:v>Даташит — производитель</x:v>
      </x:c>
      <x:c xmlns:x="http://schemas.openxmlformats.org/spreadsheetml/2006/main" r="X456" t="str" s="11">
        <x:v>https://yageogroup.com/content/datasheet/asset/file/PYU-RC_GROUP_51_ROHS_L</x:v>
      </x:c>
      <x:c xmlns:x="http://schemas.openxmlformats.org/spreadsheetml/2006/main" r="Y456" t="str" s="11">
        <x:v>C:\Users\Nomatin\Documents\Altium\MY_LIB\MY_LIB\Datasheets\YAGEO_RC_L.pdf</x:v>
      </x:c>
    </ns0:row>
    <ns0:row xmlns:ns0="http://schemas.openxmlformats.org/spreadsheetml/2006/main" r="457" ht="30" customHeight="1">
      <ns0:c r="A457" t="str" s="10">
        <ns0:v>R0463</ns0:v>
      </ns0:c>
      <ns0:c r="B457" t="str" s="10">
        <ns0:v>Резистор</ns0:v>
      </ns0:c>
      <ns0:c r="C457" t="str" s="10">
        <ns0:v>5.6R</ns0:v>
      </ns0:c>
      <ns0:c r="D457" t="str" s="11">
        <ns0:f>SUBSTITUTE(SUBSTITUTE(SUBSTITUTE(SUBSTITUTE(C457,"meg"," МОм"),"k"," кОм"),"R"," Ом"),".",",")</ns0:f>
        <ns0:v>5,6 Ом</ns0:v>
      </ns0:c>
      <ns0:c r="E457" t="str" s="10">
        <ns0:v>±1%</ns0:v>
      </ns0:c>
      <ns0:c r="F457" t="str" s="10">
        <ns0:v>0,125 Вт</ns0:v>
      </ns0:c>
      <ns0:c r="G457" t="str" s="10">
        <ns0:v>150 В макс.</ns0:v>
      </ns0:c>
      <ns0:c r="H457" t="str" s="12">
        <ns0:v>0805</ns0:v>
      </ns0:c>
      <ns0:c r="I457" t="str" s="10">
        <ns0:v>YAGEO</ns0:v>
      </ns0:c>
      <ns0:c r="J457" t="str" s="10">
        <ns0:v>RC0805FR-075R6L</ns0:v>
      </ns0:c>
      <ns0:c r="K457" t="str" s="11">
        <ns0:f>B457&amp;" "&amp;D457&amp;" "&amp;E457&amp;" "&amp;H457</ns0:f>
        <ns0:v>Резистор 5,6 Ом ±1% 0805</ns0:v>
      </ns0:c>
      <ns0:c r="L457" t="str" s="13">
        <ns0:v>R</ns0:v>
      </ns0:c>
      <ns0:c r="M457" t="str" s="13">
        <ns0:v>Symbols\MY_LIB_Resistors.SchLib</ns0:v>
      </ns0:c>
      <ns0:c r="N457" t="str" s="13">
        <ns0:v>RESC2012X70N</ns0:v>
      </ns0:c>
      <ns0:c r="O457" t="str" s="13">
        <ns0:v>Footprints\PBL - SMD Packages.PcbLib</ns0:v>
      </ns0:c>
      <ns0:c r="P457" t="str" s="10">
        <ns0:v>RC_L; E24; P при 70 °C; U ≤ min(√(P·R), Umax)</ns0:v>
      </ns0:c>
      <ns0:c r="Q457" s="10"/>
      <ns0:c r="R457" t="str" s="11">
        <ns0:f>D457</ns0:f>
        <ns0:v>5,6 Ом</ns0:v>
      </ns0:c>
      <ns0:c r="S457" t="str" s="11">
        <ns0:f>K457</ns0:f>
        <ns0:v>Резистор 5,6 Ом ±1% 0805</ns0:v>
      </ns0:c>
      <x:c xmlns:x="http://schemas.openxmlformats.org/spreadsheetml/2006/main" r="T457" t="str" s="11">
        <x:v>C:\Users\Nomatin\Documents\Altium\MY_LIB\MY_LIB\Datasheets\YAGEO_RC_L.pdf</x:v>
      </x:c>
      <x:c xmlns:x="http://schemas.openxmlformats.org/spreadsheetml/2006/main" r="U457" t="str" s="11">
        <x:v>Даташит — локальный</x:v>
      </x:c>
      <x:c xmlns:x="http://schemas.openxmlformats.org/spreadsheetml/2006/main" r="V457" t="str" s="11">
        <x:v>C:\Users\Nomatin\Documents\Altium\MY_LIB\MY_LIB\Datasheets\YAGEO_RC_L.pdf</x:v>
      </x:c>
      <x:c xmlns:x="http://schemas.openxmlformats.org/spreadsheetml/2006/main" r="W457" t="str" s="11">
        <x:v>Даташит — производитель</x:v>
      </x:c>
      <x:c xmlns:x="http://schemas.openxmlformats.org/spreadsheetml/2006/main" r="X457" t="str" s="11">
        <x:v>https://yageogroup.com/content/datasheet/asset/file/PYU-RC_GROUP_51_ROHS_L</x:v>
      </x:c>
      <x:c xmlns:x="http://schemas.openxmlformats.org/spreadsheetml/2006/main" r="Y457" t="str" s="11">
        <x:v>C:\Users\Nomatin\Documents\Altium\MY_LIB\MY_LIB\Datasheets\YAGEO_RC_L.pdf</x:v>
      </x:c>
    </ns0:row>
    <ns0:row xmlns:ns0="http://schemas.openxmlformats.org/spreadsheetml/2006/main" r="458" ht="30" customHeight="1">
      <ns0:c r="A458" t="str" s="10">
        <ns0:v>R0464</ns0:v>
      </ns0:c>
      <ns0:c r="B458" t="str" s="10">
        <ns0:v>Резистор</ns0:v>
      </ns0:c>
      <ns0:c r="C458" t="str" s="10">
        <ns0:v>6.2R</ns0:v>
      </ns0:c>
      <ns0:c r="D458" t="str" s="11">
        <ns0:f>SUBSTITUTE(SUBSTITUTE(SUBSTITUTE(SUBSTITUTE(C458,"meg"," МОм"),"k"," кОм"),"R"," Ом"),".",",")</ns0:f>
        <ns0:v>6,2 Ом</ns0:v>
      </ns0:c>
      <ns0:c r="E458" t="str" s="10">
        <ns0:v>±1%</ns0:v>
      </ns0:c>
      <ns0:c r="F458" t="str" s="10">
        <ns0:v>0,125 Вт</ns0:v>
      </ns0:c>
      <ns0:c r="G458" t="str" s="10">
        <ns0:v>150 В макс.</ns0:v>
      </ns0:c>
      <ns0:c r="H458" t="str" s="12">
        <ns0:v>0805</ns0:v>
      </ns0:c>
      <ns0:c r="I458" t="str" s="10">
        <ns0:v>YAGEO</ns0:v>
      </ns0:c>
      <ns0:c r="J458" t="str" s="10">
        <ns0:v>RC0805FR-076R2L</ns0:v>
      </ns0:c>
      <ns0:c r="K458" t="str" s="11">
        <ns0:f>B458&amp;" "&amp;D458&amp;" "&amp;E458&amp;" "&amp;H458</ns0:f>
        <ns0:v>Резистор 6,2 Ом ±1% 0805</ns0:v>
      </ns0:c>
      <ns0:c r="L458" t="str" s="13">
        <ns0:v>R</ns0:v>
      </ns0:c>
      <ns0:c r="M458" t="str" s="13">
        <ns0:v>Symbols\MY_LIB_Resistors.SchLib</ns0:v>
      </ns0:c>
      <ns0:c r="N458" t="str" s="13">
        <ns0:v>RESC2012X70N</ns0:v>
      </ns0:c>
      <ns0:c r="O458" t="str" s="13">
        <ns0:v>Footprints\PBL - SMD Packages.PcbLib</ns0:v>
      </ns0:c>
      <ns0:c r="P458" t="str" s="10">
        <ns0:v>RC_L; E24; P при 70 °C; U ≤ min(√(P·R), Umax)</ns0:v>
      </ns0:c>
      <ns0:c r="Q458" s="10"/>
      <ns0:c r="R458" t="str" s="11">
        <ns0:f>D458</ns0:f>
        <ns0:v>6,2 Ом</ns0:v>
      </ns0:c>
      <ns0:c r="S458" t="str" s="11">
        <ns0:f>K458</ns0:f>
        <ns0:v>Резистор 6,2 Ом ±1% 0805</ns0:v>
      </ns0:c>
      <x:c xmlns:x="http://schemas.openxmlformats.org/spreadsheetml/2006/main" r="T458" t="str" s="11">
        <x:v>C:\Users\Nomatin\Documents\Altium\MY_LIB\MY_LIB\Datasheets\YAGEO_RC_L.pdf</x:v>
      </x:c>
      <x:c xmlns:x="http://schemas.openxmlformats.org/spreadsheetml/2006/main" r="U458" t="str" s="11">
        <x:v>Даташит — локальный</x:v>
      </x:c>
      <x:c xmlns:x="http://schemas.openxmlformats.org/spreadsheetml/2006/main" r="V458" t="str" s="11">
        <x:v>C:\Users\Nomatin\Documents\Altium\MY_LIB\MY_LIB\Datasheets\YAGEO_RC_L.pdf</x:v>
      </x:c>
      <x:c xmlns:x="http://schemas.openxmlformats.org/spreadsheetml/2006/main" r="W458" t="str" s="11">
        <x:v>Даташит — производитель</x:v>
      </x:c>
      <x:c xmlns:x="http://schemas.openxmlformats.org/spreadsheetml/2006/main" r="X458" t="str" s="11">
        <x:v>https://yageogroup.com/content/datasheet/asset/file/PYU-RC_GROUP_51_ROHS_L</x:v>
      </x:c>
      <x:c xmlns:x="http://schemas.openxmlformats.org/spreadsheetml/2006/main" r="Y458" t="str" s="11">
        <x:v>C:\Users\Nomatin\Documents\Altium\MY_LIB\MY_LIB\Datasheets\YAGEO_RC_L.pdf</x:v>
      </x:c>
    </ns0:row>
    <ns0:row xmlns:ns0="http://schemas.openxmlformats.org/spreadsheetml/2006/main" r="459" ht="30" customHeight="1">
      <ns0:c r="A459" t="str" s="10">
        <ns0:v>R0465</ns0:v>
      </ns0:c>
      <ns0:c r="B459" t="str" s="10">
        <ns0:v>Резистор</ns0:v>
      </ns0:c>
      <ns0:c r="C459" t="str" s="10">
        <ns0:v>6.8R</ns0:v>
      </ns0:c>
      <ns0:c r="D459" t="str" s="11">
        <ns0:f>SUBSTITUTE(SUBSTITUTE(SUBSTITUTE(SUBSTITUTE(C459,"meg"," МОм"),"k"," кОм"),"R"," Ом"),".",",")</ns0:f>
        <ns0:v>6,8 Ом</ns0:v>
      </ns0:c>
      <ns0:c r="E459" t="str" s="10">
        <ns0:v>±1%</ns0:v>
      </ns0:c>
      <ns0:c r="F459" t="str" s="10">
        <ns0:v>0,125 Вт</ns0:v>
      </ns0:c>
      <ns0:c r="G459" t="str" s="10">
        <ns0:v>150 В макс.</ns0:v>
      </ns0:c>
      <ns0:c r="H459" t="str" s="12">
        <ns0:v>0805</ns0:v>
      </ns0:c>
      <ns0:c r="I459" t="str" s="10">
        <ns0:v>YAGEO</ns0:v>
      </ns0:c>
      <ns0:c r="J459" t="str" s="10">
        <ns0:v>RC0805FR-076R8L</ns0:v>
      </ns0:c>
      <ns0:c r="K459" t="str" s="11">
        <ns0:f>B459&amp;" "&amp;D459&amp;" "&amp;E459&amp;" "&amp;H459</ns0:f>
        <ns0:v>Резистор 6,8 Ом ±1% 0805</ns0:v>
      </ns0:c>
      <ns0:c r="L459" t="str" s="13">
        <ns0:v>R</ns0:v>
      </ns0:c>
      <ns0:c r="M459" t="str" s="13">
        <ns0:v>Symbols\MY_LIB_Resistors.SchLib</ns0:v>
      </ns0:c>
      <ns0:c r="N459" t="str" s="13">
        <ns0:v>RESC2012X70N</ns0:v>
      </ns0:c>
      <ns0:c r="O459" t="str" s="13">
        <ns0:v>Footprints\PBL - SMD Packages.PcbLib</ns0:v>
      </ns0:c>
      <ns0:c r="P459" t="str" s="10">
        <ns0:v>RC_L; E24; P при 70 °C; U ≤ min(√(P·R), Umax)</ns0:v>
      </ns0:c>
      <ns0:c r="Q459" s="10"/>
      <ns0:c r="R459" t="str" s="11">
        <ns0:f>D459</ns0:f>
        <ns0:v>6,8 Ом</ns0:v>
      </ns0:c>
      <ns0:c r="S459" t="str" s="11">
        <ns0:f>K459</ns0:f>
        <ns0:v>Резистор 6,8 Ом ±1% 0805</ns0:v>
      </ns0:c>
      <x:c xmlns:x="http://schemas.openxmlformats.org/spreadsheetml/2006/main" r="T459" t="str" s="11">
        <x:v>C:\Users\Nomatin\Documents\Altium\MY_LIB\MY_LIB\Datasheets\YAGEO_RC_L.pdf</x:v>
      </x:c>
      <x:c xmlns:x="http://schemas.openxmlformats.org/spreadsheetml/2006/main" r="U459" t="str" s="11">
        <x:v>Даташит — локальный</x:v>
      </x:c>
      <x:c xmlns:x="http://schemas.openxmlformats.org/spreadsheetml/2006/main" r="V459" t="str" s="11">
        <x:v>C:\Users\Nomatin\Documents\Altium\MY_LIB\MY_LIB\Datasheets\YAGEO_RC_L.pdf</x:v>
      </x:c>
      <x:c xmlns:x="http://schemas.openxmlformats.org/spreadsheetml/2006/main" r="W459" t="str" s="11">
        <x:v>Даташит — производитель</x:v>
      </x:c>
      <x:c xmlns:x="http://schemas.openxmlformats.org/spreadsheetml/2006/main" r="X459" t="str" s="11">
        <x:v>https://yageogroup.com/content/datasheet/asset/file/PYU-RC_GROUP_51_ROHS_L</x:v>
      </x:c>
      <x:c xmlns:x="http://schemas.openxmlformats.org/spreadsheetml/2006/main" r="Y459" t="str" s="11">
        <x:v>C:\Users\Nomatin\Documents\Altium\MY_LIB\MY_LIB\Datasheets\YAGEO_RC_L.pdf</x:v>
      </x:c>
    </ns0:row>
    <ns0:row xmlns:ns0="http://schemas.openxmlformats.org/spreadsheetml/2006/main" r="460" ht="30" customHeight="1">
      <ns0:c r="A460" t="str" s="10">
        <ns0:v>R0466</ns0:v>
      </ns0:c>
      <ns0:c r="B460" t="str" s="10">
        <ns0:v>Резистор</ns0:v>
      </ns0:c>
      <ns0:c r="C460" t="str" s="10">
        <ns0:v>7.5R</ns0:v>
      </ns0:c>
      <ns0:c r="D460" t="str" s="11">
        <ns0:f>SUBSTITUTE(SUBSTITUTE(SUBSTITUTE(SUBSTITUTE(C460,"meg"," МОм"),"k"," кОм"),"R"," Ом"),".",",")</ns0:f>
        <ns0:v>7,5 Ом</ns0:v>
      </ns0:c>
      <ns0:c r="E460" t="str" s="10">
        <ns0:v>±1%</ns0:v>
      </ns0:c>
      <ns0:c r="F460" t="str" s="10">
        <ns0:v>0,125 Вт</ns0:v>
      </ns0:c>
      <ns0:c r="G460" t="str" s="10">
        <ns0:v>150 В макс.</ns0:v>
      </ns0:c>
      <ns0:c r="H460" t="str" s="12">
        <ns0:v>0805</ns0:v>
      </ns0:c>
      <ns0:c r="I460" t="str" s="10">
        <ns0:v>YAGEO</ns0:v>
      </ns0:c>
      <ns0:c r="J460" t="str" s="10">
        <ns0:v>RC0805FR-077R5L</ns0:v>
      </ns0:c>
      <ns0:c r="K460" t="str" s="11">
        <ns0:f>B460&amp;" "&amp;D460&amp;" "&amp;E460&amp;" "&amp;H460</ns0:f>
        <ns0:v>Резистор 7,5 Ом ±1% 0805</ns0:v>
      </ns0:c>
      <ns0:c r="L460" t="str" s="13">
        <ns0:v>R</ns0:v>
      </ns0:c>
      <ns0:c r="M460" t="str" s="13">
        <ns0:v>Symbols\MY_LIB_Resistors.SchLib</ns0:v>
      </ns0:c>
      <ns0:c r="N460" t="str" s="13">
        <ns0:v>RESC2012X70N</ns0:v>
      </ns0:c>
      <ns0:c r="O460" t="str" s="13">
        <ns0:v>Footprints\PBL - SMD Packages.PcbLib</ns0:v>
      </ns0:c>
      <ns0:c r="P460" t="str" s="10">
        <ns0:v>RC_L; E24; P при 70 °C; U ≤ min(√(P·R), Umax)</ns0:v>
      </ns0:c>
      <ns0:c r="Q460" s="10"/>
      <ns0:c r="R460" t="str" s="11">
        <ns0:f>D460</ns0:f>
        <ns0:v>7,5 Ом</ns0:v>
      </ns0:c>
      <ns0:c r="S460" t="str" s="11">
        <ns0:f>K460</ns0:f>
        <ns0:v>Резистор 7,5 Ом ±1% 0805</ns0:v>
      </ns0:c>
      <x:c xmlns:x="http://schemas.openxmlformats.org/spreadsheetml/2006/main" r="T460" t="str" s="11">
        <x:v>C:\Users\Nomatin\Documents\Altium\MY_LIB\MY_LIB\Datasheets\YAGEO_RC_L.pdf</x:v>
      </x:c>
      <x:c xmlns:x="http://schemas.openxmlformats.org/spreadsheetml/2006/main" r="U460" t="str" s="11">
        <x:v>Даташит — локальный</x:v>
      </x:c>
      <x:c xmlns:x="http://schemas.openxmlformats.org/spreadsheetml/2006/main" r="V460" t="str" s="11">
        <x:v>C:\Users\Nomatin\Documents\Altium\MY_LIB\MY_LIB\Datasheets\YAGEO_RC_L.pdf</x:v>
      </x:c>
      <x:c xmlns:x="http://schemas.openxmlformats.org/spreadsheetml/2006/main" r="W460" t="str" s="11">
        <x:v>Даташит — производитель</x:v>
      </x:c>
      <x:c xmlns:x="http://schemas.openxmlformats.org/spreadsheetml/2006/main" r="X460" t="str" s="11">
        <x:v>https://yageogroup.com/content/datasheet/asset/file/PYU-RC_GROUP_51_ROHS_L</x:v>
      </x:c>
      <x:c xmlns:x="http://schemas.openxmlformats.org/spreadsheetml/2006/main" r="Y460" t="str" s="11">
        <x:v>C:\Users\Nomatin\Documents\Altium\MY_LIB\MY_LIB\Datasheets\YAGEO_RC_L.pdf</x:v>
      </x:c>
    </ns0:row>
    <ns0:row xmlns:ns0="http://schemas.openxmlformats.org/spreadsheetml/2006/main" r="461" ht="30" customHeight="1">
      <ns0:c r="A461" t="str" s="10">
        <ns0:v>R0467</ns0:v>
      </ns0:c>
      <ns0:c r="B461" t="str" s="10">
        <ns0:v>Резистор</ns0:v>
      </ns0:c>
      <ns0:c r="C461" t="str" s="10">
        <ns0:v>8.2R</ns0:v>
      </ns0:c>
      <ns0:c r="D461" t="str" s="11">
        <ns0:f>SUBSTITUTE(SUBSTITUTE(SUBSTITUTE(SUBSTITUTE(C461,"meg"," МОм"),"k"," кОм"),"R"," Ом"),".",",")</ns0:f>
        <ns0:v>8,2 Ом</ns0:v>
      </ns0:c>
      <ns0:c r="E461" t="str" s="10">
        <ns0:v>±1%</ns0:v>
      </ns0:c>
      <ns0:c r="F461" t="str" s="10">
        <ns0:v>0,125 Вт</ns0:v>
      </ns0:c>
      <ns0:c r="G461" t="str" s="10">
        <ns0:v>150 В макс.</ns0:v>
      </ns0:c>
      <ns0:c r="H461" t="str" s="12">
        <ns0:v>0805</ns0:v>
      </ns0:c>
      <ns0:c r="I461" t="str" s="10">
        <ns0:v>YAGEO</ns0:v>
      </ns0:c>
      <ns0:c r="J461" t="str" s="10">
        <ns0:v>RC0805FR-078R2L</ns0:v>
      </ns0:c>
      <ns0:c r="K461" t="str" s="11">
        <ns0:f>B461&amp;" "&amp;D461&amp;" "&amp;E461&amp;" "&amp;H461</ns0:f>
        <ns0:v>Резистор 8,2 Ом ±1% 0805</ns0:v>
      </ns0:c>
      <ns0:c r="L461" t="str" s="13">
        <ns0:v>R</ns0:v>
      </ns0:c>
      <ns0:c r="M461" t="str" s="13">
        <ns0:v>Symbols\MY_LIB_Resistors.SchLib</ns0:v>
      </ns0:c>
      <ns0:c r="N461" t="str" s="13">
        <ns0:v>RESC2012X70N</ns0:v>
      </ns0:c>
      <ns0:c r="O461" t="str" s="13">
        <ns0:v>Footprints\PBL - SMD Packages.PcbLib</ns0:v>
      </ns0:c>
      <ns0:c r="P461" t="str" s="10">
        <ns0:v>RC_L; E24; P при 70 °C; U ≤ min(√(P·R), Umax)</ns0:v>
      </ns0:c>
      <ns0:c r="Q461" s="10"/>
      <ns0:c r="R461" t="str" s="11">
        <ns0:f>D461</ns0:f>
        <ns0:v>8,2 Ом</ns0:v>
      </ns0:c>
      <ns0:c r="S461" t="str" s="11">
        <ns0:f>K461</ns0:f>
        <ns0:v>Резистор 8,2 Ом ±1% 0805</ns0:v>
      </ns0:c>
      <x:c xmlns:x="http://schemas.openxmlformats.org/spreadsheetml/2006/main" r="T461" t="str" s="11">
        <x:v>C:\Users\Nomatin\Documents\Altium\MY_LIB\MY_LIB\Datasheets\YAGEO_RC_L.pdf</x:v>
      </x:c>
      <x:c xmlns:x="http://schemas.openxmlformats.org/spreadsheetml/2006/main" r="U461" t="str" s="11">
        <x:v>Даташит — локальный</x:v>
      </x:c>
      <x:c xmlns:x="http://schemas.openxmlformats.org/spreadsheetml/2006/main" r="V461" t="str" s="11">
        <x:v>C:\Users\Nomatin\Documents\Altium\MY_LIB\MY_LIB\Datasheets\YAGEO_RC_L.pdf</x:v>
      </x:c>
      <x:c xmlns:x="http://schemas.openxmlformats.org/spreadsheetml/2006/main" r="W461" t="str" s="11">
        <x:v>Даташит — производитель</x:v>
      </x:c>
      <x:c xmlns:x="http://schemas.openxmlformats.org/spreadsheetml/2006/main" r="X461" t="str" s="11">
        <x:v>https://yageogroup.com/content/datasheet/asset/file/PYU-RC_GROUP_51_ROHS_L</x:v>
      </x:c>
      <x:c xmlns:x="http://schemas.openxmlformats.org/spreadsheetml/2006/main" r="Y461" t="str" s="11">
        <x:v>C:\Users\Nomatin\Documents\Altium\MY_LIB\MY_LIB\Datasheets\YAGEO_RC_L.pdf</x:v>
      </x:c>
    </ns0:row>
    <ns0:row xmlns:ns0="http://schemas.openxmlformats.org/spreadsheetml/2006/main" r="462" ht="30" customHeight="1">
      <ns0:c r="A462" t="str" s="10">
        <ns0:v>R0468</ns0:v>
      </ns0:c>
      <ns0:c r="B462" t="str" s="10">
        <ns0:v>Резистор</ns0:v>
      </ns0:c>
      <ns0:c r="C462" t="str" s="10">
        <ns0:v>9.1R</ns0:v>
      </ns0:c>
      <ns0:c r="D462" t="str" s="11">
        <ns0:f>SUBSTITUTE(SUBSTITUTE(SUBSTITUTE(SUBSTITUTE(C462,"meg"," МОм"),"k"," кОм"),"R"," Ом"),".",",")</ns0:f>
        <ns0:v>9,1 Ом</ns0:v>
      </ns0:c>
      <ns0:c r="E462" t="str" s="10">
        <ns0:v>±1%</ns0:v>
      </ns0:c>
      <ns0:c r="F462" t="str" s="10">
        <ns0:v>0,125 Вт</ns0:v>
      </ns0:c>
      <ns0:c r="G462" t="str" s="10">
        <ns0:v>150 В макс.</ns0:v>
      </ns0:c>
      <ns0:c r="H462" t="str" s="12">
        <ns0:v>0805</ns0:v>
      </ns0:c>
      <ns0:c r="I462" t="str" s="10">
        <ns0:v>YAGEO</ns0:v>
      </ns0:c>
      <ns0:c r="J462" t="str" s="10">
        <ns0:v>RC0805FR-079R1L</ns0:v>
      </ns0:c>
      <ns0:c r="K462" t="str" s="11">
        <ns0:f>B462&amp;" "&amp;D462&amp;" "&amp;E462&amp;" "&amp;H462</ns0:f>
        <ns0:v>Резистор 9,1 Ом ±1% 0805</ns0:v>
      </ns0:c>
      <ns0:c r="L462" t="str" s="13">
        <ns0:v>R</ns0:v>
      </ns0:c>
      <ns0:c r="M462" t="str" s="13">
        <ns0:v>Symbols\MY_LIB_Resistors.SchLib</ns0:v>
      </ns0:c>
      <ns0:c r="N462" t="str" s="13">
        <ns0:v>RESC2012X70N</ns0:v>
      </ns0:c>
      <ns0:c r="O462" t="str" s="13">
        <ns0:v>Footprints\PBL - SMD Packages.PcbLib</ns0:v>
      </ns0:c>
      <ns0:c r="P462" t="str" s="10">
        <ns0:v>RC_L; E24; P при 70 °C; U ≤ min(√(P·R), Umax)</ns0:v>
      </ns0:c>
      <ns0:c r="Q462" s="10"/>
      <ns0:c r="R462" t="str" s="11">
        <ns0:f>D462</ns0:f>
        <ns0:v>9,1 Ом</ns0:v>
      </ns0:c>
      <ns0:c r="S462" t="str" s="11">
        <ns0:f>K462</ns0:f>
        <ns0:v>Резистор 9,1 Ом ±1% 0805</ns0:v>
      </ns0:c>
      <x:c xmlns:x="http://schemas.openxmlformats.org/spreadsheetml/2006/main" r="T462" t="str" s="11">
        <x:v>C:\Users\Nomatin\Documents\Altium\MY_LIB\MY_LIB\Datasheets\YAGEO_RC_L.pdf</x:v>
      </x:c>
      <x:c xmlns:x="http://schemas.openxmlformats.org/spreadsheetml/2006/main" r="U462" t="str" s="11">
        <x:v>Даташит — локальный</x:v>
      </x:c>
      <x:c xmlns:x="http://schemas.openxmlformats.org/spreadsheetml/2006/main" r="V462" t="str" s="11">
        <x:v>C:\Users\Nomatin\Documents\Altium\MY_LIB\MY_LIB\Datasheets\YAGEO_RC_L.pdf</x:v>
      </x:c>
      <x:c xmlns:x="http://schemas.openxmlformats.org/spreadsheetml/2006/main" r="W462" t="str" s="11">
        <x:v>Даташит — производитель</x:v>
      </x:c>
      <x:c xmlns:x="http://schemas.openxmlformats.org/spreadsheetml/2006/main" r="X462" t="str" s="11">
        <x:v>https://yageogroup.com/content/datasheet/asset/file/PYU-RC_GROUP_51_ROHS_L</x:v>
      </x:c>
      <x:c xmlns:x="http://schemas.openxmlformats.org/spreadsheetml/2006/main" r="Y462" t="str" s="11">
        <x:v>C:\Users\Nomatin\Documents\Altium\MY_LIB\MY_LIB\Datasheets\YAGEO_RC_L.pdf</x:v>
      </x:c>
    </ns0:row>
    <ns0:row xmlns:ns0="http://schemas.openxmlformats.org/spreadsheetml/2006/main" r="463" ht="30" customHeight="1">
      <ns0:c r="A463" t="str" s="10">
        <ns0:v>R0469</ns0:v>
      </ns0:c>
      <ns0:c r="B463" t="str" s="10">
        <ns0:v>Резистор</ns0:v>
      </ns0:c>
      <ns0:c r="C463" t="str" s="10">
        <ns0:v>10R</ns0:v>
      </ns0:c>
      <ns0:c r="D463" t="str" s="11">
        <ns0:f>SUBSTITUTE(SUBSTITUTE(SUBSTITUTE(SUBSTITUTE(C463,"meg"," МОм"),"k"," кОм"),"R"," Ом"),".",",")</ns0:f>
        <ns0:v>10 Ом</ns0:v>
      </ns0:c>
      <ns0:c r="E463" t="str" s="10">
        <ns0:v>±1%</ns0:v>
      </ns0:c>
      <ns0:c r="F463" t="str" s="10">
        <ns0:v>0,125 Вт</ns0:v>
      </ns0:c>
      <ns0:c r="G463" t="str" s="10">
        <ns0:v>150 В макс.</ns0:v>
      </ns0:c>
      <ns0:c r="H463" t="str" s="12">
        <ns0:v>0805</ns0:v>
      </ns0:c>
      <ns0:c r="I463" t="str" s="10">
        <ns0:v>YAGEO</ns0:v>
      </ns0:c>
      <ns0:c r="J463" t="str" s="10">
        <ns0:v>RC0805FR-0710RL</ns0:v>
      </ns0:c>
      <ns0:c r="K463" t="str" s="11">
        <ns0:f>B463&amp;" "&amp;D463&amp;" "&amp;E463&amp;" "&amp;H463</ns0:f>
        <ns0:v>Резистор 10 Ом ±1% 0805</ns0:v>
      </ns0:c>
      <ns0:c r="L463" t="str" s="13">
        <ns0:v>R</ns0:v>
      </ns0:c>
      <ns0:c r="M463" t="str" s="13">
        <ns0:v>Symbols\MY_LIB_Resistors.SchLib</ns0:v>
      </ns0:c>
      <ns0:c r="N463" t="str" s="13">
        <ns0:v>RESC2012X70N</ns0:v>
      </ns0:c>
      <ns0:c r="O463" t="str" s="13">
        <ns0:v>Footprints\PBL - SMD Packages.PcbLib</ns0:v>
      </ns0:c>
      <ns0:c r="P463" t="str" s="10">
        <ns0:v>RC_L; E24; P при 70 °C; U ≤ min(√(P·R), Umax)</ns0:v>
      </ns0:c>
      <ns0:c r="Q463" s="10"/>
      <ns0:c r="R463" t="str" s="11">
        <ns0:f>D463</ns0:f>
        <ns0:v>10 Ом</ns0:v>
      </ns0:c>
      <ns0:c r="S463" t="str" s="11">
        <ns0:f>K463</ns0:f>
        <ns0:v>Резистор 10 Ом ±1% 0805</ns0:v>
      </ns0:c>
      <x:c xmlns:x="http://schemas.openxmlformats.org/spreadsheetml/2006/main" r="T463" t="str" s="11">
        <x:v>C:\Users\Nomatin\Documents\Altium\MY_LIB\MY_LIB\Datasheets\YAGEO_RC_L.pdf</x:v>
      </x:c>
      <x:c xmlns:x="http://schemas.openxmlformats.org/spreadsheetml/2006/main" r="U463" t="str" s="11">
        <x:v>Даташит — локальный</x:v>
      </x:c>
      <x:c xmlns:x="http://schemas.openxmlformats.org/spreadsheetml/2006/main" r="V463" t="str" s="11">
        <x:v>C:\Users\Nomatin\Documents\Altium\MY_LIB\MY_LIB\Datasheets\YAGEO_RC_L.pdf</x:v>
      </x:c>
      <x:c xmlns:x="http://schemas.openxmlformats.org/spreadsheetml/2006/main" r="W463" t="str" s="11">
        <x:v>Даташит — производитель</x:v>
      </x:c>
      <x:c xmlns:x="http://schemas.openxmlformats.org/spreadsheetml/2006/main" r="X463" t="str" s="11">
        <x:v>https://yageogroup.com/content/datasheet/asset/file/PYU-RC_GROUP_51_ROHS_L</x:v>
      </x:c>
      <x:c xmlns:x="http://schemas.openxmlformats.org/spreadsheetml/2006/main" r="Y463" t="str" s="11">
        <x:v>C:\Users\Nomatin\Documents\Altium\MY_LIB\MY_LIB\Datasheets\YAGEO_RC_L.pdf</x:v>
      </x:c>
    </ns0:row>
    <ns0:row xmlns:ns0="http://schemas.openxmlformats.org/spreadsheetml/2006/main" r="464" ht="30" customHeight="1">
      <ns0:c r="A464" t="str" s="10">
        <ns0:v>R0470</ns0:v>
      </ns0:c>
      <ns0:c r="B464" t="str" s="10">
        <ns0:v>Резистор</ns0:v>
      </ns0:c>
      <ns0:c r="C464" t="str" s="10">
        <ns0:v>11R</ns0:v>
      </ns0:c>
      <ns0:c r="D464" t="str" s="11">
        <ns0:f>SUBSTITUTE(SUBSTITUTE(SUBSTITUTE(SUBSTITUTE(C464,"meg"," МОм"),"k"," кОм"),"R"," Ом"),".",",")</ns0:f>
        <ns0:v>11 Ом</ns0:v>
      </ns0:c>
      <ns0:c r="E464" t="str" s="10">
        <ns0:v>±1%</ns0:v>
      </ns0:c>
      <ns0:c r="F464" t="str" s="10">
        <ns0:v>0,125 Вт</ns0:v>
      </ns0:c>
      <ns0:c r="G464" t="str" s="10">
        <ns0:v>150 В макс.</ns0:v>
      </ns0:c>
      <ns0:c r="H464" t="str" s="12">
        <ns0:v>0805</ns0:v>
      </ns0:c>
      <ns0:c r="I464" t="str" s="10">
        <ns0:v>YAGEO</ns0:v>
      </ns0:c>
      <ns0:c r="J464" t="str" s="10">
        <ns0:v>RC0805FR-0711RL</ns0:v>
      </ns0:c>
      <ns0:c r="K464" t="str" s="11">
        <ns0:f>B464&amp;" "&amp;D464&amp;" "&amp;E464&amp;" "&amp;H464</ns0:f>
        <ns0:v>Резистор 11 Ом ±1% 0805</ns0:v>
      </ns0:c>
      <ns0:c r="L464" t="str" s="13">
        <ns0:v>R</ns0:v>
      </ns0:c>
      <ns0:c r="M464" t="str" s="13">
        <ns0:v>Symbols\MY_LIB_Resistors.SchLib</ns0:v>
      </ns0:c>
      <ns0:c r="N464" t="str" s="13">
        <ns0:v>RESC2012X70N</ns0:v>
      </ns0:c>
      <ns0:c r="O464" t="str" s="13">
        <ns0:v>Footprints\PBL - SMD Packages.PcbLib</ns0:v>
      </ns0:c>
      <ns0:c r="P464" t="str" s="10">
        <ns0:v>RC_L; E24; P при 70 °C; U ≤ min(√(P·R), Umax)</ns0:v>
      </ns0:c>
      <ns0:c r="Q464" s="10"/>
      <ns0:c r="R464" t="str" s="11">
        <ns0:f>D464</ns0:f>
        <ns0:v>11 Ом</ns0:v>
      </ns0:c>
      <ns0:c r="S464" t="str" s="11">
        <ns0:f>K464</ns0:f>
        <ns0:v>Резистор 11 Ом ±1% 0805</ns0:v>
      </ns0:c>
      <x:c xmlns:x="http://schemas.openxmlformats.org/spreadsheetml/2006/main" r="T464" t="str" s="11">
        <x:v>C:\Users\Nomatin\Documents\Altium\MY_LIB\MY_LIB\Datasheets\YAGEO_RC_L.pdf</x:v>
      </x:c>
      <x:c xmlns:x="http://schemas.openxmlformats.org/spreadsheetml/2006/main" r="U464" t="str" s="11">
        <x:v>Даташит — локальный</x:v>
      </x:c>
      <x:c xmlns:x="http://schemas.openxmlformats.org/spreadsheetml/2006/main" r="V464" t="str" s="11">
        <x:v>C:\Users\Nomatin\Documents\Altium\MY_LIB\MY_LIB\Datasheets\YAGEO_RC_L.pdf</x:v>
      </x:c>
      <x:c xmlns:x="http://schemas.openxmlformats.org/spreadsheetml/2006/main" r="W464" t="str" s="11">
        <x:v>Даташит — производитель</x:v>
      </x:c>
      <x:c xmlns:x="http://schemas.openxmlformats.org/spreadsheetml/2006/main" r="X464" t="str" s="11">
        <x:v>https://yageogroup.com/content/datasheet/asset/file/PYU-RC_GROUP_51_ROHS_L</x:v>
      </x:c>
      <x:c xmlns:x="http://schemas.openxmlformats.org/spreadsheetml/2006/main" r="Y464" t="str" s="11">
        <x:v>C:\Users\Nomatin\Documents\Altium\MY_LIB\MY_LIB\Datasheets\YAGEO_RC_L.pdf</x:v>
      </x:c>
    </ns0:row>
    <ns0:row xmlns:ns0="http://schemas.openxmlformats.org/spreadsheetml/2006/main" r="465" ht="30" customHeight="1">
      <ns0:c r="A465" t="str" s="10">
        <ns0:v>R0471</ns0:v>
      </ns0:c>
      <ns0:c r="B465" t="str" s="10">
        <ns0:v>Резистор</ns0:v>
      </ns0:c>
      <ns0:c r="C465" t="str" s="10">
        <ns0:v>12R</ns0:v>
      </ns0:c>
      <ns0:c r="D465" t="str" s="11">
        <ns0:f>SUBSTITUTE(SUBSTITUTE(SUBSTITUTE(SUBSTITUTE(C465,"meg"," МОм"),"k"," кОм"),"R"," Ом"),".",",")</ns0:f>
        <ns0:v>12 Ом</ns0:v>
      </ns0:c>
      <ns0:c r="E465" t="str" s="10">
        <ns0:v>±1%</ns0:v>
      </ns0:c>
      <ns0:c r="F465" t="str" s="10">
        <ns0:v>0,125 Вт</ns0:v>
      </ns0:c>
      <ns0:c r="G465" t="str" s="10">
        <ns0:v>150 В макс.</ns0:v>
      </ns0:c>
      <ns0:c r="H465" t="str" s="12">
        <ns0:v>0805</ns0:v>
      </ns0:c>
      <ns0:c r="I465" t="str" s="10">
        <ns0:v>YAGEO</ns0:v>
      </ns0:c>
      <ns0:c r="J465" t="str" s="10">
        <ns0:v>RC0805FR-0712RL</ns0:v>
      </ns0:c>
      <ns0:c r="K465" t="str" s="11">
        <ns0:f>B465&amp;" "&amp;D465&amp;" "&amp;E465&amp;" "&amp;H465</ns0:f>
        <ns0:v>Резистор 12 Ом ±1% 0805</ns0:v>
      </ns0:c>
      <ns0:c r="L465" t="str" s="13">
        <ns0:v>R</ns0:v>
      </ns0:c>
      <ns0:c r="M465" t="str" s="13">
        <ns0:v>Symbols\MY_LIB_Resistors.SchLib</ns0:v>
      </ns0:c>
      <ns0:c r="N465" t="str" s="13">
        <ns0:v>RESC2012X70N</ns0:v>
      </ns0:c>
      <ns0:c r="O465" t="str" s="13">
        <ns0:v>Footprints\PBL - SMD Packages.PcbLib</ns0:v>
      </ns0:c>
      <ns0:c r="P465" t="str" s="10">
        <ns0:v>RC_L; E24; P при 70 °C; U ≤ min(√(P·R), Umax)</ns0:v>
      </ns0:c>
      <ns0:c r="Q465" s="10"/>
      <ns0:c r="R465" t="str" s="11">
        <ns0:f>D465</ns0:f>
        <ns0:v>12 Ом</ns0:v>
      </ns0:c>
      <ns0:c r="S465" t="str" s="11">
        <ns0:f>K465</ns0:f>
        <ns0:v>Резистор 12 Ом ±1% 0805</ns0:v>
      </ns0:c>
      <x:c xmlns:x="http://schemas.openxmlformats.org/spreadsheetml/2006/main" r="T465" t="str" s="11">
        <x:v>C:\Users\Nomatin\Documents\Altium\MY_LIB\MY_LIB\Datasheets\YAGEO_RC_L.pdf</x:v>
      </x:c>
      <x:c xmlns:x="http://schemas.openxmlformats.org/spreadsheetml/2006/main" r="U465" t="str" s="11">
        <x:v>Даташит — локальный</x:v>
      </x:c>
      <x:c xmlns:x="http://schemas.openxmlformats.org/spreadsheetml/2006/main" r="V465" t="str" s="11">
        <x:v>C:\Users\Nomatin\Documents\Altium\MY_LIB\MY_LIB\Datasheets\YAGEO_RC_L.pdf</x:v>
      </x:c>
      <x:c xmlns:x="http://schemas.openxmlformats.org/spreadsheetml/2006/main" r="W465" t="str" s="11">
        <x:v>Даташит — производитель</x:v>
      </x:c>
      <x:c xmlns:x="http://schemas.openxmlformats.org/spreadsheetml/2006/main" r="X465" t="str" s="11">
        <x:v>https://yageogroup.com/content/datasheet/asset/file/PYU-RC_GROUP_51_ROHS_L</x:v>
      </x:c>
      <x:c xmlns:x="http://schemas.openxmlformats.org/spreadsheetml/2006/main" r="Y465" t="str" s="11">
        <x:v>C:\Users\Nomatin\Documents\Altium\MY_LIB\MY_LIB\Datasheets\YAGEO_RC_L.pdf</x:v>
      </x:c>
    </ns0:row>
    <ns0:row xmlns:ns0="http://schemas.openxmlformats.org/spreadsheetml/2006/main" r="466" ht="30" customHeight="1">
      <ns0:c r="A466" t="str" s="10">
        <ns0:v>R0472</ns0:v>
      </ns0:c>
      <ns0:c r="B466" t="str" s="10">
        <ns0:v>Резистор</ns0:v>
      </ns0:c>
      <ns0:c r="C466" t="str" s="10">
        <ns0:v>13R</ns0:v>
      </ns0:c>
      <ns0:c r="D466" t="str" s="11">
        <ns0:f>SUBSTITUTE(SUBSTITUTE(SUBSTITUTE(SUBSTITUTE(C466,"meg"," МОм"),"k"," кОм"),"R"," Ом"),".",",")</ns0:f>
        <ns0:v>13 Ом</ns0:v>
      </ns0:c>
      <ns0:c r="E466" t="str" s="10">
        <ns0:v>±1%</ns0:v>
      </ns0:c>
      <ns0:c r="F466" t="str" s="10">
        <ns0:v>0,125 Вт</ns0:v>
      </ns0:c>
      <ns0:c r="G466" t="str" s="10">
        <ns0:v>150 В макс.</ns0:v>
      </ns0:c>
      <ns0:c r="H466" t="str" s="12">
        <ns0:v>0805</ns0:v>
      </ns0:c>
      <ns0:c r="I466" t="str" s="10">
        <ns0:v>YAGEO</ns0:v>
      </ns0:c>
      <ns0:c r="J466" t="str" s="10">
        <ns0:v>RC0805FR-0713RL</ns0:v>
      </ns0:c>
      <ns0:c r="K466" t="str" s="11">
        <ns0:f>B466&amp;" "&amp;D466&amp;" "&amp;E466&amp;" "&amp;H466</ns0:f>
        <ns0:v>Резистор 13 Ом ±1% 0805</ns0:v>
      </ns0:c>
      <ns0:c r="L466" t="str" s="13">
        <ns0:v>R</ns0:v>
      </ns0:c>
      <ns0:c r="M466" t="str" s="13">
        <ns0:v>Symbols\MY_LIB_Resistors.SchLib</ns0:v>
      </ns0:c>
      <ns0:c r="N466" t="str" s="13">
        <ns0:v>RESC2012X70N</ns0:v>
      </ns0:c>
      <ns0:c r="O466" t="str" s="13">
        <ns0:v>Footprints\PBL - SMD Packages.PcbLib</ns0:v>
      </ns0:c>
      <ns0:c r="P466" t="str" s="10">
        <ns0:v>RC_L; E24; P при 70 °C; U ≤ min(√(P·R), Umax)</ns0:v>
      </ns0:c>
      <ns0:c r="Q466" s="10"/>
      <ns0:c r="R466" t="str" s="11">
        <ns0:f>D466</ns0:f>
        <ns0:v>13 Ом</ns0:v>
      </ns0:c>
      <ns0:c r="S466" t="str" s="11">
        <ns0:f>K466</ns0:f>
        <ns0:v>Резистор 13 Ом ±1% 0805</ns0:v>
      </ns0:c>
      <x:c xmlns:x="http://schemas.openxmlformats.org/spreadsheetml/2006/main" r="T466" t="str" s="11">
        <x:v>C:\Users\Nomatin\Documents\Altium\MY_LIB\MY_LIB\Datasheets\YAGEO_RC_L.pdf</x:v>
      </x:c>
      <x:c xmlns:x="http://schemas.openxmlformats.org/spreadsheetml/2006/main" r="U466" t="str" s="11">
        <x:v>Даташит — локальный</x:v>
      </x:c>
      <x:c xmlns:x="http://schemas.openxmlformats.org/spreadsheetml/2006/main" r="V466" t="str" s="11">
        <x:v>C:\Users\Nomatin\Documents\Altium\MY_LIB\MY_LIB\Datasheets\YAGEO_RC_L.pdf</x:v>
      </x:c>
      <x:c xmlns:x="http://schemas.openxmlformats.org/spreadsheetml/2006/main" r="W466" t="str" s="11">
        <x:v>Даташит — производитель</x:v>
      </x:c>
      <x:c xmlns:x="http://schemas.openxmlformats.org/spreadsheetml/2006/main" r="X466" t="str" s="11">
        <x:v>https://yageogroup.com/content/datasheet/asset/file/PYU-RC_GROUP_51_ROHS_L</x:v>
      </x:c>
      <x:c xmlns:x="http://schemas.openxmlformats.org/spreadsheetml/2006/main" r="Y466" t="str" s="11">
        <x:v>C:\Users\Nomatin\Documents\Altium\MY_LIB\MY_LIB\Datasheets\YAGEO_RC_L.pdf</x:v>
      </x:c>
    </ns0:row>
    <ns0:row xmlns:ns0="http://schemas.openxmlformats.org/spreadsheetml/2006/main" r="467" ht="30" customHeight="1">
      <ns0:c r="A467" t="str" s="10">
        <ns0:v>R0473</ns0:v>
      </ns0:c>
      <ns0:c r="B467" t="str" s="10">
        <ns0:v>Резистор</ns0:v>
      </ns0:c>
      <ns0:c r="C467" t="str" s="10">
        <ns0:v>15R</ns0:v>
      </ns0:c>
      <ns0:c r="D467" t="str" s="11">
        <ns0:f>SUBSTITUTE(SUBSTITUTE(SUBSTITUTE(SUBSTITUTE(C467,"meg"," МОм"),"k"," кОм"),"R"," Ом"),".",",")</ns0:f>
        <ns0:v>15 Ом</ns0:v>
      </ns0:c>
      <ns0:c r="E467" t="str" s="10">
        <ns0:v>±1%</ns0:v>
      </ns0:c>
      <ns0:c r="F467" t="str" s="10">
        <ns0:v>0,125 Вт</ns0:v>
      </ns0:c>
      <ns0:c r="G467" t="str" s="10">
        <ns0:v>150 В макс.</ns0:v>
      </ns0:c>
      <ns0:c r="H467" t="str" s="12">
        <ns0:v>0805</ns0:v>
      </ns0:c>
      <ns0:c r="I467" t="str" s="10">
        <ns0:v>YAGEO</ns0:v>
      </ns0:c>
      <ns0:c r="J467" t="str" s="10">
        <ns0:v>RC0805FR-0715RL</ns0:v>
      </ns0:c>
      <ns0:c r="K467" t="str" s="11">
        <ns0:f>B467&amp;" "&amp;D467&amp;" "&amp;E467&amp;" "&amp;H467</ns0:f>
        <ns0:v>Резистор 15 Ом ±1% 0805</ns0:v>
      </ns0:c>
      <ns0:c r="L467" t="str" s="13">
        <ns0:v>R</ns0:v>
      </ns0:c>
      <ns0:c r="M467" t="str" s="13">
        <ns0:v>Symbols\MY_LIB_Resistors.SchLib</ns0:v>
      </ns0:c>
      <ns0:c r="N467" t="str" s="13">
        <ns0:v>RESC2012X70N</ns0:v>
      </ns0:c>
      <ns0:c r="O467" t="str" s="13">
        <ns0:v>Footprints\PBL - SMD Packages.PcbLib</ns0:v>
      </ns0:c>
      <ns0:c r="P467" t="str" s="10">
        <ns0:v>RC_L; E24; P при 70 °C; U ≤ min(√(P·R), Umax)</ns0:v>
      </ns0:c>
      <ns0:c r="Q467" s="10"/>
      <ns0:c r="R467" t="str" s="11">
        <ns0:f>D467</ns0:f>
        <ns0:v>15 Ом</ns0:v>
      </ns0:c>
      <ns0:c r="S467" t="str" s="11">
        <ns0:f>K467</ns0:f>
        <ns0:v>Резистор 15 Ом ±1% 0805</ns0:v>
      </ns0:c>
      <x:c xmlns:x="http://schemas.openxmlformats.org/spreadsheetml/2006/main" r="T467" t="str" s="11">
        <x:v>C:\Users\Nomatin\Documents\Altium\MY_LIB\MY_LIB\Datasheets\YAGEO_RC_L.pdf</x:v>
      </x:c>
      <x:c xmlns:x="http://schemas.openxmlformats.org/spreadsheetml/2006/main" r="U467" t="str" s="11">
        <x:v>Даташит — локальный</x:v>
      </x:c>
      <x:c xmlns:x="http://schemas.openxmlformats.org/spreadsheetml/2006/main" r="V467" t="str" s="11">
        <x:v>C:\Users\Nomatin\Documents\Altium\MY_LIB\MY_LIB\Datasheets\YAGEO_RC_L.pdf</x:v>
      </x:c>
      <x:c xmlns:x="http://schemas.openxmlformats.org/spreadsheetml/2006/main" r="W467" t="str" s="11">
        <x:v>Даташит — производитель</x:v>
      </x:c>
      <x:c xmlns:x="http://schemas.openxmlformats.org/spreadsheetml/2006/main" r="X467" t="str" s="11">
        <x:v>https://yageogroup.com/content/datasheet/asset/file/PYU-RC_GROUP_51_ROHS_L</x:v>
      </x:c>
      <x:c xmlns:x="http://schemas.openxmlformats.org/spreadsheetml/2006/main" r="Y467" t="str" s="11">
        <x:v>C:\Users\Nomatin\Documents\Altium\MY_LIB\MY_LIB\Datasheets\YAGEO_RC_L.pdf</x:v>
      </x:c>
    </ns0:row>
    <ns0:row xmlns:ns0="http://schemas.openxmlformats.org/spreadsheetml/2006/main" r="468" ht="30" customHeight="1">
      <ns0:c r="A468" t="str" s="10">
        <ns0:v>R0474</ns0:v>
      </ns0:c>
      <ns0:c r="B468" t="str" s="10">
        <ns0:v>Резистор</ns0:v>
      </ns0:c>
      <ns0:c r="C468" t="str" s="10">
        <ns0:v>16R</ns0:v>
      </ns0:c>
      <ns0:c r="D468" t="str" s="11">
        <ns0:f>SUBSTITUTE(SUBSTITUTE(SUBSTITUTE(SUBSTITUTE(C468,"meg"," МОм"),"k"," кОм"),"R"," Ом"),".",",")</ns0:f>
        <ns0:v>16 Ом</ns0:v>
      </ns0:c>
      <ns0:c r="E468" t="str" s="10">
        <ns0:v>±1%</ns0:v>
      </ns0:c>
      <ns0:c r="F468" t="str" s="10">
        <ns0:v>0,125 Вт</ns0:v>
      </ns0:c>
      <ns0:c r="G468" t="str" s="10">
        <ns0:v>150 В макс.</ns0:v>
      </ns0:c>
      <ns0:c r="H468" t="str" s="12">
        <ns0:v>0805</ns0:v>
      </ns0:c>
      <ns0:c r="I468" t="str" s="10">
        <ns0:v>YAGEO</ns0:v>
      </ns0:c>
      <ns0:c r="J468" t="str" s="10">
        <ns0:v>RC0805FR-0716RL</ns0:v>
      </ns0:c>
      <ns0:c r="K468" t="str" s="11">
        <ns0:f>B468&amp;" "&amp;D468&amp;" "&amp;E468&amp;" "&amp;H468</ns0:f>
        <ns0:v>Резистор 16 Ом ±1% 0805</ns0:v>
      </ns0:c>
      <ns0:c r="L468" t="str" s="13">
        <ns0:v>R</ns0:v>
      </ns0:c>
      <ns0:c r="M468" t="str" s="13">
        <ns0:v>Symbols\MY_LIB_Resistors.SchLib</ns0:v>
      </ns0:c>
      <ns0:c r="N468" t="str" s="13">
        <ns0:v>RESC2012X70N</ns0:v>
      </ns0:c>
      <ns0:c r="O468" t="str" s="13">
        <ns0:v>Footprints\PBL - SMD Packages.PcbLib</ns0:v>
      </ns0:c>
      <ns0:c r="P468" t="str" s="10">
        <ns0:v>RC_L; E24; P при 70 °C; U ≤ min(√(P·R), Umax)</ns0:v>
      </ns0:c>
      <ns0:c r="Q468" s="10"/>
      <ns0:c r="R468" t="str" s="11">
        <ns0:f>D468</ns0:f>
        <ns0:v>16 Ом</ns0:v>
      </ns0:c>
      <ns0:c r="S468" t="str" s="11">
        <ns0:f>K468</ns0:f>
        <ns0:v>Резистор 16 Ом ±1% 0805</ns0:v>
      </ns0:c>
      <x:c xmlns:x="http://schemas.openxmlformats.org/spreadsheetml/2006/main" r="T468" t="str" s="11">
        <x:v>C:\Users\Nomatin\Documents\Altium\MY_LIB\MY_LIB\Datasheets\YAGEO_RC_L.pdf</x:v>
      </x:c>
      <x:c xmlns:x="http://schemas.openxmlformats.org/spreadsheetml/2006/main" r="U468" t="str" s="11">
        <x:v>Даташит — локальный</x:v>
      </x:c>
      <x:c xmlns:x="http://schemas.openxmlformats.org/spreadsheetml/2006/main" r="V468" t="str" s="11">
        <x:v>C:\Users\Nomatin\Documents\Altium\MY_LIB\MY_LIB\Datasheets\YAGEO_RC_L.pdf</x:v>
      </x:c>
      <x:c xmlns:x="http://schemas.openxmlformats.org/spreadsheetml/2006/main" r="W468" t="str" s="11">
        <x:v>Даташит — производитель</x:v>
      </x:c>
      <x:c xmlns:x="http://schemas.openxmlformats.org/spreadsheetml/2006/main" r="X468" t="str" s="11">
        <x:v>https://yageogroup.com/content/datasheet/asset/file/PYU-RC_GROUP_51_ROHS_L</x:v>
      </x:c>
      <x:c xmlns:x="http://schemas.openxmlformats.org/spreadsheetml/2006/main" r="Y468" t="str" s="11">
        <x:v>C:\Users\Nomatin\Documents\Altium\MY_LIB\MY_LIB\Datasheets\YAGEO_RC_L.pdf</x:v>
      </x:c>
    </ns0:row>
    <ns0:row xmlns:ns0="http://schemas.openxmlformats.org/spreadsheetml/2006/main" r="469" ht="30" customHeight="1">
      <ns0:c r="A469" t="str" s="10">
        <ns0:v>R0475</ns0:v>
      </ns0:c>
      <ns0:c r="B469" t="str" s="10">
        <ns0:v>Резистор</ns0:v>
      </ns0:c>
      <ns0:c r="C469" t="str" s="10">
        <ns0:v>18R</ns0:v>
      </ns0:c>
      <ns0:c r="D469" t="str" s="11">
        <ns0:f>SUBSTITUTE(SUBSTITUTE(SUBSTITUTE(SUBSTITUTE(C469,"meg"," МОм"),"k"," кОм"),"R"," Ом"),".",",")</ns0:f>
        <ns0:v>18 Ом</ns0:v>
      </ns0:c>
      <ns0:c r="E469" t="str" s="10">
        <ns0:v>±1%</ns0:v>
      </ns0:c>
      <ns0:c r="F469" t="str" s="10">
        <ns0:v>0,125 Вт</ns0:v>
      </ns0:c>
      <ns0:c r="G469" t="str" s="10">
        <ns0:v>150 В макс.</ns0:v>
      </ns0:c>
      <ns0:c r="H469" t="str" s="12">
        <ns0:v>0805</ns0:v>
      </ns0:c>
      <ns0:c r="I469" t="str" s="10">
        <ns0:v>YAGEO</ns0:v>
      </ns0:c>
      <ns0:c r="J469" t="str" s="10">
        <ns0:v>RC0805FR-0718RL</ns0:v>
      </ns0:c>
      <ns0:c r="K469" t="str" s="11">
        <ns0:f>B469&amp;" "&amp;D469&amp;" "&amp;E469&amp;" "&amp;H469</ns0:f>
        <ns0:v>Резистор 18 Ом ±1% 0805</ns0:v>
      </ns0:c>
      <ns0:c r="L469" t="str" s="13">
        <ns0:v>R</ns0:v>
      </ns0:c>
      <ns0:c r="M469" t="str" s="13">
        <ns0:v>Symbols\MY_LIB_Resistors.SchLib</ns0:v>
      </ns0:c>
      <ns0:c r="N469" t="str" s="13">
        <ns0:v>RESC2012X70N</ns0:v>
      </ns0:c>
      <ns0:c r="O469" t="str" s="13">
        <ns0:v>Footprints\PBL - SMD Packages.PcbLib</ns0:v>
      </ns0:c>
      <ns0:c r="P469" t="str" s="10">
        <ns0:v>RC_L; E24; P при 70 °C; U ≤ min(√(P·R), Umax)</ns0:v>
      </ns0:c>
      <ns0:c r="Q469" s="10"/>
      <ns0:c r="R469" t="str" s="11">
        <ns0:f>D469</ns0:f>
        <ns0:v>18 Ом</ns0:v>
      </ns0:c>
      <ns0:c r="S469" t="str" s="11">
        <ns0:f>K469</ns0:f>
        <ns0:v>Резистор 18 Ом ±1% 0805</ns0:v>
      </ns0:c>
      <x:c xmlns:x="http://schemas.openxmlformats.org/spreadsheetml/2006/main" r="T469" t="str" s="11">
        <x:v>C:\Users\Nomatin\Documents\Altium\MY_LIB\MY_LIB\Datasheets\YAGEO_RC_L.pdf</x:v>
      </x:c>
      <x:c xmlns:x="http://schemas.openxmlformats.org/spreadsheetml/2006/main" r="U469" t="str" s="11">
        <x:v>Даташит — локальный</x:v>
      </x:c>
      <x:c xmlns:x="http://schemas.openxmlformats.org/spreadsheetml/2006/main" r="V469" t="str" s="11">
        <x:v>C:\Users\Nomatin\Documents\Altium\MY_LIB\MY_LIB\Datasheets\YAGEO_RC_L.pdf</x:v>
      </x:c>
      <x:c xmlns:x="http://schemas.openxmlformats.org/spreadsheetml/2006/main" r="W469" t="str" s="11">
        <x:v>Даташит — производитель</x:v>
      </x:c>
      <x:c xmlns:x="http://schemas.openxmlformats.org/spreadsheetml/2006/main" r="X469" t="str" s="11">
        <x:v>https://yageogroup.com/content/datasheet/asset/file/PYU-RC_GROUP_51_ROHS_L</x:v>
      </x:c>
      <x:c xmlns:x="http://schemas.openxmlformats.org/spreadsheetml/2006/main" r="Y469" t="str" s="11">
        <x:v>C:\Users\Nomatin\Documents\Altium\MY_LIB\MY_LIB\Datasheets\YAGEO_RC_L.pdf</x:v>
      </x:c>
    </ns0:row>
    <ns0:row xmlns:ns0="http://schemas.openxmlformats.org/spreadsheetml/2006/main" r="470" ht="30" customHeight="1">
      <ns0:c r="A470" t="str" s="10">
        <ns0:v>R0476</ns0:v>
      </ns0:c>
      <ns0:c r="B470" t="str" s="10">
        <ns0:v>Резистор</ns0:v>
      </ns0:c>
      <ns0:c r="C470" t="str" s="10">
        <ns0:v>20R</ns0:v>
      </ns0:c>
      <ns0:c r="D470" t="str" s="11">
        <ns0:f>SUBSTITUTE(SUBSTITUTE(SUBSTITUTE(SUBSTITUTE(C470,"meg"," МОм"),"k"," кОм"),"R"," Ом"),".",",")</ns0:f>
        <ns0:v>20 Ом</ns0:v>
      </ns0:c>
      <ns0:c r="E470" t="str" s="10">
        <ns0:v>±1%</ns0:v>
      </ns0:c>
      <ns0:c r="F470" t="str" s="10">
        <ns0:v>0,125 Вт</ns0:v>
      </ns0:c>
      <ns0:c r="G470" t="str" s="10">
        <ns0:v>150 В макс.</ns0:v>
      </ns0:c>
      <ns0:c r="H470" t="str" s="12">
        <ns0:v>0805</ns0:v>
      </ns0:c>
      <ns0:c r="I470" t="str" s="10">
        <ns0:v>YAGEO</ns0:v>
      </ns0:c>
      <ns0:c r="J470" t="str" s="10">
        <ns0:v>RC0805FR-0720RL</ns0:v>
      </ns0:c>
      <ns0:c r="K470" t="str" s="11">
        <ns0:f>B470&amp;" "&amp;D470&amp;" "&amp;E470&amp;" "&amp;H470</ns0:f>
        <ns0:v>Резистор 20 Ом ±1% 0805</ns0:v>
      </ns0:c>
      <ns0:c r="L470" t="str" s="13">
        <ns0:v>R</ns0:v>
      </ns0:c>
      <ns0:c r="M470" t="str" s="13">
        <ns0:v>Symbols\MY_LIB_Resistors.SchLib</ns0:v>
      </ns0:c>
      <ns0:c r="N470" t="str" s="13">
        <ns0:v>RESC2012X70N</ns0:v>
      </ns0:c>
      <ns0:c r="O470" t="str" s="13">
        <ns0:v>Footprints\PBL - SMD Packages.PcbLib</ns0:v>
      </ns0:c>
      <ns0:c r="P470" t="str" s="10">
        <ns0:v>RC_L; E24; P при 70 °C; U ≤ min(√(P·R), Umax)</ns0:v>
      </ns0:c>
      <ns0:c r="Q470" s="10"/>
      <ns0:c r="R470" t="str" s="11">
        <ns0:f>D470</ns0:f>
        <ns0:v>20 Ом</ns0:v>
      </ns0:c>
      <ns0:c r="S470" t="str" s="11">
        <ns0:f>K470</ns0:f>
        <ns0:v>Резистор 20 Ом ±1% 0805</ns0:v>
      </ns0:c>
      <x:c xmlns:x="http://schemas.openxmlformats.org/spreadsheetml/2006/main" r="T470" t="str" s="11">
        <x:v>C:\Users\Nomatin\Documents\Altium\MY_LIB\MY_LIB\Datasheets\YAGEO_RC_L.pdf</x:v>
      </x:c>
      <x:c xmlns:x="http://schemas.openxmlformats.org/spreadsheetml/2006/main" r="U470" t="str" s="11">
        <x:v>Даташит — локальный</x:v>
      </x:c>
      <x:c xmlns:x="http://schemas.openxmlformats.org/spreadsheetml/2006/main" r="V470" t="str" s="11">
        <x:v>C:\Users\Nomatin\Documents\Altium\MY_LIB\MY_LIB\Datasheets\YAGEO_RC_L.pdf</x:v>
      </x:c>
      <x:c xmlns:x="http://schemas.openxmlformats.org/spreadsheetml/2006/main" r="W470" t="str" s="11">
        <x:v>Даташит — производитель</x:v>
      </x:c>
      <x:c xmlns:x="http://schemas.openxmlformats.org/spreadsheetml/2006/main" r="X470" t="str" s="11">
        <x:v>https://yageogroup.com/content/datasheet/asset/file/PYU-RC_GROUP_51_ROHS_L</x:v>
      </x:c>
      <x:c xmlns:x="http://schemas.openxmlformats.org/spreadsheetml/2006/main" r="Y470" t="str" s="11">
        <x:v>C:\Users\Nomatin\Documents\Altium\MY_LIB\MY_LIB\Datasheets\YAGEO_RC_L.pdf</x:v>
      </x:c>
    </ns0:row>
    <ns0:row xmlns:ns0="http://schemas.openxmlformats.org/spreadsheetml/2006/main" r="471" ht="30" customHeight="1">
      <ns0:c r="A471" t="str" s="10">
        <ns0:v>R0477</ns0:v>
      </ns0:c>
      <ns0:c r="B471" t="str" s="10">
        <ns0:v>Резистор</ns0:v>
      </ns0:c>
      <ns0:c r="C471" t="str" s="10">
        <ns0:v>22R</ns0:v>
      </ns0:c>
      <ns0:c r="D471" t="str" s="11">
        <ns0:f>SUBSTITUTE(SUBSTITUTE(SUBSTITUTE(SUBSTITUTE(C471,"meg"," МОм"),"k"," кОм"),"R"," Ом"),".",",")</ns0:f>
        <ns0:v>22 Ом</ns0:v>
      </ns0:c>
      <ns0:c r="E471" t="str" s="10">
        <ns0:v>±1%</ns0:v>
      </ns0:c>
      <ns0:c r="F471" t="str" s="10">
        <ns0:v>0,125 Вт</ns0:v>
      </ns0:c>
      <ns0:c r="G471" t="str" s="10">
        <ns0:v>150 В макс.</ns0:v>
      </ns0:c>
      <ns0:c r="H471" t="str" s="12">
        <ns0:v>0805</ns0:v>
      </ns0:c>
      <ns0:c r="I471" t="str" s="10">
        <ns0:v>YAGEO</ns0:v>
      </ns0:c>
      <ns0:c r="J471" t="str" s="10">
        <ns0:v>RC0805FR-0722RL</ns0:v>
      </ns0:c>
      <ns0:c r="K471" t="str" s="11">
        <ns0:f>B471&amp;" "&amp;D471&amp;" "&amp;E471&amp;" "&amp;H471</ns0:f>
        <ns0:v>Резистор 22 Ом ±1% 0805</ns0:v>
      </ns0:c>
      <ns0:c r="L471" t="str" s="13">
        <ns0:v>R</ns0:v>
      </ns0:c>
      <ns0:c r="M471" t="str" s="13">
        <ns0:v>Symbols\MY_LIB_Resistors.SchLib</ns0:v>
      </ns0:c>
      <ns0:c r="N471" t="str" s="13">
        <ns0:v>RESC2012X70N</ns0:v>
      </ns0:c>
      <ns0:c r="O471" t="str" s="13">
        <ns0:v>Footprints\PBL - SMD Packages.PcbLib</ns0:v>
      </ns0:c>
      <ns0:c r="P471" t="str" s="10">
        <ns0:v>RC_L; E24; P при 70 °C; U ≤ min(√(P·R), Umax)</ns0:v>
      </ns0:c>
      <ns0:c r="Q471" s="10"/>
      <ns0:c r="R471" t="str" s="11">
        <ns0:f>D471</ns0:f>
        <ns0:v>22 Ом</ns0:v>
      </ns0:c>
      <ns0:c r="S471" t="str" s="11">
        <ns0:f>K471</ns0:f>
        <ns0:v>Резистор 22 Ом ±1% 0805</ns0:v>
      </ns0:c>
      <x:c xmlns:x="http://schemas.openxmlformats.org/spreadsheetml/2006/main" r="T471" t="str" s="11">
        <x:v>C:\Users\Nomatin\Documents\Altium\MY_LIB\MY_LIB\Datasheets\YAGEO_RC_L.pdf</x:v>
      </x:c>
      <x:c xmlns:x="http://schemas.openxmlformats.org/spreadsheetml/2006/main" r="U471" t="str" s="11">
        <x:v>Даташит — локальный</x:v>
      </x:c>
      <x:c xmlns:x="http://schemas.openxmlformats.org/spreadsheetml/2006/main" r="V471" t="str" s="11">
        <x:v>C:\Users\Nomatin\Documents\Altium\MY_LIB\MY_LIB\Datasheets\YAGEO_RC_L.pdf</x:v>
      </x:c>
      <x:c xmlns:x="http://schemas.openxmlformats.org/spreadsheetml/2006/main" r="W471" t="str" s="11">
        <x:v>Даташит — производитель</x:v>
      </x:c>
      <x:c xmlns:x="http://schemas.openxmlformats.org/spreadsheetml/2006/main" r="X471" t="str" s="11">
        <x:v>https://yageogroup.com/content/datasheet/asset/file/PYU-RC_GROUP_51_ROHS_L</x:v>
      </x:c>
      <x:c xmlns:x="http://schemas.openxmlformats.org/spreadsheetml/2006/main" r="Y471" t="str" s="11">
        <x:v>C:\Users\Nomatin\Documents\Altium\MY_LIB\MY_LIB\Datasheets\YAGEO_RC_L.pdf</x:v>
      </x:c>
    </ns0:row>
    <ns0:row xmlns:ns0="http://schemas.openxmlformats.org/spreadsheetml/2006/main" r="472" ht="30" customHeight="1">
      <ns0:c r="A472" t="str" s="10">
        <ns0:v>R0478</ns0:v>
      </ns0:c>
      <ns0:c r="B472" t="str" s="10">
        <ns0:v>Резистор</ns0:v>
      </ns0:c>
      <ns0:c r="C472" t="str" s="10">
        <ns0:v>24R</ns0:v>
      </ns0:c>
      <ns0:c r="D472" t="str" s="11">
        <ns0:f>SUBSTITUTE(SUBSTITUTE(SUBSTITUTE(SUBSTITUTE(C472,"meg"," МОм"),"k"," кОм"),"R"," Ом"),".",",")</ns0:f>
        <ns0:v>24 Ом</ns0:v>
      </ns0:c>
      <ns0:c r="E472" t="str" s="10">
        <ns0:v>±1%</ns0:v>
      </ns0:c>
      <ns0:c r="F472" t="str" s="10">
        <ns0:v>0,125 Вт</ns0:v>
      </ns0:c>
      <ns0:c r="G472" t="str" s="10">
        <ns0:v>150 В макс.</ns0:v>
      </ns0:c>
      <ns0:c r="H472" t="str" s="12">
        <ns0:v>0805</ns0:v>
      </ns0:c>
      <ns0:c r="I472" t="str" s="10">
        <ns0:v>YAGEO</ns0:v>
      </ns0:c>
      <ns0:c r="J472" t="str" s="10">
        <ns0:v>RC0805FR-0724RL</ns0:v>
      </ns0:c>
      <ns0:c r="K472" t="str" s="11">
        <ns0:f>B472&amp;" "&amp;D472&amp;" "&amp;E472&amp;" "&amp;H472</ns0:f>
        <ns0:v>Резистор 24 Ом ±1% 0805</ns0:v>
      </ns0:c>
      <ns0:c r="L472" t="str" s="13">
        <ns0:v>R</ns0:v>
      </ns0:c>
      <ns0:c r="M472" t="str" s="13">
        <ns0:v>Symbols\MY_LIB_Resistors.SchLib</ns0:v>
      </ns0:c>
      <ns0:c r="N472" t="str" s="13">
        <ns0:v>RESC2012X70N</ns0:v>
      </ns0:c>
      <ns0:c r="O472" t="str" s="13">
        <ns0:v>Footprints\PBL - SMD Packages.PcbLib</ns0:v>
      </ns0:c>
      <ns0:c r="P472" t="str" s="10">
        <ns0:v>RC_L; E24; P при 70 °C; U ≤ min(√(P·R), Umax)</ns0:v>
      </ns0:c>
      <ns0:c r="Q472" s="10"/>
      <ns0:c r="R472" t="str" s="11">
        <ns0:f>D472</ns0:f>
        <ns0:v>24 Ом</ns0:v>
      </ns0:c>
      <ns0:c r="S472" t="str" s="11">
        <ns0:f>K472</ns0:f>
        <ns0:v>Резистор 24 Ом ±1% 0805</ns0:v>
      </ns0:c>
      <x:c xmlns:x="http://schemas.openxmlformats.org/spreadsheetml/2006/main" r="T472" t="str" s="11">
        <x:v>C:\Users\Nomatin\Documents\Altium\MY_LIB\MY_LIB\Datasheets\YAGEO_RC_L.pdf</x:v>
      </x:c>
      <x:c xmlns:x="http://schemas.openxmlformats.org/spreadsheetml/2006/main" r="U472" t="str" s="11">
        <x:v>Даташит — локальный</x:v>
      </x:c>
      <x:c xmlns:x="http://schemas.openxmlformats.org/spreadsheetml/2006/main" r="V472" t="str" s="11">
        <x:v>C:\Users\Nomatin\Documents\Altium\MY_LIB\MY_LIB\Datasheets\YAGEO_RC_L.pdf</x:v>
      </x:c>
      <x:c xmlns:x="http://schemas.openxmlformats.org/spreadsheetml/2006/main" r="W472" t="str" s="11">
        <x:v>Даташит — производитель</x:v>
      </x:c>
      <x:c xmlns:x="http://schemas.openxmlformats.org/spreadsheetml/2006/main" r="X472" t="str" s="11">
        <x:v>https://yageogroup.com/content/datasheet/asset/file/PYU-RC_GROUP_51_ROHS_L</x:v>
      </x:c>
      <x:c xmlns:x="http://schemas.openxmlformats.org/spreadsheetml/2006/main" r="Y472" t="str" s="11">
        <x:v>C:\Users\Nomatin\Documents\Altium\MY_LIB\MY_LIB\Datasheets\YAGEO_RC_L.pdf</x:v>
      </x:c>
    </ns0:row>
    <ns0:row xmlns:ns0="http://schemas.openxmlformats.org/spreadsheetml/2006/main" r="473" ht="30" customHeight="1">
      <ns0:c r="A473" t="str" s="10">
        <ns0:v>R0479</ns0:v>
      </ns0:c>
      <ns0:c r="B473" t="str" s="10">
        <ns0:v>Резистор</ns0:v>
      </ns0:c>
      <ns0:c r="C473" t="str" s="10">
        <ns0:v>27R</ns0:v>
      </ns0:c>
      <ns0:c r="D473" t="str" s="11">
        <ns0:f>SUBSTITUTE(SUBSTITUTE(SUBSTITUTE(SUBSTITUTE(C473,"meg"," МОм"),"k"," кОм"),"R"," Ом"),".",",")</ns0:f>
        <ns0:v>27 Ом</ns0:v>
      </ns0:c>
      <ns0:c r="E473" t="str" s="10">
        <ns0:v>±1%</ns0:v>
      </ns0:c>
      <ns0:c r="F473" t="str" s="10">
        <ns0:v>0,125 Вт</ns0:v>
      </ns0:c>
      <ns0:c r="G473" t="str" s="10">
        <ns0:v>150 В макс.</ns0:v>
      </ns0:c>
      <ns0:c r="H473" t="str" s="12">
        <ns0:v>0805</ns0:v>
      </ns0:c>
      <ns0:c r="I473" t="str" s="10">
        <ns0:v>YAGEO</ns0:v>
      </ns0:c>
      <ns0:c r="J473" t="str" s="10">
        <ns0:v>RC0805FR-0727RL</ns0:v>
      </ns0:c>
      <ns0:c r="K473" t="str" s="11">
        <ns0:f>B473&amp;" "&amp;D473&amp;" "&amp;E473&amp;" "&amp;H473</ns0:f>
        <ns0:v>Резистор 27 Ом ±1% 0805</ns0:v>
      </ns0:c>
      <ns0:c r="L473" t="str" s="13">
        <ns0:v>R</ns0:v>
      </ns0:c>
      <ns0:c r="M473" t="str" s="13">
        <ns0:v>Symbols\MY_LIB_Resistors.SchLib</ns0:v>
      </ns0:c>
      <ns0:c r="N473" t="str" s="13">
        <ns0:v>RESC2012X70N</ns0:v>
      </ns0:c>
      <ns0:c r="O473" t="str" s="13">
        <ns0:v>Footprints\PBL - SMD Packages.PcbLib</ns0:v>
      </ns0:c>
      <ns0:c r="P473" t="str" s="10">
        <ns0:v>RC_L; E24; P при 70 °C; U ≤ min(√(P·R), Umax)</ns0:v>
      </ns0:c>
      <ns0:c r="Q473" s="10"/>
      <ns0:c r="R473" t="str" s="11">
        <ns0:f>D473</ns0:f>
        <ns0:v>27 Ом</ns0:v>
      </ns0:c>
      <ns0:c r="S473" t="str" s="11">
        <ns0:f>K473</ns0:f>
        <ns0:v>Резистор 27 Ом ±1% 0805</ns0:v>
      </ns0:c>
      <x:c xmlns:x="http://schemas.openxmlformats.org/spreadsheetml/2006/main" r="T473" t="str" s="11">
        <x:v>C:\Users\Nomatin\Documents\Altium\MY_LIB\MY_LIB\Datasheets\YAGEO_RC_L.pdf</x:v>
      </x:c>
      <x:c xmlns:x="http://schemas.openxmlformats.org/spreadsheetml/2006/main" r="U473" t="str" s="11">
        <x:v>Даташит — локальный</x:v>
      </x:c>
      <x:c xmlns:x="http://schemas.openxmlformats.org/spreadsheetml/2006/main" r="V473" t="str" s="11">
        <x:v>C:\Users\Nomatin\Documents\Altium\MY_LIB\MY_LIB\Datasheets\YAGEO_RC_L.pdf</x:v>
      </x:c>
      <x:c xmlns:x="http://schemas.openxmlformats.org/spreadsheetml/2006/main" r="W473" t="str" s="11">
        <x:v>Даташит — производитель</x:v>
      </x:c>
      <x:c xmlns:x="http://schemas.openxmlformats.org/spreadsheetml/2006/main" r="X473" t="str" s="11">
        <x:v>https://yageogroup.com/content/datasheet/asset/file/PYU-RC_GROUP_51_ROHS_L</x:v>
      </x:c>
      <x:c xmlns:x="http://schemas.openxmlformats.org/spreadsheetml/2006/main" r="Y473" t="str" s="11">
        <x:v>C:\Users\Nomatin\Documents\Altium\MY_LIB\MY_LIB\Datasheets\YAGEO_RC_L.pdf</x:v>
      </x:c>
    </ns0:row>
    <ns0:row xmlns:ns0="http://schemas.openxmlformats.org/spreadsheetml/2006/main" r="474" ht="30" customHeight="1">
      <ns0:c r="A474" t="str" s="10">
        <ns0:v>R0480</ns0:v>
      </ns0:c>
      <ns0:c r="B474" t="str" s="10">
        <ns0:v>Резистор</ns0:v>
      </ns0:c>
      <ns0:c r="C474" t="str" s="10">
        <ns0:v>30R</ns0:v>
      </ns0:c>
      <ns0:c r="D474" t="str" s="11">
        <ns0:f>SUBSTITUTE(SUBSTITUTE(SUBSTITUTE(SUBSTITUTE(C474,"meg"," МОм"),"k"," кОм"),"R"," Ом"),".",",")</ns0:f>
        <ns0:v>30 Ом</ns0:v>
      </ns0:c>
      <ns0:c r="E474" t="str" s="10">
        <ns0:v>±1%</ns0:v>
      </ns0:c>
      <ns0:c r="F474" t="str" s="10">
        <ns0:v>0,125 Вт</ns0:v>
      </ns0:c>
      <ns0:c r="G474" t="str" s="10">
        <ns0:v>150 В макс.</ns0:v>
      </ns0:c>
      <ns0:c r="H474" t="str" s="12">
        <ns0:v>0805</ns0:v>
      </ns0:c>
      <ns0:c r="I474" t="str" s="10">
        <ns0:v>YAGEO</ns0:v>
      </ns0:c>
      <ns0:c r="J474" t="str" s="10">
        <ns0:v>RC0805FR-0730RL</ns0:v>
      </ns0:c>
      <ns0:c r="K474" t="str" s="11">
        <ns0:f>B474&amp;" "&amp;D474&amp;" "&amp;E474&amp;" "&amp;H474</ns0:f>
        <ns0:v>Резистор 30 Ом ±1% 0805</ns0:v>
      </ns0:c>
      <ns0:c r="L474" t="str" s="13">
        <ns0:v>R</ns0:v>
      </ns0:c>
      <ns0:c r="M474" t="str" s="13">
        <ns0:v>Symbols\MY_LIB_Resistors.SchLib</ns0:v>
      </ns0:c>
      <ns0:c r="N474" t="str" s="13">
        <ns0:v>RESC2012X70N</ns0:v>
      </ns0:c>
      <ns0:c r="O474" t="str" s="13">
        <ns0:v>Footprints\PBL - SMD Packages.PcbLib</ns0:v>
      </ns0:c>
      <ns0:c r="P474" t="str" s="10">
        <ns0:v>RC_L; E24; P при 70 °C; U ≤ min(√(P·R), Umax)</ns0:v>
      </ns0:c>
      <ns0:c r="Q474" s="10"/>
      <ns0:c r="R474" t="str" s="11">
        <ns0:f>D474</ns0:f>
        <ns0:v>30 Ом</ns0:v>
      </ns0:c>
      <ns0:c r="S474" t="str" s="11">
        <ns0:f>K474</ns0:f>
        <ns0:v>Резистор 30 Ом ±1% 0805</ns0:v>
      </ns0:c>
      <x:c xmlns:x="http://schemas.openxmlformats.org/spreadsheetml/2006/main" r="T474" t="str" s="11">
        <x:v>C:\Users\Nomatin\Documents\Altium\MY_LIB\MY_LIB\Datasheets\YAGEO_RC_L.pdf</x:v>
      </x:c>
      <x:c xmlns:x="http://schemas.openxmlformats.org/spreadsheetml/2006/main" r="U474" t="str" s="11">
        <x:v>Даташит — локальный</x:v>
      </x:c>
      <x:c xmlns:x="http://schemas.openxmlformats.org/spreadsheetml/2006/main" r="V474" t="str" s="11">
        <x:v>C:\Users\Nomatin\Documents\Altium\MY_LIB\MY_LIB\Datasheets\YAGEO_RC_L.pdf</x:v>
      </x:c>
      <x:c xmlns:x="http://schemas.openxmlformats.org/spreadsheetml/2006/main" r="W474" t="str" s="11">
        <x:v>Даташит — производитель</x:v>
      </x:c>
      <x:c xmlns:x="http://schemas.openxmlformats.org/spreadsheetml/2006/main" r="X474" t="str" s="11">
        <x:v>https://yageogroup.com/content/datasheet/asset/file/PYU-RC_GROUP_51_ROHS_L</x:v>
      </x:c>
      <x:c xmlns:x="http://schemas.openxmlformats.org/spreadsheetml/2006/main" r="Y474" t="str" s="11">
        <x:v>C:\Users\Nomatin\Documents\Altium\MY_LIB\MY_LIB\Datasheets\YAGEO_RC_L.pdf</x:v>
      </x:c>
    </ns0:row>
    <ns0:row xmlns:ns0="http://schemas.openxmlformats.org/spreadsheetml/2006/main" r="475" ht="30" customHeight="1">
      <ns0:c r="A475" t="str" s="10">
        <ns0:v>R0481</ns0:v>
      </ns0:c>
      <ns0:c r="B475" t="str" s="10">
        <ns0:v>Резистор</ns0:v>
      </ns0:c>
      <ns0:c r="C475" t="str" s="10">
        <ns0:v>33R</ns0:v>
      </ns0:c>
      <ns0:c r="D475" t="str" s="11">
        <ns0:f>SUBSTITUTE(SUBSTITUTE(SUBSTITUTE(SUBSTITUTE(C475,"meg"," МОм"),"k"," кОм"),"R"," Ом"),".",",")</ns0:f>
        <ns0:v>33 Ом</ns0:v>
      </ns0:c>
      <ns0:c r="E475" t="str" s="10">
        <ns0:v>±1%</ns0:v>
      </ns0:c>
      <ns0:c r="F475" t="str" s="10">
        <ns0:v>0,125 Вт</ns0:v>
      </ns0:c>
      <ns0:c r="G475" t="str" s="10">
        <ns0:v>150 В макс.</ns0:v>
      </ns0:c>
      <ns0:c r="H475" t="str" s="12">
        <ns0:v>0805</ns0:v>
      </ns0:c>
      <ns0:c r="I475" t="str" s="10">
        <ns0:v>YAGEO</ns0:v>
      </ns0:c>
      <ns0:c r="J475" t="str" s="10">
        <ns0:v>RC0805FR-0733RL</ns0:v>
      </ns0:c>
      <ns0:c r="K475" t="str" s="11">
        <ns0:f>B475&amp;" "&amp;D475&amp;" "&amp;E475&amp;" "&amp;H475</ns0:f>
        <ns0:v>Резистор 33 Ом ±1% 0805</ns0:v>
      </ns0:c>
      <ns0:c r="L475" t="str" s="13">
        <ns0:v>R</ns0:v>
      </ns0:c>
      <ns0:c r="M475" t="str" s="13">
        <ns0:v>Symbols\MY_LIB_Resistors.SchLib</ns0:v>
      </ns0:c>
      <ns0:c r="N475" t="str" s="13">
        <ns0:v>RESC2012X70N</ns0:v>
      </ns0:c>
      <ns0:c r="O475" t="str" s="13">
        <ns0:v>Footprints\PBL - SMD Packages.PcbLib</ns0:v>
      </ns0:c>
      <ns0:c r="P475" t="str" s="10">
        <ns0:v>RC_L; E24; P при 70 °C; U ≤ min(√(P·R), Umax)</ns0:v>
      </ns0:c>
      <ns0:c r="Q475" s="10"/>
      <ns0:c r="R475" t="str" s="11">
        <ns0:f>D475</ns0:f>
        <ns0:v>33 Ом</ns0:v>
      </ns0:c>
      <ns0:c r="S475" t="str" s="11">
        <ns0:f>K475</ns0:f>
        <ns0:v>Резистор 33 Ом ±1% 0805</ns0:v>
      </ns0:c>
      <x:c xmlns:x="http://schemas.openxmlformats.org/spreadsheetml/2006/main" r="T475" t="str" s="11">
        <x:v>C:\Users\Nomatin\Documents\Altium\MY_LIB\MY_LIB\Datasheets\YAGEO_RC_L.pdf</x:v>
      </x:c>
      <x:c xmlns:x="http://schemas.openxmlformats.org/spreadsheetml/2006/main" r="U475" t="str" s="11">
        <x:v>Даташит — локальный</x:v>
      </x:c>
      <x:c xmlns:x="http://schemas.openxmlformats.org/spreadsheetml/2006/main" r="V475" t="str" s="11">
        <x:v>C:\Users\Nomatin\Documents\Altium\MY_LIB\MY_LIB\Datasheets\YAGEO_RC_L.pdf</x:v>
      </x:c>
      <x:c xmlns:x="http://schemas.openxmlformats.org/spreadsheetml/2006/main" r="W475" t="str" s="11">
        <x:v>Даташит — производитель</x:v>
      </x:c>
      <x:c xmlns:x="http://schemas.openxmlformats.org/spreadsheetml/2006/main" r="X475" t="str" s="11">
        <x:v>https://yageogroup.com/content/datasheet/asset/file/PYU-RC_GROUP_51_ROHS_L</x:v>
      </x:c>
      <x:c xmlns:x="http://schemas.openxmlformats.org/spreadsheetml/2006/main" r="Y475" t="str" s="11">
        <x:v>C:\Users\Nomatin\Documents\Altium\MY_LIB\MY_LIB\Datasheets\YAGEO_RC_L.pdf</x:v>
      </x:c>
    </ns0:row>
    <ns0:row xmlns:ns0="http://schemas.openxmlformats.org/spreadsheetml/2006/main" r="476" ht="30" customHeight="1">
      <ns0:c r="A476" t="str" s="10">
        <ns0:v>R0482</ns0:v>
      </ns0:c>
      <ns0:c r="B476" t="str" s="10">
        <ns0:v>Резистор</ns0:v>
      </ns0:c>
      <ns0:c r="C476" t="str" s="10">
        <ns0:v>36R</ns0:v>
      </ns0:c>
      <ns0:c r="D476" t="str" s="11">
        <ns0:f>SUBSTITUTE(SUBSTITUTE(SUBSTITUTE(SUBSTITUTE(C476,"meg"," МОм"),"k"," кОм"),"R"," Ом"),".",",")</ns0:f>
        <ns0:v>36 Ом</ns0:v>
      </ns0:c>
      <ns0:c r="E476" t="str" s="10">
        <ns0:v>±1%</ns0:v>
      </ns0:c>
      <ns0:c r="F476" t="str" s="10">
        <ns0:v>0,125 Вт</ns0:v>
      </ns0:c>
      <ns0:c r="G476" t="str" s="10">
        <ns0:v>150 В макс.</ns0:v>
      </ns0:c>
      <ns0:c r="H476" t="str" s="12">
        <ns0:v>0805</ns0:v>
      </ns0:c>
      <ns0:c r="I476" t="str" s="10">
        <ns0:v>YAGEO</ns0:v>
      </ns0:c>
      <ns0:c r="J476" t="str" s="10">
        <ns0:v>RC0805FR-0736RL</ns0:v>
      </ns0:c>
      <ns0:c r="K476" t="str" s="11">
        <ns0:f>B476&amp;" "&amp;D476&amp;" "&amp;E476&amp;" "&amp;H476</ns0:f>
        <ns0:v>Резистор 36 Ом ±1% 0805</ns0:v>
      </ns0:c>
      <ns0:c r="L476" t="str" s="13">
        <ns0:v>R</ns0:v>
      </ns0:c>
      <ns0:c r="M476" t="str" s="13">
        <ns0:v>Symbols\MY_LIB_Resistors.SchLib</ns0:v>
      </ns0:c>
      <ns0:c r="N476" t="str" s="13">
        <ns0:v>RESC2012X70N</ns0:v>
      </ns0:c>
      <ns0:c r="O476" t="str" s="13">
        <ns0:v>Footprints\PBL - SMD Packages.PcbLib</ns0:v>
      </ns0:c>
      <ns0:c r="P476" t="str" s="10">
        <ns0:v>RC_L; E24; P при 70 °C; U ≤ min(√(P·R), Umax)</ns0:v>
      </ns0:c>
      <ns0:c r="Q476" s="10"/>
      <ns0:c r="R476" t="str" s="11">
        <ns0:f>D476</ns0:f>
        <ns0:v>36 Ом</ns0:v>
      </ns0:c>
      <ns0:c r="S476" t="str" s="11">
        <ns0:f>K476</ns0:f>
        <ns0:v>Резистор 36 Ом ±1% 0805</ns0:v>
      </ns0:c>
      <x:c xmlns:x="http://schemas.openxmlformats.org/spreadsheetml/2006/main" r="T476" t="str" s="11">
        <x:v>C:\Users\Nomatin\Documents\Altium\MY_LIB\MY_LIB\Datasheets\YAGEO_RC_L.pdf</x:v>
      </x:c>
      <x:c xmlns:x="http://schemas.openxmlformats.org/spreadsheetml/2006/main" r="U476" t="str" s="11">
        <x:v>Даташит — локальный</x:v>
      </x:c>
      <x:c xmlns:x="http://schemas.openxmlformats.org/spreadsheetml/2006/main" r="V476" t="str" s="11">
        <x:v>C:\Users\Nomatin\Documents\Altium\MY_LIB\MY_LIB\Datasheets\YAGEO_RC_L.pdf</x:v>
      </x:c>
      <x:c xmlns:x="http://schemas.openxmlformats.org/spreadsheetml/2006/main" r="W476" t="str" s="11">
        <x:v>Даташит — производитель</x:v>
      </x:c>
      <x:c xmlns:x="http://schemas.openxmlformats.org/spreadsheetml/2006/main" r="X476" t="str" s="11">
        <x:v>https://yageogroup.com/content/datasheet/asset/file/PYU-RC_GROUP_51_ROHS_L</x:v>
      </x:c>
      <x:c xmlns:x="http://schemas.openxmlformats.org/spreadsheetml/2006/main" r="Y476" t="str" s="11">
        <x:v>C:\Users\Nomatin\Documents\Altium\MY_LIB\MY_LIB\Datasheets\YAGEO_RC_L.pdf</x:v>
      </x:c>
    </ns0:row>
    <ns0:row xmlns:ns0="http://schemas.openxmlformats.org/spreadsheetml/2006/main" r="477" ht="30" customHeight="1">
      <ns0:c r="A477" t="str" s="10">
        <ns0:v>R0483</ns0:v>
      </ns0:c>
      <ns0:c r="B477" t="str" s="10">
        <ns0:v>Резистор</ns0:v>
      </ns0:c>
      <ns0:c r="C477" t="str" s="10">
        <ns0:v>39R</ns0:v>
      </ns0:c>
      <ns0:c r="D477" t="str" s="11">
        <ns0:f>SUBSTITUTE(SUBSTITUTE(SUBSTITUTE(SUBSTITUTE(C477,"meg"," МОм"),"k"," кОм"),"R"," Ом"),".",",")</ns0:f>
        <ns0:v>39 Ом</ns0:v>
      </ns0:c>
      <ns0:c r="E477" t="str" s="10">
        <ns0:v>±1%</ns0:v>
      </ns0:c>
      <ns0:c r="F477" t="str" s="10">
        <ns0:v>0,125 Вт</ns0:v>
      </ns0:c>
      <ns0:c r="G477" t="str" s="10">
        <ns0:v>150 В макс.</ns0:v>
      </ns0:c>
      <ns0:c r="H477" t="str" s="12">
        <ns0:v>0805</ns0:v>
      </ns0:c>
      <ns0:c r="I477" t="str" s="10">
        <ns0:v>YAGEO</ns0:v>
      </ns0:c>
      <ns0:c r="J477" t="str" s="10">
        <ns0:v>RC0805FR-0739RL</ns0:v>
      </ns0:c>
      <ns0:c r="K477" t="str" s="11">
        <ns0:f>B477&amp;" "&amp;D477&amp;" "&amp;E477&amp;" "&amp;H477</ns0:f>
        <ns0:v>Резистор 39 Ом ±1% 0805</ns0:v>
      </ns0:c>
      <ns0:c r="L477" t="str" s="13">
        <ns0:v>R</ns0:v>
      </ns0:c>
      <ns0:c r="M477" t="str" s="13">
        <ns0:v>Symbols\MY_LIB_Resistors.SchLib</ns0:v>
      </ns0:c>
      <ns0:c r="N477" t="str" s="13">
        <ns0:v>RESC2012X70N</ns0:v>
      </ns0:c>
      <ns0:c r="O477" t="str" s="13">
        <ns0:v>Footprints\PBL - SMD Packages.PcbLib</ns0:v>
      </ns0:c>
      <ns0:c r="P477" t="str" s="10">
        <ns0:v>RC_L; E24; P при 70 °C; U ≤ min(√(P·R), Umax)</ns0:v>
      </ns0:c>
      <ns0:c r="Q477" s="10"/>
      <ns0:c r="R477" t="str" s="11">
        <ns0:f>D477</ns0:f>
        <ns0:v>39 Ом</ns0:v>
      </ns0:c>
      <ns0:c r="S477" t="str" s="11">
        <ns0:f>K477</ns0:f>
        <ns0:v>Резистор 39 Ом ±1% 0805</ns0:v>
      </ns0:c>
      <x:c xmlns:x="http://schemas.openxmlformats.org/spreadsheetml/2006/main" r="T477" t="str" s="11">
        <x:v>C:\Users\Nomatin\Documents\Altium\MY_LIB\MY_LIB\Datasheets\YAGEO_RC_L.pdf</x:v>
      </x:c>
      <x:c xmlns:x="http://schemas.openxmlformats.org/spreadsheetml/2006/main" r="U477" t="str" s="11">
        <x:v>Даташит — локальный</x:v>
      </x:c>
      <x:c xmlns:x="http://schemas.openxmlformats.org/spreadsheetml/2006/main" r="V477" t="str" s="11">
        <x:v>C:\Users\Nomatin\Documents\Altium\MY_LIB\MY_LIB\Datasheets\YAGEO_RC_L.pdf</x:v>
      </x:c>
      <x:c xmlns:x="http://schemas.openxmlformats.org/spreadsheetml/2006/main" r="W477" t="str" s="11">
        <x:v>Даташит — производитель</x:v>
      </x:c>
      <x:c xmlns:x="http://schemas.openxmlformats.org/spreadsheetml/2006/main" r="X477" t="str" s="11">
        <x:v>https://yageogroup.com/content/datasheet/asset/file/PYU-RC_GROUP_51_ROHS_L</x:v>
      </x:c>
      <x:c xmlns:x="http://schemas.openxmlformats.org/spreadsheetml/2006/main" r="Y477" t="str" s="11">
        <x:v>C:\Users\Nomatin\Documents\Altium\MY_LIB\MY_LIB\Datasheets\YAGEO_RC_L.pdf</x:v>
      </x:c>
    </ns0:row>
    <ns0:row xmlns:ns0="http://schemas.openxmlformats.org/spreadsheetml/2006/main" r="478" ht="30" customHeight="1">
      <ns0:c r="A478" t="str" s="10">
        <ns0:v>R0484</ns0:v>
      </ns0:c>
      <ns0:c r="B478" t="str" s="10">
        <ns0:v>Резистор</ns0:v>
      </ns0:c>
      <ns0:c r="C478" t="str" s="10">
        <ns0:v>43R</ns0:v>
      </ns0:c>
      <ns0:c r="D478" t="str" s="11">
        <ns0:f>SUBSTITUTE(SUBSTITUTE(SUBSTITUTE(SUBSTITUTE(C478,"meg"," МОм"),"k"," кОм"),"R"," Ом"),".",",")</ns0:f>
        <ns0:v>43 Ом</ns0:v>
      </ns0:c>
      <ns0:c r="E478" t="str" s="10">
        <ns0:v>±1%</ns0:v>
      </ns0:c>
      <ns0:c r="F478" t="str" s="10">
        <ns0:v>0,125 Вт</ns0:v>
      </ns0:c>
      <ns0:c r="G478" t="str" s="10">
        <ns0:v>150 В макс.</ns0:v>
      </ns0:c>
      <ns0:c r="H478" t="str" s="12">
        <ns0:v>0805</ns0:v>
      </ns0:c>
      <ns0:c r="I478" t="str" s="10">
        <ns0:v>YAGEO</ns0:v>
      </ns0:c>
      <ns0:c r="J478" t="str" s="10">
        <ns0:v>RC0805FR-0743RL</ns0:v>
      </ns0:c>
      <ns0:c r="K478" t="str" s="11">
        <ns0:f>B478&amp;" "&amp;D478&amp;" "&amp;E478&amp;" "&amp;H478</ns0:f>
        <ns0:v>Резистор 43 Ом ±1% 0805</ns0:v>
      </ns0:c>
      <ns0:c r="L478" t="str" s="13">
        <ns0:v>R</ns0:v>
      </ns0:c>
      <ns0:c r="M478" t="str" s="13">
        <ns0:v>Symbols\MY_LIB_Resistors.SchLib</ns0:v>
      </ns0:c>
      <ns0:c r="N478" t="str" s="13">
        <ns0:v>RESC2012X70N</ns0:v>
      </ns0:c>
      <ns0:c r="O478" t="str" s="13">
        <ns0:v>Footprints\PBL - SMD Packages.PcbLib</ns0:v>
      </ns0:c>
      <ns0:c r="P478" t="str" s="10">
        <ns0:v>RC_L; E24; P при 70 °C; U ≤ min(√(P·R), Umax)</ns0:v>
      </ns0:c>
      <ns0:c r="Q478" s="10"/>
      <ns0:c r="R478" t="str" s="11">
        <ns0:f>D478</ns0:f>
        <ns0:v>43 Ом</ns0:v>
      </ns0:c>
      <ns0:c r="S478" t="str" s="11">
        <ns0:f>K478</ns0:f>
        <ns0:v>Резистор 43 Ом ±1% 0805</ns0:v>
      </ns0:c>
      <x:c xmlns:x="http://schemas.openxmlformats.org/spreadsheetml/2006/main" r="T478" t="str" s="11">
        <x:v>C:\Users\Nomatin\Documents\Altium\MY_LIB\MY_LIB\Datasheets\YAGEO_RC_L.pdf</x:v>
      </x:c>
      <x:c xmlns:x="http://schemas.openxmlformats.org/spreadsheetml/2006/main" r="U478" t="str" s="11">
        <x:v>Даташит — локальный</x:v>
      </x:c>
      <x:c xmlns:x="http://schemas.openxmlformats.org/spreadsheetml/2006/main" r="V478" t="str" s="11">
        <x:v>C:\Users\Nomatin\Documents\Altium\MY_LIB\MY_LIB\Datasheets\YAGEO_RC_L.pdf</x:v>
      </x:c>
      <x:c xmlns:x="http://schemas.openxmlformats.org/spreadsheetml/2006/main" r="W478" t="str" s="11">
        <x:v>Даташит — производитель</x:v>
      </x:c>
      <x:c xmlns:x="http://schemas.openxmlformats.org/spreadsheetml/2006/main" r="X478" t="str" s="11">
        <x:v>https://yageogroup.com/content/datasheet/asset/file/PYU-RC_GROUP_51_ROHS_L</x:v>
      </x:c>
      <x:c xmlns:x="http://schemas.openxmlformats.org/spreadsheetml/2006/main" r="Y478" t="str" s="11">
        <x:v>C:\Users\Nomatin\Documents\Altium\MY_LIB\MY_LIB\Datasheets\YAGEO_RC_L.pdf</x:v>
      </x:c>
    </ns0:row>
    <ns0:row xmlns:ns0="http://schemas.openxmlformats.org/spreadsheetml/2006/main" r="479" ht="30" customHeight="1">
      <ns0:c r="A479" t="str" s="10">
        <ns0:v>R0485</ns0:v>
      </ns0:c>
      <ns0:c r="B479" t="str" s="10">
        <ns0:v>Резистор</ns0:v>
      </ns0:c>
      <ns0:c r="C479" t="str" s="10">
        <ns0:v>47R</ns0:v>
      </ns0:c>
      <ns0:c r="D479" t="str" s="11">
        <ns0:f>SUBSTITUTE(SUBSTITUTE(SUBSTITUTE(SUBSTITUTE(C479,"meg"," МОм"),"k"," кОм"),"R"," Ом"),".",",")</ns0:f>
        <ns0:v>47 Ом</ns0:v>
      </ns0:c>
      <ns0:c r="E479" t="str" s="10">
        <ns0:v>±1%</ns0:v>
      </ns0:c>
      <ns0:c r="F479" t="str" s="10">
        <ns0:v>0,125 Вт</ns0:v>
      </ns0:c>
      <ns0:c r="G479" t="str" s="10">
        <ns0:v>150 В макс.</ns0:v>
      </ns0:c>
      <ns0:c r="H479" t="str" s="12">
        <ns0:v>0805</ns0:v>
      </ns0:c>
      <ns0:c r="I479" t="str" s="10">
        <ns0:v>YAGEO</ns0:v>
      </ns0:c>
      <ns0:c r="J479" t="str" s="10">
        <ns0:v>RC0805FR-0747RL</ns0:v>
      </ns0:c>
      <ns0:c r="K479" t="str" s="11">
        <ns0:f>B479&amp;" "&amp;D479&amp;" "&amp;E479&amp;" "&amp;H479</ns0:f>
        <ns0:v>Резистор 47 Ом ±1% 0805</ns0:v>
      </ns0:c>
      <ns0:c r="L479" t="str" s="13">
        <ns0:v>R</ns0:v>
      </ns0:c>
      <ns0:c r="M479" t="str" s="13">
        <ns0:v>Symbols\MY_LIB_Resistors.SchLib</ns0:v>
      </ns0:c>
      <ns0:c r="N479" t="str" s="13">
        <ns0:v>RESC2012X70N</ns0:v>
      </ns0:c>
      <ns0:c r="O479" t="str" s="13">
        <ns0:v>Footprints\PBL - SMD Packages.PcbLib</ns0:v>
      </ns0:c>
      <ns0:c r="P479" t="str" s="10">
        <ns0:v>RC_L; E24; P при 70 °C; U ≤ min(√(P·R), Umax)</ns0:v>
      </ns0:c>
      <ns0:c r="Q479" s="10"/>
      <ns0:c r="R479" t="str" s="11">
        <ns0:f>D479</ns0:f>
        <ns0:v>47 Ом</ns0:v>
      </ns0:c>
      <ns0:c r="S479" t="str" s="11">
        <ns0:f>K479</ns0:f>
        <ns0:v>Резистор 47 Ом ±1% 0805</ns0:v>
      </ns0:c>
      <x:c xmlns:x="http://schemas.openxmlformats.org/spreadsheetml/2006/main" r="T479" t="str" s="11">
        <x:v>C:\Users\Nomatin\Documents\Altium\MY_LIB\MY_LIB\Datasheets\YAGEO_RC_L.pdf</x:v>
      </x:c>
      <x:c xmlns:x="http://schemas.openxmlformats.org/spreadsheetml/2006/main" r="U479" t="str" s="11">
        <x:v>Даташит — локальный</x:v>
      </x:c>
      <x:c xmlns:x="http://schemas.openxmlformats.org/spreadsheetml/2006/main" r="V479" t="str" s="11">
        <x:v>C:\Users\Nomatin\Documents\Altium\MY_LIB\MY_LIB\Datasheets\YAGEO_RC_L.pdf</x:v>
      </x:c>
      <x:c xmlns:x="http://schemas.openxmlformats.org/spreadsheetml/2006/main" r="W479" t="str" s="11">
        <x:v>Даташит — производитель</x:v>
      </x:c>
      <x:c xmlns:x="http://schemas.openxmlformats.org/spreadsheetml/2006/main" r="X479" t="str" s="11">
        <x:v>https://yageogroup.com/content/datasheet/asset/file/PYU-RC_GROUP_51_ROHS_L</x:v>
      </x:c>
      <x:c xmlns:x="http://schemas.openxmlformats.org/spreadsheetml/2006/main" r="Y479" t="str" s="11">
        <x:v>C:\Users\Nomatin\Documents\Altium\MY_LIB\MY_LIB\Datasheets\YAGEO_RC_L.pdf</x:v>
      </x:c>
    </ns0:row>
    <ns0:row xmlns:ns0="http://schemas.openxmlformats.org/spreadsheetml/2006/main" r="480" ht="30" customHeight="1">
      <ns0:c r="A480" t="str" s="10">
        <ns0:v>R0486</ns0:v>
      </ns0:c>
      <ns0:c r="B480" t="str" s="10">
        <ns0:v>Резистор</ns0:v>
      </ns0:c>
      <ns0:c r="C480" t="str" s="10">
        <ns0:v>51R</ns0:v>
      </ns0:c>
      <ns0:c r="D480" t="str" s="11">
        <ns0:f>SUBSTITUTE(SUBSTITUTE(SUBSTITUTE(SUBSTITUTE(C480,"meg"," МОм"),"k"," кОм"),"R"," Ом"),".",",")</ns0:f>
        <ns0:v>51 Ом</ns0:v>
      </ns0:c>
      <ns0:c r="E480" t="str" s="10">
        <ns0:v>±1%</ns0:v>
      </ns0:c>
      <ns0:c r="F480" t="str" s="10">
        <ns0:v>0,125 Вт</ns0:v>
      </ns0:c>
      <ns0:c r="G480" t="str" s="10">
        <ns0:v>150 В макс.</ns0:v>
      </ns0:c>
      <ns0:c r="H480" t="str" s="12">
        <ns0:v>0805</ns0:v>
      </ns0:c>
      <ns0:c r="I480" t="str" s="10">
        <ns0:v>YAGEO</ns0:v>
      </ns0:c>
      <ns0:c r="J480" t="str" s="10">
        <ns0:v>RC0805FR-0751RL</ns0:v>
      </ns0:c>
      <ns0:c r="K480" t="str" s="11">
        <ns0:f>B480&amp;" "&amp;D480&amp;" "&amp;E480&amp;" "&amp;H480</ns0:f>
        <ns0:v>Резистор 51 Ом ±1% 0805</ns0:v>
      </ns0:c>
      <ns0:c r="L480" t="str" s="13">
        <ns0:v>R</ns0:v>
      </ns0:c>
      <ns0:c r="M480" t="str" s="13">
        <ns0:v>Symbols\MY_LIB_Resistors.SchLib</ns0:v>
      </ns0:c>
      <ns0:c r="N480" t="str" s="13">
        <ns0:v>RESC2012X70N</ns0:v>
      </ns0:c>
      <ns0:c r="O480" t="str" s="13">
        <ns0:v>Footprints\PBL - SMD Packages.PcbLib</ns0:v>
      </ns0:c>
      <ns0:c r="P480" t="str" s="10">
        <ns0:v>RC_L; E24; P при 70 °C; U ≤ min(√(P·R), Umax)</ns0:v>
      </ns0:c>
      <ns0:c r="Q480" s="10"/>
      <ns0:c r="R480" t="str" s="11">
        <ns0:f>D480</ns0:f>
        <ns0:v>51 Ом</ns0:v>
      </ns0:c>
      <ns0:c r="S480" t="str" s="11">
        <ns0:f>K480</ns0:f>
        <ns0:v>Резистор 51 Ом ±1% 0805</ns0:v>
      </ns0:c>
      <x:c xmlns:x="http://schemas.openxmlformats.org/spreadsheetml/2006/main" r="T480" t="str" s="11">
        <x:v>C:\Users\Nomatin\Documents\Altium\MY_LIB\MY_LIB\Datasheets\YAGEO_RC_L.pdf</x:v>
      </x:c>
      <x:c xmlns:x="http://schemas.openxmlformats.org/spreadsheetml/2006/main" r="U480" t="str" s="11">
        <x:v>Даташит — локальный</x:v>
      </x:c>
      <x:c xmlns:x="http://schemas.openxmlformats.org/spreadsheetml/2006/main" r="V480" t="str" s="11">
        <x:v>C:\Users\Nomatin\Documents\Altium\MY_LIB\MY_LIB\Datasheets\YAGEO_RC_L.pdf</x:v>
      </x:c>
      <x:c xmlns:x="http://schemas.openxmlformats.org/spreadsheetml/2006/main" r="W480" t="str" s="11">
        <x:v>Даташит — производитель</x:v>
      </x:c>
      <x:c xmlns:x="http://schemas.openxmlformats.org/spreadsheetml/2006/main" r="X480" t="str" s="11">
        <x:v>https://yageogroup.com/content/datasheet/asset/file/PYU-RC_GROUP_51_ROHS_L</x:v>
      </x:c>
      <x:c xmlns:x="http://schemas.openxmlformats.org/spreadsheetml/2006/main" r="Y480" t="str" s="11">
        <x:v>C:\Users\Nomatin\Documents\Altium\MY_LIB\MY_LIB\Datasheets\YAGEO_RC_L.pdf</x:v>
      </x:c>
    </ns0:row>
    <ns0:row xmlns:ns0="http://schemas.openxmlformats.org/spreadsheetml/2006/main" r="481" ht="30" customHeight="1">
      <ns0:c r="A481" t="str" s="10">
        <ns0:v>R0487</ns0:v>
      </ns0:c>
      <ns0:c r="B481" t="str" s="10">
        <ns0:v>Резистор</ns0:v>
      </ns0:c>
      <ns0:c r="C481" t="str" s="10">
        <ns0:v>56R</ns0:v>
      </ns0:c>
      <ns0:c r="D481" t="str" s="11">
        <ns0:f>SUBSTITUTE(SUBSTITUTE(SUBSTITUTE(SUBSTITUTE(C481,"meg"," МОм"),"k"," кОм"),"R"," Ом"),".",",")</ns0:f>
        <ns0:v>56 Ом</ns0:v>
      </ns0:c>
      <ns0:c r="E481" t="str" s="10">
        <ns0:v>±1%</ns0:v>
      </ns0:c>
      <ns0:c r="F481" t="str" s="10">
        <ns0:v>0,125 Вт</ns0:v>
      </ns0:c>
      <ns0:c r="G481" t="str" s="10">
        <ns0:v>150 В макс.</ns0:v>
      </ns0:c>
      <ns0:c r="H481" t="str" s="12">
        <ns0:v>0805</ns0:v>
      </ns0:c>
      <ns0:c r="I481" t="str" s="10">
        <ns0:v>YAGEO</ns0:v>
      </ns0:c>
      <ns0:c r="J481" t="str" s="10">
        <ns0:v>RC0805FR-0756RL</ns0:v>
      </ns0:c>
      <ns0:c r="K481" t="str" s="11">
        <ns0:f>B481&amp;" "&amp;D481&amp;" "&amp;E481&amp;" "&amp;H481</ns0:f>
        <ns0:v>Резистор 56 Ом ±1% 0805</ns0:v>
      </ns0:c>
      <ns0:c r="L481" t="str" s="13">
        <ns0:v>R</ns0:v>
      </ns0:c>
      <ns0:c r="M481" t="str" s="13">
        <ns0:v>Symbols\MY_LIB_Resistors.SchLib</ns0:v>
      </ns0:c>
      <ns0:c r="N481" t="str" s="13">
        <ns0:v>RESC2012X70N</ns0:v>
      </ns0:c>
      <ns0:c r="O481" t="str" s="13">
        <ns0:v>Footprints\PBL - SMD Packages.PcbLib</ns0:v>
      </ns0:c>
      <ns0:c r="P481" t="str" s="10">
        <ns0:v>RC_L; E24; P при 70 °C; U ≤ min(√(P·R), Umax)</ns0:v>
      </ns0:c>
      <ns0:c r="Q481" s="10"/>
      <ns0:c r="R481" t="str" s="11">
        <ns0:f>D481</ns0:f>
        <ns0:v>56 Ом</ns0:v>
      </ns0:c>
      <ns0:c r="S481" t="str" s="11">
        <ns0:f>K481</ns0:f>
        <ns0:v>Резистор 56 Ом ±1% 0805</ns0:v>
      </ns0:c>
      <x:c xmlns:x="http://schemas.openxmlformats.org/spreadsheetml/2006/main" r="T481" t="str" s="11">
        <x:v>C:\Users\Nomatin\Documents\Altium\MY_LIB\MY_LIB\Datasheets\YAGEO_RC_L.pdf</x:v>
      </x:c>
      <x:c xmlns:x="http://schemas.openxmlformats.org/spreadsheetml/2006/main" r="U481" t="str" s="11">
        <x:v>Даташит — локальный</x:v>
      </x:c>
      <x:c xmlns:x="http://schemas.openxmlformats.org/spreadsheetml/2006/main" r="V481" t="str" s="11">
        <x:v>C:\Users\Nomatin\Documents\Altium\MY_LIB\MY_LIB\Datasheets\YAGEO_RC_L.pdf</x:v>
      </x:c>
      <x:c xmlns:x="http://schemas.openxmlformats.org/spreadsheetml/2006/main" r="W481" t="str" s="11">
        <x:v>Даташит — производитель</x:v>
      </x:c>
      <x:c xmlns:x="http://schemas.openxmlformats.org/spreadsheetml/2006/main" r="X481" t="str" s="11">
        <x:v>https://yageogroup.com/content/datasheet/asset/file/PYU-RC_GROUP_51_ROHS_L</x:v>
      </x:c>
      <x:c xmlns:x="http://schemas.openxmlformats.org/spreadsheetml/2006/main" r="Y481" t="str" s="11">
        <x:v>C:\Users\Nomatin\Documents\Altium\MY_LIB\MY_LIB\Datasheets\YAGEO_RC_L.pdf</x:v>
      </x:c>
    </ns0:row>
    <ns0:row xmlns:ns0="http://schemas.openxmlformats.org/spreadsheetml/2006/main" r="482" ht="30" customHeight="1">
      <ns0:c r="A482" t="str" s="10">
        <ns0:v>R0488</ns0:v>
      </ns0:c>
      <ns0:c r="B482" t="str" s="10">
        <ns0:v>Резистор</ns0:v>
      </ns0:c>
      <ns0:c r="C482" t="str" s="10">
        <ns0:v>62R</ns0:v>
      </ns0:c>
      <ns0:c r="D482" t="str" s="11">
        <ns0:f>SUBSTITUTE(SUBSTITUTE(SUBSTITUTE(SUBSTITUTE(C482,"meg"," МОм"),"k"," кОм"),"R"," Ом"),".",",")</ns0:f>
        <ns0:v>62 Ом</ns0:v>
      </ns0:c>
      <ns0:c r="E482" t="str" s="10">
        <ns0:v>±1%</ns0:v>
      </ns0:c>
      <ns0:c r="F482" t="str" s="10">
        <ns0:v>0,125 Вт</ns0:v>
      </ns0:c>
      <ns0:c r="G482" t="str" s="10">
        <ns0:v>150 В макс.</ns0:v>
      </ns0:c>
      <ns0:c r="H482" t="str" s="12">
        <ns0:v>0805</ns0:v>
      </ns0:c>
      <ns0:c r="I482" t="str" s="10">
        <ns0:v>YAGEO</ns0:v>
      </ns0:c>
      <ns0:c r="J482" t="str" s="10">
        <ns0:v>RC0805FR-0762RL</ns0:v>
      </ns0:c>
      <ns0:c r="K482" t="str" s="11">
        <ns0:f>B482&amp;" "&amp;D482&amp;" "&amp;E482&amp;" "&amp;H482</ns0:f>
        <ns0:v>Резистор 62 Ом ±1% 0805</ns0:v>
      </ns0:c>
      <ns0:c r="L482" t="str" s="13">
        <ns0:v>R</ns0:v>
      </ns0:c>
      <ns0:c r="M482" t="str" s="13">
        <ns0:v>Symbols\MY_LIB_Resistors.SchLib</ns0:v>
      </ns0:c>
      <ns0:c r="N482" t="str" s="13">
        <ns0:v>RESC2012X70N</ns0:v>
      </ns0:c>
      <ns0:c r="O482" t="str" s="13">
        <ns0:v>Footprints\PBL - SMD Packages.PcbLib</ns0:v>
      </ns0:c>
      <ns0:c r="P482" t="str" s="10">
        <ns0:v>RC_L; E24; P при 70 °C; U ≤ min(√(P·R), Umax)</ns0:v>
      </ns0:c>
      <ns0:c r="Q482" s="10"/>
      <ns0:c r="R482" t="str" s="11">
        <ns0:f>D482</ns0:f>
        <ns0:v>62 Ом</ns0:v>
      </ns0:c>
      <ns0:c r="S482" t="str" s="11">
        <ns0:f>K482</ns0:f>
        <ns0:v>Резистор 62 Ом ±1% 0805</ns0:v>
      </ns0:c>
      <x:c xmlns:x="http://schemas.openxmlformats.org/spreadsheetml/2006/main" r="T482" t="str" s="11">
        <x:v>C:\Users\Nomatin\Documents\Altium\MY_LIB\MY_LIB\Datasheets\YAGEO_RC_L.pdf</x:v>
      </x:c>
      <x:c xmlns:x="http://schemas.openxmlformats.org/spreadsheetml/2006/main" r="U482" t="str" s="11">
        <x:v>Даташит — локальный</x:v>
      </x:c>
      <x:c xmlns:x="http://schemas.openxmlformats.org/spreadsheetml/2006/main" r="V482" t="str" s="11">
        <x:v>C:\Users\Nomatin\Documents\Altium\MY_LIB\MY_LIB\Datasheets\YAGEO_RC_L.pdf</x:v>
      </x:c>
      <x:c xmlns:x="http://schemas.openxmlformats.org/spreadsheetml/2006/main" r="W482" t="str" s="11">
        <x:v>Даташит — производитель</x:v>
      </x:c>
      <x:c xmlns:x="http://schemas.openxmlformats.org/spreadsheetml/2006/main" r="X482" t="str" s="11">
        <x:v>https://yageogroup.com/content/datasheet/asset/file/PYU-RC_GROUP_51_ROHS_L</x:v>
      </x:c>
      <x:c xmlns:x="http://schemas.openxmlformats.org/spreadsheetml/2006/main" r="Y482" t="str" s="11">
        <x:v>C:\Users\Nomatin\Documents\Altium\MY_LIB\MY_LIB\Datasheets\YAGEO_RC_L.pdf</x:v>
      </x:c>
    </ns0:row>
    <ns0:row xmlns:ns0="http://schemas.openxmlformats.org/spreadsheetml/2006/main" r="483" ht="30" customHeight="1">
      <ns0:c r="A483" t="str" s="10">
        <ns0:v>R0489</ns0:v>
      </ns0:c>
      <ns0:c r="B483" t="str" s="10">
        <ns0:v>Резистор</ns0:v>
      </ns0:c>
      <ns0:c r="C483" t="str" s="10">
        <ns0:v>68R</ns0:v>
      </ns0:c>
      <ns0:c r="D483" t="str" s="11">
        <ns0:f>SUBSTITUTE(SUBSTITUTE(SUBSTITUTE(SUBSTITUTE(C483,"meg"," МОм"),"k"," кОм"),"R"," Ом"),".",",")</ns0:f>
        <ns0:v>68 Ом</ns0:v>
      </ns0:c>
      <ns0:c r="E483" t="str" s="10">
        <ns0:v>±1%</ns0:v>
      </ns0:c>
      <ns0:c r="F483" t="str" s="10">
        <ns0:v>0,125 Вт</ns0:v>
      </ns0:c>
      <ns0:c r="G483" t="str" s="10">
        <ns0:v>150 В макс.</ns0:v>
      </ns0:c>
      <ns0:c r="H483" t="str" s="12">
        <ns0:v>0805</ns0:v>
      </ns0:c>
      <ns0:c r="I483" t="str" s="10">
        <ns0:v>YAGEO</ns0:v>
      </ns0:c>
      <ns0:c r="J483" t="str" s="10">
        <ns0:v>RC0805FR-0768RL</ns0:v>
      </ns0:c>
      <ns0:c r="K483" t="str" s="11">
        <ns0:f>B483&amp;" "&amp;D483&amp;" "&amp;E483&amp;" "&amp;H483</ns0:f>
        <ns0:v>Резистор 68 Ом ±1% 0805</ns0:v>
      </ns0:c>
      <ns0:c r="L483" t="str" s="13">
        <ns0:v>R</ns0:v>
      </ns0:c>
      <ns0:c r="M483" t="str" s="13">
        <ns0:v>Symbols\MY_LIB_Resistors.SchLib</ns0:v>
      </ns0:c>
      <ns0:c r="N483" t="str" s="13">
        <ns0:v>RESC2012X70N</ns0:v>
      </ns0:c>
      <ns0:c r="O483" t="str" s="13">
        <ns0:v>Footprints\PBL - SMD Packages.PcbLib</ns0:v>
      </ns0:c>
      <ns0:c r="P483" t="str" s="10">
        <ns0:v>RC_L; E24; P при 70 °C; U ≤ min(√(P·R), Umax)</ns0:v>
      </ns0:c>
      <ns0:c r="Q483" s="10"/>
      <ns0:c r="R483" t="str" s="11">
        <ns0:f>D483</ns0:f>
        <ns0:v>68 Ом</ns0:v>
      </ns0:c>
      <ns0:c r="S483" t="str" s="11">
        <ns0:f>K483</ns0:f>
        <ns0:v>Резистор 68 Ом ±1% 0805</ns0:v>
      </ns0:c>
      <x:c xmlns:x="http://schemas.openxmlformats.org/spreadsheetml/2006/main" r="T483" t="str" s="11">
        <x:v>C:\Users\Nomatin\Documents\Altium\MY_LIB\MY_LIB\Datasheets\YAGEO_RC_L.pdf</x:v>
      </x:c>
      <x:c xmlns:x="http://schemas.openxmlformats.org/spreadsheetml/2006/main" r="U483" t="str" s="11">
        <x:v>Даташит — локальный</x:v>
      </x:c>
      <x:c xmlns:x="http://schemas.openxmlformats.org/spreadsheetml/2006/main" r="V483" t="str" s="11">
        <x:v>C:\Users\Nomatin\Documents\Altium\MY_LIB\MY_LIB\Datasheets\YAGEO_RC_L.pdf</x:v>
      </x:c>
      <x:c xmlns:x="http://schemas.openxmlformats.org/spreadsheetml/2006/main" r="W483" t="str" s="11">
        <x:v>Даташит — производитель</x:v>
      </x:c>
      <x:c xmlns:x="http://schemas.openxmlformats.org/spreadsheetml/2006/main" r="X483" t="str" s="11">
        <x:v>https://yageogroup.com/content/datasheet/asset/file/PYU-RC_GROUP_51_ROHS_L</x:v>
      </x:c>
      <x:c xmlns:x="http://schemas.openxmlformats.org/spreadsheetml/2006/main" r="Y483" t="str" s="11">
        <x:v>C:\Users\Nomatin\Documents\Altium\MY_LIB\MY_LIB\Datasheets\YAGEO_RC_L.pdf</x:v>
      </x:c>
    </ns0:row>
    <ns0:row xmlns:ns0="http://schemas.openxmlformats.org/spreadsheetml/2006/main" r="484" ht="30" customHeight="1">
      <ns0:c r="A484" t="str" s="10">
        <ns0:v>R0490</ns0:v>
      </ns0:c>
      <ns0:c r="B484" t="str" s="10">
        <ns0:v>Резистор</ns0:v>
      </ns0:c>
      <ns0:c r="C484" t="str" s="10">
        <ns0:v>75R</ns0:v>
      </ns0:c>
      <ns0:c r="D484" t="str" s="11">
        <ns0:f>SUBSTITUTE(SUBSTITUTE(SUBSTITUTE(SUBSTITUTE(C484,"meg"," МОм"),"k"," кОм"),"R"," Ом"),".",",")</ns0:f>
        <ns0:v>75 Ом</ns0:v>
      </ns0:c>
      <ns0:c r="E484" t="str" s="10">
        <ns0:v>±1%</ns0:v>
      </ns0:c>
      <ns0:c r="F484" t="str" s="10">
        <ns0:v>0,125 Вт</ns0:v>
      </ns0:c>
      <ns0:c r="G484" t="str" s="10">
        <ns0:v>150 В макс.</ns0:v>
      </ns0:c>
      <ns0:c r="H484" t="str" s="12">
        <ns0:v>0805</ns0:v>
      </ns0:c>
      <ns0:c r="I484" t="str" s="10">
        <ns0:v>YAGEO</ns0:v>
      </ns0:c>
      <ns0:c r="J484" t="str" s="10">
        <ns0:v>RC0805FR-0775RL</ns0:v>
      </ns0:c>
      <ns0:c r="K484" t="str" s="11">
        <ns0:f>B484&amp;" "&amp;D484&amp;" "&amp;E484&amp;" "&amp;H484</ns0:f>
        <ns0:v>Резистор 75 Ом ±1% 0805</ns0:v>
      </ns0:c>
      <ns0:c r="L484" t="str" s="13">
        <ns0:v>R</ns0:v>
      </ns0:c>
      <ns0:c r="M484" t="str" s="13">
        <ns0:v>Symbols\MY_LIB_Resistors.SchLib</ns0:v>
      </ns0:c>
      <ns0:c r="N484" t="str" s="13">
        <ns0:v>RESC2012X70N</ns0:v>
      </ns0:c>
      <ns0:c r="O484" t="str" s="13">
        <ns0:v>Footprints\PBL - SMD Packages.PcbLib</ns0:v>
      </ns0:c>
      <ns0:c r="P484" t="str" s="10">
        <ns0:v>RC_L; E24; P при 70 °C; U ≤ min(√(P·R), Umax)</ns0:v>
      </ns0:c>
      <ns0:c r="Q484" s="10"/>
      <ns0:c r="R484" t="str" s="11">
        <ns0:f>D484</ns0:f>
        <ns0:v>75 Ом</ns0:v>
      </ns0:c>
      <ns0:c r="S484" t="str" s="11">
        <ns0:f>K484</ns0:f>
        <ns0:v>Резистор 75 Ом ±1% 0805</ns0:v>
      </ns0:c>
      <x:c xmlns:x="http://schemas.openxmlformats.org/spreadsheetml/2006/main" r="T484" t="str" s="11">
        <x:v>C:\Users\Nomatin\Documents\Altium\MY_LIB\MY_LIB\Datasheets\YAGEO_RC_L.pdf</x:v>
      </x:c>
      <x:c xmlns:x="http://schemas.openxmlformats.org/spreadsheetml/2006/main" r="U484" t="str" s="11">
        <x:v>Даташит — локальный</x:v>
      </x:c>
      <x:c xmlns:x="http://schemas.openxmlformats.org/spreadsheetml/2006/main" r="V484" t="str" s="11">
        <x:v>C:\Users\Nomatin\Documents\Altium\MY_LIB\MY_LIB\Datasheets\YAGEO_RC_L.pdf</x:v>
      </x:c>
      <x:c xmlns:x="http://schemas.openxmlformats.org/spreadsheetml/2006/main" r="W484" t="str" s="11">
        <x:v>Даташит — производитель</x:v>
      </x:c>
      <x:c xmlns:x="http://schemas.openxmlformats.org/spreadsheetml/2006/main" r="X484" t="str" s="11">
        <x:v>https://yageogroup.com/content/datasheet/asset/file/PYU-RC_GROUP_51_ROHS_L</x:v>
      </x:c>
      <x:c xmlns:x="http://schemas.openxmlformats.org/spreadsheetml/2006/main" r="Y484" t="str" s="11">
        <x:v>C:\Users\Nomatin\Documents\Altium\MY_LIB\MY_LIB\Datasheets\YAGEO_RC_L.pdf</x:v>
      </x:c>
    </ns0:row>
    <ns0:row xmlns:ns0="http://schemas.openxmlformats.org/spreadsheetml/2006/main" r="485" ht="30" customHeight="1">
      <ns0:c r="A485" t="str" s="10">
        <ns0:v>R0491</ns0:v>
      </ns0:c>
      <ns0:c r="B485" t="str" s="10">
        <ns0:v>Резистор</ns0:v>
      </ns0:c>
      <ns0:c r="C485" t="str" s="10">
        <ns0:v>82R</ns0:v>
      </ns0:c>
      <ns0:c r="D485" t="str" s="11">
        <ns0:f>SUBSTITUTE(SUBSTITUTE(SUBSTITUTE(SUBSTITUTE(C485,"meg"," МОм"),"k"," кОм"),"R"," Ом"),".",",")</ns0:f>
        <ns0:v>82 Ом</ns0:v>
      </ns0:c>
      <ns0:c r="E485" t="str" s="10">
        <ns0:v>±1%</ns0:v>
      </ns0:c>
      <ns0:c r="F485" t="str" s="10">
        <ns0:v>0,125 Вт</ns0:v>
      </ns0:c>
      <ns0:c r="G485" t="str" s="10">
        <ns0:v>150 В макс.</ns0:v>
      </ns0:c>
      <ns0:c r="H485" t="str" s="12">
        <ns0:v>0805</ns0:v>
      </ns0:c>
      <ns0:c r="I485" t="str" s="10">
        <ns0:v>YAGEO</ns0:v>
      </ns0:c>
      <ns0:c r="J485" t="str" s="10">
        <ns0:v>RC0805FR-0782RL</ns0:v>
      </ns0:c>
      <ns0:c r="K485" t="str" s="11">
        <ns0:f>B485&amp;" "&amp;D485&amp;" "&amp;E485&amp;" "&amp;H485</ns0:f>
        <ns0:v>Резистор 82 Ом ±1% 0805</ns0:v>
      </ns0:c>
      <ns0:c r="L485" t="str" s="13">
        <ns0:v>R</ns0:v>
      </ns0:c>
      <ns0:c r="M485" t="str" s="13">
        <ns0:v>Symbols\MY_LIB_Resistors.SchLib</ns0:v>
      </ns0:c>
      <ns0:c r="N485" t="str" s="13">
        <ns0:v>RESC2012X70N</ns0:v>
      </ns0:c>
      <ns0:c r="O485" t="str" s="13">
        <ns0:v>Footprints\PBL - SMD Packages.PcbLib</ns0:v>
      </ns0:c>
      <ns0:c r="P485" t="str" s="10">
        <ns0:v>RC_L; E24; P при 70 °C; U ≤ min(√(P·R), Umax)</ns0:v>
      </ns0:c>
      <ns0:c r="Q485" s="10"/>
      <ns0:c r="R485" t="str" s="11">
        <ns0:f>D485</ns0:f>
        <ns0:v>82 Ом</ns0:v>
      </ns0:c>
      <ns0:c r="S485" t="str" s="11">
        <ns0:f>K485</ns0:f>
        <ns0:v>Резистор 82 Ом ±1% 0805</ns0:v>
      </ns0:c>
      <x:c xmlns:x="http://schemas.openxmlformats.org/spreadsheetml/2006/main" r="T485" t="str" s="11">
        <x:v>C:\Users\Nomatin\Documents\Altium\MY_LIB\MY_LIB\Datasheets\YAGEO_RC_L.pdf</x:v>
      </x:c>
      <x:c xmlns:x="http://schemas.openxmlformats.org/spreadsheetml/2006/main" r="U485" t="str" s="11">
        <x:v>Даташит — локальный</x:v>
      </x:c>
      <x:c xmlns:x="http://schemas.openxmlformats.org/spreadsheetml/2006/main" r="V485" t="str" s="11">
        <x:v>C:\Users\Nomatin\Documents\Altium\MY_LIB\MY_LIB\Datasheets\YAGEO_RC_L.pdf</x:v>
      </x:c>
      <x:c xmlns:x="http://schemas.openxmlformats.org/spreadsheetml/2006/main" r="W485" t="str" s="11">
        <x:v>Даташит — производитель</x:v>
      </x:c>
      <x:c xmlns:x="http://schemas.openxmlformats.org/spreadsheetml/2006/main" r="X485" t="str" s="11">
        <x:v>https://yageogroup.com/content/datasheet/asset/file/PYU-RC_GROUP_51_ROHS_L</x:v>
      </x:c>
      <x:c xmlns:x="http://schemas.openxmlformats.org/spreadsheetml/2006/main" r="Y485" t="str" s="11">
        <x:v>C:\Users\Nomatin\Documents\Altium\MY_LIB\MY_LIB\Datasheets\YAGEO_RC_L.pdf</x:v>
      </x:c>
    </ns0:row>
    <ns0:row xmlns:ns0="http://schemas.openxmlformats.org/spreadsheetml/2006/main" r="486" ht="30" customHeight="1">
      <ns0:c r="A486" t="str" s="10">
        <ns0:v>R0492</ns0:v>
      </ns0:c>
      <ns0:c r="B486" t="str" s="10">
        <ns0:v>Резистор</ns0:v>
      </ns0:c>
      <ns0:c r="C486" t="str" s="10">
        <ns0:v>91R</ns0:v>
      </ns0:c>
      <ns0:c r="D486" t="str" s="11">
        <ns0:f>SUBSTITUTE(SUBSTITUTE(SUBSTITUTE(SUBSTITUTE(C486,"meg"," МОм"),"k"," кОм"),"R"," Ом"),".",",")</ns0:f>
        <ns0:v>91 Ом</ns0:v>
      </ns0:c>
      <ns0:c r="E486" t="str" s="10">
        <ns0:v>±1%</ns0:v>
      </ns0:c>
      <ns0:c r="F486" t="str" s="10">
        <ns0:v>0,125 Вт</ns0:v>
      </ns0:c>
      <ns0:c r="G486" t="str" s="10">
        <ns0:v>150 В макс.</ns0:v>
      </ns0:c>
      <ns0:c r="H486" t="str" s="12">
        <ns0:v>0805</ns0:v>
      </ns0:c>
      <ns0:c r="I486" t="str" s="10">
        <ns0:v>YAGEO</ns0:v>
      </ns0:c>
      <ns0:c r="J486" t="str" s="10">
        <ns0:v>RC0805FR-0791RL</ns0:v>
      </ns0:c>
      <ns0:c r="K486" t="str" s="11">
        <ns0:f>B486&amp;" "&amp;D486&amp;" "&amp;E486&amp;" "&amp;H486</ns0:f>
        <ns0:v>Резистор 91 Ом ±1% 0805</ns0:v>
      </ns0:c>
      <ns0:c r="L486" t="str" s="13">
        <ns0:v>R</ns0:v>
      </ns0:c>
      <ns0:c r="M486" t="str" s="13">
        <ns0:v>Symbols\MY_LIB_Resistors.SchLib</ns0:v>
      </ns0:c>
      <ns0:c r="N486" t="str" s="13">
        <ns0:v>RESC2012X70N</ns0:v>
      </ns0:c>
      <ns0:c r="O486" t="str" s="13">
        <ns0:v>Footprints\PBL - SMD Packages.PcbLib</ns0:v>
      </ns0:c>
      <ns0:c r="P486" t="str" s="10">
        <ns0:v>RC_L; E24; P при 70 °C; U ≤ min(√(P·R), Umax)</ns0:v>
      </ns0:c>
      <ns0:c r="Q486" s="10"/>
      <ns0:c r="R486" t="str" s="11">
        <ns0:f>D486</ns0:f>
        <ns0:v>91 Ом</ns0:v>
      </ns0:c>
      <ns0:c r="S486" t="str" s="11">
        <ns0:f>K486</ns0:f>
        <ns0:v>Резистор 91 Ом ±1% 0805</ns0:v>
      </ns0:c>
      <x:c xmlns:x="http://schemas.openxmlformats.org/spreadsheetml/2006/main" r="T486" t="str" s="11">
        <x:v>C:\Users\Nomatin\Documents\Altium\MY_LIB\MY_LIB\Datasheets\YAGEO_RC_L.pdf</x:v>
      </x:c>
      <x:c xmlns:x="http://schemas.openxmlformats.org/spreadsheetml/2006/main" r="U486" t="str" s="11">
        <x:v>Даташит — локальный</x:v>
      </x:c>
      <x:c xmlns:x="http://schemas.openxmlformats.org/spreadsheetml/2006/main" r="V486" t="str" s="11">
        <x:v>C:\Users\Nomatin\Documents\Altium\MY_LIB\MY_LIB\Datasheets\YAGEO_RC_L.pdf</x:v>
      </x:c>
      <x:c xmlns:x="http://schemas.openxmlformats.org/spreadsheetml/2006/main" r="W486" t="str" s="11">
        <x:v>Даташит — производитель</x:v>
      </x:c>
      <x:c xmlns:x="http://schemas.openxmlformats.org/spreadsheetml/2006/main" r="X486" t="str" s="11">
        <x:v>https://yageogroup.com/content/datasheet/asset/file/PYU-RC_GROUP_51_ROHS_L</x:v>
      </x:c>
      <x:c xmlns:x="http://schemas.openxmlformats.org/spreadsheetml/2006/main" r="Y486" t="str" s="11">
        <x:v>C:\Users\Nomatin\Documents\Altium\MY_LIB\MY_LIB\Datasheets\YAGEO_RC_L.pdf</x:v>
      </x:c>
    </ns0:row>
    <ns0:row xmlns:ns0="http://schemas.openxmlformats.org/spreadsheetml/2006/main" r="487" ht="30" customHeight="1">
      <ns0:c r="A487" t="str" s="10">
        <ns0:v>R0493</ns0:v>
      </ns0:c>
      <ns0:c r="B487" t="str" s="10">
        <ns0:v>Резистор</ns0:v>
      </ns0:c>
      <ns0:c r="C487" t="str" s="10">
        <ns0:v>100R</ns0:v>
      </ns0:c>
      <ns0:c r="D487" t="str" s="11">
        <ns0:f>SUBSTITUTE(SUBSTITUTE(SUBSTITUTE(SUBSTITUTE(C487,"meg"," МОм"),"k"," кОм"),"R"," Ом"),".",",")</ns0:f>
        <ns0:v>100 Ом</ns0:v>
      </ns0:c>
      <ns0:c r="E487" t="str" s="10">
        <ns0:v>±1%</ns0:v>
      </ns0:c>
      <ns0:c r="F487" t="str" s="10">
        <ns0:v>0,125 Вт</ns0:v>
      </ns0:c>
      <ns0:c r="G487" t="str" s="10">
        <ns0:v>150 В макс.</ns0:v>
      </ns0:c>
      <ns0:c r="H487" t="str" s="12">
        <ns0:v>0805</ns0:v>
      </ns0:c>
      <ns0:c r="I487" t="str" s="10">
        <ns0:v>YAGEO</ns0:v>
      </ns0:c>
      <ns0:c r="J487" t="str" s="10">
        <ns0:v>RC0805FR-07100RL</ns0:v>
      </ns0:c>
      <ns0:c r="K487" t="str" s="11">
        <ns0:f>B487&amp;" "&amp;D487&amp;" "&amp;E487&amp;" "&amp;H487</ns0:f>
        <ns0:v>Резистор 100 Ом ±1% 0805</ns0:v>
      </ns0:c>
      <ns0:c r="L487" t="str" s="13">
        <ns0:v>R</ns0:v>
      </ns0:c>
      <ns0:c r="M487" t="str" s="13">
        <ns0:v>Symbols\MY_LIB_Resistors.SchLib</ns0:v>
      </ns0:c>
      <ns0:c r="N487" t="str" s="13">
        <ns0:v>RESC2012X70N</ns0:v>
      </ns0:c>
      <ns0:c r="O487" t="str" s="13">
        <ns0:v>Footprints\PBL - SMD Packages.PcbLib</ns0:v>
      </ns0:c>
      <ns0:c r="P487" t="str" s="10">
        <ns0:v>RC_L; E24; P при 70 °C; U ≤ min(√(P·R), Umax)</ns0:v>
      </ns0:c>
      <ns0:c r="Q487" s="10"/>
      <ns0:c r="R487" t="str" s="11">
        <ns0:f>D487</ns0:f>
        <ns0:v>100 Ом</ns0:v>
      </ns0:c>
      <ns0:c r="S487" t="str" s="11">
        <ns0:f>K487</ns0:f>
        <ns0:v>Резистор 100 Ом ±1% 0805</ns0:v>
      </ns0:c>
      <x:c xmlns:x="http://schemas.openxmlformats.org/spreadsheetml/2006/main" r="T487" t="str" s="11">
        <x:v>C:\Users\Nomatin\Documents\Altium\MY_LIB\MY_LIB\Datasheets\YAGEO_RC_L.pdf</x:v>
      </x:c>
      <x:c xmlns:x="http://schemas.openxmlformats.org/spreadsheetml/2006/main" r="U487" t="str" s="11">
        <x:v>Даташит — локальный</x:v>
      </x:c>
      <x:c xmlns:x="http://schemas.openxmlformats.org/spreadsheetml/2006/main" r="V487" t="str" s="11">
        <x:v>C:\Users\Nomatin\Documents\Altium\MY_LIB\MY_LIB\Datasheets\YAGEO_RC_L.pdf</x:v>
      </x:c>
      <x:c xmlns:x="http://schemas.openxmlformats.org/spreadsheetml/2006/main" r="W487" t="str" s="11">
        <x:v>Даташит — производитель</x:v>
      </x:c>
      <x:c xmlns:x="http://schemas.openxmlformats.org/spreadsheetml/2006/main" r="X487" t="str" s="11">
        <x:v>https://yageogroup.com/content/datasheet/asset/file/PYU-RC_GROUP_51_ROHS_L</x:v>
      </x:c>
      <x:c xmlns:x="http://schemas.openxmlformats.org/spreadsheetml/2006/main" r="Y487" t="str" s="11">
        <x:v>C:\Users\Nomatin\Documents\Altium\MY_LIB\MY_LIB\Datasheets\YAGEO_RC_L.pdf</x:v>
      </x:c>
    </ns0:row>
    <ns0:row xmlns:ns0="http://schemas.openxmlformats.org/spreadsheetml/2006/main" r="488" ht="30" customHeight="1">
      <ns0:c r="A488" t="str" s="10">
        <ns0:v>R0494</ns0:v>
      </ns0:c>
      <ns0:c r="B488" t="str" s="10">
        <ns0:v>Резистор</ns0:v>
      </ns0:c>
      <ns0:c r="C488" t="str" s="10">
        <ns0:v>110R</ns0:v>
      </ns0:c>
      <ns0:c r="D488" t="str" s="11">
        <ns0:f>SUBSTITUTE(SUBSTITUTE(SUBSTITUTE(SUBSTITUTE(C488,"meg"," МОм"),"k"," кОм"),"R"," Ом"),".",",")</ns0:f>
        <ns0:v>110 Ом</ns0:v>
      </ns0:c>
      <ns0:c r="E488" t="str" s="10">
        <ns0:v>±1%</ns0:v>
      </ns0:c>
      <ns0:c r="F488" t="str" s="10">
        <ns0:v>0,125 Вт</ns0:v>
      </ns0:c>
      <ns0:c r="G488" t="str" s="10">
        <ns0:v>150 В макс.</ns0:v>
      </ns0:c>
      <ns0:c r="H488" t="str" s="12">
        <ns0:v>0805</ns0:v>
      </ns0:c>
      <ns0:c r="I488" t="str" s="10">
        <ns0:v>YAGEO</ns0:v>
      </ns0:c>
      <ns0:c r="J488" t="str" s="10">
        <ns0:v>RC0805FR-07110RL</ns0:v>
      </ns0:c>
      <ns0:c r="K488" t="str" s="11">
        <ns0:f>B488&amp;" "&amp;D488&amp;" "&amp;E488&amp;" "&amp;H488</ns0:f>
        <ns0:v>Резистор 110 Ом ±1% 0805</ns0:v>
      </ns0:c>
      <ns0:c r="L488" t="str" s="13">
        <ns0:v>R</ns0:v>
      </ns0:c>
      <ns0:c r="M488" t="str" s="13">
        <ns0:v>Symbols\MY_LIB_Resistors.SchLib</ns0:v>
      </ns0:c>
      <ns0:c r="N488" t="str" s="13">
        <ns0:v>RESC2012X70N</ns0:v>
      </ns0:c>
      <ns0:c r="O488" t="str" s="13">
        <ns0:v>Footprints\PBL - SMD Packages.PcbLib</ns0:v>
      </ns0:c>
      <ns0:c r="P488" t="str" s="10">
        <ns0:v>RC_L; E24; P при 70 °C; U ≤ min(√(P·R), Umax)</ns0:v>
      </ns0:c>
      <ns0:c r="Q488" s="10"/>
      <ns0:c r="R488" t="str" s="11">
        <ns0:f>D488</ns0:f>
        <ns0:v>110 Ом</ns0:v>
      </ns0:c>
      <ns0:c r="S488" t="str" s="11">
        <ns0:f>K488</ns0:f>
        <ns0:v>Резистор 110 Ом ±1% 0805</ns0:v>
      </ns0:c>
      <x:c xmlns:x="http://schemas.openxmlformats.org/spreadsheetml/2006/main" r="T488" t="str" s="11">
        <x:v>C:\Users\Nomatin\Documents\Altium\MY_LIB\MY_LIB\Datasheets\YAGEO_RC_L.pdf</x:v>
      </x:c>
      <x:c xmlns:x="http://schemas.openxmlformats.org/spreadsheetml/2006/main" r="U488" t="str" s="11">
        <x:v>Даташит — локальный</x:v>
      </x:c>
      <x:c xmlns:x="http://schemas.openxmlformats.org/spreadsheetml/2006/main" r="V488" t="str" s="11">
        <x:v>C:\Users\Nomatin\Documents\Altium\MY_LIB\MY_LIB\Datasheets\YAGEO_RC_L.pdf</x:v>
      </x:c>
      <x:c xmlns:x="http://schemas.openxmlformats.org/spreadsheetml/2006/main" r="W488" t="str" s="11">
        <x:v>Даташит — производитель</x:v>
      </x:c>
      <x:c xmlns:x="http://schemas.openxmlformats.org/spreadsheetml/2006/main" r="X488" t="str" s="11">
        <x:v>https://yageogroup.com/content/datasheet/asset/file/PYU-RC_GROUP_51_ROHS_L</x:v>
      </x:c>
      <x:c xmlns:x="http://schemas.openxmlformats.org/spreadsheetml/2006/main" r="Y488" t="str" s="11">
        <x:v>C:\Users\Nomatin\Documents\Altium\MY_LIB\MY_LIB\Datasheets\YAGEO_RC_L.pdf</x:v>
      </x:c>
    </ns0:row>
    <ns0:row xmlns:ns0="http://schemas.openxmlformats.org/spreadsheetml/2006/main" r="489" ht="30" customHeight="1">
      <ns0:c r="A489" t="str" s="10">
        <ns0:v>R0495</ns0:v>
      </ns0:c>
      <ns0:c r="B489" t="str" s="10">
        <ns0:v>Резистор</ns0:v>
      </ns0:c>
      <ns0:c r="C489" t="str" s="10">
        <ns0:v>120R</ns0:v>
      </ns0:c>
      <ns0:c r="D489" t="str" s="11">
        <ns0:f>SUBSTITUTE(SUBSTITUTE(SUBSTITUTE(SUBSTITUTE(C489,"meg"," МОм"),"k"," кОм"),"R"," Ом"),".",",")</ns0:f>
        <ns0:v>120 Ом</ns0:v>
      </ns0:c>
      <ns0:c r="E489" t="str" s="10">
        <ns0:v>±1%</ns0:v>
      </ns0:c>
      <ns0:c r="F489" t="str" s="10">
        <ns0:v>0,125 Вт</ns0:v>
      </ns0:c>
      <ns0:c r="G489" t="str" s="10">
        <ns0:v>150 В макс.</ns0:v>
      </ns0:c>
      <ns0:c r="H489" t="str" s="12">
        <ns0:v>0805</ns0:v>
      </ns0:c>
      <ns0:c r="I489" t="str" s="10">
        <ns0:v>YAGEO</ns0:v>
      </ns0:c>
      <ns0:c r="J489" t="str" s="10">
        <ns0:v>RC0805FR-07120RL</ns0:v>
      </ns0:c>
      <ns0:c r="K489" t="str" s="11">
        <ns0:f>B489&amp;" "&amp;D489&amp;" "&amp;E489&amp;" "&amp;H489</ns0:f>
        <ns0:v>Резистор 120 Ом ±1% 0805</ns0:v>
      </ns0:c>
      <ns0:c r="L489" t="str" s="13">
        <ns0:v>R</ns0:v>
      </ns0:c>
      <ns0:c r="M489" t="str" s="13">
        <ns0:v>Symbols\MY_LIB_Resistors.SchLib</ns0:v>
      </ns0:c>
      <ns0:c r="N489" t="str" s="13">
        <ns0:v>RESC2012X70N</ns0:v>
      </ns0:c>
      <ns0:c r="O489" t="str" s="13">
        <ns0:v>Footprints\PBL - SMD Packages.PcbLib</ns0:v>
      </ns0:c>
      <ns0:c r="P489" t="str" s="10">
        <ns0:v>RC_L; E24; P при 70 °C; U ≤ min(√(P·R), Umax)</ns0:v>
      </ns0:c>
      <ns0:c r="Q489" s="10"/>
      <ns0:c r="R489" t="str" s="11">
        <ns0:f>D489</ns0:f>
        <ns0:v>120 Ом</ns0:v>
      </ns0:c>
      <ns0:c r="S489" t="str" s="11">
        <ns0:f>K489</ns0:f>
        <ns0:v>Резистор 120 Ом ±1% 0805</ns0:v>
      </ns0:c>
      <x:c xmlns:x="http://schemas.openxmlformats.org/spreadsheetml/2006/main" r="T489" t="str" s="11">
        <x:v>C:\Users\Nomatin\Documents\Altium\MY_LIB\MY_LIB\Datasheets\YAGEO_RC_L.pdf</x:v>
      </x:c>
      <x:c xmlns:x="http://schemas.openxmlformats.org/spreadsheetml/2006/main" r="U489" t="str" s="11">
        <x:v>Даташит — локальный</x:v>
      </x:c>
      <x:c xmlns:x="http://schemas.openxmlformats.org/spreadsheetml/2006/main" r="V489" t="str" s="11">
        <x:v>C:\Users\Nomatin\Documents\Altium\MY_LIB\MY_LIB\Datasheets\YAGEO_RC_L.pdf</x:v>
      </x:c>
      <x:c xmlns:x="http://schemas.openxmlformats.org/spreadsheetml/2006/main" r="W489" t="str" s="11">
        <x:v>Даташит — производитель</x:v>
      </x:c>
      <x:c xmlns:x="http://schemas.openxmlformats.org/spreadsheetml/2006/main" r="X489" t="str" s="11">
        <x:v>https://yageogroup.com/content/datasheet/asset/file/PYU-RC_GROUP_51_ROHS_L</x:v>
      </x:c>
      <x:c xmlns:x="http://schemas.openxmlformats.org/spreadsheetml/2006/main" r="Y489" t="str" s="11">
        <x:v>C:\Users\Nomatin\Documents\Altium\MY_LIB\MY_LIB\Datasheets\YAGEO_RC_L.pdf</x:v>
      </x:c>
    </ns0:row>
    <ns0:row xmlns:ns0="http://schemas.openxmlformats.org/spreadsheetml/2006/main" r="490" ht="30" customHeight="1">
      <ns0:c r="A490" t="str" s="10">
        <ns0:v>R0496</ns0:v>
      </ns0:c>
      <ns0:c r="B490" t="str" s="10">
        <ns0:v>Резистор</ns0:v>
      </ns0:c>
      <ns0:c r="C490" t="str" s="10">
        <ns0:v>130R</ns0:v>
      </ns0:c>
      <ns0:c r="D490" t="str" s="11">
        <ns0:f>SUBSTITUTE(SUBSTITUTE(SUBSTITUTE(SUBSTITUTE(C490,"meg"," МОм"),"k"," кОм"),"R"," Ом"),".",",")</ns0:f>
        <ns0:v>130 Ом</ns0:v>
      </ns0:c>
      <ns0:c r="E490" t="str" s="10">
        <ns0:v>±1%</ns0:v>
      </ns0:c>
      <ns0:c r="F490" t="str" s="10">
        <ns0:v>0,125 Вт</ns0:v>
      </ns0:c>
      <ns0:c r="G490" t="str" s="10">
        <ns0:v>150 В макс.</ns0:v>
      </ns0:c>
      <ns0:c r="H490" t="str" s="12">
        <ns0:v>0805</ns0:v>
      </ns0:c>
      <ns0:c r="I490" t="str" s="10">
        <ns0:v>YAGEO</ns0:v>
      </ns0:c>
      <ns0:c r="J490" t="str" s="10">
        <ns0:v>RC0805FR-07130RL</ns0:v>
      </ns0:c>
      <ns0:c r="K490" t="str" s="11">
        <ns0:f>B490&amp;" "&amp;D490&amp;" "&amp;E490&amp;" "&amp;H490</ns0:f>
        <ns0:v>Резистор 130 Ом ±1% 0805</ns0:v>
      </ns0:c>
      <ns0:c r="L490" t="str" s="13">
        <ns0:v>R</ns0:v>
      </ns0:c>
      <ns0:c r="M490" t="str" s="13">
        <ns0:v>Symbols\MY_LIB_Resistors.SchLib</ns0:v>
      </ns0:c>
      <ns0:c r="N490" t="str" s="13">
        <ns0:v>RESC2012X70N</ns0:v>
      </ns0:c>
      <ns0:c r="O490" t="str" s="13">
        <ns0:v>Footprints\PBL - SMD Packages.PcbLib</ns0:v>
      </ns0:c>
      <ns0:c r="P490" t="str" s="10">
        <ns0:v>RC_L; E24; P при 70 °C; U ≤ min(√(P·R), Umax)</ns0:v>
      </ns0:c>
      <ns0:c r="Q490" s="10"/>
      <ns0:c r="R490" t="str" s="11">
        <ns0:f>D490</ns0:f>
        <ns0:v>130 Ом</ns0:v>
      </ns0:c>
      <ns0:c r="S490" t="str" s="11">
        <ns0:f>K490</ns0:f>
        <ns0:v>Резистор 130 Ом ±1% 0805</ns0:v>
      </ns0:c>
      <x:c xmlns:x="http://schemas.openxmlformats.org/spreadsheetml/2006/main" r="T490" t="str" s="11">
        <x:v>C:\Users\Nomatin\Documents\Altium\MY_LIB\MY_LIB\Datasheets\YAGEO_RC_L.pdf</x:v>
      </x:c>
      <x:c xmlns:x="http://schemas.openxmlformats.org/spreadsheetml/2006/main" r="U490" t="str" s="11">
        <x:v>Даташит — локальный</x:v>
      </x:c>
      <x:c xmlns:x="http://schemas.openxmlformats.org/spreadsheetml/2006/main" r="V490" t="str" s="11">
        <x:v>C:\Users\Nomatin\Documents\Altium\MY_LIB\MY_LIB\Datasheets\YAGEO_RC_L.pdf</x:v>
      </x:c>
      <x:c xmlns:x="http://schemas.openxmlformats.org/spreadsheetml/2006/main" r="W490" t="str" s="11">
        <x:v>Даташит — производитель</x:v>
      </x:c>
      <x:c xmlns:x="http://schemas.openxmlformats.org/spreadsheetml/2006/main" r="X490" t="str" s="11">
        <x:v>https://yageogroup.com/content/datasheet/asset/file/PYU-RC_GROUP_51_ROHS_L</x:v>
      </x:c>
      <x:c xmlns:x="http://schemas.openxmlformats.org/spreadsheetml/2006/main" r="Y490" t="str" s="11">
        <x:v>C:\Users\Nomatin\Documents\Altium\MY_LIB\MY_LIB\Datasheets\YAGEO_RC_L.pdf</x:v>
      </x:c>
    </ns0:row>
    <ns0:row xmlns:ns0="http://schemas.openxmlformats.org/spreadsheetml/2006/main" r="491" ht="30" customHeight="1">
      <ns0:c r="A491" t="str" s="10">
        <ns0:v>R0497</ns0:v>
      </ns0:c>
      <ns0:c r="B491" t="str" s="10">
        <ns0:v>Резистор</ns0:v>
      </ns0:c>
      <ns0:c r="C491" t="str" s="10">
        <ns0:v>150R</ns0:v>
      </ns0:c>
      <ns0:c r="D491" t="str" s="11">
        <ns0:f>SUBSTITUTE(SUBSTITUTE(SUBSTITUTE(SUBSTITUTE(C491,"meg"," МОм"),"k"," кОм"),"R"," Ом"),".",",")</ns0:f>
        <ns0:v>150 Ом</ns0:v>
      </ns0:c>
      <ns0:c r="E491" t="str" s="10">
        <ns0:v>±1%</ns0:v>
      </ns0:c>
      <ns0:c r="F491" t="str" s="10">
        <ns0:v>0,125 Вт</ns0:v>
      </ns0:c>
      <ns0:c r="G491" t="str" s="10">
        <ns0:v>150 В макс.</ns0:v>
      </ns0:c>
      <ns0:c r="H491" t="str" s="12">
        <ns0:v>0805</ns0:v>
      </ns0:c>
      <ns0:c r="I491" t="str" s="10">
        <ns0:v>YAGEO</ns0:v>
      </ns0:c>
      <ns0:c r="J491" t="str" s="10">
        <ns0:v>RC0805FR-07150RL</ns0:v>
      </ns0:c>
      <ns0:c r="K491" t="str" s="11">
        <ns0:f>B491&amp;" "&amp;D491&amp;" "&amp;E491&amp;" "&amp;H491</ns0:f>
        <ns0:v>Резистор 150 Ом ±1% 0805</ns0:v>
      </ns0:c>
      <ns0:c r="L491" t="str" s="13">
        <ns0:v>R</ns0:v>
      </ns0:c>
      <ns0:c r="M491" t="str" s="13">
        <ns0:v>Symbols\MY_LIB_Resistors.SchLib</ns0:v>
      </ns0:c>
      <ns0:c r="N491" t="str" s="13">
        <ns0:v>RESC2012X70N</ns0:v>
      </ns0:c>
      <ns0:c r="O491" t="str" s="13">
        <ns0:v>Footprints\PBL - SMD Packages.PcbLib</ns0:v>
      </ns0:c>
      <ns0:c r="P491" t="str" s="10">
        <ns0:v>RC_L; E24; P при 70 °C; U ≤ min(√(P·R), Umax)</ns0:v>
      </ns0:c>
      <ns0:c r="Q491" s="10"/>
      <ns0:c r="R491" t="str" s="11">
        <ns0:f>D491</ns0:f>
        <ns0:v>150 Ом</ns0:v>
      </ns0:c>
      <ns0:c r="S491" t="str" s="11">
        <ns0:f>K491</ns0:f>
        <ns0:v>Резистор 150 Ом ±1% 0805</ns0:v>
      </ns0:c>
      <x:c xmlns:x="http://schemas.openxmlformats.org/spreadsheetml/2006/main" r="T491" t="str" s="11">
        <x:v>C:\Users\Nomatin\Documents\Altium\MY_LIB\MY_LIB\Datasheets\YAGEO_RC_L.pdf</x:v>
      </x:c>
      <x:c xmlns:x="http://schemas.openxmlformats.org/spreadsheetml/2006/main" r="U491" t="str" s="11">
        <x:v>Даташит — локальный</x:v>
      </x:c>
      <x:c xmlns:x="http://schemas.openxmlformats.org/spreadsheetml/2006/main" r="V491" t="str" s="11">
        <x:v>C:\Users\Nomatin\Documents\Altium\MY_LIB\MY_LIB\Datasheets\YAGEO_RC_L.pdf</x:v>
      </x:c>
      <x:c xmlns:x="http://schemas.openxmlformats.org/spreadsheetml/2006/main" r="W491" t="str" s="11">
        <x:v>Даташит — производитель</x:v>
      </x:c>
      <x:c xmlns:x="http://schemas.openxmlformats.org/spreadsheetml/2006/main" r="X491" t="str" s="11">
        <x:v>https://yageogroup.com/content/datasheet/asset/file/PYU-RC_GROUP_51_ROHS_L</x:v>
      </x:c>
      <x:c xmlns:x="http://schemas.openxmlformats.org/spreadsheetml/2006/main" r="Y491" t="str" s="11">
        <x:v>C:\Users\Nomatin\Documents\Altium\MY_LIB\MY_LIB\Datasheets\YAGEO_RC_L.pdf</x:v>
      </x:c>
    </ns0:row>
    <ns0:row xmlns:ns0="http://schemas.openxmlformats.org/spreadsheetml/2006/main" r="492" ht="30" customHeight="1">
      <ns0:c r="A492" t="str" s="10">
        <ns0:v>R0498</ns0:v>
      </ns0:c>
      <ns0:c r="B492" t="str" s="10">
        <ns0:v>Резистор</ns0:v>
      </ns0:c>
      <ns0:c r="C492" t="str" s="10">
        <ns0:v>160R</ns0:v>
      </ns0:c>
      <ns0:c r="D492" t="str" s="11">
        <ns0:f>SUBSTITUTE(SUBSTITUTE(SUBSTITUTE(SUBSTITUTE(C492,"meg"," МОм"),"k"," кОм"),"R"," Ом"),".",",")</ns0:f>
        <ns0:v>160 Ом</ns0:v>
      </ns0:c>
      <ns0:c r="E492" t="str" s="10">
        <ns0:v>±1%</ns0:v>
      </ns0:c>
      <ns0:c r="F492" t="str" s="10">
        <ns0:v>0,125 Вт</ns0:v>
      </ns0:c>
      <ns0:c r="G492" t="str" s="10">
        <ns0:v>150 В макс.</ns0:v>
      </ns0:c>
      <ns0:c r="H492" t="str" s="12">
        <ns0:v>0805</ns0:v>
      </ns0:c>
      <ns0:c r="I492" t="str" s="10">
        <ns0:v>YAGEO</ns0:v>
      </ns0:c>
      <ns0:c r="J492" t="str" s="10">
        <ns0:v>RC0805FR-07160RL</ns0:v>
      </ns0:c>
      <ns0:c r="K492" t="str" s="11">
        <ns0:f>B492&amp;" "&amp;D492&amp;" "&amp;E492&amp;" "&amp;H492</ns0:f>
        <ns0:v>Резистор 160 Ом ±1% 0805</ns0:v>
      </ns0:c>
      <ns0:c r="L492" t="str" s="13">
        <ns0:v>R</ns0:v>
      </ns0:c>
      <ns0:c r="M492" t="str" s="13">
        <ns0:v>Symbols\MY_LIB_Resistors.SchLib</ns0:v>
      </ns0:c>
      <ns0:c r="N492" t="str" s="13">
        <ns0:v>RESC2012X70N</ns0:v>
      </ns0:c>
      <ns0:c r="O492" t="str" s="13">
        <ns0:v>Footprints\PBL - SMD Packages.PcbLib</ns0:v>
      </ns0:c>
      <ns0:c r="P492" t="str" s="10">
        <ns0:v>RC_L; E24; P при 70 °C; U ≤ min(√(P·R), Umax)</ns0:v>
      </ns0:c>
      <ns0:c r="Q492" s="10"/>
      <ns0:c r="R492" t="str" s="11">
        <ns0:f>D492</ns0:f>
        <ns0:v>160 Ом</ns0:v>
      </ns0:c>
      <ns0:c r="S492" t="str" s="11">
        <ns0:f>K492</ns0:f>
        <ns0:v>Резистор 160 Ом ±1% 0805</ns0:v>
      </ns0:c>
      <x:c xmlns:x="http://schemas.openxmlformats.org/spreadsheetml/2006/main" r="T492" t="str" s="11">
        <x:v>C:\Users\Nomatin\Documents\Altium\MY_LIB\MY_LIB\Datasheets\YAGEO_RC_L.pdf</x:v>
      </x:c>
      <x:c xmlns:x="http://schemas.openxmlformats.org/spreadsheetml/2006/main" r="U492" t="str" s="11">
        <x:v>Даташит — локальный</x:v>
      </x:c>
      <x:c xmlns:x="http://schemas.openxmlformats.org/spreadsheetml/2006/main" r="V492" t="str" s="11">
        <x:v>C:\Users\Nomatin\Documents\Altium\MY_LIB\MY_LIB\Datasheets\YAGEO_RC_L.pdf</x:v>
      </x:c>
      <x:c xmlns:x="http://schemas.openxmlformats.org/spreadsheetml/2006/main" r="W492" t="str" s="11">
        <x:v>Даташит — производитель</x:v>
      </x:c>
      <x:c xmlns:x="http://schemas.openxmlformats.org/spreadsheetml/2006/main" r="X492" t="str" s="11">
        <x:v>https://yageogroup.com/content/datasheet/asset/file/PYU-RC_GROUP_51_ROHS_L</x:v>
      </x:c>
      <x:c xmlns:x="http://schemas.openxmlformats.org/spreadsheetml/2006/main" r="Y492" t="str" s="11">
        <x:v>C:\Users\Nomatin\Documents\Altium\MY_LIB\MY_LIB\Datasheets\YAGEO_RC_L.pdf</x:v>
      </x:c>
    </ns0:row>
    <ns0:row xmlns:ns0="http://schemas.openxmlformats.org/spreadsheetml/2006/main" r="493" ht="30" customHeight="1">
      <ns0:c r="A493" t="str" s="10">
        <ns0:v>R0499</ns0:v>
      </ns0:c>
      <ns0:c r="B493" t="str" s="10">
        <ns0:v>Резистор</ns0:v>
      </ns0:c>
      <ns0:c r="C493" t="str" s="10">
        <ns0:v>180R</ns0:v>
      </ns0:c>
      <ns0:c r="D493" t="str" s="11">
        <ns0:f>SUBSTITUTE(SUBSTITUTE(SUBSTITUTE(SUBSTITUTE(C493,"meg"," МОм"),"k"," кОм"),"R"," Ом"),".",",")</ns0:f>
        <ns0:v>180 Ом</ns0:v>
      </ns0:c>
      <ns0:c r="E493" t="str" s="10">
        <ns0:v>±1%</ns0:v>
      </ns0:c>
      <ns0:c r="F493" t="str" s="10">
        <ns0:v>0,125 Вт</ns0:v>
      </ns0:c>
      <ns0:c r="G493" t="str" s="10">
        <ns0:v>150 В макс.</ns0:v>
      </ns0:c>
      <ns0:c r="H493" t="str" s="12">
        <ns0:v>0805</ns0:v>
      </ns0:c>
      <ns0:c r="I493" t="str" s="10">
        <ns0:v>YAGEO</ns0:v>
      </ns0:c>
      <ns0:c r="J493" t="str" s="10">
        <ns0:v>RC0805FR-07180RL</ns0:v>
      </ns0:c>
      <ns0:c r="K493" t="str" s="11">
        <ns0:f>B493&amp;" "&amp;D493&amp;" "&amp;E493&amp;" "&amp;H493</ns0:f>
        <ns0:v>Резистор 180 Ом ±1% 0805</ns0:v>
      </ns0:c>
      <ns0:c r="L493" t="str" s="13">
        <ns0:v>R</ns0:v>
      </ns0:c>
      <ns0:c r="M493" t="str" s="13">
        <ns0:v>Symbols\MY_LIB_Resistors.SchLib</ns0:v>
      </ns0:c>
      <ns0:c r="N493" t="str" s="13">
        <ns0:v>RESC2012X70N</ns0:v>
      </ns0:c>
      <ns0:c r="O493" t="str" s="13">
        <ns0:v>Footprints\PBL - SMD Packages.PcbLib</ns0:v>
      </ns0:c>
      <ns0:c r="P493" t="str" s="10">
        <ns0:v>RC_L; E24; P при 70 °C; U ≤ min(√(P·R), Umax)</ns0:v>
      </ns0:c>
      <ns0:c r="Q493" s="10"/>
      <ns0:c r="R493" t="str" s="11">
        <ns0:f>D493</ns0:f>
        <ns0:v>180 Ом</ns0:v>
      </ns0:c>
      <ns0:c r="S493" t="str" s="11">
        <ns0:f>K493</ns0:f>
        <ns0:v>Резистор 180 Ом ±1% 0805</ns0:v>
      </ns0:c>
      <x:c xmlns:x="http://schemas.openxmlformats.org/spreadsheetml/2006/main" r="T493" t="str" s="11">
        <x:v>C:\Users\Nomatin\Documents\Altium\MY_LIB\MY_LIB\Datasheets\YAGEO_RC_L.pdf</x:v>
      </x:c>
      <x:c xmlns:x="http://schemas.openxmlformats.org/spreadsheetml/2006/main" r="U493" t="str" s="11">
        <x:v>Даташит — локальный</x:v>
      </x:c>
      <x:c xmlns:x="http://schemas.openxmlformats.org/spreadsheetml/2006/main" r="V493" t="str" s="11">
        <x:v>C:\Users\Nomatin\Documents\Altium\MY_LIB\MY_LIB\Datasheets\YAGEO_RC_L.pdf</x:v>
      </x:c>
      <x:c xmlns:x="http://schemas.openxmlformats.org/spreadsheetml/2006/main" r="W493" t="str" s="11">
        <x:v>Даташит — производитель</x:v>
      </x:c>
      <x:c xmlns:x="http://schemas.openxmlformats.org/spreadsheetml/2006/main" r="X493" t="str" s="11">
        <x:v>https://yageogroup.com/content/datasheet/asset/file/PYU-RC_GROUP_51_ROHS_L</x:v>
      </x:c>
      <x:c xmlns:x="http://schemas.openxmlformats.org/spreadsheetml/2006/main" r="Y493" t="str" s="11">
        <x:v>C:\Users\Nomatin\Documents\Altium\MY_LIB\MY_LIB\Datasheets\YAGEO_RC_L.pdf</x:v>
      </x:c>
    </ns0:row>
    <ns0:row xmlns:ns0="http://schemas.openxmlformats.org/spreadsheetml/2006/main" r="494" ht="30" customHeight="1">
      <ns0:c r="A494" t="str" s="10">
        <ns0:v>R0500</ns0:v>
      </ns0:c>
      <ns0:c r="B494" t="str" s="10">
        <ns0:v>Резистор</ns0:v>
      </ns0:c>
      <ns0:c r="C494" t="str" s="10">
        <ns0:v>200R</ns0:v>
      </ns0:c>
      <ns0:c r="D494" t="str" s="11">
        <ns0:f>SUBSTITUTE(SUBSTITUTE(SUBSTITUTE(SUBSTITUTE(C494,"meg"," МОм"),"k"," кОм"),"R"," Ом"),".",",")</ns0:f>
        <ns0:v>200 Ом</ns0:v>
      </ns0:c>
      <ns0:c r="E494" t="str" s="10">
        <ns0:v>±1%</ns0:v>
      </ns0:c>
      <ns0:c r="F494" t="str" s="10">
        <ns0:v>0,125 Вт</ns0:v>
      </ns0:c>
      <ns0:c r="G494" t="str" s="10">
        <ns0:v>150 В макс.</ns0:v>
      </ns0:c>
      <ns0:c r="H494" t="str" s="12">
        <ns0:v>0805</ns0:v>
      </ns0:c>
      <ns0:c r="I494" t="str" s="10">
        <ns0:v>YAGEO</ns0:v>
      </ns0:c>
      <ns0:c r="J494" t="str" s="10">
        <ns0:v>RC0805FR-07200RL</ns0:v>
      </ns0:c>
      <ns0:c r="K494" t="str" s="11">
        <ns0:f>B494&amp;" "&amp;D494&amp;" "&amp;E494&amp;" "&amp;H494</ns0:f>
        <ns0:v>Резистор 200 Ом ±1% 0805</ns0:v>
      </ns0:c>
      <ns0:c r="L494" t="str" s="13">
        <ns0:v>R</ns0:v>
      </ns0:c>
      <ns0:c r="M494" t="str" s="13">
        <ns0:v>Symbols\MY_LIB_Resistors.SchLib</ns0:v>
      </ns0:c>
      <ns0:c r="N494" t="str" s="13">
        <ns0:v>RESC2012X70N</ns0:v>
      </ns0:c>
      <ns0:c r="O494" t="str" s="13">
        <ns0:v>Footprints\PBL - SMD Packages.PcbLib</ns0:v>
      </ns0:c>
      <ns0:c r="P494" t="str" s="10">
        <ns0:v>RC_L; E24; P при 70 °C; U ≤ min(√(P·R), Umax)</ns0:v>
      </ns0:c>
      <ns0:c r="Q494" s="10"/>
      <ns0:c r="R494" t="str" s="11">
        <ns0:f>D494</ns0:f>
        <ns0:v>200 Ом</ns0:v>
      </ns0:c>
      <ns0:c r="S494" t="str" s="11">
        <ns0:f>K494</ns0:f>
        <ns0:v>Резистор 200 Ом ±1% 0805</ns0:v>
      </ns0:c>
      <x:c xmlns:x="http://schemas.openxmlformats.org/spreadsheetml/2006/main" r="T494" t="str" s="11">
        <x:v>C:\Users\Nomatin\Documents\Altium\MY_LIB\MY_LIB\Datasheets\YAGEO_RC_L.pdf</x:v>
      </x:c>
      <x:c xmlns:x="http://schemas.openxmlformats.org/spreadsheetml/2006/main" r="U494" t="str" s="11">
        <x:v>Даташит — локальный</x:v>
      </x:c>
      <x:c xmlns:x="http://schemas.openxmlformats.org/spreadsheetml/2006/main" r="V494" t="str" s="11">
        <x:v>C:\Users\Nomatin\Documents\Altium\MY_LIB\MY_LIB\Datasheets\YAGEO_RC_L.pdf</x:v>
      </x:c>
      <x:c xmlns:x="http://schemas.openxmlformats.org/spreadsheetml/2006/main" r="W494" t="str" s="11">
        <x:v>Даташит — производитель</x:v>
      </x:c>
      <x:c xmlns:x="http://schemas.openxmlformats.org/spreadsheetml/2006/main" r="X494" t="str" s="11">
        <x:v>https://yageogroup.com/content/datasheet/asset/file/PYU-RC_GROUP_51_ROHS_L</x:v>
      </x:c>
      <x:c xmlns:x="http://schemas.openxmlformats.org/spreadsheetml/2006/main" r="Y494" t="str" s="11">
        <x:v>C:\Users\Nomatin\Documents\Altium\MY_LIB\MY_LIB\Datasheets\YAGEO_RC_L.pdf</x:v>
      </x:c>
    </ns0:row>
    <ns0:row xmlns:ns0="http://schemas.openxmlformats.org/spreadsheetml/2006/main" r="495" ht="30" customHeight="1">
      <ns0:c r="A495" t="str" s="10">
        <ns0:v>R0501</ns0:v>
      </ns0:c>
      <ns0:c r="B495" t="str" s="10">
        <ns0:v>Резистор</ns0:v>
      </ns0:c>
      <ns0:c r="C495" t="str" s="10">
        <ns0:v>220R</ns0:v>
      </ns0:c>
      <ns0:c r="D495" t="str" s="11">
        <ns0:f>SUBSTITUTE(SUBSTITUTE(SUBSTITUTE(SUBSTITUTE(C495,"meg"," МОм"),"k"," кОм"),"R"," Ом"),".",",")</ns0:f>
        <ns0:v>220 Ом</ns0:v>
      </ns0:c>
      <ns0:c r="E495" t="str" s="10">
        <ns0:v>±1%</ns0:v>
      </ns0:c>
      <ns0:c r="F495" t="str" s="10">
        <ns0:v>0,125 Вт</ns0:v>
      </ns0:c>
      <ns0:c r="G495" t="str" s="10">
        <ns0:v>150 В макс.</ns0:v>
      </ns0:c>
      <ns0:c r="H495" t="str" s="12">
        <ns0:v>0805</ns0:v>
      </ns0:c>
      <ns0:c r="I495" t="str" s="10">
        <ns0:v>YAGEO</ns0:v>
      </ns0:c>
      <ns0:c r="J495" t="str" s="10">
        <ns0:v>RC0805FR-07220RL</ns0:v>
      </ns0:c>
      <ns0:c r="K495" t="str" s="11">
        <ns0:f>B495&amp;" "&amp;D495&amp;" "&amp;E495&amp;" "&amp;H495</ns0:f>
        <ns0:v>Резистор 220 Ом ±1% 0805</ns0:v>
      </ns0:c>
      <ns0:c r="L495" t="str" s="13">
        <ns0:v>R</ns0:v>
      </ns0:c>
      <ns0:c r="M495" t="str" s="13">
        <ns0:v>Symbols\MY_LIB_Resistors.SchLib</ns0:v>
      </ns0:c>
      <ns0:c r="N495" t="str" s="13">
        <ns0:v>RESC2012X70N</ns0:v>
      </ns0:c>
      <ns0:c r="O495" t="str" s="13">
        <ns0:v>Footprints\PBL - SMD Packages.PcbLib</ns0:v>
      </ns0:c>
      <ns0:c r="P495" t="str" s="10">
        <ns0:v>RC_L; E24; P при 70 °C; U ≤ min(√(P·R), Umax)</ns0:v>
      </ns0:c>
      <ns0:c r="Q495" s="10"/>
      <ns0:c r="R495" t="str" s="11">
        <ns0:f>D495</ns0:f>
        <ns0:v>220 Ом</ns0:v>
      </ns0:c>
      <ns0:c r="S495" t="str" s="11">
        <ns0:f>K495</ns0:f>
        <ns0:v>Резистор 220 Ом ±1% 0805</ns0:v>
      </ns0:c>
      <x:c xmlns:x="http://schemas.openxmlformats.org/spreadsheetml/2006/main" r="T495" t="str" s="11">
        <x:v>C:\Users\Nomatin\Documents\Altium\MY_LIB\MY_LIB\Datasheets\YAGEO_RC_L.pdf</x:v>
      </x:c>
      <x:c xmlns:x="http://schemas.openxmlformats.org/spreadsheetml/2006/main" r="U495" t="str" s="11">
        <x:v>Даташит — локальный</x:v>
      </x:c>
      <x:c xmlns:x="http://schemas.openxmlformats.org/spreadsheetml/2006/main" r="V495" t="str" s="11">
        <x:v>C:\Users\Nomatin\Documents\Altium\MY_LIB\MY_LIB\Datasheets\YAGEO_RC_L.pdf</x:v>
      </x:c>
      <x:c xmlns:x="http://schemas.openxmlformats.org/spreadsheetml/2006/main" r="W495" t="str" s="11">
        <x:v>Даташит — производитель</x:v>
      </x:c>
      <x:c xmlns:x="http://schemas.openxmlformats.org/spreadsheetml/2006/main" r="X495" t="str" s="11">
        <x:v>https://yageogroup.com/content/datasheet/asset/file/PYU-RC_GROUP_51_ROHS_L</x:v>
      </x:c>
      <x:c xmlns:x="http://schemas.openxmlformats.org/spreadsheetml/2006/main" r="Y495" t="str" s="11">
        <x:v>C:\Users\Nomatin\Documents\Altium\MY_LIB\MY_LIB\Datasheets\YAGEO_RC_L.pdf</x:v>
      </x:c>
    </ns0:row>
    <ns0:row xmlns:ns0="http://schemas.openxmlformats.org/spreadsheetml/2006/main" r="496" ht="30" customHeight="1">
      <ns0:c r="A496" t="str" s="10">
        <ns0:v>R0502</ns0:v>
      </ns0:c>
      <ns0:c r="B496" t="str" s="10">
        <ns0:v>Резистор</ns0:v>
      </ns0:c>
      <ns0:c r="C496" t="str" s="10">
        <ns0:v>240R</ns0:v>
      </ns0:c>
      <ns0:c r="D496" t="str" s="11">
        <ns0:f>SUBSTITUTE(SUBSTITUTE(SUBSTITUTE(SUBSTITUTE(C496,"meg"," МОм"),"k"," кОм"),"R"," Ом"),".",",")</ns0:f>
        <ns0:v>240 Ом</ns0:v>
      </ns0:c>
      <ns0:c r="E496" t="str" s="10">
        <ns0:v>±1%</ns0:v>
      </ns0:c>
      <ns0:c r="F496" t="str" s="10">
        <ns0:v>0,125 Вт</ns0:v>
      </ns0:c>
      <ns0:c r="G496" t="str" s="10">
        <ns0:v>150 В макс.</ns0:v>
      </ns0:c>
      <ns0:c r="H496" t="str" s="12">
        <ns0:v>0805</ns0:v>
      </ns0:c>
      <ns0:c r="I496" t="str" s="10">
        <ns0:v>YAGEO</ns0:v>
      </ns0:c>
      <ns0:c r="J496" t="str" s="10">
        <ns0:v>RC0805FR-07240RL</ns0:v>
      </ns0:c>
      <ns0:c r="K496" t="str" s="11">
        <ns0:f>B496&amp;" "&amp;D496&amp;" "&amp;E496&amp;" "&amp;H496</ns0:f>
        <ns0:v>Резистор 240 Ом ±1% 0805</ns0:v>
      </ns0:c>
      <ns0:c r="L496" t="str" s="13">
        <ns0:v>R</ns0:v>
      </ns0:c>
      <ns0:c r="M496" t="str" s="13">
        <ns0:v>Symbols\MY_LIB_Resistors.SchLib</ns0:v>
      </ns0:c>
      <ns0:c r="N496" t="str" s="13">
        <ns0:v>RESC2012X70N</ns0:v>
      </ns0:c>
      <ns0:c r="O496" t="str" s="13">
        <ns0:v>Footprints\PBL - SMD Packages.PcbLib</ns0:v>
      </ns0:c>
      <ns0:c r="P496" t="str" s="10">
        <ns0:v>RC_L; E24; P при 70 °C; U ≤ min(√(P·R), Umax)</ns0:v>
      </ns0:c>
      <ns0:c r="Q496" s="10"/>
      <ns0:c r="R496" t="str" s="11">
        <ns0:f>D496</ns0:f>
        <ns0:v>240 Ом</ns0:v>
      </ns0:c>
      <ns0:c r="S496" t="str" s="11">
        <ns0:f>K496</ns0:f>
        <ns0:v>Резистор 240 Ом ±1% 0805</ns0:v>
      </ns0:c>
      <x:c xmlns:x="http://schemas.openxmlformats.org/spreadsheetml/2006/main" r="T496" t="str" s="11">
        <x:v>C:\Users\Nomatin\Documents\Altium\MY_LIB\MY_LIB\Datasheets\YAGEO_RC_L.pdf</x:v>
      </x:c>
      <x:c xmlns:x="http://schemas.openxmlformats.org/spreadsheetml/2006/main" r="U496" t="str" s="11">
        <x:v>Даташит — локальный</x:v>
      </x:c>
      <x:c xmlns:x="http://schemas.openxmlformats.org/spreadsheetml/2006/main" r="V496" t="str" s="11">
        <x:v>C:\Users\Nomatin\Documents\Altium\MY_LIB\MY_LIB\Datasheets\YAGEO_RC_L.pdf</x:v>
      </x:c>
      <x:c xmlns:x="http://schemas.openxmlformats.org/spreadsheetml/2006/main" r="W496" t="str" s="11">
        <x:v>Даташит — производитель</x:v>
      </x:c>
      <x:c xmlns:x="http://schemas.openxmlformats.org/spreadsheetml/2006/main" r="X496" t="str" s="11">
        <x:v>https://yageogroup.com/content/datasheet/asset/file/PYU-RC_GROUP_51_ROHS_L</x:v>
      </x:c>
      <x:c xmlns:x="http://schemas.openxmlformats.org/spreadsheetml/2006/main" r="Y496" t="str" s="11">
        <x:v>C:\Users\Nomatin\Documents\Altium\MY_LIB\MY_LIB\Datasheets\YAGEO_RC_L.pdf</x:v>
      </x:c>
    </ns0:row>
    <ns0:row xmlns:ns0="http://schemas.openxmlformats.org/spreadsheetml/2006/main" r="497" ht="30" customHeight="1">
      <ns0:c r="A497" t="str" s="10">
        <ns0:v>R0503</ns0:v>
      </ns0:c>
      <ns0:c r="B497" t="str" s="10">
        <ns0:v>Резистор</ns0:v>
      </ns0:c>
      <ns0:c r="C497" t="str" s="10">
        <ns0:v>270R</ns0:v>
      </ns0:c>
      <ns0:c r="D497" t="str" s="11">
        <ns0:f>SUBSTITUTE(SUBSTITUTE(SUBSTITUTE(SUBSTITUTE(C497,"meg"," МОм"),"k"," кОм"),"R"," Ом"),".",",")</ns0:f>
        <ns0:v>270 Ом</ns0:v>
      </ns0:c>
      <ns0:c r="E497" t="str" s="10">
        <ns0:v>±1%</ns0:v>
      </ns0:c>
      <ns0:c r="F497" t="str" s="10">
        <ns0:v>0,125 Вт</ns0:v>
      </ns0:c>
      <ns0:c r="G497" t="str" s="10">
        <ns0:v>150 В макс.</ns0:v>
      </ns0:c>
      <ns0:c r="H497" t="str" s="12">
        <ns0:v>0805</ns0:v>
      </ns0:c>
      <ns0:c r="I497" t="str" s="10">
        <ns0:v>YAGEO</ns0:v>
      </ns0:c>
      <ns0:c r="J497" t="str" s="10">
        <ns0:v>RC0805FR-07270RL</ns0:v>
      </ns0:c>
      <ns0:c r="K497" t="str" s="11">
        <ns0:f>B497&amp;" "&amp;D497&amp;" "&amp;E497&amp;" "&amp;H497</ns0:f>
        <ns0:v>Резистор 270 Ом ±1% 0805</ns0:v>
      </ns0:c>
      <ns0:c r="L497" t="str" s="13">
        <ns0:v>R</ns0:v>
      </ns0:c>
      <ns0:c r="M497" t="str" s="13">
        <ns0:v>Symbols\MY_LIB_Resistors.SchLib</ns0:v>
      </ns0:c>
      <ns0:c r="N497" t="str" s="13">
        <ns0:v>RESC2012X70N</ns0:v>
      </ns0:c>
      <ns0:c r="O497" t="str" s="13">
        <ns0:v>Footprints\PBL - SMD Packages.PcbLib</ns0:v>
      </ns0:c>
      <ns0:c r="P497" t="str" s="10">
        <ns0:v>RC_L; E24; P при 70 °C; U ≤ min(√(P·R), Umax)</ns0:v>
      </ns0:c>
      <ns0:c r="Q497" s="10"/>
      <ns0:c r="R497" t="str" s="11">
        <ns0:f>D497</ns0:f>
        <ns0:v>270 Ом</ns0:v>
      </ns0:c>
      <ns0:c r="S497" t="str" s="11">
        <ns0:f>K497</ns0:f>
        <ns0:v>Резистор 270 Ом ±1% 0805</ns0:v>
      </ns0:c>
      <x:c xmlns:x="http://schemas.openxmlformats.org/spreadsheetml/2006/main" r="T497" t="str" s="11">
        <x:v>C:\Users\Nomatin\Documents\Altium\MY_LIB\MY_LIB\Datasheets\YAGEO_RC_L.pdf</x:v>
      </x:c>
      <x:c xmlns:x="http://schemas.openxmlformats.org/spreadsheetml/2006/main" r="U497" t="str" s="11">
        <x:v>Даташит — локальный</x:v>
      </x:c>
      <x:c xmlns:x="http://schemas.openxmlformats.org/spreadsheetml/2006/main" r="V497" t="str" s="11">
        <x:v>C:\Users\Nomatin\Documents\Altium\MY_LIB\MY_LIB\Datasheets\YAGEO_RC_L.pdf</x:v>
      </x:c>
      <x:c xmlns:x="http://schemas.openxmlformats.org/spreadsheetml/2006/main" r="W497" t="str" s="11">
        <x:v>Даташит — производитель</x:v>
      </x:c>
      <x:c xmlns:x="http://schemas.openxmlformats.org/spreadsheetml/2006/main" r="X497" t="str" s="11">
        <x:v>https://yageogroup.com/content/datasheet/asset/file/PYU-RC_GROUP_51_ROHS_L</x:v>
      </x:c>
      <x:c xmlns:x="http://schemas.openxmlformats.org/spreadsheetml/2006/main" r="Y497" t="str" s="11">
        <x:v>C:\Users\Nomatin\Documents\Altium\MY_LIB\MY_LIB\Datasheets\YAGEO_RC_L.pdf</x:v>
      </x:c>
    </ns0:row>
    <ns0:row xmlns:ns0="http://schemas.openxmlformats.org/spreadsheetml/2006/main" r="498" ht="30" customHeight="1">
      <ns0:c r="A498" t="str" s="10">
        <ns0:v>R0504</ns0:v>
      </ns0:c>
      <ns0:c r="B498" t="str" s="10">
        <ns0:v>Резистор</ns0:v>
      </ns0:c>
      <ns0:c r="C498" t="str" s="10">
        <ns0:v>300R</ns0:v>
      </ns0:c>
      <ns0:c r="D498" t="str" s="11">
        <ns0:f>SUBSTITUTE(SUBSTITUTE(SUBSTITUTE(SUBSTITUTE(C498,"meg"," МОм"),"k"," кОм"),"R"," Ом"),".",",")</ns0:f>
        <ns0:v>300 Ом</ns0:v>
      </ns0:c>
      <ns0:c r="E498" t="str" s="10">
        <ns0:v>±1%</ns0:v>
      </ns0:c>
      <ns0:c r="F498" t="str" s="10">
        <ns0:v>0,125 Вт</ns0:v>
      </ns0:c>
      <ns0:c r="G498" t="str" s="10">
        <ns0:v>150 В макс.</ns0:v>
      </ns0:c>
      <ns0:c r="H498" t="str" s="12">
        <ns0:v>0805</ns0:v>
      </ns0:c>
      <ns0:c r="I498" t="str" s="10">
        <ns0:v>YAGEO</ns0:v>
      </ns0:c>
      <ns0:c r="J498" t="str" s="10">
        <ns0:v>RC0805FR-07300RL</ns0:v>
      </ns0:c>
      <ns0:c r="K498" t="str" s="11">
        <ns0:f>B498&amp;" "&amp;D498&amp;" "&amp;E498&amp;" "&amp;H498</ns0:f>
        <ns0:v>Резистор 300 Ом ±1% 0805</ns0:v>
      </ns0:c>
      <ns0:c r="L498" t="str" s="13">
        <ns0:v>R</ns0:v>
      </ns0:c>
      <ns0:c r="M498" t="str" s="13">
        <ns0:v>Symbols\MY_LIB_Resistors.SchLib</ns0:v>
      </ns0:c>
      <ns0:c r="N498" t="str" s="13">
        <ns0:v>RESC2012X70N</ns0:v>
      </ns0:c>
      <ns0:c r="O498" t="str" s="13">
        <ns0:v>Footprints\PBL - SMD Packages.PcbLib</ns0:v>
      </ns0:c>
      <ns0:c r="P498" t="str" s="10">
        <ns0:v>RC_L; E24; P при 70 °C; U ≤ min(√(P·R), Umax)</ns0:v>
      </ns0:c>
      <ns0:c r="Q498" s="10"/>
      <ns0:c r="R498" t="str" s="11">
        <ns0:f>D498</ns0:f>
        <ns0:v>300 Ом</ns0:v>
      </ns0:c>
      <ns0:c r="S498" t="str" s="11">
        <ns0:f>K498</ns0:f>
        <ns0:v>Резистор 300 Ом ±1% 0805</ns0:v>
      </ns0:c>
      <x:c xmlns:x="http://schemas.openxmlformats.org/spreadsheetml/2006/main" r="T498" t="str" s="11">
        <x:v>C:\Users\Nomatin\Documents\Altium\MY_LIB\MY_LIB\Datasheets\YAGEO_RC_L.pdf</x:v>
      </x:c>
      <x:c xmlns:x="http://schemas.openxmlformats.org/spreadsheetml/2006/main" r="U498" t="str" s="11">
        <x:v>Даташит — локальный</x:v>
      </x:c>
      <x:c xmlns:x="http://schemas.openxmlformats.org/spreadsheetml/2006/main" r="V498" t="str" s="11">
        <x:v>C:\Users\Nomatin\Documents\Altium\MY_LIB\MY_LIB\Datasheets\YAGEO_RC_L.pdf</x:v>
      </x:c>
      <x:c xmlns:x="http://schemas.openxmlformats.org/spreadsheetml/2006/main" r="W498" t="str" s="11">
        <x:v>Даташит — производитель</x:v>
      </x:c>
      <x:c xmlns:x="http://schemas.openxmlformats.org/spreadsheetml/2006/main" r="X498" t="str" s="11">
        <x:v>https://yageogroup.com/content/datasheet/asset/file/PYU-RC_GROUP_51_ROHS_L</x:v>
      </x:c>
      <x:c xmlns:x="http://schemas.openxmlformats.org/spreadsheetml/2006/main" r="Y498" t="str" s="11">
        <x:v>C:\Users\Nomatin\Documents\Altium\MY_LIB\MY_LIB\Datasheets\YAGEO_RC_L.pdf</x:v>
      </x:c>
    </ns0:row>
    <ns0:row xmlns:ns0="http://schemas.openxmlformats.org/spreadsheetml/2006/main" r="499" ht="30" customHeight="1">
      <ns0:c r="A499" t="str" s="10">
        <ns0:v>R0505</ns0:v>
      </ns0:c>
      <ns0:c r="B499" t="str" s="10">
        <ns0:v>Резистор</ns0:v>
      </ns0:c>
      <ns0:c r="C499" t="str" s="10">
        <ns0:v>330R</ns0:v>
      </ns0:c>
      <ns0:c r="D499" t="str" s="11">
        <ns0:f>SUBSTITUTE(SUBSTITUTE(SUBSTITUTE(SUBSTITUTE(C499,"meg"," МОм"),"k"," кОм"),"R"," Ом"),".",",")</ns0:f>
        <ns0:v>330 Ом</ns0:v>
      </ns0:c>
      <ns0:c r="E499" t="str" s="10">
        <ns0:v>±1%</ns0:v>
      </ns0:c>
      <ns0:c r="F499" t="str" s="10">
        <ns0:v>0,125 Вт</ns0:v>
      </ns0:c>
      <ns0:c r="G499" t="str" s="10">
        <ns0:v>150 В макс.</ns0:v>
      </ns0:c>
      <ns0:c r="H499" t="str" s="12">
        <ns0:v>0805</ns0:v>
      </ns0:c>
      <ns0:c r="I499" t="str" s="10">
        <ns0:v>YAGEO</ns0:v>
      </ns0:c>
      <ns0:c r="J499" t="str" s="10">
        <ns0:v>RC0805FR-07330RL</ns0:v>
      </ns0:c>
      <ns0:c r="K499" t="str" s="11">
        <ns0:f>B499&amp;" "&amp;D499&amp;" "&amp;E499&amp;" "&amp;H499</ns0:f>
        <ns0:v>Резистор 330 Ом ±1% 0805</ns0:v>
      </ns0:c>
      <ns0:c r="L499" t="str" s="13">
        <ns0:v>R</ns0:v>
      </ns0:c>
      <ns0:c r="M499" t="str" s="13">
        <ns0:v>Symbols\MY_LIB_Resistors.SchLib</ns0:v>
      </ns0:c>
      <ns0:c r="N499" t="str" s="13">
        <ns0:v>RESC2012X70N</ns0:v>
      </ns0:c>
      <ns0:c r="O499" t="str" s="13">
        <ns0:v>Footprints\PBL - SMD Packages.PcbLib</ns0:v>
      </ns0:c>
      <ns0:c r="P499" t="str" s="10">
        <ns0:v>RC_L; E24; P при 70 °C; U ≤ min(√(P·R), Umax)</ns0:v>
      </ns0:c>
      <ns0:c r="Q499" s="10"/>
      <ns0:c r="R499" t="str" s="11">
        <ns0:f>D499</ns0:f>
        <ns0:v>330 Ом</ns0:v>
      </ns0:c>
      <ns0:c r="S499" t="str" s="11">
        <ns0:f>K499</ns0:f>
        <ns0:v>Резистор 330 Ом ±1% 0805</ns0:v>
      </ns0:c>
      <x:c xmlns:x="http://schemas.openxmlformats.org/spreadsheetml/2006/main" r="T499" t="str" s="11">
        <x:v>C:\Users\Nomatin\Documents\Altium\MY_LIB\MY_LIB\Datasheets\YAGEO_RC_L.pdf</x:v>
      </x:c>
      <x:c xmlns:x="http://schemas.openxmlformats.org/spreadsheetml/2006/main" r="U499" t="str" s="11">
        <x:v>Даташит — локальный</x:v>
      </x:c>
      <x:c xmlns:x="http://schemas.openxmlformats.org/spreadsheetml/2006/main" r="V499" t="str" s="11">
        <x:v>C:\Users\Nomatin\Documents\Altium\MY_LIB\MY_LIB\Datasheets\YAGEO_RC_L.pdf</x:v>
      </x:c>
      <x:c xmlns:x="http://schemas.openxmlformats.org/spreadsheetml/2006/main" r="W499" t="str" s="11">
        <x:v>Даташит — производитель</x:v>
      </x:c>
      <x:c xmlns:x="http://schemas.openxmlformats.org/spreadsheetml/2006/main" r="X499" t="str" s="11">
        <x:v>https://yageogroup.com/content/datasheet/asset/file/PYU-RC_GROUP_51_ROHS_L</x:v>
      </x:c>
      <x:c xmlns:x="http://schemas.openxmlformats.org/spreadsheetml/2006/main" r="Y499" t="str" s="11">
        <x:v>C:\Users\Nomatin\Documents\Altium\MY_LIB\MY_LIB\Datasheets\YAGEO_RC_L.pdf</x:v>
      </x:c>
    </ns0:row>
    <ns0:row xmlns:ns0="http://schemas.openxmlformats.org/spreadsheetml/2006/main" r="500" ht="30" customHeight="1">
      <ns0:c r="A500" t="str" s="10">
        <ns0:v>R0506</ns0:v>
      </ns0:c>
      <ns0:c r="B500" t="str" s="10">
        <ns0:v>Резистор</ns0:v>
      </ns0:c>
      <ns0:c r="C500" t="str" s="10">
        <ns0:v>360R</ns0:v>
      </ns0:c>
      <ns0:c r="D500" t="str" s="11">
        <ns0:f>SUBSTITUTE(SUBSTITUTE(SUBSTITUTE(SUBSTITUTE(C500,"meg"," МОм"),"k"," кОм"),"R"," Ом"),".",",")</ns0:f>
        <ns0:v>360 Ом</ns0:v>
      </ns0:c>
      <ns0:c r="E500" t="str" s="10">
        <ns0:v>±1%</ns0:v>
      </ns0:c>
      <ns0:c r="F500" t="str" s="10">
        <ns0:v>0,125 Вт</ns0:v>
      </ns0:c>
      <ns0:c r="G500" t="str" s="10">
        <ns0:v>150 В макс.</ns0:v>
      </ns0:c>
      <ns0:c r="H500" t="str" s="12">
        <ns0:v>0805</ns0:v>
      </ns0:c>
      <ns0:c r="I500" t="str" s="10">
        <ns0:v>YAGEO</ns0:v>
      </ns0:c>
      <ns0:c r="J500" t="str" s="10">
        <ns0:v>RC0805FR-07360RL</ns0:v>
      </ns0:c>
      <ns0:c r="K500" t="str" s="11">
        <ns0:f>B500&amp;" "&amp;D500&amp;" "&amp;E500&amp;" "&amp;H500</ns0:f>
        <ns0:v>Резистор 360 Ом ±1% 0805</ns0:v>
      </ns0:c>
      <ns0:c r="L500" t="str" s="13">
        <ns0:v>R</ns0:v>
      </ns0:c>
      <ns0:c r="M500" t="str" s="13">
        <ns0:v>Symbols\MY_LIB_Resistors.SchLib</ns0:v>
      </ns0:c>
      <ns0:c r="N500" t="str" s="13">
        <ns0:v>RESC2012X70N</ns0:v>
      </ns0:c>
      <ns0:c r="O500" t="str" s="13">
        <ns0:v>Footprints\PBL - SMD Packages.PcbLib</ns0:v>
      </ns0:c>
      <ns0:c r="P500" t="str" s="10">
        <ns0:v>RC_L; E24; P при 70 °C; U ≤ min(√(P·R), Umax)</ns0:v>
      </ns0:c>
      <ns0:c r="Q500" s="10"/>
      <ns0:c r="R500" t="str" s="11">
        <ns0:f>D500</ns0:f>
        <ns0:v>360 Ом</ns0:v>
      </ns0:c>
      <ns0:c r="S500" t="str" s="11">
        <ns0:f>K500</ns0:f>
        <ns0:v>Резистор 360 Ом ±1% 0805</ns0:v>
      </ns0:c>
      <x:c xmlns:x="http://schemas.openxmlformats.org/spreadsheetml/2006/main" r="T500" t="str" s="11">
        <x:v>C:\Users\Nomatin\Documents\Altium\MY_LIB\MY_LIB\Datasheets\YAGEO_RC_L.pdf</x:v>
      </x:c>
      <x:c xmlns:x="http://schemas.openxmlformats.org/spreadsheetml/2006/main" r="U500" t="str" s="11">
        <x:v>Даташит — локальный</x:v>
      </x:c>
      <x:c xmlns:x="http://schemas.openxmlformats.org/spreadsheetml/2006/main" r="V500" t="str" s="11">
        <x:v>C:\Users\Nomatin\Documents\Altium\MY_LIB\MY_LIB\Datasheets\YAGEO_RC_L.pdf</x:v>
      </x:c>
      <x:c xmlns:x="http://schemas.openxmlformats.org/spreadsheetml/2006/main" r="W500" t="str" s="11">
        <x:v>Даташит — производитель</x:v>
      </x:c>
      <x:c xmlns:x="http://schemas.openxmlformats.org/spreadsheetml/2006/main" r="X500" t="str" s="11">
        <x:v>https://yageogroup.com/content/datasheet/asset/file/PYU-RC_GROUP_51_ROHS_L</x:v>
      </x:c>
      <x:c xmlns:x="http://schemas.openxmlformats.org/spreadsheetml/2006/main" r="Y500" t="str" s="11">
        <x:v>C:\Users\Nomatin\Documents\Altium\MY_LIB\MY_LIB\Datasheets\YAGEO_RC_L.pdf</x:v>
      </x:c>
    </ns0:row>
    <ns0:row xmlns:ns0="http://schemas.openxmlformats.org/spreadsheetml/2006/main" r="501" ht="30" customHeight="1">
      <ns0:c r="A501" t="str" s="10">
        <ns0:v>R0507</ns0:v>
      </ns0:c>
      <ns0:c r="B501" t="str" s="10">
        <ns0:v>Резистор</ns0:v>
      </ns0:c>
      <ns0:c r="C501" t="str" s="10">
        <ns0:v>390R</ns0:v>
      </ns0:c>
      <ns0:c r="D501" t="str" s="11">
        <ns0:f>SUBSTITUTE(SUBSTITUTE(SUBSTITUTE(SUBSTITUTE(C501,"meg"," МОм"),"k"," кОм"),"R"," Ом"),".",",")</ns0:f>
        <ns0:v>390 Ом</ns0:v>
      </ns0:c>
      <ns0:c r="E501" t="str" s="10">
        <ns0:v>±1%</ns0:v>
      </ns0:c>
      <ns0:c r="F501" t="str" s="10">
        <ns0:v>0,125 Вт</ns0:v>
      </ns0:c>
      <ns0:c r="G501" t="str" s="10">
        <ns0:v>150 В макс.</ns0:v>
      </ns0:c>
      <ns0:c r="H501" t="str" s="12">
        <ns0:v>0805</ns0:v>
      </ns0:c>
      <ns0:c r="I501" t="str" s="10">
        <ns0:v>YAGEO</ns0:v>
      </ns0:c>
      <ns0:c r="J501" t="str" s="10">
        <ns0:v>RC0805FR-07390RL</ns0:v>
      </ns0:c>
      <ns0:c r="K501" t="str" s="11">
        <ns0:f>B501&amp;" "&amp;D501&amp;" "&amp;E501&amp;" "&amp;H501</ns0:f>
        <ns0:v>Резистор 390 Ом ±1% 0805</ns0:v>
      </ns0:c>
      <ns0:c r="L501" t="str" s="13">
        <ns0:v>R</ns0:v>
      </ns0:c>
      <ns0:c r="M501" t="str" s="13">
        <ns0:v>Symbols\MY_LIB_Resistors.SchLib</ns0:v>
      </ns0:c>
      <ns0:c r="N501" t="str" s="13">
        <ns0:v>RESC2012X70N</ns0:v>
      </ns0:c>
      <ns0:c r="O501" t="str" s="13">
        <ns0:v>Footprints\PBL - SMD Packages.PcbLib</ns0:v>
      </ns0:c>
      <ns0:c r="P501" t="str" s="10">
        <ns0:v>RC_L; E24; P при 70 °C; U ≤ min(√(P·R), Umax)</ns0:v>
      </ns0:c>
      <ns0:c r="Q501" s="10"/>
      <ns0:c r="R501" t="str" s="11">
        <ns0:f>D501</ns0:f>
        <ns0:v>390 Ом</ns0:v>
      </ns0:c>
      <ns0:c r="S501" t="str" s="11">
        <ns0:f>K501</ns0:f>
        <ns0:v>Резистор 390 Ом ±1% 0805</ns0:v>
      </ns0:c>
      <x:c xmlns:x="http://schemas.openxmlformats.org/spreadsheetml/2006/main" r="T501" t="str" s="11">
        <x:v>C:\Users\Nomatin\Documents\Altium\MY_LIB\MY_LIB\Datasheets\YAGEO_RC_L.pdf</x:v>
      </x:c>
      <x:c xmlns:x="http://schemas.openxmlformats.org/spreadsheetml/2006/main" r="U501" t="str" s="11">
        <x:v>Даташит — локальный</x:v>
      </x:c>
      <x:c xmlns:x="http://schemas.openxmlformats.org/spreadsheetml/2006/main" r="V501" t="str" s="11">
        <x:v>C:\Users\Nomatin\Documents\Altium\MY_LIB\MY_LIB\Datasheets\YAGEO_RC_L.pdf</x:v>
      </x:c>
      <x:c xmlns:x="http://schemas.openxmlformats.org/spreadsheetml/2006/main" r="W501" t="str" s="11">
        <x:v>Даташит — производитель</x:v>
      </x:c>
      <x:c xmlns:x="http://schemas.openxmlformats.org/spreadsheetml/2006/main" r="X501" t="str" s="11">
        <x:v>https://yageogroup.com/content/datasheet/asset/file/PYU-RC_GROUP_51_ROHS_L</x:v>
      </x:c>
      <x:c xmlns:x="http://schemas.openxmlformats.org/spreadsheetml/2006/main" r="Y501" t="str" s="11">
        <x:v>C:\Users\Nomatin\Documents\Altium\MY_LIB\MY_LIB\Datasheets\YAGEO_RC_L.pdf</x:v>
      </x:c>
    </ns0:row>
    <ns0:row xmlns:ns0="http://schemas.openxmlformats.org/spreadsheetml/2006/main" r="502" ht="30" customHeight="1">
      <ns0:c r="A502" t="str" s="10">
        <ns0:v>R0508</ns0:v>
      </ns0:c>
      <ns0:c r="B502" t="str" s="10">
        <ns0:v>Резистор</ns0:v>
      </ns0:c>
      <ns0:c r="C502" t="str" s="10">
        <ns0:v>430R</ns0:v>
      </ns0:c>
      <ns0:c r="D502" t="str" s="11">
        <ns0:f>SUBSTITUTE(SUBSTITUTE(SUBSTITUTE(SUBSTITUTE(C502,"meg"," МОм"),"k"," кОм"),"R"," Ом"),".",",")</ns0:f>
        <ns0:v>430 Ом</ns0:v>
      </ns0:c>
      <ns0:c r="E502" t="str" s="10">
        <ns0:v>±1%</ns0:v>
      </ns0:c>
      <ns0:c r="F502" t="str" s="10">
        <ns0:v>0,125 Вт</ns0:v>
      </ns0:c>
      <ns0:c r="G502" t="str" s="10">
        <ns0:v>150 В макс.</ns0:v>
      </ns0:c>
      <ns0:c r="H502" t="str" s="12">
        <ns0:v>0805</ns0:v>
      </ns0:c>
      <ns0:c r="I502" t="str" s="10">
        <ns0:v>YAGEO</ns0:v>
      </ns0:c>
      <ns0:c r="J502" t="str" s="10">
        <ns0:v>RC0805FR-07430RL</ns0:v>
      </ns0:c>
      <ns0:c r="K502" t="str" s="11">
        <ns0:f>B502&amp;" "&amp;D502&amp;" "&amp;E502&amp;" "&amp;H502</ns0:f>
        <ns0:v>Резистор 430 Ом ±1% 0805</ns0:v>
      </ns0:c>
      <ns0:c r="L502" t="str" s="13">
        <ns0:v>R</ns0:v>
      </ns0:c>
      <ns0:c r="M502" t="str" s="13">
        <ns0:v>Symbols\MY_LIB_Resistors.SchLib</ns0:v>
      </ns0:c>
      <ns0:c r="N502" t="str" s="13">
        <ns0:v>RESC2012X70N</ns0:v>
      </ns0:c>
      <ns0:c r="O502" t="str" s="13">
        <ns0:v>Footprints\PBL - SMD Packages.PcbLib</ns0:v>
      </ns0:c>
      <ns0:c r="P502" t="str" s="10">
        <ns0:v>RC_L; E24; P при 70 °C; U ≤ min(√(P·R), Umax)</ns0:v>
      </ns0:c>
      <ns0:c r="Q502" s="10"/>
      <ns0:c r="R502" t="str" s="11">
        <ns0:f>D502</ns0:f>
        <ns0:v>430 Ом</ns0:v>
      </ns0:c>
      <ns0:c r="S502" t="str" s="11">
        <ns0:f>K502</ns0:f>
        <ns0:v>Резистор 430 Ом ±1% 0805</ns0:v>
      </ns0:c>
      <x:c xmlns:x="http://schemas.openxmlformats.org/spreadsheetml/2006/main" r="T502" t="str" s="11">
        <x:v>C:\Users\Nomatin\Documents\Altium\MY_LIB\MY_LIB\Datasheets\YAGEO_RC_L.pdf</x:v>
      </x:c>
      <x:c xmlns:x="http://schemas.openxmlformats.org/spreadsheetml/2006/main" r="U502" t="str" s="11">
        <x:v>Даташит — локальный</x:v>
      </x:c>
      <x:c xmlns:x="http://schemas.openxmlformats.org/spreadsheetml/2006/main" r="V502" t="str" s="11">
        <x:v>C:\Users\Nomatin\Documents\Altium\MY_LIB\MY_LIB\Datasheets\YAGEO_RC_L.pdf</x:v>
      </x:c>
      <x:c xmlns:x="http://schemas.openxmlformats.org/spreadsheetml/2006/main" r="W502" t="str" s="11">
        <x:v>Даташит — производитель</x:v>
      </x:c>
      <x:c xmlns:x="http://schemas.openxmlformats.org/spreadsheetml/2006/main" r="X502" t="str" s="11">
        <x:v>https://yageogroup.com/content/datasheet/asset/file/PYU-RC_GROUP_51_ROHS_L</x:v>
      </x:c>
      <x:c xmlns:x="http://schemas.openxmlformats.org/spreadsheetml/2006/main" r="Y502" t="str" s="11">
        <x:v>C:\Users\Nomatin\Documents\Altium\MY_LIB\MY_LIB\Datasheets\YAGEO_RC_L.pdf</x:v>
      </x:c>
    </ns0:row>
    <ns0:row xmlns:ns0="http://schemas.openxmlformats.org/spreadsheetml/2006/main" r="503" ht="30" customHeight="1">
      <ns0:c r="A503" t="str" s="10">
        <ns0:v>R0509</ns0:v>
      </ns0:c>
      <ns0:c r="B503" t="str" s="10">
        <ns0:v>Резистор</ns0:v>
      </ns0:c>
      <ns0:c r="C503" t="str" s="10">
        <ns0:v>470R</ns0:v>
      </ns0:c>
      <ns0:c r="D503" t="str" s="11">
        <ns0:f>SUBSTITUTE(SUBSTITUTE(SUBSTITUTE(SUBSTITUTE(C503,"meg"," МОм"),"k"," кОм"),"R"," Ом"),".",",")</ns0:f>
        <ns0:v>470 Ом</ns0:v>
      </ns0:c>
      <ns0:c r="E503" t="str" s="10">
        <ns0:v>±1%</ns0:v>
      </ns0:c>
      <ns0:c r="F503" t="str" s="10">
        <ns0:v>0,125 Вт</ns0:v>
      </ns0:c>
      <ns0:c r="G503" t="str" s="10">
        <ns0:v>150 В макс.</ns0:v>
      </ns0:c>
      <ns0:c r="H503" t="str" s="12">
        <ns0:v>0805</ns0:v>
      </ns0:c>
      <ns0:c r="I503" t="str" s="10">
        <ns0:v>YAGEO</ns0:v>
      </ns0:c>
      <ns0:c r="J503" t="str" s="10">
        <ns0:v>RC0805FR-07470RL</ns0:v>
      </ns0:c>
      <ns0:c r="K503" t="str" s="11">
        <ns0:f>B503&amp;" "&amp;D503&amp;" "&amp;E503&amp;" "&amp;H503</ns0:f>
        <ns0:v>Резистор 470 Ом ±1% 0805</ns0:v>
      </ns0:c>
      <ns0:c r="L503" t="str" s="13">
        <ns0:v>R</ns0:v>
      </ns0:c>
      <ns0:c r="M503" t="str" s="13">
        <ns0:v>Symbols\MY_LIB_Resistors.SchLib</ns0:v>
      </ns0:c>
      <ns0:c r="N503" t="str" s="13">
        <ns0:v>RESC2012X70N</ns0:v>
      </ns0:c>
      <ns0:c r="O503" t="str" s="13">
        <ns0:v>Footprints\PBL - SMD Packages.PcbLib</ns0:v>
      </ns0:c>
      <ns0:c r="P503" t="str" s="10">
        <ns0:v>RC_L; E24; P при 70 °C; U ≤ min(√(P·R), Umax)</ns0:v>
      </ns0:c>
      <ns0:c r="Q503" s="10"/>
      <ns0:c r="R503" t="str" s="11">
        <ns0:f>D503</ns0:f>
        <ns0:v>470 Ом</ns0:v>
      </ns0:c>
      <ns0:c r="S503" t="str" s="11">
        <ns0:f>K503</ns0:f>
        <ns0:v>Резистор 470 Ом ±1% 0805</ns0:v>
      </ns0:c>
      <x:c xmlns:x="http://schemas.openxmlformats.org/spreadsheetml/2006/main" r="T503" t="str" s="11">
        <x:v>C:\Users\Nomatin\Documents\Altium\MY_LIB\MY_LIB\Datasheets\YAGEO_RC_L.pdf</x:v>
      </x:c>
      <x:c xmlns:x="http://schemas.openxmlformats.org/spreadsheetml/2006/main" r="U503" t="str" s="11">
        <x:v>Даташит — локальный</x:v>
      </x:c>
      <x:c xmlns:x="http://schemas.openxmlformats.org/spreadsheetml/2006/main" r="V503" t="str" s="11">
        <x:v>C:\Users\Nomatin\Documents\Altium\MY_LIB\MY_LIB\Datasheets\YAGEO_RC_L.pdf</x:v>
      </x:c>
      <x:c xmlns:x="http://schemas.openxmlformats.org/spreadsheetml/2006/main" r="W503" t="str" s="11">
        <x:v>Даташит — производитель</x:v>
      </x:c>
      <x:c xmlns:x="http://schemas.openxmlformats.org/spreadsheetml/2006/main" r="X503" t="str" s="11">
        <x:v>https://yageogroup.com/content/datasheet/asset/file/PYU-RC_GROUP_51_ROHS_L</x:v>
      </x:c>
      <x:c xmlns:x="http://schemas.openxmlformats.org/spreadsheetml/2006/main" r="Y503" t="str" s="11">
        <x:v>C:\Users\Nomatin\Documents\Altium\MY_LIB\MY_LIB\Datasheets\YAGEO_RC_L.pdf</x:v>
      </x:c>
    </ns0:row>
    <ns0:row xmlns:ns0="http://schemas.openxmlformats.org/spreadsheetml/2006/main" r="504" ht="30" customHeight="1">
      <ns0:c r="A504" t="str" s="10">
        <ns0:v>R0510</ns0:v>
      </ns0:c>
      <ns0:c r="B504" t="str" s="10">
        <ns0:v>Резистор</ns0:v>
      </ns0:c>
      <ns0:c r="C504" t="str" s="10">
        <ns0:v>510R</ns0:v>
      </ns0:c>
      <ns0:c r="D504" t="str" s="11">
        <ns0:f>SUBSTITUTE(SUBSTITUTE(SUBSTITUTE(SUBSTITUTE(C504,"meg"," МОм"),"k"," кОм"),"R"," Ом"),".",",")</ns0:f>
        <ns0:v>510 Ом</ns0:v>
      </ns0:c>
      <ns0:c r="E504" t="str" s="10">
        <ns0:v>±1%</ns0:v>
      </ns0:c>
      <ns0:c r="F504" t="str" s="10">
        <ns0:v>0,125 Вт</ns0:v>
      </ns0:c>
      <ns0:c r="G504" t="str" s="10">
        <ns0:v>150 В макс.</ns0:v>
      </ns0:c>
      <ns0:c r="H504" t="str" s="12">
        <ns0:v>0805</ns0:v>
      </ns0:c>
      <ns0:c r="I504" t="str" s="10">
        <ns0:v>YAGEO</ns0:v>
      </ns0:c>
      <ns0:c r="J504" t="str" s="10">
        <ns0:v>RC0805FR-07510RL</ns0:v>
      </ns0:c>
      <ns0:c r="K504" t="str" s="11">
        <ns0:f>B504&amp;" "&amp;D504&amp;" "&amp;E504&amp;" "&amp;H504</ns0:f>
        <ns0:v>Резистор 510 Ом ±1% 0805</ns0:v>
      </ns0:c>
      <ns0:c r="L504" t="str" s="13">
        <ns0:v>R</ns0:v>
      </ns0:c>
      <ns0:c r="M504" t="str" s="13">
        <ns0:v>Symbols\MY_LIB_Resistors.SchLib</ns0:v>
      </ns0:c>
      <ns0:c r="N504" t="str" s="13">
        <ns0:v>RESC2012X70N</ns0:v>
      </ns0:c>
      <ns0:c r="O504" t="str" s="13">
        <ns0:v>Footprints\PBL - SMD Packages.PcbLib</ns0:v>
      </ns0:c>
      <ns0:c r="P504" t="str" s="10">
        <ns0:v>RC_L; E24; P при 70 °C; U ≤ min(√(P·R), Umax)</ns0:v>
      </ns0:c>
      <ns0:c r="Q504" s="10"/>
      <ns0:c r="R504" t="str" s="11">
        <ns0:f>D504</ns0:f>
        <ns0:v>510 Ом</ns0:v>
      </ns0:c>
      <ns0:c r="S504" t="str" s="11">
        <ns0:f>K504</ns0:f>
        <ns0:v>Резистор 510 Ом ±1% 0805</ns0:v>
      </ns0:c>
      <x:c xmlns:x="http://schemas.openxmlformats.org/spreadsheetml/2006/main" r="T504" t="str" s="11">
        <x:v>C:\Users\Nomatin\Documents\Altium\MY_LIB\MY_LIB\Datasheets\YAGEO_RC_L.pdf</x:v>
      </x:c>
      <x:c xmlns:x="http://schemas.openxmlformats.org/spreadsheetml/2006/main" r="U504" t="str" s="11">
        <x:v>Даташит — локальный</x:v>
      </x:c>
      <x:c xmlns:x="http://schemas.openxmlformats.org/spreadsheetml/2006/main" r="V504" t="str" s="11">
        <x:v>C:\Users\Nomatin\Documents\Altium\MY_LIB\MY_LIB\Datasheets\YAGEO_RC_L.pdf</x:v>
      </x:c>
      <x:c xmlns:x="http://schemas.openxmlformats.org/spreadsheetml/2006/main" r="W504" t="str" s="11">
        <x:v>Даташит — производитель</x:v>
      </x:c>
      <x:c xmlns:x="http://schemas.openxmlformats.org/spreadsheetml/2006/main" r="X504" t="str" s="11">
        <x:v>https://yageogroup.com/content/datasheet/asset/file/PYU-RC_GROUP_51_ROHS_L</x:v>
      </x:c>
      <x:c xmlns:x="http://schemas.openxmlformats.org/spreadsheetml/2006/main" r="Y504" t="str" s="11">
        <x:v>C:\Users\Nomatin\Documents\Altium\MY_LIB\MY_LIB\Datasheets\YAGEO_RC_L.pdf</x:v>
      </x:c>
    </ns0:row>
    <ns0:row xmlns:ns0="http://schemas.openxmlformats.org/spreadsheetml/2006/main" r="505" ht="30" customHeight="1">
      <ns0:c r="A505" t="str" s="10">
        <ns0:v>R0511</ns0:v>
      </ns0:c>
      <ns0:c r="B505" t="str" s="10">
        <ns0:v>Резистор</ns0:v>
      </ns0:c>
      <ns0:c r="C505" t="str" s="10">
        <ns0:v>560R</ns0:v>
      </ns0:c>
      <ns0:c r="D505" t="str" s="11">
        <ns0:f>SUBSTITUTE(SUBSTITUTE(SUBSTITUTE(SUBSTITUTE(C505,"meg"," МОм"),"k"," кОм"),"R"," Ом"),".",",")</ns0:f>
        <ns0:v>560 Ом</ns0:v>
      </ns0:c>
      <ns0:c r="E505" t="str" s="10">
        <ns0:v>±1%</ns0:v>
      </ns0:c>
      <ns0:c r="F505" t="str" s="10">
        <ns0:v>0,125 Вт</ns0:v>
      </ns0:c>
      <ns0:c r="G505" t="str" s="10">
        <ns0:v>150 В макс.</ns0:v>
      </ns0:c>
      <ns0:c r="H505" t="str" s="12">
        <ns0:v>0805</ns0:v>
      </ns0:c>
      <ns0:c r="I505" t="str" s="10">
        <ns0:v>YAGEO</ns0:v>
      </ns0:c>
      <ns0:c r="J505" t="str" s="10">
        <ns0:v>RC0805FR-07560RL</ns0:v>
      </ns0:c>
      <ns0:c r="K505" t="str" s="11">
        <ns0:f>B505&amp;" "&amp;D505&amp;" "&amp;E505&amp;" "&amp;H505</ns0:f>
        <ns0:v>Резистор 560 Ом ±1% 0805</ns0:v>
      </ns0:c>
      <ns0:c r="L505" t="str" s="13">
        <ns0:v>R</ns0:v>
      </ns0:c>
      <ns0:c r="M505" t="str" s="13">
        <ns0:v>Symbols\MY_LIB_Resistors.SchLib</ns0:v>
      </ns0:c>
      <ns0:c r="N505" t="str" s="13">
        <ns0:v>RESC2012X70N</ns0:v>
      </ns0:c>
      <ns0:c r="O505" t="str" s="13">
        <ns0:v>Footprints\PBL - SMD Packages.PcbLib</ns0:v>
      </ns0:c>
      <ns0:c r="P505" t="str" s="10">
        <ns0:v>RC_L; E24; P при 70 °C; U ≤ min(√(P·R), Umax)</ns0:v>
      </ns0:c>
      <ns0:c r="Q505" s="10"/>
      <ns0:c r="R505" t="str" s="11">
        <ns0:f>D505</ns0:f>
        <ns0:v>560 Ом</ns0:v>
      </ns0:c>
      <ns0:c r="S505" t="str" s="11">
        <ns0:f>K505</ns0:f>
        <ns0:v>Резистор 560 Ом ±1% 0805</ns0:v>
      </ns0:c>
      <x:c xmlns:x="http://schemas.openxmlformats.org/spreadsheetml/2006/main" r="T505" t="str" s="11">
        <x:v>C:\Users\Nomatin\Documents\Altium\MY_LIB\MY_LIB\Datasheets\YAGEO_RC_L.pdf</x:v>
      </x:c>
      <x:c xmlns:x="http://schemas.openxmlformats.org/spreadsheetml/2006/main" r="U505" t="str" s="11">
        <x:v>Даташит — локальный</x:v>
      </x:c>
      <x:c xmlns:x="http://schemas.openxmlformats.org/spreadsheetml/2006/main" r="V505" t="str" s="11">
        <x:v>C:\Users\Nomatin\Documents\Altium\MY_LIB\MY_LIB\Datasheets\YAGEO_RC_L.pdf</x:v>
      </x:c>
      <x:c xmlns:x="http://schemas.openxmlformats.org/spreadsheetml/2006/main" r="W505" t="str" s="11">
        <x:v>Даташит — производитель</x:v>
      </x:c>
      <x:c xmlns:x="http://schemas.openxmlformats.org/spreadsheetml/2006/main" r="X505" t="str" s="11">
        <x:v>https://yageogroup.com/content/datasheet/asset/file/PYU-RC_GROUP_51_ROHS_L</x:v>
      </x:c>
      <x:c xmlns:x="http://schemas.openxmlformats.org/spreadsheetml/2006/main" r="Y505" t="str" s="11">
        <x:v>C:\Users\Nomatin\Documents\Altium\MY_LIB\MY_LIB\Datasheets\YAGEO_RC_L.pdf</x:v>
      </x:c>
    </ns0:row>
    <ns0:row xmlns:ns0="http://schemas.openxmlformats.org/spreadsheetml/2006/main" r="506" ht="30" customHeight="1">
      <ns0:c r="A506" t="str" s="10">
        <ns0:v>R0512</ns0:v>
      </ns0:c>
      <ns0:c r="B506" t="str" s="10">
        <ns0:v>Резистор</ns0:v>
      </ns0:c>
      <ns0:c r="C506" t="str" s="10">
        <ns0:v>620R</ns0:v>
      </ns0:c>
      <ns0:c r="D506" t="str" s="11">
        <ns0:f>SUBSTITUTE(SUBSTITUTE(SUBSTITUTE(SUBSTITUTE(C506,"meg"," МОм"),"k"," кОм"),"R"," Ом"),".",",")</ns0:f>
        <ns0:v>620 Ом</ns0:v>
      </ns0:c>
      <ns0:c r="E506" t="str" s="10">
        <ns0:v>±1%</ns0:v>
      </ns0:c>
      <ns0:c r="F506" t="str" s="10">
        <ns0:v>0,125 Вт</ns0:v>
      </ns0:c>
      <ns0:c r="G506" t="str" s="10">
        <ns0:v>150 В макс.</ns0:v>
      </ns0:c>
      <ns0:c r="H506" t="str" s="12">
        <ns0:v>0805</ns0:v>
      </ns0:c>
      <ns0:c r="I506" t="str" s="10">
        <ns0:v>YAGEO</ns0:v>
      </ns0:c>
      <ns0:c r="J506" t="str" s="10">
        <ns0:v>RC0805FR-07620RL</ns0:v>
      </ns0:c>
      <ns0:c r="K506" t="str" s="11">
        <ns0:f>B506&amp;" "&amp;D506&amp;" "&amp;E506&amp;" "&amp;H506</ns0:f>
        <ns0:v>Резистор 620 Ом ±1% 0805</ns0:v>
      </ns0:c>
      <ns0:c r="L506" t="str" s="13">
        <ns0:v>R</ns0:v>
      </ns0:c>
      <ns0:c r="M506" t="str" s="13">
        <ns0:v>Symbols\MY_LIB_Resistors.SchLib</ns0:v>
      </ns0:c>
      <ns0:c r="N506" t="str" s="13">
        <ns0:v>RESC2012X70N</ns0:v>
      </ns0:c>
      <ns0:c r="O506" t="str" s="13">
        <ns0:v>Footprints\PBL - SMD Packages.PcbLib</ns0:v>
      </ns0:c>
      <ns0:c r="P506" t="str" s="10">
        <ns0:v>RC_L; E24; P при 70 °C; U ≤ min(√(P·R), Umax)</ns0:v>
      </ns0:c>
      <ns0:c r="Q506" s="10"/>
      <ns0:c r="R506" t="str" s="11">
        <ns0:f>D506</ns0:f>
        <ns0:v>620 Ом</ns0:v>
      </ns0:c>
      <ns0:c r="S506" t="str" s="11">
        <ns0:f>K506</ns0:f>
        <ns0:v>Резистор 620 Ом ±1% 0805</ns0:v>
      </ns0:c>
      <x:c xmlns:x="http://schemas.openxmlformats.org/spreadsheetml/2006/main" r="T506" t="str" s="11">
        <x:v>C:\Users\Nomatin\Documents\Altium\MY_LIB\MY_LIB\Datasheets\YAGEO_RC_L.pdf</x:v>
      </x:c>
      <x:c xmlns:x="http://schemas.openxmlformats.org/spreadsheetml/2006/main" r="U506" t="str" s="11">
        <x:v>Даташит — локальный</x:v>
      </x:c>
      <x:c xmlns:x="http://schemas.openxmlformats.org/spreadsheetml/2006/main" r="V506" t="str" s="11">
        <x:v>C:\Users\Nomatin\Documents\Altium\MY_LIB\MY_LIB\Datasheets\YAGEO_RC_L.pdf</x:v>
      </x:c>
      <x:c xmlns:x="http://schemas.openxmlformats.org/spreadsheetml/2006/main" r="W506" t="str" s="11">
        <x:v>Даташит — производитель</x:v>
      </x:c>
      <x:c xmlns:x="http://schemas.openxmlformats.org/spreadsheetml/2006/main" r="X506" t="str" s="11">
        <x:v>https://yageogroup.com/content/datasheet/asset/file/PYU-RC_GROUP_51_ROHS_L</x:v>
      </x:c>
      <x:c xmlns:x="http://schemas.openxmlformats.org/spreadsheetml/2006/main" r="Y506" t="str" s="11">
        <x:v>C:\Users\Nomatin\Documents\Altium\MY_LIB\MY_LIB\Datasheets\YAGEO_RC_L.pdf</x:v>
      </x:c>
    </ns0:row>
    <ns0:row xmlns:ns0="http://schemas.openxmlformats.org/spreadsheetml/2006/main" r="507" ht="30" customHeight="1">
      <ns0:c r="A507" t="str" s="10">
        <ns0:v>R0513</ns0:v>
      </ns0:c>
      <ns0:c r="B507" t="str" s="10">
        <ns0:v>Резистор</ns0:v>
      </ns0:c>
      <ns0:c r="C507" t="str" s="10">
        <ns0:v>680R</ns0:v>
      </ns0:c>
      <ns0:c r="D507" t="str" s="11">
        <ns0:f>SUBSTITUTE(SUBSTITUTE(SUBSTITUTE(SUBSTITUTE(C507,"meg"," МОм"),"k"," кОм"),"R"," Ом"),".",",")</ns0:f>
        <ns0:v>680 Ом</ns0:v>
      </ns0:c>
      <ns0:c r="E507" t="str" s="10">
        <ns0:v>±1%</ns0:v>
      </ns0:c>
      <ns0:c r="F507" t="str" s="10">
        <ns0:v>0,125 Вт</ns0:v>
      </ns0:c>
      <ns0:c r="G507" t="str" s="10">
        <ns0:v>150 В макс.</ns0:v>
      </ns0:c>
      <ns0:c r="H507" t="str" s="12">
        <ns0:v>0805</ns0:v>
      </ns0:c>
      <ns0:c r="I507" t="str" s="10">
        <ns0:v>YAGEO</ns0:v>
      </ns0:c>
      <ns0:c r="J507" t="str" s="10">
        <ns0:v>RC0805FR-07680RL</ns0:v>
      </ns0:c>
      <ns0:c r="K507" t="str" s="11">
        <ns0:f>B507&amp;" "&amp;D507&amp;" "&amp;E507&amp;" "&amp;H507</ns0:f>
        <ns0:v>Резистор 680 Ом ±1% 0805</ns0:v>
      </ns0:c>
      <ns0:c r="L507" t="str" s="13">
        <ns0:v>R</ns0:v>
      </ns0:c>
      <ns0:c r="M507" t="str" s="13">
        <ns0:v>Symbols\MY_LIB_Resistors.SchLib</ns0:v>
      </ns0:c>
      <ns0:c r="N507" t="str" s="13">
        <ns0:v>RESC2012X70N</ns0:v>
      </ns0:c>
      <ns0:c r="O507" t="str" s="13">
        <ns0:v>Footprints\PBL - SMD Packages.PcbLib</ns0:v>
      </ns0:c>
      <ns0:c r="P507" t="str" s="10">
        <ns0:v>RC_L; E24; P при 70 °C; U ≤ min(√(P·R), Umax)</ns0:v>
      </ns0:c>
      <ns0:c r="Q507" s="10"/>
      <ns0:c r="R507" t="str" s="11">
        <ns0:f>D507</ns0:f>
        <ns0:v>680 Ом</ns0:v>
      </ns0:c>
      <ns0:c r="S507" t="str" s="11">
        <ns0:f>K507</ns0:f>
        <ns0:v>Резистор 680 Ом ±1% 0805</ns0:v>
      </ns0:c>
      <x:c xmlns:x="http://schemas.openxmlformats.org/spreadsheetml/2006/main" r="T507" t="str" s="11">
        <x:v>C:\Users\Nomatin\Documents\Altium\MY_LIB\MY_LIB\Datasheets\YAGEO_RC_L.pdf</x:v>
      </x:c>
      <x:c xmlns:x="http://schemas.openxmlformats.org/spreadsheetml/2006/main" r="U507" t="str" s="11">
        <x:v>Даташит — локальный</x:v>
      </x:c>
      <x:c xmlns:x="http://schemas.openxmlformats.org/spreadsheetml/2006/main" r="V507" t="str" s="11">
        <x:v>C:\Users\Nomatin\Documents\Altium\MY_LIB\MY_LIB\Datasheets\YAGEO_RC_L.pdf</x:v>
      </x:c>
      <x:c xmlns:x="http://schemas.openxmlformats.org/spreadsheetml/2006/main" r="W507" t="str" s="11">
        <x:v>Даташит — производитель</x:v>
      </x:c>
      <x:c xmlns:x="http://schemas.openxmlformats.org/spreadsheetml/2006/main" r="X507" t="str" s="11">
        <x:v>https://yageogroup.com/content/datasheet/asset/file/PYU-RC_GROUP_51_ROHS_L</x:v>
      </x:c>
      <x:c xmlns:x="http://schemas.openxmlformats.org/spreadsheetml/2006/main" r="Y507" t="str" s="11">
        <x:v>C:\Users\Nomatin\Documents\Altium\MY_LIB\MY_LIB\Datasheets\YAGEO_RC_L.pdf</x:v>
      </x:c>
    </ns0:row>
    <ns0:row xmlns:ns0="http://schemas.openxmlformats.org/spreadsheetml/2006/main" r="508" ht="30" customHeight="1">
      <ns0:c r="A508" t="str" s="10">
        <ns0:v>R0514</ns0:v>
      </ns0:c>
      <ns0:c r="B508" t="str" s="10">
        <ns0:v>Резистор</ns0:v>
      </ns0:c>
      <ns0:c r="C508" t="str" s="10">
        <ns0:v>750R</ns0:v>
      </ns0:c>
      <ns0:c r="D508" t="str" s="11">
        <ns0:f>SUBSTITUTE(SUBSTITUTE(SUBSTITUTE(SUBSTITUTE(C508,"meg"," МОм"),"k"," кОм"),"R"," Ом"),".",",")</ns0:f>
        <ns0:v>750 Ом</ns0:v>
      </ns0:c>
      <ns0:c r="E508" t="str" s="10">
        <ns0:v>±1%</ns0:v>
      </ns0:c>
      <ns0:c r="F508" t="str" s="10">
        <ns0:v>0,125 Вт</ns0:v>
      </ns0:c>
      <ns0:c r="G508" t="str" s="10">
        <ns0:v>150 В макс.</ns0:v>
      </ns0:c>
      <ns0:c r="H508" t="str" s="12">
        <ns0:v>0805</ns0:v>
      </ns0:c>
      <ns0:c r="I508" t="str" s="10">
        <ns0:v>YAGEO</ns0:v>
      </ns0:c>
      <ns0:c r="J508" t="str" s="10">
        <ns0:v>RC0805FR-07750RL</ns0:v>
      </ns0:c>
      <ns0:c r="K508" t="str" s="11">
        <ns0:f>B508&amp;" "&amp;D508&amp;" "&amp;E508&amp;" "&amp;H508</ns0:f>
        <ns0:v>Резистор 750 Ом ±1% 0805</ns0:v>
      </ns0:c>
      <ns0:c r="L508" t="str" s="13">
        <ns0:v>R</ns0:v>
      </ns0:c>
      <ns0:c r="M508" t="str" s="13">
        <ns0:v>Symbols\MY_LIB_Resistors.SchLib</ns0:v>
      </ns0:c>
      <ns0:c r="N508" t="str" s="13">
        <ns0:v>RESC2012X70N</ns0:v>
      </ns0:c>
      <ns0:c r="O508" t="str" s="13">
        <ns0:v>Footprints\PBL - SMD Packages.PcbLib</ns0:v>
      </ns0:c>
      <ns0:c r="P508" t="str" s="10">
        <ns0:v>RC_L; E24; P при 70 °C; U ≤ min(√(P·R), Umax)</ns0:v>
      </ns0:c>
      <ns0:c r="Q508" s="10"/>
      <ns0:c r="R508" t="str" s="11">
        <ns0:f>D508</ns0:f>
        <ns0:v>750 Ом</ns0:v>
      </ns0:c>
      <ns0:c r="S508" t="str" s="11">
        <ns0:f>K508</ns0:f>
        <ns0:v>Резистор 750 Ом ±1% 0805</ns0:v>
      </ns0:c>
      <x:c xmlns:x="http://schemas.openxmlformats.org/spreadsheetml/2006/main" r="T508" t="str" s="11">
        <x:v>C:\Users\Nomatin\Documents\Altium\MY_LIB\MY_LIB\Datasheets\YAGEO_RC_L.pdf</x:v>
      </x:c>
      <x:c xmlns:x="http://schemas.openxmlformats.org/spreadsheetml/2006/main" r="U508" t="str" s="11">
        <x:v>Даташит — локальный</x:v>
      </x:c>
      <x:c xmlns:x="http://schemas.openxmlformats.org/spreadsheetml/2006/main" r="V508" t="str" s="11">
        <x:v>C:\Users\Nomatin\Documents\Altium\MY_LIB\MY_LIB\Datasheets\YAGEO_RC_L.pdf</x:v>
      </x:c>
      <x:c xmlns:x="http://schemas.openxmlformats.org/spreadsheetml/2006/main" r="W508" t="str" s="11">
        <x:v>Даташит — производитель</x:v>
      </x:c>
      <x:c xmlns:x="http://schemas.openxmlformats.org/spreadsheetml/2006/main" r="X508" t="str" s="11">
        <x:v>https://yageogroup.com/content/datasheet/asset/file/PYU-RC_GROUP_51_ROHS_L</x:v>
      </x:c>
      <x:c xmlns:x="http://schemas.openxmlformats.org/spreadsheetml/2006/main" r="Y508" t="str" s="11">
        <x:v>C:\Users\Nomatin\Documents\Altium\MY_LIB\MY_LIB\Datasheets\YAGEO_RC_L.pdf</x:v>
      </x:c>
    </ns0:row>
    <ns0:row xmlns:ns0="http://schemas.openxmlformats.org/spreadsheetml/2006/main" r="509" ht="30" customHeight="1">
      <ns0:c r="A509" t="str" s="10">
        <ns0:v>R0515</ns0:v>
      </ns0:c>
      <ns0:c r="B509" t="str" s="10">
        <ns0:v>Резистор</ns0:v>
      </ns0:c>
      <ns0:c r="C509" t="str" s="10">
        <ns0:v>820R</ns0:v>
      </ns0:c>
      <ns0:c r="D509" t="str" s="11">
        <ns0:f>SUBSTITUTE(SUBSTITUTE(SUBSTITUTE(SUBSTITUTE(C509,"meg"," МОм"),"k"," кОм"),"R"," Ом"),".",",")</ns0:f>
        <ns0:v>820 Ом</ns0:v>
      </ns0:c>
      <ns0:c r="E509" t="str" s="10">
        <ns0:v>±1%</ns0:v>
      </ns0:c>
      <ns0:c r="F509" t="str" s="10">
        <ns0:v>0,125 Вт</ns0:v>
      </ns0:c>
      <ns0:c r="G509" t="str" s="10">
        <ns0:v>150 В макс.</ns0:v>
      </ns0:c>
      <ns0:c r="H509" t="str" s="12">
        <ns0:v>0805</ns0:v>
      </ns0:c>
      <ns0:c r="I509" t="str" s="10">
        <ns0:v>YAGEO</ns0:v>
      </ns0:c>
      <ns0:c r="J509" t="str" s="10">
        <ns0:v>RC0805FR-07820RL</ns0:v>
      </ns0:c>
      <ns0:c r="K509" t="str" s="11">
        <ns0:f>B509&amp;" "&amp;D509&amp;" "&amp;E509&amp;" "&amp;H509</ns0:f>
        <ns0:v>Резистор 820 Ом ±1% 0805</ns0:v>
      </ns0:c>
      <ns0:c r="L509" t="str" s="13">
        <ns0:v>R</ns0:v>
      </ns0:c>
      <ns0:c r="M509" t="str" s="13">
        <ns0:v>Symbols\MY_LIB_Resistors.SchLib</ns0:v>
      </ns0:c>
      <ns0:c r="N509" t="str" s="13">
        <ns0:v>RESC2012X70N</ns0:v>
      </ns0:c>
      <ns0:c r="O509" t="str" s="13">
        <ns0:v>Footprints\PBL - SMD Packages.PcbLib</ns0:v>
      </ns0:c>
      <ns0:c r="P509" t="str" s="10">
        <ns0:v>RC_L; E24; P при 70 °C; U ≤ min(√(P·R), Umax)</ns0:v>
      </ns0:c>
      <ns0:c r="Q509" s="10"/>
      <ns0:c r="R509" t="str" s="11">
        <ns0:f>D509</ns0:f>
        <ns0:v>820 Ом</ns0:v>
      </ns0:c>
      <ns0:c r="S509" t="str" s="11">
        <ns0:f>K509</ns0:f>
        <ns0:v>Резистор 820 Ом ±1% 0805</ns0:v>
      </ns0:c>
      <x:c xmlns:x="http://schemas.openxmlformats.org/spreadsheetml/2006/main" r="T509" t="str" s="11">
        <x:v>C:\Users\Nomatin\Documents\Altium\MY_LIB\MY_LIB\Datasheets\YAGEO_RC_L.pdf</x:v>
      </x:c>
      <x:c xmlns:x="http://schemas.openxmlformats.org/spreadsheetml/2006/main" r="U509" t="str" s="11">
        <x:v>Даташит — локальный</x:v>
      </x:c>
      <x:c xmlns:x="http://schemas.openxmlformats.org/spreadsheetml/2006/main" r="V509" t="str" s="11">
        <x:v>C:\Users\Nomatin\Documents\Altium\MY_LIB\MY_LIB\Datasheets\YAGEO_RC_L.pdf</x:v>
      </x:c>
      <x:c xmlns:x="http://schemas.openxmlformats.org/spreadsheetml/2006/main" r="W509" t="str" s="11">
        <x:v>Даташит — производитель</x:v>
      </x:c>
      <x:c xmlns:x="http://schemas.openxmlformats.org/spreadsheetml/2006/main" r="X509" t="str" s="11">
        <x:v>https://yageogroup.com/content/datasheet/asset/file/PYU-RC_GROUP_51_ROHS_L</x:v>
      </x:c>
      <x:c xmlns:x="http://schemas.openxmlformats.org/spreadsheetml/2006/main" r="Y509" t="str" s="11">
        <x:v>C:\Users\Nomatin\Documents\Altium\MY_LIB\MY_LIB\Datasheets\YAGEO_RC_L.pdf</x:v>
      </x:c>
    </ns0:row>
    <ns0:row xmlns:ns0="http://schemas.openxmlformats.org/spreadsheetml/2006/main" r="510" ht="30" customHeight="1">
      <ns0:c r="A510" t="str" s="10">
        <ns0:v>R0516</ns0:v>
      </ns0:c>
      <ns0:c r="B510" t="str" s="10">
        <ns0:v>Резистор</ns0:v>
      </ns0:c>
      <ns0:c r="C510" t="str" s="10">
        <ns0:v>910R</ns0:v>
      </ns0:c>
      <ns0:c r="D510" t="str" s="11">
        <ns0:f>SUBSTITUTE(SUBSTITUTE(SUBSTITUTE(SUBSTITUTE(C510,"meg"," МОм"),"k"," кОм"),"R"," Ом"),".",",")</ns0:f>
        <ns0:v>910 Ом</ns0:v>
      </ns0:c>
      <ns0:c r="E510" t="str" s="10">
        <ns0:v>±1%</ns0:v>
      </ns0:c>
      <ns0:c r="F510" t="str" s="10">
        <ns0:v>0,125 Вт</ns0:v>
      </ns0:c>
      <ns0:c r="G510" t="str" s="10">
        <ns0:v>150 В макс.</ns0:v>
      </ns0:c>
      <ns0:c r="H510" t="str" s="12">
        <ns0:v>0805</ns0:v>
      </ns0:c>
      <ns0:c r="I510" t="str" s="10">
        <ns0:v>YAGEO</ns0:v>
      </ns0:c>
      <ns0:c r="J510" t="str" s="10">
        <ns0:v>RC0805FR-07910RL</ns0:v>
      </ns0:c>
      <ns0:c r="K510" t="str" s="11">
        <ns0:f>B510&amp;" "&amp;D510&amp;" "&amp;E510&amp;" "&amp;H510</ns0:f>
        <ns0:v>Резистор 910 Ом ±1% 0805</ns0:v>
      </ns0:c>
      <ns0:c r="L510" t="str" s="13">
        <ns0:v>R</ns0:v>
      </ns0:c>
      <ns0:c r="M510" t="str" s="13">
        <ns0:v>Symbols\MY_LIB_Resistors.SchLib</ns0:v>
      </ns0:c>
      <ns0:c r="N510" t="str" s="13">
        <ns0:v>RESC2012X70N</ns0:v>
      </ns0:c>
      <ns0:c r="O510" t="str" s="13">
        <ns0:v>Footprints\PBL - SMD Packages.PcbLib</ns0:v>
      </ns0:c>
      <ns0:c r="P510" t="str" s="10">
        <ns0:v>RC_L; E24; P при 70 °C; U ≤ min(√(P·R), Umax)</ns0:v>
      </ns0:c>
      <ns0:c r="Q510" s="10"/>
      <ns0:c r="R510" t="str" s="11">
        <ns0:f>D510</ns0:f>
        <ns0:v>910 Ом</ns0:v>
      </ns0:c>
      <ns0:c r="S510" t="str" s="11">
        <ns0:f>K510</ns0:f>
        <ns0:v>Резистор 910 Ом ±1% 0805</ns0:v>
      </ns0:c>
      <x:c xmlns:x="http://schemas.openxmlformats.org/spreadsheetml/2006/main" r="T510" t="str" s="11">
        <x:v>C:\Users\Nomatin\Documents\Altium\MY_LIB\MY_LIB\Datasheets\YAGEO_RC_L.pdf</x:v>
      </x:c>
      <x:c xmlns:x="http://schemas.openxmlformats.org/spreadsheetml/2006/main" r="U510" t="str" s="11">
        <x:v>Даташит — локальный</x:v>
      </x:c>
      <x:c xmlns:x="http://schemas.openxmlformats.org/spreadsheetml/2006/main" r="V510" t="str" s="11">
        <x:v>C:\Users\Nomatin\Documents\Altium\MY_LIB\MY_LIB\Datasheets\YAGEO_RC_L.pdf</x:v>
      </x:c>
      <x:c xmlns:x="http://schemas.openxmlformats.org/spreadsheetml/2006/main" r="W510" t="str" s="11">
        <x:v>Даташит — производитель</x:v>
      </x:c>
      <x:c xmlns:x="http://schemas.openxmlformats.org/spreadsheetml/2006/main" r="X510" t="str" s="11">
        <x:v>https://yageogroup.com/content/datasheet/asset/file/PYU-RC_GROUP_51_ROHS_L</x:v>
      </x:c>
      <x:c xmlns:x="http://schemas.openxmlformats.org/spreadsheetml/2006/main" r="Y510" t="str" s="11">
        <x:v>C:\Users\Nomatin\Documents\Altium\MY_LIB\MY_LIB\Datasheets\YAGEO_RC_L.pdf</x:v>
      </x:c>
    </ns0:row>
    <ns0:row xmlns:ns0="http://schemas.openxmlformats.org/spreadsheetml/2006/main" r="511" ht="30" customHeight="1">
      <ns0:c r="A511" t="str" s="10">
        <ns0:v>R0517</ns0:v>
      </ns0:c>
      <ns0:c r="B511" t="str" s="10">
        <ns0:v>Резистор</ns0:v>
      </ns0:c>
      <ns0:c r="C511" t="str" s="10">
        <ns0:v>1k</ns0:v>
      </ns0:c>
      <ns0:c r="D511" t="str" s="11">
        <ns0:f>SUBSTITUTE(SUBSTITUTE(SUBSTITUTE(SUBSTITUTE(C511,"meg"," МОм"),"k"," кОм"),"R"," Ом"),".",",")</ns0:f>
        <ns0:v>1 кОм</ns0:v>
      </ns0:c>
      <ns0:c r="E511" t="str" s="10">
        <ns0:v>±1%</ns0:v>
      </ns0:c>
      <ns0:c r="F511" t="str" s="10">
        <ns0:v>0,125 Вт</ns0:v>
      </ns0:c>
      <ns0:c r="G511" t="str" s="10">
        <ns0:v>150 В макс.</ns0:v>
      </ns0:c>
      <ns0:c r="H511" t="str" s="12">
        <ns0:v>0805</ns0:v>
      </ns0:c>
      <ns0:c r="I511" t="str" s="10">
        <ns0:v>YAGEO</ns0:v>
      </ns0:c>
      <ns0:c r="J511" t="str" s="10">
        <ns0:v>RC0805FR-071KL</ns0:v>
      </ns0:c>
      <ns0:c r="K511" t="str" s="11">
        <ns0:f>B511&amp;" "&amp;D511&amp;" "&amp;E511&amp;" "&amp;H511</ns0:f>
        <ns0:v>Резистор 1 кОм ±1% 0805</ns0:v>
      </ns0:c>
      <ns0:c r="L511" t="str" s="13">
        <ns0:v>R</ns0:v>
      </ns0:c>
      <ns0:c r="M511" t="str" s="13">
        <ns0:v>Symbols\MY_LIB_Resistors.SchLib</ns0:v>
      </ns0:c>
      <ns0:c r="N511" t="str" s="13">
        <ns0:v>RESC2012X70N</ns0:v>
      </ns0:c>
      <ns0:c r="O511" t="str" s="13">
        <ns0:v>Footprints\PBL - SMD Packages.PcbLib</ns0:v>
      </ns0:c>
      <ns0:c r="P511" t="str" s="10">
        <ns0:v>RC_L; E24; P при 70 °C; U ≤ min(√(P·R), Umax)</ns0:v>
      </ns0:c>
      <ns0:c r="Q511" s="10"/>
      <ns0:c r="R511" t="str" s="11">
        <ns0:f>D511</ns0:f>
        <ns0:v>1 кОм</ns0:v>
      </ns0:c>
      <ns0:c r="S511" t="str" s="11">
        <ns0:f>K511</ns0:f>
        <ns0:v>Резистор 1 кОм ±1% 0805</ns0:v>
      </ns0:c>
      <x:c xmlns:x="http://schemas.openxmlformats.org/spreadsheetml/2006/main" r="T511" t="str" s="11">
        <x:v>C:\Users\Nomatin\Documents\Altium\MY_LIB\MY_LIB\Datasheets\YAGEO_RC_L.pdf</x:v>
      </x:c>
      <x:c xmlns:x="http://schemas.openxmlformats.org/spreadsheetml/2006/main" r="U511" t="str" s="11">
        <x:v>Даташит — локальный</x:v>
      </x:c>
      <x:c xmlns:x="http://schemas.openxmlformats.org/spreadsheetml/2006/main" r="V511" t="str" s="11">
        <x:v>C:\Users\Nomatin\Documents\Altium\MY_LIB\MY_LIB\Datasheets\YAGEO_RC_L.pdf</x:v>
      </x:c>
      <x:c xmlns:x="http://schemas.openxmlformats.org/spreadsheetml/2006/main" r="W511" t="str" s="11">
        <x:v>Даташит — производитель</x:v>
      </x:c>
      <x:c xmlns:x="http://schemas.openxmlformats.org/spreadsheetml/2006/main" r="X511" t="str" s="11">
        <x:v>https://yageogroup.com/content/datasheet/asset/file/PYU-RC_GROUP_51_ROHS_L</x:v>
      </x:c>
      <x:c xmlns:x="http://schemas.openxmlformats.org/spreadsheetml/2006/main" r="Y511" t="str" s="11">
        <x:v>C:\Users\Nomatin\Documents\Altium\MY_LIB\MY_LIB\Datasheets\YAGEO_RC_L.pdf</x:v>
      </x:c>
    </ns0:row>
    <ns0:row xmlns:ns0="http://schemas.openxmlformats.org/spreadsheetml/2006/main" r="512" ht="30" customHeight="1">
      <ns0:c r="A512" t="str" s="10">
        <ns0:v>R0518</ns0:v>
      </ns0:c>
      <ns0:c r="B512" t="str" s="10">
        <ns0:v>Резистор</ns0:v>
      </ns0:c>
      <ns0:c r="C512" t="str" s="10">
        <ns0:v>1.1k</ns0:v>
      </ns0:c>
      <ns0:c r="D512" t="str" s="11">
        <ns0:f>SUBSTITUTE(SUBSTITUTE(SUBSTITUTE(SUBSTITUTE(C512,"meg"," МОм"),"k"," кОм"),"R"," Ом"),".",",")</ns0:f>
        <ns0:v>1,1 кОм</ns0:v>
      </ns0:c>
      <ns0:c r="E512" t="str" s="10">
        <ns0:v>±1%</ns0:v>
      </ns0:c>
      <ns0:c r="F512" t="str" s="10">
        <ns0:v>0,125 Вт</ns0:v>
      </ns0:c>
      <ns0:c r="G512" t="str" s="10">
        <ns0:v>150 В макс.</ns0:v>
      </ns0:c>
      <ns0:c r="H512" t="str" s="12">
        <ns0:v>0805</ns0:v>
      </ns0:c>
      <ns0:c r="I512" t="str" s="10">
        <ns0:v>YAGEO</ns0:v>
      </ns0:c>
      <ns0:c r="J512" t="str" s="10">
        <ns0:v>RC0805FR-071K1L</ns0:v>
      </ns0:c>
      <ns0:c r="K512" t="str" s="11">
        <ns0:f>B512&amp;" "&amp;D512&amp;" "&amp;E512&amp;" "&amp;H512</ns0:f>
        <ns0:v>Резистор 1,1 кОм ±1% 0805</ns0:v>
      </ns0:c>
      <ns0:c r="L512" t="str" s="13">
        <ns0:v>R</ns0:v>
      </ns0:c>
      <ns0:c r="M512" t="str" s="13">
        <ns0:v>Symbols\MY_LIB_Resistors.SchLib</ns0:v>
      </ns0:c>
      <ns0:c r="N512" t="str" s="13">
        <ns0:v>RESC2012X70N</ns0:v>
      </ns0:c>
      <ns0:c r="O512" t="str" s="13">
        <ns0:v>Footprints\PBL - SMD Packages.PcbLib</ns0:v>
      </ns0:c>
      <ns0:c r="P512" t="str" s="10">
        <ns0:v>RC_L; E24; P при 70 °C; U ≤ min(√(P·R), Umax)</ns0:v>
      </ns0:c>
      <ns0:c r="Q512" s="10"/>
      <ns0:c r="R512" t="str" s="11">
        <ns0:f>D512</ns0:f>
        <ns0:v>1,1 кОм</ns0:v>
      </ns0:c>
      <ns0:c r="S512" t="str" s="11">
        <ns0:f>K512</ns0:f>
        <ns0:v>Резистор 1,1 кОм ±1% 0805</ns0:v>
      </ns0:c>
      <x:c xmlns:x="http://schemas.openxmlformats.org/spreadsheetml/2006/main" r="T512" t="str" s="11">
        <x:v>C:\Users\Nomatin\Documents\Altium\MY_LIB\MY_LIB\Datasheets\YAGEO_RC_L.pdf</x:v>
      </x:c>
      <x:c xmlns:x="http://schemas.openxmlformats.org/spreadsheetml/2006/main" r="U512" t="str" s="11">
        <x:v>Даташит — локальный</x:v>
      </x:c>
      <x:c xmlns:x="http://schemas.openxmlformats.org/spreadsheetml/2006/main" r="V512" t="str" s="11">
        <x:v>C:\Users\Nomatin\Documents\Altium\MY_LIB\MY_LIB\Datasheets\YAGEO_RC_L.pdf</x:v>
      </x:c>
      <x:c xmlns:x="http://schemas.openxmlformats.org/spreadsheetml/2006/main" r="W512" t="str" s="11">
        <x:v>Даташит — производитель</x:v>
      </x:c>
      <x:c xmlns:x="http://schemas.openxmlformats.org/spreadsheetml/2006/main" r="X512" t="str" s="11">
        <x:v>https://yageogroup.com/content/datasheet/asset/file/PYU-RC_GROUP_51_ROHS_L</x:v>
      </x:c>
      <x:c xmlns:x="http://schemas.openxmlformats.org/spreadsheetml/2006/main" r="Y512" t="str" s="11">
        <x:v>C:\Users\Nomatin\Documents\Altium\MY_LIB\MY_LIB\Datasheets\YAGEO_RC_L.pdf</x:v>
      </x:c>
    </ns0:row>
    <ns0:row xmlns:ns0="http://schemas.openxmlformats.org/spreadsheetml/2006/main" r="513" ht="30" customHeight="1">
      <ns0:c r="A513" t="str" s="10">
        <ns0:v>R0519</ns0:v>
      </ns0:c>
      <ns0:c r="B513" t="str" s="10">
        <ns0:v>Резистор</ns0:v>
      </ns0:c>
      <ns0:c r="C513" t="str" s="10">
        <ns0:v>1.2k</ns0:v>
      </ns0:c>
      <ns0:c r="D513" t="str" s="11">
        <ns0:f>SUBSTITUTE(SUBSTITUTE(SUBSTITUTE(SUBSTITUTE(C513,"meg"," МОм"),"k"," кОм"),"R"," Ом"),".",",")</ns0:f>
        <ns0:v>1,2 кОм</ns0:v>
      </ns0:c>
      <ns0:c r="E513" t="str" s="10">
        <ns0:v>±1%</ns0:v>
      </ns0:c>
      <ns0:c r="F513" t="str" s="10">
        <ns0:v>0,125 Вт</ns0:v>
      </ns0:c>
      <ns0:c r="G513" t="str" s="10">
        <ns0:v>150 В макс.</ns0:v>
      </ns0:c>
      <ns0:c r="H513" t="str" s="12">
        <ns0:v>0805</ns0:v>
      </ns0:c>
      <ns0:c r="I513" t="str" s="10">
        <ns0:v>YAGEO</ns0:v>
      </ns0:c>
      <ns0:c r="J513" t="str" s="10">
        <ns0:v>RC0805FR-071K2L</ns0:v>
      </ns0:c>
      <ns0:c r="K513" t="str" s="11">
        <ns0:f>B513&amp;" "&amp;D513&amp;" "&amp;E513&amp;" "&amp;H513</ns0:f>
        <ns0:v>Резистор 1,2 кОм ±1% 0805</ns0:v>
      </ns0:c>
      <ns0:c r="L513" t="str" s="13">
        <ns0:v>R</ns0:v>
      </ns0:c>
      <ns0:c r="M513" t="str" s="13">
        <ns0:v>Symbols\MY_LIB_Resistors.SchLib</ns0:v>
      </ns0:c>
      <ns0:c r="N513" t="str" s="13">
        <ns0:v>RESC2012X70N</ns0:v>
      </ns0:c>
      <ns0:c r="O513" t="str" s="13">
        <ns0:v>Footprints\PBL - SMD Packages.PcbLib</ns0:v>
      </ns0:c>
      <ns0:c r="P513" t="str" s="10">
        <ns0:v>RC_L; E24; P при 70 °C; U ≤ min(√(P·R), Umax)</ns0:v>
      </ns0:c>
      <ns0:c r="Q513" s="10"/>
      <ns0:c r="R513" t="str" s="11">
        <ns0:f>D513</ns0:f>
        <ns0:v>1,2 кОм</ns0:v>
      </ns0:c>
      <ns0:c r="S513" t="str" s="11">
        <ns0:f>K513</ns0:f>
        <ns0:v>Резистор 1,2 кОм ±1% 0805</ns0:v>
      </ns0:c>
      <x:c xmlns:x="http://schemas.openxmlformats.org/spreadsheetml/2006/main" r="T513" t="str" s="11">
        <x:v>C:\Users\Nomatin\Documents\Altium\MY_LIB\MY_LIB\Datasheets\YAGEO_RC_L.pdf</x:v>
      </x:c>
      <x:c xmlns:x="http://schemas.openxmlformats.org/spreadsheetml/2006/main" r="U513" t="str" s="11">
        <x:v>Даташит — локальный</x:v>
      </x:c>
      <x:c xmlns:x="http://schemas.openxmlformats.org/spreadsheetml/2006/main" r="V513" t="str" s="11">
        <x:v>C:\Users\Nomatin\Documents\Altium\MY_LIB\MY_LIB\Datasheets\YAGEO_RC_L.pdf</x:v>
      </x:c>
      <x:c xmlns:x="http://schemas.openxmlformats.org/spreadsheetml/2006/main" r="W513" t="str" s="11">
        <x:v>Даташит — производитель</x:v>
      </x:c>
      <x:c xmlns:x="http://schemas.openxmlformats.org/spreadsheetml/2006/main" r="X513" t="str" s="11">
        <x:v>https://yageogroup.com/content/datasheet/asset/file/PYU-RC_GROUP_51_ROHS_L</x:v>
      </x:c>
      <x:c xmlns:x="http://schemas.openxmlformats.org/spreadsheetml/2006/main" r="Y513" t="str" s="11">
        <x:v>C:\Users\Nomatin\Documents\Altium\MY_LIB\MY_LIB\Datasheets\YAGEO_RC_L.pdf</x:v>
      </x:c>
    </ns0:row>
    <ns0:row xmlns:ns0="http://schemas.openxmlformats.org/spreadsheetml/2006/main" r="514" ht="30" customHeight="1">
      <ns0:c r="A514" t="str" s="10">
        <ns0:v>R0520</ns0:v>
      </ns0:c>
      <ns0:c r="B514" t="str" s="10">
        <ns0:v>Резистор</ns0:v>
      </ns0:c>
      <ns0:c r="C514" t="str" s="10">
        <ns0:v>1.3k</ns0:v>
      </ns0:c>
      <ns0:c r="D514" t="str" s="11">
        <ns0:f>SUBSTITUTE(SUBSTITUTE(SUBSTITUTE(SUBSTITUTE(C514,"meg"," МОм"),"k"," кОм"),"R"," Ом"),".",",")</ns0:f>
        <ns0:v>1,3 кОм</ns0:v>
      </ns0:c>
      <ns0:c r="E514" t="str" s="10">
        <ns0:v>±1%</ns0:v>
      </ns0:c>
      <ns0:c r="F514" t="str" s="10">
        <ns0:v>0,125 Вт</ns0:v>
      </ns0:c>
      <ns0:c r="G514" t="str" s="10">
        <ns0:v>150 В макс.</ns0:v>
      </ns0:c>
      <ns0:c r="H514" t="str" s="12">
        <ns0:v>0805</ns0:v>
      </ns0:c>
      <ns0:c r="I514" t="str" s="10">
        <ns0:v>YAGEO</ns0:v>
      </ns0:c>
      <ns0:c r="J514" t="str" s="10">
        <ns0:v>RC0805FR-071K3L</ns0:v>
      </ns0:c>
      <ns0:c r="K514" t="str" s="11">
        <ns0:f>B514&amp;" "&amp;D514&amp;" "&amp;E514&amp;" "&amp;H514</ns0:f>
        <ns0:v>Резистор 1,3 кОм ±1% 0805</ns0:v>
      </ns0:c>
      <ns0:c r="L514" t="str" s="13">
        <ns0:v>R</ns0:v>
      </ns0:c>
      <ns0:c r="M514" t="str" s="13">
        <ns0:v>Symbols\MY_LIB_Resistors.SchLib</ns0:v>
      </ns0:c>
      <ns0:c r="N514" t="str" s="13">
        <ns0:v>RESC2012X70N</ns0:v>
      </ns0:c>
      <ns0:c r="O514" t="str" s="13">
        <ns0:v>Footprints\PBL - SMD Packages.PcbLib</ns0:v>
      </ns0:c>
      <ns0:c r="P514" t="str" s="10">
        <ns0:v>RC_L; E24; P при 70 °C; U ≤ min(√(P·R), Umax)</ns0:v>
      </ns0:c>
      <ns0:c r="Q514" s="10"/>
      <ns0:c r="R514" t="str" s="11">
        <ns0:f>D514</ns0:f>
        <ns0:v>1,3 кОм</ns0:v>
      </ns0:c>
      <ns0:c r="S514" t="str" s="11">
        <ns0:f>K514</ns0:f>
        <ns0:v>Резистор 1,3 кОм ±1% 0805</ns0:v>
      </ns0:c>
      <x:c xmlns:x="http://schemas.openxmlformats.org/spreadsheetml/2006/main" r="T514" t="str" s="11">
        <x:v>C:\Users\Nomatin\Documents\Altium\MY_LIB\MY_LIB\Datasheets\YAGEO_RC_L.pdf</x:v>
      </x:c>
      <x:c xmlns:x="http://schemas.openxmlformats.org/spreadsheetml/2006/main" r="U514" t="str" s="11">
        <x:v>Даташит — локальный</x:v>
      </x:c>
      <x:c xmlns:x="http://schemas.openxmlformats.org/spreadsheetml/2006/main" r="V514" t="str" s="11">
        <x:v>C:\Users\Nomatin\Documents\Altium\MY_LIB\MY_LIB\Datasheets\YAGEO_RC_L.pdf</x:v>
      </x:c>
      <x:c xmlns:x="http://schemas.openxmlformats.org/spreadsheetml/2006/main" r="W514" t="str" s="11">
        <x:v>Даташит — производитель</x:v>
      </x:c>
      <x:c xmlns:x="http://schemas.openxmlformats.org/spreadsheetml/2006/main" r="X514" t="str" s="11">
        <x:v>https://yageogroup.com/content/datasheet/asset/file/PYU-RC_GROUP_51_ROHS_L</x:v>
      </x:c>
      <x:c xmlns:x="http://schemas.openxmlformats.org/spreadsheetml/2006/main" r="Y514" t="str" s="11">
        <x:v>C:\Users\Nomatin\Documents\Altium\MY_LIB\MY_LIB\Datasheets\YAGEO_RC_L.pdf</x:v>
      </x:c>
    </ns0:row>
    <ns0:row xmlns:ns0="http://schemas.openxmlformats.org/spreadsheetml/2006/main" r="515" ht="30" customHeight="1">
      <ns0:c r="A515" t="str" s="10">
        <ns0:v>R0521</ns0:v>
      </ns0:c>
      <ns0:c r="B515" t="str" s="10">
        <ns0:v>Резистор</ns0:v>
      </ns0:c>
      <ns0:c r="C515" t="str" s="10">
        <ns0:v>1.5k</ns0:v>
      </ns0:c>
      <ns0:c r="D515" t="str" s="11">
        <ns0:f>SUBSTITUTE(SUBSTITUTE(SUBSTITUTE(SUBSTITUTE(C515,"meg"," МОм"),"k"," кОм"),"R"," Ом"),".",",")</ns0:f>
        <ns0:v>1,5 кОм</ns0:v>
      </ns0:c>
      <ns0:c r="E515" t="str" s="10">
        <ns0:v>±1%</ns0:v>
      </ns0:c>
      <ns0:c r="F515" t="str" s="10">
        <ns0:v>0,125 Вт</ns0:v>
      </ns0:c>
      <ns0:c r="G515" t="str" s="10">
        <ns0:v>150 В макс.</ns0:v>
      </ns0:c>
      <ns0:c r="H515" t="str" s="12">
        <ns0:v>0805</ns0:v>
      </ns0:c>
      <ns0:c r="I515" t="str" s="10">
        <ns0:v>YAGEO</ns0:v>
      </ns0:c>
      <ns0:c r="J515" t="str" s="10">
        <ns0:v>RC0805FR-071K5L</ns0:v>
      </ns0:c>
      <ns0:c r="K515" t="str" s="11">
        <ns0:f>B515&amp;" "&amp;D515&amp;" "&amp;E515&amp;" "&amp;H515</ns0:f>
        <ns0:v>Резистор 1,5 кОм ±1% 0805</ns0:v>
      </ns0:c>
      <ns0:c r="L515" t="str" s="13">
        <ns0:v>R</ns0:v>
      </ns0:c>
      <ns0:c r="M515" t="str" s="13">
        <ns0:v>Symbols\MY_LIB_Resistors.SchLib</ns0:v>
      </ns0:c>
      <ns0:c r="N515" t="str" s="13">
        <ns0:v>RESC2012X70N</ns0:v>
      </ns0:c>
      <ns0:c r="O515" t="str" s="13">
        <ns0:v>Footprints\PBL - SMD Packages.PcbLib</ns0:v>
      </ns0:c>
      <ns0:c r="P515" t="str" s="10">
        <ns0:v>RC_L; E24; P при 70 °C; U ≤ min(√(P·R), Umax)</ns0:v>
      </ns0:c>
      <ns0:c r="Q515" s="10"/>
      <ns0:c r="R515" t="str" s="11">
        <ns0:f>D515</ns0:f>
        <ns0:v>1,5 кОм</ns0:v>
      </ns0:c>
      <ns0:c r="S515" t="str" s="11">
        <ns0:f>K515</ns0:f>
        <ns0:v>Резистор 1,5 кОм ±1% 0805</ns0:v>
      </ns0:c>
      <x:c xmlns:x="http://schemas.openxmlformats.org/spreadsheetml/2006/main" r="T515" t="str" s="11">
        <x:v>C:\Users\Nomatin\Documents\Altium\MY_LIB\MY_LIB\Datasheets\YAGEO_RC_L.pdf</x:v>
      </x:c>
      <x:c xmlns:x="http://schemas.openxmlformats.org/spreadsheetml/2006/main" r="U515" t="str" s="11">
        <x:v>Даташит — локальный</x:v>
      </x:c>
      <x:c xmlns:x="http://schemas.openxmlformats.org/spreadsheetml/2006/main" r="V515" t="str" s="11">
        <x:v>C:\Users\Nomatin\Documents\Altium\MY_LIB\MY_LIB\Datasheets\YAGEO_RC_L.pdf</x:v>
      </x:c>
      <x:c xmlns:x="http://schemas.openxmlformats.org/spreadsheetml/2006/main" r="W515" t="str" s="11">
        <x:v>Даташит — производитель</x:v>
      </x:c>
      <x:c xmlns:x="http://schemas.openxmlformats.org/spreadsheetml/2006/main" r="X515" t="str" s="11">
        <x:v>https://yageogroup.com/content/datasheet/asset/file/PYU-RC_GROUP_51_ROHS_L</x:v>
      </x:c>
      <x:c xmlns:x="http://schemas.openxmlformats.org/spreadsheetml/2006/main" r="Y515" t="str" s="11">
        <x:v>C:\Users\Nomatin\Documents\Altium\MY_LIB\MY_LIB\Datasheets\YAGEO_RC_L.pdf</x:v>
      </x:c>
    </ns0:row>
    <ns0:row xmlns:ns0="http://schemas.openxmlformats.org/spreadsheetml/2006/main" r="516" ht="30" customHeight="1">
      <ns0:c r="A516" t="str" s="10">
        <ns0:v>R0522</ns0:v>
      </ns0:c>
      <ns0:c r="B516" t="str" s="10">
        <ns0:v>Резистор</ns0:v>
      </ns0:c>
      <ns0:c r="C516" t="str" s="10">
        <ns0:v>1.6k</ns0:v>
      </ns0:c>
      <ns0:c r="D516" t="str" s="11">
        <ns0:f>SUBSTITUTE(SUBSTITUTE(SUBSTITUTE(SUBSTITUTE(C516,"meg"," МОм"),"k"," кОм"),"R"," Ом"),".",",")</ns0:f>
        <ns0:v>1,6 кОм</ns0:v>
      </ns0:c>
      <ns0:c r="E516" t="str" s="10">
        <ns0:v>±1%</ns0:v>
      </ns0:c>
      <ns0:c r="F516" t="str" s="10">
        <ns0:v>0,125 Вт</ns0:v>
      </ns0:c>
      <ns0:c r="G516" t="str" s="10">
        <ns0:v>150 В макс.</ns0:v>
      </ns0:c>
      <ns0:c r="H516" t="str" s="12">
        <ns0:v>0805</ns0:v>
      </ns0:c>
      <ns0:c r="I516" t="str" s="10">
        <ns0:v>YAGEO</ns0:v>
      </ns0:c>
      <ns0:c r="J516" t="str" s="10">
        <ns0:v>RC0805FR-071K6L</ns0:v>
      </ns0:c>
      <ns0:c r="K516" t="str" s="11">
        <ns0:f>B516&amp;" "&amp;D516&amp;" "&amp;E516&amp;" "&amp;H516</ns0:f>
        <ns0:v>Резистор 1,6 кОм ±1% 0805</ns0:v>
      </ns0:c>
      <ns0:c r="L516" t="str" s="13">
        <ns0:v>R</ns0:v>
      </ns0:c>
      <ns0:c r="M516" t="str" s="13">
        <ns0:v>Symbols\MY_LIB_Resistors.SchLib</ns0:v>
      </ns0:c>
      <ns0:c r="N516" t="str" s="13">
        <ns0:v>RESC2012X70N</ns0:v>
      </ns0:c>
      <ns0:c r="O516" t="str" s="13">
        <ns0:v>Footprints\PBL - SMD Packages.PcbLib</ns0:v>
      </ns0:c>
      <ns0:c r="P516" t="str" s="10">
        <ns0:v>RC_L; E24; P при 70 °C; U ≤ min(√(P·R), Umax)</ns0:v>
      </ns0:c>
      <ns0:c r="Q516" s="10"/>
      <ns0:c r="R516" t="str" s="11">
        <ns0:f>D516</ns0:f>
        <ns0:v>1,6 кОм</ns0:v>
      </ns0:c>
      <ns0:c r="S516" t="str" s="11">
        <ns0:f>K516</ns0:f>
        <ns0:v>Резистор 1,6 кОм ±1% 0805</ns0:v>
      </ns0:c>
      <x:c xmlns:x="http://schemas.openxmlformats.org/spreadsheetml/2006/main" r="T516" t="str" s="11">
        <x:v>C:\Users\Nomatin\Documents\Altium\MY_LIB\MY_LIB\Datasheets\YAGEO_RC_L.pdf</x:v>
      </x:c>
      <x:c xmlns:x="http://schemas.openxmlformats.org/spreadsheetml/2006/main" r="U516" t="str" s="11">
        <x:v>Даташит — локальный</x:v>
      </x:c>
      <x:c xmlns:x="http://schemas.openxmlformats.org/spreadsheetml/2006/main" r="V516" t="str" s="11">
        <x:v>C:\Users\Nomatin\Documents\Altium\MY_LIB\MY_LIB\Datasheets\YAGEO_RC_L.pdf</x:v>
      </x:c>
      <x:c xmlns:x="http://schemas.openxmlformats.org/spreadsheetml/2006/main" r="W516" t="str" s="11">
        <x:v>Даташит — производитель</x:v>
      </x:c>
      <x:c xmlns:x="http://schemas.openxmlformats.org/spreadsheetml/2006/main" r="X516" t="str" s="11">
        <x:v>https://yageogroup.com/content/datasheet/asset/file/PYU-RC_GROUP_51_ROHS_L</x:v>
      </x:c>
      <x:c xmlns:x="http://schemas.openxmlformats.org/spreadsheetml/2006/main" r="Y516" t="str" s="11">
        <x:v>C:\Users\Nomatin\Documents\Altium\MY_LIB\MY_LIB\Datasheets\YAGEO_RC_L.pdf</x:v>
      </x:c>
    </ns0:row>
    <ns0:row xmlns:ns0="http://schemas.openxmlformats.org/spreadsheetml/2006/main" r="517" ht="30" customHeight="1">
      <ns0:c r="A517" t="str" s="10">
        <ns0:v>R0523</ns0:v>
      </ns0:c>
      <ns0:c r="B517" t="str" s="10">
        <ns0:v>Резистор</ns0:v>
      </ns0:c>
      <ns0:c r="C517" t="str" s="10">
        <ns0:v>1.8k</ns0:v>
      </ns0:c>
      <ns0:c r="D517" t="str" s="11">
        <ns0:f>SUBSTITUTE(SUBSTITUTE(SUBSTITUTE(SUBSTITUTE(C517,"meg"," МОм"),"k"," кОм"),"R"," Ом"),".",",")</ns0:f>
        <ns0:v>1,8 кОм</ns0:v>
      </ns0:c>
      <ns0:c r="E517" t="str" s="10">
        <ns0:v>±1%</ns0:v>
      </ns0:c>
      <ns0:c r="F517" t="str" s="10">
        <ns0:v>0,125 Вт</ns0:v>
      </ns0:c>
      <ns0:c r="G517" t="str" s="10">
        <ns0:v>150 В макс.</ns0:v>
      </ns0:c>
      <ns0:c r="H517" t="str" s="12">
        <ns0:v>0805</ns0:v>
      </ns0:c>
      <ns0:c r="I517" t="str" s="10">
        <ns0:v>YAGEO</ns0:v>
      </ns0:c>
      <ns0:c r="J517" t="str" s="10">
        <ns0:v>RC0805FR-071K8L</ns0:v>
      </ns0:c>
      <ns0:c r="K517" t="str" s="11">
        <ns0:f>B517&amp;" "&amp;D517&amp;" "&amp;E517&amp;" "&amp;H517</ns0:f>
        <ns0:v>Резистор 1,8 кОм ±1% 0805</ns0:v>
      </ns0:c>
      <ns0:c r="L517" t="str" s="13">
        <ns0:v>R</ns0:v>
      </ns0:c>
      <ns0:c r="M517" t="str" s="13">
        <ns0:v>Symbols\MY_LIB_Resistors.SchLib</ns0:v>
      </ns0:c>
      <ns0:c r="N517" t="str" s="13">
        <ns0:v>RESC2012X70N</ns0:v>
      </ns0:c>
      <ns0:c r="O517" t="str" s="13">
        <ns0:v>Footprints\PBL - SMD Packages.PcbLib</ns0:v>
      </ns0:c>
      <ns0:c r="P517" t="str" s="10">
        <ns0:v>RC_L; E24; P при 70 °C; U ≤ min(√(P·R), Umax)</ns0:v>
      </ns0:c>
      <ns0:c r="Q517" s="10"/>
      <ns0:c r="R517" t="str" s="11">
        <ns0:f>D517</ns0:f>
        <ns0:v>1,8 кОм</ns0:v>
      </ns0:c>
      <ns0:c r="S517" t="str" s="11">
        <ns0:f>K517</ns0:f>
        <ns0:v>Резистор 1,8 кОм ±1% 0805</ns0:v>
      </ns0:c>
      <x:c xmlns:x="http://schemas.openxmlformats.org/spreadsheetml/2006/main" r="T517" t="str" s="11">
        <x:v>C:\Users\Nomatin\Documents\Altium\MY_LIB\MY_LIB\Datasheets\YAGEO_RC_L.pdf</x:v>
      </x:c>
      <x:c xmlns:x="http://schemas.openxmlformats.org/spreadsheetml/2006/main" r="U517" t="str" s="11">
        <x:v>Даташит — локальный</x:v>
      </x:c>
      <x:c xmlns:x="http://schemas.openxmlformats.org/spreadsheetml/2006/main" r="V517" t="str" s="11">
        <x:v>C:\Users\Nomatin\Documents\Altium\MY_LIB\MY_LIB\Datasheets\YAGEO_RC_L.pdf</x:v>
      </x:c>
      <x:c xmlns:x="http://schemas.openxmlformats.org/spreadsheetml/2006/main" r="W517" t="str" s="11">
        <x:v>Даташит — производитель</x:v>
      </x:c>
      <x:c xmlns:x="http://schemas.openxmlformats.org/spreadsheetml/2006/main" r="X517" t="str" s="11">
        <x:v>https://yageogroup.com/content/datasheet/asset/file/PYU-RC_GROUP_51_ROHS_L</x:v>
      </x:c>
      <x:c xmlns:x="http://schemas.openxmlformats.org/spreadsheetml/2006/main" r="Y517" t="str" s="11">
        <x:v>C:\Users\Nomatin\Documents\Altium\MY_LIB\MY_LIB\Datasheets\YAGEO_RC_L.pdf</x:v>
      </x:c>
    </ns0:row>
    <ns0:row xmlns:ns0="http://schemas.openxmlformats.org/spreadsheetml/2006/main" r="518" ht="30" customHeight="1">
      <ns0:c r="A518" t="str" s="10">
        <ns0:v>R0524</ns0:v>
      </ns0:c>
      <ns0:c r="B518" t="str" s="10">
        <ns0:v>Резистор</ns0:v>
      </ns0:c>
      <ns0:c r="C518" t="str" s="10">
        <ns0:v>2k</ns0:v>
      </ns0:c>
      <ns0:c r="D518" t="str" s="11">
        <ns0:f>SUBSTITUTE(SUBSTITUTE(SUBSTITUTE(SUBSTITUTE(C518,"meg"," МОм"),"k"," кОм"),"R"," Ом"),".",",")</ns0:f>
        <ns0:v>2 кОм</ns0:v>
      </ns0:c>
      <ns0:c r="E518" t="str" s="10">
        <ns0:v>±1%</ns0:v>
      </ns0:c>
      <ns0:c r="F518" t="str" s="10">
        <ns0:v>0,125 Вт</ns0:v>
      </ns0:c>
      <ns0:c r="G518" t="str" s="10">
        <ns0:v>150 В макс.</ns0:v>
      </ns0:c>
      <ns0:c r="H518" t="str" s="12">
        <ns0:v>0805</ns0:v>
      </ns0:c>
      <ns0:c r="I518" t="str" s="10">
        <ns0:v>YAGEO</ns0:v>
      </ns0:c>
      <ns0:c r="J518" t="str" s="10">
        <ns0:v>RC0805FR-072KL</ns0:v>
      </ns0:c>
      <ns0:c r="K518" t="str" s="11">
        <ns0:f>B518&amp;" "&amp;D518&amp;" "&amp;E518&amp;" "&amp;H518</ns0:f>
        <ns0:v>Резистор 2 кОм ±1% 0805</ns0:v>
      </ns0:c>
      <ns0:c r="L518" t="str" s="13">
        <ns0:v>R</ns0:v>
      </ns0:c>
      <ns0:c r="M518" t="str" s="13">
        <ns0:v>Symbols\MY_LIB_Resistors.SchLib</ns0:v>
      </ns0:c>
      <ns0:c r="N518" t="str" s="13">
        <ns0:v>RESC2012X70N</ns0:v>
      </ns0:c>
      <ns0:c r="O518" t="str" s="13">
        <ns0:v>Footprints\PBL - SMD Packages.PcbLib</ns0:v>
      </ns0:c>
      <ns0:c r="P518" t="str" s="10">
        <ns0:v>RC_L; E24; P при 70 °C; U ≤ min(√(P·R), Umax)</ns0:v>
      </ns0:c>
      <ns0:c r="Q518" s="10"/>
      <ns0:c r="R518" t="str" s="11">
        <ns0:f>D518</ns0:f>
        <ns0:v>2 кОм</ns0:v>
      </ns0:c>
      <ns0:c r="S518" t="str" s="11">
        <ns0:f>K518</ns0:f>
        <ns0:v>Резистор 2 кОм ±1% 0805</ns0:v>
      </ns0:c>
      <x:c xmlns:x="http://schemas.openxmlformats.org/spreadsheetml/2006/main" r="T518" t="str" s="11">
        <x:v>C:\Users\Nomatin\Documents\Altium\MY_LIB\MY_LIB\Datasheets\YAGEO_RC_L.pdf</x:v>
      </x:c>
      <x:c xmlns:x="http://schemas.openxmlformats.org/spreadsheetml/2006/main" r="U518" t="str" s="11">
        <x:v>Даташит — локальный</x:v>
      </x:c>
      <x:c xmlns:x="http://schemas.openxmlformats.org/spreadsheetml/2006/main" r="V518" t="str" s="11">
        <x:v>C:\Users\Nomatin\Documents\Altium\MY_LIB\MY_LIB\Datasheets\YAGEO_RC_L.pdf</x:v>
      </x:c>
      <x:c xmlns:x="http://schemas.openxmlformats.org/spreadsheetml/2006/main" r="W518" t="str" s="11">
        <x:v>Даташит — производитель</x:v>
      </x:c>
      <x:c xmlns:x="http://schemas.openxmlformats.org/spreadsheetml/2006/main" r="X518" t="str" s="11">
        <x:v>https://yageogroup.com/content/datasheet/asset/file/PYU-RC_GROUP_51_ROHS_L</x:v>
      </x:c>
      <x:c xmlns:x="http://schemas.openxmlformats.org/spreadsheetml/2006/main" r="Y518" t="str" s="11">
        <x:v>C:\Users\Nomatin\Documents\Altium\MY_LIB\MY_LIB\Datasheets\YAGEO_RC_L.pdf</x:v>
      </x:c>
    </ns0:row>
    <ns0:row xmlns:ns0="http://schemas.openxmlformats.org/spreadsheetml/2006/main" r="519" ht="30" customHeight="1">
      <ns0:c r="A519" t="str" s="10">
        <ns0:v>R0525</ns0:v>
      </ns0:c>
      <ns0:c r="B519" t="str" s="10">
        <ns0:v>Резистор</ns0:v>
      </ns0:c>
      <ns0:c r="C519" t="str" s="10">
        <ns0:v>2.2k</ns0:v>
      </ns0:c>
      <ns0:c r="D519" t="str" s="11">
        <ns0:f>SUBSTITUTE(SUBSTITUTE(SUBSTITUTE(SUBSTITUTE(C519,"meg"," МОм"),"k"," кОм"),"R"," Ом"),".",",")</ns0:f>
        <ns0:v>2,2 кОм</ns0:v>
      </ns0:c>
      <ns0:c r="E519" t="str" s="10">
        <ns0:v>±1%</ns0:v>
      </ns0:c>
      <ns0:c r="F519" t="str" s="10">
        <ns0:v>0,125 Вт</ns0:v>
      </ns0:c>
      <ns0:c r="G519" t="str" s="10">
        <ns0:v>150 В макс.</ns0:v>
      </ns0:c>
      <ns0:c r="H519" t="str" s="12">
        <ns0:v>0805</ns0:v>
      </ns0:c>
      <ns0:c r="I519" t="str" s="10">
        <ns0:v>YAGEO</ns0:v>
      </ns0:c>
      <ns0:c r="J519" t="str" s="10">
        <ns0:v>RC0805FR-072K2L</ns0:v>
      </ns0:c>
      <ns0:c r="K519" t="str" s="11">
        <ns0:f>B519&amp;" "&amp;D519&amp;" "&amp;E519&amp;" "&amp;H519</ns0:f>
        <ns0:v>Резистор 2,2 кОм ±1% 0805</ns0:v>
      </ns0:c>
      <ns0:c r="L519" t="str" s="13">
        <ns0:v>R</ns0:v>
      </ns0:c>
      <ns0:c r="M519" t="str" s="13">
        <ns0:v>Symbols\MY_LIB_Resistors.SchLib</ns0:v>
      </ns0:c>
      <ns0:c r="N519" t="str" s="13">
        <ns0:v>RESC2012X70N</ns0:v>
      </ns0:c>
      <ns0:c r="O519" t="str" s="13">
        <ns0:v>Footprints\PBL - SMD Packages.PcbLib</ns0:v>
      </ns0:c>
      <ns0:c r="P519" t="str" s="10">
        <ns0:v>RC_L; E24; P при 70 °C; U ≤ min(√(P·R), Umax)</ns0:v>
      </ns0:c>
      <ns0:c r="Q519" s="10"/>
      <ns0:c r="R519" t="str" s="11">
        <ns0:f>D519</ns0:f>
        <ns0:v>2,2 кОм</ns0:v>
      </ns0:c>
      <ns0:c r="S519" t="str" s="11">
        <ns0:f>K519</ns0:f>
        <ns0:v>Резистор 2,2 кОм ±1% 0805</ns0:v>
      </ns0:c>
      <x:c xmlns:x="http://schemas.openxmlformats.org/spreadsheetml/2006/main" r="T519" t="str" s="11">
        <x:v>C:\Users\Nomatin\Documents\Altium\MY_LIB\MY_LIB\Datasheets\YAGEO_RC_L.pdf</x:v>
      </x:c>
      <x:c xmlns:x="http://schemas.openxmlformats.org/spreadsheetml/2006/main" r="U519" t="str" s="11">
        <x:v>Даташит — локальный</x:v>
      </x:c>
      <x:c xmlns:x="http://schemas.openxmlformats.org/spreadsheetml/2006/main" r="V519" t="str" s="11">
        <x:v>C:\Users\Nomatin\Documents\Altium\MY_LIB\MY_LIB\Datasheets\YAGEO_RC_L.pdf</x:v>
      </x:c>
      <x:c xmlns:x="http://schemas.openxmlformats.org/spreadsheetml/2006/main" r="W519" t="str" s="11">
        <x:v>Даташит — производитель</x:v>
      </x:c>
      <x:c xmlns:x="http://schemas.openxmlformats.org/spreadsheetml/2006/main" r="X519" t="str" s="11">
        <x:v>https://yageogroup.com/content/datasheet/asset/file/PYU-RC_GROUP_51_ROHS_L</x:v>
      </x:c>
      <x:c xmlns:x="http://schemas.openxmlformats.org/spreadsheetml/2006/main" r="Y519" t="str" s="11">
        <x:v>C:\Users\Nomatin\Documents\Altium\MY_LIB\MY_LIB\Datasheets\YAGEO_RC_L.pdf</x:v>
      </x:c>
    </ns0:row>
    <ns0:row xmlns:ns0="http://schemas.openxmlformats.org/spreadsheetml/2006/main" r="520" ht="30" customHeight="1">
      <ns0:c r="A520" t="str" s="10">
        <ns0:v>R0526</ns0:v>
      </ns0:c>
      <ns0:c r="B520" t="str" s="10">
        <ns0:v>Резистор</ns0:v>
      </ns0:c>
      <ns0:c r="C520" t="str" s="10">
        <ns0:v>2.4k</ns0:v>
      </ns0:c>
      <ns0:c r="D520" t="str" s="11">
        <ns0:f>SUBSTITUTE(SUBSTITUTE(SUBSTITUTE(SUBSTITUTE(C520,"meg"," МОм"),"k"," кОм"),"R"," Ом"),".",",")</ns0:f>
        <ns0:v>2,4 кОм</ns0:v>
      </ns0:c>
      <ns0:c r="E520" t="str" s="10">
        <ns0:v>±1%</ns0:v>
      </ns0:c>
      <ns0:c r="F520" t="str" s="10">
        <ns0:v>0,125 Вт</ns0:v>
      </ns0:c>
      <ns0:c r="G520" t="str" s="10">
        <ns0:v>150 В макс.</ns0:v>
      </ns0:c>
      <ns0:c r="H520" t="str" s="12">
        <ns0:v>0805</ns0:v>
      </ns0:c>
      <ns0:c r="I520" t="str" s="10">
        <ns0:v>YAGEO</ns0:v>
      </ns0:c>
      <ns0:c r="J520" t="str" s="10">
        <ns0:v>RC0805FR-072K4L</ns0:v>
      </ns0:c>
      <ns0:c r="K520" t="str" s="11">
        <ns0:f>B520&amp;" "&amp;D520&amp;" "&amp;E520&amp;" "&amp;H520</ns0:f>
        <ns0:v>Резистор 2,4 кОм ±1% 0805</ns0:v>
      </ns0:c>
      <ns0:c r="L520" t="str" s="13">
        <ns0:v>R</ns0:v>
      </ns0:c>
      <ns0:c r="M520" t="str" s="13">
        <ns0:v>Symbols\MY_LIB_Resistors.SchLib</ns0:v>
      </ns0:c>
      <ns0:c r="N520" t="str" s="13">
        <ns0:v>RESC2012X70N</ns0:v>
      </ns0:c>
      <ns0:c r="O520" t="str" s="13">
        <ns0:v>Footprints\PBL - SMD Packages.PcbLib</ns0:v>
      </ns0:c>
      <ns0:c r="P520" t="str" s="10">
        <ns0:v>RC_L; E24; P при 70 °C; U ≤ min(√(P·R), Umax)</ns0:v>
      </ns0:c>
      <ns0:c r="Q520" s="10"/>
      <ns0:c r="R520" t="str" s="11">
        <ns0:f>D520</ns0:f>
        <ns0:v>2,4 кОм</ns0:v>
      </ns0:c>
      <ns0:c r="S520" t="str" s="11">
        <ns0:f>K520</ns0:f>
        <ns0:v>Резистор 2,4 кОм ±1% 0805</ns0:v>
      </ns0:c>
      <x:c xmlns:x="http://schemas.openxmlformats.org/spreadsheetml/2006/main" r="T520" t="str" s="11">
        <x:v>C:\Users\Nomatin\Documents\Altium\MY_LIB\MY_LIB\Datasheets\YAGEO_RC_L.pdf</x:v>
      </x:c>
      <x:c xmlns:x="http://schemas.openxmlformats.org/spreadsheetml/2006/main" r="U520" t="str" s="11">
        <x:v>Даташит — локальный</x:v>
      </x:c>
      <x:c xmlns:x="http://schemas.openxmlformats.org/spreadsheetml/2006/main" r="V520" t="str" s="11">
        <x:v>C:\Users\Nomatin\Documents\Altium\MY_LIB\MY_LIB\Datasheets\YAGEO_RC_L.pdf</x:v>
      </x:c>
      <x:c xmlns:x="http://schemas.openxmlformats.org/spreadsheetml/2006/main" r="W520" t="str" s="11">
        <x:v>Даташит — производитель</x:v>
      </x:c>
      <x:c xmlns:x="http://schemas.openxmlformats.org/spreadsheetml/2006/main" r="X520" t="str" s="11">
        <x:v>https://yageogroup.com/content/datasheet/asset/file/PYU-RC_GROUP_51_ROHS_L</x:v>
      </x:c>
      <x:c xmlns:x="http://schemas.openxmlformats.org/spreadsheetml/2006/main" r="Y520" t="str" s="11">
        <x:v>C:\Users\Nomatin\Documents\Altium\MY_LIB\MY_LIB\Datasheets\YAGEO_RC_L.pdf</x:v>
      </x:c>
    </ns0:row>
    <ns0:row xmlns:ns0="http://schemas.openxmlformats.org/spreadsheetml/2006/main" r="521" ht="30" customHeight="1">
      <ns0:c r="A521" t="str" s="10">
        <ns0:v>R0527</ns0:v>
      </ns0:c>
      <ns0:c r="B521" t="str" s="10">
        <ns0:v>Резистор</ns0:v>
      </ns0:c>
      <ns0:c r="C521" t="str" s="10">
        <ns0:v>2.7k</ns0:v>
      </ns0:c>
      <ns0:c r="D521" t="str" s="11">
        <ns0:f>SUBSTITUTE(SUBSTITUTE(SUBSTITUTE(SUBSTITUTE(C521,"meg"," МОм"),"k"," кОм"),"R"," Ом"),".",",")</ns0:f>
        <ns0:v>2,7 кОм</ns0:v>
      </ns0:c>
      <ns0:c r="E521" t="str" s="10">
        <ns0:v>±1%</ns0:v>
      </ns0:c>
      <ns0:c r="F521" t="str" s="10">
        <ns0:v>0,125 Вт</ns0:v>
      </ns0:c>
      <ns0:c r="G521" t="str" s="10">
        <ns0:v>150 В макс.</ns0:v>
      </ns0:c>
      <ns0:c r="H521" t="str" s="12">
        <ns0:v>0805</ns0:v>
      </ns0:c>
      <ns0:c r="I521" t="str" s="10">
        <ns0:v>YAGEO</ns0:v>
      </ns0:c>
      <ns0:c r="J521" t="str" s="10">
        <ns0:v>RC0805FR-072K7L</ns0:v>
      </ns0:c>
      <ns0:c r="K521" t="str" s="11">
        <ns0:f>B521&amp;" "&amp;D521&amp;" "&amp;E521&amp;" "&amp;H521</ns0:f>
        <ns0:v>Резистор 2,7 кОм ±1% 0805</ns0:v>
      </ns0:c>
      <ns0:c r="L521" t="str" s="13">
        <ns0:v>R</ns0:v>
      </ns0:c>
      <ns0:c r="M521" t="str" s="13">
        <ns0:v>Symbols\MY_LIB_Resistors.SchLib</ns0:v>
      </ns0:c>
      <ns0:c r="N521" t="str" s="13">
        <ns0:v>RESC2012X70N</ns0:v>
      </ns0:c>
      <ns0:c r="O521" t="str" s="13">
        <ns0:v>Footprints\PBL - SMD Packages.PcbLib</ns0:v>
      </ns0:c>
      <ns0:c r="P521" t="str" s="10">
        <ns0:v>RC_L; E24; P при 70 °C; U ≤ min(√(P·R), Umax)</ns0:v>
      </ns0:c>
      <ns0:c r="Q521" s="10"/>
      <ns0:c r="R521" t="str" s="11">
        <ns0:f>D521</ns0:f>
        <ns0:v>2,7 кОм</ns0:v>
      </ns0:c>
      <ns0:c r="S521" t="str" s="11">
        <ns0:f>K521</ns0:f>
        <ns0:v>Резистор 2,7 кОм ±1% 0805</ns0:v>
      </ns0:c>
      <x:c xmlns:x="http://schemas.openxmlformats.org/spreadsheetml/2006/main" r="T521" t="str" s="11">
        <x:v>C:\Users\Nomatin\Documents\Altium\MY_LIB\MY_LIB\Datasheets\YAGEO_RC_L.pdf</x:v>
      </x:c>
      <x:c xmlns:x="http://schemas.openxmlformats.org/spreadsheetml/2006/main" r="U521" t="str" s="11">
        <x:v>Даташит — локальный</x:v>
      </x:c>
      <x:c xmlns:x="http://schemas.openxmlformats.org/spreadsheetml/2006/main" r="V521" t="str" s="11">
        <x:v>C:\Users\Nomatin\Documents\Altium\MY_LIB\MY_LIB\Datasheets\YAGEO_RC_L.pdf</x:v>
      </x:c>
      <x:c xmlns:x="http://schemas.openxmlformats.org/spreadsheetml/2006/main" r="W521" t="str" s="11">
        <x:v>Даташит — производитель</x:v>
      </x:c>
      <x:c xmlns:x="http://schemas.openxmlformats.org/spreadsheetml/2006/main" r="X521" t="str" s="11">
        <x:v>https://yageogroup.com/content/datasheet/asset/file/PYU-RC_GROUP_51_ROHS_L</x:v>
      </x:c>
      <x:c xmlns:x="http://schemas.openxmlformats.org/spreadsheetml/2006/main" r="Y521" t="str" s="11">
        <x:v>C:\Users\Nomatin\Documents\Altium\MY_LIB\MY_LIB\Datasheets\YAGEO_RC_L.pdf</x:v>
      </x:c>
    </ns0:row>
    <ns0:row xmlns:ns0="http://schemas.openxmlformats.org/spreadsheetml/2006/main" r="522" ht="30" customHeight="1">
      <ns0:c r="A522" t="str" s="10">
        <ns0:v>R0528</ns0:v>
      </ns0:c>
      <ns0:c r="B522" t="str" s="10">
        <ns0:v>Резистор</ns0:v>
      </ns0:c>
      <ns0:c r="C522" t="str" s="10">
        <ns0:v>3k</ns0:v>
      </ns0:c>
      <ns0:c r="D522" t="str" s="11">
        <ns0:f>SUBSTITUTE(SUBSTITUTE(SUBSTITUTE(SUBSTITUTE(C522,"meg"," МОм"),"k"," кОм"),"R"," Ом"),".",",")</ns0:f>
        <ns0:v>3 кОм</ns0:v>
      </ns0:c>
      <ns0:c r="E522" t="str" s="10">
        <ns0:v>±1%</ns0:v>
      </ns0:c>
      <ns0:c r="F522" t="str" s="10">
        <ns0:v>0,125 Вт</ns0:v>
      </ns0:c>
      <ns0:c r="G522" t="str" s="10">
        <ns0:v>150 В макс.</ns0:v>
      </ns0:c>
      <ns0:c r="H522" t="str" s="12">
        <ns0:v>0805</ns0:v>
      </ns0:c>
      <ns0:c r="I522" t="str" s="10">
        <ns0:v>YAGEO</ns0:v>
      </ns0:c>
      <ns0:c r="J522" t="str" s="10">
        <ns0:v>RC0805FR-073KL</ns0:v>
      </ns0:c>
      <ns0:c r="K522" t="str" s="11">
        <ns0:f>B522&amp;" "&amp;D522&amp;" "&amp;E522&amp;" "&amp;H522</ns0:f>
        <ns0:v>Резистор 3 кОм ±1% 0805</ns0:v>
      </ns0:c>
      <ns0:c r="L522" t="str" s="13">
        <ns0:v>R</ns0:v>
      </ns0:c>
      <ns0:c r="M522" t="str" s="13">
        <ns0:v>Symbols\MY_LIB_Resistors.SchLib</ns0:v>
      </ns0:c>
      <ns0:c r="N522" t="str" s="13">
        <ns0:v>RESC2012X70N</ns0:v>
      </ns0:c>
      <ns0:c r="O522" t="str" s="13">
        <ns0:v>Footprints\PBL - SMD Packages.PcbLib</ns0:v>
      </ns0:c>
      <ns0:c r="P522" t="str" s="10">
        <ns0:v>RC_L; E24; P при 70 °C; U ≤ min(√(P·R), Umax)</ns0:v>
      </ns0:c>
      <ns0:c r="Q522" s="10"/>
      <ns0:c r="R522" t="str" s="11">
        <ns0:f>D522</ns0:f>
        <ns0:v>3 кОм</ns0:v>
      </ns0:c>
      <ns0:c r="S522" t="str" s="11">
        <ns0:f>K522</ns0:f>
        <ns0:v>Резистор 3 кОм ±1% 0805</ns0:v>
      </ns0:c>
      <x:c xmlns:x="http://schemas.openxmlformats.org/spreadsheetml/2006/main" r="T522" t="str" s="11">
        <x:v>C:\Users\Nomatin\Documents\Altium\MY_LIB\MY_LIB\Datasheets\YAGEO_RC_L.pdf</x:v>
      </x:c>
      <x:c xmlns:x="http://schemas.openxmlformats.org/spreadsheetml/2006/main" r="U522" t="str" s="11">
        <x:v>Даташит — локальный</x:v>
      </x:c>
      <x:c xmlns:x="http://schemas.openxmlformats.org/spreadsheetml/2006/main" r="V522" t="str" s="11">
        <x:v>C:\Users\Nomatin\Documents\Altium\MY_LIB\MY_LIB\Datasheets\YAGEO_RC_L.pdf</x:v>
      </x:c>
      <x:c xmlns:x="http://schemas.openxmlformats.org/spreadsheetml/2006/main" r="W522" t="str" s="11">
        <x:v>Даташит — производитель</x:v>
      </x:c>
      <x:c xmlns:x="http://schemas.openxmlformats.org/spreadsheetml/2006/main" r="X522" t="str" s="11">
        <x:v>https://yageogroup.com/content/datasheet/asset/file/PYU-RC_GROUP_51_ROHS_L</x:v>
      </x:c>
      <x:c xmlns:x="http://schemas.openxmlformats.org/spreadsheetml/2006/main" r="Y522" t="str" s="11">
        <x:v>C:\Users\Nomatin\Documents\Altium\MY_LIB\MY_LIB\Datasheets\YAGEO_RC_L.pdf</x:v>
      </x:c>
    </ns0:row>
    <ns0:row xmlns:ns0="http://schemas.openxmlformats.org/spreadsheetml/2006/main" r="523" ht="30" customHeight="1">
      <ns0:c r="A523" t="str" s="10">
        <ns0:v>R0529</ns0:v>
      </ns0:c>
      <ns0:c r="B523" t="str" s="10">
        <ns0:v>Резистор</ns0:v>
      </ns0:c>
      <ns0:c r="C523" t="str" s="10">
        <ns0:v>3.3k</ns0:v>
      </ns0:c>
      <ns0:c r="D523" t="str" s="11">
        <ns0:f>SUBSTITUTE(SUBSTITUTE(SUBSTITUTE(SUBSTITUTE(C523,"meg"," МОм"),"k"," кОм"),"R"," Ом"),".",",")</ns0:f>
        <ns0:v>3,3 кОм</ns0:v>
      </ns0:c>
      <ns0:c r="E523" t="str" s="10">
        <ns0:v>±1%</ns0:v>
      </ns0:c>
      <ns0:c r="F523" t="str" s="10">
        <ns0:v>0,125 Вт</ns0:v>
      </ns0:c>
      <ns0:c r="G523" t="str" s="10">
        <ns0:v>150 В макс.</ns0:v>
      </ns0:c>
      <ns0:c r="H523" t="str" s="12">
        <ns0:v>0805</ns0:v>
      </ns0:c>
      <ns0:c r="I523" t="str" s="10">
        <ns0:v>YAGEO</ns0:v>
      </ns0:c>
      <ns0:c r="J523" t="str" s="10">
        <ns0:v>RC0805FR-073K3L</ns0:v>
      </ns0:c>
      <ns0:c r="K523" t="str" s="11">
        <ns0:f>B523&amp;" "&amp;D523&amp;" "&amp;E523&amp;" "&amp;H523</ns0:f>
        <ns0:v>Резистор 3,3 кОм ±1% 0805</ns0:v>
      </ns0:c>
      <ns0:c r="L523" t="str" s="13">
        <ns0:v>R</ns0:v>
      </ns0:c>
      <ns0:c r="M523" t="str" s="13">
        <ns0:v>Symbols\MY_LIB_Resistors.SchLib</ns0:v>
      </ns0:c>
      <ns0:c r="N523" t="str" s="13">
        <ns0:v>RESC2012X70N</ns0:v>
      </ns0:c>
      <ns0:c r="O523" t="str" s="13">
        <ns0:v>Footprints\PBL - SMD Packages.PcbLib</ns0:v>
      </ns0:c>
      <ns0:c r="P523" t="str" s="10">
        <ns0:v>RC_L; E24; P при 70 °C; U ≤ min(√(P·R), Umax)</ns0:v>
      </ns0:c>
      <ns0:c r="Q523" s="10"/>
      <ns0:c r="R523" t="str" s="11">
        <ns0:f>D523</ns0:f>
        <ns0:v>3,3 кОм</ns0:v>
      </ns0:c>
      <ns0:c r="S523" t="str" s="11">
        <ns0:f>K523</ns0:f>
        <ns0:v>Резистор 3,3 кОм ±1% 0805</ns0:v>
      </ns0:c>
      <x:c xmlns:x="http://schemas.openxmlformats.org/spreadsheetml/2006/main" r="T523" t="str" s="11">
        <x:v>C:\Users\Nomatin\Documents\Altium\MY_LIB\MY_LIB\Datasheets\YAGEO_RC_L.pdf</x:v>
      </x:c>
      <x:c xmlns:x="http://schemas.openxmlformats.org/spreadsheetml/2006/main" r="U523" t="str" s="11">
        <x:v>Даташит — локальный</x:v>
      </x:c>
      <x:c xmlns:x="http://schemas.openxmlformats.org/spreadsheetml/2006/main" r="V523" t="str" s="11">
        <x:v>C:\Users\Nomatin\Documents\Altium\MY_LIB\MY_LIB\Datasheets\YAGEO_RC_L.pdf</x:v>
      </x:c>
      <x:c xmlns:x="http://schemas.openxmlformats.org/spreadsheetml/2006/main" r="W523" t="str" s="11">
        <x:v>Даташит — производитель</x:v>
      </x:c>
      <x:c xmlns:x="http://schemas.openxmlformats.org/spreadsheetml/2006/main" r="X523" t="str" s="11">
        <x:v>https://yageogroup.com/content/datasheet/asset/file/PYU-RC_GROUP_51_ROHS_L</x:v>
      </x:c>
      <x:c xmlns:x="http://schemas.openxmlformats.org/spreadsheetml/2006/main" r="Y523" t="str" s="11">
        <x:v>C:\Users\Nomatin\Documents\Altium\MY_LIB\MY_LIB\Datasheets\YAGEO_RC_L.pdf</x:v>
      </x:c>
    </ns0:row>
    <ns0:row xmlns:ns0="http://schemas.openxmlformats.org/spreadsheetml/2006/main" r="524" ht="30" customHeight="1">
      <ns0:c r="A524" t="str" s="10">
        <ns0:v>R0530</ns0:v>
      </ns0:c>
      <ns0:c r="B524" t="str" s="10">
        <ns0:v>Резистор</ns0:v>
      </ns0:c>
      <ns0:c r="C524" t="str" s="10">
        <ns0:v>3.6k</ns0:v>
      </ns0:c>
      <ns0:c r="D524" t="str" s="11">
        <ns0:f>SUBSTITUTE(SUBSTITUTE(SUBSTITUTE(SUBSTITUTE(C524,"meg"," МОм"),"k"," кОм"),"R"," Ом"),".",",")</ns0:f>
        <ns0:v>3,6 кОм</ns0:v>
      </ns0:c>
      <ns0:c r="E524" t="str" s="10">
        <ns0:v>±1%</ns0:v>
      </ns0:c>
      <ns0:c r="F524" t="str" s="10">
        <ns0:v>0,125 Вт</ns0:v>
      </ns0:c>
      <ns0:c r="G524" t="str" s="10">
        <ns0:v>150 В макс.</ns0:v>
      </ns0:c>
      <ns0:c r="H524" t="str" s="12">
        <ns0:v>0805</ns0:v>
      </ns0:c>
      <ns0:c r="I524" t="str" s="10">
        <ns0:v>YAGEO</ns0:v>
      </ns0:c>
      <ns0:c r="J524" t="str" s="10">
        <ns0:v>RC0805FR-073K6L</ns0:v>
      </ns0:c>
      <ns0:c r="K524" t="str" s="11">
        <ns0:f>B524&amp;" "&amp;D524&amp;" "&amp;E524&amp;" "&amp;H524</ns0:f>
        <ns0:v>Резистор 3,6 кОм ±1% 0805</ns0:v>
      </ns0:c>
      <ns0:c r="L524" t="str" s="13">
        <ns0:v>R</ns0:v>
      </ns0:c>
      <ns0:c r="M524" t="str" s="13">
        <ns0:v>Symbols\MY_LIB_Resistors.SchLib</ns0:v>
      </ns0:c>
      <ns0:c r="N524" t="str" s="13">
        <ns0:v>RESC2012X70N</ns0:v>
      </ns0:c>
      <ns0:c r="O524" t="str" s="13">
        <ns0:v>Footprints\PBL - SMD Packages.PcbLib</ns0:v>
      </ns0:c>
      <ns0:c r="P524" t="str" s="10">
        <ns0:v>RC_L; E24; P при 70 °C; U ≤ min(√(P·R), Umax)</ns0:v>
      </ns0:c>
      <ns0:c r="Q524" s="10"/>
      <ns0:c r="R524" t="str" s="11">
        <ns0:f>D524</ns0:f>
        <ns0:v>3,6 кОм</ns0:v>
      </ns0:c>
      <ns0:c r="S524" t="str" s="11">
        <ns0:f>K524</ns0:f>
        <ns0:v>Резистор 3,6 кОм ±1% 0805</ns0:v>
      </ns0:c>
      <x:c xmlns:x="http://schemas.openxmlformats.org/spreadsheetml/2006/main" r="T524" t="str" s="11">
        <x:v>C:\Users\Nomatin\Documents\Altium\MY_LIB\MY_LIB\Datasheets\YAGEO_RC_L.pdf</x:v>
      </x:c>
      <x:c xmlns:x="http://schemas.openxmlformats.org/spreadsheetml/2006/main" r="U524" t="str" s="11">
        <x:v>Даташит — локальный</x:v>
      </x:c>
      <x:c xmlns:x="http://schemas.openxmlformats.org/spreadsheetml/2006/main" r="V524" t="str" s="11">
        <x:v>C:\Users\Nomatin\Documents\Altium\MY_LIB\MY_LIB\Datasheets\YAGEO_RC_L.pdf</x:v>
      </x:c>
      <x:c xmlns:x="http://schemas.openxmlformats.org/spreadsheetml/2006/main" r="W524" t="str" s="11">
        <x:v>Даташит — производитель</x:v>
      </x:c>
      <x:c xmlns:x="http://schemas.openxmlformats.org/spreadsheetml/2006/main" r="X524" t="str" s="11">
        <x:v>https://yageogroup.com/content/datasheet/asset/file/PYU-RC_GROUP_51_ROHS_L</x:v>
      </x:c>
      <x:c xmlns:x="http://schemas.openxmlformats.org/spreadsheetml/2006/main" r="Y524" t="str" s="11">
        <x:v>C:\Users\Nomatin\Documents\Altium\MY_LIB\MY_LIB\Datasheets\YAGEO_RC_L.pdf</x:v>
      </x:c>
    </ns0:row>
    <ns0:row xmlns:ns0="http://schemas.openxmlformats.org/spreadsheetml/2006/main" r="525" ht="30" customHeight="1">
      <ns0:c r="A525" t="str" s="10">
        <ns0:v>R0531</ns0:v>
      </ns0:c>
      <ns0:c r="B525" t="str" s="10">
        <ns0:v>Резистор</ns0:v>
      </ns0:c>
      <ns0:c r="C525" t="str" s="10">
        <ns0:v>3.9k</ns0:v>
      </ns0:c>
      <ns0:c r="D525" t="str" s="11">
        <ns0:f>SUBSTITUTE(SUBSTITUTE(SUBSTITUTE(SUBSTITUTE(C525,"meg"," МОм"),"k"," кОм"),"R"," Ом"),".",",")</ns0:f>
        <ns0:v>3,9 кОм</ns0:v>
      </ns0:c>
      <ns0:c r="E525" t="str" s="10">
        <ns0:v>±1%</ns0:v>
      </ns0:c>
      <ns0:c r="F525" t="str" s="10">
        <ns0:v>0,125 Вт</ns0:v>
      </ns0:c>
      <ns0:c r="G525" t="str" s="10">
        <ns0:v>150 В макс.</ns0:v>
      </ns0:c>
      <ns0:c r="H525" t="str" s="12">
        <ns0:v>0805</ns0:v>
      </ns0:c>
      <ns0:c r="I525" t="str" s="10">
        <ns0:v>YAGEO</ns0:v>
      </ns0:c>
      <ns0:c r="J525" t="str" s="10">
        <ns0:v>RC0805FR-073K9L</ns0:v>
      </ns0:c>
      <ns0:c r="K525" t="str" s="11">
        <ns0:f>B525&amp;" "&amp;D525&amp;" "&amp;E525&amp;" "&amp;H525</ns0:f>
        <ns0:v>Резистор 3,9 кОм ±1% 0805</ns0:v>
      </ns0:c>
      <ns0:c r="L525" t="str" s="13">
        <ns0:v>R</ns0:v>
      </ns0:c>
      <ns0:c r="M525" t="str" s="13">
        <ns0:v>Symbols\MY_LIB_Resistors.SchLib</ns0:v>
      </ns0:c>
      <ns0:c r="N525" t="str" s="13">
        <ns0:v>RESC2012X70N</ns0:v>
      </ns0:c>
      <ns0:c r="O525" t="str" s="13">
        <ns0:v>Footprints\PBL - SMD Packages.PcbLib</ns0:v>
      </ns0:c>
      <ns0:c r="P525" t="str" s="10">
        <ns0:v>RC_L; E24; P при 70 °C; U ≤ min(√(P·R), Umax)</ns0:v>
      </ns0:c>
      <ns0:c r="Q525" s="10"/>
      <ns0:c r="R525" t="str" s="11">
        <ns0:f>D525</ns0:f>
        <ns0:v>3,9 кОм</ns0:v>
      </ns0:c>
      <ns0:c r="S525" t="str" s="11">
        <ns0:f>K525</ns0:f>
        <ns0:v>Резистор 3,9 кОм ±1% 0805</ns0:v>
      </ns0:c>
      <x:c xmlns:x="http://schemas.openxmlformats.org/spreadsheetml/2006/main" r="T525" t="str" s="11">
        <x:v>C:\Users\Nomatin\Documents\Altium\MY_LIB\MY_LIB\Datasheets\YAGEO_RC_L.pdf</x:v>
      </x:c>
      <x:c xmlns:x="http://schemas.openxmlformats.org/spreadsheetml/2006/main" r="U525" t="str" s="11">
        <x:v>Даташит — локальный</x:v>
      </x:c>
      <x:c xmlns:x="http://schemas.openxmlformats.org/spreadsheetml/2006/main" r="V525" t="str" s="11">
        <x:v>C:\Users\Nomatin\Documents\Altium\MY_LIB\MY_LIB\Datasheets\YAGEO_RC_L.pdf</x:v>
      </x:c>
      <x:c xmlns:x="http://schemas.openxmlformats.org/spreadsheetml/2006/main" r="W525" t="str" s="11">
        <x:v>Даташит — производитель</x:v>
      </x:c>
      <x:c xmlns:x="http://schemas.openxmlformats.org/spreadsheetml/2006/main" r="X525" t="str" s="11">
        <x:v>https://yageogroup.com/content/datasheet/asset/file/PYU-RC_GROUP_51_ROHS_L</x:v>
      </x:c>
      <x:c xmlns:x="http://schemas.openxmlformats.org/spreadsheetml/2006/main" r="Y525" t="str" s="11">
        <x:v>C:\Users\Nomatin\Documents\Altium\MY_LIB\MY_LIB\Datasheets\YAGEO_RC_L.pdf</x:v>
      </x:c>
    </ns0:row>
    <ns0:row xmlns:ns0="http://schemas.openxmlformats.org/spreadsheetml/2006/main" r="526" ht="30" customHeight="1">
      <ns0:c r="A526" t="str" s="10">
        <ns0:v>R0532</ns0:v>
      </ns0:c>
      <ns0:c r="B526" t="str" s="10">
        <ns0:v>Резистор</ns0:v>
      </ns0:c>
      <ns0:c r="C526" t="str" s="10">
        <ns0:v>4.3k</ns0:v>
      </ns0:c>
      <ns0:c r="D526" t="str" s="11">
        <ns0:f>SUBSTITUTE(SUBSTITUTE(SUBSTITUTE(SUBSTITUTE(C526,"meg"," МОм"),"k"," кОм"),"R"," Ом"),".",",")</ns0:f>
        <ns0:v>4,3 кОм</ns0:v>
      </ns0:c>
      <ns0:c r="E526" t="str" s="10">
        <ns0:v>±1%</ns0:v>
      </ns0:c>
      <ns0:c r="F526" t="str" s="10">
        <ns0:v>0,125 Вт</ns0:v>
      </ns0:c>
      <ns0:c r="G526" t="str" s="10">
        <ns0:v>150 В макс.</ns0:v>
      </ns0:c>
      <ns0:c r="H526" t="str" s="12">
        <ns0:v>0805</ns0:v>
      </ns0:c>
      <ns0:c r="I526" t="str" s="10">
        <ns0:v>YAGEO</ns0:v>
      </ns0:c>
      <ns0:c r="J526" t="str" s="10">
        <ns0:v>RC0805FR-074K3L</ns0:v>
      </ns0:c>
      <ns0:c r="K526" t="str" s="11">
        <ns0:f>B526&amp;" "&amp;D526&amp;" "&amp;E526&amp;" "&amp;H526</ns0:f>
        <ns0:v>Резистор 4,3 кОм ±1% 0805</ns0:v>
      </ns0:c>
      <ns0:c r="L526" t="str" s="13">
        <ns0:v>R</ns0:v>
      </ns0:c>
      <ns0:c r="M526" t="str" s="13">
        <ns0:v>Symbols\MY_LIB_Resistors.SchLib</ns0:v>
      </ns0:c>
      <ns0:c r="N526" t="str" s="13">
        <ns0:v>RESC2012X70N</ns0:v>
      </ns0:c>
      <ns0:c r="O526" t="str" s="13">
        <ns0:v>Footprints\PBL - SMD Packages.PcbLib</ns0:v>
      </ns0:c>
      <ns0:c r="P526" t="str" s="10">
        <ns0:v>RC_L; E24; P при 70 °C; U ≤ min(√(P·R), Umax)</ns0:v>
      </ns0:c>
      <ns0:c r="Q526" s="10"/>
      <ns0:c r="R526" t="str" s="11">
        <ns0:f>D526</ns0:f>
        <ns0:v>4,3 кОм</ns0:v>
      </ns0:c>
      <ns0:c r="S526" t="str" s="11">
        <ns0:f>K526</ns0:f>
        <ns0:v>Резистор 4,3 кОм ±1% 0805</ns0:v>
      </ns0:c>
      <x:c xmlns:x="http://schemas.openxmlformats.org/spreadsheetml/2006/main" r="T526" t="str" s="11">
        <x:v>C:\Users\Nomatin\Documents\Altium\MY_LIB\MY_LIB\Datasheets\YAGEO_RC_L.pdf</x:v>
      </x:c>
      <x:c xmlns:x="http://schemas.openxmlformats.org/spreadsheetml/2006/main" r="U526" t="str" s="11">
        <x:v>Даташит — локальный</x:v>
      </x:c>
      <x:c xmlns:x="http://schemas.openxmlformats.org/spreadsheetml/2006/main" r="V526" t="str" s="11">
        <x:v>C:\Users\Nomatin\Documents\Altium\MY_LIB\MY_LIB\Datasheets\YAGEO_RC_L.pdf</x:v>
      </x:c>
      <x:c xmlns:x="http://schemas.openxmlformats.org/spreadsheetml/2006/main" r="W526" t="str" s="11">
        <x:v>Даташит — производитель</x:v>
      </x:c>
      <x:c xmlns:x="http://schemas.openxmlformats.org/spreadsheetml/2006/main" r="X526" t="str" s="11">
        <x:v>https://yageogroup.com/content/datasheet/asset/file/PYU-RC_GROUP_51_ROHS_L</x:v>
      </x:c>
      <x:c xmlns:x="http://schemas.openxmlformats.org/spreadsheetml/2006/main" r="Y526" t="str" s="11">
        <x:v>C:\Users\Nomatin\Documents\Altium\MY_LIB\MY_LIB\Datasheets\YAGEO_RC_L.pdf</x:v>
      </x:c>
    </ns0:row>
    <ns0:row xmlns:ns0="http://schemas.openxmlformats.org/spreadsheetml/2006/main" r="527" ht="30" customHeight="1">
      <ns0:c r="A527" t="str" s="10">
        <ns0:v>R0533</ns0:v>
      </ns0:c>
      <ns0:c r="B527" t="str" s="10">
        <ns0:v>Резистор</ns0:v>
      </ns0:c>
      <ns0:c r="C527" t="str" s="10">
        <ns0:v>4.7k</ns0:v>
      </ns0:c>
      <ns0:c r="D527" t="str" s="11">
        <ns0:f>SUBSTITUTE(SUBSTITUTE(SUBSTITUTE(SUBSTITUTE(C527,"meg"," МОм"),"k"," кОм"),"R"," Ом"),".",",")</ns0:f>
        <ns0:v>4,7 кОм</ns0:v>
      </ns0:c>
      <ns0:c r="E527" t="str" s="10">
        <ns0:v>±1%</ns0:v>
      </ns0:c>
      <ns0:c r="F527" t="str" s="10">
        <ns0:v>0,125 Вт</ns0:v>
      </ns0:c>
      <ns0:c r="G527" t="str" s="10">
        <ns0:v>150 В макс.</ns0:v>
      </ns0:c>
      <ns0:c r="H527" t="str" s="12">
        <ns0:v>0805</ns0:v>
      </ns0:c>
      <ns0:c r="I527" t="str" s="10">
        <ns0:v>YAGEO</ns0:v>
      </ns0:c>
      <ns0:c r="J527" t="str" s="10">
        <ns0:v>RC0805FR-074K7L</ns0:v>
      </ns0:c>
      <ns0:c r="K527" t="str" s="11">
        <ns0:f>B527&amp;" "&amp;D527&amp;" "&amp;E527&amp;" "&amp;H527</ns0:f>
        <ns0:v>Резистор 4,7 кОм ±1% 0805</ns0:v>
      </ns0:c>
      <ns0:c r="L527" t="str" s="13">
        <ns0:v>R</ns0:v>
      </ns0:c>
      <ns0:c r="M527" t="str" s="13">
        <ns0:v>Symbols\MY_LIB_Resistors.SchLib</ns0:v>
      </ns0:c>
      <ns0:c r="N527" t="str" s="13">
        <ns0:v>RESC2012X70N</ns0:v>
      </ns0:c>
      <ns0:c r="O527" t="str" s="13">
        <ns0:v>Footprints\PBL - SMD Packages.PcbLib</ns0:v>
      </ns0:c>
      <ns0:c r="P527" t="str" s="10">
        <ns0:v>RC_L; E24; P при 70 °C; U ≤ min(√(P·R), Umax)</ns0:v>
      </ns0:c>
      <ns0:c r="Q527" s="10"/>
      <ns0:c r="R527" t="str" s="11">
        <ns0:f>D527</ns0:f>
        <ns0:v>4,7 кОм</ns0:v>
      </ns0:c>
      <ns0:c r="S527" t="str" s="11">
        <ns0:f>K527</ns0:f>
        <ns0:v>Резистор 4,7 кОм ±1% 0805</ns0:v>
      </ns0:c>
      <x:c xmlns:x="http://schemas.openxmlformats.org/spreadsheetml/2006/main" r="T527" t="str" s="11">
        <x:v>C:\Users\Nomatin\Documents\Altium\MY_LIB\MY_LIB\Datasheets\YAGEO_RC_L.pdf</x:v>
      </x:c>
      <x:c xmlns:x="http://schemas.openxmlformats.org/spreadsheetml/2006/main" r="U527" t="str" s="11">
        <x:v>Даташит — локальный</x:v>
      </x:c>
      <x:c xmlns:x="http://schemas.openxmlformats.org/spreadsheetml/2006/main" r="V527" t="str" s="11">
        <x:v>C:\Users\Nomatin\Documents\Altium\MY_LIB\MY_LIB\Datasheets\YAGEO_RC_L.pdf</x:v>
      </x:c>
      <x:c xmlns:x="http://schemas.openxmlformats.org/spreadsheetml/2006/main" r="W527" t="str" s="11">
        <x:v>Даташит — производитель</x:v>
      </x:c>
      <x:c xmlns:x="http://schemas.openxmlformats.org/spreadsheetml/2006/main" r="X527" t="str" s="11">
        <x:v>https://yageogroup.com/content/datasheet/asset/file/PYU-RC_GROUP_51_ROHS_L</x:v>
      </x:c>
      <x:c xmlns:x="http://schemas.openxmlformats.org/spreadsheetml/2006/main" r="Y527" t="str" s="11">
        <x:v>C:\Users\Nomatin\Documents\Altium\MY_LIB\MY_LIB\Datasheets\YAGEO_RC_L.pdf</x:v>
      </x:c>
    </ns0:row>
    <ns0:row xmlns:ns0="http://schemas.openxmlformats.org/spreadsheetml/2006/main" r="528" ht="30" customHeight="1">
      <ns0:c r="A528" t="str" s="10">
        <ns0:v>R0534</ns0:v>
      </ns0:c>
      <ns0:c r="B528" t="str" s="10">
        <ns0:v>Резистор</ns0:v>
      </ns0:c>
      <ns0:c r="C528" t="str" s="10">
        <ns0:v>5.1k</ns0:v>
      </ns0:c>
      <ns0:c r="D528" t="str" s="11">
        <ns0:f>SUBSTITUTE(SUBSTITUTE(SUBSTITUTE(SUBSTITUTE(C528,"meg"," МОм"),"k"," кОм"),"R"," Ом"),".",",")</ns0:f>
        <ns0:v>5,1 кОм</ns0:v>
      </ns0:c>
      <ns0:c r="E528" t="str" s="10">
        <ns0:v>±1%</ns0:v>
      </ns0:c>
      <ns0:c r="F528" t="str" s="10">
        <ns0:v>0,125 Вт</ns0:v>
      </ns0:c>
      <ns0:c r="G528" t="str" s="10">
        <ns0:v>150 В макс.</ns0:v>
      </ns0:c>
      <ns0:c r="H528" t="str" s="12">
        <ns0:v>0805</ns0:v>
      </ns0:c>
      <ns0:c r="I528" t="str" s="10">
        <ns0:v>YAGEO</ns0:v>
      </ns0:c>
      <ns0:c r="J528" t="str" s="10">
        <ns0:v>RC0805FR-075K1L</ns0:v>
      </ns0:c>
      <ns0:c r="K528" t="str" s="11">
        <ns0:f>B528&amp;" "&amp;D528&amp;" "&amp;E528&amp;" "&amp;H528</ns0:f>
        <ns0:v>Резистор 5,1 кОм ±1% 0805</ns0:v>
      </ns0:c>
      <ns0:c r="L528" t="str" s="13">
        <ns0:v>R</ns0:v>
      </ns0:c>
      <ns0:c r="M528" t="str" s="13">
        <ns0:v>Symbols\MY_LIB_Resistors.SchLib</ns0:v>
      </ns0:c>
      <ns0:c r="N528" t="str" s="13">
        <ns0:v>RESC2012X70N</ns0:v>
      </ns0:c>
      <ns0:c r="O528" t="str" s="13">
        <ns0:v>Footprints\PBL - SMD Packages.PcbLib</ns0:v>
      </ns0:c>
      <ns0:c r="P528" t="str" s="10">
        <ns0:v>RC_L; E24; P при 70 °C; U ≤ min(√(P·R), Umax)</ns0:v>
      </ns0:c>
      <ns0:c r="Q528" s="10"/>
      <ns0:c r="R528" t="str" s="11">
        <ns0:f>D528</ns0:f>
        <ns0:v>5,1 кОм</ns0:v>
      </ns0:c>
      <ns0:c r="S528" t="str" s="11">
        <ns0:f>K528</ns0:f>
        <ns0:v>Резистор 5,1 кОм ±1% 0805</ns0:v>
      </ns0:c>
      <x:c xmlns:x="http://schemas.openxmlformats.org/spreadsheetml/2006/main" r="T528" t="str" s="11">
        <x:v>C:\Users\Nomatin\Documents\Altium\MY_LIB\MY_LIB\Datasheets\YAGEO_RC_L.pdf</x:v>
      </x:c>
      <x:c xmlns:x="http://schemas.openxmlformats.org/spreadsheetml/2006/main" r="U528" t="str" s="11">
        <x:v>Даташит — локальный</x:v>
      </x:c>
      <x:c xmlns:x="http://schemas.openxmlformats.org/spreadsheetml/2006/main" r="V528" t="str" s="11">
        <x:v>C:\Users\Nomatin\Documents\Altium\MY_LIB\MY_LIB\Datasheets\YAGEO_RC_L.pdf</x:v>
      </x:c>
      <x:c xmlns:x="http://schemas.openxmlformats.org/spreadsheetml/2006/main" r="W528" t="str" s="11">
        <x:v>Даташит — производитель</x:v>
      </x:c>
      <x:c xmlns:x="http://schemas.openxmlformats.org/spreadsheetml/2006/main" r="X528" t="str" s="11">
        <x:v>https://yageogroup.com/content/datasheet/asset/file/PYU-RC_GROUP_51_ROHS_L</x:v>
      </x:c>
      <x:c xmlns:x="http://schemas.openxmlformats.org/spreadsheetml/2006/main" r="Y528" t="str" s="11">
        <x:v>C:\Users\Nomatin\Documents\Altium\MY_LIB\MY_LIB\Datasheets\YAGEO_RC_L.pdf</x:v>
      </x:c>
    </ns0:row>
    <ns0:row xmlns:ns0="http://schemas.openxmlformats.org/spreadsheetml/2006/main" r="529" ht="30" customHeight="1">
      <ns0:c r="A529" t="str" s="10">
        <ns0:v>R0535</ns0:v>
      </ns0:c>
      <ns0:c r="B529" t="str" s="10">
        <ns0:v>Резистор</ns0:v>
      </ns0:c>
      <ns0:c r="C529" t="str" s="10">
        <ns0:v>5.6k</ns0:v>
      </ns0:c>
      <ns0:c r="D529" t="str" s="11">
        <ns0:f>SUBSTITUTE(SUBSTITUTE(SUBSTITUTE(SUBSTITUTE(C529,"meg"," МОм"),"k"," кОм"),"R"," Ом"),".",",")</ns0:f>
        <ns0:v>5,6 кОм</ns0:v>
      </ns0:c>
      <ns0:c r="E529" t="str" s="10">
        <ns0:v>±1%</ns0:v>
      </ns0:c>
      <ns0:c r="F529" t="str" s="10">
        <ns0:v>0,125 Вт</ns0:v>
      </ns0:c>
      <ns0:c r="G529" t="str" s="10">
        <ns0:v>150 В макс.</ns0:v>
      </ns0:c>
      <ns0:c r="H529" t="str" s="12">
        <ns0:v>0805</ns0:v>
      </ns0:c>
      <ns0:c r="I529" t="str" s="10">
        <ns0:v>YAGEO</ns0:v>
      </ns0:c>
      <ns0:c r="J529" t="str" s="10">
        <ns0:v>RC0805FR-075K6L</ns0:v>
      </ns0:c>
      <ns0:c r="K529" t="str" s="11">
        <ns0:f>B529&amp;" "&amp;D529&amp;" "&amp;E529&amp;" "&amp;H529</ns0:f>
        <ns0:v>Резистор 5,6 кОм ±1% 0805</ns0:v>
      </ns0:c>
      <ns0:c r="L529" t="str" s="13">
        <ns0:v>R</ns0:v>
      </ns0:c>
      <ns0:c r="M529" t="str" s="13">
        <ns0:v>Symbols\MY_LIB_Resistors.SchLib</ns0:v>
      </ns0:c>
      <ns0:c r="N529" t="str" s="13">
        <ns0:v>RESC2012X70N</ns0:v>
      </ns0:c>
      <ns0:c r="O529" t="str" s="13">
        <ns0:v>Footprints\PBL - SMD Packages.PcbLib</ns0:v>
      </ns0:c>
      <ns0:c r="P529" t="str" s="10">
        <ns0:v>RC_L; E24; P при 70 °C; U ≤ min(√(P·R), Umax)</ns0:v>
      </ns0:c>
      <ns0:c r="Q529" s="10"/>
      <ns0:c r="R529" t="str" s="11">
        <ns0:f>D529</ns0:f>
        <ns0:v>5,6 кОм</ns0:v>
      </ns0:c>
      <ns0:c r="S529" t="str" s="11">
        <ns0:f>K529</ns0:f>
        <ns0:v>Резистор 5,6 кОм ±1% 0805</ns0:v>
      </ns0:c>
      <x:c xmlns:x="http://schemas.openxmlformats.org/spreadsheetml/2006/main" r="T529" t="str" s="11">
        <x:v>C:\Users\Nomatin\Documents\Altium\MY_LIB\MY_LIB\Datasheets\YAGEO_RC_L.pdf</x:v>
      </x:c>
      <x:c xmlns:x="http://schemas.openxmlformats.org/spreadsheetml/2006/main" r="U529" t="str" s="11">
        <x:v>Даташит — локальный</x:v>
      </x:c>
      <x:c xmlns:x="http://schemas.openxmlformats.org/spreadsheetml/2006/main" r="V529" t="str" s="11">
        <x:v>C:\Users\Nomatin\Documents\Altium\MY_LIB\MY_LIB\Datasheets\YAGEO_RC_L.pdf</x:v>
      </x:c>
      <x:c xmlns:x="http://schemas.openxmlformats.org/spreadsheetml/2006/main" r="W529" t="str" s="11">
        <x:v>Даташит — производитель</x:v>
      </x:c>
      <x:c xmlns:x="http://schemas.openxmlformats.org/spreadsheetml/2006/main" r="X529" t="str" s="11">
        <x:v>https://yageogroup.com/content/datasheet/asset/file/PYU-RC_GROUP_51_ROHS_L</x:v>
      </x:c>
      <x:c xmlns:x="http://schemas.openxmlformats.org/spreadsheetml/2006/main" r="Y529" t="str" s="11">
        <x:v>C:\Users\Nomatin\Documents\Altium\MY_LIB\MY_LIB\Datasheets\YAGEO_RC_L.pdf</x:v>
      </x:c>
    </ns0:row>
    <ns0:row xmlns:ns0="http://schemas.openxmlformats.org/spreadsheetml/2006/main" r="530" ht="30" customHeight="1">
      <ns0:c r="A530" t="str" s="10">
        <ns0:v>R0536</ns0:v>
      </ns0:c>
      <ns0:c r="B530" t="str" s="10">
        <ns0:v>Резистор</ns0:v>
      </ns0:c>
      <ns0:c r="C530" t="str" s="10">
        <ns0:v>6.2k</ns0:v>
      </ns0:c>
      <ns0:c r="D530" t="str" s="11">
        <ns0:f>SUBSTITUTE(SUBSTITUTE(SUBSTITUTE(SUBSTITUTE(C530,"meg"," МОм"),"k"," кОм"),"R"," Ом"),".",",")</ns0:f>
        <ns0:v>6,2 кОм</ns0:v>
      </ns0:c>
      <ns0:c r="E530" t="str" s="10">
        <ns0:v>±1%</ns0:v>
      </ns0:c>
      <ns0:c r="F530" t="str" s="10">
        <ns0:v>0,125 Вт</ns0:v>
      </ns0:c>
      <ns0:c r="G530" t="str" s="10">
        <ns0:v>150 В макс.</ns0:v>
      </ns0:c>
      <ns0:c r="H530" t="str" s="12">
        <ns0:v>0805</ns0:v>
      </ns0:c>
      <ns0:c r="I530" t="str" s="10">
        <ns0:v>YAGEO</ns0:v>
      </ns0:c>
      <ns0:c r="J530" t="str" s="10">
        <ns0:v>RC0805FR-076K2L</ns0:v>
      </ns0:c>
      <ns0:c r="K530" t="str" s="11">
        <ns0:f>B530&amp;" "&amp;D530&amp;" "&amp;E530&amp;" "&amp;H530</ns0:f>
        <ns0:v>Резистор 6,2 кОм ±1% 0805</ns0:v>
      </ns0:c>
      <ns0:c r="L530" t="str" s="13">
        <ns0:v>R</ns0:v>
      </ns0:c>
      <ns0:c r="M530" t="str" s="13">
        <ns0:v>Symbols\MY_LIB_Resistors.SchLib</ns0:v>
      </ns0:c>
      <ns0:c r="N530" t="str" s="13">
        <ns0:v>RESC2012X70N</ns0:v>
      </ns0:c>
      <ns0:c r="O530" t="str" s="13">
        <ns0:v>Footprints\PBL - SMD Packages.PcbLib</ns0:v>
      </ns0:c>
      <ns0:c r="P530" t="str" s="10">
        <ns0:v>RC_L; E24; P при 70 °C; U ≤ min(√(P·R), Umax)</ns0:v>
      </ns0:c>
      <ns0:c r="Q530" s="10"/>
      <ns0:c r="R530" t="str" s="11">
        <ns0:f>D530</ns0:f>
        <ns0:v>6,2 кОм</ns0:v>
      </ns0:c>
      <ns0:c r="S530" t="str" s="11">
        <ns0:f>K530</ns0:f>
        <ns0:v>Резистор 6,2 кОм ±1% 0805</ns0:v>
      </ns0:c>
      <x:c xmlns:x="http://schemas.openxmlformats.org/spreadsheetml/2006/main" r="T530" t="str" s="11">
        <x:v>C:\Users\Nomatin\Documents\Altium\MY_LIB\MY_LIB\Datasheets\YAGEO_RC_L.pdf</x:v>
      </x:c>
      <x:c xmlns:x="http://schemas.openxmlformats.org/spreadsheetml/2006/main" r="U530" t="str" s="11">
        <x:v>Даташит — локальный</x:v>
      </x:c>
      <x:c xmlns:x="http://schemas.openxmlformats.org/spreadsheetml/2006/main" r="V530" t="str" s="11">
        <x:v>C:\Users\Nomatin\Documents\Altium\MY_LIB\MY_LIB\Datasheets\YAGEO_RC_L.pdf</x:v>
      </x:c>
      <x:c xmlns:x="http://schemas.openxmlformats.org/spreadsheetml/2006/main" r="W530" t="str" s="11">
        <x:v>Даташит — производитель</x:v>
      </x:c>
      <x:c xmlns:x="http://schemas.openxmlformats.org/spreadsheetml/2006/main" r="X530" t="str" s="11">
        <x:v>https://yageogroup.com/content/datasheet/asset/file/PYU-RC_GROUP_51_ROHS_L</x:v>
      </x:c>
      <x:c xmlns:x="http://schemas.openxmlformats.org/spreadsheetml/2006/main" r="Y530" t="str" s="11">
        <x:v>C:\Users\Nomatin\Documents\Altium\MY_LIB\MY_LIB\Datasheets\YAGEO_RC_L.pdf</x:v>
      </x:c>
    </ns0:row>
    <ns0:row xmlns:ns0="http://schemas.openxmlformats.org/spreadsheetml/2006/main" r="531" ht="30" customHeight="1">
      <ns0:c r="A531" t="str" s="10">
        <ns0:v>R0537</ns0:v>
      </ns0:c>
      <ns0:c r="B531" t="str" s="10">
        <ns0:v>Резистор</ns0:v>
      </ns0:c>
      <ns0:c r="C531" t="str" s="10">
        <ns0:v>6.8k</ns0:v>
      </ns0:c>
      <ns0:c r="D531" t="str" s="11">
        <ns0:f>SUBSTITUTE(SUBSTITUTE(SUBSTITUTE(SUBSTITUTE(C531,"meg"," МОм"),"k"," кОм"),"R"," Ом"),".",",")</ns0:f>
        <ns0:v>6,8 кОм</ns0:v>
      </ns0:c>
      <ns0:c r="E531" t="str" s="10">
        <ns0:v>±1%</ns0:v>
      </ns0:c>
      <ns0:c r="F531" t="str" s="10">
        <ns0:v>0,125 Вт</ns0:v>
      </ns0:c>
      <ns0:c r="G531" t="str" s="10">
        <ns0:v>150 В макс.</ns0:v>
      </ns0:c>
      <ns0:c r="H531" t="str" s="12">
        <ns0:v>0805</ns0:v>
      </ns0:c>
      <ns0:c r="I531" t="str" s="10">
        <ns0:v>YAGEO</ns0:v>
      </ns0:c>
      <ns0:c r="J531" t="str" s="10">
        <ns0:v>RC0805FR-076K8L</ns0:v>
      </ns0:c>
      <ns0:c r="K531" t="str" s="11">
        <ns0:f>B531&amp;" "&amp;D531&amp;" "&amp;E531&amp;" "&amp;H531</ns0:f>
        <ns0:v>Резистор 6,8 кОм ±1% 0805</ns0:v>
      </ns0:c>
      <ns0:c r="L531" t="str" s="13">
        <ns0:v>R</ns0:v>
      </ns0:c>
      <ns0:c r="M531" t="str" s="13">
        <ns0:v>Symbols\MY_LIB_Resistors.SchLib</ns0:v>
      </ns0:c>
      <ns0:c r="N531" t="str" s="13">
        <ns0:v>RESC2012X70N</ns0:v>
      </ns0:c>
      <ns0:c r="O531" t="str" s="13">
        <ns0:v>Footprints\PBL - SMD Packages.PcbLib</ns0:v>
      </ns0:c>
      <ns0:c r="P531" t="str" s="10">
        <ns0:v>RC_L; E24; P при 70 °C; U ≤ min(√(P·R), Umax)</ns0:v>
      </ns0:c>
      <ns0:c r="Q531" s="10"/>
      <ns0:c r="R531" t="str" s="11">
        <ns0:f>D531</ns0:f>
        <ns0:v>6,8 кОм</ns0:v>
      </ns0:c>
      <ns0:c r="S531" t="str" s="11">
        <ns0:f>K531</ns0:f>
        <ns0:v>Резистор 6,8 кОм ±1% 0805</ns0:v>
      </ns0:c>
      <x:c xmlns:x="http://schemas.openxmlformats.org/spreadsheetml/2006/main" r="T531" t="str" s="11">
        <x:v>C:\Users\Nomatin\Documents\Altium\MY_LIB\MY_LIB\Datasheets\YAGEO_RC_L.pdf</x:v>
      </x:c>
      <x:c xmlns:x="http://schemas.openxmlformats.org/spreadsheetml/2006/main" r="U531" t="str" s="11">
        <x:v>Даташит — локальный</x:v>
      </x:c>
      <x:c xmlns:x="http://schemas.openxmlformats.org/spreadsheetml/2006/main" r="V531" t="str" s="11">
        <x:v>C:\Users\Nomatin\Documents\Altium\MY_LIB\MY_LIB\Datasheets\YAGEO_RC_L.pdf</x:v>
      </x:c>
      <x:c xmlns:x="http://schemas.openxmlformats.org/spreadsheetml/2006/main" r="W531" t="str" s="11">
        <x:v>Даташит — производитель</x:v>
      </x:c>
      <x:c xmlns:x="http://schemas.openxmlformats.org/spreadsheetml/2006/main" r="X531" t="str" s="11">
        <x:v>https://yageogroup.com/content/datasheet/asset/file/PYU-RC_GROUP_51_ROHS_L</x:v>
      </x:c>
      <x:c xmlns:x="http://schemas.openxmlformats.org/spreadsheetml/2006/main" r="Y531" t="str" s="11">
        <x:v>C:\Users\Nomatin\Documents\Altium\MY_LIB\MY_LIB\Datasheets\YAGEO_RC_L.pdf</x:v>
      </x:c>
    </ns0:row>
    <ns0:row xmlns:ns0="http://schemas.openxmlformats.org/spreadsheetml/2006/main" r="532" ht="30" customHeight="1">
      <ns0:c r="A532" t="str" s="10">
        <ns0:v>R0538</ns0:v>
      </ns0:c>
      <ns0:c r="B532" t="str" s="10">
        <ns0:v>Резистор</ns0:v>
      </ns0:c>
      <ns0:c r="C532" t="str" s="10">
        <ns0:v>7.5k</ns0:v>
      </ns0:c>
      <ns0:c r="D532" t="str" s="11">
        <ns0:f>SUBSTITUTE(SUBSTITUTE(SUBSTITUTE(SUBSTITUTE(C532,"meg"," МОм"),"k"," кОм"),"R"," Ом"),".",",")</ns0:f>
        <ns0:v>7,5 кОм</ns0:v>
      </ns0:c>
      <ns0:c r="E532" t="str" s="10">
        <ns0:v>±1%</ns0:v>
      </ns0:c>
      <ns0:c r="F532" t="str" s="10">
        <ns0:v>0,125 Вт</ns0:v>
      </ns0:c>
      <ns0:c r="G532" t="str" s="10">
        <ns0:v>150 В макс.</ns0:v>
      </ns0:c>
      <ns0:c r="H532" t="str" s="12">
        <ns0:v>0805</ns0:v>
      </ns0:c>
      <ns0:c r="I532" t="str" s="10">
        <ns0:v>YAGEO</ns0:v>
      </ns0:c>
      <ns0:c r="J532" t="str" s="10">
        <ns0:v>RC0805FR-077K5L</ns0:v>
      </ns0:c>
      <ns0:c r="K532" t="str" s="11">
        <ns0:f>B532&amp;" "&amp;D532&amp;" "&amp;E532&amp;" "&amp;H532</ns0:f>
        <ns0:v>Резистор 7,5 кОм ±1% 0805</ns0:v>
      </ns0:c>
      <ns0:c r="L532" t="str" s="13">
        <ns0:v>R</ns0:v>
      </ns0:c>
      <ns0:c r="M532" t="str" s="13">
        <ns0:v>Symbols\MY_LIB_Resistors.SchLib</ns0:v>
      </ns0:c>
      <ns0:c r="N532" t="str" s="13">
        <ns0:v>RESC2012X70N</ns0:v>
      </ns0:c>
      <ns0:c r="O532" t="str" s="13">
        <ns0:v>Footprints\PBL - SMD Packages.PcbLib</ns0:v>
      </ns0:c>
      <ns0:c r="P532" t="str" s="10">
        <ns0:v>RC_L; E24; P при 70 °C; U ≤ min(√(P·R), Umax)</ns0:v>
      </ns0:c>
      <ns0:c r="Q532" s="10"/>
      <ns0:c r="R532" t="str" s="11">
        <ns0:f>D532</ns0:f>
        <ns0:v>7,5 кОм</ns0:v>
      </ns0:c>
      <ns0:c r="S532" t="str" s="11">
        <ns0:f>K532</ns0:f>
        <ns0:v>Резистор 7,5 кОм ±1% 0805</ns0:v>
      </ns0:c>
      <x:c xmlns:x="http://schemas.openxmlformats.org/spreadsheetml/2006/main" r="T532" t="str" s="11">
        <x:v>C:\Users\Nomatin\Documents\Altium\MY_LIB\MY_LIB\Datasheets\YAGEO_RC_L.pdf</x:v>
      </x:c>
      <x:c xmlns:x="http://schemas.openxmlformats.org/spreadsheetml/2006/main" r="U532" t="str" s="11">
        <x:v>Даташит — локальный</x:v>
      </x:c>
      <x:c xmlns:x="http://schemas.openxmlformats.org/spreadsheetml/2006/main" r="V532" t="str" s="11">
        <x:v>C:\Users\Nomatin\Documents\Altium\MY_LIB\MY_LIB\Datasheets\YAGEO_RC_L.pdf</x:v>
      </x:c>
      <x:c xmlns:x="http://schemas.openxmlformats.org/spreadsheetml/2006/main" r="W532" t="str" s="11">
        <x:v>Даташит — производитель</x:v>
      </x:c>
      <x:c xmlns:x="http://schemas.openxmlformats.org/spreadsheetml/2006/main" r="X532" t="str" s="11">
        <x:v>https://yageogroup.com/content/datasheet/asset/file/PYU-RC_GROUP_51_ROHS_L</x:v>
      </x:c>
      <x:c xmlns:x="http://schemas.openxmlformats.org/spreadsheetml/2006/main" r="Y532" t="str" s="11">
        <x:v>C:\Users\Nomatin\Documents\Altium\MY_LIB\MY_LIB\Datasheets\YAGEO_RC_L.pdf</x:v>
      </x:c>
    </ns0:row>
    <ns0:row xmlns:ns0="http://schemas.openxmlformats.org/spreadsheetml/2006/main" r="533" ht="30" customHeight="1">
      <ns0:c r="A533" t="str" s="10">
        <ns0:v>R0539</ns0:v>
      </ns0:c>
      <ns0:c r="B533" t="str" s="10">
        <ns0:v>Резистор</ns0:v>
      </ns0:c>
      <ns0:c r="C533" t="str" s="10">
        <ns0:v>8.2k</ns0:v>
      </ns0:c>
      <ns0:c r="D533" t="str" s="11">
        <ns0:f>SUBSTITUTE(SUBSTITUTE(SUBSTITUTE(SUBSTITUTE(C533,"meg"," МОм"),"k"," кОм"),"R"," Ом"),".",",")</ns0:f>
        <ns0:v>8,2 кОм</ns0:v>
      </ns0:c>
      <ns0:c r="E533" t="str" s="10">
        <ns0:v>±1%</ns0:v>
      </ns0:c>
      <ns0:c r="F533" t="str" s="10">
        <ns0:v>0,125 Вт</ns0:v>
      </ns0:c>
      <ns0:c r="G533" t="str" s="10">
        <ns0:v>150 В макс.</ns0:v>
      </ns0:c>
      <ns0:c r="H533" t="str" s="12">
        <ns0:v>0805</ns0:v>
      </ns0:c>
      <ns0:c r="I533" t="str" s="10">
        <ns0:v>YAGEO</ns0:v>
      </ns0:c>
      <ns0:c r="J533" t="str" s="10">
        <ns0:v>RC0805FR-078K2L</ns0:v>
      </ns0:c>
      <ns0:c r="K533" t="str" s="11">
        <ns0:f>B533&amp;" "&amp;D533&amp;" "&amp;E533&amp;" "&amp;H533</ns0:f>
        <ns0:v>Резистор 8,2 кОм ±1% 0805</ns0:v>
      </ns0:c>
      <ns0:c r="L533" t="str" s="13">
        <ns0:v>R</ns0:v>
      </ns0:c>
      <ns0:c r="M533" t="str" s="13">
        <ns0:v>Symbols\MY_LIB_Resistors.SchLib</ns0:v>
      </ns0:c>
      <ns0:c r="N533" t="str" s="13">
        <ns0:v>RESC2012X70N</ns0:v>
      </ns0:c>
      <ns0:c r="O533" t="str" s="13">
        <ns0:v>Footprints\PBL - SMD Packages.PcbLib</ns0:v>
      </ns0:c>
      <ns0:c r="P533" t="str" s="10">
        <ns0:v>RC_L; E24; P при 70 °C; U ≤ min(√(P·R), Umax)</ns0:v>
      </ns0:c>
      <ns0:c r="Q533" s="10"/>
      <ns0:c r="R533" t="str" s="11">
        <ns0:f>D533</ns0:f>
        <ns0:v>8,2 кОм</ns0:v>
      </ns0:c>
      <ns0:c r="S533" t="str" s="11">
        <ns0:f>K533</ns0:f>
        <ns0:v>Резистор 8,2 кОм ±1% 0805</ns0:v>
      </ns0:c>
      <x:c xmlns:x="http://schemas.openxmlformats.org/spreadsheetml/2006/main" r="T533" t="str" s="11">
        <x:v>C:\Users\Nomatin\Documents\Altium\MY_LIB\MY_LIB\Datasheets\YAGEO_RC_L.pdf</x:v>
      </x:c>
      <x:c xmlns:x="http://schemas.openxmlformats.org/spreadsheetml/2006/main" r="U533" t="str" s="11">
        <x:v>Даташит — локальный</x:v>
      </x:c>
      <x:c xmlns:x="http://schemas.openxmlformats.org/spreadsheetml/2006/main" r="V533" t="str" s="11">
        <x:v>C:\Users\Nomatin\Documents\Altium\MY_LIB\MY_LIB\Datasheets\YAGEO_RC_L.pdf</x:v>
      </x:c>
      <x:c xmlns:x="http://schemas.openxmlformats.org/spreadsheetml/2006/main" r="W533" t="str" s="11">
        <x:v>Даташит — производитель</x:v>
      </x:c>
      <x:c xmlns:x="http://schemas.openxmlformats.org/spreadsheetml/2006/main" r="X533" t="str" s="11">
        <x:v>https://yageogroup.com/content/datasheet/asset/file/PYU-RC_GROUP_51_ROHS_L</x:v>
      </x:c>
      <x:c xmlns:x="http://schemas.openxmlformats.org/spreadsheetml/2006/main" r="Y533" t="str" s="11">
        <x:v>C:\Users\Nomatin\Documents\Altium\MY_LIB\MY_LIB\Datasheets\YAGEO_RC_L.pdf</x:v>
      </x:c>
    </ns0:row>
    <ns0:row xmlns:ns0="http://schemas.openxmlformats.org/spreadsheetml/2006/main" r="534" ht="30" customHeight="1">
      <ns0:c r="A534" t="str" s="10">
        <ns0:v>R0540</ns0:v>
      </ns0:c>
      <ns0:c r="B534" t="str" s="10">
        <ns0:v>Резистор</ns0:v>
      </ns0:c>
      <ns0:c r="C534" t="str" s="10">
        <ns0:v>9.1k</ns0:v>
      </ns0:c>
      <ns0:c r="D534" t="str" s="11">
        <ns0:f>SUBSTITUTE(SUBSTITUTE(SUBSTITUTE(SUBSTITUTE(C534,"meg"," МОм"),"k"," кОм"),"R"," Ом"),".",",")</ns0:f>
        <ns0:v>9,1 кОм</ns0:v>
      </ns0:c>
      <ns0:c r="E534" t="str" s="10">
        <ns0:v>±1%</ns0:v>
      </ns0:c>
      <ns0:c r="F534" t="str" s="10">
        <ns0:v>0,125 Вт</ns0:v>
      </ns0:c>
      <ns0:c r="G534" t="str" s="10">
        <ns0:v>150 В макс.</ns0:v>
      </ns0:c>
      <ns0:c r="H534" t="str" s="12">
        <ns0:v>0805</ns0:v>
      </ns0:c>
      <ns0:c r="I534" t="str" s="10">
        <ns0:v>YAGEO</ns0:v>
      </ns0:c>
      <ns0:c r="J534" t="str" s="10">
        <ns0:v>RC0805FR-079K1L</ns0:v>
      </ns0:c>
      <ns0:c r="K534" t="str" s="11">
        <ns0:f>B534&amp;" "&amp;D534&amp;" "&amp;E534&amp;" "&amp;H534</ns0:f>
        <ns0:v>Резистор 9,1 кОм ±1% 0805</ns0:v>
      </ns0:c>
      <ns0:c r="L534" t="str" s="13">
        <ns0:v>R</ns0:v>
      </ns0:c>
      <ns0:c r="M534" t="str" s="13">
        <ns0:v>Symbols\MY_LIB_Resistors.SchLib</ns0:v>
      </ns0:c>
      <ns0:c r="N534" t="str" s="13">
        <ns0:v>RESC2012X70N</ns0:v>
      </ns0:c>
      <ns0:c r="O534" t="str" s="13">
        <ns0:v>Footprints\PBL - SMD Packages.PcbLib</ns0:v>
      </ns0:c>
      <ns0:c r="P534" t="str" s="10">
        <ns0:v>RC_L; E24; P при 70 °C; U ≤ min(√(P·R), Umax)</ns0:v>
      </ns0:c>
      <ns0:c r="Q534" s="10"/>
      <ns0:c r="R534" t="str" s="11">
        <ns0:f>D534</ns0:f>
        <ns0:v>9,1 кОм</ns0:v>
      </ns0:c>
      <ns0:c r="S534" t="str" s="11">
        <ns0:f>K534</ns0:f>
        <ns0:v>Резистор 9,1 кОм ±1% 0805</ns0:v>
      </ns0:c>
      <x:c xmlns:x="http://schemas.openxmlformats.org/spreadsheetml/2006/main" r="T534" t="str" s="11">
        <x:v>C:\Users\Nomatin\Documents\Altium\MY_LIB\MY_LIB\Datasheets\YAGEO_RC_L.pdf</x:v>
      </x:c>
      <x:c xmlns:x="http://schemas.openxmlformats.org/spreadsheetml/2006/main" r="U534" t="str" s="11">
        <x:v>Даташит — локальный</x:v>
      </x:c>
      <x:c xmlns:x="http://schemas.openxmlformats.org/spreadsheetml/2006/main" r="V534" t="str" s="11">
        <x:v>C:\Users\Nomatin\Documents\Altium\MY_LIB\MY_LIB\Datasheets\YAGEO_RC_L.pdf</x:v>
      </x:c>
      <x:c xmlns:x="http://schemas.openxmlformats.org/spreadsheetml/2006/main" r="W534" t="str" s="11">
        <x:v>Даташит — производитель</x:v>
      </x:c>
      <x:c xmlns:x="http://schemas.openxmlformats.org/spreadsheetml/2006/main" r="X534" t="str" s="11">
        <x:v>https://yageogroup.com/content/datasheet/asset/file/PYU-RC_GROUP_51_ROHS_L</x:v>
      </x:c>
      <x:c xmlns:x="http://schemas.openxmlformats.org/spreadsheetml/2006/main" r="Y534" t="str" s="11">
        <x:v>C:\Users\Nomatin\Documents\Altium\MY_LIB\MY_LIB\Datasheets\YAGEO_RC_L.pdf</x:v>
      </x:c>
    </ns0:row>
    <ns0:row xmlns:ns0="http://schemas.openxmlformats.org/spreadsheetml/2006/main" r="535" ht="30" customHeight="1">
      <ns0:c r="A535" t="str" s="10">
        <ns0:v>R0541</ns0:v>
      </ns0:c>
      <ns0:c r="B535" t="str" s="10">
        <ns0:v>Резистор</ns0:v>
      </ns0:c>
      <ns0:c r="C535" t="str" s="10">
        <ns0:v>10k</ns0:v>
      </ns0:c>
      <ns0:c r="D535" t="str" s="11">
        <ns0:f>SUBSTITUTE(SUBSTITUTE(SUBSTITUTE(SUBSTITUTE(C535,"meg"," МОм"),"k"," кОм"),"R"," Ом"),".",",")</ns0:f>
        <ns0:v>10 кОм</ns0:v>
      </ns0:c>
      <ns0:c r="E535" t="str" s="10">
        <ns0:v>±1%</ns0:v>
      </ns0:c>
      <ns0:c r="F535" t="str" s="10">
        <ns0:v>0,125 Вт</ns0:v>
      </ns0:c>
      <ns0:c r="G535" t="str" s="10">
        <ns0:v>150 В макс.</ns0:v>
      </ns0:c>
      <ns0:c r="H535" t="str" s="12">
        <ns0:v>0805</ns0:v>
      </ns0:c>
      <ns0:c r="I535" t="str" s="10">
        <ns0:v>YAGEO</ns0:v>
      </ns0:c>
      <ns0:c r="J535" t="str" s="10">
        <ns0:v>RC0805FR-0710KL</ns0:v>
      </ns0:c>
      <ns0:c r="K535" t="str" s="11">
        <ns0:f>B535&amp;" "&amp;D535&amp;" "&amp;E535&amp;" "&amp;H535</ns0:f>
        <ns0:v>Резистор 10 кОм ±1% 0805</ns0:v>
      </ns0:c>
      <ns0:c r="L535" t="str" s="13">
        <ns0:v>R</ns0:v>
      </ns0:c>
      <ns0:c r="M535" t="str" s="13">
        <ns0:v>Symbols\MY_LIB_Resistors.SchLib</ns0:v>
      </ns0:c>
      <ns0:c r="N535" t="str" s="13">
        <ns0:v>RESC2012X70N</ns0:v>
      </ns0:c>
      <ns0:c r="O535" t="str" s="13">
        <ns0:v>Footprints\PBL - SMD Packages.PcbLib</ns0:v>
      </ns0:c>
      <ns0:c r="P535" t="str" s="10">
        <ns0:v>RC_L; E24; P при 70 °C; U ≤ min(√(P·R), Umax)</ns0:v>
      </ns0:c>
      <ns0:c r="Q535" s="10"/>
      <ns0:c r="R535" t="str" s="11">
        <ns0:f>D535</ns0:f>
        <ns0:v>10 кОм</ns0:v>
      </ns0:c>
      <ns0:c r="S535" t="str" s="11">
        <ns0:f>K535</ns0:f>
        <ns0:v>Резистор 10 кОм ±1% 0805</ns0:v>
      </ns0:c>
      <x:c xmlns:x="http://schemas.openxmlformats.org/spreadsheetml/2006/main" r="T535" t="str" s="11">
        <x:v>C:\Users\Nomatin\Documents\Altium\MY_LIB\MY_LIB\Datasheets\YAGEO_RC_L.pdf</x:v>
      </x:c>
      <x:c xmlns:x="http://schemas.openxmlformats.org/spreadsheetml/2006/main" r="U535" t="str" s="11">
        <x:v>Даташит — локальный</x:v>
      </x:c>
      <x:c xmlns:x="http://schemas.openxmlformats.org/spreadsheetml/2006/main" r="V535" t="str" s="11">
        <x:v>C:\Users\Nomatin\Documents\Altium\MY_LIB\MY_LIB\Datasheets\YAGEO_RC_L.pdf</x:v>
      </x:c>
      <x:c xmlns:x="http://schemas.openxmlformats.org/spreadsheetml/2006/main" r="W535" t="str" s="11">
        <x:v>Даташит — производитель</x:v>
      </x:c>
      <x:c xmlns:x="http://schemas.openxmlformats.org/spreadsheetml/2006/main" r="X535" t="str" s="11">
        <x:v>https://yageogroup.com/content/datasheet/asset/file/PYU-RC_GROUP_51_ROHS_L</x:v>
      </x:c>
      <x:c xmlns:x="http://schemas.openxmlformats.org/spreadsheetml/2006/main" r="Y535" t="str" s="11">
        <x:v>C:\Users\Nomatin\Documents\Altium\MY_LIB\MY_LIB\Datasheets\YAGEO_RC_L.pdf</x:v>
      </x:c>
    </ns0:row>
    <ns0:row xmlns:ns0="http://schemas.openxmlformats.org/spreadsheetml/2006/main" r="536" ht="30" customHeight="1">
      <ns0:c r="A536" t="str" s="10">
        <ns0:v>R0542</ns0:v>
      </ns0:c>
      <ns0:c r="B536" t="str" s="10">
        <ns0:v>Резистор</ns0:v>
      </ns0:c>
      <ns0:c r="C536" t="str" s="10">
        <ns0:v>11k</ns0:v>
      </ns0:c>
      <ns0:c r="D536" t="str" s="11">
        <ns0:f>SUBSTITUTE(SUBSTITUTE(SUBSTITUTE(SUBSTITUTE(C536,"meg"," МОм"),"k"," кОм"),"R"," Ом"),".",",")</ns0:f>
        <ns0:v>11 кОм</ns0:v>
      </ns0:c>
      <ns0:c r="E536" t="str" s="10">
        <ns0:v>±1%</ns0:v>
      </ns0:c>
      <ns0:c r="F536" t="str" s="10">
        <ns0:v>0,125 Вт</ns0:v>
      </ns0:c>
      <ns0:c r="G536" t="str" s="10">
        <ns0:v>150 В макс.</ns0:v>
      </ns0:c>
      <ns0:c r="H536" t="str" s="12">
        <ns0:v>0805</ns0:v>
      </ns0:c>
      <ns0:c r="I536" t="str" s="10">
        <ns0:v>YAGEO</ns0:v>
      </ns0:c>
      <ns0:c r="J536" t="str" s="10">
        <ns0:v>RC0805FR-0711KL</ns0:v>
      </ns0:c>
      <ns0:c r="K536" t="str" s="11">
        <ns0:f>B536&amp;" "&amp;D536&amp;" "&amp;E536&amp;" "&amp;H536</ns0:f>
        <ns0:v>Резистор 11 кОм ±1% 0805</ns0:v>
      </ns0:c>
      <ns0:c r="L536" t="str" s="13">
        <ns0:v>R</ns0:v>
      </ns0:c>
      <ns0:c r="M536" t="str" s="13">
        <ns0:v>Symbols\MY_LIB_Resistors.SchLib</ns0:v>
      </ns0:c>
      <ns0:c r="N536" t="str" s="13">
        <ns0:v>RESC2012X70N</ns0:v>
      </ns0:c>
      <ns0:c r="O536" t="str" s="13">
        <ns0:v>Footprints\PBL - SMD Packages.PcbLib</ns0:v>
      </ns0:c>
      <ns0:c r="P536" t="str" s="10">
        <ns0:v>RC_L; E24; P при 70 °C; U ≤ min(√(P·R), Umax)</ns0:v>
      </ns0:c>
      <ns0:c r="Q536" s="10"/>
      <ns0:c r="R536" t="str" s="11">
        <ns0:f>D536</ns0:f>
        <ns0:v>11 кОм</ns0:v>
      </ns0:c>
      <ns0:c r="S536" t="str" s="11">
        <ns0:f>K536</ns0:f>
        <ns0:v>Резистор 11 кОм ±1% 0805</ns0:v>
      </ns0:c>
      <x:c xmlns:x="http://schemas.openxmlformats.org/spreadsheetml/2006/main" r="T536" t="str" s="11">
        <x:v>C:\Users\Nomatin\Documents\Altium\MY_LIB\MY_LIB\Datasheets\YAGEO_RC_L.pdf</x:v>
      </x:c>
      <x:c xmlns:x="http://schemas.openxmlformats.org/spreadsheetml/2006/main" r="U536" t="str" s="11">
        <x:v>Даташит — локальный</x:v>
      </x:c>
      <x:c xmlns:x="http://schemas.openxmlformats.org/spreadsheetml/2006/main" r="V536" t="str" s="11">
        <x:v>C:\Users\Nomatin\Documents\Altium\MY_LIB\MY_LIB\Datasheets\YAGEO_RC_L.pdf</x:v>
      </x:c>
      <x:c xmlns:x="http://schemas.openxmlformats.org/spreadsheetml/2006/main" r="W536" t="str" s="11">
        <x:v>Даташит — производитель</x:v>
      </x:c>
      <x:c xmlns:x="http://schemas.openxmlformats.org/spreadsheetml/2006/main" r="X536" t="str" s="11">
        <x:v>https://yageogroup.com/content/datasheet/asset/file/PYU-RC_GROUP_51_ROHS_L</x:v>
      </x:c>
      <x:c xmlns:x="http://schemas.openxmlformats.org/spreadsheetml/2006/main" r="Y536" t="str" s="11">
        <x:v>C:\Users\Nomatin\Documents\Altium\MY_LIB\MY_LIB\Datasheets\YAGEO_RC_L.pdf</x:v>
      </x:c>
    </ns0:row>
    <ns0:row xmlns:ns0="http://schemas.openxmlformats.org/spreadsheetml/2006/main" r="537" ht="30" customHeight="1">
      <ns0:c r="A537" t="str" s="10">
        <ns0:v>R0543</ns0:v>
      </ns0:c>
      <ns0:c r="B537" t="str" s="10">
        <ns0:v>Резистор</ns0:v>
      </ns0:c>
      <ns0:c r="C537" t="str" s="10">
        <ns0:v>12k</ns0:v>
      </ns0:c>
      <ns0:c r="D537" t="str" s="11">
        <ns0:f>SUBSTITUTE(SUBSTITUTE(SUBSTITUTE(SUBSTITUTE(C537,"meg"," МОм"),"k"," кОм"),"R"," Ом"),".",",")</ns0:f>
        <ns0:v>12 кОм</ns0:v>
      </ns0:c>
      <ns0:c r="E537" t="str" s="10">
        <ns0:v>±1%</ns0:v>
      </ns0:c>
      <ns0:c r="F537" t="str" s="10">
        <ns0:v>0,125 Вт</ns0:v>
      </ns0:c>
      <ns0:c r="G537" t="str" s="10">
        <ns0:v>150 В макс.</ns0:v>
      </ns0:c>
      <ns0:c r="H537" t="str" s="12">
        <ns0:v>0805</ns0:v>
      </ns0:c>
      <ns0:c r="I537" t="str" s="10">
        <ns0:v>YAGEO</ns0:v>
      </ns0:c>
      <ns0:c r="J537" t="str" s="10">
        <ns0:v>RC0805FR-0712KL</ns0:v>
      </ns0:c>
      <ns0:c r="K537" t="str" s="11">
        <ns0:f>B537&amp;" "&amp;D537&amp;" "&amp;E537&amp;" "&amp;H537</ns0:f>
        <ns0:v>Резистор 12 кОм ±1% 0805</ns0:v>
      </ns0:c>
      <ns0:c r="L537" t="str" s="13">
        <ns0:v>R</ns0:v>
      </ns0:c>
      <ns0:c r="M537" t="str" s="13">
        <ns0:v>Symbols\MY_LIB_Resistors.SchLib</ns0:v>
      </ns0:c>
      <ns0:c r="N537" t="str" s="13">
        <ns0:v>RESC2012X70N</ns0:v>
      </ns0:c>
      <ns0:c r="O537" t="str" s="13">
        <ns0:v>Footprints\PBL - SMD Packages.PcbLib</ns0:v>
      </ns0:c>
      <ns0:c r="P537" t="str" s="10">
        <ns0:v>RC_L; E24; P при 70 °C; U ≤ min(√(P·R), Umax)</ns0:v>
      </ns0:c>
      <ns0:c r="Q537" s="10"/>
      <ns0:c r="R537" t="str" s="11">
        <ns0:f>D537</ns0:f>
        <ns0:v>12 кОм</ns0:v>
      </ns0:c>
      <ns0:c r="S537" t="str" s="11">
        <ns0:f>K537</ns0:f>
        <ns0:v>Резистор 12 кОм ±1% 0805</ns0:v>
      </ns0:c>
      <x:c xmlns:x="http://schemas.openxmlformats.org/spreadsheetml/2006/main" r="T537" t="str" s="11">
        <x:v>C:\Users\Nomatin\Documents\Altium\MY_LIB\MY_LIB\Datasheets\YAGEO_RC_L.pdf</x:v>
      </x:c>
      <x:c xmlns:x="http://schemas.openxmlformats.org/spreadsheetml/2006/main" r="U537" t="str" s="11">
        <x:v>Даташит — локальный</x:v>
      </x:c>
      <x:c xmlns:x="http://schemas.openxmlformats.org/spreadsheetml/2006/main" r="V537" t="str" s="11">
        <x:v>C:\Users\Nomatin\Documents\Altium\MY_LIB\MY_LIB\Datasheets\YAGEO_RC_L.pdf</x:v>
      </x:c>
      <x:c xmlns:x="http://schemas.openxmlformats.org/spreadsheetml/2006/main" r="W537" t="str" s="11">
        <x:v>Даташит — производитель</x:v>
      </x:c>
      <x:c xmlns:x="http://schemas.openxmlformats.org/spreadsheetml/2006/main" r="X537" t="str" s="11">
        <x:v>https://yageogroup.com/content/datasheet/asset/file/PYU-RC_GROUP_51_ROHS_L</x:v>
      </x:c>
      <x:c xmlns:x="http://schemas.openxmlformats.org/spreadsheetml/2006/main" r="Y537" t="str" s="11">
        <x:v>C:\Users\Nomatin\Documents\Altium\MY_LIB\MY_LIB\Datasheets\YAGEO_RC_L.pdf</x:v>
      </x:c>
    </ns0:row>
    <ns0:row xmlns:ns0="http://schemas.openxmlformats.org/spreadsheetml/2006/main" r="538" ht="30" customHeight="1">
      <ns0:c r="A538" t="str" s="10">
        <ns0:v>R0544</ns0:v>
      </ns0:c>
      <ns0:c r="B538" t="str" s="10">
        <ns0:v>Резистор</ns0:v>
      </ns0:c>
      <ns0:c r="C538" t="str" s="10">
        <ns0:v>13k</ns0:v>
      </ns0:c>
      <ns0:c r="D538" t="str" s="11">
        <ns0:f>SUBSTITUTE(SUBSTITUTE(SUBSTITUTE(SUBSTITUTE(C538,"meg"," МОм"),"k"," кОм"),"R"," Ом"),".",",")</ns0:f>
        <ns0:v>13 кОм</ns0:v>
      </ns0:c>
      <ns0:c r="E538" t="str" s="10">
        <ns0:v>±1%</ns0:v>
      </ns0:c>
      <ns0:c r="F538" t="str" s="10">
        <ns0:v>0,125 Вт</ns0:v>
      </ns0:c>
      <ns0:c r="G538" t="str" s="10">
        <ns0:v>150 В макс.</ns0:v>
      </ns0:c>
      <ns0:c r="H538" t="str" s="12">
        <ns0:v>0805</ns0:v>
      </ns0:c>
      <ns0:c r="I538" t="str" s="10">
        <ns0:v>YAGEO</ns0:v>
      </ns0:c>
      <ns0:c r="J538" t="str" s="10">
        <ns0:v>RC0805FR-0713KL</ns0:v>
      </ns0:c>
      <ns0:c r="K538" t="str" s="11">
        <ns0:f>B538&amp;" "&amp;D538&amp;" "&amp;E538&amp;" "&amp;H538</ns0:f>
        <ns0:v>Резистор 13 кОм ±1% 0805</ns0:v>
      </ns0:c>
      <ns0:c r="L538" t="str" s="13">
        <ns0:v>R</ns0:v>
      </ns0:c>
      <ns0:c r="M538" t="str" s="13">
        <ns0:v>Symbols\MY_LIB_Resistors.SchLib</ns0:v>
      </ns0:c>
      <ns0:c r="N538" t="str" s="13">
        <ns0:v>RESC2012X70N</ns0:v>
      </ns0:c>
      <ns0:c r="O538" t="str" s="13">
        <ns0:v>Footprints\PBL - SMD Packages.PcbLib</ns0:v>
      </ns0:c>
      <ns0:c r="P538" t="str" s="10">
        <ns0:v>RC_L; E24; P при 70 °C; U ≤ min(√(P·R), Umax)</ns0:v>
      </ns0:c>
      <ns0:c r="Q538" s="10"/>
      <ns0:c r="R538" t="str" s="11">
        <ns0:f>D538</ns0:f>
        <ns0:v>13 кОм</ns0:v>
      </ns0:c>
      <ns0:c r="S538" t="str" s="11">
        <ns0:f>K538</ns0:f>
        <ns0:v>Резистор 13 кОм ±1% 0805</ns0:v>
      </ns0:c>
      <x:c xmlns:x="http://schemas.openxmlformats.org/spreadsheetml/2006/main" r="T538" t="str" s="11">
        <x:v>C:\Users\Nomatin\Documents\Altium\MY_LIB\MY_LIB\Datasheets\YAGEO_RC_L.pdf</x:v>
      </x:c>
      <x:c xmlns:x="http://schemas.openxmlformats.org/spreadsheetml/2006/main" r="U538" t="str" s="11">
        <x:v>Даташит — локальный</x:v>
      </x:c>
      <x:c xmlns:x="http://schemas.openxmlformats.org/spreadsheetml/2006/main" r="V538" t="str" s="11">
        <x:v>C:\Users\Nomatin\Documents\Altium\MY_LIB\MY_LIB\Datasheets\YAGEO_RC_L.pdf</x:v>
      </x:c>
      <x:c xmlns:x="http://schemas.openxmlformats.org/spreadsheetml/2006/main" r="W538" t="str" s="11">
        <x:v>Даташит — производитель</x:v>
      </x:c>
      <x:c xmlns:x="http://schemas.openxmlformats.org/spreadsheetml/2006/main" r="X538" t="str" s="11">
        <x:v>https://yageogroup.com/content/datasheet/asset/file/PYU-RC_GROUP_51_ROHS_L</x:v>
      </x:c>
      <x:c xmlns:x="http://schemas.openxmlformats.org/spreadsheetml/2006/main" r="Y538" t="str" s="11">
        <x:v>C:\Users\Nomatin\Documents\Altium\MY_LIB\MY_LIB\Datasheets\YAGEO_RC_L.pdf</x:v>
      </x:c>
    </ns0:row>
    <ns0:row xmlns:ns0="http://schemas.openxmlformats.org/spreadsheetml/2006/main" r="539" ht="30" customHeight="1">
      <ns0:c r="A539" t="str" s="10">
        <ns0:v>R0545</ns0:v>
      </ns0:c>
      <ns0:c r="B539" t="str" s="10">
        <ns0:v>Резистор</ns0:v>
      </ns0:c>
      <ns0:c r="C539" t="str" s="10">
        <ns0:v>15k</ns0:v>
      </ns0:c>
      <ns0:c r="D539" t="str" s="11">
        <ns0:f>SUBSTITUTE(SUBSTITUTE(SUBSTITUTE(SUBSTITUTE(C539,"meg"," МОм"),"k"," кОм"),"R"," Ом"),".",",")</ns0:f>
        <ns0:v>15 кОм</ns0:v>
      </ns0:c>
      <ns0:c r="E539" t="str" s="10">
        <ns0:v>±1%</ns0:v>
      </ns0:c>
      <ns0:c r="F539" t="str" s="10">
        <ns0:v>0,125 Вт</ns0:v>
      </ns0:c>
      <ns0:c r="G539" t="str" s="10">
        <ns0:v>150 В макс.</ns0:v>
      </ns0:c>
      <ns0:c r="H539" t="str" s="12">
        <ns0:v>0805</ns0:v>
      </ns0:c>
      <ns0:c r="I539" t="str" s="10">
        <ns0:v>YAGEO</ns0:v>
      </ns0:c>
      <ns0:c r="J539" t="str" s="10">
        <ns0:v>RC0805FR-0715KL</ns0:v>
      </ns0:c>
      <ns0:c r="K539" t="str" s="11">
        <ns0:f>B539&amp;" "&amp;D539&amp;" "&amp;E539&amp;" "&amp;H539</ns0:f>
        <ns0:v>Резистор 15 кОм ±1% 0805</ns0:v>
      </ns0:c>
      <ns0:c r="L539" t="str" s="13">
        <ns0:v>R</ns0:v>
      </ns0:c>
      <ns0:c r="M539" t="str" s="13">
        <ns0:v>Symbols\MY_LIB_Resistors.SchLib</ns0:v>
      </ns0:c>
      <ns0:c r="N539" t="str" s="13">
        <ns0:v>RESC2012X70N</ns0:v>
      </ns0:c>
      <ns0:c r="O539" t="str" s="13">
        <ns0:v>Footprints\PBL - SMD Packages.PcbLib</ns0:v>
      </ns0:c>
      <ns0:c r="P539" t="str" s="10">
        <ns0:v>RC_L; E24; P при 70 °C; U ≤ min(√(P·R), Umax)</ns0:v>
      </ns0:c>
      <ns0:c r="Q539" s="10"/>
      <ns0:c r="R539" t="str" s="11">
        <ns0:f>D539</ns0:f>
        <ns0:v>15 кОм</ns0:v>
      </ns0:c>
      <ns0:c r="S539" t="str" s="11">
        <ns0:f>K539</ns0:f>
        <ns0:v>Резистор 15 кОм ±1% 0805</ns0:v>
      </ns0:c>
      <x:c xmlns:x="http://schemas.openxmlformats.org/spreadsheetml/2006/main" r="T539" t="str" s="11">
        <x:v>C:\Users\Nomatin\Documents\Altium\MY_LIB\MY_LIB\Datasheets\YAGEO_RC_L.pdf</x:v>
      </x:c>
      <x:c xmlns:x="http://schemas.openxmlformats.org/spreadsheetml/2006/main" r="U539" t="str" s="11">
        <x:v>Даташит — локальный</x:v>
      </x:c>
      <x:c xmlns:x="http://schemas.openxmlformats.org/spreadsheetml/2006/main" r="V539" t="str" s="11">
        <x:v>C:\Users\Nomatin\Documents\Altium\MY_LIB\MY_LIB\Datasheets\YAGEO_RC_L.pdf</x:v>
      </x:c>
      <x:c xmlns:x="http://schemas.openxmlformats.org/spreadsheetml/2006/main" r="W539" t="str" s="11">
        <x:v>Даташит — производитель</x:v>
      </x:c>
      <x:c xmlns:x="http://schemas.openxmlformats.org/spreadsheetml/2006/main" r="X539" t="str" s="11">
        <x:v>https://yageogroup.com/content/datasheet/asset/file/PYU-RC_GROUP_51_ROHS_L</x:v>
      </x:c>
      <x:c xmlns:x="http://schemas.openxmlformats.org/spreadsheetml/2006/main" r="Y539" t="str" s="11">
        <x:v>C:\Users\Nomatin\Documents\Altium\MY_LIB\MY_LIB\Datasheets\YAGEO_RC_L.pdf</x:v>
      </x:c>
    </ns0:row>
    <ns0:row xmlns:ns0="http://schemas.openxmlformats.org/spreadsheetml/2006/main" r="540" ht="30" customHeight="1">
      <ns0:c r="A540" t="str" s="10">
        <ns0:v>R0546</ns0:v>
      </ns0:c>
      <ns0:c r="B540" t="str" s="10">
        <ns0:v>Резистор</ns0:v>
      </ns0:c>
      <ns0:c r="C540" t="str" s="10">
        <ns0:v>16k</ns0:v>
      </ns0:c>
      <ns0:c r="D540" t="str" s="11">
        <ns0:f>SUBSTITUTE(SUBSTITUTE(SUBSTITUTE(SUBSTITUTE(C540,"meg"," МОм"),"k"," кОм"),"R"," Ом"),".",",")</ns0:f>
        <ns0:v>16 кОм</ns0:v>
      </ns0:c>
      <ns0:c r="E540" t="str" s="10">
        <ns0:v>±1%</ns0:v>
      </ns0:c>
      <ns0:c r="F540" t="str" s="10">
        <ns0:v>0,125 Вт</ns0:v>
      </ns0:c>
      <ns0:c r="G540" t="str" s="10">
        <ns0:v>150 В макс.</ns0:v>
      </ns0:c>
      <ns0:c r="H540" t="str" s="12">
        <ns0:v>0805</ns0:v>
      </ns0:c>
      <ns0:c r="I540" t="str" s="10">
        <ns0:v>YAGEO</ns0:v>
      </ns0:c>
      <ns0:c r="J540" t="str" s="10">
        <ns0:v>RC0805FR-0716KL</ns0:v>
      </ns0:c>
      <ns0:c r="K540" t="str" s="11">
        <ns0:f>B540&amp;" "&amp;D540&amp;" "&amp;E540&amp;" "&amp;H540</ns0:f>
        <ns0:v>Резистор 16 кОм ±1% 0805</ns0:v>
      </ns0:c>
      <ns0:c r="L540" t="str" s="13">
        <ns0:v>R</ns0:v>
      </ns0:c>
      <ns0:c r="M540" t="str" s="13">
        <ns0:v>Symbols\MY_LIB_Resistors.SchLib</ns0:v>
      </ns0:c>
      <ns0:c r="N540" t="str" s="13">
        <ns0:v>RESC2012X70N</ns0:v>
      </ns0:c>
      <ns0:c r="O540" t="str" s="13">
        <ns0:v>Footprints\PBL - SMD Packages.PcbLib</ns0:v>
      </ns0:c>
      <ns0:c r="P540" t="str" s="10">
        <ns0:v>RC_L; E24; P при 70 °C; U ≤ min(√(P·R), Umax)</ns0:v>
      </ns0:c>
      <ns0:c r="Q540" s="10"/>
      <ns0:c r="R540" t="str" s="11">
        <ns0:f>D540</ns0:f>
        <ns0:v>16 кОм</ns0:v>
      </ns0:c>
      <ns0:c r="S540" t="str" s="11">
        <ns0:f>K540</ns0:f>
        <ns0:v>Резистор 16 кОм ±1% 0805</ns0:v>
      </ns0:c>
      <x:c xmlns:x="http://schemas.openxmlformats.org/spreadsheetml/2006/main" r="T540" t="str" s="11">
        <x:v>C:\Users\Nomatin\Documents\Altium\MY_LIB\MY_LIB\Datasheets\YAGEO_RC_L.pdf</x:v>
      </x:c>
      <x:c xmlns:x="http://schemas.openxmlformats.org/spreadsheetml/2006/main" r="U540" t="str" s="11">
        <x:v>Даташит — локальный</x:v>
      </x:c>
      <x:c xmlns:x="http://schemas.openxmlformats.org/spreadsheetml/2006/main" r="V540" t="str" s="11">
        <x:v>C:\Users\Nomatin\Documents\Altium\MY_LIB\MY_LIB\Datasheets\YAGEO_RC_L.pdf</x:v>
      </x:c>
      <x:c xmlns:x="http://schemas.openxmlformats.org/spreadsheetml/2006/main" r="W540" t="str" s="11">
        <x:v>Даташит — производитель</x:v>
      </x:c>
      <x:c xmlns:x="http://schemas.openxmlformats.org/spreadsheetml/2006/main" r="X540" t="str" s="11">
        <x:v>https://yageogroup.com/content/datasheet/asset/file/PYU-RC_GROUP_51_ROHS_L</x:v>
      </x:c>
      <x:c xmlns:x="http://schemas.openxmlformats.org/spreadsheetml/2006/main" r="Y540" t="str" s="11">
        <x:v>C:\Users\Nomatin\Documents\Altium\MY_LIB\MY_LIB\Datasheets\YAGEO_RC_L.pdf</x:v>
      </x:c>
    </ns0:row>
    <ns0:row xmlns:ns0="http://schemas.openxmlformats.org/spreadsheetml/2006/main" r="541" ht="30" customHeight="1">
      <ns0:c r="A541" t="str" s="10">
        <ns0:v>R0547</ns0:v>
      </ns0:c>
      <ns0:c r="B541" t="str" s="10">
        <ns0:v>Резистор</ns0:v>
      </ns0:c>
      <ns0:c r="C541" t="str" s="10">
        <ns0:v>18k</ns0:v>
      </ns0:c>
      <ns0:c r="D541" t="str" s="11">
        <ns0:f>SUBSTITUTE(SUBSTITUTE(SUBSTITUTE(SUBSTITUTE(C541,"meg"," МОм"),"k"," кОм"),"R"," Ом"),".",",")</ns0:f>
        <ns0:v>18 кОм</ns0:v>
      </ns0:c>
      <ns0:c r="E541" t="str" s="10">
        <ns0:v>±1%</ns0:v>
      </ns0:c>
      <ns0:c r="F541" t="str" s="10">
        <ns0:v>0,125 Вт</ns0:v>
      </ns0:c>
      <ns0:c r="G541" t="str" s="10">
        <ns0:v>150 В макс.</ns0:v>
      </ns0:c>
      <ns0:c r="H541" t="str" s="12">
        <ns0:v>0805</ns0:v>
      </ns0:c>
      <ns0:c r="I541" t="str" s="10">
        <ns0:v>YAGEO</ns0:v>
      </ns0:c>
      <ns0:c r="J541" t="str" s="10">
        <ns0:v>RC0805FR-0718KL</ns0:v>
      </ns0:c>
      <ns0:c r="K541" t="str" s="11">
        <ns0:f>B541&amp;" "&amp;D541&amp;" "&amp;E541&amp;" "&amp;H541</ns0:f>
        <ns0:v>Резистор 18 кОм ±1% 0805</ns0:v>
      </ns0:c>
      <ns0:c r="L541" t="str" s="13">
        <ns0:v>R</ns0:v>
      </ns0:c>
      <ns0:c r="M541" t="str" s="13">
        <ns0:v>Symbols\MY_LIB_Resistors.SchLib</ns0:v>
      </ns0:c>
      <ns0:c r="N541" t="str" s="13">
        <ns0:v>RESC2012X70N</ns0:v>
      </ns0:c>
      <ns0:c r="O541" t="str" s="13">
        <ns0:v>Footprints\PBL - SMD Packages.PcbLib</ns0:v>
      </ns0:c>
      <ns0:c r="P541" t="str" s="10">
        <ns0:v>RC_L; E24; P при 70 °C; U ≤ min(√(P·R), Umax)</ns0:v>
      </ns0:c>
      <ns0:c r="Q541" s="10"/>
      <ns0:c r="R541" t="str" s="11">
        <ns0:f>D541</ns0:f>
        <ns0:v>18 кОм</ns0:v>
      </ns0:c>
      <ns0:c r="S541" t="str" s="11">
        <ns0:f>K541</ns0:f>
        <ns0:v>Резистор 18 кОм ±1% 0805</ns0:v>
      </ns0:c>
      <x:c xmlns:x="http://schemas.openxmlformats.org/spreadsheetml/2006/main" r="T541" t="str" s="11">
        <x:v>C:\Users\Nomatin\Documents\Altium\MY_LIB\MY_LIB\Datasheets\YAGEO_RC_L.pdf</x:v>
      </x:c>
      <x:c xmlns:x="http://schemas.openxmlformats.org/spreadsheetml/2006/main" r="U541" t="str" s="11">
        <x:v>Даташит — локальный</x:v>
      </x:c>
      <x:c xmlns:x="http://schemas.openxmlformats.org/spreadsheetml/2006/main" r="V541" t="str" s="11">
        <x:v>C:\Users\Nomatin\Documents\Altium\MY_LIB\MY_LIB\Datasheets\YAGEO_RC_L.pdf</x:v>
      </x:c>
      <x:c xmlns:x="http://schemas.openxmlformats.org/spreadsheetml/2006/main" r="W541" t="str" s="11">
        <x:v>Даташит — производитель</x:v>
      </x:c>
      <x:c xmlns:x="http://schemas.openxmlformats.org/spreadsheetml/2006/main" r="X541" t="str" s="11">
        <x:v>https://yageogroup.com/content/datasheet/asset/file/PYU-RC_GROUP_51_ROHS_L</x:v>
      </x:c>
      <x:c xmlns:x="http://schemas.openxmlformats.org/spreadsheetml/2006/main" r="Y541" t="str" s="11">
        <x:v>C:\Users\Nomatin\Documents\Altium\MY_LIB\MY_LIB\Datasheets\YAGEO_RC_L.pdf</x:v>
      </x:c>
    </ns0:row>
    <ns0:row xmlns:ns0="http://schemas.openxmlformats.org/spreadsheetml/2006/main" r="542" ht="30" customHeight="1">
      <ns0:c r="A542" t="str" s="10">
        <ns0:v>R0548</ns0:v>
      </ns0:c>
      <ns0:c r="B542" t="str" s="10">
        <ns0:v>Резистор</ns0:v>
      </ns0:c>
      <ns0:c r="C542" t="str" s="10">
        <ns0:v>20k</ns0:v>
      </ns0:c>
      <ns0:c r="D542" t="str" s="11">
        <ns0:f>SUBSTITUTE(SUBSTITUTE(SUBSTITUTE(SUBSTITUTE(C542,"meg"," МОм"),"k"," кОм"),"R"," Ом"),".",",")</ns0:f>
        <ns0:v>20 кОм</ns0:v>
      </ns0:c>
      <ns0:c r="E542" t="str" s="10">
        <ns0:v>±1%</ns0:v>
      </ns0:c>
      <ns0:c r="F542" t="str" s="10">
        <ns0:v>0,125 Вт</ns0:v>
      </ns0:c>
      <ns0:c r="G542" t="str" s="10">
        <ns0:v>150 В макс.</ns0:v>
      </ns0:c>
      <ns0:c r="H542" t="str" s="12">
        <ns0:v>0805</ns0:v>
      </ns0:c>
      <ns0:c r="I542" t="str" s="10">
        <ns0:v>YAGEO</ns0:v>
      </ns0:c>
      <ns0:c r="J542" t="str" s="10">
        <ns0:v>RC0805FR-0720KL</ns0:v>
      </ns0:c>
      <ns0:c r="K542" t="str" s="11">
        <ns0:f>B542&amp;" "&amp;D542&amp;" "&amp;E542&amp;" "&amp;H542</ns0:f>
        <ns0:v>Резистор 20 кОм ±1% 0805</ns0:v>
      </ns0:c>
      <ns0:c r="L542" t="str" s="13">
        <ns0:v>R</ns0:v>
      </ns0:c>
      <ns0:c r="M542" t="str" s="13">
        <ns0:v>Symbols\MY_LIB_Resistors.SchLib</ns0:v>
      </ns0:c>
      <ns0:c r="N542" t="str" s="13">
        <ns0:v>RESC2012X70N</ns0:v>
      </ns0:c>
      <ns0:c r="O542" t="str" s="13">
        <ns0:v>Footprints\PBL - SMD Packages.PcbLib</ns0:v>
      </ns0:c>
      <ns0:c r="P542" t="str" s="10">
        <ns0:v>RC_L; E24; P при 70 °C; U ≤ min(√(P·R), Umax)</ns0:v>
      </ns0:c>
      <ns0:c r="Q542" s="10"/>
      <ns0:c r="R542" t="str" s="11">
        <ns0:f>D542</ns0:f>
        <ns0:v>20 кОм</ns0:v>
      </ns0:c>
      <ns0:c r="S542" t="str" s="11">
        <ns0:f>K542</ns0:f>
        <ns0:v>Резистор 20 кОм ±1% 0805</ns0:v>
      </ns0:c>
      <x:c xmlns:x="http://schemas.openxmlformats.org/spreadsheetml/2006/main" r="T542" t="str" s="11">
        <x:v>C:\Users\Nomatin\Documents\Altium\MY_LIB\MY_LIB\Datasheets\YAGEO_RC_L.pdf</x:v>
      </x:c>
      <x:c xmlns:x="http://schemas.openxmlformats.org/spreadsheetml/2006/main" r="U542" t="str" s="11">
        <x:v>Даташит — локальный</x:v>
      </x:c>
      <x:c xmlns:x="http://schemas.openxmlformats.org/spreadsheetml/2006/main" r="V542" t="str" s="11">
        <x:v>C:\Users\Nomatin\Documents\Altium\MY_LIB\MY_LIB\Datasheets\YAGEO_RC_L.pdf</x:v>
      </x:c>
      <x:c xmlns:x="http://schemas.openxmlformats.org/spreadsheetml/2006/main" r="W542" t="str" s="11">
        <x:v>Даташит — производитель</x:v>
      </x:c>
      <x:c xmlns:x="http://schemas.openxmlformats.org/spreadsheetml/2006/main" r="X542" t="str" s="11">
        <x:v>https://yageogroup.com/content/datasheet/asset/file/PYU-RC_GROUP_51_ROHS_L</x:v>
      </x:c>
      <x:c xmlns:x="http://schemas.openxmlformats.org/spreadsheetml/2006/main" r="Y542" t="str" s="11">
        <x:v>C:\Users\Nomatin\Documents\Altium\MY_LIB\MY_LIB\Datasheets\YAGEO_RC_L.pdf</x:v>
      </x:c>
    </ns0:row>
    <ns0:row xmlns:ns0="http://schemas.openxmlformats.org/spreadsheetml/2006/main" r="543" ht="30" customHeight="1">
      <ns0:c r="A543" t="str" s="10">
        <ns0:v>R0549</ns0:v>
      </ns0:c>
      <ns0:c r="B543" t="str" s="10">
        <ns0:v>Резистор</ns0:v>
      </ns0:c>
      <ns0:c r="C543" t="str" s="10">
        <ns0:v>22k</ns0:v>
      </ns0:c>
      <ns0:c r="D543" t="str" s="11">
        <ns0:f>SUBSTITUTE(SUBSTITUTE(SUBSTITUTE(SUBSTITUTE(C543,"meg"," МОм"),"k"," кОм"),"R"," Ом"),".",",")</ns0:f>
        <ns0:v>22 кОм</ns0:v>
      </ns0:c>
      <ns0:c r="E543" t="str" s="10">
        <ns0:v>±1%</ns0:v>
      </ns0:c>
      <ns0:c r="F543" t="str" s="10">
        <ns0:v>0,125 Вт</ns0:v>
      </ns0:c>
      <ns0:c r="G543" t="str" s="10">
        <ns0:v>150 В макс.</ns0:v>
      </ns0:c>
      <ns0:c r="H543" t="str" s="12">
        <ns0:v>0805</ns0:v>
      </ns0:c>
      <ns0:c r="I543" t="str" s="10">
        <ns0:v>YAGEO</ns0:v>
      </ns0:c>
      <ns0:c r="J543" t="str" s="10">
        <ns0:v>RC0805FR-0722KL</ns0:v>
      </ns0:c>
      <ns0:c r="K543" t="str" s="11">
        <ns0:f>B543&amp;" "&amp;D543&amp;" "&amp;E543&amp;" "&amp;H543</ns0:f>
        <ns0:v>Резистор 22 кОм ±1% 0805</ns0:v>
      </ns0:c>
      <ns0:c r="L543" t="str" s="13">
        <ns0:v>R</ns0:v>
      </ns0:c>
      <ns0:c r="M543" t="str" s="13">
        <ns0:v>Symbols\MY_LIB_Resistors.SchLib</ns0:v>
      </ns0:c>
      <ns0:c r="N543" t="str" s="13">
        <ns0:v>RESC2012X70N</ns0:v>
      </ns0:c>
      <ns0:c r="O543" t="str" s="13">
        <ns0:v>Footprints\PBL - SMD Packages.PcbLib</ns0:v>
      </ns0:c>
      <ns0:c r="P543" t="str" s="10">
        <ns0:v>RC_L; E24; P при 70 °C; U ≤ min(√(P·R), Umax)</ns0:v>
      </ns0:c>
      <ns0:c r="Q543" s="10"/>
      <ns0:c r="R543" t="str" s="11">
        <ns0:f>D543</ns0:f>
        <ns0:v>22 кОм</ns0:v>
      </ns0:c>
      <ns0:c r="S543" t="str" s="11">
        <ns0:f>K543</ns0:f>
        <ns0:v>Резистор 22 кОм ±1% 0805</ns0:v>
      </ns0:c>
      <x:c xmlns:x="http://schemas.openxmlformats.org/spreadsheetml/2006/main" r="T543" t="str" s="11">
        <x:v>C:\Users\Nomatin\Documents\Altium\MY_LIB\MY_LIB\Datasheets\YAGEO_RC_L.pdf</x:v>
      </x:c>
      <x:c xmlns:x="http://schemas.openxmlformats.org/spreadsheetml/2006/main" r="U543" t="str" s="11">
        <x:v>Даташит — локальный</x:v>
      </x:c>
      <x:c xmlns:x="http://schemas.openxmlformats.org/spreadsheetml/2006/main" r="V543" t="str" s="11">
        <x:v>C:\Users\Nomatin\Documents\Altium\MY_LIB\MY_LIB\Datasheets\YAGEO_RC_L.pdf</x:v>
      </x:c>
      <x:c xmlns:x="http://schemas.openxmlformats.org/spreadsheetml/2006/main" r="W543" t="str" s="11">
        <x:v>Даташит — производитель</x:v>
      </x:c>
      <x:c xmlns:x="http://schemas.openxmlformats.org/spreadsheetml/2006/main" r="X543" t="str" s="11">
        <x:v>https://yageogroup.com/content/datasheet/asset/file/PYU-RC_GROUP_51_ROHS_L</x:v>
      </x:c>
      <x:c xmlns:x="http://schemas.openxmlformats.org/spreadsheetml/2006/main" r="Y543" t="str" s="11">
        <x:v>C:\Users\Nomatin\Documents\Altium\MY_LIB\MY_LIB\Datasheets\YAGEO_RC_L.pdf</x:v>
      </x:c>
    </ns0:row>
    <ns0:row xmlns:ns0="http://schemas.openxmlformats.org/spreadsheetml/2006/main" r="544" ht="30" customHeight="1">
      <ns0:c r="A544" t="str" s="10">
        <ns0:v>R0550</ns0:v>
      </ns0:c>
      <ns0:c r="B544" t="str" s="10">
        <ns0:v>Резистор</ns0:v>
      </ns0:c>
      <ns0:c r="C544" t="str" s="10">
        <ns0:v>24k</ns0:v>
      </ns0:c>
      <ns0:c r="D544" t="str" s="11">
        <ns0:f>SUBSTITUTE(SUBSTITUTE(SUBSTITUTE(SUBSTITUTE(C544,"meg"," МОм"),"k"," кОм"),"R"," Ом"),".",",")</ns0:f>
        <ns0:v>24 кОм</ns0:v>
      </ns0:c>
      <ns0:c r="E544" t="str" s="10">
        <ns0:v>±1%</ns0:v>
      </ns0:c>
      <ns0:c r="F544" t="str" s="10">
        <ns0:v>0,125 Вт</ns0:v>
      </ns0:c>
      <ns0:c r="G544" t="str" s="10">
        <ns0:v>150 В макс.</ns0:v>
      </ns0:c>
      <ns0:c r="H544" t="str" s="12">
        <ns0:v>0805</ns0:v>
      </ns0:c>
      <ns0:c r="I544" t="str" s="10">
        <ns0:v>YAGEO</ns0:v>
      </ns0:c>
      <ns0:c r="J544" t="str" s="10">
        <ns0:v>RC0805FR-0724KL</ns0:v>
      </ns0:c>
      <ns0:c r="K544" t="str" s="11">
        <ns0:f>B544&amp;" "&amp;D544&amp;" "&amp;E544&amp;" "&amp;H544</ns0:f>
        <ns0:v>Резистор 24 кОм ±1% 0805</ns0:v>
      </ns0:c>
      <ns0:c r="L544" t="str" s="13">
        <ns0:v>R</ns0:v>
      </ns0:c>
      <ns0:c r="M544" t="str" s="13">
        <ns0:v>Symbols\MY_LIB_Resistors.SchLib</ns0:v>
      </ns0:c>
      <ns0:c r="N544" t="str" s="13">
        <ns0:v>RESC2012X70N</ns0:v>
      </ns0:c>
      <ns0:c r="O544" t="str" s="13">
        <ns0:v>Footprints\PBL - SMD Packages.PcbLib</ns0:v>
      </ns0:c>
      <ns0:c r="P544" t="str" s="10">
        <ns0:v>RC_L; E24; P при 70 °C; U ≤ min(√(P·R), Umax)</ns0:v>
      </ns0:c>
      <ns0:c r="Q544" s="10"/>
      <ns0:c r="R544" t="str" s="11">
        <ns0:f>D544</ns0:f>
        <ns0:v>24 кОм</ns0:v>
      </ns0:c>
      <ns0:c r="S544" t="str" s="11">
        <ns0:f>K544</ns0:f>
        <ns0:v>Резистор 24 кОм ±1% 0805</ns0:v>
      </ns0:c>
      <x:c xmlns:x="http://schemas.openxmlformats.org/spreadsheetml/2006/main" r="T544" t="str" s="11">
        <x:v>C:\Users\Nomatin\Documents\Altium\MY_LIB\MY_LIB\Datasheets\YAGEO_RC_L.pdf</x:v>
      </x:c>
      <x:c xmlns:x="http://schemas.openxmlformats.org/spreadsheetml/2006/main" r="U544" t="str" s="11">
        <x:v>Даташит — локальный</x:v>
      </x:c>
      <x:c xmlns:x="http://schemas.openxmlformats.org/spreadsheetml/2006/main" r="V544" t="str" s="11">
        <x:v>C:\Users\Nomatin\Documents\Altium\MY_LIB\MY_LIB\Datasheets\YAGEO_RC_L.pdf</x:v>
      </x:c>
      <x:c xmlns:x="http://schemas.openxmlformats.org/spreadsheetml/2006/main" r="W544" t="str" s="11">
        <x:v>Даташит — производитель</x:v>
      </x:c>
      <x:c xmlns:x="http://schemas.openxmlformats.org/spreadsheetml/2006/main" r="X544" t="str" s="11">
        <x:v>https://yageogroup.com/content/datasheet/asset/file/PYU-RC_GROUP_51_ROHS_L</x:v>
      </x:c>
      <x:c xmlns:x="http://schemas.openxmlformats.org/spreadsheetml/2006/main" r="Y544" t="str" s="11">
        <x:v>C:\Users\Nomatin\Documents\Altium\MY_LIB\MY_LIB\Datasheets\YAGEO_RC_L.pdf</x:v>
      </x:c>
    </ns0:row>
    <ns0:row xmlns:ns0="http://schemas.openxmlformats.org/spreadsheetml/2006/main" r="545" ht="30" customHeight="1">
      <ns0:c r="A545" t="str" s="10">
        <ns0:v>R0551</ns0:v>
      </ns0:c>
      <ns0:c r="B545" t="str" s="10">
        <ns0:v>Резистор</ns0:v>
      </ns0:c>
      <ns0:c r="C545" t="str" s="10">
        <ns0:v>27k</ns0:v>
      </ns0:c>
      <ns0:c r="D545" t="str" s="11">
        <ns0:f>SUBSTITUTE(SUBSTITUTE(SUBSTITUTE(SUBSTITUTE(C545,"meg"," МОм"),"k"," кОм"),"R"," Ом"),".",",")</ns0:f>
        <ns0:v>27 кОм</ns0:v>
      </ns0:c>
      <ns0:c r="E545" t="str" s="10">
        <ns0:v>±1%</ns0:v>
      </ns0:c>
      <ns0:c r="F545" t="str" s="10">
        <ns0:v>0,125 Вт</ns0:v>
      </ns0:c>
      <ns0:c r="G545" t="str" s="10">
        <ns0:v>150 В макс.</ns0:v>
      </ns0:c>
      <ns0:c r="H545" t="str" s="12">
        <ns0:v>0805</ns0:v>
      </ns0:c>
      <ns0:c r="I545" t="str" s="10">
        <ns0:v>YAGEO</ns0:v>
      </ns0:c>
      <ns0:c r="J545" t="str" s="10">
        <ns0:v>RC0805FR-0727KL</ns0:v>
      </ns0:c>
      <ns0:c r="K545" t="str" s="11">
        <ns0:f>B545&amp;" "&amp;D545&amp;" "&amp;E545&amp;" "&amp;H545</ns0:f>
        <ns0:v>Резистор 27 кОм ±1% 0805</ns0:v>
      </ns0:c>
      <ns0:c r="L545" t="str" s="13">
        <ns0:v>R</ns0:v>
      </ns0:c>
      <ns0:c r="M545" t="str" s="13">
        <ns0:v>Symbols\MY_LIB_Resistors.SchLib</ns0:v>
      </ns0:c>
      <ns0:c r="N545" t="str" s="13">
        <ns0:v>RESC2012X70N</ns0:v>
      </ns0:c>
      <ns0:c r="O545" t="str" s="13">
        <ns0:v>Footprints\PBL - SMD Packages.PcbLib</ns0:v>
      </ns0:c>
      <ns0:c r="P545" t="str" s="10">
        <ns0:v>RC_L; E24; P при 70 °C; U ≤ min(√(P·R), Umax)</ns0:v>
      </ns0:c>
      <ns0:c r="Q545" s="10"/>
      <ns0:c r="R545" t="str" s="11">
        <ns0:f>D545</ns0:f>
        <ns0:v>27 кОм</ns0:v>
      </ns0:c>
      <ns0:c r="S545" t="str" s="11">
        <ns0:f>K545</ns0:f>
        <ns0:v>Резистор 27 кОм ±1% 0805</ns0:v>
      </ns0:c>
      <x:c xmlns:x="http://schemas.openxmlformats.org/spreadsheetml/2006/main" r="T545" t="str" s="11">
        <x:v>C:\Users\Nomatin\Documents\Altium\MY_LIB\MY_LIB\Datasheets\YAGEO_RC_L.pdf</x:v>
      </x:c>
      <x:c xmlns:x="http://schemas.openxmlformats.org/spreadsheetml/2006/main" r="U545" t="str" s="11">
        <x:v>Даташит — локальный</x:v>
      </x:c>
      <x:c xmlns:x="http://schemas.openxmlformats.org/spreadsheetml/2006/main" r="V545" t="str" s="11">
        <x:v>C:\Users\Nomatin\Documents\Altium\MY_LIB\MY_LIB\Datasheets\YAGEO_RC_L.pdf</x:v>
      </x:c>
      <x:c xmlns:x="http://schemas.openxmlformats.org/spreadsheetml/2006/main" r="W545" t="str" s="11">
        <x:v>Даташит — производитель</x:v>
      </x:c>
      <x:c xmlns:x="http://schemas.openxmlformats.org/spreadsheetml/2006/main" r="X545" t="str" s="11">
        <x:v>https://yageogroup.com/content/datasheet/asset/file/PYU-RC_GROUP_51_ROHS_L</x:v>
      </x:c>
      <x:c xmlns:x="http://schemas.openxmlformats.org/spreadsheetml/2006/main" r="Y545" t="str" s="11">
        <x:v>C:\Users\Nomatin\Documents\Altium\MY_LIB\MY_LIB\Datasheets\YAGEO_RC_L.pdf</x:v>
      </x:c>
    </ns0:row>
    <ns0:row xmlns:ns0="http://schemas.openxmlformats.org/spreadsheetml/2006/main" r="546" ht="30" customHeight="1">
      <ns0:c r="A546" t="str" s="10">
        <ns0:v>R0552</ns0:v>
      </ns0:c>
      <ns0:c r="B546" t="str" s="10">
        <ns0:v>Резистор</ns0:v>
      </ns0:c>
      <ns0:c r="C546" t="str" s="10">
        <ns0:v>30k</ns0:v>
      </ns0:c>
      <ns0:c r="D546" t="str" s="11">
        <ns0:f>SUBSTITUTE(SUBSTITUTE(SUBSTITUTE(SUBSTITUTE(C546,"meg"," МОм"),"k"," кОм"),"R"," Ом"),".",",")</ns0:f>
        <ns0:v>30 кОм</ns0:v>
      </ns0:c>
      <ns0:c r="E546" t="str" s="10">
        <ns0:v>±1%</ns0:v>
      </ns0:c>
      <ns0:c r="F546" t="str" s="10">
        <ns0:v>0,125 Вт</ns0:v>
      </ns0:c>
      <ns0:c r="G546" t="str" s="10">
        <ns0:v>150 В макс.</ns0:v>
      </ns0:c>
      <ns0:c r="H546" t="str" s="12">
        <ns0:v>0805</ns0:v>
      </ns0:c>
      <ns0:c r="I546" t="str" s="10">
        <ns0:v>YAGEO</ns0:v>
      </ns0:c>
      <ns0:c r="J546" t="str" s="10">
        <ns0:v>RC0805FR-0730KL</ns0:v>
      </ns0:c>
      <ns0:c r="K546" t="str" s="11">
        <ns0:f>B546&amp;" "&amp;D546&amp;" "&amp;E546&amp;" "&amp;H546</ns0:f>
        <ns0:v>Резистор 30 кОм ±1% 0805</ns0:v>
      </ns0:c>
      <ns0:c r="L546" t="str" s="13">
        <ns0:v>R</ns0:v>
      </ns0:c>
      <ns0:c r="M546" t="str" s="13">
        <ns0:v>Symbols\MY_LIB_Resistors.SchLib</ns0:v>
      </ns0:c>
      <ns0:c r="N546" t="str" s="13">
        <ns0:v>RESC2012X70N</ns0:v>
      </ns0:c>
      <ns0:c r="O546" t="str" s="13">
        <ns0:v>Footprints\PBL - SMD Packages.PcbLib</ns0:v>
      </ns0:c>
      <ns0:c r="P546" t="str" s="10">
        <ns0:v>RC_L; E24; P при 70 °C; U ≤ min(√(P·R), Umax)</ns0:v>
      </ns0:c>
      <ns0:c r="Q546" s="10"/>
      <ns0:c r="R546" t="str" s="11">
        <ns0:f>D546</ns0:f>
        <ns0:v>30 кОм</ns0:v>
      </ns0:c>
      <ns0:c r="S546" t="str" s="11">
        <ns0:f>K546</ns0:f>
        <ns0:v>Резистор 30 кОм ±1% 0805</ns0:v>
      </ns0:c>
      <x:c xmlns:x="http://schemas.openxmlformats.org/spreadsheetml/2006/main" r="T546" t="str" s="11">
        <x:v>C:\Users\Nomatin\Documents\Altium\MY_LIB\MY_LIB\Datasheets\YAGEO_RC_L.pdf</x:v>
      </x:c>
      <x:c xmlns:x="http://schemas.openxmlformats.org/spreadsheetml/2006/main" r="U546" t="str" s="11">
        <x:v>Даташит — локальный</x:v>
      </x:c>
      <x:c xmlns:x="http://schemas.openxmlformats.org/spreadsheetml/2006/main" r="V546" t="str" s="11">
        <x:v>C:\Users\Nomatin\Documents\Altium\MY_LIB\MY_LIB\Datasheets\YAGEO_RC_L.pdf</x:v>
      </x:c>
      <x:c xmlns:x="http://schemas.openxmlformats.org/spreadsheetml/2006/main" r="W546" t="str" s="11">
        <x:v>Даташит — производитель</x:v>
      </x:c>
      <x:c xmlns:x="http://schemas.openxmlformats.org/spreadsheetml/2006/main" r="X546" t="str" s="11">
        <x:v>https://yageogroup.com/content/datasheet/asset/file/PYU-RC_GROUP_51_ROHS_L</x:v>
      </x:c>
      <x:c xmlns:x="http://schemas.openxmlformats.org/spreadsheetml/2006/main" r="Y546" t="str" s="11">
        <x:v>C:\Users\Nomatin\Documents\Altium\MY_LIB\MY_LIB\Datasheets\YAGEO_RC_L.pdf</x:v>
      </x:c>
    </ns0:row>
    <ns0:row xmlns:ns0="http://schemas.openxmlformats.org/spreadsheetml/2006/main" r="547" ht="30" customHeight="1">
      <ns0:c r="A547" t="str" s="10">
        <ns0:v>R0553</ns0:v>
      </ns0:c>
      <ns0:c r="B547" t="str" s="10">
        <ns0:v>Резистор</ns0:v>
      </ns0:c>
      <ns0:c r="C547" t="str" s="10">
        <ns0:v>33k</ns0:v>
      </ns0:c>
      <ns0:c r="D547" t="str" s="11">
        <ns0:f>SUBSTITUTE(SUBSTITUTE(SUBSTITUTE(SUBSTITUTE(C547,"meg"," МОм"),"k"," кОм"),"R"," Ом"),".",",")</ns0:f>
        <ns0:v>33 кОм</ns0:v>
      </ns0:c>
      <ns0:c r="E547" t="str" s="10">
        <ns0:v>±1%</ns0:v>
      </ns0:c>
      <ns0:c r="F547" t="str" s="10">
        <ns0:v>0,125 Вт</ns0:v>
      </ns0:c>
      <ns0:c r="G547" t="str" s="10">
        <ns0:v>150 В макс.</ns0:v>
      </ns0:c>
      <ns0:c r="H547" t="str" s="12">
        <ns0:v>0805</ns0:v>
      </ns0:c>
      <ns0:c r="I547" t="str" s="10">
        <ns0:v>YAGEO</ns0:v>
      </ns0:c>
      <ns0:c r="J547" t="str" s="10">
        <ns0:v>RC0805FR-0733KL</ns0:v>
      </ns0:c>
      <ns0:c r="K547" t="str" s="11">
        <ns0:f>B547&amp;" "&amp;D547&amp;" "&amp;E547&amp;" "&amp;H547</ns0:f>
        <ns0:v>Резистор 33 кОм ±1% 0805</ns0:v>
      </ns0:c>
      <ns0:c r="L547" t="str" s="13">
        <ns0:v>R</ns0:v>
      </ns0:c>
      <ns0:c r="M547" t="str" s="13">
        <ns0:v>Symbols\MY_LIB_Resistors.SchLib</ns0:v>
      </ns0:c>
      <ns0:c r="N547" t="str" s="13">
        <ns0:v>RESC2012X70N</ns0:v>
      </ns0:c>
      <ns0:c r="O547" t="str" s="13">
        <ns0:v>Footprints\PBL - SMD Packages.PcbLib</ns0:v>
      </ns0:c>
      <ns0:c r="P547" t="str" s="10">
        <ns0:v>RC_L; E24; P при 70 °C; U ≤ min(√(P·R), Umax)</ns0:v>
      </ns0:c>
      <ns0:c r="Q547" s="10"/>
      <ns0:c r="R547" t="str" s="11">
        <ns0:f>D547</ns0:f>
        <ns0:v>33 кОм</ns0:v>
      </ns0:c>
      <ns0:c r="S547" t="str" s="11">
        <ns0:f>K547</ns0:f>
        <ns0:v>Резистор 33 кОм ±1% 0805</ns0:v>
      </ns0:c>
      <x:c xmlns:x="http://schemas.openxmlformats.org/spreadsheetml/2006/main" r="T547" t="str" s="11">
        <x:v>C:\Users\Nomatin\Documents\Altium\MY_LIB\MY_LIB\Datasheets\YAGEO_RC_L.pdf</x:v>
      </x:c>
      <x:c xmlns:x="http://schemas.openxmlformats.org/spreadsheetml/2006/main" r="U547" t="str" s="11">
        <x:v>Даташит — локальный</x:v>
      </x:c>
      <x:c xmlns:x="http://schemas.openxmlformats.org/spreadsheetml/2006/main" r="V547" t="str" s="11">
        <x:v>C:\Users\Nomatin\Documents\Altium\MY_LIB\MY_LIB\Datasheets\YAGEO_RC_L.pdf</x:v>
      </x:c>
      <x:c xmlns:x="http://schemas.openxmlformats.org/spreadsheetml/2006/main" r="W547" t="str" s="11">
        <x:v>Даташит — производитель</x:v>
      </x:c>
      <x:c xmlns:x="http://schemas.openxmlformats.org/spreadsheetml/2006/main" r="X547" t="str" s="11">
        <x:v>https://yageogroup.com/content/datasheet/asset/file/PYU-RC_GROUP_51_ROHS_L</x:v>
      </x:c>
      <x:c xmlns:x="http://schemas.openxmlformats.org/spreadsheetml/2006/main" r="Y547" t="str" s="11">
        <x:v>C:\Users\Nomatin\Documents\Altium\MY_LIB\MY_LIB\Datasheets\YAGEO_RC_L.pdf</x:v>
      </x:c>
    </ns0:row>
    <ns0:row xmlns:ns0="http://schemas.openxmlformats.org/spreadsheetml/2006/main" r="548" ht="30" customHeight="1">
      <ns0:c r="A548" t="str" s="10">
        <ns0:v>R0554</ns0:v>
      </ns0:c>
      <ns0:c r="B548" t="str" s="10">
        <ns0:v>Резистор</ns0:v>
      </ns0:c>
      <ns0:c r="C548" t="str" s="10">
        <ns0:v>36k</ns0:v>
      </ns0:c>
      <ns0:c r="D548" t="str" s="11">
        <ns0:f>SUBSTITUTE(SUBSTITUTE(SUBSTITUTE(SUBSTITUTE(C548,"meg"," МОм"),"k"," кОм"),"R"," Ом"),".",",")</ns0:f>
        <ns0:v>36 кОм</ns0:v>
      </ns0:c>
      <ns0:c r="E548" t="str" s="10">
        <ns0:v>±1%</ns0:v>
      </ns0:c>
      <ns0:c r="F548" t="str" s="10">
        <ns0:v>0,125 Вт</ns0:v>
      </ns0:c>
      <ns0:c r="G548" t="str" s="10">
        <ns0:v>150 В макс.</ns0:v>
      </ns0:c>
      <ns0:c r="H548" t="str" s="12">
        <ns0:v>0805</ns0:v>
      </ns0:c>
      <ns0:c r="I548" t="str" s="10">
        <ns0:v>YAGEO</ns0:v>
      </ns0:c>
      <ns0:c r="J548" t="str" s="10">
        <ns0:v>RC0805FR-0736KL</ns0:v>
      </ns0:c>
      <ns0:c r="K548" t="str" s="11">
        <ns0:f>B548&amp;" "&amp;D548&amp;" "&amp;E548&amp;" "&amp;H548</ns0:f>
        <ns0:v>Резистор 36 кОм ±1% 0805</ns0:v>
      </ns0:c>
      <ns0:c r="L548" t="str" s="13">
        <ns0:v>R</ns0:v>
      </ns0:c>
      <ns0:c r="M548" t="str" s="13">
        <ns0:v>Symbols\MY_LIB_Resistors.SchLib</ns0:v>
      </ns0:c>
      <ns0:c r="N548" t="str" s="13">
        <ns0:v>RESC2012X70N</ns0:v>
      </ns0:c>
      <ns0:c r="O548" t="str" s="13">
        <ns0:v>Footprints\PBL - SMD Packages.PcbLib</ns0:v>
      </ns0:c>
      <ns0:c r="P548" t="str" s="10">
        <ns0:v>RC_L; E24; P при 70 °C; U ≤ min(√(P·R), Umax)</ns0:v>
      </ns0:c>
      <ns0:c r="Q548" s="10"/>
      <ns0:c r="R548" t="str" s="11">
        <ns0:f>D548</ns0:f>
        <ns0:v>36 кОм</ns0:v>
      </ns0:c>
      <ns0:c r="S548" t="str" s="11">
        <ns0:f>K548</ns0:f>
        <ns0:v>Резистор 36 кОм ±1% 0805</ns0:v>
      </ns0:c>
      <x:c xmlns:x="http://schemas.openxmlformats.org/spreadsheetml/2006/main" r="T548" t="str" s="11">
        <x:v>C:\Users\Nomatin\Documents\Altium\MY_LIB\MY_LIB\Datasheets\YAGEO_RC_L.pdf</x:v>
      </x:c>
      <x:c xmlns:x="http://schemas.openxmlformats.org/spreadsheetml/2006/main" r="U548" t="str" s="11">
        <x:v>Даташит — локальный</x:v>
      </x:c>
      <x:c xmlns:x="http://schemas.openxmlformats.org/spreadsheetml/2006/main" r="V548" t="str" s="11">
        <x:v>C:\Users\Nomatin\Documents\Altium\MY_LIB\MY_LIB\Datasheets\YAGEO_RC_L.pdf</x:v>
      </x:c>
      <x:c xmlns:x="http://schemas.openxmlformats.org/spreadsheetml/2006/main" r="W548" t="str" s="11">
        <x:v>Даташит — производитель</x:v>
      </x:c>
      <x:c xmlns:x="http://schemas.openxmlformats.org/spreadsheetml/2006/main" r="X548" t="str" s="11">
        <x:v>https://yageogroup.com/content/datasheet/asset/file/PYU-RC_GROUP_51_ROHS_L</x:v>
      </x:c>
      <x:c xmlns:x="http://schemas.openxmlformats.org/spreadsheetml/2006/main" r="Y548" t="str" s="11">
        <x:v>C:\Users\Nomatin\Documents\Altium\MY_LIB\MY_LIB\Datasheets\YAGEO_RC_L.pdf</x:v>
      </x:c>
    </ns0:row>
    <ns0:row xmlns:ns0="http://schemas.openxmlformats.org/spreadsheetml/2006/main" r="549" ht="30" customHeight="1">
      <ns0:c r="A549" t="str" s="10">
        <ns0:v>R0555</ns0:v>
      </ns0:c>
      <ns0:c r="B549" t="str" s="10">
        <ns0:v>Резистор</ns0:v>
      </ns0:c>
      <ns0:c r="C549" t="str" s="10">
        <ns0:v>39k</ns0:v>
      </ns0:c>
      <ns0:c r="D549" t="str" s="11">
        <ns0:f>SUBSTITUTE(SUBSTITUTE(SUBSTITUTE(SUBSTITUTE(C549,"meg"," МОм"),"k"," кОм"),"R"," Ом"),".",",")</ns0:f>
        <ns0:v>39 кОм</ns0:v>
      </ns0:c>
      <ns0:c r="E549" t="str" s="10">
        <ns0:v>±1%</ns0:v>
      </ns0:c>
      <ns0:c r="F549" t="str" s="10">
        <ns0:v>0,125 Вт</ns0:v>
      </ns0:c>
      <ns0:c r="G549" t="str" s="10">
        <ns0:v>150 В макс.</ns0:v>
      </ns0:c>
      <ns0:c r="H549" t="str" s="12">
        <ns0:v>0805</ns0:v>
      </ns0:c>
      <ns0:c r="I549" t="str" s="10">
        <ns0:v>YAGEO</ns0:v>
      </ns0:c>
      <ns0:c r="J549" t="str" s="10">
        <ns0:v>RC0805FR-0739KL</ns0:v>
      </ns0:c>
      <ns0:c r="K549" t="str" s="11">
        <ns0:f>B549&amp;" "&amp;D549&amp;" "&amp;E549&amp;" "&amp;H549</ns0:f>
        <ns0:v>Резистор 39 кОм ±1% 0805</ns0:v>
      </ns0:c>
      <ns0:c r="L549" t="str" s="13">
        <ns0:v>R</ns0:v>
      </ns0:c>
      <ns0:c r="M549" t="str" s="13">
        <ns0:v>Symbols\MY_LIB_Resistors.SchLib</ns0:v>
      </ns0:c>
      <ns0:c r="N549" t="str" s="13">
        <ns0:v>RESC2012X70N</ns0:v>
      </ns0:c>
      <ns0:c r="O549" t="str" s="13">
        <ns0:v>Footprints\PBL - SMD Packages.PcbLib</ns0:v>
      </ns0:c>
      <ns0:c r="P549" t="str" s="10">
        <ns0:v>RC_L; E24; P при 70 °C; U ≤ min(√(P·R), Umax)</ns0:v>
      </ns0:c>
      <ns0:c r="Q549" s="10"/>
      <ns0:c r="R549" t="str" s="11">
        <ns0:f>D549</ns0:f>
        <ns0:v>39 кОм</ns0:v>
      </ns0:c>
      <ns0:c r="S549" t="str" s="11">
        <ns0:f>K549</ns0:f>
        <ns0:v>Резистор 39 кОм ±1% 0805</ns0:v>
      </ns0:c>
      <x:c xmlns:x="http://schemas.openxmlformats.org/spreadsheetml/2006/main" r="T549" t="str" s="11">
        <x:v>C:\Users\Nomatin\Documents\Altium\MY_LIB\MY_LIB\Datasheets\YAGEO_RC_L.pdf</x:v>
      </x:c>
      <x:c xmlns:x="http://schemas.openxmlformats.org/spreadsheetml/2006/main" r="U549" t="str" s="11">
        <x:v>Даташит — локальный</x:v>
      </x:c>
      <x:c xmlns:x="http://schemas.openxmlformats.org/spreadsheetml/2006/main" r="V549" t="str" s="11">
        <x:v>C:\Users\Nomatin\Documents\Altium\MY_LIB\MY_LIB\Datasheets\YAGEO_RC_L.pdf</x:v>
      </x:c>
      <x:c xmlns:x="http://schemas.openxmlformats.org/spreadsheetml/2006/main" r="W549" t="str" s="11">
        <x:v>Даташит — производитель</x:v>
      </x:c>
      <x:c xmlns:x="http://schemas.openxmlformats.org/spreadsheetml/2006/main" r="X549" t="str" s="11">
        <x:v>https://yageogroup.com/content/datasheet/asset/file/PYU-RC_GROUP_51_ROHS_L</x:v>
      </x:c>
      <x:c xmlns:x="http://schemas.openxmlformats.org/spreadsheetml/2006/main" r="Y549" t="str" s="11">
        <x:v>C:\Users\Nomatin\Documents\Altium\MY_LIB\MY_LIB\Datasheets\YAGEO_RC_L.pdf</x:v>
      </x:c>
    </ns0:row>
    <ns0:row xmlns:ns0="http://schemas.openxmlformats.org/spreadsheetml/2006/main" r="550" ht="30" customHeight="1">
      <ns0:c r="A550" t="str" s="10">
        <ns0:v>R0556</ns0:v>
      </ns0:c>
      <ns0:c r="B550" t="str" s="10">
        <ns0:v>Резистор</ns0:v>
      </ns0:c>
      <ns0:c r="C550" t="str" s="10">
        <ns0:v>43k</ns0:v>
      </ns0:c>
      <ns0:c r="D550" t="str" s="11">
        <ns0:f>SUBSTITUTE(SUBSTITUTE(SUBSTITUTE(SUBSTITUTE(C550,"meg"," МОм"),"k"," кОм"),"R"," Ом"),".",",")</ns0:f>
        <ns0:v>43 кОм</ns0:v>
      </ns0:c>
      <ns0:c r="E550" t="str" s="10">
        <ns0:v>±1%</ns0:v>
      </ns0:c>
      <ns0:c r="F550" t="str" s="10">
        <ns0:v>0,125 Вт</ns0:v>
      </ns0:c>
      <ns0:c r="G550" t="str" s="10">
        <ns0:v>150 В макс.</ns0:v>
      </ns0:c>
      <ns0:c r="H550" t="str" s="12">
        <ns0:v>0805</ns0:v>
      </ns0:c>
      <ns0:c r="I550" t="str" s="10">
        <ns0:v>YAGEO</ns0:v>
      </ns0:c>
      <ns0:c r="J550" t="str" s="10">
        <ns0:v>RC0805FR-0743KL</ns0:v>
      </ns0:c>
      <ns0:c r="K550" t="str" s="11">
        <ns0:f>B550&amp;" "&amp;D550&amp;" "&amp;E550&amp;" "&amp;H550</ns0:f>
        <ns0:v>Резистор 43 кОм ±1% 0805</ns0:v>
      </ns0:c>
      <ns0:c r="L550" t="str" s="13">
        <ns0:v>R</ns0:v>
      </ns0:c>
      <ns0:c r="M550" t="str" s="13">
        <ns0:v>Symbols\MY_LIB_Resistors.SchLib</ns0:v>
      </ns0:c>
      <ns0:c r="N550" t="str" s="13">
        <ns0:v>RESC2012X70N</ns0:v>
      </ns0:c>
      <ns0:c r="O550" t="str" s="13">
        <ns0:v>Footprints\PBL - SMD Packages.PcbLib</ns0:v>
      </ns0:c>
      <ns0:c r="P550" t="str" s="10">
        <ns0:v>RC_L; E24; P при 70 °C; U ≤ min(√(P·R), Umax)</ns0:v>
      </ns0:c>
      <ns0:c r="Q550" s="10"/>
      <ns0:c r="R550" t="str" s="11">
        <ns0:f>D550</ns0:f>
        <ns0:v>43 кОм</ns0:v>
      </ns0:c>
      <ns0:c r="S550" t="str" s="11">
        <ns0:f>K550</ns0:f>
        <ns0:v>Резистор 43 кОм ±1% 0805</ns0:v>
      </ns0:c>
      <x:c xmlns:x="http://schemas.openxmlformats.org/spreadsheetml/2006/main" r="T550" t="str" s="11">
        <x:v>C:\Users\Nomatin\Documents\Altium\MY_LIB\MY_LIB\Datasheets\YAGEO_RC_L.pdf</x:v>
      </x:c>
      <x:c xmlns:x="http://schemas.openxmlformats.org/spreadsheetml/2006/main" r="U550" t="str" s="11">
        <x:v>Даташит — локальный</x:v>
      </x:c>
      <x:c xmlns:x="http://schemas.openxmlformats.org/spreadsheetml/2006/main" r="V550" t="str" s="11">
        <x:v>C:\Users\Nomatin\Documents\Altium\MY_LIB\MY_LIB\Datasheets\YAGEO_RC_L.pdf</x:v>
      </x:c>
      <x:c xmlns:x="http://schemas.openxmlformats.org/spreadsheetml/2006/main" r="W550" t="str" s="11">
        <x:v>Даташит — производитель</x:v>
      </x:c>
      <x:c xmlns:x="http://schemas.openxmlformats.org/spreadsheetml/2006/main" r="X550" t="str" s="11">
        <x:v>https://yageogroup.com/content/datasheet/asset/file/PYU-RC_GROUP_51_ROHS_L</x:v>
      </x:c>
      <x:c xmlns:x="http://schemas.openxmlformats.org/spreadsheetml/2006/main" r="Y550" t="str" s="11">
        <x:v>C:\Users\Nomatin\Documents\Altium\MY_LIB\MY_LIB\Datasheets\YAGEO_RC_L.pdf</x:v>
      </x:c>
    </ns0:row>
    <ns0:row xmlns:ns0="http://schemas.openxmlformats.org/spreadsheetml/2006/main" r="551" ht="30" customHeight="1">
      <ns0:c r="A551" t="str" s="10">
        <ns0:v>R0557</ns0:v>
      </ns0:c>
      <ns0:c r="B551" t="str" s="10">
        <ns0:v>Резистор</ns0:v>
      </ns0:c>
      <ns0:c r="C551" t="str" s="10">
        <ns0:v>47k</ns0:v>
      </ns0:c>
      <ns0:c r="D551" t="str" s="11">
        <ns0:f>SUBSTITUTE(SUBSTITUTE(SUBSTITUTE(SUBSTITUTE(C551,"meg"," МОм"),"k"," кОм"),"R"," Ом"),".",",")</ns0:f>
        <ns0:v>47 кОм</ns0:v>
      </ns0:c>
      <ns0:c r="E551" t="str" s="10">
        <ns0:v>±1%</ns0:v>
      </ns0:c>
      <ns0:c r="F551" t="str" s="10">
        <ns0:v>0,125 Вт</ns0:v>
      </ns0:c>
      <ns0:c r="G551" t="str" s="10">
        <ns0:v>150 В макс.</ns0:v>
      </ns0:c>
      <ns0:c r="H551" t="str" s="12">
        <ns0:v>0805</ns0:v>
      </ns0:c>
      <ns0:c r="I551" t="str" s="10">
        <ns0:v>YAGEO</ns0:v>
      </ns0:c>
      <ns0:c r="J551" t="str" s="10">
        <ns0:v>RC0805FR-0747KL</ns0:v>
      </ns0:c>
      <ns0:c r="K551" t="str" s="11">
        <ns0:f>B551&amp;" "&amp;D551&amp;" "&amp;E551&amp;" "&amp;H551</ns0:f>
        <ns0:v>Резистор 47 кОм ±1% 0805</ns0:v>
      </ns0:c>
      <ns0:c r="L551" t="str" s="13">
        <ns0:v>R</ns0:v>
      </ns0:c>
      <ns0:c r="M551" t="str" s="13">
        <ns0:v>Symbols\MY_LIB_Resistors.SchLib</ns0:v>
      </ns0:c>
      <ns0:c r="N551" t="str" s="13">
        <ns0:v>RESC2012X70N</ns0:v>
      </ns0:c>
      <ns0:c r="O551" t="str" s="13">
        <ns0:v>Footprints\PBL - SMD Packages.PcbLib</ns0:v>
      </ns0:c>
      <ns0:c r="P551" t="str" s="10">
        <ns0:v>RC_L; E24; P при 70 °C; U ≤ min(√(P·R), Umax)</ns0:v>
      </ns0:c>
      <ns0:c r="Q551" s="10"/>
      <ns0:c r="R551" t="str" s="11">
        <ns0:f>D551</ns0:f>
        <ns0:v>47 кОм</ns0:v>
      </ns0:c>
      <ns0:c r="S551" t="str" s="11">
        <ns0:f>K551</ns0:f>
        <ns0:v>Резистор 47 кОм ±1% 0805</ns0:v>
      </ns0:c>
      <x:c xmlns:x="http://schemas.openxmlformats.org/spreadsheetml/2006/main" r="T551" t="str" s="11">
        <x:v>C:\Users\Nomatin\Documents\Altium\MY_LIB\MY_LIB\Datasheets\YAGEO_RC_L.pdf</x:v>
      </x:c>
      <x:c xmlns:x="http://schemas.openxmlformats.org/spreadsheetml/2006/main" r="U551" t="str" s="11">
        <x:v>Даташит — локальный</x:v>
      </x:c>
      <x:c xmlns:x="http://schemas.openxmlformats.org/spreadsheetml/2006/main" r="V551" t="str" s="11">
        <x:v>C:\Users\Nomatin\Documents\Altium\MY_LIB\MY_LIB\Datasheets\YAGEO_RC_L.pdf</x:v>
      </x:c>
      <x:c xmlns:x="http://schemas.openxmlformats.org/spreadsheetml/2006/main" r="W551" t="str" s="11">
        <x:v>Даташит — производитель</x:v>
      </x:c>
      <x:c xmlns:x="http://schemas.openxmlformats.org/spreadsheetml/2006/main" r="X551" t="str" s="11">
        <x:v>https://yageogroup.com/content/datasheet/asset/file/PYU-RC_GROUP_51_ROHS_L</x:v>
      </x:c>
      <x:c xmlns:x="http://schemas.openxmlformats.org/spreadsheetml/2006/main" r="Y551" t="str" s="11">
        <x:v>C:\Users\Nomatin\Documents\Altium\MY_LIB\MY_LIB\Datasheets\YAGEO_RC_L.pdf</x:v>
      </x:c>
    </ns0:row>
    <ns0:row xmlns:ns0="http://schemas.openxmlformats.org/spreadsheetml/2006/main" r="552" ht="30" customHeight="1">
      <ns0:c r="A552" t="str" s="10">
        <ns0:v>R0558</ns0:v>
      </ns0:c>
      <ns0:c r="B552" t="str" s="10">
        <ns0:v>Резистор</ns0:v>
      </ns0:c>
      <ns0:c r="C552" t="str" s="10">
        <ns0:v>51k</ns0:v>
      </ns0:c>
      <ns0:c r="D552" t="str" s="11">
        <ns0:f>SUBSTITUTE(SUBSTITUTE(SUBSTITUTE(SUBSTITUTE(C552,"meg"," МОм"),"k"," кОм"),"R"," Ом"),".",",")</ns0:f>
        <ns0:v>51 кОм</ns0:v>
      </ns0:c>
      <ns0:c r="E552" t="str" s="10">
        <ns0:v>±1%</ns0:v>
      </ns0:c>
      <ns0:c r="F552" t="str" s="10">
        <ns0:v>0,125 Вт</ns0:v>
      </ns0:c>
      <ns0:c r="G552" t="str" s="10">
        <ns0:v>150 В макс.</ns0:v>
      </ns0:c>
      <ns0:c r="H552" t="str" s="12">
        <ns0:v>0805</ns0:v>
      </ns0:c>
      <ns0:c r="I552" t="str" s="10">
        <ns0:v>YAGEO</ns0:v>
      </ns0:c>
      <ns0:c r="J552" t="str" s="10">
        <ns0:v>RC0805FR-0751KL</ns0:v>
      </ns0:c>
      <ns0:c r="K552" t="str" s="11">
        <ns0:f>B552&amp;" "&amp;D552&amp;" "&amp;E552&amp;" "&amp;H552</ns0:f>
        <ns0:v>Резистор 51 кОм ±1% 0805</ns0:v>
      </ns0:c>
      <ns0:c r="L552" t="str" s="13">
        <ns0:v>R</ns0:v>
      </ns0:c>
      <ns0:c r="M552" t="str" s="13">
        <ns0:v>Symbols\MY_LIB_Resistors.SchLib</ns0:v>
      </ns0:c>
      <ns0:c r="N552" t="str" s="13">
        <ns0:v>RESC2012X70N</ns0:v>
      </ns0:c>
      <ns0:c r="O552" t="str" s="13">
        <ns0:v>Footprints\PBL - SMD Packages.PcbLib</ns0:v>
      </ns0:c>
      <ns0:c r="P552" t="str" s="10">
        <ns0:v>RC_L; E24; P при 70 °C; U ≤ min(√(P·R), Umax)</ns0:v>
      </ns0:c>
      <ns0:c r="Q552" s="10"/>
      <ns0:c r="R552" t="str" s="11">
        <ns0:f>D552</ns0:f>
        <ns0:v>51 кОм</ns0:v>
      </ns0:c>
      <ns0:c r="S552" t="str" s="11">
        <ns0:f>K552</ns0:f>
        <ns0:v>Резистор 51 кОм ±1% 0805</ns0:v>
      </ns0:c>
      <x:c xmlns:x="http://schemas.openxmlformats.org/spreadsheetml/2006/main" r="T552" t="str" s="11">
        <x:v>C:\Users\Nomatin\Documents\Altium\MY_LIB\MY_LIB\Datasheets\YAGEO_RC_L.pdf</x:v>
      </x:c>
      <x:c xmlns:x="http://schemas.openxmlformats.org/spreadsheetml/2006/main" r="U552" t="str" s="11">
        <x:v>Даташит — локальный</x:v>
      </x:c>
      <x:c xmlns:x="http://schemas.openxmlformats.org/spreadsheetml/2006/main" r="V552" t="str" s="11">
        <x:v>C:\Users\Nomatin\Documents\Altium\MY_LIB\MY_LIB\Datasheets\YAGEO_RC_L.pdf</x:v>
      </x:c>
      <x:c xmlns:x="http://schemas.openxmlformats.org/spreadsheetml/2006/main" r="W552" t="str" s="11">
        <x:v>Даташит — производитель</x:v>
      </x:c>
      <x:c xmlns:x="http://schemas.openxmlformats.org/spreadsheetml/2006/main" r="X552" t="str" s="11">
        <x:v>https://yageogroup.com/content/datasheet/asset/file/PYU-RC_GROUP_51_ROHS_L</x:v>
      </x:c>
      <x:c xmlns:x="http://schemas.openxmlformats.org/spreadsheetml/2006/main" r="Y552" t="str" s="11">
        <x:v>C:\Users\Nomatin\Documents\Altium\MY_LIB\MY_LIB\Datasheets\YAGEO_RC_L.pdf</x:v>
      </x:c>
    </ns0:row>
    <ns0:row xmlns:ns0="http://schemas.openxmlformats.org/spreadsheetml/2006/main" r="553" ht="30" customHeight="1">
      <ns0:c r="A553" t="str" s="10">
        <ns0:v>R0559</ns0:v>
      </ns0:c>
      <ns0:c r="B553" t="str" s="10">
        <ns0:v>Резистор</ns0:v>
      </ns0:c>
      <ns0:c r="C553" t="str" s="10">
        <ns0:v>56k</ns0:v>
      </ns0:c>
      <ns0:c r="D553" t="str" s="11">
        <ns0:f>SUBSTITUTE(SUBSTITUTE(SUBSTITUTE(SUBSTITUTE(C553,"meg"," МОм"),"k"," кОм"),"R"," Ом"),".",",")</ns0:f>
        <ns0:v>56 кОм</ns0:v>
      </ns0:c>
      <ns0:c r="E553" t="str" s="10">
        <ns0:v>±1%</ns0:v>
      </ns0:c>
      <ns0:c r="F553" t="str" s="10">
        <ns0:v>0,125 Вт</ns0:v>
      </ns0:c>
      <ns0:c r="G553" t="str" s="10">
        <ns0:v>150 В макс.</ns0:v>
      </ns0:c>
      <ns0:c r="H553" t="str" s="12">
        <ns0:v>0805</ns0:v>
      </ns0:c>
      <ns0:c r="I553" t="str" s="10">
        <ns0:v>YAGEO</ns0:v>
      </ns0:c>
      <ns0:c r="J553" t="str" s="10">
        <ns0:v>RC0805FR-0756KL</ns0:v>
      </ns0:c>
      <ns0:c r="K553" t="str" s="11">
        <ns0:f>B553&amp;" "&amp;D553&amp;" "&amp;E553&amp;" "&amp;H553</ns0:f>
        <ns0:v>Резистор 56 кОм ±1% 0805</ns0:v>
      </ns0:c>
      <ns0:c r="L553" t="str" s="13">
        <ns0:v>R</ns0:v>
      </ns0:c>
      <ns0:c r="M553" t="str" s="13">
        <ns0:v>Symbols\MY_LIB_Resistors.SchLib</ns0:v>
      </ns0:c>
      <ns0:c r="N553" t="str" s="13">
        <ns0:v>RESC2012X70N</ns0:v>
      </ns0:c>
      <ns0:c r="O553" t="str" s="13">
        <ns0:v>Footprints\PBL - SMD Packages.PcbLib</ns0:v>
      </ns0:c>
      <ns0:c r="P553" t="str" s="10">
        <ns0:v>RC_L; E24; P при 70 °C; U ≤ min(√(P·R), Umax)</ns0:v>
      </ns0:c>
      <ns0:c r="Q553" s="10"/>
      <ns0:c r="R553" t="str" s="11">
        <ns0:f>D553</ns0:f>
        <ns0:v>56 кОм</ns0:v>
      </ns0:c>
      <ns0:c r="S553" t="str" s="11">
        <ns0:f>K553</ns0:f>
        <ns0:v>Резистор 56 кОм ±1% 0805</ns0:v>
      </ns0:c>
      <x:c xmlns:x="http://schemas.openxmlformats.org/spreadsheetml/2006/main" r="T553" t="str" s="11">
        <x:v>C:\Users\Nomatin\Documents\Altium\MY_LIB\MY_LIB\Datasheets\YAGEO_RC_L.pdf</x:v>
      </x:c>
      <x:c xmlns:x="http://schemas.openxmlformats.org/spreadsheetml/2006/main" r="U553" t="str" s="11">
        <x:v>Даташит — локальный</x:v>
      </x:c>
      <x:c xmlns:x="http://schemas.openxmlformats.org/spreadsheetml/2006/main" r="V553" t="str" s="11">
        <x:v>C:\Users\Nomatin\Documents\Altium\MY_LIB\MY_LIB\Datasheets\YAGEO_RC_L.pdf</x:v>
      </x:c>
      <x:c xmlns:x="http://schemas.openxmlformats.org/spreadsheetml/2006/main" r="W553" t="str" s="11">
        <x:v>Даташит — производитель</x:v>
      </x:c>
      <x:c xmlns:x="http://schemas.openxmlformats.org/spreadsheetml/2006/main" r="X553" t="str" s="11">
        <x:v>https://yageogroup.com/content/datasheet/asset/file/PYU-RC_GROUP_51_ROHS_L</x:v>
      </x:c>
      <x:c xmlns:x="http://schemas.openxmlformats.org/spreadsheetml/2006/main" r="Y553" t="str" s="11">
        <x:v>C:\Users\Nomatin\Documents\Altium\MY_LIB\MY_LIB\Datasheets\YAGEO_RC_L.pdf</x:v>
      </x:c>
    </ns0:row>
    <ns0:row xmlns:ns0="http://schemas.openxmlformats.org/spreadsheetml/2006/main" r="554" ht="30" customHeight="1">
      <ns0:c r="A554" t="str" s="10">
        <ns0:v>R0560</ns0:v>
      </ns0:c>
      <ns0:c r="B554" t="str" s="10">
        <ns0:v>Резистор</ns0:v>
      </ns0:c>
      <ns0:c r="C554" t="str" s="10">
        <ns0:v>62k</ns0:v>
      </ns0:c>
      <ns0:c r="D554" t="str" s="11">
        <ns0:f>SUBSTITUTE(SUBSTITUTE(SUBSTITUTE(SUBSTITUTE(C554,"meg"," МОм"),"k"," кОм"),"R"," Ом"),".",",")</ns0:f>
        <ns0:v>62 кОм</ns0:v>
      </ns0:c>
      <ns0:c r="E554" t="str" s="10">
        <ns0:v>±1%</ns0:v>
      </ns0:c>
      <ns0:c r="F554" t="str" s="10">
        <ns0:v>0,125 Вт</ns0:v>
      </ns0:c>
      <ns0:c r="G554" t="str" s="10">
        <ns0:v>150 В макс.</ns0:v>
      </ns0:c>
      <ns0:c r="H554" t="str" s="12">
        <ns0:v>0805</ns0:v>
      </ns0:c>
      <ns0:c r="I554" t="str" s="10">
        <ns0:v>YAGEO</ns0:v>
      </ns0:c>
      <ns0:c r="J554" t="str" s="10">
        <ns0:v>RC0805FR-0762KL</ns0:v>
      </ns0:c>
      <ns0:c r="K554" t="str" s="11">
        <ns0:f>B554&amp;" "&amp;D554&amp;" "&amp;E554&amp;" "&amp;H554</ns0:f>
        <ns0:v>Резистор 62 кОм ±1% 0805</ns0:v>
      </ns0:c>
      <ns0:c r="L554" t="str" s="13">
        <ns0:v>R</ns0:v>
      </ns0:c>
      <ns0:c r="M554" t="str" s="13">
        <ns0:v>Symbols\MY_LIB_Resistors.SchLib</ns0:v>
      </ns0:c>
      <ns0:c r="N554" t="str" s="13">
        <ns0:v>RESC2012X70N</ns0:v>
      </ns0:c>
      <ns0:c r="O554" t="str" s="13">
        <ns0:v>Footprints\PBL - SMD Packages.PcbLib</ns0:v>
      </ns0:c>
      <ns0:c r="P554" t="str" s="10">
        <ns0:v>RC_L; E24; P при 70 °C; U ≤ min(√(P·R), Umax)</ns0:v>
      </ns0:c>
      <ns0:c r="Q554" s="10"/>
      <ns0:c r="R554" t="str" s="11">
        <ns0:f>D554</ns0:f>
        <ns0:v>62 кОм</ns0:v>
      </ns0:c>
      <ns0:c r="S554" t="str" s="11">
        <ns0:f>K554</ns0:f>
        <ns0:v>Резистор 62 кОм ±1% 0805</ns0:v>
      </ns0:c>
      <x:c xmlns:x="http://schemas.openxmlformats.org/spreadsheetml/2006/main" r="T554" t="str" s="11">
        <x:v>C:\Users\Nomatin\Documents\Altium\MY_LIB\MY_LIB\Datasheets\YAGEO_RC_L.pdf</x:v>
      </x:c>
      <x:c xmlns:x="http://schemas.openxmlformats.org/spreadsheetml/2006/main" r="U554" t="str" s="11">
        <x:v>Даташит — локальный</x:v>
      </x:c>
      <x:c xmlns:x="http://schemas.openxmlformats.org/spreadsheetml/2006/main" r="V554" t="str" s="11">
        <x:v>C:\Users\Nomatin\Documents\Altium\MY_LIB\MY_LIB\Datasheets\YAGEO_RC_L.pdf</x:v>
      </x:c>
      <x:c xmlns:x="http://schemas.openxmlformats.org/spreadsheetml/2006/main" r="W554" t="str" s="11">
        <x:v>Даташит — производитель</x:v>
      </x:c>
      <x:c xmlns:x="http://schemas.openxmlformats.org/spreadsheetml/2006/main" r="X554" t="str" s="11">
        <x:v>https://yageogroup.com/content/datasheet/asset/file/PYU-RC_GROUP_51_ROHS_L</x:v>
      </x:c>
      <x:c xmlns:x="http://schemas.openxmlformats.org/spreadsheetml/2006/main" r="Y554" t="str" s="11">
        <x:v>C:\Users\Nomatin\Documents\Altium\MY_LIB\MY_LIB\Datasheets\YAGEO_RC_L.pdf</x:v>
      </x:c>
    </ns0:row>
    <ns0:row xmlns:ns0="http://schemas.openxmlformats.org/spreadsheetml/2006/main" r="555" ht="30" customHeight="1">
      <ns0:c r="A555" t="str" s="10">
        <ns0:v>R0561</ns0:v>
      </ns0:c>
      <ns0:c r="B555" t="str" s="10">
        <ns0:v>Резистор</ns0:v>
      </ns0:c>
      <ns0:c r="C555" t="str" s="10">
        <ns0:v>68k</ns0:v>
      </ns0:c>
      <ns0:c r="D555" t="str" s="11">
        <ns0:f>SUBSTITUTE(SUBSTITUTE(SUBSTITUTE(SUBSTITUTE(C555,"meg"," МОм"),"k"," кОм"),"R"," Ом"),".",",")</ns0:f>
        <ns0:v>68 кОм</ns0:v>
      </ns0:c>
      <ns0:c r="E555" t="str" s="10">
        <ns0:v>±1%</ns0:v>
      </ns0:c>
      <ns0:c r="F555" t="str" s="10">
        <ns0:v>0,125 Вт</ns0:v>
      </ns0:c>
      <ns0:c r="G555" t="str" s="10">
        <ns0:v>150 В макс.</ns0:v>
      </ns0:c>
      <ns0:c r="H555" t="str" s="12">
        <ns0:v>0805</ns0:v>
      </ns0:c>
      <ns0:c r="I555" t="str" s="10">
        <ns0:v>YAGEO</ns0:v>
      </ns0:c>
      <ns0:c r="J555" t="str" s="10">
        <ns0:v>RC0805FR-0768KL</ns0:v>
      </ns0:c>
      <ns0:c r="K555" t="str" s="11">
        <ns0:f>B555&amp;" "&amp;D555&amp;" "&amp;E555&amp;" "&amp;H555</ns0:f>
        <ns0:v>Резистор 68 кОм ±1% 0805</ns0:v>
      </ns0:c>
      <ns0:c r="L555" t="str" s="13">
        <ns0:v>R</ns0:v>
      </ns0:c>
      <ns0:c r="M555" t="str" s="13">
        <ns0:v>Symbols\MY_LIB_Resistors.SchLib</ns0:v>
      </ns0:c>
      <ns0:c r="N555" t="str" s="13">
        <ns0:v>RESC2012X70N</ns0:v>
      </ns0:c>
      <ns0:c r="O555" t="str" s="13">
        <ns0:v>Footprints\PBL - SMD Packages.PcbLib</ns0:v>
      </ns0:c>
      <ns0:c r="P555" t="str" s="10">
        <ns0:v>RC_L; E24; P при 70 °C; U ≤ min(√(P·R), Umax)</ns0:v>
      </ns0:c>
      <ns0:c r="Q555" s="10"/>
      <ns0:c r="R555" t="str" s="11">
        <ns0:f>D555</ns0:f>
        <ns0:v>68 кОм</ns0:v>
      </ns0:c>
      <ns0:c r="S555" t="str" s="11">
        <ns0:f>K555</ns0:f>
        <ns0:v>Резистор 68 кОм ±1% 0805</ns0:v>
      </ns0:c>
      <x:c xmlns:x="http://schemas.openxmlformats.org/spreadsheetml/2006/main" r="T555" t="str" s="11">
        <x:v>C:\Users\Nomatin\Documents\Altium\MY_LIB\MY_LIB\Datasheets\YAGEO_RC_L.pdf</x:v>
      </x:c>
      <x:c xmlns:x="http://schemas.openxmlformats.org/spreadsheetml/2006/main" r="U555" t="str" s="11">
        <x:v>Даташит — локальный</x:v>
      </x:c>
      <x:c xmlns:x="http://schemas.openxmlformats.org/spreadsheetml/2006/main" r="V555" t="str" s="11">
        <x:v>C:\Users\Nomatin\Documents\Altium\MY_LIB\MY_LIB\Datasheets\YAGEO_RC_L.pdf</x:v>
      </x:c>
      <x:c xmlns:x="http://schemas.openxmlformats.org/spreadsheetml/2006/main" r="W555" t="str" s="11">
        <x:v>Даташит — производитель</x:v>
      </x:c>
      <x:c xmlns:x="http://schemas.openxmlformats.org/spreadsheetml/2006/main" r="X555" t="str" s="11">
        <x:v>https://yageogroup.com/content/datasheet/asset/file/PYU-RC_GROUP_51_ROHS_L</x:v>
      </x:c>
      <x:c xmlns:x="http://schemas.openxmlformats.org/spreadsheetml/2006/main" r="Y555" t="str" s="11">
        <x:v>C:\Users\Nomatin\Documents\Altium\MY_LIB\MY_LIB\Datasheets\YAGEO_RC_L.pdf</x:v>
      </x:c>
    </ns0:row>
    <ns0:row xmlns:ns0="http://schemas.openxmlformats.org/spreadsheetml/2006/main" r="556" ht="30" customHeight="1">
      <ns0:c r="A556" t="str" s="10">
        <ns0:v>R0562</ns0:v>
      </ns0:c>
      <ns0:c r="B556" t="str" s="10">
        <ns0:v>Резистор</ns0:v>
      </ns0:c>
      <ns0:c r="C556" t="str" s="10">
        <ns0:v>75k</ns0:v>
      </ns0:c>
      <ns0:c r="D556" t="str" s="11">
        <ns0:f>SUBSTITUTE(SUBSTITUTE(SUBSTITUTE(SUBSTITUTE(C556,"meg"," МОм"),"k"," кОм"),"R"," Ом"),".",",")</ns0:f>
        <ns0:v>75 кОм</ns0:v>
      </ns0:c>
      <ns0:c r="E556" t="str" s="10">
        <ns0:v>±1%</ns0:v>
      </ns0:c>
      <ns0:c r="F556" t="str" s="10">
        <ns0:v>0,125 Вт</ns0:v>
      </ns0:c>
      <ns0:c r="G556" t="str" s="10">
        <ns0:v>150 В макс.</ns0:v>
      </ns0:c>
      <ns0:c r="H556" t="str" s="12">
        <ns0:v>0805</ns0:v>
      </ns0:c>
      <ns0:c r="I556" t="str" s="10">
        <ns0:v>YAGEO</ns0:v>
      </ns0:c>
      <ns0:c r="J556" t="str" s="10">
        <ns0:v>RC0805FR-0775KL</ns0:v>
      </ns0:c>
      <ns0:c r="K556" t="str" s="11">
        <ns0:f>B556&amp;" "&amp;D556&amp;" "&amp;E556&amp;" "&amp;H556</ns0:f>
        <ns0:v>Резистор 75 кОм ±1% 0805</ns0:v>
      </ns0:c>
      <ns0:c r="L556" t="str" s="13">
        <ns0:v>R</ns0:v>
      </ns0:c>
      <ns0:c r="M556" t="str" s="13">
        <ns0:v>Symbols\MY_LIB_Resistors.SchLib</ns0:v>
      </ns0:c>
      <ns0:c r="N556" t="str" s="13">
        <ns0:v>RESC2012X70N</ns0:v>
      </ns0:c>
      <ns0:c r="O556" t="str" s="13">
        <ns0:v>Footprints\PBL - SMD Packages.PcbLib</ns0:v>
      </ns0:c>
      <ns0:c r="P556" t="str" s="10">
        <ns0:v>RC_L; E24; P при 70 °C; U ≤ min(√(P·R), Umax)</ns0:v>
      </ns0:c>
      <ns0:c r="Q556" s="10"/>
      <ns0:c r="R556" t="str" s="11">
        <ns0:f>D556</ns0:f>
        <ns0:v>75 кОм</ns0:v>
      </ns0:c>
      <ns0:c r="S556" t="str" s="11">
        <ns0:f>K556</ns0:f>
        <ns0:v>Резистор 75 кОм ±1% 0805</ns0:v>
      </ns0:c>
      <x:c xmlns:x="http://schemas.openxmlformats.org/spreadsheetml/2006/main" r="T556" t="str" s="11">
        <x:v>C:\Users\Nomatin\Documents\Altium\MY_LIB\MY_LIB\Datasheets\YAGEO_RC_L.pdf</x:v>
      </x:c>
      <x:c xmlns:x="http://schemas.openxmlformats.org/spreadsheetml/2006/main" r="U556" t="str" s="11">
        <x:v>Даташит — локальный</x:v>
      </x:c>
      <x:c xmlns:x="http://schemas.openxmlformats.org/spreadsheetml/2006/main" r="V556" t="str" s="11">
        <x:v>C:\Users\Nomatin\Documents\Altium\MY_LIB\MY_LIB\Datasheets\YAGEO_RC_L.pdf</x:v>
      </x:c>
      <x:c xmlns:x="http://schemas.openxmlformats.org/spreadsheetml/2006/main" r="W556" t="str" s="11">
        <x:v>Даташит — производитель</x:v>
      </x:c>
      <x:c xmlns:x="http://schemas.openxmlformats.org/spreadsheetml/2006/main" r="X556" t="str" s="11">
        <x:v>https://yageogroup.com/content/datasheet/asset/file/PYU-RC_GROUP_51_ROHS_L</x:v>
      </x:c>
      <x:c xmlns:x="http://schemas.openxmlformats.org/spreadsheetml/2006/main" r="Y556" t="str" s="11">
        <x:v>C:\Users\Nomatin\Documents\Altium\MY_LIB\MY_LIB\Datasheets\YAGEO_RC_L.pdf</x:v>
      </x:c>
    </ns0:row>
    <ns0:row xmlns:ns0="http://schemas.openxmlformats.org/spreadsheetml/2006/main" r="557" ht="30" customHeight="1">
      <ns0:c r="A557" t="str" s="10">
        <ns0:v>R0563</ns0:v>
      </ns0:c>
      <ns0:c r="B557" t="str" s="10">
        <ns0:v>Резистор</ns0:v>
      </ns0:c>
      <ns0:c r="C557" t="str" s="10">
        <ns0:v>82k</ns0:v>
      </ns0:c>
      <ns0:c r="D557" t="str" s="11">
        <ns0:f>SUBSTITUTE(SUBSTITUTE(SUBSTITUTE(SUBSTITUTE(C557,"meg"," МОм"),"k"," кОм"),"R"," Ом"),".",",")</ns0:f>
        <ns0:v>82 кОм</ns0:v>
      </ns0:c>
      <ns0:c r="E557" t="str" s="10">
        <ns0:v>±1%</ns0:v>
      </ns0:c>
      <ns0:c r="F557" t="str" s="10">
        <ns0:v>0,125 Вт</ns0:v>
      </ns0:c>
      <ns0:c r="G557" t="str" s="10">
        <ns0:v>150 В макс.</ns0:v>
      </ns0:c>
      <ns0:c r="H557" t="str" s="12">
        <ns0:v>0805</ns0:v>
      </ns0:c>
      <ns0:c r="I557" t="str" s="10">
        <ns0:v>YAGEO</ns0:v>
      </ns0:c>
      <ns0:c r="J557" t="str" s="10">
        <ns0:v>RC0805FR-0782KL</ns0:v>
      </ns0:c>
      <ns0:c r="K557" t="str" s="11">
        <ns0:f>B557&amp;" "&amp;D557&amp;" "&amp;E557&amp;" "&amp;H557</ns0:f>
        <ns0:v>Резистор 82 кОм ±1% 0805</ns0:v>
      </ns0:c>
      <ns0:c r="L557" t="str" s="13">
        <ns0:v>R</ns0:v>
      </ns0:c>
      <ns0:c r="M557" t="str" s="13">
        <ns0:v>Symbols\MY_LIB_Resistors.SchLib</ns0:v>
      </ns0:c>
      <ns0:c r="N557" t="str" s="13">
        <ns0:v>RESC2012X70N</ns0:v>
      </ns0:c>
      <ns0:c r="O557" t="str" s="13">
        <ns0:v>Footprints\PBL - SMD Packages.PcbLib</ns0:v>
      </ns0:c>
      <ns0:c r="P557" t="str" s="10">
        <ns0:v>RC_L; E24; P при 70 °C; U ≤ min(√(P·R), Umax)</ns0:v>
      </ns0:c>
      <ns0:c r="Q557" s="10"/>
      <ns0:c r="R557" t="str" s="11">
        <ns0:f>D557</ns0:f>
        <ns0:v>82 кОм</ns0:v>
      </ns0:c>
      <ns0:c r="S557" t="str" s="11">
        <ns0:f>K557</ns0:f>
        <ns0:v>Резистор 82 кОм ±1% 0805</ns0:v>
      </ns0:c>
      <x:c xmlns:x="http://schemas.openxmlformats.org/spreadsheetml/2006/main" r="T557" t="str" s="11">
        <x:v>C:\Users\Nomatin\Documents\Altium\MY_LIB\MY_LIB\Datasheets\YAGEO_RC_L.pdf</x:v>
      </x:c>
      <x:c xmlns:x="http://schemas.openxmlformats.org/spreadsheetml/2006/main" r="U557" t="str" s="11">
        <x:v>Даташит — локальный</x:v>
      </x:c>
      <x:c xmlns:x="http://schemas.openxmlformats.org/spreadsheetml/2006/main" r="V557" t="str" s="11">
        <x:v>C:\Users\Nomatin\Documents\Altium\MY_LIB\MY_LIB\Datasheets\YAGEO_RC_L.pdf</x:v>
      </x:c>
      <x:c xmlns:x="http://schemas.openxmlformats.org/spreadsheetml/2006/main" r="W557" t="str" s="11">
        <x:v>Даташит — производитель</x:v>
      </x:c>
      <x:c xmlns:x="http://schemas.openxmlformats.org/spreadsheetml/2006/main" r="X557" t="str" s="11">
        <x:v>https://yageogroup.com/content/datasheet/asset/file/PYU-RC_GROUP_51_ROHS_L</x:v>
      </x:c>
      <x:c xmlns:x="http://schemas.openxmlformats.org/spreadsheetml/2006/main" r="Y557" t="str" s="11">
        <x:v>C:\Users\Nomatin\Documents\Altium\MY_LIB\MY_LIB\Datasheets\YAGEO_RC_L.pdf</x:v>
      </x:c>
    </ns0:row>
    <ns0:row xmlns:ns0="http://schemas.openxmlformats.org/spreadsheetml/2006/main" r="558" ht="30" customHeight="1">
      <ns0:c r="A558" t="str" s="10">
        <ns0:v>R0564</ns0:v>
      </ns0:c>
      <ns0:c r="B558" t="str" s="10">
        <ns0:v>Резистор</ns0:v>
      </ns0:c>
      <ns0:c r="C558" t="str" s="10">
        <ns0:v>91k</ns0:v>
      </ns0:c>
      <ns0:c r="D558" t="str" s="11">
        <ns0:f>SUBSTITUTE(SUBSTITUTE(SUBSTITUTE(SUBSTITUTE(C558,"meg"," МОм"),"k"," кОм"),"R"," Ом"),".",",")</ns0:f>
        <ns0:v>91 кОм</ns0:v>
      </ns0:c>
      <ns0:c r="E558" t="str" s="10">
        <ns0:v>±1%</ns0:v>
      </ns0:c>
      <ns0:c r="F558" t="str" s="10">
        <ns0:v>0,125 Вт</ns0:v>
      </ns0:c>
      <ns0:c r="G558" t="str" s="10">
        <ns0:v>150 В макс.</ns0:v>
      </ns0:c>
      <ns0:c r="H558" t="str" s="12">
        <ns0:v>0805</ns0:v>
      </ns0:c>
      <ns0:c r="I558" t="str" s="10">
        <ns0:v>YAGEO</ns0:v>
      </ns0:c>
      <ns0:c r="J558" t="str" s="10">
        <ns0:v>RC0805FR-0791KL</ns0:v>
      </ns0:c>
      <ns0:c r="K558" t="str" s="11">
        <ns0:f>B558&amp;" "&amp;D558&amp;" "&amp;E558&amp;" "&amp;H558</ns0:f>
        <ns0:v>Резистор 91 кОм ±1% 0805</ns0:v>
      </ns0:c>
      <ns0:c r="L558" t="str" s="13">
        <ns0:v>R</ns0:v>
      </ns0:c>
      <ns0:c r="M558" t="str" s="13">
        <ns0:v>Symbols\MY_LIB_Resistors.SchLib</ns0:v>
      </ns0:c>
      <ns0:c r="N558" t="str" s="13">
        <ns0:v>RESC2012X70N</ns0:v>
      </ns0:c>
      <ns0:c r="O558" t="str" s="13">
        <ns0:v>Footprints\PBL - SMD Packages.PcbLib</ns0:v>
      </ns0:c>
      <ns0:c r="P558" t="str" s="10">
        <ns0:v>RC_L; E24; P при 70 °C; U ≤ min(√(P·R), Umax)</ns0:v>
      </ns0:c>
      <ns0:c r="Q558" s="10"/>
      <ns0:c r="R558" t="str" s="11">
        <ns0:f>D558</ns0:f>
        <ns0:v>91 кОм</ns0:v>
      </ns0:c>
      <ns0:c r="S558" t="str" s="11">
        <ns0:f>K558</ns0:f>
        <ns0:v>Резистор 91 кОм ±1% 0805</ns0:v>
      </ns0:c>
      <x:c xmlns:x="http://schemas.openxmlformats.org/spreadsheetml/2006/main" r="T558" t="str" s="11">
        <x:v>C:\Users\Nomatin\Documents\Altium\MY_LIB\MY_LIB\Datasheets\YAGEO_RC_L.pdf</x:v>
      </x:c>
      <x:c xmlns:x="http://schemas.openxmlformats.org/spreadsheetml/2006/main" r="U558" t="str" s="11">
        <x:v>Даташит — локальный</x:v>
      </x:c>
      <x:c xmlns:x="http://schemas.openxmlformats.org/spreadsheetml/2006/main" r="V558" t="str" s="11">
        <x:v>C:\Users\Nomatin\Documents\Altium\MY_LIB\MY_LIB\Datasheets\YAGEO_RC_L.pdf</x:v>
      </x:c>
      <x:c xmlns:x="http://schemas.openxmlformats.org/spreadsheetml/2006/main" r="W558" t="str" s="11">
        <x:v>Даташит — производитель</x:v>
      </x:c>
      <x:c xmlns:x="http://schemas.openxmlformats.org/spreadsheetml/2006/main" r="X558" t="str" s="11">
        <x:v>https://yageogroup.com/content/datasheet/asset/file/PYU-RC_GROUP_51_ROHS_L</x:v>
      </x:c>
      <x:c xmlns:x="http://schemas.openxmlformats.org/spreadsheetml/2006/main" r="Y558" t="str" s="11">
        <x:v>C:\Users\Nomatin\Documents\Altium\MY_LIB\MY_LIB\Datasheets\YAGEO_RC_L.pdf</x:v>
      </x:c>
    </ns0:row>
    <ns0:row xmlns:ns0="http://schemas.openxmlformats.org/spreadsheetml/2006/main" r="559" ht="30" customHeight="1">
      <ns0:c r="A559" t="str" s="10">
        <ns0:v>R0565</ns0:v>
      </ns0:c>
      <ns0:c r="B559" t="str" s="10">
        <ns0:v>Резистор</ns0:v>
      </ns0:c>
      <ns0:c r="C559" t="str" s="10">
        <ns0:v>100k</ns0:v>
      </ns0:c>
      <ns0:c r="D559" t="str" s="11">
        <ns0:f>SUBSTITUTE(SUBSTITUTE(SUBSTITUTE(SUBSTITUTE(C559,"meg"," МОм"),"k"," кОм"),"R"," Ом"),".",",")</ns0:f>
        <ns0:v>100 кОм</ns0:v>
      </ns0:c>
      <ns0:c r="E559" t="str" s="10">
        <ns0:v>±1%</ns0:v>
      </ns0:c>
      <ns0:c r="F559" t="str" s="10">
        <ns0:v>0,125 Вт</ns0:v>
      </ns0:c>
      <ns0:c r="G559" t="str" s="10">
        <ns0:v>150 В макс.</ns0:v>
      </ns0:c>
      <ns0:c r="H559" t="str" s="12">
        <ns0:v>0805</ns0:v>
      </ns0:c>
      <ns0:c r="I559" t="str" s="10">
        <ns0:v>YAGEO</ns0:v>
      </ns0:c>
      <ns0:c r="J559" t="str" s="10">
        <ns0:v>RC0805FR-07100KL</ns0:v>
      </ns0:c>
      <ns0:c r="K559" t="str" s="11">
        <ns0:f>B559&amp;" "&amp;D559&amp;" "&amp;E559&amp;" "&amp;H559</ns0:f>
        <ns0:v>Резистор 100 кОм ±1% 0805</ns0:v>
      </ns0:c>
      <ns0:c r="L559" t="str" s="13">
        <ns0:v>R</ns0:v>
      </ns0:c>
      <ns0:c r="M559" t="str" s="13">
        <ns0:v>Symbols\MY_LIB_Resistors.SchLib</ns0:v>
      </ns0:c>
      <ns0:c r="N559" t="str" s="13">
        <ns0:v>RESC2012X70N</ns0:v>
      </ns0:c>
      <ns0:c r="O559" t="str" s="13">
        <ns0:v>Footprints\PBL - SMD Packages.PcbLib</ns0:v>
      </ns0:c>
      <ns0:c r="P559" t="str" s="10">
        <ns0:v>RC_L; E24; P при 70 °C; U ≤ min(√(P·R), Umax)</ns0:v>
      </ns0:c>
      <ns0:c r="Q559" s="10"/>
      <ns0:c r="R559" t="str" s="11">
        <ns0:f>D559</ns0:f>
        <ns0:v>100 кОм</ns0:v>
      </ns0:c>
      <ns0:c r="S559" t="str" s="11">
        <ns0:f>K559</ns0:f>
        <ns0:v>Резистор 100 кОм ±1% 0805</ns0:v>
      </ns0:c>
      <x:c xmlns:x="http://schemas.openxmlformats.org/spreadsheetml/2006/main" r="T559" t="str" s="11">
        <x:v>C:\Users\Nomatin\Documents\Altium\MY_LIB\MY_LIB\Datasheets\YAGEO_RC_L.pdf</x:v>
      </x:c>
      <x:c xmlns:x="http://schemas.openxmlformats.org/spreadsheetml/2006/main" r="U559" t="str" s="11">
        <x:v>Даташит — локальный</x:v>
      </x:c>
      <x:c xmlns:x="http://schemas.openxmlformats.org/spreadsheetml/2006/main" r="V559" t="str" s="11">
        <x:v>C:\Users\Nomatin\Documents\Altium\MY_LIB\MY_LIB\Datasheets\YAGEO_RC_L.pdf</x:v>
      </x:c>
      <x:c xmlns:x="http://schemas.openxmlformats.org/spreadsheetml/2006/main" r="W559" t="str" s="11">
        <x:v>Даташит — производитель</x:v>
      </x:c>
      <x:c xmlns:x="http://schemas.openxmlformats.org/spreadsheetml/2006/main" r="X559" t="str" s="11">
        <x:v>https://yageogroup.com/content/datasheet/asset/file/PYU-RC_GROUP_51_ROHS_L</x:v>
      </x:c>
      <x:c xmlns:x="http://schemas.openxmlformats.org/spreadsheetml/2006/main" r="Y559" t="str" s="11">
        <x:v>C:\Users\Nomatin\Documents\Altium\MY_LIB\MY_LIB\Datasheets\YAGEO_RC_L.pdf</x:v>
      </x:c>
    </ns0:row>
    <ns0:row xmlns:ns0="http://schemas.openxmlformats.org/spreadsheetml/2006/main" r="560" ht="30" customHeight="1">
      <ns0:c r="A560" t="str" s="10">
        <ns0:v>R0566</ns0:v>
      </ns0:c>
      <ns0:c r="B560" t="str" s="10">
        <ns0:v>Резистор</ns0:v>
      </ns0:c>
      <ns0:c r="C560" t="str" s="10">
        <ns0:v>110k</ns0:v>
      </ns0:c>
      <ns0:c r="D560" t="str" s="11">
        <ns0:f>SUBSTITUTE(SUBSTITUTE(SUBSTITUTE(SUBSTITUTE(C560,"meg"," МОм"),"k"," кОм"),"R"," Ом"),".",",")</ns0:f>
        <ns0:v>110 кОм</ns0:v>
      </ns0:c>
      <ns0:c r="E560" t="str" s="10">
        <ns0:v>±1%</ns0:v>
      </ns0:c>
      <ns0:c r="F560" t="str" s="10">
        <ns0:v>0,125 Вт</ns0:v>
      </ns0:c>
      <ns0:c r="G560" t="str" s="10">
        <ns0:v>150 В макс.</ns0:v>
      </ns0:c>
      <ns0:c r="H560" t="str" s="12">
        <ns0:v>0805</ns0:v>
      </ns0:c>
      <ns0:c r="I560" t="str" s="10">
        <ns0:v>YAGEO</ns0:v>
      </ns0:c>
      <ns0:c r="J560" t="str" s="10">
        <ns0:v>RC0805FR-07110KL</ns0:v>
      </ns0:c>
      <ns0:c r="K560" t="str" s="11">
        <ns0:f>B560&amp;" "&amp;D560&amp;" "&amp;E560&amp;" "&amp;H560</ns0:f>
        <ns0:v>Резистор 110 кОм ±1% 0805</ns0:v>
      </ns0:c>
      <ns0:c r="L560" t="str" s="13">
        <ns0:v>R</ns0:v>
      </ns0:c>
      <ns0:c r="M560" t="str" s="13">
        <ns0:v>Symbols\MY_LIB_Resistors.SchLib</ns0:v>
      </ns0:c>
      <ns0:c r="N560" t="str" s="13">
        <ns0:v>RESC2012X70N</ns0:v>
      </ns0:c>
      <ns0:c r="O560" t="str" s="13">
        <ns0:v>Footprints\PBL - SMD Packages.PcbLib</ns0:v>
      </ns0:c>
      <ns0:c r="P560" t="str" s="10">
        <ns0:v>RC_L; E24; P при 70 °C; U ≤ min(√(P·R), Umax)</ns0:v>
      </ns0:c>
      <ns0:c r="Q560" s="10"/>
      <ns0:c r="R560" t="str" s="11">
        <ns0:f>D560</ns0:f>
        <ns0:v>110 кОм</ns0:v>
      </ns0:c>
      <ns0:c r="S560" t="str" s="11">
        <ns0:f>K560</ns0:f>
        <ns0:v>Резистор 110 кОм ±1% 0805</ns0:v>
      </ns0:c>
      <x:c xmlns:x="http://schemas.openxmlformats.org/spreadsheetml/2006/main" r="T560" t="str" s="11">
        <x:v>C:\Users\Nomatin\Documents\Altium\MY_LIB\MY_LIB\Datasheets\YAGEO_RC_L.pdf</x:v>
      </x:c>
      <x:c xmlns:x="http://schemas.openxmlformats.org/spreadsheetml/2006/main" r="U560" t="str" s="11">
        <x:v>Даташит — локальный</x:v>
      </x:c>
      <x:c xmlns:x="http://schemas.openxmlformats.org/spreadsheetml/2006/main" r="V560" t="str" s="11">
        <x:v>C:\Users\Nomatin\Documents\Altium\MY_LIB\MY_LIB\Datasheets\YAGEO_RC_L.pdf</x:v>
      </x:c>
      <x:c xmlns:x="http://schemas.openxmlformats.org/spreadsheetml/2006/main" r="W560" t="str" s="11">
        <x:v>Даташит — производитель</x:v>
      </x:c>
      <x:c xmlns:x="http://schemas.openxmlformats.org/spreadsheetml/2006/main" r="X560" t="str" s="11">
        <x:v>https://yageogroup.com/content/datasheet/asset/file/PYU-RC_GROUP_51_ROHS_L</x:v>
      </x:c>
      <x:c xmlns:x="http://schemas.openxmlformats.org/spreadsheetml/2006/main" r="Y560" t="str" s="11">
        <x:v>C:\Users\Nomatin\Documents\Altium\MY_LIB\MY_LIB\Datasheets\YAGEO_RC_L.pdf</x:v>
      </x:c>
    </ns0:row>
    <ns0:row xmlns:ns0="http://schemas.openxmlformats.org/spreadsheetml/2006/main" r="561" ht="30" customHeight="1">
      <ns0:c r="A561" t="str" s="10">
        <ns0:v>R0567</ns0:v>
      </ns0:c>
      <ns0:c r="B561" t="str" s="10">
        <ns0:v>Резистор</ns0:v>
      </ns0:c>
      <ns0:c r="C561" t="str" s="10">
        <ns0:v>120k</ns0:v>
      </ns0:c>
      <ns0:c r="D561" t="str" s="11">
        <ns0:f>SUBSTITUTE(SUBSTITUTE(SUBSTITUTE(SUBSTITUTE(C561,"meg"," МОм"),"k"," кОм"),"R"," Ом"),".",",")</ns0:f>
        <ns0:v>120 кОм</ns0:v>
      </ns0:c>
      <ns0:c r="E561" t="str" s="10">
        <ns0:v>±1%</ns0:v>
      </ns0:c>
      <ns0:c r="F561" t="str" s="10">
        <ns0:v>0,125 Вт</ns0:v>
      </ns0:c>
      <ns0:c r="G561" t="str" s="10">
        <ns0:v>150 В макс.</ns0:v>
      </ns0:c>
      <ns0:c r="H561" t="str" s="12">
        <ns0:v>0805</ns0:v>
      </ns0:c>
      <ns0:c r="I561" t="str" s="10">
        <ns0:v>YAGEO</ns0:v>
      </ns0:c>
      <ns0:c r="J561" t="str" s="10">
        <ns0:v>RC0805FR-07120KL</ns0:v>
      </ns0:c>
      <ns0:c r="K561" t="str" s="11">
        <ns0:f>B561&amp;" "&amp;D561&amp;" "&amp;E561&amp;" "&amp;H561</ns0:f>
        <ns0:v>Резистор 120 кОм ±1% 0805</ns0:v>
      </ns0:c>
      <ns0:c r="L561" t="str" s="13">
        <ns0:v>R</ns0:v>
      </ns0:c>
      <ns0:c r="M561" t="str" s="13">
        <ns0:v>Symbols\MY_LIB_Resistors.SchLib</ns0:v>
      </ns0:c>
      <ns0:c r="N561" t="str" s="13">
        <ns0:v>RESC2012X70N</ns0:v>
      </ns0:c>
      <ns0:c r="O561" t="str" s="13">
        <ns0:v>Footprints\PBL - SMD Packages.PcbLib</ns0:v>
      </ns0:c>
      <ns0:c r="P561" t="str" s="10">
        <ns0:v>RC_L; E24; P при 70 °C; U ≤ min(√(P·R), Umax)</ns0:v>
      </ns0:c>
      <ns0:c r="Q561" s="10"/>
      <ns0:c r="R561" t="str" s="11">
        <ns0:f>D561</ns0:f>
        <ns0:v>120 кОм</ns0:v>
      </ns0:c>
      <ns0:c r="S561" t="str" s="11">
        <ns0:f>K561</ns0:f>
        <ns0:v>Резистор 120 кОм ±1% 0805</ns0:v>
      </ns0:c>
      <x:c xmlns:x="http://schemas.openxmlformats.org/spreadsheetml/2006/main" r="T561" t="str" s="11">
        <x:v>C:\Users\Nomatin\Documents\Altium\MY_LIB\MY_LIB\Datasheets\YAGEO_RC_L.pdf</x:v>
      </x:c>
      <x:c xmlns:x="http://schemas.openxmlformats.org/spreadsheetml/2006/main" r="U561" t="str" s="11">
        <x:v>Даташит — локальный</x:v>
      </x:c>
      <x:c xmlns:x="http://schemas.openxmlformats.org/spreadsheetml/2006/main" r="V561" t="str" s="11">
        <x:v>C:\Users\Nomatin\Documents\Altium\MY_LIB\MY_LIB\Datasheets\YAGEO_RC_L.pdf</x:v>
      </x:c>
      <x:c xmlns:x="http://schemas.openxmlformats.org/spreadsheetml/2006/main" r="W561" t="str" s="11">
        <x:v>Даташит — производитель</x:v>
      </x:c>
      <x:c xmlns:x="http://schemas.openxmlformats.org/spreadsheetml/2006/main" r="X561" t="str" s="11">
        <x:v>https://yageogroup.com/content/datasheet/asset/file/PYU-RC_GROUP_51_ROHS_L</x:v>
      </x:c>
      <x:c xmlns:x="http://schemas.openxmlformats.org/spreadsheetml/2006/main" r="Y561" t="str" s="11">
        <x:v>C:\Users\Nomatin\Documents\Altium\MY_LIB\MY_LIB\Datasheets\YAGEO_RC_L.pdf</x:v>
      </x:c>
    </ns0:row>
    <ns0:row xmlns:ns0="http://schemas.openxmlformats.org/spreadsheetml/2006/main" r="562" ht="30" customHeight="1">
      <ns0:c r="A562" t="str" s="10">
        <ns0:v>R0568</ns0:v>
      </ns0:c>
      <ns0:c r="B562" t="str" s="10">
        <ns0:v>Резистор</ns0:v>
      </ns0:c>
      <ns0:c r="C562" t="str" s="10">
        <ns0:v>130k</ns0:v>
      </ns0:c>
      <ns0:c r="D562" t="str" s="11">
        <ns0:f>SUBSTITUTE(SUBSTITUTE(SUBSTITUTE(SUBSTITUTE(C562,"meg"," МОм"),"k"," кОм"),"R"," Ом"),".",",")</ns0:f>
        <ns0:v>130 кОм</ns0:v>
      </ns0:c>
      <ns0:c r="E562" t="str" s="10">
        <ns0:v>±1%</ns0:v>
      </ns0:c>
      <ns0:c r="F562" t="str" s="10">
        <ns0:v>0,125 Вт</ns0:v>
      </ns0:c>
      <ns0:c r="G562" t="str" s="10">
        <ns0:v>150 В макс.</ns0:v>
      </ns0:c>
      <ns0:c r="H562" t="str" s="12">
        <ns0:v>0805</ns0:v>
      </ns0:c>
      <ns0:c r="I562" t="str" s="10">
        <ns0:v>YAGEO</ns0:v>
      </ns0:c>
      <ns0:c r="J562" t="str" s="10">
        <ns0:v>RC0805FR-07130KL</ns0:v>
      </ns0:c>
      <ns0:c r="K562" t="str" s="11">
        <ns0:f>B562&amp;" "&amp;D562&amp;" "&amp;E562&amp;" "&amp;H562</ns0:f>
        <ns0:v>Резистор 130 кОм ±1% 0805</ns0:v>
      </ns0:c>
      <ns0:c r="L562" t="str" s="13">
        <ns0:v>R</ns0:v>
      </ns0:c>
      <ns0:c r="M562" t="str" s="13">
        <ns0:v>Symbols\MY_LIB_Resistors.SchLib</ns0:v>
      </ns0:c>
      <ns0:c r="N562" t="str" s="13">
        <ns0:v>RESC2012X70N</ns0:v>
      </ns0:c>
      <ns0:c r="O562" t="str" s="13">
        <ns0:v>Footprints\PBL - SMD Packages.PcbLib</ns0:v>
      </ns0:c>
      <ns0:c r="P562" t="str" s="10">
        <ns0:v>RC_L; E24; P при 70 °C; U ≤ min(√(P·R), Umax)</ns0:v>
      </ns0:c>
      <ns0:c r="Q562" s="10"/>
      <ns0:c r="R562" t="str" s="11">
        <ns0:f>D562</ns0:f>
        <ns0:v>130 кОм</ns0:v>
      </ns0:c>
      <ns0:c r="S562" t="str" s="11">
        <ns0:f>K562</ns0:f>
        <ns0:v>Резистор 130 кОм ±1% 0805</ns0:v>
      </ns0:c>
      <x:c xmlns:x="http://schemas.openxmlformats.org/spreadsheetml/2006/main" r="T562" t="str" s="11">
        <x:v>C:\Users\Nomatin\Documents\Altium\MY_LIB\MY_LIB\Datasheets\YAGEO_RC_L.pdf</x:v>
      </x:c>
      <x:c xmlns:x="http://schemas.openxmlformats.org/spreadsheetml/2006/main" r="U562" t="str" s="11">
        <x:v>Даташит — локальный</x:v>
      </x:c>
      <x:c xmlns:x="http://schemas.openxmlformats.org/spreadsheetml/2006/main" r="V562" t="str" s="11">
        <x:v>C:\Users\Nomatin\Documents\Altium\MY_LIB\MY_LIB\Datasheets\YAGEO_RC_L.pdf</x:v>
      </x:c>
      <x:c xmlns:x="http://schemas.openxmlformats.org/spreadsheetml/2006/main" r="W562" t="str" s="11">
        <x:v>Даташит — производитель</x:v>
      </x:c>
      <x:c xmlns:x="http://schemas.openxmlformats.org/spreadsheetml/2006/main" r="X562" t="str" s="11">
        <x:v>https://yageogroup.com/content/datasheet/asset/file/PYU-RC_GROUP_51_ROHS_L</x:v>
      </x:c>
      <x:c xmlns:x="http://schemas.openxmlformats.org/spreadsheetml/2006/main" r="Y562" t="str" s="11">
        <x:v>C:\Users\Nomatin\Documents\Altium\MY_LIB\MY_LIB\Datasheets\YAGEO_RC_L.pdf</x:v>
      </x:c>
    </ns0:row>
    <ns0:row xmlns:ns0="http://schemas.openxmlformats.org/spreadsheetml/2006/main" r="563" ht="30" customHeight="1">
      <ns0:c r="A563" t="str" s="10">
        <ns0:v>R0569</ns0:v>
      </ns0:c>
      <ns0:c r="B563" t="str" s="10">
        <ns0:v>Резистор</ns0:v>
      </ns0:c>
      <ns0:c r="C563" t="str" s="10">
        <ns0:v>150k</ns0:v>
      </ns0:c>
      <ns0:c r="D563" t="str" s="11">
        <ns0:f>SUBSTITUTE(SUBSTITUTE(SUBSTITUTE(SUBSTITUTE(C563,"meg"," МОм"),"k"," кОм"),"R"," Ом"),".",",")</ns0:f>
        <ns0:v>150 кОм</ns0:v>
      </ns0:c>
      <ns0:c r="E563" t="str" s="10">
        <ns0:v>±1%</ns0:v>
      </ns0:c>
      <ns0:c r="F563" t="str" s="10">
        <ns0:v>0,125 Вт</ns0:v>
      </ns0:c>
      <ns0:c r="G563" t="str" s="10">
        <ns0:v>150 В макс.</ns0:v>
      </ns0:c>
      <ns0:c r="H563" t="str" s="12">
        <ns0:v>0805</ns0:v>
      </ns0:c>
      <ns0:c r="I563" t="str" s="10">
        <ns0:v>YAGEO</ns0:v>
      </ns0:c>
      <ns0:c r="J563" t="str" s="10">
        <ns0:v>RC0805FR-07150KL</ns0:v>
      </ns0:c>
      <ns0:c r="K563" t="str" s="11">
        <ns0:f>B563&amp;" "&amp;D563&amp;" "&amp;E563&amp;" "&amp;H563</ns0:f>
        <ns0:v>Резистор 150 кОм ±1% 0805</ns0:v>
      </ns0:c>
      <ns0:c r="L563" t="str" s="13">
        <ns0:v>R</ns0:v>
      </ns0:c>
      <ns0:c r="M563" t="str" s="13">
        <ns0:v>Symbols\MY_LIB_Resistors.SchLib</ns0:v>
      </ns0:c>
      <ns0:c r="N563" t="str" s="13">
        <ns0:v>RESC2012X70N</ns0:v>
      </ns0:c>
      <ns0:c r="O563" t="str" s="13">
        <ns0:v>Footprints\PBL - SMD Packages.PcbLib</ns0:v>
      </ns0:c>
      <ns0:c r="P563" t="str" s="10">
        <ns0:v>RC_L; E24; P при 70 °C; U ≤ min(√(P·R), Umax)</ns0:v>
      </ns0:c>
      <ns0:c r="Q563" s="10"/>
      <ns0:c r="R563" t="str" s="11">
        <ns0:f>D563</ns0:f>
        <ns0:v>150 кОм</ns0:v>
      </ns0:c>
      <ns0:c r="S563" t="str" s="11">
        <ns0:f>K563</ns0:f>
        <ns0:v>Резистор 150 кОм ±1% 0805</ns0:v>
      </ns0:c>
      <x:c xmlns:x="http://schemas.openxmlformats.org/spreadsheetml/2006/main" r="T563" t="str" s="11">
        <x:v>C:\Users\Nomatin\Documents\Altium\MY_LIB\MY_LIB\Datasheets\YAGEO_RC_L.pdf</x:v>
      </x:c>
      <x:c xmlns:x="http://schemas.openxmlformats.org/spreadsheetml/2006/main" r="U563" t="str" s="11">
        <x:v>Даташит — локальный</x:v>
      </x:c>
      <x:c xmlns:x="http://schemas.openxmlformats.org/spreadsheetml/2006/main" r="V563" t="str" s="11">
        <x:v>C:\Users\Nomatin\Documents\Altium\MY_LIB\MY_LIB\Datasheets\YAGEO_RC_L.pdf</x:v>
      </x:c>
      <x:c xmlns:x="http://schemas.openxmlformats.org/spreadsheetml/2006/main" r="W563" t="str" s="11">
        <x:v>Даташит — производитель</x:v>
      </x:c>
      <x:c xmlns:x="http://schemas.openxmlformats.org/spreadsheetml/2006/main" r="X563" t="str" s="11">
        <x:v>https://yageogroup.com/content/datasheet/asset/file/PYU-RC_GROUP_51_ROHS_L</x:v>
      </x:c>
      <x:c xmlns:x="http://schemas.openxmlformats.org/spreadsheetml/2006/main" r="Y563" t="str" s="11">
        <x:v>C:\Users\Nomatin\Documents\Altium\MY_LIB\MY_LIB\Datasheets\YAGEO_RC_L.pdf</x:v>
      </x:c>
    </ns0:row>
    <ns0:row xmlns:ns0="http://schemas.openxmlformats.org/spreadsheetml/2006/main" r="564" ht="30" customHeight="1">
      <ns0:c r="A564" t="str" s="10">
        <ns0:v>R0570</ns0:v>
      </ns0:c>
      <ns0:c r="B564" t="str" s="10">
        <ns0:v>Резистор</ns0:v>
      </ns0:c>
      <ns0:c r="C564" t="str" s="10">
        <ns0:v>160k</ns0:v>
      </ns0:c>
      <ns0:c r="D564" t="str" s="11">
        <ns0:f>SUBSTITUTE(SUBSTITUTE(SUBSTITUTE(SUBSTITUTE(C564,"meg"," МОм"),"k"," кОм"),"R"," Ом"),".",",")</ns0:f>
        <ns0:v>160 кОм</ns0:v>
      </ns0:c>
      <ns0:c r="E564" t="str" s="10">
        <ns0:v>±1%</ns0:v>
      </ns0:c>
      <ns0:c r="F564" t="str" s="10">
        <ns0:v>0,125 Вт</ns0:v>
      </ns0:c>
      <ns0:c r="G564" t="str" s="10">
        <ns0:v>150 В макс.</ns0:v>
      </ns0:c>
      <ns0:c r="H564" t="str" s="12">
        <ns0:v>0805</ns0:v>
      </ns0:c>
      <ns0:c r="I564" t="str" s="10">
        <ns0:v>YAGEO</ns0:v>
      </ns0:c>
      <ns0:c r="J564" t="str" s="10">
        <ns0:v>RC0805FR-07160KL</ns0:v>
      </ns0:c>
      <ns0:c r="K564" t="str" s="11">
        <ns0:f>B564&amp;" "&amp;D564&amp;" "&amp;E564&amp;" "&amp;H564</ns0:f>
        <ns0:v>Резистор 160 кОм ±1% 0805</ns0:v>
      </ns0:c>
      <ns0:c r="L564" t="str" s="13">
        <ns0:v>R</ns0:v>
      </ns0:c>
      <ns0:c r="M564" t="str" s="13">
        <ns0:v>Symbols\MY_LIB_Resistors.SchLib</ns0:v>
      </ns0:c>
      <ns0:c r="N564" t="str" s="13">
        <ns0:v>RESC2012X70N</ns0:v>
      </ns0:c>
      <ns0:c r="O564" t="str" s="13">
        <ns0:v>Footprints\PBL - SMD Packages.PcbLib</ns0:v>
      </ns0:c>
      <ns0:c r="P564" t="str" s="10">
        <ns0:v>RC_L; E24; P при 70 °C; U ≤ min(√(P·R), Umax)</ns0:v>
      </ns0:c>
      <ns0:c r="Q564" s="10"/>
      <ns0:c r="R564" t="str" s="11">
        <ns0:f>D564</ns0:f>
        <ns0:v>160 кОм</ns0:v>
      </ns0:c>
      <ns0:c r="S564" t="str" s="11">
        <ns0:f>K564</ns0:f>
        <ns0:v>Резистор 160 кОм ±1% 0805</ns0:v>
      </ns0:c>
      <x:c xmlns:x="http://schemas.openxmlformats.org/spreadsheetml/2006/main" r="T564" t="str" s="11">
        <x:v>C:\Users\Nomatin\Documents\Altium\MY_LIB\MY_LIB\Datasheets\YAGEO_RC_L.pdf</x:v>
      </x:c>
      <x:c xmlns:x="http://schemas.openxmlformats.org/spreadsheetml/2006/main" r="U564" t="str" s="11">
        <x:v>Даташит — локальный</x:v>
      </x:c>
      <x:c xmlns:x="http://schemas.openxmlformats.org/spreadsheetml/2006/main" r="V564" t="str" s="11">
        <x:v>C:\Users\Nomatin\Documents\Altium\MY_LIB\MY_LIB\Datasheets\YAGEO_RC_L.pdf</x:v>
      </x:c>
      <x:c xmlns:x="http://schemas.openxmlformats.org/spreadsheetml/2006/main" r="W564" t="str" s="11">
        <x:v>Даташит — производитель</x:v>
      </x:c>
      <x:c xmlns:x="http://schemas.openxmlformats.org/spreadsheetml/2006/main" r="X564" t="str" s="11">
        <x:v>https://yageogroup.com/content/datasheet/asset/file/PYU-RC_GROUP_51_ROHS_L</x:v>
      </x:c>
      <x:c xmlns:x="http://schemas.openxmlformats.org/spreadsheetml/2006/main" r="Y564" t="str" s="11">
        <x:v>C:\Users\Nomatin\Documents\Altium\MY_LIB\MY_LIB\Datasheets\YAGEO_RC_L.pdf</x:v>
      </x:c>
    </ns0:row>
    <ns0:row xmlns:ns0="http://schemas.openxmlformats.org/spreadsheetml/2006/main" r="565" ht="30" customHeight="1">
      <ns0:c r="A565" t="str" s="10">
        <ns0:v>R0571</ns0:v>
      </ns0:c>
      <ns0:c r="B565" t="str" s="10">
        <ns0:v>Резистор</ns0:v>
      </ns0:c>
      <ns0:c r="C565" t="str" s="10">
        <ns0:v>180k</ns0:v>
      </ns0:c>
      <ns0:c r="D565" t="str" s="11">
        <ns0:f>SUBSTITUTE(SUBSTITUTE(SUBSTITUTE(SUBSTITUTE(C565,"meg"," МОм"),"k"," кОм"),"R"," Ом"),".",",")</ns0:f>
        <ns0:v>180 кОм</ns0:v>
      </ns0:c>
      <ns0:c r="E565" t="str" s="10">
        <ns0:v>±1%</ns0:v>
      </ns0:c>
      <ns0:c r="F565" t="str" s="10">
        <ns0:v>0,125 Вт</ns0:v>
      </ns0:c>
      <ns0:c r="G565" t="str" s="10">
        <ns0:v>150 В макс.</ns0:v>
      </ns0:c>
      <ns0:c r="H565" t="str" s="12">
        <ns0:v>0805</ns0:v>
      </ns0:c>
      <ns0:c r="I565" t="str" s="10">
        <ns0:v>YAGEO</ns0:v>
      </ns0:c>
      <ns0:c r="J565" t="str" s="10">
        <ns0:v>RC0805FR-07180KL</ns0:v>
      </ns0:c>
      <ns0:c r="K565" t="str" s="11">
        <ns0:f>B565&amp;" "&amp;D565&amp;" "&amp;E565&amp;" "&amp;H565</ns0:f>
        <ns0:v>Резистор 180 кОм ±1% 0805</ns0:v>
      </ns0:c>
      <ns0:c r="L565" t="str" s="13">
        <ns0:v>R</ns0:v>
      </ns0:c>
      <ns0:c r="M565" t="str" s="13">
        <ns0:v>Symbols\MY_LIB_Resistors.SchLib</ns0:v>
      </ns0:c>
      <ns0:c r="N565" t="str" s="13">
        <ns0:v>RESC2012X70N</ns0:v>
      </ns0:c>
      <ns0:c r="O565" t="str" s="13">
        <ns0:v>Footprints\PBL - SMD Packages.PcbLib</ns0:v>
      </ns0:c>
      <ns0:c r="P565" t="str" s="10">
        <ns0:v>RC_L; E24; P при 70 °C; U ≤ min(√(P·R), Umax)</ns0:v>
      </ns0:c>
      <ns0:c r="Q565" s="10"/>
      <ns0:c r="R565" t="str" s="11">
        <ns0:f>D565</ns0:f>
        <ns0:v>180 кОм</ns0:v>
      </ns0:c>
      <ns0:c r="S565" t="str" s="11">
        <ns0:f>K565</ns0:f>
        <ns0:v>Резистор 180 кОм ±1% 0805</ns0:v>
      </ns0:c>
      <x:c xmlns:x="http://schemas.openxmlformats.org/spreadsheetml/2006/main" r="T565" t="str" s="11">
        <x:v>C:\Users\Nomatin\Documents\Altium\MY_LIB\MY_LIB\Datasheets\YAGEO_RC_L.pdf</x:v>
      </x:c>
      <x:c xmlns:x="http://schemas.openxmlformats.org/spreadsheetml/2006/main" r="U565" t="str" s="11">
        <x:v>Даташит — локальный</x:v>
      </x:c>
      <x:c xmlns:x="http://schemas.openxmlformats.org/spreadsheetml/2006/main" r="V565" t="str" s="11">
        <x:v>C:\Users\Nomatin\Documents\Altium\MY_LIB\MY_LIB\Datasheets\YAGEO_RC_L.pdf</x:v>
      </x:c>
      <x:c xmlns:x="http://schemas.openxmlformats.org/spreadsheetml/2006/main" r="W565" t="str" s="11">
        <x:v>Даташит — производитель</x:v>
      </x:c>
      <x:c xmlns:x="http://schemas.openxmlformats.org/spreadsheetml/2006/main" r="X565" t="str" s="11">
        <x:v>https://yageogroup.com/content/datasheet/asset/file/PYU-RC_GROUP_51_ROHS_L</x:v>
      </x:c>
      <x:c xmlns:x="http://schemas.openxmlformats.org/spreadsheetml/2006/main" r="Y565" t="str" s="11">
        <x:v>C:\Users\Nomatin\Documents\Altium\MY_LIB\MY_LIB\Datasheets\YAGEO_RC_L.pdf</x:v>
      </x:c>
    </ns0:row>
    <ns0:row xmlns:ns0="http://schemas.openxmlformats.org/spreadsheetml/2006/main" r="566" ht="30" customHeight="1">
      <ns0:c r="A566" t="str" s="10">
        <ns0:v>R0572</ns0:v>
      </ns0:c>
      <ns0:c r="B566" t="str" s="10">
        <ns0:v>Резистор</ns0:v>
      </ns0:c>
      <ns0:c r="C566" t="str" s="10">
        <ns0:v>200k</ns0:v>
      </ns0:c>
      <ns0:c r="D566" t="str" s="11">
        <ns0:f>SUBSTITUTE(SUBSTITUTE(SUBSTITUTE(SUBSTITUTE(C566,"meg"," МОм"),"k"," кОм"),"R"," Ом"),".",",")</ns0:f>
        <ns0:v>200 кОм</ns0:v>
      </ns0:c>
      <ns0:c r="E566" t="str" s="10">
        <ns0:v>±1%</ns0:v>
      </ns0:c>
      <ns0:c r="F566" t="str" s="10">
        <ns0:v>0,125 Вт</ns0:v>
      </ns0:c>
      <ns0:c r="G566" t="str" s="10">
        <ns0:v>150 В макс.</ns0:v>
      </ns0:c>
      <ns0:c r="H566" t="str" s="12">
        <ns0:v>0805</ns0:v>
      </ns0:c>
      <ns0:c r="I566" t="str" s="10">
        <ns0:v>YAGEO</ns0:v>
      </ns0:c>
      <ns0:c r="J566" t="str" s="10">
        <ns0:v>RC0805FR-07200KL</ns0:v>
      </ns0:c>
      <ns0:c r="K566" t="str" s="11">
        <ns0:f>B566&amp;" "&amp;D566&amp;" "&amp;E566&amp;" "&amp;H566</ns0:f>
        <ns0:v>Резистор 200 кОм ±1% 0805</ns0:v>
      </ns0:c>
      <ns0:c r="L566" t="str" s="13">
        <ns0:v>R</ns0:v>
      </ns0:c>
      <ns0:c r="M566" t="str" s="13">
        <ns0:v>Symbols\MY_LIB_Resistors.SchLib</ns0:v>
      </ns0:c>
      <ns0:c r="N566" t="str" s="13">
        <ns0:v>RESC2012X70N</ns0:v>
      </ns0:c>
      <ns0:c r="O566" t="str" s="13">
        <ns0:v>Footprints\PBL - SMD Packages.PcbLib</ns0:v>
      </ns0:c>
      <ns0:c r="P566" t="str" s="10">
        <ns0:v>RC_L; E24; P при 70 °C; U ≤ min(√(P·R), Umax)</ns0:v>
      </ns0:c>
      <ns0:c r="Q566" s="10"/>
      <ns0:c r="R566" t="str" s="11">
        <ns0:f>D566</ns0:f>
        <ns0:v>200 кОм</ns0:v>
      </ns0:c>
      <ns0:c r="S566" t="str" s="11">
        <ns0:f>K566</ns0:f>
        <ns0:v>Резистор 200 кОм ±1% 0805</ns0:v>
      </ns0:c>
      <x:c xmlns:x="http://schemas.openxmlformats.org/spreadsheetml/2006/main" r="T566" t="str" s="11">
        <x:v>C:\Users\Nomatin\Documents\Altium\MY_LIB\MY_LIB\Datasheets\YAGEO_RC_L.pdf</x:v>
      </x:c>
      <x:c xmlns:x="http://schemas.openxmlformats.org/spreadsheetml/2006/main" r="U566" t="str" s="11">
        <x:v>Даташит — локальный</x:v>
      </x:c>
      <x:c xmlns:x="http://schemas.openxmlformats.org/spreadsheetml/2006/main" r="V566" t="str" s="11">
        <x:v>C:\Users\Nomatin\Documents\Altium\MY_LIB\MY_LIB\Datasheets\YAGEO_RC_L.pdf</x:v>
      </x:c>
      <x:c xmlns:x="http://schemas.openxmlformats.org/spreadsheetml/2006/main" r="W566" t="str" s="11">
        <x:v>Даташит — производитель</x:v>
      </x:c>
      <x:c xmlns:x="http://schemas.openxmlformats.org/spreadsheetml/2006/main" r="X566" t="str" s="11">
        <x:v>https://yageogroup.com/content/datasheet/asset/file/PYU-RC_GROUP_51_ROHS_L</x:v>
      </x:c>
      <x:c xmlns:x="http://schemas.openxmlformats.org/spreadsheetml/2006/main" r="Y566" t="str" s="11">
        <x:v>C:\Users\Nomatin\Documents\Altium\MY_LIB\MY_LIB\Datasheets\YAGEO_RC_L.pdf</x:v>
      </x:c>
    </ns0:row>
    <ns0:row xmlns:ns0="http://schemas.openxmlformats.org/spreadsheetml/2006/main" r="567" ht="30" customHeight="1">
      <ns0:c r="A567" t="str" s="10">
        <ns0:v>R0573</ns0:v>
      </ns0:c>
      <ns0:c r="B567" t="str" s="10">
        <ns0:v>Резистор</ns0:v>
      </ns0:c>
      <ns0:c r="C567" t="str" s="10">
        <ns0:v>220k</ns0:v>
      </ns0:c>
      <ns0:c r="D567" t="str" s="11">
        <ns0:f>SUBSTITUTE(SUBSTITUTE(SUBSTITUTE(SUBSTITUTE(C567,"meg"," МОм"),"k"," кОм"),"R"," Ом"),".",",")</ns0:f>
        <ns0:v>220 кОм</ns0:v>
      </ns0:c>
      <ns0:c r="E567" t="str" s="10">
        <ns0:v>±1%</ns0:v>
      </ns0:c>
      <ns0:c r="F567" t="str" s="10">
        <ns0:v>0,125 Вт</ns0:v>
      </ns0:c>
      <ns0:c r="G567" t="str" s="10">
        <ns0:v>150 В макс.</ns0:v>
      </ns0:c>
      <ns0:c r="H567" t="str" s="12">
        <ns0:v>0805</ns0:v>
      </ns0:c>
      <ns0:c r="I567" t="str" s="10">
        <ns0:v>YAGEO</ns0:v>
      </ns0:c>
      <ns0:c r="J567" t="str" s="10">
        <ns0:v>RC0805FR-07220KL</ns0:v>
      </ns0:c>
      <ns0:c r="K567" t="str" s="11">
        <ns0:f>B567&amp;" "&amp;D567&amp;" "&amp;E567&amp;" "&amp;H567</ns0:f>
        <ns0:v>Резистор 220 кОм ±1% 0805</ns0:v>
      </ns0:c>
      <ns0:c r="L567" t="str" s="13">
        <ns0:v>R</ns0:v>
      </ns0:c>
      <ns0:c r="M567" t="str" s="13">
        <ns0:v>Symbols\MY_LIB_Resistors.SchLib</ns0:v>
      </ns0:c>
      <ns0:c r="N567" t="str" s="13">
        <ns0:v>RESC2012X70N</ns0:v>
      </ns0:c>
      <ns0:c r="O567" t="str" s="13">
        <ns0:v>Footprints\PBL - SMD Packages.PcbLib</ns0:v>
      </ns0:c>
      <ns0:c r="P567" t="str" s="10">
        <ns0:v>RC_L; E24; P при 70 °C; U ≤ min(√(P·R), Umax)</ns0:v>
      </ns0:c>
      <ns0:c r="Q567" s="10"/>
      <ns0:c r="R567" t="str" s="11">
        <ns0:f>D567</ns0:f>
        <ns0:v>220 кОм</ns0:v>
      </ns0:c>
      <ns0:c r="S567" t="str" s="11">
        <ns0:f>K567</ns0:f>
        <ns0:v>Резистор 220 кОм ±1% 0805</ns0:v>
      </ns0:c>
      <x:c xmlns:x="http://schemas.openxmlformats.org/spreadsheetml/2006/main" r="T567" t="str" s="11">
        <x:v>C:\Users\Nomatin\Documents\Altium\MY_LIB\MY_LIB\Datasheets\YAGEO_RC_L.pdf</x:v>
      </x:c>
      <x:c xmlns:x="http://schemas.openxmlformats.org/spreadsheetml/2006/main" r="U567" t="str" s="11">
        <x:v>Даташит — локальный</x:v>
      </x:c>
      <x:c xmlns:x="http://schemas.openxmlformats.org/spreadsheetml/2006/main" r="V567" t="str" s="11">
        <x:v>C:\Users\Nomatin\Documents\Altium\MY_LIB\MY_LIB\Datasheets\YAGEO_RC_L.pdf</x:v>
      </x:c>
      <x:c xmlns:x="http://schemas.openxmlformats.org/spreadsheetml/2006/main" r="W567" t="str" s="11">
        <x:v>Даташит — производитель</x:v>
      </x:c>
      <x:c xmlns:x="http://schemas.openxmlformats.org/spreadsheetml/2006/main" r="X567" t="str" s="11">
        <x:v>https://yageogroup.com/content/datasheet/asset/file/PYU-RC_GROUP_51_ROHS_L</x:v>
      </x:c>
      <x:c xmlns:x="http://schemas.openxmlformats.org/spreadsheetml/2006/main" r="Y567" t="str" s="11">
        <x:v>C:\Users\Nomatin\Documents\Altium\MY_LIB\MY_LIB\Datasheets\YAGEO_RC_L.pdf</x:v>
      </x:c>
    </ns0:row>
    <ns0:row xmlns:ns0="http://schemas.openxmlformats.org/spreadsheetml/2006/main" r="568" ht="30" customHeight="1">
      <ns0:c r="A568" t="str" s="10">
        <ns0:v>R0574</ns0:v>
      </ns0:c>
      <ns0:c r="B568" t="str" s="10">
        <ns0:v>Резистор</ns0:v>
      </ns0:c>
      <ns0:c r="C568" t="str" s="10">
        <ns0:v>240k</ns0:v>
      </ns0:c>
      <ns0:c r="D568" t="str" s="11">
        <ns0:f>SUBSTITUTE(SUBSTITUTE(SUBSTITUTE(SUBSTITUTE(C568,"meg"," МОм"),"k"," кОм"),"R"," Ом"),".",",")</ns0:f>
        <ns0:v>240 кОм</ns0:v>
      </ns0:c>
      <ns0:c r="E568" t="str" s="10">
        <ns0:v>±1%</ns0:v>
      </ns0:c>
      <ns0:c r="F568" t="str" s="10">
        <ns0:v>0,125 Вт</ns0:v>
      </ns0:c>
      <ns0:c r="G568" t="str" s="10">
        <ns0:v>150 В макс.</ns0:v>
      </ns0:c>
      <ns0:c r="H568" t="str" s="12">
        <ns0:v>0805</ns0:v>
      </ns0:c>
      <ns0:c r="I568" t="str" s="10">
        <ns0:v>YAGEO</ns0:v>
      </ns0:c>
      <ns0:c r="J568" t="str" s="10">
        <ns0:v>RC0805FR-07240KL</ns0:v>
      </ns0:c>
      <ns0:c r="K568" t="str" s="11">
        <ns0:f>B568&amp;" "&amp;D568&amp;" "&amp;E568&amp;" "&amp;H568</ns0:f>
        <ns0:v>Резистор 240 кОм ±1% 0805</ns0:v>
      </ns0:c>
      <ns0:c r="L568" t="str" s="13">
        <ns0:v>R</ns0:v>
      </ns0:c>
      <ns0:c r="M568" t="str" s="13">
        <ns0:v>Symbols\MY_LIB_Resistors.SchLib</ns0:v>
      </ns0:c>
      <ns0:c r="N568" t="str" s="13">
        <ns0:v>RESC2012X70N</ns0:v>
      </ns0:c>
      <ns0:c r="O568" t="str" s="13">
        <ns0:v>Footprints\PBL - SMD Packages.PcbLib</ns0:v>
      </ns0:c>
      <ns0:c r="P568" t="str" s="10">
        <ns0:v>RC_L; E24; P при 70 °C; U ≤ min(√(P·R), Umax)</ns0:v>
      </ns0:c>
      <ns0:c r="Q568" s="10"/>
      <ns0:c r="R568" t="str" s="11">
        <ns0:f>D568</ns0:f>
        <ns0:v>240 кОм</ns0:v>
      </ns0:c>
      <ns0:c r="S568" t="str" s="11">
        <ns0:f>K568</ns0:f>
        <ns0:v>Резистор 240 кОм ±1% 0805</ns0:v>
      </ns0:c>
      <x:c xmlns:x="http://schemas.openxmlformats.org/spreadsheetml/2006/main" r="T568" t="str" s="11">
        <x:v>C:\Users\Nomatin\Documents\Altium\MY_LIB\MY_LIB\Datasheets\YAGEO_RC_L.pdf</x:v>
      </x:c>
      <x:c xmlns:x="http://schemas.openxmlformats.org/spreadsheetml/2006/main" r="U568" t="str" s="11">
        <x:v>Даташит — локальный</x:v>
      </x:c>
      <x:c xmlns:x="http://schemas.openxmlformats.org/spreadsheetml/2006/main" r="V568" t="str" s="11">
        <x:v>C:\Users\Nomatin\Documents\Altium\MY_LIB\MY_LIB\Datasheets\YAGEO_RC_L.pdf</x:v>
      </x:c>
      <x:c xmlns:x="http://schemas.openxmlformats.org/spreadsheetml/2006/main" r="W568" t="str" s="11">
        <x:v>Даташит — производитель</x:v>
      </x:c>
      <x:c xmlns:x="http://schemas.openxmlformats.org/spreadsheetml/2006/main" r="X568" t="str" s="11">
        <x:v>https://yageogroup.com/content/datasheet/asset/file/PYU-RC_GROUP_51_ROHS_L</x:v>
      </x:c>
      <x:c xmlns:x="http://schemas.openxmlformats.org/spreadsheetml/2006/main" r="Y568" t="str" s="11">
        <x:v>C:\Users\Nomatin\Documents\Altium\MY_LIB\MY_LIB\Datasheets\YAGEO_RC_L.pdf</x:v>
      </x:c>
    </ns0:row>
    <ns0:row xmlns:ns0="http://schemas.openxmlformats.org/spreadsheetml/2006/main" r="569" ht="30" customHeight="1">
      <ns0:c r="A569" t="str" s="10">
        <ns0:v>R0575</ns0:v>
      </ns0:c>
      <ns0:c r="B569" t="str" s="10">
        <ns0:v>Резистор</ns0:v>
      </ns0:c>
      <ns0:c r="C569" t="str" s="10">
        <ns0:v>270k</ns0:v>
      </ns0:c>
      <ns0:c r="D569" t="str" s="11">
        <ns0:f>SUBSTITUTE(SUBSTITUTE(SUBSTITUTE(SUBSTITUTE(C569,"meg"," МОм"),"k"," кОм"),"R"," Ом"),".",",")</ns0:f>
        <ns0:v>270 кОм</ns0:v>
      </ns0:c>
      <ns0:c r="E569" t="str" s="10">
        <ns0:v>±1%</ns0:v>
      </ns0:c>
      <ns0:c r="F569" t="str" s="10">
        <ns0:v>0,125 Вт</ns0:v>
      </ns0:c>
      <ns0:c r="G569" t="str" s="10">
        <ns0:v>150 В макс.</ns0:v>
      </ns0:c>
      <ns0:c r="H569" t="str" s="12">
        <ns0:v>0805</ns0:v>
      </ns0:c>
      <ns0:c r="I569" t="str" s="10">
        <ns0:v>YAGEO</ns0:v>
      </ns0:c>
      <ns0:c r="J569" t="str" s="10">
        <ns0:v>RC0805FR-07270KL</ns0:v>
      </ns0:c>
      <ns0:c r="K569" t="str" s="11">
        <ns0:f>B569&amp;" "&amp;D569&amp;" "&amp;E569&amp;" "&amp;H569</ns0:f>
        <ns0:v>Резистор 270 кОм ±1% 0805</ns0:v>
      </ns0:c>
      <ns0:c r="L569" t="str" s="13">
        <ns0:v>R</ns0:v>
      </ns0:c>
      <ns0:c r="M569" t="str" s="13">
        <ns0:v>Symbols\MY_LIB_Resistors.SchLib</ns0:v>
      </ns0:c>
      <ns0:c r="N569" t="str" s="13">
        <ns0:v>RESC2012X70N</ns0:v>
      </ns0:c>
      <ns0:c r="O569" t="str" s="13">
        <ns0:v>Footprints\PBL - SMD Packages.PcbLib</ns0:v>
      </ns0:c>
      <ns0:c r="P569" t="str" s="10">
        <ns0:v>RC_L; E24; P при 70 °C; U ≤ min(√(P·R), Umax)</ns0:v>
      </ns0:c>
      <ns0:c r="Q569" s="10"/>
      <ns0:c r="R569" t="str" s="11">
        <ns0:f>D569</ns0:f>
        <ns0:v>270 кОм</ns0:v>
      </ns0:c>
      <ns0:c r="S569" t="str" s="11">
        <ns0:f>K569</ns0:f>
        <ns0:v>Резистор 270 кОм ±1% 0805</ns0:v>
      </ns0:c>
      <x:c xmlns:x="http://schemas.openxmlformats.org/spreadsheetml/2006/main" r="T569" t="str" s="11">
        <x:v>C:\Users\Nomatin\Documents\Altium\MY_LIB\MY_LIB\Datasheets\YAGEO_RC_L.pdf</x:v>
      </x:c>
      <x:c xmlns:x="http://schemas.openxmlformats.org/spreadsheetml/2006/main" r="U569" t="str" s="11">
        <x:v>Даташит — локальный</x:v>
      </x:c>
      <x:c xmlns:x="http://schemas.openxmlformats.org/spreadsheetml/2006/main" r="V569" t="str" s="11">
        <x:v>C:\Users\Nomatin\Documents\Altium\MY_LIB\MY_LIB\Datasheets\YAGEO_RC_L.pdf</x:v>
      </x:c>
      <x:c xmlns:x="http://schemas.openxmlformats.org/spreadsheetml/2006/main" r="W569" t="str" s="11">
        <x:v>Даташит — производитель</x:v>
      </x:c>
      <x:c xmlns:x="http://schemas.openxmlformats.org/spreadsheetml/2006/main" r="X569" t="str" s="11">
        <x:v>https://yageogroup.com/content/datasheet/asset/file/PYU-RC_GROUP_51_ROHS_L</x:v>
      </x:c>
      <x:c xmlns:x="http://schemas.openxmlformats.org/spreadsheetml/2006/main" r="Y569" t="str" s="11">
        <x:v>C:\Users\Nomatin\Documents\Altium\MY_LIB\MY_LIB\Datasheets\YAGEO_RC_L.pdf</x:v>
      </x:c>
    </ns0:row>
    <ns0:row xmlns:ns0="http://schemas.openxmlformats.org/spreadsheetml/2006/main" r="570" ht="30" customHeight="1">
      <ns0:c r="A570" t="str" s="10">
        <ns0:v>R0576</ns0:v>
      </ns0:c>
      <ns0:c r="B570" t="str" s="10">
        <ns0:v>Резистор</ns0:v>
      </ns0:c>
      <ns0:c r="C570" t="str" s="10">
        <ns0:v>300k</ns0:v>
      </ns0:c>
      <ns0:c r="D570" t="str" s="11">
        <ns0:f>SUBSTITUTE(SUBSTITUTE(SUBSTITUTE(SUBSTITUTE(C570,"meg"," МОм"),"k"," кОм"),"R"," Ом"),".",",")</ns0:f>
        <ns0:v>300 кОм</ns0:v>
      </ns0:c>
      <ns0:c r="E570" t="str" s="10">
        <ns0:v>±1%</ns0:v>
      </ns0:c>
      <ns0:c r="F570" t="str" s="10">
        <ns0:v>0,125 Вт</ns0:v>
      </ns0:c>
      <ns0:c r="G570" t="str" s="10">
        <ns0:v>150 В макс.</ns0:v>
      </ns0:c>
      <ns0:c r="H570" t="str" s="12">
        <ns0:v>0805</ns0:v>
      </ns0:c>
      <ns0:c r="I570" t="str" s="10">
        <ns0:v>YAGEO</ns0:v>
      </ns0:c>
      <ns0:c r="J570" t="str" s="10">
        <ns0:v>RC0805FR-07300KL</ns0:v>
      </ns0:c>
      <ns0:c r="K570" t="str" s="11">
        <ns0:f>B570&amp;" "&amp;D570&amp;" "&amp;E570&amp;" "&amp;H570</ns0:f>
        <ns0:v>Резистор 300 кОм ±1% 0805</ns0:v>
      </ns0:c>
      <ns0:c r="L570" t="str" s="13">
        <ns0:v>R</ns0:v>
      </ns0:c>
      <ns0:c r="M570" t="str" s="13">
        <ns0:v>Symbols\MY_LIB_Resistors.SchLib</ns0:v>
      </ns0:c>
      <ns0:c r="N570" t="str" s="13">
        <ns0:v>RESC2012X70N</ns0:v>
      </ns0:c>
      <ns0:c r="O570" t="str" s="13">
        <ns0:v>Footprints\PBL - SMD Packages.PcbLib</ns0:v>
      </ns0:c>
      <ns0:c r="P570" t="str" s="10">
        <ns0:v>RC_L; E24; P при 70 °C; U ≤ min(√(P·R), Umax)</ns0:v>
      </ns0:c>
      <ns0:c r="Q570" s="10"/>
      <ns0:c r="R570" t="str" s="11">
        <ns0:f>D570</ns0:f>
        <ns0:v>300 кОм</ns0:v>
      </ns0:c>
      <ns0:c r="S570" t="str" s="11">
        <ns0:f>K570</ns0:f>
        <ns0:v>Резистор 300 кОм ±1% 0805</ns0:v>
      </ns0:c>
      <x:c xmlns:x="http://schemas.openxmlformats.org/spreadsheetml/2006/main" r="T570" t="str" s="11">
        <x:v>C:\Users\Nomatin\Documents\Altium\MY_LIB\MY_LIB\Datasheets\YAGEO_RC_L.pdf</x:v>
      </x:c>
      <x:c xmlns:x="http://schemas.openxmlformats.org/spreadsheetml/2006/main" r="U570" t="str" s="11">
        <x:v>Даташит — локальный</x:v>
      </x:c>
      <x:c xmlns:x="http://schemas.openxmlformats.org/spreadsheetml/2006/main" r="V570" t="str" s="11">
        <x:v>C:\Users\Nomatin\Documents\Altium\MY_LIB\MY_LIB\Datasheets\YAGEO_RC_L.pdf</x:v>
      </x:c>
      <x:c xmlns:x="http://schemas.openxmlformats.org/spreadsheetml/2006/main" r="W570" t="str" s="11">
        <x:v>Даташит — производитель</x:v>
      </x:c>
      <x:c xmlns:x="http://schemas.openxmlformats.org/spreadsheetml/2006/main" r="X570" t="str" s="11">
        <x:v>https://yageogroup.com/content/datasheet/asset/file/PYU-RC_GROUP_51_ROHS_L</x:v>
      </x:c>
      <x:c xmlns:x="http://schemas.openxmlformats.org/spreadsheetml/2006/main" r="Y570" t="str" s="11">
        <x:v>C:\Users\Nomatin\Documents\Altium\MY_LIB\MY_LIB\Datasheets\YAGEO_RC_L.pdf</x:v>
      </x:c>
    </ns0:row>
    <ns0:row xmlns:ns0="http://schemas.openxmlformats.org/spreadsheetml/2006/main" r="571" ht="30" customHeight="1">
      <ns0:c r="A571" t="str" s="10">
        <ns0:v>R0577</ns0:v>
      </ns0:c>
      <ns0:c r="B571" t="str" s="10">
        <ns0:v>Резистор</ns0:v>
      </ns0:c>
      <ns0:c r="C571" t="str" s="10">
        <ns0:v>330k</ns0:v>
      </ns0:c>
      <ns0:c r="D571" t="str" s="11">
        <ns0:f>SUBSTITUTE(SUBSTITUTE(SUBSTITUTE(SUBSTITUTE(C571,"meg"," МОм"),"k"," кОм"),"R"," Ом"),".",",")</ns0:f>
        <ns0:v>330 кОм</ns0:v>
      </ns0:c>
      <ns0:c r="E571" t="str" s="10">
        <ns0:v>±1%</ns0:v>
      </ns0:c>
      <ns0:c r="F571" t="str" s="10">
        <ns0:v>0,125 Вт</ns0:v>
      </ns0:c>
      <ns0:c r="G571" t="str" s="10">
        <ns0:v>150 В макс.</ns0:v>
      </ns0:c>
      <ns0:c r="H571" t="str" s="12">
        <ns0:v>0805</ns0:v>
      </ns0:c>
      <ns0:c r="I571" t="str" s="10">
        <ns0:v>YAGEO</ns0:v>
      </ns0:c>
      <ns0:c r="J571" t="str" s="10">
        <ns0:v>RC0805FR-07330KL</ns0:v>
      </ns0:c>
      <ns0:c r="K571" t="str" s="11">
        <ns0:f>B571&amp;" "&amp;D571&amp;" "&amp;E571&amp;" "&amp;H571</ns0:f>
        <ns0:v>Резистор 330 кОм ±1% 0805</ns0:v>
      </ns0:c>
      <ns0:c r="L571" t="str" s="13">
        <ns0:v>R</ns0:v>
      </ns0:c>
      <ns0:c r="M571" t="str" s="13">
        <ns0:v>Symbols\MY_LIB_Resistors.SchLib</ns0:v>
      </ns0:c>
      <ns0:c r="N571" t="str" s="13">
        <ns0:v>RESC2012X70N</ns0:v>
      </ns0:c>
      <ns0:c r="O571" t="str" s="13">
        <ns0:v>Footprints\PBL - SMD Packages.PcbLib</ns0:v>
      </ns0:c>
      <ns0:c r="P571" t="str" s="10">
        <ns0:v>RC_L; E24; P при 70 °C; U ≤ min(√(P·R), Umax)</ns0:v>
      </ns0:c>
      <ns0:c r="Q571" s="10"/>
      <ns0:c r="R571" t="str" s="11">
        <ns0:f>D571</ns0:f>
        <ns0:v>330 кОм</ns0:v>
      </ns0:c>
      <ns0:c r="S571" t="str" s="11">
        <ns0:f>K571</ns0:f>
        <ns0:v>Резистор 330 кОм ±1% 0805</ns0:v>
      </ns0:c>
      <x:c xmlns:x="http://schemas.openxmlformats.org/spreadsheetml/2006/main" r="T571" t="str" s="11">
        <x:v>C:\Users\Nomatin\Documents\Altium\MY_LIB\MY_LIB\Datasheets\YAGEO_RC_L.pdf</x:v>
      </x:c>
      <x:c xmlns:x="http://schemas.openxmlformats.org/spreadsheetml/2006/main" r="U571" t="str" s="11">
        <x:v>Даташит — локальный</x:v>
      </x:c>
      <x:c xmlns:x="http://schemas.openxmlformats.org/spreadsheetml/2006/main" r="V571" t="str" s="11">
        <x:v>C:\Users\Nomatin\Documents\Altium\MY_LIB\MY_LIB\Datasheets\YAGEO_RC_L.pdf</x:v>
      </x:c>
      <x:c xmlns:x="http://schemas.openxmlformats.org/spreadsheetml/2006/main" r="W571" t="str" s="11">
        <x:v>Даташит — производитель</x:v>
      </x:c>
      <x:c xmlns:x="http://schemas.openxmlformats.org/spreadsheetml/2006/main" r="X571" t="str" s="11">
        <x:v>https://yageogroup.com/content/datasheet/asset/file/PYU-RC_GROUP_51_ROHS_L</x:v>
      </x:c>
      <x:c xmlns:x="http://schemas.openxmlformats.org/spreadsheetml/2006/main" r="Y571" t="str" s="11">
        <x:v>C:\Users\Nomatin\Documents\Altium\MY_LIB\MY_LIB\Datasheets\YAGEO_RC_L.pdf</x:v>
      </x:c>
    </ns0:row>
    <ns0:row xmlns:ns0="http://schemas.openxmlformats.org/spreadsheetml/2006/main" r="572" ht="30" customHeight="1">
      <ns0:c r="A572" t="str" s="10">
        <ns0:v>R0578</ns0:v>
      </ns0:c>
      <ns0:c r="B572" t="str" s="10">
        <ns0:v>Резистор</ns0:v>
      </ns0:c>
      <ns0:c r="C572" t="str" s="10">
        <ns0:v>360k</ns0:v>
      </ns0:c>
      <ns0:c r="D572" t="str" s="11">
        <ns0:f>SUBSTITUTE(SUBSTITUTE(SUBSTITUTE(SUBSTITUTE(C572,"meg"," МОм"),"k"," кОм"),"R"," Ом"),".",",")</ns0:f>
        <ns0:v>360 кОм</ns0:v>
      </ns0:c>
      <ns0:c r="E572" t="str" s="10">
        <ns0:v>±1%</ns0:v>
      </ns0:c>
      <ns0:c r="F572" t="str" s="10">
        <ns0:v>0,125 Вт</ns0:v>
      </ns0:c>
      <ns0:c r="G572" t="str" s="10">
        <ns0:v>150 В макс.</ns0:v>
      </ns0:c>
      <ns0:c r="H572" t="str" s="12">
        <ns0:v>0805</ns0:v>
      </ns0:c>
      <ns0:c r="I572" t="str" s="10">
        <ns0:v>YAGEO</ns0:v>
      </ns0:c>
      <ns0:c r="J572" t="str" s="10">
        <ns0:v>RC0805FR-07360KL</ns0:v>
      </ns0:c>
      <ns0:c r="K572" t="str" s="11">
        <ns0:f>B572&amp;" "&amp;D572&amp;" "&amp;E572&amp;" "&amp;H572</ns0:f>
        <ns0:v>Резистор 360 кОм ±1% 0805</ns0:v>
      </ns0:c>
      <ns0:c r="L572" t="str" s="13">
        <ns0:v>R</ns0:v>
      </ns0:c>
      <ns0:c r="M572" t="str" s="13">
        <ns0:v>Symbols\MY_LIB_Resistors.SchLib</ns0:v>
      </ns0:c>
      <ns0:c r="N572" t="str" s="13">
        <ns0:v>RESC2012X70N</ns0:v>
      </ns0:c>
      <ns0:c r="O572" t="str" s="13">
        <ns0:v>Footprints\PBL - SMD Packages.PcbLib</ns0:v>
      </ns0:c>
      <ns0:c r="P572" t="str" s="10">
        <ns0:v>RC_L; E24; P при 70 °C; U ≤ min(√(P·R), Umax)</ns0:v>
      </ns0:c>
      <ns0:c r="Q572" s="10"/>
      <ns0:c r="R572" t="str" s="11">
        <ns0:f>D572</ns0:f>
        <ns0:v>360 кОм</ns0:v>
      </ns0:c>
      <ns0:c r="S572" t="str" s="11">
        <ns0:f>K572</ns0:f>
        <ns0:v>Резистор 360 кОм ±1% 0805</ns0:v>
      </ns0:c>
      <x:c xmlns:x="http://schemas.openxmlformats.org/spreadsheetml/2006/main" r="T572" t="str" s="11">
        <x:v>C:\Users\Nomatin\Documents\Altium\MY_LIB\MY_LIB\Datasheets\YAGEO_RC_L.pdf</x:v>
      </x:c>
      <x:c xmlns:x="http://schemas.openxmlformats.org/spreadsheetml/2006/main" r="U572" t="str" s="11">
        <x:v>Даташит — локальный</x:v>
      </x:c>
      <x:c xmlns:x="http://schemas.openxmlformats.org/spreadsheetml/2006/main" r="V572" t="str" s="11">
        <x:v>C:\Users\Nomatin\Documents\Altium\MY_LIB\MY_LIB\Datasheets\YAGEO_RC_L.pdf</x:v>
      </x:c>
      <x:c xmlns:x="http://schemas.openxmlformats.org/spreadsheetml/2006/main" r="W572" t="str" s="11">
        <x:v>Даташит — производитель</x:v>
      </x:c>
      <x:c xmlns:x="http://schemas.openxmlformats.org/spreadsheetml/2006/main" r="X572" t="str" s="11">
        <x:v>https://yageogroup.com/content/datasheet/asset/file/PYU-RC_GROUP_51_ROHS_L</x:v>
      </x:c>
      <x:c xmlns:x="http://schemas.openxmlformats.org/spreadsheetml/2006/main" r="Y572" t="str" s="11">
        <x:v>C:\Users\Nomatin\Documents\Altium\MY_LIB\MY_LIB\Datasheets\YAGEO_RC_L.pdf</x:v>
      </x:c>
    </ns0:row>
    <ns0:row xmlns:ns0="http://schemas.openxmlformats.org/spreadsheetml/2006/main" r="573" ht="30" customHeight="1">
      <ns0:c r="A573" t="str" s="10">
        <ns0:v>R0579</ns0:v>
      </ns0:c>
      <ns0:c r="B573" t="str" s="10">
        <ns0:v>Резистор</ns0:v>
      </ns0:c>
      <ns0:c r="C573" t="str" s="10">
        <ns0:v>390k</ns0:v>
      </ns0:c>
      <ns0:c r="D573" t="str" s="11">
        <ns0:f>SUBSTITUTE(SUBSTITUTE(SUBSTITUTE(SUBSTITUTE(C573,"meg"," МОм"),"k"," кОм"),"R"," Ом"),".",",")</ns0:f>
        <ns0:v>390 кОм</ns0:v>
      </ns0:c>
      <ns0:c r="E573" t="str" s="10">
        <ns0:v>±1%</ns0:v>
      </ns0:c>
      <ns0:c r="F573" t="str" s="10">
        <ns0:v>0,125 Вт</ns0:v>
      </ns0:c>
      <ns0:c r="G573" t="str" s="10">
        <ns0:v>150 В макс.</ns0:v>
      </ns0:c>
      <ns0:c r="H573" t="str" s="12">
        <ns0:v>0805</ns0:v>
      </ns0:c>
      <ns0:c r="I573" t="str" s="10">
        <ns0:v>YAGEO</ns0:v>
      </ns0:c>
      <ns0:c r="J573" t="str" s="10">
        <ns0:v>RC0805FR-07390KL</ns0:v>
      </ns0:c>
      <ns0:c r="K573" t="str" s="11">
        <ns0:f>B573&amp;" "&amp;D573&amp;" "&amp;E573&amp;" "&amp;H573</ns0:f>
        <ns0:v>Резистор 390 кОм ±1% 0805</ns0:v>
      </ns0:c>
      <ns0:c r="L573" t="str" s="13">
        <ns0:v>R</ns0:v>
      </ns0:c>
      <ns0:c r="M573" t="str" s="13">
        <ns0:v>Symbols\MY_LIB_Resistors.SchLib</ns0:v>
      </ns0:c>
      <ns0:c r="N573" t="str" s="13">
        <ns0:v>RESC2012X70N</ns0:v>
      </ns0:c>
      <ns0:c r="O573" t="str" s="13">
        <ns0:v>Footprints\PBL - SMD Packages.PcbLib</ns0:v>
      </ns0:c>
      <ns0:c r="P573" t="str" s="10">
        <ns0:v>RC_L; E24; P при 70 °C; U ≤ min(√(P·R), Umax)</ns0:v>
      </ns0:c>
      <ns0:c r="Q573" s="10"/>
      <ns0:c r="R573" t="str" s="11">
        <ns0:f>D573</ns0:f>
        <ns0:v>390 кОм</ns0:v>
      </ns0:c>
      <ns0:c r="S573" t="str" s="11">
        <ns0:f>K573</ns0:f>
        <ns0:v>Резистор 390 кОм ±1% 0805</ns0:v>
      </ns0:c>
      <x:c xmlns:x="http://schemas.openxmlformats.org/spreadsheetml/2006/main" r="T573" t="str" s="11">
        <x:v>C:\Users\Nomatin\Documents\Altium\MY_LIB\MY_LIB\Datasheets\YAGEO_RC_L.pdf</x:v>
      </x:c>
      <x:c xmlns:x="http://schemas.openxmlformats.org/spreadsheetml/2006/main" r="U573" t="str" s="11">
        <x:v>Даташит — локальный</x:v>
      </x:c>
      <x:c xmlns:x="http://schemas.openxmlformats.org/spreadsheetml/2006/main" r="V573" t="str" s="11">
        <x:v>C:\Users\Nomatin\Documents\Altium\MY_LIB\MY_LIB\Datasheets\YAGEO_RC_L.pdf</x:v>
      </x:c>
      <x:c xmlns:x="http://schemas.openxmlformats.org/spreadsheetml/2006/main" r="W573" t="str" s="11">
        <x:v>Даташит — производитель</x:v>
      </x:c>
      <x:c xmlns:x="http://schemas.openxmlformats.org/spreadsheetml/2006/main" r="X573" t="str" s="11">
        <x:v>https://yageogroup.com/content/datasheet/asset/file/PYU-RC_GROUP_51_ROHS_L</x:v>
      </x:c>
      <x:c xmlns:x="http://schemas.openxmlformats.org/spreadsheetml/2006/main" r="Y573" t="str" s="11">
        <x:v>C:\Users\Nomatin\Documents\Altium\MY_LIB\MY_LIB\Datasheets\YAGEO_RC_L.pdf</x:v>
      </x:c>
    </ns0:row>
    <ns0:row xmlns:ns0="http://schemas.openxmlformats.org/spreadsheetml/2006/main" r="574" ht="30" customHeight="1">
      <ns0:c r="A574" t="str" s="10">
        <ns0:v>R0580</ns0:v>
      </ns0:c>
      <ns0:c r="B574" t="str" s="10">
        <ns0:v>Резистор</ns0:v>
      </ns0:c>
      <ns0:c r="C574" t="str" s="10">
        <ns0:v>430k</ns0:v>
      </ns0:c>
      <ns0:c r="D574" t="str" s="11">
        <ns0:f>SUBSTITUTE(SUBSTITUTE(SUBSTITUTE(SUBSTITUTE(C574,"meg"," МОм"),"k"," кОм"),"R"," Ом"),".",",")</ns0:f>
        <ns0:v>430 кОм</ns0:v>
      </ns0:c>
      <ns0:c r="E574" t="str" s="10">
        <ns0:v>±1%</ns0:v>
      </ns0:c>
      <ns0:c r="F574" t="str" s="10">
        <ns0:v>0,125 Вт</ns0:v>
      </ns0:c>
      <ns0:c r="G574" t="str" s="10">
        <ns0:v>150 В макс.</ns0:v>
      </ns0:c>
      <ns0:c r="H574" t="str" s="12">
        <ns0:v>0805</ns0:v>
      </ns0:c>
      <ns0:c r="I574" t="str" s="10">
        <ns0:v>YAGEO</ns0:v>
      </ns0:c>
      <ns0:c r="J574" t="str" s="10">
        <ns0:v>RC0805FR-07430KL</ns0:v>
      </ns0:c>
      <ns0:c r="K574" t="str" s="11">
        <ns0:f>B574&amp;" "&amp;D574&amp;" "&amp;E574&amp;" "&amp;H574</ns0:f>
        <ns0:v>Резистор 430 кОм ±1% 0805</ns0:v>
      </ns0:c>
      <ns0:c r="L574" t="str" s="13">
        <ns0:v>R</ns0:v>
      </ns0:c>
      <ns0:c r="M574" t="str" s="13">
        <ns0:v>Symbols\MY_LIB_Resistors.SchLib</ns0:v>
      </ns0:c>
      <ns0:c r="N574" t="str" s="13">
        <ns0:v>RESC2012X70N</ns0:v>
      </ns0:c>
      <ns0:c r="O574" t="str" s="13">
        <ns0:v>Footprints\PBL - SMD Packages.PcbLib</ns0:v>
      </ns0:c>
      <ns0:c r="P574" t="str" s="10">
        <ns0:v>RC_L; E24; P при 70 °C; U ≤ min(√(P·R), Umax)</ns0:v>
      </ns0:c>
      <ns0:c r="Q574" s="10"/>
      <ns0:c r="R574" t="str" s="11">
        <ns0:f>D574</ns0:f>
        <ns0:v>430 кОм</ns0:v>
      </ns0:c>
      <ns0:c r="S574" t="str" s="11">
        <ns0:f>K574</ns0:f>
        <ns0:v>Резистор 430 кОм ±1% 0805</ns0:v>
      </ns0:c>
      <x:c xmlns:x="http://schemas.openxmlformats.org/spreadsheetml/2006/main" r="T574" t="str" s="11">
        <x:v>C:\Users\Nomatin\Documents\Altium\MY_LIB\MY_LIB\Datasheets\YAGEO_RC_L.pdf</x:v>
      </x:c>
      <x:c xmlns:x="http://schemas.openxmlformats.org/spreadsheetml/2006/main" r="U574" t="str" s="11">
        <x:v>Даташит — локальный</x:v>
      </x:c>
      <x:c xmlns:x="http://schemas.openxmlformats.org/spreadsheetml/2006/main" r="V574" t="str" s="11">
        <x:v>C:\Users\Nomatin\Documents\Altium\MY_LIB\MY_LIB\Datasheets\YAGEO_RC_L.pdf</x:v>
      </x:c>
      <x:c xmlns:x="http://schemas.openxmlformats.org/spreadsheetml/2006/main" r="W574" t="str" s="11">
        <x:v>Даташит — производитель</x:v>
      </x:c>
      <x:c xmlns:x="http://schemas.openxmlformats.org/spreadsheetml/2006/main" r="X574" t="str" s="11">
        <x:v>https://yageogroup.com/content/datasheet/asset/file/PYU-RC_GROUP_51_ROHS_L</x:v>
      </x:c>
      <x:c xmlns:x="http://schemas.openxmlformats.org/spreadsheetml/2006/main" r="Y574" t="str" s="11">
        <x:v>C:\Users\Nomatin\Documents\Altium\MY_LIB\MY_LIB\Datasheets\YAGEO_RC_L.pdf</x:v>
      </x:c>
    </ns0:row>
    <ns0:row xmlns:ns0="http://schemas.openxmlformats.org/spreadsheetml/2006/main" r="575" ht="30" customHeight="1">
      <ns0:c r="A575" t="str" s="10">
        <ns0:v>R0581</ns0:v>
      </ns0:c>
      <ns0:c r="B575" t="str" s="10">
        <ns0:v>Резистор</ns0:v>
      </ns0:c>
      <ns0:c r="C575" t="str" s="10">
        <ns0:v>470k</ns0:v>
      </ns0:c>
      <ns0:c r="D575" t="str" s="11">
        <ns0:f>SUBSTITUTE(SUBSTITUTE(SUBSTITUTE(SUBSTITUTE(C575,"meg"," МОм"),"k"," кОм"),"R"," Ом"),".",",")</ns0:f>
        <ns0:v>470 кОм</ns0:v>
      </ns0:c>
      <ns0:c r="E575" t="str" s="10">
        <ns0:v>±1%</ns0:v>
      </ns0:c>
      <ns0:c r="F575" t="str" s="10">
        <ns0:v>0,125 Вт</ns0:v>
      </ns0:c>
      <ns0:c r="G575" t="str" s="10">
        <ns0:v>150 В макс.</ns0:v>
      </ns0:c>
      <ns0:c r="H575" t="str" s="12">
        <ns0:v>0805</ns0:v>
      </ns0:c>
      <ns0:c r="I575" t="str" s="10">
        <ns0:v>YAGEO</ns0:v>
      </ns0:c>
      <ns0:c r="J575" t="str" s="10">
        <ns0:v>RC0805FR-07470KL</ns0:v>
      </ns0:c>
      <ns0:c r="K575" t="str" s="11">
        <ns0:f>B575&amp;" "&amp;D575&amp;" "&amp;E575&amp;" "&amp;H575</ns0:f>
        <ns0:v>Резистор 470 кОм ±1% 0805</ns0:v>
      </ns0:c>
      <ns0:c r="L575" t="str" s="13">
        <ns0:v>R</ns0:v>
      </ns0:c>
      <ns0:c r="M575" t="str" s="13">
        <ns0:v>Symbols\MY_LIB_Resistors.SchLib</ns0:v>
      </ns0:c>
      <ns0:c r="N575" t="str" s="13">
        <ns0:v>RESC2012X70N</ns0:v>
      </ns0:c>
      <ns0:c r="O575" t="str" s="13">
        <ns0:v>Footprints\PBL - SMD Packages.PcbLib</ns0:v>
      </ns0:c>
      <ns0:c r="P575" t="str" s="10">
        <ns0:v>RC_L; E24; P при 70 °C; U ≤ min(√(P·R), Umax)</ns0:v>
      </ns0:c>
      <ns0:c r="Q575" s="10"/>
      <ns0:c r="R575" t="str" s="11">
        <ns0:f>D575</ns0:f>
        <ns0:v>470 кОм</ns0:v>
      </ns0:c>
      <ns0:c r="S575" t="str" s="11">
        <ns0:f>K575</ns0:f>
        <ns0:v>Резистор 470 кОм ±1% 0805</ns0:v>
      </ns0:c>
      <x:c xmlns:x="http://schemas.openxmlformats.org/spreadsheetml/2006/main" r="T575" t="str" s="11">
        <x:v>C:\Users\Nomatin\Documents\Altium\MY_LIB\MY_LIB\Datasheets\YAGEO_RC_L.pdf</x:v>
      </x:c>
      <x:c xmlns:x="http://schemas.openxmlformats.org/spreadsheetml/2006/main" r="U575" t="str" s="11">
        <x:v>Даташит — локальный</x:v>
      </x:c>
      <x:c xmlns:x="http://schemas.openxmlformats.org/spreadsheetml/2006/main" r="V575" t="str" s="11">
        <x:v>C:\Users\Nomatin\Documents\Altium\MY_LIB\MY_LIB\Datasheets\YAGEO_RC_L.pdf</x:v>
      </x:c>
      <x:c xmlns:x="http://schemas.openxmlformats.org/spreadsheetml/2006/main" r="W575" t="str" s="11">
        <x:v>Даташит — производитель</x:v>
      </x:c>
      <x:c xmlns:x="http://schemas.openxmlformats.org/spreadsheetml/2006/main" r="X575" t="str" s="11">
        <x:v>https://yageogroup.com/content/datasheet/asset/file/PYU-RC_GROUP_51_ROHS_L</x:v>
      </x:c>
      <x:c xmlns:x="http://schemas.openxmlformats.org/spreadsheetml/2006/main" r="Y575" t="str" s="11">
        <x:v>C:\Users\Nomatin\Documents\Altium\MY_LIB\MY_LIB\Datasheets\YAGEO_RC_L.pdf</x:v>
      </x:c>
    </ns0:row>
    <ns0:row xmlns:ns0="http://schemas.openxmlformats.org/spreadsheetml/2006/main" r="576" ht="30" customHeight="1">
      <ns0:c r="A576" t="str" s="10">
        <ns0:v>R0582</ns0:v>
      </ns0:c>
      <ns0:c r="B576" t="str" s="10">
        <ns0:v>Резистор</ns0:v>
      </ns0:c>
      <ns0:c r="C576" t="str" s="10">
        <ns0:v>510k</ns0:v>
      </ns0:c>
      <ns0:c r="D576" t="str" s="11">
        <ns0:f>SUBSTITUTE(SUBSTITUTE(SUBSTITUTE(SUBSTITUTE(C576,"meg"," МОм"),"k"," кОм"),"R"," Ом"),".",",")</ns0:f>
        <ns0:v>510 кОм</ns0:v>
      </ns0:c>
      <ns0:c r="E576" t="str" s="10">
        <ns0:v>±1%</ns0:v>
      </ns0:c>
      <ns0:c r="F576" t="str" s="10">
        <ns0:v>0,125 Вт</ns0:v>
      </ns0:c>
      <ns0:c r="G576" t="str" s="10">
        <ns0:v>150 В макс.</ns0:v>
      </ns0:c>
      <ns0:c r="H576" t="str" s="12">
        <ns0:v>0805</ns0:v>
      </ns0:c>
      <ns0:c r="I576" t="str" s="10">
        <ns0:v>YAGEO</ns0:v>
      </ns0:c>
      <ns0:c r="J576" t="str" s="10">
        <ns0:v>RC0805FR-07510KL</ns0:v>
      </ns0:c>
      <ns0:c r="K576" t="str" s="11">
        <ns0:f>B576&amp;" "&amp;D576&amp;" "&amp;E576&amp;" "&amp;H576</ns0:f>
        <ns0:v>Резистор 510 кОм ±1% 0805</ns0:v>
      </ns0:c>
      <ns0:c r="L576" t="str" s="13">
        <ns0:v>R</ns0:v>
      </ns0:c>
      <ns0:c r="M576" t="str" s="13">
        <ns0:v>Symbols\MY_LIB_Resistors.SchLib</ns0:v>
      </ns0:c>
      <ns0:c r="N576" t="str" s="13">
        <ns0:v>RESC2012X70N</ns0:v>
      </ns0:c>
      <ns0:c r="O576" t="str" s="13">
        <ns0:v>Footprints\PBL - SMD Packages.PcbLib</ns0:v>
      </ns0:c>
      <ns0:c r="P576" t="str" s="10">
        <ns0:v>RC_L; E24; P при 70 °C; U ≤ min(√(P·R), Umax)</ns0:v>
      </ns0:c>
      <ns0:c r="Q576" s="10"/>
      <ns0:c r="R576" t="str" s="11">
        <ns0:f>D576</ns0:f>
        <ns0:v>510 кОм</ns0:v>
      </ns0:c>
      <ns0:c r="S576" t="str" s="11">
        <ns0:f>K576</ns0:f>
        <ns0:v>Резистор 510 кОм ±1% 0805</ns0:v>
      </ns0:c>
      <x:c xmlns:x="http://schemas.openxmlformats.org/spreadsheetml/2006/main" r="T576" t="str" s="11">
        <x:v>C:\Users\Nomatin\Documents\Altium\MY_LIB\MY_LIB\Datasheets\YAGEO_RC_L.pdf</x:v>
      </x:c>
      <x:c xmlns:x="http://schemas.openxmlformats.org/spreadsheetml/2006/main" r="U576" t="str" s="11">
        <x:v>Даташит — локальный</x:v>
      </x:c>
      <x:c xmlns:x="http://schemas.openxmlformats.org/spreadsheetml/2006/main" r="V576" t="str" s="11">
        <x:v>C:\Users\Nomatin\Documents\Altium\MY_LIB\MY_LIB\Datasheets\YAGEO_RC_L.pdf</x:v>
      </x:c>
      <x:c xmlns:x="http://schemas.openxmlformats.org/spreadsheetml/2006/main" r="W576" t="str" s="11">
        <x:v>Даташит — производитель</x:v>
      </x:c>
      <x:c xmlns:x="http://schemas.openxmlformats.org/spreadsheetml/2006/main" r="X576" t="str" s="11">
        <x:v>https://yageogroup.com/content/datasheet/asset/file/PYU-RC_GROUP_51_ROHS_L</x:v>
      </x:c>
      <x:c xmlns:x="http://schemas.openxmlformats.org/spreadsheetml/2006/main" r="Y576" t="str" s="11">
        <x:v>C:\Users\Nomatin\Documents\Altium\MY_LIB\MY_LIB\Datasheets\YAGEO_RC_L.pdf</x:v>
      </x:c>
    </ns0:row>
    <ns0:row xmlns:ns0="http://schemas.openxmlformats.org/spreadsheetml/2006/main" r="577" ht="30" customHeight="1">
      <ns0:c r="A577" t="str" s="10">
        <ns0:v>R0583</ns0:v>
      </ns0:c>
      <ns0:c r="B577" t="str" s="10">
        <ns0:v>Резистор</ns0:v>
      </ns0:c>
      <ns0:c r="C577" t="str" s="10">
        <ns0:v>560k</ns0:v>
      </ns0:c>
      <ns0:c r="D577" t="str" s="11">
        <ns0:f>SUBSTITUTE(SUBSTITUTE(SUBSTITUTE(SUBSTITUTE(C577,"meg"," МОм"),"k"," кОм"),"R"," Ом"),".",",")</ns0:f>
        <ns0:v>560 кОм</ns0:v>
      </ns0:c>
      <ns0:c r="E577" t="str" s="10">
        <ns0:v>±1%</ns0:v>
      </ns0:c>
      <ns0:c r="F577" t="str" s="10">
        <ns0:v>0,125 Вт</ns0:v>
      </ns0:c>
      <ns0:c r="G577" t="str" s="10">
        <ns0:v>150 В макс.</ns0:v>
      </ns0:c>
      <ns0:c r="H577" t="str" s="12">
        <ns0:v>0805</ns0:v>
      </ns0:c>
      <ns0:c r="I577" t="str" s="10">
        <ns0:v>YAGEO</ns0:v>
      </ns0:c>
      <ns0:c r="J577" t="str" s="10">
        <ns0:v>RC0805FR-07560KL</ns0:v>
      </ns0:c>
      <ns0:c r="K577" t="str" s="11">
        <ns0:f>B577&amp;" "&amp;D577&amp;" "&amp;E577&amp;" "&amp;H577</ns0:f>
        <ns0:v>Резистор 560 кОм ±1% 0805</ns0:v>
      </ns0:c>
      <ns0:c r="L577" t="str" s="13">
        <ns0:v>R</ns0:v>
      </ns0:c>
      <ns0:c r="M577" t="str" s="13">
        <ns0:v>Symbols\MY_LIB_Resistors.SchLib</ns0:v>
      </ns0:c>
      <ns0:c r="N577" t="str" s="13">
        <ns0:v>RESC2012X70N</ns0:v>
      </ns0:c>
      <ns0:c r="O577" t="str" s="13">
        <ns0:v>Footprints\PBL - SMD Packages.PcbLib</ns0:v>
      </ns0:c>
      <ns0:c r="P577" t="str" s="10">
        <ns0:v>RC_L; E24; P при 70 °C; U ≤ min(√(P·R), Umax)</ns0:v>
      </ns0:c>
      <ns0:c r="Q577" s="10"/>
      <ns0:c r="R577" t="str" s="11">
        <ns0:f>D577</ns0:f>
        <ns0:v>560 кОм</ns0:v>
      </ns0:c>
      <ns0:c r="S577" t="str" s="11">
        <ns0:f>K577</ns0:f>
        <ns0:v>Резистор 560 кОм ±1% 0805</ns0:v>
      </ns0:c>
      <x:c xmlns:x="http://schemas.openxmlformats.org/spreadsheetml/2006/main" r="T577" t="str" s="11">
        <x:v>C:\Users\Nomatin\Documents\Altium\MY_LIB\MY_LIB\Datasheets\YAGEO_RC_L.pdf</x:v>
      </x:c>
      <x:c xmlns:x="http://schemas.openxmlformats.org/spreadsheetml/2006/main" r="U577" t="str" s="11">
        <x:v>Даташит — локальный</x:v>
      </x:c>
      <x:c xmlns:x="http://schemas.openxmlformats.org/spreadsheetml/2006/main" r="V577" t="str" s="11">
        <x:v>C:\Users\Nomatin\Documents\Altium\MY_LIB\MY_LIB\Datasheets\YAGEO_RC_L.pdf</x:v>
      </x:c>
      <x:c xmlns:x="http://schemas.openxmlformats.org/spreadsheetml/2006/main" r="W577" t="str" s="11">
        <x:v>Даташит — производитель</x:v>
      </x:c>
      <x:c xmlns:x="http://schemas.openxmlformats.org/spreadsheetml/2006/main" r="X577" t="str" s="11">
        <x:v>https://yageogroup.com/content/datasheet/asset/file/PYU-RC_GROUP_51_ROHS_L</x:v>
      </x:c>
      <x:c xmlns:x="http://schemas.openxmlformats.org/spreadsheetml/2006/main" r="Y577" t="str" s="11">
        <x:v>C:\Users\Nomatin\Documents\Altium\MY_LIB\MY_LIB\Datasheets\YAGEO_RC_L.pdf</x:v>
      </x:c>
    </ns0:row>
    <ns0:row xmlns:ns0="http://schemas.openxmlformats.org/spreadsheetml/2006/main" r="578" ht="30" customHeight="1">
      <ns0:c r="A578" t="str" s="10">
        <ns0:v>R0584</ns0:v>
      </ns0:c>
      <ns0:c r="B578" t="str" s="10">
        <ns0:v>Резистор</ns0:v>
      </ns0:c>
      <ns0:c r="C578" t="str" s="10">
        <ns0:v>620k</ns0:v>
      </ns0:c>
      <ns0:c r="D578" t="str" s="11">
        <ns0:f>SUBSTITUTE(SUBSTITUTE(SUBSTITUTE(SUBSTITUTE(C578,"meg"," МОм"),"k"," кОм"),"R"," Ом"),".",",")</ns0:f>
        <ns0:v>620 кОм</ns0:v>
      </ns0:c>
      <ns0:c r="E578" t="str" s="10">
        <ns0:v>±1%</ns0:v>
      </ns0:c>
      <ns0:c r="F578" t="str" s="10">
        <ns0:v>0,125 Вт</ns0:v>
      </ns0:c>
      <ns0:c r="G578" t="str" s="10">
        <ns0:v>150 В макс.</ns0:v>
      </ns0:c>
      <ns0:c r="H578" t="str" s="12">
        <ns0:v>0805</ns0:v>
      </ns0:c>
      <ns0:c r="I578" t="str" s="10">
        <ns0:v>YAGEO</ns0:v>
      </ns0:c>
      <ns0:c r="J578" t="str" s="10">
        <ns0:v>RC0805FR-07620KL</ns0:v>
      </ns0:c>
      <ns0:c r="K578" t="str" s="11">
        <ns0:f>B578&amp;" "&amp;D578&amp;" "&amp;E578&amp;" "&amp;H578</ns0:f>
        <ns0:v>Резистор 620 кОм ±1% 0805</ns0:v>
      </ns0:c>
      <ns0:c r="L578" t="str" s="13">
        <ns0:v>R</ns0:v>
      </ns0:c>
      <ns0:c r="M578" t="str" s="13">
        <ns0:v>Symbols\MY_LIB_Resistors.SchLib</ns0:v>
      </ns0:c>
      <ns0:c r="N578" t="str" s="13">
        <ns0:v>RESC2012X70N</ns0:v>
      </ns0:c>
      <ns0:c r="O578" t="str" s="13">
        <ns0:v>Footprints\PBL - SMD Packages.PcbLib</ns0:v>
      </ns0:c>
      <ns0:c r="P578" t="str" s="10">
        <ns0:v>RC_L; E24; P при 70 °C; U ≤ min(√(P·R), Umax)</ns0:v>
      </ns0:c>
      <ns0:c r="Q578" s="10"/>
      <ns0:c r="R578" t="str" s="11">
        <ns0:f>D578</ns0:f>
        <ns0:v>620 кОм</ns0:v>
      </ns0:c>
      <ns0:c r="S578" t="str" s="11">
        <ns0:f>K578</ns0:f>
        <ns0:v>Резистор 620 кОм ±1% 0805</ns0:v>
      </ns0:c>
      <x:c xmlns:x="http://schemas.openxmlformats.org/spreadsheetml/2006/main" r="T578" t="str" s="11">
        <x:v>C:\Users\Nomatin\Documents\Altium\MY_LIB\MY_LIB\Datasheets\YAGEO_RC_L.pdf</x:v>
      </x:c>
      <x:c xmlns:x="http://schemas.openxmlformats.org/spreadsheetml/2006/main" r="U578" t="str" s="11">
        <x:v>Даташит — локальный</x:v>
      </x:c>
      <x:c xmlns:x="http://schemas.openxmlformats.org/spreadsheetml/2006/main" r="V578" t="str" s="11">
        <x:v>C:\Users\Nomatin\Documents\Altium\MY_LIB\MY_LIB\Datasheets\YAGEO_RC_L.pdf</x:v>
      </x:c>
      <x:c xmlns:x="http://schemas.openxmlformats.org/spreadsheetml/2006/main" r="W578" t="str" s="11">
        <x:v>Даташит — производитель</x:v>
      </x:c>
      <x:c xmlns:x="http://schemas.openxmlformats.org/spreadsheetml/2006/main" r="X578" t="str" s="11">
        <x:v>https://yageogroup.com/content/datasheet/asset/file/PYU-RC_GROUP_51_ROHS_L</x:v>
      </x:c>
      <x:c xmlns:x="http://schemas.openxmlformats.org/spreadsheetml/2006/main" r="Y578" t="str" s="11">
        <x:v>C:\Users\Nomatin\Documents\Altium\MY_LIB\MY_LIB\Datasheets\YAGEO_RC_L.pdf</x:v>
      </x:c>
    </ns0:row>
    <ns0:row xmlns:ns0="http://schemas.openxmlformats.org/spreadsheetml/2006/main" r="579" ht="30" customHeight="1">
      <ns0:c r="A579" t="str" s="10">
        <ns0:v>R0585</ns0:v>
      </ns0:c>
      <ns0:c r="B579" t="str" s="10">
        <ns0:v>Резистор</ns0:v>
      </ns0:c>
      <ns0:c r="C579" t="str" s="10">
        <ns0:v>680k</ns0:v>
      </ns0:c>
      <ns0:c r="D579" t="str" s="11">
        <ns0:f>SUBSTITUTE(SUBSTITUTE(SUBSTITUTE(SUBSTITUTE(C579,"meg"," МОм"),"k"," кОм"),"R"," Ом"),".",",")</ns0:f>
        <ns0:v>680 кОм</ns0:v>
      </ns0:c>
      <ns0:c r="E579" t="str" s="10">
        <ns0:v>±1%</ns0:v>
      </ns0:c>
      <ns0:c r="F579" t="str" s="10">
        <ns0:v>0,125 Вт</ns0:v>
      </ns0:c>
      <ns0:c r="G579" t="str" s="10">
        <ns0:v>150 В макс.</ns0:v>
      </ns0:c>
      <ns0:c r="H579" t="str" s="12">
        <ns0:v>0805</ns0:v>
      </ns0:c>
      <ns0:c r="I579" t="str" s="10">
        <ns0:v>YAGEO</ns0:v>
      </ns0:c>
      <ns0:c r="J579" t="str" s="10">
        <ns0:v>RC0805FR-07680KL</ns0:v>
      </ns0:c>
      <ns0:c r="K579" t="str" s="11">
        <ns0:f>B579&amp;" "&amp;D579&amp;" "&amp;E579&amp;" "&amp;H579</ns0:f>
        <ns0:v>Резистор 680 кОм ±1% 0805</ns0:v>
      </ns0:c>
      <ns0:c r="L579" t="str" s="13">
        <ns0:v>R</ns0:v>
      </ns0:c>
      <ns0:c r="M579" t="str" s="13">
        <ns0:v>Symbols\MY_LIB_Resistors.SchLib</ns0:v>
      </ns0:c>
      <ns0:c r="N579" t="str" s="13">
        <ns0:v>RESC2012X70N</ns0:v>
      </ns0:c>
      <ns0:c r="O579" t="str" s="13">
        <ns0:v>Footprints\PBL - SMD Packages.PcbLib</ns0:v>
      </ns0:c>
      <ns0:c r="P579" t="str" s="10">
        <ns0:v>RC_L; E24; P при 70 °C; U ≤ min(√(P·R), Umax)</ns0:v>
      </ns0:c>
      <ns0:c r="Q579" s="10"/>
      <ns0:c r="R579" t="str" s="11">
        <ns0:f>D579</ns0:f>
        <ns0:v>680 кОм</ns0:v>
      </ns0:c>
      <ns0:c r="S579" t="str" s="11">
        <ns0:f>K579</ns0:f>
        <ns0:v>Резистор 680 кОм ±1% 0805</ns0:v>
      </ns0:c>
      <x:c xmlns:x="http://schemas.openxmlformats.org/spreadsheetml/2006/main" r="T579" t="str" s="11">
        <x:v>C:\Users\Nomatin\Documents\Altium\MY_LIB\MY_LIB\Datasheets\YAGEO_RC_L.pdf</x:v>
      </x:c>
      <x:c xmlns:x="http://schemas.openxmlformats.org/spreadsheetml/2006/main" r="U579" t="str" s="11">
        <x:v>Даташит — локальный</x:v>
      </x:c>
      <x:c xmlns:x="http://schemas.openxmlformats.org/spreadsheetml/2006/main" r="V579" t="str" s="11">
        <x:v>C:\Users\Nomatin\Documents\Altium\MY_LIB\MY_LIB\Datasheets\YAGEO_RC_L.pdf</x:v>
      </x:c>
      <x:c xmlns:x="http://schemas.openxmlformats.org/spreadsheetml/2006/main" r="W579" t="str" s="11">
        <x:v>Даташит — производитель</x:v>
      </x:c>
      <x:c xmlns:x="http://schemas.openxmlformats.org/spreadsheetml/2006/main" r="X579" t="str" s="11">
        <x:v>https://yageogroup.com/content/datasheet/asset/file/PYU-RC_GROUP_51_ROHS_L</x:v>
      </x:c>
      <x:c xmlns:x="http://schemas.openxmlformats.org/spreadsheetml/2006/main" r="Y579" t="str" s="11">
        <x:v>C:\Users\Nomatin\Documents\Altium\MY_LIB\MY_LIB\Datasheets\YAGEO_RC_L.pdf</x:v>
      </x:c>
    </ns0:row>
    <ns0:row xmlns:ns0="http://schemas.openxmlformats.org/spreadsheetml/2006/main" r="580" ht="30" customHeight="1">
      <ns0:c r="A580" t="str" s="10">
        <ns0:v>R0586</ns0:v>
      </ns0:c>
      <ns0:c r="B580" t="str" s="10">
        <ns0:v>Резистор</ns0:v>
      </ns0:c>
      <ns0:c r="C580" t="str" s="10">
        <ns0:v>750k</ns0:v>
      </ns0:c>
      <ns0:c r="D580" t="str" s="11">
        <ns0:f>SUBSTITUTE(SUBSTITUTE(SUBSTITUTE(SUBSTITUTE(C580,"meg"," МОм"),"k"," кОм"),"R"," Ом"),".",",")</ns0:f>
        <ns0:v>750 кОм</ns0:v>
      </ns0:c>
      <ns0:c r="E580" t="str" s="10">
        <ns0:v>±1%</ns0:v>
      </ns0:c>
      <ns0:c r="F580" t="str" s="10">
        <ns0:v>0,125 Вт</ns0:v>
      </ns0:c>
      <ns0:c r="G580" t="str" s="10">
        <ns0:v>150 В макс.</ns0:v>
      </ns0:c>
      <ns0:c r="H580" t="str" s="12">
        <ns0:v>0805</ns0:v>
      </ns0:c>
      <ns0:c r="I580" t="str" s="10">
        <ns0:v>YAGEO</ns0:v>
      </ns0:c>
      <ns0:c r="J580" t="str" s="10">
        <ns0:v>RC0805FR-07750KL</ns0:v>
      </ns0:c>
      <ns0:c r="K580" t="str" s="11">
        <ns0:f>B580&amp;" "&amp;D580&amp;" "&amp;E580&amp;" "&amp;H580</ns0:f>
        <ns0:v>Резистор 750 кОм ±1% 0805</ns0:v>
      </ns0:c>
      <ns0:c r="L580" t="str" s="13">
        <ns0:v>R</ns0:v>
      </ns0:c>
      <ns0:c r="M580" t="str" s="13">
        <ns0:v>Symbols\MY_LIB_Resistors.SchLib</ns0:v>
      </ns0:c>
      <ns0:c r="N580" t="str" s="13">
        <ns0:v>RESC2012X70N</ns0:v>
      </ns0:c>
      <ns0:c r="O580" t="str" s="13">
        <ns0:v>Footprints\PBL - SMD Packages.PcbLib</ns0:v>
      </ns0:c>
      <ns0:c r="P580" t="str" s="10">
        <ns0:v>RC_L; E24; P при 70 °C; U ≤ min(√(P·R), Umax)</ns0:v>
      </ns0:c>
      <ns0:c r="Q580" s="10"/>
      <ns0:c r="R580" t="str" s="11">
        <ns0:f>D580</ns0:f>
        <ns0:v>750 кОм</ns0:v>
      </ns0:c>
      <ns0:c r="S580" t="str" s="11">
        <ns0:f>K580</ns0:f>
        <ns0:v>Резистор 750 кОм ±1% 0805</ns0:v>
      </ns0:c>
      <x:c xmlns:x="http://schemas.openxmlformats.org/spreadsheetml/2006/main" r="T580" t="str" s="11">
        <x:v>C:\Users\Nomatin\Documents\Altium\MY_LIB\MY_LIB\Datasheets\YAGEO_RC_L.pdf</x:v>
      </x:c>
      <x:c xmlns:x="http://schemas.openxmlformats.org/spreadsheetml/2006/main" r="U580" t="str" s="11">
        <x:v>Даташит — локальный</x:v>
      </x:c>
      <x:c xmlns:x="http://schemas.openxmlformats.org/spreadsheetml/2006/main" r="V580" t="str" s="11">
        <x:v>C:\Users\Nomatin\Documents\Altium\MY_LIB\MY_LIB\Datasheets\YAGEO_RC_L.pdf</x:v>
      </x:c>
      <x:c xmlns:x="http://schemas.openxmlformats.org/spreadsheetml/2006/main" r="W580" t="str" s="11">
        <x:v>Даташит — производитель</x:v>
      </x:c>
      <x:c xmlns:x="http://schemas.openxmlformats.org/spreadsheetml/2006/main" r="X580" t="str" s="11">
        <x:v>https://yageogroup.com/content/datasheet/asset/file/PYU-RC_GROUP_51_ROHS_L</x:v>
      </x:c>
      <x:c xmlns:x="http://schemas.openxmlformats.org/spreadsheetml/2006/main" r="Y580" t="str" s="11">
        <x:v>C:\Users\Nomatin\Documents\Altium\MY_LIB\MY_LIB\Datasheets\YAGEO_RC_L.pdf</x:v>
      </x:c>
    </ns0:row>
    <ns0:row xmlns:ns0="http://schemas.openxmlformats.org/spreadsheetml/2006/main" r="581" ht="30" customHeight="1">
      <ns0:c r="A581" t="str" s="10">
        <ns0:v>R0587</ns0:v>
      </ns0:c>
      <ns0:c r="B581" t="str" s="10">
        <ns0:v>Резистор</ns0:v>
      </ns0:c>
      <ns0:c r="C581" t="str" s="10">
        <ns0:v>820k</ns0:v>
      </ns0:c>
      <ns0:c r="D581" t="str" s="11">
        <ns0:f>SUBSTITUTE(SUBSTITUTE(SUBSTITUTE(SUBSTITUTE(C581,"meg"," МОм"),"k"," кОм"),"R"," Ом"),".",",")</ns0:f>
        <ns0:v>820 кОм</ns0:v>
      </ns0:c>
      <ns0:c r="E581" t="str" s="10">
        <ns0:v>±1%</ns0:v>
      </ns0:c>
      <ns0:c r="F581" t="str" s="10">
        <ns0:v>0,125 Вт</ns0:v>
      </ns0:c>
      <ns0:c r="G581" t="str" s="10">
        <ns0:v>150 В макс.</ns0:v>
      </ns0:c>
      <ns0:c r="H581" t="str" s="12">
        <ns0:v>0805</ns0:v>
      </ns0:c>
      <ns0:c r="I581" t="str" s="10">
        <ns0:v>YAGEO</ns0:v>
      </ns0:c>
      <ns0:c r="J581" t="str" s="10">
        <ns0:v>RC0805FR-07820KL</ns0:v>
      </ns0:c>
      <ns0:c r="K581" t="str" s="11">
        <ns0:f>B581&amp;" "&amp;D581&amp;" "&amp;E581&amp;" "&amp;H581</ns0:f>
        <ns0:v>Резистор 820 кОм ±1% 0805</ns0:v>
      </ns0:c>
      <ns0:c r="L581" t="str" s="13">
        <ns0:v>R</ns0:v>
      </ns0:c>
      <ns0:c r="M581" t="str" s="13">
        <ns0:v>Symbols\MY_LIB_Resistors.SchLib</ns0:v>
      </ns0:c>
      <ns0:c r="N581" t="str" s="13">
        <ns0:v>RESC2012X70N</ns0:v>
      </ns0:c>
      <ns0:c r="O581" t="str" s="13">
        <ns0:v>Footprints\PBL - SMD Packages.PcbLib</ns0:v>
      </ns0:c>
      <ns0:c r="P581" t="str" s="10">
        <ns0:v>RC_L; E24; P при 70 °C; U ≤ min(√(P·R), Umax)</ns0:v>
      </ns0:c>
      <ns0:c r="Q581" s="10"/>
      <ns0:c r="R581" t="str" s="11">
        <ns0:f>D581</ns0:f>
        <ns0:v>820 кОм</ns0:v>
      </ns0:c>
      <ns0:c r="S581" t="str" s="11">
        <ns0:f>K581</ns0:f>
        <ns0:v>Резистор 820 кОм ±1% 0805</ns0:v>
      </ns0:c>
      <x:c xmlns:x="http://schemas.openxmlformats.org/spreadsheetml/2006/main" r="T581" t="str" s="11">
        <x:v>C:\Users\Nomatin\Documents\Altium\MY_LIB\MY_LIB\Datasheets\YAGEO_RC_L.pdf</x:v>
      </x:c>
      <x:c xmlns:x="http://schemas.openxmlformats.org/spreadsheetml/2006/main" r="U581" t="str" s="11">
        <x:v>Даташит — локальный</x:v>
      </x:c>
      <x:c xmlns:x="http://schemas.openxmlformats.org/spreadsheetml/2006/main" r="V581" t="str" s="11">
        <x:v>C:\Users\Nomatin\Documents\Altium\MY_LIB\MY_LIB\Datasheets\YAGEO_RC_L.pdf</x:v>
      </x:c>
      <x:c xmlns:x="http://schemas.openxmlformats.org/spreadsheetml/2006/main" r="W581" t="str" s="11">
        <x:v>Даташит — производитель</x:v>
      </x:c>
      <x:c xmlns:x="http://schemas.openxmlformats.org/spreadsheetml/2006/main" r="X581" t="str" s="11">
        <x:v>https://yageogroup.com/content/datasheet/asset/file/PYU-RC_GROUP_51_ROHS_L</x:v>
      </x:c>
      <x:c xmlns:x="http://schemas.openxmlformats.org/spreadsheetml/2006/main" r="Y581" t="str" s="11">
        <x:v>C:\Users\Nomatin\Documents\Altium\MY_LIB\MY_LIB\Datasheets\YAGEO_RC_L.pdf</x:v>
      </x:c>
    </ns0:row>
    <ns0:row xmlns:ns0="http://schemas.openxmlformats.org/spreadsheetml/2006/main" r="582" ht="30" customHeight="1">
      <ns0:c r="A582" t="str" s="10">
        <ns0:v>R0588</ns0:v>
      </ns0:c>
      <ns0:c r="B582" t="str" s="10">
        <ns0:v>Резистор</ns0:v>
      </ns0:c>
      <ns0:c r="C582" t="str" s="10">
        <ns0:v>910k</ns0:v>
      </ns0:c>
      <ns0:c r="D582" t="str" s="11">
        <ns0:f>SUBSTITUTE(SUBSTITUTE(SUBSTITUTE(SUBSTITUTE(C582,"meg"," МОм"),"k"," кОм"),"R"," Ом"),".",",")</ns0:f>
        <ns0:v>910 кОм</ns0:v>
      </ns0:c>
      <ns0:c r="E582" t="str" s="10">
        <ns0:v>±1%</ns0:v>
      </ns0:c>
      <ns0:c r="F582" t="str" s="10">
        <ns0:v>0,125 Вт</ns0:v>
      </ns0:c>
      <ns0:c r="G582" t="str" s="10">
        <ns0:v>150 В макс.</ns0:v>
      </ns0:c>
      <ns0:c r="H582" t="str" s="12">
        <ns0:v>0805</ns0:v>
      </ns0:c>
      <ns0:c r="I582" t="str" s="10">
        <ns0:v>YAGEO</ns0:v>
      </ns0:c>
      <ns0:c r="J582" t="str" s="10">
        <ns0:v>RC0805FR-07910KL</ns0:v>
      </ns0:c>
      <ns0:c r="K582" t="str" s="11">
        <ns0:f>B582&amp;" "&amp;D582&amp;" "&amp;E582&amp;" "&amp;H582</ns0:f>
        <ns0:v>Резистор 910 кОм ±1% 0805</ns0:v>
      </ns0:c>
      <ns0:c r="L582" t="str" s="13">
        <ns0:v>R</ns0:v>
      </ns0:c>
      <ns0:c r="M582" t="str" s="13">
        <ns0:v>Symbols\MY_LIB_Resistors.SchLib</ns0:v>
      </ns0:c>
      <ns0:c r="N582" t="str" s="13">
        <ns0:v>RESC2012X70N</ns0:v>
      </ns0:c>
      <ns0:c r="O582" t="str" s="13">
        <ns0:v>Footprints\PBL - SMD Packages.PcbLib</ns0:v>
      </ns0:c>
      <ns0:c r="P582" t="str" s="10">
        <ns0:v>RC_L; E24; P при 70 °C; U ≤ min(√(P·R), Umax)</ns0:v>
      </ns0:c>
      <ns0:c r="Q582" s="10"/>
      <ns0:c r="R582" t="str" s="11">
        <ns0:f>D582</ns0:f>
        <ns0:v>910 кОм</ns0:v>
      </ns0:c>
      <ns0:c r="S582" t="str" s="11">
        <ns0:f>K582</ns0:f>
        <ns0:v>Резистор 910 кОм ±1% 0805</ns0:v>
      </ns0:c>
      <x:c xmlns:x="http://schemas.openxmlformats.org/spreadsheetml/2006/main" r="T582" t="str" s="11">
        <x:v>C:\Users\Nomatin\Documents\Altium\MY_LIB\MY_LIB\Datasheets\YAGEO_RC_L.pdf</x:v>
      </x:c>
      <x:c xmlns:x="http://schemas.openxmlformats.org/spreadsheetml/2006/main" r="U582" t="str" s="11">
        <x:v>Даташит — локальный</x:v>
      </x:c>
      <x:c xmlns:x="http://schemas.openxmlformats.org/spreadsheetml/2006/main" r="V582" t="str" s="11">
        <x:v>C:\Users\Nomatin\Documents\Altium\MY_LIB\MY_LIB\Datasheets\YAGEO_RC_L.pdf</x:v>
      </x:c>
      <x:c xmlns:x="http://schemas.openxmlformats.org/spreadsheetml/2006/main" r="W582" t="str" s="11">
        <x:v>Даташит — производитель</x:v>
      </x:c>
      <x:c xmlns:x="http://schemas.openxmlformats.org/spreadsheetml/2006/main" r="X582" t="str" s="11">
        <x:v>https://yageogroup.com/content/datasheet/asset/file/PYU-RC_GROUP_51_ROHS_L</x:v>
      </x:c>
      <x:c xmlns:x="http://schemas.openxmlformats.org/spreadsheetml/2006/main" r="Y582" t="str" s="11">
        <x:v>C:\Users\Nomatin\Documents\Altium\MY_LIB\MY_LIB\Datasheets\YAGEO_RC_L.pdf</x:v>
      </x:c>
    </ns0:row>
    <ns0:row xmlns:ns0="http://schemas.openxmlformats.org/spreadsheetml/2006/main" r="583" ht="30" customHeight="1">
      <ns0:c r="A583" t="str" s="10">
        <ns0:v>R0589</ns0:v>
      </ns0:c>
      <ns0:c r="B583" t="str" s="10">
        <ns0:v>Резистор</ns0:v>
      </ns0:c>
      <ns0:c r="C583" t="str" s="10">
        <ns0:v>1meg</ns0:v>
      </ns0:c>
      <ns0:c r="D583" t="str" s="11">
        <ns0:f>SUBSTITUTE(SUBSTITUTE(SUBSTITUTE(SUBSTITUTE(C583,"meg"," МОм"),"k"," кОм"),"R"," Ом"),".",",")</ns0:f>
        <ns0:v>1 МОм</ns0:v>
      </ns0:c>
      <ns0:c r="E583" t="str" s="10">
        <ns0:v>±1%</ns0:v>
      </ns0:c>
      <ns0:c r="F583" t="str" s="10">
        <ns0:v>0,125 Вт</ns0:v>
      </ns0:c>
      <ns0:c r="G583" t="str" s="10">
        <ns0:v>150 В макс.</ns0:v>
      </ns0:c>
      <ns0:c r="H583" t="str" s="12">
        <ns0:v>0805</ns0:v>
      </ns0:c>
      <ns0:c r="I583" t="str" s="10">
        <ns0:v>YAGEO</ns0:v>
      </ns0:c>
      <ns0:c r="J583" t="str" s="10">
        <ns0:v>RC0805FR-071ML</ns0:v>
      </ns0:c>
      <ns0:c r="K583" t="str" s="11">
        <ns0:f>B583&amp;" "&amp;D583&amp;" "&amp;E583&amp;" "&amp;H583</ns0:f>
        <ns0:v>Резистор 1 МОм ±1% 0805</ns0:v>
      </ns0:c>
      <ns0:c r="L583" t="str" s="13">
        <ns0:v>R</ns0:v>
      </ns0:c>
      <ns0:c r="M583" t="str" s="13">
        <ns0:v>Symbols\MY_LIB_Resistors.SchLib</ns0:v>
      </ns0:c>
      <ns0:c r="N583" t="str" s="13">
        <ns0:v>RESC2012X70N</ns0:v>
      </ns0:c>
      <ns0:c r="O583" t="str" s="13">
        <ns0:v>Footprints\PBL - SMD Packages.PcbLib</ns0:v>
      </ns0:c>
      <ns0:c r="P583" t="str" s="10">
        <ns0:v>RC_L; E24; P при 70 °C; U ≤ min(√(P·R), Umax)</ns0:v>
      </ns0:c>
      <ns0:c r="Q583" s="10"/>
      <ns0:c r="R583" t="str" s="11">
        <ns0:f>D583</ns0:f>
        <ns0:v>1 МОм</ns0:v>
      </ns0:c>
      <ns0:c r="S583" t="str" s="11">
        <ns0:f>K583</ns0:f>
        <ns0:v>Резистор 1 МОм ±1% 0805</ns0:v>
      </ns0:c>
      <x:c xmlns:x="http://schemas.openxmlformats.org/spreadsheetml/2006/main" r="T583" t="str" s="11">
        <x:v>C:\Users\Nomatin\Documents\Altium\MY_LIB\MY_LIB\Datasheets\YAGEO_RC_L.pdf</x:v>
      </x:c>
      <x:c xmlns:x="http://schemas.openxmlformats.org/spreadsheetml/2006/main" r="U583" t="str" s="11">
        <x:v>Даташит — локальный</x:v>
      </x:c>
      <x:c xmlns:x="http://schemas.openxmlformats.org/spreadsheetml/2006/main" r="V583" t="str" s="11">
        <x:v>C:\Users\Nomatin\Documents\Altium\MY_LIB\MY_LIB\Datasheets\YAGEO_RC_L.pdf</x:v>
      </x:c>
      <x:c xmlns:x="http://schemas.openxmlformats.org/spreadsheetml/2006/main" r="W583" t="str" s="11">
        <x:v>Даташит — производитель</x:v>
      </x:c>
      <x:c xmlns:x="http://schemas.openxmlformats.org/spreadsheetml/2006/main" r="X583" t="str" s="11">
        <x:v>https://yageogroup.com/content/datasheet/asset/file/PYU-RC_GROUP_51_ROHS_L</x:v>
      </x:c>
      <x:c xmlns:x="http://schemas.openxmlformats.org/spreadsheetml/2006/main" r="Y583" t="str" s="11">
        <x:v>C:\Users\Nomatin\Documents\Altium\MY_LIB\MY_LIB\Datasheets\YAGEO_RC_L.pdf</x:v>
      </x:c>
    </ns0:row>
  </ns0:sheetData>
  <x:pageMargins left="0.7" right="0.7" top="0.75" bottom="0.75" header="0.3" footer="0.3"/>
  <x:tableParts count="1">
    <x:tablePart xmlns:r="http://schemas.openxmlformats.org/officeDocument/2006/relationships" r:id="R485285ebd89b4ff3"/>
  </x:tableParts>
</x:worksheet>
</file>

<file path=xl/worksheets/sheet2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defaultRowHeight="14.25"/>
  <x:cols>
    <x:col min="1" max="1" width="12" customWidth="1"/>
    <x:col min="2" max="2" width="20" customWidth="1"/>
    <x:col min="3" max="3" width="13" customWidth="1"/>
    <x:col min="4" max="4" width="19" customWidth="1"/>
    <x:col min="5" max="5" width="15" customWidth="1"/>
    <x:col min="6" max="6" width="16" customWidth="1"/>
    <x:col min="7" max="7" width="14" customWidth="1"/>
    <x:col min="8" max="8" width="18" customWidth="1"/>
    <x:col min="9" max="9" width="14" customWidth="1"/>
    <x:col min="10" max="10" width="24" customWidth="1"/>
    <x:col min="11" max="11" width="22" customWidth="1"/>
    <x:col min="12" max="12" width="61" customWidth="1"/>
    <x:col min="13" max="13" width="22" customWidth="1"/>
    <x:col min="14" max="14" width="34" hidden="0" customWidth="1"/>
    <x:col min="15" max="15" width="22" customWidth="1"/>
    <x:col min="16" max="16" width="43" hidden="0" customWidth="1"/>
    <x:col min="17" max="17" width="62" customWidth="1"/>
    <x:col min="18" max="18" width="20" hidden="0" customWidth="1"/>
    <x:col min="19" max="19" width="60" hidden="0" customWidth="1"/>
    <x:col min="20" max="20" width="45" customWidth="1"/>
    <x:col min="21" max="21" width="45" customWidth="1"/>
    <x:col min="22" max="22" width="45" customWidth="1"/>
    <x:col min="23" max="23" width="45" customWidth="1"/>
    <x:col min="24" max="24" width="45" customWidth="1"/>
    <x:col min="25" max="25" width="45" customWidth="1"/>
  </x:cols>
  <ns0:sheetData xmlns:ns0="http://schemas.openxmlformats.org/spreadsheetml/2006/main">
    <ns0:row r="1" ht="34.04999923706055" customHeight="1">
      <ns0:c r="A1" t="inlineStr" s="9">
        <ns0:is>
          <ns0:t>ID</ns0:t>
        </ns0:is>
      </ns0:c>
      <ns0:c r="B1" t="inlineStr" s="9">
        <ns0:is>
          <ns0:t>Type</ns0:t>
        </ns0:is>
      </ns0:c>
      <ns0:c r="C1" t="inlineStr" s="9">
        <ns0:is>
          <ns0:t>Value</ns0:t>
        </ns0:is>
      </ns0:c>
      <ns0:c r="D1" t="inlineStr" s="9">
        <ns0:is>
          <ns0:t>ESKD_value</ns0:t>
        </ns0:is>
      </ns0:c>
      <ns0:c r="E1" t="inlineStr" s="9">
        <ns0:is>
          <ns0:t>Tolerance</ns0:t>
        </ns0:is>
      </ns0:c>
      <ns0:c r="F1" t="inlineStr" s="9">
        <ns0:is>
          <ns0:t>Power</ns0:t>
        </ns0:is>
      </ns0:c>
      <ns0:c r="G1" t="inlineStr" s="9">
        <ns0:is>
          <ns0:t>Voltage</ns0:t>
        </ns0:is>
      </ns0:c>
      <ns0:c r="H1" t="inlineStr" s="9">
        <ns0:is>
          <ns0:t>Dielectric</ns0:t>
        </ns0:is>
      </ns0:c>
      <ns0:c r="I1" t="inlineStr" s="9">
        <ns0:is>
          <ns0:t>Package</ns0:t>
        </ns0:is>
      </ns0:c>
      <ns0:c r="J1" t="inlineStr" s="9">
        <ns0:is>
          <ns0:t>Manufacturer</ns0:t>
        </ns0:is>
      </ns0:c>
      <ns0:c r="K1" t="inlineStr" s="9">
        <ns0:is>
          <ns0:t>MPN</ns0:t>
        </ns0:is>
      </ns0:c>
      <ns0:c r="L1" t="inlineStr" s="9">
        <ns0:is>
          <ns0:t>CommentBase</ns0:t>
        </ns0:is>
      </ns0:c>
      <ns0:c r="M1" t="inlineStr" s="9">
        <ns0:is>
          <ns0:t>Library Ref</ns0:t>
        </ns0:is>
      </ns0:c>
      <ns0:c r="N1" t="inlineStr" s="9">
        <ns0:is>
          <ns0:t>Library Path</ns0:t>
        </ns0:is>
      </ns0:c>
      <ns0:c r="O1" t="inlineStr" s="9">
        <ns0:is>
          <ns0:t>Footprint Ref</ns0:t>
        </ns0:is>
      </ns0:c>
      <ns0:c r="P1" t="inlineStr" s="9">
        <ns0:is>
          <ns0:t>Footprint Path</ns0:t>
        </ns0:is>
      </ns0:c>
      <ns0:c r="Q1" t="inlineStr" s="9">
        <ns0:is>
          <ns0:t>Notes</ns0:t>
        </ns0:is>
      </ns0:c>
      <ns0:c r="R1" t="str" s="9">
        <ns0:v>Comment</ns0:v>
      </ns0:c>
      <ns0:c r="S1" t="str" s="9">
        <ns0:v>Description</ns0:v>
      </ns0:c>
      <x:c xmlns:x="http://schemas.openxmlformats.org/spreadsheetml/2006/main" r="T1" t="str" s="9">
        <x:v>Datasheet</x:v>
      </x:c>
      <x:c xmlns:x="http://schemas.openxmlformats.org/spreadsheetml/2006/main" r="U1" t="str" s="9">
        <x:v>ComponentLink1Description</x:v>
      </x:c>
      <x:c xmlns:x="http://schemas.openxmlformats.org/spreadsheetml/2006/main" r="V1" t="str" s="9">
        <x:v>ComponentLink1URL</x:v>
      </x:c>
      <x:c xmlns:x="http://schemas.openxmlformats.org/spreadsheetml/2006/main" r="W1" t="str" s="9">
        <x:v>ComponentLink2Description</x:v>
      </x:c>
      <x:c xmlns:x="http://schemas.openxmlformats.org/spreadsheetml/2006/main" r="X1" t="str" s="9">
        <x:v>ComponentLink2URL</x:v>
      </x:c>
      <x:c xmlns:x="http://schemas.openxmlformats.org/spreadsheetml/2006/main" r="Y1" t="str" s="9">
        <x:v>HelpURL</x:v>
      </x:c>
    </ns0:row>
    <ns0:row r="2" ht="30" customHeight="1">
      <ns0:c r="A2" t="str" s="14">
        <ns0:v>C0003</ns0:v>
      </ns0:c>
      <ns0:c r="B2" t="str" s="14">
        <ns0:v>Конденсатор</ns0:v>
      </ns0:c>
      <ns0:c r="C2" t="str" s="14">
        <ns0:v>100p</ns0:v>
      </ns0:c>
      <ns0:c r="D2" t="str" s="11">
        <ns0:f>SUBSTITUTE(SUBSTITUTE(SUBSTITUTE(SUBSTITUTE(C2,"p"," пФ"),"n"," нФ"),"u"," мкФ"),".",",")</ns0:f>
        <ns0:v>100 пФ</ns0:v>
      </ns0:c>
      <ns0:c r="E2" t="str" s="14">
        <ns0:v>±5%</ns0:v>
      </ns0:c>
      <ns0:c r="F2" s="14"/>
      <ns0:c r="G2" t="str" s="14">
        <ns0:v>100 В</ns0:v>
      </ns0:c>
      <ns0:c r="H2" t="str" s="14">
        <ns0:v>X7R</ns0:v>
      </ns0:c>
      <ns0:c r="I2" t="str" s="15">
        <ns0:v>0805</ns0:v>
      </ns0:c>
      <ns0:c r="J2" t="str" s="14">
        <ns0:v>YAGEO</ns0:v>
      </ns0:c>
      <ns0:c r="K2" t="str" s="14">
        <ns0:v>CC0805JRX7R0BB101</ns0:v>
      </ns0:c>
      <ns0:c r="L2" t="str" s="11">
        <ns0:f>B2&amp;" "&amp;D2&amp;" "&amp;E2&amp;" "&amp;G2&amp;" "&amp;H2&amp;" "&amp;I2</ns0:f>
        <ns0:v>Конденсатор 100 пФ ±5% 100 В X7R 0805</ns0:v>
      </ns0:c>
      <ns0:c r="M2" t="str" s="13">
        <ns0:v>C</ns0:v>
      </ns0:c>
      <ns0:c r="N2" t="str" s="13">
        <ns0:v>Symbols\MY_LIB_Capacitors.SchLib</ns0:v>
      </ns0:c>
      <ns0:c r="O2" t="str" s="13">
        <ns0:v>CAPC2012X135N</ns0:v>
      </ns0:c>
      <ns0:c r="P2" t="str" s="13">
        <ns0:v>Footprints\PBL - SMD Packages.PcbLib</ns0:v>
      </ns0:c>
      <ns0:c r="Q2" t="str" s="14">
        <ns0:v>YAGEO CC; список 20.10.2026</ns0:v>
      </ns0:c>
      <ns0:c r="R2" t="str" s="11">
        <ns0:f>D2</ns0:f>
        <ns0:v>100 пФ</ns0:v>
      </ns0:c>
      <ns0:c r="S2" t="str" s="11">
        <ns0:f>L2</ns0:f>
        <ns0:v>Конденсатор 100 пФ ±5% 100 В X7R 0805</ns0:v>
      </ns0:c>
      <x:c xmlns:x="http://schemas.openxmlformats.org/spreadsheetml/2006/main" r="T2" t="str" s="11">
        <x:v>C:\Users\Nomatin\Documents\Altium\MY_LIB\MY_LIB\Datasheets\YAGEO_CC_X7R.pdf</x:v>
      </x:c>
      <x:c xmlns:x="http://schemas.openxmlformats.org/spreadsheetml/2006/main" r="U2" t="str" s="11">
        <x:v>Даташит — локальный</x:v>
      </x:c>
      <x:c xmlns:x="http://schemas.openxmlformats.org/spreadsheetml/2006/main" r="V2" t="str" s="11">
        <x:v>C:\Users\Nomatin\Documents\Altium\MY_LIB\MY_LIB\Datasheets\YAGEO_CC_X7R.pdf</x:v>
      </x:c>
      <x:c xmlns:x="http://schemas.openxmlformats.org/spreadsheetml/2006/main" r="W2" t="str" s="11">
        <x:v>Даташит — производитель</x:v>
      </x:c>
      <x:c xmlns:x="http://schemas.openxmlformats.org/spreadsheetml/2006/main" r="X2" t="str" s="11">
        <x:v>https://yageogroup.com/content/datasheet/asset/file/UPY-GPHC_X7R_6_3V-TO-250V</x:v>
      </x:c>
      <x:c xmlns:x="http://schemas.openxmlformats.org/spreadsheetml/2006/main" r="Y2" t="str" s="11">
        <x:v>C:\Users\Nomatin\Documents\Altium\MY_LIB\MY_LIB\Datasheets\YAGEO_CC_X7R.pdf</x:v>
      </x:c>
    </ns0:row>
    <ns0:row r="3" ht="30" customHeight="1">
      <ns0:c r="A3" t="str" s="14">
        <ns0:v>C0004</ns0:v>
      </ns0:c>
      <ns0:c r="B3" t="str" s="14">
        <ns0:v>Конденсатор</ns0:v>
      </ns0:c>
      <ns0:c r="C3" t="str" s="14">
        <ns0:v>150p</ns0:v>
      </ns0:c>
      <ns0:c r="D3" t="str" s="11">
        <ns0:f>SUBSTITUTE(SUBSTITUTE(SUBSTITUTE(SUBSTITUTE(C3,"p"," пФ"),"n"," нФ"),"u"," мкФ"),".",",")</ns0:f>
        <ns0:v>150 пФ</ns0:v>
      </ns0:c>
      <ns0:c r="E3" t="str" s="14">
        <ns0:v>±5%</ns0:v>
      </ns0:c>
      <ns0:c r="F3" s="14"/>
      <ns0:c r="G3" t="str" s="14">
        <ns0:v>100 В</ns0:v>
      </ns0:c>
      <ns0:c r="H3" t="str" s="14">
        <ns0:v>X7R</ns0:v>
      </ns0:c>
      <ns0:c r="I3" t="str" s="15">
        <ns0:v>0805</ns0:v>
      </ns0:c>
      <ns0:c r="J3" t="str" s="14">
        <ns0:v>YAGEO</ns0:v>
      </ns0:c>
      <ns0:c r="K3" t="str" s="14">
        <ns0:v>CC0805JRX7R0BB151</ns0:v>
      </ns0:c>
      <ns0:c r="L3" t="str" s="11">
        <ns0:f>B3&amp;" "&amp;D3&amp;" "&amp;E3&amp;" "&amp;G3&amp;" "&amp;H3&amp;" "&amp;I3</ns0:f>
        <ns0:v>Конденсатор 150 пФ ±5% 100 В X7R 0805</ns0:v>
      </ns0:c>
      <ns0:c r="M3" t="str" s="13">
        <ns0:v>C</ns0:v>
      </ns0:c>
      <ns0:c r="N3" t="str" s="13">
        <ns0:v>Symbols\MY_LIB_Capacitors.SchLib</ns0:v>
      </ns0:c>
      <ns0:c r="O3" t="str" s="13">
        <ns0:v>CAPC2012X135N</ns0:v>
      </ns0:c>
      <ns0:c r="P3" t="str" s="13">
        <ns0:v>Footprints\PBL - SMD Packages.PcbLib</ns0:v>
      </ns0:c>
      <ns0:c r="Q3" t="str" s="14">
        <ns0:v>YAGEO CC; список 20.10.2026</ns0:v>
      </ns0:c>
      <ns0:c r="R3" t="str" s="11">
        <ns0:f>D3</ns0:f>
        <ns0:v>150 пФ</ns0:v>
      </ns0:c>
      <ns0:c r="S3" t="str" s="11">
        <ns0:f>L3</ns0:f>
        <ns0:v>Конденсатор 150 пФ ±5% 100 В X7R 0805</ns0:v>
      </ns0:c>
      <x:c xmlns:x="http://schemas.openxmlformats.org/spreadsheetml/2006/main" r="T3" t="str" s="11">
        <x:v>C:\Users\Nomatin\Documents\Altium\MY_LIB\MY_LIB\Datasheets\YAGEO_CC_X7R.pdf</x:v>
      </x:c>
      <x:c xmlns:x="http://schemas.openxmlformats.org/spreadsheetml/2006/main" r="U3" t="str" s="11">
        <x:v>Даташит — локальный</x:v>
      </x:c>
      <x:c xmlns:x="http://schemas.openxmlformats.org/spreadsheetml/2006/main" r="V3" t="str" s="11">
        <x:v>C:\Users\Nomatin\Documents\Altium\MY_LIB\MY_LIB\Datasheets\YAGEO_CC_X7R.pdf</x:v>
      </x:c>
      <x:c xmlns:x="http://schemas.openxmlformats.org/spreadsheetml/2006/main" r="W3" t="str" s="11">
        <x:v>Даташит — производитель</x:v>
      </x:c>
      <x:c xmlns:x="http://schemas.openxmlformats.org/spreadsheetml/2006/main" r="X3" t="str" s="11">
        <x:v>https://yageogroup.com/content/datasheet/asset/file/UPY-GPHC_X7R_6_3V-TO-250V</x:v>
      </x:c>
      <x:c xmlns:x="http://schemas.openxmlformats.org/spreadsheetml/2006/main" r="Y3" t="str" s="11">
        <x:v>C:\Users\Nomatin\Documents\Altium\MY_LIB\MY_LIB\Datasheets\YAGEO_CC_X7R.pdf</x:v>
      </x:c>
    </ns0:row>
    <ns0:row r="4" ht="30" customHeight="1">
      <ns0:c r="A4" t="str" s="14">
        <ns0:v>C0005</ns0:v>
      </ns0:c>
      <ns0:c r="B4" t="str" s="14">
        <ns0:v>Конденсатор</ns0:v>
      </ns0:c>
      <ns0:c r="C4" t="str" s="14">
        <ns0:v>180p</ns0:v>
      </ns0:c>
      <ns0:c r="D4" t="str" s="11">
        <ns0:f>SUBSTITUTE(SUBSTITUTE(SUBSTITUTE(SUBSTITUTE(C4,"p"," пФ"),"n"," нФ"),"u"," мкФ"),".",",")</ns0:f>
        <ns0:v>180 пФ</ns0:v>
      </ns0:c>
      <ns0:c r="E4" t="str" s="14">
        <ns0:v>±5%</ns0:v>
      </ns0:c>
      <ns0:c r="F4" s="14"/>
      <ns0:c r="G4" t="str" s="14">
        <ns0:v>100 В</ns0:v>
      </ns0:c>
      <ns0:c r="H4" t="str" s="14">
        <ns0:v>X7R</ns0:v>
      </ns0:c>
      <ns0:c r="I4" t="str" s="15">
        <ns0:v>0805</ns0:v>
      </ns0:c>
      <ns0:c r="J4" t="str" s="14">
        <ns0:v>YAGEO</ns0:v>
      </ns0:c>
      <ns0:c r="K4" t="str" s="14">
        <ns0:v>CC0805JRX7R0BB181</ns0:v>
      </ns0:c>
      <ns0:c r="L4" t="str" s="11">
        <ns0:f>B4&amp;" "&amp;D4&amp;" "&amp;E4&amp;" "&amp;G4&amp;" "&amp;H4&amp;" "&amp;I4</ns0:f>
        <ns0:v>Конденсатор 180 пФ ±5% 100 В X7R 0805</ns0:v>
      </ns0:c>
      <ns0:c r="M4" t="str" s="13">
        <ns0:v>C</ns0:v>
      </ns0:c>
      <ns0:c r="N4" t="str" s="13">
        <ns0:v>Symbols\MY_LIB_Capacitors.SchLib</ns0:v>
      </ns0:c>
      <ns0:c r="O4" t="str" s="13">
        <ns0:v>CAPC2012X135N</ns0:v>
      </ns0:c>
      <ns0:c r="P4" t="str" s="13">
        <ns0:v>Footprints\PBL - SMD Packages.PcbLib</ns0:v>
      </ns0:c>
      <ns0:c r="Q4" t="str" s="14">
        <ns0:v>YAGEO CC; список 20.10.2026</ns0:v>
      </ns0:c>
      <ns0:c r="R4" t="str" s="11">
        <ns0:f>D4</ns0:f>
        <ns0:v>180 пФ</ns0:v>
      </ns0:c>
      <ns0:c r="S4" t="str" s="11">
        <ns0:f>L4</ns0:f>
        <ns0:v>Конденсатор 180 пФ ±5% 100 В X7R 0805</ns0:v>
      </ns0:c>
      <x:c xmlns:x="http://schemas.openxmlformats.org/spreadsheetml/2006/main" r="T4" t="str" s="11">
        <x:v>C:\Users\Nomatin\Documents\Altium\MY_LIB\MY_LIB\Datasheets\YAGEO_CC_X7R.pdf</x:v>
      </x:c>
      <x:c xmlns:x="http://schemas.openxmlformats.org/spreadsheetml/2006/main" r="U4" t="str" s="11">
        <x:v>Даташит — локальный</x:v>
      </x:c>
      <x:c xmlns:x="http://schemas.openxmlformats.org/spreadsheetml/2006/main" r="V4" t="str" s="11">
        <x:v>C:\Users\Nomatin\Documents\Altium\MY_LIB\MY_LIB\Datasheets\YAGEO_CC_X7R.pdf</x:v>
      </x:c>
      <x:c xmlns:x="http://schemas.openxmlformats.org/spreadsheetml/2006/main" r="W4" t="str" s="11">
        <x:v>Даташит — производитель</x:v>
      </x:c>
      <x:c xmlns:x="http://schemas.openxmlformats.org/spreadsheetml/2006/main" r="X4" t="str" s="11">
        <x:v>https://yageogroup.com/content/datasheet/asset/file/UPY-GPHC_X7R_6_3V-TO-250V</x:v>
      </x:c>
      <x:c xmlns:x="http://schemas.openxmlformats.org/spreadsheetml/2006/main" r="Y4" t="str" s="11">
        <x:v>C:\Users\Nomatin\Documents\Altium\MY_LIB\MY_LIB\Datasheets\YAGEO_CC_X7R.pdf</x:v>
      </x:c>
    </ns0:row>
    <ns0:row r="5" ht="30" customHeight="1">
      <ns0:c r="A5" t="str" s="14">
        <ns0:v>C0006</ns0:v>
      </ns0:c>
      <ns0:c r="B5" t="str" s="14">
        <ns0:v>Конденсатор</ns0:v>
      </ns0:c>
      <ns0:c r="C5" t="str" s="14">
        <ns0:v>220p</ns0:v>
      </ns0:c>
      <ns0:c r="D5" t="str" s="11">
        <ns0:f>SUBSTITUTE(SUBSTITUTE(SUBSTITUTE(SUBSTITUTE(C5,"p"," пФ"),"n"," нФ"),"u"," мкФ"),".",",")</ns0:f>
        <ns0:v>220 пФ</ns0:v>
      </ns0:c>
      <ns0:c r="E5" t="str" s="14">
        <ns0:v>±5%</ns0:v>
      </ns0:c>
      <ns0:c r="F5" s="14"/>
      <ns0:c r="G5" t="str" s="14">
        <ns0:v>100 В</ns0:v>
      </ns0:c>
      <ns0:c r="H5" t="str" s="14">
        <ns0:v>X7R</ns0:v>
      </ns0:c>
      <ns0:c r="I5" t="str" s="15">
        <ns0:v>0805</ns0:v>
      </ns0:c>
      <ns0:c r="J5" t="str" s="14">
        <ns0:v>YAGEO</ns0:v>
      </ns0:c>
      <ns0:c r="K5" t="str" s="14">
        <ns0:v>CC0805JRX7R0BB221</ns0:v>
      </ns0:c>
      <ns0:c r="L5" t="str" s="11">
        <ns0:f>B5&amp;" "&amp;D5&amp;" "&amp;E5&amp;" "&amp;G5&amp;" "&amp;H5&amp;" "&amp;I5</ns0:f>
        <ns0:v>Конденсатор 220 пФ ±5% 100 В X7R 0805</ns0:v>
      </ns0:c>
      <ns0:c r="M5" t="str" s="13">
        <ns0:v>C</ns0:v>
      </ns0:c>
      <ns0:c r="N5" t="str" s="13">
        <ns0:v>Symbols\MY_LIB_Capacitors.SchLib</ns0:v>
      </ns0:c>
      <ns0:c r="O5" t="str" s="13">
        <ns0:v>CAPC2012X135N</ns0:v>
      </ns0:c>
      <ns0:c r="P5" t="str" s="13">
        <ns0:v>Footprints\PBL - SMD Packages.PcbLib</ns0:v>
      </ns0:c>
      <ns0:c r="Q5" t="str" s="14">
        <ns0:v>YAGEO CC; список 20.10.2026</ns0:v>
      </ns0:c>
      <ns0:c r="R5" t="str" s="11">
        <ns0:f>D5</ns0:f>
        <ns0:v>220 пФ</ns0:v>
      </ns0:c>
      <ns0:c r="S5" t="str" s="11">
        <ns0:f>L5</ns0:f>
        <ns0:v>Конденсатор 220 пФ ±5% 100 В X7R 0805</ns0:v>
      </ns0:c>
      <x:c xmlns:x="http://schemas.openxmlformats.org/spreadsheetml/2006/main" r="T5" t="str" s="11">
        <x:v>C:\Users\Nomatin\Documents\Altium\MY_LIB\MY_LIB\Datasheets\YAGEO_CC_X7R.pdf</x:v>
      </x:c>
      <x:c xmlns:x="http://schemas.openxmlformats.org/spreadsheetml/2006/main" r="U5" t="str" s="11">
        <x:v>Даташит — локальный</x:v>
      </x:c>
      <x:c xmlns:x="http://schemas.openxmlformats.org/spreadsheetml/2006/main" r="V5" t="str" s="11">
        <x:v>C:\Users\Nomatin\Documents\Altium\MY_LIB\MY_LIB\Datasheets\YAGEO_CC_X7R.pdf</x:v>
      </x:c>
      <x:c xmlns:x="http://schemas.openxmlformats.org/spreadsheetml/2006/main" r="W5" t="str" s="11">
        <x:v>Даташит — производитель</x:v>
      </x:c>
      <x:c xmlns:x="http://schemas.openxmlformats.org/spreadsheetml/2006/main" r="X5" t="str" s="11">
        <x:v>https://yageogroup.com/content/datasheet/asset/file/UPY-GPHC_X7R_6_3V-TO-250V</x:v>
      </x:c>
      <x:c xmlns:x="http://schemas.openxmlformats.org/spreadsheetml/2006/main" r="Y5" t="str" s="11">
        <x:v>C:\Users\Nomatin\Documents\Altium\MY_LIB\MY_LIB\Datasheets\YAGEO_CC_X7R.pdf</x:v>
      </x:c>
    </ns0:row>
    <ns0:row r="6" ht="30" customHeight="1">
      <ns0:c r="A6" t="str" s="14">
        <ns0:v>C0007</ns0:v>
      </ns0:c>
      <ns0:c r="B6" t="str" s="14">
        <ns0:v>Конденсатор</ns0:v>
      </ns0:c>
      <ns0:c r="C6" t="str" s="14">
        <ns0:v>270p</ns0:v>
      </ns0:c>
      <ns0:c r="D6" t="str" s="11">
        <ns0:f>SUBSTITUTE(SUBSTITUTE(SUBSTITUTE(SUBSTITUTE(C6,"p"," пФ"),"n"," нФ"),"u"," мкФ"),".",",")</ns0:f>
        <ns0:v>270 пФ</ns0:v>
      </ns0:c>
      <ns0:c r="E6" t="str" s="14">
        <ns0:v>±5%</ns0:v>
      </ns0:c>
      <ns0:c r="F6" s="14"/>
      <ns0:c r="G6" t="str" s="14">
        <ns0:v>100 В</ns0:v>
      </ns0:c>
      <ns0:c r="H6" t="str" s="14">
        <ns0:v>X7R</ns0:v>
      </ns0:c>
      <ns0:c r="I6" t="str" s="15">
        <ns0:v>0805</ns0:v>
      </ns0:c>
      <ns0:c r="J6" t="str" s="14">
        <ns0:v>YAGEO</ns0:v>
      </ns0:c>
      <ns0:c r="K6" t="str" s="14">
        <ns0:v>CC0805JRX7R0BB271</ns0:v>
      </ns0:c>
      <ns0:c r="L6" t="str" s="11">
        <ns0:f>B6&amp;" "&amp;D6&amp;" "&amp;E6&amp;" "&amp;G6&amp;" "&amp;H6&amp;" "&amp;I6</ns0:f>
        <ns0:v>Конденсатор 270 пФ ±5% 100 В X7R 0805</ns0:v>
      </ns0:c>
      <ns0:c r="M6" t="str" s="13">
        <ns0:v>C</ns0:v>
      </ns0:c>
      <ns0:c r="N6" t="str" s="13">
        <ns0:v>Symbols\MY_LIB_Capacitors.SchLib</ns0:v>
      </ns0:c>
      <ns0:c r="O6" t="str" s="13">
        <ns0:v>CAPC2012X135N</ns0:v>
      </ns0:c>
      <ns0:c r="P6" t="str" s="13">
        <ns0:v>Footprints\PBL - SMD Packages.PcbLib</ns0:v>
      </ns0:c>
      <ns0:c r="Q6" t="str" s="14">
        <ns0:v>YAGEO CC; список 20.10.2026</ns0:v>
      </ns0:c>
      <ns0:c r="R6" t="str" s="11">
        <ns0:f>D6</ns0:f>
        <ns0:v>270 пФ</ns0:v>
      </ns0:c>
      <ns0:c r="S6" t="str" s="11">
        <ns0:f>L6</ns0:f>
        <ns0:v>Конденсатор 270 пФ ±5% 100 В X7R 0805</ns0:v>
      </ns0:c>
      <x:c xmlns:x="http://schemas.openxmlformats.org/spreadsheetml/2006/main" r="T6" t="str" s="11">
        <x:v>C:\Users\Nomatin\Documents\Altium\MY_LIB\MY_LIB\Datasheets\YAGEO_CC_X7R.pdf</x:v>
      </x:c>
      <x:c xmlns:x="http://schemas.openxmlformats.org/spreadsheetml/2006/main" r="U6" t="str" s="11">
        <x:v>Даташит — локальный</x:v>
      </x:c>
      <x:c xmlns:x="http://schemas.openxmlformats.org/spreadsheetml/2006/main" r="V6" t="str" s="11">
        <x:v>C:\Users\Nomatin\Documents\Altium\MY_LIB\MY_LIB\Datasheets\YAGEO_CC_X7R.pdf</x:v>
      </x:c>
      <x:c xmlns:x="http://schemas.openxmlformats.org/spreadsheetml/2006/main" r="W6" t="str" s="11">
        <x:v>Даташит — производитель</x:v>
      </x:c>
      <x:c xmlns:x="http://schemas.openxmlformats.org/spreadsheetml/2006/main" r="X6" t="str" s="11">
        <x:v>https://yageogroup.com/content/datasheet/asset/file/UPY-GPHC_X7R_6_3V-TO-250V</x:v>
      </x:c>
      <x:c xmlns:x="http://schemas.openxmlformats.org/spreadsheetml/2006/main" r="Y6" t="str" s="11">
        <x:v>C:\Users\Nomatin\Documents\Altium\MY_LIB\MY_LIB\Datasheets\YAGEO_CC_X7R.pdf</x:v>
      </x:c>
    </ns0:row>
    <ns0:row r="7" ht="30" customHeight="1">
      <ns0:c r="A7" t="str" s="14">
        <ns0:v>C0008</ns0:v>
      </ns0:c>
      <ns0:c r="B7" t="str" s="14">
        <ns0:v>Конденсатор</ns0:v>
      </ns0:c>
      <ns0:c r="C7" t="str" s="14">
        <ns0:v>330p</ns0:v>
      </ns0:c>
      <ns0:c r="D7" t="str" s="11">
        <ns0:f>SUBSTITUTE(SUBSTITUTE(SUBSTITUTE(SUBSTITUTE(C7,"p"," пФ"),"n"," нФ"),"u"," мкФ"),".",",")</ns0:f>
        <ns0:v>330 пФ</ns0:v>
      </ns0:c>
      <ns0:c r="E7" t="str" s="14">
        <ns0:v>±5%</ns0:v>
      </ns0:c>
      <ns0:c r="F7" s="14"/>
      <ns0:c r="G7" t="str" s="14">
        <ns0:v>100 В</ns0:v>
      </ns0:c>
      <ns0:c r="H7" t="str" s="14">
        <ns0:v>X7R</ns0:v>
      </ns0:c>
      <ns0:c r="I7" t="str" s="15">
        <ns0:v>0805</ns0:v>
      </ns0:c>
      <ns0:c r="J7" t="str" s="14">
        <ns0:v>YAGEO</ns0:v>
      </ns0:c>
      <ns0:c r="K7" t="str" s="14">
        <ns0:v>CC0805JRX7R0BB331</ns0:v>
      </ns0:c>
      <ns0:c r="L7" t="str" s="11">
        <ns0:f>B7&amp;" "&amp;D7&amp;" "&amp;E7&amp;" "&amp;G7&amp;" "&amp;H7&amp;" "&amp;I7</ns0:f>
        <ns0:v>Конденсатор 330 пФ ±5% 100 В X7R 0805</ns0:v>
      </ns0:c>
      <ns0:c r="M7" t="str" s="13">
        <ns0:v>C</ns0:v>
      </ns0:c>
      <ns0:c r="N7" t="str" s="13">
        <ns0:v>Symbols\MY_LIB_Capacitors.SchLib</ns0:v>
      </ns0:c>
      <ns0:c r="O7" t="str" s="13">
        <ns0:v>CAPC2012X135N</ns0:v>
      </ns0:c>
      <ns0:c r="P7" t="str" s="13">
        <ns0:v>Footprints\PBL - SMD Packages.PcbLib</ns0:v>
      </ns0:c>
      <ns0:c r="Q7" t="str" s="14">
        <ns0:v>YAGEO CC; список 20.10.2026</ns0:v>
      </ns0:c>
      <ns0:c r="R7" t="str" s="11">
        <ns0:f>D7</ns0:f>
        <ns0:v>330 пФ</ns0:v>
      </ns0:c>
      <ns0:c r="S7" t="str" s="11">
        <ns0:f>L7</ns0:f>
        <ns0:v>Конденсатор 330 пФ ±5% 100 В X7R 0805</ns0:v>
      </ns0:c>
      <x:c xmlns:x="http://schemas.openxmlformats.org/spreadsheetml/2006/main" r="T7" t="str" s="11">
        <x:v>C:\Users\Nomatin\Documents\Altium\MY_LIB\MY_LIB\Datasheets\YAGEO_CC_X7R.pdf</x:v>
      </x:c>
      <x:c xmlns:x="http://schemas.openxmlformats.org/spreadsheetml/2006/main" r="U7" t="str" s="11">
        <x:v>Даташит — локальный</x:v>
      </x:c>
      <x:c xmlns:x="http://schemas.openxmlformats.org/spreadsheetml/2006/main" r="V7" t="str" s="11">
        <x:v>C:\Users\Nomatin\Documents\Altium\MY_LIB\MY_LIB\Datasheets\YAGEO_CC_X7R.pdf</x:v>
      </x:c>
      <x:c xmlns:x="http://schemas.openxmlformats.org/spreadsheetml/2006/main" r="W7" t="str" s="11">
        <x:v>Даташит — производитель</x:v>
      </x:c>
      <x:c xmlns:x="http://schemas.openxmlformats.org/spreadsheetml/2006/main" r="X7" t="str" s="11">
        <x:v>https://yageogroup.com/content/datasheet/asset/file/UPY-GPHC_X7R_6_3V-TO-250V</x:v>
      </x:c>
      <x:c xmlns:x="http://schemas.openxmlformats.org/spreadsheetml/2006/main" r="Y7" t="str" s="11">
        <x:v>C:\Users\Nomatin\Documents\Altium\MY_LIB\MY_LIB\Datasheets\YAGEO_CC_X7R.pdf</x:v>
      </x:c>
    </ns0:row>
    <ns0:row r="8" ht="30" customHeight="1">
      <ns0:c r="A8" t="str" s="14">
        <ns0:v>C0009</ns0:v>
      </ns0:c>
      <ns0:c r="B8" t="str" s="14">
        <ns0:v>Конденсатор</ns0:v>
      </ns0:c>
      <ns0:c r="C8" t="str" s="14">
        <ns0:v>390p</ns0:v>
      </ns0:c>
      <ns0:c r="D8" t="str" s="11">
        <ns0:f>SUBSTITUTE(SUBSTITUTE(SUBSTITUTE(SUBSTITUTE(C8,"p"," пФ"),"n"," нФ"),"u"," мкФ"),".",",")</ns0:f>
        <ns0:v>390 пФ</ns0:v>
      </ns0:c>
      <ns0:c r="E8" t="str" s="14">
        <ns0:v>±5%</ns0:v>
      </ns0:c>
      <ns0:c r="F8" s="14"/>
      <ns0:c r="G8" t="str" s="14">
        <ns0:v>50 В</ns0:v>
      </ns0:c>
      <ns0:c r="H8" t="str" s="14">
        <ns0:v>X7R</ns0:v>
      </ns0:c>
      <ns0:c r="I8" t="str" s="15">
        <ns0:v>0805</ns0:v>
      </ns0:c>
      <ns0:c r="J8" t="str" s="14">
        <ns0:v>YAGEO</ns0:v>
      </ns0:c>
      <ns0:c r="K8" t="str" s="14">
        <ns0:v>CC0805JRX7R9BB391</ns0:v>
      </ns0:c>
      <ns0:c r="L8" t="str" s="11">
        <ns0:f>B8&amp;" "&amp;D8&amp;" "&amp;E8&amp;" "&amp;G8&amp;" "&amp;H8&amp;" "&amp;I8</ns0:f>
        <ns0:v>Конденсатор 390 пФ ±5% 50 В X7R 0805</ns0:v>
      </ns0:c>
      <ns0:c r="M8" t="str" s="13">
        <ns0:v>C</ns0:v>
      </ns0:c>
      <ns0:c r="N8" t="str" s="13">
        <ns0:v>Symbols\MY_LIB_Capacitors.SchLib</ns0:v>
      </ns0:c>
      <ns0:c r="O8" t="str" s="13">
        <ns0:v>CAPC2012X135N</ns0:v>
      </ns0:c>
      <ns0:c r="P8" t="str" s="13">
        <ns0:v>Footprints\PBL - SMD Packages.PcbLib</ns0:v>
      </ns0:c>
      <ns0:c r="Q8" t="str" s="14">
        <ns0:v>YAGEO CC; список 20.10.2026</ns0:v>
      </ns0:c>
      <ns0:c r="R8" t="str" s="11">
        <ns0:f>D8</ns0:f>
        <ns0:v>390 пФ</ns0:v>
      </ns0:c>
      <ns0:c r="S8" t="str" s="11">
        <ns0:f>L8</ns0:f>
        <ns0:v>Конденсатор 390 пФ ±5% 50 В X7R 0805</ns0:v>
      </ns0:c>
      <x:c xmlns:x="http://schemas.openxmlformats.org/spreadsheetml/2006/main" r="T8" t="str" s="11">
        <x:v>C:\Users\Nomatin\Documents\Altium\MY_LIB\MY_LIB\Datasheets\YAGEO_CC_X7R.pdf</x:v>
      </x:c>
      <x:c xmlns:x="http://schemas.openxmlformats.org/spreadsheetml/2006/main" r="U8" t="str" s="11">
        <x:v>Даташит — локальный</x:v>
      </x:c>
      <x:c xmlns:x="http://schemas.openxmlformats.org/spreadsheetml/2006/main" r="V8" t="str" s="11">
        <x:v>C:\Users\Nomatin\Documents\Altium\MY_LIB\MY_LIB\Datasheets\YAGEO_CC_X7R.pdf</x:v>
      </x:c>
      <x:c xmlns:x="http://schemas.openxmlformats.org/spreadsheetml/2006/main" r="W8" t="str" s="11">
        <x:v>Даташит — производитель</x:v>
      </x:c>
      <x:c xmlns:x="http://schemas.openxmlformats.org/spreadsheetml/2006/main" r="X8" t="str" s="11">
        <x:v>https://yageogroup.com/content/datasheet/asset/file/UPY-GPHC_X7R_6_3V-TO-250V</x:v>
      </x:c>
      <x:c xmlns:x="http://schemas.openxmlformats.org/spreadsheetml/2006/main" r="Y8" t="str" s="11">
        <x:v>C:\Users\Nomatin\Documents\Altium\MY_LIB\MY_LIB\Datasheets\YAGEO_CC_X7R.pdf</x:v>
      </x:c>
    </ns0:row>
    <ns0:row r="9" ht="30" customHeight="1">
      <ns0:c r="A9" t="str" s="14">
        <ns0:v>C0010</ns0:v>
      </ns0:c>
      <ns0:c r="B9" t="str" s="14">
        <ns0:v>Конденсатор</ns0:v>
      </ns0:c>
      <ns0:c r="C9" t="str" s="14">
        <ns0:v>470p</ns0:v>
      </ns0:c>
      <ns0:c r="D9" t="str" s="11">
        <ns0:f>SUBSTITUTE(SUBSTITUTE(SUBSTITUTE(SUBSTITUTE(C9,"p"," пФ"),"n"," нФ"),"u"," мкФ"),".",",")</ns0:f>
        <ns0:v>470 пФ</ns0:v>
      </ns0:c>
      <ns0:c r="E9" t="str" s="14">
        <ns0:v>±5%</ns0:v>
      </ns0:c>
      <ns0:c r="F9" s="14"/>
      <ns0:c r="G9" t="str" s="14">
        <ns0:v>100 В</ns0:v>
      </ns0:c>
      <ns0:c r="H9" t="str" s="14">
        <ns0:v>X7R</ns0:v>
      </ns0:c>
      <ns0:c r="I9" t="str" s="15">
        <ns0:v>0805</ns0:v>
      </ns0:c>
      <ns0:c r="J9" t="str" s="14">
        <ns0:v>YAGEO</ns0:v>
      </ns0:c>
      <ns0:c r="K9" t="str" s="14">
        <ns0:v>CC0805JRX7R0BB471</ns0:v>
      </ns0:c>
      <ns0:c r="L9" t="str" s="11">
        <ns0:f>B9&amp;" "&amp;D9&amp;" "&amp;E9&amp;" "&amp;G9&amp;" "&amp;H9&amp;" "&amp;I9</ns0:f>
        <ns0:v>Конденсатор 470 пФ ±5% 100 В X7R 0805</ns0:v>
      </ns0:c>
      <ns0:c r="M9" t="str" s="13">
        <ns0:v>C</ns0:v>
      </ns0:c>
      <ns0:c r="N9" t="str" s="13">
        <ns0:v>Symbols\MY_LIB_Capacitors.SchLib</ns0:v>
      </ns0:c>
      <ns0:c r="O9" t="str" s="13">
        <ns0:v>CAPC2012X135N</ns0:v>
      </ns0:c>
      <ns0:c r="P9" t="str" s="13">
        <ns0:v>Footprints\PBL - SMD Packages.PcbLib</ns0:v>
      </ns0:c>
      <ns0:c r="Q9" t="str" s="14">
        <ns0:v>YAGEO CC; список 20.10.2026</ns0:v>
      </ns0:c>
      <ns0:c r="R9" t="str" s="11">
        <ns0:f>D9</ns0:f>
        <ns0:v>470 пФ</ns0:v>
      </ns0:c>
      <ns0:c r="S9" t="str" s="11">
        <ns0:f>L9</ns0:f>
        <ns0:v>Конденсатор 470 пФ ±5% 100 В X7R 0805</ns0:v>
      </ns0:c>
      <x:c xmlns:x="http://schemas.openxmlformats.org/spreadsheetml/2006/main" r="T9" t="str" s="11">
        <x:v>C:\Users\Nomatin\Documents\Altium\MY_LIB\MY_LIB\Datasheets\YAGEO_CC_X7R.pdf</x:v>
      </x:c>
      <x:c xmlns:x="http://schemas.openxmlformats.org/spreadsheetml/2006/main" r="U9" t="str" s="11">
        <x:v>Даташит — локальный</x:v>
      </x:c>
      <x:c xmlns:x="http://schemas.openxmlformats.org/spreadsheetml/2006/main" r="V9" t="str" s="11">
        <x:v>C:\Users\Nomatin\Documents\Altium\MY_LIB\MY_LIB\Datasheets\YAGEO_CC_X7R.pdf</x:v>
      </x:c>
      <x:c xmlns:x="http://schemas.openxmlformats.org/spreadsheetml/2006/main" r="W9" t="str" s="11">
        <x:v>Даташит — производитель</x:v>
      </x:c>
      <x:c xmlns:x="http://schemas.openxmlformats.org/spreadsheetml/2006/main" r="X9" t="str" s="11">
        <x:v>https://yageogroup.com/content/datasheet/asset/file/UPY-GPHC_X7R_6_3V-TO-250V</x:v>
      </x:c>
      <x:c xmlns:x="http://schemas.openxmlformats.org/spreadsheetml/2006/main" r="Y9" t="str" s="11">
        <x:v>C:\Users\Nomatin\Documents\Altium\MY_LIB\MY_LIB\Datasheets\YAGEO_CC_X7R.pdf</x:v>
      </x:c>
    </ns0:row>
    <ns0:row r="10" ht="30" customHeight="1">
      <ns0:c r="A10" t="str" s="14">
        <ns0:v>C0011</ns0:v>
      </ns0:c>
      <ns0:c r="B10" t="str" s="14">
        <ns0:v>Конденсатор</ns0:v>
      </ns0:c>
      <ns0:c r="C10" t="str" s="14">
        <ns0:v>560p</ns0:v>
      </ns0:c>
      <ns0:c r="D10" t="str" s="11">
        <ns0:f>SUBSTITUTE(SUBSTITUTE(SUBSTITUTE(SUBSTITUTE(C10,"p"," пФ"),"n"," нФ"),"u"," мкФ"),".",",")</ns0:f>
        <ns0:v>560 пФ</ns0:v>
      </ns0:c>
      <ns0:c r="E10" t="str" s="14">
        <ns0:v>±5%</ns0:v>
      </ns0:c>
      <ns0:c r="F10" s="14"/>
      <ns0:c r="G10" t="str" s="14">
        <ns0:v>100 В</ns0:v>
      </ns0:c>
      <ns0:c r="H10" t="str" s="14">
        <ns0:v>X7R</ns0:v>
      </ns0:c>
      <ns0:c r="I10" t="str" s="15">
        <ns0:v>0805</ns0:v>
      </ns0:c>
      <ns0:c r="J10" t="str" s="14">
        <ns0:v>YAGEO</ns0:v>
      </ns0:c>
      <ns0:c r="K10" t="str" s="14">
        <ns0:v>CC0805JRX7R0BB561</ns0:v>
      </ns0:c>
      <ns0:c r="L10" t="str" s="11">
        <ns0:f>B10&amp;" "&amp;D10&amp;" "&amp;E10&amp;" "&amp;G10&amp;" "&amp;H10&amp;" "&amp;I10</ns0:f>
        <ns0:v>Конденсатор 560 пФ ±5% 100 В X7R 0805</ns0:v>
      </ns0:c>
      <ns0:c r="M10" t="str" s="13">
        <ns0:v>C</ns0:v>
      </ns0:c>
      <ns0:c r="N10" t="str" s="13">
        <ns0:v>Symbols\MY_LIB_Capacitors.SchLib</ns0:v>
      </ns0:c>
      <ns0:c r="O10" t="str" s="13">
        <ns0:v>CAPC2012X135N</ns0:v>
      </ns0:c>
      <ns0:c r="P10" t="str" s="13">
        <ns0:v>Footprints\PBL - SMD Packages.PcbLib</ns0:v>
      </ns0:c>
      <ns0:c r="Q10" t="str" s="14">
        <ns0:v>YAGEO CC; список 20.10.2026</ns0:v>
      </ns0:c>
      <ns0:c r="R10" t="str" s="11">
        <ns0:f>D10</ns0:f>
        <ns0:v>560 пФ</ns0:v>
      </ns0:c>
      <ns0:c r="S10" t="str" s="11">
        <ns0:f>L10</ns0:f>
        <ns0:v>Конденсатор 560 пФ ±5% 100 В X7R 0805</ns0:v>
      </ns0:c>
      <x:c xmlns:x="http://schemas.openxmlformats.org/spreadsheetml/2006/main" r="T10" t="str" s="11">
        <x:v>C:\Users\Nomatin\Documents\Altium\MY_LIB\MY_LIB\Datasheets\YAGEO_CC_X7R.pdf</x:v>
      </x:c>
      <x:c xmlns:x="http://schemas.openxmlformats.org/spreadsheetml/2006/main" r="U10" t="str" s="11">
        <x:v>Даташит — локальный</x:v>
      </x:c>
      <x:c xmlns:x="http://schemas.openxmlformats.org/spreadsheetml/2006/main" r="V10" t="str" s="11">
        <x:v>C:\Users\Nomatin\Documents\Altium\MY_LIB\MY_LIB\Datasheets\YAGEO_CC_X7R.pdf</x:v>
      </x:c>
      <x:c xmlns:x="http://schemas.openxmlformats.org/spreadsheetml/2006/main" r="W10" t="str" s="11">
        <x:v>Даташит — производитель</x:v>
      </x:c>
      <x:c xmlns:x="http://schemas.openxmlformats.org/spreadsheetml/2006/main" r="X10" t="str" s="11">
        <x:v>https://yageogroup.com/content/datasheet/asset/file/UPY-GPHC_X7R_6_3V-TO-250V</x:v>
      </x:c>
      <x:c xmlns:x="http://schemas.openxmlformats.org/spreadsheetml/2006/main" r="Y10" t="str" s="11">
        <x:v>C:\Users\Nomatin\Documents\Altium\MY_LIB\MY_LIB\Datasheets\YAGEO_CC_X7R.pdf</x:v>
      </x:c>
    </ns0:row>
    <ns0:row r="11" ht="30" customHeight="1">
      <ns0:c r="A11" t="str" s="14">
        <ns0:v>C0012</ns0:v>
      </ns0:c>
      <ns0:c r="B11" t="str" s="14">
        <ns0:v>Конденсатор</ns0:v>
      </ns0:c>
      <ns0:c r="C11" t="str" s="14">
        <ns0:v>680p</ns0:v>
      </ns0:c>
      <ns0:c r="D11" t="str" s="11">
        <ns0:f>SUBSTITUTE(SUBSTITUTE(SUBSTITUTE(SUBSTITUTE(C11,"p"," пФ"),"n"," нФ"),"u"," мкФ"),".",",")</ns0:f>
        <ns0:v>680 пФ</ns0:v>
      </ns0:c>
      <ns0:c r="E11" t="str" s="14">
        <ns0:v>±5%</ns0:v>
      </ns0:c>
      <ns0:c r="F11" s="14"/>
      <ns0:c r="G11" t="str" s="14">
        <ns0:v>100 В</ns0:v>
      </ns0:c>
      <ns0:c r="H11" t="str" s="14">
        <ns0:v>X7R</ns0:v>
      </ns0:c>
      <ns0:c r="I11" t="str" s="15">
        <ns0:v>0805</ns0:v>
      </ns0:c>
      <ns0:c r="J11" t="str" s="14">
        <ns0:v>YAGEO</ns0:v>
      </ns0:c>
      <ns0:c r="K11" t="str" s="14">
        <ns0:v>CC0805JRX7R0BB681</ns0:v>
      </ns0:c>
      <ns0:c r="L11" t="str" s="11">
        <ns0:f>B11&amp;" "&amp;D11&amp;" "&amp;E11&amp;" "&amp;G11&amp;" "&amp;H11&amp;" "&amp;I11</ns0:f>
        <ns0:v>Конденсатор 680 пФ ±5% 100 В X7R 0805</ns0:v>
      </ns0:c>
      <ns0:c r="M11" t="str" s="13">
        <ns0:v>C</ns0:v>
      </ns0:c>
      <ns0:c r="N11" t="str" s="13">
        <ns0:v>Symbols\MY_LIB_Capacitors.SchLib</ns0:v>
      </ns0:c>
      <ns0:c r="O11" t="str" s="13">
        <ns0:v>CAPC2012X135N</ns0:v>
      </ns0:c>
      <ns0:c r="P11" t="str" s="13">
        <ns0:v>Footprints\PBL - SMD Packages.PcbLib</ns0:v>
      </ns0:c>
      <ns0:c r="Q11" t="str" s="14">
        <ns0:v>YAGEO CC; список 20.10.2026</ns0:v>
      </ns0:c>
      <ns0:c r="R11" t="str" s="11">
        <ns0:f>D11</ns0:f>
        <ns0:v>680 пФ</ns0:v>
      </ns0:c>
      <ns0:c r="S11" t="str" s="11">
        <ns0:f>L11</ns0:f>
        <ns0:v>Конденсатор 680 пФ ±5% 100 В X7R 0805</ns0:v>
      </ns0:c>
      <x:c xmlns:x="http://schemas.openxmlformats.org/spreadsheetml/2006/main" r="T11" t="str" s="11">
        <x:v>C:\Users\Nomatin\Documents\Altium\MY_LIB\MY_LIB\Datasheets\YAGEO_CC_X7R.pdf</x:v>
      </x:c>
      <x:c xmlns:x="http://schemas.openxmlformats.org/spreadsheetml/2006/main" r="U11" t="str" s="11">
        <x:v>Даташит — локальный</x:v>
      </x:c>
      <x:c xmlns:x="http://schemas.openxmlformats.org/spreadsheetml/2006/main" r="V11" t="str" s="11">
        <x:v>C:\Users\Nomatin\Documents\Altium\MY_LIB\MY_LIB\Datasheets\YAGEO_CC_X7R.pdf</x:v>
      </x:c>
      <x:c xmlns:x="http://schemas.openxmlformats.org/spreadsheetml/2006/main" r="W11" t="str" s="11">
        <x:v>Даташит — производитель</x:v>
      </x:c>
      <x:c xmlns:x="http://schemas.openxmlformats.org/spreadsheetml/2006/main" r="X11" t="str" s="11">
        <x:v>https://yageogroup.com/content/datasheet/asset/file/UPY-GPHC_X7R_6_3V-TO-250V</x:v>
      </x:c>
      <x:c xmlns:x="http://schemas.openxmlformats.org/spreadsheetml/2006/main" r="Y11" t="str" s="11">
        <x:v>C:\Users\Nomatin\Documents\Altium\MY_LIB\MY_LIB\Datasheets\YAGEO_CC_X7R.pdf</x:v>
      </x:c>
    </ns0:row>
    <ns0:row r="12" ht="30" customHeight="1">
      <ns0:c r="A12" t="str" s="14">
        <ns0:v>C0013</ns0:v>
      </ns0:c>
      <ns0:c r="B12" t="str" s="14">
        <ns0:v>Конденсатор</ns0:v>
      </ns0:c>
      <ns0:c r="C12" t="str" s="14">
        <ns0:v>820p</ns0:v>
      </ns0:c>
      <ns0:c r="D12" t="str" s="11">
        <ns0:f>SUBSTITUTE(SUBSTITUTE(SUBSTITUTE(SUBSTITUTE(C12,"p"," пФ"),"n"," нФ"),"u"," мкФ"),".",",")</ns0:f>
        <ns0:v>820 пФ</ns0:v>
      </ns0:c>
      <ns0:c r="E12" t="str" s="14">
        <ns0:v>±5%</ns0:v>
      </ns0:c>
      <ns0:c r="F12" s="14"/>
      <ns0:c r="G12" t="str" s="14">
        <ns0:v>50 В</ns0:v>
      </ns0:c>
      <ns0:c r="H12" t="str" s="14">
        <ns0:v>X7R</ns0:v>
      </ns0:c>
      <ns0:c r="I12" t="str" s="15">
        <ns0:v>0805</ns0:v>
      </ns0:c>
      <ns0:c r="J12" t="str" s="14">
        <ns0:v>YAGEO</ns0:v>
      </ns0:c>
      <ns0:c r="K12" t="str" s="14">
        <ns0:v>CC0805JRX7R9BB821</ns0:v>
      </ns0:c>
      <ns0:c r="L12" t="str" s="11">
        <ns0:f>B12&amp;" "&amp;D12&amp;" "&amp;E12&amp;" "&amp;G12&amp;" "&amp;H12&amp;" "&amp;I12</ns0:f>
        <ns0:v>Конденсатор 820 пФ ±5% 50 В X7R 0805</ns0:v>
      </ns0:c>
      <ns0:c r="M12" t="str" s="13">
        <ns0:v>C</ns0:v>
      </ns0:c>
      <ns0:c r="N12" t="str" s="13">
        <ns0:v>Symbols\MY_LIB_Capacitors.SchLib</ns0:v>
      </ns0:c>
      <ns0:c r="O12" t="str" s="13">
        <ns0:v>CAPC2012X135N</ns0:v>
      </ns0:c>
      <ns0:c r="P12" t="str" s="13">
        <ns0:v>Footprints\PBL - SMD Packages.PcbLib</ns0:v>
      </ns0:c>
      <ns0:c r="Q12" t="str" s="14">
        <ns0:v>YAGEO CC; список 20.10.2026</ns0:v>
      </ns0:c>
      <ns0:c r="R12" t="str" s="11">
        <ns0:f>D12</ns0:f>
        <ns0:v>820 пФ</ns0:v>
      </ns0:c>
      <ns0:c r="S12" t="str" s="11">
        <ns0:f>L12</ns0:f>
        <ns0:v>Конденсатор 820 пФ ±5% 50 В X7R 0805</ns0:v>
      </ns0:c>
      <x:c xmlns:x="http://schemas.openxmlformats.org/spreadsheetml/2006/main" r="T12" t="str" s="11">
        <x:v>C:\Users\Nomatin\Documents\Altium\MY_LIB\MY_LIB\Datasheets\YAGEO_CC_X7R.pdf</x:v>
      </x:c>
      <x:c xmlns:x="http://schemas.openxmlformats.org/spreadsheetml/2006/main" r="U12" t="str" s="11">
        <x:v>Даташит — локальный</x:v>
      </x:c>
      <x:c xmlns:x="http://schemas.openxmlformats.org/spreadsheetml/2006/main" r="V12" t="str" s="11">
        <x:v>C:\Users\Nomatin\Documents\Altium\MY_LIB\MY_LIB\Datasheets\YAGEO_CC_X7R.pdf</x:v>
      </x:c>
      <x:c xmlns:x="http://schemas.openxmlformats.org/spreadsheetml/2006/main" r="W12" t="str" s="11">
        <x:v>Даташит — производитель</x:v>
      </x:c>
      <x:c xmlns:x="http://schemas.openxmlformats.org/spreadsheetml/2006/main" r="X12" t="str" s="11">
        <x:v>https://yageogroup.com/content/datasheet/asset/file/UPY-GPHC_X7R_6_3V-TO-250V</x:v>
      </x:c>
      <x:c xmlns:x="http://schemas.openxmlformats.org/spreadsheetml/2006/main" r="Y12" t="str" s="11">
        <x:v>C:\Users\Nomatin\Documents\Altium\MY_LIB\MY_LIB\Datasheets\YAGEO_CC_X7R.pdf</x:v>
      </x:c>
    </ns0:row>
    <ns0:row r="13" ht="30" customHeight="1">
      <ns0:c r="A13" t="str" s="14">
        <ns0:v>C0014</ns0:v>
      </ns0:c>
      <ns0:c r="B13" t="str" s="14">
        <ns0:v>Конденсатор</ns0:v>
      </ns0:c>
      <ns0:c r="C13" t="str" s="14">
        <ns0:v>1n</ns0:v>
      </ns0:c>
      <ns0:c r="D13" t="str" s="11">
        <ns0:f>SUBSTITUTE(SUBSTITUTE(SUBSTITUTE(SUBSTITUTE(C13,"p"," пФ"),"n"," нФ"),"u"," мкФ"),".",",")</ns0:f>
        <ns0:v>1 нФ</ns0:v>
      </ns0:c>
      <ns0:c r="E13" t="str" s="14">
        <ns0:v>±5%</ns0:v>
      </ns0:c>
      <ns0:c r="F13" s="14"/>
      <ns0:c r="G13" t="str" s="14">
        <ns0:v>100 В</ns0:v>
      </ns0:c>
      <ns0:c r="H13" t="str" s="14">
        <ns0:v>X7R</ns0:v>
      </ns0:c>
      <ns0:c r="I13" t="str" s="15">
        <ns0:v>0805</ns0:v>
      </ns0:c>
      <ns0:c r="J13" t="str" s="14">
        <ns0:v>YAGEO</ns0:v>
      </ns0:c>
      <ns0:c r="K13" t="str" s="14">
        <ns0:v>CC0805JRX7R0BB102</ns0:v>
      </ns0:c>
      <ns0:c r="L13" t="str" s="11">
        <ns0:f>B13&amp;" "&amp;D13&amp;" "&amp;E13&amp;" "&amp;G13&amp;" "&amp;H13&amp;" "&amp;I13</ns0:f>
        <ns0:v>Конденсатор 1 нФ ±5% 100 В X7R 0805</ns0:v>
      </ns0:c>
      <ns0:c r="M13" t="str" s="13">
        <ns0:v>C</ns0:v>
      </ns0:c>
      <ns0:c r="N13" t="str" s="13">
        <ns0:v>Symbols\MY_LIB_Capacitors.SchLib</ns0:v>
      </ns0:c>
      <ns0:c r="O13" t="str" s="13">
        <ns0:v>CAPC2012X135N</ns0:v>
      </ns0:c>
      <ns0:c r="P13" t="str" s="13">
        <ns0:v>Footprints\PBL - SMD Packages.PcbLib</ns0:v>
      </ns0:c>
      <ns0:c r="Q13" t="str" s="14">
        <ns0:v>YAGEO CC; список 20.10.2026</ns0:v>
      </ns0:c>
      <ns0:c r="R13" t="str" s="11">
        <ns0:f>D13</ns0:f>
        <ns0:v>1 нФ</ns0:v>
      </ns0:c>
      <ns0:c r="S13" t="str" s="11">
        <ns0:f>L13</ns0:f>
        <ns0:v>Конденсатор 1 нФ ±5% 100 В X7R 0805</ns0:v>
      </ns0:c>
      <x:c xmlns:x="http://schemas.openxmlformats.org/spreadsheetml/2006/main" r="T13" t="str" s="11">
        <x:v>C:\Users\Nomatin\Documents\Altium\MY_LIB\MY_LIB\Datasheets\YAGEO_CC_X7R.pdf</x:v>
      </x:c>
      <x:c xmlns:x="http://schemas.openxmlformats.org/spreadsheetml/2006/main" r="U13" t="str" s="11">
        <x:v>Даташит — локальный</x:v>
      </x:c>
      <x:c xmlns:x="http://schemas.openxmlformats.org/spreadsheetml/2006/main" r="V13" t="str" s="11">
        <x:v>C:\Users\Nomatin\Documents\Altium\MY_LIB\MY_LIB\Datasheets\YAGEO_CC_X7R.pdf</x:v>
      </x:c>
      <x:c xmlns:x="http://schemas.openxmlformats.org/spreadsheetml/2006/main" r="W13" t="str" s="11">
        <x:v>Даташит — производитель</x:v>
      </x:c>
      <x:c xmlns:x="http://schemas.openxmlformats.org/spreadsheetml/2006/main" r="X13" t="str" s="11">
        <x:v>https://yageogroup.com/content/datasheet/asset/file/UPY-GPHC_X7R_6_3V-TO-250V</x:v>
      </x:c>
      <x:c xmlns:x="http://schemas.openxmlformats.org/spreadsheetml/2006/main" r="Y13" t="str" s="11">
        <x:v>C:\Users\Nomatin\Documents\Altium\MY_LIB\MY_LIB\Datasheets\YAGEO_CC_X7R.pdf</x:v>
      </x:c>
    </ns0:row>
    <ns0:row r="14" ht="30" customHeight="1">
      <ns0:c r="A14" t="str" s="14">
        <ns0:v>C0015</ns0:v>
      </ns0:c>
      <ns0:c r="B14" t="str" s="14">
        <ns0:v>Конденсатор</ns0:v>
      </ns0:c>
      <ns0:c r="C14" t="str" s="14">
        <ns0:v>1.2n</ns0:v>
      </ns0:c>
      <ns0:c r="D14" t="str" s="11">
        <ns0:f>SUBSTITUTE(SUBSTITUTE(SUBSTITUTE(SUBSTITUTE(C14,"p"," пФ"),"n"," нФ"),"u"," мкФ"),".",",")</ns0:f>
        <ns0:v>1,2 нФ</ns0:v>
      </ns0:c>
      <ns0:c r="E14" t="str" s="14">
        <ns0:v>±5%</ns0:v>
      </ns0:c>
      <ns0:c r="F14" s="14"/>
      <ns0:c r="G14" t="str" s="14">
        <ns0:v>100 В</ns0:v>
      </ns0:c>
      <ns0:c r="H14" t="str" s="14">
        <ns0:v>X7R</ns0:v>
      </ns0:c>
      <ns0:c r="I14" t="str" s="15">
        <ns0:v>0805</ns0:v>
      </ns0:c>
      <ns0:c r="J14" t="str" s="14">
        <ns0:v>YAGEO</ns0:v>
      </ns0:c>
      <ns0:c r="K14" t="str" s="14">
        <ns0:v>CC0805JRX7R0BB122</ns0:v>
      </ns0:c>
      <ns0:c r="L14" t="str" s="11">
        <ns0:f>B14&amp;" "&amp;D14&amp;" "&amp;E14&amp;" "&amp;G14&amp;" "&amp;H14&amp;" "&amp;I14</ns0:f>
        <ns0:v>Конденсатор 1,2 нФ ±5% 100 В X7R 0805</ns0:v>
      </ns0:c>
      <ns0:c r="M14" t="str" s="13">
        <ns0:v>C</ns0:v>
      </ns0:c>
      <ns0:c r="N14" t="str" s="13">
        <ns0:v>Symbols\MY_LIB_Capacitors.SchLib</ns0:v>
      </ns0:c>
      <ns0:c r="O14" t="str" s="13">
        <ns0:v>CAPC2012X135N</ns0:v>
      </ns0:c>
      <ns0:c r="P14" t="str" s="13">
        <ns0:v>Footprints\PBL - SMD Packages.PcbLib</ns0:v>
      </ns0:c>
      <ns0:c r="Q14" t="str" s="14">
        <ns0:v>YAGEO CC; список 20.10.2026</ns0:v>
      </ns0:c>
      <ns0:c r="R14" t="str" s="11">
        <ns0:f>D14</ns0:f>
        <ns0:v>1,2 нФ</ns0:v>
      </ns0:c>
      <ns0:c r="S14" t="str" s="11">
        <ns0:f>L14</ns0:f>
        <ns0:v>Конденсатор 1,2 нФ ±5% 100 В X7R 0805</ns0:v>
      </ns0:c>
      <x:c xmlns:x="http://schemas.openxmlformats.org/spreadsheetml/2006/main" r="T14" t="str" s="11">
        <x:v>C:\Users\Nomatin\Documents\Altium\MY_LIB\MY_LIB\Datasheets\YAGEO_CC_X7R.pdf</x:v>
      </x:c>
      <x:c xmlns:x="http://schemas.openxmlformats.org/spreadsheetml/2006/main" r="U14" t="str" s="11">
        <x:v>Даташит — локальный</x:v>
      </x:c>
      <x:c xmlns:x="http://schemas.openxmlformats.org/spreadsheetml/2006/main" r="V14" t="str" s="11">
        <x:v>C:\Users\Nomatin\Documents\Altium\MY_LIB\MY_LIB\Datasheets\YAGEO_CC_X7R.pdf</x:v>
      </x:c>
      <x:c xmlns:x="http://schemas.openxmlformats.org/spreadsheetml/2006/main" r="W14" t="str" s="11">
        <x:v>Даташит — производитель</x:v>
      </x:c>
      <x:c xmlns:x="http://schemas.openxmlformats.org/spreadsheetml/2006/main" r="X14" t="str" s="11">
        <x:v>https://yageogroup.com/content/datasheet/asset/file/UPY-GPHC_X7R_6_3V-TO-250V</x:v>
      </x:c>
      <x:c xmlns:x="http://schemas.openxmlformats.org/spreadsheetml/2006/main" r="Y14" t="str" s="11">
        <x:v>C:\Users\Nomatin\Documents\Altium\MY_LIB\MY_LIB\Datasheets\YAGEO_CC_X7R.pdf</x:v>
      </x:c>
    </ns0:row>
    <ns0:row r="15" ht="30" customHeight="1">
      <ns0:c r="A15" t="str" s="14">
        <ns0:v>C0016</ns0:v>
      </ns0:c>
      <ns0:c r="B15" t="str" s="14">
        <ns0:v>Конденсатор</ns0:v>
      </ns0:c>
      <ns0:c r="C15" t="str" s="14">
        <ns0:v>1.5n</ns0:v>
      </ns0:c>
      <ns0:c r="D15" t="str" s="11">
        <ns0:f>SUBSTITUTE(SUBSTITUTE(SUBSTITUTE(SUBSTITUTE(C15,"p"," пФ"),"n"," нФ"),"u"," мкФ"),".",",")</ns0:f>
        <ns0:v>1,5 нФ</ns0:v>
      </ns0:c>
      <ns0:c r="E15" t="str" s="14">
        <ns0:v>±5%</ns0:v>
      </ns0:c>
      <ns0:c r="F15" s="14"/>
      <ns0:c r="G15" t="str" s="14">
        <ns0:v>100 В</ns0:v>
      </ns0:c>
      <ns0:c r="H15" t="str" s="14">
        <ns0:v>X7R</ns0:v>
      </ns0:c>
      <ns0:c r="I15" t="str" s="15">
        <ns0:v>0805</ns0:v>
      </ns0:c>
      <ns0:c r="J15" t="str" s="14">
        <ns0:v>YAGEO</ns0:v>
      </ns0:c>
      <ns0:c r="K15" t="str" s="14">
        <ns0:v>CC0805JRX7R0BB152</ns0:v>
      </ns0:c>
      <ns0:c r="L15" t="str" s="11">
        <ns0:f>B15&amp;" "&amp;D15&amp;" "&amp;E15&amp;" "&amp;G15&amp;" "&amp;H15&amp;" "&amp;I15</ns0:f>
        <ns0:v>Конденсатор 1,5 нФ ±5% 100 В X7R 0805</ns0:v>
      </ns0:c>
      <ns0:c r="M15" t="str" s="13">
        <ns0:v>C</ns0:v>
      </ns0:c>
      <ns0:c r="N15" t="str" s="13">
        <ns0:v>Symbols\MY_LIB_Capacitors.SchLib</ns0:v>
      </ns0:c>
      <ns0:c r="O15" t="str" s="13">
        <ns0:v>CAPC2012X135N</ns0:v>
      </ns0:c>
      <ns0:c r="P15" t="str" s="13">
        <ns0:v>Footprints\PBL - SMD Packages.PcbLib</ns0:v>
      </ns0:c>
      <ns0:c r="Q15" t="str" s="14">
        <ns0:v>YAGEO CC; список 20.10.2026</ns0:v>
      </ns0:c>
      <ns0:c r="R15" t="str" s="11">
        <ns0:f>D15</ns0:f>
        <ns0:v>1,5 нФ</ns0:v>
      </ns0:c>
      <ns0:c r="S15" t="str" s="11">
        <ns0:f>L15</ns0:f>
        <ns0:v>Конденсатор 1,5 нФ ±5% 100 В X7R 0805</ns0:v>
      </ns0:c>
      <x:c xmlns:x="http://schemas.openxmlformats.org/spreadsheetml/2006/main" r="T15" t="str" s="11">
        <x:v>C:\Users\Nomatin\Documents\Altium\MY_LIB\MY_LIB\Datasheets\YAGEO_CC_X7R.pdf</x:v>
      </x:c>
      <x:c xmlns:x="http://schemas.openxmlformats.org/spreadsheetml/2006/main" r="U15" t="str" s="11">
        <x:v>Даташит — локальный</x:v>
      </x:c>
      <x:c xmlns:x="http://schemas.openxmlformats.org/spreadsheetml/2006/main" r="V15" t="str" s="11">
        <x:v>C:\Users\Nomatin\Documents\Altium\MY_LIB\MY_LIB\Datasheets\YAGEO_CC_X7R.pdf</x:v>
      </x:c>
      <x:c xmlns:x="http://schemas.openxmlformats.org/spreadsheetml/2006/main" r="W15" t="str" s="11">
        <x:v>Даташит — производитель</x:v>
      </x:c>
      <x:c xmlns:x="http://schemas.openxmlformats.org/spreadsheetml/2006/main" r="X15" t="str" s="11">
        <x:v>https://yageogroup.com/content/datasheet/asset/file/UPY-GPHC_X7R_6_3V-TO-250V</x:v>
      </x:c>
      <x:c xmlns:x="http://schemas.openxmlformats.org/spreadsheetml/2006/main" r="Y15" t="str" s="11">
        <x:v>C:\Users\Nomatin\Documents\Altium\MY_LIB\MY_LIB\Datasheets\YAGEO_CC_X7R.pdf</x:v>
      </x:c>
    </ns0:row>
    <ns0:row r="16" ht="30" customHeight="1">
      <ns0:c r="A16" t="str" s="14">
        <ns0:v>C0017</ns0:v>
      </ns0:c>
      <ns0:c r="B16" t="str" s="14">
        <ns0:v>Конденсатор</ns0:v>
      </ns0:c>
      <ns0:c r="C16" t="str" s="14">
        <ns0:v>1.8n</ns0:v>
      </ns0:c>
      <ns0:c r="D16" t="str" s="11">
        <ns0:f>SUBSTITUTE(SUBSTITUTE(SUBSTITUTE(SUBSTITUTE(C16,"p"," пФ"),"n"," нФ"),"u"," мкФ"),".",",")</ns0:f>
        <ns0:v>1,8 нФ</ns0:v>
      </ns0:c>
      <ns0:c r="E16" t="str" s="14">
        <ns0:v>±5%</ns0:v>
      </ns0:c>
      <ns0:c r="F16" s="14"/>
      <ns0:c r="G16" t="str" s="14">
        <ns0:v>100 В</ns0:v>
      </ns0:c>
      <ns0:c r="H16" t="str" s="14">
        <ns0:v>X7R</ns0:v>
      </ns0:c>
      <ns0:c r="I16" t="str" s="15">
        <ns0:v>0805</ns0:v>
      </ns0:c>
      <ns0:c r="J16" t="str" s="14">
        <ns0:v>YAGEO</ns0:v>
      </ns0:c>
      <ns0:c r="K16" t="str" s="14">
        <ns0:v>CC0805JRX7R0BB182</ns0:v>
      </ns0:c>
      <ns0:c r="L16" t="str" s="11">
        <ns0:f>B16&amp;" "&amp;D16&amp;" "&amp;E16&amp;" "&amp;G16&amp;" "&amp;H16&amp;" "&amp;I16</ns0:f>
        <ns0:v>Конденсатор 1,8 нФ ±5% 100 В X7R 0805</ns0:v>
      </ns0:c>
      <ns0:c r="M16" t="str" s="13">
        <ns0:v>C</ns0:v>
      </ns0:c>
      <ns0:c r="N16" t="str" s="13">
        <ns0:v>Symbols\MY_LIB_Capacitors.SchLib</ns0:v>
      </ns0:c>
      <ns0:c r="O16" t="str" s="13">
        <ns0:v>CAPC2012X135N</ns0:v>
      </ns0:c>
      <ns0:c r="P16" t="str" s="13">
        <ns0:v>Footprints\PBL - SMD Packages.PcbLib</ns0:v>
      </ns0:c>
      <ns0:c r="Q16" t="str" s="14">
        <ns0:v>YAGEO CC; список 20.10.2026</ns0:v>
      </ns0:c>
      <ns0:c r="R16" t="str" s="11">
        <ns0:f>D16</ns0:f>
        <ns0:v>1,8 нФ</ns0:v>
      </ns0:c>
      <ns0:c r="S16" t="str" s="11">
        <ns0:f>L16</ns0:f>
        <ns0:v>Конденсатор 1,8 нФ ±5% 100 В X7R 0805</ns0:v>
      </ns0:c>
      <x:c xmlns:x="http://schemas.openxmlformats.org/spreadsheetml/2006/main" r="T16" t="str" s="11">
        <x:v>C:\Users\Nomatin\Documents\Altium\MY_LIB\MY_LIB\Datasheets\YAGEO_CC_X7R.pdf</x:v>
      </x:c>
      <x:c xmlns:x="http://schemas.openxmlformats.org/spreadsheetml/2006/main" r="U16" t="str" s="11">
        <x:v>Даташит — локальный</x:v>
      </x:c>
      <x:c xmlns:x="http://schemas.openxmlformats.org/spreadsheetml/2006/main" r="V16" t="str" s="11">
        <x:v>C:\Users\Nomatin\Documents\Altium\MY_LIB\MY_LIB\Datasheets\YAGEO_CC_X7R.pdf</x:v>
      </x:c>
      <x:c xmlns:x="http://schemas.openxmlformats.org/spreadsheetml/2006/main" r="W16" t="str" s="11">
        <x:v>Даташит — производитель</x:v>
      </x:c>
      <x:c xmlns:x="http://schemas.openxmlformats.org/spreadsheetml/2006/main" r="X16" t="str" s="11">
        <x:v>https://yageogroup.com/content/datasheet/asset/file/UPY-GPHC_X7R_6_3V-TO-250V</x:v>
      </x:c>
      <x:c xmlns:x="http://schemas.openxmlformats.org/spreadsheetml/2006/main" r="Y16" t="str" s="11">
        <x:v>C:\Users\Nomatin\Documents\Altium\MY_LIB\MY_LIB\Datasheets\YAGEO_CC_X7R.pdf</x:v>
      </x:c>
    </ns0:row>
    <ns0:row r="17" ht="30" customHeight="1">
      <ns0:c r="A17" t="str" s="14">
        <ns0:v>C0018</ns0:v>
      </ns0:c>
      <ns0:c r="B17" t="str" s="14">
        <ns0:v>Конденсатор</ns0:v>
      </ns0:c>
      <ns0:c r="C17" t="str" s="14">
        <ns0:v>2n</ns0:v>
      </ns0:c>
      <ns0:c r="D17" t="str" s="11">
        <ns0:f>SUBSTITUTE(SUBSTITUTE(SUBSTITUTE(SUBSTITUTE(C17,"p"," пФ"),"n"," нФ"),"u"," мкФ"),".",",")</ns0:f>
        <ns0:v>2 нФ</ns0:v>
      </ns0:c>
      <ns0:c r="E17" t="str" s="14">
        <ns0:v>±5%</ns0:v>
      </ns0:c>
      <ns0:c r="F17" s="14"/>
      <ns0:c r="G17" t="str" s="14">
        <ns0:v>50 В</ns0:v>
      </ns0:c>
      <ns0:c r="H17" t="str" s="14">
        <ns0:v>X7R</ns0:v>
      </ns0:c>
      <ns0:c r="I17" t="str" s="15">
        <ns0:v>0805</ns0:v>
      </ns0:c>
      <ns0:c r="J17" t="str" s="14">
        <ns0:v>YAGEO</ns0:v>
      </ns0:c>
      <ns0:c r="K17" t="str" s="14">
        <ns0:v>CC0805JRX7R9BB202</ns0:v>
      </ns0:c>
      <ns0:c r="L17" t="str" s="11">
        <ns0:f>B17&amp;" "&amp;D17&amp;" "&amp;E17&amp;" "&amp;G17&amp;" "&amp;H17&amp;" "&amp;I17</ns0:f>
        <ns0:v>Конденсатор 2 нФ ±5% 50 В X7R 0805</ns0:v>
      </ns0:c>
      <ns0:c r="M17" t="str" s="13">
        <ns0:v>C</ns0:v>
      </ns0:c>
      <ns0:c r="N17" t="str" s="13">
        <ns0:v>Symbols\MY_LIB_Capacitors.SchLib</ns0:v>
      </ns0:c>
      <ns0:c r="O17" t="str" s="13">
        <ns0:v>CAPC2012X135N</ns0:v>
      </ns0:c>
      <ns0:c r="P17" t="str" s="13">
        <ns0:v>Footprints\PBL - SMD Packages.PcbLib</ns0:v>
      </ns0:c>
      <ns0:c r="Q17" t="str" s="14">
        <ns0:v>YAGEO CC; список 20.10.2026</ns0:v>
      </ns0:c>
      <ns0:c r="R17" t="str" s="11">
        <ns0:f>D17</ns0:f>
        <ns0:v>2 нФ</ns0:v>
      </ns0:c>
      <ns0:c r="S17" t="str" s="11">
        <ns0:f>L17</ns0:f>
        <ns0:v>Конденсатор 2 нФ ±5% 50 В X7R 0805</ns0:v>
      </ns0:c>
      <x:c xmlns:x="http://schemas.openxmlformats.org/spreadsheetml/2006/main" r="T17" t="str" s="11">
        <x:v>C:\Users\Nomatin\Documents\Altium\MY_LIB\MY_LIB\Datasheets\YAGEO_CC_X7R.pdf</x:v>
      </x:c>
      <x:c xmlns:x="http://schemas.openxmlformats.org/spreadsheetml/2006/main" r="U17" t="str" s="11">
        <x:v>Даташит — локальный</x:v>
      </x:c>
      <x:c xmlns:x="http://schemas.openxmlformats.org/spreadsheetml/2006/main" r="V17" t="str" s="11">
        <x:v>C:\Users\Nomatin\Documents\Altium\MY_LIB\MY_LIB\Datasheets\YAGEO_CC_X7R.pdf</x:v>
      </x:c>
      <x:c xmlns:x="http://schemas.openxmlformats.org/spreadsheetml/2006/main" r="W17" t="str" s="11">
        <x:v>Даташит — производитель</x:v>
      </x:c>
      <x:c xmlns:x="http://schemas.openxmlformats.org/spreadsheetml/2006/main" r="X17" t="str" s="11">
        <x:v>https://yageogroup.com/content/datasheet/asset/file/UPY-GPHC_X7R_6_3V-TO-250V</x:v>
      </x:c>
      <x:c xmlns:x="http://schemas.openxmlformats.org/spreadsheetml/2006/main" r="Y17" t="str" s="11">
        <x:v>C:\Users\Nomatin\Documents\Altium\MY_LIB\MY_LIB\Datasheets\YAGEO_CC_X7R.pdf</x:v>
      </x:c>
    </ns0:row>
    <ns0:row r="18" ht="30" customHeight="1">
      <ns0:c r="A18" t="str" s="14">
        <ns0:v>C0019</ns0:v>
      </ns0:c>
      <ns0:c r="B18" t="str" s="14">
        <ns0:v>Конденсатор</ns0:v>
      </ns0:c>
      <ns0:c r="C18" t="str" s="14">
        <ns0:v>2.2n</ns0:v>
      </ns0:c>
      <ns0:c r="D18" t="str" s="11">
        <ns0:f>SUBSTITUTE(SUBSTITUTE(SUBSTITUTE(SUBSTITUTE(C18,"p"," пФ"),"n"," нФ"),"u"," мкФ"),".",",")</ns0:f>
        <ns0:v>2,2 нФ</ns0:v>
      </ns0:c>
      <ns0:c r="E18" t="str" s="14">
        <ns0:v>±5%</ns0:v>
      </ns0:c>
      <ns0:c r="F18" s="14"/>
      <ns0:c r="G18" t="str" s="14">
        <ns0:v>100 В</ns0:v>
      </ns0:c>
      <ns0:c r="H18" t="str" s="14">
        <ns0:v>X7R</ns0:v>
      </ns0:c>
      <ns0:c r="I18" t="str" s="15">
        <ns0:v>0805</ns0:v>
      </ns0:c>
      <ns0:c r="J18" t="str" s="14">
        <ns0:v>YAGEO</ns0:v>
      </ns0:c>
      <ns0:c r="K18" t="str" s="14">
        <ns0:v>CC0805JRX7R0BB222</ns0:v>
      </ns0:c>
      <ns0:c r="L18" t="str" s="11">
        <ns0:f>B18&amp;" "&amp;D18&amp;" "&amp;E18&amp;" "&amp;G18&amp;" "&amp;H18&amp;" "&amp;I18</ns0:f>
        <ns0:v>Конденсатор 2,2 нФ ±5% 100 В X7R 0805</ns0:v>
      </ns0:c>
      <ns0:c r="M18" t="str" s="13">
        <ns0:v>C</ns0:v>
      </ns0:c>
      <ns0:c r="N18" t="str" s="13">
        <ns0:v>Symbols\MY_LIB_Capacitors.SchLib</ns0:v>
      </ns0:c>
      <ns0:c r="O18" t="str" s="13">
        <ns0:v>CAPC2012X135N</ns0:v>
      </ns0:c>
      <ns0:c r="P18" t="str" s="13">
        <ns0:v>Footprints\PBL - SMD Packages.PcbLib</ns0:v>
      </ns0:c>
      <ns0:c r="Q18" t="str" s="14">
        <ns0:v>YAGEO CC; список 20.10.2026</ns0:v>
      </ns0:c>
      <ns0:c r="R18" t="str" s="11">
        <ns0:f>D18</ns0:f>
        <ns0:v>2,2 нФ</ns0:v>
      </ns0:c>
      <ns0:c r="S18" t="str" s="11">
        <ns0:f>L18</ns0:f>
        <ns0:v>Конденсатор 2,2 нФ ±5% 100 В X7R 0805</ns0:v>
      </ns0:c>
      <x:c xmlns:x="http://schemas.openxmlformats.org/spreadsheetml/2006/main" r="T18" t="str" s="11">
        <x:v>C:\Users\Nomatin\Documents\Altium\MY_LIB\MY_LIB\Datasheets\YAGEO_CC_X7R.pdf</x:v>
      </x:c>
      <x:c xmlns:x="http://schemas.openxmlformats.org/spreadsheetml/2006/main" r="U18" t="str" s="11">
        <x:v>Даташит — локальный</x:v>
      </x:c>
      <x:c xmlns:x="http://schemas.openxmlformats.org/spreadsheetml/2006/main" r="V18" t="str" s="11">
        <x:v>C:\Users\Nomatin\Documents\Altium\MY_LIB\MY_LIB\Datasheets\YAGEO_CC_X7R.pdf</x:v>
      </x:c>
      <x:c xmlns:x="http://schemas.openxmlformats.org/spreadsheetml/2006/main" r="W18" t="str" s="11">
        <x:v>Даташит — производитель</x:v>
      </x:c>
      <x:c xmlns:x="http://schemas.openxmlformats.org/spreadsheetml/2006/main" r="X18" t="str" s="11">
        <x:v>https://yageogroup.com/content/datasheet/asset/file/UPY-GPHC_X7R_6_3V-TO-250V</x:v>
      </x:c>
      <x:c xmlns:x="http://schemas.openxmlformats.org/spreadsheetml/2006/main" r="Y18" t="str" s="11">
        <x:v>C:\Users\Nomatin\Documents\Altium\MY_LIB\MY_LIB\Datasheets\YAGEO_CC_X7R.pdf</x:v>
      </x:c>
    </ns0:row>
    <ns0:row r="19" ht="30" customHeight="1">
      <ns0:c r="A19" t="str" s="14">
        <ns0:v>C0020</ns0:v>
      </ns0:c>
      <ns0:c r="B19" t="str" s="14">
        <ns0:v>Конденсатор</ns0:v>
      </ns0:c>
      <ns0:c r="C19" t="str" s="14">
        <ns0:v>2.7n</ns0:v>
      </ns0:c>
      <ns0:c r="D19" t="str" s="11">
        <ns0:f>SUBSTITUTE(SUBSTITUTE(SUBSTITUTE(SUBSTITUTE(C19,"p"," пФ"),"n"," нФ"),"u"," мкФ"),".",",")</ns0:f>
        <ns0:v>2,7 нФ</ns0:v>
      </ns0:c>
      <ns0:c r="E19" t="str" s="14">
        <ns0:v>±5%</ns0:v>
      </ns0:c>
      <ns0:c r="F19" s="14"/>
      <ns0:c r="G19" t="str" s="14">
        <ns0:v>50 В</ns0:v>
      </ns0:c>
      <ns0:c r="H19" t="str" s="14">
        <ns0:v>X7R</ns0:v>
      </ns0:c>
      <ns0:c r="I19" t="str" s="15">
        <ns0:v>0805</ns0:v>
      </ns0:c>
      <ns0:c r="J19" t="str" s="14">
        <ns0:v>YAGEO</ns0:v>
      </ns0:c>
      <ns0:c r="K19" t="str" s="14">
        <ns0:v>CC0805JRX7R9BB272</ns0:v>
      </ns0:c>
      <ns0:c r="L19" t="str" s="11">
        <ns0:f>B19&amp;" "&amp;D19&amp;" "&amp;E19&amp;" "&amp;G19&amp;" "&amp;H19&amp;" "&amp;I19</ns0:f>
        <ns0:v>Конденсатор 2,7 нФ ±5% 50 В X7R 0805</ns0:v>
      </ns0:c>
      <ns0:c r="M19" t="str" s="13">
        <ns0:v>C</ns0:v>
      </ns0:c>
      <ns0:c r="N19" t="str" s="13">
        <ns0:v>Symbols\MY_LIB_Capacitors.SchLib</ns0:v>
      </ns0:c>
      <ns0:c r="O19" t="str" s="13">
        <ns0:v>CAPC2012X135N</ns0:v>
      </ns0:c>
      <ns0:c r="P19" t="str" s="13">
        <ns0:v>Footprints\PBL - SMD Packages.PcbLib</ns0:v>
      </ns0:c>
      <ns0:c r="Q19" t="str" s="14">
        <ns0:v>YAGEO CC; список 20.10.2026</ns0:v>
      </ns0:c>
      <ns0:c r="R19" t="str" s="11">
        <ns0:f>D19</ns0:f>
        <ns0:v>2,7 нФ</ns0:v>
      </ns0:c>
      <ns0:c r="S19" t="str" s="11">
        <ns0:f>L19</ns0:f>
        <ns0:v>Конденсатор 2,7 нФ ±5% 50 В X7R 0805</ns0:v>
      </ns0:c>
      <x:c xmlns:x="http://schemas.openxmlformats.org/spreadsheetml/2006/main" r="T19" t="str" s="11">
        <x:v>C:\Users\Nomatin\Documents\Altium\MY_LIB\MY_LIB\Datasheets\YAGEO_CC_X7R.pdf</x:v>
      </x:c>
      <x:c xmlns:x="http://schemas.openxmlformats.org/spreadsheetml/2006/main" r="U19" t="str" s="11">
        <x:v>Даташит — локальный</x:v>
      </x:c>
      <x:c xmlns:x="http://schemas.openxmlformats.org/spreadsheetml/2006/main" r="V19" t="str" s="11">
        <x:v>C:\Users\Nomatin\Documents\Altium\MY_LIB\MY_LIB\Datasheets\YAGEO_CC_X7R.pdf</x:v>
      </x:c>
      <x:c xmlns:x="http://schemas.openxmlformats.org/spreadsheetml/2006/main" r="W19" t="str" s="11">
        <x:v>Даташит — производитель</x:v>
      </x:c>
      <x:c xmlns:x="http://schemas.openxmlformats.org/spreadsheetml/2006/main" r="X19" t="str" s="11">
        <x:v>https://yageogroup.com/content/datasheet/asset/file/UPY-GPHC_X7R_6_3V-TO-250V</x:v>
      </x:c>
      <x:c xmlns:x="http://schemas.openxmlformats.org/spreadsheetml/2006/main" r="Y19" t="str" s="11">
        <x:v>C:\Users\Nomatin\Documents\Altium\MY_LIB\MY_LIB\Datasheets\YAGEO_CC_X7R.pdf</x:v>
      </x:c>
    </ns0:row>
    <ns0:row r="20" ht="30" customHeight="1">
      <ns0:c r="A20" t="str" s="14">
        <ns0:v>C0021</ns0:v>
      </ns0:c>
      <ns0:c r="B20" t="str" s="14">
        <ns0:v>Конденсатор</ns0:v>
      </ns0:c>
      <ns0:c r="C20" t="str" s="14">
        <ns0:v>3.3n</ns0:v>
      </ns0:c>
      <ns0:c r="D20" t="str" s="11">
        <ns0:f>SUBSTITUTE(SUBSTITUTE(SUBSTITUTE(SUBSTITUTE(C20,"p"," пФ"),"n"," нФ"),"u"," мкФ"),".",",")</ns0:f>
        <ns0:v>3,3 нФ</ns0:v>
      </ns0:c>
      <ns0:c r="E20" t="str" s="14">
        <ns0:v>±5%</ns0:v>
      </ns0:c>
      <ns0:c r="F20" s="14"/>
      <ns0:c r="G20" t="str" s="14">
        <ns0:v>100 В</ns0:v>
      </ns0:c>
      <ns0:c r="H20" t="str" s="14">
        <ns0:v>X7R</ns0:v>
      </ns0:c>
      <ns0:c r="I20" t="str" s="15">
        <ns0:v>0805</ns0:v>
      </ns0:c>
      <ns0:c r="J20" t="str" s="14">
        <ns0:v>YAGEO</ns0:v>
      </ns0:c>
      <ns0:c r="K20" t="str" s="14">
        <ns0:v>CC0805JRX7R0BB332</ns0:v>
      </ns0:c>
      <ns0:c r="L20" t="str" s="11">
        <ns0:f>B20&amp;" "&amp;D20&amp;" "&amp;E20&amp;" "&amp;G20&amp;" "&amp;H20&amp;" "&amp;I20</ns0:f>
        <ns0:v>Конденсатор 3,3 нФ ±5% 100 В X7R 0805</ns0:v>
      </ns0:c>
      <ns0:c r="M20" t="str" s="13">
        <ns0:v>C</ns0:v>
      </ns0:c>
      <ns0:c r="N20" t="str" s="13">
        <ns0:v>Symbols\MY_LIB_Capacitors.SchLib</ns0:v>
      </ns0:c>
      <ns0:c r="O20" t="str" s="13">
        <ns0:v>CAPC2012X135N</ns0:v>
      </ns0:c>
      <ns0:c r="P20" t="str" s="13">
        <ns0:v>Footprints\PBL - SMD Packages.PcbLib</ns0:v>
      </ns0:c>
      <ns0:c r="Q20" t="str" s="14">
        <ns0:v>YAGEO CC; список 20.10.2026</ns0:v>
      </ns0:c>
      <ns0:c r="R20" t="str" s="11">
        <ns0:f>D20</ns0:f>
        <ns0:v>3,3 нФ</ns0:v>
      </ns0:c>
      <ns0:c r="S20" t="str" s="11">
        <ns0:f>L20</ns0:f>
        <ns0:v>Конденсатор 3,3 нФ ±5% 100 В X7R 0805</ns0:v>
      </ns0:c>
      <x:c xmlns:x="http://schemas.openxmlformats.org/spreadsheetml/2006/main" r="T20" t="str" s="11">
        <x:v>C:\Users\Nomatin\Documents\Altium\MY_LIB\MY_LIB\Datasheets\YAGEO_CC_X7R.pdf</x:v>
      </x:c>
      <x:c xmlns:x="http://schemas.openxmlformats.org/spreadsheetml/2006/main" r="U20" t="str" s="11">
        <x:v>Даташит — локальный</x:v>
      </x:c>
      <x:c xmlns:x="http://schemas.openxmlformats.org/spreadsheetml/2006/main" r="V20" t="str" s="11">
        <x:v>C:\Users\Nomatin\Documents\Altium\MY_LIB\MY_LIB\Datasheets\YAGEO_CC_X7R.pdf</x:v>
      </x:c>
      <x:c xmlns:x="http://schemas.openxmlformats.org/spreadsheetml/2006/main" r="W20" t="str" s="11">
        <x:v>Даташит — производитель</x:v>
      </x:c>
      <x:c xmlns:x="http://schemas.openxmlformats.org/spreadsheetml/2006/main" r="X20" t="str" s="11">
        <x:v>https://yageogroup.com/content/datasheet/asset/file/UPY-GPHC_X7R_6_3V-TO-250V</x:v>
      </x:c>
      <x:c xmlns:x="http://schemas.openxmlformats.org/spreadsheetml/2006/main" r="Y20" t="str" s="11">
        <x:v>C:\Users\Nomatin\Documents\Altium\MY_LIB\MY_LIB\Datasheets\YAGEO_CC_X7R.pdf</x:v>
      </x:c>
    </ns0:row>
    <ns0:row r="21" ht="30" customHeight="1">
      <ns0:c r="A21" t="str" s="14">
        <ns0:v>C0022</ns0:v>
      </ns0:c>
      <ns0:c r="B21" t="str" s="14">
        <ns0:v>Конденсатор</ns0:v>
      </ns0:c>
      <ns0:c r="C21" t="str" s="14">
        <ns0:v>3.9n</ns0:v>
      </ns0:c>
      <ns0:c r="D21" t="str" s="11">
        <ns0:f>SUBSTITUTE(SUBSTITUTE(SUBSTITUTE(SUBSTITUTE(C21,"p"," пФ"),"n"," нФ"),"u"," мкФ"),".",",")</ns0:f>
        <ns0:v>3,9 нФ</ns0:v>
      </ns0:c>
      <ns0:c r="E21" t="str" s="14">
        <ns0:v>±5%</ns0:v>
      </ns0:c>
      <ns0:c r="F21" s="14"/>
      <ns0:c r="G21" t="str" s="14">
        <ns0:v>100 В</ns0:v>
      </ns0:c>
      <ns0:c r="H21" t="str" s="14">
        <ns0:v>X7R</ns0:v>
      </ns0:c>
      <ns0:c r="I21" t="str" s="15">
        <ns0:v>0805</ns0:v>
      </ns0:c>
      <ns0:c r="J21" t="str" s="14">
        <ns0:v>YAGEO</ns0:v>
      </ns0:c>
      <ns0:c r="K21" t="str" s="14">
        <ns0:v>CC0805JRX7R0BB392</ns0:v>
      </ns0:c>
      <ns0:c r="L21" t="str" s="11">
        <ns0:f>B21&amp;" "&amp;D21&amp;" "&amp;E21&amp;" "&amp;G21&amp;" "&amp;H21&amp;" "&amp;I21</ns0:f>
        <ns0:v>Конденсатор 3,9 нФ ±5% 100 В X7R 0805</ns0:v>
      </ns0:c>
      <ns0:c r="M21" t="str" s="13">
        <ns0:v>C</ns0:v>
      </ns0:c>
      <ns0:c r="N21" t="str" s="13">
        <ns0:v>Symbols\MY_LIB_Capacitors.SchLib</ns0:v>
      </ns0:c>
      <ns0:c r="O21" t="str" s="13">
        <ns0:v>CAPC2012X135N</ns0:v>
      </ns0:c>
      <ns0:c r="P21" t="str" s="13">
        <ns0:v>Footprints\PBL - SMD Packages.PcbLib</ns0:v>
      </ns0:c>
      <ns0:c r="Q21" t="str" s="14">
        <ns0:v>YAGEO CC; список 20.10.2026</ns0:v>
      </ns0:c>
      <ns0:c r="R21" t="str" s="11">
        <ns0:f>D21</ns0:f>
        <ns0:v>3,9 нФ</ns0:v>
      </ns0:c>
      <ns0:c r="S21" t="str" s="11">
        <ns0:f>L21</ns0:f>
        <ns0:v>Конденсатор 3,9 нФ ±5% 100 В X7R 0805</ns0:v>
      </ns0:c>
      <x:c xmlns:x="http://schemas.openxmlformats.org/spreadsheetml/2006/main" r="T21" t="str" s="11">
        <x:v>C:\Users\Nomatin\Documents\Altium\MY_LIB\MY_LIB\Datasheets\YAGEO_CC_X7R.pdf</x:v>
      </x:c>
      <x:c xmlns:x="http://schemas.openxmlformats.org/spreadsheetml/2006/main" r="U21" t="str" s="11">
        <x:v>Даташит — локальный</x:v>
      </x:c>
      <x:c xmlns:x="http://schemas.openxmlformats.org/spreadsheetml/2006/main" r="V21" t="str" s="11">
        <x:v>C:\Users\Nomatin\Documents\Altium\MY_LIB\MY_LIB\Datasheets\YAGEO_CC_X7R.pdf</x:v>
      </x:c>
      <x:c xmlns:x="http://schemas.openxmlformats.org/spreadsheetml/2006/main" r="W21" t="str" s="11">
        <x:v>Даташит — производитель</x:v>
      </x:c>
      <x:c xmlns:x="http://schemas.openxmlformats.org/spreadsheetml/2006/main" r="X21" t="str" s="11">
        <x:v>https://yageogroup.com/content/datasheet/asset/file/UPY-GPHC_X7R_6_3V-TO-250V</x:v>
      </x:c>
      <x:c xmlns:x="http://schemas.openxmlformats.org/spreadsheetml/2006/main" r="Y21" t="str" s="11">
        <x:v>C:\Users\Nomatin\Documents\Altium\MY_LIB\MY_LIB\Datasheets\YAGEO_CC_X7R.pdf</x:v>
      </x:c>
    </ns0:row>
    <ns0:row r="22" ht="30" customHeight="1">
      <ns0:c r="A22" t="str" s="14">
        <ns0:v>C0023</ns0:v>
      </ns0:c>
      <ns0:c r="B22" t="str" s="14">
        <ns0:v>Конденсатор</ns0:v>
      </ns0:c>
      <ns0:c r="C22" t="str" s="14">
        <ns0:v>4.7n</ns0:v>
      </ns0:c>
      <ns0:c r="D22" t="str" s="11">
        <ns0:f>SUBSTITUTE(SUBSTITUTE(SUBSTITUTE(SUBSTITUTE(C22,"p"," пФ"),"n"," нФ"),"u"," мкФ"),".",",")</ns0:f>
        <ns0:v>4,7 нФ</ns0:v>
      </ns0:c>
      <ns0:c r="E22" t="str" s="14">
        <ns0:v>±5%</ns0:v>
      </ns0:c>
      <ns0:c r="F22" s="14"/>
      <ns0:c r="G22" t="str" s="14">
        <ns0:v>100 В</ns0:v>
      </ns0:c>
      <ns0:c r="H22" t="str" s="14">
        <ns0:v>X7R</ns0:v>
      </ns0:c>
      <ns0:c r="I22" t="str" s="15">
        <ns0:v>0805</ns0:v>
      </ns0:c>
      <ns0:c r="J22" t="str" s="14">
        <ns0:v>YAGEO</ns0:v>
      </ns0:c>
      <ns0:c r="K22" t="str" s="14">
        <ns0:v>CC0805JRX7R0BB472</ns0:v>
      </ns0:c>
      <ns0:c r="L22" t="str" s="11">
        <ns0:f>B22&amp;" "&amp;D22&amp;" "&amp;E22&amp;" "&amp;G22&amp;" "&amp;H22&amp;" "&amp;I22</ns0:f>
        <ns0:v>Конденсатор 4,7 нФ ±5% 100 В X7R 0805</ns0:v>
      </ns0:c>
      <ns0:c r="M22" t="str" s="13">
        <ns0:v>C</ns0:v>
      </ns0:c>
      <ns0:c r="N22" t="str" s="13">
        <ns0:v>Symbols\MY_LIB_Capacitors.SchLib</ns0:v>
      </ns0:c>
      <ns0:c r="O22" t="str" s="13">
        <ns0:v>CAPC2012X135N</ns0:v>
      </ns0:c>
      <ns0:c r="P22" t="str" s="13">
        <ns0:v>Footprints\PBL - SMD Packages.PcbLib</ns0:v>
      </ns0:c>
      <ns0:c r="Q22" t="str" s="14">
        <ns0:v>YAGEO CC; список 20.10.2026</ns0:v>
      </ns0:c>
      <ns0:c r="R22" t="str" s="11">
        <ns0:f>D22</ns0:f>
        <ns0:v>4,7 нФ</ns0:v>
      </ns0:c>
      <ns0:c r="S22" t="str" s="11">
        <ns0:f>L22</ns0:f>
        <ns0:v>Конденсатор 4,7 нФ ±5% 100 В X7R 0805</ns0:v>
      </ns0:c>
      <x:c xmlns:x="http://schemas.openxmlformats.org/spreadsheetml/2006/main" r="T22" t="str" s="11">
        <x:v>C:\Users\Nomatin\Documents\Altium\MY_LIB\MY_LIB\Datasheets\YAGEO_CC_X7R.pdf</x:v>
      </x:c>
      <x:c xmlns:x="http://schemas.openxmlformats.org/spreadsheetml/2006/main" r="U22" t="str" s="11">
        <x:v>Даташит — локальный</x:v>
      </x:c>
      <x:c xmlns:x="http://schemas.openxmlformats.org/spreadsheetml/2006/main" r="V22" t="str" s="11">
        <x:v>C:\Users\Nomatin\Documents\Altium\MY_LIB\MY_LIB\Datasheets\YAGEO_CC_X7R.pdf</x:v>
      </x:c>
      <x:c xmlns:x="http://schemas.openxmlformats.org/spreadsheetml/2006/main" r="W22" t="str" s="11">
        <x:v>Даташит — производитель</x:v>
      </x:c>
      <x:c xmlns:x="http://schemas.openxmlformats.org/spreadsheetml/2006/main" r="X22" t="str" s="11">
        <x:v>https://yageogroup.com/content/datasheet/asset/file/UPY-GPHC_X7R_6_3V-TO-250V</x:v>
      </x:c>
      <x:c xmlns:x="http://schemas.openxmlformats.org/spreadsheetml/2006/main" r="Y22" t="str" s="11">
        <x:v>C:\Users\Nomatin\Documents\Altium\MY_LIB\MY_LIB\Datasheets\YAGEO_CC_X7R.pdf</x:v>
      </x:c>
    </ns0:row>
    <ns0:row r="23" ht="30" customHeight="1">
      <ns0:c r="A23" t="str" s="14">
        <ns0:v>C0024</ns0:v>
      </ns0:c>
      <ns0:c r="B23" t="str" s="14">
        <ns0:v>Конденсатор</ns0:v>
      </ns0:c>
      <ns0:c r="C23" t="str" s="14">
        <ns0:v>5.6n</ns0:v>
      </ns0:c>
      <ns0:c r="D23" t="str" s="11">
        <ns0:f>SUBSTITUTE(SUBSTITUTE(SUBSTITUTE(SUBSTITUTE(C23,"p"," пФ"),"n"," нФ"),"u"," мкФ"),".",",")</ns0:f>
        <ns0:v>5,6 нФ</ns0:v>
      </ns0:c>
      <ns0:c r="E23" t="str" s="14">
        <ns0:v>±5%</ns0:v>
      </ns0:c>
      <ns0:c r="F23" s="14"/>
      <ns0:c r="G23" t="str" s="14">
        <ns0:v>100 В</ns0:v>
      </ns0:c>
      <ns0:c r="H23" t="str" s="14">
        <ns0:v>X7R</ns0:v>
      </ns0:c>
      <ns0:c r="I23" t="str" s="15">
        <ns0:v>0805</ns0:v>
      </ns0:c>
      <ns0:c r="J23" t="str" s="14">
        <ns0:v>YAGEO</ns0:v>
      </ns0:c>
      <ns0:c r="K23" t="str" s="14">
        <ns0:v>CC0805JRX7R0BB562</ns0:v>
      </ns0:c>
      <ns0:c r="L23" t="str" s="11">
        <ns0:f>B23&amp;" "&amp;D23&amp;" "&amp;E23&amp;" "&amp;G23&amp;" "&amp;H23&amp;" "&amp;I23</ns0:f>
        <ns0:v>Конденсатор 5,6 нФ ±5% 100 В X7R 0805</ns0:v>
      </ns0:c>
      <ns0:c r="M23" t="str" s="13">
        <ns0:v>C</ns0:v>
      </ns0:c>
      <ns0:c r="N23" t="str" s="13">
        <ns0:v>Symbols\MY_LIB_Capacitors.SchLib</ns0:v>
      </ns0:c>
      <ns0:c r="O23" t="str" s="13">
        <ns0:v>CAPC2012X135N</ns0:v>
      </ns0:c>
      <ns0:c r="P23" t="str" s="13">
        <ns0:v>Footprints\PBL - SMD Packages.PcbLib</ns0:v>
      </ns0:c>
      <ns0:c r="Q23" t="str" s="14">
        <ns0:v>YAGEO CC; список 20.10.2026</ns0:v>
      </ns0:c>
      <ns0:c r="R23" t="str" s="11">
        <ns0:f>D23</ns0:f>
        <ns0:v>5,6 нФ</ns0:v>
      </ns0:c>
      <ns0:c r="S23" t="str" s="11">
        <ns0:f>L23</ns0:f>
        <ns0:v>Конденсатор 5,6 нФ ±5% 100 В X7R 0805</ns0:v>
      </ns0:c>
      <x:c xmlns:x="http://schemas.openxmlformats.org/spreadsheetml/2006/main" r="T23" t="str" s="11">
        <x:v>C:\Users\Nomatin\Documents\Altium\MY_LIB\MY_LIB\Datasheets\YAGEO_CC_X7R.pdf</x:v>
      </x:c>
      <x:c xmlns:x="http://schemas.openxmlformats.org/spreadsheetml/2006/main" r="U23" t="str" s="11">
        <x:v>Даташит — локальный</x:v>
      </x:c>
      <x:c xmlns:x="http://schemas.openxmlformats.org/spreadsheetml/2006/main" r="V23" t="str" s="11">
        <x:v>C:\Users\Nomatin\Documents\Altium\MY_LIB\MY_LIB\Datasheets\YAGEO_CC_X7R.pdf</x:v>
      </x:c>
      <x:c xmlns:x="http://schemas.openxmlformats.org/spreadsheetml/2006/main" r="W23" t="str" s="11">
        <x:v>Даташит — производитель</x:v>
      </x:c>
      <x:c xmlns:x="http://schemas.openxmlformats.org/spreadsheetml/2006/main" r="X23" t="str" s="11">
        <x:v>https://yageogroup.com/content/datasheet/asset/file/UPY-GPHC_X7R_6_3V-TO-250V</x:v>
      </x:c>
      <x:c xmlns:x="http://schemas.openxmlformats.org/spreadsheetml/2006/main" r="Y23" t="str" s="11">
        <x:v>C:\Users\Nomatin\Documents\Altium\MY_LIB\MY_LIB\Datasheets\YAGEO_CC_X7R.pdf</x:v>
      </x:c>
    </ns0:row>
    <ns0:row r="24" ht="30" customHeight="1">
      <ns0:c r="A24" t="str" s="14">
        <ns0:v>C0025</ns0:v>
      </ns0:c>
      <ns0:c r="B24" t="str" s="14">
        <ns0:v>Конденсатор</ns0:v>
      </ns0:c>
      <ns0:c r="C24" t="str" s="14">
        <ns0:v>6.8n</ns0:v>
      </ns0:c>
      <ns0:c r="D24" t="str" s="11">
        <ns0:f>SUBSTITUTE(SUBSTITUTE(SUBSTITUTE(SUBSTITUTE(C24,"p"," пФ"),"n"," нФ"),"u"," мкФ"),".",",")</ns0:f>
        <ns0:v>6,8 нФ</ns0:v>
      </ns0:c>
      <ns0:c r="E24" t="str" s="14">
        <ns0:v>±5%</ns0:v>
      </ns0:c>
      <ns0:c r="F24" s="14"/>
      <ns0:c r="G24" t="str" s="14">
        <ns0:v>100 В</ns0:v>
      </ns0:c>
      <ns0:c r="H24" t="str" s="14">
        <ns0:v>X7R</ns0:v>
      </ns0:c>
      <ns0:c r="I24" t="str" s="15">
        <ns0:v>0805</ns0:v>
      </ns0:c>
      <ns0:c r="J24" t="str" s="14">
        <ns0:v>YAGEO</ns0:v>
      </ns0:c>
      <ns0:c r="K24" t="str" s="14">
        <ns0:v>CC0805JRX7R0BB682</ns0:v>
      </ns0:c>
      <ns0:c r="L24" t="str" s="11">
        <ns0:f>B24&amp;" "&amp;D24&amp;" "&amp;E24&amp;" "&amp;G24&amp;" "&amp;H24&amp;" "&amp;I24</ns0:f>
        <ns0:v>Конденсатор 6,8 нФ ±5% 100 В X7R 0805</ns0:v>
      </ns0:c>
      <ns0:c r="M24" t="str" s="13">
        <ns0:v>C</ns0:v>
      </ns0:c>
      <ns0:c r="N24" t="str" s="13">
        <ns0:v>Symbols\MY_LIB_Capacitors.SchLib</ns0:v>
      </ns0:c>
      <ns0:c r="O24" t="str" s="13">
        <ns0:v>CAPC2012X135N</ns0:v>
      </ns0:c>
      <ns0:c r="P24" t="str" s="13">
        <ns0:v>Footprints\PBL - SMD Packages.PcbLib</ns0:v>
      </ns0:c>
      <ns0:c r="Q24" t="str" s="14">
        <ns0:v>YAGEO CC; список 20.10.2026</ns0:v>
      </ns0:c>
      <ns0:c r="R24" t="str" s="11">
        <ns0:f>D24</ns0:f>
        <ns0:v>6,8 нФ</ns0:v>
      </ns0:c>
      <ns0:c r="S24" t="str" s="11">
        <ns0:f>L24</ns0:f>
        <ns0:v>Конденсатор 6,8 нФ ±5% 100 В X7R 0805</ns0:v>
      </ns0:c>
      <x:c xmlns:x="http://schemas.openxmlformats.org/spreadsheetml/2006/main" r="T24" t="str" s="11">
        <x:v>C:\Users\Nomatin\Documents\Altium\MY_LIB\MY_LIB\Datasheets\YAGEO_CC_X7R.pdf</x:v>
      </x:c>
      <x:c xmlns:x="http://schemas.openxmlformats.org/spreadsheetml/2006/main" r="U24" t="str" s="11">
        <x:v>Даташит — локальный</x:v>
      </x:c>
      <x:c xmlns:x="http://schemas.openxmlformats.org/spreadsheetml/2006/main" r="V24" t="str" s="11">
        <x:v>C:\Users\Nomatin\Documents\Altium\MY_LIB\MY_LIB\Datasheets\YAGEO_CC_X7R.pdf</x:v>
      </x:c>
      <x:c xmlns:x="http://schemas.openxmlformats.org/spreadsheetml/2006/main" r="W24" t="str" s="11">
        <x:v>Даташит — производитель</x:v>
      </x:c>
      <x:c xmlns:x="http://schemas.openxmlformats.org/spreadsheetml/2006/main" r="X24" t="str" s="11">
        <x:v>https://yageogroup.com/content/datasheet/asset/file/UPY-GPHC_X7R_6_3V-TO-250V</x:v>
      </x:c>
      <x:c xmlns:x="http://schemas.openxmlformats.org/spreadsheetml/2006/main" r="Y24" t="str" s="11">
        <x:v>C:\Users\Nomatin\Documents\Altium\MY_LIB\MY_LIB\Datasheets\YAGEO_CC_X7R.pdf</x:v>
      </x:c>
    </ns0:row>
    <ns0:row r="25" ht="30" customHeight="1">
      <ns0:c r="A25" t="str" s="14">
        <ns0:v>C0026</ns0:v>
      </ns0:c>
      <ns0:c r="B25" t="str" s="14">
        <ns0:v>Конденсатор</ns0:v>
      </ns0:c>
      <ns0:c r="C25" t="str" s="14">
        <ns0:v>8.2n</ns0:v>
      </ns0:c>
      <ns0:c r="D25" t="str" s="11">
        <ns0:f>SUBSTITUTE(SUBSTITUTE(SUBSTITUTE(SUBSTITUTE(C25,"p"," пФ"),"n"," нФ"),"u"," мкФ"),".",",")</ns0:f>
        <ns0:v>8,2 нФ</ns0:v>
      </ns0:c>
      <ns0:c r="E25" t="str" s="14">
        <ns0:v>±5%</ns0:v>
      </ns0:c>
      <ns0:c r="F25" s="14"/>
      <ns0:c r="G25" t="str" s="14">
        <ns0:v>100 В</ns0:v>
      </ns0:c>
      <ns0:c r="H25" t="str" s="14">
        <ns0:v>X7R</ns0:v>
      </ns0:c>
      <ns0:c r="I25" t="str" s="15">
        <ns0:v>0805</ns0:v>
      </ns0:c>
      <ns0:c r="J25" t="str" s="14">
        <ns0:v>YAGEO</ns0:v>
      </ns0:c>
      <ns0:c r="K25" t="str" s="14">
        <ns0:v>CC0805JRX7R0BB822</ns0:v>
      </ns0:c>
      <ns0:c r="L25" t="str" s="11">
        <ns0:f>B25&amp;" "&amp;D25&amp;" "&amp;E25&amp;" "&amp;G25&amp;" "&amp;H25&amp;" "&amp;I25</ns0:f>
        <ns0:v>Конденсатор 8,2 нФ ±5% 100 В X7R 0805</ns0:v>
      </ns0:c>
      <ns0:c r="M25" t="str" s="13">
        <ns0:v>C</ns0:v>
      </ns0:c>
      <ns0:c r="N25" t="str" s="13">
        <ns0:v>Symbols\MY_LIB_Capacitors.SchLib</ns0:v>
      </ns0:c>
      <ns0:c r="O25" t="str" s="13">
        <ns0:v>CAPC2012X135N</ns0:v>
      </ns0:c>
      <ns0:c r="P25" t="str" s="13">
        <ns0:v>Footprints\PBL - SMD Packages.PcbLib</ns0:v>
      </ns0:c>
      <ns0:c r="Q25" t="str" s="14">
        <ns0:v>YAGEO CC; список 20.10.2026</ns0:v>
      </ns0:c>
      <ns0:c r="R25" t="str" s="11">
        <ns0:f>D25</ns0:f>
        <ns0:v>8,2 нФ</ns0:v>
      </ns0:c>
      <ns0:c r="S25" t="str" s="11">
        <ns0:f>L25</ns0:f>
        <ns0:v>Конденсатор 8,2 нФ ±5% 100 В X7R 0805</ns0:v>
      </ns0:c>
      <x:c xmlns:x="http://schemas.openxmlformats.org/spreadsheetml/2006/main" r="T25" t="str" s="11">
        <x:v>C:\Users\Nomatin\Documents\Altium\MY_LIB\MY_LIB\Datasheets\YAGEO_CC_X7R.pdf</x:v>
      </x:c>
      <x:c xmlns:x="http://schemas.openxmlformats.org/spreadsheetml/2006/main" r="U25" t="str" s="11">
        <x:v>Даташит — локальный</x:v>
      </x:c>
      <x:c xmlns:x="http://schemas.openxmlformats.org/spreadsheetml/2006/main" r="V25" t="str" s="11">
        <x:v>C:\Users\Nomatin\Documents\Altium\MY_LIB\MY_LIB\Datasheets\YAGEO_CC_X7R.pdf</x:v>
      </x:c>
      <x:c xmlns:x="http://schemas.openxmlformats.org/spreadsheetml/2006/main" r="W25" t="str" s="11">
        <x:v>Даташит — производитель</x:v>
      </x:c>
      <x:c xmlns:x="http://schemas.openxmlformats.org/spreadsheetml/2006/main" r="X25" t="str" s="11">
        <x:v>https://yageogroup.com/content/datasheet/asset/file/UPY-GPHC_X7R_6_3V-TO-250V</x:v>
      </x:c>
      <x:c xmlns:x="http://schemas.openxmlformats.org/spreadsheetml/2006/main" r="Y25" t="str" s="11">
        <x:v>C:\Users\Nomatin\Documents\Altium\MY_LIB\MY_LIB\Datasheets\YAGEO_CC_X7R.pdf</x:v>
      </x:c>
    </ns0:row>
    <ns0:row r="26" ht="30" customHeight="1">
      <ns0:c r="A26" t="str" s="14">
        <ns0:v>C0027</ns0:v>
      </ns0:c>
      <ns0:c r="B26" t="str" s="14">
        <ns0:v>Конденсатор</ns0:v>
      </ns0:c>
      <ns0:c r="C26" t="str" s="14">
        <ns0:v>10n</ns0:v>
      </ns0:c>
      <ns0:c r="D26" t="str" s="11">
        <ns0:f>SUBSTITUTE(SUBSTITUTE(SUBSTITUTE(SUBSTITUTE(C26,"p"," пФ"),"n"," нФ"),"u"," мкФ"),".",",")</ns0:f>
        <ns0:v>10 нФ</ns0:v>
      </ns0:c>
      <ns0:c r="E26" t="str" s="14">
        <ns0:v>±5%</ns0:v>
      </ns0:c>
      <ns0:c r="F26" s="14"/>
      <ns0:c r="G26" t="str" s="14">
        <ns0:v>100 В</ns0:v>
      </ns0:c>
      <ns0:c r="H26" t="str" s="14">
        <ns0:v>X7R</ns0:v>
      </ns0:c>
      <ns0:c r="I26" t="str" s="15">
        <ns0:v>0805</ns0:v>
      </ns0:c>
      <ns0:c r="J26" t="str" s="14">
        <ns0:v>YAGEO</ns0:v>
      </ns0:c>
      <ns0:c r="K26" t="str" s="14">
        <ns0:v>CC0805JKX7R0BB103</ns0:v>
      </ns0:c>
      <ns0:c r="L26" t="str" s="11">
        <ns0:f>B26&amp;" "&amp;D26&amp;" "&amp;E26&amp;" "&amp;G26&amp;" "&amp;H26&amp;" "&amp;I26</ns0:f>
        <ns0:v>Конденсатор 10 нФ ±5% 100 В X7R 0805</ns0:v>
      </ns0:c>
      <ns0:c r="M26" t="str" s="13">
        <ns0:v>C</ns0:v>
      </ns0:c>
      <ns0:c r="N26" t="str" s="13">
        <ns0:v>Symbols\MY_LIB_Capacitors.SchLib</ns0:v>
      </ns0:c>
      <ns0:c r="O26" t="str" s="13">
        <ns0:v>CAPC2012X135N</ns0:v>
      </ns0:c>
      <ns0:c r="P26" t="str" s="13">
        <ns0:v>Footprints\PBL - SMD Packages.PcbLib</ns0:v>
      </ns0:c>
      <ns0:c r="Q26" t="str" s="14">
        <ns0:v>YAGEO CC; список 20.10.2026</ns0:v>
      </ns0:c>
      <ns0:c r="R26" t="str" s="11">
        <ns0:f>D26</ns0:f>
        <ns0:v>10 нФ</ns0:v>
      </ns0:c>
      <ns0:c r="S26" t="str" s="11">
        <ns0:f>L26</ns0:f>
        <ns0:v>Конденсатор 10 нФ ±5% 100 В X7R 0805</ns0:v>
      </ns0:c>
      <x:c xmlns:x="http://schemas.openxmlformats.org/spreadsheetml/2006/main" r="T26" t="str" s="11">
        <x:v>C:\Users\Nomatin\Documents\Altium\MY_LIB\MY_LIB\Datasheets\YAGEO_CC_X7R.pdf</x:v>
      </x:c>
      <x:c xmlns:x="http://schemas.openxmlformats.org/spreadsheetml/2006/main" r="U26" t="str" s="11">
        <x:v>Даташит — локальный</x:v>
      </x:c>
      <x:c xmlns:x="http://schemas.openxmlformats.org/spreadsheetml/2006/main" r="V26" t="str" s="11">
        <x:v>C:\Users\Nomatin\Documents\Altium\MY_LIB\MY_LIB\Datasheets\YAGEO_CC_X7R.pdf</x:v>
      </x:c>
      <x:c xmlns:x="http://schemas.openxmlformats.org/spreadsheetml/2006/main" r="W26" t="str" s="11">
        <x:v>Даташит — производитель</x:v>
      </x:c>
      <x:c xmlns:x="http://schemas.openxmlformats.org/spreadsheetml/2006/main" r="X26" t="str" s="11">
        <x:v>https://yageogroup.com/content/datasheet/asset/file/UPY-GPHC_X7R_6_3V-TO-250V</x:v>
      </x:c>
      <x:c xmlns:x="http://schemas.openxmlformats.org/spreadsheetml/2006/main" r="Y26" t="str" s="11">
        <x:v>C:\Users\Nomatin\Documents\Altium\MY_LIB\MY_LIB\Datasheets\YAGEO_CC_X7R.pdf</x:v>
      </x:c>
    </ns0:row>
    <ns0:row r="27" ht="30" customHeight="1">
      <ns0:c r="A27" t="str" s="14">
        <ns0:v>C0028</ns0:v>
      </ns0:c>
      <ns0:c r="B27" t="str" s="14">
        <ns0:v>Конденсатор</ns0:v>
      </ns0:c>
      <ns0:c r="C27" t="str" s="14">
        <ns0:v>12n</ns0:v>
      </ns0:c>
      <ns0:c r="D27" t="str" s="11">
        <ns0:f>SUBSTITUTE(SUBSTITUTE(SUBSTITUTE(SUBSTITUTE(C27,"p"," пФ"),"n"," нФ"),"u"," мкФ"),".",",")</ns0:f>
        <ns0:v>12 нФ</ns0:v>
      </ns0:c>
      <ns0:c r="E27" t="str" s="14">
        <ns0:v>±5%</ns0:v>
      </ns0:c>
      <ns0:c r="F27" s="14"/>
      <ns0:c r="G27" t="str" s="14">
        <ns0:v>50 В</ns0:v>
      </ns0:c>
      <ns0:c r="H27" t="str" s="14">
        <ns0:v>X7R</ns0:v>
      </ns0:c>
      <ns0:c r="I27" t="str" s="15">
        <ns0:v>0805</ns0:v>
      </ns0:c>
      <ns0:c r="J27" t="str" s="14">
        <ns0:v>YAGEO</ns0:v>
      </ns0:c>
      <ns0:c r="K27" t="str" s="14">
        <ns0:v>CC0805JRX7R9BB123</ns0:v>
      </ns0:c>
      <ns0:c r="L27" t="str" s="11">
        <ns0:f>B27&amp;" "&amp;D27&amp;" "&amp;E27&amp;" "&amp;G27&amp;" "&amp;H27&amp;" "&amp;I27</ns0:f>
        <ns0:v>Конденсатор 12 нФ ±5% 50 В X7R 0805</ns0:v>
      </ns0:c>
      <ns0:c r="M27" t="str" s="13">
        <ns0:v>C</ns0:v>
      </ns0:c>
      <ns0:c r="N27" t="str" s="13">
        <ns0:v>Symbols\MY_LIB_Capacitors.SchLib</ns0:v>
      </ns0:c>
      <ns0:c r="O27" t="str" s="13">
        <ns0:v>CAPC2012X135N</ns0:v>
      </ns0:c>
      <ns0:c r="P27" t="str" s="13">
        <ns0:v>Footprints\PBL - SMD Packages.PcbLib</ns0:v>
      </ns0:c>
      <ns0:c r="Q27" t="str" s="14">
        <ns0:v>YAGEO CC; список 20.10.2026</ns0:v>
      </ns0:c>
      <ns0:c r="R27" t="str" s="11">
        <ns0:f>D27</ns0:f>
        <ns0:v>12 нФ</ns0:v>
      </ns0:c>
      <ns0:c r="S27" t="str" s="11">
        <ns0:f>L27</ns0:f>
        <ns0:v>Конденсатор 12 нФ ±5% 50 В X7R 0805</ns0:v>
      </ns0:c>
      <x:c xmlns:x="http://schemas.openxmlformats.org/spreadsheetml/2006/main" r="T27" t="str" s="11">
        <x:v>C:\Users\Nomatin\Documents\Altium\MY_LIB\MY_LIB\Datasheets\YAGEO_CC_X7R.pdf</x:v>
      </x:c>
      <x:c xmlns:x="http://schemas.openxmlformats.org/spreadsheetml/2006/main" r="U27" t="str" s="11">
        <x:v>Даташит — локальный</x:v>
      </x:c>
      <x:c xmlns:x="http://schemas.openxmlformats.org/spreadsheetml/2006/main" r="V27" t="str" s="11">
        <x:v>C:\Users\Nomatin\Documents\Altium\MY_LIB\MY_LIB\Datasheets\YAGEO_CC_X7R.pdf</x:v>
      </x:c>
      <x:c xmlns:x="http://schemas.openxmlformats.org/spreadsheetml/2006/main" r="W27" t="str" s="11">
        <x:v>Даташит — производитель</x:v>
      </x:c>
      <x:c xmlns:x="http://schemas.openxmlformats.org/spreadsheetml/2006/main" r="X27" t="str" s="11">
        <x:v>https://yageogroup.com/content/datasheet/asset/file/UPY-GPHC_X7R_6_3V-TO-250V</x:v>
      </x:c>
      <x:c xmlns:x="http://schemas.openxmlformats.org/spreadsheetml/2006/main" r="Y27" t="str" s="11">
        <x:v>C:\Users\Nomatin\Documents\Altium\MY_LIB\MY_LIB\Datasheets\YAGEO_CC_X7R.pdf</x:v>
      </x:c>
    </ns0:row>
    <ns0:row r="28" ht="30" customHeight="1">
      <ns0:c r="A28" t="str" s="14">
        <ns0:v>C0029</ns0:v>
      </ns0:c>
      <ns0:c r="B28" t="str" s="14">
        <ns0:v>Конденсатор</ns0:v>
      </ns0:c>
      <ns0:c r="C28" t="str" s="14">
        <ns0:v>15n</ns0:v>
      </ns0:c>
      <ns0:c r="D28" t="str" s="11">
        <ns0:f>SUBSTITUTE(SUBSTITUTE(SUBSTITUTE(SUBSTITUTE(C28,"p"," пФ"),"n"," нФ"),"u"," мкФ"),".",",")</ns0:f>
        <ns0:v>15 нФ</ns0:v>
      </ns0:c>
      <ns0:c r="E28" t="str" s="14">
        <ns0:v>±5%</ns0:v>
      </ns0:c>
      <ns0:c r="F28" s="14"/>
      <ns0:c r="G28" t="str" s="14">
        <ns0:v>100 В</ns0:v>
      </ns0:c>
      <ns0:c r="H28" t="str" s="14">
        <ns0:v>X7R</ns0:v>
      </ns0:c>
      <ns0:c r="I28" t="str" s="15">
        <ns0:v>0805</ns0:v>
      </ns0:c>
      <ns0:c r="J28" t="str" s="14">
        <ns0:v>YAGEO</ns0:v>
      </ns0:c>
      <ns0:c r="K28" t="str" s="14">
        <ns0:v>CC0805JKX7R0BB153</ns0:v>
      </ns0:c>
      <ns0:c r="L28" t="str" s="11">
        <ns0:f>B28&amp;" "&amp;D28&amp;" "&amp;E28&amp;" "&amp;G28&amp;" "&amp;H28&amp;" "&amp;I28</ns0:f>
        <ns0:v>Конденсатор 15 нФ ±5% 100 В X7R 0805</ns0:v>
      </ns0:c>
      <ns0:c r="M28" t="str" s="13">
        <ns0:v>C</ns0:v>
      </ns0:c>
      <ns0:c r="N28" t="str" s="13">
        <ns0:v>Symbols\MY_LIB_Capacitors.SchLib</ns0:v>
      </ns0:c>
      <ns0:c r="O28" t="str" s="13">
        <ns0:v>CAPC2012X135N</ns0:v>
      </ns0:c>
      <ns0:c r="P28" t="str" s="13">
        <ns0:v>Footprints\PBL - SMD Packages.PcbLib</ns0:v>
      </ns0:c>
      <ns0:c r="Q28" t="str" s="14">
        <ns0:v>YAGEO CC; список 20.10.2026</ns0:v>
      </ns0:c>
      <ns0:c r="R28" t="str" s="11">
        <ns0:f>D28</ns0:f>
        <ns0:v>15 нФ</ns0:v>
      </ns0:c>
      <ns0:c r="S28" t="str" s="11">
        <ns0:f>L28</ns0:f>
        <ns0:v>Конденсатор 15 нФ ±5% 100 В X7R 0805</ns0:v>
      </ns0:c>
      <x:c xmlns:x="http://schemas.openxmlformats.org/spreadsheetml/2006/main" r="T28" t="str" s="11">
        <x:v>C:\Users\Nomatin\Documents\Altium\MY_LIB\MY_LIB\Datasheets\YAGEO_CC_X7R.pdf</x:v>
      </x:c>
      <x:c xmlns:x="http://schemas.openxmlformats.org/spreadsheetml/2006/main" r="U28" t="str" s="11">
        <x:v>Даташит — локальный</x:v>
      </x:c>
      <x:c xmlns:x="http://schemas.openxmlformats.org/spreadsheetml/2006/main" r="V28" t="str" s="11">
        <x:v>C:\Users\Nomatin\Documents\Altium\MY_LIB\MY_LIB\Datasheets\YAGEO_CC_X7R.pdf</x:v>
      </x:c>
      <x:c xmlns:x="http://schemas.openxmlformats.org/spreadsheetml/2006/main" r="W28" t="str" s="11">
        <x:v>Даташит — производитель</x:v>
      </x:c>
      <x:c xmlns:x="http://schemas.openxmlformats.org/spreadsheetml/2006/main" r="X28" t="str" s="11">
        <x:v>https://yageogroup.com/content/datasheet/asset/file/UPY-GPHC_X7R_6_3V-TO-250V</x:v>
      </x:c>
      <x:c xmlns:x="http://schemas.openxmlformats.org/spreadsheetml/2006/main" r="Y28" t="str" s="11">
        <x:v>C:\Users\Nomatin\Documents\Altium\MY_LIB\MY_LIB\Datasheets\YAGEO_CC_X7R.pdf</x:v>
      </x:c>
    </ns0:row>
    <ns0:row r="29" ht="30" customHeight="1">
      <ns0:c r="A29" t="str" s="14">
        <ns0:v>C0030</ns0:v>
      </ns0:c>
      <ns0:c r="B29" t="str" s="14">
        <ns0:v>Конденсатор</ns0:v>
      </ns0:c>
      <ns0:c r="C29" t="str" s="14">
        <ns0:v>18n</ns0:v>
      </ns0:c>
      <ns0:c r="D29" t="str" s="11">
        <ns0:f>SUBSTITUTE(SUBSTITUTE(SUBSTITUTE(SUBSTITUTE(C29,"p"," пФ"),"n"," нФ"),"u"," мкФ"),".",",")</ns0:f>
        <ns0:v>18 нФ</ns0:v>
      </ns0:c>
      <ns0:c r="E29" t="str" s="14">
        <ns0:v>±5%</ns0:v>
      </ns0:c>
      <ns0:c r="F29" s="14"/>
      <ns0:c r="G29" t="str" s="14">
        <ns0:v>50 В</ns0:v>
      </ns0:c>
      <ns0:c r="H29" t="str" s="14">
        <ns0:v>X7R</ns0:v>
      </ns0:c>
      <ns0:c r="I29" t="str" s="15">
        <ns0:v>0805</ns0:v>
      </ns0:c>
      <ns0:c r="J29" t="str" s="14">
        <ns0:v>YAGEO</ns0:v>
      </ns0:c>
      <ns0:c r="K29" t="str" s="14">
        <ns0:v>CC0805JRX7R9BB183</ns0:v>
      </ns0:c>
      <ns0:c r="L29" t="str" s="11">
        <ns0:f>B29&amp;" "&amp;D29&amp;" "&amp;E29&amp;" "&amp;G29&amp;" "&amp;H29&amp;" "&amp;I29</ns0:f>
        <ns0:v>Конденсатор 18 нФ ±5% 50 В X7R 0805</ns0:v>
      </ns0:c>
      <ns0:c r="M29" t="str" s="13">
        <ns0:v>C</ns0:v>
      </ns0:c>
      <ns0:c r="N29" t="str" s="13">
        <ns0:v>Symbols\MY_LIB_Capacitors.SchLib</ns0:v>
      </ns0:c>
      <ns0:c r="O29" t="str" s="13">
        <ns0:v>CAPC2012X135N</ns0:v>
      </ns0:c>
      <ns0:c r="P29" t="str" s="13">
        <ns0:v>Footprints\PBL - SMD Packages.PcbLib</ns0:v>
      </ns0:c>
      <ns0:c r="Q29" t="str" s="14">
        <ns0:v>YAGEO CC; список 20.10.2026</ns0:v>
      </ns0:c>
      <ns0:c r="R29" t="str" s="11">
        <ns0:f>D29</ns0:f>
        <ns0:v>18 нФ</ns0:v>
      </ns0:c>
      <ns0:c r="S29" t="str" s="11">
        <ns0:f>L29</ns0:f>
        <ns0:v>Конденсатор 18 нФ ±5% 50 В X7R 0805</ns0:v>
      </ns0:c>
      <x:c xmlns:x="http://schemas.openxmlformats.org/spreadsheetml/2006/main" r="T29" t="str" s="11">
        <x:v>C:\Users\Nomatin\Documents\Altium\MY_LIB\MY_LIB\Datasheets\YAGEO_CC_X7R.pdf</x:v>
      </x:c>
      <x:c xmlns:x="http://schemas.openxmlformats.org/spreadsheetml/2006/main" r="U29" t="str" s="11">
        <x:v>Даташит — локальный</x:v>
      </x:c>
      <x:c xmlns:x="http://schemas.openxmlformats.org/spreadsheetml/2006/main" r="V29" t="str" s="11">
        <x:v>C:\Users\Nomatin\Documents\Altium\MY_LIB\MY_LIB\Datasheets\YAGEO_CC_X7R.pdf</x:v>
      </x:c>
      <x:c xmlns:x="http://schemas.openxmlformats.org/spreadsheetml/2006/main" r="W29" t="str" s="11">
        <x:v>Даташит — производитель</x:v>
      </x:c>
      <x:c xmlns:x="http://schemas.openxmlformats.org/spreadsheetml/2006/main" r="X29" t="str" s="11">
        <x:v>https://yageogroup.com/content/datasheet/asset/file/UPY-GPHC_X7R_6_3V-TO-250V</x:v>
      </x:c>
      <x:c xmlns:x="http://schemas.openxmlformats.org/spreadsheetml/2006/main" r="Y29" t="str" s="11">
        <x:v>C:\Users\Nomatin\Documents\Altium\MY_LIB\MY_LIB\Datasheets\YAGEO_CC_X7R.pdf</x:v>
      </x:c>
    </ns0:row>
    <ns0:row r="30" ht="30" customHeight="1">
      <ns0:c r="A30" t="str" s="14">
        <ns0:v>C0031</ns0:v>
      </ns0:c>
      <ns0:c r="B30" t="str" s="14">
        <ns0:v>Конденсатор</ns0:v>
      </ns0:c>
      <ns0:c r="C30" t="str" s="14">
        <ns0:v>20n</ns0:v>
      </ns0:c>
      <ns0:c r="D30" t="str" s="11">
        <ns0:f>SUBSTITUTE(SUBSTITUTE(SUBSTITUTE(SUBSTITUTE(C30,"p"," пФ"),"n"," нФ"),"u"," мкФ"),".",",")</ns0:f>
        <ns0:v>20 нФ</ns0:v>
      </ns0:c>
      <ns0:c r="E30" t="str" s="14">
        <ns0:v>±5%</ns0:v>
      </ns0:c>
      <ns0:c r="F30" s="14"/>
      <ns0:c r="G30" t="str" s="14">
        <ns0:v>50 В</ns0:v>
      </ns0:c>
      <ns0:c r="H30" t="str" s="14">
        <ns0:v>X7R</ns0:v>
      </ns0:c>
      <ns0:c r="I30" t="str" s="15">
        <ns0:v>0805</ns0:v>
      </ns0:c>
      <ns0:c r="J30" t="str" s="14">
        <ns0:v>YAGEO</ns0:v>
      </ns0:c>
      <ns0:c r="K30" t="str" s="14">
        <ns0:v>CC0805JRX7R9BB203</ns0:v>
      </ns0:c>
      <ns0:c r="L30" t="str" s="11">
        <ns0:f>B30&amp;" "&amp;D30&amp;" "&amp;E30&amp;" "&amp;G30&amp;" "&amp;H30&amp;" "&amp;I30</ns0:f>
        <ns0:v>Конденсатор 20 нФ ±5% 50 В X7R 0805</ns0:v>
      </ns0:c>
      <ns0:c r="M30" t="str" s="13">
        <ns0:v>C</ns0:v>
      </ns0:c>
      <ns0:c r="N30" t="str" s="13">
        <ns0:v>Symbols\MY_LIB_Capacitors.SchLib</ns0:v>
      </ns0:c>
      <ns0:c r="O30" t="str" s="13">
        <ns0:v>CAPC2012X135N</ns0:v>
      </ns0:c>
      <ns0:c r="P30" t="str" s="13">
        <ns0:v>Footprints\PBL - SMD Packages.PcbLib</ns0:v>
      </ns0:c>
      <ns0:c r="Q30" t="str" s="14">
        <ns0:v>YAGEO CC; список 20.10.2026</ns0:v>
      </ns0:c>
      <ns0:c r="R30" t="str" s="11">
        <ns0:f>D30</ns0:f>
        <ns0:v>20 нФ</ns0:v>
      </ns0:c>
      <ns0:c r="S30" t="str" s="11">
        <ns0:f>L30</ns0:f>
        <ns0:v>Конденсатор 20 нФ ±5% 50 В X7R 0805</ns0:v>
      </ns0:c>
      <x:c xmlns:x="http://schemas.openxmlformats.org/spreadsheetml/2006/main" r="T30" t="str" s="11">
        <x:v>C:\Users\Nomatin\Documents\Altium\MY_LIB\MY_LIB\Datasheets\YAGEO_CC_X7R.pdf</x:v>
      </x:c>
      <x:c xmlns:x="http://schemas.openxmlformats.org/spreadsheetml/2006/main" r="U30" t="str" s="11">
        <x:v>Даташит — локальный</x:v>
      </x:c>
      <x:c xmlns:x="http://schemas.openxmlformats.org/spreadsheetml/2006/main" r="V30" t="str" s="11">
        <x:v>C:\Users\Nomatin\Documents\Altium\MY_LIB\MY_LIB\Datasheets\YAGEO_CC_X7R.pdf</x:v>
      </x:c>
      <x:c xmlns:x="http://schemas.openxmlformats.org/spreadsheetml/2006/main" r="W30" t="str" s="11">
        <x:v>Даташит — производитель</x:v>
      </x:c>
      <x:c xmlns:x="http://schemas.openxmlformats.org/spreadsheetml/2006/main" r="X30" t="str" s="11">
        <x:v>https://yageogroup.com/content/datasheet/asset/file/UPY-GPHC_X7R_6_3V-TO-250V</x:v>
      </x:c>
      <x:c xmlns:x="http://schemas.openxmlformats.org/spreadsheetml/2006/main" r="Y30" t="str" s="11">
        <x:v>C:\Users\Nomatin\Documents\Altium\MY_LIB\MY_LIB\Datasheets\YAGEO_CC_X7R.pdf</x:v>
      </x:c>
    </ns0:row>
    <ns0:row r="31" ht="30" customHeight="1">
      <ns0:c r="A31" t="str" s="14">
        <ns0:v>C0032</ns0:v>
      </ns0:c>
      <ns0:c r="B31" t="str" s="14">
        <ns0:v>Конденсатор</ns0:v>
      </ns0:c>
      <ns0:c r="C31" t="str" s="14">
        <ns0:v>22n</ns0:v>
      </ns0:c>
      <ns0:c r="D31" t="str" s="11">
        <ns0:f>SUBSTITUTE(SUBSTITUTE(SUBSTITUTE(SUBSTITUTE(C31,"p"," пФ"),"n"," нФ"),"u"," мкФ"),".",",")</ns0:f>
        <ns0:v>22 нФ</ns0:v>
      </ns0:c>
      <ns0:c r="E31" t="str" s="14">
        <ns0:v>±5%</ns0:v>
      </ns0:c>
      <ns0:c r="F31" s="14"/>
      <ns0:c r="G31" t="str" s="14">
        <ns0:v>100 В</ns0:v>
      </ns0:c>
      <ns0:c r="H31" t="str" s="14">
        <ns0:v>X7R</ns0:v>
      </ns0:c>
      <ns0:c r="I31" t="str" s="15">
        <ns0:v>0805</ns0:v>
      </ns0:c>
      <ns0:c r="J31" t="str" s="14">
        <ns0:v>YAGEO</ns0:v>
      </ns0:c>
      <ns0:c r="K31" t="str" s="14">
        <ns0:v>CC0805JKX7R0BB223</ns0:v>
      </ns0:c>
      <ns0:c r="L31" t="str" s="11">
        <ns0:f>B31&amp;" "&amp;D31&amp;" "&amp;E31&amp;" "&amp;G31&amp;" "&amp;H31&amp;" "&amp;I31</ns0:f>
        <ns0:v>Конденсатор 22 нФ ±5% 100 В X7R 0805</ns0:v>
      </ns0:c>
      <ns0:c r="M31" t="str" s="13">
        <ns0:v>C</ns0:v>
      </ns0:c>
      <ns0:c r="N31" t="str" s="13">
        <ns0:v>Symbols\MY_LIB_Capacitors.SchLib</ns0:v>
      </ns0:c>
      <ns0:c r="O31" t="str" s="13">
        <ns0:v>CAPC2012X135N</ns0:v>
      </ns0:c>
      <ns0:c r="P31" t="str" s="13">
        <ns0:v>Footprints\PBL - SMD Packages.PcbLib</ns0:v>
      </ns0:c>
      <ns0:c r="Q31" t="str" s="14">
        <ns0:v>YAGEO CC; список 20.10.2026</ns0:v>
      </ns0:c>
      <ns0:c r="R31" t="str" s="11">
        <ns0:f>D31</ns0:f>
        <ns0:v>22 нФ</ns0:v>
      </ns0:c>
      <ns0:c r="S31" t="str" s="11">
        <ns0:f>L31</ns0:f>
        <ns0:v>Конденсатор 22 нФ ±5% 100 В X7R 0805</ns0:v>
      </ns0:c>
      <x:c xmlns:x="http://schemas.openxmlformats.org/spreadsheetml/2006/main" r="T31" t="str" s="11">
        <x:v>C:\Users\Nomatin\Documents\Altium\MY_LIB\MY_LIB\Datasheets\YAGEO_CC_X7R.pdf</x:v>
      </x:c>
      <x:c xmlns:x="http://schemas.openxmlformats.org/spreadsheetml/2006/main" r="U31" t="str" s="11">
        <x:v>Даташит — локальный</x:v>
      </x:c>
      <x:c xmlns:x="http://schemas.openxmlformats.org/spreadsheetml/2006/main" r="V31" t="str" s="11">
        <x:v>C:\Users\Nomatin\Documents\Altium\MY_LIB\MY_LIB\Datasheets\YAGEO_CC_X7R.pdf</x:v>
      </x:c>
      <x:c xmlns:x="http://schemas.openxmlformats.org/spreadsheetml/2006/main" r="W31" t="str" s="11">
        <x:v>Даташит — производитель</x:v>
      </x:c>
      <x:c xmlns:x="http://schemas.openxmlformats.org/spreadsheetml/2006/main" r="X31" t="str" s="11">
        <x:v>https://yageogroup.com/content/datasheet/asset/file/UPY-GPHC_X7R_6_3V-TO-250V</x:v>
      </x:c>
      <x:c xmlns:x="http://schemas.openxmlformats.org/spreadsheetml/2006/main" r="Y31" t="str" s="11">
        <x:v>C:\Users\Nomatin\Documents\Altium\MY_LIB\MY_LIB\Datasheets\YAGEO_CC_X7R.pdf</x:v>
      </x:c>
    </ns0:row>
    <ns0:row r="32" ht="30" customHeight="1">
      <ns0:c r="A32" t="str" s="14">
        <ns0:v>C0033</ns0:v>
      </ns0:c>
      <ns0:c r="B32" t="str" s="14">
        <ns0:v>Конденсатор</ns0:v>
      </ns0:c>
      <ns0:c r="C32" t="str" s="14">
        <ns0:v>27n</ns0:v>
      </ns0:c>
      <ns0:c r="D32" t="str" s="11">
        <ns0:f>SUBSTITUTE(SUBSTITUTE(SUBSTITUTE(SUBSTITUTE(C32,"p"," пФ"),"n"," нФ"),"u"," мкФ"),".",",")</ns0:f>
        <ns0:v>27 нФ</ns0:v>
      </ns0:c>
      <ns0:c r="E32" t="str" s="14">
        <ns0:v>±5%</ns0:v>
      </ns0:c>
      <ns0:c r="F32" s="14"/>
      <ns0:c r="G32" t="str" s="14">
        <ns0:v>50 В</ns0:v>
      </ns0:c>
      <ns0:c r="H32" t="str" s="14">
        <ns0:v>X7R</ns0:v>
      </ns0:c>
      <ns0:c r="I32" t="str" s="15">
        <ns0:v>0805</ns0:v>
      </ns0:c>
      <ns0:c r="J32" t="str" s="14">
        <ns0:v>YAGEO</ns0:v>
      </ns0:c>
      <ns0:c r="K32" t="str" s="14">
        <ns0:v>CC0805JRX7R9BB273</ns0:v>
      </ns0:c>
      <ns0:c r="L32" t="str" s="11">
        <ns0:f>B32&amp;" "&amp;D32&amp;" "&amp;E32&amp;" "&amp;G32&amp;" "&amp;H32&amp;" "&amp;I32</ns0:f>
        <ns0:v>Конденсатор 27 нФ ±5% 50 В X7R 0805</ns0:v>
      </ns0:c>
      <ns0:c r="M32" t="str" s="13">
        <ns0:v>C</ns0:v>
      </ns0:c>
      <ns0:c r="N32" t="str" s="13">
        <ns0:v>Symbols\MY_LIB_Capacitors.SchLib</ns0:v>
      </ns0:c>
      <ns0:c r="O32" t="str" s="13">
        <ns0:v>CAPC2012X135N</ns0:v>
      </ns0:c>
      <ns0:c r="P32" t="str" s="13">
        <ns0:v>Footprints\PBL - SMD Packages.PcbLib</ns0:v>
      </ns0:c>
      <ns0:c r="Q32" t="str" s="14">
        <ns0:v>YAGEO CC; список 20.10.2026</ns0:v>
      </ns0:c>
      <ns0:c r="R32" t="str" s="11">
        <ns0:f>D32</ns0:f>
        <ns0:v>27 нФ</ns0:v>
      </ns0:c>
      <ns0:c r="S32" t="str" s="11">
        <ns0:f>L32</ns0:f>
        <ns0:v>Конденсатор 27 нФ ±5% 50 В X7R 0805</ns0:v>
      </ns0:c>
      <x:c xmlns:x="http://schemas.openxmlformats.org/spreadsheetml/2006/main" r="T32" t="str" s="11">
        <x:v>C:\Users\Nomatin\Documents\Altium\MY_LIB\MY_LIB\Datasheets\YAGEO_CC_X7R.pdf</x:v>
      </x:c>
      <x:c xmlns:x="http://schemas.openxmlformats.org/spreadsheetml/2006/main" r="U32" t="str" s="11">
        <x:v>Даташит — локальный</x:v>
      </x:c>
      <x:c xmlns:x="http://schemas.openxmlformats.org/spreadsheetml/2006/main" r="V32" t="str" s="11">
        <x:v>C:\Users\Nomatin\Documents\Altium\MY_LIB\MY_LIB\Datasheets\YAGEO_CC_X7R.pdf</x:v>
      </x:c>
      <x:c xmlns:x="http://schemas.openxmlformats.org/spreadsheetml/2006/main" r="W32" t="str" s="11">
        <x:v>Даташит — производитель</x:v>
      </x:c>
      <x:c xmlns:x="http://schemas.openxmlformats.org/spreadsheetml/2006/main" r="X32" t="str" s="11">
        <x:v>https://yageogroup.com/content/datasheet/asset/file/UPY-GPHC_X7R_6_3V-TO-250V</x:v>
      </x:c>
      <x:c xmlns:x="http://schemas.openxmlformats.org/spreadsheetml/2006/main" r="Y32" t="str" s="11">
        <x:v>C:\Users\Nomatin\Documents\Altium\MY_LIB\MY_LIB\Datasheets\YAGEO_CC_X7R.pdf</x:v>
      </x:c>
    </ns0:row>
    <ns0:row r="33" ht="30" customHeight="1">
      <ns0:c r="A33" t="str" s="14">
        <ns0:v>C0034</ns0:v>
      </ns0:c>
      <ns0:c r="B33" t="str" s="14">
        <ns0:v>Конденсатор</ns0:v>
      </ns0:c>
      <ns0:c r="C33" t="str" s="14">
        <ns0:v>33n</ns0:v>
      </ns0:c>
      <ns0:c r="D33" t="str" s="11">
        <ns0:f>SUBSTITUTE(SUBSTITUTE(SUBSTITUTE(SUBSTITUTE(C33,"p"," пФ"),"n"," нФ"),"u"," мкФ"),".",",")</ns0:f>
        <ns0:v>33 нФ</ns0:v>
      </ns0:c>
      <ns0:c r="E33" t="str" s="14">
        <ns0:v>±5%</ns0:v>
      </ns0:c>
      <ns0:c r="F33" s="14"/>
      <ns0:c r="G33" t="str" s="14">
        <ns0:v>100 В</ns0:v>
      </ns0:c>
      <ns0:c r="H33" t="str" s="14">
        <ns0:v>X7R</ns0:v>
      </ns0:c>
      <ns0:c r="I33" t="str" s="15">
        <ns0:v>0805</ns0:v>
      </ns0:c>
      <ns0:c r="J33" t="str" s="14">
        <ns0:v>YAGEO</ns0:v>
      </ns0:c>
      <ns0:c r="K33" t="str" s="14">
        <ns0:v>CC0805JKX7R0BB333</ns0:v>
      </ns0:c>
      <ns0:c r="L33" t="str" s="11">
        <ns0:f>B33&amp;" "&amp;D33&amp;" "&amp;E33&amp;" "&amp;G33&amp;" "&amp;H33&amp;" "&amp;I33</ns0:f>
        <ns0:v>Конденсатор 33 нФ ±5% 100 В X7R 0805</ns0:v>
      </ns0:c>
      <ns0:c r="M33" t="str" s="13">
        <ns0:v>C</ns0:v>
      </ns0:c>
      <ns0:c r="N33" t="str" s="13">
        <ns0:v>Symbols\MY_LIB_Capacitors.SchLib</ns0:v>
      </ns0:c>
      <ns0:c r="O33" t="str" s="13">
        <ns0:v>CAPC2012X135N</ns0:v>
      </ns0:c>
      <ns0:c r="P33" t="str" s="13">
        <ns0:v>Footprints\PBL - SMD Packages.PcbLib</ns0:v>
      </ns0:c>
      <ns0:c r="Q33" t="str" s="14">
        <ns0:v>YAGEO CC; список 20.10.2026</ns0:v>
      </ns0:c>
      <ns0:c r="R33" t="str" s="11">
        <ns0:f>D33</ns0:f>
        <ns0:v>33 нФ</ns0:v>
      </ns0:c>
      <ns0:c r="S33" t="str" s="11">
        <ns0:f>L33</ns0:f>
        <ns0:v>Конденсатор 33 нФ ±5% 100 В X7R 0805</ns0:v>
      </ns0:c>
      <x:c xmlns:x="http://schemas.openxmlformats.org/spreadsheetml/2006/main" r="T33" t="str" s="11">
        <x:v>C:\Users\Nomatin\Documents\Altium\MY_LIB\MY_LIB\Datasheets\YAGEO_CC_X7R.pdf</x:v>
      </x:c>
      <x:c xmlns:x="http://schemas.openxmlformats.org/spreadsheetml/2006/main" r="U33" t="str" s="11">
        <x:v>Даташит — локальный</x:v>
      </x:c>
      <x:c xmlns:x="http://schemas.openxmlformats.org/spreadsheetml/2006/main" r="V33" t="str" s="11">
        <x:v>C:\Users\Nomatin\Documents\Altium\MY_LIB\MY_LIB\Datasheets\YAGEO_CC_X7R.pdf</x:v>
      </x:c>
      <x:c xmlns:x="http://schemas.openxmlformats.org/spreadsheetml/2006/main" r="W33" t="str" s="11">
        <x:v>Даташит — производитель</x:v>
      </x:c>
      <x:c xmlns:x="http://schemas.openxmlformats.org/spreadsheetml/2006/main" r="X33" t="str" s="11">
        <x:v>https://yageogroup.com/content/datasheet/asset/file/UPY-GPHC_X7R_6_3V-TO-250V</x:v>
      </x:c>
      <x:c xmlns:x="http://schemas.openxmlformats.org/spreadsheetml/2006/main" r="Y33" t="str" s="11">
        <x:v>C:\Users\Nomatin\Documents\Altium\MY_LIB\MY_LIB\Datasheets\YAGEO_CC_X7R.pdf</x:v>
      </x:c>
    </ns0:row>
    <ns0:row r="34" ht="30" customHeight="1">
      <ns0:c r="A34" t="str" s="14">
        <ns0:v>C0035</ns0:v>
      </ns0:c>
      <ns0:c r="B34" t="str" s="14">
        <ns0:v>Конденсатор</ns0:v>
      </ns0:c>
      <ns0:c r="C34" t="str" s="14">
        <ns0:v>39n</ns0:v>
      </ns0:c>
      <ns0:c r="D34" t="str" s="11">
        <ns0:f>SUBSTITUTE(SUBSTITUTE(SUBSTITUTE(SUBSTITUTE(C34,"p"," пФ"),"n"," нФ"),"u"," мкФ"),".",",")</ns0:f>
        <ns0:v>39 нФ</ns0:v>
      </ns0:c>
      <ns0:c r="E34" t="str" s="14">
        <ns0:v>±5%</ns0:v>
      </ns0:c>
      <ns0:c r="F34" s="14"/>
      <ns0:c r="G34" t="str" s="14">
        <ns0:v>50 В</ns0:v>
      </ns0:c>
      <ns0:c r="H34" t="str" s="14">
        <ns0:v>X7R</ns0:v>
      </ns0:c>
      <ns0:c r="I34" t="str" s="15">
        <ns0:v>0805</ns0:v>
      </ns0:c>
      <ns0:c r="J34" t="str" s="14">
        <ns0:v>YAGEO</ns0:v>
      </ns0:c>
      <ns0:c r="K34" t="str" s="14">
        <ns0:v>CC0805JRX7R9BB393</ns0:v>
      </ns0:c>
      <ns0:c r="L34" t="str" s="11">
        <ns0:f>B34&amp;" "&amp;D34&amp;" "&amp;E34&amp;" "&amp;G34&amp;" "&amp;H34&amp;" "&amp;I34</ns0:f>
        <ns0:v>Конденсатор 39 нФ ±5% 50 В X7R 0805</ns0:v>
      </ns0:c>
      <ns0:c r="M34" t="str" s="13">
        <ns0:v>C</ns0:v>
      </ns0:c>
      <ns0:c r="N34" t="str" s="13">
        <ns0:v>Symbols\MY_LIB_Capacitors.SchLib</ns0:v>
      </ns0:c>
      <ns0:c r="O34" t="str" s="13">
        <ns0:v>CAPC2012X135N</ns0:v>
      </ns0:c>
      <ns0:c r="P34" t="str" s="13">
        <ns0:v>Footprints\PBL - SMD Packages.PcbLib</ns0:v>
      </ns0:c>
      <ns0:c r="Q34" t="str" s="14">
        <ns0:v>YAGEO CC; список 20.10.2026</ns0:v>
      </ns0:c>
      <ns0:c r="R34" t="str" s="11">
        <ns0:f>D34</ns0:f>
        <ns0:v>39 нФ</ns0:v>
      </ns0:c>
      <ns0:c r="S34" t="str" s="11">
        <ns0:f>L34</ns0:f>
        <ns0:v>Конденсатор 39 нФ ±5% 50 В X7R 0805</ns0:v>
      </ns0:c>
      <x:c xmlns:x="http://schemas.openxmlformats.org/spreadsheetml/2006/main" r="T34" t="str" s="11">
        <x:v>C:\Users\Nomatin\Documents\Altium\MY_LIB\MY_LIB\Datasheets\YAGEO_CC_X7R.pdf</x:v>
      </x:c>
      <x:c xmlns:x="http://schemas.openxmlformats.org/spreadsheetml/2006/main" r="U34" t="str" s="11">
        <x:v>Даташит — локальный</x:v>
      </x:c>
      <x:c xmlns:x="http://schemas.openxmlformats.org/spreadsheetml/2006/main" r="V34" t="str" s="11">
        <x:v>C:\Users\Nomatin\Documents\Altium\MY_LIB\MY_LIB\Datasheets\YAGEO_CC_X7R.pdf</x:v>
      </x:c>
      <x:c xmlns:x="http://schemas.openxmlformats.org/spreadsheetml/2006/main" r="W34" t="str" s="11">
        <x:v>Даташит — производитель</x:v>
      </x:c>
      <x:c xmlns:x="http://schemas.openxmlformats.org/spreadsheetml/2006/main" r="X34" t="str" s="11">
        <x:v>https://yageogroup.com/content/datasheet/asset/file/UPY-GPHC_X7R_6_3V-TO-250V</x:v>
      </x:c>
      <x:c xmlns:x="http://schemas.openxmlformats.org/spreadsheetml/2006/main" r="Y34" t="str" s="11">
        <x:v>C:\Users\Nomatin\Documents\Altium\MY_LIB\MY_LIB\Datasheets\YAGEO_CC_X7R.pdf</x:v>
      </x:c>
    </ns0:row>
    <ns0:row r="35" ht="30" customHeight="1">
      <ns0:c r="A35" t="str" s="14">
        <ns0:v>C0036</ns0:v>
      </ns0:c>
      <ns0:c r="B35" t="str" s="14">
        <ns0:v>Конденсатор</ns0:v>
      </ns0:c>
      <ns0:c r="C35" t="str" s="14">
        <ns0:v>47n</ns0:v>
      </ns0:c>
      <ns0:c r="D35" t="str" s="11">
        <ns0:f>SUBSTITUTE(SUBSTITUTE(SUBSTITUTE(SUBSTITUTE(C35,"p"," пФ"),"n"," нФ"),"u"," мкФ"),".",",")</ns0:f>
        <ns0:v>47 нФ</ns0:v>
      </ns0:c>
      <ns0:c r="E35" t="str" s="14">
        <ns0:v>±5%</ns0:v>
      </ns0:c>
      <ns0:c r="F35" s="14"/>
      <ns0:c r="G35" t="str" s="14">
        <ns0:v>100 В</ns0:v>
      </ns0:c>
      <ns0:c r="H35" t="str" s="14">
        <ns0:v>X7R</ns0:v>
      </ns0:c>
      <ns0:c r="I35" t="str" s="15">
        <ns0:v>0805</ns0:v>
      </ns0:c>
      <ns0:c r="J35" t="str" s="14">
        <ns0:v>YAGEO</ns0:v>
      </ns0:c>
      <ns0:c r="K35" t="str" s="14">
        <ns0:v>CC0805JKX7R0BB473</ns0:v>
      </ns0:c>
      <ns0:c r="L35" t="str" s="11">
        <ns0:f>B35&amp;" "&amp;D35&amp;" "&amp;E35&amp;" "&amp;G35&amp;" "&amp;H35&amp;" "&amp;I35</ns0:f>
        <ns0:v>Конденсатор 47 нФ ±5% 100 В X7R 0805</ns0:v>
      </ns0:c>
      <ns0:c r="M35" t="str" s="13">
        <ns0:v>C</ns0:v>
      </ns0:c>
      <ns0:c r="N35" t="str" s="13">
        <ns0:v>Symbols\MY_LIB_Capacitors.SchLib</ns0:v>
      </ns0:c>
      <ns0:c r="O35" t="str" s="13">
        <ns0:v>CAPC2012X135N</ns0:v>
      </ns0:c>
      <ns0:c r="P35" t="str" s="13">
        <ns0:v>Footprints\PBL - SMD Packages.PcbLib</ns0:v>
      </ns0:c>
      <ns0:c r="Q35" t="str" s="14">
        <ns0:v>YAGEO CC; список 20.10.2026</ns0:v>
      </ns0:c>
      <ns0:c r="R35" t="str" s="11">
        <ns0:f>D35</ns0:f>
        <ns0:v>47 нФ</ns0:v>
      </ns0:c>
      <ns0:c r="S35" t="str" s="11">
        <ns0:f>L35</ns0:f>
        <ns0:v>Конденсатор 47 нФ ±5% 100 В X7R 0805</ns0:v>
      </ns0:c>
      <x:c xmlns:x="http://schemas.openxmlformats.org/spreadsheetml/2006/main" r="T35" t="str" s="11">
        <x:v>C:\Users\Nomatin\Documents\Altium\MY_LIB\MY_LIB\Datasheets\YAGEO_CC_X7R.pdf</x:v>
      </x:c>
      <x:c xmlns:x="http://schemas.openxmlformats.org/spreadsheetml/2006/main" r="U35" t="str" s="11">
        <x:v>Даташит — локальный</x:v>
      </x:c>
      <x:c xmlns:x="http://schemas.openxmlformats.org/spreadsheetml/2006/main" r="V35" t="str" s="11">
        <x:v>C:\Users\Nomatin\Documents\Altium\MY_LIB\MY_LIB\Datasheets\YAGEO_CC_X7R.pdf</x:v>
      </x:c>
      <x:c xmlns:x="http://schemas.openxmlformats.org/spreadsheetml/2006/main" r="W35" t="str" s="11">
        <x:v>Даташит — производитель</x:v>
      </x:c>
      <x:c xmlns:x="http://schemas.openxmlformats.org/spreadsheetml/2006/main" r="X35" t="str" s="11">
        <x:v>https://yageogroup.com/content/datasheet/asset/file/UPY-GPHC_X7R_6_3V-TO-250V</x:v>
      </x:c>
      <x:c xmlns:x="http://schemas.openxmlformats.org/spreadsheetml/2006/main" r="Y35" t="str" s="11">
        <x:v>C:\Users\Nomatin\Documents\Altium\MY_LIB\MY_LIB\Datasheets\YAGEO_CC_X7R.pdf</x:v>
      </x:c>
    </ns0:row>
    <ns0:row r="36" ht="30" customHeight="1">
      <ns0:c r="A36" t="str" s="14">
        <ns0:v>C0037</ns0:v>
      </ns0:c>
      <ns0:c r="B36" t="str" s="14">
        <ns0:v>Конденсатор</ns0:v>
      </ns0:c>
      <ns0:c r="C36" t="str" s="14">
        <ns0:v>56n</ns0:v>
      </ns0:c>
      <ns0:c r="D36" t="str" s="11">
        <ns0:f>SUBSTITUTE(SUBSTITUTE(SUBSTITUTE(SUBSTITUTE(C36,"p"," пФ"),"n"," нФ"),"u"," мкФ"),".",",")</ns0:f>
        <ns0:v>56 нФ</ns0:v>
      </ns0:c>
      <ns0:c r="E36" t="str" s="14">
        <ns0:v>±5%</ns0:v>
      </ns0:c>
      <ns0:c r="F36" s="14"/>
      <ns0:c r="G36" t="str" s="14">
        <ns0:v>50 В</ns0:v>
      </ns0:c>
      <ns0:c r="H36" t="str" s="14">
        <ns0:v>X7R</ns0:v>
      </ns0:c>
      <ns0:c r="I36" t="str" s="15">
        <ns0:v>0805</ns0:v>
      </ns0:c>
      <ns0:c r="J36" t="str" s="14">
        <ns0:v>YAGEO</ns0:v>
      </ns0:c>
      <ns0:c r="K36" t="str" s="14">
        <ns0:v>CC0805JRX7R9BB563</ns0:v>
      </ns0:c>
      <ns0:c r="L36" t="str" s="11">
        <ns0:f>B36&amp;" "&amp;D36&amp;" "&amp;E36&amp;" "&amp;G36&amp;" "&amp;H36&amp;" "&amp;I36</ns0:f>
        <ns0:v>Конденсатор 56 нФ ±5% 50 В X7R 0805</ns0:v>
      </ns0:c>
      <ns0:c r="M36" t="str" s="13">
        <ns0:v>C</ns0:v>
      </ns0:c>
      <ns0:c r="N36" t="str" s="13">
        <ns0:v>Symbols\MY_LIB_Capacitors.SchLib</ns0:v>
      </ns0:c>
      <ns0:c r="O36" t="str" s="13">
        <ns0:v>CAPC2012X135N</ns0:v>
      </ns0:c>
      <ns0:c r="P36" t="str" s="13">
        <ns0:v>Footprints\PBL - SMD Packages.PcbLib</ns0:v>
      </ns0:c>
      <ns0:c r="Q36" t="str" s="14">
        <ns0:v>YAGEO CC; список 20.10.2026</ns0:v>
      </ns0:c>
      <ns0:c r="R36" t="str" s="11">
        <ns0:f>D36</ns0:f>
        <ns0:v>56 нФ</ns0:v>
      </ns0:c>
      <ns0:c r="S36" t="str" s="11">
        <ns0:f>L36</ns0:f>
        <ns0:v>Конденсатор 56 нФ ±5% 50 В X7R 0805</ns0:v>
      </ns0:c>
      <x:c xmlns:x="http://schemas.openxmlformats.org/spreadsheetml/2006/main" r="T36" t="str" s="11">
        <x:v>C:\Users\Nomatin\Documents\Altium\MY_LIB\MY_LIB\Datasheets\YAGEO_CC_X7R.pdf</x:v>
      </x:c>
      <x:c xmlns:x="http://schemas.openxmlformats.org/spreadsheetml/2006/main" r="U36" t="str" s="11">
        <x:v>Даташит — локальный</x:v>
      </x:c>
      <x:c xmlns:x="http://schemas.openxmlformats.org/spreadsheetml/2006/main" r="V36" t="str" s="11">
        <x:v>C:\Users\Nomatin\Documents\Altium\MY_LIB\MY_LIB\Datasheets\YAGEO_CC_X7R.pdf</x:v>
      </x:c>
      <x:c xmlns:x="http://schemas.openxmlformats.org/spreadsheetml/2006/main" r="W36" t="str" s="11">
        <x:v>Даташит — производитель</x:v>
      </x:c>
      <x:c xmlns:x="http://schemas.openxmlformats.org/spreadsheetml/2006/main" r="X36" t="str" s="11">
        <x:v>https://yageogroup.com/content/datasheet/asset/file/UPY-GPHC_X7R_6_3V-TO-250V</x:v>
      </x:c>
      <x:c xmlns:x="http://schemas.openxmlformats.org/spreadsheetml/2006/main" r="Y36" t="str" s="11">
        <x:v>C:\Users\Nomatin\Documents\Altium\MY_LIB\MY_LIB\Datasheets\YAGEO_CC_X7R.pdf</x:v>
      </x:c>
    </ns0:row>
    <ns0:row r="37" ht="30" customHeight="1">
      <ns0:c r="A37" t="str" s="14">
        <ns0:v>C0038</ns0:v>
      </ns0:c>
      <ns0:c r="B37" t="str" s="14">
        <ns0:v>Конденсатор</ns0:v>
      </ns0:c>
      <ns0:c r="C37" t="str" s="14">
        <ns0:v>68n</ns0:v>
      </ns0:c>
      <ns0:c r="D37" t="str" s="11">
        <ns0:f>SUBSTITUTE(SUBSTITUTE(SUBSTITUTE(SUBSTITUTE(C37,"p"," пФ"),"n"," нФ"),"u"," мкФ"),".",",")</ns0:f>
        <ns0:v>68 нФ</ns0:v>
      </ns0:c>
      <ns0:c r="E37" t="str" s="14">
        <ns0:v>±5%</ns0:v>
      </ns0:c>
      <ns0:c r="F37" s="14"/>
      <ns0:c r="G37" t="str" s="14">
        <ns0:v>100 В</ns0:v>
      </ns0:c>
      <ns0:c r="H37" t="str" s="14">
        <ns0:v>X7R</ns0:v>
      </ns0:c>
      <ns0:c r="I37" t="str" s="15">
        <ns0:v>0805</ns0:v>
      </ns0:c>
      <ns0:c r="J37" t="str" s="14">
        <ns0:v>YAGEO</ns0:v>
      </ns0:c>
      <ns0:c r="K37" t="str" s="14">
        <ns0:v>CC0805JKX7R0BB683</ns0:v>
      </ns0:c>
      <ns0:c r="L37" t="str" s="11">
        <ns0:f>B37&amp;" "&amp;D37&amp;" "&amp;E37&amp;" "&amp;G37&amp;" "&amp;H37&amp;" "&amp;I37</ns0:f>
        <ns0:v>Конденсатор 68 нФ ±5% 100 В X7R 0805</ns0:v>
      </ns0:c>
      <ns0:c r="M37" t="str" s="13">
        <ns0:v>C</ns0:v>
      </ns0:c>
      <ns0:c r="N37" t="str" s="13">
        <ns0:v>Symbols\MY_LIB_Capacitors.SchLib</ns0:v>
      </ns0:c>
      <ns0:c r="O37" t="str" s="13">
        <ns0:v>CAPC2012X135N</ns0:v>
      </ns0:c>
      <ns0:c r="P37" t="str" s="13">
        <ns0:v>Footprints\PBL - SMD Packages.PcbLib</ns0:v>
      </ns0:c>
      <ns0:c r="Q37" t="str" s="14">
        <ns0:v>YAGEO CC; список 20.10.2026</ns0:v>
      </ns0:c>
      <ns0:c r="R37" t="str" s="11">
        <ns0:f>D37</ns0:f>
        <ns0:v>68 нФ</ns0:v>
      </ns0:c>
      <ns0:c r="S37" t="str" s="11">
        <ns0:f>L37</ns0:f>
        <ns0:v>Конденсатор 68 нФ ±5% 100 В X7R 0805</ns0:v>
      </ns0:c>
      <x:c xmlns:x="http://schemas.openxmlformats.org/spreadsheetml/2006/main" r="T37" t="str" s="11">
        <x:v>C:\Users\Nomatin\Documents\Altium\MY_LIB\MY_LIB\Datasheets\YAGEO_CC_X7R.pdf</x:v>
      </x:c>
      <x:c xmlns:x="http://schemas.openxmlformats.org/spreadsheetml/2006/main" r="U37" t="str" s="11">
        <x:v>Даташит — локальный</x:v>
      </x:c>
      <x:c xmlns:x="http://schemas.openxmlformats.org/spreadsheetml/2006/main" r="V37" t="str" s="11">
        <x:v>C:\Users\Nomatin\Documents\Altium\MY_LIB\MY_LIB\Datasheets\YAGEO_CC_X7R.pdf</x:v>
      </x:c>
      <x:c xmlns:x="http://schemas.openxmlformats.org/spreadsheetml/2006/main" r="W37" t="str" s="11">
        <x:v>Даташит — производитель</x:v>
      </x:c>
      <x:c xmlns:x="http://schemas.openxmlformats.org/spreadsheetml/2006/main" r="X37" t="str" s="11">
        <x:v>https://yageogroup.com/content/datasheet/asset/file/UPY-GPHC_X7R_6_3V-TO-250V</x:v>
      </x:c>
      <x:c xmlns:x="http://schemas.openxmlformats.org/spreadsheetml/2006/main" r="Y37" t="str" s="11">
        <x:v>C:\Users\Nomatin\Documents\Altium\MY_LIB\MY_LIB\Datasheets\YAGEO_CC_X7R.pdf</x:v>
      </x:c>
    </ns0:row>
    <ns0:row r="38" ht="30" customHeight="1">
      <ns0:c r="A38" t="str" s="14">
        <ns0:v>C0039</ns0:v>
      </ns0:c>
      <ns0:c r="B38" t="str" s="14">
        <ns0:v>Конденсатор</ns0:v>
      </ns0:c>
      <ns0:c r="C38" t="str" s="14">
        <ns0:v>82n</ns0:v>
      </ns0:c>
      <ns0:c r="D38" t="str" s="11">
        <ns0:f>SUBSTITUTE(SUBSTITUTE(SUBSTITUTE(SUBSTITUTE(C38,"p"," пФ"),"n"," нФ"),"u"," мкФ"),".",",")</ns0:f>
        <ns0:v>82 нФ</ns0:v>
      </ns0:c>
      <ns0:c r="E38" t="str" s="14">
        <ns0:v>±5%</ns0:v>
      </ns0:c>
      <ns0:c r="F38" s="14"/>
      <ns0:c r="G38" t="str" s="14">
        <ns0:v>50 В</ns0:v>
      </ns0:c>
      <ns0:c r="H38" t="str" s="14">
        <ns0:v>X7R</ns0:v>
      </ns0:c>
      <ns0:c r="I38" t="str" s="15">
        <ns0:v>0805</ns0:v>
      </ns0:c>
      <ns0:c r="J38" t="str" s="14">
        <ns0:v>YAGEO</ns0:v>
      </ns0:c>
      <ns0:c r="K38" t="str" s="14">
        <ns0:v>CC0805JRX7R9BB823</ns0:v>
      </ns0:c>
      <ns0:c r="L38" t="str" s="11">
        <ns0:f>B38&amp;" "&amp;D38&amp;" "&amp;E38&amp;" "&amp;G38&amp;" "&amp;H38&amp;" "&amp;I38</ns0:f>
        <ns0:v>Конденсатор 82 нФ ±5% 50 В X7R 0805</ns0:v>
      </ns0:c>
      <ns0:c r="M38" t="str" s="13">
        <ns0:v>C</ns0:v>
      </ns0:c>
      <ns0:c r="N38" t="str" s="13">
        <ns0:v>Symbols\MY_LIB_Capacitors.SchLib</ns0:v>
      </ns0:c>
      <ns0:c r="O38" t="str" s="13">
        <ns0:v>CAPC2012X135N</ns0:v>
      </ns0:c>
      <ns0:c r="P38" t="str" s="13">
        <ns0:v>Footprints\PBL - SMD Packages.PcbLib</ns0:v>
      </ns0:c>
      <ns0:c r="Q38" t="str" s="14">
        <ns0:v>YAGEO CC; список 20.10.2026</ns0:v>
      </ns0:c>
      <ns0:c r="R38" t="str" s="11">
        <ns0:f>D38</ns0:f>
        <ns0:v>82 нФ</ns0:v>
      </ns0:c>
      <ns0:c r="S38" t="str" s="11">
        <ns0:f>L38</ns0:f>
        <ns0:v>Конденсатор 82 нФ ±5% 50 В X7R 0805</ns0:v>
      </ns0:c>
      <x:c xmlns:x="http://schemas.openxmlformats.org/spreadsheetml/2006/main" r="T38" t="str" s="11">
        <x:v>C:\Users\Nomatin\Documents\Altium\MY_LIB\MY_LIB\Datasheets\YAGEO_CC_X7R.pdf</x:v>
      </x:c>
      <x:c xmlns:x="http://schemas.openxmlformats.org/spreadsheetml/2006/main" r="U38" t="str" s="11">
        <x:v>Даташит — локальный</x:v>
      </x:c>
      <x:c xmlns:x="http://schemas.openxmlformats.org/spreadsheetml/2006/main" r="V38" t="str" s="11">
        <x:v>C:\Users\Nomatin\Documents\Altium\MY_LIB\MY_LIB\Datasheets\YAGEO_CC_X7R.pdf</x:v>
      </x:c>
      <x:c xmlns:x="http://schemas.openxmlformats.org/spreadsheetml/2006/main" r="W38" t="str" s="11">
        <x:v>Даташит — производитель</x:v>
      </x:c>
      <x:c xmlns:x="http://schemas.openxmlformats.org/spreadsheetml/2006/main" r="X38" t="str" s="11">
        <x:v>https://yageogroup.com/content/datasheet/asset/file/UPY-GPHC_X7R_6_3V-TO-250V</x:v>
      </x:c>
      <x:c xmlns:x="http://schemas.openxmlformats.org/spreadsheetml/2006/main" r="Y38" t="str" s="11">
        <x:v>C:\Users\Nomatin\Documents\Altium\MY_LIB\MY_LIB\Datasheets\YAGEO_CC_X7R.pdf</x:v>
      </x:c>
    </ns0:row>
    <ns0:row r="39" ht="30" customHeight="1">
      <ns0:c r="A39" t="str" s="14">
        <ns0:v>C0040</ns0:v>
      </ns0:c>
      <ns0:c r="B39" t="str" s="14">
        <ns0:v>Конденсатор</ns0:v>
      </ns0:c>
      <ns0:c r="C39" t="str" s="14">
        <ns0:v>100n</ns0:v>
      </ns0:c>
      <ns0:c r="D39" t="str" s="11">
        <ns0:f>SUBSTITUTE(SUBSTITUTE(SUBSTITUTE(SUBSTITUTE(C39,"p"," пФ"),"n"," нФ"),"u"," мкФ"),".",",")</ns0:f>
        <ns0:v>100 нФ</ns0:v>
      </ns0:c>
      <ns0:c r="E39" t="str" s="14">
        <ns0:v>±5%</ns0:v>
      </ns0:c>
      <ns0:c r="F39" s="14"/>
      <ns0:c r="G39" t="str" s="14">
        <ns0:v>100 В</ns0:v>
      </ns0:c>
      <ns0:c r="H39" t="str" s="14">
        <ns0:v>X7R</ns0:v>
      </ns0:c>
      <ns0:c r="I39" t="str" s="15">
        <ns0:v>0805</ns0:v>
      </ns0:c>
      <ns0:c r="J39" t="str" s="14">
        <ns0:v>YAGEO</ns0:v>
      </ns0:c>
      <ns0:c r="K39" t="str" s="14">
        <ns0:v>CC0805JKX7R0BB104</ns0:v>
      </ns0:c>
      <ns0:c r="L39" t="str" s="11">
        <ns0:f>B39&amp;" "&amp;D39&amp;" "&amp;E39&amp;" "&amp;G39&amp;" "&amp;H39&amp;" "&amp;I39</ns0:f>
        <ns0:v>Конденсатор 100 нФ ±5% 100 В X7R 0805</ns0:v>
      </ns0:c>
      <ns0:c r="M39" t="str" s="13">
        <ns0:v>C</ns0:v>
      </ns0:c>
      <ns0:c r="N39" t="str" s="13">
        <ns0:v>Symbols\MY_LIB_Capacitors.SchLib</ns0:v>
      </ns0:c>
      <ns0:c r="O39" t="str" s="13">
        <ns0:v>CAPC2012X135N</ns0:v>
      </ns0:c>
      <ns0:c r="P39" t="str" s="13">
        <ns0:v>Footprints\PBL - SMD Packages.PcbLib</ns0:v>
      </ns0:c>
      <ns0:c r="Q39" t="str" s="14">
        <ns0:v>YAGEO CC; список 20.10.2026</ns0:v>
      </ns0:c>
      <ns0:c r="R39" t="str" s="11">
        <ns0:f>D39</ns0:f>
        <ns0:v>100 нФ</ns0:v>
      </ns0:c>
      <ns0:c r="S39" t="str" s="11">
        <ns0:f>L39</ns0:f>
        <ns0:v>Конденсатор 100 нФ ±5% 100 В X7R 0805</ns0:v>
      </ns0:c>
      <x:c xmlns:x="http://schemas.openxmlformats.org/spreadsheetml/2006/main" r="T39" t="str" s="11">
        <x:v>C:\Users\Nomatin\Documents\Altium\MY_LIB\MY_LIB\Datasheets\YAGEO_CC_X7R.pdf</x:v>
      </x:c>
      <x:c xmlns:x="http://schemas.openxmlformats.org/spreadsheetml/2006/main" r="U39" t="str" s="11">
        <x:v>Даташит — локальный</x:v>
      </x:c>
      <x:c xmlns:x="http://schemas.openxmlformats.org/spreadsheetml/2006/main" r="V39" t="str" s="11">
        <x:v>C:\Users\Nomatin\Documents\Altium\MY_LIB\MY_LIB\Datasheets\YAGEO_CC_X7R.pdf</x:v>
      </x:c>
      <x:c xmlns:x="http://schemas.openxmlformats.org/spreadsheetml/2006/main" r="W39" t="str" s="11">
        <x:v>Даташит — производитель</x:v>
      </x:c>
      <x:c xmlns:x="http://schemas.openxmlformats.org/spreadsheetml/2006/main" r="X39" t="str" s="11">
        <x:v>https://yageogroup.com/content/datasheet/asset/file/UPY-GPHC_X7R_6_3V-TO-250V</x:v>
      </x:c>
      <x:c xmlns:x="http://schemas.openxmlformats.org/spreadsheetml/2006/main" r="Y39" t="str" s="11">
        <x:v>C:\Users\Nomatin\Documents\Altium\MY_LIB\MY_LIB\Datasheets\YAGEO_CC_X7R.pdf</x:v>
      </x:c>
    </ns0:row>
    <ns0:row r="40" ht="30" customHeight="1">
      <ns0:c r="A40" t="str" s="14">
        <ns0:v>C0041</ns0:v>
      </ns0:c>
      <ns0:c r="B40" t="str" s="14">
        <ns0:v>Конденсатор</ns0:v>
      </ns0:c>
      <ns0:c r="C40" t="str" s="14">
        <ns0:v>120n</ns0:v>
      </ns0:c>
      <ns0:c r="D40" t="str" s="11">
        <ns0:f>SUBSTITUTE(SUBSTITUTE(SUBSTITUTE(SUBSTITUTE(C40,"p"," пФ"),"n"," нФ"),"u"," мкФ"),".",",")</ns0:f>
        <ns0:v>120 нФ</ns0:v>
      </ns0:c>
      <ns0:c r="E40" t="str" s="14">
        <ns0:v>±5%</ns0:v>
      </ns0:c>
      <ns0:c r="F40" s="14"/>
      <ns0:c r="G40" t="str" s="14">
        <ns0:v>50 В</ns0:v>
      </ns0:c>
      <ns0:c r="H40" t="str" s="14">
        <ns0:v>X7R</ns0:v>
      </ns0:c>
      <ns0:c r="I40" t="str" s="15">
        <ns0:v>0805</ns0:v>
      </ns0:c>
      <ns0:c r="J40" t="str" s="14">
        <ns0:v>YAGEO</ns0:v>
      </ns0:c>
      <ns0:c r="K40" t="str" s="14">
        <ns0:v>CC0805JRX7R9BB124</ns0:v>
      </ns0:c>
      <ns0:c r="L40" t="str" s="11">
        <ns0:f>B40&amp;" "&amp;D40&amp;" "&amp;E40&amp;" "&amp;G40&amp;" "&amp;H40&amp;" "&amp;I40</ns0:f>
        <ns0:v>Конденсатор 120 нФ ±5% 50 В X7R 0805</ns0:v>
      </ns0:c>
      <ns0:c r="M40" t="str" s="13">
        <ns0:v>C</ns0:v>
      </ns0:c>
      <ns0:c r="N40" t="str" s="13">
        <ns0:v>Symbols\MY_LIB_Capacitors.SchLib</ns0:v>
      </ns0:c>
      <ns0:c r="O40" t="str" s="13">
        <ns0:v>CAPC2012X135N</ns0:v>
      </ns0:c>
      <ns0:c r="P40" t="str" s="13">
        <ns0:v>Footprints\PBL - SMD Packages.PcbLib</ns0:v>
      </ns0:c>
      <ns0:c r="Q40" t="str" s="14">
        <ns0:v>YAGEO CC; список 20.10.2026</ns0:v>
      </ns0:c>
      <ns0:c r="R40" t="str" s="11">
        <ns0:f>D40</ns0:f>
        <ns0:v>120 нФ</ns0:v>
      </ns0:c>
      <ns0:c r="S40" t="str" s="11">
        <ns0:f>L40</ns0:f>
        <ns0:v>Конденсатор 120 нФ ±5% 50 В X7R 0805</ns0:v>
      </ns0:c>
      <x:c xmlns:x="http://schemas.openxmlformats.org/spreadsheetml/2006/main" r="T40" t="str" s="11">
        <x:v>C:\Users\Nomatin\Documents\Altium\MY_LIB\MY_LIB\Datasheets\YAGEO_CC_X7R.pdf</x:v>
      </x:c>
      <x:c xmlns:x="http://schemas.openxmlformats.org/spreadsheetml/2006/main" r="U40" t="str" s="11">
        <x:v>Даташит — локальный</x:v>
      </x:c>
      <x:c xmlns:x="http://schemas.openxmlformats.org/spreadsheetml/2006/main" r="V40" t="str" s="11">
        <x:v>C:\Users\Nomatin\Documents\Altium\MY_LIB\MY_LIB\Datasheets\YAGEO_CC_X7R.pdf</x:v>
      </x:c>
      <x:c xmlns:x="http://schemas.openxmlformats.org/spreadsheetml/2006/main" r="W40" t="str" s="11">
        <x:v>Даташит — производитель</x:v>
      </x:c>
      <x:c xmlns:x="http://schemas.openxmlformats.org/spreadsheetml/2006/main" r="X40" t="str" s="11">
        <x:v>https://yageogroup.com/content/datasheet/asset/file/UPY-GPHC_X7R_6_3V-TO-250V</x:v>
      </x:c>
      <x:c xmlns:x="http://schemas.openxmlformats.org/spreadsheetml/2006/main" r="Y40" t="str" s="11">
        <x:v>C:\Users\Nomatin\Documents\Altium\MY_LIB\MY_LIB\Datasheets\YAGEO_CC_X7R.pdf</x:v>
      </x:c>
    </ns0:row>
    <ns0:row r="41" ht="30" customHeight="1">
      <ns0:c r="A41" t="str" s="14">
        <ns0:v>C0042</ns0:v>
      </ns0:c>
      <ns0:c r="B41" t="str" s="14">
        <ns0:v>Конденсатор</ns0:v>
      </ns0:c>
      <ns0:c r="C41" t="str" s="14">
        <ns0:v>150n</ns0:v>
      </ns0:c>
      <ns0:c r="D41" t="str" s="11">
        <ns0:f>SUBSTITUTE(SUBSTITUTE(SUBSTITUTE(SUBSTITUTE(C41,"p"," пФ"),"n"," нФ"),"u"," мкФ"),".",",")</ns0:f>
        <ns0:v>150 нФ</ns0:v>
      </ns0:c>
      <ns0:c r="E41" t="str" s="14">
        <ns0:v>±5%</ns0:v>
      </ns0:c>
      <ns0:c r="F41" s="14"/>
      <ns0:c r="G41" t="str" s="14">
        <ns0:v>100 В</ns0:v>
      </ns0:c>
      <ns0:c r="H41" t="str" s="14">
        <ns0:v>X7R</ns0:v>
      </ns0:c>
      <ns0:c r="I41" t="str" s="15">
        <ns0:v>0805</ns0:v>
      </ns0:c>
      <ns0:c r="J41" t="str" s="14">
        <ns0:v>YAGEO</ns0:v>
      </ns0:c>
      <ns0:c r="K41" t="str" s="14">
        <ns0:v>CC0805JKX7R0BB154</ns0:v>
      </ns0:c>
      <ns0:c r="L41" t="str" s="11">
        <ns0:f>B41&amp;" "&amp;D41&amp;" "&amp;E41&amp;" "&amp;G41&amp;" "&amp;H41&amp;" "&amp;I41</ns0:f>
        <ns0:v>Конденсатор 150 нФ ±5% 100 В X7R 0805</ns0:v>
      </ns0:c>
      <ns0:c r="M41" t="str" s="13">
        <ns0:v>C</ns0:v>
      </ns0:c>
      <ns0:c r="N41" t="str" s="13">
        <ns0:v>Symbols\MY_LIB_Capacitors.SchLib</ns0:v>
      </ns0:c>
      <ns0:c r="O41" t="str" s="13">
        <ns0:v>CAPC2012X135N</ns0:v>
      </ns0:c>
      <ns0:c r="P41" t="str" s="13">
        <ns0:v>Footprints\PBL - SMD Packages.PcbLib</ns0:v>
      </ns0:c>
      <ns0:c r="Q41" t="str" s="14">
        <ns0:v>YAGEO CC; список 20.10.2026</ns0:v>
      </ns0:c>
      <ns0:c r="R41" t="str" s="11">
        <ns0:f>D41</ns0:f>
        <ns0:v>150 нФ</ns0:v>
      </ns0:c>
      <ns0:c r="S41" t="str" s="11">
        <ns0:f>L41</ns0:f>
        <ns0:v>Конденсатор 150 нФ ±5% 100 В X7R 0805</ns0:v>
      </ns0:c>
      <x:c xmlns:x="http://schemas.openxmlformats.org/spreadsheetml/2006/main" r="T41" t="str" s="11">
        <x:v>C:\Users\Nomatin\Documents\Altium\MY_LIB\MY_LIB\Datasheets\YAGEO_CC_X7R.pdf</x:v>
      </x:c>
      <x:c xmlns:x="http://schemas.openxmlformats.org/spreadsheetml/2006/main" r="U41" t="str" s="11">
        <x:v>Даташит — локальный</x:v>
      </x:c>
      <x:c xmlns:x="http://schemas.openxmlformats.org/spreadsheetml/2006/main" r="V41" t="str" s="11">
        <x:v>C:\Users\Nomatin\Documents\Altium\MY_LIB\MY_LIB\Datasheets\YAGEO_CC_X7R.pdf</x:v>
      </x:c>
      <x:c xmlns:x="http://schemas.openxmlformats.org/spreadsheetml/2006/main" r="W41" t="str" s="11">
        <x:v>Даташит — производитель</x:v>
      </x:c>
      <x:c xmlns:x="http://schemas.openxmlformats.org/spreadsheetml/2006/main" r="X41" t="str" s="11">
        <x:v>https://yageogroup.com/content/datasheet/asset/file/UPY-GPHC_X7R_6_3V-TO-250V</x:v>
      </x:c>
      <x:c xmlns:x="http://schemas.openxmlformats.org/spreadsheetml/2006/main" r="Y41" t="str" s="11">
        <x:v>C:\Users\Nomatin\Documents\Altium\MY_LIB\MY_LIB\Datasheets\YAGEO_CC_X7R.pdf</x:v>
      </x:c>
    </ns0:row>
    <ns0:row r="42" ht="30" customHeight="1">
      <ns0:c r="A42" t="str" s="14">
        <ns0:v>C0043</ns0:v>
      </ns0:c>
      <ns0:c r="B42" t="str" s="14">
        <ns0:v>Конденсатор</ns0:v>
      </ns0:c>
      <ns0:c r="C42" t="str" s="14">
        <ns0:v>180n</ns0:v>
      </ns0:c>
      <ns0:c r="D42" t="str" s="11">
        <ns0:f>SUBSTITUTE(SUBSTITUTE(SUBSTITUTE(SUBSTITUTE(C42,"p"," пФ"),"n"," нФ"),"u"," мкФ"),".",",")</ns0:f>
        <ns0:v>180 нФ</ns0:v>
      </ns0:c>
      <ns0:c r="E42" t="str" s="14">
        <ns0:v>±5%</ns0:v>
      </ns0:c>
      <ns0:c r="F42" s="14"/>
      <ns0:c r="G42" t="str" s="14">
        <ns0:v>50 В</ns0:v>
      </ns0:c>
      <ns0:c r="H42" t="str" s="14">
        <ns0:v>X7R</ns0:v>
      </ns0:c>
      <ns0:c r="I42" t="str" s="15">
        <ns0:v>0805</ns0:v>
      </ns0:c>
      <ns0:c r="J42" t="str" s="14">
        <ns0:v>YAGEO</ns0:v>
      </ns0:c>
      <ns0:c r="K42" t="str" s="14">
        <ns0:v>CC0805JRX7R9BB184</ns0:v>
      </ns0:c>
      <ns0:c r="L42" t="str" s="11">
        <ns0:f>B42&amp;" "&amp;D42&amp;" "&amp;E42&amp;" "&amp;G42&amp;" "&amp;H42&amp;" "&amp;I42</ns0:f>
        <ns0:v>Конденсатор 180 нФ ±5% 50 В X7R 0805</ns0:v>
      </ns0:c>
      <ns0:c r="M42" t="str" s="13">
        <ns0:v>C</ns0:v>
      </ns0:c>
      <ns0:c r="N42" t="str" s="13">
        <ns0:v>Symbols\MY_LIB_Capacitors.SchLib</ns0:v>
      </ns0:c>
      <ns0:c r="O42" t="str" s="13">
        <ns0:v>CAPC2012X135N</ns0:v>
      </ns0:c>
      <ns0:c r="P42" t="str" s="13">
        <ns0:v>Footprints\PBL - SMD Packages.PcbLib</ns0:v>
      </ns0:c>
      <ns0:c r="Q42" t="str" s="14">
        <ns0:v>YAGEO CC; список 20.10.2026</ns0:v>
      </ns0:c>
      <ns0:c r="R42" t="str" s="11">
        <ns0:f>D42</ns0:f>
        <ns0:v>180 нФ</ns0:v>
      </ns0:c>
      <ns0:c r="S42" t="str" s="11">
        <ns0:f>L42</ns0:f>
        <ns0:v>Конденсатор 180 нФ ±5% 50 В X7R 0805</ns0:v>
      </ns0:c>
      <x:c xmlns:x="http://schemas.openxmlformats.org/spreadsheetml/2006/main" r="T42" t="str" s="11">
        <x:v>C:\Users\Nomatin\Documents\Altium\MY_LIB\MY_LIB\Datasheets\YAGEO_CC_X7R.pdf</x:v>
      </x:c>
      <x:c xmlns:x="http://schemas.openxmlformats.org/spreadsheetml/2006/main" r="U42" t="str" s="11">
        <x:v>Даташит — локальный</x:v>
      </x:c>
      <x:c xmlns:x="http://schemas.openxmlformats.org/spreadsheetml/2006/main" r="V42" t="str" s="11">
        <x:v>C:\Users\Nomatin\Documents\Altium\MY_LIB\MY_LIB\Datasheets\YAGEO_CC_X7R.pdf</x:v>
      </x:c>
      <x:c xmlns:x="http://schemas.openxmlformats.org/spreadsheetml/2006/main" r="W42" t="str" s="11">
        <x:v>Даташит — производитель</x:v>
      </x:c>
      <x:c xmlns:x="http://schemas.openxmlformats.org/spreadsheetml/2006/main" r="X42" t="str" s="11">
        <x:v>https://yageogroup.com/content/datasheet/asset/file/UPY-GPHC_X7R_6_3V-TO-250V</x:v>
      </x:c>
      <x:c xmlns:x="http://schemas.openxmlformats.org/spreadsheetml/2006/main" r="Y42" t="str" s="11">
        <x:v>C:\Users\Nomatin\Documents\Altium\MY_LIB\MY_LIB\Datasheets\YAGEO_CC_X7R.pdf</x:v>
      </x:c>
    </ns0:row>
    <ns0:row r="43" ht="30" customHeight="1">
      <ns0:c r="A43" t="str" s="14">
        <ns0:v>C0044</ns0:v>
      </ns0:c>
      <ns0:c r="B43" t="str" s="14">
        <ns0:v>Конденсатор</ns0:v>
      </ns0:c>
      <ns0:c r="C43" t="str" s="14">
        <ns0:v>220n</ns0:v>
      </ns0:c>
      <ns0:c r="D43" t="str" s="11">
        <ns0:f>SUBSTITUTE(SUBSTITUTE(SUBSTITUTE(SUBSTITUTE(C43,"p"," пФ"),"n"," нФ"),"u"," мкФ"),".",",")</ns0:f>
        <ns0:v>220 нФ</ns0:v>
      </ns0:c>
      <ns0:c r="E43" t="str" s="14">
        <ns0:v>±5%</ns0:v>
      </ns0:c>
      <ns0:c r="F43" s="14"/>
      <ns0:c r="G43" t="str" s="14">
        <ns0:v>100 В</ns0:v>
      </ns0:c>
      <ns0:c r="H43" t="str" s="14">
        <ns0:v>X7R</ns0:v>
      </ns0:c>
      <ns0:c r="I43" t="str" s="15">
        <ns0:v>0805</ns0:v>
      </ns0:c>
      <ns0:c r="J43" t="str" s="14">
        <ns0:v>YAGEO</ns0:v>
      </ns0:c>
      <ns0:c r="K43" t="str" s="14">
        <ns0:v>CC0805JKX7R0BB224</ns0:v>
      </ns0:c>
      <ns0:c r="L43" t="str" s="11">
        <ns0:f>B43&amp;" "&amp;D43&amp;" "&amp;E43&amp;" "&amp;G43&amp;" "&amp;H43&amp;" "&amp;I43</ns0:f>
        <ns0:v>Конденсатор 220 нФ ±5% 100 В X7R 0805</ns0:v>
      </ns0:c>
      <ns0:c r="M43" t="str" s="13">
        <ns0:v>C</ns0:v>
      </ns0:c>
      <ns0:c r="N43" t="str" s="13">
        <ns0:v>Symbols\MY_LIB_Capacitors.SchLib</ns0:v>
      </ns0:c>
      <ns0:c r="O43" t="str" s="13">
        <ns0:v>CAPC2012X135N</ns0:v>
      </ns0:c>
      <ns0:c r="P43" t="str" s="13">
        <ns0:v>Footprints\PBL - SMD Packages.PcbLib</ns0:v>
      </ns0:c>
      <ns0:c r="Q43" t="str" s="14">
        <ns0:v>YAGEO CC; список 20.10.2026</ns0:v>
      </ns0:c>
      <ns0:c r="R43" t="str" s="11">
        <ns0:f>D43</ns0:f>
        <ns0:v>220 нФ</ns0:v>
      </ns0:c>
      <ns0:c r="S43" t="str" s="11">
        <ns0:f>L43</ns0:f>
        <ns0:v>Конденсатор 220 нФ ±5% 100 В X7R 0805</ns0:v>
      </ns0:c>
      <x:c xmlns:x="http://schemas.openxmlformats.org/spreadsheetml/2006/main" r="T43" t="str" s="11">
        <x:v>C:\Users\Nomatin\Documents\Altium\MY_LIB\MY_LIB\Datasheets\YAGEO_CC_X7R.pdf</x:v>
      </x:c>
      <x:c xmlns:x="http://schemas.openxmlformats.org/spreadsheetml/2006/main" r="U43" t="str" s="11">
        <x:v>Даташит — локальный</x:v>
      </x:c>
      <x:c xmlns:x="http://schemas.openxmlformats.org/spreadsheetml/2006/main" r="V43" t="str" s="11">
        <x:v>C:\Users\Nomatin\Documents\Altium\MY_LIB\MY_LIB\Datasheets\YAGEO_CC_X7R.pdf</x:v>
      </x:c>
      <x:c xmlns:x="http://schemas.openxmlformats.org/spreadsheetml/2006/main" r="W43" t="str" s="11">
        <x:v>Даташит — производитель</x:v>
      </x:c>
      <x:c xmlns:x="http://schemas.openxmlformats.org/spreadsheetml/2006/main" r="X43" t="str" s="11">
        <x:v>https://yageogroup.com/content/datasheet/asset/file/UPY-GPHC_X7R_6_3V-TO-250V</x:v>
      </x:c>
      <x:c xmlns:x="http://schemas.openxmlformats.org/spreadsheetml/2006/main" r="Y43" t="str" s="11">
        <x:v>C:\Users\Nomatin\Documents\Altium\MY_LIB\MY_LIB\Datasheets\YAGEO_CC_X7R.pdf</x:v>
      </x:c>
    </ns0:row>
    <ns0:row r="44" ht="30" customHeight="1">
      <ns0:c r="A44" t="str" s="14">
        <ns0:v>C0045</ns0:v>
      </ns0:c>
      <ns0:c r="B44" t="str" s="14">
        <ns0:v>Конденсатор</ns0:v>
      </ns0:c>
      <ns0:c r="C44" t="str" s="14">
        <ns0:v>270n</ns0:v>
      </ns0:c>
      <ns0:c r="D44" t="str" s="11">
        <ns0:f>SUBSTITUTE(SUBSTITUTE(SUBSTITUTE(SUBSTITUTE(C44,"p"," пФ"),"n"," нФ"),"u"," мкФ"),".",",")</ns0:f>
        <ns0:v>270 нФ</ns0:v>
      </ns0:c>
      <ns0:c r="E44" t="str" s="14">
        <ns0:v>±5%</ns0:v>
      </ns0:c>
      <ns0:c r="F44" s="14"/>
      <ns0:c r="G44" t="str" s="14">
        <ns0:v>16 В</ns0:v>
      </ns0:c>
      <ns0:c r="H44" t="str" s="14">
        <ns0:v>X7R</ns0:v>
      </ns0:c>
      <ns0:c r="I44" t="str" s="15">
        <ns0:v>0805</ns0:v>
      </ns0:c>
      <ns0:c r="J44" t="str" s="14">
        <ns0:v>YAGEO</ns0:v>
      </ns0:c>
      <ns0:c r="K44" t="str" s="14">
        <ns0:v>CC0805JRX7R7BB274</ns0:v>
      </ns0:c>
      <ns0:c r="L44" t="str" s="11">
        <ns0:f>B44&amp;" "&amp;D44&amp;" "&amp;E44&amp;" "&amp;G44&amp;" "&amp;H44&amp;" "&amp;I44</ns0:f>
        <ns0:v>Конденсатор 270 нФ ±5% 16 В X7R 0805</ns0:v>
      </ns0:c>
      <ns0:c r="M44" t="str" s="13">
        <ns0:v>C</ns0:v>
      </ns0:c>
      <ns0:c r="N44" t="str" s="13">
        <ns0:v>Symbols\MY_LIB_Capacitors.SchLib</ns0:v>
      </ns0:c>
      <ns0:c r="O44" t="str" s="13">
        <ns0:v>CAPC2012X135N</ns0:v>
      </ns0:c>
      <ns0:c r="P44" t="str" s="13">
        <ns0:v>Footprints\PBL - SMD Packages.PcbLib</ns0:v>
      </ns0:c>
      <ns0:c r="Q44" t="str" s="14">
        <ns0:v>YAGEO CC; список 20.10.2026</ns0:v>
      </ns0:c>
      <ns0:c r="R44" t="str" s="11">
        <ns0:f>D44</ns0:f>
        <ns0:v>270 нФ</ns0:v>
      </ns0:c>
      <ns0:c r="S44" t="str" s="11">
        <ns0:f>L44</ns0:f>
        <ns0:v>Конденсатор 270 нФ ±5% 16 В X7R 0805</ns0:v>
      </ns0:c>
      <x:c xmlns:x="http://schemas.openxmlformats.org/spreadsheetml/2006/main" r="T44" t="str" s="11">
        <x:v>C:\Users\Nomatin\Documents\Altium\MY_LIB\MY_LIB\Datasheets\YAGEO_CC_X7R.pdf</x:v>
      </x:c>
      <x:c xmlns:x="http://schemas.openxmlformats.org/spreadsheetml/2006/main" r="U44" t="str" s="11">
        <x:v>Даташит — локальный</x:v>
      </x:c>
      <x:c xmlns:x="http://schemas.openxmlformats.org/spreadsheetml/2006/main" r="V44" t="str" s="11">
        <x:v>C:\Users\Nomatin\Documents\Altium\MY_LIB\MY_LIB\Datasheets\YAGEO_CC_X7R.pdf</x:v>
      </x:c>
      <x:c xmlns:x="http://schemas.openxmlformats.org/spreadsheetml/2006/main" r="W44" t="str" s="11">
        <x:v>Даташит — производитель</x:v>
      </x:c>
      <x:c xmlns:x="http://schemas.openxmlformats.org/spreadsheetml/2006/main" r="X44" t="str" s="11">
        <x:v>https://yageogroup.com/content/datasheet/asset/file/UPY-GPHC_X7R_6_3V-TO-250V</x:v>
      </x:c>
      <x:c xmlns:x="http://schemas.openxmlformats.org/spreadsheetml/2006/main" r="Y44" t="str" s="11">
        <x:v>C:\Users\Nomatin\Documents\Altium\MY_LIB\MY_LIB\Datasheets\YAGEO_CC_X7R.pdf</x:v>
      </x:c>
    </ns0:row>
    <ns0:row r="45" ht="30" customHeight="1">
      <ns0:c r="A45" t="str" s="14">
        <ns0:v>C0046</ns0:v>
      </ns0:c>
      <ns0:c r="B45" t="str" s="14">
        <ns0:v>Конденсатор</ns0:v>
      </ns0:c>
      <ns0:c r="C45" t="str" s="14">
        <ns0:v>330n</ns0:v>
      </ns0:c>
      <ns0:c r="D45" t="str" s="11">
        <ns0:f>SUBSTITUTE(SUBSTITUTE(SUBSTITUTE(SUBSTITUTE(C45,"p"," пФ"),"n"," нФ"),"u"," мкФ"),".",",")</ns0:f>
        <ns0:v>330 нФ</ns0:v>
      </ns0:c>
      <ns0:c r="E45" t="str" s="14">
        <ns0:v>±5%</ns0:v>
      </ns0:c>
      <ns0:c r="F45" s="14"/>
      <ns0:c r="G45" t="str" s="14">
        <ns0:v>100 В</ns0:v>
      </ns0:c>
      <ns0:c r="H45" t="str" s="14">
        <ns0:v>X7R</ns0:v>
      </ns0:c>
      <ns0:c r="I45" t="str" s="15">
        <ns0:v>0805</ns0:v>
      </ns0:c>
      <ns0:c r="J45" t="str" s="14">
        <ns0:v>YAGEO</ns0:v>
      </ns0:c>
      <ns0:c r="K45" t="str" s="14">
        <ns0:v>CC0805JKX7R0BB334</ns0:v>
      </ns0:c>
      <ns0:c r="L45" t="str" s="11">
        <ns0:f>B45&amp;" "&amp;D45&amp;" "&amp;E45&amp;" "&amp;G45&amp;" "&amp;H45&amp;" "&amp;I45</ns0:f>
        <ns0:v>Конденсатор 330 нФ ±5% 100 В X7R 0805</ns0:v>
      </ns0:c>
      <ns0:c r="M45" t="str" s="13">
        <ns0:v>C</ns0:v>
      </ns0:c>
      <ns0:c r="N45" t="str" s="13">
        <ns0:v>Symbols\MY_LIB_Capacitors.SchLib</ns0:v>
      </ns0:c>
      <ns0:c r="O45" t="str" s="13">
        <ns0:v>CAPC2012X135N</ns0:v>
      </ns0:c>
      <ns0:c r="P45" t="str" s="13">
        <ns0:v>Footprints\PBL - SMD Packages.PcbLib</ns0:v>
      </ns0:c>
      <ns0:c r="Q45" t="str" s="14">
        <ns0:v>YAGEO CC; список 20.10.2026</ns0:v>
      </ns0:c>
      <ns0:c r="R45" t="str" s="11">
        <ns0:f>D45</ns0:f>
        <ns0:v>330 нФ</ns0:v>
      </ns0:c>
      <ns0:c r="S45" t="str" s="11">
        <ns0:f>L45</ns0:f>
        <ns0:v>Конденсатор 330 нФ ±5% 100 В X7R 0805</ns0:v>
      </ns0:c>
      <x:c xmlns:x="http://schemas.openxmlformats.org/spreadsheetml/2006/main" r="T45" t="str" s="11">
        <x:v>C:\Users\Nomatin\Documents\Altium\MY_LIB\MY_LIB\Datasheets\YAGEO_CC_X7R.pdf</x:v>
      </x:c>
      <x:c xmlns:x="http://schemas.openxmlformats.org/spreadsheetml/2006/main" r="U45" t="str" s="11">
        <x:v>Даташит — локальный</x:v>
      </x:c>
      <x:c xmlns:x="http://schemas.openxmlformats.org/spreadsheetml/2006/main" r="V45" t="str" s="11">
        <x:v>C:\Users\Nomatin\Documents\Altium\MY_LIB\MY_LIB\Datasheets\YAGEO_CC_X7R.pdf</x:v>
      </x:c>
      <x:c xmlns:x="http://schemas.openxmlformats.org/spreadsheetml/2006/main" r="W45" t="str" s="11">
        <x:v>Даташит — производитель</x:v>
      </x:c>
      <x:c xmlns:x="http://schemas.openxmlformats.org/spreadsheetml/2006/main" r="X45" t="str" s="11">
        <x:v>https://yageogroup.com/content/datasheet/asset/file/UPY-GPHC_X7R_6_3V-TO-250V</x:v>
      </x:c>
      <x:c xmlns:x="http://schemas.openxmlformats.org/spreadsheetml/2006/main" r="Y45" t="str" s="11">
        <x:v>C:\Users\Nomatin\Documents\Altium\MY_LIB\MY_LIB\Datasheets\YAGEO_CC_X7R.pdf</x:v>
      </x:c>
    </ns0:row>
    <ns0:row r="46" ht="30" customHeight="1">
      <ns0:c r="A46" t="str" s="14">
        <ns0:v>C0047</ns0:v>
      </ns0:c>
      <ns0:c r="B46" t="str" s="14">
        <ns0:v>Конденсатор</ns0:v>
      </ns0:c>
      <ns0:c r="C46" t="str" s="14">
        <ns0:v>390n</ns0:v>
      </ns0:c>
      <ns0:c r="D46" t="str" s="11">
        <ns0:f>SUBSTITUTE(SUBSTITUTE(SUBSTITUTE(SUBSTITUTE(C46,"p"," пФ"),"n"," нФ"),"u"," мкФ"),".",",")</ns0:f>
        <ns0:v>390 нФ</ns0:v>
      </ns0:c>
      <ns0:c r="E46" t="str" s="14">
        <ns0:v>±5%</ns0:v>
      </ns0:c>
      <ns0:c r="F46" s="14"/>
      <ns0:c r="G46" t="str" s="14">
        <ns0:v>16 В</ns0:v>
      </ns0:c>
      <ns0:c r="H46" t="str" s="14">
        <ns0:v>X7R</ns0:v>
      </ns0:c>
      <ns0:c r="I46" t="str" s="15">
        <ns0:v>0805</ns0:v>
      </ns0:c>
      <ns0:c r="J46" t="str" s="14">
        <ns0:v>YAGEO</ns0:v>
      </ns0:c>
      <ns0:c r="K46" t="str" s="14">
        <ns0:v>CC0805JKX7R7BB394</ns0:v>
      </ns0:c>
      <ns0:c r="L46" t="str" s="11">
        <ns0:f>B46&amp;" "&amp;D46&amp;" "&amp;E46&amp;" "&amp;G46&amp;" "&amp;H46&amp;" "&amp;I46</ns0:f>
        <ns0:v>Конденсатор 390 нФ ±5% 16 В X7R 0805</ns0:v>
      </ns0:c>
      <ns0:c r="M46" t="str" s="13">
        <ns0:v>C</ns0:v>
      </ns0:c>
      <ns0:c r="N46" t="str" s="13">
        <ns0:v>Symbols\MY_LIB_Capacitors.SchLib</ns0:v>
      </ns0:c>
      <ns0:c r="O46" t="str" s="13">
        <ns0:v>CAPC2012X135N</ns0:v>
      </ns0:c>
      <ns0:c r="P46" t="str" s="13">
        <ns0:v>Footprints\PBL - SMD Packages.PcbLib</ns0:v>
      </ns0:c>
      <ns0:c r="Q46" t="str" s="14">
        <ns0:v>YAGEO CC; список 20.10.2026</ns0:v>
      </ns0:c>
      <ns0:c r="R46" t="str" s="11">
        <ns0:f>D46</ns0:f>
        <ns0:v>390 нФ</ns0:v>
      </ns0:c>
      <ns0:c r="S46" t="str" s="11">
        <ns0:f>L46</ns0:f>
        <ns0:v>Конденсатор 390 нФ ±5% 16 В X7R 0805</ns0:v>
      </ns0:c>
      <x:c xmlns:x="http://schemas.openxmlformats.org/spreadsheetml/2006/main" r="T46" t="str" s="11">
        <x:v>C:\Users\Nomatin\Documents\Altium\MY_LIB\MY_LIB\Datasheets\YAGEO_CC_X7R.pdf</x:v>
      </x:c>
      <x:c xmlns:x="http://schemas.openxmlformats.org/spreadsheetml/2006/main" r="U46" t="str" s="11">
        <x:v>Даташит — локальный</x:v>
      </x:c>
      <x:c xmlns:x="http://schemas.openxmlformats.org/spreadsheetml/2006/main" r="V46" t="str" s="11">
        <x:v>C:\Users\Nomatin\Documents\Altium\MY_LIB\MY_LIB\Datasheets\YAGEO_CC_X7R.pdf</x:v>
      </x:c>
      <x:c xmlns:x="http://schemas.openxmlformats.org/spreadsheetml/2006/main" r="W46" t="str" s="11">
        <x:v>Даташит — производитель</x:v>
      </x:c>
      <x:c xmlns:x="http://schemas.openxmlformats.org/spreadsheetml/2006/main" r="X46" t="str" s="11">
        <x:v>https://yageogroup.com/content/datasheet/asset/file/UPY-GPHC_X7R_6_3V-TO-250V</x:v>
      </x:c>
      <x:c xmlns:x="http://schemas.openxmlformats.org/spreadsheetml/2006/main" r="Y46" t="str" s="11">
        <x:v>C:\Users\Nomatin\Documents\Altium\MY_LIB\MY_LIB\Datasheets\YAGEO_CC_X7R.pdf</x:v>
      </x:c>
    </ns0:row>
    <ns0:row r="47" ht="30" customHeight="1">
      <ns0:c r="A47" t="str" s="14">
        <ns0:v>C0048</ns0:v>
      </ns0:c>
      <ns0:c r="B47" t="str" s="14">
        <ns0:v>Конденсатор</ns0:v>
      </ns0:c>
      <ns0:c r="C47" t="str" s="14">
        <ns0:v>470n</ns0:v>
      </ns0:c>
      <ns0:c r="D47" t="str" s="11">
        <ns0:f>SUBSTITUTE(SUBSTITUTE(SUBSTITUTE(SUBSTITUTE(C47,"p"," пФ"),"n"," нФ"),"u"," мкФ"),".",",")</ns0:f>
        <ns0:v>470 нФ</ns0:v>
      </ns0:c>
      <ns0:c r="E47" t="str" s="14">
        <ns0:v>±5%</ns0:v>
      </ns0:c>
      <ns0:c r="F47" s="14"/>
      <ns0:c r="G47" t="str" s="14">
        <ns0:v>100 В</ns0:v>
      </ns0:c>
      <ns0:c r="H47" t="str" s="14">
        <ns0:v>X7R</ns0:v>
      </ns0:c>
      <ns0:c r="I47" t="str" s="15">
        <ns0:v>0805</ns0:v>
      </ns0:c>
      <ns0:c r="J47" t="str" s="14">
        <ns0:v>YAGEO</ns0:v>
      </ns0:c>
      <ns0:c r="K47" t="str" s="14">
        <ns0:v>CC0805JKX7R0BB474</ns0:v>
      </ns0:c>
      <ns0:c r="L47" t="str" s="11">
        <ns0:f>B47&amp;" "&amp;D47&amp;" "&amp;E47&amp;" "&amp;G47&amp;" "&amp;H47&amp;" "&amp;I47</ns0:f>
        <ns0:v>Конденсатор 470 нФ ±5% 100 В X7R 0805</ns0:v>
      </ns0:c>
      <ns0:c r="M47" t="str" s="13">
        <ns0:v>C</ns0:v>
      </ns0:c>
      <ns0:c r="N47" t="str" s="13">
        <ns0:v>Symbols\MY_LIB_Capacitors.SchLib</ns0:v>
      </ns0:c>
      <ns0:c r="O47" t="str" s="13">
        <ns0:v>CAPC2012X135N</ns0:v>
      </ns0:c>
      <ns0:c r="P47" t="str" s="13">
        <ns0:v>Footprints\PBL - SMD Packages.PcbLib</ns0:v>
      </ns0:c>
      <ns0:c r="Q47" t="str" s="14">
        <ns0:v>YAGEO CC; список 20.10.2026</ns0:v>
      </ns0:c>
      <ns0:c r="R47" t="str" s="11">
        <ns0:f>D47</ns0:f>
        <ns0:v>470 нФ</ns0:v>
      </ns0:c>
      <ns0:c r="S47" t="str" s="11">
        <ns0:f>L47</ns0:f>
        <ns0:v>Конденсатор 470 нФ ±5% 100 В X7R 0805</ns0:v>
      </ns0:c>
      <x:c xmlns:x="http://schemas.openxmlformats.org/spreadsheetml/2006/main" r="T47" t="str" s="11">
        <x:v>C:\Users\Nomatin\Documents\Altium\MY_LIB\MY_LIB\Datasheets\YAGEO_CC_X7R.pdf</x:v>
      </x:c>
      <x:c xmlns:x="http://schemas.openxmlformats.org/spreadsheetml/2006/main" r="U47" t="str" s="11">
        <x:v>Даташит — локальный</x:v>
      </x:c>
      <x:c xmlns:x="http://schemas.openxmlformats.org/spreadsheetml/2006/main" r="V47" t="str" s="11">
        <x:v>C:\Users\Nomatin\Documents\Altium\MY_LIB\MY_LIB\Datasheets\YAGEO_CC_X7R.pdf</x:v>
      </x:c>
      <x:c xmlns:x="http://schemas.openxmlformats.org/spreadsheetml/2006/main" r="W47" t="str" s="11">
        <x:v>Даташит — производитель</x:v>
      </x:c>
      <x:c xmlns:x="http://schemas.openxmlformats.org/spreadsheetml/2006/main" r="X47" t="str" s="11">
        <x:v>https://yageogroup.com/content/datasheet/asset/file/UPY-GPHC_X7R_6_3V-TO-250V</x:v>
      </x:c>
      <x:c xmlns:x="http://schemas.openxmlformats.org/spreadsheetml/2006/main" r="Y47" t="str" s="11">
        <x:v>C:\Users\Nomatin\Documents\Altium\MY_LIB\MY_LIB\Datasheets\YAGEO_CC_X7R.pdf</x:v>
      </x:c>
    </ns0:row>
    <ns0:row r="48" ht="30" customHeight="1">
      <ns0:c r="A48" t="str" s="14">
        <ns0:v>C0049</ns0:v>
      </ns0:c>
      <ns0:c r="B48" t="str" s="14">
        <ns0:v>Конденсатор</ns0:v>
      </ns0:c>
      <ns0:c r="C48" t="str" s="14">
        <ns0:v>560n</ns0:v>
      </ns0:c>
      <ns0:c r="D48" t="str" s="11">
        <ns0:f>SUBSTITUTE(SUBSTITUTE(SUBSTITUTE(SUBSTITUTE(C48,"p"," пФ"),"n"," нФ"),"u"," мкФ"),".",",")</ns0:f>
        <ns0:v>560 нФ</ns0:v>
      </ns0:c>
      <ns0:c r="E48" t="str" s="14">
        <ns0:v>±5%</ns0:v>
      </ns0:c>
      <ns0:c r="F48" s="14"/>
      <ns0:c r="G48" t="str" s="14">
        <ns0:v>25 В</ns0:v>
      </ns0:c>
      <ns0:c r="H48" t="str" s="14">
        <ns0:v>X7R</ns0:v>
      </ns0:c>
      <ns0:c r="I48" t="str" s="15">
        <ns0:v>0805</ns0:v>
      </ns0:c>
      <ns0:c r="J48" t="str" s="14">
        <ns0:v>YAGEO</ns0:v>
      </ns0:c>
      <ns0:c r="K48" t="str" s="14">
        <ns0:v>CC0805JKX7R8BB564</ns0:v>
      </ns0:c>
      <ns0:c r="L48" t="str" s="11">
        <ns0:f>B48&amp;" "&amp;D48&amp;" "&amp;E48&amp;" "&amp;G48&amp;" "&amp;H48&amp;" "&amp;I48</ns0:f>
        <ns0:v>Конденсатор 560 нФ ±5% 25 В X7R 0805</ns0:v>
      </ns0:c>
      <ns0:c r="M48" t="str" s="13">
        <ns0:v>C</ns0:v>
      </ns0:c>
      <ns0:c r="N48" t="str" s="13">
        <ns0:v>Symbols\MY_LIB_Capacitors.SchLib</ns0:v>
      </ns0:c>
      <ns0:c r="O48" t="str" s="13">
        <ns0:v>CAPC2012X135N</ns0:v>
      </ns0:c>
      <ns0:c r="P48" t="str" s="13">
        <ns0:v>Footprints\PBL - SMD Packages.PcbLib</ns0:v>
      </ns0:c>
      <ns0:c r="Q48" t="str" s="14">
        <ns0:v>YAGEO CC; список 20.10.2026</ns0:v>
      </ns0:c>
      <ns0:c r="R48" t="str" s="11">
        <ns0:f>D48</ns0:f>
        <ns0:v>560 нФ</ns0:v>
      </ns0:c>
      <ns0:c r="S48" t="str" s="11">
        <ns0:f>L48</ns0:f>
        <ns0:v>Конденсатор 560 нФ ±5% 25 В X7R 0805</ns0:v>
      </ns0:c>
      <x:c xmlns:x="http://schemas.openxmlformats.org/spreadsheetml/2006/main" r="T48" t="str" s="11">
        <x:v>C:\Users\Nomatin\Documents\Altium\MY_LIB\MY_LIB\Datasheets\YAGEO_CC_X7R.pdf</x:v>
      </x:c>
      <x:c xmlns:x="http://schemas.openxmlformats.org/spreadsheetml/2006/main" r="U48" t="str" s="11">
        <x:v>Даташит — локальный</x:v>
      </x:c>
      <x:c xmlns:x="http://schemas.openxmlformats.org/spreadsheetml/2006/main" r="V48" t="str" s="11">
        <x:v>C:\Users\Nomatin\Documents\Altium\MY_LIB\MY_LIB\Datasheets\YAGEO_CC_X7R.pdf</x:v>
      </x:c>
      <x:c xmlns:x="http://schemas.openxmlformats.org/spreadsheetml/2006/main" r="W48" t="str" s="11">
        <x:v>Даташит — производитель</x:v>
      </x:c>
      <x:c xmlns:x="http://schemas.openxmlformats.org/spreadsheetml/2006/main" r="X48" t="str" s="11">
        <x:v>https://yageogroup.com/content/datasheet/asset/file/UPY-GPHC_X7R_6_3V-TO-250V</x:v>
      </x:c>
      <x:c xmlns:x="http://schemas.openxmlformats.org/spreadsheetml/2006/main" r="Y48" t="str" s="11">
        <x:v>C:\Users\Nomatin\Documents\Altium\MY_LIB\MY_LIB\Datasheets\YAGEO_CC_X7R.pdf</x:v>
      </x:c>
    </ns0:row>
    <ns0:row r="49" ht="30" customHeight="1">
      <ns0:c r="A49" t="str" s="14">
        <ns0:v>C0050</ns0:v>
      </ns0:c>
      <ns0:c r="B49" t="str" s="14">
        <ns0:v>Конденсатор</ns0:v>
      </ns0:c>
      <ns0:c r="C49" t="str" s="14">
        <ns0:v>680n</ns0:v>
      </ns0:c>
      <ns0:c r="D49" t="str" s="11">
        <ns0:f>SUBSTITUTE(SUBSTITUTE(SUBSTITUTE(SUBSTITUTE(C49,"p"," пФ"),"n"," нФ"),"u"," мкФ"),".",",")</ns0:f>
        <ns0:v>680 нФ</ns0:v>
      </ns0:c>
      <ns0:c r="E49" t="str" s="14">
        <ns0:v>±5%</ns0:v>
      </ns0:c>
      <ns0:c r="F49" s="14"/>
      <ns0:c r="G49" t="str" s="14">
        <ns0:v>100 В</ns0:v>
      </ns0:c>
      <ns0:c r="H49" t="str" s="14">
        <ns0:v>X7R</ns0:v>
      </ns0:c>
      <ns0:c r="I49" t="str" s="15">
        <ns0:v>0805</ns0:v>
      </ns0:c>
      <ns0:c r="J49" t="str" s="14">
        <ns0:v>YAGEO</ns0:v>
      </ns0:c>
      <ns0:c r="K49" t="str" s="14">
        <ns0:v>CC0805JKX7R0BB684</ns0:v>
      </ns0:c>
      <ns0:c r="L49" t="str" s="11">
        <ns0:f>B49&amp;" "&amp;D49&amp;" "&amp;E49&amp;" "&amp;G49&amp;" "&amp;H49&amp;" "&amp;I49</ns0:f>
        <ns0:v>Конденсатор 680 нФ ±5% 100 В X7R 0805</ns0:v>
      </ns0:c>
      <ns0:c r="M49" t="str" s="13">
        <ns0:v>C</ns0:v>
      </ns0:c>
      <ns0:c r="N49" t="str" s="13">
        <ns0:v>Symbols\MY_LIB_Capacitors.SchLib</ns0:v>
      </ns0:c>
      <ns0:c r="O49" t="str" s="13">
        <ns0:v>CAPC2012X135N</ns0:v>
      </ns0:c>
      <ns0:c r="P49" t="str" s="13">
        <ns0:v>Footprints\PBL - SMD Packages.PcbLib</ns0:v>
      </ns0:c>
      <ns0:c r="Q49" t="str" s="14">
        <ns0:v>YAGEO CC; список 20.10.2026</ns0:v>
      </ns0:c>
      <ns0:c r="R49" t="str" s="11">
        <ns0:f>D49</ns0:f>
        <ns0:v>680 нФ</ns0:v>
      </ns0:c>
      <ns0:c r="S49" t="str" s="11">
        <ns0:f>L49</ns0:f>
        <ns0:v>Конденсатор 680 нФ ±5% 100 В X7R 0805</ns0:v>
      </ns0:c>
      <x:c xmlns:x="http://schemas.openxmlformats.org/spreadsheetml/2006/main" r="T49" t="str" s="11">
        <x:v>C:\Users\Nomatin\Documents\Altium\MY_LIB\MY_LIB\Datasheets\YAGEO_CC_X7R.pdf</x:v>
      </x:c>
      <x:c xmlns:x="http://schemas.openxmlformats.org/spreadsheetml/2006/main" r="U49" t="str" s="11">
        <x:v>Даташит — локальный</x:v>
      </x:c>
      <x:c xmlns:x="http://schemas.openxmlformats.org/spreadsheetml/2006/main" r="V49" t="str" s="11">
        <x:v>C:\Users\Nomatin\Documents\Altium\MY_LIB\MY_LIB\Datasheets\YAGEO_CC_X7R.pdf</x:v>
      </x:c>
      <x:c xmlns:x="http://schemas.openxmlformats.org/spreadsheetml/2006/main" r="W49" t="str" s="11">
        <x:v>Даташит — производитель</x:v>
      </x:c>
      <x:c xmlns:x="http://schemas.openxmlformats.org/spreadsheetml/2006/main" r="X49" t="str" s="11">
        <x:v>https://yageogroup.com/content/datasheet/asset/file/UPY-GPHC_X7R_6_3V-TO-250V</x:v>
      </x:c>
      <x:c xmlns:x="http://schemas.openxmlformats.org/spreadsheetml/2006/main" r="Y49" t="str" s="11">
        <x:v>C:\Users\Nomatin\Documents\Altium\MY_LIB\MY_LIB\Datasheets\YAGEO_CC_X7R.pdf</x:v>
      </x:c>
    </ns0:row>
    <ns0:row r="50" ht="30" customHeight="1">
      <ns0:c r="A50" t="str" s="14">
        <ns0:v>C0051</ns0:v>
      </ns0:c>
      <ns0:c r="B50" t="str" s="14">
        <ns0:v>Конденсатор</ns0:v>
      </ns0:c>
      <ns0:c r="C50" t="str" s="14">
        <ns0:v>1u</ns0:v>
      </ns0:c>
      <ns0:c r="D50" t="str" s="11">
        <ns0:f>SUBSTITUTE(SUBSTITUTE(SUBSTITUTE(SUBSTITUTE(C50,"p"," пФ"),"n"," нФ"),"u"," мкФ"),".",",")</ns0:f>
        <ns0:v>1 мкФ</ns0:v>
      </ns0:c>
      <ns0:c r="E50" t="str" s="14">
        <ns0:v>±5%</ns0:v>
      </ns0:c>
      <ns0:c r="F50" s="14"/>
      <ns0:c r="G50" t="str" s="14">
        <ns0:v>100 В</ns0:v>
      </ns0:c>
      <ns0:c r="H50" t="str" s="14">
        <ns0:v>X7R</ns0:v>
      </ns0:c>
      <ns0:c r="I50" t="str" s="15">
        <ns0:v>0805</ns0:v>
      </ns0:c>
      <ns0:c r="J50" t="str" s="14">
        <ns0:v>YAGEO</ns0:v>
      </ns0:c>
      <ns0:c r="K50" t="str" s="14">
        <ns0:v>CC0805JKX7R0BB105</ns0:v>
      </ns0:c>
      <ns0:c r="L50" t="str" s="11">
        <ns0:f>B50&amp;" "&amp;D50&amp;" "&amp;E50&amp;" "&amp;G50&amp;" "&amp;H50&amp;" "&amp;I50</ns0:f>
        <ns0:v>Конденсатор 1 мкФ ±5% 100 В X7R 0805</ns0:v>
      </ns0:c>
      <ns0:c r="M50" t="str" s="13">
        <ns0:v>C</ns0:v>
      </ns0:c>
      <ns0:c r="N50" t="str" s="13">
        <ns0:v>Symbols\MY_LIB_Capacitors.SchLib</ns0:v>
      </ns0:c>
      <ns0:c r="O50" t="str" s="13">
        <ns0:v>CAPC2012X135N</ns0:v>
      </ns0:c>
      <ns0:c r="P50" t="str" s="13">
        <ns0:v>Footprints\PBL - SMD Packages.PcbLib</ns0:v>
      </ns0:c>
      <ns0:c r="Q50" t="str" s="14">
        <ns0:v>YAGEO CC; список 20.10.2026</ns0:v>
      </ns0:c>
      <ns0:c r="R50" t="str" s="11">
        <ns0:f>D50</ns0:f>
        <ns0:v>1 мкФ</ns0:v>
      </ns0:c>
      <ns0:c r="S50" t="str" s="11">
        <ns0:f>L50</ns0:f>
        <ns0:v>Конденсатор 1 мкФ ±5% 100 В X7R 0805</ns0:v>
      </ns0:c>
      <x:c xmlns:x="http://schemas.openxmlformats.org/spreadsheetml/2006/main" r="T50" t="str" s="11">
        <x:v>C:\Users\Nomatin\Documents\Altium\MY_LIB\MY_LIB\Datasheets\YAGEO_CC_X7R.pdf</x:v>
      </x:c>
      <x:c xmlns:x="http://schemas.openxmlformats.org/spreadsheetml/2006/main" r="U50" t="str" s="11">
        <x:v>Даташит — локальный</x:v>
      </x:c>
      <x:c xmlns:x="http://schemas.openxmlformats.org/spreadsheetml/2006/main" r="V50" t="str" s="11">
        <x:v>C:\Users\Nomatin\Documents\Altium\MY_LIB\MY_LIB\Datasheets\YAGEO_CC_X7R.pdf</x:v>
      </x:c>
      <x:c xmlns:x="http://schemas.openxmlformats.org/spreadsheetml/2006/main" r="W50" t="str" s="11">
        <x:v>Даташит — производитель</x:v>
      </x:c>
      <x:c xmlns:x="http://schemas.openxmlformats.org/spreadsheetml/2006/main" r="X50" t="str" s="11">
        <x:v>https://yageogroup.com/content/datasheet/asset/file/UPY-GPHC_X7R_6_3V-TO-250V</x:v>
      </x:c>
      <x:c xmlns:x="http://schemas.openxmlformats.org/spreadsheetml/2006/main" r="Y50" t="str" s="11">
        <x:v>C:\Users\Nomatin\Documents\Altium\MY_LIB\MY_LIB\Datasheets\YAGEO_CC_X7R.pdf</x:v>
      </x:c>
    </ns0:row>
    <ns0:row r="51" ht="30" customHeight="1">
      <ns0:c r="A51" t="str" s="14">
        <ns0:v>C0052</ns0:v>
      </ns0:c>
      <ns0:c r="B51" t="str" s="14">
        <ns0:v>Конденсатор</ns0:v>
      </ns0:c>
      <ns0:c r="C51" t="str" s="14">
        <ns0:v>2.2u</ns0:v>
      </ns0:c>
      <ns0:c r="D51" t="str" s="11">
        <ns0:f>SUBSTITUTE(SUBSTITUTE(SUBSTITUTE(SUBSTITUTE(C51,"p"," пФ"),"n"," нФ"),"u"," мкФ"),".",",")</ns0:f>
        <ns0:v>2,2 мкФ</ns0:v>
      </ns0:c>
      <ns0:c r="E51" t="str" s="14">
        <ns0:v>±5%</ns0:v>
      </ns0:c>
      <ns0:c r="F51" s="14"/>
      <ns0:c r="G51" t="str" s="14">
        <ns0:v>50 В</ns0:v>
      </ns0:c>
      <ns0:c r="H51" t="str" s="14">
        <ns0:v>X7R</ns0:v>
      </ns0:c>
      <ns0:c r="I51" t="str" s="15">
        <ns0:v>0805</ns0:v>
      </ns0:c>
      <ns0:c r="J51" t="str" s="14">
        <ns0:v>YAGEO</ns0:v>
      </ns0:c>
      <ns0:c r="K51" t="str" s="14">
        <ns0:v>CC0805JKX7R9BB225</ns0:v>
      </ns0:c>
      <ns0:c r="L51" t="str" s="11">
        <ns0:f>B51&amp;" "&amp;D51&amp;" "&amp;E51&amp;" "&amp;G51&amp;" "&amp;H51&amp;" "&amp;I51</ns0:f>
        <ns0:v>Конденсатор 2,2 мкФ ±5% 50 В X7R 0805</ns0:v>
      </ns0:c>
      <ns0:c r="M51" t="str" s="13">
        <ns0:v>C</ns0:v>
      </ns0:c>
      <ns0:c r="N51" t="str" s="13">
        <ns0:v>Symbols\MY_LIB_Capacitors.SchLib</ns0:v>
      </ns0:c>
      <ns0:c r="O51" t="str" s="13">
        <ns0:v>CAPC2012X135N</ns0:v>
      </ns0:c>
      <ns0:c r="P51" t="str" s="13">
        <ns0:v>Footprints\PBL - SMD Packages.PcbLib</ns0:v>
      </ns0:c>
      <ns0:c r="Q51" t="str" s="14">
        <ns0:v>YAGEO CC; список 20.10.2026</ns0:v>
      </ns0:c>
      <ns0:c r="R51" t="str" s="11">
        <ns0:f>D51</ns0:f>
        <ns0:v>2,2 мкФ</ns0:v>
      </ns0:c>
      <ns0:c r="S51" t="str" s="11">
        <ns0:f>L51</ns0:f>
        <ns0:v>Конденсатор 2,2 мкФ ±5% 50 В X7R 0805</ns0:v>
      </ns0:c>
      <x:c xmlns:x="http://schemas.openxmlformats.org/spreadsheetml/2006/main" r="T51" t="str" s="11">
        <x:v>C:\Users\Nomatin\Documents\Altium\MY_LIB\MY_LIB\Datasheets\YAGEO_CC_X7R.pdf</x:v>
      </x:c>
      <x:c xmlns:x="http://schemas.openxmlformats.org/spreadsheetml/2006/main" r="U51" t="str" s="11">
        <x:v>Даташит — локальный</x:v>
      </x:c>
      <x:c xmlns:x="http://schemas.openxmlformats.org/spreadsheetml/2006/main" r="V51" t="str" s="11">
        <x:v>C:\Users\Nomatin\Documents\Altium\MY_LIB\MY_LIB\Datasheets\YAGEO_CC_X7R.pdf</x:v>
      </x:c>
      <x:c xmlns:x="http://schemas.openxmlformats.org/spreadsheetml/2006/main" r="W51" t="str" s="11">
        <x:v>Даташит — производитель</x:v>
      </x:c>
      <x:c xmlns:x="http://schemas.openxmlformats.org/spreadsheetml/2006/main" r="X51" t="str" s="11">
        <x:v>https://yageogroup.com/content/datasheet/asset/file/UPY-GPHC_X7R_6_3V-TO-250V</x:v>
      </x:c>
      <x:c xmlns:x="http://schemas.openxmlformats.org/spreadsheetml/2006/main" r="Y51" t="str" s="11">
        <x:v>C:\Users\Nomatin\Documents\Altium\MY_LIB\MY_LIB\Datasheets\YAGEO_CC_X7R.pdf</x:v>
      </x:c>
    </ns0:row>
    <ns0:row r="52" ht="30" customHeight="1">
      <ns0:c r="A52" t="str" s="14">
        <ns0:v>C0053</ns0:v>
      </ns0:c>
      <ns0:c r="B52" t="str" s="14">
        <ns0:v>Конденсатор</ns0:v>
      </ns0:c>
      <ns0:c r="C52" t="str" s="14">
        <ns0:v>100p</ns0:v>
      </ns0:c>
      <ns0:c r="D52" t="str" s="11">
        <ns0:f>SUBSTITUTE(SUBSTITUTE(SUBSTITUTE(SUBSTITUTE(C52,"p"," пФ"),"n"," нФ"),"u"," мкФ"),".",",")</ns0:f>
        <ns0:v>100 пФ</ns0:v>
      </ns0:c>
      <ns0:c r="E52" t="str" s="14">
        <ns0:v>±10%</ns0:v>
      </ns0:c>
      <ns0:c r="F52" s="14"/>
      <ns0:c r="G52" t="str" s="14">
        <ns0:v>100 В</ns0:v>
      </ns0:c>
      <ns0:c r="H52" t="str" s="14">
        <ns0:v>X7R</ns0:v>
      </ns0:c>
      <ns0:c r="I52" t="str" s="15">
        <ns0:v>0805</ns0:v>
      </ns0:c>
      <ns0:c r="J52" t="str" s="14">
        <ns0:v>YAGEO</ns0:v>
      </ns0:c>
      <ns0:c r="K52" t="str" s="14">
        <ns0:v>CC0805KRX7R0BB101</ns0:v>
      </ns0:c>
      <ns0:c r="L52" t="str" s="11">
        <ns0:f>B52&amp;" "&amp;D52&amp;" "&amp;E52&amp;" "&amp;G52&amp;" "&amp;H52&amp;" "&amp;I52</ns0:f>
        <ns0:v>Конденсатор 100 пФ ±10% 100 В X7R 0805</ns0:v>
      </ns0:c>
      <ns0:c r="M52" t="str" s="13">
        <ns0:v>C</ns0:v>
      </ns0:c>
      <ns0:c r="N52" t="str" s="13">
        <ns0:v>Symbols\MY_LIB_Capacitors.SchLib</ns0:v>
      </ns0:c>
      <ns0:c r="O52" t="str" s="13">
        <ns0:v>CAPC2012X135N</ns0:v>
      </ns0:c>
      <ns0:c r="P52" t="str" s="13">
        <ns0:v>Footprints\PBL - SMD Packages.PcbLib</ns0:v>
      </ns0:c>
      <ns0:c r="Q52" t="str" s="14">
        <ns0:v>YAGEO CC; список 20.10.2026</ns0:v>
      </ns0:c>
      <ns0:c r="R52" t="str" s="11">
        <ns0:f>D52</ns0:f>
        <ns0:v>100 пФ</ns0:v>
      </ns0:c>
      <ns0:c r="S52" t="str" s="11">
        <ns0:f>L52</ns0:f>
        <ns0:v>Конденсатор 100 пФ ±10% 100 В X7R 0805</ns0:v>
      </ns0:c>
      <x:c xmlns:x="http://schemas.openxmlformats.org/spreadsheetml/2006/main" r="T52" t="str" s="11">
        <x:v>C:\Users\Nomatin\Documents\Altium\MY_LIB\MY_LIB\Datasheets\YAGEO_CC_X7R.pdf</x:v>
      </x:c>
      <x:c xmlns:x="http://schemas.openxmlformats.org/spreadsheetml/2006/main" r="U52" t="str" s="11">
        <x:v>Даташит — локальный</x:v>
      </x:c>
      <x:c xmlns:x="http://schemas.openxmlformats.org/spreadsheetml/2006/main" r="V52" t="str" s="11">
        <x:v>C:\Users\Nomatin\Documents\Altium\MY_LIB\MY_LIB\Datasheets\YAGEO_CC_X7R.pdf</x:v>
      </x:c>
      <x:c xmlns:x="http://schemas.openxmlformats.org/spreadsheetml/2006/main" r="W52" t="str" s="11">
        <x:v>Даташит — производитель</x:v>
      </x:c>
      <x:c xmlns:x="http://schemas.openxmlformats.org/spreadsheetml/2006/main" r="X52" t="str" s="11">
        <x:v>https://yageogroup.com/content/datasheet/asset/file/UPY-GPHC_X7R_6_3V-TO-250V</x:v>
      </x:c>
      <x:c xmlns:x="http://schemas.openxmlformats.org/spreadsheetml/2006/main" r="Y52" t="str" s="11">
        <x:v>C:\Users\Nomatin\Documents\Altium\MY_LIB\MY_LIB\Datasheets\YAGEO_CC_X7R.pdf</x:v>
      </x:c>
    </ns0:row>
    <ns0:row r="53" ht="30" customHeight="1">
      <ns0:c r="A53" t="str" s="14">
        <ns0:v>C0054</ns0:v>
      </ns0:c>
      <ns0:c r="B53" t="str" s="14">
        <ns0:v>Конденсатор</ns0:v>
      </ns0:c>
      <ns0:c r="C53" t="str" s="14">
        <ns0:v>120p</ns0:v>
      </ns0:c>
      <ns0:c r="D53" t="str" s="11">
        <ns0:f>SUBSTITUTE(SUBSTITUTE(SUBSTITUTE(SUBSTITUTE(C53,"p"," пФ"),"n"," нФ"),"u"," мкФ"),".",",")</ns0:f>
        <ns0:v>120 пФ</ns0:v>
      </ns0:c>
      <ns0:c r="E53" t="str" s="14">
        <ns0:v>±10%</ns0:v>
      </ns0:c>
      <ns0:c r="F53" s="14"/>
      <ns0:c r="G53" t="str" s="14">
        <ns0:v>25 В</ns0:v>
      </ns0:c>
      <ns0:c r="H53" t="str" s="14">
        <ns0:v>X7R</ns0:v>
      </ns0:c>
      <ns0:c r="I53" t="str" s="15">
        <ns0:v>0805</ns0:v>
      </ns0:c>
      <ns0:c r="J53" t="str" s="14">
        <ns0:v>YAGEO</ns0:v>
      </ns0:c>
      <ns0:c r="K53" t="str" s="14">
        <ns0:v>CC0805KRX7R8BB121</ns0:v>
      </ns0:c>
      <ns0:c r="L53" t="str" s="11">
        <ns0:f>B53&amp;" "&amp;D53&amp;" "&amp;E53&amp;" "&amp;G53&amp;" "&amp;H53&amp;" "&amp;I53</ns0:f>
        <ns0:v>Конденсатор 120 пФ ±10% 25 В X7R 0805</ns0:v>
      </ns0:c>
      <ns0:c r="M53" t="str" s="13">
        <ns0:v>C</ns0:v>
      </ns0:c>
      <ns0:c r="N53" t="str" s="13">
        <ns0:v>Symbols\MY_LIB_Capacitors.SchLib</ns0:v>
      </ns0:c>
      <ns0:c r="O53" t="str" s="13">
        <ns0:v>CAPC2012X135N</ns0:v>
      </ns0:c>
      <ns0:c r="P53" t="str" s="13">
        <ns0:v>Footprints\PBL - SMD Packages.PcbLib</ns0:v>
      </ns0:c>
      <ns0:c r="Q53" t="str" s="14">
        <ns0:v>YAGEO CC; список 20.10.2026</ns0:v>
      </ns0:c>
      <ns0:c r="R53" t="str" s="11">
        <ns0:f>D53</ns0:f>
        <ns0:v>120 пФ</ns0:v>
      </ns0:c>
      <ns0:c r="S53" t="str" s="11">
        <ns0:f>L53</ns0:f>
        <ns0:v>Конденсатор 120 пФ ±10% 25 В X7R 0805</ns0:v>
      </ns0:c>
      <x:c xmlns:x="http://schemas.openxmlformats.org/spreadsheetml/2006/main" r="T53" t="str" s="11">
        <x:v>C:\Users\Nomatin\Documents\Altium\MY_LIB\MY_LIB\Datasheets\YAGEO_CC_X7R.pdf</x:v>
      </x:c>
      <x:c xmlns:x="http://schemas.openxmlformats.org/spreadsheetml/2006/main" r="U53" t="str" s="11">
        <x:v>Даташит — локальный</x:v>
      </x:c>
      <x:c xmlns:x="http://schemas.openxmlformats.org/spreadsheetml/2006/main" r="V53" t="str" s="11">
        <x:v>C:\Users\Nomatin\Documents\Altium\MY_LIB\MY_LIB\Datasheets\YAGEO_CC_X7R.pdf</x:v>
      </x:c>
      <x:c xmlns:x="http://schemas.openxmlformats.org/spreadsheetml/2006/main" r="W53" t="str" s="11">
        <x:v>Даташит — производитель</x:v>
      </x:c>
      <x:c xmlns:x="http://schemas.openxmlformats.org/spreadsheetml/2006/main" r="X53" t="str" s="11">
        <x:v>https://yageogroup.com/content/datasheet/asset/file/UPY-GPHC_X7R_6_3V-TO-250V</x:v>
      </x:c>
      <x:c xmlns:x="http://schemas.openxmlformats.org/spreadsheetml/2006/main" r="Y53" t="str" s="11">
        <x:v>C:\Users\Nomatin\Documents\Altium\MY_LIB\MY_LIB\Datasheets\YAGEO_CC_X7R.pdf</x:v>
      </x:c>
    </ns0:row>
    <ns0:row r="54" ht="30" customHeight="1">
      <ns0:c r="A54" t="str" s="14">
        <ns0:v>C0055</ns0:v>
      </ns0:c>
      <ns0:c r="B54" t="str" s="14">
        <ns0:v>Конденсатор</ns0:v>
      </ns0:c>
      <ns0:c r="C54" t="str" s="14">
        <ns0:v>150p</ns0:v>
      </ns0:c>
      <ns0:c r="D54" t="str" s="11">
        <ns0:f>SUBSTITUTE(SUBSTITUTE(SUBSTITUTE(SUBSTITUTE(C54,"p"," пФ"),"n"," нФ"),"u"," мкФ"),".",",")</ns0:f>
        <ns0:v>150 пФ</ns0:v>
      </ns0:c>
      <ns0:c r="E54" t="str" s="14">
        <ns0:v>±10%</ns0:v>
      </ns0:c>
      <ns0:c r="F54" s="14"/>
      <ns0:c r="G54" t="str" s="14">
        <ns0:v>100 В</ns0:v>
      </ns0:c>
      <ns0:c r="H54" t="str" s="14">
        <ns0:v>X7R</ns0:v>
      </ns0:c>
      <ns0:c r="I54" t="str" s="15">
        <ns0:v>0805</ns0:v>
      </ns0:c>
      <ns0:c r="J54" t="str" s="14">
        <ns0:v>YAGEO</ns0:v>
      </ns0:c>
      <ns0:c r="K54" t="str" s="14">
        <ns0:v>CC0805KRX7R0BB151</ns0:v>
      </ns0:c>
      <ns0:c r="L54" t="str" s="11">
        <ns0:f>B54&amp;" "&amp;D54&amp;" "&amp;E54&amp;" "&amp;G54&amp;" "&amp;H54&amp;" "&amp;I54</ns0:f>
        <ns0:v>Конденсатор 150 пФ ±10% 100 В X7R 0805</ns0:v>
      </ns0:c>
      <ns0:c r="M54" t="str" s="13">
        <ns0:v>C</ns0:v>
      </ns0:c>
      <ns0:c r="N54" t="str" s="13">
        <ns0:v>Symbols\MY_LIB_Capacitors.SchLib</ns0:v>
      </ns0:c>
      <ns0:c r="O54" t="str" s="13">
        <ns0:v>CAPC2012X135N</ns0:v>
      </ns0:c>
      <ns0:c r="P54" t="str" s="13">
        <ns0:v>Footprints\PBL - SMD Packages.PcbLib</ns0:v>
      </ns0:c>
      <ns0:c r="Q54" t="str" s="14">
        <ns0:v>YAGEO CC; список 20.10.2026</ns0:v>
      </ns0:c>
      <ns0:c r="R54" t="str" s="11">
        <ns0:f>D54</ns0:f>
        <ns0:v>150 пФ</ns0:v>
      </ns0:c>
      <ns0:c r="S54" t="str" s="11">
        <ns0:f>L54</ns0:f>
        <ns0:v>Конденсатор 150 пФ ±10% 100 В X7R 0805</ns0:v>
      </ns0:c>
      <x:c xmlns:x="http://schemas.openxmlformats.org/spreadsheetml/2006/main" r="T54" t="str" s="11">
        <x:v>C:\Users\Nomatin\Documents\Altium\MY_LIB\MY_LIB\Datasheets\YAGEO_CC_X7R.pdf</x:v>
      </x:c>
      <x:c xmlns:x="http://schemas.openxmlformats.org/spreadsheetml/2006/main" r="U54" t="str" s="11">
        <x:v>Даташит — локальный</x:v>
      </x:c>
      <x:c xmlns:x="http://schemas.openxmlformats.org/spreadsheetml/2006/main" r="V54" t="str" s="11">
        <x:v>C:\Users\Nomatin\Documents\Altium\MY_LIB\MY_LIB\Datasheets\YAGEO_CC_X7R.pdf</x:v>
      </x:c>
      <x:c xmlns:x="http://schemas.openxmlformats.org/spreadsheetml/2006/main" r="W54" t="str" s="11">
        <x:v>Даташит — производитель</x:v>
      </x:c>
      <x:c xmlns:x="http://schemas.openxmlformats.org/spreadsheetml/2006/main" r="X54" t="str" s="11">
        <x:v>https://yageogroup.com/content/datasheet/asset/file/UPY-GPHC_X7R_6_3V-TO-250V</x:v>
      </x:c>
      <x:c xmlns:x="http://schemas.openxmlformats.org/spreadsheetml/2006/main" r="Y54" t="str" s="11">
        <x:v>C:\Users\Nomatin\Documents\Altium\MY_LIB\MY_LIB\Datasheets\YAGEO_CC_X7R.pdf</x:v>
      </x:c>
    </ns0:row>
    <ns0:row r="55" ht="30" customHeight="1">
      <ns0:c r="A55" t="str" s="14">
        <ns0:v>C0056</ns0:v>
      </ns0:c>
      <ns0:c r="B55" t="str" s="14">
        <ns0:v>Конденсатор</ns0:v>
      </ns0:c>
      <ns0:c r="C55" t="str" s="14">
        <ns0:v>180p</ns0:v>
      </ns0:c>
      <ns0:c r="D55" t="str" s="11">
        <ns0:f>SUBSTITUTE(SUBSTITUTE(SUBSTITUTE(SUBSTITUTE(C55,"p"," пФ"),"n"," нФ"),"u"," мкФ"),".",",")</ns0:f>
        <ns0:v>180 пФ</ns0:v>
      </ns0:c>
      <ns0:c r="E55" t="str" s="14">
        <ns0:v>±10%</ns0:v>
      </ns0:c>
      <ns0:c r="F55" s="14"/>
      <ns0:c r="G55" t="str" s="14">
        <ns0:v>50 В</ns0:v>
      </ns0:c>
      <ns0:c r="H55" t="str" s="14">
        <ns0:v>X7R</ns0:v>
      </ns0:c>
      <ns0:c r="I55" t="str" s="15">
        <ns0:v>0805</ns0:v>
      </ns0:c>
      <ns0:c r="J55" t="str" s="14">
        <ns0:v>YAGEO</ns0:v>
      </ns0:c>
      <ns0:c r="K55" t="str" s="14">
        <ns0:v>CC0805KRX7R9BB181</ns0:v>
      </ns0:c>
      <ns0:c r="L55" t="str" s="11">
        <ns0:f>B55&amp;" "&amp;D55&amp;" "&amp;E55&amp;" "&amp;G55&amp;" "&amp;H55&amp;" "&amp;I55</ns0:f>
        <ns0:v>Конденсатор 180 пФ ±10% 50 В X7R 0805</ns0:v>
      </ns0:c>
      <ns0:c r="M55" t="str" s="13">
        <ns0:v>C</ns0:v>
      </ns0:c>
      <ns0:c r="N55" t="str" s="13">
        <ns0:v>Symbols\MY_LIB_Capacitors.SchLib</ns0:v>
      </ns0:c>
      <ns0:c r="O55" t="str" s="13">
        <ns0:v>CAPC2012X135N</ns0:v>
      </ns0:c>
      <ns0:c r="P55" t="str" s="13">
        <ns0:v>Footprints\PBL - SMD Packages.PcbLib</ns0:v>
      </ns0:c>
      <ns0:c r="Q55" t="str" s="14">
        <ns0:v>YAGEO CC; список 20.10.2026</ns0:v>
      </ns0:c>
      <ns0:c r="R55" t="str" s="11">
        <ns0:f>D55</ns0:f>
        <ns0:v>180 пФ</ns0:v>
      </ns0:c>
      <ns0:c r="S55" t="str" s="11">
        <ns0:f>L55</ns0:f>
        <ns0:v>Конденсатор 180 пФ ±10% 50 В X7R 0805</ns0:v>
      </ns0:c>
      <x:c xmlns:x="http://schemas.openxmlformats.org/spreadsheetml/2006/main" r="T55" t="str" s="11">
        <x:v>C:\Users\Nomatin\Documents\Altium\MY_LIB\MY_LIB\Datasheets\YAGEO_CC_X7R.pdf</x:v>
      </x:c>
      <x:c xmlns:x="http://schemas.openxmlformats.org/spreadsheetml/2006/main" r="U55" t="str" s="11">
        <x:v>Даташит — локальный</x:v>
      </x:c>
      <x:c xmlns:x="http://schemas.openxmlformats.org/spreadsheetml/2006/main" r="V55" t="str" s="11">
        <x:v>C:\Users\Nomatin\Documents\Altium\MY_LIB\MY_LIB\Datasheets\YAGEO_CC_X7R.pdf</x:v>
      </x:c>
      <x:c xmlns:x="http://schemas.openxmlformats.org/spreadsheetml/2006/main" r="W55" t="str" s="11">
        <x:v>Даташит — производитель</x:v>
      </x:c>
      <x:c xmlns:x="http://schemas.openxmlformats.org/spreadsheetml/2006/main" r="X55" t="str" s="11">
        <x:v>https://yageogroup.com/content/datasheet/asset/file/UPY-GPHC_X7R_6_3V-TO-250V</x:v>
      </x:c>
      <x:c xmlns:x="http://schemas.openxmlformats.org/spreadsheetml/2006/main" r="Y55" t="str" s="11">
        <x:v>C:\Users\Nomatin\Documents\Altium\MY_LIB\MY_LIB\Datasheets\YAGEO_CC_X7R.pdf</x:v>
      </x:c>
    </ns0:row>
    <ns0:row r="56" ht="30" customHeight="1">
      <ns0:c r="A56" t="str" s="14">
        <ns0:v>C0057</ns0:v>
      </ns0:c>
      <ns0:c r="B56" t="str" s="14">
        <ns0:v>Конденсатор</ns0:v>
      </ns0:c>
      <ns0:c r="C56" t="str" s="14">
        <ns0:v>200p</ns0:v>
      </ns0:c>
      <ns0:c r="D56" t="str" s="11">
        <ns0:f>SUBSTITUTE(SUBSTITUTE(SUBSTITUTE(SUBSTITUTE(C56,"p"," пФ"),"n"," нФ"),"u"," мкФ"),".",",")</ns0:f>
        <ns0:v>200 пФ</ns0:v>
      </ns0:c>
      <ns0:c r="E56" t="str" s="14">
        <ns0:v>±10%</ns0:v>
      </ns0:c>
      <ns0:c r="F56" s="14"/>
      <ns0:c r="G56" t="str" s="14">
        <ns0:v>50 В</ns0:v>
      </ns0:c>
      <ns0:c r="H56" t="str" s="14">
        <ns0:v>X7R</ns0:v>
      </ns0:c>
      <ns0:c r="I56" t="str" s="15">
        <ns0:v>0805</ns0:v>
      </ns0:c>
      <ns0:c r="J56" t="str" s="14">
        <ns0:v>YAGEO</ns0:v>
      </ns0:c>
      <ns0:c r="K56" t="str" s="14">
        <ns0:v>CC0805KRX7R9BB201</ns0:v>
      </ns0:c>
      <ns0:c r="L56" t="str" s="11">
        <ns0:f>B56&amp;" "&amp;D56&amp;" "&amp;E56&amp;" "&amp;G56&amp;" "&amp;H56&amp;" "&amp;I56</ns0:f>
        <ns0:v>Конденсатор 200 пФ ±10% 50 В X7R 0805</ns0:v>
      </ns0:c>
      <ns0:c r="M56" t="str" s="13">
        <ns0:v>C</ns0:v>
      </ns0:c>
      <ns0:c r="N56" t="str" s="13">
        <ns0:v>Symbols\MY_LIB_Capacitors.SchLib</ns0:v>
      </ns0:c>
      <ns0:c r="O56" t="str" s="13">
        <ns0:v>CAPC2012X135N</ns0:v>
      </ns0:c>
      <ns0:c r="P56" t="str" s="13">
        <ns0:v>Footprints\PBL - SMD Packages.PcbLib</ns0:v>
      </ns0:c>
      <ns0:c r="Q56" t="str" s="14">
        <ns0:v>YAGEO CC; список 20.10.2026</ns0:v>
      </ns0:c>
      <ns0:c r="R56" t="str" s="11">
        <ns0:f>D56</ns0:f>
        <ns0:v>200 пФ</ns0:v>
      </ns0:c>
      <ns0:c r="S56" t="str" s="11">
        <ns0:f>L56</ns0:f>
        <ns0:v>Конденсатор 200 пФ ±10% 50 В X7R 0805</ns0:v>
      </ns0:c>
      <x:c xmlns:x="http://schemas.openxmlformats.org/spreadsheetml/2006/main" r="T56" t="str" s="11">
        <x:v>C:\Users\Nomatin\Documents\Altium\MY_LIB\MY_LIB\Datasheets\YAGEO_CC_X7R.pdf</x:v>
      </x:c>
      <x:c xmlns:x="http://schemas.openxmlformats.org/spreadsheetml/2006/main" r="U56" t="str" s="11">
        <x:v>Даташит — локальный</x:v>
      </x:c>
      <x:c xmlns:x="http://schemas.openxmlformats.org/spreadsheetml/2006/main" r="V56" t="str" s="11">
        <x:v>C:\Users\Nomatin\Documents\Altium\MY_LIB\MY_LIB\Datasheets\YAGEO_CC_X7R.pdf</x:v>
      </x:c>
      <x:c xmlns:x="http://schemas.openxmlformats.org/spreadsheetml/2006/main" r="W56" t="str" s="11">
        <x:v>Даташит — производитель</x:v>
      </x:c>
      <x:c xmlns:x="http://schemas.openxmlformats.org/spreadsheetml/2006/main" r="X56" t="str" s="11">
        <x:v>https://yageogroup.com/content/datasheet/asset/file/UPY-GPHC_X7R_6_3V-TO-250V</x:v>
      </x:c>
      <x:c xmlns:x="http://schemas.openxmlformats.org/spreadsheetml/2006/main" r="Y56" t="str" s="11">
        <x:v>C:\Users\Nomatin\Documents\Altium\MY_LIB\MY_LIB\Datasheets\YAGEO_CC_X7R.pdf</x:v>
      </x:c>
    </ns0:row>
    <ns0:row r="57" ht="30" customHeight="1">
      <ns0:c r="A57" t="str" s="14">
        <ns0:v>C0058</ns0:v>
      </ns0:c>
      <ns0:c r="B57" t="str" s="14">
        <ns0:v>Конденсатор</ns0:v>
      </ns0:c>
      <ns0:c r="C57" t="str" s="14">
        <ns0:v>220p</ns0:v>
      </ns0:c>
      <ns0:c r="D57" t="str" s="11">
        <ns0:f>SUBSTITUTE(SUBSTITUTE(SUBSTITUTE(SUBSTITUTE(C57,"p"," пФ"),"n"," нФ"),"u"," мкФ"),".",",")</ns0:f>
        <ns0:v>220 пФ</ns0:v>
      </ns0:c>
      <ns0:c r="E57" t="str" s="14">
        <ns0:v>±10%</ns0:v>
      </ns0:c>
      <ns0:c r="F57" s="14"/>
      <ns0:c r="G57" t="str" s="14">
        <ns0:v>100 В</ns0:v>
      </ns0:c>
      <ns0:c r="H57" t="str" s="14">
        <ns0:v>X7R</ns0:v>
      </ns0:c>
      <ns0:c r="I57" t="str" s="15">
        <ns0:v>0805</ns0:v>
      </ns0:c>
      <ns0:c r="J57" t="str" s="14">
        <ns0:v>YAGEO</ns0:v>
      </ns0:c>
      <ns0:c r="K57" t="str" s="14">
        <ns0:v>CC0805KKX7R0BB221</ns0:v>
      </ns0:c>
      <ns0:c r="L57" t="str" s="11">
        <ns0:f>B57&amp;" "&amp;D57&amp;" "&amp;E57&amp;" "&amp;G57&amp;" "&amp;H57&amp;" "&amp;I57</ns0:f>
        <ns0:v>Конденсатор 220 пФ ±10% 100 В X7R 0805</ns0:v>
      </ns0:c>
      <ns0:c r="M57" t="str" s="13">
        <ns0:v>C</ns0:v>
      </ns0:c>
      <ns0:c r="N57" t="str" s="13">
        <ns0:v>Symbols\MY_LIB_Capacitors.SchLib</ns0:v>
      </ns0:c>
      <ns0:c r="O57" t="str" s="13">
        <ns0:v>CAPC2012X135N</ns0:v>
      </ns0:c>
      <ns0:c r="P57" t="str" s="13">
        <ns0:v>Footprints\PBL - SMD Packages.PcbLib</ns0:v>
      </ns0:c>
      <ns0:c r="Q57" t="str" s="14">
        <ns0:v>YAGEO CC; список 20.10.2026</ns0:v>
      </ns0:c>
      <ns0:c r="R57" t="str" s="11">
        <ns0:f>D57</ns0:f>
        <ns0:v>220 пФ</ns0:v>
      </ns0:c>
      <ns0:c r="S57" t="str" s="11">
        <ns0:f>L57</ns0:f>
        <ns0:v>Конденсатор 220 пФ ±10% 100 В X7R 0805</ns0:v>
      </ns0:c>
      <x:c xmlns:x="http://schemas.openxmlformats.org/spreadsheetml/2006/main" r="T57" t="str" s="11">
        <x:v>C:\Users\Nomatin\Documents\Altium\MY_LIB\MY_LIB\Datasheets\YAGEO_CC_X7R.pdf</x:v>
      </x:c>
      <x:c xmlns:x="http://schemas.openxmlformats.org/spreadsheetml/2006/main" r="U57" t="str" s="11">
        <x:v>Даташит — локальный</x:v>
      </x:c>
      <x:c xmlns:x="http://schemas.openxmlformats.org/spreadsheetml/2006/main" r="V57" t="str" s="11">
        <x:v>C:\Users\Nomatin\Documents\Altium\MY_LIB\MY_LIB\Datasheets\YAGEO_CC_X7R.pdf</x:v>
      </x:c>
      <x:c xmlns:x="http://schemas.openxmlformats.org/spreadsheetml/2006/main" r="W57" t="str" s="11">
        <x:v>Даташит — производитель</x:v>
      </x:c>
      <x:c xmlns:x="http://schemas.openxmlformats.org/spreadsheetml/2006/main" r="X57" t="str" s="11">
        <x:v>https://yageogroup.com/content/datasheet/asset/file/UPY-GPHC_X7R_6_3V-TO-250V</x:v>
      </x:c>
      <x:c xmlns:x="http://schemas.openxmlformats.org/spreadsheetml/2006/main" r="Y57" t="str" s="11">
        <x:v>C:\Users\Nomatin\Documents\Altium\MY_LIB\MY_LIB\Datasheets\YAGEO_CC_X7R.pdf</x:v>
      </x:c>
    </ns0:row>
    <ns0:row r="58" ht="30" customHeight="1">
      <ns0:c r="A58" t="str" s="14">
        <ns0:v>C0059</ns0:v>
      </ns0:c>
      <ns0:c r="B58" t="str" s="14">
        <ns0:v>Конденсатор</ns0:v>
      </ns0:c>
      <ns0:c r="C58" t="str" s="14">
        <ns0:v>270p</ns0:v>
      </ns0:c>
      <ns0:c r="D58" t="str" s="11">
        <ns0:f>SUBSTITUTE(SUBSTITUTE(SUBSTITUTE(SUBSTITUTE(C58,"p"," пФ"),"n"," нФ"),"u"," мкФ"),".",",")</ns0:f>
        <ns0:v>270 пФ</ns0:v>
      </ns0:c>
      <ns0:c r="E58" t="str" s="14">
        <ns0:v>±10%</ns0:v>
      </ns0:c>
      <ns0:c r="F58" s="14"/>
      <ns0:c r="G58" t="str" s="14">
        <ns0:v>100 В</ns0:v>
      </ns0:c>
      <ns0:c r="H58" t="str" s="14">
        <ns0:v>X7R</ns0:v>
      </ns0:c>
      <ns0:c r="I58" t="str" s="15">
        <ns0:v>0805</ns0:v>
      </ns0:c>
      <ns0:c r="J58" t="str" s="14">
        <ns0:v>YAGEO</ns0:v>
      </ns0:c>
      <ns0:c r="K58" t="str" s="14">
        <ns0:v>CC0805KRX7R0BB271</ns0:v>
      </ns0:c>
      <ns0:c r="L58" t="str" s="11">
        <ns0:f>B58&amp;" "&amp;D58&amp;" "&amp;E58&amp;" "&amp;G58&amp;" "&amp;H58&amp;" "&amp;I58</ns0:f>
        <ns0:v>Конденсатор 270 пФ ±10% 100 В X7R 0805</ns0:v>
      </ns0:c>
      <ns0:c r="M58" t="str" s="13">
        <ns0:v>C</ns0:v>
      </ns0:c>
      <ns0:c r="N58" t="str" s="13">
        <ns0:v>Symbols\MY_LIB_Capacitors.SchLib</ns0:v>
      </ns0:c>
      <ns0:c r="O58" t="str" s="13">
        <ns0:v>CAPC2012X135N</ns0:v>
      </ns0:c>
      <ns0:c r="P58" t="str" s="13">
        <ns0:v>Footprints\PBL - SMD Packages.PcbLib</ns0:v>
      </ns0:c>
      <ns0:c r="Q58" t="str" s="14">
        <ns0:v>YAGEO CC; список 20.10.2026</ns0:v>
      </ns0:c>
      <ns0:c r="R58" t="str" s="11">
        <ns0:f>D58</ns0:f>
        <ns0:v>270 пФ</ns0:v>
      </ns0:c>
      <ns0:c r="S58" t="str" s="11">
        <ns0:f>L58</ns0:f>
        <ns0:v>Конденсатор 270 пФ ±10% 100 В X7R 0805</ns0:v>
      </ns0:c>
      <x:c xmlns:x="http://schemas.openxmlformats.org/spreadsheetml/2006/main" r="T58" t="str" s="11">
        <x:v>C:\Users\Nomatin\Documents\Altium\MY_LIB\MY_LIB\Datasheets\YAGEO_CC_X7R.pdf</x:v>
      </x:c>
      <x:c xmlns:x="http://schemas.openxmlformats.org/spreadsheetml/2006/main" r="U58" t="str" s="11">
        <x:v>Даташит — локальный</x:v>
      </x:c>
      <x:c xmlns:x="http://schemas.openxmlformats.org/spreadsheetml/2006/main" r="V58" t="str" s="11">
        <x:v>C:\Users\Nomatin\Documents\Altium\MY_LIB\MY_LIB\Datasheets\YAGEO_CC_X7R.pdf</x:v>
      </x:c>
      <x:c xmlns:x="http://schemas.openxmlformats.org/spreadsheetml/2006/main" r="W58" t="str" s="11">
        <x:v>Даташит — производитель</x:v>
      </x:c>
      <x:c xmlns:x="http://schemas.openxmlformats.org/spreadsheetml/2006/main" r="X58" t="str" s="11">
        <x:v>https://yageogroup.com/content/datasheet/asset/file/UPY-GPHC_X7R_6_3V-TO-250V</x:v>
      </x:c>
      <x:c xmlns:x="http://schemas.openxmlformats.org/spreadsheetml/2006/main" r="Y58" t="str" s="11">
        <x:v>C:\Users\Nomatin\Documents\Altium\MY_LIB\MY_LIB\Datasheets\YAGEO_CC_X7R.pdf</x:v>
      </x:c>
    </ns0:row>
    <ns0:row r="59" ht="30" customHeight="1">
      <ns0:c r="A59" t="str" s="14">
        <ns0:v>C0060</ns0:v>
      </ns0:c>
      <ns0:c r="B59" t="str" s="14">
        <ns0:v>Конденсатор</ns0:v>
      </ns0:c>
      <ns0:c r="C59" t="str" s="14">
        <ns0:v>300p</ns0:v>
      </ns0:c>
      <ns0:c r="D59" t="str" s="11">
        <ns0:f>SUBSTITUTE(SUBSTITUTE(SUBSTITUTE(SUBSTITUTE(C59,"p"," пФ"),"n"," нФ"),"u"," мкФ"),".",",")</ns0:f>
        <ns0:v>300 пФ</ns0:v>
      </ns0:c>
      <ns0:c r="E59" t="str" s="14">
        <ns0:v>±10%</ns0:v>
      </ns0:c>
      <ns0:c r="F59" s="14"/>
      <ns0:c r="G59" t="str" s="14">
        <ns0:v>50 В</ns0:v>
      </ns0:c>
      <ns0:c r="H59" t="str" s="14">
        <ns0:v>X7R</ns0:v>
      </ns0:c>
      <ns0:c r="I59" t="str" s="15">
        <ns0:v>0805</ns0:v>
      </ns0:c>
      <ns0:c r="J59" t="str" s="14">
        <ns0:v>YAGEO</ns0:v>
      </ns0:c>
      <ns0:c r="K59" t="str" s="14">
        <ns0:v>CC0805KRX7R9BB301</ns0:v>
      </ns0:c>
      <ns0:c r="L59" t="str" s="11">
        <ns0:f>B59&amp;" "&amp;D59&amp;" "&amp;E59&amp;" "&amp;G59&amp;" "&amp;H59&amp;" "&amp;I59</ns0:f>
        <ns0:v>Конденсатор 300 пФ ±10% 50 В X7R 0805</ns0:v>
      </ns0:c>
      <ns0:c r="M59" t="str" s="13">
        <ns0:v>C</ns0:v>
      </ns0:c>
      <ns0:c r="N59" t="str" s="13">
        <ns0:v>Symbols\MY_LIB_Capacitors.SchLib</ns0:v>
      </ns0:c>
      <ns0:c r="O59" t="str" s="13">
        <ns0:v>CAPC2012X135N</ns0:v>
      </ns0:c>
      <ns0:c r="P59" t="str" s="13">
        <ns0:v>Footprints\PBL - SMD Packages.PcbLib</ns0:v>
      </ns0:c>
      <ns0:c r="Q59" t="str" s="14">
        <ns0:v>YAGEO CC; список 20.10.2026</ns0:v>
      </ns0:c>
      <ns0:c r="R59" t="str" s="11">
        <ns0:f>D59</ns0:f>
        <ns0:v>300 пФ</ns0:v>
      </ns0:c>
      <ns0:c r="S59" t="str" s="11">
        <ns0:f>L59</ns0:f>
        <ns0:v>Конденсатор 300 пФ ±10% 50 В X7R 0805</ns0:v>
      </ns0:c>
      <x:c xmlns:x="http://schemas.openxmlformats.org/spreadsheetml/2006/main" r="T59" t="str" s="11">
        <x:v>C:\Users\Nomatin\Documents\Altium\MY_LIB\MY_LIB\Datasheets\YAGEO_CC_X7R.pdf</x:v>
      </x:c>
      <x:c xmlns:x="http://schemas.openxmlformats.org/spreadsheetml/2006/main" r="U59" t="str" s="11">
        <x:v>Даташит — локальный</x:v>
      </x:c>
      <x:c xmlns:x="http://schemas.openxmlformats.org/spreadsheetml/2006/main" r="V59" t="str" s="11">
        <x:v>C:\Users\Nomatin\Documents\Altium\MY_LIB\MY_LIB\Datasheets\YAGEO_CC_X7R.pdf</x:v>
      </x:c>
      <x:c xmlns:x="http://schemas.openxmlformats.org/spreadsheetml/2006/main" r="W59" t="str" s="11">
        <x:v>Даташит — производитель</x:v>
      </x:c>
      <x:c xmlns:x="http://schemas.openxmlformats.org/spreadsheetml/2006/main" r="X59" t="str" s="11">
        <x:v>https://yageogroup.com/content/datasheet/asset/file/UPY-GPHC_X7R_6_3V-TO-250V</x:v>
      </x:c>
      <x:c xmlns:x="http://schemas.openxmlformats.org/spreadsheetml/2006/main" r="Y59" t="str" s="11">
        <x:v>C:\Users\Nomatin\Documents\Altium\MY_LIB\MY_LIB\Datasheets\YAGEO_CC_X7R.pdf</x:v>
      </x:c>
    </ns0:row>
    <ns0:row r="60" ht="30" customHeight="1">
      <ns0:c r="A60" t="str" s="14">
        <ns0:v>C0061</ns0:v>
      </ns0:c>
      <ns0:c r="B60" t="str" s="14">
        <ns0:v>Конденсатор</ns0:v>
      </ns0:c>
      <ns0:c r="C60" t="str" s="14">
        <ns0:v>330p</ns0:v>
      </ns0:c>
      <ns0:c r="D60" t="str" s="11">
        <ns0:f>SUBSTITUTE(SUBSTITUTE(SUBSTITUTE(SUBSTITUTE(C60,"p"," пФ"),"n"," нФ"),"u"," мкФ"),".",",")</ns0:f>
        <ns0:v>330 пФ</ns0:v>
      </ns0:c>
      <ns0:c r="E60" t="str" s="14">
        <ns0:v>±10%</ns0:v>
      </ns0:c>
      <ns0:c r="F60" s="14"/>
      <ns0:c r="G60" t="str" s="14">
        <ns0:v>100 В</ns0:v>
      </ns0:c>
      <ns0:c r="H60" t="str" s="14">
        <ns0:v>X7R</ns0:v>
      </ns0:c>
      <ns0:c r="I60" t="str" s="15">
        <ns0:v>0805</ns0:v>
      </ns0:c>
      <ns0:c r="J60" t="str" s="14">
        <ns0:v>YAGEO</ns0:v>
      </ns0:c>
      <ns0:c r="K60" t="str" s="14">
        <ns0:v>CC0805KKX7R0BB331</ns0:v>
      </ns0:c>
      <ns0:c r="L60" t="str" s="11">
        <ns0:f>B60&amp;" "&amp;D60&amp;" "&amp;E60&amp;" "&amp;G60&amp;" "&amp;H60&amp;" "&amp;I60</ns0:f>
        <ns0:v>Конденсатор 330 пФ ±10% 100 В X7R 0805</ns0:v>
      </ns0:c>
      <ns0:c r="M60" t="str" s="13">
        <ns0:v>C</ns0:v>
      </ns0:c>
      <ns0:c r="N60" t="str" s="13">
        <ns0:v>Symbols\MY_LIB_Capacitors.SchLib</ns0:v>
      </ns0:c>
      <ns0:c r="O60" t="str" s="13">
        <ns0:v>CAPC2012X135N</ns0:v>
      </ns0:c>
      <ns0:c r="P60" t="str" s="13">
        <ns0:v>Footprints\PBL - SMD Packages.PcbLib</ns0:v>
      </ns0:c>
      <ns0:c r="Q60" t="str" s="14">
        <ns0:v>YAGEO CC; список 20.10.2026</ns0:v>
      </ns0:c>
      <ns0:c r="R60" t="str" s="11">
        <ns0:f>D60</ns0:f>
        <ns0:v>330 пФ</ns0:v>
      </ns0:c>
      <ns0:c r="S60" t="str" s="11">
        <ns0:f>L60</ns0:f>
        <ns0:v>Конденсатор 330 пФ ±10% 100 В X7R 0805</ns0:v>
      </ns0:c>
      <x:c xmlns:x="http://schemas.openxmlformats.org/spreadsheetml/2006/main" r="T60" t="str" s="11">
        <x:v>C:\Users\Nomatin\Documents\Altium\MY_LIB\MY_LIB\Datasheets\YAGEO_CC_X7R.pdf</x:v>
      </x:c>
      <x:c xmlns:x="http://schemas.openxmlformats.org/spreadsheetml/2006/main" r="U60" t="str" s="11">
        <x:v>Даташит — локальный</x:v>
      </x:c>
      <x:c xmlns:x="http://schemas.openxmlformats.org/spreadsheetml/2006/main" r="V60" t="str" s="11">
        <x:v>C:\Users\Nomatin\Documents\Altium\MY_LIB\MY_LIB\Datasheets\YAGEO_CC_X7R.pdf</x:v>
      </x:c>
      <x:c xmlns:x="http://schemas.openxmlformats.org/spreadsheetml/2006/main" r="W60" t="str" s="11">
        <x:v>Даташит — производитель</x:v>
      </x:c>
      <x:c xmlns:x="http://schemas.openxmlformats.org/spreadsheetml/2006/main" r="X60" t="str" s="11">
        <x:v>https://yageogroup.com/content/datasheet/asset/file/UPY-GPHC_X7R_6_3V-TO-250V</x:v>
      </x:c>
      <x:c xmlns:x="http://schemas.openxmlformats.org/spreadsheetml/2006/main" r="Y60" t="str" s="11">
        <x:v>C:\Users\Nomatin\Documents\Altium\MY_LIB\MY_LIB\Datasheets\YAGEO_CC_X7R.pdf</x:v>
      </x:c>
    </ns0:row>
    <ns0:row r="61" ht="30" customHeight="1">
      <ns0:c r="A61" t="str" s="14">
        <ns0:v>C0062</ns0:v>
      </ns0:c>
      <ns0:c r="B61" t="str" s="14">
        <ns0:v>Конденсатор</ns0:v>
      </ns0:c>
      <ns0:c r="C61" t="str" s="14">
        <ns0:v>390p</ns0:v>
      </ns0:c>
      <ns0:c r="D61" t="str" s="11">
        <ns0:f>SUBSTITUTE(SUBSTITUTE(SUBSTITUTE(SUBSTITUTE(C61,"p"," пФ"),"n"," нФ"),"u"," мкФ"),".",",")</ns0:f>
        <ns0:v>390 пФ</ns0:v>
      </ns0:c>
      <ns0:c r="E61" t="str" s="14">
        <ns0:v>±10%</ns0:v>
      </ns0:c>
      <ns0:c r="F61" s="14"/>
      <ns0:c r="G61" t="str" s="14">
        <ns0:v>100 В</ns0:v>
      </ns0:c>
      <ns0:c r="H61" t="str" s="14">
        <ns0:v>X7R</ns0:v>
      </ns0:c>
      <ns0:c r="I61" t="str" s="15">
        <ns0:v>0805</ns0:v>
      </ns0:c>
      <ns0:c r="J61" t="str" s="14">
        <ns0:v>YAGEO</ns0:v>
      </ns0:c>
      <ns0:c r="K61" t="str" s="14">
        <ns0:v>CC0805KRX7R0BB391</ns0:v>
      </ns0:c>
      <ns0:c r="L61" t="str" s="11">
        <ns0:f>B61&amp;" "&amp;D61&amp;" "&amp;E61&amp;" "&amp;G61&amp;" "&amp;H61&amp;" "&amp;I61</ns0:f>
        <ns0:v>Конденсатор 390 пФ ±10% 100 В X7R 0805</ns0:v>
      </ns0:c>
      <ns0:c r="M61" t="str" s="13">
        <ns0:v>C</ns0:v>
      </ns0:c>
      <ns0:c r="N61" t="str" s="13">
        <ns0:v>Symbols\MY_LIB_Capacitors.SchLib</ns0:v>
      </ns0:c>
      <ns0:c r="O61" t="str" s="13">
        <ns0:v>CAPC2012X135N</ns0:v>
      </ns0:c>
      <ns0:c r="P61" t="str" s="13">
        <ns0:v>Footprints\PBL - SMD Packages.PcbLib</ns0:v>
      </ns0:c>
      <ns0:c r="Q61" t="str" s="14">
        <ns0:v>YAGEO CC; список 20.10.2026</ns0:v>
      </ns0:c>
      <ns0:c r="R61" t="str" s="11">
        <ns0:f>D61</ns0:f>
        <ns0:v>390 пФ</ns0:v>
      </ns0:c>
      <ns0:c r="S61" t="str" s="11">
        <ns0:f>L61</ns0:f>
        <ns0:v>Конденсатор 390 пФ ±10% 100 В X7R 0805</ns0:v>
      </ns0:c>
      <x:c xmlns:x="http://schemas.openxmlformats.org/spreadsheetml/2006/main" r="T61" t="str" s="11">
        <x:v>C:\Users\Nomatin\Documents\Altium\MY_LIB\MY_LIB\Datasheets\YAGEO_CC_X7R.pdf</x:v>
      </x:c>
      <x:c xmlns:x="http://schemas.openxmlformats.org/spreadsheetml/2006/main" r="U61" t="str" s="11">
        <x:v>Даташит — локальный</x:v>
      </x:c>
      <x:c xmlns:x="http://schemas.openxmlformats.org/spreadsheetml/2006/main" r="V61" t="str" s="11">
        <x:v>C:\Users\Nomatin\Documents\Altium\MY_LIB\MY_LIB\Datasheets\YAGEO_CC_X7R.pdf</x:v>
      </x:c>
      <x:c xmlns:x="http://schemas.openxmlformats.org/spreadsheetml/2006/main" r="W61" t="str" s="11">
        <x:v>Даташит — производитель</x:v>
      </x:c>
      <x:c xmlns:x="http://schemas.openxmlformats.org/spreadsheetml/2006/main" r="X61" t="str" s="11">
        <x:v>https://yageogroup.com/content/datasheet/asset/file/UPY-GPHC_X7R_6_3V-TO-250V</x:v>
      </x:c>
      <x:c xmlns:x="http://schemas.openxmlformats.org/spreadsheetml/2006/main" r="Y61" t="str" s="11">
        <x:v>C:\Users\Nomatin\Documents\Altium\MY_LIB\MY_LIB\Datasheets\YAGEO_CC_X7R.pdf</x:v>
      </x:c>
    </ns0:row>
    <ns0:row r="62" ht="30" customHeight="1">
      <ns0:c r="A62" t="str" s="14">
        <ns0:v>C0063</ns0:v>
      </ns0:c>
      <ns0:c r="B62" t="str" s="14">
        <ns0:v>Конденсатор</ns0:v>
      </ns0:c>
      <ns0:c r="C62" t="str" s="14">
        <ns0:v>470p</ns0:v>
      </ns0:c>
      <ns0:c r="D62" t="str" s="11">
        <ns0:f>SUBSTITUTE(SUBSTITUTE(SUBSTITUTE(SUBSTITUTE(C62,"p"," пФ"),"n"," нФ"),"u"," мкФ"),".",",")</ns0:f>
        <ns0:v>470 пФ</ns0:v>
      </ns0:c>
      <ns0:c r="E62" t="str" s="14">
        <ns0:v>±10%</ns0:v>
      </ns0:c>
      <ns0:c r="F62" s="14"/>
      <ns0:c r="G62" t="str" s="14">
        <ns0:v>100 В</ns0:v>
      </ns0:c>
      <ns0:c r="H62" t="str" s="14">
        <ns0:v>X7R</ns0:v>
      </ns0:c>
      <ns0:c r="I62" t="str" s="15">
        <ns0:v>0805</ns0:v>
      </ns0:c>
      <ns0:c r="J62" t="str" s="14">
        <ns0:v>YAGEO</ns0:v>
      </ns0:c>
      <ns0:c r="K62" t="str" s="14">
        <ns0:v>CC0805KRX7R0BB471</ns0:v>
      </ns0:c>
      <ns0:c r="L62" t="str" s="11">
        <ns0:f>B62&amp;" "&amp;D62&amp;" "&amp;E62&amp;" "&amp;G62&amp;" "&amp;H62&amp;" "&amp;I62</ns0:f>
        <ns0:v>Конденсатор 470 пФ ±10% 100 В X7R 0805</ns0:v>
      </ns0:c>
      <ns0:c r="M62" t="str" s="13">
        <ns0:v>C</ns0:v>
      </ns0:c>
      <ns0:c r="N62" t="str" s="13">
        <ns0:v>Symbols\MY_LIB_Capacitors.SchLib</ns0:v>
      </ns0:c>
      <ns0:c r="O62" t="str" s="13">
        <ns0:v>CAPC2012X135N</ns0:v>
      </ns0:c>
      <ns0:c r="P62" t="str" s="13">
        <ns0:v>Footprints\PBL - SMD Packages.PcbLib</ns0:v>
      </ns0:c>
      <ns0:c r="Q62" t="str" s="14">
        <ns0:v>YAGEO CC; список 20.10.2026</ns0:v>
      </ns0:c>
      <ns0:c r="R62" t="str" s="11">
        <ns0:f>D62</ns0:f>
        <ns0:v>470 пФ</ns0:v>
      </ns0:c>
      <ns0:c r="S62" t="str" s="11">
        <ns0:f>L62</ns0:f>
        <ns0:v>Конденсатор 470 пФ ±10% 100 В X7R 0805</ns0:v>
      </ns0:c>
      <x:c xmlns:x="http://schemas.openxmlformats.org/spreadsheetml/2006/main" r="T62" t="str" s="11">
        <x:v>C:\Users\Nomatin\Documents\Altium\MY_LIB\MY_LIB\Datasheets\YAGEO_CC_X7R.pdf</x:v>
      </x:c>
      <x:c xmlns:x="http://schemas.openxmlformats.org/spreadsheetml/2006/main" r="U62" t="str" s="11">
        <x:v>Даташит — локальный</x:v>
      </x:c>
      <x:c xmlns:x="http://schemas.openxmlformats.org/spreadsheetml/2006/main" r="V62" t="str" s="11">
        <x:v>C:\Users\Nomatin\Documents\Altium\MY_LIB\MY_LIB\Datasheets\YAGEO_CC_X7R.pdf</x:v>
      </x:c>
      <x:c xmlns:x="http://schemas.openxmlformats.org/spreadsheetml/2006/main" r="W62" t="str" s="11">
        <x:v>Даташит — производитель</x:v>
      </x:c>
      <x:c xmlns:x="http://schemas.openxmlformats.org/spreadsheetml/2006/main" r="X62" t="str" s="11">
        <x:v>https://yageogroup.com/content/datasheet/asset/file/UPY-GPHC_X7R_6_3V-TO-250V</x:v>
      </x:c>
      <x:c xmlns:x="http://schemas.openxmlformats.org/spreadsheetml/2006/main" r="Y62" t="str" s="11">
        <x:v>C:\Users\Nomatin\Documents\Altium\MY_LIB\MY_LIB\Datasheets\YAGEO_CC_X7R.pdf</x:v>
      </x:c>
    </ns0:row>
    <ns0:row r="63" ht="30" customHeight="1">
      <ns0:c r="A63" t="str" s="14">
        <ns0:v>C0064</ns0:v>
      </ns0:c>
      <ns0:c r="B63" t="str" s="14">
        <ns0:v>Конденсатор</ns0:v>
      </ns0:c>
      <ns0:c r="C63" t="str" s="14">
        <ns0:v>560p</ns0:v>
      </ns0:c>
      <ns0:c r="D63" t="str" s="11">
        <ns0:f>SUBSTITUTE(SUBSTITUTE(SUBSTITUTE(SUBSTITUTE(C63,"p"," пФ"),"n"," нФ"),"u"," мкФ"),".",",")</ns0:f>
        <ns0:v>560 пФ</ns0:v>
      </ns0:c>
      <ns0:c r="E63" t="str" s="14">
        <ns0:v>±10%</ns0:v>
      </ns0:c>
      <ns0:c r="F63" s="14"/>
      <ns0:c r="G63" t="str" s="14">
        <ns0:v>100 В</ns0:v>
      </ns0:c>
      <ns0:c r="H63" t="str" s="14">
        <ns0:v>X7R</ns0:v>
      </ns0:c>
      <ns0:c r="I63" t="str" s="15">
        <ns0:v>0805</ns0:v>
      </ns0:c>
      <ns0:c r="J63" t="str" s="14">
        <ns0:v>YAGEO</ns0:v>
      </ns0:c>
      <ns0:c r="K63" t="str" s="14">
        <ns0:v>CC0805KRX7R0BB561</ns0:v>
      </ns0:c>
      <ns0:c r="L63" t="str" s="11">
        <ns0:f>B63&amp;" "&amp;D63&amp;" "&amp;E63&amp;" "&amp;G63&amp;" "&amp;H63&amp;" "&amp;I63</ns0:f>
        <ns0:v>Конденсатор 560 пФ ±10% 100 В X7R 0805</ns0:v>
      </ns0:c>
      <ns0:c r="M63" t="str" s="13">
        <ns0:v>C</ns0:v>
      </ns0:c>
      <ns0:c r="N63" t="str" s="13">
        <ns0:v>Symbols\MY_LIB_Capacitors.SchLib</ns0:v>
      </ns0:c>
      <ns0:c r="O63" t="str" s="13">
        <ns0:v>CAPC2012X135N</ns0:v>
      </ns0:c>
      <ns0:c r="P63" t="str" s="13">
        <ns0:v>Footprints\PBL - SMD Packages.PcbLib</ns0:v>
      </ns0:c>
      <ns0:c r="Q63" t="str" s="14">
        <ns0:v>YAGEO CC; список 20.10.2026</ns0:v>
      </ns0:c>
      <ns0:c r="R63" t="str" s="11">
        <ns0:f>D63</ns0:f>
        <ns0:v>560 пФ</ns0:v>
      </ns0:c>
      <ns0:c r="S63" t="str" s="11">
        <ns0:f>L63</ns0:f>
        <ns0:v>Конденсатор 560 пФ ±10% 100 В X7R 0805</ns0:v>
      </ns0:c>
      <x:c xmlns:x="http://schemas.openxmlformats.org/spreadsheetml/2006/main" r="T63" t="str" s="11">
        <x:v>C:\Users\Nomatin\Documents\Altium\MY_LIB\MY_LIB\Datasheets\YAGEO_CC_X7R.pdf</x:v>
      </x:c>
      <x:c xmlns:x="http://schemas.openxmlformats.org/spreadsheetml/2006/main" r="U63" t="str" s="11">
        <x:v>Даташит — локальный</x:v>
      </x:c>
      <x:c xmlns:x="http://schemas.openxmlformats.org/spreadsheetml/2006/main" r="V63" t="str" s="11">
        <x:v>C:\Users\Nomatin\Documents\Altium\MY_LIB\MY_LIB\Datasheets\YAGEO_CC_X7R.pdf</x:v>
      </x:c>
      <x:c xmlns:x="http://schemas.openxmlformats.org/spreadsheetml/2006/main" r="W63" t="str" s="11">
        <x:v>Даташит — производитель</x:v>
      </x:c>
      <x:c xmlns:x="http://schemas.openxmlformats.org/spreadsheetml/2006/main" r="X63" t="str" s="11">
        <x:v>https://yageogroup.com/content/datasheet/asset/file/UPY-GPHC_X7R_6_3V-TO-250V</x:v>
      </x:c>
      <x:c xmlns:x="http://schemas.openxmlformats.org/spreadsheetml/2006/main" r="Y63" t="str" s="11">
        <x:v>C:\Users\Nomatin\Documents\Altium\MY_LIB\MY_LIB\Datasheets\YAGEO_CC_X7R.pdf</x:v>
      </x:c>
    </ns0:row>
    <ns0:row r="64" ht="30" customHeight="1">
      <ns0:c r="A64" t="str" s="14">
        <ns0:v>C0065</ns0:v>
      </ns0:c>
      <ns0:c r="B64" t="str" s="14">
        <ns0:v>Конденсатор</ns0:v>
      </ns0:c>
      <ns0:c r="C64" t="str" s="14">
        <ns0:v>680p</ns0:v>
      </ns0:c>
      <ns0:c r="D64" t="str" s="11">
        <ns0:f>SUBSTITUTE(SUBSTITUTE(SUBSTITUTE(SUBSTITUTE(C64,"p"," пФ"),"n"," нФ"),"u"," мкФ"),".",",")</ns0:f>
        <ns0:v>680 пФ</ns0:v>
      </ns0:c>
      <ns0:c r="E64" t="str" s="14">
        <ns0:v>±10%</ns0:v>
      </ns0:c>
      <ns0:c r="F64" s="14"/>
      <ns0:c r="G64" t="str" s="14">
        <ns0:v>100 В</ns0:v>
      </ns0:c>
      <ns0:c r="H64" t="str" s="14">
        <ns0:v>X7R</ns0:v>
      </ns0:c>
      <ns0:c r="I64" t="str" s="15">
        <ns0:v>0805</ns0:v>
      </ns0:c>
      <ns0:c r="J64" t="str" s="14">
        <ns0:v>YAGEO</ns0:v>
      </ns0:c>
      <ns0:c r="K64" t="str" s="14">
        <ns0:v>CC0805KRX7R0BB681</ns0:v>
      </ns0:c>
      <ns0:c r="L64" t="str" s="11">
        <ns0:f>B64&amp;" "&amp;D64&amp;" "&amp;E64&amp;" "&amp;G64&amp;" "&amp;H64&amp;" "&amp;I64</ns0:f>
        <ns0:v>Конденсатор 680 пФ ±10% 100 В X7R 0805</ns0:v>
      </ns0:c>
      <ns0:c r="M64" t="str" s="13">
        <ns0:v>C</ns0:v>
      </ns0:c>
      <ns0:c r="N64" t="str" s="13">
        <ns0:v>Symbols\MY_LIB_Capacitors.SchLib</ns0:v>
      </ns0:c>
      <ns0:c r="O64" t="str" s="13">
        <ns0:v>CAPC2012X135N</ns0:v>
      </ns0:c>
      <ns0:c r="P64" t="str" s="13">
        <ns0:v>Footprints\PBL - SMD Packages.PcbLib</ns0:v>
      </ns0:c>
      <ns0:c r="Q64" t="str" s="14">
        <ns0:v>YAGEO CC; список 20.10.2026</ns0:v>
      </ns0:c>
      <ns0:c r="R64" t="str" s="11">
        <ns0:f>D64</ns0:f>
        <ns0:v>680 пФ</ns0:v>
      </ns0:c>
      <ns0:c r="S64" t="str" s="11">
        <ns0:f>L64</ns0:f>
        <ns0:v>Конденсатор 680 пФ ±10% 100 В X7R 0805</ns0:v>
      </ns0:c>
      <x:c xmlns:x="http://schemas.openxmlformats.org/spreadsheetml/2006/main" r="T64" t="str" s="11">
        <x:v>C:\Users\Nomatin\Documents\Altium\MY_LIB\MY_LIB\Datasheets\YAGEO_CC_X7R.pdf</x:v>
      </x:c>
      <x:c xmlns:x="http://schemas.openxmlformats.org/spreadsheetml/2006/main" r="U64" t="str" s="11">
        <x:v>Даташит — локальный</x:v>
      </x:c>
      <x:c xmlns:x="http://schemas.openxmlformats.org/spreadsheetml/2006/main" r="V64" t="str" s="11">
        <x:v>C:\Users\Nomatin\Documents\Altium\MY_LIB\MY_LIB\Datasheets\YAGEO_CC_X7R.pdf</x:v>
      </x:c>
      <x:c xmlns:x="http://schemas.openxmlformats.org/spreadsheetml/2006/main" r="W64" t="str" s="11">
        <x:v>Даташит — производитель</x:v>
      </x:c>
      <x:c xmlns:x="http://schemas.openxmlformats.org/spreadsheetml/2006/main" r="X64" t="str" s="11">
        <x:v>https://yageogroup.com/content/datasheet/asset/file/UPY-GPHC_X7R_6_3V-TO-250V</x:v>
      </x:c>
      <x:c xmlns:x="http://schemas.openxmlformats.org/spreadsheetml/2006/main" r="Y64" t="str" s="11">
        <x:v>C:\Users\Nomatin\Documents\Altium\MY_LIB\MY_LIB\Datasheets\YAGEO_CC_X7R.pdf</x:v>
      </x:c>
    </ns0:row>
    <ns0:row r="65" ht="30" customHeight="1">
      <ns0:c r="A65" t="str" s="14">
        <ns0:v>C0066</ns0:v>
      </ns0:c>
      <ns0:c r="B65" t="str" s="14">
        <ns0:v>Конденсатор</ns0:v>
      </ns0:c>
      <ns0:c r="C65" t="str" s="14">
        <ns0:v>820p</ns0:v>
      </ns0:c>
      <ns0:c r="D65" t="str" s="11">
        <ns0:f>SUBSTITUTE(SUBSTITUTE(SUBSTITUTE(SUBSTITUTE(C65,"p"," пФ"),"n"," нФ"),"u"," мкФ"),".",",")</ns0:f>
        <ns0:v>820 пФ</ns0:v>
      </ns0:c>
      <ns0:c r="E65" t="str" s="14">
        <ns0:v>±10%</ns0:v>
      </ns0:c>
      <ns0:c r="F65" s="14"/>
      <ns0:c r="G65" t="str" s="14">
        <ns0:v>100 В</ns0:v>
      </ns0:c>
      <ns0:c r="H65" t="str" s="14">
        <ns0:v>X7R</ns0:v>
      </ns0:c>
      <ns0:c r="I65" t="str" s="15">
        <ns0:v>0805</ns0:v>
      </ns0:c>
      <ns0:c r="J65" t="str" s="14">
        <ns0:v>YAGEO</ns0:v>
      </ns0:c>
      <ns0:c r="K65" t="str" s="14">
        <ns0:v>CC0805KRX7R0BB821</ns0:v>
      </ns0:c>
      <ns0:c r="L65" t="str" s="11">
        <ns0:f>B65&amp;" "&amp;D65&amp;" "&amp;E65&amp;" "&amp;G65&amp;" "&amp;H65&amp;" "&amp;I65</ns0:f>
        <ns0:v>Конденсатор 820 пФ ±10% 100 В X7R 0805</ns0:v>
      </ns0:c>
      <ns0:c r="M65" t="str" s="13">
        <ns0:v>C</ns0:v>
      </ns0:c>
      <ns0:c r="N65" t="str" s="13">
        <ns0:v>Symbols\MY_LIB_Capacitors.SchLib</ns0:v>
      </ns0:c>
      <ns0:c r="O65" t="str" s="13">
        <ns0:v>CAPC2012X135N</ns0:v>
      </ns0:c>
      <ns0:c r="P65" t="str" s="13">
        <ns0:v>Footprints\PBL - SMD Packages.PcbLib</ns0:v>
      </ns0:c>
      <ns0:c r="Q65" t="str" s="14">
        <ns0:v>YAGEO CC; список 20.10.2026</ns0:v>
      </ns0:c>
      <ns0:c r="R65" t="str" s="11">
        <ns0:f>D65</ns0:f>
        <ns0:v>820 пФ</ns0:v>
      </ns0:c>
      <ns0:c r="S65" t="str" s="11">
        <ns0:f>L65</ns0:f>
        <ns0:v>Конденсатор 820 пФ ±10% 100 В X7R 0805</ns0:v>
      </ns0:c>
      <x:c xmlns:x="http://schemas.openxmlformats.org/spreadsheetml/2006/main" r="T65" t="str" s="11">
        <x:v>C:\Users\Nomatin\Documents\Altium\MY_LIB\MY_LIB\Datasheets\YAGEO_CC_X7R.pdf</x:v>
      </x:c>
      <x:c xmlns:x="http://schemas.openxmlformats.org/spreadsheetml/2006/main" r="U65" t="str" s="11">
        <x:v>Даташит — локальный</x:v>
      </x:c>
      <x:c xmlns:x="http://schemas.openxmlformats.org/spreadsheetml/2006/main" r="V65" t="str" s="11">
        <x:v>C:\Users\Nomatin\Documents\Altium\MY_LIB\MY_LIB\Datasheets\YAGEO_CC_X7R.pdf</x:v>
      </x:c>
      <x:c xmlns:x="http://schemas.openxmlformats.org/spreadsheetml/2006/main" r="W65" t="str" s="11">
        <x:v>Даташит — производитель</x:v>
      </x:c>
      <x:c xmlns:x="http://schemas.openxmlformats.org/spreadsheetml/2006/main" r="X65" t="str" s="11">
        <x:v>https://yageogroup.com/content/datasheet/asset/file/UPY-GPHC_X7R_6_3V-TO-250V</x:v>
      </x:c>
      <x:c xmlns:x="http://schemas.openxmlformats.org/spreadsheetml/2006/main" r="Y65" t="str" s="11">
        <x:v>C:\Users\Nomatin\Documents\Altium\MY_LIB\MY_LIB\Datasheets\YAGEO_CC_X7R.pdf</x:v>
      </x:c>
    </ns0:row>
    <ns0:row r="66" ht="30" customHeight="1">
      <ns0:c r="A66" t="str" s="14">
        <ns0:v>C0067</ns0:v>
      </ns0:c>
      <ns0:c r="B66" t="str" s="14">
        <ns0:v>Конденсатор</ns0:v>
      </ns0:c>
      <ns0:c r="C66" t="str" s="14">
        <ns0:v>1n</ns0:v>
      </ns0:c>
      <ns0:c r="D66" t="str" s="11">
        <ns0:f>SUBSTITUTE(SUBSTITUTE(SUBSTITUTE(SUBSTITUTE(C66,"p"," пФ"),"n"," нФ"),"u"," мкФ"),".",",")</ns0:f>
        <ns0:v>1 нФ</ns0:v>
      </ns0:c>
      <ns0:c r="E66" t="str" s="14">
        <ns0:v>±10%</ns0:v>
      </ns0:c>
      <ns0:c r="F66" s="14"/>
      <ns0:c r="G66" t="str" s="14">
        <ns0:v>100 В</ns0:v>
      </ns0:c>
      <ns0:c r="H66" t="str" s="14">
        <ns0:v>X7R</ns0:v>
      </ns0:c>
      <ns0:c r="I66" t="str" s="15">
        <ns0:v>0805</ns0:v>
      </ns0:c>
      <ns0:c r="J66" t="str" s="14">
        <ns0:v>YAGEO</ns0:v>
      </ns0:c>
      <ns0:c r="K66" t="str" s="14">
        <ns0:v>CC0805KKX7R0BB102</ns0:v>
      </ns0:c>
      <ns0:c r="L66" t="str" s="11">
        <ns0:f>B66&amp;" "&amp;D66&amp;" "&amp;E66&amp;" "&amp;G66&amp;" "&amp;H66&amp;" "&amp;I66</ns0:f>
        <ns0:v>Конденсатор 1 нФ ±10% 100 В X7R 0805</ns0:v>
      </ns0:c>
      <ns0:c r="M66" t="str" s="13">
        <ns0:v>C</ns0:v>
      </ns0:c>
      <ns0:c r="N66" t="str" s="13">
        <ns0:v>Symbols\MY_LIB_Capacitors.SchLib</ns0:v>
      </ns0:c>
      <ns0:c r="O66" t="str" s="13">
        <ns0:v>CAPC2012X135N</ns0:v>
      </ns0:c>
      <ns0:c r="P66" t="str" s="13">
        <ns0:v>Footprints\PBL - SMD Packages.PcbLib</ns0:v>
      </ns0:c>
      <ns0:c r="Q66" t="str" s="14">
        <ns0:v>YAGEO CC; список 20.10.2026</ns0:v>
      </ns0:c>
      <ns0:c r="R66" t="str" s="11">
        <ns0:f>D66</ns0:f>
        <ns0:v>1 нФ</ns0:v>
      </ns0:c>
      <ns0:c r="S66" t="str" s="11">
        <ns0:f>L66</ns0:f>
        <ns0:v>Конденсатор 1 нФ ±10% 100 В X7R 0805</ns0:v>
      </ns0:c>
      <x:c xmlns:x="http://schemas.openxmlformats.org/spreadsheetml/2006/main" r="T66" t="str" s="11">
        <x:v>C:\Users\Nomatin\Documents\Altium\MY_LIB\MY_LIB\Datasheets\YAGEO_CC_X7R.pdf</x:v>
      </x:c>
      <x:c xmlns:x="http://schemas.openxmlformats.org/spreadsheetml/2006/main" r="U66" t="str" s="11">
        <x:v>Даташит — локальный</x:v>
      </x:c>
      <x:c xmlns:x="http://schemas.openxmlformats.org/spreadsheetml/2006/main" r="V66" t="str" s="11">
        <x:v>C:\Users\Nomatin\Documents\Altium\MY_LIB\MY_LIB\Datasheets\YAGEO_CC_X7R.pdf</x:v>
      </x:c>
      <x:c xmlns:x="http://schemas.openxmlformats.org/spreadsheetml/2006/main" r="W66" t="str" s="11">
        <x:v>Даташит — производитель</x:v>
      </x:c>
      <x:c xmlns:x="http://schemas.openxmlformats.org/spreadsheetml/2006/main" r="X66" t="str" s="11">
        <x:v>https://yageogroup.com/content/datasheet/asset/file/UPY-GPHC_X7R_6_3V-TO-250V</x:v>
      </x:c>
      <x:c xmlns:x="http://schemas.openxmlformats.org/spreadsheetml/2006/main" r="Y66" t="str" s="11">
        <x:v>C:\Users\Nomatin\Documents\Altium\MY_LIB\MY_LIB\Datasheets\YAGEO_CC_X7R.pdf</x:v>
      </x:c>
    </ns0:row>
    <ns0:row r="67" ht="30" customHeight="1">
      <ns0:c r="A67" t="str" s="14">
        <ns0:v>C0068</ns0:v>
      </ns0:c>
      <ns0:c r="B67" t="str" s="14">
        <ns0:v>Конденсатор</ns0:v>
      </ns0:c>
      <ns0:c r="C67" t="str" s="14">
        <ns0:v>1.2n</ns0:v>
      </ns0:c>
      <ns0:c r="D67" t="str" s="11">
        <ns0:f>SUBSTITUTE(SUBSTITUTE(SUBSTITUTE(SUBSTITUTE(C67,"p"," пФ"),"n"," нФ"),"u"," мкФ"),".",",")</ns0:f>
        <ns0:v>1,2 нФ</ns0:v>
      </ns0:c>
      <ns0:c r="E67" t="str" s="14">
        <ns0:v>±10%</ns0:v>
      </ns0:c>
      <ns0:c r="F67" s="14"/>
      <ns0:c r="G67" t="str" s="14">
        <ns0:v>100 В</ns0:v>
      </ns0:c>
      <ns0:c r="H67" t="str" s="14">
        <ns0:v>X7R</ns0:v>
      </ns0:c>
      <ns0:c r="I67" t="str" s="15">
        <ns0:v>0805</ns0:v>
      </ns0:c>
      <ns0:c r="J67" t="str" s="14">
        <ns0:v>YAGEO</ns0:v>
      </ns0:c>
      <ns0:c r="K67" t="str" s="14">
        <ns0:v>CC0805KRX7R0BB122</ns0:v>
      </ns0:c>
      <ns0:c r="L67" t="str" s="11">
        <ns0:f>B67&amp;" "&amp;D67&amp;" "&amp;E67&amp;" "&amp;G67&amp;" "&amp;H67&amp;" "&amp;I67</ns0:f>
        <ns0:v>Конденсатор 1,2 нФ ±10% 100 В X7R 0805</ns0:v>
      </ns0:c>
      <ns0:c r="M67" t="str" s="13">
        <ns0:v>C</ns0:v>
      </ns0:c>
      <ns0:c r="N67" t="str" s="13">
        <ns0:v>Symbols\MY_LIB_Capacitors.SchLib</ns0:v>
      </ns0:c>
      <ns0:c r="O67" t="str" s="13">
        <ns0:v>CAPC2012X135N</ns0:v>
      </ns0:c>
      <ns0:c r="P67" t="str" s="13">
        <ns0:v>Footprints\PBL - SMD Packages.PcbLib</ns0:v>
      </ns0:c>
      <ns0:c r="Q67" t="str" s="14">
        <ns0:v>YAGEO CC; список 20.10.2026</ns0:v>
      </ns0:c>
      <ns0:c r="R67" t="str" s="11">
        <ns0:f>D67</ns0:f>
        <ns0:v>1,2 нФ</ns0:v>
      </ns0:c>
      <ns0:c r="S67" t="str" s="11">
        <ns0:f>L67</ns0:f>
        <ns0:v>Конденсатор 1,2 нФ ±10% 100 В X7R 0805</ns0:v>
      </ns0:c>
      <x:c xmlns:x="http://schemas.openxmlformats.org/spreadsheetml/2006/main" r="T67" t="str" s="11">
        <x:v>C:\Users\Nomatin\Documents\Altium\MY_LIB\MY_LIB\Datasheets\YAGEO_CC_X7R.pdf</x:v>
      </x:c>
      <x:c xmlns:x="http://schemas.openxmlformats.org/spreadsheetml/2006/main" r="U67" t="str" s="11">
        <x:v>Даташит — локальный</x:v>
      </x:c>
      <x:c xmlns:x="http://schemas.openxmlformats.org/spreadsheetml/2006/main" r="V67" t="str" s="11">
        <x:v>C:\Users\Nomatin\Documents\Altium\MY_LIB\MY_LIB\Datasheets\YAGEO_CC_X7R.pdf</x:v>
      </x:c>
      <x:c xmlns:x="http://schemas.openxmlformats.org/spreadsheetml/2006/main" r="W67" t="str" s="11">
        <x:v>Даташит — производитель</x:v>
      </x:c>
      <x:c xmlns:x="http://schemas.openxmlformats.org/spreadsheetml/2006/main" r="X67" t="str" s="11">
        <x:v>https://yageogroup.com/content/datasheet/asset/file/UPY-GPHC_X7R_6_3V-TO-250V</x:v>
      </x:c>
      <x:c xmlns:x="http://schemas.openxmlformats.org/spreadsheetml/2006/main" r="Y67" t="str" s="11">
        <x:v>C:\Users\Nomatin\Documents\Altium\MY_LIB\MY_LIB\Datasheets\YAGEO_CC_X7R.pdf</x:v>
      </x:c>
    </ns0:row>
    <ns0:row r="68" ht="30" customHeight="1">
      <ns0:c r="A68" t="str" s="14">
        <ns0:v>C0069</ns0:v>
      </ns0:c>
      <ns0:c r="B68" t="str" s="14">
        <ns0:v>Конденсатор</ns0:v>
      </ns0:c>
      <ns0:c r="C68" t="str" s="14">
        <ns0:v>1.5n</ns0:v>
      </ns0:c>
      <ns0:c r="D68" t="str" s="11">
        <ns0:f>SUBSTITUTE(SUBSTITUTE(SUBSTITUTE(SUBSTITUTE(C68,"p"," пФ"),"n"," нФ"),"u"," мкФ"),".",",")</ns0:f>
        <ns0:v>1,5 нФ</ns0:v>
      </ns0:c>
      <ns0:c r="E68" t="str" s="14">
        <ns0:v>±10%</ns0:v>
      </ns0:c>
      <ns0:c r="F68" s="14"/>
      <ns0:c r="G68" t="str" s="14">
        <ns0:v>100 В</ns0:v>
      </ns0:c>
      <ns0:c r="H68" t="str" s="14">
        <ns0:v>X7R</ns0:v>
      </ns0:c>
      <ns0:c r="I68" t="str" s="15">
        <ns0:v>0805</ns0:v>
      </ns0:c>
      <ns0:c r="J68" t="str" s="14">
        <ns0:v>YAGEO</ns0:v>
      </ns0:c>
      <ns0:c r="K68" t="str" s="14">
        <ns0:v>CC0805KKX7R0BB152</ns0:v>
      </ns0:c>
      <ns0:c r="L68" t="str" s="11">
        <ns0:f>B68&amp;" "&amp;D68&amp;" "&amp;E68&amp;" "&amp;G68&amp;" "&amp;H68&amp;" "&amp;I68</ns0:f>
        <ns0:v>Конденсатор 1,5 нФ ±10% 100 В X7R 0805</ns0:v>
      </ns0:c>
      <ns0:c r="M68" t="str" s="13">
        <ns0:v>C</ns0:v>
      </ns0:c>
      <ns0:c r="N68" t="str" s="13">
        <ns0:v>Symbols\MY_LIB_Capacitors.SchLib</ns0:v>
      </ns0:c>
      <ns0:c r="O68" t="str" s="13">
        <ns0:v>CAPC2012X135N</ns0:v>
      </ns0:c>
      <ns0:c r="P68" t="str" s="13">
        <ns0:v>Footprints\PBL - SMD Packages.PcbLib</ns0:v>
      </ns0:c>
      <ns0:c r="Q68" t="str" s="14">
        <ns0:v>YAGEO CC; список 20.10.2026</ns0:v>
      </ns0:c>
      <ns0:c r="R68" t="str" s="11">
        <ns0:f>D68</ns0:f>
        <ns0:v>1,5 нФ</ns0:v>
      </ns0:c>
      <ns0:c r="S68" t="str" s="11">
        <ns0:f>L68</ns0:f>
        <ns0:v>Конденсатор 1,5 нФ ±10% 100 В X7R 0805</ns0:v>
      </ns0:c>
      <x:c xmlns:x="http://schemas.openxmlformats.org/spreadsheetml/2006/main" r="T68" t="str" s="11">
        <x:v>C:\Users\Nomatin\Documents\Altium\MY_LIB\MY_LIB\Datasheets\YAGEO_CC_X7R.pdf</x:v>
      </x:c>
      <x:c xmlns:x="http://schemas.openxmlformats.org/spreadsheetml/2006/main" r="U68" t="str" s="11">
        <x:v>Даташит — локальный</x:v>
      </x:c>
      <x:c xmlns:x="http://schemas.openxmlformats.org/spreadsheetml/2006/main" r="V68" t="str" s="11">
        <x:v>C:\Users\Nomatin\Documents\Altium\MY_LIB\MY_LIB\Datasheets\YAGEO_CC_X7R.pdf</x:v>
      </x:c>
      <x:c xmlns:x="http://schemas.openxmlformats.org/spreadsheetml/2006/main" r="W68" t="str" s="11">
        <x:v>Даташит — производитель</x:v>
      </x:c>
      <x:c xmlns:x="http://schemas.openxmlformats.org/spreadsheetml/2006/main" r="X68" t="str" s="11">
        <x:v>https://yageogroup.com/content/datasheet/asset/file/UPY-GPHC_X7R_6_3V-TO-250V</x:v>
      </x:c>
      <x:c xmlns:x="http://schemas.openxmlformats.org/spreadsheetml/2006/main" r="Y68" t="str" s="11">
        <x:v>C:\Users\Nomatin\Documents\Altium\MY_LIB\MY_LIB\Datasheets\YAGEO_CC_X7R.pdf</x:v>
      </x:c>
    </ns0:row>
    <ns0:row r="69" ht="30" customHeight="1">
      <ns0:c r="A69" t="str" s="14">
        <ns0:v>C0070</ns0:v>
      </ns0:c>
      <ns0:c r="B69" t="str" s="14">
        <ns0:v>Конденсатор</ns0:v>
      </ns0:c>
      <ns0:c r="C69" t="str" s="14">
        <ns0:v>1.8n</ns0:v>
      </ns0:c>
      <ns0:c r="D69" t="str" s="11">
        <ns0:f>SUBSTITUTE(SUBSTITUTE(SUBSTITUTE(SUBSTITUTE(C69,"p"," пФ"),"n"," нФ"),"u"," мкФ"),".",",")</ns0:f>
        <ns0:v>1,8 нФ</ns0:v>
      </ns0:c>
      <ns0:c r="E69" t="str" s="14">
        <ns0:v>±10%</ns0:v>
      </ns0:c>
      <ns0:c r="F69" s="14"/>
      <ns0:c r="G69" t="str" s="14">
        <ns0:v>100 В</ns0:v>
      </ns0:c>
      <ns0:c r="H69" t="str" s="14">
        <ns0:v>X7R</ns0:v>
      </ns0:c>
      <ns0:c r="I69" t="str" s="15">
        <ns0:v>0805</ns0:v>
      </ns0:c>
      <ns0:c r="J69" t="str" s="14">
        <ns0:v>YAGEO</ns0:v>
      </ns0:c>
      <ns0:c r="K69" t="str" s="14">
        <ns0:v>CC0805KRX7R0BB182</ns0:v>
      </ns0:c>
      <ns0:c r="L69" t="str" s="11">
        <ns0:f>B69&amp;" "&amp;D69&amp;" "&amp;E69&amp;" "&amp;G69&amp;" "&amp;H69&amp;" "&amp;I69</ns0:f>
        <ns0:v>Конденсатор 1,8 нФ ±10% 100 В X7R 0805</ns0:v>
      </ns0:c>
      <ns0:c r="M69" t="str" s="13">
        <ns0:v>C</ns0:v>
      </ns0:c>
      <ns0:c r="N69" t="str" s="13">
        <ns0:v>Symbols\MY_LIB_Capacitors.SchLib</ns0:v>
      </ns0:c>
      <ns0:c r="O69" t="str" s="13">
        <ns0:v>CAPC2012X135N</ns0:v>
      </ns0:c>
      <ns0:c r="P69" t="str" s="13">
        <ns0:v>Footprints\PBL - SMD Packages.PcbLib</ns0:v>
      </ns0:c>
      <ns0:c r="Q69" t="str" s="14">
        <ns0:v>YAGEO CC; список 20.10.2026</ns0:v>
      </ns0:c>
      <ns0:c r="R69" t="str" s="11">
        <ns0:f>D69</ns0:f>
        <ns0:v>1,8 нФ</ns0:v>
      </ns0:c>
      <ns0:c r="S69" t="str" s="11">
        <ns0:f>L69</ns0:f>
        <ns0:v>Конденсатор 1,8 нФ ±10% 100 В X7R 0805</ns0:v>
      </ns0:c>
      <x:c xmlns:x="http://schemas.openxmlformats.org/spreadsheetml/2006/main" r="T69" t="str" s="11">
        <x:v>C:\Users\Nomatin\Documents\Altium\MY_LIB\MY_LIB\Datasheets\YAGEO_CC_X7R.pdf</x:v>
      </x:c>
      <x:c xmlns:x="http://schemas.openxmlformats.org/spreadsheetml/2006/main" r="U69" t="str" s="11">
        <x:v>Даташит — локальный</x:v>
      </x:c>
      <x:c xmlns:x="http://schemas.openxmlformats.org/spreadsheetml/2006/main" r="V69" t="str" s="11">
        <x:v>C:\Users\Nomatin\Documents\Altium\MY_LIB\MY_LIB\Datasheets\YAGEO_CC_X7R.pdf</x:v>
      </x:c>
      <x:c xmlns:x="http://schemas.openxmlformats.org/spreadsheetml/2006/main" r="W69" t="str" s="11">
        <x:v>Даташит — производитель</x:v>
      </x:c>
      <x:c xmlns:x="http://schemas.openxmlformats.org/spreadsheetml/2006/main" r="X69" t="str" s="11">
        <x:v>https://yageogroup.com/content/datasheet/asset/file/UPY-GPHC_X7R_6_3V-TO-250V</x:v>
      </x:c>
      <x:c xmlns:x="http://schemas.openxmlformats.org/spreadsheetml/2006/main" r="Y69" t="str" s="11">
        <x:v>C:\Users\Nomatin\Documents\Altium\MY_LIB\MY_LIB\Datasheets\YAGEO_CC_X7R.pdf</x:v>
      </x:c>
    </ns0:row>
    <ns0:row r="70" ht="30" customHeight="1">
      <ns0:c r="A70" t="str" s="14">
        <ns0:v>C0071</ns0:v>
      </ns0:c>
      <ns0:c r="B70" t="str" s="14">
        <ns0:v>Конденсатор</ns0:v>
      </ns0:c>
      <ns0:c r="C70" t="str" s="14">
        <ns0:v>2n</ns0:v>
      </ns0:c>
      <ns0:c r="D70" t="str" s="11">
        <ns0:f>SUBSTITUTE(SUBSTITUTE(SUBSTITUTE(SUBSTITUTE(C70,"p"," пФ"),"n"," нФ"),"u"," мкФ"),".",",")</ns0:f>
        <ns0:v>2 нФ</ns0:v>
      </ns0:c>
      <ns0:c r="E70" t="str" s="14">
        <ns0:v>±10%</ns0:v>
      </ns0:c>
      <ns0:c r="F70" s="14"/>
      <ns0:c r="G70" t="str" s="14">
        <ns0:v>50 В</ns0:v>
      </ns0:c>
      <ns0:c r="H70" t="str" s="14">
        <ns0:v>X7R</ns0:v>
      </ns0:c>
      <ns0:c r="I70" t="str" s="15">
        <ns0:v>0805</ns0:v>
      </ns0:c>
      <ns0:c r="J70" t="str" s="14">
        <ns0:v>YAGEO</ns0:v>
      </ns0:c>
      <ns0:c r="K70" t="str" s="14">
        <ns0:v>CC0805KRX7R9BB202</ns0:v>
      </ns0:c>
      <ns0:c r="L70" t="str" s="11">
        <ns0:f>B70&amp;" "&amp;D70&amp;" "&amp;E70&amp;" "&amp;G70&amp;" "&amp;H70&amp;" "&amp;I70</ns0:f>
        <ns0:v>Конденсатор 2 нФ ±10% 50 В X7R 0805</ns0:v>
      </ns0:c>
      <ns0:c r="M70" t="str" s="13">
        <ns0:v>C</ns0:v>
      </ns0:c>
      <ns0:c r="N70" t="str" s="13">
        <ns0:v>Symbols\MY_LIB_Capacitors.SchLib</ns0:v>
      </ns0:c>
      <ns0:c r="O70" t="str" s="13">
        <ns0:v>CAPC2012X135N</ns0:v>
      </ns0:c>
      <ns0:c r="P70" t="str" s="13">
        <ns0:v>Footprints\PBL - SMD Packages.PcbLib</ns0:v>
      </ns0:c>
      <ns0:c r="Q70" t="str" s="14">
        <ns0:v>YAGEO CC; список 20.10.2026</ns0:v>
      </ns0:c>
      <ns0:c r="R70" t="str" s="11">
        <ns0:f>D70</ns0:f>
        <ns0:v>2 нФ</ns0:v>
      </ns0:c>
      <ns0:c r="S70" t="str" s="11">
        <ns0:f>L70</ns0:f>
        <ns0:v>Конденсатор 2 нФ ±10% 50 В X7R 0805</ns0:v>
      </ns0:c>
      <x:c xmlns:x="http://schemas.openxmlformats.org/spreadsheetml/2006/main" r="T70" t="str" s="11">
        <x:v>C:\Users\Nomatin\Documents\Altium\MY_LIB\MY_LIB\Datasheets\YAGEO_CC_X7R.pdf</x:v>
      </x:c>
      <x:c xmlns:x="http://schemas.openxmlformats.org/spreadsheetml/2006/main" r="U70" t="str" s="11">
        <x:v>Даташит — локальный</x:v>
      </x:c>
      <x:c xmlns:x="http://schemas.openxmlformats.org/spreadsheetml/2006/main" r="V70" t="str" s="11">
        <x:v>C:\Users\Nomatin\Documents\Altium\MY_LIB\MY_LIB\Datasheets\YAGEO_CC_X7R.pdf</x:v>
      </x:c>
      <x:c xmlns:x="http://schemas.openxmlformats.org/spreadsheetml/2006/main" r="W70" t="str" s="11">
        <x:v>Даташит — производитель</x:v>
      </x:c>
      <x:c xmlns:x="http://schemas.openxmlformats.org/spreadsheetml/2006/main" r="X70" t="str" s="11">
        <x:v>https://yageogroup.com/content/datasheet/asset/file/UPY-GPHC_X7R_6_3V-TO-250V</x:v>
      </x:c>
      <x:c xmlns:x="http://schemas.openxmlformats.org/spreadsheetml/2006/main" r="Y70" t="str" s="11">
        <x:v>C:\Users\Nomatin\Documents\Altium\MY_LIB\MY_LIB\Datasheets\YAGEO_CC_X7R.pdf</x:v>
      </x:c>
    </ns0:row>
    <ns0:row r="71" ht="30" customHeight="1">
      <ns0:c r="A71" t="str" s="14">
        <ns0:v>C0072</ns0:v>
      </ns0:c>
      <ns0:c r="B71" t="str" s="14">
        <ns0:v>Конденсатор</ns0:v>
      </ns0:c>
      <ns0:c r="C71" t="str" s="14">
        <ns0:v>2.2n</ns0:v>
      </ns0:c>
      <ns0:c r="D71" t="str" s="11">
        <ns0:f>SUBSTITUTE(SUBSTITUTE(SUBSTITUTE(SUBSTITUTE(C71,"p"," пФ"),"n"," нФ"),"u"," мкФ"),".",",")</ns0:f>
        <ns0:v>2,2 нФ</ns0:v>
      </ns0:c>
      <ns0:c r="E71" t="str" s="14">
        <ns0:v>±10%</ns0:v>
      </ns0:c>
      <ns0:c r="F71" s="14"/>
      <ns0:c r="G71" t="str" s="14">
        <ns0:v>100 В</ns0:v>
      </ns0:c>
      <ns0:c r="H71" t="str" s="14">
        <ns0:v>X7R</ns0:v>
      </ns0:c>
      <ns0:c r="I71" t="str" s="15">
        <ns0:v>0805</ns0:v>
      </ns0:c>
      <ns0:c r="J71" t="str" s="14">
        <ns0:v>YAGEO</ns0:v>
      </ns0:c>
      <ns0:c r="K71" t="str" s="14">
        <ns0:v>CC0805KKX7R0BB222</ns0:v>
      </ns0:c>
      <ns0:c r="L71" t="str" s="11">
        <ns0:f>B71&amp;" "&amp;D71&amp;" "&amp;E71&amp;" "&amp;G71&amp;" "&amp;H71&amp;" "&amp;I71</ns0:f>
        <ns0:v>Конденсатор 2,2 нФ ±10% 100 В X7R 0805</ns0:v>
      </ns0:c>
      <ns0:c r="M71" t="str" s="13">
        <ns0:v>C</ns0:v>
      </ns0:c>
      <ns0:c r="N71" t="str" s="13">
        <ns0:v>Symbols\MY_LIB_Capacitors.SchLib</ns0:v>
      </ns0:c>
      <ns0:c r="O71" t="str" s="13">
        <ns0:v>CAPC2012X135N</ns0:v>
      </ns0:c>
      <ns0:c r="P71" t="str" s="13">
        <ns0:v>Footprints\PBL - SMD Packages.PcbLib</ns0:v>
      </ns0:c>
      <ns0:c r="Q71" t="str" s="14">
        <ns0:v>YAGEO CC; список 20.10.2026</ns0:v>
      </ns0:c>
      <ns0:c r="R71" t="str" s="11">
        <ns0:f>D71</ns0:f>
        <ns0:v>2,2 нФ</ns0:v>
      </ns0:c>
      <ns0:c r="S71" t="str" s="11">
        <ns0:f>L71</ns0:f>
        <ns0:v>Конденсатор 2,2 нФ ±10% 100 В X7R 0805</ns0:v>
      </ns0:c>
      <x:c xmlns:x="http://schemas.openxmlformats.org/spreadsheetml/2006/main" r="T71" t="str" s="11">
        <x:v>C:\Users\Nomatin\Documents\Altium\MY_LIB\MY_LIB\Datasheets\YAGEO_CC_X7R.pdf</x:v>
      </x:c>
      <x:c xmlns:x="http://schemas.openxmlformats.org/spreadsheetml/2006/main" r="U71" t="str" s="11">
        <x:v>Даташит — локальный</x:v>
      </x:c>
      <x:c xmlns:x="http://schemas.openxmlformats.org/spreadsheetml/2006/main" r="V71" t="str" s="11">
        <x:v>C:\Users\Nomatin\Documents\Altium\MY_LIB\MY_LIB\Datasheets\YAGEO_CC_X7R.pdf</x:v>
      </x:c>
      <x:c xmlns:x="http://schemas.openxmlformats.org/spreadsheetml/2006/main" r="W71" t="str" s="11">
        <x:v>Даташит — производитель</x:v>
      </x:c>
      <x:c xmlns:x="http://schemas.openxmlformats.org/spreadsheetml/2006/main" r="X71" t="str" s="11">
        <x:v>https://yageogroup.com/content/datasheet/asset/file/UPY-GPHC_X7R_6_3V-TO-250V</x:v>
      </x:c>
      <x:c xmlns:x="http://schemas.openxmlformats.org/spreadsheetml/2006/main" r="Y71" t="str" s="11">
        <x:v>C:\Users\Nomatin\Documents\Altium\MY_LIB\MY_LIB\Datasheets\YAGEO_CC_X7R.pdf</x:v>
      </x:c>
    </ns0:row>
    <ns0:row r="72" ht="30" customHeight="1">
      <ns0:c r="A72" t="str" s="14">
        <ns0:v>C0073</ns0:v>
      </ns0:c>
      <ns0:c r="B72" t="str" s="14">
        <ns0:v>Конденсатор</ns0:v>
      </ns0:c>
      <ns0:c r="C72" t="str" s="14">
        <ns0:v>2.7n</ns0:v>
      </ns0:c>
      <ns0:c r="D72" t="str" s="11">
        <ns0:f>SUBSTITUTE(SUBSTITUTE(SUBSTITUTE(SUBSTITUTE(C72,"p"," пФ"),"n"," нФ"),"u"," мкФ"),".",",")</ns0:f>
        <ns0:v>2,7 нФ</ns0:v>
      </ns0:c>
      <ns0:c r="E72" t="str" s="14">
        <ns0:v>±10%</ns0:v>
      </ns0:c>
      <ns0:c r="F72" s="14"/>
      <ns0:c r="G72" t="str" s="14">
        <ns0:v>100 В</ns0:v>
      </ns0:c>
      <ns0:c r="H72" t="str" s="14">
        <ns0:v>X7R</ns0:v>
      </ns0:c>
      <ns0:c r="I72" t="str" s="15">
        <ns0:v>0805</ns0:v>
      </ns0:c>
      <ns0:c r="J72" t="str" s="14">
        <ns0:v>YAGEO</ns0:v>
      </ns0:c>
      <ns0:c r="K72" t="str" s="14">
        <ns0:v>CC0805KRX7R0BB272</ns0:v>
      </ns0:c>
      <ns0:c r="L72" t="str" s="11">
        <ns0:f>B72&amp;" "&amp;D72&amp;" "&amp;E72&amp;" "&amp;G72&amp;" "&amp;H72&amp;" "&amp;I72</ns0:f>
        <ns0:v>Конденсатор 2,7 нФ ±10% 100 В X7R 0805</ns0:v>
      </ns0:c>
      <ns0:c r="M72" t="str" s="13">
        <ns0:v>C</ns0:v>
      </ns0:c>
      <ns0:c r="N72" t="str" s="13">
        <ns0:v>Symbols\MY_LIB_Capacitors.SchLib</ns0:v>
      </ns0:c>
      <ns0:c r="O72" t="str" s="13">
        <ns0:v>CAPC2012X135N</ns0:v>
      </ns0:c>
      <ns0:c r="P72" t="str" s="13">
        <ns0:v>Footprints\PBL - SMD Packages.PcbLib</ns0:v>
      </ns0:c>
      <ns0:c r="Q72" t="str" s="14">
        <ns0:v>YAGEO CC; список 20.10.2026</ns0:v>
      </ns0:c>
      <ns0:c r="R72" t="str" s="11">
        <ns0:f>D72</ns0:f>
        <ns0:v>2,7 нФ</ns0:v>
      </ns0:c>
      <ns0:c r="S72" t="str" s="11">
        <ns0:f>L72</ns0:f>
        <ns0:v>Конденсатор 2,7 нФ ±10% 100 В X7R 0805</ns0:v>
      </ns0:c>
      <x:c xmlns:x="http://schemas.openxmlformats.org/spreadsheetml/2006/main" r="T72" t="str" s="11">
        <x:v>C:\Users\Nomatin\Documents\Altium\MY_LIB\MY_LIB\Datasheets\YAGEO_CC_X7R.pdf</x:v>
      </x:c>
      <x:c xmlns:x="http://schemas.openxmlformats.org/spreadsheetml/2006/main" r="U72" t="str" s="11">
        <x:v>Даташит — локальный</x:v>
      </x:c>
      <x:c xmlns:x="http://schemas.openxmlformats.org/spreadsheetml/2006/main" r="V72" t="str" s="11">
        <x:v>C:\Users\Nomatin\Documents\Altium\MY_LIB\MY_LIB\Datasheets\YAGEO_CC_X7R.pdf</x:v>
      </x:c>
      <x:c xmlns:x="http://schemas.openxmlformats.org/spreadsheetml/2006/main" r="W72" t="str" s="11">
        <x:v>Даташит — производитель</x:v>
      </x:c>
      <x:c xmlns:x="http://schemas.openxmlformats.org/spreadsheetml/2006/main" r="X72" t="str" s="11">
        <x:v>https://yageogroup.com/content/datasheet/asset/file/UPY-GPHC_X7R_6_3V-TO-250V</x:v>
      </x:c>
      <x:c xmlns:x="http://schemas.openxmlformats.org/spreadsheetml/2006/main" r="Y72" t="str" s="11">
        <x:v>C:\Users\Nomatin\Documents\Altium\MY_LIB\MY_LIB\Datasheets\YAGEO_CC_X7R.pdf</x:v>
      </x:c>
    </ns0:row>
    <ns0:row r="73" ht="30" customHeight="1">
      <ns0:c r="A73" t="str" s="14">
        <ns0:v>C0074</ns0:v>
      </ns0:c>
      <ns0:c r="B73" t="str" s="14">
        <ns0:v>Конденсатор</ns0:v>
      </ns0:c>
      <ns0:c r="C73" t="str" s="14">
        <ns0:v>3.3n</ns0:v>
      </ns0:c>
      <ns0:c r="D73" t="str" s="11">
        <ns0:f>SUBSTITUTE(SUBSTITUTE(SUBSTITUTE(SUBSTITUTE(C73,"p"," пФ"),"n"," нФ"),"u"," мкФ"),".",",")</ns0:f>
        <ns0:v>3,3 нФ</ns0:v>
      </ns0:c>
      <ns0:c r="E73" t="str" s="14">
        <ns0:v>±10%</ns0:v>
      </ns0:c>
      <ns0:c r="F73" s="14"/>
      <ns0:c r="G73" t="str" s="14">
        <ns0:v>100 В</ns0:v>
      </ns0:c>
      <ns0:c r="H73" t="str" s="14">
        <ns0:v>X7R</ns0:v>
      </ns0:c>
      <ns0:c r="I73" t="str" s="15">
        <ns0:v>0805</ns0:v>
      </ns0:c>
      <ns0:c r="J73" t="str" s="14">
        <ns0:v>YAGEO</ns0:v>
      </ns0:c>
      <ns0:c r="K73" t="str" s="14">
        <ns0:v>CC0805KRX7R0BB332</ns0:v>
      </ns0:c>
      <ns0:c r="L73" t="str" s="11">
        <ns0:f>B73&amp;" "&amp;D73&amp;" "&amp;E73&amp;" "&amp;G73&amp;" "&amp;H73&amp;" "&amp;I73</ns0:f>
        <ns0:v>Конденсатор 3,3 нФ ±10% 100 В X7R 0805</ns0:v>
      </ns0:c>
      <ns0:c r="M73" t="str" s="13">
        <ns0:v>C</ns0:v>
      </ns0:c>
      <ns0:c r="N73" t="str" s="13">
        <ns0:v>Symbols\MY_LIB_Capacitors.SchLib</ns0:v>
      </ns0:c>
      <ns0:c r="O73" t="str" s="13">
        <ns0:v>CAPC2012X135N</ns0:v>
      </ns0:c>
      <ns0:c r="P73" t="str" s="13">
        <ns0:v>Footprints\PBL - SMD Packages.PcbLib</ns0:v>
      </ns0:c>
      <ns0:c r="Q73" t="str" s="14">
        <ns0:v>YAGEO CC; список 20.10.2026</ns0:v>
      </ns0:c>
      <ns0:c r="R73" t="str" s="11">
        <ns0:f>D73</ns0:f>
        <ns0:v>3,3 нФ</ns0:v>
      </ns0:c>
      <ns0:c r="S73" t="str" s="11">
        <ns0:f>L73</ns0:f>
        <ns0:v>Конденсатор 3,3 нФ ±10% 100 В X7R 0805</ns0:v>
      </ns0:c>
      <x:c xmlns:x="http://schemas.openxmlformats.org/spreadsheetml/2006/main" r="T73" t="str" s="11">
        <x:v>C:\Users\Nomatin\Documents\Altium\MY_LIB\MY_LIB\Datasheets\YAGEO_CC_X7R.pdf</x:v>
      </x:c>
      <x:c xmlns:x="http://schemas.openxmlformats.org/spreadsheetml/2006/main" r="U73" t="str" s="11">
        <x:v>Даташит — локальный</x:v>
      </x:c>
      <x:c xmlns:x="http://schemas.openxmlformats.org/spreadsheetml/2006/main" r="V73" t="str" s="11">
        <x:v>C:\Users\Nomatin\Documents\Altium\MY_LIB\MY_LIB\Datasheets\YAGEO_CC_X7R.pdf</x:v>
      </x:c>
      <x:c xmlns:x="http://schemas.openxmlformats.org/spreadsheetml/2006/main" r="W73" t="str" s="11">
        <x:v>Даташит — производитель</x:v>
      </x:c>
      <x:c xmlns:x="http://schemas.openxmlformats.org/spreadsheetml/2006/main" r="X73" t="str" s="11">
        <x:v>https://yageogroup.com/content/datasheet/asset/file/UPY-GPHC_X7R_6_3V-TO-250V</x:v>
      </x:c>
      <x:c xmlns:x="http://schemas.openxmlformats.org/spreadsheetml/2006/main" r="Y73" t="str" s="11">
        <x:v>C:\Users\Nomatin\Documents\Altium\MY_LIB\MY_LIB\Datasheets\YAGEO_CC_X7R.pdf</x:v>
      </x:c>
    </ns0:row>
    <ns0:row r="74" ht="30" customHeight="1">
      <ns0:c r="A74" t="str" s="14">
        <ns0:v>C0075</ns0:v>
      </ns0:c>
      <ns0:c r="B74" t="str" s="14">
        <ns0:v>Конденсатор</ns0:v>
      </ns0:c>
      <ns0:c r="C74" t="str" s="14">
        <ns0:v>3.9n</ns0:v>
      </ns0:c>
      <ns0:c r="D74" t="str" s="11">
        <ns0:f>SUBSTITUTE(SUBSTITUTE(SUBSTITUTE(SUBSTITUTE(C74,"p"," пФ"),"n"," нФ"),"u"," мкФ"),".",",")</ns0:f>
        <ns0:v>3,9 нФ</ns0:v>
      </ns0:c>
      <ns0:c r="E74" t="str" s="14">
        <ns0:v>±10%</ns0:v>
      </ns0:c>
      <ns0:c r="F74" s="14"/>
      <ns0:c r="G74" t="str" s="14">
        <ns0:v>100 В</ns0:v>
      </ns0:c>
      <ns0:c r="H74" t="str" s="14">
        <ns0:v>X7R</ns0:v>
      </ns0:c>
      <ns0:c r="I74" t="str" s="15">
        <ns0:v>0805</ns0:v>
      </ns0:c>
      <ns0:c r="J74" t="str" s="14">
        <ns0:v>YAGEO</ns0:v>
      </ns0:c>
      <ns0:c r="K74" t="str" s="14">
        <ns0:v>CC0805KRX7R0BB392</ns0:v>
      </ns0:c>
      <ns0:c r="L74" t="str" s="11">
        <ns0:f>B74&amp;" "&amp;D74&amp;" "&amp;E74&amp;" "&amp;G74&amp;" "&amp;H74&amp;" "&amp;I74</ns0:f>
        <ns0:v>Конденсатор 3,9 нФ ±10% 100 В X7R 0805</ns0:v>
      </ns0:c>
      <ns0:c r="M74" t="str" s="13">
        <ns0:v>C</ns0:v>
      </ns0:c>
      <ns0:c r="N74" t="str" s="13">
        <ns0:v>Symbols\MY_LIB_Capacitors.SchLib</ns0:v>
      </ns0:c>
      <ns0:c r="O74" t="str" s="13">
        <ns0:v>CAPC2012X135N</ns0:v>
      </ns0:c>
      <ns0:c r="P74" t="str" s="13">
        <ns0:v>Footprints\PBL - SMD Packages.PcbLib</ns0:v>
      </ns0:c>
      <ns0:c r="Q74" t="str" s="14">
        <ns0:v>YAGEO CC; список 20.10.2026</ns0:v>
      </ns0:c>
      <ns0:c r="R74" t="str" s="11">
        <ns0:f>D74</ns0:f>
        <ns0:v>3,9 нФ</ns0:v>
      </ns0:c>
      <ns0:c r="S74" t="str" s="11">
        <ns0:f>L74</ns0:f>
        <ns0:v>Конденсатор 3,9 нФ ±10% 100 В X7R 0805</ns0:v>
      </ns0:c>
      <x:c xmlns:x="http://schemas.openxmlformats.org/spreadsheetml/2006/main" r="T74" t="str" s="11">
        <x:v>C:\Users\Nomatin\Documents\Altium\MY_LIB\MY_LIB\Datasheets\YAGEO_CC_X7R.pdf</x:v>
      </x:c>
      <x:c xmlns:x="http://schemas.openxmlformats.org/spreadsheetml/2006/main" r="U74" t="str" s="11">
        <x:v>Даташит — локальный</x:v>
      </x:c>
      <x:c xmlns:x="http://schemas.openxmlformats.org/spreadsheetml/2006/main" r="V74" t="str" s="11">
        <x:v>C:\Users\Nomatin\Documents\Altium\MY_LIB\MY_LIB\Datasheets\YAGEO_CC_X7R.pdf</x:v>
      </x:c>
      <x:c xmlns:x="http://schemas.openxmlformats.org/spreadsheetml/2006/main" r="W74" t="str" s="11">
        <x:v>Даташит — производитель</x:v>
      </x:c>
      <x:c xmlns:x="http://schemas.openxmlformats.org/spreadsheetml/2006/main" r="X74" t="str" s="11">
        <x:v>https://yageogroup.com/content/datasheet/asset/file/UPY-GPHC_X7R_6_3V-TO-250V</x:v>
      </x:c>
      <x:c xmlns:x="http://schemas.openxmlformats.org/spreadsheetml/2006/main" r="Y74" t="str" s="11">
        <x:v>C:\Users\Nomatin\Documents\Altium\MY_LIB\MY_LIB\Datasheets\YAGEO_CC_X7R.pdf</x:v>
      </x:c>
    </ns0:row>
    <ns0:row r="75" ht="30" customHeight="1">
      <ns0:c r="A75" t="str" s="14">
        <ns0:v>C0076</ns0:v>
      </ns0:c>
      <ns0:c r="B75" t="str" s="14">
        <ns0:v>Конденсатор</ns0:v>
      </ns0:c>
      <ns0:c r="C75" t="str" s="14">
        <ns0:v>4.7n</ns0:v>
      </ns0:c>
      <ns0:c r="D75" t="str" s="11">
        <ns0:f>SUBSTITUTE(SUBSTITUTE(SUBSTITUTE(SUBSTITUTE(C75,"p"," пФ"),"n"," нФ"),"u"," мкФ"),".",",")</ns0:f>
        <ns0:v>4,7 нФ</ns0:v>
      </ns0:c>
      <ns0:c r="E75" t="str" s="14">
        <ns0:v>±10%</ns0:v>
      </ns0:c>
      <ns0:c r="F75" s="14"/>
      <ns0:c r="G75" t="str" s="14">
        <ns0:v>100 В</ns0:v>
      </ns0:c>
      <ns0:c r="H75" t="str" s="14">
        <ns0:v>X7R</ns0:v>
      </ns0:c>
      <ns0:c r="I75" t="str" s="15">
        <ns0:v>0805</ns0:v>
      </ns0:c>
      <ns0:c r="J75" t="str" s="14">
        <ns0:v>YAGEO</ns0:v>
      </ns0:c>
      <ns0:c r="K75" t="str" s="14">
        <ns0:v>CC0805KKX7R0BB472</ns0:v>
      </ns0:c>
      <ns0:c r="L75" t="str" s="11">
        <ns0:f>B75&amp;" "&amp;D75&amp;" "&amp;E75&amp;" "&amp;G75&amp;" "&amp;H75&amp;" "&amp;I75</ns0:f>
        <ns0:v>Конденсатор 4,7 нФ ±10% 100 В X7R 0805</ns0:v>
      </ns0:c>
      <ns0:c r="M75" t="str" s="13">
        <ns0:v>C</ns0:v>
      </ns0:c>
      <ns0:c r="N75" t="str" s="13">
        <ns0:v>Symbols\MY_LIB_Capacitors.SchLib</ns0:v>
      </ns0:c>
      <ns0:c r="O75" t="str" s="13">
        <ns0:v>CAPC2012X135N</ns0:v>
      </ns0:c>
      <ns0:c r="P75" t="str" s="13">
        <ns0:v>Footprints\PBL - SMD Packages.PcbLib</ns0:v>
      </ns0:c>
      <ns0:c r="Q75" t="str" s="14">
        <ns0:v>YAGEO CC; список 20.10.2026</ns0:v>
      </ns0:c>
      <ns0:c r="R75" t="str" s="11">
        <ns0:f>D75</ns0:f>
        <ns0:v>4,7 нФ</ns0:v>
      </ns0:c>
      <ns0:c r="S75" t="str" s="11">
        <ns0:f>L75</ns0:f>
        <ns0:v>Конденсатор 4,7 нФ ±10% 100 В X7R 0805</ns0:v>
      </ns0:c>
      <x:c xmlns:x="http://schemas.openxmlformats.org/spreadsheetml/2006/main" r="T75" t="str" s="11">
        <x:v>C:\Users\Nomatin\Documents\Altium\MY_LIB\MY_LIB\Datasheets\YAGEO_CC_X7R.pdf</x:v>
      </x:c>
      <x:c xmlns:x="http://schemas.openxmlformats.org/spreadsheetml/2006/main" r="U75" t="str" s="11">
        <x:v>Даташит — локальный</x:v>
      </x:c>
      <x:c xmlns:x="http://schemas.openxmlformats.org/spreadsheetml/2006/main" r="V75" t="str" s="11">
        <x:v>C:\Users\Nomatin\Documents\Altium\MY_LIB\MY_LIB\Datasheets\YAGEO_CC_X7R.pdf</x:v>
      </x:c>
      <x:c xmlns:x="http://schemas.openxmlformats.org/spreadsheetml/2006/main" r="W75" t="str" s="11">
        <x:v>Даташит — производитель</x:v>
      </x:c>
      <x:c xmlns:x="http://schemas.openxmlformats.org/spreadsheetml/2006/main" r="X75" t="str" s="11">
        <x:v>https://yageogroup.com/content/datasheet/asset/file/UPY-GPHC_X7R_6_3V-TO-250V</x:v>
      </x:c>
      <x:c xmlns:x="http://schemas.openxmlformats.org/spreadsheetml/2006/main" r="Y75" t="str" s="11">
        <x:v>C:\Users\Nomatin\Documents\Altium\MY_LIB\MY_LIB\Datasheets\YAGEO_CC_X7R.pdf</x:v>
      </x:c>
    </ns0:row>
    <ns0:row r="76" ht="30" customHeight="1">
      <ns0:c r="A76" t="str" s="14">
        <ns0:v>C0077</ns0:v>
      </ns0:c>
      <ns0:c r="B76" t="str" s="14">
        <ns0:v>Конденсатор</ns0:v>
      </ns0:c>
      <ns0:c r="C76" t="str" s="14">
        <ns0:v>5.1n</ns0:v>
      </ns0:c>
      <ns0:c r="D76" t="str" s="11">
        <ns0:f>SUBSTITUTE(SUBSTITUTE(SUBSTITUTE(SUBSTITUTE(C76,"p"," пФ"),"n"," нФ"),"u"," мкФ"),".",",")</ns0:f>
        <ns0:v>5,1 нФ</ns0:v>
      </ns0:c>
      <ns0:c r="E76" t="str" s="14">
        <ns0:v>±10%</ns0:v>
      </ns0:c>
      <ns0:c r="F76" s="14"/>
      <ns0:c r="G76" t="str" s="14">
        <ns0:v>50 В</ns0:v>
      </ns0:c>
      <ns0:c r="H76" t="str" s="14">
        <ns0:v>X7R</ns0:v>
      </ns0:c>
      <ns0:c r="I76" t="str" s="15">
        <ns0:v>0805</ns0:v>
      </ns0:c>
      <ns0:c r="J76" t="str" s="14">
        <ns0:v>YAGEO</ns0:v>
      </ns0:c>
      <ns0:c r="K76" t="str" s="14">
        <ns0:v>CC0805KRX7R9BB512</ns0:v>
      </ns0:c>
      <ns0:c r="L76" t="str" s="11">
        <ns0:f>B76&amp;" "&amp;D76&amp;" "&amp;E76&amp;" "&amp;G76&amp;" "&amp;H76&amp;" "&amp;I76</ns0:f>
        <ns0:v>Конденсатор 5,1 нФ ±10% 50 В X7R 0805</ns0:v>
      </ns0:c>
      <ns0:c r="M76" t="str" s="13">
        <ns0:v>C</ns0:v>
      </ns0:c>
      <ns0:c r="N76" t="str" s="13">
        <ns0:v>Symbols\MY_LIB_Capacitors.SchLib</ns0:v>
      </ns0:c>
      <ns0:c r="O76" t="str" s="13">
        <ns0:v>CAPC2012X135N</ns0:v>
      </ns0:c>
      <ns0:c r="P76" t="str" s="13">
        <ns0:v>Footprints\PBL - SMD Packages.PcbLib</ns0:v>
      </ns0:c>
      <ns0:c r="Q76" t="str" s="14">
        <ns0:v>YAGEO CC; список 20.10.2026</ns0:v>
      </ns0:c>
      <ns0:c r="R76" t="str" s="11">
        <ns0:f>D76</ns0:f>
        <ns0:v>5,1 нФ</ns0:v>
      </ns0:c>
      <ns0:c r="S76" t="str" s="11">
        <ns0:f>L76</ns0:f>
        <ns0:v>Конденсатор 5,1 нФ ±10% 50 В X7R 0805</ns0:v>
      </ns0:c>
      <x:c xmlns:x="http://schemas.openxmlformats.org/spreadsheetml/2006/main" r="T76" t="str" s="11">
        <x:v>C:\Users\Nomatin\Documents\Altium\MY_LIB\MY_LIB\Datasheets\YAGEO_CC_X7R.pdf</x:v>
      </x:c>
      <x:c xmlns:x="http://schemas.openxmlformats.org/spreadsheetml/2006/main" r="U76" t="str" s="11">
        <x:v>Даташит — локальный</x:v>
      </x:c>
      <x:c xmlns:x="http://schemas.openxmlformats.org/spreadsheetml/2006/main" r="V76" t="str" s="11">
        <x:v>C:\Users\Nomatin\Documents\Altium\MY_LIB\MY_LIB\Datasheets\YAGEO_CC_X7R.pdf</x:v>
      </x:c>
      <x:c xmlns:x="http://schemas.openxmlformats.org/spreadsheetml/2006/main" r="W76" t="str" s="11">
        <x:v>Даташит — производитель</x:v>
      </x:c>
      <x:c xmlns:x="http://schemas.openxmlformats.org/spreadsheetml/2006/main" r="X76" t="str" s="11">
        <x:v>https://yageogroup.com/content/datasheet/asset/file/UPY-GPHC_X7R_6_3V-TO-250V</x:v>
      </x:c>
      <x:c xmlns:x="http://schemas.openxmlformats.org/spreadsheetml/2006/main" r="Y76" t="str" s="11">
        <x:v>C:\Users\Nomatin\Documents\Altium\MY_LIB\MY_LIB\Datasheets\YAGEO_CC_X7R.pdf</x:v>
      </x:c>
    </ns0:row>
    <ns0:row r="77" ht="30" customHeight="1">
      <ns0:c r="A77" t="str" s="14">
        <ns0:v>C0078</ns0:v>
      </ns0:c>
      <ns0:c r="B77" t="str" s="14">
        <ns0:v>Конденсатор</ns0:v>
      </ns0:c>
      <ns0:c r="C77" t="str" s="14">
        <ns0:v>5.6n</ns0:v>
      </ns0:c>
      <ns0:c r="D77" t="str" s="11">
        <ns0:f>SUBSTITUTE(SUBSTITUTE(SUBSTITUTE(SUBSTITUTE(C77,"p"," пФ"),"n"," нФ"),"u"," мкФ"),".",",")</ns0:f>
        <ns0:v>5,6 нФ</ns0:v>
      </ns0:c>
      <ns0:c r="E77" t="str" s="14">
        <ns0:v>±10%</ns0:v>
      </ns0:c>
      <ns0:c r="F77" s="14"/>
      <ns0:c r="G77" t="str" s="14">
        <ns0:v>100 В</ns0:v>
      </ns0:c>
      <ns0:c r="H77" t="str" s="14">
        <ns0:v>X7R</ns0:v>
      </ns0:c>
      <ns0:c r="I77" t="str" s="15">
        <ns0:v>0805</ns0:v>
      </ns0:c>
      <ns0:c r="J77" t="str" s="14">
        <ns0:v>YAGEO</ns0:v>
      </ns0:c>
      <ns0:c r="K77" t="str" s="14">
        <ns0:v>CC0805KRX7R0BB562</ns0:v>
      </ns0:c>
      <ns0:c r="L77" t="str" s="11">
        <ns0:f>B77&amp;" "&amp;D77&amp;" "&amp;E77&amp;" "&amp;G77&amp;" "&amp;H77&amp;" "&amp;I77</ns0:f>
        <ns0:v>Конденсатор 5,6 нФ ±10% 100 В X7R 0805</ns0:v>
      </ns0:c>
      <ns0:c r="M77" t="str" s="13">
        <ns0:v>C</ns0:v>
      </ns0:c>
      <ns0:c r="N77" t="str" s="13">
        <ns0:v>Symbols\MY_LIB_Capacitors.SchLib</ns0:v>
      </ns0:c>
      <ns0:c r="O77" t="str" s="13">
        <ns0:v>CAPC2012X135N</ns0:v>
      </ns0:c>
      <ns0:c r="P77" t="str" s="13">
        <ns0:v>Footprints\PBL - SMD Packages.PcbLib</ns0:v>
      </ns0:c>
      <ns0:c r="Q77" t="str" s="14">
        <ns0:v>YAGEO CC; список 20.10.2026</ns0:v>
      </ns0:c>
      <ns0:c r="R77" t="str" s="11">
        <ns0:f>D77</ns0:f>
        <ns0:v>5,6 нФ</ns0:v>
      </ns0:c>
      <ns0:c r="S77" t="str" s="11">
        <ns0:f>L77</ns0:f>
        <ns0:v>Конденсатор 5,6 нФ ±10% 100 В X7R 0805</ns0:v>
      </ns0:c>
      <x:c xmlns:x="http://schemas.openxmlformats.org/spreadsheetml/2006/main" r="T77" t="str" s="11">
        <x:v>C:\Users\Nomatin\Documents\Altium\MY_LIB\MY_LIB\Datasheets\YAGEO_CC_X7R.pdf</x:v>
      </x:c>
      <x:c xmlns:x="http://schemas.openxmlformats.org/spreadsheetml/2006/main" r="U77" t="str" s="11">
        <x:v>Даташит — локальный</x:v>
      </x:c>
      <x:c xmlns:x="http://schemas.openxmlformats.org/spreadsheetml/2006/main" r="V77" t="str" s="11">
        <x:v>C:\Users\Nomatin\Documents\Altium\MY_LIB\MY_LIB\Datasheets\YAGEO_CC_X7R.pdf</x:v>
      </x:c>
      <x:c xmlns:x="http://schemas.openxmlformats.org/spreadsheetml/2006/main" r="W77" t="str" s="11">
        <x:v>Даташит — производитель</x:v>
      </x:c>
      <x:c xmlns:x="http://schemas.openxmlformats.org/spreadsheetml/2006/main" r="X77" t="str" s="11">
        <x:v>https://yageogroup.com/content/datasheet/asset/file/UPY-GPHC_X7R_6_3V-TO-250V</x:v>
      </x:c>
      <x:c xmlns:x="http://schemas.openxmlformats.org/spreadsheetml/2006/main" r="Y77" t="str" s="11">
        <x:v>C:\Users\Nomatin\Documents\Altium\MY_LIB\MY_LIB\Datasheets\YAGEO_CC_X7R.pdf</x:v>
      </x:c>
    </ns0:row>
    <ns0:row r="78" ht="30" customHeight="1">
      <ns0:c r="A78" t="str" s="14">
        <ns0:v>C0079</ns0:v>
      </ns0:c>
      <ns0:c r="B78" t="str" s="14">
        <ns0:v>Конденсатор</ns0:v>
      </ns0:c>
      <ns0:c r="C78" t="str" s="14">
        <ns0:v>6.2n</ns0:v>
      </ns0:c>
      <ns0:c r="D78" t="str" s="11">
        <ns0:f>SUBSTITUTE(SUBSTITUTE(SUBSTITUTE(SUBSTITUTE(C78,"p"," пФ"),"n"," нФ"),"u"," мкФ"),".",",")</ns0:f>
        <ns0:v>6,2 нФ</ns0:v>
      </ns0:c>
      <ns0:c r="E78" t="str" s="14">
        <ns0:v>±10%</ns0:v>
      </ns0:c>
      <ns0:c r="F78" s="14"/>
      <ns0:c r="G78" t="str" s="14">
        <ns0:v>50 В</ns0:v>
      </ns0:c>
      <ns0:c r="H78" t="str" s="14">
        <ns0:v>X7R</ns0:v>
      </ns0:c>
      <ns0:c r="I78" t="str" s="15">
        <ns0:v>0805</ns0:v>
      </ns0:c>
      <ns0:c r="J78" t="str" s="14">
        <ns0:v>YAGEO</ns0:v>
      </ns0:c>
      <ns0:c r="K78" t="str" s="14">
        <ns0:v>CC0805KRX7R9BB622</ns0:v>
      </ns0:c>
      <ns0:c r="L78" t="str" s="11">
        <ns0:f>B78&amp;" "&amp;D78&amp;" "&amp;E78&amp;" "&amp;G78&amp;" "&amp;H78&amp;" "&amp;I78</ns0:f>
        <ns0:v>Конденсатор 6,2 нФ ±10% 50 В X7R 0805</ns0:v>
      </ns0:c>
      <ns0:c r="M78" t="str" s="13">
        <ns0:v>C</ns0:v>
      </ns0:c>
      <ns0:c r="N78" t="str" s="13">
        <ns0:v>Symbols\MY_LIB_Capacitors.SchLib</ns0:v>
      </ns0:c>
      <ns0:c r="O78" t="str" s="13">
        <ns0:v>CAPC2012X135N</ns0:v>
      </ns0:c>
      <ns0:c r="P78" t="str" s="13">
        <ns0:v>Footprints\PBL - SMD Packages.PcbLib</ns0:v>
      </ns0:c>
      <ns0:c r="Q78" t="str" s="14">
        <ns0:v>YAGEO CC; список 20.10.2026</ns0:v>
      </ns0:c>
      <ns0:c r="R78" t="str" s="11">
        <ns0:f>D78</ns0:f>
        <ns0:v>6,2 нФ</ns0:v>
      </ns0:c>
      <ns0:c r="S78" t="str" s="11">
        <ns0:f>L78</ns0:f>
        <ns0:v>Конденсатор 6,2 нФ ±10% 50 В X7R 0805</ns0:v>
      </ns0:c>
      <x:c xmlns:x="http://schemas.openxmlformats.org/spreadsheetml/2006/main" r="T78" t="str" s="11">
        <x:v>C:\Users\Nomatin\Documents\Altium\MY_LIB\MY_LIB\Datasheets\YAGEO_CC_X7R.pdf</x:v>
      </x:c>
      <x:c xmlns:x="http://schemas.openxmlformats.org/spreadsheetml/2006/main" r="U78" t="str" s="11">
        <x:v>Даташит — локальный</x:v>
      </x:c>
      <x:c xmlns:x="http://schemas.openxmlformats.org/spreadsheetml/2006/main" r="V78" t="str" s="11">
        <x:v>C:\Users\Nomatin\Documents\Altium\MY_LIB\MY_LIB\Datasheets\YAGEO_CC_X7R.pdf</x:v>
      </x:c>
      <x:c xmlns:x="http://schemas.openxmlformats.org/spreadsheetml/2006/main" r="W78" t="str" s="11">
        <x:v>Даташит — производитель</x:v>
      </x:c>
      <x:c xmlns:x="http://schemas.openxmlformats.org/spreadsheetml/2006/main" r="X78" t="str" s="11">
        <x:v>https://yageogroup.com/content/datasheet/asset/file/UPY-GPHC_X7R_6_3V-TO-250V</x:v>
      </x:c>
      <x:c xmlns:x="http://schemas.openxmlformats.org/spreadsheetml/2006/main" r="Y78" t="str" s="11">
        <x:v>C:\Users\Nomatin\Documents\Altium\MY_LIB\MY_LIB\Datasheets\YAGEO_CC_X7R.pdf</x:v>
      </x:c>
    </ns0:row>
    <ns0:row r="79" ht="30" customHeight="1">
      <ns0:c r="A79" t="str" s="14">
        <ns0:v>C0080</ns0:v>
      </ns0:c>
      <ns0:c r="B79" t="str" s="14">
        <ns0:v>Конденсатор</ns0:v>
      </ns0:c>
      <ns0:c r="C79" t="str" s="14">
        <ns0:v>6.8n</ns0:v>
      </ns0:c>
      <ns0:c r="D79" t="str" s="11">
        <ns0:f>SUBSTITUTE(SUBSTITUTE(SUBSTITUTE(SUBSTITUTE(C79,"p"," пФ"),"n"," нФ"),"u"," мкФ"),".",",")</ns0:f>
        <ns0:v>6,8 нФ</ns0:v>
      </ns0:c>
      <ns0:c r="E79" t="str" s="14">
        <ns0:v>±10%</ns0:v>
      </ns0:c>
      <ns0:c r="F79" s="14"/>
      <ns0:c r="G79" t="str" s="14">
        <ns0:v>100 В</ns0:v>
      </ns0:c>
      <ns0:c r="H79" t="str" s="14">
        <ns0:v>X7R</ns0:v>
      </ns0:c>
      <ns0:c r="I79" t="str" s="15">
        <ns0:v>0805</ns0:v>
      </ns0:c>
      <ns0:c r="J79" t="str" s="14">
        <ns0:v>YAGEO</ns0:v>
      </ns0:c>
      <ns0:c r="K79" t="str" s="14">
        <ns0:v>CC0805KKX7R0BB682</ns0:v>
      </ns0:c>
      <ns0:c r="L79" t="str" s="11">
        <ns0:f>B79&amp;" "&amp;D79&amp;" "&amp;E79&amp;" "&amp;G79&amp;" "&amp;H79&amp;" "&amp;I79</ns0:f>
        <ns0:v>Конденсатор 6,8 нФ ±10% 100 В X7R 0805</ns0:v>
      </ns0:c>
      <ns0:c r="M79" t="str" s="13">
        <ns0:v>C</ns0:v>
      </ns0:c>
      <ns0:c r="N79" t="str" s="13">
        <ns0:v>Symbols\MY_LIB_Capacitors.SchLib</ns0:v>
      </ns0:c>
      <ns0:c r="O79" t="str" s="13">
        <ns0:v>CAPC2012X135N</ns0:v>
      </ns0:c>
      <ns0:c r="P79" t="str" s="13">
        <ns0:v>Footprints\PBL - SMD Packages.PcbLib</ns0:v>
      </ns0:c>
      <ns0:c r="Q79" t="str" s="14">
        <ns0:v>YAGEO CC; список 20.10.2026</ns0:v>
      </ns0:c>
      <ns0:c r="R79" t="str" s="11">
        <ns0:f>D79</ns0:f>
        <ns0:v>6,8 нФ</ns0:v>
      </ns0:c>
      <ns0:c r="S79" t="str" s="11">
        <ns0:f>L79</ns0:f>
        <ns0:v>Конденсатор 6,8 нФ ±10% 100 В X7R 0805</ns0:v>
      </ns0:c>
      <x:c xmlns:x="http://schemas.openxmlformats.org/spreadsheetml/2006/main" r="T79" t="str" s="11">
        <x:v>C:\Users\Nomatin\Documents\Altium\MY_LIB\MY_LIB\Datasheets\YAGEO_CC_X7R.pdf</x:v>
      </x:c>
      <x:c xmlns:x="http://schemas.openxmlformats.org/spreadsheetml/2006/main" r="U79" t="str" s="11">
        <x:v>Даташит — локальный</x:v>
      </x:c>
      <x:c xmlns:x="http://schemas.openxmlformats.org/spreadsheetml/2006/main" r="V79" t="str" s="11">
        <x:v>C:\Users\Nomatin\Documents\Altium\MY_LIB\MY_LIB\Datasheets\YAGEO_CC_X7R.pdf</x:v>
      </x:c>
      <x:c xmlns:x="http://schemas.openxmlformats.org/spreadsheetml/2006/main" r="W79" t="str" s="11">
        <x:v>Даташит — производитель</x:v>
      </x:c>
      <x:c xmlns:x="http://schemas.openxmlformats.org/spreadsheetml/2006/main" r="X79" t="str" s="11">
        <x:v>https://yageogroup.com/content/datasheet/asset/file/UPY-GPHC_X7R_6_3V-TO-250V</x:v>
      </x:c>
      <x:c xmlns:x="http://schemas.openxmlformats.org/spreadsheetml/2006/main" r="Y79" t="str" s="11">
        <x:v>C:\Users\Nomatin\Documents\Altium\MY_LIB\MY_LIB\Datasheets\YAGEO_CC_X7R.pdf</x:v>
      </x:c>
    </ns0:row>
    <ns0:row r="80" ht="30" customHeight="1">
      <ns0:c r="A80" t="str" s="14">
        <ns0:v>C0081</ns0:v>
      </ns0:c>
      <ns0:c r="B80" t="str" s="14">
        <ns0:v>Конденсатор</ns0:v>
      </ns0:c>
      <ns0:c r="C80" t="str" s="14">
        <ns0:v>8.2n</ns0:v>
      </ns0:c>
      <ns0:c r="D80" t="str" s="11">
        <ns0:f>SUBSTITUTE(SUBSTITUTE(SUBSTITUTE(SUBSTITUTE(C80,"p"," пФ"),"n"," нФ"),"u"," мкФ"),".",",")</ns0:f>
        <ns0:v>8,2 нФ</ns0:v>
      </ns0:c>
      <ns0:c r="E80" t="str" s="14">
        <ns0:v>±10%</ns0:v>
      </ns0:c>
      <ns0:c r="F80" s="14"/>
      <ns0:c r="G80" t="str" s="14">
        <ns0:v>100 В</ns0:v>
      </ns0:c>
      <ns0:c r="H80" t="str" s="14">
        <ns0:v>X7R</ns0:v>
      </ns0:c>
      <ns0:c r="I80" t="str" s="15">
        <ns0:v>0805</ns0:v>
      </ns0:c>
      <ns0:c r="J80" t="str" s="14">
        <ns0:v>YAGEO</ns0:v>
      </ns0:c>
      <ns0:c r="K80" t="str" s="14">
        <ns0:v>CC0805KRX7R0BB822</ns0:v>
      </ns0:c>
      <ns0:c r="L80" t="str" s="11">
        <ns0:f>B80&amp;" "&amp;D80&amp;" "&amp;E80&amp;" "&amp;G80&amp;" "&amp;H80&amp;" "&amp;I80</ns0:f>
        <ns0:v>Конденсатор 8,2 нФ ±10% 100 В X7R 0805</ns0:v>
      </ns0:c>
      <ns0:c r="M80" t="str" s="13">
        <ns0:v>C</ns0:v>
      </ns0:c>
      <ns0:c r="N80" t="str" s="13">
        <ns0:v>Symbols\MY_LIB_Capacitors.SchLib</ns0:v>
      </ns0:c>
      <ns0:c r="O80" t="str" s="13">
        <ns0:v>CAPC2012X135N</ns0:v>
      </ns0:c>
      <ns0:c r="P80" t="str" s="13">
        <ns0:v>Footprints\PBL - SMD Packages.PcbLib</ns0:v>
      </ns0:c>
      <ns0:c r="Q80" t="str" s="14">
        <ns0:v>YAGEO CC; список 20.10.2026</ns0:v>
      </ns0:c>
      <ns0:c r="R80" t="str" s="11">
        <ns0:f>D80</ns0:f>
        <ns0:v>8,2 нФ</ns0:v>
      </ns0:c>
      <ns0:c r="S80" t="str" s="11">
        <ns0:f>L80</ns0:f>
        <ns0:v>Конденсатор 8,2 нФ ±10% 100 В X7R 0805</ns0:v>
      </ns0:c>
      <x:c xmlns:x="http://schemas.openxmlformats.org/spreadsheetml/2006/main" r="T80" t="str" s="11">
        <x:v>C:\Users\Nomatin\Documents\Altium\MY_LIB\MY_LIB\Datasheets\YAGEO_CC_X7R.pdf</x:v>
      </x:c>
      <x:c xmlns:x="http://schemas.openxmlformats.org/spreadsheetml/2006/main" r="U80" t="str" s="11">
        <x:v>Даташит — локальный</x:v>
      </x:c>
      <x:c xmlns:x="http://schemas.openxmlformats.org/spreadsheetml/2006/main" r="V80" t="str" s="11">
        <x:v>C:\Users\Nomatin\Documents\Altium\MY_LIB\MY_LIB\Datasheets\YAGEO_CC_X7R.pdf</x:v>
      </x:c>
      <x:c xmlns:x="http://schemas.openxmlformats.org/spreadsheetml/2006/main" r="W80" t="str" s="11">
        <x:v>Даташит — производитель</x:v>
      </x:c>
      <x:c xmlns:x="http://schemas.openxmlformats.org/spreadsheetml/2006/main" r="X80" t="str" s="11">
        <x:v>https://yageogroup.com/content/datasheet/asset/file/UPY-GPHC_X7R_6_3V-TO-250V</x:v>
      </x:c>
      <x:c xmlns:x="http://schemas.openxmlformats.org/spreadsheetml/2006/main" r="Y80" t="str" s="11">
        <x:v>C:\Users\Nomatin\Documents\Altium\MY_LIB\MY_LIB\Datasheets\YAGEO_CC_X7R.pdf</x:v>
      </x:c>
    </ns0:row>
    <ns0:row r="81" ht="30" customHeight="1">
      <ns0:c r="A81" t="str" s="14">
        <ns0:v>C0082</ns0:v>
      </ns0:c>
      <ns0:c r="B81" t="str" s="14">
        <ns0:v>Конденсатор</ns0:v>
      </ns0:c>
      <ns0:c r="C81" t="str" s="14">
        <ns0:v>10n</ns0:v>
      </ns0:c>
      <ns0:c r="D81" t="str" s="11">
        <ns0:f>SUBSTITUTE(SUBSTITUTE(SUBSTITUTE(SUBSTITUTE(C81,"p"," пФ"),"n"," нФ"),"u"," мкФ"),".",",")</ns0:f>
        <ns0:v>10 нФ</ns0:v>
      </ns0:c>
      <ns0:c r="E81" t="str" s="14">
        <ns0:v>±10%</ns0:v>
      </ns0:c>
      <ns0:c r="F81" s="14"/>
      <ns0:c r="G81" t="str" s="14">
        <ns0:v>100 В</ns0:v>
      </ns0:c>
      <ns0:c r="H81" t="str" s="14">
        <ns0:v>X7R</ns0:v>
      </ns0:c>
      <ns0:c r="I81" t="str" s="15">
        <ns0:v>0805</ns0:v>
      </ns0:c>
      <ns0:c r="J81" t="str" s="14">
        <ns0:v>YAGEO</ns0:v>
      </ns0:c>
      <ns0:c r="K81" t="str" s="14">
        <ns0:v>CC0805KKX7R0BB103</ns0:v>
      </ns0:c>
      <ns0:c r="L81" t="str" s="11">
        <ns0:f>B81&amp;" "&amp;D81&amp;" "&amp;E81&amp;" "&amp;G81&amp;" "&amp;H81&amp;" "&amp;I81</ns0:f>
        <ns0:v>Конденсатор 10 нФ ±10% 100 В X7R 0805</ns0:v>
      </ns0:c>
      <ns0:c r="M81" t="str" s="13">
        <ns0:v>C</ns0:v>
      </ns0:c>
      <ns0:c r="N81" t="str" s="13">
        <ns0:v>Symbols\MY_LIB_Capacitors.SchLib</ns0:v>
      </ns0:c>
      <ns0:c r="O81" t="str" s="13">
        <ns0:v>CAPC2012X135N</ns0:v>
      </ns0:c>
      <ns0:c r="P81" t="str" s="13">
        <ns0:v>Footprints\PBL - SMD Packages.PcbLib</ns0:v>
      </ns0:c>
      <ns0:c r="Q81" t="str" s="14">
        <ns0:v>YAGEO CC; список 20.10.2026</ns0:v>
      </ns0:c>
      <ns0:c r="R81" t="str" s="11">
        <ns0:f>D81</ns0:f>
        <ns0:v>10 нФ</ns0:v>
      </ns0:c>
      <ns0:c r="S81" t="str" s="11">
        <ns0:f>L81</ns0:f>
        <ns0:v>Конденсатор 10 нФ ±10% 100 В X7R 0805</ns0:v>
      </ns0:c>
      <x:c xmlns:x="http://schemas.openxmlformats.org/spreadsheetml/2006/main" r="T81" t="str" s="11">
        <x:v>C:\Users\Nomatin\Documents\Altium\MY_LIB\MY_LIB\Datasheets\YAGEO_CC_X7R.pdf</x:v>
      </x:c>
      <x:c xmlns:x="http://schemas.openxmlformats.org/spreadsheetml/2006/main" r="U81" t="str" s="11">
        <x:v>Даташит — локальный</x:v>
      </x:c>
      <x:c xmlns:x="http://schemas.openxmlformats.org/spreadsheetml/2006/main" r="V81" t="str" s="11">
        <x:v>C:\Users\Nomatin\Documents\Altium\MY_LIB\MY_LIB\Datasheets\YAGEO_CC_X7R.pdf</x:v>
      </x:c>
      <x:c xmlns:x="http://schemas.openxmlformats.org/spreadsheetml/2006/main" r="W81" t="str" s="11">
        <x:v>Даташит — производитель</x:v>
      </x:c>
      <x:c xmlns:x="http://schemas.openxmlformats.org/spreadsheetml/2006/main" r="X81" t="str" s="11">
        <x:v>https://yageogroup.com/content/datasheet/asset/file/UPY-GPHC_X7R_6_3V-TO-250V</x:v>
      </x:c>
      <x:c xmlns:x="http://schemas.openxmlformats.org/spreadsheetml/2006/main" r="Y81" t="str" s="11">
        <x:v>C:\Users\Nomatin\Documents\Altium\MY_LIB\MY_LIB\Datasheets\YAGEO_CC_X7R.pdf</x:v>
      </x:c>
    </ns0:row>
    <ns0:row r="82" ht="30" customHeight="1">
      <ns0:c r="A82" t="str" s="14">
        <ns0:v>C0083</ns0:v>
      </ns0:c>
      <ns0:c r="B82" t="str" s="14">
        <ns0:v>Конденсатор</ns0:v>
      </ns0:c>
      <ns0:c r="C82" t="str" s="14">
        <ns0:v>12n</ns0:v>
      </ns0:c>
      <ns0:c r="D82" t="str" s="11">
        <ns0:f>SUBSTITUTE(SUBSTITUTE(SUBSTITUTE(SUBSTITUTE(C82,"p"," пФ"),"n"," нФ"),"u"," мкФ"),".",",")</ns0:f>
        <ns0:v>12 нФ</ns0:v>
      </ns0:c>
      <ns0:c r="E82" t="str" s="14">
        <ns0:v>±10%</ns0:v>
      </ns0:c>
      <ns0:c r="F82" s="14"/>
      <ns0:c r="G82" t="str" s="14">
        <ns0:v>100 В</ns0:v>
      </ns0:c>
      <ns0:c r="H82" t="str" s="14">
        <ns0:v>X7R</ns0:v>
      </ns0:c>
      <ns0:c r="I82" t="str" s="15">
        <ns0:v>0805</ns0:v>
      </ns0:c>
      <ns0:c r="J82" t="str" s="14">
        <ns0:v>YAGEO</ns0:v>
      </ns0:c>
      <ns0:c r="K82" t="str" s="14">
        <ns0:v>CC0805KRX7R0BB123</ns0:v>
      </ns0:c>
      <ns0:c r="L82" t="str" s="11">
        <ns0:f>B82&amp;" "&amp;D82&amp;" "&amp;E82&amp;" "&amp;G82&amp;" "&amp;H82&amp;" "&amp;I82</ns0:f>
        <ns0:v>Конденсатор 12 нФ ±10% 100 В X7R 0805</ns0:v>
      </ns0:c>
      <ns0:c r="M82" t="str" s="13">
        <ns0:v>C</ns0:v>
      </ns0:c>
      <ns0:c r="N82" t="str" s="13">
        <ns0:v>Symbols\MY_LIB_Capacitors.SchLib</ns0:v>
      </ns0:c>
      <ns0:c r="O82" t="str" s="13">
        <ns0:v>CAPC2012X135N</ns0:v>
      </ns0:c>
      <ns0:c r="P82" t="str" s="13">
        <ns0:v>Footprints\PBL - SMD Packages.PcbLib</ns0:v>
      </ns0:c>
      <ns0:c r="Q82" t="str" s="14">
        <ns0:v>YAGEO CC; список 20.10.2026</ns0:v>
      </ns0:c>
      <ns0:c r="R82" t="str" s="11">
        <ns0:f>D82</ns0:f>
        <ns0:v>12 нФ</ns0:v>
      </ns0:c>
      <ns0:c r="S82" t="str" s="11">
        <ns0:f>L82</ns0:f>
        <ns0:v>Конденсатор 12 нФ ±10% 100 В X7R 0805</ns0:v>
      </ns0:c>
      <x:c xmlns:x="http://schemas.openxmlformats.org/spreadsheetml/2006/main" r="T82" t="str" s="11">
        <x:v>C:\Users\Nomatin\Documents\Altium\MY_LIB\MY_LIB\Datasheets\YAGEO_CC_X7R.pdf</x:v>
      </x:c>
      <x:c xmlns:x="http://schemas.openxmlformats.org/spreadsheetml/2006/main" r="U82" t="str" s="11">
        <x:v>Даташит — локальный</x:v>
      </x:c>
      <x:c xmlns:x="http://schemas.openxmlformats.org/spreadsheetml/2006/main" r="V82" t="str" s="11">
        <x:v>C:\Users\Nomatin\Documents\Altium\MY_LIB\MY_LIB\Datasheets\YAGEO_CC_X7R.pdf</x:v>
      </x:c>
      <x:c xmlns:x="http://schemas.openxmlformats.org/spreadsheetml/2006/main" r="W82" t="str" s="11">
        <x:v>Даташит — производитель</x:v>
      </x:c>
      <x:c xmlns:x="http://schemas.openxmlformats.org/spreadsheetml/2006/main" r="X82" t="str" s="11">
        <x:v>https://yageogroup.com/content/datasheet/asset/file/UPY-GPHC_X7R_6_3V-TO-250V</x:v>
      </x:c>
      <x:c xmlns:x="http://schemas.openxmlformats.org/spreadsheetml/2006/main" r="Y82" t="str" s="11">
        <x:v>C:\Users\Nomatin\Documents\Altium\MY_LIB\MY_LIB\Datasheets\YAGEO_CC_X7R.pdf</x:v>
      </x:c>
    </ns0:row>
    <ns0:row r="83" ht="30" customHeight="1">
      <ns0:c r="A83" t="str" s="14">
        <ns0:v>C0084</ns0:v>
      </ns0:c>
      <ns0:c r="B83" t="str" s="14">
        <ns0:v>Конденсатор</ns0:v>
      </ns0:c>
      <ns0:c r="C83" t="str" s="14">
        <ns0:v>15n</ns0:v>
      </ns0:c>
      <ns0:c r="D83" t="str" s="11">
        <ns0:f>SUBSTITUTE(SUBSTITUTE(SUBSTITUTE(SUBSTITUTE(C83,"p"," пФ"),"n"," нФ"),"u"," мкФ"),".",",")</ns0:f>
        <ns0:v>15 нФ</ns0:v>
      </ns0:c>
      <ns0:c r="E83" t="str" s="14">
        <ns0:v>±10%</ns0:v>
      </ns0:c>
      <ns0:c r="F83" s="14"/>
      <ns0:c r="G83" t="str" s="14">
        <ns0:v>100 В</ns0:v>
      </ns0:c>
      <ns0:c r="H83" t="str" s="14">
        <ns0:v>X7R</ns0:v>
      </ns0:c>
      <ns0:c r="I83" t="str" s="15">
        <ns0:v>0805</ns0:v>
      </ns0:c>
      <ns0:c r="J83" t="str" s="14">
        <ns0:v>YAGEO</ns0:v>
      </ns0:c>
      <ns0:c r="K83" t="str" s="14">
        <ns0:v>CC0805KKX7R0BB153</ns0:v>
      </ns0:c>
      <ns0:c r="L83" t="str" s="11">
        <ns0:f>B83&amp;" "&amp;D83&amp;" "&amp;E83&amp;" "&amp;G83&amp;" "&amp;H83&amp;" "&amp;I83</ns0:f>
        <ns0:v>Конденсатор 15 нФ ±10% 100 В X7R 0805</ns0:v>
      </ns0:c>
      <ns0:c r="M83" t="str" s="13">
        <ns0:v>C</ns0:v>
      </ns0:c>
      <ns0:c r="N83" t="str" s="13">
        <ns0:v>Symbols\MY_LIB_Capacitors.SchLib</ns0:v>
      </ns0:c>
      <ns0:c r="O83" t="str" s="13">
        <ns0:v>CAPC2012X135N</ns0:v>
      </ns0:c>
      <ns0:c r="P83" t="str" s="13">
        <ns0:v>Footprints\PBL - SMD Packages.PcbLib</ns0:v>
      </ns0:c>
      <ns0:c r="Q83" t="str" s="14">
        <ns0:v>YAGEO CC; список 20.10.2026</ns0:v>
      </ns0:c>
      <ns0:c r="R83" t="str" s="11">
        <ns0:f>D83</ns0:f>
        <ns0:v>15 нФ</ns0:v>
      </ns0:c>
      <ns0:c r="S83" t="str" s="11">
        <ns0:f>L83</ns0:f>
        <ns0:v>Конденсатор 15 нФ ±10% 100 В X7R 0805</ns0:v>
      </ns0:c>
      <x:c xmlns:x="http://schemas.openxmlformats.org/spreadsheetml/2006/main" r="T83" t="str" s="11">
        <x:v>C:\Users\Nomatin\Documents\Altium\MY_LIB\MY_LIB\Datasheets\YAGEO_CC_X7R.pdf</x:v>
      </x:c>
      <x:c xmlns:x="http://schemas.openxmlformats.org/spreadsheetml/2006/main" r="U83" t="str" s="11">
        <x:v>Даташит — локальный</x:v>
      </x:c>
      <x:c xmlns:x="http://schemas.openxmlformats.org/spreadsheetml/2006/main" r="V83" t="str" s="11">
        <x:v>C:\Users\Nomatin\Documents\Altium\MY_LIB\MY_LIB\Datasheets\YAGEO_CC_X7R.pdf</x:v>
      </x:c>
      <x:c xmlns:x="http://schemas.openxmlformats.org/spreadsheetml/2006/main" r="W83" t="str" s="11">
        <x:v>Даташит — производитель</x:v>
      </x:c>
      <x:c xmlns:x="http://schemas.openxmlformats.org/spreadsheetml/2006/main" r="X83" t="str" s="11">
        <x:v>https://yageogroup.com/content/datasheet/asset/file/UPY-GPHC_X7R_6_3V-TO-250V</x:v>
      </x:c>
      <x:c xmlns:x="http://schemas.openxmlformats.org/spreadsheetml/2006/main" r="Y83" t="str" s="11">
        <x:v>C:\Users\Nomatin\Documents\Altium\MY_LIB\MY_LIB\Datasheets\YAGEO_CC_X7R.pdf</x:v>
      </x:c>
    </ns0:row>
    <ns0:row r="84" ht="30" customHeight="1">
      <ns0:c r="A84" t="str" s="14">
        <ns0:v>C0085</ns0:v>
      </ns0:c>
      <ns0:c r="B84" t="str" s="14">
        <ns0:v>Конденсатор</ns0:v>
      </ns0:c>
      <ns0:c r="C84" t="str" s="14">
        <ns0:v>18n</ns0:v>
      </ns0:c>
      <ns0:c r="D84" t="str" s="11">
        <ns0:f>SUBSTITUTE(SUBSTITUTE(SUBSTITUTE(SUBSTITUTE(C84,"p"," пФ"),"n"," нФ"),"u"," мкФ"),".",",")</ns0:f>
        <ns0:v>18 нФ</ns0:v>
      </ns0:c>
      <ns0:c r="E84" t="str" s="14">
        <ns0:v>±10%</ns0:v>
      </ns0:c>
      <ns0:c r="F84" s="14"/>
      <ns0:c r="G84" t="str" s="14">
        <ns0:v>100 В</ns0:v>
      </ns0:c>
      <ns0:c r="H84" t="str" s="14">
        <ns0:v>X7R</ns0:v>
      </ns0:c>
      <ns0:c r="I84" t="str" s="15">
        <ns0:v>0805</ns0:v>
      </ns0:c>
      <ns0:c r="J84" t="str" s="14">
        <ns0:v>YAGEO</ns0:v>
      </ns0:c>
      <ns0:c r="K84" t="str" s="14">
        <ns0:v>CC0805KRX7R0BB183</ns0:v>
      </ns0:c>
      <ns0:c r="L84" t="str" s="11">
        <ns0:f>B84&amp;" "&amp;D84&amp;" "&amp;E84&amp;" "&amp;G84&amp;" "&amp;H84&amp;" "&amp;I84</ns0:f>
        <ns0:v>Конденсатор 18 нФ ±10% 100 В X7R 0805</ns0:v>
      </ns0:c>
      <ns0:c r="M84" t="str" s="13">
        <ns0:v>C</ns0:v>
      </ns0:c>
      <ns0:c r="N84" t="str" s="13">
        <ns0:v>Symbols\MY_LIB_Capacitors.SchLib</ns0:v>
      </ns0:c>
      <ns0:c r="O84" t="str" s="13">
        <ns0:v>CAPC2012X135N</ns0:v>
      </ns0:c>
      <ns0:c r="P84" t="str" s="13">
        <ns0:v>Footprints\PBL - SMD Packages.PcbLib</ns0:v>
      </ns0:c>
      <ns0:c r="Q84" t="str" s="14">
        <ns0:v>YAGEO CC; список 20.10.2026</ns0:v>
      </ns0:c>
      <ns0:c r="R84" t="str" s="11">
        <ns0:f>D84</ns0:f>
        <ns0:v>18 нФ</ns0:v>
      </ns0:c>
      <ns0:c r="S84" t="str" s="11">
        <ns0:f>L84</ns0:f>
        <ns0:v>Конденсатор 18 нФ ±10% 100 В X7R 0805</ns0:v>
      </ns0:c>
      <x:c xmlns:x="http://schemas.openxmlformats.org/spreadsheetml/2006/main" r="T84" t="str" s="11">
        <x:v>C:\Users\Nomatin\Documents\Altium\MY_LIB\MY_LIB\Datasheets\YAGEO_CC_X7R.pdf</x:v>
      </x:c>
      <x:c xmlns:x="http://schemas.openxmlformats.org/spreadsheetml/2006/main" r="U84" t="str" s="11">
        <x:v>Даташит — локальный</x:v>
      </x:c>
      <x:c xmlns:x="http://schemas.openxmlformats.org/spreadsheetml/2006/main" r="V84" t="str" s="11">
        <x:v>C:\Users\Nomatin\Documents\Altium\MY_LIB\MY_LIB\Datasheets\YAGEO_CC_X7R.pdf</x:v>
      </x:c>
      <x:c xmlns:x="http://schemas.openxmlformats.org/spreadsheetml/2006/main" r="W84" t="str" s="11">
        <x:v>Даташит — производитель</x:v>
      </x:c>
      <x:c xmlns:x="http://schemas.openxmlformats.org/spreadsheetml/2006/main" r="X84" t="str" s="11">
        <x:v>https://yageogroup.com/content/datasheet/asset/file/UPY-GPHC_X7R_6_3V-TO-250V</x:v>
      </x:c>
      <x:c xmlns:x="http://schemas.openxmlformats.org/spreadsheetml/2006/main" r="Y84" t="str" s="11">
        <x:v>C:\Users\Nomatin\Documents\Altium\MY_LIB\MY_LIB\Datasheets\YAGEO_CC_X7R.pdf</x:v>
      </x:c>
    </ns0:row>
    <ns0:row r="85" ht="30" customHeight="1">
      <ns0:c r="A85" t="str" s="14">
        <ns0:v>C0086</ns0:v>
      </ns0:c>
      <ns0:c r="B85" t="str" s="14">
        <ns0:v>Конденсатор</ns0:v>
      </ns0:c>
      <ns0:c r="C85" t="str" s="14">
        <ns0:v>22n</ns0:v>
      </ns0:c>
      <ns0:c r="D85" t="str" s="11">
        <ns0:f>SUBSTITUTE(SUBSTITUTE(SUBSTITUTE(SUBSTITUTE(C85,"p"," пФ"),"n"," нФ"),"u"," мкФ"),".",",")</ns0:f>
        <ns0:v>22 нФ</ns0:v>
      </ns0:c>
      <ns0:c r="E85" t="str" s="14">
        <ns0:v>±10%</ns0:v>
      </ns0:c>
      <ns0:c r="F85" s="14"/>
      <ns0:c r="G85" t="str" s="14">
        <ns0:v>100 В</ns0:v>
      </ns0:c>
      <ns0:c r="H85" t="str" s="14">
        <ns0:v>X7R</ns0:v>
      </ns0:c>
      <ns0:c r="I85" t="str" s="15">
        <ns0:v>0805</ns0:v>
      </ns0:c>
      <ns0:c r="J85" t="str" s="14">
        <ns0:v>YAGEO</ns0:v>
      </ns0:c>
      <ns0:c r="K85" t="str" s="14">
        <ns0:v>CC0805KKX7R0BB223</ns0:v>
      </ns0:c>
      <ns0:c r="L85" t="str" s="11">
        <ns0:f>B85&amp;" "&amp;D85&amp;" "&amp;E85&amp;" "&amp;G85&amp;" "&amp;H85&amp;" "&amp;I85</ns0:f>
        <ns0:v>Конденсатор 22 нФ ±10% 100 В X7R 0805</ns0:v>
      </ns0:c>
      <ns0:c r="M85" t="str" s="13">
        <ns0:v>C</ns0:v>
      </ns0:c>
      <ns0:c r="N85" t="str" s="13">
        <ns0:v>Symbols\MY_LIB_Capacitors.SchLib</ns0:v>
      </ns0:c>
      <ns0:c r="O85" t="str" s="13">
        <ns0:v>CAPC2012X135N</ns0:v>
      </ns0:c>
      <ns0:c r="P85" t="str" s="13">
        <ns0:v>Footprints\PBL - SMD Packages.PcbLib</ns0:v>
      </ns0:c>
      <ns0:c r="Q85" t="str" s="14">
        <ns0:v>YAGEO CC; список 20.10.2026</ns0:v>
      </ns0:c>
      <ns0:c r="R85" t="str" s="11">
        <ns0:f>D85</ns0:f>
        <ns0:v>22 нФ</ns0:v>
      </ns0:c>
      <ns0:c r="S85" t="str" s="11">
        <ns0:f>L85</ns0:f>
        <ns0:v>Конденсатор 22 нФ ±10% 100 В X7R 0805</ns0:v>
      </ns0:c>
      <x:c xmlns:x="http://schemas.openxmlformats.org/spreadsheetml/2006/main" r="T85" t="str" s="11">
        <x:v>C:\Users\Nomatin\Documents\Altium\MY_LIB\MY_LIB\Datasheets\YAGEO_CC_X7R.pdf</x:v>
      </x:c>
      <x:c xmlns:x="http://schemas.openxmlformats.org/spreadsheetml/2006/main" r="U85" t="str" s="11">
        <x:v>Даташит — локальный</x:v>
      </x:c>
      <x:c xmlns:x="http://schemas.openxmlformats.org/spreadsheetml/2006/main" r="V85" t="str" s="11">
        <x:v>C:\Users\Nomatin\Documents\Altium\MY_LIB\MY_LIB\Datasheets\YAGEO_CC_X7R.pdf</x:v>
      </x:c>
      <x:c xmlns:x="http://schemas.openxmlformats.org/spreadsheetml/2006/main" r="W85" t="str" s="11">
        <x:v>Даташит — производитель</x:v>
      </x:c>
      <x:c xmlns:x="http://schemas.openxmlformats.org/spreadsheetml/2006/main" r="X85" t="str" s="11">
        <x:v>https://yageogroup.com/content/datasheet/asset/file/UPY-GPHC_X7R_6_3V-TO-250V</x:v>
      </x:c>
      <x:c xmlns:x="http://schemas.openxmlformats.org/spreadsheetml/2006/main" r="Y85" t="str" s="11">
        <x:v>C:\Users\Nomatin\Documents\Altium\MY_LIB\MY_LIB\Datasheets\YAGEO_CC_X7R.pdf</x:v>
      </x:c>
    </ns0:row>
    <ns0:row r="86" ht="30" customHeight="1">
      <ns0:c r="A86" t="str" s="14">
        <ns0:v>C0087</ns0:v>
      </ns0:c>
      <ns0:c r="B86" t="str" s="14">
        <ns0:v>Конденсатор</ns0:v>
      </ns0:c>
      <ns0:c r="C86" t="str" s="14">
        <ns0:v>27n</ns0:v>
      </ns0:c>
      <ns0:c r="D86" t="str" s="11">
        <ns0:f>SUBSTITUTE(SUBSTITUTE(SUBSTITUTE(SUBSTITUTE(C86,"p"," пФ"),"n"," нФ"),"u"," мкФ"),".",",")</ns0:f>
        <ns0:v>27 нФ</ns0:v>
      </ns0:c>
      <ns0:c r="E86" t="str" s="14">
        <ns0:v>±10%</ns0:v>
      </ns0:c>
      <ns0:c r="F86" s="14"/>
      <ns0:c r="G86" t="str" s="14">
        <ns0:v>100 В</ns0:v>
      </ns0:c>
      <ns0:c r="H86" t="str" s="14">
        <ns0:v>X7R</ns0:v>
      </ns0:c>
      <ns0:c r="I86" t="str" s="15">
        <ns0:v>0805</ns0:v>
      </ns0:c>
      <ns0:c r="J86" t="str" s="14">
        <ns0:v>YAGEO</ns0:v>
      </ns0:c>
      <ns0:c r="K86" t="str" s="14">
        <ns0:v>CC0805KKX7R0BB273</ns0:v>
      </ns0:c>
      <ns0:c r="L86" t="str" s="11">
        <ns0:f>B86&amp;" "&amp;D86&amp;" "&amp;E86&amp;" "&amp;G86&amp;" "&amp;H86&amp;" "&amp;I86</ns0:f>
        <ns0:v>Конденсатор 27 нФ ±10% 100 В X7R 0805</ns0:v>
      </ns0:c>
      <ns0:c r="M86" t="str" s="13">
        <ns0:v>C</ns0:v>
      </ns0:c>
      <ns0:c r="N86" t="str" s="13">
        <ns0:v>Symbols\MY_LIB_Capacitors.SchLib</ns0:v>
      </ns0:c>
      <ns0:c r="O86" t="str" s="13">
        <ns0:v>CAPC2012X135N</ns0:v>
      </ns0:c>
      <ns0:c r="P86" t="str" s="13">
        <ns0:v>Footprints\PBL - SMD Packages.PcbLib</ns0:v>
      </ns0:c>
      <ns0:c r="Q86" t="str" s="14">
        <ns0:v>YAGEO CC; список 20.10.2026</ns0:v>
      </ns0:c>
      <ns0:c r="R86" t="str" s="11">
        <ns0:f>D86</ns0:f>
        <ns0:v>27 нФ</ns0:v>
      </ns0:c>
      <ns0:c r="S86" t="str" s="11">
        <ns0:f>L86</ns0:f>
        <ns0:v>Конденсатор 27 нФ ±10% 100 В X7R 0805</ns0:v>
      </ns0:c>
      <x:c xmlns:x="http://schemas.openxmlformats.org/spreadsheetml/2006/main" r="T86" t="str" s="11">
        <x:v>C:\Users\Nomatin\Documents\Altium\MY_LIB\MY_LIB\Datasheets\YAGEO_CC_X7R.pdf</x:v>
      </x:c>
      <x:c xmlns:x="http://schemas.openxmlformats.org/spreadsheetml/2006/main" r="U86" t="str" s="11">
        <x:v>Даташит — локальный</x:v>
      </x:c>
      <x:c xmlns:x="http://schemas.openxmlformats.org/spreadsheetml/2006/main" r="V86" t="str" s="11">
        <x:v>C:\Users\Nomatin\Documents\Altium\MY_LIB\MY_LIB\Datasheets\YAGEO_CC_X7R.pdf</x:v>
      </x:c>
      <x:c xmlns:x="http://schemas.openxmlformats.org/spreadsheetml/2006/main" r="W86" t="str" s="11">
        <x:v>Даташит — производитель</x:v>
      </x:c>
      <x:c xmlns:x="http://schemas.openxmlformats.org/spreadsheetml/2006/main" r="X86" t="str" s="11">
        <x:v>https://yageogroup.com/content/datasheet/asset/file/UPY-GPHC_X7R_6_3V-TO-250V</x:v>
      </x:c>
      <x:c xmlns:x="http://schemas.openxmlformats.org/spreadsheetml/2006/main" r="Y86" t="str" s="11">
        <x:v>C:\Users\Nomatin\Documents\Altium\MY_LIB\MY_LIB\Datasheets\YAGEO_CC_X7R.pdf</x:v>
      </x:c>
    </ns0:row>
    <ns0:row r="87" ht="30" customHeight="1">
      <ns0:c r="A87" t="str" s="14">
        <ns0:v>C0088</ns0:v>
      </ns0:c>
      <ns0:c r="B87" t="str" s="14">
        <ns0:v>Конденсатор</ns0:v>
      </ns0:c>
      <ns0:c r="C87" t="str" s="14">
        <ns0:v>33n</ns0:v>
      </ns0:c>
      <ns0:c r="D87" t="str" s="11">
        <ns0:f>SUBSTITUTE(SUBSTITUTE(SUBSTITUTE(SUBSTITUTE(C87,"p"," пФ"),"n"," нФ"),"u"," мкФ"),".",",")</ns0:f>
        <ns0:v>33 нФ</ns0:v>
      </ns0:c>
      <ns0:c r="E87" t="str" s="14">
        <ns0:v>±10%</ns0:v>
      </ns0:c>
      <ns0:c r="F87" s="14"/>
      <ns0:c r="G87" t="str" s="14">
        <ns0:v>100 В</ns0:v>
      </ns0:c>
      <ns0:c r="H87" t="str" s="14">
        <ns0:v>X7R</ns0:v>
      </ns0:c>
      <ns0:c r="I87" t="str" s="15">
        <ns0:v>0805</ns0:v>
      </ns0:c>
      <ns0:c r="J87" t="str" s="14">
        <ns0:v>YAGEO</ns0:v>
      </ns0:c>
      <ns0:c r="K87" t="str" s="14">
        <ns0:v>CC0805KKX7R0BB333</ns0:v>
      </ns0:c>
      <ns0:c r="L87" t="str" s="11">
        <ns0:f>B87&amp;" "&amp;D87&amp;" "&amp;E87&amp;" "&amp;G87&amp;" "&amp;H87&amp;" "&amp;I87</ns0:f>
        <ns0:v>Конденсатор 33 нФ ±10% 100 В X7R 0805</ns0:v>
      </ns0:c>
      <ns0:c r="M87" t="str" s="13">
        <ns0:v>C</ns0:v>
      </ns0:c>
      <ns0:c r="N87" t="str" s="13">
        <ns0:v>Symbols\MY_LIB_Capacitors.SchLib</ns0:v>
      </ns0:c>
      <ns0:c r="O87" t="str" s="13">
        <ns0:v>CAPC2012X135N</ns0:v>
      </ns0:c>
      <ns0:c r="P87" t="str" s="13">
        <ns0:v>Footprints\PBL - SMD Packages.PcbLib</ns0:v>
      </ns0:c>
      <ns0:c r="Q87" t="str" s="14">
        <ns0:v>YAGEO CC; список 20.10.2026</ns0:v>
      </ns0:c>
      <ns0:c r="R87" t="str" s="11">
        <ns0:f>D87</ns0:f>
        <ns0:v>33 нФ</ns0:v>
      </ns0:c>
      <ns0:c r="S87" t="str" s="11">
        <ns0:f>L87</ns0:f>
        <ns0:v>Конденсатор 33 нФ ±10% 100 В X7R 0805</ns0:v>
      </ns0:c>
      <x:c xmlns:x="http://schemas.openxmlformats.org/spreadsheetml/2006/main" r="T87" t="str" s="11">
        <x:v>C:\Users\Nomatin\Documents\Altium\MY_LIB\MY_LIB\Datasheets\YAGEO_CC_X7R.pdf</x:v>
      </x:c>
      <x:c xmlns:x="http://schemas.openxmlformats.org/spreadsheetml/2006/main" r="U87" t="str" s="11">
        <x:v>Даташит — локальный</x:v>
      </x:c>
      <x:c xmlns:x="http://schemas.openxmlformats.org/spreadsheetml/2006/main" r="V87" t="str" s="11">
        <x:v>C:\Users\Nomatin\Documents\Altium\MY_LIB\MY_LIB\Datasheets\YAGEO_CC_X7R.pdf</x:v>
      </x:c>
      <x:c xmlns:x="http://schemas.openxmlformats.org/spreadsheetml/2006/main" r="W87" t="str" s="11">
        <x:v>Даташит — производитель</x:v>
      </x:c>
      <x:c xmlns:x="http://schemas.openxmlformats.org/spreadsheetml/2006/main" r="X87" t="str" s="11">
        <x:v>https://yageogroup.com/content/datasheet/asset/file/UPY-GPHC_X7R_6_3V-TO-250V</x:v>
      </x:c>
      <x:c xmlns:x="http://schemas.openxmlformats.org/spreadsheetml/2006/main" r="Y87" t="str" s="11">
        <x:v>C:\Users\Nomatin\Documents\Altium\MY_LIB\MY_LIB\Datasheets\YAGEO_CC_X7R.pdf</x:v>
      </x:c>
    </ns0:row>
    <ns0:row r="88" ht="30" customHeight="1">
      <ns0:c r="A88" t="str" s="14">
        <ns0:v>C0089</ns0:v>
      </ns0:c>
      <ns0:c r="B88" t="str" s="14">
        <ns0:v>Конденсатор</ns0:v>
      </ns0:c>
      <ns0:c r="C88" t="str" s="14">
        <ns0:v>39n</ns0:v>
      </ns0:c>
      <ns0:c r="D88" t="str" s="11">
        <ns0:f>SUBSTITUTE(SUBSTITUTE(SUBSTITUTE(SUBSTITUTE(C88,"p"," пФ"),"n"," нФ"),"u"," мкФ"),".",",")</ns0:f>
        <ns0:v>39 нФ</ns0:v>
      </ns0:c>
      <ns0:c r="E88" t="str" s="14">
        <ns0:v>±10%</ns0:v>
      </ns0:c>
      <ns0:c r="F88" s="14"/>
      <ns0:c r="G88" t="str" s="14">
        <ns0:v>100 В</ns0:v>
      </ns0:c>
      <ns0:c r="H88" t="str" s="14">
        <ns0:v>X7R</ns0:v>
      </ns0:c>
      <ns0:c r="I88" t="str" s="15">
        <ns0:v>0805</ns0:v>
      </ns0:c>
      <ns0:c r="J88" t="str" s="14">
        <ns0:v>YAGEO</ns0:v>
      </ns0:c>
      <ns0:c r="K88" t="str" s="14">
        <ns0:v>CC0805KKX7R0BB393</ns0:v>
      </ns0:c>
      <ns0:c r="L88" t="str" s="11">
        <ns0:f>B88&amp;" "&amp;D88&amp;" "&amp;E88&amp;" "&amp;G88&amp;" "&amp;H88&amp;" "&amp;I88</ns0:f>
        <ns0:v>Конденсатор 39 нФ ±10% 100 В X7R 0805</ns0:v>
      </ns0:c>
      <ns0:c r="M88" t="str" s="13">
        <ns0:v>C</ns0:v>
      </ns0:c>
      <ns0:c r="N88" t="str" s="13">
        <ns0:v>Symbols\MY_LIB_Capacitors.SchLib</ns0:v>
      </ns0:c>
      <ns0:c r="O88" t="str" s="13">
        <ns0:v>CAPC2012X135N</ns0:v>
      </ns0:c>
      <ns0:c r="P88" t="str" s="13">
        <ns0:v>Footprints\PBL - SMD Packages.PcbLib</ns0:v>
      </ns0:c>
      <ns0:c r="Q88" t="str" s="14">
        <ns0:v>YAGEO CC; список 20.10.2026</ns0:v>
      </ns0:c>
      <ns0:c r="R88" t="str" s="11">
        <ns0:f>D88</ns0:f>
        <ns0:v>39 нФ</ns0:v>
      </ns0:c>
      <ns0:c r="S88" t="str" s="11">
        <ns0:f>L88</ns0:f>
        <ns0:v>Конденсатор 39 нФ ±10% 100 В X7R 0805</ns0:v>
      </ns0:c>
      <x:c xmlns:x="http://schemas.openxmlformats.org/spreadsheetml/2006/main" r="T88" t="str" s="11">
        <x:v>C:\Users\Nomatin\Documents\Altium\MY_LIB\MY_LIB\Datasheets\YAGEO_CC_X7R.pdf</x:v>
      </x:c>
      <x:c xmlns:x="http://schemas.openxmlformats.org/spreadsheetml/2006/main" r="U88" t="str" s="11">
        <x:v>Даташит — локальный</x:v>
      </x:c>
      <x:c xmlns:x="http://schemas.openxmlformats.org/spreadsheetml/2006/main" r="V88" t="str" s="11">
        <x:v>C:\Users\Nomatin\Documents\Altium\MY_LIB\MY_LIB\Datasheets\YAGEO_CC_X7R.pdf</x:v>
      </x:c>
      <x:c xmlns:x="http://schemas.openxmlformats.org/spreadsheetml/2006/main" r="W88" t="str" s="11">
        <x:v>Даташит — производитель</x:v>
      </x:c>
      <x:c xmlns:x="http://schemas.openxmlformats.org/spreadsheetml/2006/main" r="X88" t="str" s="11">
        <x:v>https://yageogroup.com/content/datasheet/asset/file/UPY-GPHC_X7R_6_3V-TO-250V</x:v>
      </x:c>
      <x:c xmlns:x="http://schemas.openxmlformats.org/spreadsheetml/2006/main" r="Y88" t="str" s="11">
        <x:v>C:\Users\Nomatin\Documents\Altium\MY_LIB\MY_LIB\Datasheets\YAGEO_CC_X7R.pdf</x:v>
      </x:c>
    </ns0:row>
    <ns0:row r="89" ht="30" customHeight="1">
      <ns0:c r="A89" t="str" s="14">
        <ns0:v>C0090</ns0:v>
      </ns0:c>
      <ns0:c r="B89" t="str" s="14">
        <ns0:v>Конденсатор</ns0:v>
      </ns0:c>
      <ns0:c r="C89" t="str" s="14">
        <ns0:v>47n</ns0:v>
      </ns0:c>
      <ns0:c r="D89" t="str" s="11">
        <ns0:f>SUBSTITUTE(SUBSTITUTE(SUBSTITUTE(SUBSTITUTE(C89,"p"," пФ"),"n"," нФ"),"u"," мкФ"),".",",")</ns0:f>
        <ns0:v>47 нФ</ns0:v>
      </ns0:c>
      <ns0:c r="E89" t="str" s="14">
        <ns0:v>±10%</ns0:v>
      </ns0:c>
      <ns0:c r="F89" s="14"/>
      <ns0:c r="G89" t="str" s="14">
        <ns0:v>100 В</ns0:v>
      </ns0:c>
      <ns0:c r="H89" t="str" s="14">
        <ns0:v>X7R</ns0:v>
      </ns0:c>
      <ns0:c r="I89" t="str" s="15">
        <ns0:v>0805</ns0:v>
      </ns0:c>
      <ns0:c r="J89" t="str" s="14">
        <ns0:v>YAGEO</ns0:v>
      </ns0:c>
      <ns0:c r="K89" t="str" s="14">
        <ns0:v>CC0805KKX7R0BB473</ns0:v>
      </ns0:c>
      <ns0:c r="L89" t="str" s="11">
        <ns0:f>B89&amp;" "&amp;D89&amp;" "&amp;E89&amp;" "&amp;G89&amp;" "&amp;H89&amp;" "&amp;I89</ns0:f>
        <ns0:v>Конденсатор 47 нФ ±10% 100 В X7R 0805</ns0:v>
      </ns0:c>
      <ns0:c r="M89" t="str" s="13">
        <ns0:v>C</ns0:v>
      </ns0:c>
      <ns0:c r="N89" t="str" s="13">
        <ns0:v>Symbols\MY_LIB_Capacitors.SchLib</ns0:v>
      </ns0:c>
      <ns0:c r="O89" t="str" s="13">
        <ns0:v>CAPC2012X135N</ns0:v>
      </ns0:c>
      <ns0:c r="P89" t="str" s="13">
        <ns0:v>Footprints\PBL - SMD Packages.PcbLib</ns0:v>
      </ns0:c>
      <ns0:c r="Q89" t="str" s="14">
        <ns0:v>YAGEO CC; список 20.10.2026</ns0:v>
      </ns0:c>
      <ns0:c r="R89" t="str" s="11">
        <ns0:f>D89</ns0:f>
        <ns0:v>47 нФ</ns0:v>
      </ns0:c>
      <ns0:c r="S89" t="str" s="11">
        <ns0:f>L89</ns0:f>
        <ns0:v>Конденсатор 47 нФ ±10% 100 В X7R 0805</ns0:v>
      </ns0:c>
      <x:c xmlns:x="http://schemas.openxmlformats.org/spreadsheetml/2006/main" r="T89" t="str" s="11">
        <x:v>C:\Users\Nomatin\Documents\Altium\MY_LIB\MY_LIB\Datasheets\YAGEO_CC_X7R.pdf</x:v>
      </x:c>
      <x:c xmlns:x="http://schemas.openxmlformats.org/spreadsheetml/2006/main" r="U89" t="str" s="11">
        <x:v>Даташит — локальный</x:v>
      </x:c>
      <x:c xmlns:x="http://schemas.openxmlformats.org/spreadsheetml/2006/main" r="V89" t="str" s="11">
        <x:v>C:\Users\Nomatin\Documents\Altium\MY_LIB\MY_LIB\Datasheets\YAGEO_CC_X7R.pdf</x:v>
      </x:c>
      <x:c xmlns:x="http://schemas.openxmlformats.org/spreadsheetml/2006/main" r="W89" t="str" s="11">
        <x:v>Даташит — производитель</x:v>
      </x:c>
      <x:c xmlns:x="http://schemas.openxmlformats.org/spreadsheetml/2006/main" r="X89" t="str" s="11">
        <x:v>https://yageogroup.com/content/datasheet/asset/file/UPY-GPHC_X7R_6_3V-TO-250V</x:v>
      </x:c>
      <x:c xmlns:x="http://schemas.openxmlformats.org/spreadsheetml/2006/main" r="Y89" t="str" s="11">
        <x:v>C:\Users\Nomatin\Documents\Altium\MY_LIB\MY_LIB\Datasheets\YAGEO_CC_X7R.pdf</x:v>
      </x:c>
    </ns0:row>
    <ns0:row r="90" ht="30" customHeight="1">
      <ns0:c r="A90" t="str" s="14">
        <ns0:v>C0091</ns0:v>
      </ns0:c>
      <ns0:c r="B90" t="str" s="14">
        <ns0:v>Конденсатор</ns0:v>
      </ns0:c>
      <ns0:c r="C90" t="str" s="14">
        <ns0:v>56n</ns0:v>
      </ns0:c>
      <ns0:c r="D90" t="str" s="11">
        <ns0:f>SUBSTITUTE(SUBSTITUTE(SUBSTITUTE(SUBSTITUTE(C90,"p"," пФ"),"n"," нФ"),"u"," мкФ"),".",",")</ns0:f>
        <ns0:v>56 нФ</ns0:v>
      </ns0:c>
      <ns0:c r="E90" t="str" s="14">
        <ns0:v>±10%</ns0:v>
      </ns0:c>
      <ns0:c r="F90" s="14"/>
      <ns0:c r="G90" t="str" s="14">
        <ns0:v>100 В</ns0:v>
      </ns0:c>
      <ns0:c r="H90" t="str" s="14">
        <ns0:v>X7R</ns0:v>
      </ns0:c>
      <ns0:c r="I90" t="str" s="15">
        <ns0:v>0805</ns0:v>
      </ns0:c>
      <ns0:c r="J90" t="str" s="14">
        <ns0:v>YAGEO</ns0:v>
      </ns0:c>
      <ns0:c r="K90" t="str" s="14">
        <ns0:v>CC0805KKX7R0BB563</ns0:v>
      </ns0:c>
      <ns0:c r="L90" t="str" s="11">
        <ns0:f>B90&amp;" "&amp;D90&amp;" "&amp;E90&amp;" "&amp;G90&amp;" "&amp;H90&amp;" "&amp;I90</ns0:f>
        <ns0:v>Конденсатор 56 нФ ±10% 100 В X7R 0805</ns0:v>
      </ns0:c>
      <ns0:c r="M90" t="str" s="13">
        <ns0:v>C</ns0:v>
      </ns0:c>
      <ns0:c r="N90" t="str" s="13">
        <ns0:v>Symbols\MY_LIB_Capacitors.SchLib</ns0:v>
      </ns0:c>
      <ns0:c r="O90" t="str" s="13">
        <ns0:v>CAPC2012X135N</ns0:v>
      </ns0:c>
      <ns0:c r="P90" t="str" s="13">
        <ns0:v>Footprints\PBL - SMD Packages.PcbLib</ns0:v>
      </ns0:c>
      <ns0:c r="Q90" t="str" s="14">
        <ns0:v>YAGEO CC; список 20.10.2026</ns0:v>
      </ns0:c>
      <ns0:c r="R90" t="str" s="11">
        <ns0:f>D90</ns0:f>
        <ns0:v>56 нФ</ns0:v>
      </ns0:c>
      <ns0:c r="S90" t="str" s="11">
        <ns0:f>L90</ns0:f>
        <ns0:v>Конденсатор 56 нФ ±10% 100 В X7R 0805</ns0:v>
      </ns0:c>
      <x:c xmlns:x="http://schemas.openxmlformats.org/spreadsheetml/2006/main" r="T90" t="str" s="11">
        <x:v>C:\Users\Nomatin\Documents\Altium\MY_LIB\MY_LIB\Datasheets\YAGEO_CC_X7R.pdf</x:v>
      </x:c>
      <x:c xmlns:x="http://schemas.openxmlformats.org/spreadsheetml/2006/main" r="U90" t="str" s="11">
        <x:v>Даташит — локальный</x:v>
      </x:c>
      <x:c xmlns:x="http://schemas.openxmlformats.org/spreadsheetml/2006/main" r="V90" t="str" s="11">
        <x:v>C:\Users\Nomatin\Documents\Altium\MY_LIB\MY_LIB\Datasheets\YAGEO_CC_X7R.pdf</x:v>
      </x:c>
      <x:c xmlns:x="http://schemas.openxmlformats.org/spreadsheetml/2006/main" r="W90" t="str" s="11">
        <x:v>Даташит — производитель</x:v>
      </x:c>
      <x:c xmlns:x="http://schemas.openxmlformats.org/spreadsheetml/2006/main" r="X90" t="str" s="11">
        <x:v>https://yageogroup.com/content/datasheet/asset/file/UPY-GPHC_X7R_6_3V-TO-250V</x:v>
      </x:c>
      <x:c xmlns:x="http://schemas.openxmlformats.org/spreadsheetml/2006/main" r="Y90" t="str" s="11">
        <x:v>C:\Users\Nomatin\Documents\Altium\MY_LIB\MY_LIB\Datasheets\YAGEO_CC_X7R.pdf</x:v>
      </x:c>
    </ns0:row>
    <ns0:row r="91" ht="30" customHeight="1">
      <ns0:c r="A91" t="str" s="14">
        <ns0:v>C0092</ns0:v>
      </ns0:c>
      <ns0:c r="B91" t="str" s="14">
        <ns0:v>Конденсатор</ns0:v>
      </ns0:c>
      <ns0:c r="C91" t="str" s="14">
        <ns0:v>68n</ns0:v>
      </ns0:c>
      <ns0:c r="D91" t="str" s="11">
        <ns0:f>SUBSTITUTE(SUBSTITUTE(SUBSTITUTE(SUBSTITUTE(C91,"p"," пФ"),"n"," нФ"),"u"," мкФ"),".",",")</ns0:f>
        <ns0:v>68 нФ</ns0:v>
      </ns0:c>
      <ns0:c r="E91" t="str" s="14">
        <ns0:v>±10%</ns0:v>
      </ns0:c>
      <ns0:c r="F91" s="14"/>
      <ns0:c r="G91" t="str" s="14">
        <ns0:v>100 В</ns0:v>
      </ns0:c>
      <ns0:c r="H91" t="str" s="14">
        <ns0:v>X7R</ns0:v>
      </ns0:c>
      <ns0:c r="I91" t="str" s="15">
        <ns0:v>0805</ns0:v>
      </ns0:c>
      <ns0:c r="J91" t="str" s="14">
        <ns0:v>YAGEO</ns0:v>
      </ns0:c>
      <ns0:c r="K91" t="str" s="14">
        <ns0:v>CC0805KKX7R0BB683</ns0:v>
      </ns0:c>
      <ns0:c r="L91" t="str" s="11">
        <ns0:f>B91&amp;" "&amp;D91&amp;" "&amp;E91&amp;" "&amp;G91&amp;" "&amp;H91&amp;" "&amp;I91</ns0:f>
        <ns0:v>Конденсатор 68 нФ ±10% 100 В X7R 0805</ns0:v>
      </ns0:c>
      <ns0:c r="M91" t="str" s="13">
        <ns0:v>C</ns0:v>
      </ns0:c>
      <ns0:c r="N91" t="str" s="13">
        <ns0:v>Symbols\MY_LIB_Capacitors.SchLib</ns0:v>
      </ns0:c>
      <ns0:c r="O91" t="str" s="13">
        <ns0:v>CAPC2012X135N</ns0:v>
      </ns0:c>
      <ns0:c r="P91" t="str" s="13">
        <ns0:v>Footprints\PBL - SMD Packages.PcbLib</ns0:v>
      </ns0:c>
      <ns0:c r="Q91" t="str" s="14">
        <ns0:v>YAGEO CC; список 20.10.2026</ns0:v>
      </ns0:c>
      <ns0:c r="R91" t="str" s="11">
        <ns0:f>D91</ns0:f>
        <ns0:v>68 нФ</ns0:v>
      </ns0:c>
      <ns0:c r="S91" t="str" s="11">
        <ns0:f>L91</ns0:f>
        <ns0:v>Конденсатор 68 нФ ±10% 100 В X7R 0805</ns0:v>
      </ns0:c>
      <x:c xmlns:x="http://schemas.openxmlformats.org/spreadsheetml/2006/main" r="T91" t="str" s="11">
        <x:v>C:\Users\Nomatin\Documents\Altium\MY_LIB\MY_LIB\Datasheets\YAGEO_CC_X7R.pdf</x:v>
      </x:c>
      <x:c xmlns:x="http://schemas.openxmlformats.org/spreadsheetml/2006/main" r="U91" t="str" s="11">
        <x:v>Даташит — локальный</x:v>
      </x:c>
      <x:c xmlns:x="http://schemas.openxmlformats.org/spreadsheetml/2006/main" r="V91" t="str" s="11">
        <x:v>C:\Users\Nomatin\Documents\Altium\MY_LIB\MY_LIB\Datasheets\YAGEO_CC_X7R.pdf</x:v>
      </x:c>
      <x:c xmlns:x="http://schemas.openxmlformats.org/spreadsheetml/2006/main" r="W91" t="str" s="11">
        <x:v>Даташит — производитель</x:v>
      </x:c>
      <x:c xmlns:x="http://schemas.openxmlformats.org/spreadsheetml/2006/main" r="X91" t="str" s="11">
        <x:v>https://yageogroup.com/content/datasheet/asset/file/UPY-GPHC_X7R_6_3V-TO-250V</x:v>
      </x:c>
      <x:c xmlns:x="http://schemas.openxmlformats.org/spreadsheetml/2006/main" r="Y91" t="str" s="11">
        <x:v>C:\Users\Nomatin\Documents\Altium\MY_LIB\MY_LIB\Datasheets\YAGEO_CC_X7R.pdf</x:v>
      </x:c>
    </ns0:row>
    <ns0:row r="92" ht="30" customHeight="1">
      <ns0:c r="A92" t="str" s="14">
        <ns0:v>C0093</ns0:v>
      </ns0:c>
      <ns0:c r="B92" t="str" s="14">
        <ns0:v>Конденсатор</ns0:v>
      </ns0:c>
      <ns0:c r="C92" t="str" s="14">
        <ns0:v>82n</ns0:v>
      </ns0:c>
      <ns0:c r="D92" t="str" s="11">
        <ns0:f>SUBSTITUTE(SUBSTITUTE(SUBSTITUTE(SUBSTITUTE(C92,"p"," пФ"),"n"," нФ"),"u"," мкФ"),".",",")</ns0:f>
        <ns0:v>82 нФ</ns0:v>
      </ns0:c>
      <ns0:c r="E92" t="str" s="14">
        <ns0:v>±10%</ns0:v>
      </ns0:c>
      <ns0:c r="F92" s="14"/>
      <ns0:c r="G92" t="str" s="14">
        <ns0:v>100 В</ns0:v>
      </ns0:c>
      <ns0:c r="H92" t="str" s="14">
        <ns0:v>X7R</ns0:v>
      </ns0:c>
      <ns0:c r="I92" t="str" s="15">
        <ns0:v>0805</ns0:v>
      </ns0:c>
      <ns0:c r="J92" t="str" s="14">
        <ns0:v>YAGEO</ns0:v>
      </ns0:c>
      <ns0:c r="K92" t="str" s="14">
        <ns0:v>CC0805KKX7R0BB823</ns0:v>
      </ns0:c>
      <ns0:c r="L92" t="str" s="11">
        <ns0:f>B92&amp;" "&amp;D92&amp;" "&amp;E92&amp;" "&amp;G92&amp;" "&amp;H92&amp;" "&amp;I92</ns0:f>
        <ns0:v>Конденсатор 82 нФ ±10% 100 В X7R 0805</ns0:v>
      </ns0:c>
      <ns0:c r="M92" t="str" s="13">
        <ns0:v>C</ns0:v>
      </ns0:c>
      <ns0:c r="N92" t="str" s="13">
        <ns0:v>Symbols\MY_LIB_Capacitors.SchLib</ns0:v>
      </ns0:c>
      <ns0:c r="O92" t="str" s="13">
        <ns0:v>CAPC2012X135N</ns0:v>
      </ns0:c>
      <ns0:c r="P92" t="str" s="13">
        <ns0:v>Footprints\PBL - SMD Packages.PcbLib</ns0:v>
      </ns0:c>
      <ns0:c r="Q92" t="str" s="14">
        <ns0:v>YAGEO CC; список 20.10.2026</ns0:v>
      </ns0:c>
      <ns0:c r="R92" t="str" s="11">
        <ns0:f>D92</ns0:f>
        <ns0:v>82 нФ</ns0:v>
      </ns0:c>
      <ns0:c r="S92" t="str" s="11">
        <ns0:f>L92</ns0:f>
        <ns0:v>Конденсатор 82 нФ ±10% 100 В X7R 0805</ns0:v>
      </ns0:c>
      <x:c xmlns:x="http://schemas.openxmlformats.org/spreadsheetml/2006/main" r="T92" t="str" s="11">
        <x:v>C:\Users\Nomatin\Documents\Altium\MY_LIB\MY_LIB\Datasheets\YAGEO_CC_X7R.pdf</x:v>
      </x:c>
      <x:c xmlns:x="http://schemas.openxmlformats.org/spreadsheetml/2006/main" r="U92" t="str" s="11">
        <x:v>Даташит — локальный</x:v>
      </x:c>
      <x:c xmlns:x="http://schemas.openxmlformats.org/spreadsheetml/2006/main" r="V92" t="str" s="11">
        <x:v>C:\Users\Nomatin\Documents\Altium\MY_LIB\MY_LIB\Datasheets\YAGEO_CC_X7R.pdf</x:v>
      </x:c>
      <x:c xmlns:x="http://schemas.openxmlformats.org/spreadsheetml/2006/main" r="W92" t="str" s="11">
        <x:v>Даташит — производитель</x:v>
      </x:c>
      <x:c xmlns:x="http://schemas.openxmlformats.org/spreadsheetml/2006/main" r="X92" t="str" s="11">
        <x:v>https://yageogroup.com/content/datasheet/asset/file/UPY-GPHC_X7R_6_3V-TO-250V</x:v>
      </x:c>
      <x:c xmlns:x="http://schemas.openxmlformats.org/spreadsheetml/2006/main" r="Y92" t="str" s="11">
        <x:v>C:\Users\Nomatin\Documents\Altium\MY_LIB\MY_LIB\Datasheets\YAGEO_CC_X7R.pdf</x:v>
      </x:c>
    </ns0:row>
    <ns0:row r="93" ht="30" customHeight="1">
      <ns0:c r="A93" t="str" s="14">
        <ns0:v>C0094</ns0:v>
      </ns0:c>
      <ns0:c r="B93" t="str" s="14">
        <ns0:v>Конденсатор</ns0:v>
      </ns0:c>
      <ns0:c r="C93" t="str" s="14">
        <ns0:v>100n</ns0:v>
      </ns0:c>
      <ns0:c r="D93" t="str" s="11">
        <ns0:f>SUBSTITUTE(SUBSTITUTE(SUBSTITUTE(SUBSTITUTE(C93,"p"," пФ"),"n"," нФ"),"u"," мкФ"),".",",")</ns0:f>
        <ns0:v>100 нФ</ns0:v>
      </ns0:c>
      <ns0:c r="E93" t="str" s="14">
        <ns0:v>±10%</ns0:v>
      </ns0:c>
      <ns0:c r="F93" s="14"/>
      <ns0:c r="G93" t="str" s="14">
        <ns0:v>100 В</ns0:v>
      </ns0:c>
      <ns0:c r="H93" t="str" s="14">
        <ns0:v>X7R</ns0:v>
      </ns0:c>
      <ns0:c r="I93" t="str" s="15">
        <ns0:v>0805</ns0:v>
      </ns0:c>
      <ns0:c r="J93" t="str" s="14">
        <ns0:v>YAGEO</ns0:v>
      </ns0:c>
      <ns0:c r="K93" t="str" s="14">
        <ns0:v>CC0805KKX7R0BB104</ns0:v>
      </ns0:c>
      <ns0:c r="L93" t="str" s="11">
        <ns0:f>B93&amp;" "&amp;D93&amp;" "&amp;E93&amp;" "&amp;G93&amp;" "&amp;H93&amp;" "&amp;I93</ns0:f>
        <ns0:v>Конденсатор 100 нФ ±10% 100 В X7R 0805</ns0:v>
      </ns0:c>
      <ns0:c r="M93" t="str" s="13">
        <ns0:v>C</ns0:v>
      </ns0:c>
      <ns0:c r="N93" t="str" s="13">
        <ns0:v>Symbols\MY_LIB_Capacitors.SchLib</ns0:v>
      </ns0:c>
      <ns0:c r="O93" t="str" s="13">
        <ns0:v>CAPC2012X135N</ns0:v>
      </ns0:c>
      <ns0:c r="P93" t="str" s="13">
        <ns0:v>Footprints\PBL - SMD Packages.PcbLib</ns0:v>
      </ns0:c>
      <ns0:c r="Q93" t="str" s="14">
        <ns0:v>YAGEO CC; список 20.10.2026</ns0:v>
      </ns0:c>
      <ns0:c r="R93" t="str" s="11">
        <ns0:f>D93</ns0:f>
        <ns0:v>100 нФ</ns0:v>
      </ns0:c>
      <ns0:c r="S93" t="str" s="11">
        <ns0:f>L93</ns0:f>
        <ns0:v>Конденсатор 100 нФ ±10% 100 В X7R 0805</ns0:v>
      </ns0:c>
      <x:c xmlns:x="http://schemas.openxmlformats.org/spreadsheetml/2006/main" r="T93" t="str" s="11">
        <x:v>C:\Users\Nomatin\Documents\Altium\MY_LIB\MY_LIB\Datasheets\YAGEO_CC_X7R.pdf</x:v>
      </x:c>
      <x:c xmlns:x="http://schemas.openxmlformats.org/spreadsheetml/2006/main" r="U93" t="str" s="11">
        <x:v>Даташит — локальный</x:v>
      </x:c>
      <x:c xmlns:x="http://schemas.openxmlformats.org/spreadsheetml/2006/main" r="V93" t="str" s="11">
        <x:v>C:\Users\Nomatin\Documents\Altium\MY_LIB\MY_LIB\Datasheets\YAGEO_CC_X7R.pdf</x:v>
      </x:c>
      <x:c xmlns:x="http://schemas.openxmlformats.org/spreadsheetml/2006/main" r="W93" t="str" s="11">
        <x:v>Даташит — производитель</x:v>
      </x:c>
      <x:c xmlns:x="http://schemas.openxmlformats.org/spreadsheetml/2006/main" r="X93" t="str" s="11">
        <x:v>https://yageogroup.com/content/datasheet/asset/file/UPY-GPHC_X7R_6_3V-TO-250V</x:v>
      </x:c>
      <x:c xmlns:x="http://schemas.openxmlformats.org/spreadsheetml/2006/main" r="Y93" t="str" s="11">
        <x:v>C:\Users\Nomatin\Documents\Altium\MY_LIB\MY_LIB\Datasheets\YAGEO_CC_X7R.pdf</x:v>
      </x:c>
    </ns0:row>
    <ns0:row r="94" ht="30" customHeight="1">
      <ns0:c r="A94" t="str" s="14">
        <ns0:v>C0095</ns0:v>
      </ns0:c>
      <ns0:c r="B94" t="str" s="14">
        <ns0:v>Конденсатор</ns0:v>
      </ns0:c>
      <ns0:c r="C94" t="str" s="14">
        <ns0:v>120n</ns0:v>
      </ns0:c>
      <ns0:c r="D94" t="str" s="11">
        <ns0:f>SUBSTITUTE(SUBSTITUTE(SUBSTITUTE(SUBSTITUTE(C94,"p"," пФ"),"n"," нФ"),"u"," мкФ"),".",",")</ns0:f>
        <ns0:v>120 нФ</ns0:v>
      </ns0:c>
      <ns0:c r="E94" t="str" s="14">
        <ns0:v>±10%</ns0:v>
      </ns0:c>
      <ns0:c r="F94" s="14"/>
      <ns0:c r="G94" t="str" s="14">
        <ns0:v>50 В</ns0:v>
      </ns0:c>
      <ns0:c r="H94" t="str" s="14">
        <ns0:v>X7R</ns0:v>
      </ns0:c>
      <ns0:c r="I94" t="str" s="15">
        <ns0:v>0805</ns0:v>
      </ns0:c>
      <ns0:c r="J94" t="str" s="14">
        <ns0:v>YAGEO</ns0:v>
      </ns0:c>
      <ns0:c r="K94" t="str" s="14">
        <ns0:v>CC0805KRX7R9BB124</ns0:v>
      </ns0:c>
      <ns0:c r="L94" t="str" s="11">
        <ns0:f>B94&amp;" "&amp;D94&amp;" "&amp;E94&amp;" "&amp;G94&amp;" "&amp;H94&amp;" "&amp;I94</ns0:f>
        <ns0:v>Конденсатор 120 нФ ±10% 50 В X7R 0805</ns0:v>
      </ns0:c>
      <ns0:c r="M94" t="str" s="13">
        <ns0:v>C</ns0:v>
      </ns0:c>
      <ns0:c r="N94" t="str" s="13">
        <ns0:v>Symbols\MY_LIB_Capacitors.SchLib</ns0:v>
      </ns0:c>
      <ns0:c r="O94" t="str" s="13">
        <ns0:v>CAPC2012X135N</ns0:v>
      </ns0:c>
      <ns0:c r="P94" t="str" s="13">
        <ns0:v>Footprints\PBL - SMD Packages.PcbLib</ns0:v>
      </ns0:c>
      <ns0:c r="Q94" t="str" s="14">
        <ns0:v>YAGEO CC; список 20.10.2026</ns0:v>
      </ns0:c>
      <ns0:c r="R94" t="str" s="11">
        <ns0:f>D94</ns0:f>
        <ns0:v>120 нФ</ns0:v>
      </ns0:c>
      <ns0:c r="S94" t="str" s="11">
        <ns0:f>L94</ns0:f>
        <ns0:v>Конденсатор 120 нФ ±10% 50 В X7R 0805</ns0:v>
      </ns0:c>
      <x:c xmlns:x="http://schemas.openxmlformats.org/spreadsheetml/2006/main" r="T94" t="str" s="11">
        <x:v>C:\Users\Nomatin\Documents\Altium\MY_LIB\MY_LIB\Datasheets\YAGEO_CC_X7R.pdf</x:v>
      </x:c>
      <x:c xmlns:x="http://schemas.openxmlformats.org/spreadsheetml/2006/main" r="U94" t="str" s="11">
        <x:v>Даташит — локальный</x:v>
      </x:c>
      <x:c xmlns:x="http://schemas.openxmlformats.org/spreadsheetml/2006/main" r="V94" t="str" s="11">
        <x:v>C:\Users\Nomatin\Documents\Altium\MY_LIB\MY_LIB\Datasheets\YAGEO_CC_X7R.pdf</x:v>
      </x:c>
      <x:c xmlns:x="http://schemas.openxmlformats.org/spreadsheetml/2006/main" r="W94" t="str" s="11">
        <x:v>Даташит — производитель</x:v>
      </x:c>
      <x:c xmlns:x="http://schemas.openxmlformats.org/spreadsheetml/2006/main" r="X94" t="str" s="11">
        <x:v>https://yageogroup.com/content/datasheet/asset/file/UPY-GPHC_X7R_6_3V-TO-250V</x:v>
      </x:c>
      <x:c xmlns:x="http://schemas.openxmlformats.org/spreadsheetml/2006/main" r="Y94" t="str" s="11">
        <x:v>C:\Users\Nomatin\Documents\Altium\MY_LIB\MY_LIB\Datasheets\YAGEO_CC_X7R.pdf</x:v>
      </x:c>
    </ns0:row>
    <ns0:row r="95" ht="30" customHeight="1">
      <ns0:c r="A95" t="str" s="14">
        <ns0:v>C0096</ns0:v>
      </ns0:c>
      <ns0:c r="B95" t="str" s="14">
        <ns0:v>Конденсатор</ns0:v>
      </ns0:c>
      <ns0:c r="C95" t="str" s="14">
        <ns0:v>150n</ns0:v>
      </ns0:c>
      <ns0:c r="D95" t="str" s="11">
        <ns0:f>SUBSTITUTE(SUBSTITUTE(SUBSTITUTE(SUBSTITUTE(C95,"p"," пФ"),"n"," нФ"),"u"," мкФ"),".",",")</ns0:f>
        <ns0:v>150 нФ</ns0:v>
      </ns0:c>
      <ns0:c r="E95" t="str" s="14">
        <ns0:v>±10%</ns0:v>
      </ns0:c>
      <ns0:c r="F95" s="14"/>
      <ns0:c r="G95" t="str" s="14">
        <ns0:v>100 В</ns0:v>
      </ns0:c>
      <ns0:c r="H95" t="str" s="14">
        <ns0:v>X7R</ns0:v>
      </ns0:c>
      <ns0:c r="I95" t="str" s="15">
        <ns0:v>0805</ns0:v>
      </ns0:c>
      <ns0:c r="J95" t="str" s="14">
        <ns0:v>YAGEO</ns0:v>
      </ns0:c>
      <ns0:c r="K95" t="str" s="14">
        <ns0:v>CC0805KKX7R0BB154</ns0:v>
      </ns0:c>
      <ns0:c r="L95" t="str" s="11">
        <ns0:f>B95&amp;" "&amp;D95&amp;" "&amp;E95&amp;" "&amp;G95&amp;" "&amp;H95&amp;" "&amp;I95</ns0:f>
        <ns0:v>Конденсатор 150 нФ ±10% 100 В X7R 0805</ns0:v>
      </ns0:c>
      <ns0:c r="M95" t="str" s="13">
        <ns0:v>C</ns0:v>
      </ns0:c>
      <ns0:c r="N95" t="str" s="13">
        <ns0:v>Symbols\MY_LIB_Capacitors.SchLib</ns0:v>
      </ns0:c>
      <ns0:c r="O95" t="str" s="13">
        <ns0:v>CAPC2012X135N</ns0:v>
      </ns0:c>
      <ns0:c r="P95" t="str" s="13">
        <ns0:v>Footprints\PBL - SMD Packages.PcbLib</ns0:v>
      </ns0:c>
      <ns0:c r="Q95" t="str" s="14">
        <ns0:v>YAGEO CC; список 20.10.2026</ns0:v>
      </ns0:c>
      <ns0:c r="R95" t="str" s="11">
        <ns0:f>D95</ns0:f>
        <ns0:v>150 нФ</ns0:v>
      </ns0:c>
      <ns0:c r="S95" t="str" s="11">
        <ns0:f>L95</ns0:f>
        <ns0:v>Конденсатор 150 нФ ±10% 100 В X7R 0805</ns0:v>
      </ns0:c>
      <x:c xmlns:x="http://schemas.openxmlformats.org/spreadsheetml/2006/main" r="T95" t="str" s="11">
        <x:v>C:\Users\Nomatin\Documents\Altium\MY_LIB\MY_LIB\Datasheets\YAGEO_CC_X7R.pdf</x:v>
      </x:c>
      <x:c xmlns:x="http://schemas.openxmlformats.org/spreadsheetml/2006/main" r="U95" t="str" s="11">
        <x:v>Даташит — локальный</x:v>
      </x:c>
      <x:c xmlns:x="http://schemas.openxmlformats.org/spreadsheetml/2006/main" r="V95" t="str" s="11">
        <x:v>C:\Users\Nomatin\Documents\Altium\MY_LIB\MY_LIB\Datasheets\YAGEO_CC_X7R.pdf</x:v>
      </x:c>
      <x:c xmlns:x="http://schemas.openxmlformats.org/spreadsheetml/2006/main" r="W95" t="str" s="11">
        <x:v>Даташит — производитель</x:v>
      </x:c>
      <x:c xmlns:x="http://schemas.openxmlformats.org/spreadsheetml/2006/main" r="X95" t="str" s="11">
        <x:v>https://yageogroup.com/content/datasheet/asset/file/UPY-GPHC_X7R_6_3V-TO-250V</x:v>
      </x:c>
      <x:c xmlns:x="http://schemas.openxmlformats.org/spreadsheetml/2006/main" r="Y95" t="str" s="11">
        <x:v>C:\Users\Nomatin\Documents\Altium\MY_LIB\MY_LIB\Datasheets\YAGEO_CC_X7R.pdf</x:v>
      </x:c>
    </ns0:row>
    <ns0:row r="96" ht="30" customHeight="1">
      <ns0:c r="A96" t="str" s="14">
        <ns0:v>C0097</ns0:v>
      </ns0:c>
      <ns0:c r="B96" t="str" s="14">
        <ns0:v>Конденсатор</ns0:v>
      </ns0:c>
      <ns0:c r="C96" t="str" s="14">
        <ns0:v>180n</ns0:v>
      </ns0:c>
      <ns0:c r="D96" t="str" s="11">
        <ns0:f>SUBSTITUTE(SUBSTITUTE(SUBSTITUTE(SUBSTITUTE(C96,"p"," пФ"),"n"," нФ"),"u"," мкФ"),".",",")</ns0:f>
        <ns0:v>180 нФ</ns0:v>
      </ns0:c>
      <ns0:c r="E96" t="str" s="14">
        <ns0:v>±10%</ns0:v>
      </ns0:c>
      <ns0:c r="F96" s="14"/>
      <ns0:c r="G96" t="str" s="14">
        <ns0:v>25 В</ns0:v>
      </ns0:c>
      <ns0:c r="H96" t="str" s="14">
        <ns0:v>X7R</ns0:v>
      </ns0:c>
      <ns0:c r="I96" t="str" s="15">
        <ns0:v>0805</ns0:v>
      </ns0:c>
      <ns0:c r="J96" t="str" s="14">
        <ns0:v>YAGEO</ns0:v>
      </ns0:c>
      <ns0:c r="K96" t="str" s="14">
        <ns0:v>CC0805KRX7R8BB184</ns0:v>
      </ns0:c>
      <ns0:c r="L96" t="str" s="11">
        <ns0:f>B96&amp;" "&amp;D96&amp;" "&amp;E96&amp;" "&amp;G96&amp;" "&amp;H96&amp;" "&amp;I96</ns0:f>
        <ns0:v>Конденсатор 180 нФ ±10% 25 В X7R 0805</ns0:v>
      </ns0:c>
      <ns0:c r="M96" t="str" s="13">
        <ns0:v>C</ns0:v>
      </ns0:c>
      <ns0:c r="N96" t="str" s="13">
        <ns0:v>Symbols\MY_LIB_Capacitors.SchLib</ns0:v>
      </ns0:c>
      <ns0:c r="O96" t="str" s="13">
        <ns0:v>CAPC2012X135N</ns0:v>
      </ns0:c>
      <ns0:c r="P96" t="str" s="13">
        <ns0:v>Footprints\PBL - SMD Packages.PcbLib</ns0:v>
      </ns0:c>
      <ns0:c r="Q96" t="str" s="14">
        <ns0:v>YAGEO CC; список 20.10.2026</ns0:v>
      </ns0:c>
      <ns0:c r="R96" t="str" s="11">
        <ns0:f>D96</ns0:f>
        <ns0:v>180 нФ</ns0:v>
      </ns0:c>
      <ns0:c r="S96" t="str" s="11">
        <ns0:f>L96</ns0:f>
        <ns0:v>Конденсатор 180 нФ ±10% 25 В X7R 0805</ns0:v>
      </ns0:c>
      <x:c xmlns:x="http://schemas.openxmlformats.org/spreadsheetml/2006/main" r="T96" t="str" s="11">
        <x:v>C:\Users\Nomatin\Documents\Altium\MY_LIB\MY_LIB\Datasheets\YAGEO_CC_X7R.pdf</x:v>
      </x:c>
      <x:c xmlns:x="http://schemas.openxmlformats.org/spreadsheetml/2006/main" r="U96" t="str" s="11">
        <x:v>Даташит — локальный</x:v>
      </x:c>
      <x:c xmlns:x="http://schemas.openxmlformats.org/spreadsheetml/2006/main" r="V96" t="str" s="11">
        <x:v>C:\Users\Nomatin\Documents\Altium\MY_LIB\MY_LIB\Datasheets\YAGEO_CC_X7R.pdf</x:v>
      </x:c>
      <x:c xmlns:x="http://schemas.openxmlformats.org/spreadsheetml/2006/main" r="W96" t="str" s="11">
        <x:v>Даташит — производитель</x:v>
      </x:c>
      <x:c xmlns:x="http://schemas.openxmlformats.org/spreadsheetml/2006/main" r="X96" t="str" s="11">
        <x:v>https://yageogroup.com/content/datasheet/asset/file/UPY-GPHC_X7R_6_3V-TO-250V</x:v>
      </x:c>
      <x:c xmlns:x="http://schemas.openxmlformats.org/spreadsheetml/2006/main" r="Y96" t="str" s="11">
        <x:v>C:\Users\Nomatin\Documents\Altium\MY_LIB\MY_LIB\Datasheets\YAGEO_CC_X7R.pdf</x:v>
      </x:c>
    </ns0:row>
    <ns0:row r="97" ht="30" customHeight="1">
      <ns0:c r="A97" t="str" s="14">
        <ns0:v>C0098</ns0:v>
      </ns0:c>
      <ns0:c r="B97" t="str" s="14">
        <ns0:v>Конденсатор</ns0:v>
      </ns0:c>
      <ns0:c r="C97" t="str" s="14">
        <ns0:v>220n</ns0:v>
      </ns0:c>
      <ns0:c r="D97" t="str" s="11">
        <ns0:f>SUBSTITUTE(SUBSTITUTE(SUBSTITUTE(SUBSTITUTE(C97,"p"," пФ"),"n"," нФ"),"u"," мкФ"),".",",")</ns0:f>
        <ns0:v>220 нФ</ns0:v>
      </ns0:c>
      <ns0:c r="E97" t="str" s="14">
        <ns0:v>±10%</ns0:v>
      </ns0:c>
      <ns0:c r="F97" s="14"/>
      <ns0:c r="G97" t="str" s="14">
        <ns0:v>100 В</ns0:v>
      </ns0:c>
      <ns0:c r="H97" t="str" s="14">
        <ns0:v>X7R</ns0:v>
      </ns0:c>
      <ns0:c r="I97" t="str" s="15">
        <ns0:v>0805</ns0:v>
      </ns0:c>
      <ns0:c r="J97" t="str" s="14">
        <ns0:v>YAGEO</ns0:v>
      </ns0:c>
      <ns0:c r="K97" t="str" s="14">
        <ns0:v>CC0805KKX7R0BB224</ns0:v>
      </ns0:c>
      <ns0:c r="L97" t="str" s="11">
        <ns0:f>B97&amp;" "&amp;D97&amp;" "&amp;E97&amp;" "&amp;G97&amp;" "&amp;H97&amp;" "&amp;I97</ns0:f>
        <ns0:v>Конденсатор 220 нФ ±10% 100 В X7R 0805</ns0:v>
      </ns0:c>
      <ns0:c r="M97" t="str" s="13">
        <ns0:v>C</ns0:v>
      </ns0:c>
      <ns0:c r="N97" t="str" s="13">
        <ns0:v>Symbols\MY_LIB_Capacitors.SchLib</ns0:v>
      </ns0:c>
      <ns0:c r="O97" t="str" s="13">
        <ns0:v>CAPC2012X135N</ns0:v>
      </ns0:c>
      <ns0:c r="P97" t="str" s="13">
        <ns0:v>Footprints\PBL - SMD Packages.PcbLib</ns0:v>
      </ns0:c>
      <ns0:c r="Q97" t="str" s="14">
        <ns0:v>YAGEO CC; список 20.10.2026</ns0:v>
      </ns0:c>
      <ns0:c r="R97" t="str" s="11">
        <ns0:f>D97</ns0:f>
        <ns0:v>220 нФ</ns0:v>
      </ns0:c>
      <ns0:c r="S97" t="str" s="11">
        <ns0:f>L97</ns0:f>
        <ns0:v>Конденсатор 220 нФ ±10% 100 В X7R 0805</ns0:v>
      </ns0:c>
      <x:c xmlns:x="http://schemas.openxmlformats.org/spreadsheetml/2006/main" r="T97" t="str" s="11">
        <x:v>C:\Users\Nomatin\Documents\Altium\MY_LIB\MY_LIB\Datasheets\YAGEO_CC_X7R.pdf</x:v>
      </x:c>
      <x:c xmlns:x="http://schemas.openxmlformats.org/spreadsheetml/2006/main" r="U97" t="str" s="11">
        <x:v>Даташит — локальный</x:v>
      </x:c>
      <x:c xmlns:x="http://schemas.openxmlformats.org/spreadsheetml/2006/main" r="V97" t="str" s="11">
        <x:v>C:\Users\Nomatin\Documents\Altium\MY_LIB\MY_LIB\Datasheets\YAGEO_CC_X7R.pdf</x:v>
      </x:c>
      <x:c xmlns:x="http://schemas.openxmlformats.org/spreadsheetml/2006/main" r="W97" t="str" s="11">
        <x:v>Даташит — производитель</x:v>
      </x:c>
      <x:c xmlns:x="http://schemas.openxmlformats.org/spreadsheetml/2006/main" r="X97" t="str" s="11">
        <x:v>https://yageogroup.com/content/datasheet/asset/file/UPY-GPHC_X7R_6_3V-TO-250V</x:v>
      </x:c>
      <x:c xmlns:x="http://schemas.openxmlformats.org/spreadsheetml/2006/main" r="Y97" t="str" s="11">
        <x:v>C:\Users\Nomatin\Documents\Altium\MY_LIB\MY_LIB\Datasheets\YAGEO_CC_X7R.pdf</x:v>
      </x:c>
    </ns0:row>
    <ns0:row r="98" ht="30" customHeight="1">
      <ns0:c r="A98" t="str" s="14">
        <ns0:v>C0099</ns0:v>
      </ns0:c>
      <ns0:c r="B98" t="str" s="14">
        <ns0:v>Конденсатор</ns0:v>
      </ns0:c>
      <ns0:c r="C98" t="str" s="14">
        <ns0:v>270n</ns0:v>
      </ns0:c>
      <ns0:c r="D98" t="str" s="11">
        <ns0:f>SUBSTITUTE(SUBSTITUTE(SUBSTITUTE(SUBSTITUTE(C98,"p"," пФ"),"n"," нФ"),"u"," мкФ"),".",",")</ns0:f>
        <ns0:v>270 нФ</ns0:v>
      </ns0:c>
      <ns0:c r="E98" t="str" s="14">
        <ns0:v>±10%</ns0:v>
      </ns0:c>
      <ns0:c r="F98" s="14"/>
      <ns0:c r="G98" t="str" s="14">
        <ns0:v>50 В</ns0:v>
      </ns0:c>
      <ns0:c r="H98" t="str" s="14">
        <ns0:v>X7R</ns0:v>
      </ns0:c>
      <ns0:c r="I98" t="str" s="15">
        <ns0:v>0805</ns0:v>
      </ns0:c>
      <ns0:c r="J98" t="str" s="14">
        <ns0:v>YAGEO</ns0:v>
      </ns0:c>
      <ns0:c r="K98" t="str" s="14">
        <ns0:v>CC0805KKX7R9BB274</ns0:v>
      </ns0:c>
      <ns0:c r="L98" t="str" s="11">
        <ns0:f>B98&amp;" "&amp;D98&amp;" "&amp;E98&amp;" "&amp;G98&amp;" "&amp;H98&amp;" "&amp;I98</ns0:f>
        <ns0:v>Конденсатор 270 нФ ±10% 50 В X7R 0805</ns0:v>
      </ns0:c>
      <ns0:c r="M98" t="str" s="13">
        <ns0:v>C</ns0:v>
      </ns0:c>
      <ns0:c r="N98" t="str" s="13">
        <ns0:v>Symbols\MY_LIB_Capacitors.SchLib</ns0:v>
      </ns0:c>
      <ns0:c r="O98" t="str" s="13">
        <ns0:v>CAPC2012X135N</ns0:v>
      </ns0:c>
      <ns0:c r="P98" t="str" s="13">
        <ns0:v>Footprints\PBL - SMD Packages.PcbLib</ns0:v>
      </ns0:c>
      <ns0:c r="Q98" t="str" s="14">
        <ns0:v>YAGEO CC; список 20.10.2026</ns0:v>
      </ns0:c>
      <ns0:c r="R98" t="str" s="11">
        <ns0:f>D98</ns0:f>
        <ns0:v>270 нФ</ns0:v>
      </ns0:c>
      <ns0:c r="S98" t="str" s="11">
        <ns0:f>L98</ns0:f>
        <ns0:v>Конденсатор 270 нФ ±10% 50 В X7R 0805</ns0:v>
      </ns0:c>
      <x:c xmlns:x="http://schemas.openxmlformats.org/spreadsheetml/2006/main" r="T98" t="str" s="11">
        <x:v>C:\Users\Nomatin\Documents\Altium\MY_LIB\MY_LIB\Datasheets\YAGEO_CC_X7R.pdf</x:v>
      </x:c>
      <x:c xmlns:x="http://schemas.openxmlformats.org/spreadsheetml/2006/main" r="U98" t="str" s="11">
        <x:v>Даташит — локальный</x:v>
      </x:c>
      <x:c xmlns:x="http://schemas.openxmlformats.org/spreadsheetml/2006/main" r="V98" t="str" s="11">
        <x:v>C:\Users\Nomatin\Documents\Altium\MY_LIB\MY_LIB\Datasheets\YAGEO_CC_X7R.pdf</x:v>
      </x:c>
      <x:c xmlns:x="http://schemas.openxmlformats.org/spreadsheetml/2006/main" r="W98" t="str" s="11">
        <x:v>Даташит — производитель</x:v>
      </x:c>
      <x:c xmlns:x="http://schemas.openxmlformats.org/spreadsheetml/2006/main" r="X98" t="str" s="11">
        <x:v>https://yageogroup.com/content/datasheet/asset/file/UPY-GPHC_X7R_6_3V-TO-250V</x:v>
      </x:c>
      <x:c xmlns:x="http://schemas.openxmlformats.org/spreadsheetml/2006/main" r="Y98" t="str" s="11">
        <x:v>C:\Users\Nomatin\Documents\Altium\MY_LIB\MY_LIB\Datasheets\YAGEO_CC_X7R.pdf</x:v>
      </x:c>
    </ns0:row>
    <ns0:row r="99" ht="30" customHeight="1">
      <ns0:c r="A99" t="str" s="14">
        <ns0:v>C0100</ns0:v>
      </ns0:c>
      <ns0:c r="B99" t="str" s="14">
        <ns0:v>Конденсатор</ns0:v>
      </ns0:c>
      <ns0:c r="C99" t="str" s="14">
        <ns0:v>330n</ns0:v>
      </ns0:c>
      <ns0:c r="D99" t="str" s="11">
        <ns0:f>SUBSTITUTE(SUBSTITUTE(SUBSTITUTE(SUBSTITUTE(C99,"p"," пФ"),"n"," нФ"),"u"," мкФ"),".",",")</ns0:f>
        <ns0:v>330 нФ</ns0:v>
      </ns0:c>
      <ns0:c r="E99" t="str" s="14">
        <ns0:v>±10%</ns0:v>
      </ns0:c>
      <ns0:c r="F99" s="14"/>
      <ns0:c r="G99" t="str" s="14">
        <ns0:v>100 В</ns0:v>
      </ns0:c>
      <ns0:c r="H99" t="str" s="14">
        <ns0:v>X7R</ns0:v>
      </ns0:c>
      <ns0:c r="I99" t="str" s="15">
        <ns0:v>0805</ns0:v>
      </ns0:c>
      <ns0:c r="J99" t="str" s="14">
        <ns0:v>YAGEO</ns0:v>
      </ns0:c>
      <ns0:c r="K99" t="str" s="14">
        <ns0:v>CC0805KKX7R0BB334</ns0:v>
      </ns0:c>
      <ns0:c r="L99" t="str" s="11">
        <ns0:f>B99&amp;" "&amp;D99&amp;" "&amp;E99&amp;" "&amp;G99&amp;" "&amp;H99&amp;" "&amp;I99</ns0:f>
        <ns0:v>Конденсатор 330 нФ ±10% 100 В X7R 0805</ns0:v>
      </ns0:c>
      <ns0:c r="M99" t="str" s="13">
        <ns0:v>C</ns0:v>
      </ns0:c>
      <ns0:c r="N99" t="str" s="13">
        <ns0:v>Symbols\MY_LIB_Capacitors.SchLib</ns0:v>
      </ns0:c>
      <ns0:c r="O99" t="str" s="13">
        <ns0:v>CAPC2012X135N</ns0:v>
      </ns0:c>
      <ns0:c r="P99" t="str" s="13">
        <ns0:v>Footprints\PBL - SMD Packages.PcbLib</ns0:v>
      </ns0:c>
      <ns0:c r="Q99" t="str" s="14">
        <ns0:v>YAGEO CC; список 20.10.2026</ns0:v>
      </ns0:c>
      <ns0:c r="R99" t="str" s="11">
        <ns0:f>D99</ns0:f>
        <ns0:v>330 нФ</ns0:v>
      </ns0:c>
      <ns0:c r="S99" t="str" s="11">
        <ns0:f>L99</ns0:f>
        <ns0:v>Конденсатор 330 нФ ±10% 100 В X7R 0805</ns0:v>
      </ns0:c>
      <x:c xmlns:x="http://schemas.openxmlformats.org/spreadsheetml/2006/main" r="T99" t="str" s="11">
        <x:v>C:\Users\Nomatin\Documents\Altium\MY_LIB\MY_LIB\Datasheets\YAGEO_CC_X7R.pdf</x:v>
      </x:c>
      <x:c xmlns:x="http://schemas.openxmlformats.org/spreadsheetml/2006/main" r="U99" t="str" s="11">
        <x:v>Даташит — локальный</x:v>
      </x:c>
      <x:c xmlns:x="http://schemas.openxmlformats.org/spreadsheetml/2006/main" r="V99" t="str" s="11">
        <x:v>C:\Users\Nomatin\Documents\Altium\MY_LIB\MY_LIB\Datasheets\YAGEO_CC_X7R.pdf</x:v>
      </x:c>
      <x:c xmlns:x="http://schemas.openxmlformats.org/spreadsheetml/2006/main" r="W99" t="str" s="11">
        <x:v>Даташит — производитель</x:v>
      </x:c>
      <x:c xmlns:x="http://schemas.openxmlformats.org/spreadsheetml/2006/main" r="X99" t="str" s="11">
        <x:v>https://yageogroup.com/content/datasheet/asset/file/UPY-GPHC_X7R_6_3V-TO-250V</x:v>
      </x:c>
      <x:c xmlns:x="http://schemas.openxmlformats.org/spreadsheetml/2006/main" r="Y99" t="str" s="11">
        <x:v>C:\Users\Nomatin\Documents\Altium\MY_LIB\MY_LIB\Datasheets\YAGEO_CC_X7R.pdf</x:v>
      </x:c>
    </ns0:row>
    <ns0:row r="100" ht="30" customHeight="1">
      <ns0:c r="A100" t="str" s="14">
        <ns0:v>C0101</ns0:v>
      </ns0:c>
      <ns0:c r="B100" t="str" s="14">
        <ns0:v>Конденсатор</ns0:v>
      </ns0:c>
      <ns0:c r="C100" t="str" s="14">
        <ns0:v>390n</ns0:v>
      </ns0:c>
      <ns0:c r="D100" t="str" s="11">
        <ns0:f>SUBSTITUTE(SUBSTITUTE(SUBSTITUTE(SUBSTITUTE(C100,"p"," пФ"),"n"," нФ"),"u"," мкФ"),".",",")</ns0:f>
        <ns0:v>390 нФ</ns0:v>
      </ns0:c>
      <ns0:c r="E100" t="str" s="14">
        <ns0:v>±10%</ns0:v>
      </ns0:c>
      <ns0:c r="F100" s="14"/>
      <ns0:c r="G100" t="str" s="14">
        <ns0:v>50 В</ns0:v>
      </ns0:c>
      <ns0:c r="H100" t="str" s="14">
        <ns0:v>X7R</ns0:v>
      </ns0:c>
      <ns0:c r="I100" t="str" s="15">
        <ns0:v>0805</ns0:v>
      </ns0:c>
      <ns0:c r="J100" t="str" s="14">
        <ns0:v>YAGEO</ns0:v>
      </ns0:c>
      <ns0:c r="K100" t="str" s="14">
        <ns0:v>CC0805KKX7R9BB394</ns0:v>
      </ns0:c>
      <ns0:c r="L100" t="str" s="11">
        <ns0:f>B100&amp;" "&amp;D100&amp;" "&amp;E100&amp;" "&amp;G100&amp;" "&amp;H100&amp;" "&amp;I100</ns0:f>
        <ns0:v>Конденсатор 390 нФ ±10% 50 В X7R 0805</ns0:v>
      </ns0:c>
      <ns0:c r="M100" t="str" s="13">
        <ns0:v>C</ns0:v>
      </ns0:c>
      <ns0:c r="N100" t="str" s="13">
        <ns0:v>Symbols\MY_LIB_Capacitors.SchLib</ns0:v>
      </ns0:c>
      <ns0:c r="O100" t="str" s="13">
        <ns0:v>CAPC2012X135N</ns0:v>
      </ns0:c>
      <ns0:c r="P100" t="str" s="13">
        <ns0:v>Footprints\PBL - SMD Packages.PcbLib</ns0:v>
      </ns0:c>
      <ns0:c r="Q100" t="str" s="14">
        <ns0:v>YAGEO CC; список 20.10.2026</ns0:v>
      </ns0:c>
      <ns0:c r="R100" t="str" s="11">
        <ns0:f>D100</ns0:f>
        <ns0:v>390 нФ</ns0:v>
      </ns0:c>
      <ns0:c r="S100" t="str" s="11">
        <ns0:f>L100</ns0:f>
        <ns0:v>Конденсатор 390 нФ ±10% 50 В X7R 0805</ns0:v>
      </ns0:c>
      <x:c xmlns:x="http://schemas.openxmlformats.org/spreadsheetml/2006/main" r="T100" t="str" s="11">
        <x:v>C:\Users\Nomatin\Documents\Altium\MY_LIB\MY_LIB\Datasheets\YAGEO_CC_X7R.pdf</x:v>
      </x:c>
      <x:c xmlns:x="http://schemas.openxmlformats.org/spreadsheetml/2006/main" r="U100" t="str" s="11">
        <x:v>Даташит — локальный</x:v>
      </x:c>
      <x:c xmlns:x="http://schemas.openxmlformats.org/spreadsheetml/2006/main" r="V100" t="str" s="11">
        <x:v>C:\Users\Nomatin\Documents\Altium\MY_LIB\MY_LIB\Datasheets\YAGEO_CC_X7R.pdf</x:v>
      </x:c>
      <x:c xmlns:x="http://schemas.openxmlformats.org/spreadsheetml/2006/main" r="W100" t="str" s="11">
        <x:v>Даташит — производитель</x:v>
      </x:c>
      <x:c xmlns:x="http://schemas.openxmlformats.org/spreadsheetml/2006/main" r="X100" t="str" s="11">
        <x:v>https://yageogroup.com/content/datasheet/asset/file/UPY-GPHC_X7R_6_3V-TO-250V</x:v>
      </x:c>
      <x:c xmlns:x="http://schemas.openxmlformats.org/spreadsheetml/2006/main" r="Y100" t="str" s="11">
        <x:v>C:\Users\Nomatin\Documents\Altium\MY_LIB\MY_LIB\Datasheets\YAGEO_CC_X7R.pdf</x:v>
      </x:c>
    </ns0:row>
    <ns0:row r="101" ht="30" customHeight="1">
      <ns0:c r="A101" t="str" s="14">
        <ns0:v>C0102</ns0:v>
      </ns0:c>
      <ns0:c r="B101" t="str" s="14">
        <ns0:v>Конденсатор</ns0:v>
      </ns0:c>
      <ns0:c r="C101" t="str" s="14">
        <ns0:v>470n</ns0:v>
      </ns0:c>
      <ns0:c r="D101" t="str" s="11">
        <ns0:f>SUBSTITUTE(SUBSTITUTE(SUBSTITUTE(SUBSTITUTE(C101,"p"," пФ"),"n"," нФ"),"u"," мкФ"),".",",")</ns0:f>
        <ns0:v>470 нФ</ns0:v>
      </ns0:c>
      <ns0:c r="E101" t="str" s="14">
        <ns0:v>±10%</ns0:v>
      </ns0:c>
      <ns0:c r="F101" s="14"/>
      <ns0:c r="G101" t="str" s="14">
        <ns0:v>100 В</ns0:v>
      </ns0:c>
      <ns0:c r="H101" t="str" s="14">
        <ns0:v>X7R</ns0:v>
      </ns0:c>
      <ns0:c r="I101" t="str" s="15">
        <ns0:v>0805</ns0:v>
      </ns0:c>
      <ns0:c r="J101" t="str" s="14">
        <ns0:v>YAGEO</ns0:v>
      </ns0:c>
      <ns0:c r="K101" t="str" s="14">
        <ns0:v>CC0805KKX7R0BB474</ns0:v>
      </ns0:c>
      <ns0:c r="L101" t="str" s="11">
        <ns0:f>B101&amp;" "&amp;D101&amp;" "&amp;E101&amp;" "&amp;G101&amp;" "&amp;H101&amp;" "&amp;I101</ns0:f>
        <ns0:v>Конденсатор 470 нФ ±10% 100 В X7R 0805</ns0:v>
      </ns0:c>
      <ns0:c r="M101" t="str" s="13">
        <ns0:v>C</ns0:v>
      </ns0:c>
      <ns0:c r="N101" t="str" s="13">
        <ns0:v>Symbols\MY_LIB_Capacitors.SchLib</ns0:v>
      </ns0:c>
      <ns0:c r="O101" t="str" s="13">
        <ns0:v>CAPC2012X135N</ns0:v>
      </ns0:c>
      <ns0:c r="P101" t="str" s="13">
        <ns0:v>Footprints\PBL - SMD Packages.PcbLib</ns0:v>
      </ns0:c>
      <ns0:c r="Q101" t="str" s="14">
        <ns0:v>YAGEO CC; список 20.10.2026</ns0:v>
      </ns0:c>
      <ns0:c r="R101" t="str" s="11">
        <ns0:f>D101</ns0:f>
        <ns0:v>470 нФ</ns0:v>
      </ns0:c>
      <ns0:c r="S101" t="str" s="11">
        <ns0:f>L101</ns0:f>
        <ns0:v>Конденсатор 470 нФ ±10% 100 В X7R 0805</ns0:v>
      </ns0:c>
      <x:c xmlns:x="http://schemas.openxmlformats.org/spreadsheetml/2006/main" r="T101" t="str" s="11">
        <x:v>C:\Users\Nomatin\Documents\Altium\MY_LIB\MY_LIB\Datasheets\YAGEO_CC_X7R.pdf</x:v>
      </x:c>
      <x:c xmlns:x="http://schemas.openxmlformats.org/spreadsheetml/2006/main" r="U101" t="str" s="11">
        <x:v>Даташит — локальный</x:v>
      </x:c>
      <x:c xmlns:x="http://schemas.openxmlformats.org/spreadsheetml/2006/main" r="V101" t="str" s="11">
        <x:v>C:\Users\Nomatin\Documents\Altium\MY_LIB\MY_LIB\Datasheets\YAGEO_CC_X7R.pdf</x:v>
      </x:c>
      <x:c xmlns:x="http://schemas.openxmlformats.org/spreadsheetml/2006/main" r="W101" t="str" s="11">
        <x:v>Даташит — производитель</x:v>
      </x:c>
      <x:c xmlns:x="http://schemas.openxmlformats.org/spreadsheetml/2006/main" r="X101" t="str" s="11">
        <x:v>https://yageogroup.com/content/datasheet/asset/file/UPY-GPHC_X7R_6_3V-TO-250V</x:v>
      </x:c>
      <x:c xmlns:x="http://schemas.openxmlformats.org/spreadsheetml/2006/main" r="Y101" t="str" s="11">
        <x:v>C:\Users\Nomatin\Documents\Altium\MY_LIB\MY_LIB\Datasheets\YAGEO_CC_X7R.pdf</x:v>
      </x:c>
    </ns0:row>
    <ns0:row r="102" ht="30" customHeight="1">
      <ns0:c r="A102" t="str" s="14">
        <ns0:v>C0103</ns0:v>
      </ns0:c>
      <ns0:c r="B102" t="str" s="14">
        <ns0:v>Конденсатор</ns0:v>
      </ns0:c>
      <ns0:c r="C102" t="str" s="14">
        <ns0:v>560n</ns0:v>
      </ns0:c>
      <ns0:c r="D102" t="str" s="11">
        <ns0:f>SUBSTITUTE(SUBSTITUTE(SUBSTITUTE(SUBSTITUTE(C102,"p"," пФ"),"n"," нФ"),"u"," мкФ"),".",",")</ns0:f>
        <ns0:v>560 нФ</ns0:v>
      </ns0:c>
      <ns0:c r="E102" t="str" s="14">
        <ns0:v>±10%</ns0:v>
      </ns0:c>
      <ns0:c r="F102" s="14"/>
      <ns0:c r="G102" t="str" s="14">
        <ns0:v>50 В</ns0:v>
      </ns0:c>
      <ns0:c r="H102" t="str" s="14">
        <ns0:v>X7R</ns0:v>
      </ns0:c>
      <ns0:c r="I102" t="str" s="15">
        <ns0:v>0805</ns0:v>
      </ns0:c>
      <ns0:c r="J102" t="str" s="14">
        <ns0:v>YAGEO</ns0:v>
      </ns0:c>
      <ns0:c r="K102" t="str" s="14">
        <ns0:v>CC0805KKX7R9BB564</ns0:v>
      </ns0:c>
      <ns0:c r="L102" t="str" s="11">
        <ns0:f>B102&amp;" "&amp;D102&amp;" "&amp;E102&amp;" "&amp;G102&amp;" "&amp;H102&amp;" "&amp;I102</ns0:f>
        <ns0:v>Конденсатор 560 нФ ±10% 50 В X7R 0805</ns0:v>
      </ns0:c>
      <ns0:c r="M102" t="str" s="13">
        <ns0:v>C</ns0:v>
      </ns0:c>
      <ns0:c r="N102" t="str" s="13">
        <ns0:v>Symbols\MY_LIB_Capacitors.SchLib</ns0:v>
      </ns0:c>
      <ns0:c r="O102" t="str" s="13">
        <ns0:v>CAPC2012X135N</ns0:v>
      </ns0:c>
      <ns0:c r="P102" t="str" s="13">
        <ns0:v>Footprints\PBL - SMD Packages.PcbLib</ns0:v>
      </ns0:c>
      <ns0:c r="Q102" t="str" s="14">
        <ns0:v>YAGEO CC; список 20.10.2026</ns0:v>
      </ns0:c>
      <ns0:c r="R102" t="str" s="11">
        <ns0:f>D102</ns0:f>
        <ns0:v>560 нФ</ns0:v>
      </ns0:c>
      <ns0:c r="S102" t="str" s="11">
        <ns0:f>L102</ns0:f>
        <ns0:v>Конденсатор 560 нФ ±10% 50 В X7R 0805</ns0:v>
      </ns0:c>
      <x:c xmlns:x="http://schemas.openxmlformats.org/spreadsheetml/2006/main" r="T102" t="str" s="11">
        <x:v>C:\Users\Nomatin\Documents\Altium\MY_LIB\MY_LIB\Datasheets\YAGEO_CC_X7R.pdf</x:v>
      </x:c>
      <x:c xmlns:x="http://schemas.openxmlformats.org/spreadsheetml/2006/main" r="U102" t="str" s="11">
        <x:v>Даташит — локальный</x:v>
      </x:c>
      <x:c xmlns:x="http://schemas.openxmlformats.org/spreadsheetml/2006/main" r="V102" t="str" s="11">
        <x:v>C:\Users\Nomatin\Documents\Altium\MY_LIB\MY_LIB\Datasheets\YAGEO_CC_X7R.pdf</x:v>
      </x:c>
      <x:c xmlns:x="http://schemas.openxmlformats.org/spreadsheetml/2006/main" r="W102" t="str" s="11">
        <x:v>Даташит — производитель</x:v>
      </x:c>
      <x:c xmlns:x="http://schemas.openxmlformats.org/spreadsheetml/2006/main" r="X102" t="str" s="11">
        <x:v>https://yageogroup.com/content/datasheet/asset/file/UPY-GPHC_X7R_6_3V-TO-250V</x:v>
      </x:c>
      <x:c xmlns:x="http://schemas.openxmlformats.org/spreadsheetml/2006/main" r="Y102" t="str" s="11">
        <x:v>C:\Users\Nomatin\Documents\Altium\MY_LIB\MY_LIB\Datasheets\YAGEO_CC_X7R.pdf</x:v>
      </x:c>
    </ns0:row>
    <ns0:row r="103" ht="30" customHeight="1">
      <ns0:c r="A103" t="str" s="14">
        <ns0:v>C0104</ns0:v>
      </ns0:c>
      <ns0:c r="B103" t="str" s="14">
        <ns0:v>Конденсатор</ns0:v>
      </ns0:c>
      <ns0:c r="C103" t="str" s="14">
        <ns0:v>680n</ns0:v>
      </ns0:c>
      <ns0:c r="D103" t="str" s="11">
        <ns0:f>SUBSTITUTE(SUBSTITUTE(SUBSTITUTE(SUBSTITUTE(C103,"p"," пФ"),"n"," нФ"),"u"," мкФ"),".",",")</ns0:f>
        <ns0:v>680 нФ</ns0:v>
      </ns0:c>
      <ns0:c r="E103" t="str" s="14">
        <ns0:v>±10%</ns0:v>
      </ns0:c>
      <ns0:c r="F103" s="14"/>
      <ns0:c r="G103" t="str" s="14">
        <ns0:v>100 В</ns0:v>
      </ns0:c>
      <ns0:c r="H103" t="str" s="14">
        <ns0:v>X7R</ns0:v>
      </ns0:c>
      <ns0:c r="I103" t="str" s="15">
        <ns0:v>0805</ns0:v>
      </ns0:c>
      <ns0:c r="J103" t="str" s="14">
        <ns0:v>YAGEO</ns0:v>
      </ns0:c>
      <ns0:c r="K103" t="str" s="14">
        <ns0:v>CC0805KKX7R0BB684</ns0:v>
      </ns0:c>
      <ns0:c r="L103" t="str" s="11">
        <ns0:f>B103&amp;" "&amp;D103&amp;" "&amp;E103&amp;" "&amp;G103&amp;" "&amp;H103&amp;" "&amp;I103</ns0:f>
        <ns0:v>Конденсатор 680 нФ ±10% 100 В X7R 0805</ns0:v>
      </ns0:c>
      <ns0:c r="M103" t="str" s="13">
        <ns0:v>C</ns0:v>
      </ns0:c>
      <ns0:c r="N103" t="str" s="13">
        <ns0:v>Symbols\MY_LIB_Capacitors.SchLib</ns0:v>
      </ns0:c>
      <ns0:c r="O103" t="str" s="13">
        <ns0:v>CAPC2012X135N</ns0:v>
      </ns0:c>
      <ns0:c r="P103" t="str" s="13">
        <ns0:v>Footprints\PBL - SMD Packages.PcbLib</ns0:v>
      </ns0:c>
      <ns0:c r="Q103" t="str" s="14">
        <ns0:v>YAGEO CC; список 20.10.2026</ns0:v>
      </ns0:c>
      <ns0:c r="R103" t="str" s="11">
        <ns0:f>D103</ns0:f>
        <ns0:v>680 нФ</ns0:v>
      </ns0:c>
      <ns0:c r="S103" t="str" s="11">
        <ns0:f>L103</ns0:f>
        <ns0:v>Конденсатор 680 нФ ±10% 100 В X7R 0805</ns0:v>
      </ns0:c>
      <x:c xmlns:x="http://schemas.openxmlformats.org/spreadsheetml/2006/main" r="T103" t="str" s="11">
        <x:v>C:\Users\Nomatin\Documents\Altium\MY_LIB\MY_LIB\Datasheets\YAGEO_CC_X7R.pdf</x:v>
      </x:c>
      <x:c xmlns:x="http://schemas.openxmlformats.org/spreadsheetml/2006/main" r="U103" t="str" s="11">
        <x:v>Даташит — локальный</x:v>
      </x:c>
      <x:c xmlns:x="http://schemas.openxmlformats.org/spreadsheetml/2006/main" r="V103" t="str" s="11">
        <x:v>C:\Users\Nomatin\Documents\Altium\MY_LIB\MY_LIB\Datasheets\YAGEO_CC_X7R.pdf</x:v>
      </x:c>
      <x:c xmlns:x="http://schemas.openxmlformats.org/spreadsheetml/2006/main" r="W103" t="str" s="11">
        <x:v>Даташит — производитель</x:v>
      </x:c>
      <x:c xmlns:x="http://schemas.openxmlformats.org/spreadsheetml/2006/main" r="X103" t="str" s="11">
        <x:v>https://yageogroup.com/content/datasheet/asset/file/UPY-GPHC_X7R_6_3V-TO-250V</x:v>
      </x:c>
      <x:c xmlns:x="http://schemas.openxmlformats.org/spreadsheetml/2006/main" r="Y103" t="str" s="11">
        <x:v>C:\Users\Nomatin\Documents\Altium\MY_LIB\MY_LIB\Datasheets\YAGEO_CC_X7R.pdf</x:v>
      </x:c>
    </ns0:row>
    <ns0:row r="104" ht="30" customHeight="1">
      <ns0:c r="A104" t="str" s="14">
        <ns0:v>C0105</ns0:v>
      </ns0:c>
      <ns0:c r="B104" t="str" s="14">
        <ns0:v>Конденсатор</ns0:v>
      </ns0:c>
      <ns0:c r="C104" t="str" s="14">
        <ns0:v>820n</ns0:v>
      </ns0:c>
      <ns0:c r="D104" t="str" s="11">
        <ns0:f>SUBSTITUTE(SUBSTITUTE(SUBSTITUTE(SUBSTITUTE(C104,"p"," пФ"),"n"," нФ"),"u"," мкФ"),".",",")</ns0:f>
        <ns0:v>820 нФ</ns0:v>
      </ns0:c>
      <ns0:c r="E104" t="str" s="14">
        <ns0:v>±10%</ns0:v>
      </ns0:c>
      <ns0:c r="F104" s="14"/>
      <ns0:c r="G104" t="str" s="14">
        <ns0:v>16 В</ns0:v>
      </ns0:c>
      <ns0:c r="H104" t="str" s="14">
        <ns0:v>X7R</ns0:v>
      </ns0:c>
      <ns0:c r="I104" t="str" s="15">
        <ns0:v>0805</ns0:v>
      </ns0:c>
      <ns0:c r="J104" t="str" s="14">
        <ns0:v>YAGEO</ns0:v>
      </ns0:c>
      <ns0:c r="K104" t="str" s="14">
        <ns0:v>CC0805KKX7R7BB824</ns0:v>
      </ns0:c>
      <ns0:c r="L104" t="str" s="11">
        <ns0:f>B104&amp;" "&amp;D104&amp;" "&amp;E104&amp;" "&amp;G104&amp;" "&amp;H104&amp;" "&amp;I104</ns0:f>
        <ns0:v>Конденсатор 820 нФ ±10% 16 В X7R 0805</ns0:v>
      </ns0:c>
      <ns0:c r="M104" t="str" s="13">
        <ns0:v>C</ns0:v>
      </ns0:c>
      <ns0:c r="N104" t="str" s="13">
        <ns0:v>Symbols\MY_LIB_Capacitors.SchLib</ns0:v>
      </ns0:c>
      <ns0:c r="O104" t="str" s="13">
        <ns0:v>CAPC2012X135N</ns0:v>
      </ns0:c>
      <ns0:c r="P104" t="str" s="13">
        <ns0:v>Footprints\PBL - SMD Packages.PcbLib</ns0:v>
      </ns0:c>
      <ns0:c r="Q104" t="str" s="14">
        <ns0:v>YAGEO CC; список 20.10.2026</ns0:v>
      </ns0:c>
      <ns0:c r="R104" t="str" s="11">
        <ns0:f>D104</ns0:f>
        <ns0:v>820 нФ</ns0:v>
      </ns0:c>
      <ns0:c r="S104" t="str" s="11">
        <ns0:f>L104</ns0:f>
        <ns0:v>Конденсатор 820 нФ ±10% 16 В X7R 0805</ns0:v>
      </ns0:c>
      <x:c xmlns:x="http://schemas.openxmlformats.org/spreadsheetml/2006/main" r="T104" t="str" s="11">
        <x:v>C:\Users\Nomatin\Documents\Altium\MY_LIB\MY_LIB\Datasheets\YAGEO_CC_X7R.pdf</x:v>
      </x:c>
      <x:c xmlns:x="http://schemas.openxmlformats.org/spreadsheetml/2006/main" r="U104" t="str" s="11">
        <x:v>Даташит — локальный</x:v>
      </x:c>
      <x:c xmlns:x="http://schemas.openxmlformats.org/spreadsheetml/2006/main" r="V104" t="str" s="11">
        <x:v>C:\Users\Nomatin\Documents\Altium\MY_LIB\MY_LIB\Datasheets\YAGEO_CC_X7R.pdf</x:v>
      </x:c>
      <x:c xmlns:x="http://schemas.openxmlformats.org/spreadsheetml/2006/main" r="W104" t="str" s="11">
        <x:v>Даташит — производитель</x:v>
      </x:c>
      <x:c xmlns:x="http://schemas.openxmlformats.org/spreadsheetml/2006/main" r="X104" t="str" s="11">
        <x:v>https://yageogroup.com/content/datasheet/asset/file/UPY-GPHC_X7R_6_3V-TO-250V</x:v>
      </x:c>
      <x:c xmlns:x="http://schemas.openxmlformats.org/spreadsheetml/2006/main" r="Y104" t="str" s="11">
        <x:v>C:\Users\Nomatin\Documents\Altium\MY_LIB\MY_LIB\Datasheets\YAGEO_CC_X7R.pdf</x:v>
      </x:c>
    </ns0:row>
    <ns0:row r="105" ht="30" customHeight="1">
      <ns0:c r="A105" t="str" s="14">
        <ns0:v>C0106</ns0:v>
      </ns0:c>
      <ns0:c r="B105" t="str" s="14">
        <ns0:v>Конденсатор</ns0:v>
      </ns0:c>
      <ns0:c r="C105" t="str" s="14">
        <ns0:v>1u</ns0:v>
      </ns0:c>
      <ns0:c r="D105" t="str" s="11">
        <ns0:f>SUBSTITUTE(SUBSTITUTE(SUBSTITUTE(SUBSTITUTE(C105,"p"," пФ"),"n"," нФ"),"u"," мкФ"),".",",")</ns0:f>
        <ns0:v>1 мкФ</ns0:v>
      </ns0:c>
      <ns0:c r="E105" t="str" s="14">
        <ns0:v>±10%</ns0:v>
      </ns0:c>
      <ns0:c r="F105" s="14"/>
      <ns0:c r="G105" t="str" s="14">
        <ns0:v>100 В</ns0:v>
      </ns0:c>
      <ns0:c r="H105" t="str" s="14">
        <ns0:v>X7R</ns0:v>
      </ns0:c>
      <ns0:c r="I105" t="str" s="15">
        <ns0:v>0805</ns0:v>
      </ns0:c>
      <ns0:c r="J105" t="str" s="14">
        <ns0:v>YAGEO</ns0:v>
      </ns0:c>
      <ns0:c r="K105" t="str" s="14">
        <ns0:v>CC0805KKX7R0BB105</ns0:v>
      </ns0:c>
      <ns0:c r="L105" t="str" s="11">
        <ns0:f>B105&amp;" "&amp;D105&amp;" "&amp;E105&amp;" "&amp;G105&amp;" "&amp;H105&amp;" "&amp;I105</ns0:f>
        <ns0:v>Конденсатор 1 мкФ ±10% 100 В X7R 0805</ns0:v>
      </ns0:c>
      <ns0:c r="M105" t="str" s="13">
        <ns0:v>C</ns0:v>
      </ns0:c>
      <ns0:c r="N105" t="str" s="13">
        <ns0:v>Symbols\MY_LIB_Capacitors.SchLib</ns0:v>
      </ns0:c>
      <ns0:c r="O105" t="str" s="13">
        <ns0:v>CAPC2012X135N</ns0:v>
      </ns0:c>
      <ns0:c r="P105" t="str" s="13">
        <ns0:v>Footprints\PBL - SMD Packages.PcbLib</ns0:v>
      </ns0:c>
      <ns0:c r="Q105" t="str" s="14">
        <ns0:v>YAGEO CC; список 20.10.2026</ns0:v>
      </ns0:c>
      <ns0:c r="R105" t="str" s="11">
        <ns0:f>D105</ns0:f>
        <ns0:v>1 мкФ</ns0:v>
      </ns0:c>
      <ns0:c r="S105" t="str" s="11">
        <ns0:f>L105</ns0:f>
        <ns0:v>Конденсатор 1 мкФ ±10% 100 В X7R 0805</ns0:v>
      </ns0:c>
      <x:c xmlns:x="http://schemas.openxmlformats.org/spreadsheetml/2006/main" r="T105" t="str" s="11">
        <x:v>C:\Users\Nomatin\Documents\Altium\MY_LIB\MY_LIB\Datasheets\YAGEO_CC_X7R.pdf</x:v>
      </x:c>
      <x:c xmlns:x="http://schemas.openxmlformats.org/spreadsheetml/2006/main" r="U105" t="str" s="11">
        <x:v>Даташит — локальный</x:v>
      </x:c>
      <x:c xmlns:x="http://schemas.openxmlformats.org/spreadsheetml/2006/main" r="V105" t="str" s="11">
        <x:v>C:\Users\Nomatin\Documents\Altium\MY_LIB\MY_LIB\Datasheets\YAGEO_CC_X7R.pdf</x:v>
      </x:c>
      <x:c xmlns:x="http://schemas.openxmlformats.org/spreadsheetml/2006/main" r="W105" t="str" s="11">
        <x:v>Даташит — производитель</x:v>
      </x:c>
      <x:c xmlns:x="http://schemas.openxmlformats.org/spreadsheetml/2006/main" r="X105" t="str" s="11">
        <x:v>https://yageogroup.com/content/datasheet/asset/file/UPY-GPHC_X7R_6_3V-TO-250V</x:v>
      </x:c>
      <x:c xmlns:x="http://schemas.openxmlformats.org/spreadsheetml/2006/main" r="Y105" t="str" s="11">
        <x:v>C:\Users\Nomatin\Documents\Altium\MY_LIB\MY_LIB\Datasheets\YAGEO_CC_X7R.pdf</x:v>
      </x:c>
    </ns0:row>
    <ns0:row r="106" ht="30" customHeight="1">
      <ns0:c r="A106" t="str" s="14">
        <ns0:v>C0107</ns0:v>
      </ns0:c>
      <ns0:c r="B106" t="str" s="14">
        <ns0:v>Конденсатор</ns0:v>
      </ns0:c>
      <ns0:c r="C106" t="str" s="14">
        <ns0:v>2.2u</ns0:v>
      </ns0:c>
      <ns0:c r="D106" t="str" s="11">
        <ns0:f>SUBSTITUTE(SUBSTITUTE(SUBSTITUTE(SUBSTITUTE(C106,"p"," пФ"),"n"," нФ"),"u"," мкФ"),".",",")</ns0:f>
        <ns0:v>2,2 мкФ</ns0:v>
      </ns0:c>
      <ns0:c r="E106" t="str" s="14">
        <ns0:v>±10%</ns0:v>
      </ns0:c>
      <ns0:c r="F106" s="14"/>
      <ns0:c r="G106" t="str" s="14">
        <ns0:v>50 В</ns0:v>
      </ns0:c>
      <ns0:c r="H106" t="str" s="14">
        <ns0:v>X7R</ns0:v>
      </ns0:c>
      <ns0:c r="I106" t="str" s="15">
        <ns0:v>0805</ns0:v>
      </ns0:c>
      <ns0:c r="J106" t="str" s="14">
        <ns0:v>YAGEO</ns0:v>
      </ns0:c>
      <ns0:c r="K106" t="str" s="14">
        <ns0:v>CC0805KKX7R9BB225</ns0:v>
      </ns0:c>
      <ns0:c r="L106" t="str" s="11">
        <ns0:f>B106&amp;" "&amp;D106&amp;" "&amp;E106&amp;" "&amp;G106&amp;" "&amp;H106&amp;" "&amp;I106</ns0:f>
        <ns0:v>Конденсатор 2,2 мкФ ±10% 50 В X7R 0805</ns0:v>
      </ns0:c>
      <ns0:c r="M106" t="str" s="13">
        <ns0:v>C</ns0:v>
      </ns0:c>
      <ns0:c r="N106" t="str" s="13">
        <ns0:v>Symbols\MY_LIB_Capacitors.SchLib</ns0:v>
      </ns0:c>
      <ns0:c r="O106" t="str" s="13">
        <ns0:v>CAPC2012X135N</ns0:v>
      </ns0:c>
      <ns0:c r="P106" t="str" s="13">
        <ns0:v>Footprints\PBL - SMD Packages.PcbLib</ns0:v>
      </ns0:c>
      <ns0:c r="Q106" t="str" s="14">
        <ns0:v>YAGEO CC; список 20.10.2026</ns0:v>
      </ns0:c>
      <ns0:c r="R106" t="str" s="11">
        <ns0:f>D106</ns0:f>
        <ns0:v>2,2 мкФ</ns0:v>
      </ns0:c>
      <ns0:c r="S106" t="str" s="11">
        <ns0:f>L106</ns0:f>
        <ns0:v>Конденсатор 2,2 мкФ ±10% 50 В X7R 0805</ns0:v>
      </ns0:c>
      <x:c xmlns:x="http://schemas.openxmlformats.org/spreadsheetml/2006/main" r="T106" t="str" s="11">
        <x:v>C:\Users\Nomatin\Documents\Altium\MY_LIB\MY_LIB\Datasheets\YAGEO_CC_X7R.pdf</x:v>
      </x:c>
      <x:c xmlns:x="http://schemas.openxmlformats.org/spreadsheetml/2006/main" r="U106" t="str" s="11">
        <x:v>Даташит — локальный</x:v>
      </x:c>
      <x:c xmlns:x="http://schemas.openxmlformats.org/spreadsheetml/2006/main" r="V106" t="str" s="11">
        <x:v>C:\Users\Nomatin\Documents\Altium\MY_LIB\MY_LIB\Datasheets\YAGEO_CC_X7R.pdf</x:v>
      </x:c>
      <x:c xmlns:x="http://schemas.openxmlformats.org/spreadsheetml/2006/main" r="W106" t="str" s="11">
        <x:v>Даташит — производитель</x:v>
      </x:c>
      <x:c xmlns:x="http://schemas.openxmlformats.org/spreadsheetml/2006/main" r="X106" t="str" s="11">
        <x:v>https://yageogroup.com/content/datasheet/asset/file/UPY-GPHC_X7R_6_3V-TO-250V</x:v>
      </x:c>
      <x:c xmlns:x="http://schemas.openxmlformats.org/spreadsheetml/2006/main" r="Y106" t="str" s="11">
        <x:v>C:\Users\Nomatin\Documents\Altium\MY_LIB\MY_LIB\Datasheets\YAGEO_CC_X7R.pdf</x:v>
      </x:c>
    </ns0:row>
    <ns0:row r="107" ht="30" customHeight="1">
      <ns0:c r="A107" t="str" s="14">
        <ns0:v>C0108</ns0:v>
      </ns0:c>
      <ns0:c r="B107" t="str" s="14">
        <ns0:v>Конденсатор</ns0:v>
      </ns0:c>
      <ns0:c r="C107" t="str" s="14">
        <ns0:v>4.7u</ns0:v>
      </ns0:c>
      <ns0:c r="D107" t="str" s="11">
        <ns0:f>SUBSTITUTE(SUBSTITUTE(SUBSTITUTE(SUBSTITUTE(C107,"p"," пФ"),"n"," нФ"),"u"," мкФ"),".",",")</ns0:f>
        <ns0:v>4,7 мкФ</ns0:v>
      </ns0:c>
      <ns0:c r="E107" t="str" s="14">
        <ns0:v>±10%</ns0:v>
      </ns0:c>
      <ns0:c r="F107" s="14"/>
      <ns0:c r="G107" t="str" s="14">
        <ns0:v>25 В</ns0:v>
      </ns0:c>
      <ns0:c r="H107" t="str" s="14">
        <ns0:v>X7R</ns0:v>
      </ns0:c>
      <ns0:c r="I107" t="str" s="15">
        <ns0:v>0805</ns0:v>
      </ns0:c>
      <ns0:c r="J107" t="str" s="14">
        <ns0:v>YAGEO</ns0:v>
      </ns0:c>
      <ns0:c r="K107" t="str" s="14">
        <ns0:v>CC0805KKX7R8BB475</ns0:v>
      </ns0:c>
      <ns0:c r="L107" t="str" s="11">
        <ns0:f>B107&amp;" "&amp;D107&amp;" "&amp;E107&amp;" "&amp;G107&amp;" "&amp;H107&amp;" "&amp;I107</ns0:f>
        <ns0:v>Конденсатор 4,7 мкФ ±10% 25 В X7R 0805</ns0:v>
      </ns0:c>
      <ns0:c r="M107" t="str" s="13">
        <ns0:v>C</ns0:v>
      </ns0:c>
      <ns0:c r="N107" t="str" s="13">
        <ns0:v>Symbols\MY_LIB_Capacitors.SchLib</ns0:v>
      </ns0:c>
      <ns0:c r="O107" t="str" s="13">
        <ns0:v>CAPC2012X135N</ns0:v>
      </ns0:c>
      <ns0:c r="P107" t="str" s="13">
        <ns0:v>Footprints\PBL - SMD Packages.PcbLib</ns0:v>
      </ns0:c>
      <ns0:c r="Q107" t="str" s="14">
        <ns0:v>YAGEO CC; список 20.10.2026</ns0:v>
      </ns0:c>
      <ns0:c r="R107" t="str" s="11">
        <ns0:f>D107</ns0:f>
        <ns0:v>4,7 мкФ</ns0:v>
      </ns0:c>
      <ns0:c r="S107" t="str" s="11">
        <ns0:f>L107</ns0:f>
        <ns0:v>Конденсатор 4,7 мкФ ±10% 25 В X7R 0805</ns0:v>
      </ns0:c>
      <x:c xmlns:x="http://schemas.openxmlformats.org/spreadsheetml/2006/main" r="T107" t="str" s="11">
        <x:v>C:\Users\Nomatin\Documents\Altium\MY_LIB\MY_LIB\Datasheets\YAGEO_CC_X7R.pdf</x:v>
      </x:c>
      <x:c xmlns:x="http://schemas.openxmlformats.org/spreadsheetml/2006/main" r="U107" t="str" s="11">
        <x:v>Даташит — локальный</x:v>
      </x:c>
      <x:c xmlns:x="http://schemas.openxmlformats.org/spreadsheetml/2006/main" r="V107" t="str" s="11">
        <x:v>C:\Users\Nomatin\Documents\Altium\MY_LIB\MY_LIB\Datasheets\YAGEO_CC_X7R.pdf</x:v>
      </x:c>
      <x:c xmlns:x="http://schemas.openxmlformats.org/spreadsheetml/2006/main" r="W107" t="str" s="11">
        <x:v>Даташит — производитель</x:v>
      </x:c>
      <x:c xmlns:x="http://schemas.openxmlformats.org/spreadsheetml/2006/main" r="X107" t="str" s="11">
        <x:v>https://yageogroup.com/content/datasheet/asset/file/UPY-GPHC_X7R_6_3V-TO-250V</x:v>
      </x:c>
      <x:c xmlns:x="http://schemas.openxmlformats.org/spreadsheetml/2006/main" r="Y107" t="str" s="11">
        <x:v>C:\Users\Nomatin\Documents\Altium\MY_LIB\MY_LIB\Datasheets\YAGEO_CC_X7R.pdf</x:v>
      </x:c>
    </ns0:row>
    <ns0:row r="108" ht="30" customHeight="1">
      <ns0:c r="A108" t="str" s="14">
        <ns0:v>C0109</ns0:v>
      </ns0:c>
      <ns0:c r="B108" t="str" s="14">
        <ns0:v>Конденсатор</ns0:v>
      </ns0:c>
      <ns0:c r="C108" t="str" s="14">
        <ns0:v>10u</ns0:v>
      </ns0:c>
      <ns0:c r="D108" t="str" s="11">
        <ns0:f>SUBSTITUTE(SUBSTITUTE(SUBSTITUTE(SUBSTITUTE(C108,"p"," пФ"),"n"," нФ"),"u"," мкФ"),".",",")</ns0:f>
        <ns0:v>10 мкФ</ns0:v>
      </ns0:c>
      <ns0:c r="E108" t="str" s="14">
        <ns0:v>±10%</ns0:v>
      </ns0:c>
      <ns0:c r="F108" s="14"/>
      <ns0:c r="G108" t="str" s="14">
        <ns0:v>16 В</ns0:v>
      </ns0:c>
      <ns0:c r="H108" t="str" s="14">
        <ns0:v>X7R</ns0:v>
      </ns0:c>
      <ns0:c r="I108" t="str" s="15">
        <ns0:v>0805</ns0:v>
      </ns0:c>
      <ns0:c r="J108" t="str" s="14">
        <ns0:v>YAGEO</ns0:v>
      </ns0:c>
      <ns0:c r="K108" t="str" s="14">
        <ns0:v>CC0805KKX7R7BB106</ns0:v>
      </ns0:c>
      <ns0:c r="L108" t="str" s="11">
        <ns0:f>B108&amp;" "&amp;D108&amp;" "&amp;E108&amp;" "&amp;G108&amp;" "&amp;H108&amp;" "&amp;I108</ns0:f>
        <ns0:v>Конденсатор 10 мкФ ±10% 16 В X7R 0805</ns0:v>
      </ns0:c>
      <ns0:c r="M108" t="str" s="13">
        <ns0:v>C</ns0:v>
      </ns0:c>
      <ns0:c r="N108" t="str" s="13">
        <ns0:v>Symbols\MY_LIB_Capacitors.SchLib</ns0:v>
      </ns0:c>
      <ns0:c r="O108" t="str" s="13">
        <ns0:v>CAPC2012X135N</ns0:v>
      </ns0:c>
      <ns0:c r="P108" t="str" s="13">
        <ns0:v>Footprints\PBL - SMD Packages.PcbLib</ns0:v>
      </ns0:c>
      <ns0:c r="Q108" t="str" s="14">
        <ns0:v>YAGEO CC; список 20.10.2026</ns0:v>
      </ns0:c>
      <ns0:c r="R108" t="str" s="11">
        <ns0:f>D108</ns0:f>
        <ns0:v>10 мкФ</ns0:v>
      </ns0:c>
      <ns0:c r="S108" t="str" s="11">
        <ns0:f>L108</ns0:f>
        <ns0:v>Конденсатор 10 мкФ ±10% 16 В X7R 0805</ns0:v>
      </ns0:c>
      <x:c xmlns:x="http://schemas.openxmlformats.org/spreadsheetml/2006/main" r="T108" t="str" s="11">
        <x:v>C:\Users\Nomatin\Documents\Altium\MY_LIB\MY_LIB\Datasheets\YAGEO_CC_X7R.pdf</x:v>
      </x:c>
      <x:c xmlns:x="http://schemas.openxmlformats.org/spreadsheetml/2006/main" r="U108" t="str" s="11">
        <x:v>Даташит — локальный</x:v>
      </x:c>
      <x:c xmlns:x="http://schemas.openxmlformats.org/spreadsheetml/2006/main" r="V108" t="str" s="11">
        <x:v>C:\Users\Nomatin\Documents\Altium\MY_LIB\MY_LIB\Datasheets\YAGEO_CC_X7R.pdf</x:v>
      </x:c>
      <x:c xmlns:x="http://schemas.openxmlformats.org/spreadsheetml/2006/main" r="W108" t="str" s="11">
        <x:v>Даташит — производитель</x:v>
      </x:c>
      <x:c xmlns:x="http://schemas.openxmlformats.org/spreadsheetml/2006/main" r="X108" t="str" s="11">
        <x:v>https://yageogroup.com/content/datasheet/asset/file/UPY-GPHC_X7R_6_3V-TO-250V</x:v>
      </x:c>
      <x:c xmlns:x="http://schemas.openxmlformats.org/spreadsheetml/2006/main" r="Y108" t="str" s="11">
        <x:v>C:\Users\Nomatin\Documents\Altium\MY_LIB\MY_LIB\Datasheets\YAGEO_CC_X7R.pdf</x:v>
      </x:c>
    </ns0:row>
    <ns0:row r="109" ht="30" customHeight="1">
      <ns0:c r="A109" t="str" s="14">
        <ns0:v>C0110</ns0:v>
      </ns0:c>
      <ns0:c r="B109" t="str" s="14">
        <ns0:v>Конденсатор</ns0:v>
      </ns0:c>
      <ns0:c r="C109" t="str" s="14">
        <ns0:v>100p</ns0:v>
      </ns0:c>
      <ns0:c r="D109" t="str" s="11">
        <ns0:f>SUBSTITUTE(SUBSTITUTE(SUBSTITUTE(SUBSTITUTE(C109,"p"," пФ"),"n"," нФ"),"u"," мкФ"),".",",")</ns0:f>
        <ns0:v>100 пФ</ns0:v>
      </ns0:c>
      <ns0:c r="E109" t="str" s="14">
        <ns0:v>±20%</ns0:v>
      </ns0:c>
      <ns0:c r="F109" s="14"/>
      <ns0:c r="G109" t="str" s="14">
        <ns0:v>100 В</ns0:v>
      </ns0:c>
      <ns0:c r="H109" t="str" s="14">
        <ns0:v>X7R</ns0:v>
      </ns0:c>
      <ns0:c r="I109" t="str" s="15">
        <ns0:v>0805</ns0:v>
      </ns0:c>
      <ns0:c r="J109" t="str" s="14">
        <ns0:v>YAGEO</ns0:v>
      </ns0:c>
      <ns0:c r="K109" t="str" s="14">
        <ns0:v>CC0805MRX7R0BB101</ns0:v>
      </ns0:c>
      <ns0:c r="L109" t="str" s="11">
        <ns0:f>B109&amp;" "&amp;D109&amp;" "&amp;E109&amp;" "&amp;G109&amp;" "&amp;H109&amp;" "&amp;I109</ns0:f>
        <ns0:v>Конденсатор 100 пФ ±20% 100 В X7R 0805</ns0:v>
      </ns0:c>
      <ns0:c r="M109" t="str" s="13">
        <ns0:v>C</ns0:v>
      </ns0:c>
      <ns0:c r="N109" t="str" s="13">
        <ns0:v>Symbols\MY_LIB_Capacitors.SchLib</ns0:v>
      </ns0:c>
      <ns0:c r="O109" t="str" s="13">
        <ns0:v>CAPC2012X135N</ns0:v>
      </ns0:c>
      <ns0:c r="P109" t="str" s="13">
        <ns0:v>Footprints\PBL - SMD Packages.PcbLib</ns0:v>
      </ns0:c>
      <ns0:c r="Q109" t="str" s="14">
        <ns0:v>YAGEO CC; список 20.10.2026</ns0:v>
      </ns0:c>
      <ns0:c r="R109" t="str" s="11">
        <ns0:f>D109</ns0:f>
        <ns0:v>100 пФ</ns0:v>
      </ns0:c>
      <ns0:c r="S109" t="str" s="11">
        <ns0:f>L109</ns0:f>
        <ns0:v>Конденсатор 100 пФ ±20% 100 В X7R 0805</ns0:v>
      </ns0:c>
      <x:c xmlns:x="http://schemas.openxmlformats.org/spreadsheetml/2006/main" r="T109" t="str" s="11">
        <x:v>C:\Users\Nomatin\Documents\Altium\MY_LIB\MY_LIB\Datasheets\YAGEO_CC_X7R.pdf</x:v>
      </x:c>
      <x:c xmlns:x="http://schemas.openxmlformats.org/spreadsheetml/2006/main" r="U109" t="str" s="11">
        <x:v>Даташит — локальный</x:v>
      </x:c>
      <x:c xmlns:x="http://schemas.openxmlformats.org/spreadsheetml/2006/main" r="V109" t="str" s="11">
        <x:v>C:\Users\Nomatin\Documents\Altium\MY_LIB\MY_LIB\Datasheets\YAGEO_CC_X7R.pdf</x:v>
      </x:c>
      <x:c xmlns:x="http://schemas.openxmlformats.org/spreadsheetml/2006/main" r="W109" t="str" s="11">
        <x:v>Даташит — производитель</x:v>
      </x:c>
      <x:c xmlns:x="http://schemas.openxmlformats.org/spreadsheetml/2006/main" r="X109" t="str" s="11">
        <x:v>https://yageogroup.com/content/datasheet/asset/file/UPY-GPHC_X7R_6_3V-TO-250V</x:v>
      </x:c>
      <x:c xmlns:x="http://schemas.openxmlformats.org/spreadsheetml/2006/main" r="Y109" t="str" s="11">
        <x:v>C:\Users\Nomatin\Documents\Altium\MY_LIB\MY_LIB\Datasheets\YAGEO_CC_X7R.pdf</x:v>
      </x:c>
    </ns0:row>
    <ns0:row r="110" ht="30" customHeight="1">
      <ns0:c r="A110" t="str" s="14">
        <ns0:v>C0111</ns0:v>
      </ns0:c>
      <ns0:c r="B110" t="str" s="14">
        <ns0:v>Конденсатор</ns0:v>
      </ns0:c>
      <ns0:c r="C110" t="str" s="14">
        <ns0:v>150p</ns0:v>
      </ns0:c>
      <ns0:c r="D110" t="str" s="11">
        <ns0:f>SUBSTITUTE(SUBSTITUTE(SUBSTITUTE(SUBSTITUTE(C110,"p"," пФ"),"n"," нФ"),"u"," мкФ"),".",",")</ns0:f>
        <ns0:v>150 пФ</ns0:v>
      </ns0:c>
      <ns0:c r="E110" t="str" s="14">
        <ns0:v>±20%</ns0:v>
      </ns0:c>
      <ns0:c r="F110" s="14"/>
      <ns0:c r="G110" t="str" s="14">
        <ns0:v>100 В</ns0:v>
      </ns0:c>
      <ns0:c r="H110" t="str" s="14">
        <ns0:v>X7R</ns0:v>
      </ns0:c>
      <ns0:c r="I110" t="str" s="15">
        <ns0:v>0805</ns0:v>
      </ns0:c>
      <ns0:c r="J110" t="str" s="14">
        <ns0:v>YAGEO</ns0:v>
      </ns0:c>
      <ns0:c r="K110" t="str" s="14">
        <ns0:v>CC0805MRX7R0BB151</ns0:v>
      </ns0:c>
      <ns0:c r="L110" t="str" s="11">
        <ns0:f>B110&amp;" "&amp;D110&amp;" "&amp;E110&amp;" "&amp;G110&amp;" "&amp;H110&amp;" "&amp;I110</ns0:f>
        <ns0:v>Конденсатор 150 пФ ±20% 100 В X7R 0805</ns0:v>
      </ns0:c>
      <ns0:c r="M110" t="str" s="13">
        <ns0:v>C</ns0:v>
      </ns0:c>
      <ns0:c r="N110" t="str" s="13">
        <ns0:v>Symbols\MY_LIB_Capacitors.SchLib</ns0:v>
      </ns0:c>
      <ns0:c r="O110" t="str" s="13">
        <ns0:v>CAPC2012X135N</ns0:v>
      </ns0:c>
      <ns0:c r="P110" t="str" s="13">
        <ns0:v>Footprints\PBL - SMD Packages.PcbLib</ns0:v>
      </ns0:c>
      <ns0:c r="Q110" t="str" s="14">
        <ns0:v>YAGEO CC; список 20.10.2026</ns0:v>
      </ns0:c>
      <ns0:c r="R110" t="str" s="11">
        <ns0:f>D110</ns0:f>
        <ns0:v>150 пФ</ns0:v>
      </ns0:c>
      <ns0:c r="S110" t="str" s="11">
        <ns0:f>L110</ns0:f>
        <ns0:v>Конденсатор 150 пФ ±20% 100 В X7R 0805</ns0:v>
      </ns0:c>
      <x:c xmlns:x="http://schemas.openxmlformats.org/spreadsheetml/2006/main" r="T110" t="str" s="11">
        <x:v>C:\Users\Nomatin\Documents\Altium\MY_LIB\MY_LIB\Datasheets\YAGEO_CC_X7R.pdf</x:v>
      </x:c>
      <x:c xmlns:x="http://schemas.openxmlformats.org/spreadsheetml/2006/main" r="U110" t="str" s="11">
        <x:v>Даташит — локальный</x:v>
      </x:c>
      <x:c xmlns:x="http://schemas.openxmlformats.org/spreadsheetml/2006/main" r="V110" t="str" s="11">
        <x:v>C:\Users\Nomatin\Documents\Altium\MY_LIB\MY_LIB\Datasheets\YAGEO_CC_X7R.pdf</x:v>
      </x:c>
      <x:c xmlns:x="http://schemas.openxmlformats.org/spreadsheetml/2006/main" r="W110" t="str" s="11">
        <x:v>Даташит — производитель</x:v>
      </x:c>
      <x:c xmlns:x="http://schemas.openxmlformats.org/spreadsheetml/2006/main" r="X110" t="str" s="11">
        <x:v>https://yageogroup.com/content/datasheet/asset/file/UPY-GPHC_X7R_6_3V-TO-250V</x:v>
      </x:c>
      <x:c xmlns:x="http://schemas.openxmlformats.org/spreadsheetml/2006/main" r="Y110" t="str" s="11">
        <x:v>C:\Users\Nomatin\Documents\Altium\MY_LIB\MY_LIB\Datasheets\YAGEO_CC_X7R.pdf</x:v>
      </x:c>
    </ns0:row>
    <ns0:row r="111" ht="30" customHeight="1">
      <ns0:c r="A111" t="str" s="14">
        <ns0:v>C0112</ns0:v>
      </ns0:c>
      <ns0:c r="B111" t="str" s="14">
        <ns0:v>Конденсатор</ns0:v>
      </ns0:c>
      <ns0:c r="C111" t="str" s="14">
        <ns0:v>220p</ns0:v>
      </ns0:c>
      <ns0:c r="D111" t="str" s="11">
        <ns0:f>SUBSTITUTE(SUBSTITUTE(SUBSTITUTE(SUBSTITUTE(C111,"p"," пФ"),"n"," нФ"),"u"," мкФ"),".",",")</ns0:f>
        <ns0:v>220 пФ</ns0:v>
      </ns0:c>
      <ns0:c r="E111" t="str" s="14">
        <ns0:v>±20%</ns0:v>
      </ns0:c>
      <ns0:c r="F111" s="14"/>
      <ns0:c r="G111" t="str" s="14">
        <ns0:v>100 В</ns0:v>
      </ns0:c>
      <ns0:c r="H111" t="str" s="14">
        <ns0:v>X7R</ns0:v>
      </ns0:c>
      <ns0:c r="I111" t="str" s="15">
        <ns0:v>0805</ns0:v>
      </ns0:c>
      <ns0:c r="J111" t="str" s="14">
        <ns0:v>YAGEO</ns0:v>
      </ns0:c>
      <ns0:c r="K111" t="str" s="14">
        <ns0:v>CC0805MRX7R0BB221</ns0:v>
      </ns0:c>
      <ns0:c r="L111" t="str" s="11">
        <ns0:f>B111&amp;" "&amp;D111&amp;" "&amp;E111&amp;" "&amp;G111&amp;" "&amp;H111&amp;" "&amp;I111</ns0:f>
        <ns0:v>Конденсатор 220 пФ ±20% 100 В X7R 0805</ns0:v>
      </ns0:c>
      <ns0:c r="M111" t="str" s="13">
        <ns0:v>C</ns0:v>
      </ns0:c>
      <ns0:c r="N111" t="str" s="13">
        <ns0:v>Symbols\MY_LIB_Capacitors.SchLib</ns0:v>
      </ns0:c>
      <ns0:c r="O111" t="str" s="13">
        <ns0:v>CAPC2012X135N</ns0:v>
      </ns0:c>
      <ns0:c r="P111" t="str" s="13">
        <ns0:v>Footprints\PBL - SMD Packages.PcbLib</ns0:v>
      </ns0:c>
      <ns0:c r="Q111" t="str" s="14">
        <ns0:v>YAGEO CC; список 20.10.2026</ns0:v>
      </ns0:c>
      <ns0:c r="R111" t="str" s="11">
        <ns0:f>D111</ns0:f>
        <ns0:v>220 пФ</ns0:v>
      </ns0:c>
      <ns0:c r="S111" t="str" s="11">
        <ns0:f>L111</ns0:f>
        <ns0:v>Конденсатор 220 пФ ±20% 100 В X7R 0805</ns0:v>
      </ns0:c>
      <x:c xmlns:x="http://schemas.openxmlformats.org/spreadsheetml/2006/main" r="T111" t="str" s="11">
        <x:v>C:\Users\Nomatin\Documents\Altium\MY_LIB\MY_LIB\Datasheets\YAGEO_CC_X7R.pdf</x:v>
      </x:c>
      <x:c xmlns:x="http://schemas.openxmlformats.org/spreadsheetml/2006/main" r="U111" t="str" s="11">
        <x:v>Даташит — локальный</x:v>
      </x:c>
      <x:c xmlns:x="http://schemas.openxmlformats.org/spreadsheetml/2006/main" r="V111" t="str" s="11">
        <x:v>C:\Users\Nomatin\Documents\Altium\MY_LIB\MY_LIB\Datasheets\YAGEO_CC_X7R.pdf</x:v>
      </x:c>
      <x:c xmlns:x="http://schemas.openxmlformats.org/spreadsheetml/2006/main" r="W111" t="str" s="11">
        <x:v>Даташит — производитель</x:v>
      </x:c>
      <x:c xmlns:x="http://schemas.openxmlformats.org/spreadsheetml/2006/main" r="X111" t="str" s="11">
        <x:v>https://yageogroup.com/content/datasheet/asset/file/UPY-GPHC_X7R_6_3V-TO-250V</x:v>
      </x:c>
      <x:c xmlns:x="http://schemas.openxmlformats.org/spreadsheetml/2006/main" r="Y111" t="str" s="11">
        <x:v>C:\Users\Nomatin\Documents\Altium\MY_LIB\MY_LIB\Datasheets\YAGEO_CC_X7R.pdf</x:v>
      </x:c>
    </ns0:row>
    <ns0:row r="112" ht="30" customHeight="1">
      <ns0:c r="A112" t="str" s="14">
        <ns0:v>C0113</ns0:v>
      </ns0:c>
      <ns0:c r="B112" t="str" s="14">
        <ns0:v>Конденсатор</ns0:v>
      </ns0:c>
      <ns0:c r="C112" t="str" s="14">
        <ns0:v>330p</ns0:v>
      </ns0:c>
      <ns0:c r="D112" t="str" s="11">
        <ns0:f>SUBSTITUTE(SUBSTITUTE(SUBSTITUTE(SUBSTITUTE(C112,"p"," пФ"),"n"," нФ"),"u"," мкФ"),".",",")</ns0:f>
        <ns0:v>330 пФ</ns0:v>
      </ns0:c>
      <ns0:c r="E112" t="str" s="14">
        <ns0:v>±20%</ns0:v>
      </ns0:c>
      <ns0:c r="F112" s="14"/>
      <ns0:c r="G112" t="str" s="14">
        <ns0:v>100 В</ns0:v>
      </ns0:c>
      <ns0:c r="H112" t="str" s="14">
        <ns0:v>X7R</ns0:v>
      </ns0:c>
      <ns0:c r="I112" t="str" s="15">
        <ns0:v>0805</ns0:v>
      </ns0:c>
      <ns0:c r="J112" t="str" s="14">
        <ns0:v>YAGEO</ns0:v>
      </ns0:c>
      <ns0:c r="K112" t="str" s="14">
        <ns0:v>CC0805MRX7R0BB331</ns0:v>
      </ns0:c>
      <ns0:c r="L112" t="str" s="11">
        <ns0:f>B112&amp;" "&amp;D112&amp;" "&amp;E112&amp;" "&amp;G112&amp;" "&amp;H112&amp;" "&amp;I112</ns0:f>
        <ns0:v>Конденсатор 330 пФ ±20% 100 В X7R 0805</ns0:v>
      </ns0:c>
      <ns0:c r="M112" t="str" s="13">
        <ns0:v>C</ns0:v>
      </ns0:c>
      <ns0:c r="N112" t="str" s="13">
        <ns0:v>Symbols\MY_LIB_Capacitors.SchLib</ns0:v>
      </ns0:c>
      <ns0:c r="O112" t="str" s="13">
        <ns0:v>CAPC2012X135N</ns0:v>
      </ns0:c>
      <ns0:c r="P112" t="str" s="13">
        <ns0:v>Footprints\PBL - SMD Packages.PcbLib</ns0:v>
      </ns0:c>
      <ns0:c r="Q112" t="str" s="14">
        <ns0:v>YAGEO CC; список 20.10.2026</ns0:v>
      </ns0:c>
      <ns0:c r="R112" t="str" s="11">
        <ns0:f>D112</ns0:f>
        <ns0:v>330 пФ</ns0:v>
      </ns0:c>
      <ns0:c r="S112" t="str" s="11">
        <ns0:f>L112</ns0:f>
        <ns0:v>Конденсатор 330 пФ ±20% 100 В X7R 0805</ns0:v>
      </ns0:c>
      <x:c xmlns:x="http://schemas.openxmlformats.org/spreadsheetml/2006/main" r="T112" t="str" s="11">
        <x:v>C:\Users\Nomatin\Documents\Altium\MY_LIB\MY_LIB\Datasheets\YAGEO_CC_X7R.pdf</x:v>
      </x:c>
      <x:c xmlns:x="http://schemas.openxmlformats.org/spreadsheetml/2006/main" r="U112" t="str" s="11">
        <x:v>Даташит — локальный</x:v>
      </x:c>
      <x:c xmlns:x="http://schemas.openxmlformats.org/spreadsheetml/2006/main" r="V112" t="str" s="11">
        <x:v>C:\Users\Nomatin\Documents\Altium\MY_LIB\MY_LIB\Datasheets\YAGEO_CC_X7R.pdf</x:v>
      </x:c>
      <x:c xmlns:x="http://schemas.openxmlformats.org/spreadsheetml/2006/main" r="W112" t="str" s="11">
        <x:v>Даташит — производитель</x:v>
      </x:c>
      <x:c xmlns:x="http://schemas.openxmlformats.org/spreadsheetml/2006/main" r="X112" t="str" s="11">
        <x:v>https://yageogroup.com/content/datasheet/asset/file/UPY-GPHC_X7R_6_3V-TO-250V</x:v>
      </x:c>
      <x:c xmlns:x="http://schemas.openxmlformats.org/spreadsheetml/2006/main" r="Y112" t="str" s="11">
        <x:v>C:\Users\Nomatin\Documents\Altium\MY_LIB\MY_LIB\Datasheets\YAGEO_CC_X7R.pdf</x:v>
      </x:c>
    </ns0:row>
    <ns0:row r="113" ht="30" customHeight="1">
      <ns0:c r="A113" t="str" s="14">
        <ns0:v>C0114</ns0:v>
      </ns0:c>
      <ns0:c r="B113" t="str" s="14">
        <ns0:v>Конденсатор</ns0:v>
      </ns0:c>
      <ns0:c r="C113" t="str" s="14">
        <ns0:v>470p</ns0:v>
      </ns0:c>
      <ns0:c r="D113" t="str" s="11">
        <ns0:f>SUBSTITUTE(SUBSTITUTE(SUBSTITUTE(SUBSTITUTE(C113,"p"," пФ"),"n"," нФ"),"u"," мкФ"),".",",")</ns0:f>
        <ns0:v>470 пФ</ns0:v>
      </ns0:c>
      <ns0:c r="E113" t="str" s="14">
        <ns0:v>±20%</ns0:v>
      </ns0:c>
      <ns0:c r="F113" s="14"/>
      <ns0:c r="G113" t="str" s="14">
        <ns0:v>100 В</ns0:v>
      </ns0:c>
      <ns0:c r="H113" t="str" s="14">
        <ns0:v>X7R</ns0:v>
      </ns0:c>
      <ns0:c r="I113" t="str" s="15">
        <ns0:v>0805</ns0:v>
      </ns0:c>
      <ns0:c r="J113" t="str" s="14">
        <ns0:v>YAGEO</ns0:v>
      </ns0:c>
      <ns0:c r="K113" t="str" s="14">
        <ns0:v>CC0805MRX7R0BB471</ns0:v>
      </ns0:c>
      <ns0:c r="L113" t="str" s="11">
        <ns0:f>B113&amp;" "&amp;D113&amp;" "&amp;E113&amp;" "&amp;G113&amp;" "&amp;H113&amp;" "&amp;I113</ns0:f>
        <ns0:v>Конденсатор 470 пФ ±20% 100 В X7R 0805</ns0:v>
      </ns0:c>
      <ns0:c r="M113" t="str" s="13">
        <ns0:v>C</ns0:v>
      </ns0:c>
      <ns0:c r="N113" t="str" s="13">
        <ns0:v>Symbols\MY_LIB_Capacitors.SchLib</ns0:v>
      </ns0:c>
      <ns0:c r="O113" t="str" s="13">
        <ns0:v>CAPC2012X135N</ns0:v>
      </ns0:c>
      <ns0:c r="P113" t="str" s="13">
        <ns0:v>Footprints\PBL - SMD Packages.PcbLib</ns0:v>
      </ns0:c>
      <ns0:c r="Q113" t="str" s="14">
        <ns0:v>YAGEO CC; список 20.10.2026</ns0:v>
      </ns0:c>
      <ns0:c r="R113" t="str" s="11">
        <ns0:f>D113</ns0:f>
        <ns0:v>470 пФ</ns0:v>
      </ns0:c>
      <ns0:c r="S113" t="str" s="11">
        <ns0:f>L113</ns0:f>
        <ns0:v>Конденсатор 470 пФ ±20% 100 В X7R 0805</ns0:v>
      </ns0:c>
      <x:c xmlns:x="http://schemas.openxmlformats.org/spreadsheetml/2006/main" r="T113" t="str" s="11">
        <x:v>C:\Users\Nomatin\Documents\Altium\MY_LIB\MY_LIB\Datasheets\YAGEO_CC_X7R.pdf</x:v>
      </x:c>
      <x:c xmlns:x="http://schemas.openxmlformats.org/spreadsheetml/2006/main" r="U113" t="str" s="11">
        <x:v>Даташит — локальный</x:v>
      </x:c>
      <x:c xmlns:x="http://schemas.openxmlformats.org/spreadsheetml/2006/main" r="V113" t="str" s="11">
        <x:v>C:\Users\Nomatin\Documents\Altium\MY_LIB\MY_LIB\Datasheets\YAGEO_CC_X7R.pdf</x:v>
      </x:c>
      <x:c xmlns:x="http://schemas.openxmlformats.org/spreadsheetml/2006/main" r="W113" t="str" s="11">
        <x:v>Даташит — производитель</x:v>
      </x:c>
      <x:c xmlns:x="http://schemas.openxmlformats.org/spreadsheetml/2006/main" r="X113" t="str" s="11">
        <x:v>https://yageogroup.com/content/datasheet/asset/file/UPY-GPHC_X7R_6_3V-TO-250V</x:v>
      </x:c>
      <x:c xmlns:x="http://schemas.openxmlformats.org/spreadsheetml/2006/main" r="Y113" t="str" s="11">
        <x:v>C:\Users\Nomatin\Documents\Altium\MY_LIB\MY_LIB\Datasheets\YAGEO_CC_X7R.pdf</x:v>
      </x:c>
    </ns0:row>
    <ns0:row r="114" ht="30" customHeight="1">
      <ns0:c r="A114" t="str" s="14">
        <ns0:v>C0115</ns0:v>
      </ns0:c>
      <ns0:c r="B114" t="str" s="14">
        <ns0:v>Конденсатор</ns0:v>
      </ns0:c>
      <ns0:c r="C114" t="str" s="14">
        <ns0:v>680p</ns0:v>
      </ns0:c>
      <ns0:c r="D114" t="str" s="11">
        <ns0:f>SUBSTITUTE(SUBSTITUTE(SUBSTITUTE(SUBSTITUTE(C114,"p"," пФ"),"n"," нФ"),"u"," мкФ"),".",",")</ns0:f>
        <ns0:v>680 пФ</ns0:v>
      </ns0:c>
      <ns0:c r="E114" t="str" s="14">
        <ns0:v>±20%</ns0:v>
      </ns0:c>
      <ns0:c r="F114" s="14"/>
      <ns0:c r="G114" t="str" s="14">
        <ns0:v>100 В</ns0:v>
      </ns0:c>
      <ns0:c r="H114" t="str" s="14">
        <ns0:v>X7R</ns0:v>
      </ns0:c>
      <ns0:c r="I114" t="str" s="15">
        <ns0:v>0805</ns0:v>
      </ns0:c>
      <ns0:c r="J114" t="str" s="14">
        <ns0:v>YAGEO</ns0:v>
      </ns0:c>
      <ns0:c r="K114" t="str" s="14">
        <ns0:v>CC0805MRX7R0BB681</ns0:v>
      </ns0:c>
      <ns0:c r="L114" t="str" s="11">
        <ns0:f>B114&amp;" "&amp;D114&amp;" "&amp;E114&amp;" "&amp;G114&amp;" "&amp;H114&amp;" "&amp;I114</ns0:f>
        <ns0:v>Конденсатор 680 пФ ±20% 100 В X7R 0805</ns0:v>
      </ns0:c>
      <ns0:c r="M114" t="str" s="13">
        <ns0:v>C</ns0:v>
      </ns0:c>
      <ns0:c r="N114" t="str" s="13">
        <ns0:v>Symbols\MY_LIB_Capacitors.SchLib</ns0:v>
      </ns0:c>
      <ns0:c r="O114" t="str" s="13">
        <ns0:v>CAPC2012X135N</ns0:v>
      </ns0:c>
      <ns0:c r="P114" t="str" s="13">
        <ns0:v>Footprints\PBL - SMD Packages.PcbLib</ns0:v>
      </ns0:c>
      <ns0:c r="Q114" t="str" s="14">
        <ns0:v>YAGEO CC; список 20.10.2026</ns0:v>
      </ns0:c>
      <ns0:c r="R114" t="str" s="11">
        <ns0:f>D114</ns0:f>
        <ns0:v>680 пФ</ns0:v>
      </ns0:c>
      <ns0:c r="S114" t="str" s="11">
        <ns0:f>L114</ns0:f>
        <ns0:v>Конденсатор 680 пФ ±20% 100 В X7R 0805</ns0:v>
      </ns0:c>
      <x:c xmlns:x="http://schemas.openxmlformats.org/spreadsheetml/2006/main" r="T114" t="str" s="11">
        <x:v>C:\Users\Nomatin\Documents\Altium\MY_LIB\MY_LIB\Datasheets\YAGEO_CC_X7R.pdf</x:v>
      </x:c>
      <x:c xmlns:x="http://schemas.openxmlformats.org/spreadsheetml/2006/main" r="U114" t="str" s="11">
        <x:v>Даташит — локальный</x:v>
      </x:c>
      <x:c xmlns:x="http://schemas.openxmlformats.org/spreadsheetml/2006/main" r="V114" t="str" s="11">
        <x:v>C:\Users\Nomatin\Documents\Altium\MY_LIB\MY_LIB\Datasheets\YAGEO_CC_X7R.pdf</x:v>
      </x:c>
      <x:c xmlns:x="http://schemas.openxmlformats.org/spreadsheetml/2006/main" r="W114" t="str" s="11">
        <x:v>Даташит — производитель</x:v>
      </x:c>
      <x:c xmlns:x="http://schemas.openxmlformats.org/spreadsheetml/2006/main" r="X114" t="str" s="11">
        <x:v>https://yageogroup.com/content/datasheet/asset/file/UPY-GPHC_X7R_6_3V-TO-250V</x:v>
      </x:c>
      <x:c xmlns:x="http://schemas.openxmlformats.org/spreadsheetml/2006/main" r="Y114" t="str" s="11">
        <x:v>C:\Users\Nomatin\Documents\Altium\MY_LIB\MY_LIB\Datasheets\YAGEO_CC_X7R.pdf</x:v>
      </x:c>
    </ns0:row>
    <ns0:row r="115" ht="30" customHeight="1">
      <ns0:c r="A115" t="str" s="14">
        <ns0:v>C0116</ns0:v>
      </ns0:c>
      <ns0:c r="B115" t="str" s="14">
        <ns0:v>Конденсатор</ns0:v>
      </ns0:c>
      <ns0:c r="C115" t="str" s="14">
        <ns0:v>1n</ns0:v>
      </ns0:c>
      <ns0:c r="D115" t="str" s="11">
        <ns0:f>SUBSTITUTE(SUBSTITUTE(SUBSTITUTE(SUBSTITUTE(C115,"p"," пФ"),"n"," нФ"),"u"," мкФ"),".",",")</ns0:f>
        <ns0:v>1 нФ</ns0:v>
      </ns0:c>
      <ns0:c r="E115" t="str" s="14">
        <ns0:v>±20%</ns0:v>
      </ns0:c>
      <ns0:c r="F115" s="14"/>
      <ns0:c r="G115" t="str" s="14">
        <ns0:v>100 В</ns0:v>
      </ns0:c>
      <ns0:c r="H115" t="str" s="14">
        <ns0:v>X7R</ns0:v>
      </ns0:c>
      <ns0:c r="I115" t="str" s="15">
        <ns0:v>0805</ns0:v>
      </ns0:c>
      <ns0:c r="J115" t="str" s="14">
        <ns0:v>YAGEO</ns0:v>
      </ns0:c>
      <ns0:c r="K115" t="str" s="14">
        <ns0:v>CC0805MRX7R0BB102</ns0:v>
      </ns0:c>
      <ns0:c r="L115" t="str" s="11">
        <ns0:f>B115&amp;" "&amp;D115&amp;" "&amp;E115&amp;" "&amp;G115&amp;" "&amp;H115&amp;" "&amp;I115</ns0:f>
        <ns0:v>Конденсатор 1 нФ ±20% 100 В X7R 0805</ns0:v>
      </ns0:c>
      <ns0:c r="M115" t="str" s="13">
        <ns0:v>C</ns0:v>
      </ns0:c>
      <ns0:c r="N115" t="str" s="13">
        <ns0:v>Symbols\MY_LIB_Capacitors.SchLib</ns0:v>
      </ns0:c>
      <ns0:c r="O115" t="str" s="13">
        <ns0:v>CAPC2012X135N</ns0:v>
      </ns0:c>
      <ns0:c r="P115" t="str" s="13">
        <ns0:v>Footprints\PBL - SMD Packages.PcbLib</ns0:v>
      </ns0:c>
      <ns0:c r="Q115" t="str" s="14">
        <ns0:v>YAGEO CC; список 20.10.2026</ns0:v>
      </ns0:c>
      <ns0:c r="R115" t="str" s="11">
        <ns0:f>D115</ns0:f>
        <ns0:v>1 нФ</ns0:v>
      </ns0:c>
      <ns0:c r="S115" t="str" s="11">
        <ns0:f>L115</ns0:f>
        <ns0:v>Конденсатор 1 нФ ±20% 100 В X7R 0805</ns0:v>
      </ns0:c>
      <x:c xmlns:x="http://schemas.openxmlformats.org/spreadsheetml/2006/main" r="T115" t="str" s="11">
        <x:v>C:\Users\Nomatin\Documents\Altium\MY_LIB\MY_LIB\Datasheets\YAGEO_CC_X7R.pdf</x:v>
      </x:c>
      <x:c xmlns:x="http://schemas.openxmlformats.org/spreadsheetml/2006/main" r="U115" t="str" s="11">
        <x:v>Даташит — локальный</x:v>
      </x:c>
      <x:c xmlns:x="http://schemas.openxmlformats.org/spreadsheetml/2006/main" r="V115" t="str" s="11">
        <x:v>C:\Users\Nomatin\Documents\Altium\MY_LIB\MY_LIB\Datasheets\YAGEO_CC_X7R.pdf</x:v>
      </x:c>
      <x:c xmlns:x="http://schemas.openxmlformats.org/spreadsheetml/2006/main" r="W115" t="str" s="11">
        <x:v>Даташит — производитель</x:v>
      </x:c>
      <x:c xmlns:x="http://schemas.openxmlformats.org/spreadsheetml/2006/main" r="X115" t="str" s="11">
        <x:v>https://yageogroup.com/content/datasheet/asset/file/UPY-GPHC_X7R_6_3V-TO-250V</x:v>
      </x:c>
      <x:c xmlns:x="http://schemas.openxmlformats.org/spreadsheetml/2006/main" r="Y115" t="str" s="11">
        <x:v>C:\Users\Nomatin\Documents\Altium\MY_LIB\MY_LIB\Datasheets\YAGEO_CC_X7R.pdf</x:v>
      </x:c>
    </ns0:row>
    <ns0:row r="116" ht="30" customHeight="1">
      <ns0:c r="A116" t="str" s="14">
        <ns0:v>C0117</ns0:v>
      </ns0:c>
      <ns0:c r="B116" t="str" s="14">
        <ns0:v>Конденсатор</ns0:v>
      </ns0:c>
      <ns0:c r="C116" t="str" s="14">
        <ns0:v>1.2n</ns0:v>
      </ns0:c>
      <ns0:c r="D116" t="str" s="11">
        <ns0:f>SUBSTITUTE(SUBSTITUTE(SUBSTITUTE(SUBSTITUTE(C116,"p"," пФ"),"n"," нФ"),"u"," мкФ"),".",",")</ns0:f>
        <ns0:v>1,2 нФ</ns0:v>
      </ns0:c>
      <ns0:c r="E116" t="str" s="14">
        <ns0:v>±20%</ns0:v>
      </ns0:c>
      <ns0:c r="F116" s="14"/>
      <ns0:c r="G116" t="str" s="14">
        <ns0:v>50 В</ns0:v>
      </ns0:c>
      <ns0:c r="H116" t="str" s="14">
        <ns0:v>X7R</ns0:v>
      </ns0:c>
      <ns0:c r="I116" t="str" s="15">
        <ns0:v>0805</ns0:v>
      </ns0:c>
      <ns0:c r="J116" t="str" s="14">
        <ns0:v>YAGEO</ns0:v>
      </ns0:c>
      <ns0:c r="K116" t="str" s="14">
        <ns0:v>CC0805MRX7R9BB122</ns0:v>
      </ns0:c>
      <ns0:c r="L116" t="str" s="11">
        <ns0:f>B116&amp;" "&amp;D116&amp;" "&amp;E116&amp;" "&amp;G116&amp;" "&amp;H116&amp;" "&amp;I116</ns0:f>
        <ns0:v>Конденсатор 1,2 нФ ±20% 50 В X7R 0805</ns0:v>
      </ns0:c>
      <ns0:c r="M116" t="str" s="13">
        <ns0:v>C</ns0:v>
      </ns0:c>
      <ns0:c r="N116" t="str" s="13">
        <ns0:v>Symbols\MY_LIB_Capacitors.SchLib</ns0:v>
      </ns0:c>
      <ns0:c r="O116" t="str" s="13">
        <ns0:v>CAPC2012X135N</ns0:v>
      </ns0:c>
      <ns0:c r="P116" t="str" s="13">
        <ns0:v>Footprints\PBL - SMD Packages.PcbLib</ns0:v>
      </ns0:c>
      <ns0:c r="Q116" t="str" s="14">
        <ns0:v>YAGEO CC; список 20.10.2026</ns0:v>
      </ns0:c>
      <ns0:c r="R116" t="str" s="11">
        <ns0:f>D116</ns0:f>
        <ns0:v>1,2 нФ</ns0:v>
      </ns0:c>
      <ns0:c r="S116" t="str" s="11">
        <ns0:f>L116</ns0:f>
        <ns0:v>Конденсатор 1,2 нФ ±20% 50 В X7R 0805</ns0:v>
      </ns0:c>
      <x:c xmlns:x="http://schemas.openxmlformats.org/spreadsheetml/2006/main" r="T116" t="str" s="11">
        <x:v>C:\Users\Nomatin\Documents\Altium\MY_LIB\MY_LIB\Datasheets\YAGEO_CC_X7R.pdf</x:v>
      </x:c>
      <x:c xmlns:x="http://schemas.openxmlformats.org/spreadsheetml/2006/main" r="U116" t="str" s="11">
        <x:v>Даташит — локальный</x:v>
      </x:c>
      <x:c xmlns:x="http://schemas.openxmlformats.org/spreadsheetml/2006/main" r="V116" t="str" s="11">
        <x:v>C:\Users\Nomatin\Documents\Altium\MY_LIB\MY_LIB\Datasheets\YAGEO_CC_X7R.pdf</x:v>
      </x:c>
      <x:c xmlns:x="http://schemas.openxmlformats.org/spreadsheetml/2006/main" r="W116" t="str" s="11">
        <x:v>Даташит — производитель</x:v>
      </x:c>
      <x:c xmlns:x="http://schemas.openxmlformats.org/spreadsheetml/2006/main" r="X116" t="str" s="11">
        <x:v>https://yageogroup.com/content/datasheet/asset/file/UPY-GPHC_X7R_6_3V-TO-250V</x:v>
      </x:c>
      <x:c xmlns:x="http://schemas.openxmlformats.org/spreadsheetml/2006/main" r="Y116" t="str" s="11">
        <x:v>C:\Users\Nomatin\Documents\Altium\MY_LIB\MY_LIB\Datasheets\YAGEO_CC_X7R.pdf</x:v>
      </x:c>
    </ns0:row>
    <ns0:row r="117" ht="30" customHeight="1">
      <ns0:c r="A117" t="str" s="14">
        <ns0:v>C0118</ns0:v>
      </ns0:c>
      <ns0:c r="B117" t="str" s="14">
        <ns0:v>Конденсатор</ns0:v>
      </ns0:c>
      <ns0:c r="C117" t="str" s="14">
        <ns0:v>1.5n</ns0:v>
      </ns0:c>
      <ns0:c r="D117" t="str" s="11">
        <ns0:f>SUBSTITUTE(SUBSTITUTE(SUBSTITUTE(SUBSTITUTE(C117,"p"," пФ"),"n"," нФ"),"u"," мкФ"),".",",")</ns0:f>
        <ns0:v>1,5 нФ</ns0:v>
      </ns0:c>
      <ns0:c r="E117" t="str" s="14">
        <ns0:v>±20%</ns0:v>
      </ns0:c>
      <ns0:c r="F117" s="14"/>
      <ns0:c r="G117" t="str" s="14">
        <ns0:v>100 В</ns0:v>
      </ns0:c>
      <ns0:c r="H117" t="str" s="14">
        <ns0:v>X7R</ns0:v>
      </ns0:c>
      <ns0:c r="I117" t="str" s="15">
        <ns0:v>0805</ns0:v>
      </ns0:c>
      <ns0:c r="J117" t="str" s="14">
        <ns0:v>YAGEO</ns0:v>
      </ns0:c>
      <ns0:c r="K117" t="str" s="14">
        <ns0:v>CC0805MRX7R0BB152</ns0:v>
      </ns0:c>
      <ns0:c r="L117" t="str" s="11">
        <ns0:f>B117&amp;" "&amp;D117&amp;" "&amp;E117&amp;" "&amp;G117&amp;" "&amp;H117&amp;" "&amp;I117</ns0:f>
        <ns0:v>Конденсатор 1,5 нФ ±20% 100 В X7R 0805</ns0:v>
      </ns0:c>
      <ns0:c r="M117" t="str" s="13">
        <ns0:v>C</ns0:v>
      </ns0:c>
      <ns0:c r="N117" t="str" s="13">
        <ns0:v>Symbols\MY_LIB_Capacitors.SchLib</ns0:v>
      </ns0:c>
      <ns0:c r="O117" t="str" s="13">
        <ns0:v>CAPC2012X135N</ns0:v>
      </ns0:c>
      <ns0:c r="P117" t="str" s="13">
        <ns0:v>Footprints\PBL - SMD Packages.PcbLib</ns0:v>
      </ns0:c>
      <ns0:c r="Q117" t="str" s="14">
        <ns0:v>YAGEO CC; список 20.10.2026</ns0:v>
      </ns0:c>
      <ns0:c r="R117" t="str" s="11">
        <ns0:f>D117</ns0:f>
        <ns0:v>1,5 нФ</ns0:v>
      </ns0:c>
      <ns0:c r="S117" t="str" s="11">
        <ns0:f>L117</ns0:f>
        <ns0:v>Конденсатор 1,5 нФ ±20% 100 В X7R 0805</ns0:v>
      </ns0:c>
      <x:c xmlns:x="http://schemas.openxmlformats.org/spreadsheetml/2006/main" r="T117" t="str" s="11">
        <x:v>C:\Users\Nomatin\Documents\Altium\MY_LIB\MY_LIB\Datasheets\YAGEO_CC_X7R.pdf</x:v>
      </x:c>
      <x:c xmlns:x="http://schemas.openxmlformats.org/spreadsheetml/2006/main" r="U117" t="str" s="11">
        <x:v>Даташит — локальный</x:v>
      </x:c>
      <x:c xmlns:x="http://schemas.openxmlformats.org/spreadsheetml/2006/main" r="V117" t="str" s="11">
        <x:v>C:\Users\Nomatin\Documents\Altium\MY_LIB\MY_LIB\Datasheets\YAGEO_CC_X7R.pdf</x:v>
      </x:c>
      <x:c xmlns:x="http://schemas.openxmlformats.org/spreadsheetml/2006/main" r="W117" t="str" s="11">
        <x:v>Даташит — производитель</x:v>
      </x:c>
      <x:c xmlns:x="http://schemas.openxmlformats.org/spreadsheetml/2006/main" r="X117" t="str" s="11">
        <x:v>https://yageogroup.com/content/datasheet/asset/file/UPY-GPHC_X7R_6_3V-TO-250V</x:v>
      </x:c>
      <x:c xmlns:x="http://schemas.openxmlformats.org/spreadsheetml/2006/main" r="Y117" t="str" s="11">
        <x:v>C:\Users\Nomatin\Documents\Altium\MY_LIB\MY_LIB\Datasheets\YAGEO_CC_X7R.pdf</x:v>
      </x:c>
    </ns0:row>
    <ns0:row r="118" ht="30" customHeight="1">
      <ns0:c r="A118" t="str" s="14">
        <ns0:v>C0119</ns0:v>
      </ns0:c>
      <ns0:c r="B118" t="str" s="14">
        <ns0:v>Конденсатор</ns0:v>
      </ns0:c>
      <ns0:c r="C118" t="str" s="14">
        <ns0:v>2.2n</ns0:v>
      </ns0:c>
      <ns0:c r="D118" t="str" s="11">
        <ns0:f>SUBSTITUTE(SUBSTITUTE(SUBSTITUTE(SUBSTITUTE(C118,"p"," пФ"),"n"," нФ"),"u"," мкФ"),".",",")</ns0:f>
        <ns0:v>2,2 нФ</ns0:v>
      </ns0:c>
      <ns0:c r="E118" t="str" s="14">
        <ns0:v>±20%</ns0:v>
      </ns0:c>
      <ns0:c r="F118" s="14"/>
      <ns0:c r="G118" t="str" s="14">
        <ns0:v>100 В</ns0:v>
      </ns0:c>
      <ns0:c r="H118" t="str" s="14">
        <ns0:v>X7R</ns0:v>
      </ns0:c>
      <ns0:c r="I118" t="str" s="15">
        <ns0:v>0805</ns0:v>
      </ns0:c>
      <ns0:c r="J118" t="str" s="14">
        <ns0:v>YAGEO</ns0:v>
      </ns0:c>
      <ns0:c r="K118" t="str" s="14">
        <ns0:v>CC0805MRX7R0BB222</ns0:v>
      </ns0:c>
      <ns0:c r="L118" t="str" s="11">
        <ns0:f>B118&amp;" "&amp;D118&amp;" "&amp;E118&amp;" "&amp;G118&amp;" "&amp;H118&amp;" "&amp;I118</ns0:f>
        <ns0:v>Конденсатор 2,2 нФ ±20% 100 В X7R 0805</ns0:v>
      </ns0:c>
      <ns0:c r="M118" t="str" s="13">
        <ns0:v>C</ns0:v>
      </ns0:c>
      <ns0:c r="N118" t="str" s="13">
        <ns0:v>Symbols\MY_LIB_Capacitors.SchLib</ns0:v>
      </ns0:c>
      <ns0:c r="O118" t="str" s="13">
        <ns0:v>CAPC2012X135N</ns0:v>
      </ns0:c>
      <ns0:c r="P118" t="str" s="13">
        <ns0:v>Footprints\PBL - SMD Packages.PcbLib</ns0:v>
      </ns0:c>
      <ns0:c r="Q118" t="str" s="14">
        <ns0:v>YAGEO CC; список 20.10.2026</ns0:v>
      </ns0:c>
      <ns0:c r="R118" t="str" s="11">
        <ns0:f>D118</ns0:f>
        <ns0:v>2,2 нФ</ns0:v>
      </ns0:c>
      <ns0:c r="S118" t="str" s="11">
        <ns0:f>L118</ns0:f>
        <ns0:v>Конденсатор 2,2 нФ ±20% 100 В X7R 0805</ns0:v>
      </ns0:c>
      <x:c xmlns:x="http://schemas.openxmlformats.org/spreadsheetml/2006/main" r="T118" t="str" s="11">
        <x:v>C:\Users\Nomatin\Documents\Altium\MY_LIB\MY_LIB\Datasheets\YAGEO_CC_X7R.pdf</x:v>
      </x:c>
      <x:c xmlns:x="http://schemas.openxmlformats.org/spreadsheetml/2006/main" r="U118" t="str" s="11">
        <x:v>Даташит — локальный</x:v>
      </x:c>
      <x:c xmlns:x="http://schemas.openxmlformats.org/spreadsheetml/2006/main" r="V118" t="str" s="11">
        <x:v>C:\Users\Nomatin\Documents\Altium\MY_LIB\MY_LIB\Datasheets\YAGEO_CC_X7R.pdf</x:v>
      </x:c>
      <x:c xmlns:x="http://schemas.openxmlformats.org/spreadsheetml/2006/main" r="W118" t="str" s="11">
        <x:v>Даташит — производитель</x:v>
      </x:c>
      <x:c xmlns:x="http://schemas.openxmlformats.org/spreadsheetml/2006/main" r="X118" t="str" s="11">
        <x:v>https://yageogroup.com/content/datasheet/asset/file/UPY-GPHC_X7R_6_3V-TO-250V</x:v>
      </x:c>
      <x:c xmlns:x="http://schemas.openxmlformats.org/spreadsheetml/2006/main" r="Y118" t="str" s="11">
        <x:v>C:\Users\Nomatin\Documents\Altium\MY_LIB\MY_LIB\Datasheets\YAGEO_CC_X7R.pdf</x:v>
      </x:c>
    </ns0:row>
    <ns0:row r="119" ht="30" customHeight="1">
      <ns0:c r="A119" t="str" s="14">
        <ns0:v>C0120</ns0:v>
      </ns0:c>
      <ns0:c r="B119" t="str" s="14">
        <ns0:v>Конденсатор</ns0:v>
      </ns0:c>
      <ns0:c r="C119" t="str" s="14">
        <ns0:v>2.7n</ns0:v>
      </ns0:c>
      <ns0:c r="D119" t="str" s="11">
        <ns0:f>SUBSTITUTE(SUBSTITUTE(SUBSTITUTE(SUBSTITUTE(C119,"p"," пФ"),"n"," нФ"),"u"," мкФ"),".",",")</ns0:f>
        <ns0:v>2,7 нФ</ns0:v>
      </ns0:c>
      <ns0:c r="E119" t="str" s="14">
        <ns0:v>±20%</ns0:v>
      </ns0:c>
      <ns0:c r="F119" s="14"/>
      <ns0:c r="G119" t="str" s="14">
        <ns0:v>50 В</ns0:v>
      </ns0:c>
      <ns0:c r="H119" t="str" s="14">
        <ns0:v>X7R</ns0:v>
      </ns0:c>
      <ns0:c r="I119" t="str" s="15">
        <ns0:v>0805</ns0:v>
      </ns0:c>
      <ns0:c r="J119" t="str" s="14">
        <ns0:v>YAGEO</ns0:v>
      </ns0:c>
      <ns0:c r="K119" t="str" s="14">
        <ns0:v>CC0805MRX7R9BB272</ns0:v>
      </ns0:c>
      <ns0:c r="L119" t="str" s="11">
        <ns0:f>B119&amp;" "&amp;D119&amp;" "&amp;E119&amp;" "&amp;G119&amp;" "&amp;H119&amp;" "&amp;I119</ns0:f>
        <ns0:v>Конденсатор 2,7 нФ ±20% 50 В X7R 0805</ns0:v>
      </ns0:c>
      <ns0:c r="M119" t="str" s="13">
        <ns0:v>C</ns0:v>
      </ns0:c>
      <ns0:c r="N119" t="str" s="13">
        <ns0:v>Symbols\MY_LIB_Capacitors.SchLib</ns0:v>
      </ns0:c>
      <ns0:c r="O119" t="str" s="13">
        <ns0:v>CAPC2012X135N</ns0:v>
      </ns0:c>
      <ns0:c r="P119" t="str" s="13">
        <ns0:v>Footprints\PBL - SMD Packages.PcbLib</ns0:v>
      </ns0:c>
      <ns0:c r="Q119" t="str" s="14">
        <ns0:v>YAGEO CC; список 20.10.2026</ns0:v>
      </ns0:c>
      <ns0:c r="R119" t="str" s="11">
        <ns0:f>D119</ns0:f>
        <ns0:v>2,7 нФ</ns0:v>
      </ns0:c>
      <ns0:c r="S119" t="str" s="11">
        <ns0:f>L119</ns0:f>
        <ns0:v>Конденсатор 2,7 нФ ±20% 50 В X7R 0805</ns0:v>
      </ns0:c>
      <x:c xmlns:x="http://schemas.openxmlformats.org/spreadsheetml/2006/main" r="T119" t="str" s="11">
        <x:v>C:\Users\Nomatin\Documents\Altium\MY_LIB\MY_LIB\Datasheets\YAGEO_CC_X7R.pdf</x:v>
      </x:c>
      <x:c xmlns:x="http://schemas.openxmlformats.org/spreadsheetml/2006/main" r="U119" t="str" s="11">
        <x:v>Даташит — локальный</x:v>
      </x:c>
      <x:c xmlns:x="http://schemas.openxmlformats.org/spreadsheetml/2006/main" r="V119" t="str" s="11">
        <x:v>C:\Users\Nomatin\Documents\Altium\MY_LIB\MY_LIB\Datasheets\YAGEO_CC_X7R.pdf</x:v>
      </x:c>
      <x:c xmlns:x="http://schemas.openxmlformats.org/spreadsheetml/2006/main" r="W119" t="str" s="11">
        <x:v>Даташит — производитель</x:v>
      </x:c>
      <x:c xmlns:x="http://schemas.openxmlformats.org/spreadsheetml/2006/main" r="X119" t="str" s="11">
        <x:v>https://yageogroup.com/content/datasheet/asset/file/UPY-GPHC_X7R_6_3V-TO-250V</x:v>
      </x:c>
      <x:c xmlns:x="http://schemas.openxmlformats.org/spreadsheetml/2006/main" r="Y119" t="str" s="11">
        <x:v>C:\Users\Nomatin\Documents\Altium\MY_LIB\MY_LIB\Datasheets\YAGEO_CC_X7R.pdf</x:v>
      </x:c>
    </ns0:row>
    <ns0:row r="120" ht="30" customHeight="1">
      <ns0:c r="A120" t="str" s="14">
        <ns0:v>C0121</ns0:v>
      </ns0:c>
      <ns0:c r="B120" t="str" s="14">
        <ns0:v>Конденсатор</ns0:v>
      </ns0:c>
      <ns0:c r="C120" t="str" s="14">
        <ns0:v>3.3n</ns0:v>
      </ns0:c>
      <ns0:c r="D120" t="str" s="11">
        <ns0:f>SUBSTITUTE(SUBSTITUTE(SUBSTITUTE(SUBSTITUTE(C120,"p"," пФ"),"n"," нФ"),"u"," мкФ"),".",",")</ns0:f>
        <ns0:v>3,3 нФ</ns0:v>
      </ns0:c>
      <ns0:c r="E120" t="str" s="14">
        <ns0:v>±20%</ns0:v>
      </ns0:c>
      <ns0:c r="F120" s="14"/>
      <ns0:c r="G120" t="str" s="14">
        <ns0:v>100 В</ns0:v>
      </ns0:c>
      <ns0:c r="H120" t="str" s="14">
        <ns0:v>X7R</ns0:v>
      </ns0:c>
      <ns0:c r="I120" t="str" s="15">
        <ns0:v>0805</ns0:v>
      </ns0:c>
      <ns0:c r="J120" t="str" s="14">
        <ns0:v>YAGEO</ns0:v>
      </ns0:c>
      <ns0:c r="K120" t="str" s="14">
        <ns0:v>CC0805MRX7R0BB332</ns0:v>
      </ns0:c>
      <ns0:c r="L120" t="str" s="11">
        <ns0:f>B120&amp;" "&amp;D120&amp;" "&amp;E120&amp;" "&amp;G120&amp;" "&amp;H120&amp;" "&amp;I120</ns0:f>
        <ns0:v>Конденсатор 3,3 нФ ±20% 100 В X7R 0805</ns0:v>
      </ns0:c>
      <ns0:c r="M120" t="str" s="13">
        <ns0:v>C</ns0:v>
      </ns0:c>
      <ns0:c r="N120" t="str" s="13">
        <ns0:v>Symbols\MY_LIB_Capacitors.SchLib</ns0:v>
      </ns0:c>
      <ns0:c r="O120" t="str" s="13">
        <ns0:v>CAPC2012X135N</ns0:v>
      </ns0:c>
      <ns0:c r="P120" t="str" s="13">
        <ns0:v>Footprints\PBL - SMD Packages.PcbLib</ns0:v>
      </ns0:c>
      <ns0:c r="Q120" t="str" s="14">
        <ns0:v>YAGEO CC; список 20.10.2026</ns0:v>
      </ns0:c>
      <ns0:c r="R120" t="str" s="11">
        <ns0:f>D120</ns0:f>
        <ns0:v>3,3 нФ</ns0:v>
      </ns0:c>
      <ns0:c r="S120" t="str" s="11">
        <ns0:f>L120</ns0:f>
        <ns0:v>Конденсатор 3,3 нФ ±20% 100 В X7R 0805</ns0:v>
      </ns0:c>
      <x:c xmlns:x="http://schemas.openxmlformats.org/spreadsheetml/2006/main" r="T120" t="str" s="11">
        <x:v>C:\Users\Nomatin\Documents\Altium\MY_LIB\MY_LIB\Datasheets\YAGEO_CC_X7R.pdf</x:v>
      </x:c>
      <x:c xmlns:x="http://schemas.openxmlformats.org/spreadsheetml/2006/main" r="U120" t="str" s="11">
        <x:v>Даташит — локальный</x:v>
      </x:c>
      <x:c xmlns:x="http://schemas.openxmlformats.org/spreadsheetml/2006/main" r="V120" t="str" s="11">
        <x:v>C:\Users\Nomatin\Documents\Altium\MY_LIB\MY_LIB\Datasheets\YAGEO_CC_X7R.pdf</x:v>
      </x:c>
      <x:c xmlns:x="http://schemas.openxmlformats.org/spreadsheetml/2006/main" r="W120" t="str" s="11">
        <x:v>Даташит — производитель</x:v>
      </x:c>
      <x:c xmlns:x="http://schemas.openxmlformats.org/spreadsheetml/2006/main" r="X120" t="str" s="11">
        <x:v>https://yageogroup.com/content/datasheet/asset/file/UPY-GPHC_X7R_6_3V-TO-250V</x:v>
      </x:c>
      <x:c xmlns:x="http://schemas.openxmlformats.org/spreadsheetml/2006/main" r="Y120" t="str" s="11">
        <x:v>C:\Users\Nomatin\Documents\Altium\MY_LIB\MY_LIB\Datasheets\YAGEO_CC_X7R.pdf</x:v>
      </x:c>
    </ns0:row>
    <ns0:row r="121" ht="30" customHeight="1">
      <ns0:c r="A121" t="str" s="14">
        <ns0:v>C0122</ns0:v>
      </ns0:c>
      <ns0:c r="B121" t="str" s="14">
        <ns0:v>Конденсатор</ns0:v>
      </ns0:c>
      <ns0:c r="C121" t="str" s="14">
        <ns0:v>3.9n</ns0:v>
      </ns0:c>
      <ns0:c r="D121" t="str" s="11">
        <ns0:f>SUBSTITUTE(SUBSTITUTE(SUBSTITUTE(SUBSTITUTE(C121,"p"," пФ"),"n"," нФ"),"u"," мкФ"),".",",")</ns0:f>
        <ns0:v>3,9 нФ</ns0:v>
      </ns0:c>
      <ns0:c r="E121" t="str" s="14">
        <ns0:v>±20%</ns0:v>
      </ns0:c>
      <ns0:c r="F121" s="14"/>
      <ns0:c r="G121" t="str" s="14">
        <ns0:v>50 В</ns0:v>
      </ns0:c>
      <ns0:c r="H121" t="str" s="14">
        <ns0:v>X7R</ns0:v>
      </ns0:c>
      <ns0:c r="I121" t="str" s="15">
        <ns0:v>0805</ns0:v>
      </ns0:c>
      <ns0:c r="J121" t="str" s="14">
        <ns0:v>YAGEO</ns0:v>
      </ns0:c>
      <ns0:c r="K121" t="str" s="14">
        <ns0:v>CC0805MRX7R9BB392</ns0:v>
      </ns0:c>
      <ns0:c r="L121" t="str" s="11">
        <ns0:f>B121&amp;" "&amp;D121&amp;" "&amp;E121&amp;" "&amp;G121&amp;" "&amp;H121&amp;" "&amp;I121</ns0:f>
        <ns0:v>Конденсатор 3,9 нФ ±20% 50 В X7R 0805</ns0:v>
      </ns0:c>
      <ns0:c r="M121" t="str" s="13">
        <ns0:v>C</ns0:v>
      </ns0:c>
      <ns0:c r="N121" t="str" s="13">
        <ns0:v>Symbols\MY_LIB_Capacitors.SchLib</ns0:v>
      </ns0:c>
      <ns0:c r="O121" t="str" s="13">
        <ns0:v>CAPC2012X135N</ns0:v>
      </ns0:c>
      <ns0:c r="P121" t="str" s="13">
        <ns0:v>Footprints\PBL - SMD Packages.PcbLib</ns0:v>
      </ns0:c>
      <ns0:c r="Q121" t="str" s="14">
        <ns0:v>YAGEO CC; список 20.10.2026</ns0:v>
      </ns0:c>
      <ns0:c r="R121" t="str" s="11">
        <ns0:f>D121</ns0:f>
        <ns0:v>3,9 нФ</ns0:v>
      </ns0:c>
      <ns0:c r="S121" t="str" s="11">
        <ns0:f>L121</ns0:f>
        <ns0:v>Конденсатор 3,9 нФ ±20% 50 В X7R 0805</ns0:v>
      </ns0:c>
      <x:c xmlns:x="http://schemas.openxmlformats.org/spreadsheetml/2006/main" r="T121" t="str" s="11">
        <x:v>C:\Users\Nomatin\Documents\Altium\MY_LIB\MY_LIB\Datasheets\YAGEO_CC_X7R.pdf</x:v>
      </x:c>
      <x:c xmlns:x="http://schemas.openxmlformats.org/spreadsheetml/2006/main" r="U121" t="str" s="11">
        <x:v>Даташит — локальный</x:v>
      </x:c>
      <x:c xmlns:x="http://schemas.openxmlformats.org/spreadsheetml/2006/main" r="V121" t="str" s="11">
        <x:v>C:\Users\Nomatin\Documents\Altium\MY_LIB\MY_LIB\Datasheets\YAGEO_CC_X7R.pdf</x:v>
      </x:c>
      <x:c xmlns:x="http://schemas.openxmlformats.org/spreadsheetml/2006/main" r="W121" t="str" s="11">
        <x:v>Даташит — производитель</x:v>
      </x:c>
      <x:c xmlns:x="http://schemas.openxmlformats.org/spreadsheetml/2006/main" r="X121" t="str" s="11">
        <x:v>https://yageogroup.com/content/datasheet/asset/file/UPY-GPHC_X7R_6_3V-TO-250V</x:v>
      </x:c>
      <x:c xmlns:x="http://schemas.openxmlformats.org/spreadsheetml/2006/main" r="Y121" t="str" s="11">
        <x:v>C:\Users\Nomatin\Documents\Altium\MY_LIB\MY_LIB\Datasheets\YAGEO_CC_X7R.pdf</x:v>
      </x:c>
    </ns0:row>
    <ns0:row r="122" ht="30" customHeight="1">
      <ns0:c r="A122" t="str" s="14">
        <ns0:v>C0123</ns0:v>
      </ns0:c>
      <ns0:c r="B122" t="str" s="14">
        <ns0:v>Конденсатор</ns0:v>
      </ns0:c>
      <ns0:c r="C122" t="str" s="14">
        <ns0:v>4.7n</ns0:v>
      </ns0:c>
      <ns0:c r="D122" t="str" s="11">
        <ns0:f>SUBSTITUTE(SUBSTITUTE(SUBSTITUTE(SUBSTITUTE(C122,"p"," пФ"),"n"," нФ"),"u"," мкФ"),".",",")</ns0:f>
        <ns0:v>4,7 нФ</ns0:v>
      </ns0:c>
      <ns0:c r="E122" t="str" s="14">
        <ns0:v>±20%</ns0:v>
      </ns0:c>
      <ns0:c r="F122" s="14"/>
      <ns0:c r="G122" t="str" s="14">
        <ns0:v>100 В</ns0:v>
      </ns0:c>
      <ns0:c r="H122" t="str" s="14">
        <ns0:v>X7R</ns0:v>
      </ns0:c>
      <ns0:c r="I122" t="str" s="15">
        <ns0:v>0805</ns0:v>
      </ns0:c>
      <ns0:c r="J122" t="str" s="14">
        <ns0:v>YAGEO</ns0:v>
      </ns0:c>
      <ns0:c r="K122" t="str" s="14">
        <ns0:v>CC0805MRX7R0BB472</ns0:v>
      </ns0:c>
      <ns0:c r="L122" t="str" s="11">
        <ns0:f>B122&amp;" "&amp;D122&amp;" "&amp;E122&amp;" "&amp;G122&amp;" "&amp;H122&amp;" "&amp;I122</ns0:f>
        <ns0:v>Конденсатор 4,7 нФ ±20% 100 В X7R 0805</ns0:v>
      </ns0:c>
      <ns0:c r="M122" t="str" s="13">
        <ns0:v>C</ns0:v>
      </ns0:c>
      <ns0:c r="N122" t="str" s="13">
        <ns0:v>Symbols\MY_LIB_Capacitors.SchLib</ns0:v>
      </ns0:c>
      <ns0:c r="O122" t="str" s="13">
        <ns0:v>CAPC2012X135N</ns0:v>
      </ns0:c>
      <ns0:c r="P122" t="str" s="13">
        <ns0:v>Footprints\PBL - SMD Packages.PcbLib</ns0:v>
      </ns0:c>
      <ns0:c r="Q122" t="str" s="14">
        <ns0:v>YAGEO CC; список 20.10.2026</ns0:v>
      </ns0:c>
      <ns0:c r="R122" t="str" s="11">
        <ns0:f>D122</ns0:f>
        <ns0:v>4,7 нФ</ns0:v>
      </ns0:c>
      <ns0:c r="S122" t="str" s="11">
        <ns0:f>L122</ns0:f>
        <ns0:v>Конденсатор 4,7 нФ ±20% 100 В X7R 0805</ns0:v>
      </ns0:c>
      <x:c xmlns:x="http://schemas.openxmlformats.org/spreadsheetml/2006/main" r="T122" t="str" s="11">
        <x:v>C:\Users\Nomatin\Documents\Altium\MY_LIB\MY_LIB\Datasheets\YAGEO_CC_X7R.pdf</x:v>
      </x:c>
      <x:c xmlns:x="http://schemas.openxmlformats.org/spreadsheetml/2006/main" r="U122" t="str" s="11">
        <x:v>Даташит — локальный</x:v>
      </x:c>
      <x:c xmlns:x="http://schemas.openxmlformats.org/spreadsheetml/2006/main" r="V122" t="str" s="11">
        <x:v>C:\Users\Nomatin\Documents\Altium\MY_LIB\MY_LIB\Datasheets\YAGEO_CC_X7R.pdf</x:v>
      </x:c>
      <x:c xmlns:x="http://schemas.openxmlformats.org/spreadsheetml/2006/main" r="W122" t="str" s="11">
        <x:v>Даташит — производитель</x:v>
      </x:c>
      <x:c xmlns:x="http://schemas.openxmlformats.org/spreadsheetml/2006/main" r="X122" t="str" s="11">
        <x:v>https://yageogroup.com/content/datasheet/asset/file/UPY-GPHC_X7R_6_3V-TO-250V</x:v>
      </x:c>
      <x:c xmlns:x="http://schemas.openxmlformats.org/spreadsheetml/2006/main" r="Y122" t="str" s="11">
        <x:v>C:\Users\Nomatin\Documents\Altium\MY_LIB\MY_LIB\Datasheets\YAGEO_CC_X7R.pdf</x:v>
      </x:c>
    </ns0:row>
    <ns0:row r="123" ht="30" customHeight="1">
      <ns0:c r="A123" t="str" s="14">
        <ns0:v>C0124</ns0:v>
      </ns0:c>
      <ns0:c r="B123" t="str" s="14">
        <ns0:v>Конденсатор</ns0:v>
      </ns0:c>
      <ns0:c r="C123" t="str" s="14">
        <ns0:v>5.6n</ns0:v>
      </ns0:c>
      <ns0:c r="D123" t="str" s="11">
        <ns0:f>SUBSTITUTE(SUBSTITUTE(SUBSTITUTE(SUBSTITUTE(C123,"p"," пФ"),"n"," нФ"),"u"," мкФ"),".",",")</ns0:f>
        <ns0:v>5,6 нФ</ns0:v>
      </ns0:c>
      <ns0:c r="E123" t="str" s="14">
        <ns0:v>±20%</ns0:v>
      </ns0:c>
      <ns0:c r="F123" s="14"/>
      <ns0:c r="G123" t="str" s="14">
        <ns0:v>50 В</ns0:v>
      </ns0:c>
      <ns0:c r="H123" t="str" s="14">
        <ns0:v>X7R</ns0:v>
      </ns0:c>
      <ns0:c r="I123" t="str" s="15">
        <ns0:v>0805</ns0:v>
      </ns0:c>
      <ns0:c r="J123" t="str" s="14">
        <ns0:v>YAGEO</ns0:v>
      </ns0:c>
      <ns0:c r="K123" t="str" s="14">
        <ns0:v>CC0805MRX7R9BB562</ns0:v>
      </ns0:c>
      <ns0:c r="L123" t="str" s="11">
        <ns0:f>B123&amp;" "&amp;D123&amp;" "&amp;E123&amp;" "&amp;G123&amp;" "&amp;H123&amp;" "&amp;I123</ns0:f>
        <ns0:v>Конденсатор 5,6 нФ ±20% 50 В X7R 0805</ns0:v>
      </ns0:c>
      <ns0:c r="M123" t="str" s="13">
        <ns0:v>C</ns0:v>
      </ns0:c>
      <ns0:c r="N123" t="str" s="13">
        <ns0:v>Symbols\MY_LIB_Capacitors.SchLib</ns0:v>
      </ns0:c>
      <ns0:c r="O123" t="str" s="13">
        <ns0:v>CAPC2012X135N</ns0:v>
      </ns0:c>
      <ns0:c r="P123" t="str" s="13">
        <ns0:v>Footprints\PBL - SMD Packages.PcbLib</ns0:v>
      </ns0:c>
      <ns0:c r="Q123" t="str" s="14">
        <ns0:v>YAGEO CC; список 20.10.2026</ns0:v>
      </ns0:c>
      <ns0:c r="R123" t="str" s="11">
        <ns0:f>D123</ns0:f>
        <ns0:v>5,6 нФ</ns0:v>
      </ns0:c>
      <ns0:c r="S123" t="str" s="11">
        <ns0:f>L123</ns0:f>
        <ns0:v>Конденсатор 5,6 нФ ±20% 50 В X7R 0805</ns0:v>
      </ns0:c>
      <x:c xmlns:x="http://schemas.openxmlformats.org/spreadsheetml/2006/main" r="T123" t="str" s="11">
        <x:v>C:\Users\Nomatin\Documents\Altium\MY_LIB\MY_LIB\Datasheets\YAGEO_CC_X7R.pdf</x:v>
      </x:c>
      <x:c xmlns:x="http://schemas.openxmlformats.org/spreadsheetml/2006/main" r="U123" t="str" s="11">
        <x:v>Даташит — локальный</x:v>
      </x:c>
      <x:c xmlns:x="http://schemas.openxmlformats.org/spreadsheetml/2006/main" r="V123" t="str" s="11">
        <x:v>C:\Users\Nomatin\Documents\Altium\MY_LIB\MY_LIB\Datasheets\YAGEO_CC_X7R.pdf</x:v>
      </x:c>
      <x:c xmlns:x="http://schemas.openxmlformats.org/spreadsheetml/2006/main" r="W123" t="str" s="11">
        <x:v>Даташит — производитель</x:v>
      </x:c>
      <x:c xmlns:x="http://schemas.openxmlformats.org/spreadsheetml/2006/main" r="X123" t="str" s="11">
        <x:v>https://yageogroup.com/content/datasheet/asset/file/UPY-GPHC_X7R_6_3V-TO-250V</x:v>
      </x:c>
      <x:c xmlns:x="http://schemas.openxmlformats.org/spreadsheetml/2006/main" r="Y123" t="str" s="11">
        <x:v>C:\Users\Nomatin\Documents\Altium\MY_LIB\MY_LIB\Datasheets\YAGEO_CC_X7R.pdf</x:v>
      </x:c>
    </ns0:row>
    <ns0:row r="124" ht="30" customHeight="1">
      <ns0:c r="A124" t="str" s="14">
        <ns0:v>C0125</ns0:v>
      </ns0:c>
      <ns0:c r="B124" t="str" s="14">
        <ns0:v>Конденсатор</ns0:v>
      </ns0:c>
      <ns0:c r="C124" t="str" s="14">
        <ns0:v>6.8n</ns0:v>
      </ns0:c>
      <ns0:c r="D124" t="str" s="11">
        <ns0:f>SUBSTITUTE(SUBSTITUTE(SUBSTITUTE(SUBSTITUTE(C124,"p"," пФ"),"n"," нФ"),"u"," мкФ"),".",",")</ns0:f>
        <ns0:v>6,8 нФ</ns0:v>
      </ns0:c>
      <ns0:c r="E124" t="str" s="14">
        <ns0:v>±20%</ns0:v>
      </ns0:c>
      <ns0:c r="F124" s="14"/>
      <ns0:c r="G124" t="str" s="14">
        <ns0:v>100 В</ns0:v>
      </ns0:c>
      <ns0:c r="H124" t="str" s="14">
        <ns0:v>X7R</ns0:v>
      </ns0:c>
      <ns0:c r="I124" t="str" s="15">
        <ns0:v>0805</ns0:v>
      </ns0:c>
      <ns0:c r="J124" t="str" s="14">
        <ns0:v>YAGEO</ns0:v>
      </ns0:c>
      <ns0:c r="K124" t="str" s="14">
        <ns0:v>CC0805MRX7R0BB682</ns0:v>
      </ns0:c>
      <ns0:c r="L124" t="str" s="11">
        <ns0:f>B124&amp;" "&amp;D124&amp;" "&amp;E124&amp;" "&amp;G124&amp;" "&amp;H124&amp;" "&amp;I124</ns0:f>
        <ns0:v>Конденсатор 6,8 нФ ±20% 100 В X7R 0805</ns0:v>
      </ns0:c>
      <ns0:c r="M124" t="str" s="13">
        <ns0:v>C</ns0:v>
      </ns0:c>
      <ns0:c r="N124" t="str" s="13">
        <ns0:v>Symbols\MY_LIB_Capacitors.SchLib</ns0:v>
      </ns0:c>
      <ns0:c r="O124" t="str" s="13">
        <ns0:v>CAPC2012X135N</ns0:v>
      </ns0:c>
      <ns0:c r="P124" t="str" s="13">
        <ns0:v>Footprints\PBL - SMD Packages.PcbLib</ns0:v>
      </ns0:c>
      <ns0:c r="Q124" t="str" s="14">
        <ns0:v>YAGEO CC; список 20.10.2026</ns0:v>
      </ns0:c>
      <ns0:c r="R124" t="str" s="11">
        <ns0:f>D124</ns0:f>
        <ns0:v>6,8 нФ</ns0:v>
      </ns0:c>
      <ns0:c r="S124" t="str" s="11">
        <ns0:f>L124</ns0:f>
        <ns0:v>Конденсатор 6,8 нФ ±20% 100 В X7R 0805</ns0:v>
      </ns0:c>
      <x:c xmlns:x="http://schemas.openxmlformats.org/spreadsheetml/2006/main" r="T124" t="str" s="11">
        <x:v>C:\Users\Nomatin\Documents\Altium\MY_LIB\MY_LIB\Datasheets\YAGEO_CC_X7R.pdf</x:v>
      </x:c>
      <x:c xmlns:x="http://schemas.openxmlformats.org/spreadsheetml/2006/main" r="U124" t="str" s="11">
        <x:v>Даташит — локальный</x:v>
      </x:c>
      <x:c xmlns:x="http://schemas.openxmlformats.org/spreadsheetml/2006/main" r="V124" t="str" s="11">
        <x:v>C:\Users\Nomatin\Documents\Altium\MY_LIB\MY_LIB\Datasheets\YAGEO_CC_X7R.pdf</x:v>
      </x:c>
      <x:c xmlns:x="http://schemas.openxmlformats.org/spreadsheetml/2006/main" r="W124" t="str" s="11">
        <x:v>Даташит — производитель</x:v>
      </x:c>
      <x:c xmlns:x="http://schemas.openxmlformats.org/spreadsheetml/2006/main" r="X124" t="str" s="11">
        <x:v>https://yageogroup.com/content/datasheet/asset/file/UPY-GPHC_X7R_6_3V-TO-250V</x:v>
      </x:c>
      <x:c xmlns:x="http://schemas.openxmlformats.org/spreadsheetml/2006/main" r="Y124" t="str" s="11">
        <x:v>C:\Users\Nomatin\Documents\Altium\MY_LIB\MY_LIB\Datasheets\YAGEO_CC_X7R.pdf</x:v>
      </x:c>
    </ns0:row>
    <ns0:row r="125" ht="30" customHeight="1">
      <ns0:c r="A125" t="str" s="14">
        <ns0:v>C0126</ns0:v>
      </ns0:c>
      <ns0:c r="B125" t="str" s="14">
        <ns0:v>Конденсатор</ns0:v>
      </ns0:c>
      <ns0:c r="C125" t="str" s="14">
        <ns0:v>10n</ns0:v>
      </ns0:c>
      <ns0:c r="D125" t="str" s="11">
        <ns0:f>SUBSTITUTE(SUBSTITUTE(SUBSTITUTE(SUBSTITUTE(C125,"p"," пФ"),"n"," нФ"),"u"," мкФ"),".",",")</ns0:f>
        <ns0:v>10 нФ</ns0:v>
      </ns0:c>
      <ns0:c r="E125" t="str" s="14">
        <ns0:v>±20%</ns0:v>
      </ns0:c>
      <ns0:c r="F125" s="14"/>
      <ns0:c r="G125" t="str" s="14">
        <ns0:v>100 В</ns0:v>
      </ns0:c>
      <ns0:c r="H125" t="str" s="14">
        <ns0:v>X7R</ns0:v>
      </ns0:c>
      <ns0:c r="I125" t="str" s="15">
        <ns0:v>0805</ns0:v>
      </ns0:c>
      <ns0:c r="J125" t="str" s="14">
        <ns0:v>YAGEO</ns0:v>
      </ns0:c>
      <ns0:c r="K125" t="str" s="14">
        <ns0:v>CC0805MKX7R0BB103</ns0:v>
      </ns0:c>
      <ns0:c r="L125" t="str" s="11">
        <ns0:f>B125&amp;" "&amp;D125&amp;" "&amp;E125&amp;" "&amp;G125&amp;" "&amp;H125&amp;" "&amp;I125</ns0:f>
        <ns0:v>Конденсатор 10 нФ ±20% 100 В X7R 0805</ns0:v>
      </ns0:c>
      <ns0:c r="M125" t="str" s="13">
        <ns0:v>C</ns0:v>
      </ns0:c>
      <ns0:c r="N125" t="str" s="13">
        <ns0:v>Symbols\MY_LIB_Capacitors.SchLib</ns0:v>
      </ns0:c>
      <ns0:c r="O125" t="str" s="13">
        <ns0:v>CAPC2012X135N</ns0:v>
      </ns0:c>
      <ns0:c r="P125" t="str" s="13">
        <ns0:v>Footprints\PBL - SMD Packages.PcbLib</ns0:v>
      </ns0:c>
      <ns0:c r="Q125" t="str" s="14">
        <ns0:v>YAGEO CC; список 20.10.2026</ns0:v>
      </ns0:c>
      <ns0:c r="R125" t="str" s="11">
        <ns0:f>D125</ns0:f>
        <ns0:v>10 нФ</ns0:v>
      </ns0:c>
      <ns0:c r="S125" t="str" s="11">
        <ns0:f>L125</ns0:f>
        <ns0:v>Конденсатор 10 нФ ±20% 100 В X7R 0805</ns0:v>
      </ns0:c>
      <x:c xmlns:x="http://schemas.openxmlformats.org/spreadsheetml/2006/main" r="T125" t="str" s="11">
        <x:v>C:\Users\Nomatin\Documents\Altium\MY_LIB\MY_LIB\Datasheets\YAGEO_CC_X7R.pdf</x:v>
      </x:c>
      <x:c xmlns:x="http://schemas.openxmlformats.org/spreadsheetml/2006/main" r="U125" t="str" s="11">
        <x:v>Даташит — локальный</x:v>
      </x:c>
      <x:c xmlns:x="http://schemas.openxmlformats.org/spreadsheetml/2006/main" r="V125" t="str" s="11">
        <x:v>C:\Users\Nomatin\Documents\Altium\MY_LIB\MY_LIB\Datasheets\YAGEO_CC_X7R.pdf</x:v>
      </x:c>
      <x:c xmlns:x="http://schemas.openxmlformats.org/spreadsheetml/2006/main" r="W125" t="str" s="11">
        <x:v>Даташит — производитель</x:v>
      </x:c>
      <x:c xmlns:x="http://schemas.openxmlformats.org/spreadsheetml/2006/main" r="X125" t="str" s="11">
        <x:v>https://yageogroup.com/content/datasheet/asset/file/UPY-GPHC_X7R_6_3V-TO-250V</x:v>
      </x:c>
      <x:c xmlns:x="http://schemas.openxmlformats.org/spreadsheetml/2006/main" r="Y125" t="str" s="11">
        <x:v>C:\Users\Nomatin\Documents\Altium\MY_LIB\MY_LIB\Datasheets\YAGEO_CC_X7R.pdf</x:v>
      </x:c>
    </ns0:row>
    <ns0:row r="126" ht="30" customHeight="1">
      <ns0:c r="A126" t="str" s="14">
        <ns0:v>C0127</ns0:v>
      </ns0:c>
      <ns0:c r="B126" t="str" s="14">
        <ns0:v>Конденсатор</ns0:v>
      </ns0:c>
      <ns0:c r="C126" t="str" s="14">
        <ns0:v>15n</ns0:v>
      </ns0:c>
      <ns0:c r="D126" t="str" s="11">
        <ns0:f>SUBSTITUTE(SUBSTITUTE(SUBSTITUTE(SUBSTITUTE(C126,"p"," пФ"),"n"," нФ"),"u"," мкФ"),".",",")</ns0:f>
        <ns0:v>15 нФ</ns0:v>
      </ns0:c>
      <ns0:c r="E126" t="str" s="14">
        <ns0:v>±20%</ns0:v>
      </ns0:c>
      <ns0:c r="F126" s="14"/>
      <ns0:c r="G126" t="str" s="14">
        <ns0:v>100 В</ns0:v>
      </ns0:c>
      <ns0:c r="H126" t="str" s="14">
        <ns0:v>X7R</ns0:v>
      </ns0:c>
      <ns0:c r="I126" t="str" s="15">
        <ns0:v>0805</ns0:v>
      </ns0:c>
      <ns0:c r="J126" t="str" s="14">
        <ns0:v>YAGEO</ns0:v>
      </ns0:c>
      <ns0:c r="K126" t="str" s="14">
        <ns0:v>CC0805MKX7R0BB153</ns0:v>
      </ns0:c>
      <ns0:c r="L126" t="str" s="11">
        <ns0:f>B126&amp;" "&amp;D126&amp;" "&amp;E126&amp;" "&amp;G126&amp;" "&amp;H126&amp;" "&amp;I126</ns0:f>
        <ns0:v>Конденсатор 15 нФ ±20% 100 В X7R 0805</ns0:v>
      </ns0:c>
      <ns0:c r="M126" t="str" s="13">
        <ns0:v>C</ns0:v>
      </ns0:c>
      <ns0:c r="N126" t="str" s="13">
        <ns0:v>Symbols\MY_LIB_Capacitors.SchLib</ns0:v>
      </ns0:c>
      <ns0:c r="O126" t="str" s="13">
        <ns0:v>CAPC2012X135N</ns0:v>
      </ns0:c>
      <ns0:c r="P126" t="str" s="13">
        <ns0:v>Footprints\PBL - SMD Packages.PcbLib</ns0:v>
      </ns0:c>
      <ns0:c r="Q126" t="str" s="14">
        <ns0:v>YAGEO CC; список 20.10.2026</ns0:v>
      </ns0:c>
      <ns0:c r="R126" t="str" s="11">
        <ns0:f>D126</ns0:f>
        <ns0:v>15 нФ</ns0:v>
      </ns0:c>
      <ns0:c r="S126" t="str" s="11">
        <ns0:f>L126</ns0:f>
        <ns0:v>Конденсатор 15 нФ ±20% 100 В X7R 0805</ns0:v>
      </ns0:c>
      <x:c xmlns:x="http://schemas.openxmlformats.org/spreadsheetml/2006/main" r="T126" t="str" s="11">
        <x:v>C:\Users\Nomatin\Documents\Altium\MY_LIB\MY_LIB\Datasheets\YAGEO_CC_X7R.pdf</x:v>
      </x:c>
      <x:c xmlns:x="http://schemas.openxmlformats.org/spreadsheetml/2006/main" r="U126" t="str" s="11">
        <x:v>Даташит — локальный</x:v>
      </x:c>
      <x:c xmlns:x="http://schemas.openxmlformats.org/spreadsheetml/2006/main" r="V126" t="str" s="11">
        <x:v>C:\Users\Nomatin\Documents\Altium\MY_LIB\MY_LIB\Datasheets\YAGEO_CC_X7R.pdf</x:v>
      </x:c>
      <x:c xmlns:x="http://schemas.openxmlformats.org/spreadsheetml/2006/main" r="W126" t="str" s="11">
        <x:v>Даташит — производитель</x:v>
      </x:c>
      <x:c xmlns:x="http://schemas.openxmlformats.org/spreadsheetml/2006/main" r="X126" t="str" s="11">
        <x:v>https://yageogroup.com/content/datasheet/asset/file/UPY-GPHC_X7R_6_3V-TO-250V</x:v>
      </x:c>
      <x:c xmlns:x="http://schemas.openxmlformats.org/spreadsheetml/2006/main" r="Y126" t="str" s="11">
        <x:v>C:\Users\Nomatin\Documents\Altium\MY_LIB\MY_LIB\Datasheets\YAGEO_CC_X7R.pdf</x:v>
      </x:c>
    </ns0:row>
    <ns0:row r="127" ht="30" customHeight="1">
      <ns0:c r="A127" t="str" s="14">
        <ns0:v>C0128</ns0:v>
      </ns0:c>
      <ns0:c r="B127" t="str" s="14">
        <ns0:v>Конденсатор</ns0:v>
      </ns0:c>
      <ns0:c r="C127" t="str" s="14">
        <ns0:v>22n</ns0:v>
      </ns0:c>
      <ns0:c r="D127" t="str" s="11">
        <ns0:f>SUBSTITUTE(SUBSTITUTE(SUBSTITUTE(SUBSTITUTE(C127,"p"," пФ"),"n"," нФ"),"u"," мкФ"),".",",")</ns0:f>
        <ns0:v>22 нФ</ns0:v>
      </ns0:c>
      <ns0:c r="E127" t="str" s="14">
        <ns0:v>±20%</ns0:v>
      </ns0:c>
      <ns0:c r="F127" s="14"/>
      <ns0:c r="G127" t="str" s="14">
        <ns0:v>100 В</ns0:v>
      </ns0:c>
      <ns0:c r="H127" t="str" s="14">
        <ns0:v>X7R</ns0:v>
      </ns0:c>
      <ns0:c r="I127" t="str" s="15">
        <ns0:v>0805</ns0:v>
      </ns0:c>
      <ns0:c r="J127" t="str" s="14">
        <ns0:v>YAGEO</ns0:v>
      </ns0:c>
      <ns0:c r="K127" t="str" s="14">
        <ns0:v>CC0805MKX7R0BB223</ns0:v>
      </ns0:c>
      <ns0:c r="L127" t="str" s="11">
        <ns0:f>B127&amp;" "&amp;D127&amp;" "&amp;E127&amp;" "&amp;G127&amp;" "&amp;H127&amp;" "&amp;I127</ns0:f>
        <ns0:v>Конденсатор 22 нФ ±20% 100 В X7R 0805</ns0:v>
      </ns0:c>
      <ns0:c r="M127" t="str" s="13">
        <ns0:v>C</ns0:v>
      </ns0:c>
      <ns0:c r="N127" t="str" s="13">
        <ns0:v>Symbols\MY_LIB_Capacitors.SchLib</ns0:v>
      </ns0:c>
      <ns0:c r="O127" t="str" s="13">
        <ns0:v>CAPC2012X135N</ns0:v>
      </ns0:c>
      <ns0:c r="P127" t="str" s="13">
        <ns0:v>Footprints\PBL - SMD Packages.PcbLib</ns0:v>
      </ns0:c>
      <ns0:c r="Q127" t="str" s="14">
        <ns0:v>YAGEO CC; список 20.10.2026</ns0:v>
      </ns0:c>
      <ns0:c r="R127" t="str" s="11">
        <ns0:f>D127</ns0:f>
        <ns0:v>22 нФ</ns0:v>
      </ns0:c>
      <ns0:c r="S127" t="str" s="11">
        <ns0:f>L127</ns0:f>
        <ns0:v>Конденсатор 22 нФ ±20% 100 В X7R 0805</ns0:v>
      </ns0:c>
      <x:c xmlns:x="http://schemas.openxmlformats.org/spreadsheetml/2006/main" r="T127" t="str" s="11">
        <x:v>C:\Users\Nomatin\Documents\Altium\MY_LIB\MY_LIB\Datasheets\YAGEO_CC_X7R.pdf</x:v>
      </x:c>
      <x:c xmlns:x="http://schemas.openxmlformats.org/spreadsheetml/2006/main" r="U127" t="str" s="11">
        <x:v>Даташит — локальный</x:v>
      </x:c>
      <x:c xmlns:x="http://schemas.openxmlformats.org/spreadsheetml/2006/main" r="V127" t="str" s="11">
        <x:v>C:\Users\Nomatin\Documents\Altium\MY_LIB\MY_LIB\Datasheets\YAGEO_CC_X7R.pdf</x:v>
      </x:c>
      <x:c xmlns:x="http://schemas.openxmlformats.org/spreadsheetml/2006/main" r="W127" t="str" s="11">
        <x:v>Даташит — производитель</x:v>
      </x:c>
      <x:c xmlns:x="http://schemas.openxmlformats.org/spreadsheetml/2006/main" r="X127" t="str" s="11">
        <x:v>https://yageogroup.com/content/datasheet/asset/file/UPY-GPHC_X7R_6_3V-TO-250V</x:v>
      </x:c>
      <x:c xmlns:x="http://schemas.openxmlformats.org/spreadsheetml/2006/main" r="Y127" t="str" s="11">
        <x:v>C:\Users\Nomatin\Documents\Altium\MY_LIB\MY_LIB\Datasheets\YAGEO_CC_X7R.pdf</x:v>
      </x:c>
    </ns0:row>
    <ns0:row r="128" ht="30" customHeight="1">
      <ns0:c r="A128" t="str" s="14">
        <ns0:v>C0129</ns0:v>
      </ns0:c>
      <ns0:c r="B128" t="str" s="14">
        <ns0:v>Конденсатор</ns0:v>
      </ns0:c>
      <ns0:c r="C128" t="str" s="14">
        <ns0:v>33n</ns0:v>
      </ns0:c>
      <ns0:c r="D128" t="str" s="11">
        <ns0:f>SUBSTITUTE(SUBSTITUTE(SUBSTITUTE(SUBSTITUTE(C128,"p"," пФ"),"n"," нФ"),"u"," мкФ"),".",",")</ns0:f>
        <ns0:v>33 нФ</ns0:v>
      </ns0:c>
      <ns0:c r="E128" t="str" s="14">
        <ns0:v>±20%</ns0:v>
      </ns0:c>
      <ns0:c r="F128" s="14"/>
      <ns0:c r="G128" t="str" s="14">
        <ns0:v>100 В</ns0:v>
      </ns0:c>
      <ns0:c r="H128" t="str" s="14">
        <ns0:v>X7R</ns0:v>
      </ns0:c>
      <ns0:c r="I128" t="str" s="15">
        <ns0:v>0805</ns0:v>
      </ns0:c>
      <ns0:c r="J128" t="str" s="14">
        <ns0:v>YAGEO</ns0:v>
      </ns0:c>
      <ns0:c r="K128" t="str" s="14">
        <ns0:v>CC0805MKX7R0BB333</ns0:v>
      </ns0:c>
      <ns0:c r="L128" t="str" s="11">
        <ns0:f>B128&amp;" "&amp;D128&amp;" "&amp;E128&amp;" "&amp;G128&amp;" "&amp;H128&amp;" "&amp;I128</ns0:f>
        <ns0:v>Конденсатор 33 нФ ±20% 100 В X7R 0805</ns0:v>
      </ns0:c>
      <ns0:c r="M128" t="str" s="13">
        <ns0:v>C</ns0:v>
      </ns0:c>
      <ns0:c r="N128" t="str" s="13">
        <ns0:v>Symbols\MY_LIB_Capacitors.SchLib</ns0:v>
      </ns0:c>
      <ns0:c r="O128" t="str" s="13">
        <ns0:v>CAPC2012X135N</ns0:v>
      </ns0:c>
      <ns0:c r="P128" t="str" s="13">
        <ns0:v>Footprints\PBL - SMD Packages.PcbLib</ns0:v>
      </ns0:c>
      <ns0:c r="Q128" t="str" s="14">
        <ns0:v>YAGEO CC; список 20.10.2026</ns0:v>
      </ns0:c>
      <ns0:c r="R128" t="str" s="11">
        <ns0:f>D128</ns0:f>
        <ns0:v>33 нФ</ns0:v>
      </ns0:c>
      <ns0:c r="S128" t="str" s="11">
        <ns0:f>L128</ns0:f>
        <ns0:v>Конденсатор 33 нФ ±20% 100 В X7R 0805</ns0:v>
      </ns0:c>
      <x:c xmlns:x="http://schemas.openxmlformats.org/spreadsheetml/2006/main" r="T128" t="str" s="11">
        <x:v>C:\Users\Nomatin\Documents\Altium\MY_LIB\MY_LIB\Datasheets\YAGEO_CC_X7R.pdf</x:v>
      </x:c>
      <x:c xmlns:x="http://schemas.openxmlformats.org/spreadsheetml/2006/main" r="U128" t="str" s="11">
        <x:v>Даташит — локальный</x:v>
      </x:c>
      <x:c xmlns:x="http://schemas.openxmlformats.org/spreadsheetml/2006/main" r="V128" t="str" s="11">
        <x:v>C:\Users\Nomatin\Documents\Altium\MY_LIB\MY_LIB\Datasheets\YAGEO_CC_X7R.pdf</x:v>
      </x:c>
      <x:c xmlns:x="http://schemas.openxmlformats.org/spreadsheetml/2006/main" r="W128" t="str" s="11">
        <x:v>Даташит — производитель</x:v>
      </x:c>
      <x:c xmlns:x="http://schemas.openxmlformats.org/spreadsheetml/2006/main" r="X128" t="str" s="11">
        <x:v>https://yageogroup.com/content/datasheet/asset/file/UPY-GPHC_X7R_6_3V-TO-250V</x:v>
      </x:c>
      <x:c xmlns:x="http://schemas.openxmlformats.org/spreadsheetml/2006/main" r="Y128" t="str" s="11">
        <x:v>C:\Users\Nomatin\Documents\Altium\MY_LIB\MY_LIB\Datasheets\YAGEO_CC_X7R.pdf</x:v>
      </x:c>
    </ns0:row>
    <ns0:row r="129" ht="30" customHeight="1">
      <ns0:c r="A129" t="str" s="14">
        <ns0:v>C0130</ns0:v>
      </ns0:c>
      <ns0:c r="B129" t="str" s="14">
        <ns0:v>Конденсатор</ns0:v>
      </ns0:c>
      <ns0:c r="C129" t="str" s="14">
        <ns0:v>47n</ns0:v>
      </ns0:c>
      <ns0:c r="D129" t="str" s="11">
        <ns0:f>SUBSTITUTE(SUBSTITUTE(SUBSTITUTE(SUBSTITUTE(C129,"p"," пФ"),"n"," нФ"),"u"," мкФ"),".",",")</ns0:f>
        <ns0:v>47 нФ</ns0:v>
      </ns0:c>
      <ns0:c r="E129" t="str" s="14">
        <ns0:v>±20%</ns0:v>
      </ns0:c>
      <ns0:c r="F129" s="14"/>
      <ns0:c r="G129" t="str" s="14">
        <ns0:v>100 В</ns0:v>
      </ns0:c>
      <ns0:c r="H129" t="str" s="14">
        <ns0:v>X7R</ns0:v>
      </ns0:c>
      <ns0:c r="I129" t="str" s="15">
        <ns0:v>0805</ns0:v>
      </ns0:c>
      <ns0:c r="J129" t="str" s="14">
        <ns0:v>YAGEO</ns0:v>
      </ns0:c>
      <ns0:c r="K129" t="str" s="14">
        <ns0:v>CC0805MKX7R0BB473</ns0:v>
      </ns0:c>
      <ns0:c r="L129" t="str" s="11">
        <ns0:f>B129&amp;" "&amp;D129&amp;" "&amp;E129&amp;" "&amp;G129&amp;" "&amp;H129&amp;" "&amp;I129</ns0:f>
        <ns0:v>Конденсатор 47 нФ ±20% 100 В X7R 0805</ns0:v>
      </ns0:c>
      <ns0:c r="M129" t="str" s="13">
        <ns0:v>C</ns0:v>
      </ns0:c>
      <ns0:c r="N129" t="str" s="13">
        <ns0:v>Symbols\MY_LIB_Capacitors.SchLib</ns0:v>
      </ns0:c>
      <ns0:c r="O129" t="str" s="13">
        <ns0:v>CAPC2012X135N</ns0:v>
      </ns0:c>
      <ns0:c r="P129" t="str" s="13">
        <ns0:v>Footprints\PBL - SMD Packages.PcbLib</ns0:v>
      </ns0:c>
      <ns0:c r="Q129" t="str" s="14">
        <ns0:v>YAGEO CC; список 20.10.2026</ns0:v>
      </ns0:c>
      <ns0:c r="R129" t="str" s="11">
        <ns0:f>D129</ns0:f>
        <ns0:v>47 нФ</ns0:v>
      </ns0:c>
      <ns0:c r="S129" t="str" s="11">
        <ns0:f>L129</ns0:f>
        <ns0:v>Конденсатор 47 нФ ±20% 100 В X7R 0805</ns0:v>
      </ns0:c>
      <x:c xmlns:x="http://schemas.openxmlformats.org/spreadsheetml/2006/main" r="T129" t="str" s="11">
        <x:v>C:\Users\Nomatin\Documents\Altium\MY_LIB\MY_LIB\Datasheets\YAGEO_CC_X7R.pdf</x:v>
      </x:c>
      <x:c xmlns:x="http://schemas.openxmlformats.org/spreadsheetml/2006/main" r="U129" t="str" s="11">
        <x:v>Даташит — локальный</x:v>
      </x:c>
      <x:c xmlns:x="http://schemas.openxmlformats.org/spreadsheetml/2006/main" r="V129" t="str" s="11">
        <x:v>C:\Users\Nomatin\Documents\Altium\MY_LIB\MY_LIB\Datasheets\YAGEO_CC_X7R.pdf</x:v>
      </x:c>
      <x:c xmlns:x="http://schemas.openxmlformats.org/spreadsheetml/2006/main" r="W129" t="str" s="11">
        <x:v>Даташит — производитель</x:v>
      </x:c>
      <x:c xmlns:x="http://schemas.openxmlformats.org/spreadsheetml/2006/main" r="X129" t="str" s="11">
        <x:v>https://yageogroup.com/content/datasheet/asset/file/UPY-GPHC_X7R_6_3V-TO-250V</x:v>
      </x:c>
      <x:c xmlns:x="http://schemas.openxmlformats.org/spreadsheetml/2006/main" r="Y129" t="str" s="11">
        <x:v>C:\Users\Nomatin\Documents\Altium\MY_LIB\MY_LIB\Datasheets\YAGEO_CC_X7R.pdf</x:v>
      </x:c>
    </ns0:row>
    <ns0:row r="130" ht="30" customHeight="1">
      <ns0:c r="A130" t="str" s="14">
        <ns0:v>C0131</ns0:v>
      </ns0:c>
      <ns0:c r="B130" t="str" s="14">
        <ns0:v>Конденсатор</ns0:v>
      </ns0:c>
      <ns0:c r="C130" t="str" s="14">
        <ns0:v>68n</ns0:v>
      </ns0:c>
      <ns0:c r="D130" t="str" s="11">
        <ns0:f>SUBSTITUTE(SUBSTITUTE(SUBSTITUTE(SUBSTITUTE(C130,"p"," пФ"),"n"," нФ"),"u"," мкФ"),".",",")</ns0:f>
        <ns0:v>68 нФ</ns0:v>
      </ns0:c>
      <ns0:c r="E130" t="str" s="14">
        <ns0:v>±20%</ns0:v>
      </ns0:c>
      <ns0:c r="F130" s="14"/>
      <ns0:c r="G130" t="str" s="14">
        <ns0:v>100 В</ns0:v>
      </ns0:c>
      <ns0:c r="H130" t="str" s="14">
        <ns0:v>X7R</ns0:v>
      </ns0:c>
      <ns0:c r="I130" t="str" s="15">
        <ns0:v>0805</ns0:v>
      </ns0:c>
      <ns0:c r="J130" t="str" s="14">
        <ns0:v>YAGEO</ns0:v>
      </ns0:c>
      <ns0:c r="K130" t="str" s="14">
        <ns0:v>CC0805MKX7R0BB683</ns0:v>
      </ns0:c>
      <ns0:c r="L130" t="str" s="11">
        <ns0:f>B130&amp;" "&amp;D130&amp;" "&amp;E130&amp;" "&amp;G130&amp;" "&amp;H130&amp;" "&amp;I130</ns0:f>
        <ns0:v>Конденсатор 68 нФ ±20% 100 В X7R 0805</ns0:v>
      </ns0:c>
      <ns0:c r="M130" t="str" s="13">
        <ns0:v>C</ns0:v>
      </ns0:c>
      <ns0:c r="N130" t="str" s="13">
        <ns0:v>Symbols\MY_LIB_Capacitors.SchLib</ns0:v>
      </ns0:c>
      <ns0:c r="O130" t="str" s="13">
        <ns0:v>CAPC2012X135N</ns0:v>
      </ns0:c>
      <ns0:c r="P130" t="str" s="13">
        <ns0:v>Footprints\PBL - SMD Packages.PcbLib</ns0:v>
      </ns0:c>
      <ns0:c r="Q130" t="str" s="14">
        <ns0:v>YAGEO CC; список 20.10.2026</ns0:v>
      </ns0:c>
      <ns0:c r="R130" t="str" s="11">
        <ns0:f>D130</ns0:f>
        <ns0:v>68 нФ</ns0:v>
      </ns0:c>
      <ns0:c r="S130" t="str" s="11">
        <ns0:f>L130</ns0:f>
        <ns0:v>Конденсатор 68 нФ ±20% 100 В X7R 0805</ns0:v>
      </ns0:c>
      <x:c xmlns:x="http://schemas.openxmlformats.org/spreadsheetml/2006/main" r="T130" t="str" s="11">
        <x:v>C:\Users\Nomatin\Documents\Altium\MY_LIB\MY_LIB\Datasheets\YAGEO_CC_X7R.pdf</x:v>
      </x:c>
      <x:c xmlns:x="http://schemas.openxmlformats.org/spreadsheetml/2006/main" r="U130" t="str" s="11">
        <x:v>Даташит — локальный</x:v>
      </x:c>
      <x:c xmlns:x="http://schemas.openxmlformats.org/spreadsheetml/2006/main" r="V130" t="str" s="11">
        <x:v>C:\Users\Nomatin\Documents\Altium\MY_LIB\MY_LIB\Datasheets\YAGEO_CC_X7R.pdf</x:v>
      </x:c>
      <x:c xmlns:x="http://schemas.openxmlformats.org/spreadsheetml/2006/main" r="W130" t="str" s="11">
        <x:v>Даташит — производитель</x:v>
      </x:c>
      <x:c xmlns:x="http://schemas.openxmlformats.org/spreadsheetml/2006/main" r="X130" t="str" s="11">
        <x:v>https://yageogroup.com/content/datasheet/asset/file/UPY-GPHC_X7R_6_3V-TO-250V</x:v>
      </x:c>
      <x:c xmlns:x="http://schemas.openxmlformats.org/spreadsheetml/2006/main" r="Y130" t="str" s="11">
        <x:v>C:\Users\Nomatin\Documents\Altium\MY_LIB\MY_LIB\Datasheets\YAGEO_CC_X7R.pdf</x:v>
      </x:c>
    </ns0:row>
    <ns0:row r="131" ht="30" customHeight="1">
      <ns0:c r="A131" t="str" s="14">
        <ns0:v>C0132</ns0:v>
      </ns0:c>
      <ns0:c r="B131" t="str" s="14">
        <ns0:v>Конденсатор</ns0:v>
      </ns0:c>
      <ns0:c r="C131" t="str" s="14">
        <ns0:v>100n</ns0:v>
      </ns0:c>
      <ns0:c r="D131" t="str" s="11">
        <ns0:f>SUBSTITUTE(SUBSTITUTE(SUBSTITUTE(SUBSTITUTE(C131,"p"," пФ"),"n"," нФ"),"u"," мкФ"),".",",")</ns0:f>
        <ns0:v>100 нФ</ns0:v>
      </ns0:c>
      <ns0:c r="E131" t="str" s="14">
        <ns0:v>±20%</ns0:v>
      </ns0:c>
      <ns0:c r="F131" s="14"/>
      <ns0:c r="G131" t="str" s="14">
        <ns0:v>100 В</ns0:v>
      </ns0:c>
      <ns0:c r="H131" t="str" s="14">
        <ns0:v>X7R</ns0:v>
      </ns0:c>
      <ns0:c r="I131" t="str" s="15">
        <ns0:v>0805</ns0:v>
      </ns0:c>
      <ns0:c r="J131" t="str" s="14">
        <ns0:v>YAGEO</ns0:v>
      </ns0:c>
      <ns0:c r="K131" t="str" s="14">
        <ns0:v>CC0805MKX7R0BB104</ns0:v>
      </ns0:c>
      <ns0:c r="L131" t="str" s="11">
        <ns0:f>B131&amp;" "&amp;D131&amp;" "&amp;E131&amp;" "&amp;G131&amp;" "&amp;H131&amp;" "&amp;I131</ns0:f>
        <ns0:v>Конденсатор 100 нФ ±20% 100 В X7R 0805</ns0:v>
      </ns0:c>
      <ns0:c r="M131" t="str" s="13">
        <ns0:v>C</ns0:v>
      </ns0:c>
      <ns0:c r="N131" t="str" s="13">
        <ns0:v>Symbols\MY_LIB_Capacitors.SchLib</ns0:v>
      </ns0:c>
      <ns0:c r="O131" t="str" s="13">
        <ns0:v>CAPC2012X135N</ns0:v>
      </ns0:c>
      <ns0:c r="P131" t="str" s="13">
        <ns0:v>Footprints\PBL - SMD Packages.PcbLib</ns0:v>
      </ns0:c>
      <ns0:c r="Q131" t="str" s="14">
        <ns0:v>YAGEO CC; список 20.10.2026</ns0:v>
      </ns0:c>
      <ns0:c r="R131" t="str" s="11">
        <ns0:f>D131</ns0:f>
        <ns0:v>100 нФ</ns0:v>
      </ns0:c>
      <ns0:c r="S131" t="str" s="11">
        <ns0:f>L131</ns0:f>
        <ns0:v>Конденсатор 100 нФ ±20% 100 В X7R 0805</ns0:v>
      </ns0:c>
      <x:c xmlns:x="http://schemas.openxmlformats.org/spreadsheetml/2006/main" r="T131" t="str" s="11">
        <x:v>C:\Users\Nomatin\Documents\Altium\MY_LIB\MY_LIB\Datasheets\YAGEO_CC_X7R.pdf</x:v>
      </x:c>
      <x:c xmlns:x="http://schemas.openxmlformats.org/spreadsheetml/2006/main" r="U131" t="str" s="11">
        <x:v>Даташит — локальный</x:v>
      </x:c>
      <x:c xmlns:x="http://schemas.openxmlformats.org/spreadsheetml/2006/main" r="V131" t="str" s="11">
        <x:v>C:\Users\Nomatin\Documents\Altium\MY_LIB\MY_LIB\Datasheets\YAGEO_CC_X7R.pdf</x:v>
      </x:c>
      <x:c xmlns:x="http://schemas.openxmlformats.org/spreadsheetml/2006/main" r="W131" t="str" s="11">
        <x:v>Даташит — производитель</x:v>
      </x:c>
      <x:c xmlns:x="http://schemas.openxmlformats.org/spreadsheetml/2006/main" r="X131" t="str" s="11">
        <x:v>https://yageogroup.com/content/datasheet/asset/file/UPY-GPHC_X7R_6_3V-TO-250V</x:v>
      </x:c>
      <x:c xmlns:x="http://schemas.openxmlformats.org/spreadsheetml/2006/main" r="Y131" t="str" s="11">
        <x:v>C:\Users\Nomatin\Documents\Altium\MY_LIB\MY_LIB\Datasheets\YAGEO_CC_X7R.pdf</x:v>
      </x:c>
    </ns0:row>
    <ns0:row r="132" ht="30" customHeight="1">
      <ns0:c r="A132" t="str" s="14">
        <ns0:v>C0133</ns0:v>
      </ns0:c>
      <ns0:c r="B132" t="str" s="14">
        <ns0:v>Конденсатор</ns0:v>
      </ns0:c>
      <ns0:c r="C132" t="str" s="14">
        <ns0:v>150n</ns0:v>
      </ns0:c>
      <ns0:c r="D132" t="str" s="11">
        <ns0:f>SUBSTITUTE(SUBSTITUTE(SUBSTITUTE(SUBSTITUTE(C132,"p"," пФ"),"n"," нФ"),"u"," мкФ"),".",",")</ns0:f>
        <ns0:v>150 нФ</ns0:v>
      </ns0:c>
      <ns0:c r="E132" t="str" s="14">
        <ns0:v>±20%</ns0:v>
      </ns0:c>
      <ns0:c r="F132" s="14"/>
      <ns0:c r="G132" t="str" s="14">
        <ns0:v>100 В</ns0:v>
      </ns0:c>
      <ns0:c r="H132" t="str" s="14">
        <ns0:v>X7R</ns0:v>
      </ns0:c>
      <ns0:c r="I132" t="str" s="15">
        <ns0:v>0805</ns0:v>
      </ns0:c>
      <ns0:c r="J132" t="str" s="14">
        <ns0:v>YAGEO</ns0:v>
      </ns0:c>
      <ns0:c r="K132" t="str" s="14">
        <ns0:v>CC0805MKX7R0BB154</ns0:v>
      </ns0:c>
      <ns0:c r="L132" t="str" s="11">
        <ns0:f>B132&amp;" "&amp;D132&amp;" "&amp;E132&amp;" "&amp;G132&amp;" "&amp;H132&amp;" "&amp;I132</ns0:f>
        <ns0:v>Конденсатор 150 нФ ±20% 100 В X7R 0805</ns0:v>
      </ns0:c>
      <ns0:c r="M132" t="str" s="13">
        <ns0:v>C</ns0:v>
      </ns0:c>
      <ns0:c r="N132" t="str" s="13">
        <ns0:v>Symbols\MY_LIB_Capacitors.SchLib</ns0:v>
      </ns0:c>
      <ns0:c r="O132" t="str" s="13">
        <ns0:v>CAPC2012X135N</ns0:v>
      </ns0:c>
      <ns0:c r="P132" t="str" s="13">
        <ns0:v>Footprints\PBL - SMD Packages.PcbLib</ns0:v>
      </ns0:c>
      <ns0:c r="Q132" t="str" s="14">
        <ns0:v>YAGEO CC; список 20.10.2026</ns0:v>
      </ns0:c>
      <ns0:c r="R132" t="str" s="11">
        <ns0:f>D132</ns0:f>
        <ns0:v>150 нФ</ns0:v>
      </ns0:c>
      <ns0:c r="S132" t="str" s="11">
        <ns0:f>L132</ns0:f>
        <ns0:v>Конденсатор 150 нФ ±20% 100 В X7R 0805</ns0:v>
      </ns0:c>
      <x:c xmlns:x="http://schemas.openxmlformats.org/spreadsheetml/2006/main" r="T132" t="str" s="11">
        <x:v>C:\Users\Nomatin\Documents\Altium\MY_LIB\MY_LIB\Datasheets\YAGEO_CC_X7R.pdf</x:v>
      </x:c>
      <x:c xmlns:x="http://schemas.openxmlformats.org/spreadsheetml/2006/main" r="U132" t="str" s="11">
        <x:v>Даташит — локальный</x:v>
      </x:c>
      <x:c xmlns:x="http://schemas.openxmlformats.org/spreadsheetml/2006/main" r="V132" t="str" s="11">
        <x:v>C:\Users\Nomatin\Documents\Altium\MY_LIB\MY_LIB\Datasheets\YAGEO_CC_X7R.pdf</x:v>
      </x:c>
      <x:c xmlns:x="http://schemas.openxmlformats.org/spreadsheetml/2006/main" r="W132" t="str" s="11">
        <x:v>Даташит — производитель</x:v>
      </x:c>
      <x:c xmlns:x="http://schemas.openxmlformats.org/spreadsheetml/2006/main" r="X132" t="str" s="11">
        <x:v>https://yageogroup.com/content/datasheet/asset/file/UPY-GPHC_X7R_6_3V-TO-250V</x:v>
      </x:c>
      <x:c xmlns:x="http://schemas.openxmlformats.org/spreadsheetml/2006/main" r="Y132" t="str" s="11">
        <x:v>C:\Users\Nomatin\Documents\Altium\MY_LIB\MY_LIB\Datasheets\YAGEO_CC_X7R.pdf</x:v>
      </x:c>
    </ns0:row>
    <ns0:row r="133" ht="30" customHeight="1">
      <ns0:c r="A133" t="str" s="14">
        <ns0:v>C0134</ns0:v>
      </ns0:c>
      <ns0:c r="B133" t="str" s="14">
        <ns0:v>Конденсатор</ns0:v>
      </ns0:c>
      <ns0:c r="C133" t="str" s="14">
        <ns0:v>220n</ns0:v>
      </ns0:c>
      <ns0:c r="D133" t="str" s="11">
        <ns0:f>SUBSTITUTE(SUBSTITUTE(SUBSTITUTE(SUBSTITUTE(C133,"p"," пФ"),"n"," нФ"),"u"," мкФ"),".",",")</ns0:f>
        <ns0:v>220 нФ</ns0:v>
      </ns0:c>
      <ns0:c r="E133" t="str" s="14">
        <ns0:v>±20%</ns0:v>
      </ns0:c>
      <ns0:c r="F133" s="14"/>
      <ns0:c r="G133" t="str" s="14">
        <ns0:v>100 В</ns0:v>
      </ns0:c>
      <ns0:c r="H133" t="str" s="14">
        <ns0:v>X7R</ns0:v>
      </ns0:c>
      <ns0:c r="I133" t="str" s="15">
        <ns0:v>0805</ns0:v>
      </ns0:c>
      <ns0:c r="J133" t="str" s="14">
        <ns0:v>YAGEO</ns0:v>
      </ns0:c>
      <ns0:c r="K133" t="str" s="14">
        <ns0:v>CC0805MKX7R0BB224</ns0:v>
      </ns0:c>
      <ns0:c r="L133" t="str" s="11">
        <ns0:f>B133&amp;" "&amp;D133&amp;" "&amp;E133&amp;" "&amp;G133&amp;" "&amp;H133&amp;" "&amp;I133</ns0:f>
        <ns0:v>Конденсатор 220 нФ ±20% 100 В X7R 0805</ns0:v>
      </ns0:c>
      <ns0:c r="M133" t="str" s="13">
        <ns0:v>C</ns0:v>
      </ns0:c>
      <ns0:c r="N133" t="str" s="13">
        <ns0:v>Symbols\MY_LIB_Capacitors.SchLib</ns0:v>
      </ns0:c>
      <ns0:c r="O133" t="str" s="13">
        <ns0:v>CAPC2012X135N</ns0:v>
      </ns0:c>
      <ns0:c r="P133" t="str" s="13">
        <ns0:v>Footprints\PBL - SMD Packages.PcbLib</ns0:v>
      </ns0:c>
      <ns0:c r="Q133" t="str" s="14">
        <ns0:v>YAGEO CC; список 20.10.2026</ns0:v>
      </ns0:c>
      <ns0:c r="R133" t="str" s="11">
        <ns0:f>D133</ns0:f>
        <ns0:v>220 нФ</ns0:v>
      </ns0:c>
      <ns0:c r="S133" t="str" s="11">
        <ns0:f>L133</ns0:f>
        <ns0:v>Конденсатор 220 нФ ±20% 100 В X7R 0805</ns0:v>
      </ns0:c>
      <x:c xmlns:x="http://schemas.openxmlformats.org/spreadsheetml/2006/main" r="T133" t="str" s="11">
        <x:v>C:\Users\Nomatin\Documents\Altium\MY_LIB\MY_LIB\Datasheets\YAGEO_CC_X7R.pdf</x:v>
      </x:c>
      <x:c xmlns:x="http://schemas.openxmlformats.org/spreadsheetml/2006/main" r="U133" t="str" s="11">
        <x:v>Даташит — локальный</x:v>
      </x:c>
      <x:c xmlns:x="http://schemas.openxmlformats.org/spreadsheetml/2006/main" r="V133" t="str" s="11">
        <x:v>C:\Users\Nomatin\Documents\Altium\MY_LIB\MY_LIB\Datasheets\YAGEO_CC_X7R.pdf</x:v>
      </x:c>
      <x:c xmlns:x="http://schemas.openxmlformats.org/spreadsheetml/2006/main" r="W133" t="str" s="11">
        <x:v>Даташит — производитель</x:v>
      </x:c>
      <x:c xmlns:x="http://schemas.openxmlformats.org/spreadsheetml/2006/main" r="X133" t="str" s="11">
        <x:v>https://yageogroup.com/content/datasheet/asset/file/UPY-GPHC_X7R_6_3V-TO-250V</x:v>
      </x:c>
      <x:c xmlns:x="http://schemas.openxmlformats.org/spreadsheetml/2006/main" r="Y133" t="str" s="11">
        <x:v>C:\Users\Nomatin\Documents\Altium\MY_LIB\MY_LIB\Datasheets\YAGEO_CC_X7R.pdf</x:v>
      </x:c>
    </ns0:row>
    <ns0:row r="134" ht="30" customHeight="1">
      <ns0:c r="A134" t="str" s="14">
        <ns0:v>C0135</ns0:v>
      </ns0:c>
      <ns0:c r="B134" t="str" s="14">
        <ns0:v>Конденсатор</ns0:v>
      </ns0:c>
      <ns0:c r="C134" t="str" s="14">
        <ns0:v>330n</ns0:v>
      </ns0:c>
      <ns0:c r="D134" t="str" s="11">
        <ns0:f>SUBSTITUTE(SUBSTITUTE(SUBSTITUTE(SUBSTITUTE(C134,"p"," пФ"),"n"," нФ"),"u"," мкФ"),".",",")</ns0:f>
        <ns0:v>330 нФ</ns0:v>
      </ns0:c>
      <ns0:c r="E134" t="str" s="14">
        <ns0:v>±20%</ns0:v>
      </ns0:c>
      <ns0:c r="F134" s="14"/>
      <ns0:c r="G134" t="str" s="14">
        <ns0:v>100 В</ns0:v>
      </ns0:c>
      <ns0:c r="H134" t="str" s="14">
        <ns0:v>X7R</ns0:v>
      </ns0:c>
      <ns0:c r="I134" t="str" s="15">
        <ns0:v>0805</ns0:v>
      </ns0:c>
      <ns0:c r="J134" t="str" s="14">
        <ns0:v>YAGEO</ns0:v>
      </ns0:c>
      <ns0:c r="K134" t="str" s="14">
        <ns0:v>CC0805MKX7R0BB334</ns0:v>
      </ns0:c>
      <ns0:c r="L134" t="str" s="11">
        <ns0:f>B134&amp;" "&amp;D134&amp;" "&amp;E134&amp;" "&amp;G134&amp;" "&amp;H134&amp;" "&amp;I134</ns0:f>
        <ns0:v>Конденсатор 330 нФ ±20% 100 В X7R 0805</ns0:v>
      </ns0:c>
      <ns0:c r="M134" t="str" s="13">
        <ns0:v>C</ns0:v>
      </ns0:c>
      <ns0:c r="N134" t="str" s="13">
        <ns0:v>Symbols\MY_LIB_Capacitors.SchLib</ns0:v>
      </ns0:c>
      <ns0:c r="O134" t="str" s="13">
        <ns0:v>CAPC2012X135N</ns0:v>
      </ns0:c>
      <ns0:c r="P134" t="str" s="13">
        <ns0:v>Footprints\PBL - SMD Packages.PcbLib</ns0:v>
      </ns0:c>
      <ns0:c r="Q134" t="str" s="14">
        <ns0:v>YAGEO CC; список 20.10.2026</ns0:v>
      </ns0:c>
      <ns0:c r="R134" t="str" s="11">
        <ns0:f>D134</ns0:f>
        <ns0:v>330 нФ</ns0:v>
      </ns0:c>
      <ns0:c r="S134" t="str" s="11">
        <ns0:f>L134</ns0:f>
        <ns0:v>Конденсатор 330 нФ ±20% 100 В X7R 0805</ns0:v>
      </ns0:c>
      <x:c xmlns:x="http://schemas.openxmlformats.org/spreadsheetml/2006/main" r="T134" t="str" s="11">
        <x:v>C:\Users\Nomatin\Documents\Altium\MY_LIB\MY_LIB\Datasheets\YAGEO_CC_X7R.pdf</x:v>
      </x:c>
      <x:c xmlns:x="http://schemas.openxmlformats.org/spreadsheetml/2006/main" r="U134" t="str" s="11">
        <x:v>Даташит — локальный</x:v>
      </x:c>
      <x:c xmlns:x="http://schemas.openxmlformats.org/spreadsheetml/2006/main" r="V134" t="str" s="11">
        <x:v>C:\Users\Nomatin\Documents\Altium\MY_LIB\MY_LIB\Datasheets\YAGEO_CC_X7R.pdf</x:v>
      </x:c>
      <x:c xmlns:x="http://schemas.openxmlformats.org/spreadsheetml/2006/main" r="W134" t="str" s="11">
        <x:v>Даташит — производитель</x:v>
      </x:c>
      <x:c xmlns:x="http://schemas.openxmlformats.org/spreadsheetml/2006/main" r="X134" t="str" s="11">
        <x:v>https://yageogroup.com/content/datasheet/asset/file/UPY-GPHC_X7R_6_3V-TO-250V</x:v>
      </x:c>
      <x:c xmlns:x="http://schemas.openxmlformats.org/spreadsheetml/2006/main" r="Y134" t="str" s="11">
        <x:v>C:\Users\Nomatin\Documents\Altium\MY_LIB\MY_LIB\Datasheets\YAGEO_CC_X7R.pdf</x:v>
      </x:c>
    </ns0:row>
    <ns0:row r="135" ht="30" customHeight="1">
      <ns0:c r="A135" t="str" s="14">
        <ns0:v>C0136</ns0:v>
      </ns0:c>
      <ns0:c r="B135" t="str" s="14">
        <ns0:v>Конденсатор</ns0:v>
      </ns0:c>
      <ns0:c r="C135" t="str" s="14">
        <ns0:v>470n</ns0:v>
      </ns0:c>
      <ns0:c r="D135" t="str" s="11">
        <ns0:f>SUBSTITUTE(SUBSTITUTE(SUBSTITUTE(SUBSTITUTE(C135,"p"," пФ"),"n"," нФ"),"u"," мкФ"),".",",")</ns0:f>
        <ns0:v>470 нФ</ns0:v>
      </ns0:c>
      <ns0:c r="E135" t="str" s="14">
        <ns0:v>±20%</ns0:v>
      </ns0:c>
      <ns0:c r="F135" s="14"/>
      <ns0:c r="G135" t="str" s="14">
        <ns0:v>100 В</ns0:v>
      </ns0:c>
      <ns0:c r="H135" t="str" s="14">
        <ns0:v>X7R</ns0:v>
      </ns0:c>
      <ns0:c r="I135" t="str" s="15">
        <ns0:v>0805</ns0:v>
      </ns0:c>
      <ns0:c r="J135" t="str" s="14">
        <ns0:v>YAGEO</ns0:v>
      </ns0:c>
      <ns0:c r="K135" t="str" s="14">
        <ns0:v>CC0805MKX7R0BB474</ns0:v>
      </ns0:c>
      <ns0:c r="L135" t="str" s="11">
        <ns0:f>B135&amp;" "&amp;D135&amp;" "&amp;E135&amp;" "&amp;G135&amp;" "&amp;H135&amp;" "&amp;I135</ns0:f>
        <ns0:v>Конденсатор 470 нФ ±20% 100 В X7R 0805</ns0:v>
      </ns0:c>
      <ns0:c r="M135" t="str" s="13">
        <ns0:v>C</ns0:v>
      </ns0:c>
      <ns0:c r="N135" t="str" s="13">
        <ns0:v>Symbols\MY_LIB_Capacitors.SchLib</ns0:v>
      </ns0:c>
      <ns0:c r="O135" t="str" s="13">
        <ns0:v>CAPC2012X135N</ns0:v>
      </ns0:c>
      <ns0:c r="P135" t="str" s="13">
        <ns0:v>Footprints\PBL - SMD Packages.PcbLib</ns0:v>
      </ns0:c>
      <ns0:c r="Q135" t="str" s="14">
        <ns0:v>YAGEO CC; список 20.10.2026</ns0:v>
      </ns0:c>
      <ns0:c r="R135" t="str" s="11">
        <ns0:f>D135</ns0:f>
        <ns0:v>470 нФ</ns0:v>
      </ns0:c>
      <ns0:c r="S135" t="str" s="11">
        <ns0:f>L135</ns0:f>
        <ns0:v>Конденсатор 470 нФ ±20% 100 В X7R 0805</ns0:v>
      </ns0:c>
      <x:c xmlns:x="http://schemas.openxmlformats.org/spreadsheetml/2006/main" r="T135" t="str" s="11">
        <x:v>C:\Users\Nomatin\Documents\Altium\MY_LIB\MY_LIB\Datasheets\YAGEO_CC_X7R.pdf</x:v>
      </x:c>
      <x:c xmlns:x="http://schemas.openxmlformats.org/spreadsheetml/2006/main" r="U135" t="str" s="11">
        <x:v>Даташит — локальный</x:v>
      </x:c>
      <x:c xmlns:x="http://schemas.openxmlformats.org/spreadsheetml/2006/main" r="V135" t="str" s="11">
        <x:v>C:\Users\Nomatin\Documents\Altium\MY_LIB\MY_LIB\Datasheets\YAGEO_CC_X7R.pdf</x:v>
      </x:c>
      <x:c xmlns:x="http://schemas.openxmlformats.org/spreadsheetml/2006/main" r="W135" t="str" s="11">
        <x:v>Даташит — производитель</x:v>
      </x:c>
      <x:c xmlns:x="http://schemas.openxmlformats.org/spreadsheetml/2006/main" r="X135" t="str" s="11">
        <x:v>https://yageogroup.com/content/datasheet/asset/file/UPY-GPHC_X7R_6_3V-TO-250V</x:v>
      </x:c>
      <x:c xmlns:x="http://schemas.openxmlformats.org/spreadsheetml/2006/main" r="Y135" t="str" s="11">
        <x:v>C:\Users\Nomatin\Documents\Altium\MY_LIB\MY_LIB\Datasheets\YAGEO_CC_X7R.pdf</x:v>
      </x:c>
    </ns0:row>
    <ns0:row r="136" ht="30" customHeight="1">
      <ns0:c r="A136" t="str" s="14">
        <ns0:v>C0137</ns0:v>
      </ns0:c>
      <ns0:c r="B136" t="str" s="14">
        <ns0:v>Конденсатор</ns0:v>
      </ns0:c>
      <ns0:c r="C136" t="str" s="14">
        <ns0:v>680n</ns0:v>
      </ns0:c>
      <ns0:c r="D136" t="str" s="11">
        <ns0:f>SUBSTITUTE(SUBSTITUTE(SUBSTITUTE(SUBSTITUTE(C136,"p"," пФ"),"n"," нФ"),"u"," мкФ"),".",",")</ns0:f>
        <ns0:v>680 нФ</ns0:v>
      </ns0:c>
      <ns0:c r="E136" t="str" s="14">
        <ns0:v>±20%</ns0:v>
      </ns0:c>
      <ns0:c r="F136" s="14"/>
      <ns0:c r="G136" t="str" s="14">
        <ns0:v>100 В</ns0:v>
      </ns0:c>
      <ns0:c r="H136" t="str" s="14">
        <ns0:v>X7R</ns0:v>
      </ns0:c>
      <ns0:c r="I136" t="str" s="15">
        <ns0:v>0805</ns0:v>
      </ns0:c>
      <ns0:c r="J136" t="str" s="14">
        <ns0:v>YAGEO</ns0:v>
      </ns0:c>
      <ns0:c r="K136" t="str" s="14">
        <ns0:v>CC0805MKX7R0BB684</ns0:v>
      </ns0:c>
      <ns0:c r="L136" t="str" s="11">
        <ns0:f>B136&amp;" "&amp;D136&amp;" "&amp;E136&amp;" "&amp;G136&amp;" "&amp;H136&amp;" "&amp;I136</ns0:f>
        <ns0:v>Конденсатор 680 нФ ±20% 100 В X7R 0805</ns0:v>
      </ns0:c>
      <ns0:c r="M136" t="str" s="13">
        <ns0:v>C</ns0:v>
      </ns0:c>
      <ns0:c r="N136" t="str" s="13">
        <ns0:v>Symbols\MY_LIB_Capacitors.SchLib</ns0:v>
      </ns0:c>
      <ns0:c r="O136" t="str" s="13">
        <ns0:v>CAPC2012X135N</ns0:v>
      </ns0:c>
      <ns0:c r="P136" t="str" s="13">
        <ns0:v>Footprints\PBL - SMD Packages.PcbLib</ns0:v>
      </ns0:c>
      <ns0:c r="Q136" t="str" s="14">
        <ns0:v>YAGEO CC; список 20.10.2026</ns0:v>
      </ns0:c>
      <ns0:c r="R136" t="str" s="11">
        <ns0:f>D136</ns0:f>
        <ns0:v>680 нФ</ns0:v>
      </ns0:c>
      <ns0:c r="S136" t="str" s="11">
        <ns0:f>L136</ns0:f>
        <ns0:v>Конденсатор 680 нФ ±20% 100 В X7R 0805</ns0:v>
      </ns0:c>
      <x:c xmlns:x="http://schemas.openxmlformats.org/spreadsheetml/2006/main" r="T136" t="str" s="11">
        <x:v>C:\Users\Nomatin\Documents\Altium\MY_LIB\MY_LIB\Datasheets\YAGEO_CC_X7R.pdf</x:v>
      </x:c>
      <x:c xmlns:x="http://schemas.openxmlformats.org/spreadsheetml/2006/main" r="U136" t="str" s="11">
        <x:v>Даташит — локальный</x:v>
      </x:c>
      <x:c xmlns:x="http://schemas.openxmlformats.org/spreadsheetml/2006/main" r="V136" t="str" s="11">
        <x:v>C:\Users\Nomatin\Documents\Altium\MY_LIB\MY_LIB\Datasheets\YAGEO_CC_X7R.pdf</x:v>
      </x:c>
      <x:c xmlns:x="http://schemas.openxmlformats.org/spreadsheetml/2006/main" r="W136" t="str" s="11">
        <x:v>Даташит — производитель</x:v>
      </x:c>
      <x:c xmlns:x="http://schemas.openxmlformats.org/spreadsheetml/2006/main" r="X136" t="str" s="11">
        <x:v>https://yageogroup.com/content/datasheet/asset/file/UPY-GPHC_X7R_6_3V-TO-250V</x:v>
      </x:c>
      <x:c xmlns:x="http://schemas.openxmlformats.org/spreadsheetml/2006/main" r="Y136" t="str" s="11">
        <x:v>C:\Users\Nomatin\Documents\Altium\MY_LIB\MY_LIB\Datasheets\YAGEO_CC_X7R.pdf</x:v>
      </x:c>
    </ns0:row>
    <ns0:row r="137" ht="30" customHeight="1">
      <ns0:c r="A137" t="str" s="14">
        <ns0:v>C0138</ns0:v>
      </ns0:c>
      <ns0:c r="B137" t="str" s="14">
        <ns0:v>Конденсатор</ns0:v>
      </ns0:c>
      <ns0:c r="C137" t="str" s="14">
        <ns0:v>1u</ns0:v>
      </ns0:c>
      <ns0:c r="D137" t="str" s="11">
        <ns0:f>SUBSTITUTE(SUBSTITUTE(SUBSTITUTE(SUBSTITUTE(C137,"p"," пФ"),"n"," нФ"),"u"," мкФ"),".",",")</ns0:f>
        <ns0:v>1 мкФ</ns0:v>
      </ns0:c>
      <ns0:c r="E137" t="str" s="14">
        <ns0:v>±20%</ns0:v>
      </ns0:c>
      <ns0:c r="F137" s="14"/>
      <ns0:c r="G137" t="str" s="14">
        <ns0:v>100 В</ns0:v>
      </ns0:c>
      <ns0:c r="H137" t="str" s="14">
        <ns0:v>X7R</ns0:v>
      </ns0:c>
      <ns0:c r="I137" t="str" s="15">
        <ns0:v>0805</ns0:v>
      </ns0:c>
      <ns0:c r="J137" t="str" s="14">
        <ns0:v>YAGEO</ns0:v>
      </ns0:c>
      <ns0:c r="K137" t="str" s="14">
        <ns0:v>CC0805MKX7R0BB105</ns0:v>
      </ns0:c>
      <ns0:c r="L137" t="str" s="11">
        <ns0:f>B137&amp;" "&amp;D137&amp;" "&amp;E137&amp;" "&amp;G137&amp;" "&amp;H137&amp;" "&amp;I137</ns0:f>
        <ns0:v>Конденсатор 1 мкФ ±20% 100 В X7R 0805</ns0:v>
      </ns0:c>
      <ns0:c r="M137" t="str" s="13">
        <ns0:v>C</ns0:v>
      </ns0:c>
      <ns0:c r="N137" t="str" s="13">
        <ns0:v>Symbols\MY_LIB_Capacitors.SchLib</ns0:v>
      </ns0:c>
      <ns0:c r="O137" t="str" s="13">
        <ns0:v>CAPC2012X135N</ns0:v>
      </ns0:c>
      <ns0:c r="P137" t="str" s="13">
        <ns0:v>Footprints\PBL - SMD Packages.PcbLib</ns0:v>
      </ns0:c>
      <ns0:c r="Q137" t="str" s="14">
        <ns0:v>YAGEO CC; список 20.10.2026</ns0:v>
      </ns0:c>
      <ns0:c r="R137" t="str" s="11">
        <ns0:f>D137</ns0:f>
        <ns0:v>1 мкФ</ns0:v>
      </ns0:c>
      <ns0:c r="S137" t="str" s="11">
        <ns0:f>L137</ns0:f>
        <ns0:v>Конденсатор 1 мкФ ±20% 100 В X7R 0805</ns0:v>
      </ns0:c>
      <x:c xmlns:x="http://schemas.openxmlformats.org/spreadsheetml/2006/main" r="T137" t="str" s="11">
        <x:v>C:\Users\Nomatin\Documents\Altium\MY_LIB\MY_LIB\Datasheets\YAGEO_CC_X7R.pdf</x:v>
      </x:c>
      <x:c xmlns:x="http://schemas.openxmlformats.org/spreadsheetml/2006/main" r="U137" t="str" s="11">
        <x:v>Даташит — локальный</x:v>
      </x:c>
      <x:c xmlns:x="http://schemas.openxmlformats.org/spreadsheetml/2006/main" r="V137" t="str" s="11">
        <x:v>C:\Users\Nomatin\Documents\Altium\MY_LIB\MY_LIB\Datasheets\YAGEO_CC_X7R.pdf</x:v>
      </x:c>
      <x:c xmlns:x="http://schemas.openxmlformats.org/spreadsheetml/2006/main" r="W137" t="str" s="11">
        <x:v>Даташит — производитель</x:v>
      </x:c>
      <x:c xmlns:x="http://schemas.openxmlformats.org/spreadsheetml/2006/main" r="X137" t="str" s="11">
        <x:v>https://yageogroup.com/content/datasheet/asset/file/UPY-GPHC_X7R_6_3V-TO-250V</x:v>
      </x:c>
      <x:c xmlns:x="http://schemas.openxmlformats.org/spreadsheetml/2006/main" r="Y137" t="str" s="11">
        <x:v>C:\Users\Nomatin\Documents\Altium\MY_LIB\MY_LIB\Datasheets\YAGEO_CC_X7R.pdf</x:v>
      </x:c>
    </ns0:row>
    <ns0:row r="138" ht="30" customHeight="1">
      <ns0:c r="A138" t="str" s="14">
        <ns0:v>C0139</ns0:v>
      </ns0:c>
      <ns0:c r="B138" t="str" s="14">
        <ns0:v>Конденсатор</ns0:v>
      </ns0:c>
      <ns0:c r="C138" t="str" s="14">
        <ns0:v>2.2u</ns0:v>
      </ns0:c>
      <ns0:c r="D138" t="str" s="11">
        <ns0:f>SUBSTITUTE(SUBSTITUTE(SUBSTITUTE(SUBSTITUTE(C138,"p"," пФ"),"n"," нФ"),"u"," мкФ"),".",",")</ns0:f>
        <ns0:v>2,2 мкФ</ns0:v>
      </ns0:c>
      <ns0:c r="E138" t="str" s="14">
        <ns0:v>±20%</ns0:v>
      </ns0:c>
      <ns0:c r="F138" s="14"/>
      <ns0:c r="G138" t="str" s="14">
        <ns0:v>50 В</ns0:v>
      </ns0:c>
      <ns0:c r="H138" t="str" s="14">
        <ns0:v>X7R</ns0:v>
      </ns0:c>
      <ns0:c r="I138" t="str" s="15">
        <ns0:v>0805</ns0:v>
      </ns0:c>
      <ns0:c r="J138" t="str" s="14">
        <ns0:v>YAGEO</ns0:v>
      </ns0:c>
      <ns0:c r="K138" t="str" s="14">
        <ns0:v>CC0805MKX7R9BB225</ns0:v>
      </ns0:c>
      <ns0:c r="L138" t="str" s="11">
        <ns0:f>B138&amp;" "&amp;D138&amp;" "&amp;E138&amp;" "&amp;G138&amp;" "&amp;H138&amp;" "&amp;I138</ns0:f>
        <ns0:v>Конденсатор 2,2 мкФ ±20% 50 В X7R 0805</ns0:v>
      </ns0:c>
      <ns0:c r="M138" t="str" s="13">
        <ns0:v>C</ns0:v>
      </ns0:c>
      <ns0:c r="N138" t="str" s="13">
        <ns0:v>Symbols\MY_LIB_Capacitors.SchLib</ns0:v>
      </ns0:c>
      <ns0:c r="O138" t="str" s="13">
        <ns0:v>CAPC2012X135N</ns0:v>
      </ns0:c>
      <ns0:c r="P138" t="str" s="13">
        <ns0:v>Footprints\PBL - SMD Packages.PcbLib</ns0:v>
      </ns0:c>
      <ns0:c r="Q138" t="str" s="14">
        <ns0:v>YAGEO CC; список 20.10.2026</ns0:v>
      </ns0:c>
      <ns0:c r="R138" t="str" s="11">
        <ns0:f>D138</ns0:f>
        <ns0:v>2,2 мкФ</ns0:v>
      </ns0:c>
      <ns0:c r="S138" t="str" s="11">
        <ns0:f>L138</ns0:f>
        <ns0:v>Конденсатор 2,2 мкФ ±20% 50 В X7R 0805</ns0:v>
      </ns0:c>
      <x:c xmlns:x="http://schemas.openxmlformats.org/spreadsheetml/2006/main" r="T138" t="str" s="11">
        <x:v>C:\Users\Nomatin\Documents\Altium\MY_LIB\MY_LIB\Datasheets\YAGEO_CC_X7R.pdf</x:v>
      </x:c>
      <x:c xmlns:x="http://schemas.openxmlformats.org/spreadsheetml/2006/main" r="U138" t="str" s="11">
        <x:v>Даташит — локальный</x:v>
      </x:c>
      <x:c xmlns:x="http://schemas.openxmlformats.org/spreadsheetml/2006/main" r="V138" t="str" s="11">
        <x:v>C:\Users\Nomatin\Documents\Altium\MY_LIB\MY_LIB\Datasheets\YAGEO_CC_X7R.pdf</x:v>
      </x:c>
      <x:c xmlns:x="http://schemas.openxmlformats.org/spreadsheetml/2006/main" r="W138" t="str" s="11">
        <x:v>Даташит — производитель</x:v>
      </x:c>
      <x:c xmlns:x="http://schemas.openxmlformats.org/spreadsheetml/2006/main" r="X138" t="str" s="11">
        <x:v>https://yageogroup.com/content/datasheet/asset/file/UPY-GPHC_X7R_6_3V-TO-250V</x:v>
      </x:c>
      <x:c xmlns:x="http://schemas.openxmlformats.org/spreadsheetml/2006/main" r="Y138" t="str" s="11">
        <x:v>C:\Users\Nomatin\Documents\Altium\MY_LIB\MY_LIB\Datasheets\YAGEO_CC_X7R.pdf</x:v>
      </x:c>
    </ns0:row>
    <ns0:row r="139" ht="30" customHeight="1">
      <ns0:c r="A139" t="str" s="14">
        <ns0:v>C0140</ns0:v>
      </ns0:c>
      <ns0:c r="B139" t="str" s="14">
        <ns0:v>Конденсатор</ns0:v>
      </ns0:c>
      <ns0:c r="C139" t="str" s="14">
        <ns0:v>4.7u</ns0:v>
      </ns0:c>
      <ns0:c r="D139" t="str" s="11">
        <ns0:f>SUBSTITUTE(SUBSTITUTE(SUBSTITUTE(SUBSTITUTE(C139,"p"," пФ"),"n"," нФ"),"u"," мкФ"),".",",")</ns0:f>
        <ns0:v>4,7 мкФ</ns0:v>
      </ns0:c>
      <ns0:c r="E139" t="str" s="14">
        <ns0:v>±20%</ns0:v>
      </ns0:c>
      <ns0:c r="F139" s="14"/>
      <ns0:c r="G139" t="str" s="14">
        <ns0:v>25 В</ns0:v>
      </ns0:c>
      <ns0:c r="H139" t="str" s="14">
        <ns0:v>X7R</ns0:v>
      </ns0:c>
      <ns0:c r="I139" t="str" s="15">
        <ns0:v>0805</ns0:v>
      </ns0:c>
      <ns0:c r="J139" t="str" s="14">
        <ns0:v>YAGEO</ns0:v>
      </ns0:c>
      <ns0:c r="K139" t="str" s="14">
        <ns0:v>CC0805MKX7R8BB475</ns0:v>
      </ns0:c>
      <ns0:c r="L139" t="str" s="11">
        <ns0:f>B139&amp;" "&amp;D139&amp;" "&amp;E139&amp;" "&amp;G139&amp;" "&amp;H139&amp;" "&amp;I139</ns0:f>
        <ns0:v>Конденсатор 4,7 мкФ ±20% 25 В X7R 0805</ns0:v>
      </ns0:c>
      <ns0:c r="M139" t="str" s="13">
        <ns0:v>C</ns0:v>
      </ns0:c>
      <ns0:c r="N139" t="str" s="13">
        <ns0:v>Symbols\MY_LIB_Capacitors.SchLib</ns0:v>
      </ns0:c>
      <ns0:c r="O139" t="str" s="13">
        <ns0:v>CAPC2012X135N</ns0:v>
      </ns0:c>
      <ns0:c r="P139" t="str" s="13">
        <ns0:v>Footprints\PBL - SMD Packages.PcbLib</ns0:v>
      </ns0:c>
      <ns0:c r="Q139" t="str" s="14">
        <ns0:v>YAGEO CC; список 20.10.2026</ns0:v>
      </ns0:c>
      <ns0:c r="R139" t="str" s="11">
        <ns0:f>D139</ns0:f>
        <ns0:v>4,7 мкФ</ns0:v>
      </ns0:c>
      <ns0:c r="S139" t="str" s="11">
        <ns0:f>L139</ns0:f>
        <ns0:v>Конденсатор 4,7 мкФ ±20% 25 В X7R 0805</ns0:v>
      </ns0:c>
      <x:c xmlns:x="http://schemas.openxmlformats.org/spreadsheetml/2006/main" r="T139" t="str" s="11">
        <x:v>C:\Users\Nomatin\Documents\Altium\MY_LIB\MY_LIB\Datasheets\YAGEO_CC_X7R.pdf</x:v>
      </x:c>
      <x:c xmlns:x="http://schemas.openxmlformats.org/spreadsheetml/2006/main" r="U139" t="str" s="11">
        <x:v>Даташит — локальный</x:v>
      </x:c>
      <x:c xmlns:x="http://schemas.openxmlformats.org/spreadsheetml/2006/main" r="V139" t="str" s="11">
        <x:v>C:\Users\Nomatin\Documents\Altium\MY_LIB\MY_LIB\Datasheets\YAGEO_CC_X7R.pdf</x:v>
      </x:c>
      <x:c xmlns:x="http://schemas.openxmlformats.org/spreadsheetml/2006/main" r="W139" t="str" s="11">
        <x:v>Даташит — производитель</x:v>
      </x:c>
      <x:c xmlns:x="http://schemas.openxmlformats.org/spreadsheetml/2006/main" r="X139" t="str" s="11">
        <x:v>https://yageogroup.com/content/datasheet/asset/file/UPY-GPHC_X7R_6_3V-TO-250V</x:v>
      </x:c>
      <x:c xmlns:x="http://schemas.openxmlformats.org/spreadsheetml/2006/main" r="Y139" t="str" s="11">
        <x:v>C:\Users\Nomatin\Documents\Altium\MY_LIB\MY_LIB\Datasheets\YAGEO_CC_X7R.pdf</x:v>
      </x:c>
    </ns0:row>
    <ns0:row r="140" ht="30" customHeight="1">
      <ns0:c r="A140" t="str" s="14">
        <ns0:v>C0141</ns0:v>
      </ns0:c>
      <ns0:c r="B140" t="str" s="14">
        <ns0:v>Конденсатор</ns0:v>
      </ns0:c>
      <ns0:c r="C140" t="str" s="14">
        <ns0:v>10u</ns0:v>
      </ns0:c>
      <ns0:c r="D140" t="str" s="11">
        <ns0:f>SUBSTITUTE(SUBSTITUTE(SUBSTITUTE(SUBSTITUTE(C140,"p"," пФ"),"n"," нФ"),"u"," мкФ"),".",",")</ns0:f>
        <ns0:v>10 мкФ</ns0:v>
      </ns0:c>
      <ns0:c r="E140" t="str" s="14">
        <ns0:v>±20%</ns0:v>
      </ns0:c>
      <ns0:c r="F140" s="14"/>
      <ns0:c r="G140" t="str" s="14">
        <ns0:v>16 В</ns0:v>
      </ns0:c>
      <ns0:c r="H140" t="str" s="14">
        <ns0:v>X7R</ns0:v>
      </ns0:c>
      <ns0:c r="I140" t="str" s="15">
        <ns0:v>0805</ns0:v>
      </ns0:c>
      <ns0:c r="J140" t="str" s="14">
        <ns0:v>YAGEO</ns0:v>
      </ns0:c>
      <ns0:c r="K140" t="str" s="14">
        <ns0:v>CC0805MKX7R7BB106</ns0:v>
      </ns0:c>
      <ns0:c r="L140" t="str" s="11">
        <ns0:f>B140&amp;" "&amp;D140&amp;" "&amp;E140&amp;" "&amp;G140&amp;" "&amp;H140&amp;" "&amp;I140</ns0:f>
        <ns0:v>Конденсатор 10 мкФ ±20% 16 В X7R 0805</ns0:v>
      </ns0:c>
      <ns0:c r="M140" t="str" s="13">
        <ns0:v>C</ns0:v>
      </ns0:c>
      <ns0:c r="N140" t="str" s="13">
        <ns0:v>Symbols\MY_LIB_Capacitors.SchLib</ns0:v>
      </ns0:c>
      <ns0:c r="O140" t="str" s="13">
        <ns0:v>CAPC2012X135N</ns0:v>
      </ns0:c>
      <ns0:c r="P140" t="str" s="13">
        <ns0:v>Footprints\PBL - SMD Packages.PcbLib</ns0:v>
      </ns0:c>
      <ns0:c r="Q140" t="str" s="14">
        <ns0:v>YAGEO CC; список 20.10.2026</ns0:v>
      </ns0:c>
      <ns0:c r="R140" t="str" s="11">
        <ns0:f>D140</ns0:f>
        <ns0:v>10 мкФ</ns0:v>
      </ns0:c>
      <ns0:c r="S140" t="str" s="11">
        <ns0:f>L140</ns0:f>
        <ns0:v>Конденсатор 10 мкФ ±20% 16 В X7R 0805</ns0:v>
      </ns0:c>
      <x:c xmlns:x="http://schemas.openxmlformats.org/spreadsheetml/2006/main" r="T140" t="str" s="11">
        <x:v>C:\Users\Nomatin\Documents\Altium\MY_LIB\MY_LIB\Datasheets\YAGEO_CC_X7R.pdf</x:v>
      </x:c>
      <x:c xmlns:x="http://schemas.openxmlformats.org/spreadsheetml/2006/main" r="U140" t="str" s="11">
        <x:v>Даташит — локальный</x:v>
      </x:c>
      <x:c xmlns:x="http://schemas.openxmlformats.org/spreadsheetml/2006/main" r="V140" t="str" s="11">
        <x:v>C:\Users\Nomatin\Documents\Altium\MY_LIB\MY_LIB\Datasheets\YAGEO_CC_X7R.pdf</x:v>
      </x:c>
      <x:c xmlns:x="http://schemas.openxmlformats.org/spreadsheetml/2006/main" r="W140" t="str" s="11">
        <x:v>Даташит — производитель</x:v>
      </x:c>
      <x:c xmlns:x="http://schemas.openxmlformats.org/spreadsheetml/2006/main" r="X140" t="str" s="11">
        <x:v>https://yageogroup.com/content/datasheet/asset/file/UPY-GPHC_X7R_6_3V-TO-250V</x:v>
      </x:c>
      <x:c xmlns:x="http://schemas.openxmlformats.org/spreadsheetml/2006/main" r="Y140" t="str" s="11">
        <x:v>C:\Users\Nomatin\Documents\Altium\MY_LIB\MY_LIB\Datasheets\YAGEO_CC_X7R.pdf</x:v>
      </x:c>
    </ns0:row>
    <ns0:row r="141" ht="30" customHeight="1">
      <ns0:c r="A141" t="str" s="14">
        <ns0:v>C0142</ns0:v>
      </ns0:c>
      <ns0:c r="B141" t="str" s="14">
        <ns0:v>Конденсатор</ns0:v>
      </ns0:c>
      <ns0:c r="C141" t="str" s="14">
        <ns0:v>100p</ns0:v>
      </ns0:c>
      <ns0:c r="D141" t="str" s="11">
        <ns0:f>SUBSTITUTE(SUBSTITUTE(SUBSTITUTE(SUBSTITUTE(C141,"p"," пФ"),"n"," нФ"),"u"," мкФ"),".",",")</ns0:f>
        <ns0:v>100 пФ</ns0:v>
      </ns0:c>
      <ns0:c r="E141" t="str" s="14">
        <ns0:v>±5%</ns0:v>
      </ns0:c>
      <ns0:c r="F141" s="14"/>
      <ns0:c r="G141" t="str" s="14">
        <ns0:v>100 В</ns0:v>
      </ns0:c>
      <ns0:c r="H141" t="str" s="14">
        <ns0:v>X7R</ns0:v>
      </ns0:c>
      <ns0:c r="I141" t="str" s="15">
        <ns0:v>0603</ns0:v>
      </ns0:c>
      <ns0:c r="J141" t="str" s="14">
        <ns0:v>YAGEO</ns0:v>
      </ns0:c>
      <ns0:c r="K141" t="str" s="14">
        <ns0:v>CC0603JRX7R0BB101</ns0:v>
      </ns0:c>
      <ns0:c r="L141" t="str" s="11">
        <ns0:f>B141&amp;" "&amp;D141&amp;" "&amp;E141&amp;" "&amp;G141&amp;" "&amp;H141&amp;" "&amp;I141</ns0:f>
        <ns0:v>Конденсатор 100 пФ ±5% 100 В X7R 0603</ns0:v>
      </ns0:c>
      <ns0:c r="M141" t="str" s="13">
        <ns0:v>C</ns0:v>
      </ns0:c>
      <ns0:c r="N141" t="str" s="13">
        <ns0:v>Symbols\MY_LIB_Capacitors.SchLib</ns0:v>
      </ns0:c>
      <ns0:c r="O141" t="str" s="13">
        <ns0:v>CAPC1608X90N</ns0:v>
      </ns0:c>
      <ns0:c r="P141" t="str" s="13">
        <ns0:v>Footprints\PBL - SMD Packages.PcbLib</ns0:v>
      </ns0:c>
      <ns0:c r="Q141" t="str" s="14">
        <ns0:v>YAGEO CC; список 20.10.2026</ns0:v>
      </ns0:c>
      <ns0:c r="R141" t="str" s="11">
        <ns0:f>D141</ns0:f>
        <ns0:v>100 пФ</ns0:v>
      </ns0:c>
      <ns0:c r="S141" t="str" s="11">
        <ns0:f>L141</ns0:f>
        <ns0:v>Конденсатор 100 пФ ±5% 100 В X7R 0603</ns0:v>
      </ns0:c>
      <x:c xmlns:x="http://schemas.openxmlformats.org/spreadsheetml/2006/main" r="T141" t="str" s="11">
        <x:v>C:\Users\Nomatin\Documents\Altium\MY_LIB\MY_LIB\Datasheets\YAGEO_CC_X7R.pdf</x:v>
      </x:c>
      <x:c xmlns:x="http://schemas.openxmlformats.org/spreadsheetml/2006/main" r="U141" t="str" s="11">
        <x:v>Даташит — локальный</x:v>
      </x:c>
      <x:c xmlns:x="http://schemas.openxmlformats.org/spreadsheetml/2006/main" r="V141" t="str" s="11">
        <x:v>C:\Users\Nomatin\Documents\Altium\MY_LIB\MY_LIB\Datasheets\YAGEO_CC_X7R.pdf</x:v>
      </x:c>
      <x:c xmlns:x="http://schemas.openxmlformats.org/spreadsheetml/2006/main" r="W141" t="str" s="11">
        <x:v>Даташит — производитель</x:v>
      </x:c>
      <x:c xmlns:x="http://schemas.openxmlformats.org/spreadsheetml/2006/main" r="X141" t="str" s="11">
        <x:v>https://yageogroup.com/content/datasheet/asset/file/UPY-GPHC_X7R_6_3V-TO-250V</x:v>
      </x:c>
      <x:c xmlns:x="http://schemas.openxmlformats.org/spreadsheetml/2006/main" r="Y141" t="str" s="11">
        <x:v>C:\Users\Nomatin\Documents\Altium\MY_LIB\MY_LIB\Datasheets\YAGEO_CC_X7R.pdf</x:v>
      </x:c>
    </ns0:row>
    <ns0:row r="142" ht="30" customHeight="1">
      <ns0:c r="A142" t="str" s="14">
        <ns0:v>C0143</ns0:v>
      </ns0:c>
      <ns0:c r="B142" t="str" s="14">
        <ns0:v>Конденсатор</ns0:v>
      </ns0:c>
      <ns0:c r="C142" t="str" s="14">
        <ns0:v>120p</ns0:v>
      </ns0:c>
      <ns0:c r="D142" t="str" s="11">
        <ns0:f>SUBSTITUTE(SUBSTITUTE(SUBSTITUTE(SUBSTITUTE(C142,"p"," пФ"),"n"," нФ"),"u"," мкФ"),".",",")</ns0:f>
        <ns0:v>120 пФ</ns0:v>
      </ns0:c>
      <ns0:c r="E142" t="str" s="14">
        <ns0:v>±5%</ns0:v>
      </ns0:c>
      <ns0:c r="F142" s="14"/>
      <ns0:c r="G142" t="str" s="14">
        <ns0:v>50 В</ns0:v>
      </ns0:c>
      <ns0:c r="H142" t="str" s="14">
        <ns0:v>X7R</ns0:v>
      </ns0:c>
      <ns0:c r="I142" t="str" s="15">
        <ns0:v>0603</ns0:v>
      </ns0:c>
      <ns0:c r="J142" t="str" s="14">
        <ns0:v>YAGEO</ns0:v>
      </ns0:c>
      <ns0:c r="K142" t="str" s="14">
        <ns0:v>CC0603JRX7R9BB121</ns0:v>
      </ns0:c>
      <ns0:c r="L142" t="str" s="11">
        <ns0:f>B142&amp;" "&amp;D142&amp;" "&amp;E142&amp;" "&amp;G142&amp;" "&amp;H142&amp;" "&amp;I142</ns0:f>
        <ns0:v>Конденсатор 120 пФ ±5% 50 В X7R 0603</ns0:v>
      </ns0:c>
      <ns0:c r="M142" t="str" s="13">
        <ns0:v>C</ns0:v>
      </ns0:c>
      <ns0:c r="N142" t="str" s="13">
        <ns0:v>Symbols\MY_LIB_Capacitors.SchLib</ns0:v>
      </ns0:c>
      <ns0:c r="O142" t="str" s="13">
        <ns0:v>CAPC1608X90N</ns0:v>
      </ns0:c>
      <ns0:c r="P142" t="str" s="13">
        <ns0:v>Footprints\PBL - SMD Packages.PcbLib</ns0:v>
      </ns0:c>
      <ns0:c r="Q142" t="str" s="14">
        <ns0:v>YAGEO CC; список 20.10.2026</ns0:v>
      </ns0:c>
      <ns0:c r="R142" t="str" s="11">
        <ns0:f>D142</ns0:f>
        <ns0:v>120 пФ</ns0:v>
      </ns0:c>
      <ns0:c r="S142" t="str" s="11">
        <ns0:f>L142</ns0:f>
        <ns0:v>Конденсатор 120 пФ ±5% 50 В X7R 0603</ns0:v>
      </ns0:c>
      <x:c xmlns:x="http://schemas.openxmlformats.org/spreadsheetml/2006/main" r="T142" t="str" s="11">
        <x:v>C:\Users\Nomatin\Documents\Altium\MY_LIB\MY_LIB\Datasheets\YAGEO_CC_X7R.pdf</x:v>
      </x:c>
      <x:c xmlns:x="http://schemas.openxmlformats.org/spreadsheetml/2006/main" r="U142" t="str" s="11">
        <x:v>Даташит — локальный</x:v>
      </x:c>
      <x:c xmlns:x="http://schemas.openxmlformats.org/spreadsheetml/2006/main" r="V142" t="str" s="11">
        <x:v>C:\Users\Nomatin\Documents\Altium\MY_LIB\MY_LIB\Datasheets\YAGEO_CC_X7R.pdf</x:v>
      </x:c>
      <x:c xmlns:x="http://schemas.openxmlformats.org/spreadsheetml/2006/main" r="W142" t="str" s="11">
        <x:v>Даташит — производитель</x:v>
      </x:c>
      <x:c xmlns:x="http://schemas.openxmlformats.org/spreadsheetml/2006/main" r="X142" t="str" s="11">
        <x:v>https://yageogroup.com/content/datasheet/asset/file/UPY-GPHC_X7R_6_3V-TO-250V</x:v>
      </x:c>
      <x:c xmlns:x="http://schemas.openxmlformats.org/spreadsheetml/2006/main" r="Y142" t="str" s="11">
        <x:v>C:\Users\Nomatin\Documents\Altium\MY_LIB\MY_LIB\Datasheets\YAGEO_CC_X7R.pdf</x:v>
      </x:c>
    </ns0:row>
    <ns0:row r="143" ht="30" customHeight="1">
      <ns0:c r="A143" t="str" s="14">
        <ns0:v>C0144</ns0:v>
      </ns0:c>
      <ns0:c r="B143" t="str" s="14">
        <ns0:v>Конденсатор</ns0:v>
      </ns0:c>
      <ns0:c r="C143" t="str" s="14">
        <ns0:v>150p</ns0:v>
      </ns0:c>
      <ns0:c r="D143" t="str" s="11">
        <ns0:f>SUBSTITUTE(SUBSTITUTE(SUBSTITUTE(SUBSTITUTE(C143,"p"," пФ"),"n"," нФ"),"u"," мкФ"),".",",")</ns0:f>
        <ns0:v>150 пФ</ns0:v>
      </ns0:c>
      <ns0:c r="E143" t="str" s="14">
        <ns0:v>±5%</ns0:v>
      </ns0:c>
      <ns0:c r="F143" s="14"/>
      <ns0:c r="G143" t="str" s="14">
        <ns0:v>100 В</ns0:v>
      </ns0:c>
      <ns0:c r="H143" t="str" s="14">
        <ns0:v>X7R</ns0:v>
      </ns0:c>
      <ns0:c r="I143" t="str" s="15">
        <ns0:v>0603</ns0:v>
      </ns0:c>
      <ns0:c r="J143" t="str" s="14">
        <ns0:v>YAGEO</ns0:v>
      </ns0:c>
      <ns0:c r="K143" t="str" s="14">
        <ns0:v>CC0603JRX7R0BB151</ns0:v>
      </ns0:c>
      <ns0:c r="L143" t="str" s="11">
        <ns0:f>B143&amp;" "&amp;D143&amp;" "&amp;E143&amp;" "&amp;G143&amp;" "&amp;H143&amp;" "&amp;I143</ns0:f>
        <ns0:v>Конденсатор 150 пФ ±5% 100 В X7R 0603</ns0:v>
      </ns0:c>
      <ns0:c r="M143" t="str" s="13">
        <ns0:v>C</ns0:v>
      </ns0:c>
      <ns0:c r="N143" t="str" s="13">
        <ns0:v>Symbols\MY_LIB_Capacitors.SchLib</ns0:v>
      </ns0:c>
      <ns0:c r="O143" t="str" s="13">
        <ns0:v>CAPC1608X90N</ns0:v>
      </ns0:c>
      <ns0:c r="P143" t="str" s="13">
        <ns0:v>Footprints\PBL - SMD Packages.PcbLib</ns0:v>
      </ns0:c>
      <ns0:c r="Q143" t="str" s="14">
        <ns0:v>YAGEO CC; список 20.10.2026</ns0:v>
      </ns0:c>
      <ns0:c r="R143" t="str" s="11">
        <ns0:f>D143</ns0:f>
        <ns0:v>150 пФ</ns0:v>
      </ns0:c>
      <ns0:c r="S143" t="str" s="11">
        <ns0:f>L143</ns0:f>
        <ns0:v>Конденсатор 150 пФ ±5% 100 В X7R 0603</ns0:v>
      </ns0:c>
      <x:c xmlns:x="http://schemas.openxmlformats.org/spreadsheetml/2006/main" r="T143" t="str" s="11">
        <x:v>C:\Users\Nomatin\Documents\Altium\MY_LIB\MY_LIB\Datasheets\YAGEO_CC_X7R.pdf</x:v>
      </x:c>
      <x:c xmlns:x="http://schemas.openxmlformats.org/spreadsheetml/2006/main" r="U143" t="str" s="11">
        <x:v>Даташит — локальный</x:v>
      </x:c>
      <x:c xmlns:x="http://schemas.openxmlformats.org/spreadsheetml/2006/main" r="V143" t="str" s="11">
        <x:v>C:\Users\Nomatin\Documents\Altium\MY_LIB\MY_LIB\Datasheets\YAGEO_CC_X7R.pdf</x:v>
      </x:c>
      <x:c xmlns:x="http://schemas.openxmlformats.org/spreadsheetml/2006/main" r="W143" t="str" s="11">
        <x:v>Даташит — производитель</x:v>
      </x:c>
      <x:c xmlns:x="http://schemas.openxmlformats.org/spreadsheetml/2006/main" r="X143" t="str" s="11">
        <x:v>https://yageogroup.com/content/datasheet/asset/file/UPY-GPHC_X7R_6_3V-TO-250V</x:v>
      </x:c>
      <x:c xmlns:x="http://schemas.openxmlformats.org/spreadsheetml/2006/main" r="Y143" t="str" s="11">
        <x:v>C:\Users\Nomatin\Documents\Altium\MY_LIB\MY_LIB\Datasheets\YAGEO_CC_X7R.pdf</x:v>
      </x:c>
    </ns0:row>
    <ns0:row r="144" ht="30" customHeight="1">
      <ns0:c r="A144" t="str" s="14">
        <ns0:v>C0145</ns0:v>
      </ns0:c>
      <ns0:c r="B144" t="str" s="14">
        <ns0:v>Конденсатор</ns0:v>
      </ns0:c>
      <ns0:c r="C144" t="str" s="14">
        <ns0:v>180p</ns0:v>
      </ns0:c>
      <ns0:c r="D144" t="str" s="11">
        <ns0:f>SUBSTITUTE(SUBSTITUTE(SUBSTITUTE(SUBSTITUTE(C144,"p"," пФ"),"n"," нФ"),"u"," мкФ"),".",",")</ns0:f>
        <ns0:v>180 пФ</ns0:v>
      </ns0:c>
      <ns0:c r="E144" t="str" s="14">
        <ns0:v>±5%</ns0:v>
      </ns0:c>
      <ns0:c r="F144" s="14"/>
      <ns0:c r="G144" t="str" s="14">
        <ns0:v>50 В</ns0:v>
      </ns0:c>
      <ns0:c r="H144" t="str" s="14">
        <ns0:v>X7R</ns0:v>
      </ns0:c>
      <ns0:c r="I144" t="str" s="15">
        <ns0:v>0603</ns0:v>
      </ns0:c>
      <ns0:c r="J144" t="str" s="14">
        <ns0:v>YAGEO</ns0:v>
      </ns0:c>
      <ns0:c r="K144" t="str" s="14">
        <ns0:v>CC0603JRX7R9BB181</ns0:v>
      </ns0:c>
      <ns0:c r="L144" t="str" s="11">
        <ns0:f>B144&amp;" "&amp;D144&amp;" "&amp;E144&amp;" "&amp;G144&amp;" "&amp;H144&amp;" "&amp;I144</ns0:f>
        <ns0:v>Конденсатор 180 пФ ±5% 50 В X7R 0603</ns0:v>
      </ns0:c>
      <ns0:c r="M144" t="str" s="13">
        <ns0:v>C</ns0:v>
      </ns0:c>
      <ns0:c r="N144" t="str" s="13">
        <ns0:v>Symbols\MY_LIB_Capacitors.SchLib</ns0:v>
      </ns0:c>
      <ns0:c r="O144" t="str" s="13">
        <ns0:v>CAPC1608X90N</ns0:v>
      </ns0:c>
      <ns0:c r="P144" t="str" s="13">
        <ns0:v>Footprints\PBL - SMD Packages.PcbLib</ns0:v>
      </ns0:c>
      <ns0:c r="Q144" t="str" s="14">
        <ns0:v>YAGEO CC; список 20.10.2026</ns0:v>
      </ns0:c>
      <ns0:c r="R144" t="str" s="11">
        <ns0:f>D144</ns0:f>
        <ns0:v>180 пФ</ns0:v>
      </ns0:c>
      <ns0:c r="S144" t="str" s="11">
        <ns0:f>L144</ns0:f>
        <ns0:v>Конденсатор 180 пФ ±5% 50 В X7R 0603</ns0:v>
      </ns0:c>
      <x:c xmlns:x="http://schemas.openxmlformats.org/spreadsheetml/2006/main" r="T144" t="str" s="11">
        <x:v>C:\Users\Nomatin\Documents\Altium\MY_LIB\MY_LIB\Datasheets\YAGEO_CC_X7R.pdf</x:v>
      </x:c>
      <x:c xmlns:x="http://schemas.openxmlformats.org/spreadsheetml/2006/main" r="U144" t="str" s="11">
        <x:v>Даташит — локальный</x:v>
      </x:c>
      <x:c xmlns:x="http://schemas.openxmlformats.org/spreadsheetml/2006/main" r="V144" t="str" s="11">
        <x:v>C:\Users\Nomatin\Documents\Altium\MY_LIB\MY_LIB\Datasheets\YAGEO_CC_X7R.pdf</x:v>
      </x:c>
      <x:c xmlns:x="http://schemas.openxmlformats.org/spreadsheetml/2006/main" r="W144" t="str" s="11">
        <x:v>Даташит — производитель</x:v>
      </x:c>
      <x:c xmlns:x="http://schemas.openxmlformats.org/spreadsheetml/2006/main" r="X144" t="str" s="11">
        <x:v>https://yageogroup.com/content/datasheet/asset/file/UPY-GPHC_X7R_6_3V-TO-250V</x:v>
      </x:c>
      <x:c xmlns:x="http://schemas.openxmlformats.org/spreadsheetml/2006/main" r="Y144" t="str" s="11">
        <x:v>C:\Users\Nomatin\Documents\Altium\MY_LIB\MY_LIB\Datasheets\YAGEO_CC_X7R.pdf</x:v>
      </x:c>
    </ns0:row>
    <ns0:row r="145" ht="30" customHeight="1">
      <ns0:c r="A145" t="str" s="14">
        <ns0:v>C0146</ns0:v>
      </ns0:c>
      <ns0:c r="B145" t="str" s="14">
        <ns0:v>Конденсатор</ns0:v>
      </ns0:c>
      <ns0:c r="C145" t="str" s="14">
        <ns0:v>220p</ns0:v>
      </ns0:c>
      <ns0:c r="D145" t="str" s="11">
        <ns0:f>SUBSTITUTE(SUBSTITUTE(SUBSTITUTE(SUBSTITUTE(C145,"p"," пФ"),"n"," нФ"),"u"," мкФ"),".",",")</ns0:f>
        <ns0:v>220 пФ</ns0:v>
      </ns0:c>
      <ns0:c r="E145" t="str" s="14">
        <ns0:v>±5%</ns0:v>
      </ns0:c>
      <ns0:c r="F145" s="14"/>
      <ns0:c r="G145" t="str" s="14">
        <ns0:v>100 В</ns0:v>
      </ns0:c>
      <ns0:c r="H145" t="str" s="14">
        <ns0:v>X7R</ns0:v>
      </ns0:c>
      <ns0:c r="I145" t="str" s="15">
        <ns0:v>0603</ns0:v>
      </ns0:c>
      <ns0:c r="J145" t="str" s="14">
        <ns0:v>YAGEO</ns0:v>
      </ns0:c>
      <ns0:c r="K145" t="str" s="14">
        <ns0:v>CC0603JRX7R0BB221</ns0:v>
      </ns0:c>
      <ns0:c r="L145" t="str" s="11">
        <ns0:f>B145&amp;" "&amp;D145&amp;" "&amp;E145&amp;" "&amp;G145&amp;" "&amp;H145&amp;" "&amp;I145</ns0:f>
        <ns0:v>Конденсатор 220 пФ ±5% 100 В X7R 0603</ns0:v>
      </ns0:c>
      <ns0:c r="M145" t="str" s="13">
        <ns0:v>C</ns0:v>
      </ns0:c>
      <ns0:c r="N145" t="str" s="13">
        <ns0:v>Symbols\MY_LIB_Capacitors.SchLib</ns0:v>
      </ns0:c>
      <ns0:c r="O145" t="str" s="13">
        <ns0:v>CAPC1608X90N</ns0:v>
      </ns0:c>
      <ns0:c r="P145" t="str" s="13">
        <ns0:v>Footprints\PBL - SMD Packages.PcbLib</ns0:v>
      </ns0:c>
      <ns0:c r="Q145" t="str" s="14">
        <ns0:v>YAGEO CC; список 20.10.2026</ns0:v>
      </ns0:c>
      <ns0:c r="R145" t="str" s="11">
        <ns0:f>D145</ns0:f>
        <ns0:v>220 пФ</ns0:v>
      </ns0:c>
      <ns0:c r="S145" t="str" s="11">
        <ns0:f>L145</ns0:f>
        <ns0:v>Конденсатор 220 пФ ±5% 100 В X7R 0603</ns0:v>
      </ns0:c>
      <x:c xmlns:x="http://schemas.openxmlformats.org/spreadsheetml/2006/main" r="T145" t="str" s="11">
        <x:v>C:\Users\Nomatin\Documents\Altium\MY_LIB\MY_LIB\Datasheets\YAGEO_CC_X7R.pdf</x:v>
      </x:c>
      <x:c xmlns:x="http://schemas.openxmlformats.org/spreadsheetml/2006/main" r="U145" t="str" s="11">
        <x:v>Даташит — локальный</x:v>
      </x:c>
      <x:c xmlns:x="http://schemas.openxmlformats.org/spreadsheetml/2006/main" r="V145" t="str" s="11">
        <x:v>C:\Users\Nomatin\Documents\Altium\MY_LIB\MY_LIB\Datasheets\YAGEO_CC_X7R.pdf</x:v>
      </x:c>
      <x:c xmlns:x="http://schemas.openxmlformats.org/spreadsheetml/2006/main" r="W145" t="str" s="11">
        <x:v>Даташит — производитель</x:v>
      </x:c>
      <x:c xmlns:x="http://schemas.openxmlformats.org/spreadsheetml/2006/main" r="X145" t="str" s="11">
        <x:v>https://yageogroup.com/content/datasheet/asset/file/UPY-GPHC_X7R_6_3V-TO-250V</x:v>
      </x:c>
      <x:c xmlns:x="http://schemas.openxmlformats.org/spreadsheetml/2006/main" r="Y145" t="str" s="11">
        <x:v>C:\Users\Nomatin\Documents\Altium\MY_LIB\MY_LIB\Datasheets\YAGEO_CC_X7R.pdf</x:v>
      </x:c>
    </ns0:row>
    <ns0:row r="146" ht="30" customHeight="1">
      <ns0:c r="A146" t="str" s="14">
        <ns0:v>C0147</ns0:v>
      </ns0:c>
      <ns0:c r="B146" t="str" s="14">
        <ns0:v>Конденсатор</ns0:v>
      </ns0:c>
      <ns0:c r="C146" t="str" s="14">
        <ns0:v>270p</ns0:v>
      </ns0:c>
      <ns0:c r="D146" t="str" s="11">
        <ns0:f>SUBSTITUTE(SUBSTITUTE(SUBSTITUTE(SUBSTITUTE(C146,"p"," пФ"),"n"," нФ"),"u"," мкФ"),".",",")</ns0:f>
        <ns0:v>270 пФ</ns0:v>
      </ns0:c>
      <ns0:c r="E146" t="str" s="14">
        <ns0:v>±5%</ns0:v>
      </ns0:c>
      <ns0:c r="F146" s="14"/>
      <ns0:c r="G146" t="str" s="14">
        <ns0:v>50 В</ns0:v>
      </ns0:c>
      <ns0:c r="H146" t="str" s="14">
        <ns0:v>X7R</ns0:v>
      </ns0:c>
      <ns0:c r="I146" t="str" s="15">
        <ns0:v>0603</ns0:v>
      </ns0:c>
      <ns0:c r="J146" t="str" s="14">
        <ns0:v>YAGEO</ns0:v>
      </ns0:c>
      <ns0:c r="K146" t="str" s="14">
        <ns0:v>CC0603JRX7R9BB271</ns0:v>
      </ns0:c>
      <ns0:c r="L146" t="str" s="11">
        <ns0:f>B146&amp;" "&amp;D146&amp;" "&amp;E146&amp;" "&amp;G146&amp;" "&amp;H146&amp;" "&amp;I146</ns0:f>
        <ns0:v>Конденсатор 270 пФ ±5% 50 В X7R 0603</ns0:v>
      </ns0:c>
      <ns0:c r="M146" t="str" s="13">
        <ns0:v>C</ns0:v>
      </ns0:c>
      <ns0:c r="N146" t="str" s="13">
        <ns0:v>Symbols\MY_LIB_Capacitors.SchLib</ns0:v>
      </ns0:c>
      <ns0:c r="O146" t="str" s="13">
        <ns0:v>CAPC1608X90N</ns0:v>
      </ns0:c>
      <ns0:c r="P146" t="str" s="13">
        <ns0:v>Footprints\PBL - SMD Packages.PcbLib</ns0:v>
      </ns0:c>
      <ns0:c r="Q146" t="str" s="14">
        <ns0:v>YAGEO CC; список 20.10.2026</ns0:v>
      </ns0:c>
      <ns0:c r="R146" t="str" s="11">
        <ns0:f>D146</ns0:f>
        <ns0:v>270 пФ</ns0:v>
      </ns0:c>
      <ns0:c r="S146" t="str" s="11">
        <ns0:f>L146</ns0:f>
        <ns0:v>Конденсатор 270 пФ ±5% 50 В X7R 0603</ns0:v>
      </ns0:c>
      <x:c xmlns:x="http://schemas.openxmlformats.org/spreadsheetml/2006/main" r="T146" t="str" s="11">
        <x:v>C:\Users\Nomatin\Documents\Altium\MY_LIB\MY_LIB\Datasheets\YAGEO_CC_X7R.pdf</x:v>
      </x:c>
      <x:c xmlns:x="http://schemas.openxmlformats.org/spreadsheetml/2006/main" r="U146" t="str" s="11">
        <x:v>Даташит — локальный</x:v>
      </x:c>
      <x:c xmlns:x="http://schemas.openxmlformats.org/spreadsheetml/2006/main" r="V146" t="str" s="11">
        <x:v>C:\Users\Nomatin\Documents\Altium\MY_LIB\MY_LIB\Datasheets\YAGEO_CC_X7R.pdf</x:v>
      </x:c>
      <x:c xmlns:x="http://schemas.openxmlformats.org/spreadsheetml/2006/main" r="W146" t="str" s="11">
        <x:v>Даташит — производитель</x:v>
      </x:c>
      <x:c xmlns:x="http://schemas.openxmlformats.org/spreadsheetml/2006/main" r="X146" t="str" s="11">
        <x:v>https://yageogroup.com/content/datasheet/asset/file/UPY-GPHC_X7R_6_3V-TO-250V</x:v>
      </x:c>
      <x:c xmlns:x="http://schemas.openxmlformats.org/spreadsheetml/2006/main" r="Y146" t="str" s="11">
        <x:v>C:\Users\Nomatin\Documents\Altium\MY_LIB\MY_LIB\Datasheets\YAGEO_CC_X7R.pdf</x:v>
      </x:c>
    </ns0:row>
    <ns0:row r="147" ht="30" customHeight="1">
      <ns0:c r="A147" t="str" s="14">
        <ns0:v>C0148</ns0:v>
      </ns0:c>
      <ns0:c r="B147" t="str" s="14">
        <ns0:v>Конденсатор</ns0:v>
      </ns0:c>
      <ns0:c r="C147" t="str" s="14">
        <ns0:v>330p</ns0:v>
      </ns0:c>
      <ns0:c r="D147" t="str" s="11">
        <ns0:f>SUBSTITUTE(SUBSTITUTE(SUBSTITUTE(SUBSTITUTE(C147,"p"," пФ"),"n"," нФ"),"u"," мкФ"),".",",")</ns0:f>
        <ns0:v>330 пФ</ns0:v>
      </ns0:c>
      <ns0:c r="E147" t="str" s="14">
        <ns0:v>±5%</ns0:v>
      </ns0:c>
      <ns0:c r="F147" s="14"/>
      <ns0:c r="G147" t="str" s="14">
        <ns0:v>100 В</ns0:v>
      </ns0:c>
      <ns0:c r="H147" t="str" s="14">
        <ns0:v>X7R</ns0:v>
      </ns0:c>
      <ns0:c r="I147" t="str" s="15">
        <ns0:v>0603</ns0:v>
      </ns0:c>
      <ns0:c r="J147" t="str" s="14">
        <ns0:v>YAGEO</ns0:v>
      </ns0:c>
      <ns0:c r="K147" t="str" s="14">
        <ns0:v>CC0603JRX7R0BB331</ns0:v>
      </ns0:c>
      <ns0:c r="L147" t="str" s="11">
        <ns0:f>B147&amp;" "&amp;D147&amp;" "&amp;E147&amp;" "&amp;G147&amp;" "&amp;H147&amp;" "&amp;I147</ns0:f>
        <ns0:v>Конденсатор 330 пФ ±5% 100 В X7R 0603</ns0:v>
      </ns0:c>
      <ns0:c r="M147" t="str" s="13">
        <ns0:v>C</ns0:v>
      </ns0:c>
      <ns0:c r="N147" t="str" s="13">
        <ns0:v>Symbols\MY_LIB_Capacitors.SchLib</ns0:v>
      </ns0:c>
      <ns0:c r="O147" t="str" s="13">
        <ns0:v>CAPC1608X90N</ns0:v>
      </ns0:c>
      <ns0:c r="P147" t="str" s="13">
        <ns0:v>Footprints\PBL - SMD Packages.PcbLib</ns0:v>
      </ns0:c>
      <ns0:c r="Q147" t="str" s="14">
        <ns0:v>YAGEO CC; список 20.10.2026</ns0:v>
      </ns0:c>
      <ns0:c r="R147" t="str" s="11">
        <ns0:f>D147</ns0:f>
        <ns0:v>330 пФ</ns0:v>
      </ns0:c>
      <ns0:c r="S147" t="str" s="11">
        <ns0:f>L147</ns0:f>
        <ns0:v>Конденсатор 330 пФ ±5% 100 В X7R 0603</ns0:v>
      </ns0:c>
      <x:c xmlns:x="http://schemas.openxmlformats.org/spreadsheetml/2006/main" r="T147" t="str" s="11">
        <x:v>C:\Users\Nomatin\Documents\Altium\MY_LIB\MY_LIB\Datasheets\YAGEO_CC_X7R.pdf</x:v>
      </x:c>
      <x:c xmlns:x="http://schemas.openxmlformats.org/spreadsheetml/2006/main" r="U147" t="str" s="11">
        <x:v>Даташит — локальный</x:v>
      </x:c>
      <x:c xmlns:x="http://schemas.openxmlformats.org/spreadsheetml/2006/main" r="V147" t="str" s="11">
        <x:v>C:\Users\Nomatin\Documents\Altium\MY_LIB\MY_LIB\Datasheets\YAGEO_CC_X7R.pdf</x:v>
      </x:c>
      <x:c xmlns:x="http://schemas.openxmlformats.org/spreadsheetml/2006/main" r="W147" t="str" s="11">
        <x:v>Даташит — производитель</x:v>
      </x:c>
      <x:c xmlns:x="http://schemas.openxmlformats.org/spreadsheetml/2006/main" r="X147" t="str" s="11">
        <x:v>https://yageogroup.com/content/datasheet/asset/file/UPY-GPHC_X7R_6_3V-TO-250V</x:v>
      </x:c>
      <x:c xmlns:x="http://schemas.openxmlformats.org/spreadsheetml/2006/main" r="Y147" t="str" s="11">
        <x:v>C:\Users\Nomatin\Documents\Altium\MY_LIB\MY_LIB\Datasheets\YAGEO_CC_X7R.pdf</x:v>
      </x:c>
    </ns0:row>
    <ns0:row r="148" ht="30" customHeight="1">
      <ns0:c r="A148" t="str" s="14">
        <ns0:v>C0149</ns0:v>
      </ns0:c>
      <ns0:c r="B148" t="str" s="14">
        <ns0:v>Конденсатор</ns0:v>
      </ns0:c>
      <ns0:c r="C148" t="str" s="14">
        <ns0:v>390p</ns0:v>
      </ns0:c>
      <ns0:c r="D148" t="str" s="11">
        <ns0:f>SUBSTITUTE(SUBSTITUTE(SUBSTITUTE(SUBSTITUTE(C148,"p"," пФ"),"n"," нФ"),"u"," мкФ"),".",",")</ns0:f>
        <ns0:v>390 пФ</ns0:v>
      </ns0:c>
      <ns0:c r="E148" t="str" s="14">
        <ns0:v>±5%</ns0:v>
      </ns0:c>
      <ns0:c r="F148" s="14"/>
      <ns0:c r="G148" t="str" s="14">
        <ns0:v>50 В</ns0:v>
      </ns0:c>
      <ns0:c r="H148" t="str" s="14">
        <ns0:v>X7R</ns0:v>
      </ns0:c>
      <ns0:c r="I148" t="str" s="15">
        <ns0:v>0603</ns0:v>
      </ns0:c>
      <ns0:c r="J148" t="str" s="14">
        <ns0:v>YAGEO</ns0:v>
      </ns0:c>
      <ns0:c r="K148" t="str" s="14">
        <ns0:v>CC0603JRX7R9BB391</ns0:v>
      </ns0:c>
      <ns0:c r="L148" t="str" s="11">
        <ns0:f>B148&amp;" "&amp;D148&amp;" "&amp;E148&amp;" "&amp;G148&amp;" "&amp;H148&amp;" "&amp;I148</ns0:f>
        <ns0:v>Конденсатор 390 пФ ±5% 50 В X7R 0603</ns0:v>
      </ns0:c>
      <ns0:c r="M148" t="str" s="13">
        <ns0:v>C</ns0:v>
      </ns0:c>
      <ns0:c r="N148" t="str" s="13">
        <ns0:v>Symbols\MY_LIB_Capacitors.SchLib</ns0:v>
      </ns0:c>
      <ns0:c r="O148" t="str" s="13">
        <ns0:v>CAPC1608X90N</ns0:v>
      </ns0:c>
      <ns0:c r="P148" t="str" s="13">
        <ns0:v>Footprints\PBL - SMD Packages.PcbLib</ns0:v>
      </ns0:c>
      <ns0:c r="Q148" t="str" s="14">
        <ns0:v>YAGEO CC; список 20.10.2026</ns0:v>
      </ns0:c>
      <ns0:c r="R148" t="str" s="11">
        <ns0:f>D148</ns0:f>
        <ns0:v>390 пФ</ns0:v>
      </ns0:c>
      <ns0:c r="S148" t="str" s="11">
        <ns0:f>L148</ns0:f>
        <ns0:v>Конденсатор 390 пФ ±5% 50 В X7R 0603</ns0:v>
      </ns0:c>
      <x:c xmlns:x="http://schemas.openxmlformats.org/spreadsheetml/2006/main" r="T148" t="str" s="11">
        <x:v>C:\Users\Nomatin\Documents\Altium\MY_LIB\MY_LIB\Datasheets\YAGEO_CC_X7R.pdf</x:v>
      </x:c>
      <x:c xmlns:x="http://schemas.openxmlformats.org/spreadsheetml/2006/main" r="U148" t="str" s="11">
        <x:v>Даташит — локальный</x:v>
      </x:c>
      <x:c xmlns:x="http://schemas.openxmlformats.org/spreadsheetml/2006/main" r="V148" t="str" s="11">
        <x:v>C:\Users\Nomatin\Documents\Altium\MY_LIB\MY_LIB\Datasheets\YAGEO_CC_X7R.pdf</x:v>
      </x:c>
      <x:c xmlns:x="http://schemas.openxmlformats.org/spreadsheetml/2006/main" r="W148" t="str" s="11">
        <x:v>Даташит — производитель</x:v>
      </x:c>
      <x:c xmlns:x="http://schemas.openxmlformats.org/spreadsheetml/2006/main" r="X148" t="str" s="11">
        <x:v>https://yageogroup.com/content/datasheet/asset/file/UPY-GPHC_X7R_6_3V-TO-250V</x:v>
      </x:c>
      <x:c xmlns:x="http://schemas.openxmlformats.org/spreadsheetml/2006/main" r="Y148" t="str" s="11">
        <x:v>C:\Users\Nomatin\Documents\Altium\MY_LIB\MY_LIB\Datasheets\YAGEO_CC_X7R.pdf</x:v>
      </x:c>
    </ns0:row>
    <ns0:row r="149" ht="30" customHeight="1">
      <ns0:c r="A149" t="str" s="14">
        <ns0:v>C0150</ns0:v>
      </ns0:c>
      <ns0:c r="B149" t="str" s="14">
        <ns0:v>Конденсатор</ns0:v>
      </ns0:c>
      <ns0:c r="C149" t="str" s="14">
        <ns0:v>470p</ns0:v>
      </ns0:c>
      <ns0:c r="D149" t="str" s="11">
        <ns0:f>SUBSTITUTE(SUBSTITUTE(SUBSTITUTE(SUBSTITUTE(C149,"p"," пФ"),"n"," нФ"),"u"," мкФ"),".",",")</ns0:f>
        <ns0:v>470 пФ</ns0:v>
      </ns0:c>
      <ns0:c r="E149" t="str" s="14">
        <ns0:v>±5%</ns0:v>
      </ns0:c>
      <ns0:c r="F149" s="14"/>
      <ns0:c r="G149" t="str" s="14">
        <ns0:v>100 В</ns0:v>
      </ns0:c>
      <ns0:c r="H149" t="str" s="14">
        <ns0:v>X7R</ns0:v>
      </ns0:c>
      <ns0:c r="I149" t="str" s="15">
        <ns0:v>0603</ns0:v>
      </ns0:c>
      <ns0:c r="J149" t="str" s="14">
        <ns0:v>YAGEO</ns0:v>
      </ns0:c>
      <ns0:c r="K149" t="str" s="14">
        <ns0:v>CC0603JRX7R0BB471</ns0:v>
      </ns0:c>
      <ns0:c r="L149" t="str" s="11">
        <ns0:f>B149&amp;" "&amp;D149&amp;" "&amp;E149&amp;" "&amp;G149&amp;" "&amp;H149&amp;" "&amp;I149</ns0:f>
        <ns0:v>Конденсатор 470 пФ ±5% 100 В X7R 0603</ns0:v>
      </ns0:c>
      <ns0:c r="M149" t="str" s="13">
        <ns0:v>C</ns0:v>
      </ns0:c>
      <ns0:c r="N149" t="str" s="13">
        <ns0:v>Symbols\MY_LIB_Capacitors.SchLib</ns0:v>
      </ns0:c>
      <ns0:c r="O149" t="str" s="13">
        <ns0:v>CAPC1608X90N</ns0:v>
      </ns0:c>
      <ns0:c r="P149" t="str" s="13">
        <ns0:v>Footprints\PBL - SMD Packages.PcbLib</ns0:v>
      </ns0:c>
      <ns0:c r="Q149" t="str" s="14">
        <ns0:v>YAGEO CC; список 20.10.2026</ns0:v>
      </ns0:c>
      <ns0:c r="R149" t="str" s="11">
        <ns0:f>D149</ns0:f>
        <ns0:v>470 пФ</ns0:v>
      </ns0:c>
      <ns0:c r="S149" t="str" s="11">
        <ns0:f>L149</ns0:f>
        <ns0:v>Конденсатор 470 пФ ±5% 100 В X7R 0603</ns0:v>
      </ns0:c>
      <x:c xmlns:x="http://schemas.openxmlformats.org/spreadsheetml/2006/main" r="T149" t="str" s="11">
        <x:v>C:\Users\Nomatin\Documents\Altium\MY_LIB\MY_LIB\Datasheets\YAGEO_CC_X7R.pdf</x:v>
      </x:c>
      <x:c xmlns:x="http://schemas.openxmlformats.org/spreadsheetml/2006/main" r="U149" t="str" s="11">
        <x:v>Даташит — локальный</x:v>
      </x:c>
      <x:c xmlns:x="http://schemas.openxmlformats.org/spreadsheetml/2006/main" r="V149" t="str" s="11">
        <x:v>C:\Users\Nomatin\Documents\Altium\MY_LIB\MY_LIB\Datasheets\YAGEO_CC_X7R.pdf</x:v>
      </x:c>
      <x:c xmlns:x="http://schemas.openxmlformats.org/spreadsheetml/2006/main" r="W149" t="str" s="11">
        <x:v>Даташит — производитель</x:v>
      </x:c>
      <x:c xmlns:x="http://schemas.openxmlformats.org/spreadsheetml/2006/main" r="X149" t="str" s="11">
        <x:v>https://yageogroup.com/content/datasheet/asset/file/UPY-GPHC_X7R_6_3V-TO-250V</x:v>
      </x:c>
      <x:c xmlns:x="http://schemas.openxmlformats.org/spreadsheetml/2006/main" r="Y149" t="str" s="11">
        <x:v>C:\Users\Nomatin\Documents\Altium\MY_LIB\MY_LIB\Datasheets\YAGEO_CC_X7R.pdf</x:v>
      </x:c>
    </ns0:row>
    <ns0:row r="150" ht="30" customHeight="1">
      <ns0:c r="A150" t="str" s="14">
        <ns0:v>C0151</ns0:v>
      </ns0:c>
      <ns0:c r="B150" t="str" s="14">
        <ns0:v>Конденсатор</ns0:v>
      </ns0:c>
      <ns0:c r="C150" t="str" s="14">
        <ns0:v>560p</ns0:v>
      </ns0:c>
      <ns0:c r="D150" t="str" s="11">
        <ns0:f>SUBSTITUTE(SUBSTITUTE(SUBSTITUTE(SUBSTITUTE(C150,"p"," пФ"),"n"," нФ"),"u"," мкФ"),".",",")</ns0:f>
        <ns0:v>560 пФ</ns0:v>
      </ns0:c>
      <ns0:c r="E150" t="str" s="14">
        <ns0:v>±5%</ns0:v>
      </ns0:c>
      <ns0:c r="F150" s="14"/>
      <ns0:c r="G150" t="str" s="14">
        <ns0:v>50 В</ns0:v>
      </ns0:c>
      <ns0:c r="H150" t="str" s="14">
        <ns0:v>X7R</ns0:v>
      </ns0:c>
      <ns0:c r="I150" t="str" s="15">
        <ns0:v>0603</ns0:v>
      </ns0:c>
      <ns0:c r="J150" t="str" s="14">
        <ns0:v>YAGEO</ns0:v>
      </ns0:c>
      <ns0:c r="K150" t="str" s="14">
        <ns0:v>CC0603JRX7R9BB561</ns0:v>
      </ns0:c>
      <ns0:c r="L150" t="str" s="11">
        <ns0:f>B150&amp;" "&amp;D150&amp;" "&amp;E150&amp;" "&amp;G150&amp;" "&amp;H150&amp;" "&amp;I150</ns0:f>
        <ns0:v>Конденсатор 560 пФ ±5% 50 В X7R 0603</ns0:v>
      </ns0:c>
      <ns0:c r="M150" t="str" s="13">
        <ns0:v>C</ns0:v>
      </ns0:c>
      <ns0:c r="N150" t="str" s="13">
        <ns0:v>Symbols\MY_LIB_Capacitors.SchLib</ns0:v>
      </ns0:c>
      <ns0:c r="O150" t="str" s="13">
        <ns0:v>CAPC1608X90N</ns0:v>
      </ns0:c>
      <ns0:c r="P150" t="str" s="13">
        <ns0:v>Footprints\PBL - SMD Packages.PcbLib</ns0:v>
      </ns0:c>
      <ns0:c r="Q150" t="str" s="14">
        <ns0:v>YAGEO CC; список 20.10.2026</ns0:v>
      </ns0:c>
      <ns0:c r="R150" t="str" s="11">
        <ns0:f>D150</ns0:f>
        <ns0:v>560 пФ</ns0:v>
      </ns0:c>
      <ns0:c r="S150" t="str" s="11">
        <ns0:f>L150</ns0:f>
        <ns0:v>Конденсатор 560 пФ ±5% 50 В X7R 0603</ns0:v>
      </ns0:c>
      <x:c xmlns:x="http://schemas.openxmlformats.org/spreadsheetml/2006/main" r="T150" t="str" s="11">
        <x:v>C:\Users\Nomatin\Documents\Altium\MY_LIB\MY_LIB\Datasheets\YAGEO_CC_X7R.pdf</x:v>
      </x:c>
      <x:c xmlns:x="http://schemas.openxmlformats.org/spreadsheetml/2006/main" r="U150" t="str" s="11">
        <x:v>Даташит — локальный</x:v>
      </x:c>
      <x:c xmlns:x="http://schemas.openxmlformats.org/spreadsheetml/2006/main" r="V150" t="str" s="11">
        <x:v>C:\Users\Nomatin\Documents\Altium\MY_LIB\MY_LIB\Datasheets\YAGEO_CC_X7R.pdf</x:v>
      </x:c>
      <x:c xmlns:x="http://schemas.openxmlformats.org/spreadsheetml/2006/main" r="W150" t="str" s="11">
        <x:v>Даташит — производитель</x:v>
      </x:c>
      <x:c xmlns:x="http://schemas.openxmlformats.org/spreadsheetml/2006/main" r="X150" t="str" s="11">
        <x:v>https://yageogroup.com/content/datasheet/asset/file/UPY-GPHC_X7R_6_3V-TO-250V</x:v>
      </x:c>
      <x:c xmlns:x="http://schemas.openxmlformats.org/spreadsheetml/2006/main" r="Y150" t="str" s="11">
        <x:v>C:\Users\Nomatin\Documents\Altium\MY_LIB\MY_LIB\Datasheets\YAGEO_CC_X7R.pdf</x:v>
      </x:c>
    </ns0:row>
    <ns0:row r="151" ht="30" customHeight="1">
      <ns0:c r="A151" t="str" s="14">
        <ns0:v>C0152</ns0:v>
      </ns0:c>
      <ns0:c r="B151" t="str" s="14">
        <ns0:v>Конденсатор</ns0:v>
      </ns0:c>
      <ns0:c r="C151" t="str" s="14">
        <ns0:v>680p</ns0:v>
      </ns0:c>
      <ns0:c r="D151" t="str" s="11">
        <ns0:f>SUBSTITUTE(SUBSTITUTE(SUBSTITUTE(SUBSTITUTE(C151,"p"," пФ"),"n"," нФ"),"u"," мкФ"),".",",")</ns0:f>
        <ns0:v>680 пФ</ns0:v>
      </ns0:c>
      <ns0:c r="E151" t="str" s="14">
        <ns0:v>±5%</ns0:v>
      </ns0:c>
      <ns0:c r="F151" s="14"/>
      <ns0:c r="G151" t="str" s="14">
        <ns0:v>100 В</ns0:v>
      </ns0:c>
      <ns0:c r="H151" t="str" s="14">
        <ns0:v>X7R</ns0:v>
      </ns0:c>
      <ns0:c r="I151" t="str" s="15">
        <ns0:v>0603</ns0:v>
      </ns0:c>
      <ns0:c r="J151" t="str" s="14">
        <ns0:v>YAGEO</ns0:v>
      </ns0:c>
      <ns0:c r="K151" t="str" s="14">
        <ns0:v>CC0603JRX7R0BB681</ns0:v>
      </ns0:c>
      <ns0:c r="L151" t="str" s="11">
        <ns0:f>B151&amp;" "&amp;D151&amp;" "&amp;E151&amp;" "&amp;G151&amp;" "&amp;H151&amp;" "&amp;I151</ns0:f>
        <ns0:v>Конденсатор 680 пФ ±5% 100 В X7R 0603</ns0:v>
      </ns0:c>
      <ns0:c r="M151" t="str" s="13">
        <ns0:v>C</ns0:v>
      </ns0:c>
      <ns0:c r="N151" t="str" s="13">
        <ns0:v>Symbols\MY_LIB_Capacitors.SchLib</ns0:v>
      </ns0:c>
      <ns0:c r="O151" t="str" s="13">
        <ns0:v>CAPC1608X90N</ns0:v>
      </ns0:c>
      <ns0:c r="P151" t="str" s="13">
        <ns0:v>Footprints\PBL - SMD Packages.PcbLib</ns0:v>
      </ns0:c>
      <ns0:c r="Q151" t="str" s="14">
        <ns0:v>YAGEO CC; список 20.10.2026</ns0:v>
      </ns0:c>
      <ns0:c r="R151" t="str" s="11">
        <ns0:f>D151</ns0:f>
        <ns0:v>680 пФ</ns0:v>
      </ns0:c>
      <ns0:c r="S151" t="str" s="11">
        <ns0:f>L151</ns0:f>
        <ns0:v>Конденсатор 680 пФ ±5% 100 В X7R 0603</ns0:v>
      </ns0:c>
      <x:c xmlns:x="http://schemas.openxmlformats.org/spreadsheetml/2006/main" r="T151" t="str" s="11">
        <x:v>C:\Users\Nomatin\Documents\Altium\MY_LIB\MY_LIB\Datasheets\YAGEO_CC_X7R.pdf</x:v>
      </x:c>
      <x:c xmlns:x="http://schemas.openxmlformats.org/spreadsheetml/2006/main" r="U151" t="str" s="11">
        <x:v>Даташит — локальный</x:v>
      </x:c>
      <x:c xmlns:x="http://schemas.openxmlformats.org/spreadsheetml/2006/main" r="V151" t="str" s="11">
        <x:v>C:\Users\Nomatin\Documents\Altium\MY_LIB\MY_LIB\Datasheets\YAGEO_CC_X7R.pdf</x:v>
      </x:c>
      <x:c xmlns:x="http://schemas.openxmlformats.org/spreadsheetml/2006/main" r="W151" t="str" s="11">
        <x:v>Даташит — производитель</x:v>
      </x:c>
      <x:c xmlns:x="http://schemas.openxmlformats.org/spreadsheetml/2006/main" r="X151" t="str" s="11">
        <x:v>https://yageogroup.com/content/datasheet/asset/file/UPY-GPHC_X7R_6_3V-TO-250V</x:v>
      </x:c>
      <x:c xmlns:x="http://schemas.openxmlformats.org/spreadsheetml/2006/main" r="Y151" t="str" s="11">
        <x:v>C:\Users\Nomatin\Documents\Altium\MY_LIB\MY_LIB\Datasheets\YAGEO_CC_X7R.pdf</x:v>
      </x:c>
    </ns0:row>
    <ns0:row r="152" ht="30" customHeight="1">
      <ns0:c r="A152" t="str" s="14">
        <ns0:v>C0153</ns0:v>
      </ns0:c>
      <ns0:c r="B152" t="str" s="14">
        <ns0:v>Конденсатор</ns0:v>
      </ns0:c>
      <ns0:c r="C152" t="str" s="14">
        <ns0:v>750p</ns0:v>
      </ns0:c>
      <ns0:c r="D152" t="str" s="11">
        <ns0:f>SUBSTITUTE(SUBSTITUTE(SUBSTITUTE(SUBSTITUTE(C152,"p"," пФ"),"n"," нФ"),"u"," мкФ"),".",",")</ns0:f>
        <ns0:v>750 пФ</ns0:v>
      </ns0:c>
      <ns0:c r="E152" t="str" s="14">
        <ns0:v>±5%</ns0:v>
      </ns0:c>
      <ns0:c r="F152" s="14"/>
      <ns0:c r="G152" t="str" s="14">
        <ns0:v>50 В</ns0:v>
      </ns0:c>
      <ns0:c r="H152" t="str" s="14">
        <ns0:v>X7R</ns0:v>
      </ns0:c>
      <ns0:c r="I152" t="str" s="15">
        <ns0:v>0603</ns0:v>
      </ns0:c>
      <ns0:c r="J152" t="str" s="14">
        <ns0:v>YAGEO</ns0:v>
      </ns0:c>
      <ns0:c r="K152" t="str" s="14">
        <ns0:v>CC0603JRX7R9BB751</ns0:v>
      </ns0:c>
      <ns0:c r="L152" t="str" s="11">
        <ns0:f>B152&amp;" "&amp;D152&amp;" "&amp;E152&amp;" "&amp;G152&amp;" "&amp;H152&amp;" "&amp;I152</ns0:f>
        <ns0:v>Конденсатор 750 пФ ±5% 50 В X7R 0603</ns0:v>
      </ns0:c>
      <ns0:c r="M152" t="str" s="13">
        <ns0:v>C</ns0:v>
      </ns0:c>
      <ns0:c r="N152" t="str" s="13">
        <ns0:v>Symbols\MY_LIB_Capacitors.SchLib</ns0:v>
      </ns0:c>
      <ns0:c r="O152" t="str" s="13">
        <ns0:v>CAPC1608X90N</ns0:v>
      </ns0:c>
      <ns0:c r="P152" t="str" s="13">
        <ns0:v>Footprints\PBL - SMD Packages.PcbLib</ns0:v>
      </ns0:c>
      <ns0:c r="Q152" t="str" s="14">
        <ns0:v>YAGEO CC; список 20.10.2026</ns0:v>
      </ns0:c>
      <ns0:c r="R152" t="str" s="11">
        <ns0:f>D152</ns0:f>
        <ns0:v>750 пФ</ns0:v>
      </ns0:c>
      <ns0:c r="S152" t="str" s="11">
        <ns0:f>L152</ns0:f>
        <ns0:v>Конденсатор 750 пФ ±5% 50 В X7R 0603</ns0:v>
      </ns0:c>
      <x:c xmlns:x="http://schemas.openxmlformats.org/spreadsheetml/2006/main" r="T152" t="str" s="11">
        <x:v>C:\Users\Nomatin\Documents\Altium\MY_LIB\MY_LIB\Datasheets\YAGEO_CC_X7R.pdf</x:v>
      </x:c>
      <x:c xmlns:x="http://schemas.openxmlformats.org/spreadsheetml/2006/main" r="U152" t="str" s="11">
        <x:v>Даташит — локальный</x:v>
      </x:c>
      <x:c xmlns:x="http://schemas.openxmlformats.org/spreadsheetml/2006/main" r="V152" t="str" s="11">
        <x:v>C:\Users\Nomatin\Documents\Altium\MY_LIB\MY_LIB\Datasheets\YAGEO_CC_X7R.pdf</x:v>
      </x:c>
      <x:c xmlns:x="http://schemas.openxmlformats.org/spreadsheetml/2006/main" r="W152" t="str" s="11">
        <x:v>Даташит — производитель</x:v>
      </x:c>
      <x:c xmlns:x="http://schemas.openxmlformats.org/spreadsheetml/2006/main" r="X152" t="str" s="11">
        <x:v>https://yageogroup.com/content/datasheet/asset/file/UPY-GPHC_X7R_6_3V-TO-250V</x:v>
      </x:c>
      <x:c xmlns:x="http://schemas.openxmlformats.org/spreadsheetml/2006/main" r="Y152" t="str" s="11">
        <x:v>C:\Users\Nomatin\Documents\Altium\MY_LIB\MY_LIB\Datasheets\YAGEO_CC_X7R.pdf</x:v>
      </x:c>
    </ns0:row>
    <ns0:row r="153" ht="30" customHeight="1">
      <ns0:c r="A153" t="str" s="14">
        <ns0:v>C0154</ns0:v>
      </ns0:c>
      <ns0:c r="B153" t="str" s="14">
        <ns0:v>Конденсатор</ns0:v>
      </ns0:c>
      <ns0:c r="C153" t="str" s="14">
        <ns0:v>820p</ns0:v>
      </ns0:c>
      <ns0:c r="D153" t="str" s="11">
        <ns0:f>SUBSTITUTE(SUBSTITUTE(SUBSTITUTE(SUBSTITUTE(C153,"p"," пФ"),"n"," нФ"),"u"," мкФ"),".",",")</ns0:f>
        <ns0:v>820 пФ</ns0:v>
      </ns0:c>
      <ns0:c r="E153" t="str" s="14">
        <ns0:v>±5%</ns0:v>
      </ns0:c>
      <ns0:c r="F153" s="14"/>
      <ns0:c r="G153" t="str" s="14">
        <ns0:v>50 В</ns0:v>
      </ns0:c>
      <ns0:c r="H153" t="str" s="14">
        <ns0:v>X7R</ns0:v>
      </ns0:c>
      <ns0:c r="I153" t="str" s="15">
        <ns0:v>0603</ns0:v>
      </ns0:c>
      <ns0:c r="J153" t="str" s="14">
        <ns0:v>YAGEO</ns0:v>
      </ns0:c>
      <ns0:c r="K153" t="str" s="14">
        <ns0:v>CC0603JRX7R9BB821</ns0:v>
      </ns0:c>
      <ns0:c r="L153" t="str" s="11">
        <ns0:f>B153&amp;" "&amp;D153&amp;" "&amp;E153&amp;" "&amp;G153&amp;" "&amp;H153&amp;" "&amp;I153</ns0:f>
        <ns0:v>Конденсатор 820 пФ ±5% 50 В X7R 0603</ns0:v>
      </ns0:c>
      <ns0:c r="M153" t="str" s="13">
        <ns0:v>C</ns0:v>
      </ns0:c>
      <ns0:c r="N153" t="str" s="13">
        <ns0:v>Symbols\MY_LIB_Capacitors.SchLib</ns0:v>
      </ns0:c>
      <ns0:c r="O153" t="str" s="13">
        <ns0:v>CAPC1608X90N</ns0:v>
      </ns0:c>
      <ns0:c r="P153" t="str" s="13">
        <ns0:v>Footprints\PBL - SMD Packages.PcbLib</ns0:v>
      </ns0:c>
      <ns0:c r="Q153" t="str" s="14">
        <ns0:v>YAGEO CC; список 20.10.2026</ns0:v>
      </ns0:c>
      <ns0:c r="R153" t="str" s="11">
        <ns0:f>D153</ns0:f>
        <ns0:v>820 пФ</ns0:v>
      </ns0:c>
      <ns0:c r="S153" t="str" s="11">
        <ns0:f>L153</ns0:f>
        <ns0:v>Конденсатор 820 пФ ±5% 50 В X7R 0603</ns0:v>
      </ns0:c>
      <x:c xmlns:x="http://schemas.openxmlformats.org/spreadsheetml/2006/main" r="T153" t="str" s="11">
        <x:v>C:\Users\Nomatin\Documents\Altium\MY_LIB\MY_LIB\Datasheets\YAGEO_CC_X7R.pdf</x:v>
      </x:c>
      <x:c xmlns:x="http://schemas.openxmlformats.org/spreadsheetml/2006/main" r="U153" t="str" s="11">
        <x:v>Даташит — локальный</x:v>
      </x:c>
      <x:c xmlns:x="http://schemas.openxmlformats.org/spreadsheetml/2006/main" r="V153" t="str" s="11">
        <x:v>C:\Users\Nomatin\Documents\Altium\MY_LIB\MY_LIB\Datasheets\YAGEO_CC_X7R.pdf</x:v>
      </x:c>
      <x:c xmlns:x="http://schemas.openxmlformats.org/spreadsheetml/2006/main" r="W153" t="str" s="11">
        <x:v>Даташит — производитель</x:v>
      </x:c>
      <x:c xmlns:x="http://schemas.openxmlformats.org/spreadsheetml/2006/main" r="X153" t="str" s="11">
        <x:v>https://yageogroup.com/content/datasheet/asset/file/UPY-GPHC_X7R_6_3V-TO-250V</x:v>
      </x:c>
      <x:c xmlns:x="http://schemas.openxmlformats.org/spreadsheetml/2006/main" r="Y153" t="str" s="11">
        <x:v>C:\Users\Nomatin\Documents\Altium\MY_LIB\MY_LIB\Datasheets\YAGEO_CC_X7R.pdf</x:v>
      </x:c>
    </ns0:row>
    <ns0:row r="154" ht="30" customHeight="1">
      <ns0:c r="A154" t="str" s="14">
        <ns0:v>C0155</ns0:v>
      </ns0:c>
      <ns0:c r="B154" t="str" s="14">
        <ns0:v>Конденсатор</ns0:v>
      </ns0:c>
      <ns0:c r="C154" t="str" s="14">
        <ns0:v>1n</ns0:v>
      </ns0:c>
      <ns0:c r="D154" t="str" s="11">
        <ns0:f>SUBSTITUTE(SUBSTITUTE(SUBSTITUTE(SUBSTITUTE(C154,"p"," пФ"),"n"," нФ"),"u"," мкФ"),".",",")</ns0:f>
        <ns0:v>1 нФ</ns0:v>
      </ns0:c>
      <ns0:c r="E154" t="str" s="14">
        <ns0:v>±5%</ns0:v>
      </ns0:c>
      <ns0:c r="F154" s="14"/>
      <ns0:c r="G154" t="str" s="14">
        <ns0:v>100 В</ns0:v>
      </ns0:c>
      <ns0:c r="H154" t="str" s="14">
        <ns0:v>X7R</ns0:v>
      </ns0:c>
      <ns0:c r="I154" t="str" s="15">
        <ns0:v>0603</ns0:v>
      </ns0:c>
      <ns0:c r="J154" t="str" s="14">
        <ns0:v>YAGEO</ns0:v>
      </ns0:c>
      <ns0:c r="K154" t="str" s="14">
        <ns0:v>CC0603JRX7R0BB102</ns0:v>
      </ns0:c>
      <ns0:c r="L154" t="str" s="11">
        <ns0:f>B154&amp;" "&amp;D154&amp;" "&amp;E154&amp;" "&amp;G154&amp;" "&amp;H154&amp;" "&amp;I154</ns0:f>
        <ns0:v>Конденсатор 1 нФ ±5% 100 В X7R 0603</ns0:v>
      </ns0:c>
      <ns0:c r="M154" t="str" s="13">
        <ns0:v>C</ns0:v>
      </ns0:c>
      <ns0:c r="N154" t="str" s="13">
        <ns0:v>Symbols\MY_LIB_Capacitors.SchLib</ns0:v>
      </ns0:c>
      <ns0:c r="O154" t="str" s="13">
        <ns0:v>CAPC1608X90N</ns0:v>
      </ns0:c>
      <ns0:c r="P154" t="str" s="13">
        <ns0:v>Footprints\PBL - SMD Packages.PcbLib</ns0:v>
      </ns0:c>
      <ns0:c r="Q154" t="str" s="14">
        <ns0:v>YAGEO CC; список 20.10.2026</ns0:v>
      </ns0:c>
      <ns0:c r="R154" t="str" s="11">
        <ns0:f>D154</ns0:f>
        <ns0:v>1 нФ</ns0:v>
      </ns0:c>
      <ns0:c r="S154" t="str" s="11">
        <ns0:f>L154</ns0:f>
        <ns0:v>Конденсатор 1 нФ ±5% 100 В X7R 0603</ns0:v>
      </ns0:c>
      <x:c xmlns:x="http://schemas.openxmlformats.org/spreadsheetml/2006/main" r="T154" t="str" s="11">
        <x:v>C:\Users\Nomatin\Documents\Altium\MY_LIB\MY_LIB\Datasheets\YAGEO_CC_X7R.pdf</x:v>
      </x:c>
      <x:c xmlns:x="http://schemas.openxmlformats.org/spreadsheetml/2006/main" r="U154" t="str" s="11">
        <x:v>Даташит — локальный</x:v>
      </x:c>
      <x:c xmlns:x="http://schemas.openxmlformats.org/spreadsheetml/2006/main" r="V154" t="str" s="11">
        <x:v>C:\Users\Nomatin\Documents\Altium\MY_LIB\MY_LIB\Datasheets\YAGEO_CC_X7R.pdf</x:v>
      </x:c>
      <x:c xmlns:x="http://schemas.openxmlformats.org/spreadsheetml/2006/main" r="W154" t="str" s="11">
        <x:v>Даташит — производитель</x:v>
      </x:c>
      <x:c xmlns:x="http://schemas.openxmlformats.org/spreadsheetml/2006/main" r="X154" t="str" s="11">
        <x:v>https://yageogroup.com/content/datasheet/asset/file/UPY-GPHC_X7R_6_3V-TO-250V</x:v>
      </x:c>
      <x:c xmlns:x="http://schemas.openxmlformats.org/spreadsheetml/2006/main" r="Y154" t="str" s="11">
        <x:v>C:\Users\Nomatin\Documents\Altium\MY_LIB\MY_LIB\Datasheets\YAGEO_CC_X7R.pdf</x:v>
      </x:c>
    </ns0:row>
    <ns0:row r="155" ht="30" customHeight="1">
      <ns0:c r="A155" t="str" s="14">
        <ns0:v>C0156</ns0:v>
      </ns0:c>
      <ns0:c r="B155" t="str" s="14">
        <ns0:v>Конденсатор</ns0:v>
      </ns0:c>
      <ns0:c r="C155" t="str" s="14">
        <ns0:v>1.2n</ns0:v>
      </ns0:c>
      <ns0:c r="D155" t="str" s="11">
        <ns0:f>SUBSTITUTE(SUBSTITUTE(SUBSTITUTE(SUBSTITUTE(C155,"p"," пФ"),"n"," нФ"),"u"," мкФ"),".",",")</ns0:f>
        <ns0:v>1,2 нФ</ns0:v>
      </ns0:c>
      <ns0:c r="E155" t="str" s="14">
        <ns0:v>±5%</ns0:v>
      </ns0:c>
      <ns0:c r="F155" s="14"/>
      <ns0:c r="G155" t="str" s="14">
        <ns0:v>50 В</ns0:v>
      </ns0:c>
      <ns0:c r="H155" t="str" s="14">
        <ns0:v>X7R</ns0:v>
      </ns0:c>
      <ns0:c r="I155" t="str" s="15">
        <ns0:v>0603</ns0:v>
      </ns0:c>
      <ns0:c r="J155" t="str" s="14">
        <ns0:v>YAGEO</ns0:v>
      </ns0:c>
      <ns0:c r="K155" t="str" s="14">
        <ns0:v>CC0603JRX7R9BB122</ns0:v>
      </ns0:c>
      <ns0:c r="L155" t="str" s="11">
        <ns0:f>B155&amp;" "&amp;D155&amp;" "&amp;E155&amp;" "&amp;G155&amp;" "&amp;H155&amp;" "&amp;I155</ns0:f>
        <ns0:v>Конденсатор 1,2 нФ ±5% 50 В X7R 0603</ns0:v>
      </ns0:c>
      <ns0:c r="M155" t="str" s="13">
        <ns0:v>C</ns0:v>
      </ns0:c>
      <ns0:c r="N155" t="str" s="13">
        <ns0:v>Symbols\MY_LIB_Capacitors.SchLib</ns0:v>
      </ns0:c>
      <ns0:c r="O155" t="str" s="13">
        <ns0:v>CAPC1608X90N</ns0:v>
      </ns0:c>
      <ns0:c r="P155" t="str" s="13">
        <ns0:v>Footprints\PBL - SMD Packages.PcbLib</ns0:v>
      </ns0:c>
      <ns0:c r="Q155" t="str" s="14">
        <ns0:v>YAGEO CC; список 20.10.2026</ns0:v>
      </ns0:c>
      <ns0:c r="R155" t="str" s="11">
        <ns0:f>D155</ns0:f>
        <ns0:v>1,2 нФ</ns0:v>
      </ns0:c>
      <ns0:c r="S155" t="str" s="11">
        <ns0:f>L155</ns0:f>
        <ns0:v>Конденсатор 1,2 нФ ±5% 50 В X7R 0603</ns0:v>
      </ns0:c>
      <x:c xmlns:x="http://schemas.openxmlformats.org/spreadsheetml/2006/main" r="T155" t="str" s="11">
        <x:v>C:\Users\Nomatin\Documents\Altium\MY_LIB\MY_LIB\Datasheets\YAGEO_CC_X7R.pdf</x:v>
      </x:c>
      <x:c xmlns:x="http://schemas.openxmlformats.org/spreadsheetml/2006/main" r="U155" t="str" s="11">
        <x:v>Даташит — локальный</x:v>
      </x:c>
      <x:c xmlns:x="http://schemas.openxmlformats.org/spreadsheetml/2006/main" r="V155" t="str" s="11">
        <x:v>C:\Users\Nomatin\Documents\Altium\MY_LIB\MY_LIB\Datasheets\YAGEO_CC_X7R.pdf</x:v>
      </x:c>
      <x:c xmlns:x="http://schemas.openxmlformats.org/spreadsheetml/2006/main" r="W155" t="str" s="11">
        <x:v>Даташит — производитель</x:v>
      </x:c>
      <x:c xmlns:x="http://schemas.openxmlformats.org/spreadsheetml/2006/main" r="X155" t="str" s="11">
        <x:v>https://yageogroup.com/content/datasheet/asset/file/UPY-GPHC_X7R_6_3V-TO-250V</x:v>
      </x:c>
      <x:c xmlns:x="http://schemas.openxmlformats.org/spreadsheetml/2006/main" r="Y155" t="str" s="11">
        <x:v>C:\Users\Nomatin\Documents\Altium\MY_LIB\MY_LIB\Datasheets\YAGEO_CC_X7R.pdf</x:v>
      </x:c>
    </ns0:row>
    <ns0:row r="156" ht="30" customHeight="1">
      <ns0:c r="A156" t="str" s="14">
        <ns0:v>C0157</ns0:v>
      </ns0:c>
      <ns0:c r="B156" t="str" s="14">
        <ns0:v>Конденсатор</ns0:v>
      </ns0:c>
      <ns0:c r="C156" t="str" s="14">
        <ns0:v>1.5n</ns0:v>
      </ns0:c>
      <ns0:c r="D156" t="str" s="11">
        <ns0:f>SUBSTITUTE(SUBSTITUTE(SUBSTITUTE(SUBSTITUTE(C156,"p"," пФ"),"n"," нФ"),"u"," мкФ"),".",",")</ns0:f>
        <ns0:v>1,5 нФ</ns0:v>
      </ns0:c>
      <ns0:c r="E156" t="str" s="14">
        <ns0:v>±5%</ns0:v>
      </ns0:c>
      <ns0:c r="F156" s="14"/>
      <ns0:c r="G156" t="str" s="14">
        <ns0:v>100 В</ns0:v>
      </ns0:c>
      <ns0:c r="H156" t="str" s="14">
        <ns0:v>X7R</ns0:v>
      </ns0:c>
      <ns0:c r="I156" t="str" s="15">
        <ns0:v>0603</ns0:v>
      </ns0:c>
      <ns0:c r="J156" t="str" s="14">
        <ns0:v>YAGEO</ns0:v>
      </ns0:c>
      <ns0:c r="K156" t="str" s="14">
        <ns0:v>CC0603JRX7R0BB152</ns0:v>
      </ns0:c>
      <ns0:c r="L156" t="str" s="11">
        <ns0:f>B156&amp;" "&amp;D156&amp;" "&amp;E156&amp;" "&amp;G156&amp;" "&amp;H156&amp;" "&amp;I156</ns0:f>
        <ns0:v>Конденсатор 1,5 нФ ±5% 100 В X7R 0603</ns0:v>
      </ns0:c>
      <ns0:c r="M156" t="str" s="13">
        <ns0:v>C</ns0:v>
      </ns0:c>
      <ns0:c r="N156" t="str" s="13">
        <ns0:v>Symbols\MY_LIB_Capacitors.SchLib</ns0:v>
      </ns0:c>
      <ns0:c r="O156" t="str" s="13">
        <ns0:v>CAPC1608X90N</ns0:v>
      </ns0:c>
      <ns0:c r="P156" t="str" s="13">
        <ns0:v>Footprints\PBL - SMD Packages.PcbLib</ns0:v>
      </ns0:c>
      <ns0:c r="Q156" t="str" s="14">
        <ns0:v>YAGEO CC; список 20.10.2026</ns0:v>
      </ns0:c>
      <ns0:c r="R156" t="str" s="11">
        <ns0:f>D156</ns0:f>
        <ns0:v>1,5 нФ</ns0:v>
      </ns0:c>
      <ns0:c r="S156" t="str" s="11">
        <ns0:f>L156</ns0:f>
        <ns0:v>Конденсатор 1,5 нФ ±5% 100 В X7R 0603</ns0:v>
      </ns0:c>
      <x:c xmlns:x="http://schemas.openxmlformats.org/spreadsheetml/2006/main" r="T156" t="str" s="11">
        <x:v>C:\Users\Nomatin\Documents\Altium\MY_LIB\MY_LIB\Datasheets\YAGEO_CC_X7R.pdf</x:v>
      </x:c>
      <x:c xmlns:x="http://schemas.openxmlformats.org/spreadsheetml/2006/main" r="U156" t="str" s="11">
        <x:v>Даташит — локальный</x:v>
      </x:c>
      <x:c xmlns:x="http://schemas.openxmlformats.org/spreadsheetml/2006/main" r="V156" t="str" s="11">
        <x:v>C:\Users\Nomatin\Documents\Altium\MY_LIB\MY_LIB\Datasheets\YAGEO_CC_X7R.pdf</x:v>
      </x:c>
      <x:c xmlns:x="http://schemas.openxmlformats.org/spreadsheetml/2006/main" r="W156" t="str" s="11">
        <x:v>Даташит — производитель</x:v>
      </x:c>
      <x:c xmlns:x="http://schemas.openxmlformats.org/spreadsheetml/2006/main" r="X156" t="str" s="11">
        <x:v>https://yageogroup.com/content/datasheet/asset/file/UPY-GPHC_X7R_6_3V-TO-250V</x:v>
      </x:c>
      <x:c xmlns:x="http://schemas.openxmlformats.org/spreadsheetml/2006/main" r="Y156" t="str" s="11">
        <x:v>C:\Users\Nomatin\Documents\Altium\MY_LIB\MY_LIB\Datasheets\YAGEO_CC_X7R.pdf</x:v>
      </x:c>
    </ns0:row>
    <ns0:row r="157" ht="30" customHeight="1">
      <ns0:c r="A157" t="str" s="14">
        <ns0:v>C0158</ns0:v>
      </ns0:c>
      <ns0:c r="B157" t="str" s="14">
        <ns0:v>Конденсатор</ns0:v>
      </ns0:c>
      <ns0:c r="C157" t="str" s="14">
        <ns0:v>1.8n</ns0:v>
      </ns0:c>
      <ns0:c r="D157" t="str" s="11">
        <ns0:f>SUBSTITUTE(SUBSTITUTE(SUBSTITUTE(SUBSTITUTE(C157,"p"," пФ"),"n"," нФ"),"u"," мкФ"),".",",")</ns0:f>
        <ns0:v>1,8 нФ</ns0:v>
      </ns0:c>
      <ns0:c r="E157" t="str" s="14">
        <ns0:v>±5%</ns0:v>
      </ns0:c>
      <ns0:c r="F157" s="14"/>
      <ns0:c r="G157" t="str" s="14">
        <ns0:v>100 В</ns0:v>
      </ns0:c>
      <ns0:c r="H157" t="str" s="14">
        <ns0:v>X7R</ns0:v>
      </ns0:c>
      <ns0:c r="I157" t="str" s="15">
        <ns0:v>0603</ns0:v>
      </ns0:c>
      <ns0:c r="J157" t="str" s="14">
        <ns0:v>YAGEO</ns0:v>
      </ns0:c>
      <ns0:c r="K157" t="str" s="14">
        <ns0:v>CC0603JRX7R0BB182</ns0:v>
      </ns0:c>
      <ns0:c r="L157" t="str" s="11">
        <ns0:f>B157&amp;" "&amp;D157&amp;" "&amp;E157&amp;" "&amp;G157&amp;" "&amp;H157&amp;" "&amp;I157</ns0:f>
        <ns0:v>Конденсатор 1,8 нФ ±5% 100 В X7R 0603</ns0:v>
      </ns0:c>
      <ns0:c r="M157" t="str" s="13">
        <ns0:v>C</ns0:v>
      </ns0:c>
      <ns0:c r="N157" t="str" s="13">
        <ns0:v>Symbols\MY_LIB_Capacitors.SchLib</ns0:v>
      </ns0:c>
      <ns0:c r="O157" t="str" s="13">
        <ns0:v>CAPC1608X90N</ns0:v>
      </ns0:c>
      <ns0:c r="P157" t="str" s="13">
        <ns0:v>Footprints\PBL - SMD Packages.PcbLib</ns0:v>
      </ns0:c>
      <ns0:c r="Q157" t="str" s="14">
        <ns0:v>YAGEO CC; список 20.10.2026</ns0:v>
      </ns0:c>
      <ns0:c r="R157" t="str" s="11">
        <ns0:f>D157</ns0:f>
        <ns0:v>1,8 нФ</ns0:v>
      </ns0:c>
      <ns0:c r="S157" t="str" s="11">
        <ns0:f>L157</ns0:f>
        <ns0:v>Конденсатор 1,8 нФ ±5% 100 В X7R 0603</ns0:v>
      </ns0:c>
      <x:c xmlns:x="http://schemas.openxmlformats.org/spreadsheetml/2006/main" r="T157" t="str" s="11">
        <x:v>C:\Users\Nomatin\Documents\Altium\MY_LIB\MY_LIB\Datasheets\YAGEO_CC_X7R.pdf</x:v>
      </x:c>
      <x:c xmlns:x="http://schemas.openxmlformats.org/spreadsheetml/2006/main" r="U157" t="str" s="11">
        <x:v>Даташит — локальный</x:v>
      </x:c>
      <x:c xmlns:x="http://schemas.openxmlformats.org/spreadsheetml/2006/main" r="V157" t="str" s="11">
        <x:v>C:\Users\Nomatin\Documents\Altium\MY_LIB\MY_LIB\Datasheets\YAGEO_CC_X7R.pdf</x:v>
      </x:c>
      <x:c xmlns:x="http://schemas.openxmlformats.org/spreadsheetml/2006/main" r="W157" t="str" s="11">
        <x:v>Даташит — производитель</x:v>
      </x:c>
      <x:c xmlns:x="http://schemas.openxmlformats.org/spreadsheetml/2006/main" r="X157" t="str" s="11">
        <x:v>https://yageogroup.com/content/datasheet/asset/file/UPY-GPHC_X7R_6_3V-TO-250V</x:v>
      </x:c>
      <x:c xmlns:x="http://schemas.openxmlformats.org/spreadsheetml/2006/main" r="Y157" t="str" s="11">
        <x:v>C:\Users\Nomatin\Documents\Altium\MY_LIB\MY_LIB\Datasheets\YAGEO_CC_X7R.pdf</x:v>
      </x:c>
    </ns0:row>
    <ns0:row r="158" ht="30" customHeight="1">
      <ns0:c r="A158" t="str" s="14">
        <ns0:v>C0159</ns0:v>
      </ns0:c>
      <ns0:c r="B158" t="str" s="14">
        <ns0:v>Конденсатор</ns0:v>
      </ns0:c>
      <ns0:c r="C158" t="str" s="14">
        <ns0:v>2.2n</ns0:v>
      </ns0:c>
      <ns0:c r="D158" t="str" s="11">
        <ns0:f>SUBSTITUTE(SUBSTITUTE(SUBSTITUTE(SUBSTITUTE(C158,"p"," пФ"),"n"," нФ"),"u"," мкФ"),".",",")</ns0:f>
        <ns0:v>2,2 нФ</ns0:v>
      </ns0:c>
      <ns0:c r="E158" t="str" s="14">
        <ns0:v>±5%</ns0:v>
      </ns0:c>
      <ns0:c r="F158" s="14"/>
      <ns0:c r="G158" t="str" s="14">
        <ns0:v>100 В</ns0:v>
      </ns0:c>
      <ns0:c r="H158" t="str" s="14">
        <ns0:v>X7R</ns0:v>
      </ns0:c>
      <ns0:c r="I158" t="str" s="15">
        <ns0:v>0603</ns0:v>
      </ns0:c>
      <ns0:c r="J158" t="str" s="14">
        <ns0:v>YAGEO</ns0:v>
      </ns0:c>
      <ns0:c r="K158" t="str" s="14">
        <ns0:v>CC0603JRX7R0BB222</ns0:v>
      </ns0:c>
      <ns0:c r="L158" t="str" s="11">
        <ns0:f>B158&amp;" "&amp;D158&amp;" "&amp;E158&amp;" "&amp;G158&amp;" "&amp;H158&amp;" "&amp;I158</ns0:f>
        <ns0:v>Конденсатор 2,2 нФ ±5% 100 В X7R 0603</ns0:v>
      </ns0:c>
      <ns0:c r="M158" t="str" s="13">
        <ns0:v>C</ns0:v>
      </ns0:c>
      <ns0:c r="N158" t="str" s="13">
        <ns0:v>Symbols\MY_LIB_Capacitors.SchLib</ns0:v>
      </ns0:c>
      <ns0:c r="O158" t="str" s="13">
        <ns0:v>CAPC1608X90N</ns0:v>
      </ns0:c>
      <ns0:c r="P158" t="str" s="13">
        <ns0:v>Footprints\PBL - SMD Packages.PcbLib</ns0:v>
      </ns0:c>
      <ns0:c r="Q158" t="str" s="14">
        <ns0:v>YAGEO CC; список 20.10.2026</ns0:v>
      </ns0:c>
      <ns0:c r="R158" t="str" s="11">
        <ns0:f>D158</ns0:f>
        <ns0:v>2,2 нФ</ns0:v>
      </ns0:c>
      <ns0:c r="S158" t="str" s="11">
        <ns0:f>L158</ns0:f>
        <ns0:v>Конденсатор 2,2 нФ ±5% 100 В X7R 0603</ns0:v>
      </ns0:c>
      <x:c xmlns:x="http://schemas.openxmlformats.org/spreadsheetml/2006/main" r="T158" t="str" s="11">
        <x:v>C:\Users\Nomatin\Documents\Altium\MY_LIB\MY_LIB\Datasheets\YAGEO_CC_X7R.pdf</x:v>
      </x:c>
      <x:c xmlns:x="http://schemas.openxmlformats.org/spreadsheetml/2006/main" r="U158" t="str" s="11">
        <x:v>Даташит — локальный</x:v>
      </x:c>
      <x:c xmlns:x="http://schemas.openxmlformats.org/spreadsheetml/2006/main" r="V158" t="str" s="11">
        <x:v>C:\Users\Nomatin\Documents\Altium\MY_LIB\MY_LIB\Datasheets\YAGEO_CC_X7R.pdf</x:v>
      </x:c>
      <x:c xmlns:x="http://schemas.openxmlformats.org/spreadsheetml/2006/main" r="W158" t="str" s="11">
        <x:v>Даташит — производитель</x:v>
      </x:c>
      <x:c xmlns:x="http://schemas.openxmlformats.org/spreadsheetml/2006/main" r="X158" t="str" s="11">
        <x:v>https://yageogroup.com/content/datasheet/asset/file/UPY-GPHC_X7R_6_3V-TO-250V</x:v>
      </x:c>
      <x:c xmlns:x="http://schemas.openxmlformats.org/spreadsheetml/2006/main" r="Y158" t="str" s="11">
        <x:v>C:\Users\Nomatin\Documents\Altium\MY_LIB\MY_LIB\Datasheets\YAGEO_CC_X7R.pdf</x:v>
      </x:c>
    </ns0:row>
    <ns0:row r="159" ht="30" customHeight="1">
      <ns0:c r="A159" t="str" s="14">
        <ns0:v>C0160</ns0:v>
      </ns0:c>
      <ns0:c r="B159" t="str" s="14">
        <ns0:v>Конденсатор</ns0:v>
      </ns0:c>
      <ns0:c r="C159" t="str" s="14">
        <ns0:v>2.7n</ns0:v>
      </ns0:c>
      <ns0:c r="D159" t="str" s="11">
        <ns0:f>SUBSTITUTE(SUBSTITUTE(SUBSTITUTE(SUBSTITUTE(C159,"p"," пФ"),"n"," нФ"),"u"," мкФ"),".",",")</ns0:f>
        <ns0:v>2,7 нФ</ns0:v>
      </ns0:c>
      <ns0:c r="E159" t="str" s="14">
        <ns0:v>±5%</ns0:v>
      </ns0:c>
      <ns0:c r="F159" s="14"/>
      <ns0:c r="G159" t="str" s="14">
        <ns0:v>50 В</ns0:v>
      </ns0:c>
      <ns0:c r="H159" t="str" s="14">
        <ns0:v>X7R</ns0:v>
      </ns0:c>
      <ns0:c r="I159" t="str" s="15">
        <ns0:v>0603</ns0:v>
      </ns0:c>
      <ns0:c r="J159" t="str" s="14">
        <ns0:v>YAGEO</ns0:v>
      </ns0:c>
      <ns0:c r="K159" t="str" s="14">
        <ns0:v>CC0603JRX7R9BB272</ns0:v>
      </ns0:c>
      <ns0:c r="L159" t="str" s="11">
        <ns0:f>B159&amp;" "&amp;D159&amp;" "&amp;E159&amp;" "&amp;G159&amp;" "&amp;H159&amp;" "&amp;I159</ns0:f>
        <ns0:v>Конденсатор 2,7 нФ ±5% 50 В X7R 0603</ns0:v>
      </ns0:c>
      <ns0:c r="M159" t="str" s="13">
        <ns0:v>C</ns0:v>
      </ns0:c>
      <ns0:c r="N159" t="str" s="13">
        <ns0:v>Symbols\MY_LIB_Capacitors.SchLib</ns0:v>
      </ns0:c>
      <ns0:c r="O159" t="str" s="13">
        <ns0:v>CAPC1608X90N</ns0:v>
      </ns0:c>
      <ns0:c r="P159" t="str" s="13">
        <ns0:v>Footprints\PBL - SMD Packages.PcbLib</ns0:v>
      </ns0:c>
      <ns0:c r="Q159" t="str" s="14">
        <ns0:v>YAGEO CC; список 20.10.2026</ns0:v>
      </ns0:c>
      <ns0:c r="R159" t="str" s="11">
        <ns0:f>D159</ns0:f>
        <ns0:v>2,7 нФ</ns0:v>
      </ns0:c>
      <ns0:c r="S159" t="str" s="11">
        <ns0:f>L159</ns0:f>
        <ns0:v>Конденсатор 2,7 нФ ±5% 50 В X7R 0603</ns0:v>
      </ns0:c>
      <x:c xmlns:x="http://schemas.openxmlformats.org/spreadsheetml/2006/main" r="T159" t="str" s="11">
        <x:v>C:\Users\Nomatin\Documents\Altium\MY_LIB\MY_LIB\Datasheets\YAGEO_CC_X7R.pdf</x:v>
      </x:c>
      <x:c xmlns:x="http://schemas.openxmlformats.org/spreadsheetml/2006/main" r="U159" t="str" s="11">
        <x:v>Даташит — локальный</x:v>
      </x:c>
      <x:c xmlns:x="http://schemas.openxmlformats.org/spreadsheetml/2006/main" r="V159" t="str" s="11">
        <x:v>C:\Users\Nomatin\Documents\Altium\MY_LIB\MY_LIB\Datasheets\YAGEO_CC_X7R.pdf</x:v>
      </x:c>
      <x:c xmlns:x="http://schemas.openxmlformats.org/spreadsheetml/2006/main" r="W159" t="str" s="11">
        <x:v>Даташит — производитель</x:v>
      </x:c>
      <x:c xmlns:x="http://schemas.openxmlformats.org/spreadsheetml/2006/main" r="X159" t="str" s="11">
        <x:v>https://yageogroup.com/content/datasheet/asset/file/UPY-GPHC_X7R_6_3V-TO-250V</x:v>
      </x:c>
      <x:c xmlns:x="http://schemas.openxmlformats.org/spreadsheetml/2006/main" r="Y159" t="str" s="11">
        <x:v>C:\Users\Nomatin\Documents\Altium\MY_LIB\MY_LIB\Datasheets\YAGEO_CC_X7R.pdf</x:v>
      </x:c>
    </ns0:row>
    <ns0:row r="160" ht="30" customHeight="1">
      <ns0:c r="A160" t="str" s="14">
        <ns0:v>C0161</ns0:v>
      </ns0:c>
      <ns0:c r="B160" t="str" s="14">
        <ns0:v>Конденсатор</ns0:v>
      </ns0:c>
      <ns0:c r="C160" t="str" s="14">
        <ns0:v>3.3n</ns0:v>
      </ns0:c>
      <ns0:c r="D160" t="str" s="11">
        <ns0:f>SUBSTITUTE(SUBSTITUTE(SUBSTITUTE(SUBSTITUTE(C160,"p"," пФ"),"n"," нФ"),"u"," мкФ"),".",",")</ns0:f>
        <ns0:v>3,3 нФ</ns0:v>
      </ns0:c>
      <ns0:c r="E160" t="str" s="14">
        <ns0:v>±5%</ns0:v>
      </ns0:c>
      <ns0:c r="F160" s="14"/>
      <ns0:c r="G160" t="str" s="14">
        <ns0:v>100 В</ns0:v>
      </ns0:c>
      <ns0:c r="H160" t="str" s="14">
        <ns0:v>X7R</ns0:v>
      </ns0:c>
      <ns0:c r="I160" t="str" s="15">
        <ns0:v>0603</ns0:v>
      </ns0:c>
      <ns0:c r="J160" t="str" s="14">
        <ns0:v>YAGEO</ns0:v>
      </ns0:c>
      <ns0:c r="K160" t="str" s="14">
        <ns0:v>CC0603JRX7R0BB332</ns0:v>
      </ns0:c>
      <ns0:c r="L160" t="str" s="11">
        <ns0:f>B160&amp;" "&amp;D160&amp;" "&amp;E160&amp;" "&amp;G160&amp;" "&amp;H160&amp;" "&amp;I160</ns0:f>
        <ns0:v>Конденсатор 3,3 нФ ±5% 100 В X7R 0603</ns0:v>
      </ns0:c>
      <ns0:c r="M160" t="str" s="13">
        <ns0:v>C</ns0:v>
      </ns0:c>
      <ns0:c r="N160" t="str" s="13">
        <ns0:v>Symbols\MY_LIB_Capacitors.SchLib</ns0:v>
      </ns0:c>
      <ns0:c r="O160" t="str" s="13">
        <ns0:v>CAPC1608X90N</ns0:v>
      </ns0:c>
      <ns0:c r="P160" t="str" s="13">
        <ns0:v>Footprints\PBL - SMD Packages.PcbLib</ns0:v>
      </ns0:c>
      <ns0:c r="Q160" t="str" s="14">
        <ns0:v>YAGEO CC; список 20.10.2026</ns0:v>
      </ns0:c>
      <ns0:c r="R160" t="str" s="11">
        <ns0:f>D160</ns0:f>
        <ns0:v>3,3 нФ</ns0:v>
      </ns0:c>
      <ns0:c r="S160" t="str" s="11">
        <ns0:f>L160</ns0:f>
        <ns0:v>Конденсатор 3,3 нФ ±5% 100 В X7R 0603</ns0:v>
      </ns0:c>
      <x:c xmlns:x="http://schemas.openxmlformats.org/spreadsheetml/2006/main" r="T160" t="str" s="11">
        <x:v>C:\Users\Nomatin\Documents\Altium\MY_LIB\MY_LIB\Datasheets\YAGEO_CC_X7R.pdf</x:v>
      </x:c>
      <x:c xmlns:x="http://schemas.openxmlformats.org/spreadsheetml/2006/main" r="U160" t="str" s="11">
        <x:v>Даташит — локальный</x:v>
      </x:c>
      <x:c xmlns:x="http://schemas.openxmlformats.org/spreadsheetml/2006/main" r="V160" t="str" s="11">
        <x:v>C:\Users\Nomatin\Documents\Altium\MY_LIB\MY_LIB\Datasheets\YAGEO_CC_X7R.pdf</x:v>
      </x:c>
      <x:c xmlns:x="http://schemas.openxmlformats.org/spreadsheetml/2006/main" r="W160" t="str" s="11">
        <x:v>Даташит — производитель</x:v>
      </x:c>
      <x:c xmlns:x="http://schemas.openxmlformats.org/spreadsheetml/2006/main" r="X160" t="str" s="11">
        <x:v>https://yageogroup.com/content/datasheet/asset/file/UPY-GPHC_X7R_6_3V-TO-250V</x:v>
      </x:c>
      <x:c xmlns:x="http://schemas.openxmlformats.org/spreadsheetml/2006/main" r="Y160" t="str" s="11">
        <x:v>C:\Users\Nomatin\Documents\Altium\MY_LIB\MY_LIB\Datasheets\YAGEO_CC_X7R.pdf</x:v>
      </x:c>
    </ns0:row>
    <ns0:row r="161" ht="30" customHeight="1">
      <ns0:c r="A161" t="str" s="14">
        <ns0:v>C0162</ns0:v>
      </ns0:c>
      <ns0:c r="B161" t="str" s="14">
        <ns0:v>Конденсатор</ns0:v>
      </ns0:c>
      <ns0:c r="C161" t="str" s="14">
        <ns0:v>3.9n</ns0:v>
      </ns0:c>
      <ns0:c r="D161" t="str" s="11">
        <ns0:f>SUBSTITUTE(SUBSTITUTE(SUBSTITUTE(SUBSTITUTE(C161,"p"," пФ"),"n"," нФ"),"u"," мкФ"),".",",")</ns0:f>
        <ns0:v>3,9 нФ</ns0:v>
      </ns0:c>
      <ns0:c r="E161" t="str" s="14">
        <ns0:v>±5%</ns0:v>
      </ns0:c>
      <ns0:c r="F161" s="14"/>
      <ns0:c r="G161" t="str" s="14">
        <ns0:v>100 В</ns0:v>
      </ns0:c>
      <ns0:c r="H161" t="str" s="14">
        <ns0:v>X7R</ns0:v>
      </ns0:c>
      <ns0:c r="I161" t="str" s="15">
        <ns0:v>0603</ns0:v>
      </ns0:c>
      <ns0:c r="J161" t="str" s="14">
        <ns0:v>YAGEO</ns0:v>
      </ns0:c>
      <ns0:c r="K161" t="str" s="14">
        <ns0:v>CC0603JRX7R0BB392</ns0:v>
      </ns0:c>
      <ns0:c r="L161" t="str" s="11">
        <ns0:f>B161&amp;" "&amp;D161&amp;" "&amp;E161&amp;" "&amp;G161&amp;" "&amp;H161&amp;" "&amp;I161</ns0:f>
        <ns0:v>Конденсатор 3,9 нФ ±5% 100 В X7R 0603</ns0:v>
      </ns0:c>
      <ns0:c r="M161" t="str" s="13">
        <ns0:v>C</ns0:v>
      </ns0:c>
      <ns0:c r="N161" t="str" s="13">
        <ns0:v>Symbols\MY_LIB_Capacitors.SchLib</ns0:v>
      </ns0:c>
      <ns0:c r="O161" t="str" s="13">
        <ns0:v>CAPC1608X90N</ns0:v>
      </ns0:c>
      <ns0:c r="P161" t="str" s="13">
        <ns0:v>Footprints\PBL - SMD Packages.PcbLib</ns0:v>
      </ns0:c>
      <ns0:c r="Q161" t="str" s="14">
        <ns0:v>YAGEO CC; список 20.10.2026</ns0:v>
      </ns0:c>
      <ns0:c r="R161" t="str" s="11">
        <ns0:f>D161</ns0:f>
        <ns0:v>3,9 нФ</ns0:v>
      </ns0:c>
      <ns0:c r="S161" t="str" s="11">
        <ns0:f>L161</ns0:f>
        <ns0:v>Конденсатор 3,9 нФ ±5% 100 В X7R 0603</ns0:v>
      </ns0:c>
      <x:c xmlns:x="http://schemas.openxmlformats.org/spreadsheetml/2006/main" r="T161" t="str" s="11">
        <x:v>C:\Users\Nomatin\Documents\Altium\MY_LIB\MY_LIB\Datasheets\YAGEO_CC_X7R.pdf</x:v>
      </x:c>
      <x:c xmlns:x="http://schemas.openxmlformats.org/spreadsheetml/2006/main" r="U161" t="str" s="11">
        <x:v>Даташит — локальный</x:v>
      </x:c>
      <x:c xmlns:x="http://schemas.openxmlformats.org/spreadsheetml/2006/main" r="V161" t="str" s="11">
        <x:v>C:\Users\Nomatin\Documents\Altium\MY_LIB\MY_LIB\Datasheets\YAGEO_CC_X7R.pdf</x:v>
      </x:c>
      <x:c xmlns:x="http://schemas.openxmlformats.org/spreadsheetml/2006/main" r="W161" t="str" s="11">
        <x:v>Даташит — производитель</x:v>
      </x:c>
      <x:c xmlns:x="http://schemas.openxmlformats.org/spreadsheetml/2006/main" r="X161" t="str" s="11">
        <x:v>https://yageogroup.com/content/datasheet/asset/file/UPY-GPHC_X7R_6_3V-TO-250V</x:v>
      </x:c>
      <x:c xmlns:x="http://schemas.openxmlformats.org/spreadsheetml/2006/main" r="Y161" t="str" s="11">
        <x:v>C:\Users\Nomatin\Documents\Altium\MY_LIB\MY_LIB\Datasheets\YAGEO_CC_X7R.pdf</x:v>
      </x:c>
    </ns0:row>
    <ns0:row r="162" ht="30" customHeight="1">
      <ns0:c r="A162" t="str" s="14">
        <ns0:v>C0163</ns0:v>
      </ns0:c>
      <ns0:c r="B162" t="str" s="14">
        <ns0:v>Конденсатор</ns0:v>
      </ns0:c>
      <ns0:c r="C162" t="str" s="14">
        <ns0:v>4.7n</ns0:v>
      </ns0:c>
      <ns0:c r="D162" t="str" s="11">
        <ns0:f>SUBSTITUTE(SUBSTITUTE(SUBSTITUTE(SUBSTITUTE(C162,"p"," пФ"),"n"," нФ"),"u"," мкФ"),".",",")</ns0:f>
        <ns0:v>4,7 нФ</ns0:v>
      </ns0:c>
      <ns0:c r="E162" t="str" s="14">
        <ns0:v>±5%</ns0:v>
      </ns0:c>
      <ns0:c r="F162" s="14"/>
      <ns0:c r="G162" t="str" s="14">
        <ns0:v>100 В</ns0:v>
      </ns0:c>
      <ns0:c r="H162" t="str" s="14">
        <ns0:v>X7R</ns0:v>
      </ns0:c>
      <ns0:c r="I162" t="str" s="15">
        <ns0:v>0603</ns0:v>
      </ns0:c>
      <ns0:c r="J162" t="str" s="14">
        <ns0:v>YAGEO</ns0:v>
      </ns0:c>
      <ns0:c r="K162" t="str" s="14">
        <ns0:v>CC0603JRX7R0BB472</ns0:v>
      </ns0:c>
      <ns0:c r="L162" t="str" s="11">
        <ns0:f>B162&amp;" "&amp;D162&amp;" "&amp;E162&amp;" "&amp;G162&amp;" "&amp;H162&amp;" "&amp;I162</ns0:f>
        <ns0:v>Конденсатор 4,7 нФ ±5% 100 В X7R 0603</ns0:v>
      </ns0:c>
      <ns0:c r="M162" t="str" s="13">
        <ns0:v>C</ns0:v>
      </ns0:c>
      <ns0:c r="N162" t="str" s="13">
        <ns0:v>Symbols\MY_LIB_Capacitors.SchLib</ns0:v>
      </ns0:c>
      <ns0:c r="O162" t="str" s="13">
        <ns0:v>CAPC1608X90N</ns0:v>
      </ns0:c>
      <ns0:c r="P162" t="str" s="13">
        <ns0:v>Footprints\PBL - SMD Packages.PcbLib</ns0:v>
      </ns0:c>
      <ns0:c r="Q162" t="str" s="14">
        <ns0:v>YAGEO CC; список 20.10.2026</ns0:v>
      </ns0:c>
      <ns0:c r="R162" t="str" s="11">
        <ns0:f>D162</ns0:f>
        <ns0:v>4,7 нФ</ns0:v>
      </ns0:c>
      <ns0:c r="S162" t="str" s="11">
        <ns0:f>L162</ns0:f>
        <ns0:v>Конденсатор 4,7 нФ ±5% 100 В X7R 0603</ns0:v>
      </ns0:c>
      <x:c xmlns:x="http://schemas.openxmlformats.org/spreadsheetml/2006/main" r="T162" t="str" s="11">
        <x:v>C:\Users\Nomatin\Documents\Altium\MY_LIB\MY_LIB\Datasheets\YAGEO_CC_X7R.pdf</x:v>
      </x:c>
      <x:c xmlns:x="http://schemas.openxmlformats.org/spreadsheetml/2006/main" r="U162" t="str" s="11">
        <x:v>Даташит — локальный</x:v>
      </x:c>
      <x:c xmlns:x="http://schemas.openxmlformats.org/spreadsheetml/2006/main" r="V162" t="str" s="11">
        <x:v>C:\Users\Nomatin\Documents\Altium\MY_LIB\MY_LIB\Datasheets\YAGEO_CC_X7R.pdf</x:v>
      </x:c>
      <x:c xmlns:x="http://schemas.openxmlformats.org/spreadsheetml/2006/main" r="W162" t="str" s="11">
        <x:v>Даташит — производитель</x:v>
      </x:c>
      <x:c xmlns:x="http://schemas.openxmlformats.org/spreadsheetml/2006/main" r="X162" t="str" s="11">
        <x:v>https://yageogroup.com/content/datasheet/asset/file/UPY-GPHC_X7R_6_3V-TO-250V</x:v>
      </x:c>
      <x:c xmlns:x="http://schemas.openxmlformats.org/spreadsheetml/2006/main" r="Y162" t="str" s="11">
        <x:v>C:\Users\Nomatin\Documents\Altium\MY_LIB\MY_LIB\Datasheets\YAGEO_CC_X7R.pdf</x:v>
      </x:c>
    </ns0:row>
    <ns0:row r="163" ht="30" customHeight="1">
      <ns0:c r="A163" t="str" s="14">
        <ns0:v>C0164</ns0:v>
      </ns0:c>
      <ns0:c r="B163" t="str" s="14">
        <ns0:v>Конденсатор</ns0:v>
      </ns0:c>
      <ns0:c r="C163" t="str" s="14">
        <ns0:v>5.6n</ns0:v>
      </ns0:c>
      <ns0:c r="D163" t="str" s="11">
        <ns0:f>SUBSTITUTE(SUBSTITUTE(SUBSTITUTE(SUBSTITUTE(C163,"p"," пФ"),"n"," нФ"),"u"," мкФ"),".",",")</ns0:f>
        <ns0:v>5,6 нФ</ns0:v>
      </ns0:c>
      <ns0:c r="E163" t="str" s="14">
        <ns0:v>±5%</ns0:v>
      </ns0:c>
      <ns0:c r="F163" s="14"/>
      <ns0:c r="G163" t="str" s="14">
        <ns0:v>50 В</ns0:v>
      </ns0:c>
      <ns0:c r="H163" t="str" s="14">
        <ns0:v>X7R</ns0:v>
      </ns0:c>
      <ns0:c r="I163" t="str" s="15">
        <ns0:v>0603</ns0:v>
      </ns0:c>
      <ns0:c r="J163" t="str" s="14">
        <ns0:v>YAGEO</ns0:v>
      </ns0:c>
      <ns0:c r="K163" t="str" s="14">
        <ns0:v>CC0603JRX7R9BB562</ns0:v>
      </ns0:c>
      <ns0:c r="L163" t="str" s="11">
        <ns0:f>B163&amp;" "&amp;D163&amp;" "&amp;E163&amp;" "&amp;G163&amp;" "&amp;H163&amp;" "&amp;I163</ns0:f>
        <ns0:v>Конденсатор 5,6 нФ ±5% 50 В X7R 0603</ns0:v>
      </ns0:c>
      <ns0:c r="M163" t="str" s="13">
        <ns0:v>C</ns0:v>
      </ns0:c>
      <ns0:c r="N163" t="str" s="13">
        <ns0:v>Symbols\MY_LIB_Capacitors.SchLib</ns0:v>
      </ns0:c>
      <ns0:c r="O163" t="str" s="13">
        <ns0:v>CAPC1608X90N</ns0:v>
      </ns0:c>
      <ns0:c r="P163" t="str" s="13">
        <ns0:v>Footprints\PBL - SMD Packages.PcbLib</ns0:v>
      </ns0:c>
      <ns0:c r="Q163" t="str" s="14">
        <ns0:v>YAGEO CC; список 20.10.2026</ns0:v>
      </ns0:c>
      <ns0:c r="R163" t="str" s="11">
        <ns0:f>D163</ns0:f>
        <ns0:v>5,6 нФ</ns0:v>
      </ns0:c>
      <ns0:c r="S163" t="str" s="11">
        <ns0:f>L163</ns0:f>
        <ns0:v>Конденсатор 5,6 нФ ±5% 50 В X7R 0603</ns0:v>
      </ns0:c>
      <x:c xmlns:x="http://schemas.openxmlformats.org/spreadsheetml/2006/main" r="T163" t="str" s="11">
        <x:v>C:\Users\Nomatin\Documents\Altium\MY_LIB\MY_LIB\Datasheets\YAGEO_CC_X7R.pdf</x:v>
      </x:c>
      <x:c xmlns:x="http://schemas.openxmlformats.org/spreadsheetml/2006/main" r="U163" t="str" s="11">
        <x:v>Даташит — локальный</x:v>
      </x:c>
      <x:c xmlns:x="http://schemas.openxmlformats.org/spreadsheetml/2006/main" r="V163" t="str" s="11">
        <x:v>C:\Users\Nomatin\Documents\Altium\MY_LIB\MY_LIB\Datasheets\YAGEO_CC_X7R.pdf</x:v>
      </x:c>
      <x:c xmlns:x="http://schemas.openxmlformats.org/spreadsheetml/2006/main" r="W163" t="str" s="11">
        <x:v>Даташит — производитель</x:v>
      </x:c>
      <x:c xmlns:x="http://schemas.openxmlformats.org/spreadsheetml/2006/main" r="X163" t="str" s="11">
        <x:v>https://yageogroup.com/content/datasheet/asset/file/UPY-GPHC_X7R_6_3V-TO-250V</x:v>
      </x:c>
      <x:c xmlns:x="http://schemas.openxmlformats.org/spreadsheetml/2006/main" r="Y163" t="str" s="11">
        <x:v>C:\Users\Nomatin\Documents\Altium\MY_LIB\MY_LIB\Datasheets\YAGEO_CC_X7R.pdf</x:v>
      </x:c>
    </ns0:row>
    <ns0:row r="164" ht="30" customHeight="1">
      <ns0:c r="A164" t="str" s="14">
        <ns0:v>C0165</ns0:v>
      </ns0:c>
      <ns0:c r="B164" t="str" s="14">
        <ns0:v>Конденсатор</ns0:v>
      </ns0:c>
      <ns0:c r="C164" t="str" s="14">
        <ns0:v>6.8n</ns0:v>
      </ns0:c>
      <ns0:c r="D164" t="str" s="11">
        <ns0:f>SUBSTITUTE(SUBSTITUTE(SUBSTITUTE(SUBSTITUTE(C164,"p"," пФ"),"n"," нФ"),"u"," мкФ"),".",",")</ns0:f>
        <ns0:v>6,8 нФ</ns0:v>
      </ns0:c>
      <ns0:c r="E164" t="str" s="14">
        <ns0:v>±5%</ns0:v>
      </ns0:c>
      <ns0:c r="F164" s="14"/>
      <ns0:c r="G164" t="str" s="14">
        <ns0:v>100 В</ns0:v>
      </ns0:c>
      <ns0:c r="H164" t="str" s="14">
        <ns0:v>X7R</ns0:v>
      </ns0:c>
      <ns0:c r="I164" t="str" s="15">
        <ns0:v>0603</ns0:v>
      </ns0:c>
      <ns0:c r="J164" t="str" s="14">
        <ns0:v>YAGEO</ns0:v>
      </ns0:c>
      <ns0:c r="K164" t="str" s="14">
        <ns0:v>CC0603JRX7R0BB682</ns0:v>
      </ns0:c>
      <ns0:c r="L164" t="str" s="11">
        <ns0:f>B164&amp;" "&amp;D164&amp;" "&amp;E164&amp;" "&amp;G164&amp;" "&amp;H164&amp;" "&amp;I164</ns0:f>
        <ns0:v>Конденсатор 6,8 нФ ±5% 100 В X7R 0603</ns0:v>
      </ns0:c>
      <ns0:c r="M164" t="str" s="13">
        <ns0:v>C</ns0:v>
      </ns0:c>
      <ns0:c r="N164" t="str" s="13">
        <ns0:v>Symbols\MY_LIB_Capacitors.SchLib</ns0:v>
      </ns0:c>
      <ns0:c r="O164" t="str" s="13">
        <ns0:v>CAPC1608X90N</ns0:v>
      </ns0:c>
      <ns0:c r="P164" t="str" s="13">
        <ns0:v>Footprints\PBL - SMD Packages.PcbLib</ns0:v>
      </ns0:c>
      <ns0:c r="Q164" t="str" s="14">
        <ns0:v>YAGEO CC; список 20.10.2026</ns0:v>
      </ns0:c>
      <ns0:c r="R164" t="str" s="11">
        <ns0:f>D164</ns0:f>
        <ns0:v>6,8 нФ</ns0:v>
      </ns0:c>
      <ns0:c r="S164" t="str" s="11">
        <ns0:f>L164</ns0:f>
        <ns0:v>Конденсатор 6,8 нФ ±5% 100 В X7R 0603</ns0:v>
      </ns0:c>
      <x:c xmlns:x="http://schemas.openxmlformats.org/spreadsheetml/2006/main" r="T164" t="str" s="11">
        <x:v>C:\Users\Nomatin\Documents\Altium\MY_LIB\MY_LIB\Datasheets\YAGEO_CC_X7R.pdf</x:v>
      </x:c>
      <x:c xmlns:x="http://schemas.openxmlformats.org/spreadsheetml/2006/main" r="U164" t="str" s="11">
        <x:v>Даташит — локальный</x:v>
      </x:c>
      <x:c xmlns:x="http://schemas.openxmlformats.org/spreadsheetml/2006/main" r="V164" t="str" s="11">
        <x:v>C:\Users\Nomatin\Documents\Altium\MY_LIB\MY_LIB\Datasheets\YAGEO_CC_X7R.pdf</x:v>
      </x:c>
      <x:c xmlns:x="http://schemas.openxmlformats.org/spreadsheetml/2006/main" r="W164" t="str" s="11">
        <x:v>Даташит — производитель</x:v>
      </x:c>
      <x:c xmlns:x="http://schemas.openxmlformats.org/spreadsheetml/2006/main" r="X164" t="str" s="11">
        <x:v>https://yageogroup.com/content/datasheet/asset/file/UPY-GPHC_X7R_6_3V-TO-250V</x:v>
      </x:c>
      <x:c xmlns:x="http://schemas.openxmlformats.org/spreadsheetml/2006/main" r="Y164" t="str" s="11">
        <x:v>C:\Users\Nomatin\Documents\Altium\MY_LIB\MY_LIB\Datasheets\YAGEO_CC_X7R.pdf</x:v>
      </x:c>
    </ns0:row>
    <ns0:row r="165" ht="30" customHeight="1">
      <ns0:c r="A165" t="str" s="14">
        <ns0:v>C0166</ns0:v>
      </ns0:c>
      <ns0:c r="B165" t="str" s="14">
        <ns0:v>Конденсатор</ns0:v>
      </ns0:c>
      <ns0:c r="C165" t="str" s="14">
        <ns0:v>8.2n</ns0:v>
      </ns0:c>
      <ns0:c r="D165" t="str" s="11">
        <ns0:f>SUBSTITUTE(SUBSTITUTE(SUBSTITUTE(SUBSTITUTE(C165,"p"," пФ"),"n"," нФ"),"u"," мкФ"),".",",")</ns0:f>
        <ns0:v>8,2 нФ</ns0:v>
      </ns0:c>
      <ns0:c r="E165" t="str" s="14">
        <ns0:v>±5%</ns0:v>
      </ns0:c>
      <ns0:c r="F165" s="14"/>
      <ns0:c r="G165" t="str" s="14">
        <ns0:v>50 В</ns0:v>
      </ns0:c>
      <ns0:c r="H165" t="str" s="14">
        <ns0:v>X7R</ns0:v>
      </ns0:c>
      <ns0:c r="I165" t="str" s="15">
        <ns0:v>0603</ns0:v>
      </ns0:c>
      <ns0:c r="J165" t="str" s="14">
        <ns0:v>YAGEO</ns0:v>
      </ns0:c>
      <ns0:c r="K165" t="str" s="14">
        <ns0:v>CC0603JRX7R9BB822</ns0:v>
      </ns0:c>
      <ns0:c r="L165" t="str" s="11">
        <ns0:f>B165&amp;" "&amp;D165&amp;" "&amp;E165&amp;" "&amp;G165&amp;" "&amp;H165&amp;" "&amp;I165</ns0:f>
        <ns0:v>Конденсатор 8,2 нФ ±5% 50 В X7R 0603</ns0:v>
      </ns0:c>
      <ns0:c r="M165" t="str" s="13">
        <ns0:v>C</ns0:v>
      </ns0:c>
      <ns0:c r="N165" t="str" s="13">
        <ns0:v>Symbols\MY_LIB_Capacitors.SchLib</ns0:v>
      </ns0:c>
      <ns0:c r="O165" t="str" s="13">
        <ns0:v>CAPC1608X90N</ns0:v>
      </ns0:c>
      <ns0:c r="P165" t="str" s="13">
        <ns0:v>Footprints\PBL - SMD Packages.PcbLib</ns0:v>
      </ns0:c>
      <ns0:c r="Q165" t="str" s="14">
        <ns0:v>YAGEO CC; список 20.10.2026</ns0:v>
      </ns0:c>
      <ns0:c r="R165" t="str" s="11">
        <ns0:f>D165</ns0:f>
        <ns0:v>8,2 нФ</ns0:v>
      </ns0:c>
      <ns0:c r="S165" t="str" s="11">
        <ns0:f>L165</ns0:f>
        <ns0:v>Конденсатор 8,2 нФ ±5% 50 В X7R 0603</ns0:v>
      </ns0:c>
      <x:c xmlns:x="http://schemas.openxmlformats.org/spreadsheetml/2006/main" r="T165" t="str" s="11">
        <x:v>C:\Users\Nomatin\Documents\Altium\MY_LIB\MY_LIB\Datasheets\YAGEO_CC_X7R.pdf</x:v>
      </x:c>
      <x:c xmlns:x="http://schemas.openxmlformats.org/spreadsheetml/2006/main" r="U165" t="str" s="11">
        <x:v>Даташит — локальный</x:v>
      </x:c>
      <x:c xmlns:x="http://schemas.openxmlformats.org/spreadsheetml/2006/main" r="V165" t="str" s="11">
        <x:v>C:\Users\Nomatin\Documents\Altium\MY_LIB\MY_LIB\Datasheets\YAGEO_CC_X7R.pdf</x:v>
      </x:c>
      <x:c xmlns:x="http://schemas.openxmlformats.org/spreadsheetml/2006/main" r="W165" t="str" s="11">
        <x:v>Даташит — производитель</x:v>
      </x:c>
      <x:c xmlns:x="http://schemas.openxmlformats.org/spreadsheetml/2006/main" r="X165" t="str" s="11">
        <x:v>https://yageogroup.com/content/datasheet/asset/file/UPY-GPHC_X7R_6_3V-TO-250V</x:v>
      </x:c>
      <x:c xmlns:x="http://schemas.openxmlformats.org/spreadsheetml/2006/main" r="Y165" t="str" s="11">
        <x:v>C:\Users\Nomatin\Documents\Altium\MY_LIB\MY_LIB\Datasheets\YAGEO_CC_X7R.pdf</x:v>
      </x:c>
    </ns0:row>
    <ns0:row r="166" ht="30" customHeight="1">
      <ns0:c r="A166" t="str" s="14">
        <ns0:v>C0167</ns0:v>
      </ns0:c>
      <ns0:c r="B166" t="str" s="14">
        <ns0:v>Конденсатор</ns0:v>
      </ns0:c>
      <ns0:c r="C166" t="str" s="14">
        <ns0:v>10n</ns0:v>
      </ns0:c>
      <ns0:c r="D166" t="str" s="11">
        <ns0:f>SUBSTITUTE(SUBSTITUTE(SUBSTITUTE(SUBSTITUTE(C166,"p"," пФ"),"n"," нФ"),"u"," мкФ"),".",",")</ns0:f>
        <ns0:v>10 нФ</ns0:v>
      </ns0:c>
      <ns0:c r="E166" t="str" s="14">
        <ns0:v>±5%</ns0:v>
      </ns0:c>
      <ns0:c r="F166" s="14"/>
      <ns0:c r="G166" t="str" s="14">
        <ns0:v>100 В</ns0:v>
      </ns0:c>
      <ns0:c r="H166" t="str" s="14">
        <ns0:v>X7R</ns0:v>
      </ns0:c>
      <ns0:c r="I166" t="str" s="15">
        <ns0:v>0603</ns0:v>
      </ns0:c>
      <ns0:c r="J166" t="str" s="14">
        <ns0:v>YAGEO</ns0:v>
      </ns0:c>
      <ns0:c r="K166" t="str" s="14">
        <ns0:v>CC0603JRX7R0BB103</ns0:v>
      </ns0:c>
      <ns0:c r="L166" t="str" s="11">
        <ns0:f>B166&amp;" "&amp;D166&amp;" "&amp;E166&amp;" "&amp;G166&amp;" "&amp;H166&amp;" "&amp;I166</ns0:f>
        <ns0:v>Конденсатор 10 нФ ±5% 100 В X7R 0603</ns0:v>
      </ns0:c>
      <ns0:c r="M166" t="str" s="13">
        <ns0:v>C</ns0:v>
      </ns0:c>
      <ns0:c r="N166" t="str" s="13">
        <ns0:v>Symbols\MY_LIB_Capacitors.SchLib</ns0:v>
      </ns0:c>
      <ns0:c r="O166" t="str" s="13">
        <ns0:v>CAPC1608X90N</ns0:v>
      </ns0:c>
      <ns0:c r="P166" t="str" s="13">
        <ns0:v>Footprints\PBL - SMD Packages.PcbLib</ns0:v>
      </ns0:c>
      <ns0:c r="Q166" t="str" s="14">
        <ns0:v>YAGEO CC; список 20.10.2026</ns0:v>
      </ns0:c>
      <ns0:c r="R166" t="str" s="11">
        <ns0:f>D166</ns0:f>
        <ns0:v>10 нФ</ns0:v>
      </ns0:c>
      <ns0:c r="S166" t="str" s="11">
        <ns0:f>L166</ns0:f>
        <ns0:v>Конденсатор 10 нФ ±5% 100 В X7R 0603</ns0:v>
      </ns0:c>
      <x:c xmlns:x="http://schemas.openxmlformats.org/spreadsheetml/2006/main" r="T166" t="str" s="11">
        <x:v>C:\Users\Nomatin\Documents\Altium\MY_LIB\MY_LIB\Datasheets\YAGEO_CC_X7R.pdf</x:v>
      </x:c>
      <x:c xmlns:x="http://schemas.openxmlformats.org/spreadsheetml/2006/main" r="U166" t="str" s="11">
        <x:v>Даташит — локальный</x:v>
      </x:c>
      <x:c xmlns:x="http://schemas.openxmlformats.org/spreadsheetml/2006/main" r="V166" t="str" s="11">
        <x:v>C:\Users\Nomatin\Documents\Altium\MY_LIB\MY_LIB\Datasheets\YAGEO_CC_X7R.pdf</x:v>
      </x:c>
      <x:c xmlns:x="http://schemas.openxmlformats.org/spreadsheetml/2006/main" r="W166" t="str" s="11">
        <x:v>Даташит — производитель</x:v>
      </x:c>
      <x:c xmlns:x="http://schemas.openxmlformats.org/spreadsheetml/2006/main" r="X166" t="str" s="11">
        <x:v>https://yageogroup.com/content/datasheet/asset/file/UPY-GPHC_X7R_6_3V-TO-250V</x:v>
      </x:c>
      <x:c xmlns:x="http://schemas.openxmlformats.org/spreadsheetml/2006/main" r="Y166" t="str" s="11">
        <x:v>C:\Users\Nomatin\Documents\Altium\MY_LIB\MY_LIB\Datasheets\YAGEO_CC_X7R.pdf</x:v>
      </x:c>
    </ns0:row>
    <ns0:row r="167" ht="30" customHeight="1">
      <ns0:c r="A167" t="str" s="14">
        <ns0:v>C0168</ns0:v>
      </ns0:c>
      <ns0:c r="B167" t="str" s="14">
        <ns0:v>Конденсатор</ns0:v>
      </ns0:c>
      <ns0:c r="C167" t="str" s="14">
        <ns0:v>12n</ns0:v>
      </ns0:c>
      <ns0:c r="D167" t="str" s="11">
        <ns0:f>SUBSTITUTE(SUBSTITUTE(SUBSTITUTE(SUBSTITUTE(C167,"p"," пФ"),"n"," нФ"),"u"," мкФ"),".",",")</ns0:f>
        <ns0:v>12 нФ</ns0:v>
      </ns0:c>
      <ns0:c r="E167" t="str" s="14">
        <ns0:v>±5%</ns0:v>
      </ns0:c>
      <ns0:c r="F167" s="14"/>
      <ns0:c r="G167" t="str" s="14">
        <ns0:v>100 В</ns0:v>
      </ns0:c>
      <ns0:c r="H167" t="str" s="14">
        <ns0:v>X7R</ns0:v>
      </ns0:c>
      <ns0:c r="I167" t="str" s="15">
        <ns0:v>0603</ns0:v>
      </ns0:c>
      <ns0:c r="J167" t="str" s="14">
        <ns0:v>YAGEO</ns0:v>
      </ns0:c>
      <ns0:c r="K167" t="str" s="14">
        <ns0:v>CC0603JRX7R0BB123</ns0:v>
      </ns0:c>
      <ns0:c r="L167" t="str" s="11">
        <ns0:f>B167&amp;" "&amp;D167&amp;" "&amp;E167&amp;" "&amp;G167&amp;" "&amp;H167&amp;" "&amp;I167</ns0:f>
        <ns0:v>Конденсатор 12 нФ ±5% 100 В X7R 0603</ns0:v>
      </ns0:c>
      <ns0:c r="M167" t="str" s="13">
        <ns0:v>C</ns0:v>
      </ns0:c>
      <ns0:c r="N167" t="str" s="13">
        <ns0:v>Symbols\MY_LIB_Capacitors.SchLib</ns0:v>
      </ns0:c>
      <ns0:c r="O167" t="str" s="13">
        <ns0:v>CAPC1608X90N</ns0:v>
      </ns0:c>
      <ns0:c r="P167" t="str" s="13">
        <ns0:v>Footprints\PBL - SMD Packages.PcbLib</ns0:v>
      </ns0:c>
      <ns0:c r="Q167" t="str" s="14">
        <ns0:v>YAGEO CC; список 20.10.2026</ns0:v>
      </ns0:c>
      <ns0:c r="R167" t="str" s="11">
        <ns0:f>D167</ns0:f>
        <ns0:v>12 нФ</ns0:v>
      </ns0:c>
      <ns0:c r="S167" t="str" s="11">
        <ns0:f>L167</ns0:f>
        <ns0:v>Конденсатор 12 нФ ±5% 100 В X7R 0603</ns0:v>
      </ns0:c>
      <x:c xmlns:x="http://schemas.openxmlformats.org/spreadsheetml/2006/main" r="T167" t="str" s="11">
        <x:v>C:\Users\Nomatin\Documents\Altium\MY_LIB\MY_LIB\Datasheets\YAGEO_CC_X7R.pdf</x:v>
      </x:c>
      <x:c xmlns:x="http://schemas.openxmlformats.org/spreadsheetml/2006/main" r="U167" t="str" s="11">
        <x:v>Даташит — локальный</x:v>
      </x:c>
      <x:c xmlns:x="http://schemas.openxmlformats.org/spreadsheetml/2006/main" r="V167" t="str" s="11">
        <x:v>C:\Users\Nomatin\Documents\Altium\MY_LIB\MY_LIB\Datasheets\YAGEO_CC_X7R.pdf</x:v>
      </x:c>
      <x:c xmlns:x="http://schemas.openxmlformats.org/spreadsheetml/2006/main" r="W167" t="str" s="11">
        <x:v>Даташит — производитель</x:v>
      </x:c>
      <x:c xmlns:x="http://schemas.openxmlformats.org/spreadsheetml/2006/main" r="X167" t="str" s="11">
        <x:v>https://yageogroup.com/content/datasheet/asset/file/UPY-GPHC_X7R_6_3V-TO-250V</x:v>
      </x:c>
      <x:c xmlns:x="http://schemas.openxmlformats.org/spreadsheetml/2006/main" r="Y167" t="str" s="11">
        <x:v>C:\Users\Nomatin\Documents\Altium\MY_LIB\MY_LIB\Datasheets\YAGEO_CC_X7R.pdf</x:v>
      </x:c>
    </ns0:row>
    <ns0:row r="168" ht="30" customHeight="1">
      <ns0:c r="A168" t="str" s="14">
        <ns0:v>C0169</ns0:v>
      </ns0:c>
      <ns0:c r="B168" t="str" s="14">
        <ns0:v>Конденсатор</ns0:v>
      </ns0:c>
      <ns0:c r="C168" t="str" s="14">
        <ns0:v>15n</ns0:v>
      </ns0:c>
      <ns0:c r="D168" t="str" s="11">
        <ns0:f>SUBSTITUTE(SUBSTITUTE(SUBSTITUTE(SUBSTITUTE(C168,"p"," пФ"),"n"," нФ"),"u"," мкФ"),".",",")</ns0:f>
        <ns0:v>15 нФ</ns0:v>
      </ns0:c>
      <ns0:c r="E168" t="str" s="14">
        <ns0:v>±5%</ns0:v>
      </ns0:c>
      <ns0:c r="F168" s="14"/>
      <ns0:c r="G168" t="str" s="14">
        <ns0:v>100 В</ns0:v>
      </ns0:c>
      <ns0:c r="H168" t="str" s="14">
        <ns0:v>X7R</ns0:v>
      </ns0:c>
      <ns0:c r="I168" t="str" s="15">
        <ns0:v>0603</ns0:v>
      </ns0:c>
      <ns0:c r="J168" t="str" s="14">
        <ns0:v>YAGEO</ns0:v>
      </ns0:c>
      <ns0:c r="K168" t="str" s="14">
        <ns0:v>CC0603JRX7R0BB153</ns0:v>
      </ns0:c>
      <ns0:c r="L168" t="str" s="11">
        <ns0:f>B168&amp;" "&amp;D168&amp;" "&amp;E168&amp;" "&amp;G168&amp;" "&amp;H168&amp;" "&amp;I168</ns0:f>
        <ns0:v>Конденсатор 15 нФ ±5% 100 В X7R 0603</ns0:v>
      </ns0:c>
      <ns0:c r="M168" t="str" s="13">
        <ns0:v>C</ns0:v>
      </ns0:c>
      <ns0:c r="N168" t="str" s="13">
        <ns0:v>Symbols\MY_LIB_Capacitors.SchLib</ns0:v>
      </ns0:c>
      <ns0:c r="O168" t="str" s="13">
        <ns0:v>CAPC1608X90N</ns0:v>
      </ns0:c>
      <ns0:c r="P168" t="str" s="13">
        <ns0:v>Footprints\PBL - SMD Packages.PcbLib</ns0:v>
      </ns0:c>
      <ns0:c r="Q168" t="str" s="14">
        <ns0:v>YAGEO CC; список 20.10.2026</ns0:v>
      </ns0:c>
      <ns0:c r="R168" t="str" s="11">
        <ns0:f>D168</ns0:f>
        <ns0:v>15 нФ</ns0:v>
      </ns0:c>
      <ns0:c r="S168" t="str" s="11">
        <ns0:f>L168</ns0:f>
        <ns0:v>Конденсатор 15 нФ ±5% 100 В X7R 0603</ns0:v>
      </ns0:c>
      <x:c xmlns:x="http://schemas.openxmlformats.org/spreadsheetml/2006/main" r="T168" t="str" s="11">
        <x:v>C:\Users\Nomatin\Documents\Altium\MY_LIB\MY_LIB\Datasheets\YAGEO_CC_X7R.pdf</x:v>
      </x:c>
      <x:c xmlns:x="http://schemas.openxmlformats.org/spreadsheetml/2006/main" r="U168" t="str" s="11">
        <x:v>Даташит — локальный</x:v>
      </x:c>
      <x:c xmlns:x="http://schemas.openxmlformats.org/spreadsheetml/2006/main" r="V168" t="str" s="11">
        <x:v>C:\Users\Nomatin\Documents\Altium\MY_LIB\MY_LIB\Datasheets\YAGEO_CC_X7R.pdf</x:v>
      </x:c>
      <x:c xmlns:x="http://schemas.openxmlformats.org/spreadsheetml/2006/main" r="W168" t="str" s="11">
        <x:v>Даташит — производитель</x:v>
      </x:c>
      <x:c xmlns:x="http://schemas.openxmlformats.org/spreadsheetml/2006/main" r="X168" t="str" s="11">
        <x:v>https://yageogroup.com/content/datasheet/asset/file/UPY-GPHC_X7R_6_3V-TO-250V</x:v>
      </x:c>
      <x:c xmlns:x="http://schemas.openxmlformats.org/spreadsheetml/2006/main" r="Y168" t="str" s="11">
        <x:v>C:\Users\Nomatin\Documents\Altium\MY_LIB\MY_LIB\Datasheets\YAGEO_CC_X7R.pdf</x:v>
      </x:c>
    </ns0:row>
    <ns0:row r="169" ht="30" customHeight="1">
      <ns0:c r="A169" t="str" s="14">
        <ns0:v>C0170</ns0:v>
      </ns0:c>
      <ns0:c r="B169" t="str" s="14">
        <ns0:v>Конденсатор</ns0:v>
      </ns0:c>
      <ns0:c r="C169" t="str" s="14">
        <ns0:v>18n</ns0:v>
      </ns0:c>
      <ns0:c r="D169" t="str" s="11">
        <ns0:f>SUBSTITUTE(SUBSTITUTE(SUBSTITUTE(SUBSTITUTE(C169,"p"," пФ"),"n"," нФ"),"u"," мкФ"),".",",")</ns0:f>
        <ns0:v>18 нФ</ns0:v>
      </ns0:c>
      <ns0:c r="E169" t="str" s="14">
        <ns0:v>±5%</ns0:v>
      </ns0:c>
      <ns0:c r="F169" s="14"/>
      <ns0:c r="G169" t="str" s="14">
        <ns0:v>50 В</ns0:v>
      </ns0:c>
      <ns0:c r="H169" t="str" s="14">
        <ns0:v>X7R</ns0:v>
      </ns0:c>
      <ns0:c r="I169" t="str" s="15">
        <ns0:v>0603</ns0:v>
      </ns0:c>
      <ns0:c r="J169" t="str" s="14">
        <ns0:v>YAGEO</ns0:v>
      </ns0:c>
      <ns0:c r="K169" t="str" s="14">
        <ns0:v>CC0603JRX7R9BB183</ns0:v>
      </ns0:c>
      <ns0:c r="L169" t="str" s="11">
        <ns0:f>B169&amp;" "&amp;D169&amp;" "&amp;E169&amp;" "&amp;G169&amp;" "&amp;H169&amp;" "&amp;I169</ns0:f>
        <ns0:v>Конденсатор 18 нФ ±5% 50 В X7R 0603</ns0:v>
      </ns0:c>
      <ns0:c r="M169" t="str" s="13">
        <ns0:v>C</ns0:v>
      </ns0:c>
      <ns0:c r="N169" t="str" s="13">
        <ns0:v>Symbols\MY_LIB_Capacitors.SchLib</ns0:v>
      </ns0:c>
      <ns0:c r="O169" t="str" s="13">
        <ns0:v>CAPC1608X90N</ns0:v>
      </ns0:c>
      <ns0:c r="P169" t="str" s="13">
        <ns0:v>Footprints\PBL - SMD Packages.PcbLib</ns0:v>
      </ns0:c>
      <ns0:c r="Q169" t="str" s="14">
        <ns0:v>YAGEO CC; список 20.10.2026</ns0:v>
      </ns0:c>
      <ns0:c r="R169" t="str" s="11">
        <ns0:f>D169</ns0:f>
        <ns0:v>18 нФ</ns0:v>
      </ns0:c>
      <ns0:c r="S169" t="str" s="11">
        <ns0:f>L169</ns0:f>
        <ns0:v>Конденсатор 18 нФ ±5% 50 В X7R 0603</ns0:v>
      </ns0:c>
      <x:c xmlns:x="http://schemas.openxmlformats.org/spreadsheetml/2006/main" r="T169" t="str" s="11">
        <x:v>C:\Users\Nomatin\Documents\Altium\MY_LIB\MY_LIB\Datasheets\YAGEO_CC_X7R.pdf</x:v>
      </x:c>
      <x:c xmlns:x="http://schemas.openxmlformats.org/spreadsheetml/2006/main" r="U169" t="str" s="11">
        <x:v>Даташит — локальный</x:v>
      </x:c>
      <x:c xmlns:x="http://schemas.openxmlformats.org/spreadsheetml/2006/main" r="V169" t="str" s="11">
        <x:v>C:\Users\Nomatin\Documents\Altium\MY_LIB\MY_LIB\Datasheets\YAGEO_CC_X7R.pdf</x:v>
      </x:c>
      <x:c xmlns:x="http://schemas.openxmlformats.org/spreadsheetml/2006/main" r="W169" t="str" s="11">
        <x:v>Даташит — производитель</x:v>
      </x:c>
      <x:c xmlns:x="http://schemas.openxmlformats.org/spreadsheetml/2006/main" r="X169" t="str" s="11">
        <x:v>https://yageogroup.com/content/datasheet/asset/file/UPY-GPHC_X7R_6_3V-TO-250V</x:v>
      </x:c>
      <x:c xmlns:x="http://schemas.openxmlformats.org/spreadsheetml/2006/main" r="Y169" t="str" s="11">
        <x:v>C:\Users\Nomatin\Documents\Altium\MY_LIB\MY_LIB\Datasheets\YAGEO_CC_X7R.pdf</x:v>
      </x:c>
    </ns0:row>
    <ns0:row r="170" ht="30" customHeight="1">
      <ns0:c r="A170" t="str" s="14">
        <ns0:v>C0171</ns0:v>
      </ns0:c>
      <ns0:c r="B170" t="str" s="14">
        <ns0:v>Конденсатор</ns0:v>
      </ns0:c>
      <ns0:c r="C170" t="str" s="14">
        <ns0:v>22n</ns0:v>
      </ns0:c>
      <ns0:c r="D170" t="str" s="11">
        <ns0:f>SUBSTITUTE(SUBSTITUTE(SUBSTITUTE(SUBSTITUTE(C170,"p"," пФ"),"n"," нФ"),"u"," мкФ"),".",",")</ns0:f>
        <ns0:v>22 нФ</ns0:v>
      </ns0:c>
      <ns0:c r="E170" t="str" s="14">
        <ns0:v>±5%</ns0:v>
      </ns0:c>
      <ns0:c r="F170" s="14"/>
      <ns0:c r="G170" t="str" s="14">
        <ns0:v>100 В</ns0:v>
      </ns0:c>
      <ns0:c r="H170" t="str" s="14">
        <ns0:v>X7R</ns0:v>
      </ns0:c>
      <ns0:c r="I170" t="str" s="15">
        <ns0:v>0603</ns0:v>
      </ns0:c>
      <ns0:c r="J170" t="str" s="14">
        <ns0:v>YAGEO</ns0:v>
      </ns0:c>
      <ns0:c r="K170" t="str" s="14">
        <ns0:v>CC0603JRX7R0BB223</ns0:v>
      </ns0:c>
      <ns0:c r="L170" t="str" s="11">
        <ns0:f>B170&amp;" "&amp;D170&amp;" "&amp;E170&amp;" "&amp;G170&amp;" "&amp;H170&amp;" "&amp;I170</ns0:f>
        <ns0:v>Конденсатор 22 нФ ±5% 100 В X7R 0603</ns0:v>
      </ns0:c>
      <ns0:c r="M170" t="str" s="13">
        <ns0:v>C</ns0:v>
      </ns0:c>
      <ns0:c r="N170" t="str" s="13">
        <ns0:v>Symbols\MY_LIB_Capacitors.SchLib</ns0:v>
      </ns0:c>
      <ns0:c r="O170" t="str" s="13">
        <ns0:v>CAPC1608X90N</ns0:v>
      </ns0:c>
      <ns0:c r="P170" t="str" s="13">
        <ns0:v>Footprints\PBL - SMD Packages.PcbLib</ns0:v>
      </ns0:c>
      <ns0:c r="Q170" t="str" s="14">
        <ns0:v>YAGEO CC; список 20.10.2026</ns0:v>
      </ns0:c>
      <ns0:c r="R170" t="str" s="11">
        <ns0:f>D170</ns0:f>
        <ns0:v>22 нФ</ns0:v>
      </ns0:c>
      <ns0:c r="S170" t="str" s="11">
        <ns0:f>L170</ns0:f>
        <ns0:v>Конденсатор 22 нФ ±5% 100 В X7R 0603</ns0:v>
      </ns0:c>
      <x:c xmlns:x="http://schemas.openxmlformats.org/spreadsheetml/2006/main" r="T170" t="str" s="11">
        <x:v>C:\Users\Nomatin\Documents\Altium\MY_LIB\MY_LIB\Datasheets\YAGEO_CC_X7R.pdf</x:v>
      </x:c>
      <x:c xmlns:x="http://schemas.openxmlformats.org/spreadsheetml/2006/main" r="U170" t="str" s="11">
        <x:v>Даташит — локальный</x:v>
      </x:c>
      <x:c xmlns:x="http://schemas.openxmlformats.org/spreadsheetml/2006/main" r="V170" t="str" s="11">
        <x:v>C:\Users\Nomatin\Documents\Altium\MY_LIB\MY_LIB\Datasheets\YAGEO_CC_X7R.pdf</x:v>
      </x:c>
      <x:c xmlns:x="http://schemas.openxmlformats.org/spreadsheetml/2006/main" r="W170" t="str" s="11">
        <x:v>Даташит — производитель</x:v>
      </x:c>
      <x:c xmlns:x="http://schemas.openxmlformats.org/spreadsheetml/2006/main" r="X170" t="str" s="11">
        <x:v>https://yageogroup.com/content/datasheet/asset/file/UPY-GPHC_X7R_6_3V-TO-250V</x:v>
      </x:c>
      <x:c xmlns:x="http://schemas.openxmlformats.org/spreadsheetml/2006/main" r="Y170" t="str" s="11">
        <x:v>C:\Users\Nomatin\Documents\Altium\MY_LIB\MY_LIB\Datasheets\YAGEO_CC_X7R.pdf</x:v>
      </x:c>
    </ns0:row>
    <ns0:row r="171" ht="30" customHeight="1">
      <ns0:c r="A171" t="str" s="14">
        <ns0:v>C0172</ns0:v>
      </ns0:c>
      <ns0:c r="B171" t="str" s="14">
        <ns0:v>Конденсатор</ns0:v>
      </ns0:c>
      <ns0:c r="C171" t="str" s="14">
        <ns0:v>27n</ns0:v>
      </ns0:c>
      <ns0:c r="D171" t="str" s="11">
        <ns0:f>SUBSTITUTE(SUBSTITUTE(SUBSTITUTE(SUBSTITUTE(C171,"p"," пФ"),"n"," нФ"),"u"," мкФ"),".",",")</ns0:f>
        <ns0:v>27 нФ</ns0:v>
      </ns0:c>
      <ns0:c r="E171" t="str" s="14">
        <ns0:v>±5%</ns0:v>
      </ns0:c>
      <ns0:c r="F171" s="14"/>
      <ns0:c r="G171" t="str" s="14">
        <ns0:v>50 В</ns0:v>
      </ns0:c>
      <ns0:c r="H171" t="str" s="14">
        <ns0:v>X7R</ns0:v>
      </ns0:c>
      <ns0:c r="I171" t="str" s="15">
        <ns0:v>0603</ns0:v>
      </ns0:c>
      <ns0:c r="J171" t="str" s="14">
        <ns0:v>YAGEO</ns0:v>
      </ns0:c>
      <ns0:c r="K171" t="str" s="14">
        <ns0:v>CC0603JRX7R9BB273</ns0:v>
      </ns0:c>
      <ns0:c r="L171" t="str" s="11">
        <ns0:f>B171&amp;" "&amp;D171&amp;" "&amp;E171&amp;" "&amp;G171&amp;" "&amp;H171&amp;" "&amp;I171</ns0:f>
        <ns0:v>Конденсатор 27 нФ ±5% 50 В X7R 0603</ns0:v>
      </ns0:c>
      <ns0:c r="M171" t="str" s="13">
        <ns0:v>C</ns0:v>
      </ns0:c>
      <ns0:c r="N171" t="str" s="13">
        <ns0:v>Symbols\MY_LIB_Capacitors.SchLib</ns0:v>
      </ns0:c>
      <ns0:c r="O171" t="str" s="13">
        <ns0:v>CAPC1608X90N</ns0:v>
      </ns0:c>
      <ns0:c r="P171" t="str" s="13">
        <ns0:v>Footprints\PBL - SMD Packages.PcbLib</ns0:v>
      </ns0:c>
      <ns0:c r="Q171" t="str" s="14">
        <ns0:v>YAGEO CC; список 20.10.2026</ns0:v>
      </ns0:c>
      <ns0:c r="R171" t="str" s="11">
        <ns0:f>D171</ns0:f>
        <ns0:v>27 нФ</ns0:v>
      </ns0:c>
      <ns0:c r="S171" t="str" s="11">
        <ns0:f>L171</ns0:f>
        <ns0:v>Конденсатор 27 нФ ±5% 50 В X7R 0603</ns0:v>
      </ns0:c>
      <x:c xmlns:x="http://schemas.openxmlformats.org/spreadsheetml/2006/main" r="T171" t="str" s="11">
        <x:v>C:\Users\Nomatin\Documents\Altium\MY_LIB\MY_LIB\Datasheets\YAGEO_CC_X7R.pdf</x:v>
      </x:c>
      <x:c xmlns:x="http://schemas.openxmlformats.org/spreadsheetml/2006/main" r="U171" t="str" s="11">
        <x:v>Даташит — локальный</x:v>
      </x:c>
      <x:c xmlns:x="http://schemas.openxmlformats.org/spreadsheetml/2006/main" r="V171" t="str" s="11">
        <x:v>C:\Users\Nomatin\Documents\Altium\MY_LIB\MY_LIB\Datasheets\YAGEO_CC_X7R.pdf</x:v>
      </x:c>
      <x:c xmlns:x="http://schemas.openxmlformats.org/spreadsheetml/2006/main" r="W171" t="str" s="11">
        <x:v>Даташит — производитель</x:v>
      </x:c>
      <x:c xmlns:x="http://schemas.openxmlformats.org/spreadsheetml/2006/main" r="X171" t="str" s="11">
        <x:v>https://yageogroup.com/content/datasheet/asset/file/UPY-GPHC_X7R_6_3V-TO-250V</x:v>
      </x:c>
      <x:c xmlns:x="http://schemas.openxmlformats.org/spreadsheetml/2006/main" r="Y171" t="str" s="11">
        <x:v>C:\Users\Nomatin\Documents\Altium\MY_LIB\MY_LIB\Datasheets\YAGEO_CC_X7R.pdf</x:v>
      </x:c>
    </ns0:row>
    <ns0:row r="172" ht="30" customHeight="1">
      <ns0:c r="A172" t="str" s="14">
        <ns0:v>C0173</ns0:v>
      </ns0:c>
      <ns0:c r="B172" t="str" s="14">
        <ns0:v>Конденсатор</ns0:v>
      </ns0:c>
      <ns0:c r="C172" t="str" s="14">
        <ns0:v>33n</ns0:v>
      </ns0:c>
      <ns0:c r="D172" t="str" s="11">
        <ns0:f>SUBSTITUTE(SUBSTITUTE(SUBSTITUTE(SUBSTITUTE(C172,"p"," пФ"),"n"," нФ"),"u"," мкФ"),".",",")</ns0:f>
        <ns0:v>33 нФ</ns0:v>
      </ns0:c>
      <ns0:c r="E172" t="str" s="14">
        <ns0:v>±5%</ns0:v>
      </ns0:c>
      <ns0:c r="F172" s="14"/>
      <ns0:c r="G172" t="str" s="14">
        <ns0:v>100 В</ns0:v>
      </ns0:c>
      <ns0:c r="H172" t="str" s="14">
        <ns0:v>X7R</ns0:v>
      </ns0:c>
      <ns0:c r="I172" t="str" s="15">
        <ns0:v>0603</ns0:v>
      </ns0:c>
      <ns0:c r="J172" t="str" s="14">
        <ns0:v>YAGEO</ns0:v>
      </ns0:c>
      <ns0:c r="K172" t="str" s="14">
        <ns0:v>CC0603JRX7R0BB333</ns0:v>
      </ns0:c>
      <ns0:c r="L172" t="str" s="11">
        <ns0:f>B172&amp;" "&amp;D172&amp;" "&amp;E172&amp;" "&amp;G172&amp;" "&amp;H172&amp;" "&amp;I172</ns0:f>
        <ns0:v>Конденсатор 33 нФ ±5% 100 В X7R 0603</ns0:v>
      </ns0:c>
      <ns0:c r="M172" t="str" s="13">
        <ns0:v>C</ns0:v>
      </ns0:c>
      <ns0:c r="N172" t="str" s="13">
        <ns0:v>Symbols\MY_LIB_Capacitors.SchLib</ns0:v>
      </ns0:c>
      <ns0:c r="O172" t="str" s="13">
        <ns0:v>CAPC1608X90N</ns0:v>
      </ns0:c>
      <ns0:c r="P172" t="str" s="13">
        <ns0:v>Footprints\PBL - SMD Packages.PcbLib</ns0:v>
      </ns0:c>
      <ns0:c r="Q172" t="str" s="14">
        <ns0:v>YAGEO CC; список 20.10.2026</ns0:v>
      </ns0:c>
      <ns0:c r="R172" t="str" s="11">
        <ns0:f>D172</ns0:f>
        <ns0:v>33 нФ</ns0:v>
      </ns0:c>
      <ns0:c r="S172" t="str" s="11">
        <ns0:f>L172</ns0:f>
        <ns0:v>Конденсатор 33 нФ ±5% 100 В X7R 0603</ns0:v>
      </ns0:c>
      <x:c xmlns:x="http://schemas.openxmlformats.org/spreadsheetml/2006/main" r="T172" t="str" s="11">
        <x:v>C:\Users\Nomatin\Documents\Altium\MY_LIB\MY_LIB\Datasheets\YAGEO_CC_X7R.pdf</x:v>
      </x:c>
      <x:c xmlns:x="http://schemas.openxmlformats.org/spreadsheetml/2006/main" r="U172" t="str" s="11">
        <x:v>Даташит — локальный</x:v>
      </x:c>
      <x:c xmlns:x="http://schemas.openxmlformats.org/spreadsheetml/2006/main" r="V172" t="str" s="11">
        <x:v>C:\Users\Nomatin\Documents\Altium\MY_LIB\MY_LIB\Datasheets\YAGEO_CC_X7R.pdf</x:v>
      </x:c>
      <x:c xmlns:x="http://schemas.openxmlformats.org/spreadsheetml/2006/main" r="W172" t="str" s="11">
        <x:v>Даташит — производитель</x:v>
      </x:c>
      <x:c xmlns:x="http://schemas.openxmlformats.org/spreadsheetml/2006/main" r="X172" t="str" s="11">
        <x:v>https://yageogroup.com/content/datasheet/asset/file/UPY-GPHC_X7R_6_3V-TO-250V</x:v>
      </x:c>
      <x:c xmlns:x="http://schemas.openxmlformats.org/spreadsheetml/2006/main" r="Y172" t="str" s="11">
        <x:v>C:\Users\Nomatin\Documents\Altium\MY_LIB\MY_LIB\Datasheets\YAGEO_CC_X7R.pdf</x:v>
      </x:c>
    </ns0:row>
    <ns0:row r="173" ht="30" customHeight="1">
      <ns0:c r="A173" t="str" s="14">
        <ns0:v>C0174</ns0:v>
      </ns0:c>
      <ns0:c r="B173" t="str" s="14">
        <ns0:v>Конденсатор</ns0:v>
      </ns0:c>
      <ns0:c r="C173" t="str" s="14">
        <ns0:v>39n</ns0:v>
      </ns0:c>
      <ns0:c r="D173" t="str" s="11">
        <ns0:f>SUBSTITUTE(SUBSTITUTE(SUBSTITUTE(SUBSTITUTE(C173,"p"," пФ"),"n"," нФ"),"u"," мкФ"),".",",")</ns0:f>
        <ns0:v>39 нФ</ns0:v>
      </ns0:c>
      <ns0:c r="E173" t="str" s="14">
        <ns0:v>±5%</ns0:v>
      </ns0:c>
      <ns0:c r="F173" s="14"/>
      <ns0:c r="G173" t="str" s="14">
        <ns0:v>50 В</ns0:v>
      </ns0:c>
      <ns0:c r="H173" t="str" s="14">
        <ns0:v>X7R</ns0:v>
      </ns0:c>
      <ns0:c r="I173" t="str" s="15">
        <ns0:v>0603</ns0:v>
      </ns0:c>
      <ns0:c r="J173" t="str" s="14">
        <ns0:v>YAGEO</ns0:v>
      </ns0:c>
      <ns0:c r="K173" t="str" s="14">
        <ns0:v>CC0603JRX7R9BB393</ns0:v>
      </ns0:c>
      <ns0:c r="L173" t="str" s="11">
        <ns0:f>B173&amp;" "&amp;D173&amp;" "&amp;E173&amp;" "&amp;G173&amp;" "&amp;H173&amp;" "&amp;I173</ns0:f>
        <ns0:v>Конденсатор 39 нФ ±5% 50 В X7R 0603</ns0:v>
      </ns0:c>
      <ns0:c r="M173" t="str" s="13">
        <ns0:v>C</ns0:v>
      </ns0:c>
      <ns0:c r="N173" t="str" s="13">
        <ns0:v>Symbols\MY_LIB_Capacitors.SchLib</ns0:v>
      </ns0:c>
      <ns0:c r="O173" t="str" s="13">
        <ns0:v>CAPC1608X90N</ns0:v>
      </ns0:c>
      <ns0:c r="P173" t="str" s="13">
        <ns0:v>Footprints\PBL - SMD Packages.PcbLib</ns0:v>
      </ns0:c>
      <ns0:c r="Q173" t="str" s="14">
        <ns0:v>YAGEO CC; список 20.10.2026</ns0:v>
      </ns0:c>
      <ns0:c r="R173" t="str" s="11">
        <ns0:f>D173</ns0:f>
        <ns0:v>39 нФ</ns0:v>
      </ns0:c>
      <ns0:c r="S173" t="str" s="11">
        <ns0:f>L173</ns0:f>
        <ns0:v>Конденсатор 39 нФ ±5% 50 В X7R 0603</ns0:v>
      </ns0:c>
      <x:c xmlns:x="http://schemas.openxmlformats.org/spreadsheetml/2006/main" r="T173" t="str" s="11">
        <x:v>C:\Users\Nomatin\Documents\Altium\MY_LIB\MY_LIB\Datasheets\YAGEO_CC_X7R.pdf</x:v>
      </x:c>
      <x:c xmlns:x="http://schemas.openxmlformats.org/spreadsheetml/2006/main" r="U173" t="str" s="11">
        <x:v>Даташит — локальный</x:v>
      </x:c>
      <x:c xmlns:x="http://schemas.openxmlformats.org/spreadsheetml/2006/main" r="V173" t="str" s="11">
        <x:v>C:\Users\Nomatin\Documents\Altium\MY_LIB\MY_LIB\Datasheets\YAGEO_CC_X7R.pdf</x:v>
      </x:c>
      <x:c xmlns:x="http://schemas.openxmlformats.org/spreadsheetml/2006/main" r="W173" t="str" s="11">
        <x:v>Даташит — производитель</x:v>
      </x:c>
      <x:c xmlns:x="http://schemas.openxmlformats.org/spreadsheetml/2006/main" r="X173" t="str" s="11">
        <x:v>https://yageogroup.com/content/datasheet/asset/file/UPY-GPHC_X7R_6_3V-TO-250V</x:v>
      </x:c>
      <x:c xmlns:x="http://schemas.openxmlformats.org/spreadsheetml/2006/main" r="Y173" t="str" s="11">
        <x:v>C:\Users\Nomatin\Documents\Altium\MY_LIB\MY_LIB\Datasheets\YAGEO_CC_X7R.pdf</x:v>
      </x:c>
    </ns0:row>
    <ns0:row r="174" ht="30" customHeight="1">
      <ns0:c r="A174" t="str" s="14">
        <ns0:v>C0175</ns0:v>
      </ns0:c>
      <ns0:c r="B174" t="str" s="14">
        <ns0:v>Конденсатор</ns0:v>
      </ns0:c>
      <ns0:c r="C174" t="str" s="14">
        <ns0:v>47n</ns0:v>
      </ns0:c>
      <ns0:c r="D174" t="str" s="11">
        <ns0:f>SUBSTITUTE(SUBSTITUTE(SUBSTITUTE(SUBSTITUTE(C174,"p"," пФ"),"n"," нФ"),"u"," мкФ"),".",",")</ns0:f>
        <ns0:v>47 нФ</ns0:v>
      </ns0:c>
      <ns0:c r="E174" t="str" s="14">
        <ns0:v>±5%</ns0:v>
      </ns0:c>
      <ns0:c r="F174" s="14"/>
      <ns0:c r="G174" t="str" s="14">
        <ns0:v>100 В</ns0:v>
      </ns0:c>
      <ns0:c r="H174" t="str" s="14">
        <ns0:v>X7R</ns0:v>
      </ns0:c>
      <ns0:c r="I174" t="str" s="15">
        <ns0:v>0603</ns0:v>
      </ns0:c>
      <ns0:c r="J174" t="str" s="14">
        <ns0:v>YAGEO</ns0:v>
      </ns0:c>
      <ns0:c r="K174" t="str" s="14">
        <ns0:v>CC0603JRX7R0BB473</ns0:v>
      </ns0:c>
      <ns0:c r="L174" t="str" s="11">
        <ns0:f>B174&amp;" "&amp;D174&amp;" "&amp;E174&amp;" "&amp;G174&amp;" "&amp;H174&amp;" "&amp;I174</ns0:f>
        <ns0:v>Конденсатор 47 нФ ±5% 100 В X7R 0603</ns0:v>
      </ns0:c>
      <ns0:c r="M174" t="str" s="13">
        <ns0:v>C</ns0:v>
      </ns0:c>
      <ns0:c r="N174" t="str" s="13">
        <ns0:v>Symbols\MY_LIB_Capacitors.SchLib</ns0:v>
      </ns0:c>
      <ns0:c r="O174" t="str" s="13">
        <ns0:v>CAPC1608X90N</ns0:v>
      </ns0:c>
      <ns0:c r="P174" t="str" s="13">
        <ns0:v>Footprints\PBL - SMD Packages.PcbLib</ns0:v>
      </ns0:c>
      <ns0:c r="Q174" t="str" s="14">
        <ns0:v>YAGEO CC; список 20.10.2026</ns0:v>
      </ns0:c>
      <ns0:c r="R174" t="str" s="11">
        <ns0:f>D174</ns0:f>
        <ns0:v>47 нФ</ns0:v>
      </ns0:c>
      <ns0:c r="S174" t="str" s="11">
        <ns0:f>L174</ns0:f>
        <ns0:v>Конденсатор 47 нФ ±5% 100 В X7R 0603</ns0:v>
      </ns0:c>
      <x:c xmlns:x="http://schemas.openxmlformats.org/spreadsheetml/2006/main" r="T174" t="str" s="11">
        <x:v>C:\Users\Nomatin\Documents\Altium\MY_LIB\MY_LIB\Datasheets\YAGEO_CC_X7R.pdf</x:v>
      </x:c>
      <x:c xmlns:x="http://schemas.openxmlformats.org/spreadsheetml/2006/main" r="U174" t="str" s="11">
        <x:v>Даташит — локальный</x:v>
      </x:c>
      <x:c xmlns:x="http://schemas.openxmlformats.org/spreadsheetml/2006/main" r="V174" t="str" s="11">
        <x:v>C:\Users\Nomatin\Documents\Altium\MY_LIB\MY_LIB\Datasheets\YAGEO_CC_X7R.pdf</x:v>
      </x:c>
      <x:c xmlns:x="http://schemas.openxmlformats.org/spreadsheetml/2006/main" r="W174" t="str" s="11">
        <x:v>Даташит — производитель</x:v>
      </x:c>
      <x:c xmlns:x="http://schemas.openxmlformats.org/spreadsheetml/2006/main" r="X174" t="str" s="11">
        <x:v>https://yageogroup.com/content/datasheet/asset/file/UPY-GPHC_X7R_6_3V-TO-250V</x:v>
      </x:c>
      <x:c xmlns:x="http://schemas.openxmlformats.org/spreadsheetml/2006/main" r="Y174" t="str" s="11">
        <x:v>C:\Users\Nomatin\Documents\Altium\MY_LIB\MY_LIB\Datasheets\YAGEO_CC_X7R.pdf</x:v>
      </x:c>
    </ns0:row>
    <ns0:row r="175" ht="30" customHeight="1">
      <ns0:c r="A175" t="str" s="14">
        <ns0:v>C0176</ns0:v>
      </ns0:c>
      <ns0:c r="B175" t="str" s="14">
        <ns0:v>Конденсатор</ns0:v>
      </ns0:c>
      <ns0:c r="C175" t="str" s="14">
        <ns0:v>56n</ns0:v>
      </ns0:c>
      <ns0:c r="D175" t="str" s="11">
        <ns0:f>SUBSTITUTE(SUBSTITUTE(SUBSTITUTE(SUBSTITUTE(C175,"p"," пФ"),"n"," нФ"),"u"," мкФ"),".",",")</ns0:f>
        <ns0:v>56 нФ</ns0:v>
      </ns0:c>
      <ns0:c r="E175" t="str" s="14">
        <ns0:v>±5%</ns0:v>
      </ns0:c>
      <ns0:c r="F175" s="14"/>
      <ns0:c r="G175" t="str" s="14">
        <ns0:v>100 В</ns0:v>
      </ns0:c>
      <ns0:c r="H175" t="str" s="14">
        <ns0:v>X7R</ns0:v>
      </ns0:c>
      <ns0:c r="I175" t="str" s="15">
        <ns0:v>0603</ns0:v>
      </ns0:c>
      <ns0:c r="J175" t="str" s="14">
        <ns0:v>YAGEO</ns0:v>
      </ns0:c>
      <ns0:c r="K175" t="str" s="14">
        <ns0:v>CC0603JRX7R0BB563</ns0:v>
      </ns0:c>
      <ns0:c r="L175" t="str" s="11">
        <ns0:f>B175&amp;" "&amp;D175&amp;" "&amp;E175&amp;" "&amp;G175&amp;" "&amp;H175&amp;" "&amp;I175</ns0:f>
        <ns0:v>Конденсатор 56 нФ ±5% 100 В X7R 0603</ns0:v>
      </ns0:c>
      <ns0:c r="M175" t="str" s="13">
        <ns0:v>C</ns0:v>
      </ns0:c>
      <ns0:c r="N175" t="str" s="13">
        <ns0:v>Symbols\MY_LIB_Capacitors.SchLib</ns0:v>
      </ns0:c>
      <ns0:c r="O175" t="str" s="13">
        <ns0:v>CAPC1608X90N</ns0:v>
      </ns0:c>
      <ns0:c r="P175" t="str" s="13">
        <ns0:v>Footprints\PBL - SMD Packages.PcbLib</ns0:v>
      </ns0:c>
      <ns0:c r="Q175" t="str" s="14">
        <ns0:v>YAGEO CC; список 20.10.2026</ns0:v>
      </ns0:c>
      <ns0:c r="R175" t="str" s="11">
        <ns0:f>D175</ns0:f>
        <ns0:v>56 нФ</ns0:v>
      </ns0:c>
      <ns0:c r="S175" t="str" s="11">
        <ns0:f>L175</ns0:f>
        <ns0:v>Конденсатор 56 нФ ±5% 100 В X7R 0603</ns0:v>
      </ns0:c>
      <x:c xmlns:x="http://schemas.openxmlformats.org/spreadsheetml/2006/main" r="T175" t="str" s="11">
        <x:v>C:\Users\Nomatin\Documents\Altium\MY_LIB\MY_LIB\Datasheets\YAGEO_CC_X7R.pdf</x:v>
      </x:c>
      <x:c xmlns:x="http://schemas.openxmlformats.org/spreadsheetml/2006/main" r="U175" t="str" s="11">
        <x:v>Даташит — локальный</x:v>
      </x:c>
      <x:c xmlns:x="http://schemas.openxmlformats.org/spreadsheetml/2006/main" r="V175" t="str" s="11">
        <x:v>C:\Users\Nomatin\Documents\Altium\MY_LIB\MY_LIB\Datasheets\YAGEO_CC_X7R.pdf</x:v>
      </x:c>
      <x:c xmlns:x="http://schemas.openxmlformats.org/spreadsheetml/2006/main" r="W175" t="str" s="11">
        <x:v>Даташит — производитель</x:v>
      </x:c>
      <x:c xmlns:x="http://schemas.openxmlformats.org/spreadsheetml/2006/main" r="X175" t="str" s="11">
        <x:v>https://yageogroup.com/content/datasheet/asset/file/UPY-GPHC_X7R_6_3V-TO-250V</x:v>
      </x:c>
      <x:c xmlns:x="http://schemas.openxmlformats.org/spreadsheetml/2006/main" r="Y175" t="str" s="11">
        <x:v>C:\Users\Nomatin\Documents\Altium\MY_LIB\MY_LIB\Datasheets\YAGEO_CC_X7R.pdf</x:v>
      </x:c>
    </ns0:row>
    <ns0:row r="176" ht="30" customHeight="1">
      <ns0:c r="A176" t="str" s="14">
        <ns0:v>C0177</ns0:v>
      </ns0:c>
      <ns0:c r="B176" t="str" s="14">
        <ns0:v>Конденсатор</ns0:v>
      </ns0:c>
      <ns0:c r="C176" t="str" s="14">
        <ns0:v>68n</ns0:v>
      </ns0:c>
      <ns0:c r="D176" t="str" s="11">
        <ns0:f>SUBSTITUTE(SUBSTITUTE(SUBSTITUTE(SUBSTITUTE(C176,"p"," пФ"),"n"," нФ"),"u"," мкФ"),".",",")</ns0:f>
        <ns0:v>68 нФ</ns0:v>
      </ns0:c>
      <ns0:c r="E176" t="str" s="14">
        <ns0:v>±5%</ns0:v>
      </ns0:c>
      <ns0:c r="F176" s="14"/>
      <ns0:c r="G176" t="str" s="14">
        <ns0:v>100 В</ns0:v>
      </ns0:c>
      <ns0:c r="H176" t="str" s="14">
        <ns0:v>X7R</ns0:v>
      </ns0:c>
      <ns0:c r="I176" t="str" s="15">
        <ns0:v>0603</ns0:v>
      </ns0:c>
      <ns0:c r="J176" t="str" s="14">
        <ns0:v>YAGEO</ns0:v>
      </ns0:c>
      <ns0:c r="K176" t="str" s="14">
        <ns0:v>CC0603JRX7R0BB683</ns0:v>
      </ns0:c>
      <ns0:c r="L176" t="str" s="11">
        <ns0:f>B176&amp;" "&amp;D176&amp;" "&amp;E176&amp;" "&amp;G176&amp;" "&amp;H176&amp;" "&amp;I176</ns0:f>
        <ns0:v>Конденсатор 68 нФ ±5% 100 В X7R 0603</ns0:v>
      </ns0:c>
      <ns0:c r="M176" t="str" s="13">
        <ns0:v>C</ns0:v>
      </ns0:c>
      <ns0:c r="N176" t="str" s="13">
        <ns0:v>Symbols\MY_LIB_Capacitors.SchLib</ns0:v>
      </ns0:c>
      <ns0:c r="O176" t="str" s="13">
        <ns0:v>CAPC1608X90N</ns0:v>
      </ns0:c>
      <ns0:c r="P176" t="str" s="13">
        <ns0:v>Footprints\PBL - SMD Packages.PcbLib</ns0:v>
      </ns0:c>
      <ns0:c r="Q176" t="str" s="14">
        <ns0:v>YAGEO CC; список 20.10.2026</ns0:v>
      </ns0:c>
      <ns0:c r="R176" t="str" s="11">
        <ns0:f>D176</ns0:f>
        <ns0:v>68 нФ</ns0:v>
      </ns0:c>
      <ns0:c r="S176" t="str" s="11">
        <ns0:f>L176</ns0:f>
        <ns0:v>Конденсатор 68 нФ ±5% 100 В X7R 0603</ns0:v>
      </ns0:c>
      <x:c xmlns:x="http://schemas.openxmlformats.org/spreadsheetml/2006/main" r="T176" t="str" s="11">
        <x:v>C:\Users\Nomatin\Documents\Altium\MY_LIB\MY_LIB\Datasheets\YAGEO_CC_X7R.pdf</x:v>
      </x:c>
      <x:c xmlns:x="http://schemas.openxmlformats.org/spreadsheetml/2006/main" r="U176" t="str" s="11">
        <x:v>Даташит — локальный</x:v>
      </x:c>
      <x:c xmlns:x="http://schemas.openxmlformats.org/spreadsheetml/2006/main" r="V176" t="str" s="11">
        <x:v>C:\Users\Nomatin\Documents\Altium\MY_LIB\MY_LIB\Datasheets\YAGEO_CC_X7R.pdf</x:v>
      </x:c>
      <x:c xmlns:x="http://schemas.openxmlformats.org/spreadsheetml/2006/main" r="W176" t="str" s="11">
        <x:v>Даташит — производитель</x:v>
      </x:c>
      <x:c xmlns:x="http://schemas.openxmlformats.org/spreadsheetml/2006/main" r="X176" t="str" s="11">
        <x:v>https://yageogroup.com/content/datasheet/asset/file/UPY-GPHC_X7R_6_3V-TO-250V</x:v>
      </x:c>
      <x:c xmlns:x="http://schemas.openxmlformats.org/spreadsheetml/2006/main" r="Y176" t="str" s="11">
        <x:v>C:\Users\Nomatin\Documents\Altium\MY_LIB\MY_LIB\Datasheets\YAGEO_CC_X7R.pdf</x:v>
      </x:c>
    </ns0:row>
    <ns0:row r="177" ht="30" customHeight="1">
      <ns0:c r="A177" t="str" s="14">
        <ns0:v>C0178</ns0:v>
      </ns0:c>
      <ns0:c r="B177" t="str" s="14">
        <ns0:v>Конденсатор</ns0:v>
      </ns0:c>
      <ns0:c r="C177" t="str" s="14">
        <ns0:v>82n</ns0:v>
      </ns0:c>
      <ns0:c r="D177" t="str" s="11">
        <ns0:f>SUBSTITUTE(SUBSTITUTE(SUBSTITUTE(SUBSTITUTE(C177,"p"," пФ"),"n"," нФ"),"u"," мкФ"),".",",")</ns0:f>
        <ns0:v>82 нФ</ns0:v>
      </ns0:c>
      <ns0:c r="E177" t="str" s="14">
        <ns0:v>±5%</ns0:v>
      </ns0:c>
      <ns0:c r="F177" s="14"/>
      <ns0:c r="G177" t="str" s="14">
        <ns0:v>100 В</ns0:v>
      </ns0:c>
      <ns0:c r="H177" t="str" s="14">
        <ns0:v>X7R</ns0:v>
      </ns0:c>
      <ns0:c r="I177" t="str" s="15">
        <ns0:v>0603</ns0:v>
      </ns0:c>
      <ns0:c r="J177" t="str" s="14">
        <ns0:v>YAGEO</ns0:v>
      </ns0:c>
      <ns0:c r="K177" t="str" s="14">
        <ns0:v>CC0603JRX7R0BB823</ns0:v>
      </ns0:c>
      <ns0:c r="L177" t="str" s="11">
        <ns0:f>B177&amp;" "&amp;D177&amp;" "&amp;E177&amp;" "&amp;G177&amp;" "&amp;H177&amp;" "&amp;I177</ns0:f>
        <ns0:v>Конденсатор 82 нФ ±5% 100 В X7R 0603</ns0:v>
      </ns0:c>
      <ns0:c r="M177" t="str" s="13">
        <ns0:v>C</ns0:v>
      </ns0:c>
      <ns0:c r="N177" t="str" s="13">
        <ns0:v>Symbols\MY_LIB_Capacitors.SchLib</ns0:v>
      </ns0:c>
      <ns0:c r="O177" t="str" s="13">
        <ns0:v>CAPC1608X90N</ns0:v>
      </ns0:c>
      <ns0:c r="P177" t="str" s="13">
        <ns0:v>Footprints\PBL - SMD Packages.PcbLib</ns0:v>
      </ns0:c>
      <ns0:c r="Q177" t="str" s="14">
        <ns0:v>YAGEO CC; список 20.10.2026</ns0:v>
      </ns0:c>
      <ns0:c r="R177" t="str" s="11">
        <ns0:f>D177</ns0:f>
        <ns0:v>82 нФ</ns0:v>
      </ns0:c>
      <ns0:c r="S177" t="str" s="11">
        <ns0:f>L177</ns0:f>
        <ns0:v>Конденсатор 82 нФ ±5% 100 В X7R 0603</ns0:v>
      </ns0:c>
      <x:c xmlns:x="http://schemas.openxmlformats.org/spreadsheetml/2006/main" r="T177" t="str" s="11">
        <x:v>C:\Users\Nomatin\Documents\Altium\MY_LIB\MY_LIB\Datasheets\YAGEO_CC_X7R.pdf</x:v>
      </x:c>
      <x:c xmlns:x="http://schemas.openxmlformats.org/spreadsheetml/2006/main" r="U177" t="str" s="11">
        <x:v>Даташит — локальный</x:v>
      </x:c>
      <x:c xmlns:x="http://schemas.openxmlformats.org/spreadsheetml/2006/main" r="V177" t="str" s="11">
        <x:v>C:\Users\Nomatin\Documents\Altium\MY_LIB\MY_LIB\Datasheets\YAGEO_CC_X7R.pdf</x:v>
      </x:c>
      <x:c xmlns:x="http://schemas.openxmlformats.org/spreadsheetml/2006/main" r="W177" t="str" s="11">
        <x:v>Даташит — производитель</x:v>
      </x:c>
      <x:c xmlns:x="http://schemas.openxmlformats.org/spreadsheetml/2006/main" r="X177" t="str" s="11">
        <x:v>https://yageogroup.com/content/datasheet/asset/file/UPY-GPHC_X7R_6_3V-TO-250V</x:v>
      </x:c>
      <x:c xmlns:x="http://schemas.openxmlformats.org/spreadsheetml/2006/main" r="Y177" t="str" s="11">
        <x:v>C:\Users\Nomatin\Documents\Altium\MY_LIB\MY_LIB\Datasheets\YAGEO_CC_X7R.pdf</x:v>
      </x:c>
    </ns0:row>
    <ns0:row r="178" ht="30" customHeight="1">
      <ns0:c r="A178" t="str" s="14">
        <ns0:v>C0179</ns0:v>
      </ns0:c>
      <ns0:c r="B178" t="str" s="14">
        <ns0:v>Конденсатор</ns0:v>
      </ns0:c>
      <ns0:c r="C178" t="str" s="14">
        <ns0:v>100n</ns0:v>
      </ns0:c>
      <ns0:c r="D178" t="str" s="11">
        <ns0:f>SUBSTITUTE(SUBSTITUTE(SUBSTITUTE(SUBSTITUTE(C178,"p"," пФ"),"n"," нФ"),"u"," мкФ"),".",",")</ns0:f>
        <ns0:v>100 нФ</ns0:v>
      </ns0:c>
      <ns0:c r="E178" t="str" s="14">
        <ns0:v>±5%</ns0:v>
      </ns0:c>
      <ns0:c r="F178" s="14"/>
      <ns0:c r="G178" t="str" s="14">
        <ns0:v>100 В</ns0:v>
      </ns0:c>
      <ns0:c r="H178" t="str" s="14">
        <ns0:v>X7R</ns0:v>
      </ns0:c>
      <ns0:c r="I178" t="str" s="15">
        <ns0:v>0603</ns0:v>
      </ns0:c>
      <ns0:c r="J178" t="str" s="14">
        <ns0:v>YAGEO</ns0:v>
      </ns0:c>
      <ns0:c r="K178" t="str" s="14">
        <ns0:v>CC0603JRX7R0BB104</ns0:v>
      </ns0:c>
      <ns0:c r="L178" t="str" s="11">
        <ns0:f>B178&amp;" "&amp;D178&amp;" "&amp;E178&amp;" "&amp;G178&amp;" "&amp;H178&amp;" "&amp;I178</ns0:f>
        <ns0:v>Конденсатор 100 нФ ±5% 100 В X7R 0603</ns0:v>
      </ns0:c>
      <ns0:c r="M178" t="str" s="13">
        <ns0:v>C</ns0:v>
      </ns0:c>
      <ns0:c r="N178" t="str" s="13">
        <ns0:v>Symbols\MY_LIB_Capacitors.SchLib</ns0:v>
      </ns0:c>
      <ns0:c r="O178" t="str" s="13">
        <ns0:v>CAPC1608X90N</ns0:v>
      </ns0:c>
      <ns0:c r="P178" t="str" s="13">
        <ns0:v>Footprints\PBL - SMD Packages.PcbLib</ns0:v>
      </ns0:c>
      <ns0:c r="Q178" t="str" s="14">
        <ns0:v>YAGEO CC; список 20.10.2026</ns0:v>
      </ns0:c>
      <ns0:c r="R178" t="str" s="11">
        <ns0:f>D178</ns0:f>
        <ns0:v>100 нФ</ns0:v>
      </ns0:c>
      <ns0:c r="S178" t="str" s="11">
        <ns0:f>L178</ns0:f>
        <ns0:v>Конденсатор 100 нФ ±5% 100 В X7R 0603</ns0:v>
      </ns0:c>
      <x:c xmlns:x="http://schemas.openxmlformats.org/spreadsheetml/2006/main" r="T178" t="str" s="11">
        <x:v>C:\Users\Nomatin\Documents\Altium\MY_LIB\MY_LIB\Datasheets\YAGEO_CC_X7R.pdf</x:v>
      </x:c>
      <x:c xmlns:x="http://schemas.openxmlformats.org/spreadsheetml/2006/main" r="U178" t="str" s="11">
        <x:v>Даташит — локальный</x:v>
      </x:c>
      <x:c xmlns:x="http://schemas.openxmlformats.org/spreadsheetml/2006/main" r="V178" t="str" s="11">
        <x:v>C:\Users\Nomatin\Documents\Altium\MY_LIB\MY_LIB\Datasheets\YAGEO_CC_X7R.pdf</x:v>
      </x:c>
      <x:c xmlns:x="http://schemas.openxmlformats.org/spreadsheetml/2006/main" r="W178" t="str" s="11">
        <x:v>Даташит — производитель</x:v>
      </x:c>
      <x:c xmlns:x="http://schemas.openxmlformats.org/spreadsheetml/2006/main" r="X178" t="str" s="11">
        <x:v>https://yageogroup.com/content/datasheet/asset/file/UPY-GPHC_X7R_6_3V-TO-250V</x:v>
      </x:c>
      <x:c xmlns:x="http://schemas.openxmlformats.org/spreadsheetml/2006/main" r="Y178" t="str" s="11">
        <x:v>C:\Users\Nomatin\Documents\Altium\MY_LIB\MY_LIB\Datasheets\YAGEO_CC_X7R.pdf</x:v>
      </x:c>
    </ns0:row>
    <ns0:row r="179" ht="30" customHeight="1">
      <ns0:c r="A179" t="str" s="14">
        <ns0:v>C0180</ns0:v>
      </ns0:c>
      <ns0:c r="B179" t="str" s="14">
        <ns0:v>Конденсатор</ns0:v>
      </ns0:c>
      <ns0:c r="C179" t="str" s="14">
        <ns0:v>150n</ns0:v>
      </ns0:c>
      <ns0:c r="D179" t="str" s="11">
        <ns0:f>SUBSTITUTE(SUBSTITUTE(SUBSTITUTE(SUBSTITUTE(C179,"p"," пФ"),"n"," нФ"),"u"," мкФ"),".",",")</ns0:f>
        <ns0:v>150 нФ</ns0:v>
      </ns0:c>
      <ns0:c r="E179" t="str" s="14">
        <ns0:v>±5%</ns0:v>
      </ns0:c>
      <ns0:c r="F179" s="14"/>
      <ns0:c r="G179" t="str" s="14">
        <ns0:v>50 В</ns0:v>
      </ns0:c>
      <ns0:c r="H179" t="str" s="14">
        <ns0:v>X7R</ns0:v>
      </ns0:c>
      <ns0:c r="I179" t="str" s="15">
        <ns0:v>0603</ns0:v>
      </ns0:c>
      <ns0:c r="J179" t="str" s="14">
        <ns0:v>YAGEO</ns0:v>
      </ns0:c>
      <ns0:c r="K179" t="str" s="14">
        <ns0:v>CC0603JRX7R9BB154</ns0:v>
      </ns0:c>
      <ns0:c r="L179" t="str" s="11">
        <ns0:f>B179&amp;" "&amp;D179&amp;" "&amp;E179&amp;" "&amp;G179&amp;" "&amp;H179&amp;" "&amp;I179</ns0:f>
        <ns0:v>Конденсатор 150 нФ ±5% 50 В X7R 0603</ns0:v>
      </ns0:c>
      <ns0:c r="M179" t="str" s="13">
        <ns0:v>C</ns0:v>
      </ns0:c>
      <ns0:c r="N179" t="str" s="13">
        <ns0:v>Symbols\MY_LIB_Capacitors.SchLib</ns0:v>
      </ns0:c>
      <ns0:c r="O179" t="str" s="13">
        <ns0:v>CAPC1608X90N</ns0:v>
      </ns0:c>
      <ns0:c r="P179" t="str" s="13">
        <ns0:v>Footprints\PBL - SMD Packages.PcbLib</ns0:v>
      </ns0:c>
      <ns0:c r="Q179" t="str" s="14">
        <ns0:v>YAGEO CC; список 20.10.2026</ns0:v>
      </ns0:c>
      <ns0:c r="R179" t="str" s="11">
        <ns0:f>D179</ns0:f>
        <ns0:v>150 нФ</ns0:v>
      </ns0:c>
      <ns0:c r="S179" t="str" s="11">
        <ns0:f>L179</ns0:f>
        <ns0:v>Конденсатор 150 нФ ±5% 50 В X7R 0603</ns0:v>
      </ns0:c>
      <x:c xmlns:x="http://schemas.openxmlformats.org/spreadsheetml/2006/main" r="T179" t="str" s="11">
        <x:v>C:\Users\Nomatin\Documents\Altium\MY_LIB\MY_LIB\Datasheets\YAGEO_CC_X7R.pdf</x:v>
      </x:c>
      <x:c xmlns:x="http://schemas.openxmlformats.org/spreadsheetml/2006/main" r="U179" t="str" s="11">
        <x:v>Даташит — локальный</x:v>
      </x:c>
      <x:c xmlns:x="http://schemas.openxmlformats.org/spreadsheetml/2006/main" r="V179" t="str" s="11">
        <x:v>C:\Users\Nomatin\Documents\Altium\MY_LIB\MY_LIB\Datasheets\YAGEO_CC_X7R.pdf</x:v>
      </x:c>
      <x:c xmlns:x="http://schemas.openxmlformats.org/spreadsheetml/2006/main" r="W179" t="str" s="11">
        <x:v>Даташит — производитель</x:v>
      </x:c>
      <x:c xmlns:x="http://schemas.openxmlformats.org/spreadsheetml/2006/main" r="X179" t="str" s="11">
        <x:v>https://yageogroup.com/content/datasheet/asset/file/UPY-GPHC_X7R_6_3V-TO-250V</x:v>
      </x:c>
      <x:c xmlns:x="http://schemas.openxmlformats.org/spreadsheetml/2006/main" r="Y179" t="str" s="11">
        <x:v>C:\Users\Nomatin\Documents\Altium\MY_LIB\MY_LIB\Datasheets\YAGEO_CC_X7R.pdf</x:v>
      </x:c>
    </ns0:row>
    <ns0:row r="180" ht="30" customHeight="1">
      <ns0:c r="A180" t="str" s="14">
        <ns0:v>C0181</ns0:v>
      </ns0:c>
      <ns0:c r="B180" t="str" s="14">
        <ns0:v>Конденсатор</ns0:v>
      </ns0:c>
      <ns0:c r="C180" t="str" s="14">
        <ns0:v>180n</ns0:v>
      </ns0:c>
      <ns0:c r="D180" t="str" s="11">
        <ns0:f>SUBSTITUTE(SUBSTITUTE(SUBSTITUTE(SUBSTITUTE(C180,"p"," пФ"),"n"," нФ"),"u"," мкФ"),".",",")</ns0:f>
        <ns0:v>180 нФ</ns0:v>
      </ns0:c>
      <ns0:c r="E180" t="str" s="14">
        <ns0:v>±5%</ns0:v>
      </ns0:c>
      <ns0:c r="F180" s="14"/>
      <ns0:c r="G180" t="str" s="14">
        <ns0:v>16 В</ns0:v>
      </ns0:c>
      <ns0:c r="H180" t="str" s="14">
        <ns0:v>X7R</ns0:v>
      </ns0:c>
      <ns0:c r="I180" t="str" s="15">
        <ns0:v>0603</ns0:v>
      </ns0:c>
      <ns0:c r="J180" t="str" s="14">
        <ns0:v>YAGEO</ns0:v>
      </ns0:c>
      <ns0:c r="K180" t="str" s="14">
        <ns0:v>CC0603JRX7R7BB184</ns0:v>
      </ns0:c>
      <ns0:c r="L180" t="str" s="11">
        <ns0:f>B180&amp;" "&amp;D180&amp;" "&amp;E180&amp;" "&amp;G180&amp;" "&amp;H180&amp;" "&amp;I180</ns0:f>
        <ns0:v>Конденсатор 180 нФ ±5% 16 В X7R 0603</ns0:v>
      </ns0:c>
      <ns0:c r="M180" t="str" s="13">
        <ns0:v>C</ns0:v>
      </ns0:c>
      <ns0:c r="N180" t="str" s="13">
        <ns0:v>Symbols\MY_LIB_Capacitors.SchLib</ns0:v>
      </ns0:c>
      <ns0:c r="O180" t="str" s="13">
        <ns0:v>CAPC1608X90N</ns0:v>
      </ns0:c>
      <ns0:c r="P180" t="str" s="13">
        <ns0:v>Footprints\PBL - SMD Packages.PcbLib</ns0:v>
      </ns0:c>
      <ns0:c r="Q180" t="str" s="14">
        <ns0:v>YAGEO CC; список 20.10.2026</ns0:v>
      </ns0:c>
      <ns0:c r="R180" t="str" s="11">
        <ns0:f>D180</ns0:f>
        <ns0:v>180 нФ</ns0:v>
      </ns0:c>
      <ns0:c r="S180" t="str" s="11">
        <ns0:f>L180</ns0:f>
        <ns0:v>Конденсатор 180 нФ ±5% 16 В X7R 0603</ns0:v>
      </ns0:c>
      <x:c xmlns:x="http://schemas.openxmlformats.org/spreadsheetml/2006/main" r="T180" t="str" s="11">
        <x:v>C:\Users\Nomatin\Documents\Altium\MY_LIB\MY_LIB\Datasheets\YAGEO_CC_X7R.pdf</x:v>
      </x:c>
      <x:c xmlns:x="http://schemas.openxmlformats.org/spreadsheetml/2006/main" r="U180" t="str" s="11">
        <x:v>Даташит — локальный</x:v>
      </x:c>
      <x:c xmlns:x="http://schemas.openxmlformats.org/spreadsheetml/2006/main" r="V180" t="str" s="11">
        <x:v>C:\Users\Nomatin\Documents\Altium\MY_LIB\MY_LIB\Datasheets\YAGEO_CC_X7R.pdf</x:v>
      </x:c>
      <x:c xmlns:x="http://schemas.openxmlformats.org/spreadsheetml/2006/main" r="W180" t="str" s="11">
        <x:v>Даташит — производитель</x:v>
      </x:c>
      <x:c xmlns:x="http://schemas.openxmlformats.org/spreadsheetml/2006/main" r="X180" t="str" s="11">
        <x:v>https://yageogroup.com/content/datasheet/asset/file/UPY-GPHC_X7R_6_3V-TO-250V</x:v>
      </x:c>
      <x:c xmlns:x="http://schemas.openxmlformats.org/spreadsheetml/2006/main" r="Y180" t="str" s="11">
        <x:v>C:\Users\Nomatin\Documents\Altium\MY_LIB\MY_LIB\Datasheets\YAGEO_CC_X7R.pdf</x:v>
      </x:c>
    </ns0:row>
    <ns0:row r="181" ht="30" customHeight="1">
      <ns0:c r="A181" t="str" s="14">
        <ns0:v>C0182</ns0:v>
      </ns0:c>
      <ns0:c r="B181" t="str" s="14">
        <ns0:v>Конденсатор</ns0:v>
      </ns0:c>
      <ns0:c r="C181" t="str" s="14">
        <ns0:v>220n</ns0:v>
      </ns0:c>
      <ns0:c r="D181" t="str" s="11">
        <ns0:f>SUBSTITUTE(SUBSTITUTE(SUBSTITUTE(SUBSTITUTE(C181,"p"," пФ"),"n"," нФ"),"u"," мкФ"),".",",")</ns0:f>
        <ns0:v>220 нФ</ns0:v>
      </ns0:c>
      <ns0:c r="E181" t="str" s="14">
        <ns0:v>±5%</ns0:v>
      </ns0:c>
      <ns0:c r="F181" s="14"/>
      <ns0:c r="G181" t="str" s="14">
        <ns0:v>50 В</ns0:v>
      </ns0:c>
      <ns0:c r="H181" t="str" s="14">
        <ns0:v>X7R</ns0:v>
      </ns0:c>
      <ns0:c r="I181" t="str" s="15">
        <ns0:v>0603</ns0:v>
      </ns0:c>
      <ns0:c r="J181" t="str" s="14">
        <ns0:v>YAGEO</ns0:v>
      </ns0:c>
      <ns0:c r="K181" t="str" s="14">
        <ns0:v>CC0603JRX7R9BB224</ns0:v>
      </ns0:c>
      <ns0:c r="L181" t="str" s="11">
        <ns0:f>B181&amp;" "&amp;D181&amp;" "&amp;E181&amp;" "&amp;G181&amp;" "&amp;H181&amp;" "&amp;I181</ns0:f>
        <ns0:v>Конденсатор 220 нФ ±5% 50 В X7R 0603</ns0:v>
      </ns0:c>
      <ns0:c r="M181" t="str" s="13">
        <ns0:v>C</ns0:v>
      </ns0:c>
      <ns0:c r="N181" t="str" s="13">
        <ns0:v>Symbols\MY_LIB_Capacitors.SchLib</ns0:v>
      </ns0:c>
      <ns0:c r="O181" t="str" s="13">
        <ns0:v>CAPC1608X90N</ns0:v>
      </ns0:c>
      <ns0:c r="P181" t="str" s="13">
        <ns0:v>Footprints\PBL - SMD Packages.PcbLib</ns0:v>
      </ns0:c>
      <ns0:c r="Q181" t="str" s="14">
        <ns0:v>YAGEO CC; список 20.10.2026</ns0:v>
      </ns0:c>
      <ns0:c r="R181" t="str" s="11">
        <ns0:f>D181</ns0:f>
        <ns0:v>220 нФ</ns0:v>
      </ns0:c>
      <ns0:c r="S181" t="str" s="11">
        <ns0:f>L181</ns0:f>
        <ns0:v>Конденсатор 220 нФ ±5% 50 В X7R 0603</ns0:v>
      </ns0:c>
      <x:c xmlns:x="http://schemas.openxmlformats.org/spreadsheetml/2006/main" r="T181" t="str" s="11">
        <x:v>C:\Users\Nomatin\Documents\Altium\MY_LIB\MY_LIB\Datasheets\YAGEO_CC_X7R.pdf</x:v>
      </x:c>
      <x:c xmlns:x="http://schemas.openxmlformats.org/spreadsheetml/2006/main" r="U181" t="str" s="11">
        <x:v>Даташит — локальный</x:v>
      </x:c>
      <x:c xmlns:x="http://schemas.openxmlformats.org/spreadsheetml/2006/main" r="V181" t="str" s="11">
        <x:v>C:\Users\Nomatin\Documents\Altium\MY_LIB\MY_LIB\Datasheets\YAGEO_CC_X7R.pdf</x:v>
      </x:c>
      <x:c xmlns:x="http://schemas.openxmlformats.org/spreadsheetml/2006/main" r="W181" t="str" s="11">
        <x:v>Даташит — производитель</x:v>
      </x:c>
      <x:c xmlns:x="http://schemas.openxmlformats.org/spreadsheetml/2006/main" r="X181" t="str" s="11">
        <x:v>https://yageogroup.com/content/datasheet/asset/file/UPY-GPHC_X7R_6_3V-TO-250V</x:v>
      </x:c>
      <x:c xmlns:x="http://schemas.openxmlformats.org/spreadsheetml/2006/main" r="Y181" t="str" s="11">
        <x:v>C:\Users\Nomatin\Documents\Altium\MY_LIB\MY_LIB\Datasheets\YAGEO_CC_X7R.pdf</x:v>
      </x:c>
    </ns0:row>
    <ns0:row r="182" ht="30" customHeight="1">
      <ns0:c r="A182" t="str" s="14">
        <ns0:v>C0183</ns0:v>
      </ns0:c>
      <ns0:c r="B182" t="str" s="14">
        <ns0:v>Конденсатор</ns0:v>
      </ns0:c>
      <ns0:c r="C182" t="str" s="14">
        <ns0:v>330n</ns0:v>
      </ns0:c>
      <ns0:c r="D182" t="str" s="11">
        <ns0:f>SUBSTITUTE(SUBSTITUTE(SUBSTITUTE(SUBSTITUTE(C182,"p"," пФ"),"n"," нФ"),"u"," мкФ"),".",",")</ns0:f>
        <ns0:v>330 нФ</ns0:v>
      </ns0:c>
      <ns0:c r="E182" t="str" s="14">
        <ns0:v>±5%</ns0:v>
      </ns0:c>
      <ns0:c r="F182" s="14"/>
      <ns0:c r="G182" t="str" s="14">
        <ns0:v>25 В</ns0:v>
      </ns0:c>
      <ns0:c r="H182" t="str" s="14">
        <ns0:v>X7R</ns0:v>
      </ns0:c>
      <ns0:c r="I182" t="str" s="15">
        <ns0:v>0603</ns0:v>
      </ns0:c>
      <ns0:c r="J182" t="str" s="14">
        <ns0:v>YAGEO</ns0:v>
      </ns0:c>
      <ns0:c r="K182" t="str" s="14">
        <ns0:v>CC0603JRX7R8BB334</ns0:v>
      </ns0:c>
      <ns0:c r="L182" t="str" s="11">
        <ns0:f>B182&amp;" "&amp;D182&amp;" "&amp;E182&amp;" "&amp;G182&amp;" "&amp;H182&amp;" "&amp;I182</ns0:f>
        <ns0:v>Конденсатор 330 нФ ±5% 25 В X7R 0603</ns0:v>
      </ns0:c>
      <ns0:c r="M182" t="str" s="13">
        <ns0:v>C</ns0:v>
      </ns0:c>
      <ns0:c r="N182" t="str" s="13">
        <ns0:v>Symbols\MY_LIB_Capacitors.SchLib</ns0:v>
      </ns0:c>
      <ns0:c r="O182" t="str" s="13">
        <ns0:v>CAPC1608X90N</ns0:v>
      </ns0:c>
      <ns0:c r="P182" t="str" s="13">
        <ns0:v>Footprints\PBL - SMD Packages.PcbLib</ns0:v>
      </ns0:c>
      <ns0:c r="Q182" t="str" s="14">
        <ns0:v>YAGEO CC; список 20.10.2026</ns0:v>
      </ns0:c>
      <ns0:c r="R182" t="str" s="11">
        <ns0:f>D182</ns0:f>
        <ns0:v>330 нФ</ns0:v>
      </ns0:c>
      <ns0:c r="S182" t="str" s="11">
        <ns0:f>L182</ns0:f>
        <ns0:v>Конденсатор 330 нФ ±5% 25 В X7R 0603</ns0:v>
      </ns0:c>
      <x:c xmlns:x="http://schemas.openxmlformats.org/spreadsheetml/2006/main" r="T182" t="str" s="11">
        <x:v>C:\Users\Nomatin\Documents\Altium\MY_LIB\MY_LIB\Datasheets\YAGEO_CC_X7R.pdf</x:v>
      </x:c>
      <x:c xmlns:x="http://schemas.openxmlformats.org/spreadsheetml/2006/main" r="U182" t="str" s="11">
        <x:v>Даташит — локальный</x:v>
      </x:c>
      <x:c xmlns:x="http://schemas.openxmlformats.org/spreadsheetml/2006/main" r="V182" t="str" s="11">
        <x:v>C:\Users\Nomatin\Documents\Altium\MY_LIB\MY_LIB\Datasheets\YAGEO_CC_X7R.pdf</x:v>
      </x:c>
      <x:c xmlns:x="http://schemas.openxmlformats.org/spreadsheetml/2006/main" r="W182" t="str" s="11">
        <x:v>Даташит — производитель</x:v>
      </x:c>
      <x:c xmlns:x="http://schemas.openxmlformats.org/spreadsheetml/2006/main" r="X182" t="str" s="11">
        <x:v>https://yageogroup.com/content/datasheet/asset/file/UPY-GPHC_X7R_6_3V-TO-250V</x:v>
      </x:c>
      <x:c xmlns:x="http://schemas.openxmlformats.org/spreadsheetml/2006/main" r="Y182" t="str" s="11">
        <x:v>C:\Users\Nomatin\Documents\Altium\MY_LIB\MY_LIB\Datasheets\YAGEO_CC_X7R.pdf</x:v>
      </x:c>
    </ns0:row>
    <ns0:row r="183" ht="30" customHeight="1">
      <ns0:c r="A183" t="str" s="14">
        <ns0:v>C0184</ns0:v>
      </ns0:c>
      <ns0:c r="B183" t="str" s="14">
        <ns0:v>Конденсатор</ns0:v>
      </ns0:c>
      <ns0:c r="C183" t="str" s="14">
        <ns0:v>470n</ns0:v>
      </ns0:c>
      <ns0:c r="D183" t="str" s="11">
        <ns0:f>SUBSTITUTE(SUBSTITUTE(SUBSTITUTE(SUBSTITUTE(C183,"p"," пФ"),"n"," нФ"),"u"," мкФ"),".",",")</ns0:f>
        <ns0:v>470 нФ</ns0:v>
      </ns0:c>
      <ns0:c r="E183" t="str" s="14">
        <ns0:v>±5%</ns0:v>
      </ns0:c>
      <ns0:c r="F183" s="14"/>
      <ns0:c r="G183" t="str" s="14">
        <ns0:v>50 В</ns0:v>
      </ns0:c>
      <ns0:c r="H183" t="str" s="14">
        <ns0:v>X7R</ns0:v>
      </ns0:c>
      <ns0:c r="I183" t="str" s="15">
        <ns0:v>0603</ns0:v>
      </ns0:c>
      <ns0:c r="J183" t="str" s="14">
        <ns0:v>YAGEO</ns0:v>
      </ns0:c>
      <ns0:c r="K183" t="str" s="14">
        <ns0:v>CC0603JRX7R9BB474</ns0:v>
      </ns0:c>
      <ns0:c r="L183" t="str" s="11">
        <ns0:f>B183&amp;" "&amp;D183&amp;" "&amp;E183&amp;" "&amp;G183&amp;" "&amp;H183&amp;" "&amp;I183</ns0:f>
        <ns0:v>Конденсатор 470 нФ ±5% 50 В X7R 0603</ns0:v>
      </ns0:c>
      <ns0:c r="M183" t="str" s="13">
        <ns0:v>C</ns0:v>
      </ns0:c>
      <ns0:c r="N183" t="str" s="13">
        <ns0:v>Symbols\MY_LIB_Capacitors.SchLib</ns0:v>
      </ns0:c>
      <ns0:c r="O183" t="str" s="13">
        <ns0:v>CAPC1608X90N</ns0:v>
      </ns0:c>
      <ns0:c r="P183" t="str" s="13">
        <ns0:v>Footprints\PBL - SMD Packages.PcbLib</ns0:v>
      </ns0:c>
      <ns0:c r="Q183" t="str" s="14">
        <ns0:v>YAGEO CC; список 20.10.2026</ns0:v>
      </ns0:c>
      <ns0:c r="R183" t="str" s="11">
        <ns0:f>D183</ns0:f>
        <ns0:v>470 нФ</ns0:v>
      </ns0:c>
      <ns0:c r="S183" t="str" s="11">
        <ns0:f>L183</ns0:f>
        <ns0:v>Конденсатор 470 нФ ±5% 50 В X7R 0603</ns0:v>
      </ns0:c>
      <x:c xmlns:x="http://schemas.openxmlformats.org/spreadsheetml/2006/main" r="T183" t="str" s="11">
        <x:v>C:\Users\Nomatin\Documents\Altium\MY_LIB\MY_LIB\Datasheets\YAGEO_CC_X7R.pdf</x:v>
      </x:c>
      <x:c xmlns:x="http://schemas.openxmlformats.org/spreadsheetml/2006/main" r="U183" t="str" s="11">
        <x:v>Даташит — локальный</x:v>
      </x:c>
      <x:c xmlns:x="http://schemas.openxmlformats.org/spreadsheetml/2006/main" r="V183" t="str" s="11">
        <x:v>C:\Users\Nomatin\Documents\Altium\MY_LIB\MY_LIB\Datasheets\YAGEO_CC_X7R.pdf</x:v>
      </x:c>
      <x:c xmlns:x="http://schemas.openxmlformats.org/spreadsheetml/2006/main" r="W183" t="str" s="11">
        <x:v>Даташит — производитель</x:v>
      </x:c>
      <x:c xmlns:x="http://schemas.openxmlformats.org/spreadsheetml/2006/main" r="X183" t="str" s="11">
        <x:v>https://yageogroup.com/content/datasheet/asset/file/UPY-GPHC_X7R_6_3V-TO-250V</x:v>
      </x:c>
      <x:c xmlns:x="http://schemas.openxmlformats.org/spreadsheetml/2006/main" r="Y183" t="str" s="11">
        <x:v>C:\Users\Nomatin\Documents\Altium\MY_LIB\MY_LIB\Datasheets\YAGEO_CC_X7R.pdf</x:v>
      </x:c>
    </ns0:row>
    <ns0:row r="184" ht="30" customHeight="1">
      <ns0:c r="A184" t="str" s="14">
        <ns0:v>C0185</ns0:v>
      </ns0:c>
      <ns0:c r="B184" t="str" s="14">
        <ns0:v>Конденсатор</ns0:v>
      </ns0:c>
      <ns0:c r="C184" t="str" s="14">
        <ns0:v>680n</ns0:v>
      </ns0:c>
      <ns0:c r="D184" t="str" s="11">
        <ns0:f>SUBSTITUTE(SUBSTITUTE(SUBSTITUTE(SUBSTITUTE(C184,"p"," пФ"),"n"," нФ"),"u"," мкФ"),".",",")</ns0:f>
        <ns0:v>680 нФ</ns0:v>
      </ns0:c>
      <ns0:c r="E184" t="str" s="14">
        <ns0:v>±5%</ns0:v>
      </ns0:c>
      <ns0:c r="F184" s="14"/>
      <ns0:c r="G184" t="str" s="14">
        <ns0:v>50 В</ns0:v>
      </ns0:c>
      <ns0:c r="H184" t="str" s="14">
        <ns0:v>X7R</ns0:v>
      </ns0:c>
      <ns0:c r="I184" t="str" s="15">
        <ns0:v>0603</ns0:v>
      </ns0:c>
      <ns0:c r="J184" t="str" s="14">
        <ns0:v>YAGEO</ns0:v>
      </ns0:c>
      <ns0:c r="K184" t="str" s="14">
        <ns0:v>CC0603JRX7R9BB684</ns0:v>
      </ns0:c>
      <ns0:c r="L184" t="str" s="11">
        <ns0:f>B184&amp;" "&amp;D184&amp;" "&amp;E184&amp;" "&amp;G184&amp;" "&amp;H184&amp;" "&amp;I184</ns0:f>
        <ns0:v>Конденсатор 680 нФ ±5% 50 В X7R 0603</ns0:v>
      </ns0:c>
      <ns0:c r="M184" t="str" s="13">
        <ns0:v>C</ns0:v>
      </ns0:c>
      <ns0:c r="N184" t="str" s="13">
        <ns0:v>Symbols\MY_LIB_Capacitors.SchLib</ns0:v>
      </ns0:c>
      <ns0:c r="O184" t="str" s="13">
        <ns0:v>CAPC1608X90N</ns0:v>
      </ns0:c>
      <ns0:c r="P184" t="str" s="13">
        <ns0:v>Footprints\PBL - SMD Packages.PcbLib</ns0:v>
      </ns0:c>
      <ns0:c r="Q184" t="str" s="14">
        <ns0:v>YAGEO CC; список 20.10.2026</ns0:v>
      </ns0:c>
      <ns0:c r="R184" t="str" s="11">
        <ns0:f>D184</ns0:f>
        <ns0:v>680 нФ</ns0:v>
      </ns0:c>
      <ns0:c r="S184" t="str" s="11">
        <ns0:f>L184</ns0:f>
        <ns0:v>Конденсатор 680 нФ ±5% 50 В X7R 0603</ns0:v>
      </ns0:c>
      <x:c xmlns:x="http://schemas.openxmlformats.org/spreadsheetml/2006/main" r="T184" t="str" s="11">
        <x:v>C:\Users\Nomatin\Documents\Altium\MY_LIB\MY_LIB\Datasheets\YAGEO_CC_X7R.pdf</x:v>
      </x:c>
      <x:c xmlns:x="http://schemas.openxmlformats.org/spreadsheetml/2006/main" r="U184" t="str" s="11">
        <x:v>Даташит — локальный</x:v>
      </x:c>
      <x:c xmlns:x="http://schemas.openxmlformats.org/spreadsheetml/2006/main" r="V184" t="str" s="11">
        <x:v>C:\Users\Nomatin\Documents\Altium\MY_LIB\MY_LIB\Datasheets\YAGEO_CC_X7R.pdf</x:v>
      </x:c>
      <x:c xmlns:x="http://schemas.openxmlformats.org/spreadsheetml/2006/main" r="W184" t="str" s="11">
        <x:v>Даташит — производитель</x:v>
      </x:c>
      <x:c xmlns:x="http://schemas.openxmlformats.org/spreadsheetml/2006/main" r="X184" t="str" s="11">
        <x:v>https://yageogroup.com/content/datasheet/asset/file/UPY-GPHC_X7R_6_3V-TO-250V</x:v>
      </x:c>
      <x:c xmlns:x="http://schemas.openxmlformats.org/spreadsheetml/2006/main" r="Y184" t="str" s="11">
        <x:v>C:\Users\Nomatin\Documents\Altium\MY_LIB\MY_LIB\Datasheets\YAGEO_CC_X7R.pdf</x:v>
      </x:c>
    </ns0:row>
    <ns0:row r="185" ht="30" customHeight="1">
      <ns0:c r="A185" t="str" s="14">
        <ns0:v>C0186</ns0:v>
      </ns0:c>
      <ns0:c r="B185" t="str" s="14">
        <ns0:v>Конденсатор</ns0:v>
      </ns0:c>
      <ns0:c r="C185" t="str" s="14">
        <ns0:v>1u</ns0:v>
      </ns0:c>
      <ns0:c r="D185" t="str" s="11">
        <ns0:f>SUBSTITUTE(SUBSTITUTE(SUBSTITUTE(SUBSTITUTE(C185,"p"," пФ"),"n"," нФ"),"u"," мкФ"),".",",")</ns0:f>
        <ns0:v>1 мкФ</ns0:v>
      </ns0:c>
      <ns0:c r="E185" t="str" s="14">
        <ns0:v>±5%</ns0:v>
      </ns0:c>
      <ns0:c r="F185" s="14"/>
      <ns0:c r="G185" t="str" s="14">
        <ns0:v>50 В</ns0:v>
      </ns0:c>
      <ns0:c r="H185" t="str" s="14">
        <ns0:v>X7R</ns0:v>
      </ns0:c>
      <ns0:c r="I185" t="str" s="15">
        <ns0:v>0603</ns0:v>
      </ns0:c>
      <ns0:c r="J185" t="str" s="14">
        <ns0:v>YAGEO</ns0:v>
      </ns0:c>
      <ns0:c r="K185" t="str" s="14">
        <ns0:v>CC0603JRX7R9BB105</ns0:v>
      </ns0:c>
      <ns0:c r="L185" t="str" s="11">
        <ns0:f>B185&amp;" "&amp;D185&amp;" "&amp;E185&amp;" "&amp;G185&amp;" "&amp;H185&amp;" "&amp;I185</ns0:f>
        <ns0:v>Конденсатор 1 мкФ ±5% 50 В X7R 0603</ns0:v>
      </ns0:c>
      <ns0:c r="M185" t="str" s="13">
        <ns0:v>C</ns0:v>
      </ns0:c>
      <ns0:c r="N185" t="str" s="13">
        <ns0:v>Symbols\MY_LIB_Capacitors.SchLib</ns0:v>
      </ns0:c>
      <ns0:c r="O185" t="str" s="13">
        <ns0:v>CAPC1608X90N</ns0:v>
      </ns0:c>
      <ns0:c r="P185" t="str" s="13">
        <ns0:v>Footprints\PBL - SMD Packages.PcbLib</ns0:v>
      </ns0:c>
      <ns0:c r="Q185" t="str" s="14">
        <ns0:v>YAGEO CC; список 20.10.2026</ns0:v>
      </ns0:c>
      <ns0:c r="R185" t="str" s="11">
        <ns0:f>D185</ns0:f>
        <ns0:v>1 мкФ</ns0:v>
      </ns0:c>
      <ns0:c r="S185" t="str" s="11">
        <ns0:f>L185</ns0:f>
        <ns0:v>Конденсатор 1 мкФ ±5% 50 В X7R 0603</ns0:v>
      </ns0:c>
      <x:c xmlns:x="http://schemas.openxmlformats.org/spreadsheetml/2006/main" r="T185" t="str" s="11">
        <x:v>C:\Users\Nomatin\Documents\Altium\MY_LIB\MY_LIB\Datasheets\YAGEO_CC_X7R.pdf</x:v>
      </x:c>
      <x:c xmlns:x="http://schemas.openxmlformats.org/spreadsheetml/2006/main" r="U185" t="str" s="11">
        <x:v>Даташит — локальный</x:v>
      </x:c>
      <x:c xmlns:x="http://schemas.openxmlformats.org/spreadsheetml/2006/main" r="V185" t="str" s="11">
        <x:v>C:\Users\Nomatin\Documents\Altium\MY_LIB\MY_LIB\Datasheets\YAGEO_CC_X7R.pdf</x:v>
      </x:c>
      <x:c xmlns:x="http://schemas.openxmlformats.org/spreadsheetml/2006/main" r="W185" t="str" s="11">
        <x:v>Даташит — производитель</x:v>
      </x:c>
      <x:c xmlns:x="http://schemas.openxmlformats.org/spreadsheetml/2006/main" r="X185" t="str" s="11">
        <x:v>https://yageogroup.com/content/datasheet/asset/file/UPY-GPHC_X7R_6_3V-TO-250V</x:v>
      </x:c>
      <x:c xmlns:x="http://schemas.openxmlformats.org/spreadsheetml/2006/main" r="Y185" t="str" s="11">
        <x:v>C:\Users\Nomatin\Documents\Altium\MY_LIB\MY_LIB\Datasheets\YAGEO_CC_X7R.pdf</x:v>
      </x:c>
    </ns0:row>
    <ns0:row r="186" ht="30" customHeight="1">
      <ns0:c r="A186" t="str" s="14">
        <ns0:v>C0187</ns0:v>
      </ns0:c>
      <ns0:c r="B186" t="str" s="14">
        <ns0:v>Конденсатор</ns0:v>
      </ns0:c>
      <ns0:c r="C186" t="str" s="14">
        <ns0:v>100p</ns0:v>
      </ns0:c>
      <ns0:c r="D186" t="str" s="11">
        <ns0:f>SUBSTITUTE(SUBSTITUTE(SUBSTITUTE(SUBSTITUTE(C186,"p"," пФ"),"n"," нФ"),"u"," мкФ"),".",",")</ns0:f>
        <ns0:v>100 пФ</ns0:v>
      </ns0:c>
      <ns0:c r="E186" t="str" s="14">
        <ns0:v>±10%</ns0:v>
      </ns0:c>
      <ns0:c r="F186" s="14"/>
      <ns0:c r="G186" t="str" s="14">
        <ns0:v>100 В</ns0:v>
      </ns0:c>
      <ns0:c r="H186" t="str" s="14">
        <ns0:v>X7R</ns0:v>
      </ns0:c>
      <ns0:c r="I186" t="str" s="15">
        <ns0:v>0603</ns0:v>
      </ns0:c>
      <ns0:c r="J186" t="str" s="14">
        <ns0:v>YAGEO</ns0:v>
      </ns0:c>
      <ns0:c r="K186" t="str" s="14">
        <ns0:v>CC0603KRX7R0BB101</ns0:v>
      </ns0:c>
      <ns0:c r="L186" t="str" s="11">
        <ns0:f>B186&amp;" "&amp;D186&amp;" "&amp;E186&amp;" "&amp;G186&amp;" "&amp;H186&amp;" "&amp;I186</ns0:f>
        <ns0:v>Конденсатор 100 пФ ±10% 100 В X7R 0603</ns0:v>
      </ns0:c>
      <ns0:c r="M186" t="str" s="13">
        <ns0:v>C</ns0:v>
      </ns0:c>
      <ns0:c r="N186" t="str" s="13">
        <ns0:v>Symbols\MY_LIB_Capacitors.SchLib</ns0:v>
      </ns0:c>
      <ns0:c r="O186" t="str" s="13">
        <ns0:v>CAPC1608X90N</ns0:v>
      </ns0:c>
      <ns0:c r="P186" t="str" s="13">
        <ns0:v>Footprints\PBL - SMD Packages.PcbLib</ns0:v>
      </ns0:c>
      <ns0:c r="Q186" t="str" s="14">
        <ns0:v>YAGEO CC; список 20.10.2026</ns0:v>
      </ns0:c>
      <ns0:c r="R186" t="str" s="11">
        <ns0:f>D186</ns0:f>
        <ns0:v>100 пФ</ns0:v>
      </ns0:c>
      <ns0:c r="S186" t="str" s="11">
        <ns0:f>L186</ns0:f>
        <ns0:v>Конденсатор 100 пФ ±10% 100 В X7R 0603</ns0:v>
      </ns0:c>
      <x:c xmlns:x="http://schemas.openxmlformats.org/spreadsheetml/2006/main" r="T186" t="str" s="11">
        <x:v>C:\Users\Nomatin\Documents\Altium\MY_LIB\MY_LIB\Datasheets\YAGEO_CC_X7R.pdf</x:v>
      </x:c>
      <x:c xmlns:x="http://schemas.openxmlformats.org/spreadsheetml/2006/main" r="U186" t="str" s="11">
        <x:v>Даташит — локальный</x:v>
      </x:c>
      <x:c xmlns:x="http://schemas.openxmlformats.org/spreadsheetml/2006/main" r="V186" t="str" s="11">
        <x:v>C:\Users\Nomatin\Documents\Altium\MY_LIB\MY_LIB\Datasheets\YAGEO_CC_X7R.pdf</x:v>
      </x:c>
      <x:c xmlns:x="http://schemas.openxmlformats.org/spreadsheetml/2006/main" r="W186" t="str" s="11">
        <x:v>Даташит — производитель</x:v>
      </x:c>
      <x:c xmlns:x="http://schemas.openxmlformats.org/spreadsheetml/2006/main" r="X186" t="str" s="11">
        <x:v>https://yageogroup.com/content/datasheet/asset/file/UPY-GPHC_X7R_6_3V-TO-250V</x:v>
      </x:c>
      <x:c xmlns:x="http://schemas.openxmlformats.org/spreadsheetml/2006/main" r="Y186" t="str" s="11">
        <x:v>C:\Users\Nomatin\Documents\Altium\MY_LIB\MY_LIB\Datasheets\YAGEO_CC_X7R.pdf</x:v>
      </x:c>
    </ns0:row>
    <ns0:row r="187" ht="30" customHeight="1">
      <ns0:c r="A187" t="str" s="14">
        <ns0:v>C0188</ns0:v>
      </ns0:c>
      <ns0:c r="B187" t="str" s="14">
        <ns0:v>Конденсатор</ns0:v>
      </ns0:c>
      <ns0:c r="C187" t="str" s="14">
        <ns0:v>120p</ns0:v>
      </ns0:c>
      <ns0:c r="D187" t="str" s="11">
        <ns0:f>SUBSTITUTE(SUBSTITUTE(SUBSTITUTE(SUBSTITUTE(C187,"p"," пФ"),"n"," нФ"),"u"," мкФ"),".",",")</ns0:f>
        <ns0:v>120 пФ</ns0:v>
      </ns0:c>
      <ns0:c r="E187" t="str" s="14">
        <ns0:v>±10%</ns0:v>
      </ns0:c>
      <ns0:c r="F187" s="14"/>
      <ns0:c r="G187" t="str" s="14">
        <ns0:v>50 В</ns0:v>
      </ns0:c>
      <ns0:c r="H187" t="str" s="14">
        <ns0:v>X7R</ns0:v>
      </ns0:c>
      <ns0:c r="I187" t="str" s="15">
        <ns0:v>0603</ns0:v>
      </ns0:c>
      <ns0:c r="J187" t="str" s="14">
        <ns0:v>YAGEO</ns0:v>
      </ns0:c>
      <ns0:c r="K187" t="str" s="14">
        <ns0:v>CC0603KRX7R9BB121</ns0:v>
      </ns0:c>
      <ns0:c r="L187" t="str" s="11">
        <ns0:f>B187&amp;" "&amp;D187&amp;" "&amp;E187&amp;" "&amp;G187&amp;" "&amp;H187&amp;" "&amp;I187</ns0:f>
        <ns0:v>Конденсатор 120 пФ ±10% 50 В X7R 0603</ns0:v>
      </ns0:c>
      <ns0:c r="M187" t="str" s="13">
        <ns0:v>C</ns0:v>
      </ns0:c>
      <ns0:c r="N187" t="str" s="13">
        <ns0:v>Symbols\MY_LIB_Capacitors.SchLib</ns0:v>
      </ns0:c>
      <ns0:c r="O187" t="str" s="13">
        <ns0:v>CAPC1608X90N</ns0:v>
      </ns0:c>
      <ns0:c r="P187" t="str" s="13">
        <ns0:v>Footprints\PBL - SMD Packages.PcbLib</ns0:v>
      </ns0:c>
      <ns0:c r="Q187" t="str" s="14">
        <ns0:v>YAGEO CC; список 20.10.2026</ns0:v>
      </ns0:c>
      <ns0:c r="R187" t="str" s="11">
        <ns0:f>D187</ns0:f>
        <ns0:v>120 пФ</ns0:v>
      </ns0:c>
      <ns0:c r="S187" t="str" s="11">
        <ns0:f>L187</ns0:f>
        <ns0:v>Конденсатор 120 пФ ±10% 50 В X7R 0603</ns0:v>
      </ns0:c>
      <x:c xmlns:x="http://schemas.openxmlformats.org/spreadsheetml/2006/main" r="T187" t="str" s="11">
        <x:v>C:\Users\Nomatin\Documents\Altium\MY_LIB\MY_LIB\Datasheets\YAGEO_CC_X7R.pdf</x:v>
      </x:c>
      <x:c xmlns:x="http://schemas.openxmlformats.org/spreadsheetml/2006/main" r="U187" t="str" s="11">
        <x:v>Даташит — локальный</x:v>
      </x:c>
      <x:c xmlns:x="http://schemas.openxmlformats.org/spreadsheetml/2006/main" r="V187" t="str" s="11">
        <x:v>C:\Users\Nomatin\Documents\Altium\MY_LIB\MY_LIB\Datasheets\YAGEO_CC_X7R.pdf</x:v>
      </x:c>
      <x:c xmlns:x="http://schemas.openxmlformats.org/spreadsheetml/2006/main" r="W187" t="str" s="11">
        <x:v>Даташит — производитель</x:v>
      </x:c>
      <x:c xmlns:x="http://schemas.openxmlformats.org/spreadsheetml/2006/main" r="X187" t="str" s="11">
        <x:v>https://yageogroup.com/content/datasheet/asset/file/UPY-GPHC_X7R_6_3V-TO-250V</x:v>
      </x:c>
      <x:c xmlns:x="http://schemas.openxmlformats.org/spreadsheetml/2006/main" r="Y187" t="str" s="11">
        <x:v>C:\Users\Nomatin\Documents\Altium\MY_LIB\MY_LIB\Datasheets\YAGEO_CC_X7R.pdf</x:v>
      </x:c>
    </ns0:row>
    <ns0:row r="188" ht="30" customHeight="1">
      <ns0:c r="A188" t="str" s="14">
        <ns0:v>C0189</ns0:v>
      </ns0:c>
      <ns0:c r="B188" t="str" s="14">
        <ns0:v>Конденсатор</ns0:v>
      </ns0:c>
      <ns0:c r="C188" t="str" s="14">
        <ns0:v>150p</ns0:v>
      </ns0:c>
      <ns0:c r="D188" t="str" s="11">
        <ns0:f>SUBSTITUTE(SUBSTITUTE(SUBSTITUTE(SUBSTITUTE(C188,"p"," пФ"),"n"," нФ"),"u"," мкФ"),".",",")</ns0:f>
        <ns0:v>150 пФ</ns0:v>
      </ns0:c>
      <ns0:c r="E188" t="str" s="14">
        <ns0:v>±10%</ns0:v>
      </ns0:c>
      <ns0:c r="F188" s="14"/>
      <ns0:c r="G188" t="str" s="14">
        <ns0:v>100 В</ns0:v>
      </ns0:c>
      <ns0:c r="H188" t="str" s="14">
        <ns0:v>X7R</ns0:v>
      </ns0:c>
      <ns0:c r="I188" t="str" s="15">
        <ns0:v>0603</ns0:v>
      </ns0:c>
      <ns0:c r="J188" t="str" s="14">
        <ns0:v>YAGEO</ns0:v>
      </ns0:c>
      <ns0:c r="K188" t="str" s="14">
        <ns0:v>CC0603KRX7R0BB151</ns0:v>
      </ns0:c>
      <ns0:c r="L188" t="str" s="11">
        <ns0:f>B188&amp;" "&amp;D188&amp;" "&amp;E188&amp;" "&amp;G188&amp;" "&amp;H188&amp;" "&amp;I188</ns0:f>
        <ns0:v>Конденсатор 150 пФ ±10% 100 В X7R 0603</ns0:v>
      </ns0:c>
      <ns0:c r="M188" t="str" s="13">
        <ns0:v>C</ns0:v>
      </ns0:c>
      <ns0:c r="N188" t="str" s="13">
        <ns0:v>Symbols\MY_LIB_Capacitors.SchLib</ns0:v>
      </ns0:c>
      <ns0:c r="O188" t="str" s="13">
        <ns0:v>CAPC1608X90N</ns0:v>
      </ns0:c>
      <ns0:c r="P188" t="str" s="13">
        <ns0:v>Footprints\PBL - SMD Packages.PcbLib</ns0:v>
      </ns0:c>
      <ns0:c r="Q188" t="str" s="14">
        <ns0:v>YAGEO CC; список 20.10.2026</ns0:v>
      </ns0:c>
      <ns0:c r="R188" t="str" s="11">
        <ns0:f>D188</ns0:f>
        <ns0:v>150 пФ</ns0:v>
      </ns0:c>
      <ns0:c r="S188" t="str" s="11">
        <ns0:f>L188</ns0:f>
        <ns0:v>Конденсатор 150 пФ ±10% 100 В X7R 0603</ns0:v>
      </ns0:c>
      <x:c xmlns:x="http://schemas.openxmlformats.org/spreadsheetml/2006/main" r="T188" t="str" s="11">
        <x:v>C:\Users\Nomatin\Documents\Altium\MY_LIB\MY_LIB\Datasheets\YAGEO_CC_X7R.pdf</x:v>
      </x:c>
      <x:c xmlns:x="http://schemas.openxmlformats.org/spreadsheetml/2006/main" r="U188" t="str" s="11">
        <x:v>Даташит — локальный</x:v>
      </x:c>
      <x:c xmlns:x="http://schemas.openxmlformats.org/spreadsheetml/2006/main" r="V188" t="str" s="11">
        <x:v>C:\Users\Nomatin\Documents\Altium\MY_LIB\MY_LIB\Datasheets\YAGEO_CC_X7R.pdf</x:v>
      </x:c>
      <x:c xmlns:x="http://schemas.openxmlformats.org/spreadsheetml/2006/main" r="W188" t="str" s="11">
        <x:v>Даташит — производитель</x:v>
      </x:c>
      <x:c xmlns:x="http://schemas.openxmlformats.org/spreadsheetml/2006/main" r="X188" t="str" s="11">
        <x:v>https://yageogroup.com/content/datasheet/asset/file/UPY-GPHC_X7R_6_3V-TO-250V</x:v>
      </x:c>
      <x:c xmlns:x="http://schemas.openxmlformats.org/spreadsheetml/2006/main" r="Y188" t="str" s="11">
        <x:v>C:\Users\Nomatin\Documents\Altium\MY_LIB\MY_LIB\Datasheets\YAGEO_CC_X7R.pdf</x:v>
      </x:c>
    </ns0:row>
    <ns0:row r="189" ht="30" customHeight="1">
      <ns0:c r="A189" t="str" s="14">
        <ns0:v>C0190</ns0:v>
      </ns0:c>
      <ns0:c r="B189" t="str" s="14">
        <ns0:v>Конденсатор</ns0:v>
      </ns0:c>
      <ns0:c r="C189" t="str" s="14">
        <ns0:v>180p</ns0:v>
      </ns0:c>
      <ns0:c r="D189" t="str" s="11">
        <ns0:f>SUBSTITUTE(SUBSTITUTE(SUBSTITUTE(SUBSTITUTE(C189,"p"," пФ"),"n"," нФ"),"u"," мкФ"),".",",")</ns0:f>
        <ns0:v>180 пФ</ns0:v>
      </ns0:c>
      <ns0:c r="E189" t="str" s="14">
        <ns0:v>±10%</ns0:v>
      </ns0:c>
      <ns0:c r="F189" s="14"/>
      <ns0:c r="G189" t="str" s="14">
        <ns0:v>100 В</ns0:v>
      </ns0:c>
      <ns0:c r="H189" t="str" s="14">
        <ns0:v>X7R</ns0:v>
      </ns0:c>
      <ns0:c r="I189" t="str" s="15">
        <ns0:v>0603</ns0:v>
      </ns0:c>
      <ns0:c r="J189" t="str" s="14">
        <ns0:v>YAGEO</ns0:v>
      </ns0:c>
      <ns0:c r="K189" t="str" s="14">
        <ns0:v>CC0603KRX7R0BB181</ns0:v>
      </ns0:c>
      <ns0:c r="L189" t="str" s="11">
        <ns0:f>B189&amp;" "&amp;D189&amp;" "&amp;E189&amp;" "&amp;G189&amp;" "&amp;H189&amp;" "&amp;I189</ns0:f>
        <ns0:v>Конденсатор 180 пФ ±10% 100 В X7R 0603</ns0:v>
      </ns0:c>
      <ns0:c r="M189" t="str" s="13">
        <ns0:v>C</ns0:v>
      </ns0:c>
      <ns0:c r="N189" t="str" s="13">
        <ns0:v>Symbols\MY_LIB_Capacitors.SchLib</ns0:v>
      </ns0:c>
      <ns0:c r="O189" t="str" s="13">
        <ns0:v>CAPC1608X90N</ns0:v>
      </ns0:c>
      <ns0:c r="P189" t="str" s="13">
        <ns0:v>Footprints\PBL - SMD Packages.PcbLib</ns0:v>
      </ns0:c>
      <ns0:c r="Q189" t="str" s="14">
        <ns0:v>YAGEO CC; список 20.10.2026</ns0:v>
      </ns0:c>
      <ns0:c r="R189" t="str" s="11">
        <ns0:f>D189</ns0:f>
        <ns0:v>180 пФ</ns0:v>
      </ns0:c>
      <ns0:c r="S189" t="str" s="11">
        <ns0:f>L189</ns0:f>
        <ns0:v>Конденсатор 180 пФ ±10% 100 В X7R 0603</ns0:v>
      </ns0:c>
      <x:c xmlns:x="http://schemas.openxmlformats.org/spreadsheetml/2006/main" r="T189" t="str" s="11">
        <x:v>C:\Users\Nomatin\Documents\Altium\MY_LIB\MY_LIB\Datasheets\YAGEO_CC_X7R.pdf</x:v>
      </x:c>
      <x:c xmlns:x="http://schemas.openxmlformats.org/spreadsheetml/2006/main" r="U189" t="str" s="11">
        <x:v>Даташит — локальный</x:v>
      </x:c>
      <x:c xmlns:x="http://schemas.openxmlformats.org/spreadsheetml/2006/main" r="V189" t="str" s="11">
        <x:v>C:\Users\Nomatin\Documents\Altium\MY_LIB\MY_LIB\Datasheets\YAGEO_CC_X7R.pdf</x:v>
      </x:c>
      <x:c xmlns:x="http://schemas.openxmlformats.org/spreadsheetml/2006/main" r="W189" t="str" s="11">
        <x:v>Даташит — производитель</x:v>
      </x:c>
      <x:c xmlns:x="http://schemas.openxmlformats.org/spreadsheetml/2006/main" r="X189" t="str" s="11">
        <x:v>https://yageogroup.com/content/datasheet/asset/file/UPY-GPHC_X7R_6_3V-TO-250V</x:v>
      </x:c>
      <x:c xmlns:x="http://schemas.openxmlformats.org/spreadsheetml/2006/main" r="Y189" t="str" s="11">
        <x:v>C:\Users\Nomatin\Documents\Altium\MY_LIB\MY_LIB\Datasheets\YAGEO_CC_X7R.pdf</x:v>
      </x:c>
    </ns0:row>
    <ns0:row r="190" ht="30" customHeight="1">
      <ns0:c r="A190" t="str" s="14">
        <ns0:v>C0191</ns0:v>
      </ns0:c>
      <ns0:c r="B190" t="str" s="14">
        <ns0:v>Конденсатор</ns0:v>
      </ns0:c>
      <ns0:c r="C190" t="str" s="14">
        <ns0:v>200p</ns0:v>
      </ns0:c>
      <ns0:c r="D190" t="str" s="11">
        <ns0:f>SUBSTITUTE(SUBSTITUTE(SUBSTITUTE(SUBSTITUTE(C190,"p"," пФ"),"n"," нФ"),"u"," мкФ"),".",",")</ns0:f>
        <ns0:v>200 пФ</ns0:v>
      </ns0:c>
      <ns0:c r="E190" t="str" s="14">
        <ns0:v>±10%</ns0:v>
      </ns0:c>
      <ns0:c r="F190" s="14"/>
      <ns0:c r="G190" t="str" s="14">
        <ns0:v>50 В</ns0:v>
      </ns0:c>
      <ns0:c r="H190" t="str" s="14">
        <ns0:v>X7R</ns0:v>
      </ns0:c>
      <ns0:c r="I190" t="str" s="15">
        <ns0:v>0603</ns0:v>
      </ns0:c>
      <ns0:c r="J190" t="str" s="14">
        <ns0:v>YAGEO</ns0:v>
      </ns0:c>
      <ns0:c r="K190" t="str" s="14">
        <ns0:v>CC0603KRX7R9BB201</ns0:v>
      </ns0:c>
      <ns0:c r="L190" t="str" s="11">
        <ns0:f>B190&amp;" "&amp;D190&amp;" "&amp;E190&amp;" "&amp;G190&amp;" "&amp;H190&amp;" "&amp;I190</ns0:f>
        <ns0:v>Конденсатор 200 пФ ±10% 50 В X7R 0603</ns0:v>
      </ns0:c>
      <ns0:c r="M190" t="str" s="13">
        <ns0:v>C</ns0:v>
      </ns0:c>
      <ns0:c r="N190" t="str" s="13">
        <ns0:v>Symbols\MY_LIB_Capacitors.SchLib</ns0:v>
      </ns0:c>
      <ns0:c r="O190" t="str" s="13">
        <ns0:v>CAPC1608X90N</ns0:v>
      </ns0:c>
      <ns0:c r="P190" t="str" s="13">
        <ns0:v>Footprints\PBL - SMD Packages.PcbLib</ns0:v>
      </ns0:c>
      <ns0:c r="Q190" t="str" s="14">
        <ns0:v>YAGEO CC; список 20.10.2026</ns0:v>
      </ns0:c>
      <ns0:c r="R190" t="str" s="11">
        <ns0:f>D190</ns0:f>
        <ns0:v>200 пФ</ns0:v>
      </ns0:c>
      <ns0:c r="S190" t="str" s="11">
        <ns0:f>L190</ns0:f>
        <ns0:v>Конденсатор 200 пФ ±10% 50 В X7R 0603</ns0:v>
      </ns0:c>
      <x:c xmlns:x="http://schemas.openxmlformats.org/spreadsheetml/2006/main" r="T190" t="str" s="11">
        <x:v>C:\Users\Nomatin\Documents\Altium\MY_LIB\MY_LIB\Datasheets\YAGEO_CC_X7R.pdf</x:v>
      </x:c>
      <x:c xmlns:x="http://schemas.openxmlformats.org/spreadsheetml/2006/main" r="U190" t="str" s="11">
        <x:v>Даташит — локальный</x:v>
      </x:c>
      <x:c xmlns:x="http://schemas.openxmlformats.org/spreadsheetml/2006/main" r="V190" t="str" s="11">
        <x:v>C:\Users\Nomatin\Documents\Altium\MY_LIB\MY_LIB\Datasheets\YAGEO_CC_X7R.pdf</x:v>
      </x:c>
      <x:c xmlns:x="http://schemas.openxmlformats.org/spreadsheetml/2006/main" r="W190" t="str" s="11">
        <x:v>Даташит — производитель</x:v>
      </x:c>
      <x:c xmlns:x="http://schemas.openxmlformats.org/spreadsheetml/2006/main" r="X190" t="str" s="11">
        <x:v>https://yageogroup.com/content/datasheet/asset/file/UPY-GPHC_X7R_6_3V-TO-250V</x:v>
      </x:c>
      <x:c xmlns:x="http://schemas.openxmlformats.org/spreadsheetml/2006/main" r="Y190" t="str" s="11">
        <x:v>C:\Users\Nomatin\Documents\Altium\MY_LIB\MY_LIB\Datasheets\YAGEO_CC_X7R.pdf</x:v>
      </x:c>
    </ns0:row>
    <ns0:row r="191" ht="30" customHeight="1">
      <ns0:c r="A191" t="str" s="14">
        <ns0:v>C0192</ns0:v>
      </ns0:c>
      <ns0:c r="B191" t="str" s="14">
        <ns0:v>Конденсатор</ns0:v>
      </ns0:c>
      <ns0:c r="C191" t="str" s="14">
        <ns0:v>220p</ns0:v>
      </ns0:c>
      <ns0:c r="D191" t="str" s="11">
        <ns0:f>SUBSTITUTE(SUBSTITUTE(SUBSTITUTE(SUBSTITUTE(C191,"p"," пФ"),"n"," нФ"),"u"," мкФ"),".",",")</ns0:f>
        <ns0:v>220 пФ</ns0:v>
      </ns0:c>
      <ns0:c r="E191" t="str" s="14">
        <ns0:v>±10%</ns0:v>
      </ns0:c>
      <ns0:c r="F191" s="14"/>
      <ns0:c r="G191" t="str" s="14">
        <ns0:v>100 В</ns0:v>
      </ns0:c>
      <ns0:c r="H191" t="str" s="14">
        <ns0:v>X7R</ns0:v>
      </ns0:c>
      <ns0:c r="I191" t="str" s="15">
        <ns0:v>0603</ns0:v>
      </ns0:c>
      <ns0:c r="J191" t="str" s="14">
        <ns0:v>YAGEO</ns0:v>
      </ns0:c>
      <ns0:c r="K191" t="str" s="14">
        <ns0:v>CC0603KRX7R0BB221</ns0:v>
      </ns0:c>
      <ns0:c r="L191" t="str" s="11">
        <ns0:f>B191&amp;" "&amp;D191&amp;" "&amp;E191&amp;" "&amp;G191&amp;" "&amp;H191&amp;" "&amp;I191</ns0:f>
        <ns0:v>Конденсатор 220 пФ ±10% 100 В X7R 0603</ns0:v>
      </ns0:c>
      <ns0:c r="M191" t="str" s="13">
        <ns0:v>C</ns0:v>
      </ns0:c>
      <ns0:c r="N191" t="str" s="13">
        <ns0:v>Symbols\MY_LIB_Capacitors.SchLib</ns0:v>
      </ns0:c>
      <ns0:c r="O191" t="str" s="13">
        <ns0:v>CAPC1608X90N</ns0:v>
      </ns0:c>
      <ns0:c r="P191" t="str" s="13">
        <ns0:v>Footprints\PBL - SMD Packages.PcbLib</ns0:v>
      </ns0:c>
      <ns0:c r="Q191" t="str" s="14">
        <ns0:v>YAGEO CC; список 20.10.2026</ns0:v>
      </ns0:c>
      <ns0:c r="R191" t="str" s="11">
        <ns0:f>D191</ns0:f>
        <ns0:v>220 пФ</ns0:v>
      </ns0:c>
      <ns0:c r="S191" t="str" s="11">
        <ns0:f>L191</ns0:f>
        <ns0:v>Конденсатор 220 пФ ±10% 100 В X7R 0603</ns0:v>
      </ns0:c>
      <x:c xmlns:x="http://schemas.openxmlformats.org/spreadsheetml/2006/main" r="T191" t="str" s="11">
        <x:v>C:\Users\Nomatin\Documents\Altium\MY_LIB\MY_LIB\Datasheets\YAGEO_CC_X7R.pdf</x:v>
      </x:c>
      <x:c xmlns:x="http://schemas.openxmlformats.org/spreadsheetml/2006/main" r="U191" t="str" s="11">
        <x:v>Даташит — локальный</x:v>
      </x:c>
      <x:c xmlns:x="http://schemas.openxmlformats.org/spreadsheetml/2006/main" r="V191" t="str" s="11">
        <x:v>C:\Users\Nomatin\Documents\Altium\MY_LIB\MY_LIB\Datasheets\YAGEO_CC_X7R.pdf</x:v>
      </x:c>
      <x:c xmlns:x="http://schemas.openxmlformats.org/spreadsheetml/2006/main" r="W191" t="str" s="11">
        <x:v>Даташит — производитель</x:v>
      </x:c>
      <x:c xmlns:x="http://schemas.openxmlformats.org/spreadsheetml/2006/main" r="X191" t="str" s="11">
        <x:v>https://yageogroup.com/content/datasheet/asset/file/UPY-GPHC_X7R_6_3V-TO-250V</x:v>
      </x:c>
      <x:c xmlns:x="http://schemas.openxmlformats.org/spreadsheetml/2006/main" r="Y191" t="str" s="11">
        <x:v>C:\Users\Nomatin\Documents\Altium\MY_LIB\MY_LIB\Datasheets\YAGEO_CC_X7R.pdf</x:v>
      </x:c>
    </ns0:row>
    <ns0:row r="192" ht="30" customHeight="1">
      <ns0:c r="A192" t="str" s="14">
        <ns0:v>C0193</ns0:v>
      </ns0:c>
      <ns0:c r="B192" t="str" s="14">
        <ns0:v>Конденсатор</ns0:v>
      </ns0:c>
      <ns0:c r="C192" t="str" s="14">
        <ns0:v>270p</ns0:v>
      </ns0:c>
      <ns0:c r="D192" t="str" s="11">
        <ns0:f>SUBSTITUTE(SUBSTITUTE(SUBSTITUTE(SUBSTITUTE(C192,"p"," пФ"),"n"," нФ"),"u"," мкФ"),".",",")</ns0:f>
        <ns0:v>270 пФ</ns0:v>
      </ns0:c>
      <ns0:c r="E192" t="str" s="14">
        <ns0:v>±10%</ns0:v>
      </ns0:c>
      <ns0:c r="F192" s="14"/>
      <ns0:c r="G192" t="str" s="14">
        <ns0:v>100 В</ns0:v>
      </ns0:c>
      <ns0:c r="H192" t="str" s="14">
        <ns0:v>X7R</ns0:v>
      </ns0:c>
      <ns0:c r="I192" t="str" s="15">
        <ns0:v>0603</ns0:v>
      </ns0:c>
      <ns0:c r="J192" t="str" s="14">
        <ns0:v>YAGEO</ns0:v>
      </ns0:c>
      <ns0:c r="K192" t="str" s="14">
        <ns0:v>CC0603KRX7R0BB271</ns0:v>
      </ns0:c>
      <ns0:c r="L192" t="str" s="11">
        <ns0:f>B192&amp;" "&amp;D192&amp;" "&amp;E192&amp;" "&amp;G192&amp;" "&amp;H192&amp;" "&amp;I192</ns0:f>
        <ns0:v>Конденсатор 270 пФ ±10% 100 В X7R 0603</ns0:v>
      </ns0:c>
      <ns0:c r="M192" t="str" s="13">
        <ns0:v>C</ns0:v>
      </ns0:c>
      <ns0:c r="N192" t="str" s="13">
        <ns0:v>Symbols\MY_LIB_Capacitors.SchLib</ns0:v>
      </ns0:c>
      <ns0:c r="O192" t="str" s="13">
        <ns0:v>CAPC1608X90N</ns0:v>
      </ns0:c>
      <ns0:c r="P192" t="str" s="13">
        <ns0:v>Footprints\PBL - SMD Packages.PcbLib</ns0:v>
      </ns0:c>
      <ns0:c r="Q192" t="str" s="14">
        <ns0:v>YAGEO CC; список 20.10.2026</ns0:v>
      </ns0:c>
      <ns0:c r="R192" t="str" s="11">
        <ns0:f>D192</ns0:f>
        <ns0:v>270 пФ</ns0:v>
      </ns0:c>
      <ns0:c r="S192" t="str" s="11">
        <ns0:f>L192</ns0:f>
        <ns0:v>Конденсатор 270 пФ ±10% 100 В X7R 0603</ns0:v>
      </ns0:c>
      <x:c xmlns:x="http://schemas.openxmlformats.org/spreadsheetml/2006/main" r="T192" t="str" s="11">
        <x:v>C:\Users\Nomatin\Documents\Altium\MY_LIB\MY_LIB\Datasheets\YAGEO_CC_X7R.pdf</x:v>
      </x:c>
      <x:c xmlns:x="http://schemas.openxmlformats.org/spreadsheetml/2006/main" r="U192" t="str" s="11">
        <x:v>Даташит — локальный</x:v>
      </x:c>
      <x:c xmlns:x="http://schemas.openxmlformats.org/spreadsheetml/2006/main" r="V192" t="str" s="11">
        <x:v>C:\Users\Nomatin\Documents\Altium\MY_LIB\MY_LIB\Datasheets\YAGEO_CC_X7R.pdf</x:v>
      </x:c>
      <x:c xmlns:x="http://schemas.openxmlformats.org/spreadsheetml/2006/main" r="W192" t="str" s="11">
        <x:v>Даташит — производитель</x:v>
      </x:c>
      <x:c xmlns:x="http://schemas.openxmlformats.org/spreadsheetml/2006/main" r="X192" t="str" s="11">
        <x:v>https://yageogroup.com/content/datasheet/asset/file/UPY-GPHC_X7R_6_3V-TO-250V</x:v>
      </x:c>
      <x:c xmlns:x="http://schemas.openxmlformats.org/spreadsheetml/2006/main" r="Y192" t="str" s="11">
        <x:v>C:\Users\Nomatin\Documents\Altium\MY_LIB\MY_LIB\Datasheets\YAGEO_CC_X7R.pdf</x:v>
      </x:c>
    </ns0:row>
    <ns0:row r="193" ht="30" customHeight="1">
      <ns0:c r="A193" t="str" s="14">
        <ns0:v>C0194</ns0:v>
      </ns0:c>
      <ns0:c r="B193" t="str" s="14">
        <ns0:v>Конденсатор</ns0:v>
      </ns0:c>
      <ns0:c r="C193" t="str" s="14">
        <ns0:v>300p</ns0:v>
      </ns0:c>
      <ns0:c r="D193" t="str" s="11">
        <ns0:f>SUBSTITUTE(SUBSTITUTE(SUBSTITUTE(SUBSTITUTE(C193,"p"," пФ"),"n"," нФ"),"u"," мкФ"),".",",")</ns0:f>
        <ns0:v>300 пФ</ns0:v>
      </ns0:c>
      <ns0:c r="E193" t="str" s="14">
        <ns0:v>±10%</ns0:v>
      </ns0:c>
      <ns0:c r="F193" s="14"/>
      <ns0:c r="G193" t="str" s="14">
        <ns0:v>50 В</ns0:v>
      </ns0:c>
      <ns0:c r="H193" t="str" s="14">
        <ns0:v>X7R</ns0:v>
      </ns0:c>
      <ns0:c r="I193" t="str" s="15">
        <ns0:v>0603</ns0:v>
      </ns0:c>
      <ns0:c r="J193" t="str" s="14">
        <ns0:v>YAGEO</ns0:v>
      </ns0:c>
      <ns0:c r="K193" t="str" s="14">
        <ns0:v>CC0603KRX7R9BB301</ns0:v>
      </ns0:c>
      <ns0:c r="L193" t="str" s="11">
        <ns0:f>B193&amp;" "&amp;D193&amp;" "&amp;E193&amp;" "&amp;G193&amp;" "&amp;H193&amp;" "&amp;I193</ns0:f>
        <ns0:v>Конденсатор 300 пФ ±10% 50 В X7R 0603</ns0:v>
      </ns0:c>
      <ns0:c r="M193" t="str" s="13">
        <ns0:v>C</ns0:v>
      </ns0:c>
      <ns0:c r="N193" t="str" s="13">
        <ns0:v>Symbols\MY_LIB_Capacitors.SchLib</ns0:v>
      </ns0:c>
      <ns0:c r="O193" t="str" s="13">
        <ns0:v>CAPC1608X90N</ns0:v>
      </ns0:c>
      <ns0:c r="P193" t="str" s="13">
        <ns0:v>Footprints\PBL - SMD Packages.PcbLib</ns0:v>
      </ns0:c>
      <ns0:c r="Q193" t="str" s="14">
        <ns0:v>YAGEO CC; список 20.10.2026</ns0:v>
      </ns0:c>
      <ns0:c r="R193" t="str" s="11">
        <ns0:f>D193</ns0:f>
        <ns0:v>300 пФ</ns0:v>
      </ns0:c>
      <ns0:c r="S193" t="str" s="11">
        <ns0:f>L193</ns0:f>
        <ns0:v>Конденсатор 300 пФ ±10% 50 В X7R 0603</ns0:v>
      </ns0:c>
      <x:c xmlns:x="http://schemas.openxmlformats.org/spreadsheetml/2006/main" r="T193" t="str" s="11">
        <x:v>C:\Users\Nomatin\Documents\Altium\MY_LIB\MY_LIB\Datasheets\YAGEO_CC_X7R.pdf</x:v>
      </x:c>
      <x:c xmlns:x="http://schemas.openxmlformats.org/spreadsheetml/2006/main" r="U193" t="str" s="11">
        <x:v>Даташит — локальный</x:v>
      </x:c>
      <x:c xmlns:x="http://schemas.openxmlformats.org/spreadsheetml/2006/main" r="V193" t="str" s="11">
        <x:v>C:\Users\Nomatin\Documents\Altium\MY_LIB\MY_LIB\Datasheets\YAGEO_CC_X7R.pdf</x:v>
      </x:c>
      <x:c xmlns:x="http://schemas.openxmlformats.org/spreadsheetml/2006/main" r="W193" t="str" s="11">
        <x:v>Даташит — производитель</x:v>
      </x:c>
      <x:c xmlns:x="http://schemas.openxmlformats.org/spreadsheetml/2006/main" r="X193" t="str" s="11">
        <x:v>https://yageogroup.com/content/datasheet/asset/file/UPY-GPHC_X7R_6_3V-TO-250V</x:v>
      </x:c>
      <x:c xmlns:x="http://schemas.openxmlformats.org/spreadsheetml/2006/main" r="Y193" t="str" s="11">
        <x:v>C:\Users\Nomatin\Documents\Altium\MY_LIB\MY_LIB\Datasheets\YAGEO_CC_X7R.pdf</x:v>
      </x:c>
    </ns0:row>
    <ns0:row r="194" ht="30" customHeight="1">
      <ns0:c r="A194" t="str" s="14">
        <ns0:v>C0195</ns0:v>
      </ns0:c>
      <ns0:c r="B194" t="str" s="14">
        <ns0:v>Конденсатор</ns0:v>
      </ns0:c>
      <ns0:c r="C194" t="str" s="14">
        <ns0:v>330p</ns0:v>
      </ns0:c>
      <ns0:c r="D194" t="str" s="11">
        <ns0:f>SUBSTITUTE(SUBSTITUTE(SUBSTITUTE(SUBSTITUTE(C194,"p"," пФ"),"n"," нФ"),"u"," мкФ"),".",",")</ns0:f>
        <ns0:v>330 пФ</ns0:v>
      </ns0:c>
      <ns0:c r="E194" t="str" s="14">
        <ns0:v>±10%</ns0:v>
      </ns0:c>
      <ns0:c r="F194" s="14"/>
      <ns0:c r="G194" t="str" s="14">
        <ns0:v>100 В</ns0:v>
      </ns0:c>
      <ns0:c r="H194" t="str" s="14">
        <ns0:v>X7R</ns0:v>
      </ns0:c>
      <ns0:c r="I194" t="str" s="15">
        <ns0:v>0603</ns0:v>
      </ns0:c>
      <ns0:c r="J194" t="str" s="14">
        <ns0:v>YAGEO</ns0:v>
      </ns0:c>
      <ns0:c r="K194" t="str" s="14">
        <ns0:v>CC0603KRX7R0BB331</ns0:v>
      </ns0:c>
      <ns0:c r="L194" t="str" s="11">
        <ns0:f>B194&amp;" "&amp;D194&amp;" "&amp;E194&amp;" "&amp;G194&amp;" "&amp;H194&amp;" "&amp;I194</ns0:f>
        <ns0:v>Конденсатор 330 пФ ±10% 100 В X7R 0603</ns0:v>
      </ns0:c>
      <ns0:c r="M194" t="str" s="13">
        <ns0:v>C</ns0:v>
      </ns0:c>
      <ns0:c r="N194" t="str" s="13">
        <ns0:v>Symbols\MY_LIB_Capacitors.SchLib</ns0:v>
      </ns0:c>
      <ns0:c r="O194" t="str" s="13">
        <ns0:v>CAPC1608X90N</ns0:v>
      </ns0:c>
      <ns0:c r="P194" t="str" s="13">
        <ns0:v>Footprints\PBL - SMD Packages.PcbLib</ns0:v>
      </ns0:c>
      <ns0:c r="Q194" t="str" s="14">
        <ns0:v>YAGEO CC; список 20.10.2026</ns0:v>
      </ns0:c>
      <ns0:c r="R194" t="str" s="11">
        <ns0:f>D194</ns0:f>
        <ns0:v>330 пФ</ns0:v>
      </ns0:c>
      <ns0:c r="S194" t="str" s="11">
        <ns0:f>L194</ns0:f>
        <ns0:v>Конденсатор 330 пФ ±10% 100 В X7R 0603</ns0:v>
      </ns0:c>
      <x:c xmlns:x="http://schemas.openxmlformats.org/spreadsheetml/2006/main" r="T194" t="str" s="11">
        <x:v>C:\Users\Nomatin\Documents\Altium\MY_LIB\MY_LIB\Datasheets\YAGEO_CC_X7R.pdf</x:v>
      </x:c>
      <x:c xmlns:x="http://schemas.openxmlformats.org/spreadsheetml/2006/main" r="U194" t="str" s="11">
        <x:v>Даташит — локальный</x:v>
      </x:c>
      <x:c xmlns:x="http://schemas.openxmlformats.org/spreadsheetml/2006/main" r="V194" t="str" s="11">
        <x:v>C:\Users\Nomatin\Documents\Altium\MY_LIB\MY_LIB\Datasheets\YAGEO_CC_X7R.pdf</x:v>
      </x:c>
      <x:c xmlns:x="http://schemas.openxmlformats.org/spreadsheetml/2006/main" r="W194" t="str" s="11">
        <x:v>Даташит — производитель</x:v>
      </x:c>
      <x:c xmlns:x="http://schemas.openxmlformats.org/spreadsheetml/2006/main" r="X194" t="str" s="11">
        <x:v>https://yageogroup.com/content/datasheet/asset/file/UPY-GPHC_X7R_6_3V-TO-250V</x:v>
      </x:c>
      <x:c xmlns:x="http://schemas.openxmlformats.org/spreadsheetml/2006/main" r="Y194" t="str" s="11">
        <x:v>C:\Users\Nomatin\Documents\Altium\MY_LIB\MY_LIB\Datasheets\YAGEO_CC_X7R.pdf</x:v>
      </x:c>
    </ns0:row>
    <ns0:row r="195" ht="30" customHeight="1">
      <ns0:c r="A195" t="str" s="14">
        <ns0:v>C0196</ns0:v>
      </ns0:c>
      <ns0:c r="B195" t="str" s="14">
        <ns0:v>Конденсатор</ns0:v>
      </ns0:c>
      <ns0:c r="C195" t="str" s="14">
        <ns0:v>360p</ns0:v>
      </ns0:c>
      <ns0:c r="D195" t="str" s="11">
        <ns0:f>SUBSTITUTE(SUBSTITUTE(SUBSTITUTE(SUBSTITUTE(C195,"p"," пФ"),"n"," нФ"),"u"," мкФ"),".",",")</ns0:f>
        <ns0:v>360 пФ</ns0:v>
      </ns0:c>
      <ns0:c r="E195" t="str" s="14">
        <ns0:v>±10%</ns0:v>
      </ns0:c>
      <ns0:c r="F195" s="14"/>
      <ns0:c r="G195" t="str" s="14">
        <ns0:v>50 В</ns0:v>
      </ns0:c>
      <ns0:c r="H195" t="str" s="14">
        <ns0:v>X7R</ns0:v>
      </ns0:c>
      <ns0:c r="I195" t="str" s="15">
        <ns0:v>0603</ns0:v>
      </ns0:c>
      <ns0:c r="J195" t="str" s="14">
        <ns0:v>YAGEO</ns0:v>
      </ns0:c>
      <ns0:c r="K195" t="str" s="14">
        <ns0:v>CC0603KRX7R9BB361</ns0:v>
      </ns0:c>
      <ns0:c r="L195" t="str" s="11">
        <ns0:f>B195&amp;" "&amp;D195&amp;" "&amp;E195&amp;" "&amp;G195&amp;" "&amp;H195&amp;" "&amp;I195</ns0:f>
        <ns0:v>Конденсатор 360 пФ ±10% 50 В X7R 0603</ns0:v>
      </ns0:c>
      <ns0:c r="M195" t="str" s="13">
        <ns0:v>C</ns0:v>
      </ns0:c>
      <ns0:c r="N195" t="str" s="13">
        <ns0:v>Symbols\MY_LIB_Capacitors.SchLib</ns0:v>
      </ns0:c>
      <ns0:c r="O195" t="str" s="13">
        <ns0:v>CAPC1608X90N</ns0:v>
      </ns0:c>
      <ns0:c r="P195" t="str" s="13">
        <ns0:v>Footprints\PBL - SMD Packages.PcbLib</ns0:v>
      </ns0:c>
      <ns0:c r="Q195" t="str" s="14">
        <ns0:v>YAGEO CC; список 20.10.2026</ns0:v>
      </ns0:c>
      <ns0:c r="R195" t="str" s="11">
        <ns0:f>D195</ns0:f>
        <ns0:v>360 пФ</ns0:v>
      </ns0:c>
      <ns0:c r="S195" t="str" s="11">
        <ns0:f>L195</ns0:f>
        <ns0:v>Конденсатор 360 пФ ±10% 50 В X7R 0603</ns0:v>
      </ns0:c>
      <x:c xmlns:x="http://schemas.openxmlformats.org/spreadsheetml/2006/main" r="T195" t="str" s="11">
        <x:v>C:\Users\Nomatin\Documents\Altium\MY_LIB\MY_LIB\Datasheets\YAGEO_CC_X7R.pdf</x:v>
      </x:c>
      <x:c xmlns:x="http://schemas.openxmlformats.org/spreadsheetml/2006/main" r="U195" t="str" s="11">
        <x:v>Даташит — локальный</x:v>
      </x:c>
      <x:c xmlns:x="http://schemas.openxmlformats.org/spreadsheetml/2006/main" r="V195" t="str" s="11">
        <x:v>C:\Users\Nomatin\Documents\Altium\MY_LIB\MY_LIB\Datasheets\YAGEO_CC_X7R.pdf</x:v>
      </x:c>
      <x:c xmlns:x="http://schemas.openxmlformats.org/spreadsheetml/2006/main" r="W195" t="str" s="11">
        <x:v>Даташит — производитель</x:v>
      </x:c>
      <x:c xmlns:x="http://schemas.openxmlformats.org/spreadsheetml/2006/main" r="X195" t="str" s="11">
        <x:v>https://yageogroup.com/content/datasheet/asset/file/UPY-GPHC_X7R_6_3V-TO-250V</x:v>
      </x:c>
      <x:c xmlns:x="http://schemas.openxmlformats.org/spreadsheetml/2006/main" r="Y195" t="str" s="11">
        <x:v>C:\Users\Nomatin\Documents\Altium\MY_LIB\MY_LIB\Datasheets\YAGEO_CC_X7R.pdf</x:v>
      </x:c>
    </ns0:row>
    <ns0:row r="196" ht="30" customHeight="1">
      <ns0:c r="A196" t="str" s="14">
        <ns0:v>C0197</ns0:v>
      </ns0:c>
      <ns0:c r="B196" t="str" s="14">
        <ns0:v>Конденсатор</ns0:v>
      </ns0:c>
      <ns0:c r="C196" t="str" s="14">
        <ns0:v>390p</ns0:v>
      </ns0:c>
      <ns0:c r="D196" t="str" s="11">
        <ns0:f>SUBSTITUTE(SUBSTITUTE(SUBSTITUTE(SUBSTITUTE(C196,"p"," пФ"),"n"," нФ"),"u"," мкФ"),".",",")</ns0:f>
        <ns0:v>390 пФ</ns0:v>
      </ns0:c>
      <ns0:c r="E196" t="str" s="14">
        <ns0:v>±10%</ns0:v>
      </ns0:c>
      <ns0:c r="F196" s="14"/>
      <ns0:c r="G196" t="str" s="14">
        <ns0:v>100 В</ns0:v>
      </ns0:c>
      <ns0:c r="H196" t="str" s="14">
        <ns0:v>X7R</ns0:v>
      </ns0:c>
      <ns0:c r="I196" t="str" s="15">
        <ns0:v>0603</ns0:v>
      </ns0:c>
      <ns0:c r="J196" t="str" s="14">
        <ns0:v>YAGEO</ns0:v>
      </ns0:c>
      <ns0:c r="K196" t="str" s="14">
        <ns0:v>CC0603KRX7R0BB391</ns0:v>
      </ns0:c>
      <ns0:c r="L196" t="str" s="11">
        <ns0:f>B196&amp;" "&amp;D196&amp;" "&amp;E196&amp;" "&amp;G196&amp;" "&amp;H196&amp;" "&amp;I196</ns0:f>
        <ns0:v>Конденсатор 390 пФ ±10% 100 В X7R 0603</ns0:v>
      </ns0:c>
      <ns0:c r="M196" t="str" s="13">
        <ns0:v>C</ns0:v>
      </ns0:c>
      <ns0:c r="N196" t="str" s="13">
        <ns0:v>Symbols\MY_LIB_Capacitors.SchLib</ns0:v>
      </ns0:c>
      <ns0:c r="O196" t="str" s="13">
        <ns0:v>CAPC1608X90N</ns0:v>
      </ns0:c>
      <ns0:c r="P196" t="str" s="13">
        <ns0:v>Footprints\PBL - SMD Packages.PcbLib</ns0:v>
      </ns0:c>
      <ns0:c r="Q196" t="str" s="14">
        <ns0:v>YAGEO CC; список 20.10.2026</ns0:v>
      </ns0:c>
      <ns0:c r="R196" t="str" s="11">
        <ns0:f>D196</ns0:f>
        <ns0:v>390 пФ</ns0:v>
      </ns0:c>
      <ns0:c r="S196" t="str" s="11">
        <ns0:f>L196</ns0:f>
        <ns0:v>Конденсатор 390 пФ ±10% 100 В X7R 0603</ns0:v>
      </ns0:c>
      <x:c xmlns:x="http://schemas.openxmlformats.org/spreadsheetml/2006/main" r="T196" t="str" s="11">
        <x:v>C:\Users\Nomatin\Documents\Altium\MY_LIB\MY_LIB\Datasheets\YAGEO_CC_X7R.pdf</x:v>
      </x:c>
      <x:c xmlns:x="http://schemas.openxmlformats.org/spreadsheetml/2006/main" r="U196" t="str" s="11">
        <x:v>Даташит — локальный</x:v>
      </x:c>
      <x:c xmlns:x="http://schemas.openxmlformats.org/spreadsheetml/2006/main" r="V196" t="str" s="11">
        <x:v>C:\Users\Nomatin\Documents\Altium\MY_LIB\MY_LIB\Datasheets\YAGEO_CC_X7R.pdf</x:v>
      </x:c>
      <x:c xmlns:x="http://schemas.openxmlformats.org/spreadsheetml/2006/main" r="W196" t="str" s="11">
        <x:v>Даташит — производитель</x:v>
      </x:c>
      <x:c xmlns:x="http://schemas.openxmlformats.org/spreadsheetml/2006/main" r="X196" t="str" s="11">
        <x:v>https://yageogroup.com/content/datasheet/asset/file/UPY-GPHC_X7R_6_3V-TO-250V</x:v>
      </x:c>
      <x:c xmlns:x="http://schemas.openxmlformats.org/spreadsheetml/2006/main" r="Y196" t="str" s="11">
        <x:v>C:\Users\Nomatin\Documents\Altium\MY_LIB\MY_LIB\Datasheets\YAGEO_CC_X7R.pdf</x:v>
      </x:c>
    </ns0:row>
    <ns0:row r="197" ht="30" customHeight="1">
      <ns0:c r="A197" t="str" s="14">
        <ns0:v>C0198</ns0:v>
      </ns0:c>
      <ns0:c r="B197" t="str" s="14">
        <ns0:v>Конденсатор</ns0:v>
      </ns0:c>
      <ns0:c r="C197" t="str" s="14">
        <ns0:v>430p</ns0:v>
      </ns0:c>
      <ns0:c r="D197" t="str" s="11">
        <ns0:f>SUBSTITUTE(SUBSTITUTE(SUBSTITUTE(SUBSTITUTE(C197,"p"," пФ"),"n"," нФ"),"u"," мкФ"),".",",")</ns0:f>
        <ns0:v>430 пФ</ns0:v>
      </ns0:c>
      <ns0:c r="E197" t="str" s="14">
        <ns0:v>±10%</ns0:v>
      </ns0:c>
      <ns0:c r="F197" s="14"/>
      <ns0:c r="G197" t="str" s="14">
        <ns0:v>50 В</ns0:v>
      </ns0:c>
      <ns0:c r="H197" t="str" s="14">
        <ns0:v>X7R</ns0:v>
      </ns0:c>
      <ns0:c r="I197" t="str" s="15">
        <ns0:v>0603</ns0:v>
      </ns0:c>
      <ns0:c r="J197" t="str" s="14">
        <ns0:v>YAGEO</ns0:v>
      </ns0:c>
      <ns0:c r="K197" t="str" s="14">
        <ns0:v>CC0603KRX7R9BB431</ns0:v>
      </ns0:c>
      <ns0:c r="L197" t="str" s="11">
        <ns0:f>B197&amp;" "&amp;D197&amp;" "&amp;E197&amp;" "&amp;G197&amp;" "&amp;H197&amp;" "&amp;I197</ns0:f>
        <ns0:v>Конденсатор 430 пФ ±10% 50 В X7R 0603</ns0:v>
      </ns0:c>
      <ns0:c r="M197" t="str" s="13">
        <ns0:v>C</ns0:v>
      </ns0:c>
      <ns0:c r="N197" t="str" s="13">
        <ns0:v>Symbols\MY_LIB_Capacitors.SchLib</ns0:v>
      </ns0:c>
      <ns0:c r="O197" t="str" s="13">
        <ns0:v>CAPC1608X90N</ns0:v>
      </ns0:c>
      <ns0:c r="P197" t="str" s="13">
        <ns0:v>Footprints\PBL - SMD Packages.PcbLib</ns0:v>
      </ns0:c>
      <ns0:c r="Q197" t="str" s="14">
        <ns0:v>YAGEO CC; список 20.10.2026</ns0:v>
      </ns0:c>
      <ns0:c r="R197" t="str" s="11">
        <ns0:f>D197</ns0:f>
        <ns0:v>430 пФ</ns0:v>
      </ns0:c>
      <ns0:c r="S197" t="str" s="11">
        <ns0:f>L197</ns0:f>
        <ns0:v>Конденсатор 430 пФ ±10% 50 В X7R 0603</ns0:v>
      </ns0:c>
      <x:c xmlns:x="http://schemas.openxmlformats.org/spreadsheetml/2006/main" r="T197" t="str" s="11">
        <x:v>C:\Users\Nomatin\Documents\Altium\MY_LIB\MY_LIB\Datasheets\YAGEO_CC_X7R.pdf</x:v>
      </x:c>
      <x:c xmlns:x="http://schemas.openxmlformats.org/spreadsheetml/2006/main" r="U197" t="str" s="11">
        <x:v>Даташит — локальный</x:v>
      </x:c>
      <x:c xmlns:x="http://schemas.openxmlformats.org/spreadsheetml/2006/main" r="V197" t="str" s="11">
        <x:v>C:\Users\Nomatin\Documents\Altium\MY_LIB\MY_LIB\Datasheets\YAGEO_CC_X7R.pdf</x:v>
      </x:c>
      <x:c xmlns:x="http://schemas.openxmlformats.org/spreadsheetml/2006/main" r="W197" t="str" s="11">
        <x:v>Даташит — производитель</x:v>
      </x:c>
      <x:c xmlns:x="http://schemas.openxmlformats.org/spreadsheetml/2006/main" r="X197" t="str" s="11">
        <x:v>https://yageogroup.com/content/datasheet/asset/file/UPY-GPHC_X7R_6_3V-TO-250V</x:v>
      </x:c>
      <x:c xmlns:x="http://schemas.openxmlformats.org/spreadsheetml/2006/main" r="Y197" t="str" s="11">
        <x:v>C:\Users\Nomatin\Documents\Altium\MY_LIB\MY_LIB\Datasheets\YAGEO_CC_X7R.pdf</x:v>
      </x:c>
    </ns0:row>
    <ns0:row r="198" ht="30" customHeight="1">
      <ns0:c r="A198" t="str" s="14">
        <ns0:v>C0199</ns0:v>
      </ns0:c>
      <ns0:c r="B198" t="str" s="14">
        <ns0:v>Конденсатор</ns0:v>
      </ns0:c>
      <ns0:c r="C198" t="str" s="14">
        <ns0:v>470p</ns0:v>
      </ns0:c>
      <ns0:c r="D198" t="str" s="11">
        <ns0:f>SUBSTITUTE(SUBSTITUTE(SUBSTITUTE(SUBSTITUTE(C198,"p"," пФ"),"n"," нФ"),"u"," мкФ"),".",",")</ns0:f>
        <ns0:v>470 пФ</ns0:v>
      </ns0:c>
      <ns0:c r="E198" t="str" s="14">
        <ns0:v>±10%</ns0:v>
      </ns0:c>
      <ns0:c r="F198" s="14"/>
      <ns0:c r="G198" t="str" s="14">
        <ns0:v>100 В</ns0:v>
      </ns0:c>
      <ns0:c r="H198" t="str" s="14">
        <ns0:v>X7R</ns0:v>
      </ns0:c>
      <ns0:c r="I198" t="str" s="15">
        <ns0:v>0603</ns0:v>
      </ns0:c>
      <ns0:c r="J198" t="str" s="14">
        <ns0:v>YAGEO</ns0:v>
      </ns0:c>
      <ns0:c r="K198" t="str" s="14">
        <ns0:v>CC0603KRX7R0BB471</ns0:v>
      </ns0:c>
      <ns0:c r="L198" t="str" s="11">
        <ns0:f>B198&amp;" "&amp;D198&amp;" "&amp;E198&amp;" "&amp;G198&amp;" "&amp;H198&amp;" "&amp;I198</ns0:f>
        <ns0:v>Конденсатор 470 пФ ±10% 100 В X7R 0603</ns0:v>
      </ns0:c>
      <ns0:c r="M198" t="str" s="13">
        <ns0:v>C</ns0:v>
      </ns0:c>
      <ns0:c r="N198" t="str" s="13">
        <ns0:v>Symbols\MY_LIB_Capacitors.SchLib</ns0:v>
      </ns0:c>
      <ns0:c r="O198" t="str" s="13">
        <ns0:v>CAPC1608X90N</ns0:v>
      </ns0:c>
      <ns0:c r="P198" t="str" s="13">
        <ns0:v>Footprints\PBL - SMD Packages.PcbLib</ns0:v>
      </ns0:c>
      <ns0:c r="Q198" t="str" s="14">
        <ns0:v>YAGEO CC; список 20.10.2026</ns0:v>
      </ns0:c>
      <ns0:c r="R198" t="str" s="11">
        <ns0:f>D198</ns0:f>
        <ns0:v>470 пФ</ns0:v>
      </ns0:c>
      <ns0:c r="S198" t="str" s="11">
        <ns0:f>L198</ns0:f>
        <ns0:v>Конденсатор 470 пФ ±10% 100 В X7R 0603</ns0:v>
      </ns0:c>
      <x:c xmlns:x="http://schemas.openxmlformats.org/spreadsheetml/2006/main" r="T198" t="str" s="11">
        <x:v>C:\Users\Nomatin\Documents\Altium\MY_LIB\MY_LIB\Datasheets\YAGEO_CC_X7R.pdf</x:v>
      </x:c>
      <x:c xmlns:x="http://schemas.openxmlformats.org/spreadsheetml/2006/main" r="U198" t="str" s="11">
        <x:v>Даташит — локальный</x:v>
      </x:c>
      <x:c xmlns:x="http://schemas.openxmlformats.org/spreadsheetml/2006/main" r="V198" t="str" s="11">
        <x:v>C:\Users\Nomatin\Documents\Altium\MY_LIB\MY_LIB\Datasheets\YAGEO_CC_X7R.pdf</x:v>
      </x:c>
      <x:c xmlns:x="http://schemas.openxmlformats.org/spreadsheetml/2006/main" r="W198" t="str" s="11">
        <x:v>Даташит — производитель</x:v>
      </x:c>
      <x:c xmlns:x="http://schemas.openxmlformats.org/spreadsheetml/2006/main" r="X198" t="str" s="11">
        <x:v>https://yageogroup.com/content/datasheet/asset/file/UPY-GPHC_X7R_6_3V-TO-250V</x:v>
      </x:c>
      <x:c xmlns:x="http://schemas.openxmlformats.org/spreadsheetml/2006/main" r="Y198" t="str" s="11">
        <x:v>C:\Users\Nomatin\Documents\Altium\MY_LIB\MY_LIB\Datasheets\YAGEO_CC_X7R.pdf</x:v>
      </x:c>
    </ns0:row>
    <ns0:row r="199" ht="30" customHeight="1">
      <ns0:c r="A199" t="str" s="14">
        <ns0:v>C0200</ns0:v>
      </ns0:c>
      <ns0:c r="B199" t="str" s="14">
        <ns0:v>Конденсатор</ns0:v>
      </ns0:c>
      <ns0:c r="C199" t="str" s="14">
        <ns0:v>500p</ns0:v>
      </ns0:c>
      <ns0:c r="D199" t="str" s="11">
        <ns0:f>SUBSTITUTE(SUBSTITUTE(SUBSTITUTE(SUBSTITUTE(C199,"p"," пФ"),"n"," нФ"),"u"," мкФ"),".",",")</ns0:f>
        <ns0:v>500 пФ</ns0:v>
      </ns0:c>
      <ns0:c r="E199" t="str" s="14">
        <ns0:v>±10%</ns0:v>
      </ns0:c>
      <ns0:c r="F199" s="14"/>
      <ns0:c r="G199" t="str" s="14">
        <ns0:v>50 В</ns0:v>
      </ns0:c>
      <ns0:c r="H199" t="str" s="14">
        <ns0:v>X7R</ns0:v>
      </ns0:c>
      <ns0:c r="I199" t="str" s="15">
        <ns0:v>0603</ns0:v>
      </ns0:c>
      <ns0:c r="J199" t="str" s="14">
        <ns0:v>YAGEO</ns0:v>
      </ns0:c>
      <ns0:c r="K199" t="str" s="14">
        <ns0:v>CC0603KRX7R9BB501</ns0:v>
      </ns0:c>
      <ns0:c r="L199" t="str" s="11">
        <ns0:f>B199&amp;" "&amp;D199&amp;" "&amp;E199&amp;" "&amp;G199&amp;" "&amp;H199&amp;" "&amp;I199</ns0:f>
        <ns0:v>Конденсатор 500 пФ ±10% 50 В X7R 0603</ns0:v>
      </ns0:c>
      <ns0:c r="M199" t="str" s="13">
        <ns0:v>C</ns0:v>
      </ns0:c>
      <ns0:c r="N199" t="str" s="13">
        <ns0:v>Symbols\MY_LIB_Capacitors.SchLib</ns0:v>
      </ns0:c>
      <ns0:c r="O199" t="str" s="13">
        <ns0:v>CAPC1608X90N</ns0:v>
      </ns0:c>
      <ns0:c r="P199" t="str" s="13">
        <ns0:v>Footprints\PBL - SMD Packages.PcbLib</ns0:v>
      </ns0:c>
      <ns0:c r="Q199" t="str" s="14">
        <ns0:v>YAGEO CC; список 20.10.2026</ns0:v>
      </ns0:c>
      <ns0:c r="R199" t="str" s="11">
        <ns0:f>D199</ns0:f>
        <ns0:v>500 пФ</ns0:v>
      </ns0:c>
      <ns0:c r="S199" t="str" s="11">
        <ns0:f>L199</ns0:f>
        <ns0:v>Конденсатор 500 пФ ±10% 50 В X7R 0603</ns0:v>
      </ns0:c>
      <x:c xmlns:x="http://schemas.openxmlformats.org/spreadsheetml/2006/main" r="T199" t="str" s="11">
        <x:v>C:\Users\Nomatin\Documents\Altium\MY_LIB\MY_LIB\Datasheets\YAGEO_CC_X7R.pdf</x:v>
      </x:c>
      <x:c xmlns:x="http://schemas.openxmlformats.org/spreadsheetml/2006/main" r="U199" t="str" s="11">
        <x:v>Даташит — локальный</x:v>
      </x:c>
      <x:c xmlns:x="http://schemas.openxmlformats.org/spreadsheetml/2006/main" r="V199" t="str" s="11">
        <x:v>C:\Users\Nomatin\Documents\Altium\MY_LIB\MY_LIB\Datasheets\YAGEO_CC_X7R.pdf</x:v>
      </x:c>
      <x:c xmlns:x="http://schemas.openxmlformats.org/spreadsheetml/2006/main" r="W199" t="str" s="11">
        <x:v>Даташит — производитель</x:v>
      </x:c>
      <x:c xmlns:x="http://schemas.openxmlformats.org/spreadsheetml/2006/main" r="X199" t="str" s="11">
        <x:v>https://yageogroup.com/content/datasheet/asset/file/UPY-GPHC_X7R_6_3V-TO-250V</x:v>
      </x:c>
      <x:c xmlns:x="http://schemas.openxmlformats.org/spreadsheetml/2006/main" r="Y199" t="str" s="11">
        <x:v>C:\Users\Nomatin\Documents\Altium\MY_LIB\MY_LIB\Datasheets\YAGEO_CC_X7R.pdf</x:v>
      </x:c>
    </ns0:row>
    <ns0:row r="200" ht="30" customHeight="1">
      <ns0:c r="A200" t="str" s="14">
        <ns0:v>C0201</ns0:v>
      </ns0:c>
      <ns0:c r="B200" t="str" s="14">
        <ns0:v>Конденсатор</ns0:v>
      </ns0:c>
      <ns0:c r="C200" t="str" s="14">
        <ns0:v>560p</ns0:v>
      </ns0:c>
      <ns0:c r="D200" t="str" s="11">
        <ns0:f>SUBSTITUTE(SUBSTITUTE(SUBSTITUTE(SUBSTITUTE(C200,"p"," пФ"),"n"," нФ"),"u"," мкФ"),".",",")</ns0:f>
        <ns0:v>560 пФ</ns0:v>
      </ns0:c>
      <ns0:c r="E200" t="str" s="14">
        <ns0:v>±10%</ns0:v>
      </ns0:c>
      <ns0:c r="F200" s="14"/>
      <ns0:c r="G200" t="str" s="14">
        <ns0:v>100 В</ns0:v>
      </ns0:c>
      <ns0:c r="H200" t="str" s="14">
        <ns0:v>X7R</ns0:v>
      </ns0:c>
      <ns0:c r="I200" t="str" s="15">
        <ns0:v>0603</ns0:v>
      </ns0:c>
      <ns0:c r="J200" t="str" s="14">
        <ns0:v>YAGEO</ns0:v>
      </ns0:c>
      <ns0:c r="K200" t="str" s="14">
        <ns0:v>CC0603KRX7R0BB561</ns0:v>
      </ns0:c>
      <ns0:c r="L200" t="str" s="11">
        <ns0:f>B200&amp;" "&amp;D200&amp;" "&amp;E200&amp;" "&amp;G200&amp;" "&amp;H200&amp;" "&amp;I200</ns0:f>
        <ns0:v>Конденсатор 560 пФ ±10% 100 В X7R 0603</ns0:v>
      </ns0:c>
      <ns0:c r="M200" t="str" s="13">
        <ns0:v>C</ns0:v>
      </ns0:c>
      <ns0:c r="N200" t="str" s="13">
        <ns0:v>Symbols\MY_LIB_Capacitors.SchLib</ns0:v>
      </ns0:c>
      <ns0:c r="O200" t="str" s="13">
        <ns0:v>CAPC1608X90N</ns0:v>
      </ns0:c>
      <ns0:c r="P200" t="str" s="13">
        <ns0:v>Footprints\PBL - SMD Packages.PcbLib</ns0:v>
      </ns0:c>
      <ns0:c r="Q200" t="str" s="14">
        <ns0:v>YAGEO CC; список 20.10.2026</ns0:v>
      </ns0:c>
      <ns0:c r="R200" t="str" s="11">
        <ns0:f>D200</ns0:f>
        <ns0:v>560 пФ</ns0:v>
      </ns0:c>
      <ns0:c r="S200" t="str" s="11">
        <ns0:f>L200</ns0:f>
        <ns0:v>Конденсатор 560 пФ ±10% 100 В X7R 0603</ns0:v>
      </ns0:c>
      <x:c xmlns:x="http://schemas.openxmlformats.org/spreadsheetml/2006/main" r="T200" t="str" s="11">
        <x:v>C:\Users\Nomatin\Documents\Altium\MY_LIB\MY_LIB\Datasheets\YAGEO_CC_X7R.pdf</x:v>
      </x:c>
      <x:c xmlns:x="http://schemas.openxmlformats.org/spreadsheetml/2006/main" r="U200" t="str" s="11">
        <x:v>Даташит — локальный</x:v>
      </x:c>
      <x:c xmlns:x="http://schemas.openxmlformats.org/spreadsheetml/2006/main" r="V200" t="str" s="11">
        <x:v>C:\Users\Nomatin\Documents\Altium\MY_LIB\MY_LIB\Datasheets\YAGEO_CC_X7R.pdf</x:v>
      </x:c>
      <x:c xmlns:x="http://schemas.openxmlformats.org/spreadsheetml/2006/main" r="W200" t="str" s="11">
        <x:v>Даташит — производитель</x:v>
      </x:c>
      <x:c xmlns:x="http://schemas.openxmlformats.org/spreadsheetml/2006/main" r="X200" t="str" s="11">
        <x:v>https://yageogroup.com/content/datasheet/asset/file/UPY-GPHC_X7R_6_3V-TO-250V</x:v>
      </x:c>
      <x:c xmlns:x="http://schemas.openxmlformats.org/spreadsheetml/2006/main" r="Y200" t="str" s="11">
        <x:v>C:\Users\Nomatin\Documents\Altium\MY_LIB\MY_LIB\Datasheets\YAGEO_CC_X7R.pdf</x:v>
      </x:c>
    </ns0:row>
    <ns0:row r="201" ht="30" customHeight="1">
      <ns0:c r="A201" t="str" s="14">
        <ns0:v>C0202</ns0:v>
      </ns0:c>
      <ns0:c r="B201" t="str" s="14">
        <ns0:v>Конденсатор</ns0:v>
      </ns0:c>
      <ns0:c r="C201" t="str" s="14">
        <ns0:v>680p</ns0:v>
      </ns0:c>
      <ns0:c r="D201" t="str" s="11">
        <ns0:f>SUBSTITUTE(SUBSTITUTE(SUBSTITUTE(SUBSTITUTE(C201,"p"," пФ"),"n"," нФ"),"u"," мкФ"),".",",")</ns0:f>
        <ns0:v>680 пФ</ns0:v>
      </ns0:c>
      <ns0:c r="E201" t="str" s="14">
        <ns0:v>±10%</ns0:v>
      </ns0:c>
      <ns0:c r="F201" s="14"/>
      <ns0:c r="G201" t="str" s="14">
        <ns0:v>100 В</ns0:v>
      </ns0:c>
      <ns0:c r="H201" t="str" s="14">
        <ns0:v>X7R</ns0:v>
      </ns0:c>
      <ns0:c r="I201" t="str" s="15">
        <ns0:v>0603</ns0:v>
      </ns0:c>
      <ns0:c r="J201" t="str" s="14">
        <ns0:v>YAGEO</ns0:v>
      </ns0:c>
      <ns0:c r="K201" t="str" s="14">
        <ns0:v>CC0603KRX7R0BB681</ns0:v>
      </ns0:c>
      <ns0:c r="L201" t="str" s="11">
        <ns0:f>B201&amp;" "&amp;D201&amp;" "&amp;E201&amp;" "&amp;G201&amp;" "&amp;H201&amp;" "&amp;I201</ns0:f>
        <ns0:v>Конденсатор 680 пФ ±10% 100 В X7R 0603</ns0:v>
      </ns0:c>
      <ns0:c r="M201" t="str" s="13">
        <ns0:v>C</ns0:v>
      </ns0:c>
      <ns0:c r="N201" t="str" s="13">
        <ns0:v>Symbols\MY_LIB_Capacitors.SchLib</ns0:v>
      </ns0:c>
      <ns0:c r="O201" t="str" s="13">
        <ns0:v>CAPC1608X90N</ns0:v>
      </ns0:c>
      <ns0:c r="P201" t="str" s="13">
        <ns0:v>Footprints\PBL - SMD Packages.PcbLib</ns0:v>
      </ns0:c>
      <ns0:c r="Q201" t="str" s="14">
        <ns0:v>YAGEO CC; список 20.10.2026</ns0:v>
      </ns0:c>
      <ns0:c r="R201" t="str" s="11">
        <ns0:f>D201</ns0:f>
        <ns0:v>680 пФ</ns0:v>
      </ns0:c>
      <ns0:c r="S201" t="str" s="11">
        <ns0:f>L201</ns0:f>
        <ns0:v>Конденсатор 680 пФ ±10% 100 В X7R 0603</ns0:v>
      </ns0:c>
      <x:c xmlns:x="http://schemas.openxmlformats.org/spreadsheetml/2006/main" r="T201" t="str" s="11">
        <x:v>C:\Users\Nomatin\Documents\Altium\MY_LIB\MY_LIB\Datasheets\YAGEO_CC_X7R.pdf</x:v>
      </x:c>
      <x:c xmlns:x="http://schemas.openxmlformats.org/spreadsheetml/2006/main" r="U201" t="str" s="11">
        <x:v>Даташит — локальный</x:v>
      </x:c>
      <x:c xmlns:x="http://schemas.openxmlformats.org/spreadsheetml/2006/main" r="V201" t="str" s="11">
        <x:v>C:\Users\Nomatin\Documents\Altium\MY_LIB\MY_LIB\Datasheets\YAGEO_CC_X7R.pdf</x:v>
      </x:c>
      <x:c xmlns:x="http://schemas.openxmlformats.org/spreadsheetml/2006/main" r="W201" t="str" s="11">
        <x:v>Даташит — производитель</x:v>
      </x:c>
      <x:c xmlns:x="http://schemas.openxmlformats.org/spreadsheetml/2006/main" r="X201" t="str" s="11">
        <x:v>https://yageogroup.com/content/datasheet/asset/file/UPY-GPHC_X7R_6_3V-TO-250V</x:v>
      </x:c>
      <x:c xmlns:x="http://schemas.openxmlformats.org/spreadsheetml/2006/main" r="Y201" t="str" s="11">
        <x:v>C:\Users\Nomatin\Documents\Altium\MY_LIB\MY_LIB\Datasheets\YAGEO_CC_X7R.pdf</x:v>
      </x:c>
    </ns0:row>
    <ns0:row r="202" ht="30" customHeight="1">
      <ns0:c r="A202" t="str" s="14">
        <ns0:v>C0203</ns0:v>
      </ns0:c>
      <ns0:c r="B202" t="str" s="14">
        <ns0:v>Конденсатор</ns0:v>
      </ns0:c>
      <ns0:c r="C202" t="str" s="14">
        <ns0:v>750p</ns0:v>
      </ns0:c>
      <ns0:c r="D202" t="str" s="11">
        <ns0:f>SUBSTITUTE(SUBSTITUTE(SUBSTITUTE(SUBSTITUTE(C202,"p"," пФ"),"n"," нФ"),"u"," мкФ"),".",",")</ns0:f>
        <ns0:v>750 пФ</ns0:v>
      </ns0:c>
      <ns0:c r="E202" t="str" s="14">
        <ns0:v>±10%</ns0:v>
      </ns0:c>
      <ns0:c r="F202" s="14"/>
      <ns0:c r="G202" t="str" s="14">
        <ns0:v>50 В</ns0:v>
      </ns0:c>
      <ns0:c r="H202" t="str" s="14">
        <ns0:v>X7R</ns0:v>
      </ns0:c>
      <ns0:c r="I202" t="str" s="15">
        <ns0:v>0603</ns0:v>
      </ns0:c>
      <ns0:c r="J202" t="str" s="14">
        <ns0:v>YAGEO</ns0:v>
      </ns0:c>
      <ns0:c r="K202" t="str" s="14">
        <ns0:v>CC0603KRX7R9BB751</ns0:v>
      </ns0:c>
      <ns0:c r="L202" t="str" s="11">
        <ns0:f>B202&amp;" "&amp;D202&amp;" "&amp;E202&amp;" "&amp;G202&amp;" "&amp;H202&amp;" "&amp;I202</ns0:f>
        <ns0:v>Конденсатор 750 пФ ±10% 50 В X7R 0603</ns0:v>
      </ns0:c>
      <ns0:c r="M202" t="str" s="13">
        <ns0:v>C</ns0:v>
      </ns0:c>
      <ns0:c r="N202" t="str" s="13">
        <ns0:v>Symbols\MY_LIB_Capacitors.SchLib</ns0:v>
      </ns0:c>
      <ns0:c r="O202" t="str" s="13">
        <ns0:v>CAPC1608X90N</ns0:v>
      </ns0:c>
      <ns0:c r="P202" t="str" s="13">
        <ns0:v>Footprints\PBL - SMD Packages.PcbLib</ns0:v>
      </ns0:c>
      <ns0:c r="Q202" t="str" s="14">
        <ns0:v>YAGEO CC; список 20.10.2026</ns0:v>
      </ns0:c>
      <ns0:c r="R202" t="str" s="11">
        <ns0:f>D202</ns0:f>
        <ns0:v>750 пФ</ns0:v>
      </ns0:c>
      <ns0:c r="S202" t="str" s="11">
        <ns0:f>L202</ns0:f>
        <ns0:v>Конденсатор 750 пФ ±10% 50 В X7R 0603</ns0:v>
      </ns0:c>
      <x:c xmlns:x="http://schemas.openxmlformats.org/spreadsheetml/2006/main" r="T202" t="str" s="11">
        <x:v>C:\Users\Nomatin\Documents\Altium\MY_LIB\MY_LIB\Datasheets\YAGEO_CC_X7R.pdf</x:v>
      </x:c>
      <x:c xmlns:x="http://schemas.openxmlformats.org/spreadsheetml/2006/main" r="U202" t="str" s="11">
        <x:v>Даташит — локальный</x:v>
      </x:c>
      <x:c xmlns:x="http://schemas.openxmlformats.org/spreadsheetml/2006/main" r="V202" t="str" s="11">
        <x:v>C:\Users\Nomatin\Documents\Altium\MY_LIB\MY_LIB\Datasheets\YAGEO_CC_X7R.pdf</x:v>
      </x:c>
      <x:c xmlns:x="http://schemas.openxmlformats.org/spreadsheetml/2006/main" r="W202" t="str" s="11">
        <x:v>Даташит — производитель</x:v>
      </x:c>
      <x:c xmlns:x="http://schemas.openxmlformats.org/spreadsheetml/2006/main" r="X202" t="str" s="11">
        <x:v>https://yageogroup.com/content/datasheet/asset/file/UPY-GPHC_X7R_6_3V-TO-250V</x:v>
      </x:c>
      <x:c xmlns:x="http://schemas.openxmlformats.org/spreadsheetml/2006/main" r="Y202" t="str" s="11">
        <x:v>C:\Users\Nomatin\Documents\Altium\MY_LIB\MY_LIB\Datasheets\YAGEO_CC_X7R.pdf</x:v>
      </x:c>
    </ns0:row>
    <ns0:row r="203" ht="30" customHeight="1">
      <ns0:c r="A203" t="str" s="14">
        <ns0:v>C0204</ns0:v>
      </ns0:c>
      <ns0:c r="B203" t="str" s="14">
        <ns0:v>Конденсатор</ns0:v>
      </ns0:c>
      <ns0:c r="C203" t="str" s="14">
        <ns0:v>820p</ns0:v>
      </ns0:c>
      <ns0:c r="D203" t="str" s="11">
        <ns0:f>SUBSTITUTE(SUBSTITUTE(SUBSTITUTE(SUBSTITUTE(C203,"p"," пФ"),"n"," нФ"),"u"," мкФ"),".",",")</ns0:f>
        <ns0:v>820 пФ</ns0:v>
      </ns0:c>
      <ns0:c r="E203" t="str" s="14">
        <ns0:v>±10%</ns0:v>
      </ns0:c>
      <ns0:c r="F203" s="14"/>
      <ns0:c r="G203" t="str" s="14">
        <ns0:v>100 В</ns0:v>
      </ns0:c>
      <ns0:c r="H203" t="str" s="14">
        <ns0:v>X7R</ns0:v>
      </ns0:c>
      <ns0:c r="I203" t="str" s="15">
        <ns0:v>0603</ns0:v>
      </ns0:c>
      <ns0:c r="J203" t="str" s="14">
        <ns0:v>YAGEO</ns0:v>
      </ns0:c>
      <ns0:c r="K203" t="str" s="14">
        <ns0:v>CC0603KRX7R0BB821</ns0:v>
      </ns0:c>
      <ns0:c r="L203" t="str" s="11">
        <ns0:f>B203&amp;" "&amp;D203&amp;" "&amp;E203&amp;" "&amp;G203&amp;" "&amp;H203&amp;" "&amp;I203</ns0:f>
        <ns0:v>Конденсатор 820 пФ ±10% 100 В X7R 0603</ns0:v>
      </ns0:c>
      <ns0:c r="M203" t="str" s="13">
        <ns0:v>C</ns0:v>
      </ns0:c>
      <ns0:c r="N203" t="str" s="13">
        <ns0:v>Symbols\MY_LIB_Capacitors.SchLib</ns0:v>
      </ns0:c>
      <ns0:c r="O203" t="str" s="13">
        <ns0:v>CAPC1608X90N</ns0:v>
      </ns0:c>
      <ns0:c r="P203" t="str" s="13">
        <ns0:v>Footprints\PBL - SMD Packages.PcbLib</ns0:v>
      </ns0:c>
      <ns0:c r="Q203" t="str" s="14">
        <ns0:v>YAGEO CC; список 20.10.2026</ns0:v>
      </ns0:c>
      <ns0:c r="R203" t="str" s="11">
        <ns0:f>D203</ns0:f>
        <ns0:v>820 пФ</ns0:v>
      </ns0:c>
      <ns0:c r="S203" t="str" s="11">
        <ns0:f>L203</ns0:f>
        <ns0:v>Конденсатор 820 пФ ±10% 100 В X7R 0603</ns0:v>
      </ns0:c>
      <x:c xmlns:x="http://schemas.openxmlformats.org/spreadsheetml/2006/main" r="T203" t="str" s="11">
        <x:v>C:\Users\Nomatin\Documents\Altium\MY_LIB\MY_LIB\Datasheets\YAGEO_CC_X7R.pdf</x:v>
      </x:c>
      <x:c xmlns:x="http://schemas.openxmlformats.org/spreadsheetml/2006/main" r="U203" t="str" s="11">
        <x:v>Даташит — локальный</x:v>
      </x:c>
      <x:c xmlns:x="http://schemas.openxmlformats.org/spreadsheetml/2006/main" r="V203" t="str" s="11">
        <x:v>C:\Users\Nomatin\Documents\Altium\MY_LIB\MY_LIB\Datasheets\YAGEO_CC_X7R.pdf</x:v>
      </x:c>
      <x:c xmlns:x="http://schemas.openxmlformats.org/spreadsheetml/2006/main" r="W203" t="str" s="11">
        <x:v>Даташит — производитель</x:v>
      </x:c>
      <x:c xmlns:x="http://schemas.openxmlformats.org/spreadsheetml/2006/main" r="X203" t="str" s="11">
        <x:v>https://yageogroup.com/content/datasheet/asset/file/UPY-GPHC_X7R_6_3V-TO-250V</x:v>
      </x:c>
      <x:c xmlns:x="http://schemas.openxmlformats.org/spreadsheetml/2006/main" r="Y203" t="str" s="11">
        <x:v>C:\Users\Nomatin\Documents\Altium\MY_LIB\MY_LIB\Datasheets\YAGEO_CC_X7R.pdf</x:v>
      </x:c>
    </ns0:row>
    <ns0:row r="204" ht="30" customHeight="1">
      <ns0:c r="A204" t="str" s="14">
        <ns0:v>C0205</ns0:v>
      </ns0:c>
      <ns0:c r="B204" t="str" s="14">
        <ns0:v>Конденсатор</ns0:v>
      </ns0:c>
      <ns0:c r="C204" t="str" s="14">
        <ns0:v>1n</ns0:v>
      </ns0:c>
      <ns0:c r="D204" t="str" s="11">
        <ns0:f>SUBSTITUTE(SUBSTITUTE(SUBSTITUTE(SUBSTITUTE(C204,"p"," пФ"),"n"," нФ"),"u"," мкФ"),".",",")</ns0:f>
        <ns0:v>1 нФ</ns0:v>
      </ns0:c>
      <ns0:c r="E204" t="str" s="14">
        <ns0:v>±10%</ns0:v>
      </ns0:c>
      <ns0:c r="F204" s="14"/>
      <ns0:c r="G204" t="str" s="14">
        <ns0:v>100 В</ns0:v>
      </ns0:c>
      <ns0:c r="H204" t="str" s="14">
        <ns0:v>X7R</ns0:v>
      </ns0:c>
      <ns0:c r="I204" t="str" s="15">
        <ns0:v>0603</ns0:v>
      </ns0:c>
      <ns0:c r="J204" t="str" s="14">
        <ns0:v>YAGEO</ns0:v>
      </ns0:c>
      <ns0:c r="K204" t="str" s="14">
        <ns0:v>CC0603KRX7R0BB102</ns0:v>
      </ns0:c>
      <ns0:c r="L204" t="str" s="11">
        <ns0:f>B204&amp;" "&amp;D204&amp;" "&amp;E204&amp;" "&amp;G204&amp;" "&amp;H204&amp;" "&amp;I204</ns0:f>
        <ns0:v>Конденсатор 1 нФ ±10% 100 В X7R 0603</ns0:v>
      </ns0:c>
      <ns0:c r="M204" t="str" s="13">
        <ns0:v>C</ns0:v>
      </ns0:c>
      <ns0:c r="N204" t="str" s="13">
        <ns0:v>Symbols\MY_LIB_Capacitors.SchLib</ns0:v>
      </ns0:c>
      <ns0:c r="O204" t="str" s="13">
        <ns0:v>CAPC1608X90N</ns0:v>
      </ns0:c>
      <ns0:c r="P204" t="str" s="13">
        <ns0:v>Footprints\PBL - SMD Packages.PcbLib</ns0:v>
      </ns0:c>
      <ns0:c r="Q204" t="str" s="14">
        <ns0:v>YAGEO CC; список 20.10.2026</ns0:v>
      </ns0:c>
      <ns0:c r="R204" t="str" s="11">
        <ns0:f>D204</ns0:f>
        <ns0:v>1 нФ</ns0:v>
      </ns0:c>
      <ns0:c r="S204" t="str" s="11">
        <ns0:f>L204</ns0:f>
        <ns0:v>Конденсатор 1 нФ ±10% 100 В X7R 0603</ns0:v>
      </ns0:c>
      <x:c xmlns:x="http://schemas.openxmlformats.org/spreadsheetml/2006/main" r="T204" t="str" s="11">
        <x:v>C:\Users\Nomatin\Documents\Altium\MY_LIB\MY_LIB\Datasheets\YAGEO_CC_X7R.pdf</x:v>
      </x:c>
      <x:c xmlns:x="http://schemas.openxmlformats.org/spreadsheetml/2006/main" r="U204" t="str" s="11">
        <x:v>Даташит — локальный</x:v>
      </x:c>
      <x:c xmlns:x="http://schemas.openxmlformats.org/spreadsheetml/2006/main" r="V204" t="str" s="11">
        <x:v>C:\Users\Nomatin\Documents\Altium\MY_LIB\MY_LIB\Datasheets\YAGEO_CC_X7R.pdf</x:v>
      </x:c>
      <x:c xmlns:x="http://schemas.openxmlformats.org/spreadsheetml/2006/main" r="W204" t="str" s="11">
        <x:v>Даташит — производитель</x:v>
      </x:c>
      <x:c xmlns:x="http://schemas.openxmlformats.org/spreadsheetml/2006/main" r="X204" t="str" s="11">
        <x:v>https://yageogroup.com/content/datasheet/asset/file/UPY-GPHC_X7R_6_3V-TO-250V</x:v>
      </x:c>
      <x:c xmlns:x="http://schemas.openxmlformats.org/spreadsheetml/2006/main" r="Y204" t="str" s="11">
        <x:v>C:\Users\Nomatin\Documents\Altium\MY_LIB\MY_LIB\Datasheets\YAGEO_CC_X7R.pdf</x:v>
      </x:c>
    </ns0:row>
    <ns0:row r="205" ht="30" customHeight="1">
      <ns0:c r="A205" t="str" s="14">
        <ns0:v>C0206</ns0:v>
      </ns0:c>
      <ns0:c r="B205" t="str" s="14">
        <ns0:v>Конденсатор</ns0:v>
      </ns0:c>
      <ns0:c r="C205" t="str" s="14">
        <ns0:v>1.2n</ns0:v>
      </ns0:c>
      <ns0:c r="D205" t="str" s="11">
        <ns0:f>SUBSTITUTE(SUBSTITUTE(SUBSTITUTE(SUBSTITUTE(C205,"p"," пФ"),"n"," нФ"),"u"," мкФ"),".",",")</ns0:f>
        <ns0:v>1,2 нФ</ns0:v>
      </ns0:c>
      <ns0:c r="E205" t="str" s="14">
        <ns0:v>±10%</ns0:v>
      </ns0:c>
      <ns0:c r="F205" s="14"/>
      <ns0:c r="G205" t="str" s="14">
        <ns0:v>100 В</ns0:v>
      </ns0:c>
      <ns0:c r="H205" t="str" s="14">
        <ns0:v>X7R</ns0:v>
      </ns0:c>
      <ns0:c r="I205" t="str" s="15">
        <ns0:v>0603</ns0:v>
      </ns0:c>
      <ns0:c r="J205" t="str" s="14">
        <ns0:v>YAGEO</ns0:v>
      </ns0:c>
      <ns0:c r="K205" t="str" s="14">
        <ns0:v>CC0603KRX7R0BB122</ns0:v>
      </ns0:c>
      <ns0:c r="L205" t="str" s="11">
        <ns0:f>B205&amp;" "&amp;D205&amp;" "&amp;E205&amp;" "&amp;G205&amp;" "&amp;H205&amp;" "&amp;I205</ns0:f>
        <ns0:v>Конденсатор 1,2 нФ ±10% 100 В X7R 0603</ns0:v>
      </ns0:c>
      <ns0:c r="M205" t="str" s="13">
        <ns0:v>C</ns0:v>
      </ns0:c>
      <ns0:c r="N205" t="str" s="13">
        <ns0:v>Symbols\MY_LIB_Capacitors.SchLib</ns0:v>
      </ns0:c>
      <ns0:c r="O205" t="str" s="13">
        <ns0:v>CAPC1608X90N</ns0:v>
      </ns0:c>
      <ns0:c r="P205" t="str" s="13">
        <ns0:v>Footprints\PBL - SMD Packages.PcbLib</ns0:v>
      </ns0:c>
      <ns0:c r="Q205" t="str" s="14">
        <ns0:v>YAGEO CC; список 20.10.2026</ns0:v>
      </ns0:c>
      <ns0:c r="R205" t="str" s="11">
        <ns0:f>D205</ns0:f>
        <ns0:v>1,2 нФ</ns0:v>
      </ns0:c>
      <ns0:c r="S205" t="str" s="11">
        <ns0:f>L205</ns0:f>
        <ns0:v>Конденсатор 1,2 нФ ±10% 100 В X7R 0603</ns0:v>
      </ns0:c>
      <x:c xmlns:x="http://schemas.openxmlformats.org/spreadsheetml/2006/main" r="T205" t="str" s="11">
        <x:v>C:\Users\Nomatin\Documents\Altium\MY_LIB\MY_LIB\Datasheets\YAGEO_CC_X7R.pdf</x:v>
      </x:c>
      <x:c xmlns:x="http://schemas.openxmlformats.org/spreadsheetml/2006/main" r="U205" t="str" s="11">
        <x:v>Даташит — локальный</x:v>
      </x:c>
      <x:c xmlns:x="http://schemas.openxmlformats.org/spreadsheetml/2006/main" r="V205" t="str" s="11">
        <x:v>C:\Users\Nomatin\Documents\Altium\MY_LIB\MY_LIB\Datasheets\YAGEO_CC_X7R.pdf</x:v>
      </x:c>
      <x:c xmlns:x="http://schemas.openxmlformats.org/spreadsheetml/2006/main" r="W205" t="str" s="11">
        <x:v>Даташит — производитель</x:v>
      </x:c>
      <x:c xmlns:x="http://schemas.openxmlformats.org/spreadsheetml/2006/main" r="X205" t="str" s="11">
        <x:v>https://yageogroup.com/content/datasheet/asset/file/UPY-GPHC_X7R_6_3V-TO-250V</x:v>
      </x:c>
      <x:c xmlns:x="http://schemas.openxmlformats.org/spreadsheetml/2006/main" r="Y205" t="str" s="11">
        <x:v>C:\Users\Nomatin\Documents\Altium\MY_LIB\MY_LIB\Datasheets\YAGEO_CC_X7R.pdf</x:v>
      </x:c>
    </ns0:row>
    <ns0:row r="206" ht="30" customHeight="1">
      <ns0:c r="A206" t="str" s="14">
        <ns0:v>C0207</ns0:v>
      </ns0:c>
      <ns0:c r="B206" t="str" s="14">
        <ns0:v>Конденсатор</ns0:v>
      </ns0:c>
      <ns0:c r="C206" t="str" s="14">
        <ns0:v>1.5n</ns0:v>
      </ns0:c>
      <ns0:c r="D206" t="str" s="11">
        <ns0:f>SUBSTITUTE(SUBSTITUTE(SUBSTITUTE(SUBSTITUTE(C206,"p"," пФ"),"n"," нФ"),"u"," мкФ"),".",",")</ns0:f>
        <ns0:v>1,5 нФ</ns0:v>
      </ns0:c>
      <ns0:c r="E206" t="str" s="14">
        <ns0:v>±10%</ns0:v>
      </ns0:c>
      <ns0:c r="F206" s="14"/>
      <ns0:c r="G206" t="str" s="14">
        <ns0:v>100 В</ns0:v>
      </ns0:c>
      <ns0:c r="H206" t="str" s="14">
        <ns0:v>X7R</ns0:v>
      </ns0:c>
      <ns0:c r="I206" t="str" s="15">
        <ns0:v>0603</ns0:v>
      </ns0:c>
      <ns0:c r="J206" t="str" s="14">
        <ns0:v>YAGEO</ns0:v>
      </ns0:c>
      <ns0:c r="K206" t="str" s="14">
        <ns0:v>CC0603KRX7R0BB152</ns0:v>
      </ns0:c>
      <ns0:c r="L206" t="str" s="11">
        <ns0:f>B206&amp;" "&amp;D206&amp;" "&amp;E206&amp;" "&amp;G206&amp;" "&amp;H206&amp;" "&amp;I206</ns0:f>
        <ns0:v>Конденсатор 1,5 нФ ±10% 100 В X7R 0603</ns0:v>
      </ns0:c>
      <ns0:c r="M206" t="str" s="13">
        <ns0:v>C</ns0:v>
      </ns0:c>
      <ns0:c r="N206" t="str" s="13">
        <ns0:v>Symbols\MY_LIB_Capacitors.SchLib</ns0:v>
      </ns0:c>
      <ns0:c r="O206" t="str" s="13">
        <ns0:v>CAPC1608X90N</ns0:v>
      </ns0:c>
      <ns0:c r="P206" t="str" s="13">
        <ns0:v>Footprints\PBL - SMD Packages.PcbLib</ns0:v>
      </ns0:c>
      <ns0:c r="Q206" t="str" s="14">
        <ns0:v>YAGEO CC; список 20.10.2026</ns0:v>
      </ns0:c>
      <ns0:c r="R206" t="str" s="11">
        <ns0:f>D206</ns0:f>
        <ns0:v>1,5 нФ</ns0:v>
      </ns0:c>
      <ns0:c r="S206" t="str" s="11">
        <ns0:f>L206</ns0:f>
        <ns0:v>Конденсатор 1,5 нФ ±10% 100 В X7R 0603</ns0:v>
      </ns0:c>
      <x:c xmlns:x="http://schemas.openxmlformats.org/spreadsheetml/2006/main" r="T206" t="str" s="11">
        <x:v>C:\Users\Nomatin\Documents\Altium\MY_LIB\MY_LIB\Datasheets\YAGEO_CC_X7R.pdf</x:v>
      </x:c>
      <x:c xmlns:x="http://schemas.openxmlformats.org/spreadsheetml/2006/main" r="U206" t="str" s="11">
        <x:v>Даташит — локальный</x:v>
      </x:c>
      <x:c xmlns:x="http://schemas.openxmlformats.org/spreadsheetml/2006/main" r="V206" t="str" s="11">
        <x:v>C:\Users\Nomatin\Documents\Altium\MY_LIB\MY_LIB\Datasheets\YAGEO_CC_X7R.pdf</x:v>
      </x:c>
      <x:c xmlns:x="http://schemas.openxmlformats.org/spreadsheetml/2006/main" r="W206" t="str" s="11">
        <x:v>Даташит — производитель</x:v>
      </x:c>
      <x:c xmlns:x="http://schemas.openxmlformats.org/spreadsheetml/2006/main" r="X206" t="str" s="11">
        <x:v>https://yageogroup.com/content/datasheet/asset/file/UPY-GPHC_X7R_6_3V-TO-250V</x:v>
      </x:c>
      <x:c xmlns:x="http://schemas.openxmlformats.org/spreadsheetml/2006/main" r="Y206" t="str" s="11">
        <x:v>C:\Users\Nomatin\Documents\Altium\MY_LIB\MY_LIB\Datasheets\YAGEO_CC_X7R.pdf</x:v>
      </x:c>
    </ns0:row>
    <ns0:row r="207" ht="30" customHeight="1">
      <ns0:c r="A207" t="str" s="14">
        <ns0:v>C0208</ns0:v>
      </ns0:c>
      <ns0:c r="B207" t="str" s="14">
        <ns0:v>Конденсатор</ns0:v>
      </ns0:c>
      <ns0:c r="C207" t="str" s="14">
        <ns0:v>1.8n</ns0:v>
      </ns0:c>
      <ns0:c r="D207" t="str" s="11">
        <ns0:f>SUBSTITUTE(SUBSTITUTE(SUBSTITUTE(SUBSTITUTE(C207,"p"," пФ"),"n"," нФ"),"u"," мкФ"),".",",")</ns0:f>
        <ns0:v>1,8 нФ</ns0:v>
      </ns0:c>
      <ns0:c r="E207" t="str" s="14">
        <ns0:v>±10%</ns0:v>
      </ns0:c>
      <ns0:c r="F207" s="14"/>
      <ns0:c r="G207" t="str" s="14">
        <ns0:v>100 В</ns0:v>
      </ns0:c>
      <ns0:c r="H207" t="str" s="14">
        <ns0:v>X7R</ns0:v>
      </ns0:c>
      <ns0:c r="I207" t="str" s="15">
        <ns0:v>0603</ns0:v>
      </ns0:c>
      <ns0:c r="J207" t="str" s="14">
        <ns0:v>YAGEO</ns0:v>
      </ns0:c>
      <ns0:c r="K207" t="str" s="14">
        <ns0:v>CC0603KRX7R0BB182</ns0:v>
      </ns0:c>
      <ns0:c r="L207" t="str" s="11">
        <ns0:f>B207&amp;" "&amp;D207&amp;" "&amp;E207&amp;" "&amp;G207&amp;" "&amp;H207&amp;" "&amp;I207</ns0:f>
        <ns0:v>Конденсатор 1,8 нФ ±10% 100 В X7R 0603</ns0:v>
      </ns0:c>
      <ns0:c r="M207" t="str" s="13">
        <ns0:v>C</ns0:v>
      </ns0:c>
      <ns0:c r="N207" t="str" s="13">
        <ns0:v>Symbols\MY_LIB_Capacitors.SchLib</ns0:v>
      </ns0:c>
      <ns0:c r="O207" t="str" s="13">
        <ns0:v>CAPC1608X90N</ns0:v>
      </ns0:c>
      <ns0:c r="P207" t="str" s="13">
        <ns0:v>Footprints\PBL - SMD Packages.PcbLib</ns0:v>
      </ns0:c>
      <ns0:c r="Q207" t="str" s="14">
        <ns0:v>YAGEO CC; список 20.10.2026</ns0:v>
      </ns0:c>
      <ns0:c r="R207" t="str" s="11">
        <ns0:f>D207</ns0:f>
        <ns0:v>1,8 нФ</ns0:v>
      </ns0:c>
      <ns0:c r="S207" t="str" s="11">
        <ns0:f>L207</ns0:f>
        <ns0:v>Конденсатор 1,8 нФ ±10% 100 В X7R 0603</ns0:v>
      </ns0:c>
      <x:c xmlns:x="http://schemas.openxmlformats.org/spreadsheetml/2006/main" r="T207" t="str" s="11">
        <x:v>C:\Users\Nomatin\Documents\Altium\MY_LIB\MY_LIB\Datasheets\YAGEO_CC_X7R.pdf</x:v>
      </x:c>
      <x:c xmlns:x="http://schemas.openxmlformats.org/spreadsheetml/2006/main" r="U207" t="str" s="11">
        <x:v>Даташит — локальный</x:v>
      </x:c>
      <x:c xmlns:x="http://schemas.openxmlformats.org/spreadsheetml/2006/main" r="V207" t="str" s="11">
        <x:v>C:\Users\Nomatin\Documents\Altium\MY_LIB\MY_LIB\Datasheets\YAGEO_CC_X7R.pdf</x:v>
      </x:c>
      <x:c xmlns:x="http://schemas.openxmlformats.org/spreadsheetml/2006/main" r="W207" t="str" s="11">
        <x:v>Даташит — производитель</x:v>
      </x:c>
      <x:c xmlns:x="http://schemas.openxmlformats.org/spreadsheetml/2006/main" r="X207" t="str" s="11">
        <x:v>https://yageogroup.com/content/datasheet/asset/file/UPY-GPHC_X7R_6_3V-TO-250V</x:v>
      </x:c>
      <x:c xmlns:x="http://schemas.openxmlformats.org/spreadsheetml/2006/main" r="Y207" t="str" s="11">
        <x:v>C:\Users\Nomatin\Documents\Altium\MY_LIB\MY_LIB\Datasheets\YAGEO_CC_X7R.pdf</x:v>
      </x:c>
    </ns0:row>
    <ns0:row r="208" ht="30" customHeight="1">
      <ns0:c r="A208" t="str" s="14">
        <ns0:v>C0209</ns0:v>
      </ns0:c>
      <ns0:c r="B208" t="str" s="14">
        <ns0:v>Конденсатор</ns0:v>
      </ns0:c>
      <ns0:c r="C208" t="str" s="14">
        <ns0:v>2n</ns0:v>
      </ns0:c>
      <ns0:c r="D208" t="str" s="11">
        <ns0:f>SUBSTITUTE(SUBSTITUTE(SUBSTITUTE(SUBSTITUTE(C208,"p"," пФ"),"n"," нФ"),"u"," мкФ"),".",",")</ns0:f>
        <ns0:v>2 нФ</ns0:v>
      </ns0:c>
      <ns0:c r="E208" t="str" s="14">
        <ns0:v>±10%</ns0:v>
      </ns0:c>
      <ns0:c r="F208" s="14"/>
      <ns0:c r="G208" t="str" s="14">
        <ns0:v>100 В</ns0:v>
      </ns0:c>
      <ns0:c r="H208" t="str" s="14">
        <ns0:v>X7R</ns0:v>
      </ns0:c>
      <ns0:c r="I208" t="str" s="15">
        <ns0:v>0603</ns0:v>
      </ns0:c>
      <ns0:c r="J208" t="str" s="14">
        <ns0:v>YAGEO</ns0:v>
      </ns0:c>
      <ns0:c r="K208" t="str" s="14">
        <ns0:v>CC0603KRX7R0BB202</ns0:v>
      </ns0:c>
      <ns0:c r="L208" t="str" s="11">
        <ns0:f>B208&amp;" "&amp;D208&amp;" "&amp;E208&amp;" "&amp;G208&amp;" "&amp;H208&amp;" "&amp;I208</ns0:f>
        <ns0:v>Конденсатор 2 нФ ±10% 100 В X7R 0603</ns0:v>
      </ns0:c>
      <ns0:c r="M208" t="str" s="13">
        <ns0:v>C</ns0:v>
      </ns0:c>
      <ns0:c r="N208" t="str" s="13">
        <ns0:v>Symbols\MY_LIB_Capacitors.SchLib</ns0:v>
      </ns0:c>
      <ns0:c r="O208" t="str" s="13">
        <ns0:v>CAPC1608X90N</ns0:v>
      </ns0:c>
      <ns0:c r="P208" t="str" s="13">
        <ns0:v>Footprints\PBL - SMD Packages.PcbLib</ns0:v>
      </ns0:c>
      <ns0:c r="Q208" t="str" s="14">
        <ns0:v>YAGEO CC; список 20.10.2026</ns0:v>
      </ns0:c>
      <ns0:c r="R208" t="str" s="11">
        <ns0:f>D208</ns0:f>
        <ns0:v>2 нФ</ns0:v>
      </ns0:c>
      <ns0:c r="S208" t="str" s="11">
        <ns0:f>L208</ns0:f>
        <ns0:v>Конденсатор 2 нФ ±10% 100 В X7R 0603</ns0:v>
      </ns0:c>
      <x:c xmlns:x="http://schemas.openxmlformats.org/spreadsheetml/2006/main" r="T208" t="str" s="11">
        <x:v>C:\Users\Nomatin\Documents\Altium\MY_LIB\MY_LIB\Datasheets\YAGEO_CC_X7R.pdf</x:v>
      </x:c>
      <x:c xmlns:x="http://schemas.openxmlformats.org/spreadsheetml/2006/main" r="U208" t="str" s="11">
        <x:v>Даташит — локальный</x:v>
      </x:c>
      <x:c xmlns:x="http://schemas.openxmlformats.org/spreadsheetml/2006/main" r="V208" t="str" s="11">
        <x:v>C:\Users\Nomatin\Documents\Altium\MY_LIB\MY_LIB\Datasheets\YAGEO_CC_X7R.pdf</x:v>
      </x:c>
      <x:c xmlns:x="http://schemas.openxmlformats.org/spreadsheetml/2006/main" r="W208" t="str" s="11">
        <x:v>Даташит — производитель</x:v>
      </x:c>
      <x:c xmlns:x="http://schemas.openxmlformats.org/spreadsheetml/2006/main" r="X208" t="str" s="11">
        <x:v>https://yageogroup.com/content/datasheet/asset/file/UPY-GPHC_X7R_6_3V-TO-250V</x:v>
      </x:c>
      <x:c xmlns:x="http://schemas.openxmlformats.org/spreadsheetml/2006/main" r="Y208" t="str" s="11">
        <x:v>C:\Users\Nomatin\Documents\Altium\MY_LIB\MY_LIB\Datasheets\YAGEO_CC_X7R.pdf</x:v>
      </x:c>
    </ns0:row>
    <ns0:row r="209" ht="30" customHeight="1">
      <ns0:c r="A209" t="str" s="14">
        <ns0:v>C0210</ns0:v>
      </ns0:c>
      <ns0:c r="B209" t="str" s="14">
        <ns0:v>Конденсатор</ns0:v>
      </ns0:c>
      <ns0:c r="C209" t="str" s="14">
        <ns0:v>2.2n</ns0:v>
      </ns0:c>
      <ns0:c r="D209" t="str" s="11">
        <ns0:f>SUBSTITUTE(SUBSTITUTE(SUBSTITUTE(SUBSTITUTE(C209,"p"," пФ"),"n"," нФ"),"u"," мкФ"),".",",")</ns0:f>
        <ns0:v>2,2 нФ</ns0:v>
      </ns0:c>
      <ns0:c r="E209" t="str" s="14">
        <ns0:v>±10%</ns0:v>
      </ns0:c>
      <ns0:c r="F209" s="14"/>
      <ns0:c r="G209" t="str" s="14">
        <ns0:v>100 В</ns0:v>
      </ns0:c>
      <ns0:c r="H209" t="str" s="14">
        <ns0:v>X7R</ns0:v>
      </ns0:c>
      <ns0:c r="I209" t="str" s="15">
        <ns0:v>0603</ns0:v>
      </ns0:c>
      <ns0:c r="J209" t="str" s="14">
        <ns0:v>YAGEO</ns0:v>
      </ns0:c>
      <ns0:c r="K209" t="str" s="14">
        <ns0:v>CC0603KRX7R0BB222</ns0:v>
      </ns0:c>
      <ns0:c r="L209" t="str" s="11">
        <ns0:f>B209&amp;" "&amp;D209&amp;" "&amp;E209&amp;" "&amp;G209&amp;" "&amp;H209&amp;" "&amp;I209</ns0:f>
        <ns0:v>Конденсатор 2,2 нФ ±10% 100 В X7R 0603</ns0:v>
      </ns0:c>
      <ns0:c r="M209" t="str" s="13">
        <ns0:v>C</ns0:v>
      </ns0:c>
      <ns0:c r="N209" t="str" s="13">
        <ns0:v>Symbols\MY_LIB_Capacitors.SchLib</ns0:v>
      </ns0:c>
      <ns0:c r="O209" t="str" s="13">
        <ns0:v>CAPC1608X90N</ns0:v>
      </ns0:c>
      <ns0:c r="P209" t="str" s="13">
        <ns0:v>Footprints\PBL - SMD Packages.PcbLib</ns0:v>
      </ns0:c>
      <ns0:c r="Q209" t="str" s="14">
        <ns0:v>YAGEO CC; список 20.10.2026</ns0:v>
      </ns0:c>
      <ns0:c r="R209" t="str" s="11">
        <ns0:f>D209</ns0:f>
        <ns0:v>2,2 нФ</ns0:v>
      </ns0:c>
      <ns0:c r="S209" t="str" s="11">
        <ns0:f>L209</ns0:f>
        <ns0:v>Конденсатор 2,2 нФ ±10% 100 В X7R 0603</ns0:v>
      </ns0:c>
      <x:c xmlns:x="http://schemas.openxmlformats.org/spreadsheetml/2006/main" r="T209" t="str" s="11">
        <x:v>C:\Users\Nomatin\Documents\Altium\MY_LIB\MY_LIB\Datasheets\YAGEO_CC_X7R.pdf</x:v>
      </x:c>
      <x:c xmlns:x="http://schemas.openxmlformats.org/spreadsheetml/2006/main" r="U209" t="str" s="11">
        <x:v>Даташит — локальный</x:v>
      </x:c>
      <x:c xmlns:x="http://schemas.openxmlformats.org/spreadsheetml/2006/main" r="V209" t="str" s="11">
        <x:v>C:\Users\Nomatin\Documents\Altium\MY_LIB\MY_LIB\Datasheets\YAGEO_CC_X7R.pdf</x:v>
      </x:c>
      <x:c xmlns:x="http://schemas.openxmlformats.org/spreadsheetml/2006/main" r="W209" t="str" s="11">
        <x:v>Даташит — производитель</x:v>
      </x:c>
      <x:c xmlns:x="http://schemas.openxmlformats.org/spreadsheetml/2006/main" r="X209" t="str" s="11">
        <x:v>https://yageogroup.com/content/datasheet/asset/file/UPY-GPHC_X7R_6_3V-TO-250V</x:v>
      </x:c>
      <x:c xmlns:x="http://schemas.openxmlformats.org/spreadsheetml/2006/main" r="Y209" t="str" s="11">
        <x:v>C:\Users\Nomatin\Documents\Altium\MY_LIB\MY_LIB\Datasheets\YAGEO_CC_X7R.pdf</x:v>
      </x:c>
    </ns0:row>
    <ns0:row r="210" ht="30" customHeight="1">
      <ns0:c r="A210" t="str" s="14">
        <ns0:v>C0211</ns0:v>
      </ns0:c>
      <ns0:c r="B210" t="str" s="14">
        <ns0:v>Конденсатор</ns0:v>
      </ns0:c>
      <ns0:c r="C210" t="str" s="14">
        <ns0:v>2.7n</ns0:v>
      </ns0:c>
      <ns0:c r="D210" t="str" s="11">
        <ns0:f>SUBSTITUTE(SUBSTITUTE(SUBSTITUTE(SUBSTITUTE(C210,"p"," пФ"),"n"," нФ"),"u"," мкФ"),".",",")</ns0:f>
        <ns0:v>2,7 нФ</ns0:v>
      </ns0:c>
      <ns0:c r="E210" t="str" s="14">
        <ns0:v>±10%</ns0:v>
      </ns0:c>
      <ns0:c r="F210" s="14"/>
      <ns0:c r="G210" t="str" s="14">
        <ns0:v>100 В</ns0:v>
      </ns0:c>
      <ns0:c r="H210" t="str" s="14">
        <ns0:v>X7R</ns0:v>
      </ns0:c>
      <ns0:c r="I210" t="str" s="15">
        <ns0:v>0603</ns0:v>
      </ns0:c>
      <ns0:c r="J210" t="str" s="14">
        <ns0:v>YAGEO</ns0:v>
      </ns0:c>
      <ns0:c r="K210" t="str" s="14">
        <ns0:v>CC0603KRX7R0BB272</ns0:v>
      </ns0:c>
      <ns0:c r="L210" t="str" s="11">
        <ns0:f>B210&amp;" "&amp;D210&amp;" "&amp;E210&amp;" "&amp;G210&amp;" "&amp;H210&amp;" "&amp;I210</ns0:f>
        <ns0:v>Конденсатор 2,7 нФ ±10% 100 В X7R 0603</ns0:v>
      </ns0:c>
      <ns0:c r="M210" t="str" s="13">
        <ns0:v>C</ns0:v>
      </ns0:c>
      <ns0:c r="N210" t="str" s="13">
        <ns0:v>Symbols\MY_LIB_Capacitors.SchLib</ns0:v>
      </ns0:c>
      <ns0:c r="O210" t="str" s="13">
        <ns0:v>CAPC1608X90N</ns0:v>
      </ns0:c>
      <ns0:c r="P210" t="str" s="13">
        <ns0:v>Footprints\PBL - SMD Packages.PcbLib</ns0:v>
      </ns0:c>
      <ns0:c r="Q210" t="str" s="14">
        <ns0:v>YAGEO CC; список 20.10.2026</ns0:v>
      </ns0:c>
      <ns0:c r="R210" t="str" s="11">
        <ns0:f>D210</ns0:f>
        <ns0:v>2,7 нФ</ns0:v>
      </ns0:c>
      <ns0:c r="S210" t="str" s="11">
        <ns0:f>L210</ns0:f>
        <ns0:v>Конденсатор 2,7 нФ ±10% 100 В X7R 0603</ns0:v>
      </ns0:c>
      <x:c xmlns:x="http://schemas.openxmlformats.org/spreadsheetml/2006/main" r="T210" t="str" s="11">
        <x:v>C:\Users\Nomatin\Documents\Altium\MY_LIB\MY_LIB\Datasheets\YAGEO_CC_X7R.pdf</x:v>
      </x:c>
      <x:c xmlns:x="http://schemas.openxmlformats.org/spreadsheetml/2006/main" r="U210" t="str" s="11">
        <x:v>Даташит — локальный</x:v>
      </x:c>
      <x:c xmlns:x="http://schemas.openxmlformats.org/spreadsheetml/2006/main" r="V210" t="str" s="11">
        <x:v>C:\Users\Nomatin\Documents\Altium\MY_LIB\MY_LIB\Datasheets\YAGEO_CC_X7R.pdf</x:v>
      </x:c>
      <x:c xmlns:x="http://schemas.openxmlformats.org/spreadsheetml/2006/main" r="W210" t="str" s="11">
        <x:v>Даташит — производитель</x:v>
      </x:c>
      <x:c xmlns:x="http://schemas.openxmlformats.org/spreadsheetml/2006/main" r="X210" t="str" s="11">
        <x:v>https://yageogroup.com/content/datasheet/asset/file/UPY-GPHC_X7R_6_3V-TO-250V</x:v>
      </x:c>
      <x:c xmlns:x="http://schemas.openxmlformats.org/spreadsheetml/2006/main" r="Y210" t="str" s="11">
        <x:v>C:\Users\Nomatin\Documents\Altium\MY_LIB\MY_LIB\Datasheets\YAGEO_CC_X7R.pdf</x:v>
      </x:c>
    </ns0:row>
    <ns0:row r="211" ht="30" customHeight="1">
      <ns0:c r="A211" t="str" s="14">
        <ns0:v>C0212</ns0:v>
      </ns0:c>
      <ns0:c r="B211" t="str" s="14">
        <ns0:v>Конденсатор</ns0:v>
      </ns0:c>
      <ns0:c r="C211" t="str" s="14">
        <ns0:v>3.3n</ns0:v>
      </ns0:c>
      <ns0:c r="D211" t="str" s="11">
        <ns0:f>SUBSTITUTE(SUBSTITUTE(SUBSTITUTE(SUBSTITUTE(C211,"p"," пФ"),"n"," нФ"),"u"," мкФ"),".",",")</ns0:f>
        <ns0:v>3,3 нФ</ns0:v>
      </ns0:c>
      <ns0:c r="E211" t="str" s="14">
        <ns0:v>±10%</ns0:v>
      </ns0:c>
      <ns0:c r="F211" s="14"/>
      <ns0:c r="G211" t="str" s="14">
        <ns0:v>100 В</ns0:v>
      </ns0:c>
      <ns0:c r="H211" t="str" s="14">
        <ns0:v>X7R</ns0:v>
      </ns0:c>
      <ns0:c r="I211" t="str" s="15">
        <ns0:v>0603</ns0:v>
      </ns0:c>
      <ns0:c r="J211" t="str" s="14">
        <ns0:v>YAGEO</ns0:v>
      </ns0:c>
      <ns0:c r="K211" t="str" s="14">
        <ns0:v>CC0603KRX7R0BB332</ns0:v>
      </ns0:c>
      <ns0:c r="L211" t="str" s="11">
        <ns0:f>B211&amp;" "&amp;D211&amp;" "&amp;E211&amp;" "&amp;G211&amp;" "&amp;H211&amp;" "&amp;I211</ns0:f>
        <ns0:v>Конденсатор 3,3 нФ ±10% 100 В X7R 0603</ns0:v>
      </ns0:c>
      <ns0:c r="M211" t="str" s="13">
        <ns0:v>C</ns0:v>
      </ns0:c>
      <ns0:c r="N211" t="str" s="13">
        <ns0:v>Symbols\MY_LIB_Capacitors.SchLib</ns0:v>
      </ns0:c>
      <ns0:c r="O211" t="str" s="13">
        <ns0:v>CAPC1608X90N</ns0:v>
      </ns0:c>
      <ns0:c r="P211" t="str" s="13">
        <ns0:v>Footprints\PBL - SMD Packages.PcbLib</ns0:v>
      </ns0:c>
      <ns0:c r="Q211" t="str" s="14">
        <ns0:v>YAGEO CC; список 20.10.2026</ns0:v>
      </ns0:c>
      <ns0:c r="R211" t="str" s="11">
        <ns0:f>D211</ns0:f>
        <ns0:v>3,3 нФ</ns0:v>
      </ns0:c>
      <ns0:c r="S211" t="str" s="11">
        <ns0:f>L211</ns0:f>
        <ns0:v>Конденсатор 3,3 нФ ±10% 100 В X7R 0603</ns0:v>
      </ns0:c>
      <x:c xmlns:x="http://schemas.openxmlformats.org/spreadsheetml/2006/main" r="T211" t="str" s="11">
        <x:v>C:\Users\Nomatin\Documents\Altium\MY_LIB\MY_LIB\Datasheets\YAGEO_CC_X7R.pdf</x:v>
      </x:c>
      <x:c xmlns:x="http://schemas.openxmlformats.org/spreadsheetml/2006/main" r="U211" t="str" s="11">
        <x:v>Даташит — локальный</x:v>
      </x:c>
      <x:c xmlns:x="http://schemas.openxmlformats.org/spreadsheetml/2006/main" r="V211" t="str" s="11">
        <x:v>C:\Users\Nomatin\Documents\Altium\MY_LIB\MY_LIB\Datasheets\YAGEO_CC_X7R.pdf</x:v>
      </x:c>
      <x:c xmlns:x="http://schemas.openxmlformats.org/spreadsheetml/2006/main" r="W211" t="str" s="11">
        <x:v>Даташит — производитель</x:v>
      </x:c>
      <x:c xmlns:x="http://schemas.openxmlformats.org/spreadsheetml/2006/main" r="X211" t="str" s="11">
        <x:v>https://yageogroup.com/content/datasheet/asset/file/UPY-GPHC_X7R_6_3V-TO-250V</x:v>
      </x:c>
      <x:c xmlns:x="http://schemas.openxmlformats.org/spreadsheetml/2006/main" r="Y211" t="str" s="11">
        <x:v>C:\Users\Nomatin\Documents\Altium\MY_LIB\MY_LIB\Datasheets\YAGEO_CC_X7R.pdf</x:v>
      </x:c>
    </ns0:row>
    <ns0:row r="212" ht="30" customHeight="1">
      <ns0:c r="A212" t="str" s="14">
        <ns0:v>C0213</ns0:v>
      </ns0:c>
      <ns0:c r="B212" t="str" s="14">
        <ns0:v>Конденсатор</ns0:v>
      </ns0:c>
      <ns0:c r="C212" t="str" s="14">
        <ns0:v>3.9n</ns0:v>
      </ns0:c>
      <ns0:c r="D212" t="str" s="11">
        <ns0:f>SUBSTITUTE(SUBSTITUTE(SUBSTITUTE(SUBSTITUTE(C212,"p"," пФ"),"n"," нФ"),"u"," мкФ"),".",",")</ns0:f>
        <ns0:v>3,9 нФ</ns0:v>
      </ns0:c>
      <ns0:c r="E212" t="str" s="14">
        <ns0:v>±10%</ns0:v>
      </ns0:c>
      <ns0:c r="F212" s="14"/>
      <ns0:c r="G212" t="str" s="14">
        <ns0:v>100 В</ns0:v>
      </ns0:c>
      <ns0:c r="H212" t="str" s="14">
        <ns0:v>X7R</ns0:v>
      </ns0:c>
      <ns0:c r="I212" t="str" s="15">
        <ns0:v>0603</ns0:v>
      </ns0:c>
      <ns0:c r="J212" t="str" s="14">
        <ns0:v>YAGEO</ns0:v>
      </ns0:c>
      <ns0:c r="K212" t="str" s="14">
        <ns0:v>CC0603KRX7R0BB392</ns0:v>
      </ns0:c>
      <ns0:c r="L212" t="str" s="11">
        <ns0:f>B212&amp;" "&amp;D212&amp;" "&amp;E212&amp;" "&amp;G212&amp;" "&amp;H212&amp;" "&amp;I212</ns0:f>
        <ns0:v>Конденсатор 3,9 нФ ±10% 100 В X7R 0603</ns0:v>
      </ns0:c>
      <ns0:c r="M212" t="str" s="13">
        <ns0:v>C</ns0:v>
      </ns0:c>
      <ns0:c r="N212" t="str" s="13">
        <ns0:v>Symbols\MY_LIB_Capacitors.SchLib</ns0:v>
      </ns0:c>
      <ns0:c r="O212" t="str" s="13">
        <ns0:v>CAPC1608X90N</ns0:v>
      </ns0:c>
      <ns0:c r="P212" t="str" s="13">
        <ns0:v>Footprints\PBL - SMD Packages.PcbLib</ns0:v>
      </ns0:c>
      <ns0:c r="Q212" t="str" s="14">
        <ns0:v>YAGEO CC; список 20.10.2026</ns0:v>
      </ns0:c>
      <ns0:c r="R212" t="str" s="11">
        <ns0:f>D212</ns0:f>
        <ns0:v>3,9 нФ</ns0:v>
      </ns0:c>
      <ns0:c r="S212" t="str" s="11">
        <ns0:f>L212</ns0:f>
        <ns0:v>Конденсатор 3,9 нФ ±10% 100 В X7R 0603</ns0:v>
      </ns0:c>
      <x:c xmlns:x="http://schemas.openxmlformats.org/spreadsheetml/2006/main" r="T212" t="str" s="11">
        <x:v>C:\Users\Nomatin\Documents\Altium\MY_LIB\MY_LIB\Datasheets\YAGEO_CC_X7R.pdf</x:v>
      </x:c>
      <x:c xmlns:x="http://schemas.openxmlformats.org/spreadsheetml/2006/main" r="U212" t="str" s="11">
        <x:v>Даташит — локальный</x:v>
      </x:c>
      <x:c xmlns:x="http://schemas.openxmlformats.org/spreadsheetml/2006/main" r="V212" t="str" s="11">
        <x:v>C:\Users\Nomatin\Documents\Altium\MY_LIB\MY_LIB\Datasheets\YAGEO_CC_X7R.pdf</x:v>
      </x:c>
      <x:c xmlns:x="http://schemas.openxmlformats.org/spreadsheetml/2006/main" r="W212" t="str" s="11">
        <x:v>Даташит — производитель</x:v>
      </x:c>
      <x:c xmlns:x="http://schemas.openxmlformats.org/spreadsheetml/2006/main" r="X212" t="str" s="11">
        <x:v>https://yageogroup.com/content/datasheet/asset/file/UPY-GPHC_X7R_6_3V-TO-250V</x:v>
      </x:c>
      <x:c xmlns:x="http://schemas.openxmlformats.org/spreadsheetml/2006/main" r="Y212" t="str" s="11">
        <x:v>C:\Users\Nomatin\Documents\Altium\MY_LIB\MY_LIB\Datasheets\YAGEO_CC_X7R.pdf</x:v>
      </x:c>
    </ns0:row>
    <ns0:row r="213" ht="30" customHeight="1">
      <ns0:c r="A213" t="str" s="14">
        <ns0:v>C0214</ns0:v>
      </ns0:c>
      <ns0:c r="B213" t="str" s="14">
        <ns0:v>Конденсатор</ns0:v>
      </ns0:c>
      <ns0:c r="C213" t="str" s="14">
        <ns0:v>4.2n</ns0:v>
      </ns0:c>
      <ns0:c r="D213" t="str" s="11">
        <ns0:f>SUBSTITUTE(SUBSTITUTE(SUBSTITUTE(SUBSTITUTE(C213,"p"," пФ"),"n"," нФ"),"u"," мкФ"),".",",")</ns0:f>
        <ns0:v>4,2 нФ</ns0:v>
      </ns0:c>
      <ns0:c r="E213" t="str" s="14">
        <ns0:v>±10%</ns0:v>
      </ns0:c>
      <ns0:c r="F213" s="14"/>
      <ns0:c r="G213" t="str" s="14">
        <ns0:v>50 В</ns0:v>
      </ns0:c>
      <ns0:c r="H213" t="str" s="14">
        <ns0:v>X7R</ns0:v>
      </ns0:c>
      <ns0:c r="I213" t="str" s="15">
        <ns0:v>0603</ns0:v>
      </ns0:c>
      <ns0:c r="J213" t="str" s="14">
        <ns0:v>YAGEO</ns0:v>
      </ns0:c>
      <ns0:c r="K213" t="str" s="14">
        <ns0:v>CC0603KRX7R9BB422</ns0:v>
      </ns0:c>
      <ns0:c r="L213" t="str" s="11">
        <ns0:f>B213&amp;" "&amp;D213&amp;" "&amp;E213&amp;" "&amp;G213&amp;" "&amp;H213&amp;" "&amp;I213</ns0:f>
        <ns0:v>Конденсатор 4,2 нФ ±10% 50 В X7R 0603</ns0:v>
      </ns0:c>
      <ns0:c r="M213" t="str" s="13">
        <ns0:v>C</ns0:v>
      </ns0:c>
      <ns0:c r="N213" t="str" s="13">
        <ns0:v>Symbols\MY_LIB_Capacitors.SchLib</ns0:v>
      </ns0:c>
      <ns0:c r="O213" t="str" s="13">
        <ns0:v>CAPC1608X90N</ns0:v>
      </ns0:c>
      <ns0:c r="P213" t="str" s="13">
        <ns0:v>Footprints\PBL - SMD Packages.PcbLib</ns0:v>
      </ns0:c>
      <ns0:c r="Q213" t="str" s="14">
        <ns0:v>YAGEO CC; список 20.10.2026</ns0:v>
      </ns0:c>
      <ns0:c r="R213" t="str" s="11">
        <ns0:f>D213</ns0:f>
        <ns0:v>4,2 нФ</ns0:v>
      </ns0:c>
      <ns0:c r="S213" t="str" s="11">
        <ns0:f>L213</ns0:f>
        <ns0:v>Конденсатор 4,2 нФ ±10% 50 В X7R 0603</ns0:v>
      </ns0:c>
      <x:c xmlns:x="http://schemas.openxmlformats.org/spreadsheetml/2006/main" r="T213" t="str" s="11">
        <x:v>C:\Users\Nomatin\Documents\Altium\MY_LIB\MY_LIB\Datasheets\YAGEO_CC_X7R.pdf</x:v>
      </x:c>
      <x:c xmlns:x="http://schemas.openxmlformats.org/spreadsheetml/2006/main" r="U213" t="str" s="11">
        <x:v>Даташит — локальный</x:v>
      </x:c>
      <x:c xmlns:x="http://schemas.openxmlformats.org/spreadsheetml/2006/main" r="V213" t="str" s="11">
        <x:v>C:\Users\Nomatin\Documents\Altium\MY_LIB\MY_LIB\Datasheets\YAGEO_CC_X7R.pdf</x:v>
      </x:c>
      <x:c xmlns:x="http://schemas.openxmlformats.org/spreadsheetml/2006/main" r="W213" t="str" s="11">
        <x:v>Даташит — производитель</x:v>
      </x:c>
      <x:c xmlns:x="http://schemas.openxmlformats.org/spreadsheetml/2006/main" r="X213" t="str" s="11">
        <x:v>https://yageogroup.com/content/datasheet/asset/file/UPY-GPHC_X7R_6_3V-TO-250V</x:v>
      </x:c>
      <x:c xmlns:x="http://schemas.openxmlformats.org/spreadsheetml/2006/main" r="Y213" t="str" s="11">
        <x:v>C:\Users\Nomatin\Documents\Altium\MY_LIB\MY_LIB\Datasheets\YAGEO_CC_X7R.pdf</x:v>
      </x:c>
    </ns0:row>
    <ns0:row r="214" ht="30" customHeight="1">
      <ns0:c r="A214" t="str" s="14">
        <ns0:v>C0215</ns0:v>
      </ns0:c>
      <ns0:c r="B214" t="str" s="14">
        <ns0:v>Конденсатор</ns0:v>
      </ns0:c>
      <ns0:c r="C214" t="str" s="14">
        <ns0:v>4.7n</ns0:v>
      </ns0:c>
      <ns0:c r="D214" t="str" s="11">
        <ns0:f>SUBSTITUTE(SUBSTITUTE(SUBSTITUTE(SUBSTITUTE(C214,"p"," пФ"),"n"," нФ"),"u"," мкФ"),".",",")</ns0:f>
        <ns0:v>4,7 нФ</ns0:v>
      </ns0:c>
      <ns0:c r="E214" t="str" s="14">
        <ns0:v>±10%</ns0:v>
      </ns0:c>
      <ns0:c r="F214" s="14"/>
      <ns0:c r="G214" t="str" s="14">
        <ns0:v>100 В</ns0:v>
      </ns0:c>
      <ns0:c r="H214" t="str" s="14">
        <ns0:v>X7R</ns0:v>
      </ns0:c>
      <ns0:c r="I214" t="str" s="15">
        <ns0:v>0603</ns0:v>
      </ns0:c>
      <ns0:c r="J214" t="str" s="14">
        <ns0:v>YAGEO</ns0:v>
      </ns0:c>
      <ns0:c r="K214" t="str" s="14">
        <ns0:v>CC0603KRX7R0BB472</ns0:v>
      </ns0:c>
      <ns0:c r="L214" t="str" s="11">
        <ns0:f>B214&amp;" "&amp;D214&amp;" "&amp;E214&amp;" "&amp;G214&amp;" "&amp;H214&amp;" "&amp;I214</ns0:f>
        <ns0:v>Конденсатор 4,7 нФ ±10% 100 В X7R 0603</ns0:v>
      </ns0:c>
      <ns0:c r="M214" t="str" s="13">
        <ns0:v>C</ns0:v>
      </ns0:c>
      <ns0:c r="N214" t="str" s="13">
        <ns0:v>Symbols\MY_LIB_Capacitors.SchLib</ns0:v>
      </ns0:c>
      <ns0:c r="O214" t="str" s="13">
        <ns0:v>CAPC1608X90N</ns0:v>
      </ns0:c>
      <ns0:c r="P214" t="str" s="13">
        <ns0:v>Footprints\PBL - SMD Packages.PcbLib</ns0:v>
      </ns0:c>
      <ns0:c r="Q214" t="str" s="14">
        <ns0:v>YAGEO CC; список 20.10.2026</ns0:v>
      </ns0:c>
      <ns0:c r="R214" t="str" s="11">
        <ns0:f>D214</ns0:f>
        <ns0:v>4,7 нФ</ns0:v>
      </ns0:c>
      <ns0:c r="S214" t="str" s="11">
        <ns0:f>L214</ns0:f>
        <ns0:v>Конденсатор 4,7 нФ ±10% 100 В X7R 0603</ns0:v>
      </ns0:c>
      <x:c xmlns:x="http://schemas.openxmlformats.org/spreadsheetml/2006/main" r="T214" t="str" s="11">
        <x:v>C:\Users\Nomatin\Documents\Altium\MY_LIB\MY_LIB\Datasheets\YAGEO_CC_X7R.pdf</x:v>
      </x:c>
      <x:c xmlns:x="http://schemas.openxmlformats.org/spreadsheetml/2006/main" r="U214" t="str" s="11">
        <x:v>Даташит — локальный</x:v>
      </x:c>
      <x:c xmlns:x="http://schemas.openxmlformats.org/spreadsheetml/2006/main" r="V214" t="str" s="11">
        <x:v>C:\Users\Nomatin\Documents\Altium\MY_LIB\MY_LIB\Datasheets\YAGEO_CC_X7R.pdf</x:v>
      </x:c>
      <x:c xmlns:x="http://schemas.openxmlformats.org/spreadsheetml/2006/main" r="W214" t="str" s="11">
        <x:v>Даташит — производитель</x:v>
      </x:c>
      <x:c xmlns:x="http://schemas.openxmlformats.org/spreadsheetml/2006/main" r="X214" t="str" s="11">
        <x:v>https://yageogroup.com/content/datasheet/asset/file/UPY-GPHC_X7R_6_3V-TO-250V</x:v>
      </x:c>
      <x:c xmlns:x="http://schemas.openxmlformats.org/spreadsheetml/2006/main" r="Y214" t="str" s="11">
        <x:v>C:\Users\Nomatin\Documents\Altium\MY_LIB\MY_LIB\Datasheets\YAGEO_CC_X7R.pdf</x:v>
      </x:c>
    </ns0:row>
    <ns0:row r="215" ht="30" customHeight="1">
      <ns0:c r="A215" t="str" s="14">
        <ns0:v>C0216</ns0:v>
      </ns0:c>
      <ns0:c r="B215" t="str" s="14">
        <ns0:v>Конденсатор</ns0:v>
      </ns0:c>
      <ns0:c r="C215" t="str" s="14">
        <ns0:v>5.6n</ns0:v>
      </ns0:c>
      <ns0:c r="D215" t="str" s="11">
        <ns0:f>SUBSTITUTE(SUBSTITUTE(SUBSTITUTE(SUBSTITUTE(C215,"p"," пФ"),"n"," нФ"),"u"," мкФ"),".",",")</ns0:f>
        <ns0:v>5,6 нФ</ns0:v>
      </ns0:c>
      <ns0:c r="E215" t="str" s="14">
        <ns0:v>±10%</ns0:v>
      </ns0:c>
      <ns0:c r="F215" s="14"/>
      <ns0:c r="G215" t="str" s="14">
        <ns0:v>100 В</ns0:v>
      </ns0:c>
      <ns0:c r="H215" t="str" s="14">
        <ns0:v>X7R</ns0:v>
      </ns0:c>
      <ns0:c r="I215" t="str" s="15">
        <ns0:v>0603</ns0:v>
      </ns0:c>
      <ns0:c r="J215" t="str" s="14">
        <ns0:v>YAGEO</ns0:v>
      </ns0:c>
      <ns0:c r="K215" t="str" s="14">
        <ns0:v>CC0603KRX7R0BB562</ns0:v>
      </ns0:c>
      <ns0:c r="L215" t="str" s="11">
        <ns0:f>B215&amp;" "&amp;D215&amp;" "&amp;E215&amp;" "&amp;G215&amp;" "&amp;H215&amp;" "&amp;I215</ns0:f>
        <ns0:v>Конденсатор 5,6 нФ ±10% 100 В X7R 0603</ns0:v>
      </ns0:c>
      <ns0:c r="M215" t="str" s="13">
        <ns0:v>C</ns0:v>
      </ns0:c>
      <ns0:c r="N215" t="str" s="13">
        <ns0:v>Symbols\MY_LIB_Capacitors.SchLib</ns0:v>
      </ns0:c>
      <ns0:c r="O215" t="str" s="13">
        <ns0:v>CAPC1608X90N</ns0:v>
      </ns0:c>
      <ns0:c r="P215" t="str" s="13">
        <ns0:v>Footprints\PBL - SMD Packages.PcbLib</ns0:v>
      </ns0:c>
      <ns0:c r="Q215" t="str" s="14">
        <ns0:v>YAGEO CC; список 20.10.2026</ns0:v>
      </ns0:c>
      <ns0:c r="R215" t="str" s="11">
        <ns0:f>D215</ns0:f>
        <ns0:v>5,6 нФ</ns0:v>
      </ns0:c>
      <ns0:c r="S215" t="str" s="11">
        <ns0:f>L215</ns0:f>
        <ns0:v>Конденсатор 5,6 нФ ±10% 100 В X7R 0603</ns0:v>
      </ns0:c>
      <x:c xmlns:x="http://schemas.openxmlformats.org/spreadsheetml/2006/main" r="T215" t="str" s="11">
        <x:v>C:\Users\Nomatin\Documents\Altium\MY_LIB\MY_LIB\Datasheets\YAGEO_CC_X7R.pdf</x:v>
      </x:c>
      <x:c xmlns:x="http://schemas.openxmlformats.org/spreadsheetml/2006/main" r="U215" t="str" s="11">
        <x:v>Даташит — локальный</x:v>
      </x:c>
      <x:c xmlns:x="http://schemas.openxmlformats.org/spreadsheetml/2006/main" r="V215" t="str" s="11">
        <x:v>C:\Users\Nomatin\Documents\Altium\MY_LIB\MY_LIB\Datasheets\YAGEO_CC_X7R.pdf</x:v>
      </x:c>
      <x:c xmlns:x="http://schemas.openxmlformats.org/spreadsheetml/2006/main" r="W215" t="str" s="11">
        <x:v>Даташит — производитель</x:v>
      </x:c>
      <x:c xmlns:x="http://schemas.openxmlformats.org/spreadsheetml/2006/main" r="X215" t="str" s="11">
        <x:v>https://yageogroup.com/content/datasheet/asset/file/UPY-GPHC_X7R_6_3V-TO-250V</x:v>
      </x:c>
      <x:c xmlns:x="http://schemas.openxmlformats.org/spreadsheetml/2006/main" r="Y215" t="str" s="11">
        <x:v>C:\Users\Nomatin\Documents\Altium\MY_LIB\MY_LIB\Datasheets\YAGEO_CC_X7R.pdf</x:v>
      </x:c>
    </ns0:row>
    <ns0:row r="216" ht="30" customHeight="1">
      <ns0:c r="A216" t="str" s="14">
        <ns0:v>C0217</ns0:v>
      </ns0:c>
      <ns0:c r="B216" t="str" s="14">
        <ns0:v>Конденсатор</ns0:v>
      </ns0:c>
      <ns0:c r="C216" t="str" s="14">
        <ns0:v>6.8n</ns0:v>
      </ns0:c>
      <ns0:c r="D216" t="str" s="11">
        <ns0:f>SUBSTITUTE(SUBSTITUTE(SUBSTITUTE(SUBSTITUTE(C216,"p"," пФ"),"n"," нФ"),"u"," мкФ"),".",",")</ns0:f>
        <ns0:v>6,8 нФ</ns0:v>
      </ns0:c>
      <ns0:c r="E216" t="str" s="14">
        <ns0:v>±10%</ns0:v>
      </ns0:c>
      <ns0:c r="F216" s="14"/>
      <ns0:c r="G216" t="str" s="14">
        <ns0:v>100 В</ns0:v>
      </ns0:c>
      <ns0:c r="H216" t="str" s="14">
        <ns0:v>X7R</ns0:v>
      </ns0:c>
      <ns0:c r="I216" t="str" s="15">
        <ns0:v>0603</ns0:v>
      </ns0:c>
      <ns0:c r="J216" t="str" s="14">
        <ns0:v>YAGEO</ns0:v>
      </ns0:c>
      <ns0:c r="K216" t="str" s="14">
        <ns0:v>CC0603KRX7R0BB682</ns0:v>
      </ns0:c>
      <ns0:c r="L216" t="str" s="11">
        <ns0:f>B216&amp;" "&amp;D216&amp;" "&amp;E216&amp;" "&amp;G216&amp;" "&amp;H216&amp;" "&amp;I216</ns0:f>
        <ns0:v>Конденсатор 6,8 нФ ±10% 100 В X7R 0603</ns0:v>
      </ns0:c>
      <ns0:c r="M216" t="str" s="13">
        <ns0:v>C</ns0:v>
      </ns0:c>
      <ns0:c r="N216" t="str" s="13">
        <ns0:v>Symbols\MY_LIB_Capacitors.SchLib</ns0:v>
      </ns0:c>
      <ns0:c r="O216" t="str" s="13">
        <ns0:v>CAPC1608X90N</ns0:v>
      </ns0:c>
      <ns0:c r="P216" t="str" s="13">
        <ns0:v>Footprints\PBL - SMD Packages.PcbLib</ns0:v>
      </ns0:c>
      <ns0:c r="Q216" t="str" s="14">
        <ns0:v>YAGEO CC; список 20.10.2026</ns0:v>
      </ns0:c>
      <ns0:c r="R216" t="str" s="11">
        <ns0:f>D216</ns0:f>
        <ns0:v>6,8 нФ</ns0:v>
      </ns0:c>
      <ns0:c r="S216" t="str" s="11">
        <ns0:f>L216</ns0:f>
        <ns0:v>Конденсатор 6,8 нФ ±10% 100 В X7R 0603</ns0:v>
      </ns0:c>
      <x:c xmlns:x="http://schemas.openxmlformats.org/spreadsheetml/2006/main" r="T216" t="str" s="11">
        <x:v>C:\Users\Nomatin\Documents\Altium\MY_LIB\MY_LIB\Datasheets\YAGEO_CC_X7R.pdf</x:v>
      </x:c>
      <x:c xmlns:x="http://schemas.openxmlformats.org/spreadsheetml/2006/main" r="U216" t="str" s="11">
        <x:v>Даташит — локальный</x:v>
      </x:c>
      <x:c xmlns:x="http://schemas.openxmlformats.org/spreadsheetml/2006/main" r="V216" t="str" s="11">
        <x:v>C:\Users\Nomatin\Documents\Altium\MY_LIB\MY_LIB\Datasheets\YAGEO_CC_X7R.pdf</x:v>
      </x:c>
      <x:c xmlns:x="http://schemas.openxmlformats.org/spreadsheetml/2006/main" r="W216" t="str" s="11">
        <x:v>Даташит — производитель</x:v>
      </x:c>
      <x:c xmlns:x="http://schemas.openxmlformats.org/spreadsheetml/2006/main" r="X216" t="str" s="11">
        <x:v>https://yageogroup.com/content/datasheet/asset/file/UPY-GPHC_X7R_6_3V-TO-250V</x:v>
      </x:c>
      <x:c xmlns:x="http://schemas.openxmlformats.org/spreadsheetml/2006/main" r="Y216" t="str" s="11">
        <x:v>C:\Users\Nomatin\Documents\Altium\MY_LIB\MY_LIB\Datasheets\YAGEO_CC_X7R.pdf</x:v>
      </x:c>
    </ns0:row>
    <ns0:row r="217" ht="30" customHeight="1">
      <ns0:c r="A217" t="str" s="14">
        <ns0:v>C0218</ns0:v>
      </ns0:c>
      <ns0:c r="B217" t="str" s="14">
        <ns0:v>Конденсатор</ns0:v>
      </ns0:c>
      <ns0:c r="C217" t="str" s="14">
        <ns0:v>8.2n</ns0:v>
      </ns0:c>
      <ns0:c r="D217" t="str" s="11">
        <ns0:f>SUBSTITUTE(SUBSTITUTE(SUBSTITUTE(SUBSTITUTE(C217,"p"," пФ"),"n"," нФ"),"u"," мкФ"),".",",")</ns0:f>
        <ns0:v>8,2 нФ</ns0:v>
      </ns0:c>
      <ns0:c r="E217" t="str" s="14">
        <ns0:v>±10%</ns0:v>
      </ns0:c>
      <ns0:c r="F217" s="14"/>
      <ns0:c r="G217" t="str" s="14">
        <ns0:v>100 В</ns0:v>
      </ns0:c>
      <ns0:c r="H217" t="str" s="14">
        <ns0:v>X7R</ns0:v>
      </ns0:c>
      <ns0:c r="I217" t="str" s="15">
        <ns0:v>0603</ns0:v>
      </ns0:c>
      <ns0:c r="J217" t="str" s="14">
        <ns0:v>YAGEO</ns0:v>
      </ns0:c>
      <ns0:c r="K217" t="str" s="14">
        <ns0:v>CC0603KRX7R0BB822</ns0:v>
      </ns0:c>
      <ns0:c r="L217" t="str" s="11">
        <ns0:f>B217&amp;" "&amp;D217&amp;" "&amp;E217&amp;" "&amp;G217&amp;" "&amp;H217&amp;" "&amp;I217</ns0:f>
        <ns0:v>Конденсатор 8,2 нФ ±10% 100 В X7R 0603</ns0:v>
      </ns0:c>
      <ns0:c r="M217" t="str" s="13">
        <ns0:v>C</ns0:v>
      </ns0:c>
      <ns0:c r="N217" t="str" s="13">
        <ns0:v>Symbols\MY_LIB_Capacitors.SchLib</ns0:v>
      </ns0:c>
      <ns0:c r="O217" t="str" s="13">
        <ns0:v>CAPC1608X90N</ns0:v>
      </ns0:c>
      <ns0:c r="P217" t="str" s="13">
        <ns0:v>Footprints\PBL - SMD Packages.PcbLib</ns0:v>
      </ns0:c>
      <ns0:c r="Q217" t="str" s="14">
        <ns0:v>YAGEO CC; список 20.10.2026</ns0:v>
      </ns0:c>
      <ns0:c r="R217" t="str" s="11">
        <ns0:f>D217</ns0:f>
        <ns0:v>8,2 нФ</ns0:v>
      </ns0:c>
      <ns0:c r="S217" t="str" s="11">
        <ns0:f>L217</ns0:f>
        <ns0:v>Конденсатор 8,2 нФ ±10% 100 В X7R 0603</ns0:v>
      </ns0:c>
      <x:c xmlns:x="http://schemas.openxmlformats.org/spreadsheetml/2006/main" r="T217" t="str" s="11">
        <x:v>C:\Users\Nomatin\Documents\Altium\MY_LIB\MY_LIB\Datasheets\YAGEO_CC_X7R.pdf</x:v>
      </x:c>
      <x:c xmlns:x="http://schemas.openxmlformats.org/spreadsheetml/2006/main" r="U217" t="str" s="11">
        <x:v>Даташит — локальный</x:v>
      </x:c>
      <x:c xmlns:x="http://schemas.openxmlformats.org/spreadsheetml/2006/main" r="V217" t="str" s="11">
        <x:v>C:\Users\Nomatin\Documents\Altium\MY_LIB\MY_LIB\Datasheets\YAGEO_CC_X7R.pdf</x:v>
      </x:c>
      <x:c xmlns:x="http://schemas.openxmlformats.org/spreadsheetml/2006/main" r="W217" t="str" s="11">
        <x:v>Даташит — производитель</x:v>
      </x:c>
      <x:c xmlns:x="http://schemas.openxmlformats.org/spreadsheetml/2006/main" r="X217" t="str" s="11">
        <x:v>https://yageogroup.com/content/datasheet/asset/file/UPY-GPHC_X7R_6_3V-TO-250V</x:v>
      </x:c>
      <x:c xmlns:x="http://schemas.openxmlformats.org/spreadsheetml/2006/main" r="Y217" t="str" s="11">
        <x:v>C:\Users\Nomatin\Documents\Altium\MY_LIB\MY_LIB\Datasheets\YAGEO_CC_X7R.pdf</x:v>
      </x:c>
    </ns0:row>
    <ns0:row r="218" ht="30" customHeight="1">
      <ns0:c r="A218" t="str" s="14">
        <ns0:v>C0219</ns0:v>
      </ns0:c>
      <ns0:c r="B218" t="str" s="14">
        <ns0:v>Конденсатор</ns0:v>
      </ns0:c>
      <ns0:c r="C218" t="str" s="14">
        <ns0:v>10n</ns0:v>
      </ns0:c>
      <ns0:c r="D218" t="str" s="11">
        <ns0:f>SUBSTITUTE(SUBSTITUTE(SUBSTITUTE(SUBSTITUTE(C218,"p"," пФ"),"n"," нФ"),"u"," мкФ"),".",",")</ns0:f>
        <ns0:v>10 нФ</ns0:v>
      </ns0:c>
      <ns0:c r="E218" t="str" s="14">
        <ns0:v>±10%</ns0:v>
      </ns0:c>
      <ns0:c r="F218" s="14"/>
      <ns0:c r="G218" t="str" s="14">
        <ns0:v>100 В</ns0:v>
      </ns0:c>
      <ns0:c r="H218" t="str" s="14">
        <ns0:v>X7R</ns0:v>
      </ns0:c>
      <ns0:c r="I218" t="str" s="15">
        <ns0:v>0603</ns0:v>
      </ns0:c>
      <ns0:c r="J218" t="str" s="14">
        <ns0:v>YAGEO</ns0:v>
      </ns0:c>
      <ns0:c r="K218" t="str" s="14">
        <ns0:v>CC0603KRX7R0BB103</ns0:v>
      </ns0:c>
      <ns0:c r="L218" t="str" s="11">
        <ns0:f>B218&amp;" "&amp;D218&amp;" "&amp;E218&amp;" "&amp;G218&amp;" "&amp;H218&amp;" "&amp;I218</ns0:f>
        <ns0:v>Конденсатор 10 нФ ±10% 100 В X7R 0603</ns0:v>
      </ns0:c>
      <ns0:c r="M218" t="str" s="13">
        <ns0:v>C</ns0:v>
      </ns0:c>
      <ns0:c r="N218" t="str" s="13">
        <ns0:v>Symbols\MY_LIB_Capacitors.SchLib</ns0:v>
      </ns0:c>
      <ns0:c r="O218" t="str" s="13">
        <ns0:v>CAPC1608X90N</ns0:v>
      </ns0:c>
      <ns0:c r="P218" t="str" s="13">
        <ns0:v>Footprints\PBL - SMD Packages.PcbLib</ns0:v>
      </ns0:c>
      <ns0:c r="Q218" t="str" s="14">
        <ns0:v>YAGEO CC; список 20.10.2026</ns0:v>
      </ns0:c>
      <ns0:c r="R218" t="str" s="11">
        <ns0:f>D218</ns0:f>
        <ns0:v>10 нФ</ns0:v>
      </ns0:c>
      <ns0:c r="S218" t="str" s="11">
        <ns0:f>L218</ns0:f>
        <ns0:v>Конденсатор 10 нФ ±10% 100 В X7R 0603</ns0:v>
      </ns0:c>
      <x:c xmlns:x="http://schemas.openxmlformats.org/spreadsheetml/2006/main" r="T218" t="str" s="11">
        <x:v>C:\Users\Nomatin\Documents\Altium\MY_LIB\MY_LIB\Datasheets\YAGEO_CC_X7R.pdf</x:v>
      </x:c>
      <x:c xmlns:x="http://schemas.openxmlformats.org/spreadsheetml/2006/main" r="U218" t="str" s="11">
        <x:v>Даташит — локальный</x:v>
      </x:c>
      <x:c xmlns:x="http://schemas.openxmlformats.org/spreadsheetml/2006/main" r="V218" t="str" s="11">
        <x:v>C:\Users\Nomatin\Documents\Altium\MY_LIB\MY_LIB\Datasheets\YAGEO_CC_X7R.pdf</x:v>
      </x:c>
      <x:c xmlns:x="http://schemas.openxmlformats.org/spreadsheetml/2006/main" r="W218" t="str" s="11">
        <x:v>Даташит — производитель</x:v>
      </x:c>
      <x:c xmlns:x="http://schemas.openxmlformats.org/spreadsheetml/2006/main" r="X218" t="str" s="11">
        <x:v>https://yageogroup.com/content/datasheet/asset/file/UPY-GPHC_X7R_6_3V-TO-250V</x:v>
      </x:c>
      <x:c xmlns:x="http://schemas.openxmlformats.org/spreadsheetml/2006/main" r="Y218" t="str" s="11">
        <x:v>C:\Users\Nomatin\Documents\Altium\MY_LIB\MY_LIB\Datasheets\YAGEO_CC_X7R.pdf</x:v>
      </x:c>
    </ns0:row>
    <ns0:row r="219" ht="30" customHeight="1">
      <ns0:c r="A219" t="str" s="14">
        <ns0:v>C0220</ns0:v>
      </ns0:c>
      <ns0:c r="B219" t="str" s="14">
        <ns0:v>Конденсатор</ns0:v>
      </ns0:c>
      <ns0:c r="C219" t="str" s="14">
        <ns0:v>12n</ns0:v>
      </ns0:c>
      <ns0:c r="D219" t="str" s="11">
        <ns0:f>SUBSTITUTE(SUBSTITUTE(SUBSTITUTE(SUBSTITUTE(C219,"p"," пФ"),"n"," нФ"),"u"," мкФ"),".",",")</ns0:f>
        <ns0:v>12 нФ</ns0:v>
      </ns0:c>
      <ns0:c r="E219" t="str" s="14">
        <ns0:v>±10%</ns0:v>
      </ns0:c>
      <ns0:c r="F219" s="14"/>
      <ns0:c r="G219" t="str" s="14">
        <ns0:v>100 В</ns0:v>
      </ns0:c>
      <ns0:c r="H219" t="str" s="14">
        <ns0:v>X7R</ns0:v>
      </ns0:c>
      <ns0:c r="I219" t="str" s="15">
        <ns0:v>0603</ns0:v>
      </ns0:c>
      <ns0:c r="J219" t="str" s="14">
        <ns0:v>YAGEO</ns0:v>
      </ns0:c>
      <ns0:c r="K219" t="str" s="14">
        <ns0:v>CC0603KRX7R0BB123</ns0:v>
      </ns0:c>
      <ns0:c r="L219" t="str" s="11">
        <ns0:f>B219&amp;" "&amp;D219&amp;" "&amp;E219&amp;" "&amp;G219&amp;" "&amp;H219&amp;" "&amp;I219</ns0:f>
        <ns0:v>Конденсатор 12 нФ ±10% 100 В X7R 0603</ns0:v>
      </ns0:c>
      <ns0:c r="M219" t="str" s="13">
        <ns0:v>C</ns0:v>
      </ns0:c>
      <ns0:c r="N219" t="str" s="13">
        <ns0:v>Symbols\MY_LIB_Capacitors.SchLib</ns0:v>
      </ns0:c>
      <ns0:c r="O219" t="str" s="13">
        <ns0:v>CAPC1608X90N</ns0:v>
      </ns0:c>
      <ns0:c r="P219" t="str" s="13">
        <ns0:v>Footprints\PBL - SMD Packages.PcbLib</ns0:v>
      </ns0:c>
      <ns0:c r="Q219" t="str" s="14">
        <ns0:v>YAGEO CC; список 20.10.2026</ns0:v>
      </ns0:c>
      <ns0:c r="R219" t="str" s="11">
        <ns0:f>D219</ns0:f>
        <ns0:v>12 нФ</ns0:v>
      </ns0:c>
      <ns0:c r="S219" t="str" s="11">
        <ns0:f>L219</ns0:f>
        <ns0:v>Конденсатор 12 нФ ±10% 100 В X7R 0603</ns0:v>
      </ns0:c>
      <x:c xmlns:x="http://schemas.openxmlformats.org/spreadsheetml/2006/main" r="T219" t="str" s="11">
        <x:v>C:\Users\Nomatin\Documents\Altium\MY_LIB\MY_LIB\Datasheets\YAGEO_CC_X7R.pdf</x:v>
      </x:c>
      <x:c xmlns:x="http://schemas.openxmlformats.org/spreadsheetml/2006/main" r="U219" t="str" s="11">
        <x:v>Даташит — локальный</x:v>
      </x:c>
      <x:c xmlns:x="http://schemas.openxmlformats.org/spreadsheetml/2006/main" r="V219" t="str" s="11">
        <x:v>C:\Users\Nomatin\Documents\Altium\MY_LIB\MY_LIB\Datasheets\YAGEO_CC_X7R.pdf</x:v>
      </x:c>
      <x:c xmlns:x="http://schemas.openxmlformats.org/spreadsheetml/2006/main" r="W219" t="str" s="11">
        <x:v>Даташит — производитель</x:v>
      </x:c>
      <x:c xmlns:x="http://schemas.openxmlformats.org/spreadsheetml/2006/main" r="X219" t="str" s="11">
        <x:v>https://yageogroup.com/content/datasheet/asset/file/UPY-GPHC_X7R_6_3V-TO-250V</x:v>
      </x:c>
      <x:c xmlns:x="http://schemas.openxmlformats.org/spreadsheetml/2006/main" r="Y219" t="str" s="11">
        <x:v>C:\Users\Nomatin\Documents\Altium\MY_LIB\MY_LIB\Datasheets\YAGEO_CC_X7R.pdf</x:v>
      </x:c>
    </ns0:row>
    <ns0:row r="220" ht="30" customHeight="1">
      <ns0:c r="A220" t="str" s="14">
        <ns0:v>C0221</ns0:v>
      </ns0:c>
      <ns0:c r="B220" t="str" s="14">
        <ns0:v>Конденсатор</ns0:v>
      </ns0:c>
      <ns0:c r="C220" t="str" s="14">
        <ns0:v>15n</ns0:v>
      </ns0:c>
      <ns0:c r="D220" t="str" s="11">
        <ns0:f>SUBSTITUTE(SUBSTITUTE(SUBSTITUTE(SUBSTITUTE(C220,"p"," пФ"),"n"," нФ"),"u"," мкФ"),".",",")</ns0:f>
        <ns0:v>15 нФ</ns0:v>
      </ns0:c>
      <ns0:c r="E220" t="str" s="14">
        <ns0:v>±10%</ns0:v>
      </ns0:c>
      <ns0:c r="F220" s="14"/>
      <ns0:c r="G220" t="str" s="14">
        <ns0:v>100 В</ns0:v>
      </ns0:c>
      <ns0:c r="H220" t="str" s="14">
        <ns0:v>X7R</ns0:v>
      </ns0:c>
      <ns0:c r="I220" t="str" s="15">
        <ns0:v>0603</ns0:v>
      </ns0:c>
      <ns0:c r="J220" t="str" s="14">
        <ns0:v>YAGEO</ns0:v>
      </ns0:c>
      <ns0:c r="K220" t="str" s="14">
        <ns0:v>CC0603KRX7R0BB153</ns0:v>
      </ns0:c>
      <ns0:c r="L220" t="str" s="11">
        <ns0:f>B220&amp;" "&amp;D220&amp;" "&amp;E220&amp;" "&amp;G220&amp;" "&amp;H220&amp;" "&amp;I220</ns0:f>
        <ns0:v>Конденсатор 15 нФ ±10% 100 В X7R 0603</ns0:v>
      </ns0:c>
      <ns0:c r="M220" t="str" s="13">
        <ns0:v>C</ns0:v>
      </ns0:c>
      <ns0:c r="N220" t="str" s="13">
        <ns0:v>Symbols\MY_LIB_Capacitors.SchLib</ns0:v>
      </ns0:c>
      <ns0:c r="O220" t="str" s="13">
        <ns0:v>CAPC1608X90N</ns0:v>
      </ns0:c>
      <ns0:c r="P220" t="str" s="13">
        <ns0:v>Footprints\PBL - SMD Packages.PcbLib</ns0:v>
      </ns0:c>
      <ns0:c r="Q220" t="str" s="14">
        <ns0:v>YAGEO CC; список 20.10.2026</ns0:v>
      </ns0:c>
      <ns0:c r="R220" t="str" s="11">
        <ns0:f>D220</ns0:f>
        <ns0:v>15 нФ</ns0:v>
      </ns0:c>
      <ns0:c r="S220" t="str" s="11">
        <ns0:f>L220</ns0:f>
        <ns0:v>Конденсатор 15 нФ ±10% 100 В X7R 0603</ns0:v>
      </ns0:c>
      <x:c xmlns:x="http://schemas.openxmlformats.org/spreadsheetml/2006/main" r="T220" t="str" s="11">
        <x:v>C:\Users\Nomatin\Documents\Altium\MY_LIB\MY_LIB\Datasheets\YAGEO_CC_X7R.pdf</x:v>
      </x:c>
      <x:c xmlns:x="http://schemas.openxmlformats.org/spreadsheetml/2006/main" r="U220" t="str" s="11">
        <x:v>Даташит — локальный</x:v>
      </x:c>
      <x:c xmlns:x="http://schemas.openxmlformats.org/spreadsheetml/2006/main" r="V220" t="str" s="11">
        <x:v>C:\Users\Nomatin\Documents\Altium\MY_LIB\MY_LIB\Datasheets\YAGEO_CC_X7R.pdf</x:v>
      </x:c>
      <x:c xmlns:x="http://schemas.openxmlformats.org/spreadsheetml/2006/main" r="W220" t="str" s="11">
        <x:v>Даташит — производитель</x:v>
      </x:c>
      <x:c xmlns:x="http://schemas.openxmlformats.org/spreadsheetml/2006/main" r="X220" t="str" s="11">
        <x:v>https://yageogroup.com/content/datasheet/asset/file/UPY-GPHC_X7R_6_3V-TO-250V</x:v>
      </x:c>
      <x:c xmlns:x="http://schemas.openxmlformats.org/spreadsheetml/2006/main" r="Y220" t="str" s="11">
        <x:v>C:\Users\Nomatin\Documents\Altium\MY_LIB\MY_LIB\Datasheets\YAGEO_CC_X7R.pdf</x:v>
      </x:c>
    </ns0:row>
    <ns0:row r="221" ht="30" customHeight="1">
      <ns0:c r="A221" t="str" s="14">
        <ns0:v>C0222</ns0:v>
      </ns0:c>
      <ns0:c r="B221" t="str" s="14">
        <ns0:v>Конденсатор</ns0:v>
      </ns0:c>
      <ns0:c r="C221" t="str" s="14">
        <ns0:v>18n</ns0:v>
      </ns0:c>
      <ns0:c r="D221" t="str" s="11">
        <ns0:f>SUBSTITUTE(SUBSTITUTE(SUBSTITUTE(SUBSTITUTE(C221,"p"," пФ"),"n"," нФ"),"u"," мкФ"),".",",")</ns0:f>
        <ns0:v>18 нФ</ns0:v>
      </ns0:c>
      <ns0:c r="E221" t="str" s="14">
        <ns0:v>±10%</ns0:v>
      </ns0:c>
      <ns0:c r="F221" s="14"/>
      <ns0:c r="G221" t="str" s="14">
        <ns0:v>100 В</ns0:v>
      </ns0:c>
      <ns0:c r="H221" t="str" s="14">
        <ns0:v>X7R</ns0:v>
      </ns0:c>
      <ns0:c r="I221" t="str" s="15">
        <ns0:v>0603</ns0:v>
      </ns0:c>
      <ns0:c r="J221" t="str" s="14">
        <ns0:v>YAGEO</ns0:v>
      </ns0:c>
      <ns0:c r="K221" t="str" s="14">
        <ns0:v>CC0603KRX7R0BB183</ns0:v>
      </ns0:c>
      <ns0:c r="L221" t="str" s="11">
        <ns0:f>B221&amp;" "&amp;D221&amp;" "&amp;E221&amp;" "&amp;G221&amp;" "&amp;H221&amp;" "&amp;I221</ns0:f>
        <ns0:v>Конденсатор 18 нФ ±10% 100 В X7R 0603</ns0:v>
      </ns0:c>
      <ns0:c r="M221" t="str" s="13">
        <ns0:v>C</ns0:v>
      </ns0:c>
      <ns0:c r="N221" t="str" s="13">
        <ns0:v>Symbols\MY_LIB_Capacitors.SchLib</ns0:v>
      </ns0:c>
      <ns0:c r="O221" t="str" s="13">
        <ns0:v>CAPC1608X90N</ns0:v>
      </ns0:c>
      <ns0:c r="P221" t="str" s="13">
        <ns0:v>Footprints\PBL - SMD Packages.PcbLib</ns0:v>
      </ns0:c>
      <ns0:c r="Q221" t="str" s="14">
        <ns0:v>YAGEO CC; список 20.10.2026</ns0:v>
      </ns0:c>
      <ns0:c r="R221" t="str" s="11">
        <ns0:f>D221</ns0:f>
        <ns0:v>18 нФ</ns0:v>
      </ns0:c>
      <ns0:c r="S221" t="str" s="11">
        <ns0:f>L221</ns0:f>
        <ns0:v>Конденсатор 18 нФ ±10% 100 В X7R 0603</ns0:v>
      </ns0:c>
      <x:c xmlns:x="http://schemas.openxmlformats.org/spreadsheetml/2006/main" r="T221" t="str" s="11">
        <x:v>C:\Users\Nomatin\Documents\Altium\MY_LIB\MY_LIB\Datasheets\YAGEO_CC_X7R.pdf</x:v>
      </x:c>
      <x:c xmlns:x="http://schemas.openxmlformats.org/spreadsheetml/2006/main" r="U221" t="str" s="11">
        <x:v>Даташит — локальный</x:v>
      </x:c>
      <x:c xmlns:x="http://schemas.openxmlformats.org/spreadsheetml/2006/main" r="V221" t="str" s="11">
        <x:v>C:\Users\Nomatin\Documents\Altium\MY_LIB\MY_LIB\Datasheets\YAGEO_CC_X7R.pdf</x:v>
      </x:c>
      <x:c xmlns:x="http://schemas.openxmlformats.org/spreadsheetml/2006/main" r="W221" t="str" s="11">
        <x:v>Даташит — производитель</x:v>
      </x:c>
      <x:c xmlns:x="http://schemas.openxmlformats.org/spreadsheetml/2006/main" r="X221" t="str" s="11">
        <x:v>https://yageogroup.com/content/datasheet/asset/file/UPY-GPHC_X7R_6_3V-TO-250V</x:v>
      </x:c>
      <x:c xmlns:x="http://schemas.openxmlformats.org/spreadsheetml/2006/main" r="Y221" t="str" s="11">
        <x:v>C:\Users\Nomatin\Documents\Altium\MY_LIB\MY_LIB\Datasheets\YAGEO_CC_X7R.pdf</x:v>
      </x:c>
    </ns0:row>
    <ns0:row r="222" ht="30" customHeight="1">
      <ns0:c r="A222" t="str" s="14">
        <ns0:v>C0223</ns0:v>
      </ns0:c>
      <ns0:c r="B222" t="str" s="14">
        <ns0:v>Конденсатор</ns0:v>
      </ns0:c>
      <ns0:c r="C222" t="str" s="14">
        <ns0:v>20n</ns0:v>
      </ns0:c>
      <ns0:c r="D222" t="str" s="11">
        <ns0:f>SUBSTITUTE(SUBSTITUTE(SUBSTITUTE(SUBSTITUTE(C222,"p"," пФ"),"n"," нФ"),"u"," мкФ"),".",",")</ns0:f>
        <ns0:v>20 нФ</ns0:v>
      </ns0:c>
      <ns0:c r="E222" t="str" s="14">
        <ns0:v>±10%</ns0:v>
      </ns0:c>
      <ns0:c r="F222" s="14"/>
      <ns0:c r="G222" t="str" s="14">
        <ns0:v>50 В</ns0:v>
      </ns0:c>
      <ns0:c r="H222" t="str" s="14">
        <ns0:v>X7R</ns0:v>
      </ns0:c>
      <ns0:c r="I222" t="str" s="15">
        <ns0:v>0603</ns0:v>
      </ns0:c>
      <ns0:c r="J222" t="str" s="14">
        <ns0:v>YAGEO</ns0:v>
      </ns0:c>
      <ns0:c r="K222" t="str" s="14">
        <ns0:v>CC0603KRX7R9BB203</ns0:v>
      </ns0:c>
      <ns0:c r="L222" t="str" s="11">
        <ns0:f>B222&amp;" "&amp;D222&amp;" "&amp;E222&amp;" "&amp;G222&amp;" "&amp;H222&amp;" "&amp;I222</ns0:f>
        <ns0:v>Конденсатор 20 нФ ±10% 50 В X7R 0603</ns0:v>
      </ns0:c>
      <ns0:c r="M222" t="str" s="13">
        <ns0:v>C</ns0:v>
      </ns0:c>
      <ns0:c r="N222" t="str" s="13">
        <ns0:v>Symbols\MY_LIB_Capacitors.SchLib</ns0:v>
      </ns0:c>
      <ns0:c r="O222" t="str" s="13">
        <ns0:v>CAPC1608X90N</ns0:v>
      </ns0:c>
      <ns0:c r="P222" t="str" s="13">
        <ns0:v>Footprints\PBL - SMD Packages.PcbLib</ns0:v>
      </ns0:c>
      <ns0:c r="Q222" t="str" s="14">
        <ns0:v>YAGEO CC; список 20.10.2026</ns0:v>
      </ns0:c>
      <ns0:c r="R222" t="str" s="11">
        <ns0:f>D222</ns0:f>
        <ns0:v>20 нФ</ns0:v>
      </ns0:c>
      <ns0:c r="S222" t="str" s="11">
        <ns0:f>L222</ns0:f>
        <ns0:v>Конденсатор 20 нФ ±10% 50 В X7R 0603</ns0:v>
      </ns0:c>
      <x:c xmlns:x="http://schemas.openxmlformats.org/spreadsheetml/2006/main" r="T222" t="str" s="11">
        <x:v>C:\Users\Nomatin\Documents\Altium\MY_LIB\MY_LIB\Datasheets\YAGEO_CC_X7R.pdf</x:v>
      </x:c>
      <x:c xmlns:x="http://schemas.openxmlformats.org/spreadsheetml/2006/main" r="U222" t="str" s="11">
        <x:v>Даташит — локальный</x:v>
      </x:c>
      <x:c xmlns:x="http://schemas.openxmlformats.org/spreadsheetml/2006/main" r="V222" t="str" s="11">
        <x:v>C:\Users\Nomatin\Documents\Altium\MY_LIB\MY_LIB\Datasheets\YAGEO_CC_X7R.pdf</x:v>
      </x:c>
      <x:c xmlns:x="http://schemas.openxmlformats.org/spreadsheetml/2006/main" r="W222" t="str" s="11">
        <x:v>Даташит — производитель</x:v>
      </x:c>
      <x:c xmlns:x="http://schemas.openxmlformats.org/spreadsheetml/2006/main" r="X222" t="str" s="11">
        <x:v>https://yageogroup.com/content/datasheet/asset/file/UPY-GPHC_X7R_6_3V-TO-250V</x:v>
      </x:c>
      <x:c xmlns:x="http://schemas.openxmlformats.org/spreadsheetml/2006/main" r="Y222" t="str" s="11">
        <x:v>C:\Users\Nomatin\Documents\Altium\MY_LIB\MY_LIB\Datasheets\YAGEO_CC_X7R.pdf</x:v>
      </x:c>
    </ns0:row>
    <ns0:row r="223" ht="30" customHeight="1">
      <ns0:c r="A223" t="str" s="14">
        <ns0:v>C0224</ns0:v>
      </ns0:c>
      <ns0:c r="B223" t="str" s="14">
        <ns0:v>Конденсатор</ns0:v>
      </ns0:c>
      <ns0:c r="C223" t="str" s="14">
        <ns0:v>22n</ns0:v>
      </ns0:c>
      <ns0:c r="D223" t="str" s="11">
        <ns0:f>SUBSTITUTE(SUBSTITUTE(SUBSTITUTE(SUBSTITUTE(C223,"p"," пФ"),"n"," нФ"),"u"," мкФ"),".",",")</ns0:f>
        <ns0:v>22 нФ</ns0:v>
      </ns0:c>
      <ns0:c r="E223" t="str" s="14">
        <ns0:v>±10%</ns0:v>
      </ns0:c>
      <ns0:c r="F223" s="14"/>
      <ns0:c r="G223" t="str" s="14">
        <ns0:v>100 В</ns0:v>
      </ns0:c>
      <ns0:c r="H223" t="str" s="14">
        <ns0:v>X7R</ns0:v>
      </ns0:c>
      <ns0:c r="I223" t="str" s="15">
        <ns0:v>0603</ns0:v>
      </ns0:c>
      <ns0:c r="J223" t="str" s="14">
        <ns0:v>YAGEO</ns0:v>
      </ns0:c>
      <ns0:c r="K223" t="str" s="14">
        <ns0:v>CC0603KRX7R0BB223</ns0:v>
      </ns0:c>
      <ns0:c r="L223" t="str" s="11">
        <ns0:f>B223&amp;" "&amp;D223&amp;" "&amp;E223&amp;" "&amp;G223&amp;" "&amp;H223&amp;" "&amp;I223</ns0:f>
        <ns0:v>Конденсатор 22 нФ ±10% 100 В X7R 0603</ns0:v>
      </ns0:c>
      <ns0:c r="M223" t="str" s="13">
        <ns0:v>C</ns0:v>
      </ns0:c>
      <ns0:c r="N223" t="str" s="13">
        <ns0:v>Symbols\MY_LIB_Capacitors.SchLib</ns0:v>
      </ns0:c>
      <ns0:c r="O223" t="str" s="13">
        <ns0:v>CAPC1608X90N</ns0:v>
      </ns0:c>
      <ns0:c r="P223" t="str" s="13">
        <ns0:v>Footprints\PBL - SMD Packages.PcbLib</ns0:v>
      </ns0:c>
      <ns0:c r="Q223" t="str" s="14">
        <ns0:v>YAGEO CC; список 20.10.2026</ns0:v>
      </ns0:c>
      <ns0:c r="R223" t="str" s="11">
        <ns0:f>D223</ns0:f>
        <ns0:v>22 нФ</ns0:v>
      </ns0:c>
      <ns0:c r="S223" t="str" s="11">
        <ns0:f>L223</ns0:f>
        <ns0:v>Конденсатор 22 нФ ±10% 100 В X7R 0603</ns0:v>
      </ns0:c>
      <x:c xmlns:x="http://schemas.openxmlformats.org/spreadsheetml/2006/main" r="T223" t="str" s="11">
        <x:v>C:\Users\Nomatin\Documents\Altium\MY_LIB\MY_LIB\Datasheets\YAGEO_CC_X7R.pdf</x:v>
      </x:c>
      <x:c xmlns:x="http://schemas.openxmlformats.org/spreadsheetml/2006/main" r="U223" t="str" s="11">
        <x:v>Даташит — локальный</x:v>
      </x:c>
      <x:c xmlns:x="http://schemas.openxmlformats.org/spreadsheetml/2006/main" r="V223" t="str" s="11">
        <x:v>C:\Users\Nomatin\Documents\Altium\MY_LIB\MY_LIB\Datasheets\YAGEO_CC_X7R.pdf</x:v>
      </x:c>
      <x:c xmlns:x="http://schemas.openxmlformats.org/spreadsheetml/2006/main" r="W223" t="str" s="11">
        <x:v>Даташит — производитель</x:v>
      </x:c>
      <x:c xmlns:x="http://schemas.openxmlformats.org/spreadsheetml/2006/main" r="X223" t="str" s="11">
        <x:v>https://yageogroup.com/content/datasheet/asset/file/UPY-GPHC_X7R_6_3V-TO-250V</x:v>
      </x:c>
      <x:c xmlns:x="http://schemas.openxmlformats.org/spreadsheetml/2006/main" r="Y223" t="str" s="11">
        <x:v>C:\Users\Nomatin\Documents\Altium\MY_LIB\MY_LIB\Datasheets\YAGEO_CC_X7R.pdf</x:v>
      </x:c>
    </ns0:row>
    <ns0:row r="224" ht="30" customHeight="1">
      <ns0:c r="A224" t="str" s="14">
        <ns0:v>C0225</ns0:v>
      </ns0:c>
      <ns0:c r="B224" t="str" s="14">
        <ns0:v>Конденсатор</ns0:v>
      </ns0:c>
      <ns0:c r="C224" t="str" s="14">
        <ns0:v>27n</ns0:v>
      </ns0:c>
      <ns0:c r="D224" t="str" s="11">
        <ns0:f>SUBSTITUTE(SUBSTITUTE(SUBSTITUTE(SUBSTITUTE(C224,"p"," пФ"),"n"," нФ"),"u"," мкФ"),".",",")</ns0:f>
        <ns0:v>27 нФ</ns0:v>
      </ns0:c>
      <ns0:c r="E224" t="str" s="14">
        <ns0:v>±10%</ns0:v>
      </ns0:c>
      <ns0:c r="F224" s="14"/>
      <ns0:c r="G224" t="str" s="14">
        <ns0:v>50 В</ns0:v>
      </ns0:c>
      <ns0:c r="H224" t="str" s="14">
        <ns0:v>X7R</ns0:v>
      </ns0:c>
      <ns0:c r="I224" t="str" s="15">
        <ns0:v>0603</ns0:v>
      </ns0:c>
      <ns0:c r="J224" t="str" s="14">
        <ns0:v>YAGEO</ns0:v>
      </ns0:c>
      <ns0:c r="K224" t="str" s="14">
        <ns0:v>CC0603KRX7R9BB273</ns0:v>
      </ns0:c>
      <ns0:c r="L224" t="str" s="11">
        <ns0:f>B224&amp;" "&amp;D224&amp;" "&amp;E224&amp;" "&amp;G224&amp;" "&amp;H224&amp;" "&amp;I224</ns0:f>
        <ns0:v>Конденсатор 27 нФ ±10% 50 В X7R 0603</ns0:v>
      </ns0:c>
      <ns0:c r="M224" t="str" s="13">
        <ns0:v>C</ns0:v>
      </ns0:c>
      <ns0:c r="N224" t="str" s="13">
        <ns0:v>Symbols\MY_LIB_Capacitors.SchLib</ns0:v>
      </ns0:c>
      <ns0:c r="O224" t="str" s="13">
        <ns0:v>CAPC1608X90N</ns0:v>
      </ns0:c>
      <ns0:c r="P224" t="str" s="13">
        <ns0:v>Footprints\PBL - SMD Packages.PcbLib</ns0:v>
      </ns0:c>
      <ns0:c r="Q224" t="str" s="14">
        <ns0:v>YAGEO CC; список 20.10.2026</ns0:v>
      </ns0:c>
      <ns0:c r="R224" t="str" s="11">
        <ns0:f>D224</ns0:f>
        <ns0:v>27 нФ</ns0:v>
      </ns0:c>
      <ns0:c r="S224" t="str" s="11">
        <ns0:f>L224</ns0:f>
        <ns0:v>Конденсатор 27 нФ ±10% 50 В X7R 0603</ns0:v>
      </ns0:c>
      <x:c xmlns:x="http://schemas.openxmlformats.org/spreadsheetml/2006/main" r="T224" t="str" s="11">
        <x:v>C:\Users\Nomatin\Documents\Altium\MY_LIB\MY_LIB\Datasheets\YAGEO_CC_X7R.pdf</x:v>
      </x:c>
      <x:c xmlns:x="http://schemas.openxmlformats.org/spreadsheetml/2006/main" r="U224" t="str" s="11">
        <x:v>Даташит — локальный</x:v>
      </x:c>
      <x:c xmlns:x="http://schemas.openxmlformats.org/spreadsheetml/2006/main" r="V224" t="str" s="11">
        <x:v>C:\Users\Nomatin\Documents\Altium\MY_LIB\MY_LIB\Datasheets\YAGEO_CC_X7R.pdf</x:v>
      </x:c>
      <x:c xmlns:x="http://schemas.openxmlformats.org/spreadsheetml/2006/main" r="W224" t="str" s="11">
        <x:v>Даташит — производитель</x:v>
      </x:c>
      <x:c xmlns:x="http://schemas.openxmlformats.org/spreadsheetml/2006/main" r="X224" t="str" s="11">
        <x:v>https://yageogroup.com/content/datasheet/asset/file/UPY-GPHC_X7R_6_3V-TO-250V</x:v>
      </x:c>
      <x:c xmlns:x="http://schemas.openxmlformats.org/spreadsheetml/2006/main" r="Y224" t="str" s="11">
        <x:v>C:\Users\Nomatin\Documents\Altium\MY_LIB\MY_LIB\Datasheets\YAGEO_CC_X7R.pdf</x:v>
      </x:c>
    </ns0:row>
    <ns0:row r="225" ht="30" customHeight="1">
      <ns0:c r="A225" t="str" s="14">
        <ns0:v>C0226</ns0:v>
      </ns0:c>
      <ns0:c r="B225" t="str" s="14">
        <ns0:v>Конденсатор</ns0:v>
      </ns0:c>
      <ns0:c r="C225" t="str" s="14">
        <ns0:v>33n</ns0:v>
      </ns0:c>
      <ns0:c r="D225" t="str" s="11">
        <ns0:f>SUBSTITUTE(SUBSTITUTE(SUBSTITUTE(SUBSTITUTE(C225,"p"," пФ"),"n"," нФ"),"u"," мкФ"),".",",")</ns0:f>
        <ns0:v>33 нФ</ns0:v>
      </ns0:c>
      <ns0:c r="E225" t="str" s="14">
        <ns0:v>±10%</ns0:v>
      </ns0:c>
      <ns0:c r="F225" s="14"/>
      <ns0:c r="G225" t="str" s="14">
        <ns0:v>100 В</ns0:v>
      </ns0:c>
      <ns0:c r="H225" t="str" s="14">
        <ns0:v>X7R</ns0:v>
      </ns0:c>
      <ns0:c r="I225" t="str" s="15">
        <ns0:v>0603</ns0:v>
      </ns0:c>
      <ns0:c r="J225" t="str" s="14">
        <ns0:v>YAGEO</ns0:v>
      </ns0:c>
      <ns0:c r="K225" t="str" s="14">
        <ns0:v>CC0603KRX7R0BB333</ns0:v>
      </ns0:c>
      <ns0:c r="L225" t="str" s="11">
        <ns0:f>B225&amp;" "&amp;D225&amp;" "&amp;E225&amp;" "&amp;G225&amp;" "&amp;H225&amp;" "&amp;I225</ns0:f>
        <ns0:v>Конденсатор 33 нФ ±10% 100 В X7R 0603</ns0:v>
      </ns0:c>
      <ns0:c r="M225" t="str" s="13">
        <ns0:v>C</ns0:v>
      </ns0:c>
      <ns0:c r="N225" t="str" s="13">
        <ns0:v>Symbols\MY_LIB_Capacitors.SchLib</ns0:v>
      </ns0:c>
      <ns0:c r="O225" t="str" s="13">
        <ns0:v>CAPC1608X90N</ns0:v>
      </ns0:c>
      <ns0:c r="P225" t="str" s="13">
        <ns0:v>Footprints\PBL - SMD Packages.PcbLib</ns0:v>
      </ns0:c>
      <ns0:c r="Q225" t="str" s="14">
        <ns0:v>YAGEO CC; список 20.10.2026</ns0:v>
      </ns0:c>
      <ns0:c r="R225" t="str" s="11">
        <ns0:f>D225</ns0:f>
        <ns0:v>33 нФ</ns0:v>
      </ns0:c>
      <ns0:c r="S225" t="str" s="11">
        <ns0:f>L225</ns0:f>
        <ns0:v>Конденсатор 33 нФ ±10% 100 В X7R 0603</ns0:v>
      </ns0:c>
      <x:c xmlns:x="http://schemas.openxmlformats.org/spreadsheetml/2006/main" r="T225" t="str" s="11">
        <x:v>C:\Users\Nomatin\Documents\Altium\MY_LIB\MY_LIB\Datasheets\YAGEO_CC_X7R.pdf</x:v>
      </x:c>
      <x:c xmlns:x="http://schemas.openxmlformats.org/spreadsheetml/2006/main" r="U225" t="str" s="11">
        <x:v>Даташит — локальный</x:v>
      </x:c>
      <x:c xmlns:x="http://schemas.openxmlformats.org/spreadsheetml/2006/main" r="V225" t="str" s="11">
        <x:v>C:\Users\Nomatin\Documents\Altium\MY_LIB\MY_LIB\Datasheets\YAGEO_CC_X7R.pdf</x:v>
      </x:c>
      <x:c xmlns:x="http://schemas.openxmlformats.org/spreadsheetml/2006/main" r="W225" t="str" s="11">
        <x:v>Даташит — производитель</x:v>
      </x:c>
      <x:c xmlns:x="http://schemas.openxmlformats.org/spreadsheetml/2006/main" r="X225" t="str" s="11">
        <x:v>https://yageogroup.com/content/datasheet/asset/file/UPY-GPHC_X7R_6_3V-TO-250V</x:v>
      </x:c>
      <x:c xmlns:x="http://schemas.openxmlformats.org/spreadsheetml/2006/main" r="Y225" t="str" s="11">
        <x:v>C:\Users\Nomatin\Documents\Altium\MY_LIB\MY_LIB\Datasheets\YAGEO_CC_X7R.pdf</x:v>
      </x:c>
    </ns0:row>
    <ns0:row r="226" ht="30" customHeight="1">
      <ns0:c r="A226" t="str" s="14">
        <ns0:v>C0227</ns0:v>
      </ns0:c>
      <ns0:c r="B226" t="str" s="14">
        <ns0:v>Конденсатор</ns0:v>
      </ns0:c>
      <ns0:c r="C226" t="str" s="14">
        <ns0:v>39n</ns0:v>
      </ns0:c>
      <ns0:c r="D226" t="str" s="11">
        <ns0:f>SUBSTITUTE(SUBSTITUTE(SUBSTITUTE(SUBSTITUTE(C226,"p"," пФ"),"n"," нФ"),"u"," мкФ"),".",",")</ns0:f>
        <ns0:v>39 нФ</ns0:v>
      </ns0:c>
      <ns0:c r="E226" t="str" s="14">
        <ns0:v>±10%</ns0:v>
      </ns0:c>
      <ns0:c r="F226" s="14"/>
      <ns0:c r="G226" t="str" s="14">
        <ns0:v>100 В</ns0:v>
      </ns0:c>
      <ns0:c r="H226" t="str" s="14">
        <ns0:v>X7R</ns0:v>
      </ns0:c>
      <ns0:c r="I226" t="str" s="15">
        <ns0:v>0603</ns0:v>
      </ns0:c>
      <ns0:c r="J226" t="str" s="14">
        <ns0:v>YAGEO</ns0:v>
      </ns0:c>
      <ns0:c r="K226" t="str" s="14">
        <ns0:v>CC0603KRX7R0BB393</ns0:v>
      </ns0:c>
      <ns0:c r="L226" t="str" s="11">
        <ns0:f>B226&amp;" "&amp;D226&amp;" "&amp;E226&amp;" "&amp;G226&amp;" "&amp;H226&amp;" "&amp;I226</ns0:f>
        <ns0:v>Конденсатор 39 нФ ±10% 100 В X7R 0603</ns0:v>
      </ns0:c>
      <ns0:c r="M226" t="str" s="13">
        <ns0:v>C</ns0:v>
      </ns0:c>
      <ns0:c r="N226" t="str" s="13">
        <ns0:v>Symbols\MY_LIB_Capacitors.SchLib</ns0:v>
      </ns0:c>
      <ns0:c r="O226" t="str" s="13">
        <ns0:v>CAPC1608X90N</ns0:v>
      </ns0:c>
      <ns0:c r="P226" t="str" s="13">
        <ns0:v>Footprints\PBL - SMD Packages.PcbLib</ns0:v>
      </ns0:c>
      <ns0:c r="Q226" t="str" s="14">
        <ns0:v>YAGEO CC; список 20.10.2026</ns0:v>
      </ns0:c>
      <ns0:c r="R226" t="str" s="11">
        <ns0:f>D226</ns0:f>
        <ns0:v>39 нФ</ns0:v>
      </ns0:c>
      <ns0:c r="S226" t="str" s="11">
        <ns0:f>L226</ns0:f>
        <ns0:v>Конденсатор 39 нФ ±10% 100 В X7R 0603</ns0:v>
      </ns0:c>
      <x:c xmlns:x="http://schemas.openxmlformats.org/spreadsheetml/2006/main" r="T226" t="str" s="11">
        <x:v>C:\Users\Nomatin\Documents\Altium\MY_LIB\MY_LIB\Datasheets\YAGEO_CC_X7R.pdf</x:v>
      </x:c>
      <x:c xmlns:x="http://schemas.openxmlformats.org/spreadsheetml/2006/main" r="U226" t="str" s="11">
        <x:v>Даташит — локальный</x:v>
      </x:c>
      <x:c xmlns:x="http://schemas.openxmlformats.org/spreadsheetml/2006/main" r="V226" t="str" s="11">
        <x:v>C:\Users\Nomatin\Documents\Altium\MY_LIB\MY_LIB\Datasheets\YAGEO_CC_X7R.pdf</x:v>
      </x:c>
      <x:c xmlns:x="http://schemas.openxmlformats.org/spreadsheetml/2006/main" r="W226" t="str" s="11">
        <x:v>Даташит — производитель</x:v>
      </x:c>
      <x:c xmlns:x="http://schemas.openxmlformats.org/spreadsheetml/2006/main" r="X226" t="str" s="11">
        <x:v>https://yageogroup.com/content/datasheet/asset/file/UPY-GPHC_X7R_6_3V-TO-250V</x:v>
      </x:c>
      <x:c xmlns:x="http://schemas.openxmlformats.org/spreadsheetml/2006/main" r="Y226" t="str" s="11">
        <x:v>C:\Users\Nomatin\Documents\Altium\MY_LIB\MY_LIB\Datasheets\YAGEO_CC_X7R.pdf</x:v>
      </x:c>
    </ns0:row>
    <ns0:row r="227" ht="30" customHeight="1">
      <ns0:c r="A227" t="str" s="14">
        <ns0:v>C0228</ns0:v>
      </ns0:c>
      <ns0:c r="B227" t="str" s="14">
        <ns0:v>Конденсатор</ns0:v>
      </ns0:c>
      <ns0:c r="C227" t="str" s="14">
        <ns0:v>47n</ns0:v>
      </ns0:c>
      <ns0:c r="D227" t="str" s="11">
        <ns0:f>SUBSTITUTE(SUBSTITUTE(SUBSTITUTE(SUBSTITUTE(C227,"p"," пФ"),"n"," нФ"),"u"," мкФ"),".",",")</ns0:f>
        <ns0:v>47 нФ</ns0:v>
      </ns0:c>
      <ns0:c r="E227" t="str" s="14">
        <ns0:v>±10%</ns0:v>
      </ns0:c>
      <ns0:c r="F227" s="14"/>
      <ns0:c r="G227" t="str" s="14">
        <ns0:v>100 В</ns0:v>
      </ns0:c>
      <ns0:c r="H227" t="str" s="14">
        <ns0:v>X7R</ns0:v>
      </ns0:c>
      <ns0:c r="I227" t="str" s="15">
        <ns0:v>0603</ns0:v>
      </ns0:c>
      <ns0:c r="J227" t="str" s="14">
        <ns0:v>YAGEO</ns0:v>
      </ns0:c>
      <ns0:c r="K227" t="str" s="14">
        <ns0:v>CC0603KRX7R0BB473</ns0:v>
      </ns0:c>
      <ns0:c r="L227" t="str" s="11">
        <ns0:f>B227&amp;" "&amp;D227&amp;" "&amp;E227&amp;" "&amp;G227&amp;" "&amp;H227&amp;" "&amp;I227</ns0:f>
        <ns0:v>Конденсатор 47 нФ ±10% 100 В X7R 0603</ns0:v>
      </ns0:c>
      <ns0:c r="M227" t="str" s="13">
        <ns0:v>C</ns0:v>
      </ns0:c>
      <ns0:c r="N227" t="str" s="13">
        <ns0:v>Symbols\MY_LIB_Capacitors.SchLib</ns0:v>
      </ns0:c>
      <ns0:c r="O227" t="str" s="13">
        <ns0:v>CAPC1608X90N</ns0:v>
      </ns0:c>
      <ns0:c r="P227" t="str" s="13">
        <ns0:v>Footprints\PBL - SMD Packages.PcbLib</ns0:v>
      </ns0:c>
      <ns0:c r="Q227" t="str" s="14">
        <ns0:v>YAGEO CC; список 20.10.2026</ns0:v>
      </ns0:c>
      <ns0:c r="R227" t="str" s="11">
        <ns0:f>D227</ns0:f>
        <ns0:v>47 нФ</ns0:v>
      </ns0:c>
      <ns0:c r="S227" t="str" s="11">
        <ns0:f>L227</ns0:f>
        <ns0:v>Конденсатор 47 нФ ±10% 100 В X7R 0603</ns0:v>
      </ns0:c>
      <x:c xmlns:x="http://schemas.openxmlformats.org/spreadsheetml/2006/main" r="T227" t="str" s="11">
        <x:v>C:\Users\Nomatin\Documents\Altium\MY_LIB\MY_LIB\Datasheets\YAGEO_CC_X7R.pdf</x:v>
      </x:c>
      <x:c xmlns:x="http://schemas.openxmlformats.org/spreadsheetml/2006/main" r="U227" t="str" s="11">
        <x:v>Даташит — локальный</x:v>
      </x:c>
      <x:c xmlns:x="http://schemas.openxmlformats.org/spreadsheetml/2006/main" r="V227" t="str" s="11">
        <x:v>C:\Users\Nomatin\Documents\Altium\MY_LIB\MY_LIB\Datasheets\YAGEO_CC_X7R.pdf</x:v>
      </x:c>
      <x:c xmlns:x="http://schemas.openxmlformats.org/spreadsheetml/2006/main" r="W227" t="str" s="11">
        <x:v>Даташит — производитель</x:v>
      </x:c>
      <x:c xmlns:x="http://schemas.openxmlformats.org/spreadsheetml/2006/main" r="X227" t="str" s="11">
        <x:v>https://yageogroup.com/content/datasheet/asset/file/UPY-GPHC_X7R_6_3V-TO-250V</x:v>
      </x:c>
      <x:c xmlns:x="http://schemas.openxmlformats.org/spreadsheetml/2006/main" r="Y227" t="str" s="11">
        <x:v>C:\Users\Nomatin\Documents\Altium\MY_LIB\MY_LIB\Datasheets\YAGEO_CC_X7R.pdf</x:v>
      </x:c>
    </ns0:row>
    <ns0:row r="228" ht="30" customHeight="1">
      <ns0:c r="A228" t="str" s="14">
        <ns0:v>C0229</ns0:v>
      </ns0:c>
      <ns0:c r="B228" t="str" s="14">
        <ns0:v>Конденсатор</ns0:v>
      </ns0:c>
      <ns0:c r="C228" t="str" s="14">
        <ns0:v>56n</ns0:v>
      </ns0:c>
      <ns0:c r="D228" t="str" s="11">
        <ns0:f>SUBSTITUTE(SUBSTITUTE(SUBSTITUTE(SUBSTITUTE(C228,"p"," пФ"),"n"," нФ"),"u"," мкФ"),".",",")</ns0:f>
        <ns0:v>56 нФ</ns0:v>
      </ns0:c>
      <ns0:c r="E228" t="str" s="14">
        <ns0:v>±10%</ns0:v>
      </ns0:c>
      <ns0:c r="F228" s="14"/>
      <ns0:c r="G228" t="str" s="14">
        <ns0:v>100 В</ns0:v>
      </ns0:c>
      <ns0:c r="H228" t="str" s="14">
        <ns0:v>X7R</ns0:v>
      </ns0:c>
      <ns0:c r="I228" t="str" s="15">
        <ns0:v>0603</ns0:v>
      </ns0:c>
      <ns0:c r="J228" t="str" s="14">
        <ns0:v>YAGEO</ns0:v>
      </ns0:c>
      <ns0:c r="K228" t="str" s="14">
        <ns0:v>CC0603KRX7R0BB563</ns0:v>
      </ns0:c>
      <ns0:c r="L228" t="str" s="11">
        <ns0:f>B228&amp;" "&amp;D228&amp;" "&amp;E228&amp;" "&amp;G228&amp;" "&amp;H228&amp;" "&amp;I228</ns0:f>
        <ns0:v>Конденсатор 56 нФ ±10% 100 В X7R 0603</ns0:v>
      </ns0:c>
      <ns0:c r="M228" t="str" s="13">
        <ns0:v>C</ns0:v>
      </ns0:c>
      <ns0:c r="N228" t="str" s="13">
        <ns0:v>Symbols\MY_LIB_Capacitors.SchLib</ns0:v>
      </ns0:c>
      <ns0:c r="O228" t="str" s="13">
        <ns0:v>CAPC1608X90N</ns0:v>
      </ns0:c>
      <ns0:c r="P228" t="str" s="13">
        <ns0:v>Footprints\PBL - SMD Packages.PcbLib</ns0:v>
      </ns0:c>
      <ns0:c r="Q228" t="str" s="14">
        <ns0:v>YAGEO CC; список 20.10.2026</ns0:v>
      </ns0:c>
      <ns0:c r="R228" t="str" s="11">
        <ns0:f>D228</ns0:f>
        <ns0:v>56 нФ</ns0:v>
      </ns0:c>
      <ns0:c r="S228" t="str" s="11">
        <ns0:f>L228</ns0:f>
        <ns0:v>Конденсатор 56 нФ ±10% 100 В X7R 0603</ns0:v>
      </ns0:c>
      <x:c xmlns:x="http://schemas.openxmlformats.org/spreadsheetml/2006/main" r="T228" t="str" s="11">
        <x:v>C:\Users\Nomatin\Documents\Altium\MY_LIB\MY_LIB\Datasheets\YAGEO_CC_X7R.pdf</x:v>
      </x:c>
      <x:c xmlns:x="http://schemas.openxmlformats.org/spreadsheetml/2006/main" r="U228" t="str" s="11">
        <x:v>Даташит — локальный</x:v>
      </x:c>
      <x:c xmlns:x="http://schemas.openxmlformats.org/spreadsheetml/2006/main" r="V228" t="str" s="11">
        <x:v>C:\Users\Nomatin\Documents\Altium\MY_LIB\MY_LIB\Datasheets\YAGEO_CC_X7R.pdf</x:v>
      </x:c>
      <x:c xmlns:x="http://schemas.openxmlformats.org/spreadsheetml/2006/main" r="W228" t="str" s="11">
        <x:v>Даташит — производитель</x:v>
      </x:c>
      <x:c xmlns:x="http://schemas.openxmlformats.org/spreadsheetml/2006/main" r="X228" t="str" s="11">
        <x:v>https://yageogroup.com/content/datasheet/asset/file/UPY-GPHC_X7R_6_3V-TO-250V</x:v>
      </x:c>
      <x:c xmlns:x="http://schemas.openxmlformats.org/spreadsheetml/2006/main" r="Y228" t="str" s="11">
        <x:v>C:\Users\Nomatin\Documents\Altium\MY_LIB\MY_LIB\Datasheets\YAGEO_CC_X7R.pdf</x:v>
      </x:c>
    </ns0:row>
    <ns0:row r="229" ht="30" customHeight="1">
      <ns0:c r="A229" t="str" s="14">
        <ns0:v>C0230</ns0:v>
      </ns0:c>
      <ns0:c r="B229" t="str" s="14">
        <ns0:v>Конденсатор</ns0:v>
      </ns0:c>
      <ns0:c r="C229" t="str" s="14">
        <ns0:v>68n</ns0:v>
      </ns0:c>
      <ns0:c r="D229" t="str" s="11">
        <ns0:f>SUBSTITUTE(SUBSTITUTE(SUBSTITUTE(SUBSTITUTE(C229,"p"," пФ"),"n"," нФ"),"u"," мкФ"),".",",")</ns0:f>
        <ns0:v>68 нФ</ns0:v>
      </ns0:c>
      <ns0:c r="E229" t="str" s="14">
        <ns0:v>±10%</ns0:v>
      </ns0:c>
      <ns0:c r="F229" s="14"/>
      <ns0:c r="G229" t="str" s="14">
        <ns0:v>100 В</ns0:v>
      </ns0:c>
      <ns0:c r="H229" t="str" s="14">
        <ns0:v>X7R</ns0:v>
      </ns0:c>
      <ns0:c r="I229" t="str" s="15">
        <ns0:v>0603</ns0:v>
      </ns0:c>
      <ns0:c r="J229" t="str" s="14">
        <ns0:v>YAGEO</ns0:v>
      </ns0:c>
      <ns0:c r="K229" t="str" s="14">
        <ns0:v>CC0603KRX7R0BB683</ns0:v>
      </ns0:c>
      <ns0:c r="L229" t="str" s="11">
        <ns0:f>B229&amp;" "&amp;D229&amp;" "&amp;E229&amp;" "&amp;G229&amp;" "&amp;H229&amp;" "&amp;I229</ns0:f>
        <ns0:v>Конденсатор 68 нФ ±10% 100 В X7R 0603</ns0:v>
      </ns0:c>
      <ns0:c r="M229" t="str" s="13">
        <ns0:v>C</ns0:v>
      </ns0:c>
      <ns0:c r="N229" t="str" s="13">
        <ns0:v>Symbols\MY_LIB_Capacitors.SchLib</ns0:v>
      </ns0:c>
      <ns0:c r="O229" t="str" s="13">
        <ns0:v>CAPC1608X90N</ns0:v>
      </ns0:c>
      <ns0:c r="P229" t="str" s="13">
        <ns0:v>Footprints\PBL - SMD Packages.PcbLib</ns0:v>
      </ns0:c>
      <ns0:c r="Q229" t="str" s="14">
        <ns0:v>YAGEO CC; список 20.10.2026</ns0:v>
      </ns0:c>
      <ns0:c r="R229" t="str" s="11">
        <ns0:f>D229</ns0:f>
        <ns0:v>68 нФ</ns0:v>
      </ns0:c>
      <ns0:c r="S229" t="str" s="11">
        <ns0:f>L229</ns0:f>
        <ns0:v>Конденсатор 68 нФ ±10% 100 В X7R 0603</ns0:v>
      </ns0:c>
      <x:c xmlns:x="http://schemas.openxmlformats.org/spreadsheetml/2006/main" r="T229" t="str" s="11">
        <x:v>C:\Users\Nomatin\Documents\Altium\MY_LIB\MY_LIB\Datasheets\YAGEO_CC_X7R.pdf</x:v>
      </x:c>
      <x:c xmlns:x="http://schemas.openxmlformats.org/spreadsheetml/2006/main" r="U229" t="str" s="11">
        <x:v>Даташит — локальный</x:v>
      </x:c>
      <x:c xmlns:x="http://schemas.openxmlformats.org/spreadsheetml/2006/main" r="V229" t="str" s="11">
        <x:v>C:\Users\Nomatin\Documents\Altium\MY_LIB\MY_LIB\Datasheets\YAGEO_CC_X7R.pdf</x:v>
      </x:c>
      <x:c xmlns:x="http://schemas.openxmlformats.org/spreadsheetml/2006/main" r="W229" t="str" s="11">
        <x:v>Даташит — производитель</x:v>
      </x:c>
      <x:c xmlns:x="http://schemas.openxmlformats.org/spreadsheetml/2006/main" r="X229" t="str" s="11">
        <x:v>https://yageogroup.com/content/datasheet/asset/file/UPY-GPHC_X7R_6_3V-TO-250V</x:v>
      </x:c>
      <x:c xmlns:x="http://schemas.openxmlformats.org/spreadsheetml/2006/main" r="Y229" t="str" s="11">
        <x:v>C:\Users\Nomatin\Documents\Altium\MY_LIB\MY_LIB\Datasheets\YAGEO_CC_X7R.pdf</x:v>
      </x:c>
    </ns0:row>
    <ns0:row r="230" ht="30" customHeight="1">
      <ns0:c r="A230" t="str" s="14">
        <ns0:v>C0231</ns0:v>
      </ns0:c>
      <ns0:c r="B230" t="str" s="14">
        <ns0:v>Конденсатор</ns0:v>
      </ns0:c>
      <ns0:c r="C230" t="str" s="14">
        <ns0:v>82n</ns0:v>
      </ns0:c>
      <ns0:c r="D230" t="str" s="11">
        <ns0:f>SUBSTITUTE(SUBSTITUTE(SUBSTITUTE(SUBSTITUTE(C230,"p"," пФ"),"n"," нФ"),"u"," мкФ"),".",",")</ns0:f>
        <ns0:v>82 нФ</ns0:v>
      </ns0:c>
      <ns0:c r="E230" t="str" s="14">
        <ns0:v>±10%</ns0:v>
      </ns0:c>
      <ns0:c r="F230" s="14"/>
      <ns0:c r="G230" t="str" s="14">
        <ns0:v>100 В</ns0:v>
      </ns0:c>
      <ns0:c r="H230" t="str" s="14">
        <ns0:v>X7R</ns0:v>
      </ns0:c>
      <ns0:c r="I230" t="str" s="15">
        <ns0:v>0603</ns0:v>
      </ns0:c>
      <ns0:c r="J230" t="str" s="14">
        <ns0:v>YAGEO</ns0:v>
      </ns0:c>
      <ns0:c r="K230" t="str" s="14">
        <ns0:v>CC0603KRX7R0BB823</ns0:v>
      </ns0:c>
      <ns0:c r="L230" t="str" s="11">
        <ns0:f>B230&amp;" "&amp;D230&amp;" "&amp;E230&amp;" "&amp;G230&amp;" "&amp;H230&amp;" "&amp;I230</ns0:f>
        <ns0:v>Конденсатор 82 нФ ±10% 100 В X7R 0603</ns0:v>
      </ns0:c>
      <ns0:c r="M230" t="str" s="13">
        <ns0:v>C</ns0:v>
      </ns0:c>
      <ns0:c r="N230" t="str" s="13">
        <ns0:v>Symbols\MY_LIB_Capacitors.SchLib</ns0:v>
      </ns0:c>
      <ns0:c r="O230" t="str" s="13">
        <ns0:v>CAPC1608X90N</ns0:v>
      </ns0:c>
      <ns0:c r="P230" t="str" s="13">
        <ns0:v>Footprints\PBL - SMD Packages.PcbLib</ns0:v>
      </ns0:c>
      <ns0:c r="Q230" t="str" s="14">
        <ns0:v>YAGEO CC; список 20.10.2026</ns0:v>
      </ns0:c>
      <ns0:c r="R230" t="str" s="11">
        <ns0:f>D230</ns0:f>
        <ns0:v>82 нФ</ns0:v>
      </ns0:c>
      <ns0:c r="S230" t="str" s="11">
        <ns0:f>L230</ns0:f>
        <ns0:v>Конденсатор 82 нФ ±10% 100 В X7R 0603</ns0:v>
      </ns0:c>
      <x:c xmlns:x="http://schemas.openxmlformats.org/spreadsheetml/2006/main" r="T230" t="str" s="11">
        <x:v>C:\Users\Nomatin\Documents\Altium\MY_LIB\MY_LIB\Datasheets\YAGEO_CC_X7R.pdf</x:v>
      </x:c>
      <x:c xmlns:x="http://schemas.openxmlformats.org/spreadsheetml/2006/main" r="U230" t="str" s="11">
        <x:v>Даташит — локальный</x:v>
      </x:c>
      <x:c xmlns:x="http://schemas.openxmlformats.org/spreadsheetml/2006/main" r="V230" t="str" s="11">
        <x:v>C:\Users\Nomatin\Documents\Altium\MY_LIB\MY_LIB\Datasheets\YAGEO_CC_X7R.pdf</x:v>
      </x:c>
      <x:c xmlns:x="http://schemas.openxmlformats.org/spreadsheetml/2006/main" r="W230" t="str" s="11">
        <x:v>Даташит — производитель</x:v>
      </x:c>
      <x:c xmlns:x="http://schemas.openxmlformats.org/spreadsheetml/2006/main" r="X230" t="str" s="11">
        <x:v>https://yageogroup.com/content/datasheet/asset/file/UPY-GPHC_X7R_6_3V-TO-250V</x:v>
      </x:c>
      <x:c xmlns:x="http://schemas.openxmlformats.org/spreadsheetml/2006/main" r="Y230" t="str" s="11">
        <x:v>C:\Users\Nomatin\Documents\Altium\MY_LIB\MY_LIB\Datasheets\YAGEO_CC_X7R.pdf</x:v>
      </x:c>
    </ns0:row>
    <ns0:row r="231" ht="30" customHeight="1">
      <ns0:c r="A231" t="str" s="14">
        <ns0:v>C0232</ns0:v>
      </ns0:c>
      <ns0:c r="B231" t="str" s="14">
        <ns0:v>Конденсатор</ns0:v>
      </ns0:c>
      <ns0:c r="C231" t="str" s="14">
        <ns0:v>100n</ns0:v>
      </ns0:c>
      <ns0:c r="D231" t="str" s="11">
        <ns0:f>SUBSTITUTE(SUBSTITUTE(SUBSTITUTE(SUBSTITUTE(C231,"p"," пФ"),"n"," нФ"),"u"," мкФ"),".",",")</ns0:f>
        <ns0:v>100 нФ</ns0:v>
      </ns0:c>
      <ns0:c r="E231" t="str" s="14">
        <ns0:v>±10%</ns0:v>
      </ns0:c>
      <ns0:c r="F231" s="14"/>
      <ns0:c r="G231" t="str" s="14">
        <ns0:v>100 В</ns0:v>
      </ns0:c>
      <ns0:c r="H231" t="str" s="14">
        <ns0:v>X7R</ns0:v>
      </ns0:c>
      <ns0:c r="I231" t="str" s="15">
        <ns0:v>0603</ns0:v>
      </ns0:c>
      <ns0:c r="J231" t="str" s="14">
        <ns0:v>YAGEO</ns0:v>
      </ns0:c>
      <ns0:c r="K231" t="str" s="14">
        <ns0:v>CC0603KRX7R0BB104</ns0:v>
      </ns0:c>
      <ns0:c r="L231" t="str" s="11">
        <ns0:f>B231&amp;" "&amp;D231&amp;" "&amp;E231&amp;" "&amp;G231&amp;" "&amp;H231&amp;" "&amp;I231</ns0:f>
        <ns0:v>Конденсатор 100 нФ ±10% 100 В X7R 0603</ns0:v>
      </ns0:c>
      <ns0:c r="M231" t="str" s="13">
        <ns0:v>C</ns0:v>
      </ns0:c>
      <ns0:c r="N231" t="str" s="13">
        <ns0:v>Symbols\MY_LIB_Capacitors.SchLib</ns0:v>
      </ns0:c>
      <ns0:c r="O231" t="str" s="13">
        <ns0:v>CAPC1608X90N</ns0:v>
      </ns0:c>
      <ns0:c r="P231" t="str" s="13">
        <ns0:v>Footprints\PBL - SMD Packages.PcbLib</ns0:v>
      </ns0:c>
      <ns0:c r="Q231" t="str" s="14">
        <ns0:v>YAGEO CC; список 20.10.2026</ns0:v>
      </ns0:c>
      <ns0:c r="R231" t="str" s="11">
        <ns0:f>D231</ns0:f>
        <ns0:v>100 нФ</ns0:v>
      </ns0:c>
      <ns0:c r="S231" t="str" s="11">
        <ns0:f>L231</ns0:f>
        <ns0:v>Конденсатор 100 нФ ±10% 100 В X7R 0603</ns0:v>
      </ns0:c>
      <x:c xmlns:x="http://schemas.openxmlformats.org/spreadsheetml/2006/main" r="T231" t="str" s="11">
        <x:v>C:\Users\Nomatin\Documents\Altium\MY_LIB\MY_LIB\Datasheets\YAGEO_CC_X7R.pdf</x:v>
      </x:c>
      <x:c xmlns:x="http://schemas.openxmlformats.org/spreadsheetml/2006/main" r="U231" t="str" s="11">
        <x:v>Даташит — локальный</x:v>
      </x:c>
      <x:c xmlns:x="http://schemas.openxmlformats.org/spreadsheetml/2006/main" r="V231" t="str" s="11">
        <x:v>C:\Users\Nomatin\Documents\Altium\MY_LIB\MY_LIB\Datasheets\YAGEO_CC_X7R.pdf</x:v>
      </x:c>
      <x:c xmlns:x="http://schemas.openxmlformats.org/spreadsheetml/2006/main" r="W231" t="str" s="11">
        <x:v>Даташит — производитель</x:v>
      </x:c>
      <x:c xmlns:x="http://schemas.openxmlformats.org/spreadsheetml/2006/main" r="X231" t="str" s="11">
        <x:v>https://yageogroup.com/content/datasheet/asset/file/UPY-GPHC_X7R_6_3V-TO-250V</x:v>
      </x:c>
      <x:c xmlns:x="http://schemas.openxmlformats.org/spreadsheetml/2006/main" r="Y231" t="str" s="11">
        <x:v>C:\Users\Nomatin\Documents\Altium\MY_LIB\MY_LIB\Datasheets\YAGEO_CC_X7R.pdf</x:v>
      </x:c>
    </ns0:row>
    <ns0:row r="232" ht="30" customHeight="1">
      <ns0:c r="A232" t="str" s="14">
        <ns0:v>C0233</ns0:v>
      </ns0:c>
      <ns0:c r="B232" t="str" s="14">
        <ns0:v>Конденсатор</ns0:v>
      </ns0:c>
      <ns0:c r="C232" t="str" s="14">
        <ns0:v>120n</ns0:v>
      </ns0:c>
      <ns0:c r="D232" t="str" s="11">
        <ns0:f>SUBSTITUTE(SUBSTITUTE(SUBSTITUTE(SUBSTITUTE(C232,"p"," пФ"),"n"," нФ"),"u"," мкФ"),".",",")</ns0:f>
        <ns0:v>120 нФ</ns0:v>
      </ns0:c>
      <ns0:c r="E232" t="str" s="14">
        <ns0:v>±10%</ns0:v>
      </ns0:c>
      <ns0:c r="F232" s="14"/>
      <ns0:c r="G232" t="str" s="14">
        <ns0:v>50 В</ns0:v>
      </ns0:c>
      <ns0:c r="H232" t="str" s="14">
        <ns0:v>X7R</ns0:v>
      </ns0:c>
      <ns0:c r="I232" t="str" s="15">
        <ns0:v>0603</ns0:v>
      </ns0:c>
      <ns0:c r="J232" t="str" s="14">
        <ns0:v>YAGEO</ns0:v>
      </ns0:c>
      <ns0:c r="K232" t="str" s="14">
        <ns0:v>CC0603KRX7R9BB124</ns0:v>
      </ns0:c>
      <ns0:c r="L232" t="str" s="11">
        <ns0:f>B232&amp;" "&amp;D232&amp;" "&amp;E232&amp;" "&amp;G232&amp;" "&amp;H232&amp;" "&amp;I232</ns0:f>
        <ns0:v>Конденсатор 120 нФ ±10% 50 В X7R 0603</ns0:v>
      </ns0:c>
      <ns0:c r="M232" t="str" s="13">
        <ns0:v>C</ns0:v>
      </ns0:c>
      <ns0:c r="N232" t="str" s="13">
        <ns0:v>Symbols\MY_LIB_Capacitors.SchLib</ns0:v>
      </ns0:c>
      <ns0:c r="O232" t="str" s="13">
        <ns0:v>CAPC1608X90N</ns0:v>
      </ns0:c>
      <ns0:c r="P232" t="str" s="13">
        <ns0:v>Footprints\PBL - SMD Packages.PcbLib</ns0:v>
      </ns0:c>
      <ns0:c r="Q232" t="str" s="14">
        <ns0:v>YAGEO CC; список 20.10.2026</ns0:v>
      </ns0:c>
      <ns0:c r="R232" t="str" s="11">
        <ns0:f>D232</ns0:f>
        <ns0:v>120 нФ</ns0:v>
      </ns0:c>
      <ns0:c r="S232" t="str" s="11">
        <ns0:f>L232</ns0:f>
        <ns0:v>Конденсатор 120 нФ ±10% 50 В X7R 0603</ns0:v>
      </ns0:c>
      <x:c xmlns:x="http://schemas.openxmlformats.org/spreadsheetml/2006/main" r="T232" t="str" s="11">
        <x:v>C:\Users\Nomatin\Documents\Altium\MY_LIB\MY_LIB\Datasheets\YAGEO_CC_X7R.pdf</x:v>
      </x:c>
      <x:c xmlns:x="http://schemas.openxmlformats.org/spreadsheetml/2006/main" r="U232" t="str" s="11">
        <x:v>Даташит — локальный</x:v>
      </x:c>
      <x:c xmlns:x="http://schemas.openxmlformats.org/spreadsheetml/2006/main" r="V232" t="str" s="11">
        <x:v>C:\Users\Nomatin\Documents\Altium\MY_LIB\MY_LIB\Datasheets\YAGEO_CC_X7R.pdf</x:v>
      </x:c>
      <x:c xmlns:x="http://schemas.openxmlformats.org/spreadsheetml/2006/main" r="W232" t="str" s="11">
        <x:v>Даташит — производитель</x:v>
      </x:c>
      <x:c xmlns:x="http://schemas.openxmlformats.org/spreadsheetml/2006/main" r="X232" t="str" s="11">
        <x:v>https://yageogroup.com/content/datasheet/asset/file/UPY-GPHC_X7R_6_3V-TO-250V</x:v>
      </x:c>
      <x:c xmlns:x="http://schemas.openxmlformats.org/spreadsheetml/2006/main" r="Y232" t="str" s="11">
        <x:v>C:\Users\Nomatin\Documents\Altium\MY_LIB\MY_LIB\Datasheets\YAGEO_CC_X7R.pdf</x:v>
      </x:c>
    </ns0:row>
    <ns0:row r="233" ht="30" customHeight="1">
      <ns0:c r="A233" t="str" s="14">
        <ns0:v>C0234</ns0:v>
      </ns0:c>
      <ns0:c r="B233" t="str" s="14">
        <ns0:v>Конденсатор</ns0:v>
      </ns0:c>
      <ns0:c r="C233" t="str" s="14">
        <ns0:v>150n</ns0:v>
      </ns0:c>
      <ns0:c r="D233" t="str" s="11">
        <ns0:f>SUBSTITUTE(SUBSTITUTE(SUBSTITUTE(SUBSTITUTE(C233,"p"," пФ"),"n"," нФ"),"u"," мкФ"),".",",")</ns0:f>
        <ns0:v>150 нФ</ns0:v>
      </ns0:c>
      <ns0:c r="E233" t="str" s="14">
        <ns0:v>±10%</ns0:v>
      </ns0:c>
      <ns0:c r="F233" s="14"/>
      <ns0:c r="G233" t="str" s="14">
        <ns0:v>50 В</ns0:v>
      </ns0:c>
      <ns0:c r="H233" t="str" s="14">
        <ns0:v>X7R</ns0:v>
      </ns0:c>
      <ns0:c r="I233" t="str" s="15">
        <ns0:v>0603</ns0:v>
      </ns0:c>
      <ns0:c r="J233" t="str" s="14">
        <ns0:v>YAGEO</ns0:v>
      </ns0:c>
      <ns0:c r="K233" t="str" s="14">
        <ns0:v>CC0603KRX7R9BB154</ns0:v>
      </ns0:c>
      <ns0:c r="L233" t="str" s="11">
        <ns0:f>B233&amp;" "&amp;D233&amp;" "&amp;E233&amp;" "&amp;G233&amp;" "&amp;H233&amp;" "&amp;I233</ns0:f>
        <ns0:v>Конденсатор 150 нФ ±10% 50 В X7R 0603</ns0:v>
      </ns0:c>
      <ns0:c r="M233" t="str" s="13">
        <ns0:v>C</ns0:v>
      </ns0:c>
      <ns0:c r="N233" t="str" s="13">
        <ns0:v>Symbols\MY_LIB_Capacitors.SchLib</ns0:v>
      </ns0:c>
      <ns0:c r="O233" t="str" s="13">
        <ns0:v>CAPC1608X90N</ns0:v>
      </ns0:c>
      <ns0:c r="P233" t="str" s="13">
        <ns0:v>Footprints\PBL - SMD Packages.PcbLib</ns0:v>
      </ns0:c>
      <ns0:c r="Q233" t="str" s="14">
        <ns0:v>YAGEO CC; список 20.10.2026</ns0:v>
      </ns0:c>
      <ns0:c r="R233" t="str" s="11">
        <ns0:f>D233</ns0:f>
        <ns0:v>150 нФ</ns0:v>
      </ns0:c>
      <ns0:c r="S233" t="str" s="11">
        <ns0:f>L233</ns0:f>
        <ns0:v>Конденсатор 150 нФ ±10% 50 В X7R 0603</ns0:v>
      </ns0:c>
      <x:c xmlns:x="http://schemas.openxmlformats.org/spreadsheetml/2006/main" r="T233" t="str" s="11">
        <x:v>C:\Users\Nomatin\Documents\Altium\MY_LIB\MY_LIB\Datasheets\YAGEO_CC_X7R.pdf</x:v>
      </x:c>
      <x:c xmlns:x="http://schemas.openxmlformats.org/spreadsheetml/2006/main" r="U233" t="str" s="11">
        <x:v>Даташит — локальный</x:v>
      </x:c>
      <x:c xmlns:x="http://schemas.openxmlformats.org/spreadsheetml/2006/main" r="V233" t="str" s="11">
        <x:v>C:\Users\Nomatin\Documents\Altium\MY_LIB\MY_LIB\Datasheets\YAGEO_CC_X7R.pdf</x:v>
      </x:c>
      <x:c xmlns:x="http://schemas.openxmlformats.org/spreadsheetml/2006/main" r="W233" t="str" s="11">
        <x:v>Даташит — производитель</x:v>
      </x:c>
      <x:c xmlns:x="http://schemas.openxmlformats.org/spreadsheetml/2006/main" r="X233" t="str" s="11">
        <x:v>https://yageogroup.com/content/datasheet/asset/file/UPY-GPHC_X7R_6_3V-TO-250V</x:v>
      </x:c>
      <x:c xmlns:x="http://schemas.openxmlformats.org/spreadsheetml/2006/main" r="Y233" t="str" s="11">
        <x:v>C:\Users\Nomatin\Documents\Altium\MY_LIB\MY_LIB\Datasheets\YAGEO_CC_X7R.pdf</x:v>
      </x:c>
    </ns0:row>
    <ns0:row r="234" ht="30" customHeight="1">
      <ns0:c r="A234" t="str" s="14">
        <ns0:v>C0235</ns0:v>
      </ns0:c>
      <ns0:c r="B234" t="str" s="14">
        <ns0:v>Конденсатор</ns0:v>
      </ns0:c>
      <ns0:c r="C234" t="str" s="14">
        <ns0:v>180n</ns0:v>
      </ns0:c>
      <ns0:c r="D234" t="str" s="11">
        <ns0:f>SUBSTITUTE(SUBSTITUTE(SUBSTITUTE(SUBSTITUTE(C234,"p"," пФ"),"n"," нФ"),"u"," мкФ"),".",",")</ns0:f>
        <ns0:v>180 нФ</ns0:v>
      </ns0:c>
      <ns0:c r="E234" t="str" s="14">
        <ns0:v>±10%</ns0:v>
      </ns0:c>
      <ns0:c r="F234" s="14"/>
      <ns0:c r="G234" t="str" s="14">
        <ns0:v>50 В</ns0:v>
      </ns0:c>
      <ns0:c r="H234" t="str" s="14">
        <ns0:v>X7R</ns0:v>
      </ns0:c>
      <ns0:c r="I234" t="str" s="15">
        <ns0:v>0603</ns0:v>
      </ns0:c>
      <ns0:c r="J234" t="str" s="14">
        <ns0:v>YAGEO</ns0:v>
      </ns0:c>
      <ns0:c r="K234" t="str" s="14">
        <ns0:v>CC0603KRX7R9BB184</ns0:v>
      </ns0:c>
      <ns0:c r="L234" t="str" s="11">
        <ns0:f>B234&amp;" "&amp;D234&amp;" "&amp;E234&amp;" "&amp;G234&amp;" "&amp;H234&amp;" "&amp;I234</ns0:f>
        <ns0:v>Конденсатор 180 нФ ±10% 50 В X7R 0603</ns0:v>
      </ns0:c>
      <ns0:c r="M234" t="str" s="13">
        <ns0:v>C</ns0:v>
      </ns0:c>
      <ns0:c r="N234" t="str" s="13">
        <ns0:v>Symbols\MY_LIB_Capacitors.SchLib</ns0:v>
      </ns0:c>
      <ns0:c r="O234" t="str" s="13">
        <ns0:v>CAPC1608X90N</ns0:v>
      </ns0:c>
      <ns0:c r="P234" t="str" s="13">
        <ns0:v>Footprints\PBL - SMD Packages.PcbLib</ns0:v>
      </ns0:c>
      <ns0:c r="Q234" t="str" s="14">
        <ns0:v>YAGEO CC; список 20.10.2026</ns0:v>
      </ns0:c>
      <ns0:c r="R234" t="str" s="11">
        <ns0:f>D234</ns0:f>
        <ns0:v>180 нФ</ns0:v>
      </ns0:c>
      <ns0:c r="S234" t="str" s="11">
        <ns0:f>L234</ns0:f>
        <ns0:v>Конденсатор 180 нФ ±10% 50 В X7R 0603</ns0:v>
      </ns0:c>
      <x:c xmlns:x="http://schemas.openxmlformats.org/spreadsheetml/2006/main" r="T234" t="str" s="11">
        <x:v>C:\Users\Nomatin\Documents\Altium\MY_LIB\MY_LIB\Datasheets\YAGEO_CC_X7R.pdf</x:v>
      </x:c>
      <x:c xmlns:x="http://schemas.openxmlformats.org/spreadsheetml/2006/main" r="U234" t="str" s="11">
        <x:v>Даташит — локальный</x:v>
      </x:c>
      <x:c xmlns:x="http://schemas.openxmlformats.org/spreadsheetml/2006/main" r="V234" t="str" s="11">
        <x:v>C:\Users\Nomatin\Documents\Altium\MY_LIB\MY_LIB\Datasheets\YAGEO_CC_X7R.pdf</x:v>
      </x:c>
      <x:c xmlns:x="http://schemas.openxmlformats.org/spreadsheetml/2006/main" r="W234" t="str" s="11">
        <x:v>Даташит — производитель</x:v>
      </x:c>
      <x:c xmlns:x="http://schemas.openxmlformats.org/spreadsheetml/2006/main" r="X234" t="str" s="11">
        <x:v>https://yageogroup.com/content/datasheet/asset/file/UPY-GPHC_X7R_6_3V-TO-250V</x:v>
      </x:c>
      <x:c xmlns:x="http://schemas.openxmlformats.org/spreadsheetml/2006/main" r="Y234" t="str" s="11">
        <x:v>C:\Users\Nomatin\Documents\Altium\MY_LIB\MY_LIB\Datasheets\YAGEO_CC_X7R.pdf</x:v>
      </x:c>
    </ns0:row>
    <ns0:row r="235" ht="30" customHeight="1">
      <ns0:c r="A235" t="str" s="14">
        <ns0:v>C0236</ns0:v>
      </ns0:c>
      <ns0:c r="B235" t="str" s="14">
        <ns0:v>Конденсатор</ns0:v>
      </ns0:c>
      <ns0:c r="C235" t="str" s="14">
        <ns0:v>220n</ns0:v>
      </ns0:c>
      <ns0:c r="D235" t="str" s="11">
        <ns0:f>SUBSTITUTE(SUBSTITUTE(SUBSTITUTE(SUBSTITUTE(C235,"p"," пФ"),"n"," нФ"),"u"," мкФ"),".",",")</ns0:f>
        <ns0:v>220 нФ</ns0:v>
      </ns0:c>
      <ns0:c r="E235" t="str" s="14">
        <ns0:v>±10%</ns0:v>
      </ns0:c>
      <ns0:c r="F235" s="14"/>
      <ns0:c r="G235" t="str" s="14">
        <ns0:v>50 В</ns0:v>
      </ns0:c>
      <ns0:c r="H235" t="str" s="14">
        <ns0:v>X7R</ns0:v>
      </ns0:c>
      <ns0:c r="I235" t="str" s="15">
        <ns0:v>0603</ns0:v>
      </ns0:c>
      <ns0:c r="J235" t="str" s="14">
        <ns0:v>YAGEO</ns0:v>
      </ns0:c>
      <ns0:c r="K235" t="str" s="14">
        <ns0:v>CC0603KRX7R9BB224</ns0:v>
      </ns0:c>
      <ns0:c r="L235" t="str" s="11">
        <ns0:f>B235&amp;" "&amp;D235&amp;" "&amp;E235&amp;" "&amp;G235&amp;" "&amp;H235&amp;" "&amp;I235</ns0:f>
        <ns0:v>Конденсатор 220 нФ ±10% 50 В X7R 0603</ns0:v>
      </ns0:c>
      <ns0:c r="M235" t="str" s="13">
        <ns0:v>C</ns0:v>
      </ns0:c>
      <ns0:c r="N235" t="str" s="13">
        <ns0:v>Symbols\MY_LIB_Capacitors.SchLib</ns0:v>
      </ns0:c>
      <ns0:c r="O235" t="str" s="13">
        <ns0:v>CAPC1608X90N</ns0:v>
      </ns0:c>
      <ns0:c r="P235" t="str" s="13">
        <ns0:v>Footprints\PBL - SMD Packages.PcbLib</ns0:v>
      </ns0:c>
      <ns0:c r="Q235" t="str" s="14">
        <ns0:v>YAGEO CC; список 20.10.2026</ns0:v>
      </ns0:c>
      <ns0:c r="R235" t="str" s="11">
        <ns0:f>D235</ns0:f>
        <ns0:v>220 нФ</ns0:v>
      </ns0:c>
      <ns0:c r="S235" t="str" s="11">
        <ns0:f>L235</ns0:f>
        <ns0:v>Конденсатор 220 нФ ±10% 50 В X7R 0603</ns0:v>
      </ns0:c>
      <x:c xmlns:x="http://schemas.openxmlformats.org/spreadsheetml/2006/main" r="T235" t="str" s="11">
        <x:v>C:\Users\Nomatin\Documents\Altium\MY_LIB\MY_LIB\Datasheets\YAGEO_CC_X7R.pdf</x:v>
      </x:c>
      <x:c xmlns:x="http://schemas.openxmlformats.org/spreadsheetml/2006/main" r="U235" t="str" s="11">
        <x:v>Даташит — локальный</x:v>
      </x:c>
      <x:c xmlns:x="http://schemas.openxmlformats.org/spreadsheetml/2006/main" r="V235" t="str" s="11">
        <x:v>C:\Users\Nomatin\Documents\Altium\MY_LIB\MY_LIB\Datasheets\YAGEO_CC_X7R.pdf</x:v>
      </x:c>
      <x:c xmlns:x="http://schemas.openxmlformats.org/spreadsheetml/2006/main" r="W235" t="str" s="11">
        <x:v>Даташит — производитель</x:v>
      </x:c>
      <x:c xmlns:x="http://schemas.openxmlformats.org/spreadsheetml/2006/main" r="X235" t="str" s="11">
        <x:v>https://yageogroup.com/content/datasheet/asset/file/UPY-GPHC_X7R_6_3V-TO-250V</x:v>
      </x:c>
      <x:c xmlns:x="http://schemas.openxmlformats.org/spreadsheetml/2006/main" r="Y235" t="str" s="11">
        <x:v>C:\Users\Nomatin\Documents\Altium\MY_LIB\MY_LIB\Datasheets\YAGEO_CC_X7R.pdf</x:v>
      </x:c>
    </ns0:row>
    <ns0:row r="236" ht="30" customHeight="1">
      <ns0:c r="A236" t="str" s="14">
        <ns0:v>C0237</ns0:v>
      </ns0:c>
      <ns0:c r="B236" t="str" s="14">
        <ns0:v>Конденсатор</ns0:v>
      </ns0:c>
      <ns0:c r="C236" t="str" s="14">
        <ns0:v>270n</ns0:v>
      </ns0:c>
      <ns0:c r="D236" t="str" s="11">
        <ns0:f>SUBSTITUTE(SUBSTITUTE(SUBSTITUTE(SUBSTITUTE(C236,"p"," пФ"),"n"," нФ"),"u"," мкФ"),".",",")</ns0:f>
        <ns0:v>270 нФ</ns0:v>
      </ns0:c>
      <ns0:c r="E236" t="str" s="14">
        <ns0:v>±10%</ns0:v>
      </ns0:c>
      <ns0:c r="F236" s="14"/>
      <ns0:c r="G236" t="str" s="14">
        <ns0:v>16 В</ns0:v>
      </ns0:c>
      <ns0:c r="H236" t="str" s="14">
        <ns0:v>X7R</ns0:v>
      </ns0:c>
      <ns0:c r="I236" t="str" s="15">
        <ns0:v>0603</ns0:v>
      </ns0:c>
      <ns0:c r="J236" t="str" s="14">
        <ns0:v>YAGEO</ns0:v>
      </ns0:c>
      <ns0:c r="K236" t="str" s="14">
        <ns0:v>CC0603KRX7R7BB274</ns0:v>
      </ns0:c>
      <ns0:c r="L236" t="str" s="11">
        <ns0:f>B236&amp;" "&amp;D236&amp;" "&amp;E236&amp;" "&amp;G236&amp;" "&amp;H236&amp;" "&amp;I236</ns0:f>
        <ns0:v>Конденсатор 270 нФ ±10% 16 В X7R 0603</ns0:v>
      </ns0:c>
      <ns0:c r="M236" t="str" s="13">
        <ns0:v>C</ns0:v>
      </ns0:c>
      <ns0:c r="N236" t="str" s="13">
        <ns0:v>Symbols\MY_LIB_Capacitors.SchLib</ns0:v>
      </ns0:c>
      <ns0:c r="O236" t="str" s="13">
        <ns0:v>CAPC1608X90N</ns0:v>
      </ns0:c>
      <ns0:c r="P236" t="str" s="13">
        <ns0:v>Footprints\PBL - SMD Packages.PcbLib</ns0:v>
      </ns0:c>
      <ns0:c r="Q236" t="str" s="14">
        <ns0:v>YAGEO CC; список 20.10.2026</ns0:v>
      </ns0:c>
      <ns0:c r="R236" t="str" s="11">
        <ns0:f>D236</ns0:f>
        <ns0:v>270 нФ</ns0:v>
      </ns0:c>
      <ns0:c r="S236" t="str" s="11">
        <ns0:f>L236</ns0:f>
        <ns0:v>Конденсатор 270 нФ ±10% 16 В X7R 0603</ns0:v>
      </ns0:c>
      <x:c xmlns:x="http://schemas.openxmlformats.org/spreadsheetml/2006/main" r="T236" t="str" s="11">
        <x:v>C:\Users\Nomatin\Documents\Altium\MY_LIB\MY_LIB\Datasheets\YAGEO_CC_X7R.pdf</x:v>
      </x:c>
      <x:c xmlns:x="http://schemas.openxmlformats.org/spreadsheetml/2006/main" r="U236" t="str" s="11">
        <x:v>Даташит — локальный</x:v>
      </x:c>
      <x:c xmlns:x="http://schemas.openxmlformats.org/spreadsheetml/2006/main" r="V236" t="str" s="11">
        <x:v>C:\Users\Nomatin\Documents\Altium\MY_LIB\MY_LIB\Datasheets\YAGEO_CC_X7R.pdf</x:v>
      </x:c>
      <x:c xmlns:x="http://schemas.openxmlformats.org/spreadsheetml/2006/main" r="W236" t="str" s="11">
        <x:v>Даташит — производитель</x:v>
      </x:c>
      <x:c xmlns:x="http://schemas.openxmlformats.org/spreadsheetml/2006/main" r="X236" t="str" s="11">
        <x:v>https://yageogroup.com/content/datasheet/asset/file/UPY-GPHC_X7R_6_3V-TO-250V</x:v>
      </x:c>
      <x:c xmlns:x="http://schemas.openxmlformats.org/spreadsheetml/2006/main" r="Y236" t="str" s="11">
        <x:v>C:\Users\Nomatin\Documents\Altium\MY_LIB\MY_LIB\Datasheets\YAGEO_CC_X7R.pdf</x:v>
      </x:c>
    </ns0:row>
    <ns0:row r="237" ht="30" customHeight="1">
      <ns0:c r="A237" t="str" s="14">
        <ns0:v>C0238</ns0:v>
      </ns0:c>
      <ns0:c r="B237" t="str" s="14">
        <ns0:v>Конденсатор</ns0:v>
      </ns0:c>
      <ns0:c r="C237" t="str" s="14">
        <ns0:v>330n</ns0:v>
      </ns0:c>
      <ns0:c r="D237" t="str" s="11">
        <ns0:f>SUBSTITUTE(SUBSTITUTE(SUBSTITUTE(SUBSTITUTE(C237,"p"," пФ"),"n"," нФ"),"u"," мкФ"),".",",")</ns0:f>
        <ns0:v>330 нФ</ns0:v>
      </ns0:c>
      <ns0:c r="E237" t="str" s="14">
        <ns0:v>±10%</ns0:v>
      </ns0:c>
      <ns0:c r="F237" s="14"/>
      <ns0:c r="G237" t="str" s="14">
        <ns0:v>25 В</ns0:v>
      </ns0:c>
      <ns0:c r="H237" t="str" s="14">
        <ns0:v>X7R</ns0:v>
      </ns0:c>
      <ns0:c r="I237" t="str" s="15">
        <ns0:v>0603</ns0:v>
      </ns0:c>
      <ns0:c r="J237" t="str" s="14">
        <ns0:v>YAGEO</ns0:v>
      </ns0:c>
      <ns0:c r="K237" t="str" s="14">
        <ns0:v>CC0603KRX7R8BB334</ns0:v>
      </ns0:c>
      <ns0:c r="L237" t="str" s="11">
        <ns0:f>B237&amp;" "&amp;D237&amp;" "&amp;E237&amp;" "&amp;G237&amp;" "&amp;H237&amp;" "&amp;I237</ns0:f>
        <ns0:v>Конденсатор 330 нФ ±10% 25 В X7R 0603</ns0:v>
      </ns0:c>
      <ns0:c r="M237" t="str" s="13">
        <ns0:v>C</ns0:v>
      </ns0:c>
      <ns0:c r="N237" t="str" s="13">
        <ns0:v>Symbols\MY_LIB_Capacitors.SchLib</ns0:v>
      </ns0:c>
      <ns0:c r="O237" t="str" s="13">
        <ns0:v>CAPC1608X90N</ns0:v>
      </ns0:c>
      <ns0:c r="P237" t="str" s="13">
        <ns0:v>Footprints\PBL - SMD Packages.PcbLib</ns0:v>
      </ns0:c>
      <ns0:c r="Q237" t="str" s="14">
        <ns0:v>YAGEO CC; список 20.10.2026</ns0:v>
      </ns0:c>
      <ns0:c r="R237" t="str" s="11">
        <ns0:f>D237</ns0:f>
        <ns0:v>330 нФ</ns0:v>
      </ns0:c>
      <ns0:c r="S237" t="str" s="11">
        <ns0:f>L237</ns0:f>
        <ns0:v>Конденсатор 330 нФ ±10% 25 В X7R 0603</ns0:v>
      </ns0:c>
      <x:c xmlns:x="http://schemas.openxmlformats.org/spreadsheetml/2006/main" r="T237" t="str" s="11">
        <x:v>C:\Users\Nomatin\Documents\Altium\MY_LIB\MY_LIB\Datasheets\YAGEO_CC_X7R.pdf</x:v>
      </x:c>
      <x:c xmlns:x="http://schemas.openxmlformats.org/spreadsheetml/2006/main" r="U237" t="str" s="11">
        <x:v>Даташит — локальный</x:v>
      </x:c>
      <x:c xmlns:x="http://schemas.openxmlformats.org/spreadsheetml/2006/main" r="V237" t="str" s="11">
        <x:v>C:\Users\Nomatin\Documents\Altium\MY_LIB\MY_LIB\Datasheets\YAGEO_CC_X7R.pdf</x:v>
      </x:c>
      <x:c xmlns:x="http://schemas.openxmlformats.org/spreadsheetml/2006/main" r="W237" t="str" s="11">
        <x:v>Даташит — производитель</x:v>
      </x:c>
      <x:c xmlns:x="http://schemas.openxmlformats.org/spreadsheetml/2006/main" r="X237" t="str" s="11">
        <x:v>https://yageogroup.com/content/datasheet/asset/file/UPY-GPHC_X7R_6_3V-TO-250V</x:v>
      </x:c>
      <x:c xmlns:x="http://schemas.openxmlformats.org/spreadsheetml/2006/main" r="Y237" t="str" s="11">
        <x:v>C:\Users\Nomatin\Documents\Altium\MY_LIB\MY_LIB\Datasheets\YAGEO_CC_X7R.pdf</x:v>
      </x:c>
    </ns0:row>
    <ns0:row r="238" ht="30" customHeight="1">
      <ns0:c r="A238" t="str" s="14">
        <ns0:v>C0239</ns0:v>
      </ns0:c>
      <ns0:c r="B238" t="str" s="14">
        <ns0:v>Конденсатор</ns0:v>
      </ns0:c>
      <ns0:c r="C238" t="str" s="14">
        <ns0:v>390n</ns0:v>
      </ns0:c>
      <ns0:c r="D238" t="str" s="11">
        <ns0:f>SUBSTITUTE(SUBSTITUTE(SUBSTITUTE(SUBSTITUTE(C238,"p"," пФ"),"n"," нФ"),"u"," мкФ"),".",",")</ns0:f>
        <ns0:v>390 нФ</ns0:v>
      </ns0:c>
      <ns0:c r="E238" t="str" s="14">
        <ns0:v>±10%</ns0:v>
      </ns0:c>
      <ns0:c r="F238" s="14"/>
      <ns0:c r="G238" t="str" s="14">
        <ns0:v>16 В</ns0:v>
      </ns0:c>
      <ns0:c r="H238" t="str" s="14">
        <ns0:v>X7R</ns0:v>
      </ns0:c>
      <ns0:c r="I238" t="str" s="15">
        <ns0:v>0603</ns0:v>
      </ns0:c>
      <ns0:c r="J238" t="str" s="14">
        <ns0:v>YAGEO</ns0:v>
      </ns0:c>
      <ns0:c r="K238" t="str" s="14">
        <ns0:v>CC0603KRX7R7BB394</ns0:v>
      </ns0:c>
      <ns0:c r="L238" t="str" s="11">
        <ns0:f>B238&amp;" "&amp;D238&amp;" "&amp;E238&amp;" "&amp;G238&amp;" "&amp;H238&amp;" "&amp;I238</ns0:f>
        <ns0:v>Конденсатор 390 нФ ±10% 16 В X7R 0603</ns0:v>
      </ns0:c>
      <ns0:c r="M238" t="str" s="13">
        <ns0:v>C</ns0:v>
      </ns0:c>
      <ns0:c r="N238" t="str" s="13">
        <ns0:v>Symbols\MY_LIB_Capacitors.SchLib</ns0:v>
      </ns0:c>
      <ns0:c r="O238" t="str" s="13">
        <ns0:v>CAPC1608X90N</ns0:v>
      </ns0:c>
      <ns0:c r="P238" t="str" s="13">
        <ns0:v>Footprints\PBL - SMD Packages.PcbLib</ns0:v>
      </ns0:c>
      <ns0:c r="Q238" t="str" s="14">
        <ns0:v>YAGEO CC; список 20.10.2026</ns0:v>
      </ns0:c>
      <ns0:c r="R238" t="str" s="11">
        <ns0:f>D238</ns0:f>
        <ns0:v>390 нФ</ns0:v>
      </ns0:c>
      <ns0:c r="S238" t="str" s="11">
        <ns0:f>L238</ns0:f>
        <ns0:v>Конденсатор 390 нФ ±10% 16 В X7R 0603</ns0:v>
      </ns0:c>
      <x:c xmlns:x="http://schemas.openxmlformats.org/spreadsheetml/2006/main" r="T238" t="str" s="11">
        <x:v>C:\Users\Nomatin\Documents\Altium\MY_LIB\MY_LIB\Datasheets\YAGEO_CC_X7R.pdf</x:v>
      </x:c>
      <x:c xmlns:x="http://schemas.openxmlformats.org/spreadsheetml/2006/main" r="U238" t="str" s="11">
        <x:v>Даташит — локальный</x:v>
      </x:c>
      <x:c xmlns:x="http://schemas.openxmlformats.org/spreadsheetml/2006/main" r="V238" t="str" s="11">
        <x:v>C:\Users\Nomatin\Documents\Altium\MY_LIB\MY_LIB\Datasheets\YAGEO_CC_X7R.pdf</x:v>
      </x:c>
      <x:c xmlns:x="http://schemas.openxmlformats.org/spreadsheetml/2006/main" r="W238" t="str" s="11">
        <x:v>Даташит — производитель</x:v>
      </x:c>
      <x:c xmlns:x="http://schemas.openxmlformats.org/spreadsheetml/2006/main" r="X238" t="str" s="11">
        <x:v>https://yageogroup.com/content/datasheet/asset/file/UPY-GPHC_X7R_6_3V-TO-250V</x:v>
      </x:c>
      <x:c xmlns:x="http://schemas.openxmlformats.org/spreadsheetml/2006/main" r="Y238" t="str" s="11">
        <x:v>C:\Users\Nomatin\Documents\Altium\MY_LIB\MY_LIB\Datasheets\YAGEO_CC_X7R.pdf</x:v>
      </x:c>
    </ns0:row>
    <ns0:row r="239" ht="30" customHeight="1">
      <ns0:c r="A239" t="str" s="14">
        <ns0:v>C0240</ns0:v>
      </ns0:c>
      <ns0:c r="B239" t="str" s="14">
        <ns0:v>Конденсатор</ns0:v>
      </ns0:c>
      <ns0:c r="C239" t="str" s="14">
        <ns0:v>470n</ns0:v>
      </ns0:c>
      <ns0:c r="D239" t="str" s="11">
        <ns0:f>SUBSTITUTE(SUBSTITUTE(SUBSTITUTE(SUBSTITUTE(C239,"p"," пФ"),"n"," нФ"),"u"," мкФ"),".",",")</ns0:f>
        <ns0:v>470 нФ</ns0:v>
      </ns0:c>
      <ns0:c r="E239" t="str" s="14">
        <ns0:v>±10%</ns0:v>
      </ns0:c>
      <ns0:c r="F239" s="14"/>
      <ns0:c r="G239" t="str" s="14">
        <ns0:v>50 В</ns0:v>
      </ns0:c>
      <ns0:c r="H239" t="str" s="14">
        <ns0:v>X7R</ns0:v>
      </ns0:c>
      <ns0:c r="I239" t="str" s="15">
        <ns0:v>0603</ns0:v>
      </ns0:c>
      <ns0:c r="J239" t="str" s="14">
        <ns0:v>YAGEO</ns0:v>
      </ns0:c>
      <ns0:c r="K239" t="str" s="14">
        <ns0:v>CC0603KRX7R9BB474</ns0:v>
      </ns0:c>
      <ns0:c r="L239" t="str" s="11">
        <ns0:f>B239&amp;" "&amp;D239&amp;" "&amp;E239&amp;" "&amp;G239&amp;" "&amp;H239&amp;" "&amp;I239</ns0:f>
        <ns0:v>Конденсатор 470 нФ ±10% 50 В X7R 0603</ns0:v>
      </ns0:c>
      <ns0:c r="M239" t="str" s="13">
        <ns0:v>C</ns0:v>
      </ns0:c>
      <ns0:c r="N239" t="str" s="13">
        <ns0:v>Symbols\MY_LIB_Capacitors.SchLib</ns0:v>
      </ns0:c>
      <ns0:c r="O239" t="str" s="13">
        <ns0:v>CAPC1608X90N</ns0:v>
      </ns0:c>
      <ns0:c r="P239" t="str" s="13">
        <ns0:v>Footprints\PBL - SMD Packages.PcbLib</ns0:v>
      </ns0:c>
      <ns0:c r="Q239" t="str" s="14">
        <ns0:v>YAGEO CC; список 20.10.2026</ns0:v>
      </ns0:c>
      <ns0:c r="R239" t="str" s="11">
        <ns0:f>D239</ns0:f>
        <ns0:v>470 нФ</ns0:v>
      </ns0:c>
      <ns0:c r="S239" t="str" s="11">
        <ns0:f>L239</ns0:f>
        <ns0:v>Конденсатор 470 нФ ±10% 50 В X7R 0603</ns0:v>
      </ns0:c>
      <x:c xmlns:x="http://schemas.openxmlformats.org/spreadsheetml/2006/main" r="T239" t="str" s="11">
        <x:v>C:\Users\Nomatin\Documents\Altium\MY_LIB\MY_LIB\Datasheets\YAGEO_CC_X7R.pdf</x:v>
      </x:c>
      <x:c xmlns:x="http://schemas.openxmlformats.org/spreadsheetml/2006/main" r="U239" t="str" s="11">
        <x:v>Даташит — локальный</x:v>
      </x:c>
      <x:c xmlns:x="http://schemas.openxmlformats.org/spreadsheetml/2006/main" r="V239" t="str" s="11">
        <x:v>C:\Users\Nomatin\Documents\Altium\MY_LIB\MY_LIB\Datasheets\YAGEO_CC_X7R.pdf</x:v>
      </x:c>
      <x:c xmlns:x="http://schemas.openxmlformats.org/spreadsheetml/2006/main" r="W239" t="str" s="11">
        <x:v>Даташит — производитель</x:v>
      </x:c>
      <x:c xmlns:x="http://schemas.openxmlformats.org/spreadsheetml/2006/main" r="X239" t="str" s="11">
        <x:v>https://yageogroup.com/content/datasheet/asset/file/UPY-GPHC_X7R_6_3V-TO-250V</x:v>
      </x:c>
      <x:c xmlns:x="http://schemas.openxmlformats.org/spreadsheetml/2006/main" r="Y239" t="str" s="11">
        <x:v>C:\Users\Nomatin\Documents\Altium\MY_LIB\MY_LIB\Datasheets\YAGEO_CC_X7R.pdf</x:v>
      </x:c>
    </ns0:row>
    <ns0:row r="240" ht="30" customHeight="1">
      <ns0:c r="A240" t="str" s="14">
        <ns0:v>C0241</ns0:v>
      </ns0:c>
      <ns0:c r="B240" t="str" s="14">
        <ns0:v>Конденсатор</ns0:v>
      </ns0:c>
      <ns0:c r="C240" t="str" s="14">
        <ns0:v>560n</ns0:v>
      </ns0:c>
      <ns0:c r="D240" t="str" s="11">
        <ns0:f>SUBSTITUTE(SUBSTITUTE(SUBSTITUTE(SUBSTITUTE(C240,"p"," пФ"),"n"," нФ"),"u"," мкФ"),".",",")</ns0:f>
        <ns0:v>560 нФ</ns0:v>
      </ns0:c>
      <ns0:c r="E240" t="str" s="14">
        <ns0:v>±10%</ns0:v>
      </ns0:c>
      <ns0:c r="F240" s="14"/>
      <ns0:c r="G240" t="str" s="14">
        <ns0:v>25 В</ns0:v>
      </ns0:c>
      <ns0:c r="H240" t="str" s="14">
        <ns0:v>X7R</ns0:v>
      </ns0:c>
      <ns0:c r="I240" t="str" s="15">
        <ns0:v>0603</ns0:v>
      </ns0:c>
      <ns0:c r="J240" t="str" s="14">
        <ns0:v>YAGEO</ns0:v>
      </ns0:c>
      <ns0:c r="K240" t="str" s="14">
        <ns0:v>CC0603KRX7R8BB564</ns0:v>
      </ns0:c>
      <ns0:c r="L240" t="str" s="11">
        <ns0:f>B240&amp;" "&amp;D240&amp;" "&amp;E240&amp;" "&amp;G240&amp;" "&amp;H240&amp;" "&amp;I240</ns0:f>
        <ns0:v>Конденсатор 560 нФ ±10% 25 В X7R 0603</ns0:v>
      </ns0:c>
      <ns0:c r="M240" t="str" s="13">
        <ns0:v>C</ns0:v>
      </ns0:c>
      <ns0:c r="N240" t="str" s="13">
        <ns0:v>Symbols\MY_LIB_Capacitors.SchLib</ns0:v>
      </ns0:c>
      <ns0:c r="O240" t="str" s="13">
        <ns0:v>CAPC1608X90N</ns0:v>
      </ns0:c>
      <ns0:c r="P240" t="str" s="13">
        <ns0:v>Footprints\PBL - SMD Packages.PcbLib</ns0:v>
      </ns0:c>
      <ns0:c r="Q240" t="str" s="14">
        <ns0:v>YAGEO CC; список 20.10.2026</ns0:v>
      </ns0:c>
      <ns0:c r="R240" t="str" s="11">
        <ns0:f>D240</ns0:f>
        <ns0:v>560 нФ</ns0:v>
      </ns0:c>
      <ns0:c r="S240" t="str" s="11">
        <ns0:f>L240</ns0:f>
        <ns0:v>Конденсатор 560 нФ ±10% 25 В X7R 0603</ns0:v>
      </ns0:c>
      <x:c xmlns:x="http://schemas.openxmlformats.org/spreadsheetml/2006/main" r="T240" t="str" s="11">
        <x:v>C:\Users\Nomatin\Documents\Altium\MY_LIB\MY_LIB\Datasheets\YAGEO_CC_X7R.pdf</x:v>
      </x:c>
      <x:c xmlns:x="http://schemas.openxmlformats.org/spreadsheetml/2006/main" r="U240" t="str" s="11">
        <x:v>Даташит — локальный</x:v>
      </x:c>
      <x:c xmlns:x="http://schemas.openxmlformats.org/spreadsheetml/2006/main" r="V240" t="str" s="11">
        <x:v>C:\Users\Nomatin\Documents\Altium\MY_LIB\MY_LIB\Datasheets\YAGEO_CC_X7R.pdf</x:v>
      </x:c>
      <x:c xmlns:x="http://schemas.openxmlformats.org/spreadsheetml/2006/main" r="W240" t="str" s="11">
        <x:v>Даташит — производитель</x:v>
      </x:c>
      <x:c xmlns:x="http://schemas.openxmlformats.org/spreadsheetml/2006/main" r="X240" t="str" s="11">
        <x:v>https://yageogroup.com/content/datasheet/asset/file/UPY-GPHC_X7R_6_3V-TO-250V</x:v>
      </x:c>
      <x:c xmlns:x="http://schemas.openxmlformats.org/spreadsheetml/2006/main" r="Y240" t="str" s="11">
        <x:v>C:\Users\Nomatin\Documents\Altium\MY_LIB\MY_LIB\Datasheets\YAGEO_CC_X7R.pdf</x:v>
      </x:c>
    </ns0:row>
    <ns0:row r="241" ht="30" customHeight="1">
      <ns0:c r="A241" t="str" s="14">
        <ns0:v>C0242</ns0:v>
      </ns0:c>
      <ns0:c r="B241" t="str" s="14">
        <ns0:v>Конденсатор</ns0:v>
      </ns0:c>
      <ns0:c r="C241" t="str" s="14">
        <ns0:v>680n</ns0:v>
      </ns0:c>
      <ns0:c r="D241" t="str" s="11">
        <ns0:f>SUBSTITUTE(SUBSTITUTE(SUBSTITUTE(SUBSTITUTE(C241,"p"," пФ"),"n"," нФ"),"u"," мкФ"),".",",")</ns0:f>
        <ns0:v>680 нФ</ns0:v>
      </ns0:c>
      <ns0:c r="E241" t="str" s="14">
        <ns0:v>±10%</ns0:v>
      </ns0:c>
      <ns0:c r="F241" s="14"/>
      <ns0:c r="G241" t="str" s="14">
        <ns0:v>50 В</ns0:v>
      </ns0:c>
      <ns0:c r="H241" t="str" s="14">
        <ns0:v>X7R</ns0:v>
      </ns0:c>
      <ns0:c r="I241" t="str" s="15">
        <ns0:v>0603</ns0:v>
      </ns0:c>
      <ns0:c r="J241" t="str" s="14">
        <ns0:v>YAGEO</ns0:v>
      </ns0:c>
      <ns0:c r="K241" t="str" s="14">
        <ns0:v>CC0603KRX7R9BB684</ns0:v>
      </ns0:c>
      <ns0:c r="L241" t="str" s="11">
        <ns0:f>B241&amp;" "&amp;D241&amp;" "&amp;E241&amp;" "&amp;G241&amp;" "&amp;H241&amp;" "&amp;I241</ns0:f>
        <ns0:v>Конденсатор 680 нФ ±10% 50 В X7R 0603</ns0:v>
      </ns0:c>
      <ns0:c r="M241" t="str" s="13">
        <ns0:v>C</ns0:v>
      </ns0:c>
      <ns0:c r="N241" t="str" s="13">
        <ns0:v>Symbols\MY_LIB_Capacitors.SchLib</ns0:v>
      </ns0:c>
      <ns0:c r="O241" t="str" s="13">
        <ns0:v>CAPC1608X90N</ns0:v>
      </ns0:c>
      <ns0:c r="P241" t="str" s="13">
        <ns0:v>Footprints\PBL - SMD Packages.PcbLib</ns0:v>
      </ns0:c>
      <ns0:c r="Q241" t="str" s="14">
        <ns0:v>YAGEO CC; список 20.10.2026</ns0:v>
      </ns0:c>
      <ns0:c r="R241" t="str" s="11">
        <ns0:f>D241</ns0:f>
        <ns0:v>680 нФ</ns0:v>
      </ns0:c>
      <ns0:c r="S241" t="str" s="11">
        <ns0:f>L241</ns0:f>
        <ns0:v>Конденсатор 680 нФ ±10% 50 В X7R 0603</ns0:v>
      </ns0:c>
      <x:c xmlns:x="http://schemas.openxmlformats.org/spreadsheetml/2006/main" r="T241" t="str" s="11">
        <x:v>C:\Users\Nomatin\Documents\Altium\MY_LIB\MY_LIB\Datasheets\YAGEO_CC_X7R.pdf</x:v>
      </x:c>
      <x:c xmlns:x="http://schemas.openxmlformats.org/spreadsheetml/2006/main" r="U241" t="str" s="11">
        <x:v>Даташит — локальный</x:v>
      </x:c>
      <x:c xmlns:x="http://schemas.openxmlformats.org/spreadsheetml/2006/main" r="V241" t="str" s="11">
        <x:v>C:\Users\Nomatin\Documents\Altium\MY_LIB\MY_LIB\Datasheets\YAGEO_CC_X7R.pdf</x:v>
      </x:c>
      <x:c xmlns:x="http://schemas.openxmlformats.org/spreadsheetml/2006/main" r="W241" t="str" s="11">
        <x:v>Даташит — производитель</x:v>
      </x:c>
      <x:c xmlns:x="http://schemas.openxmlformats.org/spreadsheetml/2006/main" r="X241" t="str" s="11">
        <x:v>https://yageogroup.com/content/datasheet/asset/file/UPY-GPHC_X7R_6_3V-TO-250V</x:v>
      </x:c>
      <x:c xmlns:x="http://schemas.openxmlformats.org/spreadsheetml/2006/main" r="Y241" t="str" s="11">
        <x:v>C:\Users\Nomatin\Documents\Altium\MY_LIB\MY_LIB\Datasheets\YAGEO_CC_X7R.pdf</x:v>
      </x:c>
    </ns0:row>
    <ns0:row r="242" ht="30" customHeight="1">
      <ns0:c r="A242" t="str" s="14">
        <ns0:v>C0243</ns0:v>
      </ns0:c>
      <ns0:c r="B242" t="str" s="14">
        <ns0:v>Конденсатор</ns0:v>
      </ns0:c>
      <ns0:c r="C242" t="str" s="14">
        <ns0:v>820n</ns0:v>
      </ns0:c>
      <ns0:c r="D242" t="str" s="11">
        <ns0:f>SUBSTITUTE(SUBSTITUTE(SUBSTITUTE(SUBSTITUTE(C242,"p"," пФ"),"n"," нФ"),"u"," мкФ"),".",",")</ns0:f>
        <ns0:v>820 нФ</ns0:v>
      </ns0:c>
      <ns0:c r="E242" t="str" s="14">
        <ns0:v>±10%</ns0:v>
      </ns0:c>
      <ns0:c r="F242" s="14"/>
      <ns0:c r="G242" t="str" s="14">
        <ns0:v>16 В</ns0:v>
      </ns0:c>
      <ns0:c r="H242" t="str" s="14">
        <ns0:v>X7R</ns0:v>
      </ns0:c>
      <ns0:c r="I242" t="str" s="15">
        <ns0:v>0603</ns0:v>
      </ns0:c>
      <ns0:c r="J242" t="str" s="14">
        <ns0:v>YAGEO</ns0:v>
      </ns0:c>
      <ns0:c r="K242" t="str" s="14">
        <ns0:v>CC0603KRX7R7BB824</ns0:v>
      </ns0:c>
      <ns0:c r="L242" t="str" s="11">
        <ns0:f>B242&amp;" "&amp;D242&amp;" "&amp;E242&amp;" "&amp;G242&amp;" "&amp;H242&amp;" "&amp;I242</ns0:f>
        <ns0:v>Конденсатор 820 нФ ±10% 16 В X7R 0603</ns0:v>
      </ns0:c>
      <ns0:c r="M242" t="str" s="13">
        <ns0:v>C</ns0:v>
      </ns0:c>
      <ns0:c r="N242" t="str" s="13">
        <ns0:v>Symbols\MY_LIB_Capacitors.SchLib</ns0:v>
      </ns0:c>
      <ns0:c r="O242" t="str" s="13">
        <ns0:v>CAPC1608X90N</ns0:v>
      </ns0:c>
      <ns0:c r="P242" t="str" s="13">
        <ns0:v>Footprints\PBL - SMD Packages.PcbLib</ns0:v>
      </ns0:c>
      <ns0:c r="Q242" t="str" s="14">
        <ns0:v>YAGEO CC; список 20.10.2026</ns0:v>
      </ns0:c>
      <ns0:c r="R242" t="str" s="11">
        <ns0:f>D242</ns0:f>
        <ns0:v>820 нФ</ns0:v>
      </ns0:c>
      <ns0:c r="S242" t="str" s="11">
        <ns0:f>L242</ns0:f>
        <ns0:v>Конденсатор 820 нФ ±10% 16 В X7R 0603</ns0:v>
      </ns0:c>
      <x:c xmlns:x="http://schemas.openxmlformats.org/spreadsheetml/2006/main" r="T242" t="str" s="11">
        <x:v>C:\Users\Nomatin\Documents\Altium\MY_LIB\MY_LIB\Datasheets\YAGEO_CC_X7R.pdf</x:v>
      </x:c>
      <x:c xmlns:x="http://schemas.openxmlformats.org/spreadsheetml/2006/main" r="U242" t="str" s="11">
        <x:v>Даташит — локальный</x:v>
      </x:c>
      <x:c xmlns:x="http://schemas.openxmlformats.org/spreadsheetml/2006/main" r="V242" t="str" s="11">
        <x:v>C:\Users\Nomatin\Documents\Altium\MY_LIB\MY_LIB\Datasheets\YAGEO_CC_X7R.pdf</x:v>
      </x:c>
      <x:c xmlns:x="http://schemas.openxmlformats.org/spreadsheetml/2006/main" r="W242" t="str" s="11">
        <x:v>Даташит — производитель</x:v>
      </x:c>
      <x:c xmlns:x="http://schemas.openxmlformats.org/spreadsheetml/2006/main" r="X242" t="str" s="11">
        <x:v>https://yageogroup.com/content/datasheet/asset/file/UPY-GPHC_X7R_6_3V-TO-250V</x:v>
      </x:c>
      <x:c xmlns:x="http://schemas.openxmlformats.org/spreadsheetml/2006/main" r="Y242" t="str" s="11">
        <x:v>C:\Users\Nomatin\Documents\Altium\MY_LIB\MY_LIB\Datasheets\YAGEO_CC_X7R.pdf</x:v>
      </x:c>
    </ns0:row>
    <ns0:row r="243" ht="30" customHeight="1">
      <ns0:c r="A243" t="str" s="14">
        <ns0:v>C0244</ns0:v>
      </ns0:c>
      <ns0:c r="B243" t="str" s="14">
        <ns0:v>Конденсатор</ns0:v>
      </ns0:c>
      <ns0:c r="C243" t="str" s="14">
        <ns0:v>1u</ns0:v>
      </ns0:c>
      <ns0:c r="D243" t="str" s="11">
        <ns0:f>SUBSTITUTE(SUBSTITUTE(SUBSTITUTE(SUBSTITUTE(C243,"p"," пФ"),"n"," нФ"),"u"," мкФ"),".",",")</ns0:f>
        <ns0:v>1 мкФ</ns0:v>
      </ns0:c>
      <ns0:c r="E243" t="str" s="14">
        <ns0:v>±10%</ns0:v>
      </ns0:c>
      <ns0:c r="F243" s="14"/>
      <ns0:c r="G243" t="str" s="14">
        <ns0:v>50 В</ns0:v>
      </ns0:c>
      <ns0:c r="H243" t="str" s="14">
        <ns0:v>X7R</ns0:v>
      </ns0:c>
      <ns0:c r="I243" t="str" s="15">
        <ns0:v>0603</ns0:v>
      </ns0:c>
      <ns0:c r="J243" t="str" s="14">
        <ns0:v>YAGEO</ns0:v>
      </ns0:c>
      <ns0:c r="K243" t="str" s="14">
        <ns0:v>CC0603KRX7R9BB105</ns0:v>
      </ns0:c>
      <ns0:c r="L243" t="str" s="11">
        <ns0:f>B243&amp;" "&amp;D243&amp;" "&amp;E243&amp;" "&amp;G243&amp;" "&amp;H243&amp;" "&amp;I243</ns0:f>
        <ns0:v>Конденсатор 1 мкФ ±10% 50 В X7R 0603</ns0:v>
      </ns0:c>
      <ns0:c r="M243" t="str" s="13">
        <ns0:v>C</ns0:v>
      </ns0:c>
      <ns0:c r="N243" t="str" s="13">
        <ns0:v>Symbols\MY_LIB_Capacitors.SchLib</ns0:v>
      </ns0:c>
      <ns0:c r="O243" t="str" s="13">
        <ns0:v>CAPC1608X90N</ns0:v>
      </ns0:c>
      <ns0:c r="P243" t="str" s="13">
        <ns0:v>Footprints\PBL - SMD Packages.PcbLib</ns0:v>
      </ns0:c>
      <ns0:c r="Q243" t="str" s="14">
        <ns0:v>YAGEO CC; список 20.10.2026</ns0:v>
      </ns0:c>
      <ns0:c r="R243" t="str" s="11">
        <ns0:f>D243</ns0:f>
        <ns0:v>1 мкФ</ns0:v>
      </ns0:c>
      <ns0:c r="S243" t="str" s="11">
        <ns0:f>L243</ns0:f>
        <ns0:v>Конденсатор 1 мкФ ±10% 50 В X7R 0603</ns0:v>
      </ns0:c>
      <x:c xmlns:x="http://schemas.openxmlformats.org/spreadsheetml/2006/main" r="T243" t="str" s="11">
        <x:v>C:\Users\Nomatin\Documents\Altium\MY_LIB\MY_LIB\Datasheets\YAGEO_CC_X7R.pdf</x:v>
      </x:c>
      <x:c xmlns:x="http://schemas.openxmlformats.org/spreadsheetml/2006/main" r="U243" t="str" s="11">
        <x:v>Даташит — локальный</x:v>
      </x:c>
      <x:c xmlns:x="http://schemas.openxmlformats.org/spreadsheetml/2006/main" r="V243" t="str" s="11">
        <x:v>C:\Users\Nomatin\Documents\Altium\MY_LIB\MY_LIB\Datasheets\YAGEO_CC_X7R.pdf</x:v>
      </x:c>
      <x:c xmlns:x="http://schemas.openxmlformats.org/spreadsheetml/2006/main" r="W243" t="str" s="11">
        <x:v>Даташит — производитель</x:v>
      </x:c>
      <x:c xmlns:x="http://schemas.openxmlformats.org/spreadsheetml/2006/main" r="X243" t="str" s="11">
        <x:v>https://yageogroup.com/content/datasheet/asset/file/UPY-GPHC_X7R_6_3V-TO-250V</x:v>
      </x:c>
      <x:c xmlns:x="http://schemas.openxmlformats.org/spreadsheetml/2006/main" r="Y243" t="str" s="11">
        <x:v>C:\Users\Nomatin\Documents\Altium\MY_LIB\MY_LIB\Datasheets\YAGEO_CC_X7R.pdf</x:v>
      </x:c>
    </ns0:row>
    <ns0:row r="244" ht="30" customHeight="1">
      <ns0:c r="A244" t="str" s="14">
        <ns0:v>C0245</ns0:v>
      </ns0:c>
      <ns0:c r="B244" t="str" s="14">
        <ns0:v>Конденсатор</ns0:v>
      </ns0:c>
      <ns0:c r="C244" t="str" s="14">
        <ns0:v>2.2u</ns0:v>
      </ns0:c>
      <ns0:c r="D244" t="str" s="11">
        <ns0:f>SUBSTITUTE(SUBSTITUTE(SUBSTITUTE(SUBSTITUTE(C244,"p"," пФ"),"n"," нФ"),"u"," мкФ"),".",",")</ns0:f>
        <ns0:v>2,2 мкФ</ns0:v>
      </ns0:c>
      <ns0:c r="E244" t="str" s="14">
        <ns0:v>±10%</ns0:v>
      </ns0:c>
      <ns0:c r="F244" s="14"/>
      <ns0:c r="G244" t="str" s="14">
        <ns0:v>16 В</ns0:v>
      </ns0:c>
      <ns0:c r="H244" t="str" s="14">
        <ns0:v>X7R</ns0:v>
      </ns0:c>
      <ns0:c r="I244" t="str" s="15">
        <ns0:v>0603</ns0:v>
      </ns0:c>
      <ns0:c r="J244" t="str" s="14">
        <ns0:v>YAGEO</ns0:v>
      </ns0:c>
      <ns0:c r="K244" t="str" s="14">
        <ns0:v>CC0603KRX7R7BB225</ns0:v>
      </ns0:c>
      <ns0:c r="L244" t="str" s="11">
        <ns0:f>B244&amp;" "&amp;D244&amp;" "&amp;E244&amp;" "&amp;G244&amp;" "&amp;H244&amp;" "&amp;I244</ns0:f>
        <ns0:v>Конденсатор 2,2 мкФ ±10% 16 В X7R 0603</ns0:v>
      </ns0:c>
      <ns0:c r="M244" t="str" s="13">
        <ns0:v>C</ns0:v>
      </ns0:c>
      <ns0:c r="N244" t="str" s="13">
        <ns0:v>Symbols\MY_LIB_Capacitors.SchLib</ns0:v>
      </ns0:c>
      <ns0:c r="O244" t="str" s="13">
        <ns0:v>CAPC1608X90N</ns0:v>
      </ns0:c>
      <ns0:c r="P244" t="str" s="13">
        <ns0:v>Footprints\PBL - SMD Packages.PcbLib</ns0:v>
      </ns0:c>
      <ns0:c r="Q244" t="str" s="14">
        <ns0:v>YAGEO CC; список 20.10.2026</ns0:v>
      </ns0:c>
      <ns0:c r="R244" t="str" s="11">
        <ns0:f>D244</ns0:f>
        <ns0:v>2,2 мкФ</ns0:v>
      </ns0:c>
      <ns0:c r="S244" t="str" s="11">
        <ns0:f>L244</ns0:f>
        <ns0:v>Конденсатор 2,2 мкФ ±10% 16 В X7R 0603</ns0:v>
      </ns0:c>
      <x:c xmlns:x="http://schemas.openxmlformats.org/spreadsheetml/2006/main" r="T244" t="str" s="11">
        <x:v>C:\Users\Nomatin\Documents\Altium\MY_LIB\MY_LIB\Datasheets\YAGEO_CC_X7R.pdf</x:v>
      </x:c>
      <x:c xmlns:x="http://schemas.openxmlformats.org/spreadsheetml/2006/main" r="U244" t="str" s="11">
        <x:v>Даташит — локальный</x:v>
      </x:c>
      <x:c xmlns:x="http://schemas.openxmlformats.org/spreadsheetml/2006/main" r="V244" t="str" s="11">
        <x:v>C:\Users\Nomatin\Documents\Altium\MY_LIB\MY_LIB\Datasheets\YAGEO_CC_X7R.pdf</x:v>
      </x:c>
      <x:c xmlns:x="http://schemas.openxmlformats.org/spreadsheetml/2006/main" r="W244" t="str" s="11">
        <x:v>Даташит — производитель</x:v>
      </x:c>
      <x:c xmlns:x="http://schemas.openxmlformats.org/spreadsheetml/2006/main" r="X244" t="str" s="11">
        <x:v>https://yageogroup.com/content/datasheet/asset/file/UPY-GPHC_X7R_6_3V-TO-250V</x:v>
      </x:c>
      <x:c xmlns:x="http://schemas.openxmlformats.org/spreadsheetml/2006/main" r="Y244" t="str" s="11">
        <x:v>C:\Users\Nomatin\Documents\Altium\MY_LIB\MY_LIB\Datasheets\YAGEO_CC_X7R.pdf</x:v>
      </x:c>
    </ns0:row>
    <ns0:row r="245" ht="30" customHeight="1">
      <ns0:c r="A245" t="str" s="14">
        <ns0:v>C0246</ns0:v>
      </ns0:c>
      <ns0:c r="B245" t="str" s="14">
        <ns0:v>Конденсатор</ns0:v>
      </ns0:c>
      <ns0:c r="C245" t="str" s="14">
        <ns0:v>100p</ns0:v>
      </ns0:c>
      <ns0:c r="D245" t="str" s="11">
        <ns0:f>SUBSTITUTE(SUBSTITUTE(SUBSTITUTE(SUBSTITUTE(C245,"p"," пФ"),"n"," нФ"),"u"," мкФ"),".",",")</ns0:f>
        <ns0:v>100 пФ</ns0:v>
      </ns0:c>
      <ns0:c r="E245" t="str" s="14">
        <ns0:v>±20%</ns0:v>
      </ns0:c>
      <ns0:c r="F245" s="14"/>
      <ns0:c r="G245" t="str" s="14">
        <ns0:v>100 В</ns0:v>
      </ns0:c>
      <ns0:c r="H245" t="str" s="14">
        <ns0:v>X7R</ns0:v>
      </ns0:c>
      <ns0:c r="I245" t="str" s="15">
        <ns0:v>0603</ns0:v>
      </ns0:c>
      <ns0:c r="J245" t="str" s="14">
        <ns0:v>YAGEO</ns0:v>
      </ns0:c>
      <ns0:c r="K245" t="str" s="14">
        <ns0:v>CC0603MRX7R0BB101</ns0:v>
      </ns0:c>
      <ns0:c r="L245" t="str" s="11">
        <ns0:f>B245&amp;" "&amp;D245&amp;" "&amp;E245&amp;" "&amp;G245&amp;" "&amp;H245&amp;" "&amp;I245</ns0:f>
        <ns0:v>Конденсатор 100 пФ ±20% 100 В X7R 0603</ns0:v>
      </ns0:c>
      <ns0:c r="M245" t="str" s="13">
        <ns0:v>C</ns0:v>
      </ns0:c>
      <ns0:c r="N245" t="str" s="13">
        <ns0:v>Symbols\MY_LIB_Capacitors.SchLib</ns0:v>
      </ns0:c>
      <ns0:c r="O245" t="str" s="13">
        <ns0:v>CAPC1608X90N</ns0:v>
      </ns0:c>
      <ns0:c r="P245" t="str" s="13">
        <ns0:v>Footprints\PBL - SMD Packages.PcbLib</ns0:v>
      </ns0:c>
      <ns0:c r="Q245" t="str" s="14">
        <ns0:v>YAGEO CC; список 20.10.2026</ns0:v>
      </ns0:c>
      <ns0:c r="R245" t="str" s="11">
        <ns0:f>D245</ns0:f>
        <ns0:v>100 пФ</ns0:v>
      </ns0:c>
      <ns0:c r="S245" t="str" s="11">
        <ns0:f>L245</ns0:f>
        <ns0:v>Конденсатор 100 пФ ±20% 100 В X7R 0603</ns0:v>
      </ns0:c>
      <x:c xmlns:x="http://schemas.openxmlformats.org/spreadsheetml/2006/main" r="T245" t="str" s="11">
        <x:v>C:\Users\Nomatin\Documents\Altium\MY_LIB\MY_LIB\Datasheets\YAGEO_CC_X7R.pdf</x:v>
      </x:c>
      <x:c xmlns:x="http://schemas.openxmlformats.org/spreadsheetml/2006/main" r="U245" t="str" s="11">
        <x:v>Даташит — локальный</x:v>
      </x:c>
      <x:c xmlns:x="http://schemas.openxmlformats.org/spreadsheetml/2006/main" r="V245" t="str" s="11">
        <x:v>C:\Users\Nomatin\Documents\Altium\MY_LIB\MY_LIB\Datasheets\YAGEO_CC_X7R.pdf</x:v>
      </x:c>
      <x:c xmlns:x="http://schemas.openxmlformats.org/spreadsheetml/2006/main" r="W245" t="str" s="11">
        <x:v>Даташит — производитель</x:v>
      </x:c>
      <x:c xmlns:x="http://schemas.openxmlformats.org/spreadsheetml/2006/main" r="X245" t="str" s="11">
        <x:v>https://yageogroup.com/content/datasheet/asset/file/UPY-GPHC_X7R_6_3V-TO-250V</x:v>
      </x:c>
      <x:c xmlns:x="http://schemas.openxmlformats.org/spreadsheetml/2006/main" r="Y245" t="str" s="11">
        <x:v>C:\Users\Nomatin\Documents\Altium\MY_LIB\MY_LIB\Datasheets\YAGEO_CC_X7R.pdf</x:v>
      </x:c>
    </ns0:row>
    <ns0:row r="246" ht="30" customHeight="1">
      <ns0:c r="A246" t="str" s="14">
        <ns0:v>C0247</ns0:v>
      </ns0:c>
      <ns0:c r="B246" t="str" s="14">
        <ns0:v>Конденсатор</ns0:v>
      </ns0:c>
      <ns0:c r="C246" t="str" s="14">
        <ns0:v>150p</ns0:v>
      </ns0:c>
      <ns0:c r="D246" t="str" s="11">
        <ns0:f>SUBSTITUTE(SUBSTITUTE(SUBSTITUTE(SUBSTITUTE(C246,"p"," пФ"),"n"," нФ"),"u"," мкФ"),".",",")</ns0:f>
        <ns0:v>150 пФ</ns0:v>
      </ns0:c>
      <ns0:c r="E246" t="str" s="14">
        <ns0:v>±20%</ns0:v>
      </ns0:c>
      <ns0:c r="F246" s="14"/>
      <ns0:c r="G246" t="str" s="14">
        <ns0:v>100 В</ns0:v>
      </ns0:c>
      <ns0:c r="H246" t="str" s="14">
        <ns0:v>X7R</ns0:v>
      </ns0:c>
      <ns0:c r="I246" t="str" s="15">
        <ns0:v>0603</ns0:v>
      </ns0:c>
      <ns0:c r="J246" t="str" s="14">
        <ns0:v>YAGEO</ns0:v>
      </ns0:c>
      <ns0:c r="K246" t="str" s="14">
        <ns0:v>CC0603MRX7R0BB151</ns0:v>
      </ns0:c>
      <ns0:c r="L246" t="str" s="11">
        <ns0:f>B246&amp;" "&amp;D246&amp;" "&amp;E246&amp;" "&amp;G246&amp;" "&amp;H246&amp;" "&amp;I246</ns0:f>
        <ns0:v>Конденсатор 150 пФ ±20% 100 В X7R 0603</ns0:v>
      </ns0:c>
      <ns0:c r="M246" t="str" s="13">
        <ns0:v>C</ns0:v>
      </ns0:c>
      <ns0:c r="N246" t="str" s="13">
        <ns0:v>Symbols\MY_LIB_Capacitors.SchLib</ns0:v>
      </ns0:c>
      <ns0:c r="O246" t="str" s="13">
        <ns0:v>CAPC1608X90N</ns0:v>
      </ns0:c>
      <ns0:c r="P246" t="str" s="13">
        <ns0:v>Footprints\PBL - SMD Packages.PcbLib</ns0:v>
      </ns0:c>
      <ns0:c r="Q246" t="str" s="14">
        <ns0:v>YAGEO CC; список 20.10.2026</ns0:v>
      </ns0:c>
      <ns0:c r="R246" t="str" s="11">
        <ns0:f>D246</ns0:f>
        <ns0:v>150 пФ</ns0:v>
      </ns0:c>
      <ns0:c r="S246" t="str" s="11">
        <ns0:f>L246</ns0:f>
        <ns0:v>Конденсатор 150 пФ ±20% 100 В X7R 0603</ns0:v>
      </ns0:c>
      <x:c xmlns:x="http://schemas.openxmlformats.org/spreadsheetml/2006/main" r="T246" t="str" s="11">
        <x:v>C:\Users\Nomatin\Documents\Altium\MY_LIB\MY_LIB\Datasheets\YAGEO_CC_X7R.pdf</x:v>
      </x:c>
      <x:c xmlns:x="http://schemas.openxmlformats.org/spreadsheetml/2006/main" r="U246" t="str" s="11">
        <x:v>Даташит — локальный</x:v>
      </x:c>
      <x:c xmlns:x="http://schemas.openxmlformats.org/spreadsheetml/2006/main" r="V246" t="str" s="11">
        <x:v>C:\Users\Nomatin\Documents\Altium\MY_LIB\MY_LIB\Datasheets\YAGEO_CC_X7R.pdf</x:v>
      </x:c>
      <x:c xmlns:x="http://schemas.openxmlformats.org/spreadsheetml/2006/main" r="W246" t="str" s="11">
        <x:v>Даташит — производитель</x:v>
      </x:c>
      <x:c xmlns:x="http://schemas.openxmlformats.org/spreadsheetml/2006/main" r="X246" t="str" s="11">
        <x:v>https://yageogroup.com/content/datasheet/asset/file/UPY-GPHC_X7R_6_3V-TO-250V</x:v>
      </x:c>
      <x:c xmlns:x="http://schemas.openxmlformats.org/spreadsheetml/2006/main" r="Y246" t="str" s="11">
        <x:v>C:\Users\Nomatin\Documents\Altium\MY_LIB\MY_LIB\Datasheets\YAGEO_CC_X7R.pdf</x:v>
      </x:c>
    </ns0:row>
    <ns0:row r="247" ht="30" customHeight="1">
      <ns0:c r="A247" t="str" s="14">
        <ns0:v>C0248</ns0:v>
      </ns0:c>
      <ns0:c r="B247" t="str" s="14">
        <ns0:v>Конденсатор</ns0:v>
      </ns0:c>
      <ns0:c r="C247" t="str" s="14">
        <ns0:v>220p</ns0:v>
      </ns0:c>
      <ns0:c r="D247" t="str" s="11">
        <ns0:f>SUBSTITUTE(SUBSTITUTE(SUBSTITUTE(SUBSTITUTE(C247,"p"," пФ"),"n"," нФ"),"u"," мкФ"),".",",")</ns0:f>
        <ns0:v>220 пФ</ns0:v>
      </ns0:c>
      <ns0:c r="E247" t="str" s="14">
        <ns0:v>±20%</ns0:v>
      </ns0:c>
      <ns0:c r="F247" s="14"/>
      <ns0:c r="G247" t="str" s="14">
        <ns0:v>100 В</ns0:v>
      </ns0:c>
      <ns0:c r="H247" t="str" s="14">
        <ns0:v>X7R</ns0:v>
      </ns0:c>
      <ns0:c r="I247" t="str" s="15">
        <ns0:v>0603</ns0:v>
      </ns0:c>
      <ns0:c r="J247" t="str" s="14">
        <ns0:v>YAGEO</ns0:v>
      </ns0:c>
      <ns0:c r="K247" t="str" s="14">
        <ns0:v>CC0603MRX7R0BB221</ns0:v>
      </ns0:c>
      <ns0:c r="L247" t="str" s="11">
        <ns0:f>B247&amp;" "&amp;D247&amp;" "&amp;E247&amp;" "&amp;G247&amp;" "&amp;H247&amp;" "&amp;I247</ns0:f>
        <ns0:v>Конденсатор 220 пФ ±20% 100 В X7R 0603</ns0:v>
      </ns0:c>
      <ns0:c r="M247" t="str" s="13">
        <ns0:v>C</ns0:v>
      </ns0:c>
      <ns0:c r="N247" t="str" s="13">
        <ns0:v>Symbols\MY_LIB_Capacitors.SchLib</ns0:v>
      </ns0:c>
      <ns0:c r="O247" t="str" s="13">
        <ns0:v>CAPC1608X90N</ns0:v>
      </ns0:c>
      <ns0:c r="P247" t="str" s="13">
        <ns0:v>Footprints\PBL - SMD Packages.PcbLib</ns0:v>
      </ns0:c>
      <ns0:c r="Q247" t="str" s="14">
        <ns0:v>YAGEO CC; список 20.10.2026</ns0:v>
      </ns0:c>
      <ns0:c r="R247" t="str" s="11">
        <ns0:f>D247</ns0:f>
        <ns0:v>220 пФ</ns0:v>
      </ns0:c>
      <ns0:c r="S247" t="str" s="11">
        <ns0:f>L247</ns0:f>
        <ns0:v>Конденсатор 220 пФ ±20% 100 В X7R 0603</ns0:v>
      </ns0:c>
      <x:c xmlns:x="http://schemas.openxmlformats.org/spreadsheetml/2006/main" r="T247" t="str" s="11">
        <x:v>C:\Users\Nomatin\Documents\Altium\MY_LIB\MY_LIB\Datasheets\YAGEO_CC_X7R.pdf</x:v>
      </x:c>
      <x:c xmlns:x="http://schemas.openxmlformats.org/spreadsheetml/2006/main" r="U247" t="str" s="11">
        <x:v>Даташит — локальный</x:v>
      </x:c>
      <x:c xmlns:x="http://schemas.openxmlformats.org/spreadsheetml/2006/main" r="V247" t="str" s="11">
        <x:v>C:\Users\Nomatin\Documents\Altium\MY_LIB\MY_LIB\Datasheets\YAGEO_CC_X7R.pdf</x:v>
      </x:c>
      <x:c xmlns:x="http://schemas.openxmlformats.org/spreadsheetml/2006/main" r="W247" t="str" s="11">
        <x:v>Даташит — производитель</x:v>
      </x:c>
      <x:c xmlns:x="http://schemas.openxmlformats.org/spreadsheetml/2006/main" r="X247" t="str" s="11">
        <x:v>https://yageogroup.com/content/datasheet/asset/file/UPY-GPHC_X7R_6_3V-TO-250V</x:v>
      </x:c>
      <x:c xmlns:x="http://schemas.openxmlformats.org/spreadsheetml/2006/main" r="Y247" t="str" s="11">
        <x:v>C:\Users\Nomatin\Documents\Altium\MY_LIB\MY_LIB\Datasheets\YAGEO_CC_X7R.pdf</x:v>
      </x:c>
    </ns0:row>
    <ns0:row r="248" ht="30" customHeight="1">
      <ns0:c r="A248" t="str" s="14">
        <ns0:v>C0249</ns0:v>
      </ns0:c>
      <ns0:c r="B248" t="str" s="14">
        <ns0:v>Конденсатор</ns0:v>
      </ns0:c>
      <ns0:c r="C248" t="str" s="14">
        <ns0:v>270p</ns0:v>
      </ns0:c>
      <ns0:c r="D248" t="str" s="11">
        <ns0:f>SUBSTITUTE(SUBSTITUTE(SUBSTITUTE(SUBSTITUTE(C248,"p"," пФ"),"n"," нФ"),"u"," мкФ"),".",",")</ns0:f>
        <ns0:v>270 пФ</ns0:v>
      </ns0:c>
      <ns0:c r="E248" t="str" s="14">
        <ns0:v>±20%</ns0:v>
      </ns0:c>
      <ns0:c r="F248" s="14"/>
      <ns0:c r="G248" t="str" s="14">
        <ns0:v>50 В</ns0:v>
      </ns0:c>
      <ns0:c r="H248" t="str" s="14">
        <ns0:v>X7R</ns0:v>
      </ns0:c>
      <ns0:c r="I248" t="str" s="15">
        <ns0:v>0603</ns0:v>
      </ns0:c>
      <ns0:c r="J248" t="str" s="14">
        <ns0:v>YAGEO</ns0:v>
      </ns0:c>
      <ns0:c r="K248" t="str" s="14">
        <ns0:v>CC0603MRX7R9BB271</ns0:v>
      </ns0:c>
      <ns0:c r="L248" t="str" s="11">
        <ns0:f>B248&amp;" "&amp;D248&amp;" "&amp;E248&amp;" "&amp;G248&amp;" "&amp;H248&amp;" "&amp;I248</ns0:f>
        <ns0:v>Конденсатор 270 пФ ±20% 50 В X7R 0603</ns0:v>
      </ns0:c>
      <ns0:c r="M248" t="str" s="13">
        <ns0:v>C</ns0:v>
      </ns0:c>
      <ns0:c r="N248" t="str" s="13">
        <ns0:v>Symbols\MY_LIB_Capacitors.SchLib</ns0:v>
      </ns0:c>
      <ns0:c r="O248" t="str" s="13">
        <ns0:v>CAPC1608X90N</ns0:v>
      </ns0:c>
      <ns0:c r="P248" t="str" s="13">
        <ns0:v>Footprints\PBL - SMD Packages.PcbLib</ns0:v>
      </ns0:c>
      <ns0:c r="Q248" t="str" s="14">
        <ns0:v>YAGEO CC; список 20.10.2026</ns0:v>
      </ns0:c>
      <ns0:c r="R248" t="str" s="11">
        <ns0:f>D248</ns0:f>
        <ns0:v>270 пФ</ns0:v>
      </ns0:c>
      <ns0:c r="S248" t="str" s="11">
        <ns0:f>L248</ns0:f>
        <ns0:v>Конденсатор 270 пФ ±20% 50 В X7R 0603</ns0:v>
      </ns0:c>
      <x:c xmlns:x="http://schemas.openxmlformats.org/spreadsheetml/2006/main" r="T248" t="str" s="11">
        <x:v>C:\Users\Nomatin\Documents\Altium\MY_LIB\MY_LIB\Datasheets\YAGEO_CC_X7R.pdf</x:v>
      </x:c>
      <x:c xmlns:x="http://schemas.openxmlformats.org/spreadsheetml/2006/main" r="U248" t="str" s="11">
        <x:v>Даташит — локальный</x:v>
      </x:c>
      <x:c xmlns:x="http://schemas.openxmlformats.org/spreadsheetml/2006/main" r="V248" t="str" s="11">
        <x:v>C:\Users\Nomatin\Documents\Altium\MY_LIB\MY_LIB\Datasheets\YAGEO_CC_X7R.pdf</x:v>
      </x:c>
      <x:c xmlns:x="http://schemas.openxmlformats.org/spreadsheetml/2006/main" r="W248" t="str" s="11">
        <x:v>Даташит — производитель</x:v>
      </x:c>
      <x:c xmlns:x="http://schemas.openxmlformats.org/spreadsheetml/2006/main" r="X248" t="str" s="11">
        <x:v>https://yageogroup.com/content/datasheet/asset/file/UPY-GPHC_X7R_6_3V-TO-250V</x:v>
      </x:c>
      <x:c xmlns:x="http://schemas.openxmlformats.org/spreadsheetml/2006/main" r="Y248" t="str" s="11">
        <x:v>C:\Users\Nomatin\Documents\Altium\MY_LIB\MY_LIB\Datasheets\YAGEO_CC_X7R.pdf</x:v>
      </x:c>
    </ns0:row>
    <ns0:row r="249" ht="30" customHeight="1">
      <ns0:c r="A249" t="str" s="14">
        <ns0:v>C0250</ns0:v>
      </ns0:c>
      <ns0:c r="B249" t="str" s="14">
        <ns0:v>Конденсатор</ns0:v>
      </ns0:c>
      <ns0:c r="C249" t="str" s="14">
        <ns0:v>330p</ns0:v>
      </ns0:c>
      <ns0:c r="D249" t="str" s="11">
        <ns0:f>SUBSTITUTE(SUBSTITUTE(SUBSTITUTE(SUBSTITUTE(C249,"p"," пФ"),"n"," нФ"),"u"," мкФ"),".",",")</ns0:f>
        <ns0:v>330 пФ</ns0:v>
      </ns0:c>
      <ns0:c r="E249" t="str" s="14">
        <ns0:v>±20%</ns0:v>
      </ns0:c>
      <ns0:c r="F249" s="14"/>
      <ns0:c r="G249" t="str" s="14">
        <ns0:v>100 В</ns0:v>
      </ns0:c>
      <ns0:c r="H249" t="str" s="14">
        <ns0:v>X7R</ns0:v>
      </ns0:c>
      <ns0:c r="I249" t="str" s="15">
        <ns0:v>0603</ns0:v>
      </ns0:c>
      <ns0:c r="J249" t="str" s="14">
        <ns0:v>YAGEO</ns0:v>
      </ns0:c>
      <ns0:c r="K249" t="str" s="14">
        <ns0:v>CC0603MRX7R0BB331</ns0:v>
      </ns0:c>
      <ns0:c r="L249" t="str" s="11">
        <ns0:f>B249&amp;" "&amp;D249&amp;" "&amp;E249&amp;" "&amp;G249&amp;" "&amp;H249&amp;" "&amp;I249</ns0:f>
        <ns0:v>Конденсатор 330 пФ ±20% 100 В X7R 0603</ns0:v>
      </ns0:c>
      <ns0:c r="M249" t="str" s="13">
        <ns0:v>C</ns0:v>
      </ns0:c>
      <ns0:c r="N249" t="str" s="13">
        <ns0:v>Symbols\MY_LIB_Capacitors.SchLib</ns0:v>
      </ns0:c>
      <ns0:c r="O249" t="str" s="13">
        <ns0:v>CAPC1608X90N</ns0:v>
      </ns0:c>
      <ns0:c r="P249" t="str" s="13">
        <ns0:v>Footprints\PBL - SMD Packages.PcbLib</ns0:v>
      </ns0:c>
      <ns0:c r="Q249" t="str" s="14">
        <ns0:v>YAGEO CC; список 20.10.2026</ns0:v>
      </ns0:c>
      <ns0:c r="R249" t="str" s="11">
        <ns0:f>D249</ns0:f>
        <ns0:v>330 пФ</ns0:v>
      </ns0:c>
      <ns0:c r="S249" t="str" s="11">
        <ns0:f>L249</ns0:f>
        <ns0:v>Конденсатор 330 пФ ±20% 100 В X7R 0603</ns0:v>
      </ns0:c>
      <x:c xmlns:x="http://schemas.openxmlformats.org/spreadsheetml/2006/main" r="T249" t="str" s="11">
        <x:v>C:\Users\Nomatin\Documents\Altium\MY_LIB\MY_LIB\Datasheets\YAGEO_CC_X7R.pdf</x:v>
      </x:c>
      <x:c xmlns:x="http://schemas.openxmlformats.org/spreadsheetml/2006/main" r="U249" t="str" s="11">
        <x:v>Даташит — локальный</x:v>
      </x:c>
      <x:c xmlns:x="http://schemas.openxmlformats.org/spreadsheetml/2006/main" r="V249" t="str" s="11">
        <x:v>C:\Users\Nomatin\Documents\Altium\MY_LIB\MY_LIB\Datasheets\YAGEO_CC_X7R.pdf</x:v>
      </x:c>
      <x:c xmlns:x="http://schemas.openxmlformats.org/spreadsheetml/2006/main" r="W249" t="str" s="11">
        <x:v>Даташит — производитель</x:v>
      </x:c>
      <x:c xmlns:x="http://schemas.openxmlformats.org/spreadsheetml/2006/main" r="X249" t="str" s="11">
        <x:v>https://yageogroup.com/content/datasheet/asset/file/UPY-GPHC_X7R_6_3V-TO-250V</x:v>
      </x:c>
      <x:c xmlns:x="http://schemas.openxmlformats.org/spreadsheetml/2006/main" r="Y249" t="str" s="11">
        <x:v>C:\Users\Nomatin\Documents\Altium\MY_LIB\MY_LIB\Datasheets\YAGEO_CC_X7R.pdf</x:v>
      </x:c>
    </ns0:row>
    <ns0:row r="250" ht="30" customHeight="1">
      <ns0:c r="A250" t="str" s="14">
        <ns0:v>C0251</ns0:v>
      </ns0:c>
      <ns0:c r="B250" t="str" s="14">
        <ns0:v>Конденсатор</ns0:v>
      </ns0:c>
      <ns0:c r="C250" t="str" s="14">
        <ns0:v>470p</ns0:v>
      </ns0:c>
      <ns0:c r="D250" t="str" s="11">
        <ns0:f>SUBSTITUTE(SUBSTITUTE(SUBSTITUTE(SUBSTITUTE(C250,"p"," пФ"),"n"," нФ"),"u"," мкФ"),".",",")</ns0:f>
        <ns0:v>470 пФ</ns0:v>
      </ns0:c>
      <ns0:c r="E250" t="str" s="14">
        <ns0:v>±20%</ns0:v>
      </ns0:c>
      <ns0:c r="F250" s="14"/>
      <ns0:c r="G250" t="str" s="14">
        <ns0:v>100 В</ns0:v>
      </ns0:c>
      <ns0:c r="H250" t="str" s="14">
        <ns0:v>X7R</ns0:v>
      </ns0:c>
      <ns0:c r="I250" t="str" s="15">
        <ns0:v>0603</ns0:v>
      </ns0:c>
      <ns0:c r="J250" t="str" s="14">
        <ns0:v>YAGEO</ns0:v>
      </ns0:c>
      <ns0:c r="K250" t="str" s="14">
        <ns0:v>CC0603MRX7R0BB471</ns0:v>
      </ns0:c>
      <ns0:c r="L250" t="str" s="11">
        <ns0:f>B250&amp;" "&amp;D250&amp;" "&amp;E250&amp;" "&amp;G250&amp;" "&amp;H250&amp;" "&amp;I250</ns0:f>
        <ns0:v>Конденсатор 470 пФ ±20% 100 В X7R 0603</ns0:v>
      </ns0:c>
      <ns0:c r="M250" t="str" s="13">
        <ns0:v>C</ns0:v>
      </ns0:c>
      <ns0:c r="N250" t="str" s="13">
        <ns0:v>Symbols\MY_LIB_Capacitors.SchLib</ns0:v>
      </ns0:c>
      <ns0:c r="O250" t="str" s="13">
        <ns0:v>CAPC1608X90N</ns0:v>
      </ns0:c>
      <ns0:c r="P250" t="str" s="13">
        <ns0:v>Footprints\PBL - SMD Packages.PcbLib</ns0:v>
      </ns0:c>
      <ns0:c r="Q250" t="str" s="14">
        <ns0:v>YAGEO CC; список 20.10.2026</ns0:v>
      </ns0:c>
      <ns0:c r="R250" t="str" s="11">
        <ns0:f>D250</ns0:f>
        <ns0:v>470 пФ</ns0:v>
      </ns0:c>
      <ns0:c r="S250" t="str" s="11">
        <ns0:f>L250</ns0:f>
        <ns0:v>Конденсатор 470 пФ ±20% 100 В X7R 0603</ns0:v>
      </ns0:c>
      <x:c xmlns:x="http://schemas.openxmlformats.org/spreadsheetml/2006/main" r="T250" t="str" s="11">
        <x:v>C:\Users\Nomatin\Documents\Altium\MY_LIB\MY_LIB\Datasheets\YAGEO_CC_X7R.pdf</x:v>
      </x:c>
      <x:c xmlns:x="http://schemas.openxmlformats.org/spreadsheetml/2006/main" r="U250" t="str" s="11">
        <x:v>Даташит — локальный</x:v>
      </x:c>
      <x:c xmlns:x="http://schemas.openxmlformats.org/spreadsheetml/2006/main" r="V250" t="str" s="11">
        <x:v>C:\Users\Nomatin\Documents\Altium\MY_LIB\MY_LIB\Datasheets\YAGEO_CC_X7R.pdf</x:v>
      </x:c>
      <x:c xmlns:x="http://schemas.openxmlformats.org/spreadsheetml/2006/main" r="W250" t="str" s="11">
        <x:v>Даташит — производитель</x:v>
      </x:c>
      <x:c xmlns:x="http://schemas.openxmlformats.org/spreadsheetml/2006/main" r="X250" t="str" s="11">
        <x:v>https://yageogroup.com/content/datasheet/asset/file/UPY-GPHC_X7R_6_3V-TO-250V</x:v>
      </x:c>
      <x:c xmlns:x="http://schemas.openxmlformats.org/spreadsheetml/2006/main" r="Y250" t="str" s="11">
        <x:v>C:\Users\Nomatin\Documents\Altium\MY_LIB\MY_LIB\Datasheets\YAGEO_CC_X7R.pdf</x:v>
      </x:c>
    </ns0:row>
    <ns0:row r="251" ht="30" customHeight="1">
      <ns0:c r="A251" t="str" s="14">
        <ns0:v>C0252</ns0:v>
      </ns0:c>
      <ns0:c r="B251" t="str" s="14">
        <ns0:v>Конденсатор</ns0:v>
      </ns0:c>
      <ns0:c r="C251" t="str" s="14">
        <ns0:v>560p</ns0:v>
      </ns0:c>
      <ns0:c r="D251" t="str" s="11">
        <ns0:f>SUBSTITUTE(SUBSTITUTE(SUBSTITUTE(SUBSTITUTE(C251,"p"," пФ"),"n"," нФ"),"u"," мкФ"),".",",")</ns0:f>
        <ns0:v>560 пФ</ns0:v>
      </ns0:c>
      <ns0:c r="E251" t="str" s="14">
        <ns0:v>±20%</ns0:v>
      </ns0:c>
      <ns0:c r="F251" s="14"/>
      <ns0:c r="G251" t="str" s="14">
        <ns0:v>50 В</ns0:v>
      </ns0:c>
      <ns0:c r="H251" t="str" s="14">
        <ns0:v>X7R</ns0:v>
      </ns0:c>
      <ns0:c r="I251" t="str" s="15">
        <ns0:v>0603</ns0:v>
      </ns0:c>
      <ns0:c r="J251" t="str" s="14">
        <ns0:v>YAGEO</ns0:v>
      </ns0:c>
      <ns0:c r="K251" t="str" s="14">
        <ns0:v>CC0603MRX7R9BB561</ns0:v>
      </ns0:c>
      <ns0:c r="L251" t="str" s="11">
        <ns0:f>B251&amp;" "&amp;D251&amp;" "&amp;E251&amp;" "&amp;G251&amp;" "&amp;H251&amp;" "&amp;I251</ns0:f>
        <ns0:v>Конденсатор 560 пФ ±20% 50 В X7R 0603</ns0:v>
      </ns0:c>
      <ns0:c r="M251" t="str" s="13">
        <ns0:v>C</ns0:v>
      </ns0:c>
      <ns0:c r="N251" t="str" s="13">
        <ns0:v>Symbols\MY_LIB_Capacitors.SchLib</ns0:v>
      </ns0:c>
      <ns0:c r="O251" t="str" s="13">
        <ns0:v>CAPC1608X90N</ns0:v>
      </ns0:c>
      <ns0:c r="P251" t="str" s="13">
        <ns0:v>Footprints\PBL - SMD Packages.PcbLib</ns0:v>
      </ns0:c>
      <ns0:c r="Q251" t="str" s="14">
        <ns0:v>YAGEO CC; список 20.10.2026</ns0:v>
      </ns0:c>
      <ns0:c r="R251" t="str" s="11">
        <ns0:f>D251</ns0:f>
        <ns0:v>560 пФ</ns0:v>
      </ns0:c>
      <ns0:c r="S251" t="str" s="11">
        <ns0:f>L251</ns0:f>
        <ns0:v>Конденсатор 560 пФ ±20% 50 В X7R 0603</ns0:v>
      </ns0:c>
      <x:c xmlns:x="http://schemas.openxmlformats.org/spreadsheetml/2006/main" r="T251" t="str" s="11">
        <x:v>C:\Users\Nomatin\Documents\Altium\MY_LIB\MY_LIB\Datasheets\YAGEO_CC_X7R.pdf</x:v>
      </x:c>
      <x:c xmlns:x="http://schemas.openxmlformats.org/spreadsheetml/2006/main" r="U251" t="str" s="11">
        <x:v>Даташит — локальный</x:v>
      </x:c>
      <x:c xmlns:x="http://schemas.openxmlformats.org/spreadsheetml/2006/main" r="V251" t="str" s="11">
        <x:v>C:\Users\Nomatin\Documents\Altium\MY_LIB\MY_LIB\Datasheets\YAGEO_CC_X7R.pdf</x:v>
      </x:c>
      <x:c xmlns:x="http://schemas.openxmlformats.org/spreadsheetml/2006/main" r="W251" t="str" s="11">
        <x:v>Даташит — производитель</x:v>
      </x:c>
      <x:c xmlns:x="http://schemas.openxmlformats.org/spreadsheetml/2006/main" r="X251" t="str" s="11">
        <x:v>https://yageogroup.com/content/datasheet/asset/file/UPY-GPHC_X7R_6_3V-TO-250V</x:v>
      </x:c>
      <x:c xmlns:x="http://schemas.openxmlformats.org/spreadsheetml/2006/main" r="Y251" t="str" s="11">
        <x:v>C:\Users\Nomatin\Documents\Altium\MY_LIB\MY_LIB\Datasheets\YAGEO_CC_X7R.pdf</x:v>
      </x:c>
    </ns0:row>
    <ns0:row r="252" ht="30" customHeight="1">
      <ns0:c r="A252" t="str" s="14">
        <ns0:v>C0253</ns0:v>
      </ns0:c>
      <ns0:c r="B252" t="str" s="14">
        <ns0:v>Конденсатор</ns0:v>
      </ns0:c>
      <ns0:c r="C252" t="str" s="14">
        <ns0:v>680p</ns0:v>
      </ns0:c>
      <ns0:c r="D252" t="str" s="11">
        <ns0:f>SUBSTITUTE(SUBSTITUTE(SUBSTITUTE(SUBSTITUTE(C252,"p"," пФ"),"n"," нФ"),"u"," мкФ"),".",",")</ns0:f>
        <ns0:v>680 пФ</ns0:v>
      </ns0:c>
      <ns0:c r="E252" t="str" s="14">
        <ns0:v>±20%</ns0:v>
      </ns0:c>
      <ns0:c r="F252" s="14"/>
      <ns0:c r="G252" t="str" s="14">
        <ns0:v>100 В</ns0:v>
      </ns0:c>
      <ns0:c r="H252" t="str" s="14">
        <ns0:v>X7R</ns0:v>
      </ns0:c>
      <ns0:c r="I252" t="str" s="15">
        <ns0:v>0603</ns0:v>
      </ns0:c>
      <ns0:c r="J252" t="str" s="14">
        <ns0:v>YAGEO</ns0:v>
      </ns0:c>
      <ns0:c r="K252" t="str" s="14">
        <ns0:v>CC0603MRX7R0BB681</ns0:v>
      </ns0:c>
      <ns0:c r="L252" t="str" s="11">
        <ns0:f>B252&amp;" "&amp;D252&amp;" "&amp;E252&amp;" "&amp;G252&amp;" "&amp;H252&amp;" "&amp;I252</ns0:f>
        <ns0:v>Конденсатор 680 пФ ±20% 100 В X7R 0603</ns0:v>
      </ns0:c>
      <ns0:c r="M252" t="str" s="13">
        <ns0:v>C</ns0:v>
      </ns0:c>
      <ns0:c r="N252" t="str" s="13">
        <ns0:v>Symbols\MY_LIB_Capacitors.SchLib</ns0:v>
      </ns0:c>
      <ns0:c r="O252" t="str" s="13">
        <ns0:v>CAPC1608X90N</ns0:v>
      </ns0:c>
      <ns0:c r="P252" t="str" s="13">
        <ns0:v>Footprints\PBL - SMD Packages.PcbLib</ns0:v>
      </ns0:c>
      <ns0:c r="Q252" t="str" s="14">
        <ns0:v>YAGEO CC; список 20.10.2026</ns0:v>
      </ns0:c>
      <ns0:c r="R252" t="str" s="11">
        <ns0:f>D252</ns0:f>
        <ns0:v>680 пФ</ns0:v>
      </ns0:c>
      <ns0:c r="S252" t="str" s="11">
        <ns0:f>L252</ns0:f>
        <ns0:v>Конденсатор 680 пФ ±20% 100 В X7R 0603</ns0:v>
      </ns0:c>
      <x:c xmlns:x="http://schemas.openxmlformats.org/spreadsheetml/2006/main" r="T252" t="str" s="11">
        <x:v>C:\Users\Nomatin\Documents\Altium\MY_LIB\MY_LIB\Datasheets\YAGEO_CC_X7R.pdf</x:v>
      </x:c>
      <x:c xmlns:x="http://schemas.openxmlformats.org/spreadsheetml/2006/main" r="U252" t="str" s="11">
        <x:v>Даташит — локальный</x:v>
      </x:c>
      <x:c xmlns:x="http://schemas.openxmlformats.org/spreadsheetml/2006/main" r="V252" t="str" s="11">
        <x:v>C:\Users\Nomatin\Documents\Altium\MY_LIB\MY_LIB\Datasheets\YAGEO_CC_X7R.pdf</x:v>
      </x:c>
      <x:c xmlns:x="http://schemas.openxmlformats.org/spreadsheetml/2006/main" r="W252" t="str" s="11">
        <x:v>Даташит — производитель</x:v>
      </x:c>
      <x:c xmlns:x="http://schemas.openxmlformats.org/spreadsheetml/2006/main" r="X252" t="str" s="11">
        <x:v>https://yageogroup.com/content/datasheet/asset/file/UPY-GPHC_X7R_6_3V-TO-250V</x:v>
      </x:c>
      <x:c xmlns:x="http://schemas.openxmlformats.org/spreadsheetml/2006/main" r="Y252" t="str" s="11">
        <x:v>C:\Users\Nomatin\Documents\Altium\MY_LIB\MY_LIB\Datasheets\YAGEO_CC_X7R.pdf</x:v>
      </x:c>
    </ns0:row>
    <ns0:row r="253" ht="30" customHeight="1">
      <ns0:c r="A253" t="str" s="14">
        <ns0:v>C0254</ns0:v>
      </ns0:c>
      <ns0:c r="B253" t="str" s="14">
        <ns0:v>Конденсатор</ns0:v>
      </ns0:c>
      <ns0:c r="C253" t="str" s="14">
        <ns0:v>820p</ns0:v>
      </ns0:c>
      <ns0:c r="D253" t="str" s="11">
        <ns0:f>SUBSTITUTE(SUBSTITUTE(SUBSTITUTE(SUBSTITUTE(C253,"p"," пФ"),"n"," нФ"),"u"," мкФ"),".",",")</ns0:f>
        <ns0:v>820 пФ</ns0:v>
      </ns0:c>
      <ns0:c r="E253" t="str" s="14">
        <ns0:v>±20%</ns0:v>
      </ns0:c>
      <ns0:c r="F253" s="14"/>
      <ns0:c r="G253" t="str" s="14">
        <ns0:v>50 В</ns0:v>
      </ns0:c>
      <ns0:c r="H253" t="str" s="14">
        <ns0:v>X7R</ns0:v>
      </ns0:c>
      <ns0:c r="I253" t="str" s="15">
        <ns0:v>0603</ns0:v>
      </ns0:c>
      <ns0:c r="J253" t="str" s="14">
        <ns0:v>YAGEO</ns0:v>
      </ns0:c>
      <ns0:c r="K253" t="str" s="14">
        <ns0:v>CC0603MRX7R9BB821</ns0:v>
      </ns0:c>
      <ns0:c r="L253" t="str" s="11">
        <ns0:f>B253&amp;" "&amp;D253&amp;" "&amp;E253&amp;" "&amp;G253&amp;" "&amp;H253&amp;" "&amp;I253</ns0:f>
        <ns0:v>Конденсатор 820 пФ ±20% 50 В X7R 0603</ns0:v>
      </ns0:c>
      <ns0:c r="M253" t="str" s="13">
        <ns0:v>C</ns0:v>
      </ns0:c>
      <ns0:c r="N253" t="str" s="13">
        <ns0:v>Symbols\MY_LIB_Capacitors.SchLib</ns0:v>
      </ns0:c>
      <ns0:c r="O253" t="str" s="13">
        <ns0:v>CAPC1608X90N</ns0:v>
      </ns0:c>
      <ns0:c r="P253" t="str" s="13">
        <ns0:v>Footprints\PBL - SMD Packages.PcbLib</ns0:v>
      </ns0:c>
      <ns0:c r="Q253" t="str" s="14">
        <ns0:v>YAGEO CC; список 20.10.2026</ns0:v>
      </ns0:c>
      <ns0:c r="R253" t="str" s="11">
        <ns0:f>D253</ns0:f>
        <ns0:v>820 пФ</ns0:v>
      </ns0:c>
      <ns0:c r="S253" t="str" s="11">
        <ns0:f>L253</ns0:f>
        <ns0:v>Конденсатор 820 пФ ±20% 50 В X7R 0603</ns0:v>
      </ns0:c>
      <x:c xmlns:x="http://schemas.openxmlformats.org/spreadsheetml/2006/main" r="T253" t="str" s="11">
        <x:v>C:\Users\Nomatin\Documents\Altium\MY_LIB\MY_LIB\Datasheets\YAGEO_CC_X7R.pdf</x:v>
      </x:c>
      <x:c xmlns:x="http://schemas.openxmlformats.org/spreadsheetml/2006/main" r="U253" t="str" s="11">
        <x:v>Даташит — локальный</x:v>
      </x:c>
      <x:c xmlns:x="http://schemas.openxmlformats.org/spreadsheetml/2006/main" r="V253" t="str" s="11">
        <x:v>C:\Users\Nomatin\Documents\Altium\MY_LIB\MY_LIB\Datasheets\YAGEO_CC_X7R.pdf</x:v>
      </x:c>
      <x:c xmlns:x="http://schemas.openxmlformats.org/spreadsheetml/2006/main" r="W253" t="str" s="11">
        <x:v>Даташит — производитель</x:v>
      </x:c>
      <x:c xmlns:x="http://schemas.openxmlformats.org/spreadsheetml/2006/main" r="X253" t="str" s="11">
        <x:v>https://yageogroup.com/content/datasheet/asset/file/UPY-GPHC_X7R_6_3V-TO-250V</x:v>
      </x:c>
      <x:c xmlns:x="http://schemas.openxmlformats.org/spreadsheetml/2006/main" r="Y253" t="str" s="11">
        <x:v>C:\Users\Nomatin\Documents\Altium\MY_LIB\MY_LIB\Datasheets\YAGEO_CC_X7R.pdf</x:v>
      </x:c>
    </ns0:row>
    <ns0:row r="254" ht="30" customHeight="1">
      <ns0:c r="A254" t="str" s="14">
        <ns0:v>C0255</ns0:v>
      </ns0:c>
      <ns0:c r="B254" t="str" s="14">
        <ns0:v>Конденсатор</ns0:v>
      </ns0:c>
      <ns0:c r="C254" t="str" s="14">
        <ns0:v>1n</ns0:v>
      </ns0:c>
      <ns0:c r="D254" t="str" s="11">
        <ns0:f>SUBSTITUTE(SUBSTITUTE(SUBSTITUTE(SUBSTITUTE(C254,"p"," пФ"),"n"," нФ"),"u"," мкФ"),".",",")</ns0:f>
        <ns0:v>1 нФ</ns0:v>
      </ns0:c>
      <ns0:c r="E254" t="str" s="14">
        <ns0:v>±20%</ns0:v>
      </ns0:c>
      <ns0:c r="F254" s="14"/>
      <ns0:c r="G254" t="str" s="14">
        <ns0:v>100 В</ns0:v>
      </ns0:c>
      <ns0:c r="H254" t="str" s="14">
        <ns0:v>X7R</ns0:v>
      </ns0:c>
      <ns0:c r="I254" t="str" s="15">
        <ns0:v>0603</ns0:v>
      </ns0:c>
      <ns0:c r="J254" t="str" s="14">
        <ns0:v>YAGEO</ns0:v>
      </ns0:c>
      <ns0:c r="K254" t="str" s="14">
        <ns0:v>CC0603MRX7R0BB102</ns0:v>
      </ns0:c>
      <ns0:c r="L254" t="str" s="11">
        <ns0:f>B254&amp;" "&amp;D254&amp;" "&amp;E254&amp;" "&amp;G254&amp;" "&amp;H254&amp;" "&amp;I254</ns0:f>
        <ns0:v>Конденсатор 1 нФ ±20% 100 В X7R 0603</ns0:v>
      </ns0:c>
      <ns0:c r="M254" t="str" s="13">
        <ns0:v>C</ns0:v>
      </ns0:c>
      <ns0:c r="N254" t="str" s="13">
        <ns0:v>Symbols\MY_LIB_Capacitors.SchLib</ns0:v>
      </ns0:c>
      <ns0:c r="O254" t="str" s="13">
        <ns0:v>CAPC1608X90N</ns0:v>
      </ns0:c>
      <ns0:c r="P254" t="str" s="13">
        <ns0:v>Footprints\PBL - SMD Packages.PcbLib</ns0:v>
      </ns0:c>
      <ns0:c r="Q254" t="str" s="14">
        <ns0:v>YAGEO CC; список 20.10.2026</ns0:v>
      </ns0:c>
      <ns0:c r="R254" t="str" s="11">
        <ns0:f>D254</ns0:f>
        <ns0:v>1 нФ</ns0:v>
      </ns0:c>
      <ns0:c r="S254" t="str" s="11">
        <ns0:f>L254</ns0:f>
        <ns0:v>Конденсатор 1 нФ ±20% 100 В X7R 0603</ns0:v>
      </ns0:c>
      <x:c xmlns:x="http://schemas.openxmlformats.org/spreadsheetml/2006/main" r="T254" t="str" s="11">
        <x:v>C:\Users\Nomatin\Documents\Altium\MY_LIB\MY_LIB\Datasheets\YAGEO_CC_X7R.pdf</x:v>
      </x:c>
      <x:c xmlns:x="http://schemas.openxmlformats.org/spreadsheetml/2006/main" r="U254" t="str" s="11">
        <x:v>Даташит — локальный</x:v>
      </x:c>
      <x:c xmlns:x="http://schemas.openxmlformats.org/spreadsheetml/2006/main" r="V254" t="str" s="11">
        <x:v>C:\Users\Nomatin\Documents\Altium\MY_LIB\MY_LIB\Datasheets\YAGEO_CC_X7R.pdf</x:v>
      </x:c>
      <x:c xmlns:x="http://schemas.openxmlformats.org/spreadsheetml/2006/main" r="W254" t="str" s="11">
        <x:v>Даташит — производитель</x:v>
      </x:c>
      <x:c xmlns:x="http://schemas.openxmlformats.org/spreadsheetml/2006/main" r="X254" t="str" s="11">
        <x:v>https://yageogroup.com/content/datasheet/asset/file/UPY-GPHC_X7R_6_3V-TO-250V</x:v>
      </x:c>
      <x:c xmlns:x="http://schemas.openxmlformats.org/spreadsheetml/2006/main" r="Y254" t="str" s="11">
        <x:v>C:\Users\Nomatin\Documents\Altium\MY_LIB\MY_LIB\Datasheets\YAGEO_CC_X7R.pdf</x:v>
      </x:c>
    </ns0:row>
    <ns0:row r="255" ht="30" customHeight="1">
      <ns0:c r="A255" t="str" s="14">
        <ns0:v>C0256</ns0:v>
      </ns0:c>
      <ns0:c r="B255" t="str" s="14">
        <ns0:v>Конденсатор</ns0:v>
      </ns0:c>
      <ns0:c r="C255" t="str" s="14">
        <ns0:v>1.5n</ns0:v>
      </ns0:c>
      <ns0:c r="D255" t="str" s="11">
        <ns0:f>SUBSTITUTE(SUBSTITUTE(SUBSTITUTE(SUBSTITUTE(C255,"p"," пФ"),"n"," нФ"),"u"," мкФ"),".",",")</ns0:f>
        <ns0:v>1,5 нФ</ns0:v>
      </ns0:c>
      <ns0:c r="E255" t="str" s="14">
        <ns0:v>±20%</ns0:v>
      </ns0:c>
      <ns0:c r="F255" s="14"/>
      <ns0:c r="G255" t="str" s="14">
        <ns0:v>100 В</ns0:v>
      </ns0:c>
      <ns0:c r="H255" t="str" s="14">
        <ns0:v>X7R</ns0:v>
      </ns0:c>
      <ns0:c r="I255" t="str" s="15">
        <ns0:v>0603</ns0:v>
      </ns0:c>
      <ns0:c r="J255" t="str" s="14">
        <ns0:v>YAGEO</ns0:v>
      </ns0:c>
      <ns0:c r="K255" t="str" s="14">
        <ns0:v>CC0603MRX7R0BB152</ns0:v>
      </ns0:c>
      <ns0:c r="L255" t="str" s="11">
        <ns0:f>B255&amp;" "&amp;D255&amp;" "&amp;E255&amp;" "&amp;G255&amp;" "&amp;H255&amp;" "&amp;I255</ns0:f>
        <ns0:v>Конденсатор 1,5 нФ ±20% 100 В X7R 0603</ns0:v>
      </ns0:c>
      <ns0:c r="M255" t="str" s="13">
        <ns0:v>C</ns0:v>
      </ns0:c>
      <ns0:c r="N255" t="str" s="13">
        <ns0:v>Symbols\MY_LIB_Capacitors.SchLib</ns0:v>
      </ns0:c>
      <ns0:c r="O255" t="str" s="13">
        <ns0:v>CAPC1608X90N</ns0:v>
      </ns0:c>
      <ns0:c r="P255" t="str" s="13">
        <ns0:v>Footprints\PBL - SMD Packages.PcbLib</ns0:v>
      </ns0:c>
      <ns0:c r="Q255" t="str" s="14">
        <ns0:v>YAGEO CC; список 20.10.2026</ns0:v>
      </ns0:c>
      <ns0:c r="R255" t="str" s="11">
        <ns0:f>D255</ns0:f>
        <ns0:v>1,5 нФ</ns0:v>
      </ns0:c>
      <ns0:c r="S255" t="str" s="11">
        <ns0:f>L255</ns0:f>
        <ns0:v>Конденсатор 1,5 нФ ±20% 100 В X7R 0603</ns0:v>
      </ns0:c>
      <x:c xmlns:x="http://schemas.openxmlformats.org/spreadsheetml/2006/main" r="T255" t="str" s="11">
        <x:v>C:\Users\Nomatin\Documents\Altium\MY_LIB\MY_LIB\Datasheets\YAGEO_CC_X7R.pdf</x:v>
      </x:c>
      <x:c xmlns:x="http://schemas.openxmlformats.org/spreadsheetml/2006/main" r="U255" t="str" s="11">
        <x:v>Даташит — локальный</x:v>
      </x:c>
      <x:c xmlns:x="http://schemas.openxmlformats.org/spreadsheetml/2006/main" r="V255" t="str" s="11">
        <x:v>C:\Users\Nomatin\Documents\Altium\MY_LIB\MY_LIB\Datasheets\YAGEO_CC_X7R.pdf</x:v>
      </x:c>
      <x:c xmlns:x="http://schemas.openxmlformats.org/spreadsheetml/2006/main" r="W255" t="str" s="11">
        <x:v>Даташит — производитель</x:v>
      </x:c>
      <x:c xmlns:x="http://schemas.openxmlformats.org/spreadsheetml/2006/main" r="X255" t="str" s="11">
        <x:v>https://yageogroup.com/content/datasheet/asset/file/UPY-GPHC_X7R_6_3V-TO-250V</x:v>
      </x:c>
      <x:c xmlns:x="http://schemas.openxmlformats.org/spreadsheetml/2006/main" r="Y255" t="str" s="11">
        <x:v>C:\Users\Nomatin\Documents\Altium\MY_LIB\MY_LIB\Datasheets\YAGEO_CC_X7R.pdf</x:v>
      </x:c>
    </ns0:row>
    <ns0:row r="256" ht="30" customHeight="1">
      <ns0:c r="A256" t="str" s="14">
        <ns0:v>C0257</ns0:v>
      </ns0:c>
      <ns0:c r="B256" t="str" s="14">
        <ns0:v>Конденсатор</ns0:v>
      </ns0:c>
      <ns0:c r="C256" t="str" s="14">
        <ns0:v>2.2n</ns0:v>
      </ns0:c>
      <ns0:c r="D256" t="str" s="11">
        <ns0:f>SUBSTITUTE(SUBSTITUTE(SUBSTITUTE(SUBSTITUTE(C256,"p"," пФ"),"n"," нФ"),"u"," мкФ"),".",",")</ns0:f>
        <ns0:v>2,2 нФ</ns0:v>
      </ns0:c>
      <ns0:c r="E256" t="str" s="14">
        <ns0:v>±20%</ns0:v>
      </ns0:c>
      <ns0:c r="F256" s="14"/>
      <ns0:c r="G256" t="str" s="14">
        <ns0:v>100 В</ns0:v>
      </ns0:c>
      <ns0:c r="H256" t="str" s="14">
        <ns0:v>X7R</ns0:v>
      </ns0:c>
      <ns0:c r="I256" t="str" s="15">
        <ns0:v>0603</ns0:v>
      </ns0:c>
      <ns0:c r="J256" t="str" s="14">
        <ns0:v>YAGEO</ns0:v>
      </ns0:c>
      <ns0:c r="K256" t="str" s="14">
        <ns0:v>CC0603MRX7R0BB222</ns0:v>
      </ns0:c>
      <ns0:c r="L256" t="str" s="11">
        <ns0:f>B256&amp;" "&amp;D256&amp;" "&amp;E256&amp;" "&amp;G256&amp;" "&amp;H256&amp;" "&amp;I256</ns0:f>
        <ns0:v>Конденсатор 2,2 нФ ±20% 100 В X7R 0603</ns0:v>
      </ns0:c>
      <ns0:c r="M256" t="str" s="13">
        <ns0:v>C</ns0:v>
      </ns0:c>
      <ns0:c r="N256" t="str" s="13">
        <ns0:v>Symbols\MY_LIB_Capacitors.SchLib</ns0:v>
      </ns0:c>
      <ns0:c r="O256" t="str" s="13">
        <ns0:v>CAPC1608X90N</ns0:v>
      </ns0:c>
      <ns0:c r="P256" t="str" s="13">
        <ns0:v>Footprints\PBL - SMD Packages.PcbLib</ns0:v>
      </ns0:c>
      <ns0:c r="Q256" t="str" s="14">
        <ns0:v>YAGEO CC; список 20.10.2026</ns0:v>
      </ns0:c>
      <ns0:c r="R256" t="str" s="11">
        <ns0:f>D256</ns0:f>
        <ns0:v>2,2 нФ</ns0:v>
      </ns0:c>
      <ns0:c r="S256" t="str" s="11">
        <ns0:f>L256</ns0:f>
        <ns0:v>Конденсатор 2,2 нФ ±20% 100 В X7R 0603</ns0:v>
      </ns0:c>
      <x:c xmlns:x="http://schemas.openxmlformats.org/spreadsheetml/2006/main" r="T256" t="str" s="11">
        <x:v>C:\Users\Nomatin\Documents\Altium\MY_LIB\MY_LIB\Datasheets\YAGEO_CC_X7R.pdf</x:v>
      </x:c>
      <x:c xmlns:x="http://schemas.openxmlformats.org/spreadsheetml/2006/main" r="U256" t="str" s="11">
        <x:v>Даташит — локальный</x:v>
      </x:c>
      <x:c xmlns:x="http://schemas.openxmlformats.org/spreadsheetml/2006/main" r="V256" t="str" s="11">
        <x:v>C:\Users\Nomatin\Documents\Altium\MY_LIB\MY_LIB\Datasheets\YAGEO_CC_X7R.pdf</x:v>
      </x:c>
      <x:c xmlns:x="http://schemas.openxmlformats.org/spreadsheetml/2006/main" r="W256" t="str" s="11">
        <x:v>Даташит — производитель</x:v>
      </x:c>
      <x:c xmlns:x="http://schemas.openxmlformats.org/spreadsheetml/2006/main" r="X256" t="str" s="11">
        <x:v>https://yageogroup.com/content/datasheet/asset/file/UPY-GPHC_X7R_6_3V-TO-250V</x:v>
      </x:c>
      <x:c xmlns:x="http://schemas.openxmlformats.org/spreadsheetml/2006/main" r="Y256" t="str" s="11">
        <x:v>C:\Users\Nomatin\Documents\Altium\MY_LIB\MY_LIB\Datasheets\YAGEO_CC_X7R.pdf</x:v>
      </x:c>
    </ns0:row>
    <ns0:row r="257" ht="30" customHeight="1">
      <ns0:c r="A257" t="str" s="14">
        <ns0:v>C0258</ns0:v>
      </ns0:c>
      <ns0:c r="B257" t="str" s="14">
        <ns0:v>Конденсатор</ns0:v>
      </ns0:c>
      <ns0:c r="C257" t="str" s="14">
        <ns0:v>2.7n</ns0:v>
      </ns0:c>
      <ns0:c r="D257" t="str" s="11">
        <ns0:f>SUBSTITUTE(SUBSTITUTE(SUBSTITUTE(SUBSTITUTE(C257,"p"," пФ"),"n"," нФ"),"u"," мкФ"),".",",")</ns0:f>
        <ns0:v>2,7 нФ</ns0:v>
      </ns0:c>
      <ns0:c r="E257" t="str" s="14">
        <ns0:v>±20%</ns0:v>
      </ns0:c>
      <ns0:c r="F257" s="14"/>
      <ns0:c r="G257" t="str" s="14">
        <ns0:v>50 В</ns0:v>
      </ns0:c>
      <ns0:c r="H257" t="str" s="14">
        <ns0:v>X7R</ns0:v>
      </ns0:c>
      <ns0:c r="I257" t="str" s="15">
        <ns0:v>0603</ns0:v>
      </ns0:c>
      <ns0:c r="J257" t="str" s="14">
        <ns0:v>YAGEO</ns0:v>
      </ns0:c>
      <ns0:c r="K257" t="str" s="14">
        <ns0:v>CC0603MRX7R9BB272</ns0:v>
      </ns0:c>
      <ns0:c r="L257" t="str" s="11">
        <ns0:f>B257&amp;" "&amp;D257&amp;" "&amp;E257&amp;" "&amp;G257&amp;" "&amp;H257&amp;" "&amp;I257</ns0:f>
        <ns0:v>Конденсатор 2,7 нФ ±20% 50 В X7R 0603</ns0:v>
      </ns0:c>
      <ns0:c r="M257" t="str" s="13">
        <ns0:v>C</ns0:v>
      </ns0:c>
      <ns0:c r="N257" t="str" s="13">
        <ns0:v>Symbols\MY_LIB_Capacitors.SchLib</ns0:v>
      </ns0:c>
      <ns0:c r="O257" t="str" s="13">
        <ns0:v>CAPC1608X90N</ns0:v>
      </ns0:c>
      <ns0:c r="P257" t="str" s="13">
        <ns0:v>Footprints\PBL - SMD Packages.PcbLib</ns0:v>
      </ns0:c>
      <ns0:c r="Q257" t="str" s="14">
        <ns0:v>YAGEO CC; список 20.10.2026</ns0:v>
      </ns0:c>
      <ns0:c r="R257" t="str" s="11">
        <ns0:f>D257</ns0:f>
        <ns0:v>2,7 нФ</ns0:v>
      </ns0:c>
      <ns0:c r="S257" t="str" s="11">
        <ns0:f>L257</ns0:f>
        <ns0:v>Конденсатор 2,7 нФ ±20% 50 В X7R 0603</ns0:v>
      </ns0:c>
      <x:c xmlns:x="http://schemas.openxmlformats.org/spreadsheetml/2006/main" r="T257" t="str" s="11">
        <x:v>C:\Users\Nomatin\Documents\Altium\MY_LIB\MY_LIB\Datasheets\YAGEO_CC_X7R.pdf</x:v>
      </x:c>
      <x:c xmlns:x="http://schemas.openxmlformats.org/spreadsheetml/2006/main" r="U257" t="str" s="11">
        <x:v>Даташит — локальный</x:v>
      </x:c>
      <x:c xmlns:x="http://schemas.openxmlformats.org/spreadsheetml/2006/main" r="V257" t="str" s="11">
        <x:v>C:\Users\Nomatin\Documents\Altium\MY_LIB\MY_LIB\Datasheets\YAGEO_CC_X7R.pdf</x:v>
      </x:c>
      <x:c xmlns:x="http://schemas.openxmlformats.org/spreadsheetml/2006/main" r="W257" t="str" s="11">
        <x:v>Даташит — производитель</x:v>
      </x:c>
      <x:c xmlns:x="http://schemas.openxmlformats.org/spreadsheetml/2006/main" r="X257" t="str" s="11">
        <x:v>https://yageogroup.com/content/datasheet/asset/file/UPY-GPHC_X7R_6_3V-TO-250V</x:v>
      </x:c>
      <x:c xmlns:x="http://schemas.openxmlformats.org/spreadsheetml/2006/main" r="Y257" t="str" s="11">
        <x:v>C:\Users\Nomatin\Documents\Altium\MY_LIB\MY_LIB\Datasheets\YAGEO_CC_X7R.pdf</x:v>
      </x:c>
    </ns0:row>
    <ns0:row r="258" ht="30" customHeight="1">
      <ns0:c r="A258" t="str" s="14">
        <ns0:v>C0259</ns0:v>
      </ns0:c>
      <ns0:c r="B258" t="str" s="14">
        <ns0:v>Конденсатор</ns0:v>
      </ns0:c>
      <ns0:c r="C258" t="str" s="14">
        <ns0:v>3.3n</ns0:v>
      </ns0:c>
      <ns0:c r="D258" t="str" s="11">
        <ns0:f>SUBSTITUTE(SUBSTITUTE(SUBSTITUTE(SUBSTITUTE(C258,"p"," пФ"),"n"," нФ"),"u"," мкФ"),".",",")</ns0:f>
        <ns0:v>3,3 нФ</ns0:v>
      </ns0:c>
      <ns0:c r="E258" t="str" s="14">
        <ns0:v>±20%</ns0:v>
      </ns0:c>
      <ns0:c r="F258" s="14"/>
      <ns0:c r="G258" t="str" s="14">
        <ns0:v>100 В</ns0:v>
      </ns0:c>
      <ns0:c r="H258" t="str" s="14">
        <ns0:v>X7R</ns0:v>
      </ns0:c>
      <ns0:c r="I258" t="str" s="15">
        <ns0:v>0603</ns0:v>
      </ns0:c>
      <ns0:c r="J258" t="str" s="14">
        <ns0:v>YAGEO</ns0:v>
      </ns0:c>
      <ns0:c r="K258" t="str" s="14">
        <ns0:v>CC0603MRX7R0BB332</ns0:v>
      </ns0:c>
      <ns0:c r="L258" t="str" s="11">
        <ns0:f>B258&amp;" "&amp;D258&amp;" "&amp;E258&amp;" "&amp;G258&amp;" "&amp;H258&amp;" "&amp;I258</ns0:f>
        <ns0:v>Конденсатор 3,3 нФ ±20% 100 В X7R 0603</ns0:v>
      </ns0:c>
      <ns0:c r="M258" t="str" s="13">
        <ns0:v>C</ns0:v>
      </ns0:c>
      <ns0:c r="N258" t="str" s="13">
        <ns0:v>Symbols\MY_LIB_Capacitors.SchLib</ns0:v>
      </ns0:c>
      <ns0:c r="O258" t="str" s="13">
        <ns0:v>CAPC1608X90N</ns0:v>
      </ns0:c>
      <ns0:c r="P258" t="str" s="13">
        <ns0:v>Footprints\PBL - SMD Packages.PcbLib</ns0:v>
      </ns0:c>
      <ns0:c r="Q258" t="str" s="14">
        <ns0:v>YAGEO CC; список 20.10.2026</ns0:v>
      </ns0:c>
      <ns0:c r="R258" t="str" s="11">
        <ns0:f>D258</ns0:f>
        <ns0:v>3,3 нФ</ns0:v>
      </ns0:c>
      <ns0:c r="S258" t="str" s="11">
        <ns0:f>L258</ns0:f>
        <ns0:v>Конденсатор 3,3 нФ ±20% 100 В X7R 0603</ns0:v>
      </ns0:c>
      <x:c xmlns:x="http://schemas.openxmlformats.org/spreadsheetml/2006/main" r="T258" t="str" s="11">
        <x:v>C:\Users\Nomatin\Documents\Altium\MY_LIB\MY_LIB\Datasheets\YAGEO_CC_X7R.pdf</x:v>
      </x:c>
      <x:c xmlns:x="http://schemas.openxmlformats.org/spreadsheetml/2006/main" r="U258" t="str" s="11">
        <x:v>Даташит — локальный</x:v>
      </x:c>
      <x:c xmlns:x="http://schemas.openxmlformats.org/spreadsheetml/2006/main" r="V258" t="str" s="11">
        <x:v>C:\Users\Nomatin\Documents\Altium\MY_LIB\MY_LIB\Datasheets\YAGEO_CC_X7R.pdf</x:v>
      </x:c>
      <x:c xmlns:x="http://schemas.openxmlformats.org/spreadsheetml/2006/main" r="W258" t="str" s="11">
        <x:v>Даташит — производитель</x:v>
      </x:c>
      <x:c xmlns:x="http://schemas.openxmlformats.org/spreadsheetml/2006/main" r="X258" t="str" s="11">
        <x:v>https://yageogroup.com/content/datasheet/asset/file/UPY-GPHC_X7R_6_3V-TO-250V</x:v>
      </x:c>
      <x:c xmlns:x="http://schemas.openxmlformats.org/spreadsheetml/2006/main" r="Y258" t="str" s="11">
        <x:v>C:\Users\Nomatin\Documents\Altium\MY_LIB\MY_LIB\Datasheets\YAGEO_CC_X7R.pdf</x:v>
      </x:c>
    </ns0:row>
    <ns0:row r="259" ht="30" customHeight="1">
      <ns0:c r="A259" t="str" s="14">
        <ns0:v>C0260</ns0:v>
      </ns0:c>
      <ns0:c r="B259" t="str" s="14">
        <ns0:v>Конденсатор</ns0:v>
      </ns0:c>
      <ns0:c r="C259" t="str" s="14">
        <ns0:v>3.9n</ns0:v>
      </ns0:c>
      <ns0:c r="D259" t="str" s="11">
        <ns0:f>SUBSTITUTE(SUBSTITUTE(SUBSTITUTE(SUBSTITUTE(C259,"p"," пФ"),"n"," нФ"),"u"," мкФ"),".",",")</ns0:f>
        <ns0:v>3,9 нФ</ns0:v>
      </ns0:c>
      <ns0:c r="E259" t="str" s="14">
        <ns0:v>±20%</ns0:v>
      </ns0:c>
      <ns0:c r="F259" s="14"/>
      <ns0:c r="G259" t="str" s="14">
        <ns0:v>25 В</ns0:v>
      </ns0:c>
      <ns0:c r="H259" t="str" s="14">
        <ns0:v>X7R</ns0:v>
      </ns0:c>
      <ns0:c r="I259" t="str" s="15">
        <ns0:v>0603</ns0:v>
      </ns0:c>
      <ns0:c r="J259" t="str" s="14">
        <ns0:v>YAGEO</ns0:v>
      </ns0:c>
      <ns0:c r="K259" t="str" s="14">
        <ns0:v>CC0603MRX7R8BB392</ns0:v>
      </ns0:c>
      <ns0:c r="L259" t="str" s="11">
        <ns0:f>B259&amp;" "&amp;D259&amp;" "&amp;E259&amp;" "&amp;G259&amp;" "&amp;H259&amp;" "&amp;I259</ns0:f>
        <ns0:v>Конденсатор 3,9 нФ ±20% 25 В X7R 0603</ns0:v>
      </ns0:c>
      <ns0:c r="M259" t="str" s="13">
        <ns0:v>C</ns0:v>
      </ns0:c>
      <ns0:c r="N259" t="str" s="13">
        <ns0:v>Symbols\MY_LIB_Capacitors.SchLib</ns0:v>
      </ns0:c>
      <ns0:c r="O259" t="str" s="13">
        <ns0:v>CAPC1608X90N</ns0:v>
      </ns0:c>
      <ns0:c r="P259" t="str" s="13">
        <ns0:v>Footprints\PBL - SMD Packages.PcbLib</ns0:v>
      </ns0:c>
      <ns0:c r="Q259" t="str" s="14">
        <ns0:v>YAGEO CC; список 20.10.2026</ns0:v>
      </ns0:c>
      <ns0:c r="R259" t="str" s="11">
        <ns0:f>D259</ns0:f>
        <ns0:v>3,9 нФ</ns0:v>
      </ns0:c>
      <ns0:c r="S259" t="str" s="11">
        <ns0:f>L259</ns0:f>
        <ns0:v>Конденсатор 3,9 нФ ±20% 25 В X7R 0603</ns0:v>
      </ns0:c>
      <x:c xmlns:x="http://schemas.openxmlformats.org/spreadsheetml/2006/main" r="T259" t="str" s="11">
        <x:v>C:\Users\Nomatin\Documents\Altium\MY_LIB\MY_LIB\Datasheets\YAGEO_CC_X7R.pdf</x:v>
      </x:c>
      <x:c xmlns:x="http://schemas.openxmlformats.org/spreadsheetml/2006/main" r="U259" t="str" s="11">
        <x:v>Даташит — локальный</x:v>
      </x:c>
      <x:c xmlns:x="http://schemas.openxmlformats.org/spreadsheetml/2006/main" r="V259" t="str" s="11">
        <x:v>C:\Users\Nomatin\Documents\Altium\MY_LIB\MY_LIB\Datasheets\YAGEO_CC_X7R.pdf</x:v>
      </x:c>
      <x:c xmlns:x="http://schemas.openxmlformats.org/spreadsheetml/2006/main" r="W259" t="str" s="11">
        <x:v>Даташит — производитель</x:v>
      </x:c>
      <x:c xmlns:x="http://schemas.openxmlformats.org/spreadsheetml/2006/main" r="X259" t="str" s="11">
        <x:v>https://yageogroup.com/content/datasheet/asset/file/UPY-GPHC_X7R_6_3V-TO-250V</x:v>
      </x:c>
      <x:c xmlns:x="http://schemas.openxmlformats.org/spreadsheetml/2006/main" r="Y259" t="str" s="11">
        <x:v>C:\Users\Nomatin\Documents\Altium\MY_LIB\MY_LIB\Datasheets\YAGEO_CC_X7R.pdf</x:v>
      </x:c>
    </ns0:row>
    <ns0:row r="260" ht="30" customHeight="1">
      <ns0:c r="A260" t="str" s="14">
        <ns0:v>C0261</ns0:v>
      </ns0:c>
      <ns0:c r="B260" t="str" s="14">
        <ns0:v>Конденсатор</ns0:v>
      </ns0:c>
      <ns0:c r="C260" t="str" s="14">
        <ns0:v>4.7n</ns0:v>
      </ns0:c>
      <ns0:c r="D260" t="str" s="11">
        <ns0:f>SUBSTITUTE(SUBSTITUTE(SUBSTITUTE(SUBSTITUTE(C260,"p"," пФ"),"n"," нФ"),"u"," мкФ"),".",",")</ns0:f>
        <ns0:v>4,7 нФ</ns0:v>
      </ns0:c>
      <ns0:c r="E260" t="str" s="14">
        <ns0:v>±20%</ns0:v>
      </ns0:c>
      <ns0:c r="F260" s="14"/>
      <ns0:c r="G260" t="str" s="14">
        <ns0:v>100 В</ns0:v>
      </ns0:c>
      <ns0:c r="H260" t="str" s="14">
        <ns0:v>X7R</ns0:v>
      </ns0:c>
      <ns0:c r="I260" t="str" s="15">
        <ns0:v>0603</ns0:v>
      </ns0:c>
      <ns0:c r="J260" t="str" s="14">
        <ns0:v>YAGEO</ns0:v>
      </ns0:c>
      <ns0:c r="K260" t="str" s="14">
        <ns0:v>CC0603MRX7R0BB472</ns0:v>
      </ns0:c>
      <ns0:c r="L260" t="str" s="11">
        <ns0:f>B260&amp;" "&amp;D260&amp;" "&amp;E260&amp;" "&amp;G260&amp;" "&amp;H260&amp;" "&amp;I260</ns0:f>
        <ns0:v>Конденсатор 4,7 нФ ±20% 100 В X7R 0603</ns0:v>
      </ns0:c>
      <ns0:c r="M260" t="str" s="13">
        <ns0:v>C</ns0:v>
      </ns0:c>
      <ns0:c r="N260" t="str" s="13">
        <ns0:v>Symbols\MY_LIB_Capacitors.SchLib</ns0:v>
      </ns0:c>
      <ns0:c r="O260" t="str" s="13">
        <ns0:v>CAPC1608X90N</ns0:v>
      </ns0:c>
      <ns0:c r="P260" t="str" s="13">
        <ns0:v>Footprints\PBL - SMD Packages.PcbLib</ns0:v>
      </ns0:c>
      <ns0:c r="Q260" t="str" s="14">
        <ns0:v>YAGEO CC; список 20.10.2026</ns0:v>
      </ns0:c>
      <ns0:c r="R260" t="str" s="11">
        <ns0:f>D260</ns0:f>
        <ns0:v>4,7 нФ</ns0:v>
      </ns0:c>
      <ns0:c r="S260" t="str" s="11">
        <ns0:f>L260</ns0:f>
        <ns0:v>Конденсатор 4,7 нФ ±20% 100 В X7R 0603</ns0:v>
      </ns0:c>
      <x:c xmlns:x="http://schemas.openxmlformats.org/spreadsheetml/2006/main" r="T260" t="str" s="11">
        <x:v>C:\Users\Nomatin\Documents\Altium\MY_LIB\MY_LIB\Datasheets\YAGEO_CC_X7R.pdf</x:v>
      </x:c>
      <x:c xmlns:x="http://schemas.openxmlformats.org/spreadsheetml/2006/main" r="U260" t="str" s="11">
        <x:v>Даташит — локальный</x:v>
      </x:c>
      <x:c xmlns:x="http://schemas.openxmlformats.org/spreadsheetml/2006/main" r="V260" t="str" s="11">
        <x:v>C:\Users\Nomatin\Documents\Altium\MY_LIB\MY_LIB\Datasheets\YAGEO_CC_X7R.pdf</x:v>
      </x:c>
      <x:c xmlns:x="http://schemas.openxmlformats.org/spreadsheetml/2006/main" r="W260" t="str" s="11">
        <x:v>Даташит — производитель</x:v>
      </x:c>
      <x:c xmlns:x="http://schemas.openxmlformats.org/spreadsheetml/2006/main" r="X260" t="str" s="11">
        <x:v>https://yageogroup.com/content/datasheet/asset/file/UPY-GPHC_X7R_6_3V-TO-250V</x:v>
      </x:c>
      <x:c xmlns:x="http://schemas.openxmlformats.org/spreadsheetml/2006/main" r="Y260" t="str" s="11">
        <x:v>C:\Users\Nomatin\Documents\Altium\MY_LIB\MY_LIB\Datasheets\YAGEO_CC_X7R.pdf</x:v>
      </x:c>
    </ns0:row>
    <ns0:row r="261" ht="30" customHeight="1">
      <ns0:c r="A261" t="str" s="14">
        <ns0:v>C0262</ns0:v>
      </ns0:c>
      <ns0:c r="B261" t="str" s="14">
        <ns0:v>Конденсатор</ns0:v>
      </ns0:c>
      <ns0:c r="C261" t="str" s="14">
        <ns0:v>5.6n</ns0:v>
      </ns0:c>
      <ns0:c r="D261" t="str" s="11">
        <ns0:f>SUBSTITUTE(SUBSTITUTE(SUBSTITUTE(SUBSTITUTE(C261,"p"," пФ"),"n"," нФ"),"u"," мкФ"),".",",")</ns0:f>
        <ns0:v>5,6 нФ</ns0:v>
      </ns0:c>
      <ns0:c r="E261" t="str" s="14">
        <ns0:v>±20%</ns0:v>
      </ns0:c>
      <ns0:c r="F261" s="14"/>
      <ns0:c r="G261" t="str" s="14">
        <ns0:v>50 В</ns0:v>
      </ns0:c>
      <ns0:c r="H261" t="str" s="14">
        <ns0:v>X7R</ns0:v>
      </ns0:c>
      <ns0:c r="I261" t="str" s="15">
        <ns0:v>0603</ns0:v>
      </ns0:c>
      <ns0:c r="J261" t="str" s="14">
        <ns0:v>YAGEO</ns0:v>
      </ns0:c>
      <ns0:c r="K261" t="str" s="14">
        <ns0:v>CC0603MRX7R9BB562</ns0:v>
      </ns0:c>
      <ns0:c r="L261" t="str" s="11">
        <ns0:f>B261&amp;" "&amp;D261&amp;" "&amp;E261&amp;" "&amp;G261&amp;" "&amp;H261&amp;" "&amp;I261</ns0:f>
        <ns0:v>Конденсатор 5,6 нФ ±20% 50 В X7R 0603</ns0:v>
      </ns0:c>
      <ns0:c r="M261" t="str" s="13">
        <ns0:v>C</ns0:v>
      </ns0:c>
      <ns0:c r="N261" t="str" s="13">
        <ns0:v>Symbols\MY_LIB_Capacitors.SchLib</ns0:v>
      </ns0:c>
      <ns0:c r="O261" t="str" s="13">
        <ns0:v>CAPC1608X90N</ns0:v>
      </ns0:c>
      <ns0:c r="P261" t="str" s="13">
        <ns0:v>Footprints\PBL - SMD Packages.PcbLib</ns0:v>
      </ns0:c>
      <ns0:c r="Q261" t="str" s="14">
        <ns0:v>YAGEO CC; список 20.10.2026</ns0:v>
      </ns0:c>
      <ns0:c r="R261" t="str" s="11">
        <ns0:f>D261</ns0:f>
        <ns0:v>5,6 нФ</ns0:v>
      </ns0:c>
      <ns0:c r="S261" t="str" s="11">
        <ns0:f>L261</ns0:f>
        <ns0:v>Конденсатор 5,6 нФ ±20% 50 В X7R 0603</ns0:v>
      </ns0:c>
      <x:c xmlns:x="http://schemas.openxmlformats.org/spreadsheetml/2006/main" r="T261" t="str" s="11">
        <x:v>C:\Users\Nomatin\Documents\Altium\MY_LIB\MY_LIB\Datasheets\YAGEO_CC_X7R.pdf</x:v>
      </x:c>
      <x:c xmlns:x="http://schemas.openxmlformats.org/spreadsheetml/2006/main" r="U261" t="str" s="11">
        <x:v>Даташит — локальный</x:v>
      </x:c>
      <x:c xmlns:x="http://schemas.openxmlformats.org/spreadsheetml/2006/main" r="V261" t="str" s="11">
        <x:v>C:\Users\Nomatin\Documents\Altium\MY_LIB\MY_LIB\Datasheets\YAGEO_CC_X7R.pdf</x:v>
      </x:c>
      <x:c xmlns:x="http://schemas.openxmlformats.org/spreadsheetml/2006/main" r="W261" t="str" s="11">
        <x:v>Даташит — производитель</x:v>
      </x:c>
      <x:c xmlns:x="http://schemas.openxmlformats.org/spreadsheetml/2006/main" r="X261" t="str" s="11">
        <x:v>https://yageogroup.com/content/datasheet/asset/file/UPY-GPHC_X7R_6_3V-TO-250V</x:v>
      </x:c>
      <x:c xmlns:x="http://schemas.openxmlformats.org/spreadsheetml/2006/main" r="Y261" t="str" s="11">
        <x:v>C:\Users\Nomatin\Documents\Altium\MY_LIB\MY_LIB\Datasheets\YAGEO_CC_X7R.pdf</x:v>
      </x:c>
    </ns0:row>
    <ns0:row r="262" ht="30" customHeight="1">
      <ns0:c r="A262" t="str" s="14">
        <ns0:v>C0263</ns0:v>
      </ns0:c>
      <ns0:c r="B262" t="str" s="14">
        <ns0:v>Конденсатор</ns0:v>
      </ns0:c>
      <ns0:c r="C262" t="str" s="14">
        <ns0:v>6.8n</ns0:v>
      </ns0:c>
      <ns0:c r="D262" t="str" s="11">
        <ns0:f>SUBSTITUTE(SUBSTITUTE(SUBSTITUTE(SUBSTITUTE(C262,"p"," пФ"),"n"," нФ"),"u"," мкФ"),".",",")</ns0:f>
        <ns0:v>6,8 нФ</ns0:v>
      </ns0:c>
      <ns0:c r="E262" t="str" s="14">
        <ns0:v>±20%</ns0:v>
      </ns0:c>
      <ns0:c r="F262" s="14"/>
      <ns0:c r="G262" t="str" s="14">
        <ns0:v>100 В</ns0:v>
      </ns0:c>
      <ns0:c r="H262" t="str" s="14">
        <ns0:v>X7R</ns0:v>
      </ns0:c>
      <ns0:c r="I262" t="str" s="15">
        <ns0:v>0603</ns0:v>
      </ns0:c>
      <ns0:c r="J262" t="str" s="14">
        <ns0:v>YAGEO</ns0:v>
      </ns0:c>
      <ns0:c r="K262" t="str" s="14">
        <ns0:v>CC0603MRX7R0BB682</ns0:v>
      </ns0:c>
      <ns0:c r="L262" t="str" s="11">
        <ns0:f>B262&amp;" "&amp;D262&amp;" "&amp;E262&amp;" "&amp;G262&amp;" "&amp;H262&amp;" "&amp;I262</ns0:f>
        <ns0:v>Конденсатор 6,8 нФ ±20% 100 В X7R 0603</ns0:v>
      </ns0:c>
      <ns0:c r="M262" t="str" s="13">
        <ns0:v>C</ns0:v>
      </ns0:c>
      <ns0:c r="N262" t="str" s="13">
        <ns0:v>Symbols\MY_LIB_Capacitors.SchLib</ns0:v>
      </ns0:c>
      <ns0:c r="O262" t="str" s="13">
        <ns0:v>CAPC1608X90N</ns0:v>
      </ns0:c>
      <ns0:c r="P262" t="str" s="13">
        <ns0:v>Footprints\PBL - SMD Packages.PcbLib</ns0:v>
      </ns0:c>
      <ns0:c r="Q262" t="str" s="14">
        <ns0:v>YAGEO CC; список 20.10.2026</ns0:v>
      </ns0:c>
      <ns0:c r="R262" t="str" s="11">
        <ns0:f>D262</ns0:f>
        <ns0:v>6,8 нФ</ns0:v>
      </ns0:c>
      <ns0:c r="S262" t="str" s="11">
        <ns0:f>L262</ns0:f>
        <ns0:v>Конденсатор 6,8 нФ ±20% 100 В X7R 0603</ns0:v>
      </ns0:c>
      <x:c xmlns:x="http://schemas.openxmlformats.org/spreadsheetml/2006/main" r="T262" t="str" s="11">
        <x:v>C:\Users\Nomatin\Documents\Altium\MY_LIB\MY_LIB\Datasheets\YAGEO_CC_X7R.pdf</x:v>
      </x:c>
      <x:c xmlns:x="http://schemas.openxmlformats.org/spreadsheetml/2006/main" r="U262" t="str" s="11">
        <x:v>Даташит — локальный</x:v>
      </x:c>
      <x:c xmlns:x="http://schemas.openxmlformats.org/spreadsheetml/2006/main" r="V262" t="str" s="11">
        <x:v>C:\Users\Nomatin\Documents\Altium\MY_LIB\MY_LIB\Datasheets\YAGEO_CC_X7R.pdf</x:v>
      </x:c>
      <x:c xmlns:x="http://schemas.openxmlformats.org/spreadsheetml/2006/main" r="W262" t="str" s="11">
        <x:v>Даташит — производитель</x:v>
      </x:c>
      <x:c xmlns:x="http://schemas.openxmlformats.org/spreadsheetml/2006/main" r="X262" t="str" s="11">
        <x:v>https://yageogroup.com/content/datasheet/asset/file/UPY-GPHC_X7R_6_3V-TO-250V</x:v>
      </x:c>
      <x:c xmlns:x="http://schemas.openxmlformats.org/spreadsheetml/2006/main" r="Y262" t="str" s="11">
        <x:v>C:\Users\Nomatin\Documents\Altium\MY_LIB\MY_LIB\Datasheets\YAGEO_CC_X7R.pdf</x:v>
      </x:c>
    </ns0:row>
    <ns0:row r="263" ht="30" customHeight="1">
      <ns0:c r="A263" t="str" s="14">
        <ns0:v>C0264</ns0:v>
      </ns0:c>
      <ns0:c r="B263" t="str" s="14">
        <ns0:v>Конденсатор</ns0:v>
      </ns0:c>
      <ns0:c r="C263" t="str" s="14">
        <ns0:v>10n</ns0:v>
      </ns0:c>
      <ns0:c r="D263" t="str" s="11">
        <ns0:f>SUBSTITUTE(SUBSTITUTE(SUBSTITUTE(SUBSTITUTE(C263,"p"," пФ"),"n"," нФ"),"u"," мкФ"),".",",")</ns0:f>
        <ns0:v>10 нФ</ns0:v>
      </ns0:c>
      <ns0:c r="E263" t="str" s="14">
        <ns0:v>±20%</ns0:v>
      </ns0:c>
      <ns0:c r="F263" s="14"/>
      <ns0:c r="G263" t="str" s="14">
        <ns0:v>100 В</ns0:v>
      </ns0:c>
      <ns0:c r="H263" t="str" s="14">
        <ns0:v>X7R</ns0:v>
      </ns0:c>
      <ns0:c r="I263" t="str" s="15">
        <ns0:v>0603</ns0:v>
      </ns0:c>
      <ns0:c r="J263" t="str" s="14">
        <ns0:v>YAGEO</ns0:v>
      </ns0:c>
      <ns0:c r="K263" t="str" s="14">
        <ns0:v>CC0603MRX7R0BB103</ns0:v>
      </ns0:c>
      <ns0:c r="L263" t="str" s="11">
        <ns0:f>B263&amp;" "&amp;D263&amp;" "&amp;E263&amp;" "&amp;G263&amp;" "&amp;H263&amp;" "&amp;I263</ns0:f>
        <ns0:v>Конденсатор 10 нФ ±20% 100 В X7R 0603</ns0:v>
      </ns0:c>
      <ns0:c r="M263" t="str" s="13">
        <ns0:v>C</ns0:v>
      </ns0:c>
      <ns0:c r="N263" t="str" s="13">
        <ns0:v>Symbols\MY_LIB_Capacitors.SchLib</ns0:v>
      </ns0:c>
      <ns0:c r="O263" t="str" s="13">
        <ns0:v>CAPC1608X90N</ns0:v>
      </ns0:c>
      <ns0:c r="P263" t="str" s="13">
        <ns0:v>Footprints\PBL - SMD Packages.PcbLib</ns0:v>
      </ns0:c>
      <ns0:c r="Q263" t="str" s="14">
        <ns0:v>YAGEO CC; список 20.10.2026</ns0:v>
      </ns0:c>
      <ns0:c r="R263" t="str" s="11">
        <ns0:f>D263</ns0:f>
        <ns0:v>10 нФ</ns0:v>
      </ns0:c>
      <ns0:c r="S263" t="str" s="11">
        <ns0:f>L263</ns0:f>
        <ns0:v>Конденсатор 10 нФ ±20% 100 В X7R 0603</ns0:v>
      </ns0:c>
      <x:c xmlns:x="http://schemas.openxmlformats.org/spreadsheetml/2006/main" r="T263" t="str" s="11">
        <x:v>C:\Users\Nomatin\Documents\Altium\MY_LIB\MY_LIB\Datasheets\YAGEO_CC_X7R.pdf</x:v>
      </x:c>
      <x:c xmlns:x="http://schemas.openxmlformats.org/spreadsheetml/2006/main" r="U263" t="str" s="11">
        <x:v>Даташит — локальный</x:v>
      </x:c>
      <x:c xmlns:x="http://schemas.openxmlformats.org/spreadsheetml/2006/main" r="V263" t="str" s="11">
        <x:v>C:\Users\Nomatin\Documents\Altium\MY_LIB\MY_LIB\Datasheets\YAGEO_CC_X7R.pdf</x:v>
      </x:c>
      <x:c xmlns:x="http://schemas.openxmlformats.org/spreadsheetml/2006/main" r="W263" t="str" s="11">
        <x:v>Даташит — производитель</x:v>
      </x:c>
      <x:c xmlns:x="http://schemas.openxmlformats.org/spreadsheetml/2006/main" r="X263" t="str" s="11">
        <x:v>https://yageogroup.com/content/datasheet/asset/file/UPY-GPHC_X7R_6_3V-TO-250V</x:v>
      </x:c>
      <x:c xmlns:x="http://schemas.openxmlformats.org/spreadsheetml/2006/main" r="Y263" t="str" s="11">
        <x:v>C:\Users\Nomatin\Documents\Altium\MY_LIB\MY_LIB\Datasheets\YAGEO_CC_X7R.pdf</x:v>
      </x:c>
    </ns0:row>
    <ns0:row r="264" ht="30" customHeight="1">
      <ns0:c r="A264" t="str" s="14">
        <ns0:v>C0265</ns0:v>
      </ns0:c>
      <ns0:c r="B264" t="str" s="14">
        <ns0:v>Конденсатор</ns0:v>
      </ns0:c>
      <ns0:c r="C264" t="str" s="14">
        <ns0:v>15n</ns0:v>
      </ns0:c>
      <ns0:c r="D264" t="str" s="11">
        <ns0:f>SUBSTITUTE(SUBSTITUTE(SUBSTITUTE(SUBSTITUTE(C264,"p"," пФ"),"n"," нФ"),"u"," мкФ"),".",",")</ns0:f>
        <ns0:v>15 нФ</ns0:v>
      </ns0:c>
      <ns0:c r="E264" t="str" s="14">
        <ns0:v>±20%</ns0:v>
      </ns0:c>
      <ns0:c r="F264" s="14"/>
      <ns0:c r="G264" t="str" s="14">
        <ns0:v>100 В</ns0:v>
      </ns0:c>
      <ns0:c r="H264" t="str" s="14">
        <ns0:v>X7R</ns0:v>
      </ns0:c>
      <ns0:c r="I264" t="str" s="15">
        <ns0:v>0603</ns0:v>
      </ns0:c>
      <ns0:c r="J264" t="str" s="14">
        <ns0:v>YAGEO</ns0:v>
      </ns0:c>
      <ns0:c r="K264" t="str" s="14">
        <ns0:v>CC0603MRX7R0BB153</ns0:v>
      </ns0:c>
      <ns0:c r="L264" t="str" s="11">
        <ns0:f>B264&amp;" "&amp;D264&amp;" "&amp;E264&amp;" "&amp;G264&amp;" "&amp;H264&amp;" "&amp;I264</ns0:f>
        <ns0:v>Конденсатор 15 нФ ±20% 100 В X7R 0603</ns0:v>
      </ns0:c>
      <ns0:c r="M264" t="str" s="13">
        <ns0:v>C</ns0:v>
      </ns0:c>
      <ns0:c r="N264" t="str" s="13">
        <ns0:v>Symbols\MY_LIB_Capacitors.SchLib</ns0:v>
      </ns0:c>
      <ns0:c r="O264" t="str" s="13">
        <ns0:v>CAPC1608X90N</ns0:v>
      </ns0:c>
      <ns0:c r="P264" t="str" s="13">
        <ns0:v>Footprints\PBL - SMD Packages.PcbLib</ns0:v>
      </ns0:c>
      <ns0:c r="Q264" t="str" s="14">
        <ns0:v>YAGEO CC; список 20.10.2026</ns0:v>
      </ns0:c>
      <ns0:c r="R264" t="str" s="11">
        <ns0:f>D264</ns0:f>
        <ns0:v>15 нФ</ns0:v>
      </ns0:c>
      <ns0:c r="S264" t="str" s="11">
        <ns0:f>L264</ns0:f>
        <ns0:v>Конденсатор 15 нФ ±20% 100 В X7R 0603</ns0:v>
      </ns0:c>
      <x:c xmlns:x="http://schemas.openxmlformats.org/spreadsheetml/2006/main" r="T264" t="str" s="11">
        <x:v>C:\Users\Nomatin\Documents\Altium\MY_LIB\MY_LIB\Datasheets\YAGEO_CC_X7R.pdf</x:v>
      </x:c>
      <x:c xmlns:x="http://schemas.openxmlformats.org/spreadsheetml/2006/main" r="U264" t="str" s="11">
        <x:v>Даташит — локальный</x:v>
      </x:c>
      <x:c xmlns:x="http://schemas.openxmlformats.org/spreadsheetml/2006/main" r="V264" t="str" s="11">
        <x:v>C:\Users\Nomatin\Documents\Altium\MY_LIB\MY_LIB\Datasheets\YAGEO_CC_X7R.pdf</x:v>
      </x:c>
      <x:c xmlns:x="http://schemas.openxmlformats.org/spreadsheetml/2006/main" r="W264" t="str" s="11">
        <x:v>Даташит — производитель</x:v>
      </x:c>
      <x:c xmlns:x="http://schemas.openxmlformats.org/spreadsheetml/2006/main" r="X264" t="str" s="11">
        <x:v>https://yageogroup.com/content/datasheet/asset/file/UPY-GPHC_X7R_6_3V-TO-250V</x:v>
      </x:c>
      <x:c xmlns:x="http://schemas.openxmlformats.org/spreadsheetml/2006/main" r="Y264" t="str" s="11">
        <x:v>C:\Users\Nomatin\Documents\Altium\MY_LIB\MY_LIB\Datasheets\YAGEO_CC_X7R.pdf</x:v>
      </x:c>
    </ns0:row>
    <ns0:row r="265" ht="30" customHeight="1">
      <ns0:c r="A265" t="str" s="14">
        <ns0:v>C0266</ns0:v>
      </ns0:c>
      <ns0:c r="B265" t="str" s="14">
        <ns0:v>Конденсатор</ns0:v>
      </ns0:c>
      <ns0:c r="C265" t="str" s="14">
        <ns0:v>22n</ns0:v>
      </ns0:c>
      <ns0:c r="D265" t="str" s="11">
        <ns0:f>SUBSTITUTE(SUBSTITUTE(SUBSTITUTE(SUBSTITUTE(C265,"p"," пФ"),"n"," нФ"),"u"," мкФ"),".",",")</ns0:f>
        <ns0:v>22 нФ</ns0:v>
      </ns0:c>
      <ns0:c r="E265" t="str" s="14">
        <ns0:v>±20%</ns0:v>
      </ns0:c>
      <ns0:c r="F265" s="14"/>
      <ns0:c r="G265" t="str" s="14">
        <ns0:v>100 В</ns0:v>
      </ns0:c>
      <ns0:c r="H265" t="str" s="14">
        <ns0:v>X7R</ns0:v>
      </ns0:c>
      <ns0:c r="I265" t="str" s="15">
        <ns0:v>0603</ns0:v>
      </ns0:c>
      <ns0:c r="J265" t="str" s="14">
        <ns0:v>YAGEO</ns0:v>
      </ns0:c>
      <ns0:c r="K265" t="str" s="14">
        <ns0:v>CC0603MRX7R0BB223</ns0:v>
      </ns0:c>
      <ns0:c r="L265" t="str" s="11">
        <ns0:f>B265&amp;" "&amp;D265&amp;" "&amp;E265&amp;" "&amp;G265&amp;" "&amp;H265&amp;" "&amp;I265</ns0:f>
        <ns0:v>Конденсатор 22 нФ ±20% 100 В X7R 0603</ns0:v>
      </ns0:c>
      <ns0:c r="M265" t="str" s="13">
        <ns0:v>C</ns0:v>
      </ns0:c>
      <ns0:c r="N265" t="str" s="13">
        <ns0:v>Symbols\MY_LIB_Capacitors.SchLib</ns0:v>
      </ns0:c>
      <ns0:c r="O265" t="str" s="13">
        <ns0:v>CAPC1608X90N</ns0:v>
      </ns0:c>
      <ns0:c r="P265" t="str" s="13">
        <ns0:v>Footprints\PBL - SMD Packages.PcbLib</ns0:v>
      </ns0:c>
      <ns0:c r="Q265" t="str" s="14">
        <ns0:v>YAGEO CC; список 20.10.2026</ns0:v>
      </ns0:c>
      <ns0:c r="R265" t="str" s="11">
        <ns0:f>D265</ns0:f>
        <ns0:v>22 нФ</ns0:v>
      </ns0:c>
      <ns0:c r="S265" t="str" s="11">
        <ns0:f>L265</ns0:f>
        <ns0:v>Конденсатор 22 нФ ±20% 100 В X7R 0603</ns0:v>
      </ns0:c>
      <x:c xmlns:x="http://schemas.openxmlformats.org/spreadsheetml/2006/main" r="T265" t="str" s="11">
        <x:v>C:\Users\Nomatin\Documents\Altium\MY_LIB\MY_LIB\Datasheets\YAGEO_CC_X7R.pdf</x:v>
      </x:c>
      <x:c xmlns:x="http://schemas.openxmlformats.org/spreadsheetml/2006/main" r="U265" t="str" s="11">
        <x:v>Даташит — локальный</x:v>
      </x:c>
      <x:c xmlns:x="http://schemas.openxmlformats.org/spreadsheetml/2006/main" r="V265" t="str" s="11">
        <x:v>C:\Users\Nomatin\Documents\Altium\MY_LIB\MY_LIB\Datasheets\YAGEO_CC_X7R.pdf</x:v>
      </x:c>
      <x:c xmlns:x="http://schemas.openxmlformats.org/spreadsheetml/2006/main" r="W265" t="str" s="11">
        <x:v>Даташит — производитель</x:v>
      </x:c>
      <x:c xmlns:x="http://schemas.openxmlformats.org/spreadsheetml/2006/main" r="X265" t="str" s="11">
        <x:v>https://yageogroup.com/content/datasheet/asset/file/UPY-GPHC_X7R_6_3V-TO-250V</x:v>
      </x:c>
      <x:c xmlns:x="http://schemas.openxmlformats.org/spreadsheetml/2006/main" r="Y265" t="str" s="11">
        <x:v>C:\Users\Nomatin\Documents\Altium\MY_LIB\MY_LIB\Datasheets\YAGEO_CC_X7R.pdf</x:v>
      </x:c>
    </ns0:row>
    <ns0:row r="266" ht="30" customHeight="1">
      <ns0:c r="A266" t="str" s="14">
        <ns0:v>C0267</ns0:v>
      </ns0:c>
      <ns0:c r="B266" t="str" s="14">
        <ns0:v>Конденсатор</ns0:v>
      </ns0:c>
      <ns0:c r="C266" t="str" s="14">
        <ns0:v>33n</ns0:v>
      </ns0:c>
      <ns0:c r="D266" t="str" s="11">
        <ns0:f>SUBSTITUTE(SUBSTITUTE(SUBSTITUTE(SUBSTITUTE(C266,"p"," пФ"),"n"," нФ"),"u"," мкФ"),".",",")</ns0:f>
        <ns0:v>33 нФ</ns0:v>
      </ns0:c>
      <ns0:c r="E266" t="str" s="14">
        <ns0:v>±20%</ns0:v>
      </ns0:c>
      <ns0:c r="F266" s="14"/>
      <ns0:c r="G266" t="str" s="14">
        <ns0:v>100 В</ns0:v>
      </ns0:c>
      <ns0:c r="H266" t="str" s="14">
        <ns0:v>X7R</ns0:v>
      </ns0:c>
      <ns0:c r="I266" t="str" s="15">
        <ns0:v>0603</ns0:v>
      </ns0:c>
      <ns0:c r="J266" t="str" s="14">
        <ns0:v>YAGEO</ns0:v>
      </ns0:c>
      <ns0:c r="K266" t="str" s="14">
        <ns0:v>CC0603MRX7R0BB333</ns0:v>
      </ns0:c>
      <ns0:c r="L266" t="str" s="11">
        <ns0:f>B266&amp;" "&amp;D266&amp;" "&amp;E266&amp;" "&amp;G266&amp;" "&amp;H266&amp;" "&amp;I266</ns0:f>
        <ns0:v>Конденсатор 33 нФ ±20% 100 В X7R 0603</ns0:v>
      </ns0:c>
      <ns0:c r="M266" t="str" s="13">
        <ns0:v>C</ns0:v>
      </ns0:c>
      <ns0:c r="N266" t="str" s="13">
        <ns0:v>Symbols\MY_LIB_Capacitors.SchLib</ns0:v>
      </ns0:c>
      <ns0:c r="O266" t="str" s="13">
        <ns0:v>CAPC1608X90N</ns0:v>
      </ns0:c>
      <ns0:c r="P266" t="str" s="13">
        <ns0:v>Footprints\PBL - SMD Packages.PcbLib</ns0:v>
      </ns0:c>
      <ns0:c r="Q266" t="str" s="14">
        <ns0:v>YAGEO CC; список 20.10.2026</ns0:v>
      </ns0:c>
      <ns0:c r="R266" t="str" s="11">
        <ns0:f>D266</ns0:f>
        <ns0:v>33 нФ</ns0:v>
      </ns0:c>
      <ns0:c r="S266" t="str" s="11">
        <ns0:f>L266</ns0:f>
        <ns0:v>Конденсатор 33 нФ ±20% 100 В X7R 0603</ns0:v>
      </ns0:c>
      <x:c xmlns:x="http://schemas.openxmlformats.org/spreadsheetml/2006/main" r="T266" t="str" s="11">
        <x:v>C:\Users\Nomatin\Documents\Altium\MY_LIB\MY_LIB\Datasheets\YAGEO_CC_X7R.pdf</x:v>
      </x:c>
      <x:c xmlns:x="http://schemas.openxmlformats.org/spreadsheetml/2006/main" r="U266" t="str" s="11">
        <x:v>Даташит — локальный</x:v>
      </x:c>
      <x:c xmlns:x="http://schemas.openxmlformats.org/spreadsheetml/2006/main" r="V266" t="str" s="11">
        <x:v>C:\Users\Nomatin\Documents\Altium\MY_LIB\MY_LIB\Datasheets\YAGEO_CC_X7R.pdf</x:v>
      </x:c>
      <x:c xmlns:x="http://schemas.openxmlformats.org/spreadsheetml/2006/main" r="W266" t="str" s="11">
        <x:v>Даташит — производитель</x:v>
      </x:c>
      <x:c xmlns:x="http://schemas.openxmlformats.org/spreadsheetml/2006/main" r="X266" t="str" s="11">
        <x:v>https://yageogroup.com/content/datasheet/asset/file/UPY-GPHC_X7R_6_3V-TO-250V</x:v>
      </x:c>
      <x:c xmlns:x="http://schemas.openxmlformats.org/spreadsheetml/2006/main" r="Y266" t="str" s="11">
        <x:v>C:\Users\Nomatin\Documents\Altium\MY_LIB\MY_LIB\Datasheets\YAGEO_CC_X7R.pdf</x:v>
      </x:c>
    </ns0:row>
    <ns0:row r="267" ht="30" customHeight="1">
      <ns0:c r="A267" t="str" s="14">
        <ns0:v>C0268</ns0:v>
      </ns0:c>
      <ns0:c r="B267" t="str" s="14">
        <ns0:v>Конденсатор</ns0:v>
      </ns0:c>
      <ns0:c r="C267" t="str" s="14">
        <ns0:v>39n</ns0:v>
      </ns0:c>
      <ns0:c r="D267" t="str" s="11">
        <ns0:f>SUBSTITUTE(SUBSTITUTE(SUBSTITUTE(SUBSTITUTE(C267,"p"," пФ"),"n"," нФ"),"u"," мкФ"),".",",")</ns0:f>
        <ns0:v>39 нФ</ns0:v>
      </ns0:c>
      <ns0:c r="E267" t="str" s="14">
        <ns0:v>±20%</ns0:v>
      </ns0:c>
      <ns0:c r="F267" s="14"/>
      <ns0:c r="G267" t="str" s="14">
        <ns0:v>16 В</ns0:v>
      </ns0:c>
      <ns0:c r="H267" t="str" s="14">
        <ns0:v>X7R</ns0:v>
      </ns0:c>
      <ns0:c r="I267" t="str" s="15">
        <ns0:v>0603</ns0:v>
      </ns0:c>
      <ns0:c r="J267" t="str" s="14">
        <ns0:v>YAGEO</ns0:v>
      </ns0:c>
      <ns0:c r="K267" t="str" s="14">
        <ns0:v>CC0603MRX7R7BB393</ns0:v>
      </ns0:c>
      <ns0:c r="L267" t="str" s="11">
        <ns0:f>B267&amp;" "&amp;D267&amp;" "&amp;E267&amp;" "&amp;G267&amp;" "&amp;H267&amp;" "&amp;I267</ns0:f>
        <ns0:v>Конденсатор 39 нФ ±20% 16 В X7R 0603</ns0:v>
      </ns0:c>
      <ns0:c r="M267" t="str" s="13">
        <ns0:v>C</ns0:v>
      </ns0:c>
      <ns0:c r="N267" t="str" s="13">
        <ns0:v>Symbols\MY_LIB_Capacitors.SchLib</ns0:v>
      </ns0:c>
      <ns0:c r="O267" t="str" s="13">
        <ns0:v>CAPC1608X90N</ns0:v>
      </ns0:c>
      <ns0:c r="P267" t="str" s="13">
        <ns0:v>Footprints\PBL - SMD Packages.PcbLib</ns0:v>
      </ns0:c>
      <ns0:c r="Q267" t="str" s="14">
        <ns0:v>YAGEO CC; список 20.10.2026</ns0:v>
      </ns0:c>
      <ns0:c r="R267" t="str" s="11">
        <ns0:f>D267</ns0:f>
        <ns0:v>39 нФ</ns0:v>
      </ns0:c>
      <ns0:c r="S267" t="str" s="11">
        <ns0:f>L267</ns0:f>
        <ns0:v>Конденсатор 39 нФ ±20% 16 В X7R 0603</ns0:v>
      </ns0:c>
      <x:c xmlns:x="http://schemas.openxmlformats.org/spreadsheetml/2006/main" r="T267" t="str" s="11">
        <x:v>C:\Users\Nomatin\Documents\Altium\MY_LIB\MY_LIB\Datasheets\YAGEO_CC_X7R.pdf</x:v>
      </x:c>
      <x:c xmlns:x="http://schemas.openxmlformats.org/spreadsheetml/2006/main" r="U267" t="str" s="11">
        <x:v>Даташит — локальный</x:v>
      </x:c>
      <x:c xmlns:x="http://schemas.openxmlformats.org/spreadsheetml/2006/main" r="V267" t="str" s="11">
        <x:v>C:\Users\Nomatin\Documents\Altium\MY_LIB\MY_LIB\Datasheets\YAGEO_CC_X7R.pdf</x:v>
      </x:c>
      <x:c xmlns:x="http://schemas.openxmlformats.org/spreadsheetml/2006/main" r="W267" t="str" s="11">
        <x:v>Даташит — производитель</x:v>
      </x:c>
      <x:c xmlns:x="http://schemas.openxmlformats.org/spreadsheetml/2006/main" r="X267" t="str" s="11">
        <x:v>https://yageogroup.com/content/datasheet/asset/file/UPY-GPHC_X7R_6_3V-TO-250V</x:v>
      </x:c>
      <x:c xmlns:x="http://schemas.openxmlformats.org/spreadsheetml/2006/main" r="Y267" t="str" s="11">
        <x:v>C:\Users\Nomatin\Documents\Altium\MY_LIB\MY_LIB\Datasheets\YAGEO_CC_X7R.pdf</x:v>
      </x:c>
    </ns0:row>
    <ns0:row r="268" ht="30" customHeight="1">
      <ns0:c r="A268" t="str" s="14">
        <ns0:v>C0269</ns0:v>
      </ns0:c>
      <ns0:c r="B268" t="str" s="14">
        <ns0:v>Конденсатор</ns0:v>
      </ns0:c>
      <ns0:c r="C268" t="str" s="14">
        <ns0:v>47n</ns0:v>
      </ns0:c>
      <ns0:c r="D268" t="str" s="11">
        <ns0:f>SUBSTITUTE(SUBSTITUTE(SUBSTITUTE(SUBSTITUTE(C268,"p"," пФ"),"n"," нФ"),"u"," мкФ"),".",",")</ns0:f>
        <ns0:v>47 нФ</ns0:v>
      </ns0:c>
      <ns0:c r="E268" t="str" s="14">
        <ns0:v>±20%</ns0:v>
      </ns0:c>
      <ns0:c r="F268" s="14"/>
      <ns0:c r="G268" t="str" s="14">
        <ns0:v>100 В</ns0:v>
      </ns0:c>
      <ns0:c r="H268" t="str" s="14">
        <ns0:v>X7R</ns0:v>
      </ns0:c>
      <ns0:c r="I268" t="str" s="15">
        <ns0:v>0603</ns0:v>
      </ns0:c>
      <ns0:c r="J268" t="str" s="14">
        <ns0:v>YAGEO</ns0:v>
      </ns0:c>
      <ns0:c r="K268" t="str" s="14">
        <ns0:v>CC0603MRX7R0BB473</ns0:v>
      </ns0:c>
      <ns0:c r="L268" t="str" s="11">
        <ns0:f>B268&amp;" "&amp;D268&amp;" "&amp;E268&amp;" "&amp;G268&amp;" "&amp;H268&amp;" "&amp;I268</ns0:f>
        <ns0:v>Конденсатор 47 нФ ±20% 100 В X7R 0603</ns0:v>
      </ns0:c>
      <ns0:c r="M268" t="str" s="13">
        <ns0:v>C</ns0:v>
      </ns0:c>
      <ns0:c r="N268" t="str" s="13">
        <ns0:v>Symbols\MY_LIB_Capacitors.SchLib</ns0:v>
      </ns0:c>
      <ns0:c r="O268" t="str" s="13">
        <ns0:v>CAPC1608X90N</ns0:v>
      </ns0:c>
      <ns0:c r="P268" t="str" s="13">
        <ns0:v>Footprints\PBL - SMD Packages.PcbLib</ns0:v>
      </ns0:c>
      <ns0:c r="Q268" t="str" s="14">
        <ns0:v>YAGEO CC; список 20.10.2026</ns0:v>
      </ns0:c>
      <ns0:c r="R268" t="str" s="11">
        <ns0:f>D268</ns0:f>
        <ns0:v>47 нФ</ns0:v>
      </ns0:c>
      <ns0:c r="S268" t="str" s="11">
        <ns0:f>L268</ns0:f>
        <ns0:v>Конденсатор 47 нФ ±20% 100 В X7R 0603</ns0:v>
      </ns0:c>
      <x:c xmlns:x="http://schemas.openxmlformats.org/spreadsheetml/2006/main" r="T268" t="str" s="11">
        <x:v>C:\Users\Nomatin\Documents\Altium\MY_LIB\MY_LIB\Datasheets\YAGEO_CC_X7R.pdf</x:v>
      </x:c>
      <x:c xmlns:x="http://schemas.openxmlformats.org/spreadsheetml/2006/main" r="U268" t="str" s="11">
        <x:v>Даташит — локальный</x:v>
      </x:c>
      <x:c xmlns:x="http://schemas.openxmlformats.org/spreadsheetml/2006/main" r="V268" t="str" s="11">
        <x:v>C:\Users\Nomatin\Documents\Altium\MY_LIB\MY_LIB\Datasheets\YAGEO_CC_X7R.pdf</x:v>
      </x:c>
      <x:c xmlns:x="http://schemas.openxmlformats.org/spreadsheetml/2006/main" r="W268" t="str" s="11">
        <x:v>Даташит — производитель</x:v>
      </x:c>
      <x:c xmlns:x="http://schemas.openxmlformats.org/spreadsheetml/2006/main" r="X268" t="str" s="11">
        <x:v>https://yageogroup.com/content/datasheet/asset/file/UPY-GPHC_X7R_6_3V-TO-250V</x:v>
      </x:c>
      <x:c xmlns:x="http://schemas.openxmlformats.org/spreadsheetml/2006/main" r="Y268" t="str" s="11">
        <x:v>C:\Users\Nomatin\Documents\Altium\MY_LIB\MY_LIB\Datasheets\YAGEO_CC_X7R.pdf</x:v>
      </x:c>
    </ns0:row>
    <ns0:row r="269" ht="30" customHeight="1">
      <ns0:c r="A269" t="str" s="14">
        <ns0:v>C0270</ns0:v>
      </ns0:c>
      <ns0:c r="B269" t="str" s="14">
        <ns0:v>Конденсатор</ns0:v>
      </ns0:c>
      <ns0:c r="C269" t="str" s="14">
        <ns0:v>68n</ns0:v>
      </ns0:c>
      <ns0:c r="D269" t="str" s="11">
        <ns0:f>SUBSTITUTE(SUBSTITUTE(SUBSTITUTE(SUBSTITUTE(C269,"p"," пФ"),"n"," нФ"),"u"," мкФ"),".",",")</ns0:f>
        <ns0:v>68 нФ</ns0:v>
      </ns0:c>
      <ns0:c r="E269" t="str" s="14">
        <ns0:v>±20%</ns0:v>
      </ns0:c>
      <ns0:c r="F269" s="14"/>
      <ns0:c r="G269" t="str" s="14">
        <ns0:v>100 В</ns0:v>
      </ns0:c>
      <ns0:c r="H269" t="str" s="14">
        <ns0:v>X7R</ns0:v>
      </ns0:c>
      <ns0:c r="I269" t="str" s="15">
        <ns0:v>0603</ns0:v>
      </ns0:c>
      <ns0:c r="J269" t="str" s="14">
        <ns0:v>YAGEO</ns0:v>
      </ns0:c>
      <ns0:c r="K269" t="str" s="14">
        <ns0:v>CC0603MRX7R0BB683</ns0:v>
      </ns0:c>
      <ns0:c r="L269" t="str" s="11">
        <ns0:f>B269&amp;" "&amp;D269&amp;" "&amp;E269&amp;" "&amp;G269&amp;" "&amp;H269&amp;" "&amp;I269</ns0:f>
        <ns0:v>Конденсатор 68 нФ ±20% 100 В X7R 0603</ns0:v>
      </ns0:c>
      <ns0:c r="M269" t="str" s="13">
        <ns0:v>C</ns0:v>
      </ns0:c>
      <ns0:c r="N269" t="str" s="13">
        <ns0:v>Symbols\MY_LIB_Capacitors.SchLib</ns0:v>
      </ns0:c>
      <ns0:c r="O269" t="str" s="13">
        <ns0:v>CAPC1608X90N</ns0:v>
      </ns0:c>
      <ns0:c r="P269" t="str" s="13">
        <ns0:v>Footprints\PBL - SMD Packages.PcbLib</ns0:v>
      </ns0:c>
      <ns0:c r="Q269" t="str" s="14">
        <ns0:v>YAGEO CC; список 20.10.2026</ns0:v>
      </ns0:c>
      <ns0:c r="R269" t="str" s="11">
        <ns0:f>D269</ns0:f>
        <ns0:v>68 нФ</ns0:v>
      </ns0:c>
      <ns0:c r="S269" t="str" s="11">
        <ns0:f>L269</ns0:f>
        <ns0:v>Конденсатор 68 нФ ±20% 100 В X7R 0603</ns0:v>
      </ns0:c>
      <x:c xmlns:x="http://schemas.openxmlformats.org/spreadsheetml/2006/main" r="T269" t="str" s="11">
        <x:v>C:\Users\Nomatin\Documents\Altium\MY_LIB\MY_LIB\Datasheets\YAGEO_CC_X7R.pdf</x:v>
      </x:c>
      <x:c xmlns:x="http://schemas.openxmlformats.org/spreadsheetml/2006/main" r="U269" t="str" s="11">
        <x:v>Даташит — локальный</x:v>
      </x:c>
      <x:c xmlns:x="http://schemas.openxmlformats.org/spreadsheetml/2006/main" r="V269" t="str" s="11">
        <x:v>C:\Users\Nomatin\Documents\Altium\MY_LIB\MY_LIB\Datasheets\YAGEO_CC_X7R.pdf</x:v>
      </x:c>
      <x:c xmlns:x="http://schemas.openxmlformats.org/spreadsheetml/2006/main" r="W269" t="str" s="11">
        <x:v>Даташит — производитель</x:v>
      </x:c>
      <x:c xmlns:x="http://schemas.openxmlformats.org/spreadsheetml/2006/main" r="X269" t="str" s="11">
        <x:v>https://yageogroup.com/content/datasheet/asset/file/UPY-GPHC_X7R_6_3V-TO-250V</x:v>
      </x:c>
      <x:c xmlns:x="http://schemas.openxmlformats.org/spreadsheetml/2006/main" r="Y269" t="str" s="11">
        <x:v>C:\Users\Nomatin\Documents\Altium\MY_LIB\MY_LIB\Datasheets\YAGEO_CC_X7R.pdf</x:v>
      </x:c>
    </ns0:row>
    <ns0:row r="270" ht="30" customHeight="1">
      <ns0:c r="A270" t="str" s="14">
        <ns0:v>C0271</ns0:v>
      </ns0:c>
      <ns0:c r="B270" t="str" s="14">
        <ns0:v>Конденсатор</ns0:v>
      </ns0:c>
      <ns0:c r="C270" t="str" s="14">
        <ns0:v>100n</ns0:v>
      </ns0:c>
      <ns0:c r="D270" t="str" s="11">
        <ns0:f>SUBSTITUTE(SUBSTITUTE(SUBSTITUTE(SUBSTITUTE(C270,"p"," пФ"),"n"," нФ"),"u"," мкФ"),".",",")</ns0:f>
        <ns0:v>100 нФ</ns0:v>
      </ns0:c>
      <ns0:c r="E270" t="str" s="14">
        <ns0:v>±20%</ns0:v>
      </ns0:c>
      <ns0:c r="F270" s="14"/>
      <ns0:c r="G270" t="str" s="14">
        <ns0:v>100 В</ns0:v>
      </ns0:c>
      <ns0:c r="H270" t="str" s="14">
        <ns0:v>X7R</ns0:v>
      </ns0:c>
      <ns0:c r="I270" t="str" s="15">
        <ns0:v>0603</ns0:v>
      </ns0:c>
      <ns0:c r="J270" t="str" s="14">
        <ns0:v>YAGEO</ns0:v>
      </ns0:c>
      <ns0:c r="K270" t="str" s="14">
        <ns0:v>CC0603MRX7R0BB104</ns0:v>
      </ns0:c>
      <ns0:c r="L270" t="str" s="11">
        <ns0:f>B270&amp;" "&amp;D270&amp;" "&amp;E270&amp;" "&amp;G270&amp;" "&amp;H270&amp;" "&amp;I270</ns0:f>
        <ns0:v>Конденсатор 100 нФ ±20% 100 В X7R 0603</ns0:v>
      </ns0:c>
      <ns0:c r="M270" t="str" s="13">
        <ns0:v>C</ns0:v>
      </ns0:c>
      <ns0:c r="N270" t="str" s="13">
        <ns0:v>Symbols\MY_LIB_Capacitors.SchLib</ns0:v>
      </ns0:c>
      <ns0:c r="O270" t="str" s="13">
        <ns0:v>CAPC1608X90N</ns0:v>
      </ns0:c>
      <ns0:c r="P270" t="str" s="13">
        <ns0:v>Footprints\PBL - SMD Packages.PcbLib</ns0:v>
      </ns0:c>
      <ns0:c r="Q270" t="str" s="14">
        <ns0:v>YAGEO CC; список 20.10.2026</ns0:v>
      </ns0:c>
      <ns0:c r="R270" t="str" s="11">
        <ns0:f>D270</ns0:f>
        <ns0:v>100 нФ</ns0:v>
      </ns0:c>
      <ns0:c r="S270" t="str" s="11">
        <ns0:f>L270</ns0:f>
        <ns0:v>Конденсатор 100 нФ ±20% 100 В X7R 0603</ns0:v>
      </ns0:c>
      <x:c xmlns:x="http://schemas.openxmlformats.org/spreadsheetml/2006/main" r="T270" t="str" s="11">
        <x:v>C:\Users\Nomatin\Documents\Altium\MY_LIB\MY_LIB\Datasheets\YAGEO_CC_X7R.pdf</x:v>
      </x:c>
      <x:c xmlns:x="http://schemas.openxmlformats.org/spreadsheetml/2006/main" r="U270" t="str" s="11">
        <x:v>Даташит — локальный</x:v>
      </x:c>
      <x:c xmlns:x="http://schemas.openxmlformats.org/spreadsheetml/2006/main" r="V270" t="str" s="11">
        <x:v>C:\Users\Nomatin\Documents\Altium\MY_LIB\MY_LIB\Datasheets\YAGEO_CC_X7R.pdf</x:v>
      </x:c>
      <x:c xmlns:x="http://schemas.openxmlformats.org/spreadsheetml/2006/main" r="W270" t="str" s="11">
        <x:v>Даташит — производитель</x:v>
      </x:c>
      <x:c xmlns:x="http://schemas.openxmlformats.org/spreadsheetml/2006/main" r="X270" t="str" s="11">
        <x:v>https://yageogroup.com/content/datasheet/asset/file/UPY-GPHC_X7R_6_3V-TO-250V</x:v>
      </x:c>
      <x:c xmlns:x="http://schemas.openxmlformats.org/spreadsheetml/2006/main" r="Y270" t="str" s="11">
        <x:v>C:\Users\Nomatin\Documents\Altium\MY_LIB\MY_LIB\Datasheets\YAGEO_CC_X7R.pdf</x:v>
      </x:c>
    </ns0:row>
    <ns0:row r="271" ht="30" customHeight="1">
      <ns0:c r="A271" t="str" s="14">
        <ns0:v>C0272</ns0:v>
      </ns0:c>
      <ns0:c r="B271" t="str" s="14">
        <ns0:v>Конденсатор</ns0:v>
      </ns0:c>
      <ns0:c r="C271" t="str" s="14">
        <ns0:v>150n</ns0:v>
      </ns0:c>
      <ns0:c r="D271" t="str" s="11">
        <ns0:f>SUBSTITUTE(SUBSTITUTE(SUBSTITUTE(SUBSTITUTE(C271,"p"," пФ"),"n"," нФ"),"u"," мкФ"),".",",")</ns0:f>
        <ns0:v>150 нФ</ns0:v>
      </ns0:c>
      <ns0:c r="E271" t="str" s="14">
        <ns0:v>±20%</ns0:v>
      </ns0:c>
      <ns0:c r="F271" s="14"/>
      <ns0:c r="G271" t="str" s="14">
        <ns0:v>50 В</ns0:v>
      </ns0:c>
      <ns0:c r="H271" t="str" s="14">
        <ns0:v>X7R</ns0:v>
      </ns0:c>
      <ns0:c r="I271" t="str" s="15">
        <ns0:v>0603</ns0:v>
      </ns0:c>
      <ns0:c r="J271" t="str" s="14">
        <ns0:v>YAGEO</ns0:v>
      </ns0:c>
      <ns0:c r="K271" t="str" s="14">
        <ns0:v>CC0603MRX7R9BB154</ns0:v>
      </ns0:c>
      <ns0:c r="L271" t="str" s="11">
        <ns0:f>B271&amp;" "&amp;D271&amp;" "&amp;E271&amp;" "&amp;G271&amp;" "&amp;H271&amp;" "&amp;I271</ns0:f>
        <ns0:v>Конденсатор 150 нФ ±20% 50 В X7R 0603</ns0:v>
      </ns0:c>
      <ns0:c r="M271" t="str" s="13">
        <ns0:v>C</ns0:v>
      </ns0:c>
      <ns0:c r="N271" t="str" s="13">
        <ns0:v>Symbols\MY_LIB_Capacitors.SchLib</ns0:v>
      </ns0:c>
      <ns0:c r="O271" t="str" s="13">
        <ns0:v>CAPC1608X90N</ns0:v>
      </ns0:c>
      <ns0:c r="P271" t="str" s="13">
        <ns0:v>Footprints\PBL - SMD Packages.PcbLib</ns0:v>
      </ns0:c>
      <ns0:c r="Q271" t="str" s="14">
        <ns0:v>YAGEO CC; список 20.10.2026</ns0:v>
      </ns0:c>
      <ns0:c r="R271" t="str" s="11">
        <ns0:f>D271</ns0:f>
        <ns0:v>150 нФ</ns0:v>
      </ns0:c>
      <ns0:c r="S271" t="str" s="11">
        <ns0:f>L271</ns0:f>
        <ns0:v>Конденсатор 150 нФ ±20% 50 В X7R 0603</ns0:v>
      </ns0:c>
      <x:c xmlns:x="http://schemas.openxmlformats.org/spreadsheetml/2006/main" r="T271" t="str" s="11">
        <x:v>C:\Users\Nomatin\Documents\Altium\MY_LIB\MY_LIB\Datasheets\YAGEO_CC_X7R.pdf</x:v>
      </x:c>
      <x:c xmlns:x="http://schemas.openxmlformats.org/spreadsheetml/2006/main" r="U271" t="str" s="11">
        <x:v>Даташит — локальный</x:v>
      </x:c>
      <x:c xmlns:x="http://schemas.openxmlformats.org/spreadsheetml/2006/main" r="V271" t="str" s="11">
        <x:v>C:\Users\Nomatin\Documents\Altium\MY_LIB\MY_LIB\Datasheets\YAGEO_CC_X7R.pdf</x:v>
      </x:c>
      <x:c xmlns:x="http://schemas.openxmlformats.org/spreadsheetml/2006/main" r="W271" t="str" s="11">
        <x:v>Даташит — производитель</x:v>
      </x:c>
      <x:c xmlns:x="http://schemas.openxmlformats.org/spreadsheetml/2006/main" r="X271" t="str" s="11">
        <x:v>https://yageogroup.com/content/datasheet/asset/file/UPY-GPHC_X7R_6_3V-TO-250V</x:v>
      </x:c>
      <x:c xmlns:x="http://schemas.openxmlformats.org/spreadsheetml/2006/main" r="Y271" t="str" s="11">
        <x:v>C:\Users\Nomatin\Documents\Altium\MY_LIB\MY_LIB\Datasheets\YAGEO_CC_X7R.pdf</x:v>
      </x:c>
    </ns0:row>
    <ns0:row r="272" ht="30" customHeight="1">
      <ns0:c r="A272" t="str" s="14">
        <ns0:v>C0273</ns0:v>
      </ns0:c>
      <ns0:c r="B272" t="str" s="14">
        <ns0:v>Конденсатор</ns0:v>
      </ns0:c>
      <ns0:c r="C272" t="str" s="14">
        <ns0:v>220n</ns0:v>
      </ns0:c>
      <ns0:c r="D272" t="str" s="11">
        <ns0:f>SUBSTITUTE(SUBSTITUTE(SUBSTITUTE(SUBSTITUTE(C272,"p"," пФ"),"n"," нФ"),"u"," мкФ"),".",",")</ns0:f>
        <ns0:v>220 нФ</ns0:v>
      </ns0:c>
      <ns0:c r="E272" t="str" s="14">
        <ns0:v>±20%</ns0:v>
      </ns0:c>
      <ns0:c r="F272" s="14"/>
      <ns0:c r="G272" t="str" s="14">
        <ns0:v>50 В</ns0:v>
      </ns0:c>
      <ns0:c r="H272" t="str" s="14">
        <ns0:v>X7R</ns0:v>
      </ns0:c>
      <ns0:c r="I272" t="str" s="15">
        <ns0:v>0603</ns0:v>
      </ns0:c>
      <ns0:c r="J272" t="str" s="14">
        <ns0:v>YAGEO</ns0:v>
      </ns0:c>
      <ns0:c r="K272" t="str" s="14">
        <ns0:v>CC0603MRX7R9BB224</ns0:v>
      </ns0:c>
      <ns0:c r="L272" t="str" s="11">
        <ns0:f>B272&amp;" "&amp;D272&amp;" "&amp;E272&amp;" "&amp;G272&amp;" "&amp;H272&amp;" "&amp;I272</ns0:f>
        <ns0:v>Конденсатор 220 нФ ±20% 50 В X7R 0603</ns0:v>
      </ns0:c>
      <ns0:c r="M272" t="str" s="13">
        <ns0:v>C</ns0:v>
      </ns0:c>
      <ns0:c r="N272" t="str" s="13">
        <ns0:v>Symbols\MY_LIB_Capacitors.SchLib</ns0:v>
      </ns0:c>
      <ns0:c r="O272" t="str" s="13">
        <ns0:v>CAPC1608X90N</ns0:v>
      </ns0:c>
      <ns0:c r="P272" t="str" s="13">
        <ns0:v>Footprints\PBL - SMD Packages.PcbLib</ns0:v>
      </ns0:c>
      <ns0:c r="Q272" t="str" s="14">
        <ns0:v>YAGEO CC; список 20.10.2026</ns0:v>
      </ns0:c>
      <ns0:c r="R272" t="str" s="11">
        <ns0:f>D272</ns0:f>
        <ns0:v>220 нФ</ns0:v>
      </ns0:c>
      <ns0:c r="S272" t="str" s="11">
        <ns0:f>L272</ns0:f>
        <ns0:v>Конденсатор 220 нФ ±20% 50 В X7R 0603</ns0:v>
      </ns0:c>
      <x:c xmlns:x="http://schemas.openxmlformats.org/spreadsheetml/2006/main" r="T272" t="str" s="11">
        <x:v>C:\Users\Nomatin\Documents\Altium\MY_LIB\MY_LIB\Datasheets\YAGEO_CC_X7R.pdf</x:v>
      </x:c>
      <x:c xmlns:x="http://schemas.openxmlformats.org/spreadsheetml/2006/main" r="U272" t="str" s="11">
        <x:v>Даташит — локальный</x:v>
      </x:c>
      <x:c xmlns:x="http://schemas.openxmlformats.org/spreadsheetml/2006/main" r="V272" t="str" s="11">
        <x:v>C:\Users\Nomatin\Documents\Altium\MY_LIB\MY_LIB\Datasheets\YAGEO_CC_X7R.pdf</x:v>
      </x:c>
      <x:c xmlns:x="http://schemas.openxmlformats.org/spreadsheetml/2006/main" r="W272" t="str" s="11">
        <x:v>Даташит — производитель</x:v>
      </x:c>
      <x:c xmlns:x="http://schemas.openxmlformats.org/spreadsheetml/2006/main" r="X272" t="str" s="11">
        <x:v>https://yageogroup.com/content/datasheet/asset/file/UPY-GPHC_X7R_6_3V-TO-250V</x:v>
      </x:c>
      <x:c xmlns:x="http://schemas.openxmlformats.org/spreadsheetml/2006/main" r="Y272" t="str" s="11">
        <x:v>C:\Users\Nomatin\Documents\Altium\MY_LIB\MY_LIB\Datasheets\YAGEO_CC_X7R.pdf</x:v>
      </x:c>
    </ns0:row>
    <ns0:row r="273" ht="30" customHeight="1">
      <ns0:c r="A273" t="str" s="14">
        <ns0:v>C0274</ns0:v>
      </ns0:c>
      <ns0:c r="B273" t="str" s="14">
        <ns0:v>Конденсатор</ns0:v>
      </ns0:c>
      <ns0:c r="C273" t="str" s="14">
        <ns0:v>330n</ns0:v>
      </ns0:c>
      <ns0:c r="D273" t="str" s="11">
        <ns0:f>SUBSTITUTE(SUBSTITUTE(SUBSTITUTE(SUBSTITUTE(C273,"p"," пФ"),"n"," нФ"),"u"," мкФ"),".",",")</ns0:f>
        <ns0:v>330 нФ</ns0:v>
      </ns0:c>
      <ns0:c r="E273" t="str" s="14">
        <ns0:v>±20%</ns0:v>
      </ns0:c>
      <ns0:c r="F273" s="14"/>
      <ns0:c r="G273" t="str" s="14">
        <ns0:v>25 В</ns0:v>
      </ns0:c>
      <ns0:c r="H273" t="str" s="14">
        <ns0:v>X7R</ns0:v>
      </ns0:c>
      <ns0:c r="I273" t="str" s="15">
        <ns0:v>0603</ns0:v>
      </ns0:c>
      <ns0:c r="J273" t="str" s="14">
        <ns0:v>YAGEO</ns0:v>
      </ns0:c>
      <ns0:c r="K273" t="str" s="14">
        <ns0:v>CC0603MRX7R8BB334</ns0:v>
      </ns0:c>
      <ns0:c r="L273" t="str" s="11">
        <ns0:f>B273&amp;" "&amp;D273&amp;" "&amp;E273&amp;" "&amp;G273&amp;" "&amp;H273&amp;" "&amp;I273</ns0:f>
        <ns0:v>Конденсатор 330 нФ ±20% 25 В X7R 0603</ns0:v>
      </ns0:c>
      <ns0:c r="M273" t="str" s="13">
        <ns0:v>C</ns0:v>
      </ns0:c>
      <ns0:c r="N273" t="str" s="13">
        <ns0:v>Symbols\MY_LIB_Capacitors.SchLib</ns0:v>
      </ns0:c>
      <ns0:c r="O273" t="str" s="13">
        <ns0:v>CAPC1608X90N</ns0:v>
      </ns0:c>
      <ns0:c r="P273" t="str" s="13">
        <ns0:v>Footprints\PBL - SMD Packages.PcbLib</ns0:v>
      </ns0:c>
      <ns0:c r="Q273" t="str" s="14">
        <ns0:v>YAGEO CC; список 20.10.2026</ns0:v>
      </ns0:c>
      <ns0:c r="R273" t="str" s="11">
        <ns0:f>D273</ns0:f>
        <ns0:v>330 нФ</ns0:v>
      </ns0:c>
      <ns0:c r="S273" t="str" s="11">
        <ns0:f>L273</ns0:f>
        <ns0:v>Конденсатор 330 нФ ±20% 25 В X7R 0603</ns0:v>
      </ns0:c>
      <x:c xmlns:x="http://schemas.openxmlformats.org/spreadsheetml/2006/main" r="T273" t="str" s="11">
        <x:v>C:\Users\Nomatin\Documents\Altium\MY_LIB\MY_LIB\Datasheets\YAGEO_CC_X7R.pdf</x:v>
      </x:c>
      <x:c xmlns:x="http://schemas.openxmlformats.org/spreadsheetml/2006/main" r="U273" t="str" s="11">
        <x:v>Даташит — локальный</x:v>
      </x:c>
      <x:c xmlns:x="http://schemas.openxmlformats.org/spreadsheetml/2006/main" r="V273" t="str" s="11">
        <x:v>C:\Users\Nomatin\Documents\Altium\MY_LIB\MY_LIB\Datasheets\YAGEO_CC_X7R.pdf</x:v>
      </x:c>
      <x:c xmlns:x="http://schemas.openxmlformats.org/spreadsheetml/2006/main" r="W273" t="str" s="11">
        <x:v>Даташит — производитель</x:v>
      </x:c>
      <x:c xmlns:x="http://schemas.openxmlformats.org/spreadsheetml/2006/main" r="X273" t="str" s="11">
        <x:v>https://yageogroup.com/content/datasheet/asset/file/UPY-GPHC_X7R_6_3V-TO-250V</x:v>
      </x:c>
      <x:c xmlns:x="http://schemas.openxmlformats.org/spreadsheetml/2006/main" r="Y273" t="str" s="11">
        <x:v>C:\Users\Nomatin\Documents\Altium\MY_LIB\MY_LIB\Datasheets\YAGEO_CC_X7R.pdf</x:v>
      </x:c>
    </ns0:row>
    <ns0:row r="274" ht="30" customHeight="1">
      <ns0:c r="A274" t="str" s="14">
        <ns0:v>C0275</ns0:v>
      </ns0:c>
      <ns0:c r="B274" t="str" s="14">
        <ns0:v>Конденсатор</ns0:v>
      </ns0:c>
      <ns0:c r="C274" t="str" s="14">
        <ns0:v>470n</ns0:v>
      </ns0:c>
      <ns0:c r="D274" t="str" s="11">
        <ns0:f>SUBSTITUTE(SUBSTITUTE(SUBSTITUTE(SUBSTITUTE(C274,"p"," пФ"),"n"," нФ"),"u"," мкФ"),".",",")</ns0:f>
        <ns0:v>470 нФ</ns0:v>
      </ns0:c>
      <ns0:c r="E274" t="str" s="14">
        <ns0:v>±20%</ns0:v>
      </ns0:c>
      <ns0:c r="F274" s="14"/>
      <ns0:c r="G274" t="str" s="14">
        <ns0:v>50 В</ns0:v>
      </ns0:c>
      <ns0:c r="H274" t="str" s="14">
        <ns0:v>X7R</ns0:v>
      </ns0:c>
      <ns0:c r="I274" t="str" s="15">
        <ns0:v>0603</ns0:v>
      </ns0:c>
      <ns0:c r="J274" t="str" s="14">
        <ns0:v>YAGEO</ns0:v>
      </ns0:c>
      <ns0:c r="K274" t="str" s="14">
        <ns0:v>CC0603MRX7R9BB474</ns0:v>
      </ns0:c>
      <ns0:c r="L274" t="str" s="11">
        <ns0:f>B274&amp;" "&amp;D274&amp;" "&amp;E274&amp;" "&amp;G274&amp;" "&amp;H274&amp;" "&amp;I274</ns0:f>
        <ns0:v>Конденсатор 470 нФ ±20% 50 В X7R 0603</ns0:v>
      </ns0:c>
      <ns0:c r="M274" t="str" s="13">
        <ns0:v>C</ns0:v>
      </ns0:c>
      <ns0:c r="N274" t="str" s="13">
        <ns0:v>Symbols\MY_LIB_Capacitors.SchLib</ns0:v>
      </ns0:c>
      <ns0:c r="O274" t="str" s="13">
        <ns0:v>CAPC1608X90N</ns0:v>
      </ns0:c>
      <ns0:c r="P274" t="str" s="13">
        <ns0:v>Footprints\PBL - SMD Packages.PcbLib</ns0:v>
      </ns0:c>
      <ns0:c r="Q274" t="str" s="14">
        <ns0:v>YAGEO CC; список 20.10.2026</ns0:v>
      </ns0:c>
      <ns0:c r="R274" t="str" s="11">
        <ns0:f>D274</ns0:f>
        <ns0:v>470 нФ</ns0:v>
      </ns0:c>
      <ns0:c r="S274" t="str" s="11">
        <ns0:f>L274</ns0:f>
        <ns0:v>Конденсатор 470 нФ ±20% 50 В X7R 0603</ns0:v>
      </ns0:c>
      <x:c xmlns:x="http://schemas.openxmlformats.org/spreadsheetml/2006/main" r="T274" t="str" s="11">
        <x:v>C:\Users\Nomatin\Documents\Altium\MY_LIB\MY_LIB\Datasheets\YAGEO_CC_X7R.pdf</x:v>
      </x:c>
      <x:c xmlns:x="http://schemas.openxmlformats.org/spreadsheetml/2006/main" r="U274" t="str" s="11">
        <x:v>Даташит — локальный</x:v>
      </x:c>
      <x:c xmlns:x="http://schemas.openxmlformats.org/spreadsheetml/2006/main" r="V274" t="str" s="11">
        <x:v>C:\Users\Nomatin\Documents\Altium\MY_LIB\MY_LIB\Datasheets\YAGEO_CC_X7R.pdf</x:v>
      </x:c>
      <x:c xmlns:x="http://schemas.openxmlformats.org/spreadsheetml/2006/main" r="W274" t="str" s="11">
        <x:v>Даташит — производитель</x:v>
      </x:c>
      <x:c xmlns:x="http://schemas.openxmlformats.org/spreadsheetml/2006/main" r="X274" t="str" s="11">
        <x:v>https://yageogroup.com/content/datasheet/asset/file/UPY-GPHC_X7R_6_3V-TO-250V</x:v>
      </x:c>
      <x:c xmlns:x="http://schemas.openxmlformats.org/spreadsheetml/2006/main" r="Y274" t="str" s="11">
        <x:v>C:\Users\Nomatin\Documents\Altium\MY_LIB\MY_LIB\Datasheets\YAGEO_CC_X7R.pdf</x:v>
      </x:c>
    </ns0:row>
    <ns0:row r="275" ht="30" customHeight="1">
      <ns0:c r="A275" t="str" s="14">
        <ns0:v>C0276</ns0:v>
      </ns0:c>
      <ns0:c r="B275" t="str" s="14">
        <ns0:v>Конденсатор</ns0:v>
      </ns0:c>
      <ns0:c r="C275" t="str" s="14">
        <ns0:v>680n</ns0:v>
      </ns0:c>
      <ns0:c r="D275" t="str" s="11">
        <ns0:f>SUBSTITUTE(SUBSTITUTE(SUBSTITUTE(SUBSTITUTE(C275,"p"," пФ"),"n"," нФ"),"u"," мкФ"),".",",")</ns0:f>
        <ns0:v>680 нФ</ns0:v>
      </ns0:c>
      <ns0:c r="E275" t="str" s="14">
        <ns0:v>±20%</ns0:v>
      </ns0:c>
      <ns0:c r="F275" s="14"/>
      <ns0:c r="G275" t="str" s="14">
        <ns0:v>50 В</ns0:v>
      </ns0:c>
      <ns0:c r="H275" t="str" s="14">
        <ns0:v>X7R</ns0:v>
      </ns0:c>
      <ns0:c r="I275" t="str" s="15">
        <ns0:v>0603</ns0:v>
      </ns0:c>
      <ns0:c r="J275" t="str" s="14">
        <ns0:v>YAGEO</ns0:v>
      </ns0:c>
      <ns0:c r="K275" t="str" s="14">
        <ns0:v>CC0603MRX7R9BB684</ns0:v>
      </ns0:c>
      <ns0:c r="L275" t="str" s="11">
        <ns0:f>B275&amp;" "&amp;D275&amp;" "&amp;E275&amp;" "&amp;G275&amp;" "&amp;H275&amp;" "&amp;I275</ns0:f>
        <ns0:v>Конденсатор 680 нФ ±20% 50 В X7R 0603</ns0:v>
      </ns0:c>
      <ns0:c r="M275" t="str" s="13">
        <ns0:v>C</ns0:v>
      </ns0:c>
      <ns0:c r="N275" t="str" s="13">
        <ns0:v>Symbols\MY_LIB_Capacitors.SchLib</ns0:v>
      </ns0:c>
      <ns0:c r="O275" t="str" s="13">
        <ns0:v>CAPC1608X90N</ns0:v>
      </ns0:c>
      <ns0:c r="P275" t="str" s="13">
        <ns0:v>Footprints\PBL - SMD Packages.PcbLib</ns0:v>
      </ns0:c>
      <ns0:c r="Q275" t="str" s="14">
        <ns0:v>YAGEO CC; список 20.10.2026</ns0:v>
      </ns0:c>
      <ns0:c r="R275" t="str" s="11">
        <ns0:f>D275</ns0:f>
        <ns0:v>680 нФ</ns0:v>
      </ns0:c>
      <ns0:c r="S275" t="str" s="11">
        <ns0:f>L275</ns0:f>
        <ns0:v>Конденсатор 680 нФ ±20% 50 В X7R 0603</ns0:v>
      </ns0:c>
      <x:c xmlns:x="http://schemas.openxmlformats.org/spreadsheetml/2006/main" r="T275" t="str" s="11">
        <x:v>C:\Users\Nomatin\Documents\Altium\MY_LIB\MY_LIB\Datasheets\YAGEO_CC_X7R.pdf</x:v>
      </x:c>
      <x:c xmlns:x="http://schemas.openxmlformats.org/spreadsheetml/2006/main" r="U275" t="str" s="11">
        <x:v>Даташит — локальный</x:v>
      </x:c>
      <x:c xmlns:x="http://schemas.openxmlformats.org/spreadsheetml/2006/main" r="V275" t="str" s="11">
        <x:v>C:\Users\Nomatin\Documents\Altium\MY_LIB\MY_LIB\Datasheets\YAGEO_CC_X7R.pdf</x:v>
      </x:c>
      <x:c xmlns:x="http://schemas.openxmlformats.org/spreadsheetml/2006/main" r="W275" t="str" s="11">
        <x:v>Даташит — производитель</x:v>
      </x:c>
      <x:c xmlns:x="http://schemas.openxmlformats.org/spreadsheetml/2006/main" r="X275" t="str" s="11">
        <x:v>https://yageogroup.com/content/datasheet/asset/file/UPY-GPHC_X7R_6_3V-TO-250V</x:v>
      </x:c>
      <x:c xmlns:x="http://schemas.openxmlformats.org/spreadsheetml/2006/main" r="Y275" t="str" s="11">
        <x:v>C:\Users\Nomatin\Documents\Altium\MY_LIB\MY_LIB\Datasheets\YAGEO_CC_X7R.pdf</x:v>
      </x:c>
    </ns0:row>
    <ns0:row r="276" ht="30" customHeight="1">
      <ns0:c r="A276" t="str" s="14">
        <ns0:v>C0277</ns0:v>
      </ns0:c>
      <ns0:c r="B276" t="str" s="14">
        <ns0:v>Конденсатор</ns0:v>
      </ns0:c>
      <ns0:c r="C276" t="str" s="14">
        <ns0:v>1u</ns0:v>
      </ns0:c>
      <ns0:c r="D276" t="str" s="11">
        <ns0:f>SUBSTITUTE(SUBSTITUTE(SUBSTITUTE(SUBSTITUTE(C276,"p"," пФ"),"n"," нФ"),"u"," мкФ"),".",",")</ns0:f>
        <ns0:v>1 мкФ</ns0:v>
      </ns0:c>
      <ns0:c r="E276" t="str" s="14">
        <ns0:v>±20%</ns0:v>
      </ns0:c>
      <ns0:c r="F276" s="14"/>
      <ns0:c r="G276" t="str" s="14">
        <ns0:v>50 В</ns0:v>
      </ns0:c>
      <ns0:c r="H276" t="str" s="14">
        <ns0:v>X7R</ns0:v>
      </ns0:c>
      <ns0:c r="I276" t="str" s="15">
        <ns0:v>0603</ns0:v>
      </ns0:c>
      <ns0:c r="J276" t="str" s="14">
        <ns0:v>YAGEO</ns0:v>
      </ns0:c>
      <ns0:c r="K276" t="str" s="14">
        <ns0:v>CC0603MRX7R9BB105</ns0:v>
      </ns0:c>
      <ns0:c r="L276" t="str" s="11">
        <ns0:f>B276&amp;" "&amp;D276&amp;" "&amp;E276&amp;" "&amp;G276&amp;" "&amp;H276&amp;" "&amp;I276</ns0:f>
        <ns0:v>Конденсатор 1 мкФ ±20% 50 В X7R 0603</ns0:v>
      </ns0:c>
      <ns0:c r="M276" t="str" s="13">
        <ns0:v>C</ns0:v>
      </ns0:c>
      <ns0:c r="N276" t="str" s="13">
        <ns0:v>Symbols\MY_LIB_Capacitors.SchLib</ns0:v>
      </ns0:c>
      <ns0:c r="O276" t="str" s="13">
        <ns0:v>CAPC1608X90N</ns0:v>
      </ns0:c>
      <ns0:c r="P276" t="str" s="13">
        <ns0:v>Footprints\PBL - SMD Packages.PcbLib</ns0:v>
      </ns0:c>
      <ns0:c r="Q276" t="str" s="14">
        <ns0:v>YAGEO CC; список 20.10.2026</ns0:v>
      </ns0:c>
      <ns0:c r="R276" t="str" s="11">
        <ns0:f>D276</ns0:f>
        <ns0:v>1 мкФ</ns0:v>
      </ns0:c>
      <ns0:c r="S276" t="str" s="11">
        <ns0:f>L276</ns0:f>
        <ns0:v>Конденсатор 1 мкФ ±20% 50 В X7R 0603</ns0:v>
      </ns0:c>
      <x:c xmlns:x="http://schemas.openxmlformats.org/spreadsheetml/2006/main" r="T276" t="str" s="11">
        <x:v>C:\Users\Nomatin\Documents\Altium\MY_LIB\MY_LIB\Datasheets\YAGEO_CC_X7R.pdf</x:v>
      </x:c>
      <x:c xmlns:x="http://schemas.openxmlformats.org/spreadsheetml/2006/main" r="U276" t="str" s="11">
        <x:v>Даташит — локальный</x:v>
      </x:c>
      <x:c xmlns:x="http://schemas.openxmlformats.org/spreadsheetml/2006/main" r="V276" t="str" s="11">
        <x:v>C:\Users\Nomatin\Documents\Altium\MY_LIB\MY_LIB\Datasheets\YAGEO_CC_X7R.pdf</x:v>
      </x:c>
      <x:c xmlns:x="http://schemas.openxmlformats.org/spreadsheetml/2006/main" r="W276" t="str" s="11">
        <x:v>Даташит — производитель</x:v>
      </x:c>
      <x:c xmlns:x="http://schemas.openxmlformats.org/spreadsheetml/2006/main" r="X276" t="str" s="11">
        <x:v>https://yageogroup.com/content/datasheet/asset/file/UPY-GPHC_X7R_6_3V-TO-250V</x:v>
      </x:c>
      <x:c xmlns:x="http://schemas.openxmlformats.org/spreadsheetml/2006/main" r="Y276" t="str" s="11">
        <x:v>C:\Users\Nomatin\Documents\Altium\MY_LIB\MY_LIB\Datasheets\YAGEO_CC_X7R.pdf</x:v>
      </x:c>
    </ns0:row>
    <ns0:row r="277" ht="30" customHeight="1">
      <ns0:c r="A277" t="str" s="14">
        <ns0:v>C0278</ns0:v>
      </ns0:c>
      <ns0:c r="B277" t="str" s="14">
        <ns0:v>Конденсатор</ns0:v>
      </ns0:c>
      <ns0:c r="C277" t="str" s="14">
        <ns0:v>2.2u</ns0:v>
      </ns0:c>
      <ns0:c r="D277" t="str" s="11">
        <ns0:f>SUBSTITUTE(SUBSTITUTE(SUBSTITUTE(SUBSTITUTE(C277,"p"," пФ"),"n"," нФ"),"u"," мкФ"),".",",")</ns0:f>
        <ns0:v>2,2 мкФ</ns0:v>
      </ns0:c>
      <ns0:c r="E277" t="str" s="14">
        <ns0:v>±20%</ns0:v>
      </ns0:c>
      <ns0:c r="F277" s="14"/>
      <ns0:c r="G277" t="str" s="14">
        <ns0:v>16 В</ns0:v>
      </ns0:c>
      <ns0:c r="H277" t="str" s="14">
        <ns0:v>X7R</ns0:v>
      </ns0:c>
      <ns0:c r="I277" t="str" s="15">
        <ns0:v>0603</ns0:v>
      </ns0:c>
      <ns0:c r="J277" t="str" s="14">
        <ns0:v>YAGEO</ns0:v>
      </ns0:c>
      <ns0:c r="K277" t="str" s="14">
        <ns0:v>CC0603MRX7R7BB225</ns0:v>
      </ns0:c>
      <ns0:c r="L277" t="str" s="11">
        <ns0:f>B277&amp;" "&amp;D277&amp;" "&amp;E277&amp;" "&amp;G277&amp;" "&amp;H277&amp;" "&amp;I277</ns0:f>
        <ns0:v>Конденсатор 2,2 мкФ ±20% 16 В X7R 0603</ns0:v>
      </ns0:c>
      <ns0:c r="M277" t="str" s="13">
        <ns0:v>C</ns0:v>
      </ns0:c>
      <ns0:c r="N277" t="str" s="13">
        <ns0:v>Symbols\MY_LIB_Capacitors.SchLib</ns0:v>
      </ns0:c>
      <ns0:c r="O277" t="str" s="13">
        <ns0:v>CAPC1608X90N</ns0:v>
      </ns0:c>
      <ns0:c r="P277" t="str" s="13">
        <ns0:v>Footprints\PBL - SMD Packages.PcbLib</ns0:v>
      </ns0:c>
      <ns0:c r="Q277" t="str" s="14">
        <ns0:v>YAGEO CC; список 20.10.2026</ns0:v>
      </ns0:c>
      <ns0:c r="R277" t="str" s="11">
        <ns0:f>D277</ns0:f>
        <ns0:v>2,2 мкФ</ns0:v>
      </ns0:c>
      <ns0:c r="S277" t="str" s="11">
        <ns0:f>L277</ns0:f>
        <ns0:v>Конденсатор 2,2 мкФ ±20% 16 В X7R 0603</ns0:v>
      </ns0:c>
      <x:c xmlns:x="http://schemas.openxmlformats.org/spreadsheetml/2006/main" r="T277" t="str" s="11">
        <x:v>C:\Users\Nomatin\Documents\Altium\MY_LIB\MY_LIB\Datasheets\YAGEO_CC_X7R.pdf</x:v>
      </x:c>
      <x:c xmlns:x="http://schemas.openxmlformats.org/spreadsheetml/2006/main" r="U277" t="str" s="11">
        <x:v>Даташит — локальный</x:v>
      </x:c>
      <x:c xmlns:x="http://schemas.openxmlformats.org/spreadsheetml/2006/main" r="V277" t="str" s="11">
        <x:v>C:\Users\Nomatin\Documents\Altium\MY_LIB\MY_LIB\Datasheets\YAGEO_CC_X7R.pdf</x:v>
      </x:c>
      <x:c xmlns:x="http://schemas.openxmlformats.org/spreadsheetml/2006/main" r="W277" t="str" s="11">
        <x:v>Даташит — производитель</x:v>
      </x:c>
      <x:c xmlns:x="http://schemas.openxmlformats.org/spreadsheetml/2006/main" r="X277" t="str" s="11">
        <x:v>https://yageogroup.com/content/datasheet/asset/file/UPY-GPHC_X7R_6_3V-TO-250V</x:v>
      </x:c>
      <x:c xmlns:x="http://schemas.openxmlformats.org/spreadsheetml/2006/main" r="Y277" t="str" s="11">
        <x:v>C:\Users\Nomatin\Documents\Altium\MY_LIB\MY_LIB\Datasheets\YAGEO_CC_X7R.pdf</x:v>
      </x:c>
    </ns0:row>
  </ns0:sheetData>
  <x:pageMargins left="0.7" right="0.7" top="0.75" bottom="0.75" header="0.3" footer="0.3"/>
  <x:tableParts count="1">
    <x:tablePart xmlns:r="http://schemas.openxmlformats.org/officeDocument/2006/relationships" r:id="Rf3f0e18cae8f4499"/>
  </x:tableParts>
</x:worksheet>
</file>

<file path=xl/worksheets/sheet3.xml><?xml version="1.0" encoding="utf-8"?>
<x:worksheet xmlns:x="http://schemas.openxmlformats.org/spreadsheetml/2006/main">
  <x:sheetPr>
    <x:tabColor rgb="FF24435B"/>
  </x:sheetPr>
  <x:sheetViews>
    <x:sheetView showGridLines="0" workbookViewId="0">
      <x:pane xSplit="2" ySplit="1" topLeftCell="C2" activePane="bottomRight" state="frozen"/>
    </x:sheetView>
  </x:sheetViews>
  <x:sheetFormatPr baseColWidth="8" defaultRowHeight="14.25"/>
  <x:cols>
    <x:col min="1" max="1" width="12" customWidth="1"/>
    <x:col min="2" max="2" width="20" customWidth="1"/>
    <x:col min="3" max="3" width="30" customWidth="1"/>
    <x:col min="4" max="4" width="19" customWidth="1"/>
    <x:col min="5" max="5" width="15" customWidth="1"/>
    <x:col min="6" max="6" width="16" customWidth="1"/>
    <x:col min="7" max="8" width="30" customWidth="1"/>
    <x:col min="8" max="8" width="26" customWidth="1"/>
    <x:col min="9" max="9" width="24" customWidth="1"/>
    <x:col min="10" max="10" width="22" customWidth="1"/>
    <x:col min="11" max="11" width="61" customWidth="1"/>
    <x:col min="12" max="12" width="30" customWidth="1"/>
    <x:col min="13" max="13" width="34" customWidth="1"/>
    <x:col min="14" max="14" width="30" customWidth="1"/>
    <x:col min="15" max="15" width="34" customWidth="1"/>
    <x:col min="16" max="16" width="62" customWidth="1"/>
    <x:col min="17" max="17" width="18" customWidth="1"/>
    <x:col min="18" max="18" width="20" customWidth="1"/>
    <x:col min="19" max="19" width="60" customWidth="1"/>
    <x:col min="20" max="20" width="29" customWidth="1"/>
    <x:col min="21" max="21" width="29" customWidth="1"/>
    <x:col min="22" max="22" width="29" customWidth="1"/>
    <x:col min="23" max="23" width="29" customWidth="1"/>
    <x:col min="24" max="24" width="29" customWidth="1"/>
    <x:col min="25" max="25" width="29" customWidth="1"/>
    <x:col min="26" max="26" width="29" customWidth="1"/>
    <x:col min="27" max="27" width="52" customWidth="1"/>
    <x:col min="28" max="28" width="52" customWidth="1"/>
    <x:col min="29" max="29" width="52" customWidth="1"/>
    <x:col min="30" max="30" width="52" customWidth="1"/>
    <x:col min="31" max="31" width="45" customWidth="1"/>
    <x:col min="32" max="32" width="45" customWidth="1"/>
    <x:col min="33" max="33" width="45" customWidth="1"/>
  </x:cols>
  <ns0:sheetData xmlns:ns0="http://schemas.openxmlformats.org/spreadsheetml/2006/main">
    <ns0:row r="1" ht="34.04999923706055" customHeight="1">
      <ns0:c r="A1" t="inlineStr" s="8">
        <ns0:is>
          <ns0:t xml:space="preserve">ID</ns0:t>
        </ns0:is>
      </ns0:c>
      <ns0:c r="B1" t="inlineStr" s="8">
        <ns0:is>
          <ns0:t xml:space="preserve">Type</ns0:t>
        </ns0:is>
      </ns0:c>
      <ns0:c r="C1" t="inlineStr" s="8">
        <ns0:is>
          <ns0:t xml:space="preserve">Value</ns0:t>
        </ns0:is>
      </ns0:c>
      <ns0:c r="D1" t="inlineStr" s="8">
        <ns0:is>
          <ns0:t xml:space="preserve">ESKD_value</ns0:t>
        </ns0:is>
      </ns0:c>
      <ns0:c r="E1" t="inlineStr" s="8">
        <ns0:is>
          <ns0:t xml:space="preserve">Tolerance</ns0:t>
        </ns0:is>
      </ns0:c>
      <ns0:c r="F1" t="inlineStr" s="8">
        <ns0:is>
          <ns0:t xml:space="preserve">Power</ns0:t>
        </ns0:is>
      </ns0:c>
      <ns0:c r="G1" t="inlineStr" s="8">
        <ns0:is>
          <ns0:t xml:space="preserve">Voltage</ns0:t>
        </ns0:is>
      </ns0:c>
      <ns0:c r="H1" t="inlineStr" s="8">
        <ns0:is>
          <ns0:t xml:space="preserve">Package</ns0:t>
        </ns0:is>
      </ns0:c>
      <ns0:c r="I1" t="inlineStr" s="8">
        <ns0:is>
          <ns0:t xml:space="preserve">Manufacturer</ns0:t>
        </ns0:is>
      </ns0:c>
      <ns0:c r="J1" t="inlineStr" s="8">
        <ns0:is>
          <ns0:t xml:space="preserve">MPN</ns0:t>
        </ns0:is>
      </ns0:c>
      <ns0:c r="K1" t="inlineStr" s="8">
        <ns0:is>
          <ns0:t xml:space="preserve">CommentBase</ns0:t>
        </ns0:is>
      </ns0:c>
      <ns0:c r="L1" t="inlineStr" s="8">
        <ns0:is>
          <ns0:t xml:space="preserve">Library Ref</ns0:t>
        </ns0:is>
      </ns0:c>
      <ns0:c r="M1" t="inlineStr" s="8">
        <ns0:is>
          <ns0:t xml:space="preserve">Library Path</ns0:t>
        </ns0:is>
      </ns0:c>
      <ns0:c r="N1" t="inlineStr" s="8">
        <ns0:is>
          <ns0:t xml:space="preserve">Footprint Ref</ns0:t>
        </ns0:is>
      </ns0:c>
      <ns0:c r="O1" t="inlineStr" s="8">
        <ns0:is>
          <ns0:t xml:space="preserve">Footprint Path</ns0:t>
        </ns0:is>
      </ns0:c>
      <ns0:c r="P1" t="inlineStr" s="8">
        <ns0:is>
          <ns0:t xml:space="preserve">Notes</ns0:t>
        </ns0:is>
      </ns0:c>
      <ns0:c r="Q1" t="inlineStr" s="8">
        <ns0:is>
          <ns0:t xml:space="preserve">Dielectric</ns0:t>
        </ns0:is>
      </ns0:c>
      <ns0:c r="R1" t="inlineStr" s="9">
        <ns0:is>
          <ns0:t xml:space="preserve">Comment</ns0:t>
        </ns0:is>
      </ns0:c>
      <ns0:c r="S1" t="inlineStr" s="9">
        <ns0:is>
          <ns0:t xml:space="preserve">Description</ns0:t>
        </ns0:is>
      </ns0:c>
      <ns0:c r="T1" t="inlineStr" s="17">
        <ns0:is>
          <ns0:t xml:space="preserve">OperatingTemperatureMin</ns0:t>
        </ns0:is>
      </ns0:c>
      <ns0:c r="U1" t="inlineStr" s="17">
        <ns0:is>
          <ns0:t xml:space="preserve">OperatingTemperatureMax</ns0:t>
        </ns0:is>
      </ns0:c>
      <ns0:c r="V1" t="inlineStr" s="17">
        <ns0:is>
          <ns0:t xml:space="preserve">TemperatureReference</ns0:t>
        </ns0:is>
      </ns0:c>
      <ns0:c r="W1" t="inlineStr" s="17">
        <ns0:is>
          <ns0:t xml:space="preserve">StorageTemperatureMin</ns0:t>
        </ns0:is>
      </ns0:c>
      <ns0:c r="X1" t="inlineStr" s="17">
        <ns0:is>
          <ns0:t xml:space="preserve">StorageTemperatureMax</ns0:t>
        </ns0:is>
      </ns0:c>
      <ns0:c r="Y1" t="inlineStr" s="17">
        <ns0:is>
          <ns0:t xml:space="preserve">JunctionTemperatureMin</ns0:t>
        </ns0:is>
      </ns0:c>
      <ns0:c r="Z1" t="inlineStr" s="17">
        <ns0:is>
          <ns0:t xml:space="preserve">JunctionTemperatureMax</ns0:t>
        </ns0:is>
      </ns0:c>
      <x:c xmlns:x="http://schemas.openxmlformats.org/spreadsheetml/2006/main" r="AA1" t="str" s="17">
        <x:v>Datasheet</x:v>
      </x:c>
      <ns0:c r="AB1" t="inlineStr" s="17">
        <ns0:is>
          <ns0:t xml:space="preserve">DatasheetRevision</ns0:t>
        </ns0:is>
      </ns0:c>
      <x:c xmlns:x="http://schemas.openxmlformats.org/spreadsheetml/2006/main" r="AC1" t="str" s="17">
        <x:v>ComponentLink1Description</x:v>
      </x:c>
      <x:c xmlns:x="http://schemas.openxmlformats.org/spreadsheetml/2006/main" r="AD1" t="str" s="17">
        <x:v>ComponentLink1URL</x:v>
      </x:c>
      <x:c xmlns:x="http://schemas.openxmlformats.org/spreadsheetml/2006/main" r="AE1" t="str" s="17">
        <x:v>ComponentLink2Description</x:v>
      </x:c>
      <x:c xmlns:x="http://schemas.openxmlformats.org/spreadsheetml/2006/main" r="AF1" t="str" s="17">
        <x:v>ComponentLink2URL</x:v>
      </x:c>
      <x:c xmlns:x="http://schemas.openxmlformats.org/spreadsheetml/2006/main" r="AG1" t="str" s="17">
        <x:v>HelpURL</x:v>
      </x:c>
    </ns0:row>
    <ns0:row r="2" ht="110" customHeight="1">
      <ns0:c r="A2" t="inlineStr" s="18">
        <ns0:is>
          <ns0:t xml:space="preserve">U0002</ns0:t>
        </ns0:is>
      </ns0:c>
      <ns0:c r="B2" t="inlineStr" s="18">
        <ns0:is>
          <ns0:t xml:space="preserve">Микросхема</ns0:t>
        </ns0:is>
      </ns0:c>
      <ns0:c r="C2" t="inlineStr" s="18">
        <ns0:is>
          <ns0:t xml:space="preserve">CP2102N-A02-GQFN24</ns0:t>
        </ns0:is>
      </ns0:c>
      <ns0:c r="D2" t="str" s="19">
        <ns0:f>C2</ns0:f>
        <ns0:v>CP2102N-A02-GQFN24</ns0:v>
      </ns0:c>
      <ns0:c r="E2" s="18"/>
      <ns0:c r="F2" s="18"/>
      <ns0:c r="G2" t="inlineStr" s="18">
        <ns0:is>
          <ns0:t xml:space="preserve">3.0–3.6 V (VDD); 3.0–5.25 V (VREGIN)</ns0:t>
        </ns0:is>
      </ns0:c>
      <ns0:c r="H2" t="inlineStr" s="20">
        <ns0:is>
          <ns0:t xml:space="preserve">QFN-24 4×4 mm, EP</ns0:t>
        </ns0:is>
      </ns0:c>
      <ns0:c r="I2" t="inlineStr" s="18">
        <ns0:is>
          <ns0:t xml:space="preserve">Silicon Labs</ns0:t>
        </ns0:is>
      </ns0:c>
      <ns0:c r="J2" t="inlineStr" s="18">
        <ns0:is>
          <ns0:t xml:space="preserve">CP2102N-A02-GQFN24</ns0:t>
        </ns0:is>
      </ns0:c>
      <ns0:c r="K2" t="str" s="21">
        <ns0:f>B2&amp;" "&amp;J2</ns0:f>
        <ns0:v>Микросхема CP2102N-A02-GQFN24</ns0:v>
      </ns0:c>
      <ns0:c r="L2" t="inlineStr" s="22">
        <ns0:is>
          <ns0:t xml:space="preserve">CP2102N-A02-GQFN24</ns0:t>
        </ns0:is>
      </ns0:c>
      <ns0:c r="M2" t="inlineStr" s="22">
        <ns0:is>
          <ns0:t xml:space="preserve">Symbols\MY_LIB_IC.SchLib</ns0:t>
        </ns0:is>
      </ns0:c>
      <ns0:c r="N2" t="inlineStr" s="22">
        <ns0:is>
          <ns0:t xml:space="preserve">CP2102N-A02-GQFN24_DS15</ns0:t>
        </ns0:is>
      </ns0:c>
      <ns0:c r="O2" t="inlineStr" s="22">
        <ns0:is>
          <ns0:t xml:space="preserve">Footprints\MY_LIB_IC.PcbLib</ns0:t>
        </ns0:is>
      </ns0:c>
      <ns0:c r="P2" t="inlineStr" s="18">
        <ns0:is>
          <ns0:t xml:space="preserve">USB–UART, до 3 Мбод. EP=25 (GND). TA −40…+85 °C: табл. 3.1. Tj −40…+105 °C и хранение: absolute maximum, табл. 3.10.</ns0:t>
        </ns0:is>
      </ns0:c>
      <ns0:c r="Q2" s="18"/>
      <ns0:c r="R2" t="str" s="23">
        <ns0:f>D2</ns0:f>
        <ns0:v>CP2102N-A02-GQFN24</ns0:v>
      </ns0:c>
      <ns0:c r="S2" t="str" s="24">
        <ns0:f>K2</ns0:f>
        <ns0:v>Микросхема CP2102N-A02-GQFN24</ns0:v>
      </ns0:c>
      <ns0:c r="T2" t="n" s="25">
        <ns0:v>-40</ns0:v>
      </ns0:c>
      <ns0:c r="U2" t="n" s="25">
        <ns0:v>85</ns0:v>
      </ns0:c>
      <ns0:c r="V2" t="inlineStr" s="24">
        <ns0:is>
          <ns0:t xml:space="preserve">TA (ambient), °C; recommended operating</ns0:t>
        </ns0:is>
      </ns0:c>
      <ns0:c r="W2" t="n" s="25">
        <ns0:v>-65</ns0:v>
      </ns0:c>
      <ns0:c r="X2" t="n" s="25">
        <ns0:v>150</ns0:v>
      </ns0:c>
      <ns0:c r="Y2" t="n" s="25">
        <ns0:v>-40</ns0:v>
      </ns0:c>
      <ns0:c r="Z2" t="n" s="25">
        <ns0:v>105</ns0:v>
      </ns0:c>
      <x:c xmlns:x="http://schemas.openxmlformats.org/spreadsheetml/2006/main" r="AA2" t="str" s="26">
        <x:v>C:\Users\Nomatin\Documents\Altium\MY_LIB\MY_LIB\Datasheets\cp2102n-datasheet.pdf</x:v>
      </x:c>
      <ns0:c r="AB2" t="inlineStr" s="24">
        <ns0:is>
          <ns0:t xml:space="preserve">Rev. 1.5</ns0:t>
        </ns0:is>
      </ns0:c>
      <x:c xmlns:x="http://schemas.openxmlformats.org/spreadsheetml/2006/main" r="AC2" t="str" s="24">
        <x:v>Даташит — локальный</x:v>
      </x:c>
      <x:c xmlns:x="http://schemas.openxmlformats.org/spreadsheetml/2006/main" r="AD2" t="str" s="26">
        <x:v>C:\Users\Nomatin\Documents\Altium\MY_LIB\MY_LIB\Datasheets\cp2102n-datasheet.pdf</x:v>
      </x:c>
      <x:c xmlns:x="http://schemas.openxmlformats.org/spreadsheetml/2006/main" r="AE2" t="str" s="25">
        <x:v>Даташит — производитель</x:v>
      </x:c>
      <x:c xmlns:x="http://schemas.openxmlformats.org/spreadsheetml/2006/main" r="AF2" t="str" s="25">
        <x:v>https://www.silabs.com/documents/public/data-sheets/cp2102n-datasheet.pdf</x:v>
      </x:c>
      <x:c xmlns:x="http://schemas.openxmlformats.org/spreadsheetml/2006/main" r="AG2" t="str" s="25">
        <x:v>C:\Users\Nomatin\Documents\Altium\MY_LIB\MY_LIB\Datasheets\cp2102n-datasheet.pdf</x:v>
      </x:c>
    </ns0:row>
    <ns0:row r="3" ht="110" customHeight="1">
      <ns0:c r="A3" t="inlineStr" s="18">
        <ns0:is>
          <ns0:t xml:space="preserve">U0003</ns0:t>
        </ns0:is>
      </ns0:c>
      <ns0:c r="B3" t="inlineStr" s="18">
        <ns0:is>
          <ns0:t xml:space="preserve">Микросхема</ns0:t>
        </ns0:is>
      </ns0:c>
      <ns0:c r="C3" t="inlineStr" s="18">
        <ns0:is>
          <ns0:t xml:space="preserve">USBLC6-2SC6</ns0:t>
        </ns0:is>
      </ns0:c>
      <ns0:c r="D3" t="str" s="19">
        <ns0:f>C3</ns0:f>
        <ns0:v>USBLC6-2SC6</ns0:v>
      </ns0:c>
      <ns0:c r="E3" s="18"/>
      <ns0:c r="F3" s="18"/>
      <ns0:c r="G3" t="inlineStr" s="18">
        <ns0:is>
          <ns0:t xml:space="preserve">5.25 V (VRM)</ns0:t>
        </ns0:is>
      </ns0:c>
      <ns0:c r="H3" t="inlineStr" s="20">
        <ns0:is>
          <ns0:t xml:space="preserve">SOT23-6L</ns0:t>
        </ns0:is>
      </ns0:c>
      <ns0:c r="I3" t="inlineStr" s="18">
        <ns0:is>
          <ns0:t xml:space="preserve">STMicroelectronics</ns0:t>
        </ns0:is>
      </ns0:c>
      <ns0:c r="J3" t="inlineStr" s="18">
        <ns0:is>
          <ns0:t xml:space="preserve">USBLC6-2SC6</ns0:t>
        </ns0:is>
      </ns0:c>
      <ns0:c r="K3" t="str" s="21">
        <ns0:f>B3&amp;" "&amp;J3</ns0:f>
        <ns0:v>Микросхема USBLC6-2SC6</ns0:v>
      </ns0:c>
      <ns0:c r="L3" t="inlineStr" s="22">
        <ns0:is>
          <ns0:t xml:space="preserve">USBLC6-2SC6</ns0:t>
        </ns0:is>
      </ns0:c>
      <ns0:c r="M3" t="inlineStr" s="22">
        <ns0:is>
          <ns0:t xml:space="preserve">Symbols\MY_LIB_IC.SchLib</ns0:t>
        </ns0:is>
      </ns0:c>
      <ns0:c r="N3" t="inlineStr" s="22">
        <ns0:is>
          <ns0:t xml:space="preserve">ST_SOT23-6L</ns0:t>
        </ns0:is>
      </ns0:c>
      <ns0:c r="O3" t="inlineStr" s="22">
        <ns0:is>
          <ns0:t xml:space="preserve">Footprints\MY_LIB_IC.PcbLib</ns0:t>
        </ns0:is>
      </ns0:c>
      <ns0:c r="P3" t="inlineStr" s="18">
        <ns0:is>
          <ns0:t xml:space="preserve">ESD-защита двух линий USB. Tj −40…+150 °C (не TA), табл. 1 absolute ratings. I/O1=1,6; I/O2=3,4; GND=2; VBUS=5.</ns0:t>
        </ns0:is>
      </ns0:c>
      <ns0:c r="Q3" s="18"/>
      <ns0:c r="R3" t="str" s="23">
        <ns0:f>D3</ns0:f>
        <ns0:v>USBLC6-2SC6</ns0:v>
      </ns0:c>
      <ns0:c r="S3" t="str" s="24">
        <ns0:f>K3</ns0:f>
        <ns0:v>Микросхема USBLC6-2SC6</ns0:v>
      </ns0:c>
      <ns0:c r="T3" t="n" s="25">
        <ns0:v>-40</ns0:v>
      </ns0:c>
      <ns0:c r="U3" t="n" s="25">
        <ns0:v>150</ns0:v>
      </ns0:c>
      <ns0:c r="V3" t="inlineStr" s="24">
        <ns0:is>
          <ns0:t xml:space="preserve">Tj (junction), °C; Table 1 absolute ratings</ns0:t>
        </ns0:is>
      </ns0:c>
      <ns0:c r="W3" t="n" s="25">
        <ns0:v>-55</ns0:v>
      </ns0:c>
      <ns0:c r="X3" t="n" s="25">
        <ns0:v>150</ns0:v>
      </ns0:c>
      <ns0:c r="Y3" t="n" s="25">
        <ns0:v>-40</ns0:v>
      </ns0:c>
      <ns0:c r="Z3" t="n" s="25">
        <ns0:v>150</ns0:v>
      </ns0:c>
      <x:c xmlns:x="http://schemas.openxmlformats.org/spreadsheetml/2006/main" r="AA3" t="str" s="26">
        <x:v>C:\Users\Nomatin\Documents\Altium\MY_LIB\MY_LIB\Datasheets\USBLC6-2_ST.pdf</x:v>
      </x:c>
      <ns0:c r="AB3" t="inlineStr" s="24">
        <ns0:is>
          <ns0:t xml:space="preserve">DS4260 Rev 7, December 2021</ns0:t>
        </ns0:is>
      </ns0:c>
      <x:c xmlns:x="http://schemas.openxmlformats.org/spreadsheetml/2006/main" r="AC3" t="str" s="24">
        <x:v>Даташит — локальный</x:v>
      </x:c>
      <x:c xmlns:x="http://schemas.openxmlformats.org/spreadsheetml/2006/main" r="AD3" t="str" s="26">
        <x:v>C:\Users\Nomatin\Documents\Altium\MY_LIB\MY_LIB\Datasheets\USBLC6-2_ST.pdf</x:v>
      </x:c>
      <x:c xmlns:x="http://schemas.openxmlformats.org/spreadsheetml/2006/main" r="AE3" t="str" s="25">
        <x:v>Даташит — производитель</x:v>
      </x:c>
      <x:c xmlns:x="http://schemas.openxmlformats.org/spreadsheetml/2006/main" r="AF3" t="str" s="25">
        <x:v>https://www.st.com/resource/en/datasheet/usblc6-2.pdf</x:v>
      </x:c>
      <x:c xmlns:x="http://schemas.openxmlformats.org/spreadsheetml/2006/main" r="AG3" t="str" s="25">
        <x:v>C:\Users\Nomatin\Documents\Altium\MY_LIB\MY_LIB\Datasheets\USBLC6-2_ST.pdf</x:v>
      </x:c>
    </ns0:row>
    <ns0:row r="4" ht="110" customHeight="1">
      <ns0:c r="A4" t="str" s="37">
        <ns0:v>U0004</ns0:v>
      </ns0:c>
      <ns0:c r="B4" t="str" s="37">
        <ns0:v>Микросхема</ns0:v>
      </ns0:c>
      <ns0:c r="C4" t="str" s="37">
        <ns0:v>ISOW1432DFMR</ns0:v>
      </ns0:c>
      <ns0:c r="D4" t="str" s="38">
        <ns0:f>C4</ns0:f>
        <ns0:v>ISOW1432DFMR</ns0:v>
      </ns0:c>
      <ns0:c r="E4" s="37"/>
      <ns0:c r="F4" s="37"/>
      <ns0:c r="G4" t="str" s="37">
        <ns0:v>VIO: 1,71–1,89 / 2,25–5,5 В; VDD: 3–5,5 В</ns0:v>
      </ns0:c>
      <ns0:c r="H4" t="str" s="39">
        <ns0:v>SOIC-20 DFM (7,5×12,83 мм)</ns0:v>
      </ns0:c>
      <ns0:c r="I4" t="str" s="37">
        <ns0:v>Texas Instruments</ns0:v>
      </ns0:c>
      <ns0:c r="J4" t="str" s="37">
        <ns0:v>ISOW1432DFMR</ns0:v>
      </ns0:c>
      <ns0:c r="K4" t="str" s="40">
        <ns0:f>B4&amp;" "&amp;J4</ns0:f>
        <ns0:v>Микросхема ISOW1432DFMR</ns0:v>
      </ns0:c>
      <ns0:c r="L4" t="str" s="41">
        <ns0:v>ISOW1432DFMR</ns0:v>
      </ns0:c>
      <ns0:c r="M4" t="str" s="41">
        <ns0:v>Symbols\MY_LIB_IC.SchLib</ns0:v>
      </ns0:c>
      <ns0:c r="N4" t="str" s="41">
        <ns0:v>TI_DFM0020A</ns0:v>
      </ns0:c>
      <ns0:c r="O4" t="str" s="41">
        <ns0:v>Footprints\MY_LIB_IC.PcbLib</ns0:v>
      </ns0:c>
      <ns0:c r="P4" t="str" s="37">
        <ns0:v>RS-485/RS-422 full duplex, 12 Мбит/с; DC-DC. Внешние соединения GNDIO/GND1, VISOOUT/VISOIN, GISOIN/GND2 — по TI.</ns0:v>
      </ns0:c>
      <ns0:c r="Q4" s="37"/>
      <ns0:c r="R4" t="str" s="38">
        <ns0:f>D4</ns0:f>
        <ns0:v>ISOW1432DFMR</ns0:v>
      </ns0:c>
      <ns0:c r="S4" t="str" s="40">
        <ns0:f>K4</ns0:f>
        <ns0:v>Микросхема ISOW1432DFMR</ns0:v>
      </ns0:c>
      <ns0:c r="T4" t="n" s="42">
        <ns0:v>-40</ns0:v>
      </ns0:c>
      <ns0:c r="U4" t="n" s="42">
        <ns0:v>125</ns0:v>
      </ns0:c>
      <ns0:c r="V4" t="str" s="40">
        <ns0:v>TA (ambient), °C; recommended operating</ns0:v>
      </ns0:c>
      <ns0:c r="W4" t="n" s="42">
        <ns0:v>-65</ns0:v>
      </ns0:c>
      <ns0:c r="X4" t="n" s="42">
        <ns0:v>150</ns0:v>
      </ns0:c>
      <ns0:c r="Y4" t="n" s="42">
        <ns0:v>-40</ns0:v>
      </ns0:c>
      <ns0:c r="Z4" t="n" s="42">
        <ns0:v>150</ns0:v>
      </ns0:c>
      <x:c xmlns:x="http://schemas.openxmlformats.org/spreadsheetml/2006/main" r="AA4" t="str" s="37">
        <x:v>C:\Users\Nomatin\Documents\Altium\MY_LIB\MY_LIB\Datasheets\ISOW1432_TI.pdf</x:v>
      </x:c>
      <ns0:c r="AB4" t="str" s="37">
        <ns0:v>SLLSF86D, August 2026</ns0:v>
      </ns0:c>
      <x:c xmlns:x="http://schemas.openxmlformats.org/spreadsheetml/2006/main" r="AC4" t="str" s="37">
        <x:v>Даташит — локальный</x:v>
      </x:c>
      <x:c xmlns:x="http://schemas.openxmlformats.org/spreadsheetml/2006/main" r="AD4" t="str" s="37">
        <x:v>C:\Users\Nomatin\Documents\Altium\MY_LIB\MY_LIB\Datasheets\ISOW1432_TI.pdf</x:v>
      </x:c>
      <x:c xmlns:x="http://schemas.openxmlformats.org/spreadsheetml/2006/main" r="AE4" t="str" s="42">
        <x:v>Даташит — производитель</x:v>
      </x:c>
      <x:c xmlns:x="http://schemas.openxmlformats.org/spreadsheetml/2006/main" r="AF4" t="str" s="42">
        <x:v>https://www.ti.com/lit/ds/symlink/isow1432.pdf</x:v>
      </x:c>
      <x:c xmlns:x="http://schemas.openxmlformats.org/spreadsheetml/2006/main" r="AG4" t="str" s="42">
        <x:v>C:\Users\Nomatin\Documents\Altium\MY_LIB\MY_LIB\Datasheets\ISOW1432_TI.pdf</x:v>
      </x:c>
    </ns0:row>
    <ns0:row r="5" ht="110" customHeight="1">
      <ns0:c r="A5" t="str" s="37">
        <ns0:v>U0005</ns0:v>
      </ns0:c>
      <ns0:c r="B5" t="str" s="37">
        <ns0:v>TVS-сборка</ns0:v>
      </ns0:c>
      <ns0:c r="C5" t="str" s="37">
        <ns0:v>CDSOT23-SM712</ns0:v>
      </ns0:c>
      <ns0:c r="D5" t="str" s="38">
        <ns0:f>C5</ns0:f>
        <ns0:v>CDSOT23-SM712</ns0:v>
      </ns0:c>
      <ns0:c r="E5" s="37"/>
      <ns0:c r="F5" t="str" s="37">
        <ns0:v>400 Вт (импульс 8/20 мкс)</ns0:v>
      </ns0:c>
      <ns0:c r="G5" t="str" s="37">
        <ns0:v>VWM: 7/12 В (по полярности)</ns0:v>
      </ns0:c>
      <ns0:c r="H5" t="str" s="39">
        <ns0:v>SOT23-3</ns0:v>
      </ns0:c>
      <ns0:c r="I5" t="str" s="37">
        <ns0:v>Bourns</ns0:v>
      </ns0:c>
      <ns0:c r="J5" t="str" s="37">
        <ns0:v>CDSOT23-SM712</ns0:v>
      </ns0:c>
      <ns0:c r="K5" t="str" s="40">
        <ns0:f>B5&amp;" "&amp;J5</ns0:f>
        <ns0:v>TVS-сборка CDSOT23-SM712</ns0:v>
      </ns0:c>
      <ns0:c r="L5" t="str" s="41">
        <ns0:v>CDSOT23-SM712</ns0:v>
      </ns0:c>
      <ns0:c r="M5" t="str" s="41">
        <ns0:v>Symbols\MY_LIB_IC.SchLib</ns0:v>
      </ns0:c>
      <ns0:c r="N5" t="str" s="41">
        <ns0:v>BOURNS_CDSOT23_SM712</ns0:v>
      </ns0:c>
      <ns0:c r="O5" t="str" s="41">
        <ns0:v>Footprints\CDSOT23-SM712_UL\BOURNS_CDSOT23_SM712.PcbLib</ns0:v>
      </ns0:c>
      <ns0:c r="P5" t="str" s="37">
        <ns0:v>RS-485 TVS: 1=I/O1, 2=I/O2, 3=GND. VWM: 3→1/2 — 7 В; 1/2→3 — 12 В. IPP 17 А, 8/20 мкс.</ns0:v>
      </ns0:c>
      <ns0:c r="Q5" s="37"/>
      <ns0:c r="R5" t="str" s="38">
        <ns0:f>D5</ns0:f>
        <ns0:v>CDSOT23-SM712</ns0:v>
      </ns0:c>
      <ns0:c r="S5" t="str" s="40">
        <ns0:f>K5</ns0:f>
        <ns0:v>TVS-сборка CDSOT23-SM712</ns0:v>
      </ns0:c>
      <ns0:c r="T5" t="n" s="42">
        <ns0:v>-55</ns0:v>
      </ns0:c>
      <ns0:c r="U5" t="n" s="42">
        <ns0:v>150</ns0:v>
      </ns0:c>
      <ns0:c r="V5" t="str" s="40">
        <ns0:v>TOPR, °C; datasheet absolute ratings</ns0:v>
      </ns0:c>
      <ns0:c r="W5" t="n" s="42">
        <ns0:v>-55</ns0:v>
      </ns0:c>
      <ns0:c r="X5" t="n" s="42">
        <ns0:v>150</ns0:v>
      </ns0:c>
      <ns0:c r="Y5" s="42"/>
      <ns0:c r="Z5" s="42"/>
      <x:c xmlns:x="http://schemas.openxmlformats.org/spreadsheetml/2006/main" r="AA5" t="str" s="37">
        <x:v>C:\Users\Nomatin\Documents\Altium\MY_LIB\MY_LIB\Datasheets\CDSOT23-SM712_Bourns.pdf</x:v>
      </x:c>
      <ns0:c r="AB5" t="str" s="37">
        <ns0:v>Rev. 06/24</ns0:v>
      </ns0:c>
      <x:c xmlns:x="http://schemas.openxmlformats.org/spreadsheetml/2006/main" r="AC5" t="str" s="37">
        <x:v>Даташит — локальный</x:v>
      </x:c>
      <x:c xmlns:x="http://schemas.openxmlformats.org/spreadsheetml/2006/main" r="AD5" t="str" s="37">
        <x:v>C:\Users\Nomatin\Documents\Altium\MY_LIB\MY_LIB\Datasheets\CDSOT23-SM712_Bourns.pdf</x:v>
      </x:c>
      <x:c xmlns:x="http://schemas.openxmlformats.org/spreadsheetml/2006/main" r="AE5" t="str" s="42">
        <x:v>Даташит — производитель</x:v>
      </x:c>
      <x:c xmlns:x="http://schemas.openxmlformats.org/spreadsheetml/2006/main" r="AF5" t="str" s="42">
        <x:v>https://www.bourns.com/docs/product-datasheets/cdsot23-sm712.pdf</x:v>
      </x:c>
      <x:c xmlns:x="http://schemas.openxmlformats.org/spreadsheetml/2006/main" r="AG5" t="str" s="42">
        <x:v>C:\Users\Nomatin\Documents\Altium\MY_LIB\MY_LIB\Datasheets\CDSOT23-SM712_Bourns.pdf</x:v>
      </x:c>
    </ns0:row>
  </ns0:sheetData>
  <x:hyperlinks>
    <x:hyperlink xmlns:r="http://schemas.openxmlformats.org/officeDocument/2006/relationships" ref="AA3" r:id="R1c4bca6533874f2f"/>
    <x:hyperlink xmlns:r="http://schemas.openxmlformats.org/officeDocument/2006/relationships" ref="AD3" r:id="R9095a22ed94f4365"/>
    <x:hyperlink xmlns:r="http://schemas.openxmlformats.org/officeDocument/2006/relationships" ref="AA4" r:id="Rdb1e5dea436940a3"/>
    <x:hyperlink xmlns:r="http://schemas.openxmlformats.org/officeDocument/2006/relationships" ref="AD4" r:id="Rcf817795add64a6d"/>
  </x:hyperlinks>
  <x:pageMargins left="0.7" right="0.7" top="0.75" bottom="0.75" header="0.3" footer="0.3"/>
  <x:tableParts count="1">
    <x:tablePart xmlns:r="http://schemas.openxmlformats.org/officeDocument/2006/relationships" r:id="Rad05b27715d349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42" hidden="0" customWidth="1"/>
    <x:col min="16" max="16" width="55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45" customWidth="1"/>
    <x:col min="25" max="25" width="45" customWidth="1"/>
    <x:col min="26" max="26" width="45" customWidth="1"/>
  </x:cols>
  <x:sheetData>
    <x:row r="1" ht="42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xmlns:x="http://schemas.openxmlformats.org/spreadsheetml/2006/main" r="X1" t="str" s="32">
        <x:v>ComponentLink2Description</x:v>
      </x:c>
      <x:c xmlns:x="http://schemas.openxmlformats.org/spreadsheetml/2006/main" r="Y1" t="str" s="32">
        <x:v>ComponentLink2URL</x:v>
      </x:c>
      <x:c xmlns:x="http://schemas.openxmlformats.org/spreadsheetml/2006/main" r="Z1" t="str" s="32">
        <x:v>HelpURL</x:v>
      </x:c>
    </x:row>
    <x:row r="2" ht="62" customHeight="1">
      <x:c r="A2" s="33" t="str">
        <x:v>XS0001</x:v>
      </x:c>
      <x:c r="B2" s="33" t="str">
        <x:v>Разъём</x:v>
      </x:c>
      <x:c r="C2" s="33" t="str">
        <x:v>USB Type-C</x:v>
      </x:c>
      <x:c r="D2" s="34" t="str">
        <x:f>C2</x:f>
        <x:v>USB Type-C</x:v>
      </x:c>
      <x:c r="E2" s="33"/>
      <x:c r="F2" s="33"/>
      <x:c r="G2" s="33"/>
      <x:c r="H2" s="35" t="str">
        <x:v>USB Type-C, SMT</x:v>
      </x:c>
      <x:c r="I2" s="33" t="str">
        <x:v>GCT</x:v>
      </x:c>
      <x:c r="J2" s="33" t="str">
        <x:v>USB4110-GF-A</x:v>
      </x:c>
      <x:c r="K2" s="34" t="str">
        <x:f>B2&amp;" "&amp;D2&amp;" "&amp;J2</x:f>
        <x:v>Разъём USB Type-C USB4110-GF-A</x:v>
      </x:c>
      <x:c r="L2" s="36" t="str">
        <x:v>USB4110-GF-A</x:v>
      </x:c>
      <x:c r="M2" s="36" t="str">
        <x:v>Symbols\MY_LIB_Connectors.SchLib</x:v>
      </x:c>
      <x:c r="N2" s="36" t="str">
        <x:v>USB4110-GF-A_GCT</x:v>
      </x:c>
      <x:c r="O2" s="36" t="str">
        <x:v>Footprints\MY_LIB_Connectors.PcbLib</x:v>
      </x:c>
      <x:c r="P2" s="33" t="str">
        <x:v>USB 2.0; 12 сигнальных выводов + SH; 4 площадки корпуса SH</x:v>
      </x:c>
      <x:c r="Q2" s="33"/>
      <x:c r="R2" s="34" t="str">
        <x:f>D2</x:f>
        <x:v>USB Type-C</x:v>
      </x:c>
      <x:c r="S2" s="34" t="str">
        <x:f>K2</x:f>
        <x:v>Разъём USB Type-C USB4110-GF-A</x:v>
      </x:c>
      <x:c xmlns:x="http://schemas.openxmlformats.org/spreadsheetml/2006/main" r="T2" t="str" s="33">
        <x:v>C:\Users\Nomatin\Documents\Altium\MY_LIB\MY_LIB\Datasheets\GCT_USB4110\USB4110_drawing.pdf</x:v>
      </x:c>
      <x:c r="U2" s="33" t="str">
        <x:v>B4, 22.05.2024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C:\Users\Nomatin\Documents\Altium\MY_LIB\MY_LIB\Datasheets\GCT_USB4110\USB4110_drawing.pdf</x:v>
      </x:c>
      <x:c xmlns:x="http://schemas.openxmlformats.org/spreadsheetml/2006/main" r="X2" t="str" s="33">
        <x:v>Даташит — производитель</x:v>
      </x:c>
      <x:c xmlns:x="http://schemas.openxmlformats.org/spreadsheetml/2006/main" r="Y2" t="str" s="33">
        <x:v>https://gct.co/files/drawings/usb4110.pdf</x:v>
      </x:c>
      <x:c xmlns:x="http://schemas.openxmlformats.org/spreadsheetml/2006/main" r="Z2" t="str" s="33">
        <x:v>C:\Users\Nomatin\Documents\Altium\MY_LIB\MY_LIB\Datasheets\GCT_USB4110\USB4110_drawing.pdf</x:v>
      </x:c>
    </x:row>
    <ns0:row xmlns:ns0="http://schemas.openxmlformats.org/spreadsheetml/2006/main" r="3" ht="85" customHeight="1">
      <ns0:c r="A3" t="str" s="33">
        <ns0:v>XS0002</ns0:v>
      </ns0:c>
      <ns0:c r="B3" t="str" s="33">
        <ns0:v>Разъём</ns0:v>
      </ns0:c>
      <ns0:c r="C3" t="str" s="33">
        <ns0:v>D-SUB 9F</ns0:v>
      </ns0:c>
      <ns0:c r="D3" t="str" s="34">
        <ns0:f>C3</ns0:f>
        <ns0:v>D-SUB 9F</ns0:v>
      </ns0:c>
      <ns0:c r="E3" s="33"/>
      <ns0:c r="F3" s="33"/>
      <ns0:c r="G3" s="33"/>
      <ns0:c r="H3" t="str" s="35">
        <ns0:v>D-SUB-9, угловая розетка, THT</ns0:v>
      </ns0:c>
      <ns0:c r="I3" t="str" s="33">
        <ns0:v>CONNFLY</ns0:v>
      </ns0:c>
      <ns0:c r="J3" t="str" s="33">
        <ns0:v>DS1037-01-09F</ns0:v>
      </ns0:c>
      <ns0:c r="K3" t="str" s="34">
        <ns0:f>B3&amp;" "&amp;D3&amp;" "&amp;J3</ns0:f>
        <ns0:v>Разъём D-SUB 9F DS1037-01-09F</ns0:v>
      </ns0:c>
      <ns0:c xmlns:ns0="http://schemas.openxmlformats.org/spreadsheetml/2006/main" r="L3" t="inlineStr" s="36">
        <ns0:is>
          <ns0:t>DS1037_01_09F</ns0:t>
        </ns0:is>
      </ns0:c>
      <ns0:c r="M3" t="str" s="36">
        <ns0:v>Symbols\MY_LIB_Connectors.SchLib</ns0:v>
      </ns0:c>
      <ns0:c r="N3" t="str" s="36">
        <ns0:v>CONNFLY_DS1037_01_09F</ns0:v>
      </ns0:c>
      <ns0:c r="O3" t="str" s="36">
        <ns0:v>Footprints\MY_LIB_Connectors.PcbLib</ns0:v>
      </ns0:c>
      <ns0:c r="P3" t="str" s="33">
        <ns0:v>Контакты 1–9. Два крепления NPTH без электрического подключения. STEP пользователя встроен. См. REVIEW.md.</ns0:v>
      </ns0:c>
      <ns0:c r="Q3" s="33"/>
      <ns0:c r="R3" t="str" s="34">
        <ns0:f>D3</ns0:f>
        <ns0:v>D-SUB 9F</ns0:v>
      </ns0:c>
      <ns0:c r="S3" t="str" s="34">
        <ns0:f>K3</ns0:f>
        <ns0:v>Разъём D-SUB 9F DS1037-01-09F</ns0:v>
      </ns0:c>
      <x:c xmlns:x="http://schemas.openxmlformats.org/spreadsheetml/2006/main" r="T3" t="str" s="33">
        <x:v>C:\Users\Nomatin\Documents\Altium\MY_LIB\MY_LIB\Datasheets\CONNFLY_DS1037-01.pdf</x:v>
      </x:c>
      <ns0:c r="U3" t="str" s="33">
        <ns0:v>C, 08.08.2017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C:\Users\Nomatin\Documents\Altium\MY_LIB\MY_LIB\Datasheets\CONNFLY_DS1037-01.pdf</x:v>
      </x:c>
      <x:c xmlns:x="http://schemas.openxmlformats.org/spreadsheetml/2006/main" r="X3" t="str" s="33">
        <x:v>Даташит — производитель</x:v>
      </x:c>
      <x:c xmlns:x="http://schemas.openxmlformats.org/spreadsheetml/2006/main" r="Y3" t="str" s="33">
        <x:v>https://www.connfly.com/static/upload/file/pdf/DS1037-01.pdf</x:v>
      </x:c>
      <x:c xmlns:x="http://schemas.openxmlformats.org/spreadsheetml/2006/main" r="Z3" t="str" s="33">
        <x:v>C:\Users\Nomatin\Documents\Altium\MY_LIB\MY_LIB\Datasheets\CONNFLY_DS1037-01.pdf</x:v>
      </x:c>
    </ns0:row>
  </x:sheetData>
  <x:pageMargins left="0.7" right="0.7" top="0.75" bottom="0.75" header="0.3" footer="0.3"/>
  <x:tableParts count="1">
    <x:tablePart xmlns:r="http://schemas.openxmlformats.org/officeDocument/2006/relationships" r:id="Ra027cb023ce7403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20" hidden="0" customWidth="1"/>
    <x:col min="5" max="5" width="15" hidden="0" customWidth="1"/>
    <x:col min="6" max="6" width="16" hidden="0" customWidth="1"/>
    <x:col min="7" max="7" width="14" hidden="0" customWidth="1"/>
    <x:col min="8" max="8" width="22" hidden="0" customWidth="1"/>
    <x:col min="9" max="9" width="24" hidden="0" customWidth="1"/>
    <x:col min="10" max="10" width="24" hidden="0" customWidth="1"/>
    <x:col min="11" max="11" width="45" hidden="0" customWidth="1"/>
    <x:col min="12" max="12" width="23" hidden="0" customWidth="1"/>
    <x:col min="13" max="13" width="38" hidden="0" customWidth="1"/>
    <x:col min="14" max="14" width="28" hidden="0" customWidth="1"/>
    <x:col min="15" max="15" width="52" hidden="0" customWidth="1"/>
    <x:col min="16" max="16" width="60" hidden="0" customWidth="1"/>
    <x:col min="17" max="17" width="18" hidden="0" customWidth="1"/>
    <x:col min="18" max="18" width="20" hidden="0" customWidth="1"/>
    <x:col min="19" max="19" width="45" hidden="0" customWidth="1"/>
    <x:col min="20" max="20" width="48" hidden="0" customWidth="1"/>
    <x:col min="21" max="21" width="48" hidden="0" customWidth="1"/>
    <x:col min="22" max="22" width="48" hidden="0" customWidth="1"/>
    <x:col min="23" max="23" width="48" hidden="0" customWidth="1"/>
    <x:col min="24" max="24" width="27" hidden="0" customWidth="1"/>
    <x:col min="25" max="25" width="27" hidden="0" customWidth="1"/>
    <x:col min="26" max="26" width="27" hidden="0" customWidth="1"/>
    <x:col min="27" max="27" width="27" hidden="0" customWidth="1"/>
    <x:col min="28" max="28" width="27" hidden="0" customWidth="1"/>
    <x:col min="29" max="29" width="27" hidden="0" customWidth="1"/>
    <x:col min="30" max="30" width="45" customWidth="1"/>
    <x:col min="31" max="31" width="45" customWidth="1"/>
    <x:col min="32" max="32" width="45" customWidth="1"/>
  </x:cols>
  <x:sheetData>
    <x:row r="1" ht="46" customHeight="1">
      <x:c r="A1" s="32" t="str">
        <x:v>ID</x:v>
      </x:c>
      <x:c r="B1" s="32" t="str">
        <x:v>Type</x:v>
      </x:c>
      <x:c r="C1" s="32" t="str">
        <x:v>Value</x:v>
      </x:c>
      <x:c r="D1" s="32" t="str">
        <x:v>ESKD_value</x:v>
      </x:c>
      <x:c r="E1" s="32" t="str">
        <x:v>Tolerance</x:v>
      </x:c>
      <x:c r="F1" s="32" t="str">
        <x:v>Power</x:v>
      </x:c>
      <x:c r="G1" s="32" t="str">
        <x:v>Voltage</x:v>
      </x:c>
      <x:c r="H1" s="32" t="str">
        <x:v>Package</x:v>
      </x:c>
      <x:c r="I1" s="32" t="str">
        <x:v>Manufacturer</x:v>
      </x:c>
      <x:c r="J1" s="32" t="str">
        <x:v>MPN</x:v>
      </x:c>
      <x:c r="K1" s="32" t="str">
        <x:v>CommentBase</x:v>
      </x:c>
      <x:c r="L1" s="32" t="str">
        <x:v>Library Ref</x:v>
      </x:c>
      <x:c r="M1" s="32" t="str">
        <x:v>Library Path</x:v>
      </x:c>
      <x:c r="N1" s="32" t="str">
        <x:v>Footprint Ref</x:v>
      </x:c>
      <x:c r="O1" s="32" t="str">
        <x:v>Footprint Path</x:v>
      </x:c>
      <x:c r="P1" s="32" t="str">
        <x:v>Notes</x:v>
      </x:c>
      <x:c r="Q1" s="32" t="str">
        <x:v>Dielectric</x:v>
      </x:c>
      <x:c r="R1" s="32" t="str">
        <x:v>Comment</x:v>
      </x:c>
      <x:c r="S1" s="32" t="str">
        <x:v>Description</x:v>
      </x:c>
      <x:c xmlns:x="http://schemas.openxmlformats.org/spreadsheetml/2006/main" r="T1" t="str" s="32">
        <x:v>Datasheet</x:v>
      </x:c>
      <x:c r="U1" s="32" t="str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x:c r="X1" s="32" t="str">
        <x:v>CurrentRating</x:v>
      </x:c>
      <x:c r="Y1" s="32" t="str">
        <x:v>OperatingTemperatureMin</x:v>
      </x:c>
      <x:c r="Z1" s="32" t="str">
        <x:v>OperatingTemperatureMax</x:v>
      </x:c>
      <x:c r="AA1" s="32" t="str">
        <x:v>TemperatureReference</x:v>
      </x:c>
      <x:c r="AB1" s="32" t="str">
        <x:v>ContactForm</x:v>
      </x:c>
      <x:c r="AC1" s="32" t="str">
        <x:v>Positions</x:v>
      </x:c>
      <x:c xmlns:x="http://schemas.openxmlformats.org/spreadsheetml/2006/main" r="AD1" t="str" s="32">
        <x:v>ComponentLink2Description</x:v>
      </x:c>
      <x:c xmlns:x="http://schemas.openxmlformats.org/spreadsheetml/2006/main" r="AE1" t="str" s="32">
        <x:v>ComponentLink2URL</x:v>
      </x:c>
      <x:c xmlns:x="http://schemas.openxmlformats.org/spreadsheetml/2006/main" r="AF1" t="str" s="32">
        <x:v>HelpURL</x:v>
      </x:c>
    </x:row>
    <x:row r="2" ht="72" customHeight="1">
      <x:c r="A2" s="33" t="str">
        <x:v>SA0001</x:v>
      </x:c>
      <x:c r="B2" s="33" t="str">
        <x:v>Переключатель</x:v>
      </x:c>
      <x:c r="C2" s="33" t="str">
        <x:v>DS1040-01RT</x:v>
      </x:c>
      <x:c r="D2" s="34" t="str">
        <x:f>C2</x:f>
        <x:v>DS1040-01RT</x:v>
      </x:c>
      <x:c r="E2" s="33"/>
      <x:c r="F2" s="33"/>
      <x:c r="G2" s="33" t="str">
        <x:v>24 В AC/DC</x:v>
      </x:c>
      <x:c r="H2" s="35" t="str">
        <x:v>Piano DIP, THT, 2 вывода</x:v>
      </x:c>
      <x:c r="I2" s="33" t="str">
        <x:v>CONNFLY</x:v>
      </x:c>
      <x:c r="J2" s="33" t="str">
        <x:v>DS1040-01RT</x:v>
      </x:c>
      <x:c r="K2" s="34" t="str">
        <x:f>B2&amp;" "&amp;J2</x:f>
        <x:v>Переключатель DS1040-01RT</x:v>
      </x:c>
      <x:c r="L2" s="36" t="str">
        <x:v>DS1040-01RT</x:v>
      </x:c>
      <x:c r="M2" s="36" t="str">
        <x:v>Symbols\MY_LIB_Switches.SchLib</x:v>
      </x:c>
      <x:c r="N2" s="36" t="str">
        <x:v>CONNFLY_DS1040_01RT</x:v>
      </x:c>
      <x:c r="O2" s="36" t="str">
        <x:v>Footprints\CONNFLY_DS1040-01RT\CONNFLY_DS1040_01RT.PcbLib</x:v>
      </x:c>
      <x:c r="P2" s="33" t="str">
        <x:v>1 позиция SPST Piano; красный корпус. 3D-модель приблизительная: см. REVIEW.md в папке footprint.</x:v>
      </x:c>
      <x:c r="Q2" s="33"/>
      <x:c r="R2" s="34" t="str">
        <x:f>D2</x:f>
        <x:v>DS1040-01RT</x:v>
      </x:c>
      <x:c r="S2" s="34" t="str">
        <x:f>K2</x:f>
        <x:v>Переключатель DS1040-01RT</x:v>
      </x:c>
      <x:c xmlns:x="http://schemas.openxmlformats.org/spreadsheetml/2006/main" r="T2" t="str" s="33">
        <x:v>C:\Users\Nomatin\Documents\Altium\MY_LIB\MY_LIB\Datasheets\CONNFLY_DS1040_series.pdf</x:v>
      </x:c>
      <x:c r="U2" s="33" t="str">
        <x:v>C-DS1040-01XT-E, Rev. E, 05.07.2019</x:v>
      </x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C:\Users\Nomatin\Documents\Altium\MY_LIB\MY_LIB\Datasheets\CONNFLY_DS1040_series.pdf</x:v>
      </x:c>
      <x:c r="X2" s="33" t="str">
        <x:v>100 мА</x:v>
      </x:c>
      <x:c r="Y2" s="48" t="n">
        <x:v>-40</x:v>
      </x:c>
      <x:c r="Z2" s="48" t="n">
        <x:v>105</x:v>
      </x:c>
      <x:c r="AA2" s="33" t="str">
        <x:v>Temperature Range, °C; DS1040 sheet 3</x:v>
      </x:c>
      <x:c r="AB2" s="33" t="str">
        <x:v>SPST</x:v>
      </x:c>
      <x:c r="AC2" s="48" t="n">
        <x:v>1</x:v>
      </x:c>
      <x:c xmlns:x="http://schemas.openxmlformats.org/spreadsheetml/2006/main" r="AD2" t="str" s="33">
        <x:v>Даташит — производитель</x:v>
      </x:c>
      <x:c xmlns:x="http://schemas.openxmlformats.org/spreadsheetml/2006/main" r="AE2" t="str" s="33">
        <x:v>https://www.connfly.com/static/upload/file/pdf/DS1040.pdf</x:v>
      </x:c>
      <x:c xmlns:x="http://schemas.openxmlformats.org/spreadsheetml/2006/main" r="AF2" t="str" s="33">
        <x:v>C:\Users\Nomatin\Documents\Altium\MY_LIB\MY_LIB\Datasheets\CONNFLY_DS1040_series.pdf</x:v>
      </x:c>
    </x:row>
  </x:sheetData>
  <x:pageMargins left="0.7" right="0.7" top="0.75" bottom="0.75" header="0.3" footer="0.3"/>
  <x:tableParts count="1">
    <x:tablePart xmlns:r="http://schemas.openxmlformats.org/officeDocument/2006/relationships" r:id="R5dd681b1c0d9423d"/>
  </x:tableParts>
</x:worksheet>
</file>

<file path=xl/worksheets/sheet6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0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7" hidden="0" customWidth="1"/>
    <ns0:col min="11" max="11" width="45" hidden="0" customWidth="1"/>
    <ns0:col min="12" max="12" width="27" hidden="0" customWidth="1"/>
    <ns0:col min="13" max="13" width="27" hidden="0" customWidth="1"/>
    <ns0:col min="14" max="14" width="27" hidden="0" customWidth="1"/>
    <ns0:col min="15" max="15" width="50" hidden="0" customWidth="1"/>
    <ns0:col min="16" max="16" width="50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4" hidden="0" customWidth="1"/>
    <ns0:col min="26" max="26" width="24" hidden="0" customWidth="1"/>
    <ns0:col min="27" max="27" width="24" hidden="0" customWidth="1"/>
    <ns0:col min="28" max="28" width="24" hidden="0" customWidth="1"/>
    <ns0:col min="29" max="29" width="24" hidden="0" customWidth="1"/>
    <ns0:col min="30" max="30" width="24" hidden="0" customWidth="1"/>
    <ns0:col min="31" max="31" width="24" hidden="0" customWidth="1"/>
    <ns0:col min="32" max="32" width="24" hidden="0" customWidth="1"/>
    <ns0:col min="33" max="33" width="24" hidden="0" customWidth="1"/>
    <ns0:col min="34" max="34" width="24" hidden="0" customWidth="1"/>
    <ns0:col min="35" max="35" width="45" customWidth="1"/>
    <ns0:col min="36" max="36" width="45" customWidth="1"/>
    <ns0:col min="37" max="37" width="45" customWidth="1"/>
  </ns0:cols>
  <ns0:sheetData>
    <ns0:row r="1" ht="44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ns0:c r="U1" t="str" s="32">
        <ns0:v>DatasheetRevision</ns0:v>
      </ns0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Color</ns0:v>
      </ns0:c>
      <ns0:c r="Y1" t="str" s="32">
        <ns0:v>WavelengthNm</ns0:v>
      </ns0:c>
      <ns0:c r="Z1" t="str" s="32">
        <ns0:v>ForwardVoltageTypicalV</ns0:v>
      </ns0:c>
      <ns0:c r="AA1" t="str" s="32">
        <ns0:v>ForwardVoltageMaxV</ns0:v>
      </ns0:c>
      <ns0:c r="AB1" t="str" s="32">
        <ns0:v>TestCurrentMa</ns0:v>
      </ns0:c>
      <ns0:c r="AC1" t="str" s="32">
        <ns0:v>ViewingAngleDeg</ns0:v>
      </ns0:c>
      <ns0:c r="AD1" t="str" s="32">
        <ns0:v>IntensityMinMcd</ns0:v>
      </ns0:c>
      <ns0:c r="AE1" t="str" s="32">
        <ns0:v>IntensityTypicalMcd</ns0:v>
      </ns0:c>
      <ns0:c r="AF1" t="str" s="32">
        <ns0:v>PinMapping</ns0:v>
      </ns0:c>
      <ns0:c r="AG1" t="str" s="32">
        <ns0:v>ChipMaterial</ns0:v>
      </ns0:c>
      <ns0:c r="AH1" t="str" s="32">
        <ns0:v>Family</ns0:v>
      </ns0:c>
      <x:c xmlns:x="http://schemas.openxmlformats.org/spreadsheetml/2006/main" r="AI1" t="str" s="32">
        <x:v>ComponentLink2Description</x:v>
      </x:c>
      <x:c xmlns:x="http://schemas.openxmlformats.org/spreadsheetml/2006/main" r="AJ1" t="str" s="32">
        <x:v>ComponentLink2URL</x:v>
      </x:c>
      <x:c xmlns:x="http://schemas.openxmlformats.org/spreadsheetml/2006/main" r="AK1" t="str" s="32">
        <x:v>HelpURL</x:v>
      </x:c>
    </ns0:row>
    <ns0:row r="2" ht="70" customHeight="1">
      <ns0:c r="A2" t="str" s="33">
        <ns0:v>HL0001</ns0:v>
      </ns0:c>
      <ns0:c r="B2" t="str" s="33">
        <ns0:v>Светодиод</ns0:v>
      </ns0:c>
      <ns0:c r="C2" t="str" s="33">
        <ns0:v>TO-1608BC-BF</ns0:v>
      </ns0:c>
      <ns0:c r="D2" t="str" s="34">
        <ns0:f>C2</ns0:f>
        <ns0:v>TO-1608BC-BF</ns0:v>
      </ns0:c>
      <ns0:c r="E2" s="33"/>
      <ns0:c r="F2" s="33"/>
      <ns0:c r="G2" t="str" s="33">
        <ns0:v>3,2 В (тип., IF=20 мА)</ns0:v>
      </ns0:c>
      <ns0:c r="H2" t="str" s="35">
        <ns0:v>0603</ns0:v>
      </ns0:c>
      <ns0:c r="I2" t="str" s="33">
        <ns0:v>Oasistek</ns0:v>
      </ns0:c>
      <ns0:c r="J2" t="str" s="33">
        <ns0:v>TO-1608BC-BF</ns0:v>
      </ns0:c>
      <ns0:c r="K2" s="34" t="str">
        <ns0:f>B2&amp;" "&amp;X2&amp;" "&amp;LEFT(G2,FIND(" ",G2)-1)&amp;"В "&amp;AE2&amp;"мкд "&amp;H2</ns0:f>
        <ns0:v>Светодиод Синий 3,2В 247мкд 0603</ns0:v>
      </ns0:c>
      <ns0:c r="L2" t="str" s="36">
        <ns0:v>LED_1C2A</ns0:v>
      </ns0:c>
      <ns0:c r="M2" t="str" s="36">
        <ns0:v>Symbols\MY_LIB_Semiconductors.SchLib</ns0:v>
      </ns0:c>
      <ns0:c r="N2" t="str" s="36">
        <ns0:v>LED_0603_1C2A</ns0:v>
      </ns0:c>
      <ns0:c r="O2" t="str" s="36">
        <ns0:v>Footprints\MY_LIB_LED.PcbLib</ns0:v>
      </ns0:c>
      <ns0:c r="P2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2" s="33"/>
      <ns0:c r="R2" t="str" s="34">
        <ns0:f>D2</ns0:f>
        <ns0:v>TO-1608BC-BF</ns0:v>
      </ns0:c>
      <ns0:c r="S2" s="34" t="str">
        <ns0:f>K2</ns0:f>
        <ns0:v>Светодиод Синий 3,2В 247мкд 0603</ns0:v>
      </ns0:c>
      <x:c xmlns:x="http://schemas.openxmlformats.org/spreadsheetml/2006/main" r="T2" t="str" s="33">
        <x:v>C:\Users\Nomatin\Documents\Altium\MY_LIB\MY_LIB\Datasheets\Oasistek_LED\TO-1608BC-BF.pdf</x:v>
      </x:c>
      <ns0:c r="U2" t="str" s="33">
        <ns0:v>Параметры: каталог 2021, стр.19–20; пины: Rev. A-1; 2015-11-16; GS15110003</ns0:v>
      </ns0:c>
      <x:c xmlns:x="http://schemas.openxmlformats.org/spreadsheetml/2006/main" r="V2" t="str" s="33">
        <x:v>Даташит — локальный</x:v>
      </x:c>
      <x:c xmlns:x="http://schemas.openxmlformats.org/spreadsheetml/2006/main" r="W2" t="str" s="33">
        <x:v>C:\Users\Nomatin\Documents\Altium\MY_LIB\MY_LIB\Datasheets\Oasistek_LED\TO-1608BC-BF.pdf</x:v>
      </x:c>
      <ns0:c r="X2" t="str" s="33">
        <ns0:v>Синий</ns0:v>
      </ns0:c>
      <ns0:c r="Y2" t="n" s="33">
        <ns0:v>468</ns0:v>
      </ns0:c>
      <ns0:c r="Z2" t="n" s="33">
        <ns0:v>3.2</ns0:v>
      </ns0:c>
      <ns0:c r="AA2" t="n" s="33">
        <ns0:v>3.6</ns0:v>
      </ns0:c>
      <ns0:c r="AB2" t="n" s="33">
        <ns0:v>20</ns0:v>
      </ns0:c>
      <ns0:c r="AC2" t="n" s="33">
        <ns0:v>120</ns0:v>
      </ns0:c>
      <ns0:c r="AD2" t="n" s="33">
        <ns0:v>112</ns0:v>
      </ns0:c>
      <ns0:c r="AE2" t="n" s="33">
        <ns0:v>247</ns0:v>
      </ns0:c>
      <ns0:c r="AF2" t="str" s="33">
        <ns0:v>1=C (K), 2=A</ns0:v>
      </ns0:c>
      <ns0:c r="AG2" t="str" s="33">
        <ns0:v>InGaN</ns0:v>
      </ns0:c>
      <ns0:c r="AH2" t="str" s="33">
        <ns0:v>TO-1608BC</ns0:v>
      </ns0:c>
      <x:c xmlns:x="http://schemas.openxmlformats.org/spreadsheetml/2006/main" r="AI2" t="str" s="33">
        <x:v>Даташит — производитель</x:v>
      </x:c>
      <x:c xmlns:x="http://schemas.openxmlformats.org/spreadsheetml/2006/main" r="AJ2" t="str" s="33">
        <x:v>https://www.oasistek.com/upload/2021_SMD_Lamp_Catalogue.pdf</x:v>
      </x:c>
      <x:c xmlns:x="http://schemas.openxmlformats.org/spreadsheetml/2006/main" r="AK2" t="str" s="33">
        <x:v>C:\Users\Nomatin\Documents\Altium\MY_LIB\MY_LIB\Datasheets\Oasistek_LED\TO-1608BC-BF.pdf</x:v>
      </x:c>
    </ns0:row>
    <ns0:row r="3" ht="70" customHeight="1">
      <ns0:c r="A3" t="str" s="33">
        <ns0:v>HL0002</ns0:v>
      </ns0:c>
      <ns0:c r="B3" t="str" s="33">
        <ns0:v>Светодиод</ns0:v>
      </ns0:c>
      <ns0:c r="C3" t="str" s="33">
        <ns0:v>TO-1608BC-PG</ns0:v>
      </ns0:c>
      <ns0:c r="D3" t="str" s="34">
        <ns0:f>C3</ns0:f>
        <ns0:v>TO-1608BC-PG</ns0:v>
      </ns0:c>
      <ns0:c r="E3" s="33"/>
      <ns0:c r="F3" s="33"/>
      <ns0:c r="G3" t="str" s="33">
        <ns0:v>3,2 В (тип., IF=20 мА)</ns0:v>
      </ns0:c>
      <ns0:c r="H3" t="str" s="35">
        <ns0:v>0603</ns0:v>
      </ns0:c>
      <ns0:c r="I3" t="str" s="33">
        <ns0:v>Oasistek</ns0:v>
      </ns0:c>
      <ns0:c r="J3" t="str" s="33">
        <ns0:v>TO-1608BC-PG</ns0:v>
      </ns0:c>
      <ns0:c r="K3" s="34" t="str">
        <ns0:f>B3&amp;" "&amp;X3&amp;" "&amp;LEFT(G3,FIND(" ",G3)-1)&amp;"В "&amp;AE3&amp;"мкд "&amp;H3</ns0:f>
        <ns0:v>Светодиод Чистый зелёный 3,2В 705мкд 0603</ns0:v>
      </ns0:c>
      <ns0:c r="L3" t="str" s="36">
        <ns0:v>LED_1C2A</ns0:v>
      </ns0:c>
      <ns0:c r="M3" t="str" s="36">
        <ns0:v>Symbols\MY_LIB_Semiconductors.SchLib</ns0:v>
      </ns0:c>
      <ns0:c r="N3" t="str" s="36">
        <ns0:v>LED_0603_1C2A</ns0:v>
      </ns0:c>
      <ns0:c r="O3" t="str" s="36">
        <ns0:v>Footprints\MY_LIB_LED.PcbLib</ns0:v>
      </ns0:c>
      <ns0:c r="P3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3" s="33"/>
      <ns0:c r="R3" t="str" s="34">
        <ns0:f>D3</ns0:f>
        <ns0:v>TO-1608BC-PG</ns0:v>
      </ns0:c>
      <ns0:c r="S3" s="34" t="str">
        <ns0:f>K3</ns0:f>
        <ns0:v>Светодиод Чистый зелёный 3,2В 705мкд 0603</ns0:v>
      </ns0:c>
      <x:c xmlns:x="http://schemas.openxmlformats.org/spreadsheetml/2006/main" r="T3" t="str" s="33">
        <x:v>C:\Users\Nomatin\Documents\Altium\MY_LIB\MY_LIB\Datasheets\Oasistek_LED\TO-1608BC-PG.pdf</x:v>
      </x:c>
      <ns0:c r="U3" t="str" s="33">
        <ns0:v>Параметры: каталог 2021, стр.19–20; пины: Rev. A; 2017-05-18; GS1705005</ns0:v>
      </ns0:c>
      <x:c xmlns:x="http://schemas.openxmlformats.org/spreadsheetml/2006/main" r="V3" t="str" s="33">
        <x:v>Даташит — локальный</x:v>
      </x:c>
      <x:c xmlns:x="http://schemas.openxmlformats.org/spreadsheetml/2006/main" r="W3" t="str" s="33">
        <x:v>C:\Users\Nomatin\Documents\Altium\MY_LIB\MY_LIB\Datasheets\Oasistek_LED\TO-1608BC-PG.pdf</x:v>
      </x:c>
      <ns0:c r="X3" t="str" s="33">
        <ns0:v>Чистый зелёный</ns0:v>
      </ns0:c>
      <ns0:c r="Y3" t="n" s="33">
        <ns0:v>525</ns0:v>
      </ns0:c>
      <ns0:c r="Z3" t="n" s="33">
        <ns0:v>3.2</ns0:v>
      </ns0:c>
      <ns0:c r="AA3" t="n" s="33">
        <ns0:v>3.6</ns0:v>
      </ns0:c>
      <ns0:c r="AB3" t="n" s="33">
        <ns0:v>20</ns0:v>
      </ns0:c>
      <ns0:c r="AC3" t="n" s="33">
        <ns0:v>120</ns0:v>
      </ns0:c>
      <ns0:c r="AD3" t="n" s="33">
        <ns0:v>321</ns0:v>
      </ns0:c>
      <ns0:c r="AE3" t="n" s="33">
        <ns0:v>705</ns0:v>
      </ns0:c>
      <ns0:c r="AF3" t="str" s="33">
        <ns0:v>1=C (K), 2=A</ns0:v>
      </ns0:c>
      <ns0:c r="AG3" t="str" s="33">
        <ns0:v>InGaN</ns0:v>
      </ns0:c>
      <ns0:c r="AH3" t="str" s="33">
        <ns0:v>TO-1608BC</ns0:v>
      </ns0:c>
      <x:c xmlns:x="http://schemas.openxmlformats.org/spreadsheetml/2006/main" r="AI3" t="str" s="33">
        <x:v>Даташит — производитель</x:v>
      </x:c>
      <x:c xmlns:x="http://schemas.openxmlformats.org/spreadsheetml/2006/main" r="AJ3" t="str" s="33">
        <x:v>https://www.oasistek.com/upload/2021_SMD_Lamp_Catalogue.pdf</x:v>
      </x:c>
      <x:c xmlns:x="http://schemas.openxmlformats.org/spreadsheetml/2006/main" r="AK3" t="str" s="33">
        <x:v>C:\Users\Nomatin\Documents\Altium\MY_LIB\MY_LIB\Datasheets\Oasistek_LED\TO-1608BC-PG.pdf</x:v>
      </x:c>
    </ns0:row>
    <ns0:row r="4" ht="70" customHeight="1">
      <ns0:c r="A4" t="str" s="33">
        <ns0:v>HL0003</ns0:v>
      </ns0:c>
      <ns0:c r="B4" t="str" s="33">
        <ns0:v>Светодиод</ns0:v>
      </ns0:c>
      <ns0:c r="C4" t="str" s="33">
        <ns0:v>TO-1608BC-MGE</ns0:v>
      </ns0:c>
      <ns0:c r="D4" t="str" s="34">
        <ns0:f>C4</ns0:f>
        <ns0:v>TO-1608BC-MGE</ns0:v>
      </ns0:c>
      <ns0:c r="E4" s="33"/>
      <ns0:c r="F4" s="33"/>
      <ns0:c r="G4" t="str" s="33">
        <ns0:v>2 В (тип., IF=20 мА)</ns0:v>
      </ns0:c>
      <ns0:c r="H4" t="str" s="35">
        <ns0:v>0603</ns0:v>
      </ns0:c>
      <ns0:c r="I4" t="str" s="33">
        <ns0:v>Oasistek</ns0:v>
      </ns0:c>
      <ns0:c r="J4" t="str" s="33">
        <ns0:v>TO-1608BC-MGE</ns0:v>
      </ns0:c>
      <ns0:c r="K4" s="34" t="str">
        <ns0:f>B4&amp;" "&amp;X4&amp;" "&amp;LEFT(G4,FIND(" ",G4)-1)&amp;"В "&amp;AE4&amp;"мкд "&amp;H4</ns0:f>
        <ns0:v>Светодиод Жёлто-зелёный 2В 112мкд 0603</ns0:v>
      </ns0:c>
      <ns0:c r="L4" t="str" s="36">
        <ns0:v>LED_1C2A</ns0:v>
      </ns0:c>
      <ns0:c r="M4" t="str" s="36">
        <ns0:v>Symbols\MY_LIB_Semiconductors.SchLib</ns0:v>
      </ns0:c>
      <ns0:c r="N4" t="str" s="36">
        <ns0:v>LED_0603_1C2A</ns0:v>
      </ns0:c>
      <ns0:c r="O4" t="str" s="36">
        <ns0:v>Footprints\MY_LIB_LED.PcbLib</ns0:v>
      </ns0:c>
      <ns0:c r="P4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4" s="33"/>
      <ns0:c r="R4" t="str" s="34">
        <ns0:f>D4</ns0:f>
        <ns0:v>TO-1608BC-MGE</ns0:v>
      </ns0:c>
      <ns0:c r="S4" s="34" t="str">
        <ns0:f>K4</ns0:f>
        <ns0:v>Светодиод Жёлто-зелёный 2В 112мкд 0603</ns0:v>
      </ns0:c>
      <x:c xmlns:x="http://schemas.openxmlformats.org/spreadsheetml/2006/main" r="T4" t="str" s="33">
        <x:v>C:\Users\Nomatin\Documents\Altium\MY_LIB\MY_LIB\Datasheets\Oasistek_LED\TO-1608BC-MGE.pdf</x:v>
      </x:c>
      <ns0:c r="U4" t="str" s="33">
        <ns0:v>Параметры: каталог 2021, стр.19–20; пины: Rev. A-1; 2015-11-16; GS1511006</ns0:v>
      </ns0:c>
      <x:c xmlns:x="http://schemas.openxmlformats.org/spreadsheetml/2006/main" r="V4" t="str" s="33">
        <x:v>Даташит — локальный</x:v>
      </x:c>
      <x:c xmlns:x="http://schemas.openxmlformats.org/spreadsheetml/2006/main" r="W4" t="str" s="33">
        <x:v>C:\Users\Nomatin\Documents\Altium\MY_LIB\MY_LIB\Datasheets\Oasistek_LED\TO-1608BC-MGE.pdf</x:v>
      </x:c>
      <ns0:c r="X4" t="str" s="33">
        <ns0:v>Жёлто-зелёный</ns0:v>
      </ns0:c>
      <ns0:c r="Y4" t="n" s="33">
        <ns0:v>572</ns0:v>
      </ns0:c>
      <ns0:c r="Z4" t="n" s="33">
        <ns0:v>2</ns0:v>
      </ns0:c>
      <ns0:c r="AA4" t="n" s="33">
        <ns0:v>2.4</ns0:v>
      </ns0:c>
      <ns0:c r="AB4" t="n" s="33">
        <ns0:v>20</ns0:v>
      </ns0:c>
      <ns0:c r="AC4" t="n" s="33">
        <ns0:v>120</ns0:v>
      </ns0:c>
      <ns0:c r="AD4" t="n" s="33">
        <ns0:v>51</ns0:v>
      </ns0:c>
      <ns0:c r="AE4" t="n" s="33">
        <ns0:v>112</ns0:v>
      </ns0:c>
      <ns0:c r="AF4" t="str" s="33">
        <ns0:v>1=C (K), 2=A</ns0:v>
      </ns0:c>
      <ns0:c r="AG4" t="str" s="33">
        <ns0:v>AlGaInP</ns0:v>
      </ns0:c>
      <ns0:c r="AH4" t="str" s="33">
        <ns0:v>TO-1608BC</ns0:v>
      </ns0:c>
      <x:c xmlns:x="http://schemas.openxmlformats.org/spreadsheetml/2006/main" r="AI4" t="str" s="33">
        <x:v>Даташит — производитель</x:v>
      </x:c>
      <x:c xmlns:x="http://schemas.openxmlformats.org/spreadsheetml/2006/main" r="AJ4" t="str" s="33">
        <x:v>https://www.oasistek.com/upload/2021_SMD_Lamp_Catalogue.pdf</x:v>
      </x:c>
      <x:c xmlns:x="http://schemas.openxmlformats.org/spreadsheetml/2006/main" r="AK4" t="str" s="33">
        <x:v>C:\Users\Nomatin\Documents\Altium\MY_LIB\MY_LIB\Datasheets\Oasistek_LED\TO-1608BC-MGE.pdf</x:v>
      </x:c>
    </ns0:row>
    <ns0:row r="5" ht="70" customHeight="1">
      <ns0:c r="A5" t="str" s="33">
        <ns0:v>HL0004</ns0:v>
      </ns0:c>
      <ns0:c r="B5" t="str" s="33">
        <ns0:v>Светодиод</ns0:v>
      </ns0:c>
      <ns0:c r="C5" t="str" s="33">
        <ns0:v>TO-1608BC-MYF</ns0:v>
      </ns0:c>
      <ns0:c r="D5" t="str" s="34">
        <ns0:f>C5</ns0:f>
        <ns0:v>TO-1608BC-MYF</ns0:v>
      </ns0:c>
      <ns0:c r="E5" s="33"/>
      <ns0:c r="F5" s="33"/>
      <ns0:c r="G5" t="str" s="33">
        <ns0:v>2 В (тип., IF=20 мА)</ns0:v>
      </ns0:c>
      <ns0:c r="H5" t="str" s="35">
        <ns0:v>0603</ns0:v>
      </ns0:c>
      <ns0:c r="I5" t="str" s="33">
        <ns0:v>Oasistek</ns0:v>
      </ns0:c>
      <ns0:c r="J5" t="str" s="33">
        <ns0:v>TO-1608BC-MYF</ns0:v>
      </ns0:c>
      <ns0:c r="K5" s="34" t="str">
        <ns0:f>B5&amp;" "&amp;X5&amp;" "&amp;LEFT(G5,FIND(" ",G5)-1)&amp;"В "&amp;AE5&amp;"мкд "&amp;H5</ns0:f>
        <ns0:v>Светодиод Жёлтый 2В 247мкд 0603</ns0:v>
      </ns0:c>
      <ns0:c r="L5" t="str" s="36">
        <ns0:v>LED_1C2A</ns0:v>
      </ns0:c>
      <ns0:c r="M5" t="str" s="36">
        <ns0:v>Symbols\MY_LIB_Semiconductors.SchLib</ns0:v>
      </ns0:c>
      <ns0:c r="N5" t="str" s="36">
        <ns0:v>LED_0603_1C2A</ns0:v>
      </ns0:c>
      <ns0:c r="O5" t="str" s="36">
        <ns0:v>Footprints\MY_LIB_LED.PcbLib</ns0:v>
      </ns0:c>
      <ns0:c r="P5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5" s="33"/>
      <ns0:c r="R5" t="str" s="34">
        <ns0:f>D5</ns0:f>
        <ns0:v>TO-1608BC-MYF</ns0:v>
      </ns0:c>
      <ns0:c r="S5" s="34" t="str">
        <ns0:f>K5</ns0:f>
        <ns0:v>Светодиод Жёлтый 2В 247мкд 0603</ns0:v>
      </ns0:c>
      <x:c xmlns:x="http://schemas.openxmlformats.org/spreadsheetml/2006/main" r="T5" t="str" s="33">
        <x:v>C:\Users\Nomatin\Documents\Altium\MY_LIB\MY_LIB\Datasheets\Oasistek_LED\TO-1608BC-MYF.pdf</x:v>
      </x:c>
      <ns0:c r="U5" t="str" s="33">
        <ns0:v>Параметры: каталог 2021, стр.19–20; пины: Rev. A-1; 2015-11-16; GS1511023</ns0:v>
      </ns0:c>
      <x:c xmlns:x="http://schemas.openxmlformats.org/spreadsheetml/2006/main" r="V5" t="str" s="33">
        <x:v>Даташит — локальный</x:v>
      </x:c>
      <x:c xmlns:x="http://schemas.openxmlformats.org/spreadsheetml/2006/main" r="W5" t="str" s="33">
        <x:v>C:\Users\Nomatin\Documents\Altium\MY_LIB\MY_LIB\Datasheets\Oasistek_LED\TO-1608BC-MYF.pdf</x:v>
      </x:c>
      <ns0:c r="X5" t="str" s="33">
        <ns0:v>Жёлтый</ns0:v>
      </ns0:c>
      <ns0:c r="Y5" t="n" s="33">
        <ns0:v>592</ns0:v>
      </ns0:c>
      <ns0:c r="Z5" t="n" s="33">
        <ns0:v>2</ns0:v>
      </ns0:c>
      <ns0:c r="AA5" t="n" s="33">
        <ns0:v>2.4</ns0:v>
      </ns0:c>
      <ns0:c r="AB5" t="n" s="33">
        <ns0:v>20</ns0:v>
      </ns0:c>
      <ns0:c r="AC5" t="n" s="33">
        <ns0:v>120</ns0:v>
      </ns0:c>
      <ns0:c r="AD5" t="n" s="33">
        <ns0:v>146</ns0:v>
      </ns0:c>
      <ns0:c r="AE5" t="n" s="33">
        <ns0:v>247</ns0:v>
      </ns0:c>
      <ns0:c r="AF5" t="str" s="33">
        <ns0:v>1=C (K), 2=A</ns0:v>
      </ns0:c>
      <ns0:c r="AG5" t="str" s="33">
        <ns0:v>AlGaInP</ns0:v>
      </ns0:c>
      <ns0:c r="AH5" t="str" s="33">
        <ns0:v>TO-1608BC</ns0:v>
      </ns0:c>
      <x:c xmlns:x="http://schemas.openxmlformats.org/spreadsheetml/2006/main" r="AI5" t="str" s="33">
        <x:v>Даташит — производитель</x:v>
      </x:c>
      <x:c xmlns:x="http://schemas.openxmlformats.org/spreadsheetml/2006/main" r="AJ5" t="str" s="33">
        <x:v>https://www.oasistek.com/upload/2021_SMD_Lamp_Catalogue.pdf</x:v>
      </x:c>
      <x:c xmlns:x="http://schemas.openxmlformats.org/spreadsheetml/2006/main" r="AK5" t="str" s="33">
        <x:v>C:\Users\Nomatin\Documents\Altium\MY_LIB\MY_LIB\Datasheets\Oasistek_LED\TO-1608BC-MYF.pdf</x:v>
      </x:c>
    </ns0:row>
    <ns0:row r="6" ht="120" customHeight="1">
      <ns0:c r="A6" t="str" s="33">
        <ns0:v>HL0005</ns0:v>
      </ns0:c>
      <ns0:c r="B6" t="str" s="33">
        <ns0:v>Светодиод</ns0:v>
      </ns0:c>
      <ns0:c r="C6" t="str" s="33">
        <ns0:v>TO-1608BC-MAE</ns0:v>
      </ns0:c>
      <ns0:c r="D6" t="str" s="34">
        <ns0:f>C6</ns0:f>
        <ns0:v>TO-1608BC-MAE</ns0:v>
      </ns0:c>
      <ns0:c r="E6" s="33"/>
      <ns0:c r="F6" s="33"/>
      <ns0:c r="G6" t="str" s="33">
        <ns0:v>2 В (тип., IF=20 мА)</ns0:v>
      </ns0:c>
      <ns0:c r="H6" t="str" s="35">
        <ns0:v>0603</ns0:v>
      </ns0:c>
      <ns0:c r="I6" t="str" s="33">
        <ns0:v>Oasistek</ns0:v>
      </ns0:c>
      <ns0:c r="J6" t="str" s="33">
        <ns0:v>TO-1608BC-MAE</ns0:v>
      </ns0:c>
      <ns0:c r="K6" s="34" t="str">
        <ns0:f>B6&amp;" "&amp;X6&amp;" "&amp;LEFT(G6,FIND(" ",G6)-1)&amp;"В "&amp;AE6&amp;"мкд "&amp;H6</ns0:f>
        <ns0:v>Светодиод Янтарный 2В 112мкд 0603</ns0:v>
      </ns0:c>
      <ns0:c r="L6" t="str" s="36">
        <ns0:v>LED_1C2A</ns0:v>
      </ns0:c>
      <ns0:c r="M6" t="str" s="36">
        <ns0:v>Symbols\MY_LIB_Semiconductors.SchLib</ns0:v>
      </ns0:c>
      <ns0:c r="N6" t="str" s="36">
        <ns0:v>LED_0603_1C2A</ns0:v>
      </ns0:c>
      <ns0:c r="O6" t="str" s="36">
        <ns0:v>Footprints\MY_LIB_LED.PcbLib</ns0:v>
      </ns0:c>
      <ns0:c r="P6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6" s="33"/>
      <ns0:c r="R6" t="str" s="34">
        <ns0:f>D6</ns0:f>
        <ns0:v>TO-1608BC-MAE</ns0:v>
      </ns0:c>
      <ns0:c r="S6" s="34" t="str">
        <ns0:f>K6</ns0:f>
        <ns0:v>Светодиод Янтарный 2В 112мкд 0603</ns0:v>
      </ns0:c>
      <x:c xmlns:x="http://schemas.openxmlformats.org/spreadsheetml/2006/main" r="T6" t="str" s="33">
        <x:v>C:\Users\Nomatin\Documents\Altium\MY_LIB\MY_LIB\Datasheets\Oasistek_LED\Oasistek_2021_catalogue.pdf</x:v>
      </x:c>
      <ns0:c r="U6" t="str" s="33">
        <ns0:v>Параметры: каталог 2021, стр.19–20; пины: 2021 SMD Lamp Catalogue; PDF page 12; printed pages 19-20</ns0:v>
      </ns0:c>
      <x:c xmlns:x="http://schemas.openxmlformats.org/spreadsheetml/2006/main" r="V6" t="str" s="33">
        <x:v>Даташит — локальный</x:v>
      </x:c>
      <x:c xmlns:x="http://schemas.openxmlformats.org/spreadsheetml/2006/main" r="W6" t="str" s="33">
        <x:v>C:\Users\Nomatin\Documents\Altium\MY_LIB\MY_LIB\Datasheets\Oasistek_LED\Oasistek_2021_catalogue.pdf</x:v>
      </x:c>
      <ns0:c r="X6" t="str" s="33">
        <ns0:v>Янтарный</ns0:v>
      </ns0:c>
      <ns0:c r="Y6" t="n" s="33">
        <ns0:v>605</ns0:v>
      </ns0:c>
      <ns0:c r="Z6" t="n" s="33">
        <ns0:v>2</ns0:v>
      </ns0:c>
      <ns0:c r="AA6" t="n" s="33">
        <ns0:v>2.4</ns0:v>
      </ns0:c>
      <ns0:c r="AB6" t="n" s="33">
        <ns0:v>20</ns0:v>
      </ns0:c>
      <ns0:c r="AC6" t="n" s="33">
        <ns0:v>120</ns0:v>
      </ns0:c>
      <ns0:c r="AD6" t="n" s="33">
        <ns0:v>51</ns0:v>
      </ns0:c>
      <ns0:c r="AE6" t="n" s="33">
        <ns0:v>112</ns0:v>
      </ns0:c>
      <ns0:c r="AF6" t="str" s="33">
        <ns0:v>1=C (K), 2=A (внутренняя; заводская не подтверждена)</ns0:v>
      </ns0:c>
      <ns0:c r="AG6" t="str" s="33">
        <ns0:v>AlGaInP</ns0:v>
      </ns0:c>
      <ns0:c r="AH6" t="str" s="33">
        <ns0:v>TO-1608BC</ns0:v>
      </ns0:c>
      <x:c xmlns:x="http://schemas.openxmlformats.org/spreadsheetml/2006/main" r="AI6" t="str" s="33">
        <x:v>Даташит — производитель</x:v>
      </x:c>
      <x:c xmlns:x="http://schemas.openxmlformats.org/spreadsheetml/2006/main" r="AJ6" t="str" s="33">
        <x:v>https://www.oasistek.com/upload/2021_SMD_Lamp_Catalogue.pdf</x:v>
      </x:c>
      <x:c xmlns:x="http://schemas.openxmlformats.org/spreadsheetml/2006/main" r="AK6" t="str" s="33">
        <x:v>C:\Users\Nomatin\Documents\Altium\MY_LIB\MY_LIB\Datasheets\Oasistek_LED\Oasistek_2021_catalogue.pdf</x:v>
      </x:c>
    </ns0:row>
    <ns0:row r="7" ht="120" customHeight="1">
      <ns0:c r="A7" t="str" s="33">
        <ns0:v>HL0006</ns0:v>
      </ns0:c>
      <ns0:c r="B7" t="str" s="33">
        <ns0:v>Светодиод</ns0:v>
      </ns0:c>
      <ns0:c r="C7" t="str" s="33">
        <ns0:v>TO-1608BC-MEE</ns0:v>
      </ns0:c>
      <ns0:c r="D7" t="str" s="34">
        <ns0:f>C7</ns0:f>
        <ns0:v>TO-1608BC-MEE</ns0:v>
      </ns0:c>
      <ns0:c r="E7" s="33"/>
      <ns0:c r="F7" s="33"/>
      <ns0:c r="G7" t="str" s="33">
        <ns0:v>2 В (тип., IF=20 мА)</ns0:v>
      </ns0:c>
      <ns0:c r="H7" t="str" s="35">
        <ns0:v>0603</ns0:v>
      </ns0:c>
      <ns0:c r="I7" t="str" s="33">
        <ns0:v>Oasistek</ns0:v>
      </ns0:c>
      <ns0:c r="J7" t="str" s="33">
        <ns0:v>TO-1608BC-MEE</ns0:v>
      </ns0:c>
      <ns0:c r="K7" s="34" t="str">
        <ns0:f>B7&amp;" "&amp;X7&amp;" "&amp;LEFT(G7,FIND(" ",G7)-1)&amp;"В "&amp;AE7&amp;"мкд "&amp;H7</ns0:f>
        <ns0:v>Светодиод Оранжевый 2В 112мкд 0603</ns0:v>
      </ns0:c>
      <ns0:c r="L7" t="str" s="36">
        <ns0:v>LED_1C2A</ns0:v>
      </ns0:c>
      <ns0:c r="M7" t="str" s="36">
        <ns0:v>Symbols\MY_LIB_Semiconductors.SchLib</ns0:v>
      </ns0:c>
      <ns0:c r="N7" t="str" s="36">
        <ns0:v>LED_0603_1C2A</ns0:v>
      </ns0:c>
      <ns0:c r="O7" t="str" s="36">
        <ns0:v>Footprints\MY_LIB_LED.PcbLib</ns0:v>
      </ns0:c>
      <ns0:c r="P7" t="str" s="33">
        <ns0:v>Прозрачная линза; VF/IV при IF=20 мА по каталогу 2021, стр.19–20. Стандартная геометрия 0603;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7" s="33"/>
      <ns0:c r="R7" t="str" s="34">
        <ns0:f>D7</ns0:f>
        <ns0:v>TO-1608BC-MEE</ns0:v>
      </ns0:c>
      <ns0:c r="S7" s="34" t="str">
        <ns0:f>K7</ns0:f>
        <ns0:v>Светодиод Оранжевый 2В 112мкд 0603</ns0:v>
      </ns0:c>
      <x:c xmlns:x="http://schemas.openxmlformats.org/spreadsheetml/2006/main" r="T7" t="str" s="33">
        <x:v>C:\Users\Nomatin\Documents\Altium\MY_LIB\MY_LIB\Datasheets\Oasistek_LED\Oasistek_2021_catalogue.pdf</x:v>
      </x:c>
      <ns0:c r="U7" t="str" s="33">
        <ns0:v>Параметры: каталог 2021, стр.19–20; пины: 2021 SMD Lamp Catalogue; PDF page 12; printed pages 19-20</ns0:v>
      </ns0:c>
      <x:c xmlns:x="http://schemas.openxmlformats.org/spreadsheetml/2006/main" r="V7" t="str" s="33">
        <x:v>Даташит — локальный</x:v>
      </x:c>
      <x:c xmlns:x="http://schemas.openxmlformats.org/spreadsheetml/2006/main" r="W7" t="str" s="33">
        <x:v>C:\Users\Nomatin\Documents\Altium\MY_LIB\MY_LIB\Datasheets\Oasistek_LED\Oasistek_2021_catalogue.pdf</x:v>
      </x:c>
      <ns0:c r="X7" t="str" s="33">
        <ns0:v>Оранжевый</ns0:v>
      </ns0:c>
      <ns0:c r="Y7" t="n" s="33">
        <ns0:v>623</ns0:v>
      </ns0:c>
      <ns0:c r="Z7" t="n" s="33">
        <ns0:v>2</ns0:v>
      </ns0:c>
      <ns0:c r="AA7" t="n" s="33">
        <ns0:v>2.4</ns0:v>
      </ns0:c>
      <ns0:c r="AB7" t="n" s="33">
        <ns0:v>20</ns0:v>
      </ns0:c>
      <ns0:c r="AC7" t="n" s="33">
        <ns0:v>120</ns0:v>
      </ns0:c>
      <ns0:c r="AD7" t="n" s="33">
        <ns0:v>51</ns0:v>
      </ns0:c>
      <ns0:c r="AE7" t="n" s="33">
        <ns0:v>112</ns0:v>
      </ns0:c>
      <ns0:c r="AF7" t="str" s="33">
        <ns0:v>1=C (K), 2=A (внутренняя; заводская не подтверждена)</ns0:v>
      </ns0:c>
      <ns0:c r="AG7" t="str" s="33">
        <ns0:v>AlGaInP</ns0:v>
      </ns0:c>
      <ns0:c r="AH7" t="str" s="33">
        <ns0:v>TO-1608BC</ns0:v>
      </ns0:c>
      <x:c xmlns:x="http://schemas.openxmlformats.org/spreadsheetml/2006/main" r="AI7" t="str" s="33">
        <x:v>Даташит — производитель</x:v>
      </x:c>
      <x:c xmlns:x="http://schemas.openxmlformats.org/spreadsheetml/2006/main" r="AJ7" t="str" s="33">
        <x:v>https://www.oasistek.com/upload/2021_SMD_Lamp_Catalogue.pdf</x:v>
      </x:c>
      <x:c xmlns:x="http://schemas.openxmlformats.org/spreadsheetml/2006/main" r="AK7" t="str" s="33">
        <x:v>C:\Users\Nomatin\Documents\Altium\MY_LIB\MY_LIB\Datasheets\Oasistek_LED\Oasistek_2021_catalogue.pdf</x:v>
      </x:c>
    </ns0:row>
    <ns0:row r="8" ht="70" customHeight="1">
      <ns0:c r="A8" t="str" s="33">
        <ns0:v>HL0007</ns0:v>
      </ns0:c>
      <ns0:c r="B8" t="str" s="33">
        <ns0:v>Светодиод</ns0:v>
      </ns0:c>
      <ns0:c r="C8" t="str" s="33">
        <ns0:v>TO-1608BC-MRE</ns0:v>
      </ns0:c>
      <ns0:c r="D8" t="str" s="34">
        <ns0:f>C8</ns0:f>
        <ns0:v>TO-1608BC-MRE</ns0:v>
      </ns0:c>
      <ns0:c r="E8" s="33"/>
      <ns0:c r="F8" s="33"/>
      <ns0:c r="G8" t="str" s="33">
        <ns0:v>2 В (тип., IF=20 мА)</ns0:v>
      </ns0:c>
      <ns0:c r="H8" t="str" s="35">
        <ns0:v>0603</ns0:v>
      </ns0:c>
      <ns0:c r="I8" t="str" s="33">
        <ns0:v>Oasistek</ns0:v>
      </ns0:c>
      <ns0:c r="J8" t="str" s="33">
        <ns0:v>TO-1608BC-MRE</ns0:v>
      </ns0:c>
      <ns0:c r="K8" s="34" t="str">
        <ns0:f>B8&amp;" "&amp;X8&amp;" "&amp;LEFT(G8,FIND(" ",G8)-1)&amp;"В "&amp;AE8&amp;"мкд "&amp;H8</ns0:f>
        <ns0:v>Светодиод Красный 2В 112мкд 0603</ns0:v>
      </ns0:c>
      <ns0:c r="L8" t="str" s="36">
        <ns0:v>LED_1C2A</ns0:v>
      </ns0:c>
      <ns0:c r="M8" t="str" s="36">
        <ns0:v>Symbols\MY_LIB_Semiconductors.SchLib</ns0:v>
      </ns0:c>
      <ns0:c r="N8" t="str" s="36">
        <ns0:v>LED_0603_1C2A</ns0:v>
      </ns0:c>
      <ns0:c r="O8" t="str" s="36">
        <ns0:v>Footprints\MY_LIB_LED.PcbLib</ns0:v>
      </ns0:c>
      <ns0:c r="P8" t="str" s="33">
        <ns0:v>Прозрачная линза; VF/IV при IF=20 мА по каталогу 2021, стр.19–20. Стандартная геометрия 0603; не точная копия рекомендованного land pattern. Пины подтверждены индивидуальным даташитом.</ns0:v>
      </ns0:c>
      <ns0:c r="Q8" s="33"/>
      <ns0:c r="R8" t="str" s="34">
        <ns0:f>D8</ns0:f>
        <ns0:v>TO-1608BC-MRE</ns0:v>
      </ns0:c>
      <ns0:c r="S8" s="34" t="str">
        <ns0:f>K8</ns0:f>
        <ns0:v>Светодиод Красный 2В 112мкд 0603</ns0:v>
      </ns0:c>
      <x:c xmlns:x="http://schemas.openxmlformats.org/spreadsheetml/2006/main" r="T8" t="str" s="33">
        <x:v>C:\Users\Nomatin\Documents\Altium\MY_LIB\MY_LIB\Datasheets\Oasistek_LED\TO-1608BC-MRE.pdf</x:v>
      </x:c>
      <ns0:c r="U8" t="str" s="33">
        <ns0:v>Параметры: каталог 2021, стр.19–20; пины: Rev. A-1; 2017-05-18; GS1705006</ns0:v>
      </ns0:c>
      <x:c xmlns:x="http://schemas.openxmlformats.org/spreadsheetml/2006/main" r="V8" t="str" s="33">
        <x:v>Даташит — локальный</x:v>
      </x:c>
      <x:c xmlns:x="http://schemas.openxmlformats.org/spreadsheetml/2006/main" r="W8" t="str" s="33">
        <x:v>C:\Users\Nomatin\Documents\Altium\MY_LIB\MY_LIB\Datasheets\Oasistek_LED\TO-1608BC-MRE.pdf</x:v>
      </x:c>
      <ns0:c r="X8" t="str" s="33">
        <ns0:v>Красный</ns0:v>
      </ns0:c>
      <ns0:c r="Y8" t="n" s="33">
        <ns0:v>630</ns0:v>
      </ns0:c>
      <ns0:c r="Z8" t="n" s="33">
        <ns0:v>2</ns0:v>
      </ns0:c>
      <ns0:c r="AA8" t="n" s="33">
        <ns0:v>2.4</ns0:v>
      </ns0:c>
      <ns0:c r="AB8" t="n" s="33">
        <ns0:v>20</ns0:v>
      </ns0:c>
      <ns0:c r="AC8" t="n" s="33">
        <ns0:v>120</ns0:v>
      </ns0:c>
      <ns0:c r="AD8" t="n" s="33">
        <ns0:v>51</ns0:v>
      </ns0:c>
      <ns0:c r="AE8" t="n" s="33">
        <ns0:v>112</ns0:v>
      </ns0:c>
      <ns0:c r="AF8" t="str" s="33">
        <ns0:v>1=C (K), 2=A</ns0:v>
      </ns0:c>
      <ns0:c r="AG8" t="str" s="33">
        <ns0:v>AlGaInP</ns0:v>
      </ns0:c>
      <ns0:c r="AH8" t="str" s="33">
        <ns0:v>TO-1608BC</ns0:v>
      </ns0:c>
      <x:c xmlns:x="http://schemas.openxmlformats.org/spreadsheetml/2006/main" r="AI8" t="str" s="33">
        <x:v>Даташит — производитель</x:v>
      </x:c>
      <x:c xmlns:x="http://schemas.openxmlformats.org/spreadsheetml/2006/main" r="AJ8" t="str" s="33">
        <x:v>https://www.oasistek.com/upload/2021_SMD_Lamp_Catalogue.pdf</x:v>
      </x:c>
      <x:c xmlns:x="http://schemas.openxmlformats.org/spreadsheetml/2006/main" r="AK8" t="str" s="33">
        <x:v>C:\Users\Nomatin\Documents\Altium\MY_LIB\MY_LIB\Datasheets\Oasistek_LED\TO-1608BC-MRE.pdf</x:v>
      </x:c>
    </ns0:row>
    <ns0:row r="9" ht="70" customHeight="1">
      <ns0:c r="A9" t="str" s="33">
        <ns0:v>HL0008</ns0:v>
      </ns0:c>
      <ns0:c r="B9" t="str" s="33">
        <ns0:v>Светодиод</ns0:v>
      </ns0:c>
      <ns0:c r="C9" t="str" s="33">
        <ns0:v>TO-2013BC-BF</ns0:v>
      </ns0:c>
      <ns0:c r="D9" t="str" s="34">
        <ns0:f>C9</ns0:f>
        <ns0:v>TO-2013BC-BF</ns0:v>
      </ns0:c>
      <ns0:c r="E9" s="33"/>
      <ns0:c r="F9" s="33"/>
      <ns0:c r="G9" t="str" s="33">
        <ns0:v>3,2 В (тип., IF=20 мА)</ns0:v>
      </ns0:c>
      <ns0:c r="H9" t="str" s="35">
        <ns0:v>0805</ns0:v>
      </ns0:c>
      <ns0:c r="I9" t="str" s="33">
        <ns0:v>Oasistek</ns0:v>
      </ns0:c>
      <ns0:c r="J9" t="str" s="33">
        <ns0:v>TO-2013BC-BF</ns0:v>
      </ns0:c>
      <ns0:c r="K9" s="34" t="str">
        <ns0:f>B9&amp;" "&amp;X9&amp;" "&amp;LEFT(G9,FIND(" ",G9)-1)&amp;"В "&amp;AE9&amp;"мкд "&amp;H9</ns0:f>
        <ns0:v>Светодиод Синий 3,2В 247мкд 0805</ns0:v>
      </ns0:c>
      <ns0:c r="L9" t="str" s="36">
        <ns0:v>LED_1C2A</ns0:v>
      </ns0:c>
      <ns0:c r="M9" t="str" s="36">
        <ns0:v>Symbols\MY_LIB_Semiconductors.SchLib</ns0:v>
      </ns0:c>
      <ns0:c r="N9" t="str" s="36">
        <ns0:v>LED_0805_1C2A</ns0:v>
      </ns0:c>
      <ns0:c r="O9" t="str" s="36">
        <ns0:v>Footprints\MY_LIB_LED.PcbLib</ns0:v>
      </ns0:c>
      <ns0:c r="P9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9" s="33"/>
      <ns0:c r="R9" t="str" s="34">
        <ns0:f>D9</ns0:f>
        <ns0:v>TO-2013BC-BF</ns0:v>
      </ns0:c>
      <ns0:c r="S9" s="34" t="str">
        <ns0:f>K9</ns0:f>
        <ns0:v>Светодиод Синий 3,2В 247мкд 0805</ns0:v>
      </ns0:c>
      <x:c xmlns:x="http://schemas.openxmlformats.org/spreadsheetml/2006/main" r="T9" t="str" s="33">
        <x:v>C:\Users\Nomatin\Documents\Altium\MY_LIB\MY_LIB\Datasheets\Oasistek_LED\TO-2013BC-BF.pdf</x:v>
      </x:c>
      <ns0:c r="U9" t="str" s="33">
        <ns0:v>Параметры: каталог 2021, стр.19–20; пины: Rev. A-1; 2015-11-16; GS1511032</ns0:v>
      </ns0:c>
      <x:c xmlns:x="http://schemas.openxmlformats.org/spreadsheetml/2006/main" r="V9" t="str" s="33">
        <x:v>Даташит — локальный</x:v>
      </x:c>
      <x:c xmlns:x="http://schemas.openxmlformats.org/spreadsheetml/2006/main" r="W9" t="str" s="33">
        <x:v>C:\Users\Nomatin\Documents\Altium\MY_LIB\MY_LIB\Datasheets\Oasistek_LED\TO-2013BC-BF.pdf</x:v>
      </x:c>
      <ns0:c r="X9" t="str" s="33">
        <ns0:v>Синий</ns0:v>
      </ns0:c>
      <ns0:c r="Y9" t="n" s="33">
        <ns0:v>468</ns0:v>
      </ns0:c>
      <ns0:c r="Z9" t="n" s="33">
        <ns0:v>3.2</ns0:v>
      </ns0:c>
      <ns0:c r="AA9" t="n" s="33">
        <ns0:v>3.6</ns0:v>
      </ns0:c>
      <ns0:c r="AB9" t="n" s="33">
        <ns0:v>20</ns0:v>
      </ns0:c>
      <ns0:c r="AC9" t="n" s="33">
        <ns0:v>120</ns0:v>
      </ns0:c>
      <ns0:c r="AD9" t="n" s="33">
        <ns0:v>112</ns0:v>
      </ns0:c>
      <ns0:c r="AE9" t="n" s="33">
        <ns0:v>247</ns0:v>
      </ns0:c>
      <ns0:c r="AF9" t="str" s="33">
        <ns0:v>1=C (K), 2=A</ns0:v>
      </ns0:c>
      <ns0:c r="AG9" t="str" s="33">
        <ns0:v>InGaN</ns0:v>
      </ns0:c>
      <ns0:c r="AH9" t="str" s="33">
        <ns0:v>TO-2013BC</ns0:v>
      </ns0:c>
      <x:c xmlns:x="http://schemas.openxmlformats.org/spreadsheetml/2006/main" r="AI9" t="str" s="33">
        <x:v>Даташит — производитель</x:v>
      </x:c>
      <x:c xmlns:x="http://schemas.openxmlformats.org/spreadsheetml/2006/main" r="AJ9" t="str" s="33">
        <x:v>https://www.oasistek.com/upload/2021_SMD_Lamp_Catalogue.pdf</x:v>
      </x:c>
      <x:c xmlns:x="http://schemas.openxmlformats.org/spreadsheetml/2006/main" r="AK9" t="str" s="33">
        <x:v>C:\Users\Nomatin\Documents\Altium\MY_LIB\MY_LIB\Datasheets\Oasistek_LED\TO-2013BC-BF.pdf</x:v>
      </x:c>
    </ns0:row>
    <ns0:row r="10" ht="70" customHeight="1">
      <ns0:c r="A10" t="str" s="33">
        <ns0:v>HL0009</ns0:v>
      </ns0:c>
      <ns0:c r="B10" t="str" s="33">
        <ns0:v>Светодиод</ns0:v>
      </ns0:c>
      <ns0:c r="C10" t="str" s="33">
        <ns0:v>TO-2013BC-PG</ns0:v>
      </ns0:c>
      <ns0:c r="D10" t="str" s="34">
        <ns0:f>C10</ns0:f>
        <ns0:v>TO-2013BC-PG</ns0:v>
      </ns0:c>
      <ns0:c r="E10" s="33"/>
      <ns0:c r="F10" s="33"/>
      <ns0:c r="G10" t="str" s="33">
        <ns0:v>3,2 В (тип., IF=20 мА)</ns0:v>
      </ns0:c>
      <ns0:c r="H10" t="str" s="35">
        <ns0:v>0805</ns0:v>
      </ns0:c>
      <ns0:c r="I10" t="str" s="33">
        <ns0:v>Oasistek</ns0:v>
      </ns0:c>
      <ns0:c r="J10" t="str" s="33">
        <ns0:v>TO-2013BC-PG</ns0:v>
      </ns0:c>
      <ns0:c r="K10" s="34" t="str">
        <ns0:f>B10&amp;" "&amp;X10&amp;" "&amp;LEFT(G10,FIND(" ",G10)-1)&amp;"В "&amp;AE10&amp;"мкд "&amp;H10</ns0:f>
        <ns0:v>Светодиод Чистый зелёный 3,2В 705мкд 0805</ns0:v>
      </ns0:c>
      <ns0:c r="L10" t="str" s="36">
        <ns0:v>LED_1C2A</ns0:v>
      </ns0:c>
      <ns0:c r="M10" t="str" s="36">
        <ns0:v>Symbols\MY_LIB_Semiconductors.SchLib</ns0:v>
      </ns0:c>
      <ns0:c r="N10" t="str" s="36">
        <ns0:v>LED_0805_1C2A</ns0:v>
      </ns0:c>
      <ns0:c r="O10" t="str" s="36">
        <ns0:v>Footprints\MY_LIB_LED.PcbLib</ns0:v>
      </ns0:c>
      <ns0:c r="P10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0" s="33"/>
      <ns0:c r="R10" t="str" s="34">
        <ns0:f>D10</ns0:f>
        <ns0:v>TO-2013BC-PG</ns0:v>
      </ns0:c>
      <ns0:c r="S10" s="34" t="str">
        <ns0:f>K10</ns0:f>
        <ns0:v>Светодиод Чистый зелёный 3,2В 705мкд 0805</ns0:v>
      </ns0:c>
      <x:c xmlns:x="http://schemas.openxmlformats.org/spreadsheetml/2006/main" r="T10" t="str" s="33">
        <x:v>C:\Users\Nomatin\Documents\Altium\MY_LIB\MY_LIB\Datasheets\Oasistek_LED\TO-2013BC-PG.pdf</x:v>
      </x:c>
      <ns0:c r="U10" t="str" s="33">
        <ns0:v>Параметры: каталог 2021, стр.19–20; пины: Rev. A-1; 2017-06-09; GS1706012</ns0:v>
      </ns0:c>
      <x:c xmlns:x="http://schemas.openxmlformats.org/spreadsheetml/2006/main" r="V10" t="str" s="33">
        <x:v>Даташит — локальный</x:v>
      </x:c>
      <x:c xmlns:x="http://schemas.openxmlformats.org/spreadsheetml/2006/main" r="W10" t="str" s="33">
        <x:v>C:\Users\Nomatin\Documents\Altium\MY_LIB\MY_LIB\Datasheets\Oasistek_LED\TO-2013BC-PG.pdf</x:v>
      </x:c>
      <ns0:c r="X10" t="str" s="33">
        <ns0:v>Чистый зелёный</ns0:v>
      </ns0:c>
      <ns0:c r="Y10" t="n" s="33">
        <ns0:v>525</ns0:v>
      </ns0:c>
      <ns0:c r="Z10" t="n" s="33">
        <ns0:v>3.2</ns0:v>
      </ns0:c>
      <ns0:c r="AA10" t="n" s="33">
        <ns0:v>3.6</ns0:v>
      </ns0:c>
      <ns0:c r="AB10" t="n" s="33">
        <ns0:v>20</ns0:v>
      </ns0:c>
      <ns0:c r="AC10" t="n" s="33">
        <ns0:v>120</ns0:v>
      </ns0:c>
      <ns0:c r="AD10" t="n" s="33">
        <ns0:v>321</ns0:v>
      </ns0:c>
      <ns0:c r="AE10" t="n" s="33">
        <ns0:v>705</ns0:v>
      </ns0:c>
      <ns0:c r="AF10" t="str" s="33">
        <ns0:v>1=C (K), 2=A</ns0:v>
      </ns0:c>
      <ns0:c r="AG10" t="str" s="33">
        <ns0:v>InGaN</ns0:v>
      </ns0:c>
      <ns0:c r="AH10" t="str" s="33">
        <ns0:v>TO-2013BC</ns0:v>
      </ns0:c>
      <x:c xmlns:x="http://schemas.openxmlformats.org/spreadsheetml/2006/main" r="AI10" t="str" s="33">
        <x:v>Даташит — производитель</x:v>
      </x:c>
      <x:c xmlns:x="http://schemas.openxmlformats.org/spreadsheetml/2006/main" r="AJ10" t="str" s="33">
        <x:v>https://www.oasistek.com/upload/2021_SMD_Lamp_Catalogue.pdf</x:v>
      </x:c>
      <x:c xmlns:x="http://schemas.openxmlformats.org/spreadsheetml/2006/main" r="AK10" t="str" s="33">
        <x:v>C:\Users\Nomatin\Documents\Altium\MY_LIB\MY_LIB\Datasheets\Oasistek_LED\TO-2013BC-PG.pdf</x:v>
      </x:c>
    </ns0:row>
    <ns0:row r="11" ht="70" customHeight="1">
      <ns0:c r="A11" t="str" s="33">
        <ns0:v>HL0010</ns0:v>
      </ns0:c>
      <ns0:c r="B11" t="str" s="33">
        <ns0:v>Светодиод</ns0:v>
      </ns0:c>
      <ns0:c r="C11" t="str" s="33">
        <ns0:v>TO-2013BC-MGE</ns0:v>
      </ns0:c>
      <ns0:c r="D11" t="str" s="34">
        <ns0:f>C11</ns0:f>
        <ns0:v>TO-2013BC-MGE</ns0:v>
      </ns0:c>
      <ns0:c r="E11" s="33"/>
      <ns0:c r="F11" s="33"/>
      <ns0:c r="G11" t="str" s="33">
        <ns0:v>2 В (тип., IF=20 мА)</ns0:v>
      </ns0:c>
      <ns0:c r="H11" t="str" s="35">
        <ns0:v>0805</ns0:v>
      </ns0:c>
      <ns0:c r="I11" t="str" s="33">
        <ns0:v>Oasistek</ns0:v>
      </ns0:c>
      <ns0:c r="J11" t="str" s="33">
        <ns0:v>TO-2013BC-MGE</ns0:v>
      </ns0:c>
      <ns0:c r="K11" s="34" t="str">
        <ns0:f>B11&amp;" "&amp;X11&amp;" "&amp;LEFT(G11,FIND(" ",G11)-1)&amp;"В "&amp;AE11&amp;"мкд "&amp;H11</ns0:f>
        <ns0:v>Светодиод Жёлто-зелёный 2В 112мкд 0805</ns0:v>
      </ns0:c>
      <ns0:c r="L11" t="str" s="36">
        <ns0:v>LED_1C2A</ns0:v>
      </ns0:c>
      <ns0:c r="M11" t="str" s="36">
        <ns0:v>Symbols\MY_LIB_Semiconductors.SchLib</ns0:v>
      </ns0:c>
      <ns0:c r="N11" t="str" s="36">
        <ns0:v>LED_0805_1C2A</ns0:v>
      </ns0:c>
      <ns0:c r="O11" t="str" s="36">
        <ns0:v>Footprints\MY_LIB_LED.PcbLib</ns0:v>
      </ns0:c>
      <ns0:c r="P11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1" s="33"/>
      <ns0:c r="R11" t="str" s="34">
        <ns0:f>D11</ns0:f>
        <ns0:v>TO-2013BC-MGE</ns0:v>
      </ns0:c>
      <ns0:c r="S11" s="34" t="str">
        <ns0:f>K11</ns0:f>
        <ns0:v>Светодиод Жёлто-зелёный 2В 112мкд 0805</ns0:v>
      </ns0:c>
      <x:c xmlns:x="http://schemas.openxmlformats.org/spreadsheetml/2006/main" r="T11" t="str" s="33">
        <x:v>C:\Users\Nomatin\Documents\Altium\MY_LIB\MY_LIB\Datasheets\Oasistek_LED\TO-2013BC-MGE.pdf</x:v>
      </x:c>
      <ns0:c r="U11" t="str" s="33">
        <ns0:v>Параметры: каталог 2021, стр.19–20; пины: Rev. A-1; 2015-11-16; GS1511030</ns0:v>
      </ns0:c>
      <x:c xmlns:x="http://schemas.openxmlformats.org/spreadsheetml/2006/main" r="V11" t="str" s="33">
        <x:v>Даташит — локальный</x:v>
      </x:c>
      <x:c xmlns:x="http://schemas.openxmlformats.org/spreadsheetml/2006/main" r="W11" t="str" s="33">
        <x:v>C:\Users\Nomatin\Documents\Altium\MY_LIB\MY_LIB\Datasheets\Oasistek_LED\TO-2013BC-MGE.pdf</x:v>
      </x:c>
      <ns0:c r="X11" t="str" s="33">
        <ns0:v>Жёлто-зелёный</ns0:v>
      </ns0:c>
      <ns0:c r="Y11" t="n" s="33">
        <ns0:v>572</ns0:v>
      </ns0:c>
      <ns0:c r="Z11" t="n" s="33">
        <ns0:v>2</ns0:v>
      </ns0:c>
      <ns0:c r="AA11" t="n" s="33">
        <ns0:v>2.4</ns0:v>
      </ns0:c>
      <ns0:c r="AB11" t="n" s="33">
        <ns0:v>20</ns0:v>
      </ns0:c>
      <ns0:c r="AC11" t="n" s="33">
        <ns0:v>120</ns0:v>
      </ns0:c>
      <ns0:c r="AD11" t="n" s="33">
        <ns0:v>51</ns0:v>
      </ns0:c>
      <ns0:c r="AE11" t="n" s="33">
        <ns0:v>112</ns0:v>
      </ns0:c>
      <ns0:c r="AF11" t="str" s="33">
        <ns0:v>1=C (K), 2=A</ns0:v>
      </ns0:c>
      <ns0:c r="AG11" t="str" s="33">
        <ns0:v>AlGaInP</ns0:v>
      </ns0:c>
      <ns0:c r="AH11" t="str" s="33">
        <ns0:v>TO-2013BC</ns0:v>
      </ns0:c>
      <x:c xmlns:x="http://schemas.openxmlformats.org/spreadsheetml/2006/main" r="AI11" t="str" s="33">
        <x:v>Даташит — производитель</x:v>
      </x:c>
      <x:c xmlns:x="http://schemas.openxmlformats.org/spreadsheetml/2006/main" r="AJ11" t="str" s="33">
        <x:v>https://www.oasistek.com/upload/2021_SMD_Lamp_Catalogue.pdf</x:v>
      </x:c>
      <x:c xmlns:x="http://schemas.openxmlformats.org/spreadsheetml/2006/main" r="AK11" t="str" s="33">
        <x:v>C:\Users\Nomatin\Documents\Altium\MY_LIB\MY_LIB\Datasheets\Oasistek_LED\TO-2013BC-MGE.pdf</x:v>
      </x:c>
    </ns0:row>
    <ns0:row r="12" ht="120" customHeight="1">
      <ns0:c r="A12" t="str" s="33">
        <ns0:v>HL0011</ns0:v>
      </ns0:c>
      <ns0:c r="B12" t="str" s="33">
        <ns0:v>Светодиод</ns0:v>
      </ns0:c>
      <ns0:c r="C12" t="str" s="33">
        <ns0:v>TO-2013BC-MYF</ns0:v>
      </ns0:c>
      <ns0:c r="D12" t="str" s="34">
        <ns0:f>C12</ns0:f>
        <ns0:v>TO-2013BC-MYF</ns0:v>
      </ns0:c>
      <ns0:c r="E12" s="33"/>
      <ns0:c r="F12" s="33"/>
      <ns0:c r="G12" t="str" s="33">
        <ns0:v>2 В (тип., IF=20 мА)</ns0:v>
      </ns0:c>
      <ns0:c r="H12" t="str" s="35">
        <ns0:v>0805</ns0:v>
      </ns0:c>
      <ns0:c r="I12" t="str" s="33">
        <ns0:v>Oasistek</ns0:v>
      </ns0:c>
      <ns0:c r="J12" t="str" s="33">
        <ns0:v>TO-2013BC-MYF</ns0:v>
      </ns0:c>
      <ns0:c r="K12" s="34" t="str">
        <ns0:f>B12&amp;" "&amp;X12&amp;" "&amp;LEFT(G12,FIND(" ",G12)-1)&amp;"В "&amp;AE12&amp;"мкд "&amp;H12</ns0:f>
        <ns0:v>Светодиод Жёлтый 2В 247мкд 0805</ns0:v>
      </ns0:c>
      <ns0:c r="L12" t="str" s="36">
        <ns0:v>LED_1C2A</ns0:v>
      </ns0:c>
      <ns0:c r="M12" t="str" s="36">
        <ns0:v>Symbols\MY_LIB_Semiconductors.SchLib</ns0:v>
      </ns0:c>
      <ns0:c r="N12" t="str" s="36">
        <ns0:v>LED_0805_1C2A</ns0:v>
      </ns0:c>
      <ns0:c r="O12" t="str" s="36">
        <ns0:v>Footprints\MY_LIB_LED.PcbLib</ns0:v>
      </ns0:c>
      <ns0:c r="P12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2" s="33"/>
      <ns0:c r="R12" t="str" s="34">
        <ns0:f>D12</ns0:f>
        <ns0:v>TO-2013BC-MYF</ns0:v>
      </ns0:c>
      <ns0:c r="S12" s="34" t="str">
        <ns0:f>K12</ns0:f>
        <ns0:v>Светодиод Жёлтый 2В 247мкд 0805</ns0:v>
      </ns0:c>
      <x:c xmlns:x="http://schemas.openxmlformats.org/spreadsheetml/2006/main" r="T12" t="str" s="33">
        <x:v>C:\Users\Nomatin\Documents\Altium\MY_LIB\MY_LIB\Datasheets\Oasistek_LED\Oasistek_2021_catalogue.pdf</x:v>
      </x:c>
      <ns0:c r="U12" t="str" s="33">
        <ns0:v>Параметры: каталог 2021, стр.19–20; пины: 2021 SMD Lamp Catalogue; PDF page 12; printed pages 19-20</ns0:v>
      </ns0:c>
      <x:c xmlns:x="http://schemas.openxmlformats.org/spreadsheetml/2006/main" r="V12" t="str" s="33">
        <x:v>Даташит — локальный</x:v>
      </x:c>
      <x:c xmlns:x="http://schemas.openxmlformats.org/spreadsheetml/2006/main" r="W12" t="str" s="33">
        <x:v>C:\Users\Nomatin\Documents\Altium\MY_LIB\MY_LIB\Datasheets\Oasistek_LED\Oasistek_2021_catalogue.pdf</x:v>
      </x:c>
      <ns0:c r="X12" t="str" s="33">
        <ns0:v>Жёлтый</ns0:v>
      </ns0:c>
      <ns0:c r="Y12" t="n" s="33">
        <ns0:v>592</ns0:v>
      </ns0:c>
      <ns0:c r="Z12" t="n" s="33">
        <ns0:v>2</ns0:v>
      </ns0:c>
      <ns0:c r="AA12" t="n" s="33">
        <ns0:v>2.4</ns0:v>
      </ns0:c>
      <ns0:c r="AB12" t="n" s="33">
        <ns0:v>20</ns0:v>
      </ns0:c>
      <ns0:c r="AC12" t="n" s="33">
        <ns0:v>120</ns0:v>
      </ns0:c>
      <ns0:c r="AD12" t="n" s="33">
        <ns0:v>146</ns0:v>
      </ns0:c>
      <ns0:c r="AE12" t="n" s="33">
        <ns0:v>247</ns0:v>
      </ns0:c>
      <ns0:c r="AF12" t="str" s="33">
        <ns0:v>1=C (K), 2=A (внутренняя; заводская не подтверждена)</ns0:v>
      </ns0:c>
      <ns0:c r="AG12" t="str" s="33">
        <ns0:v>AlGaInP</ns0:v>
      </ns0:c>
      <ns0:c r="AH12" t="str" s="33">
        <ns0:v>TO-2013BC</ns0:v>
      </ns0:c>
      <x:c xmlns:x="http://schemas.openxmlformats.org/spreadsheetml/2006/main" r="AI12" t="str" s="33">
        <x:v>Даташит — производитель</x:v>
      </x:c>
      <x:c xmlns:x="http://schemas.openxmlformats.org/spreadsheetml/2006/main" r="AJ12" t="str" s="33">
        <x:v>https://www.oasistek.com/upload/2021_SMD_Lamp_Catalogue.pdf</x:v>
      </x:c>
      <x:c xmlns:x="http://schemas.openxmlformats.org/spreadsheetml/2006/main" r="AK12" t="str" s="33">
        <x:v>C:\Users\Nomatin\Documents\Altium\MY_LIB\MY_LIB\Datasheets\Oasistek_LED\Oasistek_2021_catalogue.pdf</x:v>
      </x:c>
    </ns0:row>
    <ns0:row r="13" ht="120" customHeight="1">
      <ns0:c r="A13" t="str" s="33">
        <ns0:v>HL0012</ns0:v>
      </ns0:c>
      <ns0:c r="B13" t="str" s="33">
        <ns0:v>Светодиод</ns0:v>
      </ns0:c>
      <ns0:c r="C13" t="str" s="33">
        <ns0:v>TO-2013BC-MAF</ns0:v>
      </ns0:c>
      <ns0:c r="D13" t="str" s="34">
        <ns0:f>C13</ns0:f>
        <ns0:v>TO-2013BC-MAF</ns0:v>
      </ns0:c>
      <ns0:c r="E13" s="33"/>
      <ns0:c r="F13" s="33"/>
      <ns0:c r="G13" t="str" s="33">
        <ns0:v>2 В (тип., IF=20 мА)</ns0:v>
      </ns0:c>
      <ns0:c r="H13" t="str" s="35">
        <ns0:v>0805</ns0:v>
      </ns0:c>
      <ns0:c r="I13" t="str" s="33">
        <ns0:v>Oasistek</ns0:v>
      </ns0:c>
      <ns0:c r="J13" t="str" s="33">
        <ns0:v>TO-2013BC-MAF</ns0:v>
      </ns0:c>
      <ns0:c r="K13" s="34" t="str">
        <ns0:f>B13&amp;" "&amp;X13&amp;" "&amp;LEFT(G13,FIND(" ",G13)-1)&amp;"В "&amp;AE13&amp;"мкд "&amp;H13</ns0:f>
        <ns0:v>Светодиод Янтарный 2В 247мкд 0805</ns0:v>
      </ns0:c>
      <ns0:c r="L13" t="str" s="36">
        <ns0:v>LED_1C2A</ns0:v>
      </ns0:c>
      <ns0:c r="M13" t="str" s="36">
        <ns0:v>Symbols\MY_LIB_Semiconductors.SchLib</ns0:v>
      </ns0:c>
      <ns0:c r="N13" t="str" s="36">
        <ns0:v>LED_0805_1C2A</ns0:v>
      </ns0:c>
      <ns0:c r="O13" t="str" s="36">
        <ns0:v>Footprints\MY_LIB_LED.PcbLib</ns0:v>
      </ns0:c>
      <ns0:c r="P13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3" s="33"/>
      <ns0:c r="R13" t="str" s="34">
        <ns0:f>D13</ns0:f>
        <ns0:v>TO-2013BC-MAF</ns0:v>
      </ns0:c>
      <ns0:c r="S13" s="34" t="str">
        <ns0:f>K13</ns0:f>
        <ns0:v>Светодиод Янтарный 2В 247мкд 0805</ns0:v>
      </ns0:c>
      <x:c xmlns:x="http://schemas.openxmlformats.org/spreadsheetml/2006/main" r="T13" t="str" s="33">
        <x:v>C:\Users\Nomatin\Documents\Altium\MY_LIB\MY_LIB\Datasheets\Oasistek_LED\Oasistek_2021_catalogue.pdf</x:v>
      </x:c>
      <ns0:c r="U13" t="str" s="33">
        <ns0:v>Параметры: каталог 2021, стр.19–20; пины: 2021 SMD Lamp Catalogue; PDF page 12; printed pages 19-20</ns0:v>
      </ns0:c>
      <x:c xmlns:x="http://schemas.openxmlformats.org/spreadsheetml/2006/main" r="V13" t="str" s="33">
        <x:v>Даташит — локальный</x:v>
      </x:c>
      <x:c xmlns:x="http://schemas.openxmlformats.org/spreadsheetml/2006/main" r="W13" t="str" s="33">
        <x:v>C:\Users\Nomatin\Documents\Altium\MY_LIB\MY_LIB\Datasheets\Oasistek_LED\Oasistek_2021_catalogue.pdf</x:v>
      </x:c>
      <ns0:c r="X13" t="str" s="33">
        <ns0:v>Янтарный</ns0:v>
      </ns0:c>
      <ns0:c r="Y13" t="n" s="33">
        <ns0:v>605</ns0:v>
      </ns0:c>
      <ns0:c r="Z13" t="n" s="33">
        <ns0:v>2</ns0:v>
      </ns0:c>
      <ns0:c r="AA13" t="n" s="33">
        <ns0:v>2.4</ns0:v>
      </ns0:c>
      <ns0:c r="AB13" t="n" s="33">
        <ns0:v>20</ns0:v>
      </ns0:c>
      <ns0:c r="AC13" t="n" s="33">
        <ns0:v>120</ns0:v>
      </ns0:c>
      <ns0:c r="AD13" t="n" s="33">
        <ns0:v>146</ns0:v>
      </ns0:c>
      <ns0:c r="AE13" t="n" s="33">
        <ns0:v>247</ns0:v>
      </ns0:c>
      <ns0:c r="AF13" t="str" s="33">
        <ns0:v>1=C (K), 2=A (внутренняя; заводская не подтверждена)</ns0:v>
      </ns0:c>
      <ns0:c r="AG13" t="str" s="33">
        <ns0:v>AlGaInP</ns0:v>
      </ns0:c>
      <ns0:c r="AH13" t="str" s="33">
        <ns0:v>TO-2013BC</ns0:v>
      </ns0:c>
      <x:c xmlns:x="http://schemas.openxmlformats.org/spreadsheetml/2006/main" r="AI13" t="str" s="33">
        <x:v>Даташит — производитель</x:v>
      </x:c>
      <x:c xmlns:x="http://schemas.openxmlformats.org/spreadsheetml/2006/main" r="AJ13" t="str" s="33">
        <x:v>https://www.oasistek.com/upload/2021_SMD_Lamp_Catalogue.pdf</x:v>
      </x:c>
      <x:c xmlns:x="http://schemas.openxmlformats.org/spreadsheetml/2006/main" r="AK13" t="str" s="33">
        <x:v>C:\Users\Nomatin\Documents\Altium\MY_LIB\MY_LIB\Datasheets\Oasistek_LED\Oasistek_2021_catalogue.pdf</x:v>
      </x:c>
    </ns0:row>
    <ns0:row r="14" ht="120" customHeight="1">
      <ns0:c r="A14" t="str" s="33">
        <ns0:v>HL0013</ns0:v>
      </ns0:c>
      <ns0:c r="B14" t="str" s="33">
        <ns0:v>Светодиод</ns0:v>
      </ns0:c>
      <ns0:c r="C14" t="str" s="33">
        <ns0:v>TO-2013BC-MEF</ns0:v>
      </ns0:c>
      <ns0:c r="D14" t="str" s="34">
        <ns0:f>C14</ns0:f>
        <ns0:v>TO-2013BC-MEF</ns0:v>
      </ns0:c>
      <ns0:c r="E14" s="33"/>
      <ns0:c r="F14" s="33"/>
      <ns0:c r="G14" t="str" s="33">
        <ns0:v>2 В (тип., IF=20 мА)</ns0:v>
      </ns0:c>
      <ns0:c r="H14" t="str" s="35">
        <ns0:v>0805</ns0:v>
      </ns0:c>
      <ns0:c r="I14" t="str" s="33">
        <ns0:v>Oasistek</ns0:v>
      </ns0:c>
      <ns0:c r="J14" t="str" s="33">
        <ns0:v>TO-2013BC-MEF</ns0:v>
      </ns0:c>
      <ns0:c r="K14" s="34" t="str">
        <ns0:f>B14&amp;" "&amp;X14&amp;" "&amp;LEFT(G14,FIND(" ",G14)-1)&amp;"В "&amp;AE14&amp;"мкд "&amp;H14</ns0:f>
        <ns0:v>Светодиод Оранжевый 2В 247мкд 0805</ns0:v>
      </ns0:c>
      <ns0:c r="L14" t="str" s="36">
        <ns0:v>LED_1C2A</ns0:v>
      </ns0:c>
      <ns0:c r="M14" t="str" s="36">
        <ns0:v>Symbols\MY_LIB_Semiconductors.SchLib</ns0:v>
      </ns0:c>
      <ns0:c r="N14" t="str" s="36">
        <ns0:v>LED_0805_1C2A</ns0:v>
      </ns0:c>
      <ns0:c r="O14" t="str" s="36">
        <ns0:v>Footprints\MY_LIB_LED.PcbLib</ns0:v>
      </ns0:c>
      <ns0:c r="P14" t="str" s="33">
        <ns0:v>Прозрачная линза; VF/IV при IF=20 мА по каталогу 2021, стр.19–20. Стандартная геометрия 0805; не точная копия рекомендованного land pattern. ВНУТРЕННЯЯ нумерация 1=K,2=A; заводская не подтверждена. Ориентировать по метке катода; каталог показывает P/N.</ns0:v>
      </ns0:c>
      <ns0:c r="Q14" s="33"/>
      <ns0:c r="R14" t="str" s="34">
        <ns0:f>D14</ns0:f>
        <ns0:v>TO-2013BC-MEF</ns0:v>
      </ns0:c>
      <ns0:c r="S14" s="34" t="str">
        <ns0:f>K14</ns0:f>
        <ns0:v>Светодиод Оранжевый 2В 247мкд 0805</ns0:v>
      </ns0:c>
      <x:c xmlns:x="http://schemas.openxmlformats.org/spreadsheetml/2006/main" r="T14" t="str" s="33">
        <x:v>C:\Users\Nomatin\Documents\Altium\MY_LIB\MY_LIB\Datasheets\Oasistek_LED\Oasistek_2021_catalogue.pdf</x:v>
      </x:c>
      <ns0:c r="U14" t="str" s="33">
        <ns0:v>Параметры: каталог 2021, стр.19–20; пины: 2021 SMD Lamp Catalogue; PDF page 12; printed pages 19-20</ns0:v>
      </ns0:c>
      <x:c xmlns:x="http://schemas.openxmlformats.org/spreadsheetml/2006/main" r="V14" t="str" s="33">
        <x:v>Даташит — локальный</x:v>
      </x:c>
      <x:c xmlns:x="http://schemas.openxmlformats.org/spreadsheetml/2006/main" r="W14" t="str" s="33">
        <x:v>C:\Users\Nomatin\Documents\Altium\MY_LIB\MY_LIB\Datasheets\Oasistek_LED\Oasistek_2021_catalogue.pdf</x:v>
      </x:c>
      <ns0:c r="X14" t="str" s="33">
        <ns0:v>Оранжевый</ns0:v>
      </ns0:c>
      <ns0:c r="Y14" t="n" s="33">
        <ns0:v>623</ns0:v>
      </ns0:c>
      <ns0:c r="Z14" t="n" s="33">
        <ns0:v>2</ns0:v>
      </ns0:c>
      <ns0:c r="AA14" t="n" s="33">
        <ns0:v>2.4</ns0:v>
      </ns0:c>
      <ns0:c r="AB14" t="n" s="33">
        <ns0:v>20</ns0:v>
      </ns0:c>
      <ns0:c r="AC14" t="n" s="33">
        <ns0:v>120</ns0:v>
      </ns0:c>
      <ns0:c r="AD14" t="n" s="33">
        <ns0:v>146</ns0:v>
      </ns0:c>
      <ns0:c r="AE14" t="n" s="33">
        <ns0:v>247</ns0:v>
      </ns0:c>
      <ns0:c r="AF14" t="str" s="33">
        <ns0:v>1=C (K), 2=A (внутренняя; заводская не подтверждена)</ns0:v>
      </ns0:c>
      <ns0:c r="AG14" t="str" s="33">
        <ns0:v>AlGaInP</ns0:v>
      </ns0:c>
      <ns0:c r="AH14" t="str" s="33">
        <ns0:v>TO-2013BC</ns0:v>
      </ns0:c>
      <x:c xmlns:x="http://schemas.openxmlformats.org/spreadsheetml/2006/main" r="AI14" t="str" s="33">
        <x:v>Даташит — производитель</x:v>
      </x:c>
      <x:c xmlns:x="http://schemas.openxmlformats.org/spreadsheetml/2006/main" r="AJ14" t="str" s="33">
        <x:v>https://www.oasistek.com/upload/2021_SMD_Lamp_Catalogue.pdf</x:v>
      </x:c>
      <x:c xmlns:x="http://schemas.openxmlformats.org/spreadsheetml/2006/main" r="AK14" t="str" s="33">
        <x:v>C:\Users\Nomatin\Documents\Altium\MY_LIB\MY_LIB\Datasheets\Oasistek_LED\Oasistek_2021_catalogue.pdf</x:v>
      </x:c>
    </ns0:row>
    <ns0:row r="15" ht="70" customHeight="1">
      <ns0:c r="A15" t="str" s="33">
        <ns0:v>HL0014</ns0:v>
      </ns0:c>
      <ns0:c r="B15" t="str" s="33">
        <ns0:v>Светодиод</ns0:v>
      </ns0:c>
      <ns0:c r="C15" t="str" s="33">
        <ns0:v>TO-2013BC-MRE</ns0:v>
      </ns0:c>
      <ns0:c r="D15" t="str" s="34">
        <ns0:f>C15</ns0:f>
        <ns0:v>TO-2013BC-MRE</ns0:v>
      </ns0:c>
      <ns0:c r="E15" s="33"/>
      <ns0:c r="F15" s="33"/>
      <ns0:c r="G15" t="str" s="33">
        <ns0:v>2 В (тип., IF=20 мА)</ns0:v>
      </ns0:c>
      <ns0:c r="H15" t="str" s="35">
        <ns0:v>0805</ns0:v>
      </ns0:c>
      <ns0:c r="I15" t="str" s="33">
        <ns0:v>Oasistek</ns0:v>
      </ns0:c>
      <ns0:c r="J15" t="str" s="33">
        <ns0:v>TO-2013BC-MRE</ns0:v>
      </ns0:c>
      <ns0:c r="K15" s="34" t="str">
        <ns0:f>B15&amp;" "&amp;X15&amp;" "&amp;LEFT(G15,FIND(" ",G15)-1)&amp;"В "&amp;AE15&amp;"мкд "&amp;H15</ns0:f>
        <ns0:v>Светодиод Красный 2В 112мкд 0805</ns0:v>
      </ns0:c>
      <ns0:c r="L15" t="str" s="36">
        <ns0:v>LED_1C2A</ns0:v>
      </ns0:c>
      <ns0:c r="M15" t="str" s="36">
        <ns0:v>Symbols\MY_LIB_Semiconductors.SchLib</ns0:v>
      </ns0:c>
      <ns0:c r="N15" t="str" s="36">
        <ns0:v>LED_0805_1C2A</ns0:v>
      </ns0:c>
      <ns0:c r="O15" t="str" s="36">
        <ns0:v>Footprints\MY_LIB_LED.PcbLib</ns0:v>
      </ns0:c>
      <ns0:c r="P15" t="str" s="33">
        <ns0:v>Прозрачная линза; VF/IV при IF=20 мА по каталогу 2021, стр.19–20. Стандартная геометрия 0805; не точная копия рекомендованного land pattern. Пины подтверждены индивидуальным даташитом.</ns0:v>
      </ns0:c>
      <ns0:c r="Q15" s="33"/>
      <ns0:c r="R15" t="str" s="34">
        <ns0:f>D15</ns0:f>
        <ns0:v>TO-2013BC-MRE</ns0:v>
      </ns0:c>
      <ns0:c r="S15" s="34" t="str">
        <ns0:f>K15</ns0:f>
        <ns0:v>Светодиод Красный 2В 112мкд 0805</ns0:v>
      </ns0:c>
      <x:c xmlns:x="http://schemas.openxmlformats.org/spreadsheetml/2006/main" r="T15" t="str" s="33">
        <x:v>C:\Users\Nomatin\Documents\Altium\MY_LIB\MY_LIB\Datasheets\Oasistek_LED\TO-2013BC-MRE.pdf</x:v>
      </x:c>
      <ns0:c r="U15" t="str" s="33">
        <ns0:v>Параметры: каталог 2021, стр.19–20; пины: Rev. A-2; 2017-05-25; GS1705011</ns0:v>
      </ns0:c>
      <x:c xmlns:x="http://schemas.openxmlformats.org/spreadsheetml/2006/main" r="V15" t="str" s="33">
        <x:v>Даташит — локальный</x:v>
      </x:c>
      <x:c xmlns:x="http://schemas.openxmlformats.org/spreadsheetml/2006/main" r="W15" t="str" s="33">
        <x:v>C:\Users\Nomatin\Documents\Altium\MY_LIB\MY_LIB\Datasheets\Oasistek_LED\TO-2013BC-MRE.pdf</x:v>
      </x:c>
      <ns0:c r="X15" t="str" s="33">
        <ns0:v>Красный</ns0:v>
      </ns0:c>
      <ns0:c r="Y15" t="n" s="33">
        <ns0:v>630</ns0:v>
      </ns0:c>
      <ns0:c r="Z15" t="n" s="33">
        <ns0:v>2</ns0:v>
      </ns0:c>
      <ns0:c r="AA15" t="n" s="33">
        <ns0:v>2.4</ns0:v>
      </ns0:c>
      <ns0:c r="AB15" t="n" s="33">
        <ns0:v>20</ns0:v>
      </ns0:c>
      <ns0:c r="AC15" t="n" s="33">
        <ns0:v>120</ns0:v>
      </ns0:c>
      <ns0:c r="AD15" t="n" s="33">
        <ns0:v>51</ns0:v>
      </ns0:c>
      <ns0:c r="AE15" t="n" s="33">
        <ns0:v>112</ns0:v>
      </ns0:c>
      <ns0:c r="AF15" t="str" s="33">
        <ns0:v>1=C (K), 2=A</ns0:v>
      </ns0:c>
      <ns0:c r="AG15" t="str" s="33">
        <ns0:v>AlGaInP</ns0:v>
      </ns0:c>
      <ns0:c r="AH15" t="str" s="33">
        <ns0:v>TO-2013BC</ns0:v>
      </ns0:c>
      <x:c xmlns:x="http://schemas.openxmlformats.org/spreadsheetml/2006/main" r="AI15" t="str" s="33">
        <x:v>Даташит — производитель</x:v>
      </x:c>
      <x:c xmlns:x="http://schemas.openxmlformats.org/spreadsheetml/2006/main" r="AJ15" t="str" s="33">
        <x:v>https://www.oasistek.com/upload/2021_SMD_Lamp_Catalogue.pdf</x:v>
      </x:c>
      <x:c xmlns:x="http://schemas.openxmlformats.org/spreadsheetml/2006/main" r="AK15" t="str" s="33">
        <x:v>C:\Users\Nomatin\Documents\Altium\MY_LIB\MY_LIB\Datasheets\Oasistek_LED\TO-2013BC-MRE.pdf</x:v>
      </x:c>
    </ns0:row>
  </ns0:sheetData>
  <ns0:pageMargins left="0.7" right="0.7" top="0.75" bottom="0.75" header="0.3" footer="0.3"/>
  <ns0:tableParts count="1">
    <ns0:tablePart ns1:id="R2bee39e30b9d406e"/>
  </ns0:tableParts>
</ns0:worksheet>
</file>

<file path=xl/worksheets/sheet7.xml><?xml version="1.0" encoding="utf-8"?>
<ns0:worksheet xmlns:ns0="http://schemas.openxmlformats.org/spreadsheetml/2006/main" xmlns:ns1="http://schemas.openxmlformats.org/officeDocument/2006/relationships">
  <ns0:sheetViews>
    <ns0:sheetView showGridLines="0" workbookViewId="0">
      <ns0:pane ySplit="1" topLeftCell="A2" activePane="bottomLeft" state="frozen"/>
    </ns0:sheetView>
  </ns0:sheetViews>
  <ns0:sheetFormatPr defaultRowHeight="15"/>
  <ns0:cols>
    <ns0:col min="1" max="1" width="12" hidden="0" customWidth="1"/>
    <ns0:col min="2" max="2" width="25" hidden="0" customWidth="1"/>
    <ns0:col min="3" max="3" width="20" hidden="0" customWidth="1"/>
    <ns0:col min="4" max="4" width="20" hidden="0" customWidth="1"/>
    <ns0:col min="5" max="5" width="15" hidden="0" customWidth="1"/>
    <ns0:col min="6" max="6" width="16" hidden="0" customWidth="1"/>
    <ns0:col min="7" max="7" width="14" hidden="0" customWidth="1"/>
    <ns0:col min="8" max="8" width="22" hidden="0" customWidth="1"/>
    <ns0:col min="9" max="9" width="24" hidden="0" customWidth="1"/>
    <ns0:col min="10" max="10" width="24" hidden="0" customWidth="1"/>
    <ns0:col min="11" max="11" width="45" hidden="0" customWidth="1"/>
    <ns0:col min="12" max="12" width="29" hidden="0" customWidth="1"/>
    <ns0:col min="13" max="13" width="29" hidden="0" customWidth="1"/>
    <ns0:col min="14" max="14" width="29" hidden="0" customWidth="1"/>
    <ns0:col min="15" max="15" width="52" hidden="0" customWidth="1"/>
    <ns0:col min="16" max="16" width="52" hidden="0" customWidth="1"/>
    <ns0:col min="17" max="17" width="18" hidden="0" customWidth="1"/>
    <ns0:col min="18" max="18" width="20" hidden="0" customWidth="1"/>
    <ns0:col min="19" max="19" width="45" hidden="0" customWidth="1"/>
    <ns0:col min="20" max="20" width="45" hidden="0" customWidth="1"/>
    <ns0:col min="21" max="21" width="45" hidden="0" customWidth="1"/>
    <ns0:col min="22" max="22" width="45" hidden="0" customWidth="1"/>
    <ns0:col min="23" max="23" width="45" hidden="0" customWidth="1"/>
    <ns0:col min="24" max="24" width="24" hidden="0" customWidth="1"/>
    <ns0:col min="25" max="25" width="26" hidden="0" customWidth="1"/>
  </ns0:cols>
  <ns0:sheetData>
    <ns0:row r="1" ht="36" customHeight="1">
      <ns0:c r="A1" t="str" s="32">
        <ns0:v>ID</ns0:v>
      </ns0:c>
      <ns0:c r="B1" t="str" s="32">
        <ns0:v>Type</ns0:v>
      </ns0:c>
      <ns0:c r="C1" t="str" s="32">
        <ns0:v>Value</ns0:v>
      </ns0:c>
      <ns0:c r="D1" t="str" s="32">
        <ns0:v>ESKD_value</ns0:v>
      </ns0:c>
      <ns0:c r="E1" t="str" s="32">
        <ns0:v>Tolerance</ns0:v>
      </ns0:c>
      <ns0:c r="F1" t="str" s="32">
        <ns0:v>Power</ns0:v>
      </ns0:c>
      <ns0:c r="G1" t="str" s="32">
        <ns0:v>Voltage</ns0:v>
      </ns0:c>
      <ns0:c r="H1" t="str" s="32">
        <ns0:v>Package</ns0:v>
      </ns0:c>
      <ns0:c r="I1" t="str" s="32">
        <ns0:v>Manufacturer</ns0:v>
      </ns0:c>
      <ns0:c r="J1" t="str" s="32">
        <ns0:v>MPN</ns0:v>
      </ns0:c>
      <ns0:c r="K1" t="str" s="32">
        <ns0:v>CommentBase</ns0:v>
      </ns0:c>
      <ns0:c r="L1" t="str" s="32">
        <ns0:v>Library Ref</ns0:v>
      </ns0:c>
      <ns0:c r="M1" t="str" s="32">
        <ns0:v>Library Path</ns0:v>
      </ns0:c>
      <ns0:c r="N1" t="str" s="32">
        <ns0:v>Footprint Ref</ns0:v>
      </ns0:c>
      <ns0:c r="O1" t="str" s="32">
        <ns0:v>Footprint Path</ns0:v>
      </ns0:c>
      <ns0:c r="P1" t="str" s="32">
        <ns0:v>Notes</ns0:v>
      </ns0:c>
      <ns0:c r="Q1" t="str" s="32">
        <ns0:v>Dielectric</ns0:v>
      </ns0:c>
      <ns0:c r="R1" t="str" s="32">
        <ns0:v>Comment</ns0:v>
      </ns0:c>
      <ns0:c r="S1" t="str" s="32">
        <ns0:v>Description</ns0:v>
      </ns0:c>
      <x:c xmlns:x="http://schemas.openxmlformats.org/spreadsheetml/2006/main" r="T1" t="str" s="32">
        <x:v>Datasheet</x:v>
      </x:c>
      <x:c xmlns:x="http://schemas.openxmlformats.org/spreadsheetml/2006/main" r="U1" t="str" s="32">
        <x:v>DatasheetRevision</x:v>
      </x:c>
      <x:c xmlns:x="http://schemas.openxmlformats.org/spreadsheetml/2006/main" r="V1" t="str" s="32">
        <x:v>ComponentLink1Description</x:v>
      </x:c>
      <x:c xmlns:x="http://schemas.openxmlformats.org/spreadsheetml/2006/main" r="W1" t="str" s="32">
        <x:v>ComponentLink1URL</x:v>
      </x:c>
      <ns0:c r="X1" t="str" s="32">
        <ns0:v>DiameterMm</ns0:v>
      </ns0:c>
      <ns0:c r="Y1" t="str" s="32">
        <ns0:v>ComponentType</ns0:v>
      </ns0:c>
    </ns0:row>
    <ns0:row r="2" ht="110" customHeight="1">
      <ns0:c r="A2" t="str" s="33">
        <ns0:v>TP0001</ns0:v>
      </ns0:c>
      <ns0:c r="B2" t="str" s="33">
        <ns0:v>Контрольная точка</ns0:v>
      </ns0:c>
      <ns0:c r="C2" t="str" s="33">
        <ns0:v>D1.0mm</ns0:v>
      </ns0:c>
      <ns0:c r="D2" t="str" s="34">
        <ns0:f>C2</ns0:f>
        <ns0:v>D1.0mm</ns0:v>
      </ns0:c>
      <ns0:c r="E2" s="33"/>
      <ns0:c r="F2" s="33"/>
      <ns0:c r="G2" s="33"/>
      <ns0:c r="H2" t="str" s="35">
        <ns0:v>Площадка Ø1,0 мм</ns0:v>
      </ns0:c>
      <ns0:c r="I2" s="33"/>
      <ns0:c r="J2" s="33"/>
      <ns0:c r="K2" t="str" s="34">
        <ns0:f>B2&amp;" "&amp;H2</ns0:f>
        <ns0:v>Контрольная точка Площадка Ø1,0 мм</ns0:v>
      </ns0:c>
      <ns0:c r="L2" t="str" s="36">
        <ns0:v>TestPoint</ns0:v>
      </ns0:c>
      <ns0:c r="M2" t="str" s="36">
        <ns0:v>Symbols\MY_LIB_Special.SchLib</ns0:v>
      </ns0:c>
      <ns0:c r="N2" t="str" s="36">
        <ns0:v>TestPoint_Pad_D1.0mm</ns0:v>
      </ns0:c>
      <ns0:c r="O2" t="str" s="36">
        <ns0:v>Footprints\MY_LIB_TestPoints.PcbLib</ns0:v>
      </ns0:c>
      <ns0:c r="P2" t="str" s="33">
        <ns0:v>Одна круглая площадка Top Layer; маска открыта +0,05 мм; без отверстия, пасты и шелкографии. Standard (No BOM).</ns0:v>
      </ns0:c>
      <ns0:c r="Q2" s="33"/>
      <ns0:c r="R2" t="str" s="34">
        <ns0:f>D2</ns0:f>
        <ns0:v>D1.0mm</ns0:v>
      </ns0:c>
      <ns0:c r="S2" t="str" s="34">
        <ns0:f>K2</ns0:f>
        <ns0:v>Контрольная точка Площадка Ø1,0 мм</ns0:v>
      </ns0:c>
      <x:c xmlns:x="http://schemas.openxmlformats.org/spreadsheetml/2006/main" r="T2" s="33"/>
      <x:c xmlns:x="http://schemas.openxmlformats.org/spreadsheetml/2006/main" r="U2" s="33"/>
      <x:c xmlns:x="http://schemas.openxmlformats.org/spreadsheetml/2006/main" r="V2" s="33"/>
      <x:c xmlns:x="http://schemas.openxmlformats.org/spreadsheetml/2006/main" r="W2" s="33"/>
      <ns0:c r="X2" t="n" s="33">
        <ns0:v>1</ns0:v>
      </ns0:c>
      <ns0:c r="Y2" t="str" s="33">
        <ns0:v>Standard (No BOM)</ns0:v>
      </ns0:c>
    </ns0:row>
    <ns0:row r="3" ht="110" customHeight="1">
      <ns0:c r="A3" t="str" s="33">
        <ns0:v>TP0002</ns0:v>
      </ns0:c>
      <ns0:c r="B3" t="str" s="33">
        <ns0:v>Контрольная точка</ns0:v>
      </ns0:c>
      <ns0:c r="C3" t="str" s="33">
        <ns0:v>D1.5mm</ns0:v>
      </ns0:c>
      <ns0:c r="D3" t="str" s="34">
        <ns0:f>C3</ns0:f>
        <ns0:v>D1.5mm</ns0:v>
      </ns0:c>
      <ns0:c r="E3" s="33"/>
      <ns0:c r="F3" s="33"/>
      <ns0:c r="G3" s="33"/>
      <ns0:c r="H3" t="str" s="35">
        <ns0:v>Площадка Ø1,5 мм</ns0:v>
      </ns0:c>
      <ns0:c r="I3" s="33"/>
      <ns0:c r="J3" s="33"/>
      <ns0:c r="K3" t="str" s="34">
        <ns0:f>B3&amp;" "&amp;H3</ns0:f>
        <ns0:v>Контрольная точка Площадка Ø1,5 мм</ns0:v>
      </ns0:c>
      <ns0:c r="L3" t="str" s="36">
        <ns0:v>TestPoint</ns0:v>
      </ns0:c>
      <ns0:c r="M3" t="str" s="36">
        <ns0:v>Symbols\MY_LIB_Special.SchLib</ns0:v>
      </ns0:c>
      <ns0:c r="N3" t="str" s="36">
        <ns0:v>TestPoint_Pad_D1.5mm</ns0:v>
      </ns0:c>
      <ns0:c r="O3" t="str" s="36">
        <ns0:v>Footprints\MY_LIB_TestPoints.PcbLib</ns0:v>
      </ns0:c>
      <ns0:c r="P3" t="str" s="33">
        <ns0:v>Одна круглая площадка Top Layer; маска открыта +0,05 мм; без отверстия, пасты и шелкографии. Standard (No BOM).</ns0:v>
      </ns0:c>
      <ns0:c r="Q3" s="33"/>
      <ns0:c r="R3" t="str" s="34">
        <ns0:f>D3</ns0:f>
        <ns0:v>D1.5mm</ns0:v>
      </ns0:c>
      <ns0:c r="S3" t="str" s="34">
        <ns0:f>K3</ns0:f>
        <ns0:v>Контрольная точка Площадка Ø1,5 мм</ns0:v>
      </ns0:c>
      <x:c xmlns:x="http://schemas.openxmlformats.org/spreadsheetml/2006/main" r="T3" s="33"/>
      <x:c xmlns:x="http://schemas.openxmlformats.org/spreadsheetml/2006/main" r="U3" s="33"/>
      <x:c xmlns:x="http://schemas.openxmlformats.org/spreadsheetml/2006/main" r="V3" s="33"/>
      <x:c xmlns:x="http://schemas.openxmlformats.org/spreadsheetml/2006/main" r="W3" s="33"/>
      <ns0:c r="X3" t="n" s="33">
        <ns0:v>1.5</ns0:v>
      </ns0:c>
      <ns0:c r="Y3" t="str" s="33">
        <ns0:v>Standard (No BOM)</ns0:v>
      </ns0:c>
    </ns0:row>
    <ns0:row r="4" ht="110" customHeight="1">
      <ns0:c r="A4" t="str" s="33">
        <ns0:v>TP0003</ns0:v>
      </ns0:c>
      <ns0:c r="B4" t="str" s="33">
        <ns0:v>Контрольная точка</ns0:v>
      </ns0:c>
      <ns0:c r="C4" t="str" s="33">
        <ns0:v>D2.0mm</ns0:v>
      </ns0:c>
      <ns0:c r="D4" t="str" s="34">
        <ns0:f>C4</ns0:f>
        <ns0:v>D2.0mm</ns0:v>
      </ns0:c>
      <ns0:c r="E4" s="33"/>
      <ns0:c r="F4" s="33"/>
      <ns0:c r="G4" s="33"/>
      <ns0:c r="H4" t="str" s="35">
        <ns0:v>Площадка Ø2,0 мм</ns0:v>
      </ns0:c>
      <ns0:c r="I4" s="33"/>
      <ns0:c r="J4" s="33"/>
      <ns0:c r="K4" t="str" s="34">
        <ns0:f>B4&amp;" "&amp;H4</ns0:f>
        <ns0:v>Контрольная точка Площадка Ø2,0 мм</ns0:v>
      </ns0:c>
      <ns0:c r="L4" t="str" s="36">
        <ns0:v>TestPoint</ns0:v>
      </ns0:c>
      <ns0:c r="M4" t="str" s="36">
        <ns0:v>Symbols\MY_LIB_Special.SchLib</ns0:v>
      </ns0:c>
      <ns0:c r="N4" t="str" s="36">
        <ns0:v>TestPoint_Pad_D2.0mm</ns0:v>
      </ns0:c>
      <ns0:c r="O4" t="str" s="36">
        <ns0:v>Footprints\MY_LIB_TestPoints.PcbLib</ns0:v>
      </ns0:c>
      <ns0:c r="P4" t="str" s="33">
        <ns0:v>Одна круглая площадка Top Layer; маска открыта +0,05 мм; без отверстия, пасты и шелкографии. Standard (No BOM).</ns0:v>
      </ns0:c>
      <ns0:c r="Q4" s="33"/>
      <ns0:c r="R4" t="str" s="34">
        <ns0:f>D4</ns0:f>
        <ns0:v>D2.0mm</ns0:v>
      </ns0:c>
      <ns0:c r="S4" t="str" s="34">
        <ns0:f>K4</ns0:f>
        <ns0:v>Контрольная точка Площадка Ø2,0 мм</ns0:v>
      </ns0:c>
      <x:c xmlns:x="http://schemas.openxmlformats.org/spreadsheetml/2006/main" r="T4" s="33"/>
      <x:c xmlns:x="http://schemas.openxmlformats.org/spreadsheetml/2006/main" r="U4" s="33"/>
      <x:c xmlns:x="http://schemas.openxmlformats.org/spreadsheetml/2006/main" r="V4" s="33"/>
      <x:c xmlns:x="http://schemas.openxmlformats.org/spreadsheetml/2006/main" r="W4" s="33"/>
      <ns0:c r="X4" t="n" s="33">
        <ns0:v>2</ns0:v>
      </ns0:c>
      <ns0:c r="Y4" t="str" s="33">
        <ns0:v>Standard (No BOM)</ns0:v>
      </ns0:c>
    </ns0:row>
  </ns0:sheetData>
  <ns0:pageMargins left="0.7" right="0.7" top="0.75" bottom="0.75" header="0.3" footer="0.3"/>
  <ns0:tableParts count="1">
    <ns0:tablePart ns1:id="Rbd9ae99f35be42d0"/>
  </ns0:tableParts>
</ns0:worksheet>
</file>